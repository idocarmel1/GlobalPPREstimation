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67a87e967f4a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9363d09ceb9446c"/>
    <x:sheet xmlns:r="http://schemas.openxmlformats.org/officeDocument/2006/relationships" name="Commercial" sheetId="2" r:id="R6bad1baec0a84039"/>
    <x:sheet xmlns:r="http://schemas.openxmlformats.org/officeDocument/2006/relationships" name="Functional" sheetId="3" r:id="R3e0fec0686644c53"/>
    <x:sheet xmlns:r="http://schemas.openxmlformats.org/officeDocument/2006/relationships" name="Missing TL" sheetId="4" r:id="Rc6152fc51af84767"/>
    <x:sheet xmlns:r="http://schemas.openxmlformats.org/officeDocument/2006/relationships" name="Validation" sheetId="5" r:id="Rb58c297137a24f29"/>
    <x:sheet xmlns:r="http://schemas.openxmlformats.org/officeDocument/2006/relationships" name="Metadata" sheetId="6" r:id="Rbfc42e2efb5343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f85f012d00414d" /><Relationship Type="http://schemas.openxmlformats.org/officeDocument/2006/relationships/theme" Target="/xl/theme/theme1.xml" Id="R7b5a765a5ae84553" /><Relationship Type="http://schemas.microsoft.com/office/2022/11/relationships/FeaturePropertyBag" Target="/xl/featurePropertyBag/featurePropertyBag.xml" Id="Re4927c2bd5ea47c1" /><Relationship Type="http://schemas.openxmlformats.org/officeDocument/2006/relationships/sharedStrings" Target="/xl/sharedStrings.xml" Id="R4369eb91501e4d62" /><Relationship Type="http://schemas.openxmlformats.org/officeDocument/2006/relationships/worksheet" Target="/xl/worksheets/sheet1.xml" Id="Rf9363d09ceb9446c" /><Relationship Type="http://schemas.openxmlformats.org/officeDocument/2006/relationships/worksheet" Target="/xl/worksheets/sheet2.xml" Id="R6bad1baec0a84039" /><Relationship Type="http://schemas.openxmlformats.org/officeDocument/2006/relationships/worksheet" Target="/xl/worksheets/sheet3.xml" Id="R3e0fec0686644c53" /><Relationship Type="http://schemas.openxmlformats.org/officeDocument/2006/relationships/worksheet" Target="/xl/worksheets/sheet4.xml" Id="Rc6152fc51af84767" /><Relationship Type="http://schemas.openxmlformats.org/officeDocument/2006/relationships/worksheet" Target="/xl/worksheets/sheet5.xml" Id="Rb58c297137a24f29" /><Relationship Type="http://schemas.openxmlformats.org/officeDocument/2006/relationships/worksheet" Target="/xl/worksheets/sheet6.xml" Id="Rbfc42e2efb5343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51SpeciesTable" displayName="EEZ851SpeciesTable" ref="A1:U353" headerRowCount="1" totalsRowCount="0" totalsRowShown="0">
  <x:autoFilter ref="A1:U35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51CommercialTable" displayName="EEZ851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51FunctionalTable" displayName="EEZ851FunctionalTable" ref="A1:O26" headerRowCount="1" totalsRowCount="0" totalsRowShown="0">
  <x:autoFilter ref="A1:O2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51ValidationTable" displayName="EEZ85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77ce49ed534e3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3e89e233d8e4d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1a6a93b5fb445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5269b1af5742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EEZ_851</x:v>
      </x:c>
      <x:c r="B2" s="24" t="str">
        <x:v>USA (East Coast)</x:v>
      </x:c>
      <x:c r="C2" s="24" t="str">
        <x:v>EEZ</x:v>
      </x:c>
      <x:c r="D2" s="30" t="n">
        <x:v>2019</x:v>
      </x:c>
      <x:c r="E2" s="24" t="str">
        <x:v>Clupeidae</x:v>
      </x:c>
      <x:c r="F2" s="24" t="str">
        <x:v>Herrings, sardines, menhadens</x:v>
      </x:c>
      <x:c r="G2" s="24" t="str">
        <x:v>Small pelagics (&lt;30 cm)</x:v>
      </x:c>
      <x:c r="H2" s="24" t="str">
        <x:v>Herring-likes</x:v>
      </x:c>
      <x:c r="I2" s="31" t="n">
        <x:v>196174.8512940355</x:v>
      </x:c>
      <x:c r="J2" s="31" t="n">
        <x:v>196088.1362458093</x:v>
      </x:c>
      <x:c r="K2" s="31" t="n">
        <x:v>86.7150482262</x:v>
      </x:c>
      <x:c r="L2" s="31" t="n">
        <x:v>196088.1362458093</x:v>
      </x:c>
      <x:c r="M2" s="31" t="n">
        <x:v>86.7150482262</x:v>
      </x:c>
      <x:c r="N2" s="24" t="str">
        <x:v>clupeidae</x:v>
      </x:c>
      <x:c r="O2" s="32" t="n">
        <x:v>3.16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Clupeidae</x:v>
      </x:c>
      <x:c r="T2" s="32" t="n">
        <x:f>IF(O2="","",(1/'Metadata'!$B$5)^(O2-1))</x:f>
        <x:v>144.5439770745928</x:v>
      </x:c>
      <x:c r="U2" s="31" t="n">
        <x:f>IF(T2="","",I2*T2)</x:f>
        <x:v>28355893.208056718</x:v>
      </x:c>
    </x:row>
    <x:row r="3" ht="18" customHeight="1">
      <x:c r="A3" s="24" t="str">
        <x:v>EEZ_851</x:v>
      </x:c>
      <x:c r="B3" s="24" t="str">
        <x:v>USA (East Coast)</x:v>
      </x:c>
      <x:c r="C3" s="24" t="str">
        <x:v>EEZ</x:v>
      </x:c>
      <x:c r="D3" s="30" t="n">
        <x:v>2019</x:v>
      </x:c>
      <x:c r="E3" s="24" t="str">
        <x:v>Placopecten magellanicus</x:v>
      </x:c>
      <x:c r="F3" s="24" t="str">
        <x:v>American sea scallop</x:v>
      </x:c>
      <x:c r="G3" s="24" t="str">
        <x:v>Other demersal invertebrates</x:v>
      </x:c>
      <x:c r="H3" s="24" t="str">
        <x:v>Molluscs</x:v>
      </x:c>
      <x:c r="I3" s="31" t="n">
        <x:v>85013.0114365351</x:v>
      </x:c>
      <x:c r="J3" s="31" t="n">
        <x:v>42800.6559472055</x:v>
      </x:c>
      <x:c r="K3" s="31" t="n">
        <x:v>42212.3554893296</x:v>
      </x:c>
      <x:c r="L3" s="31" t="n">
        <x:v>27525.3068505101</x:v>
      </x:c>
      <x:c r="M3" s="31" t="n">
        <x:v>57487.704586025</x:v>
      </x:c>
      <x:c r="N3" s="24" t="str">
        <x:v>placopecten magellanicus</x:v>
      </x:c>
      <x:c r="O3" s="32" t="n">
        <x:v>2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Placopecten magellanicus</x:v>
      </x:c>
      <x:c r="T3" s="32" t="n">
        <x:f>IF(O3="","",(1/'Metadata'!$B$5)^(O3-1))</x:f>
        <x:v>10</x:v>
      </x:c>
      <x:c r="U3" s="31" t="n">
        <x:f>IF(T3="","",I3*T3)</x:f>
        <x:v>850130.114365351</x:v>
      </x:c>
    </x:row>
    <x:row r="4" ht="18" customHeight="1">
      <x:c r="A4" s="24" t="str">
        <x:v>EEZ_851</x:v>
      </x:c>
      <x:c r="B4" s="24" t="str">
        <x:v>USA (East Coast)</x:v>
      </x:c>
      <x:c r="C4" s="24" t="str">
        <x:v>EEZ</x:v>
      </x:c>
      <x:c r="D4" s="30" t="n">
        <x:v>2019</x:v>
      </x:c>
      <x:c r="E4" s="24" t="str">
        <x:v>Brevoortia tyrannus</x:v>
      </x:c>
      <x:c r="F4" s="24" t="str">
        <x:v>Atlantic menhaden</x:v>
      </x:c>
      <x:c r="G4" s="24" t="str">
        <x:v>Medium pelagics (30 - 89 cm)</x:v>
      </x:c>
      <x:c r="H4" s="24" t="str">
        <x:v>Herring-likes</x:v>
      </x:c>
      <x:c r="I4" s="31" t="n">
        <x:v>79041.1743240473</x:v>
      </x:c>
      <x:c r="J4" s="31" t="n">
        <x:v>79041.1743240473</x:v>
      </x:c>
      <x:c r="K4" s="31" t="n">
        <x:v>0</x:v>
      </x:c>
      <x:c r="L4" s="31" t="n">
        <x:v>352.9355449095</x:v>
      </x:c>
      <x:c r="M4" s="31" t="n">
        <x:v>78688.2387791378</x:v>
      </x:c>
      <x:c r="N4" s="24" t="str">
        <x:v>brevoortia tyrannus</x:v>
      </x:c>
      <x:c r="O4" s="32" t="n">
        <x:v>3.23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Brevoortia tyrannus</x:v>
      </x:c>
      <x:c r="T4" s="32" t="n">
        <x:f>IF(O4="","",(1/'Metadata'!$B$5)^(O4-1))</x:f>
        <x:v>169.82436524617444</x:v>
      </x:c>
      <x:c r="U4" s="31" t="n">
        <x:f>IF(T4="","",I4*T4)</x:f>
        <x:v>13423117.257893553</x:v>
      </x:c>
    </x:row>
    <x:row r="5" ht="18" customHeight="1">
      <x:c r="A5" s="24" t="str">
        <x:v>EEZ_851</x:v>
      </x:c>
      <x:c r="B5" s="24" t="str">
        <x:v>USA (East Coast)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75866.0806275116</x:v>
      </x:c>
      <x:c r="J5" s="31" t="n">
        <x:v>59851.761770487705</x:v>
      </x:c>
      <x:c r="K5" s="31" t="n">
        <x:v>16014.318857023898</x:v>
      </x:c>
      <x:c r="L5" s="31" t="n">
        <x:v>39330.322430647604</x:v>
      </x:c>
      <x:c r="M5" s="31" t="n">
        <x:v>36535.758196864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14455983.64615558</x:v>
      </x:c>
    </x:row>
    <x:row r="6" ht="18" customHeight="1">
      <x:c r="A6" s="24" t="str">
        <x:v>EEZ_851</x:v>
      </x:c>
      <x:c r="B6" s="24" t="str">
        <x:v>USA (East Coast)</x:v>
      </x:c>
      <x:c r="C6" s="24" t="str">
        <x:v>EEZ</x:v>
      </x:c>
      <x:c r="D6" s="30" t="n">
        <x:v>2019</x:v>
      </x:c>
      <x:c r="E6" s="24" t="str">
        <x:v>Homarus americanus</x:v>
      </x:c>
      <x:c r="F6" s="24" t="str">
        <x:v>American lobster</x:v>
      </x:c>
      <x:c r="G6" s="24" t="str">
        <x:v>Lobsters, crabs</x:v>
      </x:c>
      <x:c r="H6" s="24" t="str">
        <x:v>Crustaceans</x:v>
      </x:c>
      <x:c r="I6" s="31" t="n">
        <x:v>63742.733854813</x:v>
      </x:c>
      <x:c r="J6" s="31" t="n">
        <x:v>63742.733854813</x:v>
      </x:c>
      <x:c r="K6" s="31" t="n">
        <x:v>0</x:v>
      </x:c>
      <x:c r="L6" s="31" t="n">
        <x:v>57217.232901492</x:v>
      </x:c>
      <x:c r="M6" s="31" t="n">
        <x:v>6525.500953321</x:v>
      </x:c>
      <x:c r="N6" s="24" t="str">
        <x:v>homarus americanus</x:v>
      </x:c>
      <x:c r="O6" s="32" t="n">
        <x:v>3.7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Homarus americanus</x:v>
      </x:c>
      <x:c r="T6" s="32" t="n">
        <x:f>IF(O6="","",(1/'Metadata'!$B$5)^(O6-1))</x:f>
        <x:v>501.18723362727246</x:v>
      </x:c>
      <x:c r="U6" s="31" t="n">
        <x:f>IF(T6="","",I6*T6)</x:f>
        <x:v>31947044.444533214</x:v>
      </x:c>
    </x:row>
    <x:row r="7" ht="18" customHeight="1">
      <x:c r="A7" s="24" t="str">
        <x:v>EEZ_851</x:v>
      </x:c>
      <x:c r="B7" s="24" t="str">
        <x:v>USA (East Coast)</x:v>
      </x:c>
      <x:c r="C7" s="24" t="str">
        <x:v>EEZ</x:v>
      </x:c>
      <x:c r="D7" s="30" t="n">
        <x:v>2019</x:v>
      </x:c>
      <x:c r="E7" s="24" t="str">
        <x:v>Callinectes sapidus</x:v>
      </x:c>
      <x:c r="F7" s="24" t="str">
        <x:v>Blue crab</x:v>
      </x:c>
      <x:c r="G7" s="24" t="str">
        <x:v>Lobsters, crabs</x:v>
      </x:c>
      <x:c r="H7" s="24" t="str">
        <x:v>Crustaceans</x:v>
      </x:c>
      <x:c r="I7" s="31" t="n">
        <x:v>46963.9511845628</x:v>
      </x:c>
      <x:c r="J7" s="31" t="n">
        <x:v>46624.1548579739</x:v>
      </x:c>
      <x:c r="K7" s="31" t="n">
        <x:v>339.7963265889</x:v>
      </x:c>
      <x:c r="L7" s="31" t="n">
        <x:v>45093.039156146304</x:v>
      </x:c>
      <x:c r="M7" s="31" t="n">
        <x:v>1870.9120284165</x:v>
      </x:c>
      <x:c r="N7" s="24" t="str">
        <x:v>callinectes sapidus</x:v>
      </x:c>
      <x:c r="O7" s="32" t="n">
        <x:v>4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Callinectes sapidus</x:v>
      </x:c>
      <x:c r="T7" s="32" t="n">
        <x:f>IF(O7="","",(1/'Metadata'!$B$5)^(O7-1))</x:f>
        <x:v>1000</x:v>
      </x:c>
      <x:c r="U7" s="31" t="n">
        <x:f>IF(T7="","",I7*T7)</x:f>
        <x:v>46963951.1845628</x:v>
      </x:c>
    </x:row>
    <x:row r="8" ht="18" customHeight="1">
      <x:c r="A8" s="24" t="str">
        <x:v>EEZ_851</x:v>
      </x:c>
      <x:c r="B8" s="24" t="str">
        <x:v>USA (East Coast)</x:v>
      </x:c>
      <x:c r="C8" s="24" t="str">
        <x:v>EEZ</x:v>
      </x:c>
      <x:c r="D8" s="30" t="n">
        <x:v>2019</x:v>
      </x:c>
      <x:c r="E8" s="24" t="str">
        <x:v>Illex illecebrosus</x:v>
      </x:c>
      <x:c r="F8" s="24" t="str">
        <x:v>Northern shortfin squid</x:v>
      </x:c>
      <x:c r="G8" s="24" t="str">
        <x:v>Cephalopods</x:v>
      </x:c>
      <x:c r="H8" s="24" t="str">
        <x:v>Other fishes &amp; inverts</x:v>
      </x:c>
      <x:c r="I8" s="31" t="n">
        <x:v>27173.134174823</x:v>
      </x:c>
      <x:c r="J8" s="31" t="n">
        <x:v>27173.134174823</x:v>
      </x:c>
      <x:c r="K8" s="31" t="n">
        <x:v>0</x:v>
      </x:c>
      <x:c r="L8" s="31" t="n">
        <x:v>26397.3759652699</x:v>
      </x:c>
      <x:c r="M8" s="31" t="n">
        <x:v>775.7582095531</x:v>
      </x:c>
      <x:c r="N8" s="24" t="str">
        <x:v>illex illecebrosus</x:v>
      </x:c>
      <x:c r="O8" s="32" t="n">
        <x:v>3.98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Illex illecebrosus</x:v>
      </x:c>
      <x:c r="T8" s="32" t="n">
        <x:f>IF(O8="","",(1/'Metadata'!$B$5)^(O8-1))</x:f>
        <x:v>954.992586021436</x:v>
      </x:c>
      <x:c r="U8" s="31" t="n">
        <x:f>IF(T8="","",I8*T8)</x:f>
        <x:v>25950141.675921675</x:v>
      </x:c>
    </x:row>
    <x:row r="9" ht="18" customHeight="1">
      <x:c r="A9" s="24" t="str">
        <x:v>EEZ_851</x:v>
      </x:c>
      <x:c r="B9" s="24" t="str">
        <x:v>USA (East Coast)</x:v>
      </x:c>
      <x:c r="C9" s="24" t="str">
        <x:v>EEZ</x:v>
      </x:c>
      <x:c r="D9" s="30" t="n">
        <x:v>2019</x:v>
      </x:c>
      <x:c r="E9" s="24" t="str">
        <x:v>Spisula solidissima</x:v>
      </x:c>
      <x:c r="F9" s="24" t="str">
        <x:v>Atlantic surf clam</x:v>
      </x:c>
      <x:c r="G9" s="24" t="str">
        <x:v>Other demersal invertebrates</x:v>
      </x:c>
      <x:c r="H9" s="24" t="str">
        <x:v>Molluscs</x:v>
      </x:c>
      <x:c r="I9" s="31" t="n">
        <x:v>27143.596595649302</x:v>
      </x:c>
      <x:c r="J9" s="31" t="n">
        <x:v>23796.4762320578</x:v>
      </x:c>
      <x:c r="K9" s="31" t="n">
        <x:v>3347.1203635915</x:v>
      </x:c>
      <x:c r="L9" s="31" t="n">
        <x:v>15586.491549800001</x:v>
      </x:c>
      <x:c r="M9" s="31" t="n">
        <x:v>11557.1050458493</x:v>
      </x:c>
      <x:c r="N9" s="24" t="str">
        <x:v>spisula solidissima</x:v>
      </x:c>
      <x:c r="O9" s="32" t="n">
        <x:v>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Spisula solidissima</x:v>
      </x:c>
      <x:c r="T9" s="32" t="n">
        <x:f>IF(O9="","",(1/'Metadata'!$B$5)^(O9-1))</x:f>
        <x:v>10</x:v>
      </x:c>
      <x:c r="U9" s="31" t="n">
        <x:f>IF(T9="","",I9*T9)</x:f>
        <x:v>271435.96595649305</x:v>
      </x:c>
    </x:row>
    <x:row r="10" ht="18" customHeight="1">
      <x:c r="A10" s="24" t="str">
        <x:v>EEZ_851</x:v>
      </x:c>
      <x:c r="B10" s="24" t="str">
        <x:v>USA (East Coast)</x:v>
      </x:c>
      <x:c r="C10" s="24" t="str">
        <x:v>EEZ</x:v>
      </x:c>
      <x:c r="D10" s="30" t="n">
        <x:v>2019</x:v>
      </x:c>
      <x:c r="E10" s="24" t="str">
        <x:v>Doryteuthis pealeii</x:v>
      </x:c>
      <x:c r="F10" s="24" t="str">
        <x:v>Longfin inshore squid</x:v>
      </x:c>
      <x:c r="G10" s="24" t="str">
        <x:v>Cephalopods</x:v>
      </x:c>
      <x:c r="H10" s="24" t="str">
        <x:v>Other fishes &amp; inverts</x:v>
      </x:c>
      <x:c r="I10" s="31" t="n">
        <x:v>19018.4903987827</x:v>
      </x:c>
      <x:c r="J10" s="31" t="n">
        <x:v>15411.800587166399</x:v>
      </x:c>
      <x:c r="K10" s="31" t="n">
        <x:v>3606.6898116163</x:v>
      </x:c>
      <x:c r="L10" s="31" t="n">
        <x:v>12444.7569197037</x:v>
      </x:c>
      <x:c r="M10" s="31" t="n">
        <x:v>6573.733479079</x:v>
      </x:c>
      <x:c r="N10" s="24" t="str">
        <x:v>doryteuthis pealeii</x:v>
      </x:c>
      <x:c r="O10" s="32" t="n">
        <x:v>3.41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Doryteuthis pealeii</x:v>
      </x:c>
      <x:c r="T10" s="32" t="n">
        <x:f>IF(O10="","",(1/'Metadata'!$B$5)^(O10-1))</x:f>
        <x:v>257.03957827688646</x:v>
      </x:c>
      <x:c r="U10" s="31" t="n">
        <x:f>IF(T10="","",I10*T10)</x:f>
        <x:v>4888504.751566119</x:v>
      </x:c>
    </x:row>
    <x:row r="11" ht="18" customHeight="1">
      <x:c r="A11" s="24" t="str">
        <x:v>EEZ_851</x:v>
      </x:c>
      <x:c r="B11" s="24" t="str">
        <x:v>USA (East Coast)</x:v>
      </x:c>
      <x:c r="C11" s="24" t="str">
        <x:v>EEZ</x:v>
      </x:c>
      <x:c r="D11" s="30" t="n">
        <x:v>2019</x:v>
      </x:c>
      <x:c r="E11" s="24" t="str">
        <x:v>Clupea harengus</x:v>
      </x:c>
      <x:c r="F11" s="24" t="str">
        <x:v>Atlantic herring</x:v>
      </x:c>
      <x:c r="G11" s="24" t="str">
        <x:v>Medium pelagics (30 - 89 cm)</x:v>
      </x:c>
      <x:c r="H11" s="24" t="str">
        <x:v>Herring-likes</x:v>
      </x:c>
      <x:c r="I11" s="31" t="n">
        <x:v>18953.9735213833</x:v>
      </x:c>
      <x:c r="J11" s="31" t="n">
        <x:v>18539.015440500898</x:v>
      </x:c>
      <x:c r="K11" s="31" t="n">
        <x:v>414.95808088240005</x:v>
      </x:c>
      <x:c r="L11" s="31" t="n">
        <x:v>11219.7614438552</x:v>
      </x:c>
      <x:c r="M11" s="31" t="n">
        <x:v>7734.2120775281</x:v>
      </x:c>
      <x:c r="N11" s="24" t="str">
        <x:v>clupea harengus</x:v>
      </x:c>
      <x:c r="O11" s="32" t="n">
        <x:v>3.38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Clupea harengus</x:v>
      </x:c>
      <x:c r="T11" s="32" t="n">
        <x:f>IF(O11="","",(1/'Metadata'!$B$5)^(O11-1))</x:f>
        <x:v>239.88329190194898</x:v>
      </x:c>
      <x:c r="U11" s="31" t="n">
        <x:f>IF(T11="","",I11*T11)</x:f>
        <x:v>4546741.562931802</x:v>
      </x:c>
    </x:row>
    <x:row r="12" ht="18" customHeight="1">
      <x:c r="A12" s="24" t="str">
        <x:v>EEZ_851</x:v>
      </x:c>
      <x:c r="B12" s="24" t="str">
        <x:v>USA (East Coast)</x:v>
      </x:c>
      <x:c r="C12" s="24" t="str">
        <x:v>EEZ</x:v>
      </x:c>
      <x:c r="D12" s="30" t="n">
        <x:v>2019</x:v>
      </x:c>
      <x:c r="E12" s="24" t="str">
        <x:v>Squalus acanthias</x:v>
      </x:c>
      <x:c r="F12" s="24" t="str">
        <x:v>Picked dogfish</x:v>
      </x:c>
      <x:c r="G12" s="24" t="str">
        <x:v>Large sharks (&gt;=90 cm)</x:v>
      </x:c>
      <x:c r="H12" s="24" t="str">
        <x:v>Sharks &amp; rays</x:v>
      </x:c>
      <x:c r="I12" s="31" t="n">
        <x:v>17422.5318564946</x:v>
      </x:c>
      <x:c r="J12" s="31" t="n">
        <x:v>9120.446569783298</x:v>
      </x:c>
      <x:c r="K12" s="31" t="n">
        <x:v>8302.0852867113</x:v>
      </x:c>
      <x:c r="L12" s="31" t="n">
        <x:v>7322.320400410199</x:v>
      </x:c>
      <x:c r="M12" s="31" t="n">
        <x:v>10100.2114560844</x:v>
      </x:c>
      <x:c r="N12" s="24" t="str">
        <x:v>squalus acanthias</x:v>
      </x:c>
      <x:c r="O12" s="32" t="n">
        <x:v>4.37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Squalus acanthias</x:v>
      </x:c>
      <x:c r="T12" s="32" t="n">
        <x:f>IF(O12="","",(1/'Metadata'!$B$5)^(O12-1))</x:f>
        <x:v>2344.228815319923</x:v>
      </x:c>
      <x:c r="U12" s="31" t="n">
        <x:f>IF(T12="","",I12*T12)</x:f>
        <x:v>40842401.21382395</x:v>
      </x:c>
    </x:row>
    <x:row r="13" ht="18" customHeight="1">
      <x:c r="A13" s="24" t="str">
        <x:v>EEZ_851</x:v>
      </x:c>
      <x:c r="B13" s="24" t="str">
        <x:v>USA (East Coast)</x:v>
      </x:c>
      <x:c r="C13" s="24" t="str">
        <x:v>EEZ</x:v>
      </x:c>
      <x:c r="D13" s="30" t="n">
        <x:v>2019</x:v>
      </x:c>
      <x:c r="E13" s="24" t="str">
        <x:v>Stenotomus chrysops</x:v>
      </x:c>
      <x:c r="F13" s="24" t="str">
        <x:v>Scup</x:v>
      </x:c>
      <x:c r="G13" s="24" t="str">
        <x:v>Medium demersals (30 - 89 cm)</x:v>
      </x:c>
      <x:c r="H13" s="24" t="str">
        <x:v>Perch-likes</x:v>
      </x:c>
      <x:c r="I13" s="31" t="n">
        <x:v>14622.6536820916</x:v>
      </x:c>
      <x:c r="J13" s="31" t="n">
        <x:v>13669.0516683111</x:v>
      </x:c>
      <x:c r="K13" s="31" t="n">
        <x:v>953.6020137805</x:v>
      </x:c>
      <x:c r="L13" s="31" t="n">
        <x:v>6148.9567366398</x:v>
      </x:c>
      <x:c r="M13" s="31" t="n">
        <x:v>8473.6969454518</x:v>
      </x:c>
      <x:c r="N13" s="24" t="str">
        <x:v>stenotomus chrysops</x:v>
      </x:c>
      <x:c r="O13" s="32" t="n">
        <x:v>3.82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Stenotomus chrysops</x:v>
      </x:c>
      <x:c r="T13" s="32" t="n">
        <x:f>IF(O13="","",(1/'Metadata'!$B$5)^(O13-1))</x:f>
        <x:v>660.6934480075957</x:v>
      </x:c>
      <x:c r="U13" s="31" t="n">
        <x:f>IF(T13="","",I13*T13)</x:f>
        <x:v>9661091.480242066</x:v>
      </x:c>
    </x:row>
    <x:row r="14" ht="18" customHeight="1">
      <x:c r="A14" s="24" t="str">
        <x:v>EEZ_851</x:v>
      </x:c>
      <x:c r="B14" s="24" t="str">
        <x:v>USA (East Coast)</x:v>
      </x:c>
      <x:c r="C14" s="24" t="str">
        <x:v>EEZ</x:v>
      </x:c>
      <x:c r="D14" s="30" t="n">
        <x:v>2019</x:v>
      </x:c>
      <x:c r="E14" s="24" t="str">
        <x:v>Marine finfishes not identified</x:v>
      </x:c>
      <x:c r="F14" s="24" t="str">
        <x:v>Finfishes</x:v>
      </x:c>
      <x:c r="G14" s="24" t="str">
        <x:v>Medium demersals (30 - 89 cm)</x:v>
      </x:c>
      <x:c r="H14" s="24" t="str">
        <x:v>Other fishes &amp; inverts</x:v>
      </x:c>
      <x:c r="I14" s="31" t="n">
        <x:v>13502.7316269851</x:v>
      </x:c>
      <x:c r="J14" s="31" t="n">
        <x:v>9304.1909887562</x:v>
      </x:c>
      <x:c r="K14" s="31" t="n">
        <x:v>4198.5406382289</x:v>
      </x:c>
      <x:c r="L14" s="31" t="n">
        <x:v>0</x:v>
      </x:c>
      <x:c r="M14" s="31" t="n">
        <x:v>13502.7316269851</x:v>
      </x:c>
      <x:c r="N14" s="24" t="str">
        <x:v>marine finfishes not identified</x:v>
      </x:c>
      <x:c r="O14" s="32" t="n">
        <x:v>3.23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Marine finfishes not identified</x:v>
      </x:c>
      <x:c r="T14" s="32" t="n">
        <x:f>IF(O14="","",(1/'Metadata'!$B$5)^(O14-1))</x:f>
        <x:v>169.82436524617444</x:v>
      </x:c>
      <x:c r="U14" s="31" t="n">
        <x:f>IF(T14="","",I14*T14)</x:f>
        <x:v>2293092.827642189</x:v>
      </x:c>
    </x:row>
    <x:row r="15" ht="18" customHeight="1">
      <x:c r="A15" s="24" t="str">
        <x:v>EEZ_851</x:v>
      </x:c>
      <x:c r="B15" s="24" t="str">
        <x:v>USA (East Coast)</x:v>
      </x:c>
      <x:c r="C15" s="24" t="str">
        <x:v>EEZ</x:v>
      </x:c>
      <x:c r="D15" s="30" t="n">
        <x:v>2019</x:v>
      </x:c>
      <x:c r="E15" s="24" t="str">
        <x:v>Pomatomus saltatrix</x:v>
      </x:c>
      <x:c r="F15" s="24" t="str">
        <x:v>Bluefish</x:v>
      </x:c>
      <x:c r="G15" s="24" t="str">
        <x:v>Large pelagics (&gt;=90 cm)</x:v>
      </x:c>
      <x:c r="H15" s="24" t="str">
        <x:v>Perch-likes</x:v>
      </x:c>
      <x:c r="I15" s="31" t="n">
        <x:v>13377.517486335699</x:v>
      </x:c>
      <x:c r="J15" s="31" t="n">
        <x:v>10988.4554007213</x:v>
      </x:c>
      <x:c r="K15" s="31" t="n">
        <x:v>2389.0620856144</x:v>
      </x:c>
      <x:c r="L15" s="31" t="n">
        <x:v>1378.1554190378001</x:v>
      </x:c>
      <x:c r="M15" s="31" t="n">
        <x:v>11999.3620672979</x:v>
      </x:c>
      <x:c r="N15" s="24" t="str">
        <x:v>pomatomus saltatrix</x:v>
      </x:c>
      <x:c r="O15" s="32" t="n">
        <x:v>4.53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Pomatomus saltatrix</x:v>
      </x:c>
      <x:c r="T15" s="32" t="n">
        <x:f>IF(O15="","",(1/'Metadata'!$B$5)^(O15-1))</x:f>
        <x:v>3388.4415613920273</x:v>
      </x:c>
      <x:c r="U15" s="31" t="n">
        <x:f>IF(T15="","",I15*T15)</x:f>
        <x:v>45328936.23894849</x:v>
      </x:c>
    </x:row>
    <x:row r="16" ht="18" customHeight="1">
      <x:c r="A16" s="24" t="str">
        <x:v>EEZ_851</x:v>
      </x:c>
      <x:c r="B16" s="24" t="str">
        <x:v>USA (East Coast)</x:v>
      </x:c>
      <x:c r="C16" s="24" t="str">
        <x:v>EEZ</x:v>
      </x:c>
      <x:c r="D16" s="30" t="n">
        <x:v>2019</x:v>
      </x:c>
      <x:c r="E16" s="24" t="str">
        <x:v>Arctica islandica</x:v>
      </x:c>
      <x:c r="F16" s="24" t="str">
        <x:v>Ocean quahog</x:v>
      </x:c>
      <x:c r="G16" s="24" t="str">
        <x:v>Other demersal invertebrates</x:v>
      </x:c>
      <x:c r="H16" s="24" t="str">
        <x:v>Molluscs</x:v>
      </x:c>
      <x:c r="I16" s="31" t="n">
        <x:v>13236.8357356851</x:v>
      </x:c>
      <x:c r="J16" s="31" t="n">
        <x:v>13236.8357356851</x:v>
      </x:c>
      <x:c r="K16" s="31" t="n">
        <x:v>0</x:v>
      </x:c>
      <x:c r="L16" s="31" t="n">
        <x:v>5126.949316</x:v>
      </x:c>
      <x:c r="M16" s="31" t="n">
        <x:v>8109.8864196851</x:v>
      </x:c>
      <x:c r="N16" s="24" t="str">
        <x:v>arctica islandica</x:v>
      </x:c>
      <x:c r="O16" s="32" t="n">
        <x:v>2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Arctica islandica</x:v>
      </x:c>
      <x:c r="T16" s="32" t="n">
        <x:f>IF(O16="","",(1/'Metadata'!$B$5)^(O16-1))</x:f>
        <x:v>10</x:v>
      </x:c>
      <x:c r="U16" s="31" t="n">
        <x:f>IF(T16="","",I16*T16)</x:f>
        <x:v>132368.357356851</x:v>
      </x:c>
    </x:row>
    <x:row r="17" ht="18" customHeight="1">
      <x:c r="A17" s="24" t="str">
        <x:v>EEZ_851</x:v>
      </x:c>
      <x:c r="B17" s="24" t="str">
        <x:v>USA (East Coast)</x:v>
      </x:c>
      <x:c r="C17" s="24" t="str">
        <x:v>EEZ</x:v>
      </x:c>
      <x:c r="D17" s="30" t="n">
        <x:v>2019</x:v>
      </x:c>
      <x:c r="E17" s="24" t="str">
        <x:v>Morone saxatilis</x:v>
      </x:c>
      <x:c r="F17" s="24" t="str">
        <x:v>Striped bass</x:v>
      </x:c>
      <x:c r="G17" s="24" t="str">
        <x:v>Large demersals (&gt;=90 cm)</x:v>
      </x:c>
      <x:c r="H17" s="24" t="str">
        <x:v>Perch-likes</x:v>
      </x:c>
      <x:c r="I17" s="31" t="n">
        <x:v>12973.988650351099</x:v>
      </x:c>
      <x:c r="J17" s="31" t="n">
        <x:v>12973.988650351099</x:v>
      </x:c>
      <x:c r="K17" s="31" t="n">
        <x:v>0</x:v>
      </x:c>
      <x:c r="L17" s="31" t="n">
        <x:v>2034.4095580131998</x:v>
      </x:c>
      <x:c r="M17" s="31" t="n">
        <x:v>10939.579092337899</x:v>
      </x:c>
      <x:c r="N17" s="24" t="str">
        <x:v>morone saxatilis</x:v>
      </x:c>
      <x:c r="O17" s="32" t="n">
        <x:v>4.65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Morone saxatilis</x:v>
      </x:c>
      <x:c r="T17" s="32" t="n">
        <x:f>IF(O17="","",(1/'Metadata'!$B$5)^(O17-1))</x:f>
        <x:v>4466.835921509635</x:v>
      </x:c>
      <x:c r="U17" s="31" t="n">
        <x:f>IF(T17="","",I17*T17)</x:f>
        <x:v>57952678.5486466</x:v>
      </x:c>
    </x:row>
    <x:row r="18" ht="18" customHeight="1">
      <x:c r="A18" s="24" t="str">
        <x:v>EEZ_851</x:v>
      </x:c>
      <x:c r="B18" s="24" t="str">
        <x:v>USA (East Coast)</x:v>
      </x:c>
      <x:c r="C18" s="24" t="str">
        <x:v>EEZ</x:v>
      </x:c>
      <x:c r="D18" s="30" t="n">
        <x:v>2019</x:v>
      </x:c>
      <x:c r="E18" s="24" t="str">
        <x:v>Crassostrea virginica</x:v>
      </x:c>
      <x:c r="F18" s="24" t="str">
        <x:v>American cupped oyster</x:v>
      </x:c>
      <x:c r="G18" s="24" t="str">
        <x:v>Other demersal invertebrates</x:v>
      </x:c>
      <x:c r="H18" s="24" t="str">
        <x:v>Molluscs</x:v>
      </x:c>
      <x:c r="I18" s="31" t="n">
        <x:v>12562.6665236693</x:v>
      </x:c>
      <x:c r="J18" s="31" t="n">
        <x:v>11910.4033124126</x:v>
      </x:c>
      <x:c r="K18" s="31" t="n">
        <x:v>652.2632112567001</x:v>
      </x:c>
      <x:c r="L18" s="31" t="n">
        <x:v>2840.8700814521</x:v>
      </x:c>
      <x:c r="M18" s="31" t="n">
        <x:v>9721.7964422172</x:v>
      </x:c>
      <x:c r="N18" s="24" t="str">
        <x:v>crassostrea virginica</x:v>
      </x:c>
      <x:c r="O18" s="32" t="n">
        <x:v>2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Crassostrea virginica</x:v>
      </x:c>
      <x:c r="T18" s="32" t="n">
        <x:f>IF(O18="","",(1/'Metadata'!$B$5)^(O18-1))</x:f>
        <x:v>10</x:v>
      </x:c>
      <x:c r="U18" s="31" t="n">
        <x:f>IF(T18="","",I18*T18)</x:f>
        <x:v>125626.665236693</x:v>
      </x:c>
    </x:row>
    <x:row r="19" ht="18" customHeight="1">
      <x:c r="A19" s="24" t="str">
        <x:v>EEZ_851</x:v>
      </x:c>
      <x:c r="B19" s="24" t="str">
        <x:v>USA (East Coast)</x:v>
      </x:c>
      <x:c r="C19" s="24" t="str">
        <x:v>EEZ</x:v>
      </x:c>
      <x:c r="D19" s="30" t="n">
        <x:v>2019</x:v>
      </x:c>
      <x:c r="E19" s="24" t="str">
        <x:v>Bivalvia</x:v>
      </x:c>
      <x:c r="F19" s="24" t="str">
        <x:v>Clams</x:v>
      </x:c>
      <x:c r="G19" s="24" t="str">
        <x:v>Other demersal invertebrates</x:v>
      </x:c>
      <x:c r="H19" s="24" t="str">
        <x:v>Molluscs</x:v>
      </x:c>
      <x:c r="I19" s="31" t="n">
        <x:v>11349.0517431181</x:v>
      </x:c>
      <x:c r="J19" s="31" t="n">
        <x:v>6639.9584034656</x:v>
      </x:c>
      <x:c r="K19" s="31" t="n">
        <x:v>4709.0933396525</x:v>
      </x:c>
      <x:c r="L19" s="31" t="n">
        <x:v>0</x:v>
      </x:c>
      <x:c r="M19" s="31" t="n">
        <x:v>11349.0517431181</x:v>
      </x:c>
      <x:c r="N19" s="24" t="str">
        <x:v>bivalvia</x:v>
      </x:c>
      <x:c r="O19" s="32" t="n">
        <x:v>2.23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Bivalvia</x:v>
      </x:c>
      <x:c r="T19" s="32" t="n">
        <x:f>IF(O19="","",(1/'Metadata'!$B$5)^(O19-1))</x:f>
        <x:v>16.982436524617444</x:v>
      </x:c>
      <x:c r="U19" s="31" t="n">
        <x:f>IF(T19="","",I19*T19)</x:f>
        <x:v>192734.5508421021</x:v>
      </x:c>
    </x:row>
    <x:row r="20" ht="18" customHeight="1">
      <x:c r="A20" s="24" t="str">
        <x:v>EEZ_851</x:v>
      </x:c>
      <x:c r="B20" s="24" t="str">
        <x:v>USA (East Coast)</x:v>
      </x:c>
      <x:c r="C20" s="24" t="str">
        <x:v>EEZ</x:v>
      </x:c>
      <x:c r="D20" s="30" t="n">
        <x:v>2019</x:v>
      </x:c>
      <x:c r="E20" s="24" t="str">
        <x:v>Melanogrammus aeglefinus</x:v>
      </x:c>
      <x:c r="F20" s="24" t="str">
        <x:v>Haddock</x:v>
      </x:c>
      <x:c r="G20" s="24" t="str">
        <x:v>Medium demersals (30 - 89 cm)</x:v>
      </x:c>
      <x:c r="H20" s="24" t="str">
        <x:v>Cod-likes</x:v>
      </x:c>
      <x:c r="I20" s="31" t="n">
        <x:v>11125.2388090603</x:v>
      </x:c>
      <x:c r="J20" s="31" t="n">
        <x:v>11046.4747400928</x:v>
      </x:c>
      <x:c r="K20" s="31" t="n">
        <x:v>78.7640689675</x:v>
      </x:c>
      <x:c r="L20" s="31" t="n">
        <x:v>8715.4026545234</x:v>
      </x:c>
      <x:c r="M20" s="31" t="n">
        <x:v>2409.8361545369</x:v>
      </x:c>
      <x:c r="N20" s="24" t="str">
        <x:v>melanogrammus aeglefinus</x:v>
      </x:c>
      <x:c r="O20" s="32" t="n">
        <x:v>4.03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Melanogrammus aeglefinus</x:v>
      </x:c>
      <x:c r="T20" s="32" t="n">
        <x:f>IF(O20="","",(1/'Metadata'!$B$5)^(O20-1))</x:f>
        <x:v>1071.519305237607</x:v>
      </x:c>
      <x:c r="U20" s="31" t="n">
        <x:f>IF(T20="","",I20*T20)</x:f>
        <x:v>11920908.159286756</x:v>
      </x:c>
    </x:row>
    <x:row r="21" ht="18" customHeight="1">
      <x:c r="A21" s="24" t="str">
        <x:v>EEZ_851</x:v>
      </x:c>
      <x:c r="B21" s="24" t="str">
        <x:v>USA (East Coast)</x:v>
      </x:c>
      <x:c r="C21" s="24" t="str">
        <x:v>EEZ</x:v>
      </x:c>
      <x:c r="D21" s="30" t="n">
        <x:v>2019</x:v>
      </x:c>
      <x:c r="E21" s="24" t="str">
        <x:v>Lophius americanus</x:v>
      </x:c>
      <x:c r="F21" s="24" t="str">
        <x:v>American angler</x:v>
      </x:c>
      <x:c r="G21" s="24" t="str">
        <x:v>Large demersals (&gt;=90 cm)</x:v>
      </x:c>
      <x:c r="H21" s="24" t="str">
        <x:v>Other fishes &amp; inverts</x:v>
      </x:c>
      <x:c r="I21" s="31" t="n">
        <x:v>10431.142781139999</x:v>
      </x:c>
      <x:c r="J21" s="31" t="n">
        <x:v>10431.142781139999</x:v>
      </x:c>
      <x:c r="K21" s="31" t="n">
        <x:v>0</x:v>
      </x:c>
      <x:c r="L21" s="31" t="n">
        <x:v>10431.142781139999</x:v>
      </x:c>
      <x:c r="M21" s="31" t="n">
        <x:v>0</x:v>
      </x:c>
      <x:c r="N21" s="24" t="str">
        <x:v>lophius americanus</x:v>
      </x:c>
      <x:c r="O21" s="32" t="n">
        <x:v>4.51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Lophius americanus</x:v>
      </x:c>
      <x:c r="T21" s="32" t="n">
        <x:f>IF(O21="","",(1/'Metadata'!$B$5)^(O21-1))</x:f>
        <x:v>3235.936569296281</x:v>
      </x:c>
      <x:c r="U21" s="31" t="n">
        <x:f>IF(T21="","",I21*T21)</x:f>
        <x:v>33754516.38504183</x:v>
      </x:c>
    </x:row>
    <x:row r="22" ht="18" customHeight="1">
      <x:c r="A22" s="24" t="str">
        <x:v>EEZ_851</x:v>
      </x:c>
      <x:c r="B22" s="24" t="str">
        <x:v>USA (East Coast)</x:v>
      </x:c>
      <x:c r="C22" s="24" t="str">
        <x:v>EEZ</x:v>
      </x:c>
      <x:c r="D22" s="30" t="n">
        <x:v>2019</x:v>
      </x:c>
      <x:c r="E22" s="24" t="str">
        <x:v>Micropogonias undulatus</x:v>
      </x:c>
      <x:c r="F22" s="24" t="str">
        <x:v>Atlantic croaker</x:v>
      </x:c>
      <x:c r="G22" s="24" t="str">
        <x:v>Medium demersals (30 - 89 cm)</x:v>
      </x:c>
      <x:c r="H22" s="24" t="str">
        <x:v>Perch-likes</x:v>
      </x:c>
      <x:c r="I22" s="31" t="n">
        <x:v>10191.6665685061</x:v>
      </x:c>
      <x:c r="J22" s="31" t="n">
        <x:v>2001.2080935135</x:v>
      </x:c>
      <x:c r="K22" s="31" t="n">
        <x:v>8190.4584749926</x:v>
      </x:c>
      <x:c r="L22" s="31" t="n">
        <x:v>1024.4581832997999</x:v>
      </x:c>
      <x:c r="M22" s="31" t="n">
        <x:v>9167.2083852063</x:v>
      </x:c>
      <x:c r="N22" s="24" t="str">
        <x:v>micropogonias undulatus</x:v>
      </x:c>
      <x:c r="O22" s="32" t="n">
        <x:v>3.31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Micropogonias undulatus</x:v>
      </x:c>
      <x:c r="T22" s="32" t="n">
        <x:f>IF(O22="","",(1/'Metadata'!$B$5)^(O22-1))</x:f>
        <x:v>204.17379446695296</x:v>
      </x:c>
      <x:c r="U22" s="31" t="n">
        <x:f>IF(T22="","",I22*T22)</x:f>
        <x:v>2080871.23523388</x:v>
      </x:c>
    </x:row>
    <x:row r="23" ht="18" customHeight="1">
      <x:c r="A23" s="24" t="str">
        <x:v>EEZ_851</x:v>
      </x:c>
      <x:c r="B23" s="24" t="str">
        <x:v>USA (East Coast)</x:v>
      </x:c>
      <x:c r="C23" s="24" t="str">
        <x:v>EEZ</x:v>
      </x:c>
      <x:c r="D23" s="30" t="n">
        <x:v>2019</x:v>
      </x:c>
      <x:c r="E23" s="24" t="str">
        <x:v>Penaeus setiferus</x:v>
      </x:c>
      <x:c r="F23" s="24" t="str">
        <x:v>Northern white shrimp</x:v>
      </x:c>
      <x:c r="G23" s="24" t="str">
        <x:v>Shrimps</x:v>
      </x:c>
      <x:c r="H23" s="24" t="str">
        <x:v>Crustaceans</x:v>
      </x:c>
      <x:c r="I23" s="31" t="n">
        <x:v>9905.6730253551</x:v>
      </x:c>
      <x:c r="J23" s="31" t="n">
        <x:v>9905.6730253551</x:v>
      </x:c>
      <x:c r="K23" s="31" t="n">
        <x:v>0</x:v>
      </x:c>
      <x:c r="L23" s="31" t="n">
        <x:v>9876.826846</x:v>
      </x:c>
      <x:c r="M23" s="31" t="n">
        <x:v>28.846179355100002</x:v>
      </x:c>
      <x:c r="N23" s="24" t="str">
        <x:v>penaeus setiferus</x:v>
      </x:c>
      <x:c r="O23" s="32" t="n">
        <x:v>2.93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Penaeus setiferus</x:v>
      </x:c>
      <x:c r="T23" s="32" t="n">
        <x:f>IF(O23="","",(1/'Metadata'!$B$5)^(O23-1))</x:f>
        <x:v>85.11380382023768</x:v>
      </x:c>
      <x:c r="U23" s="31" t="n">
        <x:f>IF(T23="","",I23*T23)</x:f>
        <x:v>843109.5105874942</x:v>
      </x:c>
    </x:row>
    <x:row r="24" ht="18" customHeight="1">
      <x:c r="A24" s="24" t="str">
        <x:v>EEZ_851</x:v>
      </x:c>
      <x:c r="B24" s="24" t="str">
        <x:v>USA (East Coast)</x:v>
      </x:c>
      <x:c r="C24" s="24" t="str">
        <x:v>EEZ</x:v>
      </x:c>
      <x:c r="D24" s="30" t="n">
        <x:v>2019</x:v>
      </x:c>
      <x:c r="E24" s="24" t="str">
        <x:v>Dendrobranchiata</x:v>
      </x:c>
      <x:c r="F24" s="24" t="str">
        <x:v>Shrimps and prawns</x:v>
      </x:c>
      <x:c r="G24" s="24" t="str">
        <x:v>Shrimps</x:v>
      </x:c>
      <x:c r="H24" s="24" t="str">
        <x:v>Crustaceans</x:v>
      </x:c>
      <x:c r="I24" s="31" t="n">
        <x:v>9004.650687950201</x:v>
      </x:c>
      <x:c r="J24" s="31" t="n">
        <x:v>9004.650687950201</x:v>
      </x:c>
      <x:c r="K24" s="31" t="n">
        <x:v>0</x:v>
      </x:c>
      <x:c r="L24" s="31" t="n">
        <x:v>9004.650687950201</x:v>
      </x:c>
      <x:c r="M24" s="31" t="n">
        <x:v>0</x:v>
      </x:c>
      <x:c r="N24" s="24" t="str">
        <x:v>dendrobranchiata</x:v>
      </x:c>
      <x:c r="O24" s="32" t="n">
        <x:v>3.24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Dendrobranchiata</x:v>
      </x:c>
      <x:c r="T24" s="32" t="n">
        <x:f>IF(O24="","",(1/'Metadata'!$B$5)^(O24-1))</x:f>
        <x:v>173.78008287493762</x:v>
      </x:c>
      <x:c r="U24" s="31" t="n">
        <x:f>IF(T24="","",I24*T24)</x:f>
        <x:v>1564828.94281185</x:v>
      </x:c>
    </x:row>
    <x:row r="25" ht="18" customHeight="1">
      <x:c r="A25" s="24" t="str">
        <x:v>EEZ_851</x:v>
      </x:c>
      <x:c r="B25" s="24" t="str">
        <x:v>USA (East Coast)</x:v>
      </x:c>
      <x:c r="C25" s="24" t="str">
        <x:v>EEZ</x:v>
      </x:c>
      <x:c r="D25" s="30" t="n">
        <x:v>2019</x:v>
      </x:c>
      <x:c r="E25" s="24" t="str">
        <x:v>Rajidae</x:v>
      </x:c>
      <x:c r="F25" s="24" t="str">
        <x:v>Stingrays</x:v>
      </x:c>
      <x:c r="G25" s="24" t="str">
        <x:v>Large rays (&gt;=90 cm)</x:v>
      </x:c>
      <x:c r="H25" s="24" t="str">
        <x:v>Sharks &amp; rays</x:v>
      </x:c>
      <x:c r="I25" s="31" t="n">
        <x:v>8336.0073237689</x:v>
      </x:c>
      <x:c r="J25" s="31" t="n">
        <x:v>8320.959167483099</x:v>
      </x:c>
      <x:c r="K25" s="31" t="n">
        <x:v>15.048156285800001</x:v>
      </x:c>
      <x:c r="L25" s="31" t="n">
        <x:v>8320.9060972191</x:v>
      </x:c>
      <x:c r="M25" s="31" t="n">
        <x:v>15.1012265498</x:v>
      </x:c>
      <x:c r="N25" s="24" t="str">
        <x:v>rajidae</x:v>
      </x:c>
      <x:c r="O25" s="32" t="n">
        <x:v>3.82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Rajidae</x:v>
      </x:c>
      <x:c r="T25" s="32" t="n">
        <x:f>IF(O25="","",(1/'Metadata'!$B$5)^(O25-1))</x:f>
        <x:v>660.6934480075957</x:v>
      </x:c>
      <x:c r="U25" s="31" t="n">
        <x:f>IF(T25="","",I25*T25)</x:f>
        <x:v>5507545.4213574445</x:v>
      </x:c>
    </x:row>
    <x:row r="26" ht="18" customHeight="1">
      <x:c r="A26" s="24" t="str">
        <x:v>EEZ_851</x:v>
      </x:c>
      <x:c r="B26" s="24" t="str">
        <x:v>USA (East Coast)</x:v>
      </x:c>
      <x:c r="C26" s="24" t="str">
        <x:v>EEZ</x:v>
      </x:c>
      <x:c r="D26" s="30" t="n">
        <x:v>2019</x:v>
      </x:c>
      <x:c r="E26" s="24" t="str">
        <x:v>Paralichthys dentatus</x:v>
      </x:c>
      <x:c r="F26" s="24" t="str">
        <x:v>Summer flounder</x:v>
      </x:c>
      <x:c r="G26" s="24" t="str">
        <x:v>Small to medium flatfishes (&lt;90 cm)</x:v>
      </x:c>
      <x:c r="H26" s="24" t="str">
        <x:v>Flatfishes</x:v>
      </x:c>
      <x:c r="I26" s="31" t="n">
        <x:v>8266.133603635899</x:v>
      </x:c>
      <x:c r="J26" s="31" t="n">
        <x:v>7047.352016614001</x:v>
      </x:c>
      <x:c r="K26" s="31" t="n">
        <x:v>1218.7815870219</x:v>
      </x:c>
      <x:c r="L26" s="31" t="n">
        <x:v>3194.9769121618</x:v>
      </x:c>
      <x:c r="M26" s="31" t="n">
        <x:v>5071.1566914741</x:v>
      </x:c>
      <x:c r="N26" s="24" t="str">
        <x:v>paralichthys dentatus</x:v>
      </x:c>
      <x:c r="O26" s="32" t="n">
        <x:v>4.49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Paralichthys dentatus</x:v>
      </x:c>
      <x:c r="T26" s="32" t="n">
        <x:f>IF(O26="","",(1/'Metadata'!$B$5)^(O26-1))</x:f>
        <x:v>3090.295432513592</x:v>
      </x:c>
      <x:c r="U26" s="31" t="n">
        <x:f>IF(T26="","",I26*T26)</x:f>
        <x:v>25544794.91986314</x:v>
      </x:c>
    </x:row>
    <x:row r="27" ht="18" customHeight="1">
      <x:c r="A27" s="24" t="str">
        <x:v>EEZ_851</x:v>
      </x:c>
      <x:c r="B27" s="24" t="str">
        <x:v>USA (East Coast)</x:v>
      </x:c>
      <x:c r="C27" s="24" t="str">
        <x:v>EEZ</x:v>
      </x:c>
      <x:c r="D27" s="30" t="n">
        <x:v>2019</x:v>
      </x:c>
      <x:c r="E27" s="24" t="str">
        <x:v>Cancer borealis</x:v>
      </x:c>
      <x:c r="F27" s="24" t="str">
        <x:v>Jonah crab</x:v>
      </x:c>
      <x:c r="G27" s="24" t="str">
        <x:v>Lobsters, crabs</x:v>
      </x:c>
      <x:c r="H27" s="24" t="str">
        <x:v>Crustaceans</x:v>
      </x:c>
      <x:c r="I27" s="31" t="n">
        <x:v>8064.658705413</x:v>
      </x:c>
      <x:c r="J27" s="31" t="n">
        <x:v>8064.658705413</x:v>
      </x:c>
      <x:c r="K27" s="31" t="n">
        <x:v>0</x:v>
      </x:c>
      <x:c r="L27" s="31" t="n">
        <x:v>7251.0868090949</x:v>
      </x:c>
      <x:c r="M27" s="31" t="n">
        <x:v>813.5718963181</x:v>
      </x:c>
      <x:c r="N27" s="24" t="str">
        <x:v>cancer borealis</x:v>
      </x:c>
      <x:c r="O27" s="32" t="n">
        <x:v>2.6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Cancer borealis</x:v>
      </x:c>
      <x:c r="T27" s="32" t="n">
        <x:f>IF(O27="","",(1/'Metadata'!$B$5)^(O27-1))</x:f>
        <x:v>39.810717055349734</x:v>
      </x:c>
      <x:c r="U27" s="31" t="n">
        <x:f>IF(T27="","",I27*T27)</x:f>
        <x:v>321059.84586916</x:v>
      </x:c>
    </x:row>
    <x:row r="28" ht="18" customHeight="1">
      <x:c r="A28" s="24" t="str">
        <x:v>EEZ_851</x:v>
      </x:c>
      <x:c r="B28" s="24" t="str">
        <x:v>USA (East Coast)</x:v>
      </x:c>
      <x:c r="C28" s="24" t="str">
        <x:v>EEZ</x:v>
      </x:c>
      <x:c r="D28" s="30" t="n">
        <x:v>2019</x:v>
      </x:c>
      <x:c r="E28" s="24" t="str">
        <x:v>Mercenaria mercenaria</x:v>
      </x:c>
      <x:c r="F28" s="24" t="str">
        <x:v>Northern quahog</x:v>
      </x:c>
      <x:c r="G28" s="24" t="str">
        <x:v>Other demersal invertebrates</x:v>
      </x:c>
      <x:c r="H28" s="24" t="str">
        <x:v>Molluscs</x:v>
      </x:c>
      <x:c r="I28" s="31" t="n">
        <x:v>7917.366406141799</x:v>
      </x:c>
      <x:c r="J28" s="31" t="n">
        <x:v>7917.366406141799</x:v>
      </x:c>
      <x:c r="K28" s="31" t="n">
        <x:v>0</x:v>
      </x:c>
      <x:c r="L28" s="31" t="n">
        <x:v>3028.3550002408997</x:v>
      </x:c>
      <x:c r="M28" s="31" t="n">
        <x:v>4889.0114059009</x:v>
      </x:c>
      <x:c r="N28" s="24" t="str">
        <x:v>mercenaria mercenaria</x:v>
      </x:c>
      <x:c r="O28" s="32" t="n">
        <x:v>2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Mercenaria mercenaria</x:v>
      </x:c>
      <x:c r="T28" s="32" t="n">
        <x:f>IF(O28="","",(1/'Metadata'!$B$5)^(O28-1))</x:f>
        <x:v>10</x:v>
      </x:c>
      <x:c r="U28" s="31" t="n">
        <x:f>IF(T28="","",I28*T28)</x:f>
        <x:v>79173.66406141799</x:v>
      </x:c>
    </x:row>
    <x:row r="29" ht="18" customHeight="1">
      <x:c r="A29" s="24" t="str">
        <x:v>EEZ_851</x:v>
      </x:c>
      <x:c r="B29" s="24" t="str">
        <x:v>USA (East Coast)</x:v>
      </x:c>
      <x:c r="C29" s="24" t="str">
        <x:v>EEZ</x:v>
      </x:c>
      <x:c r="D29" s="30" t="n">
        <x:v>2019</x:v>
      </x:c>
      <x:c r="E29" s="24" t="str">
        <x:v>Scomber scombrus</x:v>
      </x:c>
      <x:c r="F29" s="24" t="str">
        <x:v>Atlantic mackerel</x:v>
      </x:c>
      <x:c r="G29" s="24" t="str">
        <x:v>Medium pelagics (30 - 89 cm)</x:v>
      </x:c>
      <x:c r="H29" s="24" t="str">
        <x:v>Perch-likes</x:v>
      </x:c>
      <x:c r="I29" s="31" t="n">
        <x:v>7807.8538746901995</x:v>
      </x:c>
      <x:c r="J29" s="31" t="n">
        <x:v>7797.4250824316005</x:v>
      </x:c>
      <x:c r="K29" s="31" t="n">
        <x:v>10.4287922586</x:v>
      </x:c>
      <x:c r="L29" s="31" t="n">
        <x:v>5044.6498709342</x:v>
      </x:c>
      <x:c r="M29" s="31" t="n">
        <x:v>2763.204003756</x:v>
      </x:c>
      <x:c r="N29" s="24" t="str">
        <x:v>scomber scombrus</x:v>
      </x:c>
      <x:c r="O29" s="32" t="n">
        <x:v>3.63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Scomber scombrus</x:v>
      </x:c>
      <x:c r="T29" s="32" t="n">
        <x:f>IF(O29="","",(1/'Metadata'!$B$5)^(O29-1))</x:f>
        <x:v>426.57951880159254</x:v>
      </x:c>
      <x:c r="U29" s="31" t="n">
        <x:f>IF(T29="","",I29*T29)</x:f>
        <x:v>3330670.548738495</x:v>
      </x:c>
    </x:row>
    <x:row r="30" ht="18" customHeight="1">
      <x:c r="A30" s="24" t="str">
        <x:v>EEZ_851</x:v>
      </x:c>
      <x:c r="B30" s="24" t="str">
        <x:v>USA (East Coast)</x:v>
      </x:c>
      <x:c r="C30" s="24" t="str">
        <x:v>EEZ</x:v>
      </x:c>
      <x:c r="D30" s="30" t="n">
        <x:v>2019</x:v>
      </x:c>
      <x:c r="E30" s="24" t="str">
        <x:v>Merluccius bilinearis</x:v>
      </x:c>
      <x:c r="F30" s="24" t="str">
        <x:v>Silver hake</x:v>
      </x:c>
      <x:c r="G30" s="24" t="str">
        <x:v>Medium demersals (30 - 89 cm)</x:v>
      </x:c>
      <x:c r="H30" s="24" t="str">
        <x:v>Cod-likes</x:v>
      </x:c>
      <x:c r="I30" s="31" t="n">
        <x:v>7011.179967272401</x:v>
      </x:c>
      <x:c r="J30" s="31" t="n">
        <x:v>6062.9443836229</x:v>
      </x:c>
      <x:c r="K30" s="31" t="n">
        <x:v>948.2355836495</x:v>
      </x:c>
      <x:c r="L30" s="31" t="n">
        <x:v>5228.460234093201</x:v>
      </x:c>
      <x:c r="M30" s="31" t="n">
        <x:v>1782.7197331792</x:v>
      </x:c>
      <x:c r="N30" s="24" t="str">
        <x:v>merluccius bilinearis</x:v>
      </x:c>
      <x:c r="O30" s="32" t="n">
        <x:v>4.49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Merluccius bilinearis</x:v>
      </x:c>
      <x:c r="T30" s="32" t="n">
        <x:f>IF(O30="","",(1/'Metadata'!$B$5)^(O30-1))</x:f>
        <x:v>3090.295432513592</x:v>
      </x:c>
      <x:c r="U30" s="31" t="n">
        <x:f>IF(T30="","",I30*T30)</x:f>
        <x:v>21666617.429392695</x:v>
      </x:c>
    </x:row>
    <x:row r="31" ht="18" customHeight="1">
      <x:c r="A31" s="24" t="str">
        <x:v>EEZ_851</x:v>
      </x:c>
      <x:c r="B31" s="24" t="str">
        <x:v>USA (East Coast)</x:v>
      </x:c>
      <x:c r="C31" s="24" t="str">
        <x:v>EEZ</x:v>
      </x:c>
      <x:c r="D31" s="30" t="n">
        <x:v>2019</x:v>
      </x:c>
      <x:c r="E31" s="24" t="str">
        <x:v>Sebastes</x:v>
      </x:c>
      <x:c r="F31" s="24" t="str">
        <x:v>Redfishes</x:v>
      </x:c>
      <x:c r="G31" s="24" t="str">
        <x:v>Large reef assoc. fish (&gt;=90 cm)</x:v>
      </x:c>
      <x:c r="H31" s="24" t="str">
        <x:v>Scorpionfishes</x:v>
      </x:c>
      <x:c r="I31" s="31" t="n">
        <x:v>6519.5134337135</x:v>
      </x:c>
      <x:c r="J31" s="31" t="n">
        <x:v>6519.2105041612995</x:v>
      </x:c>
      <x:c r="K31" s="31" t="n">
        <x:v>0.3029295522</x:v>
      </x:c>
      <x:c r="L31" s="31" t="n">
        <x:v>5443.92633697</x:v>
      </x:c>
      <x:c r="M31" s="31" t="n">
        <x:v>1075.5870967435</x:v>
      </x:c>
      <x:c r="N31" s="24" t="str">
        <x:v>sebastes</x:v>
      </x:c>
      <x:c r="O31" s="32" t="n">
        <x:v>3.79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Sebastes</x:v>
      </x:c>
      <x:c r="T31" s="32" t="n">
        <x:f>IF(O31="","",(1/'Metadata'!$B$5)^(O31-1))</x:f>
        <x:v>616.5950018614822</x:v>
      </x:c>
      <x:c r="U31" s="31" t="n">
        <x:f>IF(T31="","",I31*T31)</x:f>
        <x:v>4019899.397796533</x:v>
      </x:c>
    </x:row>
    <x:row r="32" ht="18" customHeight="1">
      <x:c r="A32" s="24" t="str">
        <x:v>EEZ_851</x:v>
      </x:c>
      <x:c r="B32" s="24" t="str">
        <x:v>USA (East Coast)</x:v>
      </x:c>
      <x:c r="C32" s="24" t="str">
        <x:v>EEZ</x:v>
      </x:c>
      <x:c r="D32" s="30" t="n">
        <x:v>2019</x:v>
      </x:c>
      <x:c r="E32" s="24" t="str">
        <x:v>Coryphaena hippurus</x:v>
      </x:c>
      <x:c r="F32" s="24" t="str">
        <x:v>Common dolphinfish</x:v>
      </x:c>
      <x:c r="G32" s="24" t="str">
        <x:v>Large pelagics (&gt;=90 cm)</x:v>
      </x:c>
      <x:c r="H32" s="24" t="str">
        <x:v>Perch-likes</x:v>
      </x:c>
      <x:c r="I32" s="31" t="n">
        <x:v>6439.4824618387</x:v>
      </x:c>
      <x:c r="J32" s="31" t="n">
        <x:v>6431.4072887911</x:v>
      </x:c>
      <x:c r="K32" s="31" t="n">
        <x:v>8.0751730476</x:v>
      </x:c>
      <x:c r="L32" s="31" t="n">
        <x:v>2109.7392428237</x:v>
      </x:c>
      <x:c r="M32" s="31" t="n">
        <x:v>4329.743219015</x:v>
      </x:c>
      <x:c r="N32" s="24" t="str">
        <x:v>coryphaena hippurus</x:v>
      </x:c>
      <x:c r="O32" s="32" t="n">
        <x:v>4.37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Coryphaena hippurus</x:v>
      </x:c>
      <x:c r="T32" s="32" t="n">
        <x:f>IF(O32="","",(1/'Metadata'!$B$5)^(O32-1))</x:f>
        <x:v>2344.228815319923</x:v>
      </x:c>
      <x:c r="U32" s="31" t="n">
        <x:f>IF(T32="","",I32*T32)</x:f>
        <x:v>15095620.342789557</x:v>
      </x:c>
    </x:row>
    <x:row r="33" ht="18" customHeight="1">
      <x:c r="A33" s="24" t="str">
        <x:v>EEZ_851</x:v>
      </x:c>
      <x:c r="B33" s="24" t="str">
        <x:v>USA (East Coast)</x:v>
      </x:c>
      <x:c r="C33" s="24" t="str">
        <x:v>EEZ</x:v>
      </x:c>
      <x:c r="D33" s="30" t="n">
        <x:v>2019</x:v>
      </x:c>
      <x:c r="E33" s="24" t="str">
        <x:v>Centropristis striata</x:v>
      </x:c>
      <x:c r="F33" s="24" t="str">
        <x:v>Black seabass</x:v>
      </x:c>
      <x:c r="G33" s="24" t="str">
        <x:v>Medium reef assoc. fish (30 - 89 cm)</x:v>
      </x:c>
      <x:c r="H33" s="24" t="str">
        <x:v>Perch-likes</x:v>
      </x:c>
      <x:c r="I33" s="31" t="n">
        <x:v>6207.6734549877</x:v>
      </x:c>
      <x:c r="J33" s="31" t="n">
        <x:v>5978.032678211201</x:v>
      </x:c>
      <x:c r="K33" s="31" t="n">
        <x:v>229.6407767765</x:v>
      </x:c>
      <x:c r="L33" s="31" t="n">
        <x:v>1665.7451170253</x:v>
      </x:c>
      <x:c r="M33" s="31" t="n">
        <x:v>4541.9283379624</x:v>
      </x:c>
      <x:c r="N33" s="24" t="str">
        <x:v>centropristis striata</x:v>
      </x:c>
      <x:c r="O33" s="32" t="n">
        <x:v>3.89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Centropristis striata</x:v>
      </x:c>
      <x:c r="T33" s="32" t="n">
        <x:f>IF(O33="","",(1/'Metadata'!$B$5)^(O33-1))</x:f>
        <x:v>776.247116628692</x:v>
      </x:c>
      <x:c r="U33" s="31" t="n">
        <x:f>IF(T33="","",I33*T33)</x:f>
        <x:v>4818688.620406672</x:v>
      </x:c>
    </x:row>
    <x:row r="34" ht="18" customHeight="1">
      <x:c r="A34" s="24" t="str">
        <x:v>EEZ_851</x:v>
      </x:c>
      <x:c r="B34" s="24" t="str">
        <x:v>USA (East Coast)</x:v>
      </x:c>
      <x:c r="C34" s="24" t="str">
        <x:v>EEZ</x:v>
      </x:c>
      <x:c r="D34" s="30" t="n">
        <x:v>2019</x:v>
      </x:c>
      <x:c r="E34" s="24" t="str">
        <x:v>Scomberomorus cavalla</x:v>
      </x:c>
      <x:c r="F34" s="24" t="str">
        <x:v>King mackerel</x:v>
      </x:c>
      <x:c r="G34" s="24" t="str">
        <x:v>Large pelagics (&gt;=90 cm)</x:v>
      </x:c>
      <x:c r="H34" s="24" t="str">
        <x:v>Perch-likes</x:v>
      </x:c>
      <x:c r="I34" s="31" t="n">
        <x:v>6183.755803562301</x:v>
      </x:c>
      <x:c r="J34" s="31" t="n">
        <x:v>6159.528102969401</x:v>
      </x:c>
      <x:c r="K34" s="31" t="n">
        <x:v>24.2277005929</x:v>
      </x:c>
      <x:c r="L34" s="31" t="n">
        <x:v>2937.1339150242</x:v>
      </x:c>
      <x:c r="M34" s="31" t="n">
        <x:v>3246.6218885381</x:v>
      </x:c>
      <x:c r="N34" s="24" t="str">
        <x:v>scomberomorus cavalla</x:v>
      </x:c>
      <x:c r="O34" s="32" t="n">
        <x:v>4.42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Scomberomorus cavalla</x:v>
      </x:c>
      <x:c r="T34" s="32" t="n">
        <x:f>IF(O34="","",(1/'Metadata'!$B$5)^(O34-1))</x:f>
        <x:v>2630.2679918953813</x:v>
      </x:c>
      <x:c r="U34" s="31" t="n">
        <x:f>IF(T34="","",I34*T34)</x:f>
        <x:v>16264934.959807223</x:v>
      </x:c>
    </x:row>
    <x:row r="35" ht="18" customHeight="1">
      <x:c r="A35" s="24" t="str">
        <x:v>EEZ_851</x:v>
      </x:c>
      <x:c r="B35" s="24" t="str">
        <x:v>USA (East Coast)</x:v>
      </x:c>
      <x:c r="C35" s="24" t="str">
        <x:v>EEZ</x:v>
      </x:c>
      <x:c r="D35" s="30" t="n">
        <x:v>2019</x:v>
      </x:c>
      <x:c r="E35" s="24" t="str">
        <x:v>Peprilus triacanthus</x:v>
      </x:c>
      <x:c r="F35" s="24" t="str">
        <x:v>Atlantic butterfish</x:v>
      </x:c>
      <x:c r="G35" s="24" t="str">
        <x:v>Small benthopelagics (&lt;30 cm)</x:v>
      </x:c>
      <x:c r="H35" s="24" t="str">
        <x:v>Perch-likes</x:v>
      </x:c>
      <x:c r="I35" s="31" t="n">
        <x:v>5964.9761880717</x:v>
      </x:c>
      <x:c r="J35" s="31" t="n">
        <x:v>3735.6586629317</x:v>
      </x:c>
      <x:c r="K35" s="31" t="n">
        <x:v>2229.31752514</x:v>
      </x:c>
      <x:c r="L35" s="31" t="n">
        <x:v>3431.287477855</x:v>
      </x:c>
      <x:c r="M35" s="31" t="n">
        <x:v>2533.6887102167</x:v>
      </x:c>
      <x:c r="N35" s="24" t="str">
        <x:v>peprilus triacanthus</x:v>
      </x:c>
      <x:c r="O35" s="32" t="n">
        <x:v>3.91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Peprilus triacanthus</x:v>
      </x:c>
      <x:c r="T35" s="32" t="n">
        <x:f>IF(O35="","",(1/'Metadata'!$B$5)^(O35-1))</x:f>
        <x:v>812.8305161640995</x:v>
      </x:c>
      <x:c r="U35" s="31" t="n">
        <x:f>IF(T35="","",I35*T35)</x:f>
        <x:v>4848514.673856882</x:v>
      </x:c>
    </x:row>
    <x:row r="36" ht="18" customHeight="1">
      <x:c r="A36" s="24" t="str">
        <x:v>EEZ_851</x:v>
      </x:c>
      <x:c r="B36" s="24" t="str">
        <x:v>USA (East Coast)</x:v>
      </x:c>
      <x:c r="C36" s="24" t="str">
        <x:v>EEZ</x:v>
      </x:c>
      <x:c r="D36" s="30" t="n">
        <x:v>2019</x:v>
      </x:c>
      <x:c r="E36" s="24" t="str">
        <x:v>Pollachius virens</x:v>
      </x:c>
      <x:c r="F36" s="24" t="str">
        <x:v>Saithe</x:v>
      </x:c>
      <x:c r="G36" s="24" t="str">
        <x:v>Large demersals (&gt;=90 cm)</x:v>
      </x:c>
      <x:c r="H36" s="24" t="str">
        <x:v>Cod-likes</x:v>
      </x:c>
      <x:c r="I36" s="31" t="n">
        <x:v>5512.143217980501</x:v>
      </x:c>
      <x:c r="J36" s="31" t="n">
        <x:v>5512.143217980501</x:v>
      </x:c>
      <x:c r="K36" s="31" t="n">
        <x:v>0</x:v>
      </x:c>
      <x:c r="L36" s="31" t="n">
        <x:v>5070.5484943451</x:v>
      </x:c>
      <x:c r="M36" s="31" t="n">
        <x:v>441.5947236354</x:v>
      </x:c>
      <x:c r="N36" s="24" t="str">
        <x:v>pollachius virens</x:v>
      </x:c>
      <x:c r="O36" s="32" t="n">
        <x:v>4.31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Pollachius virens</x:v>
      </x:c>
      <x:c r="T36" s="32" t="n">
        <x:f>IF(O36="","",(1/'Metadata'!$B$5)^(O36-1))</x:f>
        <x:v>2041.7379446695275</x:v>
      </x:c>
      <x:c r="U36" s="31" t="n">
        <x:f>IF(T36="","",I36*T36)</x:f>
        <x:v>11254351.964603582</x:v>
      </x:c>
    </x:row>
    <x:row r="37" ht="18" customHeight="1">
      <x:c r="A37" s="24" t="str">
        <x:v>EEZ_851</x:v>
      </x:c>
      <x:c r="B37" s="24" t="str">
        <x:v>USA (East Coast)</x:v>
      </x:c>
      <x:c r="C37" s="24" t="str">
        <x:v>EEZ</x:v>
      </x:c>
      <x:c r="D37" s="30" t="n">
        <x:v>2019</x:v>
      </x:c>
      <x:c r="E37" s="24" t="str">
        <x:v>Leiostomus xanthurus</x:v>
      </x:c>
      <x:c r="F37" s="24" t="str">
        <x:v>Spot croaker</x:v>
      </x:c>
      <x:c r="G37" s="24" t="str">
        <x:v>Medium demersals (30 - 89 cm)</x:v>
      </x:c>
      <x:c r="H37" s="24" t="str">
        <x:v>Perch-likes</x:v>
      </x:c>
      <x:c r="I37" s="31" t="n">
        <x:v>5487.9578946752</x:v>
      </x:c>
      <x:c r="J37" s="31" t="n">
        <x:v>2994.6825235676997</x:v>
      </x:c>
      <x:c r="K37" s="31" t="n">
        <x:v>2493.2753711075</x:v>
      </x:c>
      <x:c r="L37" s="31" t="n">
        <x:v>795.7489271919</x:v>
      </x:c>
      <x:c r="M37" s="31" t="n">
        <x:v>4692.2089674833005</x:v>
      </x:c>
      <x:c r="N37" s="24" t="str">
        <x:v>leiostomus xanthurus</x:v>
      </x:c>
      <x:c r="O37" s="32" t="n">
        <x:v>3.23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Leiostomus xanthurus</x:v>
      </x:c>
      <x:c r="T37" s="32" t="n">
        <x:f>IF(O37="","",(1/'Metadata'!$B$5)^(O37-1))</x:f>
        <x:v>169.82436524617444</x:v>
      </x:c>
      <x:c r="U37" s="31" t="n">
        <x:f>IF(T37="","",I37*T37)</x:f>
        <x:v>931988.9659609477</x:v>
      </x:c>
    </x:row>
    <x:row r="38" ht="18" customHeight="1">
      <x:c r="A38" s="24" t="str">
        <x:v>EEZ_851</x:v>
      </x:c>
      <x:c r="B38" s="24" t="str">
        <x:v>USA (East Coast)</x:v>
      </x:c>
      <x:c r="C38" s="24" t="str">
        <x:v>EEZ</x:v>
      </x:c>
      <x:c r="D38" s="30" t="n">
        <x:v>2019</x:v>
      </x:c>
      <x:c r="E38" s="24" t="str">
        <x:v>Scomberomorus maculatus</x:v>
      </x:c>
      <x:c r="F38" s="24" t="str">
        <x:v>Atlantic Spanish mackerel</x:v>
      </x:c>
      <x:c r="G38" s="24" t="str">
        <x:v>Medium pelagics (30 - 89 cm)</x:v>
      </x:c>
      <x:c r="H38" s="24" t="str">
        <x:v>Perch-likes</x:v>
      </x:c>
      <x:c r="I38" s="31" t="n">
        <x:v>4475.1751631839</x:v>
      </x:c>
      <x:c r="J38" s="31" t="n">
        <x:v>4346.4247523296</x:v>
      </x:c>
      <x:c r="K38" s="31" t="n">
        <x:v>128.75041085430001</x:v>
      </x:c>
      <x:c r="L38" s="31" t="n">
        <x:v>4326.2029051691</x:v>
      </x:c>
      <x:c r="M38" s="31" t="n">
        <x:v>148.97225801480002</x:v>
      </x:c>
      <x:c r="N38" s="24" t="str">
        <x:v>scomberomorus maculatus</x:v>
      </x:c>
      <x:c r="O38" s="32" t="n">
        <x:v>4.53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Scomberomorus maculatus</x:v>
      </x:c>
      <x:c r="T38" s="32" t="n">
        <x:f>IF(O38="","",(1/'Metadata'!$B$5)^(O38-1))</x:f>
        <x:v>3388.4415613920273</x:v>
      </x:c>
      <x:c r="U38" s="31" t="n">
        <x:f>IF(T38="","",I38*T38)</x:f>
        <x:v>15163869.517441673</x:v>
      </x:c>
    </x:row>
    <x:row r="39" ht="18" customHeight="1">
      <x:c r="A39" s="24" t="str">
        <x:v>EEZ_851</x:v>
      </x:c>
      <x:c r="B39" s="24" t="str">
        <x:v>USA (East Coast)</x:v>
      </x:c>
      <x:c r="C39" s="24" t="str">
        <x:v>EEZ</x:v>
      </x:c>
      <x:c r="D39" s="30" t="n">
        <x:v>2019</x:v>
      </x:c>
      <x:c r="E39" s="24" t="str">
        <x:v>Thunnus thynnus</x:v>
      </x:c>
      <x:c r="F39" s="24" t="str">
        <x:v>Atlantic bluefin tuna</x:v>
      </x:c>
      <x:c r="G39" s="24" t="str">
        <x:v>Large pelagics (&gt;=90 cm)</x:v>
      </x:c>
      <x:c r="H39" s="24" t="str">
        <x:v>Tuna &amp; billfishes</x:v>
      </x:c>
      <x:c r="I39" s="31" t="n">
        <x:v>4337.1682995588</x:v>
      </x:c>
      <x:c r="J39" s="31" t="n">
        <x:v>4337.1682995588</x:v>
      </x:c>
      <x:c r="K39" s="31" t="n">
        <x:v>0</x:v>
      </x:c>
      <x:c r="L39" s="31" t="n">
        <x:v>1340.9117327705</x:v>
      </x:c>
      <x:c r="M39" s="31" t="n">
        <x:v>2996.2565667883</x:v>
      </x:c>
      <x:c r="N39" s="24" t="str">
        <x:v>thunnus thynnus</x:v>
      </x:c>
      <x:c r="O39" s="32" t="n">
        <x:v>4.45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Thunnus thynnus</x:v>
      </x:c>
      <x:c r="T39" s="32" t="n">
        <x:f>IF(O39="","",(1/'Metadata'!$B$5)^(O39-1))</x:f>
        <x:v>2818.382931264455</x:v>
      </x:c>
      <x:c r="U39" s="31" t="n">
        <x:f>IF(T39="","",I39*T39)</x:f>
        <x:v>12223801.105497802</x:v>
      </x:c>
    </x:row>
    <x:row r="40" ht="18" customHeight="1">
      <x:c r="A40" s="24" t="str">
        <x:v>EEZ_851</x:v>
      </x:c>
      <x:c r="B40" s="24" t="str">
        <x:v>USA (East Coast)</x:v>
      </x:c>
      <x:c r="C40" s="24" t="str">
        <x:v>EEZ</x:v>
      </x:c>
      <x:c r="D40" s="30" t="n">
        <x:v>2019</x:v>
      </x:c>
      <x:c r="E40" s="24" t="str">
        <x:v>Leucoraja erinaceus</x:v>
      </x:c>
      <x:c r="F40" s="24" t="str">
        <x:v>Little skate</x:v>
      </x:c>
      <x:c r="G40" s="24" t="str">
        <x:v>Small to medium rays (&lt;90 cm)</x:v>
      </x:c>
      <x:c r="H40" s="24" t="str">
        <x:v>Sharks &amp; rays</x:v>
      </x:c>
      <x:c r="I40" s="31" t="n">
        <x:v>4159.6934613823</x:v>
      </x:c>
      <x:c r="J40" s="31" t="n">
        <x:v>4159.6934613823</x:v>
      </x:c>
      <x:c r="K40" s="31" t="n">
        <x:v>0</x:v>
      </x:c>
      <x:c r="L40" s="31" t="n">
        <x:v>3923.8322249998996</x:v>
      </x:c>
      <x:c r="M40" s="31" t="n">
        <x:v>235.8612363824</x:v>
      </x:c>
      <x:c r="N40" s="24" t="str">
        <x:v>leucoraja erinaceus</x:v>
      </x:c>
      <x:c r="O40" s="32" t="n">
        <x:v>3.61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Leucoraja erinaceus</x:v>
      </x:c>
      <x:c r="T40" s="32" t="n">
        <x:f>IF(O40="","",(1/'Metadata'!$B$5)^(O40-1))</x:f>
        <x:v>407.3802778041126</x:v>
      </x:c>
      <x:c r="U40" s="31" t="n">
        <x:f>IF(T40="","",I40*T40)</x:f>
        <x:v>1694577.077877872</x:v>
      </x:c>
    </x:row>
    <x:row r="41" ht="18" customHeight="1">
      <x:c r="A41" s="24" t="str">
        <x:v>EEZ_851</x:v>
      </x:c>
      <x:c r="B41" s="24" t="str">
        <x:v>USA (East Coast)</x:v>
      </x:c>
      <x:c r="C41" s="24" t="str">
        <x:v>EEZ</x:v>
      </x:c>
      <x:c r="D41" s="30" t="n">
        <x:v>2019</x:v>
      </x:c>
      <x:c r="E41" s="24" t="str">
        <x:v>Sciaenops ocellatus</x:v>
      </x:c>
      <x:c r="F41" s="24" t="str">
        <x:v>Red drum</x:v>
      </x:c>
      <x:c r="G41" s="24" t="str">
        <x:v>Large demersals (&gt;=90 cm)</x:v>
      </x:c>
      <x:c r="H41" s="24" t="str">
        <x:v>Perch-likes</x:v>
      </x:c>
      <x:c r="I41" s="31" t="n">
        <x:v>4143.2296073234</x:v>
      </x:c>
      <x:c r="J41" s="31" t="n">
        <x:v>2194.8336377434002</x:v>
      </x:c>
      <x:c r="K41" s="31" t="n">
        <x:v>1948.39596958</x:v>
      </x:c>
      <x:c r="L41" s="31" t="n">
        <x:v>26.7660639911</x:v>
      </x:c>
      <x:c r="M41" s="31" t="n">
        <x:v>4116.4635433323</x:v>
      </x:c>
      <x:c r="N41" s="24" t="str">
        <x:v>sciaenops ocellatus</x:v>
      </x:c>
      <x:c r="O41" s="32" t="n">
        <x:v>4.07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Sciaenops ocellatus</x:v>
      </x:c>
      <x:c r="T41" s="32" t="n">
        <x:f>IF(O41="","",(1/'Metadata'!$B$5)^(O41-1))</x:f>
        <x:v>1174.8975549395302</x:v>
      </x:c>
      <x:c r="U41" s="31" t="n">
        <x:f>IF(T41="","",I41*T41)</x:f>
        <x:v>4867870.335197332</x:v>
      </x:c>
    </x:row>
    <x:row r="42" ht="18" customHeight="1">
      <x:c r="A42" s="24" t="str">
        <x:v>EEZ_851</x:v>
      </x:c>
      <x:c r="B42" s="24" t="str">
        <x:v>USA (East Coast)</x:v>
      </x:c>
      <x:c r="C42" s="24" t="str">
        <x:v>EEZ</x:v>
      </x:c>
      <x:c r="D42" s="30" t="n">
        <x:v>2019</x:v>
      </x:c>
      <x:c r="E42" s="24" t="str">
        <x:v>Gastropoda</x:v>
      </x:c>
      <x:c r="F42" s="24" t="str">
        <x:v>Sea snails</x:v>
      </x:c>
      <x:c r="G42" s="24" t="str">
        <x:v>Other demersal invertebrates</x:v>
      </x:c>
      <x:c r="H42" s="24" t="str">
        <x:v>Molluscs</x:v>
      </x:c>
      <x:c r="I42" s="31" t="n">
        <x:v>3978.109661981</x:v>
      </x:c>
      <x:c r="J42" s="31" t="n">
        <x:v>3978.109661981</x:v>
      </x:c>
      <x:c r="K42" s="31" t="n">
        <x:v>0</x:v>
      </x:c>
      <x:c r="L42" s="31" t="n">
        <x:v>3641.5395848781</x:v>
      </x:c>
      <x:c r="M42" s="31" t="n">
        <x:v>336.5700771029</x:v>
      </x:c>
      <x:c r="N42" s="24" t="str">
        <x:v>gastropoda</x:v>
      </x:c>
      <x:c r="O42" s="32" t="n">
        <x:v>3.06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Gastropoda</x:v>
      </x:c>
      <x:c r="T42" s="32" t="n">
        <x:f>IF(O42="","",(1/'Metadata'!$B$5)^(O42-1))</x:f>
        <x:v>114.81536214968828</x:v>
      </x:c>
      <x:c r="U42" s="31" t="n">
        <x:f>IF(T42="","",I42*T42)</x:f>
        <x:v>456748.10151152255</x:v>
      </x:c>
    </x:row>
    <x:row r="43" ht="18" customHeight="1">
      <x:c r="A43" s="24" t="str">
        <x:v>EEZ_851</x:v>
      </x:c>
      <x:c r="B43" s="24" t="str">
        <x:v>USA (East Coast)</x:v>
      </x:c>
      <x:c r="C43" s="24" t="str">
        <x:v>EEZ</x:v>
      </x:c>
      <x:c r="D43" s="30" t="n">
        <x:v>2019</x:v>
      </x:c>
      <x:c r="E43" s="24" t="str">
        <x:v>Tautoga onitis</x:v>
      </x:c>
      <x:c r="F43" s="24" t="str">
        <x:v>Tautog</x:v>
      </x:c>
      <x:c r="G43" s="24" t="str">
        <x:v>Medium reef assoc. fish (30 - 89 cm)</x:v>
      </x:c>
      <x:c r="H43" s="24" t="str">
        <x:v>Perch-likes</x:v>
      </x:c>
      <x:c r="I43" s="31" t="n">
        <x:v>3751.7930022938</x:v>
      </x:c>
      <x:c r="J43" s="31" t="n">
        <x:v>3751.7930022938</x:v>
      </x:c>
      <x:c r="K43" s="31" t="n">
        <x:v>0</x:v>
      </x:c>
      <x:c r="L43" s="31" t="n">
        <x:v>185.16660467210002</x:v>
      </x:c>
      <x:c r="M43" s="31" t="n">
        <x:v>3566.6263976217</x:v>
      </x:c>
      <x:c r="N43" s="24" t="str">
        <x:v>tautoga onitis</x:v>
      </x:c>
      <x:c r="O43" s="32" t="n">
        <x:v>3.32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Tautoga onitis</x:v>
      </x:c>
      <x:c r="T43" s="32" t="n">
        <x:f>IF(O43="","",(1/'Metadata'!$B$5)^(O43-1))</x:f>
        <x:v>208.92961308540387</x:v>
      </x:c>
      <x:c r="U43" s="31" t="n">
        <x:f>IF(T43="","",I43*T43)</x:f>
        <x:v>783860.6603457694</x:v>
      </x:c>
    </x:row>
    <x:row r="44" ht="18" customHeight="1">
      <x:c r="A44" s="24" t="str">
        <x:v>EEZ_851</x:v>
      </x:c>
      <x:c r="B44" s="24" t="str">
        <x:v>USA (East Coast)</x:v>
      </x:c>
      <x:c r="C44" s="24" t="str">
        <x:v>EEZ</x:v>
      </x:c>
      <x:c r="D44" s="30" t="n">
        <x:v>2019</x:v>
      </x:c>
      <x:c r="E44" s="24" t="str">
        <x:v>Gadus morhua</x:v>
      </x:c>
      <x:c r="F44" s="24" t="str">
        <x:v>Atlantic cod</x:v>
      </x:c>
      <x:c r="G44" s="24" t="str">
        <x:v>Large benthopelagics (&gt;=90 cm)</x:v>
      </x:c>
      <x:c r="H44" s="24" t="str">
        <x:v>Cod-likes</x:v>
      </x:c>
      <x:c r="I44" s="31" t="n">
        <x:v>3129.99903665</x:v>
      </x:c>
      <x:c r="J44" s="31" t="n">
        <x:v>3127.5105743294</x:v>
      </x:c>
      <x:c r="K44" s="31" t="n">
        <x:v>2.4884623206</x:v>
      </x:c>
      <x:c r="L44" s="31" t="n">
        <x:v>2738.4086730485997</x:v>
      </x:c>
      <x:c r="M44" s="31" t="n">
        <x:v>391.59036360139993</x:v>
      </x:c>
      <x:c r="N44" s="24" t="str">
        <x:v>gadus morhua</x:v>
      </x:c>
      <x:c r="O44" s="32" t="n">
        <x:v>4.09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Gadus morhua</x:v>
      </x:c>
      <x:c r="T44" s="32" t="n">
        <x:f>IF(O44="","",(1/'Metadata'!$B$5)^(O44-1))</x:f>
        <x:v>1230.268770812381</x:v>
      </x:c>
      <x:c r="U44" s="31" t="n">
        <x:f>IF(T44="","",I44*T44)</x:f>
        <x:v>3850740.0674633323</x:v>
      </x:c>
    </x:row>
    <x:row r="45" ht="18" customHeight="1">
      <x:c r="A45" s="24" t="str">
        <x:v>EEZ_851</x:v>
      </x:c>
      <x:c r="B45" s="24" t="str">
        <x:v>USA (East Coast)</x:v>
      </x:c>
      <x:c r="C45" s="24" t="str">
        <x:v>EEZ</x:v>
      </x:c>
      <x:c r="D45" s="30" t="n">
        <x:v>2019</x:v>
      </x:c>
      <x:c r="E45" s="24" t="str">
        <x:v>Paralichthys</x:v>
      </x:c>
      <x:c r="F45" s="24" t="str">
        <x:v>Paralichthyid flounders</x:v>
      </x:c>
      <x:c r="G45" s="24" t="str">
        <x:v>Small to medium flatfishes (&lt;90 cm)</x:v>
      </x:c>
      <x:c r="H45" s="24" t="str">
        <x:v>Flatfishes</x:v>
      </x:c>
      <x:c r="I45" s="31" t="n">
        <x:v>2795.7770196884003</x:v>
      </x:c>
      <x:c r="J45" s="31" t="n">
        <x:v>2735.2311898841</x:v>
      </x:c>
      <x:c r="K45" s="31" t="n">
        <x:v>60.5458298043</x:v>
      </x:c>
      <x:c r="L45" s="31" t="n">
        <x:v>1329.8237340649</x:v>
      </x:c>
      <x:c r="M45" s="31" t="n">
        <x:v>1465.9532856235</x:v>
      </x:c>
      <x:c r="N45" s="24" t="str">
        <x:v>paralichthys</x:v>
      </x:c>
      <x:c r="O45" s="32" t="n">
        <x:v>4.14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Paralichthys</x:v>
      </x:c>
      <x:c r="T45" s="32" t="n">
        <x:f>IF(O45="","",(1/'Metadata'!$B$5)^(O45-1))</x:f>
        <x:v>1380.3842646028838</x:v>
      </x:c>
      <x:c r="U45" s="31" t="n">
        <x:f>IF(T45="","",I45*T45)</x:f>
        <x:v>3859246.6053162147</x:v>
      </x:c>
    </x:row>
    <x:row r="46" ht="18" customHeight="1">
      <x:c r="A46" s="24" t="str">
        <x:v>EEZ_851</x:v>
      </x:c>
      <x:c r="B46" s="24" t="str">
        <x:v>USA (East Coast)</x:v>
      </x:c>
      <x:c r="C46" s="24" t="str">
        <x:v>EEZ</x:v>
      </x:c>
      <x:c r="D46" s="30" t="n">
        <x:v>2019</x:v>
      </x:c>
      <x:c r="E46" s="24" t="str">
        <x:v>Stomolophus meleagris</x:v>
      </x:c>
      <x:c r="F46" s="24" t="str">
        <x:v>Cannonball jellyfish</x:v>
      </x:c>
      <x:c r="G46" s="24" t="str">
        <x:v>Jellyfish</x:v>
      </x:c>
      <x:c r="H46" s="24" t="str">
        <x:v>Other fishes &amp; inverts</x:v>
      </x:c>
      <x:c r="I46" s="31" t="n">
        <x:v>2722</x:v>
      </x:c>
      <x:c r="J46" s="31" t="n">
        <x:v>2722</x:v>
      </x:c>
      <x:c r="K46" s="31" t="n">
        <x:v>0</x:v>
      </x:c>
      <x:c r="L46" s="31" t="n">
        <x:v>0</x:v>
      </x:c>
      <x:c r="M46" s="31" t="n">
        <x:v>2722</x:v>
      </x:c>
      <x:c r="N46" s="24" t="str">
        <x:v>stomolophus meleagris</x:v>
      </x:c>
      <x:c r="O46" s="32" t="n">
        <x:v>3.34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Stomolophus meleagris</x:v>
      </x:c>
      <x:c r="T46" s="32" t="n">
        <x:f>IF(O46="","",(1/'Metadata'!$B$5)^(O46-1))</x:f>
        <x:v>218.77616239495518</x:v>
      </x:c>
      <x:c r="U46" s="31" t="n">
        <x:f>IF(T46="","",I46*T46)</x:f>
        <x:v>595508.714039068</x:v>
      </x:c>
    </x:row>
    <x:row r="47" ht="18" customHeight="1">
      <x:c r="A47" s="24" t="str">
        <x:v>EEZ_851</x:v>
      </x:c>
      <x:c r="B47" s="24" t="str">
        <x:v>USA (East Coast)</x:v>
      </x:c>
      <x:c r="C47" s="24" t="str">
        <x:v>EEZ</x:v>
      </x:c>
      <x:c r="D47" s="30" t="n">
        <x:v>2019</x:v>
      </x:c>
      <x:c r="E47" s="24" t="str">
        <x:v>Thunnus albacares</x:v>
      </x:c>
      <x:c r="F47" s="24" t="str">
        <x:v>Yellowfin tuna</x:v>
      </x:c>
      <x:c r="G47" s="24" t="str">
        <x:v>Large pelagics (&gt;=90 cm)</x:v>
      </x:c>
      <x:c r="H47" s="24" t="str">
        <x:v>Tuna &amp; billfishes</x:v>
      </x:c>
      <x:c r="I47" s="31" t="n">
        <x:v>2638.1931446886</x:v>
      </x:c>
      <x:c r="J47" s="31" t="n">
        <x:v>2638.1931446886</x:v>
      </x:c>
      <x:c r="K47" s="31" t="n">
        <x:v>0</x:v>
      </x:c>
      <x:c r="L47" s="31" t="n">
        <x:v>1183.4984652558999</x:v>
      </x:c>
      <x:c r="M47" s="31" t="n">
        <x:v>1454.6946794327</x:v>
      </x:c>
      <x:c r="N47" s="24" t="str">
        <x:v>thunnus albacares</x:v>
      </x:c>
      <x:c r="O47" s="32" t="n">
        <x:v>4.41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Thunnus albacares</x:v>
      </x:c>
      <x:c r="T47" s="32" t="n">
        <x:f>IF(O47="","",(1/'Metadata'!$B$5)^(O47-1))</x:f>
        <x:v>2570.3957827688646</x:v>
      </x:c>
      <x:c r="U47" s="31" t="n">
        <x:f>IF(T47="","",I47*T47)</x:f>
        <x:v>6781200.533237306</x:v>
      </x:c>
    </x:row>
    <x:row r="48" ht="18" customHeight="1">
      <x:c r="A48" s="24" t="str">
        <x:v>EEZ_851</x:v>
      </x:c>
      <x:c r="B48" s="24" t="str">
        <x:v>USA (East Coast)</x:v>
      </x:c>
      <x:c r="C48" s="24" t="str">
        <x:v>EEZ</x:v>
      </x:c>
      <x:c r="D48" s="30" t="n">
        <x:v>2019</x:v>
      </x:c>
      <x:c r="E48" s="24" t="str">
        <x:v>Mollusca</x:v>
      </x:c>
      <x:c r="F48" s="24" t="str">
        <x:v>Clams, seasnails, squids, octopuses</x:v>
      </x:c>
      <x:c r="G48" s="24" t="str">
        <x:v>Other demersal invertebrates</x:v>
      </x:c>
      <x:c r="H48" s="24" t="str">
        <x:v>Molluscs</x:v>
      </x:c>
      <x:c r="I48" s="31" t="n">
        <x:v>2497.7413304294</x:v>
      </x:c>
      <x:c r="J48" s="31" t="n">
        <x:v>2497.7413304294</x:v>
      </x:c>
      <x:c r="K48" s="31" t="n">
        <x:v>0</x:v>
      </x:c>
      <x:c r="L48" s="31" t="n">
        <x:v>0</x:v>
      </x:c>
      <x:c r="M48" s="31" t="n">
        <x:v>2497.7413304294</x:v>
      </x:c>
      <x:c r="N48" s="24" t="str">
        <x:v>mollusca</x:v>
      </x:c>
      <x:c r="O48" s="32" t="n">
        <x:v>2.1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Mollusca</x:v>
      </x:c>
      <x:c r="T48" s="32" t="n">
        <x:f>IF(O48="","",(1/'Metadata'!$B$5)^(O48-1))</x:f>
        <x:v>12.589254117941675</x:v>
      </x:c>
      <x:c r="U48" s="31" t="n">
        <x:f>IF(T48="","",I48*T48)</x:f>
        <x:v>31444.700329661442</x:v>
      </x:c>
    </x:row>
    <x:row r="49" ht="18" customHeight="1">
      <x:c r="A49" s="24" t="str">
        <x:v>EEZ_851</x:v>
      </x:c>
      <x:c r="B49" s="24" t="str">
        <x:v>USA (East Coast)</x:v>
      </x:c>
      <x:c r="C49" s="24" t="str">
        <x:v>EEZ</x:v>
      </x:c>
      <x:c r="D49" s="30" t="n">
        <x:v>2019</x:v>
      </x:c>
      <x:c r="E49" s="24" t="str">
        <x:v>Scyphozoa</x:v>
      </x:c>
      <x:c r="F49" s="24" t="str">
        <x:v>True jellyfishes</x:v>
      </x:c>
      <x:c r="G49" s="24" t="str">
        <x:v>Jellyfish</x:v>
      </x:c>
      <x:c r="H49" s="24" t="str">
        <x:v>Other fishes &amp; inverts</x:v>
      </x:c>
      <x:c r="I49" s="31" t="n">
        <x:v>2488.57854274</x:v>
      </x:c>
      <x:c r="J49" s="31" t="n">
        <x:v>0</x:v>
      </x:c>
      <x:c r="K49" s="31" t="n">
        <x:v>2488.57854274</x:v>
      </x:c>
      <x:c r="L49" s="31" t="n">
        <x:v>0</x:v>
      </x:c>
      <x:c r="M49" s="31" t="n">
        <x:v>2488.57854274</x:v>
      </x:c>
      <x:c r="N49" s="24" t="str">
        <x:v>scyphozoa</x:v>
      </x:c>
      <x:c r="O49" s="32" t="n">
        <x:v>3.46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Scyphozoa</x:v>
      </x:c>
      <x:c r="T49" s="32" t="n">
        <x:f>IF(O49="","",(1/'Metadata'!$B$5)^(O49-1))</x:f>
        <x:v>288.40315031266056</x:v>
      </x:c>
      <x:c r="U49" s="31" t="n">
        <x:f>IF(T49="","",I49*T49)</x:f>
        <x:v>717713.891526706</x:v>
      </x:c>
    </x:row>
    <x:row r="50" ht="18" customHeight="1">
      <x:c r="A50" s="24" t="str">
        <x:v>EEZ_851</x:v>
      </x:c>
      <x:c r="B50" s="24" t="str">
        <x:v>USA (East Coast)</x:v>
      </x:c>
      <x:c r="C50" s="24" t="str">
        <x:v>EEZ</x:v>
      </x:c>
      <x:c r="D50" s="30" t="n">
        <x:v>2019</x:v>
      </x:c>
      <x:c r="E50" s="24" t="str">
        <x:v>Xiphias gladius</x:v>
      </x:c>
      <x:c r="F50" s="24" t="str">
        <x:v>Swordfish</x:v>
      </x:c>
      <x:c r="G50" s="24" t="str">
        <x:v>Large pelagics (&gt;=90 cm)</x:v>
      </x:c>
      <x:c r="H50" s="24" t="str">
        <x:v>Tuna &amp; billfishes</x:v>
      </x:c>
      <x:c r="I50" s="31" t="n">
        <x:v>2327.1672681422</x:v>
      </x:c>
      <x:c r="J50" s="31" t="n">
        <x:v>2327.1672681422</x:v>
      </x:c>
      <x:c r="K50" s="31" t="n">
        <x:v>0</x:v>
      </x:c>
      <x:c r="L50" s="31" t="n">
        <x:v>1711.0623263822001</x:v>
      </x:c>
      <x:c r="M50" s="31" t="n">
        <x:v>616.10494176</x:v>
      </x:c>
      <x:c r="N50" s="24" t="str">
        <x:v>xiphias gladius</x:v>
      </x:c>
      <x:c r="O50" s="32" t="n">
        <x:v>4.53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Xiphias gladius</x:v>
      </x:c>
      <x:c r="T50" s="32" t="n">
        <x:f>IF(O50="","",(1/'Metadata'!$B$5)^(O50-1))</x:f>
        <x:v>3388.4415613920273</x:v>
      </x:c>
      <x:c r="U50" s="31" t="n">
        <x:f>IF(T50="","",I50*T50)</x:f>
        <x:v>7885470.291684175</x:v>
      </x:c>
    </x:row>
    <x:row r="51" ht="18" customHeight="1">
      <x:c r="A51" s="24" t="str">
        <x:v>EEZ_851</x:v>
      </x:c>
      <x:c r="B51" s="24" t="str">
        <x:v>USA (East Coast)</x:v>
      </x:c>
      <x:c r="C51" s="24" t="str">
        <x:v>EEZ</x:v>
      </x:c>
      <x:c r="D51" s="30" t="n">
        <x:v>2019</x:v>
      </x:c>
      <x:c r="E51" s="24" t="str">
        <x:v>Archosargus probatocephalus</x:v>
      </x:c>
      <x:c r="F51" s="24" t="str">
        <x:v>Sheepshead</x:v>
      </x:c>
      <x:c r="G51" s="24" t="str">
        <x:v>Medium demersals (30 - 89 cm)</x:v>
      </x:c>
      <x:c r="H51" s="24" t="str">
        <x:v>Perch-likes</x:v>
      </x:c>
      <x:c r="I51" s="31" t="n">
        <x:v>2220.6498396188</x:v>
      </x:c>
      <x:c r="J51" s="31" t="n">
        <x:v>2072.1772757348</x:v>
      </x:c>
      <x:c r="K51" s="31" t="n">
        <x:v>148.472563884</x:v>
      </x:c>
      <x:c r="L51" s="31" t="n">
        <x:v>99.9623517893</x:v>
      </x:c>
      <x:c r="M51" s="31" t="n">
        <x:v>2120.6874878295002</x:v>
      </x:c>
      <x:c r="N51" s="24" t="str">
        <x:v>archosargus probatocephalus</x:v>
      </x:c>
      <x:c r="O51" s="32" t="n">
        <x:v>3.53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Archosargus probatocephalus</x:v>
      </x:c>
      <x:c r="T51" s="32" t="n">
        <x:f>IF(O51="","",(1/'Metadata'!$B$5)^(O51-1))</x:f>
        <x:v>338.84415613920237</x:v>
      </x:c>
      <x:c r="U51" s="31" t="n">
        <x:f>IF(T51="","",I51*T51)</x:f>
        <x:v>752454.2209862873</x:v>
      </x:c>
    </x:row>
    <x:row r="52" ht="18" customHeight="1">
      <x:c r="A52" s="24" t="str">
        <x:v>EEZ_851</x:v>
      </x:c>
      <x:c r="B52" s="24" t="str">
        <x:v>USA (East Coast)</x:v>
      </x:c>
      <x:c r="C52" s="24" t="str">
        <x:v>EEZ</x:v>
      </x:c>
      <x:c r="D52" s="30" t="n">
        <x:v>2019</x:v>
      </x:c>
      <x:c r="E52" s="24" t="str">
        <x:v>Urophycis tenuis</x:v>
      </x:c>
      <x:c r="F52" s="24" t="str">
        <x:v>White hake</x:v>
      </x:c>
      <x:c r="G52" s="24" t="str">
        <x:v>Large demersals (&gt;=90 cm)</x:v>
      </x:c>
      <x:c r="H52" s="24" t="str">
        <x:v>Cod-likes</x:v>
      </x:c>
      <x:c r="I52" s="31" t="n">
        <x:v>2201.4563137902</x:v>
      </x:c>
      <x:c r="J52" s="31" t="n">
        <x:v>2179.5735626053997</x:v>
      </x:c>
      <x:c r="K52" s="31" t="n">
        <x:v>21.8827511848</x:v>
      </x:c>
      <x:c r="L52" s="31" t="n">
        <x:v>1952.9451785480999</x:v>
      </x:c>
      <x:c r="M52" s="31" t="n">
        <x:v>248.51113524209998</x:v>
      </x:c>
      <x:c r="N52" s="24" t="str">
        <x:v>urophycis tenuis</x:v>
      </x:c>
      <x:c r="O52" s="32" t="n">
        <x:v>4.27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Urophycis tenuis</x:v>
      </x:c>
      <x:c r="T52" s="32" t="n">
        <x:f>IF(O52="","",(1/'Metadata'!$B$5)^(O52-1))</x:f>
        <x:v>1862.0871366628655</x:v>
      </x:c>
      <x:c r="U52" s="31" t="n">
        <x:f>IF(T52="","",I52*T52)</x:f>
        <x:v>4099303.4838339803</x:v>
      </x:c>
    </x:row>
    <x:row r="53" ht="18" customHeight="1">
      <x:c r="A53" s="24" t="str">
        <x:v>EEZ_851</x:v>
      </x:c>
      <x:c r="B53" s="24" t="str">
        <x:v>USA (East Coast)</x:v>
      </x:c>
      <x:c r="C53" s="24" t="str">
        <x:v>EEZ</x:v>
      </x:c>
      <x:c r="D53" s="30" t="n">
        <x:v>2019</x:v>
      </x:c>
      <x:c r="E53" s="24" t="str">
        <x:v>Scomberomorus</x:v>
      </x:c>
      <x:c r="F53" s="24" t="str">
        <x:v>Spanish mackerels</x:v>
      </x:c>
      <x:c r="G53" s="24" t="str">
        <x:v>Large pelagics (&gt;=90 cm)</x:v>
      </x:c>
      <x:c r="H53" s="24" t="str">
        <x:v>Perch-likes</x:v>
      </x:c>
      <x:c r="I53" s="31" t="n">
        <x:v>2200.695481544</x:v>
      </x:c>
      <x:c r="J53" s="31" t="n">
        <x:v>2200.695481544</x:v>
      </x:c>
      <x:c r="K53" s="31" t="n">
        <x:v>0</x:v>
      </x:c>
      <x:c r="L53" s="31" t="n">
        <x:v>0</x:v>
      </x:c>
      <x:c r="M53" s="31" t="n">
        <x:v>2200.695481544</x:v>
      </x:c>
      <x:c r="N53" s="24" t="str">
        <x:v>scomberomorus</x:v>
      </x:c>
      <x:c r="O53" s="32" t="n">
        <x:v>4.35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Scomberomorus</x:v>
      </x:c>
      <x:c r="T53" s="32" t="n">
        <x:f>IF(O53="","",(1/'Metadata'!$B$5)^(O53-1))</x:f>
        <x:v>2238.7211385683377</x:v>
      </x:c>
      <x:c r="U53" s="31" t="n">
        <x:f>IF(T53="","",I53*T53)</x:f>
        <x:v>4926743.49408438</x:v>
      </x:c>
    </x:row>
    <x:row r="54" ht="18" customHeight="1">
      <x:c r="A54" s="24" t="str">
        <x:v>EEZ_851</x:v>
      </x:c>
      <x:c r="B54" s="24" t="str">
        <x:v>USA (East Coast)</x:v>
      </x:c>
      <x:c r="C54" s="24" t="str">
        <x:v>EEZ</x:v>
      </x:c>
      <x:c r="D54" s="30" t="n">
        <x:v>2019</x:v>
      </x:c>
      <x:c r="E54" s="24" t="str">
        <x:v>Pogonias courbina</x:v>
      </x:c>
      <x:c r="F54" s="24" t="str">
        <x:v>Black drum</x:v>
      </x:c>
      <x:c r="G54" s="24" t="str">
        <x:v>Large demersals (&gt;=90 cm)</x:v>
      </x:c>
      <x:c r="H54" s="24" t="str">
        <x:v>Perch-likes</x:v>
      </x:c>
      <x:c r="I54" s="31" t="n">
        <x:v>2015.4739823226</x:v>
      </x:c>
      <x:c r="J54" s="31" t="n">
        <x:v>2012.6051324126</x:v>
      </x:c>
      <x:c r="K54" s="31" t="n">
        <x:v>2.86884991</x:v>
      </x:c>
      <x:c r="L54" s="31" t="n">
        <x:v>110.82726275009999</x:v>
      </x:c>
      <x:c r="M54" s="31" t="n">
        <x:v>1904.6467195725</x:v>
      </x:c>
      <x:c r="N54" s="24" t="str">
        <x:v>pogonias courbina</x:v>
      </x:c>
      <x:c r="O54" s="32" t="n">
        <x:v>3.89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Pogonias courbina</x:v>
      </x:c>
      <x:c r="T54" s="32" t="n">
        <x:f>IF(O54="","",(1/'Metadata'!$B$5)^(O54-1))</x:f>
        <x:v>776.247116628692</x:v>
      </x:c>
      <x:c r="U54" s="31" t="n">
        <x:f>IF(T54="","",I54*T54)</x:f>
        <x:v>1564505.8674180657</x:v>
      </x:c>
    </x:row>
    <x:row r="55" ht="18" customHeight="1">
      <x:c r="A55" s="24" t="str">
        <x:v>EEZ_851</x:v>
      </x:c>
      <x:c r="B55" s="24" t="str">
        <x:v>USA (East Coast)</x:v>
      </x:c>
      <x:c r="C55" s="24" t="str">
        <x:v>EEZ</x:v>
      </x:c>
      <x:c r="D55" s="30" t="n">
        <x:v>2019</x:v>
      </x:c>
      <x:c r="E55" s="24" t="str">
        <x:v>Sciaenidae</x:v>
      </x:c>
      <x:c r="F55" s="24" t="str">
        <x:v>Drums, croakers</x:v>
      </x:c>
      <x:c r="G55" s="24" t="str">
        <x:v>Medium demersals (30 - 89 cm)</x:v>
      </x:c>
      <x:c r="H55" s="24" t="str">
        <x:v>Perch-likes</x:v>
      </x:c>
      <x:c r="I55" s="31" t="n">
        <x:v>1981.854281667</x:v>
      </x:c>
      <x:c r="J55" s="31" t="n">
        <x:v>0.12854475370000001</x:v>
      </x:c>
      <x:c r="K55" s="31" t="n">
        <x:v>1981.7257369133</x:v>
      </x:c>
      <x:c r="L55" s="31" t="n">
        <x:v>0</x:v>
      </x:c>
      <x:c r="M55" s="31" t="n">
        <x:v>1981.854281667</x:v>
      </x:c>
      <x:c r="N55" s="24" t="str">
        <x:v>sciaenidae</x:v>
      </x:c>
      <x:c r="O55" s="32" t="n">
        <x:v>3.76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Sciaenidae</x:v>
      </x:c>
      <x:c r="T55" s="32" t="n">
        <x:f>IF(O55="","",(1/'Metadata'!$B$5)^(O55-1))</x:f>
        <x:v>575.4399373371566</x:v>
      </x:c>
      <x:c r="U55" s="31" t="n">
        <x:f>IF(T55="","",I55*T55)</x:f>
        <x:v>1140438.103653834</x:v>
      </x:c>
    </x:row>
    <x:row r="56" ht="18" customHeight="1">
      <x:c r="A56" s="24" t="str">
        <x:v>EEZ_851</x:v>
      </x:c>
      <x:c r="B56" s="24" t="str">
        <x:v>USA (East Coast)</x:v>
      </x:c>
      <x:c r="C56" s="24" t="str">
        <x:v>EEZ</x:v>
      </x:c>
      <x:c r="D56" s="30" t="n">
        <x:v>2019</x:v>
      </x:c>
      <x:c r="E56" s="24" t="str">
        <x:v>Trachinotus carolinus</x:v>
      </x:c>
      <x:c r="F56" s="24" t="str">
        <x:v>Florida pompano</x:v>
      </x:c>
      <x:c r="G56" s="24" t="str">
        <x:v>Medium benthopelagics (30 - 89 cm)</x:v>
      </x:c>
      <x:c r="H56" s="24" t="str">
        <x:v>Perch-likes</x:v>
      </x:c>
      <x:c r="I56" s="31" t="n">
        <x:v>1835.4161461992999</x:v>
      </x:c>
      <x:c r="J56" s="31" t="n">
        <x:v>1828.6499907481</x:v>
      </x:c>
      <x:c r="K56" s="31" t="n">
        <x:v>6.7661554512</x:v>
      </x:c>
      <x:c r="L56" s="31" t="n">
        <x:v>103.7321624631</x:v>
      </x:c>
      <x:c r="M56" s="31" t="n">
        <x:v>1731.6839837362</x:v>
      </x:c>
      <x:c r="N56" s="24" t="str">
        <x:v>trachinotus carolinus</x:v>
      </x:c>
      <x:c r="O56" s="32" t="n">
        <x:v>3.5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Trachinotus carolinus</x:v>
      </x:c>
      <x:c r="T56" s="32" t="n">
        <x:f>IF(O56="","",(1/'Metadata'!$B$5)^(O56-1))</x:f>
        <x:v>316.22776601683796</x:v>
      </x:c>
      <x:c r="U56" s="31" t="n">
        <x:f>IF(T56="","",I56*T56)</x:f>
        <x:v>580409.5476238386</x:v>
      </x:c>
    </x:row>
    <x:row r="57" ht="18" customHeight="1">
      <x:c r="A57" s="24" t="str">
        <x:v>EEZ_851</x:v>
      </x:c>
      <x:c r="B57" s="24" t="str">
        <x:v>USA (East Coast)</x:v>
      </x:c>
      <x:c r="C57" s="24" t="str">
        <x:v>EEZ</x:v>
      </x:c>
      <x:c r="D57" s="30" t="n">
        <x:v>2019</x:v>
      </x:c>
      <x:c r="E57" s="24" t="str">
        <x:v>Morone americana</x:v>
      </x:c>
      <x:c r="F57" s="24" t="str">
        <x:v>White perch</x:v>
      </x:c>
      <x:c r="G57" s="24" t="str">
        <x:v>Medium demersals (30 - 89 cm)</x:v>
      </x:c>
      <x:c r="H57" s="24" t="str">
        <x:v>Perch-likes</x:v>
      </x:c>
      <x:c r="I57" s="31" t="n">
        <x:v>1771.0536844084</x:v>
      </x:c>
      <x:c r="J57" s="31" t="n">
        <x:v>1771.0536844084</x:v>
      </x:c>
      <x:c r="K57" s="31" t="n">
        <x:v>0</x:v>
      </x:c>
      <x:c r="L57" s="31" t="n">
        <x:v>604.704212055</x:v>
      </x:c>
      <x:c r="M57" s="31" t="n">
        <x:v>1166.3494723534</x:v>
      </x:c>
      <x:c r="N57" s="24" t="str">
        <x:v>morone americana</x:v>
      </x:c>
      <x:c r="O57" s="32" t="n">
        <x:v>3.14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Morone americana</x:v>
      </x:c>
      <x:c r="T57" s="32" t="n">
        <x:f>IF(O57="","",(1/'Metadata'!$B$5)^(O57-1))</x:f>
        <x:v>138.03842646028852</x:v>
      </x:c>
      <x:c r="U57" s="31" t="n">
        <x:f>IF(T57="","",I57*T57)</x:f>
        <x:v>244473.46377243195</x:v>
      </x:c>
    </x:row>
    <x:row r="58" ht="18" customHeight="1">
      <x:c r="A58" s="24" t="str">
        <x:v>EEZ_851</x:v>
      </x:c>
      <x:c r="B58" s="24" t="str">
        <x:v>USA (East Coast)</x:v>
      </x:c>
      <x:c r="C58" s="24" t="str">
        <x:v>EEZ</x:v>
      </x:c>
      <x:c r="D58" s="30" t="n">
        <x:v>2019</x:v>
      </x:c>
      <x:c r="E58" s="24" t="str">
        <x:v>Menticirrhus americanus</x:v>
      </x:c>
      <x:c r="F58" s="24" t="str">
        <x:v>Southern kingcroaker</x:v>
      </x:c>
      <x:c r="G58" s="24" t="str">
        <x:v>Medium demersals (30 - 89 cm)</x:v>
      </x:c>
      <x:c r="H58" s="24" t="str">
        <x:v>Perch-likes</x:v>
      </x:c>
      <x:c r="I58" s="31" t="n">
        <x:v>1746.2813131442</x:v>
      </x:c>
      <x:c r="J58" s="31" t="n">
        <x:v>1482.9401920121002</x:v>
      </x:c>
      <x:c r="K58" s="31" t="n">
        <x:v>263.3411211321</x:v>
      </x:c>
      <x:c r="L58" s="31" t="n">
        <x:v>0</x:v>
      </x:c>
      <x:c r="M58" s="31" t="n">
        <x:v>1746.2813131442</x:v>
      </x:c>
      <x:c r="N58" s="24" t="str">
        <x:v>menticirrhus americanus</x:v>
      </x:c>
      <x:c r="O58" s="32" t="n">
        <x:v>3.5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Menticirrhus americanus</x:v>
      </x:c>
      <x:c r="T58" s="32" t="n">
        <x:f>IF(O58="","",(1/'Metadata'!$B$5)^(O58-1))</x:f>
        <x:v>316.22776601683796</x:v>
      </x:c>
      <x:c r="U58" s="31" t="n">
        <x:f>IF(T58="","",I58*T58)</x:f>
        <x:v>552222.6384925407</x:v>
      </x:c>
    </x:row>
    <x:row r="59" ht="18" customHeight="1">
      <x:c r="A59" s="24" t="str">
        <x:v>EEZ_851</x:v>
      </x:c>
      <x:c r="B59" s="24" t="str">
        <x:v>USA (East Coast)</x:v>
      </x:c>
      <x:c r="C59" s="24" t="str">
        <x:v>EEZ</x:v>
      </x:c>
      <x:c r="D59" s="30" t="n">
        <x:v>2019</x:v>
      </x:c>
      <x:c r="E59" s="24" t="str">
        <x:v>Euthynnus alletteratus</x:v>
      </x:c>
      <x:c r="F59" s="24" t="str">
        <x:v>Little tunny </x:v>
      </x:c>
      <x:c r="G59" s="24" t="str">
        <x:v>Large pelagics (&gt;=90 cm)</x:v>
      </x:c>
      <x:c r="H59" s="24" t="str">
        <x:v>Tuna &amp; billfishes</x:v>
      </x:c>
      <x:c r="I59" s="31" t="n">
        <x:v>1727.6632062647998</x:v>
      </x:c>
      <x:c r="J59" s="31" t="n">
        <x:v>1669.354041485</x:v>
      </x:c>
      <x:c r="K59" s="31" t="n">
        <x:v>58.3091647798</x:v>
      </x:c>
      <x:c r="L59" s="31" t="n">
        <x:v>842.0266130729</x:v>
      </x:c>
      <x:c r="M59" s="31" t="n">
        <x:v>885.6365931918999</x:v>
      </x:c>
      <x:c r="N59" s="24" t="str">
        <x:v>euthynnus alletteratus</x:v>
      </x:c>
      <x:c r="O59" s="32" t="n">
        <x:v>4.49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Euthynnus alletteratus</x:v>
      </x:c>
      <x:c r="T59" s="32" t="n">
        <x:f>IF(O59="","",(1/'Metadata'!$B$5)^(O59-1))</x:f>
        <x:v>3090.295432513592</x:v>
      </x:c>
      <x:c r="U59" s="31" t="n">
        <x:f>IF(T59="","",I59*T59)</x:f>
        <x:v>5338989.715241899</x:v>
      </x:c>
    </x:row>
    <x:row r="60" ht="18" customHeight="1">
      <x:c r="A60" s="24" t="str">
        <x:v>EEZ_851</x:v>
      </x:c>
      <x:c r="B60" s="24" t="str">
        <x:v>USA (East Coast)</x:v>
      </x:c>
      <x:c r="C60" s="24" t="str">
        <x:v>EEZ</x:v>
      </x:c>
      <x:c r="D60" s="30" t="n">
        <x:v>2019</x:v>
      </x:c>
      <x:c r="E60" s="24" t="str">
        <x:v>Rajiformes</x:v>
      </x:c>
      <x:c r="F60" s="24" t="str">
        <x:v>Skates and rays</x:v>
      </x:c>
      <x:c r="G60" s="24" t="str">
        <x:v>Large rays (&gt;=90 cm)</x:v>
      </x:c>
      <x:c r="H60" s="24" t="str">
        <x:v>Sharks &amp; rays</x:v>
      </x:c>
      <x:c r="I60" s="31" t="n">
        <x:v>1540.8667389249</x:v>
      </x:c>
      <x:c r="J60" s="31" t="n">
        <x:v>1540.8667389249</x:v>
      </x:c>
      <x:c r="K60" s="31" t="n">
        <x:v>0</x:v>
      </x:c>
      <x:c r="L60" s="31" t="n">
        <x:v>0</x:v>
      </x:c>
      <x:c r="M60" s="31" t="n">
        <x:v>1540.8667389249</x:v>
      </x:c>
      <x:c r="N60" s="24" t="str">
        <x:v>rajiformes</x:v>
      </x:c>
      <x:c r="O60" s="32" t="n">
        <x:v>3.61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Rajiformes</x:v>
      </x:c>
      <x:c r="T60" s="32" t="n">
        <x:f>IF(O60="","",(1/'Metadata'!$B$5)^(O60-1))</x:f>
        <x:v>407.3802778041126</x:v>
      </x:c>
      <x:c r="U60" s="31" t="n">
        <x:f>IF(T60="","",I60*T60)</x:f>
        <x:v>627718.7201623428</x:v>
      </x:c>
    </x:row>
    <x:row r="61" ht="18" customHeight="1">
      <x:c r="A61" s="24" t="str">
        <x:v>EEZ_851</x:v>
      </x:c>
      <x:c r="B61" s="24" t="str">
        <x:v>USA (East Coast)</x:v>
      </x:c>
      <x:c r="C61" s="24" t="str">
        <x:v>EEZ</x:v>
      </x:c>
      <x:c r="D61" s="30" t="n">
        <x:v>2019</x:v>
      </x:c>
      <x:c r="E61" s="24" t="str">
        <x:v>Cynoscion</x:v>
      </x:c>
      <x:c r="F61" s="24" t="str">
        <x:v>Weakfishes</x:v>
      </x:c>
      <x:c r="G61" s="24" t="str">
        <x:v>Medium demersals (30 - 89 cm)</x:v>
      </x:c>
      <x:c r="H61" s="24" t="str">
        <x:v>Perch-likes</x:v>
      </x:c>
      <x:c r="I61" s="31" t="n">
        <x:v>1508.221770746</x:v>
      </x:c>
      <x:c r="J61" s="31" t="n">
        <x:v>159.35398998579998</x:v>
      </x:c>
      <x:c r="K61" s="31" t="n">
        <x:v>1348.8677807602</x:v>
      </x:c>
      <x:c r="L61" s="31" t="n">
        <x:v>0.0453592912</x:v>
      </x:c>
      <x:c r="M61" s="31" t="n">
        <x:v>1508.1764114548</x:v>
      </x:c>
      <x:c r="N61" s="24" t="str">
        <x:v>cynoscion</x:v>
      </x:c>
      <x:c r="O61" s="32" t="n">
        <x:v>4.21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Cynoscion</x:v>
      </x:c>
      <x:c r="T61" s="32" t="n">
        <x:f>IF(O61="","",(1/'Metadata'!$B$5)^(O61-1))</x:f>
        <x:v>1621.8100973589299</x:v>
      </x:c>
      <x:c r="U61" s="31" t="n">
        <x:f>IF(T61="","",I61*T61)</x:f>
        <x:v>2446049.2968524275</x:v>
      </x:c>
    </x:row>
    <x:row r="62" ht="18" customHeight="1">
      <x:c r="A62" s="24" t="str">
        <x:v>EEZ_851</x:v>
      </x:c>
      <x:c r="B62" s="24" t="str">
        <x:v>USA (East Coast)</x:v>
      </x:c>
      <x:c r="C62" s="24" t="str">
        <x:v>EEZ</x:v>
      </x:c>
      <x:c r="D62" s="30" t="n">
        <x:v>2019</x:v>
      </x:c>
      <x:c r="E62" s="24" t="str">
        <x:v>Lophiidae</x:v>
      </x:c>
      <x:c r="F62" s="24" t="str">
        <x:v>Goosefishes</x:v>
      </x:c>
      <x:c r="G62" s="24" t="str">
        <x:v>Medium bathydemersals (30 - 89 cm)</x:v>
      </x:c>
      <x:c r="H62" s="24" t="str">
        <x:v>Other fishes &amp; inverts</x:v>
      </x:c>
      <x:c r="I62" s="31" t="n">
        <x:v>1482.9540763232</x:v>
      </x:c>
      <x:c r="J62" s="31" t="n">
        <x:v>1397.7807050897</x:v>
      </x:c>
      <x:c r="K62" s="31" t="n">
        <x:v>85.1733712335</x:v>
      </x:c>
      <x:c r="L62" s="31" t="n">
        <x:v>0</x:v>
      </x:c>
      <x:c r="M62" s="31" t="n">
        <x:v>1482.9540763232</x:v>
      </x:c>
      <x:c r="N62" s="24" t="str">
        <x:v>lophiidae</x:v>
      </x:c>
      <x:c r="O62" s="32" t="n">
        <x:v>4.46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Lophiidae</x:v>
      </x:c>
      <x:c r="T62" s="32" t="n">
        <x:f>IF(O62="","",(1/'Metadata'!$B$5)^(O62-1))</x:f>
        <x:v>2884.031503126606</x:v>
      </x:c>
      <x:c r="U62" s="31" t="n">
        <x:f>IF(T62="","",I62*T62)</x:f>
        <x:v>4276886.273806126</x:v>
      </x:c>
    </x:row>
    <x:row r="63" ht="18" customHeight="1">
      <x:c r="A63" s="24" t="str">
        <x:v>EEZ_851</x:v>
      </x:c>
      <x:c r="B63" s="24" t="str">
        <x:v>USA (East Coast)</x:v>
      </x:c>
      <x:c r="C63" s="24" t="str">
        <x:v>EEZ</x:v>
      </x:c>
      <x:c r="D63" s="30" t="n">
        <x:v>2019</x:v>
      </x:c>
      <x:c r="E63" s="24" t="str">
        <x:v>Stomolophus</x:v>
      </x:c>
      <x:c r="F63" s="24" t="str">
        <x:v>Cannonball jellies</x:v>
      </x:c>
      <x:c r="G63" s="24" t="str">
        <x:v>Jellyfish</x:v>
      </x:c>
      <x:c r="H63" s="24" t="str">
        <x:v>Other fishes &amp; inverts</x:v>
      </x:c>
      <x:c r="I63" s="31" t="n">
        <x:v>1439.2695221143</x:v>
      </x:c>
      <x:c r="J63" s="31" t="n">
        <x:v>0</x:v>
      </x:c>
      <x:c r="K63" s="31" t="n">
        <x:v>1439.2695221143</x:v>
      </x:c>
      <x:c r="L63" s="31" t="n">
        <x:v>0</x:v>
      </x:c>
      <x:c r="M63" s="31" t="n">
        <x:v>1439.2695221143</x:v>
      </x:c>
      <x:c r="N63" s="24" t="str">
        <x:v>stomolophus</x:v>
      </x:c>
      <x:c r="O63" s="32" t="n">
        <x:v>3.46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Stomolophus</x:v>
      </x:c>
      <x:c r="T63" s="32" t="n">
        <x:f>IF(O63="","",(1/'Metadata'!$B$5)^(O63-1))</x:f>
        <x:v>288.40315031266056</x:v>
      </x:c>
      <x:c r="U63" s="31" t="n">
        <x:f>IF(T63="","",I63*T63)</x:f>
        <x:v>415089.86432676157</x:v>
      </x:c>
    </x:row>
    <x:row r="64" ht="18" customHeight="1">
      <x:c r="A64" s="24" t="str">
        <x:v>EEZ_851</x:v>
      </x:c>
      <x:c r="B64" s="24" t="str">
        <x:v>USA (East Coast)</x:v>
      </x:c>
      <x:c r="C64" s="24" t="str">
        <x:v>EEZ</x:v>
      </x:c>
      <x:c r="D64" s="30" t="n">
        <x:v>2019</x:v>
      </x:c>
      <x:c r="E64" s="24" t="str">
        <x:v>Alopias vulpinus</x:v>
      </x:c>
      <x:c r="F64" s="24" t="str">
        <x:v>Thresher</x:v>
      </x:c>
      <x:c r="G64" s="24" t="str">
        <x:v>Large sharks (&gt;=90 cm)</x:v>
      </x:c>
      <x:c r="H64" s="24" t="str">
        <x:v>Sharks &amp; rays</x:v>
      </x:c>
      <x:c r="I64" s="31" t="n">
        <x:v>1345.5393684988</x:v>
      </x:c>
      <x:c r="J64" s="31" t="n">
        <x:v>1345.5393684988</x:v>
      </x:c>
      <x:c r="K64" s="31" t="n">
        <x:v>0</x:v>
      </x:c>
      <x:c r="L64" s="31" t="n">
        <x:v>31.201295456900002</x:v>
      </x:c>
      <x:c r="M64" s="31" t="n">
        <x:v>1314.3380730419</x:v>
      </x:c>
      <x:c r="N64" s="24" t="str">
        <x:v>alopias vulpinus</x:v>
      </x:c>
      <x:c r="O64" s="32" t="n">
        <x:v>4.5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Alopias vulpinus</x:v>
      </x:c>
      <x:c r="T64" s="32" t="n">
        <x:f>IF(O64="","",(1/'Metadata'!$B$5)^(O64-1))</x:f>
        <x:v>3162.2776601683795</x:v>
      </x:c>
      <x:c r="U64" s="31" t="n">
        <x:f>IF(T64="","",I64*T64)</x:f>
        <x:v>4254969.085880824</x:v>
      </x:c>
    </x:row>
    <x:row r="65" ht="18" customHeight="1">
      <x:c r="A65" s="24" t="str">
        <x:v>EEZ_851</x:v>
      </x:c>
      <x:c r="B65" s="24" t="str">
        <x:v>USA (East Coast)</x:v>
      </x:c>
      <x:c r="C65" s="24" t="str">
        <x:v>EEZ</x:v>
      </x:c>
      <x:c r="D65" s="30" t="n">
        <x:v>2019</x:v>
      </x:c>
      <x:c r="E65" s="24" t="str">
        <x:v>Miscellaneous aquatic invertebrates</x:v>
      </x:c>
      <x:c r="F65" s="24" t="str">
        <x:v>Aquatic invertebrates</x:v>
      </x:c>
      <x:c r="G65" s="24" t="str">
        <x:v>Other demersal invertebrates</x:v>
      </x:c>
      <x:c r="H65" s="24" t="str">
        <x:v>Other fishes &amp; inverts</x:v>
      </x:c>
      <x:c r="I65" s="31" t="n">
        <x:v>1324.6396511802</x:v>
      </x:c>
      <x:c r="J65" s="31" t="n">
        <x:v>0</x:v>
      </x:c>
      <x:c r="K65" s="31" t="n">
        <x:v>1324.6396511802</x:v>
      </x:c>
      <x:c r="L65" s="31" t="n">
        <x:v>0</x:v>
      </x:c>
      <x:c r="M65" s="31" t="n">
        <x:v>1324.6396511802</x:v>
      </x:c>
      <x:c r="N65" s="24" t="str">
        <x:v>miscellaneous aquatic invertebrates</x:v>
      </x:c>
      <x:c r="O65" s="32" t="n">
        <x:v>2.43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Miscellaneous aquatic invertebrates</x:v>
      </x:c>
      <x:c r="T65" s="32" t="n">
        <x:f>IF(O65="","",(1/'Metadata'!$B$5)^(O65-1))</x:f>
        <x:v>26.915348039269166</x:v>
      </x:c>
      <x:c r="U65" s="31" t="n">
        <x:f>IF(T65="","",I65*T65)</x:f>
        <x:v>35653.13723813119</x:v>
      </x:c>
    </x:row>
    <x:row r="66" ht="18" customHeight="1">
      <x:c r="A66" s="24" t="str">
        <x:v>EEZ_851</x:v>
      </x:c>
      <x:c r="B66" s="24" t="str">
        <x:v>USA (East Coast)</x:v>
      </x:c>
      <x:c r="C66" s="24" t="str">
        <x:v>EEZ</x:v>
      </x:c>
      <x:c r="D66" s="30" t="n">
        <x:v>2019</x:v>
      </x:c>
      <x:c r="E66" s="24" t="str">
        <x:v>Dorosoma cepedianum</x:v>
      </x:c>
      <x:c r="F66" s="24" t="str">
        <x:v>American gizzard shad</x:v>
      </x:c>
      <x:c r="G66" s="24" t="str">
        <x:v>Medium pelagics (30 - 89 cm)</x:v>
      </x:c>
      <x:c r="H66" s="24" t="str">
        <x:v>Herring-likes</x:v>
      </x:c>
      <x:c r="I66" s="31" t="n">
        <x:v>1191.2885854676</x:v>
      </x:c>
      <x:c r="J66" s="31" t="n">
        <x:v>1191.2885854676</x:v>
      </x:c>
      <x:c r="K66" s="31" t="n">
        <x:v>0</x:v>
      </x:c>
      <x:c r="L66" s="31" t="n">
        <x:v>1085.942702108</x:v>
      </x:c>
      <x:c r="M66" s="31" t="n">
        <x:v>105.3458833596</x:v>
      </x:c>
      <x:c r="N66" s="24" t="str">
        <x:v>dorosoma cepedianum</x:v>
      </x:c>
      <x:c r="O66" s="32" t="n">
        <x:v>2.4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Dorosoma cepedianum</x:v>
      </x:c>
      <x:c r="T66" s="32" t="n">
        <x:f>IF(O66="","",(1/'Metadata'!$B$5)^(O66-1))</x:f>
        <x:v>25.118864315095795</x:v>
      </x:c>
      <x:c r="U66" s="31" t="n">
        <x:f>IF(T66="","",I66*T66)</x:f>
        <x:v>29923.81633848304</x:v>
      </x:c>
    </x:row>
    <x:row r="67" ht="18" customHeight="1">
      <x:c r="A67" s="24" t="str">
        <x:v>EEZ_851</x:v>
      </x:c>
      <x:c r="B67" s="24" t="str">
        <x:v>USA (East Coast)</x:v>
      </x:c>
      <x:c r="C67" s="24" t="str">
        <x:v>EEZ</x:v>
      </x:c>
      <x:c r="D67" s="30" t="n">
        <x:v>2019</x:v>
      </x:c>
      <x:c r="E67" s="24" t="str">
        <x:v>Rachycentron canadum</x:v>
      </x:c>
      <x:c r="F67" s="24" t="str">
        <x:v>Cobia</x:v>
      </x:c>
      <x:c r="G67" s="24" t="str">
        <x:v>Large pelagics (&gt;=90 cm)</x:v>
      </x:c>
      <x:c r="H67" s="24" t="str">
        <x:v>Perch-likes</x:v>
      </x:c>
      <x:c r="I67" s="31" t="n">
        <x:v>1178.4062483461</x:v>
      </x:c>
      <x:c r="J67" s="31" t="n">
        <x:v>1178.4062483461</x:v>
      </x:c>
      <x:c r="K67" s="31" t="n">
        <x:v>0</x:v>
      </x:c>
      <x:c r="L67" s="31" t="n">
        <x:v>43.4356034181</x:v>
      </x:c>
      <x:c r="M67" s="31" t="n">
        <x:v>1134.970644928</x:v>
      </x:c>
      <x:c r="N67" s="24" t="str">
        <x:v>rachycentron canadum</x:v>
      </x:c>
      <x:c r="O67" s="32" t="n">
        <x:v>3.96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Rachycentron canadum</x:v>
      </x:c>
      <x:c r="T67" s="32" t="n">
        <x:f>IF(O67="","",(1/'Metadata'!$B$5)^(O67-1))</x:f>
        <x:v>912.0108393559096</x:v>
      </x:c>
      <x:c r="U67" s="31" t="n">
        <x:f>IF(T67="","",I67*T67)</x:f>
        <x:v>1074719.2716563751</x:v>
      </x:c>
    </x:row>
    <x:row r="68" ht="18" customHeight="1">
      <x:c r="A68" s="24" t="str">
        <x:v>EEZ_851</x:v>
      </x:c>
      <x:c r="B68" s="24" t="str">
        <x:v>USA (East Coast)</x:v>
      </x:c>
      <x:c r="C68" s="24" t="str">
        <x:v>EEZ</x:v>
      </x:c>
      <x:c r="D68" s="30" t="n">
        <x:v>2019</x:v>
      </x:c>
      <x:c r="E68" s="24" t="str">
        <x:v>Hippoglossoides platessoides</x:v>
      </x:c>
      <x:c r="F68" s="24" t="str">
        <x:v>American plaice</x:v>
      </x:c>
      <x:c r="G68" s="24" t="str">
        <x:v>Small to medium flatfishes (&lt;90 cm)</x:v>
      </x:c>
      <x:c r="H68" s="24" t="str">
        <x:v>Flatfishes</x:v>
      </x:c>
      <x:c r="I68" s="31" t="n">
        <x:v>1155.5760193712</x:v>
      </x:c>
      <x:c r="J68" s="31" t="n">
        <x:v>1145.6792114621999</x:v>
      </x:c>
      <x:c r="K68" s="31" t="n">
        <x:v>9.896807909</x:v>
      </x:c>
      <x:c r="L68" s="31" t="n">
        <x:v>983.810361823</x:v>
      </x:c>
      <x:c r="M68" s="31" t="n">
        <x:v>171.7656575482</x:v>
      </x:c>
      <x:c r="N68" s="24" t="str">
        <x:v>hippoglossoides platessoides</x:v>
      </x:c>
      <x:c r="O68" s="32" t="n">
        <x:v>4.08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Hippoglossoides platessoides</x:v>
      </x:c>
      <x:c r="T68" s="32" t="n">
        <x:f>IF(O68="","",(1/'Metadata'!$B$5)^(O68-1))</x:f>
        <x:v>1202.2644346174131</x:v>
      </x:c>
      <x:c r="U68" s="31" t="n">
        <x:f>IF(T68="","",I68*T68)</x:f>
        <x:v>1389307.9495867565</x:v>
      </x:c>
    </x:row>
    <x:row r="69" ht="18" customHeight="1">
      <x:c r="A69" s="24" t="str">
        <x:v>EEZ_851</x:v>
      </x:c>
      <x:c r="B69" s="24" t="str">
        <x:v>USA (East Coast)</x:v>
      </x:c>
      <x:c r="C69" s="24" t="str">
        <x:v>EEZ</x:v>
      </x:c>
      <x:c r="D69" s="30" t="n">
        <x:v>2019</x:v>
      </x:c>
      <x:c r="E69" s="24" t="str">
        <x:v>Lopholatilus chamaeleonticeps</x:v>
      </x:c>
      <x:c r="F69" s="24" t="str">
        <x:v>Great northern tilefish</x:v>
      </x:c>
      <x:c r="G69" s="24" t="str">
        <x:v>Large demersals (&gt;=90 cm)</x:v>
      </x:c>
      <x:c r="H69" s="24" t="str">
        <x:v>Perch-likes</x:v>
      </x:c>
      <x:c r="I69" s="31" t="n">
        <x:v>1114.4070261577</x:v>
      </x:c>
      <x:c r="J69" s="31" t="n">
        <x:v>1099.0356594758</x:v>
      </x:c>
      <x:c r="K69" s="31" t="n">
        <x:v>15.3713666819</x:v>
      </x:c>
      <x:c r="L69" s="31" t="n">
        <x:v>860.0933494562</x:v>
      </x:c>
      <x:c r="M69" s="31" t="n">
        <x:v>254.3136767015</x:v>
      </x:c>
      <x:c r="N69" s="24" t="str">
        <x:v>lopholatilus chamaeleonticeps</x:v>
      </x:c>
      <x:c r="O69" s="32" t="n">
        <x:v>3.85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Lopholatilus chamaeleonticeps</x:v>
      </x:c>
      <x:c r="T69" s="32" t="n">
        <x:f>IF(O69="","",(1/'Metadata'!$B$5)^(O69-1))</x:f>
        <x:v>707.945784384138</x:v>
      </x:c>
      <x:c r="U69" s="31" t="n">
        <x:f>IF(T69="","",I69*T69)</x:f>
        <x:v>788939.7562564076</x:v>
      </x:c>
    </x:row>
    <x:row r="70" ht="18" customHeight="1">
      <x:c r="A70" s="24" t="str">
        <x:v>EEZ_851</x:v>
      </x:c>
      <x:c r="B70" s="24" t="str">
        <x:v>USA (East Coast)</x:v>
      </x:c>
      <x:c r="C70" s="24" t="str">
        <x:v>EEZ</x:v>
      </x:c>
      <x:c r="D70" s="30" t="n">
        <x:v>2019</x:v>
      </x:c>
      <x:c r="E70" s="24" t="str">
        <x:v>Thunnus obesus</x:v>
      </x:c>
      <x:c r="F70" s="24" t="str">
        <x:v>Bigeye tuna</x:v>
      </x:c>
      <x:c r="G70" s="24" t="str">
        <x:v>Large pelagics (&gt;=90 cm)</x:v>
      </x:c>
      <x:c r="H70" s="24" t="str">
        <x:v>Tuna &amp; billfishes</x:v>
      </x:c>
      <x:c r="I70" s="31" t="n">
        <x:v>1111.2136556048</x:v>
      </x:c>
      <x:c r="J70" s="31" t="n">
        <x:v>1111.2136556048</x:v>
      </x:c>
      <x:c r="K70" s="31" t="n">
        <x:v>0</x:v>
      </x:c>
      <x:c r="L70" s="31" t="n">
        <x:v>839.7139140968</x:v>
      </x:c>
      <x:c r="M70" s="31" t="n">
        <x:v>271.499741508</x:v>
      </x:c>
      <x:c r="N70" s="24" t="str">
        <x:v>thunnus obesus</x:v>
      </x:c>
      <x:c r="O70" s="32" t="n">
        <x:v>4.49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Thunnus obesus</x:v>
      </x:c>
      <x:c r="T70" s="32" t="n">
        <x:f>IF(O70="","",(1/'Metadata'!$B$5)^(O70-1))</x:f>
        <x:v>3090.295432513592</x:v>
      </x:c>
      <x:c r="U70" s="31" t="n">
        <x:f>IF(T70="","",I70*T70)</x:f>
        <x:v>3433978.484462245</x:v>
      </x:c>
    </x:row>
    <x:row r="71" ht="18" customHeight="1">
      <x:c r="A71" s="24" t="str">
        <x:v>EEZ_851</x:v>
      </x:c>
      <x:c r="B71" s="24" t="str">
        <x:v>USA (East Coast)</x:v>
      </x:c>
      <x:c r="C71" s="24" t="str">
        <x:v>EEZ</x:v>
      </x:c>
      <x:c r="D71" s="30" t="n">
        <x:v>2019</x:v>
      </x:c>
      <x:c r="E71" s="24" t="str">
        <x:v>Cancer irroratus</x:v>
      </x:c>
      <x:c r="F71" s="24" t="str">
        <x:v>Atlantic rock crab</x:v>
      </x:c>
      <x:c r="G71" s="24" t="str">
        <x:v>Lobsters, crabs</x:v>
      </x:c>
      <x:c r="H71" s="24" t="str">
        <x:v>Crustaceans</x:v>
      </x:c>
      <x:c r="I71" s="31" t="n">
        <x:v>1109.4488089011002</x:v>
      </x:c>
      <x:c r="J71" s="31" t="n">
        <x:v>1109.4488089011002</x:v>
      </x:c>
      <x:c r="K71" s="31" t="n">
        <x:v>0</x:v>
      </x:c>
      <x:c r="L71" s="31" t="n">
        <x:v>965.0515735122001</x:v>
      </x:c>
      <x:c r="M71" s="31" t="n">
        <x:v>144.3972353889</x:v>
      </x:c>
      <x:c r="N71" s="24" t="str">
        <x:v>cancer irroratus</x:v>
      </x:c>
      <x:c r="O71" s="32" t="n">
        <x:v>3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Cancer irroratus</x:v>
      </x:c>
      <x:c r="T71" s="32" t="n">
        <x:f>IF(O71="","",(1/'Metadata'!$B$5)^(O71-1))</x:f>
        <x:v>100</x:v>
      </x:c>
      <x:c r="U71" s="31" t="n">
        <x:f>IF(T71="","",I71*T71)</x:f>
        <x:v>110944.88089011001</x:v>
      </x:c>
    </x:row>
    <x:row r="72" ht="18" customHeight="1">
      <x:c r="A72" s="24" t="str">
        <x:v>EEZ_851</x:v>
      </x:c>
      <x:c r="B72" s="24" t="str">
        <x:v>USA (East Coast)</x:v>
      </x:c>
      <x:c r="C72" s="24" t="str">
        <x:v>EEZ</x:v>
      </x:c>
      <x:c r="D72" s="30" t="n">
        <x:v>2019</x:v>
      </x:c>
      <x:c r="E72" s="24" t="str">
        <x:v>Mugil cephalus</x:v>
      </x:c>
      <x:c r="F72" s="24" t="str">
        <x:v>Flathead grey mullet</x:v>
      </x:c>
      <x:c r="G72" s="24" t="str">
        <x:v>Large benthopelagics (&gt;=90 cm)</x:v>
      </x:c>
      <x:c r="H72" s="24" t="str">
        <x:v>Perch-likes</x:v>
      </x:c>
      <x:c r="I72" s="31" t="n">
        <x:v>1082.6126790514002</x:v>
      </x:c>
      <x:c r="J72" s="31" t="n">
        <x:v>1082.6126790514002</x:v>
      </x:c>
      <x:c r="K72" s="31" t="n">
        <x:v>0</x:v>
      </x:c>
      <x:c r="L72" s="31" t="n">
        <x:v>1077.8474295001001</x:v>
      </x:c>
      <x:c r="M72" s="31" t="n">
        <x:v>4.7652495513</x:v>
      </x:c>
      <x:c r="N72" s="24" t="str">
        <x:v>mugil cephalus</x:v>
      </x:c>
      <x:c r="O72" s="32" t="n">
        <x:v>2.14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Mugil cephalus</x:v>
      </x:c>
      <x:c r="T72" s="32" t="n">
        <x:f>IF(O72="","",(1/'Metadata'!$B$5)^(O72-1))</x:f>
        <x:v>13.803842646028853</x:v>
      </x:c>
      <x:c r="U72" s="31" t="n">
        <x:f>IF(T72="","",I72*T72)</x:f>
        <x:v>14944.215068221265</x:v>
      </x:c>
    </x:row>
    <x:row r="73" ht="18" customHeight="1">
      <x:c r="A73" s="24" t="str">
        <x:v>EEZ_851</x:v>
      </x:c>
      <x:c r="B73" s="24" t="str">
        <x:v>USA (East Coast)</x:v>
      </x:c>
      <x:c r="C73" s="24" t="str">
        <x:v>EEZ</x:v>
      </x:c>
      <x:c r="D73" s="30" t="n">
        <x:v>2019</x:v>
      </x:c>
      <x:c r="E73" s="24" t="str">
        <x:v>Caranx crysos</x:v>
      </x:c>
      <x:c r="F73" s="24" t="str">
        <x:v>Blue runner</x:v>
      </x:c>
      <x:c r="G73" s="24" t="str">
        <x:v>Medium reef assoc. fish (30 - 89 cm)</x:v>
      </x:c>
      <x:c r="H73" s="24" t="str">
        <x:v>Perch-likes</x:v>
      </x:c>
      <x:c r="I73" s="31" t="n">
        <x:v>1064.9533178103</x:v>
      </x:c>
      <x:c r="J73" s="31" t="n">
        <x:v>1064.9533178103</x:v>
      </x:c>
      <x:c r="K73" s="31" t="n">
        <x:v>0</x:v>
      </x:c>
      <x:c r="L73" s="31" t="n">
        <x:v>48.33622120399999</x:v>
      </x:c>
      <x:c r="M73" s="31" t="n">
        <x:v>1016.6170966063</x:v>
      </x:c>
      <x:c r="N73" s="24" t="str">
        <x:v>caranx crysos</x:v>
      </x:c>
      <x:c r="O73" s="32" t="n">
        <x:v>4.13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Caranx crysos</x:v>
      </x:c>
      <x:c r="T73" s="32" t="n">
        <x:f>IF(O73="","",(1/'Metadata'!$B$5)^(O73-1))</x:f>
        <x:v>1348.9628825916532</x:v>
      </x:c>
      <x:c r="U73" s="31" t="n">
        <x:f>IF(T73="","",I73*T73)</x:f>
        <x:v>1436582.4974189273</x:v>
      </x:c>
    </x:row>
    <x:row r="74" ht="18" customHeight="1">
      <x:c r="A74" s="24" t="str">
        <x:v>EEZ_851</x:v>
      </x:c>
      <x:c r="B74" s="24" t="str">
        <x:v>USA (East Coast)</x:v>
      </x:c>
      <x:c r="C74" s="24" t="str">
        <x:v>EEZ</x:v>
      </x:c>
      <x:c r="D74" s="30" t="n">
        <x:v>2019</x:v>
      </x:c>
      <x:c r="E74" s="24" t="str">
        <x:v>Lutjanidae</x:v>
      </x:c>
      <x:c r="F74" s="24" t="str">
        <x:v>Snappers</x:v>
      </x:c>
      <x:c r="G74" s="24" t="str">
        <x:v>Medium reef assoc. fish (30 - 89 cm)</x:v>
      </x:c>
      <x:c r="H74" s="24" t="str">
        <x:v>Perch-likes</x:v>
      </x:c>
      <x:c r="I74" s="31" t="n">
        <x:v>1035.9960713322998</x:v>
      </x:c>
      <x:c r="J74" s="31" t="n">
        <x:v>1035.9833291897</x:v>
      </x:c>
      <x:c r="K74" s="31" t="n">
        <x:v>0.0127421426</x:v>
      </x:c>
      <x:c r="L74" s="31" t="n">
        <x:v>0.6318549230999999</x:v>
      </x:c>
      <x:c r="M74" s="31" t="n">
        <x:v>1035.3642164092</x:v>
      </x:c>
      <x:c r="N74" s="24" t="str">
        <x:v>lutjanidae</x:v>
      </x:c>
      <x:c r="O74" s="32" t="n">
        <x:v>4.02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Lutjanidae</x:v>
      </x:c>
      <x:c r="T74" s="32" t="n">
        <x:f>IF(O74="","",(1/'Metadata'!$B$5)^(O74-1))</x:f>
        <x:v>1047.1285480508984</x:v>
      </x:c>
      <x:c r="U74" s="31" t="n">
        <x:f>IF(T74="","",I74*T74)</x:f>
        <x:v>1084821.0619606262</x:v>
      </x:c>
    </x:row>
    <x:row r="75" ht="18" customHeight="1">
      <x:c r="A75" s="24" t="str">
        <x:v>EEZ_851</x:v>
      </x:c>
      <x:c r="B75" s="24" t="str">
        <x:v>USA (East Coast)</x:v>
      </x:c>
      <x:c r="C75" s="24" t="str">
        <x:v>EEZ</x:v>
      </x:c>
      <x:c r="D75" s="30" t="n">
        <x:v>2019</x:v>
      </x:c>
      <x:c r="E75" s="24" t="str">
        <x:v>Limulus polyphemus</x:v>
      </x:c>
      <x:c r="F75" s="24" t="str">
        <x:v>Horseshoe crab</x:v>
      </x:c>
      <x:c r="G75" s="24" t="str">
        <x:v>Lobsters, crabs</x:v>
      </x:c>
      <x:c r="H75" s="24" t="str">
        <x:v>Crustaceans</x:v>
      </x:c>
      <x:c r="I75" s="31" t="n">
        <x:v>1017.8017073602</x:v>
      </x:c>
      <x:c r="J75" s="31" t="n">
        <x:v>1017.8017073602</x:v>
      </x:c>
      <x:c r="K75" s="31" t="n">
        <x:v>0</x:v>
      </x:c>
      <x:c r="L75" s="31" t="n">
        <x:v>1017.8017073602</x:v>
      </x:c>
      <x:c r="M75" s="31" t="n">
        <x:v>0</x:v>
      </x:c>
      <x:c r="N75" s="24" t="str">
        <x:v>limulus polyphemus</x:v>
      </x:c>
      <x:c r="O75" s="32" t="n">
        <x:v>2.95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Limulus polyphemus</x:v>
      </x:c>
      <x:c r="T75" s="32" t="n">
        <x:f>IF(O75="","",(1/'Metadata'!$B$5)^(O75-1))</x:f>
        <x:v>89.12509381337459</x:v>
      </x:c>
      <x:c r="U75" s="31" t="n">
        <x:f>IF(T75="","",I75*T75)</x:f>
        <x:v>90711.67265189065</x:v>
      </x:c>
    </x:row>
    <x:row r="76" ht="18" customHeight="1">
      <x:c r="A76" s="24" t="str">
        <x:v>EEZ_851</x:v>
      </x:c>
      <x:c r="B76" s="24" t="str">
        <x:v>USA (East Coast)</x:v>
      </x:c>
      <x:c r="C76" s="24" t="str">
        <x:v>EEZ</x:v>
      </x:c>
      <x:c r="D76" s="30" t="n">
        <x:v>2019</x:v>
      </x:c>
      <x:c r="E76" s="24" t="str">
        <x:v>Caranx hippos</x:v>
      </x:c>
      <x:c r="F76" s="24" t="str">
        <x:v>Crevalle jack</x:v>
      </x:c>
      <x:c r="G76" s="24" t="str">
        <x:v>Large reef assoc. fish (&gt;=90 cm)</x:v>
      </x:c>
      <x:c r="H76" s="24" t="str">
        <x:v>Perch-likes</x:v>
      </x:c>
      <x:c r="I76" s="31" t="n">
        <x:v>979.6755113981001</x:v>
      </x:c>
      <x:c r="J76" s="31" t="n">
        <x:v>799.1944882981</x:v>
      </x:c>
      <x:c r="K76" s="31" t="n">
        <x:v>180.4810231</x:v>
      </x:c>
      <x:c r="L76" s="31" t="n">
        <x:v>107.3622664672</x:v>
      </x:c>
      <x:c r="M76" s="31" t="n">
        <x:v>872.3132449309</x:v>
      </x:c>
      <x:c r="N76" s="24" t="str">
        <x:v>caranx hippos</x:v>
      </x:c>
      <x:c r="O76" s="32" t="n">
        <x:v>3.56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Caranx hippos</x:v>
      </x:c>
      <x:c r="T76" s="32" t="n">
        <x:f>IF(O76="","",(1/'Metadata'!$B$5)^(O76-1))</x:f>
        <x:v>363.0780547701014</x:v>
      </x:c>
      <x:c r="U76" s="31" t="n">
        <x:f>IF(T76="","",I76*T76)</x:f>
        <x:v>355698.6789843265</x:v>
      </x:c>
    </x:row>
    <x:row r="77" ht="18" customHeight="1">
      <x:c r="A77" s="24" t="str">
        <x:v>EEZ_851</x:v>
      </x:c>
      <x:c r="B77" s="24" t="str">
        <x:v>USA (East Coast)</x:v>
      </x:c>
      <x:c r="C77" s="24" t="str">
        <x:v>EEZ</x:v>
      </x:c>
      <x:c r="D77" s="30" t="n">
        <x:v>2019</x:v>
      </x:c>
      <x:c r="E77" s="24" t="str">
        <x:v>Penaeus aztecus</x:v>
      </x:c>
      <x:c r="F77" s="24" t="str">
        <x:v>Northern brown shrimp</x:v>
      </x:c>
      <x:c r="G77" s="24" t="str">
        <x:v>Shrimps</x:v>
      </x:c>
      <x:c r="H77" s="24" t="str">
        <x:v>Crustaceans</x:v>
      </x:c>
      <x:c r="I77" s="31" t="n">
        <x:v>975.4778601601</x:v>
      </x:c>
      <x:c r="J77" s="31" t="n">
        <x:v>975.4778601601</x:v>
      </x:c>
      <x:c r="K77" s="31" t="n">
        <x:v>0</x:v>
      </x:c>
      <x:c r="L77" s="31" t="n">
        <x:v>975.4778601601</x:v>
      </x:c>
      <x:c r="M77" s="31" t="n">
        <x:v>0</x:v>
      </x:c>
      <x:c r="N77" s="24" t="str">
        <x:v>penaeus aztecus</x:v>
      </x:c>
      <x:c r="O77" s="32" t="n">
        <x:v>2.8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Penaeus aztecus</x:v>
      </x:c>
      <x:c r="T77" s="32" t="n">
        <x:f>IF(O77="","",(1/'Metadata'!$B$5)^(O77-1))</x:f>
        <x:v>63.0957344480193</x:v>
      </x:c>
      <x:c r="U77" s="31" t="n">
        <x:f>IF(T77="","",I77*T77)</x:f>
        <x:v>61548.49202458378</x:v>
      </x:c>
    </x:row>
    <x:row r="78" ht="18" customHeight="1">
      <x:c r="A78" s="24" t="str">
        <x:v>EEZ_851</x:v>
      </x:c>
      <x:c r="B78" s="24" t="str">
        <x:v>USA (East Coast)</x:v>
      </x:c>
      <x:c r="C78" s="24" t="str">
        <x:v>EEZ</x:v>
      </x:c>
      <x:c r="D78" s="30" t="n">
        <x:v>2019</x:v>
      </x:c>
      <x:c r="E78" s="24" t="str">
        <x:v>Lutjanus griseus</x:v>
      </x:c>
      <x:c r="F78" s="24" t="str">
        <x:v>Grey snapper</x:v>
      </x:c>
      <x:c r="G78" s="24" t="str">
        <x:v>Medium reef assoc. fish (30 - 89 cm)</x:v>
      </x:c>
      <x:c r="H78" s="24" t="str">
        <x:v>Perch-likes</x:v>
      </x:c>
      <x:c r="I78" s="31" t="n">
        <x:v>937.0369707559</x:v>
      </x:c>
      <x:c r="J78" s="31" t="n">
        <x:v>892.5864790623</x:v>
      </x:c>
      <x:c r="K78" s="31" t="n">
        <x:v>44.4504916936</x:v>
      </x:c>
      <x:c r="L78" s="31" t="n">
        <x:v>14.8383848486</x:v>
      </x:c>
      <x:c r="M78" s="31" t="n">
        <x:v>922.1985859073001</x:v>
      </x:c>
      <x:c r="N78" s="24" t="str">
        <x:v>lutjanus griseus</x:v>
      </x:c>
      <x:c r="O78" s="32" t="n">
        <x:v>4.23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Lutjanus griseus</x:v>
      </x:c>
      <x:c r="T78" s="32" t="n">
        <x:f>IF(O78="","",(1/'Metadata'!$B$5)^(O78-1))</x:f>
        <x:v>1698.243652461746</x:v>
      </x:c>
      <x:c r="U78" s="31" t="n">
        <x:f>IF(T78="","",I78*T78)</x:f>
        <x:v>1591317.0877081899</x:v>
      </x:c>
    </x:row>
    <x:row r="79" ht="18" customHeight="1">
      <x:c r="A79" s="24" t="str">
        <x:v>EEZ_851</x:v>
      </x:c>
      <x:c r="B79" s="24" t="str">
        <x:v>USA (East Coast)</x:v>
      </x:c>
      <x:c r="C79" s="24" t="str">
        <x:v>EEZ</x:v>
      </x:c>
      <x:c r="D79" s="30" t="n">
        <x:v>2019</x:v>
      </x:c>
      <x:c r="E79" s="24" t="str">
        <x:v>Malacostraca</x:v>
      </x:c>
      <x:c r="F79" s="24" t="str">
        <x:v>Lobsters, crabs, shrimps, krill</x:v>
      </x:c>
      <x:c r="G79" s="24" t="str">
        <x:v>Shrimps</x:v>
      </x:c>
      <x:c r="H79" s="24" t="str">
        <x:v>Crustaceans</x:v>
      </x:c>
      <x:c r="I79" s="31" t="n">
        <x:v>911.4726491844</x:v>
      </x:c>
      <x:c r="J79" s="31" t="n">
        <x:v>0</x:v>
      </x:c>
      <x:c r="K79" s="31" t="n">
        <x:v>911.4726491844</x:v>
      </x:c>
      <x:c r="L79" s="31" t="n">
        <x:v>0</x:v>
      </x:c>
      <x:c r="M79" s="31" t="n">
        <x:v>911.4726491844</x:v>
      </x:c>
      <x:c r="N79" s="24" t="str">
        <x:v>malacostraca</x:v>
      </x:c>
      <x:c r="O79" s="32" t="n">
        <x:v>3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Malacostraca</x:v>
      </x:c>
      <x:c r="T79" s="32" t="n">
        <x:f>IF(O79="","",(1/'Metadata'!$B$5)^(O79-1))</x:f>
        <x:v>100</x:v>
      </x:c>
      <x:c r="U79" s="31" t="n">
        <x:f>IF(T79="","",I79*T79)</x:f>
        <x:v>91147.26491843999</x:v>
      </x:c>
    </x:row>
    <x:row r="80" ht="18" customHeight="1">
      <x:c r="A80" s="24" t="str">
        <x:v>EEZ_851</x:v>
      </x:c>
      <x:c r="B80" s="24" t="str">
        <x:v>USA (East Coast)</x:v>
      </x:c>
      <x:c r="C80" s="24" t="str">
        <x:v>EEZ</x:v>
      </x:c>
      <x:c r="D80" s="30" t="n">
        <x:v>2019</x:v>
      </x:c>
      <x:c r="E80" s="24" t="str">
        <x:v>Acanthocybium solandri</x:v>
      </x:c>
      <x:c r="F80" s="24" t="str">
        <x:v>Wahoo</x:v>
      </x:c>
      <x:c r="G80" s="24" t="str">
        <x:v>Large pelagics (&gt;=90 cm)</x:v>
      </x:c>
      <x:c r="H80" s="24" t="str">
        <x:v>Perch-likes</x:v>
      </x:c>
      <x:c r="I80" s="31" t="n">
        <x:v>908.341747826</x:v>
      </x:c>
      <x:c r="J80" s="31" t="n">
        <x:v>907.2749262296</x:v>
      </x:c>
      <x:c r="K80" s="31" t="n">
        <x:v>1.0668215964</x:v>
      </x:c>
      <x:c r="L80" s="31" t="n">
        <x:v>27.005561045900002</x:v>
      </x:c>
      <x:c r="M80" s="31" t="n">
        <x:v>881.3361867801</x:v>
      </x:c>
      <x:c r="N80" s="24" t="str">
        <x:v>acanthocybium solandri</x:v>
      </x:c>
      <x:c r="O80" s="32" t="n">
        <x:v>4.26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Acanthocybium solandri</x:v>
      </x:c>
      <x:c r="T80" s="32" t="n">
        <x:f>IF(O80="","",(1/'Metadata'!$B$5)^(O80-1))</x:f>
        <x:v>1819.7008586099826</x:v>
      </x:c>
      <x:c r="U80" s="31" t="n">
        <x:f>IF(T80="","",I80*T80)</x:f>
        <x:v>1652910.2584302644</x:v>
      </x:c>
    </x:row>
    <x:row r="81" ht="18" customHeight="1">
      <x:c r="A81" s="24" t="str">
        <x:v>EEZ_851</x:v>
      </x:c>
      <x:c r="B81" s="24" t="str">
        <x:v>USA (East Coast)</x:v>
      </x:c>
      <x:c r="C81" s="24" t="str">
        <x:v>EEZ</x:v>
      </x:c>
      <x:c r="D81" s="30" t="n">
        <x:v>2019</x:v>
      </x:c>
      <x:c r="E81" s="24" t="str">
        <x:v>Squalidae</x:v>
      </x:c>
      <x:c r="F81" s="24" t="str">
        <x:v>Dogfish sharks</x:v>
      </x:c>
      <x:c r="G81" s="24" t="str">
        <x:v>Large sharks (&gt;=90 cm)</x:v>
      </x:c>
      <x:c r="H81" s="24" t="str">
        <x:v>Sharks &amp; rays</x:v>
      </x:c>
      <x:c r="I81" s="31" t="n">
        <x:v>903.2161068508</x:v>
      </x:c>
      <x:c r="J81" s="31" t="n">
        <x:v>903.2161068508</x:v>
      </x:c>
      <x:c r="K81" s="31" t="n">
        <x:v>0</x:v>
      </x:c>
      <x:c r="L81" s="31" t="n">
        <x:v>0</x:v>
      </x:c>
      <x:c r="M81" s="31" t="n">
        <x:v>903.2161068508</x:v>
      </x:c>
      <x:c r="N81" s="24" t="str">
        <x:v>squalidae</x:v>
      </x:c>
      <x:c r="O81" s="32" t="n">
        <x:v>4.23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Squalidae</x:v>
      </x:c>
      <x:c r="T81" s="32" t="n">
        <x:f>IF(O81="","",(1/'Metadata'!$B$5)^(O81-1))</x:f>
        <x:v>1698.243652461746</x:v>
      </x:c>
      <x:c r="U81" s="31" t="n">
        <x:f>IF(T81="","",I81*T81)</x:f>
        <x:v>1533881.0202605813</x:v>
      </x:c>
    </x:row>
    <x:row r="82" ht="18" customHeight="1">
      <x:c r="A82" s="24" t="str">
        <x:v>EEZ_851</x:v>
      </x:c>
      <x:c r="B82" s="24" t="str">
        <x:v>USA (East Coast)</x:v>
      </x:c>
      <x:c r="C82" s="24" t="str">
        <x:v>EEZ</x:v>
      </x:c>
      <x:c r="D82" s="30" t="n">
        <x:v>2019</x:v>
      </x:c>
      <x:c r="E82" s="24" t="str">
        <x:v>Seriola dumerili</x:v>
      </x:c>
      <x:c r="F82" s="24" t="str">
        <x:v>Greater amberjack</x:v>
      </x:c>
      <x:c r="G82" s="24" t="str">
        <x:v>Large reef assoc. fish (&gt;=90 cm)</x:v>
      </x:c>
      <x:c r="H82" s="24" t="str">
        <x:v>Perch-likes</x:v>
      </x:c>
      <x:c r="I82" s="31" t="n">
        <x:v>890.7807322881</x:v>
      </x:c>
      <x:c r="J82" s="31" t="n">
        <x:v>778.7586200881</x:v>
      </x:c>
      <x:c r="K82" s="31" t="n">
        <x:v>112.0221122</x:v>
      </x:c>
      <x:c r="L82" s="31" t="n">
        <x:v>142.5415717902</x:v>
      </x:c>
      <x:c r="M82" s="31" t="n">
        <x:v>748.2391604979</x:v>
      </x:c>
      <x:c r="N82" s="24" t="str">
        <x:v>seriola dumerili</x:v>
      </x:c>
      <x:c r="O82" s="32" t="n">
        <x:v>4.5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Seriola dumerili</x:v>
      </x:c>
      <x:c r="T82" s="32" t="n">
        <x:f>IF(O82="","",(1/'Metadata'!$B$5)^(O82-1))</x:f>
        <x:v>3162.2776601683795</x:v>
      </x:c>
      <x:c r="U82" s="31" t="n">
        <x:f>IF(T82="","",I82*T82)</x:f>
        <x:v>2816896.0098230885</x:v>
      </x:c>
    </x:row>
    <x:row r="83" ht="18" customHeight="1">
      <x:c r="A83" s="24" t="str">
        <x:v>EEZ_851</x:v>
      </x:c>
      <x:c r="B83" s="24" t="str">
        <x:v>USA (East Coast)</x:v>
      </x:c>
      <x:c r="C83" s="24" t="str">
        <x:v>EEZ</x:v>
      </x:c>
      <x:c r="D83" s="30" t="n">
        <x:v>2019</x:v>
      </x:c>
      <x:c r="E83" s="24" t="str">
        <x:v>Menticirrhus littoralis</x:v>
      </x:c>
      <x:c r="F83" s="24" t="str">
        <x:v>Gulf kingcroaker</x:v>
      </x:c>
      <x:c r="G83" s="24" t="str">
        <x:v>Medium demersals (30 - 89 cm)</x:v>
      </x:c>
      <x:c r="H83" s="24" t="str">
        <x:v>Perch-likes</x:v>
      </x:c>
      <x:c r="I83" s="31" t="n">
        <x:v>884.042643344</x:v>
      </x:c>
      <x:c r="J83" s="31" t="n">
        <x:v>884.042643344</x:v>
      </x:c>
      <x:c r="K83" s="31" t="n">
        <x:v>0</x:v>
      </x:c>
      <x:c r="L83" s="31" t="n">
        <x:v>0</x:v>
      </x:c>
      <x:c r="M83" s="31" t="n">
        <x:v>884.042643344</x:v>
      </x:c>
      <x:c r="N83" s="24" t="str">
        <x:v>menticirrhus littoralis</x:v>
      </x:c>
      <x:c r="O83" s="32" t="n">
        <x:v>3.92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Menticirrhus littoralis</x:v>
      </x:c>
      <x:c r="T83" s="32" t="n">
        <x:f>IF(O83="","",(1/'Metadata'!$B$5)^(O83-1))</x:f>
        <x:v>831.7637711026708</x:v>
      </x:c>
      <x:c r="U83" s="31" t="n">
        <x:f>IF(T83="","",I83*T83)</x:f>
        <x:v>735314.6428433788</x:v>
      </x:c>
    </x:row>
    <x:row r="84" ht="18" customHeight="1">
      <x:c r="A84" s="24" t="str">
        <x:v>EEZ_851</x:v>
      </x:c>
      <x:c r="B84" s="24" t="str">
        <x:v>USA (East Coast)</x:v>
      </x:c>
      <x:c r="C84" s="24" t="str">
        <x:v>EEZ</x:v>
      </x:c>
      <x:c r="D84" s="30" t="n">
        <x:v>2019</x:v>
      </x:c>
      <x:c r="E84" s="24" t="str">
        <x:v>Ariidae</x:v>
      </x:c>
      <x:c r="F84" s="24" t="str">
        <x:v>Sea catfishes, coblers</x:v>
      </x:c>
      <x:c r="G84" s="24" t="str">
        <x:v>Medium demersals (30 - 89 cm)</x:v>
      </x:c>
      <x:c r="H84" s="24" t="str">
        <x:v>Other fishes &amp; inverts</x:v>
      </x:c>
      <x:c r="I84" s="31" t="n">
        <x:v>873.7610252782999</x:v>
      </x:c>
      <x:c r="J84" s="31" t="n">
        <x:v>873.7610252782999</x:v>
      </x:c>
      <x:c r="K84" s="31" t="n">
        <x:v>0</x:v>
      </x:c>
      <x:c r="L84" s="31" t="n">
        <x:v>4.939626784</x:v>
      </x:c>
      <x:c r="M84" s="31" t="n">
        <x:v>868.8213984943</x:v>
      </x:c>
      <x:c r="N84" s="24" t="str">
        <x:v>ariidae</x:v>
      </x:c>
      <x:c r="O84" s="32" t="n">
        <x:v>3.48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Ariidae</x:v>
      </x:c>
      <x:c r="T84" s="32" t="n">
        <x:f>IF(O84="","",(1/'Metadata'!$B$5)^(O84-1))</x:f>
        <x:v>301.9951720402016</x:v>
      </x:c>
      <x:c r="U84" s="31" t="n">
        <x:f>IF(T84="","",I84*T84)</x:f>
        <x:v>263871.61115094315</x:v>
      </x:c>
    </x:row>
    <x:row r="85" ht="18" customHeight="1">
      <x:c r="A85" s="24" t="str">
        <x:v>EEZ_851</x:v>
      </x:c>
      <x:c r="B85" s="24" t="str">
        <x:v>USA (East Coast)</x:v>
      </x:c>
      <x:c r="C85" s="24" t="str">
        <x:v>EEZ</x:v>
      </x:c>
      <x:c r="D85" s="30" t="n">
        <x:v>2019</x:v>
      </x:c>
      <x:c r="E85" s="24" t="str">
        <x:v>Glyptocephalus cynoglossus</x:v>
      </x:c>
      <x:c r="F85" s="24" t="str">
        <x:v>Witch flounder</x:v>
      </x:c>
      <x:c r="G85" s="24" t="str">
        <x:v>Small to medium flatfishes (&lt;90 cm)</x:v>
      </x:c>
      <x:c r="H85" s="24" t="str">
        <x:v>Flatfishes</x:v>
      </x:c>
      <x:c r="I85" s="31" t="n">
        <x:v>820.9013949684</x:v>
      </x:c>
      <x:c r="J85" s="31" t="n">
        <x:v>817.443069725</x:v>
      </x:c>
      <x:c r="K85" s="31" t="n">
        <x:v>3.4583252434</x:v>
      </x:c>
      <x:c r="L85" s="31" t="n">
        <x:v>799.7360089521001</x:v>
      </x:c>
      <x:c r="M85" s="31" t="n">
        <x:v>21.1653860163</x:v>
      </x:c>
      <x:c r="N85" s="24" t="str">
        <x:v>glyptocephalus cynoglossus</x:v>
      </x:c>
      <x:c r="O85" s="32" t="n">
        <x:v>3.17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Glyptocephalus cynoglossus</x:v>
      </x:c>
      <x:c r="T85" s="32" t="n">
        <x:f>IF(O85="","",(1/'Metadata'!$B$5)^(O85-1))</x:f>
        <x:v>147.91083881682073</x:v>
      </x:c>
      <x:c r="U85" s="31" t="n">
        <x:f>IF(T85="","",I85*T85)</x:f>
        <x:v>121420.2139156743</x:v>
      </x:c>
    </x:row>
    <x:row r="86" ht="18" customHeight="1">
      <x:c r="A86" s="24" t="str">
        <x:v>EEZ_851</x:v>
      </x:c>
      <x:c r="B86" s="24" t="str">
        <x:v>USA (East Coast)</x:v>
      </x:c>
      <x:c r="C86" s="24" t="str">
        <x:v>EEZ</x:v>
      </x:c>
      <x:c r="D86" s="30" t="n">
        <x:v>2019</x:v>
      </x:c>
      <x:c r="E86" s="24" t="str">
        <x:v>Mugilidae</x:v>
      </x:c>
      <x:c r="F86" s="24" t="str">
        <x:v>Mullets, grey mullets</x:v>
      </x:c>
      <x:c r="G86" s="24" t="str">
        <x:v>Medium reef assoc. fish (30 - 89 cm)</x:v>
      </x:c>
      <x:c r="H86" s="24" t="str">
        <x:v>Perch-likes</x:v>
      </x:c>
      <x:c r="I86" s="31" t="n">
        <x:v>808.7312790538</x:v>
      </x:c>
      <x:c r="J86" s="31" t="n">
        <x:v>808.7312790538</x:v>
      </x:c>
      <x:c r="K86" s="31" t="n">
        <x:v>0</x:v>
      </x:c>
      <x:c r="L86" s="31" t="n">
        <x:v>8.0172546733</x:v>
      </x:c>
      <x:c r="M86" s="31" t="n">
        <x:v>800.7140243805</x:v>
      </x:c>
      <x:c r="N86" s="24" t="str">
        <x:v>mugilidae</x:v>
      </x:c>
      <x:c r="O86" s="32" t="n">
        <x:v>2.53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Mugilidae</x:v>
      </x:c>
      <x:c r="T86" s="32" t="n">
        <x:f>IF(O86="","",(1/'Metadata'!$B$5)^(O86-1))</x:f>
        <x:v>33.88441561392024</x:v>
      </x:c>
      <x:c r="U86" s="31" t="n">
        <x:f>IF(T86="","",I86*T86)</x:f>
        <x:v>27403.386779436267</x:v>
      </x:c>
    </x:row>
    <x:row r="87" ht="18" customHeight="1">
      <x:c r="A87" s="24" t="str">
        <x:v>EEZ_851</x:v>
      </x:c>
      <x:c r="B87" s="24" t="str">
        <x:v>USA (East Coast)</x:v>
      </x:c>
      <x:c r="C87" s="24" t="str">
        <x:v>EEZ</x:v>
      </x:c>
      <x:c r="D87" s="30" t="n">
        <x:v>2019</x:v>
      </x:c>
      <x:c r="E87" s="24" t="str">
        <x:v>Pseudopleuronectes americanus</x:v>
      </x:c>
      <x:c r="F87" s="24" t="str">
        <x:v>Winter flounder</x:v>
      </x:c>
      <x:c r="G87" s="24" t="str">
        <x:v>Small to medium flatfishes (&lt;90 cm)</x:v>
      </x:c>
      <x:c r="H87" s="24" t="str">
        <x:v>Flatfishes</x:v>
      </x:c>
      <x:c r="I87" s="31" t="n">
        <x:v>805.1712354792</x:v>
      </x:c>
      <x:c r="J87" s="31" t="n">
        <x:v>797.4170353718</x:v>
      </x:c>
      <x:c r="K87" s="31" t="n">
        <x:v>7.7542001074</x:v>
      </x:c>
      <x:c r="L87" s="31" t="n">
        <x:v>583.24246351</x:v>
      </x:c>
      <x:c r="M87" s="31" t="n">
        <x:v>221.9287719692</x:v>
      </x:c>
      <x:c r="N87" s="24" t="str">
        <x:v>pseudopleuronectes americanus</x:v>
      </x:c>
      <x:c r="O87" s="32" t="n">
        <x:v>3.62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Pseudopleuronectes americanus</x:v>
      </x:c>
      <x:c r="T87" s="32" t="n">
        <x:f>IF(O87="","",(1/'Metadata'!$B$5)^(O87-1))</x:f>
        <x:v>416.8693834703355</x:v>
      </x:c>
      <x:c r="U87" s="31" t="n">
        <x:f>IF(T87="","",I87*T87)</x:f>
        <x:v>335651.23652226245</x:v>
      </x:c>
    </x:row>
    <x:row r="88" ht="18" customHeight="1">
      <x:c r="A88" s="24" t="str">
        <x:v>EEZ_851</x:v>
      </x:c>
      <x:c r="B88" s="24" t="str">
        <x:v>USA (East Coast)</x:v>
      </x:c>
      <x:c r="C88" s="24" t="str">
        <x:v>EEZ</x:v>
      </x:c>
      <x:c r="D88" s="30" t="n">
        <x:v>2019</x:v>
      </x:c>
      <x:c r="E88" s="24" t="str">
        <x:v>Rhomboplites aurorubens</x:v>
      </x:c>
      <x:c r="F88" s="24" t="str">
        <x:v>Vermilion snapper</x:v>
      </x:c>
      <x:c r="G88" s="24" t="str">
        <x:v>Medium demersals (30 - 89 cm)</x:v>
      </x:c>
      <x:c r="H88" s="24" t="str">
        <x:v>Perch-likes</x:v>
      </x:c>
      <x:c r="I88" s="31" t="n">
        <x:v>797.34712171</x:v>
      </x:c>
      <x:c r="J88" s="31" t="n">
        <x:v>761.5853243435</x:v>
      </x:c>
      <x:c r="K88" s="31" t="n">
        <x:v>35.7617973665</x:v>
      </x:c>
      <x:c r="L88" s="31" t="n">
        <x:v>445.6455081002</x:v>
      </x:c>
      <x:c r="M88" s="31" t="n">
        <x:v>351.7016136098</x:v>
      </x:c>
      <x:c r="N88" s="24" t="str">
        <x:v>rhomboplites aurorubens</x:v>
      </x:c>
      <x:c r="O88" s="32" t="n">
        <x:v>4.36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Rhomboplites aurorubens</x:v>
      </x:c>
      <x:c r="T88" s="32" t="n">
        <x:f>IF(O88="","",(1/'Metadata'!$B$5)^(O88-1))</x:f>
        <x:v>2290.867652767775</x:v>
      </x:c>
      <x:c r="U88" s="31" t="n">
        <x:f>IF(T88="","",I88*T88)</x:f>
        <x:v>1826616.729152929</x:v>
      </x:c>
    </x:row>
    <x:row r="89" ht="18" customHeight="1">
      <x:c r="A89" s="24" t="str">
        <x:v>EEZ_851</x:v>
      </x:c>
      <x:c r="B89" s="24" t="str">
        <x:v>USA (East Coast)</x:v>
      </x:c>
      <x:c r="C89" s="24" t="str">
        <x:v>EEZ</x:v>
      </x:c>
      <x:c r="D89" s="30" t="n">
        <x:v>2019</x:v>
      </x:c>
      <x:c r="E89" s="24" t="str">
        <x:v>Strongylocentrotus droebachiensis</x:v>
      </x:c>
      <x:c r="F89" s="24" t="str">
        <x:v>Green sea urchin</x:v>
      </x:c>
      <x:c r="G89" s="24" t="str">
        <x:v>Other demersal invertebrates</x:v>
      </x:c>
      <x:c r="H89" s="24" t="str">
        <x:v>Other fishes &amp; inverts</x:v>
      </x:c>
      <x:c r="I89" s="31" t="n">
        <x:v>774.1837595999999</x:v>
      </x:c>
      <x:c r="J89" s="31" t="n">
        <x:v>774.1837595999999</x:v>
      </x:c>
      <x:c r="K89" s="31" t="n">
        <x:v>0</x:v>
      </x:c>
      <x:c r="L89" s="31" t="n">
        <x:v>774.1837595999999</x:v>
      </x:c>
      <x:c r="M89" s="31" t="n">
        <x:v>0</x:v>
      </x:c>
      <x:c r="N89" s="24" t="str">
        <x:v>strongylocentrotus droebachiensis</x:v>
      </x:c>
      <x:c r="O89" s="32" t="n">
        <x:v>2.3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Strongylocentrotus droebachiensis</x:v>
      </x:c>
      <x:c r="T89" s="32" t="n">
        <x:f>IF(O89="","",(1/'Metadata'!$B$5)^(O89-1))</x:f>
        <x:v>19.952623149688787</x:v>
      </x:c>
      <x:c r="U89" s="31" t="n">
        <x:f>IF(T89="","",I89*T89)</x:f>
        <x:v>15446.996803908058</x:v>
      </x:c>
    </x:row>
    <x:row r="90" ht="18" customHeight="1">
      <x:c r="A90" s="24" t="str">
        <x:v>EEZ_851</x:v>
      </x:c>
      <x:c r="B90" s="24" t="str">
        <x:v>USA (East Coast)</x:v>
      </x:c>
      <x:c r="C90" s="24" t="str">
        <x:v>EEZ</x:v>
      </x:c>
      <x:c r="D90" s="30" t="n">
        <x:v>2019</x:v>
      </x:c>
      <x:c r="E90" s="24" t="str">
        <x:v>Urophycis chuss</x:v>
      </x:c>
      <x:c r="F90" s="24" t="str">
        <x:v>Red hake</x:v>
      </x:c>
      <x:c r="G90" s="24" t="str">
        <x:v>Medium demersals (30 - 89 cm)</x:v>
      </x:c>
      <x:c r="H90" s="24" t="str">
        <x:v>Cod-likes</x:v>
      </x:c>
      <x:c r="I90" s="31" t="n">
        <x:v>737.2442128749001</x:v>
      </x:c>
      <x:c r="J90" s="31" t="n">
        <x:v>731.8635808284</x:v>
      </x:c>
      <x:c r="K90" s="31" t="n">
        <x:v>5.3806320465</x:v>
      </x:c>
      <x:c r="L90" s="31" t="n">
        <x:v>405.06028246529996</x:v>
      </x:c>
      <x:c r="M90" s="31" t="n">
        <x:v>332.1839304096</x:v>
      </x:c>
      <x:c r="N90" s="24" t="str">
        <x:v>urophycis chuss</x:v>
      </x:c>
      <x:c r="O90" s="32" t="n">
        <x:v>3.72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Urophycis chuss</x:v>
      </x:c>
      <x:c r="T90" s="32" t="n">
        <x:f>IF(O90="","",(1/'Metadata'!$B$5)^(O90-1))</x:f>
        <x:v>524.8074602497728</x:v>
      </x:c>
      <x:c r="U90" s="31" t="n">
        <x:f>IF(T90="","",I90*T90)</x:f>
        <x:v>386911.26294271916</x:v>
      </x:c>
    </x:row>
    <x:row r="91" ht="18" customHeight="1">
      <x:c r="A91" s="24" t="str">
        <x:v>EEZ_851</x:v>
      </x:c>
      <x:c r="B91" s="24" t="str">
        <x:v>USA (East Coast)</x:v>
      </x:c>
      <x:c r="C91" s="24" t="str">
        <x:v>EEZ</x:v>
      </x:c>
      <x:c r="D91" s="30" t="n">
        <x:v>2019</x:v>
      </x:c>
      <x:c r="E91" s="24" t="str">
        <x:v>Opisthonema oglinum</x:v>
      </x:c>
      <x:c r="F91" s="24" t="str">
        <x:v>Atlantic thread herring</x:v>
      </x:c>
      <x:c r="G91" s="24" t="str">
        <x:v>Small pelagics (&lt;30 cm)</x:v>
      </x:c>
      <x:c r="H91" s="24" t="str">
        <x:v>Herring-likes</x:v>
      </x:c>
      <x:c r="I91" s="31" t="n">
        <x:v>708.0728272272</x:v>
      </x:c>
      <x:c r="J91" s="31" t="n">
        <x:v>694.4593224673</x:v>
      </x:c>
      <x:c r="K91" s="31" t="n">
        <x:v>13.6135047599</x:v>
      </x:c>
      <x:c r="L91" s="31" t="n">
        <x:v>40.0784711299</x:v>
      </x:c>
      <x:c r="M91" s="31" t="n">
        <x:v>667.9943560972999</x:v>
      </x:c>
      <x:c r="N91" s="24" t="str">
        <x:v>opisthonema oglinum</x:v>
      </x:c>
      <x:c r="O91" s="32" t="n">
        <x:v>4.5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Opisthonema oglinum</x:v>
      </x:c>
      <x:c r="T91" s="32" t="n">
        <x:f>IF(O91="","",(1/'Metadata'!$B$5)^(O91-1))</x:f>
        <x:v>3162.2776601683795</x:v>
      </x:c>
      <x:c r="U91" s="31" t="n">
        <x:f>IF(T91="","",I91*T91)</x:f>
        <x:v>2239122.8833128395</x:v>
      </x:c>
    </x:row>
    <x:row r="92" ht="18" customHeight="1">
      <x:c r="A92" s="24" t="str">
        <x:v>EEZ_851</x:v>
      </x:c>
      <x:c r="B92" s="24" t="str">
        <x:v>USA (East Coast)</x:v>
      </x:c>
      <x:c r="C92" s="24" t="str">
        <x:v>EEZ</x:v>
      </x:c>
      <x:c r="D92" s="30" t="n">
        <x:v>2019</x:v>
      </x:c>
      <x:c r="E92" s="24" t="str">
        <x:v>Thunnus atlanticus</x:v>
      </x:c>
      <x:c r="F92" s="24" t="str">
        <x:v>Blackfin tuna</x:v>
      </x:c>
      <x:c r="G92" s="24" t="str">
        <x:v>Large pelagics (&gt;=90 cm)</x:v>
      </x:c>
      <x:c r="H92" s="24" t="str">
        <x:v>Tuna &amp; billfishes</x:v>
      </x:c>
      <x:c r="I92" s="31" t="n">
        <x:v>702.8183264909</x:v>
      </x:c>
      <x:c r="J92" s="31" t="n">
        <x:v>702.8183264909</x:v>
      </x:c>
      <x:c r="K92" s="31" t="n">
        <x:v>0</x:v>
      </x:c>
      <x:c r="L92" s="31" t="n">
        <x:v>233.6624696893</x:v>
      </x:c>
      <x:c r="M92" s="31" t="n">
        <x:v>469.1558568016</x:v>
      </x:c>
      <x:c r="N92" s="24" t="str">
        <x:v>thunnus atlanticus</x:v>
      </x:c>
      <x:c r="O92" s="32" t="n">
        <x:v>4.35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Thunnus atlanticus</x:v>
      </x:c>
      <x:c r="T92" s="32" t="n">
        <x:f>IF(O92="","",(1/'Metadata'!$B$5)^(O92-1))</x:f>
        <x:v>2238.7211385683377</x:v>
      </x:c>
      <x:c r="U92" s="31" t="n">
        <x:f>IF(T92="","",I92*T92)</x:f>
        <x:v>1573414.2440884013</x:v>
      </x:c>
    </x:row>
    <x:row r="93" ht="18" customHeight="1">
      <x:c r="A93" s="24" t="str">
        <x:v>EEZ_851</x:v>
      </x:c>
      <x:c r="B93" s="24" t="str">
        <x:v>USA (East Coast)</x:v>
      </x:c>
      <x:c r="C93" s="24" t="str">
        <x:v>EEZ</x:v>
      </x:c>
      <x:c r="D93" s="30" t="n">
        <x:v>2019</x:v>
      </x:c>
      <x:c r="E93" s="24" t="str">
        <x:v>Sphoeroides maculatus</x:v>
      </x:c>
      <x:c r="F93" s="24" t="str">
        <x:v>Northern puffer</x:v>
      </x:c>
      <x:c r="G93" s="24" t="str">
        <x:v>Medium demersals (30 - 89 cm)</x:v>
      </x:c>
      <x:c r="H93" s="24" t="str">
        <x:v>Other fishes &amp; inverts</x:v>
      </x:c>
      <x:c r="I93" s="31" t="n">
        <x:v>675.4933475342001</x:v>
      </x:c>
      <x:c r="J93" s="31" t="n">
        <x:v>675.4933475342001</x:v>
      </x:c>
      <x:c r="K93" s="31" t="n">
        <x:v>0</x:v>
      </x:c>
      <x:c r="L93" s="31" t="n">
        <x:v>39.8313541529</x:v>
      </x:c>
      <x:c r="M93" s="31" t="n">
        <x:v>635.6619933813</x:v>
      </x:c>
      <x:c r="N93" s="24" t="str">
        <x:v>sphoeroides maculatus</x:v>
      </x:c>
      <x:c r="O93" s="32" t="n">
        <x:v>4.04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Sphoeroides maculatus</x:v>
      </x:c>
      <x:c r="T93" s="32" t="n">
        <x:f>IF(O93="","",(1/'Metadata'!$B$5)^(O93-1))</x:f>
        <x:v>1096.4781961431852</x:v>
      </x:c>
      <x:c r="U93" s="31" t="n">
        <x:f>IF(T93="","",I93*T93)</x:f>
        <x:v>740663.7272110215</x:v>
      </x:c>
    </x:row>
    <x:row r="94" ht="18" customHeight="1">
      <x:c r="A94" s="24" t="str">
        <x:v>EEZ_851</x:v>
      </x:c>
      <x:c r="B94" s="24" t="str">
        <x:v>USA (East Coast)</x:v>
      </x:c>
      <x:c r="C94" s="24" t="str">
        <x:v>EEZ</x:v>
      </x:c>
      <x:c r="D94" s="30" t="n">
        <x:v>2019</x:v>
      </x:c>
      <x:c r="E94" s="24" t="str">
        <x:v>Balistes capriscus</x:v>
      </x:c>
      <x:c r="F94" s="24" t="str">
        <x:v>Grey triggerfish</x:v>
      </x:c>
      <x:c r="G94" s="24" t="str">
        <x:v>Medium benthopelagics (30 - 89 cm)</x:v>
      </x:c>
      <x:c r="H94" s="24" t="str">
        <x:v>Other fishes &amp; inverts</x:v>
      </x:c>
      <x:c r="I94" s="31" t="n">
        <x:v>654.2102457968999</x:v>
      </x:c>
      <x:c r="J94" s="31" t="n">
        <x:v>595.9882556739</x:v>
      </x:c>
      <x:c r="K94" s="31" t="n">
        <x:v>58.221990123</x:v>
      </x:c>
      <x:c r="L94" s="31" t="n">
        <x:v>87.9244495659</x:v>
      </x:c>
      <x:c r="M94" s="31" t="n">
        <x:v>566.285796231</x:v>
      </x:c>
      <x:c r="N94" s="24" t="str">
        <x:v>balistes capriscus</x:v>
      </x:c>
      <x:c r="O94" s="32" t="n">
        <x:v>4.06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Balistes capriscus</x:v>
      </x:c>
      <x:c r="T94" s="32" t="n">
        <x:f>IF(O94="","",(1/'Metadata'!$B$5)^(O94-1))</x:f>
        <x:v>1148.1536214968817</x:v>
      </x:c>
      <x:c r="U94" s="31" t="n">
        <x:f>IF(T94="","",I94*T94)</x:f>
        <x:v>751133.8629320757</x:v>
      </x:c>
    </x:row>
    <x:row r="95" ht="18" customHeight="1">
      <x:c r="A95" s="24" t="str">
        <x:v>EEZ_851</x:v>
      </x:c>
      <x:c r="B95" s="24" t="str">
        <x:v>USA (East Coast)</x:v>
      </x:c>
      <x:c r="C95" s="24" t="str">
        <x:v>EEZ</x:v>
      </x:c>
      <x:c r="D95" s="30" t="n">
        <x:v>2019</x:v>
      </x:c>
      <x:c r="E95" s="24" t="str">
        <x:v>Sphyraena barracuda</x:v>
      </x:c>
      <x:c r="F95" s="24" t="str">
        <x:v>Great barracuda</x:v>
      </x:c>
      <x:c r="G95" s="24" t="str">
        <x:v>Large pelagics (&gt;=90 cm)</x:v>
      </x:c>
      <x:c r="H95" s="24" t="str">
        <x:v>Perch-likes</x:v>
      </x:c>
      <x:c r="I95" s="31" t="n">
        <x:v>632.2274405962</x:v>
      </x:c>
      <x:c r="J95" s="31" t="n">
        <x:v>632.2274405962</x:v>
      </x:c>
      <x:c r="K95" s="31" t="n">
        <x:v>0</x:v>
      </x:c>
      <x:c r="L95" s="31" t="n">
        <x:v>12.360860380199998</x:v>
      </x:c>
      <x:c r="M95" s="31" t="n">
        <x:v>619.866580216</x:v>
      </x:c>
      <x:c r="N95" s="24" t="str">
        <x:v>sphyraena barracuda</x:v>
      </x:c>
      <x:c r="O95" s="32" t="n">
        <x:v>4.49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Sphyraena barracuda</x:v>
      </x:c>
      <x:c r="T95" s="32" t="n">
        <x:f>IF(O95="","",(1/'Metadata'!$B$5)^(O95-1))</x:f>
        <x:v>3090.295432513592</x:v>
      </x:c>
      <x:c r="U95" s="31" t="n">
        <x:f>IF(T95="","",I95*T95)</x:f>
        <x:v>1953769.5719841954</x:v>
      </x:c>
    </x:row>
    <x:row r="96" ht="18" customHeight="1">
      <x:c r="A96" s="24" t="str">
        <x:v>EEZ_851</x:v>
      </x:c>
      <x:c r="B96" s="24" t="str">
        <x:v>USA (East Coast)</x:v>
      </x:c>
      <x:c r="C96" s="24" t="str">
        <x:v>EEZ</x:v>
      </x:c>
      <x:c r="D96" s="30" t="n">
        <x:v>2019</x:v>
      </x:c>
      <x:c r="E96" s="24" t="str">
        <x:v>Marine pelagic fishes not identified</x:v>
      </x:c>
      <x:c r="F96" s="24" t="str">
        <x:v>Pelagic fishes</x:v>
      </x:c>
      <x:c r="G96" s="24" t="str">
        <x:v>Medium pelagics (30 - 89 cm)</x:v>
      </x:c>
      <x:c r="H96" s="24" t="str">
        <x:v>Other fishes &amp; inverts</x:v>
      </x:c>
      <x:c r="I96" s="31" t="n">
        <x:v>626.5030494858</x:v>
      </x:c>
      <x:c r="J96" s="31" t="n">
        <x:v>626.5030494858</x:v>
      </x:c>
      <x:c r="K96" s="31" t="n">
        <x:v>0</x:v>
      </x:c>
      <x:c r="L96" s="31" t="n">
        <x:v>626.5030494858</x:v>
      </x:c>
      <x:c r="M96" s="31" t="n">
        <x:v>0</x:v>
      </x:c>
      <x:c r="N96" s="24" t="str">
        <x:v>marine pelagic fishes not identified</x:v>
      </x:c>
      <x:c r="O96" s="32" t="n">
        <x:v>3.35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Marine pelagic fishes not identified</x:v>
      </x:c>
      <x:c r="T96" s="32" t="n">
        <x:f>IF(O96="","",(1/'Metadata'!$B$5)^(O96-1))</x:f>
        <x:v>223.872113856834</x:v>
      </x:c>
      <x:c r="U96" s="31" t="n">
        <x:f>IF(T96="","",I96*T96)</x:f>
        <x:v>140256.56202613874</x:v>
      </x:c>
    </x:row>
    <x:row r="97" ht="18" customHeight="1">
      <x:c r="A97" s="24" t="str">
        <x:v>EEZ_851</x:v>
      </x:c>
      <x:c r="B97" s="24" t="str">
        <x:v>USA (East Coast)</x:v>
      </x:c>
      <x:c r="C97" s="24" t="str">
        <x:v>EEZ</x:v>
      </x:c>
      <x:c r="D97" s="30" t="n">
        <x:v>2019</x:v>
      </x:c>
      <x:c r="E97" s="24" t="str">
        <x:v>Sparidae</x:v>
      </x:c>
      <x:c r="F97" s="24" t="str">
        <x:v>Porgies, seabreams</x:v>
      </x:c>
      <x:c r="G97" s="24" t="str">
        <x:v>Medium benthopelagics (30 - 89 cm)</x:v>
      </x:c>
      <x:c r="H97" s="24" t="str">
        <x:v>Perch-likes</x:v>
      </x:c>
      <x:c r="I97" s="31" t="n">
        <x:v>567.5157436464</x:v>
      </x:c>
      <x:c r="J97" s="31" t="n">
        <x:v>567.4886790244</x:v>
      </x:c>
      <x:c r="K97" s="31" t="n">
        <x:v>0.027064622</x:v>
      </x:c>
      <x:c r="L97" s="31" t="n">
        <x:v>10.142791047900001</x:v>
      </x:c>
      <x:c r="M97" s="31" t="n">
        <x:v>557.3729525985</x:v>
      </x:c>
      <x:c r="N97" s="24" t="str">
        <x:v>sparidae</x:v>
      </x:c>
      <x:c r="O97" s="32" t="n">
        <x:v>3.31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Sparidae</x:v>
      </x:c>
      <x:c r="T97" s="32" t="n">
        <x:f>IF(O97="","",(1/'Metadata'!$B$5)^(O97-1))</x:f>
        <x:v>204.17379446695296</x:v>
      </x:c>
      <x:c r="U97" s="31" t="n">
        <x:f>IF(T97="","",I97*T97)</x:f>
        <x:v>115871.84280002004</x:v>
      </x:c>
    </x:row>
    <x:row r="98" ht="18" customHeight="1">
      <x:c r="A98" s="24" t="str">
        <x:v>EEZ_851</x:v>
      </x:c>
      <x:c r="B98" s="24" t="str">
        <x:v>USA (East Coast)</x:v>
      </x:c>
      <x:c r="C98" s="24" t="str">
        <x:v>EEZ</x:v>
      </x:c>
      <x:c r="D98" s="30" t="n">
        <x:v>2019</x:v>
      </x:c>
      <x:c r="E98" s="24" t="str">
        <x:v>Siluriformes</x:v>
      </x:c>
      <x:c r="F98" s="24" t="str">
        <x:v>Catfishes</x:v>
      </x:c>
      <x:c r="G98" s="24" t="str">
        <x:v>Medium demersals (30 - 89 cm)</x:v>
      </x:c>
      <x:c r="H98" s="24" t="str">
        <x:v>Other fishes &amp; inverts</x:v>
      </x:c>
      <x:c r="I98" s="31" t="n">
        <x:v>549.7174116187999</x:v>
      </x:c>
      <x:c r="J98" s="31" t="n">
        <x:v>549.7174116187999</x:v>
      </x:c>
      <x:c r="K98" s="31" t="n">
        <x:v>0</x:v>
      </x:c>
      <x:c r="L98" s="31" t="n">
        <x:v>549.7174116187999</x:v>
      </x:c>
      <x:c r="M98" s="31" t="n">
        <x:v>0</x:v>
      </x:c>
      <x:c r="N98" s="24" t="str">
        <x:v>siluriformes</x:v>
      </x:c>
      <x:c r="O98" s="32" t="n">
        <x:v>3.48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Siluriformes</x:v>
      </x:c>
      <x:c r="T98" s="32" t="n">
        <x:f>IF(O98="","",(1/'Metadata'!$B$5)^(O98-1))</x:f>
        <x:v>301.9951720402016</x:v>
      </x:c>
      <x:c r="U98" s="31" t="n">
        <x:f>IF(T98="","",I98*T98)</x:f>
        <x:v>166012.00429531382</x:v>
      </x:c>
    </x:row>
    <x:row r="99" ht="18" customHeight="1">
      <x:c r="A99" s="24" t="str">
        <x:v>EEZ_851</x:v>
      </x:c>
      <x:c r="B99" s="24" t="str">
        <x:v>USA (East Coast)</x:v>
      </x:c>
      <x:c r="C99" s="24" t="str">
        <x:v>EEZ</x:v>
      </x:c>
      <x:c r="D99" s="30" t="n">
        <x:v>2019</x:v>
      </x:c>
      <x:c r="E99" s="24" t="str">
        <x:v>Myliobatidae</x:v>
      </x:c>
      <x:c r="F99" s="24" t="str">
        <x:v>Eagle/manta rays</x:v>
      </x:c>
      <x:c r="G99" s="24" t="str">
        <x:v>Large rays (&gt;=90 cm)</x:v>
      </x:c>
      <x:c r="H99" s="24" t="str">
        <x:v>Sharks &amp; rays</x:v>
      </x:c>
      <x:c r="I99" s="31" t="n">
        <x:v>543.8984462974</x:v>
      </x:c>
      <x:c r="J99" s="31" t="n">
        <x:v>535.8331890047</x:v>
      </x:c>
      <x:c r="K99" s="31" t="n">
        <x:v>8.0652572927</x:v>
      </x:c>
      <x:c r="L99" s="31" t="n">
        <x:v>0</x:v>
      </x:c>
      <x:c r="M99" s="31" t="n">
        <x:v>543.8984462974</x:v>
      </x:c>
      <x:c r="N99" s="24" t="str">
        <x:v>myliobatidae</x:v>
      </x:c>
      <x:c r="O99" s="32" t="n">
        <x:v>3.36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Myliobatidae</x:v>
      </x:c>
      <x:c r="T99" s="32" t="n">
        <x:f>IF(O99="","",(1/'Metadata'!$B$5)^(O99-1))</x:f>
        <x:v>229.08676527677724</x:v>
      </x:c>
      <x:c r="U99" s="31" t="n">
        <x:f>IF(T99="","",I99*T99)</x:f>
        <x:v>124599.93570133632</x:v>
      </x:c>
    </x:row>
    <x:row r="100" ht="18" customHeight="1">
      <x:c r="A100" s="24" t="str">
        <x:v>EEZ_851</x:v>
      </x:c>
      <x:c r="B100" s="24" t="str">
        <x:v>USA (East Coast)</x:v>
      </x:c>
      <x:c r="C100" s="24" t="str">
        <x:v>EEZ</x:v>
      </x:c>
      <x:c r="D100" s="30" t="n">
        <x:v>2019</x:v>
      </x:c>
      <x:c r="E100" s="24" t="str">
        <x:v>Menticirrhus saxatilis</x:v>
      </x:c>
      <x:c r="F100" s="24" t="str">
        <x:v>Northern kingfish</x:v>
      </x:c>
      <x:c r="G100" s="24" t="str">
        <x:v>Medium demersals (30 - 89 cm)</x:v>
      </x:c>
      <x:c r="H100" s="24" t="str">
        <x:v>Perch-likes</x:v>
      </x:c>
      <x:c r="I100" s="31" t="n">
        <x:v>541.4797018961</x:v>
      </x:c>
      <x:c r="J100" s="31" t="n">
        <x:v>71.93638875549999</x:v>
      </x:c>
      <x:c r="K100" s="31" t="n">
        <x:v>469.5433131406</x:v>
      </x:c>
      <x:c r="L100" s="31" t="n">
        <x:v>0.319783</x:v>
      </x:c>
      <x:c r="M100" s="31" t="n">
        <x:v>541.1599188961</x:v>
      </x:c>
      <x:c r="N100" s="24" t="str">
        <x:v>menticirrhus saxatilis</x:v>
      </x:c>
      <x:c r="O100" s="32" t="n">
        <x:v>3.56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Menticirrhus saxatilis</x:v>
      </x:c>
      <x:c r="T100" s="32" t="n">
        <x:f>IF(O100="","",(1/'Metadata'!$B$5)^(O100-1))</x:f>
        <x:v>363.0780547701014</x:v>
      </x:c>
      <x:c r="U100" s="31" t="n">
        <x:f>IF(T100="","",I100*T100)</x:f>
        <x:v>196599.39686193038</x:v>
      </x:c>
    </x:row>
    <x:row r="101" ht="18" customHeight="1">
      <x:c r="A101" s="24" t="str">
        <x:v>EEZ_851</x:v>
      </x:c>
      <x:c r="B101" s="24" t="str">
        <x:v>USA (East Coast)</x:v>
      </x:c>
      <x:c r="C101" s="24" t="str">
        <x:v>EEZ</x:v>
      </x:c>
      <x:c r="D101" s="30" t="n">
        <x:v>2019</x:v>
      </x:c>
      <x:c r="E101" s="24" t="str">
        <x:v>Echinoidea</x:v>
      </x:c>
      <x:c r="F101" s="24" t="str">
        <x:v>Sea urchins, sea hedgehogs</x:v>
      </x:c>
      <x:c r="G101" s="24" t="str">
        <x:v>Other demersal invertebrates</x:v>
      </x:c>
      <x:c r="H101" s="24" t="str">
        <x:v>Other fishes &amp; inverts</x:v>
      </x:c>
      <x:c r="I101" s="31" t="n">
        <x:v>512.9645028871</x:v>
      </x:c>
      <x:c r="J101" s="31" t="n">
        <x:v>512.9645028871</x:v>
      </x:c>
      <x:c r="K101" s="31" t="n">
        <x:v>0</x:v>
      </x:c>
      <x:c r="L101" s="31" t="n">
        <x:v>0</x:v>
      </x:c>
      <x:c r="M101" s="31" t="n">
        <x:v>512.9645028871</x:v>
      </x:c>
      <x:c r="N101" s="24" t="str">
        <x:v>echinoidea</x:v>
      </x:c>
      <x:c r="O101" s="32" t="n">
        <x:v>2.51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Echinoidea</x:v>
      </x:c>
      <x:c r="T101" s="32" t="n">
        <x:f>IF(O101="","",(1/'Metadata'!$B$5)^(O101-1))</x:f>
        <x:v>32.35936569296281</x:v>
      </x:c>
      <x:c r="U101" s="31" t="n">
        <x:f>IF(T101="","",I101*T101)</x:f>
        <x:v>16599.205936432547</x:v>
      </x:c>
    </x:row>
    <x:row r="102" ht="18" customHeight="1">
      <x:c r="A102" s="24" t="str">
        <x:v>EEZ_851</x:v>
      </x:c>
      <x:c r="B102" s="24" t="str">
        <x:v>USA (East Coast)</x:v>
      </x:c>
      <x:c r="C102" s="24" t="str">
        <x:v>EEZ</x:v>
      </x:c>
      <x:c r="D102" s="30" t="n">
        <x:v>2019</x:v>
      </x:c>
      <x:c r="E102" s="24" t="str">
        <x:v>Myzopsetta ferruginea</x:v>
      </x:c>
      <x:c r="F102" s="24" t="str">
        <x:v>Yellowtail flounder</x:v>
      </x:c>
      <x:c r="G102" s="24" t="str">
        <x:v>Small to medium flatfishes (&lt;90 cm)</x:v>
      </x:c>
      <x:c r="H102" s="24" t="str">
        <x:v>Flatfishes</x:v>
      </x:c>
      <x:c r="I102" s="31" t="n">
        <x:v>478.12656223</x:v>
      </x:c>
      <x:c r="J102" s="31" t="n">
        <x:v>461.88886867429994</x:v>
      </x:c>
      <x:c r="K102" s="31" t="n">
        <x:v>16.2376935557</x:v>
      </x:c>
      <x:c r="L102" s="31" t="n">
        <x:v>411.2327747881</x:v>
      </x:c>
      <x:c r="M102" s="31" t="n">
        <x:v>66.8937874419</x:v>
      </x:c>
      <x:c r="N102" s="24" t="str">
        <x:v>myzopsetta ferruginea</x:v>
      </x:c>
      <x:c r="O102" s="32" t="n">
        <x:v>3.28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Myzopsetta ferruginea</x:v>
      </x:c>
      <x:c r="T102" s="32" t="n">
        <x:f>IF(O102="","",(1/'Metadata'!$B$5)^(O102-1))</x:f>
        <x:v>190.54607179632464</x:v>
      </x:c>
      <x:c r="U102" s="31" t="n">
        <x:f>IF(T102="","",I102*T102)</x:f>
        <x:v>91105.13825440746</x:v>
      </x:c>
    </x:row>
    <x:row r="103" ht="18" customHeight="1">
      <x:c r="A103" s="24" t="str">
        <x:v>EEZ_851</x:v>
      </x:c>
      <x:c r="B103" s="24" t="str">
        <x:v>USA (East Coast)</x:v>
      </x:c>
      <x:c r="C103" s="24" t="str">
        <x:v>EEZ</x:v>
      </x:c>
      <x:c r="D103" s="30" t="n">
        <x:v>2019</x:v>
      </x:c>
      <x:c r="E103" s="24" t="str">
        <x:v>Menticirrhus</x:v>
      </x:c>
      <x:c r="F103" s="24" t="str">
        <x:v>Kingcroakers</x:v>
      </x:c>
      <x:c r="G103" s="24" t="str">
        <x:v>Medium demersals (30 - 89 cm)</x:v>
      </x:c>
      <x:c r="H103" s="24" t="str">
        <x:v>Perch-likes</x:v>
      </x:c>
      <x:c r="I103" s="31" t="n">
        <x:v>471.0154131258</x:v>
      </x:c>
      <x:c r="J103" s="31" t="n">
        <x:v>471.0154131258</x:v>
      </x:c>
      <x:c r="K103" s="31" t="n">
        <x:v>0</x:v>
      </x:c>
      <x:c r="L103" s="31" t="n">
        <x:v>471.0154131258</x:v>
      </x:c>
      <x:c r="M103" s="31" t="n">
        <x:v>0</x:v>
      </x:c>
      <x:c r="N103" s="24" t="str">
        <x:v>menticirrhus</x:v>
      </x:c>
      <x:c r="O103" s="32" t="n">
        <x:v>3.67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Menticirrhus</x:v>
      </x:c>
      <x:c r="T103" s="32" t="n">
        <x:f>IF(O103="","",(1/'Metadata'!$B$5)^(O103-1))</x:f>
        <x:v>467.73514128719813</x:v>
      </x:c>
      <x:c r="U103" s="31" t="n">
        <x:f>IF(T103="","",I103*T103)</x:f>
        <x:v>220310.46080684406</x:v>
      </x:c>
    </x:row>
    <x:row r="104" ht="18" customHeight="1">
      <x:c r="A104" s="24" t="str">
        <x:v>EEZ_851</x:v>
      </x:c>
      <x:c r="B104" s="24" t="str">
        <x:v>USA (East Coast)</x:v>
      </x:c>
      <x:c r="C104" s="24" t="str">
        <x:v>EEZ</x:v>
      </x:c>
      <x:c r="D104" s="30" t="n">
        <x:v>2019</x:v>
      </x:c>
      <x:c r="E104" s="24" t="str">
        <x:v>Rhizoprionodon terraenovae</x:v>
      </x:c>
      <x:c r="F104" s="24" t="str">
        <x:v>Atlantic sharpnose shark</x:v>
      </x:c>
      <x:c r="G104" s="24" t="str">
        <x:v>Large sharks (&gt;=90 cm)</x:v>
      </x:c>
      <x:c r="H104" s="24" t="str">
        <x:v>Sharks &amp; rays</x:v>
      </x:c>
      <x:c r="I104" s="31" t="n">
        <x:v>437.4325060114</x:v>
      </x:c>
      <x:c r="J104" s="31" t="n">
        <x:v>292.86311951749997</x:v>
      </x:c>
      <x:c r="K104" s="31" t="n">
        <x:v>144.5693864939</x:v>
      </x:c>
      <x:c r="L104" s="31" t="n">
        <x:v>180.48915457209998</x:v>
      </x:c>
      <x:c r="M104" s="31" t="n">
        <x:v>256.9433514393</x:v>
      </x:c>
      <x:c r="N104" s="24" t="str">
        <x:v>rhizoprionodon terraenovae</x:v>
      </x:c>
      <x:c r="O104" s="32" t="n">
        <x:v>4.37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Rhizoprionodon terraenovae</x:v>
      </x:c>
      <x:c r="T104" s="32" t="n">
        <x:f>IF(O104="","",(1/'Metadata'!$B$5)^(O104-1))</x:f>
        <x:v>2344.228815319923</x:v>
      </x:c>
      <x:c r="U104" s="31" t="n">
        <x:f>IF(T104="","",I104*T104)</x:f>
        <x:v>1025441.8853495292</x:v>
      </x:c>
    </x:row>
    <x:row r="105" ht="18" customHeight="1">
      <x:c r="A105" s="24" t="str">
        <x:v>EEZ_851</x:v>
      </x:c>
      <x:c r="B105" s="24" t="str">
        <x:v>USA (East Coast)</x:v>
      </x:c>
      <x:c r="C105" s="24" t="str">
        <x:v>EEZ</x:v>
      </x:c>
      <x:c r="D105" s="30" t="n">
        <x:v>2019</x:v>
      </x:c>
      <x:c r="E105" s="24" t="str">
        <x:v>Malacanthidae</x:v>
      </x:c>
      <x:c r="F105" s="24" t="str">
        <x:v>Tilefishes</x:v>
      </x:c>
      <x:c r="G105" s="24" t="str">
        <x:v>Medium demersals (30 - 89 cm)</x:v>
      </x:c>
      <x:c r="H105" s="24" t="str">
        <x:v>Perch-likes</x:v>
      </x:c>
      <x:c r="I105" s="31" t="n">
        <x:v>436.7463237749</x:v>
      </x:c>
      <x:c r="J105" s="31" t="n">
        <x:v>436.7463237749</x:v>
      </x:c>
      <x:c r="K105" s="31" t="n">
        <x:v>0</x:v>
      </x:c>
      <x:c r="L105" s="31" t="n">
        <x:v>49.171739343999995</x:v>
      </x:c>
      <x:c r="M105" s="31" t="n">
        <x:v>387.5745844309</x:v>
      </x:c>
      <x:c r="N105" s="24" t="str">
        <x:v>malacanthidae</x:v>
      </x:c>
      <x:c r="O105" s="32" t="n">
        <x:v>3.62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Malacanthidae</x:v>
      </x:c>
      <x:c r="T105" s="32" t="n">
        <x:f>IF(O105="","",(1/'Metadata'!$B$5)^(O105-1))</x:f>
        <x:v>416.8693834703355</x:v>
      </x:c>
      <x:c r="U105" s="31" t="n">
        <x:f>IF(T105="","",I105*T105)</x:f>
        <x:v>182066.1707249781</x:v>
      </x:c>
    </x:row>
    <x:row r="106" ht="18" customHeight="1">
      <x:c r="A106" s="24" t="str">
        <x:v>EEZ_851</x:v>
      </x:c>
      <x:c r="B106" s="24" t="str">
        <x:v>USA (East Coast)</x:v>
      </x:c>
      <x:c r="C106" s="24" t="str">
        <x:v>EEZ</x:v>
      </x:c>
      <x:c r="D106" s="30" t="n">
        <x:v>2019</x:v>
      </x:c>
      <x:c r="E106" s="24" t="str">
        <x:v>Isurus oxyrinchus</x:v>
      </x:c>
      <x:c r="F106" s="24" t="str">
        <x:v>Shortfin mako</x:v>
      </x:c>
      <x:c r="G106" s="24" t="str">
        <x:v>Large sharks (&gt;=90 cm)</x:v>
      </x:c>
      <x:c r="H106" s="24" t="str">
        <x:v>Sharks &amp; rays</x:v>
      </x:c>
      <x:c r="I106" s="31" t="n">
        <x:v>425.2818127957</x:v>
      </x:c>
      <x:c r="J106" s="31" t="n">
        <x:v>410.529173626</x:v>
      </x:c>
      <x:c r="K106" s="31" t="n">
        <x:v>14.7526391697</x:v>
      </x:c>
      <x:c r="L106" s="31" t="n">
        <x:v>53.4906639549</x:v>
      </x:c>
      <x:c r="M106" s="31" t="n">
        <x:v>371.79114884079996</x:v>
      </x:c>
      <x:c r="N106" s="24" t="str">
        <x:v>isurus oxyrinchus</x:v>
      </x:c>
      <x:c r="O106" s="32" t="n">
        <x:v>4.5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Isurus oxyrinchus</x:v>
      </x:c>
      <x:c r="T106" s="32" t="n">
        <x:f>IF(O106="","",(1/'Metadata'!$B$5)^(O106-1))</x:f>
        <x:v>3162.2776601683795</x:v>
      </x:c>
      <x:c r="U106" s="31" t="n">
        <x:f>IF(T106="","",I106*T106)</x:f>
        <x:v>1344859.175879753</x:v>
      </x:c>
    </x:row>
    <x:row r="107" ht="18" customHeight="1">
      <x:c r="A107" s="24" t="str">
        <x:v>EEZ_851</x:v>
      </x:c>
      <x:c r="B107" s="24" t="str">
        <x:v>USA (East Coast)</x:v>
      </x:c>
      <x:c r="C107" s="24" t="str">
        <x:v>EEZ</x:v>
      </x:c>
      <x:c r="D107" s="30" t="n">
        <x:v>2019</x:v>
      </x:c>
      <x:c r="E107" s="24" t="str">
        <x:v>Merostomata</x:v>
      </x:c>
      <x:c r="F107" s="24" t="str">
        <x:v>Chelicerates</x:v>
      </x:c>
      <x:c r="G107" s="24" t="str">
        <x:v>Other demersal invertebrates</x:v>
      </x:c>
      <x:c r="H107" s="24" t="str">
        <x:v>Other fishes &amp; inverts</x:v>
      </x:c>
      <x:c r="I107" s="31" t="n">
        <x:v>395.3986148373</x:v>
      </x:c>
      <x:c r="J107" s="31" t="n">
        <x:v>391.7719555173</x:v>
      </x:c>
      <x:c r="K107" s="31" t="n">
        <x:v>3.62665932</x:v>
      </x:c>
      <x:c r="L107" s="31" t="n">
        <x:v>0</x:v>
      </x:c>
      <x:c r="M107" s="31" t="n">
        <x:v>395.3986148373</x:v>
      </x:c>
      <x:c r="N107" s="24" t="str">
        <x:v>merostomata</x:v>
      </x:c>
      <x:c r="O107" s="32" t="n">
        <x:v>2.98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Merostomata</x:v>
      </x:c>
      <x:c r="T107" s="32" t="n">
        <x:f>IF(O107="","",(1/'Metadata'!$B$5)^(O107-1))</x:f>
        <x:v>95.49925860214358</x:v>
      </x:c>
      <x:c r="U107" s="31" t="n">
        <x:f>IF(T107="","",I107*T107)</x:f>
        <x:v>37760.27456927668</x:v>
      </x:c>
    </x:row>
    <x:row r="108" ht="18" customHeight="1">
      <x:c r="A108" s="24" t="str">
        <x:v>EEZ_851</x:v>
      </x:c>
      <x:c r="B108" s="24" t="str">
        <x:v>USA (East Coast)</x:v>
      </x:c>
      <x:c r="C108" s="24" t="str">
        <x:v>EEZ</x:v>
      </x:c>
      <x:c r="D108" s="30" t="n">
        <x:v>2019</x:v>
      </x:c>
      <x:c r="E108" s="24" t="str">
        <x:v>Chaetodipterus faber</x:v>
      </x:c>
      <x:c r="F108" s="24" t="str">
        <x:v>Atlantic spadefish</x:v>
      </x:c>
      <x:c r="G108" s="24" t="str">
        <x:v>Medium demersals (30 - 89 cm)</x:v>
      </x:c>
      <x:c r="H108" s="24" t="str">
        <x:v>Perch-likes</x:v>
      </x:c>
      <x:c r="I108" s="31" t="n">
        <x:v>383.4587358451</x:v>
      </x:c>
      <x:c r="J108" s="31" t="n">
        <x:v>382.8903787877</x:v>
      </x:c>
      <x:c r="K108" s="31" t="n">
        <x:v>0.5683570574</x:v>
      </x:c>
      <x:c r="L108" s="31" t="n">
        <x:v>5.5057107349</x:v>
      </x:c>
      <x:c r="M108" s="31" t="n">
        <x:v>377.95302511020003</x:v>
      </x:c>
      <x:c r="N108" s="24" t="str">
        <x:v>chaetodipterus faber</x:v>
      </x:c>
      <x:c r="O108" s="32" t="n">
        <x:v>4.5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Chaetodipterus faber</x:v>
      </x:c>
      <x:c r="T108" s="32" t="n">
        <x:f>IF(O108="","",(1/'Metadata'!$B$5)^(O108-1))</x:f>
        <x:v>3162.2776601683795</x:v>
      </x:c>
      <x:c r="U108" s="31" t="n">
        <x:f>IF(T108="","",I108*T108)</x:f>
        <x:v>1212602.9939593675</x:v>
      </x:c>
    </x:row>
    <x:row r="109" ht="18" customHeight="1">
      <x:c r="A109" s="24" t="str">
        <x:v>EEZ_851</x:v>
      </x:c>
      <x:c r="B109" s="24" t="str">
        <x:v>USA (East Coast)</x:v>
      </x:c>
      <x:c r="C109" s="24" t="str">
        <x:v>EEZ</x:v>
      </x:c>
      <x:c r="D109" s="30" t="n">
        <x:v>2019</x:v>
      </x:c>
      <x:c r="E109" s="24" t="str">
        <x:v>Cynoscion regalis</x:v>
      </x:c>
      <x:c r="F109" s="24" t="str">
        <x:v>Squeteague</x:v>
      </x:c>
      <x:c r="G109" s="24" t="str">
        <x:v>Medium demersals (30 - 89 cm)</x:v>
      </x:c>
      <x:c r="H109" s="24" t="str">
        <x:v>Perch-likes</x:v>
      </x:c>
      <x:c r="I109" s="31" t="n">
        <x:v>379.471202549</x:v>
      </x:c>
      <x:c r="J109" s="31" t="n">
        <x:v>88.55358292400001</x:v>
      </x:c>
      <x:c r="K109" s="31" t="n">
        <x:v>290.917619625</x:v>
      </x:c>
      <x:c r="L109" s="31" t="n">
        <x:v>88.55358292400001</x:v>
      </x:c>
      <x:c r="M109" s="31" t="n">
        <x:v>290.917619625</x:v>
      </x:c>
      <x:c r="N109" s="24" t="str">
        <x:v>cynoscion regalis</x:v>
      </x:c>
      <x:c r="O109" s="32" t="n">
        <x:v>3.77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Cynoscion regalis</x:v>
      </x:c>
      <x:c r="T109" s="32" t="n">
        <x:f>IF(O109="","",(1/'Metadata'!$B$5)^(O109-1))</x:f>
        <x:v>588.843655355589</x:v>
      </x:c>
      <x:c r="U109" s="31" t="n">
        <x:f>IF(T109="","",I109*T109)</x:f>
        <x:v>223449.21001113427</x:v>
      </x:c>
    </x:row>
    <x:row r="110" ht="18" customHeight="1">
      <x:c r="A110" s="24" t="str">
        <x:v>EEZ_851</x:v>
      </x:c>
      <x:c r="B110" s="24" t="str">
        <x:v>USA (East Coast)</x:v>
      </x:c>
      <x:c r="C110" s="24" t="str">
        <x:v>EEZ</x:v>
      </x:c>
      <x:c r="D110" s="30" t="n">
        <x:v>2019</x:v>
      </x:c>
      <x:c r="E110" s="24" t="str">
        <x:v>Sarda sarda</x:v>
      </x:c>
      <x:c r="F110" s="24" t="str">
        <x:v>Atlantic bonito</x:v>
      </x:c>
      <x:c r="G110" s="24" t="str">
        <x:v>Medium pelagics (30 - 89 cm)</x:v>
      </x:c>
      <x:c r="H110" s="24" t="str">
        <x:v>Tuna &amp; billfishes</x:v>
      </x:c>
      <x:c r="I110" s="31" t="n">
        <x:v>345.47845546319996</x:v>
      </x:c>
      <x:c r="J110" s="31" t="n">
        <x:v>345.47845546319996</x:v>
      </x:c>
      <x:c r="K110" s="31" t="n">
        <x:v>0</x:v>
      </x:c>
      <x:c r="L110" s="31" t="n">
        <x:v>60.7065939453</x:v>
      </x:c>
      <x:c r="M110" s="31" t="n">
        <x:v>284.7718615179</x:v>
      </x:c>
      <x:c r="N110" s="24" t="str">
        <x:v>sarda sarda</x:v>
      </x:c>
      <x:c r="O110" s="32" t="n">
        <x:v>4.5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Sarda sarda</x:v>
      </x:c>
      <x:c r="T110" s="32" t="n">
        <x:f>IF(O110="","",(1/'Metadata'!$B$5)^(O110-1))</x:f>
        <x:v>3162.2776601683795</x:v>
      </x:c>
      <x:c r="U110" s="31" t="n">
        <x:f>IF(T110="","",I110*T110)</x:f>
        <x:v>1092498.8017807538</x:v>
      </x:c>
    </x:row>
    <x:row r="111" ht="18" customHeight="1">
      <x:c r="A111" s="24" t="str">
        <x:v>EEZ_851</x:v>
      </x:c>
      <x:c r="B111" s="24" t="str">
        <x:v>USA (East Coast)</x:v>
      </x:c>
      <x:c r="C111" s="24" t="str">
        <x:v>EEZ</x:v>
      </x:c>
      <x:c r="D111" s="30" t="n">
        <x:v>2019</x:v>
      </x:c>
      <x:c r="E111" s="24" t="str">
        <x:v>Lutjanus campechanus</x:v>
      </x:c>
      <x:c r="F111" s="24" t="str">
        <x:v>Northern red snapper</x:v>
      </x:c>
      <x:c r="G111" s="24" t="str">
        <x:v>Medium reef assoc. fish (30 - 89 cm)</x:v>
      </x:c>
      <x:c r="H111" s="24" t="str">
        <x:v>Perch-likes</x:v>
      </x:c>
      <x:c r="I111" s="31" t="n">
        <x:v>336.4419842699</x:v>
      </x:c>
      <x:c r="J111" s="31" t="n">
        <x:v>52.7810185151</x:v>
      </x:c>
      <x:c r="K111" s="31" t="n">
        <x:v>283.6609657548</x:v>
      </x:c>
      <x:c r="L111" s="31" t="n">
        <x:v>51.982201012</x:v>
      </x:c>
      <x:c r="M111" s="31" t="n">
        <x:v>284.45978325789997</x:v>
      </x:c>
      <x:c r="N111" s="24" t="str">
        <x:v>lutjanus campechanus</x:v>
      </x:c>
      <x:c r="O111" s="32" t="n">
        <x:v>4.01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Lutjanus campechanus</x:v>
      </x:c>
      <x:c r="T111" s="32" t="n">
        <x:f>IF(O111="","",(1/'Metadata'!$B$5)^(O111-1))</x:f>
        <x:v>1023.2929922807537</x:v>
      </x:c>
      <x:c r="U111" s="31" t="n">
        <x:f>IF(T111="","",I111*T111)</x:f>
        <x:v>344278.7248124202</x:v>
      </x:c>
    </x:row>
    <x:row r="112" ht="18" customHeight="1">
      <x:c r="A112" s="24" t="str">
        <x:v>EEZ_851</x:v>
      </x:c>
      <x:c r="B112" s="24" t="str">
        <x:v>USA (East Coast)</x:v>
      </x:c>
      <x:c r="C112" s="24" t="str">
        <x:v>EEZ</x:v>
      </x:c>
      <x:c r="D112" s="30" t="n">
        <x:v>2019</x:v>
      </x:c>
      <x:c r="E112" s="24" t="str">
        <x:v>Hippoglossus hippoglossus</x:v>
      </x:c>
      <x:c r="F112" s="24" t="str">
        <x:v>Atlantic halibut</x:v>
      </x:c>
      <x:c r="G112" s="24" t="str">
        <x:v>Large flatfishes (&gt;=90 cm)</x:v>
      </x:c>
      <x:c r="H112" s="24" t="str">
        <x:v>Flatfishes</x:v>
      </x:c>
      <x:c r="I112" s="31" t="n">
        <x:v>334.65321862630003</x:v>
      </x:c>
      <x:c r="J112" s="31" t="n">
        <x:v>220.78999885320002</x:v>
      </x:c>
      <x:c r="K112" s="31" t="n">
        <x:v>113.8632197731</x:v>
      </x:c>
      <x:c r="L112" s="31" t="n">
        <x:v>193.17268280780002</x:v>
      </x:c>
      <x:c r="M112" s="31" t="n">
        <x:v>141.48053581850002</x:v>
      </x:c>
      <x:c r="N112" s="24" t="str">
        <x:v>hippoglossus hippoglossus</x:v>
      </x:c>
      <x:c r="O112" s="32" t="n">
        <x:v>4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Hippoglossus hippoglossus</x:v>
      </x:c>
      <x:c r="T112" s="32" t="n">
        <x:f>IF(O112="","",(1/'Metadata'!$B$5)^(O112-1))</x:f>
        <x:v>1000</x:v>
      </x:c>
      <x:c r="U112" s="31" t="n">
        <x:f>IF(T112="","",I112*T112)</x:f>
        <x:v>334653.21862630005</x:v>
      </x:c>
    </x:row>
    <x:row r="113" ht="18" customHeight="1">
      <x:c r="A113" s="24" t="str">
        <x:v>EEZ_851</x:v>
      </x:c>
      <x:c r="B113" s="24" t="str">
        <x:v>USA (East Coast)</x:v>
      </x:c>
      <x:c r="C113" s="24" t="str">
        <x:v>EEZ</x:v>
      </x:c>
      <x:c r="D113" s="30" t="n">
        <x:v>2019</x:v>
      </x:c>
      <x:c r="E113" s="24" t="str">
        <x:v>Thunnus alalunga</x:v>
      </x:c>
      <x:c r="F113" s="24" t="str">
        <x:v>Albacore</x:v>
      </x:c>
      <x:c r="G113" s="24" t="str">
        <x:v>Large pelagics (&gt;=90 cm)</x:v>
      </x:c>
      <x:c r="H113" s="24" t="str">
        <x:v>Tuna &amp; billfishes</x:v>
      </x:c>
      <x:c r="I113" s="31" t="n">
        <x:v>323.8520605746</x:v>
      </x:c>
      <x:c r="J113" s="31" t="n">
        <x:v>323.8520605746</x:v>
      </x:c>
      <x:c r="K113" s="31" t="n">
        <x:v>0</x:v>
      </x:c>
      <x:c r="L113" s="31" t="n">
        <x:v>241.3444711373</x:v>
      </x:c>
      <x:c r="M113" s="31" t="n">
        <x:v>82.5075894373</x:v>
      </x:c>
      <x:c r="N113" s="24" t="str">
        <x:v>thunnus alalunga</x:v>
      </x:c>
      <x:c r="O113" s="32" t="n">
        <x:v>4.3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Thunnus alalunga</x:v>
      </x:c>
      <x:c r="T113" s="32" t="n">
        <x:f>IF(O113="","",(1/'Metadata'!$B$5)^(O113-1))</x:f>
        <x:v>1995.2623149688789</x:v>
      </x:c>
      <x:c r="U113" s="31" t="n">
        <x:f>IF(T113="","",I113*T113)</x:f>
        <x:v>646169.812089518</x:v>
      </x:c>
    </x:row>
    <x:row r="114" ht="18" customHeight="1">
      <x:c r="A114" s="24" t="str">
        <x:v>EEZ_851</x:v>
      </x:c>
      <x:c r="B114" s="24" t="str">
        <x:v>USA (East Coast)</x:v>
      </x:c>
      <x:c r="C114" s="24" t="str">
        <x:v>EEZ</x:v>
      </x:c>
      <x:c r="D114" s="30" t="n">
        <x:v>2019</x:v>
      </x:c>
      <x:c r="E114" s="24" t="str">
        <x:v>Prionotus</x:v>
      </x:c>
      <x:c r="F114" s="24" t="str">
        <x:v>Saw-back searobins</x:v>
      </x:c>
      <x:c r="G114" s="24" t="str">
        <x:v>Large reef assoc. fish (&gt;=90 cm)</x:v>
      </x:c>
      <x:c r="H114" s="24" t="str">
        <x:v>Scorpionfishes</x:v>
      </x:c>
      <x:c r="I114" s="31" t="n">
        <x:v>317.8781825379</x:v>
      </x:c>
      <x:c r="J114" s="31" t="n">
        <x:v>317.8781825379</x:v>
      </x:c>
      <x:c r="K114" s="31" t="n">
        <x:v>0</x:v>
      </x:c>
      <x:c r="L114" s="31" t="n">
        <x:v>0.8749807219</x:v>
      </x:c>
      <x:c r="M114" s="31" t="n">
        <x:v>317.003201816</x:v>
      </x:c>
      <x:c r="N114" s="24" t="str">
        <x:v>prionotus</x:v>
      </x:c>
      <x:c r="O114" s="32" t="n">
        <x:v>3.97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Prionotus</x:v>
      </x:c>
      <x:c r="T114" s="32" t="n">
        <x:f>IF(O114="","",(1/'Metadata'!$B$5)^(O114-1))</x:f>
        <x:v>933.2543007969915</x:v>
      </x:c>
      <x:c r="U114" s="31" t="n">
        <x:f>IF(T114="","",I114*T114)</x:f>
        <x:v>296661.1809830263</x:v>
      </x:c>
    </x:row>
    <x:row r="115" ht="18" customHeight="1">
      <x:c r="A115" s="24" t="str">
        <x:v>EEZ_851</x:v>
      </x:c>
      <x:c r="B115" s="24" t="str">
        <x:v>USA (East Coast)</x:v>
      </x:c>
      <x:c r="C115" s="24" t="str">
        <x:v>EEZ</x:v>
      </x:c>
      <x:c r="D115" s="30" t="n">
        <x:v>2019</x:v>
      </x:c>
      <x:c r="E115" s="24" t="str">
        <x:v>Lutjanus analis</x:v>
      </x:c>
      <x:c r="F115" s="24" t="str">
        <x:v>Mutton snapper</x:v>
      </x:c>
      <x:c r="G115" s="24" t="str">
        <x:v>Medium reef assoc. fish (30 - 89 cm)</x:v>
      </x:c>
      <x:c r="H115" s="24" t="str">
        <x:v>Perch-likes</x:v>
      </x:c>
      <x:c r="I115" s="31" t="n">
        <x:v>314.44490818300005</x:v>
      </x:c>
      <x:c r="J115" s="31" t="n">
        <x:v>282.8349337258</x:v>
      </x:c>
      <x:c r="K115" s="31" t="n">
        <x:v>31.6099744572</x:v>
      </x:c>
      <x:c r="L115" s="31" t="n">
        <x:v>16.289428559</x:v>
      </x:c>
      <x:c r="M115" s="31" t="n">
        <x:v>298.155479624</x:v>
      </x:c>
      <x:c r="N115" s="24" t="str">
        <x:v>lutjanus analis</x:v>
      </x:c>
      <x:c r="O115" s="32" t="n">
        <x:v>3.91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Lutjanus analis</x:v>
      </x:c>
      <x:c r="T115" s="32" t="n">
        <x:f>IF(O115="","",(1/'Metadata'!$B$5)^(O115-1))</x:f>
        <x:v>812.8305161640995</x:v>
      </x:c>
      <x:c r="U115" s="31" t="n">
        <x:f>IF(T115="","",I115*T115)</x:f>
        <x:v>255590.41702356082</x:v>
      </x:c>
    </x:row>
    <x:row r="116" ht="18" customHeight="1">
      <x:c r="A116" s="24" t="str">
        <x:v>EEZ_851</x:v>
      </x:c>
      <x:c r="B116" s="24" t="str">
        <x:v>USA (East Coast)</x:v>
      </x:c>
      <x:c r="C116" s="24" t="str">
        <x:v>EEZ</x:v>
      </x:c>
      <x:c r="D116" s="30" t="n">
        <x:v>2019</x:v>
      </x:c>
      <x:c r="E116" s="24" t="str">
        <x:v>Centropomus undecimalis</x:v>
      </x:c>
      <x:c r="F116" s="24" t="str">
        <x:v>Common snook</x:v>
      </x:c>
      <x:c r="G116" s="24" t="str">
        <x:v>Large benthopelagics (&gt;=90 cm)</x:v>
      </x:c>
      <x:c r="H116" s="24" t="str">
        <x:v>Perch-likes</x:v>
      </x:c>
      <x:c r="I116" s="31" t="n">
        <x:v>305.462006968</x:v>
      </x:c>
      <x:c r="J116" s="31" t="n">
        <x:v>305.462006968</x:v>
      </x:c>
      <x:c r="K116" s="31" t="n">
        <x:v>0</x:v>
      </x:c>
      <x:c r="L116" s="31" t="n">
        <x:v>0</x:v>
      </x:c>
      <x:c r="M116" s="31" t="n">
        <x:v>305.462006968</x:v>
      </x:c>
      <x:c r="N116" s="24" t="str">
        <x:v>centropomus undecimalis</x:v>
      </x:c>
      <x:c r="O116" s="32" t="n">
        <x:v>4.17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Centropomus undecimalis</x:v>
      </x:c>
      <x:c r="T116" s="32" t="n">
        <x:f>IF(O116="","",(1/'Metadata'!$B$5)^(O116-1))</x:f>
        <x:v>1479.1083881682073</x:v>
      </x:c>
      <x:c r="U116" s="31" t="n">
        <x:f>IF(T116="","",I116*T116)</x:f>
        <x:v>451811.41677306424</x:v>
      </x:c>
    </x:row>
    <x:row r="117" ht="18" customHeight="1">
      <x:c r="A117" s="24" t="str">
        <x:v>EEZ_851</x:v>
      </x:c>
      <x:c r="B117" s="24" t="str">
        <x:v>USA (East Coast)</x:v>
      </x:c>
      <x:c r="C117" s="24" t="str">
        <x:v>EEZ</x:v>
      </x:c>
      <x:c r="D117" s="30" t="n">
        <x:v>2019</x:v>
      </x:c>
      <x:c r="E117" s="24" t="str">
        <x:v>Anguilla rostrata</x:v>
      </x:c>
      <x:c r="F117" s="24" t="str">
        <x:v>American eel</x:v>
      </x:c>
      <x:c r="G117" s="24" t="str">
        <x:v>Large demersals (&gt;=90 cm)</x:v>
      </x:c>
      <x:c r="H117" s="24" t="str">
        <x:v>Other fishes &amp; inverts</x:v>
      </x:c>
      <x:c r="I117" s="31" t="n">
        <x:v>273.5046296789</x:v>
      </x:c>
      <x:c r="J117" s="31" t="n">
        <x:v>273.5046296789</x:v>
      </x:c>
      <x:c r="K117" s="31" t="n">
        <x:v>0</x:v>
      </x:c>
      <x:c r="L117" s="31" t="n">
        <x:v>241.80765850589998</x:v>
      </x:c>
      <x:c r="M117" s="31" t="n">
        <x:v>31.696971173</x:v>
      </x:c>
      <x:c r="N117" s="24" t="str">
        <x:v>anguilla rostrata</x:v>
      </x:c>
      <x:c r="O117" s="32" t="n">
        <x:v>3.83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Anguilla rostrata</x:v>
      </x:c>
      <x:c r="T117" s="32" t="n">
        <x:f>IF(O117="","",(1/'Metadata'!$B$5)^(O117-1))</x:f>
        <x:v>676.0829753919819</x:v>
      </x:c>
      <x:c r="U117" s="31" t="n">
        <x:f>IF(T117="","",I117*T117)</x:f>
        <x:v>184911.8238167929</x:v>
      </x:c>
    </x:row>
    <x:row r="118" ht="18" customHeight="1">
      <x:c r="A118" s="24" t="str">
        <x:v>EEZ_851</x:v>
      </x:c>
      <x:c r="B118" s="24" t="str">
        <x:v>USA (East Coast)</x:v>
      </x:c>
      <x:c r="C118" s="24" t="str">
        <x:v>EEZ</x:v>
      </x:c>
      <x:c r="D118" s="30" t="n">
        <x:v>2019</x:v>
      </x:c>
      <x:c r="E118" s="24" t="str">
        <x:v>Caranx</x:v>
      </x:c>
      <x:c r="F118" s="24" t="str">
        <x:v>Jacks</x:v>
      </x:c>
      <x:c r="G118" s="24" t="str">
        <x:v>Medium reef assoc. fish (30 - 89 cm)</x:v>
      </x:c>
      <x:c r="H118" s="24" t="str">
        <x:v>Perch-likes</x:v>
      </x:c>
      <x:c r="I118" s="31" t="n">
        <x:v>272.704953504</x:v>
      </x:c>
      <x:c r="J118" s="31" t="n">
        <x:v>272.704953504</x:v>
      </x:c>
      <x:c r="K118" s="31" t="n">
        <x:v>0</x:v>
      </x:c>
      <x:c r="L118" s="31" t="n">
        <x:v>0</x:v>
      </x:c>
      <x:c r="M118" s="31" t="n">
        <x:v>272.704953504</x:v>
      </x:c>
      <x:c r="N118" s="24" t="str">
        <x:v>caranx</x:v>
      </x:c>
      <x:c r="O118" s="32" t="n">
        <x:v>4.12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Caranx</x:v>
      </x:c>
      <x:c r="T118" s="32" t="n">
        <x:f>IF(O118="","",(1/'Metadata'!$B$5)^(O118-1))</x:f>
        <x:v>1318.2567385564075</x:v>
      </x:c>
      <x:c r="U118" s="31" t="n">
        <x:f>IF(T118="","",I118*T118)</x:f>
        <x:v>359495.1425943598</x:v>
      </x:c>
    </x:row>
    <x:row r="119" ht="18" customHeight="1">
      <x:c r="A119" s="24" t="str">
        <x:v>EEZ_851</x:v>
      </x:c>
      <x:c r="B119" s="24" t="str">
        <x:v>USA (East Coast)</x:v>
      </x:c>
      <x:c r="C119" s="24" t="str">
        <x:v>EEZ</x:v>
      </x:c>
      <x:c r="D119" s="30" t="n">
        <x:v>2019</x:v>
      </x:c>
      <x:c r="E119" s="24" t="str">
        <x:v>Busycotypus canaliculatus</x:v>
      </x:c>
      <x:c r="F119" s="24" t="str">
        <x:v>Channeled whelk</x:v>
      </x:c>
      <x:c r="G119" s="24" t="str">
        <x:v>Other demersal invertebrates</x:v>
      </x:c>
      <x:c r="H119" s="24" t="str">
        <x:v>Molluscs</x:v>
      </x:c>
      <x:c r="I119" s="31" t="n">
        <x:v>246.5935172178</x:v>
      </x:c>
      <x:c r="J119" s="31" t="n">
        <x:v>246.5935172178</x:v>
      </x:c>
      <x:c r="K119" s="31" t="n">
        <x:v>0</x:v>
      </x:c>
      <x:c r="L119" s="31" t="n">
        <x:v>246.5935172178</x:v>
      </x:c>
      <x:c r="M119" s="31" t="n">
        <x:v>0</x:v>
      </x:c>
      <x:c r="N119" s="24" t="str">
        <x:v>busycotypus canaliculatus</x:v>
      </x:c>
      <x:c r="O119" s="32" t="n">
        <x:v>3.23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Busycotypus canaliculatus</x:v>
      </x:c>
      <x:c r="T119" s="32" t="n">
        <x:f>IF(O119="","",(1/'Metadata'!$B$5)^(O119-1))</x:f>
        <x:v>169.82436524617444</x:v>
      </x:c>
      <x:c r="U119" s="31" t="n">
        <x:f>IF(T119="","",I119*T119)</x:f>
        <x:v>41877.587535334475</x:v>
      </x:c>
    </x:row>
    <x:row r="120" ht="18" customHeight="1">
      <x:c r="A120" s="24" t="str">
        <x:v>EEZ_851</x:v>
      </x:c>
      <x:c r="B120" s="24" t="str">
        <x:v>USA (East Coast)</x:v>
      </x:c>
      <x:c r="C120" s="24" t="str">
        <x:v>EEZ</x:v>
      </x:c>
      <x:c r="D120" s="30" t="n">
        <x:v>2019</x:v>
      </x:c>
      <x:c r="E120" s="24" t="str">
        <x:v>Cynoscion nebulosus</x:v>
      </x:c>
      <x:c r="F120" s="24" t="str">
        <x:v>Spotted weakfish</x:v>
      </x:c>
      <x:c r="G120" s="24" t="str">
        <x:v>Medium demersals (30 - 89 cm)</x:v>
      </x:c>
      <x:c r="H120" s="24" t="str">
        <x:v>Perch-likes</x:v>
      </x:c>
      <x:c r="I120" s="31" t="n">
        <x:v>243.0359082188</x:v>
      </x:c>
      <x:c r="J120" s="31" t="n">
        <x:v>242.3863572957</x:v>
      </x:c>
      <x:c r="K120" s="31" t="n">
        <x:v>0.6495509231</x:v>
      </x:c>
      <x:c r="L120" s="31" t="n">
        <x:v>240.8238154522</x:v>
      </x:c>
      <x:c r="M120" s="31" t="n">
        <x:v>2.2120927666</x:v>
      </x:c>
      <x:c r="N120" s="24" t="str">
        <x:v>cynoscion nebulosus</x:v>
      </x:c>
      <x:c r="O120" s="32" t="n">
        <x:v>3.98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Cynoscion nebulosus</x:v>
      </x:c>
      <x:c r="T120" s="32" t="n">
        <x:f>IF(O120="","",(1/'Metadata'!$B$5)^(O120-1))</x:f>
        <x:v>954.992586021436</x:v>
      </x:c>
      <x:c r="U120" s="31" t="n">
        <x:f>IF(T120="","",I120*T120)</x:f>
        <x:v>232097.49048594016</x:v>
      </x:c>
    </x:row>
    <x:row r="121" ht="18" customHeight="1">
      <x:c r="A121" s="24" t="str">
        <x:v>EEZ_851</x:v>
      </x:c>
      <x:c r="B121" s="24" t="str">
        <x:v>USA (East Coast)</x:v>
      </x:c>
      <x:c r="C121" s="24" t="str">
        <x:v>EEZ</x:v>
      </x:c>
      <x:c r="D121" s="30" t="n">
        <x:v>2019</x:v>
      </x:c>
      <x:c r="E121" s="24" t="str">
        <x:v>Busycon</x:v>
      </x:c>
      <x:c r="F121" s="24" t="str">
        <x:v>Whelks</x:v>
      </x:c>
      <x:c r="G121" s="24" t="str">
        <x:v>Other demersal invertebrates</x:v>
      </x:c>
      <x:c r="H121" s="24" t="str">
        <x:v>Molluscs</x:v>
      </x:c>
      <x:c r="I121" s="31" t="n">
        <x:v>213.27127124339998</x:v>
      </x:c>
      <x:c r="J121" s="31" t="n">
        <x:v>213.27127124339998</x:v>
      </x:c>
      <x:c r="K121" s="31" t="n">
        <x:v>0</x:v>
      </x:c>
      <x:c r="L121" s="31" t="n">
        <x:v>1.011512188</x:v>
      </x:c>
      <x:c r="M121" s="31" t="n">
        <x:v>212.2597590554</x:v>
      </x:c>
      <x:c r="N121" s="24" t="str">
        <x:v>busycon</x:v>
      </x:c>
      <x:c r="O121" s="32" t="n">
        <x:v>3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Busycon</x:v>
      </x:c>
      <x:c r="T121" s="32" t="n">
        <x:f>IF(O121="","",(1/'Metadata'!$B$5)^(O121-1))</x:f>
        <x:v>100</x:v>
      </x:c>
      <x:c r="U121" s="31" t="n">
        <x:f>IF(T121="","",I121*T121)</x:f>
        <x:v>21327.127124339997</x:v>
      </x:c>
    </x:row>
    <x:row r="122" ht="18" customHeight="1">
      <x:c r="A122" s="24" t="str">
        <x:v>EEZ_851</x:v>
      </x:c>
      <x:c r="B122" s="24" t="str">
        <x:v>USA (East Coast)</x:v>
      </x:c>
      <x:c r="C122" s="24" t="str">
        <x:v>EEZ</x:v>
      </x:c>
      <x:c r="D122" s="30" t="n">
        <x:v>2019</x:v>
      </x:c>
      <x:c r="E122" s="24" t="str">
        <x:v>Busycon carica</x:v>
      </x:c>
      <x:c r="F122" s="24" t="str">
        <x:v>Knobbed whelk</x:v>
      </x:c>
      <x:c r="G122" s="24" t="str">
        <x:v>Other demersal invertebrates</x:v>
      </x:c>
      <x:c r="H122" s="24" t="str">
        <x:v>Molluscs</x:v>
      </x:c>
      <x:c r="I122" s="31" t="n">
        <x:v>212.098683677</x:v>
      </x:c>
      <x:c r="J122" s="31" t="n">
        <x:v>212.098683677</x:v>
      </x:c>
      <x:c r="K122" s="31" t="n">
        <x:v>0</x:v>
      </x:c>
      <x:c r="L122" s="31" t="n">
        <x:v>212.098683677</x:v>
      </x:c>
      <x:c r="M122" s="31" t="n">
        <x:v>0</x:v>
      </x:c>
      <x:c r="N122" s="24" t="str">
        <x:v>busycon carica</x:v>
      </x:c>
      <x:c r="O122" s="32" t="n">
        <x:v>3.23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Busycon carica</x:v>
      </x:c>
      <x:c r="T122" s="32" t="n">
        <x:f>IF(O122="","",(1/'Metadata'!$B$5)^(O122-1))</x:f>
        <x:v>169.82436524617444</x:v>
      </x:c>
      <x:c r="U122" s="31" t="n">
        <x:f>IF(T122="","",I122*T122)</x:f>
        <x:v>36019.52432499566</x:v>
      </x:c>
    </x:row>
    <x:row r="123" ht="18" customHeight="1">
      <x:c r="A123" s="24" t="str">
        <x:v>EEZ_851</x:v>
      </x:c>
      <x:c r="B123" s="24" t="str">
        <x:v>USA (East Coast)</x:v>
      </x:c>
      <x:c r="C123" s="24" t="str">
        <x:v>EEZ</x:v>
      </x:c>
      <x:c r="D123" s="30" t="n">
        <x:v>2019</x:v>
      </x:c>
      <x:c r="E123" s="24" t="str">
        <x:v>Dipturus laevis</x:v>
      </x:c>
      <x:c r="F123" s="24" t="str">
        <x:v>Barndoor skate</x:v>
      </x:c>
      <x:c r="G123" s="24" t="str">
        <x:v>Large rays (&gt;=90 cm)</x:v>
      </x:c>
      <x:c r="H123" s="24" t="str">
        <x:v>Sharks &amp; rays</x:v>
      </x:c>
      <x:c r="I123" s="31" t="n">
        <x:v>211.73898444589997</x:v>
      </x:c>
      <x:c r="J123" s="31" t="n">
        <x:v>211.73898444589997</x:v>
      </x:c>
      <x:c r="K123" s="31" t="n">
        <x:v>0</x:v>
      </x:c>
      <x:c r="L123" s="31" t="n">
        <x:v>211.73898444589997</x:v>
      </x:c>
      <x:c r="M123" s="31" t="n">
        <x:v>0</x:v>
      </x:c>
      <x:c r="N123" s="24" t="str">
        <x:v>dipturus laevis</x:v>
      </x:c>
      <x:c r="O123" s="32" t="n">
        <x:v>3.5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Dipturus laevis</x:v>
      </x:c>
      <x:c r="T123" s="32" t="n">
        <x:f>IF(O123="","",(1/'Metadata'!$B$5)^(O123-1))</x:f>
        <x:v>316.22776601683796</x:v>
      </x:c>
      <x:c r="U123" s="31" t="n">
        <x:f>IF(T123="","",I123*T123)</x:f>
        <x:v>66957.74603000096</x:v>
      </x:c>
    </x:row>
    <x:row r="124" ht="18" customHeight="1">
      <x:c r="A124" s="24" t="str">
        <x:v>EEZ_851</x:v>
      </x:c>
      <x:c r="B124" s="24" t="str">
        <x:v>USA (East Coast)</x:v>
      </x:c>
      <x:c r="C124" s="24" t="str">
        <x:v>EEZ</x:v>
      </x:c>
      <x:c r="D124" s="30" t="n">
        <x:v>2019</x:v>
      </x:c>
      <x:c r="E124" s="24" t="str">
        <x:v>Sphyrna tiburo</x:v>
      </x:c>
      <x:c r="F124" s="24" t="str">
        <x:v>Bonnethead</x:v>
      </x:c>
      <x:c r="G124" s="24" t="str">
        <x:v>Large sharks (&gt;=90 cm)</x:v>
      </x:c>
      <x:c r="H124" s="24" t="str">
        <x:v>Sharks &amp; rays</x:v>
      </x:c>
      <x:c r="I124" s="31" t="n">
        <x:v>193.2155597194</x:v>
      </x:c>
      <x:c r="J124" s="31" t="n">
        <x:v>94.6462071384</x:v>
      </x:c>
      <x:c r="K124" s="31" t="n">
        <x:v>98.569352581</x:v>
      </x:c>
      <x:c r="L124" s="31" t="n">
        <x:v>0.1827979431</x:v>
      </x:c>
      <x:c r="M124" s="31" t="n">
        <x:v>193.0327617763</x:v>
      </x:c>
      <x:c r="N124" s="24" t="str">
        <x:v>sphyrna tiburo</x:v>
      </x:c>
      <x:c r="O124" s="32" t="n">
        <x:v>3.88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Sphyrna tiburo</x:v>
      </x:c>
      <x:c r="T124" s="32" t="n">
        <x:f>IF(O124="","",(1/'Metadata'!$B$5)^(O124-1))</x:f>
        <x:v>758.5775750291835</x:v>
      </x:c>
      <x:c r="U124" s="31" t="n">
        <x:f>IF(T124="","",I124*T124)</x:f>
        <x:v>146568.99074984886</x:v>
      </x:c>
    </x:row>
    <x:row r="125" ht="18" customHeight="1">
      <x:c r="A125" s="24" t="str">
        <x:v>EEZ_851</x:v>
      </x:c>
      <x:c r="B125" s="24" t="str">
        <x:v>USA (East Coast)</x:v>
      </x:c>
      <x:c r="C125" s="24" t="str">
        <x:v>EEZ</x:v>
      </x:c>
      <x:c r="D125" s="30" t="n">
        <x:v>2019</x:v>
      </x:c>
      <x:c r="E125" s="24" t="str">
        <x:v>Trichiurus lepturus</x:v>
      </x:c>
      <x:c r="F125" s="24" t="str">
        <x:v>Largehead hairtail</x:v>
      </x:c>
      <x:c r="G125" s="24" t="str">
        <x:v>Large benthopelagics (&gt;=90 cm)</x:v>
      </x:c>
      <x:c r="H125" s="24" t="str">
        <x:v>Perch-likes</x:v>
      </x:c>
      <x:c r="I125" s="31" t="n">
        <x:v>189.48363824519998</x:v>
      </x:c>
      <x:c r="J125" s="31" t="n">
        <x:v>127.8033651906</x:v>
      </x:c>
      <x:c r="K125" s="31" t="n">
        <x:v>61.6802730546</x:v>
      </x:c>
      <x:c r="L125" s="31" t="n">
        <x:v>125.7808602</x:v>
      </x:c>
      <x:c r="M125" s="31" t="n">
        <x:v>63.7027780452</x:v>
      </x:c>
      <x:c r="N125" s="24" t="str">
        <x:v>trichiurus lepturus</x:v>
      </x:c>
      <x:c r="O125" s="32" t="n">
        <x:v>4.42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Trichiurus lepturus</x:v>
      </x:c>
      <x:c r="T125" s="32" t="n">
        <x:f>IF(O125="","",(1/'Metadata'!$B$5)^(O125-1))</x:f>
        <x:v>2630.2679918953813</x:v>
      </x:c>
      <x:c r="U125" s="31" t="n">
        <x:f>IF(T125="","",I125*T125)</x:f>
        <x:v>498392.748664233</x:v>
      </x:c>
    </x:row>
    <x:row r="126" ht="18" customHeight="1">
      <x:c r="A126" s="24" t="str">
        <x:v>EEZ_851</x:v>
      </x:c>
      <x:c r="B126" s="24" t="str">
        <x:v>USA (East Coast)</x:v>
      </x:c>
      <x:c r="C126" s="24" t="str">
        <x:v>EEZ</x:v>
      </x:c>
      <x:c r="D126" s="30" t="n">
        <x:v>2019</x:v>
      </x:c>
      <x:c r="E126" s="24" t="str">
        <x:v>Trachinotus</x:v>
      </x:c>
      <x:c r="F126" s="24" t="str">
        <x:v>Pompanos</x:v>
      </x:c>
      <x:c r="G126" s="24" t="str">
        <x:v>Medium pelagics (30 - 89 cm)</x:v>
      </x:c>
      <x:c r="H126" s="24" t="str">
        <x:v>Perch-likes</x:v>
      </x:c>
      <x:c r="I126" s="31" t="n">
        <x:v>175.0258116111</x:v>
      </x:c>
      <x:c r="J126" s="31" t="n">
        <x:v>175.0258116111</x:v>
      </x:c>
      <x:c r="K126" s="31" t="n">
        <x:v>0</x:v>
      </x:c>
      <x:c r="L126" s="31" t="n">
        <x:v>0.1914162079</x:v>
      </x:c>
      <x:c r="M126" s="31" t="n">
        <x:v>174.8343954032</x:v>
      </x:c>
      <x:c r="N126" s="24" t="str">
        <x:v>trachinotus</x:v>
      </x:c>
      <x:c r="O126" s="32" t="n">
        <x:v>3.69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Trachinotus</x:v>
      </x:c>
      <x:c r="T126" s="32" t="n">
        <x:f>IF(O126="","",(1/'Metadata'!$B$5)^(O126-1))</x:f>
        <x:v>489.77881936844614</x:v>
      </x:c>
      <x:c r="U126" s="31" t="n">
        <x:f>IF(T126="","",I126*T126)</x:f>
        <x:v>85723.93536988864</x:v>
      </x:c>
    </x:row>
    <x:row r="127" ht="18" customHeight="1">
      <x:c r="A127" s="24" t="str">
        <x:v>EEZ_851</x:v>
      </x:c>
      <x:c r="B127" s="24" t="str">
        <x:v>USA (East Coast)</x:v>
      </x:c>
      <x:c r="C127" s="24" t="str">
        <x:v>EEZ</x:v>
      </x:c>
      <x:c r="D127" s="30" t="n">
        <x:v>2019</x:v>
      </x:c>
      <x:c r="E127" s="24" t="str">
        <x:v>Haemulon plumierii</x:v>
      </x:c>
      <x:c r="F127" s="24" t="str">
        <x:v>White grunt</x:v>
      </x:c>
      <x:c r="G127" s="24" t="str">
        <x:v>Medium reef assoc. fish (30 - 89 cm)</x:v>
      </x:c>
      <x:c r="H127" s="24" t="str">
        <x:v>Perch-likes</x:v>
      </x:c>
      <x:c r="I127" s="31" t="n">
        <x:v>172.9566326313</x:v>
      </x:c>
      <x:c r="J127" s="31" t="n">
        <x:v>163.6530919113</x:v>
      </x:c>
      <x:c r="K127" s="31" t="n">
        <x:v>9.30354072</x:v>
      </x:c>
      <x:c r="L127" s="31" t="n">
        <x:v>10.7555950699</x:v>
      </x:c>
      <x:c r="M127" s="31" t="n">
        <x:v>162.2010375614</x:v>
      </x:c>
      <x:c r="N127" s="24" t="str">
        <x:v>haemulon plumierii</x:v>
      </x:c>
      <x:c r="O127" s="32" t="n">
        <x:v>3.82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Haemulon plumierii</x:v>
      </x:c>
      <x:c r="T127" s="32" t="n">
        <x:f>IF(O127="","",(1/'Metadata'!$B$5)^(O127-1))</x:f>
        <x:v>660.6934480075957</x:v>
      </x:c>
      <x:c r="U127" s="31" t="n">
        <x:f>IF(T127="","",I127*T127)</x:f>
        <x:v>114271.31396895665</x:v>
      </x:c>
    </x:row>
    <x:row r="128" ht="18" customHeight="1">
      <x:c r="A128" s="24" t="str">
        <x:v>EEZ_851</x:v>
      </x:c>
      <x:c r="B128" s="24" t="str">
        <x:v>USA (East Coast)</x:v>
      </x:c>
      <x:c r="C128" s="24" t="str">
        <x:v>EEZ</x:v>
      </x:c>
      <x:c r="D128" s="30" t="n">
        <x:v>2019</x:v>
      </x:c>
      <x:c r="E128" s="24" t="str">
        <x:v>Argopecten irradians</x:v>
      </x:c>
      <x:c r="F128" s="24" t="str">
        <x:v>Atlantic bay scallop</x:v>
      </x:c>
      <x:c r="G128" s="24" t="str">
        <x:v>Other demersal invertebrates</x:v>
      </x:c>
      <x:c r="H128" s="24" t="str">
        <x:v>Molluscs</x:v>
      </x:c>
      <x:c r="I128" s="31" t="n">
        <x:v>172.49833619109998</x:v>
      </x:c>
      <x:c r="J128" s="31" t="n">
        <x:v>96.7505484285</x:v>
      </x:c>
      <x:c r="K128" s="31" t="n">
        <x:v>75.7477877626</x:v>
      </x:c>
      <x:c r="L128" s="31" t="n">
        <x:v>58.172383447099996</x:v>
      </x:c>
      <x:c r="M128" s="31" t="n">
        <x:v>114.325952744</x:v>
      </x:c>
      <x:c r="N128" s="24" t="str">
        <x:v>argopecten irradians</x:v>
      </x:c>
      <x:c r="O128" s="32" t="n">
        <x:v>2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Argopecten irradians</x:v>
      </x:c>
      <x:c r="T128" s="32" t="n">
        <x:f>IF(O128="","",(1/'Metadata'!$B$5)^(O128-1))</x:f>
        <x:v>10</x:v>
      </x:c>
      <x:c r="U128" s="31" t="n">
        <x:f>IF(T128="","",I128*T128)</x:f>
        <x:v>1724.9833619109997</x:v>
      </x:c>
    </x:row>
    <x:row r="129" ht="18" customHeight="1">
      <x:c r="A129" s="24" t="str">
        <x:v>EEZ_851</x:v>
      </x:c>
      <x:c r="B129" s="24" t="str">
        <x:v>USA (East Coast)</x:v>
      </x:c>
      <x:c r="C129" s="24" t="str">
        <x:v>EEZ</x:v>
      </x:c>
      <x:c r="D129" s="30" t="n">
        <x:v>2019</x:v>
      </x:c>
      <x:c r="E129" s="24" t="str">
        <x:v>Veneridae</x:v>
      </x:c>
      <x:c r="F129" s="24" t="str">
        <x:v>Venus clams</x:v>
      </x:c>
      <x:c r="G129" s="24" t="str">
        <x:v>Other demersal invertebrates</x:v>
      </x:c>
      <x:c r="H129" s="24" t="str">
        <x:v>Molluscs</x:v>
      </x:c>
      <x:c r="I129" s="31" t="n">
        <x:v>164.2346526901</x:v>
      </x:c>
      <x:c r="J129" s="31" t="n">
        <x:v>164.2346526901</x:v>
      </x:c>
      <x:c r="K129" s="31" t="n">
        <x:v>0</x:v>
      </x:c>
      <x:c r="L129" s="31" t="n">
        <x:v>164.2346526901</x:v>
      </x:c>
      <x:c r="M129" s="31" t="n">
        <x:v>0</x:v>
      </x:c>
      <x:c r="N129" s="24" t="str">
        <x:v>veneridae</x:v>
      </x:c>
      <x:c r="O129" s="32" t="n">
        <x:v>2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Veneridae</x:v>
      </x:c>
      <x:c r="T129" s="32" t="n">
        <x:f>IF(O129="","",(1/'Metadata'!$B$5)^(O129-1))</x:f>
        <x:v>10</x:v>
      </x:c>
      <x:c r="U129" s="31" t="n">
        <x:f>IF(T129="","",I129*T129)</x:f>
        <x:v>1642.346526901</x:v>
      </x:c>
    </x:row>
    <x:row r="130" ht="18" customHeight="1">
      <x:c r="A130" s="24" t="str">
        <x:v>EEZ_851</x:v>
      </x:c>
      <x:c r="B130" s="24" t="str">
        <x:v>USA (East Coast)</x:v>
      </x:c>
      <x:c r="C130" s="24" t="str">
        <x:v>EEZ</x:v>
      </x:c>
      <x:c r="D130" s="30" t="n">
        <x:v>2019</x:v>
      </x:c>
      <x:c r="E130" s="24" t="str">
        <x:v>Coryphaena</x:v>
      </x:c>
      <x:c r="F130" s="24" t="str">
        <x:v>Dolphinfishes</x:v>
      </x:c>
      <x:c r="G130" s="24" t="str">
        <x:v>Large pelagics (&gt;=90 cm)</x:v>
      </x:c>
      <x:c r="H130" s="24" t="str">
        <x:v>Perch-likes</x:v>
      </x:c>
      <x:c r="I130" s="31" t="n">
        <x:v>160.7410800888</x:v>
      </x:c>
      <x:c r="J130" s="31" t="n">
        <x:v>160.7410800888</x:v>
      </x:c>
      <x:c r="K130" s="31" t="n">
        <x:v>0</x:v>
      </x:c>
      <x:c r="L130" s="31" t="n">
        <x:v>160.7410800888</x:v>
      </x:c>
      <x:c r="M130" s="31" t="n">
        <x:v>0</x:v>
      </x:c>
      <x:c r="N130" s="24" t="str">
        <x:v>coryphaena</x:v>
      </x:c>
      <x:c r="O130" s="32" t="n">
        <x:v>4.49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Coryphaena</x:v>
      </x:c>
      <x:c r="T130" s="32" t="n">
        <x:f>IF(O130="","",(1/'Metadata'!$B$5)^(O130-1))</x:f>
        <x:v>3090.295432513592</x:v>
      </x:c>
      <x:c r="U130" s="31" t="n">
        <x:f>IF(T130="","",I130*T130)</x:f>
        <x:v>496737.42561572016</x:v>
      </x:c>
    </x:row>
    <x:row r="131" ht="18" customHeight="1">
      <x:c r="A131" s="24" t="str">
        <x:v>EEZ_851</x:v>
      </x:c>
      <x:c r="B131" s="24" t="str">
        <x:v>USA (East Coast)</x:v>
      </x:c>
      <x:c r="C131" s="24" t="str">
        <x:v>EEZ</x:v>
      </x:c>
      <x:c r="D131" s="30" t="n">
        <x:v>2019</x:v>
      </x:c>
      <x:c r="E131" s="24" t="str">
        <x:v>Ocyurus chrysurus</x:v>
      </x:c>
      <x:c r="F131" s="24" t="str">
        <x:v>Yellowtail snapper</x:v>
      </x:c>
      <x:c r="G131" s="24" t="str">
        <x:v>Medium reef assoc. fish (30 - 89 cm)</x:v>
      </x:c>
      <x:c r="H131" s="24" t="str">
        <x:v>Perch-likes</x:v>
      </x:c>
      <x:c r="I131" s="31" t="n">
        <x:v>156.8455782506</x:v>
      </x:c>
      <x:c r="J131" s="31" t="n">
        <x:v>142.6573600218</x:v>
      </x:c>
      <x:c r="K131" s="31" t="n">
        <x:v>14.1882182288</x:v>
      </x:c>
      <x:c r="L131" s="31" t="n">
        <x:v>19.387014545000003</x:v>
      </x:c>
      <x:c r="M131" s="31" t="n">
        <x:v>137.4585637056</x:v>
      </x:c>
      <x:c r="N131" s="24" t="str">
        <x:v>ocyurus chrysurus</x:v>
      </x:c>
      <x:c r="O131" s="32" t="n">
        <x:v>4.03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Ocyurus chrysurus</x:v>
      </x:c>
      <x:c r="T131" s="32" t="n">
        <x:f>IF(O131="","",(1/'Metadata'!$B$5)^(O131-1))</x:f>
        <x:v>1071.519305237607</x:v>
      </x:c>
      <x:c r="U131" s="31" t="n">
        <x:f>IF(T131="","",I131*T131)</x:f>
        <x:v>168063.06503667365</x:v>
      </x:c>
    </x:row>
    <x:row r="132" ht="18" customHeight="1">
      <x:c r="A132" s="24" t="str">
        <x:v>EEZ_851</x:v>
      </x:c>
      <x:c r="B132" s="24" t="str">
        <x:v>USA (East Coast)</x:v>
      </x:c>
      <x:c r="C132" s="24" t="str">
        <x:v>EEZ</x:v>
      </x:c>
      <x:c r="D132" s="30" t="n">
        <x:v>2019</x:v>
      </x:c>
      <x:c r="E132" s="24" t="str">
        <x:v>Panulirus argus</x:v>
      </x:c>
      <x:c r="F132" s="24" t="str">
        <x:v>Caribbean spiny lobster</x:v>
      </x:c>
      <x:c r="G132" s="24" t="str">
        <x:v>Lobsters, crabs</x:v>
      </x:c>
      <x:c r="H132" s="24" t="str">
        <x:v>Crustaceans</x:v>
      </x:c>
      <x:c r="I132" s="31" t="n">
        <x:v>156.6760322508</x:v>
      </x:c>
      <x:c r="J132" s="31" t="n">
        <x:v>156.6760322508</x:v>
      </x:c>
      <x:c r="K132" s="31" t="n">
        <x:v>0</x:v>
      </x:c>
      <x:c r="L132" s="31" t="n">
        <x:v>156.4550806612</x:v>
      </x:c>
      <x:c r="M132" s="31" t="n">
        <x:v>0.2209515896</x:v>
      </x:c>
      <x:c r="N132" s="24" t="str">
        <x:v>panulirus argus</x:v>
      </x:c>
      <x:c r="O132" s="32" t="n">
        <x:v>3.2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Panulirus argus</x:v>
      </x:c>
      <x:c r="T132" s="32" t="n">
        <x:f>IF(O132="","",(1/'Metadata'!$B$5)^(O132-1))</x:f>
        <x:v>158.48931924611142</x:v>
      </x:c>
      <x:c r="U132" s="31" t="n">
        <x:f>IF(T132="","",I132*T132)</x:f>
        <x:v>24831.47769361109</x:v>
      </x:c>
    </x:row>
    <x:row r="133" ht="18" customHeight="1">
      <x:c r="A133" s="24" t="str">
        <x:v>EEZ_851</x:v>
      </x:c>
      <x:c r="B133" s="24" t="str">
        <x:v>USA (East Coast)</x:v>
      </x:c>
      <x:c r="C133" s="24" t="str">
        <x:v>EEZ</x:v>
      </x:c>
      <x:c r="D133" s="30" t="n">
        <x:v>2019</x:v>
      </x:c>
      <x:c r="E133" s="24" t="str">
        <x:v>Mycteroperca microlepis</x:v>
      </x:c>
      <x:c r="F133" s="24" t="str">
        <x:v>Gag</x:v>
      </x:c>
      <x:c r="G133" s="24" t="str">
        <x:v>Large demersals (&gt;=90 cm)</x:v>
      </x:c>
      <x:c r="H133" s="24" t="str">
        <x:v>Perch-likes</x:v>
      </x:c>
      <x:c r="I133" s="31" t="n">
        <x:v>155.4661600229</x:v>
      </x:c>
      <x:c r="J133" s="31" t="n">
        <x:v>139.98230891789999</x:v>
      </x:c>
      <x:c r="K133" s="31" t="n">
        <x:v>15.483851105</x:v>
      </x:c>
      <x:c r="L133" s="31" t="n">
        <x:v>138.48146164989998</x:v>
      </x:c>
      <x:c r="M133" s="31" t="n">
        <x:v>16.984698373</x:v>
      </x:c>
      <x:c r="N133" s="24" t="str">
        <x:v>mycteroperca microlepis</x:v>
      </x:c>
      <x:c r="O133" s="32" t="n">
        <x:v>3.65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Mycteroperca microlepis</x:v>
      </x:c>
      <x:c r="T133" s="32" t="n">
        <x:f>IF(O133="","",(1/'Metadata'!$B$5)^(O133-1))</x:f>
        <x:v>446.683592150963</x:v>
      </x:c>
      <x:c r="U133" s="31" t="n">
        <x:f>IF(T133="","",I133*T133)</x:f>
        <x:v>69444.18281694541</x:v>
      </x:c>
    </x:row>
    <x:row r="134" ht="18" customHeight="1">
      <x:c r="A134" s="24" t="str">
        <x:v>EEZ_851</x:v>
      </x:c>
      <x:c r="B134" s="24" t="str">
        <x:v>USA (East Coast)</x:v>
      </x:c>
      <x:c r="C134" s="24" t="str">
        <x:v>EEZ</x:v>
      </x:c>
      <x:c r="D134" s="30" t="n">
        <x:v>2019</x:v>
      </x:c>
      <x:c r="E134" s="24" t="str">
        <x:v>Brosme brosme</x:v>
      </x:c>
      <x:c r="F134" s="24" t="str">
        <x:v>Tusk</x:v>
      </x:c>
      <x:c r="G134" s="24" t="str">
        <x:v>Large demersals (&gt;=90 cm)</x:v>
      </x:c>
      <x:c r="H134" s="24" t="str">
        <x:v>Cod-likes</x:v>
      </x:c>
      <x:c r="I134" s="31" t="n">
        <x:v>154.3475698968</x:v>
      </x:c>
      <x:c r="J134" s="31" t="n">
        <x:v>154.3475698968</x:v>
      </x:c>
      <x:c r="K134" s="31" t="n">
        <x:v>0</x:v>
      </x:c>
      <x:c r="L134" s="31" t="n">
        <x:v>66.37344914959999</x:v>
      </x:c>
      <x:c r="M134" s="31" t="n">
        <x:v>87.9741207472</x:v>
      </x:c>
      <x:c r="N134" s="24" t="str">
        <x:v>brosme brosme</x:v>
      </x:c>
      <x:c r="O134" s="32" t="n">
        <x:v>3.9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Brosme brosme</x:v>
      </x:c>
      <x:c r="T134" s="32" t="n">
        <x:f>IF(O134="","",(1/'Metadata'!$B$5)^(O134-1))</x:f>
        <x:v>794.3282347242813</x:v>
      </x:c>
      <x:c r="U134" s="31" t="n">
        <x:f>IF(T134="","",I134*T134)</x:f>
        <x:v>122602.63273010775</x:v>
      </x:c>
    </x:row>
    <x:row r="135" ht="18" customHeight="1">
      <x:c r="A135" s="24" t="str">
        <x:v>EEZ_851</x:v>
      </x:c>
      <x:c r="B135" s="24" t="str">
        <x:v>USA (East Coast)</x:v>
      </x:c>
      <x:c r="C135" s="24" t="str">
        <x:v>EEZ</x:v>
      </x:c>
      <x:c r="D135" s="30" t="n">
        <x:v>2019</x:v>
      </x:c>
      <x:c r="E135" s="24" t="str">
        <x:v>Brachyura</x:v>
      </x:c>
      <x:c r="F135" s="24" t="str">
        <x:v>Marine crabs</x:v>
      </x:c>
      <x:c r="G135" s="24" t="str">
        <x:v>Lobsters, crabs</x:v>
      </x:c>
      <x:c r="H135" s="24" t="str">
        <x:v>Crustaceans</x:v>
      </x:c>
      <x:c r="I135" s="31" t="n">
        <x:v>130.8230074054</x:v>
      </x:c>
      <x:c r="J135" s="31" t="n">
        <x:v>130.8230074054</x:v>
      </x:c>
      <x:c r="K135" s="31" t="n">
        <x:v>0</x:v>
      </x:c>
      <x:c r="L135" s="31" t="n">
        <x:v>12.350427739999999</x:v>
      </x:c>
      <x:c r="M135" s="31" t="n">
        <x:v>118.4725796654</x:v>
      </x:c>
      <x:c r="N135" s="24" t="str">
        <x:v>brachyura</x:v>
      </x:c>
      <x:c r="O135" s="32" t="n">
        <x:v>2.6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Brachyura</x:v>
      </x:c>
      <x:c r="T135" s="32" t="n">
        <x:f>IF(O135="","",(1/'Metadata'!$B$5)^(O135-1))</x:f>
        <x:v>39.810717055349734</x:v>
      </x:c>
      <x:c r="U135" s="31" t="n">
        <x:f>IF(T135="","",I135*T135)</x:f>
        <x:v>5208.157732146303</x:v>
      </x:c>
    </x:row>
    <x:row r="136" ht="18" customHeight="1">
      <x:c r="A136" s="24" t="str">
        <x:v>EEZ_851</x:v>
      </x:c>
      <x:c r="B136" s="24" t="str">
        <x:v>USA (East Coast)</x:v>
      </x:c>
      <x:c r="C136" s="24" t="str">
        <x:v>EEZ</x:v>
      </x:c>
      <x:c r="D136" s="30" t="n">
        <x:v>2019</x:v>
      </x:c>
      <x:c r="E136" s="24" t="str">
        <x:v>Orthopristis chrysoptera</x:v>
      </x:c>
      <x:c r="F136" s="24" t="str">
        <x:v>Pigfish</x:v>
      </x:c>
      <x:c r="G136" s="24" t="str">
        <x:v>Medium demersals (30 - 89 cm)</x:v>
      </x:c>
      <x:c r="H136" s="24" t="str">
        <x:v>Perch-likes</x:v>
      </x:c>
      <x:c r="I136" s="31" t="n">
        <x:v>130.0407767357</x:v>
      </x:c>
      <x:c r="J136" s="31" t="n">
        <x:v>130.0407767357</x:v>
      </x:c>
      <x:c r="K136" s="31" t="n">
        <x:v>0</x:v>
      </x:c>
      <x:c r="L136" s="31" t="n">
        <x:v>10.200397350300001</x:v>
      </x:c>
      <x:c r="M136" s="31" t="n">
        <x:v>119.8403793854</x:v>
      </x:c>
      <x:c r="N136" s="24" t="str">
        <x:v>orthopristis chrysoptera</x:v>
      </x:c>
      <x:c r="O136" s="32" t="n">
        <x:v>3.42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Orthopristis chrysoptera</x:v>
      </x:c>
      <x:c r="T136" s="32" t="n">
        <x:f>IF(O136="","",(1/'Metadata'!$B$5)^(O136-1))</x:f>
        <x:v>263.02679918953817</x:v>
      </x:c>
      <x:c r="U136" s="31" t="n">
        <x:f>IF(T136="","",I136*T136)</x:f>
        <x:v>34204.209268912535</x:v>
      </x:c>
    </x:row>
    <x:row r="137" ht="18" customHeight="1">
      <x:c r="A137" s="24" t="str">
        <x:v>EEZ_851</x:v>
      </x:c>
      <x:c r="B137" s="24" t="str">
        <x:v>USA (East Coast)</x:v>
      </x:c>
      <x:c r="C137" s="24" t="str">
        <x:v>EEZ</x:v>
      </x:c>
      <x:c r="D137" s="30" t="n">
        <x:v>2019</x:v>
      </x:c>
      <x:c r="E137" s="24" t="str">
        <x:v>Chaceon fenneri</x:v>
      </x:c>
      <x:c r="F137" s="24" t="str">
        <x:v>Golden deepsea crab</x:v>
      </x:c>
      <x:c r="G137" s="24" t="str">
        <x:v>Lobsters, crabs</x:v>
      </x:c>
      <x:c r="H137" s="24" t="str">
        <x:v>Crustaceans</x:v>
      </x:c>
      <x:c r="I137" s="31" t="n">
        <x:v>129.61054510009998</x:v>
      </x:c>
      <x:c r="J137" s="31" t="n">
        <x:v>129.61054510009998</x:v>
      </x:c>
      <x:c r="K137" s="31" t="n">
        <x:v>0</x:v>
      </x:c>
      <x:c r="L137" s="31" t="n">
        <x:v>129.61054510009998</x:v>
      </x:c>
      <x:c r="M137" s="31" t="n">
        <x:v>0</x:v>
      </x:c>
      <x:c r="N137" s="24" t="str">
        <x:v>chaceon fenneri</x:v>
      </x:c>
      <x:c r="O137" s="32" t="n">
        <x:v>3.02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Chaceon fenneri</x:v>
      </x:c>
      <x:c r="T137" s="32" t="n">
        <x:f>IF(O137="","",(1/'Metadata'!$B$5)^(O137-1))</x:f>
        <x:v>104.71285480508996</x:v>
      </x:c>
      <x:c r="U137" s="31" t="n">
        <x:f>IF(T137="","",I137*T137)</x:f>
        <x:v>13571.890190275333</x:v>
      </x:c>
    </x:row>
    <x:row r="138" ht="18" customHeight="1">
      <x:c r="A138" s="24" t="str">
        <x:v>EEZ_851</x:v>
      </x:c>
      <x:c r="B138" s="24" t="str">
        <x:v>USA (East Coast)</x:v>
      </x:c>
      <x:c r="C138" s="24" t="str">
        <x:v>EEZ</x:v>
      </x:c>
      <x:c r="D138" s="30" t="n">
        <x:v>2019</x:v>
      </x:c>
      <x:c r="E138" s="24" t="str">
        <x:v>Mugil curema</x:v>
      </x:c>
      <x:c r="F138" s="24" t="str">
        <x:v>White mullet</x:v>
      </x:c>
      <x:c r="G138" s="24" t="str">
        <x:v>Medium benthopelagics (30 - 89 cm)</x:v>
      </x:c>
      <x:c r="H138" s="24" t="str">
        <x:v>Perch-likes</x:v>
      </x:c>
      <x:c r="I138" s="31" t="n">
        <x:v>129.25777171480001</x:v>
      </x:c>
      <x:c r="J138" s="31" t="n">
        <x:v>129.25777171480001</x:v>
      </x:c>
      <x:c r="K138" s="31" t="n">
        <x:v>0</x:v>
      </x:c>
      <x:c r="L138" s="31" t="n">
        <x:v>87.3851276</x:v>
      </x:c>
      <x:c r="M138" s="31" t="n">
        <x:v>41.872644114799996</x:v>
      </x:c>
      <x:c r="N138" s="24" t="str">
        <x:v>mugil curema</x:v>
      </x:c>
      <x:c r="O138" s="32" t="n">
        <x:v>2.01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Mugil curema</x:v>
      </x:c>
      <x:c r="T138" s="32" t="n">
        <x:f>IF(O138="","",(1/'Metadata'!$B$5)^(O138-1))</x:f>
        <x:v>10.232929922807536</x:v>
      </x:c>
      <x:c r="U138" s="31" t="n">
        <x:f>IF(T138="","",I138*T138)</x:f>
        <x:v>1322.6857199358026</x:v>
      </x:c>
    </x:row>
    <x:row r="139" ht="18" customHeight="1">
      <x:c r="A139" s="24" t="str">
        <x:v>EEZ_851</x:v>
      </x:c>
      <x:c r="B139" s="24" t="str">
        <x:v>USA (East Coast)</x:v>
      </x:c>
      <x:c r="C139" s="24" t="str">
        <x:v>EEZ</x:v>
      </x:c>
      <x:c r="D139" s="30" t="n">
        <x:v>2019</x:v>
      </x:c>
      <x:c r="E139" s="24" t="str">
        <x:v>Penaeidae</x:v>
      </x:c>
      <x:c r="F139" s="24" t="str">
        <x:v>Commercial shrimps and prawns</x:v>
      </x:c>
      <x:c r="G139" s="24" t="str">
        <x:v>Shrimps</x:v>
      </x:c>
      <x:c r="H139" s="24" t="str">
        <x:v>Crustaceans</x:v>
      </x:c>
      <x:c r="I139" s="31" t="n">
        <x:v>126.8533933856</x:v>
      </x:c>
      <x:c r="J139" s="31" t="n">
        <x:v>34.0488052987</x:v>
      </x:c>
      <x:c r="K139" s="31" t="n">
        <x:v>92.8045880869</x:v>
      </x:c>
      <x:c r="L139" s="31" t="n">
        <x:v>28.438461052100003</x:v>
      </x:c>
      <x:c r="M139" s="31" t="n">
        <x:v>98.41493233349999</x:v>
      </x:c>
      <x:c r="N139" s="24" t="str">
        <x:v>penaeidae</x:v>
      </x:c>
      <x:c r="O139" s="32" t="n">
        <x:v>3.31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Penaeidae</x:v>
      </x:c>
      <x:c r="T139" s="32" t="n">
        <x:f>IF(O139="","",(1/'Metadata'!$B$5)^(O139-1))</x:f>
        <x:v>204.17379446695296</x:v>
      </x:c>
      <x:c r="U139" s="31" t="n">
        <x:f>IF(T139="","",I139*T139)</x:f>
        <x:v>25900.138668547024</x:v>
      </x:c>
    </x:row>
    <x:row r="140" ht="18" customHeight="1">
      <x:c r="A140" s="24" t="str">
        <x:v>EEZ_851</x:v>
      </x:c>
      <x:c r="B140" s="24" t="str">
        <x:v>USA (East Coast)</x:v>
      </x:c>
      <x:c r="C140" s="24" t="str">
        <x:v>EEZ</x:v>
      </x:c>
      <x:c r="D140" s="30" t="n">
        <x:v>2019</x:v>
      </x:c>
      <x:c r="E140" s="24" t="str">
        <x:v>Rachycentridae</x:v>
      </x:c>
      <x:c r="F140" s="24" t="str">
        <x:v>Cobias</x:v>
      </x:c>
      <x:c r="G140" s="24" t="str">
        <x:v>Large pelagics (&gt;=90 cm)</x:v>
      </x:c>
      <x:c r="H140" s="24" t="str">
        <x:v>Perch-likes</x:v>
      </x:c>
      <x:c r="I140" s="31" t="n">
        <x:v>122.3765136975</x:v>
      </x:c>
      <x:c r="J140" s="31" t="n">
        <x:v>5.8247473065</x:v>
      </x:c>
      <x:c r="K140" s="31" t="n">
        <x:v>116.551766391</x:v>
      </x:c>
      <x:c r="L140" s="31" t="n">
        <x:v>0</x:v>
      </x:c>
      <x:c r="M140" s="31" t="n">
        <x:v>122.3765136975</x:v>
      </x:c>
      <x:c r="N140" s="24" t="str">
        <x:v>rachycentridae</x:v>
      </x:c>
      <x:c r="O140" s="32" t="n">
        <x:v>3.96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Rachycentridae</x:v>
      </x:c>
      <x:c r="T140" s="32" t="n">
        <x:f>IF(O140="","",(1/'Metadata'!$B$5)^(O140-1))</x:f>
        <x:v>912.0108393559096</x:v>
      </x:c>
      <x:c r="U140" s="31" t="n">
        <x:f>IF(T140="","",I140*T140)</x:f>
        <x:v>111608.70697470695</x:v>
      </x:c>
    </x:row>
    <x:row r="141" ht="18" customHeight="1">
      <x:c r="A141" s="24" t="str">
        <x:v>EEZ_851</x:v>
      </x:c>
      <x:c r="B141" s="24" t="str">
        <x:v>USA (East Coast)</x:v>
      </x:c>
      <x:c r="C141" s="24" t="str">
        <x:v>EEZ</x:v>
      </x:c>
      <x:c r="D141" s="30" t="n">
        <x:v>2019</x:v>
      </x:c>
      <x:c r="E141" s="24" t="str">
        <x:v>Elasmobranchii</x:v>
      </x:c>
      <x:c r="F141" s="24" t="str">
        <x:v>Sharks, rays, skates</x:v>
      </x:c>
      <x:c r="G141" s="24" t="str">
        <x:v>Large sharks (&gt;=90 cm)</x:v>
      </x:c>
      <x:c r="H141" s="24" t="str">
        <x:v>Sharks &amp; rays</x:v>
      </x:c>
      <x:c r="I141" s="31" t="n">
        <x:v>119.5015095123</x:v>
      </x:c>
      <x:c r="J141" s="31" t="n">
        <x:v>14.4056913797</x:v>
      </x:c>
      <x:c r="K141" s="31" t="n">
        <x:v>105.0958181326</x:v>
      </x:c>
      <x:c r="L141" s="31" t="n">
        <x:v>0</x:v>
      </x:c>
      <x:c r="M141" s="31" t="n">
        <x:v>119.5015095123</x:v>
      </x:c>
      <x:c r="N141" s="24" t="str">
        <x:v>elasmobranchii</x:v>
      </x:c>
      <x:c r="O141" s="32" t="n">
        <x:v>4.05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Elasmobranchii</x:v>
      </x:c>
      <x:c r="T141" s="32" t="n">
        <x:f>IF(O141="","",(1/'Metadata'!$B$5)^(O141-1))</x:f>
        <x:v>1122.018454301963</x:v>
      </x:c>
      <x:c r="U141" s="31" t="n">
        <x:f>IF(T141="","",I141*T141)</x:f>
        <x:v>134082.89898974219</x:v>
      </x:c>
    </x:row>
    <x:row r="142" ht="18" customHeight="1">
      <x:c r="A142" s="24" t="str">
        <x:v>EEZ_851</x:v>
      </x:c>
      <x:c r="B142" s="24" t="str">
        <x:v>USA (East Coast)</x:v>
      </x:c>
      <x:c r="C142" s="24" t="str">
        <x:v>EEZ</x:v>
      </x:c>
      <x:c r="D142" s="30" t="n">
        <x:v>2019</x:v>
      </x:c>
      <x:c r="E142" s="24" t="str">
        <x:v>Ensis directus</x:v>
      </x:c>
      <x:c r="F142" s="24" t="str">
        <x:v>Atlantic razor clam</x:v>
      </x:c>
      <x:c r="G142" s="24" t="str">
        <x:v>Other demersal invertebrates</x:v>
      </x:c>
      <x:c r="H142" s="24" t="str">
        <x:v>Molluscs</x:v>
      </x:c>
      <x:c r="I142" s="31" t="n">
        <x:v>115.7135672671</x:v>
      </x:c>
      <x:c r="J142" s="31" t="n">
        <x:v>115.691918991</x:v>
      </x:c>
      <x:c r="K142" s="31" t="n">
        <x:v>0.0216482761</x:v>
      </x:c>
      <x:c r="L142" s="31" t="n">
        <x:v>87.287605124</x:v>
      </x:c>
      <x:c r="M142" s="31" t="n">
        <x:v>28.4259621431</x:v>
      </x:c>
      <x:c r="N142" s="24" t="str">
        <x:v>ensis directus</x:v>
      </x:c>
      <x:c r="O142" s="32" t="n">
        <x:v>2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Ensis directus</x:v>
      </x:c>
      <x:c r="T142" s="32" t="n">
        <x:f>IF(O142="","",(1/'Metadata'!$B$5)^(O142-1))</x:f>
        <x:v>10</x:v>
      </x:c>
      <x:c r="U142" s="31" t="n">
        <x:f>IF(T142="","",I142*T142)</x:f>
        <x:v>1157.135672671</x:v>
      </x:c>
    </x:row>
    <x:row r="143" ht="18" customHeight="1">
      <x:c r="A143" s="24" t="str">
        <x:v>EEZ_851</x:v>
      </x:c>
      <x:c r="B143" s="24" t="str">
        <x:v>USA (East Coast)</x:v>
      </x:c>
      <x:c r="C143" s="24" t="str">
        <x:v>EEZ</x:v>
      </x:c>
      <x:c r="D143" s="30" t="n">
        <x:v>2019</x:v>
      </x:c>
      <x:c r="E143" s="24" t="str">
        <x:v>Gerreidae</x:v>
      </x:c>
      <x:c r="F143" s="24" t="str">
        <x:v>Mojarras, silverbellies</x:v>
      </x:c>
      <x:c r="G143" s="24" t="str">
        <x:v>Small benthopelagics (&lt;30 cm)</x:v>
      </x:c>
      <x:c r="H143" s="24" t="str">
        <x:v>Perch-likes</x:v>
      </x:c>
      <x:c r="I143" s="31" t="n">
        <x:v>115.71205326109998</x:v>
      </x:c>
      <x:c r="J143" s="31" t="n">
        <x:v>115.71205326109998</x:v>
      </x:c>
      <x:c r="K143" s="31" t="n">
        <x:v>0</x:v>
      </x:c>
      <x:c r="L143" s="31" t="n">
        <x:v>113.76382325009999</x:v>
      </x:c>
      <x:c r="M143" s="31" t="n">
        <x:v>1.948230011</x:v>
      </x:c>
      <x:c r="N143" s="24" t="str">
        <x:v>gerreidae</x:v>
      </x:c>
      <x:c r="O143" s="32" t="n">
        <x:v>3.03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Gerreidae</x:v>
      </x:c>
      <x:c r="T143" s="32" t="n">
        <x:f>IF(O143="","",(1/'Metadata'!$B$5)^(O143-1))</x:f>
        <x:v>107.1519305237606</x:v>
      </x:c>
      <x:c r="U143" s="31" t="n">
        <x:f>IF(T143="","",I143*T143)</x:f>
        <x:v>12398.769891795071</x:v>
      </x:c>
    </x:row>
    <x:row r="144" ht="18" customHeight="1">
      <x:c r="A144" s="24" t="str">
        <x:v>EEZ_851</x:v>
      </x:c>
      <x:c r="B144" s="24" t="str">
        <x:v>USA (East Coast)</x:v>
      </x:c>
      <x:c r="C144" s="24" t="str">
        <x:v>EEZ</x:v>
      </x:c>
      <x:c r="D144" s="30" t="n">
        <x:v>2019</x:v>
      </x:c>
      <x:c r="E144" s="24" t="str">
        <x:v>Cyprinus carpio</x:v>
      </x:c>
      <x:c r="F144" s="24" t="str">
        <x:v>Common carp</x:v>
      </x:c>
      <x:c r="G144" s="24" t="str">
        <x:v>Large benthopelagics (&gt;=90 cm)</x:v>
      </x:c>
      <x:c r="H144" s="24" t="str">
        <x:v>Other fishes &amp; inverts</x:v>
      </x:c>
      <x:c r="I144" s="31" t="n">
        <x:v>110.7529253428</x:v>
      </x:c>
      <x:c r="J144" s="31" t="n">
        <x:v>110.7529253428</x:v>
      </x:c>
      <x:c r="K144" s="31" t="n">
        <x:v>0</x:v>
      </x:c>
      <x:c r="L144" s="31" t="n">
        <x:v>35.119431010999996</x:v>
      </x:c>
      <x:c r="M144" s="31" t="n">
        <x:v>75.6334943318</x:v>
      </x:c>
      <x:c r="N144" s="24" t="str">
        <x:v>cyprinus carpio</x:v>
      </x:c>
      <x:c r="O144" s="32" t="n">
        <x:v>3.06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Cyprinus carpio</x:v>
      </x:c>
      <x:c r="T144" s="32" t="n">
        <x:f>IF(O144="","",(1/'Metadata'!$B$5)^(O144-1))</x:f>
        <x:v>114.81536214968828</x:v>
      </x:c>
      <x:c r="U144" s="31" t="n">
        <x:f>IF(T144="","",I144*T144)</x:f>
        <x:v>12716.137232370971</x:v>
      </x:c>
    </x:row>
    <x:row r="145" ht="18" customHeight="1">
      <x:c r="A145" s="24" t="str">
        <x:v>EEZ_851</x:v>
      </x:c>
      <x:c r="B145" s="24" t="str">
        <x:v>USA (East Coast)</x:v>
      </x:c>
      <x:c r="C145" s="24" t="str">
        <x:v>EEZ</x:v>
      </x:c>
      <x:c r="D145" s="30" t="n">
        <x:v>2019</x:v>
      </x:c>
      <x:c r="E145" s="24" t="str">
        <x:v>Squalus</x:v>
      </x:c>
      <x:c r="F145" s="24" t="str">
        <x:v>Dogfishes</x:v>
      </x:c>
      <x:c r="G145" s="24" t="str">
        <x:v>Large sharks (&gt;=90 cm)</x:v>
      </x:c>
      <x:c r="H145" s="24" t="str">
        <x:v>Sharks &amp; rays</x:v>
      </x:c>
      <x:c r="I145" s="31" t="n">
        <x:v>104.485370792</x:v>
      </x:c>
      <x:c r="J145" s="31" t="n">
        <x:v>104.485370792</x:v>
      </x:c>
      <x:c r="K145" s="31" t="n">
        <x:v>0</x:v>
      </x:c>
      <x:c r="L145" s="31" t="n">
        <x:v>0</x:v>
      </x:c>
      <x:c r="M145" s="31" t="n">
        <x:v>104.485370792</x:v>
      </x:c>
      <x:c r="N145" s="24" t="str">
        <x:v>squalus</x:v>
      </x:c>
      <x:c r="O145" s="32" t="n">
        <x:v>4.23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Squalus</x:v>
      </x:c>
      <x:c r="T145" s="32" t="n">
        <x:f>IF(O145="","",(1/'Metadata'!$B$5)^(O145-1))</x:f>
        <x:v>1698.243652461746</x:v>
      </x:c>
      <x:c r="U145" s="31" t="n">
        <x:f>IF(T145="","",I145*T145)</x:f>
        <x:v>177441.6177226259</x:v>
      </x:c>
    </x:row>
    <x:row r="146" ht="18" customHeight="1">
      <x:c r="A146" s="24" t="str">
        <x:v>EEZ_851</x:v>
      </x:c>
      <x:c r="B146" s="24" t="str">
        <x:v>USA (East Coast)</x:v>
      </x:c>
      <x:c r="C146" s="24" t="str">
        <x:v>EEZ</x:v>
      </x:c>
      <x:c r="D146" s="30" t="n">
        <x:v>2019</x:v>
      </x:c>
      <x:c r="E146" s="24" t="str">
        <x:v>Hemiramphus</x:v>
      </x:c>
      <x:c r="F146" s="24" t="str">
        <x:v>Halfbeaks</x:v>
      </x:c>
      <x:c r="G146" s="24" t="str">
        <x:v>Medium pelagics (30 - 89 cm)</x:v>
      </x:c>
      <x:c r="H146" s="24" t="str">
        <x:v>Other fishes &amp; inverts</x:v>
      </x:c>
      <x:c r="I146" s="31" t="n">
        <x:v>99.00073482</x:v>
      </x:c>
      <x:c r="J146" s="31" t="n">
        <x:v>99.00073482</x:v>
      </x:c>
      <x:c r="K146" s="31" t="n">
        <x:v>0</x:v>
      </x:c>
      <x:c r="L146" s="31" t="n">
        <x:v>99.00073482</x:v>
      </x:c>
      <x:c r="M146" s="31" t="n">
        <x:v>0</x:v>
      </x:c>
      <x:c r="N146" s="24" t="str">
        <x:v>hemiramphus</x:v>
      </x:c>
      <x:c r="O146" s="32" t="n">
        <x:v>3.05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Hemiramphus</x:v>
      </x:c>
      <x:c r="T146" s="32" t="n">
        <x:f>IF(O146="","",(1/'Metadata'!$B$5)^(O146-1))</x:f>
        <x:v>112.2018454301963</x:v>
      </x:c>
      <x:c r="U146" s="31" t="n">
        <x:f>IF(T146="","",I146*T146)</x:f>
        <x:v>11108.065145749493</x:v>
      </x:c>
    </x:row>
    <x:row r="147" ht="18" customHeight="1">
      <x:c r="A147" s="24" t="str">
        <x:v>EEZ_851</x:v>
      </x:c>
      <x:c r="B147" s="24" t="str">
        <x:v>USA (East Coast)</x:v>
      </x:c>
      <x:c r="C147" s="24" t="str">
        <x:v>EEZ</x:v>
      </x:c>
      <x:c r="D147" s="30" t="n">
        <x:v>2019</x:v>
      </x:c>
      <x:c r="E147" s="24" t="str">
        <x:v>Lutjanus synagris</x:v>
      </x:c>
      <x:c r="F147" s="24" t="str">
        <x:v>Lane snapper</x:v>
      </x:c>
      <x:c r="G147" s="24" t="str">
        <x:v>Medium reef assoc. fish (30 - 89 cm)</x:v>
      </x:c>
      <x:c r="H147" s="24" t="str">
        <x:v>Perch-likes</x:v>
      </x:c>
      <x:c r="I147" s="31" t="n">
        <x:v>96.8008936205</x:v>
      </x:c>
      <x:c r="J147" s="31" t="n">
        <x:v>96.7583347348</x:v>
      </x:c>
      <x:c r="K147" s="31" t="n">
        <x:v>0.0425588857</x:v>
      </x:c>
      <x:c r="L147" s="31" t="n">
        <x:v>0.266259038</x:v>
      </x:c>
      <x:c r="M147" s="31" t="n">
        <x:v>96.5346345825</x:v>
      </x:c>
      <x:c r="N147" s="24" t="str">
        <x:v>lutjanus synagris</x:v>
      </x:c>
      <x:c r="O147" s="32" t="n">
        <x:v>3.82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Lutjanus synagris</x:v>
      </x:c>
      <x:c r="T147" s="32" t="n">
        <x:f>IF(O147="","",(1/'Metadata'!$B$5)^(O147-1))</x:f>
        <x:v>660.6934480075957</x:v>
      </x:c>
      <x:c r="U147" s="31" t="n">
        <x:f>IF(T147="","",I147*T147)</x:f>
        <x:v>63955.71617634463</x:v>
      </x:c>
    </x:row>
    <x:row r="148" ht="18" customHeight="1">
      <x:c r="A148" s="24" t="str">
        <x:v>EEZ_851</x:v>
      </x:c>
      <x:c r="B148" s="24" t="str">
        <x:v>USA (East Coast)</x:v>
      </x:c>
      <x:c r="C148" s="24" t="str">
        <x:v>EEZ</x:v>
      </x:c>
      <x:c r="D148" s="30" t="n">
        <x:v>2019</x:v>
      </x:c>
      <x:c r="E148" s="24" t="str">
        <x:v>Alosa pseudoharengus</x:v>
      </x:c>
      <x:c r="F148" s="24" t="str">
        <x:v>Alewife</x:v>
      </x:c>
      <x:c r="G148" s="24" t="str">
        <x:v>Medium pelagics (30 - 89 cm)</x:v>
      </x:c>
      <x:c r="H148" s="24" t="str">
        <x:v>Herring-likes</x:v>
      </x:c>
      <x:c r="I148" s="31" t="n">
        <x:v>95.8748746798</x:v>
      </x:c>
      <x:c r="J148" s="31" t="n">
        <x:v>95.8748746798</x:v>
      </x:c>
      <x:c r="K148" s="31" t="n">
        <x:v>0</x:v>
      </x:c>
      <x:c r="L148" s="31" t="n">
        <x:v>0.2762380819</x:v>
      </x:c>
      <x:c r="M148" s="31" t="n">
        <x:v>95.5986365979</x:v>
      </x:c>
      <x:c r="N148" s="24" t="str">
        <x:v>alosa pseudoharengus</x:v>
      </x:c>
      <x:c r="O148" s="32" t="n">
        <x:v>3.39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Alosa pseudoharengus</x:v>
      </x:c>
      <x:c r="T148" s="32" t="n">
        <x:f>IF(O148="","",(1/'Metadata'!$B$5)^(O148-1))</x:f>
        <x:v>245.4708915685031</x:v>
      </x:c>
      <x:c r="U148" s="31" t="n">
        <x:f>IF(T148="","",I148*T148)</x:f>
        <x:v>23534.49096666901</x:v>
      </x:c>
    </x:row>
    <x:row r="149" ht="18" customHeight="1">
      <x:c r="A149" s="24" t="str">
        <x:v>EEZ_851</x:v>
      </x:c>
      <x:c r="B149" s="24" t="str">
        <x:v>USA (East Coast)</x:v>
      </x:c>
      <x:c r="C149" s="24" t="str">
        <x:v>EEZ</x:v>
      </x:c>
      <x:c r="D149" s="30" t="n">
        <x:v>2019</x:v>
      </x:c>
      <x:c r="E149" s="24" t="str">
        <x:v>Littorinidae</x:v>
      </x:c>
      <x:c r="F149" s="24" t="str">
        <x:v>Littorinidae</x:v>
      </x:c>
      <x:c r="G149" s="24" t="str">
        <x:v>Other demersal invertebrates</x:v>
      </x:c>
      <x:c r="H149" s="24" t="str">
        <x:v>Molluscs</x:v>
      </x:c>
      <x:c r="I149" s="31" t="n">
        <x:v>93.63336992010001</x:v>
      </x:c>
      <x:c r="J149" s="31" t="n">
        <x:v>93.63336992010001</x:v>
      </x:c>
      <x:c r="K149" s="31" t="n">
        <x:v>0</x:v>
      </x:c>
      <x:c r="L149" s="31" t="n">
        <x:v>93.63336992010001</x:v>
      </x:c>
      <x:c r="M149" s="31" t="n">
        <x:v>0</x:v>
      </x:c>
      <x:c r="N149" s="24" t="str">
        <x:v>littorinidae</x:v>
      </x:c>
      <x:c r="O149" s="32" t="n">
        <x:v>3.14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Littorinidae</x:v>
      </x:c>
      <x:c r="T149" s="32" t="n">
        <x:f>IF(O149="","",(1/'Metadata'!$B$5)^(O149-1))</x:f>
        <x:v>138.03842646028852</x:v>
      </x:c>
      <x:c r="U149" s="31" t="n">
        <x:f>IF(T149="","",I149*T149)</x:f>
        <x:v>12925.003047944716</x:v>
      </x:c>
    </x:row>
    <x:row r="150" ht="18" customHeight="1">
      <x:c r="A150" s="24" t="str">
        <x:v>EEZ_851</x:v>
      </x:c>
      <x:c r="B150" s="24" t="str">
        <x:v>USA (East Coast)</x:v>
      </x:c>
      <x:c r="C150" s="24" t="str">
        <x:v>EEZ</x:v>
      </x:c>
      <x:c r="D150" s="30" t="n">
        <x:v>2019</x:v>
      </x:c>
      <x:c r="E150" s="24" t="str">
        <x:v>Carcharhinus limbatus</x:v>
      </x:c>
      <x:c r="F150" s="24" t="str">
        <x:v>Blacktip shark</x:v>
      </x:c>
      <x:c r="G150" s="24" t="str">
        <x:v>Large sharks (&gt;=90 cm)</x:v>
      </x:c>
      <x:c r="H150" s="24" t="str">
        <x:v>Sharks &amp; rays</x:v>
      </x:c>
      <x:c r="I150" s="31" t="n">
        <x:v>85.7159407098</x:v>
      </x:c>
      <x:c r="J150" s="31" t="n">
        <x:v>73.50979628099999</x:v>
      </x:c>
      <x:c r="K150" s="31" t="n">
        <x:v>12.2061444288</x:v>
      </x:c>
      <x:c r="L150" s="31" t="n">
        <x:v>55.649499677899996</x:v>
      </x:c>
      <x:c r="M150" s="31" t="n">
        <x:v>30.0664410319</x:v>
      </x:c>
      <x:c r="N150" s="24" t="str">
        <x:v>carcharhinus limbatus</x:v>
      </x:c>
      <x:c r="O150" s="32" t="n">
        <x:v>4.37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Carcharhinus limbatus</x:v>
      </x:c>
      <x:c r="T150" s="32" t="n">
        <x:f>IF(O150="","",(1/'Metadata'!$B$5)^(O150-1))</x:f>
        <x:v>2344.228815319923</x:v>
      </x:c>
      <x:c r="U150" s="31" t="n">
        <x:f>IF(T150="","",I150*T150)</x:f>
        <x:v>200937.77814416718</x:v>
      </x:c>
    </x:row>
    <x:row r="151" ht="18" customHeight="1">
      <x:c r="A151" s="24" t="str">
        <x:v>EEZ_851</x:v>
      </x:c>
      <x:c r="B151" s="24" t="str">
        <x:v>USA (East Coast)</x:v>
      </x:c>
      <x:c r="C151" s="24" t="str">
        <x:v>EEZ</x:v>
      </x:c>
      <x:c r="D151" s="30" t="n">
        <x:v>2019</x:v>
      </x:c>
      <x:c r="E151" s="24" t="str">
        <x:v>Penaeus duorarum</x:v>
      </x:c>
      <x:c r="F151" s="24" t="str">
        <x:v>Northern pink shrimp</x:v>
      </x:c>
      <x:c r="G151" s="24" t="str">
        <x:v>Shrimps</x:v>
      </x:c>
      <x:c r="H151" s="24" t="str">
        <x:v>Crustaceans</x:v>
      </x:c>
      <x:c r="I151" s="31" t="n">
        <x:v>79.6912846661</x:v>
      </x:c>
      <x:c r="J151" s="31" t="n">
        <x:v>79.6912846661</x:v>
      </x:c>
      <x:c r="K151" s="31" t="n">
        <x:v>0</x:v>
      </x:c>
      <x:c r="L151" s="31" t="n">
        <x:v>79.6912846661</x:v>
      </x:c>
      <x:c r="M151" s="31" t="n">
        <x:v>0</x:v>
      </x:c>
      <x:c r="N151" s="24" t="str">
        <x:v>penaeus duorarum</x:v>
      </x:c>
      <x:c r="O151" s="32" t="n">
        <x:v>2.15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Penaeus duorarum</x:v>
      </x:c>
      <x:c r="T151" s="32" t="n">
        <x:f>IF(O151="","",(1/'Metadata'!$B$5)^(O151-1))</x:f>
        <x:v>14.12537544622754</x:v>
      </x:c>
      <x:c r="U151" s="31" t="n">
        <x:f>IF(T151="","",I151*T151)</x:f>
        <x:v>1125.6693157008583</x:v>
      </x:c>
    </x:row>
    <x:row r="152" ht="18" customHeight="1">
      <x:c r="A152" s="24" t="str">
        <x:v>EEZ_851</x:v>
      </x:c>
      <x:c r="B152" s="24" t="str">
        <x:v>USA (East Coast)</x:v>
      </x:c>
      <x:c r="C152" s="24" t="str">
        <x:v>EEZ</x:v>
      </x:c>
      <x:c r="D152" s="30" t="n">
        <x:v>2019</x:v>
      </x:c>
      <x:c r="E152" s="24" t="str">
        <x:v>Decapoda</x:v>
      </x:c>
      <x:c r="F152" s="24" t="str">
        <x:v>Crabs, lobsters, shrimps</x:v>
      </x:c>
      <x:c r="G152" s="24" t="str">
        <x:v>Lobsters, crabs</x:v>
      </x:c>
      <x:c r="H152" s="24" t="str">
        <x:v>Crustaceans</x:v>
      </x:c>
      <x:c r="I152" s="31" t="n">
        <x:v>77.4806879732</x:v>
      </x:c>
      <x:c r="J152" s="31" t="n">
        <x:v>77.4806879732</x:v>
      </x:c>
      <x:c r="K152" s="31" t="n">
        <x:v>0</x:v>
      </x:c>
      <x:c r="L152" s="31" t="n">
        <x:v>0.25083687909999997</x:v>
      </x:c>
      <x:c r="M152" s="31" t="n">
        <x:v>77.2298510941</x:v>
      </x:c>
      <x:c r="N152" s="24" t="str">
        <x:v>decapoda</x:v>
      </x:c>
      <x:c r="O152" s="32" t="n">
        <x:v>3.43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Decapoda</x:v>
      </x:c>
      <x:c r="T152" s="32" t="n">
        <x:f>IF(O152="","",(1/'Metadata'!$B$5)^(O152-1))</x:f>
        <x:v>269.1534803926917</x:v>
      </x:c>
      <x:c r="U152" s="31" t="n">
        <x:f>IF(T152="","",I152*T152)</x:f>
        <x:v>20854.19683120695</x:v>
      </x:c>
    </x:row>
    <x:row r="153" ht="18" customHeight="1">
      <x:c r="A153" s="24" t="str">
        <x:v>EEZ_851</x:v>
      </x:c>
      <x:c r="B153" s="24" t="str">
        <x:v>USA (East Coast)</x:v>
      </x:c>
      <x:c r="C153" s="24" t="str">
        <x:v>EEZ</x:v>
      </x:c>
      <x:c r="D153" s="30" t="n">
        <x:v>2019</x:v>
      </x:c>
      <x:c r="E153" s="24" t="str">
        <x:v>Xiphiidae</x:v>
      </x:c>
      <x:c r="F153" s="24" t="str">
        <x:v>Swordfishes</x:v>
      </x:c>
      <x:c r="G153" s="24" t="str">
        <x:v>Large pelagics (&gt;=90 cm)</x:v>
      </x:c>
      <x:c r="H153" s="24" t="str">
        <x:v>Tuna &amp; billfishes</x:v>
      </x:c>
      <x:c r="I153" s="31" t="n">
        <x:v>76.473977742</x:v>
      </x:c>
      <x:c r="J153" s="31" t="n">
        <x:v>76.473977742</x:v>
      </x:c>
      <x:c r="K153" s="31" t="n">
        <x:v>0</x:v>
      </x:c>
      <x:c r="L153" s="31" t="n">
        <x:v>0</x:v>
      </x:c>
      <x:c r="M153" s="31" t="n">
        <x:v>76.473977742</x:v>
      </x:c>
      <x:c r="N153" s="24" t="str">
        <x:v>xiphiidae</x:v>
      </x:c>
      <x:c r="O153" s="32" t="n">
        <x:v>4.5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Xiphiidae</x:v>
      </x:c>
      <x:c r="T153" s="32" t="n">
        <x:f>IF(O153="","",(1/'Metadata'!$B$5)^(O153-1))</x:f>
        <x:v>3162.2776601683795</x:v>
      </x:c>
      <x:c r="U153" s="31" t="n">
        <x:f>IF(T153="","",I153*T153)</x:f>
        <x:v>241831.95139774051</x:v>
      </x:c>
    </x:row>
    <x:row r="154" ht="18" customHeight="1">
      <x:c r="A154" s="24" t="str">
        <x:v>EEZ_851</x:v>
      </x:c>
      <x:c r="B154" s="24" t="str">
        <x:v>USA (East Coast)</x:v>
      </x:c>
      <x:c r="C154" s="24" t="str">
        <x:v>EEZ</x:v>
      </x:c>
      <x:c r="D154" s="30" t="n">
        <x:v>2019</x:v>
      </x:c>
      <x:c r="E154" s="24" t="str">
        <x:v>Alosa sapidissima</x:v>
      </x:c>
      <x:c r="F154" s="24" t="str">
        <x:v>American shad</x:v>
      </x:c>
      <x:c r="G154" s="24" t="str">
        <x:v>Medium pelagics (30 - 89 cm)</x:v>
      </x:c>
      <x:c r="H154" s="24" t="str">
        <x:v>Herring-likes</x:v>
      </x:c>
      <x:c r="I154" s="31" t="n">
        <x:v>75.0894533372</x:v>
      </x:c>
      <x:c r="J154" s="31" t="n">
        <x:v>75.0894533372</x:v>
      </x:c>
      <x:c r="K154" s="31" t="n">
        <x:v>0</x:v>
      </x:c>
      <x:c r="L154" s="31" t="n">
        <x:v>69.26000852109999</x:v>
      </x:c>
      <x:c r="M154" s="31" t="n">
        <x:v>5.8294448161</x:v>
      </x:c>
      <x:c r="N154" s="24" t="str">
        <x:v>alosa sapidissima</x:v>
      </x:c>
      <x:c r="O154" s="32" t="n">
        <x:v>3.48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Alosa sapidissima</x:v>
      </x:c>
      <x:c r="T154" s="32" t="n">
        <x:f>IF(O154="","",(1/'Metadata'!$B$5)^(O154-1))</x:f>
        <x:v>301.9951720402016</x:v>
      </x:c>
      <x:c r="U154" s="31" t="n">
        <x:f>IF(T154="","",I154*T154)</x:f>
        <x:v>22676.652378972405</x:v>
      </x:c>
    </x:row>
    <x:row r="155" ht="18" customHeight="1">
      <x:c r="A155" s="24" t="str">
        <x:v>EEZ_851</x:v>
      </x:c>
      <x:c r="B155" s="24" t="str">
        <x:v>USA (East Coast)</x:v>
      </x:c>
      <x:c r="C155" s="24" t="str">
        <x:v>EEZ</x:v>
      </x:c>
      <x:c r="D155" s="30" t="n">
        <x:v>2019</x:v>
      </x:c>
      <x:c r="E155" s="24" t="str">
        <x:v>Pleoticus robustus</x:v>
      </x:c>
      <x:c r="F155" s="24" t="str">
        <x:v>Royal red shrimp</x:v>
      </x:c>
      <x:c r="G155" s="24" t="str">
        <x:v>Shrimps</x:v>
      </x:c>
      <x:c r="H155" s="24" t="str">
        <x:v>Crustaceans</x:v>
      </x:c>
      <x:c r="I155" s="31" t="n">
        <x:v>70.5178216699</x:v>
      </x:c>
      <x:c r="J155" s="31" t="n">
        <x:v>70.5178216699</x:v>
      </x:c>
      <x:c r="K155" s="31" t="n">
        <x:v>0</x:v>
      </x:c>
      <x:c r="L155" s="31" t="n">
        <x:v>70.5178216699</x:v>
      </x:c>
      <x:c r="M155" s="31" t="n">
        <x:v>0</x:v>
      </x:c>
      <x:c r="N155" s="24" t="str">
        <x:v>pleoticus robustus</x:v>
      </x:c>
      <x:c r="O155" s="32" t="n">
        <x:v>2.2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Pleoticus robustus</x:v>
      </x:c>
      <x:c r="T155" s="32" t="n">
        <x:f>IF(O155="","",(1/'Metadata'!$B$5)^(O155-1))</x:f>
        <x:v>15.848931924611142</x:v>
      </x:c>
      <x:c r="U155" s="31" t="n">
        <x:f>IF(T155="","",I155*T155)</x:f>
        <x:v>1117.6321551181136</x:v>
      </x:c>
    </x:row>
    <x:row r="156" ht="18" customHeight="1">
      <x:c r="A156" s="24" t="str">
        <x:v>EEZ_851</x:v>
      </x:c>
      <x:c r="B156" s="24" t="str">
        <x:v>USA (East Coast)</x:v>
      </x:c>
      <x:c r="C156" s="24" t="str">
        <x:v>EEZ</x:v>
      </x:c>
      <x:c r="D156" s="30" t="n">
        <x:v>2019</x:v>
      </x:c>
      <x:c r="E156" s="24" t="str">
        <x:v>Seriola rivoliana</x:v>
      </x:c>
      <x:c r="F156" s="24" t="str">
        <x:v>Longfin yellowtail</x:v>
      </x:c>
      <x:c r="G156" s="24" t="str">
        <x:v>Large benthopelagics (&gt;=90 cm)</x:v>
      </x:c>
      <x:c r="H156" s="24" t="str">
        <x:v>Perch-likes</x:v>
      </x:c>
      <x:c r="I156" s="31" t="n">
        <x:v>69.921044169</x:v>
      </x:c>
      <x:c r="J156" s="31" t="n">
        <x:v>69.921044169</x:v>
      </x:c>
      <x:c r="K156" s="31" t="n">
        <x:v>0</x:v>
      </x:c>
      <x:c r="L156" s="31" t="n">
        <x:v>68.9769665501</x:v>
      </x:c>
      <x:c r="M156" s="31" t="n">
        <x:v>0.9440776189</x:v>
      </x:c>
      <x:c r="N156" s="24" t="str">
        <x:v>seriola rivoliana</x:v>
      </x:c>
      <x:c r="O156" s="32" t="n">
        <x:v>4.45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Seriola rivoliana</x:v>
      </x:c>
      <x:c r="T156" s="32" t="n">
        <x:f>IF(O156="","",(1/'Metadata'!$B$5)^(O156-1))</x:f>
        <x:v>2818.382931264455</x:v>
      </x:c>
      <x:c r="U156" s="31" t="n">
        <x:f>IF(T156="","",I156*T156)</x:f>
        <x:v>197064.27742209763</x:v>
      </x:c>
    </x:row>
    <x:row r="157" ht="18" customHeight="1">
      <x:c r="A157" s="24" t="str">
        <x:v>EEZ_851</x:v>
      </x:c>
      <x:c r="B157" s="24" t="str">
        <x:v>USA (East Coast)</x:v>
      </x:c>
      <x:c r="C157" s="24" t="str">
        <x:v>EEZ</x:v>
      </x:c>
      <x:c r="D157" s="30" t="n">
        <x:v>2019</x:v>
      </x:c>
      <x:c r="E157" s="24" t="str">
        <x:v>Alosa mediocris</x:v>
      </x:c>
      <x:c r="F157" s="24" t="str">
        <x:v>Hickory shad</x:v>
      </x:c>
      <x:c r="G157" s="24" t="str">
        <x:v>Medium pelagics (30 - 89 cm)</x:v>
      </x:c>
      <x:c r="H157" s="24" t="str">
        <x:v>Herring-likes</x:v>
      </x:c>
      <x:c r="I157" s="31" t="n">
        <x:v>69.2159897091</x:v>
      </x:c>
      <x:c r="J157" s="31" t="n">
        <x:v>69.2159897091</x:v>
      </x:c>
      <x:c r="K157" s="31" t="n">
        <x:v>0</x:v>
      </x:c>
      <x:c r="L157" s="31" t="n">
        <x:v>62.6661284052</x:v>
      </x:c>
      <x:c r="M157" s="31" t="n">
        <x:v>6.549861303899999</x:v>
      </x:c>
      <x:c r="N157" s="24" t="str">
        <x:v>alosa mediocris</x:v>
      </x:c>
      <x:c r="O157" s="32" t="n">
        <x:v>4.12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Alosa mediocris</x:v>
      </x:c>
      <x:c r="T157" s="32" t="n">
        <x:f>IF(O157="","",(1/'Metadata'!$B$5)^(O157-1))</x:f>
        <x:v>1318.2567385564075</x:v>
      </x:c>
      <x:c r="U157" s="31" t="n">
        <x:f>IF(T157="","",I157*T157)</x:f>
        <x:v>91244.44484987203</x:v>
      </x:c>
    </x:row>
    <x:row r="158" ht="18" customHeight="1">
      <x:c r="A158" s="24" t="str">
        <x:v>EEZ_851</x:v>
      </x:c>
      <x:c r="B158" s="24" t="str">
        <x:v>USA (East Coast)</x:v>
      </x:c>
      <x:c r="C158" s="24" t="str">
        <x:v>EEZ</x:v>
      </x:c>
      <x:c r="D158" s="30" t="n">
        <x:v>2019</x:v>
      </x:c>
      <x:c r="E158" s="24" t="str">
        <x:v>Hyporthodus niveatus</x:v>
      </x:c>
      <x:c r="F158" s="24" t="str">
        <x:v>Snowy grouper</x:v>
      </x:c>
      <x:c r="G158" s="24" t="str">
        <x:v>Large demersals (&gt;=90 cm)</x:v>
      </x:c>
      <x:c r="H158" s="24" t="str">
        <x:v>Perch-likes</x:v>
      </x:c>
      <x:c r="I158" s="31" t="n">
        <x:v>68.1453135095</x:v>
      </x:c>
      <x:c r="J158" s="31" t="n">
        <x:v>65.0967480391</x:v>
      </x:c>
      <x:c r="K158" s="31" t="n">
        <x:v>3.0485654704</x:v>
      </x:c>
      <x:c r="L158" s="31" t="n">
        <x:v>59.69600204</x:v>
      </x:c>
      <x:c r="M158" s="31" t="n">
        <x:v>8.4493114695</x:v>
      </x:c>
      <x:c r="N158" s="24" t="str">
        <x:v>hyporthodus niveatus</x:v>
      </x:c>
      <x:c r="O158" s="32" t="n">
        <x:v>4.04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Hyporthodus niveatus</x:v>
      </x:c>
      <x:c r="T158" s="32" t="n">
        <x:f>IF(O158="","",(1/'Metadata'!$B$5)^(O158-1))</x:f>
        <x:v>1096.4781961431852</x:v>
      </x:c>
      <x:c r="U158" s="31" t="n">
        <x:f>IF(T158="","",I158*T158)</x:f>
        <x:v>74719.85043250839</x:v>
      </x:c>
    </x:row>
    <x:row r="159" ht="18" customHeight="1">
      <x:c r="A159" s="24" t="str">
        <x:v>EEZ_851</x:v>
      </x:c>
      <x:c r="B159" s="24" t="str">
        <x:v>USA (East Coast)</x:v>
      </x:c>
      <x:c r="C159" s="24" t="str">
        <x:v>EEZ</x:v>
      </x:c>
      <x:c r="D159" s="30" t="n">
        <x:v>2019</x:v>
      </x:c>
      <x:c r="E159" s="24" t="str">
        <x:v>Haemulon aurolineatum</x:v>
      </x:c>
      <x:c r="F159" s="24" t="str">
        <x:v>Tomtate grunt</x:v>
      </x:c>
      <x:c r="G159" s="24" t="str">
        <x:v>Small reef assoc. fish (&lt;30 cm)</x:v>
      </x:c>
      <x:c r="H159" s="24" t="str">
        <x:v>Perch-likes</x:v>
      </x:c>
      <x:c r="I159" s="31" t="n">
        <x:v>66.001264736</x:v>
      </x:c>
      <x:c r="J159" s="31" t="n">
        <x:v>66.001264736</x:v>
      </x:c>
      <x:c r="K159" s="31" t="n">
        <x:v>0</x:v>
      </x:c>
      <x:c r="L159" s="31" t="n">
        <x:v>0</x:v>
      </x:c>
      <x:c r="M159" s="31" t="n">
        <x:v>66.001264736</x:v>
      </x:c>
      <x:c r="N159" s="24" t="str">
        <x:v>haemulon aurolineatum</x:v>
      </x:c>
      <x:c r="O159" s="32" t="n">
        <x:v>4.35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Haemulon aurolineatum</x:v>
      </x:c>
      <x:c r="T159" s="32" t="n">
        <x:f>IF(O159="","",(1/'Metadata'!$B$5)^(O159-1))</x:f>
        <x:v>2238.7211385683377</x:v>
      </x:c>
      <x:c r="U159" s="31" t="n">
        <x:f>IF(T159="","",I159*T159)</x:f>
        <x:v>147758.4265367282</x:v>
      </x:c>
    </x:row>
    <x:row r="160" ht="18" customHeight="1">
      <x:c r="A160" s="24" t="str">
        <x:v>EEZ_851</x:v>
      </x:c>
      <x:c r="B160" s="24" t="str">
        <x:v>USA (East Coast)</x:v>
      </x:c>
      <x:c r="C160" s="24" t="str">
        <x:v>EEZ</x:v>
      </x:c>
      <x:c r="D160" s="30" t="n">
        <x:v>2019</x:v>
      </x:c>
      <x:c r="E160" s="24" t="str">
        <x:v>Bagre marinus</x:v>
      </x:c>
      <x:c r="F160" s="24" t="str">
        <x:v>Gafftopsail sea catfish</x:v>
      </x:c>
      <x:c r="G160" s="24" t="str">
        <x:v>Large reef assoc. fish (&gt;=90 cm)</x:v>
      </x:c>
      <x:c r="H160" s="24" t="str">
        <x:v>Other fishes &amp; inverts</x:v>
      </x:c>
      <x:c r="I160" s="31" t="n">
        <x:v>65.796694744</x:v>
      </x:c>
      <x:c r="J160" s="31" t="n">
        <x:v>65.796694744</x:v>
      </x:c>
      <x:c r="K160" s="31" t="n">
        <x:v>0</x:v>
      </x:c>
      <x:c r="L160" s="31" t="n">
        <x:v>0</x:v>
      </x:c>
      <x:c r="M160" s="31" t="n">
        <x:v>65.796694744</x:v>
      </x:c>
      <x:c r="N160" s="24" t="str">
        <x:v>bagre marinus</x:v>
      </x:c>
      <x:c r="O160" s="32" t="n">
        <x:v>3.51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Bagre marinus</x:v>
      </x:c>
      <x:c r="T160" s="32" t="n">
        <x:f>IF(O160="","",(1/'Metadata'!$B$5)^(O160-1))</x:f>
        <x:v>323.5936569296281</x:v>
      </x:c>
      <x:c r="U160" s="31" t="n">
        <x:f>IF(T160="","",I160*T160)</x:f>
        <x:v>21291.393066093402</x:v>
      </x:c>
    </x:row>
    <x:row r="161" ht="18" customHeight="1">
      <x:c r="A161" s="24" t="str">
        <x:v>EEZ_851</x:v>
      </x:c>
      <x:c r="B161" s="24" t="str">
        <x:v>USA (East Coast)</x:v>
      </x:c>
      <x:c r="C161" s="24" t="str">
        <x:v>EEZ</x:v>
      </x:c>
      <x:c r="D161" s="30" t="n">
        <x:v>2019</x:v>
      </x:c>
      <x:c r="E161" s="24" t="str">
        <x:v>Perciformes</x:v>
      </x:c>
      <x:c r="F161" s="24" t="str">
        <x:v>Perch-likes</x:v>
      </x:c>
      <x:c r="G161" s="24" t="str">
        <x:v>Medium demersals (30 - 89 cm)</x:v>
      </x:c>
      <x:c r="H161" s="24" t="str">
        <x:v>Perch-likes</x:v>
      </x:c>
      <x:c r="I161" s="31" t="n">
        <x:v>65.7277560841</x:v>
      </x:c>
      <x:c r="J161" s="31" t="n">
        <x:v>65.7277560841</x:v>
      </x:c>
      <x:c r="K161" s="31" t="n">
        <x:v>0</x:v>
      </x:c>
      <x:c r="L161" s="31" t="n">
        <x:v>3.6527837001</x:v>
      </x:c>
      <x:c r="M161" s="31" t="n">
        <x:v>62.074972384</x:v>
      </x:c>
      <x:c r="N161" s="24" t="str">
        <x:v>perciformes</x:v>
      </x:c>
      <x:c r="O161" s="32" t="n">
        <x:v>3.53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Perciformes</x:v>
      </x:c>
      <x:c r="T161" s="32" t="n">
        <x:f>IF(O161="","",(1/'Metadata'!$B$5)^(O161-1))</x:f>
        <x:v>338.84415613920237</x:v>
      </x:c>
      <x:c r="U161" s="31" t="n">
        <x:f>IF(T161="","",I161*T161)</x:f>
        <x:v>22271.466045240188</x:v>
      </x:c>
    </x:row>
    <x:row r="162" ht="18" customHeight="1">
      <x:c r="A162" s="24" t="str">
        <x:v>EEZ_851</x:v>
      </x:c>
      <x:c r="B162" s="24" t="str">
        <x:v>USA (East Coast)</x:v>
      </x:c>
      <x:c r="C162" s="24" t="str">
        <x:v>EEZ</x:v>
      </x:c>
      <x:c r="D162" s="30" t="n">
        <x:v>2019</x:v>
      </x:c>
      <x:c r="E162" s="24" t="str">
        <x:v>Balistidae</x:v>
      </x:c>
      <x:c r="F162" s="24" t="str">
        <x:v>Triggerfishes</x:v>
      </x:c>
      <x:c r="G162" s="24" t="str">
        <x:v>Medium reef assoc. fish (30 - 89 cm)</x:v>
      </x:c>
      <x:c r="H162" s="24" t="str">
        <x:v>Other fishes &amp; inverts</x:v>
      </x:c>
      <x:c r="I162" s="31" t="n">
        <x:v>62.1515051773</x:v>
      </x:c>
      <x:c r="J162" s="31" t="n">
        <x:v>62.1515051773</x:v>
      </x:c>
      <x:c r="K162" s="31" t="n">
        <x:v>0</x:v>
      </x:c>
      <x:c r="L162" s="31" t="n">
        <x:v>61.4359844289</x:v>
      </x:c>
      <x:c r="M162" s="31" t="n">
        <x:v>0.7155207484</x:v>
      </x:c>
      <x:c r="N162" s="24" t="str">
        <x:v>balistidae</x:v>
      </x:c>
      <x:c r="O162" s="32" t="n">
        <x:v>3.25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Balistidae</x:v>
      </x:c>
      <x:c r="T162" s="32" t="n">
        <x:f>IF(O162="","",(1/'Metadata'!$B$5)^(O162-1))</x:f>
        <x:v>177.82794100389228</x:v>
      </x:c>
      <x:c r="U162" s="31" t="n">
        <x:f>IF(T162="","",I162*T162)</x:f>
        <x:v>11052.27419597201</x:v>
      </x:c>
    </x:row>
    <x:row r="163" ht="18" customHeight="1">
      <x:c r="A163" s="24" t="str">
        <x:v>EEZ_851</x:v>
      </x:c>
      <x:c r="B163" s="24" t="str">
        <x:v>USA (East Coast)</x:v>
      </x:c>
      <x:c r="C163" s="24" t="str">
        <x:v>EEZ</x:v>
      </x:c>
      <x:c r="D163" s="30" t="n">
        <x:v>2019</x:v>
      </x:c>
      <x:c r="E163" s="24" t="str">
        <x:v>Myxinidae</x:v>
      </x:c>
      <x:c r="F163" s="24" t="str">
        <x:v>Hagfishes</x:v>
      </x:c>
      <x:c r="G163" s="24" t="str">
        <x:v>Medium bathydemersals (30 - 89 cm)</x:v>
      </x:c>
      <x:c r="H163" s="24" t="str">
        <x:v>Other fishes &amp; inverts</x:v>
      </x:c>
      <x:c r="I163" s="31" t="n">
        <x:v>60.6134995038</x:v>
      </x:c>
      <x:c r="J163" s="31" t="n">
        <x:v>60.6134995038</x:v>
      </x:c>
      <x:c r="K163" s="31" t="n">
        <x:v>0</x:v>
      </x:c>
      <x:c r="L163" s="31" t="n">
        <x:v>0</x:v>
      </x:c>
      <x:c r="M163" s="31" t="n">
        <x:v>60.6134995038</x:v>
      </x:c>
      <x:c r="N163" s="24" t="str">
        <x:v>myxinidae</x:v>
      </x:c>
      <x:c r="O163" s="32" t="n">
        <x:v>3.45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Myxinidae</x:v>
      </x:c>
      <x:c r="T163" s="32" t="n">
        <x:f>IF(O163="","",(1/'Metadata'!$B$5)^(O163-1))</x:f>
        <x:v>281.8382931264455</x:v>
      </x:c>
      <x:c r="U163" s="31" t="n">
        <x:f>IF(T163="","",I163*T163)</x:f>
        <x:v>17083.205240571642</x:v>
      </x:c>
    </x:row>
    <x:row r="164" ht="18" customHeight="1">
      <x:c r="A164" s="24" t="str">
        <x:v>EEZ_851</x:v>
      </x:c>
      <x:c r="B164" s="24" t="str">
        <x:v>USA (East Coast)</x:v>
      </x:c>
      <x:c r="C164" s="24" t="str">
        <x:v>EEZ</x:v>
      </x:c>
      <x:c r="D164" s="30" t="n">
        <x:v>2019</x:v>
      </x:c>
      <x:c r="E164" s="24" t="str">
        <x:v>Pagrus pagrus</x:v>
      </x:c>
      <x:c r="F164" s="24" t="str">
        <x:v>Red porgy</x:v>
      </x:c>
      <x:c r="G164" s="24" t="str">
        <x:v>Medium benthopelagics (30 - 89 cm)</x:v>
      </x:c>
      <x:c r="H164" s="24" t="str">
        <x:v>Perch-likes</x:v>
      </x:c>
      <x:c r="I164" s="31" t="n">
        <x:v>58.920013684</x:v>
      </x:c>
      <x:c r="J164" s="31" t="n">
        <x:v>58.920013684</x:v>
      </x:c>
      <x:c r="K164" s="31" t="n">
        <x:v>0</x:v>
      </x:c>
      <x:c r="L164" s="31" t="n">
        <x:v>41.0084277519</x:v>
      </x:c>
      <x:c r="M164" s="31" t="n">
        <x:v>17.9115859321</x:v>
      </x:c>
      <x:c r="N164" s="24" t="str">
        <x:v>pagrus pagrus</x:v>
      </x:c>
      <x:c r="O164" s="32" t="n">
        <x:v>3.86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Pagrus pagrus</x:v>
      </x:c>
      <x:c r="T164" s="32" t="n">
        <x:f>IF(O164="","",(1/'Metadata'!$B$5)^(O164-1))</x:f>
        <x:v>724.4359600749899</x:v>
      </x:c>
      <x:c r="U164" s="31" t="n">
        <x:f>IF(T164="","",I164*T164)</x:f>
        <x:v>42683.77668080008</x:v>
      </x:c>
    </x:row>
    <x:row r="165" ht="18" customHeight="1">
      <x:c r="A165" s="24" t="str">
        <x:v>EEZ_851</x:v>
      </x:c>
      <x:c r="B165" s="24" t="str">
        <x:v>USA (East Coast)</x:v>
      </x:c>
      <x:c r="C165" s="24" t="str">
        <x:v>EEZ</x:v>
      </x:c>
      <x:c r="D165" s="30" t="n">
        <x:v>2019</x:v>
      </x:c>
      <x:c r="E165" s="24" t="str">
        <x:v>Epinephelus morio</x:v>
      </x:c>
      <x:c r="F165" s="24" t="str">
        <x:v>Red grouper</x:v>
      </x:c>
      <x:c r="G165" s="24" t="str">
        <x:v>Large reef assoc. fish (&gt;=90 cm)</x:v>
      </x:c>
      <x:c r="H165" s="24" t="str">
        <x:v>Perch-likes</x:v>
      </x:c>
      <x:c r="I165" s="31" t="n">
        <x:v>58.120409308199996</x:v>
      </x:c>
      <x:c r="J165" s="31" t="n">
        <x:v>51.9992297892</x:v>
      </x:c>
      <x:c r="K165" s="31" t="n">
        <x:v>6.121179519</x:v>
      </x:c>
      <x:c r="L165" s="31" t="n">
        <x:v>9.727753535</x:v>
      </x:c>
      <x:c r="M165" s="31" t="n">
        <x:v>48.3926557732</x:v>
      </x:c>
      <x:c r="N165" s="24" t="str">
        <x:v>epinephelus morio</x:v>
      </x:c>
      <x:c r="O165" s="32" t="n">
        <x:v>3.5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Epinephelus morio</x:v>
      </x:c>
      <x:c r="T165" s="32" t="n">
        <x:f>IF(O165="","",(1/'Metadata'!$B$5)^(O165-1))</x:f>
        <x:v>316.22776601683796</x:v>
      </x:c>
      <x:c r="U165" s="31" t="n">
        <x:f>IF(T165="","",I165*T165)</x:f>
        <x:v>18379.28719551632</x:v>
      </x:c>
    </x:row>
    <x:row r="166" ht="18" customHeight="1">
      <x:c r="A166" s="24" t="str">
        <x:v>EEZ_851</x:v>
      </x:c>
      <x:c r="B166" s="24" t="str">
        <x:v>USA (East Coast)</x:v>
      </x:c>
      <x:c r="C166" s="24" t="str">
        <x:v>EEZ</x:v>
      </x:c>
      <x:c r="D166" s="30" t="n">
        <x:v>2019</x:v>
      </x:c>
      <x:c r="E166" s="24" t="str">
        <x:v>Elops saurus</x:v>
      </x:c>
      <x:c r="F166" s="24" t="str">
        <x:v>Ladyfish</x:v>
      </x:c>
      <x:c r="G166" s="24" t="str">
        <x:v>Medium pelagics (30 - 89 cm)</x:v>
      </x:c>
      <x:c r="H166" s="24" t="str">
        <x:v>Other fishes &amp; inverts</x:v>
      </x:c>
      <x:c r="I166" s="31" t="n">
        <x:v>57.0182834936</x:v>
      </x:c>
      <x:c r="J166" s="31" t="n">
        <x:v>57.0182834936</x:v>
      </x:c>
      <x:c r="K166" s="31" t="n">
        <x:v>0</x:v>
      </x:c>
      <x:c r="L166" s="31" t="n">
        <x:v>38.3199825818</x:v>
      </x:c>
      <x:c r="M166" s="31" t="n">
        <x:v>18.6983009118</x:v>
      </x:c>
      <x:c r="N166" s="24" t="str">
        <x:v>elops saurus</x:v>
      </x:c>
      <x:c r="O166" s="32" t="n">
        <x:v>3.49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Elops saurus</x:v>
      </x:c>
      <x:c r="T166" s="32" t="n">
        <x:f>IF(O166="","",(1/'Metadata'!$B$5)^(O166-1))</x:f>
        <x:v>309.0295432513592</x:v>
      </x:c>
      <x:c r="U166" s="31" t="n">
        <x:f>IF(T166="","",I166*T166)</x:f>
        <x:v>17620.334105003723</x:v>
      </x:c>
    </x:row>
    <x:row r="167" ht="18" customHeight="1">
      <x:c r="A167" s="24" t="str">
        <x:v>EEZ_851</x:v>
      </x:c>
      <x:c r="B167" s="24" t="str">
        <x:v>USA (East Coast)</x:v>
      </x:c>
      <x:c r="C167" s="24" t="str">
        <x:v>EEZ</x:v>
      </x:c>
      <x:c r="D167" s="30" t="n">
        <x:v>2019</x:v>
      </x:c>
      <x:c r="E167" s="24" t="str">
        <x:v>Lobotes surinamensis</x:v>
      </x:c>
      <x:c r="F167" s="24" t="str">
        <x:v>Tripletail</x:v>
      </x:c>
      <x:c r="G167" s="24" t="str">
        <x:v>Large benthopelagics (&gt;=90 cm)</x:v>
      </x:c>
      <x:c r="H167" s="24" t="str">
        <x:v>Perch-likes</x:v>
      </x:c>
      <x:c r="I167" s="31" t="n">
        <x:v>56.774644772600006</x:v>
      </x:c>
      <x:c r="J167" s="31" t="n">
        <x:v>56.774644772600006</x:v>
      </x:c>
      <x:c r="K167" s="31" t="n">
        <x:v>0</x:v>
      </x:c>
      <x:c r="L167" s="31" t="n">
        <x:v>5.2013498921</x:v>
      </x:c>
      <x:c r="M167" s="31" t="n">
        <x:v>51.5732948805</x:v>
      </x:c>
      <x:c r="N167" s="24" t="str">
        <x:v>lobotes surinamensis</x:v>
      </x:c>
      <x:c r="O167" s="32" t="n">
        <x:v>4.04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Lobotes surinamensis</x:v>
      </x:c>
      <x:c r="T167" s="32" t="n">
        <x:f>IF(O167="","",(1/'Metadata'!$B$5)^(O167-1))</x:f>
        <x:v>1096.4781961431852</x:v>
      </x:c>
      <x:c r="U167" s="31" t="n">
        <x:f>IF(T167="","",I167*T167)</x:f>
        <x:v>62252.16008693057</x:v>
      </x:c>
    </x:row>
    <x:row r="168" ht="18" customHeight="1">
      <x:c r="A168" s="24" t="str">
        <x:v>EEZ_851</x:v>
      </x:c>
      <x:c r="B168" s="24" t="str">
        <x:v>USA (East Coast)</x:v>
      </x:c>
      <x:c r="C168" s="24" t="str">
        <x:v>EEZ</x:v>
      </x:c>
      <x:c r="D168" s="30" t="n">
        <x:v>2019</x:v>
      </x:c>
      <x:c r="E168" s="24" t="str">
        <x:v>Carcinus maenas</x:v>
      </x:c>
      <x:c r="F168" s="24" t="str">
        <x:v>Green crab</x:v>
      </x:c>
      <x:c r="G168" s="24" t="str">
        <x:v>Lobsters, crabs</x:v>
      </x:c>
      <x:c r="H168" s="24" t="str">
        <x:v>Crustaceans</x:v>
      </x:c>
      <x:c r="I168" s="31" t="n">
        <x:v>55.0526969548</x:v>
      </x:c>
      <x:c r="J168" s="31" t="n">
        <x:v>55.0526969548</x:v>
      </x:c>
      <x:c r="K168" s="31" t="n">
        <x:v>0</x:v>
      </x:c>
      <x:c r="L168" s="31" t="n">
        <x:v>51.24783409690001</x:v>
      </x:c>
      <x:c r="M168" s="31" t="n">
        <x:v>3.8048628579</x:v>
      </x:c>
      <x:c r="N168" s="24" t="str">
        <x:v>carcinus maenas</x:v>
      </x:c>
      <x:c r="O168" s="32" t="n">
        <x:v>3.5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Carcinus maenas</x:v>
      </x:c>
      <x:c r="T168" s="32" t="n">
        <x:f>IF(O168="","",(1/'Metadata'!$B$5)^(O168-1))</x:f>
        <x:v>316.22776601683796</x:v>
      </x:c>
      <x:c r="U168" s="31" t="n">
        <x:f>IF(T168="","",I168*T168)</x:f>
        <x:v>17409.19137121838</x:v>
      </x:c>
    </x:row>
    <x:row r="169" ht="18" customHeight="1">
      <x:c r="A169" s="24" t="str">
        <x:v>EEZ_851</x:v>
      </x:c>
      <x:c r="B169" s="24" t="str">
        <x:v>USA (East Coast)</x:v>
      </x:c>
      <x:c r="C169" s="24" t="str">
        <x:v>EEZ</x:v>
      </x:c>
      <x:c r="D169" s="30" t="n">
        <x:v>2019</x:v>
      </x:c>
      <x:c r="E169" s="24" t="str">
        <x:v>Actinopterygii</x:v>
      </x:c>
      <x:c r="F169" s="24" t="str">
        <x:v>Ray-finned fishes</x:v>
      </x:c>
      <x:c r="G169" s="24" t="str">
        <x:v>Medium demersals (30 - 89 cm)</x:v>
      </x:c>
      <x:c r="H169" s="24" t="str">
        <x:v>Other fishes &amp; inverts</x:v>
      </x:c>
      <x:c r="I169" s="31" t="n">
        <x:v>54.7373243413</x:v>
      </x:c>
      <x:c r="J169" s="31" t="n">
        <x:v>54.7373243413</x:v>
      </x:c>
      <x:c r="K169" s="31" t="n">
        <x:v>0</x:v>
      </x:c>
      <x:c r="L169" s="31" t="n">
        <x:v>54.7373243413</x:v>
      </x:c>
      <x:c r="M169" s="31" t="n">
        <x:v>0</x:v>
      </x:c>
      <x:c r="N169" s="24" t="str">
        <x:v>actinopterygii</x:v>
      </x:c>
      <x:c r="O169" s="32" t="n">
        <x:v>3.79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Actinopterygii</x:v>
      </x:c>
      <x:c r="T169" s="32" t="n">
        <x:f>IF(O169="","",(1/'Metadata'!$B$5)^(O169-1))</x:f>
        <x:v>616.5950018614822</x:v>
      </x:c>
      <x:c r="U169" s="31" t="n">
        <x:f>IF(T169="","",I169*T169)</x:f>
        <x:v>33750.760604116425</x:v>
      </x:c>
    </x:row>
    <x:row r="170" ht="18" customHeight="1">
      <x:c r="A170" s="24" t="str">
        <x:v>EEZ_851</x:v>
      </x:c>
      <x:c r="B170" s="24" t="str">
        <x:v>USA (East Coast)</x:v>
      </x:c>
      <x:c r="C170" s="24" t="str">
        <x:v>EEZ</x:v>
      </x:c>
      <x:c r="D170" s="30" t="n">
        <x:v>2019</x:v>
      </x:c>
      <x:c r="E170" s="24" t="str">
        <x:v>Monacanthidae</x:v>
      </x:c>
      <x:c r="F170" s="24" t="str">
        <x:v>Filefishes</x:v>
      </x:c>
      <x:c r="G170" s="24" t="str">
        <x:v>Medium reef assoc. fish (30 - 89 cm)</x:v>
      </x:c>
      <x:c r="H170" s="24" t="str">
        <x:v>Other fishes &amp; inverts</x:v>
      </x:c>
      <x:c r="I170" s="31" t="n">
        <x:v>52.849364696</x:v>
      </x:c>
      <x:c r="J170" s="31" t="n">
        <x:v>52.849364696</x:v>
      </x:c>
      <x:c r="K170" s="31" t="n">
        <x:v>0</x:v>
      </x:c>
      <x:c r="L170" s="31" t="n">
        <x:v>0</x:v>
      </x:c>
      <x:c r="M170" s="31" t="n">
        <x:v>52.849364696</x:v>
      </x:c>
      <x:c r="N170" s="24" t="str">
        <x:v>monacanthidae</x:v>
      </x:c>
      <x:c r="O170" s="32" t="n">
        <x:v>3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Monacanthidae</x:v>
      </x:c>
      <x:c r="T170" s="32" t="n">
        <x:f>IF(O170="","",(1/'Metadata'!$B$5)^(O170-1))</x:f>
        <x:v>100</x:v>
      </x:c>
      <x:c r="U170" s="31" t="n">
        <x:f>IF(T170="","",I170*T170)</x:f>
        <x:v>5284.9364696</x:v>
      </x:c>
    </x:row>
    <x:row r="171" ht="18" customHeight="1">
      <x:c r="A171" s="24" t="str">
        <x:v>EEZ_851</x:v>
      </x:c>
      <x:c r="B171" s="24" t="str">
        <x:v>USA (East Coast)</x:v>
      </x:c>
      <x:c r="C171" s="24" t="str">
        <x:v>EEZ</x:v>
      </x:c>
      <x:c r="D171" s="30" t="n">
        <x:v>2019</x:v>
      </x:c>
      <x:c r="E171" s="24" t="str">
        <x:v>Mycteroperca phenax</x:v>
      </x:c>
      <x:c r="F171" s="24" t="str">
        <x:v>Scamp</x:v>
      </x:c>
      <x:c r="G171" s="24" t="str">
        <x:v>Medium reef assoc. fish (30 - 89 cm)</x:v>
      </x:c>
      <x:c r="H171" s="24" t="str">
        <x:v>Perch-likes</x:v>
      </x:c>
      <x:c r="I171" s="31" t="n">
        <x:v>51.4563816668</x:v>
      </x:c>
      <x:c r="J171" s="31" t="n">
        <x:v>49.2669611018</x:v>
      </x:c>
      <x:c r="K171" s="31" t="n">
        <x:v>2.189420565</x:v>
      </x:c>
      <x:c r="L171" s="31" t="n">
        <x:v>37.365623103000004</x:v>
      </x:c>
      <x:c r="M171" s="31" t="n">
        <x:v>14.0907585638</x:v>
      </x:c>
      <x:c r="N171" s="24" t="str">
        <x:v>mycteroperca phenax</x:v>
      </x:c>
      <x:c r="O171" s="32" t="n">
        <x:v>4.47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Mycteroperca phenax</x:v>
      </x:c>
      <x:c r="T171" s="32" t="n">
        <x:f>IF(O171="","",(1/'Metadata'!$B$5)^(O171-1))</x:f>
        <x:v>2951.209226666384</x:v>
      </x:c>
      <x:c r="U171" s="31" t="n">
        <x:f>IF(T171="","",I171*T171)</x:f>
        <x:v>151858.54834592712</x:v>
      </x:c>
    </x:row>
    <x:row r="172" ht="18" customHeight="1">
      <x:c r="A172" s="24" t="str">
        <x:v>EEZ_851</x:v>
      </x:c>
      <x:c r="B172" s="24" t="str">
        <x:v>USA (East Coast)</x:v>
      </x:c>
      <x:c r="C172" s="24" t="str">
        <x:v>EEZ</x:v>
      </x:c>
      <x:c r="D172" s="30" t="n">
        <x:v>2019</x:v>
      </x:c>
      <x:c r="E172" s="24" t="str">
        <x:v>Zenopsis conchifer</x:v>
      </x:c>
      <x:c r="F172" s="24" t="str">
        <x:v>Silvery John dory</x:v>
      </x:c>
      <x:c r="G172" s="24" t="str">
        <x:v>Medium benthopelagics (30 - 89 cm)</x:v>
      </x:c>
      <x:c r="H172" s="24" t="str">
        <x:v>Other fishes &amp; inverts</x:v>
      </x:c>
      <x:c r="I172" s="31" t="n">
        <x:v>51.4033783287</x:v>
      </x:c>
      <x:c r="J172" s="31" t="n">
        <x:v>51.4033783287</x:v>
      </x:c>
      <x:c r="K172" s="31" t="n">
        <x:v>0</x:v>
      </x:c>
      <x:c r="L172" s="31" t="n">
        <x:v>39.9506490949</x:v>
      </x:c>
      <x:c r="M172" s="31" t="n">
        <x:v>11.4527292338</x:v>
      </x:c>
      <x:c r="N172" s="24" t="str">
        <x:v>zenopsis conchifer</x:v>
      </x:c>
      <x:c r="O172" s="32" t="n">
        <x:v>4.5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Zenopsis conchifer</x:v>
      </x:c>
      <x:c r="T172" s="32" t="n">
        <x:f>IF(O172="","",(1/'Metadata'!$B$5)^(O172-1))</x:f>
        <x:v>3162.2776601683795</x:v>
      </x:c>
      <x:c r="U172" s="31" t="n">
        <x:f>IF(T172="","",I172*T172)</x:f>
        <x:v>162551.75494603143</x:v>
      </x:c>
    </x:row>
    <x:row r="173" ht="18" customHeight="1">
      <x:c r="A173" s="24" t="str">
        <x:v>EEZ_851</x:v>
      </x:c>
      <x:c r="B173" s="24" t="str">
        <x:v>USA (East Coast)</x:v>
      </x:c>
      <x:c r="C173" s="24" t="str">
        <x:v>EEZ</x:v>
      </x:c>
      <x:c r="D173" s="30" t="n">
        <x:v>2019</x:v>
      </x:c>
      <x:c r="E173" s="24" t="str">
        <x:v>Elagatis bipinnulata</x:v>
      </x:c>
      <x:c r="F173" s="24" t="str">
        <x:v>Rainbow runner</x:v>
      </x:c>
      <x:c r="G173" s="24" t="str">
        <x:v>Large pelagics (&gt;=90 cm)</x:v>
      </x:c>
      <x:c r="H173" s="24" t="str">
        <x:v>Perch-likes</x:v>
      </x:c>
      <x:c r="I173" s="31" t="n">
        <x:v>50.33691864</x:v>
      </x:c>
      <x:c r="J173" s="31" t="n">
        <x:v>50.33691864</x:v>
      </x:c>
      <x:c r="K173" s="31" t="n">
        <x:v>0</x:v>
      </x:c>
      <x:c r="L173" s="31" t="n">
        <x:v>0.015875752</x:v>
      </x:c>
      <x:c r="M173" s="31" t="n">
        <x:v>50.321042888</x:v>
      </x:c>
      <x:c r="N173" s="24" t="str">
        <x:v>elagatis bipinnulata</x:v>
      </x:c>
      <x:c r="O173" s="32" t="n">
        <x:v>4.27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Elagatis bipinnulata</x:v>
      </x:c>
      <x:c r="T173" s="32" t="n">
        <x:f>IF(O173="","",(1/'Metadata'!$B$5)^(O173-1))</x:f>
        <x:v>1862.0871366628655</x:v>
      </x:c>
      <x:c r="U173" s="31" t="n">
        <x:f>IF(T173="","",I173*T173)</x:f>
        <x:v>93731.72869878923</x:v>
      </x:c>
    </x:row>
    <x:row r="174" ht="18" customHeight="1">
      <x:c r="A174" s="24" t="str">
        <x:v>EEZ_851</x:v>
      </x:c>
      <x:c r="B174" s="24" t="str">
        <x:v>USA (East Coast)</x:v>
      </x:c>
      <x:c r="C174" s="24" t="str">
        <x:v>EEZ</x:v>
      </x:c>
      <x:c r="D174" s="30" t="n">
        <x:v>2019</x:v>
      </x:c>
      <x:c r="E174" s="24" t="str">
        <x:v>Calamus</x:v>
      </x:c>
      <x:c r="F174" s="24" t="str">
        <x:v>Porgies</x:v>
      </x:c>
      <x:c r="G174" s="24" t="str">
        <x:v>Medium reef assoc. fish (30 - 89 cm)</x:v>
      </x:c>
      <x:c r="H174" s="24" t="str">
        <x:v>Perch-likes</x:v>
      </x:c>
      <x:c r="I174" s="31" t="n">
        <x:v>50.1504980189</x:v>
      </x:c>
      <x:c r="J174" s="31" t="n">
        <x:v>50.1504980189</x:v>
      </x:c>
      <x:c r="K174" s="31" t="n">
        <x:v>0</x:v>
      </x:c>
      <x:c r="L174" s="31" t="n">
        <x:v>6.5389953819999995</x:v>
      </x:c>
      <x:c r="M174" s="31" t="n">
        <x:v>43.6115026369</x:v>
      </x:c>
      <x:c r="N174" s="24" t="str">
        <x:v>calamus</x:v>
      </x:c>
      <x:c r="O174" s="32" t="n">
        <x:v>3.51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Calamus</x:v>
      </x:c>
      <x:c r="T174" s="32" t="n">
        <x:f>IF(O174="","",(1/'Metadata'!$B$5)^(O174-1))</x:f>
        <x:v>323.5936569296281</x:v>
      </x:c>
      <x:c r="U174" s="31" t="n">
        <x:f>IF(T174="","",I174*T174)</x:f>
        <x:v>16228.38305077792</x:v>
      </x:c>
    </x:row>
    <x:row r="175" ht="18" customHeight="1">
      <x:c r="A175" s="24" t="str">
        <x:v>EEZ_851</x:v>
      </x:c>
      <x:c r="B175" s="24" t="str">
        <x:v>USA (East Coast)</x:v>
      </x:c>
      <x:c r="C175" s="24" t="str">
        <x:v>EEZ</x:v>
      </x:c>
      <x:c r="D175" s="30" t="n">
        <x:v>2019</x:v>
      </x:c>
      <x:c r="E175" s="24" t="str">
        <x:v>Pleuronectiformes</x:v>
      </x:c>
      <x:c r="F175" s="24" t="str">
        <x:v>Flatfishes</x:v>
      </x:c>
      <x:c r="G175" s="24" t="str">
        <x:v>Small to medium flatfishes (&lt;90 cm)</x:v>
      </x:c>
      <x:c r="H175" s="24" t="str">
        <x:v>Flatfishes</x:v>
      </x:c>
      <x:c r="I175" s="31" t="n">
        <x:v>49.405460072699995</x:v>
      </x:c>
      <x:c r="J175" s="31" t="n">
        <x:v>49.405460072699995</x:v>
      </x:c>
      <x:c r="K175" s="31" t="n">
        <x:v>0</x:v>
      </x:c>
      <x:c r="L175" s="31" t="n">
        <x:v>0.333844381</x:v>
      </x:c>
      <x:c r="M175" s="31" t="n">
        <x:v>49.071615691699996</x:v>
      </x:c>
      <x:c r="N175" s="24" t="str">
        <x:v>pleuronectiformes</x:v>
      </x:c>
      <x:c r="O175" s="32" t="n">
        <x:v>3.57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Pleuronectiformes</x:v>
      </x:c>
      <x:c r="T175" s="32" t="n">
        <x:f>IF(O175="","",(1/'Metadata'!$B$5)^(O175-1))</x:f>
        <x:v>371.5352290971724</x:v>
      </x:c>
      <x:c r="U175" s="31" t="n">
        <x:f>IF(T175="","",I175*T175)</x:f>
        <x:v>18355.868926761796</x:v>
      </x:c>
    </x:row>
    <x:row r="176" ht="18" customHeight="1">
      <x:c r="A176" s="24" t="str">
        <x:v>EEZ_851</x:v>
      </x:c>
      <x:c r="B176" s="24" t="str">
        <x:v>USA (East Coast)</x:v>
      </x:c>
      <x:c r="C176" s="24" t="str">
        <x:v>EEZ</x:v>
      </x:c>
      <x:c r="D176" s="30" t="n">
        <x:v>2019</x:v>
      </x:c>
      <x:c r="E176" s="24" t="str">
        <x:v>Katsuwonus pelamis</x:v>
      </x:c>
      <x:c r="F176" s="24" t="str">
        <x:v>Skipjack tuna</x:v>
      </x:c>
      <x:c r="G176" s="24" t="str">
        <x:v>Large pelagics (&gt;=90 cm)</x:v>
      </x:c>
      <x:c r="H176" s="24" t="str">
        <x:v>Tuna &amp; billfishes</x:v>
      </x:c>
      <x:c r="I176" s="31" t="n">
        <x:v>48.2746916087</x:v>
      </x:c>
      <x:c r="J176" s="31" t="n">
        <x:v>48.2746916087</x:v>
      </x:c>
      <x:c r="K176" s="31" t="n">
        <x:v>0</x:v>
      </x:c>
      <x:c r="L176" s="31" t="n">
        <x:v>18.427264004700003</x:v>
      </x:c>
      <x:c r="M176" s="31" t="n">
        <x:v>29.847427604</x:v>
      </x:c>
      <x:c r="N176" s="24" t="str">
        <x:v>katsuwonus pelamis</x:v>
      </x:c>
      <x:c r="O176" s="32" t="n">
        <x:v>4.43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Katsuwonus pelamis</x:v>
      </x:c>
      <x:c r="T176" s="32" t="n">
        <x:f>IF(O176="","",(1/'Metadata'!$B$5)^(O176-1))</x:f>
        <x:v>2691.534803926914</x:v>
      </x:c>
      <x:c r="U176" s="31" t="n">
        <x:f>IF(T176="","",I176*T176)</x:f>
        <x:v>129933.01261365459</x:v>
      </x:c>
    </x:row>
    <x:row r="177" ht="18" customHeight="1">
      <x:c r="A177" s="24" t="str">
        <x:v>EEZ_851</x:v>
      </x:c>
      <x:c r="B177" s="24" t="str">
        <x:v>USA (East Coast)</x:v>
      </x:c>
      <x:c r="C177" s="24" t="str">
        <x:v>EEZ</x:v>
      </x:c>
      <x:c r="D177" s="30" t="n">
        <x:v>2019</x:v>
      </x:c>
      <x:c r="E177" s="24" t="str">
        <x:v>Priacanthidae</x:v>
      </x:c>
      <x:c r="F177" s="24" t="str">
        <x:v>Bigeyes, catalufas</x:v>
      </x:c>
      <x:c r="G177" s="24" t="str">
        <x:v>Medium reef assoc. fish (30 - 89 cm)</x:v>
      </x:c>
      <x:c r="H177" s="24" t="str">
        <x:v>Perch-likes</x:v>
      </x:c>
      <x:c r="I177" s="31" t="n">
        <x:v>43.8350284842</x:v>
      </x:c>
      <x:c r="J177" s="31" t="n">
        <x:v>43.8350284842</x:v>
      </x:c>
      <x:c r="K177" s="31" t="n">
        <x:v>0</x:v>
      </x:c>
      <x:c r="L177" s="31" t="n">
        <x:v>0.3900899021</x:v>
      </x:c>
      <x:c r="M177" s="31" t="n">
        <x:v>43.4449385821</x:v>
      </x:c>
      <x:c r="N177" s="24" t="str">
        <x:v>priacanthidae</x:v>
      </x:c>
      <x:c r="O177" s="32" t="n">
        <x:v>3.79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Priacanthidae</x:v>
      </x:c>
      <x:c r="T177" s="32" t="n">
        <x:f>IF(O177="","",(1/'Metadata'!$B$5)^(O177-1))</x:f>
        <x:v>616.5950018614822</x:v>
      </x:c>
      <x:c r="U177" s="31" t="n">
        <x:f>IF(T177="","",I177*T177)</x:f>
        <x:v>27028.459469813424</x:v>
      </x:c>
    </x:row>
    <x:row r="178" ht="18" customHeight="1">
      <x:c r="A178" s="24" t="str">
        <x:v>EEZ_851</x:v>
      </x:c>
      <x:c r="B178" s="24" t="str">
        <x:v>USA (East Coast)</x:v>
      </x:c>
      <x:c r="C178" s="24" t="str">
        <x:v>EEZ</x:v>
      </x:c>
      <x:c r="D178" s="30" t="n">
        <x:v>2019</x:v>
      </x:c>
      <x:c r="E178" s="24" t="str">
        <x:v>Scomberomorus regalis</x:v>
      </x:c>
      <x:c r="F178" s="24" t="str">
        <x:v>Cero</x:v>
      </x:c>
      <x:c r="G178" s="24" t="str">
        <x:v>Large reef assoc. fish (&gt;=90 cm)</x:v>
      </x:c>
      <x:c r="H178" s="24" t="str">
        <x:v>Perch-likes</x:v>
      </x:c>
      <x:c r="I178" s="31" t="n">
        <x:v>41.5657599058</x:v>
      </x:c>
      <x:c r="J178" s="31" t="n">
        <x:v>41.5657599058</x:v>
      </x:c>
      <x:c r="K178" s="31" t="n">
        <x:v>0</x:v>
      </x:c>
      <x:c r="L178" s="31" t="n">
        <x:v>1.3439957910000002</x:v>
      </x:c>
      <x:c r="M178" s="31" t="n">
        <x:v>40.2217641148</x:v>
      </x:c>
      <x:c r="N178" s="24" t="str">
        <x:v>scomberomorus regalis</x:v>
      </x:c>
      <x:c r="O178" s="32" t="n">
        <x:v>4.51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Scomberomorus regalis</x:v>
      </x:c>
      <x:c r="T178" s="32" t="n">
        <x:f>IF(O178="","",(1/'Metadata'!$B$5)^(O178-1))</x:f>
        <x:v>3235.936569296281</x:v>
      </x:c>
      <x:c r="U178" s="31" t="n">
        <x:f>IF(T178="","",I178*T178)</x:f>
        <x:v>134504.16250976737</x:v>
      </x:c>
    </x:row>
    <x:row r="179" ht="18" customHeight="1">
      <x:c r="A179" s="24" t="str">
        <x:v>EEZ_851</x:v>
      </x:c>
      <x:c r="B179" s="24" t="str">
        <x:v>USA (East Coast)</x:v>
      </x:c>
      <x:c r="C179" s="24" t="str">
        <x:v>EEZ</x:v>
      </x:c>
      <x:c r="D179" s="30" t="n">
        <x:v>2019</x:v>
      </x:c>
      <x:c r="E179" s="24" t="str">
        <x:v>Carcharhinus brevipinna</x:v>
      </x:c>
      <x:c r="F179" s="24" t="str">
        <x:v>Spinner shark</x:v>
      </x:c>
      <x:c r="G179" s="24" t="str">
        <x:v>Large sharks (&gt;=90 cm)</x:v>
      </x:c>
      <x:c r="H179" s="24" t="str">
        <x:v>Sharks &amp; rays</x:v>
      </x:c>
      <x:c r="I179" s="31" t="n">
        <x:v>38.932783195999995</x:v>
      </x:c>
      <x:c r="J179" s="31" t="n">
        <x:v>38.932783195999995</x:v>
      </x:c>
      <x:c r="K179" s="31" t="n">
        <x:v>0</x:v>
      </x:c>
      <x:c r="L179" s="31" t="n">
        <x:v>37.233627563999995</x:v>
      </x:c>
      <x:c r="M179" s="31" t="n">
        <x:v>1.699155632</x:v>
      </x:c>
      <x:c r="N179" s="24" t="str">
        <x:v>carcharhinus brevipinna</x:v>
      </x:c>
      <x:c r="O179" s="32" t="n">
        <x:v>4.2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Carcharhinus brevipinna</x:v>
      </x:c>
      <x:c r="T179" s="32" t="n">
        <x:f>IF(O179="","",(1/'Metadata'!$B$5)^(O179-1))</x:f>
        <x:v>1584.893192461114</x:v>
      </x:c>
      <x:c r="U179" s="31" t="n">
        <x:f>IF(T179="","",I179*T179)</x:f>
        <x:v>61704.30305090485</x:v>
      </x:c>
    </x:row>
    <x:row r="180" ht="18" customHeight="1">
      <x:c r="A180" s="24" t="str">
        <x:v>EEZ_851</x:v>
      </x:c>
      <x:c r="B180" s="24" t="str">
        <x:v>USA (East Coast)</x:v>
      </x:c>
      <x:c r="C180" s="24" t="str">
        <x:v>EEZ</x:v>
      </x:c>
      <x:c r="D180" s="30" t="n">
        <x:v>2019</x:v>
      </x:c>
      <x:c r="E180" s="24" t="str">
        <x:v>Calamus bajonado</x:v>
      </x:c>
      <x:c r="F180" s="24" t="str">
        <x:v>Jolthead porgy</x:v>
      </x:c>
      <x:c r="G180" s="24" t="str">
        <x:v>Medium reef assoc. fish (30 - 89 cm)</x:v>
      </x:c>
      <x:c r="H180" s="24" t="str">
        <x:v>Perch-likes</x:v>
      </x:c>
      <x:c r="I180" s="31" t="n">
        <x:v>36.6837993333</x:v>
      </x:c>
      <x:c r="J180" s="31" t="n">
        <x:v>36.6837993333</x:v>
      </x:c>
      <x:c r="K180" s="31" t="n">
        <x:v>0</x:v>
      </x:c>
      <x:c r="L180" s="31" t="n">
        <x:v>0.5570120931</x:v>
      </x:c>
      <x:c r="M180" s="31" t="n">
        <x:v>36.1267872402</x:v>
      </x:c>
      <x:c r="N180" s="24" t="str">
        <x:v>calamus bajonado</x:v>
      </x:c>
      <x:c r="O180" s="32" t="n">
        <x:v>3.5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Calamus bajonado</x:v>
      </x:c>
      <x:c r="T180" s="32" t="n">
        <x:f>IF(O180="","",(1/'Metadata'!$B$5)^(O180-1))</x:f>
        <x:v>316.22776601683796</x:v>
      </x:c>
      <x:c r="U180" s="31" t="n">
        <x:f>IF(T180="","",I180*T180)</x:f>
        <x:v>11600.43591217943</x:v>
      </x:c>
    </x:row>
    <x:row r="181" ht="18" customHeight="1">
      <x:c r="A181" s="24" t="str">
        <x:v>EEZ_851</x:v>
      </x:c>
      <x:c r="B181" s="24" t="str">
        <x:v>USA (East Coast)</x:v>
      </x:c>
      <x:c r="C181" s="24" t="str">
        <x:v>EEZ</x:v>
      </x:c>
      <x:c r="D181" s="30" t="n">
        <x:v>2019</x:v>
      </x:c>
      <x:c r="E181" s="24" t="str">
        <x:v>Haemulidae</x:v>
      </x:c>
      <x:c r="F181" s="24" t="str">
        <x:v>Grunts, sweetlips, bonnetmouths</x:v>
      </x:c>
      <x:c r="G181" s="24" t="str">
        <x:v>Medium demersals (30 - 89 cm)</x:v>
      </x:c>
      <x:c r="H181" s="24" t="str">
        <x:v>Perch-likes</x:v>
      </x:c>
      <x:c r="I181" s="31" t="n">
        <x:v>35.793689524499996</x:v>
      </x:c>
      <x:c r="J181" s="31" t="n">
        <x:v>35.793689524499996</x:v>
      </x:c>
      <x:c r="K181" s="31" t="n">
        <x:v>0</x:v>
      </x:c>
      <x:c r="L181" s="31" t="n">
        <x:v>23.4335168842</x:v>
      </x:c>
      <x:c r="M181" s="31" t="n">
        <x:v>12.3601726403</x:v>
      </x:c>
      <x:c r="N181" s="24" t="str">
        <x:v>haemulidae</x:v>
      </x:c>
      <x:c r="O181" s="32" t="n">
        <x:v>3.36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Haemulidae</x:v>
      </x:c>
      <x:c r="T181" s="32" t="n">
        <x:f>IF(O181="","",(1/'Metadata'!$B$5)^(O181-1))</x:f>
        <x:v>229.08676527677724</x:v>
      </x:c>
      <x:c r="U181" s="31" t="n">
        <x:f>IF(T181="","",I181*T181)</x:f>
        <x:v>8199.860550488971</x:v>
      </x:c>
    </x:row>
    <x:row r="182" ht="18" customHeight="1">
      <x:c r="A182" s="24" t="str">
        <x:v>EEZ_851</x:v>
      </x:c>
      <x:c r="B182" s="24" t="str">
        <x:v>USA (East Coast)</x:v>
      </x:c>
      <x:c r="C182" s="24" t="str">
        <x:v>EEZ</x:v>
      </x:c>
      <x:c r="D182" s="30" t="n">
        <x:v>2019</x:v>
      </x:c>
      <x:c r="E182" s="24" t="str">
        <x:v>Peprilus paru</x:v>
      </x:c>
      <x:c r="F182" s="24" t="str">
        <x:v>American harvestfish</x:v>
      </x:c>
      <x:c r="G182" s="24" t="str">
        <x:v>Small benthopelagics (&lt;30 cm)</x:v>
      </x:c>
      <x:c r="H182" s="24" t="str">
        <x:v>Perch-likes</x:v>
      </x:c>
      <x:c r="I182" s="31" t="n">
        <x:v>35.2339090872</x:v>
      </x:c>
      <x:c r="J182" s="31" t="n">
        <x:v>33.9889364847</x:v>
      </x:c>
      <x:c r="K182" s="31" t="n">
        <x:v>1.2449726025</x:v>
      </x:c>
      <x:c r="L182" s="31" t="n">
        <x:v>33.47470312</x:v>
      </x:c>
      <x:c r="M182" s="31" t="n">
        <x:v>1.7592059672</x:v>
      </x:c>
      <x:c r="N182" s="24" t="str">
        <x:v>peprilus paru</x:v>
      </x:c>
      <x:c r="O182" s="32" t="n">
        <x:v>4.5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Peprilus paru</x:v>
      </x:c>
      <x:c r="T182" s="32" t="n">
        <x:f>IF(O182="","",(1/'Metadata'!$B$5)^(O182-1))</x:f>
        <x:v>3162.2776601683795</x:v>
      </x:c>
      <x:c r="U182" s="31" t="n">
        <x:f>IF(T182="","",I182*T182)</x:f>
        <x:v>111419.4035868562</x:v>
      </x:c>
    </x:row>
    <x:row r="183" ht="18" customHeight="1">
      <x:c r="A183" s="24" t="str">
        <x:v>EEZ_851</x:v>
      </x:c>
      <x:c r="B183" s="24" t="str">
        <x:v>USA (East Coast)</x:v>
      </x:c>
      <x:c r="C183" s="24" t="str">
        <x:v>EEZ</x:v>
      </x:c>
      <x:c r="D183" s="30" t="n">
        <x:v>2019</x:v>
      </x:c>
      <x:c r="E183" s="24" t="str">
        <x:v>Scomber</x:v>
      </x:c>
      <x:c r="F183" s="24" t="str">
        <x:v>Chub mackerels</x:v>
      </x:c>
      <x:c r="G183" s="24" t="str">
        <x:v>Medium pelagics (30 - 89 cm)</x:v>
      </x:c>
      <x:c r="H183" s="24" t="str">
        <x:v>Perch-likes</x:v>
      </x:c>
      <x:c r="I183" s="31" t="n">
        <x:v>33.774913912</x:v>
      </x:c>
      <x:c r="J183" s="31" t="n">
        <x:v>33.774913912</x:v>
      </x:c>
      <x:c r="K183" s="31" t="n">
        <x:v>0</x:v>
      </x:c>
      <x:c r="L183" s="31" t="n">
        <x:v>0</x:v>
      </x:c>
      <x:c r="M183" s="31" t="n">
        <x:v>33.774913912</x:v>
      </x:c>
      <x:c r="N183" s="24" t="str">
        <x:v>scomber</x:v>
      </x:c>
      <x:c r="O183" s="32" t="n">
        <x:v>3.65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Scomber</x:v>
      </x:c>
      <x:c r="T183" s="32" t="n">
        <x:f>IF(O183="","",(1/'Metadata'!$B$5)^(O183-1))</x:f>
        <x:v>446.683592150963</x:v>
      </x:c>
      <x:c r="U183" s="31" t="n">
        <x:f>IF(T183="","",I183*T183)</x:f>
        <x:v>15086.699870801696</x:v>
      </x:c>
    </x:row>
    <x:row r="184" ht="18" customHeight="1">
      <x:c r="A184" s="24" t="str">
        <x:v>EEZ_851</x:v>
      </x:c>
      <x:c r="B184" s="24" t="str">
        <x:v>USA (East Coast)</x:v>
      </x:c>
      <x:c r="C184" s="24" t="str">
        <x:v>EEZ</x:v>
      </x:c>
      <x:c r="D184" s="30" t="n">
        <x:v>2019</x:v>
      </x:c>
      <x:c r="E184" s="24" t="str">
        <x:v>Opsanus tau</x:v>
      </x:c>
      <x:c r="F184" s="24" t="str">
        <x:v>Oyster toadfish</x:v>
      </x:c>
      <x:c r="G184" s="24" t="str">
        <x:v>Medium reef assoc. fish (30 - 89 cm)</x:v>
      </x:c>
      <x:c r="H184" s="24" t="str">
        <x:v>Other fishes &amp; inverts</x:v>
      </x:c>
      <x:c r="I184" s="31" t="n">
        <x:v>32.55429784</x:v>
      </x:c>
      <x:c r="J184" s="31" t="n">
        <x:v>32.55429784</x:v>
      </x:c>
      <x:c r="K184" s="31" t="n">
        <x:v>0</x:v>
      </x:c>
      <x:c r="L184" s="31" t="n">
        <x:v>0</x:v>
      </x:c>
      <x:c r="M184" s="31" t="n">
        <x:v>32.55429784</x:v>
      </x:c>
      <x:c r="N184" s="24" t="str">
        <x:v>opsanus tau</x:v>
      </x:c>
      <x:c r="O184" s="32" t="n">
        <x:v>3.84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Opsanus tau</x:v>
      </x:c>
      <x:c r="T184" s="32" t="n">
        <x:f>IF(O184="","",(1/'Metadata'!$B$5)^(O184-1))</x:f>
        <x:v>691.8309709189363</x:v>
      </x:c>
      <x:c r="U184" s="31" t="n">
        <x:f>IF(T184="","",I184*T184)</x:f>
        <x:v>22522.071482231426</x:v>
      </x:c>
    </x:row>
    <x:row r="185" ht="18" customHeight="1">
      <x:c r="A185" s="24" t="str">
        <x:v>EEZ_851</x:v>
      </x:c>
      <x:c r="B185" s="24" t="str">
        <x:v>USA (East Coast)</x:v>
      </x:c>
      <x:c r="C185" s="24" t="str">
        <x:v>EEZ</x:v>
      </x:c>
      <x:c r="D185" s="30" t="n">
        <x:v>2019</x:v>
      </x:c>
      <x:c r="E185" s="24" t="str">
        <x:v>Caranx bartholomaei</x:v>
      </x:c>
      <x:c r="F185" s="24" t="str">
        <x:v>Yellow jack</x:v>
      </x:c>
      <x:c r="G185" s="24" t="str">
        <x:v>Medium reef assoc. fish (30 - 89 cm)</x:v>
      </x:c>
      <x:c r="H185" s="24" t="str">
        <x:v>Perch-likes</x:v>
      </x:c>
      <x:c r="I185" s="31" t="n">
        <x:v>31.7310302269</x:v>
      </x:c>
      <x:c r="J185" s="31" t="n">
        <x:v>31.7310302269</x:v>
      </x:c>
      <x:c r="K185" s="31" t="n">
        <x:v>0</x:v>
      </x:c>
      <x:c r="L185" s="31" t="n">
        <x:v>0.9312262428999999</x:v>
      </x:c>
      <x:c r="M185" s="31" t="n">
        <x:v>30.799803984</x:v>
      </x:c>
      <x:c r="N185" s="24" t="str">
        <x:v>caranx bartholomaei</x:v>
      </x:c>
      <x:c r="O185" s="32" t="n">
        <x:v>4.5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Caranx bartholomaei</x:v>
      </x:c>
      <x:c r="T185" s="32" t="n">
        <x:f>IF(O185="","",(1/'Metadata'!$B$5)^(O185-1))</x:f>
        <x:v>3162.2776601683795</x:v>
      </x:c>
      <x:c r="U185" s="31" t="n">
        <x:f>IF(T185="","",I185*T185)</x:f>
        <x:v>100342.32802065345</x:v>
      </x:c>
    </x:row>
    <x:row r="186" ht="18" customHeight="1">
      <x:c r="A186" s="24" t="str">
        <x:v>EEZ_851</x:v>
      </x:c>
      <x:c r="B186" s="24" t="str">
        <x:v>USA (East Coast)</x:v>
      </x:c>
      <x:c r="C186" s="24" t="str">
        <x:v>EEZ</x:v>
      </x:c>
      <x:c r="D186" s="30" t="n">
        <x:v>2019</x:v>
      </x:c>
      <x:c r="E186" s="24" t="str">
        <x:v>Lutjanus vivanus</x:v>
      </x:c>
      <x:c r="F186" s="24" t="str">
        <x:v>Silk snapper</x:v>
      </x:c>
      <x:c r="G186" s="24" t="str">
        <x:v>Medium demersals (30 - 89 cm)</x:v>
      </x:c>
      <x:c r="H186" s="24" t="str">
        <x:v>Perch-likes</x:v>
      </x:c>
      <x:c r="I186" s="31" t="n">
        <x:v>30.6477623761</x:v>
      </x:c>
      <x:c r="J186" s="31" t="n">
        <x:v>30.0037090246</x:v>
      </x:c>
      <x:c r="K186" s="31" t="n">
        <x:v>0.6440533515</x:v>
      </x:c>
      <x:c r="L186" s="31" t="n">
        <x:v>13.81825439</x:v>
      </x:c>
      <x:c r="M186" s="31" t="n">
        <x:v>16.8295079861</x:v>
      </x:c>
      <x:c r="N186" s="24" t="str">
        <x:v>lutjanus vivanus</x:v>
      </x:c>
      <x:c r="O186" s="32" t="n">
        <x:v>3.09</x:v>
      </x:c>
      <x:c r="P186" s="24" t="str">
        <x:v>exact_2020_supplement</x:v>
      </x:c>
      <x:c r="Q186" s="32" t="str">
        <x:v>2020 supplement MeanTL</x:v>
      </x:c>
      <x:c r="R186" s="24" t="str">
        <x:v>high</x:v>
      </x:c>
      <x:c r="S186" s="24" t="str">
        <x:v>Lutjanus vivanus</x:v>
      </x:c>
      <x:c r="T186" s="32" t="n">
        <x:f>IF(O186="","",(1/'Metadata'!$B$5)^(O186-1))</x:f>
        <x:v>123.02687708123811</x:v>
      </x:c>
      <x:c r="U186" s="31" t="n">
        <x:f>IF(T186="","",I186*T186)</x:f>
        <x:v>3770.498494659449</x:v>
      </x:c>
    </x:row>
    <x:row r="187" ht="18" customHeight="1">
      <x:c r="A187" s="24" t="str">
        <x:v>EEZ_851</x:v>
      </x:c>
      <x:c r="B187" s="24" t="str">
        <x:v>USA (East Coast)</x:v>
      </x:c>
      <x:c r="C187" s="24" t="str">
        <x:v>EEZ</x:v>
      </x:c>
      <x:c r="D187" s="30" t="n">
        <x:v>2019</x:v>
      </x:c>
      <x:c r="E187" s="24" t="str">
        <x:v>Seriola zonata</x:v>
      </x:c>
      <x:c r="F187" s="24" t="str">
        <x:v>Banded rudderfish</x:v>
      </x:c>
      <x:c r="G187" s="24" t="str">
        <x:v>Medium benthopelagics (30 - 89 cm)</x:v>
      </x:c>
      <x:c r="H187" s="24" t="str">
        <x:v>Perch-likes</x:v>
      </x:c>
      <x:c r="I187" s="31" t="n">
        <x:v>30.2224109392</x:v>
      </x:c>
      <x:c r="J187" s="31" t="n">
        <x:v>30.2224109392</x:v>
      </x:c>
      <x:c r="K187" s="31" t="n">
        <x:v>0</x:v>
      </x:c>
      <x:c r="L187" s="31" t="n">
        <x:v>14.7476662672</x:v>
      </x:c>
      <x:c r="M187" s="31" t="n">
        <x:v>15.474744672</x:v>
      </x:c>
      <x:c r="N187" s="24" t="str">
        <x:v>seriola zonata</x:v>
      </x:c>
      <x:c r="O187" s="32" t="n">
        <x:v>4.47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Seriola zonata</x:v>
      </x:c>
      <x:c r="T187" s="32" t="n">
        <x:f>IF(O187="","",(1/'Metadata'!$B$5)^(O187-1))</x:f>
        <x:v>2951.209226666384</x:v>
      </x:c>
      <x:c r="U187" s="31" t="n">
        <x:f>IF(T187="","",I187*T187)</x:f>
        <x:v>89192.6580158701</x:v>
      </x:c>
    </x:row>
    <x:row r="188" ht="18" customHeight="1">
      <x:c r="A188" s="24" t="str">
        <x:v>EEZ_851</x:v>
      </x:c>
      <x:c r="B188" s="24" t="str">
        <x:v>USA (East Coast)</x:v>
      </x:c>
      <x:c r="C188" s="24" t="str">
        <x:v>EEZ</x:v>
      </x:c>
      <x:c r="D188" s="30" t="n">
        <x:v>2019</x:v>
      </x:c>
      <x:c r="E188" s="24" t="str">
        <x:v>Gymnura micrura</x:v>
      </x:c>
      <x:c r="F188" s="24" t="str">
        <x:v>Smooth butterfly ray</x:v>
      </x:c>
      <x:c r="G188" s="24" t="str">
        <x:v>Small to medium rays (&lt;90 cm)</x:v>
      </x:c>
      <x:c r="H188" s="24" t="str">
        <x:v>Sharks &amp; rays</x:v>
      </x:c>
      <x:c r="I188" s="31" t="n">
        <x:v>29.9015550034</x:v>
      </x:c>
      <x:c r="J188" s="31" t="n">
        <x:v>1.240120528</x:v>
      </x:c>
      <x:c r="K188" s="31" t="n">
        <x:v>28.6614344754</x:v>
      </x:c>
      <x:c r="L188" s="31" t="n">
        <x:v>0</x:v>
      </x:c>
      <x:c r="M188" s="31" t="n">
        <x:v>29.9015550034</x:v>
      </x:c>
      <x:c r="N188" s="24" t="str">
        <x:v>gymnura micrura</x:v>
      </x:c>
      <x:c r="O188" s="32" t="n">
        <x:v>3.56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Gymnura micrura</x:v>
      </x:c>
      <x:c r="T188" s="32" t="n">
        <x:f>IF(O188="","",(1/'Metadata'!$B$5)^(O188-1))</x:f>
        <x:v>363.0780547701014</x:v>
      </x:c>
      <x:c r="U188" s="31" t="n">
        <x:f>IF(T188="","",I188*T188)</x:f>
        <x:v>10856.598425235665</x:v>
      </x:c>
    </x:row>
    <x:row r="189" ht="18" customHeight="1">
      <x:c r="A189" s="24" t="str">
        <x:v>EEZ_851</x:v>
      </x:c>
      <x:c r="B189" s="24" t="str">
        <x:v>USA (East Coast)</x:v>
      </x:c>
      <x:c r="C189" s="24" t="str">
        <x:v>EEZ</x:v>
      </x:c>
      <x:c r="D189" s="30" t="n">
        <x:v>2019</x:v>
      </x:c>
      <x:c r="E189" s="24" t="str">
        <x:v>Selar crumenophthalmus</x:v>
      </x:c>
      <x:c r="F189" s="24" t="str">
        <x:v>Bigeye scad</x:v>
      </x:c>
      <x:c r="G189" s="24" t="str">
        <x:v>Medium pelagics (30 - 89 cm)</x:v>
      </x:c>
      <x:c r="H189" s="24" t="str">
        <x:v>Perch-likes</x:v>
      </x:c>
      <x:c r="I189" s="31" t="n">
        <x:v>28.9918444762</x:v>
      </x:c>
      <x:c r="J189" s="31" t="n">
        <x:v>28.9918444762</x:v>
      </x:c>
      <x:c r="K189" s="31" t="n">
        <x:v>0</x:v>
      </x:c>
      <x:c r="L189" s="31" t="n">
        <x:v>10.8367882</x:v>
      </x:c>
      <x:c r="M189" s="31" t="n">
        <x:v>18.1550562762</x:v>
      </x:c>
      <x:c r="N189" s="24" t="str">
        <x:v>selar crumenophthalmus</x:v>
      </x:c>
      <x:c r="O189" s="32" t="n">
        <x:v>3.81</x:v>
      </x:c>
      <x:c r="P189" s="24" t="str">
        <x:v>exact_2020_supplement</x:v>
      </x:c>
      <x:c r="Q189" s="32" t="str">
        <x:v>2020 supplement MeanTL</x:v>
      </x:c>
      <x:c r="R189" s="24" t="str">
        <x:v>high</x:v>
      </x:c>
      <x:c r="S189" s="24" t="str">
        <x:v>Selar crumenophthalmus</x:v>
      </x:c>
      <x:c r="T189" s="32" t="n">
        <x:f>IF(O189="","",(1/'Metadata'!$B$5)^(O189-1))</x:f>
        <x:v>645.6542290346556</x:v>
      </x:c>
      <x:c r="U189" s="31" t="n">
        <x:f>IF(T189="","",I189*T189)</x:f>
        <x:v>18718.70699357355</x:v>
      </x:c>
    </x:row>
    <x:row r="190" ht="18" customHeight="1">
      <x:c r="A190" s="24" t="str">
        <x:v>EEZ_851</x:v>
      </x:c>
      <x:c r="B190" s="24" t="str">
        <x:v>USA (East Coast)</x:v>
      </x:c>
      <x:c r="C190" s="24" t="str">
        <x:v>EEZ</x:v>
      </x:c>
      <x:c r="D190" s="30" t="n">
        <x:v>2019</x:v>
      </x:c>
      <x:c r="E190" s="24" t="str">
        <x:v>Menidia menidia</x:v>
      </x:c>
      <x:c r="F190" s="24" t="str">
        <x:v>Atlantic silverside</x:v>
      </x:c>
      <x:c r="G190" s="24" t="str">
        <x:v>Small pelagics (&lt;30 cm)</x:v>
      </x:c>
      <x:c r="H190" s="24" t="str">
        <x:v>Other fishes &amp; inverts</x:v>
      </x:c>
      <x:c r="I190" s="31" t="n">
        <x:v>28.9478458871</x:v>
      </x:c>
      <x:c r="J190" s="31" t="n">
        <x:v>28.9478458871</x:v>
      </x:c>
      <x:c r="K190" s="31" t="n">
        <x:v>0</x:v>
      </x:c>
      <x:c r="L190" s="31" t="n">
        <x:v>28.9478458871</x:v>
      </x:c>
      <x:c r="M190" s="31" t="n">
        <x:v>0</x:v>
      </x:c>
      <x:c r="N190" s="24" t="str">
        <x:v>menidia menidia</x:v>
      </x:c>
      <x:c r="O190" s="32" t="n">
        <x:v>3.19</x:v>
      </x:c>
      <x:c r="P190" s="24" t="str">
        <x:v>exact_2020_supplement</x:v>
      </x:c>
      <x:c r="Q190" s="32" t="str">
        <x:v>2020 supplement MeanTL</x:v>
      </x:c>
      <x:c r="R190" s="24" t="str">
        <x:v>high</x:v>
      </x:c>
      <x:c r="S190" s="24" t="str">
        <x:v>Menidia menidia</x:v>
      </x:c>
      <x:c r="T190" s="32" t="n">
        <x:f>IF(O190="","",(1/'Metadata'!$B$5)^(O190-1))</x:f>
        <x:v>154.88166189124811</x:v>
      </x:c>
      <x:c r="U190" s="31" t="n">
        <x:f>IF(T190="","",I190*T190)</x:f>
        <x:v>4483.49047916578</x:v>
      </x:c>
    </x:row>
    <x:row r="191" ht="18" customHeight="1">
      <x:c r="A191" s="24" t="str">
        <x:v>EEZ_851</x:v>
      </x:c>
      <x:c r="B191" s="24" t="str">
        <x:v>USA (East Coast)</x:v>
      </x:c>
      <x:c r="C191" s="24" t="str">
        <x:v>EEZ</x:v>
      </x:c>
      <x:c r="D191" s="30" t="n">
        <x:v>2019</x:v>
      </x:c>
      <x:c r="E191" s="24" t="str">
        <x:v>Clibanarius tricolor</x:v>
      </x:c>
      <x:c r="F191" s="24" t="str">
        <x:v>Tricolor hermit</x:v>
      </x:c>
      <x:c r="G191" s="24" t="str">
        <x:v>Lobsters, crabs</x:v>
      </x:c>
      <x:c r="H191" s="24" t="str">
        <x:v>Crustaceans</x:v>
      </x:c>
      <x:c r="I191" s="31" t="n">
        <x:v>27.833821700500003</x:v>
      </x:c>
      <x:c r="J191" s="31" t="n">
        <x:v>27.833821700500003</x:v>
      </x:c>
      <x:c r="K191" s="31" t="n">
        <x:v>0</x:v>
      </x:c>
      <x:c r="L191" s="31" t="n">
        <x:v>27.833821700500003</x:v>
      </x:c>
      <x:c r="M191" s="31" t="n">
        <x:v>0</x:v>
      </x:c>
      <x:c r="N191" s="24" t="str">
        <x:v>clibanarius tricolor</x:v>
      </x:c>
      <x:c r="O191" s="32" t="n">
        <x:v>4</x:v>
      </x:c>
      <x:c r="P191" s="24" t="str">
        <x:v>exact_sea_around_us</x:v>
      </x:c>
      <x:c r="Q191" s="32" t="str">
        <x:v>Sea Around Us exploited organisms</x:v>
      </x:c>
      <x:c r="R191" s="24" t="str">
        <x:v>high</x:v>
      </x:c>
      <x:c r="S191" s="24" t="str">
        <x:v>Clibanarius tricolor</x:v>
      </x:c>
      <x:c r="T191" s="32" t="n">
        <x:f>IF(O191="","",(1/'Metadata'!$B$5)^(O191-1))</x:f>
        <x:v>1000</x:v>
      </x:c>
      <x:c r="U191" s="31" t="n">
        <x:f>IF(T191="","",I191*T191)</x:f>
        <x:v>27833.821700500004</x:v>
      </x:c>
    </x:row>
    <x:row r="192" ht="18" customHeight="1">
      <x:c r="A192" s="24" t="str">
        <x:v>EEZ_851</x:v>
      </x:c>
      <x:c r="B192" s="24" t="str">
        <x:v>USA (East Coast)</x:v>
      </x:c>
      <x:c r="C192" s="24" t="str">
        <x:v>EEZ</x:v>
      </x:c>
      <x:c r="D192" s="30" t="n">
        <x:v>2019</x:v>
      </x:c>
      <x:c r="E192" s="24" t="str">
        <x:v>Canthidermis sufflamen</x:v>
      </x:c>
      <x:c r="F192" s="24" t="str">
        <x:v>Ocean triggerfish</x:v>
      </x:c>
      <x:c r="G192" s="24" t="str">
        <x:v>Medium reef assoc. fish (30 - 89 cm)</x:v>
      </x:c>
      <x:c r="H192" s="24" t="str">
        <x:v>Other fishes &amp; inverts</x:v>
      </x:c>
      <x:c r="I192" s="31" t="n">
        <x:v>26.1695374251</x:v>
      </x:c>
      <x:c r="J192" s="31" t="n">
        <x:v>26.1695374251</x:v>
      </x:c>
      <x:c r="K192" s="31" t="n">
        <x:v>0</x:v>
      </x:c>
      <x:c r="L192" s="31" t="n">
        <x:v>0.2875779051</x:v>
      </x:c>
      <x:c r="M192" s="31" t="n">
        <x:v>25.88195952</x:v>
      </x:c>
      <x:c r="N192" s="24" t="str">
        <x:v>canthidermis sufflamen</x:v>
      </x:c>
      <x:c r="O192" s="32" t="n">
        <x:v>3.45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Canthidermis sufflamen</x:v>
      </x:c>
      <x:c r="T192" s="32" t="n">
        <x:f>IF(O192="","",(1/'Metadata'!$B$5)^(O192-1))</x:f>
        <x:v>281.8382931264455</x:v>
      </x:c>
      <x:c r="U192" s="31" t="n">
        <x:f>IF(T192="","",I192*T192)</x:f>
        <x:v>7375.577759798819</x:v>
      </x:c>
    </x:row>
    <x:row r="193" ht="18" customHeight="1">
      <x:c r="A193" s="24" t="str">
        <x:v>EEZ_851</x:v>
      </x:c>
      <x:c r="B193" s="24" t="str">
        <x:v>USA (East Coast)</x:v>
      </x:c>
      <x:c r="C193" s="24" t="str">
        <x:v>EEZ</x:v>
      </x:c>
      <x:c r="D193" s="30" t="n">
        <x:v>2019</x:v>
      </x:c>
      <x:c r="E193" s="24" t="str">
        <x:v>Serranidae</x:v>
      </x:c>
      <x:c r="F193" s="24" t="str">
        <x:v>Basses, groupers, hinds</x:v>
      </x:c>
      <x:c r="G193" s="24" t="str">
        <x:v>Medium reef assoc. fish (30 - 89 cm)</x:v>
      </x:c>
      <x:c r="H193" s="24" t="str">
        <x:v>Perch-likes</x:v>
      </x:c>
      <x:c r="I193" s="31" t="n">
        <x:v>25.4577007476</x:v>
      </x:c>
      <x:c r="J193" s="31" t="n">
        <x:v>13.770987095699999</x:v>
      </x:c>
      <x:c r="K193" s="31" t="n">
        <x:v>11.6867136519</x:v>
      </x:c>
      <x:c r="L193" s="31" t="n">
        <x:v>0.33112282400000004</x:v>
      </x:c>
      <x:c r="M193" s="31" t="n">
        <x:v>25.1265779236</x:v>
      </x:c>
      <x:c r="N193" s="24" t="str">
        <x:v>serranidae</x:v>
      </x:c>
      <x:c r="O193" s="32" t="n">
        <x:v>3.98</x:v>
      </x:c>
      <x:c r="P193" s="24" t="str">
        <x:v>exact_sea_around_us</x:v>
      </x:c>
      <x:c r="Q193" s="32" t="str">
        <x:v>Sea Around Us exploited organisms</x:v>
      </x:c>
      <x:c r="R193" s="24" t="str">
        <x:v>high</x:v>
      </x:c>
      <x:c r="S193" s="24" t="str">
        <x:v>Serranidae</x:v>
      </x:c>
      <x:c r="T193" s="32" t="n">
        <x:f>IF(O193="","",(1/'Metadata'!$B$5)^(O193-1))</x:f>
        <x:v>954.992586021436</x:v>
      </x:c>
      <x:c r="U193" s="31" t="n">
        <x:f>IF(T193="","",I193*T193)</x:f>
        <x:v>24311.91547111037</x:v>
      </x:c>
    </x:row>
    <x:row r="194" ht="18" customHeight="1">
      <x:c r="A194" s="24" t="str">
        <x:v>EEZ_851</x:v>
      </x:c>
      <x:c r="B194" s="24" t="str">
        <x:v>USA (East Coast)</x:v>
      </x:c>
      <x:c r="C194" s="24" t="str">
        <x:v>EEZ</x:v>
      </x:c>
      <x:c r="D194" s="30" t="n">
        <x:v>2019</x:v>
      </x:c>
      <x:c r="E194" s="24" t="str">
        <x:v>Sphyrna lewini</x:v>
      </x:c>
      <x:c r="F194" s="24" t="str">
        <x:v>Scalloped hammerhead</x:v>
      </x:c>
      <x:c r="G194" s="24" t="str">
        <x:v>Large sharks (&gt;=90 cm)</x:v>
      </x:c>
      <x:c r="H194" s="24" t="str">
        <x:v>Sharks &amp; rays</x:v>
      </x:c>
      <x:c r="I194" s="31" t="n">
        <x:v>25.455041045799998</x:v>
      </x:c>
      <x:c r="J194" s="31" t="n">
        <x:v>5.5084147818</x:v>
      </x:c>
      <x:c r="K194" s="31" t="n">
        <x:v>19.946626264</x:v>
      </x:c>
      <x:c r="L194" s="31" t="n">
        <x:v>3.9240322599</x:v>
      </x:c>
      <x:c r="M194" s="31" t="n">
        <x:v>21.5310087859</x:v>
      </x:c>
      <x:c r="N194" s="24" t="str">
        <x:v>sphyrna lewini</x:v>
      </x:c>
      <x:c r="O194" s="32" t="n">
        <x:v>4.08</x:v>
      </x:c>
      <x:c r="P194" s="24" t="str">
        <x:v>exact_2020_supplement</x:v>
      </x:c>
      <x:c r="Q194" s="32" t="str">
        <x:v>2020 supplement MeanTL</x:v>
      </x:c>
      <x:c r="R194" s="24" t="str">
        <x:v>high</x:v>
      </x:c>
      <x:c r="S194" s="24" t="str">
        <x:v>Sphyrna lewini</x:v>
      </x:c>
      <x:c r="T194" s="32" t="n">
        <x:f>IF(O194="","",(1/'Metadata'!$B$5)^(O194-1))</x:f>
        <x:v>1202.2644346174131</x:v>
      </x:c>
      <x:c r="U194" s="31" t="n">
        <x:f>IF(T194="","",I194*T194)</x:f>
        <x:v>30603.69053109178</x:v>
      </x:c>
    </x:row>
    <x:row r="195" ht="18" customHeight="1">
      <x:c r="A195" s="24" t="str">
        <x:v>EEZ_851</x:v>
      </x:c>
      <x:c r="B195" s="24" t="str">
        <x:v>USA (East Coast)</x:v>
      </x:c>
      <x:c r="C195" s="24" t="str">
        <x:v>EEZ</x:v>
      </x:c>
      <x:c r="D195" s="30" t="n">
        <x:v>2019</x:v>
      </x:c>
      <x:c r="E195" s="24" t="str">
        <x:v>Dasyatidae</x:v>
      </x:c>
      <x:c r="F195" s="24" t="str">
        <x:v>Whiptail stingrays</x:v>
      </x:c>
      <x:c r="G195" s="24" t="str">
        <x:v>Large rays (&gt;=90 cm)</x:v>
      </x:c>
      <x:c r="H195" s="24" t="str">
        <x:v>Sharks &amp; rays</x:v>
      </x:c>
      <x:c r="I195" s="31" t="n">
        <x:v>25.275561805500004</x:v>
      </x:c>
      <x:c r="J195" s="31" t="n">
        <x:v>17.2103045128</x:v>
      </x:c>
      <x:c r="K195" s="31" t="n">
        <x:v>8.0652572927</x:v>
      </x:c>
      <x:c r="L195" s="31" t="n">
        <x:v>0.1224700859</x:v>
      </x:c>
      <x:c r="M195" s="31" t="n">
        <x:v>25.1530917196</x:v>
      </x:c>
      <x:c r="N195" s="24" t="str">
        <x:v>dasyatidae</x:v>
      </x:c>
      <x:c r="O195" s="32" t="n">
        <x:v>3.38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Dasyatidae</x:v>
      </x:c>
      <x:c r="T195" s="32" t="n">
        <x:f>IF(O195="","",(1/'Metadata'!$B$5)^(O195-1))</x:f>
        <x:v>239.88329190194898</x:v>
      </x:c>
      <x:c r="U195" s="31" t="n">
        <x:f>IF(T195="","",I195*T195)</x:f>
        <x:v>6063.18497057451</x:v>
      </x:c>
    </x:row>
    <x:row r="196" ht="18" customHeight="1">
      <x:c r="A196" s="24" t="str">
        <x:v>EEZ_851</x:v>
      </x:c>
      <x:c r="B196" s="24" t="str">
        <x:v>USA (East Coast)</x:v>
      </x:c>
      <x:c r="C196" s="24" t="str">
        <x:v>EEZ</x:v>
      </x:c>
      <x:c r="D196" s="30" t="n">
        <x:v>2019</x:v>
      </x:c>
      <x:c r="E196" s="24" t="str">
        <x:v>Hyporthodus flavolimbatus</x:v>
      </x:c>
      <x:c r="F196" s="24" t="str">
        <x:v>Yellowedge grouper</x:v>
      </x:c>
      <x:c r="G196" s="24" t="str">
        <x:v>Large demersals (&gt;=90 cm)</x:v>
      </x:c>
      <x:c r="H196" s="24" t="str">
        <x:v>Perch-likes</x:v>
      </x:c>
      <x:c r="I196" s="31" t="n">
        <x:v>24.302876825200002</x:v>
      </x:c>
      <x:c r="J196" s="31" t="n">
        <x:v>23.2368903451</x:v>
      </x:c>
      <x:c r="K196" s="31" t="n">
        <x:v>1.0659864801</x:v>
      </x:c>
      <x:c r="L196" s="31" t="n">
        <x:v>14.504994054</x:v>
      </x:c>
      <x:c r="M196" s="31" t="n">
        <x:v>9.797882771200001</x:v>
      </x:c>
      <x:c r="N196" s="24" t="str">
        <x:v>hyporthodus flavolimbatus</x:v>
      </x:c>
      <x:c r="O196" s="32" t="n">
        <x:v>3.82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Hyporthodus flavolimbatus</x:v>
      </x:c>
      <x:c r="T196" s="32" t="n">
        <x:f>IF(O196="","",(1/'Metadata'!$B$5)^(O196-1))</x:f>
        <x:v>660.6934480075957</x:v>
      </x:c>
      <x:c r="U196" s="31" t="n">
        <x:f>IF(T196="","",I196*T196)</x:f>
        <x:v>16056.751486145282</x:v>
      </x:c>
    </x:row>
    <x:row r="197" ht="18" customHeight="1">
      <x:c r="A197" s="24" t="str">
        <x:v>EEZ_851</x:v>
      </x:c>
      <x:c r="B197" s="24" t="str">
        <x:v>USA (East Coast)</x:v>
      </x:c>
      <x:c r="C197" s="24" t="str">
        <x:v>EEZ</x:v>
      </x:c>
      <x:c r="D197" s="30" t="n">
        <x:v>2019</x:v>
      </x:c>
      <x:c r="E197" s="24" t="str">
        <x:v>Littorina</x:v>
      </x:c>
      <x:c r="F197" s="24" t="str">
        <x:v>Periwinkles</x:v>
      </x:c>
      <x:c r="G197" s="24" t="str">
        <x:v>Other demersal invertebrates</x:v>
      </x:c>
      <x:c r="H197" s="24" t="str">
        <x:v>Molluscs</x:v>
      </x:c>
      <x:c r="I197" s="31" t="n">
        <x:v>23.995289913</x:v>
      </x:c>
      <x:c r="J197" s="31" t="n">
        <x:v>23.995289913</x:v>
      </x:c>
      <x:c r="K197" s="31" t="n">
        <x:v>0</x:v>
      </x:c>
      <x:c r="L197" s="31" t="n">
        <x:v>0</x:v>
      </x:c>
      <x:c r="M197" s="31" t="n">
        <x:v>23.995289913</x:v>
      </x:c>
      <x:c r="N197" s="24" t="str">
        <x:v>littorina</x:v>
      </x:c>
      <x:c r="O197" s="32" t="n">
        <x:v>2</x:v>
      </x:c>
      <x:c r="P197" s="24" t="str">
        <x:v>exact_sea_around_us</x:v>
      </x:c>
      <x:c r="Q197" s="32" t="str">
        <x:v>Sea Around Us exploited organisms</x:v>
      </x:c>
      <x:c r="R197" s="24" t="str">
        <x:v>high</x:v>
      </x:c>
      <x:c r="S197" s="24" t="str">
        <x:v>Littorina</x:v>
      </x:c>
      <x:c r="T197" s="32" t="n">
        <x:f>IF(O197="","",(1/'Metadata'!$B$5)^(O197-1))</x:f>
        <x:v>10</x:v>
      </x:c>
      <x:c r="U197" s="31" t="n">
        <x:f>IF(T197="","",I197*T197)</x:f>
        <x:v>239.95289913</x:v>
      </x:c>
    </x:row>
    <x:row r="198" ht="18" customHeight="1">
      <x:c r="A198" s="24" t="str">
        <x:v>EEZ_851</x:v>
      </x:c>
      <x:c r="B198" s="24" t="str">
        <x:v>USA (East Coast)</x:v>
      </x:c>
      <x:c r="C198" s="24" t="str">
        <x:v>EEZ</x:v>
      </x:c>
      <x:c r="D198" s="30" t="n">
        <x:v>2019</x:v>
      </x:c>
      <x:c r="E198" s="24" t="str">
        <x:v>Teuthida</x:v>
      </x:c>
      <x:c r="F198" s="24" t="str">
        <x:v>Squids</x:v>
      </x:c>
      <x:c r="G198" s="24" t="str">
        <x:v>Cephalopods</x:v>
      </x:c>
      <x:c r="H198" s="24" t="str">
        <x:v>Other fishes &amp; inverts</x:v>
      </x:c>
      <x:c r="I198" s="31" t="n">
        <x:v>23.7356837455</x:v>
      </x:c>
      <x:c r="J198" s="31" t="n">
        <x:v>23.7356837455</x:v>
      </x:c>
      <x:c r="K198" s="31" t="n">
        <x:v>0</x:v>
      </x:c>
      <x:c r="L198" s="31" t="n">
        <x:v>22.2537217311</x:v>
      </x:c>
      <x:c r="M198" s="31" t="n">
        <x:v>1.4819620144</x:v>
      </x:c>
      <x:c r="N198" s="24" t="str">
        <x:v>teuthida</x:v>
      </x:c>
      <x:c r="O198" s="32" t="n">
        <x:v>4.13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Teuthida</x:v>
      </x:c>
      <x:c r="T198" s="32" t="n">
        <x:f>IF(O198="","",(1/'Metadata'!$B$5)^(O198-1))</x:f>
        <x:v>1348.9628825916532</x:v>
      </x:c>
      <x:c r="U198" s="31" t="n">
        <x:f>IF(T198="","",I198*T198)</x:f>
        <x:v>32018.556365613527</x:v>
      </x:c>
    </x:row>
    <x:row r="199" ht="18" customHeight="1">
      <x:c r="A199" s="24" t="str">
        <x:v>EEZ_851</x:v>
      </x:c>
      <x:c r="B199" s="24" t="str">
        <x:v>USA (East Coast)</x:v>
      </x:c>
      <x:c r="C199" s="24" t="str">
        <x:v>EEZ</x:v>
      </x:c>
      <x:c r="D199" s="30" t="n">
        <x:v>2019</x:v>
      </x:c>
      <x:c r="E199" s="24" t="str">
        <x:v>Conger oceanicus</x:v>
      </x:c>
      <x:c r="F199" s="24" t="str">
        <x:v>American conger</x:v>
      </x:c>
      <x:c r="G199" s="24" t="str">
        <x:v>Large demersals (&gt;=90 cm)</x:v>
      </x:c>
      <x:c r="H199" s="24" t="str">
        <x:v>Other fishes &amp; inverts</x:v>
      </x:c>
      <x:c r="I199" s="31" t="n">
        <x:v>22.713211346599998</x:v>
      </x:c>
      <x:c r="J199" s="31" t="n">
        <x:v>22.713211346599998</x:v>
      </x:c>
      <x:c r="K199" s="31" t="n">
        <x:v>0</x:v>
      </x:c>
      <x:c r="L199" s="31" t="n">
        <x:v>22.713211346599998</x:v>
      </x:c>
      <x:c r="M199" s="31" t="n">
        <x:v>0</x:v>
      </x:c>
      <x:c r="N199" s="24" t="str">
        <x:v>conger oceanicus</x:v>
      </x:c>
      <x:c r="O199" s="32" t="n">
        <x:v>4.5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Conger oceanicus</x:v>
      </x:c>
      <x:c r="T199" s="32" t="n">
        <x:f>IF(O199="","",(1/'Metadata'!$B$5)^(O199-1))</x:f>
        <x:v>3162.2776601683795</x:v>
      </x:c>
      <x:c r="U199" s="31" t="n">
        <x:f>IF(T199="","",I199*T199)</x:f>
        <x:v>71825.48083203613</x:v>
      </x:c>
    </x:row>
    <x:row r="200" ht="18" customHeight="1">
      <x:c r="A200" s="24" t="str">
        <x:v>EEZ_851</x:v>
      </x:c>
      <x:c r="B200" s="24" t="str">
        <x:v>USA (East Coast)</x:v>
      </x:c>
      <x:c r="C200" s="24" t="str">
        <x:v>EEZ</x:v>
      </x:c>
      <x:c r="D200" s="30" t="n">
        <x:v>2019</x:v>
      </x:c>
      <x:c r="E200" s="24" t="str">
        <x:v>Istiophorus</x:v>
      </x:c>
      <x:c r="F200" s="24" t="str">
        <x:v>Sailfishes</x:v>
      </x:c>
      <x:c r="G200" s="24" t="str">
        <x:v>Large pelagics (&gt;=90 cm)</x:v>
      </x:c>
      <x:c r="H200" s="24" t="str">
        <x:v>Tuna &amp; billfishes</x:v>
      </x:c>
      <x:c r="I200" s="31" t="n">
        <x:v>22.555769384</x:v>
      </x:c>
      <x:c r="J200" s="31" t="n">
        <x:v>22.555769384</x:v>
      </x:c>
      <x:c r="K200" s="31" t="n">
        <x:v>0</x:v>
      </x:c>
      <x:c r="L200" s="31" t="n">
        <x:v>0</x:v>
      </x:c>
      <x:c r="M200" s="31" t="n">
        <x:v>22.555769384</x:v>
      </x:c>
      <x:c r="N200" s="24" t="str">
        <x:v>istiophorus</x:v>
      </x:c>
      <x:c r="O200" s="32" t="n">
        <x:v>4.5</x:v>
      </x:c>
      <x:c r="P200" s="24" t="str">
        <x:v>exact_sea_around_us</x:v>
      </x:c>
      <x:c r="Q200" s="32" t="str">
        <x:v>Sea Around Us exploited organisms</x:v>
      </x:c>
      <x:c r="R200" s="24" t="str">
        <x:v>high</x:v>
      </x:c>
      <x:c r="S200" s="24" t="str">
        <x:v>Istiophorus</x:v>
      </x:c>
      <x:c r="T200" s="32" t="n">
        <x:f>IF(O200="","",(1/'Metadata'!$B$5)^(O200-1))</x:f>
        <x:v>3162.2776601683795</x:v>
      </x:c>
      <x:c r="U200" s="31" t="n">
        <x:f>IF(T200="","",I200*T200)</x:f>
        <x:v>71327.60563093309</x:v>
      </x:c>
    </x:row>
    <x:row r="201" ht="18" customHeight="1">
      <x:c r="A201" s="24" t="str">
        <x:v>EEZ_851</x:v>
      </x:c>
      <x:c r="B201" s="24" t="str">
        <x:v>USA (East Coast)</x:v>
      </x:c>
      <x:c r="C201" s="24" t="str">
        <x:v>EEZ</x:v>
      </x:c>
      <x:c r="D201" s="30" t="n">
        <x:v>2019</x:v>
      </x:c>
      <x:c r="E201" s="24" t="str">
        <x:v>Peprilus</x:v>
      </x:c>
      <x:c r="F201" s="24" t="str">
        <x:v>Harvestfishes</x:v>
      </x:c>
      <x:c r="G201" s="24" t="str">
        <x:v>Small benthopelagics (&lt;30 cm)</x:v>
      </x:c>
      <x:c r="H201" s="24" t="str">
        <x:v>Perch-likes</x:v>
      </x:c>
      <x:c r="I201" s="31" t="n">
        <x:v>22.3174301204</x:v>
      </x:c>
      <x:c r="J201" s="31" t="n">
        <x:v>22.3174301204</x:v>
      </x:c>
      <x:c r="K201" s="31" t="n">
        <x:v>0</x:v>
      </x:c>
      <x:c r="L201" s="31" t="n">
        <x:v>17.387577</x:v>
      </x:c>
      <x:c r="M201" s="31" t="n">
        <x:v>4.9298531204</x:v>
      </x:c>
      <x:c r="N201" s="24" t="str">
        <x:v>peprilus</x:v>
      </x:c>
      <x:c r="O201" s="32" t="n">
        <x:v>3.78</x:v>
      </x:c>
      <x:c r="P201" s="24" t="str">
        <x:v>exact_sea_around_us</x:v>
      </x:c>
      <x:c r="Q201" s="32" t="str">
        <x:v>Sea Around Us exploited organisms</x:v>
      </x:c>
      <x:c r="R201" s="24" t="str">
        <x:v>high</x:v>
      </x:c>
      <x:c r="S201" s="24" t="str">
        <x:v>Peprilus</x:v>
      </x:c>
      <x:c r="T201" s="32" t="n">
        <x:f>IF(O201="","",(1/'Metadata'!$B$5)^(O201-1))</x:f>
        <x:v>602.5595860743575</x:v>
      </x:c>
      <x:c r="U201" s="31" t="n">
        <x:f>IF(T201="","",I201*T201)</x:f>
        <x:v>13447.581455591624</x:v>
      </x:c>
    </x:row>
    <x:row r="202" ht="18" customHeight="1">
      <x:c r="A202" s="24" t="str">
        <x:v>EEZ_851</x:v>
      </x:c>
      <x:c r="B202" s="24" t="str">
        <x:v>USA (East Coast)</x:v>
      </x:c>
      <x:c r="C202" s="24" t="str">
        <x:v>EEZ</x:v>
      </x:c>
      <x:c r="D202" s="30" t="n">
        <x:v>2019</x:v>
      </x:c>
      <x:c r="E202" s="24" t="str">
        <x:v>Carcharhinus</x:v>
      </x:c>
      <x:c r="F202" s="24" t="str">
        <x:v>Sharp-nosed sharks</x:v>
      </x:c>
      <x:c r="G202" s="24" t="str">
        <x:v>Large sharks (&gt;=90 cm)</x:v>
      </x:c>
      <x:c r="H202" s="24" t="str">
        <x:v>Sharks &amp; rays</x:v>
      </x:c>
      <x:c r="I202" s="31" t="n">
        <x:v>20.336731711800002</x:v>
      </x:c>
      <x:c r="J202" s="31" t="n">
        <x:v>20.336731711800002</x:v>
      </x:c>
      <x:c r="K202" s="31" t="n">
        <x:v>0</x:v>
      </x:c>
      <x:c r="L202" s="31" t="n">
        <x:v>16.938066424000002</x:v>
      </x:c>
      <x:c r="M202" s="31" t="n">
        <x:v>3.3986652878</x:v>
      </x:c>
      <x:c r="N202" s="24" t="str">
        <x:v>carcharhinus</x:v>
      </x:c>
      <x:c r="O202" s="32" t="n">
        <x:v>4.26</x:v>
      </x:c>
      <x:c r="P202" s="24" t="str">
        <x:v>exact_sea_around_us</x:v>
      </x:c>
      <x:c r="Q202" s="32" t="str">
        <x:v>Sea Around Us exploited organisms</x:v>
      </x:c>
      <x:c r="R202" s="24" t="str">
        <x:v>high</x:v>
      </x:c>
      <x:c r="S202" s="24" t="str">
        <x:v>Carcharhinus</x:v>
      </x:c>
      <x:c r="T202" s="32" t="n">
        <x:f>IF(O202="","",(1/'Metadata'!$B$5)^(O202-1))</x:f>
        <x:v>1819.7008586099826</x:v>
      </x:c>
      <x:c r="U202" s="31" t="n">
        <x:f>IF(T202="","",I202*T202)</x:f>
        <x:v>37006.768157283324</x:v>
      </x:c>
    </x:row>
    <x:row r="203" ht="18" customHeight="1">
      <x:c r="A203" s="24" t="str">
        <x:v>EEZ_851</x:v>
      </x:c>
      <x:c r="B203" s="24" t="str">
        <x:v>USA (East Coast)</x:v>
      </x:c>
      <x:c r="C203" s="24" t="str">
        <x:v>EEZ</x:v>
      </x:c>
      <x:c r="D203" s="30" t="n">
        <x:v>2019</x:v>
      </x:c>
      <x:c r="E203" s="24" t="str">
        <x:v>Tautogolabrus adspersus</x:v>
      </x:c>
      <x:c r="F203" s="24" t="str">
        <x:v>Cunner</x:v>
      </x:c>
      <x:c r="G203" s="24" t="str">
        <x:v>Medium reef assoc. fish (30 - 89 cm)</x:v>
      </x:c>
      <x:c r="H203" s="24" t="str">
        <x:v>Perch-likes</x:v>
      </x:c>
      <x:c r="I203" s="31" t="n">
        <x:v>19.6239839328</x:v>
      </x:c>
      <x:c r="J203" s="31" t="n">
        <x:v>19.6239839328</x:v>
      </x:c>
      <x:c r="K203" s="31" t="n">
        <x:v>0</x:v>
      </x:c>
      <x:c r="L203" s="31" t="n">
        <x:v>2.7256397932</x:v>
      </x:c>
      <x:c r="M203" s="31" t="n">
        <x:v>16.898344139600002</x:v>
      </x:c>
      <x:c r="N203" s="24" t="str">
        <x:v>tautogolabrus adspersus</x:v>
      </x:c>
      <x:c r="O203" s="32" t="n">
        <x:v>3.72</x:v>
      </x:c>
      <x:c r="P203" s="24" t="str">
        <x:v>exact_2020_supplement</x:v>
      </x:c>
      <x:c r="Q203" s="32" t="str">
        <x:v>2020 supplement MeanTL</x:v>
      </x:c>
      <x:c r="R203" s="24" t="str">
        <x:v>high</x:v>
      </x:c>
      <x:c r="S203" s="24" t="str">
        <x:v>Tautogolabrus adspersus</x:v>
      </x:c>
      <x:c r="T203" s="32" t="n">
        <x:f>IF(O203="","",(1/'Metadata'!$B$5)^(O203-1))</x:f>
        <x:v>524.8074602497728</x:v>
      </x:c>
      <x:c r="U203" s="31" t="n">
        <x:f>IF(T203="","",I203*T203)</x:f>
        <x:v>10298.813167755117</x:v>
      </x:c>
    </x:row>
    <x:row r="204" ht="18" customHeight="1">
      <x:c r="A204" s="24" t="str">
        <x:v>EEZ_851</x:v>
      </x:c>
      <x:c r="B204" s="24" t="str">
        <x:v>USA (East Coast)</x:v>
      </x:c>
      <x:c r="C204" s="24" t="str">
        <x:v>EEZ</x:v>
      </x:c>
      <x:c r="D204" s="30" t="n">
        <x:v>2019</x:v>
      </x:c>
      <x:c r="E204" s="24" t="str">
        <x:v>Helicolenus dactylopterus</x:v>
      </x:c>
      <x:c r="F204" s="24" t="str">
        <x:v>Blackbelly rosefish</x:v>
      </x:c>
      <x:c r="G204" s="24" t="str">
        <x:v>Medium bathydemersals (30 - 89 cm)</x:v>
      </x:c>
      <x:c r="H204" s="24" t="str">
        <x:v>Scorpionfishes</x:v>
      </x:c>
      <x:c r="I204" s="31" t="n">
        <x:v>19.3932627954</x:v>
      </x:c>
      <x:c r="J204" s="31" t="n">
        <x:v>19.3932627954</x:v>
      </x:c>
      <x:c r="K204" s="31" t="n">
        <x:v>0</x:v>
      </x:c>
      <x:c r="L204" s="31" t="n">
        <x:v>4.9477914559</x:v>
      </x:c>
      <x:c r="M204" s="31" t="n">
        <x:v>14.4454713395</x:v>
      </x:c>
      <x:c r="N204" s="24" t="str">
        <x:v>helicolenus dactylopterus</x:v>
      </x:c>
      <x:c r="O204" s="32" t="n">
        <x:v>3.54</x:v>
      </x:c>
      <x:c r="P204" s="24" t="str">
        <x:v>exact_2020_supplement</x:v>
      </x:c>
      <x:c r="Q204" s="32" t="str">
        <x:v>2020 supplement MeanTL</x:v>
      </x:c>
      <x:c r="R204" s="24" t="str">
        <x:v>high</x:v>
      </x:c>
      <x:c r="S204" s="24" t="str">
        <x:v>Helicolenus dactylopterus</x:v>
      </x:c>
      <x:c r="T204" s="32" t="n">
        <x:f>IF(O204="","",(1/'Metadata'!$B$5)^(O204-1))</x:f>
        <x:v>346.73685045253166</x:v>
      </x:c>
      <x:c r="U204" s="31" t="n">
        <x:f>IF(T204="","",I204*T204)</x:f>
        <x:v>6724.358861675255</x:v>
      </x:c>
    </x:row>
    <x:row r="205" ht="18" customHeight="1">
      <x:c r="A205" s="24" t="str">
        <x:v>EEZ_851</x:v>
      </x:c>
      <x:c r="B205" s="24" t="str">
        <x:v>USA (East Coast)</x:v>
      </x:c>
      <x:c r="C205" s="24" t="str">
        <x:v>EEZ</x:v>
      </x:c>
      <x:c r="D205" s="30" t="n">
        <x:v>2019</x:v>
      </x:c>
      <x:c r="E205" s="24" t="str">
        <x:v>Sphyrna mokarran</x:v>
      </x:c>
      <x:c r="F205" s="24" t="str">
        <x:v>Great hammerhead</x:v>
      </x:c>
      <x:c r="G205" s="24" t="str">
        <x:v>Large sharks (&gt;=90 cm)</x:v>
      </x:c>
      <x:c r="H205" s="24" t="str">
        <x:v>Sharks &amp; rays</x:v>
      </x:c>
      <x:c r="I205" s="31" t="n">
        <x:v>17.5583789477</x:v>
      </x:c>
      <x:c r="J205" s="31" t="n">
        <x:v>17.5583789477</x:v>
      </x:c>
      <x:c r="K205" s="31" t="n">
        <x:v>0</x:v>
      </x:c>
      <x:c r="L205" s="31" t="n">
        <x:v>16.63143762</x:v>
      </x:c>
      <x:c r="M205" s="31" t="n">
        <x:v>0.9269413276999999</x:v>
      </x:c>
      <x:c r="N205" s="24" t="str">
        <x:v>sphyrna mokarran</x:v>
      </x:c>
      <x:c r="O205" s="32" t="n">
        <x:v>4.32</x:v>
      </x:c>
      <x:c r="P205" s="24" t="str">
        <x:v>exact_2020_supplement</x:v>
      </x:c>
      <x:c r="Q205" s="32" t="str">
        <x:v>2020 supplement MeanTL</x:v>
      </x:c>
      <x:c r="R205" s="24" t="str">
        <x:v>high</x:v>
      </x:c>
      <x:c r="S205" s="24" t="str">
        <x:v>Sphyrna mokarran</x:v>
      </x:c>
      <x:c r="T205" s="32" t="n">
        <x:f>IF(O205="","",(1/'Metadata'!$B$5)^(O205-1))</x:f>
        <x:v>2089.2961308540407</x:v>
      </x:c>
      <x:c r="U205" s="31" t="n">
        <x:f>IF(T205="","",I205*T205)</x:f>
        <x:v>36684.65319949865</x:v>
      </x:c>
    </x:row>
    <x:row r="206" ht="18" customHeight="1">
      <x:c r="A206" s="24" t="str">
        <x:v>EEZ_851</x:v>
      </x:c>
      <x:c r="B206" s="24" t="str">
        <x:v>USA (East Coast)</x:v>
      </x:c>
      <x:c r="C206" s="24" t="str">
        <x:v>EEZ</x:v>
      </x:c>
      <x:c r="D206" s="30" t="n">
        <x:v>2019</x:v>
      </x:c>
      <x:c r="E206" s="24" t="str">
        <x:v>Dorosoma</x:v>
      </x:c>
      <x:c r="F206" s="24" t="str">
        <x:v>Gizzard shads</x:v>
      </x:c>
      <x:c r="G206" s="24" t="str">
        <x:v>Small pelagics (&lt;30 cm)</x:v>
      </x:c>
      <x:c r="H206" s="24" t="str">
        <x:v>Herring-likes</x:v>
      </x:c>
      <x:c r="I206" s="31" t="n">
        <x:v>16.7539799616</x:v>
      </x:c>
      <x:c r="J206" s="31" t="n">
        <x:v>2.247342683</x:v>
      </x:c>
      <x:c r="K206" s="31" t="n">
        <x:v>14.5066372786</x:v>
      </x:c>
      <x:c r="L206" s="31" t="n">
        <x:v>2.2407489729999996</x:v>
      </x:c>
      <x:c r="M206" s="31" t="n">
        <x:v>14.5132309886</x:v>
      </x:c>
      <x:c r="N206" s="24" t="str">
        <x:v>dorosoma</x:v>
      </x:c>
      <x:c r="O206" s="32" t="n">
        <x:v>2</x:v>
      </x:c>
      <x:c r="P206" s="24" t="str">
        <x:v>exact_sea_around_us</x:v>
      </x:c>
      <x:c r="Q206" s="32" t="str">
        <x:v>Sea Around Us exploited organisms</x:v>
      </x:c>
      <x:c r="R206" s="24" t="str">
        <x:v>high</x:v>
      </x:c>
      <x:c r="S206" s="24" t="str">
        <x:v>Dorosoma</x:v>
      </x:c>
      <x:c r="T206" s="32" t="n">
        <x:f>IF(O206="","",(1/'Metadata'!$B$5)^(O206-1))</x:f>
        <x:v>10</x:v>
      </x:c>
      <x:c r="U206" s="31" t="n">
        <x:f>IF(T206="","",I206*T206)</x:f>
        <x:v>167.53979961599998</x:v>
      </x:c>
    </x:row>
    <x:row r="207" ht="18" customHeight="1">
      <x:c r="A207" s="24" t="str">
        <x:v>EEZ_851</x:v>
      </x:c>
      <x:c r="B207" s="24" t="str">
        <x:v>USA (East Coast)</x:v>
      </x:c>
      <x:c r="C207" s="24" t="str">
        <x:v>EEZ</x:v>
      </x:c>
      <x:c r="D207" s="30" t="n">
        <x:v>2019</x:v>
      </x:c>
      <x:c r="E207" s="24" t="str">
        <x:v>Congridae</x:v>
      </x:c>
      <x:c r="F207" s="24" t="str">
        <x:v>Conger, garden eels</x:v>
      </x:c>
      <x:c r="G207" s="24" t="str">
        <x:v>Large demersals (&gt;=90 cm)</x:v>
      </x:c>
      <x:c r="H207" s="24" t="str">
        <x:v>Other fishes &amp; inverts</x:v>
      </x:c>
      <x:c r="I207" s="31" t="n">
        <x:v>16.579241192</x:v>
      </x:c>
      <x:c r="J207" s="31" t="n">
        <x:v>16.579241192</x:v>
      </x:c>
      <x:c r="K207" s="31" t="n">
        <x:v>0</x:v>
      </x:c>
      <x:c r="L207" s="31" t="n">
        <x:v>0</x:v>
      </x:c>
      <x:c r="M207" s="31" t="n">
        <x:v>16.579241192</x:v>
      </x:c>
      <x:c r="N207" s="24" t="str">
        <x:v>congridae</x:v>
      </x:c>
      <x:c r="O207" s="32" t="n">
        <x:v>4.18</x:v>
      </x:c>
      <x:c r="P207" s="24" t="str">
        <x:v>exact_sea_around_us</x:v>
      </x:c>
      <x:c r="Q207" s="32" t="str">
        <x:v>Sea Around Us exploited organisms</x:v>
      </x:c>
      <x:c r="R207" s="24" t="str">
        <x:v>high</x:v>
      </x:c>
      <x:c r="S207" s="24" t="str">
        <x:v>Congridae</x:v>
      </x:c>
      <x:c r="T207" s="32" t="n">
        <x:f>IF(O207="","",(1/'Metadata'!$B$5)^(O207-1))</x:f>
        <x:v>1513.5612484362073</x:v>
      </x:c>
      <x:c r="U207" s="31" t="n">
        <x:f>IF(T207="","",I207*T207)</x:f>
        <x:v>25093.696996688515</x:v>
      </x:c>
    </x:row>
    <x:row r="208" ht="18" customHeight="1">
      <x:c r="A208" s="24" t="str">
        <x:v>EEZ_851</x:v>
      </x:c>
      <x:c r="B208" s="24" t="str">
        <x:v>USA (East Coast)</x:v>
      </x:c>
      <x:c r="C208" s="24" t="str">
        <x:v>EEZ</x:v>
      </x:c>
      <x:c r="D208" s="30" t="n">
        <x:v>2019</x:v>
      </x:c>
      <x:c r="E208" s="24" t="str">
        <x:v>Mycteroperca bonaci</x:v>
      </x:c>
      <x:c r="F208" s="24" t="str">
        <x:v>Black grouper</x:v>
      </x:c>
      <x:c r="G208" s="24" t="str">
        <x:v>Large reef assoc. fish (&gt;=90 cm)</x:v>
      </x:c>
      <x:c r="H208" s="24" t="str">
        <x:v>Perch-likes</x:v>
      </x:c>
      <x:c r="I208" s="31" t="n">
        <x:v>16.1487091188</x:v>
      </x:c>
      <x:c r="J208" s="31" t="n">
        <x:v>15.819933159000001</x:v>
      </x:c>
      <x:c r="K208" s="31" t="n">
        <x:v>0.3287759598</x:v>
      </x:c>
      <x:c r="L208" s="31" t="n">
        <x:v>3.5353031359</x:v>
      </x:c>
      <x:c r="M208" s="31" t="n">
        <x:v>12.6134059829</x:v>
      </x:c>
      <x:c r="N208" s="24" t="str">
        <x:v>mycteroperca bonaci</x:v>
      </x:c>
      <x:c r="O208" s="32" t="n">
        <x:v>4.3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Mycteroperca bonaci</x:v>
      </x:c>
      <x:c r="T208" s="32" t="n">
        <x:f>IF(O208="","",(1/'Metadata'!$B$5)^(O208-1))</x:f>
        <x:v>1995.2623149688789</x:v>
      </x:c>
      <x:c r="U208" s="31" t="n">
        <x:f>IF(T208="","",I208*T208)</x:f>
        <x:v>32220.91074013593</x:v>
      </x:c>
    </x:row>
    <x:row r="209" ht="18" customHeight="1">
      <x:c r="A209" s="24" t="str">
        <x:v>EEZ_851</x:v>
      </x:c>
      <x:c r="B209" s="24" t="str">
        <x:v>USA (East Coast)</x:v>
      </x:c>
      <x:c r="C209" s="24" t="str">
        <x:v>EEZ</x:v>
      </x:c>
      <x:c r="D209" s="30" t="n">
        <x:v>2019</x:v>
      </x:c>
      <x:c r="E209" s="24" t="str">
        <x:v>Selene vomer</x:v>
      </x:c>
      <x:c r="F209" s="24" t="str">
        <x:v>Lookdown</x:v>
      </x:c>
      <x:c r="G209" s="24" t="str">
        <x:v>Medium demersals (30 - 89 cm)</x:v>
      </x:c>
      <x:c r="H209" s="24" t="str">
        <x:v>Perch-likes</x:v>
      </x:c>
      <x:c r="I209" s="31" t="n">
        <x:v>15.8860921995</x:v>
      </x:c>
      <x:c r="J209" s="31" t="n">
        <x:v>15.8860921995</x:v>
      </x:c>
      <x:c r="K209" s="31" t="n">
        <x:v>0</x:v>
      </x:c>
      <x:c r="L209" s="31" t="n">
        <x:v>6.2142228588</x:v>
      </x:c>
      <x:c r="M209" s="31" t="n">
        <x:v>9.6718693407</x:v>
      </x:c>
      <x:c r="N209" s="24" t="str">
        <x:v>selene vomer</x:v>
      </x:c>
      <x:c r="O209" s="32" t="n">
        <x:v>4.29</x:v>
      </x:c>
      <x:c r="P209" s="24" t="str">
        <x:v>exact_2020_supplement</x:v>
      </x:c>
      <x:c r="Q209" s="32" t="str">
        <x:v>2020 supplement MeanTL</x:v>
      </x:c>
      <x:c r="R209" s="24" t="str">
        <x:v>high</x:v>
      </x:c>
      <x:c r="S209" s="24" t="str">
        <x:v>Selene vomer</x:v>
      </x:c>
      <x:c r="T209" s="32" t="n">
        <x:f>IF(O209="","",(1/'Metadata'!$B$5)^(O209-1))</x:f>
        <x:v>1949.8445997580454</x:v>
      </x:c>
      <x:c r="U209" s="31" t="n">
        <x:f>IF(T209="","",I209*T209)</x:f>
        <x:v>30975.411086453485</x:v>
      </x:c>
    </x:row>
    <x:row r="210" ht="18" customHeight="1">
      <x:c r="A210" s="24" t="str">
        <x:v>EEZ_851</x:v>
      </x:c>
      <x:c r="B210" s="24" t="str">
        <x:v>USA (East Coast)</x:v>
      </x:c>
      <x:c r="C210" s="24" t="str">
        <x:v>EEZ</x:v>
      </x:c>
      <x:c r="D210" s="30" t="n">
        <x:v>2019</x:v>
      </x:c>
      <x:c r="E210" s="24" t="str">
        <x:v>Kyphosus sectatrix</x:v>
      </x:c>
      <x:c r="F210" s="24" t="str">
        <x:v>Bermuda sea chub</x:v>
      </x:c>
      <x:c r="G210" s="24" t="str">
        <x:v>Medium reef assoc. fish (30 - 89 cm)</x:v>
      </x:c>
      <x:c r="H210" s="24" t="str">
        <x:v>Perch-likes</x:v>
      </x:c>
      <x:c r="I210" s="31" t="n">
        <x:v>15.762322747799999</x:v>
      </x:c>
      <x:c r="J210" s="31" t="n">
        <x:v>15.762322747799999</x:v>
      </x:c>
      <x:c r="K210" s="31" t="n">
        <x:v>0</x:v>
      </x:c>
      <x:c r="L210" s="31" t="n">
        <x:v>0.3733069638</x:v>
      </x:c>
      <x:c r="M210" s="31" t="n">
        <x:v>15.389015784</x:v>
      </x:c>
      <x:c r="N210" s="24" t="str">
        <x:v>kyphosus sectatrix</x:v>
      </x:c>
      <x:c r="O210" s="32" t="n">
        <x:v>2</x:v>
      </x:c>
      <x:c r="P210" s="24" t="str">
        <x:v>exact_2020_supplement</x:v>
      </x:c>
      <x:c r="Q210" s="32" t="str">
        <x:v>2020 supplement MeanTL</x:v>
      </x:c>
      <x:c r="R210" s="24" t="str">
        <x:v>high</x:v>
      </x:c>
      <x:c r="S210" s="24" t="str">
        <x:v>Kyphosus sectatrix</x:v>
      </x:c>
      <x:c r="T210" s="32" t="n">
        <x:f>IF(O210="","",(1/'Metadata'!$B$5)^(O210-1))</x:f>
        <x:v>10</x:v>
      </x:c>
      <x:c r="U210" s="31" t="n">
        <x:f>IF(T210="","",I210*T210)</x:f>
        <x:v>157.623227478</x:v>
      </x:c>
    </x:row>
    <x:row r="211" ht="18" customHeight="1">
      <x:c r="A211" s="24" t="str">
        <x:v>EEZ_851</x:v>
      </x:c>
      <x:c r="B211" s="24" t="str">
        <x:v>USA (East Coast)</x:v>
      </x:c>
      <x:c r="C211" s="24" t="str">
        <x:v>EEZ</x:v>
      </x:c>
      <x:c r="D211" s="30" t="n">
        <x:v>2019</x:v>
      </x:c>
      <x:c r="E211" s="24" t="str">
        <x:v>Menippe mercenaria</x:v>
      </x:c>
      <x:c r="F211" s="24" t="str">
        <x:v>Black stone crab</x:v>
      </x:c>
      <x:c r="G211" s="24" t="str">
        <x:v>Lobsters, crabs</x:v>
      </x:c>
      <x:c r="H211" s="24" t="str">
        <x:v>Crustaceans</x:v>
      </x:c>
      <x:c r="I211" s="31" t="n">
        <x:v>15.7273342231</x:v>
      </x:c>
      <x:c r="J211" s="31" t="n">
        <x:v>15.7273342231</x:v>
      </x:c>
      <x:c r="K211" s="31" t="n">
        <x:v>0</x:v>
      </x:c>
      <x:c r="L211" s="31" t="n">
        <x:v>15.439395448</x:v>
      </x:c>
      <x:c r="M211" s="31" t="n">
        <x:v>0.2879387751</x:v>
      </x:c>
      <x:c r="N211" s="24" t="str">
        <x:v>menippe mercenaria</x:v>
      </x:c>
      <x:c r="O211" s="32" t="n">
        <x:v>2.6</x:v>
      </x:c>
      <x:c r="P211" s="24" t="str">
        <x:v>exact_sea_around_us</x:v>
      </x:c>
      <x:c r="Q211" s="32" t="str">
        <x:v>Sea Around Us exploited organisms</x:v>
      </x:c>
      <x:c r="R211" s="24" t="str">
        <x:v>high</x:v>
      </x:c>
      <x:c r="S211" s="24" t="str">
        <x:v>Menippe mercenaria</x:v>
      </x:c>
      <x:c r="T211" s="32" t="n">
        <x:f>IF(O211="","",(1/'Metadata'!$B$5)^(O211-1))</x:f>
        <x:v>39.810717055349734</x:v>
      </x:c>
      <x:c r="U211" s="31" t="n">
        <x:f>IF(T211="","",I211*T211)</x:f>
        <x:v>626.1164527907528</x:v>
      </x:c>
    </x:row>
    <x:row r="212" ht="18" customHeight="1">
      <x:c r="A212" s="24" t="str">
        <x:v>EEZ_851</x:v>
      </x:c>
      <x:c r="B212" s="24" t="str">
        <x:v>USA (East Coast)</x:v>
      </x:c>
      <x:c r="C212" s="24" t="str">
        <x:v>EEZ</x:v>
      </x:c>
      <x:c r="D212" s="30" t="n">
        <x:v>2019</x:v>
      </x:c>
      <x:c r="E212" s="24" t="str">
        <x:v>Lachnolaimus maximus</x:v>
      </x:c>
      <x:c r="F212" s="24" t="str">
        <x:v>Hogfish</x:v>
      </x:c>
      <x:c r="G212" s="24" t="str">
        <x:v>Medium reef assoc. fish (30 - 89 cm)</x:v>
      </x:c>
      <x:c r="H212" s="24" t="str">
        <x:v>Perch-likes</x:v>
      </x:c>
      <x:c r="I212" s="31" t="n">
        <x:v>15.6538287151</x:v>
      </x:c>
      <x:c r="J212" s="31" t="n">
        <x:v>15.6538287151</x:v>
      </x:c>
      <x:c r="K212" s="31" t="n">
        <x:v>0</x:v>
      </x:c>
      <x:c r="L212" s="31" t="n">
        <x:v>11.362955975</x:v>
      </x:c>
      <x:c r="M212" s="31" t="n">
        <x:v>4.2908727401</x:v>
      </x:c>
      <x:c r="N212" s="24" t="str">
        <x:v>lachnolaimus maximus</x:v>
      </x:c>
      <x:c r="O212" s="32" t="n">
        <x:v>4.17</x:v>
      </x:c>
      <x:c r="P212" s="24" t="str">
        <x:v>exact_2020_supplement</x:v>
      </x:c>
      <x:c r="Q212" s="32" t="str">
        <x:v>2020 supplement MeanTL</x:v>
      </x:c>
      <x:c r="R212" s="24" t="str">
        <x:v>high</x:v>
      </x:c>
      <x:c r="S212" s="24" t="str">
        <x:v>Lachnolaimus maximus</x:v>
      </x:c>
      <x:c r="T212" s="32" t="n">
        <x:f>IF(O212="","",(1/'Metadata'!$B$5)^(O212-1))</x:f>
        <x:v>1479.1083881682073</x:v>
      </x:c>
      <x:c r="U212" s="31" t="n">
        <x:f>IF(T212="","",I212*T212)</x:f>
        <x:v>23153.709359452758</x:v>
      </x:c>
    </x:row>
    <x:row r="213" ht="18" customHeight="1">
      <x:c r="A213" s="24" t="str">
        <x:v>EEZ_851</x:v>
      </x:c>
      <x:c r="B213" s="24" t="str">
        <x:v>USA (East Coast)</x:v>
      </x:c>
      <x:c r="C213" s="24" t="str">
        <x:v>EEZ</x:v>
      </x:c>
      <x:c r="D213" s="30" t="n">
        <x:v>2019</x:v>
      </x:c>
      <x:c r="E213" s="24" t="str">
        <x:v>Selene setapinnis</x:v>
      </x:c>
      <x:c r="F213" s="24" t="str">
        <x:v>Atlantic moonfish</x:v>
      </x:c>
      <x:c r="G213" s="24" t="str">
        <x:v>Medium demersals (30 - 89 cm)</x:v>
      </x:c>
      <x:c r="H213" s="24" t="str">
        <x:v>Perch-likes</x:v>
      </x:c>
      <x:c r="I213" s="31" t="n">
        <x:v>15.444635932099999</x:v>
      </x:c>
      <x:c r="J213" s="31" t="n">
        <x:v>15.038666605399998</x:v>
      </x:c>
      <x:c r="K213" s="31" t="n">
        <x:v>0.4059693267</x:v>
      </x:c>
      <x:c r="L213" s="31" t="n">
        <x:v>14.5567036499</x:v>
      </x:c>
      <x:c r="M213" s="31" t="n">
        <x:v>0.8879322822</x:v>
      </x:c>
      <x:c r="N213" s="24" t="str">
        <x:v>selene setapinnis</x:v>
      </x:c>
      <x:c r="O213" s="32" t="n">
        <x:v>3.72</x:v>
      </x:c>
      <x:c r="P213" s="24" t="str">
        <x:v>exact_2020_supplement</x:v>
      </x:c>
      <x:c r="Q213" s="32" t="str">
        <x:v>2020 supplement MeanTL</x:v>
      </x:c>
      <x:c r="R213" s="24" t="str">
        <x:v>high</x:v>
      </x:c>
      <x:c r="S213" s="24" t="str">
        <x:v>Selene setapinnis</x:v>
      </x:c>
      <x:c r="T213" s="32" t="n">
        <x:f>IF(O213="","",(1/'Metadata'!$B$5)^(O213-1))</x:f>
        <x:v>524.8074602497728</x:v>
      </x:c>
      <x:c r="U213" s="31" t="n">
        <x:f>IF(T213="","",I213*T213)</x:f>
        <x:v>8105.460158007783</x:v>
      </x:c>
    </x:row>
    <x:row r="214" ht="18" customHeight="1">
      <x:c r="A214" s="24" t="str">
        <x:v>EEZ_851</x:v>
      </x:c>
      <x:c r="B214" s="24" t="str">
        <x:v>USA (East Coast)</x:v>
      </x:c>
      <x:c r="C214" s="24" t="str">
        <x:v>EEZ</x:v>
      </x:c>
      <x:c r="D214" s="30" t="n">
        <x:v>2019</x:v>
      </x:c>
      <x:c r="E214" s="24" t="str">
        <x:v>Paralichthyidae</x:v>
      </x:c>
      <x:c r="F214" s="24" t="str">
        <x:v>Largetooth flounders</x:v>
      </x:c>
      <x:c r="G214" s="24" t="str">
        <x:v>Small to medium flatfishes (&lt;90 cm)</x:v>
      </x:c>
      <x:c r="H214" s="24" t="str">
        <x:v>Flatfishes</x:v>
      </x:c>
      <x:c r="I214" s="31" t="n">
        <x:v>14.8868905537</x:v>
      </x:c>
      <x:c r="J214" s="31" t="n">
        <x:v>0</x:v>
      </x:c>
      <x:c r="K214" s="31" t="n">
        <x:v>14.8868905537</x:v>
      </x:c>
      <x:c r="L214" s="31" t="n">
        <x:v>0</x:v>
      </x:c>
      <x:c r="M214" s="31" t="n">
        <x:v>14.8868905537</x:v>
      </x:c>
      <x:c r="N214" s="24" t="str">
        <x:v>paralichthyidae</x:v>
      </x:c>
      <x:c r="O214" s="32" t="n">
        <x:v>4.06</x:v>
      </x:c>
      <x:c r="P214" s="24" t="str">
        <x:v>exact_sea_around_us</x:v>
      </x:c>
      <x:c r="Q214" s="32" t="str">
        <x:v>Sea Around Us exploited organisms</x:v>
      </x:c>
      <x:c r="R214" s="24" t="str">
        <x:v>high</x:v>
      </x:c>
      <x:c r="S214" s="24" t="str">
        <x:v>Paralichthyidae</x:v>
      </x:c>
      <x:c r="T214" s="32" t="n">
        <x:f>IF(O214="","",(1/'Metadata'!$B$5)^(O214-1))</x:f>
        <x:v>1148.1536214968817</x:v>
      </x:c>
      <x:c r="U214" s="31" t="n">
        <x:f>IF(T214="","",I214*T214)</x:f>
        <x:v>17092.437302058373</x:v>
      </x:c>
    </x:row>
    <x:row r="215" ht="18" customHeight="1">
      <x:c r="A215" s="24" t="str">
        <x:v>EEZ_851</x:v>
      </x:c>
      <x:c r="B215" s="24" t="str">
        <x:v>USA (East Coast)</x:v>
      </x:c>
      <x:c r="C215" s="24" t="str">
        <x:v>EEZ</x:v>
      </x:c>
      <x:c r="D215" s="30" t="n">
        <x:v>2019</x:v>
      </x:c>
      <x:c r="E215" s="24" t="str">
        <x:v>Chloroscombrus chrysurus</x:v>
      </x:c>
      <x:c r="F215" s="24" t="str">
        <x:v>Atlantic bumper</x:v>
      </x:c>
      <x:c r="G215" s="24" t="str">
        <x:v>Medium pelagics (30 - 89 cm)</x:v>
      </x:c>
      <x:c r="H215" s="24" t="str">
        <x:v>Perch-likes</x:v>
      </x:c>
      <x:c r="I215" s="31" t="n">
        <x:v>14.707516248200001</x:v>
      </x:c>
      <x:c r="J215" s="31" t="n">
        <x:v>7.1023575231</x:v>
      </x:c>
      <x:c r="K215" s="31" t="n">
        <x:v>7.6051587251</x:v>
      </x:c>
      <x:c r="L215" s="31" t="n">
        <x:v>6.976258947100001</x:v>
      </x:c>
      <x:c r="M215" s="31" t="n">
        <x:v>7.7312573011</x:v>
      </x:c>
      <x:c r="N215" s="24" t="str">
        <x:v>chloroscombrus chrysurus</x:v>
      </x:c>
      <x:c r="O215" s="32" t="n">
        <x:v>3.54</x:v>
      </x:c>
      <x:c r="P215" s="24" t="str">
        <x:v>exact_2020_supplement</x:v>
      </x:c>
      <x:c r="Q215" s="32" t="str">
        <x:v>2020 supplement MeanTL</x:v>
      </x:c>
      <x:c r="R215" s="24" t="str">
        <x:v>high</x:v>
      </x:c>
      <x:c r="S215" s="24" t="str">
        <x:v>Chloroscombrus chrysurus</x:v>
      </x:c>
      <x:c r="T215" s="32" t="n">
        <x:f>IF(O215="","",(1/'Metadata'!$B$5)^(O215-1))</x:f>
        <x:v>346.73685045253166</x:v>
      </x:c>
      <x:c r="U215" s="31" t="n">
        <x:f>IF(T215="","",I215*T215)</x:f>
        <x:v>5099.637861880303</x:v>
      </x:c>
    </x:row>
    <x:row r="216" ht="18" customHeight="1">
      <x:c r="A216" s="24" t="str">
        <x:v>EEZ_851</x:v>
      </x:c>
      <x:c r="B216" s="24" t="str">
        <x:v>USA (East Coast)</x:v>
      </x:c>
      <x:c r="C216" s="24" t="str">
        <x:v>EEZ</x:v>
      </x:c>
      <x:c r="D216" s="30" t="n">
        <x:v>2019</x:v>
      </x:c>
      <x:c r="E216" s="24" t="str">
        <x:v>Loliginidae</x:v>
      </x:c>
      <x:c r="F216" s="24" t="str">
        <x:v>Common pencil squids</x:v>
      </x:c>
      <x:c r="G216" s="24" t="str">
        <x:v>Cephalopods</x:v>
      </x:c>
      <x:c r="H216" s="24" t="str">
        <x:v>Other fishes &amp; inverts</x:v>
      </x:c>
      <x:c r="I216" s="31" t="n">
        <x:v>13.4689878502</x:v>
      </x:c>
      <x:c r="J216" s="31" t="n">
        <x:v>13.4689878502</x:v>
      </x:c>
      <x:c r="K216" s="31" t="n">
        <x:v>0</x:v>
      </x:c>
      <x:c r="L216" s="31" t="n">
        <x:v>13.4689878502</x:v>
      </x:c>
      <x:c r="M216" s="31" t="n">
        <x:v>0</x:v>
      </x:c>
      <x:c r="N216" s="24" t="str">
        <x:v>loliginidae</x:v>
      </x:c>
      <x:c r="O216" s="32" t="n">
        <x:v>3.9</x:v>
      </x:c>
      <x:c r="P216" s="24" t="str">
        <x:v>exact_sea_around_us</x:v>
      </x:c>
      <x:c r="Q216" s="32" t="str">
        <x:v>Sea Around Us exploited organisms</x:v>
      </x:c>
      <x:c r="R216" s="24" t="str">
        <x:v>high</x:v>
      </x:c>
      <x:c r="S216" s="24" t="str">
        <x:v>Loliginidae</x:v>
      </x:c>
      <x:c r="T216" s="32" t="n">
        <x:f>IF(O216="","",(1/'Metadata'!$B$5)^(O216-1))</x:f>
        <x:v>794.3282347242813</x:v>
      </x:c>
      <x:c r="U216" s="31" t="n">
        <x:f>IF(T216="","",I216*T216)</x:f>
        <x:v>10698.797342572158</x:v>
      </x:c>
    </x:row>
    <x:row r="217" ht="18" customHeight="1">
      <x:c r="A217" s="24" t="str">
        <x:v>EEZ_851</x:v>
      </x:c>
      <x:c r="B217" s="24" t="str">
        <x:v>USA (East Coast)</x:v>
      </x:c>
      <x:c r="C217" s="24" t="str">
        <x:v>EEZ</x:v>
      </x:c>
      <x:c r="D217" s="30" t="n">
        <x:v>2019</x:v>
      </x:c>
      <x:c r="E217" s="24" t="str">
        <x:v>Scophthalmus aquosus</x:v>
      </x:c>
      <x:c r="F217" s="24" t="str">
        <x:v>Windowpane flounder</x:v>
      </x:c>
      <x:c r="G217" s="24" t="str">
        <x:v>Small to medium flatfishes (&lt;90 cm)</x:v>
      </x:c>
      <x:c r="H217" s="24" t="str">
        <x:v>Flatfishes</x:v>
      </x:c>
      <x:c r="I217" s="31" t="n">
        <x:v>13.350896439200001</x:v>
      </x:c>
      <x:c r="J217" s="31" t="n">
        <x:v>13.321710702</x:v>
      </x:c>
      <x:c r="K217" s="31" t="n">
        <x:v>0.0291857372</x:v>
      </x:c>
      <x:c r="L217" s="31" t="n">
        <x:v>10.656258221100002</x:v>
      </x:c>
      <x:c r="M217" s="31" t="n">
        <x:v>2.6946382181</x:v>
      </x:c>
      <x:c r="N217" s="24" t="str">
        <x:v>scophthalmus aquosus</x:v>
      </x:c>
      <x:c r="O217" s="32" t="n">
        <x:v>3.72</x:v>
      </x:c>
      <x:c r="P217" s="24" t="str">
        <x:v>exact_2020_supplement</x:v>
      </x:c>
      <x:c r="Q217" s="32" t="str">
        <x:v>2020 supplement MeanTL</x:v>
      </x:c>
      <x:c r="R217" s="24" t="str">
        <x:v>high</x:v>
      </x:c>
      <x:c r="S217" s="24" t="str">
        <x:v>Scophthalmus aquosus</x:v>
      </x:c>
      <x:c r="T217" s="32" t="n">
        <x:f>IF(O217="","",(1/'Metadata'!$B$5)^(O217-1))</x:f>
        <x:v>524.8074602497728</x:v>
      </x:c>
      <x:c r="U217" s="31" t="n">
        <x:f>IF(T217="","",I217*T217)</x:f>
        <x:v>7006.650052314289</x:v>
      </x:c>
    </x:row>
    <x:row r="218" ht="18" customHeight="1">
      <x:c r="A218" s="24" t="str">
        <x:v>EEZ_851</x:v>
      </x:c>
      <x:c r="B218" s="24" t="str">
        <x:v>USA (East Coast)</x:v>
      </x:c>
      <x:c r="C218" s="24" t="str">
        <x:v>EEZ</x:v>
      </x:c>
      <x:c r="D218" s="30" t="n">
        <x:v>2019</x:v>
      </x:c>
      <x:c r="E218" s="24" t="str">
        <x:v>Triglidae</x:v>
      </x:c>
      <x:c r="F218" s="24" t="str">
        <x:v>Searobins, gurnards</x:v>
      </x:c>
      <x:c r="G218" s="24" t="str">
        <x:v>Medium demersals (30 - 89 cm)</x:v>
      </x:c>
      <x:c r="H218" s="24" t="str">
        <x:v>Scorpionfishes</x:v>
      </x:c>
      <x:c r="I218" s="31" t="n">
        <x:v>12.6090502764</x:v>
      </x:c>
      <x:c r="J218" s="31" t="n">
        <x:v>12.6090502764</x:v>
      </x:c>
      <x:c r="K218" s="31" t="n">
        <x:v>0</x:v>
      </x:c>
      <x:c r="L218" s="31" t="n">
        <x:v>8.8251036471</x:v>
      </x:c>
      <x:c r="M218" s="31" t="n">
        <x:v>3.7839466293</x:v>
      </x:c>
      <x:c r="N218" s="24" t="str">
        <x:v>triglidae</x:v>
      </x:c>
      <x:c r="O218" s="32" t="n">
        <x:v>3.74</x:v>
      </x:c>
      <x:c r="P218" s="24" t="str">
        <x:v>exact_sea_around_us</x:v>
      </x:c>
      <x:c r="Q218" s="32" t="str">
        <x:v>Sea Around Us exploited organisms</x:v>
      </x:c>
      <x:c r="R218" s="24" t="str">
        <x:v>high</x:v>
      </x:c>
      <x:c r="S218" s="24" t="str">
        <x:v>Triglidae</x:v>
      </x:c>
      <x:c r="T218" s="32" t="n">
        <x:f>IF(O218="","",(1/'Metadata'!$B$5)^(O218-1))</x:f>
        <x:v>549.5408738576248</x:v>
      </x:c>
      <x:c r="U218" s="31" t="n">
        <x:f>IF(T218="","",I218*T218)</x:f>
        <x:v>6929.188507407581</x:v>
      </x:c>
    </x:row>
    <x:row r="219" ht="18" customHeight="1">
      <x:c r="A219" s="24" t="str">
        <x:v>EEZ_851</x:v>
      </x:c>
      <x:c r="B219" s="24" t="str">
        <x:v>USA (East Coast)</x:v>
      </x:c>
      <x:c r="C219" s="24" t="str">
        <x:v>EEZ</x:v>
      </x:c>
      <x:c r="D219" s="30" t="n">
        <x:v>2019</x:v>
      </x:c>
      <x:c r="E219" s="24" t="str">
        <x:v>Trichiuridae</x:v>
      </x:c>
      <x:c r="F219" s="24" t="str">
        <x:v>Cutlassfishes</x:v>
      </x:c>
      <x:c r="G219" s="24" t="str">
        <x:v>Large benthopelagics (&gt;=90 cm)</x:v>
      </x:c>
      <x:c r="H219" s="24" t="str">
        <x:v>Perch-likes</x:v>
      </x:c>
      <x:c r="I219" s="31" t="n">
        <x:v>12.5418188</x:v>
      </x:c>
      <x:c r="J219" s="31" t="n">
        <x:v>12.5418188</x:v>
      </x:c>
      <x:c r="K219" s="31" t="n">
        <x:v>0</x:v>
      </x:c>
      <x:c r="L219" s="31" t="n">
        <x:v>0</x:v>
      </x:c>
      <x:c r="M219" s="31" t="n">
        <x:v>12.5418188</x:v>
      </x:c>
      <x:c r="N219" s="24" t="str">
        <x:v>trichiuridae</x:v>
      </x:c>
      <x:c r="O219" s="32" t="n">
        <x:v>4.15</x:v>
      </x:c>
      <x:c r="P219" s="24" t="str">
        <x:v>exact_sea_around_us</x:v>
      </x:c>
      <x:c r="Q219" s="32" t="str">
        <x:v>Sea Around Us exploited organisms</x:v>
      </x:c>
      <x:c r="R219" s="24" t="str">
        <x:v>high</x:v>
      </x:c>
      <x:c r="S219" s="24" t="str">
        <x:v>Trichiuridae</x:v>
      </x:c>
      <x:c r="T219" s="32" t="n">
        <x:f>IF(O219="","",(1/'Metadata'!$B$5)^(O219-1))</x:f>
        <x:v>1412.5375446227554</x:v>
      </x:c>
      <x:c r="U219" s="31" t="n">
        <x:f>IF(T219="","",I219*T219)</x:f>
        <x:v>17715.78993285551</x:v>
      </x:c>
    </x:row>
    <x:row r="220" ht="18" customHeight="1">
      <x:c r="A220" s="24" t="str">
        <x:v>EEZ_851</x:v>
      </x:c>
      <x:c r="B220" s="24" t="str">
        <x:v>USA (East Coast)</x:v>
      </x:c>
      <x:c r="C220" s="24" t="str">
        <x:v>EEZ</x:v>
      </x:c>
      <x:c r="D220" s="30" t="n">
        <x:v>2019</x:v>
      </x:c>
      <x:c r="E220" s="24" t="str">
        <x:v>Bothidae</x:v>
      </x:c>
      <x:c r="F220" s="24" t="str">
        <x:v>Lefteye flounders</x:v>
      </x:c>
      <x:c r="G220" s="24" t="str">
        <x:v>Small to medium flatfishes (&lt;90 cm)</x:v>
      </x:c>
      <x:c r="H220" s="24" t="str">
        <x:v>Flatfishes</x:v>
      </x:c>
      <x:c r="I220" s="31" t="n">
        <x:v>11.4857066754</x:v>
      </x:c>
      <x:c r="J220" s="31" t="n">
        <x:v>4.4111910437</x:v>
      </x:c>
      <x:c r="K220" s="31" t="n">
        <x:v>7.0745156317</x:v>
      </x:c>
      <x:c r="L220" s="31" t="n">
        <x:v>4.4111910437</x:v>
      </x:c>
      <x:c r="M220" s="31" t="n">
        <x:v>7.0745156317</x:v>
      </x:c>
      <x:c r="N220" s="24" t="str">
        <x:v>bothidae</x:v>
      </x:c>
      <x:c r="O220" s="32" t="n">
        <x:v>3.77</x:v>
      </x:c>
      <x:c r="P220" s="24" t="str">
        <x:v>exact_sea_around_us</x:v>
      </x:c>
      <x:c r="Q220" s="32" t="str">
        <x:v>Sea Around Us exploited organisms</x:v>
      </x:c>
      <x:c r="R220" s="24" t="str">
        <x:v>high</x:v>
      </x:c>
      <x:c r="S220" s="24" t="str">
        <x:v>Bothidae</x:v>
      </x:c>
      <x:c r="T220" s="32" t="n">
        <x:f>IF(O220="","",(1/'Metadata'!$B$5)^(O220-1))</x:f>
        <x:v>588.843655355589</x:v>
      </x:c>
      <x:c r="U220" s="31" t="n">
        <x:f>IF(T220="","",I220*T220)</x:f>
        <x:v>6763.285503084626</x:v>
      </x:c>
    </x:row>
    <x:row r="221" ht="18" customHeight="1">
      <x:c r="A221" s="24" t="str">
        <x:v>EEZ_851</x:v>
      </x:c>
      <x:c r="B221" s="24" t="str">
        <x:v>USA (East Coast)</x:v>
      </x:c>
      <x:c r="C221" s="24" t="str">
        <x:v>EEZ</x:v>
      </x:c>
      <x:c r="D221" s="30" t="n">
        <x:v>2019</x:v>
      </x:c>
      <x:c r="E221" s="24" t="str">
        <x:v>Centrolophidae</x:v>
      </x:c>
      <x:c r="F221" s="24" t="str">
        <x:v>Medusafishes</x:v>
      </x:c>
      <x:c r="G221" s="24" t="str">
        <x:v>Medium benthopelagics (30 - 89 cm)</x:v>
      </x:c>
      <x:c r="H221" s="24" t="str">
        <x:v>Perch-likes</x:v>
      </x:c>
      <x:c r="I221" s="31" t="n">
        <x:v>11.249543772800001</x:v>
      </x:c>
      <x:c r="J221" s="31" t="n">
        <x:v>11.249543772800001</x:v>
      </x:c>
      <x:c r="K221" s="31" t="n">
        <x:v>0</x:v>
      </x:c>
      <x:c r="L221" s="31" t="n">
        <x:v>11.0590487251</x:v>
      </x:c>
      <x:c r="M221" s="31" t="n">
        <x:v>0.1904950477</x:v>
      </x:c>
      <x:c r="N221" s="24" t="str">
        <x:v>centrolophidae</x:v>
      </x:c>
      <x:c r="O221" s="32" t="n">
        <x:v>3.65</x:v>
      </x:c>
      <x:c r="P221" s="24" t="str">
        <x:v>exact_sea_around_us</x:v>
      </x:c>
      <x:c r="Q221" s="32" t="str">
        <x:v>Sea Around Us exploited organisms</x:v>
      </x:c>
      <x:c r="R221" s="24" t="str">
        <x:v>high</x:v>
      </x:c>
      <x:c r="S221" s="24" t="str">
        <x:v>Centrolophidae</x:v>
      </x:c>
      <x:c r="T221" s="32" t="n">
        <x:f>IF(O221="","",(1/'Metadata'!$B$5)^(O221-1))</x:f>
        <x:v>446.683592150963</x:v>
      </x:c>
      <x:c r="U221" s="31" t="n">
        <x:f>IF(T221="","",I221*T221)</x:f>
        <x:v>5024.986622493801</x:v>
      </x:c>
    </x:row>
    <x:row r="222" ht="18" customHeight="1">
      <x:c r="A222" s="24" t="str">
        <x:v>EEZ_851</x:v>
      </x:c>
      <x:c r="B222" s="24" t="str">
        <x:v>USA (East Coast)</x:v>
      </x:c>
      <x:c r="C222" s="24" t="str">
        <x:v>EEZ</x:v>
      </x:c>
      <x:c r="D222" s="30" t="n">
        <x:v>2019</x:v>
      </x:c>
      <x:c r="E222" s="24" t="str">
        <x:v>Lunarca ovalis</x:v>
      </x:c>
      <x:c r="F222" s="24" t="str">
        <x:v>Oval blood ark</x:v>
      </x:c>
      <x:c r="G222" s="24" t="str">
        <x:v>Other demersal invertebrates</x:v>
      </x:c>
      <x:c r="H222" s="24" t="str">
        <x:v>Molluscs</x:v>
      </x:c>
      <x:c r="I222" s="31" t="n">
        <x:v>10.7619168684</x:v>
      </x:c>
      <x:c r="J222" s="31" t="n">
        <x:v>10.7619168684</x:v>
      </x:c>
      <x:c r="K222" s="31" t="n">
        <x:v>0</x:v>
      </x:c>
      <x:c r="L222" s="31" t="n">
        <x:v>2.7392475798</x:v>
      </x:c>
      <x:c r="M222" s="31" t="n">
        <x:v>8.0226692886</x:v>
      </x:c>
      <x:c r="N222" s="24" t="str">
        <x:v>lunarca ovalis</x:v>
      </x:c>
      <x:c r="O222" s="32" t="n">
        <x:v>2</x:v>
      </x:c>
      <x:c r="P222" s="24" t="str">
        <x:v>exact_sea_around_us</x:v>
      </x:c>
      <x:c r="Q222" s="32" t="str">
        <x:v>Sea Around Us exploited organisms</x:v>
      </x:c>
      <x:c r="R222" s="24" t="str">
        <x:v>high</x:v>
      </x:c>
      <x:c r="S222" s="24" t="str">
        <x:v>Lunarca ovalis</x:v>
      </x:c>
      <x:c r="T222" s="32" t="n">
        <x:f>IF(O222="","",(1/'Metadata'!$B$5)^(O222-1))</x:f>
        <x:v>10</x:v>
      </x:c>
      <x:c r="U222" s="31" t="n">
        <x:f>IF(T222="","",I222*T222)</x:f>
        <x:v>107.619168684</x:v>
      </x:c>
    </x:row>
    <x:row r="223" ht="18" customHeight="1">
      <x:c r="A223" s="24" t="str">
        <x:v>EEZ_851</x:v>
      </x:c>
      <x:c r="B223" s="24" t="str">
        <x:v>USA (East Coast)</x:v>
      </x:c>
      <x:c r="C223" s="24" t="str">
        <x:v>EEZ</x:v>
      </x:c>
      <x:c r="D223" s="30" t="n">
        <x:v>2019</x:v>
      </x:c>
      <x:c r="E223" s="24" t="str">
        <x:v>Anomura</x:v>
      </x:c>
      <x:c r="F223" s="24" t="str">
        <x:v>Craylets, squat lobsters, hermits</x:v>
      </x:c>
      <x:c r="G223" s="24" t="str">
        <x:v>Lobsters, crabs</x:v>
      </x:c>
      <x:c r="H223" s="24" t="str">
        <x:v>Crustaceans</x:v>
      </x:c>
      <x:c r="I223" s="31" t="n">
        <x:v>10.22625214</x:v>
      </x:c>
      <x:c r="J223" s="31" t="n">
        <x:v>10.22625214</x:v>
      </x:c>
      <x:c r="K223" s="31" t="n">
        <x:v>0</x:v>
      </x:c>
      <x:c r="L223" s="31" t="n">
        <x:v>10.22625214</x:v>
      </x:c>
      <x:c r="M223" s="31" t="n">
        <x:v>0</x:v>
      </x:c>
      <x:c r="N223" s="24" t="str">
        <x:v>anomura</x:v>
      </x:c>
      <x:c r="O223" s="32" t="n">
        <x:v>3.1</x:v>
      </x:c>
      <x:c r="P223" s="24" t="str">
        <x:v>exact_sea_around_us</x:v>
      </x:c>
      <x:c r="Q223" s="32" t="str">
        <x:v>Sea Around Us exploited organisms</x:v>
      </x:c>
      <x:c r="R223" s="24" t="str">
        <x:v>high</x:v>
      </x:c>
      <x:c r="S223" s="24" t="str">
        <x:v>Anomura</x:v>
      </x:c>
      <x:c r="T223" s="32" t="n">
        <x:f>IF(O223="","",(1/'Metadata'!$B$5)^(O223-1))</x:f>
        <x:v>125.89254117941675</x:v>
      </x:c>
      <x:c r="U223" s="31" t="n">
        <x:f>IF(T223="","",I223*T223)</x:f>
        <x:v>1287.4088686460486</x:v>
      </x:c>
    </x:row>
    <x:row r="224" ht="18" customHeight="1">
      <x:c r="A224" s="24" t="str">
        <x:v>EEZ_851</x:v>
      </x:c>
      <x:c r="B224" s="24" t="str">
        <x:v>USA (East Coast)</x:v>
      </x:c>
      <x:c r="C224" s="24" t="str">
        <x:v>EEZ</x:v>
      </x:c>
      <x:c r="D224" s="30" t="n">
        <x:v>2019</x:v>
      </x:c>
      <x:c r="E224" s="24" t="str">
        <x:v>Carcharhinus leucas</x:v>
      </x:c>
      <x:c r="F224" s="24" t="str">
        <x:v>Bull shark</x:v>
      </x:c>
      <x:c r="G224" s="24" t="str">
        <x:v>Large sharks (&gt;=90 cm)</x:v>
      </x:c>
      <x:c r="H224" s="24" t="str">
        <x:v>Sharks &amp; rays</x:v>
      </x:c>
      <x:c r="I224" s="31" t="n">
        <x:v>9.7372576978</x:v>
      </x:c>
      <x:c r="J224" s="31" t="n">
        <x:v>9.7372576978</x:v>
      </x:c>
      <x:c r="K224" s="31" t="n">
        <x:v>0</x:v>
      </x:c>
      <x:c r="L224" s="31" t="n">
        <x:v>9.2124719902</x:v>
      </x:c>
      <x:c r="M224" s="31" t="n">
        <x:v>0.5247857076000001</x:v>
      </x:c>
      <x:c r="N224" s="24" t="str">
        <x:v>carcharhinus leucas</x:v>
      </x:c>
      <x:c r="O224" s="32" t="n">
        <x:v>4.31</x:v>
      </x:c>
      <x:c r="P224" s="24" t="str">
        <x:v>exact_2020_supplement</x:v>
      </x:c>
      <x:c r="Q224" s="32" t="str">
        <x:v>2020 supplement MeanTL</x:v>
      </x:c>
      <x:c r="R224" s="24" t="str">
        <x:v>high</x:v>
      </x:c>
      <x:c r="S224" s="24" t="str">
        <x:v>Carcharhinus leucas</x:v>
      </x:c>
      <x:c r="T224" s="32" t="n">
        <x:f>IF(O224="","",(1/'Metadata'!$B$5)^(O224-1))</x:f>
        <x:v>2041.7379446695275</x:v>
      </x:c>
      <x:c r="U224" s="31" t="n">
        <x:f>IF(T224="","",I224*T224)</x:f>
        <x:v>19880.928518623707</x:v>
      </x:c>
    </x:row>
    <x:row r="225" ht="18" customHeight="1">
      <x:c r="A225" s="24" t="str">
        <x:v>EEZ_851</x:v>
      </x:c>
      <x:c r="B225" s="24" t="str">
        <x:v>USA (East Coast)</x:v>
      </x:c>
      <x:c r="C225" s="24" t="str">
        <x:v>EEZ</x:v>
      </x:c>
      <x:c r="D225" s="30" t="n">
        <x:v>2019</x:v>
      </x:c>
      <x:c r="E225" s="24" t="str">
        <x:v>Caranx ruber</x:v>
      </x:c>
      <x:c r="F225" s="24" t="str">
        <x:v>Bar jack</x:v>
      </x:c>
      <x:c r="G225" s="24" t="str">
        <x:v>Medium reef assoc. fish (30 - 89 cm)</x:v>
      </x:c>
      <x:c r="H225" s="24" t="str">
        <x:v>Perch-likes</x:v>
      </x:c>
      <x:c r="I225" s="31" t="n">
        <x:v>9.5702976135</x:v>
      </x:c>
      <x:c r="J225" s="31" t="n">
        <x:v>9.5702976135</x:v>
      </x:c>
      <x:c r="K225" s="31" t="n">
        <x:v>0</x:v>
      </x:c>
      <x:c r="L225" s="31" t="n">
        <x:v>0.280320418</x:v>
      </x:c>
      <x:c r="M225" s="31" t="n">
        <x:v>9.2899771955</x:v>
      </x:c>
      <x:c r="N225" s="24" t="str">
        <x:v>caranx ruber</x:v>
      </x:c>
      <x:c r="O225" s="32" t="n">
        <x:v>4.28</x:v>
      </x:c>
      <x:c r="P225" s="24" t="str">
        <x:v>exact_2020_supplement</x:v>
      </x:c>
      <x:c r="Q225" s="32" t="str">
        <x:v>2020 supplement MeanTL</x:v>
      </x:c>
      <x:c r="R225" s="24" t="str">
        <x:v>high</x:v>
      </x:c>
      <x:c r="S225" s="24" t="str">
        <x:v>Caranx ruber</x:v>
      </x:c>
      <x:c r="T225" s="32" t="n">
        <x:f>IF(O225="","",(1/'Metadata'!$B$5)^(O225-1))</x:f>
        <x:v>1905.4607179632483</x:v>
      </x:c>
      <x:c r="U225" s="31" t="n">
        <x:f>IF(T225="","",I225*T225)</x:f>
        <x:v>18235.826161741672</x:v>
      </x:c>
    </x:row>
    <x:row r="226" ht="18" customHeight="1">
      <x:c r="A226" s="24" t="str">
        <x:v>EEZ_851</x:v>
      </x:c>
      <x:c r="B226" s="24" t="str">
        <x:v>USA (East Coast)</x:v>
      </x:c>
      <x:c r="C226" s="24" t="str">
        <x:v>EEZ</x:v>
      </x:c>
      <x:c r="D226" s="30" t="n">
        <x:v>2019</x:v>
      </x:c>
      <x:c r="E226" s="24" t="str">
        <x:v>Alectis ciliaris</x:v>
      </x:c>
      <x:c r="F226" s="24" t="str">
        <x:v>African pompano</x:v>
      </x:c>
      <x:c r="G226" s="24" t="str">
        <x:v>Large pelagics (&gt;=90 cm)</x:v>
      </x:c>
      <x:c r="H226" s="24" t="str">
        <x:v>Perch-likes</x:v>
      </x:c>
      <x:c r="I226" s="31" t="n">
        <x:v>9.2116809605</x:v>
      </x:c>
      <x:c r="J226" s="31" t="n">
        <x:v>9.2116809605</x:v>
      </x:c>
      <x:c r="K226" s="31" t="n">
        <x:v>0</x:v>
      </x:c>
      <x:c r="L226" s="31" t="n">
        <x:v>5.4558155151</x:v>
      </x:c>
      <x:c r="M226" s="31" t="n">
        <x:v>3.7558654454</x:v>
      </x:c>
      <x:c r="N226" s="24" t="str">
        <x:v>alectis ciliaris</x:v>
      </x:c>
      <x:c r="O226" s="32" t="n">
        <x:v>3.95</x:v>
      </x:c>
      <x:c r="P226" s="24" t="str">
        <x:v>exact_2020_supplement</x:v>
      </x:c>
      <x:c r="Q226" s="32" t="str">
        <x:v>2020 supplement MeanTL</x:v>
      </x:c>
      <x:c r="R226" s="24" t="str">
        <x:v>high</x:v>
      </x:c>
      <x:c r="S226" s="24" t="str">
        <x:v>Alectis ciliaris</x:v>
      </x:c>
      <x:c r="T226" s="32" t="n">
        <x:f>IF(O226="","",(1/'Metadata'!$B$5)^(O226-1))</x:f>
        <x:v>891.2509381337459</x:v>
      </x:c>
      <x:c r="U226" s="31" t="n">
        <x:f>IF(T226="","",I226*T226)</x:f>
        <x:v>8209.91929783439</x:v>
      </x:c>
    </x:row>
    <x:row r="227" ht="18" customHeight="1">
      <x:c r="A227" s="24" t="str">
        <x:v>EEZ_851</x:v>
      </x:c>
      <x:c r="B227" s="24" t="str">
        <x:v>USA (East Coast)</x:v>
      </x:c>
      <x:c r="C227" s="24" t="str">
        <x:v>EEZ</x:v>
      </x:c>
      <x:c r="D227" s="30" t="n">
        <x:v>2019</x:v>
      </x:c>
      <x:c r="E227" s="24" t="str">
        <x:v>Malacoraja senta</x:v>
      </x:c>
      <x:c r="F227" s="24" t="str">
        <x:v>Smooth skate</x:v>
      </x:c>
      <x:c r="G227" s="24" t="str">
        <x:v>Small to medium rays (&lt;90 cm)</x:v>
      </x:c>
      <x:c r="H227" s="24" t="str">
        <x:v>Sharks &amp; rays</x:v>
      </x:c>
      <x:c r="I227" s="31" t="n">
        <x:v>8.6736036139</x:v>
      </x:c>
      <x:c r="J227" s="31" t="n">
        <x:v>8.6736036139</x:v>
      </x:c>
      <x:c r="K227" s="31" t="n">
        <x:v>0</x:v>
      </x:c>
      <x:c r="L227" s="31" t="n">
        <x:v>8.6736036139</x:v>
      </x:c>
      <x:c r="M227" s="31" t="n">
        <x:v>0</x:v>
      </x:c>
      <x:c r="N227" s="24" t="str">
        <x:v>malacoraja senta</x:v>
      </x:c>
      <x:c r="O227" s="32" t="n">
        <x:v>3.47</x:v>
      </x:c>
      <x:c r="P227" s="24" t="str">
        <x:v>exact_2020_supplement</x:v>
      </x:c>
      <x:c r="Q227" s="32" t="str">
        <x:v>2020 supplement MeanTL</x:v>
      </x:c>
      <x:c r="R227" s="24" t="str">
        <x:v>high</x:v>
      </x:c>
      <x:c r="S227" s="24" t="str">
        <x:v>Malacoraja senta</x:v>
      </x:c>
      <x:c r="T227" s="32" t="n">
        <x:f>IF(O227="","",(1/'Metadata'!$B$5)^(O227-1))</x:f>
        <x:v>295.1209226666387</x:v>
      </x:c>
      <x:c r="U227" s="31" t="n">
        <x:f>IF(T227="","",I227*T227)</x:f>
        <x:v>2559.76190137886</x:v>
      </x:c>
    </x:row>
    <x:row r="228" ht="18" customHeight="1">
      <x:c r="A228" s="24" t="str">
        <x:v>EEZ_851</x:v>
      </x:c>
      <x:c r="B228" s="24" t="str">
        <x:v>USA (East Coast)</x:v>
      </x:c>
      <x:c r="C228" s="24" t="str">
        <x:v>EEZ</x:v>
      </x:c>
      <x:c r="D228" s="30" t="n">
        <x:v>2019</x:v>
      </x:c>
      <x:c r="E228" s="24" t="str">
        <x:v>Gadiformes</x:v>
      </x:c>
      <x:c r="F228" s="24" t="str">
        <x:v>Cods</x:v>
      </x:c>
      <x:c r="G228" s="24" t="str">
        <x:v>Medium benthopelagics (30 - 89 cm)</x:v>
      </x:c>
      <x:c r="H228" s="24" t="str">
        <x:v>Cod-likes</x:v>
      </x:c>
      <x:c r="I228" s="31" t="n">
        <x:v>8.0946976054</x:v>
      </x:c>
      <x:c r="J228" s="31" t="n">
        <x:v>8.0946976054</x:v>
      </x:c>
      <x:c r="K228" s="31" t="n">
        <x:v>0</x:v>
      </x:c>
      <x:c r="L228" s="31" t="n">
        <x:v>1.4637443178</x:v>
      </x:c>
      <x:c r="M228" s="31" t="n">
        <x:v>6.6309532876</x:v>
      </x:c>
      <x:c r="N228" s="24" t="str">
        <x:v>gadiformes</x:v>
      </x:c>
      <x:c r="O228" s="32" t="n">
        <x:v>3.91</x:v>
      </x:c>
      <x:c r="P228" s="24" t="str">
        <x:v>exact_sea_around_us</x:v>
      </x:c>
      <x:c r="Q228" s="32" t="str">
        <x:v>Sea Around Us exploited organisms</x:v>
      </x:c>
      <x:c r="R228" s="24" t="str">
        <x:v>high</x:v>
      </x:c>
      <x:c r="S228" s="24" t="str">
        <x:v>Gadiformes</x:v>
      </x:c>
      <x:c r="T228" s="32" t="n">
        <x:f>IF(O228="","",(1/'Metadata'!$B$5)^(O228-1))</x:f>
        <x:v>812.8305161640995</x:v>
      </x:c>
      <x:c r="U228" s="31" t="n">
        <x:f>IF(T228="","",I228*T228)</x:f>
        <x:v>6579.617232789583</x:v>
      </x:c>
    </x:row>
    <x:row r="229" ht="18" customHeight="1">
      <x:c r="A229" s="24" t="str">
        <x:v>EEZ_851</x:v>
      </x:c>
      <x:c r="B229" s="24" t="str">
        <x:v>USA (East Coast)</x:v>
      </x:c>
      <x:c r="C229" s="24" t="str">
        <x:v>EEZ</x:v>
      </x:c>
      <x:c r="D229" s="30" t="n">
        <x:v>2019</x:v>
      </x:c>
      <x:c r="E229" s="24" t="str">
        <x:v>Pandalidae</x:v>
      </x:c>
      <x:c r="F229" s="24" t="str">
        <x:v>Northern shrimps</x:v>
      </x:c>
      <x:c r="G229" s="24" t="str">
        <x:v>Shrimps</x:v>
      </x:c>
      <x:c r="H229" s="24" t="str">
        <x:v>Crustaceans</x:v>
      </x:c>
      <x:c r="I229" s="31" t="n">
        <x:v>7.7775943992</x:v>
      </x:c>
      <x:c r="J229" s="31" t="n">
        <x:v>7.7775943992</x:v>
      </x:c>
      <x:c r="K229" s="31" t="n">
        <x:v>0</x:v>
      </x:c>
      <x:c r="L229" s="31" t="n">
        <x:v>0</x:v>
      </x:c>
      <x:c r="M229" s="31" t="n">
        <x:v>7.7775943992</x:v>
      </x:c>
      <x:c r="N229" s="24" t="str">
        <x:v>pandalidae</x:v>
      </x:c>
      <x:c r="O229" s="32" t="n">
        <x:v>2.7</x:v>
      </x:c>
      <x:c r="P229" s="24" t="str">
        <x:v>exact_sea_around_us</x:v>
      </x:c>
      <x:c r="Q229" s="32" t="str">
        <x:v>Sea Around Us exploited organisms</x:v>
      </x:c>
      <x:c r="R229" s="24" t="str">
        <x:v>high</x:v>
      </x:c>
      <x:c r="S229" s="24" t="str">
        <x:v>Pandalidae</x:v>
      </x:c>
      <x:c r="T229" s="32" t="n">
        <x:f>IF(O229="","",(1/'Metadata'!$B$5)^(O229-1))</x:f>
        <x:v>50.11872336272725</x:v>
      </x:c>
      <x:c r="U229" s="31" t="n">
        <x:f>IF(T229="","",I229*T229)</x:f>
        <x:v>389.80310212100164</x:v>
      </x:c>
    </x:row>
    <x:row r="230" ht="18" customHeight="1">
      <x:c r="A230" s="24" t="str">
        <x:v>EEZ_851</x:v>
      </x:c>
      <x:c r="B230" s="24" t="str">
        <x:v>USA (East Coast)</x:v>
      </x:c>
      <x:c r="C230" s="24" t="str">
        <x:v>EEZ</x:v>
      </x:c>
      <x:c r="D230" s="30" t="n">
        <x:v>2019</x:v>
      </x:c>
      <x:c r="E230" s="24" t="str">
        <x:v>Lepidocybium flavobrunneum</x:v>
      </x:c>
      <x:c r="F230" s="24" t="str">
        <x:v>Escolar</x:v>
      </x:c>
      <x:c r="G230" s="24" t="str">
        <x:v>Large bathypelagics (&gt;=90 cm)</x:v>
      </x:c>
      <x:c r="H230" s="24" t="str">
        <x:v>Perch-likes</x:v>
      </x:c>
      <x:c r="I230" s="31" t="n">
        <x:v>7.0123260954</x:v>
      </x:c>
      <x:c r="J230" s="31" t="n">
        <x:v>7.0123260954</x:v>
      </x:c>
      <x:c r="K230" s="31" t="n">
        <x:v>0</x:v>
      </x:c>
      <x:c r="L230" s="31" t="n">
        <x:v>7.0025673370999995</x:v>
      </x:c>
      <x:c r="M230" s="31" t="n">
        <x:v>0.0097587583</x:v>
      </x:c>
      <x:c r="N230" s="24" t="str">
        <x:v>lepidocybium flavobrunneum</x:v>
      </x:c>
      <x:c r="O230" s="32" t="n">
        <x:v>4.34</x:v>
      </x:c>
      <x:c r="P230" s="24" t="str">
        <x:v>exact_2020_supplement</x:v>
      </x:c>
      <x:c r="Q230" s="32" t="str">
        <x:v>2020 supplement MeanTL</x:v>
      </x:c>
      <x:c r="R230" s="24" t="str">
        <x:v>high</x:v>
      </x:c>
      <x:c r="S230" s="24" t="str">
        <x:v>Lepidocybium flavobrunneum</x:v>
      </x:c>
      <x:c r="T230" s="32" t="n">
        <x:f>IF(O230="","",(1/'Metadata'!$B$5)^(O230-1))</x:f>
        <x:v>2187.761623949552</x:v>
      </x:c>
      <x:c r="U230" s="31" t="n">
        <x:f>IF(T230="","",I230*T230)</x:f>
        <x:v>15341.297926136123</x:v>
      </x:c>
    </x:row>
    <x:row r="231" ht="18" customHeight="1">
      <x:c r="A231" s="24" t="str">
        <x:v>EEZ_851</x:v>
      </x:c>
      <x:c r="B231" s="24" t="str">
        <x:v>USA (East Coast)</x:v>
      </x:c>
      <x:c r="C231" s="24" t="str">
        <x:v>EEZ</x:v>
      </x:c>
      <x:c r="D231" s="30" t="n">
        <x:v>2019</x:v>
      </x:c>
      <x:c r="E231" s="24" t="str">
        <x:v>Makaira nigricans</x:v>
      </x:c>
      <x:c r="F231" s="24" t="str">
        <x:v>Blue marlin</x:v>
      </x:c>
      <x:c r="G231" s="24" t="str">
        <x:v>Large pelagics (&gt;=90 cm)</x:v>
      </x:c>
      <x:c r="H231" s="24" t="str">
        <x:v>Tuna &amp; billfishes</x:v>
      </x:c>
      <x:c r="I231" s="31" t="n">
        <x:v>6.9800106195</x:v>
      </x:c>
      <x:c r="J231" s="31" t="n">
        <x:v>6.9800106195</x:v>
      </x:c>
      <x:c r="K231" s="31" t="n">
        <x:v>0</x:v>
      </x:c>
      <x:c r="L231" s="31" t="n">
        <x:v>3.6960045395</x:v>
      </x:c>
      <x:c r="M231" s="31" t="n">
        <x:v>3.28400608</x:v>
      </x:c>
      <x:c r="N231" s="24" t="str">
        <x:v>makaira nigricans</x:v>
      </x:c>
      <x:c r="O231" s="32" t="n">
        <x:v>4.49</x:v>
      </x:c>
      <x:c r="P231" s="24" t="str">
        <x:v>exact_2020_supplement</x:v>
      </x:c>
      <x:c r="Q231" s="32" t="str">
        <x:v>2020 supplement MeanTL</x:v>
      </x:c>
      <x:c r="R231" s="24" t="str">
        <x:v>high</x:v>
      </x:c>
      <x:c r="S231" s="24" t="str">
        <x:v>Makaira nigricans</x:v>
      </x:c>
      <x:c r="T231" s="32" t="n">
        <x:f>IF(O231="","",(1/'Metadata'!$B$5)^(O231-1))</x:f>
        <x:v>3090.295432513592</x:v>
      </x:c>
      <x:c r="U231" s="31" t="n">
        <x:f>IF(T231="","",I231*T231)</x:f>
        <x:v>21570.294936337217</x:v>
      </x:c>
    </x:row>
    <x:row r="232" ht="18" customHeight="1">
      <x:c r="A232" s="24" t="str">
        <x:v>EEZ_851</x:v>
      </x:c>
      <x:c r="B232" s="24" t="str">
        <x:v>USA (East Coast)</x:v>
      </x:c>
      <x:c r="C232" s="24" t="str">
        <x:v>EEZ</x:v>
      </x:c>
      <x:c r="D232" s="30" t="n">
        <x:v>2019</x:v>
      </x:c>
      <x:c r="E232" s="24" t="str">
        <x:v>Scombridae</x:v>
      </x:c>
      <x:c r="F232" s="24" t="str">
        <x:v>Mackerels, tunas, bonitos</x:v>
      </x:c>
      <x:c r="G232" s="24" t="str">
        <x:v>Medium pelagics (30 - 89 cm)</x:v>
      </x:c>
      <x:c r="H232" s="24" t="str">
        <x:v>Perch-likes</x:v>
      </x:c>
      <x:c r="I232" s="31" t="n">
        <x:v>6.9128328496</x:v>
      </x:c>
      <x:c r="J232" s="31" t="n">
        <x:v>6.9128328496</x:v>
      </x:c>
      <x:c r="K232" s="31" t="n">
        <x:v>0</x:v>
      </x:c>
      <x:c r="L232" s="31" t="n">
        <x:v>0.0025193984</x:v>
      </x:c>
      <x:c r="M232" s="31" t="n">
        <x:v>6.9103134512</x:v>
      </x:c>
      <x:c r="N232" s="24" t="str">
        <x:v>scombridae</x:v>
      </x:c>
      <x:c r="O232" s="32" t="n">
        <x:v>4.26</x:v>
      </x:c>
      <x:c r="P232" s="24" t="str">
        <x:v>exact_sea_around_us</x:v>
      </x:c>
      <x:c r="Q232" s="32" t="str">
        <x:v>Sea Around Us exploited organisms</x:v>
      </x:c>
      <x:c r="R232" s="24" t="str">
        <x:v>high</x:v>
      </x:c>
      <x:c r="S232" s="24" t="str">
        <x:v>Scombridae</x:v>
      </x:c>
      <x:c r="T232" s="32" t="n">
        <x:f>IF(O232="","",(1/'Metadata'!$B$5)^(O232-1))</x:f>
        <x:v>1819.7008586099826</x:v>
      </x:c>
      <x:c r="U232" s="31" t="n">
        <x:f>IF(T232="","",I232*T232)</x:f>
        <x:v>12579.287871844412</x:v>
      </x:c>
    </x:row>
    <x:row r="233" ht="18" customHeight="1">
      <x:c r="A233" s="24" t="str">
        <x:v>EEZ_851</x:v>
      </x:c>
      <x:c r="B233" s="24" t="str">
        <x:v>USA (East Coast)</x:v>
      </x:c>
      <x:c r="C233" s="24" t="str">
        <x:v>EEZ</x:v>
      </x:c>
      <x:c r="D233" s="30" t="n">
        <x:v>2019</x:v>
      </x:c>
      <x:c r="E233" s="24" t="str">
        <x:v>Dasyatis</x:v>
      </x:c>
      <x:c r="F233" s="24" t="str">
        <x:v>Rough whip stingrays</x:v>
      </x:c>
      <x:c r="G233" s="24" t="str">
        <x:v>Large rays (&gt;=90 cm)</x:v>
      </x:c>
      <x:c r="H233" s="24" t="str">
        <x:v>Sharks &amp; rays</x:v>
      </x:c>
      <x:c r="I233" s="31" t="n">
        <x:v>6.7120262024</x:v>
      </x:c>
      <x:c r="J233" s="31" t="n">
        <x:v>0</x:v>
      </x:c>
      <x:c r="K233" s="31" t="n">
        <x:v>6.7120262024</x:v>
      </x:c>
      <x:c r="L233" s="31" t="n">
        <x:v>0</x:v>
      </x:c>
      <x:c r="M233" s="31" t="n">
        <x:v>6.7120262024</x:v>
      </x:c>
      <x:c r="N233" s="24" t="str">
        <x:v>dasyatis</x:v>
      </x:c>
      <x:c r="O233" s="32" t="n">
        <x:v>3.28</x:v>
      </x:c>
      <x:c r="P233" s="24" t="str">
        <x:v>exact_sea_around_us</x:v>
      </x:c>
      <x:c r="Q233" s="32" t="str">
        <x:v>Sea Around Us exploited organisms</x:v>
      </x:c>
      <x:c r="R233" s="24" t="str">
        <x:v>high</x:v>
      </x:c>
      <x:c r="S233" s="24" t="str">
        <x:v>Dasyatis</x:v>
      </x:c>
      <x:c r="T233" s="32" t="n">
        <x:f>IF(O233="","",(1/'Metadata'!$B$5)^(O233-1))</x:f>
        <x:v>190.54607179632464</x:v>
      </x:c>
      <x:c r="U233" s="31" t="n">
        <x:f>IF(T233="","",I233*T233)</x:f>
        <x:v>1278.9502266613226</x:v>
      </x:c>
    </x:row>
    <x:row r="234" ht="18" customHeight="1">
      <x:c r="A234" s="24" t="str">
        <x:v>EEZ_851</x:v>
      </x:c>
      <x:c r="B234" s="24" t="str">
        <x:v>USA (East Coast)</x:v>
      </x:c>
      <x:c r="C234" s="24" t="str">
        <x:v>EEZ</x:v>
      </x:c>
      <x:c r="D234" s="30" t="n">
        <x:v>2019</x:v>
      </x:c>
      <x:c r="E234" s="24" t="str">
        <x:v>Lutjanus jocu</x:v>
      </x:c>
      <x:c r="F234" s="24" t="str">
        <x:v>Dog snapper</x:v>
      </x:c>
      <x:c r="G234" s="24" t="str">
        <x:v>Large reef assoc. fish (&gt;=90 cm)</x:v>
      </x:c>
      <x:c r="H234" s="24" t="str">
        <x:v>Perch-likes</x:v>
      </x:c>
      <x:c r="I234" s="31" t="n">
        <x:v>6.2935769466</x:v>
      </x:c>
      <x:c r="J234" s="31" t="n">
        <x:v>6.2935769466</x:v>
      </x:c>
      <x:c r="K234" s="31" t="n">
        <x:v>0</x:v>
      </x:c>
      <x:c r="L234" s="31" t="n">
        <x:v>0</x:v>
      </x:c>
      <x:c r="M234" s="31" t="n">
        <x:v>6.2935769466</x:v>
      </x:c>
      <x:c r="N234" s="24" t="str">
        <x:v>lutjanus jocu</x:v>
      </x:c>
      <x:c r="O234" s="32" t="n">
        <x:v>4.41</x:v>
      </x:c>
      <x:c r="P234" s="24" t="str">
        <x:v>exact_2020_supplement</x:v>
      </x:c>
      <x:c r="Q234" s="32" t="str">
        <x:v>2020 supplement MeanTL</x:v>
      </x:c>
      <x:c r="R234" s="24" t="str">
        <x:v>high</x:v>
      </x:c>
      <x:c r="S234" s="24" t="str">
        <x:v>Lutjanus jocu</x:v>
      </x:c>
      <x:c r="T234" s="32" t="n">
        <x:f>IF(O234="","",(1/'Metadata'!$B$5)^(O234-1))</x:f>
        <x:v>2570.3957827688646</x:v>
      </x:c>
      <x:c r="U234" s="31" t="n">
        <x:f>IF(T234="","",I234*T234)</x:f>
        <x:v>16176.983642071988</x:v>
      </x:c>
    </x:row>
    <x:row r="235" ht="18" customHeight="1">
      <x:c r="A235" s="24" t="str">
        <x:v>EEZ_851</x:v>
      </x:c>
      <x:c r="B235" s="24" t="str">
        <x:v>USA (East Coast)</x:v>
      </x:c>
      <x:c r="C235" s="24" t="str">
        <x:v>EEZ</x:v>
      </x:c>
      <x:c r="D235" s="30" t="n">
        <x:v>2019</x:v>
      </x:c>
      <x:c r="E235" s="24" t="str">
        <x:v>Anchoa hepsetus</x:v>
      </x:c>
      <x:c r="F235" s="24" t="str">
        <x:v>Broad-striped anchovy</x:v>
      </x:c>
      <x:c r="G235" s="24" t="str">
        <x:v>Small pelagics (&lt;30 cm)</x:v>
      </x:c>
      <x:c r="H235" s="24" t="str">
        <x:v>Anchovies</x:v>
      </x:c>
      <x:c r="I235" s="31" t="n">
        <x:v>6.2519276348</x:v>
      </x:c>
      <x:c r="J235" s="31" t="n">
        <x:v>0</x:v>
      </x:c>
      <x:c r="K235" s="31" t="n">
        <x:v>6.2519276348</x:v>
      </x:c>
      <x:c r="L235" s="31" t="n">
        <x:v>0</x:v>
      </x:c>
      <x:c r="M235" s="31" t="n">
        <x:v>6.2519276348</x:v>
      </x:c>
      <x:c r="N235" s="24" t="str">
        <x:v>anchoa hepsetus</x:v>
      </x:c>
      <x:c r="O235" s="32" t="n">
        <x:v>3.34</x:v>
      </x:c>
      <x:c r="P235" s="24" t="str">
        <x:v>exact_2020_supplement</x:v>
      </x:c>
      <x:c r="Q235" s="32" t="str">
        <x:v>2020 supplement MeanTL</x:v>
      </x:c>
      <x:c r="R235" s="24" t="str">
        <x:v>high</x:v>
      </x:c>
      <x:c r="S235" s="24" t="str">
        <x:v>Anchoa hepsetus</x:v>
      </x:c>
      <x:c r="T235" s="32" t="n">
        <x:f>IF(O235="","",(1/'Metadata'!$B$5)^(O235-1))</x:f>
        <x:v>218.77616239495518</x:v>
      </x:c>
      <x:c r="U235" s="31" t="n">
        <x:f>IF(T235="","",I235*T235)</x:f>
        <x:v>1367.772735512513</x:v>
      </x:c>
    </x:row>
    <x:row r="236" ht="18" customHeight="1">
      <x:c r="A236" s="24" t="str">
        <x:v>EEZ_851</x:v>
      </x:c>
      <x:c r="B236" s="24" t="str">
        <x:v>USA (East Coast)</x:v>
      </x:c>
      <x:c r="C236" s="24" t="str">
        <x:v>EEZ</x:v>
      </x:c>
      <x:c r="D236" s="30" t="n">
        <x:v>2019</x:v>
      </x:c>
      <x:c r="E236" s="24" t="str">
        <x:v>Rostroraja eglanteria</x:v>
      </x:c>
      <x:c r="F236" s="24" t="str">
        <x:v>Clearnose skate</x:v>
      </x:c>
      <x:c r="G236" s="24" t="str">
        <x:v>Small to medium rays (&lt;90 cm)</x:v>
      </x:c>
      <x:c r="H236" s="24" t="str">
        <x:v>Sharks &amp; rays</x:v>
      </x:c>
      <x:c r="I236" s="31" t="n">
        <x:v>6.1888102311</x:v>
      </x:c>
      <x:c r="J236" s="31" t="n">
        <x:v>6.1888102311</x:v>
      </x:c>
      <x:c r="K236" s="31" t="n">
        <x:v>0</x:v>
      </x:c>
      <x:c r="L236" s="31" t="n">
        <x:v>0.4903339351</x:v>
      </x:c>
      <x:c r="M236" s="31" t="n">
        <x:v>5.698476296</x:v>
      </x:c>
      <x:c r="N236" s="24" t="str">
        <x:v>rostroraja eglanteria</x:v>
      </x:c>
      <x:c r="O236" s="32" t="n">
        <x:v>3.9</x:v>
      </x:c>
      <x:c r="P236" s="24" t="str">
        <x:v>exact_sea_around_us</x:v>
      </x:c>
      <x:c r="Q236" s="32" t="str">
        <x:v>Sea Around Us exploited organisms</x:v>
      </x:c>
      <x:c r="R236" s="24" t="str">
        <x:v>high</x:v>
      </x:c>
      <x:c r="S236" s="24" t="str">
        <x:v>Rostroraja eglanteria</x:v>
      </x:c>
      <x:c r="T236" s="32" t="n">
        <x:f>IF(O236="","",(1/'Metadata'!$B$5)^(O236-1))</x:f>
        <x:v>794.3282347242813</x:v>
      </x:c>
      <x:c r="U236" s="31" t="n">
        <x:f>IF(T236="","",I236*T236)</x:f>
        <x:v>4915.946705913234</x:v>
      </x:c>
    </x:row>
    <x:row r="237" ht="18" customHeight="1">
      <x:c r="A237" s="24" t="str">
        <x:v>EEZ_851</x:v>
      </x:c>
      <x:c r="B237" s="24" t="str">
        <x:v>USA (East Coast)</x:v>
      </x:c>
      <x:c r="C237" s="24" t="str">
        <x:v>EEZ</x:v>
      </x:c>
      <x:c r="D237" s="30" t="n">
        <x:v>2019</x:v>
      </x:c>
      <x:c r="E237" s="24" t="str">
        <x:v>Ephippidae</x:v>
      </x:c>
      <x:c r="F237" s="24" t="str">
        <x:v>Spade-, batfishes, scats</x:v>
      </x:c>
      <x:c r="G237" s="24" t="str">
        <x:v>Medium reef assoc. fish (30 - 89 cm)</x:v>
      </x:c>
      <x:c r="H237" s="24" t="str">
        <x:v>Perch-likes</x:v>
      </x:c>
      <x:c r="I237" s="31" t="n">
        <x:v>5.5619562549</x:v>
      </x:c>
      <x:c r="J237" s="31" t="n">
        <x:v>5.5619562549</x:v>
      </x:c>
      <x:c r="K237" s="31" t="n">
        <x:v>0</x:v>
      </x:c>
      <x:c r="L237" s="31" t="n">
        <x:v>5.5619562549</x:v>
      </x:c>
      <x:c r="M237" s="31" t="n">
        <x:v>0</x:v>
      </x:c>
      <x:c r="N237" s="24" t="str">
        <x:v>ephippidae</x:v>
      </x:c>
      <x:c r="O237" s="32" t="n">
        <x:v>3.57</x:v>
      </x:c>
      <x:c r="P237" s="24" t="str">
        <x:v>exact_sea_around_us</x:v>
      </x:c>
      <x:c r="Q237" s="32" t="str">
        <x:v>Sea Around Us exploited organisms</x:v>
      </x:c>
      <x:c r="R237" s="24" t="str">
        <x:v>high</x:v>
      </x:c>
      <x:c r="S237" s="24" t="str">
        <x:v>Ephippidae</x:v>
      </x:c>
      <x:c r="T237" s="32" t="n">
        <x:f>IF(O237="","",(1/'Metadata'!$B$5)^(O237-1))</x:f>
        <x:v>371.5352290971724</x:v>
      </x:c>
      <x:c r="U237" s="31" t="n">
        <x:f>IF(T237="","",I237*T237)</x:f>
        <x:v>2066.4626913927227</x:v>
      </x:c>
    </x:row>
    <x:row r="238" ht="18" customHeight="1">
      <x:c r="A238" s="24" t="str">
        <x:v>EEZ_851</x:v>
      </x:c>
      <x:c r="B238" s="24" t="str">
        <x:v>USA (East Coast)</x:v>
      </x:c>
      <x:c r="C238" s="24" t="str">
        <x:v>EEZ</x:v>
      </x:c>
      <x:c r="D238" s="30" t="n">
        <x:v>2019</x:v>
      </x:c>
      <x:c r="E238" s="24" t="str">
        <x:v>Peprilus burti</x:v>
      </x:c>
      <x:c r="F238" s="24" t="str">
        <x:v>Gulf butterfish</x:v>
      </x:c>
      <x:c r="G238" s="24" t="str">
        <x:v>Small benthopelagics (&lt;30 cm)</x:v>
      </x:c>
      <x:c r="H238" s="24" t="str">
        <x:v>Perch-likes</x:v>
      </x:c>
      <x:c r="I238" s="31" t="n">
        <x:v>5.3945804719</x:v>
      </x:c>
      <x:c r="J238" s="31" t="n">
        <x:v>5.3945804719</x:v>
      </x:c>
      <x:c r="K238" s="31" t="n">
        <x:v>0</x:v>
      </x:c>
      <x:c r="L238" s="31" t="n">
        <x:v>5.3945804719</x:v>
      </x:c>
      <x:c r="M238" s="31" t="n">
        <x:v>0</x:v>
      </x:c>
      <x:c r="N238" s="24" t="str">
        <x:v>peprilus burti</x:v>
      </x:c>
      <x:c r="O238" s="32" t="n">
        <x:v>4</x:v>
      </x:c>
      <x:c r="P238" s="24" t="str">
        <x:v>exact_2020_supplement</x:v>
      </x:c>
      <x:c r="Q238" s="32" t="str">
        <x:v>2020 supplement MeanTL</x:v>
      </x:c>
      <x:c r="R238" s="24" t="str">
        <x:v>high</x:v>
      </x:c>
      <x:c r="S238" s="24" t="str">
        <x:v>Peprilus burti</x:v>
      </x:c>
      <x:c r="T238" s="32" t="n">
        <x:f>IF(O238="","",(1/'Metadata'!$B$5)^(O238-1))</x:f>
        <x:v>1000</x:v>
      </x:c>
      <x:c r="U238" s="31" t="n">
        <x:f>IF(T238="","",I238*T238)</x:f>
        <x:v>5394.580471900001</x:v>
      </x:c>
    </x:row>
    <x:row r="239" ht="18" customHeight="1">
      <x:c r="A239" s="24" t="str">
        <x:v>EEZ_851</x:v>
      </x:c>
      <x:c r="B239" s="24" t="str">
        <x:v>USA (East Coast)</x:v>
      </x:c>
      <x:c r="C239" s="24" t="str">
        <x:v>EEZ</x:v>
      </x:c>
      <x:c r="D239" s="30" t="n">
        <x:v>2019</x:v>
      </x:c>
      <x:c r="E239" s="24" t="str">
        <x:v>Mytilus edulis</x:v>
      </x:c>
      <x:c r="F239" s="24" t="str">
        <x:v>Blue mussel</x:v>
      </x:c>
      <x:c r="G239" s="24" t="str">
        <x:v>Other demersal invertebrates</x:v>
      </x:c>
      <x:c r="H239" s="24" t="str">
        <x:v>Molluscs</x:v>
      </x:c>
      <x:c r="I239" s="31" t="n">
        <x:v>5.2974115793</x:v>
      </x:c>
      <x:c r="J239" s="31" t="n">
        <x:v>5.2974115793</x:v>
      </x:c>
      <x:c r="K239" s="31" t="n">
        <x:v>0</x:v>
      </x:c>
      <x:c r="L239" s="31" t="n">
        <x:v>0.10432636899999999</x:v>
      </x:c>
      <x:c r="M239" s="31" t="n">
        <x:v>5.1930852103000005</x:v>
      </x:c>
      <x:c r="N239" s="24" t="str">
        <x:v>mytilus edulis</x:v>
      </x:c>
      <x:c r="O239" s="32" t="n">
        <x:v>2</x:v>
      </x:c>
      <x:c r="P239" s="24" t="str">
        <x:v>exact_2020_supplement</x:v>
      </x:c>
      <x:c r="Q239" s="32" t="str">
        <x:v>2020 supplement MeanTL</x:v>
      </x:c>
      <x:c r="R239" s="24" t="str">
        <x:v>high</x:v>
      </x:c>
      <x:c r="S239" s="24" t="str">
        <x:v>Mytilus edulis</x:v>
      </x:c>
      <x:c r="T239" s="32" t="n">
        <x:f>IF(O239="","",(1/'Metadata'!$B$5)^(O239-1))</x:f>
        <x:v>10</x:v>
      </x:c>
      <x:c r="U239" s="31" t="n">
        <x:f>IF(T239="","",I239*T239)</x:f>
        <x:v>52.974115793</x:v>
      </x:c>
    </x:row>
    <x:row r="240" ht="18" customHeight="1">
      <x:c r="A240" s="24" t="str">
        <x:v>EEZ_851</x:v>
      </x:c>
      <x:c r="B240" s="24" t="str">
        <x:v>USA (East Coast)</x:v>
      </x:c>
      <x:c r="C240" s="24" t="str">
        <x:v>EEZ</x:v>
      </x:c>
      <x:c r="D240" s="30" t="n">
        <x:v>2019</x:v>
      </x:c>
      <x:c r="E240" s="24" t="str">
        <x:v>Prionace glauca</x:v>
      </x:c>
      <x:c r="F240" s="24" t="str">
        <x:v>Blue shark</x:v>
      </x:c>
      <x:c r="G240" s="24" t="str">
        <x:v>Large sharks (&gt;=90 cm)</x:v>
      </x:c>
      <x:c r="H240" s="24" t="str">
        <x:v>Sharks &amp; rays</x:v>
      </x:c>
      <x:c r="I240" s="31" t="n">
        <x:v>4.839780452099999</x:v>
      </x:c>
      <x:c r="J240" s="31" t="n">
        <x:v>4.839780452099999</x:v>
      </x:c>
      <x:c r="K240" s="31" t="n">
        <x:v>0</x:v>
      </x:c>
      <x:c r="L240" s="31" t="n">
        <x:v>4.8223589567</x:v>
      </x:c>
      <x:c r="M240" s="31" t="n">
        <x:v>0.017421495399999997</x:v>
      </x:c>
      <x:c r="N240" s="24" t="str">
        <x:v>prionace glauca</x:v>
      </x:c>
      <x:c r="O240" s="32" t="n">
        <x:v>4.35</x:v>
      </x:c>
      <x:c r="P240" s="24" t="str">
        <x:v>exact_2020_supplement</x:v>
      </x:c>
      <x:c r="Q240" s="32" t="str">
        <x:v>2020 supplement MeanTL</x:v>
      </x:c>
      <x:c r="R240" s="24" t="str">
        <x:v>high</x:v>
      </x:c>
      <x:c r="S240" s="24" t="str">
        <x:v>Prionace glauca</x:v>
      </x:c>
      <x:c r="T240" s="32" t="n">
        <x:f>IF(O240="","",(1/'Metadata'!$B$5)^(O240-1))</x:f>
        <x:v>2238.7211385683377</x:v>
      </x:c>
      <x:c r="U240" s="31" t="n">
        <x:f>IF(T240="","",I240*T240)</x:f>
        <x:v>10834.918804146095</x:v>
      </x:c>
    </x:row>
    <x:row r="241" ht="18" customHeight="1">
      <x:c r="A241" s="24" t="str">
        <x:v>EEZ_851</x:v>
      </x:c>
      <x:c r="B241" s="24" t="str">
        <x:v>USA (East Coast)</x:v>
      </x:c>
      <x:c r="C241" s="24" t="str">
        <x:v>EEZ</x:v>
      </x:c>
      <x:c r="D241" s="30" t="n">
        <x:v>2019</x:v>
      </x:c>
      <x:c r="E241" s="24" t="str">
        <x:v>Mycteroperca interstitialis</x:v>
      </x:c>
      <x:c r="F241" s="24" t="str">
        <x:v>Yellowmouth grouper</x:v>
      </x:c>
      <x:c r="G241" s="24" t="str">
        <x:v>Medium reef assoc. fish (30 - 89 cm)</x:v>
      </x:c>
      <x:c r="H241" s="24" t="str">
        <x:v>Perch-likes</x:v>
      </x:c>
      <x:c r="I241" s="31" t="n">
        <x:v>4.399851222</x:v>
      </x:c>
      <x:c r="J241" s="31" t="n">
        <x:v>4.399851222</x:v>
      </x:c>
      <x:c r="K241" s="31" t="n">
        <x:v>0</x:v>
      </x:c>
      <x:c r="L241" s="31" t="n">
        <x:v>4.399851222</x:v>
      </x:c>
      <x:c r="M241" s="31" t="n">
        <x:v>0</x:v>
      </x:c>
      <x:c r="N241" s="24" t="str">
        <x:v>mycteroperca interstitialis</x:v>
      </x:c>
      <x:c r="O241" s="32" t="n">
        <x:v>4.5</x:v>
      </x:c>
      <x:c r="P241" s="24" t="str">
        <x:v>exact_2020_supplement</x:v>
      </x:c>
      <x:c r="Q241" s="32" t="str">
        <x:v>2020 supplement MeanTL</x:v>
      </x:c>
      <x:c r="R241" s="24" t="str">
        <x:v>high</x:v>
      </x:c>
      <x:c r="S241" s="24" t="str">
        <x:v>Mycteroperca interstitialis</x:v>
      </x:c>
      <x:c r="T241" s="32" t="n">
        <x:f>IF(O241="","",(1/'Metadata'!$B$5)^(O241-1))</x:f>
        <x:v>3162.2776601683795</x:v>
      </x:c>
      <x:c r="U241" s="31" t="n">
        <x:f>IF(T241="","",I241*T241)</x:f>
        <x:v>13913.551227395144</x:v>
      </x:c>
    </x:row>
    <x:row r="242" ht="18" customHeight="1">
      <x:c r="A242" s="24" t="str">
        <x:v>EEZ_851</x:v>
      </x:c>
      <x:c r="B242" s="24" t="str">
        <x:v>USA (East Coast)</x:v>
      </x:c>
      <x:c r="C242" s="24" t="str">
        <x:v>EEZ</x:v>
      </x:c>
      <x:c r="D242" s="30" t="n">
        <x:v>2019</x:v>
      </x:c>
      <x:c r="E242" s="24" t="str">
        <x:v>Cephalopholis cruentata</x:v>
      </x:c>
      <x:c r="F242" s="24" t="str">
        <x:v>Graysby</x:v>
      </x:c>
      <x:c r="G242" s="24" t="str">
        <x:v>Medium reef assoc. fish (30 - 89 cm)</x:v>
      </x:c>
      <x:c r="H242" s="24" t="str">
        <x:v>Perch-likes</x:v>
      </x:c>
      <x:c r="I242" s="31" t="n">
        <x:v>4.3963777574</x:v>
      </x:c>
      <x:c r="J242" s="31" t="n">
        <x:v>4.3963777574</x:v>
      </x:c>
      <x:c r="K242" s="31" t="n">
        <x:v>0</x:v>
      </x:c>
      <x:c r="L242" s="31" t="n">
        <x:v>0.22498208290000002</x:v>
      </x:c>
      <x:c r="M242" s="31" t="n">
        <x:v>4.171395674499999</x:v>
      </x:c>
      <x:c r="N242" s="24" t="str">
        <x:v>cephalopholis cruentata</x:v>
      </x:c>
      <x:c r="O242" s="32" t="n">
        <x:v>4.25</x:v>
      </x:c>
      <x:c r="P242" s="24" t="str">
        <x:v>exact_2020_supplement</x:v>
      </x:c>
      <x:c r="Q242" s="32" t="str">
        <x:v>2020 supplement MeanTL</x:v>
      </x:c>
      <x:c r="R242" s="24" t="str">
        <x:v>high</x:v>
      </x:c>
      <x:c r="S242" s="24" t="str">
        <x:v>Cephalopholis cruentata</x:v>
      </x:c>
      <x:c r="T242" s="32" t="n">
        <x:f>IF(O242="","",(1/'Metadata'!$B$5)^(O242-1))</x:f>
        <x:v>1778.2794100389228</x:v>
      </x:c>
      <x:c r="U242" s="31" t="n">
        <x:f>IF(T242="","",I242*T242)</x:f>
        <x:v>7817.988044737514</x:v>
      </x:c>
    </x:row>
    <x:row r="243" ht="18" customHeight="1">
      <x:c r="A243" s="24" t="str">
        <x:v>EEZ_851</x:v>
      </x:c>
      <x:c r="B243" s="24" t="str">
        <x:v>USA (East Coast)</x:v>
      </x:c>
      <x:c r="C243" s="24" t="str">
        <x:v>EEZ</x:v>
      </x:c>
      <x:c r="D243" s="30" t="n">
        <x:v>2019</x:v>
      </x:c>
      <x:c r="E243" s="24" t="str">
        <x:v>Diplectrum formosum</x:v>
      </x:c>
      <x:c r="F243" s="24" t="str">
        <x:v>Sand perch</x:v>
      </x:c>
      <x:c r="G243" s="24" t="str">
        <x:v>Small demersals (&lt;30 cm)</x:v>
      </x:c>
      <x:c r="H243" s="24" t="str">
        <x:v>Perch-likes</x:v>
      </x:c>
      <x:c r="I243" s="31" t="n">
        <x:v>4.1196393723</x:v>
      </x:c>
      <x:c r="J243" s="31" t="n">
        <x:v>4.1196393723</x:v>
      </x:c>
      <x:c r="K243" s="31" t="n">
        <x:v>0</x:v>
      </x:c>
      <x:c r="L243" s="31" t="n">
        <x:v>0.0557919281</x:v>
      </x:c>
      <x:c r="M243" s="31" t="n">
        <x:v>4.0638474442</x:v>
      </x:c>
      <x:c r="N243" s="24" t="str">
        <x:v>diplectrum formosum</x:v>
      </x:c>
      <x:c r="O243" s="32" t="n">
        <x:v>4.49</x:v>
      </x:c>
      <x:c r="P243" s="24" t="str">
        <x:v>exact_2020_supplement</x:v>
      </x:c>
      <x:c r="Q243" s="32" t="str">
        <x:v>2020 supplement MeanTL</x:v>
      </x:c>
      <x:c r="R243" s="24" t="str">
        <x:v>high</x:v>
      </x:c>
      <x:c r="S243" s="24" t="str">
        <x:v>Diplectrum formosum</x:v>
      </x:c>
      <x:c r="T243" s="32" t="n">
        <x:f>IF(O243="","",(1/'Metadata'!$B$5)^(O243-1))</x:f>
        <x:v>3090.295432513592</x:v>
      </x:c>
      <x:c r="U243" s="31" t="n">
        <x:f>IF(T243="","",I243*T243)</x:f>
        <x:v>12730.902735821852</x:v>
      </x:c>
    </x:row>
    <x:row r="244" ht="18" customHeight="1">
      <x:c r="A244" s="24" t="str">
        <x:v>EEZ_851</x:v>
      </x:c>
      <x:c r="B244" s="24" t="str">
        <x:v>USA (East Coast)</x:v>
      </x:c>
      <x:c r="C244" s="24" t="str">
        <x:v>EEZ</x:v>
      </x:c>
      <x:c r="D244" s="30" t="n">
        <x:v>2019</x:v>
      </x:c>
      <x:c r="E244" s="24" t="str">
        <x:v>Haemulon</x:v>
      </x:c>
      <x:c r="F244" s="24" t="str">
        <x:v>Grunts</x:v>
      </x:c>
      <x:c r="G244" s="24" t="str">
        <x:v>Small reef assoc. fish (&lt;30 cm)</x:v>
      </x:c>
      <x:c r="H244" s="24" t="str">
        <x:v>Perch-likes</x:v>
      </x:c>
      <x:c r="I244" s="31" t="n">
        <x:v>3.850088896</x:v>
      </x:c>
      <x:c r="J244" s="31" t="n">
        <x:v>3.850088896</x:v>
      </x:c>
      <x:c r="K244" s="31" t="n">
        <x:v>0</x:v>
      </x:c>
      <x:c r="L244" s="31" t="n">
        <x:v>0</x:v>
      </x:c>
      <x:c r="M244" s="31" t="n">
        <x:v>3.850088896</x:v>
      </x:c>
      <x:c r="N244" s="24" t="str">
        <x:v>haemulon</x:v>
      </x:c>
      <x:c r="O244" s="32" t="n">
        <x:v>3.25</x:v>
      </x:c>
      <x:c r="P244" s="24" t="str">
        <x:v>exact_sea_around_us</x:v>
      </x:c>
      <x:c r="Q244" s="32" t="str">
        <x:v>Sea Around Us exploited organisms</x:v>
      </x:c>
      <x:c r="R244" s="24" t="str">
        <x:v>high</x:v>
      </x:c>
      <x:c r="S244" s="24" t="str">
        <x:v>Haemulon</x:v>
      </x:c>
      <x:c r="T244" s="32" t="n">
        <x:f>IF(O244="","",(1/'Metadata'!$B$5)^(O244-1))</x:f>
        <x:v>177.82794100389228</x:v>
      </x:c>
      <x:c r="U244" s="31" t="n">
        <x:f>IF(T244="","",I244*T244)</x:f>
        <x:v>684.6533810576287</x:v>
      </x:c>
    </x:row>
    <x:row r="245" ht="18" customHeight="1">
      <x:c r="A245" s="24" t="str">
        <x:v>EEZ_851</x:v>
      </x:c>
      <x:c r="B245" s="24" t="str">
        <x:v>USA (East Coast)</x:v>
      </x:c>
      <x:c r="C245" s="24" t="str">
        <x:v>EEZ</x:v>
      </x:c>
      <x:c r="D245" s="30" t="n">
        <x:v>2019</x:v>
      </x:c>
      <x:c r="E245" s="24" t="str">
        <x:v>Hippoglossina oblonga</x:v>
      </x:c>
      <x:c r="F245" s="24" t="str">
        <x:v>American fourspot flounder</x:v>
      </x:c>
      <x:c r="G245" s="24" t="str">
        <x:v>Medium demersals (30 - 89 cm)</x:v>
      </x:c>
      <x:c r="H245" s="24" t="str">
        <x:v>Flatfishes</x:v>
      </x:c>
      <x:c r="I245" s="31" t="n">
        <x:v>3.7376055742</x:v>
      </x:c>
      <x:c r="J245" s="31" t="n">
        <x:v>3.7376055742</x:v>
      </x:c>
      <x:c r="K245" s="31" t="n">
        <x:v>0</x:v>
      </x:c>
      <x:c r="L245" s="31" t="n">
        <x:v>3.7376055742</x:v>
      </x:c>
      <x:c r="M245" s="31" t="n">
        <x:v>0</x:v>
      </x:c>
      <x:c r="N245" s="24" t="str">
        <x:v>hippoglossina oblonga</x:v>
      </x:c>
      <x:c r="O245" s="32" t="n">
        <x:v>4.29</x:v>
      </x:c>
      <x:c r="P245" s="24" t="str">
        <x:v>exact_2020_supplement</x:v>
      </x:c>
      <x:c r="Q245" s="32" t="str">
        <x:v>2020 supplement MeanTL</x:v>
      </x:c>
      <x:c r="R245" s="24" t="str">
        <x:v>high</x:v>
      </x:c>
      <x:c r="S245" s="24" t="str">
        <x:v>Hippoglossina oblonga</x:v>
      </x:c>
      <x:c r="T245" s="32" t="n">
        <x:f>IF(O245="","",(1/'Metadata'!$B$5)^(O245-1))</x:f>
        <x:v>1949.8445997580454</x:v>
      </x:c>
      <x:c r="U245" s="31" t="n">
        <x:f>IF(T245="","",I245*T245)</x:f>
        <x:v>7287.750044879438</x:v>
      </x:c>
    </x:row>
    <x:row r="246" ht="18" customHeight="1">
      <x:c r="A246" s="24" t="str">
        <x:v>EEZ_851</x:v>
      </x:c>
      <x:c r="B246" s="24" t="str">
        <x:v>USA (East Coast)</x:v>
      </x:c>
      <x:c r="C246" s="24" t="str">
        <x:v>EEZ</x:v>
      </x:c>
      <x:c r="D246" s="30" t="n">
        <x:v>2019</x:v>
      </x:c>
      <x:c r="E246" s="24" t="str">
        <x:v>Lamna nasus</x:v>
      </x:c>
      <x:c r="F246" s="24" t="str">
        <x:v>Porbeagle</x:v>
      </x:c>
      <x:c r="G246" s="24" t="str">
        <x:v>Large sharks (&gt;=90 cm)</x:v>
      </x:c>
      <x:c r="H246" s="24" t="str">
        <x:v>Sharks &amp; rays</x:v>
      </x:c>
      <x:c r="I246" s="31" t="n">
        <x:v>3.6929132180999997</x:v>
      </x:c>
      <x:c r="J246" s="31" t="n">
        <x:v>3.6929132180999997</x:v>
      </x:c>
      <x:c r="K246" s="31" t="n">
        <x:v>0</x:v>
      </x:c>
      <x:c r="L246" s="31" t="n">
        <x:v>3.4728765732999998</x:v>
      </x:c>
      <x:c r="M246" s="31" t="n">
        <x:v>0.22003664480000001</x:v>
      </x:c>
      <x:c r="N246" s="24" t="str">
        <x:v>lamna nasus</x:v>
      </x:c>
      <x:c r="O246" s="32" t="n">
        <x:v>4.57</x:v>
      </x:c>
      <x:c r="P246" s="24" t="str">
        <x:v>exact_2020_supplement</x:v>
      </x:c>
      <x:c r="Q246" s="32" t="str">
        <x:v>2020 supplement MeanTL</x:v>
      </x:c>
      <x:c r="R246" s="24" t="str">
        <x:v>high</x:v>
      </x:c>
      <x:c r="S246" s="24" t="str">
        <x:v>Lamna nasus</x:v>
      </x:c>
      <x:c r="T246" s="32" t="n">
        <x:f>IF(O246="","",(1/'Metadata'!$B$5)^(O246-1))</x:f>
        <x:v>3715.3522909717276</x:v>
      </x:c>
      <x:c r="U246" s="31" t="n">
        <x:f>IF(T246="","",I246*T246)</x:f>
        <x:v>13720.47358522761</x:v>
      </x:c>
    </x:row>
    <x:row r="247" ht="18" customHeight="1">
      <x:c r="A247" s="24" t="str">
        <x:v>EEZ_851</x:v>
      </x:c>
      <x:c r="B247" s="24" t="str">
        <x:v>USA (East Coast)</x:v>
      </x:c>
      <x:c r="C247" s="24" t="str">
        <x:v>EEZ</x:v>
      </x:c>
      <x:c r="D247" s="30" t="n">
        <x:v>2019</x:v>
      </x:c>
      <x:c r="E247" s="24" t="str">
        <x:v>Cyprinidae</x:v>
      </x:c>
      <x:c r="F247" s="24" t="str">
        <x:v>Carps, barbels, other cyprinids</x:v>
      </x:c>
      <x:c r="G247" s="24" t="str">
        <x:v>Medium demersals (30 - 89 cm)</x:v>
      </x:c>
      <x:c r="H247" s="24" t="str">
        <x:v>Other fishes &amp; inverts</x:v>
      </x:c>
      <x:c r="I247" s="31" t="n">
        <x:v>3.5508696613999997</x:v>
      </x:c>
      <x:c r="J247" s="31" t="n">
        <x:v>3.5508696613999997</x:v>
      </x:c>
      <x:c r="K247" s="31" t="n">
        <x:v>0</x:v>
      </x:c>
      <x:c r="L247" s="31" t="n">
        <x:v>0</x:v>
      </x:c>
      <x:c r="M247" s="31" t="n">
        <x:v>3.5508696613999997</x:v>
      </x:c>
      <x:c r="N247" s="24" t="str">
        <x:v>cyprinidae</x:v>
      </x:c>
      <x:c r="O247" s="32" t="n">
        <x:v>2.8</x:v>
      </x:c>
      <x:c r="P247" s="24" t="str">
        <x:v>exact_sea_around_us</x:v>
      </x:c>
      <x:c r="Q247" s="32" t="str">
        <x:v>Sea Around Us exploited organisms</x:v>
      </x:c>
      <x:c r="R247" s="24" t="str">
        <x:v>high</x:v>
      </x:c>
      <x:c r="S247" s="24" t="str">
        <x:v>Cyprinidae</x:v>
      </x:c>
      <x:c r="T247" s="32" t="n">
        <x:f>IF(O247="","",(1/'Metadata'!$B$5)^(O247-1))</x:f>
        <x:v>63.0957344480193</x:v>
      </x:c>
      <x:c r="U247" s="31" t="n">
        <x:f>IF(T247="","",I247*T247)</x:f>
        <x:v>224.0447292152226</x:v>
      </x:c>
    </x:row>
    <x:row r="248" ht="18" customHeight="1">
      <x:c r="A248" s="24" t="str">
        <x:v>EEZ_851</x:v>
      </x:c>
      <x:c r="B248" s="24" t="str">
        <x:v>USA (East Coast)</x:v>
      </x:c>
      <x:c r="C248" s="24" t="str">
        <x:v>EEZ</x:v>
      </x:c>
      <x:c r="D248" s="30" t="n">
        <x:v>2019</x:v>
      </x:c>
      <x:c r="E248" s="24" t="str">
        <x:v>Buccinum undatum</x:v>
      </x:c>
      <x:c r="F248" s="24" t="str">
        <x:v>Whelk</x:v>
      </x:c>
      <x:c r="G248" s="24" t="str">
        <x:v>Other demersal invertebrates</x:v>
      </x:c>
      <x:c r="H248" s="24" t="str">
        <x:v>Molluscs</x:v>
      </x:c>
      <x:c r="I248" s="31" t="n">
        <x:v>3.2776623631999997</x:v>
      </x:c>
      <x:c r="J248" s="31" t="n">
        <x:v>3.2776623631999997</x:v>
      </x:c>
      <x:c r="K248" s="31" t="n">
        <x:v>0</x:v>
      </x:c>
      <x:c r="L248" s="31" t="n">
        <x:v>3.2776623631999997</x:v>
      </x:c>
      <x:c r="M248" s="31" t="n">
        <x:v>0</x:v>
      </x:c>
      <x:c r="N248" s="24" t="str">
        <x:v>buccinum undatum</x:v>
      </x:c>
      <x:c r="O248" s="32" t="n">
        <x:v>3.75</x:v>
      </x:c>
      <x:c r="P248" s="24" t="str">
        <x:v>exact_2020_supplement</x:v>
      </x:c>
      <x:c r="Q248" s="32" t="str">
        <x:v>2020 supplement MeanTL</x:v>
      </x:c>
      <x:c r="R248" s="24" t="str">
        <x:v>high</x:v>
      </x:c>
      <x:c r="S248" s="24" t="str">
        <x:v>Buccinum undatum</x:v>
      </x:c>
      <x:c r="T248" s="32" t="n">
        <x:f>IF(O248="","",(1/'Metadata'!$B$5)^(O248-1))</x:f>
        <x:v>562.341325190349</x:v>
      </x:c>
      <x:c r="U248" s="31" t="n">
        <x:f>IF(T248="","",I248*T248)</x:f>
        <x:v>1843.164996848419</x:v>
      </x:c>
    </x:row>
    <x:row r="249" ht="18" customHeight="1">
      <x:c r="A249" s="24" t="str">
        <x:v>EEZ_851</x:v>
      </x:c>
      <x:c r="B249" s="24" t="str">
        <x:v>USA (East Coast)</x:v>
      </x:c>
      <x:c r="C249" s="24" t="str">
        <x:v>EEZ</x:v>
      </x:c>
      <x:c r="D249" s="30" t="n">
        <x:v>2019</x:v>
      </x:c>
      <x:c r="E249" s="24" t="str">
        <x:v>Negaprion brevirostris</x:v>
      </x:c>
      <x:c r="F249" s="24" t="str">
        <x:v>Lemon shark</x:v>
      </x:c>
      <x:c r="G249" s="24" t="str">
        <x:v>Large sharks (&gt;=90 cm)</x:v>
      </x:c>
      <x:c r="H249" s="24" t="str">
        <x:v>Sharks &amp; rays</x:v>
      </x:c>
      <x:c r="I249" s="31" t="n">
        <x:v>3.2495746885</x:v>
      </x:c>
      <x:c r="J249" s="31" t="n">
        <x:v>3.2495746885</x:v>
      </x:c>
      <x:c r="K249" s="31" t="n">
        <x:v>0</x:v>
      </x:c>
      <x:c r="L249" s="31" t="n">
        <x:v>3.033175785</x:v>
      </x:c>
      <x:c r="M249" s="31" t="n">
        <x:v>0.2163989035</x:v>
      </x:c>
      <x:c r="N249" s="24" t="str">
        <x:v>negaprion brevirostris</x:v>
      </x:c>
      <x:c r="O249" s="32" t="n">
        <x:v>4.27</x:v>
      </x:c>
      <x:c r="P249" s="24" t="str">
        <x:v>exact_2020_supplement</x:v>
      </x:c>
      <x:c r="Q249" s="32" t="str">
        <x:v>2020 supplement MeanTL</x:v>
      </x:c>
      <x:c r="R249" s="24" t="str">
        <x:v>high</x:v>
      </x:c>
      <x:c r="S249" s="24" t="str">
        <x:v>Negaprion brevirostris</x:v>
      </x:c>
      <x:c r="T249" s="32" t="n">
        <x:f>IF(O249="","",(1/'Metadata'!$B$5)^(O249-1))</x:f>
        <x:v>1862.0871366628655</x:v>
      </x:c>
      <x:c r="U249" s="31" t="n">
        <x:f>IF(T249="","",I249*T249)</x:f>
        <x:v>6050.991227081088</x:v>
      </x:c>
    </x:row>
    <x:row r="250" ht="18" customHeight="1">
      <x:c r="A250" s="24" t="str">
        <x:v>EEZ_851</x:v>
      </x:c>
      <x:c r="B250" s="24" t="str">
        <x:v>USA (East Coast)</x:v>
      </x:c>
      <x:c r="C250" s="24" t="str">
        <x:v>EEZ</x:v>
      </x:c>
      <x:c r="D250" s="30" t="n">
        <x:v>2019</x:v>
      </x:c>
      <x:c r="E250" s="24" t="str">
        <x:v>Harengula jaguana</x:v>
      </x:c>
      <x:c r="F250" s="24" t="str">
        <x:v>Scaled herring</x:v>
      </x:c>
      <x:c r="G250" s="24" t="str">
        <x:v>Small pelagics (&lt;30 cm)</x:v>
      </x:c>
      <x:c r="H250" s="24" t="str">
        <x:v>Herring-likes</x:v>
      </x:c>
      <x:c r="I250" s="31" t="n">
        <x:v>2.8476562849000002</x:v>
      </x:c>
      <x:c r="J250" s="31" t="n">
        <x:v>2.8476562849000002</x:v>
      </x:c>
      <x:c r="K250" s="31" t="n">
        <x:v>0</x:v>
      </x:c>
      <x:c r="L250" s="31" t="n">
        <x:v>2.8476562849000002</x:v>
      </x:c>
      <x:c r="M250" s="31" t="n">
        <x:v>0</x:v>
      </x:c>
      <x:c r="N250" s="24" t="str">
        <x:v>harengula jaguana</x:v>
      </x:c>
      <x:c r="O250" s="32" t="n">
        <x:v>3.42</x:v>
      </x:c>
      <x:c r="P250" s="24" t="str">
        <x:v>exact_2020_supplement</x:v>
      </x:c>
      <x:c r="Q250" s="32" t="str">
        <x:v>2020 supplement MeanTL</x:v>
      </x:c>
      <x:c r="R250" s="24" t="str">
        <x:v>high</x:v>
      </x:c>
      <x:c r="S250" s="24" t="str">
        <x:v>Harengula jaguana</x:v>
      </x:c>
      <x:c r="T250" s="32" t="n">
        <x:f>IF(O250="","",(1/'Metadata'!$B$5)^(O250-1))</x:f>
        <x:v>263.02679918953817</x:v>
      </x:c>
      <x:c r="U250" s="31" t="n">
        <x:f>IF(T250="","",I250*T250)</x:f>
        <x:v>749.0099178092187</x:v>
      </x:c>
    </x:row>
    <x:row r="251" ht="18" customHeight="1">
      <x:c r="A251" s="24" t="str">
        <x:v>EEZ_851</x:v>
      </x:c>
      <x:c r="B251" s="24" t="str">
        <x:v>USA (East Coast)</x:v>
      </x:c>
      <x:c r="C251" s="24" t="str">
        <x:v>EEZ</x:v>
      </x:c>
      <x:c r="D251" s="30" t="n">
        <x:v>2019</x:v>
      </x:c>
      <x:c r="E251" s="24" t="str">
        <x:v>Trichiurus</x:v>
      </x:c>
      <x:c r="F251" s="24" t="str">
        <x:v>Hairtails</x:v>
      </x:c>
      <x:c r="G251" s="24" t="str">
        <x:v>Large benthopelagics (&gt;=90 cm)</x:v>
      </x:c>
      <x:c r="H251" s="24" t="str">
        <x:v>Perch-likes</x:v>
      </x:c>
      <x:c r="I251" s="31" t="n">
        <x:v>2.6471682189999997</x:v>
      </x:c>
      <x:c r="J251" s="31" t="n">
        <x:v>2.6471682189999997</x:v>
      </x:c>
      <x:c r="K251" s="31" t="n">
        <x:v>0</x:v>
      </x:c>
      <x:c r="L251" s="31" t="n">
        <x:v>2.6471682189999997</x:v>
      </x:c>
      <x:c r="M251" s="31" t="n">
        <x:v>0</x:v>
      </x:c>
      <x:c r="N251" s="24" t="str">
        <x:v>trichiurus</x:v>
      </x:c>
      <x:c r="O251" s="32" t="n">
        <x:v>4.42</x:v>
      </x:c>
      <x:c r="P251" s="24" t="str">
        <x:v>exact_sea_around_us</x:v>
      </x:c>
      <x:c r="Q251" s="32" t="str">
        <x:v>Sea Around Us exploited organisms</x:v>
      </x:c>
      <x:c r="R251" s="24" t="str">
        <x:v>high</x:v>
      </x:c>
      <x:c r="S251" s="24" t="str">
        <x:v>Trichiurus</x:v>
      </x:c>
      <x:c r="T251" s="32" t="n">
        <x:f>IF(O251="","",(1/'Metadata'!$B$5)^(O251-1))</x:f>
        <x:v>2630.2679918953813</x:v>
      </x:c>
      <x:c r="U251" s="31" t="n">
        <x:f>IF(T251="","",I251*T251)</x:f>
        <x:v>6962.761835598402</x:v>
      </x:c>
    </x:row>
    <x:row r="252" ht="18" customHeight="1">
      <x:c r="A252" s="24" t="str">
        <x:v>EEZ_851</x:v>
      </x:c>
      <x:c r="B252" s="24" t="str">
        <x:v>USA (East Coast)</x:v>
      </x:c>
      <x:c r="C252" s="24" t="str">
        <x:v>EEZ</x:v>
      </x:c>
      <x:c r="D252" s="30" t="n">
        <x:v>2019</x:v>
      </x:c>
      <x:c r="E252" s="24" t="str">
        <x:v>Sphoeroides</x:v>
      </x:c>
      <x:c r="F252" s="24" t="str">
        <x:v>Puffers</x:v>
      </x:c>
      <x:c r="G252" s="24" t="str">
        <x:v>Large reef assoc. fish (&gt;=90 cm)</x:v>
      </x:c>
      <x:c r="H252" s="24" t="str">
        <x:v>Other fishes &amp; inverts</x:v>
      </x:c>
      <x:c r="I252" s="31" t="n">
        <x:v>2.429443623</x:v>
      </x:c>
      <x:c r="J252" s="31" t="n">
        <x:v>2.429443623</x:v>
      </x:c>
      <x:c r="K252" s="31" t="n">
        <x:v>0</x:v>
      </x:c>
      <x:c r="L252" s="31" t="n">
        <x:v>2.429443623</x:v>
      </x:c>
      <x:c r="M252" s="31" t="n">
        <x:v>0</x:v>
      </x:c>
      <x:c r="N252" s="24" t="str">
        <x:v>sphoeroides</x:v>
      </x:c>
      <x:c r="O252" s="32" t="n">
        <x:v>4.12</x:v>
      </x:c>
      <x:c r="P252" s="24" t="str">
        <x:v>exact_sea_around_us</x:v>
      </x:c>
      <x:c r="Q252" s="32" t="str">
        <x:v>Sea Around Us exploited organisms</x:v>
      </x:c>
      <x:c r="R252" s="24" t="str">
        <x:v>high</x:v>
      </x:c>
      <x:c r="S252" s="24" t="str">
        <x:v>Sphoeroides</x:v>
      </x:c>
      <x:c r="T252" s="32" t="n">
        <x:f>IF(O252="","",(1/'Metadata'!$B$5)^(O252-1))</x:f>
        <x:v>1318.2567385564075</x:v>
      </x:c>
      <x:c r="U252" s="31" t="n">
        <x:f>IF(T252="","",I252*T252)</x:f>
        <x:v>3202.6304269626426</x:v>
      </x:c>
    </x:row>
    <x:row r="253" ht="18" customHeight="1">
      <x:c r="A253" s="24" t="str">
        <x:v>EEZ_851</x:v>
      </x:c>
      <x:c r="B253" s="24" t="str">
        <x:v>USA (East Coast)</x:v>
      </x:c>
      <x:c r="C253" s="24" t="str">
        <x:v>EEZ</x:v>
      </x:c>
      <x:c r="D253" s="30" t="n">
        <x:v>2019</x:v>
      </x:c>
      <x:c r="E253" s="24" t="str">
        <x:v>Decapterus punctatus</x:v>
      </x:c>
      <x:c r="F253" s="24" t="str">
        <x:v>Round scad</x:v>
      </x:c>
      <x:c r="G253" s="24" t="str">
        <x:v>Medium benthopelagics (30 - 89 cm)</x:v>
      </x:c>
      <x:c r="H253" s="24" t="str">
        <x:v>Perch-likes</x:v>
      </x:c>
      <x:c r="I253" s="31" t="n">
        <x:v>2.366843056</x:v>
      </x:c>
      <x:c r="J253" s="31" t="n">
        <x:v>2.366843056</x:v>
      </x:c>
      <x:c r="K253" s="31" t="n">
        <x:v>0</x:v>
      </x:c>
      <x:c r="L253" s="31" t="n">
        <x:v>0</x:v>
      </x:c>
      <x:c r="M253" s="31" t="n">
        <x:v>2.366843056</x:v>
      </x:c>
      <x:c r="N253" s="24" t="str">
        <x:v>decapterus punctatus</x:v>
      </x:c>
      <x:c r="O253" s="32" t="n">
        <x:v>4.43</x:v>
      </x:c>
      <x:c r="P253" s="24" t="str">
        <x:v>exact_2020_supplement</x:v>
      </x:c>
      <x:c r="Q253" s="32" t="str">
        <x:v>2020 supplement MeanTL</x:v>
      </x:c>
      <x:c r="R253" s="24" t="str">
        <x:v>high</x:v>
      </x:c>
      <x:c r="S253" s="24" t="str">
        <x:v>Decapterus punctatus</x:v>
      </x:c>
      <x:c r="T253" s="32" t="n">
        <x:f>IF(O253="","",(1/'Metadata'!$B$5)^(O253-1))</x:f>
        <x:v>2691.534803926914</x:v>
      </x:c>
      <x:c r="U253" s="31" t="n">
        <x:f>IF(T253="","",I253*T253)</x:f>
        <x:v>6370.440460656738</x:v>
      </x:c>
    </x:row>
    <x:row r="254" ht="18" customHeight="1">
      <x:c r="A254" s="24" t="str">
        <x:v>EEZ_851</x:v>
      </x:c>
      <x:c r="B254" s="24" t="str">
        <x:v>USA (East Coast)</x:v>
      </x:c>
      <x:c r="C254" s="24" t="str">
        <x:v>EEZ</x:v>
      </x:c>
      <x:c r="D254" s="30" t="n">
        <x:v>2019</x:v>
      </x:c>
      <x:c r="E254" s="24" t="str">
        <x:v>Epinephelus adscensionis</x:v>
      </x:c>
      <x:c r="F254" s="24" t="str">
        <x:v>Rock hind</x:v>
      </x:c>
      <x:c r="G254" s="24" t="str">
        <x:v>Medium reef assoc. fish (30 - 89 cm)</x:v>
      </x:c>
      <x:c r="H254" s="24" t="str">
        <x:v>Perch-likes</x:v>
      </x:c>
      <x:c r="I254" s="31" t="n">
        <x:v>2.3169511021</x:v>
      </x:c>
      <x:c r="J254" s="31" t="n">
        <x:v>2.3169511021</x:v>
      </x:c>
      <x:c r="K254" s="31" t="n">
        <x:v>0</x:v>
      </x:c>
      <x:c r="L254" s="31" t="n">
        <x:v>1.5789569180999998</x:v>
      </x:c>
      <x:c r="M254" s="31" t="n">
        <x:v>0.737994184</x:v>
      </x:c>
      <x:c r="N254" s="24" t="str">
        <x:v>epinephelus adscensionis</x:v>
      </x:c>
      <x:c r="O254" s="32" t="n">
        <x:v>3.53</x:v>
      </x:c>
      <x:c r="P254" s="24" t="str">
        <x:v>exact_2020_supplement</x:v>
      </x:c>
      <x:c r="Q254" s="32" t="str">
        <x:v>2020 supplement MeanTL</x:v>
      </x:c>
      <x:c r="R254" s="24" t="str">
        <x:v>high</x:v>
      </x:c>
      <x:c r="S254" s="24" t="str">
        <x:v>Epinephelus adscensionis</x:v>
      </x:c>
      <x:c r="T254" s="32" t="n">
        <x:f>IF(O254="","",(1/'Metadata'!$B$5)^(O254-1))</x:f>
        <x:v>338.84415613920237</x:v>
      </x:c>
      <x:c r="U254" s="31" t="n">
        <x:f>IF(T254="","",I254*T254)</x:f>
        <x:v>785.0853410068694</x:v>
      </x:c>
    </x:row>
    <x:row r="255" ht="18" customHeight="1">
      <x:c r="A255" s="24" t="str">
        <x:v>EEZ_851</x:v>
      </x:c>
      <x:c r="B255" s="24" t="str">
        <x:v>USA (East Coast)</x:v>
      </x:c>
      <x:c r="C255" s="24" t="str">
        <x:v>EEZ</x:v>
      </x:c>
      <x:c r="D255" s="30" t="n">
        <x:v>2019</x:v>
      </x:c>
      <x:c r="E255" s="24" t="str">
        <x:v>Merluccius</x:v>
      </x:c>
      <x:c r="F255" s="24" t="str">
        <x:v>Hakes</x:v>
      </x:c>
      <x:c r="G255" s="24" t="str">
        <x:v>Medium bathydemersals (30 - 89 cm)</x:v>
      </x:c>
      <x:c r="H255" s="24" t="str">
        <x:v>Cod-likes</x:v>
      </x:c>
      <x:c r="I255" s="31" t="n">
        <x:v>2.2149347440000002</x:v>
      </x:c>
      <x:c r="J255" s="31" t="n">
        <x:v>1.9445452772</x:v>
      </x:c>
      <x:c r="K255" s="31" t="n">
        <x:v>0.2703894668</x:v>
      </x:c>
      <x:c r="L255" s="31" t="n">
        <x:v>0.831435803</x:v>
      </x:c>
      <x:c r="M255" s="31" t="n">
        <x:v>1.383498941</x:v>
      </x:c>
      <x:c r="N255" s="24" t="str">
        <x:v>merluccius</x:v>
      </x:c>
      <x:c r="O255" s="32" t="n">
        <x:v>4.27</x:v>
      </x:c>
      <x:c r="P255" s="24" t="str">
        <x:v>exact_sea_around_us</x:v>
      </x:c>
      <x:c r="Q255" s="32" t="str">
        <x:v>Sea Around Us exploited organisms</x:v>
      </x:c>
      <x:c r="R255" s="24" t="str">
        <x:v>high</x:v>
      </x:c>
      <x:c r="S255" s="24" t="str">
        <x:v>Merluccius</x:v>
      </x:c>
      <x:c r="T255" s="32" t="n">
        <x:f>IF(O255="","",(1/'Metadata'!$B$5)^(O255-1))</x:f>
        <x:v>1862.0871366628655</x:v>
      </x:c>
      <x:c r="U255" s="31" t="n">
        <x:f>IF(T255="","",I255*T255)</x:f>
        <x:v>4124.401495350057</x:v>
      </x:c>
    </x:row>
    <x:row r="256" ht="18" customHeight="1">
      <x:c r="A256" s="24" t="str">
        <x:v>EEZ_851</x:v>
      </x:c>
      <x:c r="B256" s="24" t="str">
        <x:v>USA (East Coast)</x:v>
      </x:c>
      <x:c r="C256" s="24" t="str">
        <x:v>EEZ</x:v>
      </x:c>
      <x:c r="D256" s="30" t="n">
        <x:v>2019</x:v>
      </x:c>
      <x:c r="E256" s="24" t="str">
        <x:v>Sicyonia brevirostris</x:v>
      </x:c>
      <x:c r="F256" s="24" t="str">
        <x:v>Rock shrimp</x:v>
      </x:c>
      <x:c r="G256" s="24" t="str">
        <x:v>Shrimps</x:v>
      </x:c>
      <x:c r="H256" s="24" t="str">
        <x:v>Crustaceans</x:v>
      </x:c>
      <x:c r="I256" s="31" t="n">
        <x:v>2.1620477962</x:v>
      </x:c>
      <x:c r="J256" s="31" t="n">
        <x:v>1.4676841632000002</x:v>
      </x:c>
      <x:c r="K256" s="31" t="n">
        <x:v>0.694363633</x:v>
      </x:c>
      <x:c r="L256" s="31" t="n">
        <x:v>0</x:v>
      </x:c>
      <x:c r="M256" s="31" t="n">
        <x:v>2.1620477962</x:v>
      </x:c>
      <x:c r="N256" s="24" t="str">
        <x:v>sicyonia brevirostris</x:v>
      </x:c>
      <x:c r="O256" s="32" t="n">
        <x:v>2.2</x:v>
      </x:c>
      <x:c r="P256" s="24" t="str">
        <x:v>exact_sea_around_us</x:v>
      </x:c>
      <x:c r="Q256" s="32" t="str">
        <x:v>Sea Around Us exploited organisms</x:v>
      </x:c>
      <x:c r="R256" s="24" t="str">
        <x:v>high</x:v>
      </x:c>
      <x:c r="S256" s="24" t="str">
        <x:v>Sicyonia brevirostris</x:v>
      </x:c>
      <x:c r="T256" s="32" t="n">
        <x:f>IF(O256="","",(1/'Metadata'!$B$5)^(O256-1))</x:f>
        <x:v>15.848931924611142</x:v>
      </x:c>
      <x:c r="U256" s="31" t="n">
        <x:f>IF(T256="","",I256*T256)</x:f>
        <x:v>34.26614833972934</x:v>
      </x:c>
    </x:row>
    <x:row r="257" ht="18" customHeight="1">
      <x:c r="A257" s="24" t="str">
        <x:v>EEZ_851</x:v>
      </x:c>
      <x:c r="B257" s="24" t="str">
        <x:v>USA (East Coast)</x:v>
      </x:c>
      <x:c r="C257" s="24" t="str">
        <x:v>EEZ</x:v>
      </x:c>
      <x:c r="D257" s="30" t="n">
        <x:v>2019</x:v>
      </x:c>
      <x:c r="E257" s="24" t="str">
        <x:v>Lutjanus</x:v>
      </x:c>
      <x:c r="F257" s="24" t="str">
        <x:v>Snappers</x:v>
      </x:c>
      <x:c r="G257" s="24" t="str">
        <x:v>Medium reef assoc. fish (30 - 89 cm)</x:v>
      </x:c>
      <x:c r="H257" s="24" t="str">
        <x:v>Perch-likes</x:v>
      </x:c>
      <x:c r="I257" s="31" t="n">
        <x:v>2.1190160046</x:v>
      </x:c>
      <x:c r="J257" s="31" t="n">
        <x:v>1.9594489065999998</x:v>
      </x:c>
      <x:c r="K257" s="31" t="n">
        <x:v>0.159567098</x:v>
      </x:c>
      <x:c r="L257" s="31" t="n">
        <x:v>1.8787818312999998</x:v>
      </x:c>
      <x:c r="M257" s="31" t="n">
        <x:v>0.2402341733</x:v>
      </x:c>
      <x:c r="N257" s="24" t="str">
        <x:v>lutjanus</x:v>
      </x:c>
      <x:c r="O257" s="32" t="n">
        <x:v>4.02</x:v>
      </x:c>
      <x:c r="P257" s="24" t="str">
        <x:v>exact_sea_around_us</x:v>
      </x:c>
      <x:c r="Q257" s="32" t="str">
        <x:v>Sea Around Us exploited organisms</x:v>
      </x:c>
      <x:c r="R257" s="24" t="str">
        <x:v>high</x:v>
      </x:c>
      <x:c r="S257" s="24" t="str">
        <x:v>Lutjanus</x:v>
      </x:c>
      <x:c r="T257" s="32" t="n">
        <x:f>IF(O257="","",(1/'Metadata'!$B$5)^(O257-1))</x:f>
        <x:v>1047.1285480508984</x:v>
      </x:c>
      <x:c r="U257" s="31" t="n">
        <x:f>IF(T257="","",I257*T257)</x:f>
        <x:v>2218.882152193414</x:v>
      </x:c>
    </x:row>
    <x:row r="258" ht="18" customHeight="1">
      <x:c r="A258" s="24" t="str">
        <x:v>EEZ_851</x:v>
      </x:c>
      <x:c r="B258" s="24" t="str">
        <x:v>USA (East Coast)</x:v>
      </x:c>
      <x:c r="C258" s="24" t="str">
        <x:v>EEZ</x:v>
      </x:c>
      <x:c r="D258" s="30" t="n">
        <x:v>2019</x:v>
      </x:c>
      <x:c r="E258" s="24" t="str">
        <x:v>Haemulon sciurus</x:v>
      </x:c>
      <x:c r="F258" s="24" t="str">
        <x:v>Bluestriped grunt</x:v>
      </x:c>
      <x:c r="G258" s="24" t="str">
        <x:v>Medium reef assoc. fish (30 - 89 cm)</x:v>
      </x:c>
      <x:c r="H258" s="24" t="str">
        <x:v>Perch-likes</x:v>
      </x:c>
      <x:c r="I258" s="31" t="n">
        <x:v>2.11600668</x:v>
      </x:c>
      <x:c r="J258" s="31" t="n">
        <x:v>2.11600668</x:v>
      </x:c>
      <x:c r="K258" s="31" t="n">
        <x:v>0</x:v>
      </x:c>
      <x:c r="L258" s="31" t="n">
        <x:v>0</x:v>
      </x:c>
      <x:c r="M258" s="31" t="n">
        <x:v>2.11600668</x:v>
      </x:c>
      <x:c r="N258" s="24" t="str">
        <x:v>haemulon sciurus</x:v>
      </x:c>
      <x:c r="O258" s="32" t="n">
        <x:v>3.48</x:v>
      </x:c>
      <x:c r="P258" s="24" t="str">
        <x:v>exact_2020_supplement</x:v>
      </x:c>
      <x:c r="Q258" s="32" t="str">
        <x:v>2020 supplement MeanTL</x:v>
      </x:c>
      <x:c r="R258" s="24" t="str">
        <x:v>high</x:v>
      </x:c>
      <x:c r="S258" s="24" t="str">
        <x:v>Haemulon sciurus</x:v>
      </x:c>
      <x:c r="T258" s="32" t="n">
        <x:f>IF(O258="","",(1/'Metadata'!$B$5)^(O258-1))</x:f>
        <x:v>301.9951720402016</x:v>
      </x:c>
      <x:c r="U258" s="31" t="n">
        <x:f>IF(T258="","",I258*T258)</x:f>
        <x:v>639.0238013648159</x:v>
      </x:c>
    </x:row>
    <x:row r="259" ht="18" customHeight="1">
      <x:c r="A259" s="24" t="str">
        <x:v>EEZ_851</x:v>
      </x:c>
      <x:c r="B259" s="24" t="str">
        <x:v>USA (East Coast)</x:v>
      </x:c>
      <x:c r="C259" s="24" t="str">
        <x:v>EEZ</x:v>
      </x:c>
      <x:c r="D259" s="30" t="n">
        <x:v>2019</x:v>
      </x:c>
      <x:c r="E259" s="24" t="str">
        <x:v>Sphyraena</x:v>
      </x:c>
      <x:c r="F259" s="24" t="str">
        <x:v>Barracudas, sennets</x:v>
      </x:c>
      <x:c r="G259" s="24" t="str">
        <x:v>Large pelagics (&gt;=90 cm)</x:v>
      </x:c>
      <x:c r="H259" s="24" t="str">
        <x:v>Perch-likes</x:v>
      </x:c>
      <x:c r="I259" s="31" t="n">
        <x:v>2.0764113304</x:v>
      </x:c>
      <x:c r="J259" s="31" t="n">
        <x:v>2.0764113304</x:v>
      </x:c>
      <x:c r="K259" s="31" t="n">
        <x:v>0</x:v>
      </x:c>
      <x:c r="L259" s="31" t="n">
        <x:v>0</x:v>
      </x:c>
      <x:c r="M259" s="31" t="n">
        <x:v>2.0764113304</x:v>
      </x:c>
      <x:c r="N259" s="24" t="str">
        <x:v>sphyraena</x:v>
      </x:c>
      <x:c r="O259" s="32" t="n">
        <x:v>4.4</x:v>
      </x:c>
      <x:c r="P259" s="24" t="str">
        <x:v>exact_sea_around_us</x:v>
      </x:c>
      <x:c r="Q259" s="32" t="str">
        <x:v>Sea Around Us exploited organisms</x:v>
      </x:c>
      <x:c r="R259" s="24" t="str">
        <x:v>high</x:v>
      </x:c>
      <x:c r="S259" s="24" t="str">
        <x:v>Sphyraena</x:v>
      </x:c>
      <x:c r="T259" s="32" t="n">
        <x:f>IF(O259="","",(1/'Metadata'!$B$5)^(O259-1))</x:f>
        <x:v>2511.886431509582</x:v>
      </x:c>
      <x:c r="U259" s="31" t="n">
        <x:f>IF(T259="","",I259*T259)</x:f>
        <x:v>5215.70944706452</x:v>
      </x:c>
    </x:row>
    <x:row r="260" ht="18" customHeight="1">
      <x:c r="A260" s="24" t="str">
        <x:v>EEZ_851</x:v>
      </x:c>
      <x:c r="B260" s="24" t="str">
        <x:v>USA (East Coast)</x:v>
      </x:c>
      <x:c r="C260" s="24" t="str">
        <x:v>EEZ</x:v>
      </x:c>
      <x:c r="D260" s="30" t="n">
        <x:v>2019</x:v>
      </x:c>
      <x:c r="E260" s="24" t="str">
        <x:v>Batrachoididae</x:v>
      </x:c>
      <x:c r="F260" s="24" t="str">
        <x:v>Toadfishes</x:v>
      </x:c>
      <x:c r="G260" s="24" t="str">
        <x:v>Large reef assoc. fish (&gt;=90 cm)</x:v>
      </x:c>
      <x:c r="H260" s="24" t="str">
        <x:v>Other fishes &amp; inverts</x:v>
      </x:c>
      <x:c r="I260" s="31" t="n">
        <x:v>1.9794891001</x:v>
      </x:c>
      <x:c r="J260" s="31" t="n">
        <x:v>1.9794891001</x:v>
      </x:c>
      <x:c r="K260" s="31" t="n">
        <x:v>0</x:v>
      </x:c>
      <x:c r="L260" s="31" t="n">
        <x:v>1.7449719228</x:v>
      </x:c>
      <x:c r="M260" s="31" t="n">
        <x:v>0.2345171773</x:v>
      </x:c>
      <x:c r="N260" s="24" t="str">
        <x:v>batrachoididae</x:v>
      </x:c>
      <x:c r="O260" s="32" t="n">
        <x:v>3.66</x:v>
      </x:c>
      <x:c r="P260" s="24" t="str">
        <x:v>exact_sea_around_us</x:v>
      </x:c>
      <x:c r="Q260" s="32" t="str">
        <x:v>Sea Around Us exploited organisms</x:v>
      </x:c>
      <x:c r="R260" s="24" t="str">
        <x:v>high</x:v>
      </x:c>
      <x:c r="S260" s="24" t="str">
        <x:v>Batrachoididae</x:v>
      </x:c>
      <x:c r="T260" s="32" t="n">
        <x:f>IF(O260="","",(1/'Metadata'!$B$5)^(O260-1))</x:f>
        <x:v>457.0881896148752</x:v>
      </x:c>
      <x:c r="U260" s="31" t="n">
        <x:f>IF(T260="","",I260*T260)</x:f>
        <x:v>904.8010891270875</x:v>
      </x:c>
    </x:row>
    <x:row r="261" ht="18" customHeight="1">
      <x:c r="A261" s="24" t="str">
        <x:v>EEZ_851</x:v>
      </x:c>
      <x:c r="B261" s="24" t="str">
        <x:v>USA (East Coast)</x:v>
      </x:c>
      <x:c r="C261" s="24" t="str">
        <x:v>EEZ</x:v>
      </x:c>
      <x:c r="D261" s="30" t="n">
        <x:v>2019</x:v>
      </x:c>
      <x:c r="E261" s="24" t="str">
        <x:v>Chondrichthyes</x:v>
      </x:c>
      <x:c r="F261" s="24" t="str">
        <x:v>Sharks, rays, chimaeras</x:v>
      </x:c>
      <x:c r="G261" s="24" t="str">
        <x:v>Large sharks (&gt;=90 cm)</x:v>
      </x:c>
      <x:c r="H261" s="24" t="str">
        <x:v>Sharks &amp; rays</x:v>
      </x:c>
      <x:c r="I261" s="31" t="n">
        <x:v>1.9785722711</x:v>
      </x:c>
      <x:c r="J261" s="31" t="n">
        <x:v>1.9785722711</x:v>
      </x:c>
      <x:c r="K261" s="31" t="n">
        <x:v>0</x:v>
      </x:c>
      <x:c r="L261" s="31" t="n">
        <x:v>1.9785722711</x:v>
      </x:c>
      <x:c r="M261" s="31" t="n">
        <x:v>0</x:v>
      </x:c>
      <x:c r="N261" s="24" t="str">
        <x:v>chondrichthyes</x:v>
      </x:c>
      <x:c r="O261" s="32" t="n">
        <x:v>4</x:v>
      </x:c>
      <x:c r="P261" s="24" t="str">
        <x:v>exact_sea_around_us</x:v>
      </x:c>
      <x:c r="Q261" s="32" t="str">
        <x:v>Sea Around Us exploited organisms</x:v>
      </x:c>
      <x:c r="R261" s="24" t="str">
        <x:v>high</x:v>
      </x:c>
      <x:c r="S261" s="24" t="str">
        <x:v>Chondrichthyes</x:v>
      </x:c>
      <x:c r="T261" s="32" t="n">
        <x:f>IF(O261="","",(1/'Metadata'!$B$5)^(O261-1))</x:f>
        <x:v>1000</x:v>
      </x:c>
      <x:c r="U261" s="31" t="n">
        <x:f>IF(T261="","",I261*T261)</x:f>
        <x:v>1978.5722711</x:v>
      </x:c>
    </x:row>
    <x:row r="262" ht="18" customHeight="1">
      <x:c r="A262" s="24" t="str">
        <x:v>EEZ_851</x:v>
      </x:c>
      <x:c r="B262" s="24" t="str">
        <x:v>USA (East Coast)</x:v>
      </x:c>
      <x:c r="C262" s="24" t="str">
        <x:v>EEZ</x:v>
      </x:c>
      <x:c r="D262" s="30" t="n">
        <x:v>2019</x:v>
      </x:c>
      <x:c r="E262" s="24" t="str">
        <x:v>Galeocerdo cuvier</x:v>
      </x:c>
      <x:c r="F262" s="24" t="str">
        <x:v>Tiger shark</x:v>
      </x:c>
      <x:c r="G262" s="24" t="str">
        <x:v>Large sharks (&gt;=90 cm)</x:v>
      </x:c>
      <x:c r="H262" s="24" t="str">
        <x:v>Sharks &amp; rays</x:v>
      </x:c>
      <x:c r="I262" s="31" t="n">
        <x:v>1.6849561691</x:v>
      </x:c>
      <x:c r="J262" s="31" t="n">
        <x:v>1.6849561691</x:v>
      </x:c>
      <x:c r="K262" s="31" t="n">
        <x:v>0</x:v>
      </x:c>
      <x:c r="L262" s="31" t="n">
        <x:v>1.2877502698999999</x:v>
      </x:c>
      <x:c r="M262" s="31" t="n">
        <x:v>0.3972058992</x:v>
      </x:c>
      <x:c r="N262" s="24" t="str">
        <x:v>galeocerdo cuvier</x:v>
      </x:c>
      <x:c r="O262" s="32" t="n">
        <x:v>4.54</x:v>
      </x:c>
      <x:c r="P262" s="24" t="str">
        <x:v>exact_2020_supplement</x:v>
      </x:c>
      <x:c r="Q262" s="32" t="str">
        <x:v>2020 supplement MeanTL</x:v>
      </x:c>
      <x:c r="R262" s="24" t="str">
        <x:v>high</x:v>
      </x:c>
      <x:c r="S262" s="24" t="str">
        <x:v>Galeocerdo cuvier</x:v>
      </x:c>
      <x:c r="T262" s="32" t="n">
        <x:f>IF(O262="","",(1/'Metadata'!$B$5)^(O262-1))</x:f>
        <x:v>3467.368504525317</x:v>
      </x:c>
      <x:c r="U262" s="31" t="n">
        <x:f>IF(T262="","",I262*T262)</x:f>
        <x:v>5842.363952242974</x:v>
      </x:c>
    </x:row>
    <x:row r="263" ht="18" customHeight="1">
      <x:c r="A263" s="24" t="str">
        <x:v>EEZ_851</x:v>
      </x:c>
      <x:c r="B263" s="24" t="str">
        <x:v>USA (East Coast)</x:v>
      </x:c>
      <x:c r="C263" s="24" t="str">
        <x:v>EEZ</x:v>
      </x:c>
      <x:c r="D263" s="30" t="n">
        <x:v>2019</x:v>
      </x:c>
      <x:c r="E263" s="24" t="str">
        <x:v>Geukensia demissa</x:v>
      </x:c>
      <x:c r="F263" s="24" t="str">
        <x:v>Ribbed mussel</x:v>
      </x:c>
      <x:c r="G263" s="24" t="str">
        <x:v>Other demersal invertebrates</x:v>
      </x:c>
      <x:c r="H263" s="24" t="str">
        <x:v>Molluscs</x:v>
      </x:c>
      <x:c r="I263" s="31" t="n">
        <x:v>1.6288521377</x:v>
      </x:c>
      <x:c r="J263" s="31" t="n">
        <x:v>1.6288521377</x:v>
      </x:c>
      <x:c r="K263" s="31" t="n">
        <x:v>0</x:v>
      </x:c>
      <x:c r="L263" s="31" t="n">
        <x:v>1.6288521377</x:v>
      </x:c>
      <x:c r="M263" s="31" t="n">
        <x:v>0</x:v>
      </x:c>
      <x:c r="N263" s="24" t="str">
        <x:v>geukensia demissa</x:v>
      </x:c>
      <x:c r="O263" s="32" t="n">
        <x:v>2</x:v>
      </x:c>
      <x:c r="P263" s="24" t="str">
        <x:v>exact_sea_around_us</x:v>
      </x:c>
      <x:c r="Q263" s="32" t="str">
        <x:v>Sea Around Us exploited organisms</x:v>
      </x:c>
      <x:c r="R263" s="24" t="str">
        <x:v>high</x:v>
      </x:c>
      <x:c r="S263" s="24" t="str">
        <x:v>Geukensia demissa</x:v>
      </x:c>
      <x:c r="T263" s="32" t="n">
        <x:f>IF(O263="","",(1/'Metadata'!$B$5)^(O263-1))</x:f>
        <x:v>10</x:v>
      </x:c>
      <x:c r="U263" s="31" t="n">
        <x:f>IF(T263="","",I263*T263)</x:f>
        <x:v>16.288521377000002</x:v>
      </x:c>
    </x:row>
    <x:row r="264" ht="18" customHeight="1">
      <x:c r="A264" s="24" t="str">
        <x:v>EEZ_851</x:v>
      </x:c>
      <x:c r="B264" s="24" t="str">
        <x:v>USA (East Coast)</x:v>
      </x:c>
      <x:c r="C264" s="24" t="str">
        <x:v>EEZ</x:v>
      </x:c>
      <x:c r="D264" s="30" t="n">
        <x:v>2019</x:v>
      </x:c>
      <x:c r="E264" s="24" t="str">
        <x:v>Epinephelus guttatus</x:v>
      </x:c>
      <x:c r="F264" s="24" t="str">
        <x:v>Red hind</x:v>
      </x:c>
      <x:c r="G264" s="24" t="str">
        <x:v>Medium reef assoc. fish (30 - 89 cm)</x:v>
      </x:c>
      <x:c r="H264" s="24" t="str">
        <x:v>Perch-likes</x:v>
      </x:c>
      <x:c r="I264" s="31" t="n">
        <x:v>1.5790818087</x:v>
      </x:c>
      <x:c r="J264" s="31" t="n">
        <x:v>1.5790818087</x:v>
      </x:c>
      <x:c r="K264" s="31" t="n">
        <x:v>0</x:v>
      </x:c>
      <x:c r="L264" s="31" t="n">
        <x:v>1.5766889541000002</x:v>
      </x:c>
      <x:c r="M264" s="31" t="n">
        <x:v>0.0023928546</x:v>
      </x:c>
      <x:c r="N264" s="24" t="str">
        <x:v>epinephelus guttatus</x:v>
      </x:c>
      <x:c r="O264" s="32" t="n">
        <x:v>3.84</x:v>
      </x:c>
      <x:c r="P264" s="24" t="str">
        <x:v>exact_2020_supplement</x:v>
      </x:c>
      <x:c r="Q264" s="32" t="str">
        <x:v>2020 supplement MeanTL</x:v>
      </x:c>
      <x:c r="R264" s="24" t="str">
        <x:v>high</x:v>
      </x:c>
      <x:c r="S264" s="24" t="str">
        <x:v>Epinephelus guttatus</x:v>
      </x:c>
      <x:c r="T264" s="32" t="n">
        <x:f>IF(O264="","",(1/'Metadata'!$B$5)^(O264-1))</x:f>
        <x:v>691.8309709189363</x:v>
      </x:c>
      <x:c r="U264" s="31" t="n">
        <x:f>IF(T264="","",I264*T264)</x:f>
        <x:v>1092.457700873351</x:v>
      </x:c>
    </x:row>
    <x:row r="265" ht="18" customHeight="1">
      <x:c r="A265" s="24" t="str">
        <x:v>EEZ_851</x:v>
      </x:c>
      <x:c r="B265" s="24" t="str">
        <x:v>USA (East Coast)</x:v>
      </x:c>
      <x:c r="C265" s="24" t="str">
        <x:v>EEZ</x:v>
      </x:c>
      <x:c r="D265" s="30" t="n">
        <x:v>2019</x:v>
      </x:c>
      <x:c r="E265" s="24" t="str">
        <x:v>Lamniformes</x:v>
      </x:c>
      <x:c r="F265" s="24" t="str">
        <x:v>Mackerel sharks</x:v>
      </x:c>
      <x:c r="G265" s="24" t="str">
        <x:v>Large sharks (&gt;=90 cm)</x:v>
      </x:c>
      <x:c r="H265" s="24" t="str">
        <x:v>Sharks &amp; rays</x:v>
      </x:c>
      <x:c r="I265" s="31" t="n">
        <x:v>1.4873311501000002</x:v>
      </x:c>
      <x:c r="J265" s="31" t="n">
        <x:v>1.4873311501000002</x:v>
      </x:c>
      <x:c r="K265" s="31" t="n">
        <x:v>0</x:v>
      </x:c>
      <x:c r="L265" s="31" t="n">
        <x:v>1.4873311501000002</x:v>
      </x:c>
      <x:c r="M265" s="31" t="n">
        <x:v>0</x:v>
      </x:c>
      <x:c r="N265" s="24" t="str">
        <x:v>lamniformes</x:v>
      </x:c>
      <x:c r="O265" s="32" t="n">
        <x:v>4.34</x:v>
      </x:c>
      <x:c r="P265" s="24" t="str">
        <x:v>exact_sea_around_us</x:v>
      </x:c>
      <x:c r="Q265" s="32" t="str">
        <x:v>Sea Around Us exploited organisms</x:v>
      </x:c>
      <x:c r="R265" s="24" t="str">
        <x:v>high</x:v>
      </x:c>
      <x:c r="S265" s="24" t="str">
        <x:v>Lamniformes</x:v>
      </x:c>
      <x:c r="T265" s="32" t="n">
        <x:f>IF(O265="","",(1/'Metadata'!$B$5)^(O265-1))</x:f>
        <x:v>2187.761623949552</x:v>
      </x:c>
      <x:c r="U265" s="31" t="n">
        <x:f>IF(T265="","",I265*T265)</x:f>
        <x:v>3253.926012293531</x:v>
      </x:c>
    </x:row>
    <x:row r="266" ht="18" customHeight="1">
      <x:c r="A266" s="24" t="str">
        <x:v>EEZ_851</x:v>
      </x:c>
      <x:c r="B266" s="24" t="str">
        <x:v>USA (East Coast)</x:v>
      </x:c>
      <x:c r="C266" s="24" t="str">
        <x:v>EEZ</x:v>
      </x:c>
      <x:c r="D266" s="30" t="n">
        <x:v>2019</x:v>
      </x:c>
      <x:c r="E266" s="24" t="str">
        <x:v>Holocentridae</x:v>
      </x:c>
      <x:c r="F266" s="24" t="str">
        <x:v>Squirrel-, soldierfishes</x:v>
      </x:c>
      <x:c r="G266" s="24" t="str">
        <x:v>Small reef assoc. fish (&lt;30 cm)</x:v>
      </x:c>
      <x:c r="H266" s="24" t="str">
        <x:v>Other fishes &amp; inverts</x:v>
      </x:c>
      <x:c r="I266" s="31" t="n">
        <x:v>1.4503879651</x:v>
      </x:c>
      <x:c r="J266" s="31" t="n">
        <x:v>1.4503879651</x:v>
      </x:c>
      <x:c r="K266" s="31" t="n">
        <x:v>0</x:v>
      </x:c>
      <x:c r="L266" s="31" t="n">
        <x:v>1.3426350121</x:v>
      </x:c>
      <x:c r="M266" s="31" t="n">
        <x:v>0.107752953</x:v>
      </x:c>
      <x:c r="N266" s="24" t="str">
        <x:v>holocentridae</x:v>
      </x:c>
      <x:c r="O266" s="32" t="n">
        <x:v>3.49</x:v>
      </x:c>
      <x:c r="P266" s="24" t="str">
        <x:v>exact_sea_around_us</x:v>
      </x:c>
      <x:c r="Q266" s="32" t="str">
        <x:v>Sea Around Us exploited organisms</x:v>
      </x:c>
      <x:c r="R266" s="24" t="str">
        <x:v>high</x:v>
      </x:c>
      <x:c r="S266" s="24" t="str">
        <x:v>Holocentridae</x:v>
      </x:c>
      <x:c r="T266" s="32" t="n">
        <x:f>IF(O266="","",(1/'Metadata'!$B$5)^(O266-1))</x:f>
        <x:v>309.0295432513592</x:v>
      </x:c>
      <x:c r="U266" s="31" t="n">
        <x:f>IF(T266="","",I266*T266)</x:f>
        <x:v>448.21273039212133</x:v>
      </x:c>
    </x:row>
    <x:row r="267" ht="18" customHeight="1">
      <x:c r="A267" s="24" t="str">
        <x:v>EEZ_851</x:v>
      </x:c>
      <x:c r="B267" s="24" t="str">
        <x:v>USA (East Coast)</x:v>
      </x:c>
      <x:c r="C267" s="24" t="str">
        <x:v>EEZ</x:v>
      </x:c>
      <x:c r="D267" s="30" t="n">
        <x:v>2019</x:v>
      </x:c>
      <x:c r="E267" s="24" t="str">
        <x:v>Sphyraenidae</x:v>
      </x:c>
      <x:c r="F267" s="24" t="str">
        <x:v>Barracudas</x:v>
      </x:c>
      <x:c r="G267" s="24" t="str">
        <x:v>Medium reef assoc. fish (30 - 89 cm)</x:v>
      </x:c>
      <x:c r="H267" s="24" t="str">
        <x:v>Perch-likes</x:v>
      </x:c>
      <x:c r="I267" s="31" t="n">
        <x:v>1.4483221599999998</x:v>
      </x:c>
      <x:c r="J267" s="31" t="n">
        <x:v>1.4483221599999998</x:v>
      </x:c>
      <x:c r="K267" s="31" t="n">
        <x:v>0</x:v>
      </x:c>
      <x:c r="L267" s="31" t="n">
        <x:v>1.4483221599999998</x:v>
      </x:c>
      <x:c r="M267" s="31" t="n">
        <x:v>0</x:v>
      </x:c>
      <x:c r="N267" s="24" t="str">
        <x:v>sphyraenidae</x:v>
      </x:c>
      <x:c r="O267" s="32" t="n">
        <x:v>4.4</x:v>
      </x:c>
      <x:c r="P267" s="24" t="str">
        <x:v>exact_sea_around_us</x:v>
      </x:c>
      <x:c r="Q267" s="32" t="str">
        <x:v>Sea Around Us exploited organisms</x:v>
      </x:c>
      <x:c r="R267" s="24" t="str">
        <x:v>high</x:v>
      </x:c>
      <x:c r="S267" s="24" t="str">
        <x:v>Sphyraenidae</x:v>
      </x:c>
      <x:c r="T267" s="32" t="n">
        <x:f>IF(O267="","",(1/'Metadata'!$B$5)^(O267-1))</x:f>
        <x:v>2511.886431509582</x:v>
      </x:c>
      <x:c r="U267" s="31" t="n">
        <x:f>IF(T267="","",I267*T267)</x:f>
        <x:v>3638.0207821586496</x:v>
      </x:c>
    </x:row>
    <x:row r="268" ht="18" customHeight="1">
      <x:c r="A268" s="24" t="str">
        <x:v>EEZ_851</x:v>
      </x:c>
      <x:c r="B268" s="24" t="str">
        <x:v>USA (East Coast)</x:v>
      </x:c>
      <x:c r="C268" s="24" t="str">
        <x:v>EEZ</x:v>
      </x:c>
      <x:c r="D268" s="30" t="n">
        <x:v>2019</x:v>
      </x:c>
      <x:c r="E268" s="24" t="str">
        <x:v>Alosa</x:v>
      </x:c>
      <x:c r="F268" s="24" t="str">
        <x:v>Shads</x:v>
      </x:c>
      <x:c r="G268" s="24" t="str">
        <x:v>Medium pelagics (30 - 89 cm)</x:v>
      </x:c>
      <x:c r="H268" s="24" t="str">
        <x:v>Herring-likes</x:v>
      </x:c>
      <x:c r="I268" s="31" t="n">
        <x:v>1.3507996839</x:v>
      </x:c>
      <x:c r="J268" s="31" t="n">
        <x:v>1.3507996839</x:v>
      </x:c>
      <x:c r="K268" s="31" t="n">
        <x:v>0</x:v>
      </x:c>
      <x:c r="L268" s="31" t="n">
        <x:v>1.3507996839</x:v>
      </x:c>
      <x:c r="M268" s="31" t="n">
        <x:v>0</x:v>
      </x:c>
      <x:c r="N268" s="24" t="str">
        <x:v>alosa</x:v>
      </x:c>
      <x:c r="O268" s="32" t="n">
        <x:v>3.89</x:v>
      </x:c>
      <x:c r="P268" s="24" t="str">
        <x:v>exact_sea_around_us</x:v>
      </x:c>
      <x:c r="Q268" s="32" t="str">
        <x:v>Sea Around Us exploited organisms</x:v>
      </x:c>
      <x:c r="R268" s="24" t="str">
        <x:v>high</x:v>
      </x:c>
      <x:c r="S268" s="24" t="str">
        <x:v>Alosa</x:v>
      </x:c>
      <x:c r="T268" s="32" t="n">
        <x:f>IF(O268="","",(1/'Metadata'!$B$5)^(O268-1))</x:f>
        <x:v>776.247116628692</x:v>
      </x:c>
      <x:c r="U268" s="31" t="n">
        <x:f>IF(T268="","",I268*T268)</x:f>
        <x:v>1048.5543597703236</x:v>
      </x:c>
    </x:row>
    <x:row r="269" ht="18" customHeight="1">
      <x:c r="A269" s="24" t="str">
        <x:v>EEZ_851</x:v>
      </x:c>
      <x:c r="B269" s="24" t="str">
        <x:v>USA (East Coast)</x:v>
      </x:c>
      <x:c r="C269" s="24" t="str">
        <x:v>EEZ</x:v>
      </x:c>
      <x:c r="D269" s="30" t="n">
        <x:v>2019</x:v>
      </x:c>
      <x:c r="E269" s="24" t="str">
        <x:v>Carangidae</x:v>
      </x:c>
      <x:c r="F269" s="24" t="str">
        <x:v>Jacks, pompanos</x:v>
      </x:c>
      <x:c r="G269" s="24" t="str">
        <x:v>Medium pelagics (30 - 89 cm)</x:v>
      </x:c>
      <x:c r="H269" s="24" t="str">
        <x:v>Perch-likes</x:v>
      </x:c>
      <x:c r="I269" s="31" t="n">
        <x:v>1.3166870527</x:v>
      </x:c>
      <x:c r="J269" s="31" t="n">
        <x:v>1.3166870527</x:v>
      </x:c>
      <x:c r="K269" s="31" t="n">
        <x:v>0</x:v>
      </x:c>
      <x:c r="L269" s="31" t="n">
        <x:v>1.1979388741</x:v>
      </x:c>
      <x:c r="M269" s="31" t="n">
        <x:v>0.1187481786</x:v>
      </x:c>
      <x:c r="N269" s="24" t="str">
        <x:v>carangidae</x:v>
      </x:c>
      <x:c r="O269" s="32" t="n">
        <x:v>4.05</x:v>
      </x:c>
      <x:c r="P269" s="24" t="str">
        <x:v>exact_sea_around_us</x:v>
      </x:c>
      <x:c r="Q269" s="32" t="str">
        <x:v>Sea Around Us exploited organisms</x:v>
      </x:c>
      <x:c r="R269" s="24" t="str">
        <x:v>high</x:v>
      </x:c>
      <x:c r="S269" s="24" t="str">
        <x:v>Carangidae</x:v>
      </x:c>
      <x:c r="T269" s="32" t="n">
        <x:f>IF(O269="","",(1/'Metadata'!$B$5)^(O269-1))</x:f>
        <x:v>1122.018454301963</x:v>
      </x:c>
      <x:c r="U269" s="31" t="n">
        <x:f>IF(T269="","",I269*T269)</x:f>
        <x:v>1477.3471716698614</x:v>
      </x:c>
    </x:row>
    <x:row r="270" ht="18" customHeight="1">
      <x:c r="A270" s="24" t="str">
        <x:v>EEZ_851</x:v>
      </x:c>
      <x:c r="B270" s="24" t="str">
        <x:v>USA (East Coast)</x:v>
      </x:c>
      <x:c r="C270" s="24" t="str">
        <x:v>EEZ</x:v>
      </x:c>
      <x:c r="D270" s="30" t="n">
        <x:v>2019</x:v>
      </x:c>
      <x:c r="E270" s="24" t="str">
        <x:v>Holothuria floridana</x:v>
      </x:c>
      <x:c r="F270" s="24" t="str">
        <x:v>Florida sea cucumber</x:v>
      </x:c>
      <x:c r="G270" s="24" t="str">
        <x:v>Other demersal invertebrates</x:v>
      </x:c>
      <x:c r="H270" s="24" t="str">
        <x:v>Other fishes &amp; inverts</x:v>
      </x:c>
      <x:c r="I270" s="31" t="n">
        <x:v>1.2832143410999999</x:v>
      </x:c>
      <x:c r="J270" s="31" t="n">
        <x:v>1.2832143410999999</x:v>
      </x:c>
      <x:c r="K270" s="31" t="n">
        <x:v>0</x:v>
      </x:c>
      <x:c r="L270" s="31" t="n">
        <x:v>1.2832143410999999</x:v>
      </x:c>
      <x:c r="M270" s="31" t="n">
        <x:v>0</x:v>
      </x:c>
      <x:c r="N270" s="24" t="str">
        <x:v>holothuria floridana</x:v>
      </x:c>
      <x:c r="O270" s="32" t="n">
        <x:v>2</x:v>
      </x:c>
      <x:c r="P270" s="24" t="str">
        <x:v>exact_sea_around_us</x:v>
      </x:c>
      <x:c r="Q270" s="32" t="str">
        <x:v>Sea Around Us exploited organisms</x:v>
      </x:c>
      <x:c r="R270" s="24" t="str">
        <x:v>high</x:v>
      </x:c>
      <x:c r="S270" s="24" t="str">
        <x:v>Holothuria floridana</x:v>
      </x:c>
      <x:c r="T270" s="32" t="n">
        <x:f>IF(O270="","",(1/'Metadata'!$B$5)^(O270-1))</x:f>
        <x:v>10</x:v>
      </x:c>
      <x:c r="U270" s="31" t="n">
        <x:f>IF(T270="","",I270*T270)</x:f>
        <x:v>12.832143410999999</x:v>
      </x:c>
    </x:row>
    <x:row r="271" ht="18" customHeight="1">
      <x:c r="A271" s="24" t="str">
        <x:v>EEZ_851</x:v>
      </x:c>
      <x:c r="B271" s="24" t="str">
        <x:v>USA (East Coast)</x:v>
      </x:c>
      <x:c r="C271" s="24" t="str">
        <x:v>EEZ</x:v>
      </x:c>
      <x:c r="D271" s="30" t="n">
        <x:v>2019</x:v>
      </x:c>
      <x:c r="E271" s="24" t="str">
        <x:v>Polyprion americanus</x:v>
      </x:c>
      <x:c r="F271" s="24" t="str">
        <x:v>Wreckfish</x:v>
      </x:c>
      <x:c r="G271" s="24" t="str">
        <x:v>Large bathydemersals (&gt;=90 cm)</x:v>
      </x:c>
      <x:c r="H271" s="24" t="str">
        <x:v>Perch-likes</x:v>
      </x:c>
      <x:c r="I271" s="31" t="n">
        <x:v>1.2804984717</x:v>
      </x:c>
      <x:c r="J271" s="31" t="n">
        <x:v>1.2804984717</x:v>
      </x:c>
      <x:c r="K271" s="31" t="n">
        <x:v>0</x:v>
      </x:c>
      <x:c r="L271" s="31" t="n">
        <x:v>0</x:v>
      </x:c>
      <x:c r="M271" s="31" t="n">
        <x:v>1.2804984717</x:v>
      </x:c>
      <x:c r="N271" s="24" t="str">
        <x:v>polyprion americanus</x:v>
      </x:c>
      <x:c r="O271" s="32" t="n">
        <x:v>4.14</x:v>
      </x:c>
      <x:c r="P271" s="24" t="str">
        <x:v>exact_2020_supplement</x:v>
      </x:c>
      <x:c r="Q271" s="32" t="str">
        <x:v>2020 supplement MeanTL</x:v>
      </x:c>
      <x:c r="R271" s="24" t="str">
        <x:v>high</x:v>
      </x:c>
      <x:c r="S271" s="24" t="str">
        <x:v>Polyprion americanus</x:v>
      </x:c>
      <x:c r="T271" s="32" t="n">
        <x:f>IF(O271="","",(1/'Metadata'!$B$5)^(O271-1))</x:f>
        <x:v>1380.3842646028838</x:v>
      </x:c>
      <x:c r="U271" s="31" t="n">
        <x:f>IF(T271="","",I271*T271)</x:f>
        <x:v>1767.5799411827213</x:v>
      </x:c>
    </x:row>
    <x:row r="272" ht="18" customHeight="1">
      <x:c r="A272" s="24" t="str">
        <x:v>EEZ_851</x:v>
      </x:c>
      <x:c r="B272" s="24" t="str">
        <x:v>USA (East Coast)</x:v>
      </x:c>
      <x:c r="C272" s="24" t="str">
        <x:v>EEZ</x:v>
      </x:c>
      <x:c r="D272" s="30" t="n">
        <x:v>2019</x:v>
      </x:c>
      <x:c r="E272" s="24" t="str">
        <x:v>Carcharhinus plumbeus</x:v>
      </x:c>
      <x:c r="F272" s="24" t="str">
        <x:v>Sandbar shark</x:v>
      </x:c>
      <x:c r="G272" s="24" t="str">
        <x:v>Large sharks (&gt;=90 cm)</x:v>
      </x:c>
      <x:c r="H272" s="24" t="str">
        <x:v>Sharks &amp; rays</x:v>
      </x:c>
      <x:c r="I272" s="31" t="n">
        <x:v>1.241981139</x:v>
      </x:c>
      <x:c r="J272" s="31" t="n">
        <x:v>1.241981139</x:v>
      </x:c>
      <x:c r="K272" s="31" t="n">
        <x:v>0</x:v>
      </x:c>
      <x:c r="L272" s="31" t="n">
        <x:v>0</x:v>
      </x:c>
      <x:c r="M272" s="31" t="n">
        <x:v>1.241981139</x:v>
      </x:c>
      <x:c r="N272" s="24" t="str">
        <x:v>carcharhinus plumbeus</x:v>
      </x:c>
      <x:c r="O272" s="32" t="n">
        <x:v>4.49</x:v>
      </x:c>
      <x:c r="P272" s="24" t="str">
        <x:v>exact_2020_supplement</x:v>
      </x:c>
      <x:c r="Q272" s="32" t="str">
        <x:v>2020 supplement MeanTL</x:v>
      </x:c>
      <x:c r="R272" s="24" t="str">
        <x:v>high</x:v>
      </x:c>
      <x:c r="S272" s="24" t="str">
        <x:v>Carcharhinus plumbeus</x:v>
      </x:c>
      <x:c r="T272" s="32" t="n">
        <x:f>IF(O272="","",(1/'Metadata'!$B$5)^(O272-1))</x:f>
        <x:v>3090.295432513592</x:v>
      </x:c>
      <x:c r="U272" s="31" t="n">
        <x:f>IF(T272="","",I272*T272)</x:f>
        <x:v>3838.0886411197284</x:v>
      </x:c>
    </x:row>
    <x:row r="273" ht="18" customHeight="1">
      <x:c r="A273" s="24" t="str">
        <x:v>EEZ_851</x:v>
      </x:c>
      <x:c r="B273" s="24" t="str">
        <x:v>USA (East Coast)</x:v>
      </x:c>
      <x:c r="C273" s="24" t="str">
        <x:v>EEZ</x:v>
      </x:c>
      <x:c r="D273" s="30" t="n">
        <x:v>2019</x:v>
      </x:c>
      <x:c r="E273" s="24" t="str">
        <x:v>Cynoscion arenarius</x:v>
      </x:c>
      <x:c r="F273" s="24" t="str">
        <x:v>Sand weakfish</x:v>
      </x:c>
      <x:c r="G273" s="24" t="str">
        <x:v>Medium demersals (30 - 89 cm)</x:v>
      </x:c>
      <x:c r="H273" s="24" t="str">
        <x:v>Perch-likes</x:v>
      </x:c>
      <x:c r="I273" s="31" t="n">
        <x:v>1.2361575162</x:v>
      </x:c>
      <x:c r="J273" s="31" t="n">
        <x:v>1.2361575162</x:v>
      </x:c>
      <x:c r="K273" s="31" t="n">
        <x:v>0</x:v>
      </x:c>
      <x:c r="L273" s="31" t="n">
        <x:v>1.2083715111</x:v>
      </x:c>
      <x:c r="M273" s="31" t="n">
        <x:v>0.0277860051</x:v>
      </x:c>
      <x:c r="N273" s="24" t="str">
        <x:v>cynoscion arenarius</x:v>
      </x:c>
      <x:c r="O273" s="32" t="n">
        <x:v>4.17</x:v>
      </x:c>
      <x:c r="P273" s="24" t="str">
        <x:v>exact_2020_supplement</x:v>
      </x:c>
      <x:c r="Q273" s="32" t="str">
        <x:v>2020 supplement MeanTL</x:v>
      </x:c>
      <x:c r="R273" s="24" t="str">
        <x:v>high</x:v>
      </x:c>
      <x:c r="S273" s="24" t="str">
        <x:v>Cynoscion arenarius</x:v>
      </x:c>
      <x:c r="T273" s="32" t="n">
        <x:f>IF(O273="","",(1/'Metadata'!$B$5)^(O273-1))</x:f>
        <x:v>1479.1083881682073</x:v>
      </x:c>
      <x:c r="U273" s="31" t="n">
        <x:f>IF(T273="","",I273*T273)</x:f>
        <x:v>1828.4109513085966</x:v>
      </x:c>
    </x:row>
    <x:row r="274" ht="18" customHeight="1">
      <x:c r="A274" s="24" t="str">
        <x:v>EEZ_851</x:v>
      </x:c>
      <x:c r="B274" s="24" t="str">
        <x:v>USA (East Coast)</x:v>
      </x:c>
      <x:c r="C274" s="24" t="str">
        <x:v>EEZ</x:v>
      </x:c>
      <x:c r="D274" s="30" t="n">
        <x:v>2019</x:v>
      </x:c>
      <x:c r="E274" s="24" t="str">
        <x:v>Kajikia albida</x:v>
      </x:c>
      <x:c r="F274" s="24" t="str">
        <x:v>Atlantic white marlin</x:v>
      </x:c>
      <x:c r="G274" s="24" t="str">
        <x:v>Large pelagics (&gt;=90 cm)</x:v>
      </x:c>
      <x:c r="H274" s="24" t="str">
        <x:v>Tuna &amp; billfishes</x:v>
      </x:c>
      <x:c r="I274" s="31" t="n">
        <x:v>1.1029638315999999</x:v>
      </x:c>
      <x:c r="J274" s="31" t="n">
        <x:v>1.1029638315999999</x:v>
      </x:c>
      <x:c r="K274" s="31" t="n">
        <x:v>0</x:v>
      </x:c>
      <x:c r="L274" s="31" t="n">
        <x:v>1.1029638315999999</x:v>
      </x:c>
      <x:c r="M274" s="31" t="n">
        <x:v>0</x:v>
      </x:c>
      <x:c r="N274" s="24" t="str">
        <x:v>kajikia albida</x:v>
      </x:c>
      <x:c r="O274" s="32" t="n">
        <x:v>4.49</x:v>
      </x:c>
      <x:c r="P274" s="24" t="str">
        <x:v>exact_2020_supplement</x:v>
      </x:c>
      <x:c r="Q274" s="32" t="str">
        <x:v>2020 supplement MeanTL</x:v>
      </x:c>
      <x:c r="R274" s="24" t="str">
        <x:v>high</x:v>
      </x:c>
      <x:c r="S274" s="24" t="str">
        <x:v>Kajikia albida</x:v>
      </x:c>
      <x:c r="T274" s="32" t="n">
        <x:f>IF(O274="","",(1/'Metadata'!$B$5)^(O274-1))</x:f>
        <x:v>3090.295432513592</x:v>
      </x:c>
      <x:c r="U274" s="31" t="n">
        <x:f>IF(T274="","",I274*T274)</x:f>
        <x:v>3408.48409102117</x:v>
      </x:c>
    </x:row>
    <x:row r="275" ht="18" customHeight="1">
      <x:c r="A275" s="24" t="str">
        <x:v>EEZ_851</x:v>
      </x:c>
      <x:c r="B275" s="24" t="str">
        <x:v>USA (East Coast)</x:v>
      </x:c>
      <x:c r="C275" s="24" t="str">
        <x:v>EEZ</x:v>
      </x:c>
      <x:c r="D275" s="30" t="n">
        <x:v>2019</x:v>
      </x:c>
      <x:c r="E275" s="24" t="str">
        <x:v>Elacatinus oceanops</x:v>
      </x:c>
      <x:c r="F275" s="24" t="str">
        <x:v>Neon goby</x:v>
      </x:c>
      <x:c r="G275" s="24" t="str">
        <x:v>Small reef assoc. fish (&lt;30 cm)</x:v>
      </x:c>
      <x:c r="H275" s="24" t="str">
        <x:v>Perch-likes</x:v>
      </x:c>
      <x:c r="I275" s="31" t="n">
        <x:v>0.839146882</x:v>
      </x:c>
      <x:c r="J275" s="31" t="n">
        <x:v>0.839146882</x:v>
      </x:c>
      <x:c r="K275" s="31" t="n">
        <x:v>0</x:v>
      </x:c>
      <x:c r="L275" s="31" t="n">
        <x:v>0.839146882</x:v>
      </x:c>
      <x:c r="M275" s="31" t="n">
        <x:v>0</x:v>
      </x:c>
      <x:c r="N275" s="24" t="str">
        <x:v>elacatinus oceanops</x:v>
      </x:c>
      <x:c r="O275" s="32" t="n">
        <x:v>3.5</x:v>
      </x:c>
      <x:c r="P275" s="24" t="str">
        <x:v>exact_2020_supplement</x:v>
      </x:c>
      <x:c r="Q275" s="32" t="str">
        <x:v>2020 supplement MeanTL</x:v>
      </x:c>
      <x:c r="R275" s="24" t="str">
        <x:v>high</x:v>
      </x:c>
      <x:c r="S275" s="24" t="str">
        <x:v>Elacatinus oceanops</x:v>
      </x:c>
      <x:c r="T275" s="32" t="n">
        <x:f>IF(O275="","",(1/'Metadata'!$B$5)^(O275-1))</x:f>
        <x:v>316.22776601683796</x:v>
      </x:c>
      <x:c r="U275" s="31" t="n">
        <x:f>IF(T275="","",I275*T275)</x:f>
        <x:v>265.36154385485514</x:v>
      </x:c>
    </x:row>
    <x:row r="276" ht="18" customHeight="1">
      <x:c r="A276" s="24" t="str">
        <x:v>EEZ_851</x:v>
      </x:c>
      <x:c r="B276" s="24" t="str">
        <x:v>USA (East Coast)</x:v>
      </x:c>
      <x:c r="C276" s="24" t="str">
        <x:v>EEZ</x:v>
      </x:c>
      <x:c r="D276" s="30" t="n">
        <x:v>2019</x:v>
      </x:c>
      <x:c r="E276" s="24" t="str">
        <x:v>Lutjanus buccanella</x:v>
      </x:c>
      <x:c r="F276" s="24" t="str">
        <x:v>Blackfin snapper</x:v>
      </x:c>
      <x:c r="G276" s="24" t="str">
        <x:v>Medium reef assoc. fish (30 - 89 cm)</x:v>
      </x:c>
      <x:c r="H276" s="24" t="str">
        <x:v>Perch-likes</x:v>
      </x:c>
      <x:c r="I276" s="31" t="n">
        <x:v>0.7969627411</x:v>
      </x:c>
      <x:c r="J276" s="31" t="n">
        <x:v>0.7969627411</x:v>
      </x:c>
      <x:c r="K276" s="31" t="n">
        <x:v>0</x:v>
      </x:c>
      <x:c r="L276" s="31" t="n">
        <x:v>0.7969627411</x:v>
      </x:c>
      <x:c r="M276" s="31" t="n">
        <x:v>0</x:v>
      </x:c>
      <x:c r="N276" s="24" t="str">
        <x:v>lutjanus buccanella</x:v>
      </x:c>
      <x:c r="O276" s="32" t="n">
        <x:v>3.9</x:v>
      </x:c>
      <x:c r="P276" s="24" t="str">
        <x:v>exact_2020_supplement</x:v>
      </x:c>
      <x:c r="Q276" s="32" t="str">
        <x:v>2020 supplement MeanTL</x:v>
      </x:c>
      <x:c r="R276" s="24" t="str">
        <x:v>high</x:v>
      </x:c>
      <x:c r="S276" s="24" t="str">
        <x:v>Lutjanus buccanella</x:v>
      </x:c>
      <x:c r="T276" s="32" t="n">
        <x:f>IF(O276="","",(1/'Metadata'!$B$5)^(O276-1))</x:f>
        <x:v>794.3282347242813</x:v>
      </x:c>
      <x:c r="U276" s="31" t="n">
        <x:f>IF(T276="","",I276*T276)</x:f>
        <x:v>633.0500072789874</x:v>
      </x:c>
    </x:row>
    <x:row r="277" ht="18" customHeight="1">
      <x:c r="A277" s="24" t="str">
        <x:v>EEZ_851</x:v>
      </x:c>
      <x:c r="B277" s="24" t="str">
        <x:v>USA (East Coast)</x:v>
      </x:c>
      <x:c r="C277" s="24" t="str">
        <x:v>EEZ</x:v>
      </x:c>
      <x:c r="D277" s="30" t="n">
        <x:v>2019</x:v>
      </x:c>
      <x:c r="E277" s="24" t="str">
        <x:v>Balistes vetula</x:v>
      </x:c>
      <x:c r="F277" s="24" t="str">
        <x:v>Queen triggerfish</x:v>
      </x:c>
      <x:c r="G277" s="24" t="str">
        <x:v>Medium reef assoc. fish (30 - 89 cm)</x:v>
      </x:c>
      <x:c r="H277" s="24" t="str">
        <x:v>Other fishes &amp; inverts</x:v>
      </x:c>
      <x:c r="I277" s="31" t="n">
        <x:v>0.7606753101000001</x:v>
      </x:c>
      <x:c r="J277" s="31" t="n">
        <x:v>0.7606753101000001</x:v>
      </x:c>
      <x:c r="K277" s="31" t="n">
        <x:v>0</x:v>
      </x:c>
      <x:c r="L277" s="31" t="n">
        <x:v>0.7606753101000001</x:v>
      </x:c>
      <x:c r="M277" s="31" t="n">
        <x:v>0</x:v>
      </x:c>
      <x:c r="N277" s="24" t="str">
        <x:v>balistes vetula</x:v>
      </x:c>
      <x:c r="O277" s="32" t="n">
        <x:v>3.82</x:v>
      </x:c>
      <x:c r="P277" s="24" t="str">
        <x:v>exact_2020_supplement</x:v>
      </x:c>
      <x:c r="Q277" s="32" t="str">
        <x:v>2020 supplement MeanTL</x:v>
      </x:c>
      <x:c r="R277" s="24" t="str">
        <x:v>high</x:v>
      </x:c>
      <x:c r="S277" s="24" t="str">
        <x:v>Balistes vetula</x:v>
      </x:c>
      <x:c r="T277" s="32" t="n">
        <x:f>IF(O277="","",(1/'Metadata'!$B$5)^(O277-1))</x:f>
        <x:v>660.6934480075957</x:v>
      </x:c>
      <x:c r="U277" s="31" t="n">
        <x:f>IF(T277="","",I277*T277)</x:f>
        <x:v>502.5731934442162</x:v>
      </x:c>
    </x:row>
    <x:row r="278" ht="18" customHeight="1">
      <x:c r="A278" s="24" t="str">
        <x:v>EEZ_851</x:v>
      </x:c>
      <x:c r="B278" s="24" t="str">
        <x:v>USA (East Coast)</x:v>
      </x:c>
      <x:c r="C278" s="24" t="str">
        <x:v>EEZ</x:v>
      </x:c>
      <x:c r="D278" s="30" t="n">
        <x:v>2019</x:v>
      </x:c>
      <x:c r="E278" s="24" t="str">
        <x:v>Istiophorus albicans</x:v>
      </x:c>
      <x:c r="F278" s="24" t="str">
        <x:v>Atlantic sailfish</x:v>
      </x:c>
      <x:c r="G278" s="24" t="str">
        <x:v>Large pelagics (&gt;=90 cm)</x:v>
      </x:c>
      <x:c r="H278" s="24" t="str">
        <x:v>Tuna &amp; billfishes</x:v>
      </x:c>
      <x:c r="I278" s="31" t="n">
        <x:v>0.7594038714</x:v>
      </x:c>
      <x:c r="J278" s="31" t="n">
        <x:v>0.7594038714</x:v>
      </x:c>
      <x:c r="K278" s="31" t="n">
        <x:v>0</x:v>
      </x:c>
      <x:c r="L278" s="31" t="n">
        <x:v>0.7594038714</x:v>
      </x:c>
      <x:c r="M278" s="31" t="n">
        <x:v>0</x:v>
      </x:c>
      <x:c r="N278" s="24" t="str">
        <x:v>istiophorus albicans</x:v>
      </x:c>
      <x:c r="O278" s="32" t="n">
        <x:v>4.5</x:v>
      </x:c>
      <x:c r="P278" s="24" t="str">
        <x:v>exact_2020_supplement</x:v>
      </x:c>
      <x:c r="Q278" s="32" t="str">
        <x:v>2020 supplement MeanTL</x:v>
      </x:c>
      <x:c r="R278" s="24" t="str">
        <x:v>high</x:v>
      </x:c>
      <x:c r="S278" s="24" t="str">
        <x:v>Istiophorus albicans</x:v>
      </x:c>
      <x:c r="T278" s="32" t="n">
        <x:f>IF(O278="","",(1/'Metadata'!$B$5)^(O278-1))</x:f>
        <x:v>3162.2776601683795</x:v>
      </x:c>
      <x:c r="U278" s="31" t="n">
        <x:f>IF(T278="","",I278*T278)</x:f>
        <x:v>2401.445897573601</x:v>
      </x:c>
    </x:row>
    <x:row r="279" ht="18" customHeight="1">
      <x:c r="A279" s="24" t="str">
        <x:v>EEZ_851</x:v>
      </x:c>
      <x:c r="B279" s="24" t="str">
        <x:v>USA (East Coast)</x:v>
      </x:c>
      <x:c r="C279" s="24" t="str">
        <x:v>EEZ</x:v>
      </x:c>
      <x:c r="D279" s="30" t="n">
        <x:v>2019</x:v>
      </x:c>
      <x:c r="E279" s="24" t="str">
        <x:v>Mola</x:v>
      </x:c>
      <x:c r="F279" s="24" t="str">
        <x:v>Sunfishes</x:v>
      </x:c>
      <x:c r="G279" s="24" t="str">
        <x:v>Large pelagics (&gt;=90 cm)</x:v>
      </x:c>
      <x:c r="H279" s="24" t="str">
        <x:v>Other fishes &amp; inverts</x:v>
      </x:c>
      <x:c r="I279" s="31" t="n">
        <x:v>0.7316483916</x:v>
      </x:c>
      <x:c r="J279" s="31" t="n">
        <x:v>0.7316483916</x:v>
      </x:c>
      <x:c r="K279" s="31" t="n">
        <x:v>0</x:v>
      </x:c>
      <x:c r="L279" s="31" t="n">
        <x:v>0</x:v>
      </x:c>
      <x:c r="M279" s="31" t="n">
        <x:v>0.7316483916</x:v>
      </x:c>
      <x:c r="N279" s="24" t="str">
        <x:v>mola</x:v>
      </x:c>
      <x:c r="O279" s="32" t="n">
        <x:v>3.68</x:v>
      </x:c>
      <x:c r="P279" s="24" t="str">
        <x:v>exact_sea_around_us</x:v>
      </x:c>
      <x:c r="Q279" s="32" t="str">
        <x:v>Sea Around Us exploited organisms</x:v>
      </x:c>
      <x:c r="R279" s="24" t="str">
        <x:v>high</x:v>
      </x:c>
      <x:c r="S279" s="24" t="str">
        <x:v>Mola</x:v>
      </x:c>
      <x:c r="T279" s="32" t="n">
        <x:f>IF(O279="","",(1/'Metadata'!$B$5)^(O279-1))</x:f>
        <x:v>478.6300923226385</x:v>
      </x:c>
      <x:c r="U279" s="31" t="n">
        <x:f>IF(T279="","",I279*T279)</x:f>
        <x:v>350.18893721921796</x:v>
      </x:c>
    </x:row>
    <x:row r="280" ht="18" customHeight="1">
      <x:c r="A280" s="24" t="str">
        <x:v>EEZ_851</x:v>
      </x:c>
      <x:c r="B280" s="24" t="str">
        <x:v>USA (East Coast)</x:v>
      </x:c>
      <x:c r="C280" s="24" t="str">
        <x:v>EEZ</x:v>
      </x:c>
      <x:c r="D280" s="30" t="n">
        <x:v>2019</x:v>
      </x:c>
      <x:c r="E280" s="24" t="str">
        <x:v>Lutjanus apodus</x:v>
      </x:c>
      <x:c r="F280" s="24" t="str">
        <x:v>Schoolmaster snapper</x:v>
      </x:c>
      <x:c r="G280" s="24" t="str">
        <x:v>Medium reef assoc. fish (30 - 89 cm)</x:v>
      </x:c>
      <x:c r="H280" s="24" t="str">
        <x:v>Perch-likes</x:v>
      </x:c>
      <x:c r="I280" s="31" t="n">
        <x:v>0.664058688</x:v>
      </x:c>
      <x:c r="J280" s="31" t="n">
        <x:v>0.664058688</x:v>
      </x:c>
      <x:c r="K280" s="31" t="n">
        <x:v>0</x:v>
      </x:c>
      <x:c r="L280" s="31" t="n">
        <x:v>0</x:v>
      </x:c>
      <x:c r="M280" s="31" t="n">
        <x:v>0.664058688</x:v>
      </x:c>
      <x:c r="N280" s="24" t="str">
        <x:v>lutjanus apodus</x:v>
      </x:c>
      <x:c r="O280" s="32" t="n">
        <x:v>4.25</x:v>
      </x:c>
      <x:c r="P280" s="24" t="str">
        <x:v>exact_2020_supplement</x:v>
      </x:c>
      <x:c r="Q280" s="32" t="str">
        <x:v>2020 supplement MeanTL</x:v>
      </x:c>
      <x:c r="R280" s="24" t="str">
        <x:v>high</x:v>
      </x:c>
      <x:c r="S280" s="24" t="str">
        <x:v>Lutjanus apodus</x:v>
      </x:c>
      <x:c r="T280" s="32" t="n">
        <x:f>IF(O280="","",(1/'Metadata'!$B$5)^(O280-1))</x:f>
        <x:v>1778.2794100389228</x:v>
      </x:c>
      <x:c r="U280" s="31" t="n">
        <x:f>IF(T280="","",I280*T280)</x:f>
        <x:v>1180.881891927861</x:v>
      </x:c>
    </x:row>
    <x:row r="281" ht="18" customHeight="1">
      <x:c r="A281" s="24" t="str">
        <x:v>EEZ_851</x:v>
      </x:c>
      <x:c r="B281" s="24" t="str">
        <x:v>USA (East Coast)</x:v>
      </x:c>
      <x:c r="C281" s="24" t="str">
        <x:v>EEZ</x:v>
      </x:c>
      <x:c r="D281" s="30" t="n">
        <x:v>2019</x:v>
      </x:c>
      <x:c r="E281" s="24" t="str">
        <x:v>Decapterus</x:v>
      </x:c>
      <x:c r="F281" s="24" t="str">
        <x:v>Scads</x:v>
      </x:c>
      <x:c r="G281" s="24" t="str">
        <x:v>Medium pelagics (30 - 89 cm)</x:v>
      </x:c>
      <x:c r="H281" s="24" t="str">
        <x:v>Perch-likes</x:v>
      </x:c>
      <x:c r="I281" s="31" t="n">
        <x:v>0.643193456</x:v>
      </x:c>
      <x:c r="J281" s="31" t="n">
        <x:v>0.643193456</x:v>
      </x:c>
      <x:c r="K281" s="31" t="n">
        <x:v>0</x:v>
      </x:c>
      <x:c r="L281" s="31" t="n">
        <x:v>0</x:v>
      </x:c>
      <x:c r="M281" s="31" t="n">
        <x:v>0.643193456</x:v>
      </x:c>
      <x:c r="N281" s="24" t="str">
        <x:v>decapterus</x:v>
      </x:c>
      <x:c r="O281" s="32" t="n">
        <x:v>3.63</x:v>
      </x:c>
      <x:c r="P281" s="24" t="str">
        <x:v>exact_sea_around_us</x:v>
      </x:c>
      <x:c r="Q281" s="32" t="str">
        <x:v>Sea Around Us exploited organisms</x:v>
      </x:c>
      <x:c r="R281" s="24" t="str">
        <x:v>high</x:v>
      </x:c>
      <x:c r="S281" s="24" t="str">
        <x:v>Decapterus</x:v>
      </x:c>
      <x:c r="T281" s="32" t="n">
        <x:f>IF(O281="","",(1/'Metadata'!$B$5)^(O281-1))</x:f>
        <x:v>426.57951880159254</x:v>
      </x:c>
      <x:c r="U281" s="31" t="n">
        <x:f>IF(T281="","",I281*T281)</x:f>
        <x:v>274.37315495681327</x:v>
      </x:c>
    </x:row>
    <x:row r="282" ht="18" customHeight="1">
      <x:c r="A282" s="24" t="str">
        <x:v>EEZ_851</x:v>
      </x:c>
      <x:c r="B282" s="24" t="str">
        <x:v>USA (East Coast)</x:v>
      </x:c>
      <x:c r="C282" s="24" t="str">
        <x:v>EEZ</x:v>
      </x:c>
      <x:c r="D282" s="30" t="n">
        <x:v>2019</x:v>
      </x:c>
      <x:c r="E282" s="24" t="str">
        <x:v>Tetraodontidae</x:v>
      </x:c>
      <x:c r="F282" s="24" t="str">
        <x:v>Puffers, tobies</x:v>
      </x:c>
      <x:c r="G282" s="24" t="str">
        <x:v>Large reef assoc. fish (&gt;=90 cm)</x:v>
      </x:c>
      <x:c r="H282" s="24" t="str">
        <x:v>Other fishes &amp; inverts</x:v>
      </x:c>
      <x:c r="I282" s="31" t="n">
        <x:v>0.614124747</x:v>
      </x:c>
      <x:c r="J282" s="31" t="n">
        <x:v>0.614124747</x:v>
      </x:c>
      <x:c r="K282" s="31" t="n">
        <x:v>0</x:v>
      </x:c>
      <x:c r="L282" s="31" t="n">
        <x:v>0.5624552079999999</x:v>
      </x:c>
      <x:c r="M282" s="31" t="n">
        <x:v>0.051669539</x:v>
      </x:c>
      <x:c r="N282" s="24" t="str">
        <x:v>tetraodontidae</x:v>
      </x:c>
      <x:c r="O282" s="32" t="n">
        <x:v>3.5</x:v>
      </x:c>
      <x:c r="P282" s="24" t="str">
        <x:v>exact_sea_around_us</x:v>
      </x:c>
      <x:c r="Q282" s="32" t="str">
        <x:v>Sea Around Us exploited organisms</x:v>
      </x:c>
      <x:c r="R282" s="24" t="str">
        <x:v>high</x:v>
      </x:c>
      <x:c r="S282" s="24" t="str">
        <x:v>Tetraodontidae</x:v>
      </x:c>
      <x:c r="T282" s="32" t="n">
        <x:f>IF(O282="","",(1/'Metadata'!$B$5)^(O282-1))</x:f>
        <x:v>316.22776601683796</x:v>
      </x:c>
      <x:c r="U282" s="31" t="n">
        <x:f>IF(T282="","",I282*T282)</x:f>
        <x:v>194.2032967994658</x:v>
      </x:c>
    </x:row>
    <x:row r="283" ht="18" customHeight="1">
      <x:c r="A283" s="24" t="str">
        <x:v>EEZ_851</x:v>
      </x:c>
      <x:c r="B283" s="24" t="str">
        <x:v>USA (East Coast)</x:v>
      </x:c>
      <x:c r="C283" s="24" t="str">
        <x:v>EEZ</x:v>
      </x:c>
      <x:c r="D283" s="30" t="n">
        <x:v>2019</x:v>
      </x:c>
      <x:c r="E283" s="24" t="str">
        <x:v>Diodontidae</x:v>
      </x:c>
      <x:c r="F283" s="24" t="str">
        <x:v>Porcupine-, burrfishes</x:v>
      </x:c>
      <x:c r="G283" s="24" t="str">
        <x:v>Medium reef assoc. fish (30 - 89 cm)</x:v>
      </x:c>
      <x:c r="H283" s="24" t="str">
        <x:v>Other fishes &amp; inverts</x:v>
      </x:c>
      <x:c r="I283" s="31" t="n">
        <x:v>0.547031952</x:v>
      </x:c>
      <x:c r="J283" s="31" t="n">
        <x:v>0.547031952</x:v>
      </x:c>
      <x:c r="K283" s="31" t="n">
        <x:v>0</x:v>
      </x:c>
      <x:c r="L283" s="31" t="n">
        <x:v>0</x:v>
      </x:c>
      <x:c r="M283" s="31" t="n">
        <x:v>0.547031952</x:v>
      </x:c>
      <x:c r="N283" s="24" t="str">
        <x:v>diodontidae</x:v>
      </x:c>
      <x:c r="O283" s="32" t="n">
        <x:v>3.36</x:v>
      </x:c>
      <x:c r="P283" s="24" t="str">
        <x:v>exact_sea_around_us</x:v>
      </x:c>
      <x:c r="Q283" s="32" t="str">
        <x:v>Sea Around Us exploited organisms</x:v>
      </x:c>
      <x:c r="R283" s="24" t="str">
        <x:v>high</x:v>
      </x:c>
      <x:c r="S283" s="24" t="str">
        <x:v>Diodontidae</x:v>
      </x:c>
      <x:c r="T283" s="32" t="n">
        <x:f>IF(O283="","",(1/'Metadata'!$B$5)^(O283-1))</x:f>
        <x:v>229.08676527677724</x:v>
      </x:c>
      <x:c r="U283" s="31" t="n">
        <x:f>IF(T283="","",I283*T283)</x:f>
        <x:v>125.31778038672127</x:v>
      </x:c>
    </x:row>
    <x:row r="284" ht="18" customHeight="1">
      <x:c r="A284" s="24" t="str">
        <x:v>EEZ_851</x:v>
      </x:c>
      <x:c r="B284" s="24" t="str">
        <x:v>USA (East Coast)</x:v>
      </x:c>
      <x:c r="C284" s="24" t="str">
        <x:v>EEZ</x:v>
      </x:c>
      <x:c r="D284" s="30" t="n">
        <x:v>2019</x:v>
      </x:c>
      <x:c r="E284" s="24" t="str">
        <x:v>Holacanthus ciliaris</x:v>
      </x:c>
      <x:c r="F284" s="24" t="str">
        <x:v>Queen angelfish</x:v>
      </x:c>
      <x:c r="G284" s="24" t="str">
        <x:v>Medium reef assoc. fish (30 - 89 cm)</x:v>
      </x:c>
      <x:c r="H284" s="24" t="str">
        <x:v>Perch-likes</x:v>
      </x:c>
      <x:c r="I284" s="31" t="n">
        <x:v>0.4526857234</x:v>
      </x:c>
      <x:c r="J284" s="31" t="n">
        <x:v>0.4526857234</x:v>
      </x:c>
      <x:c r="K284" s="31" t="n">
        <x:v>0</x:v>
      </x:c>
      <x:c r="L284" s="31" t="n">
        <x:v>0.4526857234</x:v>
      </x:c>
      <x:c r="M284" s="31" t="n">
        <x:v>0</x:v>
      </x:c>
      <x:c r="N284" s="24" t="str">
        <x:v>holacanthus ciliaris</x:v>
      </x:c>
      <x:c r="O284" s="32" t="n">
        <x:v>2.99</x:v>
      </x:c>
      <x:c r="P284" s="24" t="str">
        <x:v>exact_2020_supplement</x:v>
      </x:c>
      <x:c r="Q284" s="32" t="str">
        <x:v>2020 supplement MeanTL</x:v>
      </x:c>
      <x:c r="R284" s="24" t="str">
        <x:v>high</x:v>
      </x:c>
      <x:c r="S284" s="24" t="str">
        <x:v>Holacanthus ciliaris</x:v>
      </x:c>
      <x:c r="T284" s="32" t="n">
        <x:f>IF(O284="","",(1/'Metadata'!$B$5)^(O284-1))</x:f>
        <x:v>97.72372209558111</x:v>
      </x:c>
      <x:c r="U284" s="31" t="n">
        <x:f>IF(T284="","",I284*T284)</x:f>
        <x:v>44.2381338301787</x:v>
      </x:c>
    </x:row>
    <x:row r="285" ht="18" customHeight="1">
      <x:c r="A285" s="24" t="str">
        <x:v>EEZ_851</x:v>
      </x:c>
      <x:c r="B285" s="24" t="str">
        <x:v>USA (East Coast)</x:v>
      </x:c>
      <x:c r="C285" s="24" t="str">
        <x:v>EEZ</x:v>
      </x:c>
      <x:c r="D285" s="30" t="n">
        <x:v>2019</x:v>
      </x:c>
      <x:c r="E285" s="24" t="str">
        <x:v>Zoarces americanus</x:v>
      </x:c>
      <x:c r="F285" s="24" t="str">
        <x:v>Ocean pout</x:v>
      </x:c>
      <x:c r="G285" s="24" t="str">
        <x:v>Large demersals (&gt;=90 cm)</x:v>
      </x:c>
      <x:c r="H285" s="24" t="str">
        <x:v>Perch-likes</x:v>
      </x:c>
      <x:c r="I285" s="31" t="n">
        <x:v>0.4190201895</x:v>
      </x:c>
      <x:c r="J285" s="31" t="n">
        <x:v>0.4190201895</x:v>
      </x:c>
      <x:c r="K285" s="31" t="n">
        <x:v>0</x:v>
      </x:c>
      <x:c r="L285" s="31" t="n">
        <x:v>0</x:v>
      </x:c>
      <x:c r="M285" s="31" t="n">
        <x:v>0.4190201895</x:v>
      </x:c>
      <x:c r="N285" s="24" t="str">
        <x:v>zoarces americanus</x:v>
      </x:c>
      <x:c r="O285" s="32" t="n">
        <x:v>4.24</x:v>
      </x:c>
      <x:c r="P285" s="24" t="str">
        <x:v>exact_2020_supplement</x:v>
      </x:c>
      <x:c r="Q285" s="32" t="str">
        <x:v>2020 supplement MeanTL</x:v>
      </x:c>
      <x:c r="R285" s="24" t="str">
        <x:v>high</x:v>
      </x:c>
      <x:c r="S285" s="24" t="str">
        <x:v>Zoarces americanus</x:v>
      </x:c>
      <x:c r="T285" s="32" t="n">
        <x:f>IF(O285="","",(1/'Metadata'!$B$5)^(O285-1))</x:f>
        <x:v>1737.8008287493763</x:v>
      </x:c>
      <x:c r="U285" s="31" t="n">
        <x:f>IF(T285="","",I285*T285)</x:f>
        <x:v>728.1736325758206</x:v>
      </x:c>
    </x:row>
    <x:row r="286" ht="18" customHeight="1">
      <x:c r="A286" s="24" t="str">
        <x:v>EEZ_851</x:v>
      </x:c>
      <x:c r="B286" s="24" t="str">
        <x:v>USA (East Coast)</x:v>
      </x:c>
      <x:c r="C286" s="24" t="str">
        <x:v>EEZ</x:v>
      </x:c>
      <x:c r="D286" s="30" t="n">
        <x:v>2019</x:v>
      </x:c>
      <x:c r="E286" s="24" t="str">
        <x:v>Pomacanthus paru</x:v>
      </x:c>
      <x:c r="F286" s="24" t="str">
        <x:v>French angelfish</x:v>
      </x:c>
      <x:c r="G286" s="24" t="str">
        <x:v>Medium reef assoc. fish (30 - 89 cm)</x:v>
      </x:c>
      <x:c r="H286" s="24" t="str">
        <x:v>Perch-likes</x:v>
      </x:c>
      <x:c r="I286" s="31" t="n">
        <x:v>0.39008990250000003</x:v>
      </x:c>
      <x:c r="J286" s="31" t="n">
        <x:v>0.39008990250000003</x:v>
      </x:c>
      <x:c r="K286" s="31" t="n">
        <x:v>0</x:v>
      </x:c>
      <x:c r="L286" s="31" t="n">
        <x:v>0.39008990250000003</x:v>
      </x:c>
      <x:c r="M286" s="31" t="n">
        <x:v>0</x:v>
      </x:c>
      <x:c r="N286" s="24" t="str">
        <x:v>pomacanthus paru</x:v>
      </x:c>
      <x:c r="O286" s="32" t="n">
        <x:v>2.81</x:v>
      </x:c>
      <x:c r="P286" s="24" t="str">
        <x:v>exact_2020_supplement</x:v>
      </x:c>
      <x:c r="Q286" s="32" t="str">
        <x:v>2020 supplement MeanTL</x:v>
      </x:c>
      <x:c r="R286" s="24" t="str">
        <x:v>high</x:v>
      </x:c>
      <x:c r="S286" s="24" t="str">
        <x:v>Pomacanthus paru</x:v>
      </x:c>
      <x:c r="T286" s="32" t="n">
        <x:f>IF(O286="","",(1/'Metadata'!$B$5)^(O286-1))</x:f>
        <x:v>64.56542290346556</x:v>
      </x:c>
      <x:c r="U286" s="31" t="n">
        <x:f>IF(T286="","",I286*T286)</x:f>
        <x:v>25.186319525284148</x:v>
      </x:c>
    </x:row>
    <x:row r="287" ht="18" customHeight="1">
      <x:c r="A287" s="24" t="str">
        <x:v>EEZ_851</x:v>
      </x:c>
      <x:c r="B287" s="24" t="str">
        <x:v>USA (East Coast)</x:v>
      </x:c>
      <x:c r="C287" s="24" t="str">
        <x:v>EEZ</x:v>
      </x:c>
      <x:c r="D287" s="30" t="n">
        <x:v>2019</x:v>
      </x:c>
      <x:c r="E287" s="24" t="str">
        <x:v>Scorpaeniformes</x:v>
      </x:c>
      <x:c r="F287" s="24" t="str">
        <x:v>Scorpionfishes, flatheads</x:v>
      </x:c>
      <x:c r="G287" s="24" t="str">
        <x:v>Medium demersals (30 - 89 cm)</x:v>
      </x:c>
      <x:c r="H287" s="24" t="str">
        <x:v>Scorpionfishes</x:v>
      </x:c>
      <x:c r="I287" s="31" t="n">
        <x:v>0.37555869929999997</x:v>
      </x:c>
      <x:c r="J287" s="31" t="n">
        <x:v>0.37555869929999997</x:v>
      </x:c>
      <x:c r="K287" s="31" t="n">
        <x:v>0</x:v>
      </x:c>
      <x:c r="L287" s="31" t="n">
        <x:v>0</x:v>
      </x:c>
      <x:c r="M287" s="31" t="n">
        <x:v>0.37555869929999997</x:v>
      </x:c>
      <x:c r="N287" s="24" t="str">
        <x:v>scorpaeniformes</x:v>
      </x:c>
      <x:c r="O287" s="32" t="n">
        <x:v>3.78</x:v>
      </x:c>
      <x:c r="P287" s="24" t="str">
        <x:v>exact_sea_around_us</x:v>
      </x:c>
      <x:c r="Q287" s="32" t="str">
        <x:v>Sea Around Us exploited organisms</x:v>
      </x:c>
      <x:c r="R287" s="24" t="str">
        <x:v>high</x:v>
      </x:c>
      <x:c r="S287" s="24" t="str">
        <x:v>Scorpaeniformes</x:v>
      </x:c>
      <x:c r="T287" s="32" t="n">
        <x:f>IF(O287="","",(1/'Metadata'!$B$5)^(O287-1))</x:f>
        <x:v>602.5595860743575</x:v>
      </x:c>
      <x:c r="U287" s="31" t="n">
        <x:f>IF(T287="","",I287*T287)</x:f>
        <x:v>226.2964943968321</x:v>
      </x:c>
    </x:row>
    <x:row r="288" ht="18" customHeight="1">
      <x:c r="A288" s="24" t="str">
        <x:v>EEZ_851</x:v>
      </x:c>
      <x:c r="B288" s="24" t="str">
        <x:v>USA (East Coast)</x:v>
      </x:c>
      <x:c r="C288" s="24" t="str">
        <x:v>EEZ</x:v>
      </x:c>
      <x:c r="D288" s="30" t="n">
        <x:v>2019</x:v>
      </x:c>
      <x:c r="E288" s="24" t="str">
        <x:v>Mycteroperca venenosa</x:v>
      </x:c>
      <x:c r="F288" s="24" t="str">
        <x:v>Yellowfin grouper</x:v>
      </x:c>
      <x:c r="G288" s="24" t="str">
        <x:v>Medium reef assoc. fish (30 - 89 cm)</x:v>
      </x:c>
      <x:c r="H288" s="24" t="str">
        <x:v>Perch-likes</x:v>
      </x:c>
      <x:c r="I288" s="31" t="n">
        <x:v>0.37501737209999997</x:v>
      </x:c>
      <x:c r="J288" s="31" t="n">
        <x:v>0.37501737209999997</x:v>
      </x:c>
      <x:c r="K288" s="31" t="n">
        <x:v>0</x:v>
      </x:c>
      <x:c r="L288" s="31" t="n">
        <x:v>0.3742141501</x:v>
      </x:c>
      <x:c r="M288" s="31" t="n">
        <x:v>0.000803222</x:v>
      </x:c>
      <x:c r="N288" s="24" t="str">
        <x:v>mycteroperca venenosa</x:v>
      </x:c>
      <x:c r="O288" s="32" t="n">
        <x:v>4.48</x:v>
      </x:c>
      <x:c r="P288" s="24" t="str">
        <x:v>exact_2020_supplement</x:v>
      </x:c>
      <x:c r="Q288" s="32" t="str">
        <x:v>2020 supplement MeanTL</x:v>
      </x:c>
      <x:c r="R288" s="24" t="str">
        <x:v>high</x:v>
      </x:c>
      <x:c r="S288" s="24" t="str">
        <x:v>Mycteroperca venenosa</x:v>
      </x:c>
      <x:c r="T288" s="32" t="n">
        <x:f>IF(O288="","",(1/'Metadata'!$B$5)^(O288-1))</x:f>
        <x:v>3019.951720402019</x:v>
      </x:c>
      <x:c r="U288" s="31" t="n">
        <x:f>IF(T288="","",I288*T288)</x:f>
        <x:v>1132.534358054039</x:v>
      </x:c>
    </x:row>
    <x:row r="289" ht="18" customHeight="1">
      <x:c r="A289" s="24" t="str">
        <x:v>EEZ_851</x:v>
      </x:c>
      <x:c r="B289" s="24" t="str">
        <x:v>USA (East Coast)</x:v>
      </x:c>
      <x:c r="C289" s="24" t="str">
        <x:v>EEZ</x:v>
      </x:c>
      <x:c r="D289" s="30" t="n">
        <x:v>2019</x:v>
      </x:c>
      <x:c r="E289" s="24" t="str">
        <x:v>Alosa aestivalis</x:v>
      </x:c>
      <x:c r="F289" s="24" t="str">
        <x:v>Blueback shad</x:v>
      </x:c>
      <x:c r="G289" s="24" t="str">
        <x:v>Medium pelagics (30 - 89 cm)</x:v>
      </x:c>
      <x:c r="H289" s="24" t="str">
        <x:v>Herring-likes</x:v>
      </x:c>
      <x:c r="I289" s="31" t="n">
        <x:v>0.3448830644</x:v>
      </x:c>
      <x:c r="J289" s="31" t="n">
        <x:v>0.3448830644</x:v>
      </x:c>
      <x:c r="K289" s="31" t="n">
        <x:v>0</x:v>
      </x:c>
      <x:c r="L289" s="31" t="n">
        <x:v>0.051709592</x:v>
      </x:c>
      <x:c r="M289" s="31" t="n">
        <x:v>0.2931734724</x:v>
      </x:c>
      <x:c r="N289" s="24" t="str">
        <x:v>alosa aestivalis</x:v>
      </x:c>
      <x:c r="O289" s="32" t="n">
        <x:v>3.81</x:v>
      </x:c>
      <x:c r="P289" s="24" t="str">
        <x:v>exact_2020_supplement</x:v>
      </x:c>
      <x:c r="Q289" s="32" t="str">
        <x:v>2020 supplement MeanTL</x:v>
      </x:c>
      <x:c r="R289" s="24" t="str">
        <x:v>high</x:v>
      </x:c>
      <x:c r="S289" s="24" t="str">
        <x:v>Alosa aestivalis</x:v>
      </x:c>
      <x:c r="T289" s="32" t="n">
        <x:f>IF(O289="","",(1/'Metadata'!$B$5)^(O289-1))</x:f>
        <x:v>645.6542290346556</x:v>
      </x:c>
      <x:c r="U289" s="31" t="n">
        <x:f>IF(T289="","",I289*T289)</x:f>
        <x:v>222.67520905229148</x:v>
      </x:c>
    </x:row>
    <x:row r="290" ht="18" customHeight="1">
      <x:c r="A290" s="24" t="str">
        <x:v>EEZ_851</x:v>
      </x:c>
      <x:c r="B290" s="24" t="str">
        <x:v>USA (East Coast)</x:v>
      </x:c>
      <x:c r="C290" s="24" t="str">
        <x:v>EEZ</x:v>
      </x:c>
      <x:c r="D290" s="30" t="n">
        <x:v>2019</x:v>
      </x:c>
      <x:c r="E290" s="24" t="str">
        <x:v>Neomerinthe hemingwayi</x:v>
      </x:c>
      <x:c r="F290" s="24" t="str">
        <x:v>Spinycheek scorpionfish</x:v>
      </x:c>
      <x:c r="G290" s="24" t="str">
        <x:v>Medium demersals (30 - 89 cm)</x:v>
      </x:c>
      <x:c r="H290" s="24" t="str">
        <x:v>Scorpionfishes</x:v>
      </x:c>
      <x:c r="I290" s="31" t="n">
        <x:v>0.292113248</x:v>
      </x:c>
      <x:c r="J290" s="31" t="n">
        <x:v>0.292113248</x:v>
      </x:c>
      <x:c r="K290" s="31" t="n">
        <x:v>0</x:v>
      </x:c>
      <x:c r="L290" s="31" t="n">
        <x:v>0</x:v>
      </x:c>
      <x:c r="M290" s="31" t="n">
        <x:v>0.292113248</x:v>
      </x:c>
      <x:c r="N290" s="24" t="str">
        <x:v>neomerinthe hemingwayi</x:v>
      </x:c>
      <x:c r="O290" s="32" t="n">
        <x:v>4.01</x:v>
      </x:c>
      <x:c r="P290" s="24" t="str">
        <x:v>exact_sea_around_us</x:v>
      </x:c>
      <x:c r="Q290" s="32" t="str">
        <x:v>Sea Around Us exploited organisms</x:v>
      </x:c>
      <x:c r="R290" s="24" t="str">
        <x:v>high</x:v>
      </x:c>
      <x:c r="S290" s="24" t="str">
        <x:v>Neomerinthe hemingwayi</x:v>
      </x:c>
      <x:c r="T290" s="32" t="n">
        <x:f>IF(O290="","",(1/'Metadata'!$B$5)^(O290-1))</x:f>
        <x:v>1023.2929922807537</x:v>
      </x:c>
      <x:c r="U290" s="31" t="n">
        <x:f>IF(T290="","",I290*T290)</x:f>
        <x:v>298.9174396307699</x:v>
      </x:c>
    </x:row>
    <x:row r="291" ht="18" customHeight="1">
      <x:c r="A291" s="24" t="str">
        <x:v>EEZ_851</x:v>
      </x:c>
      <x:c r="B291" s="24" t="str">
        <x:v>USA (East Coast)</x:v>
      </x:c>
      <x:c r="C291" s="24" t="str">
        <x:v>EEZ</x:v>
      </x:c>
      <x:c r="D291" s="30" t="n">
        <x:v>2019</x:v>
      </x:c>
      <x:c r="E291" s="24" t="str">
        <x:v>Labridae</x:v>
      </x:c>
      <x:c r="F291" s="24" t="str">
        <x:v>Wrasses, gropers, tuskfishes</x:v>
      </x:c>
      <x:c r="G291" s="24" t="str">
        <x:v>Medium reef assoc. fish (30 - 89 cm)</x:v>
      </x:c>
      <x:c r="H291" s="24" t="str">
        <x:v>Perch-likes</x:v>
      </x:c>
      <x:c r="I291" s="31" t="n">
        <x:v>0.277145268</x:v>
      </x:c>
      <x:c r="J291" s="31" t="n">
        <x:v>0.277145268</x:v>
      </x:c>
      <x:c r="K291" s="31" t="n">
        <x:v>0</x:v>
      </x:c>
      <x:c r="L291" s="31" t="n">
        <x:v>0.277145268</x:v>
      </x:c>
      <x:c r="M291" s="31" t="n">
        <x:v>0</x:v>
      </x:c>
      <x:c r="N291" s="24" t="str">
        <x:v>labridae</x:v>
      </x:c>
      <x:c r="O291" s="32" t="n">
        <x:v>3.46</x:v>
      </x:c>
      <x:c r="P291" s="24" t="str">
        <x:v>exact_sea_around_us</x:v>
      </x:c>
      <x:c r="Q291" s="32" t="str">
        <x:v>Sea Around Us exploited organisms</x:v>
      </x:c>
      <x:c r="R291" s="24" t="str">
        <x:v>high</x:v>
      </x:c>
      <x:c r="S291" s="24" t="str">
        <x:v>Labridae</x:v>
      </x:c>
      <x:c r="T291" s="32" t="n">
        <x:f>IF(O291="","",(1/'Metadata'!$B$5)^(O291-1))</x:f>
        <x:v>288.40315031266056</x:v>
      </x:c>
      <x:c r="U291" s="31" t="n">
        <x:f>IF(T291="","",I291*T291)</x:f>
        <x:v>79.9295683854466</x:v>
      </x:c>
    </x:row>
    <x:row r="292" ht="18" customHeight="1">
      <x:c r="A292" s="24" t="str">
        <x:v>EEZ_851</x:v>
      </x:c>
      <x:c r="B292" s="24" t="str">
        <x:v>USA (East Coast)</x:v>
      </x:c>
      <x:c r="C292" s="24" t="str">
        <x:v>EEZ</x:v>
      </x:c>
      <x:c r="D292" s="30" t="n">
        <x:v>2019</x:v>
      </x:c>
      <x:c r="E292" s="24" t="str">
        <x:v>Stenorhynchus seticornis</x:v>
      </x:c>
      <x:c r="F292" s="24" t="str">
        <x:v>Yellowline arrow crab</x:v>
      </x:c>
      <x:c r="G292" s="24" t="str">
        <x:v>Lobsters, crabs</x:v>
      </x:c>
      <x:c r="H292" s="24" t="str">
        <x:v>Crustaceans</x:v>
      </x:c>
      <x:c r="I292" s="31" t="n">
        <x:v>0.2322395697</x:v>
      </x:c>
      <x:c r="J292" s="31" t="n">
        <x:v>0.2322395697</x:v>
      </x:c>
      <x:c r="K292" s="31" t="n">
        <x:v>0</x:v>
      </x:c>
      <x:c r="L292" s="31" t="n">
        <x:v>0.2322395697</x:v>
      </x:c>
      <x:c r="M292" s="31" t="n">
        <x:v>0</x:v>
      </x:c>
      <x:c r="N292" s="24" t="str">
        <x:v>stenorhynchus seticornis</x:v>
      </x:c>
      <x:c r="O292" s="32" t="n">
        <x:v>2.86</x:v>
      </x:c>
      <x:c r="P292" s="24" t="str">
        <x:v>exact_sea_around_us</x:v>
      </x:c>
      <x:c r="Q292" s="32" t="str">
        <x:v>Sea Around Us exploited organisms</x:v>
      </x:c>
      <x:c r="R292" s="24" t="str">
        <x:v>high</x:v>
      </x:c>
      <x:c r="S292" s="24" t="str">
        <x:v>Stenorhynchus seticornis</x:v>
      </x:c>
      <x:c r="T292" s="32" t="n">
        <x:f>IF(O292="","",(1/'Metadata'!$B$5)^(O292-1))</x:f>
        <x:v>72.44359600749898</x:v>
      </x:c>
      <x:c r="U292" s="31" t="n">
        <x:f>IF(T292="","",I292*T292)</x:f>
        <x:v>16.824269564302202</x:v>
      </x:c>
    </x:row>
    <x:row r="293" ht="18" customHeight="1">
      <x:c r="A293" s="24" t="str">
        <x:v>EEZ_851</x:v>
      </x:c>
      <x:c r="B293" s="24" t="str">
        <x:v>USA (East Coast)</x:v>
      </x:c>
      <x:c r="C293" s="24" t="str">
        <x:v>EEZ</x:v>
      </x:c>
      <x:c r="D293" s="30" t="n">
        <x:v>2019</x:v>
      </x:c>
      <x:c r="E293" s="24" t="str">
        <x:v>Thalassoma bifasciatum</x:v>
      </x:c>
      <x:c r="F293" s="24" t="str">
        <x:v>Bluehead</x:v>
      </x:c>
      <x:c r="G293" s="24" t="str">
        <x:v>Small reef assoc. fish (&lt;30 cm)</x:v>
      </x:c>
      <x:c r="H293" s="24" t="str">
        <x:v>Perch-likes</x:v>
      </x:c>
      <x:c r="I293" s="31" t="n">
        <x:v>0.2240748968</x:v>
      </x:c>
      <x:c r="J293" s="31" t="n">
        <x:v>0.2240748968</x:v>
      </x:c>
      <x:c r="K293" s="31" t="n">
        <x:v>0</x:v>
      </x:c>
      <x:c r="L293" s="31" t="n">
        <x:v>0.2240748968</x:v>
      </x:c>
      <x:c r="M293" s="31" t="n">
        <x:v>0</x:v>
      </x:c>
      <x:c r="N293" s="24" t="str">
        <x:v>thalassoma bifasciatum</x:v>
      </x:c>
      <x:c r="O293" s="32" t="n">
        <x:v>3.3</x:v>
      </x:c>
      <x:c r="P293" s="24" t="str">
        <x:v>exact_2020_supplement</x:v>
      </x:c>
      <x:c r="Q293" s="32" t="str">
        <x:v>2020 supplement MeanTL</x:v>
      </x:c>
      <x:c r="R293" s="24" t="str">
        <x:v>high</x:v>
      </x:c>
      <x:c r="S293" s="24" t="str">
        <x:v>Thalassoma bifasciatum</x:v>
      </x:c>
      <x:c r="T293" s="32" t="n">
        <x:f>IF(O293="","",(1/'Metadata'!$B$5)^(O293-1))</x:f>
        <x:v>199.52623149688787</x:v>
      </x:c>
      <x:c r="U293" s="31" t="n">
        <x:f>IF(T293="","",I293*T293)</x:f>
        <x:v>44.70881973155806</x:v>
      </x:c>
    </x:row>
    <x:row r="294" ht="18" customHeight="1">
      <x:c r="A294" s="24" t="str">
        <x:v>EEZ_851</x:v>
      </x:c>
      <x:c r="B294" s="24" t="str">
        <x:v>USA (East Coast)</x:v>
      </x:c>
      <x:c r="C294" s="24" t="str">
        <x:v>EEZ</x:v>
      </x:c>
      <x:c r="D294" s="30" t="n">
        <x:v>2019</x:v>
      </x:c>
      <x:c r="E294" s="24" t="str">
        <x:v>Ophioderma squamosissimum</x:v>
      </x:c>
      <x:c r="F294" s="24" t="str">
        <x:v>Scaly brittle star</x:v>
      </x:c>
      <x:c r="G294" s="24" t="str">
        <x:v>Other demersal invertebrates</x:v>
      </x:c>
      <x:c r="H294" s="24" t="str">
        <x:v>Other fishes &amp; inverts</x:v>
      </x:c>
      <x:c r="I294" s="31" t="n">
        <x:v>0.22226052620000003</x:v>
      </x:c>
      <x:c r="J294" s="31" t="n">
        <x:v>0.22226052620000003</x:v>
      </x:c>
      <x:c r="K294" s="31" t="n">
        <x:v>0</x:v>
      </x:c>
      <x:c r="L294" s="31" t="n">
        <x:v>0.22226052620000003</x:v>
      </x:c>
      <x:c r="M294" s="31" t="n">
        <x:v>0</x:v>
      </x:c>
      <x:c r="N294" s="24" t="str">
        <x:v>ophioderma squamosissimum</x:v>
      </x:c>
      <x:c r="O294" s="32" t="n">
        <x:v>2.61</x:v>
      </x:c>
      <x:c r="P294" s="24" t="str">
        <x:v>exact_sea_around_us</x:v>
      </x:c>
      <x:c r="Q294" s="32" t="str">
        <x:v>Sea Around Us exploited organisms</x:v>
      </x:c>
      <x:c r="R294" s="24" t="str">
        <x:v>high</x:v>
      </x:c>
      <x:c r="S294" s="24" t="str">
        <x:v>Ophioderma squamosissimum</x:v>
      </x:c>
      <x:c r="T294" s="32" t="n">
        <x:f>IF(O294="","",(1/'Metadata'!$B$5)^(O294-1))</x:f>
        <x:v>40.73802778041126</x:v>
      </x:c>
      <x:c r="U294" s="31" t="n">
        <x:f>IF(T294="","",I294*T294)</x:f>
        <x:v>9.054455490824425</x:v>
      </x:c>
    </x:row>
    <x:row r="295" ht="18" customHeight="1">
      <x:c r="A295" s="24" t="str">
        <x:v>EEZ_851</x:v>
      </x:c>
      <x:c r="B295" s="24" t="str">
        <x:v>USA (East Coast)</x:v>
      </x:c>
      <x:c r="C295" s="24" t="str">
        <x:v>EEZ</x:v>
      </x:c>
      <x:c r="D295" s="30" t="n">
        <x:v>2019</x:v>
      </x:c>
      <x:c r="E295" s="24" t="str">
        <x:v>Sphyrna</x:v>
      </x:c>
      <x:c r="F295" s="24" t="str">
        <x:v>Hammerhead sharks</x:v>
      </x:c>
      <x:c r="G295" s="24" t="str">
        <x:v>Large sharks (&gt;=90 cm)</x:v>
      </x:c>
      <x:c r="H295" s="24" t="str">
        <x:v>Sharks &amp; rays</x:v>
      </x:c>
      <x:c r="I295" s="31" t="n">
        <x:v>0.2189758554</x:v>
      </x:c>
      <x:c r="J295" s="31" t="n">
        <x:v>0.2189758554</x:v>
      </x:c>
      <x:c r="K295" s="31" t="n">
        <x:v>0</x:v>
      </x:c>
      <x:c r="L295" s="31" t="n">
        <x:v>0</x:v>
      </x:c>
      <x:c r="M295" s="31" t="n">
        <x:v>0.2189758554</x:v>
      </x:c>
      <x:c r="N295" s="24" t="str">
        <x:v>sphyrna</x:v>
      </x:c>
      <x:c r="O295" s="32" t="n">
        <x:v>4.2</x:v>
      </x:c>
      <x:c r="P295" s="24" t="str">
        <x:v>exact_sea_around_us</x:v>
      </x:c>
      <x:c r="Q295" s="32" t="str">
        <x:v>Sea Around Us exploited organisms</x:v>
      </x:c>
      <x:c r="R295" s="24" t="str">
        <x:v>high</x:v>
      </x:c>
      <x:c r="S295" s="24" t="str">
        <x:v>Sphyrna</x:v>
      </x:c>
      <x:c r="T295" s="32" t="n">
        <x:f>IF(O295="","",(1/'Metadata'!$B$5)^(O295-1))</x:f>
        <x:v>1584.893192461114</x:v>
      </x:c>
      <x:c r="U295" s="31" t="n">
        <x:f>IF(T295="","",I295*T295)</x:f>
        <x:v>347.0533425368093</x:v>
      </x:c>
    </x:row>
    <x:row r="296" ht="18" customHeight="1">
      <x:c r="A296" s="24" t="str">
        <x:v>EEZ_851</x:v>
      </x:c>
      <x:c r="B296" s="24" t="str">
        <x:v>USA (East Coast)</x:v>
      </x:c>
      <x:c r="C296" s="24" t="str">
        <x:v>EEZ</x:v>
      </x:c>
      <x:c r="D296" s="30" t="n">
        <x:v>2019</x:v>
      </x:c>
      <x:c r="E296" s="24" t="str">
        <x:v>Thunnus</x:v>
      </x:c>
      <x:c r="F296" s="24" t="str">
        <x:v>Tunas</x:v>
      </x:c>
      <x:c r="G296" s="24" t="str">
        <x:v>Large pelagics (&gt;=90 cm)</x:v>
      </x:c>
      <x:c r="H296" s="24" t="str">
        <x:v>Tuna &amp; billfishes</x:v>
      </x:c>
      <x:c r="I296" s="31" t="n">
        <x:v>0.2105138489</x:v>
      </x:c>
      <x:c r="J296" s="31" t="n">
        <x:v>0.2105138489</x:v>
      </x:c>
      <x:c r="K296" s="31" t="n">
        <x:v>0</x:v>
      </x:c>
      <x:c r="L296" s="31" t="n">
        <x:v>0</x:v>
      </x:c>
      <x:c r="M296" s="31" t="n">
        <x:v>0.2105138489</x:v>
      </x:c>
      <x:c r="N296" s="24" t="str">
        <x:v>thunnus</x:v>
      </x:c>
      <x:c r="O296" s="32" t="n">
        <x:v>4.34</x:v>
      </x:c>
      <x:c r="P296" s="24" t="str">
        <x:v>exact_sea_around_us</x:v>
      </x:c>
      <x:c r="Q296" s="32" t="str">
        <x:v>Sea Around Us exploited organisms</x:v>
      </x:c>
      <x:c r="R296" s="24" t="str">
        <x:v>high</x:v>
      </x:c>
      <x:c r="S296" s="24" t="str">
        <x:v>Thunnus</x:v>
      </x:c>
      <x:c r="T296" s="32" t="n">
        <x:f>IF(O296="","",(1/'Metadata'!$B$5)^(O296-1))</x:f>
        <x:v>2187.761623949552</x:v>
      </x:c>
      <x:c r="U296" s="31" t="n">
        <x:f>IF(T296="","",I296*T296)</x:f>
        <x:v>460.55411993333456</x:v>
      </x:c>
    </x:row>
    <x:row r="297" ht="18" customHeight="1">
      <x:c r="A297" s="24" t="str">
        <x:v>EEZ_851</x:v>
      </x:c>
      <x:c r="B297" s="24" t="str">
        <x:v>USA (East Coast)</x:v>
      </x:c>
      <x:c r="C297" s="24" t="str">
        <x:v>EEZ</x:v>
      </x:c>
      <x:c r="D297" s="30" t="n">
        <x:v>2019</x:v>
      </x:c>
      <x:c r="E297" s="24" t="str">
        <x:v>Ammodytidae</x:v>
      </x:c>
      <x:c r="F297" s="24" t="str">
        <x:v>Sand lances</x:v>
      </x:c>
      <x:c r="G297" s="24" t="str">
        <x:v>Large reef assoc. fish (&gt;=90 cm)</x:v>
      </x:c>
      <x:c r="H297" s="24" t="str">
        <x:v>Perch-likes</x:v>
      </x:c>
      <x:c r="I297" s="31" t="n">
        <x:v>0.2060619436</x:v>
      </x:c>
      <x:c r="J297" s="31" t="n">
        <x:v>0.2060619436</x:v>
      </x:c>
      <x:c r="K297" s="31" t="n">
        <x:v>0</x:v>
      </x:c>
      <x:c r="L297" s="31" t="n">
        <x:v>0</x:v>
      </x:c>
      <x:c r="M297" s="31" t="n">
        <x:v>0.2060619436</x:v>
      </x:c>
      <x:c r="N297" s="24" t="str">
        <x:v>ammodytidae</x:v>
      </x:c>
      <x:c r="O297" s="32" t="n">
        <x:v>3.11</x:v>
      </x:c>
      <x:c r="P297" s="24" t="str">
        <x:v>exact_sea_around_us</x:v>
      </x:c>
      <x:c r="Q297" s="32" t="str">
        <x:v>Sea Around Us exploited organisms</x:v>
      </x:c>
      <x:c r="R297" s="24" t="str">
        <x:v>high</x:v>
      </x:c>
      <x:c r="S297" s="24" t="str">
        <x:v>Ammodytidae</x:v>
      </x:c>
      <x:c r="T297" s="32" t="n">
        <x:f>IF(O297="","",(1/'Metadata'!$B$5)^(O297-1))</x:f>
        <x:v>128.82495516931337</x:v>
      </x:c>
      <x:c r="U297" s="31" t="n">
        <x:f>IF(T297="","",I297*T297)</x:f>
        <x:v>26.545920646371577</x:v>
      </x:c>
    </x:row>
    <x:row r="298" ht="18" customHeight="1">
      <x:c r="A298" s="24" t="str">
        <x:v>EEZ_851</x:v>
      </x:c>
      <x:c r="B298" s="24" t="str">
        <x:v>USA (East Coast)</x:v>
      </x:c>
      <x:c r="C298" s="24" t="str">
        <x:v>EEZ</x:v>
      </x:c>
      <x:c r="D298" s="30" t="n">
        <x:v>2019</x:v>
      </x:c>
      <x:c r="E298" s="24" t="str">
        <x:v>Isurus</x:v>
      </x:c>
      <x:c r="F298" s="24" t="str">
        <x:v>Mako sharks</x:v>
      </x:c>
      <x:c r="G298" s="24" t="str">
        <x:v>Large sharks (&gt;=90 cm)</x:v>
      </x:c>
      <x:c r="H298" s="24" t="str">
        <x:v>Sharks &amp; rays</x:v>
      </x:c>
      <x:c r="I298" s="31" t="n">
        <x:v>0.1861467669</x:v>
      </x:c>
      <x:c r="J298" s="31" t="n">
        <x:v>0.1861467669</x:v>
      </x:c>
      <x:c r="K298" s="31" t="n">
        <x:v>0</x:v>
      </x:c>
      <x:c r="L298" s="31" t="n">
        <x:v>0</x:v>
      </x:c>
      <x:c r="M298" s="31" t="n">
        <x:v>0.1861467669</x:v>
      </x:c>
      <x:c r="N298" s="24" t="str">
        <x:v>isurus</x:v>
      </x:c>
      <x:c r="O298" s="32" t="n">
        <x:v>4.5</x:v>
      </x:c>
      <x:c r="P298" s="24" t="str">
        <x:v>exact_sea_around_us</x:v>
      </x:c>
      <x:c r="Q298" s="32" t="str">
        <x:v>Sea Around Us exploited organisms</x:v>
      </x:c>
      <x:c r="R298" s="24" t="str">
        <x:v>high</x:v>
      </x:c>
      <x:c r="S298" s="24" t="str">
        <x:v>Isurus</x:v>
      </x:c>
      <x:c r="T298" s="32" t="n">
        <x:f>IF(O298="","",(1/'Metadata'!$B$5)^(O298-1))</x:f>
        <x:v>3162.2776601683795</x:v>
      </x:c>
      <x:c r="U298" s="31" t="n">
        <x:f>IF(T298="","",I298*T298)</x:f>
        <x:v>588.6477624804407</x:v>
      </x:c>
    </x:row>
    <x:row r="299" ht="18" customHeight="1">
      <x:c r="A299" s="24" t="str">
        <x:v>EEZ_851</x:v>
      </x:c>
      <x:c r="B299" s="24" t="str">
        <x:v>USA (East Coast)</x:v>
      </x:c>
      <x:c r="C299" s="24" t="str">
        <x:v>EEZ</x:v>
      </x:c>
      <x:c r="D299" s="30" t="n">
        <x:v>2019</x:v>
      </x:c>
      <x:c r="E299" s="24" t="str">
        <x:v>Geryon</x:v>
      </x:c>
      <x:c r="F299" s="24" t="str">
        <x:v>Deepsea crabs</x:v>
      </x:c>
      <x:c r="G299" s="24" t="str">
        <x:v>Lobsters, crabs</x:v>
      </x:c>
      <x:c r="H299" s="24" t="str">
        <x:v>Crustaceans</x:v>
      </x:c>
      <x:c r="I299" s="31" t="n">
        <x:v>0.178951092</x:v>
      </x:c>
      <x:c r="J299" s="31" t="n">
        <x:v>0.178951092</x:v>
      </x:c>
      <x:c r="K299" s="31" t="n">
        <x:v>0</x:v>
      </x:c>
      <x:c r="L299" s="31" t="n">
        <x:v>0</x:v>
      </x:c>
      <x:c r="M299" s="31" t="n">
        <x:v>0.178951092</x:v>
      </x:c>
      <x:c r="N299" s="24" t="str">
        <x:v>geryon</x:v>
      </x:c>
      <x:c r="O299" s="32" t="n">
        <x:v>2.6</x:v>
      </x:c>
      <x:c r="P299" s="24" t="str">
        <x:v>exact_sea_around_us</x:v>
      </x:c>
      <x:c r="Q299" s="32" t="str">
        <x:v>Sea Around Us exploited organisms</x:v>
      </x:c>
      <x:c r="R299" s="24" t="str">
        <x:v>high</x:v>
      </x:c>
      <x:c r="S299" s="24" t="str">
        <x:v>Geryon</x:v>
      </x:c>
      <x:c r="T299" s="32" t="n">
        <x:f>IF(O299="","",(1/'Metadata'!$B$5)^(O299-1))</x:f>
        <x:v>39.810717055349734</x:v>
      </x:c>
      <x:c r="U299" s="31" t="n">
        <x:f>IF(T299="","",I299*T299)</x:f>
        <x:v>7.12417129035786</x:v>
      </x:c>
    </x:row>
    <x:row r="300" ht="18" customHeight="1">
      <x:c r="A300" s="24" t="str">
        <x:v>EEZ_851</x:v>
      </x:c>
      <x:c r="B300" s="24" t="str">
        <x:v>USA (East Coast)</x:v>
      </x:c>
      <x:c r="C300" s="24" t="str">
        <x:v>EEZ</x:v>
      </x:c>
      <x:c r="D300" s="30" t="n">
        <x:v>2019</x:v>
      </x:c>
      <x:c r="E300" s="24" t="str">
        <x:v>Carcharhinus falciformis</x:v>
      </x:c>
      <x:c r="F300" s="24" t="str">
        <x:v>Silky shark</x:v>
      </x:c>
      <x:c r="G300" s="24" t="str">
        <x:v>Large sharks (&gt;=90 cm)</x:v>
      </x:c>
      <x:c r="H300" s="24" t="str">
        <x:v>Sharks &amp; rays</x:v>
      </x:c>
      <x:c r="I300" s="31" t="n">
        <x:v>0.1710713106</x:v>
      </x:c>
      <x:c r="J300" s="31" t="n">
        <x:v>0.1710713106</x:v>
      </x:c>
      <x:c r="K300" s="31" t="n">
        <x:v>0</x:v>
      </x:c>
      <x:c r="L300" s="31" t="n">
        <x:v>0.155582368</x:v>
      </x:c>
      <x:c r="M300" s="31" t="n">
        <x:v>0.0154889426</x:v>
      </x:c>
      <x:c r="N300" s="24" t="str">
        <x:v>carcharhinus falciformis</x:v>
      </x:c>
      <x:c r="O300" s="32" t="n">
        <x:v>4.51</x:v>
      </x:c>
      <x:c r="P300" s="24" t="str">
        <x:v>exact_2020_supplement</x:v>
      </x:c>
      <x:c r="Q300" s="32" t="str">
        <x:v>2020 supplement MeanTL</x:v>
      </x:c>
      <x:c r="R300" s="24" t="str">
        <x:v>high</x:v>
      </x:c>
      <x:c r="S300" s="24" t="str">
        <x:v>Carcharhinus falciformis</x:v>
      </x:c>
      <x:c r="T300" s="32" t="n">
        <x:f>IF(O300="","",(1/'Metadata'!$B$5)^(O300-1))</x:f>
        <x:v>3235.936569296281</x:v>
      </x:c>
      <x:c r="U300" s="31" t="n">
        <x:f>IF(T300="","",I300*T300)</x:f>
        <x:v>553.5759099279825</x:v>
      </x:c>
    </x:row>
    <x:row r="301" ht="18" customHeight="1">
      <x:c r="A301" s="24" t="str">
        <x:v>EEZ_851</x:v>
      </x:c>
      <x:c r="B301" s="24" t="str">
        <x:v>USA (East Coast)</x:v>
      </x:c>
      <x:c r="C301" s="24" t="str">
        <x:v>EEZ</x:v>
      </x:c>
      <x:c r="D301" s="30" t="n">
        <x:v>2019</x:v>
      </x:c>
      <x:c r="E301" s="24" t="str">
        <x:v>Echeneidae</x:v>
      </x:c>
      <x:c r="F301" s="24" t="str">
        <x:v>Remoras</x:v>
      </x:c>
      <x:c r="G301" s="24" t="str">
        <x:v>Large pelagics (&gt;=90 cm)</x:v>
      </x:c>
      <x:c r="H301" s="24" t="str">
        <x:v>Perch-likes</x:v>
      </x:c>
      <x:c r="I301" s="31" t="n">
        <x:v>0.1634942296</x:v>
      </x:c>
      <x:c r="J301" s="31" t="n">
        <x:v>0.1634942296</x:v>
      </x:c>
      <x:c r="K301" s="31" t="n">
        <x:v>0</x:v>
      </x:c>
      <x:c r="L301" s="31" t="n">
        <x:v>0</x:v>
      </x:c>
      <x:c r="M301" s="31" t="n">
        <x:v>0.1634942296</x:v>
      </x:c>
      <x:c r="N301" s="24" t="str">
        <x:v>echeneidae</x:v>
      </x:c>
      <x:c r="O301" s="32" t="n">
        <x:v>3.22</x:v>
      </x:c>
      <x:c r="P301" s="24" t="str">
        <x:v>exact_sea_around_us</x:v>
      </x:c>
      <x:c r="Q301" s="32" t="str">
        <x:v>Sea Around Us exploited organisms</x:v>
      </x:c>
      <x:c r="R301" s="24" t="str">
        <x:v>high</x:v>
      </x:c>
      <x:c r="S301" s="24" t="str">
        <x:v>Echeneidae</x:v>
      </x:c>
      <x:c r="T301" s="32" t="n">
        <x:f>IF(O301="","",(1/'Metadata'!$B$5)^(O301-1))</x:f>
        <x:v>165.95869074375614</x:v>
      </x:c>
      <x:c r="U301" s="31" t="n">
        <x:f>IF(T301="","",I301*T301)</x:f>
        <x:v>27.133288288575063</x:v>
      </x:c>
    </x:row>
    <x:row r="302" ht="18" customHeight="1">
      <x:c r="A302" s="24" t="str">
        <x:v>EEZ_851</x:v>
      </x:c>
      <x:c r="B302" s="24" t="str">
        <x:v>USA (East Coast)</x:v>
      </x:c>
      <x:c r="C302" s="24" t="str">
        <x:v>EEZ</x:v>
      </x:c>
      <x:c r="D302" s="30" t="n">
        <x:v>2019</x:v>
      </x:c>
      <x:c r="E302" s="24" t="str">
        <x:v>Stenopus hispidus</x:v>
      </x:c>
      <x:c r="F302" s="24" t="str">
        <x:v>Banded coral shrimp</x:v>
      </x:c>
      <x:c r="G302" s="24" t="str">
        <x:v>Shrimps</x:v>
      </x:c>
      <x:c r="H302" s="24" t="str">
        <x:v>Crustaceans</x:v>
      </x:c>
      <x:c r="I302" s="31" t="n">
        <x:v>0.15558236749999999</x:v>
      </x:c>
      <x:c r="J302" s="31" t="n">
        <x:v>0.15558236749999999</x:v>
      </x:c>
      <x:c r="K302" s="31" t="n">
        <x:v>0</x:v>
      </x:c>
      <x:c r="L302" s="31" t="n">
        <x:v>0.15558236749999999</x:v>
      </x:c>
      <x:c r="M302" s="31" t="n">
        <x:v>0</x:v>
      </x:c>
      <x:c r="N302" s="24" t="str">
        <x:v>stenopus hispidus</x:v>
      </x:c>
      <x:c r="O302" s="32" t="n">
        <x:v>2.86</x:v>
      </x:c>
      <x:c r="P302" s="24" t="str">
        <x:v>exact_sea_around_us</x:v>
      </x:c>
      <x:c r="Q302" s="32" t="str">
        <x:v>Sea Around Us exploited organisms</x:v>
      </x:c>
      <x:c r="R302" s="24" t="str">
        <x:v>high</x:v>
      </x:c>
      <x:c r="S302" s="24" t="str">
        <x:v>Stenopus hispidus</x:v>
      </x:c>
      <x:c r="T302" s="32" t="n">
        <x:f>IF(O302="","",(1/'Metadata'!$B$5)^(O302-1))</x:f>
        <x:v>72.44359600749898</x:v>
      </x:c>
      <x:c r="U302" s="31" t="n">
        <x:f>IF(T302="","",I302*T302)</x:f>
        <x:v>11.270946177060239</x:v>
      </x:c>
    </x:row>
    <x:row r="303" ht="18" customHeight="1">
      <x:c r="A303" s="24" t="str">
        <x:v>EEZ_851</x:v>
      </x:c>
      <x:c r="B303" s="24" t="str">
        <x:v>USA (East Coast)</x:v>
      </x:c>
      <x:c r="C303" s="24" t="str">
        <x:v>EEZ</x:v>
      </x:c>
      <x:c r="D303" s="30" t="n">
        <x:v>2019</x:v>
      </x:c>
      <x:c r="E303" s="24" t="str">
        <x:v>Lycodes</x:v>
      </x:c>
      <x:c r="F303" s="24" t="str">
        <x:v>Eelpouts</x:v>
      </x:c>
      <x:c r="G303" s="24" t="str">
        <x:v>Medium bathydemersals (30 - 89 cm)</x:v>
      </x:c>
      <x:c r="H303" s="24" t="str">
        <x:v>Perch-likes</x:v>
      </x:c>
      <x:c r="I303" s="31" t="n">
        <x:v>0.148956771</x:v>
      </x:c>
      <x:c r="J303" s="31" t="n">
        <x:v>0</x:v>
      </x:c>
      <x:c r="K303" s="31" t="n">
        <x:v>0.148956771</x:v>
      </x:c>
      <x:c r="L303" s="31" t="n">
        <x:v>0</x:v>
      </x:c>
      <x:c r="M303" s="31" t="n">
        <x:v>0.148956771</x:v>
      </x:c>
      <x:c r="N303" s="24" t="str">
        <x:v>lycodes</x:v>
      </x:c>
      <x:c r="O303" s="32" t="n">
        <x:v>3.3</x:v>
      </x:c>
      <x:c r="P303" s="24" t="str">
        <x:v>exact_sea_around_us</x:v>
      </x:c>
      <x:c r="Q303" s="32" t="str">
        <x:v>Sea Around Us exploited organisms</x:v>
      </x:c>
      <x:c r="R303" s="24" t="str">
        <x:v>high</x:v>
      </x:c>
      <x:c r="S303" s="24" t="str">
        <x:v>Lycodes</x:v>
      </x:c>
      <x:c r="T303" s="32" t="n">
        <x:f>IF(O303="","",(1/'Metadata'!$B$5)^(O303-1))</x:f>
        <x:v>199.52623149688787</x:v>
      </x:c>
      <x:c r="U303" s="31" t="n">
        <x:f>IF(T303="","",I303*T303)</x:f>
        <x:v>29.72078317357491</x:v>
      </x:c>
    </x:row>
    <x:row r="304" ht="18" customHeight="1">
      <x:c r="A304" s="24" t="str">
        <x:v>EEZ_851</x:v>
      </x:c>
      <x:c r="B304" s="24" t="str">
        <x:v>USA (East Coast)</x:v>
      </x:c>
      <x:c r="C304" s="24" t="str">
        <x:v>EEZ</x:v>
      </x:c>
      <x:c r="D304" s="30" t="n">
        <x:v>2019</x:v>
      </x:c>
      <x:c r="E304" s="24" t="str">
        <x:v>Auxis thazard</x:v>
      </x:c>
      <x:c r="F304" s="24" t="str">
        <x:v>Frigate tuna</x:v>
      </x:c>
      <x:c r="G304" s="24" t="str">
        <x:v>Medium pelagics (30 - 89 cm)</x:v>
      </x:c>
      <x:c r="H304" s="24" t="str">
        <x:v>Tuna &amp; billfishes</x:v>
      </x:c>
      <x:c r="I304" s="31" t="n">
        <x:v>0.1410871152</x:v>
      </x:c>
      <x:c r="J304" s="31" t="n">
        <x:v>0.1410871152</x:v>
      </x:c>
      <x:c r="K304" s="31" t="n">
        <x:v>0</x:v>
      </x:c>
      <x:c r="L304" s="31" t="n">
        <x:v>0.131995537</x:v>
      </x:c>
      <x:c r="M304" s="31" t="n">
        <x:v>0.0090915782</x:v>
      </x:c>
      <x:c r="N304" s="24" t="str">
        <x:v>auxis thazard</x:v>
      </x:c>
      <x:c r="O304" s="32" t="n">
        <x:v>4.37</x:v>
      </x:c>
      <x:c r="P304" s="24" t="str">
        <x:v>exact_2020_supplement</x:v>
      </x:c>
      <x:c r="Q304" s="32" t="str">
        <x:v>2020 supplement MeanTL</x:v>
      </x:c>
      <x:c r="R304" s="24" t="str">
        <x:v>high</x:v>
      </x:c>
      <x:c r="S304" s="24" t="str">
        <x:v>Auxis thazard</x:v>
      </x:c>
      <x:c r="T304" s="32" t="n">
        <x:f>IF(O304="","",(1/'Metadata'!$B$5)^(O304-1))</x:f>
        <x:v>2344.228815319923</x:v>
      </x:c>
      <x:c r="U304" s="31" t="n">
        <x:f>IF(T304="","",I304*T304)</x:f>
        <x:v>330.74048092220147</x:v>
      </x:c>
    </x:row>
    <x:row r="305" ht="18" customHeight="1">
      <x:c r="A305" s="24" t="str">
        <x:v>EEZ_851</x:v>
      </x:c>
      <x:c r="B305" s="24" t="str">
        <x:v>USA (East Coast)</x:v>
      </x:c>
      <x:c r="C305" s="24" t="str">
        <x:v>EEZ</x:v>
      </x:c>
      <x:c r="D305" s="30" t="n">
        <x:v>2019</x:v>
      </x:c>
      <x:c r="E305" s="24" t="str">
        <x:v>Lagocephalus laevigatus</x:v>
      </x:c>
      <x:c r="F305" s="24" t="str">
        <x:v>Smooth puffer</x:v>
      </x:c>
      <x:c r="G305" s="24" t="str">
        <x:v>Medium pelagics (30 - 89 cm)</x:v>
      </x:c>
      <x:c r="H305" s="24" t="str">
        <x:v>Other fishes &amp; inverts</x:v>
      </x:c>
      <x:c r="I305" s="31" t="n">
        <x:v>0.136984784</x:v>
      </x:c>
      <x:c r="J305" s="31" t="n">
        <x:v>0.136984784</x:v>
      </x:c>
      <x:c r="K305" s="31" t="n">
        <x:v>0</x:v>
      </x:c>
      <x:c r="L305" s="31" t="n">
        <x:v>0</x:v>
      </x:c>
      <x:c r="M305" s="31" t="n">
        <x:v>0.136984784</x:v>
      </x:c>
      <x:c r="N305" s="24" t="str">
        <x:v>lagocephalus laevigatus</x:v>
      </x:c>
      <x:c r="O305" s="32" t="n">
        <x:v>4.02</x:v>
      </x:c>
      <x:c r="P305" s="24" t="str">
        <x:v>exact_2020_supplement</x:v>
      </x:c>
      <x:c r="Q305" s="32" t="str">
        <x:v>2020 supplement MeanTL</x:v>
      </x:c>
      <x:c r="R305" s="24" t="str">
        <x:v>high</x:v>
      </x:c>
      <x:c r="S305" s="24" t="str">
        <x:v>Lagocephalus laevigatus</x:v>
      </x:c>
      <x:c r="T305" s="32" t="n">
        <x:f>IF(O305="","",(1/'Metadata'!$B$5)^(O305-1))</x:f>
        <x:v>1047.1285480508984</x:v>
      </x:c>
      <x:c r="U305" s="31" t="n">
        <x:f>IF(T305="","",I305*T305)</x:f>
        <x:v>143.44067797498593</x:v>
      </x:c>
    </x:row>
    <x:row r="306" ht="18" customHeight="1">
      <x:c r="A306" s="24" t="str">
        <x:v>EEZ_851</x:v>
      </x:c>
      <x:c r="B306" s="24" t="str">
        <x:v>USA (East Coast)</x:v>
      </x:c>
      <x:c r="C306" s="24" t="str">
        <x:v>EEZ</x:v>
      </x:c>
      <x:c r="D306" s="30" t="n">
        <x:v>2019</x:v>
      </x:c>
      <x:c r="E306" s="24" t="str">
        <x:v>Octopodidae</x:v>
      </x:c>
      <x:c r="F306" s="24" t="str">
        <x:v>Octopuses</x:v>
      </x:c>
      <x:c r="G306" s="24" t="str">
        <x:v>Cephalopods</x:v>
      </x:c>
      <x:c r="H306" s="24" t="str">
        <x:v>Other fishes &amp; inverts</x:v>
      </x:c>
      <x:c r="I306" s="31" t="n">
        <x:v>0.13380990809999999</x:v>
      </x:c>
      <x:c r="J306" s="31" t="n">
        <x:v>0.13380990809999999</x:v>
      </x:c>
      <x:c r="K306" s="31" t="n">
        <x:v>0</x:v>
      </x:c>
      <x:c r="L306" s="31" t="n">
        <x:v>0.13380990809999999</x:v>
      </x:c>
      <x:c r="M306" s="31" t="n">
        <x:v>0</x:v>
      </x:c>
      <x:c r="N306" s="24" t="str">
        <x:v>octopodidae</x:v>
      </x:c>
      <x:c r="O306" s="32" t="n">
        <x:v>3.59</x:v>
      </x:c>
      <x:c r="P306" s="24" t="str">
        <x:v>exact_sea_around_us</x:v>
      </x:c>
      <x:c r="Q306" s="32" t="str">
        <x:v>Sea Around Us exploited organisms</x:v>
      </x:c>
      <x:c r="R306" s="24" t="str">
        <x:v>high</x:v>
      </x:c>
      <x:c r="S306" s="24" t="str">
        <x:v>Octopodidae</x:v>
      </x:c>
      <x:c r="T306" s="32" t="n">
        <x:f>IF(O306="","",(1/'Metadata'!$B$5)^(O306-1))</x:f>
        <x:v>389.04514499428046</x:v>
      </x:c>
      <x:c r="U306" s="31" t="n">
        <x:f>IF(T306="","",I306*T306)</x:f>
        <x:v>52.058095098435835</x:v>
      </x:c>
    </x:row>
    <x:row r="307" ht="18" customHeight="1">
      <x:c r="A307" s="24" t="str">
        <x:v>EEZ_851</x:v>
      </x:c>
      <x:c r="B307" s="24" t="str">
        <x:v>USA (East Coast)</x:v>
      </x:c>
      <x:c r="C307" s="24" t="str">
        <x:v>EEZ</x:v>
      </x:c>
      <x:c r="D307" s="30" t="n">
        <x:v>2019</x:v>
      </x:c>
      <x:c r="E307" s="24" t="str">
        <x:v>Paranthias furcifer</x:v>
      </x:c>
      <x:c r="F307" s="24" t="str">
        <x:v>Creole-fish</x:v>
      </x:c>
      <x:c r="G307" s="24" t="str">
        <x:v>Medium benthopelagics (30 - 89 cm)</x:v>
      </x:c>
      <x:c r="H307" s="24" t="str">
        <x:v>Perch-likes</x:v>
      </x:c>
      <x:c r="I307" s="31" t="n">
        <x:v>0.1294992429</x:v>
      </x:c>
      <x:c r="J307" s="31" t="n">
        <x:v>0.1294992429</x:v>
      </x:c>
      <x:c r="K307" s="31" t="n">
        <x:v>0</x:v>
      </x:c>
      <x:c r="L307" s="31" t="n">
        <x:v>0.1233772709</x:v>
      </x:c>
      <x:c r="M307" s="31" t="n">
        <x:v>0.006121972</x:v>
      </x:c>
      <x:c r="N307" s="24" t="str">
        <x:v>paranthias furcifer</x:v>
      </x:c>
      <x:c r="O307" s="32" t="n">
        <x:v>3.21</x:v>
      </x:c>
      <x:c r="P307" s="24" t="str">
        <x:v>exact_2020_supplement</x:v>
      </x:c>
      <x:c r="Q307" s="32" t="str">
        <x:v>2020 supplement MeanTL</x:v>
      </x:c>
      <x:c r="R307" s="24" t="str">
        <x:v>high</x:v>
      </x:c>
      <x:c r="S307" s="24" t="str">
        <x:v>Paranthias furcifer</x:v>
      </x:c>
      <x:c r="T307" s="32" t="n">
        <x:f>IF(O307="","",(1/'Metadata'!$B$5)^(O307-1))</x:f>
        <x:v>162.18100973589299</x:v>
      </x:c>
      <x:c r="U307" s="31" t="n">
        <x:f>IF(T307="","",I307*T307)</x:f>
        <x:v>21.002317973555673</x:v>
      </x:c>
    </x:row>
    <x:row r="308" ht="18" customHeight="1">
      <x:c r="A308" s="24" t="str">
        <x:v>EEZ_851</x:v>
      </x:c>
      <x:c r="B308" s="24" t="str">
        <x:v>USA (East Coast)</x:v>
      </x:c>
      <x:c r="C308" s="24" t="str">
        <x:v>EEZ</x:v>
      </x:c>
      <x:c r="D308" s="30" t="n">
        <x:v>2019</x:v>
      </x:c>
      <x:c r="E308" s="24" t="str">
        <x:v>Holacanthus tricolor</x:v>
      </x:c>
      <x:c r="F308" s="24" t="str">
        <x:v>Rock beauty</x:v>
      </x:c>
      <x:c r="G308" s="24" t="str">
        <x:v>Medium reef assoc. fish (30 - 89 cm)</x:v>
      </x:c>
      <x:c r="H308" s="24" t="str">
        <x:v>Perch-likes</x:v>
      </x:c>
      <x:c r="I308" s="31" t="n">
        <x:v>0.1256452362</x:v>
      </x:c>
      <x:c r="J308" s="31" t="n">
        <x:v>0.1256452362</x:v>
      </x:c>
      <x:c r="K308" s="31" t="n">
        <x:v>0</x:v>
      </x:c>
      <x:c r="L308" s="31" t="n">
        <x:v>0.1256452362</x:v>
      </x:c>
      <x:c r="M308" s="31" t="n">
        <x:v>0</x:v>
      </x:c>
      <x:c r="N308" s="24" t="str">
        <x:v>holacanthus tricolor</x:v>
      </x:c>
      <x:c r="O308" s="32" t="n">
        <x:v>3.01</x:v>
      </x:c>
      <x:c r="P308" s="24" t="str">
        <x:v>exact_2020_supplement</x:v>
      </x:c>
      <x:c r="Q308" s="32" t="str">
        <x:v>2020 supplement MeanTL</x:v>
      </x:c>
      <x:c r="R308" s="24" t="str">
        <x:v>high</x:v>
      </x:c>
      <x:c r="S308" s="24" t="str">
        <x:v>Holacanthus tricolor</x:v>
      </x:c>
      <x:c r="T308" s="32" t="n">
        <x:f>IF(O308="","",(1/'Metadata'!$B$5)^(O308-1))</x:f>
        <x:v>102.32929922807536</x:v>
      </x:c>
      <x:c r="U308" s="31" t="n">
        <x:f>IF(T308="","",I308*T308)</x:f>
        <x:v>12.857188971692008</x:v>
      </x:c>
    </x:row>
    <x:row r="309" ht="18" customHeight="1">
      <x:c r="A309" s="24" t="str">
        <x:v>EEZ_851</x:v>
      </x:c>
      <x:c r="B309" s="24" t="str">
        <x:v>USA (East Coast)</x:v>
      </x:c>
      <x:c r="C309" s="24" t="str">
        <x:v>EEZ</x:v>
      </x:c>
      <x:c r="D309" s="30" t="n">
        <x:v>2019</x:v>
      </x:c>
      <x:c r="E309" s="24" t="str">
        <x:v>Acanthurus coeruleus</x:v>
      </x:c>
      <x:c r="F309" s="24" t="str">
        <x:v>Blue tang surgeonfish</x:v>
      </x:c>
      <x:c r="G309" s="24" t="str">
        <x:v>Medium reef assoc. fish (30 - 89 cm)</x:v>
      </x:c>
      <x:c r="H309" s="24" t="str">
        <x:v>Perch-likes</x:v>
      </x:c>
      <x:c r="I309" s="31" t="n">
        <x:v>0.12383086419999999</x:v>
      </x:c>
      <x:c r="J309" s="31" t="n">
        <x:v>0.12383086419999999</x:v>
      </x:c>
      <x:c r="K309" s="31" t="n">
        <x:v>0</x:v>
      </x:c>
      <x:c r="L309" s="31" t="n">
        <x:v>0.12383086419999999</x:v>
      </x:c>
      <x:c r="M309" s="31" t="n">
        <x:v>0</x:v>
      </x:c>
      <x:c r="N309" s="24" t="str">
        <x:v>acanthurus coeruleus</x:v>
      </x:c>
      <x:c r="O309" s="32" t="n">
        <x:v>2.01</x:v>
      </x:c>
      <x:c r="P309" s="24" t="str">
        <x:v>exact_2020_supplement</x:v>
      </x:c>
      <x:c r="Q309" s="32" t="str">
        <x:v>2020 supplement MeanTL</x:v>
      </x:c>
      <x:c r="R309" s="24" t="str">
        <x:v>high</x:v>
      </x:c>
      <x:c r="S309" s="24" t="str">
        <x:v>Acanthurus coeruleus</x:v>
      </x:c>
      <x:c r="T309" s="32" t="n">
        <x:f>IF(O309="","",(1/'Metadata'!$B$5)^(O309-1))</x:f>
        <x:v>10.232929922807536</x:v>
      </x:c>
      <x:c r="U309" s="31" t="n">
        <x:f>IF(T309="","",I309*T309)</x:f>
        <x:v>1.2671525556392964</x:v>
      </x:c>
    </x:row>
    <x:row r="310" ht="18" customHeight="1">
      <x:c r="A310" s="24" t="str">
        <x:v>EEZ_851</x:v>
      </x:c>
      <x:c r="B310" s="24" t="str">
        <x:v>USA (East Coast)</x:v>
      </x:c>
      <x:c r="C310" s="24" t="str">
        <x:v>EEZ</x:v>
      </x:c>
      <x:c r="D310" s="30" t="n">
        <x:v>2019</x:v>
      </x:c>
      <x:c r="E310" s="24" t="str">
        <x:v>Pareques acuminatus</x:v>
      </x:c>
      <x:c r="F310" s="24" t="str">
        <x:v>High-hat</x:v>
      </x:c>
      <x:c r="G310" s="24" t="str">
        <x:v>Small reef assoc. fish (&lt;30 cm)</x:v>
      </x:c>
      <x:c r="H310" s="24" t="str">
        <x:v>Perch-likes</x:v>
      </x:c>
      <x:c r="I310" s="31" t="n">
        <x:v>0.086182653</x:v>
      </x:c>
      <x:c r="J310" s="31" t="n">
        <x:v>0.086182653</x:v>
      </x:c>
      <x:c r="K310" s="31" t="n">
        <x:v>0</x:v>
      </x:c>
      <x:c r="L310" s="31" t="n">
        <x:v>0.086182653</x:v>
      </x:c>
      <x:c r="M310" s="31" t="n">
        <x:v>0</x:v>
      </x:c>
      <x:c r="N310" s="24" t="str">
        <x:v>pareques acuminatus</x:v>
      </x:c>
      <x:c r="O310" s="32" t="n">
        <x:v>3.59</x:v>
      </x:c>
      <x:c r="P310" s="24" t="str">
        <x:v>exact_2020_supplement</x:v>
      </x:c>
      <x:c r="Q310" s="32" t="str">
        <x:v>2020 supplement MeanTL</x:v>
      </x:c>
      <x:c r="R310" s="24" t="str">
        <x:v>high</x:v>
      </x:c>
      <x:c r="S310" s="24" t="str">
        <x:v>Pareques acuminatus</x:v>
      </x:c>
      <x:c r="T310" s="32" t="n">
        <x:f>IF(O310="","",(1/'Metadata'!$B$5)^(O310-1))</x:f>
        <x:v>389.04514499428046</x:v>
      </x:c>
      <x:c r="U310" s="31" t="n">
        <x:f>IF(T310="","",I310*T310)</x:f>
        <x:v>33.52894273237676</x:v>
      </x:c>
    </x:row>
    <x:row r="311" ht="18" customHeight="1">
      <x:c r="A311" s="24" t="str">
        <x:v>EEZ_851</x:v>
      </x:c>
      <x:c r="B311" s="24" t="str">
        <x:v>USA (East Coast)</x:v>
      </x:c>
      <x:c r="C311" s="24" t="str">
        <x:v>EEZ</x:v>
      </x:c>
      <x:c r="D311" s="30" t="n">
        <x:v>2019</x:v>
      </x:c>
      <x:c r="E311" s="24" t="str">
        <x:v>Auxis rochei</x:v>
      </x:c>
      <x:c r="F311" s="24" t="str">
        <x:v>Bullet tuna</x:v>
      </x:c>
      <x:c r="G311" s="24" t="str">
        <x:v>Medium pelagics (30 - 89 cm)</x:v>
      </x:c>
      <x:c r="H311" s="24" t="str">
        <x:v>Tuna &amp; billfishes</x:v>
      </x:c>
      <x:c r="I311" s="31" t="n">
        <x:v>0.08391468810000001</x:v>
      </x:c>
      <x:c r="J311" s="31" t="n">
        <x:v>0.08391468810000001</x:v>
      </x:c>
      <x:c r="K311" s="31" t="n">
        <x:v>0</x:v>
      </x:c>
      <x:c r="L311" s="31" t="n">
        <x:v>0.08391468810000001</x:v>
      </x:c>
      <x:c r="M311" s="31" t="n">
        <x:v>0</x:v>
      </x:c>
      <x:c r="N311" s="24" t="str">
        <x:v>auxis rochei</x:v>
      </x:c>
      <x:c r="O311" s="32" t="n">
        <x:v>4.13</x:v>
      </x:c>
      <x:c r="P311" s="24" t="str">
        <x:v>exact_2020_supplement</x:v>
      </x:c>
      <x:c r="Q311" s="32" t="str">
        <x:v>2020 supplement MeanTL</x:v>
      </x:c>
      <x:c r="R311" s="24" t="str">
        <x:v>high</x:v>
      </x:c>
      <x:c r="S311" s="24" t="str">
        <x:v>Auxis rochei</x:v>
      </x:c>
      <x:c r="T311" s="32" t="n">
        <x:f>IF(O311="","",(1/'Metadata'!$B$5)^(O311-1))</x:f>
        <x:v>1348.9628825916532</x:v>
      </x:c>
      <x:c r="U311" s="31" t="n">
        <x:f>IF(T311="","",I311*T311)</x:f>
        <x:v>113.19779955115551</x:v>
      </x:c>
    </x:row>
    <x:row r="312" ht="18" customHeight="1">
      <x:c r="A312" s="24" t="str">
        <x:v>EEZ_851</x:v>
      </x:c>
      <x:c r="B312" s="24" t="str">
        <x:v>USA (East Coast)</x:v>
      </x:c>
      <x:c r="C312" s="24" t="str">
        <x:v>EEZ</x:v>
      </x:c>
      <x:c r="D312" s="30" t="n">
        <x:v>2019</x:v>
      </x:c>
      <x:c r="E312" s="24" t="str">
        <x:v>Ophidiidae</x:v>
      </x:c>
      <x:c r="F312" s="24" t="str">
        <x:v>Cuskeels</x:v>
      </x:c>
      <x:c r="G312" s="24" t="str">
        <x:v>Large bathydemersals (&gt;=90 cm)</x:v>
      </x:c>
      <x:c r="H312" s="24" t="str">
        <x:v>Other fishes &amp; inverts</x:v>
      </x:c>
      <x:c r="I312" s="31" t="n">
        <x:v>0.077564388</x:v>
      </x:c>
      <x:c r="J312" s="31" t="n">
        <x:v>0.077564388</x:v>
      </x:c>
      <x:c r="K312" s="31" t="n">
        <x:v>0</x:v>
      </x:c>
      <x:c r="L312" s="31" t="n">
        <x:v>0.077564388</x:v>
      </x:c>
      <x:c r="M312" s="31" t="n">
        <x:v>0</x:v>
      </x:c>
      <x:c r="N312" s="24" t="str">
        <x:v>ophidiidae</x:v>
      </x:c>
      <x:c r="O312" s="32" t="n">
        <x:v>3.67</x:v>
      </x:c>
      <x:c r="P312" s="24" t="str">
        <x:v>exact_sea_around_us</x:v>
      </x:c>
      <x:c r="Q312" s="32" t="str">
        <x:v>Sea Around Us exploited organisms</x:v>
      </x:c>
      <x:c r="R312" s="24" t="str">
        <x:v>high</x:v>
      </x:c>
      <x:c r="S312" s="24" t="str">
        <x:v>Ophidiidae</x:v>
      </x:c>
      <x:c r="T312" s="32" t="n">
        <x:f>IF(O312="","",(1/'Metadata'!$B$5)^(O312-1))</x:f>
        <x:v>467.73514128719813</x:v>
      </x:c>
      <x:c r="U312" s="31" t="n">
        <x:f>IF(T312="","",I312*T312)</x:f>
        <x:v>36.279589980035055</x:v>
      </x:c>
    </x:row>
    <x:row r="313" ht="18" customHeight="1">
      <x:c r="A313" s="24" t="str">
        <x:v>EEZ_851</x:v>
      </x:c>
      <x:c r="B313" s="24" t="str">
        <x:v>USA (East Coast)</x:v>
      </x:c>
      <x:c r="C313" s="24" t="str">
        <x:v>EEZ</x:v>
      </x:c>
      <x:c r="D313" s="30" t="n">
        <x:v>2019</x:v>
      </x:c>
      <x:c r="E313" s="24" t="str">
        <x:v>Ophioderma brevispinum</x:v>
      </x:c>
      <x:c r="F313" s="24" t="str">
        <x:v>Short-spined brittle star</x:v>
      </x:c>
      <x:c r="G313" s="24" t="str">
        <x:v>Other demersal invertebrates</x:v>
      </x:c>
      <x:c r="H313" s="24" t="str">
        <x:v>Other fishes &amp; inverts</x:v>
      </x:c>
      <x:c r="I313" s="31" t="n">
        <x:v>0.06486378599999999</x:v>
      </x:c>
      <x:c r="J313" s="31" t="n">
        <x:v>0.06486378599999999</x:v>
      </x:c>
      <x:c r="K313" s="31" t="n">
        <x:v>0</x:v>
      </x:c>
      <x:c r="L313" s="31" t="n">
        <x:v>0.06486378599999999</x:v>
      </x:c>
      <x:c r="M313" s="31" t="n">
        <x:v>0</x:v>
      </x:c>
      <x:c r="N313" s="24" t="str">
        <x:v>ophioderma brevispinum</x:v>
      </x:c>
      <x:c r="O313" s="32" t="n">
        <x:v>3.22</x:v>
      </x:c>
      <x:c r="P313" s="24" t="str">
        <x:v>exact_sea_around_us</x:v>
      </x:c>
      <x:c r="Q313" s="32" t="str">
        <x:v>Sea Around Us exploited organisms</x:v>
      </x:c>
      <x:c r="R313" s="24" t="str">
        <x:v>high</x:v>
      </x:c>
      <x:c r="S313" s="24" t="str">
        <x:v>Ophioderma brevispinum</x:v>
      </x:c>
      <x:c r="T313" s="32" t="n">
        <x:f>IF(O313="","",(1/'Metadata'!$B$5)^(O313-1))</x:f>
        <x:v>165.95869074375614</x:v>
      </x:c>
      <x:c r="U313" s="31" t="n">
        <x:f>IF(T313="","",I313*T313)</x:f>
        <x:v>10.764709001243178</x:v>
      </x:c>
    </x:row>
    <x:row r="314" ht="18" customHeight="1">
      <x:c r="A314" s="24" t="str">
        <x:v>EEZ_851</x:v>
      </x:c>
      <x:c r="B314" s="24" t="str">
        <x:v>USA (East Coast)</x:v>
      </x:c>
      <x:c r="C314" s="24" t="str">
        <x:v>EEZ</x:v>
      </x:c>
      <x:c r="D314" s="30" t="n">
        <x:v>2019</x:v>
      </x:c>
      <x:c r="E314" s="24" t="str">
        <x:v>Acanthurus bahianus</x:v>
      </x:c>
      <x:c r="F314" s="24" t="str">
        <x:v>Ocean surgeon</x:v>
      </x:c>
      <x:c r="G314" s="24" t="str">
        <x:v>Medium reef assoc. fish (30 - 89 cm)</x:v>
      </x:c>
      <x:c r="H314" s="24" t="str">
        <x:v>Perch-likes</x:v>
      </x:c>
      <x:c r="I314" s="31" t="n">
        <x:v>0.055791928000000005</x:v>
      </x:c>
      <x:c r="J314" s="31" t="n">
        <x:v>0.055791928000000005</x:v>
      </x:c>
      <x:c r="K314" s="31" t="n">
        <x:v>0</x:v>
      </x:c>
      <x:c r="L314" s="31" t="n">
        <x:v>0.055791928000000005</x:v>
      </x:c>
      <x:c r="M314" s="31" t="n">
        <x:v>0</x:v>
      </x:c>
      <x:c r="N314" s="24" t="str">
        <x:v>acanthurus bahianus</x:v>
      </x:c>
      <x:c r="O314" s="32" t="n">
        <x:v>2</x:v>
      </x:c>
      <x:c r="P314" s="24" t="str">
        <x:v>exact_2020_supplement</x:v>
      </x:c>
      <x:c r="Q314" s="32" t="str">
        <x:v>2020 supplement MeanTL</x:v>
      </x:c>
      <x:c r="R314" s="24" t="str">
        <x:v>high</x:v>
      </x:c>
      <x:c r="S314" s="24" t="str">
        <x:v>Acanthurus bahianus</x:v>
      </x:c>
      <x:c r="T314" s="32" t="n">
        <x:f>IF(O314="","",(1/'Metadata'!$B$5)^(O314-1))</x:f>
        <x:v>10</x:v>
      </x:c>
      <x:c r="U314" s="31" t="n">
        <x:f>IF(T314="","",I314*T314)</x:f>
        <x:v>0.55791928</x:v>
      </x:c>
    </x:row>
    <x:row r="315" ht="18" customHeight="1">
      <x:c r="A315" s="24" t="str">
        <x:v>EEZ_851</x:v>
      </x:c>
      <x:c r="B315" s="24" t="str">
        <x:v>USA (East Coast)</x:v>
      </x:c>
      <x:c r="C315" s="24" t="str">
        <x:v>EEZ</x:v>
      </x:c>
      <x:c r="D315" s="30" t="n">
        <x:v>2019</x:v>
      </x:c>
      <x:c r="E315" s="24" t="str">
        <x:v>Osmerus mordax</x:v>
      </x:c>
      <x:c r="F315" s="24" t="str">
        <x:v>Rainbow smelt</x:v>
      </x:c>
      <x:c r="G315" s="24" t="str">
        <x:v>Small pelagics (&lt;30 cm)</x:v>
      </x:c>
      <x:c r="H315" s="24" t="str">
        <x:v>Salmon, smelts, etc</x:v>
      </x:c>
      <x:c r="I315" s="31" t="n">
        <x:v>0.05442682</x:v>
      </x:c>
      <x:c r="J315" s="31" t="n">
        <x:v>0.0309692019</x:v>
      </x:c>
      <x:c r="K315" s="31" t="n">
        <x:v>0.0234576181</x:v>
      </x:c>
      <x:c r="L315" s="31" t="n">
        <x:v>0</x:v>
      </x:c>
      <x:c r="M315" s="31" t="n">
        <x:v>0.05442682</x:v>
      </x:c>
      <x:c r="N315" s="24" t="str">
        <x:v>osmerus mordax</x:v>
      </x:c>
      <x:c r="O315" s="32" t="n">
        <x:v>3</x:v>
      </x:c>
      <x:c r="P315" s="24" t="str">
        <x:v>exact_2020_supplement</x:v>
      </x:c>
      <x:c r="Q315" s="32" t="str">
        <x:v>2020 supplement MeanTL</x:v>
      </x:c>
      <x:c r="R315" s="24" t="str">
        <x:v>high</x:v>
      </x:c>
      <x:c r="S315" s="24" t="str">
        <x:v>Osmerus mordax</x:v>
      </x:c>
      <x:c r="T315" s="32" t="n">
        <x:f>IF(O315="","",(1/'Metadata'!$B$5)^(O315-1))</x:f>
        <x:v>100</x:v>
      </x:c>
      <x:c r="U315" s="31" t="n">
        <x:f>IF(T315="","",I315*T315)</x:f>
        <x:v>5.4426820000000005</x:v>
      </x:c>
    </x:row>
    <x:row r="316" ht="18" customHeight="1">
      <x:c r="A316" s="24" t="str">
        <x:v>EEZ_851</x:v>
      </x:c>
      <x:c r="B316" s="24" t="str">
        <x:v>USA (East Coast)</x:v>
      </x:c>
      <x:c r="C316" s="24" t="str">
        <x:v>EEZ</x:v>
      </x:c>
      <x:c r="D316" s="30" t="n">
        <x:v>2019</x:v>
      </x:c>
      <x:c r="E316" s="24" t="str">
        <x:v>Isurus paucus</x:v>
      </x:c>
      <x:c r="F316" s="24" t="str">
        <x:v>Longfin mako</x:v>
      </x:c>
      <x:c r="G316" s="24" t="str">
        <x:v>Large sharks (&gt;=90 cm)</x:v>
      </x:c>
      <x:c r="H316" s="24" t="str">
        <x:v>Sharks &amp; rays</x:v>
      </x:c>
      <x:c r="I316" s="31" t="n">
        <x:v>0.053349215</x:v>
      </x:c>
      <x:c r="J316" s="31" t="n">
        <x:v>0.053349215</x:v>
      </x:c>
      <x:c r="K316" s="31" t="n">
        <x:v>0</x:v>
      </x:c>
      <x:c r="L316" s="31" t="n">
        <x:v>0</x:v>
      </x:c>
      <x:c r="M316" s="31" t="n">
        <x:v>0.053349215</x:v>
      </x:c>
      <x:c r="N316" s="24" t="str">
        <x:v>isurus paucus</x:v>
      </x:c>
      <x:c r="O316" s="32" t="n">
        <x:v>4.51</x:v>
      </x:c>
      <x:c r="P316" s="24" t="str">
        <x:v>exact_2020_supplement</x:v>
      </x:c>
      <x:c r="Q316" s="32" t="str">
        <x:v>2020 supplement MeanTL</x:v>
      </x:c>
      <x:c r="R316" s="24" t="str">
        <x:v>high</x:v>
      </x:c>
      <x:c r="S316" s="24" t="str">
        <x:v>Isurus paucus</x:v>
      </x:c>
      <x:c r="T316" s="32" t="n">
        <x:f>IF(O316="","",(1/'Metadata'!$B$5)^(O316-1))</x:f>
        <x:v>3235.936569296281</x:v>
      </x:c>
      <x:c r="U316" s="31" t="n">
        <x:f>IF(T316="","",I316*T316)</x:f>
        <x:v>172.6346757617497</x:v>
      </x:c>
    </x:row>
    <x:row r="317" ht="18" customHeight="1">
      <x:c r="A317" s="24" t="str">
        <x:v>EEZ_851</x:v>
      </x:c>
      <x:c r="B317" s="24" t="str">
        <x:v>USA (East Coast)</x:v>
      </x:c>
      <x:c r="C317" s="24" t="str">
        <x:v>EEZ</x:v>
      </x:c>
      <x:c r="D317" s="30" t="n">
        <x:v>2019</x:v>
      </x:c>
      <x:c r="E317" s="24" t="str">
        <x:v>Istiophoridae</x:v>
      </x:c>
      <x:c r="F317" s="24" t="str">
        <x:v>Billfishes</x:v>
      </x:c>
      <x:c r="G317" s="24" t="str">
        <x:v>Large pelagics (&gt;=90 cm)</x:v>
      </x:c>
      <x:c r="H317" s="24" t="str">
        <x:v>Tuna &amp; billfishes</x:v>
      </x:c>
      <x:c r="I317" s="31" t="n">
        <x:v>0.052197324999999996</x:v>
      </x:c>
      <x:c r="J317" s="31" t="n">
        <x:v>0.052197324999999996</x:v>
      </x:c>
      <x:c r="K317" s="31" t="n">
        <x:v>0</x:v>
      </x:c>
      <x:c r="L317" s="31" t="n">
        <x:v>0.052197324999999996</x:v>
      </x:c>
      <x:c r="M317" s="31" t="n">
        <x:v>0</x:v>
      </x:c>
      <x:c r="N317" s="24" t="str">
        <x:v>istiophoridae</x:v>
      </x:c>
      <x:c r="O317" s="32" t="n">
        <x:v>4.48</x:v>
      </x:c>
      <x:c r="P317" s="24" t="str">
        <x:v>exact_sea_around_us</x:v>
      </x:c>
      <x:c r="Q317" s="32" t="str">
        <x:v>Sea Around Us exploited organisms</x:v>
      </x:c>
      <x:c r="R317" s="24" t="str">
        <x:v>high</x:v>
      </x:c>
      <x:c r="S317" s="24" t="str">
        <x:v>Istiophoridae</x:v>
      </x:c>
      <x:c r="T317" s="32" t="n">
        <x:f>IF(O317="","",(1/'Metadata'!$B$5)^(O317-1))</x:f>
        <x:v>3019.951720402019</x:v>
      </x:c>
      <x:c r="U317" s="31" t="n">
        <x:f>IF(T317="","",I317*T317)</x:f>
        <x:v>157.6334014341333</x:v>
      </x:c>
    </x:row>
    <x:row r="318" ht="18" customHeight="1">
      <x:c r="A318" s="24" t="str">
        <x:v>EEZ_851</x:v>
      </x:c>
      <x:c r="B318" s="24" t="str">
        <x:v>USA (East Coast)</x:v>
      </x:c>
      <x:c r="C318" s="24" t="str">
        <x:v>EEZ</x:v>
      </x:c>
      <x:c r="D318" s="30" t="n">
        <x:v>2019</x:v>
      </x:c>
      <x:c r="E318" s="24" t="str">
        <x:v>Hippospongia lachne</x:v>
      </x:c>
      <x:c r="F318" s="24" t="str">
        <x:v>Sheepswool sponge</x:v>
      </x:c>
      <x:c r="G318" s="24" t="str">
        <x:v>Other demersal invertebrates</x:v>
      </x:c>
      <x:c r="H318" s="24" t="str">
        <x:v>Other fishes &amp; inverts</x:v>
      </x:c>
      <x:c r="I318" s="31" t="n">
        <x:v>0.049967081899999995</x:v>
      </x:c>
      <x:c r="J318" s="31" t="n">
        <x:v>0.049967081899999995</x:v>
      </x:c>
      <x:c r="K318" s="31" t="n">
        <x:v>0</x:v>
      </x:c>
      <x:c r="L318" s="31" t="n">
        <x:v>0</x:v>
      </x:c>
      <x:c r="M318" s="31" t="n">
        <x:v>0.049967081899999995</x:v>
      </x:c>
      <x:c r="N318" s="24" t="str">
        <x:v>hippospongia lachne</x:v>
      </x:c>
      <x:c r="O318" s="32" t="n">
        <x:v>2</x:v>
      </x:c>
      <x:c r="P318" s="24" t="str">
        <x:v>exact_sea_around_us</x:v>
      </x:c>
      <x:c r="Q318" s="32" t="str">
        <x:v>Sea Around Us exploited organisms</x:v>
      </x:c>
      <x:c r="R318" s="24" t="str">
        <x:v>high</x:v>
      </x:c>
      <x:c r="S318" s="24" t="str">
        <x:v>Hippospongia lachne</x:v>
      </x:c>
      <x:c r="T318" s="32" t="n">
        <x:f>IF(O318="","",(1/'Metadata'!$B$5)^(O318-1))</x:f>
        <x:v>10</x:v>
      </x:c>
      <x:c r="U318" s="31" t="n">
        <x:f>IF(T318="","",I318*T318)</x:f>
        <x:v>0.49967081899999993</x:v>
      </x:c>
    </x:row>
    <x:row r="319" ht="18" customHeight="1">
      <x:c r="A319" s="24" t="str">
        <x:v>EEZ_851</x:v>
      </x:c>
      <x:c r="B319" s="24" t="str">
        <x:v>USA (East Coast)</x:v>
      </x:c>
      <x:c r="C319" s="24" t="str">
        <x:v>EEZ</x:v>
      </x:c>
      <x:c r="D319" s="30" t="n">
        <x:v>2019</x:v>
      </x:c>
      <x:c r="E319" s="24" t="str">
        <x:v>Epinephelus</x:v>
      </x:c>
      <x:c r="F319" s="24" t="str">
        <x:v>Seabasses, hinds</x:v>
      </x:c>
      <x:c r="G319" s="24" t="str">
        <x:v>Medium reef assoc. fish (30 - 89 cm)</x:v>
      </x:c>
      <x:c r="H319" s="24" t="str">
        <x:v>Perch-likes</x:v>
      </x:c>
      <x:c r="I319" s="31" t="n">
        <x:v>0.0421207809</x:v>
      </x:c>
      <x:c r="J319" s="31" t="n">
        <x:v>0.0421207809</x:v>
      </x:c>
      <x:c r="K319" s="31" t="n">
        <x:v>0</x:v>
      </x:c>
      <x:c r="L319" s="31" t="n">
        <x:v>0</x:v>
      </x:c>
      <x:c r="M319" s="31" t="n">
        <x:v>0.0421207809</x:v>
      </x:c>
      <x:c r="N319" s="24" t="str">
        <x:v>epinephelus</x:v>
      </x:c>
      <x:c r="O319" s="32" t="n">
        <x:v>3.84</x:v>
      </x:c>
      <x:c r="P319" s="24" t="str">
        <x:v>exact_sea_around_us</x:v>
      </x:c>
      <x:c r="Q319" s="32" t="str">
        <x:v>Sea Around Us exploited organisms</x:v>
      </x:c>
      <x:c r="R319" s="24" t="str">
        <x:v>high</x:v>
      </x:c>
      <x:c r="S319" s="24" t="str">
        <x:v>Epinephelus</x:v>
      </x:c>
      <x:c r="T319" s="32" t="n">
        <x:f>IF(O319="","",(1/'Metadata'!$B$5)^(O319-1))</x:f>
        <x:v>691.8309709189363</x:v>
      </x:c>
      <x:c r="U319" s="31" t="n">
        <x:f>IF(T319="","",I319*T319)</x:f>
        <x:v>29.140460745910786</x:v>
      </x:c>
    </x:row>
    <x:row r="320" ht="18" customHeight="1">
      <x:c r="A320" s="24" t="str">
        <x:v>EEZ_851</x:v>
      </x:c>
      <x:c r="B320" s="24" t="str">
        <x:v>USA (East Coast)</x:v>
      </x:c>
      <x:c r="C320" s="24" t="str">
        <x:v>EEZ</x:v>
      </x:c>
      <x:c r="D320" s="30" t="n">
        <x:v>2019</x:v>
      </x:c>
      <x:c r="E320" s="24" t="str">
        <x:v>Etelis oculatus</x:v>
      </x:c>
      <x:c r="F320" s="24" t="str">
        <x:v>Queen snapper</x:v>
      </x:c>
      <x:c r="G320" s="24" t="str">
        <x:v>Medium bathydemersals (30 - 89 cm)</x:v>
      </x:c>
      <x:c r="H320" s="24" t="str">
        <x:v>Perch-likes</x:v>
      </x:c>
      <x:c r="I320" s="31" t="n">
        <x:v>0.037152582100000005</x:v>
      </x:c>
      <x:c r="J320" s="31" t="n">
        <x:v>0.037152582100000005</x:v>
      </x:c>
      <x:c r="K320" s="31" t="n">
        <x:v>0</x:v>
      </x:c>
      <x:c r="L320" s="31" t="n">
        <x:v>0.035833840000000006</x:v>
      </x:c>
      <x:c r="M320" s="31" t="n">
        <x:v>0.0013187421</x:v>
      </x:c>
      <x:c r="N320" s="24" t="str">
        <x:v>etelis oculatus</x:v>
      </x:c>
      <x:c r="O320" s="32" t="n">
        <x:v>4.18</x:v>
      </x:c>
      <x:c r="P320" s="24" t="str">
        <x:v>exact_2020_supplement</x:v>
      </x:c>
      <x:c r="Q320" s="32" t="str">
        <x:v>2020 supplement MeanTL</x:v>
      </x:c>
      <x:c r="R320" s="24" t="str">
        <x:v>high</x:v>
      </x:c>
      <x:c r="S320" s="24" t="str">
        <x:v>Etelis oculatus</x:v>
      </x:c>
      <x:c r="T320" s="32" t="n">
        <x:f>IF(O320="","",(1/'Metadata'!$B$5)^(O320-1))</x:f>
        <x:v>1513.5612484362073</x:v>
      </x:c>
      <x:c r="U320" s="31" t="n">
        <x:f>IF(T320="","",I320*T320)</x:f>
        <x:v>56.23270854590469</x:v>
      </x:c>
    </x:row>
    <x:row r="321" ht="18" customHeight="1">
      <x:c r="A321" s="24" t="str">
        <x:v>EEZ_851</x:v>
      </x:c>
      <x:c r="B321" s="24" t="str">
        <x:v>USA (East Coast)</x:v>
      </x:c>
      <x:c r="C321" s="24" t="str">
        <x:v>EEZ</x:v>
      </x:c>
      <x:c r="D321" s="30" t="n">
        <x:v>2019</x:v>
      </x:c>
      <x:c r="E321" s="24" t="str">
        <x:v>Canthigaster rostrata</x:v>
      </x:c>
      <x:c r="F321" s="24" t="str">
        <x:v>Caribbean sharpnose-puffer</x:v>
      </x:c>
      <x:c r="G321" s="24" t="str">
        <x:v>Small reef assoc. fish (&lt;30 cm)</x:v>
      </x:c>
      <x:c r="H321" s="24" t="str">
        <x:v>Other fishes &amp; inverts</x:v>
      </x:c>
      <x:c r="I321" s="31" t="n">
        <x:v>0.0362874334</x:v>
      </x:c>
      <x:c r="J321" s="31" t="n">
        <x:v>0.0362874334</x:v>
      </x:c>
      <x:c r="K321" s="31" t="n">
        <x:v>0</x:v>
      </x:c>
      <x:c r="L321" s="31" t="n">
        <x:v>0.0362874334</x:v>
      </x:c>
      <x:c r="M321" s="31" t="n">
        <x:v>0</x:v>
      </x:c>
      <x:c r="N321" s="24" t="str">
        <x:v>canthigaster rostrata</x:v>
      </x:c>
      <x:c r="O321" s="32" t="n">
        <x:v>3.28</x:v>
      </x:c>
      <x:c r="P321" s="24" t="str">
        <x:v>exact_2020_supplement</x:v>
      </x:c>
      <x:c r="Q321" s="32" t="str">
        <x:v>2020 supplement MeanTL</x:v>
      </x:c>
      <x:c r="R321" s="24" t="str">
        <x:v>high</x:v>
      </x:c>
      <x:c r="S321" s="24" t="str">
        <x:v>Canthigaster rostrata</x:v>
      </x:c>
      <x:c r="T321" s="32" t="n">
        <x:f>IF(O321="","",(1/'Metadata'!$B$5)^(O321-1))</x:f>
        <x:v>190.54607179632464</x:v>
      </x:c>
      <x:c r="U321" s="31" t="n">
        <x:f>IF(T321="","",I321*T321)</x:f>
        <x:v>6.9144278899407485</x:v>
      </x:c>
    </x:row>
    <x:row r="322" ht="18" customHeight="1">
      <x:c r="A322" s="24" t="str">
        <x:v>EEZ_851</x:v>
      </x:c>
      <x:c r="B322" s="24" t="str">
        <x:v>USA (East Coast)</x:v>
      </x:c>
      <x:c r="C322" s="24" t="str">
        <x:v>EEZ</x:v>
      </x:c>
      <x:c r="D322" s="30" t="n">
        <x:v>2019</x:v>
      </x:c>
      <x:c r="E322" s="24" t="str">
        <x:v>Haemulon album</x:v>
      </x:c>
      <x:c r="F322" s="24" t="str">
        <x:v>White margate</x:v>
      </x:c>
      <x:c r="G322" s="24" t="str">
        <x:v>Medium reef assoc. fish (30 - 89 cm)</x:v>
      </x:c>
      <x:c r="H322" s="24" t="str">
        <x:v>Perch-likes</x:v>
      </x:c>
      <x:c r="I322" s="31" t="n">
        <x:v>0.0309296363</x:v>
      </x:c>
      <x:c r="J322" s="31" t="n">
        <x:v>0.0309296363</x:v>
      </x:c>
      <x:c r="K322" s="31" t="n">
        <x:v>0</x:v>
      </x:c>
      <x:c r="L322" s="31" t="n">
        <x:v>0</x:v>
      </x:c>
      <x:c r="M322" s="31" t="n">
        <x:v>0.0309296363</x:v>
      </x:c>
      <x:c r="N322" s="24" t="str">
        <x:v>haemulon album</x:v>
      </x:c>
      <x:c r="O322" s="32" t="n">
        <x:v>3.32</x:v>
      </x:c>
      <x:c r="P322" s="24" t="str">
        <x:v>exact_2020_supplement</x:v>
      </x:c>
      <x:c r="Q322" s="32" t="str">
        <x:v>2020 supplement MeanTL</x:v>
      </x:c>
      <x:c r="R322" s="24" t="str">
        <x:v>high</x:v>
      </x:c>
      <x:c r="S322" s="24" t="str">
        <x:v>Haemulon album</x:v>
      </x:c>
      <x:c r="T322" s="32" t="n">
        <x:f>IF(O322="","",(1/'Metadata'!$B$5)^(O322-1))</x:f>
        <x:v>208.92961308540387</x:v>
      </x:c>
      <x:c r="U322" s="31" t="n">
        <x:f>IF(T322="","",I322*T322)</x:f>
        <x:v>6.462116945031263</x:v>
      </x:c>
    </x:row>
    <x:row r="323" ht="18" customHeight="1">
      <x:c r="A323" s="24" t="str">
        <x:v>EEZ_851</x:v>
      </x:c>
      <x:c r="B323" s="24" t="str">
        <x:v>USA (East Coast)</x:v>
      </x:c>
      <x:c r="C323" s="24" t="str">
        <x:v>EEZ</x:v>
      </x:c>
      <x:c r="D323" s="30" t="n">
        <x:v>2019</x:v>
      </x:c>
      <x:c r="E323" s="24" t="str">
        <x:v>Lytechinus variegatus</x:v>
      </x:c>
      <x:c r="F323" s="24" t="str">
        <x:v>Green sea urchin</x:v>
      </x:c>
      <x:c r="G323" s="24" t="str">
        <x:v>Other demersal invertebrates</x:v>
      </x:c>
      <x:c r="H323" s="24" t="str">
        <x:v>Other fishes &amp; inverts</x:v>
      </x:c>
      <x:c r="I323" s="31" t="n">
        <x:v>0.029029946</x:v>
      </x:c>
      <x:c r="J323" s="31" t="n">
        <x:v>0.029029946</x:v>
      </x:c>
      <x:c r="K323" s="31" t="n">
        <x:v>0</x:v>
      </x:c>
      <x:c r="L323" s="31" t="n">
        <x:v>0.029029946</x:v>
      </x:c>
      <x:c r="M323" s="31" t="n">
        <x:v>0</x:v>
      </x:c>
      <x:c r="N323" s="24" t="str">
        <x:v>lytechinus variegatus</x:v>
      </x:c>
      <x:c r="O323" s="32" t="n">
        <x:v>2</x:v>
      </x:c>
      <x:c r="P323" s="24" t="str">
        <x:v>exact_sea_around_us</x:v>
      </x:c>
      <x:c r="Q323" s="32" t="str">
        <x:v>Sea Around Us exploited organisms</x:v>
      </x:c>
      <x:c r="R323" s="24" t="str">
        <x:v>high</x:v>
      </x:c>
      <x:c r="S323" s="24" t="str">
        <x:v>Lytechinus variegatus</x:v>
      </x:c>
      <x:c r="T323" s="32" t="n">
        <x:f>IF(O323="","",(1/'Metadata'!$B$5)^(O323-1))</x:f>
        <x:v>10</x:v>
      </x:c>
      <x:c r="U323" s="31" t="n">
        <x:f>IF(T323="","",I323*T323)</x:f>
        <x:v>0.29029946</x:v>
      </x:c>
    </x:row>
    <x:row r="324" ht="18" customHeight="1">
      <x:c r="A324" s="24" t="str">
        <x:v>EEZ_851</x:v>
      </x:c>
      <x:c r="B324" s="24" t="str">
        <x:v>USA (East Coast)</x:v>
      </x:c>
      <x:c r="C324" s="24" t="str">
        <x:v>EEZ</x:v>
      </x:c>
      <x:c r="D324" s="30" t="n">
        <x:v>2019</x:v>
      </x:c>
      <x:c r="E324" s="24" t="str">
        <x:v>Hypoplectrus unicolor</x:v>
      </x:c>
      <x:c r="F324" s="24" t="str">
        <x:v>Butter hamlet</x:v>
      </x:c>
      <x:c r="G324" s="24" t="str">
        <x:v>Small reef assoc. fish (&lt;30 cm)</x:v>
      </x:c>
      <x:c r="H324" s="24" t="str">
        <x:v>Perch-likes</x:v>
      </x:c>
      <x:c r="I324" s="31" t="n">
        <x:v>0.0272155748</x:v>
      </x:c>
      <x:c r="J324" s="31" t="n">
        <x:v>0.0272155748</x:v>
      </x:c>
      <x:c r="K324" s="31" t="n">
        <x:v>0</x:v>
      </x:c>
      <x:c r="L324" s="31" t="n">
        <x:v>0.0272155748</x:v>
      </x:c>
      <x:c r="M324" s="31" t="n">
        <x:v>0</x:v>
      </x:c>
      <x:c r="N324" s="24" t="str">
        <x:v>hypoplectrus unicolor</x:v>
      </x:c>
      <x:c r="O324" s="32" t="n">
        <x:v>3.97</x:v>
      </x:c>
      <x:c r="P324" s="24" t="str">
        <x:v>exact_2020_supplement</x:v>
      </x:c>
      <x:c r="Q324" s="32" t="str">
        <x:v>2020 supplement MeanTL</x:v>
      </x:c>
      <x:c r="R324" s="24" t="str">
        <x:v>high</x:v>
      </x:c>
      <x:c r="S324" s="24" t="str">
        <x:v>Hypoplectrus unicolor</x:v>
      </x:c>
      <x:c r="T324" s="32" t="n">
        <x:f>IF(O324="","",(1/'Metadata'!$B$5)^(O324-1))</x:f>
        <x:v>933.2543007969915</x:v>
      </x:c>
      <x:c r="U324" s="31" t="n">
        <x:f>IF(T324="","",I324*T324)</x:f>
        <x:v>25.399052230762223</x:v>
      </x:c>
    </x:row>
    <x:row r="325" ht="18" customHeight="1">
      <x:c r="A325" s="24" t="str">
        <x:v>EEZ_851</x:v>
      </x:c>
      <x:c r="B325" s="24" t="str">
        <x:v>USA (East Coast)</x:v>
      </x:c>
      <x:c r="C325" s="24" t="str">
        <x:v>EEZ</x:v>
      </x:c>
      <x:c r="D325" s="30" t="n">
        <x:v>2019</x:v>
      </x:c>
      <x:c r="E325" s="24" t="str">
        <x:v>Anchoa mitchilli</x:v>
      </x:c>
      <x:c r="F325" s="24" t="str">
        <x:v>Bay anchovy</x:v>
      </x:c>
      <x:c r="G325" s="24" t="str">
        <x:v>Small pelagics (&lt;30 cm)</x:v>
      </x:c>
      <x:c r="H325" s="24" t="str">
        <x:v>Anchovies</x:v>
      </x:c>
      <x:c r="I325" s="31" t="n">
        <x:v>0.025643871900000004</x:v>
      </x:c>
      <x:c r="J325" s="31" t="n">
        <x:v>0.025643871900000004</x:v>
      </x:c>
      <x:c r="K325" s="31" t="n">
        <x:v>0</x:v>
      </x:c>
      <x:c r="L325" s="31" t="n">
        <x:v>0</x:v>
      </x:c>
      <x:c r="M325" s="31" t="n">
        <x:v>0.025643871900000004</x:v>
      </x:c>
      <x:c r="N325" s="24" t="str">
        <x:v>anchoa mitchilli</x:v>
      </x:c>
      <x:c r="O325" s="32" t="n">
        <x:v>3.46</x:v>
      </x:c>
      <x:c r="P325" s="24" t="str">
        <x:v>exact_2020_supplement</x:v>
      </x:c>
      <x:c r="Q325" s="32" t="str">
        <x:v>2020 supplement MeanTL</x:v>
      </x:c>
      <x:c r="R325" s="24" t="str">
        <x:v>high</x:v>
      </x:c>
      <x:c r="S325" s="24" t="str">
        <x:v>Anchoa mitchilli</x:v>
      </x:c>
      <x:c r="T325" s="32" t="n">
        <x:f>IF(O325="","",(1/'Metadata'!$B$5)^(O325-1))</x:f>
        <x:v>288.40315031266056</x:v>
      </x:c>
      <x:c r="U325" s="31" t="n">
        <x:f>IF(T325="","",I325*T325)</x:f>
        <x:v>7.395773442174313</x:v>
      </x:c>
    </x:row>
    <x:row r="326" ht="18" customHeight="1">
      <x:c r="A326" s="24" t="str">
        <x:v>EEZ_851</x:v>
      </x:c>
      <x:c r="B326" s="24" t="str">
        <x:v>USA (East Coast)</x:v>
      </x:c>
      <x:c r="C326" s="24" t="str">
        <x:v>EEZ</x:v>
      </x:c>
      <x:c r="D326" s="30" t="n">
        <x:v>2019</x:v>
      </x:c>
      <x:c r="E326" s="24" t="str">
        <x:v>Batoidea</x:v>
      </x:c>
      <x:c r="F326" s="24" t="str">
        <x:v>Batoids, skates, rays, sawfishes</x:v>
      </x:c>
      <x:c r="G326" s="24" t="str">
        <x:v>Large rays (&gt;=90 cm)</x:v>
      </x:c>
      <x:c r="H326" s="24" t="str">
        <x:v>Sharks &amp; rays</x:v>
      </x:c>
      <x:c r="I326" s="31" t="n">
        <x:v>0.0236045794</x:v>
      </x:c>
      <x:c r="J326" s="31" t="n">
        <x:v>0.0236045794</x:v>
      </x:c>
      <x:c r="K326" s="31" t="n">
        <x:v>0</x:v>
      </x:c>
      <x:c r="L326" s="31" t="n">
        <x:v>0</x:v>
      </x:c>
      <x:c r="M326" s="31" t="n">
        <x:v>0.0236045794</x:v>
      </x:c>
      <x:c r="N326" s="24" t="str">
        <x:v>batoidea</x:v>
      </x:c>
      <x:c r="O326" s="32" t="n">
        <x:v>3.72</x:v>
      </x:c>
      <x:c r="P326" s="24" t="str">
        <x:v>exact_sea_around_us</x:v>
      </x:c>
      <x:c r="Q326" s="32" t="str">
        <x:v>Sea Around Us exploited organisms</x:v>
      </x:c>
      <x:c r="R326" s="24" t="str">
        <x:v>high</x:v>
      </x:c>
      <x:c r="S326" s="24" t="str">
        <x:v>Batoidea</x:v>
      </x:c>
      <x:c r="T326" s="32" t="n">
        <x:f>IF(O326="","",(1/'Metadata'!$B$5)^(O326-1))</x:f>
        <x:v>524.8074602497728</x:v>
      </x:c>
      <x:c r="U326" s="31" t="n">
        <x:f>IF(T326="","",I326*T326)</x:f>
        <x:v>12.387859365178105</x:v>
      </x:c>
    </x:row>
    <x:row r="327" ht="18" customHeight="1">
      <x:c r="A327" s="24" t="str">
        <x:v>EEZ_851</x:v>
      </x:c>
      <x:c r="B327" s="24" t="str">
        <x:v>USA (East Coast)</x:v>
      </x:c>
      <x:c r="C327" s="24" t="str">
        <x:v>EEZ</x:v>
      </x:c>
      <x:c r="D327" s="30" t="n">
        <x:v>2019</x:v>
      </x:c>
      <x:c r="E327" s="24" t="str">
        <x:v>Gadidae</x:v>
      </x:c>
      <x:c r="F327" s="24" t="str">
        <x:v>Cods, haddocks</x:v>
      </x:c>
      <x:c r="G327" s="24" t="str">
        <x:v>Medium demersals (30 - 89 cm)</x:v>
      </x:c>
      <x:c r="H327" s="24" t="str">
        <x:v>Cod-likes</x:v>
      </x:c>
      <x:c r="I327" s="31" t="n">
        <x:v>0.0234576181</x:v>
      </x:c>
      <x:c r="J327" s="31" t="n">
        <x:v>0</x:v>
      </x:c>
      <x:c r="K327" s="31" t="n">
        <x:v>0.0234576181</x:v>
      </x:c>
      <x:c r="L327" s="31" t="n">
        <x:v>0</x:v>
      </x:c>
      <x:c r="M327" s="31" t="n">
        <x:v>0.0234576181</x:v>
      </x:c>
      <x:c r="N327" s="24" t="str">
        <x:v>gadidae</x:v>
      </x:c>
      <x:c r="O327" s="32" t="n">
        <x:v>3.84</x:v>
      </x:c>
      <x:c r="P327" s="24" t="str">
        <x:v>exact_sea_around_us</x:v>
      </x:c>
      <x:c r="Q327" s="32" t="str">
        <x:v>Sea Around Us exploited organisms</x:v>
      </x:c>
      <x:c r="R327" s="24" t="str">
        <x:v>high</x:v>
      </x:c>
      <x:c r="S327" s="24" t="str">
        <x:v>Gadidae</x:v>
      </x:c>
      <x:c r="T327" s="32" t="n">
        <x:f>IF(O327="","",(1/'Metadata'!$B$5)^(O327-1))</x:f>
        <x:v>691.8309709189363</x:v>
      </x:c>
      <x:c r="U327" s="31" t="n">
        <x:f>IF(T327="","",I327*T327)</x:f>
        <x:v>16.228706705568612</x:v>
      </x:c>
    </x:row>
    <x:row r="328" ht="18" customHeight="1">
      <x:c r="A328" s="24" t="str">
        <x:v>EEZ_851</x:v>
      </x:c>
      <x:c r="B328" s="24" t="str">
        <x:v>USA (East Coast)</x:v>
      </x:c>
      <x:c r="C328" s="24" t="str">
        <x:v>EEZ</x:v>
      </x:c>
      <x:c r="D328" s="30" t="n">
        <x:v>2019</x:v>
      </x:c>
      <x:c r="E328" s="24" t="str">
        <x:v>Ruvettus pretiosus</x:v>
      </x:c>
      <x:c r="F328" s="24" t="str">
        <x:v>Oilfish</x:v>
      </x:c>
      <x:c r="G328" s="24" t="str">
        <x:v>Large benthopelagics (&gt;=90 cm)</x:v>
      </x:c>
      <x:c r="H328" s="24" t="str">
        <x:v>Perch-likes</x:v>
      </x:c>
      <x:c r="I328" s="31" t="n">
        <x:v>0.0142150078</x:v>
      </x:c>
      <x:c r="J328" s="31" t="n">
        <x:v>0.0142150078</x:v>
      </x:c>
      <x:c r="K328" s="31" t="n">
        <x:v>0</x:v>
      </x:c>
      <x:c r="L328" s="31" t="n">
        <x:v>0</x:v>
      </x:c>
      <x:c r="M328" s="31" t="n">
        <x:v>0.0142150078</x:v>
      </x:c>
      <x:c r="N328" s="24" t="str">
        <x:v>ruvettus pretiosus</x:v>
      </x:c>
      <x:c r="O328" s="32" t="n">
        <x:v>4.18</x:v>
      </x:c>
      <x:c r="P328" s="24" t="str">
        <x:v>exact_2020_supplement</x:v>
      </x:c>
      <x:c r="Q328" s="32" t="str">
        <x:v>2020 supplement MeanTL</x:v>
      </x:c>
      <x:c r="R328" s="24" t="str">
        <x:v>high</x:v>
      </x:c>
      <x:c r="S328" s="24" t="str">
        <x:v>Ruvettus pretiosus</x:v>
      </x:c>
      <x:c r="T328" s="32" t="n">
        <x:f>IF(O328="","",(1/'Metadata'!$B$5)^(O328-1))</x:f>
        <x:v>1513.5612484362073</x:v>
      </x:c>
      <x:c r="U328" s="31" t="n">
        <x:f>IF(T328="","",I328*T328)</x:f>
        <x:v>21.515284952298426</x:v>
      </x:c>
    </x:row>
    <x:row r="329" ht="18" customHeight="1">
      <x:c r="A329" s="24" t="str">
        <x:v>EEZ_851</x:v>
      </x:c>
      <x:c r="B329" s="24" t="str">
        <x:v>USA (East Coast)</x:v>
      </x:c>
      <x:c r="C329" s="24" t="str">
        <x:v>EEZ</x:v>
      </x:c>
      <x:c r="D329" s="30" t="n">
        <x:v>2019</x:v>
      </x:c>
      <x:c r="E329" s="24" t="str">
        <x:v>Halichoeres garnoti</x:v>
      </x:c>
      <x:c r="F329" s="24" t="str">
        <x:v>Yellowhead wrasse</x:v>
      </x:c>
      <x:c r="G329" s="24" t="str">
        <x:v>Small reef assoc. fish (&lt;30 cm)</x:v>
      </x:c>
      <x:c r="H329" s="24" t="str">
        <x:v>Perch-likes</x:v>
      </x:c>
      <x:c r="I329" s="31" t="n">
        <x:v>0.014061380399999998</x:v>
      </x:c>
      <x:c r="J329" s="31" t="n">
        <x:v>0.014061380399999998</x:v>
      </x:c>
      <x:c r="K329" s="31" t="n">
        <x:v>0</x:v>
      </x:c>
      <x:c r="L329" s="31" t="n">
        <x:v>0.014061380399999998</x:v>
      </x:c>
      <x:c r="M329" s="31" t="n">
        <x:v>0</x:v>
      </x:c>
      <x:c r="N329" s="24" t="str">
        <x:v>halichoeres garnoti</x:v>
      </x:c>
      <x:c r="O329" s="32" t="n">
        <x:v>3.7</x:v>
      </x:c>
      <x:c r="P329" s="24" t="str">
        <x:v>exact_2020_supplement</x:v>
      </x:c>
      <x:c r="Q329" s="32" t="str">
        <x:v>2020 supplement MeanTL</x:v>
      </x:c>
      <x:c r="R329" s="24" t="str">
        <x:v>high</x:v>
      </x:c>
      <x:c r="S329" s="24" t="str">
        <x:v>Halichoeres garnoti</x:v>
      </x:c>
      <x:c r="T329" s="32" t="n">
        <x:f>IF(O329="","",(1/'Metadata'!$B$5)^(O329-1))</x:f>
        <x:v>501.18723362727246</x:v>
      </x:c>
      <x:c r="U329" s="31" t="n">
        <x:f>IF(T329="","",I329*T329)</x:f>
        <x:v>7.047384343656749</x:v>
      </x:c>
    </x:row>
    <x:row r="330" ht="18" customHeight="1">
      <x:c r="A330" s="24" t="str">
        <x:v>EEZ_851</x:v>
      </x:c>
      <x:c r="B330" s="24" t="str">
        <x:v>USA (East Coast)</x:v>
      </x:c>
      <x:c r="C330" s="24" t="str">
        <x:v>EEZ</x:v>
      </x:c>
      <x:c r="D330" s="30" t="n">
        <x:v>2019</x:v>
      </x:c>
      <x:c r="E330" s="24" t="str">
        <x:v>Azurina cyanea</x:v>
      </x:c>
      <x:c r="F330" s="24" t="str">
        <x:v>Blue chromis</x:v>
      </x:c>
      <x:c r="G330" s="24" t="str">
        <x:v>Small reef assoc. fish (&lt;30 cm)</x:v>
      </x:c>
      <x:c r="H330" s="24" t="str">
        <x:v>Perch-likes</x:v>
      </x:c>
      <x:c r="I330" s="31" t="n">
        <x:v>0.0131541945</x:v>
      </x:c>
      <x:c r="J330" s="31" t="n">
        <x:v>0.0131541945</x:v>
      </x:c>
      <x:c r="K330" s="31" t="n">
        <x:v>0</x:v>
      </x:c>
      <x:c r="L330" s="31" t="n">
        <x:v>0.0131541945</x:v>
      </x:c>
      <x:c r="M330" s="31" t="n">
        <x:v>0</x:v>
      </x:c>
      <x:c r="N330" s="24" t="str">
        <x:v>azurina cyanea</x:v>
      </x:c>
      <x:c r="O330" s="32" t="n">
        <x:v>3.07</x:v>
      </x:c>
      <x:c r="P330" s="24" t="str">
        <x:v>exact_sea_around_us</x:v>
      </x:c>
      <x:c r="Q330" s="32" t="str">
        <x:v>Sea Around Us exploited organisms</x:v>
      </x:c>
      <x:c r="R330" s="24" t="str">
        <x:v>high</x:v>
      </x:c>
      <x:c r="S330" s="24" t="str">
        <x:v>Azurina cyanea</x:v>
      </x:c>
      <x:c r="T330" s="32" t="n">
        <x:f>IF(O330="","",(1/'Metadata'!$B$5)^(O330-1))</x:f>
        <x:v>117.48975549395291</x:v>
      </x:c>
      <x:c r="U330" s="31" t="n">
        <x:f>IF(T330="","",I330*T330)</x:f>
        <x:v>1.5454830955249004</x:v>
      </x:c>
    </x:row>
    <x:row r="331" ht="18" customHeight="1">
      <x:c r="A331" s="24" t="str">
        <x:v>EEZ_851</x:v>
      </x:c>
      <x:c r="B331" s="24" t="str">
        <x:v>USA (East Coast)</x:v>
      </x:c>
      <x:c r="C331" s="24" t="str">
        <x:v>EEZ</x:v>
      </x:c>
      <x:c r="D331" s="30" t="n">
        <x:v>2019</x:v>
      </x:c>
      <x:c r="E331" s="24" t="str">
        <x:v>Osmeridae</x:v>
      </x:c>
      <x:c r="F331" s="24" t="str">
        <x:v>Smelts</x:v>
      </x:c>
      <x:c r="G331" s="24" t="str">
        <x:v>Small pelagics (&lt;30 cm)</x:v>
      </x:c>
      <x:c r="H331" s="24" t="str">
        <x:v>Salmon, smelts, etc</x:v>
      </x:c>
      <x:c r="I331" s="31" t="n">
        <x:v>0.0123073252</x:v>
      </x:c>
      <x:c r="J331" s="31" t="n">
        <x:v>0.0123073252</x:v>
      </x:c>
      <x:c r="K331" s="31" t="n">
        <x:v>0</x:v>
      </x:c>
      <x:c r="L331" s="31" t="n">
        <x:v>0</x:v>
      </x:c>
      <x:c r="M331" s="31" t="n">
        <x:v>0.0123073252</x:v>
      </x:c>
      <x:c r="N331" s="24" t="str">
        <x:v>osmeridae</x:v>
      </x:c>
      <x:c r="O331" s="32" t="n">
        <x:v>3.46</x:v>
      </x:c>
      <x:c r="P331" s="24" t="str">
        <x:v>exact_sea_around_us</x:v>
      </x:c>
      <x:c r="Q331" s="32" t="str">
        <x:v>Sea Around Us exploited organisms</x:v>
      </x:c>
      <x:c r="R331" s="24" t="str">
        <x:v>high</x:v>
      </x:c>
      <x:c r="S331" s="24" t="str">
        <x:v>Osmeridae</x:v>
      </x:c>
      <x:c r="T331" s="32" t="n">
        <x:f>IF(O331="","",(1/'Metadata'!$B$5)^(O331-1))</x:f>
        <x:v>288.40315031266056</x:v>
      </x:c>
      <x:c r="U331" s="31" t="n">
        <x:f>IF(T331="","",I331*T331)</x:f>
        <x:v>3.549471359602395</x:v>
      </x:c>
    </x:row>
    <x:row r="332" ht="18" customHeight="1">
      <x:c r="A332" s="24" t="str">
        <x:v>EEZ_851</x:v>
      </x:c>
      <x:c r="B332" s="24" t="str">
        <x:v>USA (East Coast)</x:v>
      </x:c>
      <x:c r="C332" s="24" t="str">
        <x:v>EEZ</x:v>
      </x:c>
      <x:c r="D332" s="30" t="n">
        <x:v>2019</x:v>
      </x:c>
      <x:c r="E332" s="24" t="str">
        <x:v>Alopias superciliosus</x:v>
      </x:c>
      <x:c r="F332" s="24" t="str">
        <x:v>Bigeye thresher</x:v>
      </x:c>
      <x:c r="G332" s="24" t="str">
        <x:v>Large sharks (&gt;=90 cm)</x:v>
      </x:c>
      <x:c r="H332" s="24" t="str">
        <x:v>Sharks &amp; rays</x:v>
      </x:c>
      <x:c r="I332" s="31" t="n">
        <x:v>0.011944954899999999</x:v>
      </x:c>
      <x:c r="J332" s="31" t="n">
        <x:v>0.011944954899999999</x:v>
      </x:c>
      <x:c r="K332" s="31" t="n">
        <x:v>0</x:v>
      </x:c>
      <x:c r="L332" s="31" t="n">
        <x:v>0</x:v>
      </x:c>
      <x:c r="M332" s="31" t="n">
        <x:v>0.011944954899999999</x:v>
      </x:c>
      <x:c r="N332" s="24" t="str">
        <x:v>alopias superciliosus</x:v>
      </x:c>
      <x:c r="O332" s="32" t="n">
        <x:v>4.51</x:v>
      </x:c>
      <x:c r="P332" s="24" t="str">
        <x:v>exact_2020_supplement</x:v>
      </x:c>
      <x:c r="Q332" s="32" t="str">
        <x:v>2020 supplement MeanTL</x:v>
      </x:c>
      <x:c r="R332" s="24" t="str">
        <x:v>high</x:v>
      </x:c>
      <x:c r="S332" s="24" t="str">
        <x:v>Alopias superciliosus</x:v>
      </x:c>
      <x:c r="T332" s="32" t="n">
        <x:f>IF(O332="","",(1/'Metadata'!$B$5)^(O332-1))</x:f>
        <x:v>3235.936569296281</x:v>
      </x:c>
      <x:c r="U332" s="31" t="n">
        <x:f>IF(T332="","",I332*T332)</x:f>
        <x:v>38.6531163795048</x:v>
      </x:c>
    </x:row>
    <x:row r="333" ht="18" customHeight="1">
      <x:c r="A333" s="24" t="str">
        <x:v>EEZ_851</x:v>
      </x:c>
      <x:c r="B333" s="24" t="str">
        <x:v>USA (East Coast)</x:v>
      </x:c>
      <x:c r="C333" s="24" t="str">
        <x:v>EEZ</x:v>
      </x:c>
      <x:c r="D333" s="30" t="n">
        <x:v>2019</x:v>
      </x:c>
      <x:c r="E333" s="24" t="str">
        <x:v>Serranus tigrinus</x:v>
      </x:c>
      <x:c r="F333" s="24" t="str">
        <x:v>Harlequin bass</x:v>
      </x:c>
      <x:c r="G333" s="24" t="str">
        <x:v>Small reef assoc. fish (&lt;30 cm)</x:v>
      </x:c>
      <x:c r="H333" s="24" t="str">
        <x:v>Perch-likes</x:v>
      </x:c>
      <x:c r="I333" s="31" t="n">
        <x:v>0.011339822999999999</x:v>
      </x:c>
      <x:c r="J333" s="31" t="n">
        <x:v>0.011339822999999999</x:v>
      </x:c>
      <x:c r="K333" s="31" t="n">
        <x:v>0</x:v>
      </x:c>
      <x:c r="L333" s="31" t="n">
        <x:v>0.011339822999999999</x:v>
      </x:c>
      <x:c r="M333" s="31" t="n">
        <x:v>0</x:v>
      </x:c>
      <x:c r="N333" s="24" t="str">
        <x:v>serranus tigrinus</x:v>
      </x:c>
      <x:c r="O333" s="32" t="n">
        <x:v>3.72</x:v>
      </x:c>
      <x:c r="P333" s="24" t="str">
        <x:v>exact_2020_supplement</x:v>
      </x:c>
      <x:c r="Q333" s="32" t="str">
        <x:v>2020 supplement MeanTL</x:v>
      </x:c>
      <x:c r="R333" s="24" t="str">
        <x:v>high</x:v>
      </x:c>
      <x:c r="S333" s="24" t="str">
        <x:v>Serranus tigrinus</x:v>
      </x:c>
      <x:c r="T333" s="32" t="n">
        <x:f>IF(O333="","",(1/'Metadata'!$B$5)^(O333-1))</x:f>
        <x:v>524.8074602497728</x:v>
      </x:c>
      <x:c r="U333" s="31" t="n">
        <x:f>IF(T333="","",I333*T333)</x:f>
        <x:v>5.951223708311959</x:v>
      </x:c>
    </x:row>
    <x:row r="334" ht="18" customHeight="1">
      <x:c r="A334" s="24" t="str">
        <x:v>EEZ_851</x:v>
      </x:c>
      <x:c r="B334" s="24" t="str">
        <x:v>USA (East Coast)</x:v>
      </x:c>
      <x:c r="C334" s="24" t="str">
        <x:v>EEZ</x:v>
      </x:c>
      <x:c r="D334" s="30" t="n">
        <x:v>2019</x:v>
      </x:c>
      <x:c r="E334" s="24" t="str">
        <x:v>Cottidae</x:v>
      </x:c>
      <x:c r="F334" s="24" t="str">
        <x:v>Sculpins</x:v>
      </x:c>
      <x:c r="G334" s="24" t="str">
        <x:v>Large reef assoc. fish (&gt;=90 cm)</x:v>
      </x:c>
      <x:c r="H334" s="24" t="str">
        <x:v>Scorpionfishes</x:v>
      </x:c>
      <x:c r="I334" s="31" t="n">
        <x:v>0.0102554221</x:v>
      </x:c>
      <x:c r="J334" s="31" t="n">
        <x:v>0.0102554221</x:v>
      </x:c>
      <x:c r="K334" s="31" t="n">
        <x:v>0</x:v>
      </x:c>
      <x:c r="L334" s="31" t="n">
        <x:v>0</x:v>
      </x:c>
      <x:c r="M334" s="31" t="n">
        <x:v>0.0102554221</x:v>
      </x:c>
      <x:c r="N334" s="24" t="str">
        <x:v>cottidae</x:v>
      </x:c>
      <x:c r="O334" s="32" t="n">
        <x:v>3.81</x:v>
      </x:c>
      <x:c r="P334" s="24" t="str">
        <x:v>exact_sea_around_us</x:v>
      </x:c>
      <x:c r="Q334" s="32" t="str">
        <x:v>Sea Around Us exploited organisms</x:v>
      </x:c>
      <x:c r="R334" s="24" t="str">
        <x:v>high</x:v>
      </x:c>
      <x:c r="S334" s="24" t="str">
        <x:v>Cottidae</x:v>
      </x:c>
      <x:c r="T334" s="32" t="n">
        <x:f>IF(O334="","",(1/'Metadata'!$B$5)^(O334-1))</x:f>
        <x:v>645.6542290346556</x:v>
      </x:c>
      <x:c r="U334" s="31" t="n">
        <x:f>IF(T334="","",I334*T334)</x:f>
        <x:v>6.621456649400469</x:v>
      </x:c>
    </x:row>
    <x:row r="335" ht="18" customHeight="1">
      <x:c r="A335" s="24" t="str">
        <x:v>EEZ_851</x:v>
      </x:c>
      <x:c r="B335" s="24" t="str">
        <x:v>USA (East Coast)</x:v>
      </x:c>
      <x:c r="C335" s="24" t="str">
        <x:v>EEZ</x:v>
      </x:c>
      <x:c r="D335" s="30" t="n">
        <x:v>2019</x:v>
      </x:c>
      <x:c r="E335" s="24" t="str">
        <x:v>Chaetodon capistratus</x:v>
      </x:c>
      <x:c r="F335" s="24" t="str">
        <x:v>Foureye butterflyfish</x:v>
      </x:c>
      <x:c r="G335" s="24" t="str">
        <x:v>Small reef assoc. fish (&lt;30 cm)</x:v>
      </x:c>
      <x:c r="H335" s="24" t="str">
        <x:v>Perch-likes</x:v>
      </x:c>
      <x:c r="I335" s="31" t="n">
        <x:v>0.009979044</x:v>
      </x:c>
      <x:c r="J335" s="31" t="n">
        <x:v>0.009979044</x:v>
      </x:c>
      <x:c r="K335" s="31" t="n">
        <x:v>0</x:v>
      </x:c>
      <x:c r="L335" s="31" t="n">
        <x:v>0.009979044</x:v>
      </x:c>
      <x:c r="M335" s="31" t="n">
        <x:v>0</x:v>
      </x:c>
      <x:c r="N335" s="24" t="str">
        <x:v>chaetodon capistratus</x:v>
      </x:c>
      <x:c r="O335" s="32" t="n">
        <x:v>3.43</x:v>
      </x:c>
      <x:c r="P335" s="24" t="str">
        <x:v>exact_2020_supplement</x:v>
      </x:c>
      <x:c r="Q335" s="32" t="str">
        <x:v>2020 supplement MeanTL</x:v>
      </x:c>
      <x:c r="R335" s="24" t="str">
        <x:v>high</x:v>
      </x:c>
      <x:c r="S335" s="24" t="str">
        <x:v>Chaetodon capistratus</x:v>
      </x:c>
      <x:c r="T335" s="32" t="n">
        <x:f>IF(O335="","",(1/'Metadata'!$B$5)^(O335-1))</x:f>
        <x:v>269.1534803926917</x:v>
      </x:c>
      <x:c r="U335" s="31" t="n">
        <x:f>IF(T335="","",I335*T335)</x:f>
        <x:v>2.685894423591807</x:v>
      </x:c>
    </x:row>
    <x:row r="336" ht="18" customHeight="1">
      <x:c r="A336" s="24" t="str">
        <x:v>EEZ_851</x:v>
      </x:c>
      <x:c r="B336" s="24" t="str">
        <x:v>USA (East Coast)</x:v>
      </x:c>
      <x:c r="C336" s="24" t="str">
        <x:v>EEZ</x:v>
      </x:c>
      <x:c r="D336" s="30" t="n">
        <x:v>2019</x:v>
      </x:c>
      <x:c r="E336" s="24" t="str">
        <x:v>Alopias</x:v>
      </x:c>
      <x:c r="F336" s="24" t="str">
        <x:v>Thresher sharks</x:v>
      </x:c>
      <x:c r="G336" s="24" t="str">
        <x:v>Large sharks (&gt;=90 cm)</x:v>
      </x:c>
      <x:c r="H336" s="24" t="str">
        <x:v>Sharks &amp; rays</x:v>
      </x:c>
      <x:c r="I336" s="31" t="n">
        <x:v>0.0088205628</x:v>
      </x:c>
      <x:c r="J336" s="31" t="n">
        <x:v>0.0088205628</x:v>
      </x:c>
      <x:c r="K336" s="31" t="n">
        <x:v>0</x:v>
      </x:c>
      <x:c r="L336" s="31" t="n">
        <x:v>0</x:v>
      </x:c>
      <x:c r="M336" s="31" t="n">
        <x:v>0.0088205628</x:v>
      </x:c>
      <x:c r="N336" s="24" t="str">
        <x:v>alopias</x:v>
      </x:c>
      <x:c r="O336" s="32" t="n">
        <x:v>4.5</x:v>
      </x:c>
      <x:c r="P336" s="24" t="str">
        <x:v>exact_sea_around_us</x:v>
      </x:c>
      <x:c r="Q336" s="32" t="str">
        <x:v>Sea Around Us exploited organisms</x:v>
      </x:c>
      <x:c r="R336" s="24" t="str">
        <x:v>high</x:v>
      </x:c>
      <x:c r="S336" s="24" t="str">
        <x:v>Alopias</x:v>
      </x:c>
      <x:c r="T336" s="32" t="n">
        <x:f>IF(O336="","",(1/'Metadata'!$B$5)^(O336-1))</x:f>
        <x:v>3162.2776601683795</x:v>
      </x:c>
      <x:c r="U336" s="31" t="n">
        <x:f>IF(T336="","",I336*T336)</x:f>
        <x:v>27.89306869255225</x:v>
      </x:c>
    </x:row>
    <x:row r="337" ht="18" customHeight="1">
      <x:c r="A337" s="24" t="str">
        <x:v>EEZ_851</x:v>
      </x:c>
      <x:c r="B337" s="24" t="str">
        <x:v>USA (East Coast)</x:v>
      </x:c>
      <x:c r="C337" s="24" t="str">
        <x:v>EEZ</x:v>
      </x:c>
      <x:c r="D337" s="30" t="n">
        <x:v>2019</x:v>
      </x:c>
      <x:c r="E337" s="24" t="str">
        <x:v>Spongia</x:v>
      </x:c>
      <x:c r="F337" s="24" t="str">
        <x:v>Bathing sponges</x:v>
      </x:c>
      <x:c r="G337" s="24" t="str">
        <x:v>Other demersal invertebrates</x:v>
      </x:c>
      <x:c r="H337" s="24" t="str">
        <x:v>Other fishes &amp; inverts</x:v>
      </x:c>
      <x:c r="I337" s="31" t="n">
        <x:v>0.0086658507</x:v>
      </x:c>
      <x:c r="J337" s="31" t="n">
        <x:v>0.0086658507</x:v>
      </x:c>
      <x:c r="K337" s="31" t="n">
        <x:v>0</x:v>
      </x:c>
      <x:c r="L337" s="31" t="n">
        <x:v>0</x:v>
      </x:c>
      <x:c r="M337" s="31" t="n">
        <x:v>0.0086658507</x:v>
      </x:c>
      <x:c r="N337" s="24" t="str">
        <x:v>spongia</x:v>
      </x:c>
      <x:c r="O337" s="32" t="n">
        <x:v>2</x:v>
      </x:c>
      <x:c r="P337" s="24" t="str">
        <x:v>exact_sea_around_us</x:v>
      </x:c>
      <x:c r="Q337" s="32" t="str">
        <x:v>Sea Around Us exploited organisms</x:v>
      </x:c>
      <x:c r="R337" s="24" t="str">
        <x:v>high</x:v>
      </x:c>
      <x:c r="S337" s="24" t="str">
        <x:v>Spongia</x:v>
      </x:c>
      <x:c r="T337" s="32" t="n">
        <x:f>IF(O337="","",(1/'Metadata'!$B$5)^(O337-1))</x:f>
        <x:v>10</x:v>
      </x:c>
      <x:c r="U337" s="31" t="n">
        <x:f>IF(T337="","",I337*T337)</x:f>
        <x:v>0.086658507</x:v>
      </x:c>
    </x:row>
    <x:row r="338" ht="18" customHeight="1">
      <x:c r="A338" s="24" t="str">
        <x:v>EEZ_851</x:v>
      </x:c>
      <x:c r="B338" s="24" t="str">
        <x:v>USA (East Coast)</x:v>
      </x:c>
      <x:c r="C338" s="24" t="str">
        <x:v>EEZ</x:v>
      </x:c>
      <x:c r="D338" s="30" t="n">
        <x:v>2019</x:v>
      </x:c>
      <x:c r="E338" s="24" t="str">
        <x:v>Makaira</x:v>
      </x:c>
      <x:c r="F338" s="24" t="str">
        <x:v>Blue marlins</x:v>
      </x:c>
      <x:c r="G338" s="24" t="str">
        <x:v>Large pelagics (&gt;=90 cm)</x:v>
      </x:c>
      <x:c r="H338" s="24" t="str">
        <x:v>Tuna &amp; billfishes</x:v>
      </x:c>
      <x:c r="I338" s="31" t="n">
        <x:v>0.0074521128</x:v>
      </x:c>
      <x:c r="J338" s="31" t="n">
        <x:v>0.0074521128</x:v>
      </x:c>
      <x:c r="K338" s="31" t="n">
        <x:v>0</x:v>
      </x:c>
      <x:c r="L338" s="31" t="n">
        <x:v>0</x:v>
      </x:c>
      <x:c r="M338" s="31" t="n">
        <x:v>0.0074521128</x:v>
      </x:c>
      <x:c r="N338" s="24" t="str">
        <x:v>makaira</x:v>
      </x:c>
      <x:c r="O338" s="32" t="n">
        <x:v>4.47</x:v>
      </x:c>
      <x:c r="P338" s="24" t="str">
        <x:v>exact_sea_around_us</x:v>
      </x:c>
      <x:c r="Q338" s="32" t="str">
        <x:v>Sea Around Us exploited organisms</x:v>
      </x:c>
      <x:c r="R338" s="24" t="str">
        <x:v>high</x:v>
      </x:c>
      <x:c r="S338" s="24" t="str">
        <x:v>Makaira</x:v>
      </x:c>
      <x:c r="T338" s="32" t="n">
        <x:f>IF(O338="","",(1/'Metadata'!$B$5)^(O338-1))</x:f>
        <x:v>2951.209226666384</x:v>
      </x:c>
      <x:c r="U338" s="31" t="n">
        <x:f>IF(T338="","",I338*T338)</x:f>
        <x:v>21.99274405351866</x:v>
      </x:c>
    </x:row>
    <x:row r="339" ht="18" customHeight="1">
      <x:c r="A339" s="24" t="str">
        <x:v>EEZ_851</x:v>
      </x:c>
      <x:c r="B339" s="24" t="str">
        <x:v>USA (East Coast)</x:v>
      </x:c>
      <x:c r="C339" s="24" t="str">
        <x:v>EEZ</x:v>
      </x:c>
      <x:c r="D339" s="30" t="n">
        <x:v>2019</x:v>
      </x:c>
      <x:c r="E339" s="24" t="str">
        <x:v>Hemanthias leptus</x:v>
      </x:c>
      <x:c r="F339" s="24" t="str">
        <x:v>Longtail bass</x:v>
      </x:c>
      <x:c r="G339" s="24" t="str">
        <x:v>Medium demersals (30 - 89 cm)</x:v>
      </x:c>
      <x:c r="H339" s="24" t="str">
        <x:v>Perch-likes</x:v>
      </x:c>
      <x:c r="I339" s="31" t="n">
        <x:v>0.0072574871000000004</x:v>
      </x:c>
      <x:c r="J339" s="31" t="n">
        <x:v>0.0072574871000000004</x:v>
      </x:c>
      <x:c r="K339" s="31" t="n">
        <x:v>0</x:v>
      </x:c>
      <x:c r="L339" s="31" t="n">
        <x:v>0.0072574871000000004</x:v>
      </x:c>
      <x:c r="M339" s="31" t="n">
        <x:v>0</x:v>
      </x:c>
      <x:c r="N339" s="24" t="str">
        <x:v>hemanthias leptus</x:v>
      </x:c>
      <x:c r="O339" s="32" t="n">
        <x:v>4.03</x:v>
      </x:c>
      <x:c r="P339" s="24" t="str">
        <x:v>exact_sea_around_us</x:v>
      </x:c>
      <x:c r="Q339" s="32" t="str">
        <x:v>Sea Around Us exploited organisms</x:v>
      </x:c>
      <x:c r="R339" s="24" t="str">
        <x:v>high</x:v>
      </x:c>
      <x:c r="S339" s="24" t="str">
        <x:v>Hemanthias leptus</x:v>
      </x:c>
      <x:c r="T339" s="32" t="n">
        <x:f>IF(O339="","",(1/'Metadata'!$B$5)^(O339-1))</x:f>
        <x:v>1071.519305237607</x:v>
      </x:c>
      <x:c r="U339" s="31" t="n">
        <x:f>IF(T339="","",I339*T339)</x:f>
        <x:v>7.7765375351628965</x:v>
      </x:c>
    </x:row>
    <x:row r="340" ht="18" customHeight="1">
      <x:c r="A340" s="24" t="str">
        <x:v>EEZ_851</x:v>
      </x:c>
      <x:c r="B340" s="24" t="str">
        <x:v>USA (East Coast)</x:v>
      </x:c>
      <x:c r="C340" s="24" t="str">
        <x:v>EEZ</x:v>
      </x:c>
      <x:c r="D340" s="30" t="n">
        <x:v>2019</x:v>
      </x:c>
      <x:c r="E340" s="24" t="str">
        <x:v>Urobatis jamaicensis</x:v>
      </x:c>
      <x:c r="F340" s="24" t="str">
        <x:v>Yellow stingray</x:v>
      </x:c>
      <x:c r="G340" s="24" t="str">
        <x:v>Small to medium rays (&lt;90 cm)</x:v>
      </x:c>
      <x:c r="H340" s="24" t="str">
        <x:v>Sharks &amp; rays</x:v>
      </x:c>
      <x:c r="I340" s="31" t="n">
        <x:v>0.0068038941</x:v>
      </x:c>
      <x:c r="J340" s="31" t="n">
        <x:v>0.0068038941</x:v>
      </x:c>
      <x:c r="K340" s="31" t="n">
        <x:v>0</x:v>
      </x:c>
      <x:c r="L340" s="31" t="n">
        <x:v>0.0068038941</x:v>
      </x:c>
      <x:c r="M340" s="31" t="n">
        <x:v>0</x:v>
      </x:c>
      <x:c r="N340" s="24" t="str">
        <x:v>urobatis jamaicensis</x:v>
      </x:c>
      <x:c r="O340" s="32" t="n">
        <x:v>3.55</x:v>
      </x:c>
      <x:c r="P340" s="24" t="str">
        <x:v>exact_2020_supplement</x:v>
      </x:c>
      <x:c r="Q340" s="32" t="str">
        <x:v>2020 supplement MeanTL</x:v>
      </x:c>
      <x:c r="R340" s="24" t="str">
        <x:v>high</x:v>
      </x:c>
      <x:c r="S340" s="24" t="str">
        <x:v>Urobatis jamaicensis</x:v>
      </x:c>
      <x:c r="T340" s="32" t="n">
        <x:f>IF(O340="","",(1/'Metadata'!$B$5)^(O340-1))</x:f>
        <x:v>354.8133892335753</x:v>
      </x:c>
      <x:c r="U340" s="31" t="n">
        <x:f>IF(T340="","",I340*T340)</x:f>
        <x:v>2.4141127256073265</x:v>
      </x:c>
    </x:row>
    <x:row r="341" ht="18" customHeight="1">
      <x:c r="A341" s="24" t="str">
        <x:v>EEZ_851</x:v>
      </x:c>
      <x:c r="B341" s="24" t="str">
        <x:v>USA (East Coast)</x:v>
      </x:c>
      <x:c r="C341" s="24" t="str">
        <x:v>EEZ</x:v>
      </x:c>
      <x:c r="D341" s="30" t="n">
        <x:v>2019</x:v>
      </x:c>
      <x:c r="E341" s="24" t="str">
        <x:v>Cyclopterus lumpus</x:v>
      </x:c>
      <x:c r="F341" s="24" t="str">
        <x:v>Lumpfish</x:v>
      </x:c>
      <x:c r="G341" s="24" t="str">
        <x:v>Medium benthopelagics (30 - 89 cm)</x:v>
      </x:c>
      <x:c r="H341" s="24" t="str">
        <x:v>Scorpionfishes</x:v>
      </x:c>
      <x:c r="I341" s="31" t="n">
        <x:v>0.0042148372</x:v>
      </x:c>
      <x:c r="J341" s="31" t="n">
        <x:v>0.0042148372</x:v>
      </x:c>
      <x:c r="K341" s="31" t="n">
        <x:v>0</x:v>
      </x:c>
      <x:c r="L341" s="31" t="n">
        <x:v>0</x:v>
      </x:c>
      <x:c r="M341" s="31" t="n">
        <x:v>0.0042148372</x:v>
      </x:c>
      <x:c r="N341" s="24" t="str">
        <x:v>cyclopterus lumpus</x:v>
      </x:c>
      <x:c r="O341" s="32" t="n">
        <x:v>3.89</x:v>
      </x:c>
      <x:c r="P341" s="24" t="str">
        <x:v>exact_2020_supplement</x:v>
      </x:c>
      <x:c r="Q341" s="32" t="str">
        <x:v>2020 supplement MeanTL</x:v>
      </x:c>
      <x:c r="R341" s="24" t="str">
        <x:v>high</x:v>
      </x:c>
      <x:c r="S341" s="24" t="str">
        <x:v>Cyclopterus lumpus</x:v>
      </x:c>
      <x:c r="T341" s="32" t="n">
        <x:f>IF(O341="","",(1/'Metadata'!$B$5)^(O341-1))</x:f>
        <x:v>776.247116628692</x:v>
      </x:c>
      <x:c r="U341" s="31" t="n">
        <x:f>IF(T341="","",I341*T341)</x:f>
        <x:v>3.2717552235593494</x:v>
      </x:c>
    </x:row>
    <x:row r="342" ht="18" customHeight="1">
      <x:c r="A342" s="24" t="str">
        <x:v>EEZ_851</x:v>
      </x:c>
      <x:c r="B342" s="24" t="str">
        <x:v>USA (East Coast)</x:v>
      </x:c>
      <x:c r="C342" s="24" t="str">
        <x:v>EEZ</x:v>
      </x:c>
      <x:c r="D342" s="30" t="n">
        <x:v>2019</x:v>
      </x:c>
      <x:c r="E342" s="24" t="str">
        <x:v>Anchoviella</x:v>
      </x:c>
      <x:c r="F342" s="24" t="str">
        <x:v>Anchovies</x:v>
      </x:c>
      <x:c r="G342" s="24" t="str">
        <x:v>Small pelagics (&lt;30 cm)</x:v>
      </x:c>
      <x:c r="H342" s="24" t="str">
        <x:v>Anchovies</x:v>
      </x:c>
      <x:c r="I342" s="31" t="n">
        <x:v>0.0040235954</x:v>
      </x:c>
      <x:c r="J342" s="31" t="n">
        <x:v>0.0040235954</x:v>
      </x:c>
      <x:c r="K342" s="31" t="n">
        <x:v>0</x:v>
      </x:c>
      <x:c r="L342" s="31" t="n">
        <x:v>0</x:v>
      </x:c>
      <x:c r="M342" s="31" t="n">
        <x:v>0.0040235954</x:v>
      </x:c>
      <x:c r="N342" s="24" t="str">
        <x:v>anchoviella</x:v>
      </x:c>
      <x:c r="O342" s="32" t="n">
        <x:v>3.18</x:v>
      </x:c>
      <x:c r="P342" s="24" t="str">
        <x:v>exact_sea_around_us</x:v>
      </x:c>
      <x:c r="Q342" s="32" t="str">
        <x:v>Sea Around Us exploited organisms</x:v>
      </x:c>
      <x:c r="R342" s="24" t="str">
        <x:v>high</x:v>
      </x:c>
      <x:c r="S342" s="24" t="str">
        <x:v>Anchoviella</x:v>
      </x:c>
      <x:c r="T342" s="32" t="n">
        <x:f>IF(O342="","",(1/'Metadata'!$B$5)^(O342-1))</x:f>
        <x:v>151.35612484362088</x:v>
      </x:c>
      <x:c r="U342" s="31" t="n">
        <x:f>IF(T342="","",I342*T342)</x:f>
        <x:v>0.6089958076826186</x:v>
      </x:c>
    </x:row>
    <x:row r="343" ht="18" customHeight="1">
      <x:c r="A343" s="24" t="str">
        <x:v>EEZ_851</x:v>
      </x:c>
      <x:c r="B343" s="24" t="str">
        <x:v>USA (East Coast)</x:v>
      </x:c>
      <x:c r="C343" s="24" t="str">
        <x:v>EEZ</x:v>
      </x:c>
      <x:c r="D343" s="30" t="n">
        <x:v>2019</x:v>
      </x:c>
      <x:c r="E343" s="24" t="str">
        <x:v>Eques punctatus</x:v>
      </x:c>
      <x:c r="F343" s="24" t="str">
        <x:v>Spotted drum</x:v>
      </x:c>
      <x:c r="G343" s="24" t="str">
        <x:v>Small reef assoc. fish (&lt;30 cm)</x:v>
      </x:c>
      <x:c r="H343" s="24" t="str">
        <x:v>Perch-likes</x:v>
      </x:c>
      <x:c r="I343" s="31" t="n">
        <x:v>0.0036287427999999997</x:v>
      </x:c>
      <x:c r="J343" s="31" t="n">
        <x:v>0.0036287427999999997</x:v>
      </x:c>
      <x:c r="K343" s="31" t="n">
        <x:v>0</x:v>
      </x:c>
      <x:c r="L343" s="31" t="n">
        <x:v>0.0036287427999999997</x:v>
      </x:c>
      <x:c r="M343" s="31" t="n">
        <x:v>0</x:v>
      </x:c>
      <x:c r="N343" s="24" t="str">
        <x:v>eques punctatus</x:v>
      </x:c>
      <x:c r="O343" s="32" t="n">
        <x:v>3.5</x:v>
      </x:c>
      <x:c r="P343" s="24" t="str">
        <x:v>exact_sea_around_us</x:v>
      </x:c>
      <x:c r="Q343" s="32" t="str">
        <x:v>Sea Around Us exploited organisms</x:v>
      </x:c>
      <x:c r="R343" s="24" t="str">
        <x:v>high</x:v>
      </x:c>
      <x:c r="S343" s="24" t="str">
        <x:v>Eques punctatus</x:v>
      </x:c>
      <x:c r="T343" s="32" t="n">
        <x:f>IF(O343="","",(1/'Metadata'!$B$5)^(O343-1))</x:f>
        <x:v>316.22776601683796</x:v>
      </x:c>
      <x:c r="U343" s="31" t="n">
        <x:f>IF(T343="","",I343*T343)</x:f>
        <x:v>1.1475092290936852</x:v>
      </x:c>
    </x:row>
    <x:row r="344" ht="18" customHeight="1">
      <x:c r="A344" s="24" t="str">
        <x:v>EEZ_851</x:v>
      </x:c>
      <x:c r="B344" s="24" t="str">
        <x:v>USA (East Coast)</x:v>
      </x:c>
      <x:c r="C344" s="24" t="str">
        <x:v>EEZ</x:v>
      </x:c>
      <x:c r="D344" s="30" t="n">
        <x:v>2019</x:v>
      </x:c>
      <x:c r="E344" s="24" t="str">
        <x:v>Cephalopholis fulva</x:v>
      </x:c>
      <x:c r="F344" s="24" t="str">
        <x:v>Coney</x:v>
      </x:c>
      <x:c r="G344" s="24" t="str">
        <x:v>Medium reef assoc. fish (30 - 89 cm)</x:v>
      </x:c>
      <x:c r="H344" s="24" t="str">
        <x:v>Perch-likes</x:v>
      </x:c>
      <x:c r="I344" s="31" t="n">
        <x:v>0.0031935407</x:v>
      </x:c>
      <x:c r="J344" s="31" t="n">
        <x:v>0.0031935407</x:v>
      </x:c>
      <x:c r="K344" s="31" t="n">
        <x:v>0</x:v>
      </x:c>
      <x:c r="L344" s="31" t="n">
        <x:v>0</x:v>
      </x:c>
      <x:c r="M344" s="31" t="n">
        <x:v>0.0031935407</x:v>
      </x:c>
      <x:c r="N344" s="24" t="str">
        <x:v>cephalopholis fulva</x:v>
      </x:c>
      <x:c r="O344" s="32" t="n">
        <x:v>4.05</x:v>
      </x:c>
      <x:c r="P344" s="24" t="str">
        <x:v>exact_2020_supplement</x:v>
      </x:c>
      <x:c r="Q344" s="32" t="str">
        <x:v>2020 supplement MeanTL</x:v>
      </x:c>
      <x:c r="R344" s="24" t="str">
        <x:v>high</x:v>
      </x:c>
      <x:c r="S344" s="24" t="str">
        <x:v>Cephalopholis fulva</x:v>
      </x:c>
      <x:c r="T344" s="32" t="n">
        <x:f>IF(O344="","",(1/'Metadata'!$B$5)^(O344-1))</x:f>
        <x:v>1122.018454301963</x:v>
      </x:c>
      <x:c r="U344" s="31" t="n">
        <x:f>IF(T344="","",I344*T344)</x:f>
        <x:v>3.5832115999644087</x:v>
      </x:c>
    </x:row>
    <x:row r="345" ht="18" customHeight="1">
      <x:c r="A345" s="24" t="str">
        <x:v>EEZ_851</x:v>
      </x:c>
      <x:c r="B345" s="24" t="str">
        <x:v>USA (East Coast)</x:v>
      </x:c>
      <x:c r="C345" s="24" t="str">
        <x:v>EEZ</x:v>
      </x:c>
      <x:c r="D345" s="30" t="n">
        <x:v>2019</x:v>
      </x:c>
      <x:c r="E345" s="24" t="str">
        <x:v>Cantherhines macrocerus</x:v>
      </x:c>
      <x:c r="F345" s="24" t="str">
        <x:v>American whitespotted filefish</x:v>
      </x:c>
      <x:c r="G345" s="24" t="str">
        <x:v>Medium reef assoc. fish (30 - 89 cm)</x:v>
      </x:c>
      <x:c r="H345" s="24" t="str">
        <x:v>Other fishes &amp; inverts</x:v>
      </x:c>
      <x:c r="I345" s="31" t="n">
        <x:v>0.0027215569</x:v>
      </x:c>
      <x:c r="J345" s="31" t="n">
        <x:v>0.0027215569</x:v>
      </x:c>
      <x:c r="K345" s="31" t="n">
        <x:v>0</x:v>
      </x:c>
      <x:c r="L345" s="31" t="n">
        <x:v>0.0027215569</x:v>
      </x:c>
      <x:c r="M345" s="31" t="n">
        <x:v>0</x:v>
      </x:c>
      <x:c r="N345" s="24" t="str">
        <x:v>cantherhines macrocerus</x:v>
      </x:c>
      <x:c r="O345" s="32" t="n">
        <x:v>3.06</x:v>
      </x:c>
      <x:c r="P345" s="24" t="str">
        <x:v>exact_2020_supplement</x:v>
      </x:c>
      <x:c r="Q345" s="32" t="str">
        <x:v>2020 supplement MeanTL</x:v>
      </x:c>
      <x:c r="R345" s="24" t="str">
        <x:v>high</x:v>
      </x:c>
      <x:c r="S345" s="24" t="str">
        <x:v>Cantherhines macrocerus</x:v>
      </x:c>
      <x:c r="T345" s="32" t="n">
        <x:f>IF(O345="","",(1/'Metadata'!$B$5)^(O345-1))</x:f>
        <x:v>114.81536214968828</x:v>
      </x:c>
      <x:c r="U345" s="31" t="n">
        <x:f>IF(T345="","",I345*T345)</x:f>
        <x:v>0.312476541084483</x:v>
      </x:c>
    </x:row>
    <x:row r="346" ht="18" customHeight="1">
      <x:c r="A346" s="24" t="str">
        <x:v>EEZ_851</x:v>
      </x:c>
      <x:c r="B346" s="24" t="str">
        <x:v>USA (East Coast)</x:v>
      </x:c>
      <x:c r="C346" s="24" t="str">
        <x:v>EEZ</x:v>
      </x:c>
      <x:c r="D346" s="30" t="n">
        <x:v>2019</x:v>
      </x:c>
      <x:c r="E346" s="24" t="str">
        <x:v>Octopus</x:v>
      </x:c>
      <x:c r="F346" s="24" t="str">
        <x:v>Octopuses, pikas</x:v>
      </x:c>
      <x:c r="G346" s="24" t="str">
        <x:v>Cephalopods</x:v>
      </x:c>
      <x:c r="H346" s="24" t="str">
        <x:v>Other fishes &amp; inverts</x:v>
      </x:c>
      <x:c r="I346" s="31" t="n">
        <x:v>0.0025748471</x:v>
      </x:c>
      <x:c r="J346" s="31" t="n">
        <x:v>0.0025748471</x:v>
      </x:c>
      <x:c r="K346" s="31" t="n">
        <x:v>0</x:v>
      </x:c>
      <x:c r="L346" s="31" t="n">
        <x:v>0</x:v>
      </x:c>
      <x:c r="M346" s="31" t="n">
        <x:v>0.0025748471</x:v>
      </x:c>
      <x:c r="N346" s="24" t="str">
        <x:v>octopus</x:v>
      </x:c>
      <x:c r="O346" s="32" t="n">
        <x:v>3.8</x:v>
      </x:c>
      <x:c r="P346" s="24" t="str">
        <x:v>exact_sea_around_us</x:v>
      </x:c>
      <x:c r="Q346" s="32" t="str">
        <x:v>Sea Around Us exploited organisms</x:v>
      </x:c>
      <x:c r="R346" s="24" t="str">
        <x:v>high</x:v>
      </x:c>
      <x:c r="S346" s="24" t="str">
        <x:v>Octopus</x:v>
      </x:c>
      <x:c r="T346" s="32" t="n">
        <x:f>IF(O346="","",(1/'Metadata'!$B$5)^(O346-1))</x:f>
        <x:v>630.957344480193</x:v>
      </x:c>
      <x:c r="U346" s="31" t="n">
        <x:f>IF(T346="","",I346*T346)</x:f>
        <x:v>1.6246186886585259</x:v>
      </x:c>
    </x:row>
    <x:row r="347" ht="18" customHeight="1">
      <x:c r="A347" s="24" t="str">
        <x:v>EEZ_851</x:v>
      </x:c>
      <x:c r="B347" s="24" t="str">
        <x:v>USA (East Coast)</x:v>
      </x:c>
      <x:c r="C347" s="24" t="str">
        <x:v>EEZ</x:v>
      </x:c>
      <x:c r="D347" s="30" t="n">
        <x:v>2019</x:v>
      </x:c>
      <x:c r="E347" s="24" t="str">
        <x:v>Scyllaridae</x:v>
      </x:c>
      <x:c r="F347" s="24" t="str">
        <x:v>Slipper lobsters</x:v>
      </x:c>
      <x:c r="G347" s="24" t="str">
        <x:v>Lobsters, crabs</x:v>
      </x:c>
      <x:c r="H347" s="24" t="str">
        <x:v>Crustaceans</x:v>
      </x:c>
      <x:c r="I347" s="31" t="n">
        <x:v>0.0023254775</x:v>
      </x:c>
      <x:c r="J347" s="31" t="n">
        <x:v>0.0023254775</x:v>
      </x:c>
      <x:c r="K347" s="31" t="n">
        <x:v>0</x:v>
      </x:c>
      <x:c r="L347" s="31" t="n">
        <x:v>0</x:v>
      </x:c>
      <x:c r="M347" s="31" t="n">
        <x:v>0.0023254775</x:v>
      </x:c>
      <x:c r="N347" s="24" t="str">
        <x:v>scyllaridae</x:v>
      </x:c>
      <x:c r="O347" s="32" t="n">
        <x:v>2.87</x:v>
      </x:c>
      <x:c r="P347" s="24" t="str">
        <x:v>exact_sea_around_us</x:v>
      </x:c>
      <x:c r="Q347" s="32" t="str">
        <x:v>Sea Around Us exploited organisms</x:v>
      </x:c>
      <x:c r="R347" s="24" t="str">
        <x:v>high</x:v>
      </x:c>
      <x:c r="S347" s="24" t="str">
        <x:v>Scyllaridae</x:v>
      </x:c>
      <x:c r="T347" s="32" t="n">
        <x:f>IF(O347="","",(1/'Metadata'!$B$5)^(O347-1))</x:f>
        <x:v>74.13102413009177</x:v>
      </x:c>
      <x:c r="U347" s="31" t="n">
        <x:f>IF(T347="","",I347*T347)</x:f>
        <x:v>0.1723900286664855</x:v>
      </x:c>
    </x:row>
    <x:row r="348" ht="18" customHeight="1">
      <x:c r="A348" s="24" t="str">
        <x:v>EEZ_851</x:v>
      </x:c>
      <x:c r="B348" s="24" t="str">
        <x:v>USA (East Coast)</x:v>
      </x:c>
      <x:c r="C348" s="24" t="str">
        <x:v>EEZ</x:v>
      </x:c>
      <x:c r="D348" s="30" t="n">
        <x:v>2019</x:v>
      </x:c>
      <x:c r="E348" s="24" t="str">
        <x:v>Spondylus americanus</x:v>
      </x:c>
      <x:c r="F348" s="24" t="str">
        <x:v>Atlantic thorny oyster</x:v>
      </x:c>
      <x:c r="G348" s="24" t="str">
        <x:v>Other demersal invertebrates</x:v>
      </x:c>
      <x:c r="H348" s="24" t="str">
        <x:v>Molluscs</x:v>
      </x:c>
      <x:c r="I348" s="31" t="n">
        <x:v>0.0018143718999999998</x:v>
      </x:c>
      <x:c r="J348" s="31" t="n">
        <x:v>0.0018143718999999998</x:v>
      </x:c>
      <x:c r="K348" s="31" t="n">
        <x:v>0</x:v>
      </x:c>
      <x:c r="L348" s="31" t="n">
        <x:v>0.0018143718999999998</x:v>
      </x:c>
      <x:c r="M348" s="31" t="n">
        <x:v>0</x:v>
      </x:c>
      <x:c r="N348" s="24" t="str">
        <x:v>spondylus americanus</x:v>
      </x:c>
      <x:c r="O348" s="32" t="n">
        <x:v>2.02</x:v>
      </x:c>
      <x:c r="P348" s="24" t="str">
        <x:v>exact_sea_around_us</x:v>
      </x:c>
      <x:c r="Q348" s="32" t="str">
        <x:v>Sea Around Us exploited organisms</x:v>
      </x:c>
      <x:c r="R348" s="24" t="str">
        <x:v>high</x:v>
      </x:c>
      <x:c r="S348" s="24" t="str">
        <x:v>Spondylus americanus</x:v>
      </x:c>
      <x:c r="T348" s="32" t="n">
        <x:f>IF(O348="","",(1/'Metadata'!$B$5)^(O348-1))</x:f>
        <x:v>10.471285480508996</x:v>
      </x:c>
      <x:c r="U348" s="31" t="n">
        <x:f>IF(T348="","",I348*T348)</x:f>
        <x:v>0.018998806132713517</x:v>
      </x:c>
    </x:row>
    <x:row r="349" ht="18" customHeight="1">
      <x:c r="A349" s="24" t="str">
        <x:v>EEZ_851</x:v>
      </x:c>
      <x:c r="B349" s="24" t="str">
        <x:v>USA (East Coast)</x:v>
      </x:c>
      <x:c r="C349" s="24" t="str">
        <x:v>EEZ</x:v>
      </x:c>
      <x:c r="D349" s="30" t="n">
        <x:v>2019</x:v>
      </x:c>
      <x:c r="E349" s="24" t="str">
        <x:v>Kyphosus</x:v>
      </x:c>
      <x:c r="F349" s="24" t="str">
        <x:v>Sea chubs</x:v>
      </x:c>
      <x:c r="G349" s="24" t="str">
        <x:v>Medium reef assoc. fish (30 - 89 cm)</x:v>
      </x:c>
      <x:c r="H349" s="24" t="str">
        <x:v>Perch-likes</x:v>
      </x:c>
      <x:c r="I349" s="31" t="n">
        <x:v>0.0015173413</x:v>
      </x:c>
      <x:c r="J349" s="31" t="n">
        <x:v>0.0015173413</x:v>
      </x:c>
      <x:c r="K349" s="31" t="n">
        <x:v>0</x:v>
      </x:c>
      <x:c r="L349" s="31" t="n">
        <x:v>0</x:v>
      </x:c>
      <x:c r="M349" s="31" t="n">
        <x:v>0.0015173413</x:v>
      </x:c>
      <x:c r="N349" s="24" t="str">
        <x:v>kyphosus</x:v>
      </x:c>
      <x:c r="O349" s="32" t="n">
        <x:v>2.05</x:v>
      </x:c>
      <x:c r="P349" s="24" t="str">
        <x:v>exact_sea_around_us</x:v>
      </x:c>
      <x:c r="Q349" s="32" t="str">
        <x:v>Sea Around Us exploited organisms</x:v>
      </x:c>
      <x:c r="R349" s="24" t="str">
        <x:v>high</x:v>
      </x:c>
      <x:c r="S349" s="24" t="str">
        <x:v>Kyphosus</x:v>
      </x:c>
      <x:c r="T349" s="32" t="n">
        <x:f>IF(O349="","",(1/'Metadata'!$B$5)^(O349-1))</x:f>
        <x:v>11.220184543019629</x:v>
      </x:c>
      <x:c r="U349" s="31" t="n">
        <x:f>IF(T349="","",I349*T349)</x:f>
        <x:v>0.01702484940074531</x:v>
      </x:c>
    </x:row>
    <x:row r="350" ht="18" customHeight="1">
      <x:c r="A350" s="24" t="str">
        <x:v>EEZ_851</x:v>
      </x:c>
      <x:c r="B350" s="24" t="str">
        <x:v>USA (East Coast)</x:v>
      </x:c>
      <x:c r="C350" s="24" t="str">
        <x:v>EEZ</x:v>
      </x:c>
      <x:c r="D350" s="30" t="n">
        <x:v>2019</x:v>
      </x:c>
      <x:c r="E350" s="24" t="str">
        <x:v>Brotula barbata</x:v>
      </x:c>
      <x:c r="F350" s="24" t="str">
        <x:v>Bearded brotula</x:v>
      </x:c>
      <x:c r="G350" s="24" t="str">
        <x:v>Medium benthopelagics (30 - 89 cm)</x:v>
      </x:c>
      <x:c r="H350" s="24" t="str">
        <x:v>Other fishes &amp; inverts</x:v>
      </x:c>
      <x:c r="I350" s="31" t="n">
        <x:v>0.0014248888</x:v>
      </x:c>
      <x:c r="J350" s="31" t="n">
        <x:v>0.0014248888</x:v>
      </x:c>
      <x:c r="K350" s="31" t="n">
        <x:v>0</x:v>
      </x:c>
      <x:c r="L350" s="31" t="n">
        <x:v>0</x:v>
      </x:c>
      <x:c r="M350" s="31" t="n">
        <x:v>0.0014248888</x:v>
      </x:c>
      <x:c r="N350" s="24" t="str">
        <x:v>brotula barbata</x:v>
      </x:c>
      <x:c r="O350" s="32" t="n">
        <x:v>3.8</x:v>
      </x:c>
      <x:c r="P350" s="24" t="str">
        <x:v>exact_2020_supplement</x:v>
      </x:c>
      <x:c r="Q350" s="32" t="str">
        <x:v>2020 supplement MeanTL</x:v>
      </x:c>
      <x:c r="R350" s="24" t="str">
        <x:v>high</x:v>
      </x:c>
      <x:c r="S350" s="24" t="str">
        <x:v>Brotula barbata</x:v>
      </x:c>
      <x:c r="T350" s="32" t="n">
        <x:f>IF(O350="","",(1/'Metadata'!$B$5)^(O350-1))</x:f>
        <x:v>630.957344480193</x:v>
      </x:c>
      <x:c r="U350" s="31" t="n">
        <x:f>IF(T350="","",I350*T350)</x:f>
        <x:v>0.8990440534275689</x:v>
      </x:c>
    </x:row>
    <x:row r="351" ht="18" customHeight="1">
      <x:c r="A351" s="24" t="str">
        <x:v>EEZ_851</x:v>
      </x:c>
      <x:c r="B351" s="24" t="str">
        <x:v>USA (East Coast)</x:v>
      </x:c>
      <x:c r="C351" s="24" t="str">
        <x:v>EEZ</x:v>
      </x:c>
      <x:c r="D351" s="30" t="n">
        <x:v>2019</x:v>
      </x:c>
      <x:c r="E351" s="24" t="str">
        <x:v>Chaetodontidae</x:v>
      </x:c>
      <x:c r="F351" s="24" t="str">
        <x:v>Butterflyfishes</x:v>
      </x:c>
      <x:c r="G351" s="24" t="str">
        <x:v>Small reef assoc. fish (&lt;30 cm)</x:v>
      </x:c>
      <x:c r="H351" s="24" t="str">
        <x:v>Perch-likes</x:v>
      </x:c>
      <x:c r="I351" s="31" t="n">
        <x:v>0.0008050676999999999</x:v>
      </x:c>
      <x:c r="J351" s="31" t="n">
        <x:v>0.0008050676999999999</x:v>
      </x:c>
      <x:c r="K351" s="31" t="n">
        <x:v>0</x:v>
      </x:c>
      <x:c r="L351" s="31" t="n">
        <x:v>0</x:v>
      </x:c>
      <x:c r="M351" s="31" t="n">
        <x:v>0.0008050676999999999</x:v>
      </x:c>
      <x:c r="N351" s="24" t="str">
        <x:v>chaetodontidae</x:v>
      </x:c>
      <x:c r="O351" s="32" t="n">
        <x:v>3.24</x:v>
      </x:c>
      <x:c r="P351" s="24" t="str">
        <x:v>exact_sea_around_us</x:v>
      </x:c>
      <x:c r="Q351" s="32" t="str">
        <x:v>Sea Around Us exploited organisms</x:v>
      </x:c>
      <x:c r="R351" s="24" t="str">
        <x:v>high</x:v>
      </x:c>
      <x:c r="S351" s="24" t="str">
        <x:v>Chaetodontidae</x:v>
      </x:c>
      <x:c r="T351" s="32" t="n">
        <x:f>IF(O351="","",(1/'Metadata'!$B$5)^(O351-1))</x:f>
        <x:v>173.78008287493762</x:v>
      </x:c>
      <x:c r="U351" s="31" t="n">
        <x:f>IF(T351="","",I351*T351)</x:f>
        <x:v>0.13990473162593542</x:v>
      </x:c>
    </x:row>
    <x:row r="352" ht="18" customHeight="1">
      <x:c r="A352" s="24" t="str">
        <x:v>EEZ_851</x:v>
      </x:c>
      <x:c r="B352" s="24" t="str">
        <x:v>USA (East Coast)</x:v>
      </x:c>
      <x:c r="C352" s="24" t="str">
        <x:v>EEZ</x:v>
      </x:c>
      <x:c r="D352" s="30" t="n">
        <x:v>2019</x:v>
      </x:c>
      <x:c r="E352" s="24" t="str">
        <x:v>Caranx latus</x:v>
      </x:c>
      <x:c r="F352" s="24" t="str">
        <x:v>Horse-eye jack</x:v>
      </x:c>
      <x:c r="G352" s="24" t="str">
        <x:v>Large reef assoc. fish (&gt;=90 cm)</x:v>
      </x:c>
      <x:c r="H352" s="24" t="str">
        <x:v>Perch-likes</x:v>
      </x:c>
      <x:c r="I352" s="31" t="n">
        <x:v>0.0006972934999999999</x:v>
      </x:c>
      <x:c r="J352" s="31" t="n">
        <x:v>0.0006972934999999999</x:v>
      </x:c>
      <x:c r="K352" s="31" t="n">
        <x:v>0</x:v>
      </x:c>
      <x:c r="L352" s="31" t="n">
        <x:v>0</x:v>
      </x:c>
      <x:c r="M352" s="31" t="n">
        <x:v>0.0006972934999999999</x:v>
      </x:c>
      <x:c r="N352" s="24" t="str">
        <x:v>caranx latus</x:v>
      </x:c>
      <x:c r="O352" s="32" t="n">
        <x:v>4.16</x:v>
      </x:c>
      <x:c r="P352" s="24" t="str">
        <x:v>exact_2020_supplement</x:v>
      </x:c>
      <x:c r="Q352" s="32" t="str">
        <x:v>2020 supplement MeanTL</x:v>
      </x:c>
      <x:c r="R352" s="24" t="str">
        <x:v>high</x:v>
      </x:c>
      <x:c r="S352" s="24" t="str">
        <x:v>Caranx latus</x:v>
      </x:c>
      <x:c r="T352" s="32" t="n">
        <x:f>IF(O352="","",(1/'Metadata'!$B$5)^(O352-1))</x:f>
        <x:v>1445.439770745928</x:v>
      </x:c>
      <x:c r="U352" s="31" t="n">
        <x:f>IF(T352="","",I352*T352)</x:f>
        <x:v>1.0078957567826257</x:v>
      </x:c>
    </x:row>
    <x:row r="353" ht="18" customHeight="1">
      <x:c r="A353" s="24" t="str">
        <x:v>EEZ_851</x:v>
      </x:c>
      <x:c r="B353" s="24" t="str">
        <x:v>USA (East Coast)</x:v>
      </x:c>
      <x:c r="C353" s="24" t="str">
        <x:v>EEZ</x:v>
      </x:c>
      <x:c r="D353" s="30" t="n">
        <x:v>2019</x:v>
      </x:c>
      <x:c r="E353" s="24" t="str">
        <x:v>Pandalus borealis</x:v>
      </x:c>
      <x:c r="F353" s="24" t="str">
        <x:v>Northern prawn</x:v>
      </x:c>
      <x:c r="G353" s="24" t="str">
        <x:v>Shrimps</x:v>
      </x:c>
      <x:c r="H353" s="24" t="str">
        <x:v>Crustaceans</x:v>
      </x:c>
      <x:c r="I353" s="31" t="n">
        <x:v>0.00045359299999999996</x:v>
      </x:c>
      <x:c r="J353" s="31" t="n">
        <x:v>0.00045359299999999996</x:v>
      </x:c>
      <x:c r="K353" s="31" t="n">
        <x:v>0</x:v>
      </x:c>
      <x:c r="L353" s="31" t="n">
        <x:v>0.00045359299999999996</x:v>
      </x:c>
      <x:c r="M353" s="31" t="n">
        <x:v>0</x:v>
      </x:c>
      <x:c r="N353" s="24" t="str">
        <x:v>pandalus borealis</x:v>
      </x:c>
      <x:c r="O353" s="32" t="n">
        <x:v>3.07</x:v>
      </x:c>
      <x:c r="P353" s="24" t="str">
        <x:v>exact_2020_supplement</x:v>
      </x:c>
      <x:c r="Q353" s="32" t="str">
        <x:v>2020 supplement MeanTL</x:v>
      </x:c>
      <x:c r="R353" s="24" t="str">
        <x:v>high</x:v>
      </x:c>
      <x:c r="S353" s="24" t="str">
        <x:v>Pandalus borealis</x:v>
      </x:c>
      <x:c r="T353" s="32" t="n">
        <x:f>IF(O353="","",(1/'Metadata'!$B$5)^(O353-1))</x:f>
        <x:v>117.48975549395291</x:v>
      </x:c>
      <x:c r="U353" s="31" t="n">
        <x:f>IF(T353="","",I353*T353)</x:f>
        <x:v>0.05329253066376858</x:v>
      </x:c>
    </x:row>
  </x:sheetData>
  <x:conditionalFormatting sqref="R2:R35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b77ce49ed534e3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3</x:v>
      </x:c>
      <x:c r="C2" s="33" t="n">
        <x:v>3</x:v>
      </x:c>
      <x:c r="D2" s="31" t="n">
        <x:v>6.2815951021</x:v>
      </x:c>
      <x:c r="E2" s="31" t="n">
        <x:v>6.2815951021</x:v>
      </x:c>
      <x:c r="F2" s="32" t="n">
        <x:v>0</x:v>
      </x:c>
      <x:c r="G2" s="34" t="n">
        <x:v>1</x:v>
      </x:c>
      <x:c r="H2" s="32" t="n">
        <x:f>IF(E2=0,"",I2/E2)</x:f>
        <x:v>219.0172213268623</x:v>
      </x:c>
      <x:c r="I2" s="31" t="n">
        <x:f>IF(C2=0,"",SUMIF('Species'!$H$2:$H$353,A2,'Species'!$U$2:$U$353))</x:f>
        <x:v>1375.77750476237</x:v>
      </x:c>
      <x:c r="J2" s="32" t="n">
        <x:v>3.340387399907897</x:v>
      </x:c>
      <x:c r="K2" s="32" t="n">
        <x:f>IF(J2="","",(1/'Metadata'!$B$5)^(J2-1))</x:f>
        <x:v>218.97140244764262</x:v>
      </x:c>
      <x:c r="L2" s="31" t="n">
        <x:f>IF(E2=0,"",E2*K2)</x:f>
        <x:v>1375.4896891150797</x:v>
      </x:c>
      <x:c r="M2" s="31" t="n">
        <x:f>IF(E2=0,"",I2-L2)</x:f>
        <x:v>0.28781564729024467</x:v>
      </x:c>
      <x:c r="N2" s="32" t="n">
        <x:f>IF(L2=0,"",I2/L2)</x:f>
        <x:v>1.0002092459504188</x:v>
      </x:c>
      <x:c r="O2" s="34" t="n">
        <x:f>IF(L2=0,"",M2/L2)</x:f>
        <x:v>0.00020924595041887275</x:v>
      </x:c>
    </x:row>
    <x:row r="3" ht="18" customHeight="1">
      <x:c r="A3" s="24" t="str">
        <x:v>Cod-likes</x:v>
      </x:c>
      <x:c r="B3" s="33" t="n">
        <x:v>10</x:v>
      </x:c>
      <x:c r="C3" s="33" t="n">
        <x:v>10</x:v>
      </x:c>
      <x:c r="D3" s="31" t="n">
        <x:v>29881.942217492597</x:v>
      </x:c>
      <x:c r="E3" s="31" t="n">
        <x:v>29881.942217492597</x:v>
      </x:c>
      <x:c r="F3" s="32" t="n">
        <x:v>0</x:v>
      </x:c>
      <x:c r="G3" s="34" t="n">
        <x:v>1</x:v>
      </x:c>
      <x:c r="H3" s="32" t="n">
        <x:f>IF(E3=0,"",I3/E3)</x:f>
        <x:v>1784.0927092242218</x:v>
      </x:c>
      <x:c r="I3" s="31" t="n">
        <x:f>IF(C3=0,"",SUMIF('Species'!$H$2:$H$353,A3,'Species'!$U$2:$U$353))</x:f>
        <x:v>53312155.24768802</x:v>
      </x:c>
      <x:c r="J3" s="32" t="n">
        <x:v>4.205210740285292</x:v>
      </x:c>
      <x:c r="K3" s="32" t="n">
        <x:f>IF(J3="","",(1/'Metadata'!$B$5)^(J3-1))</x:f>
        <x:v>1604.0235501952984</x:v>
      </x:c>
      <x:c r="L3" s="31" t="n">
        <x:f>IF(E3=0,"",E3*K3)</x:f>
        <x:v>47931339.04243324</x:v>
      </x:c>
      <x:c r="M3" s="31" t="n">
        <x:f>IF(E3=0,"",I3-L3)</x:f>
        <x:v>5380816.205254778</x:v>
      </x:c>
      <x:c r="N3" s="32" t="n">
        <x:f>IF(L3=0,"",I3/L3)</x:f>
        <x:v>1.112260919739613</x:v>
      </x:c>
      <x:c r="O3" s="34" t="n">
        <x:f>IF(L3=0,"",M3/L3)</x:f>
        <x:v>0.11226091973961302</x:v>
      </x:c>
    </x:row>
    <x:row r="4" ht="18" customHeight="1">
      <x:c r="A4" s="24" t="str">
        <x:v>Crustaceans</x:v>
      </x:c>
      <x:c r="B4" s="33" t="n">
        <x:v>27</x:v>
      </x:c>
      <x:c r="C4" s="33" t="n">
        <x:v>27</x:v>
      </x:c>
      <x:c r="D4" s="31" t="n">
        <x:v>142586.87055546447</x:v>
      </x:c>
      <x:c r="E4" s="31" t="n">
        <x:v>142586.87055546447</x:v>
      </x:c>
      <x:c r="F4" s="32" t="n">
        <x:v>0</x:v>
      </x:c>
      <x:c r="G4" s="34" t="n">
        <x:v>1</x:v>
      </x:c>
      <x:c r="H4" s="32" t="n">
        <x:f>IF(E4=0,"",I4/E4)</x:f>
        <x:v>576.0317982587328</x:v>
      </x:c>
      <x:c r="I4" s="31" t="n">
        <x:f>IF(C4=0,"",SUMIF('Species'!$H$2:$H$353,A4,'Species'!$U$2:$U$353))</x:f>
        <x:v>82134571.45414935</x:v>
      </x:c>
      <x:c r="J4" s="32" t="n">
        <x:v>3.6280783417138482</x:v>
      </x:c>
      <x:c r="K4" s="32" t="n">
        <x:f>IF(J4="","",(1/'Metadata'!$B$5)^(J4-1))</x:f>
        <x:v>424.6961673255616</x:v>
      </x:c>
      <x:c r="L4" s="31" t="n">
        <x:f>IF(E4=0,"",E4*K4)</x:f>
        <x:v>60556097.43585173</x:v>
      </x:c>
      <x:c r="M4" s="31" t="n">
        <x:f>IF(E4=0,"",I4-L4)</x:f>
        <x:v>21578474.01829762</x:v>
      </x:c>
      <x:c r="N4" s="32" t="n">
        <x:f>IF(L4=0,"",I4/L4)</x:f>
        <x:v>1.356338584089837</x:v>
      </x:c>
      <x:c r="O4" s="34" t="n">
        <x:f>IF(L4=0,"",M4/L4)</x:f>
        <x:v>0.3563385840898371</x:v>
      </x:c>
    </x:row>
    <x:row r="5" ht="18" customHeight="1">
      <x:c r="A5" s="24" t="str">
        <x:v>Flatfishes</x:v>
      </x:c>
      <x:c r="B5" s="33" t="n">
        <x:v>12</x:v>
      </x:c>
      <x:c r="C5" s="33" t="n">
        <x:v>12</x:v>
      </x:c>
      <x:c r="D5" s="31" t="n">
        <x:v>14749.2056133146</x:v>
      </x:c>
      <x:c r="E5" s="31" t="n">
        <x:v>14749.2056133146</x:v>
      </x:c>
      <x:c r="F5" s="32" t="n">
        <x:v>0</x:v>
      </x:c>
      <x:c r="G5" s="34" t="n">
        <x:v>1</x:v>
      </x:c>
      <x:c r="H5" s="32" t="n">
        <x:f>IF(E5=0,"",I5/E5)</x:f>
        <x:v>2151.484365047274</x:v>
      </x:c>
      <x:c r="I5" s="31" t="n">
        <x:f>IF(C5=0,"",SUMIF('Species'!$H$2:$H$353,A5,'Species'!$U$2:$U$353))</x:f>
        <x:v>31732685.273913853</x:v>
      </x:c>
      <x:c r="J5" s="32" t="n">
        <x:v>4.215404739004271</x:v>
      </x:c>
      <x:c r="K5" s="32" t="n">
        <x:f>IF(J5="","",(1/'Metadata'!$B$5)^(J5-1))</x:f>
        <x:v>1642.119426939311</x:v>
      </x:c>
      <x:c r="L5" s="31" t="n">
        <x:f>IF(E5=0,"",E5*K5)</x:f>
        <x:v>24219957.06954624</x:v>
      </x:c>
      <x:c r="M5" s="31" t="n">
        <x:f>IF(E5=0,"",I5-L5)</x:f>
        <x:v>7512728.204367612</x:v>
      </x:c>
      <x:c r="N5" s="32" t="n">
        <x:f>IF(L5=0,"",I5/L5)</x:f>
        <x:v>1.310187511183246</x:v>
      </x:c>
      <x:c r="O5" s="34" t="n">
        <x:f>IF(L5=0,"",M5/L5)</x:f>
        <x:v>0.31018751118324595</x:v>
      </x:c>
    </x:row>
    <x:row r="6" ht="18" customHeight="1">
      <x:c r="A6" s="24" t="str">
        <x:v>Herring-likes</x:v>
      </x:c>
      <x:c r="B6" s="33" t="n">
        <x:v>12</x:v>
      </x:c>
      <x:c r="C6" s="33" t="n">
        <x:v>12</x:v>
      </x:c>
      <x:c r="D6" s="31" t="n">
        <x:v>296330.8381888818</x:v>
      </x:c>
      <x:c r="E6" s="31" t="n">
        <x:v>296330.8381888818</x:v>
      </x:c>
      <x:c r="F6" s="32" t="n">
        <x:v>0</x:v>
      </x:c>
      <x:c r="G6" s="34" t="n">
        <x:v>1</x:v>
      </x:c>
      <x:c r="H6" s="32" t="n">
        <x:f>IF(E6=0,"",I6/E6)</x:f>
        <x:v>164.45956956039697</x:v>
      </x:c>
      <x:c r="I6" s="31" t="n">
        <x:f>IF(C6=0,"",SUMIF('Species'!$H$2:$H$353,A6,'Species'!$U$2:$U$353))</x:f>
        <x:v>48734442.09601515</x:v>
      </x:c>
      <x:c r="J6" s="32" t="n">
        <x:v>3.193210306187062</x:v>
      </x:c>
      <x:c r="K6" s="32" t="n">
        <x:f>IF(J6="","",(1/'Metadata'!$B$5)^(J6-1))</x:f>
        <x:v>156.0307895721756</x:v>
      </x:c>
      <x:c r="L6" s="31" t="n">
        <x:f>IF(E6=0,"",E6*K6)</x:f>
        <x:v>46236734.65719584</x:v>
      </x:c>
      <x:c r="M6" s="31" t="n">
        <x:f>IF(E6=0,"",I6-L6)</x:f>
        <x:v>2497707.4388193116</x:v>
      </x:c>
      <x:c r="N6" s="32" t="n">
        <x:f>IF(L6=0,"",I6/L6)</x:f>
        <x:v>1.0540199790780553</x:v>
      </x:c>
      <x:c r="O6" s="34" t="n">
        <x:f>IF(L6=0,"",M6/L6)</x:f>
        <x:v>0.05401997907805526</x:v>
      </x:c>
    </x:row>
    <x:row r="7" ht="18" customHeight="1">
      <x:c r="A7" s="24" t="str">
        <x:v>Molluscs</x:v>
      </x:c>
      <x:c r="B7" s="33" t="n">
        <x:v>21</x:v>
      </x:c>
      <x:c r="C7" s="33" t="n">
        <x:v>21</x:v>
      </x:c>
      <x:c r="D7" s="31" t="n">
        <x:v>164961.3857786492</x:v>
      </x:c>
      <x:c r="E7" s="31" t="n">
        <x:v>164961.3857786492</x:v>
      </x:c>
      <x:c r="F7" s="32" t="n">
        <x:v>0</x:v>
      </x:c>
      <x:c r="G7" s="34" t="n">
        <x:v>1</x:v>
      </x:c>
      <x:c r="H7" s="32" t="n">
        <x:f>IF(E7=0,"",I7/E7)</x:f>
        <x:v>13.691663872086338</x:v>
      </x:c>
      <x:c r="I7" s="31" t="n">
        <x:f>IF(C7=0,"",SUMIF('Species'!$H$2:$H$353,A7,'Species'!$U$2:$U$353))</x:f>
        <x:v>2258595.845954828</x:v>
      </x:c>
      <x:c r="J7" s="32" t="n">
        <x:v>2.048294895823839</x:v>
      </x:c>
      <x:c r="K7" s="32" t="n">
        <x:f>IF(J7="","",(1/'Metadata'!$B$5)^(J7-1))</x:f>
        <x:v>11.176218808452226</x:v>
      </x:c>
      <x:c r="L7" s="31" t="n">
        <x:f>IF(E7=0,"",E7*K7)</x:f>
        <x:v>1843644.5424076826</x:v>
      </x:c>
      <x:c r="M7" s="31" t="n">
        <x:f>IF(E7=0,"",I7-L7)</x:f>
        <x:v>414951.30354714533</x:v>
      </x:c>
      <x:c r="N7" s="32" t="n">
        <x:f>IF(L7=0,"",I7/L7)</x:f>
        <x:v>1.2250712076012469</x:v>
      </x:c>
      <x:c r="O7" s="34" t="n">
        <x:f>IF(L7=0,"",M7/L7)</x:f>
        <x:v>0.22507120760124688</x:v>
      </x:c>
    </x:row>
    <x:row r="8" ht="18" customHeight="1">
      <x:c r="A8" s="24" t="str">
        <x:v>Other fishes &amp; inverts</x:v>
      </x:c>
      <x:c r="B8" s="33" t="n">
        <x:v>56</x:v>
      </x:c>
      <x:c r="C8" s="33" t="n">
        <x:v>56</x:v>
      </x:c>
      <x:c r="D8" s="31" t="n">
        <x:v>161577.3635441399</x:v>
      </x:c>
      <x:c r="E8" s="31" t="n">
        <x:v>161577.3635441399</x:v>
      </x:c>
      <x:c r="F8" s="32" t="n">
        <x:v>0</x:v>
      </x:c>
      <x:c r="G8" s="34" t="n">
        <x:v>1</x:v>
      </x:c>
      <x:c r="H8" s="32" t="n">
        <x:f>IF(E8=0,"",I8/E8)</x:f>
        <x:v>558.0760127496867</x:v>
      </x:c>
      <x:c r="I8" s="31" t="n">
        <x:f>IF(C8=0,"",SUMIF('Species'!$H$2:$H$353,A8,'Species'!$U$2:$U$353))</x:f>
        <x:v>90172450.79732017</x:v>
      </x:c>
      <x:c r="J8" s="32" t="n">
        <x:v>3.4998908993181024</x:v>
      </x:c>
      <x:c r="K8" s="32" t="n">
        <x:f>IF(J8="","",(1/'Metadata'!$B$5)^(J8-1))</x:f>
        <x:v>316.14833527758265</x:v>
      </x:c>
      <x:c r="L8" s="31" t="n">
        <x:f>IF(E8=0,"",E8*K8)</x:f>
        <x:v>51082414.5030206</x:v>
      </x:c>
      <x:c r="M8" s="31" t="n">
        <x:f>IF(E8=0,"",I8-L8)</x:f>
        <x:v>39090036.29429957</x:v>
      </x:c>
      <x:c r="N8" s="32" t="n">
        <x:f>IF(L8=0,"",I8/L8)</x:f>
        <x:v>1.7652347030696465</x:v>
      </x:c>
      <x:c r="O8" s="34" t="n">
        <x:f>IF(L8=0,"",M8/L8)</x:f>
        <x:v>0.7652347030696465</x:v>
      </x:c>
    </x:row>
    <x:row r="9" ht="18" customHeight="1">
      <x:c r="A9" s="24" t="str">
        <x:v>Perch-likes</x:v>
      </x:c>
      <x:c r="B9" s="33" t="n">
        <x:v>143</x:v>
      </x:c>
      <x:c r="C9" s="33" t="n">
        <x:v>143</x:v>
      </x:c>
      <x:c r="D9" s="31" t="n">
        <x:v>136325.1082484332</x:v>
      </x:c>
      <x:c r="E9" s="31" t="n">
        <x:v>136325.1082484332</x:v>
      </x:c>
      <x:c r="F9" s="32" t="n">
        <x:v>0</x:v>
      </x:c>
      <x:c r="G9" s="34" t="n">
        <x:v>1</x:v>
      </x:c>
      <x:c r="H9" s="32" t="n">
        <x:f>IF(E9=0,"",I9/E9)</x:f>
        <x:v>1583.2034341448389</x:v>
      </x:c>
      <x:c r="I9" s="31" t="n">
        <x:f>IF(C9=0,"",SUMIF('Species'!$H$2:$H$353,A9,'Species'!$U$2:$U$353))</x:f>
        <x:v>215830379.5390863</x:v>
      </x:c>
      <x:c r="J9" s="32" t="n">
        <x:v>3.9639353299960103</x:v>
      </x:c>
      <x:c r="K9" s="32" t="n">
        <x:f>IF(J9="","",(1/'Metadata'!$B$5)^(J9-1))</x:f>
        <x:v>920.3125194804339</x:v>
      </x:c>
      <x:c r="L9" s="31" t="n">
        <x:f>IF(E9=0,"",E9*K9)</x:f>
        <x:v>125461703.84055842</x:v>
      </x:c>
      <x:c r="M9" s="31" t="n">
        <x:f>IF(E9=0,"",I9-L9)</x:f>
        <x:v>90368675.69852789</x:v>
      </x:c>
      <x:c r="N9" s="32" t="n">
        <x:f>IF(L9=0,"",I9/L9)</x:f>
        <x:v>1.7202889242869832</x:v>
      </x:c>
      <x:c r="O9" s="34" t="n">
        <x:f>IF(L9=0,"",M9/L9)</x:f>
        <x:v>0.7202889242869831</x:v>
      </x:c>
    </x:row>
    <x:row r="10" ht="18" customHeight="1">
      <x:c r="A10" s="24" t="str">
        <x:v>Salmon, smelts, etc</x:v>
      </x:c>
      <x:c r="B10" s="33" t="n">
        <x:v>2</x:v>
      </x:c>
      <x:c r="C10" s="33" t="n">
        <x:v>2</x:v>
      </x:c>
      <x:c r="D10" s="31" t="n">
        <x:v>0.0667341452</x:v>
      </x:c>
      <x:c r="E10" s="31" t="n">
        <x:v>0.0667341452</x:v>
      </x:c>
      <x:c r="F10" s="32" t="n">
        <x:v>0</x:v>
      </x:c>
      <x:c r="G10" s="34" t="n">
        <x:v>1</x:v>
      </x:c>
      <x:c r="H10" s="32" t="n">
        <x:f>IF(E10=0,"",I10/E10)</x:f>
        <x:v>134.74591354475604</x:v>
      </x:c>
      <x:c r="I10" s="31" t="n">
        <x:f>IF(C10=0,"",SUMIF('Species'!$H$2:$H$353,A10,'Species'!$U$2:$U$353))</x:f>
        <x:v>8.992153359602396</x:v>
      </x:c>
      <x:c r="J10" s="32" t="n">
        <x:v>3.084834676087228</x:v>
      </x:c>
      <x:c r="K10" s="32" t="n">
        <x:f>IF(J10="","",(1/'Metadata'!$B$5)^(J10-1))</x:f>
        <x:v>121.57231203390124</x:v>
      </x:c>
      <x:c r="L10" s="31" t="n">
        <x:f>IF(E10=0,"",E10*K10)</x:f>
        <x:v>8.113024323570073</x:v>
      </x:c>
      <x:c r="M10" s="31" t="n">
        <x:f>IF(E10=0,"",I10-L10)</x:f>
        <x:v>0.8791290360323227</x:v>
      </x:c>
      <x:c r="N10" s="32" t="n">
        <x:f>IF(L10=0,"",I10/L10)</x:f>
        <x:v>1.1083602120454963</x:v>
      </x:c>
      <x:c r="O10" s="34" t="n">
        <x:f>IF(L10=0,"",M10/L10)</x:f>
        <x:v>0.10836021204549635</x:v>
      </x:c>
    </x:row>
    <x:row r="11" ht="18" customHeight="1">
      <x:c r="A11" s="24" t="str">
        <x:v>Scorpionfishes</x:v>
      </x:c>
      <x:c r="B11" s="33" t="n">
        <x:v>8</x:v>
      </x:c>
      <x:c r="C11" s="33" t="n">
        <x:v>8</x:v>
      </x:c>
      <x:c r="D11" s="31" t="n">
        <x:v>6870.076071529799</x:v>
      </x:c>
      <x:c r="E11" s="31" t="n">
        <x:v>6870.076071529799</x:v>
      </x:c>
      <x:c r="F11" s="32" t="n">
        <x:v>0</x:v>
      </x:c>
      <x:c r="G11" s="34" t="n">
        <x:v>1</x:v>
      </x:c>
      <x:c r="H11" s="32" t="n">
        <x:f>IF(E11=0,"",I11/E11)</x:f>
        <x:v>630.3786432935655</x:v>
      </x:c>
      <x:c r="I11" s="31" t="n">
        <x:f>IF(C11=0,"",SUMIF('Species'!$H$2:$H$353,A11,'Species'!$U$2:$U$353))</x:f>
        <x:v>4330749.233294543</x:v>
      </x:c>
      <x:c r="J11" s="32" t="n">
        <x:v>3.7975400097501897</x:v>
      </x:c>
      <x:c r="K11" s="32" t="n">
        <x:f>IF(J11="","",(1/'Metadata'!$B$5)^(J11-1))</x:f>
        <x:v>627.393492483237</x:v>
      </x:c>
      <x:c r="L11" s="31" t="n">
        <x:f>IF(E11=0,"",E11*K11)</x:f>
        <x:v>4310241.020142597</x:v>
      </x:c>
      <x:c r="M11" s="31" t="n">
        <x:f>IF(E11=0,"",I11-L11)</x:f>
        <x:v>20508.213151945733</x:v>
      </x:c>
      <x:c r="N11" s="32" t="n">
        <x:f>IF(L11=0,"",I11/L11)</x:f>
        <x:v>1.0047580200402035</x:v>
      </x:c>
      <x:c r="O11" s="34" t="n">
        <x:f>IF(L11=0,"",M11/L11)</x:f>
        <x:v>0.004758020040203518</x:v>
      </x:c>
    </x:row>
    <x:row r="12" ht="18" customHeight="1">
      <x:c r="A12" s="24" t="str">
        <x:v>Sharks &amp; rays</x:v>
      </x:c>
      <x:c r="B12" s="33" t="n">
        <x:v>39</x:v>
      </x:c>
      <x:c r="C12" s="33" t="n">
        <x:v>39</x:v>
      </x:c>
      <x:c r="D12" s="31" t="n">
        <x:v>36036.7525618867</x:v>
      </x:c>
      <x:c r="E12" s="31" t="n">
        <x:v>36036.7525618867</x:v>
      </x:c>
      <x:c r="F12" s="32" t="n">
        <x:v>0</x:v>
      </x:c>
      <x:c r="G12" s="34" t="n">
        <x:v>1</x:v>
      </x:c>
      <x:c r="H12" s="32" t="n">
        <x:f>IF(E12=0,"",I12/E12)</x:f>
        <x:v>1607.8252292144048</x:v>
      </x:c>
      <x:c r="I12" s="31" t="n">
        <x:f>IF(C12=0,"",SUMIF('Species'!$H$2:$H$353,A12,'Species'!$U$2:$U$353))</x:f>
        <x:v>57940799.94795827</x:v>
      </x:c>
      <x:c r="J12" s="32" t="n">
        <x:v>4.098622448634266</x:v>
      </x:c>
      <x:c r="K12" s="32" t="n">
        <x:f>IF(J12="","",(1/'Metadata'!$B$5)^(J12-1))</x:f>
        <x:v>1254.9385158886305</x:v>
      </x:c>
      <x:c r="L12" s="31" t="n">
        <x:f>IF(E12=0,"",E12*K12)</x:f>
        <x:v>45223908.7774599</x:v>
      </x:c>
      <x:c r="M12" s="31" t="n">
        <x:f>IF(E12=0,"",I12-L12)</x:f>
        <x:v>12716891.170498371</x:v>
      </x:c>
      <x:c r="N12" s="32" t="n">
        <x:f>IF(L12=0,"",I12/L12)</x:f>
        <x:v>1.2811984084143697</x:v>
      </x:c>
      <x:c r="O12" s="34" t="n">
        <x:f>IF(L12=0,"",M12/L12)</x:f>
        <x:v>0.28119840841436977</x:v>
      </x:c>
    </x:row>
    <x:row r="13" ht="18" customHeight="1">
      <x:c r="A13" s="24" t="str">
        <x:v>Tuna &amp; billfishes</x:v>
      </x:c>
      <x:c r="B13" s="33" t="n">
        <x:v>19</x:v>
      </x:c>
      <x:c r="C13" s="33" t="n">
        <x:v>19</x:v>
      </x:c>
      <x:c r="D13" s="31" t="n">
        <x:v>13670.1963989351</x:v>
      </x:c>
      <x:c r="E13" s="31" t="n">
        <x:v>13670.1963989351</x:v>
      </x:c>
      <x:c r="F13" s="32" t="n">
        <x:v>0</x:v>
      </x:c>
      <x:c r="G13" s="34" t="n">
        <x:v>1</x:v>
      </x:c>
      <x:c r="H13" s="32" t="n">
        <x:f>IF(E13=0,"",I13/E13)</x:f>
        <x:v>2885.626420427152</x:v>
      </x:c>
      <x:c r="I13" s="31" t="n">
        <x:f>IF(C13=0,"",SUMIF('Species'!$H$2:$H$353,A13,'Species'!$U$2:$U$353))</x:f>
        <x:v>39447079.901195236</x:v>
      </x:c>
      <x:c r="J13" s="32" t="n">
        <x:v>4.45708861159076</x:v>
      </x:c>
      <x:c r="K13" s="32" t="n">
        <x:f>IF(J13="","",(1/'Metadata'!$B$5)^(J13-1))</x:f>
        <x:v>2864.762424166398</x:v>
      </x:c>
      <x:c r="L13" s="31" t="n">
        <x:f>IF(E13=0,"",E13*K13)</x:f>
        <x:v>39161864.97464408</x:v>
      </x:c>
      <x:c r="M13" s="31" t="n">
        <x:f>IF(E13=0,"",I13-L13)</x:f>
        <x:v>285214.92655115575</x:v>
      </x:c>
      <x:c r="N13" s="32" t="n">
        <x:f>IF(L13=0,"",I13/L13)</x:f>
        <x:v>1.0072829760976865</x:v>
      </x:c>
      <x:c r="O13" s="34" t="n">
        <x:f>IF(L13=0,"",M13/L13)</x:f>
        <x:v>0.007282976097686418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3e89e233d8e4d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6</x:v>
      </x:c>
      <x:c r="C2" s="33" t="n">
        <x:v>6</x:v>
      </x:c>
      <x:c r="D2" s="31" t="n">
        <x:v>46228.965629956605</x:v>
      </x:c>
      <x:c r="E2" s="31" t="n">
        <x:v>46228.965629956605</x:v>
      </x:c>
      <x:c r="F2" s="32" t="n">
        <x:v>0</x:v>
      </x:c>
      <x:c r="G2" s="34" t="n">
        <x:v>1</x:v>
      </x:c>
      <x:c r="H2" s="32" t="n">
        <x:f>IF(E2=0,"",I2/E2)</x:f>
        <x:v>668.0101326753124</x:v>
      </x:c>
      <x:c r="I2" s="31" t="n">
        <x:f>IF(C2=0,"",SUMIF('Species'!$G$2:$G$353,A2,'Species'!$U$2:$U$353))</x:f>
        <x:v>30881417.463909768</x:v>
      </x:c>
      <x:c r="J2" s="32" t="n">
        <x:v>3.745555876160771</x:v>
      </x:c>
      <x:c r="K2" s="32" t="n">
        <x:f>IF(J2="","",(1/'Metadata'!$B$5)^(J2-1))</x:f>
        <x:v>556.6162436830674</x:v>
      </x:c>
      <x:c r="L2" s="31" t="n">
        <x:f>IF(E2=0,"",E2*K2)</x:f>
        <x:v>25731793.198300075</x:v>
      </x:c>
      <x:c r="M2" s="31" t="n">
        <x:f>IF(E2=0,"",I2-L2)</x:f>
        <x:v>5149624.265609693</x:v>
      </x:c>
      <x:c r="N2" s="32" t="n">
        <x:f>IF(L2=0,"",I2/L2)</x:f>
        <x:v>1.2001269101583598</x:v>
      </x:c>
      <x:c r="O2" s="34" t="n">
        <x:f>IF(L2=0,"",M2/L2)</x:f>
        <x:v>0.2001269101583598</x:v>
      </x:c>
    </x:row>
    <x:row r="3" ht="18" customHeight="1">
      <x:c r="A3" s="24" t="str">
        <x:v>Jellyfish</x:v>
      </x:c>
      <x:c r="B3" s="33" t="n">
        <x:v>3</x:v>
      </x:c>
      <x:c r="C3" s="33" t="n">
        <x:v>3</x:v>
      </x:c>
      <x:c r="D3" s="31" t="n">
        <x:v>6649.848064854301</x:v>
      </x:c>
      <x:c r="E3" s="31" t="n">
        <x:v>6649.848064854301</x:v>
      </x:c>
      <x:c r="F3" s="32" t="n">
        <x:v>0</x:v>
      </x:c>
      <x:c r="G3" s="34" t="n">
        <x:v>1</x:v>
      </x:c>
      <x:c r="H3" s="32" t="n">
        <x:f>IF(E3=0,"",I3/E3)</x:f>
        <x:v>259.9025501089254</x:v>
      </x:c>
      <x:c r="I3" s="31" t="n">
        <x:f>IF(C3=0,"",SUMIF('Species'!$G$2:$G$353,A3,'Species'!$U$2:$U$353))</x:f>
        <x:v>1728312.4698925356</x:v>
      </x:c>
      <x:c r="J3" s="32" t="n">
        <x:v>3.41088008074555</x:v>
      </x:c>
      <x:c r="K3" s="32" t="n">
        <x:f>IF(J3="","",(1/'Metadata'!$B$5)^(J3-1))</x:f>
        <x:v>257.56098703645927</x:v>
      </x:c>
      <x:c r="L3" s="31" t="n">
        <x:f>IF(E3=0,"",E3*K3)</x:f>
        <x:v>1712741.4312263622</x:v>
      </x:c>
      <x:c r="M3" s="31" t="n">
        <x:f>IF(E3=0,"",I3-L3)</x:f>
        <x:v>15571.03866617335</x:v>
      </x:c>
      <x:c r="N3" s="32" t="n">
        <x:f>IF(L3=0,"",I3/L3)</x:f>
        <x:v>1.009091295616656</x:v>
      </x:c>
      <x:c r="O3" s="34" t="n">
        <x:f>IF(L3=0,"",M3/L3)</x:f>
        <x:v>0.009091295616656</x:v>
      </x:c>
    </x:row>
    <x:row r="4" ht="18" customHeight="1">
      <x:c r="A4" s="24" t="str">
        <x:v>Large bathydemersals (&gt;=90 cm)</x:v>
      </x:c>
      <x:c r="B4" s="33" t="n">
        <x:v>2</x:v>
      </x:c>
      <x:c r="C4" s="33" t="n">
        <x:v>2</x:v>
      </x:c>
      <x:c r="D4" s="31" t="n">
        <x:v>1.3580628597000002</x:v>
      </x:c>
      <x:c r="E4" s="31" t="n">
        <x:v>1.3580628597000002</x:v>
      </x:c>
      <x:c r="F4" s="32" t="n">
        <x:v>0</x:v>
      </x:c>
      <x:c r="G4" s="34" t="n">
        <x:v>1</x:v>
      </x:c>
      <x:c r="H4" s="32" t="n">
        <x:f>IF(E4=0,"",I4/E4)</x:f>
        <x:v>1328.2592320956587</x:v>
      </x:c>
      <x:c r="I4" s="31" t="n">
        <x:f>IF(C4=0,"",SUMIF('Species'!$G$2:$G$353,A4,'Species'!$U$2:$U$353))</x:f>
        <x:v>1803.8595311627564</x:v>
      </x:c>
      <x:c r="J4" s="32" t="n">
        <x:v>4.1131564249035915</x:v>
      </x:c>
      <x:c r="K4" s="32" t="n">
        <x:f>IF(J4="","",(1/'Metadata'!$B$5)^(J4-1))</x:f>
        <x:v>1297.6465753078285</x:v>
      </x:c>
      <x:c r="L4" s="31" t="n">
        <x:f>IF(E4=0,"",E4*K4)</x:f>
        <x:v>1762.2856189424613</x:v>
      </x:c>
      <x:c r="M4" s="31" t="n">
        <x:f>IF(E4=0,"",I4-L4)</x:f>
        <x:v>41.57391222029514</x:v>
      </x:c>
      <x:c r="N4" s="32" t="n">
        <x:f>IF(L4=0,"",I4/L4)</x:f>
        <x:v>1.0235909047735652</x:v>
      </x:c>
      <x:c r="O4" s="34" t="n">
        <x:f>IF(L4=0,"",M4/L4)</x:f>
        <x:v>0.023590904773565274</x:v>
      </x:c>
    </x:row>
    <x:row r="5" ht="18" customHeight="1">
      <x:c r="A5" s="24" t="str">
        <x:v>Large bathypelagics (&gt;=90 cm)</x:v>
      </x:c>
      <x:c r="B5" s="33" t="n">
        <x:v>1</x:v>
      </x:c>
      <x:c r="C5" s="33" t="n">
        <x:v>1</x:v>
      </x:c>
      <x:c r="D5" s="31" t="n">
        <x:v>7.0123260954</x:v>
      </x:c>
      <x:c r="E5" s="31" t="n">
        <x:v>7.0123260954</x:v>
      </x:c>
      <x:c r="F5" s="32" t="n">
        <x:v>0</x:v>
      </x:c>
      <x:c r="G5" s="34" t="n">
        <x:v>1</x:v>
      </x:c>
      <x:c r="H5" s="32" t="n">
        <x:f>IF(E5=0,"",I5/E5)</x:f>
        <x:v>2187.761623949552</x:v>
      </x:c>
      <x:c r="I5" s="31" t="n">
        <x:f>IF(C5=0,"",SUMIF('Species'!$G$2:$G$353,A5,'Species'!$U$2:$U$353))</x:f>
        <x:v>15341.297926136123</x:v>
      </x:c>
      <x:c r="J5" s="32" t="n">
        <x:v>4.34</x:v>
      </x:c>
      <x:c r="K5" s="32" t="n">
        <x:f>IF(J5="","",(1/'Metadata'!$B$5)^(J5-1))</x:f>
        <x:v>2187.761623949552</x:v>
      </x:c>
      <x:c r="L5" s="31" t="n">
        <x:f>IF(E5=0,"",E5*K5)</x:f>
        <x:v>15341.297926136123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Large benthopelagics (&gt;=90 cm)</x:v>
      </x:c>
      <x:c r="B6" s="33" t="n">
        <x:v>10</x:v>
      </x:c>
      <x:c r="C6" s="33" t="n">
        <x:v>10</x:v>
      </x:c>
      <x:c r="D6" s="31" t="n">
        <x:v>4960.209177225801</x:v>
      </x:c>
      <x:c r="E6" s="31" t="n">
        <x:v>4960.209177225801</x:v>
      </x:c>
      <x:c r="F6" s="32" t="n">
        <x:v>0</x:v>
      </x:c>
      <x:c r="G6" s="34" t="n">
        <x:v>1</x:v>
      </x:c>
      <x:c r="H6" s="32" t="n">
        <x:f>IF(E6=0,"",I6/E6)</x:f>
        <x:v>1030.7269123321726</x:v>
      </x:c>
      <x:c r="I6" s="31" t="n">
        <x:f>IF(C6=0,"",SUMIF('Species'!$G$2:$G$353,A6,'Species'!$U$2:$U$353))</x:f>
        <x:v>5112621.089763656</x:v>
      </x:c>
      <x:c r="J6" s="32" t="n">
        <x:v>3.6637592099685894</x:v>
      </x:c>
      <x:c r="K6" s="32" t="n">
        <x:f>IF(J6="","",(1/'Metadata'!$B$5)^(J6-1))</x:f>
        <x:v>461.06187275013815</x:v>
      </x:c>
      <x:c r="L6" s="31" t="n">
        <x:f>IF(E6=0,"",E6*K6)</x:f>
        <x:v>2286963.33248415</x:v>
      </x:c>
      <x:c r="M6" s="31" t="n">
        <x:f>IF(E6=0,"",I6-L6)</x:f>
        <x:v>2825657.7572795064</x:v>
      </x:c>
      <x:c r="N6" s="32" t="n">
        <x:f>IF(L6=0,"",I6/L6)</x:f>
        <x:v>2.2355500926244476</x:v>
      </x:c>
      <x:c r="O6" s="34" t="n">
        <x:f>IF(L6=0,"",M6/L6)</x:f>
        <x:v>1.2355500926244476</x:v>
      </x:c>
    </x:row>
    <x:row r="7" ht="18" customHeight="1">
      <x:c r="A7" s="24" t="str">
        <x:v>Large demersals (&gt;=90 cm)</x:v>
      </x:c>
      <x:c r="B7" s="33" t="n">
        <x:v>15</x:v>
      </x:c>
      <x:c r="C7" s="33" t="n">
        <x:v>15</x:v>
      </x:c>
      <x:c r="D7" s="31" t="n">
        <x:v>39107.3196017269</x:v>
      </x:c>
      <x:c r="E7" s="31" t="n">
        <x:v>39107.3196017269</x:v>
      </x:c>
      <x:c r="F7" s="32" t="n">
        <x:v>0</x:v>
      </x:c>
      <x:c r="G7" s="34" t="n">
        <x:v>1</x:v>
      </x:c>
      <x:c r="H7" s="32" t="n">
        <x:f>IF(E7=0,"",I7/E7)</x:f>
        <x:v>2936.7277047714156</x:v>
      </x:c>
      <x:c r="I7" s="31" t="n">
        <x:f>IF(C7=0,"",SUMIF('Species'!$G$2:$G$353,A7,'Species'!$U$2:$U$353))</x:f>
        <x:v>114847548.93374163</x:v>
      </x:c>
      <x:c r="J7" s="32" t="n">
        <x:v>4.405390732834638</x:v>
      </x:c>
      <x:c r="K7" s="32" t="n">
        <x:f>IF(J7="","",(1/'Metadata'!$B$5)^(J7-1))</x:f>
        <x:v>2543.259836219599</x:v>
      </x:c>
      <x:c r="L7" s="31" t="n">
        <x:f>IF(E7=0,"",E7*K7)</x:f>
        <x:v>99460075.24527547</x:v>
      </x:c>
      <x:c r="M7" s="31" t="n">
        <x:f>IF(E7=0,"",I7-L7)</x:f>
        <x:v>15387473.688466161</x:v>
      </x:c>
      <x:c r="N7" s="32" t="n">
        <x:f>IF(L7=0,"",I7/L7)</x:f>
        <x:v>1.1547100547684042</x:v>
      </x:c>
      <x:c r="O7" s="34" t="n">
        <x:f>IF(L7=0,"",M7/L7)</x:f>
        <x:v>0.1547100547684041</x:v>
      </x:c>
    </x:row>
    <x:row r="8" ht="18" customHeight="1">
      <x:c r="A8" s="24" t="str">
        <x:v>Large flatfishes (&gt;=90 cm)</x:v>
      </x:c>
      <x:c r="B8" s="33" t="n">
        <x:v>1</x:v>
      </x:c>
      <x:c r="C8" s="33" t="n">
        <x:v>1</x:v>
      </x:c>
      <x:c r="D8" s="31" t="n">
        <x:v>334.65321862630003</x:v>
      </x:c>
      <x:c r="E8" s="31" t="n">
        <x:v>334.65321862630003</x:v>
      </x:c>
      <x:c r="F8" s="32" t="n">
        <x:v>0</x:v>
      </x:c>
      <x:c r="G8" s="34" t="n">
        <x:v>1</x:v>
      </x:c>
      <x:c r="H8" s="32" t="n">
        <x:f>IF(E8=0,"",I8/E8)</x:f>
        <x:v>1000</x:v>
      </x:c>
      <x:c r="I8" s="31" t="n">
        <x:f>IF(C8=0,"",SUMIF('Species'!$G$2:$G$353,A8,'Species'!$U$2:$U$353))</x:f>
        <x:v>334653.21862630005</x:v>
      </x:c>
      <x:c r="J8" s="32" t="n">
        <x:v>4</x:v>
      </x:c>
      <x:c r="K8" s="32" t="n">
        <x:f>IF(J8="","",(1/'Metadata'!$B$5)^(J8-1))</x:f>
        <x:v>1000</x:v>
      </x:c>
      <x:c r="L8" s="31" t="n">
        <x:f>IF(E8=0,"",E8*K8)</x:f>
        <x:v>334653.21862630005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Large pelagics (&gt;=90 cm)</x:v>
      </x:c>
      <x:c r="B9" s="33" t="n">
        <x:v>30</x:v>
      </x:c>
      <x:c r="C9" s="33" t="n">
        <x:v>30</x:v>
      </x:c>
      <x:c r="D9" s="31" t="n">
        <x:v>44590.557359056</x:v>
      </x:c>
      <x:c r="E9" s="31" t="n">
        <x:v>44590.557359056</x:v>
      </x:c>
      <x:c r="F9" s="32" t="n">
        <x:v>0</x:v>
      </x:c>
      <x:c r="G9" s="34" t="n">
        <x:v>1</x:v>
      </x:c>
      <x:c r="H9" s="32" t="n">
        <x:f>IF(E9=0,"",I9/E9)</x:f>
        <x:v>2811.5291563098826</x:v>
      </x:c>
      <x:c r="I9" s="31" t="n">
        <x:f>IF(C9=0,"",SUMIF('Species'!$G$2:$G$353,A9,'Species'!$U$2:$U$353))</x:f>
        <x:v>125367652.11109415</x:v>
      </x:c>
      <x:c r="J9" s="32" t="n">
        <x:v>4.437359274196734</x:v>
      </x:c>
      <x:c r="K9" s="32" t="n">
        <x:f>IF(J9="","",(1/'Metadata'!$B$5)^(J9-1))</x:f>
        <x:v>2737.532439308439</x:v>
      </x:c>
      <x:c r="L9" s="31" t="n">
        <x:f>IF(E9=0,"",E9*K9)</x:f>
        <x:v>122068097.25725943</x:v>
      </x:c>
      <x:c r="M9" s="31" t="n">
        <x:f>IF(E9=0,"",I9-L9)</x:f>
        <x:v>3299554.8538347185</x:v>
      </x:c>
      <x:c r="N9" s="32" t="n">
        <x:f>IF(L9=0,"",I9/L9)</x:f>
        <x:v>1.0270304438913378</x:v>
      </x:c>
      <x:c r="O9" s="34" t="n">
        <x:f>IF(L9=0,"",M9/L9)</x:f>
        <x:v>0.027030443891337814</x:v>
      </x:c>
    </x:row>
    <x:row r="10" ht="18" customHeight="1">
      <x:c r="A10" s="24" t="str">
        <x:v>Large rays (&gt;=90 cm)</x:v>
      </x:c>
      <x:c r="B10" s="33" t="n">
        <x:v>7</x:v>
      </x:c>
      <x:c r="C10" s="33" t="n">
        <x:v>7</x:v>
      </x:c>
      <x:c r="D10" s="31" t="n">
        <x:v>10664.5226860244</x:v>
      </x:c>
      <x:c r="E10" s="31" t="n">
        <x:v>10664.5226860244</x:v>
      </x:c>
      <x:c r="F10" s="32" t="n">
        <x:v>0</x:v>
      </x:c>
      <x:c r="G10" s="34" t="n">
        <x:v>1</x:v>
      </x:c>
      <x:c r="H10" s="32" t="n">
        <x:f>IF(E10=0,"",I10/E10)</x:f>
        <x:v>593.9484150198781</x:v>
      </x:c>
      <x:c r="I10" s="31" t="n">
        <x:f>IF(C10=0,"",SUMIF('Species'!$G$2:$G$353,A10,'Species'!$U$2:$U$353))</x:f>
        <x:v>6334176.346307726</x:v>
      </x:c>
      <x:c r="J10" s="32" t="n">
        <x:v>3.7584613923551</x:v>
      </x:c>
      <x:c r="K10" s="32" t="n">
        <x:f>IF(J10="","",(1/'Metadata'!$B$5)^(J10-1))</x:f>
        <x:v>573.4048900833826</x:v>
      </x:c>
      <x:c r="L10" s="31" t="n">
        <x:f>IF(E10=0,"",E10*K10)</x:f>
        <x:v>6115089.458571562</x:v>
      </x:c>
      <x:c r="M10" s="31" t="n">
        <x:f>IF(E10=0,"",I10-L10)</x:f>
        <x:v>219086.88773616403</x:v>
      </x:c>
      <x:c r="N10" s="32" t="n">
        <x:f>IF(L10=0,"",I10/L10)</x:f>
        <x:v>1.0358272580017727</x:v>
      </x:c>
      <x:c r="O10" s="34" t="n">
        <x:f>IF(L10=0,"",M10/L10)</x:f>
        <x:v>0.03582725800177273</x:v>
      </x:c>
    </x:row>
    <x:row r="11" ht="18" customHeight="1">
      <x:c r="A11" s="24" t="str">
        <x:v>Large reef assoc. fish (&gt;=90 cm)</x:v>
      </x:c>
      <x:c r="B11" s="33" t="n">
        <x:v>15</x:v>
      </x:c>
      <x:c r="C11" s="33" t="n">
        <x:v>15</x:v>
      </x:c>
      <x:c r="D11" s="31" t="n">
        <x:v>8901.0130820903</x:v>
      </x:c>
      <x:c r="E11" s="31" t="n">
        <x:v>8901.0130820903</x:v>
      </x:c>
      <x:c r="F11" s="32" t="n">
        <x:v>0</x:v>
      </x:c>
      <x:c r="G11" s="34" t="n">
        <x:v>1</x:v>
      </x:c>
      <x:c r="H11" s="32" t="n">
        <x:f>IF(E11=0,"",I11/E11)</x:f>
        <x:v>866.8747864613265</x:v>
      </x:c>
      <x:c r="I11" s="31" t="n">
        <x:f>IF(C11=0,"",SUMIF('Species'!$G$2:$G$353,A11,'Species'!$U$2:$U$353))</x:f>
        <x:v>7716063.814826502</x:v>
      </x:c>
      <x:c r="J11" s="32" t="n">
        <x:v>3.8429558671238815</x:v>
      </x:c>
      <x:c r="K11" s="32" t="n">
        <x:f>IF(J11="","",(1/'Metadata'!$B$5)^(J11-1))</x:f>
        <x:v>696.555726728296</x:v>
      </x:c>
      <x:c r="L11" s="31" t="n">
        <x:f>IF(E11=0,"",E11*K11)</x:f>
        <x:v>6200051.636013479</x:v>
      </x:c>
      <x:c r="M11" s="31" t="n">
        <x:f>IF(E11=0,"",I11-L11)</x:f>
        <x:v>1516012.1788130235</x:v>
      </x:c>
      <x:c r="N11" s="32" t="n">
        <x:f>IF(L11=0,"",I11/L11)</x:f>
        <x:v>1.2445160569320342</x:v>
      </x:c>
      <x:c r="O11" s="34" t="n">
        <x:f>IF(L11=0,"",M11/L11)</x:f>
        <x:v>0.24451605693203418</x:v>
      </x:c>
    </x:row>
    <x:row r="12" ht="18" customHeight="1">
      <x:c r="A12" s="24" t="str">
        <x:v>Large sharks (&gt;=90 cm)</x:v>
      </x:c>
      <x:c r="B12" s="33" t="n">
        <x:v>27</x:v>
      </x:c>
      <x:c r="C12" s="33" t="n">
        <x:v>27</x:v>
      </x:c>
      <x:c r="D12" s="31" t="n">
        <x:v>21167.7656417375</x:v>
      </x:c>
      <x:c r="E12" s="31" t="n">
        <x:v>21167.7656417375</x:v>
      </x:c>
      <x:c r="F12" s="32" t="n">
        <x:v>0</x:v>
      </x:c>
      <x:c r="G12" s="34" t="n">
        <x:v>1</x:v>
      </x:c>
      <x:c r="H12" s="32" t="n">
        <x:f>IF(E12=0,"",I12/E12)</x:f>
        <x:v>2357.060855976674</x:v>
      </x:c>
      <x:c r="I12" s="31" t="n">
        <x:f>IF(C12=0,"",SUMIF('Species'!$G$2:$G$353,A12,'Species'!$U$2:$U$353))</x:f>
        <x:v>49893711.802627414</x:v>
      </x:c>
      <x:c r="J12" s="32" t="n">
        <x:v>4.367095089656983</x:v>
      </x:c>
      <x:c r="K12" s="32" t="n">
        <x:f>IF(J12="","",(1/'Metadata'!$B$5)^(J12-1))</x:f>
        <x:v>2328.6010537725488</x:v>
      </x:c>
      <x:c r="L12" s="31" t="n">
        <x:f>IF(E12=0,"",E12*K12)</x:f>
        <x:v>49291281.379360296</x:v>
      </x:c>
      <x:c r="M12" s="31" t="n">
        <x:f>IF(E12=0,"",I12-L12)</x:f>
        <x:v>602430.4232671186</x:v>
      </x:c>
      <x:c r="N12" s="32" t="n">
        <x:f>IF(L12=0,"",I12/L12)</x:f>
        <x:v>1.0122218454543845</x:v>
      </x:c>
      <x:c r="O12" s="34" t="n">
        <x:f>IF(L12=0,"",M12/L12)</x:f>
        <x:v>0.012221845454384431</x:v>
      </x:c>
    </x:row>
    <x:row r="13" ht="18" customHeight="1">
      <x:c r="A13" s="24" t="str">
        <x:v>Lobsters, crabs</x:v>
      </x:c>
      <x:c r="B13" s="33" t="n">
        <x:v>16</x:v>
      </x:c>
      <x:c r="C13" s="33" t="n">
        <x:v>16</x:v>
      </x:c>
      <x:c r="D13" s="31" t="n">
        <x:v>121502.4381549372</x:v>
      </x:c>
      <x:c r="E13" s="31" t="n">
        <x:v>121502.4381549372</x:v>
      </x:c>
      <x:c r="F13" s="32" t="n">
        <x:v>0</x:v>
      </x:c>
      <x:c r="G13" s="34" t="n">
        <x:v>1</x:v>
      </x:c>
      <x:c r="H13" s="32" t="n">
        <x:f>IF(E13=0,"",I13/E13)</x:f>
        <x:v>654.6811703378658</x:v>
      </x:c>
      <x:c r="I13" s="31" t="n">
        <x:f>IF(C13=0,"",SUMIF('Species'!$G$2:$G$353,A13,'Species'!$U$2:$U$353))</x:f>
        <x:v>79545358.41017844</x:v>
      </x:c>
      <x:c r="J13" s="32" t="n">
        <x:v>3.727327081110431</x:v>
      </x:c>
      <x:c r="K13" s="32" t="n">
        <x:f>IF(J13="","",(1/'Metadata'!$B$5)^(J13-1))</x:f>
        <x:v>533.7367184055117</x:v>
      </x:c>
      <x:c r="L13" s="31" t="n">
        <x:f>IF(E13=0,"",E13*K13)</x:f>
        <x:v>64850312.61908483</x:v>
      </x:c>
      <x:c r="M13" s="31" t="n">
        <x:f>IF(E13=0,"",I13-L13)</x:f>
        <x:v>14695045.79109361</x:v>
      </x:c>
      <x:c r="N13" s="32" t="n">
        <x:f>IF(L13=0,"",I13/L13)</x:f>
        <x:v>1.22659945954939</x:v>
      </x:c>
      <x:c r="O13" s="34" t="n">
        <x:f>IF(L13=0,"",M13/L13)</x:f>
        <x:v>0.22659945954939004</x:v>
      </x:c>
    </x:row>
    <x:row r="14" ht="18" customHeight="1">
      <x:c r="A14" s="24" t="str">
        <x:v>Medium bathydemersals (30 - 89 cm)</x:v>
      </x:c>
      <x:c r="B14" s="33" t="n">
        <x:v>6</x:v>
      </x:c>
      <x:c r="C14" s="33" t="n">
        <x:v>6</x:v>
      </x:c>
      <x:c r="D14" s="31" t="n">
        <x:v>1565.3618827195</x:v>
      </x:c>
      <x:c r="E14" s="31" t="n">
        <x:v>1565.3618827195</x:v>
      </x:c>
      <x:c r="F14" s="32" t="n">
        <x:v>0</x:v>
      </x:c>
      <x:c r="G14" s="34" t="n">
        <x:v>1</x:v>
      </x:c>
      <x:c r="H14" s="32" t="n">
        <x:f>IF(E14=0,"",I14/E14)</x:f>
        <x:v>2750.1015838053636</x:v>
      </x:c>
      <x:c r="I14" s="31" t="n">
        <x:f>IF(C14=0,"",SUMIF('Species'!$G$2:$G$353,A14,'Species'!$U$2:$U$353))</x:f>
        <x:v>4304904.192895443</x:v>
      </x:c>
      <x:c r="J14" s="32" t="n">
        <x:v>4.409107316762491</x:v>
      </x:c>
      <x:c r="K14" s="32" t="n">
        <x:f>IF(J14="","",(1/'Metadata'!$B$5)^(J14-1))</x:f>
        <x:v>2565.117814154341</x:v>
      </x:c>
      <x:c r="L14" s="31" t="n">
        <x:f>IF(E14=0,"",E14*K14)</x:f>
        <x:v>4015337.6509619677</x:v>
      </x:c>
      <x:c r="M14" s="31" t="n">
        <x:f>IF(E14=0,"",I14-L14)</x:f>
        <x:v>289566.5419334755</x:v>
      </x:c>
      <x:c r="N14" s="32" t="n">
        <x:f>IF(L14=0,"",I14/L14)</x:f>
        <x:v>1.0721151163624068</x:v>
      </x:c>
      <x:c r="O14" s="34" t="n">
        <x:f>IF(L14=0,"",M14/L14)</x:f>
        <x:v>0.0721151163624068</x:v>
      </x:c>
    </x:row>
    <x:row r="15" ht="18" customHeight="1">
      <x:c r="A15" s="24" t="str">
        <x:v>Medium benthopelagics (30 - 89 cm)</x:v>
      </x:c>
      <x:c r="B15" s="33" t="n">
        <x:v>13</x:v>
      </x:c>
      <x:c r="C15" s="33" t="n">
        <x:v>13</x:v>
      </x:c>
      <x:c r="D15" s="31" t="n">
        <x:v>3348.7919337123994</x:v>
      </x:c>
      <x:c r="E15" s="31" t="n">
        <x:v>3348.7919337123994</x:v>
      </x:c>
      <x:c r="F15" s="32" t="n">
        <x:v>0</x:v>
      </x:c>
      <x:c r="G15" s="34" t="n">
        <x:v>1</x:v>
      </x:c>
      <x:c r="H15" s="32" t="n">
        <x:f>IF(E15=0,"",I15/E15)</x:f>
        <x:v>525.9109496836882</x:v>
      </x:c>
      <x:c r="I15" s="31" t="n">
        <x:f>IF(C15=0,"",SUMIF('Species'!$G$2:$G$353,A15,'Species'!$U$2:$U$353))</x:f>
        <x:v>1761166.3461517624</x:v>
      </x:c>
      <x:c r="J15" s="32" t="n">
        <x:v>3.5522689763735906</x:v>
      </x:c>
      <x:c r="K15" s="32" t="n">
        <x:f>IF(J15="","",(1/'Metadata'!$B$5)^(J15-1))</x:f>
        <x:v>356.67196660192417</x:v>
      </x:c>
      <x:c r="L15" s="31" t="n">
        <x:f>IF(E15=0,"",E15*K15)</x:f>
        <x:v>1194420.2047378619</x:v>
      </x:c>
      <x:c r="M15" s="31" t="n">
        <x:f>IF(E15=0,"",I15-L15)</x:f>
        <x:v>566746.1414139005</x:v>
      </x:c>
      <x:c r="N15" s="32" t="n">
        <x:f>IF(L15=0,"",I15/L15)</x:f>
        <x:v>1.4744947709070977</x:v>
      </x:c>
      <x:c r="O15" s="34" t="n">
        <x:f>IF(L15=0,"",M15/L15)</x:f>
        <x:v>0.47449477090709774</x:v>
      </x:c>
    </x:row>
    <x:row r="16" ht="18" customHeight="1">
      <x:c r="A16" s="24" t="str">
        <x:v>Medium demersals (30 - 89 cm)</x:v>
      </x:c>
      <x:c r="B16" s="33" t="n">
        <x:v>39</x:v>
      </x:c>
      <x:c r="C16" s="33" t="n">
        <x:v>39</x:v>
      </x:c>
      <x:c r="D16" s="31" t="n">
        <x:v>154378.4932207306</x:v>
      </x:c>
      <x:c r="E16" s="31" t="n">
        <x:v>154378.4932207306</x:v>
      </x:c>
      <x:c r="F16" s="32" t="n">
        <x:v>0</x:v>
      </x:c>
      <x:c r="G16" s="34" t="n">
        <x:v>1</x:v>
      </x:c>
      <x:c r="H16" s="32" t="n">
        <x:f>IF(E16=0,"",I16/E16)</x:f>
        <x:v>483.8161190039864</x:v>
      </x:c>
      <x:c r="I16" s="31" t="n">
        <x:f>IF(C16=0,"",SUMIF('Species'!$G$2:$G$353,A16,'Species'!$U$2:$U$353))</x:f>
        <x:v>74690803.4477371</x:v>
      </x:c>
      <x:c r="J16" s="32" t="n">
        <x:v>3.481285380478453</x:v>
      </x:c>
      <x:c r="K16" s="32" t="n">
        <x:f>IF(J16="","",(1/'Metadata'!$B$5)^(J16-1))</x:f>
        <x:v>302.8903105416567</x:v>
      </x:c>
      <x:c r="L16" s="31" t="n">
        <x:f>IF(E16=0,"",E16*K16)</x:f>
        <x:v>46759749.75258013</x:v>
      </x:c>
      <x:c r="M16" s="31" t="n">
        <x:f>IF(E16=0,"",I16-L16)</x:f>
        <x:v>27931053.69515697</x:v>
      </x:c>
      <x:c r="N16" s="32" t="n">
        <x:f>IF(L16=0,"",I16/L16)</x:f>
        <x:v>1.5973311200968474</x:v>
      </x:c>
      <x:c r="O16" s="34" t="n">
        <x:f>IF(L16=0,"",M16/L16)</x:f>
        <x:v>0.5973311200968473</x:v>
      </x:c>
    </x:row>
    <x:row r="17" ht="18" customHeight="1">
      <x:c r="A17" s="24" t="str">
        <x:v>Medium pelagics (30 - 89 cm)</x:v>
      </x:c>
      <x:c r="B17" s="33" t="n">
        <x:v>24</x:v>
      </x:c>
      <x:c r="C17" s="33" t="n">
        <x:v>24</x:v>
      </x:c>
      <x:c r="D17" s="31" t="n">
        <x:v>113101.07677870241</x:v>
      </x:c>
      <x:c r="E17" s="31" t="n">
        <x:v>113101.07677870241</x:v>
      </x:c>
      <x:c r="F17" s="32" t="n">
        <x:v>0</x:v>
      </x:c>
      <x:c r="G17" s="34" t="n">
        <x:v>1</x:v>
      </x:c>
      <x:c r="H17" s="32" t="n">
        <x:f>IF(E17=0,"",I17/E17)</x:f>
        <x:v>336.2839836250001</x:v>
      </x:c>
      <x:c r="I17" s="31" t="n">
        <x:f>IF(C17=0,"",SUMIF('Species'!$G$2:$G$353,A17,'Species'!$U$2:$U$353))</x:f>
        <x:v>38034080.651419036</x:v>
      </x:c>
      <x:c r="J17" s="32" t="n">
        <x:v>3.3319249201568466</x:v>
      </x:c>
      <x:c r="K17" s="32" t="n">
        <x:f>IF(J17="","",(1/'Metadata'!$B$5)^(J17-1))</x:f>
        <x:v>214.74591941727755</x:v>
      </x:c>
      <x:c r="L17" s="31" t="n">
        <x:f>IF(E17=0,"",E17*K17)</x:f>
        <x:v>24287994.719926547</x:v>
      </x:c>
      <x:c r="M17" s="31" t="n">
        <x:f>IF(E17=0,"",I17-L17)</x:f>
        <x:v>13746085.931492489</x:v>
      </x:c>
      <x:c r="N17" s="32" t="n">
        <x:f>IF(L17=0,"",I17/L17)</x:f>
        <x:v>1.5659621590832618</x:v>
      </x:c>
      <x:c r="O17" s="34" t="n">
        <x:f>IF(L17=0,"",M17/L17)</x:f>
        <x:v>0.5659621590832618</x:v>
      </x:c>
    </x:row>
    <x:row r="18" ht="18" customHeight="1">
      <x:c r="A18" s="24" t="str">
        <x:v>Medium reef assoc. fish (30 - 89 cm)</x:v>
      </x:c>
      <x:c r="B18" s="33" t="n">
        <x:v>50</x:v>
      </x:c>
      <x:c r="C18" s="33" t="n">
        <x:v>50</x:v>
      </x:c>
      <x:c r="D18" s="31" t="n">
        <x:v>15658.615604149798</x:v>
      </x:c>
      <x:c r="E18" s="31" t="n">
        <x:v>15658.615604149798</x:v>
      </x:c>
      <x:c r="F18" s="32" t="n">
        <x:v>0</x:v>
      </x:c>
      <x:c r="G18" s="34" t="n">
        <x:v>1</x:v>
      </x:c>
      <x:c r="H18" s="32" t="n">
        <x:f>IF(E18=0,"",I18/E18)</x:f>
        <x:v>735.2966742360375</x:v>
      </x:c>
      <x:c r="I18" s="31" t="n">
        <x:f>IF(C18=0,"",SUMIF('Species'!$G$2:$G$353,A18,'Species'!$U$2:$U$353))</x:f>
        <x:v>11513727.976871867</x:v>
      </x:c>
      <x:c r="J18" s="32" t="n">
        <x:v>3.7285633791229946</x:v>
      </x:c>
      <x:c r="K18" s="32" t="n">
        <x:f>IF(J18="","",(1/'Metadata'!$B$5)^(J18-1))</x:f>
        <x:v>535.2582614271304</x:v>
      </x:c>
      <x:c r="L18" s="31" t="n">
        <x:f>IF(E18=0,"",E18*K18)</x:f>
        <x:v>8381403.364632956</x:v>
      </x:c>
      <x:c r="M18" s="31" t="n">
        <x:f>IF(E18=0,"",I18-L18)</x:f>
        <x:v>3132324.612238911</x:v>
      </x:c>
      <x:c r="N18" s="32" t="n">
        <x:f>IF(L18=0,"",I18/L18)</x:f>
        <x:v>1.3737231673464607</x:v>
      </x:c>
      <x:c r="O18" s="34" t="n">
        <x:f>IF(L18=0,"",M18/L18)</x:f>
        <x:v>0.3737231673464607</x:v>
      </x:c>
    </x:row>
    <x:row r="19" ht="18" customHeight="1">
      <x:c r="A19" s="24" t="str">
        <x:v>Other demersal invertebrates</x:v>
      </x:c>
      <x:c r="B19" s="33" t="n">
        <x:v>31</x:v>
      </x:c>
      <x:c r="C19" s="33" t="n">
        <x:v>31</x:v>
      </x:c>
      <x:c r="D19" s="31" t="n">
        <x:v>167970.2303086857</x:v>
      </x:c>
      <x:c r="E19" s="31" t="n">
        <x:v>167970.2303086857</x:v>
      </x:c>
      <x:c r="F19" s="32" t="n">
        <x:v>0</x:v>
      </x:c>
      <x:c r="G19" s="34" t="n">
        <x:v>1</x:v>
      </x:c>
      <x:c r="H19" s="32" t="n">
        <x:f>IF(E19=0,"",I19/E19)</x:f>
        <x:v>14.074452265110807</x:v>
      </x:c>
      <x:c r="I19" s="31" t="n">
        <x:f>IF(C19=0,"",SUMIF('Species'!$G$2:$G$353,A19,'Species'!$U$2:$U$353))</x:f>
        <x:v>2364088.9884392656</x:v>
      </x:c>
      <x:c r="J19" s="32" t="n">
        <x:v>2.056069223418153</x:v>
      </x:c>
      <x:c r="K19" s="32" t="n">
        <x:f>IF(J19="","",(1/'Metadata'!$B$5)^(J19-1))</x:f>
        <x:v>11.378086298861614</x:v>
      </x:c>
      <x:c r="L19" s="31" t="n">
        <x:f>IF(E19=0,"",E19*K19)</x:f>
        <x:v>1911179.7760918867</x:v>
      </x:c>
      <x:c r="M19" s="31" t="n">
        <x:f>IF(E19=0,"",I19-L19)</x:f>
        <x:v>452909.21234737895</x:v>
      </x:c>
      <x:c r="N19" s="32" t="n">
        <x:f>IF(L19=0,"",I19/L19)</x:f>
        <x:v>1.2369788640572157</x:v>
      </x:c>
      <x:c r="O19" s="34" t="n">
        <x:f>IF(L19=0,"",M19/L19)</x:f>
        <x:v>0.2369788640572156</x:v>
      </x:c>
    </x:row>
    <x:row r="20" ht="18" customHeight="1">
      <x:c r="A20" s="24" t="str">
        <x:v>Shrimps</x:v>
      </x:c>
      <x:c r="B20" s="33" t="n">
        <x:v>11</x:v>
      </x:c>
      <x:c r="C20" s="33" t="n">
        <x:v>11</x:v>
      </x:c>
      <x:c r="D20" s="31" t="n">
        <x:v>21084.432400527297</x:v>
      </x:c>
      <x:c r="E20" s="31" t="n">
        <x:v>21084.432400527297</x:v>
      </x:c>
      <x:c r="F20" s="32" t="n">
        <x:v>0</x:v>
      </x:c>
      <x:c r="G20" s="34" t="n">
        <x:v>1</x:v>
      </x:c>
      <x:c r="H20" s="32" t="n">
        <x:f>IF(E20=0,"",I20/E20)</x:f>
        <x:v>122.80212219069031</x:v>
      </x:c>
      <x:c r="I20" s="31" t="n">
        <x:f>IF(C20=0,"",SUMIF('Species'!$G$2:$G$353,A20,'Species'!$U$2:$U$353))</x:f>
        <x:v>2589213.043970903</x:v>
      </x:c>
      <x:c r="J20" s="32" t="n">
        <x:v>3.05614149317021</x:v>
      </x:c>
      <x:c r="K20" s="32" t="n">
        <x:f>IF(J20="","",(1/'Metadata'!$B$5)^(J20-1))</x:f>
        <x:v>113.79979852501833</x:v>
      </x:c>
      <x:c r="L20" s="31" t="n">
        <x:f>IF(E20=0,"",E20*K20)</x:f>
        <x:v>2399404.159194375</x:v>
      </x:c>
      <x:c r="M20" s="31" t="n">
        <x:f>IF(E20=0,"",I20-L20)</x:f>
        <x:v>189808.884776528</x:v>
      </x:c>
      <x:c r="N20" s="32" t="n">
        <x:f>IF(L20=0,"",I20/L20)</x:f>
        <x:v>1.0791066749005962</x:v>
      </x:c>
      <x:c r="O20" s="34" t="n">
        <x:f>IF(L20=0,"",M20/L20)</x:f>
        <x:v>0.07910667490059628</x:v>
      </x:c>
    </x:row>
    <x:row r="21" ht="18" customHeight="1">
      <x:c r="A21" s="24" t="str">
        <x:v>Small benthopelagics (&lt;30 cm)</x:v>
      </x:c>
      <x:c r="B21" s="33" t="n">
        <x:v>5</x:v>
      </x:c>
      <x:c r="C21" s="33" t="n">
        <x:v>5</x:v>
      </x:c>
      <x:c r="D21" s="31" t="n">
        <x:v>6143.634161012299</x:v>
      </x:c>
      <x:c r="E21" s="31" t="n">
        <x:v>6143.634161012299</x:v>
      </x:c>
      <x:c r="F21" s="32" t="n">
        <x:v>0</x:v>
      </x:c>
      <x:c r="G21" s="34" t="n">
        <x:v>1</x:v>
      </x:c>
      <x:c r="H21" s="32" t="n">
        <x:f>IF(E21=0,"",I21/E21)</x:f>
        <x:v>812.4140986351667</x:v>
      </x:c>
      <x:c r="I21" s="31" t="n">
        <x:f>IF(C21=0,"",SUMIF('Species'!$G$2:$G$353,A21,'Species'!$U$2:$U$353))</x:f>
        <x:v>4991175.009263026</x:v>
      </x:c>
      <x:c r="J21" s="32" t="n">
        <x:v>3.8964161257011196</x:v>
      </x:c>
      <x:c r="K21" s="32" t="n">
        <x:f>IF(J21="","",(1/'Metadata'!$B$5)^(J21-1))</x:f>
        <x:v>787.800270696131</x:v>
      </x:c>
      <x:c r="L21" s="31" t="n">
        <x:f>IF(E21=0,"",E21*K21)</x:f>
        <x:v>4839956.655103487</x:v>
      </x:c>
      <x:c r="M21" s="31" t="n">
        <x:f>IF(E21=0,"",I21-L21)</x:f>
        <x:v>151218.35415953863</x:v>
      </x:c>
      <x:c r="N21" s="32" t="n">
        <x:f>IF(L21=0,"",I21/L21)</x:f>
        <x:v>1.0312437414083215</x:v>
      </x:c>
      <x:c r="O21" s="34" t="n">
        <x:f>IF(L21=0,"",M21/L21)</x:f>
        <x:v>0.031243741408321625</x:v>
      </x:c>
    </x:row>
    <x:row r="22" ht="18" customHeight="1">
      <x:c r="A22" s="24" t="str">
        <x:v>Small demersals (&lt;30 cm)</x:v>
      </x:c>
      <x:c r="B22" s="33" t="n">
        <x:v>1</x:v>
      </x:c>
      <x:c r="C22" s="33" t="n">
        <x:v>1</x:v>
      </x:c>
      <x:c r="D22" s="31" t="n">
        <x:v>4.1196393723</x:v>
      </x:c>
      <x:c r="E22" s="31" t="n">
        <x:v>4.1196393723</x:v>
      </x:c>
      <x:c r="F22" s="32" t="n">
        <x:v>0</x:v>
      </x:c>
      <x:c r="G22" s="34" t="n">
        <x:v>1</x:v>
      </x:c>
      <x:c r="H22" s="32" t="n">
        <x:f>IF(E22=0,"",I22/E22)</x:f>
        <x:v>3090.295432513592</x:v>
      </x:c>
      <x:c r="I22" s="31" t="n">
        <x:f>IF(C22=0,"",SUMIF('Species'!$G$2:$G$353,A22,'Species'!$U$2:$U$353))</x:f>
        <x:v>12730.902735821852</x:v>
      </x:c>
      <x:c r="J22" s="32" t="n">
        <x:v>4.49</x:v>
      </x:c>
      <x:c r="K22" s="32" t="n">
        <x:f>IF(J22="","",(1/'Metadata'!$B$5)^(J22-1))</x:f>
        <x:v>3090.295432513592</x:v>
      </x:c>
      <x:c r="L22" s="31" t="n">
        <x:f>IF(E22=0,"",E22*K22)</x:f>
        <x:v>12730.902735821852</x:v>
      </x:c>
      <x:c r="M22" s="31" t="n">
        <x:f>IF(E22=0,"",I22-L22)</x:f>
        <x:v>0</x:v>
      </x:c>
      <x:c r="N22" s="32" t="n">
        <x:f>IF(L22=0,"",I22/L22)</x:f>
        <x:v>1</x:v>
      </x:c>
      <x:c r="O22" s="34" t="n">
        <x:f>IF(L22=0,"",M22/L22)</x:f>
        <x:v>0</x:v>
      </x:c>
    </x:row>
    <x:row r="23" ht="18" customHeight="1">
      <x:c r="A23" s="24" t="str">
        <x:v>Small pelagics (&lt;30 cm)</x:v>
      </x:c>
      <x:c r="B23" s="33" t="n">
        <x:v>10</x:v>
      </x:c>
      <x:c r="C23" s="33" t="n">
        <x:v>10</x:v>
      </x:c>
      <x:c r="D23" s="31" t="n">
        <x:v>196937.8219326436</x:v>
      </x:c>
      <x:c r="E23" s="31" t="n">
        <x:v>196937.8219326436</x:v>
      </x:c>
      <x:c r="F23" s="32" t="n">
        <x:v>0</x:v>
      </x:c>
      <x:c r="G23" s="34" t="n">
        <x:v>1</x:v>
      </x:c>
      <x:c r="H23" s="32" t="n">
        <x:f>IF(E23=0,"",I23/E23)</x:f>
        <x:v>155.3881352038648</x:v>
      </x:c>
      <x:c r="I23" s="31" t="n">
        <x:f>IF(C23=0,"",SUMIF('Species'!$G$2:$G$353,A23,'Species'!$U$2:$U$353))</x:f>
        <x:v>30601800.901224274</x:v>
      </x:c>
      <x:c r="J23" s="32" t="n">
        <x:v>3.1647330669807685</x:v>
      </x:c>
      <x:c r="K23" s="32" t="n">
        <x:f>IF(J23="","",(1/'Metadata'!$B$5)^(J23-1))</x:f>
        <x:v>146.12787438723797</x:v>
      </x:c>
      <x:c r="L23" s="31" t="n">
        <x:f>IF(E23=0,"",E23*K23)</x:f>
        <x:v>28778105.30546958</x:v>
      </x:c>
      <x:c r="M23" s="31" t="n">
        <x:f>IF(E23=0,"",I23-L23)</x:f>
        <x:v>1823695.5957546942</x:v>
      </x:c>
      <x:c r="N23" s="32" t="n">
        <x:f>IF(L23=0,"",I23/L23)</x:f>
        <x:v>1.0633709403866862</x:v>
      </x:c>
      <x:c r="O23" s="34" t="n">
        <x:f>IF(L23=0,"",M23/L23)</x:f>
        <x:v>0.06337094038668632</x:v>
      </x:c>
    </x:row>
    <x:row r="24" ht="18" customHeight="1">
      <x:c r="A24" s="24" t="str">
        <x:v>Small reef assoc. fish (&lt;30 cm)</x:v>
      </x:c>
      <x:c r="B24" s="33" t="n">
        <x:v>14</x:v>
      </x:c>
      <x:c r="C24" s="33" t="n">
        <x:v>14</x:v>
      </x:c>
      <x:c r="D24" s="31" t="n">
        <x:v>72.5676172895</x:v>
      </x:c>
      <x:c r="E24" s="31" t="n">
        <x:v>72.5676172895</x:v>
      </x:c>
      <x:c r="F24" s="32" t="n">
        <x:v>0</x:v>
      </x:c>
      <x:c r="G24" s="34" t="n">
        <x:v>1</x:v>
      </x:c>
      <x:c r="H24" s="32" t="n">
        <x:f>IF(E24=0,"",I24/E24)</x:f>
        <x:v>2057.194771031152</x:v>
      </x:c>
      <x:c r="I24" s="31" t="n">
        <x:f>IF(C24=0,"",SUMIF('Species'!$G$2:$G$353,A24,'Species'!$U$2:$U$353))</x:f>
        <x:v>149285.72283414923</x:v>
      </x:c>
      <x:c r="J24" s="32" t="n">
        <x:v>4.259161502150644</x:v>
      </x:c>
      <x:c r="K24" s="32" t="n">
        <x:f>IF(J24="","",(1/'Metadata'!$B$5)^(J24-1))</x:f>
        <x:v>1816.1909285693778</x:v>
      </x:c>
      <x:c r="L24" s="31" t="n">
        <x:f>IF(E24=0,"",E24*K24)</x:f>
        <x:v>131796.64822908424</x:v>
      </x:c>
      <x:c r="M24" s="31" t="n">
        <x:f>IF(E24=0,"",I24-L24)</x:f>
        <x:v>17489.07460506499</x:v>
      </x:c>
      <x:c r="N24" s="32" t="n">
        <x:f>IF(L24=0,"",I24/L24)</x:f>
        <x:v>1.1326974156024523</x:v>
      </x:c>
      <x:c r="O24" s="34" t="n">
        <x:f>IF(L24=0,"",M24/L24)</x:f>
        <x:v>0.1326974156024522</x:v>
      </x:c>
    </x:row>
    <x:row r="25" ht="18" customHeight="1">
      <x:c r="A25" s="24" t="str">
        <x:v>Small to medium flatfishes (&lt;90 cm)</x:v>
      </x:c>
      <x:c r="B25" s="33" t="n">
        <x:v>10</x:v>
      </x:c>
      <x:c r="C25" s="33" t="n">
        <x:v>10</x:v>
      </x:c>
      <x:c r="D25" s="31" t="n">
        <x:v>14410.814789114098</x:v>
      </x:c>
      <x:c r="E25" s="31" t="n">
        <x:v>14410.814789114098</x:v>
      </x:c>
      <x:c r="F25" s="32" t="n">
        <x:v>0</x:v>
      </x:c>
      <x:c r="G25" s="34" t="n">
        <x:v>1</x:v>
      </x:c>
      <x:c r="H25" s="32" t="n">
        <x:f>IF(E25=0,"",I25/E25)</x:f>
        <x:v>2178.2768541966952</x:v>
      </x:c>
      <x:c r="I25" s="31" t="n">
        <x:f>IF(C25=0,"",SUMIF('Species'!$G$2:$G$353,A25,'Species'!$U$2:$U$353))</x:f>
        <x:v>31390744.305242673</x:v>
      </x:c>
      <x:c r="J25" s="32" t="n">
        <x:v>4.220387599626841</x:v>
      </x:c>
      <x:c r="K25" s="32" t="n">
        <x:f>IF(J25="","",(1/'Metadata'!$B$5)^(J25-1))</x:f>
        <x:v>1661.0687185699924</x:v>
      </x:c>
      <x:c r="L25" s="31" t="n">
        <x:f>IF(E25=0,"",E25*K25)</x:f>
        <x:v>23937353.65530325</x:v>
      </x:c>
      <x:c r="M25" s="31" t="n">
        <x:f>IF(E25=0,"",I25-L25)</x:f>
        <x:v>7453390.649939422</x:v>
      </x:c>
      <x:c r="N25" s="32" t="n">
        <x:f>IF(L25=0,"",I25/L25)</x:f>
        <x:v>1.3113707035985636</x:v>
      </x:c>
      <x:c r="O25" s="34" t="n">
        <x:f>IF(L25=0,"",M25/L25)</x:f>
        <x:v>0.3113707035985636</x:v>
      </x:c>
    </x:row>
    <x:row r="26" ht="18" customHeight="1">
      <x:c r="A26" s="24" t="str">
        <x:v>Small to medium rays (&lt;90 cm)</x:v>
      </x:c>
      <x:c r="B26" s="33" t="n">
        <x:v>5</x:v>
      </x:c>
      <x:c r="C26" s="33" t="n">
        <x:v>5</x:v>
      </x:c>
      <x:c r="D26" s="31" t="n">
        <x:v>4204.4642341248</x:v>
      </x:c>
      <x:c r="E26" s="31" t="n">
        <x:v>4204.4642341248</x:v>
      </x:c>
      <x:c r="F26" s="32" t="n">
        <x:v>0</x:v>
      </x:c>
      <x:c r="G26" s="34" t="n">
        <x:v>1</x:v>
      </x:c>
      <x:c r="H26" s="32" t="n">
        <x:f>IF(E26=0,"",I26/E26)</x:f>
        <x:v>407.4031086102661</x:v>
      </x:c>
      <x:c r="I26" s="31" t="n">
        <x:f>IF(C26=0,"",SUMIF('Species'!$G$2:$G$353,A26,'Species'!$U$2:$U$353))</x:f>
        <x:v>1712911.799023125</x:v>
      </x:c>
      <x:c r="J26" s="32" t="n">
        <x:v>3.6097823657256214</x:v>
      </x:c>
      <x:c r="K26" s="32" t="n">
        <x:f>IF(J26="","",(1/'Metadata'!$B$5)^(J26-1))</x:f>
        <x:v>407.1761819570117</x:v>
      </x:c>
      <x:c r="L26" s="31" t="n">
        <x:f>IF(E26=0,"",E26*K26)</x:f>
        <x:v>1711957.6940257475</x:v>
      </x:c>
      <x:c r="M26" s="31" t="n">
        <x:f>IF(E26=0,"",I26-L26)</x:f>
        <x:v>954.1049973776098</x:v>
      </x:c>
      <x:c r="N26" s="32" t="n">
        <x:f>IF(L26=0,"",I26/L26)</x:f>
        <x:v>1.0005573180930272</x:v>
      </x:c>
      <x:c r="O26" s="34" t="n">
        <x:f>IF(L26=0,"",M26/L26)</x:f>
        <x:v>0.0005573180930271635</x:v>
      </x:c>
    </x:row>
  </x:sheetData>
  <x:conditionalFormatting sqref="G2:G26">
    <x:cfRule type="cellIs" dxfId="2" priority="1" operator="lessThan">
      <x:formula>0.9</x:formula>
    </x:cfRule>
  </x:conditionalFormatting>
  <x:conditionalFormatting sqref="O2:O2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1a6a93b5fb445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EEZ_851</x:v>
      </x:c>
      <x:c r="B2" s="24" t="str">
        <x:v>raw_filtered_tonnes</x:v>
      </x:c>
      <x:c r="C2" s="24" t="n">
        <x:v>1002996.0875079746</x:v>
      </x:c>
      <x:c r="D2" s="24" t="str">
        <x:v>tonnes</x:v>
      </x:c>
    </x:row>
    <x:row r="3" ht="18" customHeight="1">
      <x:c r="A3" s="24" t="str">
        <x:v>EEZ_851</x:v>
      </x:c>
      <x:c r="B3" s="24" t="str">
        <x:v>species_catch_tonnes</x:v>
      </x:c>
      <x:c r="C3" s="24" t="n">
        <x:v>1002996.0875079746</x:v>
      </x:c>
      <x:c r="D3" s="24" t="str">
        <x:v>tonnes</x:v>
      </x:c>
    </x:row>
    <x:row r="4" ht="18" customHeight="1">
      <x:c r="A4" s="24" t="str">
        <x:v>EEZ_851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EEZ_851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EEZ_851</x:v>
      </x:c>
      <x:c r="B6" s="24" t="str">
        <x:v>matched_catch_tonnes</x:v>
      </x:c>
      <x:c r="C6" s="24" t="n">
        <x:v>1002996.0875079746</x:v>
      </x:c>
      <x:c r="D6" s="24" t="str">
        <x:v>tonnes</x:v>
      </x:c>
    </x:row>
    <x:row r="7" ht="18" customHeight="1">
      <x:c r="A7" s="24" t="str">
        <x:v>EEZ_851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EEZ_851</x:v>
      </x:c>
      <x:c r="B8" s="24" t="str">
        <x:v>taxa_count</x:v>
      </x:c>
      <x:c r="C8" s="24" t="n">
        <x:v>352</x:v>
      </x:c>
      <x:c r="D8" s="24" t="str">
        <x:v>count</x:v>
      </x:c>
    </x:row>
    <x:row r="9" ht="18" customHeight="1">
      <x:c r="A9" s="24" t="str">
        <x:v>EEZ_851</x:v>
      </x:c>
      <x:c r="B9" s="24" t="str">
        <x:v>matched_taxa_count</x:v>
      </x:c>
      <x:c r="C9" s="24" t="n">
        <x:v>352</x:v>
      </x:c>
      <x:c r="D9" s="24" t="str">
        <x:v>count</x:v>
      </x:c>
    </x:row>
    <x:row r="10" ht="18" customHeight="1">
      <x:c r="A10" s="24" t="str">
        <x:v>EEZ_851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EEZ_851</x:v>
      </x:c>
      <x:c r="B11" s="24" t="str">
        <x:v>species_ppr</x:v>
      </x:c>
      <x:c r="C11" s="24" t="n">
        <x:v>625895294.1062337</x:v>
      </x:c>
      <x:c r="D11" s="24" t="str">
        <x:v>tonnes_primary_production_equivalent</x:v>
      </x:c>
    </x:row>
    <x:row r="12" ht="18" customHeight="1">
      <x:c r="A12" s="24" t="str">
        <x:v>EEZ_851</x:v>
      </x:c>
      <x:c r="B12" s="24" t="str">
        <x:v>commercial_ppr</x:v>
      </x:c>
      <x:c r="C12" s="24" t="n">
        <x:v>625895294.1062338</x:v>
      </x:c>
      <x:c r="D12" s="24" t="str">
        <x:v>tonnes_primary_production_equivalent</x:v>
      </x:c>
    </x:row>
    <x:row r="13" ht="18" customHeight="1">
      <x:c r="A13" s="24" t="str">
        <x:v>EEZ_851</x:v>
      </x:c>
      <x:c r="B13" s="24" t="str">
        <x:v>functional_ppr</x:v>
      </x:c>
      <x:c r="C13" s="24" t="n">
        <x:v>625895294.1062338</x:v>
      </x:c>
      <x:c r="D13" s="24" t="str">
        <x:v>tonnes_primary_production_equivalent</x:v>
      </x:c>
    </x:row>
    <x:row r="14" ht="18" customHeight="1">
      <x:c r="A14" s="24" t="str">
        <x:v>EEZ_851</x:v>
      </x:c>
      <x:c r="B14" s="24" t="str">
        <x:v>commercial_ppr_difference</x:v>
      </x:c>
      <x:c r="C14" s="24" t="n">
        <x:v>1.1920928955078125e-7</x:v>
      </x:c>
      <x:c r="D14" s="24" t="str">
        <x:v>tonnes_primary_production_equivalent</x:v>
      </x:c>
    </x:row>
    <x:row r="15" ht="18" customHeight="1">
      <x:c r="A15" s="24" t="str">
        <x:v>EEZ_851</x:v>
      </x:c>
      <x:c r="B15" s="24" t="str">
        <x:v>functional_ppr_difference</x:v>
      </x:c>
      <x:c r="C15" s="24" t="n">
        <x:v>1.1920928955078125e-7</x:v>
      </x:c>
      <x:c r="D15" s="24" t="str">
        <x:v>tonnes_primary_production_equivalent</x:v>
      </x:c>
    </x:row>
    <x:row r="16" ht="18" customHeight="1">
      <x:c r="A16" s="24" t="str">
        <x:v>EEZ_851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EEZ_851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EEZ_851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EEZ_851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4b5269b1af57427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EEZ_851 - USA (East Coast)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EEZ_851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raw_data/SAU_downloads/EEZ_851-catch.zip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