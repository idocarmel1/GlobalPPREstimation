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1955c036d84e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5cbdf39fe49429c"/>
    <x:sheet xmlns:r="http://schemas.openxmlformats.org/officeDocument/2006/relationships" name="Commercial" sheetId="2" r:id="Rab1e928e840c49d9"/>
    <x:sheet xmlns:r="http://schemas.openxmlformats.org/officeDocument/2006/relationships" name="Functional" sheetId="3" r:id="R5722968bdf084180"/>
    <x:sheet xmlns:r="http://schemas.openxmlformats.org/officeDocument/2006/relationships" name="Missing TL" sheetId="4" r:id="R8647d17864e24f57"/>
    <x:sheet xmlns:r="http://schemas.openxmlformats.org/officeDocument/2006/relationships" name="Validation" sheetId="5" r:id="R88920990969846c3"/>
    <x:sheet xmlns:r="http://schemas.openxmlformats.org/officeDocument/2006/relationships" name="Metadata" sheetId="6" r:id="Rf50e9e2801a749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303fa83df14a0a" /><Relationship Type="http://schemas.openxmlformats.org/officeDocument/2006/relationships/theme" Target="/xl/theme/theme1.xml" Id="Rd3348640a3b647a1" /><Relationship Type="http://schemas.microsoft.com/office/2022/11/relationships/FeaturePropertyBag" Target="/xl/featurePropertyBag/featurePropertyBag.xml" Id="R6966c13295264e35" /><Relationship Type="http://schemas.openxmlformats.org/officeDocument/2006/relationships/sharedStrings" Target="/xl/sharedStrings.xml" Id="R1122b1feaf4c40fb" /><Relationship Type="http://schemas.openxmlformats.org/officeDocument/2006/relationships/worksheet" Target="/xl/worksheets/sheet1.xml" Id="Re5cbdf39fe49429c" /><Relationship Type="http://schemas.openxmlformats.org/officeDocument/2006/relationships/worksheet" Target="/xl/worksheets/sheet2.xml" Id="Rab1e928e840c49d9" /><Relationship Type="http://schemas.openxmlformats.org/officeDocument/2006/relationships/worksheet" Target="/xl/worksheets/sheet3.xml" Id="R5722968bdf084180" /><Relationship Type="http://schemas.openxmlformats.org/officeDocument/2006/relationships/worksheet" Target="/xl/worksheets/sheet4.xml" Id="R8647d17864e24f57" /><Relationship Type="http://schemas.openxmlformats.org/officeDocument/2006/relationships/worksheet" Target="/xl/worksheets/sheet5.xml" Id="R88920990969846c3" /><Relationship Type="http://schemas.openxmlformats.org/officeDocument/2006/relationships/worksheet" Target="/xl/worksheets/sheet6.xml" Id="Rf50e9e2801a749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12SpeciesTable" displayName="EEZ612SpeciesTable" ref="A1:U4" headerRowCount="1" totalsRowCount="0" totalsRowShown="0">
  <x:autoFilter ref="A1:U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12CommercialTable" displayName="EEZ612CommercialTable" ref="A1:E3" headerRowCount="1" totalsRowCount="0" totalsRowShown="0">
  <x:autoFilter ref="A1:E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12FunctionalTable" displayName="EEZ612FunctionalTable" ref="A1:E4" headerRowCount="1" totalsRowCount="0" totalsRowShown="0">
  <x:autoFilter ref="A1:E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12ValidationTable" displayName="EEZ61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235ac5748140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afad1629f5a40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3a8147775504d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717f39a44f42e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EEZ_612</x:v>
      </x:c>
      <x:c r="B2" s="24" t="str">
        <x:v>Pitcairn (UK)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2.6</x:v>
      </x:c>
      <x:c r="J2" s="31" t="n">
        <x:v>2.6</x:v>
      </x:c>
      <x:c r="K2" s="31" t="n">
        <x:v>0</x:v>
      </x:c>
      <x:c r="L2" s="31" t="n">
        <x:v>2.6</x:v>
      </x:c>
      <x:c r="M2" s="31" t="n">
        <x:v>0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495.41978667044407</x:v>
      </x:c>
    </x:row>
    <x:row r="3" ht="18" customHeight="1">
      <x:c r="A3" s="24" t="str">
        <x:v>EEZ_612</x:v>
      </x:c>
      <x:c r="B3" s="24" t="str">
        <x:v>Pitcairn (UK)</x:v>
      </x:c>
      <x:c r="C3" s="24" t="str">
        <x:v>EEZ</x:v>
      </x:c>
      <x:c r="D3" s="30" t="n">
        <x:v>2019</x:v>
      </x:c>
      <x:c r="E3" s="24" t="str">
        <x:v>Miscellaneous aquatic invertebrates</x:v>
      </x:c>
      <x:c r="F3" s="24" t="str">
        <x:v>Aquatic invertebrates</x:v>
      </x:c>
      <x:c r="G3" s="24" t="str">
        <x:v>Other demersal invertebrates</x:v>
      </x:c>
      <x:c r="H3" s="24" t="str">
        <x:v>Other fishes &amp; inverts</x:v>
      </x:c>
      <x:c r="I3" s="31" t="n">
        <x:v>0.2</x:v>
      </x:c>
      <x:c r="J3" s="31" t="n">
        <x:v>0.2</x:v>
      </x:c>
      <x:c r="K3" s="31" t="n">
        <x:v>0</x:v>
      </x:c>
      <x:c r="L3" s="31" t="n">
        <x:v>0.2</x:v>
      </x:c>
      <x:c r="M3" s="31" t="n">
        <x:v>0</x:v>
      </x:c>
      <x:c r="N3" s="24" t="str">
        <x:v>miscellaneous aquatic invertebrates</x:v>
      </x:c>
      <x:c r="O3" s="32" t="n">
        <x:v>2.43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Miscellaneous aquatic invertebrates</x:v>
      </x:c>
      <x:c r="T3" s="32" t="n">
        <x:f>IF(O3="","",(1/'Metadata'!$B$5)^(O3-1))</x:f>
        <x:v>26.915348039269166</x:v>
      </x:c>
      <x:c r="U3" s="31" t="n">
        <x:f>IF(T3="","",I3*T3)</x:f>
        <x:v>5.383069607853834</x:v>
      </x:c>
    </x:row>
    <x:row r="4" ht="18" customHeight="1">
      <x:c r="A4" s="24" t="str">
        <x:v>EEZ_612</x:v>
      </x:c>
      <x:c r="B4" s="24" t="str">
        <x:v>Pitcairn (UK)</x:v>
      </x:c>
      <x:c r="C4" s="24" t="str">
        <x:v>EEZ</x:v>
      </x:c>
      <x:c r="D4" s="30" t="n">
        <x:v>2019</x:v>
      </x:c>
      <x:c r="E4" s="24" t="str">
        <x:v>Thunnus albacares</x:v>
      </x:c>
      <x:c r="F4" s="24" t="str">
        <x:v>Yellowfin tuna</x:v>
      </x:c>
      <x:c r="G4" s="24" t="str">
        <x:v>Large pelagics (&gt;=90 cm)</x:v>
      </x:c>
      <x:c r="H4" s="24" t="str">
        <x:v>Tuna &amp; billfishes</x:v>
      </x:c>
      <x:c r="I4" s="31" t="n">
        <x:v>0.2</x:v>
      </x:c>
      <x:c r="J4" s="31" t="n">
        <x:v>0.2</x:v>
      </x:c>
      <x:c r="K4" s="31" t="n">
        <x:v>0</x:v>
      </x:c>
      <x:c r="L4" s="31" t="n">
        <x:v>0.2</x:v>
      </x:c>
      <x:c r="M4" s="31" t="n">
        <x:v>0</x:v>
      </x:c>
      <x:c r="N4" s="24" t="str">
        <x:v>thunnus albacares</x:v>
      </x:c>
      <x:c r="O4" s="32" t="n">
        <x:v>4.41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albacares</x:v>
      </x:c>
      <x:c r="T4" s="32" t="n">
        <x:f>IF(O4="","",(1/'Metadata'!$B$5)^(O4-1))</x:f>
        <x:v>2570.3957827688646</x:v>
      </x:c>
      <x:c r="U4" s="31" t="n">
        <x:f>IF(T4="","",I4*T4)</x:f>
        <x:v>514.0791565537729</x:v>
      </x:c>
    </x:row>
  </x:sheetData>
  <x:conditionalFormatting sqref="R2:R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7235ac57481401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2.8000000000000003</x:v>
      </x:c>
      <x:c r="C2" s="32" t="n">
        <x:v>3.2192857142857143</x:v>
      </x:c>
      <x:c r="D2" s="32" t="n">
        <x:f>IF(C2="","",(1/'Metadata'!$B$5)^(C2-1))</x:f>
        <x:v>165.68596222163146</x:v>
      </x:c>
      <x:c r="E2" s="31" t="n">
        <x:f>IF(B2=0,"",B2*D2)</x:f>
        <x:v>463.9206942205681</x:v>
      </x:c>
    </x:row>
    <x:row r="3" ht="18" customHeight="1">
      <x:c r="A3" s="24" t="str">
        <x:v>Tuna &amp; billfishes</x:v>
      </x:c>
      <x:c r="B3" s="31" t="n">
        <x:v>0.2</x:v>
      </x:c>
      <x:c r="C3" s="32" t="n">
        <x:v>4.41</x:v>
      </x:c>
      <x:c r="D3" s="32" t="n">
        <x:f>IF(C3="","",(1/'Metadata'!$B$5)^(C3-1))</x:f>
        <x:v>2570.3957827688646</x:v>
      </x:c>
      <x:c r="E3" s="31" t="n">
        <x:f>IF(B3=0,"",B3*D3)</x:f>
        <x:v>514.0791565537729</x:v>
      </x:c>
    </x:row>
  </x:sheetData>
  <x:pageMargins left="0.7" right="0.7" top="0.75" bottom="0.75" header="0.3" footer="0.3"/>
  <x:tableParts count="1">
    <x:tablePart xmlns:r="http://schemas.openxmlformats.org/officeDocument/2006/relationships" r:id="R7afad1629f5a40e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0.2</x:v>
      </x:c>
      <x:c r="C2" s="32" t="n">
        <x:v>4.41</x:v>
      </x:c>
      <x:c r="D2" s="32" t="n">
        <x:f>IF(C2="","",(1/'Metadata'!$B$5)^(C2-1))</x:f>
        <x:v>2570.3957827688646</x:v>
      </x:c>
      <x:c r="E2" s="31" t="n">
        <x:f>IF(B2=0,"",B2*D2)</x:f>
        <x:v>514.0791565537729</x:v>
      </x:c>
    </x:row>
    <x:row r="3" ht="18" customHeight="1">
      <x:c r="A3" s="24" t="str">
        <x:v>Medium demersals (30 - 89 cm)</x:v>
      </x:c>
      <x:c r="B3" s="31" t="n">
        <x:v>2.6</x:v>
      </x:c>
      <x:c r="C3" s="32" t="n">
        <x:v>3.2800000000000002</x:v>
      </x:c>
      <x:c r="D3" s="32" t="n">
        <x:f>IF(C3="","",(1/'Metadata'!$B$5)^(C3-1))</x:f>
        <x:v>190.54607179632484</x:v>
      </x:c>
      <x:c r="E3" s="31" t="n">
        <x:f>IF(B3=0,"",B3*D3)</x:f>
        <x:v>495.4197866704446</x:v>
      </x:c>
    </x:row>
    <x:row r="4" ht="18" customHeight="1">
      <x:c r="A4" s="24" t="str">
        <x:v>Other demersal invertebrates</x:v>
      </x:c>
      <x:c r="B4" s="31" t="n">
        <x:v>0.2</x:v>
      </x:c>
      <x:c r="C4" s="32" t="n">
        <x:v>2.43</x:v>
      </x:c>
      <x:c r="D4" s="32" t="n">
        <x:f>IF(C4="","",(1/'Metadata'!$B$5)^(C4-1))</x:f>
        <x:v>26.915348039269166</x:v>
      </x:c>
      <x:c r="E4" s="31" t="n">
        <x:f>IF(B4=0,"",B4*D4)</x:f>
        <x:v>5.383069607853834</x:v>
      </x:c>
    </x:row>
  </x:sheetData>
  <x:pageMargins left="0.7" right="0.7" top="0.75" bottom="0.75" header="0.3" footer="0.3"/>
  <x:tableParts count="1">
    <x:tablePart xmlns:r="http://schemas.openxmlformats.org/officeDocument/2006/relationships" r:id="Rd3a8147775504d8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EEZ_612</x:v>
      </x:c>
      <x:c r="B2" s="24" t="str">
        <x:v>raw_filtered_tonnes</x:v>
      </x:c>
      <x:c r="C2" s="24" t="n">
        <x:v>3.000000000000001</x:v>
      </x:c>
      <x:c r="D2" s="24" t="str">
        <x:v>tonnes</x:v>
      </x:c>
    </x:row>
    <x:row r="3" ht="18" customHeight="1">
      <x:c r="A3" s="24" t="str">
        <x:v>EEZ_612</x:v>
      </x:c>
      <x:c r="B3" s="24" t="str">
        <x:v>species_catch_tonnes</x:v>
      </x:c>
      <x:c r="C3" s="24" t="n">
        <x:v>3.0000000000000004</x:v>
      </x:c>
      <x:c r="D3" s="24" t="str">
        <x:v>tonnes</x:v>
      </x:c>
    </x:row>
    <x:row r="4" ht="18" customHeight="1">
      <x:c r="A4" s="24" t="str">
        <x:v>EEZ_612</x:v>
      </x:c>
      <x:c r="B4" s="24" t="str">
        <x:v>catch_difference_tonnes</x:v>
      </x:c>
      <x:c r="C4" s="24" t="n">
        <x:v>-4.440892098500626e-16</x:v>
      </x:c>
      <x:c r="D4" s="24" t="str">
        <x:v>tonnes</x:v>
      </x:c>
    </x:row>
    <x:row r="5" ht="18" customHeight="1">
      <x:c r="A5" s="24" t="str">
        <x:v>EEZ_612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EEZ_612</x:v>
      </x:c>
      <x:c r="B6" s="24" t="str">
        <x:v>matched_catch_tonnes</x:v>
      </x:c>
      <x:c r="C6" s="24" t="n">
        <x:v>3.0000000000000004</x:v>
      </x:c>
      <x:c r="D6" s="24" t="str">
        <x:v>tonnes</x:v>
      </x:c>
    </x:row>
    <x:row r="7" ht="18" customHeight="1">
      <x:c r="A7" s="24" t="str">
        <x:v>EEZ_612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EEZ_612</x:v>
      </x:c>
      <x:c r="B8" s="24" t="str">
        <x:v>taxa_count</x:v>
      </x:c>
      <x:c r="C8" s="24" t="n">
        <x:v>3</x:v>
      </x:c>
      <x:c r="D8" s="24" t="str">
        <x:v>count</x:v>
      </x:c>
    </x:row>
    <x:row r="9" ht="18" customHeight="1">
      <x:c r="A9" s="24" t="str">
        <x:v>EEZ_612</x:v>
      </x:c>
      <x:c r="B9" s="24" t="str">
        <x:v>matched_taxa_count</x:v>
      </x:c>
      <x:c r="C9" s="24" t="n">
        <x:v>3</x:v>
      </x:c>
      <x:c r="D9" s="24" t="str">
        <x:v>count</x:v>
      </x:c>
    </x:row>
    <x:row r="10" ht="18" customHeight="1">
      <x:c r="A10" s="24" t="str">
        <x:v>EEZ_612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EEZ_612</x:v>
      </x:c>
      <x:c r="B11" s="24" t="str">
        <x:v>species_ppr</x:v>
      </x:c>
      <x:c r="C11" s="24" t="n">
        <x:v>1014.8820128320708</x:v>
      </x:c>
      <x:c r="D11" s="24" t="str">
        <x:v>tonnes_primary_production_equivalent</x:v>
      </x:c>
    </x:row>
    <x:row r="12" ht="18" customHeight="1">
      <x:c r="A12" s="24" t="str">
        <x:v>EEZ_612</x:v>
      </x:c>
      <x:c r="B12" s="24" t="str">
        <x:v>commercial_ppr</x:v>
      </x:c>
      <x:c r="C12" s="24" t="n">
        <x:v>977.999850774341</x:v>
      </x:c>
      <x:c r="D12" s="24" t="str">
        <x:v>tonnes_primary_production_equivalent</x:v>
      </x:c>
    </x:row>
    <x:row r="13" ht="18" customHeight="1">
      <x:c r="A13" s="24" t="str">
        <x:v>EEZ_612</x:v>
      </x:c>
      <x:c r="B13" s="24" t="str">
        <x:v>functional_ppr</x:v>
      </x:c>
      <x:c r="C13" s="24" t="n">
        <x:v>1014.8820128320714</x:v>
      </x:c>
      <x:c r="D13" s="24" t="str">
        <x:v>tonnes_primary_production_equivalent</x:v>
      </x:c>
    </x:row>
    <x:row r="14" ht="18" customHeight="1">
      <x:c r="A14" s="24" t="str">
        <x:v>EEZ_612</x:v>
      </x:c>
      <x:c r="B14" s="24" t="str">
        <x:v>commercial_ppr_difference</x:v>
      </x:c>
      <x:c r="C14" s="24" t="n">
        <x:v>-36.88216205772983</x:v>
      </x:c>
      <x:c r="D14" s="24" t="str">
        <x:v>tonnes_primary_production_equivalent</x:v>
      </x:c>
    </x:row>
    <x:row r="15" ht="18" customHeight="1">
      <x:c r="A15" s="24" t="str">
        <x:v>EEZ_612</x:v>
      </x:c>
      <x:c r="B15" s="24" t="str">
        <x:v>functional_ppr_difference</x:v>
      </x:c>
      <x:c r="C15" s="24" t="n">
        <x:v>5.684341886080801e-13</x:v>
      </x:c>
      <x:c r="D15" s="24" t="str">
        <x:v>tonnes_primary_production_equivalent</x:v>
      </x:c>
    </x:row>
    <x:row r="16" ht="18" customHeight="1">
      <x:c r="A16" s="24" t="str">
        <x:v>EEZ_612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EEZ_612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9e717f39a44f42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EEZ_612 - Pitcairn (UK)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EEZ_612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raw_data/SAU_downloads/EEZ_612-catch.zip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