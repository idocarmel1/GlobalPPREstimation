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9a0ff5ad140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3d18a86f46a4c2b"/>
    <x:sheet xmlns:r="http://schemas.openxmlformats.org/officeDocument/2006/relationships" name="Commercial" sheetId="2" r:id="R9f622d1e63f740b2"/>
    <x:sheet xmlns:r="http://schemas.openxmlformats.org/officeDocument/2006/relationships" name="Functional" sheetId="3" r:id="R1262d9a2337945b6"/>
    <x:sheet xmlns:r="http://schemas.openxmlformats.org/officeDocument/2006/relationships" name="Missing TL" sheetId="4" r:id="R74d74fc3233048ba"/>
    <x:sheet xmlns:r="http://schemas.openxmlformats.org/officeDocument/2006/relationships" name="Validation" sheetId="5" r:id="R07e02142f84647e3"/>
    <x:sheet xmlns:r="http://schemas.openxmlformats.org/officeDocument/2006/relationships" name="Metadata" sheetId="6" r:id="R839c1905dcae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ee9d181f2448e" /><Relationship Type="http://schemas.openxmlformats.org/officeDocument/2006/relationships/theme" Target="/xl/theme/theme1.xml" Id="R6dcddabf95334f8b" /><Relationship Type="http://schemas.microsoft.com/office/2022/11/relationships/FeaturePropertyBag" Target="/xl/featurePropertyBag/featurePropertyBag.xml" Id="R434468a3c9eb4196" /><Relationship Type="http://schemas.openxmlformats.org/officeDocument/2006/relationships/sharedStrings" Target="/xl/sharedStrings.xml" Id="Rfb5de1c3ec1e47ab" /><Relationship Type="http://schemas.openxmlformats.org/officeDocument/2006/relationships/worksheet" Target="/xl/worksheets/sheet1.xml" Id="R33d18a86f46a4c2b" /><Relationship Type="http://schemas.openxmlformats.org/officeDocument/2006/relationships/worksheet" Target="/xl/worksheets/sheet2.xml" Id="R9f622d1e63f740b2" /><Relationship Type="http://schemas.openxmlformats.org/officeDocument/2006/relationships/worksheet" Target="/xl/worksheets/sheet3.xml" Id="R1262d9a2337945b6" /><Relationship Type="http://schemas.openxmlformats.org/officeDocument/2006/relationships/worksheet" Target="/xl/worksheets/sheet4.xml" Id="R74d74fc3233048ba" /><Relationship Type="http://schemas.openxmlformats.org/officeDocument/2006/relationships/worksheet" Target="/xl/worksheets/sheet5.xml" Id="R07e02142f84647e3" /><Relationship Type="http://schemas.openxmlformats.org/officeDocument/2006/relationships/worksheet" Target="/xl/worksheets/sheet6.xml" Id="R839c1905dcae44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72SpeciesTable" displayName="EEZ972SpeciesTable" ref="A1:U10" headerRowCount="1" totalsRowCount="0" totalsRowShown="0">
  <x:autoFilter ref="A1:U1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72CommercialTable" displayName="EEZ972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72FunctionalTable" displayName="EEZ972FunctionalTable" ref="A1:E5" headerRowCount="1" totalsRowCount="0" totalsRowShown="0">
  <x:autoFilter ref="A1:E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72ValidationTable" displayName="EEZ97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524c9959544d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194318674041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d2c3df5a1e4c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5583c76310431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EEZ_972</x:v>
      </x:c>
      <x:c r="B2" s="24" t="str">
        <x:v>Glorieuse Islands (France)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78.2846025952</x:v>
      </x:c>
      <x:c r="J2" s="31" t="n">
        <x:v>70.783311178</x:v>
      </x:c>
      <x:c r="K2" s="31" t="n">
        <x:v>7.5012914172</x:v>
      </x:c>
      <x:c r="L2" s="31" t="n">
        <x:v>0</x:v>
      </x:c>
      <x:c r="M2" s="31" t="n">
        <x:v>78.2846025952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14916.82350665172</x:v>
      </x:c>
    </x:row>
    <x:row r="3" ht="18" customHeight="1">
      <x:c r="A3" s="24" t="str">
        <x:v>EEZ_972</x:v>
      </x:c>
      <x:c r="B3" s="24" t="str">
        <x:v>Glorieuse Islands (France)</x:v>
      </x:c>
      <x:c r="C3" s="24" t="str">
        <x:v>EEZ</x:v>
      </x:c>
      <x:c r="D3" s="30" t="n">
        <x:v>2019</x:v>
      </x:c>
      <x:c r="E3" s="24" t="str">
        <x:v>Marine groundfishes not identified</x:v>
      </x:c>
      <x:c r="F3" s="24" t="str">
        <x:v>Groundfishes</x:v>
      </x:c>
      <x:c r="G3" s="24" t="str">
        <x:v>Medium demersals (30 - 89 cm)</x:v>
      </x:c>
      <x:c r="H3" s="24" t="str">
        <x:v>Other fishes &amp; inverts</x:v>
      </x:c>
      <x:c r="I3" s="31" t="n">
        <x:v>11.88917254</x:v>
      </x:c>
      <x:c r="J3" s="31" t="n">
        <x:v>11.88917254</x:v>
      </x:c>
      <x:c r="K3" s="31" t="n">
        <x:v>0</x:v>
      </x:c>
      <x:c r="L3" s="31" t="n">
        <x:v>0</x:v>
      </x:c>
      <x:c r="M3" s="31" t="n">
        <x:v>11.88917254</x:v>
      </x:c>
      <x:c r="N3" s="24" t="str">
        <x:v>marine groundfishes not identified</x:v>
      </x:c>
      <x:c r="O3" s="32" t="n">
        <x:v>3.22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groundfishes not identified</x:v>
      </x:c>
      <x:c r="T3" s="32" t="n">
        <x:f>IF(O3="","",(1/'Metadata'!$B$5)^(O3-1))</x:f>
        <x:v>165.95869074375614</x:v>
      </x:c>
      <x:c r="U3" s="31" t="n">
        <x:f>IF(T3="","",I3*T3)</x:f>
        <x:v>1973.1115087650178</x:v>
      </x:c>
    </x:row>
    <x:row r="4" ht="18" customHeight="1">
      <x:c r="A4" s="24" t="str">
        <x:v>EEZ_972</x:v>
      </x:c>
      <x:c r="B4" s="24" t="str">
        <x:v>Glorieuse Islands (France)</x:v>
      </x:c>
      <x:c r="C4" s="24" t="str">
        <x:v>EEZ</x:v>
      </x:c>
      <x:c r="D4" s="30" t="n">
        <x:v>2019</x:v>
      </x:c>
      <x:c r="E4" s="24" t="str">
        <x:v>Scombridae</x:v>
      </x:c>
      <x:c r="F4" s="24" t="str">
        <x:v>Mackerels, tunas, bonitos</x:v>
      </x:c>
      <x:c r="G4" s="24" t="str">
        <x:v>Medium pelagics (30 - 89 cm)</x:v>
      </x:c>
      <x:c r="H4" s="24" t="str">
        <x:v>Perch-likes</x:v>
      </x:c>
      <x:c r="I4" s="31" t="n">
        <x:v>6.6307586711</x:v>
      </x:c>
      <x:c r="J4" s="31" t="n">
        <x:v>6.6307586711</x:v>
      </x:c>
      <x:c r="K4" s="31" t="n">
        <x:v>0</x:v>
      </x:c>
      <x:c r="L4" s="31" t="n">
        <x:v>0</x:v>
      </x:c>
      <x:c r="M4" s="31" t="n">
        <x:v>6.6307586711</x:v>
      </x:c>
      <x:c r="N4" s="24" t="str">
        <x:v>scombridae</x:v>
      </x:c>
      <x:c r="O4" s="32" t="n">
        <x:v>4.26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Scombridae</x:v>
      </x:c>
      <x:c r="T4" s="32" t="n">
        <x:f>IF(O4="","",(1/'Metadata'!$B$5)^(O4-1))</x:f>
        <x:v>1819.7008586099826</x:v>
      </x:c>
      <x:c r="U4" s="31" t="n">
        <x:f>IF(T4="","",I4*T4)</x:f>
        <x:v>12065.997247036257</x:v>
      </x:c>
    </x:row>
    <x:row r="5" ht="18" customHeight="1">
      <x:c r="A5" s="24" t="str">
        <x:v>EEZ_972</x:v>
      </x:c>
      <x:c r="B5" s="24" t="str">
        <x:v>Glorieuse Islands (France)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4.037252399</x:v>
      </x:c>
      <x:c r="J5" s="31" t="n">
        <x:v>4.037252399</x:v>
      </x:c>
      <x:c r="K5" s="31" t="n">
        <x:v>0</x:v>
      </x:c>
      <x:c r="L5" s="31" t="n">
        <x:v>0</x:v>
      </x:c>
      <x:c r="M5" s="31" t="n">
        <x:v>4.037252399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4529.871696352871</x:v>
      </x:c>
    </x:row>
    <x:row r="6" ht="18" customHeight="1">
      <x:c r="A6" s="24" t="str">
        <x:v>EEZ_972</x:v>
      </x:c>
      <x:c r="B6" s="24" t="str">
        <x:v>Glorieuse Islands (France)</x:v>
      </x:c>
      <x:c r="C6" s="24" t="str">
        <x:v>EEZ</x:v>
      </x:c>
      <x:c r="D6" s="30" t="n">
        <x:v>2019</x:v>
      </x:c>
      <x:c r="E6" s="24" t="str">
        <x:v>Elasmobranchii</x:v>
      </x:c>
      <x:c r="F6" s="24" t="str">
        <x:v>Sharks, rays, skates</x:v>
      </x:c>
      <x:c r="G6" s="24" t="str">
        <x:v>Large sharks (&gt;=90 cm)</x:v>
      </x:c>
      <x:c r="H6" s="24" t="str">
        <x:v>Sharks &amp; rays</x:v>
      </x:c>
      <x:c r="I6" s="31" t="n">
        <x:v>1.6673177091</x:v>
      </x:c>
      <x:c r="J6" s="31" t="n">
        <x:v>1.6673177091</x:v>
      </x:c>
      <x:c r="K6" s="31" t="n">
        <x:v>0</x:v>
      </x:c>
      <x:c r="L6" s="31" t="n">
        <x:v>0</x:v>
      </x:c>
      <x:c r="M6" s="31" t="n">
        <x:v>1.6673177091</x:v>
      </x:c>
      <x:c r="N6" s="24" t="str">
        <x:v>elasmobranchii</x:v>
      </x:c>
      <x:c r="O6" s="32" t="n">
        <x:v>4.05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Elasmobranchii</x:v>
      </x:c>
      <x:c r="T6" s="32" t="n">
        <x:f>IF(O6="","",(1/'Metadata'!$B$5)^(O6-1))</x:f>
        <x:v>1122.018454301963</x:v>
      </x:c>
      <x:c r="U6" s="31" t="n">
        <x:f>IF(T6="","",I6*T6)</x:f>
        <x:v>1870.761238794672</x:v>
      </x:c>
    </x:row>
    <x:row r="7" ht="18" customHeight="1">
      <x:c r="A7" s="24" t="str">
        <x:v>EEZ_972</x:v>
      </x:c>
      <x:c r="B7" s="24" t="str">
        <x:v>Glorieuse Islands (France)</x:v>
      </x:c>
      <x:c r="C7" s="24" t="str">
        <x:v>EEZ</x:v>
      </x:c>
      <x:c r="D7" s="30" t="n">
        <x:v>2019</x:v>
      </x:c>
      <x:c r="E7" s="24" t="str">
        <x:v>Thunnus obesus</x:v>
      </x:c>
      <x:c r="F7" s="24" t="str">
        <x:v>Bigeye tuna</x:v>
      </x:c>
      <x:c r="G7" s="24" t="str">
        <x:v>Large pelagics (&gt;=90 cm)</x:v>
      </x:c>
      <x:c r="H7" s="24" t="str">
        <x:v>Tuna &amp; billfishes</x:v>
      </x:c>
      <x:c r="I7" s="31" t="n">
        <x:v>0.0022152593</x:v>
      </x:c>
      <x:c r="J7" s="31" t="n">
        <x:v>0.0022152593</x:v>
      </x:c>
      <x:c r="K7" s="31" t="n">
        <x:v>0</x:v>
      </x:c>
      <x:c r="L7" s="31" t="n">
        <x:v>0.0022152593</x:v>
      </x:c>
      <x:c r="M7" s="31" t="n">
        <x:v>0</x:v>
      </x:c>
      <x:c r="N7" s="24" t="str">
        <x:v>thunnus obesus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obesus</x:v>
      </x:c>
      <x:c r="T7" s="32" t="n">
        <x:f>IF(O7="","",(1/'Metadata'!$B$5)^(O7-1))</x:f>
        <x:v>3090.295432513592</x:v>
      </x:c>
      <x:c r="U7" s="31" t="n">
        <x:f>IF(T7="","",I7*T7)</x:f>
        <x:v>6.845805696623257</x:v>
      </x:c>
    </x:row>
    <x:row r="8" ht="18" customHeight="1">
      <x:c r="A8" s="24" t="str">
        <x:v>EEZ_972</x:v>
      </x:c>
      <x:c r="B8" s="24" t="str">
        <x:v>Glorieuse Islands (France)</x:v>
      </x:c>
      <x:c r="C8" s="24" t="str">
        <x:v>EEZ</x:v>
      </x:c>
      <x:c r="D8" s="30" t="n">
        <x:v>2019</x:v>
      </x:c>
      <x:c r="E8" s="24" t="str">
        <x:v>Thunnus albacares</x:v>
      </x:c>
      <x:c r="F8" s="24" t="str">
        <x:v>Yellowfin tuna</x:v>
      </x:c>
      <x:c r="G8" s="24" t="str">
        <x:v>Large pelagics (&gt;=90 cm)</x:v>
      </x:c>
      <x:c r="H8" s="24" t="str">
        <x:v>Tuna &amp; billfishes</x:v>
      </x:c>
      <x:c r="I8" s="31" t="n">
        <x:v>0.0015865582</x:v>
      </x:c>
      <x:c r="J8" s="31" t="n">
        <x:v>0.0015865582</x:v>
      </x:c>
      <x:c r="K8" s="31" t="n">
        <x:v>0</x:v>
      </x:c>
      <x:c r="L8" s="31" t="n">
        <x:v>0.0015865582</x:v>
      </x:c>
      <x:c r="M8" s="31" t="n">
        <x:v>0</x:v>
      </x:c>
      <x:c r="N8" s="24" t="str">
        <x:v>thunnus albacares</x:v>
      </x:c>
      <x:c r="O8" s="32" t="n">
        <x:v>4.41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albacares</x:v>
      </x:c>
      <x:c r="T8" s="32" t="n">
        <x:f>IF(O8="","",(1/'Metadata'!$B$5)^(O8-1))</x:f>
        <x:v>2570.3957827688646</x:v>
      </x:c>
      <x:c r="U8" s="31" t="n">
        <x:f>IF(T8="","",I8*T8)</x:f>
        <x:v>4.078082506397361</x:v>
      </x:c>
    </x:row>
    <x:row r="9" ht="18" customHeight="1">
      <x:c r="A9" s="24" t="str">
        <x:v>EEZ_972</x:v>
      </x:c>
      <x:c r="B9" s="24" t="str">
        <x:v>Glorieuse Islands (France)</x:v>
      </x:c>
      <x:c r="C9" s="24" t="str">
        <x:v>EEZ</x:v>
      </x:c>
      <x:c r="D9" s="30" t="n">
        <x:v>2019</x:v>
      </x:c>
      <x:c r="E9" s="24" t="str">
        <x:v>Xiphias gladius</x:v>
      </x:c>
      <x:c r="F9" s="24" t="str">
        <x:v>Swordfish</x:v>
      </x:c>
      <x:c r="G9" s="24" t="str">
        <x:v>Large pelagics (&gt;=90 cm)</x:v>
      </x:c>
      <x:c r="H9" s="24" t="str">
        <x:v>Tuna &amp; billfishes</x:v>
      </x:c>
      <x:c r="I9" s="31" t="n">
        <x:v>0.0010677905</x:v>
      </x:c>
      <x:c r="J9" s="31" t="n">
        <x:v>0.0010677905</x:v>
      </x:c>
      <x:c r="K9" s="31" t="n">
        <x:v>0</x:v>
      </x:c>
      <x:c r="L9" s="31" t="n">
        <x:v>0.0010677905</x:v>
      </x:c>
      <x:c r="M9" s="31" t="n">
        <x:v>0</x:v>
      </x:c>
      <x:c r="N9" s="24" t="str">
        <x:v>xiphias gladius</x:v>
      </x:c>
      <x:c r="O9" s="32" t="n">
        <x:v>4.53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Xiphias gladius</x:v>
      </x:c>
      <x:c r="T9" s="32" t="n">
        <x:f>IF(O9="","",(1/'Metadata'!$B$5)^(O9-1))</x:f>
        <x:v>3388.4415613920273</x:v>
      </x:c>
      <x:c r="U9" s="31" t="n">
        <x:f>IF(T9="","",I9*T9)</x:f>
        <x:v>3.618145709059574</x:v>
      </x:c>
    </x:row>
    <x:row r="10" ht="18" customHeight="1">
      <x:c r="A10" s="24" t="str">
        <x:v>EEZ_972</x:v>
      </x:c>
      <x:c r="B10" s="24" t="str">
        <x:v>Glorieuse Islands (France)</x:v>
      </x:c>
      <x:c r="C10" s="24" t="str">
        <x:v>EEZ</x:v>
      </x:c>
      <x:c r="D10" s="30" t="n">
        <x:v>2019</x:v>
      </x:c>
      <x:c r="E10" s="24" t="str">
        <x:v>Istiompax indica</x:v>
      </x:c>
      <x:c r="F10" s="24" t="str">
        <x:v>Black marlin</x:v>
      </x:c>
      <x:c r="G10" s="24" t="str">
        <x:v>Large pelagics (&gt;=90 cm)</x:v>
      </x:c>
      <x:c r="H10" s="24" t="str">
        <x:v>Tuna &amp; billfishes</x:v>
      </x:c>
      <x:c r="I10" s="31" t="n">
        <x:v>0.0002282672</x:v>
      </x:c>
      <x:c r="J10" s="31" t="n">
        <x:v>0.0002282672</x:v>
      </x:c>
      <x:c r="K10" s="31" t="n">
        <x:v>0</x:v>
      </x:c>
      <x:c r="L10" s="31" t="n">
        <x:v>0.0002282672</x:v>
      </x:c>
      <x:c r="M10" s="31" t="n">
        <x:v>0</x:v>
      </x:c>
      <x:c r="N10" s="24" t="str">
        <x:v>istiompax indica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Istiompax indica</x:v>
      </x:c>
      <x:c r="T10" s="32" t="n">
        <x:f>IF(O10="","",(1/'Metadata'!$B$5)^(O10-1))</x:f>
        <x:v>3162.2776601683795</x:v>
      </x:c>
      <x:c r="U10" s="31" t="n">
        <x:f>IF(T10="","",I10*T10)</x:f>
        <x:v>0.7218442671091875</x:v>
      </x:c>
    </x:row>
  </x:sheetData>
  <x:conditionalFormatting sqref="R2:R1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8524c9959544d7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90.1737751352</x:v>
      </x:c>
      <x:c r="C2" s="32" t="n">
        <x:v>3.272089159499749</x:v>
      </x:c>
      <x:c r="D2" s="32" t="n">
        <x:f>IF(C2="","",(1/'Metadata'!$B$5)^(C2-1))</x:f>
        <x:v>187.10662258484038</x:v>
      </x:c>
      <x:c r="E2" s="31" t="n">
        <x:f>IF(B2=0,"",B2*D2)</x:f>
        <x:v>16872.11051127213</x:v>
      </x:c>
    </x:row>
    <x:row r="3" ht="18" customHeight="1">
      <x:c r="A3" s="24" t="str">
        <x:v>Perch-likes</x:v>
      </x:c>
      <x:c r="B3" s="31" t="n">
        <x:v>10.6680110701</x:v>
      </x:c>
      <x:c r="C3" s="32" t="n">
        <x:v>4.180526610047654</x:v>
      </x:c>
      <x:c r="D3" s="32" t="n">
        <x:f>IF(C3="","",(1/'Metadata'!$B$5)^(C3-1))</x:f>
        <x:v>1515.3976521461375</x:v>
      </x:c>
      <x:c r="E3" s="31" t="n">
        <x:f>IF(B3=0,"",B3*D3)</x:f>
        <x:v>16166.278928698544</x:v>
      </x:c>
    </x:row>
    <x:row r="4" ht="18" customHeight="1">
      <x:c r="A4" s="24" t="str">
        <x:v>Sharks &amp; rays</x:v>
      </x:c>
      <x:c r="B4" s="31" t="n">
        <x:v>1.6673177091</x:v>
      </x:c>
      <x:c r="C4" s="32" t="n">
        <x:v>4.05</x:v>
      </x:c>
      <x:c r="D4" s="32" t="n">
        <x:f>IF(C4="","",(1/'Metadata'!$B$5)^(C4-1))</x:f>
        <x:v>1122.018454301963</x:v>
      </x:c>
      <x:c r="E4" s="31" t="n">
        <x:f>IF(B4=0,"",B4*D4)</x:f>
        <x:v>1870.761238794672</x:v>
      </x:c>
    </x:row>
    <x:row r="5" ht="18" customHeight="1">
      <x:c r="A5" s="24" t="str">
        <x:v>Tuna &amp; billfishes</x:v>
      </x:c>
      <x:c r="B5" s="31" t="n">
        <x:v>0.005097875199999999</x:v>
      </x:c>
      <x:c r="C5" s="32" t="n">
        <x:v>4.47392852692824</x:v>
      </x:c>
      <x:c r="D5" s="32" t="n">
        <x:f>IF(C5="","",(1/'Metadata'!$B$5)^(C5-1))</x:f>
        <x:v>2978.0262868856094</x:v>
      </x:c>
      <x:c r="E5" s="31" t="n">
        <x:f>IF(B5=0,"",B5*D5)</x:f>
        <x:v>15.18160635286223</x:v>
      </x:c>
    </x:row>
  </x:sheetData>
  <x:pageMargins left="0.7" right="0.7" top="0.75" bottom="0.75" header="0.3" footer="0.3"/>
  <x:tableParts count="1">
    <x:tablePart xmlns:r="http://schemas.openxmlformats.org/officeDocument/2006/relationships" r:id="Ra9194318674041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0.005097875199999999</x:v>
      </x:c>
      <x:c r="C2" s="32" t="n">
        <x:v>4.47392852692824</x:v>
      </x:c>
      <x:c r="D2" s="32" t="n">
        <x:f>IF(C2="","",(1/'Metadata'!$B$5)^(C2-1))</x:f>
        <x:v>2978.0262868856094</x:v>
      </x:c>
      <x:c r="E2" s="31" t="n">
        <x:f>IF(B2=0,"",B2*D2)</x:f>
        <x:v>15.18160635286223</x:v>
      </x:c>
    </x:row>
    <x:row r="3" ht="18" customHeight="1">
      <x:c r="A3" s="24" t="str">
        <x:v>Large sharks (&gt;=90 cm)</x:v>
      </x:c>
      <x:c r="B3" s="31" t="n">
        <x:v>1.6673177091</x:v>
      </x:c>
      <x:c r="C3" s="32" t="n">
        <x:v>4.05</x:v>
      </x:c>
      <x:c r="D3" s="32" t="n">
        <x:f>IF(C3="","",(1/'Metadata'!$B$5)^(C3-1))</x:f>
        <x:v>1122.018454301963</x:v>
      </x:c>
      <x:c r="E3" s="31" t="n">
        <x:f>IF(B3=0,"",B3*D3)</x:f>
        <x:v>1870.761238794672</x:v>
      </x:c>
    </x:row>
    <x:row r="4" ht="18" customHeight="1">
      <x:c r="A4" s="24" t="str">
        <x:v>Medium demersals (30 - 89 cm)</x:v>
      </x:c>
      <x:c r="B4" s="31" t="n">
        <x:v>90.1737751352</x:v>
      </x:c>
      <x:c r="C4" s="32" t="n">
        <x:v>3.272089159499749</x:v>
      </x:c>
      <x:c r="D4" s="32" t="n">
        <x:f>IF(C4="","",(1/'Metadata'!$B$5)^(C4-1))</x:f>
        <x:v>187.10662258484038</x:v>
      </x:c>
      <x:c r="E4" s="31" t="n">
        <x:f>IF(B4=0,"",B4*D4)</x:f>
        <x:v>16872.11051127213</x:v>
      </x:c>
    </x:row>
    <x:row r="5" ht="18" customHeight="1">
      <x:c r="A5" s="24" t="str">
        <x:v>Medium pelagics (30 - 89 cm)</x:v>
      </x:c>
      <x:c r="B5" s="31" t="n">
        <x:v>10.6680110701</x:v>
      </x:c>
      <x:c r="C5" s="32" t="n">
        <x:v>4.180526610047654</x:v>
      </x:c>
      <x:c r="D5" s="32" t="n">
        <x:f>IF(C5="","",(1/'Metadata'!$B$5)^(C5-1))</x:f>
        <x:v>1515.3976521461375</x:v>
      </x:c>
      <x:c r="E5" s="31" t="n">
        <x:f>IF(B5=0,"",B5*D5)</x:f>
        <x:v>16166.278928698544</x:v>
      </x:c>
    </x:row>
  </x:sheetData>
  <x:pageMargins left="0.7" right="0.7" top="0.75" bottom="0.75" header="0.3" footer="0.3"/>
  <x:tableParts count="1">
    <x:tablePart xmlns:r="http://schemas.openxmlformats.org/officeDocument/2006/relationships" r:id="Re0d2c3df5a1e4cf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EEZ_972</x:v>
      </x:c>
      <x:c r="B2" s="24" t="str">
        <x:v>raw_filtered_tonnes</x:v>
      </x:c>
      <x:c r="C2" s="24" t="n">
        <x:v>102.51420178960001</x:v>
      </x:c>
      <x:c r="D2" s="24" t="str">
        <x:v>tonnes</x:v>
      </x:c>
    </x:row>
    <x:row r="3" ht="18" customHeight="1">
      <x:c r="A3" s="24" t="str">
        <x:v>EEZ_972</x:v>
      </x:c>
      <x:c r="B3" s="24" t="str">
        <x:v>species_catch_tonnes</x:v>
      </x:c>
      <x:c r="C3" s="24" t="n">
        <x:v>102.5142017896</x:v>
      </x:c>
      <x:c r="D3" s="24" t="str">
        <x:v>tonnes</x:v>
      </x:c>
    </x:row>
    <x:row r="4" ht="18" customHeight="1">
      <x:c r="A4" s="24" t="str">
        <x:v>EEZ_972</x:v>
      </x:c>
      <x:c r="B4" s="24" t="str">
        <x:v>catch_difference_tonnes</x:v>
      </x:c>
      <x:c r="C4" s="24" t="n">
        <x:v>-1.4210854715202004e-14</x:v>
      </x:c>
      <x:c r="D4" s="24" t="str">
        <x:v>tonnes</x:v>
      </x:c>
    </x:row>
    <x:row r="5" ht="18" customHeight="1">
      <x:c r="A5" s="24" t="str">
        <x:v>EEZ_972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EEZ_972</x:v>
      </x:c>
      <x:c r="B6" s="24" t="str">
        <x:v>matched_catch_tonnes</x:v>
      </x:c>
      <x:c r="C6" s="24" t="n">
        <x:v>102.5142017896</x:v>
      </x:c>
      <x:c r="D6" s="24" t="str">
        <x:v>tonnes</x:v>
      </x:c>
    </x:row>
    <x:row r="7" ht="18" customHeight="1">
      <x:c r="A7" s="24" t="str">
        <x:v>EEZ_972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EEZ_972</x:v>
      </x:c>
      <x:c r="B8" s="24" t="str">
        <x:v>taxa_count</x:v>
      </x:c>
      <x:c r="C8" s="24" t="n">
        <x:v>9</x:v>
      </x:c>
      <x:c r="D8" s="24" t="str">
        <x:v>count</x:v>
      </x:c>
    </x:row>
    <x:row r="9" ht="18" customHeight="1">
      <x:c r="A9" s="24" t="str">
        <x:v>EEZ_972</x:v>
      </x:c>
      <x:c r="B9" s="24" t="str">
        <x:v>matched_taxa_count</x:v>
      </x:c>
      <x:c r="C9" s="24" t="n">
        <x:v>9</x:v>
      </x:c>
      <x:c r="D9" s="24" t="str">
        <x:v>count</x:v>
      </x:c>
    </x:row>
    <x:row r="10" ht="18" customHeight="1">
      <x:c r="A10" s="24" t="str">
        <x:v>EEZ_972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EEZ_972</x:v>
      </x:c>
      <x:c r="B11" s="24" t="str">
        <x:v>species_ppr</x:v>
      </x:c>
      <x:c r="C11" s="24" t="n">
        <x:v>35371.82907577973</x:v>
      </x:c>
      <x:c r="D11" s="24" t="str">
        <x:v>tonnes_primary_production_equivalent</x:v>
      </x:c>
    </x:row>
    <x:row r="12" ht="18" customHeight="1">
      <x:c r="A12" s="24" t="str">
        <x:v>EEZ_972</x:v>
      </x:c>
      <x:c r="B12" s="24" t="str">
        <x:v>commercial_ppr</x:v>
      </x:c>
      <x:c r="C12" s="24" t="n">
        <x:v>34924.33228511821</x:v>
      </x:c>
      <x:c r="D12" s="24" t="str">
        <x:v>tonnes_primary_production_equivalent</x:v>
      </x:c>
    </x:row>
    <x:row r="13" ht="18" customHeight="1">
      <x:c r="A13" s="24" t="str">
        <x:v>EEZ_972</x:v>
      </x:c>
      <x:c r="B13" s="24" t="str">
        <x:v>functional_ppr</x:v>
      </x:c>
      <x:c r="C13" s="24" t="n">
        <x:v>34924.33228511821</x:v>
      </x:c>
      <x:c r="D13" s="24" t="str">
        <x:v>tonnes_primary_production_equivalent</x:v>
      </x:c>
    </x:row>
    <x:row r="14" ht="18" customHeight="1">
      <x:c r="A14" s="24" t="str">
        <x:v>EEZ_972</x:v>
      </x:c>
      <x:c r="B14" s="24" t="str">
        <x:v>commercial_ppr_difference</x:v>
      </x:c>
      <x:c r="C14" s="24" t="n">
        <x:v>-447.4967906615202</x:v>
      </x:c>
      <x:c r="D14" s="24" t="str">
        <x:v>tonnes_primary_production_equivalent</x:v>
      </x:c>
    </x:row>
    <x:row r="15" ht="18" customHeight="1">
      <x:c r="A15" s="24" t="str">
        <x:v>EEZ_972</x:v>
      </x:c>
      <x:c r="B15" s="24" t="str">
        <x:v>functional_ppr_difference</x:v>
      </x:c>
      <x:c r="C15" s="24" t="n">
        <x:v>-447.4967906615202</x:v>
      </x:c>
      <x:c r="D15" s="24" t="str">
        <x:v>tonnes_primary_production_equivalent</x:v>
      </x:c>
    </x:row>
    <x:row r="16" ht="18" customHeight="1">
      <x:c r="A16" s="24" t="str">
        <x:v>EEZ_972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EEZ_972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a85583c7631043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EEZ_972 - Glorieuse Islands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EEZ_972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raw_data/SAU_downloads/EEZ_972-catch.zip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