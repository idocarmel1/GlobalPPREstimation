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f60f6ea15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6635933c92648c0"/>
    <x:sheet xmlns:r="http://schemas.openxmlformats.org/officeDocument/2006/relationships" name="Commercial" sheetId="2" r:id="R707176e1972c4610"/>
    <x:sheet xmlns:r="http://schemas.openxmlformats.org/officeDocument/2006/relationships" name="Functional" sheetId="3" r:id="R0376920418244691"/>
    <x:sheet xmlns:r="http://schemas.openxmlformats.org/officeDocument/2006/relationships" name="Missing TL" sheetId="4" r:id="Re2ea3e5719f24635"/>
    <x:sheet xmlns:r="http://schemas.openxmlformats.org/officeDocument/2006/relationships" name="Validation" sheetId="5" r:id="R91d179467f1c481e"/>
    <x:sheet xmlns:r="http://schemas.openxmlformats.org/officeDocument/2006/relationships" name="Metadata" sheetId="6" r:id="R6cdb25c94ca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ff6840d564728" /><Relationship Type="http://schemas.openxmlformats.org/officeDocument/2006/relationships/theme" Target="/xl/theme/theme1.xml" Id="Rd27f1288c7e84c8e" /><Relationship Type="http://schemas.microsoft.com/office/2022/11/relationships/FeaturePropertyBag" Target="/xl/featurePropertyBag/featurePropertyBag.xml" Id="R57b89f65b002470d" /><Relationship Type="http://schemas.openxmlformats.org/officeDocument/2006/relationships/sharedStrings" Target="/xl/sharedStrings.xml" Id="Ra47d0c967108427f" /><Relationship Type="http://schemas.openxmlformats.org/officeDocument/2006/relationships/worksheet" Target="/xl/worksheets/sheet1.xml" Id="R96635933c92648c0" /><Relationship Type="http://schemas.openxmlformats.org/officeDocument/2006/relationships/worksheet" Target="/xl/worksheets/sheet2.xml" Id="R707176e1972c4610" /><Relationship Type="http://schemas.openxmlformats.org/officeDocument/2006/relationships/worksheet" Target="/xl/worksheets/sheet3.xml" Id="R0376920418244691" /><Relationship Type="http://schemas.openxmlformats.org/officeDocument/2006/relationships/worksheet" Target="/xl/worksheets/sheet4.xml" Id="Re2ea3e5719f24635" /><Relationship Type="http://schemas.openxmlformats.org/officeDocument/2006/relationships/worksheet" Target="/xl/worksheets/sheet5.xml" Id="R91d179467f1c481e" /><Relationship Type="http://schemas.openxmlformats.org/officeDocument/2006/relationships/worksheet" Target="/xl/worksheets/sheet6.xml" Id="R6cdb25c94ca5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90SpeciesTable" displayName="EEZ090SpeciesTable" ref="A1:U53" headerRowCount="1" totalsRowCount="0" totalsRowShown="0">
  <x:autoFilter ref="A1:U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90CommercialTable" displayName="EEZ09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90FunctionalTable" displayName="EEZ090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90ValidationTable" displayName="EEZ09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aec789079a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e1150fa14c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1ecc94bd3941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ee3dd17d5943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EEZ_090</x:v>
      </x:c>
      <x:c r="B2" s="24" t="str">
        <x:v>Solomon Isl.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40671.624933606</x:v>
      </x:c>
      <x:c r="J2" s="31" t="n">
        <x:v>40432.7165269531</x:v>
      </x:c>
      <x:c r="K2" s="31" t="n">
        <x:v>238.9084066529</x:v>
      </x:c>
      <x:c r="L2" s="31" t="n">
        <x:v>40432.7165269531</x:v>
      </x:c>
      <x:c r="M2" s="31" t="n">
        <x:v>238.9084066529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109469094.0410622</x:v>
      </x:c>
    </x:row>
    <x:row r="3" ht="18" customHeight="1">
      <x:c r="A3" s="24" t="str">
        <x:v>EEZ_090</x:v>
      </x:c>
      <x:c r="B3" s="24" t="str">
        <x:v>Solomon Isl.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40301.9097824626</x:v>
      </x:c>
      <x:c r="J3" s="31" t="n">
        <x:v>40216.1704918659</x:v>
      </x:c>
      <x:c r="K3" s="31" t="n">
        <x:v>85.7392905967</x:v>
      </x:c>
      <x:c r="L3" s="31" t="n">
        <x:v>40216.1704918659</x:v>
      </x:c>
      <x:c r="M3" s="31" t="n">
        <x:v>85.7392905967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103591858.94237311</x:v>
      </x:c>
    </x:row>
    <x:row r="4" ht="18" customHeight="1">
      <x:c r="A4" s="24" t="str">
        <x:v>EEZ_090</x:v>
      </x:c>
      <x:c r="B4" s="24" t="str">
        <x:v>Solomon Isl.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11871.19340382</x:v>
      </x:c>
      <x:c r="J4" s="31" t="n">
        <x:v>11871.19340382</x:v>
      </x:c>
      <x:c r="K4" s="31" t="n">
        <x:v>0</x:v>
      </x:c>
      <x:c r="L4" s="31" t="n">
        <x:v>177.96012052000003</x:v>
      </x:c>
      <x:c r="M4" s="31" t="n">
        <x:v>11693.2332833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12430665.51257344</x:v>
      </x:c>
    </x:row>
    <x:row r="5" ht="18" customHeight="1">
      <x:c r="A5" s="24" t="str">
        <x:v>EEZ_090</x:v>
      </x:c>
      <x:c r="B5" s="24" t="str">
        <x:v>Solomon Isl.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9984.4629921594</x:v>
      </x:c>
      <x:c r="J5" s="31" t="n">
        <x:v>5074.7170067602</x:v>
      </x:c>
      <x:c r="K5" s="31" t="n">
        <x:v>4909.7459853992</x:v>
      </x:c>
      <x:c r="L5" s="31" t="n">
        <x:v>5074.7170067602</x:v>
      </x:c>
      <x:c r="M5" s="31" t="n">
        <x:v>4909.7459853992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22352428.357800525</x:v>
      </x:c>
    </x:row>
    <x:row r="6" ht="18" customHeight="1">
      <x:c r="A6" s="24" t="str">
        <x:v>EEZ_090</x:v>
      </x:c>
      <x:c r="B6" s="24" t="str">
        <x:v>Solomon Isl.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6753.8746334513</x:v>
      </x:c>
      <x:c r="J6" s="31" t="n">
        <x:v>6751.1446572392</x:v>
      </x:c>
      <x:c r="K6" s="31" t="n">
        <x:v>2.7299762121</x:v>
      </x:c>
      <x:c r="L6" s="31" t="n">
        <x:v>6751.1446572392</x:v>
      </x:c>
      <x:c r="M6" s="31" t="n">
        <x:v>2.7299762121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13475751.536149628</x:v>
      </x:c>
    </x:row>
    <x:row r="7" ht="18" customHeight="1">
      <x:c r="A7" s="24" t="str">
        <x:v>EEZ_090</x:v>
      </x:c>
      <x:c r="B7" s="24" t="str">
        <x:v>Solomon Isl.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5291.7050897242</x:v>
      </x:c>
      <x:c r="J7" s="31" t="n">
        <x:v>2195.0049368879</x:v>
      </x:c>
      <x:c r="K7" s="31" t="n">
        <x:v>3096.7001528363</x:v>
      </x:c>
      <x:c r="L7" s="31" t="n">
        <x:v>382.4957664659</x:v>
      </x:c>
      <x:c r="M7" s="31" t="n">
        <x:v>4909.2093232583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1008313.6179515639</x:v>
      </x:c>
    </x:row>
    <x:row r="8" ht="18" customHeight="1">
      <x:c r="A8" s="24" t="str">
        <x:v>EEZ_090</x:v>
      </x:c>
      <x:c r="B8" s="24" t="str">
        <x:v>Solomon Isl.</x:v>
      </x:c>
      <x:c r="C8" s="24" t="str">
        <x:v>EEZ</x:v>
      </x:c>
      <x:c r="D8" s="30" t="n">
        <x:v>2019</x:v>
      </x:c>
      <x:c r="E8" s="24" t="str">
        <x:v>Serranidae</x:v>
      </x:c>
      <x:c r="F8" s="24" t="str">
        <x:v>Basses, groupers, hinds</x:v>
      </x:c>
      <x:c r="G8" s="24" t="str">
        <x:v>Medium reef assoc. fish (30 - 89 cm)</x:v>
      </x:c>
      <x:c r="H8" s="24" t="str">
        <x:v>Perch-likes</x:v>
      </x:c>
      <x:c r="I8" s="31" t="n">
        <x:v>5207.7590221</x:v>
      </x:c>
      <x:c r="J8" s="31" t="n">
        <x:v>5207.7590221</x:v>
      </x:c>
      <x:c r="K8" s="31" t="n">
        <x:v>0</x:v>
      </x:c>
      <x:c r="L8" s="31" t="n">
        <x:v>39.91322875</x:v>
      </x:c>
      <x:c r="M8" s="31" t="n">
        <x:v>5167.845793349999</x:v>
      </x:c>
      <x:c r="N8" s="24" t="str">
        <x:v>serranidae</x:v>
      </x:c>
      <x:c r="O8" s="32" t="n">
        <x:v>3.98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Serranidae</x:v>
      </x:c>
      <x:c r="T8" s="32" t="n">
        <x:f>IF(O8="","",(1/'Metadata'!$B$5)^(O8-1))</x:f>
        <x:v>954.992586021436</x:v>
      </x:c>
      <x:c r="U8" s="31" t="n">
        <x:f>IF(T8="","",I8*T8)</x:f>
        <x:v>4973371.255891743</x:v>
      </x:c>
    </x:row>
    <x:row r="9" ht="18" customHeight="1">
      <x:c r="A9" s="24" t="str">
        <x:v>EEZ_090</x:v>
      </x:c>
      <x:c r="B9" s="24" t="str">
        <x:v>Solomon Isl.</x:v>
      </x:c>
      <x:c r="C9" s="24" t="str">
        <x:v>EEZ</x:v>
      </x:c>
      <x:c r="D9" s="30" t="n">
        <x:v>2019</x:v>
      </x:c>
      <x:c r="E9" s="24" t="str">
        <x:v>Sphyraenidae</x:v>
      </x:c>
      <x:c r="F9" s="24" t="str">
        <x:v>Barracudas</x:v>
      </x:c>
      <x:c r="G9" s="24" t="str">
        <x:v>Medium reef assoc. fish (30 - 89 cm)</x:v>
      </x:c>
      <x:c r="H9" s="24" t="str">
        <x:v>Perch-likes</x:v>
      </x:c>
      <x:c r="I9" s="31" t="n">
        <x:v>3758.66034599</x:v>
      </x:c>
      <x:c r="J9" s="31" t="n">
        <x:v>3758.66034599</x:v>
      </x:c>
      <x:c r="K9" s="31" t="n">
        <x:v>0</x:v>
      </x:c>
      <x:c r="L9" s="31" t="n">
        <x:v>28.81596219</x:v>
      </x:c>
      <x:c r="M9" s="31" t="n">
        <x:v>3729.8443838000003</x:v>
      </x:c>
      <x:c r="N9" s="24" t="str">
        <x:v>sphyraenidae</x:v>
      </x:c>
      <x:c r="O9" s="32" t="n">
        <x:v>4.4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Sphyraenidae</x:v>
      </x:c>
      <x:c r="T9" s="32" t="n">
        <x:f>IF(O9="","",(1/'Metadata'!$B$5)^(O9-1))</x:f>
        <x:v>2511.886431509582</x:v>
      </x:c>
      <x:c r="U9" s="31" t="n">
        <x:f>IF(T9="","",I9*T9)</x:f>
        <x:v>9441327.923745392</x:v>
      </x:c>
    </x:row>
    <x:row r="10" ht="18" customHeight="1">
      <x:c r="A10" s="24" t="str">
        <x:v>EEZ_090</x:v>
      </x:c>
      <x:c r="B10" s="24" t="str">
        <x:v>Solomon Isl.</x:v>
      </x:c>
      <x:c r="C10" s="24" t="str">
        <x:v>EEZ</x:v>
      </x:c>
      <x:c r="D10" s="30" t="n">
        <x:v>2019</x:v>
      </x:c>
      <x:c r="E10" s="24" t="str">
        <x:v>Thunnus obesus</x:v>
      </x:c>
      <x:c r="F10" s="24" t="str">
        <x:v>Bigeye tuna</x:v>
      </x:c>
      <x:c r="G10" s="24" t="str">
        <x:v>Large pelagics (&gt;=90 cm)</x:v>
      </x:c>
      <x:c r="H10" s="24" t="str">
        <x:v>Tuna &amp; billfishes</x:v>
      </x:c>
      <x:c r="I10" s="31" t="n">
        <x:v>3498.3593508528</x:v>
      </x:c>
      <x:c r="J10" s="31" t="n">
        <x:v>3403.8231337005</x:v>
      </x:c>
      <x:c r="K10" s="31" t="n">
        <x:v>94.5362171523</x:v>
      </x:c>
      <x:c r="L10" s="31" t="n">
        <x:v>3403.8231337005</x:v>
      </x:c>
      <x:c r="M10" s="31" t="n">
        <x:v>94.5362171523</x:v>
      </x:c>
      <x:c r="N10" s="24" t="str">
        <x:v>thunnus obesus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obesus</x:v>
      </x:c>
      <x:c r="T10" s="32" t="n">
        <x:f>IF(O10="","",(1/'Metadata'!$B$5)^(O10-1))</x:f>
        <x:v>3090.295432513592</x:v>
      </x:c>
      <x:c r="U10" s="31" t="n">
        <x:f>IF(T10="","",I10*T10)</x:f>
        <x:v>10810963.923231622</x:v>
      </x:c>
    </x:row>
    <x:row r="11" ht="18" customHeight="1">
      <x:c r="A11" s="24" t="str">
        <x:v>EEZ_090</x:v>
      </x:c>
      <x:c r="B11" s="24" t="str">
        <x:v>Solomon Isl.</x:v>
      </x:c>
      <x:c r="C11" s="24" t="str">
        <x:v>EEZ</x:v>
      </x:c>
      <x:c r="D11" s="30" t="n">
        <x:v>2019</x:v>
      </x:c>
      <x:c r="E11" s="24" t="str">
        <x:v>Panulirus</x:v>
      </x:c>
      <x:c r="F11" s="24" t="str">
        <x:v>Spiny lobsters</x:v>
      </x:c>
      <x:c r="G11" s="24" t="str">
        <x:v>Lobsters, crabs</x:v>
      </x:c>
      <x:c r="H11" s="24" t="str">
        <x:v>Crustaceans</x:v>
      </x:c>
      <x:c r="I11" s="31" t="n">
        <x:v>2249.052998111</x:v>
      </x:c>
      <x:c r="J11" s="31" t="n">
        <x:v>2249.052998111</x:v>
      </x:c>
      <x:c r="K11" s="31" t="n">
        <x:v>0</x:v>
      </x:c>
      <x:c r="L11" s="31" t="n">
        <x:v>9.232721711</x:v>
      </x:c>
      <x:c r="M11" s="31" t="n">
        <x:v>2239.8202764</x:v>
      </x:c>
      <x:c r="N11" s="24" t="str">
        <x:v>panulirus</x:v>
      </x:c>
      <x:c r="O11" s="32" t="n">
        <x:v>2.6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Panulirus</x:v>
      </x:c>
      <x:c r="T11" s="32" t="n">
        <x:f>IF(O11="","",(1/'Metadata'!$B$5)^(O11-1))</x:f>
        <x:v>39.810717055349734</x:v>
      </x:c>
      <x:c r="U11" s="31" t="n">
        <x:f>IF(T11="","",I11*T11)</x:f>
        <x:v>89536.41255028303</x:v>
      </x:c>
    </x:row>
    <x:row r="12" ht="18" customHeight="1">
      <x:c r="A12" s="24" t="str">
        <x:v>EEZ_090</x:v>
      </x:c>
      <x:c r="B12" s="24" t="str">
        <x:v>Solomon Isl.</x:v>
      </x:c>
      <x:c r="C12" s="24" t="str">
        <x:v>EEZ</x:v>
      </x:c>
      <x:c r="D12" s="30" t="n">
        <x:v>2019</x:v>
      </x:c>
      <x:c r="E12" s="24" t="str">
        <x:v>Tridacna</x:v>
      </x:c>
      <x:c r="F12" s="24" t="str">
        <x:v>Tridacnid clams</x:v>
      </x:c>
      <x:c r="G12" s="24" t="str">
        <x:v>Other demersal invertebrates</x:v>
      </x:c>
      <x:c r="H12" s="24" t="str">
        <x:v>Molluscs</x:v>
      </x:c>
      <x:c r="I12" s="31" t="n">
        <x:v>2249.052998111</x:v>
      </x:c>
      <x:c r="J12" s="31" t="n">
        <x:v>2249.052998111</x:v>
      </x:c>
      <x:c r="K12" s="31" t="n">
        <x:v>0</x:v>
      </x:c>
      <x:c r="L12" s="31" t="n">
        <x:v>9.232721711</x:v>
      </x:c>
      <x:c r="M12" s="31" t="n">
        <x:v>2239.8202764</x:v>
      </x:c>
      <x:c r="N12" s="24" t="str">
        <x:v>tridacna</x:v>
      </x:c>
      <x:c r="O12" s="32" t="n">
        <x:v>2.12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Tridacna</x:v>
      </x:c>
      <x:c r="T12" s="32" t="n">
        <x:f>IF(O12="","",(1/'Metadata'!$B$5)^(O12-1))</x:f>
        <x:v>13.182567385564074</x:v>
      </x:c>
      <x:c r="U12" s="31" t="n">
        <x:f>IF(T12="","",I12*T12)</x:f>
        <x:v>29648.292701303166</x:v>
      </x:c>
    </x:row>
    <x:row r="13" ht="18" customHeight="1">
      <x:c r="A13" s="24" t="str">
        <x:v>EEZ_090</x:v>
      </x:c>
      <x:c r="B13" s="24" t="str">
        <x:v>Solomon Isl.</x:v>
      </x:c>
      <x:c r="C13" s="24" t="str">
        <x:v>EEZ</x:v>
      </x:c>
      <x:c r="D13" s="30" t="n">
        <x:v>2019</x:v>
      </x:c>
      <x:c r="E13" s="24" t="str">
        <x:v>Decapoda</x:v>
      </x:c>
      <x:c r="F13" s="24" t="str">
        <x:v>Crabs, lobsters, shrimps</x:v>
      </x:c>
      <x:c r="G13" s="24" t="str">
        <x:v>Lobsters, crabs</x:v>
      </x:c>
      <x:c r="H13" s="24" t="str">
        <x:v>Crustaceans</x:v>
      </x:c>
      <x:c r="I13" s="31" t="n">
        <x:v>1909.920946</x:v>
      </x:c>
      <x:c r="J13" s="31" t="n">
        <x:v>1909.920946</x:v>
      </x:c>
      <x:c r="K13" s="31" t="n">
        <x:v>0</x:v>
      </x:c>
      <x:c r="L13" s="31" t="n">
        <x:v>0</x:v>
      </x:c>
      <x:c r="M13" s="31" t="n">
        <x:v>1909.920946</x:v>
      </x:c>
      <x:c r="N13" s="24" t="str">
        <x:v>decapoda</x:v>
      </x:c>
      <x:c r="O13" s="32" t="n">
        <x:v>3.43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Decapoda</x:v>
      </x:c>
      <x:c r="T13" s="32" t="n">
        <x:f>IF(O13="","",(1/'Metadata'!$B$5)^(O13-1))</x:f>
        <x:v>269.1534803926917</x:v>
      </x:c>
      <x:c r="U13" s="31" t="n">
        <x:f>IF(T13="","",I13*T13)</x:f>
        <x:v>514061.86989080213</x:v>
      </x:c>
    </x:row>
    <x:row r="14" ht="18" customHeight="1">
      <x:c r="A14" s="24" t="str">
        <x:v>EEZ_090</x:v>
      </x:c>
      <x:c r="B14" s="24" t="str">
        <x:v>Solomon Isl.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1487.5243802874</x:v>
      </x:c>
      <x:c r="J14" s="31" t="n">
        <x:v>457.40832115390003</x:v>
      </x:c>
      <x:c r="K14" s="31" t="n">
        <x:v>1030.1160591335001</x:v>
      </x:c>
      <x:c r="L14" s="31" t="n">
        <x:v>4.2810283839</x:v>
      </x:c>
      <x:c r="M14" s="31" t="n">
        <x:v>1483.2433519035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2706849.3920122636</x:v>
      </x:c>
    </x:row>
    <x:row r="15" ht="18" customHeight="1">
      <x:c r="A15" s="24" t="str">
        <x:v>EEZ_090</x:v>
      </x:c>
      <x:c r="B15" s="24" t="str">
        <x:v>Solomon Isl.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1061.2509307865</x:v>
      </x:c>
      <x:c r="J15" s="31" t="n">
        <x:v>1038.2139426708</x:v>
      </x:c>
      <x:c r="K15" s="31" t="n">
        <x:v>23.036988115699998</x:v>
      </x:c>
      <x:c r="L15" s="31" t="n">
        <x:v>1038.2139426708</x:v>
      </x:c>
      <x:c r="M15" s="31" t="n">
        <x:v>23.036988115699998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237584.48920770639</x:v>
      </x:c>
    </x:row>
    <x:row r="16" ht="18" customHeight="1">
      <x:c r="A16" s="24" t="str">
        <x:v>EEZ_090</x:v>
      </x:c>
      <x:c r="B16" s="24" t="str">
        <x:v>Solomon Isl.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752.7469209566</x:v>
      </x:c>
      <x:c r="J16" s="31" t="n">
        <x:v>132.0303277817</x:v>
      </x:c>
      <x:c r="K16" s="31" t="n">
        <x:v>620.7165931748999</x:v>
      </x:c>
      <x:c r="L16" s="31" t="n">
        <x:v>132.0303277817</x:v>
      </x:c>
      <x:c r="M16" s="31" t="n">
        <x:v>620.7165931748999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2550638.952179223</x:v>
      </x:c>
    </x:row>
    <x:row r="17" ht="18" customHeight="1">
      <x:c r="A17" s="24" t="str">
        <x:v>EEZ_090</x:v>
      </x:c>
      <x:c r="B17" s="24" t="str">
        <x:v>Solomon Isl.</x:v>
      </x:c>
      <x:c r="C17" s="24" t="str">
        <x:v>EEZ</x:v>
      </x:c>
      <x:c r="D17" s="30" t="n">
        <x:v>2019</x:v>
      </x:c>
      <x:c r="E17" s="24" t="str">
        <x:v>Isurus</x:v>
      </x:c>
      <x:c r="F17" s="24" t="str">
        <x:v>Mako sharks</x:v>
      </x:c>
      <x:c r="G17" s="24" t="str">
        <x:v>Large sharks (&gt;=90 cm)</x:v>
      </x:c>
      <x:c r="H17" s="24" t="str">
        <x:v>Sharks &amp; rays</x:v>
      </x:c>
      <x:c r="I17" s="31" t="n">
        <x:v>734.4509110036</x:v>
      </x:c>
      <x:c r="J17" s="31" t="n">
        <x:v>224.4897331732</x:v>
      </x:c>
      <x:c r="K17" s="31" t="n">
        <x:v>509.9611778304</x:v>
      </x:c>
      <x:c r="L17" s="31" t="n">
        <x:v>224.4897331732</x:v>
      </x:c>
      <x:c r="M17" s="31" t="n">
        <x:v>509.9611778304</x:v>
      </x:c>
      <x:c r="N17" s="24" t="str">
        <x:v>isurus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Isurus</x:v>
      </x:c>
      <x:c r="T17" s="32" t="n">
        <x:f>IF(O17="","",(1/'Metadata'!$B$5)^(O17-1))</x:f>
        <x:v>3162.2776601683795</x:v>
      </x:c>
      <x:c r="U17" s="31" t="n">
        <x:f>IF(T17="","",I17*T17)</x:f>
        <x:v>2322537.708356999</x:v>
      </x:c>
    </x:row>
    <x:row r="18" ht="18" customHeight="1">
      <x:c r="A18" s="24" t="str">
        <x:v>EEZ_090</x:v>
      </x:c>
      <x:c r="B18" s="24" t="str">
        <x:v>Solomon Isl.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704.2776746374</x:v>
      </x:c>
      <x:c r="J18" s="31" t="n">
        <x:v>0</x:v>
      </x:c>
      <x:c r="K18" s="31" t="n">
        <x:v>704.2776746374</x:v>
      </x:c>
      <x:c r="L18" s="31" t="n">
        <x:v>0</x:v>
      </x:c>
      <x:c r="M18" s="31" t="n">
        <x:v>704.2776746374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1650988.0188715023</x:v>
      </x:c>
    </x:row>
    <x:row r="19" ht="18" customHeight="1">
      <x:c r="A19" s="24" t="str">
        <x:v>EEZ_090</x:v>
      </x:c>
      <x:c r="B19" s="24" t="str">
        <x:v>Solomon Isl.</x:v>
      </x:c>
      <x:c r="C19" s="24" t="str">
        <x:v>EEZ</x:v>
      </x:c>
      <x:c r="D19" s="30" t="n">
        <x:v>2019</x:v>
      </x:c>
      <x:c r="E19" s="24" t="str">
        <x:v>Carangidae</x:v>
      </x:c>
      <x:c r="F19" s="24" t="str">
        <x:v>Jacks, pompanos</x:v>
      </x:c>
      <x:c r="G19" s="24" t="str">
        <x:v>Medium pelagics (30 - 89 cm)</x:v>
      </x:c>
      <x:c r="H19" s="24" t="str">
        <x:v>Perch-likes</x:v>
      </x:c>
      <x:c r="I19" s="31" t="n">
        <x:v>660.0722899044</x:v>
      </x:c>
      <x:c r="J19" s="31" t="n">
        <x:v>456.63219446200003</x:v>
      </x:c>
      <x:c r="K19" s="31" t="n">
        <x:v>203.4400954424</x:v>
      </x:c>
      <x:c r="L19" s="31" t="n">
        <x:v>3.504901691</x:v>
      </x:c>
      <x:c r="M19" s="31" t="n">
        <x:v>656.5673882134</x:v>
      </x:c>
      <x:c r="N19" s="24" t="str">
        <x:v>carangidae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Carangidae</x:v>
      </x:c>
      <x:c r="T19" s="32" t="n">
        <x:f>IF(O19="","",(1/'Metadata'!$B$5)^(O19-1))</x:f>
        <x:v>1122.018454301963</x:v>
      </x:c>
      <x:c r="U19" s="31" t="n">
        <x:f>IF(T19="","",I19*T19)</x:f>
        <x:v>740613.290446092</x:v>
      </x:c>
    </x:row>
    <x:row r="20" ht="18" customHeight="1">
      <x:c r="A20" s="24" t="str">
        <x:v>EEZ_090</x:v>
      </x:c>
      <x:c r="B20" s="24" t="str">
        <x:v>Solomon Isl.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598.2532355703</x:v>
      </x:c>
      <x:c r="J20" s="31" t="n">
        <x:v>12.813250166700001</x:v>
      </x:c>
      <x:c r="K20" s="31" t="n">
        <x:v>585.4399854036</x:v>
      </x:c>
      <x:c r="L20" s="31" t="n">
        <x:v>12.813250166700001</x:v>
      </x:c>
      <x:c r="M20" s="31" t="n">
        <x:v>585.4399854036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1935909.5226817566</x:v>
      </x:c>
    </x:row>
    <x:row r="21" ht="18" customHeight="1">
      <x:c r="A21" s="24" t="str">
        <x:v>EEZ_090</x:v>
      </x:c>
      <x:c r="B21" s="24" t="str">
        <x:v>Solomon Isl.</x:v>
      </x:c>
      <x:c r="C21" s="24" t="str">
        <x:v>EEZ</x:v>
      </x:c>
      <x:c r="D21" s="30" t="n">
        <x:v>2019</x:v>
      </x:c>
      <x:c r="E21" s="24" t="str">
        <x:v>Elasmobranchii</x:v>
      </x:c>
      <x:c r="F21" s="24" t="str">
        <x:v>Sharks, rays, skates</x:v>
      </x:c>
      <x:c r="G21" s="24" t="str">
        <x:v>Large sharks (&gt;=90 cm)</x:v>
      </x:c>
      <x:c r="H21" s="24" t="str">
        <x:v>Sharks &amp; rays</x:v>
      </x:c>
      <x:c r="I21" s="31" t="n">
        <x:v>585.8246105239</x:v>
      </x:c>
      <x:c r="J21" s="31" t="n">
        <x:v>4.3145870319999995</x:v>
      </x:c>
      <x:c r="K21" s="31" t="n">
        <x:v>581.5100234919</x:v>
      </x:c>
      <x:c r="L21" s="31" t="n">
        <x:v>0.752844587</x:v>
      </x:c>
      <x:c r="M21" s="31" t="n">
        <x:v>585.0717659369</x:v>
      </x:c>
      <x:c r="N21" s="24" t="str">
        <x:v>elasmobranchii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Elasmobranchii</x:v>
      </x:c>
      <x:c r="T21" s="32" t="n">
        <x:f>IF(O21="","",(1/'Metadata'!$B$5)^(O21-1))</x:f>
        <x:v>1122.018454301963</x:v>
      </x:c>
      <x:c r="U21" s="31" t="n">
        <x:f>IF(T21="","",I21*T21)</x:f>
        <x:v>657306.0239920757</x:v>
      </x:c>
    </x:row>
    <x:row r="22" ht="18" customHeight="1">
      <x:c r="A22" s="24" t="str">
        <x:v>EEZ_090</x:v>
      </x:c>
      <x:c r="B22" s="24" t="str">
        <x:v>Solomon Isl.</x:v>
      </x:c>
      <x:c r="C22" s="24" t="str">
        <x:v>EEZ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391.64000875060003</x:v>
      </x:c>
      <x:c r="J22" s="31" t="n">
        <x:v>344.2249716152</x:v>
      </x:c>
      <x:c r="K22" s="31" t="n">
        <x:v>47.4150371354</x:v>
      </x:c>
      <x:c r="L22" s="31" t="n">
        <x:v>344.2249716152</x:v>
      </x:c>
      <x:c r="M22" s="31" t="n">
        <x:v>47.4150371354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1238474.4505001712</x:v>
      </x:c>
    </x:row>
    <x:row r="23" ht="18" customHeight="1">
      <x:c r="A23" s="24" t="str">
        <x:v>EEZ_090</x:v>
      </x:c>
      <x:c r="B23" s="24" t="str">
        <x:v>Solomon Isl.</x:v>
      </x:c>
      <x:c r="C23" s="24" t="str">
        <x:v>EEZ</x:v>
      </x:c>
      <x:c r="D23" s="30" t="n">
        <x:v>2019</x:v>
      </x:c>
      <x:c r="E23" s="24" t="str">
        <x:v>Thunnus orientalis</x:v>
      </x:c>
      <x:c r="F23" s="24" t="str">
        <x:v>Pacific bluefin tuna</x:v>
      </x:c>
      <x:c r="G23" s="24" t="str">
        <x:v>Large pelagics (&gt;=90 cm)</x:v>
      </x:c>
      <x:c r="H23" s="24" t="str">
        <x:v>Tuna &amp; billfishes</x:v>
      </x:c>
      <x:c r="I23" s="31" t="n">
        <x:v>351.14993756900003</x:v>
      </x:c>
      <x:c r="J23" s="31" t="n">
        <x:v>349.36692447300004</x:v>
      </x:c>
      <x:c r="K23" s="31" t="n">
        <x:v>1.783013096</x:v>
      </x:c>
      <x:c r="L23" s="31" t="n">
        <x:v>349.36692447300004</x:v>
      </x:c>
      <x:c r="M23" s="31" t="n">
        <x:v>1.783013096</x:v>
      </x:c>
      <x:c r="N23" s="24" t="str">
        <x:v>thunnus orientalis</x:v>
      </x:c>
      <x:c r="O23" s="32" t="n">
        <x:v>4.05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orientalis</x:v>
      </x:c>
      <x:c r="T23" s="32" t="n">
        <x:f>IF(O23="","",(1/'Metadata'!$B$5)^(O23-1))</x:f>
        <x:v>1122.018454301963</x:v>
      </x:c>
      <x:c r="U23" s="31" t="n">
        <x:f>IF(T23="","",I23*T23)</x:f>
        <x:v>393996.7101794002</x:v>
      </x:c>
    </x:row>
    <x:row r="24" ht="18" customHeight="1">
      <x:c r="A24" s="24" t="str">
        <x:v>EEZ_090</x:v>
      </x:c>
      <x:c r="B24" s="24" t="str">
        <x:v>Solomon Isl.</x:v>
      </x:c>
      <x:c r="C24" s="24" t="str">
        <x:v>EEZ</x:v>
      </x:c>
      <x:c r="D24" s="30" t="n">
        <x:v>2019</x:v>
      </x:c>
      <x:c r="E24" s="24" t="str">
        <x:v>Birgus latro</x:v>
      </x:c>
      <x:c r="F24" s="24" t="str">
        <x:v>Coconut crab</x:v>
      </x:c>
      <x:c r="G24" s="24" t="str">
        <x:v>Lobsters, crabs</x:v>
      </x:c>
      <x:c r="H24" s="24" t="str">
        <x:v>Crustaceans</x:v>
      </x:c>
      <x:c r="I24" s="31" t="n">
        <x:v>339.132052111</x:v>
      </x:c>
      <x:c r="J24" s="31" t="n">
        <x:v>339.132052111</x:v>
      </x:c>
      <x:c r="K24" s="31" t="n">
        <x:v>0</x:v>
      </x:c>
      <x:c r="L24" s="31" t="n">
        <x:v>9.232721711</x:v>
      </x:c>
      <x:c r="M24" s="31" t="n">
        <x:v>329.8993304</x:v>
      </x:c>
      <x:c r="N24" s="24" t="str">
        <x:v>birgus latro</x:v>
      </x:c>
      <x:c r="O24" s="32" t="n">
        <x:v>2.93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Birgus latro</x:v>
      </x:c>
      <x:c r="T24" s="32" t="n">
        <x:f>IF(O24="","",(1/'Metadata'!$B$5)^(O24-1))</x:f>
        <x:v>85.11380382023768</x:v>
      </x:c>
      <x:c r="U24" s="31" t="n">
        <x:f>IF(T24="","",I24*T24)</x:f>
        <x:v>28864.818952530277</x:v>
      </x:c>
    </x:row>
    <x:row r="25" ht="18" customHeight="1">
      <x:c r="A25" s="24" t="str">
        <x:v>EEZ_090</x:v>
      </x:c>
      <x:c r="B25" s="24" t="str">
        <x:v>Solomon Isl.</x:v>
      </x:c>
      <x:c r="C25" s="24" t="str">
        <x:v>EEZ</x:v>
      </x:c>
      <x:c r="D25" s="30" t="n">
        <x:v>2019</x:v>
      </x:c>
      <x:c r="E25" s="24" t="str">
        <x:v>Istiophoridae</x:v>
      </x:c>
      <x:c r="F25" s="24" t="str">
        <x:v>Billfishes</x:v>
      </x:c>
      <x:c r="G25" s="24" t="str">
        <x:v>Large pelagics (&gt;=90 cm)</x:v>
      </x:c>
      <x:c r="H25" s="24" t="str">
        <x:v>Tuna &amp; billfishes</x:v>
      </x:c>
      <x:c r="I25" s="31" t="n">
        <x:v>234.6593082973</x:v>
      </x:c>
      <x:c r="J25" s="31" t="n">
        <x:v>0</x:v>
      </x:c>
      <x:c r="K25" s="31" t="n">
        <x:v>234.6593082973</x:v>
      </x:c>
      <x:c r="L25" s="31" t="n">
        <x:v>0</x:v>
      </x:c>
      <x:c r="M25" s="31" t="n">
        <x:v>234.6593082973</x:v>
      </x:c>
      <x:c r="N25" s="24" t="str">
        <x:v>istiophoridae</x:v>
      </x:c>
      <x:c r="O25" s="32" t="n">
        <x:v>4.48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Istiophoridae</x:v>
      </x:c>
      <x:c r="T25" s="32" t="n">
        <x:f>IF(O25="","",(1/'Metadata'!$B$5)^(O25-1))</x:f>
        <x:v>3019.951720402019</x:v>
      </x:c>
      <x:c r="U25" s="31" t="n">
        <x:f>IF(T25="","",I25*T25)</x:f>
        <x:v>708659.7818007788</x:v>
      </x:c>
    </x:row>
    <x:row r="26" ht="18" customHeight="1">
      <x:c r="A26" s="24" t="str">
        <x:v>EEZ_090</x:v>
      </x:c>
      <x:c r="B26" s="24" t="str">
        <x:v>Solomon Isl.</x:v>
      </x:c>
      <x:c r="C26" s="24" t="str">
        <x:v>EEZ</x:v>
      </x:c>
      <x:c r="D26" s="30" t="n">
        <x:v>2019</x:v>
      </x:c>
      <x:c r="E26" s="24" t="str">
        <x:v>Carcharhinus longimanus</x:v>
      </x:c>
      <x:c r="F26" s="24" t="str">
        <x:v>Oceanic whitetip shark</x:v>
      </x:c>
      <x:c r="G26" s="24" t="str">
        <x:v>Large sharks (&gt;=90 cm)</x:v>
      </x:c>
      <x:c r="H26" s="24" t="str">
        <x:v>Sharks &amp; rays</x:v>
      </x:c>
      <x:c r="I26" s="31" t="n">
        <x:v>211.1036222411</x:v>
      </x:c>
      <x:c r="J26" s="31" t="n">
        <x:v>23.4474378549</x:v>
      </x:c>
      <x:c r="K26" s="31" t="n">
        <x:v>187.65618438619998</x:v>
      </x:c>
      <x:c r="L26" s="31" t="n">
        <x:v>23.4474378549</x:v>
      </x:c>
      <x:c r="M26" s="31" t="n">
        <x:v>187.65618438619998</x:v>
      </x:c>
      <x:c r="N26" s="24" t="str">
        <x:v>carcharhinus longimanus</x:v>
      </x:c>
      <x:c r="O26" s="32" t="n">
        <x:v>4.16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longimanus</x:v>
      </x:c>
      <x:c r="T26" s="32" t="n">
        <x:f>IF(O26="","",(1/'Metadata'!$B$5)^(O26-1))</x:f>
        <x:v>1445.439770745928</x:v>
      </x:c>
      <x:c r="U26" s="31" t="n">
        <x:f>IF(T26="","",I26*T26)</x:f>
        <x:v>305137.5713358106</x:v>
      </x:c>
    </x:row>
    <x:row r="27" ht="18" customHeight="1">
      <x:c r="A27" s="24" t="str">
        <x:v>EEZ_090</x:v>
      </x:c>
      <x:c r="B27" s="24" t="str">
        <x:v>Solomon Isl.</x:v>
      </x:c>
      <x:c r="C27" s="24" t="str">
        <x:v>EEZ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188.71505076900002</x:v>
      </x:c>
      <x:c r="J27" s="31" t="n">
        <x:v>188.71505076900002</x:v>
      </x:c>
      <x:c r="K27" s="31" t="n">
        <x:v>0</x:v>
      </x:c>
      <x:c r="L27" s="31" t="n">
        <x:v>1.4611700989999998</x:v>
      </x:c>
      <x:c r="M27" s="31" t="n">
        <x:v>187.25388067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73418.67428902861</x:v>
      </x:c>
    </x:row>
    <x:row r="28" ht="18" customHeight="1">
      <x:c r="A28" s="24" t="str">
        <x:v>EEZ_090</x:v>
      </x:c>
      <x:c r="B28" s="24" t="str">
        <x:v>Solomon Isl.</x:v>
      </x:c>
      <x:c r="C28" s="24" t="str">
        <x:v>EEZ</x:v>
      </x:c>
      <x:c r="D28" s="30" t="n">
        <x:v>2019</x:v>
      </x:c>
      <x:c r="E28" s="24" t="str">
        <x:v>Trochus</x:v>
      </x:c>
      <x:c r="F28" s="24" t="str">
        <x:v>Trochus</x:v>
      </x:c>
      <x:c r="G28" s="24" t="str">
        <x:v>Other demersal invertebrates</x:v>
      </x:c>
      <x:c r="H28" s="24" t="str">
        <x:v>Molluscs</x:v>
      </x:c>
      <x:c r="I28" s="31" t="n">
        <x:v>160.6441539</x:v>
      </x:c>
      <x:c r="J28" s="31" t="n">
        <x:v>160.6441539</x:v>
      </x:c>
      <x:c r="K28" s="31" t="n">
        <x:v>0</x:v>
      </x:c>
      <x:c r="L28" s="31" t="n">
        <x:v>0</x:v>
      </x:c>
      <x:c r="M28" s="31" t="n">
        <x:v>160.6441539</x:v>
      </x:c>
      <x:c r="N28" s="24" t="str">
        <x:v>trochus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Trochus</x:v>
      </x:c>
      <x:c r="T28" s="32" t="n">
        <x:f>IF(O28="","",(1/'Metadata'!$B$5)^(O28-1))</x:f>
        <x:v>12.589254117941675</x:v>
      </x:c>
      <x:c r="U28" s="31" t="n">
        <x:f>IF(T28="","",I28*T28)</x:f>
        <x:v>2022.390076008831</x:v>
      </x:c>
    </x:row>
    <x:row r="29" ht="18" customHeight="1">
      <x:c r="A29" s="24" t="str">
        <x:v>EEZ_090</x:v>
      </x:c>
      <x:c r="B29" s="24" t="str">
        <x:v>Solomon Isl.</x:v>
      </x:c>
      <x:c r="C29" s="24" t="str">
        <x:v>EEZ</x:v>
      </x:c>
      <x:c r="D29" s="30" t="n">
        <x:v>2019</x:v>
      </x:c>
      <x:c r="E29" s="24" t="str">
        <x:v>Istiompax indica</x:v>
      </x:c>
      <x:c r="F29" s="24" t="str">
        <x:v>Black marlin</x:v>
      </x:c>
      <x:c r="G29" s="24" t="str">
        <x:v>Large pelagics (&gt;=90 cm)</x:v>
      </x:c>
      <x:c r="H29" s="24" t="str">
        <x:v>Tuna &amp; billfishes</x:v>
      </x:c>
      <x:c r="I29" s="31" t="n">
        <x:v>133.8166267227</x:v>
      </x:c>
      <x:c r="J29" s="31" t="n">
        <x:v>133.8166267227</x:v>
      </x:c>
      <x:c r="K29" s="31" t="n">
        <x:v>0</x:v>
      </x:c>
      <x:c r="L29" s="31" t="n">
        <x:v>133.8166267227</x:v>
      </x:c>
      <x:c r="M29" s="31" t="n">
        <x:v>0</x:v>
      </x:c>
      <x:c r="N29" s="24" t="str">
        <x:v>istiompax indica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Istiompax indica</x:v>
      </x:c>
      <x:c r="T29" s="32" t="n">
        <x:f>IF(O29="","",(1/'Metadata'!$B$5)^(O29-1))</x:f>
        <x:v>3162.2776601683795</x:v>
      </x:c>
      <x:c r="U29" s="31" t="n">
        <x:f>IF(T29="","",I29*T29)</x:f>
        <x:v>423165.3292442852</x:v>
      </x:c>
    </x:row>
    <x:row r="30" ht="18" customHeight="1">
      <x:c r="A30" s="24" t="str">
        <x:v>EEZ_090</x:v>
      </x:c>
      <x:c r="B30" s="24" t="str">
        <x:v>Solomon Isl.</x:v>
      </x:c>
      <x:c r="C30" s="24" t="str">
        <x:v>EEZ</x:v>
      </x:c>
      <x:c r="D30" s="30" t="n">
        <x:v>2019</x:v>
      </x:c>
      <x:c r="E30" s="24" t="str">
        <x:v>Acanthocybium solandri</x:v>
      </x:c>
      <x:c r="F30" s="24" t="str">
        <x:v>Wahoo</x:v>
      </x:c>
      <x:c r="G30" s="24" t="str">
        <x:v>Large pelagics (&gt;=90 cm)</x:v>
      </x:c>
      <x:c r="H30" s="24" t="str">
        <x:v>Perch-likes</x:v>
      </x:c>
      <x:c r="I30" s="31" t="n">
        <x:v>123.0869646902</x:v>
      </x:c>
      <x:c r="J30" s="31" t="n">
        <x:v>0</x:v>
      </x:c>
      <x:c r="K30" s="31" t="n">
        <x:v>123.0869646902</x:v>
      </x:c>
      <x:c r="L30" s="31" t="n">
        <x:v>0</x:v>
      </x:c>
      <x:c r="M30" s="31" t="n">
        <x:v>123.0869646902</x:v>
      </x:c>
      <x:c r="N30" s="24" t="str">
        <x:v>acanthocybium solandri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Acanthocybium solandri</x:v>
      </x:c>
      <x:c r="T30" s="32" t="n">
        <x:f>IF(O30="","",(1/'Metadata'!$B$5)^(O30-1))</x:f>
        <x:v>1819.7008586099826</x:v>
      </x:c>
      <x:c r="U30" s="31" t="n">
        <x:f>IF(T30="","",I30*T30)</x:f>
        <x:v>223981.45533045355</x:v>
      </x:c>
    </x:row>
    <x:row r="31" ht="18" customHeight="1">
      <x:c r="A31" s="24" t="str">
        <x:v>EEZ_090</x:v>
      </x:c>
      <x:c r="B31" s="24" t="str">
        <x:v>Solomon Isl.</x:v>
      </x:c>
      <x:c r="C31" s="24" t="str">
        <x:v>EEZ</x:v>
      </x:c>
      <x:c r="D31" s="30" t="n">
        <x:v>2019</x:v>
      </x:c>
      <x:c r="E31" s="24" t="str">
        <x:v>Holothuriidae</x:v>
      </x:c>
      <x:c r="F31" s="24" t="str">
        <x:v>Fleshy sea cucumbers</x:v>
      </x:c>
      <x:c r="G31" s="24" t="str">
        <x:v>Other demersal invertebrates</x:v>
      </x:c>
      <x:c r="H31" s="24" t="str">
        <x:v>Other fishes &amp; inverts</x:v>
      </x:c>
      <x:c r="I31" s="31" t="n">
        <x:v>100</x:v>
      </x:c>
      <x:c r="J31" s="31" t="n">
        <x:v>100</x:v>
      </x:c>
      <x:c r="K31" s="31" t="n">
        <x:v>0</x:v>
      </x:c>
      <x:c r="L31" s="31" t="n">
        <x:v>100</x:v>
      </x:c>
      <x:c r="M31" s="31" t="n">
        <x:v>0</x:v>
      </x:c>
      <x:c r="N31" s="24" t="str">
        <x:v>holothuriidae</x:v>
      </x:c>
      <x:c r="O31" s="32" t="n">
        <x:v>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Holothuriidae</x:v>
      </x:c>
      <x:c r="T31" s="32" t="n">
        <x:f>IF(O31="","",(1/'Metadata'!$B$5)^(O31-1))</x:f>
        <x:v>10</x:v>
      </x:c>
      <x:c r="U31" s="31" t="n">
        <x:f>IF(T31="","",I31*T31)</x:f>
        <x:v>1000</x:v>
      </x:c>
    </x:row>
    <x:row r="32" ht="18" customHeight="1">
      <x:c r="A32" s="24" t="str">
        <x:v>EEZ_090</x:v>
      </x:c>
      <x:c r="B32" s="24" t="str">
        <x:v>Solomon Isl.</x:v>
      </x:c>
      <x:c r="C32" s="24" t="str">
        <x:v>EEZ</x:v>
      </x:c>
      <x:c r="D32" s="30" t="n">
        <x:v>2019</x:v>
      </x:c>
      <x:c r="E32" s="24" t="str">
        <x:v>Kajikia audax</x:v>
      </x:c>
      <x:c r="F32" s="24" t="str">
        <x:v>Striped marlin</x:v>
      </x:c>
      <x:c r="G32" s="24" t="str">
        <x:v>Large pelagics (&gt;=90 cm)</x:v>
      </x:c>
      <x:c r="H32" s="24" t="str">
        <x:v>Tuna &amp; billfishes</x:v>
      </x:c>
      <x:c r="I32" s="31" t="n">
        <x:v>51.1821317203</x:v>
      </x:c>
      <x:c r="J32" s="31" t="n">
        <x:v>51.1821317203</x:v>
      </x:c>
      <x:c r="K32" s="31" t="n">
        <x:v>0</x:v>
      </x:c>
      <x:c r="L32" s="31" t="n">
        <x:v>51.1821317203</x:v>
      </x:c>
      <x:c r="M32" s="31" t="n">
        <x:v>0</x:v>
      </x:c>
      <x:c r="N32" s="24" t="str">
        <x:v>kajikia audax</x:v>
      </x:c>
      <x:c r="O32" s="32" t="n">
        <x:v>4.58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Kajikia audax</x:v>
      </x:c>
      <x:c r="T32" s="32" t="n">
        <x:f>IF(O32="","",(1/'Metadata'!$B$5)^(O32-1))</x:f>
        <x:v>3801.8939632056126</x:v>
      </x:c>
      <x:c r="U32" s="31" t="n">
        <x:f>IF(T32="","",I32*T32)</x:f>
        <x:v>194589.03761140307</x:v>
      </x:c>
    </x:row>
    <x:row r="33" ht="18" customHeight="1">
      <x:c r="A33" s="24" t="str">
        <x:v>EEZ_090</x:v>
      </x:c>
      <x:c r="B33" s="24" t="str">
        <x:v>Solomon Isl.</x:v>
      </x:c>
      <x:c r="C33" s="24" t="str">
        <x:v>EEZ</x:v>
      </x:c>
      <x:c r="D33" s="30" t="n">
        <x:v>2019</x:v>
      </x:c>
      <x:c r="E33" s="24" t="str">
        <x:v>Sphyrna</x:v>
      </x:c>
      <x:c r="F33" s="24" t="str">
        <x:v>Hammerhead sharks</x:v>
      </x:c>
      <x:c r="G33" s="24" t="str">
        <x:v>Large sharks (&gt;=90 cm)</x:v>
      </x:c>
      <x:c r="H33" s="24" t="str">
        <x:v>Sharks &amp; rays</x:v>
      </x:c>
      <x:c r="I33" s="31" t="n">
        <x:v>27.808383112099996</x:v>
      </x:c>
      <x:c r="J33" s="31" t="n">
        <x:v>27.808383112099996</x:v>
      </x:c>
      <x:c r="K33" s="31" t="n">
        <x:v>0</x:v>
      </x:c>
      <x:c r="L33" s="31" t="n">
        <x:v>27.808383112099996</x:v>
      </x:c>
      <x:c r="M33" s="31" t="n">
        <x:v>0</x:v>
      </x:c>
      <x:c r="N33" s="24" t="str">
        <x:v>sphyrna</x:v>
      </x:c>
      <x:c r="O33" s="32" t="n">
        <x:v>4.2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Sphyrna</x:v>
      </x:c>
      <x:c r="T33" s="32" t="n">
        <x:f>IF(O33="","",(1/'Metadata'!$B$5)^(O33-1))</x:f>
        <x:v>1584.893192461114</x:v>
      </x:c>
      <x:c r="U33" s="31" t="n">
        <x:f>IF(T33="","",I33*T33)</x:f>
        <x:v>44073.31708771789</x:v>
      </x:c>
    </x:row>
    <x:row r="34" ht="18" customHeight="1">
      <x:c r="A34" s="24" t="str">
        <x:v>EEZ_090</x:v>
      </x:c>
      <x:c r="B34" s="24" t="str">
        <x:v>Solomon Isl.</x:v>
      </x:c>
      <x:c r="C34" s="24" t="str">
        <x:v>EEZ</x:v>
      </x:c>
      <x:c r="D34" s="30" t="n">
        <x:v>2019</x:v>
      </x:c>
      <x:c r="E34" s="24" t="str">
        <x:v>Gempylidae</x:v>
      </x:c>
      <x:c r="F34" s="24" t="str">
        <x:v>Snake mackerels</x:v>
      </x:c>
      <x:c r="G34" s="24" t="str">
        <x:v>Large benthopelagics (&gt;=90 cm)</x:v>
      </x:c>
      <x:c r="H34" s="24" t="str">
        <x:v>Perch-likes</x:v>
      </x:c>
      <x:c r="I34" s="31" t="n">
        <x:v>24.836630550000002</x:v>
      </x:c>
      <x:c r="J34" s="31" t="n">
        <x:v>24.836630550000002</x:v>
      </x:c>
      <x:c r="K34" s="31" t="n">
        <x:v>0</x:v>
      </x:c>
      <x:c r="L34" s="31" t="n">
        <x:v>0.153443185</x:v>
      </x:c>
      <x:c r="M34" s="31" t="n">
        <x:v>24.683187365000002</x:v>
      </x:c>
      <x:c r="N34" s="24" t="str">
        <x:v>gempylidae</x:v>
      </x:c>
      <x:c r="O34" s="32" t="n">
        <x:v>4.21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Gempylidae</x:v>
      </x:c>
      <x:c r="T34" s="32" t="n">
        <x:f>IF(O34="","",(1/'Metadata'!$B$5)^(O34-1))</x:f>
        <x:v>1621.8100973589299</x:v>
      </x:c>
      <x:c r="U34" s="31" t="n">
        <x:f>IF(T34="","",I34*T34)</x:f>
        <x:v>40280.298210363275</x:v>
      </x:c>
    </x:row>
    <x:row r="35" ht="18" customHeight="1">
      <x:c r="A35" s="24" t="str">
        <x:v>EEZ_090</x:v>
      </x:c>
      <x:c r="B35" s="24" t="str">
        <x:v>Solomon Isl.</x:v>
      </x:c>
      <x:c r="C35" s="24" t="str">
        <x:v>EEZ</x:v>
      </x:c>
      <x:c r="D35" s="30" t="n">
        <x:v>2019</x:v>
      </x:c>
      <x:c r="E35" s="24" t="str">
        <x:v>Penaeus merguiensis</x:v>
      </x:c>
      <x:c r="F35" s="24" t="str">
        <x:v>Banana prawn</x:v>
      </x:c>
      <x:c r="G35" s="24" t="str">
        <x:v>Shrimps</x:v>
      </x:c>
      <x:c r="H35" s="24" t="str">
        <x:v>Crustaceans</x:v>
      </x:c>
      <x:c r="I35" s="31" t="n">
        <x:v>15</x:v>
      </x:c>
      <x:c r="J35" s="31" t="n">
        <x:v>15</x:v>
      </x:c>
      <x:c r="K35" s="31" t="n">
        <x:v>0</x:v>
      </x:c>
      <x:c r="L35" s="31" t="n">
        <x:v>15</x:v>
      </x:c>
      <x:c r="M35" s="31" t="n">
        <x:v>0</x:v>
      </x:c>
      <x:c r="N35" s="24" t="str">
        <x:v>penaeus merguiensis</x:v>
      </x:c>
      <x:c r="O35" s="32" t="n">
        <x:v>3.77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Penaeus merguiensis</x:v>
      </x:c>
      <x:c r="T35" s="32" t="n">
        <x:f>IF(O35="","",(1/'Metadata'!$B$5)^(O35-1))</x:f>
        <x:v>588.843655355589</x:v>
      </x:c>
      <x:c r="U35" s="31" t="n">
        <x:f>IF(T35="","",I35*T35)</x:f>
        <x:v>8832.654830333835</x:v>
      </x:c>
    </x:row>
    <x:row r="36" ht="18" customHeight="1">
      <x:c r="A36" s="24" t="str">
        <x:v>EEZ_090</x:v>
      </x:c>
      <x:c r="B36" s="24" t="str">
        <x:v>Solomon Isl.</x:v>
      </x:c>
      <x:c r="C36" s="24" t="str">
        <x:v>EEZ</x:v>
      </x:c>
      <x:c r="D36" s="30" t="n">
        <x:v>2019</x:v>
      </x:c>
      <x:c r="E36" s="24" t="str">
        <x:v>Encrasicholina devisi</x:v>
      </x:c>
      <x:c r="F36" s="24" t="str">
        <x:v>Devis' anchovy</x:v>
      </x:c>
      <x:c r="G36" s="24" t="str">
        <x:v>Small pelagics (&lt;30 cm)</x:v>
      </x:c>
      <x:c r="H36" s="24" t="str">
        <x:v>Anchovies</x:v>
      </x:c>
      <x:c r="I36" s="31" t="n">
        <x:v>14.87138933</x:v>
      </x:c>
      <x:c r="J36" s="31" t="n">
        <x:v>14.87138933</x:v>
      </x:c>
      <x:c r="K36" s="31" t="n">
        <x:v>0</x:v>
      </x:c>
      <x:c r="L36" s="31" t="n">
        <x:v>0.3874</x:v>
      </x:c>
      <x:c r="M36" s="31" t="n">
        <x:v>14.48398933</x:v>
      </x:c>
      <x:c r="N36" s="24" t="str">
        <x:v>encrasicholina devisi</x:v>
      </x:c>
      <x:c r="O36" s="32" t="n">
        <x:v>3.31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Encrasicholina devisi</x:v>
      </x:c>
      <x:c r="T36" s="32" t="n">
        <x:f>IF(O36="","",(1/'Metadata'!$B$5)^(O36-1))</x:f>
        <x:v>204.17379446695296</x:v>
      </x:c>
      <x:c r="U36" s="31" t="n">
        <x:f>IF(T36="","",I36*T36)</x:f>
        <x:v>3036.347988501457</x:v>
      </x:c>
    </x:row>
    <x:row r="37" ht="18" customHeight="1">
      <x:c r="A37" s="24" t="str">
        <x:v>EEZ_090</x:v>
      </x:c>
      <x:c r="B37" s="24" t="str">
        <x:v>Solomon Isl.</x:v>
      </x:c>
      <x:c r="C37" s="24" t="str">
        <x:v>EEZ</x:v>
      </x:c>
      <x:c r="D37" s="30" t="n">
        <x:v>2019</x:v>
      </x:c>
      <x:c r="E37" s="24" t="str">
        <x:v>Encrasicholina heteroloba</x:v>
      </x:c>
      <x:c r="F37" s="24" t="str">
        <x:v>Shorthead anchovy</x:v>
      </x:c>
      <x:c r="G37" s="24" t="str">
        <x:v>Small pelagics (&lt;30 cm)</x:v>
      </x:c>
      <x:c r="H37" s="24" t="str">
        <x:v>Anchovies</x:v>
      </x:c>
      <x:c r="I37" s="31" t="n">
        <x:v>14.87138933</x:v>
      </x:c>
      <x:c r="J37" s="31" t="n">
        <x:v>14.87138933</x:v>
      </x:c>
      <x:c r="K37" s="31" t="n">
        <x:v>0</x:v>
      </x:c>
      <x:c r="L37" s="31" t="n">
        <x:v>0.3874</x:v>
      </x:c>
      <x:c r="M37" s="31" t="n">
        <x:v>14.48398933</x:v>
      </x:c>
      <x:c r="N37" s="24" t="str">
        <x:v>encrasicholina heteroloba</x:v>
      </x:c>
      <x:c r="O37" s="32" t="n">
        <x:v>3.27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Encrasicholina heteroloba</x:v>
      </x:c>
      <x:c r="T37" s="32" t="n">
        <x:f>IF(O37="","",(1/'Metadata'!$B$5)^(O37-1))</x:f>
        <x:v>186.20871366628674</x:v>
      </x:c>
      <x:c r="U37" s="31" t="n">
        <x:f>IF(T37="","",I37*T37)</x:f>
        <x:v>2769.1822775698415</x:v>
      </x:c>
    </x:row>
    <x:row r="38" ht="18" customHeight="1">
      <x:c r="A38" s="24" t="str">
        <x:v>EEZ_090</x:v>
      </x:c>
      <x:c r="B38" s="24" t="str">
        <x:v>Solomon Isl.</x:v>
      </x:c>
      <x:c r="C38" s="24" t="str">
        <x:v>EEZ</x:v>
      </x:c>
      <x:c r="D38" s="30" t="n">
        <x:v>2019</x:v>
      </x:c>
      <x:c r="E38" s="24" t="str">
        <x:v>Triaenodon obesus</x:v>
      </x:c>
      <x:c r="F38" s="24" t="str">
        <x:v>Whitetip reef shark</x:v>
      </x:c>
      <x:c r="G38" s="24" t="str">
        <x:v>Large sharks (&gt;=90 cm)</x:v>
      </x:c>
      <x:c r="H38" s="24" t="str">
        <x:v>Sharks &amp; rays</x:v>
      </x:c>
      <x:c r="I38" s="31" t="n">
        <x:v>5.342613667</x:v>
      </x:c>
      <x:c r="J38" s="31" t="n">
        <x:v>5.342613667</x:v>
      </x:c>
      <x:c r="K38" s="31" t="n">
        <x:v>0</x:v>
      </x:c>
      <x:c r="L38" s="31" t="n">
        <x:v>0</x:v>
      </x:c>
      <x:c r="M38" s="31" t="n">
        <x:v>5.342613667</x:v>
      </x:c>
      <x:c r="N38" s="24" t="str">
        <x:v>triaenodon obesus</x:v>
      </x:c>
      <x:c r="O38" s="32" t="n">
        <x:v>4.19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Triaenodon obesus</x:v>
      </x:c>
      <x:c r="T38" s="32" t="n">
        <x:f>IF(O38="","",(1/'Metadata'!$B$5)^(O38-1))</x:f>
        <x:v>1548.8166189124827</x:v>
      </x:c>
      <x:c r="U38" s="31" t="n">
        <x:f>IF(T38="","",I38*T38)</x:f>
        <x:v>8274.72883587856</x:v>
      </x:c>
    </x:row>
    <x:row r="39" ht="18" customHeight="1">
      <x:c r="A39" s="24" t="str">
        <x:v>EEZ_090</x:v>
      </x:c>
      <x:c r="B39" s="24" t="str">
        <x:v>Solomon Isl.</x:v>
      </x:c>
      <x:c r="C39" s="24" t="str">
        <x:v>EEZ</x:v>
      </x:c>
      <x:c r="D39" s="30" t="n">
        <x:v>2019</x:v>
      </x:c>
      <x:c r="E39" s="24" t="str">
        <x:v>Carcharhinus melanopterus</x:v>
      </x:c>
      <x:c r="F39" s="24" t="str">
        <x:v>Blacktip reef shark</x:v>
      </x:c>
      <x:c r="G39" s="24" t="str">
        <x:v>Large sharks (&gt;=90 cm)</x:v>
      </x:c>
      <x:c r="H39" s="24" t="str">
        <x:v>Sharks &amp; rays</x:v>
      </x:c>
      <x:c r="I39" s="31" t="n">
        <x:v>5.342613667</x:v>
      </x:c>
      <x:c r="J39" s="31" t="n">
        <x:v>5.342613667</x:v>
      </x:c>
      <x:c r="K39" s="31" t="n">
        <x:v>0</x:v>
      </x:c>
      <x:c r="L39" s="31" t="n">
        <x:v>0</x:v>
      </x:c>
      <x:c r="M39" s="31" t="n">
        <x:v>5.342613667</x:v>
      </x:c>
      <x:c r="N39" s="24" t="str">
        <x:v>carcharhinus melanopterus</x:v>
      </x:c>
      <x:c r="O39" s="32" t="n">
        <x:v>3.94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Carcharhinus melanopterus</x:v>
      </x:c>
      <x:c r="T39" s="32" t="n">
        <x:f>IF(O39="","",(1/'Metadata'!$B$5)^(O39-1))</x:f>
        <x:v>870.9635899560806</x:v>
      </x:c>
      <x:c r="U39" s="31" t="n">
        <x:f>IF(T39="","",I39*T39)</x:f>
        <x:v>4653.22197915874</x:v>
      </x:c>
    </x:row>
    <x:row r="40" ht="18" customHeight="1">
      <x:c r="A40" s="24" t="str">
        <x:v>EEZ_090</x:v>
      </x:c>
      <x:c r="B40" s="24" t="str">
        <x:v>Solomon Isl.</x:v>
      </x:c>
      <x:c r="C40" s="24" t="str">
        <x:v>EEZ</x:v>
      </x:c>
      <x:c r="D40" s="30" t="n">
        <x:v>2019</x:v>
      </x:c>
      <x:c r="E40" s="24" t="str">
        <x:v>Carcharhinus sorrah</x:v>
      </x:c>
      <x:c r="F40" s="24" t="str">
        <x:v>Spottail shark</x:v>
      </x:c>
      <x:c r="G40" s="24" t="str">
        <x:v>Large sharks (&gt;=90 cm)</x:v>
      </x:c>
      <x:c r="H40" s="24" t="str">
        <x:v>Sharks &amp; rays</x:v>
      </x:c>
      <x:c r="I40" s="31" t="n">
        <x:v>5.342613667</x:v>
      </x:c>
      <x:c r="J40" s="31" t="n">
        <x:v>5.342613667</x:v>
      </x:c>
      <x:c r="K40" s="31" t="n">
        <x:v>0</x:v>
      </x:c>
      <x:c r="L40" s="31" t="n">
        <x:v>0</x:v>
      </x:c>
      <x:c r="M40" s="31" t="n">
        <x:v>5.342613667</x:v>
      </x:c>
      <x:c r="N40" s="24" t="str">
        <x:v>carcharhinus sorrah</x:v>
      </x:c>
      <x:c r="O40" s="32" t="n">
        <x:v>4.15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sorrah</x:v>
      </x:c>
      <x:c r="T40" s="32" t="n">
        <x:f>IF(O40="","",(1/'Metadata'!$B$5)^(O40-1))</x:f>
        <x:v>1412.5375446227554</x:v>
      </x:c>
      <x:c r="U40" s="31" t="n">
        <x:f>IF(T40="","",I40*T40)</x:f>
        <x:v>7546.642391052155</x:v>
      </x:c>
    </x:row>
    <x:row r="41" ht="18" customHeight="1">
      <x:c r="A41" s="24" t="str">
        <x:v>EEZ_090</x:v>
      </x:c>
      <x:c r="B41" s="24" t="str">
        <x:v>Solomon Isl.</x:v>
      </x:c>
      <x:c r="C41" s="24" t="str">
        <x:v>EEZ</x:v>
      </x:c>
      <x:c r="D41" s="30" t="n">
        <x:v>2019</x:v>
      </x:c>
      <x:c r="E41" s="24" t="str">
        <x:v>Carcharhinus amblyrhynchos</x:v>
      </x:c>
      <x:c r="F41" s="24" t="str">
        <x:v>Blacktail reef shark</x:v>
      </x:c>
      <x:c r="G41" s="24" t="str">
        <x:v>Large sharks (&gt;=90 cm)</x:v>
      </x:c>
      <x:c r="H41" s="24" t="str">
        <x:v>Sharks &amp; rays</x:v>
      </x:c>
      <x:c r="I41" s="31" t="n">
        <x:v>5.342613667</x:v>
      </x:c>
      <x:c r="J41" s="31" t="n">
        <x:v>5.342613667</x:v>
      </x:c>
      <x:c r="K41" s="31" t="n">
        <x:v>0</x:v>
      </x:c>
      <x:c r="L41" s="31" t="n">
        <x:v>0</x:v>
      </x:c>
      <x:c r="M41" s="31" t="n">
        <x:v>5.342613667</x:v>
      </x:c>
      <x:c r="N41" s="24" t="str">
        <x:v>carcharhinus amblyrhynchos</x:v>
      </x:c>
      <x:c r="O41" s="32" t="n">
        <x:v>4.11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Carcharhinus amblyrhynchos</x:v>
      </x:c>
      <x:c r="T41" s="32" t="n">
        <x:f>IF(O41="","",(1/'Metadata'!$B$5)^(O41-1))</x:f>
        <x:v>1288.249551693135</x:v>
      </x:c>
      <x:c r="U41" s="31" t="n">
        <x:f>IF(T41="","",I41*T41)</x:f>
        <x:v>6882.619661382366</x:v>
      </x:c>
    </x:row>
    <x:row r="42" ht="18" customHeight="1">
      <x:c r="A42" s="24" t="str">
        <x:v>EEZ_090</x:v>
      </x:c>
      <x:c r="B42" s="24" t="str">
        <x:v>Solomon Isl.</x:v>
      </x:c>
      <x:c r="C42" s="24" t="str">
        <x:v>EEZ</x:v>
      </x:c>
      <x:c r="D42" s="30" t="n">
        <x:v>2019</x:v>
      </x:c>
      <x:c r="E42" s="24" t="str">
        <x:v>Bivalvia</x:v>
      </x:c>
      <x:c r="F42" s="24" t="str">
        <x:v>Clams</x:v>
      </x:c>
      <x:c r="G42" s="24" t="str">
        <x:v>Other demersal invertebrates</x:v>
      </x:c>
      <x:c r="H42" s="24" t="str">
        <x:v>Molluscs</x:v>
      </x:c>
      <x:c r="I42" s="31" t="n">
        <x:v>5</x:v>
      </x:c>
      <x:c r="J42" s="31" t="n">
        <x:v>5</x:v>
      </x:c>
      <x:c r="K42" s="31" t="n">
        <x:v>0</x:v>
      </x:c>
      <x:c r="L42" s="31" t="n">
        <x:v>5</x:v>
      </x:c>
      <x:c r="M42" s="31" t="n">
        <x:v>0</x:v>
      </x:c>
      <x:c r="N42" s="24" t="str">
        <x:v>bivalvia</x:v>
      </x:c>
      <x:c r="O42" s="32" t="n">
        <x:v>2.23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Bivalvia</x:v>
      </x:c>
      <x:c r="T42" s="32" t="n">
        <x:f>IF(O42="","",(1/'Metadata'!$B$5)^(O42-1))</x:f>
        <x:v>16.982436524617444</x:v>
      </x:c>
      <x:c r="U42" s="31" t="n">
        <x:f>IF(T42="","",I42*T42)</x:f>
        <x:v>84.91218262308722</x:v>
      </x:c>
    </x:row>
    <x:row r="43" ht="18" customHeight="1">
      <x:c r="A43" s="24" t="str">
        <x:v>EEZ_090</x:v>
      </x:c>
      <x:c r="B43" s="24" t="str">
        <x:v>Solomon Isl.</x:v>
      </x:c>
      <x:c r="C43" s="24" t="str">
        <x:v>EEZ</x:v>
      </x:c>
      <x:c r="D43" s="30" t="n">
        <x:v>2019</x:v>
      </x:c>
      <x:c r="E43" s="24" t="str">
        <x:v>Sphyrna lewini</x:v>
      </x:c>
      <x:c r="F43" s="24" t="str">
        <x:v>Scalloped hammerhead</x:v>
      </x:c>
      <x:c r="G43" s="24" t="str">
        <x:v>Large sharks (&gt;=90 cm)</x:v>
      </x:c>
      <x:c r="H43" s="24" t="str">
        <x:v>Sharks &amp; rays</x:v>
      </x:c>
      <x:c r="I43" s="31" t="n">
        <x:v>3.561742445</x:v>
      </x:c>
      <x:c r="J43" s="31" t="n">
        <x:v>3.561742445</x:v>
      </x:c>
      <x:c r="K43" s="31" t="n">
        <x:v>0</x:v>
      </x:c>
      <x:c r="L43" s="31" t="n">
        <x:v>0</x:v>
      </x:c>
      <x:c r="M43" s="31" t="n">
        <x:v>3.561742445</x:v>
      </x:c>
      <x:c r="N43" s="24" t="str">
        <x:v>sphyrna lewini</x:v>
      </x:c>
      <x:c r="O43" s="32" t="n">
        <x:v>4.08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Sphyrna lewini</x:v>
      </x:c>
      <x:c r="T43" s="32" t="n">
        <x:f>IF(O43="","",(1/'Metadata'!$B$5)^(O43-1))</x:f>
        <x:v>1202.2644346174131</x:v>
      </x:c>
      <x:c r="U43" s="31" t="n">
        <x:f>IF(T43="","",I43*T43)</x:f>
        <x:v>4282.156266890768</x:v>
      </x:c>
    </x:row>
    <x:row r="44" ht="18" customHeight="1">
      <x:c r="A44" s="24" t="str">
        <x:v>EEZ_090</x:v>
      </x:c>
      <x:c r="B44" s="24" t="str">
        <x:v>Solomon Isl.</x:v>
      </x:c>
      <x:c r="C44" s="24" t="str">
        <x:v>EEZ</x:v>
      </x:c>
      <x:c r="D44" s="30" t="n">
        <x:v>2019</x:v>
      </x:c>
      <x:c r="E44" s="24" t="str">
        <x:v>Galeocerdo cuvier</x:v>
      </x:c>
      <x:c r="F44" s="24" t="str">
        <x:v>Tiger shark</x:v>
      </x:c>
      <x:c r="G44" s="24" t="str">
        <x:v>Large sharks (&gt;=90 cm)</x:v>
      </x:c>
      <x:c r="H44" s="24" t="str">
        <x:v>Sharks &amp; rays</x:v>
      </x:c>
      <x:c r="I44" s="31" t="n">
        <x:v>3.561742445</x:v>
      </x:c>
      <x:c r="J44" s="31" t="n">
        <x:v>3.561742445</x:v>
      </x:c>
      <x:c r="K44" s="31" t="n">
        <x:v>0</x:v>
      </x:c>
      <x:c r="L44" s="31" t="n">
        <x:v>0</x:v>
      </x:c>
      <x:c r="M44" s="31" t="n">
        <x:v>3.561742445</x:v>
      </x:c>
      <x:c r="N44" s="24" t="str">
        <x:v>galeocerdo cuvier</x:v>
      </x:c>
      <x:c r="O44" s="32" t="n">
        <x:v>4.54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Galeocerdo cuvier</x:v>
      </x:c>
      <x:c r="T44" s="32" t="n">
        <x:f>IF(O44="","",(1/'Metadata'!$B$5)^(O44-1))</x:f>
        <x:v>3467.368504525317</x:v>
      </x:c>
      <x:c r="U44" s="31" t="n">
        <x:f>IF(T44="","",I44*T44)</x:f>
        <x:v>12349.873575023996</x:v>
      </x:c>
    </x:row>
    <x:row r="45" ht="18" customHeight="1">
      <x:c r="A45" s="24" t="str">
        <x:v>EEZ_090</x:v>
      </x:c>
      <x:c r="B45" s="24" t="str">
        <x:v>Solomon Isl.</x:v>
      </x:c>
      <x:c r="C45" s="24" t="str">
        <x:v>EEZ</x:v>
      </x:c>
      <x:c r="D45" s="30" t="n">
        <x:v>2019</x:v>
      </x:c>
      <x:c r="E45" s="24" t="str">
        <x:v>Carcharhinus albimarginatus</x:v>
      </x:c>
      <x:c r="F45" s="24" t="str">
        <x:v>Silvertip shark</x:v>
      </x:c>
      <x:c r="G45" s="24" t="str">
        <x:v>Large sharks (&gt;=90 cm)</x:v>
      </x:c>
      <x:c r="H45" s="24" t="str">
        <x:v>Sharks &amp; rays</x:v>
      </x:c>
      <x:c r="I45" s="31" t="n">
        <x:v>3.5617424449999997</x:v>
      </x:c>
      <x:c r="J45" s="31" t="n">
        <x:v>3.5617424449999997</x:v>
      </x:c>
      <x:c r="K45" s="31" t="n">
        <x:v>0</x:v>
      </x:c>
      <x:c r="L45" s="31" t="n">
        <x:v>0</x:v>
      </x:c>
      <x:c r="M45" s="31" t="n">
        <x:v>3.5617424449999997</x:v>
      </x:c>
      <x:c r="N45" s="24" t="str">
        <x:v>carcharhinus albimarginatus</x:v>
      </x:c>
      <x:c r="O45" s="32" t="n">
        <x:v>4.21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Carcharhinus albimarginatus</x:v>
      </x:c>
      <x:c r="T45" s="32" t="n">
        <x:f>IF(O45="","",(1/'Metadata'!$B$5)^(O45-1))</x:f>
        <x:v>1621.8100973589299</x:v>
      </x:c>
      <x:c r="U45" s="31" t="n">
        <x:f>IF(T45="","",I45*T45)</x:f>
        <x:v>5776.469861492882</x:v>
      </x:c>
    </x:row>
    <x:row r="46" ht="18" customHeight="1">
      <x:c r="A46" s="24" t="str">
        <x:v>EEZ_090</x:v>
      </x:c>
      <x:c r="B46" s="24" t="str">
        <x:v>Solomon Isl.</x:v>
      </x:c>
      <x:c r="C46" s="24" t="str">
        <x:v>EEZ</x:v>
      </x:c>
      <x:c r="D46" s="30" t="n">
        <x:v>2019</x:v>
      </x:c>
      <x:c r="E46" s="24" t="str">
        <x:v>Stolephorus indicus</x:v>
      </x:c>
      <x:c r="F46" s="24" t="str">
        <x:v>Indian anchovy</x:v>
      </x:c>
      <x:c r="G46" s="24" t="str">
        <x:v>Small pelagics (&lt;30 cm)</x:v>
      </x:c>
      <x:c r="H46" s="24" t="str">
        <x:v>Anchovies</x:v>
      </x:c>
      <x:c r="I46" s="31" t="n">
        <x:v>1.858923666</x:v>
      </x:c>
      <x:c r="J46" s="31" t="n">
        <x:v>1.858923666</x:v>
      </x:c>
      <x:c r="K46" s="31" t="n">
        <x:v>0</x:v>
      </x:c>
      <x:c r="L46" s="31" t="n">
        <x:v>0.048425</x:v>
      </x:c>
      <x:c r="M46" s="31" t="n">
        <x:v>1.810498666</x:v>
      </x:c>
      <x:c r="N46" s="24" t="str">
        <x:v>stolephorus indicus</x:v>
      </x:c>
      <x:c r="O46" s="32" t="n">
        <x:v>3.59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Stolephorus indicus</x:v>
      </x:c>
      <x:c r="T46" s="32" t="n">
        <x:f>IF(O46="","",(1/'Metadata'!$B$5)^(O46-1))</x:f>
        <x:v>389.04514499428046</x:v>
      </x:c>
      <x:c r="U46" s="31" t="n">
        <x:f>IF(T46="","",I46*T46)</x:f>
        <x:v>723.2052271722694</x:v>
      </x:c>
    </x:row>
    <x:row r="47" ht="18" customHeight="1">
      <x:c r="A47" s="24" t="str">
        <x:v>EEZ_090</x:v>
      </x:c>
      <x:c r="B47" s="24" t="str">
        <x:v>Solomon Isl.</x:v>
      </x:c>
      <x:c r="C47" s="24" t="str">
        <x:v>EEZ</x:v>
      </x:c>
      <x:c r="D47" s="30" t="n">
        <x:v>2019</x:v>
      </x:c>
      <x:c r="E47" s="24" t="str">
        <x:v>Encrasicholina punctifer</x:v>
      </x:c>
      <x:c r="F47" s="24" t="str">
        <x:v>Buccaneer anchovy</x:v>
      </x:c>
      <x:c r="G47" s="24" t="str">
        <x:v>Small pelagics (&lt;30 cm)</x:v>
      </x:c>
      <x:c r="H47" s="24" t="str">
        <x:v>Anchovies</x:v>
      </x:c>
      <x:c r="I47" s="31" t="n">
        <x:v>1.858923666</x:v>
      </x:c>
      <x:c r="J47" s="31" t="n">
        <x:v>1.858923666</x:v>
      </x:c>
      <x:c r="K47" s="31" t="n">
        <x:v>0</x:v>
      </x:c>
      <x:c r="L47" s="31" t="n">
        <x:v>0.048425</x:v>
      </x:c>
      <x:c r="M47" s="31" t="n">
        <x:v>1.810498666</x:v>
      </x:c>
      <x:c r="N47" s="24" t="str">
        <x:v>encrasicholina punctifer</x:v>
      </x:c>
      <x:c r="O47" s="32" t="n">
        <x:v>3.25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Encrasicholina punctifer</x:v>
      </x:c>
      <x:c r="T47" s="32" t="n">
        <x:f>IF(O47="","",(1/'Metadata'!$B$5)^(O47-1))</x:f>
        <x:v>177.82794100389228</x:v>
      </x:c>
      <x:c r="U47" s="31" t="n">
        <x:f>IF(T47="","",I47*T47)</x:f>
        <x:v>330.5685680081871</x:v>
      </x:c>
    </x:row>
    <x:row r="48" ht="18" customHeight="1">
      <x:c r="A48" s="24" t="str">
        <x:v>EEZ_090</x:v>
      </x:c>
      <x:c r="B48" s="24" t="str">
        <x:v>Solomon Isl.</x:v>
      </x:c>
      <x:c r="C48" s="24" t="str">
        <x:v>EEZ</x:v>
      </x:c>
      <x:c r="D48" s="30" t="n">
        <x:v>2019</x:v>
      </x:c>
      <x:c r="E48" s="24" t="str">
        <x:v>Stolephorus waitei</x:v>
      </x:c>
      <x:c r="F48" s="24" t="str">
        <x:v>Spotty-face anchovy</x:v>
      </x:c>
      <x:c r="G48" s="24" t="str">
        <x:v>Small pelagics (&lt;30 cm)</x:v>
      </x:c>
      <x:c r="H48" s="24" t="str">
        <x:v>Anchovies</x:v>
      </x:c>
      <x:c r="I48" s="31" t="n">
        <x:v>1.858923666</x:v>
      </x:c>
      <x:c r="J48" s="31" t="n">
        <x:v>1.858923666</x:v>
      </x:c>
      <x:c r="K48" s="31" t="n">
        <x:v>0</x:v>
      </x:c>
      <x:c r="L48" s="31" t="n">
        <x:v>0.048425</x:v>
      </x:c>
      <x:c r="M48" s="31" t="n">
        <x:v>1.810498666</x:v>
      </x:c>
      <x:c r="N48" s="24" t="str">
        <x:v>stolephorus waitei</x:v>
      </x:c>
      <x:c r="O48" s="32" t="n">
        <x:v>3.3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Stolephorus waitei</x:v>
      </x:c>
      <x:c r="T48" s="32" t="n">
        <x:f>IF(O48="","",(1/'Metadata'!$B$5)^(O48-1))</x:f>
        <x:v>199.52623149688787</x:v>
      </x:c>
      <x:c r="U48" s="31" t="n">
        <x:f>IF(T48="","",I48*T48)</x:f>
        <x:v>370.9040337173595</x:v>
      </x:c>
    </x:row>
    <x:row r="49" ht="18" customHeight="1">
      <x:c r="A49" s="24" t="str">
        <x:v>EEZ_090</x:v>
      </x:c>
      <x:c r="B49" s="24" t="str">
        <x:v>Solomon Isl.</x:v>
      </x:c>
      <x:c r="C49" s="24" t="str">
        <x:v>EEZ</x:v>
      </x:c>
      <x:c r="D49" s="30" t="n">
        <x:v>2019</x:v>
      </x:c>
      <x:c r="E49" s="24" t="str">
        <x:v>Herklotsichthys quadrimaculatus</x:v>
      </x:c>
      <x:c r="F49" s="24" t="str">
        <x:v>Bluestripe herring</x:v>
      </x:c>
      <x:c r="G49" s="24" t="str">
        <x:v>Small pelagics (&lt;30 cm)</x:v>
      </x:c>
      <x:c r="H49" s="24" t="str">
        <x:v>Herring-likes</x:v>
      </x:c>
      <x:c r="I49" s="31" t="n">
        <x:v>0.929461833</x:v>
      </x:c>
      <x:c r="J49" s="31" t="n">
        <x:v>0.929461833</x:v>
      </x:c>
      <x:c r="K49" s="31" t="n">
        <x:v>0</x:v>
      </x:c>
      <x:c r="L49" s="31" t="n">
        <x:v>0.0242125</x:v>
      </x:c>
      <x:c r="M49" s="31" t="n">
        <x:v>0.905249333</x:v>
      </x:c>
      <x:c r="N49" s="24" t="str">
        <x:v>herklotsichthys quadrimaculatus</x:v>
      </x:c>
      <x:c r="O49" s="32" t="n">
        <x:v>3.57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Herklotsichthys quadrimaculatus</x:v>
      </x:c>
      <x:c r="T49" s="32" t="n">
        <x:f>IF(O49="","",(1/'Metadata'!$B$5)^(O49-1))</x:f>
        <x:v>371.5352290971724</x:v>
      </x:c>
      <x:c r="U49" s="31" t="n">
        <x:f>IF(T49="","",I49*T49)</x:f>
        <x:v>345.3278150607328</x:v>
      </x:c>
    </x:row>
    <x:row r="50" ht="18" customHeight="1">
      <x:c r="A50" s="24" t="str">
        <x:v>EEZ_090</x:v>
      </x:c>
      <x:c r="B50" s="24" t="str">
        <x:v>Solomon Isl.</x:v>
      </x:c>
      <x:c r="C50" s="24" t="str">
        <x:v>EEZ</x:v>
      </x:c>
      <x:c r="D50" s="30" t="n">
        <x:v>2019</x:v>
      </x:c>
      <x:c r="E50" s="24" t="str">
        <x:v>Spratelloides</x:v>
      </x:c>
      <x:c r="F50" s="24" t="str">
        <x:v>Round herrings</x:v>
      </x:c>
      <x:c r="G50" s="24" t="str">
        <x:v>Small reef assoc. fish (&lt;30 cm)</x:v>
      </x:c>
      <x:c r="H50" s="24" t="str">
        <x:v>Herring-likes</x:v>
      </x:c>
      <x:c r="I50" s="31" t="n">
        <x:v>0.929461833</x:v>
      </x:c>
      <x:c r="J50" s="31" t="n">
        <x:v>0.929461833</x:v>
      </x:c>
      <x:c r="K50" s="31" t="n">
        <x:v>0</x:v>
      </x:c>
      <x:c r="L50" s="31" t="n">
        <x:v>0.0242125</x:v>
      </x:c>
      <x:c r="M50" s="31" t="n">
        <x:v>0.905249333</x:v>
      </x:c>
      <x:c r="N50" s="24" t="str">
        <x:v>spratelloides</x:v>
      </x:c>
      <x:c r="O50" s="32" t="n">
        <x:v>3.1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Spratelloides</x:v>
      </x:c>
      <x:c r="T50" s="32" t="n">
        <x:f>IF(O50="","",(1/'Metadata'!$B$5)^(O50-1))</x:f>
        <x:v>125.89254117941675</x:v>
      </x:c>
      <x:c r="U50" s="31" t="n">
        <x:f>IF(T50="","",I50*T50)</x:f>
        <x:v>117.01231208564867</x:v>
      </x:c>
    </x:row>
    <x:row r="51" ht="18" customHeight="1">
      <x:c r="A51" s="24" t="str">
        <x:v>EEZ_090</x:v>
      </x:c>
      <x:c r="B51" s="24" t="str">
        <x:v>Solomon Isl.</x:v>
      </x:c>
      <x:c r="C51" s="24" t="str">
        <x:v>EEZ</x:v>
      </x:c>
      <x:c r="D51" s="30" t="n">
        <x:v>2019</x:v>
      </x:c>
      <x:c r="E51" s="24" t="str">
        <x:v>Thunnus maccoyii</x:v>
      </x:c>
      <x:c r="F51" s="24" t="str">
        <x:v>Southern bluefin tuna</x:v>
      </x:c>
      <x:c r="G51" s="24" t="str">
        <x:v>Large pelagics (&gt;=90 cm)</x:v>
      </x:c>
      <x:c r="H51" s="24" t="str">
        <x:v>Tuna &amp; billfishes</x:v>
      </x:c>
      <x:c r="I51" s="31" t="n">
        <x:v>0.8101252117000001</x:v>
      </x:c>
      <x:c r="J51" s="31" t="n">
        <x:v>0</x:v>
      </x:c>
      <x:c r="K51" s="31" t="n">
        <x:v>0.8101252117000001</x:v>
      </x:c>
      <x:c r="L51" s="31" t="n">
        <x:v>0</x:v>
      </x:c>
      <x:c r="M51" s="31" t="n">
        <x:v>0.8101252117000001</x:v>
      </x:c>
      <x:c r="N51" s="24" t="str">
        <x:v>thunnus maccoyii</x:v>
      </x:c>
      <x:c r="O51" s="32" t="n">
        <x:v>3.93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maccoyii</x:v>
      </x:c>
      <x:c r="T51" s="32" t="n">
        <x:f>IF(O51="","",(1/'Metadata'!$B$5)^(O51-1))</x:f>
        <x:v>851.1380382023768</x:v>
      </x:c>
      <x:c r="U51" s="31" t="n">
        <x:f>IF(T51="","",I51*T51)</x:f>
        <x:v>689.5283833846232</x:v>
      </x:c>
    </x:row>
    <x:row r="52" ht="18" customHeight="1">
      <x:c r="A52" s="24" t="str">
        <x:v>EEZ_090</x:v>
      </x:c>
      <x:c r="B52" s="24" t="str">
        <x:v>Solomon Isl.</x:v>
      </x:c>
      <x:c r="C52" s="24" t="str">
        <x:v>EEZ</x:v>
      </x:c>
      <x:c r="D52" s="30" t="n">
        <x:v>2019</x:v>
      </x:c>
      <x:c r="E52" s="24" t="str">
        <x:v>Scomberomorus</x:v>
      </x:c>
      <x:c r="F52" s="24" t="str">
        <x:v>Spanish mackerels</x:v>
      </x:c>
      <x:c r="G52" s="24" t="str">
        <x:v>Large pelagics (&gt;=90 cm)</x:v>
      </x:c>
      <x:c r="H52" s="24" t="str">
        <x:v>Perch-likes</x:v>
      </x:c>
      <x:c r="I52" s="31" t="n">
        <x:v>0.7330228302999999</x:v>
      </x:c>
      <x:c r="J52" s="31" t="n">
        <x:v>0.7330228302999999</x:v>
      </x:c>
      <x:c r="K52" s="31" t="n">
        <x:v>0</x:v>
      </x:c>
      <x:c r="L52" s="31" t="n">
        <x:v>0.7330228302999999</x:v>
      </x:c>
      <x:c r="M52" s="31" t="n">
        <x:v>0</x:v>
      </x:c>
      <x:c r="N52" s="24" t="str">
        <x:v>scomberomorus</x:v>
      </x:c>
      <x:c r="O52" s="32" t="n">
        <x:v>4.35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Scomberomorus</x:v>
      </x:c>
      <x:c r="T52" s="32" t="n">
        <x:f>IF(O52="","",(1/'Metadata'!$B$5)^(O52-1))</x:f>
        <x:v>2238.7211385683377</x:v>
      </x:c>
      <x:c r="U52" s="31" t="n">
        <x:f>IF(T52="","",I52*T52)</x:f>
        <x:v>1641.0337052458012</x:v>
      </x:c>
    </x:row>
    <x:row r="53" ht="18" customHeight="1">
      <x:c r="A53" s="24" t="str">
        <x:v>EEZ_090</x:v>
      </x:c>
      <x:c r="B53" s="24" t="str">
        <x:v>Solomon Isl.</x:v>
      </x:c>
      <x:c r="C53" s="24" t="str">
        <x:v>EEZ</x:v>
      </x:c>
      <x:c r="D53" s="30" t="n">
        <x:v>2019</x:v>
      </x:c>
      <x:c r="E53" s="24" t="str">
        <x:v>Isurus oxyrinchus</x:v>
      </x:c>
      <x:c r="F53" s="24" t="str">
        <x:v>Shortfin mako</x:v>
      </x:c>
      <x:c r="G53" s="24" t="str">
        <x:v>Large sharks (&gt;=90 cm)</x:v>
      </x:c>
      <x:c r="H53" s="24" t="str">
        <x:v>Sharks &amp; rays</x:v>
      </x:c>
      <x:c r="I53" s="31" t="n">
        <x:v>0.4518800282</x:v>
      </x:c>
      <x:c r="J53" s="31" t="n">
        <x:v>0.4518800282</x:v>
      </x:c>
      <x:c r="K53" s="31" t="n">
        <x:v>0</x:v>
      </x:c>
      <x:c r="L53" s="31" t="n">
        <x:v>0.4518800282</x:v>
      </x:c>
      <x:c r="M53" s="31" t="n">
        <x:v>0</x:v>
      </x:c>
      <x:c r="N53" s="24" t="str">
        <x:v>isurus oxyrinchus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Isurus oxyrinchus</x:v>
      </x:c>
      <x:c r="T53" s="32" t="n">
        <x:f>IF(O53="","",(1/'Metadata'!$B$5)^(O53-1))</x:f>
        <x:v>3162.2776601683795</x:v>
      </x:c>
      <x:c r="U53" s="31" t="n">
        <x:f>IF(T53="","",I53*T53)</x:f>
        <x:v>1428.9701182531173</x:v>
      </x:c>
    </x:row>
  </x:sheetData>
  <x:conditionalFormatting sqref="R2:R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2aec789079a4e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5</x:v>
      </x:c>
      <x:c r="C2" s="33" t="n">
        <x:v>5</x:v>
      </x:c>
      <x:c r="D2" s="31" t="n">
        <x:v>35.319549658</x:v>
      </x:c>
      <x:c r="E2" s="31" t="n">
        <x:v>35.319549658</x:v>
      </x:c>
      <x:c r="F2" s="32" t="n">
        <x:v>0</x:v>
      </x:c>
      <x:c r="G2" s="34" t="n">
        <x:v>1</x:v>
      </x:c>
      <x:c r="H2" s="32" t="n">
        <x:f>IF(E2=0,"",I2/E2)</x:f>
        <x:v>204.7083885547631</x:v>
      </x:c>
      <x:c r="I2" s="31" t="n">
        <x:f>IF(C2=0,"",SUMIF('Species'!$H$2:$H$53,A2,'Species'!$U$2:$U$53))</x:f>
        <x:v>7230.208094969114</x:v>
      </x:c>
      <x:c r="J2" s="32" t="n">
        <x:v>3.3042105263141806</x:v>
      </x:c>
      <x:c r="K2" s="32" t="n">
        <x:f>IF(J2="","",(1/'Metadata'!$B$5)^(J2-1))</x:f>
        <x:v>201.4700648901084</x:v>
      </x:c>
      <x:c r="L2" s="31" t="n">
        <x:f>IF(E2=0,"",E2*K2)</x:f>
        <x:v>7115.831961486666</x:v>
      </x:c>
      <x:c r="M2" s="31" t="n">
        <x:f>IF(E2=0,"",I2-L2)</x:f>
        <x:v>114.3761334824485</x:v>
      </x:c>
      <x:c r="N2" s="32" t="n">
        <x:f>IF(L2=0,"",I2/L2)</x:f>
        <x:v>1.0160734730810805</x:v>
      </x:c>
      <x:c r="O2" s="34" t="n">
        <x:f>IF(L2=0,"",M2/L2)</x:f>
        <x:v>0.016073473081080543</x:v>
      </x:c>
    </x:row>
    <x:row r="3" ht="18" customHeight="1">
      <x:c r="A3" s="24" t="str">
        <x:v>Crustaceans</x:v>
      </x:c>
      <x:c r="B3" s="33" t="n">
        <x:v>4</x:v>
      </x:c>
      <x:c r="C3" s="33" t="n">
        <x:v>4</x:v>
      </x:c>
      <x:c r="D3" s="31" t="n">
        <x:v>4513.105996222</x:v>
      </x:c>
      <x:c r="E3" s="31" t="n">
        <x:v>4513.105996222</x:v>
      </x:c>
      <x:c r="F3" s="32" t="n">
        <x:v>0</x:v>
      </x:c>
      <x:c r="G3" s="34" t="n">
        <x:v>1</x:v>
      </x:c>
      <x:c r="H3" s="32" t="n">
        <x:f>IF(E3=0,"",I3/E3)</x:f>
        <x:v>142.09632052976139</x:v>
      </x:c>
      <x:c r="I3" s="31" t="n">
        <x:f>IF(C3=0,"",SUMIF('Species'!$H$2:$H$53,A3,'Species'!$U$2:$U$53))</x:f>
        <x:v>641295.7562239494</x:v>
      </x:c>
      <x:c r="J3" s="32" t="n">
        <x:v>2.979937445256556</x:v>
      </x:c>
      <x:c r="K3" s="32" t="n">
        <x:f>IF(J3="","",(1/'Metadata'!$B$5)^(J3-1))</x:f>
        <x:v>95.48550410685282</x:v>
      </x:c>
      <x:c r="L3" s="31" t="n">
        <x:f>IF(E3=0,"",E3*K3)</x:f>
        <x:v>430936.2011369178</x:v>
      </x:c>
      <x:c r="M3" s="31" t="n">
        <x:f>IF(E3=0,"",I3-L3)</x:f>
        <x:v>210359.55508703156</x:v>
      </x:c>
      <x:c r="N3" s="32" t="n">
        <x:f>IF(L3=0,"",I3/L3)</x:f>
        <x:v>1.4881454714921845</x:v>
      </x:c>
      <x:c r="O3" s="34" t="n">
        <x:f>IF(L3=0,"",M3/L3)</x:f>
        <x:v>0.4881454714921844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1.858923666</x:v>
      </x:c>
      <x:c r="E4" s="31" t="n">
        <x:v>1.858923666</x:v>
      </x:c>
      <x:c r="F4" s="32" t="n">
        <x:v>0</x:v>
      </x:c>
      <x:c r="G4" s="34" t="n">
        <x:v>1</x:v>
      </x:c>
      <x:c r="H4" s="32" t="n">
        <x:f>IF(E4=0,"",I4/E4)</x:f>
        <x:v>248.7138851382946</x:v>
      </x:c>
      <x:c r="I4" s="31" t="n">
        <x:f>IF(C4=0,"",SUMIF('Species'!$H$2:$H$53,A4,'Species'!$U$2:$U$53))</x:f>
        <x:v>462.34012714638146</x:v>
      </x:c>
      <x:c r="J4" s="32" t="n">
        <x:v>3.335</x:v>
      </x:c>
      <x:c r="K4" s="32" t="n">
        <x:f>IF(J4="","",(1/'Metadata'!$B$5)^(J4-1))</x:f>
        <x:v>216.271852372702</x:v>
      </x:c>
      <x:c r="L4" s="31" t="n">
        <x:f>IF(E4=0,"",E4*K4)</x:f>
        <x:v>402.03286466527396</x:v>
      </x:c>
      <x:c r="M4" s="31" t="n">
        <x:f>IF(E4=0,"",I4-L4)</x:f>
        <x:v>60.3072624811075</x:v>
      </x:c>
      <x:c r="N4" s="32" t="n">
        <x:f>IF(L4=0,"",I4/L4)</x:f>
        <x:v>1.1500058024642297</x:v>
      </x:c>
      <x:c r="O4" s="34" t="n">
        <x:f>IF(L4=0,"",M4/L4)</x:f>
        <x:v>0.15000580246422976</x:v>
      </x:c>
    </x:row>
    <x:row r="5" ht="18" customHeight="1">
      <x:c r="A5" s="24" t="str">
        <x:v>Molluscs</x:v>
      </x:c>
      <x:c r="B5" s="33" t="n">
        <x:v>3</x:v>
      </x:c>
      <x:c r="C5" s="33" t="n">
        <x:v>3</x:v>
      </x:c>
      <x:c r="D5" s="31" t="n">
        <x:v>2414.697152011</x:v>
      </x:c>
      <x:c r="E5" s="31" t="n">
        <x:v>2414.697152011</x:v>
      </x:c>
      <x:c r="F5" s="32" t="n">
        <x:v>0</x:v>
      </x:c>
      <x:c r="G5" s="34" t="n">
        <x:v>1</x:v>
      </x:c>
      <x:c r="H5" s="32" t="n">
        <x:f>IF(E5=0,"",I5/E5)</x:f>
        <x:v>13.150963852128825</x:v>
      </x:c>
      <x:c r="I5" s="31" t="n">
        <x:f>IF(C5=0,"",SUMIF('Species'!$H$2:$H$53,A5,'Species'!$U$2:$U$53))</x:f>
        <x:v>31755.594959935086</x:v>
      </x:c>
      <x:c r="J5" s="32" t="n">
        <x:v>2.118897218611542</x:v>
      </x:c>
      <x:c r="K5" s="32" t="n">
        <x:f>IF(J5="","",(1/'Metadata'!$B$5)^(J5-1))</x:f>
        <x:v>13.149136041081583</x:v>
      </x:c>
      <x:c r="L5" s="31" t="n">
        <x:f>IF(E5=0,"",E5*K5)</x:f>
        <x:v>31751.181349804894</x:v>
      </x:c>
      <x:c r="M5" s="31" t="n">
        <x:f>IF(E5=0,"",I5-L5)</x:f>
        <x:v>4.413610130191955</x:v>
      </x:c>
      <x:c r="N5" s="32" t="n">
        <x:f>IF(L5=0,"",I5/L5)</x:f>
        <x:v>1.00013900617056</x:v>
      </x:c>
      <x:c r="O5" s="34" t="n">
        <x:f>IF(L5=0,"",M5/L5)</x:f>
        <x:v>0.00013900617055998378</x:v>
      </x:c>
    </x:row>
    <x:row r="6" ht="18" customHeight="1">
      <x:c r="A6" s="24" t="str">
        <x:v>Other fishes &amp; inverts</x:v>
      </x:c>
      <x:c r="B6" s="33" t="n">
        <x:v>3</x:v>
      </x:c>
      <x:c r="C6" s="33" t="n">
        <x:v>3</x:v>
      </x:c>
      <x:c r="D6" s="31" t="n">
        <x:v>6452.9560205107</x:v>
      </x:c>
      <x:c r="E6" s="31" t="n">
        <x:v>6452.9560205107</x:v>
      </x:c>
      <x:c r="F6" s="32" t="n">
        <x:v>0</x:v>
      </x:c>
      <x:c r="G6" s="34" t="n">
        <x:v>1</x:v>
      </x:c>
      <x:c r="H6" s="32" t="n">
        <x:f>IF(E6=0,"",I6/E6)</x:f>
        <x:v>193.22897958641104</x:v>
      </x:c>
      <x:c r="I6" s="31" t="n">
        <x:f>IF(C6=0,"",SUMIF('Species'!$H$2:$H$53,A6,'Species'!$U$2:$U$53))</x:f>
        <x:v>1246898.1071592702</x:v>
      </x:c>
      <x:c r="J6" s="32" t="n">
        <x:v>3.271676305452227</x:v>
      </x:c>
      <x:c r="K6" s="32" t="n">
        <x:f>IF(J6="","",(1/'Metadata'!$B$5)^(J6-1))</x:f>
        <x:v>186.92883763882378</x:v>
      </x:c>
      <x:c r="L6" s="31" t="n">
        <x:f>IF(E6=0,"",E6*K6)</x:f>
        <x:v>1206243.568248515</x:v>
      </x:c>
      <x:c r="M6" s="31" t="n">
        <x:f>IF(E6=0,"",I6-L6)</x:f>
        <x:v>40654.53891075519</x:v>
      </x:c>
      <x:c r="N6" s="32" t="n">
        <x:f>IF(L6=0,"",I6/L6)</x:f>
        <x:v>1.033703424400253</x:v>
      </x:c>
      <x:c r="O6" s="34" t="n">
        <x:f>IF(L6=0,"",M6/L6)</x:f>
        <x:v>0.03370342440025295</x:v>
      </x:c>
    </x:row>
    <x:row r="7" ht="18" customHeight="1">
      <x:c r="A7" s="24" t="str">
        <x:v>Perch-likes</x:v>
      </x:c>
      <x:c r="B7" s="33" t="n">
        <x:v>10</x:v>
      </x:c>
      <x:c r="C7" s="33" t="n">
        <x:v>10</x:v>
      </x:c>
      <x:c r="D7" s="31" t="n">
        <x:v>24026.858785578697</x:v>
      </x:c>
      <x:c r="E7" s="31" t="n">
        <x:v>24026.858785578697</x:v>
      </x:c>
      <x:c r="F7" s="32" t="n">
        <x:v>0</x:v>
      </x:c>
      <x:c r="G7" s="34" t="n">
        <x:v>1</x:v>
      </x:c>
      <x:c r="H7" s="32" t="n">
        <x:f>IF(E7=0,"",I7/E7)</x:f>
        <x:v>1343.6270277016977</x:v>
      </x:c>
      <x:c r="I7" s="31" t="n">
        <x:f>IF(C7=0,"",SUMIF('Species'!$H$2:$H$53,A7,'Species'!$U$2:$U$53))</x:f>
        <x:v>32283136.855075527</x:v>
      </x:c>
      <x:c r="J7" s="32" t="n">
        <x:v>4.094776318025945</x:v>
      </x:c>
      <x:c r="K7" s="32" t="n">
        <x:f>IF(J7="","",(1/'Metadata'!$B$5)^(J7-1))</x:f>
        <x:v>1243.8737935689765</x:v>
      </x:c>
      <x:c r="L7" s="31" t="n">
        <x:f>IF(E7=0,"",E7*K7)</x:f>
        <x:v>29886379.985163864</x:v>
      </x:c>
      <x:c r="M7" s="31" t="n">
        <x:f>IF(E7=0,"",I7-L7)</x:f>
        <x:v>2396756.8699116632</x:v>
      </x:c>
      <x:c r="N7" s="32" t="n">
        <x:f>IF(L7=0,"",I7/L7)</x:f>
        <x:v>1.080195623260544</x:v>
      </x:c>
      <x:c r="O7" s="34" t="n">
        <x:f>IF(L7=0,"",M7/L7)</x:f>
        <x:v>0.08019562326054398</x:v>
      </x:c>
    </x:row>
    <x:row r="8" ht="18" customHeight="1">
      <x:c r="A8" s="24" t="str">
        <x:v>Sharks &amp; rays</x:v>
      </x:c>
      <x:c r="B8" s="33" t="n">
        <x:v>15</x:v>
      </x:c>
      <x:c r="C8" s="33" t="n">
        <x:v>15</x:v>
      </x:c>
      <x:c r="D8" s="31" t="n">
        <x:v>12566.0513253922</x:v>
      </x:c>
      <x:c r="E8" s="31" t="n">
        <x:v>12566.0513253922</x:v>
      </x:c>
      <x:c r="F8" s="32" t="n">
        <x:v>0</x:v>
      </x:c>
      <x:c r="G8" s="34" t="n">
        <x:v>1</x:v>
      </x:c>
      <x:c r="H8" s="32" t="n">
        <x:f>IF(E8=0,"",I8/E8)</x:f>
        <x:v>2300.409323972101</x:v>
      </x:c>
      <x:c r="I8" s="31" t="n">
        <x:f>IF(C8=0,"",SUMIF('Species'!$H$2:$H$53,A8,'Species'!$U$2:$U$53))</x:f>
        <x:v>28907061.634444192</x:v>
      </x:c>
      <x:c r="J8" s="32" t="n">
        <x:v>4.3530633318829</x:v>
      </x:c>
      <x:c r="K8" s="32" t="n">
        <x:f>IF(J8="","",(1/'Metadata'!$B$5)^(J8-1))</x:f>
        <x:v>2254.5679651755136</x:v>
      </x:c>
      <x:c r="L8" s="31" t="n">
        <x:f>IF(E8=0,"",E8*K8)</x:f>
        <x:v>28331016.76698056</x:v>
      </x:c>
      <x:c r="M8" s="31" t="n">
        <x:f>IF(E8=0,"",I8-L8)</x:f>
        <x:v>576044.8674636334</x:v>
      </x:c>
      <x:c r="N8" s="32" t="n">
        <x:f>IF(L8=0,"",I8/L8)</x:f>
        <x:v>1.0203326577440386</x:v>
      </x:c>
      <x:c r="O8" s="34" t="n">
        <x:f>IF(L8=0,"",M8/L8)</x:f>
        <x:v>0.020332657744038557</x:v>
      </x:c>
    </x:row>
    <x:row r="9" ht="18" customHeight="1">
      <x:c r="A9" s="24" t="str">
        <x:v>Tuna &amp; billfishes</x:v>
      </x:c>
      <x:c r="B9" s="33" t="n">
        <x:v>10</x:v>
      </x:c>
      <x:c r="C9" s="33" t="n">
        <x:v>10</x:v>
      </x:c>
      <x:c r="D9" s="31" t="n">
        <x:v>92750.13375085029</x:v>
      </x:c>
      <x:c r="E9" s="31" t="n">
        <x:v>92750.13375085029</x:v>
      </x:c>
      <x:c r="F9" s="32" t="n">
        <x:v>0</x:v>
      </x:c>
      <x:c r="G9" s="34" t="n">
        <x:v>1</x:v>
      </x:c>
      <x:c r="H9" s="32" t="n">
        <x:f>IF(E9=0,"",I9/E9)</x:f>
        <x:v>2605.0572437045134</x:v>
      </x:c>
      <x:c r="I9" s="31" t="n">
        <x:f>IF(C9=0,"",SUMIF('Species'!$H$2:$H$53,A9,'Species'!$U$2:$U$53))</x:f>
        <x:v>241619407.78221503</x:v>
      </x:c>
      <x:c r="J9" s="32" t="n">
        <x:v>4.413785142146215</x:v>
      </x:c>
      <x:c r="K9" s="32" t="n">
        <x:f>IF(J9="","",(1/'Metadata'!$B$5)^(J9-1))</x:f>
        <x:v>2592.8962650954877</x:v>
      </x:c>
      <x:c r="L9" s="31" t="n">
        <x:f>IF(E9=0,"",E9*K9)</x:f>
        <x:v>240491475.38968664</x:v>
      </x:c>
      <x:c r="M9" s="31" t="n">
        <x:f>IF(E9=0,"",I9-L9)</x:f>
        <x:v>1127932.392528385</x:v>
      </x:c>
      <x:c r="N9" s="32" t="n">
        <x:f>IF(L9=0,"",I9/L9)</x:f>
        <x:v>1.0046901138208775</x:v>
      </x:c>
      <x:c r="O9" s="34" t="n">
        <x:f>IF(L9=0,"",M9/L9)</x:f>
        <x:v>0.004690113820877477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6e1150fa14c4b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24.836630550000002</x:v>
      </x:c>
      <x:c r="E2" s="31" t="n">
        <x:v>24.836630550000002</x:v>
      </x:c>
      <x:c r="F2" s="32" t="n">
        <x:v>0</x:v>
      </x:c>
      <x:c r="G2" s="34" t="n">
        <x:v>1</x:v>
      </x:c>
      <x:c r="H2" s="32" t="n">
        <x:f>IF(E2=0,"",I2/E2)</x:f>
        <x:v>1621.8100973589299</x:v>
      </x:c>
      <x:c r="I2" s="31" t="n">
        <x:f>IF(C2=0,"",SUMIF('Species'!$G$2:$G$53,A2,'Species'!$U$2:$U$53))</x:f>
        <x:v>40280.298210363275</x:v>
      </x:c>
      <x:c r="J2" s="32" t="n">
        <x:v>4.21</x:v>
      </x:c>
      <x:c r="K2" s="32" t="n">
        <x:f>IF(J2="","",(1/'Metadata'!$B$5)^(J2-1))</x:f>
        <x:v>1621.8100973589299</x:v>
      </x:c>
      <x:c r="L2" s="31" t="n">
        <x:f>IF(E2=0,"",E2*K2)</x:f>
        <x:v>40280.298210363275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13</x:v>
      </x:c>
      <x:c r="C3" s="33" t="n">
        <x:v>13</x:v>
      </x:c>
      <x:c r="D3" s="31" t="n">
        <x:v>93578.23141300821</x:v>
      </x:c>
      <x:c r="E3" s="31" t="n">
        <x:v>93578.23141300821</x:v>
      </x:c>
      <x:c r="F3" s="32" t="n">
        <x:v>0</x:v>
      </x:c>
      <x:c r="G3" s="34" t="n">
        <x:v>1</x:v>
      </x:c>
      <x:c r="H3" s="32" t="n">
        <x:f>IF(E3=0,"",I3/E3)</x:f>
        <x:v>2602.058348543165</x:v>
      </x:c>
      <x:c r="I3" s="31" t="n">
        <x:f>IF(C3=0,"",SUMIF('Species'!$G$2:$G$53,A3,'Species'!$U$2:$U$53))</x:f>
        <x:v>243496018.29012224</x:v>
      </x:c>
      <x:c r="J3" s="32" t="n">
        <x:v>4.413252832444813</x:v>
      </x:c>
      <x:c r="K3" s="32" t="n">
        <x:f>IF(J3="","",(1/'Metadata'!$B$5)^(J3-1))</x:f>
        <x:v>2589.720129138349</x:v>
      </x:c>
      <x:c r="L3" s="31" t="n">
        <x:f>IF(E3=0,"",E3*K3)</x:f>
        <x:v>242341429.53943393</x:v>
      </x:c>
      <x:c r="M3" s="31" t="n">
        <x:f>IF(E3=0,"",I3-L3)</x:f>
        <x:v>1154588.7506883144</x:v>
      </x:c>
      <x:c r="N3" s="32" t="n">
        <x:f>IF(L3=0,"",I3/L3)</x:f>
        <x:v>1.0047643060985594</x:v>
      </x:c>
      <x:c r="O3" s="34" t="n">
        <x:f>IF(L3=0,"",M3/L3)</x:f>
        <x:v>0.004764306098559343</x:v>
      </x:c>
    </x:row>
    <x:row r="4" ht="18" customHeight="1">
      <x:c r="A4" s="24" t="str">
        <x:v>Large sharks (&gt;=90 cm)</x:v>
      </x:c>
      <x:c r="B4" s="33" t="n">
        <x:v>15</x:v>
      </x:c>
      <x:c r="C4" s="33" t="n">
        <x:v>15</x:v>
      </x:c>
      <x:c r="D4" s="31" t="n">
        <x:v>12566.0513253922</x:v>
      </x:c>
      <x:c r="E4" s="31" t="n">
        <x:v>12566.0513253922</x:v>
      </x:c>
      <x:c r="F4" s="32" t="n">
        <x:v>0</x:v>
      </x:c>
      <x:c r="G4" s="34" t="n">
        <x:v>1</x:v>
      </x:c>
      <x:c r="H4" s="32" t="n">
        <x:f>IF(E4=0,"",I4/E4)</x:f>
        <x:v>2300.409323972101</x:v>
      </x:c>
      <x:c r="I4" s="31" t="n">
        <x:f>IF(C4=0,"",SUMIF('Species'!$G$2:$G$53,A4,'Species'!$U$2:$U$53))</x:f>
        <x:v>28907061.634444192</x:v>
      </x:c>
      <x:c r="J4" s="32" t="n">
        <x:v>4.3530633318829</x:v>
      </x:c>
      <x:c r="K4" s="32" t="n">
        <x:f>IF(J4="","",(1/'Metadata'!$B$5)^(J4-1))</x:f>
        <x:v>2254.5679651755136</x:v>
      </x:c>
      <x:c r="L4" s="31" t="n">
        <x:f>IF(E4=0,"",E4*K4)</x:f>
        <x:v>28331016.76698056</x:v>
      </x:c>
      <x:c r="M4" s="31" t="n">
        <x:f>IF(E4=0,"",I4-L4)</x:f>
        <x:v>576044.8674636334</x:v>
      </x:c>
      <x:c r="N4" s="32" t="n">
        <x:f>IF(L4=0,"",I4/L4)</x:f>
        <x:v>1.0203326577440386</x:v>
      </x:c>
      <x:c r="O4" s="34" t="n">
        <x:f>IF(L4=0,"",M4/L4)</x:f>
        <x:v>0.020332657744038557</x:v>
      </x:c>
    </x:row>
    <x:row r="5" ht="18" customHeight="1">
      <x:c r="A5" s="24" t="str">
        <x:v>Lobsters, crabs</x:v>
      </x:c>
      <x:c r="B5" s="33" t="n">
        <x:v>3</x:v>
      </x:c>
      <x:c r="C5" s="33" t="n">
        <x:v>3</x:v>
      </x:c>
      <x:c r="D5" s="31" t="n">
        <x:v>4498.105996222</x:v>
      </x:c>
      <x:c r="E5" s="31" t="n">
        <x:v>4498.105996222</x:v>
      </x:c>
      <x:c r="F5" s="32" t="n">
        <x:v>0</x:v>
      </x:c>
      <x:c r="G5" s="34" t="n">
        <x:v>1</x:v>
      </x:c>
      <x:c r="H5" s="32" t="n">
        <x:f>IF(E5=0,"",I5/E5)</x:f>
        <x:v>140.60653571188118</x:v>
      </x:c>
      <x:c r="I5" s="31" t="n">
        <x:f>IF(C5=0,"",SUMIF('Species'!$G$2:$G$53,A5,'Species'!$U$2:$U$53))</x:f>
        <x:v>632463.1013936155</x:v>
      </x:c>
      <x:c r="J5" s="32" t="n">
        <x:v>2.977302794509974</x:v>
      </x:c>
      <x:c r="K5" s="32" t="n">
        <x:f>IF(J5="","",(1/'Metadata'!$B$5)^(J5-1))</x:f>
        <x:v>94.90799408237768</x:v>
      </x:c>
      <x:c r="L5" s="31" t="n">
        <x:f>IF(E5=0,"",E5*K5)</x:f>
        <x:v>426906.21727134514</x:v>
      </x:c>
      <x:c r="M5" s="31" t="n">
        <x:f>IF(E5=0,"",I5-L5)</x:f>
        <x:v>205556.88412227033</x:v>
      </x:c>
      <x:c r="N5" s="32" t="n">
        <x:f>IF(L5=0,"",I5/L5)</x:f>
        <x:v>1.481503608535213</x:v>
      </x:c>
      <x:c r="O5" s="34" t="n">
        <x:f>IF(L5=0,"",M5/L5)</x:f>
        <x:v>0.48150360853521296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5291.7050897242</x:v>
      </x:c>
      <x:c r="E6" s="31" t="n">
        <x:v>5291.7050897242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IF(C6=0,"",SUMIF('Species'!$G$2:$G$53,A6,'Species'!$U$2:$U$53))</x:f>
        <x:v>1008313.6179515639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1008313.6179515639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3208.8476009783</x:v>
      </x:c>
      <x:c r="E7" s="31" t="n">
        <x:v>3208.8476009783</x:v>
      </x:c>
      <x:c r="F7" s="32" t="n">
        <x:v>0</x:v>
      </x:c>
      <x:c r="G7" s="34" t="n">
        <x:v>1</x:v>
      </x:c>
      <x:c r="H7" s="32" t="n">
        <x:f>IF(E7=0,"",I7/E7)</x:f>
        <x:v>1148.4020526691827</x:v>
      </x:c>
      <x:c r="I7" s="31" t="n">
        <x:f>IF(C7=0,"",SUMIF('Species'!$G$2:$G$53,A7,'Species'!$U$2:$U$53))</x:f>
        <x:v>3685047.171666062</x:v>
      </x:c>
      <x:c r="J7" s="32" t="n">
        <x:v>3.915841079034434</x:v>
      </x:c>
      <x:c r="K7" s="32" t="n">
        <x:f>IF(J7="","",(1/'Metadata'!$B$5)^(J7-1))</x:f>
        <x:v>823.8365941095684</x:v>
      </x:c>
      <x:c r="L7" s="31" t="n">
        <x:f>IF(E7=0,"",E7*K7)</x:f>
        <x:v>2643566.078606622</x:v>
      </x:c>
      <x:c r="M7" s="31" t="n">
        <x:f>IF(E7=0,"",I7-L7)</x:f>
        <x:v>1041481.0930594401</x:v>
      </x:c>
      <x:c r="N7" s="32" t="n">
        <x:f>IF(L7=0,"",I7/L7)</x:f>
        <x:v>1.3939682467133134</x:v>
      </x:c>
      <x:c r="O7" s="34" t="n">
        <x:f>IF(L7=0,"",M7/L7)</x:f>
        <x:v>0.39396824671331343</x:v>
      </x:c>
    </x:row>
    <x:row r="8" ht="18" customHeight="1">
      <x:c r="A8" s="24" t="str">
        <x:v>Medium reef assoc. fish (30 - 89 cm)</x:v>
      </x:c>
      <x:c r="B8" s="33" t="n">
        <x:v>4</x:v>
      </x:c>
      <x:c r="C8" s="33" t="n">
        <x:v>4</x:v>
      </x:c>
      <x:c r="D8" s="31" t="n">
        <x:v>21026.327822679</x:v>
      </x:c>
      <x:c r="E8" s="31" t="n">
        <x:v>21026.327822679</x:v>
      </x:c>
      <x:c r="F8" s="32" t="n">
        <x:v>0</x:v>
      </x:c>
      <x:c r="G8" s="34" t="n">
        <x:v>1</x:v>
      </x:c>
      <x:c r="H8" s="32" t="n">
        <x:f>IF(E8=0,"",I8/E8)</x:f>
        <x:v>1280.2417803771234</x:v>
      </x:c>
      <x:c r="I8" s="31" t="n">
        <x:f>IF(C8=0,"",SUMIF('Species'!$G$2:$G$53,A8,'Species'!$U$2:$U$53))</x:f>
        <x:v>26918783.366499607</x:v>
      </x:c>
      <x:c r="J8" s="32" t="n">
        <x:v>4.074162244038314</x:v>
      </x:c>
      <x:c r="K8" s="32" t="n">
        <x:f>IF(J8="","",(1/'Metadata'!$B$5)^(J8-1))</x:f>
        <x:v>1186.2118112456958</x:v>
      </x:c>
      <x:c r="L8" s="31" t="n">
        <x:f>IF(E8=0,"",E8*K8)</x:f>
        <x:v>24941678.41038582</x:v>
      </x:c>
      <x:c r="M8" s="31" t="n">
        <x:f>IF(E8=0,"",I8-L8)</x:f>
        <x:v>1977104.9561137855</x:v>
      </x:c>
      <x:c r="N8" s="32" t="n">
        <x:f>IF(L8=0,"",I8/L8)</x:f>
        <x:v>1.0792691222933302</x:v>
      </x:c>
      <x:c r="O8" s="34" t="n">
        <x:f>IF(L8=0,"",M8/L8)</x:f>
        <x:v>0.07926912229333014</x:v>
      </x:c>
    </x:row>
    <x:row r="9" ht="18" customHeight="1">
      <x:c r="A9" s="24" t="str">
        <x:v>Other demersal invertebrates</x:v>
      </x:c>
      <x:c r="B9" s="33" t="n">
        <x:v>4</x:v>
      </x:c>
      <x:c r="C9" s="33" t="n">
        <x:v>4</x:v>
      </x:c>
      <x:c r="D9" s="31" t="n">
        <x:v>2514.697152011</x:v>
      </x:c>
      <x:c r="E9" s="31" t="n">
        <x:v>2514.697152011</x:v>
      </x:c>
      <x:c r="F9" s="32" t="n">
        <x:v>0</x:v>
      </x:c>
      <x:c r="G9" s="34" t="n">
        <x:v>1</x:v>
      </x:c>
      <x:c r="H9" s="32" t="n">
        <x:f>IF(E9=0,"",I9/E9)</x:f>
        <x:v>13.02566193059887</x:v>
      </x:c>
      <x:c r="I9" s="31" t="n">
        <x:f>IF(C9=0,"",SUMIF('Species'!$G$2:$G$53,A9,'Species'!$U$2:$U$53))</x:f>
        <x:v>32755.594959935086</x:v>
      </x:c>
      <x:c r="J9" s="32" t="n">
        <x:v>2.114169125667369</x:v>
      </x:c>
      <x:c r="K9" s="32" t="n">
        <x:f>IF(J9="","",(1/'Metadata'!$B$5)^(J9-1))</x:f>
        <x:v>13.006759967840857</x:v>
      </x:c>
      <x:c r="L9" s="31" t="n">
        <x:f>IF(E9=0,"",E9*K9)</x:f>
        <x:v>32708.06224802009</x:v>
      </x:c>
      <x:c r="M9" s="31" t="n">
        <x:f>IF(E9=0,"",I9-L9)</x:f>
        <x:v>47.53271191499516</x:v>
      </x:c>
      <x:c r="N9" s="32" t="n">
        <x:f>IF(L9=0,"",I9/L9)</x:f>
        <x:v>1.001453241453271</x:v>
      </x:c>
      <x:c r="O9" s="34" t="n">
        <x:f>IF(L9=0,"",M9/L9)</x:f>
        <x:v>0.0014532414532711258</x:v>
      </x:c>
    </x:row>
    <x:row r="10" ht="18" customHeight="1">
      <x:c r="A10" s="24" t="str">
        <x:v>Shrimps</x:v>
      </x:c>
      <x:c r="B10" s="33" t="n">
        <x:v>1</x:v>
      </x:c>
      <x:c r="C10" s="33" t="n">
        <x:v>1</x:v>
      </x:c>
      <x:c r="D10" s="31" t="n">
        <x:v>15</x:v>
      </x:c>
      <x:c r="E10" s="31" t="n">
        <x:v>15</x:v>
      </x:c>
      <x:c r="F10" s="32" t="n">
        <x:v>0</x:v>
      </x:c>
      <x:c r="G10" s="34" t="n">
        <x:v>1</x:v>
      </x:c>
      <x:c r="H10" s="32" t="n">
        <x:f>IF(E10=0,"",I10/E10)</x:f>
        <x:v>588.843655355589</x:v>
      </x:c>
      <x:c r="I10" s="31" t="n">
        <x:f>IF(C10=0,"",SUMIF('Species'!$G$2:$G$53,A10,'Species'!$U$2:$U$53))</x:f>
        <x:v>8832.654830333835</x:v>
      </x:c>
      <x:c r="J10" s="32" t="n">
        <x:v>3.77</x:v>
      </x:c>
      <x:c r="K10" s="32" t="n">
        <x:f>IF(J10="","",(1/'Metadata'!$B$5)^(J10-1))</x:f>
        <x:v>588.843655355589</x:v>
      </x:c>
      <x:c r="L10" s="31" t="n">
        <x:f>IF(E10=0,"",E10*K10)</x:f>
        <x:v>8832.654830333835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pelagics (&lt;30 cm)</x:v>
      </x:c>
      <x:c r="B11" s="33" t="n">
        <x:v>6</x:v>
      </x:c>
      <x:c r="C11" s="33" t="n">
        <x:v>6</x:v>
      </x:c>
      <x:c r="D11" s="31" t="n">
        <x:v>36.249011491</x:v>
      </x:c>
      <x:c r="E11" s="31" t="n">
        <x:v>36.249011491</x:v>
      </x:c>
      <x:c r="F11" s="32" t="n">
        <x:v>0</x:v>
      </x:c>
      <x:c r="G11" s="34" t="n">
        <x:v>1</x:v>
      </x:c>
      <x:c r="H11" s="32" t="n">
        <x:f>IF(E11=0,"",I11/E11)</x:f>
        <x:v>208.98599985025032</x:v>
      </x:c>
      <x:c r="I11" s="31" t="n">
        <x:f>IF(C11=0,"",SUMIF('Species'!$G$2:$G$53,A11,'Species'!$U$2:$U$53))</x:f>
        <x:v>7575.535910029847</x:v>
      </x:c>
      <x:c r="J11" s="32" t="n">
        <x:v>3.3110256410233214</x:v>
      </x:c>
      <x:c r="K11" s="32" t="n">
        <x:f>IF(J11="","",(1/'Metadata'!$B$5)^(J11-1))</x:f>
        <x:v>204.65654636886148</x:v>
      </x:c>
      <x:c r="L11" s="31" t="n">
        <x:f>IF(E11=0,"",E11*K11)</x:f>
        <x:v>7418.597501033234</x:v>
      </x:c>
      <x:c r="M11" s="31" t="n">
        <x:f>IF(E11=0,"",I11-L11)</x:f>
        <x:v>156.93840899661336</x:v>
      </x:c>
      <x:c r="N11" s="32" t="n">
        <x:f>IF(L11=0,"",I11/L11)</x:f>
        <x:v>1.0211547275579724</x:v>
      </x:c>
      <x:c r="O11" s="34" t="n">
        <x:f>IF(L11=0,"",M11/L11)</x:f>
        <x:v>0.021154727557972458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0.929461833</x:v>
      </x:c>
      <x:c r="E12" s="31" t="n">
        <x:v>0.929461833</x:v>
      </x:c>
      <x:c r="F12" s="32" t="n">
        <x:v>0</x:v>
      </x:c>
      <x:c r="G12" s="34" t="n">
        <x:v>1</x:v>
      </x:c>
      <x:c r="H12" s="32" t="n">
        <x:f>IF(E12=0,"",I12/E12)</x:f>
        <x:v>125.89254117941675</x:v>
      </x:c>
      <x:c r="I12" s="31" t="n">
        <x:f>IF(C12=0,"",SUMIF('Species'!$G$2:$G$53,A12,'Species'!$U$2:$U$53))</x:f>
        <x:v>117.01231208564867</x:v>
      </x:c>
      <x:c r="J12" s="32" t="n">
        <x:v>3.1</x:v>
      </x:c>
      <x:c r="K12" s="32" t="n">
        <x:f>IF(J12="","",(1/'Metadata'!$B$5)^(J12-1))</x:f>
        <x:v>125.89254117941675</x:v>
      </x:c>
      <x:c r="L12" s="31" t="n">
        <x:f>IF(E12=0,"",E12*K12)</x:f>
        <x:v>117.01231208564867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f1ecc94bd39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EEZ_090</x:v>
      </x:c>
      <x:c r="B2" s="24" t="str">
        <x:v>raw_filtered_tonnes</x:v>
      </x:c>
      <x:c r="C2" s="24" t="n">
        <x:v>142760.98150388888</x:v>
      </x:c>
      <x:c r="D2" s="24" t="str">
        <x:v>tonnes</x:v>
      </x:c>
    </x:row>
    <x:row r="3" ht="18" customHeight="1">
      <x:c r="A3" s="24" t="str">
        <x:v>EEZ_090</x:v>
      </x:c>
      <x:c r="B3" s="24" t="str">
        <x:v>species_catch_tonnes</x:v>
      </x:c>
      <x:c r="C3" s="24" t="n">
        <x:v>142760.9815038889</x:v>
      </x:c>
      <x:c r="D3" s="24" t="str">
        <x:v>tonnes</x:v>
      </x:c>
    </x:row>
    <x:row r="4" ht="18" customHeight="1">
      <x:c r="A4" s="24" t="str">
        <x:v>EEZ_090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EEZ_090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EEZ_090</x:v>
      </x:c>
      <x:c r="B6" s="24" t="str">
        <x:v>matched_catch_tonnes</x:v>
      </x:c>
      <x:c r="C6" s="24" t="n">
        <x:v>142760.9815038889</x:v>
      </x:c>
      <x:c r="D6" s="24" t="str">
        <x:v>tonnes</x:v>
      </x:c>
    </x:row>
    <x:row r="7" ht="18" customHeight="1">
      <x:c r="A7" s="24" t="str">
        <x:v>EEZ_090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EEZ_090</x:v>
      </x:c>
      <x:c r="B8" s="24" t="str">
        <x:v>taxa_count</x:v>
      </x:c>
      <x:c r="C8" s="24" t="n">
        <x:v>52</x:v>
      </x:c>
      <x:c r="D8" s="24" t="str">
        <x:v>count</x:v>
      </x:c>
    </x:row>
    <x:row r="9" ht="18" customHeight="1">
      <x:c r="A9" s="24" t="str">
        <x:v>EEZ_090</x:v>
      </x:c>
      <x:c r="B9" s="24" t="str">
        <x:v>matched_taxa_count</x:v>
      </x:c>
      <x:c r="C9" s="24" t="n">
        <x:v>52</x:v>
      </x:c>
      <x:c r="D9" s="24" t="str">
        <x:v>count</x:v>
      </x:c>
    </x:row>
    <x:row r="10" ht="18" customHeight="1">
      <x:c r="A10" s="24" t="str">
        <x:v>EEZ_090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EEZ_090</x:v>
      </x:c>
      <x:c r="B11" s="24" t="str">
        <x:v>species_ppr</x:v>
      </x:c>
      <x:c r="C11" s="24" t="n">
        <x:v>304737248.27830005</x:v>
      </x:c>
      <x:c r="D11" s="24" t="str">
        <x:v>tonnes_primary_production_equivalent</x:v>
      </x:c>
    </x:row>
    <x:row r="12" ht="18" customHeight="1">
      <x:c r="A12" s="24" t="str">
        <x:v>EEZ_090</x:v>
      </x:c>
      <x:c r="B12" s="24" t="str">
        <x:v>commercial_ppr</x:v>
      </x:c>
      <x:c r="C12" s="24" t="n">
        <x:v>304737248.27830005</x:v>
      </x:c>
      <x:c r="D12" s="24" t="str">
        <x:v>tonnes_primary_production_equivalent</x:v>
      </x:c>
    </x:row>
    <x:row r="13" ht="18" customHeight="1">
      <x:c r="A13" s="24" t="str">
        <x:v>EEZ_090</x:v>
      </x:c>
      <x:c r="B13" s="24" t="str">
        <x:v>functional_ppr</x:v>
      </x:c>
      <x:c r="C13" s="24" t="n">
        <x:v>304737248.27830005</x:v>
      </x:c>
      <x:c r="D13" s="24" t="str">
        <x:v>tonnes_primary_production_equivalent</x:v>
      </x:c>
    </x:row>
    <x:row r="14" ht="18" customHeight="1">
      <x:c r="A14" s="24" t="str">
        <x:v>EEZ_090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EEZ_090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EEZ_090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EEZ_090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EEZ_090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EEZ_090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7ee3dd17d5943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EEZ_090 - Solomon Isl.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EEZ_090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raw_data/SAU_downloads/EEZ_090-catch.zip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