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e0ed4fb0745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bd66abb3f6c4417"/>
    <x:sheet xmlns:r="http://schemas.openxmlformats.org/officeDocument/2006/relationships" name="Commercial" sheetId="2" r:id="R6f0431086b4a4e37"/>
    <x:sheet xmlns:r="http://schemas.openxmlformats.org/officeDocument/2006/relationships" name="Functional" sheetId="3" r:id="Ra28d26c8756340c7"/>
    <x:sheet xmlns:r="http://schemas.openxmlformats.org/officeDocument/2006/relationships" name="Missing TL" sheetId="4" r:id="Rf2b3e07f5cc442e6"/>
    <x:sheet xmlns:r="http://schemas.openxmlformats.org/officeDocument/2006/relationships" name="Validation" sheetId="5" r:id="R4910870a97e54650"/>
    <x:sheet xmlns:r="http://schemas.openxmlformats.org/officeDocument/2006/relationships" name="Metadata" sheetId="6" r:id="Re627621a0a0a4d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cad55a15994620" /><Relationship Type="http://schemas.openxmlformats.org/officeDocument/2006/relationships/theme" Target="/xl/theme/theme1.xml" Id="Re6ca6442e4714c7c" /><Relationship Type="http://schemas.microsoft.com/office/2022/11/relationships/FeaturePropertyBag" Target="/xl/featurePropertyBag/featurePropertyBag.xml" Id="R1bbf3faec3d84115" /><Relationship Type="http://schemas.openxmlformats.org/officeDocument/2006/relationships/sharedStrings" Target="/xl/sharedStrings.xml" Id="R3d7288daff7a4982" /><Relationship Type="http://schemas.openxmlformats.org/officeDocument/2006/relationships/worksheet" Target="/xl/worksheets/sheet1.xml" Id="R8bd66abb3f6c4417" /><Relationship Type="http://schemas.openxmlformats.org/officeDocument/2006/relationships/worksheet" Target="/xl/worksheets/sheet2.xml" Id="R6f0431086b4a4e37" /><Relationship Type="http://schemas.openxmlformats.org/officeDocument/2006/relationships/worksheet" Target="/xl/worksheets/sheet3.xml" Id="Ra28d26c8756340c7" /><Relationship Type="http://schemas.openxmlformats.org/officeDocument/2006/relationships/worksheet" Target="/xl/worksheets/sheet4.xml" Id="Rf2b3e07f5cc442e6" /><Relationship Type="http://schemas.openxmlformats.org/officeDocument/2006/relationships/worksheet" Target="/xl/worksheets/sheet5.xml" Id="R4910870a97e54650" /><Relationship Type="http://schemas.openxmlformats.org/officeDocument/2006/relationships/worksheet" Target="/xl/worksheets/sheet6.xml" Id="Re627621a0a0a4d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77SpeciesTable" displayName="EEZ077SpeciesTable" ref="A1:U18" headerRowCount="1" totalsRowCount="0" totalsRowShown="0">
  <x:autoFilter ref="A1:U1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77CommercialTable" displayName="EEZ077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77FunctionalTable" displayName="EEZ077FunctionalTable" ref="A1:O7" headerRowCount="1" totalsRowCount="0" totalsRowShown="0">
  <x:autoFilter ref="A1:O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77ValidationTable" displayName="EEZ07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aaf6fac87543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7dff9700874a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d256d5de9bc48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f2ebf4125d4b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EEZ_077</x:v>
      </x:c>
      <x:c r="B2" s="24" t="str">
        <x:v>Trindade &amp; Martim Vaz Isl. (Brazil)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5291.698427671599</x:v>
      </x:c>
      <x:c r="J2" s="31" t="n">
        <x:v>4475.5729838107</x:v>
      </x:c>
      <x:c r="K2" s="31" t="n">
        <x:v>816.1254438609</x:v>
      </x:c>
      <x:c r="L2" s="31" t="n">
        <x:v>4411.6777798926</x:v>
      </x:c>
      <x:c r="M2" s="31" t="n">
        <x:v>880.020647779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1008312.3485236107</x:v>
      </x:c>
    </x:row>
    <x:row r="3" ht="18" customHeight="1">
      <x:c r="A3" s="24" t="str">
        <x:v>EEZ_077</x:v>
      </x:c>
      <x:c r="B3" s="24" t="str">
        <x:v>Trindade &amp; Martim Vaz Isl. (Brazil)</x:v>
      </x:c>
      <x:c r="C3" s="24" t="str">
        <x:v>EEZ</x:v>
      </x:c>
      <x:c r="D3" s="30" t="n">
        <x:v>2019</x:v>
      </x:c>
      <x:c r="E3" s="24" t="str">
        <x:v>Prionace glauca</x:v>
      </x:c>
      <x:c r="F3" s="24" t="str">
        <x:v>Blue shark</x:v>
      </x:c>
      <x:c r="G3" s="24" t="str">
        <x:v>Large sharks (&gt;=90 cm)</x:v>
      </x:c>
      <x:c r="H3" s="24" t="str">
        <x:v>Sharks &amp; rays</x:v>
      </x:c>
      <x:c r="I3" s="31" t="n">
        <x:v>668.5938483274999</x:v>
      </x:c>
      <x:c r="J3" s="31" t="n">
        <x:v>668.5938483274999</x:v>
      </x:c>
      <x:c r="K3" s="31" t="n">
        <x:v>0</x:v>
      </x:c>
      <x:c r="L3" s="31" t="n">
        <x:v>668.5938483274999</x:v>
      </x:c>
      <x:c r="M3" s="31" t="n">
        <x:v>0</x:v>
      </x:c>
      <x:c r="N3" s="24" t="str">
        <x:v>prionace glauca</x:v>
      </x:c>
      <x:c r="O3" s="32" t="n">
        <x:v>4.35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Prionace glauca</x:v>
      </x:c>
      <x:c r="T3" s="32" t="n">
        <x:f>IF(O3="","",(1/'Metadata'!$B$5)^(O3-1))</x:f>
        <x:v>2238.7211385683377</x:v>
      </x:c>
      <x:c r="U3" s="31" t="n">
        <x:f>IF(T3="","",I3*T3)</x:f>
        <x:v>1496795.181367527</x:v>
      </x:c>
    </x:row>
    <x:row r="4" ht="18" customHeight="1">
      <x:c r="A4" s="24" t="str">
        <x:v>EEZ_077</x:v>
      </x:c>
      <x:c r="B4" s="24" t="str">
        <x:v>Trindade &amp; Martim Vaz Isl. (Brazil)</x:v>
      </x:c>
      <x:c r="C4" s="24" t="str">
        <x:v>EEZ</x:v>
      </x:c>
      <x:c r="D4" s="30" t="n">
        <x:v>2019</x:v>
      </x:c>
      <x:c r="E4" s="24" t="str">
        <x:v>Xiphias gladius</x:v>
      </x:c>
      <x:c r="F4" s="24" t="str">
        <x:v>Swordfish</x:v>
      </x:c>
      <x:c r="G4" s="24" t="str">
        <x:v>Large pelagics (&gt;=90 cm)</x:v>
      </x:c>
      <x:c r="H4" s="24" t="str">
        <x:v>Tuna &amp; billfishes</x:v>
      </x:c>
      <x:c r="I4" s="31" t="n">
        <x:v>245.8849635134</x:v>
      </x:c>
      <x:c r="J4" s="31" t="n">
        <x:v>245.8849635134</x:v>
      </x:c>
      <x:c r="K4" s="31" t="n">
        <x:v>0</x:v>
      </x:c>
      <x:c r="L4" s="31" t="n">
        <x:v>245.8849635134</x:v>
      </x:c>
      <x:c r="M4" s="31" t="n">
        <x:v>0</x:v>
      </x:c>
      <x:c r="N4" s="24" t="str">
        <x:v>xiphias gladius</x:v>
      </x:c>
      <x:c r="O4" s="32" t="n">
        <x:v>4.53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Xiphias gladius</x:v>
      </x:c>
      <x:c r="T4" s="32" t="n">
        <x:f>IF(O4="","",(1/'Metadata'!$B$5)^(O4-1))</x:f>
        <x:v>3388.4415613920273</x:v>
      </x:c>
      <x:c r="U4" s="31" t="n">
        <x:f>IF(T4="","",I4*T4)</x:f>
        <x:v>833166.8296901667</x:v>
      </x:c>
    </x:row>
    <x:row r="5" ht="18" customHeight="1">
      <x:c r="A5" s="24" t="str">
        <x:v>EEZ_077</x:v>
      </x:c>
      <x:c r="B5" s="24" t="str">
        <x:v>Trindade &amp; Martim Vaz Isl. (Brazil)</x:v>
      </x:c>
      <x:c r="C5" s="24" t="str">
        <x:v>EEZ</x:v>
      </x:c>
      <x:c r="D5" s="30" t="n">
        <x:v>2019</x:v>
      </x:c>
      <x:c r="E5" s="24" t="str">
        <x:v>Thunnus obesus</x:v>
      </x:c>
      <x:c r="F5" s="24" t="str">
        <x:v>Bigeye tuna</x:v>
      </x:c>
      <x:c r="G5" s="24" t="str">
        <x:v>Large pelagics (&gt;=90 cm)</x:v>
      </x:c>
      <x:c r="H5" s="24" t="str">
        <x:v>Tuna &amp; billfishes</x:v>
      </x:c>
      <x:c r="I5" s="31" t="n">
        <x:v>105.289175216</x:v>
      </x:c>
      <x:c r="J5" s="31" t="n">
        <x:v>105.289175216</x:v>
      </x:c>
      <x:c r="K5" s="31" t="n">
        <x:v>0</x:v>
      </x:c>
      <x:c r="L5" s="31" t="n">
        <x:v>105.289175216</x:v>
      </x:c>
      <x:c r="M5" s="31" t="n">
        <x:v>0</x:v>
      </x:c>
      <x:c r="N5" s="24" t="str">
        <x:v>thunnus obesus</x:v>
      </x:c>
      <x:c r="O5" s="32" t="n">
        <x:v>4.49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obesus</x:v>
      </x:c>
      <x:c r="T5" s="32" t="n">
        <x:f>IF(O5="","",(1/'Metadata'!$B$5)^(O5-1))</x:f>
        <x:v>3090.295432513592</x:v>
      </x:c>
      <x:c r="U5" s="31" t="n">
        <x:f>IF(T5="","",I5*T5)</x:f>
        <x:v>325374.6572631281</x:v>
      </x:c>
    </x:row>
    <x:row r="6" ht="18" customHeight="1">
      <x:c r="A6" s="24" t="str">
        <x:v>EEZ_077</x:v>
      </x:c>
      <x:c r="B6" s="24" t="str">
        <x:v>Trindade &amp; Martim Vaz Isl. (Brazil)</x:v>
      </x:c>
      <x:c r="C6" s="24" t="str">
        <x:v>EEZ</x:v>
      </x:c>
      <x:c r="D6" s="30" t="n">
        <x:v>2019</x:v>
      </x:c>
      <x:c r="E6" s="24" t="str">
        <x:v>Marine pelagic fishes not identified</x:v>
      </x:c>
      <x:c r="F6" s="24" t="str">
        <x:v>Pelagic fishes</x:v>
      </x:c>
      <x:c r="G6" s="24" t="str">
        <x:v>Medium pelagics (30 - 89 cm)</x:v>
      </x:c>
      <x:c r="H6" s="24" t="str">
        <x:v>Other fishes &amp; inverts</x:v>
      </x:c>
      <x:c r="I6" s="31" t="n">
        <x:v>50.2614706757</x:v>
      </x:c>
      <x:c r="J6" s="31" t="n">
        <x:v>50.2614706757</x:v>
      </x:c>
      <x:c r="K6" s="31" t="n">
        <x:v>0</x:v>
      </x:c>
      <x:c r="L6" s="31" t="n">
        <x:v>50.2614706757</x:v>
      </x:c>
      <x:c r="M6" s="31" t="n">
        <x:v>0</x:v>
      </x:c>
      <x:c r="N6" s="24" t="str">
        <x:v>marine pelagic fishes not identified</x:v>
      </x:c>
      <x:c r="O6" s="32" t="n">
        <x:v>3.35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pelagic fishes not identified</x:v>
      </x:c>
      <x:c r="T6" s="32" t="n">
        <x:f>IF(O6="","",(1/'Metadata'!$B$5)^(O6-1))</x:f>
        <x:v>223.872113856834</x:v>
      </x:c>
      <x:c r="U6" s="31" t="n">
        <x:f>IF(T6="","",I6*T6)</x:f>
        <x:v>11252.141685722234</x:v>
      </x:c>
    </x:row>
    <x:row r="7" ht="18" customHeight="1">
      <x:c r="A7" s="24" t="str">
        <x:v>EEZ_077</x:v>
      </x:c>
      <x:c r="B7" s="24" t="str">
        <x:v>Trindade &amp; Martim Vaz Isl. (Brazil)</x:v>
      </x:c>
      <x:c r="C7" s="24" t="str">
        <x:v>EEZ</x:v>
      </x:c>
      <x:c r="D7" s="30" t="n">
        <x:v>2019</x:v>
      </x:c>
      <x:c r="E7" s="24" t="str">
        <x:v>Isurus oxyrinchus</x:v>
      </x:c>
      <x:c r="F7" s="24" t="str">
        <x:v>Shortfin mako</x:v>
      </x:c>
      <x:c r="G7" s="24" t="str">
        <x:v>Large sharks (&gt;=90 cm)</x:v>
      </x:c>
      <x:c r="H7" s="24" t="str">
        <x:v>Sharks &amp; rays</x:v>
      </x:c>
      <x:c r="I7" s="31" t="n">
        <x:v>29.8967221871</x:v>
      </x:c>
      <x:c r="J7" s="31" t="n">
        <x:v>29.8967221871</x:v>
      </x:c>
      <x:c r="K7" s="31" t="n">
        <x:v>0</x:v>
      </x:c>
      <x:c r="L7" s="31" t="n">
        <x:v>29.8967221871</x:v>
      </x:c>
      <x:c r="M7" s="31" t="n">
        <x:v>0</x:v>
      </x:c>
      <x:c r="N7" s="24" t="str">
        <x:v>isurus oxyrinchus</x:v>
      </x:c>
      <x:c r="O7" s="32" t="n">
        <x:v>4.5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Isurus oxyrinchus</x:v>
      </x:c>
      <x:c r="T7" s="32" t="n">
        <x:f>IF(O7="","",(1/'Metadata'!$B$5)^(O7-1))</x:f>
        <x:v>3162.2776601683795</x:v>
      </x:c>
      <x:c r="U7" s="31" t="n">
        <x:f>IF(T7="","",I7*T7)</x:f>
        <x:v>94541.73668452667</x:v>
      </x:c>
    </x:row>
    <x:row r="8" ht="18" customHeight="1">
      <x:c r="A8" s="24" t="str">
        <x:v>EEZ_077</x:v>
      </x:c>
      <x:c r="B8" s="24" t="str">
        <x:v>Trindade &amp; Martim Vaz Isl. (Brazil)</x:v>
      </x:c>
      <x:c r="C8" s="24" t="str">
        <x:v>EEZ</x:v>
      </x:c>
      <x:c r="D8" s="30" t="n">
        <x:v>2019</x:v>
      </x:c>
      <x:c r="E8" s="24" t="str">
        <x:v>Coryphaena hippurus</x:v>
      </x:c>
      <x:c r="F8" s="24" t="str">
        <x:v>Common dolphinfish</x:v>
      </x:c>
      <x:c r="G8" s="24" t="str">
        <x:v>Large pelagics (&gt;=90 cm)</x:v>
      </x:c>
      <x:c r="H8" s="24" t="str">
        <x:v>Perch-likes</x:v>
      </x:c>
      <x:c r="I8" s="31" t="n">
        <x:v>29.1362065515</x:v>
      </x:c>
      <x:c r="J8" s="31" t="n">
        <x:v>29.1362065515</x:v>
      </x:c>
      <x:c r="K8" s="31" t="n">
        <x:v>0</x:v>
      </x:c>
      <x:c r="L8" s="31" t="n">
        <x:v>29.1362065515</x:v>
      </x:c>
      <x:c r="M8" s="31" t="n">
        <x:v>0</x:v>
      </x:c>
      <x:c r="N8" s="24" t="str">
        <x:v>coryphaena hippurus</x:v>
      </x:c>
      <x:c r="O8" s="32" t="n">
        <x:v>4.37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Coryphaena hippurus</x:v>
      </x:c>
      <x:c r="T8" s="32" t="n">
        <x:f>IF(O8="","",(1/'Metadata'!$B$5)^(O8-1))</x:f>
        <x:v>2344.228815319923</x:v>
      </x:c>
      <x:c r="U8" s="31" t="n">
        <x:f>IF(T8="","",I8*T8)</x:f>
        <x:v>68301.93496713942</x:v>
      </x:c>
    </x:row>
    <x:row r="9" ht="18" customHeight="1">
      <x:c r="A9" s="24" t="str">
        <x:v>EEZ_077</x:v>
      </x:c>
      <x:c r="B9" s="24" t="str">
        <x:v>Trindade &amp; Martim Vaz Isl. (Brazil)</x:v>
      </x:c>
      <x:c r="C9" s="24" t="str">
        <x:v>EEZ</x:v>
      </x:c>
      <x:c r="D9" s="30" t="n">
        <x:v>2019</x:v>
      </x:c>
      <x:c r="E9" s="24" t="str">
        <x:v>Thunnus albacares</x:v>
      </x:c>
      <x:c r="F9" s="24" t="str">
        <x:v>Yellowfin tuna</x:v>
      </x:c>
      <x:c r="G9" s="24" t="str">
        <x:v>Large pelagics (&gt;=90 cm)</x:v>
      </x:c>
      <x:c r="H9" s="24" t="str">
        <x:v>Tuna &amp; billfishes</x:v>
      </x:c>
      <x:c r="I9" s="31" t="n">
        <x:v>13.5720789282</x:v>
      </x:c>
      <x:c r="J9" s="31" t="n">
        <x:v>13.5720789282</x:v>
      </x:c>
      <x:c r="K9" s="31" t="n">
        <x:v>0</x:v>
      </x:c>
      <x:c r="L9" s="31" t="n">
        <x:v>13.5720789282</x:v>
      </x:c>
      <x:c r="M9" s="31" t="n">
        <x:v>0</x:v>
      </x:c>
      <x:c r="N9" s="24" t="str">
        <x:v>thunnus albacares</x:v>
      </x:c>
      <x:c r="O9" s="32" t="n">
        <x:v>4.41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albacares</x:v>
      </x:c>
      <x:c r="T9" s="32" t="n">
        <x:f>IF(O9="","",(1/'Metadata'!$B$5)^(O9-1))</x:f>
        <x:v>2570.3957827688646</x:v>
      </x:c>
      <x:c r="U9" s="31" t="n">
        <x:f>IF(T9="","",I9*T9)</x:f>
        <x:v>34885.61444045145</x:v>
      </x:c>
    </x:row>
    <x:row r="10" ht="18" customHeight="1">
      <x:c r="A10" s="24" t="str">
        <x:v>EEZ_077</x:v>
      </x:c>
      <x:c r="B10" s="24" t="str">
        <x:v>Trindade &amp; Martim Vaz Isl. (Brazil)</x:v>
      </x:c>
      <x:c r="C10" s="24" t="str">
        <x:v>EEZ</x:v>
      </x:c>
      <x:c r="D10" s="30" t="n">
        <x:v>2019</x:v>
      </x:c>
      <x:c r="E10" s="24" t="str">
        <x:v>Caranx latus</x:v>
      </x:c>
      <x:c r="F10" s="24" t="str">
        <x:v>Horse-eye jack</x:v>
      </x:c>
      <x:c r="G10" s="24" t="str">
        <x:v>Large reef assoc. fish (&gt;=90 cm)</x:v>
      </x:c>
      <x:c r="H10" s="24" t="str">
        <x:v>Perch-likes</x:v>
      </x:c>
      <x:c r="I10" s="31" t="n">
        <x:v>8.395434437000002</x:v>
      </x:c>
      <x:c r="J10" s="31" t="n">
        <x:v>8.100000000000001</x:v>
      </x:c>
      <x:c r="K10" s="31" t="n">
        <x:v>0.295434437</x:v>
      </x:c>
      <x:c r="L10" s="31" t="n">
        <x:v>0</x:v>
      </x:c>
      <x:c r="M10" s="31" t="n">
        <x:v>8.395434437000002</x:v>
      </x:c>
      <x:c r="N10" s="24" t="str">
        <x:v>caranx latus</x:v>
      </x:c>
      <x:c r="O10" s="32" t="n">
        <x:v>4.16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Caranx latus</x:v>
      </x:c>
      <x:c r="T10" s="32" t="n">
        <x:f>IF(O10="","",(1/'Metadata'!$B$5)^(O10-1))</x:f>
        <x:v>1445.439770745928</x:v>
      </x:c>
      <x:c r="U10" s="31" t="n">
        <x:f>IF(T10="","",I10*T10)</x:f>
        <x:v>12135.094827929752</x:v>
      </x:c>
    </x:row>
    <x:row r="11" ht="18" customHeight="1">
      <x:c r="A11" s="24" t="str">
        <x:v>EEZ_077</x:v>
      </x:c>
      <x:c r="B11" s="24" t="str">
        <x:v>Trindade &amp; Martim Vaz Isl. (Brazil)</x:v>
      </x:c>
      <x:c r="C11" s="24" t="str">
        <x:v>EEZ</x:v>
      </x:c>
      <x:c r="D11" s="30" t="n">
        <x:v>2019</x:v>
      </x:c>
      <x:c r="E11" s="24" t="str">
        <x:v>Caranx lugubris</x:v>
      </x:c>
      <x:c r="F11" s="24" t="str">
        <x:v>Black jack</x:v>
      </x:c>
      <x:c r="G11" s="24" t="str">
        <x:v>Large benthopelagics (&gt;=90 cm)</x:v>
      </x:c>
      <x:c r="H11" s="24" t="str">
        <x:v>Perch-likes</x:v>
      </x:c>
      <x:c r="I11" s="31" t="n">
        <x:v>8.395434437000002</x:v>
      </x:c>
      <x:c r="J11" s="31" t="n">
        <x:v>8.100000000000001</x:v>
      </x:c>
      <x:c r="K11" s="31" t="n">
        <x:v>0.295434437</x:v>
      </x:c>
      <x:c r="L11" s="31" t="n">
        <x:v>0</x:v>
      </x:c>
      <x:c r="M11" s="31" t="n">
        <x:v>8.395434437000002</x:v>
      </x:c>
      <x:c r="N11" s="24" t="str">
        <x:v>caranx lugubris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Caranx lugubris</x:v>
      </x:c>
      <x:c r="T11" s="32" t="n">
        <x:f>IF(O11="","",(1/'Metadata'!$B$5)^(O11-1))</x:f>
        <x:v>3162.2776601683795</x:v>
      </x:c>
      <x:c r="U11" s="31" t="n">
        <x:f>IF(T11="","",I11*T11)</x:f>
        <x:v>26548.694767533405</x:v>
      </x:c>
    </x:row>
    <x:row r="12" ht="18" customHeight="1">
      <x:c r="A12" s="24" t="str">
        <x:v>EEZ_077</x:v>
      </x:c>
      <x:c r="B12" s="24" t="str">
        <x:v>Trindade &amp; Martim Vaz Isl. (Brazil)</x:v>
      </x:c>
      <x:c r="C12" s="24" t="str">
        <x:v>EEZ</x:v>
      </x:c>
      <x:c r="D12" s="30" t="n">
        <x:v>2019</x:v>
      </x:c>
      <x:c r="E12" s="24" t="str">
        <x:v>Carcharhinus</x:v>
      </x:c>
      <x:c r="F12" s="24" t="str">
        <x:v>Sharp-nosed sharks</x:v>
      </x:c>
      <x:c r="G12" s="24" t="str">
        <x:v>Large sharks (&gt;=90 cm)</x:v>
      </x:c>
      <x:c r="H12" s="24" t="str">
        <x:v>Sharks &amp; rays</x:v>
      </x:c>
      <x:c r="I12" s="31" t="n">
        <x:v>8.395434437000002</x:v>
      </x:c>
      <x:c r="J12" s="31" t="n">
        <x:v>8.100000000000001</x:v>
      </x:c>
      <x:c r="K12" s="31" t="n">
        <x:v>0.295434437</x:v>
      </x:c>
      <x:c r="L12" s="31" t="n">
        <x:v>0</x:v>
      </x:c>
      <x:c r="M12" s="31" t="n">
        <x:v>8.395434437000002</x:v>
      </x:c>
      <x:c r="N12" s="24" t="str">
        <x:v>carcharhinus</x:v>
      </x:c>
      <x:c r="O12" s="32" t="n">
        <x:v>4.26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Carcharhinus</x:v>
      </x:c>
      <x:c r="T12" s="32" t="n">
        <x:f>IF(O12="","",(1/'Metadata'!$B$5)^(O12-1))</x:f>
        <x:v>1819.7008586099826</x:v>
      </x:c>
      <x:c r="U12" s="31" t="n">
        <x:f>IF(T12="","",I12*T12)</x:f>
        <x:v>15277.17925341272</x:v>
      </x:c>
    </x:row>
    <x:row r="13" ht="18" customHeight="1">
      <x:c r="A13" s="24" t="str">
        <x:v>EEZ_077</x:v>
      </x:c>
      <x:c r="B13" s="24" t="str">
        <x:v>Trindade &amp; Martim Vaz Isl. (Brazil)</x:v>
      </x:c>
      <x:c r="C13" s="24" t="str">
        <x:v>EEZ</x:v>
      </x:c>
      <x:c r="D13" s="30" t="n">
        <x:v>2019</x:v>
      </x:c>
      <x:c r="E13" s="24" t="str">
        <x:v>Kajikia albida</x:v>
      </x:c>
      <x:c r="F13" s="24" t="str">
        <x:v>Atlantic white marlin</x:v>
      </x:c>
      <x:c r="G13" s="24" t="str">
        <x:v>Large pelagics (&gt;=90 cm)</x:v>
      </x:c>
      <x:c r="H13" s="24" t="str">
        <x:v>Tuna &amp; billfishes</x:v>
      </x:c>
      <x:c r="I13" s="31" t="n">
        <x:v>6.6000166672</x:v>
      </x:c>
      <x:c r="J13" s="31" t="n">
        <x:v>6.6000166672</x:v>
      </x:c>
      <x:c r="K13" s="31" t="n">
        <x:v>0</x:v>
      </x:c>
      <x:c r="L13" s="31" t="n">
        <x:v>6.6000166672</x:v>
      </x:c>
      <x:c r="M13" s="31" t="n">
        <x:v>0</x:v>
      </x:c>
      <x:c r="N13" s="24" t="str">
        <x:v>kajikia albida</x:v>
      </x:c>
      <x:c r="O13" s="32" t="n">
        <x:v>4.49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Kajikia albida</x:v>
      </x:c>
      <x:c r="T13" s="32" t="n">
        <x:f>IF(O13="","",(1/'Metadata'!$B$5)^(O13-1))</x:f>
        <x:v>3090.295432513592</x:v>
      </x:c>
      <x:c r="U13" s="31" t="n">
        <x:f>IF(T13="","",I13*T13)</x:f>
        <x:v>20396.00136116174</x:v>
      </x:c>
    </x:row>
    <x:row r="14" ht="18" customHeight="1">
      <x:c r="A14" s="24" t="str">
        <x:v>EEZ_077</x:v>
      </x:c>
      <x:c r="B14" s="24" t="str">
        <x:v>Trindade &amp; Martim Vaz Isl. (Brazil)</x:v>
      </x:c>
      <x:c r="C14" s="24" t="str">
        <x:v>EEZ</x:v>
      </x:c>
      <x:c r="D14" s="30" t="n">
        <x:v>2019</x:v>
      </x:c>
      <x:c r="E14" s="24" t="str">
        <x:v>Scombridae</x:v>
      </x:c>
      <x:c r="F14" s="24" t="str">
        <x:v>Mackerels, tunas, bonitos</x:v>
      </x:c>
      <x:c r="G14" s="24" t="str">
        <x:v>Medium pelagics (30 - 89 cm)</x:v>
      </x:c>
      <x:c r="H14" s="24" t="str">
        <x:v>Perch-likes</x:v>
      </x:c>
      <x:c r="I14" s="31" t="n">
        <x:v>1.839834437</x:v>
      </x:c>
      <x:c r="J14" s="31" t="n">
        <x:v>1.5444</x:v>
      </x:c>
      <x:c r="K14" s="31" t="n">
        <x:v>0.295434437</x:v>
      </x:c>
      <x:c r="L14" s="31" t="n">
        <x:v>0</x:v>
      </x:c>
      <x:c r="M14" s="31" t="n">
        <x:v>1.839834437</x:v>
      </x:c>
      <x:c r="N14" s="24" t="str">
        <x:v>scombridae</x:v>
      </x:c>
      <x:c r="O14" s="32" t="n">
        <x:v>4.26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Scombridae</x:v>
      </x:c>
      <x:c r="T14" s="32" t="n">
        <x:f>IF(O14="","",(1/'Metadata'!$B$5)^(O14-1))</x:f>
        <x:v>1819.7008586099826</x:v>
      </x:c>
      <x:c r="U14" s="31" t="n">
        <x:f>IF(T14="","",I14*T14)</x:f>
        <x:v>3347.948304709114</x:v>
      </x:c>
    </x:row>
    <x:row r="15" ht="18" customHeight="1">
      <x:c r="A15" s="24" t="str">
        <x:v>EEZ_077</x:v>
      </x:c>
      <x:c r="B15" s="24" t="str">
        <x:v>Trindade &amp; Martim Vaz Isl. (Brazil)</x:v>
      </x:c>
      <x:c r="C15" s="24" t="str">
        <x:v>EEZ</x:v>
      </x:c>
      <x:c r="D15" s="30" t="n">
        <x:v>2019</x:v>
      </x:c>
      <x:c r="E15" s="24" t="str">
        <x:v>Makaira nigricans</x:v>
      </x:c>
      <x:c r="F15" s="24" t="str">
        <x:v>Blue marlin</x:v>
      </x:c>
      <x:c r="G15" s="24" t="str">
        <x:v>Large pelagics (&gt;=90 cm)</x:v>
      </x:c>
      <x:c r="H15" s="24" t="str">
        <x:v>Tuna &amp; billfishes</x:v>
      </x:c>
      <x:c r="I15" s="31" t="n">
        <x:v>1.7168739904</x:v>
      </x:c>
      <x:c r="J15" s="31" t="n">
        <x:v>1.7168739904</x:v>
      </x:c>
      <x:c r="K15" s="31" t="n">
        <x:v>0</x:v>
      </x:c>
      <x:c r="L15" s="31" t="n">
        <x:v>1.7168739904</x:v>
      </x:c>
      <x:c r="M15" s="31" t="n">
        <x:v>0</x:v>
      </x:c>
      <x:c r="N15" s="24" t="str">
        <x:v>makaira nigricans</x:v>
      </x:c>
      <x:c r="O15" s="32" t="n">
        <x:v>4.49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Makaira nigricans</x:v>
      </x:c>
      <x:c r="T15" s="32" t="n">
        <x:f>IF(O15="","",(1/'Metadata'!$B$5)^(O15-1))</x:f>
        <x:v>3090.295432513592</x:v>
      </x:c>
      <x:c r="U15" s="31" t="n">
        <x:f>IF(T15="","",I15*T15)</x:f>
        <x:v>5305.647850734505</x:v>
      </x:c>
    </x:row>
    <x:row r="16" ht="18" customHeight="1">
      <x:c r="A16" s="24" t="str">
        <x:v>EEZ_077</x:v>
      </x:c>
      <x:c r="B16" s="24" t="str">
        <x:v>Trindade &amp; Martim Vaz Isl. (Brazil)</x:v>
      </x:c>
      <x:c r="C16" s="24" t="str">
        <x:v>EEZ</x:v>
      </x:c>
      <x:c r="D16" s="30" t="n">
        <x:v>2019</x:v>
      </x:c>
      <x:c r="E16" s="24" t="str">
        <x:v>Acanthocybium solandri</x:v>
      </x:c>
      <x:c r="F16" s="24" t="str">
        <x:v>Wahoo</x:v>
      </x:c>
      <x:c r="G16" s="24" t="str">
        <x:v>Large pelagics (&gt;=90 cm)</x:v>
      </x:c>
      <x:c r="H16" s="24" t="str">
        <x:v>Perch-likes</x:v>
      </x:c>
      <x:c r="I16" s="31" t="n">
        <x:v>1.3014087856</x:v>
      </x:c>
      <x:c r="J16" s="31" t="n">
        <x:v>1.3014087856</x:v>
      </x:c>
      <x:c r="K16" s="31" t="n">
        <x:v>0</x:v>
      </x:c>
      <x:c r="L16" s="31" t="n">
        <x:v>1.3014087856</x:v>
      </x:c>
      <x:c r="M16" s="31" t="n">
        <x:v>0</x:v>
      </x:c>
      <x:c r="N16" s="24" t="str">
        <x:v>acanthocybium solandri</x:v>
      </x:c>
      <x:c r="O16" s="32" t="n">
        <x:v>4.26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Acanthocybium solandri</x:v>
      </x:c>
      <x:c r="T16" s="32" t="n">
        <x:f>IF(O16="","",(1/'Metadata'!$B$5)^(O16-1))</x:f>
        <x:v>1819.7008586099826</x:v>
      </x:c>
      <x:c r="U16" s="31" t="n">
        <x:f>IF(T16="","",I16*T16)</x:f>
        <x:v>2368.174684558895</x:v>
      </x:c>
    </x:row>
    <x:row r="17" ht="18" customHeight="1">
      <x:c r="A17" s="24" t="str">
        <x:v>EEZ_077</x:v>
      </x:c>
      <x:c r="B17" s="24" t="str">
        <x:v>Trindade &amp; Martim Vaz Isl. (Brazil)</x:v>
      </x:c>
      <x:c r="C17" s="24" t="str">
        <x:v>EEZ</x:v>
      </x:c>
      <x:c r="D17" s="30" t="n">
        <x:v>2019</x:v>
      </x:c>
      <x:c r="E17" s="24" t="str">
        <x:v>Thunnus alalunga</x:v>
      </x:c>
      <x:c r="F17" s="24" t="str">
        <x:v>Albacore</x:v>
      </x:c>
      <x:c r="G17" s="24" t="str">
        <x:v>Large pelagics (&gt;=90 cm)</x:v>
      </x:c>
      <x:c r="H17" s="24" t="str">
        <x:v>Tuna &amp; billfishes</x:v>
      </x:c>
      <x:c r="I17" s="31" t="n">
        <x:v>0.8777679915</x:v>
      </x:c>
      <x:c r="J17" s="31" t="n">
        <x:v>0.8777679915</x:v>
      </x:c>
      <x:c r="K17" s="31" t="n">
        <x:v>0</x:v>
      </x:c>
      <x:c r="L17" s="31" t="n">
        <x:v>0.8777679915</x:v>
      </x:c>
      <x:c r="M17" s="31" t="n">
        <x:v>0</x:v>
      </x:c>
      <x:c r="N17" s="24" t="str">
        <x:v>thunnus alalunga</x:v>
      </x:c>
      <x:c r="O17" s="32" t="n">
        <x:v>4.3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Thunnus alalunga</x:v>
      </x:c>
      <x:c r="T17" s="32" t="n">
        <x:f>IF(O17="","",(1/'Metadata'!$B$5)^(O17-1))</x:f>
        <x:v>1995.2623149688789</x:v>
      </x:c>
      <x:c r="U17" s="31" t="n">
        <x:f>IF(T17="","",I17*T17)</x:f>
        <x:v>1751.377394725873</x:v>
      </x:c>
    </x:row>
    <x:row r="18" ht="18" customHeight="1">
      <x:c r="A18" s="24" t="str">
        <x:v>EEZ_077</x:v>
      </x:c>
      <x:c r="B18" s="24" t="str">
        <x:v>Trindade &amp; Martim Vaz Isl. (Brazil)</x:v>
      </x:c>
      <x:c r="C18" s="24" t="str">
        <x:v>EEZ</x:v>
      </x:c>
      <x:c r="D18" s="30" t="n">
        <x:v>2019</x:v>
      </x:c>
      <x:c r="E18" s="24" t="str">
        <x:v>Sarda sarda</x:v>
      </x:c>
      <x:c r="F18" s="24" t="str">
        <x:v>Atlantic bonito</x:v>
      </x:c>
      <x:c r="G18" s="24" t="str">
        <x:v>Medium pelagics (30 - 89 cm)</x:v>
      </x:c>
      <x:c r="H18" s="24" t="str">
        <x:v>Tuna &amp; billfishes</x:v>
      </x:c>
      <x:c r="I18" s="31" t="n">
        <x:v>0.0065224608</x:v>
      </x:c>
      <x:c r="J18" s="31" t="n">
        <x:v>0.0065224608</x:v>
      </x:c>
      <x:c r="K18" s="31" t="n">
        <x:v>0</x:v>
      </x:c>
      <x:c r="L18" s="31" t="n">
        <x:v>0.0065224608</x:v>
      </x:c>
      <x:c r="M18" s="31" t="n">
        <x:v>0</x:v>
      </x:c>
      <x:c r="N18" s="24" t="str">
        <x:v>sarda sarda</x:v>
      </x:c>
      <x:c r="O18" s="32" t="n">
        <x:v>4.5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Sarda sarda</x:v>
      </x:c>
      <x:c r="T18" s="32" t="n">
        <x:f>IF(O18="","",(1/'Metadata'!$B$5)^(O18-1))</x:f>
        <x:v>3162.2776601683795</x:v>
      </x:c>
      <x:c r="U18" s="31" t="n">
        <x:f>IF(T18="","",I18*T18)</x:f>
        <x:v>20.625832077163977</x:v>
      </x:c>
    </x:row>
  </x:sheetData>
  <x:conditionalFormatting sqref="R2:R1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caaf6fac87543d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Other fishes &amp; inverts</x:v>
      </x:c>
      <x:c r="B2" s="33" t="n">
        <x:v>2</x:v>
      </x:c>
      <x:c r="C2" s="33" t="n">
        <x:v>2</x:v>
      </x:c>
      <x:c r="D2" s="31" t="n">
        <x:v>5341.9598983473</x:v>
      </x:c>
      <x:c r="E2" s="31" t="n">
        <x:v>5341.9598983473</x:v>
      </x:c>
      <x:c r="F2" s="32" t="n">
        <x:v>0</x:v>
      </x:c>
      <x:c r="G2" s="34" t="n">
        <x:v>1</x:v>
      </x:c>
      <x:c r="H2" s="32" t="n">
        <x:f>IF(E2=0,"",I2/E2)</x:f>
        <x:v>190.85963010032455</x:v>
      </x:c>
      <x:c r="I2" s="31" t="n">
        <x:f>IF(C2=0,"",SUMIF('Species'!$H$2:$H$18,A2,'Species'!$U$2:$U$18))</x:f>
        <x:v>1019564.490209333</x:v>
      </x:c>
      <x:c r="J2" s="32" t="n">
        <x:v>3.280658616502978</x:v>
      </x:c>
      <x:c r="K2" s="32" t="n">
        <x:f>IF(J2="","",(1/'Metadata'!$B$5)^(J2-1))</x:f>
        <x:v>190.8352580513796</x:v>
      </x:c>
      <x:c r="L2" s="31" t="n">
        <x:f>IF(E2=0,"",E2*K2)</x:f>
        <x:v>1019434.2957012285</x:v>
      </x:c>
      <x:c r="M2" s="31" t="n">
        <x:f>IF(E2=0,"",I2-L2)</x:f>
        <x:v>130.1945081044687</x:v>
      </x:c>
      <x:c r="N2" s="32" t="n">
        <x:f>IF(L2=0,"",I2/L2)</x:f>
        <x:v>1.0001277125055077</x:v>
      </x:c>
      <x:c r="O2" s="34" t="n">
        <x:f>IF(L2=0,"",M2/L2)</x:f>
        <x:v>0.0001277125055076875</x:v>
      </x:c>
    </x:row>
    <x:row r="3" ht="18" customHeight="1">
      <x:c r="A3" s="24" t="str">
        <x:v>Perch-likes</x:v>
      </x:c>
      <x:c r="B3" s="33" t="n">
        <x:v>5</x:v>
      </x:c>
      <x:c r="C3" s="33" t="n">
        <x:v>5</x:v>
      </x:c>
      <x:c r="D3" s="31" t="n">
        <x:v>49.06831864810001</x:v>
      </x:c>
      <x:c r="E3" s="31" t="n">
        <x:v>49.06831864810001</x:v>
      </x:c>
      <x:c r="F3" s="32" t="n">
        <x:v>0</x:v>
      </x:c>
      <x:c r="G3" s="34" t="n">
        <x:v>1</x:v>
      </x:c>
      <x:c r="H3" s="32" t="n">
        <x:f>IF(E3=0,"",I3/E3)</x:f>
        <x:v>2296.835323829351</x:v>
      </x:c>
      <x:c r="I3" s="31" t="n">
        <x:f>IF(C3=0,"",SUMIF('Species'!$H$2:$H$18,A3,'Species'!$U$2:$U$18))</x:f>
        <x:v>112701.84755187058</x:v>
      </x:c>
      <x:c r="J3" s="32" t="n">
        <x:v>4.349270300318606</x:v>
      </x:c>
      <x:c r="K3" s="32" t="n">
        <x:f>IF(J3="","",(1/'Metadata'!$B$5)^(J3-1))</x:f>
        <x:v>2234.9628073920585</x:v>
      </x:c>
      <x:c r="L3" s="31" t="n">
        <x:f>IF(E3=0,"",E3*K3)</x:f>
        <x:v>109665.8671997657</x:v>
      </x:c>
      <x:c r="M3" s="31" t="n">
        <x:f>IF(E3=0,"",I3-L3)</x:f>
        <x:v>3035.980352104889</x:v>
      </x:c>
      <x:c r="N3" s="32" t="n">
        <x:f>IF(L3=0,"",I3/L3)</x:f>
        <x:v>1.027683913232315</x:v>
      </x:c>
      <x:c r="O3" s="34" t="n">
        <x:f>IF(L3=0,"",M3/L3)</x:f>
        <x:v>0.027683913232314963</x:v>
      </x:c>
    </x:row>
    <x:row r="4" ht="18" customHeight="1">
      <x:c r="A4" s="24" t="str">
        <x:v>Sharks &amp; rays</x:v>
      </x:c>
      <x:c r="B4" s="33" t="n">
        <x:v>3</x:v>
      </x:c>
      <x:c r="C4" s="33" t="n">
        <x:v>3</x:v>
      </x:c>
      <x:c r="D4" s="31" t="n">
        <x:v>706.8860049515998</x:v>
      </x:c>
      <x:c r="E4" s="31" t="n">
        <x:v>706.8860049515998</x:v>
      </x:c>
      <x:c r="F4" s="32" t="n">
        <x:v>0</x:v>
      </x:c>
      <x:c r="G4" s="34" t="n">
        <x:v>1</x:v>
      </x:c>
      <x:c r="H4" s="32" t="n">
        <x:f>IF(E4=0,"",I4/E4)</x:f>
        <x:v>2272.805071894825</x:v>
      </x:c>
      <x:c r="I4" s="31" t="n">
        <x:f>IF(C4=0,"",SUMIF('Species'!$H$2:$H$18,A4,'Species'!$U$2:$U$18))</x:f>
        <x:v>1606614.0973054662</x:v>
      </x:c>
      <x:c r="J4" s="32" t="n">
        <x:v>4.3552751351740095</x:v>
      </x:c>
      <x:c r="K4" s="32" t="n">
        <x:f>IF(J4="","",(1/'Metadata'!$B$5)^(J4-1))</x:f>
        <x:v>2266.0794644781563</x:v>
      </x:c>
      <x:c r="L4" s="31" t="n">
        <x:f>IF(E4=0,"",E4*K4)</x:f>
        <x:v>1601859.8595478246</x:v>
      </x:c>
      <x:c r="M4" s="31" t="n">
        <x:f>IF(E4=0,"",I4-L4)</x:f>
        <x:v>4754.237757641589</x:v>
      </x:c>
      <x:c r="N4" s="32" t="n">
        <x:f>IF(L4=0,"",I4/L4)</x:f>
        <x:v>1.002967948618791</x:v>
      </x:c>
      <x:c r="O4" s="34" t="n">
        <x:f>IF(L4=0,"",M4/L4)</x:f>
        <x:v>0.0029679486187909236</x:v>
      </x:c>
    </x:row>
    <x:row r="5" ht="18" customHeight="1">
      <x:c r="A5" s="24" t="str">
        <x:v>Tuna &amp; billfishes</x:v>
      </x:c>
      <x:c r="B5" s="33" t="n">
        <x:v>7</x:v>
      </x:c>
      <x:c r="C5" s="33" t="n">
        <x:v>7</x:v>
      </x:c>
      <x:c r="D5" s="31" t="n">
        <x:v>373.94739876750003</x:v>
      </x:c>
      <x:c r="E5" s="31" t="n">
        <x:v>373.94739876750003</x:v>
      </x:c>
      <x:c r="F5" s="32" t="n">
        <x:v>0</x:v>
      </x:c>
      <x:c r="G5" s="34" t="n">
        <x:v>1</x:v>
      </x:c>
      <x:c r="H5" s="32" t="n">
        <x:f>IF(E5=0,"",I5/E5)</x:f>
        <x:v>3264.8997101101227</x:v>
      </x:c>
      <x:c r="I5" s="31" t="n">
        <x:f>IF(C5=0,"",SUMIF('Species'!$H$2:$H$18,A5,'Species'!$U$2:$U$18))</x:f>
        <x:v>1220900.7538324452</x:v>
      </x:c>
      <x:c r="J5" s="32" t="n">
        <x:v>4.512952216169418</x:v>
      </x:c>
      <x:c r="K5" s="32" t="n">
        <x:f>IF(J5="","",(1/'Metadata'!$B$5)^(J5-1))</x:f>
        <x:v>3258.0085235585193</x:v>
      </x:c>
      <x:c r="L5" s="31" t="n">
        <x:f>IF(E5=0,"",E5*K5)</x:f>
        <x:v>1218323.8125470516</x:v>
      </x:c>
      <x:c r="M5" s="31" t="n">
        <x:f>IF(E5=0,"",I5-L5)</x:f>
        <x:v>2576.9412853936665</x:v>
      </x:c>
      <x:c r="N5" s="32" t="n">
        <x:f>IF(L5=0,"",I5/L5)</x:f>
        <x:v>1.0021151530150316</x:v>
      </x:c>
      <x:c r="O5" s="34" t="n">
        <x:f>IF(L5=0,"",M5/L5)</x:f>
        <x:v>0.002115153015031581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07dff9700874a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1</x:v>
      </x:c>
      <x:c r="C2" s="33" t="n">
        <x:v>1</x:v>
      </x:c>
      <x:c r="D2" s="31" t="n">
        <x:v>8.395434437000002</x:v>
      </x:c>
      <x:c r="E2" s="31" t="n">
        <x:v>8.395434437000002</x:v>
      </x:c>
      <x:c r="F2" s="32" t="n">
        <x:v>0</x:v>
      </x:c>
      <x:c r="G2" s="34" t="n">
        <x:v>1</x:v>
      </x:c>
      <x:c r="H2" s="32" t="n">
        <x:f>IF(E2=0,"",I2/E2)</x:f>
        <x:v>3162.2776601683795</x:v>
      </x:c>
      <x:c r="I2" s="31" t="n">
        <x:f>IF(C2=0,"",SUMIF('Species'!$G$2:$G$18,A2,'Species'!$U$2:$U$18))</x:f>
        <x:v>26548.694767533405</x:v>
      </x:c>
      <x:c r="J2" s="32" t="n">
        <x:v>4.5</x:v>
      </x:c>
      <x:c r="K2" s="32" t="n">
        <x:f>IF(J2="","",(1/'Metadata'!$B$5)^(J2-1))</x:f>
        <x:v>3162.2776601683795</x:v>
      </x:c>
      <x:c r="L2" s="31" t="n">
        <x:f>IF(E2=0,"",E2*K2)</x:f>
        <x:v>26548.694767533405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pelagics (&gt;=90 cm)</x:v>
      </x:c>
      <x:c r="B3" s="33" t="n">
        <x:v>8</x:v>
      </x:c>
      <x:c r="C3" s="33" t="n">
        <x:v>8</x:v>
      </x:c>
      <x:c r="D3" s="31" t="n">
        <x:v>404.37849164380003</x:v>
      </x:c>
      <x:c r="E3" s="31" t="n">
        <x:v>404.37849164380003</x:v>
      </x:c>
      <x:c r="F3" s="32" t="n">
        <x:v>0</x:v>
      </x:c>
      <x:c r="G3" s="34" t="n">
        <x:v>1</x:v>
      </x:c>
      <x:c r="H3" s="32" t="n">
        <x:f>IF(E3=0,"",I3/E3)</x:f>
        <x:v>3193.914276701291</x:v>
      </x:c>
      <x:c r="I3" s="31" t="n">
        <x:f>IF(C3=0,"",SUMIF('Species'!$G$2:$G$18,A3,'Species'!$U$2:$U$18))</x:f>
        <x:v>1291550.2376520666</x:v>
      </x:c>
      <x:c r="J3" s="32" t="n">
        <x:v>4.501838383098881</x:v>
      </x:c>
      <x:c r="K3" s="32" t="n">
        <x:f>IF(J3="","",(1/'Metadata'!$B$5)^(J3-1))</x:f>
        <x:v>3175.692059269239</x:v>
      </x:c>
      <x:c r="L3" s="31" t="n">
        <x:f>IF(E3=0,"",E3*K3)</x:f>
        <x:v>1284181.564852488</x:v>
      </x:c>
      <x:c r="M3" s="31" t="n">
        <x:f>IF(E3=0,"",I3-L3)</x:f>
        <x:v>7368.672799578635</x:v>
      </x:c>
      <x:c r="N3" s="32" t="n">
        <x:f>IF(L3=0,"",I3/L3)</x:f>
        <x:v>1.0057380303543175</x:v>
      </x:c>
      <x:c r="O3" s="34" t="n">
        <x:f>IF(L3=0,"",M3/L3)</x:f>
        <x:v>0.005738030354317587</x:v>
      </x:c>
    </x:row>
    <x:row r="4" ht="18" customHeight="1">
      <x:c r="A4" s="24" t="str">
        <x:v>Large reef assoc. fish (&gt;=90 cm)</x:v>
      </x:c>
      <x:c r="B4" s="33" t="n">
        <x:v>1</x:v>
      </x:c>
      <x:c r="C4" s="33" t="n">
        <x:v>1</x:v>
      </x:c>
      <x:c r="D4" s="31" t="n">
        <x:v>8.395434437000002</x:v>
      </x:c>
      <x:c r="E4" s="31" t="n">
        <x:v>8.395434437000002</x:v>
      </x:c>
      <x:c r="F4" s="32" t="n">
        <x:v>0</x:v>
      </x:c>
      <x:c r="G4" s="34" t="n">
        <x:v>1</x:v>
      </x:c>
      <x:c r="H4" s="32" t="n">
        <x:f>IF(E4=0,"",I4/E4)</x:f>
        <x:v>1445.439770745928</x:v>
      </x:c>
      <x:c r="I4" s="31" t="n">
        <x:f>IF(C4=0,"",SUMIF('Species'!$G$2:$G$18,A4,'Species'!$U$2:$U$18))</x:f>
        <x:v>12135.094827929752</x:v>
      </x:c>
      <x:c r="J4" s="32" t="n">
        <x:v>4.16</x:v>
      </x:c>
      <x:c r="K4" s="32" t="n">
        <x:f>IF(J4="","",(1/'Metadata'!$B$5)^(J4-1))</x:f>
        <x:v>1445.439770745928</x:v>
      </x:c>
      <x:c r="L4" s="31" t="n">
        <x:f>IF(E4=0,"",E4*K4)</x:f>
        <x:v>12135.094827929752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sharks (&gt;=90 cm)</x:v>
      </x:c>
      <x:c r="B5" s="33" t="n">
        <x:v>3</x:v>
      </x:c>
      <x:c r="C5" s="33" t="n">
        <x:v>3</x:v>
      </x:c>
      <x:c r="D5" s="31" t="n">
        <x:v>706.8860049515998</x:v>
      </x:c>
      <x:c r="E5" s="31" t="n">
        <x:v>706.8860049515998</x:v>
      </x:c>
      <x:c r="F5" s="32" t="n">
        <x:v>0</x:v>
      </x:c>
      <x:c r="G5" s="34" t="n">
        <x:v>1</x:v>
      </x:c>
      <x:c r="H5" s="32" t="n">
        <x:f>IF(E5=0,"",I5/E5)</x:f>
        <x:v>2272.805071894825</x:v>
      </x:c>
      <x:c r="I5" s="31" t="n">
        <x:f>IF(C5=0,"",SUMIF('Species'!$G$2:$G$18,A5,'Species'!$U$2:$U$18))</x:f>
        <x:v>1606614.0973054662</x:v>
      </x:c>
      <x:c r="J5" s="32" t="n">
        <x:v>4.3552751351740095</x:v>
      </x:c>
      <x:c r="K5" s="32" t="n">
        <x:f>IF(J5="","",(1/'Metadata'!$B$5)^(J5-1))</x:f>
        <x:v>2266.0794644781563</x:v>
      </x:c>
      <x:c r="L5" s="31" t="n">
        <x:f>IF(E5=0,"",E5*K5)</x:f>
        <x:v>1601859.8595478246</x:v>
      </x:c>
      <x:c r="M5" s="31" t="n">
        <x:f>IF(E5=0,"",I5-L5)</x:f>
        <x:v>4754.237757641589</x:v>
      </x:c>
      <x:c r="N5" s="32" t="n">
        <x:f>IF(L5=0,"",I5/L5)</x:f>
        <x:v>1.002967948618791</x:v>
      </x:c>
      <x:c r="O5" s="34" t="n">
        <x:f>IF(L5=0,"",M5/L5)</x:f>
        <x:v>0.0029679486187909236</x:v>
      </x:c>
    </x:row>
    <x:row r="6" ht="18" customHeight="1">
      <x:c r="A6" s="24" t="str">
        <x:v>Medium demersals (30 - 89 cm)</x:v>
      </x:c>
      <x:c r="B6" s="33" t="n">
        <x:v>1</x:v>
      </x:c>
      <x:c r="C6" s="33" t="n">
        <x:v>1</x:v>
      </x:c>
      <x:c r="D6" s="31" t="n">
        <x:v>5291.698427671599</x:v>
      </x:c>
      <x:c r="E6" s="31" t="n">
        <x:v>5291.698427671599</x:v>
      </x:c>
      <x:c r="F6" s="32" t="n">
        <x:v>0</x:v>
      </x:c>
      <x:c r="G6" s="34" t="n">
        <x:v>1</x:v>
      </x:c>
      <x:c r="H6" s="32" t="n">
        <x:f>IF(E6=0,"",I6/E6)</x:f>
        <x:v>190.54607179632464</x:v>
      </x:c>
      <x:c r="I6" s="31" t="n">
        <x:f>IF(C6=0,"",SUMIF('Species'!$G$2:$G$18,A6,'Species'!$U$2:$U$18))</x:f>
        <x:v>1008312.3485236107</x:v>
      </x:c>
      <x:c r="J6" s="32" t="n">
        <x:v>3.28</x:v>
      </x:c>
      <x:c r="K6" s="32" t="n">
        <x:f>IF(J6="","",(1/'Metadata'!$B$5)^(J6-1))</x:f>
        <x:v>190.54607179632464</x:v>
      </x:c>
      <x:c r="L6" s="31" t="n">
        <x:f>IF(E6=0,"",E6*K6)</x:f>
        <x:v>1008312.3485236107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Medium pelagics (30 - 89 cm)</x:v>
      </x:c>
      <x:c r="B7" s="33" t="n">
        <x:v>3</x:v>
      </x:c>
      <x:c r="C7" s="33" t="n">
        <x:v>3</x:v>
      </x:c>
      <x:c r="D7" s="31" t="n">
        <x:v>52.107827573499996</x:v>
      </x:c>
      <x:c r="E7" s="31" t="n">
        <x:v>52.107827573499996</x:v>
      </x:c>
      <x:c r="F7" s="32" t="n">
        <x:v>0</x:v>
      </x:c>
      <x:c r="G7" s="34" t="n">
        <x:v>1</x:v>
      </x:c>
      <x:c r="H7" s="32" t="n">
        <x:f>IF(E7=0,"",I7/E7)</x:f>
        <x:v>280.58578726747834</x:v>
      </x:c>
      <x:c r="I7" s="31" t="n">
        <x:f>IF(C7=0,"",SUMIF('Species'!$G$2:$G$18,A7,'Species'!$U$2:$U$18))</x:f>
        <x:v>14620.715822508511</x:v>
      </x:c>
      <x:c r="J7" s="32" t="n">
        <x:v>3.3822744248974463</x:v>
      </x:c>
      <x:c r="K7" s="32" t="n">
        <x:f>IF(J7="","",(1/'Metadata'!$B$5)^(J7-1))</x:f>
        <x:v>241.1428697038042</x:v>
      </x:c>
      <x:c r="L7" s="31" t="n">
        <x:f>IF(E7=0,"",E7*K7)</x:f>
        <x:v>12565.431075104805</x:v>
      </x:c>
      <x:c r="M7" s="31" t="n">
        <x:f>IF(E7=0,"",I7-L7)</x:f>
        <x:v>2055.284747403706</x:v>
      </x:c>
      <x:c r="N7" s="32" t="n">
        <x:f>IF(L7=0,"",I7/L7)</x:f>
        <x:v>1.1635665927511016</x:v>
      </x:c>
      <x:c r="O7" s="34" t="n">
        <x:f>IF(L7=0,"",M7/L7)</x:f>
        <x:v>0.16356659275110175</x:v>
      </x:c>
    </x:row>
  </x:sheetData>
  <x:conditionalFormatting sqref="G2:G7">
    <x:cfRule type="cellIs" dxfId="2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d256d5de9bc48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EEZ_077</x:v>
      </x:c>
      <x:c r="B2" s="24" t="str">
        <x:v>raw_filtered_tonnes</x:v>
      </x:c>
      <x:c r="C2" s="24" t="n">
        <x:v>6471.8616207145005</x:v>
      </x:c>
      <x:c r="D2" s="24" t="str">
        <x:v>tonnes</x:v>
      </x:c>
    </x:row>
    <x:row r="3" ht="18" customHeight="1">
      <x:c r="A3" s="24" t="str">
        <x:v>EEZ_077</x:v>
      </x:c>
      <x:c r="B3" s="24" t="str">
        <x:v>species_catch_tonnes</x:v>
      </x:c>
      <x:c r="C3" s="24" t="n">
        <x:v>6471.8616207145</x:v>
      </x:c>
      <x:c r="D3" s="24" t="str">
        <x:v>tonnes</x:v>
      </x:c>
    </x:row>
    <x:row r="4" ht="18" customHeight="1">
      <x:c r="A4" s="24" t="str">
        <x:v>EEZ_077</x:v>
      </x:c>
      <x:c r="B4" s="24" t="str">
        <x:v>catch_difference_tonnes</x:v>
      </x:c>
      <x:c r="C4" s="24" t="n">
        <x:v>-9.094947017729282e-13</x:v>
      </x:c>
      <x:c r="D4" s="24" t="str">
        <x:v>tonnes</x:v>
      </x:c>
    </x:row>
    <x:row r="5" ht="18" customHeight="1">
      <x:c r="A5" s="24" t="str">
        <x:v>EEZ_077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EEZ_077</x:v>
      </x:c>
      <x:c r="B6" s="24" t="str">
        <x:v>matched_catch_tonnes</x:v>
      </x:c>
      <x:c r="C6" s="24" t="n">
        <x:v>6471.8616207145</x:v>
      </x:c>
      <x:c r="D6" s="24" t="str">
        <x:v>tonnes</x:v>
      </x:c>
    </x:row>
    <x:row r="7" ht="18" customHeight="1">
      <x:c r="A7" s="24" t="str">
        <x:v>EEZ_077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EEZ_077</x:v>
      </x:c>
      <x:c r="B8" s="24" t="str">
        <x:v>taxa_count</x:v>
      </x:c>
      <x:c r="C8" s="24" t="n">
        <x:v>17</x:v>
      </x:c>
      <x:c r="D8" s="24" t="str">
        <x:v>count</x:v>
      </x:c>
    </x:row>
    <x:row r="9" ht="18" customHeight="1">
      <x:c r="A9" s="24" t="str">
        <x:v>EEZ_077</x:v>
      </x:c>
      <x:c r="B9" s="24" t="str">
        <x:v>matched_taxa_count</x:v>
      </x:c>
      <x:c r="C9" s="24" t="n">
        <x:v>17</x:v>
      </x:c>
      <x:c r="D9" s="24" t="str">
        <x:v>count</x:v>
      </x:c>
    </x:row>
    <x:row r="10" ht="18" customHeight="1">
      <x:c r="A10" s="24" t="str">
        <x:v>EEZ_077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EEZ_077</x:v>
      </x:c>
      <x:c r="B11" s="24" t="str">
        <x:v>species_ppr</x:v>
      </x:c>
      <x:c r="C11" s="24" t="n">
        <x:v>3959781.188899115</x:v>
      </x:c>
      <x:c r="D11" s="24" t="str">
        <x:v>tonnes_primary_production_equivalent</x:v>
      </x:c>
    </x:row>
    <x:row r="12" ht="18" customHeight="1">
      <x:c r="A12" s="24" t="str">
        <x:v>EEZ_077</x:v>
      </x:c>
      <x:c r="B12" s="24" t="str">
        <x:v>commercial_ppr</x:v>
      </x:c>
      <x:c r="C12" s="24" t="n">
        <x:v>3959781.1888991147</x:v>
      </x:c>
      <x:c r="D12" s="24" t="str">
        <x:v>tonnes_primary_production_equivalent</x:v>
      </x:c>
    </x:row>
    <x:row r="13" ht="18" customHeight="1">
      <x:c r="A13" s="24" t="str">
        <x:v>EEZ_077</x:v>
      </x:c>
      <x:c r="B13" s="24" t="str">
        <x:v>functional_ppr</x:v>
      </x:c>
      <x:c r="C13" s="24" t="n">
        <x:v>3959781.188899115</x:v>
      </x:c>
      <x:c r="D13" s="24" t="str">
        <x:v>tonnes_primary_production_equivalent</x:v>
      </x:c>
    </x:row>
    <x:row r="14" ht="18" customHeight="1">
      <x:c r="A14" s="24" t="str">
        <x:v>EEZ_077</x:v>
      </x:c>
      <x:c r="B14" s="24" t="str">
        <x:v>commercial_ppr_difference</x:v>
      </x:c>
      <x:c r="C14" s="24" t="n">
        <x:v>-4.656612873077393e-10</x:v>
      </x:c>
      <x:c r="D14" s="24" t="str">
        <x:v>tonnes_primary_production_equivalent</x:v>
      </x:c>
    </x:row>
    <x:row r="15" ht="18" customHeight="1">
      <x:c r="A15" s="24" t="str">
        <x:v>EEZ_077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EEZ_077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EEZ_077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EEZ_077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EEZ_077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dcf2ebf4125d4b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EEZ_077 - Trindade &amp; Martim Vaz Isl. (Brazil)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EEZ_077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raw_data/SAU_downloads/EEZ_077-catch.zip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