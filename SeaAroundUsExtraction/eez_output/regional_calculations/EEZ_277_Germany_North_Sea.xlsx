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2d9b305df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ef7c44858944378"/>
    <x:sheet xmlns:r="http://schemas.openxmlformats.org/officeDocument/2006/relationships" name="Commercial" sheetId="2" r:id="R808b9719c499427d"/>
    <x:sheet xmlns:r="http://schemas.openxmlformats.org/officeDocument/2006/relationships" name="Functional" sheetId="3" r:id="Rd052b0b22f0e44de"/>
    <x:sheet xmlns:r="http://schemas.openxmlformats.org/officeDocument/2006/relationships" name="Missing TL" sheetId="4" r:id="Rf9311d3b6bc14007"/>
    <x:sheet xmlns:r="http://schemas.openxmlformats.org/officeDocument/2006/relationships" name="Validation" sheetId="5" r:id="R6921b10742144a77"/>
    <x:sheet xmlns:r="http://schemas.openxmlformats.org/officeDocument/2006/relationships" name="Metadata" sheetId="6" r:id="Ra2217f26c102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5c50652384dac" /><Relationship Type="http://schemas.openxmlformats.org/officeDocument/2006/relationships/theme" Target="/xl/theme/theme1.xml" Id="R8708b675f888403b" /><Relationship Type="http://schemas.microsoft.com/office/2022/11/relationships/FeaturePropertyBag" Target="/xl/featurePropertyBag/featurePropertyBag.xml" Id="R47e8764277ea4dae" /><Relationship Type="http://schemas.openxmlformats.org/officeDocument/2006/relationships/sharedStrings" Target="/xl/sharedStrings.xml" Id="R866a1daed1b94e1a" /><Relationship Type="http://schemas.openxmlformats.org/officeDocument/2006/relationships/worksheet" Target="/xl/worksheets/sheet1.xml" Id="R2ef7c44858944378" /><Relationship Type="http://schemas.openxmlformats.org/officeDocument/2006/relationships/worksheet" Target="/xl/worksheets/sheet2.xml" Id="R808b9719c499427d" /><Relationship Type="http://schemas.openxmlformats.org/officeDocument/2006/relationships/worksheet" Target="/xl/worksheets/sheet3.xml" Id="Rd052b0b22f0e44de" /><Relationship Type="http://schemas.openxmlformats.org/officeDocument/2006/relationships/worksheet" Target="/xl/worksheets/sheet4.xml" Id="Rf9311d3b6bc14007" /><Relationship Type="http://schemas.openxmlformats.org/officeDocument/2006/relationships/worksheet" Target="/xl/worksheets/sheet5.xml" Id="R6921b10742144a77" /><Relationship Type="http://schemas.openxmlformats.org/officeDocument/2006/relationships/worksheet" Target="/xl/worksheets/sheet6.xml" Id="Ra2217f26c10249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7SpeciesTable" displayName="EEZ277SpeciesTable" ref="A1:U182" headerRowCount="1" totalsRowCount="0" totalsRowShown="0">
  <x:autoFilter ref="A1:U18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7CommercialTable" displayName="EEZ27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7FunctionalTable" displayName="EEZ277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7ValidationTable" displayName="EEZ27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37236d4b0a49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7c497ec7794a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ce0de2b0e144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bf54245f0349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EEZ_277</x:v>
      </x:c>
      <x:c r="B2" s="24" t="str">
        <x:v>Germany (North Sea)</x:v>
      </x:c>
      <x:c r="C2" s="24" t="str">
        <x:v>EEZ</x:v>
      </x:c>
      <x:c r="D2" s="30" t="n">
        <x:v>2019</x:v>
      </x:c>
      <x:c r="E2" s="24" t="str">
        <x:v>Sprattus sprattus</x:v>
      </x:c>
      <x:c r="F2" s="24" t="str">
        <x:v>European sprat</x:v>
      </x:c>
      <x:c r="G2" s="24" t="str">
        <x:v>Small pelagics (&lt;30 cm)</x:v>
      </x:c>
      <x:c r="H2" s="24" t="str">
        <x:v>Herring-likes</x:v>
      </x:c>
      <x:c r="I2" s="31" t="n">
        <x:v>28207.2331987904</x:v>
      </x:c>
      <x:c r="J2" s="31" t="n">
        <x:v>28146.8191758904</x:v>
      </x:c>
      <x:c r="K2" s="31" t="n">
        <x:v>60.414022900000006</x:v>
      </x:c>
      <x:c r="L2" s="31" t="n">
        <x:v>28003.3770720939</x:v>
      </x:c>
      <x:c r="M2" s="31" t="n">
        <x:v>203.8561266965</x:v>
      </x:c>
      <x:c r="N2" s="24" t="str">
        <x:v>sprattus sprattus</x:v>
      </x:c>
      <x:c r="O2" s="32" t="n">
        <x:v>3.01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Sprattus sprattus</x:v>
      </x:c>
      <x:c r="T2" s="32" t="n">
        <x:f>IF(O2="","",(1/'Metadata'!$B$5)^(O2-1))</x:f>
        <x:v>102.32929922807536</x:v>
      </x:c>
      <x:c r="U2" s="31" t="n">
        <x:f>IF(T2="","",I2*T2)</x:f>
        <x:v>2886426.4063951243</x:v>
      </x:c>
    </x:row>
    <x:row r="3" ht="18" customHeight="1">
      <x:c r="A3" s="24" t="str">
        <x:v>EEZ_277</x:v>
      </x:c>
      <x:c r="B3" s="24" t="str">
        <x:v>Germany (North Sea)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20218.6954826367</x:v>
      </x:c>
      <x:c r="J3" s="31" t="n">
        <x:v>19294.4004035979</x:v>
      </x:c>
      <x:c r="K3" s="31" t="n">
        <x:v>924.2950790388</x:v>
      </x:c>
      <x:c r="L3" s="31" t="n">
        <x:v>19141.440057535</x:v>
      </x:c>
      <x:c r="M3" s="31" t="n">
        <x:v>1077.2554251017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3852593.0010625175</x:v>
      </x:c>
    </x:row>
    <x:row r="4" ht="18" customHeight="1">
      <x:c r="A4" s="24" t="str">
        <x:v>EEZ_277</x:v>
      </x:c>
      <x:c r="B4" s="24" t="str">
        <x:v>Germany (North Sea)</x:v>
      </x:c>
      <x:c r="C4" s="24" t="str">
        <x:v>EEZ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10638.4770526686</x:v>
      </x:c>
      <x:c r="J4" s="31" t="n">
        <x:v>10457.947828743001</x:v>
      </x:c>
      <x:c r="K4" s="31" t="n">
        <x:v>180.5292239256</x:v>
      </x:c>
      <x:c r="L4" s="31" t="n">
        <x:v>10279.6020765304</x:v>
      </x:c>
      <x:c r="M4" s="31" t="n">
        <x:v>358.8749761382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2551992.8962174878</x:v>
      </x:c>
    </x:row>
    <x:row r="5" ht="18" customHeight="1">
      <x:c r="A5" s="24" t="str">
        <x:v>EEZ_277</x:v>
      </x:c>
      <x:c r="B5" s="24" t="str">
        <x:v>Germany (North Sea)</x:v>
      </x:c>
      <x:c r="C5" s="24" t="str">
        <x:v>EEZ</x:v>
      </x:c>
      <x:c r="D5" s="30" t="n">
        <x:v>2019</x:v>
      </x:c>
      <x:c r="E5" s="24" t="str">
        <x:v>Crangon crangon</x:v>
      </x:c>
      <x:c r="F5" s="24" t="str">
        <x:v>Common shrimp</x:v>
      </x:c>
      <x:c r="G5" s="24" t="str">
        <x:v>Shrimps</x:v>
      </x:c>
      <x:c r="H5" s="24" t="str">
        <x:v>Crustaceans</x:v>
      </x:c>
      <x:c r="I5" s="31" t="n">
        <x:v>7750.818645862701</x:v>
      </x:c>
      <x:c r="J5" s="31" t="n">
        <x:v>2275.6757592112</x:v>
      </x:c>
      <x:c r="K5" s="31" t="n">
        <x:v>5475.1428866515</x:v>
      </x:c>
      <x:c r="L5" s="31" t="n">
        <x:v>2118.7786622975</x:v>
      </x:c>
      <x:c r="M5" s="31" t="n">
        <x:v>5632.039983565201</x:v>
      </x:c>
      <x:c r="N5" s="24" t="str">
        <x:v>crangon crangon</x:v>
      </x:c>
      <x:c r="O5" s="32" t="n">
        <x:v>3.19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Crangon crangon</x:v>
      </x:c>
      <x:c r="T5" s="32" t="n">
        <x:f>IF(O5="","",(1/'Metadata'!$B$5)^(O5-1))</x:f>
        <x:v>154.88166189124811</x:v>
      </x:c>
      <x:c r="U5" s="31" t="n">
        <x:f>IF(T5="","",I5*T5)</x:f>
        <x:v>1200459.6728888883</x:v>
      </x:c>
    </x:row>
    <x:row r="6" ht="18" customHeight="1">
      <x:c r="A6" s="24" t="str">
        <x:v>EEZ_277</x:v>
      </x:c>
      <x:c r="B6" s="24" t="str">
        <x:v>Germany (North Sea)</x:v>
      </x:c>
      <x:c r="C6" s="24" t="str">
        <x:v>EEZ</x:v>
      </x:c>
      <x:c r="D6" s="30" t="n">
        <x:v>2019</x:v>
      </x:c>
      <x:c r="E6" s="24" t="str">
        <x:v>Pleuronectes platessa</x:v>
      </x:c>
      <x:c r="F6" s="24" t="str">
        <x:v>European plaice</x:v>
      </x:c>
      <x:c r="G6" s="24" t="str">
        <x:v>Large flatfishes (&gt;=90 cm)</x:v>
      </x:c>
      <x:c r="H6" s="24" t="str">
        <x:v>Flatfishes</x:v>
      </x:c>
      <x:c r="I6" s="31" t="n">
        <x:v>6425.3447780544</x:v>
      </x:c>
      <x:c r="J6" s="31" t="n">
        <x:v>3829.2276780635</x:v>
      </x:c>
      <x:c r="K6" s="31" t="n">
        <x:v>2596.1170999909</x:v>
      </x:c>
      <x:c r="L6" s="31" t="n">
        <x:v>3662.0990552482003</x:v>
      </x:c>
      <x:c r="M6" s="31" t="n">
        <x:v>2763.2457228062</x:v>
      </x:c>
      <x:c r="N6" s="24" t="str">
        <x:v>pleuronectes platessa</x:v>
      </x:c>
      <x:c r="O6" s="32" t="n">
        <x:v>3.26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Pleuronectes platessa</x:v>
      </x:c>
      <x:c r="T6" s="32" t="n">
        <x:f>IF(O6="","",(1/'Metadata'!$B$5)^(O6-1))</x:f>
        <x:v>181.97008586099827</x:v>
      </x:c>
      <x:c r="U6" s="31" t="n">
        <x:f>IF(T6="","",I6*T6)</x:f>
        <x:v>1169220.540949076</x:v>
      </x:c>
    </x:row>
    <x:row r="7" ht="18" customHeight="1">
      <x:c r="A7" s="24" t="str">
        <x:v>EEZ_277</x:v>
      </x:c>
      <x:c r="B7" s="24" t="str">
        <x:v>Germany (North Sea)</x:v>
      </x:c>
      <x:c r="C7" s="24" t="str">
        <x:v>EEZ</x:v>
      </x:c>
      <x:c r="D7" s="30" t="n">
        <x:v>2019</x:v>
      </x:c>
      <x:c r="E7" s="24" t="str">
        <x:v>Limanda limanda</x:v>
      </x:c>
      <x:c r="F7" s="24" t="str">
        <x:v>Common dab</x:v>
      </x:c>
      <x:c r="G7" s="24" t="str">
        <x:v>Small to medium flatfishes (&lt;90 cm)</x:v>
      </x:c>
      <x:c r="H7" s="24" t="str">
        <x:v>Flatfishes</x:v>
      </x:c>
      <x:c r="I7" s="31" t="n">
        <x:v>4259.6443768041</x:v>
      </x:c>
      <x:c r="J7" s="31" t="n">
        <x:v>543.7018769579</x:v>
      </x:c>
      <x:c r="K7" s="31" t="n">
        <x:v>3715.9424998461996</x:v>
      </x:c>
      <x:c r="L7" s="31" t="n">
        <x:v>530.5102376061</x:v>
      </x:c>
      <x:c r="M7" s="31" t="n">
        <x:v>3729.134139198</x:v>
      </x:c>
      <x:c r="N7" s="24" t="str">
        <x:v>limanda limanda</x:v>
      </x:c>
      <x:c r="O7" s="32" t="n">
        <x:v>3.29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Limanda limanda</x:v>
      </x:c>
      <x:c r="T7" s="32" t="n">
        <x:f>IF(O7="","",(1/'Metadata'!$B$5)^(O7-1))</x:f>
        <x:v>194.98445997580455</x:v>
      </x:c>
      <x:c r="U7" s="31" t="n">
        <x:f>IF(T7="","",I7*T7)</x:f>
        <x:v>830564.45850012</x:v>
      </x:c>
    </x:row>
    <x:row r="8" ht="18" customHeight="1">
      <x:c r="A8" s="24" t="str">
        <x:v>EEZ_277</x:v>
      </x:c>
      <x:c r="B8" s="24" t="str">
        <x:v>Germany (North Sea)</x:v>
      </x:c>
      <x:c r="C8" s="24" t="str">
        <x:v>EEZ</x:v>
      </x:c>
      <x:c r="D8" s="30" t="n">
        <x:v>2019</x:v>
      </x:c>
      <x:c r="E8" s="24" t="str">
        <x:v>Mytilus edulis</x:v>
      </x:c>
      <x:c r="F8" s="24" t="str">
        <x:v>Blue mussel</x:v>
      </x:c>
      <x:c r="G8" s="24" t="str">
        <x:v>Other demersal invertebrates</x:v>
      </x:c>
      <x:c r="H8" s="24" t="str">
        <x:v>Molluscs</x:v>
      </x:c>
      <x:c r="I8" s="31" t="n">
        <x:v>2048.1369031002996</x:v>
      </x:c>
      <x:c r="J8" s="31" t="n">
        <x:v>2048.1369031002996</x:v>
      </x:c>
      <x:c r="K8" s="31" t="n">
        <x:v>0</x:v>
      </x:c>
      <x:c r="L8" s="31" t="n">
        <x:v>2040.6673922553</x:v>
      </x:c>
      <x:c r="M8" s="31" t="n">
        <x:v>7.469510845</x:v>
      </x:c>
      <x:c r="N8" s="24" t="str">
        <x:v>mytilus edulis</x:v>
      </x:c>
      <x:c r="O8" s="32" t="n">
        <x:v>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Mytilus edulis</x:v>
      </x:c>
      <x:c r="T8" s="32" t="n">
        <x:f>IF(O8="","",(1/'Metadata'!$B$5)^(O8-1))</x:f>
        <x:v>10</x:v>
      </x:c>
      <x:c r="U8" s="31" t="n">
        <x:f>IF(T8="","",I8*T8)</x:f>
        <x:v>20481.369031002996</x:v>
      </x:c>
    </x:row>
    <x:row r="9" ht="18" customHeight="1">
      <x:c r="A9" s="24" t="str">
        <x:v>EEZ_277</x:v>
      </x:c>
      <x:c r="B9" s="24" t="str">
        <x:v>Germany (North Sea)</x:v>
      </x:c>
      <x:c r="C9" s="24" t="str">
        <x:v>EEZ</x:v>
      </x:c>
      <x:c r="D9" s="30" t="n">
        <x:v>2019</x:v>
      </x:c>
      <x:c r="E9" s="24" t="str">
        <x:v>Cerastoderma edule</x:v>
      </x:c>
      <x:c r="F9" s="24" t="str">
        <x:v>Common cockle</x:v>
      </x:c>
      <x:c r="G9" s="24" t="str">
        <x:v>Other demersal invertebrates</x:v>
      </x:c>
      <x:c r="H9" s="24" t="str">
        <x:v>Molluscs</x:v>
      </x:c>
      <x:c r="I9" s="31" t="n">
        <x:v>1920.9642760672</x:v>
      </x:c>
      <x:c r="J9" s="31" t="n">
        <x:v>1920.9642760672</x:v>
      </x:c>
      <x:c r="K9" s="31" t="n">
        <x:v>0</x:v>
      </x:c>
      <x:c r="L9" s="31" t="n">
        <x:v>1920.9642760672</x:v>
      </x:c>
      <x:c r="M9" s="31" t="n">
        <x:v>0</x:v>
      </x:c>
      <x:c r="N9" s="24" t="str">
        <x:v>cerastoderma edule</x:v>
      </x:c>
      <x:c r="O9" s="32" t="n">
        <x:v>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Cerastoderma edule</x:v>
      </x:c>
      <x:c r="T9" s="32" t="n">
        <x:f>IF(O9="","",(1/'Metadata'!$B$5)^(O9-1))</x:f>
        <x:v>10</x:v>
      </x:c>
      <x:c r="U9" s="31" t="n">
        <x:f>IF(T9="","",I9*T9)</x:f>
        <x:v>19209.642760672</x:v>
      </x:c>
    </x:row>
    <x:row r="10" ht="18" customHeight="1">
      <x:c r="A10" s="24" t="str">
        <x:v>EEZ_277</x:v>
      </x:c>
      <x:c r="B10" s="24" t="str">
        <x:v>Germany (North Sea)</x:v>
      </x:c>
      <x:c r="C10" s="24" t="str">
        <x:v>EEZ</x:v>
      </x:c>
      <x:c r="D10" s="30" t="n">
        <x:v>2019</x:v>
      </x:c>
      <x:c r="E10" s="24" t="str">
        <x:v>Merlangius merlangus</x:v>
      </x:c>
      <x:c r="F10" s="24" t="str">
        <x:v>Whiting</x:v>
      </x:c>
      <x:c r="G10" s="24" t="str">
        <x:v>Medium benthopelagics (30 - 89 cm)</x:v>
      </x:c>
      <x:c r="H10" s="24" t="str">
        <x:v>Cod-likes</x:v>
      </x:c>
      <x:c r="I10" s="31" t="n">
        <x:v>1415.9592850284</x:v>
      </x:c>
      <x:c r="J10" s="31" t="n">
        <x:v>320.3036342567</x:v>
      </x:c>
      <x:c r="K10" s="31" t="n">
        <x:v>1095.6556507717</x:v>
      </x:c>
      <x:c r="L10" s="31" t="n">
        <x:v>312.3287282285</x:v>
      </x:c>
      <x:c r="M10" s="31" t="n">
        <x:v>1103.6305567999</x:v>
      </x:c>
      <x:c r="N10" s="24" t="str">
        <x:v>merlangius merlangus</x:v>
      </x:c>
      <x:c r="O10" s="32" t="n">
        <x:v>4.36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Merlangius merlangus</x:v>
      </x:c>
      <x:c r="T10" s="32" t="n">
        <x:f>IF(O10="","",(1/'Metadata'!$B$5)^(O10-1))</x:f>
        <x:v>2290.867652767775</x:v>
      </x:c>
      <x:c r="U10" s="31" t="n">
        <x:f>IF(T10="","",I10*T10)</x:f>
        <x:v>3243775.3237077473</x:v>
      </x:c>
    </x:row>
    <x:row r="11" ht="18" customHeight="1">
      <x:c r="A11" s="24" t="str">
        <x:v>EEZ_277</x:v>
      </x:c>
      <x:c r="B11" s="24" t="str">
        <x:v>Germany (North Sea)</x:v>
      </x:c>
      <x:c r="C11" s="24" t="str">
        <x:v>EEZ</x:v>
      </x:c>
      <x:c r="D11" s="30" t="n">
        <x:v>2019</x:v>
      </x:c>
      <x:c r="E11" s="24" t="str">
        <x:v>Cancer pagurus</x:v>
      </x:c>
      <x:c r="F11" s="24" t="str">
        <x:v>Edible crab</x:v>
      </x:c>
      <x:c r="G11" s="24" t="str">
        <x:v>Lobsters, crabs</x:v>
      </x:c>
      <x:c r="H11" s="24" t="str">
        <x:v>Crustaceans</x:v>
      </x:c>
      <x:c r="I11" s="31" t="n">
        <x:v>1370.5637161713</x:v>
      </x:c>
      <x:c r="J11" s="31" t="n">
        <x:v>1324.1750200367</x:v>
      </x:c>
      <x:c r="K11" s="31" t="n">
        <x:v>46.388696134599996</x:v>
      </x:c>
      <x:c r="L11" s="31" t="n">
        <x:v>1324.1750200367</x:v>
      </x:c>
      <x:c r="M11" s="31" t="n">
        <x:v>46.388696134599996</x:v>
      </x:c>
      <x:c r="N11" s="24" t="str">
        <x:v>cancer pagurus</x:v>
      </x:c>
      <x:c r="O11" s="32" t="n">
        <x:v>3.1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Cancer pagurus</x:v>
      </x:c>
      <x:c r="T11" s="32" t="n">
        <x:f>IF(O11="","",(1/'Metadata'!$B$5)^(O11-1))</x:f>
        <x:v>125.89254117941675</x:v>
      </x:c>
      <x:c r="U11" s="31" t="n">
        <x:f>IF(T11="","",I11*T11)</x:f>
        <x:v>172543.74907710985</x:v>
      </x:c>
    </x:row>
    <x:row r="12" ht="18" customHeight="1">
      <x:c r="A12" s="24" t="str">
        <x:v>EEZ_277</x:v>
      </x:c>
      <x:c r="B12" s="24" t="str">
        <x:v>Germany (North Sea)</x:v>
      </x:c>
      <x:c r="C12" s="24" t="str">
        <x:v>EEZ</x:v>
      </x:c>
      <x:c r="D12" s="30" t="n">
        <x:v>2019</x:v>
      </x:c>
      <x:c r="E12" s="24" t="str">
        <x:v>Spisula solida</x:v>
      </x:c>
      <x:c r="F12" s="24" t="str">
        <x:v>Surf clam</x:v>
      </x:c>
      <x:c r="G12" s="24" t="str">
        <x:v>Other demersal invertebrates</x:v>
      </x:c>
      <x:c r="H12" s="24" t="str">
        <x:v>Molluscs</x:v>
      </x:c>
      <x:c r="I12" s="31" t="n">
        <x:v>1335.4855133326</x:v>
      </x:c>
      <x:c r="J12" s="31" t="n">
        <x:v>1335.4855133326</x:v>
      </x:c>
      <x:c r="K12" s="31" t="n">
        <x:v>0</x:v>
      </x:c>
      <x:c r="L12" s="31" t="n">
        <x:v>1335.4855133326</x:v>
      </x:c>
      <x:c r="M12" s="31" t="n">
        <x:v>0</x:v>
      </x:c>
      <x:c r="N12" s="24" t="str">
        <x:v>spisula solida</x:v>
      </x:c>
      <x:c r="O12" s="32" t="n">
        <x:v>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Spisula solida</x:v>
      </x:c>
      <x:c r="T12" s="32" t="n">
        <x:f>IF(O12="","",(1/'Metadata'!$B$5)^(O12-1))</x:f>
        <x:v>10</x:v>
      </x:c>
      <x:c r="U12" s="31" t="n">
        <x:f>IF(T12="","",I12*T12)</x:f>
        <x:v>13354.855133326</x:v>
      </x:c>
    </x:row>
    <x:row r="13" ht="18" customHeight="1">
      <x:c r="A13" s="24" t="str">
        <x:v>EEZ_277</x:v>
      </x:c>
      <x:c r="B13" s="24" t="str">
        <x:v>Germany (North Sea)</x:v>
      </x:c>
      <x:c r="C13" s="24" t="str">
        <x:v>EEZ</x:v>
      </x:c>
      <x:c r="D13" s="30" t="n">
        <x:v>2019</x:v>
      </x:c>
      <x:c r="E13" s="24" t="str">
        <x:v>Gadus morhua</x:v>
      </x:c>
      <x:c r="F13" s="24" t="str">
        <x:v>Atlantic cod</x:v>
      </x:c>
      <x:c r="G13" s="24" t="str">
        <x:v>Large benthopelagics (&gt;=90 cm)</x:v>
      </x:c>
      <x:c r="H13" s="24" t="str">
        <x:v>Cod-likes</x:v>
      </x:c>
      <x:c r="I13" s="31" t="n">
        <x:v>851.5507317035</x:v>
      </x:c>
      <x:c r="J13" s="31" t="n">
        <x:v>394.1610418592</x:v>
      </x:c>
      <x:c r="K13" s="31" t="n">
        <x:v>457.3896898443</x:v>
      </x:c>
      <x:c r="L13" s="31" t="n">
        <x:v>357.4906575233</x:v>
      </x:c>
      <x:c r="M13" s="31" t="n">
        <x:v>494.0600741802</x:v>
      </x:c>
      <x:c r="N13" s="24" t="str">
        <x:v>gadus morhua</x:v>
      </x:c>
      <x:c r="O13" s="32" t="n">
        <x:v>4.09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Gadus morhua</x:v>
      </x:c>
      <x:c r="T13" s="32" t="n">
        <x:f>IF(O13="","",(1/'Metadata'!$B$5)^(O13-1))</x:f>
        <x:v>1230.268770812381</x:v>
      </x:c>
      <x:c r="U13" s="31" t="n">
        <x:f>IF(T13="","",I13*T13)</x:f>
        <x:v>1047636.2719772486</x:v>
      </x:c>
    </x:row>
    <x:row r="14" ht="18" customHeight="1">
      <x:c r="A14" s="24" t="str">
        <x:v>EEZ_277</x:v>
      </x:c>
      <x:c r="B14" s="24" t="str">
        <x:v>Germany (North Sea)</x:v>
      </x:c>
      <x:c r="C14" s="24" t="str">
        <x:v>EEZ</x:v>
      </x:c>
      <x:c r="D14" s="30" t="n">
        <x:v>2019</x:v>
      </x:c>
      <x:c r="E14" s="24" t="str">
        <x:v>Asterias rubens</x:v>
      </x:c>
      <x:c r="F14" s="24" t="str">
        <x:v>Red starfish</x:v>
      </x:c>
      <x:c r="G14" s="24" t="str">
        <x:v>Other demersal invertebrates</x:v>
      </x:c>
      <x:c r="H14" s="24" t="str">
        <x:v>Other fishes &amp; inverts</x:v>
      </x:c>
      <x:c r="I14" s="31" t="n">
        <x:v>733.6359821533999</x:v>
      </x:c>
      <x:c r="J14" s="31" t="n">
        <x:v>315.3244076224</x:v>
      </x:c>
      <x:c r="K14" s="31" t="n">
        <x:v>418.311574531</x:v>
      </x:c>
      <x:c r="L14" s="31" t="n">
        <x:v>315.3244076224</x:v>
      </x:c>
      <x:c r="M14" s="31" t="n">
        <x:v>418.311574531</x:v>
      </x:c>
      <x:c r="N14" s="24" t="str">
        <x:v>asterias rubens</x:v>
      </x:c>
      <x:c r="O14" s="32" t="n">
        <x:v>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Asterias rubens</x:v>
      </x:c>
      <x:c r="T14" s="32" t="n">
        <x:f>IF(O14="","",(1/'Metadata'!$B$5)^(O14-1))</x:f>
        <x:v>100</x:v>
      </x:c>
      <x:c r="U14" s="31" t="n">
        <x:f>IF(T14="","",I14*T14)</x:f>
        <x:v>73363.59821534</x:v>
      </x:c>
    </x:row>
    <x:row r="15" ht="18" customHeight="1">
      <x:c r="A15" s="24" t="str">
        <x:v>EEZ_277</x:v>
      </x:c>
      <x:c r="B15" s="24" t="str">
        <x:v>Germany (North Sea)</x:v>
      </x:c>
      <x:c r="C15" s="24" t="str">
        <x:v>EEZ</x:v>
      </x:c>
      <x:c r="D15" s="30" t="n">
        <x:v>2019</x:v>
      </x:c>
      <x:c r="E15" s="24" t="str">
        <x:v>Nephrops norvegicus</x:v>
      </x:c>
      <x:c r="F15" s="24" t="str">
        <x:v>Norway lobster</x:v>
      </x:c>
      <x:c r="G15" s="24" t="str">
        <x:v>Lobsters, crabs</x:v>
      </x:c>
      <x:c r="H15" s="24" t="str">
        <x:v>Crustaceans</x:v>
      </x:c>
      <x:c r="I15" s="31" t="n">
        <x:v>716.9003447157</x:v>
      </x:c>
      <x:c r="J15" s="31" t="n">
        <x:v>590.4506311348</x:v>
      </x:c>
      <x:c r="K15" s="31" t="n">
        <x:v>126.4497135809</x:v>
      </x:c>
      <x:c r="L15" s="31" t="n">
        <x:v>590.4506311348</x:v>
      </x:c>
      <x:c r="M15" s="31" t="n">
        <x:v>126.4497135809</x:v>
      </x:c>
      <x:c r="N15" s="24" t="str">
        <x:v>nephrops norvegicus</x:v>
      </x:c>
      <x:c r="O15" s="32" t="n">
        <x:v>2.87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Nephrops norvegicus</x:v>
      </x:c>
      <x:c r="T15" s="32" t="n">
        <x:f>IF(O15="","",(1/'Metadata'!$B$5)^(O15-1))</x:f>
        <x:v>74.13102413009177</x:v>
      </x:c>
      <x:c r="U15" s="31" t="n">
        <x:f>IF(T15="","",I15*T15)</x:f>
        <x:v>53144.55675299067</x:v>
      </x:c>
    </x:row>
    <x:row r="16" ht="18" customHeight="1">
      <x:c r="A16" s="24" t="str">
        <x:v>EEZ_277</x:v>
      </x:c>
      <x:c r="B16" s="24" t="str">
        <x:v>Germany (North Sea)</x:v>
      </x:c>
      <x:c r="C16" s="24" t="str">
        <x:v>EEZ</x:v>
      </x:c>
      <x:c r="D16" s="30" t="n">
        <x:v>2019</x:v>
      </x:c>
      <x:c r="E16" s="24" t="str">
        <x:v>Scophthalmus maximus</x:v>
      </x:c>
      <x:c r="F16" s="24" t="str">
        <x:v>Turbot</x:v>
      </x:c>
      <x:c r="G16" s="24" t="str">
        <x:v>Large flatfishes (&gt;=90 cm)</x:v>
      </x:c>
      <x:c r="H16" s="24" t="str">
        <x:v>Flatfishes</x:v>
      </x:c>
      <x:c r="I16" s="31" t="n">
        <x:v>644.1313335099001</x:v>
      </x:c>
      <x:c r="J16" s="31" t="n">
        <x:v>637.9511806261</x:v>
      </x:c>
      <x:c r="K16" s="31" t="n">
        <x:v>6.1801528838</x:v>
      </x:c>
      <x:c r="L16" s="31" t="n">
        <x:v>637.9330701063</x:v>
      </x:c>
      <x:c r="M16" s="31" t="n">
        <x:v>6.1982634036</x:v>
      </x:c>
      <x:c r="N16" s="24" t="str">
        <x:v>scophthalmus maximus</x:v>
      </x:c>
      <x:c r="O16" s="32" t="n">
        <x:v>4.36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Scophthalmus maximus</x:v>
      </x:c>
      <x:c r="T16" s="32" t="n">
        <x:f>IF(O16="","",(1/'Metadata'!$B$5)^(O16-1))</x:f>
        <x:v>2290.867652767775</x:v>
      </x:c>
      <x:c r="U16" s="31" t="n">
        <x:f>IF(T16="","",I16*T16)</x:f>
        <x:v>1475619.6360720014</x:v>
      </x:c>
    </x:row>
    <x:row r="17" ht="18" customHeight="1">
      <x:c r="A17" s="24" t="str">
        <x:v>EEZ_277</x:v>
      </x:c>
      <x:c r="B17" s="24" t="str">
        <x:v>Germany (North Sea)</x:v>
      </x:c>
      <x:c r="C17" s="24" t="str">
        <x:v>EEZ</x:v>
      </x:c>
      <x:c r="D17" s="30" t="n">
        <x:v>2019</x:v>
      </x:c>
      <x:c r="E17" s="24" t="str">
        <x:v>Solea solea</x:v>
      </x:c>
      <x:c r="F17" s="24" t="str">
        <x:v>Common sole</x:v>
      </x:c>
      <x:c r="G17" s="24" t="str">
        <x:v>Small to medium flatfishes (&lt;90 cm)</x:v>
      </x:c>
      <x:c r="H17" s="24" t="str">
        <x:v>Flatfishes</x:v>
      </x:c>
      <x:c r="I17" s="31" t="n">
        <x:v>605.8551499752</x:v>
      </x:c>
      <x:c r="J17" s="31" t="n">
        <x:v>421.11063029129997</x:v>
      </x:c>
      <x:c r="K17" s="31" t="n">
        <x:v>184.7445196839</x:v>
      </x:c>
      <x:c r="L17" s="31" t="n">
        <x:v>405.5546375345</x:v>
      </x:c>
      <x:c r="M17" s="31" t="n">
        <x:v>200.3005124407</x:v>
      </x:c>
      <x:c r="N17" s="24" t="str">
        <x:v>solea solea</x:v>
      </x:c>
      <x:c r="O17" s="32" t="n">
        <x:v>3.21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Solea solea</x:v>
      </x:c>
      <x:c r="T17" s="32" t="n">
        <x:f>IF(O17="","",(1/'Metadata'!$B$5)^(O17-1))</x:f>
        <x:v>162.18100973589299</x:v>
      </x:c>
      <x:c r="U17" s="31" t="n">
        <x:f>IF(T17="","",I17*T17)</x:f>
        <x:v>98258.19997666881</x:v>
      </x:c>
    </x:row>
    <x:row r="18" ht="18" customHeight="1">
      <x:c r="A18" s="24" t="str">
        <x:v>EEZ_277</x:v>
      </x:c>
      <x:c r="B18" s="24" t="str">
        <x:v>Germany (North Sea)</x:v>
      </x:c>
      <x:c r="C18" s="24" t="str">
        <x:v>EEZ</x:v>
      </x:c>
      <x:c r="D18" s="30" t="n">
        <x:v>2019</x:v>
      </x:c>
      <x:c r="E18" s="24" t="str">
        <x:v>Scomber scombrus</x:v>
      </x:c>
      <x:c r="F18" s="24" t="str">
        <x:v>Atlantic mackerel</x:v>
      </x:c>
      <x:c r="G18" s="24" t="str">
        <x:v>Medium pelagics (30 - 89 cm)</x:v>
      </x:c>
      <x:c r="H18" s="24" t="str">
        <x:v>Perch-likes</x:v>
      </x:c>
      <x:c r="I18" s="31" t="n">
        <x:v>487.7593173654</x:v>
      </x:c>
      <x:c r="J18" s="31" t="n">
        <x:v>487.105895539</x:v>
      </x:c>
      <x:c r="K18" s="31" t="n">
        <x:v>0.6534218264</x:v>
      </x:c>
      <x:c r="L18" s="31" t="n">
        <x:v>484.3407334707</x:v>
      </x:c>
      <x:c r="M18" s="31" t="n">
        <x:v>3.4185838947000002</x:v>
      </x:c>
      <x:c r="N18" s="24" t="str">
        <x:v>scomber scombrus</x:v>
      </x:c>
      <x:c r="O18" s="32" t="n">
        <x:v>3.63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 scombrus</x:v>
      </x:c>
      <x:c r="T18" s="32" t="n">
        <x:f>IF(O18="","",(1/'Metadata'!$B$5)^(O18-1))</x:f>
        <x:v>426.57951880159254</x:v>
      </x:c>
      <x:c r="U18" s="31" t="n">
        <x:f>IF(T18="","",I18*T18)</x:f>
        <x:v>208068.1348927256</x:v>
      </x:c>
    </x:row>
    <x:row r="19" ht="18" customHeight="1">
      <x:c r="A19" s="24" t="str">
        <x:v>EEZ_277</x:v>
      </x:c>
      <x:c r="B19" s="24" t="str">
        <x:v>Germany (North Sea)</x:v>
      </x:c>
      <x:c r="C19" s="24" t="str">
        <x:v>EEZ</x:v>
      </x:c>
      <x:c r="D19" s="30" t="n">
        <x:v>2019</x:v>
      </x:c>
      <x:c r="E19" s="24" t="str">
        <x:v>Asterozoa</x:v>
      </x:c>
      <x:c r="F19" s="24" t="str">
        <x:v>Starfishes and brittlestars</x:v>
      </x:c>
      <x:c r="G19" s="24" t="str">
        <x:v>Other demersal invertebrates</x:v>
      </x:c>
      <x:c r="H19" s="24" t="str">
        <x:v>Other fishes &amp; inverts</x:v>
      </x:c>
      <x:c r="I19" s="31" t="n">
        <x:v>395.3531396732</x:v>
      </x:c>
      <x:c r="J19" s="31" t="n">
        <x:v>0</x:v>
      </x:c>
      <x:c r="K19" s="31" t="n">
        <x:v>395.3531396732</x:v>
      </x:c>
      <x:c r="L19" s="31" t="n">
        <x:v>0</x:v>
      </x:c>
      <x:c r="M19" s="31" t="n">
        <x:v>395.3531396732</x:v>
      </x:c>
      <x:c r="N19" s="24" t="str">
        <x:v>asterozoa</x:v>
      </x:c>
      <x:c r="O19" s="32" t="n">
        <x:v>2.38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Asterozoa</x:v>
      </x:c>
      <x:c r="T19" s="32" t="n">
        <x:f>IF(O19="","",(1/'Metadata'!$B$5)^(O19-1))</x:f>
        <x:v>23.9883291901949</x:v>
      </x:c>
      <x:c r="U19" s="31" t="n">
        <x:f>IF(T19="","",I19*T19)</x:f>
        <x:v>9483.861260857826</x:v>
      </x:c>
    </x:row>
    <x:row r="20" ht="18" customHeight="1">
      <x:c r="A20" s="24" t="str">
        <x:v>EEZ_277</x:v>
      </x:c>
      <x:c r="B20" s="24" t="str">
        <x:v>Germany (North Sea)</x:v>
      </x:c>
      <x:c r="C20" s="24" t="str">
        <x:v>EEZ</x:v>
      </x:c>
      <x:c r="D20" s="30" t="n">
        <x:v>2019</x:v>
      </x:c>
      <x:c r="E20" s="24" t="str">
        <x:v>Eutrigla gurnardus</x:v>
      </x:c>
      <x:c r="F20" s="24" t="str">
        <x:v>Grey gurnard</x:v>
      </x:c>
      <x:c r="G20" s="24" t="str">
        <x:v>Medium demersals (30 - 89 cm)</x:v>
      </x:c>
      <x:c r="H20" s="24" t="str">
        <x:v>Scorpionfishes</x:v>
      </x:c>
      <x:c r="I20" s="31" t="n">
        <x:v>389.1673877458</x:v>
      </x:c>
      <x:c r="J20" s="31" t="n">
        <x:v>111.6713664169</x:v>
      </x:c>
      <x:c r="K20" s="31" t="n">
        <x:v>277.4960213289</x:v>
      </x:c>
      <x:c r="L20" s="31" t="n">
        <x:v>111.5814480881</x:v>
      </x:c>
      <x:c r="M20" s="31" t="n">
        <x:v>277.5859396577</x:v>
      </x:c>
      <x:c r="N20" s="24" t="str">
        <x:v>eutrigla gurnardus</x:v>
      </x:c>
      <x:c r="O20" s="32" t="n">
        <x:v>3.87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Eutrigla gurnardus</x:v>
      </x:c>
      <x:c r="T20" s="32" t="n">
        <x:f>IF(O20="","",(1/'Metadata'!$B$5)^(O20-1))</x:f>
        <x:v>741.3102413009177</x:v>
      </x:c>
      <x:c r="U20" s="31" t="n">
        <x:f>IF(T20="","",I20*T20)</x:f>
        <x:v>288493.7701162868</x:v>
      </x:c>
    </x:row>
    <x:row r="21" ht="18" customHeight="1">
      <x:c r="A21" s="24" t="str">
        <x:v>EEZ_277</x:v>
      </x:c>
      <x:c r="B21" s="24" t="str">
        <x:v>Germany (North Sea)</x:v>
      </x:c>
      <x:c r="C21" s="24" t="str">
        <x:v>EEZ</x:v>
      </x:c>
      <x:c r="D21" s="30" t="n">
        <x:v>2019</x:v>
      </x:c>
      <x:c r="E21" s="24" t="str">
        <x:v>Carcinus maenas</x:v>
      </x:c>
      <x:c r="F21" s="24" t="str">
        <x:v>Green crab</x:v>
      </x:c>
      <x:c r="G21" s="24" t="str">
        <x:v>Lobsters, crabs</x:v>
      </x:c>
      <x:c r="H21" s="24" t="str">
        <x:v>Crustaceans</x:v>
      </x:c>
      <x:c r="I21" s="31" t="n">
        <x:v>386.5372727332</x:v>
      </x:c>
      <x:c r="J21" s="31" t="n">
        <x:v>0.0435871704</x:v>
      </x:c>
      <x:c r="K21" s="31" t="n">
        <x:v>386.4936855628</x:v>
      </x:c>
      <x:c r="L21" s="31" t="n">
        <x:v>0.0435871704</x:v>
      </x:c>
      <x:c r="M21" s="31" t="n">
        <x:v>386.4936855628</x:v>
      </x:c>
      <x:c r="N21" s="24" t="str">
        <x:v>carcinus maenas</x:v>
      </x:c>
      <x:c r="O21" s="32" t="n">
        <x:v>3.5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Carcinus maenas</x:v>
      </x:c>
      <x:c r="T21" s="32" t="n">
        <x:f>IF(O21="","",(1/'Metadata'!$B$5)^(O21-1))</x:f>
        <x:v>316.22776601683796</x:v>
      </x:c>
      <x:c r="U21" s="31" t="n">
        <x:f>IF(T21="","",I21*T21)</x:f>
        <x:v>122233.81823866104</x:v>
      </x:c>
    </x:row>
    <x:row r="22" ht="18" customHeight="1">
      <x:c r="A22" s="24" t="str">
        <x:v>EEZ_277</x:v>
      </x:c>
      <x:c r="B22" s="24" t="str">
        <x:v>Germany (North Sea)</x:v>
      </x:c>
      <x:c r="C22" s="24" t="str">
        <x:v>EEZ</x:v>
      </x:c>
      <x:c r="D22" s="30" t="n">
        <x:v>2019</x:v>
      </x:c>
      <x:c r="E22" s="24" t="str">
        <x:v>Scophthalmus rhombus</x:v>
      </x:c>
      <x:c r="F22" s="24" t="str">
        <x:v>Brill</x:v>
      </x:c>
      <x:c r="G22" s="24" t="str">
        <x:v>Small to medium flatfishes (&lt;90 cm)</x:v>
      </x:c>
      <x:c r="H22" s="24" t="str">
        <x:v>Flatfishes</x:v>
      </x:c>
      <x:c r="I22" s="31" t="n">
        <x:v>254.290916572</x:v>
      </x:c>
      <x:c r="J22" s="31" t="n">
        <x:v>252.09331309279997</x:v>
      </x:c>
      <x:c r="K22" s="31" t="n">
        <x:v>2.1976034792</x:v>
      </x:c>
      <x:c r="L22" s="31" t="n">
        <x:v>252.09315061369998</x:v>
      </x:c>
      <x:c r="M22" s="31" t="n">
        <x:v>2.1977659582999998</x:v>
      </x:c>
      <x:c r="N22" s="24" t="str">
        <x:v>scophthalmus rhombus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Scophthalmus rhombus</x:v>
      </x:c>
      <x:c r="T22" s="32" t="n">
        <x:f>IF(O22="","",(1/'Metadata'!$B$5)^(O22-1))</x:f>
        <x:v>2630.2679918953813</x:v>
      </x:c>
      <x:c r="U22" s="31" t="n">
        <x:f>IF(T22="","",I22*T22)</x:f>
        <x:v>668853.2584890703</x:v>
      </x:c>
    </x:row>
    <x:row r="23" ht="18" customHeight="1">
      <x:c r="A23" s="24" t="str">
        <x:v>EEZ_277</x:v>
      </x:c>
      <x:c r="B23" s="24" t="str">
        <x:v>Germany (North Sea)</x:v>
      </x:c>
      <x:c r="C23" s="24" t="str">
        <x:v>EEZ</x:v>
      </x:c>
      <x:c r="D23" s="30" t="n">
        <x:v>2019</x:v>
      </x:c>
      <x:c r="E23" s="24" t="str">
        <x:v>Crangon</x:v>
      </x:c>
      <x:c r="F23" s="24" t="str">
        <x:v>Snapping shrimps</x:v>
      </x:c>
      <x:c r="G23" s="24" t="str">
        <x:v>Shrimps</x:v>
      </x:c>
      <x:c r="H23" s="24" t="str">
        <x:v>Crustaceans</x:v>
      </x:c>
      <x:c r="I23" s="31" t="n">
        <x:v>250.2795786166</x:v>
      </x:c>
      <x:c r="J23" s="31" t="n">
        <x:v>0</x:v>
      </x:c>
      <x:c r="K23" s="31" t="n">
        <x:v>250.2795786166</x:v>
      </x:c>
      <x:c r="L23" s="31" t="n">
        <x:v>0</x:v>
      </x:c>
      <x:c r="M23" s="31" t="n">
        <x:v>250.2795786166</x:v>
      </x:c>
      <x:c r="N23" s="24" t="str">
        <x:v>crangon</x:v>
      </x:c>
      <x:c r="O23" s="32" t="n">
        <x:v>3.19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Crangon</x:v>
      </x:c>
      <x:c r="T23" s="32" t="n">
        <x:f>IF(O23="","",(1/'Metadata'!$B$5)^(O23-1))</x:f>
        <x:v>154.88166189124811</x:v>
      </x:c>
      <x:c r="U23" s="31" t="n">
        <x:f>IF(T23="","",I23*T23)</x:f>
        <x:v>38763.717073580294</x:v>
      </x:c>
    </x:row>
    <x:row r="24" ht="18" customHeight="1">
      <x:c r="A24" s="24" t="str">
        <x:v>EEZ_277</x:v>
      </x:c>
      <x:c r="B24" s="24" t="str">
        <x:v>Germany (North Sea)</x:v>
      </x:c>
      <x:c r="C24" s="24" t="str">
        <x:v>EEZ</x:v>
      </x:c>
      <x:c r="D24" s="30" t="n">
        <x:v>2019</x:v>
      </x:c>
      <x:c r="E24" s="24" t="str">
        <x:v>Microstomus kitt</x:v>
      </x:c>
      <x:c r="F24" s="24" t="str">
        <x:v>Lemon sole</x:v>
      </x:c>
      <x:c r="G24" s="24" t="str">
        <x:v>Small to medium flatfishes (&lt;90 cm)</x:v>
      </x:c>
      <x:c r="H24" s="24" t="str">
        <x:v>Flatfishes</x:v>
      </x:c>
      <x:c r="I24" s="31" t="n">
        <x:v>217.7324151372</x:v>
      </x:c>
      <x:c r="J24" s="31" t="n">
        <x:v>206.4173338553</x:v>
      </x:c>
      <x:c r="K24" s="31" t="n">
        <x:v>11.3150812819</x:v>
      </x:c>
      <x:c r="L24" s="31" t="n">
        <x:v>206.3723475191</x:v>
      </x:c>
      <x:c r="M24" s="31" t="n">
        <x:v>11.3600676181</x:v>
      </x:c>
      <x:c r="N24" s="24" t="str">
        <x:v>microstomus kitt</x:v>
      </x:c>
      <x:c r="O24" s="32" t="n">
        <x:v>3.22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Microstomus kitt</x:v>
      </x:c>
      <x:c r="T24" s="32" t="n">
        <x:f>IF(O24="","",(1/'Metadata'!$B$5)^(O24-1))</x:f>
        <x:v>165.95869074375614</x:v>
      </x:c>
      <x:c r="U24" s="31" t="n">
        <x:f>IF(T24="","",I24*T24)</x:f>
        <x:v>36134.586548645704</x:v>
      </x:c>
    </x:row>
    <x:row r="25" ht="18" customHeight="1">
      <x:c r="A25" s="24" t="str">
        <x:v>EEZ_277</x:v>
      </x:c>
      <x:c r="B25" s="24" t="str">
        <x:v>Germany (North Sea)</x:v>
      </x:c>
      <x:c r="C25" s="24" t="str">
        <x:v>EEZ</x:v>
      </x:c>
      <x:c r="D25" s="30" t="n">
        <x:v>2019</x:v>
      </x:c>
      <x:c r="E25" s="24" t="str">
        <x:v>Chelidonichthys lucerna</x:v>
      </x:c>
      <x:c r="F25" s="24" t="str">
        <x:v>Tub gurnard</x:v>
      </x:c>
      <x:c r="G25" s="24" t="str">
        <x:v>Medium demersals (30 - 89 cm)</x:v>
      </x:c>
      <x:c r="H25" s="24" t="str">
        <x:v>Scorpionfishes</x:v>
      </x:c>
      <x:c r="I25" s="31" t="n">
        <x:v>171.8494227118</x:v>
      </x:c>
      <x:c r="J25" s="31" t="n">
        <x:v>137.4267559766</x:v>
      </x:c>
      <x:c r="K25" s="31" t="n">
        <x:v>34.422666735199996</x:v>
      </x:c>
      <x:c r="L25" s="31" t="n">
        <x:v>137.4267559766</x:v>
      </x:c>
      <x:c r="M25" s="31" t="n">
        <x:v>34.422666735199996</x:v>
      </x:c>
      <x:c r="N25" s="24" t="str">
        <x:v>chelidonichthys lucerna</x:v>
      </x:c>
      <x:c r="O25" s="32" t="n">
        <x:v>3.98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Chelidonichthys lucerna</x:v>
      </x:c>
      <x:c r="T25" s="32" t="n">
        <x:f>IF(O25="","",(1/'Metadata'!$B$5)^(O25-1))</x:f>
        <x:v>954.992586021436</x:v>
      </x:c>
      <x:c r="U25" s="31" t="n">
        <x:f>IF(T25="","",I25*T25)</x:f>
        <x:v>164114.92460183278</x:v>
      </x:c>
    </x:row>
    <x:row r="26" ht="18" customHeight="1">
      <x:c r="A26" s="24" t="str">
        <x:v>EEZ_277</x:v>
      </x:c>
      <x:c r="B26" s="24" t="str">
        <x:v>Germany (North Sea)</x:v>
      </x:c>
      <x:c r="C26" s="24" t="str">
        <x:v>EEZ</x:v>
      </x:c>
      <x:c r="D26" s="30" t="n">
        <x:v>2019</x:v>
      </x:c>
      <x:c r="E26" s="24" t="str">
        <x:v>Pollachius virens</x:v>
      </x:c>
      <x:c r="F26" s="24" t="str">
        <x:v>Saithe</x:v>
      </x:c>
      <x:c r="G26" s="24" t="str">
        <x:v>Large demersals (&gt;=90 cm)</x:v>
      </x:c>
      <x:c r="H26" s="24" t="str">
        <x:v>Cod-likes</x:v>
      </x:c>
      <x:c r="I26" s="31" t="n">
        <x:v>164.9222618518</x:v>
      </x:c>
      <x:c r="J26" s="31" t="n">
        <x:v>160.2436527884</x:v>
      </x:c>
      <x:c r="K26" s="31" t="n">
        <x:v>4.6786090634</x:v>
      </x:c>
      <x:c r="L26" s="31" t="n">
        <x:v>159.19286947770001</x:v>
      </x:c>
      <x:c r="M26" s="31" t="n">
        <x:v>5.729392374100001</x:v>
      </x:c>
      <x:c r="N26" s="24" t="str">
        <x:v>pollachius virens</x:v>
      </x:c>
      <x:c r="O26" s="32" t="n">
        <x:v>4.31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Pollachius virens</x:v>
      </x:c>
      <x:c r="T26" s="32" t="n">
        <x:f>IF(O26="","",(1/'Metadata'!$B$5)^(O26-1))</x:f>
        <x:v>2041.7379446695275</x:v>
      </x:c>
      <x:c r="U26" s="31" t="n">
        <x:f>IF(T26="","",I26*T26)</x:f>
        <x:v>336728.0399435437</x:v>
      </x:c>
    </x:row>
    <x:row r="27" ht="18" customHeight="1">
      <x:c r="A27" s="24" t="str">
        <x:v>EEZ_277</x:v>
      </x:c>
      <x:c r="B27" s="24" t="str">
        <x:v>Germany (North Sea)</x:v>
      </x:c>
      <x:c r="C27" s="24" t="str">
        <x:v>EEZ</x:v>
      </x:c>
      <x:c r="D27" s="30" t="n">
        <x:v>2019</x:v>
      </x:c>
      <x:c r="E27" s="24" t="str">
        <x:v>Melanogrammus aeglefinus</x:v>
      </x:c>
      <x:c r="F27" s="24" t="str">
        <x:v>Haddock</x:v>
      </x:c>
      <x:c r="G27" s="24" t="str">
        <x:v>Medium demersals (30 - 89 cm)</x:v>
      </x:c>
      <x:c r="H27" s="24" t="str">
        <x:v>Cod-likes</x:v>
      </x:c>
      <x:c r="I27" s="31" t="n">
        <x:v>137.8382053064</x:v>
      </x:c>
      <x:c r="J27" s="31" t="n">
        <x:v>113.898103025</x:v>
      </x:c>
      <x:c r="K27" s="31" t="n">
        <x:v>23.9401022814</x:v>
      </x:c>
      <x:c r="L27" s="31" t="n">
        <x:v>111.3391500308</x:v>
      </x:c>
      <x:c r="M27" s="31" t="n">
        <x:v>26.4990552756</x:v>
      </x:c>
      <x:c r="N27" s="24" t="str">
        <x:v>melanogrammus aeglefinus</x:v>
      </x:c>
      <x:c r="O27" s="32" t="n">
        <x:v>4.03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Melanogrammus aeglefinus</x:v>
      </x:c>
      <x:c r="T27" s="32" t="n">
        <x:f>IF(O27="","",(1/'Metadata'!$B$5)^(O27-1))</x:f>
        <x:v>1071.519305237607</x:v>
      </x:c>
      <x:c r="U27" s="31" t="n">
        <x:f>IF(T27="","",I27*T27)</x:f>
        <x:v>147696.29798511238</x:v>
      </x:c>
    </x:row>
    <x:row r="28" ht="18" customHeight="1">
      <x:c r="A28" s="24" t="str">
        <x:v>EEZ_277</x:v>
      </x:c>
      <x:c r="B28" s="24" t="str">
        <x:v>Germany (North Sea)</x:v>
      </x:c>
      <x:c r="C28" s="24" t="str">
        <x:v>EEZ</x:v>
      </x:c>
      <x:c r="D28" s="30" t="n">
        <x:v>2019</x:v>
      </x:c>
      <x:c r="E28" s="24" t="str">
        <x:v>Elasmobranchii</x:v>
      </x:c>
      <x:c r="F28" s="24" t="str">
        <x:v>Sharks, rays, skates</x:v>
      </x:c>
      <x:c r="G28" s="24" t="str">
        <x:v>Large sharks (&gt;=90 cm)</x:v>
      </x:c>
      <x:c r="H28" s="24" t="str">
        <x:v>Sharks &amp; rays</x:v>
      </x:c>
      <x:c r="I28" s="31" t="n">
        <x:v>105.8621084189</x:v>
      </x:c>
      <x:c r="J28" s="31" t="n">
        <x:v>0.235252398</x:v>
      </x:c>
      <x:c r="K28" s="31" t="n">
        <x:v>105.6268560209</x:v>
      </x:c>
      <x:c r="L28" s="31" t="n">
        <x:v>0.235252398</x:v>
      </x:c>
      <x:c r="M28" s="31" t="n">
        <x:v>105.6268560209</x:v>
      </x:c>
      <x:c r="N28" s="24" t="str">
        <x:v>elasmobranchii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Elasmobranchii</x:v>
      </x:c>
      <x:c r="T28" s="32" t="n">
        <x:f>IF(O28="","",(1/'Metadata'!$B$5)^(O28-1))</x:f>
        <x:v>1122.018454301963</x:v>
      </x:c>
      <x:c r="U28" s="31" t="n">
        <x:f>IF(T28="","",I28*T28)</x:f>
        <x:v>118779.239257321</x:v>
      </x:c>
    </x:row>
    <x:row r="29" ht="18" customHeight="1">
      <x:c r="A29" s="24" t="str">
        <x:v>EEZ_277</x:v>
      </x:c>
      <x:c r="B29" s="24" t="str">
        <x:v>Germany (North Sea)</x:v>
      </x:c>
      <x:c r="C29" s="24" t="str">
        <x:v>EEZ</x:v>
      </x:c>
      <x:c r="D29" s="30" t="n">
        <x:v>2019</x:v>
      </x:c>
      <x:c r="E29" s="24" t="str">
        <x:v>Homarus gammarus</x:v>
      </x:c>
      <x:c r="F29" s="24" t="str">
        <x:v>European lobster</x:v>
      </x:c>
      <x:c r="G29" s="24" t="str">
        <x:v>Lobsters, crabs</x:v>
      </x:c>
      <x:c r="H29" s="24" t="str">
        <x:v>Crustaceans</x:v>
      </x:c>
      <x:c r="I29" s="31" t="n">
        <x:v>98.4718043083</x:v>
      </x:c>
      <x:c r="J29" s="31" t="n">
        <x:v>98.4718043083</x:v>
      </x:c>
      <x:c r="K29" s="31" t="n">
        <x:v>0</x:v>
      </x:c>
      <x:c r="L29" s="31" t="n">
        <x:v>98.4718043083</x:v>
      </x:c>
      <x:c r="M29" s="31" t="n">
        <x:v>0</x:v>
      </x:c>
      <x:c r="N29" s="24" t="str">
        <x:v>homarus gammarus</x:v>
      </x:c>
      <x:c r="O29" s="32" t="n">
        <x:v>3.7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Homarus gammarus</x:v>
      </x:c>
      <x:c r="T29" s="32" t="n">
        <x:f>IF(O29="","",(1/'Metadata'!$B$5)^(O29-1))</x:f>
        <x:v>501.18723362727246</x:v>
      </x:c>
      <x:c r="U29" s="31" t="n">
        <x:f>IF(T29="","",I29*T29)</x:f>
        <x:v>49352.81119156301</x:v>
      </x:c>
    </x:row>
    <x:row r="30" ht="18" customHeight="1">
      <x:c r="A30" s="24" t="str">
        <x:v>EEZ_277</x:v>
      </x:c>
      <x:c r="B30" s="24" t="str">
        <x:v>Germany (North Sea)</x:v>
      </x:c>
      <x:c r="C30" s="24" t="str">
        <x:v>EEZ</x:v>
      </x:c>
      <x:c r="D30" s="30" t="n">
        <x:v>2019</x:v>
      </x:c>
      <x:c r="E30" s="24" t="str">
        <x:v>Lophius piscatorius</x:v>
      </x:c>
      <x:c r="F30" s="24" t="str">
        <x:v>Angler</x:v>
      </x:c>
      <x:c r="G30" s="24" t="str">
        <x:v>Large bathydemersals (&gt;=90 cm)</x:v>
      </x:c>
      <x:c r="H30" s="24" t="str">
        <x:v>Other fishes &amp; inverts</x:v>
      </x:c>
      <x:c r="I30" s="31" t="n">
        <x:v>92.754519932</x:v>
      </x:c>
      <x:c r="J30" s="31" t="n">
        <x:v>92.3494139531</x:v>
      </x:c>
      <x:c r="K30" s="31" t="n">
        <x:v>0.4051059789</x:v>
      </x:c>
      <x:c r="L30" s="31" t="n">
        <x:v>92.330296922</x:v>
      </x:c>
      <x:c r="M30" s="31" t="n">
        <x:v>0.42422301</x:v>
      </x:c>
      <x:c r="N30" s="24" t="str">
        <x:v>lophius piscatorius</x:v>
      </x:c>
      <x:c r="O30" s="32" t="n">
        <x:v>4.45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Lophius piscatorius</x:v>
      </x:c>
      <x:c r="T30" s="32" t="n">
        <x:f>IF(O30="","",(1/'Metadata'!$B$5)^(O30-1))</x:f>
        <x:v>2818.382931264455</x:v>
      </x:c>
      <x:c r="U30" s="31" t="n">
        <x:f>IF(T30="","",I30*T30)</x:f>
        <x:v>261417.75577397743</x:v>
      </x:c>
    </x:row>
    <x:row r="31" ht="18" customHeight="1">
      <x:c r="A31" s="24" t="str">
        <x:v>EEZ_277</x:v>
      </x:c>
      <x:c r="B31" s="24" t="str">
        <x:v>Germany (North Sea)</x:v>
      </x:c>
      <x:c r="C31" s="24" t="str">
        <x:v>EEZ</x:v>
      </x:c>
      <x:c r="D31" s="30" t="n">
        <x:v>2019</x:v>
      </x:c>
      <x:c r="E31" s="24" t="str">
        <x:v>Buglossidium luteum</x:v>
      </x:c>
      <x:c r="F31" s="24" t="str">
        <x:v>Solenette</x:v>
      </x:c>
      <x:c r="G31" s="24" t="str">
        <x:v>Small to medium flatfishes (&lt;90 cm)</x:v>
      </x:c>
      <x:c r="H31" s="24" t="str">
        <x:v>Flatfishes</x:v>
      </x:c>
      <x:c r="I31" s="31" t="n">
        <x:v>90.1122971731</x:v>
      </x:c>
      <x:c r="J31" s="31" t="n">
        <x:v>0</x:v>
      </x:c>
      <x:c r="K31" s="31" t="n">
        <x:v>90.1122971731</x:v>
      </x:c>
      <x:c r="L31" s="31" t="n">
        <x:v>0</x:v>
      </x:c>
      <x:c r="M31" s="31" t="n">
        <x:v>90.1122971731</x:v>
      </x:c>
      <x:c r="N31" s="24" t="str">
        <x:v>buglossidium luteum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Buglossidium luteum</x:v>
      </x:c>
      <x:c r="T31" s="32" t="n">
        <x:f>IF(O31="","",(1/'Metadata'!$B$5)^(O31-1))</x:f>
        <x:v>204.17379446695296</x:v>
      </x:c>
      <x:c r="U31" s="31" t="n">
        <x:f>IF(T31="","",I31*T31)</x:f>
        <x:v>18398.569641965507</x:v>
      </x:c>
    </x:row>
    <x:row r="32" ht="18" customHeight="1">
      <x:c r="A32" s="24" t="str">
        <x:v>EEZ_277</x:v>
      </x:c>
      <x:c r="B32" s="24" t="str">
        <x:v>Germany (North Sea)</x:v>
      </x:c>
      <x:c r="C32" s="24" t="str">
        <x:v>EEZ</x:v>
      </x:c>
      <x:c r="D32" s="30" t="n">
        <x:v>2019</x:v>
      </x:c>
      <x:c r="E32" s="24" t="str">
        <x:v>Agonus cataphractus</x:v>
      </x:c>
      <x:c r="F32" s="24" t="str">
        <x:v>Hooknose</x:v>
      </x:c>
      <x:c r="G32" s="24" t="str">
        <x:v>Large reef assoc. fish (&gt;=90 cm)</x:v>
      </x:c>
      <x:c r="H32" s="24" t="str">
        <x:v>Scorpionfishes</x:v>
      </x:c>
      <x:c r="I32" s="31" t="n">
        <x:v>87.91805916519999</x:v>
      </x:c>
      <x:c r="J32" s="31" t="n">
        <x:v>0</x:v>
      </x:c>
      <x:c r="K32" s="31" t="n">
        <x:v>87.91805916519999</x:v>
      </x:c>
      <x:c r="L32" s="31" t="n">
        <x:v>0</x:v>
      </x:c>
      <x:c r="M32" s="31" t="n">
        <x:v>87.91805916519999</x:v>
      </x:c>
      <x:c r="N32" s="24" t="str">
        <x:v>agonus cataphractus</x:v>
      </x:c>
      <x:c r="O32" s="32" t="n">
        <x:v>3.43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Agonus cataphractus</x:v>
      </x:c>
      <x:c r="T32" s="32" t="n">
        <x:f>IF(O32="","",(1/'Metadata'!$B$5)^(O32-1))</x:f>
        <x:v>269.1534803926917</x:v>
      </x:c>
      <x:c r="U32" s="31" t="n">
        <x:f>IF(T32="","",I32*T32)</x:f>
        <x:v>23663.451613684163</x:v>
      </x:c>
    </x:row>
    <x:row r="33" ht="18" customHeight="1">
      <x:c r="A33" s="24" t="str">
        <x:v>EEZ_277</x:v>
      </x:c>
      <x:c r="B33" s="24" t="str">
        <x:v>Germany (North Sea)</x:v>
      </x:c>
      <x:c r="C33" s="24" t="str">
        <x:v>EEZ</x:v>
      </x:c>
      <x:c r="D33" s="30" t="n">
        <x:v>2019</x:v>
      </x:c>
      <x:c r="E33" s="24" t="str">
        <x:v>Miscellaneous aquatic invertebrates</x:v>
      </x:c>
      <x:c r="F33" s="24" t="str">
        <x:v>Aquatic invertebrates</x:v>
      </x:c>
      <x:c r="G33" s="24" t="str">
        <x:v>Other demersal invertebrates</x:v>
      </x:c>
      <x:c r="H33" s="24" t="str">
        <x:v>Other fishes &amp; inverts</x:v>
      </x:c>
      <x:c r="I33" s="31" t="n">
        <x:v>86.69441731090001</x:v>
      </x:c>
      <x:c r="J33" s="31" t="n">
        <x:v>0</x:v>
      </x:c>
      <x:c r="K33" s="31" t="n">
        <x:v>86.69441731090001</x:v>
      </x:c>
      <x:c r="L33" s="31" t="n">
        <x:v>0</x:v>
      </x:c>
      <x:c r="M33" s="31" t="n">
        <x:v>86.69441731090001</x:v>
      </x:c>
      <x:c r="N33" s="24" t="str">
        <x:v>miscellaneous aquatic invertebrates</x:v>
      </x:c>
      <x:c r="O33" s="32" t="n">
        <x:v>2.43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aquatic invertebrates</x:v>
      </x:c>
      <x:c r="T33" s="32" t="n">
        <x:f>IF(O33="","",(1/'Metadata'!$B$5)^(O33-1))</x:f>
        <x:v>26.915348039269166</x:v>
      </x:c>
      <x:c r="U33" s="31" t="n">
        <x:f>IF(T33="","",I33*T33)</x:f>
        <x:v>2333.4104149845152</x:v>
      </x:c>
    </x:row>
    <x:row r="34" ht="18" customHeight="1">
      <x:c r="A34" s="24" t="str">
        <x:v>EEZ_277</x:v>
      </x:c>
      <x:c r="B34" s="24" t="str">
        <x:v>Germany (North Sea)</x:v>
      </x:c>
      <x:c r="C34" s="24" t="str">
        <x:v>EEZ</x:v>
      </x:c>
      <x:c r="D34" s="30" t="n">
        <x:v>2019</x:v>
      </x:c>
      <x:c r="E34" s="24" t="str">
        <x:v>Gobiidae</x:v>
      </x:c>
      <x:c r="F34" s="24" t="str">
        <x:v>Gobies</x:v>
      </x:c>
      <x:c r="G34" s="24" t="str">
        <x:v>Small reef assoc. fish (&lt;30 cm)</x:v>
      </x:c>
      <x:c r="H34" s="24" t="str">
        <x:v>Perch-likes</x:v>
      </x:c>
      <x:c r="I34" s="31" t="n">
        <x:v>68.76934253019999</x:v>
      </x:c>
      <x:c r="J34" s="31" t="n">
        <x:v>0</x:v>
      </x:c>
      <x:c r="K34" s="31" t="n">
        <x:v>68.76934253019999</x:v>
      </x:c>
      <x:c r="L34" s="31" t="n">
        <x:v>0</x:v>
      </x:c>
      <x:c r="M34" s="31" t="n">
        <x:v>68.76934253019999</x:v>
      </x:c>
      <x:c r="N34" s="24" t="str">
        <x:v>gobiidae</x:v>
      </x:c>
      <x:c r="O34" s="32" t="n">
        <x:v>3.11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Gobiidae</x:v>
      </x:c>
      <x:c r="T34" s="32" t="n">
        <x:f>IF(O34="","",(1/'Metadata'!$B$5)^(O34-1))</x:f>
        <x:v>128.82495516931337</x:v>
      </x:c>
      <x:c r="U34" s="31" t="n">
        <x:f>IF(T34="","",I34*T34)</x:f>
        <x:v>8859.20746847617</x:v>
      </x:c>
    </x:row>
    <x:row r="35" ht="18" customHeight="1">
      <x:c r="A35" s="24" t="str">
        <x:v>EEZ_277</x:v>
      </x:c>
      <x:c r="B35" s="24" t="str">
        <x:v>Germany (North Sea)</x:v>
      </x:c>
      <x:c r="C35" s="24" t="str">
        <x:v>EEZ</x:v>
      </x:c>
      <x:c r="D35" s="30" t="n">
        <x:v>2019</x:v>
      </x:c>
      <x:c r="E35" s="24" t="str">
        <x:v>Triglidae</x:v>
      </x:c>
      <x:c r="F35" s="24" t="str">
        <x:v>Searobins, gurnards</x:v>
      </x:c>
      <x:c r="G35" s="24" t="str">
        <x:v>Medium demersals (30 - 89 cm)</x:v>
      </x:c>
      <x:c r="H35" s="24" t="str">
        <x:v>Scorpionfishes</x:v>
      </x:c>
      <x:c r="I35" s="31" t="n">
        <x:v>67.6527972375</x:v>
      </x:c>
      <x:c r="J35" s="31" t="n">
        <x:v>1.0063289658</x:v>
      </x:c>
      <x:c r="K35" s="31" t="n">
        <x:v>66.6464682717</x:v>
      </x:c>
      <x:c r="L35" s="31" t="n">
        <x:v>1.0063289658</x:v>
      </x:c>
      <x:c r="M35" s="31" t="n">
        <x:v>66.6464682717</x:v>
      </x:c>
      <x:c r="N35" s="24" t="str">
        <x:v>triglidae</x:v>
      </x:c>
      <x:c r="O35" s="32" t="n">
        <x:v>3.74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Triglidae</x:v>
      </x:c>
      <x:c r="T35" s="32" t="n">
        <x:f>IF(O35="","",(1/'Metadata'!$B$5)^(O35-1))</x:f>
        <x:v>549.5408738576248</x:v>
      </x:c>
      <x:c r="U35" s="31" t="n">
        <x:f>IF(T35="","",I35*T35)</x:f>
        <x:v>37177.97731280845</x:v>
      </x:c>
    </x:row>
    <x:row r="36" ht="18" customHeight="1">
      <x:c r="A36" s="24" t="str">
        <x:v>EEZ_277</x:v>
      </x:c>
      <x:c r="B36" s="24" t="str">
        <x:v>Germany (North Sea)</x:v>
      </x:c>
      <x:c r="C36" s="24" t="str">
        <x:v>EEZ</x:v>
      </x:c>
      <x:c r="D36" s="30" t="n">
        <x:v>2019</x:v>
      </x:c>
      <x:c r="E36" s="24" t="str">
        <x:v>Sepia officinalis</x:v>
      </x:c>
      <x:c r="F36" s="24" t="str">
        <x:v>Common cuttlefish</x:v>
      </x:c>
      <x:c r="G36" s="24" t="str">
        <x:v>Cephalopods</x:v>
      </x:c>
      <x:c r="H36" s="24" t="str">
        <x:v>Other fishes &amp; inverts</x:v>
      </x:c>
      <x:c r="I36" s="31" t="n">
        <x:v>65.2938488177</x:v>
      </x:c>
      <x:c r="J36" s="31" t="n">
        <x:v>65.2938488177</x:v>
      </x:c>
      <x:c r="K36" s="31" t="n">
        <x:v>0</x:v>
      </x:c>
      <x:c r="L36" s="31" t="n">
        <x:v>65.2938488177</x:v>
      </x:c>
      <x:c r="M36" s="31" t="n">
        <x:v>0</x:v>
      </x:c>
      <x:c r="N36" s="24" t="str">
        <x:v>sepia officinalis</x:v>
      </x:c>
      <x:c r="O36" s="32" t="n">
        <x:v>4.27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Sepia officinalis</x:v>
      </x:c>
      <x:c r="T36" s="32" t="n">
        <x:f>IF(O36="","",(1/'Metadata'!$B$5)^(O36-1))</x:f>
        <x:v>1862.0871366628655</x:v>
      </x:c>
      <x:c r="U36" s="31" t="n">
        <x:f>IF(T36="","",I36*T36)</x:f>
        <x:v>121582.835986649</x:v>
      </x:c>
    </x:row>
    <x:row r="37" ht="18" customHeight="1">
      <x:c r="A37" s="24" t="str">
        <x:v>EEZ_277</x:v>
      </x:c>
      <x:c r="B37" s="24" t="str">
        <x:v>Germany (North Sea)</x:v>
      </x:c>
      <x:c r="C37" s="24" t="str">
        <x:v>EEZ</x:v>
      </x:c>
      <x:c r="D37" s="30" t="n">
        <x:v>2019</x:v>
      </x:c>
      <x:c r="E37" s="24" t="str">
        <x:v>Callionymus lyra</x:v>
      </x:c>
      <x:c r="F37" s="24" t="str">
        <x:v>Dragonet</x:v>
      </x:c>
      <x:c r="G37" s="24" t="str">
        <x:v>Large reef assoc. fish (&gt;=90 cm)</x:v>
      </x:c>
      <x:c r="H37" s="24" t="str">
        <x:v>Perch-likes</x:v>
      </x:c>
      <x:c r="I37" s="31" t="n">
        <x:v>62.567258459</x:v>
      </x:c>
      <x:c r="J37" s="31" t="n">
        <x:v>0</x:v>
      </x:c>
      <x:c r="K37" s="31" t="n">
        <x:v>62.567258459</x:v>
      </x:c>
      <x:c r="L37" s="31" t="n">
        <x:v>0</x:v>
      </x:c>
      <x:c r="M37" s="31" t="n">
        <x:v>62.567258459</x:v>
      </x:c>
      <x:c r="N37" s="24" t="str">
        <x:v>callionymus lyra</x:v>
      </x:c>
      <x:c r="O37" s="32" t="n">
        <x:v>3.27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Callionymus lyra</x:v>
      </x:c>
      <x:c r="T37" s="32" t="n">
        <x:f>IF(O37="","",(1/'Metadata'!$B$5)^(O37-1))</x:f>
        <x:v>186.20871366628674</x:v>
      </x:c>
      <x:c r="U37" s="31" t="n">
        <x:f>IF(T37="","",I37*T37)</x:f>
        <x:v>11650.568715276488</x:v>
      </x:c>
    </x:row>
    <x:row r="38" ht="18" customHeight="1">
      <x:c r="A38" s="24" t="str">
        <x:v>EEZ_277</x:v>
      </x:c>
      <x:c r="B38" s="24" t="str">
        <x:v>Germany (North Sea)</x:v>
      </x:c>
      <x:c r="C38" s="24" t="str">
        <x:v>EEZ</x:v>
      </x:c>
      <x:c r="D38" s="30" t="n">
        <x:v>2019</x:v>
      </x:c>
      <x:c r="E38" s="24" t="str">
        <x:v>Trisopterus luscus</x:v>
      </x:c>
      <x:c r="F38" s="24" t="str">
        <x:v>Pouting</x:v>
      </x:c>
      <x:c r="G38" s="24" t="str">
        <x:v>Medium benthopelagics (30 - 89 cm)</x:v>
      </x:c>
      <x:c r="H38" s="24" t="str">
        <x:v>Cod-likes</x:v>
      </x:c>
      <x:c r="I38" s="31" t="n">
        <x:v>61.4665718922</x:v>
      </x:c>
      <x:c r="J38" s="31" t="n">
        <x:v>14.5289182499</x:v>
      </x:c>
      <x:c r="K38" s="31" t="n">
        <x:v>46.9376536423</x:v>
      </x:c>
      <x:c r="L38" s="31" t="n">
        <x:v>14.5289182499</x:v>
      </x:c>
      <x:c r="M38" s="31" t="n">
        <x:v>46.9376536423</x:v>
      </x:c>
      <x:c r="N38" s="24" t="str">
        <x:v>trisopterus luscus</x:v>
      </x:c>
      <x:c r="O38" s="32" t="n">
        <x:v>3.73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Trisopterus luscus</x:v>
      </x:c>
      <x:c r="T38" s="32" t="n">
        <x:f>IF(O38="","",(1/'Metadata'!$B$5)^(O38-1))</x:f>
        <x:v>537.0317963702527</x:v>
      </x:c>
      <x:c r="U38" s="31" t="n">
        <x:f>IF(T38="","",I38*T38)</x:f>
        <x:v>33009.50351998945</x:v>
      </x:c>
    </x:row>
    <x:row r="39" ht="18" customHeight="1">
      <x:c r="A39" s="24" t="str">
        <x:v>EEZ_277</x:v>
      </x:c>
      <x:c r="B39" s="24" t="str">
        <x:v>Germany (North Sea)</x:v>
      </x:c>
      <x:c r="C39" s="24" t="str">
        <x:v>EEZ</x:v>
      </x:c>
      <x:c r="D39" s="30" t="n">
        <x:v>2019</x:v>
      </x:c>
      <x:c r="E39" s="24" t="str">
        <x:v>Portunidae</x:v>
      </x:c>
      <x:c r="F39" s="24" t="str">
        <x:v>Swimming crabs</x:v>
      </x:c>
      <x:c r="G39" s="24" t="str">
        <x:v>Lobsters, crabs</x:v>
      </x:c>
      <x:c r="H39" s="24" t="str">
        <x:v>Crustaceans</x:v>
      </x:c>
      <x:c r="I39" s="31" t="n">
        <x:v>53.0980371868</x:v>
      </x:c>
      <x:c r="J39" s="31" t="n">
        <x:v>0</x:v>
      </x:c>
      <x:c r="K39" s="31" t="n">
        <x:v>53.0980371868</x:v>
      </x:c>
      <x:c r="L39" s="31" t="n">
        <x:v>0</x:v>
      </x:c>
      <x:c r="M39" s="31" t="n">
        <x:v>53.0980371868</x:v>
      </x:c>
      <x:c r="N39" s="24" t="str">
        <x:v>portunidae</x:v>
      </x:c>
      <x:c r="O39" s="32" t="n">
        <x:v>3.56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Portunidae</x:v>
      </x:c>
      <x:c r="T39" s="32" t="n">
        <x:f>IF(O39="","",(1/'Metadata'!$B$5)^(O39-1))</x:f>
        <x:v>363.0780547701014</x:v>
      </x:c>
      <x:c r="U39" s="31" t="n">
        <x:f>IF(T39="","",I39*T39)</x:f>
        <x:v>19278.73205389385</x:v>
      </x:c>
    </x:row>
    <x:row r="40" ht="18" customHeight="1">
      <x:c r="A40" s="24" t="str">
        <x:v>EEZ_277</x:v>
      </x:c>
      <x:c r="B40" s="24" t="str">
        <x:v>Germany (North Sea)</x:v>
      </x:c>
      <x:c r="C40" s="24" t="str">
        <x:v>EEZ</x:v>
      </x:c>
      <x:c r="D40" s="30" t="n">
        <x:v>2019</x:v>
      </x:c>
      <x:c r="E40" s="24" t="str">
        <x:v>Lophiidae</x:v>
      </x:c>
      <x:c r="F40" s="24" t="str">
        <x:v>Goosefishes</x:v>
      </x:c>
      <x:c r="G40" s="24" t="str">
        <x:v>Medium bathydemersals (30 - 89 cm)</x:v>
      </x:c>
      <x:c r="H40" s="24" t="str">
        <x:v>Other fishes &amp; inverts</x:v>
      </x:c>
      <x:c r="I40" s="31" t="n">
        <x:v>51.6015615094</x:v>
      </x:c>
      <x:c r="J40" s="31" t="n">
        <x:v>51.596749432500005</x:v>
      </x:c>
      <x:c r="K40" s="31" t="n">
        <x:v>0.0048120769</x:v>
      </x:c>
      <x:c r="L40" s="31" t="n">
        <x:v>51.5558510425</x:v>
      </x:c>
      <x:c r="M40" s="31" t="n">
        <x:v>0.0457104669</x:v>
      </x:c>
      <x:c r="N40" s="24" t="str">
        <x:v>lophiidae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Lophiidae</x:v>
      </x:c>
      <x:c r="T40" s="32" t="n">
        <x:f>IF(O40="","",(1/'Metadata'!$B$5)^(O40-1))</x:f>
        <x:v>2884.031503126606</x:v>
      </x:c>
      <x:c r="U40" s="31" t="n">
        <x:f>IF(T40="","",I40*T40)</x:f>
        <x:v>148820.5290036349</x:v>
      </x:c>
    </x:row>
    <x:row r="41" ht="18" customHeight="1">
      <x:c r="A41" s="24" t="str">
        <x:v>EEZ_277</x:v>
      </x:c>
      <x:c r="B41" s="24" t="str">
        <x:v>Germany (North Sea)</x:v>
      </x:c>
      <x:c r="C41" s="24" t="str">
        <x:v>EEZ</x:v>
      </x:c>
      <x:c r="D41" s="30" t="n">
        <x:v>2019</x:v>
      </x:c>
      <x:c r="E41" s="24" t="str">
        <x:v>Platichthys flesus</x:v>
      </x:c>
      <x:c r="F41" s="24" t="str">
        <x:v>European flounder</x:v>
      </x:c>
      <x:c r="G41" s="24" t="str">
        <x:v>Small to medium flatfishes (&lt;90 cm)</x:v>
      </x:c>
      <x:c r="H41" s="24" t="str">
        <x:v>Flatfishes</x:v>
      </x:c>
      <x:c r="I41" s="31" t="n">
        <x:v>40.873708785</x:v>
      </x:c>
      <x:c r="J41" s="31" t="n">
        <x:v>27.8227925242</x:v>
      </x:c>
      <x:c r="K41" s="31" t="n">
        <x:v>13.050916260800001</x:v>
      </x:c>
      <x:c r="L41" s="31" t="n">
        <x:v>27.8227925242</x:v>
      </x:c>
      <x:c r="M41" s="31" t="n">
        <x:v>13.050916260800001</x:v>
      </x:c>
      <x:c r="N41" s="24" t="str">
        <x:v>platichthys flesus</x:v>
      </x:c>
      <x:c r="O41" s="32" t="n">
        <x:v>3.32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Platichthys flesus</x:v>
      </x:c>
      <x:c r="T41" s="32" t="n">
        <x:f>IF(O41="","",(1/'Metadata'!$B$5)^(O41-1))</x:f>
        <x:v>208.92961308540387</x:v>
      </x:c>
      <x:c r="U41" s="31" t="n">
        <x:f>IF(T41="","",I41*T41)</x:f>
        <x:v>8539.728161815523</x:v>
      </x:c>
    </x:row>
    <x:row r="42" ht="18" customHeight="1">
      <x:c r="A42" s="24" t="str">
        <x:v>EEZ_277</x:v>
      </x:c>
      <x:c r="B42" s="24" t="str">
        <x:v>Germany (North Sea)</x:v>
      </x:c>
      <x:c r="C42" s="24" t="str">
        <x:v>EEZ</x:v>
      </x:c>
      <x:c r="D42" s="30" t="n">
        <x:v>2019</x:v>
      </x:c>
      <x:c r="E42" s="24" t="str">
        <x:v>Ostrea edulis</x:v>
      </x:c>
      <x:c r="F42" s="24" t="str">
        <x:v>European flat oyster</x:v>
      </x:c>
      <x:c r="G42" s="24" t="str">
        <x:v>Other demersal invertebrates</x:v>
      </x:c>
      <x:c r="H42" s="24" t="str">
        <x:v>Molluscs</x:v>
      </x:c>
      <x:c r="I42" s="31" t="n">
        <x:v>36.5714818826</x:v>
      </x:c>
      <x:c r="J42" s="31" t="n">
        <x:v>36.5714818826</x:v>
      </x:c>
      <x:c r="K42" s="31" t="n">
        <x:v>0</x:v>
      </x:c>
      <x:c r="L42" s="31" t="n">
        <x:v>36.5714818826</x:v>
      </x:c>
      <x:c r="M42" s="31" t="n">
        <x:v>0</x:v>
      </x:c>
      <x:c r="N42" s="24" t="str">
        <x:v>ostrea edulis</x:v>
      </x:c>
      <x:c r="O42" s="32" t="n">
        <x:v>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Ostrea edulis</x:v>
      </x:c>
      <x:c r="T42" s="32" t="n">
        <x:f>IF(O42="","",(1/'Metadata'!$B$5)^(O42-1))</x:f>
        <x:v>10</x:v>
      </x:c>
      <x:c r="U42" s="31" t="n">
        <x:f>IF(T42="","",I42*T42)</x:f>
        <x:v>365.71481882599994</x:v>
      </x:c>
    </x:row>
    <x:row r="43" ht="18" customHeight="1">
      <x:c r="A43" s="24" t="str">
        <x:v>EEZ_277</x:v>
      </x:c>
      <x:c r="B43" s="24" t="str">
        <x:v>Germany (North Sea)</x:v>
      </x:c>
      <x:c r="C43" s="24" t="str">
        <x:v>EEZ</x:v>
      </x:c>
      <x:c r="D43" s="30" t="n">
        <x:v>2019</x:v>
      </x:c>
      <x:c r="E43" s="24" t="str">
        <x:v>Raja clavata</x:v>
      </x:c>
      <x:c r="F43" s="24" t="str">
        <x:v>Thornback ray</x:v>
      </x:c>
      <x:c r="G43" s="24" t="str">
        <x:v>Large rays (&gt;=90 cm)</x:v>
      </x:c>
      <x:c r="H43" s="24" t="str">
        <x:v>Sharks &amp; rays</x:v>
      </x:c>
      <x:c r="I43" s="31" t="n">
        <x:v>31.968315345100002</x:v>
      </x:c>
      <x:c r="J43" s="31" t="n">
        <x:v>31.968315345100002</x:v>
      </x:c>
      <x:c r="K43" s="31" t="n">
        <x:v>0</x:v>
      </x:c>
      <x:c r="L43" s="31" t="n">
        <x:v>31.968315345100002</x:v>
      </x:c>
      <x:c r="M43" s="31" t="n">
        <x:v>0</x:v>
      </x:c>
      <x:c r="N43" s="24" t="str">
        <x:v>raja clavata</x:v>
      </x:c>
      <x:c r="O43" s="32" t="n">
        <x:v>3.84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Raja clavata</x:v>
      </x:c>
      <x:c r="T43" s="32" t="n">
        <x:f>IF(O43="","",(1/'Metadata'!$B$5)^(O43-1))</x:f>
        <x:v>691.8309709189363</x:v>
      </x:c>
      <x:c r="U43" s="31" t="n">
        <x:f>IF(T43="","",I43*T43)</x:f>
        <x:v>22116.670643843263</x:v>
      </x:c>
    </x:row>
    <x:row r="44" ht="18" customHeight="1">
      <x:c r="A44" s="24" t="str">
        <x:v>EEZ_277</x:v>
      </x:c>
      <x:c r="B44" s="24" t="str">
        <x:v>Germany (North Sea)</x:v>
      </x:c>
      <x:c r="C44" s="24" t="str">
        <x:v>EEZ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31.321728472900002</x:v>
      </x:c>
      <x:c r="J44" s="31" t="n">
        <x:v>0.2918</x:v>
      </x:c>
      <x:c r="K44" s="31" t="n">
        <x:v>31.0299284729</x:v>
      </x:c>
      <x:c r="L44" s="31" t="n">
        <x:v>0.2918</x:v>
      </x:c>
      <x:c r="M44" s="31" t="n">
        <x:v>31.0299284729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12759.854446594987</x:v>
      </x:c>
    </x:row>
    <x:row r="45" ht="18" customHeight="1">
      <x:c r="A45" s="24" t="str">
        <x:v>EEZ_277</x:v>
      </x:c>
      <x:c r="B45" s="24" t="str">
        <x:v>Germany (North Sea)</x:v>
      </x:c>
      <x:c r="C45" s="24" t="str">
        <x:v>EEZ</x:v>
      </x:c>
      <x:c r="D45" s="30" t="n">
        <x:v>2019</x:v>
      </x:c>
      <x:c r="E45" s="24" t="str">
        <x:v>Mullus surmuletus</x:v>
      </x:c>
      <x:c r="F45" s="24" t="str">
        <x:v>Surmullet</x:v>
      </x:c>
      <x:c r="G45" s="24" t="str">
        <x:v>Medium demersals (30 - 89 cm)</x:v>
      </x:c>
      <x:c r="H45" s="24" t="str">
        <x:v>Perch-likes</x:v>
      </x:c>
      <x:c r="I45" s="31" t="n">
        <x:v>30.9931124056</x:v>
      </x:c>
      <x:c r="J45" s="31" t="n">
        <x:v>30.9931124056</x:v>
      </x:c>
      <x:c r="K45" s="31" t="n">
        <x:v>0</x:v>
      </x:c>
      <x:c r="L45" s="31" t="n">
        <x:v>30.9931124056</x:v>
      </x:c>
      <x:c r="M45" s="31" t="n">
        <x:v>0</x:v>
      </x:c>
      <x:c r="N45" s="24" t="str">
        <x:v>mullus surmuletus</x:v>
      </x:c>
      <x:c r="O45" s="32" t="n">
        <x:v>3.45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Mullus surmuletus</x:v>
      </x:c>
      <x:c r="T45" s="32" t="n">
        <x:f>IF(O45="","",(1/'Metadata'!$B$5)^(O45-1))</x:f>
        <x:v>281.8382931264455</x:v>
      </x:c>
      <x:c r="U45" s="31" t="n">
        <x:f>IF(T45="","",I45*T45)</x:f>
        <x:v>8735.045899070366</x:v>
      </x:c>
    </x:row>
    <x:row r="46" ht="18" customHeight="1">
      <x:c r="A46" s="24" t="str">
        <x:v>EEZ_277</x:v>
      </x:c>
      <x:c r="B46" s="24" t="str">
        <x:v>Germany (North Sea)</x:v>
      </x:c>
      <x:c r="C46" s="24" t="str">
        <x:v>EEZ</x:v>
      </x:c>
      <x:c r="D46" s="30" t="n">
        <x:v>2019</x:v>
      </x:c>
      <x:c r="E46" s="24" t="str">
        <x:v>Squalidae</x:v>
      </x:c>
      <x:c r="F46" s="24" t="str">
        <x:v>Dogfish sharks</x:v>
      </x:c>
      <x:c r="G46" s="24" t="str">
        <x:v>Large sharks (&gt;=90 cm)</x:v>
      </x:c>
      <x:c r="H46" s="24" t="str">
        <x:v>Sharks &amp; rays</x:v>
      </x:c>
      <x:c r="I46" s="31" t="n">
        <x:v>30.3631437722</x:v>
      </x:c>
      <x:c r="J46" s="31" t="n">
        <x:v>0.145900739</x:v>
      </x:c>
      <x:c r="K46" s="31" t="n">
        <x:v>30.2172430332</x:v>
      </x:c>
      <x:c r="L46" s="31" t="n">
        <x:v>0.145900739</x:v>
      </x:c>
      <x:c r="M46" s="31" t="n">
        <x:v>30.2172430332</x:v>
      </x:c>
      <x:c r="N46" s="24" t="str">
        <x:v>squalidae</x:v>
      </x:c>
      <x:c r="O46" s="32" t="n">
        <x:v>4.23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Squalidae</x:v>
      </x:c>
      <x:c r="T46" s="32" t="n">
        <x:f>IF(O46="","",(1/'Metadata'!$B$5)^(O46-1))</x:f>
        <x:v>1698.243652461746</x:v>
      </x:c>
      <x:c r="U46" s="31" t="n">
        <x:f>IF(T46="","",I46*T46)</x:f>
        <x:v>51564.016179922044</x:v>
      </x:c>
    </x:row>
    <x:row r="47" ht="18" customHeight="1">
      <x:c r="A47" s="24" t="str">
        <x:v>EEZ_277</x:v>
      </x:c>
      <x:c r="B47" s="24" t="str">
        <x:v>Germany (North Sea)</x:v>
      </x:c>
      <x:c r="C47" s="24" t="str">
        <x:v>EEZ</x:v>
      </x:c>
      <x:c r="D47" s="30" t="n">
        <x:v>2019</x:v>
      </x:c>
      <x:c r="E47" s="24" t="str">
        <x:v>Pecten maximus</x:v>
      </x:c>
      <x:c r="F47" s="24" t="str">
        <x:v>Great Atlantic scallop</x:v>
      </x:c>
      <x:c r="G47" s="24" t="str">
        <x:v>Other demersal invertebrates</x:v>
      </x:c>
      <x:c r="H47" s="24" t="str">
        <x:v>Molluscs</x:v>
      </x:c>
      <x:c r="I47" s="31" t="n">
        <x:v>28.433467573</x:v>
      </x:c>
      <x:c r="J47" s="31" t="n">
        <x:v>28.433467573</x:v>
      </x:c>
      <x:c r="K47" s="31" t="n">
        <x:v>0</x:v>
      </x:c>
      <x:c r="L47" s="31" t="n">
        <x:v>28.433467573</x:v>
      </x:c>
      <x:c r="M47" s="31" t="n">
        <x:v>0</x:v>
      </x:c>
      <x:c r="N47" s="24" t="str">
        <x:v>pecten maximus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Pecten maximus</x:v>
      </x:c>
      <x:c r="T47" s="32" t="n">
        <x:f>IF(O47="","",(1/'Metadata'!$B$5)^(O47-1))</x:f>
        <x:v>10</x:v>
      </x:c>
      <x:c r="U47" s="31" t="n">
        <x:f>IF(T47="","",I47*T47)</x:f>
        <x:v>284.33467573</x:v>
      </x:c>
    </x:row>
    <x:row r="48" ht="18" customHeight="1">
      <x:c r="A48" s="24" t="str">
        <x:v>EEZ_277</x:v>
      </x:c>
      <x:c r="B48" s="24" t="str">
        <x:v>Germany (North Sea)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27.6002954649</x:v>
      </x:c>
      <x:c r="J48" s="31" t="n">
        <x:v>0</x:v>
      </x:c>
      <x:c r="K48" s="31" t="n">
        <x:v>27.6002954649</x:v>
      </x:c>
      <x:c r="L48" s="31" t="n">
        <x:v>0</x:v>
      </x:c>
      <x:c r="M48" s="31" t="n">
        <x:v>27.6002954649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50224.28135536774</x:v>
      </x:c>
    </x:row>
    <x:row r="49" ht="18" customHeight="1">
      <x:c r="A49" s="24" t="str">
        <x:v>EEZ_277</x:v>
      </x:c>
      <x:c r="B49" s="24" t="str">
        <x:v>Germany (North Sea)</x:v>
      </x:c>
      <x:c r="C49" s="24" t="str">
        <x:v>EEZ</x:v>
      </x:c>
      <x:c r="D49" s="30" t="n">
        <x:v>2019</x:v>
      </x:c>
      <x:c r="E49" s="24" t="str">
        <x:v>Gadidae</x:v>
      </x:c>
      <x:c r="F49" s="24" t="str">
        <x:v>Cods, haddocks</x:v>
      </x:c>
      <x:c r="G49" s="24" t="str">
        <x:v>Medium demersals (30 - 89 cm)</x:v>
      </x:c>
      <x:c r="H49" s="24" t="str">
        <x:v>Cod-likes</x:v>
      </x:c>
      <x:c r="I49" s="31" t="n">
        <x:v>26.520568524999998</x:v>
      </x:c>
      <x:c r="J49" s="31" t="n">
        <x:v>0</x:v>
      </x:c>
      <x:c r="K49" s="31" t="n">
        <x:v>26.520568524999998</x:v>
      </x:c>
      <x:c r="L49" s="31" t="n">
        <x:v>0</x:v>
      </x:c>
      <x:c r="M49" s="31" t="n">
        <x:v>26.520568524999998</x:v>
      </x:c>
      <x:c r="N49" s="24" t="str">
        <x:v>gadidae</x:v>
      </x:c>
      <x:c r="O49" s="32" t="n">
        <x:v>3.84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Gadidae</x:v>
      </x:c>
      <x:c r="T49" s="32" t="n">
        <x:f>IF(O49="","",(1/'Metadata'!$B$5)^(O49-1))</x:f>
        <x:v>691.8309709189363</x:v>
      </x:c>
      <x:c r="U49" s="31" t="n">
        <x:f>IF(T49="","",I49*T49)</x:f>
        <x:v>18347.75067197293</x:v>
      </x:c>
    </x:row>
    <x:row r="50" ht="18" customHeight="1">
      <x:c r="A50" s="24" t="str">
        <x:v>EEZ_277</x:v>
      </x:c>
      <x:c r="B50" s="24" t="str">
        <x:v>Germany (North Sea)</x:v>
      </x:c>
      <x:c r="C50" s="24" t="str">
        <x:v>EEZ</x:v>
      </x:c>
      <x:c r="D50" s="30" t="n">
        <x:v>2019</x:v>
      </x:c>
      <x:c r="E50" s="24" t="str">
        <x:v>Pollachius pollachius</x:v>
      </x:c>
      <x:c r="F50" s="24" t="str">
        <x:v>Pollack</x:v>
      </x:c>
      <x:c r="G50" s="24" t="str">
        <x:v>Large benthopelagics (&gt;=90 cm)</x:v>
      </x:c>
      <x:c r="H50" s="24" t="str">
        <x:v>Cod-likes</x:v>
      </x:c>
      <x:c r="I50" s="31" t="n">
        <x:v>26.1197262885</x:v>
      </x:c>
      <x:c r="J50" s="31" t="n">
        <x:v>24.7431627852</x:v>
      </x:c>
      <x:c r="K50" s="31" t="n">
        <x:v>1.3765635032999999</x:v>
      </x:c>
      <x:c r="L50" s="31" t="n">
        <x:v>24.3709666625</x:v>
      </x:c>
      <x:c r="M50" s="31" t="n">
        <x:v>1.748759626</x:v>
      </x:c>
      <x:c r="N50" s="24" t="str">
        <x:v>pollachius pollachius</x:v>
      </x:c>
      <x:c r="O50" s="32" t="n">
        <x:v>4.32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Pollachius pollachius</x:v>
      </x:c>
      <x:c r="T50" s="32" t="n">
        <x:f>IF(O50="","",(1/'Metadata'!$B$5)^(O50-1))</x:f>
        <x:v>2089.2961308540407</x:v>
      </x:c>
      <x:c r="U50" s="31" t="n">
        <x:f>IF(T50="","",I50*T50)</x:f>
        <x:v>54571.84307352963</x:v>
      </x:c>
    </x:row>
    <x:row r="51" ht="18" customHeight="1">
      <x:c r="A51" s="24" t="str">
        <x:v>EEZ_277</x:v>
      </x:c>
      <x:c r="B51" s="24" t="str">
        <x:v>Germany (North Sea)</x:v>
      </x:c>
      <x:c r="C51" s="24" t="str">
        <x:v>EEZ</x:v>
      </x:c>
      <x:c r="D51" s="30" t="n">
        <x:v>2019</x:v>
      </x:c>
      <x:c r="E51" s="24" t="str">
        <x:v>Lophius</x:v>
      </x:c>
      <x:c r="F51" s="24" t="str">
        <x:v>Frogfishes</x:v>
      </x:c>
      <x:c r="G51" s="24" t="str">
        <x:v>Medium bathydemersals (30 - 89 cm)</x:v>
      </x:c>
      <x:c r="H51" s="24" t="str">
        <x:v>Other fishes &amp; inverts</x:v>
      </x:c>
      <x:c r="I51" s="31" t="n">
        <x:v>24.8087990974</x:v>
      </x:c>
      <x:c r="J51" s="31" t="n">
        <x:v>0</x:v>
      </x:c>
      <x:c r="K51" s="31" t="n">
        <x:v>24.8087990974</x:v>
      </x:c>
      <x:c r="L51" s="31" t="n">
        <x:v>0</x:v>
      </x:c>
      <x:c r="M51" s="31" t="n">
        <x:v>24.8087990974</x:v>
      </x:c>
      <x:c r="N51" s="24" t="str">
        <x:v>lophius</x:v>
      </x:c>
      <x:c r="O51" s="32" t="n">
        <x:v>4.46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Lophius</x:v>
      </x:c>
      <x:c r="T51" s="32" t="n">
        <x:f>IF(O51="","",(1/'Metadata'!$B$5)^(O51-1))</x:f>
        <x:v>2884.031503126606</x:v>
      </x:c>
      <x:c r="U51" s="31" t="n">
        <x:f>IF(T51="","",I51*T51)</x:f>
        <x:v>71549.35815164051</x:v>
      </x:c>
    </x:row>
    <x:row r="52" ht="18" customHeight="1">
      <x:c r="A52" s="24" t="str">
        <x:v>EEZ_277</x:v>
      </x:c>
      <x:c r="B52" s="24" t="str">
        <x:v>Germany (North Sea)</x:v>
      </x:c>
      <x:c r="C52" s="24" t="str">
        <x:v>EEZ</x:v>
      </x:c>
      <x:c r="D52" s="30" t="n">
        <x:v>2019</x:v>
      </x:c>
      <x:c r="E52" s="24" t="str">
        <x:v>Soleidae</x:v>
      </x:c>
      <x:c r="F52" s="24" t="str">
        <x:v>Soles</x:v>
      </x:c>
      <x:c r="G52" s="24" t="str">
        <x:v>Small to medium flatfishes (&lt;90 cm)</x:v>
      </x:c>
      <x:c r="H52" s="24" t="str">
        <x:v>Flatfishes</x:v>
      </x:c>
      <x:c r="I52" s="31" t="n">
        <x:v>24.5435300544</x:v>
      </x:c>
      <x:c r="J52" s="31" t="n">
        <x:v>0.0021761141</x:v>
      </x:c>
      <x:c r="K52" s="31" t="n">
        <x:v>24.541353940300002</x:v>
      </x:c>
      <x:c r="L52" s="31" t="n">
        <x:v>0.0021761141</x:v>
      </x:c>
      <x:c r="M52" s="31" t="n">
        <x:v>24.541353940300002</x:v>
      </x:c>
      <x:c r="N52" s="24" t="str">
        <x:v>soleidae</x:v>
      </x:c>
      <x:c r="O52" s="32" t="n">
        <x:v>3.15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Soleidae</x:v>
      </x:c>
      <x:c r="T52" s="32" t="n">
        <x:f>IF(O52="","",(1/'Metadata'!$B$5)^(O52-1))</x:f>
        <x:v>141.2537544622754</x:v>
      </x:c>
      <x:c r="U52" s="31" t="n">
        <x:f>IF(T52="","",I52*T52)</x:f>
        <x:v>3466.8657679416947</x:v>
      </x:c>
    </x:row>
    <x:row r="53" ht="18" customHeight="1">
      <x:c r="A53" s="24" t="str">
        <x:v>EEZ_277</x:v>
      </x:c>
      <x:c r="B53" s="24" t="str">
        <x:v>Germany (North Sea)</x:v>
      </x:c>
      <x:c r="C53" s="24" t="str">
        <x:v>EEZ</x:v>
      </x:c>
      <x:c r="D53" s="30" t="n">
        <x:v>2019</x:v>
      </x:c>
      <x:c r="E53" s="24" t="str">
        <x:v>Clupeidae</x:v>
      </x:c>
      <x:c r="F53" s="24" t="str">
        <x:v>Herrings, sardines, menhadens</x:v>
      </x:c>
      <x:c r="G53" s="24" t="str">
        <x:v>Small pelagics (&lt;30 cm)</x:v>
      </x:c>
      <x:c r="H53" s="24" t="str">
        <x:v>Herring-likes</x:v>
      </x:c>
      <x:c r="I53" s="31" t="n">
        <x:v>22.4647499186</x:v>
      </x:c>
      <x:c r="J53" s="31" t="n">
        <x:v>0.0001444598</x:v>
      </x:c>
      <x:c r="K53" s="31" t="n">
        <x:v>22.4646054588</x:v>
      </x:c>
      <x:c r="L53" s="31" t="n">
        <x:v>0.0001444598</x:v>
      </x:c>
      <x:c r="M53" s="31" t="n">
        <x:v>22.4646054588</x:v>
      </x:c>
      <x:c r="N53" s="24" t="str">
        <x:v>clupeidae</x:v>
      </x:c>
      <x:c r="O53" s="32" t="n">
        <x:v>3.16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Clupeidae</x:v>
      </x:c>
      <x:c r="T53" s="32" t="n">
        <x:f>IF(O53="","",(1/'Metadata'!$B$5)^(O53-1))</x:f>
        <x:v>144.5439770745928</x:v>
      </x:c>
      <x:c r="U53" s="31" t="n">
        <x:f>IF(T53="","",I53*T53)</x:f>
        <x:v>3247.1442972205787</x:v>
      </x:c>
    </x:row>
    <x:row r="54" ht="18" customHeight="1">
      <x:c r="A54" s="24" t="str">
        <x:v>EEZ_277</x:v>
      </x:c>
      <x:c r="B54" s="24" t="str">
        <x:v>Germany (North Sea)</x:v>
      </x:c>
      <x:c r="C54" s="24" t="str">
        <x:v>EEZ</x:v>
      </x:c>
      <x:c r="D54" s="30" t="n">
        <x:v>2019</x:v>
      </x:c>
      <x:c r="E54" s="24" t="str">
        <x:v>Squaliformes</x:v>
      </x:c>
      <x:c r="F54" s="24" t="str">
        <x:v>Bramble, sleeper, dogfish sharks</x:v>
      </x:c>
      <x:c r="G54" s="24" t="str">
        <x:v>Large sharks (&gt;=90 cm)</x:v>
      </x:c>
      <x:c r="H54" s="24" t="str">
        <x:v>Sharks &amp; rays</x:v>
      </x:c>
      <x:c r="I54" s="31" t="n">
        <x:v>20.816828328699998</x:v>
      </x:c>
      <x:c r="J54" s="31" t="n">
        <x:v>0.0021940233</x:v>
      </x:c>
      <x:c r="K54" s="31" t="n">
        <x:v>20.8146343054</x:v>
      </x:c>
      <x:c r="L54" s="31" t="n">
        <x:v>0.0021940233</x:v>
      </x:c>
      <x:c r="M54" s="31" t="n">
        <x:v>20.8146343054</x:v>
      </x:c>
      <x:c r="N54" s="24" t="str">
        <x:v>squaliformes</x:v>
      </x:c>
      <x:c r="O54" s="32" t="n">
        <x:v>4.19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Squaliformes</x:v>
      </x:c>
      <x:c r="T54" s="32" t="n">
        <x:f>IF(O54="","",(1/'Metadata'!$B$5)^(O54-1))</x:f>
        <x:v>1548.8166189124827</x:v>
      </x:c>
      <x:c r="U54" s="31" t="n">
        <x:f>IF(T54="","",I54*T54)</x:f>
        <x:v>32241.44966853872</x:v>
      </x:c>
    </x:row>
    <x:row r="55" ht="18" customHeight="1">
      <x:c r="A55" s="24" t="str">
        <x:v>EEZ_277</x:v>
      </x:c>
      <x:c r="B55" s="24" t="str">
        <x:v>Germany (North Sea)</x:v>
      </x:c>
      <x:c r="C55" s="24" t="str">
        <x:v>EEZ</x:v>
      </x:c>
      <x:c r="D55" s="30" t="n">
        <x:v>2019</x:v>
      </x:c>
      <x:c r="E55" s="24" t="str">
        <x:v>Pleuronectidae</x:v>
      </x:c>
      <x:c r="F55" s="24" t="str">
        <x:v>Righteye flounders</x:v>
      </x:c>
      <x:c r="G55" s="24" t="str">
        <x:v>Small to medium flatfishes (&lt;90 cm)</x:v>
      </x:c>
      <x:c r="H55" s="24" t="str">
        <x:v>Flatfishes</x:v>
      </x:c>
      <x:c r="I55" s="31" t="n">
        <x:v>20.653550809000002</x:v>
      </x:c>
      <x:c r="J55" s="31" t="n">
        <x:v>0</x:v>
      </x:c>
      <x:c r="K55" s="31" t="n">
        <x:v>20.653550809000002</x:v>
      </x:c>
      <x:c r="L55" s="31" t="n">
        <x:v>0</x:v>
      </x:c>
      <x:c r="M55" s="31" t="n">
        <x:v>20.653550809000002</x:v>
      </x:c>
      <x:c r="N55" s="24" t="str">
        <x:v>pleuronectidae</x:v>
      </x:c>
      <x:c r="O55" s="32" t="n">
        <x:v>3.49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Pleuronectidae</x:v>
      </x:c>
      <x:c r="T55" s="32" t="n">
        <x:f>IF(O55="","",(1/'Metadata'!$B$5)^(O55-1))</x:f>
        <x:v>309.0295432513592</x:v>
      </x:c>
      <x:c r="U55" s="31" t="n">
        <x:f>IF(T55="","",I55*T55)</x:f>
        <x:v>6382.557373024011</x:v>
      </x:c>
    </x:row>
    <x:row r="56" ht="18" customHeight="1">
      <x:c r="A56" s="24" t="str">
        <x:v>EEZ_277</x:v>
      </x:c>
      <x:c r="B56" s="24" t="str">
        <x:v>Germany (North Sea)</x:v>
      </x:c>
      <x:c r="C56" s="24" t="str">
        <x:v>EEZ</x:v>
      </x:c>
      <x:c r="D56" s="30" t="n">
        <x:v>2019</x:v>
      </x:c>
      <x:c r="E56" s="24" t="str">
        <x:v>Miscellaneous marine crustaceans</x:v>
      </x:c>
      <x:c r="F56" s="24" t="str">
        <x:v>Marine crabs, shrimps, lobsters nei</x:v>
      </x:c>
      <x:c r="G56" s="24" t="str">
        <x:v>Shrimps</x:v>
      </x:c>
      <x:c r="H56" s="24" t="str">
        <x:v>Crustaceans</x:v>
      </x:c>
      <x:c r="I56" s="31" t="n">
        <x:v>20.1227502405</x:v>
      </x:c>
      <x:c r="J56" s="31" t="n">
        <x:v>0.13538913409999997</x:v>
      </x:c>
      <x:c r="K56" s="31" t="n">
        <x:v>19.9873611064</x:v>
      </x:c>
      <x:c r="L56" s="31" t="n">
        <x:v>0.13538913409999997</x:v>
      </x:c>
      <x:c r="M56" s="31" t="n">
        <x:v>19.9873611064</x:v>
      </x:c>
      <x:c r="N56" s="24" t="str">
        <x:v>miscellaneous marine crustaceans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Miscellaneous marine crustaceans</x:v>
      </x:c>
      <x:c r="T56" s="32" t="n">
        <x:f>IF(O56="","",(1/'Metadata'!$B$5)^(O56-1))</x:f>
        <x:v>50.11872336272725</x:v>
      </x:c>
      <x:c r="U56" s="31" t="n">
        <x:f>IF(T56="","",I56*T56)</x:f>
        <x:v>1008.5265526008728</x:v>
      </x:c>
    </x:row>
    <x:row r="57" ht="18" customHeight="1">
      <x:c r="A57" s="24" t="str">
        <x:v>EEZ_277</x:v>
      </x:c>
      <x:c r="B57" s="24" t="str">
        <x:v>Germany (North Sea)</x:v>
      </x:c>
      <x:c r="C57" s="24" t="str">
        <x:v>EEZ</x:v>
      </x:c>
      <x:c r="D57" s="30" t="n">
        <x:v>2019</x:v>
      </x:c>
      <x:c r="E57" s="24" t="str">
        <x:v>Arnoglossus laterna</x:v>
      </x:c>
      <x:c r="F57" s="24" t="str">
        <x:v>Mediterranean scaldfish</x:v>
      </x:c>
      <x:c r="G57" s="24" t="str">
        <x:v>Small to medium flatfishes (&lt;90 cm)</x:v>
      </x:c>
      <x:c r="H57" s="24" t="str">
        <x:v>Flatfishes</x:v>
      </x:c>
      <x:c r="I57" s="31" t="n">
        <x:v>19.7748249915</x:v>
      </x:c>
      <x:c r="J57" s="31" t="n">
        <x:v>0</x:v>
      </x:c>
      <x:c r="K57" s="31" t="n">
        <x:v>19.7748249915</x:v>
      </x:c>
      <x:c r="L57" s="31" t="n">
        <x:v>0</x:v>
      </x:c>
      <x:c r="M57" s="31" t="n">
        <x:v>19.7748249915</x:v>
      </x:c>
      <x:c r="N57" s="24" t="str">
        <x:v>arnoglossus laterna</x:v>
      </x:c>
      <x:c r="O57" s="32" t="n">
        <x:v>3.59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Arnoglossus laterna</x:v>
      </x:c>
      <x:c r="T57" s="32" t="n">
        <x:f>IF(O57="","",(1/'Metadata'!$B$5)^(O57-1))</x:f>
        <x:v>389.04514499428046</x:v>
      </x:c>
      <x:c r="U57" s="31" t="n">
        <x:f>IF(T57="","",I57*T57)</x:f>
        <x:v>7693.299656054639</x:v>
      </x:c>
    </x:row>
    <x:row r="58" ht="18" customHeight="1">
      <x:c r="A58" s="24" t="str">
        <x:v>EEZ_277</x:v>
      </x:c>
      <x:c r="B58" s="24" t="str">
        <x:v>Germany (North Sea)</x:v>
      </x:c>
      <x:c r="C58" s="24" t="str">
        <x:v>EEZ</x:v>
      </x:c>
      <x:c r="D58" s="30" t="n">
        <x:v>2019</x:v>
      </x:c>
      <x:c r="E58" s="24" t="str">
        <x:v>Anarhichas</x:v>
      </x:c>
      <x:c r="F58" s="24" t="str">
        <x:v>Wolffishes</x:v>
      </x:c>
      <x:c r="G58" s="24" t="str">
        <x:v>Large demersals (&gt;=90 cm)</x:v>
      </x:c>
      <x:c r="H58" s="24" t="str">
        <x:v>Perch-likes</x:v>
      </x:c>
      <x:c r="I58" s="31" t="n">
        <x:v>18.5263569042</x:v>
      </x:c>
      <x:c r="J58" s="31" t="n">
        <x:v>18.492788411299998</x:v>
      </x:c>
      <x:c r="K58" s="31" t="n">
        <x:v>0.0335684929</x:v>
      </x:c>
      <x:c r="L58" s="31" t="n">
        <x:v>18.414591742899997</x:v>
      </x:c>
      <x:c r="M58" s="31" t="n">
        <x:v>0.1117651613</x:v>
      </x:c>
      <x:c r="N58" s="24" t="str">
        <x:v>anarhichas</x:v>
      </x:c>
      <x:c r="O58" s="32" t="n">
        <x:v>3.35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Anarhichas</x:v>
      </x:c>
      <x:c r="T58" s="32" t="n">
        <x:f>IF(O58="","",(1/'Metadata'!$B$5)^(O58-1))</x:f>
        <x:v>223.872113856834</x:v>
      </x:c>
      <x:c r="U58" s="31" t="n">
        <x:f>IF(T58="","",I58*T58)</x:f>
        <x:v>4147.534682209405</x:v>
      </x:c>
    </x:row>
    <x:row r="59" ht="18" customHeight="1">
      <x:c r="A59" s="24" t="str">
        <x:v>EEZ_277</x:v>
      </x:c>
      <x:c r="B59" s="24" t="str">
        <x:v>Germany (North Sea)</x:v>
      </x:c>
      <x:c r="C59" s="24" t="str">
        <x:v>EEZ</x:v>
      </x:c>
      <x:c r="D59" s="30" t="n">
        <x:v>2019</x:v>
      </x:c>
      <x:c r="E59" s="24" t="str">
        <x:v>Amblyraja radiata</x:v>
      </x:c>
      <x:c r="F59" s="24" t="str">
        <x:v>Starry ray</x:v>
      </x:c>
      <x:c r="G59" s="24" t="str">
        <x:v>Large rays (&gt;=90 cm)</x:v>
      </x:c>
      <x:c r="H59" s="24" t="str">
        <x:v>Sharks &amp; rays</x:v>
      </x:c>
      <x:c r="I59" s="31" t="n">
        <x:v>18.462169266200004</x:v>
      </x:c>
      <x:c r="J59" s="31" t="n">
        <x:v>0.3567510334</x:v>
      </x:c>
      <x:c r="K59" s="31" t="n">
        <x:v>18.1054182328</x:v>
      </x:c>
      <x:c r="L59" s="31" t="n">
        <x:v>0.3567510334</x:v>
      </x:c>
      <x:c r="M59" s="31" t="n">
        <x:v>18.1054182328</x:v>
      </x:c>
      <x:c r="N59" s="24" t="str">
        <x:v>amblyraja radiata</x:v>
      </x:c>
      <x:c r="O59" s="32" t="n">
        <x:v>4.2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Amblyraja radiata</x:v>
      </x:c>
      <x:c r="T59" s="32" t="n">
        <x:f>IF(O59="","",(1/'Metadata'!$B$5)^(O59-1))</x:f>
        <x:v>1584.893192461114</x:v>
      </x:c>
      <x:c r="U59" s="31" t="n">
        <x:f>IF(T59="","",I59*T59)</x:f>
        <x:v>29260.56638806519</x:v>
      </x:c>
    </x:row>
    <x:row r="60" ht="18" customHeight="1">
      <x:c r="A60" s="24" t="str">
        <x:v>EEZ_277</x:v>
      </x:c>
      <x:c r="B60" s="24" t="str">
        <x:v>Germany (North Sea)</x:v>
      </x:c>
      <x:c r="C60" s="24" t="str">
        <x:v>EEZ</x:v>
      </x:c>
      <x:c r="D60" s="30" t="n">
        <x:v>2019</x:v>
      </x:c>
      <x:c r="E60" s="24" t="str">
        <x:v>Raja</x:v>
      </x:c>
      <x:c r="F60" s="24" t="str">
        <x:v>Stingrays, skates</x:v>
      </x:c>
      <x:c r="G60" s="24" t="str">
        <x:v>Small to medium rays (&lt;90 cm)</x:v>
      </x:c>
      <x:c r="H60" s="24" t="str">
        <x:v>Sharks &amp; rays</x:v>
      </x:c>
      <x:c r="I60" s="31" t="n">
        <x:v>18.1416630041</x:v>
      </x:c>
      <x:c r="J60" s="31" t="n">
        <x:v>9.1941561383</x:v>
      </x:c>
      <x:c r="K60" s="31" t="n">
        <x:v>8.9475068658</x:v>
      </x:c>
      <x:c r="L60" s="31" t="n">
        <x:v>9.1941561383</x:v>
      </x:c>
      <x:c r="M60" s="31" t="n">
        <x:v>8.9475068658</x:v>
      </x:c>
      <x:c r="N60" s="24" t="str">
        <x:v>raja</x:v>
      </x:c>
      <x:c r="O60" s="32" t="n">
        <x:v>3.8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Raja</x:v>
      </x:c>
      <x:c r="T60" s="32" t="n">
        <x:f>IF(O60="","",(1/'Metadata'!$B$5)^(O60-1))</x:f>
        <x:v>630.957344480193</x:v>
      </x:c>
      <x:c r="U60" s="31" t="n">
        <x:f>IF(T60="","",I60*T60)</x:f>
        <x:v>11446.615513521496</x:v>
      </x:c>
    </x:row>
    <x:row r="61" ht="18" customHeight="1">
      <x:c r="A61" s="24" t="str">
        <x:v>EEZ_277</x:v>
      </x:c>
      <x:c r="B61" s="24" t="str">
        <x:v>Germany (North Sea)</x:v>
      </x:c>
      <x:c r="C61" s="24" t="str">
        <x:v>EEZ</x:v>
      </x:c>
      <x:c r="D61" s="30" t="n">
        <x:v>2019</x:v>
      </x:c>
      <x:c r="E61" s="24" t="str">
        <x:v>Coregonus</x:v>
      </x:c>
      <x:c r="F61" s="24" t="str">
        <x:v>Whitefishes</x:v>
      </x:c>
      <x:c r="G61" s="24" t="str">
        <x:v>Medium pelagics (30 - 89 cm)</x:v>
      </x:c>
      <x:c r="H61" s="24" t="str">
        <x:v>Salmon, smelts, etc</x:v>
      </x:c>
      <x:c r="I61" s="31" t="n">
        <x:v>17.1103493208</x:v>
      </x:c>
      <x:c r="J61" s="31" t="n">
        <x:v>16.455313241200002</x:v>
      </x:c>
      <x:c r="K61" s="31" t="n">
        <x:v>0.6550360796</x:v>
      </x:c>
      <x:c r="L61" s="31" t="n">
        <x:v>14.929428854900001</x:v>
      </x:c>
      <x:c r="M61" s="31" t="n">
        <x:v>2.1809204659</x:v>
      </x:c>
      <x:c r="N61" s="24" t="str">
        <x:v>coregonus</x:v>
      </x:c>
      <x:c r="O61" s="32" t="n">
        <x:v>3.3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Coregonus</x:v>
      </x:c>
      <x:c r="T61" s="32" t="n">
        <x:f>IF(O61="","",(1/'Metadata'!$B$5)^(O61-1))</x:f>
        <x:v>199.52623149688787</x:v>
      </x:c>
      <x:c r="U61" s="31" t="n">
        <x:f>IF(T61="","",I61*T61)</x:f>
        <x:v>3413.963519574559</x:v>
      </x:c>
    </x:row>
    <x:row r="62" ht="18" customHeight="1">
      <x:c r="A62" s="24" t="str">
        <x:v>EEZ_277</x:v>
      </x:c>
      <x:c r="B62" s="24" t="str">
        <x:v>Germany (North Sea)</x:v>
      </x:c>
      <x:c r="C62" s="24" t="str">
        <x:v>EEZ</x:v>
      </x:c>
      <x:c r="D62" s="30" t="n">
        <x:v>2019</x:v>
      </x:c>
      <x:c r="E62" s="24" t="str">
        <x:v>Glyptocephalus cynoglossus</x:v>
      </x:c>
      <x:c r="F62" s="24" t="str">
        <x:v>Witch flounder</x:v>
      </x:c>
      <x:c r="G62" s="24" t="str">
        <x:v>Small to medium flatfishes (&lt;90 cm)</x:v>
      </x:c>
      <x:c r="H62" s="24" t="str">
        <x:v>Flatfishes</x:v>
      </x:c>
      <x:c r="I62" s="31" t="n">
        <x:v>16.6616740161</x:v>
      </x:c>
      <x:c r="J62" s="31" t="n">
        <x:v>15.9715208374</x:v>
      </x:c>
      <x:c r="K62" s="31" t="n">
        <x:v>0.6901531787</x:v>
      </x:c>
      <x:c r="L62" s="31" t="n">
        <x:v>15.968255903200001</x:v>
      </x:c>
      <x:c r="M62" s="31" t="n">
        <x:v>0.6934181129</x:v>
      </x:c>
      <x:c r="N62" s="24" t="str">
        <x:v>glyptocephalus cynoglossus</x:v>
      </x:c>
      <x:c r="O62" s="32" t="n">
        <x:v>3.17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Glyptocephalus cynoglossus</x:v>
      </x:c>
      <x:c r="T62" s="32" t="n">
        <x:f>IF(O62="","",(1/'Metadata'!$B$5)^(O62-1))</x:f>
        <x:v>147.91083881682073</x:v>
      </x:c>
      <x:c r="U62" s="31" t="n">
        <x:f>IF(T62="","",I62*T62)</x:f>
        <x:v>2464.4421798137773</x:v>
      </x:c>
    </x:row>
    <x:row r="63" ht="18" customHeight="1">
      <x:c r="A63" s="24" t="str">
        <x:v>EEZ_277</x:v>
      </x:c>
      <x:c r="B63" s="24" t="str">
        <x:v>Germany (North Sea)</x:v>
      </x:c>
      <x:c r="C63" s="24" t="str">
        <x:v>EEZ</x:v>
      </x:c>
      <x:c r="D63" s="30" t="n">
        <x:v>2019</x:v>
      </x:c>
      <x:c r="E63" s="24" t="str">
        <x:v>Zoarces viviparus</x:v>
      </x:c>
      <x:c r="F63" s="24" t="str">
        <x:v>Eelpout</x:v>
      </x:c>
      <x:c r="G63" s="24" t="str">
        <x:v>Medium demersals (30 - 89 cm)</x:v>
      </x:c>
      <x:c r="H63" s="24" t="str">
        <x:v>Perch-likes</x:v>
      </x:c>
      <x:c r="I63" s="31" t="n">
        <x:v>16.2755508472</x:v>
      </x:c>
      <x:c r="J63" s="31" t="n">
        <x:v>0</x:v>
      </x:c>
      <x:c r="K63" s="31" t="n">
        <x:v>16.2755508472</x:v>
      </x:c>
      <x:c r="L63" s="31" t="n">
        <x:v>0</x:v>
      </x:c>
      <x:c r="M63" s="31" t="n">
        <x:v>16.2755508472</x:v>
      </x:c>
      <x:c r="N63" s="24" t="str">
        <x:v>zoarces viviparus</x:v>
      </x:c>
      <x:c r="O63" s="32" t="n">
        <x:v>3.47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Zoarces viviparus</x:v>
      </x:c>
      <x:c r="T63" s="32" t="n">
        <x:f>IF(O63="","",(1/'Metadata'!$B$5)^(O63-1))</x:f>
        <x:v>295.1209226666387</x:v>
      </x:c>
      <x:c r="U63" s="31" t="n">
        <x:f>IF(T63="","",I63*T63)</x:f>
        <x:v>4803.255582933458</x:v>
      </x:c>
    </x:row>
    <x:row r="64" ht="18" customHeight="1">
      <x:c r="A64" s="24" t="str">
        <x:v>EEZ_277</x:v>
      </x:c>
      <x:c r="B64" s="24" t="str">
        <x:v>Germany (North Sea)</x:v>
      </x:c>
      <x:c r="C64" s="24" t="str">
        <x:v>EEZ</x:v>
      </x:c>
      <x:c r="D64" s="30" t="n">
        <x:v>2019</x:v>
      </x:c>
      <x:c r="E64" s="24" t="str">
        <x:v>Marine finfishes not identified</x:v>
      </x:c>
      <x:c r="F64" s="24" t="str">
        <x:v>Finfishes</x:v>
      </x:c>
      <x:c r="G64" s="24" t="str">
        <x:v>Medium demersals (30 - 89 cm)</x:v>
      </x:c>
      <x:c r="H64" s="24" t="str">
        <x:v>Other fishes &amp; inverts</x:v>
      </x:c>
      <x:c r="I64" s="31" t="n">
        <x:v>16.067798866700002</x:v>
      </x:c>
      <x:c r="J64" s="31" t="n">
        <x:v>0</x:v>
      </x:c>
      <x:c r="K64" s="31" t="n">
        <x:v>16.067798866700002</x:v>
      </x:c>
      <x:c r="L64" s="31" t="n">
        <x:v>0</x:v>
      </x:c>
      <x:c r="M64" s="31" t="n">
        <x:v>16.067798866700002</x:v>
      </x:c>
      <x:c r="N64" s="24" t="str">
        <x:v>marine finfishes not identified</x:v>
      </x:c>
      <x:c r="O64" s="32" t="n">
        <x:v>3.23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Marine finfishes not identified</x:v>
      </x:c>
      <x:c r="T64" s="32" t="n">
        <x:f>IF(O64="","",(1/'Metadata'!$B$5)^(O64-1))</x:f>
        <x:v>169.82436524617444</x:v>
      </x:c>
      <x:c r="U64" s="31" t="n">
        <x:f>IF(T64="","",I64*T64)</x:f>
        <x:v>2728.703743440529</x:v>
      </x:c>
    </x:row>
    <x:row r="65" ht="18" customHeight="1">
      <x:c r="A65" s="24" t="str">
        <x:v>EEZ_277</x:v>
      </x:c>
      <x:c r="B65" s="24" t="str">
        <x:v>Germany (North Sea)</x:v>
      </x:c>
      <x:c r="C65" s="24" t="str">
        <x:v>EEZ</x:v>
      </x:c>
      <x:c r="D65" s="30" t="n">
        <x:v>2019</x:v>
      </x:c>
      <x:c r="E65" s="24" t="str">
        <x:v>Raja brachyura</x:v>
      </x:c>
      <x:c r="F65" s="24" t="str">
        <x:v>Blonde ray</x:v>
      </x:c>
      <x:c r="G65" s="24" t="str">
        <x:v>Large rays (&gt;=90 cm)</x:v>
      </x:c>
      <x:c r="H65" s="24" t="str">
        <x:v>Sharks &amp; rays</x:v>
      </x:c>
      <x:c r="I65" s="31" t="n">
        <x:v>15.7842284592</x:v>
      </x:c>
      <x:c r="J65" s="31" t="n">
        <x:v>15.7842284592</x:v>
      </x:c>
      <x:c r="K65" s="31" t="n">
        <x:v>0</x:v>
      </x:c>
      <x:c r="L65" s="31" t="n">
        <x:v>15.7842284592</x:v>
      </x:c>
      <x:c r="M65" s="31" t="n">
        <x:v>0</x:v>
      </x:c>
      <x:c r="N65" s="24" t="str">
        <x:v>raja brachyura</x:v>
      </x:c>
      <x:c r="O65" s="32" t="n">
        <x:v>3.89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Raja brachyura</x:v>
      </x:c>
      <x:c r="T65" s="32" t="n">
        <x:f>IF(O65="","",(1/'Metadata'!$B$5)^(O65-1))</x:f>
        <x:v>776.247116628692</x:v>
      </x:c>
      <x:c r="U65" s="31" t="n">
        <x:f>IF(T65="","",I65*T65)</x:f>
        <x:v>12252.461829662541</x:v>
      </x:c>
    </x:row>
    <x:row r="66" ht="18" customHeight="1">
      <x:c r="A66" s="24" t="str">
        <x:v>EEZ_277</x:v>
      </x:c>
      <x:c r="B66" s="24" t="str">
        <x:v>Germany (North Sea)</x:v>
      </x:c>
      <x:c r="C66" s="24" t="str">
        <x:v>EEZ</x:v>
      </x:c>
      <x:c r="D66" s="30" t="n">
        <x:v>2019</x:v>
      </x:c>
      <x:c r="E66" s="24" t="str">
        <x:v>Carangidae</x:v>
      </x:c>
      <x:c r="F66" s="24" t="str">
        <x:v>Jacks, pompanos</x:v>
      </x:c>
      <x:c r="G66" s="24" t="str">
        <x:v>Medium pelagics (30 - 89 cm)</x:v>
      </x:c>
      <x:c r="H66" s="24" t="str">
        <x:v>Perch-likes</x:v>
      </x:c>
      <x:c r="I66" s="31" t="n">
        <x:v>15.5083505447</x:v>
      </x:c>
      <x:c r="J66" s="31" t="n">
        <x:v>0</x:v>
      </x:c>
      <x:c r="K66" s="31" t="n">
        <x:v>15.5083505447</x:v>
      </x:c>
      <x:c r="L66" s="31" t="n">
        <x:v>0</x:v>
      </x:c>
      <x:c r="M66" s="31" t="n">
        <x:v>15.5083505447</x:v>
      </x:c>
      <x:c r="N66" s="24" t="str">
        <x:v>carangidae</x:v>
      </x:c>
      <x:c r="O66" s="32" t="n">
        <x:v>4.05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Carangidae</x:v>
      </x:c>
      <x:c r="T66" s="32" t="n">
        <x:f>IF(O66="","",(1/'Metadata'!$B$5)^(O66-1))</x:f>
        <x:v>1122.018454301963</x:v>
      </x:c>
      <x:c r="U66" s="31" t="n">
        <x:f>IF(T66="","",I66*T66)</x:f>
        <x:v>17400.6555069373</x:v>
      </x:c>
    </x:row>
    <x:row r="67" ht="18" customHeight="1">
      <x:c r="A67" s="24" t="str">
        <x:v>EEZ_277</x:v>
      </x:c>
      <x:c r="B67" s="24" t="str">
        <x:v>Germany (North Sea)</x:v>
      </x:c>
      <x:c r="C67" s="24" t="str">
        <x:v>EEZ</x:v>
      </x:c>
      <x:c r="D67" s="30" t="n">
        <x:v>2019</x:v>
      </x:c>
      <x:c r="E67" s="24" t="str">
        <x:v>Hippoglossoides platessoides</x:v>
      </x:c>
      <x:c r="F67" s="24" t="str">
        <x:v>American plaice</x:v>
      </x:c>
      <x:c r="G67" s="24" t="str">
        <x:v>Small to medium flatfishes (&lt;90 cm)</x:v>
      </x:c>
      <x:c r="H67" s="24" t="str">
        <x:v>Flatfishes</x:v>
      </x:c>
      <x:c r="I67" s="31" t="n">
        <x:v>14.5631199231</x:v>
      </x:c>
      <x:c r="J67" s="31" t="n">
        <x:v>0.9576461341</x:v>
      </x:c>
      <x:c r="K67" s="31" t="n">
        <x:v>13.605473789</x:v>
      </x:c>
      <x:c r="L67" s="31" t="n">
        <x:v>0.9576461341</x:v>
      </x:c>
      <x:c r="M67" s="31" t="n">
        <x:v>13.605473789</x:v>
      </x:c>
      <x:c r="N67" s="24" t="str">
        <x:v>hippoglossoides platessoides</x:v>
      </x:c>
      <x:c r="O67" s="32" t="n">
        <x:v>4.08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Hippoglossoides platessoides</x:v>
      </x:c>
      <x:c r="T67" s="32" t="n">
        <x:f>IF(O67="","",(1/'Metadata'!$B$5)^(O67-1))</x:f>
        <x:v>1202.2644346174131</x:v>
      </x:c>
      <x:c r="U67" s="31" t="n">
        <x:f>IF(T67="","",I67*T67)</x:f>
        <x:v>17508.721140611407</x:v>
      </x:c>
    </x:row>
    <x:row r="68" ht="18" customHeight="1">
      <x:c r="A68" s="24" t="str">
        <x:v>EEZ_277</x:v>
      </x:c>
      <x:c r="B68" s="24" t="str">
        <x:v>Germany (North Sea)</x:v>
      </x:c>
      <x:c r="C68" s="24" t="str">
        <x:v>EEZ</x:v>
      </x:c>
      <x:c r="D68" s="30" t="n">
        <x:v>2019</x:v>
      </x:c>
      <x:c r="E68" s="24" t="str">
        <x:v>Merluccius merluccius</x:v>
      </x:c>
      <x:c r="F68" s="24" t="str">
        <x:v>European hake</x:v>
      </x:c>
      <x:c r="G68" s="24" t="str">
        <x:v>Large demersals (&gt;=90 cm)</x:v>
      </x:c>
      <x:c r="H68" s="24" t="str">
        <x:v>Cod-likes</x:v>
      </x:c>
      <x:c r="I68" s="31" t="n">
        <x:v>13.886147361999999</x:v>
      </x:c>
      <x:c r="J68" s="31" t="n">
        <x:v>13.7720931022</x:v>
      </x:c>
      <x:c r="K68" s="31" t="n">
        <x:v>0.1140542598</x:v>
      </x:c>
      <x:c r="L68" s="31" t="n">
        <x:v>13.7482631691</x:v>
      </x:c>
      <x:c r="M68" s="31" t="n">
        <x:v>0.1378841929</x:v>
      </x:c>
      <x:c r="N68" s="24" t="str">
        <x:v>merluccius merluccius</x:v>
      </x:c>
      <x:c r="O68" s="32" t="n">
        <x:v>4.42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Merluccius merluccius</x:v>
      </x:c>
      <x:c r="T68" s="32" t="n">
        <x:f>IF(O68="","",(1/'Metadata'!$B$5)^(O68-1))</x:f>
        <x:v>2630.2679918953813</x:v>
      </x:c>
      <x:c r="U68" s="31" t="n">
        <x:f>IF(T68="","",I68*T68)</x:f>
        <x:v>36524.288937011086</x:v>
      </x:c>
    </x:row>
    <x:row r="69" ht="18" customHeight="1">
      <x:c r="A69" s="24" t="str">
        <x:v>EEZ_277</x:v>
      </x:c>
      <x:c r="B69" s="24" t="str">
        <x:v>Germany (North Sea)</x:v>
      </x:c>
      <x:c r="C69" s="24" t="str">
        <x:v>EEZ</x:v>
      </x:c>
      <x:c r="D69" s="30" t="n">
        <x:v>2019</x:v>
      </x:c>
      <x:c r="E69" s="24" t="str">
        <x:v>Dicentrarchus labrax</x:v>
      </x:c>
      <x:c r="F69" s="24" t="str">
        <x:v>European seabass</x:v>
      </x:c>
      <x:c r="G69" s="24" t="str">
        <x:v>Large demersals (&gt;=90 cm)</x:v>
      </x:c>
      <x:c r="H69" s="24" t="str">
        <x:v>Perch-likes</x:v>
      </x:c>
      <x:c r="I69" s="31" t="n">
        <x:v>12.9423206966</x:v>
      </x:c>
      <x:c r="J69" s="31" t="n">
        <x:v>12.9423206966</x:v>
      </x:c>
      <x:c r="K69" s="31" t="n">
        <x:v>0</x:v>
      </x:c>
      <x:c r="L69" s="31" t="n">
        <x:v>5.6880505476</x:v>
      </x:c>
      <x:c r="M69" s="31" t="n">
        <x:v>7.254270149</x:v>
      </x:c>
      <x:c r="N69" s="24" t="str">
        <x:v>dicentrarchus labrax</x:v>
      </x:c>
      <x:c r="O69" s="32" t="n">
        <x:v>3.79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Dicentrarchus labrax</x:v>
      </x:c>
      <x:c r="T69" s="32" t="n">
        <x:f>IF(O69="","",(1/'Metadata'!$B$5)^(O69-1))</x:f>
        <x:v>616.5950018614822</x:v>
      </x:c>
      <x:c r="U69" s="31" t="n">
        <x:f>IF(T69="","",I69*T69)</x:f>
        <x:v>7980.170254011976</x:v>
      </x:c>
    </x:row>
    <x:row r="70" ht="18" customHeight="1">
      <x:c r="A70" s="24" t="str">
        <x:v>EEZ_277</x:v>
      </x:c>
      <x:c r="B70" s="24" t="str">
        <x:v>Germany (North Sea)</x:v>
      </x:c>
      <x:c r="C70" s="24" t="str">
        <x:v>EEZ</x:v>
      </x:c>
      <x:c r="D70" s="30" t="n">
        <x:v>2019</x:v>
      </x:c>
      <x:c r="E70" s="24" t="str">
        <x:v>Scyliorhinus canicula</x:v>
      </x:c>
      <x:c r="F70" s="24" t="str">
        <x:v>Small-spotted catshark</x:v>
      </x:c>
      <x:c r="G70" s="24" t="str">
        <x:v>Small to medium sharks (&lt;90 cm)</x:v>
      </x:c>
      <x:c r="H70" s="24" t="str">
        <x:v>Sharks &amp; rays</x:v>
      </x:c>
      <x:c r="I70" s="31" t="n">
        <x:v>12.8245720658</x:v>
      </x:c>
      <x:c r="J70" s="31" t="n">
        <x:v>12.8245720658</x:v>
      </x:c>
      <x:c r="K70" s="31" t="n">
        <x:v>0</x:v>
      </x:c>
      <x:c r="L70" s="31" t="n">
        <x:v>12.804814741</x:v>
      </x:c>
      <x:c r="M70" s="31" t="n">
        <x:v>0.0197573248</x:v>
      </x:c>
      <x:c r="N70" s="24" t="str">
        <x:v>scyliorhinus canicula</x:v>
      </x:c>
      <x:c r="O70" s="32" t="n">
        <x:v>3.82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Scyliorhinus canicula</x:v>
      </x:c>
      <x:c r="T70" s="32" t="n">
        <x:f>IF(O70="","",(1/'Metadata'!$B$5)^(O70-1))</x:f>
        <x:v>660.6934480075957</x:v>
      </x:c>
      <x:c r="U70" s="31" t="n">
        <x:f>IF(T70="","",I70*T70)</x:f>
        <x:v>8473.110737375297</x:v>
      </x:c>
    </x:row>
    <x:row r="71" ht="18" customHeight="1">
      <x:c r="A71" s="24" t="str">
        <x:v>EEZ_277</x:v>
      </x:c>
      <x:c r="B71" s="24" t="str">
        <x:v>Germany (North Sea)</x:v>
      </x:c>
      <x:c r="C71" s="24" t="str">
        <x:v>EEZ</x:v>
      </x:c>
      <x:c r="D71" s="30" t="n">
        <x:v>2019</x:v>
      </x:c>
      <x:c r="E71" s="24" t="str">
        <x:v>Scyliorhinus</x:v>
      </x:c>
      <x:c r="F71" s="24" t="str">
        <x:v>Catsharks</x:v>
      </x:c>
      <x:c r="G71" s="24" t="str">
        <x:v>Small to medium sharks (&lt;90 cm)</x:v>
      </x:c>
      <x:c r="H71" s="24" t="str">
        <x:v>Sharks &amp; rays</x:v>
      </x:c>
      <x:c r="I71" s="31" t="n">
        <x:v>12.5862025347</x:v>
      </x:c>
      <x:c r="J71" s="31" t="n">
        <x:v>12.5862025347</x:v>
      </x:c>
      <x:c r="K71" s="31" t="n">
        <x:v>0</x:v>
      </x:c>
      <x:c r="L71" s="31" t="n">
        <x:v>12.5862025347</x:v>
      </x:c>
      <x:c r="M71" s="31" t="n">
        <x:v>0</x:v>
      </x:c>
      <x:c r="N71" s="24" t="str">
        <x:v>scyliorhinus</x:v>
      </x:c>
      <x:c r="O71" s="32" t="n">
        <x:v>3.86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Scyliorhinus</x:v>
      </x:c>
      <x:c r="T71" s="32" t="n">
        <x:f>IF(O71="","",(1/'Metadata'!$B$5)^(O71-1))</x:f>
        <x:v>724.4359600749899</x:v>
      </x:c>
      <x:c r="U71" s="31" t="n">
        <x:f>IF(T71="","",I71*T71)</x:f>
        <x:v>9117.897716923666</x:v>
      </x:c>
    </x:row>
    <x:row r="72" ht="18" customHeight="1">
      <x:c r="A72" s="24" t="str">
        <x:v>EEZ_277</x:v>
      </x:c>
      <x:c r="B72" s="24" t="str">
        <x:v>Germany (North Sea)</x:v>
      </x:c>
      <x:c r="C72" s="24" t="str">
        <x:v>EEZ</x:v>
      </x:c>
      <x:c r="D72" s="30" t="n">
        <x:v>2019</x:v>
      </x:c>
      <x:c r="E72" s="24" t="str">
        <x:v>Gastropoda</x:v>
      </x:c>
      <x:c r="F72" s="24" t="str">
        <x:v>Sea snails</x:v>
      </x:c>
      <x:c r="G72" s="24" t="str">
        <x:v>Other demersal invertebrates</x:v>
      </x:c>
      <x:c r="H72" s="24" t="str">
        <x:v>Molluscs</x:v>
      </x:c>
      <x:c r="I72" s="31" t="n">
        <x:v>11.300276053</x:v>
      </x:c>
      <x:c r="J72" s="31" t="n">
        <x:v>0</x:v>
      </x:c>
      <x:c r="K72" s="31" t="n">
        <x:v>11.300276053</x:v>
      </x:c>
      <x:c r="L72" s="31" t="n">
        <x:v>0</x:v>
      </x:c>
      <x:c r="M72" s="31" t="n">
        <x:v>11.300276053</x:v>
      </x:c>
      <x:c r="N72" s="24" t="str">
        <x:v>gastropoda</x:v>
      </x:c>
      <x:c r="O72" s="32" t="n">
        <x:v>3.06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Gastropoda</x:v>
      </x:c>
      <x:c r="T72" s="32" t="n">
        <x:f>IF(O72="","",(1/'Metadata'!$B$5)^(O72-1))</x:f>
        <x:v>114.81536214968828</x:v>
      </x:c>
      <x:c r="U72" s="31" t="n">
        <x:f>IF(T72="","",I72*T72)</x:f>
        <x:v>1297.445287416645</x:v>
      </x:c>
    </x:row>
    <x:row r="73" ht="18" customHeight="1">
      <x:c r="A73" s="24" t="str">
        <x:v>EEZ_277</x:v>
      </x:c>
      <x:c r="B73" s="24" t="str">
        <x:v>Germany (North Sea)</x:v>
      </x:c>
      <x:c r="C73" s="24" t="str">
        <x:v>EEZ</x:v>
      </x:c>
      <x:c r="D73" s="30" t="n">
        <x:v>2019</x:v>
      </x:c>
      <x:c r="E73" s="24" t="str">
        <x:v>Loligo</x:v>
      </x:c>
      <x:c r="F73" s="24" t="str">
        <x:v>Common squids</x:v>
      </x:c>
      <x:c r="G73" s="24" t="str">
        <x:v>Cephalopods</x:v>
      </x:c>
      <x:c r="H73" s="24" t="str">
        <x:v>Other fishes &amp; inverts</x:v>
      </x:c>
      <x:c r="I73" s="31" t="n">
        <x:v>11.2050375473</x:v>
      </x:c>
      <x:c r="J73" s="31" t="n">
        <x:v>11.1874214371</x:v>
      </x:c>
      <x:c r="K73" s="31" t="n">
        <x:v>0.0176161102</x:v>
      </x:c>
      <x:c r="L73" s="31" t="n">
        <x:v>11.1485730923</x:v>
      </x:c>
      <x:c r="M73" s="31" t="n">
        <x:v>0.056464455</x:v>
      </x:c>
      <x:c r="N73" s="24" t="str">
        <x:v>loligo</x:v>
      </x:c>
      <x:c r="O73" s="32" t="n">
        <x:v>3.99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Loligo</x:v>
      </x:c>
      <x:c r="T73" s="32" t="n">
        <x:f>IF(O73="","",(1/'Metadata'!$B$5)^(O73-1))</x:f>
        <x:v>977.2372209558112</x:v>
      </x:c>
      <x:c r="U73" s="31" t="n">
        <x:f>IF(T73="","",I73*T73)</x:f>
        <x:v>10949.97975342897</x:v>
      </x:c>
    </x:row>
    <x:row r="74" ht="18" customHeight="1">
      <x:c r="A74" s="24" t="str">
        <x:v>EEZ_277</x:v>
      </x:c>
      <x:c r="B74" s="24" t="str">
        <x:v>Germany (North Sea)</x:v>
      </x:c>
      <x:c r="C74" s="24" t="str">
        <x:v>EEZ</x:v>
      </x:c>
      <x:c r="D74" s="30" t="n">
        <x:v>2019</x:v>
      </x:c>
      <x:c r="E74" s="24" t="str">
        <x:v>Sciaenidae</x:v>
      </x:c>
      <x:c r="F74" s="24" t="str">
        <x:v>Drums, croakers</x:v>
      </x:c>
      <x:c r="G74" s="24" t="str">
        <x:v>Medium demersals (30 - 89 cm)</x:v>
      </x:c>
      <x:c r="H74" s="24" t="str">
        <x:v>Perch-likes</x:v>
      </x:c>
      <x:c r="I74" s="31" t="n">
        <x:v>10.9004365552</x:v>
      </x:c>
      <x:c r="J74" s="31" t="n">
        <x:v>0</x:v>
      </x:c>
      <x:c r="K74" s="31" t="n">
        <x:v>10.9004365552</x:v>
      </x:c>
      <x:c r="L74" s="31" t="n">
        <x:v>0</x:v>
      </x:c>
      <x:c r="M74" s="31" t="n">
        <x:v>10.9004365552</x:v>
      </x:c>
      <x:c r="N74" s="24" t="str">
        <x:v>sciaenidae</x:v>
      </x:c>
      <x:c r="O74" s="32" t="n">
        <x:v>3.76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Sciaenidae</x:v>
      </x:c>
      <x:c r="T74" s="32" t="n">
        <x:f>IF(O74="","",(1/'Metadata'!$B$5)^(O74-1))</x:f>
        <x:v>575.4399373371566</x:v>
      </x:c>
      <x:c r="U74" s="31" t="n">
        <x:f>IF(T74="","",I74*T74)</x:f>
        <x:v>6272.54652827194</x:v>
      </x:c>
    </x:row>
    <x:row r="75" ht="18" customHeight="1">
      <x:c r="A75" s="24" t="str">
        <x:v>EEZ_277</x:v>
      </x:c>
      <x:c r="B75" s="24" t="str">
        <x:v>Germany (North Sea)</x:v>
      </x:c>
      <x:c r="C75" s="24" t="str">
        <x:v>EEZ</x:v>
      </x:c>
      <x:c r="D75" s="30" t="n">
        <x:v>2019</x:v>
      </x:c>
      <x:c r="E75" s="24" t="str">
        <x:v>Cephalopoda</x:v>
      </x:c>
      <x:c r="F75" s="24" t="str">
        <x:v>Squids, cuttlefishes, octopuses</x:v>
      </x:c>
      <x:c r="G75" s="24" t="str">
        <x:v>Cephalopods</x:v>
      </x:c>
      <x:c r="H75" s="24" t="str">
        <x:v>Other fishes &amp; inverts</x:v>
      </x:c>
      <x:c r="I75" s="31" t="n">
        <x:v>10.6436947717</x:v>
      </x:c>
      <x:c r="J75" s="31" t="n">
        <x:v>3.4334294996</x:v>
      </x:c>
      <x:c r="K75" s="31" t="n">
        <x:v>7.2102652721</x:v>
      </x:c>
      <x:c r="L75" s="31" t="n">
        <x:v>3.4334294996</x:v>
      </x:c>
      <x:c r="M75" s="31" t="n">
        <x:v>7.2102652721</x:v>
      </x:c>
      <x:c r="N75" s="24" t="str">
        <x:v>cephalopoda</x:v>
      </x:c>
      <x:c r="O75" s="32" t="n">
        <x:v>3.81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Cephalopoda</x:v>
      </x:c>
      <x:c r="T75" s="32" t="n">
        <x:f>IF(O75="","",(1/'Metadata'!$B$5)^(O75-1))</x:f>
        <x:v>645.6542290346556</x:v>
      </x:c>
      <x:c r="U75" s="31" t="n">
        <x:f>IF(T75="","",I75*T75)</x:f>
        <x:v>6872.146541902158</x:v>
      </x:c>
    </x:row>
    <x:row r="76" ht="18" customHeight="1">
      <x:c r="A76" s="24" t="str">
        <x:v>EEZ_277</x:v>
      </x:c>
      <x:c r="B76" s="24" t="str">
        <x:v>Germany (North Sea)</x:v>
      </x:c>
      <x:c r="C76" s="24" t="str">
        <x:v>EEZ</x:v>
      </x:c>
      <x:c r="D76" s="30" t="n">
        <x:v>2019</x:v>
      </x:c>
      <x:c r="E76" s="24" t="str">
        <x:v>Lepidorhombus</x:v>
      </x:c>
      <x:c r="F76" s="24" t="str">
        <x:v>Megrims</x:v>
      </x:c>
      <x:c r="G76" s="24" t="str">
        <x:v>Small to medium flatfishes (&lt;90 cm)</x:v>
      </x:c>
      <x:c r="H76" s="24" t="str">
        <x:v>Flatfishes</x:v>
      </x:c>
      <x:c r="I76" s="31" t="n">
        <x:v>10.571029861600001</x:v>
      </x:c>
      <x:c r="J76" s="31" t="n">
        <x:v>10.571029861600001</x:v>
      </x:c>
      <x:c r="K76" s="31" t="n">
        <x:v>0</x:v>
      </x:c>
      <x:c r="L76" s="31" t="n">
        <x:v>10.571029861600001</x:v>
      </x:c>
      <x:c r="M76" s="31" t="n">
        <x:v>0</x:v>
      </x:c>
      <x:c r="N76" s="24" t="str">
        <x:v>lepidorhombus</x:v>
      </x:c>
      <x:c r="O76" s="32" t="n">
        <x:v>3.96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Lepidorhombus</x:v>
      </x:c>
      <x:c r="T76" s="32" t="n">
        <x:f>IF(O76="","",(1/'Metadata'!$B$5)^(O76-1))</x:f>
        <x:v>912.0108393559096</x:v>
      </x:c>
      <x:c r="U76" s="31" t="n">
        <x:f>IF(T76="","",I76*T76)</x:f>
        <x:v>9640.893816934202</x:v>
      </x:c>
    </x:row>
    <x:row r="77" ht="18" customHeight="1">
      <x:c r="A77" s="24" t="str">
        <x:v>EEZ_277</x:v>
      </x:c>
      <x:c r="B77" s="24" t="str">
        <x:v>Germany (North Sea)</x:v>
      </x:c>
      <x:c r="C77" s="24" t="str">
        <x:v>EEZ</x:v>
      </x:c>
      <x:c r="D77" s="30" t="n">
        <x:v>2019</x:v>
      </x:c>
      <x:c r="E77" s="24" t="str">
        <x:v>Brachyura</x:v>
      </x:c>
      <x:c r="F77" s="24" t="str">
        <x:v>Marine crabs</x:v>
      </x:c>
      <x:c r="G77" s="24" t="str">
        <x:v>Lobsters, crabs</x:v>
      </x:c>
      <x:c r="H77" s="24" t="str">
        <x:v>Crustaceans</x:v>
      </x:c>
      <x:c r="I77" s="31" t="n">
        <x:v>9.60181691</x:v>
      </x:c>
      <x:c r="J77" s="31" t="n">
        <x:v>9.60181691</x:v>
      </x:c>
      <x:c r="K77" s="31" t="n">
        <x:v>0</x:v>
      </x:c>
      <x:c r="L77" s="31" t="n">
        <x:v>9.60181691</x:v>
      </x:c>
      <x:c r="M77" s="31" t="n">
        <x:v>0</x:v>
      </x:c>
      <x:c r="N77" s="24" t="str">
        <x:v>brachyura</x:v>
      </x:c>
      <x:c r="O77" s="32" t="n">
        <x:v>2.6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Brachyura</x:v>
      </x:c>
      <x:c r="T77" s="32" t="n">
        <x:f>IF(O77="","",(1/'Metadata'!$B$5)^(O77-1))</x:f>
        <x:v>39.810717055349734</x:v>
      </x:c>
      <x:c r="U77" s="31" t="n">
        <x:f>IF(T77="","",I77*T77)</x:f>
        <x:v>382.25521622128247</x:v>
      </x:c>
    </x:row>
    <x:row r="78" ht="18" customHeight="1">
      <x:c r="A78" s="24" t="str">
        <x:v>EEZ_277</x:v>
      </x:c>
      <x:c r="B78" s="24" t="str">
        <x:v>Germany (North Sea)</x:v>
      </x:c>
      <x:c r="C78" s="24" t="str">
        <x:v>EEZ</x:v>
      </x:c>
      <x:c r="D78" s="30" t="n">
        <x:v>2019</x:v>
      </x:c>
      <x:c r="E78" s="24" t="str">
        <x:v>Trachinus draco</x:v>
      </x:c>
      <x:c r="F78" s="24" t="str">
        <x:v>Greater weever</x:v>
      </x:c>
      <x:c r="G78" s="24" t="str">
        <x:v>Medium demersals (30 - 89 cm)</x:v>
      </x:c>
      <x:c r="H78" s="24" t="str">
        <x:v>Perch-likes</x:v>
      </x:c>
      <x:c r="I78" s="31" t="n">
        <x:v>9.5444513385</x:v>
      </x:c>
      <x:c r="J78" s="31" t="n">
        <x:v>9.5444513385</x:v>
      </x:c>
      <x:c r="K78" s="31" t="n">
        <x:v>0</x:v>
      </x:c>
      <x:c r="L78" s="31" t="n">
        <x:v>9.5444513385</x:v>
      </x:c>
      <x:c r="M78" s="31" t="n">
        <x:v>0</x:v>
      </x:c>
      <x:c r="N78" s="24" t="str">
        <x:v>trachinus draco</x:v>
      </x:c>
      <x:c r="O78" s="32" t="n">
        <x:v>4.18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Trachinus draco</x:v>
      </x:c>
      <x:c r="T78" s="32" t="n">
        <x:f>IF(O78="","",(1/'Metadata'!$B$5)^(O78-1))</x:f>
        <x:v>1513.5612484362073</x:v>
      </x:c>
      <x:c r="U78" s="31" t="n">
        <x:f>IF(T78="","",I78*T78)</x:f>
        <x:v>14446.11168353869</x:v>
      </x:c>
    </x:row>
    <x:row r="79" ht="18" customHeight="1">
      <x:c r="A79" s="24" t="str">
        <x:v>EEZ_277</x:v>
      </x:c>
      <x:c r="B79" s="24" t="str">
        <x:v>Germany (North Sea)</x:v>
      </x:c>
      <x:c r="C79" s="24" t="str">
        <x:v>EEZ</x:v>
      </x:c>
      <x:c r="D79" s="30" t="n">
        <x:v>2019</x:v>
      </x:c>
      <x:c r="E79" s="24" t="str">
        <x:v>Merlucciidae</x:v>
      </x:c>
      <x:c r="F79" s="24" t="str">
        <x:v>Merluccid hakes</x:v>
      </x:c>
      <x:c r="G79" s="24" t="str">
        <x:v>Large bathydemersals (&gt;=90 cm)</x:v>
      </x:c>
      <x:c r="H79" s="24" t="str">
        <x:v>Cod-likes</x:v>
      </x:c>
      <x:c r="I79" s="31" t="n">
        <x:v>9.1801029489</x:v>
      </x:c>
      <x:c r="J79" s="31" t="n">
        <x:v>0</x:v>
      </x:c>
      <x:c r="K79" s="31" t="n">
        <x:v>9.1801029489</x:v>
      </x:c>
      <x:c r="L79" s="31" t="n">
        <x:v>0</x:v>
      </x:c>
      <x:c r="M79" s="31" t="n">
        <x:v>9.1801029489</x:v>
      </x:c>
      <x:c r="N79" s="24" t="str">
        <x:v>merlucciidae</x:v>
      </x:c>
      <x:c r="O79" s="32" t="n">
        <x:v>4.35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Merlucciidae</x:v>
      </x:c>
      <x:c r="T79" s="32" t="n">
        <x:f>IF(O79="","",(1/'Metadata'!$B$5)^(O79-1))</x:f>
        <x:v>2238.7211385683377</x:v>
      </x:c>
      <x:c r="U79" s="31" t="n">
        <x:f>IF(T79="","",I79*T79)</x:f>
        <x:v>20551.690525935963</x:v>
      </x:c>
    </x:row>
    <x:row r="80" ht="18" customHeight="1">
      <x:c r="A80" s="24" t="str">
        <x:v>EEZ_277</x:v>
      </x:c>
      <x:c r="B80" s="24" t="str">
        <x:v>Germany (North Sea)</x:v>
      </x:c>
      <x:c r="C80" s="24" t="str">
        <x:v>EEZ</x:v>
      </x:c>
      <x:c r="D80" s="30" t="n">
        <x:v>2019</x:v>
      </x:c>
      <x:c r="E80" s="24" t="str">
        <x:v>Scophthalmidae</x:v>
      </x:c>
      <x:c r="F80" s="24" t="str">
        <x:v>Turbots</x:v>
      </x:c>
      <x:c r="G80" s="24" t="str">
        <x:v>Small to medium flatfishes (&lt;90 cm)</x:v>
      </x:c>
      <x:c r="H80" s="24" t="str">
        <x:v>Flatfishes</x:v>
      </x:c>
      <x:c r="I80" s="31" t="n">
        <x:v>9.0266858297</x:v>
      </x:c>
      <x:c r="J80" s="31" t="n">
        <x:v>0</x:v>
      </x:c>
      <x:c r="K80" s="31" t="n">
        <x:v>9.0266858297</x:v>
      </x:c>
      <x:c r="L80" s="31" t="n">
        <x:v>0</x:v>
      </x:c>
      <x:c r="M80" s="31" t="n">
        <x:v>9.0266858297</x:v>
      </x:c>
      <x:c r="N80" s="24" t="str">
        <x:v>scophthalmidae</x:v>
      </x:c>
      <x:c r="O80" s="32" t="n">
        <x:v>3.71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Scophthalmidae</x:v>
      </x:c>
      <x:c r="T80" s="32" t="n">
        <x:f>IF(O80="","",(1/'Metadata'!$B$5)^(O80-1))</x:f>
        <x:v>512.8613839913648</x:v>
      </x:c>
      <x:c r="U80" s="31" t="n">
        <x:f>IF(T80="","",I80*T80)</x:f>
        <x:v>4629.438587475183</x:v>
      </x:c>
    </x:row>
    <x:row r="81" ht="18" customHeight="1">
      <x:c r="A81" s="24" t="str">
        <x:v>EEZ_277</x:v>
      </x:c>
      <x:c r="B81" s="24" t="str">
        <x:v>Germany (North Sea)</x:v>
      </x:c>
      <x:c r="C81" s="24" t="str">
        <x:v>EEZ</x:v>
      </x:c>
      <x:c r="D81" s="30" t="n">
        <x:v>2019</x:v>
      </x:c>
      <x:c r="E81" s="24" t="str">
        <x:v>Crangonidae</x:v>
      </x:c>
      <x:c r="F81" s="24" t="str">
        <x:v>Brown shrimps</x:v>
      </x:c>
      <x:c r="G81" s="24" t="str">
        <x:v>Shrimps</x:v>
      </x:c>
      <x:c r="H81" s="24" t="str">
        <x:v>Crustaceans</x:v>
      </x:c>
      <x:c r="I81" s="31" t="n">
        <x:v>8.6308655096</x:v>
      </x:c>
      <x:c r="J81" s="31" t="n">
        <x:v>0</x:v>
      </x:c>
      <x:c r="K81" s="31" t="n">
        <x:v>8.6308655096</x:v>
      </x:c>
      <x:c r="L81" s="31" t="n">
        <x:v>0</x:v>
      </x:c>
      <x:c r="M81" s="31" t="n">
        <x:v>8.6308655096</x:v>
      </x:c>
      <x:c r="N81" s="24" t="str">
        <x:v>crangonidae</x:v>
      </x:c>
      <x:c r="O81" s="32" t="n">
        <x:v>3.19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Crangonidae</x:v>
      </x:c>
      <x:c r="T81" s="32" t="n">
        <x:f>IF(O81="","",(1/'Metadata'!$B$5)^(O81-1))</x:f>
        <x:v>154.88166189124811</x:v>
      </x:c>
      <x:c r="U81" s="31" t="n">
        <x:f>IF(T81="","",I81*T81)</x:f>
        <x:v>1336.762793686702</x:v>
      </x:c>
    </x:row>
    <x:row r="82" ht="18" customHeight="1">
      <x:c r="A82" s="24" t="str">
        <x:v>EEZ_277</x:v>
      </x:c>
      <x:c r="B82" s="24" t="str">
        <x:v>Germany (North Sea)</x:v>
      </x:c>
      <x:c r="C82" s="24" t="str">
        <x:v>EEZ</x:v>
      </x:c>
      <x:c r="D82" s="30" t="n">
        <x:v>2019</x:v>
      </x:c>
      <x:c r="E82" s="24" t="str">
        <x:v>Bivalvia</x:v>
      </x:c>
      <x:c r="F82" s="24" t="str">
        <x:v>Clams</x:v>
      </x:c>
      <x:c r="G82" s="24" t="str">
        <x:v>Other demersal invertebrates</x:v>
      </x:c>
      <x:c r="H82" s="24" t="str">
        <x:v>Molluscs</x:v>
      </x:c>
      <x:c r="I82" s="31" t="n">
        <x:v>8.4605635541</x:v>
      </x:c>
      <x:c r="J82" s="31" t="n">
        <x:v>0.0496638759</x:v>
      </x:c>
      <x:c r="K82" s="31" t="n">
        <x:v>8.4108996782</x:v>
      </x:c>
      <x:c r="L82" s="31" t="n">
        <x:v>0.0496638759</x:v>
      </x:c>
      <x:c r="M82" s="31" t="n">
        <x:v>8.4108996782</x:v>
      </x:c>
      <x:c r="N82" s="24" t="str">
        <x:v>bivalvia</x:v>
      </x:c>
      <x:c r="O82" s="32" t="n">
        <x:v>2.23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Bivalvia</x:v>
      </x:c>
      <x:c r="T82" s="32" t="n">
        <x:f>IF(O82="","",(1/'Metadata'!$B$5)^(O82-1))</x:f>
        <x:v>16.982436524617444</x:v>
      </x:c>
      <x:c r="U82" s="31" t="n">
        <x:f>IF(T82="","",I82*T82)</x:f>
        <x:v>143.680983519995</x:v>
      </x:c>
    </x:row>
    <x:row r="83" ht="18" customHeight="1">
      <x:c r="A83" s="24" t="str">
        <x:v>EEZ_277</x:v>
      </x:c>
      <x:c r="B83" s="24" t="str">
        <x:v>Germany (North Sea)</x:v>
      </x:c>
      <x:c r="C83" s="24" t="str">
        <x:v>EEZ</x:v>
      </x:c>
      <x:c r="D83" s="30" t="n">
        <x:v>2019</x:v>
      </x:c>
      <x:c r="E83" s="24" t="str">
        <x:v>Rutilus rutilus</x:v>
      </x:c>
      <x:c r="F83" s="24" t="str">
        <x:v>Roach</x:v>
      </x:c>
      <x:c r="G83" s="24" t="str">
        <x:v>Medium benthopelagics (30 - 89 cm)</x:v>
      </x:c>
      <x:c r="H83" s="24" t="str">
        <x:v>Other fishes &amp; inverts</x:v>
      </x:c>
      <x:c r="I83" s="31" t="n">
        <x:v>8.3332392816</x:v>
      </x:c>
      <x:c r="J83" s="31" t="n">
        <x:v>8.3332392816</x:v>
      </x:c>
      <x:c r="K83" s="31" t="n">
        <x:v>0</x:v>
      </x:c>
      <x:c r="L83" s="31" t="n">
        <x:v>8.3332392816</x:v>
      </x:c>
      <x:c r="M83" s="31" t="n">
        <x:v>0</x:v>
      </x:c>
      <x:c r="N83" s="24" t="str">
        <x:v>rutilus rutilus</x:v>
      </x:c>
      <x:c r="O83" s="32" t="n">
        <x:v>2.96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Rutilus rutilus</x:v>
      </x:c>
      <x:c r="T83" s="32" t="n">
        <x:f>IF(O83="","",(1/'Metadata'!$B$5)^(O83-1))</x:f>
        <x:v>91.20108393559097</x:v>
      </x:c>
      <x:c r="U83" s="31" t="n">
        <x:f>IF(T83="","",I83*T83)</x:f>
        <x:v>760.0004551765653</x:v>
      </x:c>
    </x:row>
    <x:row r="84" ht="18" customHeight="1">
      <x:c r="A84" s="24" t="str">
        <x:v>EEZ_277</x:v>
      </x:c>
      <x:c r="B84" s="24" t="str">
        <x:v>Germany (North Sea)</x:v>
      </x:c>
      <x:c r="C84" s="24" t="str">
        <x:v>EEZ</x:v>
      </x:c>
      <x:c r="D84" s="30" t="n">
        <x:v>2019</x:v>
      </x:c>
      <x:c r="E84" s="24" t="str">
        <x:v>Osmerus eperlanus</x:v>
      </x:c>
      <x:c r="F84" s="24" t="str">
        <x:v>European smelt</x:v>
      </x:c>
      <x:c r="G84" s="24" t="str">
        <x:v>Medium pelagics (30 - 89 cm)</x:v>
      </x:c>
      <x:c r="H84" s="24" t="str">
        <x:v>Salmon, smelts, etc</x:v>
      </x:c>
      <x:c r="I84" s="31" t="n">
        <x:v>8.2072835707</x:v>
      </x:c>
      <x:c r="J84" s="31" t="n">
        <x:v>8.2072835707</x:v>
      </x:c>
      <x:c r="K84" s="31" t="n">
        <x:v>0</x:v>
      </x:c>
      <x:c r="L84" s="31" t="n">
        <x:v>8.2072835707</x:v>
      </x:c>
      <x:c r="M84" s="31" t="n">
        <x:v>0</x:v>
      </x:c>
      <x:c r="N84" s="24" t="str">
        <x:v>osmerus eperlanus</x:v>
      </x:c>
      <x:c r="O84" s="32" t="n">
        <x:v>3.46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Osmerus eperlanus</x:v>
      </x:c>
      <x:c r="T84" s="32" t="n">
        <x:f>IF(O84="","",(1/'Metadata'!$B$5)^(O84-1))</x:f>
        <x:v>288.40315031266056</x:v>
      </x:c>
      <x:c r="U84" s="31" t="n">
        <x:f>IF(T84="","",I84*T84)</x:f>
        <x:v>2367.0064372992215</x:v>
      </x:c>
    </x:row>
    <x:row r="85" ht="18" customHeight="1">
      <x:c r="A85" s="24" t="str">
        <x:v>EEZ_277</x:v>
      </x:c>
      <x:c r="B85" s="24" t="str">
        <x:v>Germany (North Sea)</x:v>
      </x:c>
      <x:c r="C85" s="24" t="str">
        <x:v>EEZ</x:v>
      </x:c>
      <x:c r="D85" s="30" t="n">
        <x:v>2019</x:v>
      </x:c>
      <x:c r="E85" s="24" t="str">
        <x:v>Necora puber</x:v>
      </x:c>
      <x:c r="F85" s="24" t="str">
        <x:v>Velvet swimcrab</x:v>
      </x:c>
      <x:c r="G85" s="24" t="str">
        <x:v>Lobsters, crabs</x:v>
      </x:c>
      <x:c r="H85" s="24" t="str">
        <x:v>Crustaceans</x:v>
      </x:c>
      <x:c r="I85" s="31" t="n">
        <x:v>8.1366894841</x:v>
      </x:c>
      <x:c r="J85" s="31" t="n">
        <x:v>8.1366894841</x:v>
      </x:c>
      <x:c r="K85" s="31" t="n">
        <x:v>0</x:v>
      </x:c>
      <x:c r="L85" s="31" t="n">
        <x:v>8.1366894841</x:v>
      </x:c>
      <x:c r="M85" s="31" t="n">
        <x:v>0</x:v>
      </x:c>
      <x:c r="N85" s="24" t="str">
        <x:v>necora puber</x:v>
      </x:c>
      <x:c r="O85" s="32" t="n">
        <x:v>2.6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Necora puber</x:v>
      </x:c>
      <x:c r="T85" s="32" t="n">
        <x:f>IF(O85="","",(1/'Metadata'!$B$5)^(O85-1))</x:f>
        <x:v>39.810717055349734</x:v>
      </x:c>
      <x:c r="U85" s="31" t="n">
        <x:f>IF(T85="","",I85*T85)</x:f>
        <x:v>323.9274428187447</x:v>
      </x:c>
    </x:row>
    <x:row r="86" ht="18" customHeight="1">
      <x:c r="A86" s="24" t="str">
        <x:v>EEZ_277</x:v>
      </x:c>
      <x:c r="B86" s="24" t="str">
        <x:v>Germany (North Sea)</x:v>
      </x:c>
      <x:c r="C86" s="24" t="str">
        <x:v>EEZ</x:v>
      </x:c>
      <x:c r="D86" s="30" t="n">
        <x:v>2019</x:v>
      </x:c>
      <x:c r="E86" s="24" t="str">
        <x:v>Chelidonichthys cuculus</x:v>
      </x:c>
      <x:c r="F86" s="24" t="str">
        <x:v>Red gurnard</x:v>
      </x:c>
      <x:c r="G86" s="24" t="str">
        <x:v>Medium demersals (30 - 89 cm)</x:v>
      </x:c>
      <x:c r="H86" s="24" t="str">
        <x:v>Scorpionfishes</x:v>
      </x:c>
      <x:c r="I86" s="31" t="n">
        <x:v>7.8641538549</x:v>
      </x:c>
      <x:c r="J86" s="31" t="n">
        <x:v>7.8641538549</x:v>
      </x:c>
      <x:c r="K86" s="31" t="n">
        <x:v>0</x:v>
      </x:c>
      <x:c r="L86" s="31" t="n">
        <x:v>7.8641538549</x:v>
      </x:c>
      <x:c r="M86" s="31" t="n">
        <x:v>0</x:v>
      </x:c>
      <x:c r="N86" s="24" t="str">
        <x:v>chelidonichthys cuculus</x:v>
      </x:c>
      <x:c r="O86" s="32" t="n">
        <x:v>3.81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Chelidonichthys cuculus</x:v>
      </x:c>
      <x:c r="T86" s="32" t="n">
        <x:f>IF(O86="","",(1/'Metadata'!$B$5)^(O86-1))</x:f>
        <x:v>645.6542290346556</x:v>
      </x:c>
      <x:c r="U86" s="31" t="n">
        <x:f>IF(T86="","",I86*T86)</x:f>
        <x:v>5077.524194195375</x:v>
      </x:c>
    </x:row>
    <x:row r="87" ht="18" customHeight="1">
      <x:c r="A87" s="24" t="str">
        <x:v>EEZ_277</x:v>
      </x:c>
      <x:c r="B87" s="24" t="str">
        <x:v>Germany (North Sea)</x:v>
      </x:c>
      <x:c r="C87" s="24" t="str">
        <x:v>EEZ</x:v>
      </x:c>
      <x:c r="D87" s="30" t="n">
        <x:v>2019</x:v>
      </x:c>
      <x:c r="E87" s="24" t="str">
        <x:v>Congridae</x:v>
      </x:c>
      <x:c r="F87" s="24" t="str">
        <x:v>Conger, garden eels</x:v>
      </x:c>
      <x:c r="G87" s="24" t="str">
        <x:v>Large demersals (&gt;=90 cm)</x:v>
      </x:c>
      <x:c r="H87" s="24" t="str">
        <x:v>Other fishes &amp; inverts</x:v>
      </x:c>
      <x:c r="I87" s="31" t="n">
        <x:v>7.5250890206</x:v>
      </x:c>
      <x:c r="J87" s="31" t="n">
        <x:v>0</x:v>
      </x:c>
      <x:c r="K87" s="31" t="n">
        <x:v>7.5250890206</x:v>
      </x:c>
      <x:c r="L87" s="31" t="n">
        <x:v>0</x:v>
      </x:c>
      <x:c r="M87" s="31" t="n">
        <x:v>7.5250890206</x:v>
      </x:c>
      <x:c r="N87" s="24" t="str">
        <x:v>congridae</x:v>
      </x:c>
      <x:c r="O87" s="32" t="n">
        <x:v>4.18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Congridae</x:v>
      </x:c>
      <x:c r="T87" s="32" t="n">
        <x:f>IF(O87="","",(1/'Metadata'!$B$5)^(O87-1))</x:f>
        <x:v>1513.5612484362073</x:v>
      </x:c>
      <x:c r="U87" s="31" t="n">
        <x:f>IF(T87="","",I87*T87)</x:f>
        <x:v>11389.683132612932</x:v>
      </x:c>
    </x:row>
    <x:row r="88" ht="18" customHeight="1">
      <x:c r="A88" s="24" t="str">
        <x:v>EEZ_277</x:v>
      </x:c>
      <x:c r="B88" s="24" t="str">
        <x:v>Germany (North Sea)</x:v>
      </x:c>
      <x:c r="C88" s="24" t="str">
        <x:v>EEZ</x:v>
      </x:c>
      <x:c r="D88" s="30" t="n">
        <x:v>2019</x:v>
      </x:c>
      <x:c r="E88" s="24" t="str">
        <x:v>Anarhichas lupus</x:v>
      </x:c>
      <x:c r="F88" s="24" t="str">
        <x:v>Atlantic wolffish</x:v>
      </x:c>
      <x:c r="G88" s="24" t="str">
        <x:v>Large demersals (&gt;=90 cm)</x:v>
      </x:c>
      <x:c r="H88" s="24" t="str">
        <x:v>Perch-likes</x:v>
      </x:c>
      <x:c r="I88" s="31" t="n">
        <x:v>7.3834553749000005</x:v>
      </x:c>
      <x:c r="J88" s="31" t="n">
        <x:v>7.270015616100001</x:v>
      </x:c>
      <x:c r="K88" s="31" t="n">
        <x:v>0.11343975879999998</x:v>
      </x:c>
      <x:c r="L88" s="31" t="n">
        <x:v>7.116134829700001</x:v>
      </x:c>
      <x:c r="M88" s="31" t="n">
        <x:v>0.2673205452</x:v>
      </x:c>
      <x:c r="N88" s="24" t="str">
        <x:v>anarhichas lupus</x:v>
      </x:c>
      <x:c r="O88" s="32" t="n">
        <x:v>3.55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Anarhichas lupus</x:v>
      </x:c>
      <x:c r="T88" s="32" t="n">
        <x:f>IF(O88="","",(1/'Metadata'!$B$5)^(O88-1))</x:f>
        <x:v>354.8133892335753</x:v>
      </x:c>
      <x:c r="U88" s="31" t="n">
        <x:f>IF(T88="","",I88*T88)</x:f>
        <x:v>2619.748825823128</x:v>
      </x:c>
    </x:row>
    <x:row r="89" ht="18" customHeight="1">
      <x:c r="A89" s="24" t="str">
        <x:v>EEZ_277</x:v>
      </x:c>
      <x:c r="B89" s="24" t="str">
        <x:v>Germany (North Sea)</x:v>
      </x:c>
      <x:c r="C89" s="24" t="str">
        <x:v>EEZ</x:v>
      </x:c>
      <x:c r="D89" s="30" t="n">
        <x:v>2019</x:v>
      </x:c>
      <x:c r="E89" s="24" t="str">
        <x:v>Sebastidae</x:v>
      </x:c>
      <x:c r="F89" s="24" t="str">
        <x:v>Rockfishes, rockcods, thornyheads</x:v>
      </x:c>
      <x:c r="G89" s="24" t="str">
        <x:v>Medium demersals (30 - 89 cm)</x:v>
      </x:c>
      <x:c r="H89" s="24" t="str">
        <x:v>Scorpionfishes</x:v>
      </x:c>
      <x:c r="I89" s="31" t="n">
        <x:v>7.2041986211</x:v>
      </x:c>
      <x:c r="J89" s="31" t="n">
        <x:v>0</x:v>
      </x:c>
      <x:c r="K89" s="31" t="n">
        <x:v>7.2041986211</x:v>
      </x:c>
      <x:c r="L89" s="31" t="n">
        <x:v>0</x:v>
      </x:c>
      <x:c r="M89" s="31" t="n">
        <x:v>7.2041986211</x:v>
      </x:c>
      <x:c r="N89" s="24" t="str">
        <x:v>sebastidae</x:v>
      </x:c>
      <x:c r="O89" s="32" t="n">
        <x:v>3.74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Sebastidae</x:v>
      </x:c>
      <x:c r="T89" s="32" t="n">
        <x:f>IF(O89="","",(1/'Metadata'!$B$5)^(O89-1))</x:f>
        <x:v>549.5408738576248</x:v>
      </x:c>
      <x:c r="U89" s="31" t="n">
        <x:f>IF(T89="","",I89*T89)</x:f>
        <x:v>3959.001605683189</x:v>
      </x:c>
    </x:row>
    <x:row r="90" ht="18" customHeight="1">
      <x:c r="A90" s="24" t="str">
        <x:v>EEZ_277</x:v>
      </x:c>
      <x:c r="B90" s="24" t="str">
        <x:v>Germany (North Sea)</x:v>
      </x:c>
      <x:c r="C90" s="24" t="str">
        <x:v>EEZ</x:v>
      </x:c>
      <x:c r="D90" s="30" t="n">
        <x:v>2019</x:v>
      </x:c>
      <x:c r="E90" s="24" t="str">
        <x:v>Perciformes</x:v>
      </x:c>
      <x:c r="F90" s="24" t="str">
        <x:v>Perch-likes</x:v>
      </x:c>
      <x:c r="G90" s="24" t="str">
        <x:v>Medium demersals (30 - 89 cm)</x:v>
      </x:c>
      <x:c r="H90" s="24" t="str">
        <x:v>Perch-likes</x:v>
      </x:c>
      <x:c r="I90" s="31" t="n">
        <x:v>6.878334871500001</x:v>
      </x:c>
      <x:c r="J90" s="31" t="n">
        <x:v>6.7522730253</x:v>
      </x:c>
      <x:c r="K90" s="31" t="n">
        <x:v>0.1260618462</x:v>
      </x:c>
      <x:c r="L90" s="31" t="n">
        <x:v>6.7522730253</x:v>
      </x:c>
      <x:c r="M90" s="31" t="n">
        <x:v>0.1260618462</x:v>
      </x:c>
      <x:c r="N90" s="24" t="str">
        <x:v>perciformes</x:v>
      </x:c>
      <x:c r="O90" s="32" t="n">
        <x:v>3.53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Perciformes</x:v>
      </x:c>
      <x:c r="T90" s="32" t="n">
        <x:f>IF(O90="","",(1/'Metadata'!$B$5)^(O90-1))</x:f>
        <x:v>338.84415613920237</x:v>
      </x:c>
      <x:c r="U90" s="31" t="n">
        <x:f>IF(T90="","",I90*T90)</x:f>
        <x:v>2330.683575176267</x:v>
      </x:c>
    </x:row>
    <x:row r="91" ht="18" customHeight="1">
      <x:c r="A91" s="24" t="str">
        <x:v>EEZ_277</x:v>
      </x:c>
      <x:c r="B91" s="24" t="str">
        <x:v>Germany (North Sea)</x:v>
      </x:c>
      <x:c r="C91" s="24" t="str">
        <x:v>EEZ</x:v>
      </x:c>
      <x:c r="D91" s="30" t="n">
        <x:v>2019</x:v>
      </x:c>
      <x:c r="E91" s="24" t="str">
        <x:v>Buccinum undatum</x:v>
      </x:c>
      <x:c r="F91" s="24" t="str">
        <x:v>Whelk</x:v>
      </x:c>
      <x:c r="G91" s="24" t="str">
        <x:v>Other demersal invertebrates</x:v>
      </x:c>
      <x:c r="H91" s="24" t="str">
        <x:v>Molluscs</x:v>
      </x:c>
      <x:c r="I91" s="31" t="n">
        <x:v>6.1742290764</x:v>
      </x:c>
      <x:c r="J91" s="31" t="n">
        <x:v>6.1742290764</x:v>
      </x:c>
      <x:c r="K91" s="31" t="n">
        <x:v>0</x:v>
      </x:c>
      <x:c r="L91" s="31" t="n">
        <x:v>6.1742290764</x:v>
      </x:c>
      <x:c r="M91" s="31" t="n">
        <x:v>0</x:v>
      </x:c>
      <x:c r="N91" s="24" t="str">
        <x:v>buccinum undatum</x:v>
      </x:c>
      <x:c r="O91" s="32" t="n">
        <x:v>3.75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Buccinum undatum</x:v>
      </x:c>
      <x:c r="T91" s="32" t="n">
        <x:f>IF(O91="","",(1/'Metadata'!$B$5)^(O91-1))</x:f>
        <x:v>562.341325190349</x:v>
      </x:c>
      <x:c r="U91" s="31" t="n">
        <x:f>IF(T91="","",I91*T91)</x:f>
        <x:v>3472.0241608515607</x:v>
      </x:c>
    </x:row>
    <x:row r="92" ht="18" customHeight="1">
      <x:c r="A92" s="24" t="str">
        <x:v>EEZ_277</x:v>
      </x:c>
      <x:c r="B92" s="24" t="str">
        <x:v>Germany (North Sea)</x:v>
      </x:c>
      <x:c r="C92" s="24" t="str">
        <x:v>EEZ</x:v>
      </x:c>
      <x:c r="D92" s="30" t="n">
        <x:v>2019</x:v>
      </x:c>
      <x:c r="E92" s="24" t="str">
        <x:v>Ensis siliqua</x:v>
      </x:c>
      <x:c r="F92" s="24" t="str">
        <x:v>Sword razor shell</x:v>
      </x:c>
      <x:c r="G92" s="24" t="str">
        <x:v>Other demersal invertebrates</x:v>
      </x:c>
      <x:c r="H92" s="24" t="str">
        <x:v>Molluscs</x:v>
      </x:c>
      <x:c r="I92" s="31" t="n">
        <x:v>5.9093470561000006</x:v>
      </x:c>
      <x:c r="J92" s="31" t="n">
        <x:v>5.9093470561000006</x:v>
      </x:c>
      <x:c r="K92" s="31" t="n">
        <x:v>0</x:v>
      </x:c>
      <x:c r="L92" s="31" t="n">
        <x:v>5.9093470561000006</x:v>
      </x:c>
      <x:c r="M92" s="31" t="n">
        <x:v>0</x:v>
      </x:c>
      <x:c r="N92" s="24" t="str">
        <x:v>ensis siliqua</x:v>
      </x:c>
      <x:c r="O92" s="32" t="n">
        <x:v>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Ensis siliqua</x:v>
      </x:c>
      <x:c r="T92" s="32" t="n">
        <x:f>IF(O92="","",(1/'Metadata'!$B$5)^(O92-1))</x:f>
        <x:v>10</x:v>
      </x:c>
      <x:c r="U92" s="31" t="n">
        <x:f>IF(T92="","",I92*T92)</x:f>
        <x:v>59.093470561000004</x:v>
      </x:c>
    </x:row>
    <x:row r="93" ht="18" customHeight="1">
      <x:c r="A93" s="24" t="str">
        <x:v>EEZ_277</x:v>
      </x:c>
      <x:c r="B93" s="24" t="str">
        <x:v>Germany (North Sea)</x:v>
      </x:c>
      <x:c r="C93" s="24" t="str">
        <x:v>EEZ</x:v>
      </x:c>
      <x:c r="D93" s="30" t="n">
        <x:v>2019</x:v>
      </x:c>
      <x:c r="E93" s="24" t="str">
        <x:v>Pandalus borealis</x:v>
      </x:c>
      <x:c r="F93" s="24" t="str">
        <x:v>Northern prawn</x:v>
      </x:c>
      <x:c r="G93" s="24" t="str">
        <x:v>Shrimps</x:v>
      </x:c>
      <x:c r="H93" s="24" t="str">
        <x:v>Crustaceans</x:v>
      </x:c>
      <x:c r="I93" s="31" t="n">
        <x:v>5.5303629295</x:v>
      </x:c>
      <x:c r="J93" s="31" t="n">
        <x:v>5.4655066331999995</x:v>
      </x:c>
      <x:c r="K93" s="31" t="n">
        <x:v>0.0648562963</x:v>
      </x:c>
      <x:c r="L93" s="31" t="n">
        <x:v>5.4654170759</x:v>
      </x:c>
      <x:c r="M93" s="31" t="n">
        <x:v>0.0649458536</x:v>
      </x:c>
      <x:c r="N93" s="24" t="str">
        <x:v>pandalus borealis</x:v>
      </x:c>
      <x:c r="O93" s="32" t="n">
        <x:v>3.07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Pandalus borealis</x:v>
      </x:c>
      <x:c r="T93" s="32" t="n">
        <x:f>IF(O93="","",(1/'Metadata'!$B$5)^(O93-1))</x:f>
        <x:v>117.48975549395291</x:v>
      </x:c>
      <x:c r="U93" s="31" t="n">
        <x:f>IF(T93="","",I93*T93)</x:f>
        <x:v>649.7609883797761</x:v>
      </x:c>
    </x:row>
    <x:row r="94" ht="18" customHeight="1">
      <x:c r="A94" s="24" t="str">
        <x:v>EEZ_277</x:v>
      </x:c>
      <x:c r="B94" s="24" t="str">
        <x:v>Germany (North Sea)</x:v>
      </x:c>
      <x:c r="C94" s="24" t="str">
        <x:v>EEZ</x:v>
      </x:c>
      <x:c r="D94" s="30" t="n">
        <x:v>2019</x:v>
      </x:c>
      <x:c r="E94" s="24" t="str">
        <x:v>Trisopterus esmarkii</x:v>
      </x:c>
      <x:c r="F94" s="24" t="str">
        <x:v>Norway pout</x:v>
      </x:c>
      <x:c r="G94" s="24" t="str">
        <x:v>Medium benthopelagics (30 - 89 cm)</x:v>
      </x:c>
      <x:c r="H94" s="24" t="str">
        <x:v>Cod-likes</x:v>
      </x:c>
      <x:c r="I94" s="31" t="n">
        <x:v>5.015247508699999</x:v>
      </x:c>
      <x:c r="J94" s="31" t="n">
        <x:v>4.798631318199999</x:v>
      </x:c>
      <x:c r="K94" s="31" t="n">
        <x:v>0.2166161905</x:v>
      </x:c>
      <x:c r="L94" s="31" t="n">
        <x:v>4.798631318199999</x:v>
      </x:c>
      <x:c r="M94" s="31" t="n">
        <x:v>0.2166161905</x:v>
      </x:c>
      <x:c r="N94" s="24" t="str">
        <x:v>trisopterus esmarkii</x:v>
      </x:c>
      <x:c r="O94" s="32" t="n">
        <x:v>3.24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Trisopterus esmarkii</x:v>
      </x:c>
      <x:c r="T94" s="32" t="n">
        <x:f>IF(O94="","",(1/'Metadata'!$B$5)^(O94-1))</x:f>
        <x:v>173.78008287493762</x:v>
      </x:c>
      <x:c r="U94" s="31" t="n">
        <x:f>IF(T94="","",I94*T94)</x:f>
        <x:v>871.5501277002103</x:v>
      </x:c>
    </x:row>
    <x:row r="95" ht="18" customHeight="1">
      <x:c r="A95" s="24" t="str">
        <x:v>EEZ_277</x:v>
      </x:c>
      <x:c r="B95" s="24" t="str">
        <x:v>Germany (North Sea)</x:v>
      </x:c>
      <x:c r="C95" s="24" t="str">
        <x:v>EEZ</x:v>
      </x:c>
      <x:c r="D95" s="30" t="n">
        <x:v>2019</x:v>
      </x:c>
      <x:c r="E95" s="24" t="str">
        <x:v>Mollusca</x:v>
      </x:c>
      <x:c r="F95" s="24" t="str">
        <x:v>Clams, seasnails, squids, octopuses</x:v>
      </x:c>
      <x:c r="G95" s="24" t="str">
        <x:v>Other demersal invertebrates</x:v>
      </x:c>
      <x:c r="H95" s="24" t="str">
        <x:v>Molluscs</x:v>
      </x:c>
      <x:c r="I95" s="31" t="n">
        <x:v>4.9847554225</x:v>
      </x:c>
      <x:c r="J95" s="31" t="n">
        <x:v>4.9847554225</x:v>
      </x:c>
      <x:c r="K95" s="31" t="n">
        <x:v>0</x:v>
      </x:c>
      <x:c r="L95" s="31" t="n">
        <x:v>0</x:v>
      </x:c>
      <x:c r="M95" s="31" t="n">
        <x:v>4.9847554225</x:v>
      </x:c>
      <x:c r="N95" s="24" t="str">
        <x:v>mollusca</x:v>
      </x:c>
      <x:c r="O95" s="32" t="n">
        <x:v>2.1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Mollusca</x:v>
      </x:c>
      <x:c r="T95" s="32" t="n">
        <x:f>IF(O95="","",(1/'Metadata'!$B$5)^(O95-1))</x:f>
        <x:v>12.589254117941675</x:v>
      </x:c>
      <x:c r="U95" s="31" t="n">
        <x:f>IF(T95="","",I95*T95)</x:f>
        <x:v>62.75435272964022</x:v>
      </x:c>
    </x:row>
    <x:row r="96" ht="18" customHeight="1">
      <x:c r="A96" s="24" t="str">
        <x:v>EEZ_277</x:v>
      </x:c>
      <x:c r="B96" s="24" t="str">
        <x:v>Germany (North Sea)</x:v>
      </x:c>
      <x:c r="C96" s="24" t="str">
        <x:v>EEZ</x:v>
      </x:c>
      <x:c r="D96" s="30" t="n">
        <x:v>2019</x:v>
      </x:c>
      <x:c r="E96" s="24" t="str">
        <x:v>Raja montagui</x:v>
      </x:c>
      <x:c r="F96" s="24" t="str">
        <x:v>Spotted ray</x:v>
      </x:c>
      <x:c r="G96" s="24" t="str">
        <x:v>Small to medium rays (&lt;90 cm)</x:v>
      </x:c>
      <x:c r="H96" s="24" t="str">
        <x:v>Sharks &amp; rays</x:v>
      </x:c>
      <x:c r="I96" s="31" t="n">
        <x:v>4.5578818524999996</x:v>
      </x:c>
      <x:c r="J96" s="31" t="n">
        <x:v>4.3973846581</x:v>
      </x:c>
      <x:c r="K96" s="31" t="n">
        <x:v>0.1604971944</x:v>
      </x:c>
      <x:c r="L96" s="31" t="n">
        <x:v>4.3973846581</x:v>
      </x:c>
      <x:c r="M96" s="31" t="n">
        <x:v>0.1604971944</x:v>
      </x:c>
      <x:c r="N96" s="24" t="str">
        <x:v>raja montagui</x:v>
      </x:c>
      <x:c r="O96" s="32" t="n">
        <x:v>3.88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Raja montagui</x:v>
      </x:c>
      <x:c r="T96" s="32" t="n">
        <x:f>IF(O96="","",(1/'Metadata'!$B$5)^(O96-1))</x:f>
        <x:v>758.5775750291835</x:v>
      </x:c>
      <x:c r="U96" s="31" t="n">
        <x:f>IF(T96="","",I96*T96)</x:f>
        <x:v>3457.5069629389727</x:v>
      </x:c>
    </x:row>
    <x:row r="97" ht="18" customHeight="1">
      <x:c r="A97" s="24" t="str">
        <x:v>EEZ_277</x:v>
      </x:c>
      <x:c r="B97" s="24" t="str">
        <x:v>Germany (North Sea)</x:v>
      </x:c>
      <x:c r="C97" s="24" t="str">
        <x:v>EEZ</x:v>
      </x:c>
      <x:c r="D97" s="30" t="n">
        <x:v>2019</x:v>
      </x:c>
      <x:c r="E97" s="24" t="str">
        <x:v>Anguilla anguilla</x:v>
      </x:c>
      <x:c r="F97" s="24" t="str">
        <x:v>European eel</x:v>
      </x:c>
      <x:c r="G97" s="24" t="str">
        <x:v>Large demersals (&gt;=90 cm)</x:v>
      </x:c>
      <x:c r="H97" s="24" t="str">
        <x:v>Other fishes &amp; inverts</x:v>
      </x:c>
      <x:c r="I97" s="31" t="n">
        <x:v>4.494851826</x:v>
      </x:c>
      <x:c r="J97" s="31" t="n">
        <x:v>4.494851826</x:v>
      </x:c>
      <x:c r="K97" s="31" t="n">
        <x:v>0</x:v>
      </x:c>
      <x:c r="L97" s="31" t="n">
        <x:v>3.4979007414999996</x:v>
      </x:c>
      <x:c r="M97" s="31" t="n">
        <x:v>0.9969510845</x:v>
      </x:c>
      <x:c r="N97" s="24" t="str">
        <x:v>anguilla anguilla</x:v>
      </x:c>
      <x:c r="O97" s="32" t="n">
        <x:v>3.55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Anguilla anguilla</x:v>
      </x:c>
      <x:c r="T97" s="32" t="n">
        <x:f>IF(O97="","",(1/'Metadata'!$B$5)^(O97-1))</x:f>
        <x:v>354.8133892335753</x:v>
      </x:c>
      <x:c r="U97" s="31" t="n">
        <x:f>IF(T97="","",I97*T97)</x:f>
        <x:v>1594.8336104857847</x:v>
      </x:c>
    </x:row>
    <x:row r="98" ht="18" customHeight="1">
      <x:c r="A98" s="24" t="str">
        <x:v>EEZ_277</x:v>
      </x:c>
      <x:c r="B98" s="24" t="str">
        <x:v>Germany (North Sea)</x:v>
      </x:c>
      <x:c r="C98" s="24" t="str">
        <x:v>EEZ</x:v>
      </x:c>
      <x:c r="D98" s="30" t="n">
        <x:v>2019</x:v>
      </x:c>
      <x:c r="E98" s="24" t="str">
        <x:v>Magallana gigas</x:v>
      </x:c>
      <x:c r="F98" s="24" t="str">
        <x:v>Pacific cupped oyster</x:v>
      </x:c>
      <x:c r="G98" s="24" t="str">
        <x:v>Other demersal invertebrates</x:v>
      </x:c>
      <x:c r="H98" s="24" t="str">
        <x:v>Molluscs</x:v>
      </x:c>
      <x:c r="I98" s="31" t="n">
        <x:v>3.4820166847</x:v>
      </x:c>
      <x:c r="J98" s="31" t="n">
        <x:v>3.4820166847</x:v>
      </x:c>
      <x:c r="K98" s="31" t="n">
        <x:v>0</x:v>
      </x:c>
      <x:c r="L98" s="31" t="n">
        <x:v>3.4820166847</x:v>
      </x:c>
      <x:c r="M98" s="31" t="n">
        <x:v>0</x:v>
      </x:c>
      <x:c r="N98" s="24" t="str">
        <x:v>magallana gigas</x:v>
      </x:c>
      <x:c r="O98" s="32" t="n">
        <x:v>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Magallana gigas</x:v>
      </x:c>
      <x:c r="T98" s="32" t="n">
        <x:f>IF(O98="","",(1/'Metadata'!$B$5)^(O98-1))</x:f>
        <x:v>10</x:v>
      </x:c>
      <x:c r="U98" s="31" t="n">
        <x:f>IF(T98="","",I98*T98)</x:f>
        <x:v>34.820166847</x:v>
      </x:c>
    </x:row>
    <x:row r="99" ht="18" customHeight="1">
      <x:c r="A99" s="24" t="str">
        <x:v>EEZ_277</x:v>
      </x:c>
      <x:c r="B99" s="24" t="str">
        <x:v>Germany (North Sea)</x:v>
      </x:c>
      <x:c r="C99" s="24" t="str">
        <x:v>EEZ</x:v>
      </x:c>
      <x:c r="D99" s="30" t="n">
        <x:v>2019</x:v>
      </x:c>
      <x:c r="E99" s="24" t="str">
        <x:v>Engraulis encrasicolus</x:v>
      </x:c>
      <x:c r="F99" s="24" t="str">
        <x:v>European anchovy</x:v>
      </x:c>
      <x:c r="G99" s="24" t="str">
        <x:v>Small pelagics (&lt;30 cm)</x:v>
      </x:c>
      <x:c r="H99" s="24" t="str">
        <x:v>Anchovies</x:v>
      </x:c>
      <x:c r="I99" s="31" t="n">
        <x:v>3.2766487251</x:v>
      </x:c>
      <x:c r="J99" s="31" t="n">
        <x:v>3.2766487251</x:v>
      </x:c>
      <x:c r="K99" s="31" t="n">
        <x:v>0</x:v>
      </x:c>
      <x:c r="L99" s="31" t="n">
        <x:v>3.2766487251</x:v>
      </x:c>
      <x:c r="M99" s="31" t="n">
        <x:v>0</x:v>
      </x:c>
      <x:c r="N99" s="24" t="str">
        <x:v>engraulis encrasicolus</x:v>
      </x:c>
      <x:c r="O99" s="32" t="n">
        <x:v>3.11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Engraulis encrasicolus</x:v>
      </x:c>
      <x:c r="T99" s="32" t="n">
        <x:f>IF(O99="","",(1/'Metadata'!$B$5)^(O99-1))</x:f>
        <x:v>128.82495516931337</x:v>
      </x:c>
      <x:c r="U99" s="31" t="n">
        <x:f>IF(T99="","",I99*T99)</x:f>
        <x:v>422.1141251165953</x:v>
      </x:c>
    </x:row>
    <x:row r="100" ht="18" customHeight="1">
      <x:c r="A100" s="24" t="str">
        <x:v>EEZ_277</x:v>
      </x:c>
      <x:c r="B100" s="24" t="str">
        <x:v>Germany (North Sea)</x:v>
      </x:c>
      <x:c r="C100" s="24" t="str">
        <x:v>EEZ</x:v>
      </x:c>
      <x:c r="D100" s="30" t="n">
        <x:v>2019</x:v>
      </x:c>
      <x:c r="E100" s="24" t="str">
        <x:v>Teuthida</x:v>
      </x:c>
      <x:c r="F100" s="24" t="str">
        <x:v>Squids</x:v>
      </x:c>
      <x:c r="G100" s="24" t="str">
        <x:v>Cephalopods</x:v>
      </x:c>
      <x:c r="H100" s="24" t="str">
        <x:v>Other fishes &amp; inverts</x:v>
      </x:c>
      <x:c r="I100" s="31" t="n">
        <x:v>3.1328336354000004</x:v>
      </x:c>
      <x:c r="J100" s="31" t="n">
        <x:v>3.1328336354000004</x:v>
      </x:c>
      <x:c r="K100" s="31" t="n">
        <x:v>0</x:v>
      </x:c>
      <x:c r="L100" s="31" t="n">
        <x:v>3.1328336354000004</x:v>
      </x:c>
      <x:c r="M100" s="31" t="n">
        <x:v>0</x:v>
      </x:c>
      <x:c r="N100" s="24" t="str">
        <x:v>teuthida</x:v>
      </x:c>
      <x:c r="O100" s="32" t="n">
        <x:v>4.13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Teuthida</x:v>
      </x:c>
      <x:c r="T100" s="32" t="n">
        <x:f>IF(O100="","",(1/'Metadata'!$B$5)^(O100-1))</x:f>
        <x:v>1348.9628825916532</x:v>
      </x:c>
      <x:c r="U100" s="31" t="n">
        <x:f>IF(T100="","",I100*T100)</x:f>
        <x:v>4226.076291489273</x:v>
      </x:c>
    </x:row>
    <x:row r="101" ht="18" customHeight="1">
      <x:c r="A101" s="24" t="str">
        <x:v>EEZ_277</x:v>
      </x:c>
      <x:c r="B101" s="24" t="str">
        <x:v>Germany (North Sea)</x:v>
      </x:c>
      <x:c r="C101" s="24" t="str">
        <x:v>EEZ</x:v>
      </x:c>
      <x:c r="D101" s="30" t="n">
        <x:v>2019</x:v>
      </x:c>
      <x:c r="E101" s="24" t="str">
        <x:v>Belone belone</x:v>
      </x:c>
      <x:c r="F101" s="24" t="str">
        <x:v>Garfish</x:v>
      </x:c>
      <x:c r="G101" s="24" t="str">
        <x:v>Medium pelagics (30 - 89 cm)</x:v>
      </x:c>
      <x:c r="H101" s="24" t="str">
        <x:v>Other fishes &amp; inverts</x:v>
      </x:c>
      <x:c r="I101" s="31" t="n">
        <x:v>3.0878030328</x:v>
      </x:c>
      <x:c r="J101" s="31" t="n">
        <x:v>3.0878030328</x:v>
      </x:c>
      <x:c r="K101" s="31" t="n">
        <x:v>0</x:v>
      </x:c>
      <x:c r="L101" s="31" t="n">
        <x:v>3.0878030328</x:v>
      </x:c>
      <x:c r="M101" s="31" t="n">
        <x:v>0</x:v>
      </x:c>
      <x:c r="N101" s="24" t="str">
        <x:v>belone belone</x:v>
      </x:c>
      <x:c r="O101" s="32" t="n">
        <x:v>4.16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Belone belone</x:v>
      </x:c>
      <x:c r="T101" s="32" t="n">
        <x:f>IF(O101="","",(1/'Metadata'!$B$5)^(O101-1))</x:f>
        <x:v>1445.439770745928</x:v>
      </x:c>
      <x:c r="U101" s="31" t="n">
        <x:f>IF(T101="","",I101*T101)</x:f>
        <x:v>4463.233307839013</x:v>
      </x:c>
    </x:row>
    <x:row r="102" ht="18" customHeight="1">
      <x:c r="A102" s="24" t="str">
        <x:v>EEZ_277</x:v>
      </x:c>
      <x:c r="B102" s="24" t="str">
        <x:v>Germany (North Sea)</x:v>
      </x:c>
      <x:c r="C102" s="24" t="str">
        <x:v>EEZ</x:v>
      </x:c>
      <x:c r="D102" s="30" t="n">
        <x:v>2019</x:v>
      </x:c>
      <x:c r="E102" s="24" t="str">
        <x:v>Perca fluviatilis</x:v>
      </x:c>
      <x:c r="F102" s="24" t="str">
        <x:v>European perch</x:v>
      </x:c>
      <x:c r="G102" s="24" t="str">
        <x:v>Medium demersals (30 - 89 cm)</x:v>
      </x:c>
      <x:c r="H102" s="24" t="str">
        <x:v>Perch-likes</x:v>
      </x:c>
      <x:c r="I102" s="31" t="n">
        <x:v>2.9895604745</x:v>
      </x:c>
      <x:c r="J102" s="31" t="n">
        <x:v>2.9895604745</x:v>
      </x:c>
      <x:c r="K102" s="31" t="n">
        <x:v>0</x:v>
      </x:c>
      <x:c r="L102" s="31" t="n">
        <x:v>2.9895604745</x:v>
      </x:c>
      <x:c r="M102" s="31" t="n">
        <x:v>0</x:v>
      </x:c>
      <x:c r="N102" s="24" t="str">
        <x:v>perca fluviatilis</x:v>
      </x:c>
      <x:c r="O102" s="32" t="n">
        <x:v>4.35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Perca fluviatilis</x:v>
      </x:c>
      <x:c r="T102" s="32" t="n">
        <x:f>IF(O102="","",(1/'Metadata'!$B$5)^(O102-1))</x:f>
        <x:v>2238.7211385683377</x:v>
      </x:c>
      <x:c r="U102" s="31" t="n">
        <x:f>IF(T102="","",I102*T102)</x:f>
        <x:v>6692.79222929154</x:v>
      </x:c>
    </x:row>
    <x:row r="103" ht="18" customHeight="1">
      <x:c r="A103" s="24" t="str">
        <x:v>EEZ_277</x:v>
      </x:c>
      <x:c r="B103" s="24" t="str">
        <x:v>Germany (North Sea)</x:v>
      </x:c>
      <x:c r="C103" s="24" t="str">
        <x:v>EEZ</x:v>
      </x:c>
      <x:c r="D103" s="30" t="n">
        <x:v>2019</x:v>
      </x:c>
      <x:c r="E103" s="24" t="str">
        <x:v>Balistidae</x:v>
      </x:c>
      <x:c r="F103" s="24" t="str">
        <x:v>Triggerfishes</x:v>
      </x:c>
      <x:c r="G103" s="24" t="str">
        <x:v>Medium reef assoc. fish (30 - 89 cm)</x:v>
      </x:c>
      <x:c r="H103" s="24" t="str">
        <x:v>Other fishes &amp; inverts</x:v>
      </x:c>
      <x:c r="I103" s="31" t="n">
        <x:v>2.565727756</x:v>
      </x:c>
      <x:c r="J103" s="31" t="n">
        <x:v>0</x:v>
      </x:c>
      <x:c r="K103" s="31" t="n">
        <x:v>2.565727756</x:v>
      </x:c>
      <x:c r="L103" s="31" t="n">
        <x:v>0</x:v>
      </x:c>
      <x:c r="M103" s="31" t="n">
        <x:v>2.565727756</x:v>
      </x:c>
      <x:c r="N103" s="24" t="str">
        <x:v>balistidae</x:v>
      </x:c>
      <x:c r="O103" s="32" t="n">
        <x:v>3.25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Balistidae</x:v>
      </x:c>
      <x:c r="T103" s="32" t="n">
        <x:f>IF(O103="","",(1/'Metadata'!$B$5)^(O103-1))</x:f>
        <x:v>177.82794100389228</x:v>
      </x:c>
      <x:c r="U103" s="31" t="n">
        <x:f>IF(T103="","",I103*T103)</x:f>
        <x:v>456.2580840260169</x:v>
      </x:c>
    </x:row>
    <x:row r="104" ht="18" customHeight="1">
      <x:c r="A104" s="24" t="str">
        <x:v>EEZ_277</x:v>
      </x:c>
      <x:c r="B104" s="24" t="str">
        <x:v>Germany (North Sea)</x:v>
      </x:c>
      <x:c r="C104" s="24" t="str">
        <x:v>EEZ</x:v>
      </x:c>
      <x:c r="D104" s="30" t="n">
        <x:v>2019</x:v>
      </x:c>
      <x:c r="E104" s="24" t="str">
        <x:v>Octopus</x:v>
      </x:c>
      <x:c r="F104" s="24" t="str">
        <x:v>Octopuses, pikas</x:v>
      </x:c>
      <x:c r="G104" s="24" t="str">
        <x:v>Cephalopods</x:v>
      </x:c>
      <x:c r="H104" s="24" t="str">
        <x:v>Other fishes &amp; inverts</x:v>
      </x:c>
      <x:c r="I104" s="31" t="n">
        <x:v>2.3480467355</x:v>
      </x:c>
      <x:c r="J104" s="31" t="n">
        <x:v>2.3480467355</x:v>
      </x:c>
      <x:c r="K104" s="31" t="n">
        <x:v>0</x:v>
      </x:c>
      <x:c r="L104" s="31" t="n">
        <x:v>2.3480467355</x:v>
      </x:c>
      <x:c r="M104" s="31" t="n">
        <x:v>0</x:v>
      </x:c>
      <x:c r="N104" s="24" t="str">
        <x:v>octopus</x:v>
      </x:c>
      <x:c r="O104" s="32" t="n">
        <x:v>3.8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Octopus</x:v>
      </x:c>
      <x:c r="T104" s="32" t="n">
        <x:f>IF(O104="","",(1/'Metadata'!$B$5)^(O104-1))</x:f>
        <x:v>630.957344480193</x:v>
      </x:c>
      <x:c r="U104" s="31" t="n">
        <x:f>IF(T104="","",I104*T104)</x:f>
        <x:v>1481.5173329464662</x:v>
      </x:c>
    </x:row>
    <x:row r="105" ht="18" customHeight="1">
      <x:c r="A105" s="24" t="str">
        <x:v>EEZ_277</x:v>
      </x:c>
      <x:c r="B105" s="24" t="str">
        <x:v>Germany (North Sea)</x:v>
      </x:c>
      <x:c r="C105" s="24" t="str">
        <x:v>EEZ</x:v>
      </x:c>
      <x:c r="D105" s="30" t="n">
        <x:v>2019</x:v>
      </x:c>
      <x:c r="E105" s="24" t="str">
        <x:v>Trachurus</x:v>
      </x:c>
      <x:c r="F105" s="24" t="str">
        <x:v>Jacks, horse mackerels</x:v>
      </x:c>
      <x:c r="G105" s="24" t="str">
        <x:v>Medium pelagics (30 - 89 cm)</x:v>
      </x:c>
      <x:c r="H105" s="24" t="str">
        <x:v>Perch-likes</x:v>
      </x:c>
      <x:c r="I105" s="31" t="n">
        <x:v>2.1876461519</x:v>
      </x:c>
      <x:c r="J105" s="31" t="n">
        <x:v>2.1876461519</x:v>
      </x:c>
      <x:c r="K105" s="31" t="n">
        <x:v>0</x:v>
      </x:c>
      <x:c r="L105" s="31" t="n">
        <x:v>2.1876461519</x:v>
      </x:c>
      <x:c r="M105" s="31" t="n">
        <x:v>0</x:v>
      </x:c>
      <x:c r="N105" s="24" t="str">
        <x:v>trachurus</x:v>
      </x:c>
      <x:c r="O105" s="32" t="n">
        <x:v>3.69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Trachurus</x:v>
      </x:c>
      <x:c r="T105" s="32" t="n">
        <x:f>IF(O105="","",(1/'Metadata'!$B$5)^(O105-1))</x:f>
        <x:v>489.77881936844614</x:v>
      </x:c>
      <x:c r="U105" s="31" t="n">
        <x:f>IF(T105="","",I105*T105)</x:f>
        <x:v>1071.4627494735064</x:v>
      </x:c>
    </x:row>
    <x:row r="106" ht="18" customHeight="1">
      <x:c r="A106" s="24" t="str">
        <x:v>EEZ_277</x:v>
      </x:c>
      <x:c r="B106" s="24" t="str">
        <x:v>Germany (North Sea)</x:v>
      </x:c>
      <x:c r="C106" s="24" t="str">
        <x:v>EEZ</x:v>
      </x:c>
      <x:c r="D106" s="30" t="n">
        <x:v>2019</x:v>
      </x:c>
      <x:c r="E106" s="24" t="str">
        <x:v>Loliginidae</x:v>
      </x:c>
      <x:c r="F106" s="24" t="str">
        <x:v>Common pencil squids</x:v>
      </x:c>
      <x:c r="G106" s="24" t="str">
        <x:v>Cephalopods</x:v>
      </x:c>
      <x:c r="H106" s="24" t="str">
        <x:v>Other fishes &amp; inverts</x:v>
      </x:c>
      <x:c r="I106" s="31" t="n">
        <x:v>1.9647828149</x:v>
      </x:c>
      <x:c r="J106" s="31" t="n">
        <x:v>1.9593290939999999</x:v>
      </x:c>
      <x:c r="K106" s="31" t="n">
        <x:v>0.0054537209</x:v>
      </x:c>
      <x:c r="L106" s="31" t="n">
        <x:v>1.9494668346</x:v>
      </x:c>
      <x:c r="M106" s="31" t="n">
        <x:v>0.0153159803</x:v>
      </x:c>
      <x:c r="N106" s="24" t="str">
        <x:v>loliginidae</x:v>
      </x:c>
      <x:c r="O106" s="32" t="n">
        <x:v>3.9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Loliginidae</x:v>
      </x:c>
      <x:c r="T106" s="32" t="n">
        <x:f>IF(O106="","",(1/'Metadata'!$B$5)^(O106-1))</x:f>
        <x:v>794.3282347242813</x:v>
      </x:c>
      <x:c r="U106" s="31" t="n">
        <x:f>IF(T106="","",I106*T106)</x:f>
        <x:v>1560.6824649761213</x:v>
      </x:c>
    </x:row>
    <x:row r="107" ht="18" customHeight="1">
      <x:c r="A107" s="24" t="str">
        <x:v>EEZ_277</x:v>
      </x:c>
      <x:c r="B107" s="24" t="str">
        <x:v>Germany (North Sea)</x:v>
      </x:c>
      <x:c r="C107" s="24" t="str">
        <x:v>EEZ</x:v>
      </x:c>
      <x:c r="D107" s="30" t="n">
        <x:v>2019</x:v>
      </x:c>
      <x:c r="E107" s="24" t="str">
        <x:v>Callionymus maculatus</x:v>
      </x:c>
      <x:c r="F107" s="24" t="str">
        <x:v>Spotted dragonet</x:v>
      </x:c>
      <x:c r="G107" s="24" t="str">
        <x:v>Large reef assoc. fish (&gt;=90 cm)</x:v>
      </x:c>
      <x:c r="H107" s="24" t="str">
        <x:v>Perch-likes</x:v>
      </x:c>
      <x:c r="I107" s="31" t="n">
        <x:v>1.8770595621</x:v>
      </x:c>
      <x:c r="J107" s="31" t="n">
        <x:v>0</x:v>
      </x:c>
      <x:c r="K107" s="31" t="n">
        <x:v>1.8770595621</x:v>
      </x:c>
      <x:c r="L107" s="31" t="n">
        <x:v>0</x:v>
      </x:c>
      <x:c r="M107" s="31" t="n">
        <x:v>1.8770595621</x:v>
      </x:c>
      <x:c r="N107" s="24" t="str">
        <x:v>callionymus maculatus</x:v>
      </x:c>
      <x:c r="O107" s="32" t="n">
        <x:v>3.25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Callionymus maculatus</x:v>
      </x:c>
      <x:c r="T107" s="32" t="n">
        <x:f>IF(O107="","",(1/'Metadata'!$B$5)^(O107-1))</x:f>
        <x:v>177.82794100389228</x:v>
      </x:c>
      <x:c r="U107" s="31" t="n">
        <x:f>IF(T107="","",I107*T107)</x:f>
        <x:v>333.79363706991063</x:v>
      </x:c>
    </x:row>
    <x:row r="108" ht="18" customHeight="1">
      <x:c r="A108" s="24" t="str">
        <x:v>EEZ_277</x:v>
      </x:c>
      <x:c r="B108" s="24" t="str">
        <x:v>Germany (North Sea)</x:v>
      </x:c>
      <x:c r="C108" s="24" t="str">
        <x:v>EEZ</x:v>
      </x:c>
      <x:c r="D108" s="30" t="n">
        <x:v>2019</x:v>
      </x:c>
      <x:c r="E108" s="24" t="str">
        <x:v>Mullidae</x:v>
      </x:c>
      <x:c r="F108" s="24" t="str">
        <x:v>Goatfishes</x:v>
      </x:c>
      <x:c r="G108" s="24" t="str">
        <x:v>Medium reef assoc. fish (30 - 89 cm)</x:v>
      </x:c>
      <x:c r="H108" s="24" t="str">
        <x:v>Perch-likes</x:v>
      </x:c>
      <x:c r="I108" s="31" t="n">
        <x:v>1.864069505</x:v>
      </x:c>
      <x:c r="J108" s="31" t="n">
        <x:v>0</x:v>
      </x:c>
      <x:c r="K108" s="31" t="n">
        <x:v>1.864069505</x:v>
      </x:c>
      <x:c r="L108" s="31" t="n">
        <x:v>0</x:v>
      </x:c>
      <x:c r="M108" s="31" t="n">
        <x:v>1.864069505</x:v>
      </x:c>
      <x:c r="N108" s="24" t="str">
        <x:v>mullidae</x:v>
      </x:c>
      <x:c r="O108" s="32" t="n">
        <x:v>3.46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Mullidae</x:v>
      </x:c>
      <x:c r="T108" s="32" t="n">
        <x:f>IF(O108="","",(1/'Metadata'!$B$5)^(O108-1))</x:f>
        <x:v>288.40315031266056</x:v>
      </x:c>
      <x:c r="U108" s="31" t="n">
        <x:f>IF(T108="","",I108*T108)</x:f>
        <x:v>537.6035176437617</x:v>
      </x:c>
    </x:row>
    <x:row r="109" ht="18" customHeight="1">
      <x:c r="A109" s="24" t="str">
        <x:v>EEZ_277</x:v>
      </x:c>
      <x:c r="B109" s="24" t="str">
        <x:v>Germany (North Sea)</x:v>
      </x:c>
      <x:c r="C109" s="24" t="str">
        <x:v>EEZ</x:v>
      </x:c>
      <x:c r="D109" s="30" t="n">
        <x:v>2019</x:v>
      </x:c>
      <x:c r="E109" s="24" t="str">
        <x:v>Scyliorhinus stellaris</x:v>
      </x:c>
      <x:c r="F109" s="24" t="str">
        <x:v>Nursehound</x:v>
      </x:c>
      <x:c r="G109" s="24" t="str">
        <x:v>Large sharks (&gt;=90 cm)</x:v>
      </x:c>
      <x:c r="H109" s="24" t="str">
        <x:v>Sharks &amp; rays</x:v>
      </x:c>
      <x:c r="I109" s="31" t="n">
        <x:v>1.7991521508</x:v>
      </x:c>
      <x:c r="J109" s="31" t="n">
        <x:v>1.7991521508</x:v>
      </x:c>
      <x:c r="K109" s="31" t="n">
        <x:v>0</x:v>
      </x:c>
      <x:c r="L109" s="31" t="n">
        <x:v>1.7991521508</x:v>
      </x:c>
      <x:c r="M109" s="31" t="n">
        <x:v>0</x:v>
      </x:c>
      <x:c r="N109" s="24" t="str">
        <x:v>scyliorhinus stellaris</x:v>
      </x:c>
      <x:c r="O109" s="32" t="n">
        <x:v>4.03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Scyliorhinus stellaris</x:v>
      </x:c>
      <x:c r="T109" s="32" t="n">
        <x:f>IF(O109="","",(1/'Metadata'!$B$5)^(O109-1))</x:f>
        <x:v>1071.519305237607</x:v>
      </x:c>
      <x:c r="U109" s="31" t="n">
        <x:f>IF(T109="","",I109*T109)</x:f>
        <x:v>1927.8262626419623</x:v>
      </x:c>
    </x:row>
    <x:row r="110" ht="18" customHeight="1">
      <x:c r="A110" s="24" t="str">
        <x:v>EEZ_277</x:v>
      </x:c>
      <x:c r="B110" s="24" t="str">
        <x:v>Germany (North Sea)</x:v>
      </x:c>
      <x:c r="C110" s="24" t="str">
        <x:v>EEZ</x:v>
      </x:c>
      <x:c r="D110" s="30" t="n">
        <x:v>2019</x:v>
      </x:c>
      <x:c r="E110" s="24" t="str">
        <x:v>Solea</x:v>
      </x:c>
      <x:c r="F110" s="24" t="str">
        <x:v>Soles</x:v>
      </x:c>
      <x:c r="G110" s="24" t="str">
        <x:v>Small to medium flatfishes (&lt;90 cm)</x:v>
      </x:c>
      <x:c r="H110" s="24" t="str">
        <x:v>Flatfishes</x:v>
      </x:c>
      <x:c r="I110" s="31" t="n">
        <x:v>1.7217390739</x:v>
      </x:c>
      <x:c r="J110" s="31" t="n">
        <x:v>1.7217390739</x:v>
      </x:c>
      <x:c r="K110" s="31" t="n">
        <x:v>0</x:v>
      </x:c>
      <x:c r="L110" s="31" t="n">
        <x:v>1.7217390739</x:v>
      </x:c>
      <x:c r="M110" s="31" t="n">
        <x:v>0</x:v>
      </x:c>
      <x:c r="N110" s="24" t="str">
        <x:v>solea</x:v>
      </x:c>
      <x:c r="O110" s="32" t="n">
        <x:v>3.13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Solea</x:v>
      </x:c>
      <x:c r="T110" s="32" t="n">
        <x:f>IF(O110="","",(1/'Metadata'!$B$5)^(O110-1))</x:f>
        <x:v>134.89628825916532</x:v>
      </x:c>
      <x:c r="U110" s="31" t="n">
        <x:f>IF(T110="","",I110*T110)</x:f>
        <x:v>232.25621041988273</x:v>
      </x:c>
    </x:row>
    <x:row r="111" ht="18" customHeight="1">
      <x:c r="A111" s="24" t="str">
        <x:v>EEZ_277</x:v>
      </x:c>
      <x:c r="B111" s="24" t="str">
        <x:v>Germany (North Sea)</x:v>
      </x:c>
      <x:c r="C111" s="24" t="str">
        <x:v>EEZ</x:v>
      </x:c>
      <x:c r="D111" s="30" t="n">
        <x:v>2019</x:v>
      </x:c>
      <x:c r="E111" s="24" t="str">
        <x:v>Trisopterus minutus</x:v>
      </x:c>
      <x:c r="F111" s="24" t="str">
        <x:v>Poor cod</x:v>
      </x:c>
      <x:c r="G111" s="24" t="str">
        <x:v>Medium benthopelagics (30 - 89 cm)</x:v>
      </x:c>
      <x:c r="H111" s="24" t="str">
        <x:v>Cod-likes</x:v>
      </x:c>
      <x:c r="I111" s="31" t="n">
        <x:v>1.698606899</x:v>
      </x:c>
      <x:c r="J111" s="31" t="n">
        <x:v>0</x:v>
      </x:c>
      <x:c r="K111" s="31" t="n">
        <x:v>1.698606899</x:v>
      </x:c>
      <x:c r="L111" s="31" t="n">
        <x:v>0</x:v>
      </x:c>
      <x:c r="M111" s="31" t="n">
        <x:v>1.698606899</x:v>
      </x:c>
      <x:c r="N111" s="24" t="str">
        <x:v>trisopterus minutus</x:v>
      </x:c>
      <x:c r="O111" s="32" t="n">
        <x:v>3.73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Trisopterus minutus</x:v>
      </x:c>
      <x:c r="T111" s="32" t="n">
        <x:f>IF(O111="","",(1/'Metadata'!$B$5)^(O111-1))</x:f>
        <x:v>537.0317963702527</x:v>
      </x:c>
      <x:c r="U111" s="31" t="n">
        <x:f>IF(T111="","",I111*T111)</x:f>
        <x:v>912.2059142968743</x:v>
      </x:c>
    </x:row>
    <x:row r="112" ht="18" customHeight="1">
      <x:c r="A112" s="24" t="str">
        <x:v>EEZ_277</x:v>
      </x:c>
      <x:c r="B112" s="24" t="str">
        <x:v>Germany (North Sea)</x:v>
      </x:c>
      <x:c r="C112" s="24" t="str">
        <x:v>EEZ</x:v>
      </x:c>
      <x:c r="D112" s="30" t="n">
        <x:v>2019</x:v>
      </x:c>
      <x:c r="E112" s="24" t="str">
        <x:v>Mustelus</x:v>
      </x:c>
      <x:c r="F112" s="24" t="str">
        <x:v>Smoothhounds</x:v>
      </x:c>
      <x:c r="G112" s="24" t="str">
        <x:v>Large sharks (&gt;=90 cm)</x:v>
      </x:c>
      <x:c r="H112" s="24" t="str">
        <x:v>Sharks &amp; rays</x:v>
      </x:c>
      <x:c r="I112" s="31" t="n">
        <x:v>1.6427526434000002</x:v>
      </x:c>
      <x:c r="J112" s="31" t="n">
        <x:v>1.6427526434000002</x:v>
      </x:c>
      <x:c r="K112" s="31" t="n">
        <x:v>0</x:v>
      </x:c>
      <x:c r="L112" s="31" t="n">
        <x:v>1.6427526434000002</x:v>
      </x:c>
      <x:c r="M112" s="31" t="n">
        <x:v>0</x:v>
      </x:c>
      <x:c r="N112" s="24" t="str">
        <x:v>mustelus</x:v>
      </x:c>
      <x:c r="O112" s="32" t="n">
        <x:v>3.73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Mustelus</x:v>
      </x:c>
      <x:c r="T112" s="32" t="n">
        <x:f>IF(O112="","",(1/'Metadata'!$B$5)^(O112-1))</x:f>
        <x:v>537.0317963702527</x:v>
      </x:c>
      <x:c r="U112" s="31" t="n">
        <x:f>IF(T112="","",I112*T112)</x:f>
        <x:v>882.2104030770831</x:v>
      </x:c>
    </x:row>
    <x:row r="113" ht="18" customHeight="1">
      <x:c r="A113" s="24" t="str">
        <x:v>EEZ_277</x:v>
      </x:c>
      <x:c r="B113" s="24" t="str">
        <x:v>Germany (North Sea)</x:v>
      </x:c>
      <x:c r="C113" s="24" t="str">
        <x:v>EEZ</x:v>
      </x:c>
      <x:c r="D113" s="30" t="n">
        <x:v>2019</x:v>
      </x:c>
      <x:c r="E113" s="24" t="str">
        <x:v>Squalus acanthias</x:v>
      </x:c>
      <x:c r="F113" s="24" t="str">
        <x:v>Picked dogfish</x:v>
      </x:c>
      <x:c r="G113" s="24" t="str">
        <x:v>Large sharks (&gt;=90 cm)</x:v>
      </x:c>
      <x:c r="H113" s="24" t="str">
        <x:v>Sharks &amp; rays</x:v>
      </x:c>
      <x:c r="I113" s="31" t="n">
        <x:v>1.5155304458</x:v>
      </x:c>
      <x:c r="J113" s="31" t="n">
        <x:v>1.4788170175</x:v>
      </x:c>
      <x:c r="K113" s="31" t="n">
        <x:v>0.0367134283</x:v>
      </x:c>
      <x:c r="L113" s="31" t="n">
        <x:v>1.3112218052</x:v>
      </x:c>
      <x:c r="M113" s="31" t="n">
        <x:v>0.2043086406</x:v>
      </x:c>
      <x:c r="N113" s="24" t="str">
        <x:v>squalus acanthias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Squalus acanthias</x:v>
      </x:c>
      <x:c r="T113" s="32" t="n">
        <x:f>IF(O113="","",(1/'Metadata'!$B$5)^(O113-1))</x:f>
        <x:v>2344.228815319923</x:v>
      </x:c>
      <x:c r="U113" s="31" t="n">
        <x:f>IF(T113="","",I113*T113)</x:f>
        <x:v>3552.750141539009</x:v>
      </x:c>
    </x:row>
    <x:row r="114" ht="18" customHeight="1">
      <x:c r="A114" s="24" t="str">
        <x:v>EEZ_277</x:v>
      </x:c>
      <x:c r="B114" s="24" t="str">
        <x:v>Germany (North Sea)</x:v>
      </x:c>
      <x:c r="C114" s="24" t="str">
        <x:v>EEZ</x:v>
      </x:c>
      <x:c r="D114" s="30" t="n">
        <x:v>2019</x:v>
      </x:c>
      <x:c r="E114" s="24" t="str">
        <x:v>Rajidae</x:v>
      </x:c>
      <x:c r="F114" s="24" t="str">
        <x:v>Stingrays</x:v>
      </x:c>
      <x:c r="G114" s="24" t="str">
        <x:v>Large rays (&gt;=90 cm)</x:v>
      </x:c>
      <x:c r="H114" s="24" t="str">
        <x:v>Sharks &amp; rays</x:v>
      </x:c>
      <x:c r="I114" s="31" t="n">
        <x:v>1.4367752329999999</x:v>
      </x:c>
      <x:c r="J114" s="31" t="n">
        <x:v>1.4367752329999999</x:v>
      </x:c>
      <x:c r="K114" s="31" t="n">
        <x:v>0</x:v>
      </x:c>
      <x:c r="L114" s="31" t="n">
        <x:v>1.4367752329999999</x:v>
      </x:c>
      <x:c r="M114" s="31" t="n">
        <x:v>0</x:v>
      </x:c>
      <x:c r="N114" s="24" t="str">
        <x:v>rajidae</x:v>
      </x:c>
      <x:c r="O114" s="32" t="n">
        <x:v>3.82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Rajidae</x:v>
      </x:c>
      <x:c r="T114" s="32" t="n">
        <x:f>IF(O114="","",(1/'Metadata'!$B$5)^(O114-1))</x:f>
        <x:v>660.6934480075957</x:v>
      </x:c>
      <x:c r="U114" s="31" t="n">
        <x:f>IF(T114="","",I114*T114)</x:f>
        <x:v>949.2679827026867</x:v>
      </x:c>
    </x:row>
    <x:row r="115" ht="18" customHeight="1">
      <x:c r="A115" s="24" t="str">
        <x:v>EEZ_277</x:v>
      </x:c>
      <x:c r="B115" s="24" t="str">
        <x:v>Germany (North Sea)</x:v>
      </x:c>
      <x:c r="C115" s="24" t="str">
        <x:v>EEZ</x:v>
      </x:c>
      <x:c r="D115" s="30" t="n">
        <x:v>2019</x:v>
      </x:c>
      <x:c r="E115" s="24" t="str">
        <x:v>Conger conger</x:v>
      </x:c>
      <x:c r="F115" s="24" t="str">
        <x:v>European conger</x:v>
      </x:c>
      <x:c r="G115" s="24" t="str">
        <x:v>Large demersals (&gt;=90 cm)</x:v>
      </x:c>
      <x:c r="H115" s="24" t="str">
        <x:v>Other fishes &amp; inverts</x:v>
      </x:c>
      <x:c r="I115" s="31" t="n">
        <x:v>1.375359917</x:v>
      </x:c>
      <x:c r="J115" s="31" t="n">
        <x:v>1.3753035605</x:v>
      </x:c>
      <x:c r="K115" s="31" t="n">
        <x:v>0.0000563565</x:v>
      </x:c>
      <x:c r="L115" s="31" t="n">
        <x:v>1.3752016478</x:v>
      </x:c>
      <x:c r="M115" s="31" t="n">
        <x:v>0.0001582692</x:v>
      </x:c>
      <x:c r="N115" s="24" t="str">
        <x:v>conger conger</x:v>
      </x:c>
      <x:c r="O115" s="32" t="n">
        <x:v>4.31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Conger conger</x:v>
      </x:c>
      <x:c r="T115" s="32" t="n">
        <x:f>IF(O115="","",(1/'Metadata'!$B$5)^(O115-1))</x:f>
        <x:v>2041.7379446695275</x:v>
      </x:c>
      <x:c r="U115" s="31" t="n">
        <x:f>IF(T115="","",I115*T115)</x:f>
        <x:v>2808.1245301164317</x:v>
      </x:c>
    </x:row>
    <x:row r="116" ht="18" customHeight="1">
      <x:c r="A116" s="24" t="str">
        <x:v>EEZ_277</x:v>
      </x:c>
      <x:c r="B116" s="24" t="str">
        <x:v>Germany (North Sea)</x:v>
      </x:c>
      <x:c r="C116" s="24" t="str">
        <x:v>EEZ</x:v>
      </x:c>
      <x:c r="D116" s="30" t="n">
        <x:v>2019</x:v>
      </x:c>
      <x:c r="E116" s="24" t="str">
        <x:v>Marine pelagic fishes not identified</x:v>
      </x:c>
      <x:c r="F116" s="24" t="str">
        <x:v>Pelagic fishes</x:v>
      </x:c>
      <x:c r="G116" s="24" t="str">
        <x:v>Medium pelagics (30 - 89 cm)</x:v>
      </x:c>
      <x:c r="H116" s="24" t="str">
        <x:v>Other fishes &amp; inverts</x:v>
      </x:c>
      <x:c r="I116" s="31" t="n">
        <x:v>1.3276978813</x:v>
      </x:c>
      <x:c r="J116" s="31" t="n">
        <x:v>1.3276978813</x:v>
      </x:c>
      <x:c r="K116" s="31" t="n">
        <x:v>0</x:v>
      </x:c>
      <x:c r="L116" s="31" t="n">
        <x:v>1.3276978813</x:v>
      </x:c>
      <x:c r="M116" s="31" t="n">
        <x:v>0</x:v>
      </x:c>
      <x:c r="N116" s="24" t="str">
        <x:v>marine pelagic fishes not identified</x:v>
      </x:c>
      <x:c r="O116" s="32" t="n">
        <x:v>3.35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Marine pelagic fishes not identified</x:v>
      </x:c>
      <x:c r="T116" s="32" t="n">
        <x:f>IF(O116="","",(1/'Metadata'!$B$5)^(O116-1))</x:f>
        <x:v>223.872113856834</x:v>
      </x:c>
      <x:c r="U116" s="31" t="n">
        <x:f>IF(T116="","",I116*T116)</x:f>
        <x:v>297.2345312498709</x:v>
      </x:c>
    </x:row>
    <x:row r="117" ht="18" customHeight="1">
      <x:c r="A117" s="24" t="str">
        <x:v>EEZ_277</x:v>
      </x:c>
      <x:c r="B117" s="24" t="str">
        <x:v>Germany (North Sea)</x:v>
      </x:c>
      <x:c r="C117" s="24" t="str">
        <x:v>EEZ</x:v>
      </x:c>
      <x:c r="D117" s="30" t="n">
        <x:v>2019</x:v>
      </x:c>
      <x:c r="E117" s="24" t="str">
        <x:v>Sardina pilchardus</x:v>
      </x:c>
      <x:c r="F117" s="24" t="str">
        <x:v>European pilchard</x:v>
      </x:c>
      <x:c r="G117" s="24" t="str">
        <x:v>Small pelagics (&lt;30 cm)</x:v>
      </x:c>
      <x:c r="H117" s="24" t="str">
        <x:v>Herring-likes</x:v>
      </x:c>
      <x:c r="I117" s="31" t="n">
        <x:v>1.1083551737000001</x:v>
      </x:c>
      <x:c r="J117" s="31" t="n">
        <x:v>1.1083551737000001</x:v>
      </x:c>
      <x:c r="K117" s="31" t="n">
        <x:v>0</x:v>
      </x:c>
      <x:c r="L117" s="31" t="n">
        <x:v>1.1083551737000001</x:v>
      </x:c>
      <x:c r="M117" s="31" t="n">
        <x:v>0</x:v>
      </x:c>
      <x:c r="N117" s="24" t="str">
        <x:v>sardina pilchardus</x:v>
      </x:c>
      <x:c r="O117" s="32" t="n">
        <x:v>3.06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Sardina pilchardus</x:v>
      </x:c>
      <x:c r="T117" s="32" t="n">
        <x:f>IF(O117="","",(1/'Metadata'!$B$5)^(O117-1))</x:f>
        <x:v>114.81536214968828</x:v>
      </x:c>
      <x:c r="U117" s="31" t="n">
        <x:f>IF(T117="","",I117*T117)</x:f>
        <x:v>127.25620065884618</x:v>
      </x:c>
    </x:row>
    <x:row r="118" ht="18" customHeight="1">
      <x:c r="A118" s="24" t="str">
        <x:v>EEZ_277</x:v>
      </x:c>
      <x:c r="B118" s="24" t="str">
        <x:v>Germany (North Sea)</x:v>
      </x:c>
      <x:c r="C118" s="24" t="str">
        <x:v>EEZ</x:v>
      </x:c>
      <x:c r="D118" s="30" t="n">
        <x:v>2019</x:v>
      </x:c>
      <x:c r="E118" s="24" t="str">
        <x:v>Zeus faber</x:v>
      </x:c>
      <x:c r="F118" s="24" t="str">
        <x:v>John dory</x:v>
      </x:c>
      <x:c r="G118" s="24" t="str">
        <x:v>Medium benthopelagics (30 - 89 cm)</x:v>
      </x:c>
      <x:c r="H118" s="24" t="str">
        <x:v>Other fishes &amp; inverts</x:v>
      </x:c>
      <x:c r="I118" s="31" t="n">
        <x:v>1.0351473962</x:v>
      </x:c>
      <x:c r="J118" s="31" t="n">
        <x:v>1.0297980695</x:v>
      </x:c>
      <x:c r="K118" s="31" t="n">
        <x:v>0.0053493266999999995</x:v>
      </x:c>
      <x:c r="L118" s="31" t="n">
        <x:v>1.0297980695</x:v>
      </x:c>
      <x:c r="M118" s="31" t="n">
        <x:v>0.0053493266999999995</x:v>
      </x:c>
      <x:c r="N118" s="24" t="str">
        <x:v>zeus faber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Zeus faber</x:v>
      </x:c>
      <x:c r="T118" s="32" t="n">
        <x:f>IF(O118="","",(1/'Metadata'!$B$5)^(O118-1))</x:f>
        <x:v>3162.2776601683795</x:v>
      </x:c>
      <x:c r="U118" s="31" t="n">
        <x:f>IF(T118="","",I118*T118)</x:f>
        <x:v>3273.4234859847265</x:v>
      </x:c>
    </x:row>
    <x:row r="119" ht="18" customHeight="1">
      <x:c r="A119" s="24" t="str">
        <x:v>EEZ_277</x:v>
      </x:c>
      <x:c r="B119" s="24" t="str">
        <x:v>Germany (North Sea)</x:v>
      </x:c>
      <x:c r="C119" s="24" t="str">
        <x:v>EEZ</x:v>
      </x:c>
      <x:c r="D119" s="30" t="n">
        <x:v>2019</x:v>
      </x:c>
      <x:c r="E119" s="24" t="str">
        <x:v>Trachinus</x:v>
      </x:c>
      <x:c r="F119" s="24" t="str">
        <x:v>Weevers</x:v>
      </x:c>
      <x:c r="G119" s="24" t="str">
        <x:v>Medium demersals (30 - 89 cm)</x:v>
      </x:c>
      <x:c r="H119" s="24" t="str">
        <x:v>Perch-likes</x:v>
      </x:c>
      <x:c r="I119" s="31" t="n">
        <x:v>1.0139092254</x:v>
      </x:c>
      <x:c r="J119" s="31" t="n">
        <x:v>1.0139092254</x:v>
      </x:c>
      <x:c r="K119" s="31" t="n">
        <x:v>0</x:v>
      </x:c>
      <x:c r="L119" s="31" t="n">
        <x:v>1.0139092254</x:v>
      </x:c>
      <x:c r="M119" s="31" t="n">
        <x:v>0</x:v>
      </x:c>
      <x:c r="N119" s="24" t="str">
        <x:v>trachinus</x:v>
      </x:c>
      <x:c r="O119" s="32" t="n">
        <x:v>3.95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Trachinus</x:v>
      </x:c>
      <x:c r="T119" s="32" t="n">
        <x:f>IF(O119="","",(1/'Metadata'!$B$5)^(O119-1))</x:f>
        <x:v>891.2509381337459</x:v>
      </x:c>
      <x:c r="U119" s="31" t="n">
        <x:f>IF(T119="","",I119*T119)</x:f>
        <x:v>903.6475483202096</x:v>
      </x:c>
    </x:row>
    <x:row r="120" ht="18" customHeight="1">
      <x:c r="A120" s="24" t="str">
        <x:v>EEZ_277</x:v>
      </x:c>
      <x:c r="B120" s="24" t="str">
        <x:v>Germany (North Sea)</x:v>
      </x:c>
      <x:c r="C120" s="24" t="str">
        <x:v>EEZ</x:v>
      </x:c>
      <x:c r="D120" s="30" t="n">
        <x:v>2019</x:v>
      </x:c>
      <x:c r="E120" s="24" t="str">
        <x:v>Esox lucius</x:v>
      </x:c>
      <x:c r="F120" s="24" t="str">
        <x:v>Northern pike</x:v>
      </x:c>
      <x:c r="G120" s="24" t="str">
        <x:v>Large demersals (&gt;=90 cm)</x:v>
      </x:c>
      <x:c r="H120" s="24" t="str">
        <x:v>Salmon, smelts, etc</x:v>
      </x:c>
      <x:c r="I120" s="31" t="n">
        <x:v>0.8463301126999999</x:v>
      </x:c>
      <x:c r="J120" s="31" t="n">
        <x:v>0.8463301126999999</x:v>
      </x:c>
      <x:c r="K120" s="31" t="n">
        <x:v>0</x:v>
      </x:c>
      <x:c r="L120" s="31" t="n">
        <x:v>0.8463301126999999</x:v>
      </x:c>
      <x:c r="M120" s="31" t="n">
        <x:v>0</x:v>
      </x:c>
      <x:c r="N120" s="24" t="str">
        <x:v>esox lucius</x:v>
      </x:c>
      <x:c r="O120" s="32" t="n">
        <x:v>4.07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Esox lucius</x:v>
      </x:c>
      <x:c r="T120" s="32" t="n">
        <x:f>IF(O120="","",(1/'Metadata'!$B$5)^(O120-1))</x:f>
        <x:v>1174.8975549395302</x:v>
      </x:c>
      <x:c r="U120" s="31" t="n">
        <x:f>IF(T120="","",I120*T120)</x:f>
        <x:v>994.3511800829269</x:v>
      </x:c>
    </x:row>
    <x:row r="121" ht="18" customHeight="1">
      <x:c r="A121" s="24" t="str">
        <x:v>EEZ_277</x:v>
      </x:c>
      <x:c r="B121" s="24" t="str">
        <x:v>Germany (North Sea)</x:v>
      </x:c>
      <x:c r="C121" s="24" t="str">
        <x:v>EEZ</x:v>
      </x:c>
      <x:c r="D121" s="30" t="n">
        <x:v>2019</x:v>
      </x:c>
      <x:c r="E121" s="24" t="str">
        <x:v>Cyclopterus lumpus</x:v>
      </x:c>
      <x:c r="F121" s="24" t="str">
        <x:v>Lumpfish</x:v>
      </x:c>
      <x:c r="G121" s="24" t="str">
        <x:v>Medium benthopelagics (30 - 89 cm)</x:v>
      </x:c>
      <x:c r="H121" s="24" t="str">
        <x:v>Scorpionfishes</x:v>
      </x:c>
      <x:c r="I121" s="31" t="n">
        <x:v>0.8081437928</x:v>
      </x:c>
      <x:c r="J121" s="31" t="n">
        <x:v>0.8073800933</x:v>
      </x:c>
      <x:c r="K121" s="31" t="n">
        <x:v>0.0007636995</x:v>
      </x:c>
      <x:c r="L121" s="31" t="n">
        <x:v>0.8073800933</x:v>
      </x:c>
      <x:c r="M121" s="31" t="n">
        <x:v>0.0007636995</x:v>
      </x:c>
      <x:c r="N121" s="24" t="str">
        <x:v>cyclopterus lumpus</x:v>
      </x:c>
      <x:c r="O121" s="32" t="n">
        <x:v>3.89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Cyclopterus lumpus</x:v>
      </x:c>
      <x:c r="T121" s="32" t="n">
        <x:f>IF(O121="","",(1/'Metadata'!$B$5)^(O121-1))</x:f>
        <x:v>776.247116628692</x:v>
      </x:c>
      <x:c r="U121" s="31" t="n">
        <x:f>IF(T121="","",I121*T121)</x:f>
        <x:v>627.3192889823752</x:v>
      </x:c>
    </x:row>
    <x:row r="122" ht="18" customHeight="1">
      <x:c r="A122" s="24" t="str">
        <x:v>EEZ_277</x:v>
      </x:c>
      <x:c r="B122" s="24" t="str">
        <x:v>Germany (North Sea)</x:v>
      </x:c>
      <x:c r="C122" s="24" t="str">
        <x:v>EEZ</x:v>
      </x:c>
      <x:c r="D122" s="30" t="n">
        <x:v>2019</x:v>
      </x:c>
      <x:c r="E122" s="24" t="str">
        <x:v>Mustelus mustelus</x:v>
      </x:c>
      <x:c r="F122" s="24" t="str">
        <x:v>Smooth-hound</x:v>
      </x:c>
      <x:c r="G122" s="24" t="str">
        <x:v>Large sharks (&gt;=90 cm)</x:v>
      </x:c>
      <x:c r="H122" s="24" t="str">
        <x:v>Sharks &amp; rays</x:v>
      </x:c>
      <x:c r="I122" s="31" t="n">
        <x:v>0.782104024</x:v>
      </x:c>
      <x:c r="J122" s="31" t="n">
        <x:v>0.782104024</x:v>
      </x:c>
      <x:c r="K122" s="31" t="n">
        <x:v>0</x:v>
      </x:c>
      <x:c r="L122" s="31" t="n">
        <x:v>0.6919039359</x:v>
      </x:c>
      <x:c r="M122" s="31" t="n">
        <x:v>0.0902000881</x:v>
      </x:c>
      <x:c r="N122" s="24" t="str">
        <x:v>mustelus mustelus</x:v>
      </x:c>
      <x:c r="O122" s="32" t="n">
        <x:v>3.75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Mustelus mustelus</x:v>
      </x:c>
      <x:c r="T122" s="32" t="n">
        <x:f>IF(O122="","",(1/'Metadata'!$B$5)^(O122-1))</x:f>
        <x:v>562.341325190349</x:v>
      </x:c>
      <x:c r="U122" s="31" t="n">
        <x:f>IF(T122="","",I122*T122)</x:f>
        <x:v>439.8094132928646</x:v>
      </x:c>
    </x:row>
    <x:row r="123" ht="18" customHeight="1">
      <x:c r="A123" s="24" t="str">
        <x:v>EEZ_277</x:v>
      </x:c>
      <x:c r="B123" s="24" t="str">
        <x:v>Germany (North Sea)</x:v>
      </x:c>
      <x:c r="C123" s="24" t="str">
        <x:v>EEZ</x:v>
      </x:c>
      <x:c r="D123" s="30" t="n">
        <x:v>2019</x:v>
      </x:c>
      <x:c r="E123" s="24" t="str">
        <x:v>Mullus</x:v>
      </x:c>
      <x:c r="F123" s="24" t="str">
        <x:v>Atlantic goatfishes</x:v>
      </x:c>
      <x:c r="G123" s="24" t="str">
        <x:v>Medium demersals (30 - 89 cm)</x:v>
      </x:c>
      <x:c r="H123" s="24" t="str">
        <x:v>Perch-likes</x:v>
      </x:c>
      <x:c r="I123" s="31" t="n">
        <x:v>0.7295</x:v>
      </x:c>
      <x:c r="J123" s="31" t="n">
        <x:v>0.7295</x:v>
      </x:c>
      <x:c r="K123" s="31" t="n">
        <x:v>0</x:v>
      </x:c>
      <x:c r="L123" s="31" t="n">
        <x:v>0.7295</x:v>
      </x:c>
      <x:c r="M123" s="31" t="n">
        <x:v>0</x:v>
      </x:c>
      <x:c r="N123" s="24" t="str">
        <x:v>mullus</x:v>
      </x:c>
      <x:c r="O123" s="32" t="n">
        <x:v>3.29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Mullus</x:v>
      </x:c>
      <x:c r="T123" s="32" t="n">
        <x:f>IF(O123="","",(1/'Metadata'!$B$5)^(O123-1))</x:f>
        <x:v>194.98445997580455</x:v>
      </x:c>
      <x:c r="U123" s="31" t="n">
        <x:f>IF(T123="","",I123*T123)</x:f>
        <x:v>142.24116355234943</x:v>
      </x:c>
    </x:row>
    <x:row r="124" ht="18" customHeight="1">
      <x:c r="A124" s="24" t="str">
        <x:v>EEZ_277</x:v>
      </x:c>
      <x:c r="B124" s="24" t="str">
        <x:v>Germany (North Sea)</x:v>
      </x:c>
      <x:c r="C124" s="24" t="str">
        <x:v>EEZ</x:v>
      </x:c>
      <x:c r="D124" s="30" t="n">
        <x:v>2019</x:v>
      </x:c>
      <x:c r="E124" s="24" t="str">
        <x:v>Osteichthyes</x:v>
      </x:c>
      <x:c r="F124" s="24" t="str">
        <x:v>Bony fishes</x:v>
      </x:c>
      <x:c r="G124" s="24" t="str">
        <x:v>Medium demersals (30 - 89 cm)</x:v>
      </x:c>
      <x:c r="H124" s="24" t="str">
        <x:v>Other fishes &amp; inverts</x:v>
      </x:c>
      <x:c r="I124" s="31" t="n">
        <x:v>0.6992652891000001</x:v>
      </x:c>
      <x:c r="J124" s="31" t="n">
        <x:v>0.6992652891000001</x:v>
      </x:c>
      <x:c r="K124" s="31" t="n">
        <x:v>0</x:v>
      </x:c>
      <x:c r="L124" s="31" t="n">
        <x:v>0.6992652891000001</x:v>
      </x:c>
      <x:c r="M124" s="31" t="n">
        <x:v>0</x:v>
      </x:c>
      <x:c r="N124" s="24" t="str">
        <x:v>osteichthyes</x:v>
      </x:c>
      <x:c r="O124" s="32" t="n">
        <x:v>3.79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Osteichthyes</x:v>
      </x:c>
      <x:c r="T124" s="32" t="n">
        <x:f>IF(O124="","",(1/'Metadata'!$B$5)^(O124-1))</x:f>
        <x:v>616.5950018614822</x:v>
      </x:c>
      <x:c r="U124" s="31" t="n">
        <x:f>IF(T124="","",I124*T124)</x:f>
        <x:v>431.1634822342844</x:v>
      </x:c>
    </x:row>
    <x:row r="125" ht="18" customHeight="1">
      <x:c r="A125" s="24" t="str">
        <x:v>EEZ_277</x:v>
      </x:c>
      <x:c r="B125" s="24" t="str">
        <x:v>Germany (North Sea)</x:v>
      </x:c>
      <x:c r="C125" s="24" t="str">
        <x:v>EEZ</x:v>
      </x:c>
      <x:c r="D125" s="30" t="n">
        <x:v>2019</x:v>
      </x:c>
      <x:c r="E125" s="24" t="str">
        <x:v>Sander lucioperca</x:v>
      </x:c>
      <x:c r="F125" s="24" t="str">
        <x:v>Pike-perch</x:v>
      </x:c>
      <x:c r="G125" s="24" t="str">
        <x:v>Large pelagics (&gt;=90 cm)</x:v>
      </x:c>
      <x:c r="H125" s="24" t="str">
        <x:v>Perch-likes</x:v>
      </x:c>
      <x:c r="I125" s="31" t="n">
        <x:v>0.6714627745999999</x:v>
      </x:c>
      <x:c r="J125" s="31" t="n">
        <x:v>0.6714627745999999</x:v>
      </x:c>
      <x:c r="K125" s="31" t="n">
        <x:v>0</x:v>
      </x:c>
      <x:c r="L125" s="31" t="n">
        <x:v>0.6714627745999999</x:v>
      </x:c>
      <x:c r="M125" s="31" t="n">
        <x:v>0</x:v>
      </x:c>
      <x:c r="N125" s="24" t="str">
        <x:v>sander lucioperca</x:v>
      </x:c>
      <x:c r="O125" s="32" t="n">
        <x:v>4.04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Sander lucioperca</x:v>
      </x:c>
      <x:c r="T125" s="32" t="n">
        <x:f>IF(O125="","",(1/'Metadata'!$B$5)^(O125-1))</x:f>
        <x:v>1096.4781961431852</x:v>
      </x:c>
      <x:c r="U125" s="31" t="n">
        <x:f>IF(T125="","",I125*T125)</x:f>
        <x:v>736.2442918707061</x:v>
      </x:c>
    </x:row>
    <x:row r="126" ht="18" customHeight="1">
      <x:c r="A126" s="24" t="str">
        <x:v>EEZ_277</x:v>
      </x:c>
      <x:c r="B126" s="24" t="str">
        <x:v>Germany (North Sea)</x:v>
      </x:c>
      <x:c r="C126" s="24" t="str">
        <x:v>EEZ</x:v>
      </x:c>
      <x:c r="D126" s="30" t="n">
        <x:v>2019</x:v>
      </x:c>
      <x:c r="E126" s="24" t="str">
        <x:v>Palaemon serratus</x:v>
      </x:c>
      <x:c r="F126" s="24" t="str">
        <x:v>Common prawn</x:v>
      </x:c>
      <x:c r="G126" s="24" t="str">
        <x:v>Shrimps</x:v>
      </x:c>
      <x:c r="H126" s="24" t="str">
        <x:v>Crustaceans</x:v>
      </x:c>
      <x:c r="I126" s="31" t="n">
        <x:v>0.4134461038</x:v>
      </x:c>
      <x:c r="J126" s="31" t="n">
        <x:v>0.4134461038</x:v>
      </x:c>
      <x:c r="K126" s="31" t="n">
        <x:v>0</x:v>
      </x:c>
      <x:c r="L126" s="31" t="n">
        <x:v>0.4134461038</x:v>
      </x:c>
      <x:c r="M126" s="31" t="n">
        <x:v>0</x:v>
      </x:c>
      <x:c r="N126" s="24" t="str">
        <x:v>palaemon serratus</x:v>
      </x:c>
      <x:c r="O126" s="32" t="n">
        <x:v>2.69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Palaemon serratus</x:v>
      </x:c>
      <x:c r="T126" s="32" t="n">
        <x:f>IF(O126="","",(1/'Metadata'!$B$5)^(O126-1))</x:f>
        <x:v>48.97788193684461</x:v>
      </x:c>
      <x:c r="U126" s="31" t="n">
        <x:f>IF(T126="","",I126*T126)</x:f>
        <x:v>20.249714459164803</x:v>
      </x:c>
    </x:row>
    <x:row r="127" ht="18" customHeight="1">
      <x:c r="A127" s="24" t="str">
        <x:v>EEZ_277</x:v>
      </x:c>
      <x:c r="B127" s="24" t="str">
        <x:v>Germany (North Sea)</x:v>
      </x:c>
      <x:c r="C127" s="24" t="str">
        <x:v>EEZ</x:v>
      </x:c>
      <x:c r="D127" s="30" t="n">
        <x:v>2019</x:v>
      </x:c>
      <x:c r="E127" s="24" t="str">
        <x:v>Spondyliosoma cantharus</x:v>
      </x:c>
      <x:c r="F127" s="24" t="str">
        <x:v>Black seabream</x:v>
      </x:c>
      <x:c r="G127" s="24" t="str">
        <x:v>Medium benthopelagics (30 - 89 cm)</x:v>
      </x:c>
      <x:c r="H127" s="24" t="str">
        <x:v>Perch-likes</x:v>
      </x:c>
      <x:c r="I127" s="31" t="n">
        <x:v>0.3320994759</x:v>
      </x:c>
      <x:c r="J127" s="31" t="n">
        <x:v>0.3320994759</x:v>
      </x:c>
      <x:c r="K127" s="31" t="n">
        <x:v>0</x:v>
      </x:c>
      <x:c r="L127" s="31" t="n">
        <x:v>0.3320994759</x:v>
      </x:c>
      <x:c r="M127" s="31" t="n">
        <x:v>0</x:v>
      </x:c>
      <x:c r="N127" s="24" t="str">
        <x:v>spondyliosoma cantharus</x:v>
      </x:c>
      <x:c r="O127" s="32" t="n">
        <x:v>3.34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Spondyliosoma cantharus</x:v>
      </x:c>
      <x:c r="T127" s="32" t="n">
        <x:f>IF(O127="","",(1/'Metadata'!$B$5)^(O127-1))</x:f>
        <x:v>218.77616239495518</x:v>
      </x:c>
      <x:c r="U127" s="31" t="n">
        <x:f>IF(T127="","",I127*T127)</x:f>
        <x:v>72.6554488707779</x:v>
      </x:c>
    </x:row>
    <x:row r="128" ht="18" customHeight="1">
      <x:c r="A128" s="24" t="str">
        <x:v>EEZ_277</x:v>
      </x:c>
      <x:c r="B128" s="24" t="str">
        <x:v>Germany (North Sea)</x:v>
      </x:c>
      <x:c r="C128" s="24" t="str">
        <x:v>EEZ</x:v>
      </x:c>
      <x:c r="D128" s="30" t="n">
        <x:v>2019</x:v>
      </x:c>
      <x:c r="E128" s="24" t="str">
        <x:v>Gadiformes</x:v>
      </x:c>
      <x:c r="F128" s="24" t="str">
        <x:v>Cods</x:v>
      </x:c>
      <x:c r="G128" s="24" t="str">
        <x:v>Medium benthopelagics (30 - 89 cm)</x:v>
      </x:c>
      <x:c r="H128" s="24" t="str">
        <x:v>Cod-likes</x:v>
      </x:c>
      <x:c r="I128" s="31" t="n">
        <x:v>0.30372678980000006</x:v>
      </x:c>
      <x:c r="J128" s="31" t="n">
        <x:v>0</x:v>
      </x:c>
      <x:c r="K128" s="31" t="n">
        <x:v>0.30372678980000006</x:v>
      </x:c>
      <x:c r="L128" s="31" t="n">
        <x:v>0</x:v>
      </x:c>
      <x:c r="M128" s="31" t="n">
        <x:v>0.30372678980000006</x:v>
      </x:c>
      <x:c r="N128" s="24" t="str">
        <x:v>gadiformes</x:v>
      </x:c>
      <x:c r="O128" s="32" t="n">
        <x:v>3.91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Gadiformes</x:v>
      </x:c>
      <x:c r="T128" s="32" t="n">
        <x:f>IF(O128="","",(1/'Metadata'!$B$5)^(O128-1))</x:f>
        <x:v>812.8305161640995</x:v>
      </x:c>
      <x:c r="U128" s="31" t="n">
        <x:f>IF(T128="","",I128*T128)</x:f>
        <x:v>246.87840332599902</x:v>
      </x:c>
    </x:row>
    <x:row r="129" ht="18" customHeight="1">
      <x:c r="A129" s="24" t="str">
        <x:v>EEZ_277</x:v>
      </x:c>
      <x:c r="B129" s="24" t="str">
        <x:v>Germany (North Sea)</x:v>
      </x:c>
      <x:c r="C129" s="24" t="str">
        <x:v>EEZ</x:v>
      </x:c>
      <x:c r="D129" s="30" t="n">
        <x:v>2019</x:v>
      </x:c>
      <x:c r="E129" s="24" t="str">
        <x:v>Chelon labrosus</x:v>
      </x:c>
      <x:c r="F129" s="24" t="str">
        <x:v>Thicklip grey mullet</x:v>
      </x:c>
      <x:c r="G129" s="24" t="str">
        <x:v>Medium demersals (30 - 89 cm)</x:v>
      </x:c>
      <x:c r="H129" s="24" t="str">
        <x:v>Perch-likes</x:v>
      </x:c>
      <x:c r="I129" s="31" t="n">
        <x:v>0.28152638960000004</x:v>
      </x:c>
      <x:c r="J129" s="31" t="n">
        <x:v>0.28152638960000004</x:v>
      </x:c>
      <x:c r="K129" s="31" t="n">
        <x:v>0</x:v>
      </x:c>
      <x:c r="L129" s="31" t="n">
        <x:v>0.28152638960000004</x:v>
      </x:c>
      <x:c r="M129" s="31" t="n">
        <x:v>0</x:v>
      </x:c>
      <x:c r="N129" s="24" t="str">
        <x:v>chelon labrosus</x:v>
      </x:c>
      <x:c r="O129" s="32" t="n">
        <x:v>2.59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Chelon labrosus</x:v>
      </x:c>
      <x:c r="T129" s="32" t="n">
        <x:f>IF(O129="","",(1/'Metadata'!$B$5)^(O129-1))</x:f>
        <x:v>38.904514499428046</x:v>
      </x:c>
      <x:c r="U129" s="31" t="n">
        <x:f>IF(T129="","",I129*T129)</x:f>
        <x:v>10.95264750616483</x:v>
      </x:c>
    </x:row>
    <x:row r="130" ht="18" customHeight="1">
      <x:c r="A130" s="24" t="str">
        <x:v>EEZ_277</x:v>
      </x:c>
      <x:c r="B130" s="24" t="str">
        <x:v>Germany (North Sea)</x:v>
      </x:c>
      <x:c r="C130" s="24" t="str">
        <x:v>EEZ</x:v>
      </x:c>
      <x:c r="D130" s="30" t="n">
        <x:v>2019</x:v>
      </x:c>
      <x:c r="E130" s="24" t="str">
        <x:v>Littorina littorea</x:v>
      </x:c>
      <x:c r="F130" s="24" t="str">
        <x:v>Common periwinkle</x:v>
      </x:c>
      <x:c r="G130" s="24" t="str">
        <x:v>Other demersal invertebrates</x:v>
      </x:c>
      <x:c r="H130" s="24" t="str">
        <x:v>Molluscs</x:v>
      </x:c>
      <x:c r="I130" s="31" t="n">
        <x:v>0.25581787710000004</x:v>
      </x:c>
      <x:c r="J130" s="31" t="n">
        <x:v>0.25581787710000004</x:v>
      </x:c>
      <x:c r="K130" s="31" t="n">
        <x:v>0</x:v>
      </x:c>
      <x:c r="L130" s="31" t="n">
        <x:v>0.25581787710000004</x:v>
      </x:c>
      <x:c r="M130" s="31" t="n">
        <x:v>0</x:v>
      </x:c>
      <x:c r="N130" s="24" t="str">
        <x:v>littorina littorea</x:v>
      </x:c>
      <x:c r="O130" s="32" t="n">
        <x:v>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Littorina littorea</x:v>
      </x:c>
      <x:c r="T130" s="32" t="n">
        <x:f>IF(O130="","",(1/'Metadata'!$B$5)^(O130-1))</x:f>
        <x:v>10</x:v>
      </x:c>
      <x:c r="U130" s="31" t="n">
        <x:f>IF(T130="","",I130*T130)</x:f>
        <x:v>2.5581787710000006</x:v>
      </x:c>
    </x:row>
    <x:row r="131" ht="18" customHeight="1">
      <x:c r="A131" s="24" t="str">
        <x:v>EEZ_277</x:v>
      </x:c>
      <x:c r="B131" s="24" t="str">
        <x:v>Germany (North Sea)</x:v>
      </x:c>
      <x:c r="C131" s="24" t="str">
        <x:v>EEZ</x:v>
      </x:c>
      <x:c r="D131" s="30" t="n">
        <x:v>2019</x:v>
      </x:c>
      <x:c r="E131" s="24" t="str">
        <x:v>Octopus vulgaris</x:v>
      </x:c>
      <x:c r="F131" s="24" t="str">
        <x:v>Common octopus</x:v>
      </x:c>
      <x:c r="G131" s="24" t="str">
        <x:v>Cephalopods</x:v>
      </x:c>
      <x:c r="H131" s="24" t="str">
        <x:v>Other fishes &amp; inverts</x:v>
      </x:c>
      <x:c r="I131" s="31" t="n">
        <x:v>0.2366239598</x:v>
      </x:c>
      <x:c r="J131" s="31" t="n">
        <x:v>0.2366239598</x:v>
      </x:c>
      <x:c r="K131" s="31" t="n">
        <x:v>0</x:v>
      </x:c>
      <x:c r="L131" s="31" t="n">
        <x:v>0.2366239598</x:v>
      </x:c>
      <x:c r="M131" s="31" t="n">
        <x:v>0</x:v>
      </x:c>
      <x:c r="N131" s="24" t="str">
        <x:v>octopus vulgaris</x:v>
      </x:c>
      <x:c r="O131" s="32" t="n">
        <x:v>3.6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Octopus vulgaris</x:v>
      </x:c>
      <x:c r="T131" s="32" t="n">
        <x:f>IF(O131="","",(1/'Metadata'!$B$5)^(O131-1))</x:f>
        <x:v>398.1071705534973</x:v>
      </x:c>
      <x:c r="U131" s="31" t="n">
        <x:f>IF(T131="","",I131*T131)</x:f>
        <x:v>94.20169512114249</x:v>
      </x:c>
    </x:row>
    <x:row r="132" ht="18" customHeight="1">
      <x:c r="A132" s="24" t="str">
        <x:v>EEZ_277</x:v>
      </x:c>
      <x:c r="B132" s="24" t="str">
        <x:v>Germany (North Sea)</x:v>
      </x:c>
      <x:c r="C132" s="24" t="str">
        <x:v>EEZ</x:v>
      </x:c>
      <x:c r="D132" s="30" t="n">
        <x:v>2019</x:v>
      </x:c>
      <x:c r="E132" s="24" t="str">
        <x:v>Reinhardtius hippoglossoides</x:v>
      </x:c>
      <x:c r="F132" s="24" t="str">
        <x:v>Greenland halibut</x:v>
      </x:c>
      <x:c r="G132" s="24" t="str">
        <x:v>Small to medium flatfishes (&lt;90 cm)</x:v>
      </x:c>
      <x:c r="H132" s="24" t="str">
        <x:v>Flatfishes</x:v>
      </x:c>
      <x:c r="I132" s="31" t="n">
        <x:v>0.22304958319999998</x:v>
      </x:c>
      <x:c r="J132" s="31" t="n">
        <x:v>0.22304958319999998</x:v>
      </x:c>
      <x:c r="K132" s="31" t="n">
        <x:v>0</x:v>
      </x:c>
      <x:c r="L132" s="31" t="n">
        <x:v>0.22304958319999998</x:v>
      </x:c>
      <x:c r="M132" s="31" t="n">
        <x:v>0</x:v>
      </x:c>
      <x:c r="N132" s="24" t="str">
        <x:v>reinhardtius hippoglossoides</x:v>
      </x:c>
      <x:c r="O132" s="32" t="n">
        <x:v>4.38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Reinhardtius hippoglossoides</x:v>
      </x:c>
      <x:c r="T132" s="32" t="n">
        <x:f>IF(O132="","",(1/'Metadata'!$B$5)^(O132-1))</x:f>
        <x:v>2398.83291901949</x:v>
      </x:c>
      <x:c r="U132" s="31" t="n">
        <x:f>IF(T132="","",I132*T132)</x:f>
        <x:v>535.0586827537365</x:v>
      </x:c>
    </x:row>
    <x:row r="133" ht="18" customHeight="1">
      <x:c r="A133" s="24" t="str">
        <x:v>EEZ_277</x:v>
      </x:c>
      <x:c r="B133" s="24" t="str">
        <x:v>Germany (North Sea)</x:v>
      </x:c>
      <x:c r="C133" s="24" t="str">
        <x:v>EEZ</x:v>
      </x:c>
      <x:c r="D133" s="30" t="n">
        <x:v>2019</x:v>
      </x:c>
      <x:c r="E133" s="24" t="str">
        <x:v>Brama brama</x:v>
      </x:c>
      <x:c r="F133" s="24" t="str">
        <x:v>Atlantic pomfret</x:v>
      </x:c>
      <x:c r="G133" s="24" t="str">
        <x:v>Medium bathypelagics (30 - 89 cm)</x:v>
      </x:c>
      <x:c r="H133" s="24" t="str">
        <x:v>Perch-likes</x:v>
      </x:c>
      <x:c r="I133" s="31" t="n">
        <x:v>0.16500144749999998</x:v>
      </x:c>
      <x:c r="J133" s="31" t="n">
        <x:v>0.16500144749999998</x:v>
      </x:c>
      <x:c r="K133" s="31" t="n">
        <x:v>0</x:v>
      </x:c>
      <x:c r="L133" s="31" t="n">
        <x:v>0.16500144749999998</x:v>
      </x:c>
      <x:c r="M133" s="31" t="n">
        <x:v>0</x:v>
      </x:c>
      <x:c r="N133" s="24" t="str">
        <x:v>brama brama</x:v>
      </x:c>
      <x:c r="O133" s="32" t="n">
        <x:v>4.08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Brama brama</x:v>
      </x:c>
      <x:c r="T133" s="32" t="n">
        <x:f>IF(O133="","",(1/'Metadata'!$B$5)^(O133-1))</x:f>
        <x:v>1202.2644346174131</x:v>
      </x:c>
      <x:c r="U133" s="31" t="n">
        <x:f>IF(T133="","",I133*T133)</x:f>
        <x:v>198.37537198964225</x:v>
      </x:c>
    </x:row>
    <x:row r="134" ht="18" customHeight="1">
      <x:c r="A134" s="24" t="str">
        <x:v>EEZ_277</x:v>
      </x:c>
      <x:c r="B134" s="24" t="str">
        <x:v>Germany (North Sea)</x:v>
      </x:c>
      <x:c r="C134" s="24" t="str">
        <x:v>EEZ</x:v>
      </x:c>
      <x:c r="D134" s="30" t="n">
        <x:v>2019</x:v>
      </x:c>
      <x:c r="E134" s="24" t="str">
        <x:v>Todarodes sagittatus</x:v>
      </x:c>
      <x:c r="F134" s="24" t="str">
        <x:v>European flying squid</x:v>
      </x:c>
      <x:c r="G134" s="24" t="str">
        <x:v>Cephalopods</x:v>
      </x:c>
      <x:c r="H134" s="24" t="str">
        <x:v>Other fishes &amp; inverts</x:v>
      </x:c>
      <x:c r="I134" s="31" t="n">
        <x:v>0.15509666789999998</x:v>
      </x:c>
      <x:c r="J134" s="31" t="n">
        <x:v>0.15509666789999998</x:v>
      </x:c>
      <x:c r="K134" s="31" t="n">
        <x:v>0</x:v>
      </x:c>
      <x:c r="L134" s="31" t="n">
        <x:v>0.15509666789999998</x:v>
      </x:c>
      <x:c r="M134" s="31" t="n">
        <x:v>0</x:v>
      </x:c>
      <x:c r="N134" s="24" t="str">
        <x:v>todarodes sagittatus</x:v>
      </x:c>
      <x:c r="O134" s="32" t="n">
        <x:v>4.01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Todarodes sagittatus</x:v>
      </x:c>
      <x:c r="T134" s="32" t="n">
        <x:f>IF(O134="","",(1/'Metadata'!$B$5)^(O134-1))</x:f>
        <x:v>1023.2929922807537</x:v>
      </x:c>
      <x:c r="U134" s="31" t="n">
        <x:f>IF(T134="","",I134*T134)</x:f>
        <x:v>158.7093333881653</x:v>
      </x:c>
    </x:row>
    <x:row r="135" ht="18" customHeight="1">
      <x:c r="A135" s="24" t="str">
        <x:v>EEZ_277</x:v>
      </x:c>
      <x:c r="B135" s="24" t="str">
        <x:v>Germany (North Sea)</x:v>
      </x:c>
      <x:c r="C135" s="24" t="str">
        <x:v>EEZ</x:v>
      </x:c>
      <x:c r="D135" s="30" t="n">
        <x:v>2019</x:v>
      </x:c>
      <x:c r="E135" s="24" t="str">
        <x:v>Octopodidae</x:v>
      </x:c>
      <x:c r="F135" s="24" t="str">
        <x:v>Octopuses</x:v>
      </x:c>
      <x:c r="G135" s="24" t="str">
        <x:v>Cephalopods</x:v>
      </x:c>
      <x:c r="H135" s="24" t="str">
        <x:v>Other fishes &amp; inverts</x:v>
      </x:c>
      <x:c r="I135" s="31" t="n">
        <x:v>0.140355012</x:v>
      </x:c>
      <x:c r="J135" s="31" t="n">
        <x:v>0.1381568561</x:v>
      </x:c>
      <x:c r="K135" s="31" t="n">
        <x:v>0.0021981559</x:v>
      </x:c>
      <x:c r="L135" s="31" t="n">
        <x:v>0.1330363263</x:v>
      </x:c>
      <x:c r="M135" s="31" t="n">
        <x:v>0.0073186857</x:v>
      </x:c>
      <x:c r="N135" s="24" t="str">
        <x:v>octopodidae</x:v>
      </x:c>
      <x:c r="O135" s="32" t="n">
        <x:v>3.59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Octopodidae</x:v>
      </x:c>
      <x:c r="T135" s="32" t="n">
        <x:f>IF(O135="","",(1/'Metadata'!$B$5)^(O135-1))</x:f>
        <x:v>389.04514499428046</x:v>
      </x:c>
      <x:c r="U135" s="31" t="n">
        <x:f>IF(T135="","",I135*T135)</x:f>
        <x:v>54.60443599421397</x:v>
      </x:c>
    </x:row>
    <x:row r="136" ht="18" customHeight="1">
      <x:c r="A136" s="24" t="str">
        <x:v>EEZ_277</x:v>
      </x:c>
      <x:c r="B136" s="24" t="str">
        <x:v>Germany (North Sea)</x:v>
      </x:c>
      <x:c r="C136" s="24" t="str">
        <x:v>EEZ</x:v>
      </x:c>
      <x:c r="D136" s="30" t="n">
        <x:v>2019</x:v>
      </x:c>
      <x:c r="E136" s="24" t="str">
        <x:v>Eledone</x:v>
      </x:c>
      <x:c r="F136" s="24" t="str">
        <x:v>Horned, musky octopuses</x:v>
      </x:c>
      <x:c r="G136" s="24" t="str">
        <x:v>Cephalopods</x:v>
      </x:c>
      <x:c r="H136" s="24" t="str">
        <x:v>Other fishes &amp; inverts</x:v>
      </x:c>
      <x:c r="I136" s="31" t="n">
        <x:v>0.12575111439999997</x:v>
      </x:c>
      <x:c r="J136" s="31" t="n">
        <x:v>0.12575111439999997</x:v>
      </x:c>
      <x:c r="K136" s="31" t="n">
        <x:v>0</x:v>
      </x:c>
      <x:c r="L136" s="31" t="n">
        <x:v>0.12575111439999997</x:v>
      </x:c>
      <x:c r="M136" s="31" t="n">
        <x:v>0</x:v>
      </x:c>
      <x:c r="N136" s="24" t="str">
        <x:v>eledone</x:v>
      </x:c>
      <x:c r="O136" s="32" t="n">
        <x:v>3.67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Eledone</x:v>
      </x:c>
      <x:c r="T136" s="32" t="n">
        <x:f>IF(O136="","",(1/'Metadata'!$B$5)^(O136-1))</x:f>
        <x:v>467.73514128719813</x:v>
      </x:c>
      <x:c r="U136" s="31" t="n">
        <x:f>IF(T136="","",I136*T136)</x:f>
        <x:v>58.818215260906605</x:v>
      </x:c>
    </x:row>
    <x:row r="137" ht="18" customHeight="1">
      <x:c r="A137" s="24" t="str">
        <x:v>EEZ_277</x:v>
      </x:c>
      <x:c r="B137" s="24" t="str">
        <x:v>Germany (North Sea)</x:v>
      </x:c>
      <x:c r="C137" s="24" t="str">
        <x:v>EEZ</x:v>
      </x:c>
      <x:c r="D137" s="30" t="n">
        <x:v>2019</x:v>
      </x:c>
      <x:c r="E137" s="24" t="str">
        <x:v>Galeorhinus galeus</x:v>
      </x:c>
      <x:c r="F137" s="24" t="str">
        <x:v>Tope shark</x:v>
      </x:c>
      <x:c r="G137" s="24" t="str">
        <x:v>Large sharks (&gt;=90 cm)</x:v>
      </x:c>
      <x:c r="H137" s="24" t="str">
        <x:v>Sharks &amp; rays</x:v>
      </x:c>
      <x:c r="I137" s="31" t="n">
        <x:v>0.1129049676</x:v>
      </x:c>
      <x:c r="J137" s="31" t="n">
        <x:v>0.1129049676</x:v>
      </x:c>
      <x:c r="K137" s="31" t="n">
        <x:v>0</x:v>
      </x:c>
      <x:c r="L137" s="31" t="n">
        <x:v>0.0020150639</x:v>
      </x:c>
      <x:c r="M137" s="31" t="n">
        <x:v>0.1108899037</x:v>
      </x:c>
      <x:c r="N137" s="24" t="str">
        <x:v>galeorhinus galeus</x:v>
      </x:c>
      <x:c r="O137" s="32" t="n">
        <x:v>4.34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Galeorhinus galeus</x:v>
      </x:c>
      <x:c r="T137" s="32" t="n">
        <x:f>IF(O137="","",(1/'Metadata'!$B$5)^(O137-1))</x:f>
        <x:v>2187.761623949552</x:v>
      </x:c>
      <x:c r="U137" s="31" t="n">
        <x:f>IF(T137="","",I137*T137)</x:f>
        <x:v>247.00915526854754</x:v>
      </x:c>
    </x:row>
    <x:row r="138" ht="18" customHeight="1">
      <x:c r="A138" s="24" t="str">
        <x:v>EEZ_277</x:v>
      </x:c>
      <x:c r="B138" s="24" t="str">
        <x:v>Germany (North Sea)</x:v>
      </x:c>
      <x:c r="C138" s="24" t="str">
        <x:v>EEZ</x:v>
      </x:c>
      <x:c r="D138" s="30" t="n">
        <x:v>2019</x:v>
      </x:c>
      <x:c r="E138" s="24" t="str">
        <x:v>Labrus bergylta</x:v>
      </x:c>
      <x:c r="F138" s="24" t="str">
        <x:v>Ballan wrasse</x:v>
      </x:c>
      <x:c r="G138" s="24" t="str">
        <x:v>Medium reef assoc. fish (30 - 89 cm)</x:v>
      </x:c>
      <x:c r="H138" s="24" t="str">
        <x:v>Perch-likes</x:v>
      </x:c>
      <x:c r="I138" s="31" t="n">
        <x:v>0.0869139885</x:v>
      </x:c>
      <x:c r="J138" s="31" t="n">
        <x:v>0.060811506</x:v>
      </x:c>
      <x:c r="K138" s="31" t="n">
        <x:v>0.0261024825</x:v>
      </x:c>
      <x:c r="L138" s="31" t="n">
        <x:v>0.0000066561</x:v>
      </x:c>
      <x:c r="M138" s="31" t="n">
        <x:v>0.0869073324</x:v>
      </x:c>
      <x:c r="N138" s="24" t="str">
        <x:v>labrus bergylta</x:v>
      </x:c>
      <x:c r="O138" s="32" t="n">
        <x:v>3.2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Labrus bergylta</x:v>
      </x:c>
      <x:c r="T138" s="32" t="n">
        <x:f>IF(O138="","",(1/'Metadata'!$B$5)^(O138-1))</x:f>
        <x:v>158.48931924611142</x:v>
      </x:c>
      <x:c r="U138" s="31" t="n">
        <x:f>IF(T138="","",I138*T138)</x:f>
        <x:v>13.774938870329356</x:v>
      </x:c>
    </x:row>
    <x:row r="139" ht="18" customHeight="1">
      <x:c r="A139" s="24" t="str">
        <x:v>EEZ_277</x:v>
      </x:c>
      <x:c r="B139" s="24" t="str">
        <x:v>Germany (North Sea)</x:v>
      </x:c>
      <x:c r="C139" s="24" t="str">
        <x:v>EEZ</x:v>
      </x:c>
      <x:c r="D139" s="30" t="n">
        <x:v>2019</x:v>
      </x:c>
      <x:c r="E139" s="24" t="str">
        <x:v>Labridae</x:v>
      </x:c>
      <x:c r="F139" s="24" t="str">
        <x:v>Wrasses, gropers, tuskfishes</x:v>
      </x:c>
      <x:c r="G139" s="24" t="str">
        <x:v>Medium reef assoc. fish (30 - 89 cm)</x:v>
      </x:c>
      <x:c r="H139" s="24" t="str">
        <x:v>Perch-likes</x:v>
      </x:c>
      <x:c r="I139" s="31" t="n">
        <x:v>0.0865014554</x:v>
      </x:c>
      <x:c r="J139" s="31" t="n">
        <x:v>0.0865014554</x:v>
      </x:c>
      <x:c r="K139" s="31" t="n">
        <x:v>0</x:v>
      </x:c>
      <x:c r="L139" s="31" t="n">
        <x:v>0.0865014554</x:v>
      </x:c>
      <x:c r="M139" s="31" t="n">
        <x:v>0</x:v>
      </x:c>
      <x:c r="N139" s="24" t="str">
        <x:v>labridae</x:v>
      </x:c>
      <x:c r="O139" s="32" t="n">
        <x:v>3.46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Labridae</x:v>
      </x:c>
      <x:c r="T139" s="32" t="n">
        <x:f>IF(O139="","",(1/'Metadata'!$B$5)^(O139-1))</x:f>
        <x:v>288.40315031266056</x:v>
      </x:c>
      <x:c r="U139" s="31" t="n">
        <x:f>IF(T139="","",I139*T139)</x:f>
        <x:v>24.947292243990102</x:v>
      </x:c>
    </x:row>
    <x:row r="140" ht="18" customHeight="1">
      <x:c r="A140" s="24" t="str">
        <x:v>EEZ_277</x:v>
      </x:c>
      <x:c r="B140" s="24" t="str">
        <x:v>Germany (North Sea)</x:v>
      </x:c>
      <x:c r="C140" s="24" t="str">
        <x:v>EEZ</x:v>
      </x:c>
      <x:c r="D140" s="30" t="n">
        <x:v>2019</x:v>
      </x:c>
      <x:c r="E140" s="24" t="str">
        <x:v>Thunnus thynnus</x:v>
      </x:c>
      <x:c r="F140" s="24" t="str">
        <x:v>Atlantic bluefin tuna</x:v>
      </x:c>
      <x:c r="G140" s="24" t="str">
        <x:v>Large pelagics (&gt;=90 cm)</x:v>
      </x:c>
      <x:c r="H140" s="24" t="str">
        <x:v>Tuna &amp; billfishes</x:v>
      </x:c>
      <x:c r="I140" s="31" t="n">
        <x:v>0.0789655333</x:v>
      </x:c>
      <x:c r="J140" s="31" t="n">
        <x:v>0.0789655333</x:v>
      </x:c>
      <x:c r="K140" s="31" t="n">
        <x:v>0</x:v>
      </x:c>
      <x:c r="L140" s="31" t="n">
        <x:v>0.0789655333</x:v>
      </x:c>
      <x:c r="M140" s="31" t="n">
        <x:v>0</x:v>
      </x:c>
      <x:c r="N140" s="24" t="str">
        <x:v>thunnus thynnus</x:v>
      </x:c>
      <x:c r="O140" s="32" t="n">
        <x:v>4.45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Thunnus thynnus</x:v>
      </x:c>
      <x:c r="T140" s="32" t="n">
        <x:f>IF(O140="","",(1/'Metadata'!$B$5)^(O140-1))</x:f>
        <x:v>2818.382931264455</x:v>
      </x:c>
      <x:c r="U140" s="31" t="n">
        <x:f>IF(T140="","",I140*T140)</x:f>
        <x:v>222.55511121091493</x:v>
      </x:c>
    </x:row>
    <x:row r="141" ht="18" customHeight="1">
      <x:c r="A141" s="24" t="str">
        <x:v>EEZ_277</x:v>
      </x:c>
      <x:c r="B141" s="24" t="str">
        <x:v>Germany (North Sea)</x:v>
      </x:c>
      <x:c r="C141" s="24" t="str">
        <x:v>EEZ</x:v>
      </x:c>
      <x:c r="D141" s="30" t="n">
        <x:v>2019</x:v>
      </x:c>
      <x:c r="E141" s="24" t="str">
        <x:v>Salmo trutta</x:v>
      </x:c>
      <x:c r="F141" s="24" t="str">
        <x:v>Sea trout</x:v>
      </x:c>
      <x:c r="G141" s="24" t="str">
        <x:v>Large pelagics (&gt;=90 cm)</x:v>
      </x:c>
      <x:c r="H141" s="24" t="str">
        <x:v>Salmon, smelts, etc</x:v>
      </x:c>
      <x:c r="I141" s="31" t="n">
        <x:v>0.0660705528</x:v>
      </x:c>
      <x:c r="J141" s="31" t="n">
        <x:v>0.0660705528</x:v>
      </x:c>
      <x:c r="K141" s="31" t="n">
        <x:v>0</x:v>
      </x:c>
      <x:c r="L141" s="31" t="n">
        <x:v>0.0660705528</x:v>
      </x:c>
      <x:c r="M141" s="31" t="n">
        <x:v>0</x:v>
      </x:c>
      <x:c r="N141" s="24" t="str">
        <x:v>salmo trutta</x:v>
      </x:c>
      <x:c r="O141" s="32" t="n">
        <x:v>3.36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Salmo trutta</x:v>
      </x:c>
      <x:c r="T141" s="32" t="n">
        <x:f>IF(O141="","",(1/'Metadata'!$B$5)^(O141-1))</x:f>
        <x:v>229.08676527677724</x:v>
      </x:c>
      <x:c r="U141" s="31" t="n">
        <x:f>IF(T141="","",I141*T141)</x:f>
        <x:v>15.135889221000518</x:v>
      </x:c>
    </x:row>
    <x:row r="142" ht="18" customHeight="1">
      <x:c r="A142" s="24" t="str">
        <x:v>EEZ_277</x:v>
      </x:c>
      <x:c r="B142" s="24" t="str">
        <x:v>Germany (North Sea)</x:v>
      </x:c>
      <x:c r="C142" s="24" t="str">
        <x:v>EEZ</x:v>
      </x:c>
      <x:c r="D142" s="30" t="n">
        <x:v>2019</x:v>
      </x:c>
      <x:c r="E142" s="24" t="str">
        <x:v>Chondrichthyes</x:v>
      </x:c>
      <x:c r="F142" s="24" t="str">
        <x:v>Sharks, rays, chimaeras</x:v>
      </x:c>
      <x:c r="G142" s="24" t="str">
        <x:v>Large sharks (&gt;=90 cm)</x:v>
      </x:c>
      <x:c r="H142" s="24" t="str">
        <x:v>Sharks &amp; rays</x:v>
      </x:c>
      <x:c r="I142" s="31" t="n">
        <x:v>0.0590408448</x:v>
      </x:c>
      <x:c r="J142" s="31" t="n">
        <x:v>0.0590198761</x:v>
      </x:c>
      <x:c r="K142" s="31" t="n">
        <x:v>0.0000209687</x:v>
      </x:c>
      <x:c r="L142" s="31" t="n">
        <x:v>0.058973151</x:v>
      </x:c>
      <x:c r="M142" s="31" t="n">
        <x:v>0.0000676938</x:v>
      </x:c>
      <x:c r="N142" s="24" t="str">
        <x:v>chondrichthyes</x:v>
      </x:c>
      <x:c r="O142" s="32" t="n">
        <x:v>4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Chondrichthyes</x:v>
      </x:c>
      <x:c r="T142" s="32" t="n">
        <x:f>IF(O142="","",(1/'Metadata'!$B$5)^(O142-1))</x:f>
        <x:v>1000</x:v>
      </x:c>
      <x:c r="U142" s="31" t="n">
        <x:f>IF(T142="","",I142*T142)</x:f>
        <x:v>59.0408448</x:v>
      </x:c>
    </x:row>
    <x:row r="143" ht="18" customHeight="1">
      <x:c r="A143" s="24" t="str">
        <x:v>EEZ_277</x:v>
      </x:c>
      <x:c r="B143" s="24" t="str">
        <x:v>Germany (North Sea)</x:v>
      </x:c>
      <x:c r="C143" s="24" t="str">
        <x:v>EEZ</x:v>
      </x:c>
      <x:c r="D143" s="30" t="n">
        <x:v>2019</x:v>
      </x:c>
      <x:c r="E143" s="24" t="str">
        <x:v>Illex</x:v>
      </x:c>
      <x:c r="F143" s="24" t="str">
        <x:v>Shortfin squid</x:v>
      </x:c>
      <x:c r="G143" s="24" t="str">
        <x:v>Cephalopods</x:v>
      </x:c>
      <x:c r="H143" s="24" t="str">
        <x:v>Other fishes &amp; inverts</x:v>
      </x:c>
      <x:c r="I143" s="31" t="n">
        <x:v>0.0529929306</x:v>
      </x:c>
      <x:c r="J143" s="31" t="n">
        <x:v>0.0529929306</x:v>
      </x:c>
      <x:c r="K143" s="31" t="n">
        <x:v>0</x:v>
      </x:c>
      <x:c r="L143" s="31" t="n">
        <x:v>0.0529929306</x:v>
      </x:c>
      <x:c r="M143" s="31" t="n">
        <x:v>0</x:v>
      </x:c>
      <x:c r="N143" s="24" t="str">
        <x:v>illex</x:v>
      </x:c>
      <x:c r="O143" s="32" t="n">
        <x:v>3.98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Illex</x:v>
      </x:c>
      <x:c r="T143" s="32" t="n">
        <x:f>IF(O143="","",(1/'Metadata'!$B$5)^(O143-1))</x:f>
        <x:v>954.992586021436</x:v>
      </x:c>
      <x:c r="U143" s="31" t="n">
        <x:f>IF(T143="","",I143*T143)</x:f>
        <x:v>50.60785583454849</x:v>
      </x:c>
    </x:row>
    <x:row r="144" ht="18" customHeight="1">
      <x:c r="A144" s="24" t="str">
        <x:v>EEZ_277</x:v>
      </x:c>
      <x:c r="B144" s="24" t="str">
        <x:v>Germany (North Sea)</x:v>
      </x:c>
      <x:c r="C144" s="24" t="str">
        <x:v>EEZ</x:v>
      </x:c>
      <x:c r="D144" s="30" t="n">
        <x:v>2019</x:v>
      </x:c>
      <x:c r="E144" s="24" t="str">
        <x:v>Alopias vulpinus</x:v>
      </x:c>
      <x:c r="F144" s="24" t="str">
        <x:v>Thresher</x:v>
      </x:c>
      <x:c r="G144" s="24" t="str">
        <x:v>Large sharks (&gt;=90 cm)</x:v>
      </x:c>
      <x:c r="H144" s="24" t="str">
        <x:v>Sharks &amp; rays</x:v>
      </x:c>
      <x:c r="I144" s="31" t="n">
        <x:v>0.045969626199999995</x:v>
      </x:c>
      <x:c r="J144" s="31" t="n">
        <x:v>0.045969626199999995</x:v>
      </x:c>
      <x:c r="K144" s="31" t="n">
        <x:v>0</x:v>
      </x:c>
      <x:c r="L144" s="31" t="n">
        <x:v>0.045969626199999995</x:v>
      </x:c>
      <x:c r="M144" s="31" t="n">
        <x:v>0</x:v>
      </x:c>
      <x:c r="N144" s="24" t="str">
        <x:v>alopias vulpinus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Alopias vulpinus</x:v>
      </x:c>
      <x:c r="T144" s="32" t="n">
        <x:f>IF(O144="","",(1/'Metadata'!$B$5)^(O144-1))</x:f>
        <x:v>3162.2776601683795</x:v>
      </x:c>
      <x:c r="U144" s="31" t="n">
        <x:f>IF(T144="","",I144*T144)</x:f>
        <x:v>145.368721978551</x:v>
      </x:c>
    </x:row>
    <x:row r="145" ht="18" customHeight="1">
      <x:c r="A145" s="24" t="str">
        <x:v>EEZ_277</x:v>
      </x:c>
      <x:c r="B145" s="24" t="str">
        <x:v>Germany (North Sea)</x:v>
      </x:c>
      <x:c r="C145" s="24" t="str">
        <x:v>EEZ</x:v>
      </x:c>
      <x:c r="D145" s="30" t="n">
        <x:v>2019</x:v>
      </x:c>
      <x:c r="E145" s="24" t="str">
        <x:v>Ctenolabrus rupestris</x:v>
      </x:c>
      <x:c r="F145" s="24" t="str">
        <x:v>Goldsinny-wrasse</x:v>
      </x:c>
      <x:c r="G145" s="24" t="str">
        <x:v>Small reef assoc. fish (&lt;30 cm)</x:v>
      </x:c>
      <x:c r="H145" s="24" t="str">
        <x:v>Perch-likes</x:v>
      </x:c>
      <x:c r="I145" s="31" t="n">
        <x:v>0.0401002652</x:v>
      </x:c>
      <x:c r="J145" s="31" t="n">
        <x:v>0.0401002652</x:v>
      </x:c>
      <x:c r="K145" s="31" t="n">
        <x:v>0</x:v>
      </x:c>
      <x:c r="L145" s="31" t="n">
        <x:v>0.0401002652</x:v>
      </x:c>
      <x:c r="M145" s="31" t="n">
        <x:v>0</x:v>
      </x:c>
      <x:c r="N145" s="24" t="str">
        <x:v>ctenolabrus rupestris</x:v>
      </x:c>
      <x:c r="O145" s="32" t="n">
        <x:v>3.58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Ctenolabrus rupestris</x:v>
      </x:c>
      <x:c r="T145" s="32" t="n">
        <x:f>IF(O145="","",(1/'Metadata'!$B$5)^(O145-1))</x:f>
        <x:v>380.1893963205613</x:v>
      </x:c>
      <x:c r="U145" s="31" t="n">
        <x:f>IF(T145="","",I145*T145)</x:f>
        <x:v>15.245695618682412</x:v>
      </x:c>
    </x:row>
    <x:row r="146" ht="18" customHeight="1">
      <x:c r="A146" s="24" t="str">
        <x:v>EEZ_277</x:v>
      </x:c>
      <x:c r="B146" s="24" t="str">
        <x:v>Germany (North Sea)</x:v>
      </x:c>
      <x:c r="C146" s="24" t="str">
        <x:v>EEZ</x:v>
      </x:c>
      <x:c r="D146" s="30" t="n">
        <x:v>2019</x:v>
      </x:c>
      <x:c r="E146" s="24" t="str">
        <x:v>Malacostraca</x:v>
      </x:c>
      <x:c r="F146" s="24" t="str">
        <x:v>Lobsters, crabs, shrimps, krill</x:v>
      </x:c>
      <x:c r="G146" s="24" t="str">
        <x:v>Shrimps</x:v>
      </x:c>
      <x:c r="H146" s="24" t="str">
        <x:v>Crustaceans</x:v>
      </x:c>
      <x:c r="I146" s="31" t="n">
        <x:v>0.0350648399</x:v>
      </x:c>
      <x:c r="J146" s="31" t="n">
        <x:v>0.0350648399</x:v>
      </x:c>
      <x:c r="K146" s="31" t="n">
        <x:v>0</x:v>
      </x:c>
      <x:c r="L146" s="31" t="n">
        <x:v>0.0350648399</x:v>
      </x:c>
      <x:c r="M146" s="31" t="n">
        <x:v>0</x:v>
      </x:c>
      <x:c r="N146" s="24" t="str">
        <x:v>malacostraca</x:v>
      </x:c>
      <x:c r="O146" s="32" t="n">
        <x:v>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Malacostraca</x:v>
      </x:c>
      <x:c r="T146" s="32" t="n">
        <x:f>IF(O146="","",(1/'Metadata'!$B$5)^(O146-1))</x:f>
        <x:v>100</x:v>
      </x:c>
      <x:c r="U146" s="31" t="n">
        <x:f>IF(T146="","",I146*T146)</x:f>
        <x:v>3.50648399</x:v>
      </x:c>
    </x:row>
    <x:row r="147" ht="18" customHeight="1">
      <x:c r="A147" s="24" t="str">
        <x:v>EEZ_277</x:v>
      </x:c>
      <x:c r="B147" s="24" t="str">
        <x:v>Germany (North Sea)</x:v>
      </x:c>
      <x:c r="C147" s="24" t="str">
        <x:v>EEZ</x:v>
      </x:c>
      <x:c r="D147" s="30" t="n">
        <x:v>2019</x:v>
      </x:c>
      <x:c r="E147" s="24" t="str">
        <x:v>Acanthocardia tuberculata</x:v>
      </x:c>
      <x:c r="F147" s="24" t="str">
        <x:v>Tuberculate cockle</x:v>
      </x:c>
      <x:c r="G147" s="24" t="str">
        <x:v>Other demersal invertebrates</x:v>
      </x:c>
      <x:c r="H147" s="24" t="str">
        <x:v>Molluscs</x:v>
      </x:c>
      <x:c r="I147" s="31" t="n">
        <x:v>0.0276120927</x:v>
      </x:c>
      <x:c r="J147" s="31" t="n">
        <x:v>0.0276120927</x:v>
      </x:c>
      <x:c r="K147" s="31" t="n">
        <x:v>0</x:v>
      </x:c>
      <x:c r="L147" s="31" t="n">
        <x:v>0.0276120927</x:v>
      </x:c>
      <x:c r="M147" s="31" t="n">
        <x:v>0</x:v>
      </x:c>
      <x:c r="N147" s="24" t="str">
        <x:v>acanthocardia tuberculata</x:v>
      </x:c>
      <x:c r="O147" s="32" t="n">
        <x:v>2.5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Acanthocardia tuberculata</x:v>
      </x:c>
      <x:c r="T147" s="32" t="n">
        <x:f>IF(O147="","",(1/'Metadata'!$B$5)^(O147-1))</x:f>
        <x:v>31.622776601683793</x:v>
      </x:c>
      <x:c r="U147" s="31" t="n">
        <x:f>IF(T147="","",I147*T147)</x:f>
        <x:v>0.8731710389570838</x:v>
      </x:c>
    </x:row>
    <x:row r="148" ht="18" customHeight="1">
      <x:c r="A148" s="24" t="str">
        <x:v>EEZ_277</x:v>
      </x:c>
      <x:c r="B148" s="24" t="str">
        <x:v>Germany (North Sea)</x:v>
      </x:c>
      <x:c r="C148" s="24" t="str">
        <x:v>EEZ</x:v>
      </x:c>
      <x:c r="D148" s="30" t="n">
        <x:v>2019</x:v>
      </x:c>
      <x:c r="E148" s="24" t="str">
        <x:v>Mugilidae</x:v>
      </x:c>
      <x:c r="F148" s="24" t="str">
        <x:v>Mullets, grey mullets</x:v>
      </x:c>
      <x:c r="G148" s="24" t="str">
        <x:v>Medium reef assoc. fish (30 - 89 cm)</x:v>
      </x:c>
      <x:c r="H148" s="24" t="str">
        <x:v>Perch-likes</x:v>
      </x:c>
      <x:c r="I148" s="31" t="n">
        <x:v>0.021896496900000003</x:v>
      </x:c>
      <x:c r="J148" s="31" t="n">
        <x:v>0.021896496900000003</x:v>
      </x:c>
      <x:c r="K148" s="31" t="n">
        <x:v>0</x:v>
      </x:c>
      <x:c r="L148" s="31" t="n">
        <x:v>0.021896496900000003</x:v>
      </x:c>
      <x:c r="M148" s="31" t="n">
        <x:v>0</x:v>
      </x:c>
      <x:c r="N148" s="24" t="str">
        <x:v>mugilidae</x:v>
      </x:c>
      <x:c r="O148" s="32" t="n">
        <x:v>2.53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Mugilidae</x:v>
      </x:c>
      <x:c r="T148" s="32" t="n">
        <x:f>IF(O148="","",(1/'Metadata'!$B$5)^(O148-1))</x:f>
        <x:v>33.88441561392024</x:v>
      </x:c>
      <x:c r="U148" s="31" t="n">
        <x:f>IF(T148="","",I148*T148)</x:f>
        <x:v>0.7419500014485162</x:v>
      </x:c>
    </x:row>
    <x:row r="149" ht="18" customHeight="1">
      <x:c r="A149" s="24" t="str">
        <x:v>EEZ_277</x:v>
      </x:c>
      <x:c r="B149" s="24" t="str">
        <x:v>Germany (North Sea)</x:v>
      </x:c>
      <x:c r="C149" s="24" t="str">
        <x:v>EEZ</x:v>
      </x:c>
      <x:c r="D149" s="30" t="n">
        <x:v>2019</x:v>
      </x:c>
      <x:c r="E149" s="24" t="str">
        <x:v>Leucoraja naevus</x:v>
      </x:c>
      <x:c r="F149" s="24" t="str">
        <x:v>Cuckoo ray</x:v>
      </x:c>
      <x:c r="G149" s="24" t="str">
        <x:v>Small to medium rays (&lt;90 cm)</x:v>
      </x:c>
      <x:c r="H149" s="24" t="str">
        <x:v>Sharks &amp; rays</x:v>
      </x:c>
      <x:c r="I149" s="31" t="n">
        <x:v>0.020430111400000003</x:v>
      </x:c>
      <x:c r="J149" s="31" t="n">
        <x:v>0.020430111400000003</x:v>
      </x:c>
      <x:c r="K149" s="31" t="n">
        <x:v>0</x:v>
      </x:c>
      <x:c r="L149" s="31" t="n">
        <x:v>0.020430111400000003</x:v>
      </x:c>
      <x:c r="M149" s="31" t="n">
        <x:v>0</x:v>
      </x:c>
      <x:c r="N149" s="24" t="str">
        <x:v>leucoraja naevus</x:v>
      </x:c>
      <x:c r="O149" s="32" t="n">
        <x:v>4.21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Leucoraja naevus</x:v>
      </x:c>
      <x:c r="T149" s="32" t="n">
        <x:f>IF(O149="","",(1/'Metadata'!$B$5)^(O149-1))</x:f>
        <x:v>1621.8100973589299</x:v>
      </x:c>
      <x:c r="U149" s="31" t="n">
        <x:f>IF(T149="","",I149*T149)</x:f>
        <x:v>33.13376095868779</x:v>
      </x:c>
    </x:row>
    <x:row r="150" ht="18" customHeight="1">
      <x:c r="A150" s="24" t="str">
        <x:v>EEZ_277</x:v>
      </x:c>
      <x:c r="B150" s="24" t="str">
        <x:v>Germany (North Sea)</x:v>
      </x:c>
      <x:c r="C150" s="24" t="str">
        <x:v>EEZ</x:v>
      </x:c>
      <x:c r="D150" s="30" t="n">
        <x:v>2019</x:v>
      </x:c>
      <x:c r="E150" s="24" t="str">
        <x:v>Callista chione</x:v>
      </x:c>
      <x:c r="F150" s="24" t="str">
        <x:v>Smooth callista</x:v>
      </x:c>
      <x:c r="G150" s="24" t="str">
        <x:v>Other demersal invertebrates</x:v>
      </x:c>
      <x:c r="H150" s="24" t="str">
        <x:v>Molluscs</x:v>
      </x:c>
      <x:c r="I150" s="31" t="n">
        <x:v>0.0195708309</x:v>
      </x:c>
      <x:c r="J150" s="31" t="n">
        <x:v>0.0195708309</x:v>
      </x:c>
      <x:c r="K150" s="31" t="n">
        <x:v>0</x:v>
      </x:c>
      <x:c r="L150" s="31" t="n">
        <x:v>0.0195708309</x:v>
      </x:c>
      <x:c r="M150" s="31" t="n">
        <x:v>0</x:v>
      </x:c>
      <x:c r="N150" s="24" t="str">
        <x:v>callista chione</x:v>
      </x:c>
      <x:c r="O150" s="32" t="n">
        <x:v>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Callista chione</x:v>
      </x:c>
      <x:c r="T150" s="32" t="n">
        <x:f>IF(O150="","",(1/'Metadata'!$B$5)^(O150-1))</x:f>
        <x:v>10</x:v>
      </x:c>
      <x:c r="U150" s="31" t="n">
        <x:f>IF(T150="","",I150*T150)</x:f>
        <x:v>0.195708309</x:v>
      </x:c>
    </x:row>
    <x:row r="151" ht="18" customHeight="1">
      <x:c r="A151" s="24" t="str">
        <x:v>EEZ_277</x:v>
      </x:c>
      <x:c r="B151" s="24" t="str">
        <x:v>Germany (North Sea)</x:v>
      </x:c>
      <x:c r="C151" s="24" t="str">
        <x:v>EEZ</x:v>
      </x:c>
      <x:c r="D151" s="30" t="n">
        <x:v>2019</x:v>
      </x:c>
      <x:c r="E151" s="24" t="str">
        <x:v>Chelon ramada</x:v>
      </x:c>
      <x:c r="F151" s="24" t="str">
        <x:v>Thinlip grey mullet</x:v>
      </x:c>
      <x:c r="G151" s="24" t="str">
        <x:v>Medium pelagics (30 - 89 cm)</x:v>
      </x:c>
      <x:c r="H151" s="24" t="str">
        <x:v>Perch-likes</x:v>
      </x:c>
      <x:c r="I151" s="31" t="n">
        <x:v>0.0169253959</x:v>
      </x:c>
      <x:c r="J151" s="31" t="n">
        <x:v>0.0169253959</x:v>
      </x:c>
      <x:c r="K151" s="31" t="n">
        <x:v>0</x:v>
      </x:c>
      <x:c r="L151" s="31" t="n">
        <x:v>0.0169253959</x:v>
      </x:c>
      <x:c r="M151" s="31" t="n">
        <x:v>0</x:v>
      </x:c>
      <x:c r="N151" s="24" t="str">
        <x:v>chelon ramada</x:v>
      </x:c>
      <x:c r="O151" s="32" t="n">
        <x:v>2.3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Chelon ramada</x:v>
      </x:c>
      <x:c r="T151" s="32" t="n">
        <x:f>IF(O151="","",(1/'Metadata'!$B$5)^(O151-1))</x:f>
        <x:v>19.952623149688787</x:v>
      </x:c>
      <x:c r="U151" s="31" t="n">
        <x:f>IF(T151="","",I151*T151)</x:f>
        <x:v>0.3377060460519877</x:v>
      </x:c>
    </x:row>
    <x:row r="152" ht="18" customHeight="1">
      <x:c r="A152" s="24" t="str">
        <x:v>EEZ_277</x:v>
      </x:c>
      <x:c r="B152" s="24" t="str">
        <x:v>Germany (North Sea)</x:v>
      </x:c>
      <x:c r="C152" s="24" t="str">
        <x:v>EEZ</x:v>
      </x:c>
      <x:c r="D152" s="30" t="n">
        <x:v>2019</x:v>
      </x:c>
      <x:c r="E152" s="24" t="str">
        <x:v>Sepiidae</x:v>
      </x:c>
      <x:c r="F152" s="24" t="str">
        <x:v>Cuttlefishes</x:v>
      </x:c>
      <x:c r="G152" s="24" t="str">
        <x:v>Cephalopods</x:v>
      </x:c>
      <x:c r="H152" s="24" t="str">
        <x:v>Other fishes &amp; inverts</x:v>
      </x:c>
      <x:c r="I152" s="31" t="n">
        <x:v>0.0122942999</x:v>
      </x:c>
      <x:c r="J152" s="31" t="n">
        <x:v>0.0122942999</x:v>
      </x:c>
      <x:c r="K152" s="31" t="n">
        <x:v>0</x:v>
      </x:c>
      <x:c r="L152" s="31" t="n">
        <x:v>0.0122942999</x:v>
      </x:c>
      <x:c r="M152" s="31" t="n">
        <x:v>0</x:v>
      </x:c>
      <x:c r="N152" s="24" t="str">
        <x:v>sepiidae</x:v>
      </x:c>
      <x:c r="O152" s="32" t="n">
        <x:v>3.6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Sepiidae</x:v>
      </x:c>
      <x:c r="T152" s="32" t="n">
        <x:f>IF(O152="","",(1/'Metadata'!$B$5)^(O152-1))</x:f>
        <x:v>398.1071705534973</x:v>
      </x:c>
      <x:c r="U152" s="31" t="n">
        <x:f>IF(T152="","",I152*T152)</x:f>
        <x:v>4.894448947125145</x:v>
      </x:c>
    </x:row>
    <x:row r="153" ht="18" customHeight="1">
      <x:c r="A153" s="24" t="str">
        <x:v>EEZ_277</x:v>
      </x:c>
      <x:c r="B153" s="24" t="str">
        <x:v>Germany (North Sea)</x:v>
      </x:c>
      <x:c r="C153" s="24" t="str">
        <x:v>EEZ</x:v>
      </x:c>
      <x:c r="D153" s="30" t="n">
        <x:v>2019</x:v>
      </x:c>
      <x:c r="E153" s="24" t="str">
        <x:v>Alosa fallax</x:v>
      </x:c>
      <x:c r="F153" s="24" t="str">
        <x:v>Twaite shad</x:v>
      </x:c>
      <x:c r="G153" s="24" t="str">
        <x:v>Medium pelagics (30 - 89 cm)</x:v>
      </x:c>
      <x:c r="H153" s="24" t="str">
        <x:v>Herring-likes</x:v>
      </x:c>
      <x:c r="I153" s="31" t="n">
        <x:v>0.0121424846</x:v>
      </x:c>
      <x:c r="J153" s="31" t="n">
        <x:v>0.0121424846</x:v>
      </x:c>
      <x:c r="K153" s="31" t="n">
        <x:v>0</x:v>
      </x:c>
      <x:c r="L153" s="31" t="n">
        <x:v>0.0121424846</x:v>
      </x:c>
      <x:c r="M153" s="31" t="n">
        <x:v>0</x:v>
      </x:c>
      <x:c r="N153" s="24" t="str">
        <x:v>alosa fallax</x:v>
      </x:c>
      <x:c r="O153" s="32" t="n">
        <x:v>4.03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Alosa fallax</x:v>
      </x:c>
      <x:c r="T153" s="32" t="n">
        <x:f>IF(O153="","",(1/'Metadata'!$B$5)^(O153-1))</x:f>
        <x:v>1071.519305237607</x:v>
      </x:c>
      <x:c r="U153" s="31" t="n">
        <x:f>IF(T153="","",I153*T153)</x:f>
        <x:v>13.010906662450344</x:v>
      </x:c>
    </x:row>
    <x:row r="154" ht="18" customHeight="1">
      <x:c r="A154" s="24" t="str">
        <x:v>EEZ_277</x:v>
      </x:c>
      <x:c r="B154" s="24" t="str">
        <x:v>Germany (North Sea)</x:v>
      </x:c>
      <x:c r="C154" s="24" t="str">
        <x:v>EEZ</x:v>
      </x:c>
      <x:c r="D154" s="30" t="n">
        <x:v>2019</x:v>
      </x:c>
      <x:c r="E154" s="24" t="str">
        <x:v>Mustelus asterias</x:v>
      </x:c>
      <x:c r="F154" s="24" t="str">
        <x:v>Starry smooth-hound</x:v>
      </x:c>
      <x:c r="G154" s="24" t="str">
        <x:v>Large sharks (&gt;=90 cm)</x:v>
      </x:c>
      <x:c r="H154" s="24" t="str">
        <x:v>Sharks &amp; rays</x:v>
      </x:c>
      <x:c r="I154" s="31" t="n">
        <x:v>0.0059981804</x:v>
      </x:c>
      <x:c r="J154" s="31" t="n">
        <x:v>0.0059981804</x:v>
      </x:c>
      <x:c r="K154" s="31" t="n">
        <x:v>0</x:v>
      </x:c>
      <x:c r="L154" s="31" t="n">
        <x:v>0.0059981804</x:v>
      </x:c>
      <x:c r="M154" s="31" t="n">
        <x:v>0</x:v>
      </x:c>
      <x:c r="N154" s="24" t="str">
        <x:v>mustelus asterias</x:v>
      </x:c>
      <x:c r="O154" s="32" t="n">
        <x:v>3.62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Mustelus asterias</x:v>
      </x:c>
      <x:c r="T154" s="32" t="n">
        <x:f>IF(O154="","",(1/'Metadata'!$B$5)^(O154-1))</x:f>
        <x:v>416.8693834703355</x:v>
      </x:c>
      <x:c r="U154" s="31" t="n">
        <x:f>IF(T154="","",I154*T154)</x:f>
        <x:v>2.5004577652918503</x:v>
      </x:c>
    </x:row>
    <x:row r="155" ht="18" customHeight="1">
      <x:c r="A155" s="24" t="str">
        <x:v>EEZ_277</x:v>
      </x:c>
      <x:c r="B155" s="24" t="str">
        <x:v>Germany (North Sea)</x:v>
      </x:c>
      <x:c r="C155" s="24" t="str">
        <x:v>EEZ</x:v>
      </x:c>
      <x:c r="D155" s="30" t="n">
        <x:v>2019</x:v>
      </x:c>
      <x:c r="E155" s="24" t="str">
        <x:v>Chamelea gallina</x:v>
      </x:c>
      <x:c r="F155" s="24" t="str">
        <x:v>Striped venus</x:v>
      </x:c>
      <x:c r="G155" s="24" t="str">
        <x:v>Other demersal invertebrates</x:v>
      </x:c>
      <x:c r="H155" s="24" t="str">
        <x:v>Molluscs</x:v>
      </x:c>
      <x:c r="I155" s="31" t="n">
        <x:v>0.005047383900000001</x:v>
      </x:c>
      <x:c r="J155" s="31" t="n">
        <x:v>0.005047383900000001</x:v>
      </x:c>
      <x:c r="K155" s="31" t="n">
        <x:v>0</x:v>
      </x:c>
      <x:c r="L155" s="31" t="n">
        <x:v>0.005047383900000001</x:v>
      </x:c>
      <x:c r="M155" s="31" t="n">
        <x:v>0</x:v>
      </x:c>
      <x:c r="N155" s="24" t="str">
        <x:v>chamelea gallina</x:v>
      </x:c>
      <x:c r="O155" s="32" t="n">
        <x:v>2.1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Chamelea gallina</x:v>
      </x:c>
      <x:c r="T155" s="32" t="n">
        <x:f>IF(O155="","",(1/'Metadata'!$B$5)^(O155-1))</x:f>
        <x:v>12.589254117941675</x:v>
      </x:c>
      <x:c r="U155" s="31" t="n">
        <x:f>IF(T155="","",I155*T155)</x:f>
        <x:v>0.06354279854790752</x:v>
      </x:c>
    </x:row>
    <x:row r="156" ht="18" customHeight="1">
      <x:c r="A156" s="24" t="str">
        <x:v>EEZ_277</x:v>
      </x:c>
      <x:c r="B156" s="24" t="str">
        <x:v>Germany (North Sea)</x:v>
      </x:c>
      <x:c r="C156" s="24" t="str">
        <x:v>EEZ</x:v>
      </x:c>
      <x:c r="D156" s="30" t="n">
        <x:v>2019</x:v>
      </x:c>
      <x:c r="E156" s="24" t="str">
        <x:v>Scyliorhinidae</x:v>
      </x:c>
      <x:c r="F156" s="24" t="str">
        <x:v>Cat/swellsharks</x:v>
      </x:c>
      <x:c r="G156" s="24" t="str">
        <x:v>Large sharks (&gt;=90 cm)</x:v>
      </x:c>
      <x:c r="H156" s="24" t="str">
        <x:v>Sharks &amp; rays</x:v>
      </x:c>
      <x:c r="I156" s="31" t="n">
        <x:v>0.0036948363</x:v>
      </x:c>
      <x:c r="J156" s="31" t="n">
        <x:v>0.0036948363</x:v>
      </x:c>
      <x:c r="K156" s="31" t="n">
        <x:v>0</x:v>
      </x:c>
      <x:c r="L156" s="31" t="n">
        <x:v>0.0036948363</x:v>
      </x:c>
      <x:c r="M156" s="31" t="n">
        <x:v>0</x:v>
      </x:c>
      <x:c r="N156" s="24" t="str">
        <x:v>scyliorhinidae</x:v>
      </x:c>
      <x:c r="O156" s="32" t="n">
        <x:v>3.97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Scyliorhinidae</x:v>
      </x:c>
      <x:c r="T156" s="32" t="n">
        <x:f>IF(O156="","",(1/'Metadata'!$B$5)^(O156-1))</x:f>
        <x:v>933.2543007969915</x:v>
      </x:c>
      <x:c r="U156" s="31" t="n">
        <x:f>IF(T156="","",I156*T156)</x:f>
        <x:v>3.4482218677158434</x:v>
      </x:c>
    </x:row>
    <x:row r="157" ht="18" customHeight="1">
      <x:c r="A157" s="24" t="str">
        <x:v>EEZ_277</x:v>
      </x:c>
      <x:c r="B157" s="24" t="str">
        <x:v>Germany (North Sea)</x:v>
      </x:c>
      <x:c r="C157" s="24" t="str">
        <x:v>EEZ</x:v>
      </x:c>
      <x:c r="D157" s="30" t="n">
        <x:v>2019</x:v>
      </x:c>
      <x:c r="E157" s="24" t="str">
        <x:v>Pleuronectiformes</x:v>
      </x:c>
      <x:c r="F157" s="24" t="str">
        <x:v>Flatfishes</x:v>
      </x:c>
      <x:c r="G157" s="24" t="str">
        <x:v>Small to medium flatfishes (&lt;90 cm)</x:v>
      </x:c>
      <x:c r="H157" s="24" t="str">
        <x:v>Flatfishes</x:v>
      </x:c>
      <x:c r="I157" s="31" t="n">
        <x:v>0.0034920065</x:v>
      </x:c>
      <x:c r="J157" s="31" t="n">
        <x:v>0.0034920065</x:v>
      </x:c>
      <x:c r="K157" s="31" t="n">
        <x:v>0</x:v>
      </x:c>
      <x:c r="L157" s="31" t="n">
        <x:v>0.0034920065</x:v>
      </x:c>
      <x:c r="M157" s="31" t="n">
        <x:v>0</x:v>
      </x:c>
      <x:c r="N157" s="24" t="str">
        <x:v>pleuronectiformes</x:v>
      </x:c>
      <x:c r="O157" s="32" t="n">
        <x:v>3.57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Pleuronectiformes</x:v>
      </x:c>
      <x:c r="T157" s="32" t="n">
        <x:f>IF(O157="","",(1/'Metadata'!$B$5)^(O157-1))</x:f>
        <x:v>371.5352290971724</x:v>
      </x:c>
      <x:c r="U157" s="31" t="n">
        <x:f>IF(T157="","",I157*T157)</x:f>
        <x:v>1.2974034349863153</x:v>
      </x:c>
    </x:row>
    <x:row r="158" ht="18" customHeight="1">
      <x:c r="A158" s="24" t="str">
        <x:v>EEZ_277</x:v>
      </x:c>
      <x:c r="B158" s="24" t="str">
        <x:v>Germany (North Sea)</x:v>
      </x:c>
      <x:c r="C158" s="24" t="str">
        <x:v>EEZ</x:v>
      </x:c>
      <x:c r="D158" s="30" t="n">
        <x:v>2019</x:v>
      </x:c>
      <x:c r="E158" s="24" t="str">
        <x:v>Alosa</x:v>
      </x:c>
      <x:c r="F158" s="24" t="str">
        <x:v>Shads</x:v>
      </x:c>
      <x:c r="G158" s="24" t="str">
        <x:v>Medium pelagics (30 - 89 cm)</x:v>
      </x:c>
      <x:c r="H158" s="24" t="str">
        <x:v>Herring-likes</x:v>
      </x:c>
      <x:c r="I158" s="31" t="n">
        <x:v>0.0032155064</x:v>
      </x:c>
      <x:c r="J158" s="31" t="n">
        <x:v>0.0032155064</x:v>
      </x:c>
      <x:c r="K158" s="31" t="n">
        <x:v>0</x:v>
      </x:c>
      <x:c r="L158" s="31" t="n">
        <x:v>0.0032155064</x:v>
      </x:c>
      <x:c r="M158" s="31" t="n">
        <x:v>0</x:v>
      </x:c>
      <x:c r="N158" s="24" t="str">
        <x:v>alosa</x:v>
      </x:c>
      <x:c r="O158" s="32" t="n">
        <x:v>3.89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Alosa</x:v>
      </x:c>
      <x:c r="T158" s="32" t="n">
        <x:f>IF(O158="","",(1/'Metadata'!$B$5)^(O158-1))</x:f>
        <x:v>776.247116628692</x:v>
      </x:c>
      <x:c r="U158" s="31" t="n">
        <x:f>IF(T158="","",I158*T158)</x:f>
        <x:v>2.4960275715011053</x:v>
      </x:c>
    </x:row>
    <x:row r="159" ht="18" customHeight="1">
      <x:c r="A159" s="24" t="str">
        <x:v>EEZ_277</x:v>
      </x:c>
      <x:c r="B159" s="24" t="str">
        <x:v>Germany (North Sea)</x:v>
      </x:c>
      <x:c r="C159" s="24" t="str">
        <x:v>EEZ</x:v>
      </x:c>
      <x:c r="D159" s="30" t="n">
        <x:v>2019</x:v>
      </x:c>
      <x:c r="E159" s="24" t="str">
        <x:v>Dasyatis pastinaca</x:v>
      </x:c>
      <x:c r="F159" s="24" t="str">
        <x:v>Common stingray</x:v>
      </x:c>
      <x:c r="G159" s="24" t="str">
        <x:v>Large rays (&gt;=90 cm)</x:v>
      </x:c>
      <x:c r="H159" s="24" t="str">
        <x:v>Sharks &amp; rays</x:v>
      </x:c>
      <x:c r="I159" s="31" t="n">
        <x:v>0.0031968445</x:v>
      </x:c>
      <x:c r="J159" s="31" t="n">
        <x:v>0.0031968445</x:v>
      </x:c>
      <x:c r="K159" s="31" t="n">
        <x:v>0</x:v>
      </x:c>
      <x:c r="L159" s="31" t="n">
        <x:v>0.0031968445</x:v>
      </x:c>
      <x:c r="M159" s="31" t="n">
        <x:v>0</x:v>
      </x:c>
      <x:c r="N159" s="24" t="str">
        <x:v>dasyatis pastinaca</x:v>
      </x:c>
      <x:c r="O159" s="32" t="n">
        <x:v>4.05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Dasyatis pastinaca</x:v>
      </x:c>
      <x:c r="T159" s="32" t="n">
        <x:f>IF(O159="","",(1/'Metadata'!$B$5)^(O159-1))</x:f>
        <x:v>1122.018454301963</x:v>
      </x:c>
      <x:c r="U159" s="31" t="n">
        <x:f>IF(T159="","",I159*T159)</x:f>
        <x:v>3.586918524533732</x:v>
      </x:c>
    </x:row>
    <x:row r="160" ht="18" customHeight="1">
      <x:c r="A160" s="24" t="str">
        <x:v>EEZ_277</x:v>
      </x:c>
      <x:c r="B160" s="24" t="str">
        <x:v>Germany (North Sea)</x:v>
      </x:c>
      <x:c r="C160" s="24" t="str">
        <x:v>EEZ</x:v>
      </x:c>
      <x:c r="D160" s="30" t="n">
        <x:v>2019</x:v>
      </x:c>
      <x:c r="E160" s="24" t="str">
        <x:v>Palinurus</x:v>
      </x:c>
      <x:c r="F160" s="24" t="str">
        <x:v>Spiny lobsters</x:v>
      </x:c>
      <x:c r="G160" s="24" t="str">
        <x:v>Lobsters, crabs</x:v>
      </x:c>
      <x:c r="H160" s="24" t="str">
        <x:v>Crustaceans</x:v>
      </x:c>
      <x:c r="I160" s="31" t="n">
        <x:v>0.0031585777</x:v>
      </x:c>
      <x:c r="J160" s="31" t="n">
        <x:v>0.0031585777</x:v>
      </x:c>
      <x:c r="K160" s="31" t="n">
        <x:v>0</x:v>
      </x:c>
      <x:c r="L160" s="31" t="n">
        <x:v>0.0031585777</x:v>
      </x:c>
      <x:c r="M160" s="31" t="n">
        <x:v>0</x:v>
      </x:c>
      <x:c r="N160" s="24" t="str">
        <x:v>palinurus</x:v>
      </x:c>
      <x:c r="O160" s="32" t="n">
        <x:v>2.7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Palinurus</x:v>
      </x:c>
      <x:c r="T160" s="32" t="n">
        <x:f>IF(O160="","",(1/'Metadata'!$B$5)^(O160-1))</x:f>
        <x:v>50.11872336272725</x:v>
      </x:c>
      <x:c r="U160" s="31" t="n">
        <x:f>IF(T160="","",I160*T160)</x:f>
        <x:v>0.1583038819659793</x:v>
      </x:c>
    </x:row>
    <x:row r="161" ht="18" customHeight="1">
      <x:c r="A161" s="24" t="str">
        <x:v>EEZ_277</x:v>
      </x:c>
      <x:c r="B161" s="24" t="str">
        <x:v>Germany (North Sea)</x:v>
      </x:c>
      <x:c r="C161" s="24" t="str">
        <x:v>EEZ</x:v>
      </x:c>
      <x:c r="D161" s="30" t="n">
        <x:v>2019</x:v>
      </x:c>
      <x:c r="E161" s="24" t="str">
        <x:v>Scorpaeniformes</x:v>
      </x:c>
      <x:c r="F161" s="24" t="str">
        <x:v>Scorpionfishes, flatheads</x:v>
      </x:c>
      <x:c r="G161" s="24" t="str">
        <x:v>Medium demersals (30 - 89 cm)</x:v>
      </x:c>
      <x:c r="H161" s="24" t="str">
        <x:v>Scorpionfishes</x:v>
      </x:c>
      <x:c r="I161" s="31" t="n">
        <x:v>0.0023165243</x:v>
      </x:c>
      <x:c r="J161" s="31" t="n">
        <x:v>0</x:v>
      </x:c>
      <x:c r="K161" s="31" t="n">
        <x:v>0.0023165243</x:v>
      </x:c>
      <x:c r="L161" s="31" t="n">
        <x:v>0</x:v>
      </x:c>
      <x:c r="M161" s="31" t="n">
        <x:v>0.0023165243</x:v>
      </x:c>
      <x:c r="N161" s="24" t="str">
        <x:v>scorpaeniformes</x:v>
      </x:c>
      <x:c r="O161" s="32" t="n">
        <x:v>3.78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Scorpaeniformes</x:v>
      </x:c>
      <x:c r="T161" s="32" t="n">
        <x:f>IF(O161="","",(1/'Metadata'!$B$5)^(O161-1))</x:f>
        <x:v>602.5595860743575</x:v>
      </x:c>
      <x:c r="U161" s="31" t="n">
        <x:f>IF(T161="","",I161*T161)</x:f>
        <x:v>1.3958439233391908</x:v>
      </x:c>
    </x:row>
    <x:row r="162" ht="18" customHeight="1">
      <x:c r="A162" s="24" t="str">
        <x:v>EEZ_277</x:v>
      </x:c>
      <x:c r="B162" s="24" t="str">
        <x:v>Germany (North Sea)</x:v>
      </x:c>
      <x:c r="C162" s="24" t="str">
        <x:v>EEZ</x:v>
      </x:c>
      <x:c r="D162" s="30" t="n">
        <x:v>2019</x:v>
      </x:c>
      <x:c r="E162" s="24" t="str">
        <x:v>Trachinidae</x:v>
      </x:c>
      <x:c r="F162" s="24" t="str">
        <x:v>Weeverfishes</x:v>
      </x:c>
      <x:c r="G162" s="24" t="str">
        <x:v>Medium demersals (30 - 89 cm)</x:v>
      </x:c>
      <x:c r="H162" s="24" t="str">
        <x:v>Perch-likes</x:v>
      </x:c>
      <x:c r="I162" s="31" t="n">
        <x:v>0.0016604851</x:v>
      </x:c>
      <x:c r="J162" s="31" t="n">
        <x:v>0.0016604851</x:v>
      </x:c>
      <x:c r="K162" s="31" t="n">
        <x:v>0</x:v>
      </x:c>
      <x:c r="L162" s="31" t="n">
        <x:v>0.0016604851</x:v>
      </x:c>
      <x:c r="M162" s="31" t="n">
        <x:v>0</x:v>
      </x:c>
      <x:c r="N162" s="24" t="str">
        <x:v>trachinidae</x:v>
      </x:c>
      <x:c r="O162" s="32" t="n">
        <x:v>3.95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Trachinidae</x:v>
      </x:c>
      <x:c r="T162" s="32" t="n">
        <x:f>IF(O162="","",(1/'Metadata'!$B$5)^(O162-1))</x:f>
        <x:v>891.2509381337459</x:v>
      </x:c>
      <x:c r="U162" s="31" t="n">
        <x:f>IF(T162="","",I162*T162)</x:f>
        <x:v>1.4799089031321069</x:v>
      </x:c>
    </x:row>
    <x:row r="163" ht="18" customHeight="1">
      <x:c r="A163" s="24" t="str">
        <x:v>EEZ_277</x:v>
      </x:c>
      <x:c r="B163" s="24" t="str">
        <x:v>Germany (North Sea)</x:v>
      </x:c>
      <x:c r="C163" s="24" t="str">
        <x:v>EEZ</x:v>
      </x:c>
      <x:c r="D163" s="30" t="n">
        <x:v>2019</x:v>
      </x:c>
      <x:c r="E163" s="24" t="str">
        <x:v>Mullus barbatus</x:v>
      </x:c>
      <x:c r="F163" s="24" t="str">
        <x:v>Red mullet</x:v>
      </x:c>
      <x:c r="G163" s="24" t="str">
        <x:v>Medium demersals (30 - 89 cm)</x:v>
      </x:c>
      <x:c r="H163" s="24" t="str">
        <x:v>Perch-likes</x:v>
      </x:c>
      <x:c r="I163" s="31" t="n">
        <x:v>0.0015344292</x:v>
      </x:c>
      <x:c r="J163" s="31" t="n">
        <x:v>0.0015344292</x:v>
      </x:c>
      <x:c r="K163" s="31" t="n">
        <x:v>0</x:v>
      </x:c>
      <x:c r="L163" s="31" t="n">
        <x:v>0.0015344292</x:v>
      </x:c>
      <x:c r="M163" s="31" t="n">
        <x:v>0</x:v>
      </x:c>
      <x:c r="N163" s="24" t="str">
        <x:v>mullus barbatus</x:v>
      </x:c>
      <x:c r="O163" s="32" t="n">
        <x:v>3.14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Mullus barbatus</x:v>
      </x:c>
      <x:c r="T163" s="32" t="n">
        <x:f>IF(O163="","",(1/'Metadata'!$B$5)^(O163-1))</x:f>
        <x:v>138.03842646028852</x:v>
      </x:c>
      <x:c r="U163" s="31" t="n">
        <x:f>IF(T163="","",I163*T163)</x:f>
        <x:v>0.21181019228271936</x:v>
      </x:c>
    </x:row>
    <x:row r="164" ht="18" customHeight="1">
      <x:c r="A164" s="24" t="str">
        <x:v>EEZ_277</x:v>
      </x:c>
      <x:c r="B164" s="24" t="str">
        <x:v>Germany (North Sea)</x:v>
      </x:c>
      <x:c r="C164" s="24" t="str">
        <x:v>EEZ</x:v>
      </x:c>
      <x:c r="D164" s="30" t="n">
        <x:v>2019</x:v>
      </x:c>
      <x:c r="E164" s="24" t="str">
        <x:v>Centrolophus niger</x:v>
      </x:c>
      <x:c r="F164" s="24" t="str">
        <x:v>Rudderfish</x:v>
      </x:c>
      <x:c r="G164" s="24" t="str">
        <x:v>Large bathypelagics (&gt;=90 cm)</x:v>
      </x:c>
      <x:c r="H164" s="24" t="str">
        <x:v>Perch-likes</x:v>
      </x:c>
      <x:c r="I164" s="31" t="n">
        <x:v>0.0006411651</x:v>
      </x:c>
      <x:c r="J164" s="31" t="n">
        <x:v>0.0006411651</x:v>
      </x:c>
      <x:c r="K164" s="31" t="n">
        <x:v>0</x:v>
      </x:c>
      <x:c r="L164" s="31" t="n">
        <x:v>0.0006411651</x:v>
      </x:c>
      <x:c r="M164" s="31" t="n">
        <x:v>0</x:v>
      </x:c>
      <x:c r="N164" s="24" t="str">
        <x:v>centrolophus niger</x:v>
      </x:c>
      <x:c r="O164" s="32" t="n">
        <x:v>3.92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Centrolophus niger</x:v>
      </x:c>
      <x:c r="T164" s="32" t="n">
        <x:f>IF(O164="","",(1/'Metadata'!$B$5)^(O164-1))</x:f>
        <x:v>831.7637711026708</x:v>
      </x:c>
      <x:c r="U164" s="31" t="n">
        <x:f>IF(T164="","",I164*T164)</x:f>
        <x:v>0.533297901475421</x:v>
      </x:c>
    </x:row>
    <x:row r="165" ht="18" customHeight="1">
      <x:c r="A165" s="24" t="str">
        <x:v>EEZ_277</x:v>
      </x:c>
      <x:c r="B165" s="24" t="str">
        <x:v>Germany (North Sea)</x:v>
      </x:c>
      <x:c r="C165" s="24" t="str">
        <x:v>EEZ</x:v>
      </x:c>
      <x:c r="D165" s="30" t="n">
        <x:v>2019</x:v>
      </x:c>
      <x:c r="E165" s="24" t="str">
        <x:v>Alosa alosa</x:v>
      </x:c>
      <x:c r="F165" s="24" t="str">
        <x:v>Allis shad</x:v>
      </x:c>
      <x:c r="G165" s="24" t="str">
        <x:v>Medium pelagics (30 - 89 cm)</x:v>
      </x:c>
      <x:c r="H165" s="24" t="str">
        <x:v>Herring-likes</x:v>
      </x:c>
      <x:c r="I165" s="31" t="n">
        <x:v>0.0005836764</x:v>
      </x:c>
      <x:c r="J165" s="31" t="n">
        <x:v>0.0005836764</x:v>
      </x:c>
      <x:c r="K165" s="31" t="n">
        <x:v>0</x:v>
      </x:c>
      <x:c r="L165" s="31" t="n">
        <x:v>0.0005836764</x:v>
      </x:c>
      <x:c r="M165" s="31" t="n">
        <x:v>0</x:v>
      </x:c>
      <x:c r="N165" s="24" t="str">
        <x:v>alosa alosa</x:v>
      </x:c>
      <x:c r="O165" s="32" t="n">
        <x:v>2.95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Alosa alosa</x:v>
      </x:c>
      <x:c r="T165" s="32" t="n">
        <x:f>IF(O165="","",(1/'Metadata'!$B$5)^(O165-1))</x:f>
        <x:v>89.12509381337459</x:v>
      </x:c>
      <x:c r="U165" s="31" t="n">
        <x:f>IF(T165="","",I165*T165)</x:f>
        <x:v>0.052020213906652756</x:v>
      </x:c>
    </x:row>
    <x:row r="166" ht="18" customHeight="1">
      <x:c r="A166" s="24" t="str">
        <x:v>EEZ_277</x:v>
      </x:c>
      <x:c r="B166" s="24" t="str">
        <x:v>Germany (North Sea)</x:v>
      </x:c>
      <x:c r="C166" s="24" t="str">
        <x:v>EEZ</x:v>
      </x:c>
      <x:c r="D166" s="30" t="n">
        <x:v>2019</x:v>
      </x:c>
      <x:c r="E166" s="24" t="str">
        <x:v>Argentina</x:v>
      </x:c>
      <x:c r="F166" s="24" t="str">
        <x:v>Argentines</x:v>
      </x:c>
      <x:c r="G166" s="24" t="str">
        <x:v>Medium bathydemersals (30 - 89 cm)</x:v>
      </x:c>
      <x:c r="H166" s="24" t="str">
        <x:v>Salmon, smelts, etc</x:v>
      </x:c>
      <x:c r="I166" s="31" t="n">
        <x:v>0.000428103</x:v>
      </x:c>
      <x:c r="J166" s="31" t="n">
        <x:v>0</x:v>
      </x:c>
      <x:c r="K166" s="31" t="n">
        <x:v>0.000428103</x:v>
      </x:c>
      <x:c r="L166" s="31" t="n">
        <x:v>0</x:v>
      </x:c>
      <x:c r="M166" s="31" t="n">
        <x:v>0.000428103</x:v>
      </x:c>
      <x:c r="N166" s="24" t="str">
        <x:v>argentina</x:v>
      </x:c>
      <x:c r="O166" s="32" t="n">
        <x:v>3.35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Argentina</x:v>
      </x:c>
      <x:c r="T166" s="32" t="n">
        <x:f>IF(O166="","",(1/'Metadata'!$B$5)^(O166-1))</x:f>
        <x:v>223.872113856834</x:v>
      </x:c>
      <x:c r="U166" s="31" t="n">
        <x:f>IF(T166="","",I166*T166)</x:f>
        <x:v>0.0958403235584522</x:v>
      </x:c>
    </x:row>
    <x:row r="167" ht="18" customHeight="1">
      <x:c r="A167" s="24" t="str">
        <x:v>EEZ_277</x:v>
      </x:c>
      <x:c r="B167" s="24" t="str">
        <x:v>Germany (North Sea)</x:v>
      </x:c>
      <x:c r="C167" s="24" t="str">
        <x:v>EEZ</x:v>
      </x:c>
      <x:c r="D167" s="30" t="n">
        <x:v>2019</x:v>
      </x:c>
      <x:c r="E167" s="24" t="str">
        <x:v>Salmo salar</x:v>
      </x:c>
      <x:c r="F167" s="24" t="str">
        <x:v>Atlantic salmon</x:v>
      </x:c>
      <x:c r="G167" s="24" t="str">
        <x:v>Large benthopelagics (&gt;=90 cm)</x:v>
      </x:c>
      <x:c r="H167" s="24" t="str">
        <x:v>Salmon, smelts, etc</x:v>
      </x:c>
      <x:c r="I167" s="31" t="n">
        <x:v>0.000393086</x:v>
      </x:c>
      <x:c r="J167" s="31" t="n">
        <x:v>0.000393086</x:v>
      </x:c>
      <x:c r="K167" s="31" t="n">
        <x:v>0</x:v>
      </x:c>
      <x:c r="L167" s="31" t="n">
        <x:v>0.000393086</x:v>
      </x:c>
      <x:c r="M167" s="31" t="n">
        <x:v>0</x:v>
      </x:c>
      <x:c r="N167" s="24" t="str">
        <x:v>salmo salar</x:v>
      </x:c>
      <x:c r="O167" s="32" t="n">
        <x:v>4.5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Salmo salar</x:v>
      </x:c>
      <x:c r="T167" s="32" t="n">
        <x:f>IF(O167="","",(1/'Metadata'!$B$5)^(O167-1))</x:f>
        <x:v>3162.2776601683795</x:v>
      </x:c>
      <x:c r="U167" s="31" t="n">
        <x:f>IF(T167="","",I167*T167)</x:f>
        <x:v>1.2430470763249477</x:v>
      </x:c>
    </x:row>
    <x:row r="168" ht="18" customHeight="1">
      <x:c r="A168" s="24" t="str">
        <x:v>EEZ_277</x:v>
      </x:c>
      <x:c r="B168" s="24" t="str">
        <x:v>Germany (North Sea)</x:v>
      </x:c>
      <x:c r="C168" s="24" t="str">
        <x:v>EEZ</x:v>
      </x:c>
      <x:c r="D168" s="30" t="n">
        <x:v>2019</x:v>
      </x:c>
      <x:c r="E168" s="24" t="str">
        <x:v>Pagellus bogaraveo</x:v>
      </x:c>
      <x:c r="F168" s="24" t="str">
        <x:v>Blackspot seabream</x:v>
      </x:c>
      <x:c r="G168" s="24" t="str">
        <x:v>Medium benthopelagics (30 - 89 cm)</x:v>
      </x:c>
      <x:c r="H168" s="24" t="str">
        <x:v>Perch-likes</x:v>
      </x:c>
      <x:c r="I168" s="31" t="n">
        <x:v>0.0001694808</x:v>
      </x:c>
      <x:c r="J168" s="31" t="n">
        <x:v>0.0001694808</x:v>
      </x:c>
      <x:c r="K168" s="31" t="n">
        <x:v>0</x:v>
      </x:c>
      <x:c r="L168" s="31" t="n">
        <x:v>0.0001694808</x:v>
      </x:c>
      <x:c r="M168" s="31" t="n">
        <x:v>0</x:v>
      </x:c>
      <x:c r="N168" s="24" t="str">
        <x:v>pagellus bogaraveo</x:v>
      </x:c>
      <x:c r="O168" s="32" t="n">
        <x:v>4.21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Pagellus bogaraveo</x:v>
      </x:c>
      <x:c r="T168" s="32" t="n">
        <x:f>IF(O168="","",(1/'Metadata'!$B$5)^(O168-1))</x:f>
        <x:v>1621.8100973589299</x:v>
      </x:c>
      <x:c r="U168" s="31" t="n">
        <x:f>IF(T168="","",I168*T168)</x:f>
        <x:v>0.27486567274846935</x:v>
      </x:c>
    </x:row>
    <x:row r="169" ht="18" customHeight="1">
      <x:c r="A169" s="24" t="str">
        <x:v>EEZ_277</x:v>
      </x:c>
      <x:c r="B169" s="24" t="str">
        <x:v>Germany (North Sea)</x:v>
      </x:c>
      <x:c r="C169" s="24" t="str">
        <x:v>EEZ</x:v>
      </x:c>
      <x:c r="D169" s="30" t="n">
        <x:v>2019</x:v>
      </x:c>
      <x:c r="E169" s="24" t="str">
        <x:v>Scardinius erythrophthalmus</x:v>
      </x:c>
      <x:c r="F169" s="24" t="str">
        <x:v>Rudd</x:v>
      </x:c>
      <x:c r="G169" s="24" t="str">
        <x:v>Medium benthopelagics (30 - 89 cm)</x:v>
      </x:c>
      <x:c r="H169" s="24" t="str">
        <x:v>Other fishes &amp; inverts</x:v>
      </x:c>
      <x:c r="I169" s="31" t="n">
        <x:v>0.000136704</x:v>
      </x:c>
      <x:c r="J169" s="31" t="n">
        <x:v>0.000136704</x:v>
      </x:c>
      <x:c r="K169" s="31" t="n">
        <x:v>0</x:v>
      </x:c>
      <x:c r="L169" s="31" t="n">
        <x:v>0.000136704</x:v>
      </x:c>
      <x:c r="M169" s="31" t="n">
        <x:v>0</x:v>
      </x:c>
      <x:c r="N169" s="24" t="str">
        <x:v>scardinius erythrophthalmus</x:v>
      </x:c>
      <x:c r="O169" s="32" t="n">
        <x:v>2.89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Scardinius erythrophthalmus</x:v>
      </x:c>
      <x:c r="T169" s="32" t="n">
        <x:f>IF(O169="","",(1/'Metadata'!$B$5)^(O169-1))</x:f>
        <x:v>77.6247116628692</x:v>
      </x:c>
      <x:c r="U169" s="31" t="n">
        <x:f>IF(T169="","",I169*T169)</x:f>
        <x:v>0.010611608583160872</x:v>
      </x:c>
    </x:row>
    <x:row r="170" ht="18" customHeight="1">
      <x:c r="A170" s="24" t="str">
        <x:v>EEZ_277</x:v>
      </x:c>
      <x:c r="B170" s="24" t="str">
        <x:v>Germany (North Sea)</x:v>
      </x:c>
      <x:c r="C170" s="24" t="str">
        <x:v>EEZ</x:v>
      </x:c>
      <x:c r="D170" s="30" t="n">
        <x:v>2019</x:v>
      </x:c>
      <x:c r="E170" s="24" t="str">
        <x:v>Lamna nasus</x:v>
      </x:c>
      <x:c r="F170" s="24" t="str">
        <x:v>Porbeagle</x:v>
      </x:c>
      <x:c r="G170" s="24" t="str">
        <x:v>Large sharks (&gt;=90 cm)</x:v>
      </x:c>
      <x:c r="H170" s="24" t="str">
        <x:v>Sharks &amp; rays</x:v>
      </x:c>
      <x:c r="I170" s="31" t="n">
        <x:v>0.0001122021</x:v>
      </x:c>
      <x:c r="J170" s="31" t="n">
        <x:v>0.0001122021</x:v>
      </x:c>
      <x:c r="K170" s="31" t="n">
        <x:v>0</x:v>
      </x:c>
      <x:c r="L170" s="31" t="n">
        <x:v>0.0001122021</x:v>
      </x:c>
      <x:c r="M170" s="31" t="n">
        <x:v>0</x:v>
      </x:c>
      <x:c r="N170" s="24" t="str">
        <x:v>lamna nasus</x:v>
      </x:c>
      <x:c r="O170" s="32" t="n">
        <x:v>4.57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Lamna nasus</x:v>
      </x:c>
      <x:c r="T170" s="32" t="n">
        <x:f>IF(O170="","",(1/'Metadata'!$B$5)^(O170-1))</x:f>
        <x:v>3715.3522909717276</x:v>
      </x:c>
      <x:c r="U170" s="31" t="n">
        <x:f>IF(T170="","",I170*T170)</x:f>
        <x:v>0.41687032928683887</x:v>
      </x:c>
    </x:row>
    <x:row r="171" ht="18" customHeight="1">
      <x:c r="A171" s="24" t="str">
        <x:v>EEZ_277</x:v>
      </x:c>
      <x:c r="B171" s="24" t="str">
        <x:v>Germany (North Sea)</x:v>
      </x:c>
      <x:c r="C171" s="24" t="str">
        <x:v>EEZ</x:v>
      </x:c>
      <x:c r="D171" s="30" t="n">
        <x:v>2019</x:v>
      </x:c>
      <x:c r="E171" s="24" t="str">
        <x:v>Cyprinidae</x:v>
      </x:c>
      <x:c r="F171" s="24" t="str">
        <x:v>Carps, barbels, other cyprinids</x:v>
      </x:c>
      <x:c r="G171" s="24" t="str">
        <x:v>Medium demersals (30 - 89 cm)</x:v>
      </x:c>
      <x:c r="H171" s="24" t="str">
        <x:v>Other fishes &amp; inverts</x:v>
      </x:c>
      <x:c r="I171" s="31" t="n">
        <x:v>0.0001040552</x:v>
      </x:c>
      <x:c r="J171" s="31" t="n">
        <x:v>0.0001040552</x:v>
      </x:c>
      <x:c r="K171" s="31" t="n">
        <x:v>0</x:v>
      </x:c>
      <x:c r="L171" s="31" t="n">
        <x:v>0.0001040552</x:v>
      </x:c>
      <x:c r="M171" s="31" t="n">
        <x:v>0</x:v>
      </x:c>
      <x:c r="N171" s="24" t="str">
        <x:v>cyprinidae</x:v>
      </x:c>
      <x:c r="O171" s="32" t="n">
        <x:v>2.8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Cyprinidae</x:v>
      </x:c>
      <x:c r="T171" s="32" t="n">
        <x:f>IF(O171="","",(1/'Metadata'!$B$5)^(O171-1))</x:f>
        <x:v>63.0957344480193</x:v>
      </x:c>
      <x:c r="U171" s="31" t="n">
        <x:f>IF(T171="","",I171*T171)</x:f>
        <x:v>0.006565439267135539</x:v>
      </x:c>
    </x:row>
    <x:row r="172" ht="18" customHeight="1">
      <x:c r="A172" s="24" t="str">
        <x:v>EEZ_277</x:v>
      </x:c>
      <x:c r="B172" s="24" t="str">
        <x:v>Germany (North Sea)</x:v>
      </x:c>
      <x:c r="C172" s="24" t="str">
        <x:v>EEZ</x:v>
      </x:c>
      <x:c r="D172" s="30" t="n">
        <x:v>2019</x:v>
      </x:c>
      <x:c r="E172" s="24" t="str">
        <x:v>Mugil cephalus</x:v>
      </x:c>
      <x:c r="F172" s="24" t="str">
        <x:v>Flathead grey mullet</x:v>
      </x:c>
      <x:c r="G172" s="24" t="str">
        <x:v>Large benthopelagics (&gt;=90 cm)</x:v>
      </x:c>
      <x:c r="H172" s="24" t="str">
        <x:v>Perch-likes</x:v>
      </x:c>
      <x:c r="I172" s="31" t="n">
        <x:v>0.0000246833</x:v>
      </x:c>
      <x:c r="J172" s="31" t="n">
        <x:v>0.0000246833</x:v>
      </x:c>
      <x:c r="K172" s="31" t="n">
        <x:v>0</x:v>
      </x:c>
      <x:c r="L172" s="31" t="n">
        <x:v>0.0000246833</x:v>
      </x:c>
      <x:c r="M172" s="31" t="n">
        <x:v>0</x:v>
      </x:c>
      <x:c r="N172" s="24" t="str">
        <x:v>mugil cephalus</x:v>
      </x:c>
      <x:c r="O172" s="32" t="n">
        <x:v>2.14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Mugil cephalus</x:v>
      </x:c>
      <x:c r="T172" s="32" t="n">
        <x:f>IF(O172="","",(1/'Metadata'!$B$5)^(O172-1))</x:f>
        <x:v>13.803842646028853</x:v>
      </x:c>
      <x:c r="U172" s="31" t="n">
        <x:f>IF(T172="","",I172*T172)</x:f>
        <x:v>0.000340724389184724</x:v>
      </x:c>
    </x:row>
    <x:row r="173" ht="18" customHeight="1">
      <x:c r="A173" s="24" t="str">
        <x:v>EEZ_277</x:v>
      </x:c>
      <x:c r="B173" s="24" t="str">
        <x:v>Germany (North Sea)</x:v>
      </x:c>
      <x:c r="C173" s="24" t="str">
        <x:v>EEZ</x:v>
      </x:c>
      <x:c r="D173" s="30" t="n">
        <x:v>2019</x:v>
      </x:c>
      <x:c r="E173" s="24" t="str">
        <x:v>Echinoidea</x:v>
      </x:c>
      <x:c r="F173" s="24" t="str">
        <x:v>Sea urchins, sea hedgehogs</x:v>
      </x:c>
      <x:c r="G173" s="24" t="str">
        <x:v>Other demersal invertebrates</x:v>
      </x:c>
      <x:c r="H173" s="24" t="str">
        <x:v>Other fishes &amp; inverts</x:v>
      </x:c>
      <x:c r="I173" s="31" t="n">
        <x:v>0.000021301500000000003</x:v>
      </x:c>
      <x:c r="J173" s="31" t="n">
        <x:v>0.000021301500000000003</x:v>
      </x:c>
      <x:c r="K173" s="31" t="n">
        <x:v>0</x:v>
      </x:c>
      <x:c r="L173" s="31" t="n">
        <x:v>0.000021301500000000003</x:v>
      </x:c>
      <x:c r="M173" s="31" t="n">
        <x:v>0</x:v>
      </x:c>
      <x:c r="N173" s="24" t="str">
        <x:v>echinoidea</x:v>
      </x:c>
      <x:c r="O173" s="32" t="n">
        <x:v>2.51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Echinoidea</x:v>
      </x:c>
      <x:c r="T173" s="32" t="n">
        <x:f>IF(O173="","",(1/'Metadata'!$B$5)^(O173-1))</x:f>
        <x:v>32.35936569296281</x:v>
      </x:c>
      <x:c r="U173" s="31" t="n">
        <x:f>IF(T173="","",I173*T173)</x:f>
        <x:v>0.0006893030283086474</x:v>
      </x:c>
    </x:row>
    <x:row r="174" ht="18" customHeight="1">
      <x:c r="A174" s="24" t="str">
        <x:v>EEZ_277</x:v>
      </x:c>
      <x:c r="B174" s="24" t="str">
        <x:v>Germany (North Sea)</x:v>
      </x:c>
      <x:c r="C174" s="24" t="str">
        <x:v>EEZ</x:v>
      </x:c>
      <x:c r="D174" s="30" t="n">
        <x:v>2019</x:v>
      </x:c>
      <x:c r="E174" s="24" t="str">
        <x:v>Aequipecten opercularis</x:v>
      </x:c>
      <x:c r="F174" s="24" t="str">
        <x:v>Queen scallop</x:v>
      </x:c>
      <x:c r="G174" s="24" t="str">
        <x:v>Other demersal invertebrates</x:v>
      </x:c>
      <x:c r="H174" s="24" t="str">
        <x:v>Molluscs</x:v>
      </x:c>
      <x:c r="I174" s="31" t="n">
        <x:v>0.0000170647</x:v>
      </x:c>
      <x:c r="J174" s="31" t="n">
        <x:v>0.0000170647</x:v>
      </x:c>
      <x:c r="K174" s="31" t="n">
        <x:v>0</x:v>
      </x:c>
      <x:c r="L174" s="31" t="n">
        <x:v>0.0000170647</x:v>
      </x:c>
      <x:c r="M174" s="31" t="n">
        <x:v>0</x:v>
      </x:c>
      <x:c r="N174" s="24" t="str">
        <x:v>aequipecten opercularis</x:v>
      </x:c>
      <x:c r="O174" s="32" t="n">
        <x:v>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Aequipecten opercularis</x:v>
      </x:c>
      <x:c r="T174" s="32" t="n">
        <x:f>IF(O174="","",(1/'Metadata'!$B$5)^(O174-1))</x:f>
        <x:v>10</x:v>
      </x:c>
      <x:c r="U174" s="31" t="n">
        <x:f>IF(T174="","",I174*T174)</x:f>
        <x:v>0.000170647</x:v>
      </x:c>
    </x:row>
    <x:row r="175" ht="18" customHeight="1">
      <x:c r="A175" s="24" t="str">
        <x:v>EEZ_277</x:v>
      </x:c>
      <x:c r="B175" s="24" t="str">
        <x:v>Germany (North Sea)</x:v>
      </x:c>
      <x:c r="C175" s="24" t="str">
        <x:v>EEZ</x:v>
      </x:c>
      <x:c r="D175" s="30" t="n">
        <x:v>2019</x:v>
      </x:c>
      <x:c r="E175" s="24" t="str">
        <x:v>Solen</x:v>
      </x:c>
      <x:c r="F175" s="24" t="str">
        <x:v>Razor clams</x:v>
      </x:c>
      <x:c r="G175" s="24" t="str">
        <x:v>Other demersal invertebrates</x:v>
      </x:c>
      <x:c r="H175" s="24" t="str">
        <x:v>Molluscs</x:v>
      </x:c>
      <x:c r="I175" s="31" t="n">
        <x:v>0.000016297900000000002</x:v>
      </x:c>
      <x:c r="J175" s="31" t="n">
        <x:v>0.000016297900000000002</x:v>
      </x:c>
      <x:c r="K175" s="31" t="n">
        <x:v>0</x:v>
      </x:c>
      <x:c r="L175" s="31" t="n">
        <x:v>0.000016297900000000002</x:v>
      </x:c>
      <x:c r="M175" s="31" t="n">
        <x:v>0</x:v>
      </x:c>
      <x:c r="N175" s="24" t="str">
        <x:v>solen</x:v>
      </x:c>
      <x:c r="O175" s="32" t="n">
        <x:v>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Solen</x:v>
      </x:c>
      <x:c r="T175" s="32" t="n">
        <x:f>IF(O175="","",(1/'Metadata'!$B$5)^(O175-1))</x:f>
        <x:v>10</x:v>
      </x:c>
      <x:c r="U175" s="31" t="n">
        <x:f>IF(T175="","",I175*T175)</x:f>
        <x:v>0.00016297900000000003</x:v>
      </x:c>
    </x:row>
    <x:row r="176" ht="18" customHeight="1">
      <x:c r="A176" s="24" t="str">
        <x:v>EEZ_277</x:v>
      </x:c>
      <x:c r="B176" s="24" t="str">
        <x:v>Germany (North Sea)</x:v>
      </x:c>
      <x:c r="C176" s="24" t="str">
        <x:v>EEZ</x:v>
      </x:c>
      <x:c r="D176" s="30" t="n">
        <x:v>2019</x:v>
      </x:c>
      <x:c r="E176" s="24" t="str">
        <x:v>Sparus aurata</x:v>
      </x:c>
      <x:c r="F176" s="24" t="str">
        <x:v>Gilthead seabream</x:v>
      </x:c>
      <x:c r="G176" s="24" t="str">
        <x:v>Medium demersals (30 - 89 cm)</x:v>
      </x:c>
      <x:c r="H176" s="24" t="str">
        <x:v>Perch-likes</x:v>
      </x:c>
      <x:c r="I176" s="31" t="n">
        <x:v>0.00001085</x:v>
      </x:c>
      <x:c r="J176" s="31" t="n">
        <x:v>0.00001085</x:v>
      </x:c>
      <x:c r="K176" s="31" t="n">
        <x:v>0</x:v>
      </x:c>
      <x:c r="L176" s="31" t="n">
        <x:v>0.00001085</x:v>
      </x:c>
      <x:c r="M176" s="31" t="n">
        <x:v>0</x:v>
      </x:c>
      <x:c r="N176" s="24" t="str">
        <x:v>sparus aurata</x:v>
      </x:c>
      <x:c r="O176" s="32" t="n">
        <x:v>3.7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Sparus aurata</x:v>
      </x:c>
      <x:c r="T176" s="32" t="n">
        <x:f>IF(O176="","",(1/'Metadata'!$B$5)^(O176-1))</x:f>
        <x:v>501.18723362727246</x:v>
      </x:c>
      <x:c r="U176" s="31" t="n">
        <x:f>IF(T176="","",I176*T176)</x:f>
        <x:v>0.005437881484855906</x:v>
      </x:c>
    </x:row>
    <x:row r="177" ht="18" customHeight="1">
      <x:c r="A177" s="24" t="str">
        <x:v>EEZ_277</x:v>
      </x:c>
      <x:c r="B177" s="24" t="str">
        <x:v>Germany (North Sea)</x:v>
      </x:c>
      <x:c r="C177" s="24" t="str">
        <x:v>EEZ</x:v>
      </x:c>
      <x:c r="D177" s="30" t="n">
        <x:v>2019</x:v>
      </x:c>
      <x:c r="E177" s="24" t="str">
        <x:v>Sparidae</x:v>
      </x:c>
      <x:c r="F177" s="24" t="str">
        <x:v>Porgies, seabreams</x:v>
      </x:c>
      <x:c r="G177" s="24" t="str">
        <x:v>Medium benthopelagics (30 - 89 cm)</x:v>
      </x:c>
      <x:c r="H177" s="24" t="str">
        <x:v>Perch-likes</x:v>
      </x:c>
      <x:c r="I177" s="31" t="n">
        <x:v>0.0000093499</x:v>
      </x:c>
      <x:c r="J177" s="31" t="n">
        <x:v>0.0000093499</x:v>
      </x:c>
      <x:c r="K177" s="31" t="n">
        <x:v>0</x:v>
      </x:c>
      <x:c r="L177" s="31" t="n">
        <x:v>0.0000093499</x:v>
      </x:c>
      <x:c r="M177" s="31" t="n">
        <x:v>0</x:v>
      </x:c>
      <x:c r="N177" s="24" t="str">
        <x:v>sparidae</x:v>
      </x:c>
      <x:c r="O177" s="32" t="n">
        <x:v>3.31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Sparidae</x:v>
      </x:c>
      <x:c r="T177" s="32" t="n">
        <x:f>IF(O177="","",(1/'Metadata'!$B$5)^(O177-1))</x:f>
        <x:v>204.17379446695296</x:v>
      </x:c>
      <x:c r="U177" s="31" t="n">
        <x:f>IF(T177="","",I177*T177)</x:f>
        <x:v>0.0019090045608865635</x:v>
      </x:c>
    </x:row>
    <x:row r="178" ht="18" customHeight="1">
      <x:c r="A178" s="24" t="str">
        <x:v>EEZ_277</x:v>
      </x:c>
      <x:c r="B178" s="24" t="str">
        <x:v>Germany (North Sea)</x:v>
      </x:c>
      <x:c r="C178" s="24" t="str">
        <x:v>EEZ</x:v>
      </x:c>
      <x:c r="D178" s="30" t="n">
        <x:v>2019</x:v>
      </x:c>
      <x:c r="E178" s="24" t="str">
        <x:v>Mugil</x:v>
      </x:c>
      <x:c r="F178" s="24" t="str">
        <x:v>Grey mullets</x:v>
      </x:c>
      <x:c r="G178" s="24" t="str">
        <x:v>Medium demersals (30 - 89 cm)</x:v>
      </x:c>
      <x:c r="H178" s="24" t="str">
        <x:v>Perch-likes</x:v>
      </x:c>
      <x:c r="I178" s="31" t="n">
        <x:v>0.000006764</x:v>
      </x:c>
      <x:c r="J178" s="31" t="n">
        <x:v>0.000006764</x:v>
      </x:c>
      <x:c r="K178" s="31" t="n">
        <x:v>0</x:v>
      </x:c>
      <x:c r="L178" s="31" t="n">
        <x:v>0.000006764</x:v>
      </x:c>
      <x:c r="M178" s="31" t="n">
        <x:v>0</x:v>
      </x:c>
      <x:c r="N178" s="24" t="str">
        <x:v>mugil</x:v>
      </x:c>
      <x:c r="O178" s="32" t="n">
        <x:v>2.26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Mugil</x:v>
      </x:c>
      <x:c r="T178" s="32" t="n">
        <x:f>IF(O178="","",(1/'Metadata'!$B$5)^(O178-1))</x:f>
        <x:v>18.197008586099827</x:v>
      </x:c>
      <x:c r="U178" s="31" t="n">
        <x:f>IF(T178="","",I178*T178)</x:f>
        <x:v>0.00012308456607637921</x:v>
      </x:c>
    </x:row>
    <x:row r="179" ht="18" customHeight="1">
      <x:c r="A179" s="24" t="str">
        <x:v>EEZ_277</x:v>
      </x:c>
      <x:c r="B179" s="24" t="str">
        <x:v>Germany (North Sea)</x:v>
      </x:c>
      <x:c r="C179" s="24" t="str">
        <x:v>EEZ</x:v>
      </x:c>
      <x:c r="D179" s="30" t="n">
        <x:v>2019</x:v>
      </x:c>
      <x:c r="E179" s="24" t="str">
        <x:v>Palinuridae</x:v>
      </x:c>
      <x:c r="F179" s="24" t="str">
        <x:v>Spiny lobsters</x:v>
      </x:c>
      <x:c r="G179" s="24" t="str">
        <x:v>Lobsters, crabs</x:v>
      </x:c>
      <x:c r="H179" s="24" t="str">
        <x:v>Crustaceans</x:v>
      </x:c>
      <x:c r="I179" s="31" t="n">
        <x:v>0.000005815600000000001</x:v>
      </x:c>
      <x:c r="J179" s="31" t="n">
        <x:v>0.000005815600000000001</x:v>
      </x:c>
      <x:c r="K179" s="31" t="n">
        <x:v>0</x:v>
      </x:c>
      <x:c r="L179" s="31" t="n">
        <x:v>0.000005815600000000001</x:v>
      </x:c>
      <x:c r="M179" s="31" t="n">
        <x:v>0</x:v>
      </x:c>
      <x:c r="N179" s="24" t="str">
        <x:v>palinuridae</x:v>
      </x:c>
      <x:c r="O179" s="32" t="n">
        <x:v>3.14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Palinuridae</x:v>
      </x:c>
      <x:c r="T179" s="32" t="n">
        <x:f>IF(O179="","",(1/'Metadata'!$B$5)^(O179-1))</x:f>
        <x:v>138.03842646028852</x:v>
      </x:c>
      <x:c r="U179" s="31" t="n">
        <x:f>IF(T179="","",I179*T179)</x:f>
        <x:v>0.000802776272922454</x:v>
      </x:c>
    </x:row>
    <x:row r="180" ht="18" customHeight="1">
      <x:c r="A180" s="24" t="str">
        <x:v>EEZ_277</x:v>
      </x:c>
      <x:c r="B180" s="24" t="str">
        <x:v>Germany (North Sea)</x:v>
      </x:c>
      <x:c r="C180" s="24" t="str">
        <x:v>EEZ</x:v>
      </x:c>
      <x:c r="D180" s="30" t="n">
        <x:v>2019</x:v>
      </x:c>
      <x:c r="E180" s="24" t="str">
        <x:v>Ammodytes tobianus</x:v>
      </x:c>
      <x:c r="F180" s="24" t="str">
        <x:v>Small sandeel</x:v>
      </x:c>
      <x:c r="G180" s="24" t="str">
        <x:v>Small demersals (&lt;30 cm)</x:v>
      </x:c>
      <x:c r="H180" s="24" t="str">
        <x:v>Perch-likes</x:v>
      </x:c>
      <x:c r="I180" s="31" t="n">
        <x:v>0.0000033116</x:v>
      </x:c>
      <x:c r="J180" s="31" t="n">
        <x:v>0.0000033116</x:v>
      </x:c>
      <x:c r="K180" s="31" t="n">
        <x:v>0</x:v>
      </x:c>
      <x:c r="L180" s="31" t="n">
        <x:v>0.0000033116</x:v>
      </x:c>
      <x:c r="M180" s="31" t="n">
        <x:v>0</x:v>
      </x:c>
      <x:c r="N180" s="24" t="str">
        <x:v>ammodytes tobianus</x:v>
      </x:c>
      <x:c r="O180" s="32" t="n">
        <x:v>3.08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Ammodytes tobianus</x:v>
      </x:c>
      <x:c r="T180" s="32" t="n">
        <x:f>IF(O180="","",(1/'Metadata'!$B$5)^(O180-1))</x:f>
        <x:v>120.22644346174131</x:v>
      </x:c>
      <x:c r="U180" s="31" t="n">
        <x:f>IF(T180="","",I180*T180)</x:f>
        <x:v>0.0003981418901679026</x:v>
      </x:c>
    </x:row>
    <x:row r="181" ht="18" customHeight="1">
      <x:c r="A181" s="24" t="str">
        <x:v>EEZ_277</x:v>
      </x:c>
      <x:c r="B181" s="24" t="str">
        <x:v>Germany (North Sea)</x:v>
      </x:c>
      <x:c r="C181" s="24" t="str">
        <x:v>EEZ</x:v>
      </x:c>
      <x:c r="D181" s="30" t="n">
        <x:v>2019</x:v>
      </x:c>
      <x:c r="E181" s="24" t="str">
        <x:v>Chelidonichthys lastoviza</x:v>
      </x:c>
      <x:c r="F181" s="24" t="str">
        <x:v>Streaked gurnard</x:v>
      </x:c>
      <x:c r="G181" s="24" t="str">
        <x:v>Medium demersals (30 - 89 cm)</x:v>
      </x:c>
      <x:c r="H181" s="24" t="str">
        <x:v>Scorpionfishes</x:v>
      </x:c>
      <x:c r="I181" s="31" t="n">
        <x:v>0.0000021262</x:v>
      </x:c>
      <x:c r="J181" s="31" t="n">
        <x:v>0.0000021262</x:v>
      </x:c>
      <x:c r="K181" s="31" t="n">
        <x:v>0</x:v>
      </x:c>
      <x:c r="L181" s="31" t="n">
        <x:v>0.0000021262</x:v>
      </x:c>
      <x:c r="M181" s="31" t="n">
        <x:v>0</x:v>
      </x:c>
      <x:c r="N181" s="24" t="str">
        <x:v>chelidonichthys lastoviza</x:v>
      </x:c>
      <x:c r="O181" s="32" t="n">
        <x:v>3.49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Chelidonichthys lastoviza</x:v>
      </x:c>
      <x:c r="T181" s="32" t="n">
        <x:f>IF(O181="","",(1/'Metadata'!$B$5)^(O181-1))</x:f>
        <x:v>309.0295432513592</x:v>
      </x:c>
      <x:c r="U181" s="31" t="n">
        <x:f>IF(T181="","",I181*T181)</x:f>
        <x:v>0.00065705861486104</x:v>
      </x:c>
    </x:row>
    <x:row r="182" ht="18" customHeight="1">
      <x:c r="A182" s="24" t="str">
        <x:v>EEZ_277</x:v>
      </x:c>
      <x:c r="B182" s="24" t="str">
        <x:v>Germany (North Sea)</x:v>
      </x:c>
      <x:c r="C182" s="24" t="str">
        <x:v>EEZ</x:v>
      </x:c>
      <x:c r="D182" s="30" t="n">
        <x:v>2019</x:v>
      </x:c>
      <x:c r="E182" s="24" t="str">
        <x:v>Lepidorhombus boscii</x:v>
      </x:c>
      <x:c r="F182" s="24" t="str">
        <x:v>Four-spot megrim</x:v>
      </x:c>
      <x:c r="G182" s="24" t="str">
        <x:v>Small to medium flatfishes (&lt;90 cm)</x:v>
      </x:c>
      <x:c r="H182" s="24" t="str">
        <x:v>Flatfishes</x:v>
      </x:c>
      <x:c r="I182" s="31" t="n">
        <x:v>7.53e-8</x:v>
      </x:c>
      <x:c r="J182" s="31" t="n">
        <x:v>7.53e-8</x:v>
      </x:c>
      <x:c r="K182" s="31" t="n">
        <x:v>0</x:v>
      </x:c>
      <x:c r="L182" s="31" t="n">
        <x:v>7.53e-8</x:v>
      </x:c>
      <x:c r="M182" s="31" t="n">
        <x:v>0</x:v>
      </x:c>
      <x:c r="N182" s="24" t="str">
        <x:v>lepidorhombus boscii</x:v>
      </x:c>
      <x:c r="O182" s="32" t="n">
        <x:v>3.74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Lepidorhombus boscii</x:v>
      </x:c>
      <x:c r="T182" s="32" t="n">
        <x:f>IF(O182="","",(1/'Metadata'!$B$5)^(O182-1))</x:f>
        <x:v>549.5408738576248</x:v>
      </x:c>
      <x:c r="U182" s="31" t="n">
        <x:f>IF(T182="","",I182*T182)</x:f>
        <x:v>0.00004138042780147915</x:v>
      </x:c>
    </x:row>
  </x:sheetData>
  <x:conditionalFormatting sqref="R2:R18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737236d4b0a49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3.2766487251</x:v>
      </x:c>
      <x:c r="E2" s="31" t="n">
        <x:v>3.2766487251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IF(C2=0,"",SUMIF('Species'!$H$2:$H$182,A2,'Species'!$U$2:$U$182))</x:f>
        <x:v>422.1141251165953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422.1141251165953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12</x:v>
      </x:c>
      <x:c r="C3" s="33" t="n">
        <x:v>12</x:v>
      </x:c>
      <x:c r="D3" s="31" t="n">
        <x:v>2714.4611821042004</x:v>
      </x:c>
      <x:c r="E3" s="31" t="n">
        <x:v>2714.4611821042004</x:v>
      </x:c>
      <x:c r="F3" s="32" t="n">
        <x:v>0</x:v>
      </x:c>
      <x:c r="G3" s="34" t="n">
        <x:v>1</x:v>
      </x:c>
      <x:c r="H3" s="32" t="n">
        <x:f>IF(E3=0,"",I3/E3)</x:f>
        <x:v>1820.2034633471312</x:v>
      </x:c>
      <x:c r="I3" s="31" t="n">
        <x:f>IF(C3=0,"",SUMIF('Species'!$H$2:$H$182,A3,'Species'!$U$2:$U$182))</x:f>
        <x:v>4940871.644787413</x:v>
      </x:c>
      <x:c r="J3" s="32" t="n">
        <x:v>4.233531677504611</x:v>
      </x:c>
      <x:c r="K3" s="32" t="n">
        <x:f>IF(J3="","",(1/'Metadata'!$B$5)^(J3-1))</x:f>
        <x:v>1712.1100537124933</x:v>
      </x:c>
      <x:c r="L3" s="31" t="n">
        <x:f>IF(E3=0,"",E3*K3)</x:f>
        <x:v>4647456.2802929</x:v>
      </x:c>
      <x:c r="M3" s="31" t="n">
        <x:f>IF(E3=0,"",I3-L3)</x:f>
        <x:v>293415.3644945128</x:v>
      </x:c>
      <x:c r="N3" s="32" t="n">
        <x:f>IF(L3=0,"",I3/L3)</x:f>
        <x:v>1.0631346153246697</x:v>
      </x:c>
      <x:c r="O3" s="34" t="n">
        <x:f>IF(L3=0,"",M3/L3)</x:f>
        <x:v>0.06313461532466974</x:v>
      </x:c>
    </x:row>
    <x:row r="4" ht="18" customHeight="1">
      <x:c r="A4" s="24" t="str">
        <x:v>Crustaceans</x:v>
      </x:c>
      <x:c r="B4" s="33" t="n">
        <x:v>16</x:v>
      </x:c>
      <x:c r="C4" s="33" t="n">
        <x:v>16</x:v>
      </x:c>
      <x:c r="D4" s="31" t="n">
        <x:v>10679.1435600053</x:v>
      </x:c>
      <x:c r="E4" s="31" t="n">
        <x:v>10679.1435600053</x:v>
      </x:c>
      <x:c r="F4" s="32" t="n">
        <x:v>0</x:v>
      </x:c>
      <x:c r="G4" s="34" t="n">
        <x:v>1</x:v>
      </x:c>
      <x:c r="H4" s="32" t="n">
        <x:f>IF(E4=0,"",I4/E4)</x:f>
        <x:v>155.39656305310294</x:v>
      </x:c>
      <x:c r="I4" s="31" t="n">
        <x:f>IF(C4=0,"",SUMIF('Species'!$H$2:$H$182,A4,'Species'!$U$2:$U$182))</x:f>
        <x:v>1659502.2055755015</x:v>
      </x:c>
      <x:c r="J4" s="32" t="n">
        <x:v>3.1727448859983354</x:v>
      </x:c>
      <x:c r="K4" s="32" t="n">
        <x:f>IF(J4="","",(1/'Metadata'!$B$5)^(J4-1))</x:f>
        <x:v>148.84864516111568</x:v>
      </x:c>
      <x:c r="L4" s="31" t="n">
        <x:f>IF(E4=0,"",E4*K4)</x:f>
        <x:v>1589576.0503878426</x:v>
      </x:c>
      <x:c r="M4" s="31" t="n">
        <x:f>IF(E4=0,"",I4-L4)</x:f>
        <x:v>69926.15518765897</x:v>
      </x:c>
      <x:c r="N4" s="32" t="n">
        <x:f>IF(L4=0,"",I4/L4)</x:f>
        <x:v>1.0439904433453169</x:v>
      </x:c>
      <x:c r="O4" s="34" t="n">
        <x:f>IF(L4=0,"",M4/L4)</x:f>
        <x:v>0.04399044334531688</x:v>
      </x:c>
    </x:row>
    <x:row r="5" ht="18" customHeight="1">
      <x:c r="A5" s="24" t="str">
        <x:v>Flatfishes</x:v>
      </x:c>
      <x:c r="B5" s="33" t="n">
        <x:v>19</x:v>
      </x:c>
      <x:c r="C5" s="33" t="n">
        <x:v>19</x:v>
      </x:c>
      <x:c r="D5" s="31" t="n">
        <x:v>12655.727672235202</x:v>
      </x:c>
      <x:c r="E5" s="31" t="n">
        <x:v>12655.727672235202</x:v>
      </x:c>
      <x:c r="F5" s="32" t="n">
        <x:v>0</x:v>
      </x:c>
      <x:c r="G5" s="34" t="n">
        <x:v>1</x:v>
      </x:c>
      <x:c r="H5" s="32" t="n">
        <x:f>IF(E5=0,"",I5/E5)</x:f>
        <x:v>344.3613770830682</x:v>
      </x:c>
      <x:c r="I5" s="31" t="n">
        <x:f>IF(C5=0,"",SUMIF('Species'!$H$2:$H$182,A5,'Species'!$U$2:$U$182))</x:f>
        <x:v>4358143.809199207</x:v>
      </x:c>
      <x:c r="J5" s="32" t="n">
        <x:v>3.349269815515198</x:v>
      </x:c>
      <x:c r="K5" s="32" t="n">
        <x:f>IF(J5="","",(1/'Metadata'!$B$5)^(J5-1))</x:f>
        <x:v>223.49603125020096</x:v>
      </x:c>
      <x:c r="L5" s="31" t="n">
        <x:f>IF(E5=0,"",E5*K5)</x:f>
        <x:v>2828504.907327912</x:v>
      </x:c>
      <x:c r="M5" s="31" t="n">
        <x:f>IF(E5=0,"",I5-L5)</x:f>
        <x:v>1529638.9018712956</x:v>
      </x:c>
      <x:c r="N5" s="32" t="n">
        <x:f>IF(L5=0,"",I5/L5)</x:f>
        <x:v>1.5407941481410916</x:v>
      </x:c>
      <x:c r="O5" s="34" t="n">
        <x:f>IF(L5=0,"",M5/L5)</x:f>
        <x:v>0.5407941481410917</x:v>
      </x:c>
    </x:row>
    <x:row r="6" ht="18" customHeight="1">
      <x:c r="A6" s="24" t="str">
        <x:v>Herring-likes</x:v>
      </x:c>
      <x:c r="B6" s="33" t="n">
        <x:v>7</x:v>
      </x:c>
      <x:c r="C6" s="33" t="n">
        <x:v>7</x:v>
      </x:c>
      <x:c r="D6" s="31" t="n">
        <x:v>38869.299298218706</x:v>
      </x:c>
      <x:c r="E6" s="31" t="n">
        <x:v>38869.299298218706</x:v>
      </x:c>
      <x:c r="F6" s="32" t="n">
        <x:v>0</x:v>
      </x:c>
      <x:c r="G6" s="34" t="n">
        <x:v>1</x:v>
      </x:c>
      <x:c r="H6" s="32" t="n">
        <x:f>IF(E6=0,"",I6/E6)</x:f>
        <x:v>140.00276208514842</x:v>
      </x:c>
      <x:c r="I6" s="31" t="n">
        <x:f>IF(C6=0,"",SUMIF('Species'!$H$2:$H$182,A6,'Species'!$U$2:$U$182))</x:f>
        <x:v>5441809.262064939</x:v>
      </x:c>
      <x:c r="J6" s="32" t="n">
        <x:v>3.111357032177674</x:v>
      </x:c>
      <x:c r="K6" s="32" t="n">
        <x:f>IF(J6="","",(1/'Metadata'!$B$5)^(J6-1))</x:f>
        <x:v>129.22812175166408</x:v>
      </x:c>
      <x:c r="L6" s="31" t="n">
        <x:f>IF(E6=0,"",E6*K6)</x:f>
        <x:v>5023006.542112078</x:v>
      </x:c>
      <x:c r="M6" s="31" t="n">
        <x:f>IF(E6=0,"",I6-L6)</x:f>
        <x:v>418802.7199528618</x:v>
      </x:c>
      <x:c r="N6" s="32" t="n">
        <x:f>IF(L6=0,"",I6/L6)</x:f>
        <x:v>1.0833769011530618</x:v>
      </x:c>
      <x:c r="O6" s="34" t="n">
        <x:f>IF(L6=0,"",M6/L6)</x:f>
        <x:v>0.08337690115306187</x:v>
      </x:c>
    </x:row>
    <x:row r="7" ht="18" customHeight="1">
      <x:c r="A7" s="24" t="str">
        <x:v>Molluscs</x:v>
      </x:c>
      <x:c r="B7" s="33" t="n">
        <x:v>17</x:v>
      </x:c>
      <x:c r="C7" s="33" t="n">
        <x:v>17</x:v>
      </x:c>
      <x:c r="D7" s="31" t="n">
        <x:v>5410.2109113497</x:v>
      </x:c>
      <x:c r="E7" s="31" t="n">
        <x:v>5410.2109113497</x:v>
      </x:c>
      <x:c r="F7" s="32" t="n">
        <x:v>0</x:v>
      </x:c>
      <x:c r="G7" s="34" t="n">
        <x:v>1</x:v>
      </x:c>
      <x:c r="H7" s="32" t="n">
        <x:f>IF(E7=0,"",I7/E7)</x:f>
        <x:v>10.86268663810095</x:v>
      </x:c>
      <x:c r="I7" s="31" t="n">
        <x:f>IF(C7=0,"",SUMIF('Species'!$H$2:$H$182,A7,'Species'!$U$2:$U$182))</x:f>
        <x:v>58769.42577602635</x:v>
      </x:c>
      <x:c r="J7" s="32" t="n">
        <x:v>2.0046656054371854</x:v>
      </x:c>
      <x:c r="K7" s="32" t="n">
        <x:f>IF(J7="","",(1/'Metadata'!$B$5)^(J7-1))</x:f>
        <x:v>10.108008662534978</x:v>
      </x:c>
      <x:c r="L7" s="31" t="n">
        <x:f>IF(E7=0,"",E7*K7)</x:f>
        <x:v>54686.45875806402</x:v>
      </x:c>
      <x:c r="M7" s="31" t="n">
        <x:f>IF(E7=0,"",I7-L7)</x:f>
        <x:v>4082.967017962328</x:v>
      </x:c>
      <x:c r="N7" s="32" t="n">
        <x:f>IF(L7=0,"",I7/L7)</x:f>
        <x:v>1.074661389870308</x:v>
      </x:c>
      <x:c r="O7" s="34" t="n">
        <x:f>IF(L7=0,"",M7/L7)</x:f>
        <x:v>0.07466138987030783</x:v>
      </x:c>
    </x:row>
    <x:row r="8" ht="18" customHeight="1">
      <x:c r="A8" s="24" t="str">
        <x:v>Other fishes &amp; inverts</x:v>
      </x:c>
      <x:c r="B8" s="33" t="n">
        <x:v>32</x:v>
      </x:c>
      <x:c r="C8" s="33" t="n">
        <x:v>32</x:v>
      </x:c>
      <x:c r="D8" s="31" t="n">
        <x:v>21745.3675029481</x:v>
      </x:c>
      <x:c r="E8" s="31" t="n">
        <x:v>21745.3675029481</x:v>
      </x:c>
      <x:c r="F8" s="32" t="n">
        <x:v>0</x:v>
      </x:c>
      <x:c r="G8" s="34" t="n">
        <x:v>1</x:v>
      </x:c>
      <x:c r="H8" s="32" t="n">
        <x:f>IF(E8=0,"",I8/E8)</x:f>
        <x:v>211.3029022777135</x:v>
      </x:c>
      <x:c r="I8" s="31" t="n">
        <x:f>IF(C8=0,"",SUMIF('Species'!$H$2:$H$182,A8,'Species'!$U$2:$U$182))</x:f>
        <x:v>4594859.264468409</x:v>
      </x:c>
      <x:c r="J8" s="32" t="n">
        <x:v>3.2642591065808935</x:v>
      </x:c>
      <x:c r="K8" s="32" t="n">
        <x:f>IF(J8="","",(1/'Metadata'!$B$5)^(J8-1))</x:f>
        <x:v>183.76343765038246</x:v>
      </x:c>
      <x:c r="L8" s="31" t="n">
        <x:f>IF(E8=0,"",E8*K8)</x:f>
        <x:v>3996003.4853126556</x:v>
      </x:c>
      <x:c r="M8" s="31" t="n">
        <x:f>IF(E8=0,"",I8-L8)</x:f>
        <x:v>598855.7791557536</x:v>
      </x:c>
      <x:c r="N8" s="32" t="n">
        <x:f>IF(L8=0,"",I8/L8)</x:f>
        <x:v>1.1498636778863816</x:v>
      </x:c>
      <x:c r="O8" s="34" t="n">
        <x:f>IF(L8=0,"",M8/L8)</x:f>
        <x:v>0.1498636778863815</x:v>
      </x:c>
    </x:row>
    <x:row r="9" ht="18" customHeight="1">
      <x:c r="A9" s="24" t="str">
        <x:v>Perch-likes</x:v>
      </x:c>
      <x:c r="B9" s="33" t="n">
        <x:v>37</x:v>
      </x:c>
      <x:c r="C9" s="33" t="n">
        <x:v>37</x:v>
      </x:c>
      <x:c r="D9" s="31" t="n">
        <x:v>788.0168164853</x:v>
      </x:c>
      <x:c r="E9" s="31" t="n">
        <x:v>788.0168164853</x:v>
      </x:c>
      <x:c r="F9" s="32" t="n">
        <x:v>0</x:v>
      </x:c>
      <x:c r="G9" s="34" t="n">
        <x:v>1</x:v>
      </x:c>
      <x:c r="H9" s="32" t="n">
        <x:f>IF(E9=0,"",I9/E9)</x:f>
        <x:v>454.6797247903377</x:v>
      </x:c>
      <x:c r="I9" s="31" t="n">
        <x:f>IF(C9=0,"",SUMIF('Species'!$H$2:$H$182,A9,'Species'!$U$2:$U$182))</x:f>
        <x:v>358295.2692496942</x:v>
      </x:c>
      <x:c r="J9" s="32" t="n">
        <x:v>3.580376359289623</x:v>
      </x:c>
      <x:c r="K9" s="32" t="n">
        <x:f>IF(J9="","",(1/'Metadata'!$B$5)^(J9-1))</x:f>
        <x:v>380.5190109827265</x:v>
      </x:c>
      <x:c r="L9" s="31" t="n">
        <x:f>IF(E9=0,"",E9*K9)</x:f>
        <x:v>299855.37964674307</x:v>
      </x:c>
      <x:c r="M9" s="31" t="n">
        <x:f>IF(E9=0,"",I9-L9)</x:f>
        <x:v>58439.88960295112</x:v>
      </x:c>
      <x:c r="N9" s="32" t="n">
        <x:f>IF(L9=0,"",I9/L9)</x:f>
        <x:v>1.1948935839396932</x:v>
      </x:c>
      <x:c r="O9" s="34" t="n">
        <x:f>IF(L9=0,"",M9/L9)</x:f>
        <x:v>0.1948935839396933</x:v>
      </x:c>
    </x:row>
    <x:row r="10" ht="18" customHeight="1">
      <x:c r="A10" s="24" t="str">
        <x:v>Salmon, smelts, etc</x:v>
      </x:c>
      <x:c r="B10" s="33" t="n">
        <x:v>6</x:v>
      </x:c>
      <x:c r="C10" s="33" t="n">
        <x:v>6</x:v>
      </x:c>
      <x:c r="D10" s="31" t="n">
        <x:v>26.230854746</x:v>
      </x:c>
      <x:c r="E10" s="31" t="n">
        <x:v>26.230854746</x:v>
      </x:c>
      <x:c r="F10" s="32" t="n">
        <x:v>0</x:v>
      </x:c>
      <x:c r="G10" s="34" t="n">
        <x:v>1</x:v>
      </x:c>
      <x:c r="H10" s="32" t="n">
        <x:f>IF(E10=0,"",I10/E10)</x:f>
        <x:v>258.92392677799745</x:v>
      </x:c>
      <x:c r="I10" s="31" t="n">
        <x:f>IF(C10=0,"",SUMIF('Species'!$H$2:$H$182,A10,'Species'!$U$2:$U$182))</x:f>
        <x:v>6791.79591357759</x:v>
      </x:c>
      <x:c r="J10" s="32" t="n">
        <x:v>3.3750755901276643</x:v>
      </x:c>
      <x:c r="K10" s="32" t="n">
        <x:f>IF(J10="","",(1/'Metadata'!$B$5)^(J10-1))</x:f>
        <x:v>237.178648558222</x:v>
      </x:c>
      <x:c r="L10" s="31" t="n">
        <x:f>IF(E10=0,"",E10*K10)</x:f>
        <x:v>6221.398679183303</x:v>
      </x:c>
      <x:c r="M10" s="31" t="n">
        <x:f>IF(E10=0,"",I10-L10)</x:f>
        <x:v>570.3972343942869</x:v>
      </x:c>
      <x:c r="N10" s="32" t="n">
        <x:f>IF(L10=0,"",I10/L10)</x:f>
        <x:v>1.0916831188303084</x:v>
      </x:c>
      <x:c r="O10" s="34" t="n">
        <x:f>IF(L10=0,"",M10/L10)</x:f>
        <x:v>0.09168311883030847</x:v>
      </x:c>
    </x:row>
    <x:row r="11" ht="18" customHeight="1">
      <x:c r="A11" s="24" t="str">
        <x:v>Scorpionfishes</x:v>
      </x:c>
      <x:c r="B11" s="33" t="n">
        <x:v>9</x:v>
      </x:c>
      <x:c r="C11" s="33" t="n">
        <x:v>9</x:v>
      </x:c>
      <x:c r="D11" s="31" t="n">
        <x:v>732.4664817796</x:v>
      </x:c>
      <x:c r="E11" s="31" t="n">
        <x:v>732.4664817796</x:v>
      </x:c>
      <x:c r="F11" s="32" t="n">
        <x:v>0</x:v>
      </x:c>
      <x:c r="G11" s="34" t="n">
        <x:v>1</x:v>
      </x:c>
      <x:c r="H11" s="32" t="n">
        <x:f>IF(E11=0,"",I11/E11)</x:f>
        <x:v>714.1833493370159</x:v>
      </x:c>
      <x:c r="I11" s="31" t="n">
        <x:f>IF(C11=0,"",SUMIF('Species'!$H$2:$H$182,A11,'Species'!$U$2:$U$182))</x:f>
        <x:v>523115.3652344551</x:v>
      </x:c>
      <x:c r="J11" s="32" t="n">
        <x:v>3.829086435499712</x:v>
      </x:c>
      <x:c r="K11" s="32" t="n">
        <x:f>IF(J11="","",(1/'Metadata'!$B$5)^(J11-1))</x:f>
        <x:v>674.6622890617087</x:v>
      </x:c>
      <x:c r="L11" s="31" t="n">
        <x:f>IF(E11=0,"",E11*K11)</x:f>
        <x:v>494167.51325840136</x:v>
      </x:c>
      <x:c r="M11" s="31" t="n">
        <x:f>IF(E11=0,"",I11-L11)</x:f>
        <x:v>28947.85197605373</x:v>
      </x:c>
      <x:c r="N11" s="32" t="n">
        <x:f>IF(L11=0,"",I11/L11)</x:f>
        <x:v>1.0585790267457684</x:v>
      </x:c>
      <x:c r="O11" s="34" t="n">
        <x:f>IF(L11=0,"",M11/L11)</x:f>
        <x:v>0.058579026745768356</x:v>
      </x:c>
    </x:row>
    <x:row r="12" ht="18" customHeight="1">
      <x:c r="A12" s="24" t="str">
        <x:v>Sharks &amp; rays</x:v>
      </x:c>
      <x:c r="B12" s="33" t="n">
        <x:v>24</x:v>
      </x:c>
      <x:c r="C12" s="33" t="n">
        <x:v>24</x:v>
      </x:c>
      <x:c r="D12" s="31" t="n">
        <x:v>310.1165036306</x:v>
      </x:c>
      <x:c r="E12" s="31" t="n">
        <x:v>310.1165036306</x:v>
      </x:c>
      <x:c r="F12" s="32" t="n">
        <x:v>0</x:v>
      </x:c>
      <x:c r="G12" s="34" t="n">
        <x:v>1</x:v>
      </x:c>
      <x:c r="H12" s="32" t="n">
        <x:f>IF(E12=0,"",I12/E12)</x:f>
        <x:v>1030.953705321945</x:v>
      </x:c>
      <x:c r="I12" s="31" t="n">
        <x:f>IF(C12=0,"",SUMIF('Species'!$H$2:$H$182,A12,'Species'!$U$2:$U$182))</x:f>
        <x:v>319715.7584994535</x:v>
      </x:c>
      <x:c r="J12" s="32" t="n">
        <x:v>3.975468409163648</x:v>
      </x:c>
      <x:c r="K12" s="32" t="n">
        <x:f>IF(J12="","",(1/'Metadata'!$B$5)^(J12-1))</x:f>
        <x:v>945.0796442905248</x:v>
      </x:c>
      <x:c r="L12" s="31" t="n">
        <x:f>IF(E12=0,"",E12*K12)</x:f>
        <x:v>293084.7949398287</x:v>
      </x:c>
      <x:c r="M12" s="31" t="n">
        <x:f>IF(E12=0,"",I12-L12)</x:f>
        <x:v>26630.963559624797</x:v>
      </x:c>
      <x:c r="N12" s="32" t="n">
        <x:f>IF(L12=0,"",I12/L12)</x:f>
        <x:v>1.0908643642366103</x:v>
      </x:c>
      <x:c r="O12" s="34" t="n">
        <x:f>IF(L12=0,"",M12/L12)</x:f>
        <x:v>0.09086436423661018</x:v>
      </x:c>
    </x:row>
    <x:row r="13" ht="18" customHeight="1">
      <x:c r="A13" s="24" t="str">
        <x:v>Tuna &amp; billfishes</x:v>
      </x:c>
      <x:c r="B13" s="33" t="n">
        <x:v>1</x:v>
      </x:c>
      <x:c r="C13" s="33" t="n">
        <x:v>1</x:v>
      </x:c>
      <x:c r="D13" s="31" t="n">
        <x:v>0.0789655333</x:v>
      </x:c>
      <x:c r="E13" s="31" t="n">
        <x:v>0.0789655333</x:v>
      </x:c>
      <x:c r="F13" s="32" t="n">
        <x:v>0</x:v>
      </x:c>
      <x:c r="G13" s="34" t="n">
        <x:v>1</x:v>
      </x:c>
      <x:c r="H13" s="32" t="n">
        <x:f>IF(E13=0,"",I13/E13)</x:f>
        <x:v>2818.382931264455</x:v>
      </x:c>
      <x:c r="I13" s="31" t="n">
        <x:f>IF(C13=0,"",SUMIF('Species'!$H$2:$H$182,A13,'Species'!$U$2:$U$182))</x:f>
        <x:v>222.55511121091493</x:v>
      </x:c>
      <x:c r="J13" s="32" t="n">
        <x:v>4.45</x:v>
      </x:c>
      <x:c r="K13" s="32" t="n">
        <x:f>IF(J13="","",(1/'Metadata'!$B$5)^(J13-1))</x:f>
        <x:v>2818.382931264455</x:v>
      </x:c>
      <x:c r="L13" s="31" t="n">
        <x:f>IF(E13=0,"",E13*K13)</x:f>
        <x:v>222.55511121091493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7c497ec7794a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12</x:v>
      </x:c>
      <x:c r="C2" s="33" t="n">
        <x:v>12</x:v>
      </x:c>
      <x:c r="D2" s="31" t="n">
        <x:v>95.3113583071</x:v>
      </x:c>
      <x:c r="E2" s="31" t="n">
        <x:v>95.3113583071</x:v>
      </x:c>
      <x:c r="F2" s="32" t="n">
        <x:v>0</x:v>
      </x:c>
      <x:c r="G2" s="34" t="n">
        <x:v>1</x:v>
      </x:c>
      <x:c r="H2" s="32" t="n">
        <x:f>IF(E2=0,"",I2/E2)</x:f>
        <x:v>1543.3110698305998</x:v>
      </x:c>
      <x:c r="I2" s="31" t="n">
        <x:f>IF(C2=0,"",SUMIF('Species'!$G$2:$G$182,A2,'Species'!$U$2:$U$182))</x:f>
        <x:v>147095.07435593812</x:v>
      </x:c>
      <x:c r="J2" s="32" t="n">
        <x:v>4.157778130448591</x:v>
      </x:c>
      <x:c r="K2" s="32" t="n">
        <x:f>IF(J2="","",(1/'Metadata'!$B$5)^(J2-1))</x:f>
        <x:v>1438.063721884521</x:v>
      </x:c>
      <x:c r="L2" s="31" t="n">
        <x:f>IF(E2=0,"",E2*K2)</x:f>
        <x:v>137063.8066649774</x:v>
      </x:c>
      <x:c r="M2" s="31" t="n">
        <x:f>IF(E2=0,"",I2-L2)</x:f>
        <x:v>10031.267690960725</x:v>
      </x:c>
      <x:c r="N2" s="32" t="n">
        <x:f>IF(L2=0,"",I2/L2)</x:f>
        <x:v>1.0731868458569809</x:v>
      </x:c>
      <x:c r="O2" s="34" t="n">
        <x:f>IF(L2=0,"",M2/L2)</x:f>
        <x:v>0.07318684585698085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101.9346228809</x:v>
      </x:c>
      <x:c r="E3" s="31" t="n">
        <x:v>101.9346228809</x:v>
      </x:c>
      <x:c r="F3" s="32" t="n">
        <x:v>0</x:v>
      </x:c>
      <x:c r="G3" s="34" t="n">
        <x:v>1</x:v>
      </x:c>
      <x:c r="H3" s="32" t="n">
        <x:f>IF(E3=0,"",I3/E3)</x:f>
        <x:v>2766.1793248537874</x:v>
      </x:c>
      <x:c r="I3" s="31" t="n">
        <x:f>IF(C3=0,"",SUMIF('Species'!$G$2:$G$182,A3,'Species'!$U$2:$U$182))</x:f>
        <x:v>281969.4462999134</x:v>
      </x:c>
      <x:c r="J3" s="32" t="n">
        <x:v>4.440994126735892</x:v>
      </x:c>
      <x:c r="K3" s="32" t="n">
        <x:f>IF(J3="","",(1/'Metadata'!$B$5)^(J3-1))</x:f>
        <x:v>2760.5405232725816</x:v>
      </x:c>
      <x:c r="L3" s="31" t="n">
        <x:f>IF(E3=0,"",E3*K3)</x:f>
        <x:v>281394.6571872329</x:v>
      </x:c>
      <x:c r="M3" s="31" t="n">
        <x:f>IF(E3=0,"",I3-L3)</x:f>
        <x:v>574.7891126804752</x:v>
      </x:c>
      <x:c r="N3" s="32" t="n">
        <x:f>IF(L3=0,"",I3/L3)</x:f>
        <x:v>1.0020426440161514</x:v>
      </x:c>
      <x:c r="O3" s="34" t="n">
        <x:f>IF(L3=0,"",M3/L3)</x:f>
        <x:v>0.0020426440161513976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0.0006411651</x:v>
      </x:c>
      <x:c r="E4" s="31" t="n">
        <x:v>0.0006411651</x:v>
      </x:c>
      <x:c r="F4" s="32" t="n">
        <x:v>0</x:v>
      </x:c>
      <x:c r="G4" s="34" t="n">
        <x:v>1</x:v>
      </x:c>
      <x:c r="H4" s="32" t="n">
        <x:f>IF(E4=0,"",I4/E4)</x:f>
        <x:v>831.7637711026707</x:v>
      </x:c>
      <x:c r="I4" s="31" t="n">
        <x:f>IF(C4=0,"",SUMIF('Species'!$G$2:$G$182,A4,'Species'!$U$2:$U$182))</x:f>
        <x:v>0.533297901475421</x:v>
      </x:c>
      <x:c r="J4" s="32" t="n">
        <x:v>3.92</x:v>
      </x:c>
      <x:c r="K4" s="32" t="n">
        <x:f>IF(J4="","",(1/'Metadata'!$B$5)^(J4-1))</x:f>
        <x:v>831.7637711026708</x:v>
      </x:c>
      <x:c r="L4" s="31" t="n">
        <x:f>IF(E4=0,"",E4*K4)</x:f>
        <x:v>0.533297901475421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877.6708757613001</x:v>
      </x:c>
      <x:c r="E5" s="31" t="n">
        <x:v>877.6708757613001</x:v>
      </x:c>
      <x:c r="F5" s="32" t="n">
        <x:v>0</x:v>
      </x:c>
      <x:c r="G5" s="34" t="n">
        <x:v>1</x:v>
      </x:c>
      <x:c r="H5" s="32" t="n">
        <x:f>IF(E5=0,"",I5/E5)</x:f>
        <x:v>1255.8344920383875</x:v>
      </x:c>
      <x:c r="I5" s="31" t="n">
        <x:f>IF(C5=0,"",SUMIF('Species'!$G$2:$G$182,A5,'Species'!$U$2:$U$182))</x:f>
        <x:v>1102209.358438579</x:v>
      </x:c>
      <x:c r="J5" s="32" t="n">
        <x:v>4.096844991949822</x:v>
      </x:c>
      <x:c r="K5" s="32" t="n">
        <x:f>IF(J5="","",(1/'Metadata'!$B$5)^(J5-1))</x:f>
        <x:v>1249.8128683594211</x:v>
      </x:c>
      <x:c r="L5" s="31" t="n">
        <x:f>IF(E5=0,"",E5*K5)</x:f>
        <x:v>1096924.3547107556</x:v>
      </x:c>
      <x:c r="M5" s="31" t="n">
        <x:f>IF(E5=0,"",I5-L5)</x:f>
        <x:v>5285.003727823263</x:v>
      </x:c>
      <x:c r="N5" s="32" t="n">
        <x:f>IF(L5=0,"",I5/L5)</x:f>
        <x:v>1.0048180202263963</x:v>
      </x:c>
      <x:c r="O5" s="34" t="n">
        <x:f>IF(L5=0,"",M5/L5)</x:f>
        <x:v>0.004818020226396421</x:v>
      </x:c>
    </x:row>
    <x:row r="6" ht="18" customHeight="1">
      <x:c r="A6" s="24" t="str">
        <x:v>Large demersals (&gt;=90 cm)</x:v>
      </x:c>
      <x:c r="B6" s="33" t="n">
        <x:v>9</x:v>
      </x:c>
      <x:c r="C6" s="33" t="n">
        <x:v>9</x:v>
      </x:c>
      <x:c r="D6" s="31" t="n">
        <x:v>231.90217306579999</x:v>
      </x:c>
      <x:c r="E6" s="31" t="n">
        <x:v>231.90217306579999</x:v>
      </x:c>
      <x:c r="F6" s="32" t="n">
        <x:v>0</x:v>
      </x:c>
      <x:c r="G6" s="34" t="n">
        <x:v>1</x:v>
      </x:c>
      <x:c r="H6" s="32" t="n">
        <x:f>IF(E6=0,"",I6/E6)</x:f>
        <x:v>1745.5066062750657</x:v>
      </x:c>
      <x:c r="I6" s="31" t="n">
        <x:f>IF(C6=0,"",SUMIF('Species'!$G$2:$G$182,A6,'Species'!$U$2:$U$182))</x:f>
        <x:v>404786.7750958975</x:v>
      </x:c>
      <x:c r="J6" s="32" t="n">
        <x:v>4.166850295907167</x:v>
      </x:c>
      <x:c r="K6" s="32" t="n">
        <x:f>IF(J6="","",(1/'Metadata'!$B$5)^(J6-1))</x:f>
        <x:v>1468.4200165971763</x:v>
      </x:c>
      <x:c r="L6" s="31" t="n">
        <x:f>IF(E6=0,"",E6*K6)</x:f>
        <x:v>340529.79282220325</x:v>
      </x:c>
      <x:c r="M6" s="31" t="n">
        <x:f>IF(E6=0,"",I6-L6)</x:f>
        <x:v>64256.982273694244</x:v>
      </x:c>
      <x:c r="N6" s="32" t="n">
        <x:f>IF(L6=0,"",I6/L6)</x:f>
        <x:v>1.1886970938464816</x:v>
      </x:c>
      <x:c r="O6" s="34" t="n">
        <x:f>IF(L6=0,"",M6/L6)</x:f>
        <x:v>0.18869709384648167</x:v>
      </x:c>
    </x:row>
    <x:row r="7" ht="18" customHeight="1">
      <x:c r="A7" s="24" t="str">
        <x:v>Large flatfishes (&gt;=90 cm)</x:v>
      </x:c>
      <x:c r="B7" s="33" t="n">
        <x:v>2</x:v>
      </x:c>
      <x:c r="C7" s="33" t="n">
        <x:v>2</x:v>
      </x:c>
      <x:c r="D7" s="31" t="n">
        <x:v>7069.4761115643005</x:v>
      </x:c>
      <x:c r="E7" s="31" t="n">
        <x:v>7069.4761115643005</x:v>
      </x:c>
      <x:c r="F7" s="32" t="n">
        <x:v>0</x:v>
      </x:c>
      <x:c r="G7" s="34" t="n">
        <x:v>1</x:v>
      </x:c>
      <x:c r="H7" s="32" t="n">
        <x:f>IF(E7=0,"",I7/E7)</x:f>
        <x:v>374.1210996801628</x:v>
      </x:c>
      <x:c r="I7" s="31" t="n">
        <x:f>IF(C7=0,"",SUMIF('Species'!$G$2:$G$182,A7,'Species'!$U$2:$U$182))</x:f>
        <x:v>2644840.1770210774</x:v>
      </x:c>
      <x:c r="J7" s="32" t="n">
        <x:v>3.360225880345199</x:v>
      </x:c>
      <x:c r="K7" s="32" t="n">
        <x:f>IF(J7="","",(1/'Metadata'!$B$5)^(J7-1))</x:f>
        <x:v>229.20594629089462</x:v>
      </x:c>
      <x:c r="L7" s="31" t="n">
        <x:f>IF(E7=0,"",E7*K7)</x:f>
        <x:v>1620365.9619319695</x:v>
      </x:c>
      <x:c r="M7" s="31" t="n">
        <x:f>IF(E7=0,"",I7-L7)</x:f>
        <x:v>1024474.2150891079</x:v>
      </x:c>
      <x:c r="N7" s="32" t="n">
        <x:f>IF(L7=0,"",I7/L7)</x:f>
        <x:v>1.632248664287926</x:v>
      </x:c>
      <x:c r="O7" s="34" t="n">
        <x:f>IF(L7=0,"",M7/L7)</x:f>
        <x:v>0.6322486642879259</x:v>
      </x:c>
    </x:row>
    <x:row r="8" ht="18" customHeight="1">
      <x:c r="A8" s="24" t="str">
        <x:v>Large pelagics (&gt;=90 cm)</x:v>
      </x:c>
      <x:c r="B8" s="33" t="n">
        <x:v>3</x:v>
      </x:c>
      <x:c r="C8" s="33" t="n">
        <x:v>3</x:v>
      </x:c>
      <x:c r="D8" s="31" t="n">
        <x:v>0.8164988606999999</x:v>
      </x:c>
      <x:c r="E8" s="31" t="n">
        <x:v>0.8164988606999999</x:v>
      </x:c>
      <x:c r="F8" s="32" t="n">
        <x:v>0</x:v>
      </x:c>
      <x:c r="G8" s="34" t="n">
        <x:v>1</x:v>
      </x:c>
      <x:c r="H8" s="32" t="n">
        <x:f>IF(E8=0,"",I8/E8)</x:f>
        <x:v>1192.8189237981892</x:v>
      </x:c>
      <x:c r="I8" s="31" t="n">
        <x:f>IF(C8=0,"",SUMIF('Species'!$G$2:$G$182,A8,'Species'!$U$2:$U$182))</x:f>
        <x:v>973.9352923026215</x:v>
      </x:c>
      <x:c r="J8" s="32" t="n">
        <x:v>4.0246269139429796</x:v>
      </x:c>
      <x:c r="K8" s="32" t="n">
        <x:f>IF(J8="","",(1/'Metadata'!$B$5)^(J8-1))</x:f>
        <x:v>1058.3441508834997</x:v>
      </x:c>
      <x:c r="L8" s="31" t="n">
        <x:f>IF(E8=0,"",E8*K8)</x:f>
        <x:v>864.1367934248863</x:v>
      </x:c>
      <x:c r="M8" s="31" t="n">
        <x:f>IF(E8=0,"",I8-L8)</x:f>
        <x:v>109.79849887773526</x:v>
      </x:c>
      <x:c r="N8" s="32" t="n">
        <x:f>IF(L8=0,"",I8/L8)</x:f>
        <x:v>1.127061478822773</x:v>
      </x:c>
      <x:c r="O8" s="34" t="n">
        <x:f>IF(L8=0,"",M8/L8)</x:f>
        <x:v>0.12706147882277313</x:v>
      </x:c>
    </x:row>
    <x:row r="9" ht="18" customHeight="1">
      <x:c r="A9" s="24" t="str">
        <x:v>Large rays (&gt;=90 cm)</x:v>
      </x:c>
      <x:c r="B9" s="33" t="n">
        <x:v>6</x:v>
      </x:c>
      <x:c r="C9" s="33" t="n">
        <x:v>6</x:v>
      </x:c>
      <x:c r="D9" s="31" t="n">
        <x:v>98.9764136209</x:v>
      </x:c>
      <x:c r="E9" s="31" t="n">
        <x:v>98.9764136209</x:v>
      </x:c>
      <x:c r="F9" s="32" t="n">
        <x:v>0</x:v>
      </x:c>
      <x:c r="G9" s="34" t="n">
        <x:v>1</x:v>
      </x:c>
      <x:c r="H9" s="32" t="n">
        <x:f>IF(E9=0,"",I9/E9)</x:f>
        <x:v>781.4226175705913</x:v>
      </x:c>
      <x:c r="I9" s="31" t="n">
        <x:f>IF(C9=0,"",SUMIF('Species'!$G$2:$G$182,A9,'Species'!$U$2:$U$182))</x:f>
        <x:v>77342.40820939321</x:v>
      </x:c>
      <x:c r="J9" s="32" t="n">
        <x:v>3.842056354996752</x:v>
      </x:c>
      <x:c r="K9" s="32" t="n">
        <x:f>IF(J9="","",(1/'Metadata'!$B$5)^(J9-1))</x:f>
        <x:v>695.1145113079685</x:v>
      </x:c>
      <x:c r="L9" s="31" t="n">
        <x:f>IF(E9=0,"",E9*K9)</x:f>
        <x:v>68799.94138510726</x:v>
      </x:c>
      <x:c r="M9" s="31" t="n">
        <x:f>IF(E9=0,"",I9-L9)</x:f>
        <x:v>8542.466824285948</x:v>
      </x:c>
      <x:c r="N9" s="32" t="n">
        <x:f>IF(L9=0,"",I9/L9)</x:f>
        <x:v>1.1241638677636299</x:v>
      </x:c>
      <x:c r="O9" s="34" t="n">
        <x:f>IF(L9=0,"",M9/L9)</x:f>
        <x:v>0.12416386776362993</x:v>
      </x:c>
    </x:row>
    <x:row r="10" ht="18" customHeight="1">
      <x:c r="A10" s="24" t="str">
        <x:v>Large reef assoc. fish (&gt;=90 cm)</x:v>
      </x:c>
      <x:c r="B10" s="33" t="n">
        <x:v>3</x:v>
      </x:c>
      <x:c r="C10" s="33" t="n">
        <x:v>3</x:v>
      </x:c>
      <x:c r="D10" s="31" t="n">
        <x:v>152.36237718629997</x:v>
      </x:c>
      <x:c r="E10" s="31" t="n">
        <x:v>152.36237718629997</x:v>
      </x:c>
      <x:c r="F10" s="32" t="n">
        <x:v>0</x:v>
      </x:c>
      <x:c r="G10" s="34" t="n">
        <x:v>1</x:v>
      </x:c>
      <x:c r="H10" s="32" t="n">
        <x:f>IF(E10=0,"",I10/E10)</x:f>
        <x:v>233.96729969920634</x:v>
      </x:c>
      <x:c r="I10" s="31" t="n">
        <x:f>IF(C10=0,"",SUMIF('Species'!$G$2:$G$182,A10,'Species'!$U$2:$U$182))</x:f>
        <x:v>35647.81396603056</x:v>
      </x:c>
      <x:c r="J10" s="32" t="n">
        <x:v>3.3620788224381384</x:v>
      </x:c>
      <x:c r="K10" s="32" t="n">
        <x:f>IF(J10="","",(1/'Metadata'!$B$5)^(J10-1))</x:f>
        <x:v>230.18595563528066</x:v>
      </x:c>
      <x:c r="L10" s="31" t="n">
        <x:f>IF(E10=0,"",E10*K10)</x:f>
        <x:v>35071.67939549154</x:v>
      </x:c>
      <x:c r="M10" s="31" t="n">
        <x:f>IF(E10=0,"",I10-L10)</x:f>
        <x:v>576.1345705390195</x:v>
      </x:c>
      <x:c r="N10" s="32" t="n">
        <x:f>IF(L10=0,"",I10/L10)</x:f>
        <x:v>1.0164273448112406</x:v>
      </x:c>
      <x:c r="O10" s="34" t="n">
        <x:f>IF(L10=0,"",M10/L10)</x:f>
        <x:v>0.016427344811240533</x:v>
      </x:c>
    </x:row>
    <x:row r="11" ht="18" customHeight="1">
      <x:c r="A11" s="24" t="str">
        <x:v>Large sharks (&gt;=90 cm)</x:v>
      </x:c>
      <x:c r="B11" s="33" t="n">
        <x:v>13</x:v>
      </x:c>
      <x:c r="C11" s="33" t="n">
        <x:v>13</x:v>
      </x:c>
      <x:c r="D11" s="31" t="n">
        <x:v>163.0093404412</x:v>
      </x:c>
      <x:c r="E11" s="31" t="n">
        <x:v>163.0093404412</x:v>
      </x:c>
      <x:c r="F11" s="32" t="n">
        <x:v>0</x:v>
      </x:c>
      <x:c r="G11" s="34" t="n">
        <x:v>1</x:v>
      </x:c>
      <x:c r="H11" s="32" t="n">
        <x:f>IF(E11=0,"",I11/E11)</x:f>
        <x:v>1287.319395504434</x:v>
      </x:c>
      <x:c r="I11" s="31" t="n">
        <x:f>IF(C11=0,"",SUMIF('Species'!$G$2:$G$182,A11,'Species'!$U$2:$U$182))</x:f>
        <x:v>209845.0855983421</x:v>
      </x:c>
      <x:c r="J11" s="32" t="n">
        <x:v>4.099788906208498</x:v>
      </x:c>
      <x:c r="K11" s="32" t="n">
        <x:f>IF(J11="","",(1/'Metadata'!$B$5)^(J11-1))</x:f>
        <x:v>1258.3136454139992</x:v>
      </x:c>
      <x:c r="L11" s="31" t="n">
        <x:f>IF(E11=0,"",E11*K11)</x:f>
        <x:v>205116.87740709804</x:v>
      </x:c>
      <x:c r="M11" s="31" t="n">
        <x:f>IF(E11=0,"",I11-L11)</x:f>
        <x:v>4728.208191244048</x:v>
      </x:c>
      <x:c r="N11" s="32" t="n">
        <x:f>IF(L11=0,"",I11/L11)</x:f>
        <x:v>1.0230512878852964</x:v>
      </x:c>
      <x:c r="O11" s="34" t="n">
        <x:f>IF(L11=0,"",M11/L11)</x:f>
        <x:v>0.023051287885296312</x:v>
      </x:c>
    </x:row>
    <x:row r="12" ht="18" customHeight="1">
      <x:c r="A12" s="24" t="str">
        <x:v>Lobsters, crabs</x:v>
      </x:c>
      <x:c r="B12" s="33" t="n">
        <x:v>9</x:v>
      </x:c>
      <x:c r="C12" s="33" t="n">
        <x:v>9</x:v>
      </x:c>
      <x:c r="D12" s="31" t="n">
        <x:v>2643.3128459027002</x:v>
      </x:c>
      <x:c r="E12" s="31" t="n">
        <x:v>2643.3128459027002</x:v>
      </x:c>
      <x:c r="F12" s="32" t="n">
        <x:v>0</x:v>
      </x:c>
      <x:c r="G12" s="34" t="n">
        <x:v>1</x:v>
      </x:c>
      <x:c r="H12" s="32" t="n">
        <x:f>IF(E12=0,"",I12/E12)</x:f>
        <x:v>157.85494695669328</x:v>
      </x:c>
      <x:c r="I12" s="31" t="n">
        <x:f>IF(C12=0,"",SUMIF('Species'!$G$2:$G$182,A12,'Species'!$U$2:$U$182))</x:f>
        <x:v>417260.0090799167</x:v>
      </x:c>
      <x:c r="J12" s="32" t="n">
        <x:v>3.1243503122242378</x:v>
      </x:c>
      <x:c r="K12" s="32" t="n">
        <x:f>IF(J12="","",(1/'Metadata'!$B$5)^(J12-1))</x:f>
        <x:v>133.15280269916468</x:v>
      </x:c>
      <x:c r="L12" s="31" t="n">
        <x:f>IF(E12=0,"",E12*K12)</x:f>
        <x:v>351964.51384264976</x:v>
      </x:c>
      <x:c r="M12" s="31" t="n">
        <x:f>IF(E12=0,"",I12-L12)</x:f>
        <x:v>65295.495237266936</x:v>
      </x:c>
      <x:c r="N12" s="32" t="n">
        <x:f>IF(L12=0,"",I12/L12)</x:f>
        <x:v>1.1855172685575288</x:v>
      </x:c>
      <x:c r="O12" s="34" t="n">
        <x:f>IF(L12=0,"",M12/L12)</x:f>
        <x:v>0.18551726855752884</x:v>
      </x:c>
    </x:row>
    <x:row r="13" ht="18" customHeight="1">
      <x:c r="A13" s="24" t="str">
        <x:v>Medium bathydemersals (30 - 89 cm)</x:v>
      </x:c>
      <x:c r="B13" s="33" t="n">
        <x:v>3</x:v>
      </x:c>
      <x:c r="C13" s="33" t="n">
        <x:v>3</x:v>
      </x:c>
      <x:c r="D13" s="31" t="n">
        <x:v>76.4107887098</x:v>
      </x:c>
      <x:c r="E13" s="31" t="n">
        <x:v>76.4107887098</x:v>
      </x:c>
      <x:c r="F13" s="32" t="n">
        <x:v>0</x:v>
      </x:c>
      <x:c r="G13" s="34" t="n">
        <x:v>1</x:v>
      </x:c>
      <x:c r="H13" s="32" t="n">
        <x:f>IF(E13=0,"",I13/E13)</x:f>
        <x:v>2884.016599181309</x:v>
      </x:c>
      <x:c r="I13" s="31" t="n">
        <x:f>IF(C13=0,"",SUMIF('Species'!$G$2:$G$182,A13,'Species'!$U$2:$U$182))</x:f>
        <x:v>220369.98299559898</x:v>
      </x:c>
      <x:c r="J13" s="32" t="n">
        <x:v>4.459993781057125</x:v>
      </x:c>
      <x:c r="K13" s="32" t="n">
        <x:f>IF(J13="","",(1/'Metadata'!$B$5)^(J13-1))</x:f>
        <x:v>2883.990205114541</x:v>
      </x:c>
      <x:c r="L13" s="31" t="n">
        <x:f>IF(E13=0,"",E13*K13)</x:f>
        <x:v>220367.96620413996</x:v>
      </x:c>
      <x:c r="M13" s="31" t="n">
        <x:f>IF(E13=0,"",I13-L13)</x:f>
        <x:v>2.016791459027445</x:v>
      </x:c>
      <x:c r="N13" s="32" t="n">
        <x:f>IF(L13=0,"",I13/L13)</x:f>
        <x:v>1.0000091519266332</x:v>
      </x:c>
      <x:c r="O13" s="34" t="n">
        <x:f>IF(L13=0,"",M13/L13)</x:f>
        <x:v>0.00000915192663328921</x:v>
      </x:c>
    </x:row>
    <x:row r="14" ht="18" customHeight="1">
      <x:c r="A14" s="24" t="str">
        <x:v>Medium bathypelagics (30 - 89 cm)</x:v>
      </x:c>
      <x:c r="B14" s="33" t="n">
        <x:v>1</x:v>
      </x:c>
      <x:c r="C14" s="33" t="n">
        <x:v>1</x:v>
      </x:c>
      <x:c r="D14" s="31" t="n">
        <x:v>0.16500144749999998</x:v>
      </x:c>
      <x:c r="E14" s="31" t="n">
        <x:v>0.16500144749999998</x:v>
      </x:c>
      <x:c r="F14" s="32" t="n">
        <x:v>0</x:v>
      </x:c>
      <x:c r="G14" s="34" t="n">
        <x:v>1</x:v>
      </x:c>
      <x:c r="H14" s="32" t="n">
        <x:f>IF(E14=0,"",I14/E14)</x:f>
        <x:v>1202.2644346174131</x:v>
      </x:c>
      <x:c r="I14" s="31" t="n">
        <x:f>IF(C14=0,"",SUMIF('Species'!$G$2:$G$182,A14,'Species'!$U$2:$U$182))</x:f>
        <x:v>198.37537198964225</x:v>
      </x:c>
      <x:c r="J14" s="32" t="n">
        <x:v>4.08</x:v>
      </x:c>
      <x:c r="K14" s="32" t="n">
        <x:f>IF(J14="","",(1/'Metadata'!$B$5)^(J14-1))</x:f>
        <x:v>1202.2644346174131</x:v>
      </x:c>
      <x:c r="L14" s="31" t="n">
        <x:f>IF(E14=0,"",E14*K14)</x:f>
        <x:v>198.37537198964225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Medium benthopelagics (30 - 89 cm)</x:v>
      </x:c>
      <x:c r="B15" s="33" t="n">
        <x:v>12</x:v>
      </x:c>
      <x:c r="C15" s="33" t="n">
        <x:v>12</x:v>
      </x:c>
      <x:c r="D15" s="31" t="n">
        <x:v>1494.9523835993</x:v>
      </x:c>
      <x:c r="E15" s="31" t="n">
        <x:v>1494.9523835993</x:v>
      </x:c>
      <x:c r="F15" s="32" t="n">
        <x:v>0</x:v>
      </x:c>
      <x:c r="G15" s="34" t="n">
        <x:v>1</x:v>
      </x:c>
      <x:c r="H15" s="32" t="n">
        <x:f>IF(E15=0,"",I15/E15)</x:f>
        <x:v>2196.423902032767</x:v>
      </x:c>
      <x:c r="I15" s="31" t="n">
        <x:f>IF(C15=0,"",SUMIF('Species'!$G$2:$G$182,A15,'Species'!$U$2:$U$182))</x:f>
        <x:v>3283549.1477383603</x:v>
      </x:c>
      <x:c r="J15" s="32" t="n">
        <x:v>4.321344430004067</x:v>
      </x:c>
      <x:c r="K15" s="32" t="n">
        <x:f>IF(J15="","",(1/'Metadata'!$B$5)^(J15-1))</x:f>
        <x:v>2095.7739120323813</x:v>
      </x:c>
      <x:c r="L15" s="31" t="n">
        <x:f>IF(E15=0,"",E15*K15)</x:f>
        <x:v>3133082.205278038</x:v>
      </x:c>
      <x:c r="M15" s="31" t="n">
        <x:f>IF(E15=0,"",I15-L15)</x:f>
        <x:v>150466.9424603223</x:v>
      </x:c>
      <x:c r="N15" s="32" t="n">
        <x:f>IF(L15=0,"",I15/L15)</x:f>
        <x:v>1.0480252137038866</x:v>
      </x:c>
      <x:c r="O15" s="34" t="n">
        <x:f>IF(L15=0,"",M15/L15)</x:f>
        <x:v>0.04802521370388667</x:v>
      </x:c>
    </x:row>
    <x:row r="16" ht="18" customHeight="1">
      <x:c r="A16" s="24" t="str">
        <x:v>Medium demersals (30 - 89 cm)</x:v>
      </x:c>
      <x:c r="B16" s="33" t="n">
        <x:v>26</x:v>
      </x:c>
      <x:c r="C16" s="33" t="n">
        <x:v>26</x:v>
      </x:c>
      <x:c r="D16" s="31" t="n">
        <x:v>21123.1712981365</x:v>
      </x:c>
      <x:c r="E16" s="31" t="n">
        <x:v>21123.1712981365</x:v>
      </x:c>
      <x:c r="F16" s="32" t="n">
        <x:v>0</x:v>
      </x:c>
      <x:c r="G16" s="34" t="n">
        <x:v>1</x:v>
      </x:c>
      <x:c r="H16" s="32" t="n">
        <x:f>IF(E16=0,"",I16/E16)</x:f>
        <x:v>216.11151221327032</x:v>
      </x:c>
      <x:c r="I16" s="31" t="n">
        <x:f>IF(C16=0,"",SUMIF('Species'!$G$2:$G$182,A16,'Species'!$U$2:$U$182))</x:f>
        <x:v>4564960.491980228</x:v>
      </x:c>
      <x:c r="J16" s="32" t="n">
        <x:v>3.3052748582361304</x:v>
      </x:c>
      <x:c r="K16" s="32" t="n">
        <x:f>IF(J16="","",(1/'Metadata'!$B$5)^(J16-1))</x:f>
        <x:v>201.9644160728746</x:v>
      </x:c>
      <x:c r="L16" s="31" t="n">
        <x:f>IF(E16=0,"",E16*K16)</x:f>
        <x:v>4266128.956835443</x:v>
      </x:c>
      <x:c r="M16" s="31" t="n">
        <x:f>IF(E16=0,"",I16-L16)</x:f>
        <x:v>298831.5351447845</x:v>
      </x:c>
      <x:c r="N16" s="32" t="n">
        <x:f>IF(L16=0,"",I16/L16)</x:f>
        <x:v>1.0700474688337724</x:v>
      </x:c>
      <x:c r="O16" s="34" t="n">
        <x:f>IF(L16=0,"",M16/L16)</x:f>
        <x:v>0.07004746883377236</x:v>
      </x:c>
    </x:row>
    <x:row r="17" ht="18" customHeight="1">
      <x:c r="A17" s="24" t="str">
        <x:v>Medium pelagics (30 - 89 cm)</x:v>
      </x:c>
      <x:c r="B17" s="33" t="n">
        <x:v>13</x:v>
      </x:c>
      <x:c r="C17" s="33" t="n">
        <x:v>13</x:v>
      </x:c>
      <x:c r="D17" s="31" t="n">
        <x:v>11201.298663064399</x:v>
      </x:c>
      <x:c r="E17" s="31" t="n">
        <x:v>11201.298663064399</x:v>
      </x:c>
      <x:c r="F17" s="32" t="n">
        <x:v>0</x:v>
      </x:c>
      <x:c r="G17" s="34" t="n">
        <x:v>1</x:v>
      </x:c>
      <x:c r="H17" s="32" t="n">
        <x:f>IF(E17=0,"",I17/E17)</x:f>
        <x:v>253.48085526376653</x:v>
      </x:c>
      <x:c r="I17" s="31" t="n">
        <x:f>IF(C17=0,"",SUMIF('Species'!$G$2:$G$182,A17,'Species'!$U$2:$U$182))</x:f>
        <x:v>2839314.7651784485</x:v>
      </x:c>
      <x:c r="J17" s="32" t="n">
        <x:v>3.394189807056085</x:v>
      </x:c>
      <x:c r="K17" s="32" t="n">
        <x:f>IF(J17="","",(1/'Metadata'!$B$5)^(J17-1))</x:f>
        <x:v>247.85050438989848</x:v>
      </x:c>
      <x:c r="L17" s="31" t="n">
        <x:f>IF(E17=0,"",E17*K17)</x:f>
        <x:v>2776247.523462407</x:v>
      </x:c>
      <x:c r="M17" s="31" t="n">
        <x:f>IF(E17=0,"",I17-L17)</x:f>
        <x:v>63067.241716041695</x:v>
      </x:c>
      <x:c r="N17" s="32" t="n">
        <x:f>IF(L17=0,"",I17/L17)</x:f>
        <x:v>1.0227167214677555</x:v>
      </x:c>
      <x:c r="O17" s="34" t="n">
        <x:f>IF(L17=0,"",M17/L17)</x:f>
        <x:v>0.022716721467755573</x:v>
      </x:c>
    </x:row>
    <x:row r="18" ht="18" customHeight="1">
      <x:c r="A18" s="24" t="str">
        <x:v>Medium reef assoc. fish (30 - 89 cm)</x:v>
      </x:c>
      <x:c r="B18" s="33" t="n">
        <x:v>5</x:v>
      </x:c>
      <x:c r="C18" s="33" t="n">
        <x:v>5</x:v>
      </x:c>
      <x:c r="D18" s="31" t="n">
        <x:v>4.6251092018</x:v>
      </x:c>
      <x:c r="E18" s="31" t="n">
        <x:v>4.6251092018</x:v>
      </x:c>
      <x:c r="F18" s="32" t="n">
        <x:v>0</x:v>
      </x:c>
      <x:c r="G18" s="34" t="n">
        <x:v>1</x:v>
      </x:c>
      <x:c r="H18" s="32" t="n">
        <x:f>IF(E18=0,"",I18/E18)</x:f>
        <x:v>223.41651574051417</x:v>
      </x:c>
      <x:c r="I18" s="31" t="n">
        <x:f>IF(C18=0,"",SUMIF('Species'!$G$2:$G$182,A18,'Species'!$U$2:$U$182))</x:f>
        <x:v>1033.3257827855466</x:v>
      </x:c>
      <x:c r="J18" s="32" t="n">
        <x:v>3.3342161141491347</x:v>
      </x:c>
      <x:c r="K18" s="32" t="n">
        <x:f>IF(J18="","",(1/'Metadata'!$B$5)^(J18-1))</x:f>
        <x:v>215.881841575615</x:v>
      </x:c>
      <x:c r="L18" s="31" t="n">
        <x:f>IF(E18=0,"",E18*K18)</x:f>
        <x:v>998.4770919729067</x:v>
      </x:c>
      <x:c r="M18" s="31" t="n">
        <x:f>IF(E18=0,"",I18-L18)</x:f>
        <x:v>34.848690812639916</x:v>
      </x:c>
      <x:c r="N18" s="32" t="n">
        <x:f>IF(L18=0,"",I18/L18)</x:f>
        <x:v>1.034901843109672</x:v>
      </x:c>
      <x:c r="O18" s="34" t="n">
        <x:f>IF(L18=0,"",M18/L18)</x:f>
        <x:v>0.03490184310967199</x:v>
      </x:c>
    </x:row>
    <x:row r="19" ht="18" customHeight="1">
      <x:c r="A19" s="24" t="str">
        <x:v>Other demersal invertebrates</x:v>
      </x:c>
      <x:c r="B19" s="33" t="n">
        <x:v>21</x:v>
      </x:c>
      <x:c r="C19" s="33" t="n">
        <x:v>21</x:v>
      </x:c>
      <x:c r="D19" s="31" t="n">
        <x:v>6625.894471788699</x:v>
      </x:c>
      <x:c r="E19" s="31" t="n">
        <x:v>6625.894471788699</x:v>
      </x:c>
      <x:c r="F19" s="32" t="n">
        <x:v>0</x:v>
      </x:c>
      <x:c r="G19" s="34" t="n">
        <x:v>1</x:v>
      </x:c>
      <x:c r="H19" s="32" t="n">
        <x:f>IF(E19=0,"",I19/E19)</x:f>
        <x:v>21.725413371645725</x:v>
      </x:c>
      <x:c r="I19" s="31" t="n">
        <x:f>IF(C19=0,"",SUMIF('Species'!$G$2:$G$182,A19,'Species'!$U$2:$U$182))</x:f>
        <x:v>143950.29635651168</x:v>
      </x:c>
      <x:c r="J19" s="32" t="n">
        <x:v>2.1428321412317177</x:v>
      </x:c>
      <x:c r="K19" s="32" t="n">
        <x:f>IF(J19="","",(1/'Metadata'!$B$5)^(J19-1))</x:f>
        <x:v>13.894155056848293</x:v>
      </x:c>
      <x:c r="L19" s="31" t="n">
        <x:f>IF(E19=0,"",E19*K19)</x:f>
        <x:v>92061.2051813461</x:v>
      </x:c>
      <x:c r="M19" s="31" t="n">
        <x:f>IF(E19=0,"",I19-L19)</x:f>
        <x:v>51889.09117516558</x:v>
      </x:c>
      <x:c r="N19" s="32" t="n">
        <x:f>IF(L19=0,"",I19/L19)</x:f>
        <x:v>1.5636368877960292</x:v>
      </x:c>
      <x:c r="O19" s="34" t="n">
        <x:f>IF(L19=0,"",M19/L19)</x:f>
        <x:v>0.563636887796029</x:v>
      </x:c>
    </x:row>
    <x:row r="20" ht="18" customHeight="1">
      <x:c r="A20" s="24" t="str">
        <x:v>Shrimps</x:v>
      </x:c>
      <x:c r="B20" s="33" t="n">
        <x:v>7</x:v>
      </x:c>
      <x:c r="C20" s="33" t="n">
        <x:v>7</x:v>
      </x:c>
      <x:c r="D20" s="31" t="n">
        <x:v>8035.830714102601</x:v>
      </x:c>
      <x:c r="E20" s="31" t="n">
        <x:v>8035.830714102601</x:v>
      </x:c>
      <x:c r="F20" s="32" t="n">
        <x:v>0</x:v>
      </x:c>
      <x:c r="G20" s="34" t="n">
        <x:v>1</x:v>
      </x:c>
      <x:c r="H20" s="32" t="n">
        <x:f>IF(E20=0,"",I20/E20)</x:f>
        <x:v>154.5879002049525</x:v>
      </x:c>
      <x:c r="I20" s="31" t="n">
        <x:f>IF(C20=0,"",SUMIF('Species'!$G$2:$G$182,A20,'Species'!$U$2:$U$182))</x:f>
        <x:v>1242242.196495585</x:v>
      </x:c>
      <x:c r="J20" s="32" t="n">
        <x:v>3.188663837389951</x:v>
      </x:c>
      <x:c r="K20" s="32" t="n">
        <x:f>IF(J20="","",(1/'Metadata'!$B$5)^(J20-1))</x:f>
        <x:v>154.40588089279808</x:v>
      </x:c>
      <x:c r="L20" s="31" t="n">
        <x:f>IF(E20=0,"",E20*K20)</x:f>
        <x:v>1240779.5201164146</x:v>
      </x:c>
      <x:c r="M20" s="31" t="n">
        <x:f>IF(E20=0,"",I20-L20)</x:f>
        <x:v>1462.6763791702688</x:v>
      </x:c>
      <x:c r="N20" s="32" t="n">
        <x:f>IF(L20=0,"",I20/L20)</x:f>
        <x:v>1.0011788366550676</x:v>
      </x:c>
      <x:c r="O20" s="34" t="n">
        <x:f>IF(L20=0,"",M20/L20)</x:f>
        <x:v>0.0011788366550674813</x:v>
      </x:c>
    </x:row>
    <x:row r="21" ht="18" customHeight="1">
      <x:c r="A21" s="24" t="str">
        <x:v>Small demersals (&lt;30 cm)</x:v>
      </x:c>
      <x:c r="B21" s="33" t="n">
        <x:v>1</x:v>
      </x:c>
      <x:c r="C21" s="33" t="n">
        <x:v>1</x:v>
      </x:c>
      <x:c r="D21" s="31" t="n">
        <x:v>0.0000033116</x:v>
      </x:c>
      <x:c r="E21" s="31" t="n">
        <x:v>0.0000033116</x:v>
      </x:c>
      <x:c r="F21" s="32" t="n">
        <x:v>0</x:v>
      </x:c>
      <x:c r="G21" s="34" t="n">
        <x:v>1</x:v>
      </x:c>
      <x:c r="H21" s="32" t="n">
        <x:f>IF(E21=0,"",I21/E21)</x:f>
        <x:v>120.22644346174131</x:v>
      </x:c>
      <x:c r="I21" s="31" t="n">
        <x:f>IF(C21=0,"",SUMIF('Species'!$G$2:$G$182,A21,'Species'!$U$2:$U$182))</x:f>
        <x:v>0.0003981418901679026</x:v>
      </x:c>
      <x:c r="J21" s="32" t="n">
        <x:v>3.08</x:v>
      </x:c>
      <x:c r="K21" s="32" t="n">
        <x:f>IF(J21="","",(1/'Metadata'!$B$5)^(J21-1))</x:f>
        <x:v>120.22644346174131</x:v>
      </x:c>
      <x:c r="L21" s="31" t="n">
        <x:f>IF(E21=0,"",E21*K21)</x:f>
        <x:v>0.0003981418901679026</x:v>
      </x:c>
      <x:c r="M21" s="31" t="n">
        <x:f>IF(E21=0,"",I21-L21)</x:f>
        <x:v>0</x:v>
      </x:c>
      <x:c r="N21" s="32" t="n">
        <x:f>IF(L21=0,"",I21/L21)</x:f>
        <x:v>1</x:v>
      </x:c>
      <x:c r="O21" s="34" t="n">
        <x:f>IF(L21=0,"",M21/L21)</x:f>
        <x:v>0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28234.082952607798</x:v>
      </x:c>
      <x:c r="E22" s="31" t="n">
        <x:v>28234.082952607798</x:v>
      </x:c>
      <x:c r="F22" s="32" t="n">
        <x:v>0</x:v>
      </x:c>
      <x:c r="G22" s="34" t="n">
        <x:v>1</x:v>
      </x:c>
      <x:c r="H22" s="32" t="n">
        <x:f>IF(E22=0,"",I22/E22)</x:f>
        <x:v>102.3664528389143</x:v>
      </x:c>
      <x:c r="I22" s="31" t="n">
        <x:f>IF(C22=0,"",SUMIF('Species'!$G$2:$G$182,A22,'Species'!$U$2:$U$182))</x:f>
        <x:v>2890222.9210181204</x:v>
      </x:c>
      <x:c r="J22" s="32" t="n">
        <x:v>3.0101329171953375</x:v>
      </x:c>
      <x:c r="K22" s="32" t="n">
        <x:f>IF(J22="","",(1/'Metadata'!$B$5)^(J22-1))</x:f>
        <x:v>102.36062222571275</x:v>
      </x:c>
      <x:c r="L22" s="31" t="n">
        <x:f>IF(E22=0,"",E22*K22)</x:f>
        <x:v>2890058.299001323</x:v>
      </x:c>
      <x:c r="M22" s="31" t="n">
        <x:f>IF(E22=0,"",I22-L22)</x:f>
        <x:v>164.62201679730788</x:v>
      </x:c>
      <x:c r="N22" s="32" t="n">
        <x:f>IF(L22=0,"",I22/L22)</x:f>
        <x:v>1.0000569614865051</x:v>
      </x:c>
      <x:c r="O22" s="34" t="n">
        <x:f>IF(L22=0,"",M22/L22)</x:f>
        <x:v>0.00005696148650502795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68.80944279539999</x:v>
      </x:c>
      <x:c r="E23" s="31" t="n">
        <x:v>68.80944279539999</x:v>
      </x:c>
      <x:c r="F23" s="32" t="n">
        <x:v>0</x:v>
      </x:c>
      <x:c r="G23" s="34" t="n">
        <x:v>1</x:v>
      </x:c>
      <x:c r="H23" s="32" t="n">
        <x:f>IF(E23=0,"",I23/E23)</x:f>
        <x:v>128.9714435049621</x:v>
      </x:c>
      <x:c r="I23" s="31" t="n">
        <x:f>IF(C23=0,"",SUMIF('Species'!$G$2:$G$182,A23,'Species'!$U$2:$U$182))</x:f>
        <x:v>8874.453164094852</x:v>
      </x:c>
      <x:c r="J23" s="32" t="n">
        <x:v>3.1102739031719824</x:v>
      </x:c>
      <x:c r="K23" s="32" t="n">
        <x:f>IF(J23="","",(1/'Metadata'!$B$5)^(J23-1))</x:f>
        <x:v>128.90622880898883</x:v>
      </x:c>
      <x:c r="L23" s="31" t="n">
        <x:f>IF(E23=0,"",E23*K23)</x:f>
        <x:v>8869.965777202859</x:v>
      </x:c>
      <x:c r="M23" s="31" t="n">
        <x:f>IF(E23=0,"",I23-L23)</x:f>
        <x:v>4.487386891993083</x:v>
      </x:c>
      <x:c r="N23" s="32" t="n">
        <x:f>IF(L23=0,"",I23/L23)</x:f>
        <x:v>1.0005059080276866</x:v>
      </x:c>
      <x:c r="O23" s="34" t="n">
        <x:f>IF(L23=0,"",M23/L23)</x:f>
        <x:v>0.0005059080276866839</x:v>
      </x:c>
    </x:row>
    <x:row r="24" ht="18" customHeight="1">
      <x:c r="A24" s="24" t="str">
        <x:v>Small to medium flatfishes (&lt;90 cm)</x:v>
      </x:c>
      <x:c r="B24" s="33" t="n">
        <x:v>17</x:v>
      </x:c>
      <x:c r="C24" s="33" t="n">
        <x:v>17</x:v>
      </x:c>
      <x:c r="D24" s="31" t="n">
        <x:v>5586.2515606709</x:v>
      </x:c>
      <x:c r="E24" s="31" t="n">
        <x:v>5586.2515606709</x:v>
      </x:c>
      <x:c r="F24" s="32" t="n">
        <x:v>0</x:v>
      </x:c>
      <x:c r="G24" s="34" t="n">
        <x:v>1</x:v>
      </x:c>
      <x:c r="H24" s="32" t="n">
        <x:f>IF(E24=0,"",I24/E24)</x:f>
        <x:v>306.7000498581852</x:v>
      </x:c>
      <x:c r="I24" s="31" t="n">
        <x:f>IF(C24=0,"",SUMIF('Species'!$G$2:$G$182,A24,'Species'!$U$2:$U$182))</x:f>
        <x:v>1713303.6321781299</x:v>
      </x:c>
      <x:c r="J24" s="32" t="n">
        <x:v>3.335404768846385</x:v>
      </x:c>
      <x:c r="K24" s="32" t="n">
        <x:f>IF(J24="","",(1/'Metadata'!$B$5)^(J24-1))</x:f>
        <x:v>216.47351488247543</x:v>
      </x:c>
      <x:c r="L24" s="31" t="n">
        <x:f>IF(E24=0,"",E24*K24)</x:f>
        <x:v>1209275.5103561438</x:v>
      </x:c>
      <x:c r="M24" s="31" t="n">
        <x:f>IF(E24=0,"",I24-L24)</x:f>
        <x:v>504028.12182198605</x:v>
      </x:c>
      <x:c r="N24" s="32" t="n">
        <x:f>IF(L24=0,"",I24/L24)</x:f>
        <x:v>1.4168017275678928</x:v>
      </x:c>
      <x:c r="O24" s="34" t="n">
        <x:f>IF(L24=0,"",M24/L24)</x:f>
        <x:v>0.41680172756789285</x:v>
      </x:c>
    </x:row>
    <x:row r="25" ht="18" customHeight="1">
      <x:c r="A25" s="24" t="str">
        <x:v>Small to medium rays (&lt;90 cm)</x:v>
      </x:c>
      <x:c r="B25" s="33" t="n">
        <x:v>3</x:v>
      </x:c>
      <x:c r="C25" s="33" t="n">
        <x:v>3</x:v>
      </x:c>
      <x:c r="D25" s="31" t="n">
        <x:v>22.719974968</x:v>
      </x:c>
      <x:c r="E25" s="31" t="n">
        <x:v>22.719974968</x:v>
      </x:c>
      <x:c r="F25" s="32" t="n">
        <x:v>0</x:v>
      </x:c>
      <x:c r="G25" s="34" t="n">
        <x:v>1</x:v>
      </x:c>
      <x:c r="H25" s="32" t="n">
        <x:f>IF(E25=0,"",I25/E25)</x:f>
        <x:v>657.4503826900149</x:v>
      </x:c>
      <x:c r="I25" s="31" t="n">
        <x:f>IF(C25=0,"",SUMIF('Species'!$G$2:$G$182,A25,'Species'!$U$2:$U$182))</x:f>
        <x:v>14937.256237419157</x:v>
      </x:c>
      <x:c r="J25" s="32" t="n">
        <x:v>3.8164175750369163</x:v>
      </x:c>
      <x:c r="K25" s="32" t="n">
        <x:f>IF(J25="","",(1/'Metadata'!$B$5)^(J25-1))</x:f>
        <x:v>655.2659107921177</x:v>
      </x:c>
      <x:c r="L25" s="31" t="n">
        <x:f>IF(E25=0,"",E25*K25)</x:f>
        <x:v>14887.625090580634</x:v>
      </x:c>
      <x:c r="M25" s="31" t="n">
        <x:f>IF(E25=0,"",I25-L25)</x:f>
        <x:v>49.63114683852291</x:v>
      </x:c>
      <x:c r="N25" s="32" t="n">
        <x:f>IF(L25=0,"",I25/L25)</x:f>
        <x:v>1.0033337182080118</x:v>
      </x:c>
      <x:c r="O25" s="34" t="n">
        <x:f>IF(L25=0,"",M25/L25)</x:f>
        <x:v>0.0033337182080118623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25.410774600499998</x:v>
      </x:c>
      <x:c r="E26" s="31" t="n">
        <x:v>25.410774600499998</x:v>
      </x:c>
      <x:c r="F26" s="32" t="n">
        <x:v>0</x:v>
      </x:c>
      <x:c r="G26" s="34" t="n">
        <x:v>1</x:v>
      </x:c>
      <x:c r="H26" s="32" t="n">
        <x:f>IF(E26=0,"",I26/E26)</x:f>
        <x:v>692.2657310081697</x:v>
      </x:c>
      <x:c r="I26" s="31" t="n">
        <x:f>IF(C26=0,"",SUMIF('Species'!$G$2:$G$182,A26,'Species'!$U$2:$U$182))</x:f>
        <x:v>17591.008454298964</x:v>
      </x:c>
      <x:c r="J26" s="32" t="n">
        <x:v>3.839812387040657</x:v>
      </x:c>
      <x:c r="K26" s="32" t="n">
        <x:f>IF(J26="","",(1/'Metadata'!$B$5)^(J26-1))</x:f>
        <x:v>691.5321680799275</x:v>
      </x:c>
      <x:c r="L26" s="31" t="n">
        <x:f>IF(E26=0,"",E26*K26)</x:f>
        <x:v>17572.368052074118</x:v>
      </x:c>
      <x:c r="M26" s="31" t="n">
        <x:f>IF(E26=0,"",I26-L26)</x:f>
        <x:v>18.640402224846184</x:v>
      </x:c>
      <x:c r="N26" s="32" t="n">
        <x:f>IF(L26=0,"",I26/L26)</x:f>
        <x:v>1.001060779182954</x:v>
      </x:c>
      <x:c r="O26" s="34" t="n">
        <x:f>IF(L26=0,"",M26/L26)</x:f>
        <x:v>0.0010607791829540015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9ce0de2b0e144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EEZ_277</x:v>
      </x:c>
      <x:c r="B2" s="24" t="str">
        <x:v>raw_filtered_tonnes</x:v>
      </x:c>
      <x:c r="C2" s="24" t="n">
        <x:v>93934.3963977611</x:v>
      </x:c>
      <x:c r="D2" s="24" t="str">
        <x:v>tonnes</x:v>
      </x:c>
    </x:row>
    <x:row r="3" ht="18" customHeight="1">
      <x:c r="A3" s="24" t="str">
        <x:v>EEZ_277</x:v>
      </x:c>
      <x:c r="B3" s="24" t="str">
        <x:v>species_catch_tonnes</x:v>
      </x:c>
      <x:c r="C3" s="24" t="n">
        <x:v>93934.39639776108</x:v>
      </x:c>
      <x:c r="D3" s="24" t="str">
        <x:v>tonnes</x:v>
      </x:c>
    </x:row>
    <x:row r="4" ht="18" customHeight="1">
      <x:c r="A4" s="24" t="str">
        <x:v>EEZ_277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EEZ_277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EEZ_277</x:v>
      </x:c>
      <x:c r="B6" s="24" t="str">
        <x:v>matched_catch_tonnes</x:v>
      </x:c>
      <x:c r="C6" s="24" t="n">
        <x:v>93934.39639776108</x:v>
      </x:c>
      <x:c r="D6" s="24" t="str">
        <x:v>tonnes</x:v>
      </x:c>
    </x:row>
    <x:row r="7" ht="18" customHeight="1">
      <x:c r="A7" s="24" t="str">
        <x:v>EEZ_277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EEZ_277</x:v>
      </x:c>
      <x:c r="B8" s="24" t="str">
        <x:v>taxa_count</x:v>
      </x:c>
      <x:c r="C8" s="24" t="n">
        <x:v>181</x:v>
      </x:c>
      <x:c r="D8" s="24" t="str">
        <x:v>count</x:v>
      </x:c>
    </x:row>
    <x:row r="9" ht="18" customHeight="1">
      <x:c r="A9" s="24" t="str">
        <x:v>EEZ_277</x:v>
      </x:c>
      <x:c r="B9" s="24" t="str">
        <x:v>matched_taxa_count</x:v>
      </x:c>
      <x:c r="C9" s="24" t="n">
        <x:v>181</x:v>
      </x:c>
      <x:c r="D9" s="24" t="str">
        <x:v>count</x:v>
      </x:c>
    </x:row>
    <x:row r="10" ht="18" customHeight="1">
      <x:c r="A10" s="24" t="str">
        <x:v>EEZ_277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EEZ_277</x:v>
      </x:c>
      <x:c r="B11" s="24" t="str">
        <x:v>species_ppr</x:v>
      </x:c>
      <x:c r="C11" s="24" t="n">
        <x:v>22262518.47000501</x:v>
      </x:c>
      <x:c r="D11" s="24" t="str">
        <x:v>tonnes_primary_production_equivalent</x:v>
      </x:c>
    </x:row>
    <x:row r="12" ht="18" customHeight="1">
      <x:c r="A12" s="24" t="str">
        <x:v>EEZ_277</x:v>
      </x:c>
      <x:c r="B12" s="24" t="str">
        <x:v>commercial_ppr</x:v>
      </x:c>
      <x:c r="C12" s="24" t="n">
        <x:v>22262518.470005006</x:v>
      </x:c>
      <x:c r="D12" s="24" t="str">
        <x:v>tonnes_primary_production_equivalent</x:v>
      </x:c>
    </x:row>
    <x:row r="13" ht="18" customHeight="1">
      <x:c r="A13" s="24" t="str">
        <x:v>EEZ_277</x:v>
      </x:c>
      <x:c r="B13" s="24" t="str">
        <x:v>functional_ppr</x:v>
      </x:c>
      <x:c r="C13" s="24" t="n">
        <x:v>22262518.47000501</x:v>
      </x:c>
      <x:c r="D13" s="24" t="str">
        <x:v>tonnes_primary_production_equivalent</x:v>
      </x:c>
    </x:row>
    <x:row r="14" ht="18" customHeight="1">
      <x:c r="A14" s="24" t="str">
        <x:v>EEZ_277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EEZ_277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EEZ_277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EEZ_277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EEZ_277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EEZ_277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fbf54245f0349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EEZ_277 - Germany (North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