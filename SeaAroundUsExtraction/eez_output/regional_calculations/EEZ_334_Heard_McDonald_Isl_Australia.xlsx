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62aca0b33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f479cf9d305455b"/>
    <x:sheet xmlns:r="http://schemas.openxmlformats.org/officeDocument/2006/relationships" name="Commercial" sheetId="2" r:id="R3baaf590b9024541"/>
    <x:sheet xmlns:r="http://schemas.openxmlformats.org/officeDocument/2006/relationships" name="Functional" sheetId="3" r:id="Rc89e799c639644b2"/>
    <x:sheet xmlns:r="http://schemas.openxmlformats.org/officeDocument/2006/relationships" name="Missing TL" sheetId="4" r:id="R9f99da67c8184740"/>
    <x:sheet xmlns:r="http://schemas.openxmlformats.org/officeDocument/2006/relationships" name="Validation" sheetId="5" r:id="R495db166ecba46a3"/>
    <x:sheet xmlns:r="http://schemas.openxmlformats.org/officeDocument/2006/relationships" name="Metadata" sheetId="6" r:id="R369f39beaca4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44371682a41b5" /><Relationship Type="http://schemas.openxmlformats.org/officeDocument/2006/relationships/theme" Target="/xl/theme/theme1.xml" Id="Re074176067784467" /><Relationship Type="http://schemas.microsoft.com/office/2022/11/relationships/FeaturePropertyBag" Target="/xl/featurePropertyBag/featurePropertyBag.xml" Id="Rf13b76c5aca3458d" /><Relationship Type="http://schemas.openxmlformats.org/officeDocument/2006/relationships/sharedStrings" Target="/xl/sharedStrings.xml" Id="R3d201d27103f4e93" /><Relationship Type="http://schemas.openxmlformats.org/officeDocument/2006/relationships/worksheet" Target="/xl/worksheets/sheet1.xml" Id="R8f479cf9d305455b" /><Relationship Type="http://schemas.openxmlformats.org/officeDocument/2006/relationships/worksheet" Target="/xl/worksheets/sheet2.xml" Id="R3baaf590b9024541" /><Relationship Type="http://schemas.openxmlformats.org/officeDocument/2006/relationships/worksheet" Target="/xl/worksheets/sheet3.xml" Id="Rc89e799c639644b2" /><Relationship Type="http://schemas.openxmlformats.org/officeDocument/2006/relationships/worksheet" Target="/xl/worksheets/sheet4.xml" Id="R9f99da67c8184740" /><Relationship Type="http://schemas.openxmlformats.org/officeDocument/2006/relationships/worksheet" Target="/xl/worksheets/sheet5.xml" Id="R495db166ecba46a3" /><Relationship Type="http://schemas.openxmlformats.org/officeDocument/2006/relationships/worksheet" Target="/xl/worksheets/sheet6.xml" Id="R369f39beaca44f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34SpeciesTable" displayName="EEZ334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34CommercialTable" displayName="EEZ334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34FunctionalTable" displayName="EEZ334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34ValidationTable" displayName="EEZ33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3c36abc38340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f1d8225fcc4f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47803b6ac44d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2d4e8bc27b42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EEZ_334</x:v>
      </x:c>
      <x:c r="B2" s="24" t="str">
        <x:v>Heard &amp; McDonald Isl. (Australia)</x:v>
      </x:c>
      <x:c r="C2" s="24" t="str">
        <x:v>EEZ</x:v>
      </x:c>
      <x:c r="D2" s="30" t="n">
        <x:v>2019</x:v>
      </x:c>
      <x:c r="E2" s="24" t="str">
        <x:v>Dissostichus eleginoides</x:v>
      </x:c>
      <x:c r="F2" s="24" t="str">
        <x:v>Patagonian toothfish</x:v>
      </x:c>
      <x:c r="G2" s="24" t="str">
        <x:v>Large bathydemersals (&gt;=90 cm)</x:v>
      </x:c>
      <x:c r="H2" s="24" t="str">
        <x:v>Perch-likes</x:v>
      </x:c>
      <x:c r="I2" s="31" t="n">
        <x:v>3022.2666448859</x:v>
      </x:c>
      <x:c r="J2" s="31" t="n">
        <x:v>3022.2666448859</x:v>
      </x:c>
      <x:c r="K2" s="31" t="n">
        <x:v>0</x:v>
      </x:c>
      <x:c r="L2" s="31" t="n">
        <x:v>3022.2666448859</x:v>
      </x:c>
      <x:c r="M2" s="31" t="n">
        <x:v>0</x:v>
      </x:c>
      <x:c r="N2" s="24" t="str">
        <x:v>dissostichus eleginoides</x:v>
      </x:c>
      <x:c r="O2" s="32" t="n">
        <x:v>3.96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Dissostichus eleginoides</x:v>
      </x:c>
      <x:c r="T2" s="32" t="n">
        <x:f>IF(O2="","",(1/'Metadata'!$B$5)^(O2-1))</x:f>
        <x:v>912.0108393559096</x:v>
      </x:c>
      <x:c r="U2" s="31" t="n">
        <x:f>IF(T2="","",I2*T2)</x:f>
        <x:v>2756339.9395597586</x:v>
      </x:c>
    </x:row>
    <x:row r="3" ht="18" customHeight="1">
      <x:c r="A3" s="24" t="str">
        <x:v>EEZ_334</x:v>
      </x:c>
      <x:c r="B3" s="24" t="str">
        <x:v>Heard &amp; McDonald Isl. (Australia)</x:v>
      </x:c>
      <x:c r="C3" s="24" t="str">
        <x:v>EEZ</x:v>
      </x:c>
      <x:c r="D3" s="30" t="n">
        <x:v>2019</x:v>
      </x:c>
      <x:c r="E3" s="24" t="str">
        <x:v>Champsocephalus gunnari</x:v>
      </x:c>
      <x:c r="F3" s="24" t="str">
        <x:v>Mackerel icefish</x:v>
      </x:c>
      <x:c r="G3" s="24" t="str">
        <x:v>Medium pelagics (30 - 89 cm)</x:v>
      </x:c>
      <x:c r="H3" s="24" t="str">
        <x:v>Perch-likes</x:v>
      </x:c>
      <x:c r="I3" s="31" t="n">
        <x:v>706.2627263566001</x:v>
      </x:c>
      <x:c r="J3" s="31" t="n">
        <x:v>706.2627263566001</x:v>
      </x:c>
      <x:c r="K3" s="31" t="n">
        <x:v>0</x:v>
      </x:c>
      <x:c r="L3" s="31" t="n">
        <x:v>706.2627263566001</x:v>
      </x:c>
      <x:c r="M3" s="31" t="n">
        <x:v>0</x:v>
      </x:c>
      <x:c r="N3" s="24" t="str">
        <x:v>champsocephalus gunnari</x:v>
      </x:c>
      <x:c r="O3" s="32" t="n">
        <x:v>3.23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Champsocephalus gunnari</x:v>
      </x:c>
      <x:c r="T3" s="32" t="n">
        <x:f>IF(O3="","",(1/'Metadata'!$B$5)^(O3-1))</x:f>
        <x:v>169.82436524617444</x:v>
      </x:c>
      <x:c r="U3" s="31" t="n">
        <x:f>IF(T3="","",I3*T3)</x:f>
        <x:v>119940.6192005422</x:v>
      </x:c>
    </x:row>
    <x:row r="4" ht="18" customHeight="1">
      <x:c r="A4" s="24" t="str">
        <x:v>EEZ_334</x:v>
      </x:c>
      <x:c r="B4" s="24" t="str">
        <x:v>Heard &amp; McDonald Isl. (Australia)</x:v>
      </x:c>
      <x:c r="C4" s="24" t="str">
        <x:v>EEZ</x:v>
      </x:c>
      <x:c r="D4" s="30" t="n">
        <x:v>2019</x:v>
      </x:c>
      <x:c r="E4" s="24" t="str">
        <x:v>Macrourus</x:v>
      </x:c>
      <x:c r="F4" s="24" t="str">
        <x:v>Rattails</x:v>
      </x:c>
      <x:c r="G4" s="24" t="str">
        <x:v>Medium benthopelagics (30 - 89 cm)</x:v>
      </x:c>
      <x:c r="H4" s="24" t="str">
        <x:v>Cod-likes</x:v>
      </x:c>
      <x:c r="I4" s="31" t="n">
        <x:v>245.4068417192</x:v>
      </x:c>
      <x:c r="J4" s="31" t="n">
        <x:v>245.4068417192</x:v>
      </x:c>
      <x:c r="K4" s="31" t="n">
        <x:v>0</x:v>
      </x:c>
      <x:c r="L4" s="31" t="n">
        <x:v>245.4068417192</x:v>
      </x:c>
      <x:c r="M4" s="31" t="n">
        <x:v>0</x:v>
      </x:c>
      <x:c r="N4" s="24" t="str">
        <x:v>macrourus</x:v>
      </x:c>
      <x:c r="O4" s="32" t="n">
        <x:v>3.58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Macrourus</x:v>
      </x:c>
      <x:c r="T4" s="32" t="n">
        <x:f>IF(O4="","",(1/'Metadata'!$B$5)^(O4-1))</x:f>
        <x:v>380.1893963205613</x:v>
      </x:c>
      <x:c r="U4" s="31" t="n">
        <x:f>IF(T4="","",I4*T4)</x:f>
        <x:v>93301.07900615818</x:v>
      </x:c>
    </x:row>
    <x:row r="5" ht="18" customHeight="1">
      <x:c r="A5" s="24" t="str">
        <x:v>EEZ_334</x:v>
      </x:c>
      <x:c r="B5" s="24" t="str">
        <x:v>Heard &amp; McDonald Isl. (Australia)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143.5947790277</x:v>
      </x:c>
      <x:c r="J5" s="31" t="n">
        <x:v>132.3329658351</x:v>
      </x:c>
      <x:c r="K5" s="31" t="n">
        <x:v>11.2618131926</x:v>
      </x:c>
      <x:c r="L5" s="31" t="n">
        <x:v>132.3329658351</x:v>
      </x:c>
      <x:c r="M5" s="31" t="n">
        <x:v>11.2618131926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27361.421074189497</x:v>
      </x:c>
    </x:row>
    <x:row r="6" ht="18" customHeight="1">
      <x:c r="A6" s="24" t="str">
        <x:v>EEZ_334</x:v>
      </x:c>
      <x:c r="B6" s="24" t="str">
        <x:v>Heard &amp; McDonald Isl. (Australia)</x:v>
      </x:c>
      <x:c r="C6" s="24" t="str">
        <x:v>EEZ</x:v>
      </x:c>
      <x:c r="D6" s="30" t="n">
        <x:v>2019</x:v>
      </x:c>
      <x:c r="E6" s="24" t="str">
        <x:v>Channichthys rhinoceratus</x:v>
      </x:c>
      <x:c r="F6" s="24" t="str">
        <x:v>Unicorn icefish</x:v>
      </x:c>
      <x:c r="G6" s="24" t="str">
        <x:v>Medium demersals (30 - 89 cm)</x:v>
      </x:c>
      <x:c r="H6" s="24" t="str">
        <x:v>Perch-likes</x:v>
      </x:c>
      <x:c r="I6" s="31" t="n">
        <x:v>80.2994350914</x:v>
      </x:c>
      <x:c r="J6" s="31" t="n">
        <x:v>80.2994350914</x:v>
      </x:c>
      <x:c r="K6" s="31" t="n">
        <x:v>0</x:v>
      </x:c>
      <x:c r="L6" s="31" t="n">
        <x:v>80.2994350914</x:v>
      </x:c>
      <x:c r="M6" s="31" t="n">
        <x:v>0</x:v>
      </x:c>
      <x:c r="N6" s="24" t="str">
        <x:v>channichthys rhinoceratus</x:v>
      </x:c>
      <x:c r="O6" s="32" t="n">
        <x:v>3.25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Channichthys rhinoceratus</x:v>
      </x:c>
      <x:c r="T6" s="32" t="n">
        <x:f>IF(O6="","",(1/'Metadata'!$B$5)^(O6-1))</x:f>
        <x:v>177.82794100389228</x:v>
      </x:c>
      <x:c r="U6" s="31" t="n">
        <x:f>IF(T6="","",I6*T6)</x:f>
        <x:v>14279.483206079356</x:v>
      </x:c>
    </x:row>
    <x:row r="7" ht="18" customHeight="1">
      <x:c r="A7" s="24" t="str">
        <x:v>EEZ_334</x:v>
      </x:c>
      <x:c r="B7" s="24" t="str">
        <x:v>Heard &amp; McDonald Isl. (Australia)</x:v>
      </x:c>
      <x:c r="C7" s="24" t="str">
        <x:v>EEZ</x:v>
      </x:c>
      <x:c r="D7" s="30" t="n">
        <x:v>2019</x:v>
      </x:c>
      <x:c r="E7" s="24" t="str">
        <x:v>Rajiformes</x:v>
      </x:c>
      <x:c r="F7" s="24" t="str">
        <x:v>Skates and rays</x:v>
      </x:c>
      <x:c r="G7" s="24" t="str">
        <x:v>Large rays (&gt;=90 cm)</x:v>
      </x:c>
      <x:c r="H7" s="24" t="str">
        <x:v>Sharks &amp; rays</x:v>
      </x:c>
      <x:c r="I7" s="31" t="n">
        <x:v>19.219926897500002</x:v>
      </x:c>
      <x:c r="J7" s="31" t="n">
        <x:v>19.219926897500002</x:v>
      </x:c>
      <x:c r="K7" s="31" t="n">
        <x:v>0</x:v>
      </x:c>
      <x:c r="L7" s="31" t="n">
        <x:v>19.219926897500002</x:v>
      </x:c>
      <x:c r="M7" s="31" t="n">
        <x:v>0</x:v>
      </x:c>
      <x:c r="N7" s="24" t="str">
        <x:v>rajiformes</x:v>
      </x:c>
      <x:c r="O7" s="32" t="n">
        <x:v>3.61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Rajiformes</x:v>
      </x:c>
      <x:c r="T7" s="32" t="n">
        <x:f>IF(O7="","",(1/'Metadata'!$B$5)^(O7-1))</x:f>
        <x:v>407.3802778041126</x:v>
      </x:c>
      <x:c r="U7" s="31" t="n">
        <x:f>IF(T7="","",I7*T7)</x:f>
        <x:v>7829.819158878287</x:v>
      </x:c>
    </x:row>
    <x:row r="8" ht="18" customHeight="1">
      <x:c r="A8" s="24" t="str">
        <x:v>EEZ_334</x:v>
      </x:c>
      <x:c r="B8" s="24" t="str">
        <x:v>Heard &amp; McDonald Isl. (Australia)</x:v>
      </x:c>
      <x:c r="C8" s="24" t="str">
        <x:v>EEZ</x:v>
      </x:c>
      <x:c r="D8" s="30" t="n">
        <x:v>2019</x:v>
      </x:c>
      <x:c r="E8" s="24" t="str">
        <x:v>Bathyraja eatonii</x:v>
      </x:c>
      <x:c r="F8" s="24" t="str">
        <x:v>Eaton's skate</x:v>
      </x:c>
      <x:c r="G8" s="24" t="str">
        <x:v>Small to medium rays (&lt;90 cm)</x:v>
      </x:c>
      <x:c r="H8" s="24" t="str">
        <x:v>Sharks &amp; rays</x:v>
      </x:c>
      <x:c r="I8" s="31" t="n">
        <x:v>13.4821693991</x:v>
      </x:c>
      <x:c r="J8" s="31" t="n">
        <x:v>13.4821693991</x:v>
      </x:c>
      <x:c r="K8" s="31" t="n">
        <x:v>0</x:v>
      </x:c>
      <x:c r="L8" s="31" t="n">
        <x:v>13.4821693991</x:v>
      </x:c>
      <x:c r="M8" s="31" t="n">
        <x:v>0</x:v>
      </x:c>
      <x:c r="N8" s="24" t="str">
        <x:v>bathyraja eatonii</x:v>
      </x:c>
      <x:c r="O8" s="32" t="n">
        <x:v>3.59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Bathyraja eatonii</x:v>
      </x:c>
      <x:c r="T8" s="32" t="n">
        <x:f>IF(O8="","",(1/'Metadata'!$B$5)^(O8-1))</x:f>
        <x:v>389.04514499428046</x:v>
      </x:c>
      <x:c r="U8" s="31" t="n">
        <x:f>IF(T8="","",I8*T8)</x:f>
        <x:v>5245.17254871031</x:v>
      </x:c>
    </x:row>
    <x:row r="9" ht="18" customHeight="1">
      <x:c r="A9" s="24" t="str">
        <x:v>EEZ_334</x:v>
      </x:c>
      <x:c r="B9" s="24" t="str">
        <x:v>Heard &amp; McDonald Isl. (Australia)</x:v>
      </x:c>
      <x:c r="C9" s="24" t="str">
        <x:v>EEZ</x:v>
      </x:c>
      <x:c r="D9" s="30" t="n">
        <x:v>2019</x:v>
      </x:c>
      <x:c r="E9" s="24" t="str">
        <x:v>Antimora rostrata</x:v>
      </x:c>
      <x:c r="F9" s="24" t="str">
        <x:v>Blue antimora</x:v>
      </x:c>
      <x:c r="G9" s="24" t="str">
        <x:v>Medium bathypelagics (30 - 89 cm)</x:v>
      </x:c>
      <x:c r="H9" s="24" t="str">
        <x:v>Cod-likes</x:v>
      </x:c>
      <x:c r="I9" s="31" t="n">
        <x:v>6.7569505805</x:v>
      </x:c>
      <x:c r="J9" s="31" t="n">
        <x:v>6.7569505805</x:v>
      </x:c>
      <x:c r="K9" s="31" t="n">
        <x:v>0</x:v>
      </x:c>
      <x:c r="L9" s="31" t="n">
        <x:v>6.7569505805</x:v>
      </x:c>
      <x:c r="M9" s="31" t="n">
        <x:v>0</x:v>
      </x:c>
      <x:c r="N9" s="24" t="str">
        <x:v>antimora rostrata</x:v>
      </x:c>
      <x:c r="O9" s="32" t="n">
        <x:v>3.58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Antimora rostrata</x:v>
      </x:c>
      <x:c r="T9" s="32" t="n">
        <x:f>IF(O9="","",(1/'Metadata'!$B$5)^(O9-1))</x:f>
        <x:v>380.1893963205613</x:v>
      </x:c>
      <x:c r="U9" s="31" t="n">
        <x:f>IF(T9="","",I9*T9)</x:f>
        <x:v>2568.920962168161</x:v>
      </x:c>
    </x:row>
    <x:row r="10" ht="18" customHeight="1">
      <x:c r="A10" s="24" t="str">
        <x:v>EEZ_334</x:v>
      </x:c>
      <x:c r="B10" s="24" t="str">
        <x:v>Heard &amp; McDonald Isl. (Australia)</x:v>
      </x:c>
      <x:c r="C10" s="24" t="str">
        <x:v>EEZ</x:v>
      </x:c>
      <x:c r="D10" s="30" t="n">
        <x:v>2019</x:v>
      </x:c>
      <x:c r="E10" s="24" t="str">
        <x:v>Lepidonotothen squamifrons</x:v>
      </x:c>
      <x:c r="F10" s="24" t="str">
        <x:v>Grey rockcod</x:v>
      </x:c>
      <x:c r="G10" s="24" t="str">
        <x:v>Medium benthopelagics (30 - 89 cm)</x:v>
      </x:c>
      <x:c r="H10" s="24" t="str">
        <x:v>Perch-likes</x:v>
      </x:c>
      <x:c r="I10" s="31" t="n">
        <x:v>5.2922584482</x:v>
      </x:c>
      <x:c r="J10" s="31" t="n">
        <x:v>5.2922584482</x:v>
      </x:c>
      <x:c r="K10" s="31" t="n">
        <x:v>0</x:v>
      </x:c>
      <x:c r="L10" s="31" t="n">
        <x:v>5.2922584482</x:v>
      </x:c>
      <x:c r="M10" s="31" t="n">
        <x:v>0</x:v>
      </x:c>
      <x:c r="N10" s="24" t="str">
        <x:v>lepidonotothen squamifrons</x:v>
      </x:c>
      <x:c r="O10" s="32" t="n">
        <x:v>3.09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Lepidonotothen squamifrons</x:v>
      </x:c>
      <x:c r="T10" s="32" t="n">
        <x:f>IF(O10="","",(1/'Metadata'!$B$5)^(O10-1))</x:f>
        <x:v>123.02687708123811</x:v>
      </x:c>
      <x:c r="U10" s="31" t="n">
        <x:f>IF(T10="","",I10*T10)</x:f>
        <x:v>651.0900295888454</x:v>
      </x:c>
    </x:row>
    <x:row r="11" ht="18" customHeight="1">
      <x:c r="A11" s="24" t="str">
        <x:v>EEZ_334</x:v>
      </x:c>
      <x:c r="B11" s="24" t="str">
        <x:v>Heard &amp; McDonald Isl. (Australia)</x:v>
      </x:c>
      <x:c r="C11" s="24" t="str">
        <x:v>EEZ</x:v>
      </x:c>
      <x:c r="D11" s="30" t="n">
        <x:v>2019</x:v>
      </x:c>
      <x:c r="E11" s="24" t="str">
        <x:v>Gobionotothen acuta</x:v>
      </x:c>
      <x:c r="F11" s="24" t="str">
        <x:v>Triangular rockcod</x:v>
      </x:c>
      <x:c r="G11" s="24" t="str">
        <x:v>Medium demersals (30 - 89 cm)</x:v>
      </x:c>
      <x:c r="H11" s="24" t="str">
        <x:v>Perch-likes</x:v>
      </x:c>
      <x:c r="I11" s="31" t="n">
        <x:v>2.4131812759</x:v>
      </x:c>
      <x:c r="J11" s="31" t="n">
        <x:v>2.4131812759</x:v>
      </x:c>
      <x:c r="K11" s="31" t="n">
        <x:v>0</x:v>
      </x:c>
      <x:c r="L11" s="31" t="n">
        <x:v>2.4131812759</x:v>
      </x:c>
      <x:c r="M11" s="31" t="n">
        <x:v>0</x:v>
      </x:c>
      <x:c r="N11" s="24" t="str">
        <x:v>gobionotothen acuta</x:v>
      </x:c>
      <x:c r="O11" s="32" t="n">
        <x:v>3.22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Gobionotothen acuta</x:v>
      </x:c>
      <x:c r="T11" s="32" t="n">
        <x:f>IF(O11="","",(1/'Metadata'!$B$5)^(O11-1))</x:f>
        <x:v>165.95869074375614</x:v>
      </x:c>
      <x:c r="U11" s="31" t="n">
        <x:f>IF(T11="","",I11*T11)</x:f>
        <x:v>400.48840507571094</x:v>
      </x:c>
    </x:row>
    <x:row r="12" ht="18" customHeight="1">
      <x:c r="A12" s="24" t="str">
        <x:v>EEZ_334</x:v>
      </x:c>
      <x:c r="B12" s="24" t="str">
        <x:v>Heard &amp; McDonald Isl. (Australia)</x:v>
      </x:c>
      <x:c r="C12" s="24" t="str">
        <x:v>EEZ</x:v>
      </x:c>
      <x:c r="D12" s="30" t="n">
        <x:v>2019</x:v>
      </x:c>
      <x:c r="E12" s="24" t="str">
        <x:v>Bathyraja irrasa</x:v>
      </x:c>
      <x:c r="F12" s="24" t="str">
        <x:v>Kerguelen sandpaper skate</x:v>
      </x:c>
      <x:c r="G12" s="24" t="str">
        <x:v>Large rays (&gt;=90 cm)</x:v>
      </x:c>
      <x:c r="H12" s="24" t="str">
        <x:v>Sharks &amp; rays</x:v>
      </x:c>
      <x:c r="I12" s="31" t="n">
        <x:v>1.702565458</x:v>
      </x:c>
      <x:c r="J12" s="31" t="n">
        <x:v>1.702565458</x:v>
      </x:c>
      <x:c r="K12" s="31" t="n">
        <x:v>0</x:v>
      </x:c>
      <x:c r="L12" s="31" t="n">
        <x:v>1.702565458</x:v>
      </x:c>
      <x:c r="M12" s="31" t="n">
        <x:v>0</x:v>
      </x:c>
      <x:c r="N12" s="24" t="str">
        <x:v>bathyraja irrasa</x:v>
      </x:c>
      <x:c r="O12" s="32" t="n">
        <x:v>3.29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Bathyraja irrasa</x:v>
      </x:c>
      <x:c r="T12" s="32" t="n">
        <x:f>IF(O12="","",(1/'Metadata'!$B$5)^(O12-1))</x:f>
        <x:v>194.98445997580455</x:v>
      </x:c>
      <x:c r="U12" s="31" t="n">
        <x:f>IF(T12="","",I12*T12)</x:f>
        <x:v>331.9738064015884</x:v>
      </x:c>
    </x:row>
    <x:row r="13" ht="18" customHeight="1">
      <x:c r="A13" s="24" t="str">
        <x:v>EEZ_334</x:v>
      </x:c>
      <x:c r="B13" s="24" t="str">
        <x:v>Heard &amp; McDonald Isl. (Australia)</x:v>
      </x:c>
      <x:c r="C13" s="24" t="str">
        <x:v>EEZ</x:v>
      </x:c>
      <x:c r="D13" s="30" t="n">
        <x:v>2019</x:v>
      </x:c>
      <x:c r="E13" s="24" t="str">
        <x:v>Macrourus whitsoni</x:v>
      </x:c>
      <x:c r="F13" s="24" t="str">
        <x:v>Whitson's grenadier</x:v>
      </x:c>
      <x:c r="G13" s="24" t="str">
        <x:v>Medium bathypelagics (30 - 89 cm)</x:v>
      </x:c>
      <x:c r="H13" s="24" t="str">
        <x:v>Cod-likes</x:v>
      </x:c>
      <x:c r="I13" s="31" t="n">
        <x:v>1.5421387827000002</x:v>
      </x:c>
      <x:c r="J13" s="31" t="n">
        <x:v>1.5421387827000002</x:v>
      </x:c>
      <x:c r="K13" s="31" t="n">
        <x:v>0</x:v>
      </x:c>
      <x:c r="L13" s="31" t="n">
        <x:v>1.5421387827000002</x:v>
      </x:c>
      <x:c r="M13" s="31" t="n">
        <x:v>0</x:v>
      </x:c>
      <x:c r="N13" s="24" t="str">
        <x:v>macrourus whitsoni</x:v>
      </x:c>
      <x:c r="O13" s="32" t="n">
        <x:v>3.47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Macrourus whitsoni</x:v>
      </x:c>
      <x:c r="T13" s="32" t="n">
        <x:f>IF(O13="","",(1/'Metadata'!$B$5)^(O13-1))</x:f>
        <x:v>295.1209226666387</x:v>
      </x:c>
      <x:c r="U13" s="31" t="n">
        <x:f>IF(T13="","",I13*T13)</x:f>
        <x:v>455.1174204304311</x:v>
      </x:c>
    </x:row>
    <x:row r="14" ht="18" customHeight="1">
      <x:c r="A14" s="24" t="str">
        <x:v>EEZ_334</x:v>
      </x:c>
      <x:c r="B14" s="24" t="str">
        <x:v>Heard &amp; McDonald Isl. (Australia)</x:v>
      </x:c>
      <x:c r="C14" s="24" t="str">
        <x:v>EEZ</x:v>
      </x:c>
      <x:c r="D14" s="30" t="n">
        <x:v>2019</x:v>
      </x:c>
      <x:c r="E14" s="24" t="str">
        <x:v>Bathyraja murrayi</x:v>
      </x:c>
      <x:c r="F14" s="24" t="str">
        <x:v>Murray's skate</x:v>
      </x:c>
      <x:c r="G14" s="24" t="str">
        <x:v>Small to medium rays (&lt;90 cm)</x:v>
      </x:c>
      <x:c r="H14" s="24" t="str">
        <x:v>Sharks &amp; rays</x:v>
      </x:c>
      <x:c r="I14" s="31" t="n">
        <x:v>1.2600767801</x:v>
      </x:c>
      <x:c r="J14" s="31" t="n">
        <x:v>1.2600767801</x:v>
      </x:c>
      <x:c r="K14" s="31" t="n">
        <x:v>0</x:v>
      </x:c>
      <x:c r="L14" s="31" t="n">
        <x:v>1.2600767801</x:v>
      </x:c>
      <x:c r="M14" s="31" t="n">
        <x:v>0</x:v>
      </x:c>
      <x:c r="N14" s="24" t="str">
        <x:v>bathyraja murrayi</x:v>
      </x:c>
      <x:c r="O14" s="32" t="n">
        <x:v>3.8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Bathyraja murrayi</x:v>
      </x:c>
      <x:c r="T14" s="32" t="n">
        <x:f>IF(O14="","",(1/'Metadata'!$B$5)^(O14-1))</x:f>
        <x:v>630.957344480193</x:v>
      </x:c>
      <x:c r="U14" s="31" t="n">
        <x:f>IF(T14="","",I14*T14)</x:f>
        <x:v>795.0546990130481</x:v>
      </x:c>
    </x:row>
    <x:row r="15" ht="18" customHeight="1">
      <x:c r="A15" s="24" t="str">
        <x:v>EEZ_334</x:v>
      </x:c>
      <x:c r="B15" s="24" t="str">
        <x:v>Heard &amp; McDonald Isl. (Australia)</x:v>
      </x:c>
      <x:c r="C15" s="24" t="str">
        <x:v>EEZ</x:v>
      </x:c>
      <x:c r="D15" s="30" t="n">
        <x:v>2019</x:v>
      </x:c>
      <x:c r="E15" s="24" t="str">
        <x:v>Cnidaria</x:v>
      </x:c>
      <x:c r="F15" s="24" t="str">
        <x:v>Cnidarians, coelenterates</x:v>
      </x:c>
      <x:c r="G15" s="24" t="str">
        <x:v>Jellyfish</x:v>
      </x:c>
      <x:c r="H15" s="24" t="str">
        <x:v>Other fishes &amp; inverts</x:v>
      </x:c>
      <x:c r="I15" s="31" t="n">
        <x:v>0.4634866901</x:v>
      </x:c>
      <x:c r="J15" s="31" t="n">
        <x:v>0.4634866901</x:v>
      </x:c>
      <x:c r="K15" s="31" t="n">
        <x:v>0</x:v>
      </x:c>
      <x:c r="L15" s="31" t="n">
        <x:v>0.4634866901</x:v>
      </x:c>
      <x:c r="M15" s="31" t="n">
        <x:v>0</x:v>
      </x:c>
      <x:c r="N15" s="24" t="str">
        <x:v>cnidaria</x:v>
      </x:c>
      <x:c r="O15" s="32" t="n">
        <x:v>2.5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Cnidaria</x:v>
      </x:c>
      <x:c r="T15" s="32" t="n">
        <x:f>IF(O15="","",(1/'Metadata'!$B$5)^(O15-1))</x:f>
        <x:v>31.622776601683793</x:v>
      </x:c>
      <x:c r="U15" s="31" t="n">
        <x:f>IF(T15="","",I15*T15)</x:f>
        <x:v>14.656736058886146</x:v>
      </x:c>
    </x:row>
    <x:row r="16" ht="18" customHeight="1">
      <x:c r="A16" s="24" t="str">
        <x:v>EEZ_334</x:v>
      </x:c>
      <x:c r="B16" s="24" t="str">
        <x:v>Heard &amp; McDonald Isl. (Australia)</x:v>
      </x:c>
      <x:c r="C16" s="24" t="str">
        <x:v>EEZ</x:v>
      </x:c>
      <x:c r="D16" s="30" t="n">
        <x:v>2019</x:v>
      </x:c>
      <x:c r="E16" s="24" t="str">
        <x:v>Ascidiacea</x:v>
      </x:c>
      <x:c r="F16" s="24" t="str">
        <x:v>Sea squirts</x:v>
      </x:c>
      <x:c r="G16" s="24" t="str">
        <x:v>Other demersal invertebrates</x:v>
      </x:c>
      <x:c r="H16" s="24" t="str">
        <x:v>Other fishes &amp; inverts</x:v>
      </x:c>
      <x:c r="I16" s="31" t="n">
        <x:v>0.1341179545</x:v>
      </x:c>
      <x:c r="J16" s="31" t="n">
        <x:v>0.1341179545</x:v>
      </x:c>
      <x:c r="K16" s="31" t="n">
        <x:v>0</x:v>
      </x:c>
      <x:c r="L16" s="31" t="n">
        <x:v>0.1341179545</x:v>
      </x:c>
      <x:c r="M16" s="31" t="n">
        <x:v>0</x:v>
      </x:c>
      <x:c r="N16" s="24" t="str">
        <x:v>ascidiacea</x:v>
      </x:c>
      <x:c r="O16" s="32" t="n">
        <x:v>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Ascidiacea</x:v>
      </x:c>
      <x:c r="T16" s="32" t="n">
        <x:f>IF(O16="","",(1/'Metadata'!$B$5)^(O16-1))</x:f>
        <x:v>100</x:v>
      </x:c>
      <x:c r="U16" s="31" t="n">
        <x:f>IF(T16="","",I16*T16)</x:f>
        <x:v>13.41179545</x:v>
      </x:c>
    </x:row>
    <x:row r="17" ht="18" customHeight="1">
      <x:c r="A17" s="24" t="str">
        <x:v>EEZ_334</x:v>
      </x:c>
      <x:c r="B17" s="24" t="str">
        <x:v>Heard &amp; McDonald Isl. (Australia)</x:v>
      </x:c>
      <x:c r="C17" s="24" t="str">
        <x:v>EEZ</x:v>
      </x:c>
      <x:c r="D17" s="30" t="n">
        <x:v>2019</x:v>
      </x:c>
      <x:c r="E17" s="24" t="str">
        <x:v>Notothenia rossii</x:v>
      </x:c>
      <x:c r="F17" s="24" t="str">
        <x:v>Marbled rockcod</x:v>
      </x:c>
      <x:c r="G17" s="24" t="str">
        <x:v>Medium demersals (30 - 89 cm)</x:v>
      </x:c>
      <x:c r="H17" s="24" t="str">
        <x:v>Perch-likes</x:v>
      </x:c>
      <x:c r="I17" s="31" t="n">
        <x:v>0.1294207524</x:v>
      </x:c>
      <x:c r="J17" s="31" t="n">
        <x:v>0.1294207524</x:v>
      </x:c>
      <x:c r="K17" s="31" t="n">
        <x:v>0</x:v>
      </x:c>
      <x:c r="L17" s="31" t="n">
        <x:v>0.1294207524</x:v>
      </x:c>
      <x:c r="M17" s="31" t="n">
        <x:v>0</x:v>
      </x:c>
      <x:c r="N17" s="24" t="str">
        <x:v>notothenia rossii</x:v>
      </x:c>
      <x:c r="O17" s="32" t="n">
        <x:v>3.55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Notothenia rossii</x:v>
      </x:c>
      <x:c r="T17" s="32" t="n">
        <x:f>IF(O17="","",(1/'Metadata'!$B$5)^(O17-1))</x:f>
        <x:v>354.8133892335753</x:v>
      </x:c>
      <x:c r="U17" s="31" t="n">
        <x:f>IF(T17="","",I17*T17)</x:f>
        <x:v>45.92021579620338</x:v>
      </x:c>
    </x:row>
    <x:row r="18" ht="18" customHeight="1">
      <x:c r="A18" s="24" t="str">
        <x:v>EEZ_334</x:v>
      </x:c>
      <x:c r="B18" s="24" t="str">
        <x:v>Heard &amp; McDonald Isl. (Australia)</x:v>
      </x:c>
      <x:c r="C18" s="24" t="str">
        <x:v>EEZ</x:v>
      </x:c>
      <x:c r="D18" s="30" t="n">
        <x:v>2019</x:v>
      </x:c>
      <x:c r="E18" s="24" t="str">
        <x:v>Lamna nasus</x:v>
      </x:c>
      <x:c r="F18" s="24" t="str">
        <x:v>Porbeagle</x:v>
      </x:c>
      <x:c r="G18" s="24" t="str">
        <x:v>Large sharks (&gt;=90 cm)</x:v>
      </x:c>
      <x:c r="H18" s="24" t="str">
        <x:v>Sharks &amp; rays</x:v>
      </x:c>
      <x:c r="I18" s="31" t="n">
        <x:v>0.0724551295</x:v>
      </x:c>
      <x:c r="J18" s="31" t="n">
        <x:v>0.0724551295</x:v>
      </x:c>
      <x:c r="K18" s="31" t="n">
        <x:v>0</x:v>
      </x:c>
      <x:c r="L18" s="31" t="n">
        <x:v>0.0724551295</x:v>
      </x:c>
      <x:c r="M18" s="31" t="n">
        <x:v>0</x:v>
      </x:c>
      <x:c r="N18" s="24" t="str">
        <x:v>lamna nasus</x:v>
      </x:c>
      <x:c r="O18" s="32" t="n">
        <x:v>4.57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Lamna nasus</x:v>
      </x:c>
      <x:c r="T18" s="32" t="n">
        <x:f>IF(O18="","",(1/'Metadata'!$B$5)^(O18-1))</x:f>
        <x:v>3715.3522909717276</x:v>
      </x:c>
      <x:c r="U18" s="31" t="n">
        <x:f>IF(T18="","",I18*T18)</x:f>
        <x:v>269.1963313804782</x:v>
      </x:c>
    </x:row>
    <x:row r="19" ht="18" customHeight="1">
      <x:c r="A19" s="24" t="str">
        <x:v>EEZ_334</x:v>
      </x:c>
      <x:c r="B19" s="24" t="str">
        <x:v>Heard &amp; McDonald Isl. (Australia)</x:v>
      </x:c>
      <x:c r="C19" s="24" t="str">
        <x:v>EEZ</x:v>
      </x:c>
      <x:c r="D19" s="30" t="n">
        <x:v>2019</x:v>
      </x:c>
      <x:c r="E19" s="24" t="str">
        <x:v>Etmopterus</x:v>
      </x:c>
      <x:c r="F19" s="24" t="str">
        <x:v>Lanternsharks</x:v>
      </x:c>
      <x:c r="G19" s="24" t="str">
        <x:v>Small to medium sharks (&lt;90 cm)</x:v>
      </x:c>
      <x:c r="H19" s="24" t="str">
        <x:v>Sharks &amp; rays</x:v>
      </x:c>
      <x:c r="I19" s="31" t="n">
        <x:v>0.0415991334</x:v>
      </x:c>
      <x:c r="J19" s="31" t="n">
        <x:v>0.0415991334</x:v>
      </x:c>
      <x:c r="K19" s="31" t="n">
        <x:v>0</x:v>
      </x:c>
      <x:c r="L19" s="31" t="n">
        <x:v>0.0415991334</x:v>
      </x:c>
      <x:c r="M19" s="31" t="n">
        <x:v>0</x:v>
      </x:c>
      <x:c r="N19" s="24" t="str">
        <x:v>etmopterus</x:v>
      </x:c>
      <x:c r="O19" s="32" t="n">
        <x:v>4.02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Etmopterus</x:v>
      </x:c>
      <x:c r="T19" s="32" t="n">
        <x:f>IF(O19="","",(1/'Metadata'!$B$5)^(O19-1))</x:f>
        <x:v>1047.1285480508984</x:v>
      </x:c>
      <x:c r="U19" s="31" t="n">
        <x:f>IF(T19="","",I19*T19)</x:f>
        <x:v>43.55964015731764</x:v>
      </x:c>
    </x:row>
    <x:row r="20" ht="18" customHeight="1">
      <x:c r="A20" s="24" t="str">
        <x:v>EEZ_334</x:v>
      </x:c>
      <x:c r="B20" s="24" t="str">
        <x:v>Heard &amp; McDonald Isl. (Australia)</x:v>
      </x:c>
      <x:c r="C20" s="24" t="str">
        <x:v>EEZ</x:v>
      </x:c>
      <x:c r="D20" s="30" t="n">
        <x:v>2019</x:v>
      </x:c>
      <x:c r="E20" s="24" t="str">
        <x:v>Zanclorhynchus spinifer</x:v>
      </x:c>
      <x:c r="F20" s="24" t="str">
        <x:v>Antarctic horsefish</x:v>
      </x:c>
      <x:c r="G20" s="24" t="str">
        <x:v>Medium demersals (30 - 89 cm)</x:v>
      </x:c>
      <x:c r="H20" s="24" t="str">
        <x:v>Scorpionfishes</x:v>
      </x:c>
      <x:c r="I20" s="31" t="n">
        <x:v>0.0414029312</x:v>
      </x:c>
      <x:c r="J20" s="31" t="n">
        <x:v>0.0414029312</x:v>
      </x:c>
      <x:c r="K20" s="31" t="n">
        <x:v>0</x:v>
      </x:c>
      <x:c r="L20" s="31" t="n">
        <x:v>0.0414029312</x:v>
      </x:c>
      <x:c r="M20" s="31" t="n">
        <x:v>0</x:v>
      </x:c>
      <x:c r="N20" s="24" t="str">
        <x:v>zanclorhynchus spinifer</x:v>
      </x:c>
      <x:c r="O20" s="32" t="n">
        <x:v>3.285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Zanclorhynchus spinifer</x:v>
      </x:c>
      <x:c r="T20" s="32" t="n">
        <x:f>IF(O20="","",(1/'Metadata'!$B$5)^(O20-1))</x:f>
        <x:v>192.75249131909365</x:v>
      </x:c>
      <x:c r="U20" s="31" t="n">
        <x:f>IF(T20="","",I20*T20)</x:f>
        <x:v>7.980518136713032</x:v>
      </x:c>
    </x:row>
    <x:row r="21" ht="18" customHeight="1">
      <x:c r="A21" s="24" t="str">
        <x:v>EEZ_334</x:v>
      </x:c>
      <x:c r="B21" s="24" t="str">
        <x:v>Heard &amp; McDonald Isl. (Australia)</x:v>
      </x:c>
      <x:c r="C21" s="24" t="str">
        <x:v>EEZ</x:v>
      </x:c>
      <x:c r="D21" s="30" t="n">
        <x:v>2019</x:v>
      </x:c>
      <x:c r="E21" s="24" t="str">
        <x:v>Nototheniops mizops</x:v>
      </x:c>
      <x:c r="F21" s="24" t="str">
        <x:v>Toad notie</x:v>
      </x:c>
      <x:c r="G21" s="24" t="str">
        <x:v>Small benthopelagics (&lt;30 cm)</x:v>
      </x:c>
      <x:c r="H21" s="24" t="str">
        <x:v>Perch-likes</x:v>
      </x:c>
      <x:c r="I21" s="31" t="n">
        <x:v>0.0310748522</x:v>
      </x:c>
      <x:c r="J21" s="31" t="n">
        <x:v>0.0310748522</x:v>
      </x:c>
      <x:c r="K21" s="31" t="n">
        <x:v>0</x:v>
      </x:c>
      <x:c r="L21" s="31" t="n">
        <x:v>0.0310748522</x:v>
      </x:c>
      <x:c r="M21" s="31" t="n">
        <x:v>0</x:v>
      </x:c>
      <x:c r="N21" s="24" t="str">
        <x:v>nototheniops mizops</x:v>
      </x:c>
      <x:c r="O21" s="32" t="n">
        <x:v>3.22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Nototheniops mizops</x:v>
      </x:c>
      <x:c r="T21" s="32" t="n">
        <x:f>IF(O21="","",(1/'Metadata'!$B$5)^(O21-1))</x:f>
        <x:v>165.95869074375614</x:v>
      </x:c>
      <x:c r="U21" s="31" t="n">
        <x:f>IF(T21="","",I21*T21)</x:f>
        <x:v>5.15714178616773</x:v>
      </x:c>
    </x:row>
    <x:row r="22" ht="18" customHeight="1">
      <x:c r="A22" s="24" t="str">
        <x:v>EEZ_334</x:v>
      </x:c>
      <x:c r="B22" s="24" t="str">
        <x:v>Heard &amp; McDonald Isl. (Australia)</x:v>
      </x:c>
      <x:c r="C22" s="24" t="str">
        <x:v>EEZ</x:v>
      </x:c>
      <x:c r="D22" s="30" t="n">
        <x:v>2019</x:v>
      </x:c>
      <x:c r="E22" s="24" t="str">
        <x:v>Teuthida</x:v>
      </x:c>
      <x:c r="F22" s="24" t="str">
        <x:v>Squids</x:v>
      </x:c>
      <x:c r="G22" s="24" t="str">
        <x:v>Cephalopods</x:v>
      </x:c>
      <x:c r="H22" s="24" t="str">
        <x:v>Other fishes &amp; inverts</x:v>
      </x:c>
      <x:c r="I22" s="31" t="n">
        <x:v>0.0310172459</x:v>
      </x:c>
      <x:c r="J22" s="31" t="n">
        <x:v>0.0310172459</x:v>
      </x:c>
      <x:c r="K22" s="31" t="n">
        <x:v>0</x:v>
      </x:c>
      <x:c r="L22" s="31" t="n">
        <x:v>0.0310172459</x:v>
      </x:c>
      <x:c r="M22" s="31" t="n">
        <x:v>0</x:v>
      </x:c>
      <x:c r="N22" s="24" t="str">
        <x:v>teuthida</x:v>
      </x:c>
      <x:c r="O22" s="32" t="n">
        <x:v>4.13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Teuthida</x:v>
      </x:c>
      <x:c r="T22" s="32" t="n">
        <x:f>IF(O22="","",(1/'Metadata'!$B$5)^(O22-1))</x:f>
        <x:v>1348.9628825916532</x:v>
      </x:c>
      <x:c r="U22" s="31" t="n">
        <x:f>IF(T22="","",I22*T22)</x:f>
        <x:v>41.841113439318136</x:v>
      </x:c>
    </x:row>
    <x:row r="23" ht="18" customHeight="1">
      <x:c r="A23" s="24" t="str">
        <x:v>EEZ_334</x:v>
      </x:c>
      <x:c r="B23" s="24" t="str">
        <x:v>Heard &amp; McDonald Isl. (Australia)</x:v>
      </x:c>
      <x:c r="C23" s="24" t="str">
        <x:v>EEZ</x:v>
      </x:c>
      <x:c r="D23" s="30" t="n">
        <x:v>2019</x:v>
      </x:c>
      <x:c r="E23" s="24" t="str">
        <x:v>Myctophidae</x:v>
      </x:c>
      <x:c r="F23" s="24" t="str">
        <x:v>Lanternfishes</x:v>
      </x:c>
      <x:c r="G23" s="24" t="str">
        <x:v>Small pelagics (&lt;30 cm)</x:v>
      </x:c>
      <x:c r="H23" s="24" t="str">
        <x:v>Other fishes &amp; inverts</x:v>
      </x:c>
      <x:c r="I23" s="31" t="n">
        <x:v>0.0168165547</x:v>
      </x:c>
      <x:c r="J23" s="31" t="n">
        <x:v>0.0168165547</x:v>
      </x:c>
      <x:c r="K23" s="31" t="n">
        <x:v>0</x:v>
      </x:c>
      <x:c r="L23" s="31" t="n">
        <x:v>0.0168165547</x:v>
      </x:c>
      <x:c r="M23" s="31" t="n">
        <x:v>0</x:v>
      </x:c>
      <x:c r="N23" s="24" t="str">
        <x:v>myctophidae</x:v>
      </x:c>
      <x:c r="O23" s="32" t="n">
        <x:v>3.3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Myctophidae</x:v>
      </x:c>
      <x:c r="T23" s="32" t="n">
        <x:f>IF(O23="","",(1/'Metadata'!$B$5)^(O23-1))</x:f>
        <x:v>199.52623149688787</x:v>
      </x:c>
      <x:c r="U23" s="31" t="n">
        <x:f>IF(T23="","",I23*T23)</x:f>
        <x:v>3.355343786052278</x:v>
      </x:c>
    </x:row>
    <x:row r="24" ht="18" customHeight="1">
      <x:c r="A24" s="24" t="str">
        <x:v>EEZ_334</x:v>
      </x:c>
      <x:c r="B24" s="24" t="str">
        <x:v>Heard &amp; McDonald Isl. (Australia)</x:v>
      </x:c>
      <x:c r="C24" s="24" t="str">
        <x:v>EEZ</x:v>
      </x:c>
      <x:c r="D24" s="30" t="n">
        <x:v>2019</x:v>
      </x:c>
      <x:c r="E24" s="24" t="str">
        <x:v>Lithodidae</x:v>
      </x:c>
      <x:c r="F24" s="24" t="str">
        <x:v>Stone/king crabs</x:v>
      </x:c>
      <x:c r="G24" s="24" t="str">
        <x:v>Lobsters, crabs</x:v>
      </x:c>
      <x:c r="H24" s="24" t="str">
        <x:v>Crustaceans</x:v>
      </x:c>
      <x:c r="I24" s="31" t="n">
        <x:v>0.0076688425</x:v>
      </x:c>
      <x:c r="J24" s="31" t="n">
        <x:v>0.0076688425</x:v>
      </x:c>
      <x:c r="K24" s="31" t="n">
        <x:v>0</x:v>
      </x:c>
      <x:c r="L24" s="31" t="n">
        <x:v>0.0076688425</x:v>
      </x:c>
      <x:c r="M24" s="31" t="n">
        <x:v>0</x:v>
      </x:c>
      <x:c r="N24" s="24" t="str">
        <x:v>lithodidae</x:v>
      </x:c>
      <x:c r="O24" s="32" t="n">
        <x:v>2.82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Lithodidae</x:v>
      </x:c>
      <x:c r="T24" s="32" t="n">
        <x:f>IF(O24="","",(1/'Metadata'!$B$5)^(O24-1))</x:f>
        <x:v>66.06934480075958</x:v>
      </x:c>
      <x:c r="U24" s="31" t="n">
        <x:f>IF(T24="","",I24*T24)</x:f>
        <x:v>0.5066753993552191</x:v>
      </x:c>
    </x:row>
    <x:row r="25" ht="18" customHeight="1">
      <x:c r="A25" s="24" t="str">
        <x:v>EEZ_334</x:v>
      </x:c>
      <x:c r="B25" s="24" t="str">
        <x:v>Heard &amp; McDonald Isl. (Australia)</x:v>
      </x:c>
      <x:c r="C25" s="24" t="str">
        <x:v>EEZ</x:v>
      </x:c>
      <x:c r="D25" s="30" t="n">
        <x:v>2019</x:v>
      </x:c>
      <x:c r="E25" s="24" t="str">
        <x:v>Macrourus carinatus</x:v>
      </x:c>
      <x:c r="F25" s="24" t="str">
        <x:v>Ridge scaled rattail</x:v>
      </x:c>
      <x:c r="G25" s="24" t="str">
        <x:v>Medium benthopelagics (30 - 89 cm)</x:v>
      </x:c>
      <x:c r="H25" s="24" t="str">
        <x:v>Cod-likes</x:v>
      </x:c>
      <x:c r="I25" s="31" t="n">
        <x:v>0.0062104396</x:v>
      </x:c>
      <x:c r="J25" s="31" t="n">
        <x:v>0.0062104396</x:v>
      </x:c>
      <x:c r="K25" s="31" t="n">
        <x:v>0</x:v>
      </x:c>
      <x:c r="L25" s="31" t="n">
        <x:v>0.0062104396</x:v>
      </x:c>
      <x:c r="M25" s="31" t="n">
        <x:v>0</x:v>
      </x:c>
      <x:c r="N25" s="24" t="str">
        <x:v>macrourus carinatus</x:v>
      </x:c>
      <x:c r="O25" s="32" t="n">
        <x:v>3.8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Macrourus carinatus</x:v>
      </x:c>
      <x:c r="T25" s="32" t="n">
        <x:f>IF(O25="","",(1/'Metadata'!$B$5)^(O25-1))</x:f>
        <x:v>630.957344480193</x:v>
      </x:c>
      <x:c r="U25" s="31" t="n">
        <x:f>IF(T25="","",I25*T25)</x:f>
        <x:v>3.9185224780706323</x:v>
      </x:c>
    </x:row>
    <x:row r="26" ht="18" customHeight="1">
      <x:c r="A26" s="24" t="str">
        <x:v>EEZ_334</x:v>
      </x:c>
      <x:c r="B26" s="24" t="str">
        <x:v>Heard &amp; McDonald Isl. (Australia)</x:v>
      </x:c>
      <x:c r="C26" s="24" t="str">
        <x:v>EEZ</x:v>
      </x:c>
      <x:c r="D26" s="30" t="n">
        <x:v>2019</x:v>
      </x:c>
      <x:c r="E26" s="24" t="str">
        <x:v>Gempylidae</x:v>
      </x:c>
      <x:c r="F26" s="24" t="str">
        <x:v>Snake mackerels</x:v>
      </x:c>
      <x:c r="G26" s="24" t="str">
        <x:v>Large benthopelagics (&gt;=90 cm)</x:v>
      </x:c>
      <x:c r="H26" s="24" t="str">
        <x:v>Perch-likes</x:v>
      </x:c>
      <x:c r="I26" s="31" t="n">
        <x:v>0.0040367858000000005</x:v>
      </x:c>
      <x:c r="J26" s="31" t="n">
        <x:v>0.0040367858000000005</x:v>
      </x:c>
      <x:c r="K26" s="31" t="n">
        <x:v>0</x:v>
      </x:c>
      <x:c r="L26" s="31" t="n">
        <x:v>0.0040367858000000005</x:v>
      </x:c>
      <x:c r="M26" s="31" t="n">
        <x:v>0</x:v>
      </x:c>
      <x:c r="N26" s="24" t="str">
        <x:v>gempylidae</x:v>
      </x:c>
      <x:c r="O26" s="32" t="n">
        <x:v>4.21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Gempylidae</x:v>
      </x:c>
      <x:c r="T26" s="32" t="n">
        <x:f>IF(O26="","",(1/'Metadata'!$B$5)^(O26-1))</x:f>
        <x:v>1621.8100973589299</x:v>
      </x:c>
      <x:c r="U26" s="31" t="n">
        <x:f>IF(T26="","",I26*T26)</x:f>
        <x:v>6.546899971315146</x:v>
      </x:c>
    </x:row>
    <x:row r="27" ht="18" customHeight="1">
      <x:c r="A27" s="24" t="str">
        <x:v>EEZ_334</x:v>
      </x:c>
      <x:c r="B27" s="24" t="str">
        <x:v>Heard &amp; McDonald Isl. (Australia)</x:v>
      </x:c>
      <x:c r="C27" s="24" t="str">
        <x:v>EEZ</x:v>
      </x:c>
      <x:c r="D27" s="30" t="n">
        <x:v>2019</x:v>
      </x:c>
      <x:c r="E27" s="24" t="str">
        <x:v>Marine finfishes not identified</x:v>
      </x:c>
      <x:c r="F27" s="24" t="str">
        <x:v>Finfishes</x:v>
      </x:c>
      <x:c r="G27" s="24" t="str">
        <x:v>Medium demersals (30 - 89 cm)</x:v>
      </x:c>
      <x:c r="H27" s="24" t="str">
        <x:v>Other fishes &amp; inverts</x:v>
      </x:c>
      <x:c r="I27" s="31" t="n">
        <x:v>0.0033122345</x:v>
      </x:c>
      <x:c r="J27" s="31" t="n">
        <x:v>0.0033122345</x:v>
      </x:c>
      <x:c r="K27" s="31" t="n">
        <x:v>0</x:v>
      </x:c>
      <x:c r="L27" s="31" t="n">
        <x:v>0.0033122345</x:v>
      </x:c>
      <x:c r="M27" s="31" t="n">
        <x:v>0</x:v>
      </x:c>
      <x:c r="N27" s="24" t="str">
        <x:v>marine finfishes not identified</x:v>
      </x:c>
      <x:c r="O27" s="32" t="n">
        <x:v>3.23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Marine finfishes not identified</x:v>
      </x:c>
      <x:c r="T27" s="32" t="n">
        <x:f>IF(O27="","",(1/'Metadata'!$B$5)^(O27-1))</x:f>
        <x:v>169.82436524617444</x:v>
      </x:c>
      <x:c r="U27" s="31" t="n">
        <x:f>IF(T27="","",I27*T27)</x:f>
        <x:v>0.5624981215089799</x:v>
      </x:c>
    </x:row>
    <x:row r="28" ht="18" customHeight="1">
      <x:c r="A28" s="24" t="str">
        <x:v>EEZ_334</x:v>
      </x:c>
      <x:c r="B28" s="24" t="str">
        <x:v>Heard &amp; McDonald Isl. (Australia)</x:v>
      </x:c>
      <x:c r="C28" s="24" t="str">
        <x:v>EEZ</x:v>
      </x:c>
      <x:c r="D28" s="30" t="n">
        <x:v>2019</x:v>
      </x:c>
      <x:c r="E28" s="24" t="str">
        <x:v>Macrouridae</x:v>
      </x:c>
      <x:c r="F28" s="24" t="str">
        <x:v>Grenadiers, rattails</x:v>
      </x:c>
      <x:c r="G28" s="24" t="str">
        <x:v>Medium benthopelagics (30 - 89 cm)</x:v>
      </x:c>
      <x:c r="H28" s="24" t="str">
        <x:v>Cod-likes</x:v>
      </x:c>
      <x:c r="I28" s="31" t="n">
        <x:v>0.0021736538</x:v>
      </x:c>
      <x:c r="J28" s="31" t="n">
        <x:v>0.0021736538</x:v>
      </x:c>
      <x:c r="K28" s="31" t="n">
        <x:v>0</x:v>
      </x:c>
      <x:c r="L28" s="31" t="n">
        <x:v>0.0021736538</x:v>
      </x:c>
      <x:c r="M28" s="31" t="n">
        <x:v>0</x:v>
      </x:c>
      <x:c r="N28" s="24" t="str">
        <x:v>macrouridae</x:v>
      </x:c>
      <x:c r="O28" s="32" t="n">
        <x:v>3.88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Macrouridae</x:v>
      </x:c>
      <x:c r="T28" s="32" t="n">
        <x:f>IF(O28="","",(1/'Metadata'!$B$5)^(O28-1))</x:f>
        <x:v>758.5775750291835</x:v>
      </x:c>
      <x:c r="U28" s="31" t="n">
        <x:f>IF(T28="","",I28*T28)</x:f>
        <x:v>1.64888502855697</x:v>
      </x:c>
    </x:row>
    <x:row r="29" ht="18" customHeight="1">
      <x:c r="A29" s="24" t="str">
        <x:v>EEZ_334</x:v>
      </x:c>
      <x:c r="B29" s="24" t="str">
        <x:v>Heard &amp; McDonald Isl. (Australia)</x:v>
      </x:c>
      <x:c r="C29" s="24" t="str">
        <x:v>EEZ</x:v>
      </x:c>
      <x:c r="D29" s="30" t="n">
        <x:v>2019</x:v>
      </x:c>
      <x:c r="E29" s="24" t="str">
        <x:v>Paralomis aculeata</x:v>
      </x:c>
      <x:c r="F29" s="24" t="str">
        <x:v>Red stone crab</x:v>
      </x:c>
      <x:c r="G29" s="24" t="str">
        <x:v>Lobsters, crabs</x:v>
      </x:c>
      <x:c r="H29" s="24" t="str">
        <x:v>Crustaceans</x:v>
      </x:c>
      <x:c r="I29" s="31" t="n">
        <x:v>0.0015772747</x:v>
      </x:c>
      <x:c r="J29" s="31" t="n">
        <x:v>0.0015772747</x:v>
      </x:c>
      <x:c r="K29" s="31" t="n">
        <x:v>0</x:v>
      </x:c>
      <x:c r="L29" s="31" t="n">
        <x:v>0.0015772747</x:v>
      </x:c>
      <x:c r="M29" s="31" t="n">
        <x:v>0</x:v>
      </x:c>
      <x:c r="N29" s="24" t="str">
        <x:v>paralomis aculeata</x:v>
      </x:c>
      <x:c r="O29" s="32" t="n">
        <x:v>2.3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Paralomis aculeata</x:v>
      </x:c>
      <x:c r="T29" s="32" t="n">
        <x:f>IF(O29="","",(1/'Metadata'!$B$5)^(O29-1))</x:f>
        <x:v>19.952623149688787</x:v>
      </x:c>
      <x:c r="U29" s="31" t="n">
        <x:f>IF(T29="","",I29*T29)</x:f>
        <x:v>0.031470767692638436</x:v>
      </x:c>
    </x:row>
    <x:row r="30" ht="18" customHeight="1">
      <x:c r="A30" s="24" t="str">
        <x:v>EEZ_334</x:v>
      </x:c>
      <x:c r="B30" s="24" t="str">
        <x:v>Heard &amp; McDonald Isl. (Australia)</x:v>
      </x:c>
      <x:c r="C30" s="24" t="str">
        <x:v>EEZ</x:v>
      </x:c>
      <x:c r="D30" s="30" t="n">
        <x:v>2019</x:v>
      </x:c>
      <x:c r="E30" s="24" t="str">
        <x:v>Channichthyidae</x:v>
      </x:c>
      <x:c r="F30" s="24" t="str">
        <x:v>Crocodile icefishes</x:v>
      </x:c>
      <x:c r="G30" s="24" t="str">
        <x:v>Medium demersals (30 - 89 cm)</x:v>
      </x:c>
      <x:c r="H30" s="24" t="str">
        <x:v>Perch-likes</x:v>
      </x:c>
      <x:c r="I30" s="31" t="n">
        <x:v>0.0014375183</x:v>
      </x:c>
      <x:c r="J30" s="31" t="n">
        <x:v>0.0014375183</x:v>
      </x:c>
      <x:c r="K30" s="31" t="n">
        <x:v>0</x:v>
      </x:c>
      <x:c r="L30" s="31" t="n">
        <x:v>0.0014375183</x:v>
      </x:c>
      <x:c r="M30" s="31" t="n">
        <x:v>0</x:v>
      </x:c>
      <x:c r="N30" s="24" t="str">
        <x:v>channichthyidae</x:v>
      </x:c>
      <x:c r="O30" s="32" t="n">
        <x:v>3.34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Channichthyidae</x:v>
      </x:c>
      <x:c r="T30" s="32" t="n">
        <x:f>IF(O30="","",(1/'Metadata'!$B$5)^(O30-1))</x:f>
        <x:v>218.77616239495518</x:v>
      </x:c>
      <x:c r="U30" s="31" t="n">
        <x:f>IF(T30="","",I30*T30)</x:f>
        <x:v>0.31449473704651987</x:v>
      </x:c>
    </x:row>
    <x:row r="31" ht="18" customHeight="1">
      <x:c r="A31" s="24" t="str">
        <x:v>EEZ_334</x:v>
      </x:c>
      <x:c r="B31" s="24" t="str">
        <x:v>Heard &amp; McDonald Isl. (Australia)</x:v>
      </x:c>
      <x:c r="C31" s="24" t="str">
        <x:v>EEZ</x:v>
      </x:c>
      <x:c r="D31" s="30" t="n">
        <x:v>2019</x:v>
      </x:c>
      <x:c r="E31" s="24" t="str">
        <x:v>Perciformes</x:v>
      </x:c>
      <x:c r="F31" s="24" t="str">
        <x:v>Perch-likes</x:v>
      </x:c>
      <x:c r="G31" s="24" t="str">
        <x:v>Medium demersals (30 - 89 cm)</x:v>
      </x:c>
      <x:c r="H31" s="24" t="str">
        <x:v>Perch-likes</x:v>
      </x:c>
      <x:c r="I31" s="31" t="n">
        <x:v>0.0010350732</x:v>
      </x:c>
      <x:c r="J31" s="31" t="n">
        <x:v>0.0010350732</x:v>
      </x:c>
      <x:c r="K31" s="31" t="n">
        <x:v>0</x:v>
      </x:c>
      <x:c r="L31" s="31" t="n">
        <x:v>0.0010350732</x:v>
      </x:c>
      <x:c r="M31" s="31" t="n">
        <x:v>0</x:v>
      </x:c>
      <x:c r="N31" s="24" t="str">
        <x:v>perciformes</x:v>
      </x:c>
      <x:c r="O31" s="32" t="n">
        <x:v>3.53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Perciformes</x:v>
      </x:c>
      <x:c r="T31" s="32" t="n">
        <x:f>IF(O31="","",(1/'Metadata'!$B$5)^(O31-1))</x:f>
        <x:v>338.84415613920237</x:v>
      </x:c>
      <x:c r="U31" s="31" t="n">
        <x:f>IF(T31="","",I31*T31)</x:f>
        <x:v>0.3507285049963038</x:v>
      </x:c>
    </x:row>
    <x:row r="32" ht="18" customHeight="1">
      <x:c r="A32" s="24" t="str">
        <x:v>EEZ_334</x:v>
      </x:c>
      <x:c r="B32" s="24" t="str">
        <x:v>Heard &amp; McDonald Isl. (Australia)</x:v>
      </x:c>
      <x:c r="C32" s="24" t="str">
        <x:v>EEZ</x:v>
      </x:c>
      <x:c r="D32" s="30" t="n">
        <x:v>2019</x:v>
      </x:c>
      <x:c r="E32" s="24" t="str">
        <x:v>Moridae</x:v>
      </x:c>
      <x:c r="F32" s="24" t="str">
        <x:v>Codlings, moras</x:v>
      </x:c>
      <x:c r="G32" s="24" t="str">
        <x:v>Medium benthopelagics (30 - 89 cm)</x:v>
      </x:c>
      <x:c r="H32" s="24" t="str">
        <x:v>Cod-likes</x:v>
      </x:c>
      <x:c r="I32" s="31" t="n">
        <x:v>0.0008493374</x:v>
      </x:c>
      <x:c r="J32" s="31" t="n">
        <x:v>0.0008493374</x:v>
      </x:c>
      <x:c r="K32" s="31" t="n">
        <x:v>0</x:v>
      </x:c>
      <x:c r="L32" s="31" t="n">
        <x:v>0.0008493374</x:v>
      </x:c>
      <x:c r="M32" s="31" t="n">
        <x:v>0</x:v>
      </x:c>
      <x:c r="N32" s="24" t="str">
        <x:v>moridae</x:v>
      </x:c>
      <x:c r="O32" s="32" t="n">
        <x:v>3.87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Moridae</x:v>
      </x:c>
      <x:c r="T32" s="32" t="n">
        <x:f>IF(O32="","",(1/'Metadata'!$B$5)^(O32-1))</x:f>
        <x:v>741.3102413009177</x:v>
      </x:c>
      <x:c r="U32" s="31" t="n">
        <x:f>IF(T32="","",I32*T32)</x:f>
        <x:v>0.629622512939894</x:v>
      </x:c>
    </x:row>
    <x:row r="33" ht="18" customHeight="1">
      <x:c r="A33" s="24" t="str">
        <x:v>EEZ_334</x:v>
      </x:c>
      <x:c r="B33" s="24" t="str">
        <x:v>Heard &amp; McDonald Isl. (Australia)</x:v>
      </x:c>
      <x:c r="C33" s="24" t="str">
        <x:v>EEZ</x:v>
      </x:c>
      <x:c r="D33" s="30" t="n">
        <x:v>2019</x:v>
      </x:c>
      <x:c r="E33" s="24" t="str">
        <x:v>Miscellaneous marine crustaceans</x:v>
      </x:c>
      <x:c r="F33" s="24" t="str">
        <x:v>Marine crabs, shrimps, lobsters nei</x:v>
      </x:c>
      <x:c r="G33" s="24" t="str">
        <x:v>Shrimps</x:v>
      </x:c>
      <x:c r="H33" s="24" t="str">
        <x:v>Crustaceans</x:v>
      </x:c>
      <x:c r="I33" s="31" t="n">
        <x:v>0.0007245513</x:v>
      </x:c>
      <x:c r="J33" s="31" t="n">
        <x:v>0.0007245513</x:v>
      </x:c>
      <x:c r="K33" s="31" t="n">
        <x:v>0</x:v>
      </x:c>
      <x:c r="L33" s="31" t="n">
        <x:v>0.0007245513</x:v>
      </x:c>
      <x:c r="M33" s="31" t="n">
        <x:v>0</x:v>
      </x:c>
      <x:c r="N33" s="24" t="str">
        <x:v>miscellaneous marine crustaceans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marine crustaceans</x:v>
      </x:c>
      <x:c r="T33" s="32" t="n">
        <x:f>IF(O33="","",(1/'Metadata'!$B$5)^(O33-1))</x:f>
        <x:v>50.11872336272725</x:v>
      </x:c>
      <x:c r="U33" s="31" t="n">
        <x:f>IF(T33="","",I33*T33)</x:f>
        <x:v>0.036313586166804405</x:v>
      </x:c>
    </x:row>
    <x:row r="34" ht="18" customHeight="1">
      <x:c r="A34" s="24" t="str">
        <x:v>EEZ_334</x:v>
      </x:c>
      <x:c r="B34" s="24" t="str">
        <x:v>Heard &amp; McDonald Isl. (Australia)</x:v>
      </x:c>
      <x:c r="C34" s="24" t="str">
        <x:v>EEZ</x:v>
      </x:c>
      <x:c r="D34" s="30" t="n">
        <x:v>2019</x:v>
      </x:c>
      <x:c r="E34" s="24" t="str">
        <x:v>Scorpaeniformes</x:v>
      </x:c>
      <x:c r="F34" s="24" t="str">
        <x:v>Scorpionfishes, flatheads</x:v>
      </x:c>
      <x:c r="G34" s="24" t="str">
        <x:v>Medium demersals (30 - 89 cm)</x:v>
      </x:c>
      <x:c r="H34" s="24" t="str">
        <x:v>Scorpionfishes</x:v>
      </x:c>
      <x:c r="I34" s="31" t="n">
        <x:v>0.0001035074</x:v>
      </x:c>
      <x:c r="J34" s="31" t="n">
        <x:v>0.0001035074</x:v>
      </x:c>
      <x:c r="K34" s="31" t="n">
        <x:v>0</x:v>
      </x:c>
      <x:c r="L34" s="31" t="n">
        <x:v>0.0001035074</x:v>
      </x:c>
      <x:c r="M34" s="31" t="n">
        <x:v>0</x:v>
      </x:c>
      <x:c r="N34" s="24" t="str">
        <x:v>scorpaeniformes</x:v>
      </x:c>
      <x:c r="O34" s="32" t="n">
        <x:v>3.78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Scorpaeniformes</x:v>
      </x:c>
      <x:c r="T34" s="32" t="n">
        <x:f>IF(O34="","",(1/'Metadata'!$B$5)^(O34-1))</x:f>
        <x:v>602.5595860743575</x:v>
      </x:c>
      <x:c r="U34" s="31" t="n">
        <x:f>IF(T34="","",I34*T34)</x:f>
        <x:v>0.06236937609963295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43c36abc383400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6</x:v>
      </x:c>
      <x:c r="C2" s="33" t="n">
        <x:v>6</x:v>
      </x:c>
      <x:c r="D2" s="31" t="n">
        <x:v>253.71516451320002</x:v>
      </x:c>
      <x:c r="E2" s="31" t="n">
        <x:v>253.71516451320002</x:v>
      </x:c>
      <x:c r="F2" s="32" t="n">
        <x:v>0</x:v>
      </x:c>
      <x:c r="G2" s="34" t="n">
        <x:v>1</x:v>
      </x:c>
      <x:c r="H2" s="32" t="n">
        <x:f>IF(E2=0,"",I2/E2)</x:f>
        <x:v>379.682919637878</x:v>
      </x:c>
      <x:c r="I2" s="31" t="n">
        <x:f>IF(C2=0,"",SUMIF('Species'!$H$2:$H$34,A2,'Species'!$U$2:$U$34))</x:f>
        <x:v>96331.31441877632</x:v>
      </x:c>
      <x:c r="J2" s="32" t="n">
        <x:v>3.5793403210024115</x:v>
      </x:c>
      <x:c r="K2" s="32" t="n">
        <x:f>IF(J2="","",(1/'Metadata'!$B$5)^(J2-1))</x:f>
        <x:v>379.6123395399748</x:v>
      </x:c>
      <x:c r="L2" s="31" t="n">
        <x:f>IF(E2=0,"",E2*K2)</x:f>
        <x:v>96313.40717762546</x:v>
      </x:c>
      <x:c r="M2" s="31" t="n">
        <x:f>IF(E2=0,"",I2-L2)</x:f>
        <x:v>17.907241150867776</x:v>
      </x:c>
      <x:c r="N2" s="32" t="n">
        <x:f>IF(L2=0,"",I2/L2)</x:f>
        <x:v>1.0001859267746374</x:v>
      </x:c>
      <x:c r="O2" s="34" t="n">
        <x:f>IF(L2=0,"",M2/L2)</x:f>
        <x:v>0.00018592677463733005</x:v>
      </x:c>
    </x:row>
    <x:row r="3" ht="18" customHeight="1">
      <x:c r="A3" s="24" t="str">
        <x:v>Crustaceans</x:v>
      </x:c>
      <x:c r="B3" s="33" t="n">
        <x:v>3</x:v>
      </x:c>
      <x:c r="C3" s="33" t="n">
        <x:v>3</x:v>
      </x:c>
      <x:c r="D3" s="31" t="n">
        <x:v>0.009970668500000002</x:v>
      </x:c>
      <x:c r="E3" s="31" t="n">
        <x:v>0.009970668500000002</x:v>
      </x:c>
      <x:c r="F3" s="32" t="n">
        <x:v>0</x:v>
      </x:c>
      <x:c r="G3" s="34" t="n">
        <x:v>1</x:v>
      </x:c>
      <x:c r="H3" s="32" t="n">
        <x:f>IF(E3=0,"",I3/E3)</x:f>
        <x:v>57.61496866681124</x:v>
      </x:c>
      <x:c r="I3" s="31" t="n">
        <x:f>IF(C3=0,"",SUMIF('Species'!$H$2:$H$34,A3,'Species'!$U$2:$U$34))</x:f>
        <x:v>0.5744597532146619</x:v>
      </x:c>
      <x:c r="J3" s="32" t="n">
        <x:v>2.7290202427249484</x:v>
      </x:c>
      <x:c r="K3" s="32" t="n">
        <x:f>IF(J3="","",(1/'Metadata'!$B$5)^(J3-1))</x:f>
        <x:v>53.58216318972932</x:v>
      </x:c>
      <x:c r="L3" s="31" t="n">
        <x:f>IF(E3=0,"",E3*K3)</x:f>
        <x:v>0.5342499866776937</x:v>
      </x:c>
      <x:c r="M3" s="31" t="n">
        <x:f>IF(E3=0,"",I3-L3)</x:f>
        <x:v>0.04020976653696817</x:v>
      </x:c>
      <x:c r="N3" s="32" t="n">
        <x:f>IF(L3=0,"",I3/L3)</x:f>
        <x:v>1.07526395421555</x:v>
      </x:c>
      <x:c r="O3" s="34" t="n">
        <x:f>IF(L3=0,"",M3/L3)</x:f>
        <x:v>0.07526395421555006</x:v>
      </x:c>
    </x:row>
    <x:row r="4" ht="18" customHeight="1">
      <x:c r="A4" s="24" t="str">
        <x:v>Other fishes &amp; inverts</x:v>
      </x:c>
      <x:c r="B4" s="33" t="n">
        <x:v>6</x:v>
      </x:c>
      <x:c r="C4" s="33" t="n">
        <x:v>6</x:v>
      </x:c>
      <x:c r="D4" s="31" t="n">
        <x:v>144.2435297074</x:v>
      </x:c>
      <x:c r="E4" s="31" t="n">
        <x:v>144.2435297074</x:v>
      </x:c>
      <x:c r="F4" s="32" t="n">
        <x:v>0</x:v>
      </x:c>
      <x:c r="G4" s="34" t="n">
        <x:v>1</x:v>
      </x:c>
      <x:c r="H4" s="32" t="n">
        <x:f>IF(E4=0,"",I4/E4)</x:f>
        <x:v>190.20089578158579</x:v>
      </x:c>
      <x:c r="I4" s="31" t="n">
        <x:f>IF(C4=0,"",SUMIF('Species'!$H$2:$H$34,A4,'Species'!$U$2:$U$34))</x:f>
        <x:v>27435.24856104526</x:v>
      </x:c>
      <x:c r="J4" s="32" t="n">
        <x:v>3.2774173034457097</x:v>
      </x:c>
      <x:c r="K4" s="32" t="n">
        <x:f>IF(J4="","",(1/'Metadata'!$B$5)^(J4-1))</x:f>
        <x:v>189.4162801389115</x:v>
      </x:c>
      <x:c r="L4" s="31" t="n">
        <x:f>IF(E4=0,"",E4*K4)</x:f>
        <x:v>27322.072831282283</x:v>
      </x:c>
      <x:c r="M4" s="31" t="n">
        <x:f>IF(E4=0,"",I4-L4)</x:f>
        <x:v>113.17572976297743</x:v>
      </x:c>
      <x:c r="N4" s="32" t="n">
        <x:f>IF(L4=0,"",I4/L4)</x:f>
        <x:v>1.004142281973328</x:v>
      </x:c>
      <x:c r="O4" s="34" t="n">
        <x:f>IF(L4=0,"",M4/L4)</x:f>
        <x:v>0.004142281973328077</x:v>
      </x:c>
    </x:row>
    <x:row r="5" ht="18" customHeight="1">
      <x:c r="A5" s="24" t="str">
        <x:v>Perch-likes</x:v>
      </x:c>
      <x:c r="B5" s="33" t="n">
        <x:v>10</x:v>
      </x:c>
      <x:c r="C5" s="33" t="n">
        <x:v>10</x:v>
      </x:c>
      <x:c r="D5" s="31" t="n">
        <x:v>3816.7012510399</x:v>
      </x:c>
      <x:c r="E5" s="31" t="n">
        <x:v>3816.7012510399</x:v>
      </x:c>
      <x:c r="F5" s="32" t="n">
        <x:v>0</x:v>
      </x:c>
      <x:c r="G5" s="34" t="n">
        <x:v>1</x:v>
      </x:c>
      <x:c r="H5" s="32" t="n">
        <x:f>IF(E5=0,"",I5/E5)</x:f>
        <x:v>757.6359059001472</x:v>
      </x:c>
      <x:c r="I5" s="31" t="n">
        <x:f>IF(C5=0,"",SUMIF('Species'!$H$2:$H$34,A5,'Species'!$U$2:$U$34))</x:f>
        <x:v>2891669.90988184</x:v>
      </x:c>
      <x:c r="J5" s="32" t="n">
        <x:v>3.808285009722198</x:v>
      </x:c>
      <x:c r="K5" s="32" t="n">
        <x:f>IF(J5="","",(1/'Metadata'!$B$5)^(J5-1))</x:f>
        <x:v>643.1096254295758</x:v>
      </x:c>
      <x:c r="L5" s="31" t="n">
        <x:f>IF(E5=0,"",E5*K5)</x:f>
        <x:v>2454557.311932863</x:v>
      </x:c>
      <x:c r="M5" s="31" t="n">
        <x:f>IF(E5=0,"",I5-L5)</x:f>
        <x:v>437112.5979489768</x:v>
      </x:c>
      <x:c r="N5" s="32" t="n">
        <x:f>IF(L5=0,"",I5/L5)</x:f>
        <x:v>1.1780820499989746</x:v>
      </x:c>
      <x:c r="O5" s="34" t="n">
        <x:f>IF(L5=0,"",M5/L5)</x:f>
        <x:v>0.1780820499989746</x:v>
      </x:c>
    </x:row>
    <x:row r="6" ht="18" customHeight="1">
      <x:c r="A6" s="24" t="str">
        <x:v>Scorpionfishes</x:v>
      </x:c>
      <x:c r="B6" s="33" t="n">
        <x:v>2</x:v>
      </x:c>
      <x:c r="C6" s="33" t="n">
        <x:v>2</x:v>
      </x:c>
      <x:c r="D6" s="31" t="n">
        <x:v>0.0415064386</x:v>
      </x:c>
      <x:c r="E6" s="31" t="n">
        <x:v>0.0415064386</x:v>
      </x:c>
      <x:c r="F6" s="32" t="n">
        <x:v>0</x:v>
      </x:c>
      <x:c r="G6" s="34" t="n">
        <x:v>1</x:v>
      </x:c>
      <x:c r="H6" s="32" t="n">
        <x:f>IF(E6=0,"",I6/E6)</x:f>
        <x:v>193.77445485801485</x:v>
      </x:c>
      <x:c r="I6" s="31" t="n">
        <x:f>IF(C6=0,"",SUMIF('Species'!$H$2:$H$34,A6,'Species'!$U$2:$U$34))</x:f>
        <x:v>8.042887512812666</x:v>
      </x:c>
      <x:c r="J6" s="32" t="n">
        <x:v>3.2862344148216076</x:v>
      </x:c>
      <x:c r="K6" s="32" t="n">
        <x:f>IF(J6="","",(1/'Metadata'!$B$5)^(J6-1))</x:f>
        <x:v>193.30113978596887</x:v>
      </x:c>
      <x:c r="L6" s="31" t="n">
        <x:f>IF(E6=0,"",E6*K6)</x:f>
        <x:v>8.023241889836335</x:v>
      </x:c>
      <x:c r="M6" s="31" t="n">
        <x:f>IF(E6=0,"",I6-L6)</x:f>
        <x:v>0.019645622976330657</x:v>
      </x:c>
      <x:c r="N6" s="32" t="n">
        <x:f>IF(L6=0,"",I6/L6)</x:f>
        <x:v>1.0024485891421542</x:v>
      </x:c>
      <x:c r="O6" s="34" t="n">
        <x:f>IF(L6=0,"",M6/L6)</x:f>
        <x:v>0.0024485891421542824</x:v>
      </x:c>
    </x:row>
    <x:row r="7" ht="18" customHeight="1">
      <x:c r="A7" s="24" t="str">
        <x:v>Sharks &amp; rays</x:v>
      </x:c>
      <x:c r="B7" s="33" t="n">
        <x:v>6</x:v>
      </x:c>
      <x:c r="C7" s="33" t="n">
        <x:v>6</x:v>
      </x:c>
      <x:c r="D7" s="31" t="n">
        <x:v>35.778792797600005</x:v>
      </x:c>
      <x:c r="E7" s="31" t="n">
        <x:v>35.778792797600005</x:v>
      </x:c>
      <x:c r="F7" s="32" t="n">
        <x:v>0</x:v>
      </x:c>
      <x:c r="G7" s="34" t="n">
        <x:v>1</x:v>
      </x:c>
      <x:c r="H7" s="32" t="n">
        <x:f>IF(E7=0,"",I7/E7)</x:f>
        <x:v>405.68099283424294</x:v>
      </x:c>
      <x:c r="I7" s="31" t="n">
        <x:f>IF(C7=0,"",SUMIF('Species'!$H$2:$H$34,A7,'Species'!$U$2:$U$34))</x:f>
        <x:v>14514.776184541031</x:v>
      </x:c>
      <x:c r="J7" s="32" t="n">
        <x:v>3.5963484165027</x:v>
      </x:c>
      <x:c r="K7" s="32" t="n">
        <x:f>IF(J7="","",(1/'Metadata'!$B$5)^(J7-1))</x:f>
        <x:v>394.7738858301056</x:v>
      </x:c>
      <x:c r="L7" s="31" t="n">
        <x:f>IF(E7=0,"",E7*K7)</x:f>
        <x:v>14124.533063018749</x:v>
      </x:c>
      <x:c r="M7" s="31" t="n">
        <x:f>IF(E7=0,"",I7-L7)</x:f>
        <x:v>390.2431215222823</x:v>
      </x:c>
      <x:c r="N7" s="32" t="n">
        <x:f>IF(L7=0,"",I7/L7)</x:f>
        <x:v>1.0276287449490298</x:v>
      </x:c>
      <x:c r="O7" s="34" t="n">
        <x:f>IF(L7=0,"",M7/L7)</x:f>
        <x:v>0.027628744949029702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3f1d8225fcc4f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0.0310172459</x:v>
      </x:c>
      <x:c r="E2" s="31" t="n">
        <x:v>0.0310172459</x:v>
      </x:c>
      <x:c r="F2" s="32" t="n">
        <x:v>0</x:v>
      </x:c>
      <x:c r="G2" s="34" t="n">
        <x:v>1</x:v>
      </x:c>
      <x:c r="H2" s="32" t="n">
        <x:f>IF(E2=0,"",I2/E2)</x:f>
        <x:v>1348.9628825916532</x:v>
      </x:c>
      <x:c r="I2" s="31" t="n">
        <x:f>IF(C2=0,"",SUMIF('Species'!$G$2:$G$34,A2,'Species'!$U$2:$U$34))</x:f>
        <x:v>41.841113439318136</x:v>
      </x:c>
      <x:c r="J2" s="32" t="n">
        <x:v>4.13</x:v>
      </x:c>
      <x:c r="K2" s="32" t="n">
        <x:f>IF(J2="","",(1/'Metadata'!$B$5)^(J2-1))</x:f>
        <x:v>1348.9628825916532</x:v>
      </x:c>
      <x:c r="L2" s="31" t="n">
        <x:f>IF(E2=0,"",E2*K2)</x:f>
        <x:v>41.841113439318136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0.4634866901</x:v>
      </x:c>
      <x:c r="E3" s="31" t="n">
        <x:v>0.4634866901</x:v>
      </x:c>
      <x:c r="F3" s="32" t="n">
        <x:v>0</x:v>
      </x:c>
      <x:c r="G3" s="34" t="n">
        <x:v>1</x:v>
      </x:c>
      <x:c r="H3" s="32" t="n">
        <x:f>IF(E3=0,"",I3/E3)</x:f>
        <x:v>31.622776601683793</x:v>
      </x:c>
      <x:c r="I3" s="31" t="n">
        <x:f>IF(C3=0,"",SUMIF('Species'!$G$2:$G$34,A3,'Species'!$U$2:$U$34))</x:f>
        <x:v>14.656736058886146</x:v>
      </x:c>
      <x:c r="J3" s="32" t="n">
        <x:v>2.5</x:v>
      </x:c>
      <x:c r="K3" s="32" t="n">
        <x:f>IF(J3="","",(1/'Metadata'!$B$5)^(J3-1))</x:f>
        <x:v>31.622776601683793</x:v>
      </x:c>
      <x:c r="L3" s="31" t="n">
        <x:f>IF(E3=0,"",E3*K3)</x:f>
        <x:v>14.656736058886146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bathydemersals (&gt;=90 cm)</x:v>
      </x:c>
      <x:c r="B4" s="33" t="n">
        <x:v>1</x:v>
      </x:c>
      <x:c r="C4" s="33" t="n">
        <x:v>1</x:v>
      </x:c>
      <x:c r="D4" s="31" t="n">
        <x:v>3022.2666448859</x:v>
      </x:c>
      <x:c r="E4" s="31" t="n">
        <x:v>3022.2666448859</x:v>
      </x:c>
      <x:c r="F4" s="32" t="n">
        <x:v>0</x:v>
      </x:c>
      <x:c r="G4" s="34" t="n">
        <x:v>1</x:v>
      </x:c>
      <x:c r="H4" s="32" t="n">
        <x:f>IF(E4=0,"",I4/E4)</x:f>
        <x:v>912.0108393559096</x:v>
      </x:c>
      <x:c r="I4" s="31" t="n">
        <x:f>IF(C4=0,"",SUMIF('Species'!$G$2:$G$34,A4,'Species'!$U$2:$U$34))</x:f>
        <x:v>2756339.9395597586</x:v>
      </x:c>
      <x:c r="J4" s="32" t="n">
        <x:v>3.96</x:v>
      </x:c>
      <x:c r="K4" s="32" t="n">
        <x:f>IF(J4="","",(1/'Metadata'!$B$5)^(J4-1))</x:f>
        <x:v>912.0108393559096</x:v>
      </x:c>
      <x:c r="L4" s="31" t="n">
        <x:f>IF(E4=0,"",E4*K4)</x:f>
        <x:v>2756339.9395597586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1</x:v>
      </x:c>
      <x:c r="C5" s="33" t="n">
        <x:v>1</x:v>
      </x:c>
      <x:c r="D5" s="31" t="n">
        <x:v>0.0040367858000000005</x:v>
      </x:c>
      <x:c r="E5" s="31" t="n">
        <x:v>0.0040367858000000005</x:v>
      </x:c>
      <x:c r="F5" s="32" t="n">
        <x:v>0</x:v>
      </x:c>
      <x:c r="G5" s="34" t="n">
        <x:v>1</x:v>
      </x:c>
      <x:c r="H5" s="32" t="n">
        <x:f>IF(E5=0,"",I5/E5)</x:f>
        <x:v>1621.8100973589299</x:v>
      </x:c>
      <x:c r="I5" s="31" t="n">
        <x:f>IF(C5=0,"",SUMIF('Species'!$G$2:$G$34,A5,'Species'!$U$2:$U$34))</x:f>
        <x:v>6.546899971315146</x:v>
      </x:c>
      <x:c r="J5" s="32" t="n">
        <x:v>4.21</x:v>
      </x:c>
      <x:c r="K5" s="32" t="n">
        <x:f>IF(J5="","",(1/'Metadata'!$B$5)^(J5-1))</x:f>
        <x:v>1621.8100973589299</x:v>
      </x:c>
      <x:c r="L5" s="31" t="n">
        <x:f>IF(E5=0,"",E5*K5)</x:f>
        <x:v>6.546899971315146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rays (&gt;=90 cm)</x:v>
      </x:c>
      <x:c r="B6" s="33" t="n">
        <x:v>2</x:v>
      </x:c>
      <x:c r="C6" s="33" t="n">
        <x:v>2</x:v>
      </x:c>
      <x:c r="D6" s="31" t="n">
        <x:v>20.9224923555</x:v>
      </x:c>
      <x:c r="E6" s="31" t="n">
        <x:v>20.9224923555</x:v>
      </x:c>
      <x:c r="F6" s="32" t="n">
        <x:v>0</x:v>
      </x:c>
      <x:c r="G6" s="34" t="n">
        <x:v>1</x:v>
      </x:c>
      <x:c r="H6" s="32" t="n">
        <x:f>IF(E6=0,"",I6/E6)</x:f>
        <x:v>390.09659205990073</x:v>
      </x:c>
      <x:c r="I6" s="31" t="n">
        <x:f>IF(C6=0,"",SUMIF('Species'!$G$2:$G$34,A6,'Species'!$U$2:$U$34))</x:f>
        <x:v>8161.792965279876</x:v>
      </x:c>
      <x:c r="J6" s="32" t="n">
        <x:v>3.5839600360558013</x:v>
      </x:c>
      <x:c r="K6" s="32" t="n">
        <x:f>IF(J6="","",(1/'Metadata'!$B$5)^(J6-1))</x:f>
        <x:v>383.6719382294263</x:v>
      </x:c>
      <x:c r="L6" s="31" t="n">
        <x:f>IF(E6=0,"",E6*K6)</x:f>
        <x:v>8027.37319462504</x:v>
      </x:c>
      <x:c r="M6" s="31" t="n">
        <x:f>IF(E6=0,"",I6-L6)</x:f>
        <x:v>134.4197706548357</x:v>
      </x:c>
      <x:c r="N6" s="32" t="n">
        <x:f>IF(L6=0,"",I6/L6)</x:f>
        <x:v>1.0167451752143328</x:v>
      </x:c>
      <x:c r="O6" s="34" t="n">
        <x:f>IF(L6=0,"",M6/L6)</x:f>
        <x:v>0.01674517521433292</x:v>
      </x:c>
    </x:row>
    <x:row r="7" ht="18" customHeight="1">
      <x:c r="A7" s="24" t="str">
        <x:v>Large sharks (&gt;=90 cm)</x:v>
      </x:c>
      <x:c r="B7" s="33" t="n">
        <x:v>1</x:v>
      </x:c>
      <x:c r="C7" s="33" t="n">
        <x:v>1</x:v>
      </x:c>
      <x:c r="D7" s="31" t="n">
        <x:v>0.0724551295</x:v>
      </x:c>
      <x:c r="E7" s="31" t="n">
        <x:v>0.0724551295</x:v>
      </x:c>
      <x:c r="F7" s="32" t="n">
        <x:v>0</x:v>
      </x:c>
      <x:c r="G7" s="34" t="n">
        <x:v>1</x:v>
      </x:c>
      <x:c r="H7" s="32" t="n">
        <x:f>IF(E7=0,"",I7/E7)</x:f>
        <x:v>3715.3522909717276</x:v>
      </x:c>
      <x:c r="I7" s="31" t="n">
        <x:f>IF(C7=0,"",SUMIF('Species'!$G$2:$G$34,A7,'Species'!$U$2:$U$34))</x:f>
        <x:v>269.1963313804782</x:v>
      </x:c>
      <x:c r="J7" s="32" t="n">
        <x:v>4.57</x:v>
      </x:c>
      <x:c r="K7" s="32" t="n">
        <x:f>IF(J7="","",(1/'Metadata'!$B$5)^(J7-1))</x:f>
        <x:v>3715.3522909717276</x:v>
      </x:c>
      <x:c r="L7" s="31" t="n">
        <x:f>IF(E7=0,"",E7*K7)</x:f>
        <x:v>269.1963313804782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Lobsters, crabs</x:v>
      </x:c>
      <x:c r="B8" s="33" t="n">
        <x:v>2</x:v>
      </x:c>
      <x:c r="C8" s="33" t="n">
        <x:v>2</x:v>
      </x:c>
      <x:c r="D8" s="31" t="n">
        <x:v>0.0092461172</x:v>
      </x:c>
      <x:c r="E8" s="31" t="n">
        <x:v>0.0092461172</x:v>
      </x:c>
      <x:c r="F8" s="32" t="n">
        <x:v>0</x:v>
      </x:c>
      <x:c r="G8" s="34" t="n">
        <x:v>1</x:v>
      </x:c>
      <x:c r="H8" s="32" t="n">
        <x:f>IF(E8=0,"",I8/E8)</x:f>
        <x:v>58.20239516841269</x:v>
      </x:c>
      <x:c r="I8" s="31" t="n">
        <x:f>IF(C8=0,"",SUMIF('Species'!$G$2:$G$34,A8,'Species'!$U$2:$U$34))</x:f>
        <x:v>0.5381461670478576</x:v>
      </x:c>
      <x:c r="J8" s="32" t="n">
        <x:v>2.731294349156638</x:v>
      </x:c>
      <x:c r="K8" s="32" t="n">
        <x:f>IF(J8="","",(1/'Metadata'!$B$5)^(J8-1))</x:f>
        <x:v>53.86347260453325</x:v>
      </x:c>
      <x:c r="L8" s="31" t="n">
        <x:f>IF(E8=0,"",E8*K8)</x:f>
        <x:v>0.49802798050050373</x:v>
      </x:c>
      <x:c r="M8" s="31" t="n">
        <x:f>IF(E8=0,"",I8-L8)</x:f>
        <x:v>0.04011818654735383</x:v>
      </x:c>
      <x:c r="N8" s="32" t="n">
        <x:f>IF(L8=0,"",I8/L8)</x:f>
        <x:v>1.080554081533805</x:v>
      </x:c>
      <x:c r="O8" s="34" t="n">
        <x:f>IF(L8=0,"",M8/L8)</x:f>
        <x:v>0.08055408153380501</x:v>
      </x:c>
    </x:row>
    <x:row r="9" ht="18" customHeight="1">
      <x:c r="A9" s="24" t="str">
        <x:v>Medium bathypelagics (30 - 89 cm)</x:v>
      </x:c>
      <x:c r="B9" s="33" t="n">
        <x:v>2</x:v>
      </x:c>
      <x:c r="C9" s="33" t="n">
        <x:v>2</x:v>
      </x:c>
      <x:c r="D9" s="31" t="n">
        <x:v>8.2990893632</x:v>
      </x:c>
      <x:c r="E9" s="31" t="n">
        <x:v>8.2990893632</x:v>
      </x:c>
      <x:c r="F9" s="32" t="n">
        <x:v>0</x:v>
      </x:c>
      <x:c r="G9" s="34" t="n">
        <x:v>1</x:v>
      </x:c>
      <x:c r="H9" s="32" t="n">
        <x:f>IF(E9=0,"",I9/E9)</x:f>
        <x:v>364.3819520739044</x:v>
      </x:c>
      <x:c r="I9" s="31" t="n">
        <x:f>IF(C9=0,"",SUMIF('Species'!$G$2:$G$34,A9,'Species'!$U$2:$U$34))</x:f>
        <x:v>3024.0383825985923</x:v>
      </x:c>
      <x:c r="J9" s="32" t="n">
        <x:v>3.5595597735277797</x:v>
      </x:c>
      <x:c r="K9" s="32" t="n">
        <x:f>IF(J9="","",(1/'Metadata'!$B$5)^(J9-1))</x:f>
        <x:v>362.71020393309635</x:v>
      </x:c>
      <x:c r="L9" s="31" t="n">
        <x:f>IF(E9=0,"",E9*K9)</x:f>
        <x:v>3010.1643953852627</x:v>
      </x:c>
      <x:c r="M9" s="31" t="n">
        <x:f>IF(E9=0,"",I9-L9)</x:f>
        <x:v>13.873987213329656</x:v>
      </x:c>
      <x:c r="N9" s="32" t="n">
        <x:f>IF(L9=0,"",I9/L9)</x:f>
        <x:v>1.0046090463479667</x:v>
      </x:c>
      <x:c r="O9" s="34" t="n">
        <x:f>IF(L9=0,"",M9/L9)</x:f>
        <x:v>0.004609046347966641</x:v>
      </x:c>
    </x:row>
    <x:row r="10" ht="18" customHeight="1">
      <x:c r="A10" s="24" t="str">
        <x:v>Medium benthopelagics (30 - 89 cm)</x:v>
      </x:c>
      <x:c r="B10" s="33" t="n">
        <x:v>5</x:v>
      </x:c>
      <x:c r="C10" s="33" t="n">
        <x:v>5</x:v>
      </x:c>
      <x:c r="D10" s="31" t="n">
        <x:v>250.70833359820003</x:v>
      </x:c>
      <x:c r="E10" s="31" t="n">
        <x:v>250.70833359820003</x:v>
      </x:c>
      <x:c r="F10" s="32" t="n">
        <x:v>0</x:v>
      </x:c>
      <x:c r="G10" s="34" t="n">
        <x:v>1</x:v>
      </x:c>
      <x:c r="H10" s="32" t="n">
        <x:f>IF(E10=0,"",I10/E10)</x:f>
        <x:v>374.77161096826484</x:v>
      </x:c>
      <x:c r="I10" s="31" t="n">
        <x:f>IF(C10=0,"",SUMIF('Species'!$G$2:$G$34,A10,'Species'!$U$2:$U$34))</x:f>
        <x:v>93958.36606576658</x:v>
      </x:c>
      <x:c r="J10" s="32" t="n">
        <x:v>3.5696655133009165</x:v>
      </x:c>
      <x:c r="K10" s="32" t="n">
        <x:f>IF(J10="","",(1/'Metadata'!$B$5)^(J10-1))</x:f>
        <x:v>371.249188741924</x:v>
      </x:c>
      <x:c r="L10" s="31" t="n">
        <x:f>IF(E10=0,"",E10*K10)</x:f>
        <x:v>93075.26545917141</x:v>
      </x:c>
      <x:c r="M10" s="31" t="n">
        <x:f>IF(E10=0,"",I10-L10)</x:f>
        <x:v>883.100606595166</x:v>
      </x:c>
      <x:c r="N10" s="32" t="n">
        <x:f>IF(L10=0,"",I10/L10)</x:f>
        <x:v>1.0094880267301793</x:v>
      </x:c>
      <x:c r="O10" s="34" t="n">
        <x:f>IF(L10=0,"",M10/L10)</x:f>
        <x:v>0.009488026730179447</x:v>
      </x:c>
    </x:row>
    <x:row r="11" ht="18" customHeight="1">
      <x:c r="A11" s="24" t="str">
        <x:v>Medium demersals (30 - 89 cm)</x:v>
      </x:c>
      <x:c r="B11" s="33" t="n">
        <x:v>9</x:v>
      </x:c>
      <x:c r="C11" s="33" t="n">
        <x:v>9</x:v>
      </x:c>
      <x:c r="D11" s="31" t="n">
        <x:v>226.48410741200001</x:v>
      </x:c>
      <x:c r="E11" s="31" t="n">
        <x:v>226.48410741200001</x:v>
      </x:c>
      <x:c r="F11" s="32" t="n">
        <x:v>0</x:v>
      </x:c>
      <x:c r="G11" s="34" t="n">
        <x:v>1</x:v>
      </x:c>
      <x:c r="H11" s="32" t="n">
        <x:f>IF(E11=0,"",I11/E11)</x:f>
        <x:v>185.86992257888858</x:v>
      </x:c>
      <x:c r="I11" s="31" t="n">
        <x:f>IF(C11=0,"",SUMIF('Species'!$G$2:$G$34,A11,'Species'!$U$2:$U$34))</x:f>
        <x:v>42096.583510017124</x:v>
      </x:c>
      <x:c r="J11" s="32" t="n">
        <x:v>3.2688804906494484</x:v>
      </x:c>
      <x:c r="K11" s="32" t="n">
        <x:f>IF(J11="","",(1/'Metadata'!$B$5)^(J11-1))</x:f>
        <x:v>185.7293293961493</x:v>
      </x:c>
      <x:c r="L11" s="31" t="n">
        <x:f>IF(E11=0,"",E11*K11)</x:f>
        <x:v>42064.74138851621</x:v>
      </x:c>
      <x:c r="M11" s="31" t="n">
        <x:f>IF(E11=0,"",I11-L11)</x:f>
        <x:v>31.8421215009148</x:v>
      </x:c>
      <x:c r="N11" s="32" t="n">
        <x:f>IF(L11=0,"",I11/L11)</x:f>
        <x:v>1.0007569788960977</x:v>
      </x:c>
      <x:c r="O11" s="34" t="n">
        <x:f>IF(L11=0,"",M11/L11)</x:f>
        <x:v>0.0007569788960977134</x:v>
      </x:c>
    </x:row>
    <x:row r="12" ht="18" customHeight="1">
      <x:c r="A12" s="24" t="str">
        <x:v>Medium pelagics (30 - 89 cm)</x:v>
      </x:c>
      <x:c r="B12" s="33" t="n">
        <x:v>1</x:v>
      </x:c>
      <x:c r="C12" s="33" t="n">
        <x:v>1</x:v>
      </x:c>
      <x:c r="D12" s="31" t="n">
        <x:v>706.2627263566001</x:v>
      </x:c>
      <x:c r="E12" s="31" t="n">
        <x:v>706.2627263566001</x:v>
      </x:c>
      <x:c r="F12" s="32" t="n">
        <x:v>0</x:v>
      </x:c>
      <x:c r="G12" s="34" t="n">
        <x:v>1</x:v>
      </x:c>
      <x:c r="H12" s="32" t="n">
        <x:f>IF(E12=0,"",I12/E12)</x:f>
        <x:v>169.82436524617444</x:v>
      </x:c>
      <x:c r="I12" s="31" t="n">
        <x:f>IF(C12=0,"",SUMIF('Species'!$G$2:$G$34,A12,'Species'!$U$2:$U$34))</x:f>
        <x:v>119940.6192005422</x:v>
      </x:c>
      <x:c r="J12" s="32" t="n">
        <x:v>3.23</x:v>
      </x:c>
      <x:c r="K12" s="32" t="n">
        <x:f>IF(J12="","",(1/'Metadata'!$B$5)^(J12-1))</x:f>
        <x:v>169.82436524617444</x:v>
      </x:c>
      <x:c r="L12" s="31" t="n">
        <x:f>IF(E12=0,"",E12*K12)</x:f>
        <x:v>119940.6192005422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Other demersal invertebrates</x:v>
      </x:c>
      <x:c r="B13" s="33" t="n">
        <x:v>1</x:v>
      </x:c>
      <x:c r="C13" s="33" t="n">
        <x:v>1</x:v>
      </x:c>
      <x:c r="D13" s="31" t="n">
        <x:v>0.1341179545</x:v>
      </x:c>
      <x:c r="E13" s="31" t="n">
        <x:v>0.1341179545</x:v>
      </x:c>
      <x:c r="F13" s="32" t="n">
        <x:v>0</x:v>
      </x:c>
      <x:c r="G13" s="34" t="n">
        <x:v>1</x:v>
      </x:c>
      <x:c r="H13" s="32" t="n">
        <x:f>IF(E13=0,"",I13/E13)</x:f>
        <x:v>100</x:v>
      </x:c>
      <x:c r="I13" s="31" t="n">
        <x:f>IF(C13=0,"",SUMIF('Species'!$G$2:$G$34,A13,'Species'!$U$2:$U$34))</x:f>
        <x:v>13.41179545</x:v>
      </x:c>
      <x:c r="J13" s="32" t="n">
        <x:v>3</x:v>
      </x:c>
      <x:c r="K13" s="32" t="n">
        <x:f>IF(J13="","",(1/'Metadata'!$B$5)^(J13-1))</x:f>
        <x:v>100</x:v>
      </x:c>
      <x:c r="L13" s="31" t="n">
        <x:f>IF(E13=0,"",E13*K13)</x:f>
        <x:v>13.41179545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Shrimps</x:v>
      </x:c>
      <x:c r="B14" s="33" t="n">
        <x:v>1</x:v>
      </x:c>
      <x:c r="C14" s="33" t="n">
        <x:v>1</x:v>
      </x:c>
      <x:c r="D14" s="31" t="n">
        <x:v>0.0007245513</x:v>
      </x:c>
      <x:c r="E14" s="31" t="n">
        <x:v>0.0007245513</x:v>
      </x:c>
      <x:c r="F14" s="32" t="n">
        <x:v>0</x:v>
      </x:c>
      <x:c r="G14" s="34" t="n">
        <x:v>1</x:v>
      </x:c>
      <x:c r="H14" s="32" t="n">
        <x:f>IF(E14=0,"",I14/E14)</x:f>
        <x:v>50.11872336272725</x:v>
      </x:c>
      <x:c r="I14" s="31" t="n">
        <x:f>IF(C14=0,"",SUMIF('Species'!$G$2:$G$34,A14,'Species'!$U$2:$U$34))</x:f>
        <x:v>0.036313586166804405</x:v>
      </x:c>
      <x:c r="J14" s="32" t="n">
        <x:v>2.7</x:v>
      </x:c>
      <x:c r="K14" s="32" t="n">
        <x:f>IF(J14="","",(1/'Metadata'!$B$5)^(J14-1))</x:f>
        <x:v>50.11872336272725</x:v>
      </x:c>
      <x:c r="L14" s="31" t="n">
        <x:f>IF(E14=0,"",E14*K14)</x:f>
        <x:v>0.036313586166804405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benthopelagics (&lt;30 cm)</x:v>
      </x:c>
      <x:c r="B15" s="33" t="n">
        <x:v>1</x:v>
      </x:c>
      <x:c r="C15" s="33" t="n">
        <x:v>1</x:v>
      </x:c>
      <x:c r="D15" s="31" t="n">
        <x:v>0.0310748522</x:v>
      </x:c>
      <x:c r="E15" s="31" t="n">
        <x:v>0.0310748522</x:v>
      </x:c>
      <x:c r="F15" s="32" t="n">
        <x:v>0</x:v>
      </x:c>
      <x:c r="G15" s="34" t="n">
        <x:v>1</x:v>
      </x:c>
      <x:c r="H15" s="32" t="n">
        <x:f>IF(E15=0,"",I15/E15)</x:f>
        <x:v>165.95869074375614</x:v>
      </x:c>
      <x:c r="I15" s="31" t="n">
        <x:f>IF(C15=0,"",SUMIF('Species'!$G$2:$G$34,A15,'Species'!$U$2:$U$34))</x:f>
        <x:v>5.15714178616773</x:v>
      </x:c>
      <x:c r="J15" s="32" t="n">
        <x:v>3.22</x:v>
      </x:c>
      <x:c r="K15" s="32" t="n">
        <x:f>IF(J15="","",(1/'Metadata'!$B$5)^(J15-1))</x:f>
        <x:v>165.95869074375614</x:v>
      </x:c>
      <x:c r="L15" s="31" t="n">
        <x:f>IF(E15=0,"",E15*K15)</x:f>
        <x:v>5.15714178616773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pelagics (&lt;30 cm)</x:v>
      </x:c>
      <x:c r="B16" s="33" t="n">
        <x:v>1</x:v>
      </x:c>
      <x:c r="C16" s="33" t="n">
        <x:v>1</x:v>
      </x:c>
      <x:c r="D16" s="31" t="n">
        <x:v>0.0168165547</x:v>
      </x:c>
      <x:c r="E16" s="31" t="n">
        <x:v>0.0168165547</x:v>
      </x:c>
      <x:c r="F16" s="32" t="n">
        <x:v>0</x:v>
      </x:c>
      <x:c r="G16" s="34" t="n">
        <x:v>1</x:v>
      </x:c>
      <x:c r="H16" s="32" t="n">
        <x:f>IF(E16=0,"",I16/E16)</x:f>
        <x:v>199.52623149688787</x:v>
      </x:c>
      <x:c r="I16" s="31" t="n">
        <x:f>IF(C16=0,"",SUMIF('Species'!$G$2:$G$34,A16,'Species'!$U$2:$U$34))</x:f>
        <x:v>3.355343786052278</x:v>
      </x:c>
      <x:c r="J16" s="32" t="n">
        <x:v>3.3</x:v>
      </x:c>
      <x:c r="K16" s="32" t="n">
        <x:f>IF(J16="","",(1/'Metadata'!$B$5)^(J16-1))</x:f>
        <x:v>199.52623149688787</x:v>
      </x:c>
      <x:c r="L16" s="31" t="n">
        <x:f>IF(E16=0,"",E16*K16)</x:f>
        <x:v>3.355343786052278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to medium rays (&lt;90 cm)</x:v>
      </x:c>
      <x:c r="B17" s="33" t="n">
        <x:v>2</x:v>
      </x:c>
      <x:c r="C17" s="33" t="n">
        <x:v>2</x:v>
      </x:c>
      <x:c r="D17" s="31" t="n">
        <x:v>14.7422461792</x:v>
      </x:c>
      <x:c r="E17" s="31" t="n">
        <x:v>14.7422461792</x:v>
      </x:c>
      <x:c r="F17" s="32" t="n">
        <x:v>0</x:v>
      </x:c>
      <x:c r="G17" s="34" t="n">
        <x:v>1</x:v>
      </x:c>
      <x:c r="H17" s="32" t="n">
        <x:f>IF(E17=0,"",I17/E17)</x:f>
        <x:v>409.7223160094547</x:v>
      </x:c>
      <x:c r="I17" s="31" t="n">
        <x:f>IF(C17=0,"",SUMIF('Species'!$G$2:$G$34,A17,'Species'!$U$2:$U$34))</x:f>
        <x:v>6040.227247723358</x:v>
      </x:c>
      <x:c r="J17" s="32" t="n">
        <x:v>3.607949511940341</x:v>
      </x:c>
      <x:c r="K17" s="32" t="n">
        <x:f>IF(J17="","",(1/'Metadata'!$B$5)^(J17-1))</x:f>
        <x:v>405.46139658297085</x:v>
      </x:c>
      <x:c r="L17" s="31" t="n">
        <x:f>IF(E17=0,"",E17*K17)</x:f>
        <x:v>5977.411724588398</x:v>
      </x:c>
      <x:c r="M17" s="31" t="n">
        <x:f>IF(E17=0,"",I17-L17)</x:f>
        <x:v>62.81552313496013</x:v>
      </x:c>
      <x:c r="N17" s="32" t="n">
        <x:f>IF(L17=0,"",I17/L17)</x:f>
        <x:v>1.0105088165294964</x:v>
      </x:c>
      <x:c r="O17" s="34" t="n">
        <x:f>IF(L17=0,"",M17/L17)</x:f>
        <x:v>0.010508816529496399</x:v>
      </x:c>
    </x:row>
    <x:row r="18" ht="18" customHeight="1">
      <x:c r="A18" s="24" t="str">
        <x:v>Small to medium sharks (&lt;90 cm)</x:v>
      </x:c>
      <x:c r="B18" s="33" t="n">
        <x:v>1</x:v>
      </x:c>
      <x:c r="C18" s="33" t="n">
        <x:v>1</x:v>
      </x:c>
      <x:c r="D18" s="31" t="n">
        <x:v>0.0415991334</x:v>
      </x:c>
      <x:c r="E18" s="31" t="n">
        <x:v>0.0415991334</x:v>
      </x:c>
      <x:c r="F18" s="32" t="n">
        <x:v>0</x:v>
      </x:c>
      <x:c r="G18" s="34" t="n">
        <x:v>1</x:v>
      </x:c>
      <x:c r="H18" s="32" t="n">
        <x:f>IF(E18=0,"",I18/E18)</x:f>
        <x:v>1047.1285480508984</x:v>
      </x:c>
      <x:c r="I18" s="31" t="n">
        <x:f>IF(C18=0,"",SUMIF('Species'!$G$2:$G$34,A18,'Species'!$U$2:$U$34))</x:f>
        <x:v>43.55964015731764</x:v>
      </x:c>
      <x:c r="J18" s="32" t="n">
        <x:v>4.02</x:v>
      </x:c>
      <x:c r="K18" s="32" t="n">
        <x:f>IF(J18="","",(1/'Metadata'!$B$5)^(J18-1))</x:f>
        <x:v>1047.1285480508984</x:v>
      </x:c>
      <x:c r="L18" s="31" t="n">
        <x:f>IF(E18=0,"",E18*K18)</x:f>
        <x:v>43.55964015731764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247803b6ac44d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EEZ_334</x:v>
      </x:c>
      <x:c r="B2" s="24" t="str">
        <x:v>raw_filtered_tonnes</x:v>
      </x:c>
      <x:c r="C2" s="24" t="n">
        <x:v>4250.4902151652</x:v>
      </x:c>
      <x:c r="D2" s="24" t="str">
        <x:v>tonnes</x:v>
      </x:c>
    </x:row>
    <x:row r="3" ht="18" customHeight="1">
      <x:c r="A3" s="24" t="str">
        <x:v>EEZ_334</x:v>
      </x:c>
      <x:c r="B3" s="24" t="str">
        <x:v>species_catch_tonnes</x:v>
      </x:c>
      <x:c r="C3" s="24" t="n">
        <x:v>4250.4902151652</x:v>
      </x:c>
      <x:c r="D3" s="24" t="str">
        <x:v>tonnes</x:v>
      </x:c>
    </x:row>
    <x:row r="4" ht="18" customHeight="1">
      <x:c r="A4" s="24" t="str">
        <x:v>EEZ_334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EEZ_334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EEZ_334</x:v>
      </x:c>
      <x:c r="B6" s="24" t="str">
        <x:v>matched_catch_tonnes</x:v>
      </x:c>
      <x:c r="C6" s="24" t="n">
        <x:v>4250.4902151652</x:v>
      </x:c>
      <x:c r="D6" s="24" t="str">
        <x:v>tonnes</x:v>
      </x:c>
    </x:row>
    <x:row r="7" ht="18" customHeight="1">
      <x:c r="A7" s="24" t="str">
        <x:v>EEZ_334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EEZ_334</x:v>
      </x:c>
      <x:c r="B8" s="24" t="str">
        <x:v>taxa_count</x:v>
      </x:c>
      <x:c r="C8" s="24" t="n">
        <x:v>33</x:v>
      </x:c>
      <x:c r="D8" s="24" t="str">
        <x:v>count</x:v>
      </x:c>
    </x:row>
    <x:row r="9" ht="18" customHeight="1">
      <x:c r="A9" s="24" t="str">
        <x:v>EEZ_334</x:v>
      </x:c>
      <x:c r="B9" s="24" t="str">
        <x:v>matched_taxa_count</x:v>
      </x:c>
      <x:c r="C9" s="24" t="n">
        <x:v>33</x:v>
      </x:c>
      <x:c r="D9" s="24" t="str">
        <x:v>count</x:v>
      </x:c>
    </x:row>
    <x:row r="10" ht="18" customHeight="1">
      <x:c r="A10" s="24" t="str">
        <x:v>EEZ_334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EEZ_334</x:v>
      </x:c>
      <x:c r="B11" s="24" t="str">
        <x:v>species_ppr</x:v>
      </x:c>
      <x:c r="C11" s="24" t="n">
        <x:v>3029959.8663934683</x:v>
      </x:c>
      <x:c r="D11" s="24" t="str">
        <x:v>tonnes_primary_production_equivalent</x:v>
      </x:c>
    </x:row>
    <x:row r="12" ht="18" customHeight="1">
      <x:c r="A12" s="24" t="str">
        <x:v>EEZ_334</x:v>
      </x:c>
      <x:c r="B12" s="24" t="str">
        <x:v>commercial_ppr</x:v>
      </x:c>
      <x:c r="C12" s="24" t="n">
        <x:v>3029959.8663934683</x:v>
      </x:c>
      <x:c r="D12" s="24" t="str">
        <x:v>tonnes_primary_production_equivalent</x:v>
      </x:c>
    </x:row>
    <x:row r="13" ht="18" customHeight="1">
      <x:c r="A13" s="24" t="str">
        <x:v>EEZ_334</x:v>
      </x:c>
      <x:c r="B13" s="24" t="str">
        <x:v>functional_ppr</x:v>
      </x:c>
      <x:c r="C13" s="24" t="n">
        <x:v>3029959.8663934697</x:v>
      </x:c>
      <x:c r="D13" s="24" t="str">
        <x:v>tonnes_primary_production_equivalent</x:v>
      </x:c>
    </x:row>
    <x:row r="14" ht="18" customHeight="1">
      <x:c r="A14" s="24" t="str">
        <x:v>EEZ_334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EEZ_334</x:v>
      </x:c>
      <x:c r="B15" s="24" t="str">
        <x:v>functional_ppr_difference</x:v>
      </x:c>
      <x:c r="C15" s="24" t="n">
        <x:v>1.3969838619232178e-9</x:v>
      </x:c>
      <x:c r="D15" s="24" t="str">
        <x:v>tonnes_primary_production_equivalent</x:v>
      </x:c>
    </x:row>
    <x:row r="16" ht="18" customHeight="1">
      <x:c r="A16" s="24" t="str">
        <x:v>EEZ_334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EEZ_334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EEZ_334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EEZ_334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42d4e8bc27b42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EEZ_334 - Heard &amp; McDonald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EEZ_334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