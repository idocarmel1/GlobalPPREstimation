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bdfe320c4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46ba80b9ee94911"/>
    <x:sheet xmlns:r="http://schemas.openxmlformats.org/officeDocument/2006/relationships" name="Commercial" sheetId="2" r:id="Rb34728325d644ff6"/>
    <x:sheet xmlns:r="http://schemas.openxmlformats.org/officeDocument/2006/relationships" name="Functional" sheetId="3" r:id="R4040776de2754ce8"/>
    <x:sheet xmlns:r="http://schemas.openxmlformats.org/officeDocument/2006/relationships" name="Missing TL" sheetId="4" r:id="Rf5e41a253d0a49e2"/>
    <x:sheet xmlns:r="http://schemas.openxmlformats.org/officeDocument/2006/relationships" name="Validation" sheetId="5" r:id="R1a1376d59f8d4e83"/>
    <x:sheet xmlns:r="http://schemas.openxmlformats.org/officeDocument/2006/relationships" name="Metadata" sheetId="6" r:id="R9f10d8829667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61ee0569b41aa" /><Relationship Type="http://schemas.openxmlformats.org/officeDocument/2006/relationships/theme" Target="/xl/theme/theme1.xml" Id="R1b1c23c6b21e4479" /><Relationship Type="http://schemas.microsoft.com/office/2022/11/relationships/FeaturePropertyBag" Target="/xl/featurePropertyBag/featurePropertyBag.xml" Id="Rd1d16884d6574646" /><Relationship Type="http://schemas.openxmlformats.org/officeDocument/2006/relationships/sharedStrings" Target="/xl/sharedStrings.xml" Id="Rbac361814c0c4876" /><Relationship Type="http://schemas.openxmlformats.org/officeDocument/2006/relationships/worksheet" Target="/xl/worksheets/sheet1.xml" Id="Rc46ba80b9ee94911" /><Relationship Type="http://schemas.openxmlformats.org/officeDocument/2006/relationships/worksheet" Target="/xl/worksheets/sheet2.xml" Id="Rb34728325d644ff6" /><Relationship Type="http://schemas.openxmlformats.org/officeDocument/2006/relationships/worksheet" Target="/xl/worksheets/sheet3.xml" Id="R4040776de2754ce8" /><Relationship Type="http://schemas.openxmlformats.org/officeDocument/2006/relationships/worksheet" Target="/xl/worksheets/sheet4.xml" Id="Rf5e41a253d0a49e2" /><Relationship Type="http://schemas.openxmlformats.org/officeDocument/2006/relationships/worksheet" Target="/xl/worksheets/sheet5.xml" Id="R1a1376d59f8d4e83" /><Relationship Type="http://schemas.openxmlformats.org/officeDocument/2006/relationships/worksheet" Target="/xl/worksheets/sheet6.xml" Id="R9f10d88296674e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44SpeciesTable" displayName="EEZ044SpeciesTable" ref="A1:U44" headerRowCount="1" totalsRowCount="0" totalsRowShown="0">
  <x:autoFilter ref="A1:U4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44CommercialTable" displayName="EEZ044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44FunctionalTable" displayName="EEZ044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44ValidationTable" displayName="EEZ04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7b27b49a9143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20ba2b583e46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a00d61569442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8c050d496148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EEZ_044</x:v>
      </x:c>
      <x:c r="B2" s="24" t="str">
        <x:v>Bahamas</x:v>
      </x:c>
      <x:c r="C2" s="24" t="str">
        <x:v>EEZ</x:v>
      </x:c>
      <x:c r="D2" s="30" t="n">
        <x:v>2019</x:v>
      </x:c>
      <x:c r="E2" s="24" t="str">
        <x:v>Panulirus argus</x:v>
      </x:c>
      <x:c r="F2" s="24" t="str">
        <x:v>Caribbean spiny lobster</x:v>
      </x:c>
      <x:c r="G2" s="24" t="str">
        <x:v>Lobsters, crabs</x:v>
      </x:c>
      <x:c r="H2" s="24" t="str">
        <x:v>Crustaceans</x:v>
      </x:c>
      <x:c r="I2" s="31" t="n">
        <x:v>7320.9992376</x:v>
      </x:c>
      <x:c r="J2" s="31" t="n">
        <x:v>7320.9992376</x:v>
      </x:c>
      <x:c r="K2" s="31" t="n">
        <x:v>0</x:v>
      </x:c>
      <x:c r="L2" s="31" t="n">
        <x:v>6225.72</x:v>
      </x:c>
      <x:c r="M2" s="31" t="n">
        <x:v>1095.2792376</x:v>
      </x:c>
      <x:c r="N2" s="24" t="str">
        <x:v>panulirus argus</x:v>
      </x:c>
      <x:c r="O2" s="32" t="n">
        <x:v>3.2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Panulirus argus</x:v>
      </x:c>
      <x:c r="T2" s="32" t="n">
        <x:f>IF(O2="","",(1/'Metadata'!$B$5)^(O2-1))</x:f>
        <x:v>158.48931924611142</x:v>
      </x:c>
      <x:c r="U2" s="31" t="n">
        <x:f>IF(T2="","",I2*T2)</x:f>
        <x:v>1160300.1853685246</x:v>
      </x:c>
    </x:row>
    <x:row r="3" ht="18" customHeight="1">
      <x:c r="A3" s="24" t="str">
        <x:v>EEZ_044</x:v>
      </x:c>
      <x:c r="B3" s="24" t="str">
        <x:v>Bahamas</x:v>
      </x:c>
      <x:c r="C3" s="24" t="str">
        <x:v>EEZ</x:v>
      </x:c>
      <x:c r="D3" s="30" t="n">
        <x:v>2019</x:v>
      </x:c>
      <x:c r="E3" s="24" t="str">
        <x:v>Aliger gigas</x:v>
      </x:c>
      <x:c r="F3" s="24" t="str">
        <x:v>Pink conch</x:v>
      </x:c>
      <x:c r="G3" s="24" t="str">
        <x:v>Other demersal invertebrates</x:v>
      </x:c>
      <x:c r="H3" s="24" t="str">
        <x:v>Molluscs</x:v>
      </x:c>
      <x:c r="I3" s="31" t="n">
        <x:v>4204.345815</x:v>
      </x:c>
      <x:c r="J3" s="31" t="n">
        <x:v>4204.345815</x:v>
      </x:c>
      <x:c r="K3" s="31" t="n">
        <x:v>0</x:v>
      </x:c>
      <x:c r="L3" s="31" t="n">
        <x:v>3068.59</x:v>
      </x:c>
      <x:c r="M3" s="31" t="n">
        <x:v>1135.755815</x:v>
      </x:c>
      <x:c r="N3" s="24" t="str">
        <x:v>aliger gigas</x:v>
      </x:c>
      <x:c r="O3" s="32" t="n">
        <x:v>2.19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Aliger gigas</x:v>
      </x:c>
      <x:c r="T3" s="32" t="n">
        <x:f>IF(O3="","",(1/'Metadata'!$B$5)^(O3-1))</x:f>
        <x:v>15.488166189124811</x:v>
      </x:c>
      <x:c r="U3" s="31" t="n">
        <x:f>IF(T3="","",I3*T3)</x:f>
        <x:v>65117.6066992714</x:v>
      </x:c>
    </x:row>
    <x:row r="4" ht="18" customHeight="1">
      <x:c r="A4" s="24" t="str">
        <x:v>EEZ_044</x:v>
      </x:c>
      <x:c r="B4" s="24" t="str">
        <x:v>Bahamas</x:v>
      </x:c>
      <x:c r="C4" s="24" t="str">
        <x:v>EEZ</x:v>
      </x:c>
      <x:c r="D4" s="30" t="n">
        <x:v>2019</x:v>
      </x:c>
      <x:c r="E4" s="24" t="str">
        <x:v>Acanthocybium solandri</x:v>
      </x:c>
      <x:c r="F4" s="24" t="str">
        <x:v>Wahoo</x:v>
      </x:c>
      <x:c r="G4" s="24" t="str">
        <x:v>Large pelagics (&gt;=90 cm)</x:v>
      </x:c>
      <x:c r="H4" s="24" t="str">
        <x:v>Perch-likes</x:v>
      </x:c>
      <x:c r="I4" s="31" t="n">
        <x:v>639.1530704</x:v>
      </x:c>
      <x:c r="J4" s="31" t="n">
        <x:v>639.1530704</x:v>
      </x:c>
      <x:c r="K4" s="31" t="n">
        <x:v>0</x:v>
      </x:c>
      <x:c r="L4" s="31" t="n">
        <x:v>0</x:v>
      </x:c>
      <x:c r="M4" s="31" t="n">
        <x:v>639.1530704</x:v>
      </x:c>
      <x:c r="N4" s="24" t="str">
        <x:v>acanthocybium solandri</x:v>
      </x:c>
      <x:c r="O4" s="32" t="n">
        <x:v>4.26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Acanthocybium solandri</x:v>
      </x:c>
      <x:c r="T4" s="32" t="n">
        <x:f>IF(O4="","",(1/'Metadata'!$B$5)^(O4-1))</x:f>
        <x:v>1819.7008586099826</x:v>
      </x:c>
      <x:c r="U4" s="31" t="n">
        <x:f>IF(T4="","",I4*T4)</x:f>
        <x:v>1163067.3909900868</x:v>
      </x:c>
    </x:row>
    <x:row r="5" ht="18" customHeight="1">
      <x:c r="A5" s="24" t="str">
        <x:v>EEZ_044</x:v>
      </x:c>
      <x:c r="B5" s="24" t="str">
        <x:v>Bahamas</x:v>
      </x:c>
      <x:c r="C5" s="24" t="str">
        <x:v>EEZ</x:v>
      </x:c>
      <x:c r="D5" s="30" t="n">
        <x:v>2019</x:v>
      </x:c>
      <x:c r="E5" s="24" t="str">
        <x:v>Seriola dumerili</x:v>
      </x:c>
      <x:c r="F5" s="24" t="str">
        <x:v>Greater amberjack</x:v>
      </x:c>
      <x:c r="G5" s="24" t="str">
        <x:v>Large reef assoc. fish (&gt;=90 cm)</x:v>
      </x:c>
      <x:c r="H5" s="24" t="str">
        <x:v>Perch-likes</x:v>
      </x:c>
      <x:c r="I5" s="31" t="n">
        <x:v>639.1530704</x:v>
      </x:c>
      <x:c r="J5" s="31" t="n">
        <x:v>639.1530704</x:v>
      </x:c>
      <x:c r="K5" s="31" t="n">
        <x:v>0</x:v>
      </x:c>
      <x:c r="L5" s="31" t="n">
        <x:v>0</x:v>
      </x:c>
      <x:c r="M5" s="31" t="n">
        <x:v>639.1530704</x:v>
      </x:c>
      <x:c r="N5" s="24" t="str">
        <x:v>seriola dumerili</x:v>
      </x:c>
      <x:c r="O5" s="32" t="n">
        <x:v>4.5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Seriola dumerili</x:v>
      </x:c>
      <x:c r="T5" s="32" t="n">
        <x:f>IF(O5="","",(1/'Metadata'!$B$5)^(O5-1))</x:f>
        <x:v>3162.2776601683795</x:v>
      </x:c>
      <x:c r="U5" s="31" t="n">
        <x:f>IF(T5="","",I5*T5)</x:f>
        <x:v>2021179.4759539478</x:v>
      </x:c>
    </x:row>
    <x:row r="6" ht="18" customHeight="1">
      <x:c r="A6" s="24" t="str">
        <x:v>EEZ_044</x:v>
      </x:c>
      <x:c r="B6" s="24" t="str">
        <x:v>Bahamas</x:v>
      </x:c>
      <x:c r="C6" s="24" t="str">
        <x:v>EEZ</x:v>
      </x:c>
      <x:c r="D6" s="30" t="n">
        <x:v>2019</x:v>
      </x:c>
      <x:c r="E6" s="24" t="str">
        <x:v>Scomberomorus</x:v>
      </x:c>
      <x:c r="F6" s="24" t="str">
        <x:v>Spanish mackerels</x:v>
      </x:c>
      <x:c r="G6" s="24" t="str">
        <x:v>Large pelagics (&gt;=90 cm)</x:v>
      </x:c>
      <x:c r="H6" s="24" t="str">
        <x:v>Perch-likes</x:v>
      </x:c>
      <x:c r="I6" s="31" t="n">
        <x:v>639.1530704</x:v>
      </x:c>
      <x:c r="J6" s="31" t="n">
        <x:v>639.1530704</x:v>
      </x:c>
      <x:c r="K6" s="31" t="n">
        <x:v>0</x:v>
      </x:c>
      <x:c r="L6" s="31" t="n">
        <x:v>0</x:v>
      </x:c>
      <x:c r="M6" s="31" t="n">
        <x:v>639.1530704</x:v>
      </x:c>
      <x:c r="N6" s="24" t="str">
        <x:v>scomberomorus</x:v>
      </x:c>
      <x:c r="O6" s="32" t="n">
        <x:v>4.35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Scomberomorus</x:v>
      </x:c>
      <x:c r="T6" s="32" t="n">
        <x:f>IF(O6="","",(1/'Metadata'!$B$5)^(O6-1))</x:f>
        <x:v>2238.7211385683377</x:v>
      </x:c>
      <x:c r="U6" s="31" t="n">
        <x:f>IF(T6="","",I6*T6)</x:f>
        <x:v>1430885.489485337</x:v>
      </x:c>
    </x:row>
    <x:row r="7" ht="18" customHeight="1">
      <x:c r="A7" s="24" t="str">
        <x:v>EEZ_044</x:v>
      </x:c>
      <x:c r="B7" s="24" t="str">
        <x:v>Bahamas</x:v>
      </x:c>
      <x:c r="C7" s="24" t="str">
        <x:v>EEZ</x:v>
      </x:c>
      <x:c r="D7" s="30" t="n">
        <x:v>2019</x:v>
      </x:c>
      <x:c r="E7" s="24" t="str">
        <x:v>Scomberomorus cavalla</x:v>
      </x:c>
      <x:c r="F7" s="24" t="str">
        <x:v>King mackerel</x:v>
      </x:c>
      <x:c r="G7" s="24" t="str">
        <x:v>Large pelagics (&gt;=90 cm)</x:v>
      </x:c>
      <x:c r="H7" s="24" t="str">
        <x:v>Perch-likes</x:v>
      </x:c>
      <x:c r="I7" s="31" t="n">
        <x:v>639.1530704</x:v>
      </x:c>
      <x:c r="J7" s="31" t="n">
        <x:v>639.1530704</x:v>
      </x:c>
      <x:c r="K7" s="31" t="n">
        <x:v>0</x:v>
      </x:c>
      <x:c r="L7" s="31" t="n">
        <x:v>0</x:v>
      </x:c>
      <x:c r="M7" s="31" t="n">
        <x:v>639.1530704</x:v>
      </x:c>
      <x:c r="N7" s="24" t="str">
        <x:v>scomberomorus cavalla</x:v>
      </x:c>
      <x:c r="O7" s="32" t="n">
        <x:v>4.42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Scomberomorus cavalla</x:v>
      </x:c>
      <x:c r="T7" s="32" t="n">
        <x:f>IF(O7="","",(1/'Metadata'!$B$5)^(O7-1))</x:f>
        <x:v>2630.2679918953813</x:v>
      </x:c>
      <x:c r="U7" s="31" t="n">
        <x:f>IF(T7="","",I7*T7)</x:f>
        <x:v>1681143.8629947754</x:v>
      </x:c>
    </x:row>
    <x:row r="8" ht="18" customHeight="1">
      <x:c r="A8" s="24" t="str">
        <x:v>EEZ_044</x:v>
      </x:c>
      <x:c r="B8" s="24" t="str">
        <x:v>Bahamas</x:v>
      </x:c>
      <x:c r="C8" s="24" t="str">
        <x:v>EEZ</x:v>
      </x:c>
      <x:c r="D8" s="30" t="n">
        <x:v>2019</x:v>
      </x:c>
      <x:c r="E8" s="24" t="str">
        <x:v>Rajiformes</x:v>
      </x:c>
      <x:c r="F8" s="24" t="str">
        <x:v>Skates and rays</x:v>
      </x:c>
      <x:c r="G8" s="24" t="str">
        <x:v>Large rays (&gt;=90 cm)</x:v>
      </x:c>
      <x:c r="H8" s="24" t="str">
        <x:v>Sharks &amp; rays</x:v>
      </x:c>
      <x:c r="I8" s="31" t="n">
        <x:v>559.3305854263</x:v>
      </x:c>
      <x:c r="J8" s="31" t="n">
        <x:v>559.3305854263</x:v>
      </x:c>
      <x:c r="K8" s="31" t="n">
        <x:v>0</x:v>
      </x:c>
      <x:c r="L8" s="31" t="n">
        <x:v>496.758138509</x:v>
      </x:c>
      <x:c r="M8" s="31" t="n">
        <x:v>62.5724469173</x:v>
      </x:c>
      <x:c r="N8" s="24" t="str">
        <x:v>rajiformes</x:v>
      </x:c>
      <x:c r="O8" s="32" t="n">
        <x:v>3.61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Rajiformes</x:v>
      </x:c>
      <x:c r="T8" s="32" t="n">
        <x:f>IF(O8="","",(1/'Metadata'!$B$5)^(O8-1))</x:f>
        <x:v>407.3802778041126</x:v>
      </x:c>
      <x:c r="U8" s="31" t="n">
        <x:f>IF(T8="","",I8*T8)</x:f>
        <x:v>227860.24927530304</x:v>
      </x:c>
    </x:row>
    <x:row r="9" ht="18" customHeight="1">
      <x:c r="A9" s="24" t="str">
        <x:v>EEZ_044</x:v>
      </x:c>
      <x:c r="B9" s="24" t="str">
        <x:v>Bahamas</x:v>
      </x:c>
      <x:c r="C9" s="24" t="str">
        <x:v>EEZ</x:v>
      </x:c>
      <x:c r="D9" s="30" t="n">
        <x:v>2019</x:v>
      </x:c>
      <x:c r="E9" s="24" t="str">
        <x:v>Coryphaena hippurus</x:v>
      </x:c>
      <x:c r="F9" s="24" t="str">
        <x:v>Common dolphinfish</x:v>
      </x:c>
      <x:c r="G9" s="24" t="str">
        <x:v>Large pelagics (&gt;=90 cm)</x:v>
      </x:c>
      <x:c r="H9" s="24" t="str">
        <x:v>Perch-likes</x:v>
      </x:c>
      <x:c r="I9" s="31" t="n">
        <x:v>485.504151605</x:v>
      </x:c>
      <x:c r="J9" s="31" t="n">
        <x:v>485.504151605</x:v>
      </x:c>
      <x:c r="K9" s="31" t="n">
        <x:v>0</x:v>
      </x:c>
      <x:c r="L9" s="31" t="n">
        <x:v>6.139348805</x:v>
      </x:c>
      <x:c r="M9" s="31" t="n">
        <x:v>479.3648028</x:v>
      </x:c>
      <x:c r="N9" s="24" t="str">
        <x:v>coryphaena hippurus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Coryphaena hippurus</x:v>
      </x:c>
      <x:c r="T9" s="32" t="n">
        <x:f>IF(O9="","",(1/'Metadata'!$B$5)^(O9-1))</x:f>
        <x:v>2344.228815319923</x:v>
      </x:c>
      <x:c r="U9" s="31" t="n">
        <x:f>IF(T9="","",I9*T9)</x:f>
        <x:v>1138132.8221498935</x:v>
      </x:c>
    </x:row>
    <x:row r="10" ht="18" customHeight="1">
      <x:c r="A10" s="24" t="str">
        <x:v>EEZ_044</x:v>
      </x:c>
      <x:c r="B10" s="24" t="str">
        <x:v>Bahamas</x:v>
      </x:c>
      <x:c r="C10" s="24" t="str">
        <x:v>EEZ</x:v>
      </x:c>
      <x:c r="D10" s="30" t="n">
        <x:v>2019</x:v>
      </x:c>
      <x:c r="E10" s="24" t="str">
        <x:v>Spongia</x:v>
      </x:c>
      <x:c r="F10" s="24" t="str">
        <x:v>Bathing sponges</x:v>
      </x:c>
      <x:c r="G10" s="24" t="str">
        <x:v>Other demersal invertebrates</x:v>
      </x:c>
      <x:c r="H10" s="24" t="str">
        <x:v>Other fishes &amp; inverts</x:v>
      </x:c>
      <x:c r="I10" s="31" t="n">
        <x:v>444.73333336</x:v>
      </x:c>
      <x:c r="J10" s="31" t="n">
        <x:v>444.73333336</x:v>
      </x:c>
      <x:c r="K10" s="31" t="n">
        <x:v>0</x:v>
      </x:c>
      <x:c r="L10" s="31" t="n">
        <x:v>444.73333336</x:v>
      </x:c>
      <x:c r="M10" s="31" t="n">
        <x:v>0</x:v>
      </x:c>
      <x:c r="N10" s="24" t="str">
        <x:v>spongia</x:v>
      </x:c>
      <x:c r="O10" s="32" t="n">
        <x:v>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Spongia</x:v>
      </x:c>
      <x:c r="T10" s="32" t="n">
        <x:f>IF(O10="","",(1/'Metadata'!$B$5)^(O10-1))</x:f>
        <x:v>10</x:v>
      </x:c>
      <x:c r="U10" s="31" t="n">
        <x:f>IF(T10="","",I10*T10)</x:f>
        <x:v>4447.3333336000005</x:v>
      </x:c>
    </x:row>
    <x:row r="11" ht="18" customHeight="1">
      <x:c r="A11" s="24" t="str">
        <x:v>EEZ_044</x:v>
      </x:c>
      <x:c r="B11" s="24" t="str">
        <x:v>Bahamas</x:v>
      </x:c>
      <x:c r="C11" s="24" t="str">
        <x:v>EEZ</x:v>
      </x:c>
      <x:c r="D11" s="30" t="n">
        <x:v>2019</x:v>
      </x:c>
      <x:c r="E11" s="24" t="str">
        <x:v>Thunnus albacares</x:v>
      </x:c>
      <x:c r="F11" s="24" t="str">
        <x:v>Yellowfin tuna</x:v>
      </x:c>
      <x:c r="G11" s="24" t="str">
        <x:v>Large pelagics (&gt;=90 cm)</x:v>
      </x:c>
      <x:c r="H11" s="24" t="str">
        <x:v>Tuna &amp; billfishes</x:v>
      </x:c>
      <x:c r="I11" s="31" t="n">
        <x:v>372.8392911</x:v>
      </x:c>
      <x:c r="J11" s="31" t="n">
        <x:v>372.8392911</x:v>
      </x:c>
      <x:c r="K11" s="31" t="n">
        <x:v>0</x:v>
      </x:c>
      <x:c r="L11" s="31" t="n">
        <x:v>0</x:v>
      </x:c>
      <x:c r="M11" s="31" t="n">
        <x:v>372.8392911</x:v>
      </x:c>
      <x:c r="N11" s="24" t="str">
        <x:v>thunnus albacares</x:v>
      </x:c>
      <x:c r="O11" s="32" t="n">
        <x:v>4.41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albacares</x:v>
      </x:c>
      <x:c r="T11" s="32" t="n">
        <x:f>IF(O11="","",(1/'Metadata'!$B$5)^(O11-1))</x:f>
        <x:v>2570.3957827688646</x:v>
      </x:c>
      <x:c r="U11" s="31" t="n">
        <x:f>IF(T11="","",I11*T11)</x:f>
        <x:v>958344.5414939731</x:v>
      </x:c>
    </x:row>
    <x:row r="12" ht="18" customHeight="1">
      <x:c r="A12" s="24" t="str">
        <x:v>EEZ_044</x:v>
      </x:c>
      <x:c r="B12" s="24" t="str">
        <x:v>Bahamas</x:v>
      </x:c>
      <x:c r="C12" s="24" t="str">
        <x:v>EEZ</x:v>
      </x:c>
      <x:c r="D12" s="30" t="n">
        <x:v>2019</x:v>
      </x:c>
      <x:c r="E12" s="24" t="str">
        <x:v>Katsuwonus pelamis</x:v>
      </x:c>
      <x:c r="F12" s="24" t="str">
        <x:v>Skipjack tuna</x:v>
      </x:c>
      <x:c r="G12" s="24" t="str">
        <x:v>Large pelagics (&gt;=90 cm)</x:v>
      </x:c>
      <x:c r="H12" s="24" t="str">
        <x:v>Tuna &amp; billfishes</x:v>
      </x:c>
      <x:c r="I12" s="31" t="n">
        <x:v>372.8392911</x:v>
      </x:c>
      <x:c r="J12" s="31" t="n">
        <x:v>372.8392911</x:v>
      </x:c>
      <x:c r="K12" s="31" t="n">
        <x:v>0</x:v>
      </x:c>
      <x:c r="L12" s="31" t="n">
        <x:v>0</x:v>
      </x:c>
      <x:c r="M12" s="31" t="n">
        <x:v>372.8392911</x:v>
      </x:c>
      <x:c r="N12" s="24" t="str">
        <x:v>katsuwonus pelamis</x:v>
      </x:c>
      <x:c r="O12" s="32" t="n">
        <x:v>4.43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Katsuwonus pelamis</x:v>
      </x:c>
      <x:c r="T12" s="32" t="n">
        <x:f>IF(O12="","",(1/'Metadata'!$B$5)^(O12-1))</x:f>
        <x:v>2691.534803926914</x:v>
      </x:c>
      <x:c r="U12" s="31" t="n">
        <x:f>IF(T12="","",I12*T12)</x:f>
        <x:v>1003509.9282670881</x:v>
      </x:c>
    </x:row>
    <x:row r="13" ht="18" customHeight="1">
      <x:c r="A13" s="24" t="str">
        <x:v>EEZ_044</x:v>
      </x:c>
      <x:c r="B13" s="24" t="str">
        <x:v>Bahamas</x:v>
      </x:c>
      <x:c r="C13" s="24" t="str">
        <x:v>EEZ</x:v>
      </x:c>
      <x:c r="D13" s="30" t="n">
        <x:v>2019</x:v>
      </x:c>
      <x:c r="E13" s="24" t="str">
        <x:v>Thunnus atlanticus</x:v>
      </x:c>
      <x:c r="F13" s="24" t="str">
        <x:v>Blackfin tuna</x:v>
      </x:c>
      <x:c r="G13" s="24" t="str">
        <x:v>Large pelagics (&gt;=90 cm)</x:v>
      </x:c>
      <x:c r="H13" s="24" t="str">
        <x:v>Tuna &amp; billfishes</x:v>
      </x:c>
      <x:c r="I13" s="31" t="n">
        <x:v>372.8392911</x:v>
      </x:c>
      <x:c r="J13" s="31" t="n">
        <x:v>372.8392911</x:v>
      </x:c>
      <x:c r="K13" s="31" t="n">
        <x:v>0</x:v>
      </x:c>
      <x:c r="L13" s="31" t="n">
        <x:v>0</x:v>
      </x:c>
      <x:c r="M13" s="31" t="n">
        <x:v>372.8392911</x:v>
      </x:c>
      <x:c r="N13" s="24" t="str">
        <x:v>thunnus atlanticus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atlanticus</x:v>
      </x:c>
      <x:c r="T13" s="32" t="n">
        <x:f>IF(O13="","",(1/'Metadata'!$B$5)^(O13-1))</x:f>
        <x:v>2238.7211385683377</x:v>
      </x:c>
      <x:c r="U13" s="31" t="n">
        <x:f>IF(T13="","",I13*T13)</x:f>
        <x:v>834683.2022744039</x:v>
      </x:c>
    </x:row>
    <x:row r="14" ht="18" customHeight="1">
      <x:c r="A14" s="24" t="str">
        <x:v>EEZ_044</x:v>
      </x:c>
      <x:c r="B14" s="24" t="str">
        <x:v>Bahamas</x:v>
      </x:c>
      <x:c r="C14" s="24" t="str">
        <x:v>EEZ</x:v>
      </x:c>
      <x:c r="D14" s="30" t="n">
        <x:v>2019</x:v>
      </x:c>
      <x:c r="E14" s="24" t="str">
        <x:v>Epinephelus striatus</x:v>
      </x:c>
      <x:c r="F14" s="24" t="str">
        <x:v>Nassau grouper</x:v>
      </x:c>
      <x:c r="G14" s="24" t="str">
        <x:v>Large reef assoc. fish (&gt;=90 cm)</x:v>
      </x:c>
      <x:c r="H14" s="24" t="str">
        <x:v>Perch-likes</x:v>
      </x:c>
      <x:c r="I14" s="31" t="n">
        <x:v>168.38218621599998</x:v>
      </x:c>
      <x:c r="J14" s="31" t="n">
        <x:v>168.38218621599998</x:v>
      </x:c>
      <x:c r="K14" s="31" t="n">
        <x:v>0</x:v>
      </x:c>
      <x:c r="L14" s="31" t="n">
        <x:v>105.46</x:v>
      </x:c>
      <x:c r="M14" s="31" t="n">
        <x:v>62.922186216</x:v>
      </x:c>
      <x:c r="N14" s="24" t="str">
        <x:v>epinephelus striatus</x:v>
      </x:c>
      <x:c r="O14" s="32" t="n">
        <x:v>4.06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Epinephelus striatus</x:v>
      </x:c>
      <x:c r="T14" s="32" t="n">
        <x:f>IF(O14="","",(1/'Metadata'!$B$5)^(O14-1))</x:f>
        <x:v>1148.1536214968817</x:v>
      </x:c>
      <x:c r="U14" s="31" t="n">
        <x:f>IF(T14="","",I14*T14)</x:f>
        <x:v>193328.61689946268</x:v>
      </x:c>
    </x:row>
    <x:row r="15" ht="18" customHeight="1">
      <x:c r="A15" s="24" t="str">
        <x:v>EEZ_044</x:v>
      </x:c>
      <x:c r="B15" s="24" t="str">
        <x:v>Bahamas</x:v>
      </x:c>
      <x:c r="C15" s="24" t="str">
        <x:v>EEZ</x:v>
      </x:c>
      <x:c r="D15" s="30" t="n">
        <x:v>2019</x:v>
      </x:c>
      <x:c r="E15" s="24" t="str">
        <x:v>Thunnus thynnus</x:v>
      </x:c>
      <x:c r="F15" s="24" t="str">
        <x:v>Atlantic bluefin tuna</x:v>
      </x:c>
      <x:c r="G15" s="24" t="str">
        <x:v>Large pelagics (&gt;=90 cm)</x:v>
      </x:c>
      <x:c r="H15" s="24" t="str">
        <x:v>Tuna &amp; billfishes</x:v>
      </x:c>
      <x:c r="I15" s="31" t="n">
        <x:v>159.7882676</x:v>
      </x:c>
      <x:c r="J15" s="31" t="n">
        <x:v>159.7882676</x:v>
      </x:c>
      <x:c r="K15" s="31" t="n">
        <x:v>0</x:v>
      </x:c>
      <x:c r="L15" s="31" t="n">
        <x:v>0</x:v>
      </x:c>
      <x:c r="M15" s="31" t="n">
        <x:v>159.7882676</x:v>
      </x:c>
      <x:c r="N15" s="24" t="str">
        <x:v>thunnus thynnus</x:v>
      </x:c>
      <x:c r="O15" s="32" t="n">
        <x:v>4.45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thynnus</x:v>
      </x:c>
      <x:c r="T15" s="32" t="n">
        <x:f>IF(O15="","",(1/'Metadata'!$B$5)^(O15-1))</x:f>
        <x:v>2818.382931264455</x:v>
      </x:c>
      <x:c r="U15" s="31" t="n">
        <x:f>IF(T15="","",I15*T15)</x:f>
        <x:v>450344.52602015715</x:v>
      </x:c>
    </x:row>
    <x:row r="16" ht="18" customHeight="1">
      <x:c r="A16" s="24" t="str">
        <x:v>EEZ_044</x:v>
      </x:c>
      <x:c r="B16" s="24" t="str">
        <x:v>Bahamas</x:v>
      </x:c>
      <x:c r="C16" s="24" t="str">
        <x:v>EEZ</x:v>
      </x:c>
      <x:c r="D16" s="30" t="n">
        <x:v>2019</x:v>
      </x:c>
      <x:c r="E16" s="24" t="str">
        <x:v>Lutjanidae</x:v>
      </x:c>
      <x:c r="F16" s="24" t="str">
        <x:v>Snappers</x:v>
      </x:c>
      <x:c r="G16" s="24" t="str">
        <x:v>Medium reef assoc. fish (30 - 89 cm)</x:v>
      </x:c>
      <x:c r="H16" s="24" t="str">
        <x:v>Perch-likes</x:v>
      </x:c>
      <x:c r="I16" s="31" t="n">
        <x:v>136.3009859746</x:v>
      </x:c>
      <x:c r="J16" s="31" t="n">
        <x:v>136.3009859746</x:v>
      </x:c>
      <x:c r="K16" s="31" t="n">
        <x:v>0</x:v>
      </x:c>
      <x:c r="L16" s="31" t="n">
        <x:v>64.3096774132</x:v>
      </x:c>
      <x:c r="M16" s="31" t="n">
        <x:v>71.9913085614</x:v>
      </x:c>
      <x:c r="N16" s="24" t="str">
        <x:v>lutjanidae</x:v>
      </x:c>
      <x:c r="O16" s="32" t="n">
        <x:v>4.02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Lutjanidae</x:v>
      </x:c>
      <x:c r="T16" s="32" t="n">
        <x:f>IF(O16="","",(1/'Metadata'!$B$5)^(O16-1))</x:f>
        <x:v>1047.1285480508984</x:v>
      </x:c>
      <x:c r="U16" s="31" t="n">
        <x:f>IF(T16="","",I16*T16)</x:f>
        <x:v>142724.65354148878</x:v>
      </x:c>
    </x:row>
    <x:row r="17" ht="18" customHeight="1">
      <x:c r="A17" s="24" t="str">
        <x:v>EEZ_044</x:v>
      </x:c>
      <x:c r="B17" s="24" t="str">
        <x:v>Bahamas</x:v>
      </x:c>
      <x:c r="C17" s="24" t="str">
        <x:v>EEZ</x:v>
      </x:c>
      <x:c r="D17" s="30" t="n">
        <x:v>2019</x:v>
      </x:c>
      <x:c r="E17" s="24" t="str">
        <x:v>Lutjanus griseus</x:v>
      </x:c>
      <x:c r="F17" s="24" t="str">
        <x:v>Grey snapper</x:v>
      </x:c>
      <x:c r="G17" s="24" t="str">
        <x:v>Medium reef assoc. fish (30 - 89 cm)</x:v>
      </x:c>
      <x:c r="H17" s="24" t="str">
        <x:v>Perch-likes</x:v>
      </x:c>
      <x:c r="I17" s="31" t="n">
        <x:v>85.686680228</x:v>
      </x:c>
      <x:c r="J17" s="31" t="n">
        <x:v>85.686680228</x:v>
      </x:c>
      <x:c r="K17" s="31" t="n">
        <x:v>0</x:v>
      </x:c>
      <x:c r="L17" s="31" t="n">
        <x:v>35.512500004</x:v>
      </x:c>
      <x:c r="M17" s="31" t="n">
        <x:v>50.174180224</x:v>
      </x:c>
      <x:c r="N17" s="24" t="str">
        <x:v>lutjanus griseus</x:v>
      </x:c>
      <x:c r="O17" s="32" t="n">
        <x:v>4.23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Lutjanus griseus</x:v>
      </x:c>
      <x:c r="T17" s="32" t="n">
        <x:f>IF(O17="","",(1/'Metadata'!$B$5)^(O17-1))</x:f>
        <x:v>1698.243652461746</x:v>
      </x:c>
      <x:c r="U17" s="31" t="n">
        <x:f>IF(T17="","",I17*T17)</x:f>
        <x:v>145516.8607977204</x:v>
      </x:c>
    </x:row>
    <x:row r="18" ht="18" customHeight="1">
      <x:c r="A18" s="24" t="str">
        <x:v>EEZ_044</x:v>
      </x:c>
      <x:c r="B18" s="24" t="str">
        <x:v>Bahamas</x:v>
      </x:c>
      <x:c r="C18" s="24" t="str">
        <x:v>EEZ</x:v>
      </x:c>
      <x:c r="D18" s="30" t="n">
        <x:v>2019</x:v>
      </x:c>
      <x:c r="E18" s="24" t="str">
        <x:v>Lutjanus apodus</x:v>
      </x:c>
      <x:c r="F18" s="24" t="str">
        <x:v>Schoolmaster snapper</x:v>
      </x:c>
      <x:c r="G18" s="24" t="str">
        <x:v>Medium reef assoc. fish (30 - 89 cm)</x:v>
      </x:c>
      <x:c r="H18" s="24" t="str">
        <x:v>Perch-likes</x:v>
      </x:c>
      <x:c r="I18" s="31" t="n">
        <x:v>85.686680228</x:v>
      </x:c>
      <x:c r="J18" s="31" t="n">
        <x:v>85.686680228</x:v>
      </x:c>
      <x:c r="K18" s="31" t="n">
        <x:v>0</x:v>
      </x:c>
      <x:c r="L18" s="31" t="n">
        <x:v>35.512500004</x:v>
      </x:c>
      <x:c r="M18" s="31" t="n">
        <x:v>50.174180224</x:v>
      </x:c>
      <x:c r="N18" s="24" t="str">
        <x:v>lutjanus apodus</x:v>
      </x:c>
      <x:c r="O18" s="32" t="n">
        <x:v>4.25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Lutjanus apodus</x:v>
      </x:c>
      <x:c r="T18" s="32" t="n">
        <x:f>IF(O18="","",(1/'Metadata'!$B$5)^(O18-1))</x:f>
        <x:v>1778.2794100389228</x:v>
      </x:c>
      <x:c r="U18" s="31" t="n">
        <x:f>IF(T18="","",I18*T18)</x:f>
        <x:v>152374.85916404167</x:v>
      </x:c>
    </x:row>
    <x:row r="19" ht="18" customHeight="1">
      <x:c r="A19" s="24" t="str">
        <x:v>EEZ_044</x:v>
      </x:c>
      <x:c r="B19" s="24" t="str">
        <x:v>Bahamas</x:v>
      </x:c>
      <x:c r="C19" s="24" t="str">
        <x:v>EEZ</x:v>
      </x:c>
      <x:c r="D19" s="30" t="n">
        <x:v>2019</x:v>
      </x:c>
      <x:c r="E19" s="24" t="str">
        <x:v>Ocyurus chrysurus</x:v>
      </x:c>
      <x:c r="F19" s="24" t="str">
        <x:v>Yellowtail snapper</x:v>
      </x:c>
      <x:c r="G19" s="24" t="str">
        <x:v>Medium reef assoc. fish (30 - 89 cm)</x:v>
      </x:c>
      <x:c r="H19" s="24" t="str">
        <x:v>Perch-likes</x:v>
      </x:c>
      <x:c r="I19" s="31" t="n">
        <x:v>85.686680224</x:v>
      </x:c>
      <x:c r="J19" s="31" t="n">
        <x:v>85.686680224</x:v>
      </x:c>
      <x:c r="K19" s="31" t="n">
        <x:v>0</x:v>
      </x:c>
      <x:c r="L19" s="31" t="n">
        <x:v>35.5125</x:v>
      </x:c>
      <x:c r="M19" s="31" t="n">
        <x:v>50.174180224</x:v>
      </x:c>
      <x:c r="N19" s="24" t="str">
        <x:v>ocyurus chrysurus</x:v>
      </x:c>
      <x:c r="O19" s="32" t="n">
        <x:v>4.03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Ocyurus chrysurus</x:v>
      </x:c>
      <x:c r="T19" s="32" t="n">
        <x:f>IF(O19="","",(1/'Metadata'!$B$5)^(O19-1))</x:f>
        <x:v>1071.519305237607</x:v>
      </x:c>
      <x:c r="U19" s="31" t="n">
        <x:f>IF(T19="","",I19*T19)</x:f>
        <x:v>91814.93206173749</x:v>
      </x:c>
    </x:row>
    <x:row r="20" ht="18" customHeight="1">
      <x:c r="A20" s="24" t="str">
        <x:v>EEZ_044</x:v>
      </x:c>
      <x:c r="B20" s="24" t="str">
        <x:v>Bahamas</x:v>
      </x:c>
      <x:c r="C20" s="24" t="str">
        <x:v>EEZ</x:v>
      </x:c>
      <x:c r="D20" s="30" t="n">
        <x:v>2019</x:v>
      </x:c>
      <x:c r="E20" s="24" t="str">
        <x:v>Lutjanus analis</x:v>
      </x:c>
      <x:c r="F20" s="24" t="str">
        <x:v>Mutton snapper</x:v>
      </x:c>
      <x:c r="G20" s="24" t="str">
        <x:v>Medium reef assoc. fish (30 - 89 cm)</x:v>
      </x:c>
      <x:c r="H20" s="24" t="str">
        <x:v>Perch-likes</x:v>
      </x:c>
      <x:c r="I20" s="31" t="n">
        <x:v>85.68668021900001</x:v>
      </x:c>
      <x:c r="J20" s="31" t="n">
        <x:v>85.68668021900001</x:v>
      </x:c>
      <x:c r="K20" s="31" t="n">
        <x:v>0</x:v>
      </x:c>
      <x:c r="L20" s="31" t="n">
        <x:v>35.512499995</x:v>
      </x:c>
      <x:c r="M20" s="31" t="n">
        <x:v>50.174180224</x:v>
      </x:c>
      <x:c r="N20" s="24" t="str">
        <x:v>lutjanus analis</x:v>
      </x:c>
      <x:c r="O20" s="32" t="n">
        <x:v>3.91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Lutjanus analis</x:v>
      </x:c>
      <x:c r="T20" s="32" t="n">
        <x:f>IF(O20="","",(1/'Metadata'!$B$5)^(O20-1))</x:f>
        <x:v>812.8305161640995</x:v>
      </x:c>
      <x:c r="U20" s="31" t="n">
        <x:f>IF(T20="","",I20*T20)</x:f>
        <x:v>69648.74851079792</x:v>
      </x:c>
    </x:row>
    <x:row r="21" ht="18" customHeight="1">
      <x:c r="A21" s="24" t="str">
        <x:v>EEZ_044</x:v>
      </x:c>
      <x:c r="B21" s="24" t="str">
        <x:v>Bahamas</x:v>
      </x:c>
      <x:c r="C21" s="24" t="str">
        <x:v>EEZ</x:v>
      </x:c>
      <x:c r="D21" s="30" t="n">
        <x:v>2019</x:v>
      </x:c>
      <x:c r="E21" s="24" t="str">
        <x:v>Lutjanus synagris</x:v>
      </x:c>
      <x:c r="F21" s="24" t="str">
        <x:v>Lane snapper</x:v>
      </x:c>
      <x:c r="G21" s="24" t="str">
        <x:v>Medium reef assoc. fish (30 - 89 cm)</x:v>
      </x:c>
      <x:c r="H21" s="24" t="str">
        <x:v>Perch-likes</x:v>
      </x:c>
      <x:c r="I21" s="31" t="n">
        <x:v>85.686680212</x:v>
      </x:c>
      <x:c r="J21" s="31" t="n">
        <x:v>85.686680212</x:v>
      </x:c>
      <x:c r="K21" s="31" t="n">
        <x:v>0</x:v>
      </x:c>
      <x:c r="L21" s="31" t="n">
        <x:v>35.512499988</x:v>
      </x:c>
      <x:c r="M21" s="31" t="n">
        <x:v>50.174180224</x:v>
      </x:c>
      <x:c r="N21" s="24" t="str">
        <x:v>lutjanus synagris</x:v>
      </x:c>
      <x:c r="O21" s="32" t="n">
        <x:v>3.82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Lutjanus synagris</x:v>
      </x:c>
      <x:c r="T21" s="32" t="n">
        <x:f>IF(O21="","",(1/'Metadata'!$B$5)^(O21-1))</x:f>
        <x:v>660.6934480075957</x:v>
      </x:c>
      <x:c r="U21" s="31" t="n">
        <x:f>IF(T21="","",I21*T21)</x:f>
        <x:v>56612.62819759051</x:v>
      </x:c>
    </x:row>
    <x:row r="22" ht="18" customHeight="1">
      <x:c r="A22" s="24" t="str">
        <x:v>EEZ_044</x:v>
      </x:c>
      <x:c r="B22" s="24" t="str">
        <x:v>Bahamas</x:v>
      </x:c>
      <x:c r="C22" s="24" t="str">
        <x:v>EEZ</x:v>
      </x:c>
      <x:c r="D22" s="30" t="n">
        <x:v>2019</x:v>
      </x:c>
      <x:c r="E22" s="24" t="str">
        <x:v>Lutjanus vivanus</x:v>
      </x:c>
      <x:c r="F22" s="24" t="str">
        <x:v>Silk snapper</x:v>
      </x:c>
      <x:c r="G22" s="24" t="str">
        <x:v>Medium demersals (30 - 89 cm)</x:v>
      </x:c>
      <x:c r="H22" s="24" t="str">
        <x:v>Perch-likes</x:v>
      </x:c>
      <x:c r="I22" s="31" t="n">
        <x:v>82.779294942</x:v>
      </x:c>
      <x:c r="J22" s="31" t="n">
        <x:v>82.779294942</x:v>
      </x:c>
      <x:c r="K22" s="31" t="n">
        <x:v>0</x:v>
      </x:c>
      <x:c r="L22" s="31" t="n">
        <x:v>35.512500004</x:v>
      </x:c>
      <x:c r="M22" s="31" t="n">
        <x:v>47.266794938</x:v>
      </x:c>
      <x:c r="N22" s="24" t="str">
        <x:v>lutjanus vivanus</x:v>
      </x:c>
      <x:c r="O22" s="32" t="n">
        <x:v>3.09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Lutjanus vivanus</x:v>
      </x:c>
      <x:c r="T22" s="32" t="n">
        <x:f>IF(O22="","",(1/'Metadata'!$B$5)^(O22-1))</x:f>
        <x:v>123.02687708123811</x:v>
      </x:c>
      <x:c r="U22" s="31" t="n">
        <x:f>IF(T22="","",I22*T22)</x:f>
        <x:v>10184.07814370099</x:v>
      </x:c>
    </x:row>
    <x:row r="23" ht="18" customHeight="1">
      <x:c r="A23" s="24" t="str">
        <x:v>EEZ_044</x:v>
      </x:c>
      <x:c r="B23" s="24" t="str">
        <x:v>Bahamas</x:v>
      </x:c>
      <x:c r="C23" s="24" t="str">
        <x:v>EEZ</x:v>
      </x:c>
      <x:c r="D23" s="30" t="n">
        <x:v>2019</x:v>
      </x:c>
      <x:c r="E23" s="24" t="str">
        <x:v>Lutjanus campechanus</x:v>
      </x:c>
      <x:c r="F23" s="24" t="str">
        <x:v>Northern red snapper</x:v>
      </x:c>
      <x:c r="G23" s="24" t="str">
        <x:v>Medium reef assoc. fish (30 - 89 cm)</x:v>
      </x:c>
      <x:c r="H23" s="24" t="str">
        <x:v>Perch-likes</x:v>
      </x:c>
      <x:c r="I23" s="31" t="n">
        <x:v>82.779294942</x:v>
      </x:c>
      <x:c r="J23" s="31" t="n">
        <x:v>82.779294942</x:v>
      </x:c>
      <x:c r="K23" s="31" t="n">
        <x:v>0</x:v>
      </x:c>
      <x:c r="L23" s="31" t="n">
        <x:v>35.512500004</x:v>
      </x:c>
      <x:c r="M23" s="31" t="n">
        <x:v>47.266794938</x:v>
      </x:c>
      <x:c r="N23" s="24" t="str">
        <x:v>lutjanus campechanus</x:v>
      </x:c>
      <x:c r="O23" s="32" t="n">
        <x:v>4.01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Lutjanus campechanus</x:v>
      </x:c>
      <x:c r="T23" s="32" t="n">
        <x:f>IF(O23="","",(1/'Metadata'!$B$5)^(O23-1))</x:f>
        <x:v>1023.2929922807537</x:v>
      </x:c>
      <x:c r="U23" s="31" t="n">
        <x:f>IF(T23="","",I23*T23)</x:f>
        <x:v>84707.47242009024</x:v>
      </x:c>
    </x:row>
    <x:row r="24" ht="18" customHeight="1">
      <x:c r="A24" s="24" t="str">
        <x:v>EEZ_044</x:v>
      </x:c>
      <x:c r="B24" s="24" t="str">
        <x:v>Bahamas</x:v>
      </x:c>
      <x:c r="C24" s="24" t="str">
        <x:v>EEZ</x:v>
      </x:c>
      <x:c r="D24" s="30" t="n">
        <x:v>2019</x:v>
      </x:c>
      <x:c r="E24" s="24" t="str">
        <x:v>Epinephelus adscensionis</x:v>
      </x:c>
      <x:c r="F24" s="24" t="str">
        <x:v>Rock hind</x:v>
      </x:c>
      <x:c r="G24" s="24" t="str">
        <x:v>Medium reef assoc. fish (30 - 89 cm)</x:v>
      </x:c>
      <x:c r="H24" s="24" t="str">
        <x:v>Perch-likes</x:v>
      </x:c>
      <x:c r="I24" s="31" t="n">
        <x:v>63.568828679999996</x:v>
      </x:c>
      <x:c r="J24" s="31" t="n">
        <x:v>63.568828679999996</x:v>
      </x:c>
      <x:c r="K24" s="31" t="n">
        <x:v>0</x:v>
      </x:c>
      <x:c r="L24" s="31" t="n">
        <x:v>3.102447316</x:v>
      </x:c>
      <x:c r="M24" s="31" t="n">
        <x:v>60.466381364</x:v>
      </x:c>
      <x:c r="N24" s="24" t="str">
        <x:v>epinephelus adscensionis</x:v>
      </x:c>
      <x:c r="O24" s="32" t="n">
        <x:v>3.53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Epinephelus adscensionis</x:v>
      </x:c>
      <x:c r="T24" s="32" t="n">
        <x:f>IF(O24="","",(1/'Metadata'!$B$5)^(O24-1))</x:f>
        <x:v>338.84415613920237</x:v>
      </x:c>
      <x:c r="U24" s="31" t="n">
        <x:f>IF(T24="","",I24*T24)</x:f>
        <x:v>21539.926110832123</x:v>
      </x:c>
    </x:row>
    <x:row r="25" ht="18" customHeight="1">
      <x:c r="A25" s="24" t="str">
        <x:v>EEZ_044</x:v>
      </x:c>
      <x:c r="B25" s="24" t="str">
        <x:v>Bahamas</x:v>
      </x:c>
      <x:c r="C25" s="24" t="str">
        <x:v>EEZ</x:v>
      </x:c>
      <x:c r="D25" s="30" t="n">
        <x:v>2019</x:v>
      </x:c>
      <x:c r="E25" s="24" t="str">
        <x:v>Mycteroperca bonaci</x:v>
      </x:c>
      <x:c r="F25" s="24" t="str">
        <x:v>Black grouper</x:v>
      </x:c>
      <x:c r="G25" s="24" t="str">
        <x:v>Large reef assoc. fish (&gt;=90 cm)</x:v>
      </x:c>
      <x:c r="H25" s="24" t="str">
        <x:v>Perch-likes</x:v>
      </x:c>
      <x:c r="I25" s="31" t="n">
        <x:v>63.200575377999996</x:v>
      </x:c>
      <x:c r="J25" s="31" t="n">
        <x:v>63.200575377999996</x:v>
      </x:c>
      <x:c r="K25" s="31" t="n">
        <x:v>0</x:v>
      </x:c>
      <x:c r="L25" s="31" t="n">
        <x:v>3.102447316</x:v>
      </x:c>
      <x:c r="M25" s="31" t="n">
        <x:v>60.098128062</x:v>
      </x:c>
      <x:c r="N25" s="24" t="str">
        <x:v>mycteroperca bonaci</x:v>
      </x:c>
      <x:c r="O25" s="32" t="n">
        <x:v>4.3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Mycteroperca bonaci</x:v>
      </x:c>
      <x:c r="T25" s="32" t="n">
        <x:f>IF(O25="","",(1/'Metadata'!$B$5)^(O25-1))</x:f>
        <x:v>1995.2623149688789</x:v>
      </x:c>
      <x:c r="U25" s="31" t="n">
        <x:f>IF(T25="","",I25*T25)</x:f>
        <x:v>126101.72633607339</x:v>
      </x:c>
    </x:row>
    <x:row r="26" ht="18" customHeight="1">
      <x:c r="A26" s="24" t="str">
        <x:v>EEZ_044</x:v>
      </x:c>
      <x:c r="B26" s="24" t="str">
        <x:v>Bahamas</x:v>
      </x:c>
      <x:c r="C26" s="24" t="str">
        <x:v>EEZ</x:v>
      </x:c>
      <x:c r="D26" s="30" t="n">
        <x:v>2019</x:v>
      </x:c>
      <x:c r="E26" s="24" t="str">
        <x:v>Epinephelus morio</x:v>
      </x:c>
      <x:c r="F26" s="24" t="str">
        <x:v>Red grouper</x:v>
      </x:c>
      <x:c r="G26" s="24" t="str">
        <x:v>Large reef assoc. fish (&gt;=90 cm)</x:v>
      </x:c>
      <x:c r="H26" s="24" t="str">
        <x:v>Perch-likes</x:v>
      </x:c>
      <x:c r="I26" s="31" t="n">
        <x:v>62.526514746</x:v>
      </x:c>
      <x:c r="J26" s="31" t="n">
        <x:v>62.526514746</x:v>
      </x:c>
      <x:c r="K26" s="31" t="n">
        <x:v>0</x:v>
      </x:c>
      <x:c r="L26" s="31" t="n">
        <x:v>3.102447316</x:v>
      </x:c>
      <x:c r="M26" s="31" t="n">
        <x:v>59.42406743</x:v>
      </x:c>
      <x:c r="N26" s="24" t="str">
        <x:v>epinephelus morio</x:v>
      </x:c>
      <x:c r="O26" s="32" t="n">
        <x:v>3.5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Epinephelus morio</x:v>
      </x:c>
      <x:c r="T26" s="32" t="n">
        <x:f>IF(O26="","",(1/'Metadata'!$B$5)^(O26-1))</x:f>
        <x:v>316.22776601683796</x:v>
      </x:c>
      <x:c r="U26" s="31" t="n">
        <x:f>IF(T26="","",I26*T26)</x:f>
        <x:v>19772.620074946455</x:v>
      </x:c>
    </x:row>
    <x:row r="27" ht="18" customHeight="1">
      <x:c r="A27" s="24" t="str">
        <x:v>EEZ_044</x:v>
      </x:c>
      <x:c r="B27" s="24" t="str">
        <x:v>Bahamas</x:v>
      </x:c>
      <x:c r="C27" s="24" t="str">
        <x:v>EEZ</x:v>
      </x:c>
      <x:c r="D27" s="30" t="n">
        <x:v>2019</x:v>
      </x:c>
      <x:c r="E27" s="24" t="str">
        <x:v>Hyporthodus mystacinus</x:v>
      </x:c>
      <x:c r="F27" s="24" t="str">
        <x:v>Misty grouper</x:v>
      </x:c>
      <x:c r="G27" s="24" t="str">
        <x:v>Large bathydemersals (&gt;=90 cm)</x:v>
      </x:c>
      <x:c r="H27" s="24" t="str">
        <x:v>Perch-likes</x:v>
      </x:c>
      <x:c r="I27" s="31" t="n">
        <x:v>62.526514746</x:v>
      </x:c>
      <x:c r="J27" s="31" t="n">
        <x:v>62.526514746</x:v>
      </x:c>
      <x:c r="K27" s="31" t="n">
        <x:v>0</x:v>
      </x:c>
      <x:c r="L27" s="31" t="n">
        <x:v>3.102447316</x:v>
      </x:c>
      <x:c r="M27" s="31" t="n">
        <x:v>59.42406743</x:v>
      </x:c>
      <x:c r="N27" s="24" t="str">
        <x:v>hyporthodus mystacinus</x:v>
      </x:c>
      <x:c r="O27" s="32" t="n">
        <x:v>4.58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Hyporthodus mystacinus</x:v>
      </x:c>
      <x:c r="T27" s="32" t="n">
        <x:f>IF(O27="","",(1/'Metadata'!$B$5)^(O27-1))</x:f>
        <x:v>3801.8939632056126</x:v>
      </x:c>
      <x:c r="U27" s="31" t="n">
        <x:f>IF(T27="","",I27*T27)</x:f>
        <x:v>237719.1789531041</x:v>
      </x:c>
    </x:row>
    <x:row r="28" ht="18" customHeight="1">
      <x:c r="A28" s="24" t="str">
        <x:v>EEZ_044</x:v>
      </x:c>
      <x:c r="B28" s="24" t="str">
        <x:v>Bahamas</x:v>
      </x:c>
      <x:c r="C28" s="24" t="str">
        <x:v>EEZ</x:v>
      </x:c>
      <x:c r="D28" s="30" t="n">
        <x:v>2019</x:v>
      </x:c>
      <x:c r="E28" s="24" t="str">
        <x:v>Mycteroperca venenosa</x:v>
      </x:c>
      <x:c r="F28" s="24" t="str">
        <x:v>Yellowfin grouper</x:v>
      </x:c>
      <x:c r="G28" s="24" t="str">
        <x:v>Medium reef assoc. fish (30 - 89 cm)</x:v>
      </x:c>
      <x:c r="H28" s="24" t="str">
        <x:v>Perch-likes</x:v>
      </x:c>
      <x:c r="I28" s="31" t="n">
        <x:v>62.316665848</x:v>
      </x:c>
      <x:c r="J28" s="31" t="n">
        <x:v>62.316665848</x:v>
      </x:c>
      <x:c r="K28" s="31" t="n">
        <x:v>0</x:v>
      </x:c>
      <x:c r="L28" s="31" t="n">
        <x:v>2.960210738</x:v>
      </x:c>
      <x:c r="M28" s="31" t="n">
        <x:v>59.35645511</x:v>
      </x:c>
      <x:c r="N28" s="24" t="str">
        <x:v>mycteroperca venenosa</x:v>
      </x:c>
      <x:c r="O28" s="32" t="n">
        <x:v>4.48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Mycteroperca venenosa</x:v>
      </x:c>
      <x:c r="T28" s="32" t="n">
        <x:f>IF(O28="","",(1/'Metadata'!$B$5)^(O28-1))</x:f>
        <x:v>3019.951720402019</x:v>
      </x:c>
      <x:c r="U28" s="31" t="n">
        <x:f>IF(T28="","",I28*T28)</x:f>
        <x:v>188193.32223738535</x:v>
      </x:c>
    </x:row>
    <x:row r="29" ht="18" customHeight="1">
      <x:c r="A29" s="24" t="str">
        <x:v>EEZ_044</x:v>
      </x:c>
      <x:c r="B29" s="24" t="str">
        <x:v>Bahamas</x:v>
      </x:c>
      <x:c r="C29" s="24" t="str">
        <x:v>EEZ</x:v>
      </x:c>
      <x:c r="D29" s="30" t="n">
        <x:v>2019</x:v>
      </x:c>
      <x:c r="E29" s="24" t="str">
        <x:v>Sphyraena barracuda</x:v>
      </x:c>
      <x:c r="F29" s="24" t="str">
        <x:v>Great barracuda</x:v>
      </x:c>
      <x:c r="G29" s="24" t="str">
        <x:v>Large pelagics (&gt;=90 cm)</x:v>
      </x:c>
      <x:c r="H29" s="24" t="str">
        <x:v>Perch-likes</x:v>
      </x:c>
      <x:c r="I29" s="31" t="n">
        <x:v>53.67571274</x:v>
      </x:c>
      <x:c r="J29" s="31" t="n">
        <x:v>53.67571274</x:v>
      </x:c>
      <x:c r="K29" s="31" t="n">
        <x:v>0</x:v>
      </x:c>
      <x:c r="L29" s="31" t="n">
        <x:v>11.43</x:v>
      </x:c>
      <x:c r="M29" s="31" t="n">
        <x:v>42.24571274</x:v>
      </x:c>
      <x:c r="N29" s="24" t="str">
        <x:v>sphyraena barracuda</x:v>
      </x:c>
      <x:c r="O29" s="32" t="n">
        <x:v>4.49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Sphyraena barracuda</x:v>
      </x:c>
      <x:c r="T29" s="32" t="n">
        <x:f>IF(O29="","",(1/'Metadata'!$B$5)^(O29-1))</x:f>
        <x:v>3090.295432513592</x:v>
      </x:c>
      <x:c r="U29" s="31" t="n">
        <x:f>IF(T29="","",I29*T29)</x:f>
        <x:v>165873.80991733362</x:v>
      </x:c>
    </x:row>
    <x:row r="30" ht="18" customHeight="1">
      <x:c r="A30" s="24" t="str">
        <x:v>EEZ_044</x:v>
      </x:c>
      <x:c r="B30" s="24" t="str">
        <x:v>Bahamas</x:v>
      </x:c>
      <x:c r="C30" s="24" t="str">
        <x:v>EEZ</x:v>
      </x:c>
      <x:c r="D30" s="30" t="n">
        <x:v>2019</x:v>
      </x:c>
      <x:c r="E30" s="24" t="str">
        <x:v>Carangidae</x:v>
      </x:c>
      <x:c r="F30" s="24" t="str">
        <x:v>Jacks, pompanos</x:v>
      </x:c>
      <x:c r="G30" s="24" t="str">
        <x:v>Medium pelagics (30 - 89 cm)</x:v>
      </x:c>
      <x:c r="H30" s="24" t="str">
        <x:v>Perch-likes</x:v>
      </x:c>
      <x:c r="I30" s="31" t="n">
        <x:v>41.58120358</x:v>
      </x:c>
      <x:c r="J30" s="31" t="n">
        <x:v>41.58120358</x:v>
      </x:c>
      <x:c r="K30" s="31" t="n">
        <x:v>0</x:v>
      </x:c>
      <x:c r="L30" s="31" t="n">
        <x:v>0</x:v>
      </x:c>
      <x:c r="M30" s="31" t="n">
        <x:v>41.58120358</x:v>
      </x:c>
      <x:c r="N30" s="24" t="str">
        <x:v>carangidae</x:v>
      </x:c>
      <x:c r="O30" s="32" t="n">
        <x:v>4.05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Carangidae</x:v>
      </x:c>
      <x:c r="T30" s="32" t="n">
        <x:f>IF(O30="","",(1/'Metadata'!$B$5)^(O30-1))</x:f>
        <x:v>1122.018454301963</x:v>
      </x:c>
      <x:c r="U30" s="31" t="n">
        <x:f>IF(T30="","",I30*T30)</x:f>
        <x:v>46654.87776884685</x:v>
      </x:c>
    </x:row>
    <x:row r="31" ht="18" customHeight="1">
      <x:c r="A31" s="24" t="str">
        <x:v>EEZ_044</x:v>
      </x:c>
      <x:c r="B31" s="24" t="str">
        <x:v>Bahamas</x:v>
      </x:c>
      <x:c r="C31" s="24" t="str">
        <x:v>EEZ</x:v>
      </x:c>
      <x:c r="D31" s="30" t="n">
        <x:v>2019</x:v>
      </x:c>
      <x:c r="E31" s="24" t="str">
        <x:v>Menippe mercenaria</x:v>
      </x:c>
      <x:c r="F31" s="24" t="str">
        <x:v>Black stone crab</x:v>
      </x:c>
      <x:c r="G31" s="24" t="str">
        <x:v>Lobsters, crabs</x:v>
      </x:c>
      <x:c r="H31" s="24" t="str">
        <x:v>Crustaceans</x:v>
      </x:c>
      <x:c r="I31" s="31" t="n">
        <x:v>41.381425929</x:v>
      </x:c>
      <x:c r="J31" s="31" t="n">
        <x:v>41.381425929</x:v>
      </x:c>
      <x:c r="K31" s="31" t="n">
        <x:v>0</x:v>
      </x:c>
      <x:c r="L31" s="31" t="n">
        <x:v>41</x:v>
      </x:c>
      <x:c r="M31" s="31" t="n">
        <x:v>0.381425929</x:v>
      </x:c>
      <x:c r="N31" s="24" t="str">
        <x:v>menippe mercenaria</x:v>
      </x:c>
      <x:c r="O31" s="32" t="n">
        <x:v>2.6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Menippe mercenaria</x:v>
      </x:c>
      <x:c r="T31" s="32" t="n">
        <x:f>IF(O31="","",(1/'Metadata'!$B$5)^(O31-1))</x:f>
        <x:v>39.810717055349734</x:v>
      </x:c>
      <x:c r="U31" s="31" t="n">
        <x:f>IF(T31="","",I31*T31)</x:f>
        <x:v>1647.424239006332</x:v>
      </x:c>
    </x:row>
    <x:row r="32" ht="18" customHeight="1">
      <x:c r="A32" s="24" t="str">
        <x:v>EEZ_044</x:v>
      </x:c>
      <x:c r="B32" s="24" t="str">
        <x:v>Bahamas</x:v>
      </x:c>
      <x:c r="C32" s="24" t="str">
        <x:v>EEZ</x:v>
      </x:c>
      <x:c r="D32" s="30" t="n">
        <x:v>2019</x:v>
      </x:c>
      <x:c r="E32" s="24" t="str">
        <x:v>Lachnolaimus maximus</x:v>
      </x:c>
      <x:c r="F32" s="24" t="str">
        <x:v>Hogfish</x:v>
      </x:c>
      <x:c r="G32" s="24" t="str">
        <x:v>Medium reef assoc. fish (30 - 89 cm)</x:v>
      </x:c>
      <x:c r="H32" s="24" t="str">
        <x:v>Perch-likes</x:v>
      </x:c>
      <x:c r="I32" s="31" t="n">
        <x:v>34.153008369000005</x:v>
      </x:c>
      <x:c r="J32" s="31" t="n">
        <x:v>34.153008369000005</x:v>
      </x:c>
      <x:c r="K32" s="31" t="n">
        <x:v>0</x:v>
      </x:c>
      <x:c r="L32" s="31" t="n">
        <x:v>28.649999998</x:v>
      </x:c>
      <x:c r="M32" s="31" t="n">
        <x:v>5.503008371</x:v>
      </x:c>
      <x:c r="N32" s="24" t="str">
        <x:v>lachnolaimus maximus</x:v>
      </x:c>
      <x:c r="O32" s="32" t="n">
        <x:v>4.17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Lachnolaimus maximus</x:v>
      </x:c>
      <x:c r="T32" s="32" t="n">
        <x:f>IF(O32="","",(1/'Metadata'!$B$5)^(O32-1))</x:f>
        <x:v>1479.1083881682073</x:v>
      </x:c>
      <x:c r="U32" s="31" t="n">
        <x:f>IF(T32="","",I32*T32)</x:f>
        <x:v>50516.00115976689</x:v>
      </x:c>
    </x:row>
    <x:row r="33" ht="18" customHeight="1">
      <x:c r="A33" s="24" t="str">
        <x:v>EEZ_044</x:v>
      </x:c>
      <x:c r="B33" s="24" t="str">
        <x:v>Bahamas</x:v>
      </x:c>
      <x:c r="C33" s="24" t="str">
        <x:v>EEZ</x:v>
      </x:c>
      <x:c r="D33" s="30" t="n">
        <x:v>2019</x:v>
      </x:c>
      <x:c r="E33" s="24" t="str">
        <x:v>Hippospongia lachne</x:v>
      </x:c>
      <x:c r="F33" s="24" t="str">
        <x:v>Sheepswool sponge</x:v>
      </x:c>
      <x:c r="G33" s="24" t="str">
        <x:v>Other demersal invertebrates</x:v>
      </x:c>
      <x:c r="H33" s="24" t="str">
        <x:v>Other fishes &amp; inverts</x:v>
      </x:c>
      <x:c r="I33" s="31" t="n">
        <x:v>31.76666667</x:v>
      </x:c>
      <x:c r="J33" s="31" t="n">
        <x:v>31.76666667</x:v>
      </x:c>
      <x:c r="K33" s="31" t="n">
        <x:v>0</x:v>
      </x:c>
      <x:c r="L33" s="31" t="n">
        <x:v>31.76666667</x:v>
      </x:c>
      <x:c r="M33" s="31" t="n">
        <x:v>0</x:v>
      </x:c>
      <x:c r="N33" s="24" t="str">
        <x:v>hippospongia lachne</x:v>
      </x:c>
      <x:c r="O33" s="32" t="n">
        <x:v>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Hippospongia lachne</x:v>
      </x:c>
      <x:c r="T33" s="32" t="n">
        <x:f>IF(O33="","",(1/'Metadata'!$B$5)^(O33-1))</x:f>
        <x:v>10</x:v>
      </x:c>
      <x:c r="U33" s="31" t="n">
        <x:f>IF(T33="","",I33*T33)</x:f>
        <x:v>317.6666667</x:v>
      </x:c>
    </x:row>
    <x:row r="34" ht="18" customHeight="1">
      <x:c r="A34" s="24" t="str">
        <x:v>EEZ_044</x:v>
      </x:c>
      <x:c r="B34" s="24" t="str">
        <x:v>Bahamas</x:v>
      </x:c>
      <x:c r="C34" s="24" t="str">
        <x:v>EEZ</x:v>
      </x:c>
      <x:c r="D34" s="30" t="n">
        <x:v>2019</x:v>
      </x:c>
      <x:c r="E34" s="24" t="str">
        <x:v>Haemulon album</x:v>
      </x:c>
      <x:c r="F34" s="24" t="str">
        <x:v>White margate</x:v>
      </x:c>
      <x:c r="G34" s="24" t="str">
        <x:v>Medium reef assoc. fish (30 - 89 cm)</x:v>
      </x:c>
      <x:c r="H34" s="24" t="str">
        <x:v>Perch-likes</x:v>
      </x:c>
      <x:c r="I34" s="31" t="n">
        <x:v>30.482916221</x:v>
      </x:c>
      <x:c r="J34" s="31" t="n">
        <x:v>30.482916221</x:v>
      </x:c>
      <x:c r="K34" s="31" t="n">
        <x:v>0</x:v>
      </x:c>
      <x:c r="L34" s="31" t="n">
        <x:v>24.197008035</x:v>
      </x:c>
      <x:c r="M34" s="31" t="n">
        <x:v>6.285908186</x:v>
      </x:c>
      <x:c r="N34" s="24" t="str">
        <x:v>haemulon album</x:v>
      </x:c>
      <x:c r="O34" s="32" t="n">
        <x:v>3.32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Haemulon album</x:v>
      </x:c>
      <x:c r="T34" s="32" t="n">
        <x:f>IF(O34="","",(1/'Metadata'!$B$5)^(O34-1))</x:f>
        <x:v>208.92961308540387</x:v>
      </x:c>
      <x:c r="U34" s="31" t="n">
        <x:f>IF(T34="","",I34*T34)</x:f>
        <x:v>6368.783891768311</x:v>
      </x:c>
    </x:row>
    <x:row r="35" ht="18" customHeight="1">
      <x:c r="A35" s="24" t="str">
        <x:v>EEZ_044</x:v>
      </x:c>
      <x:c r="B35" s="24" t="str">
        <x:v>Bahamas</x:v>
      </x:c>
      <x:c r="C35" s="24" t="str">
        <x:v>EEZ</x:v>
      </x:c>
      <x:c r="D35" s="30" t="n">
        <x:v>2019</x:v>
      </x:c>
      <x:c r="E35" s="24" t="str">
        <x:v>Elasmobranchii</x:v>
      </x:c>
      <x:c r="F35" s="24" t="str">
        <x:v>Sharks, rays, skates</x:v>
      </x:c>
      <x:c r="G35" s="24" t="str">
        <x:v>Large sharks (&gt;=90 cm)</x:v>
      </x:c>
      <x:c r="H35" s="24" t="str">
        <x:v>Sharks &amp; rays</x:v>
      </x:c>
      <x:c r="I35" s="31" t="n">
        <x:v>21.102702284</x:v>
      </x:c>
      <x:c r="J35" s="31" t="n">
        <x:v>21.102702284</x:v>
      </x:c>
      <x:c r="K35" s="31" t="n">
        <x:v>0</x:v>
      </x:c>
      <x:c r="L35" s="31" t="n">
        <x:v>18.8495153906</x:v>
      </x:c>
      <x:c r="M35" s="31" t="n">
        <x:v>2.2531868934</x:v>
      </x:c>
      <x:c r="N35" s="24" t="str">
        <x:v>elasmobranchii</x:v>
      </x:c>
      <x:c r="O35" s="32" t="n">
        <x:v>4.05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Elasmobranchii</x:v>
      </x:c>
      <x:c r="T35" s="32" t="n">
        <x:f>IF(O35="","",(1/'Metadata'!$B$5)^(O35-1))</x:f>
        <x:v>1122.018454301963</x:v>
      </x:c>
      <x:c r="U35" s="31" t="n">
        <x:f>IF(T35="","",I35*T35)</x:f>
        <x:v>23677.62139828818</x:v>
      </x:c>
    </x:row>
    <x:row r="36" ht="18" customHeight="1">
      <x:c r="A36" s="24" t="str">
        <x:v>EEZ_044</x:v>
      </x:c>
      <x:c r="B36" s="24" t="str">
        <x:v>Bahamas</x:v>
      </x:c>
      <x:c r="C36" s="24" t="str">
        <x:v>EEZ</x:v>
      </x:c>
      <x:c r="D36" s="30" t="n">
        <x:v>2019</x:v>
      </x:c>
      <x:c r="E36" s="24" t="str">
        <x:v>Caranx crysos</x:v>
      </x:c>
      <x:c r="F36" s="24" t="str">
        <x:v>Blue runner</x:v>
      </x:c>
      <x:c r="G36" s="24" t="str">
        <x:v>Medium reef assoc. fish (30 - 89 cm)</x:v>
      </x:c>
      <x:c r="H36" s="24" t="str">
        <x:v>Perch-likes</x:v>
      </x:c>
      <x:c r="I36" s="31" t="n">
        <x:v>11.792882890000001</x:v>
      </x:c>
      <x:c r="J36" s="31" t="n">
        <x:v>11.792882890000001</x:v>
      </x:c>
      <x:c r="K36" s="31" t="n">
        <x:v>0</x:v>
      </x:c>
      <x:c r="L36" s="31" t="n">
        <x:v>10.569999999</x:v>
      </x:c>
      <x:c r="M36" s="31" t="n">
        <x:v>1.2228828909999998</x:v>
      </x:c>
      <x:c r="N36" s="24" t="str">
        <x:v>caranx crysos</x:v>
      </x:c>
      <x:c r="O36" s="32" t="n">
        <x:v>4.13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Caranx crysos</x:v>
      </x:c>
      <x:c r="T36" s="32" t="n">
        <x:f>IF(O36="","",(1/'Metadata'!$B$5)^(O36-1))</x:f>
        <x:v>1348.9628825916532</x:v>
      </x:c>
      <x:c r="U36" s="31" t="n">
        <x:f>IF(T36="","",I36*T36)</x:f>
        <x:v>15908.161297360188</x:v>
      </x:c>
    </x:row>
    <x:row r="37" ht="18" customHeight="1">
      <x:c r="A37" s="24" t="str">
        <x:v>EEZ_044</x:v>
      </x:c>
      <x:c r="B37" s="24" t="str">
        <x:v>Bahamas</x:v>
      </x:c>
      <x:c r="C37" s="24" t="str">
        <x:v>EEZ</x:v>
      </x:c>
      <x:c r="D37" s="30" t="n">
        <x:v>2019</x:v>
      </x:c>
      <x:c r="E37" s="24" t="str">
        <x:v>Caranx bartholomaei</x:v>
      </x:c>
      <x:c r="F37" s="24" t="str">
        <x:v>Yellow jack</x:v>
      </x:c>
      <x:c r="G37" s="24" t="str">
        <x:v>Medium reef assoc. fish (30 - 89 cm)</x:v>
      </x:c>
      <x:c r="H37" s="24" t="str">
        <x:v>Perch-likes</x:v>
      </x:c>
      <x:c r="I37" s="31" t="n">
        <x:v>11.792882890000001</x:v>
      </x:c>
      <x:c r="J37" s="31" t="n">
        <x:v>11.792882890000001</x:v>
      </x:c>
      <x:c r="K37" s="31" t="n">
        <x:v>0</x:v>
      </x:c>
      <x:c r="L37" s="31" t="n">
        <x:v>10.569999999</x:v>
      </x:c>
      <x:c r="M37" s="31" t="n">
        <x:v>1.2228828909999998</x:v>
      </x:c>
      <x:c r="N37" s="24" t="str">
        <x:v>caranx bartholomaei</x:v>
      </x:c>
      <x:c r="O37" s="32" t="n">
        <x:v>4.5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Caranx bartholomaei</x:v>
      </x:c>
      <x:c r="T37" s="32" t="n">
        <x:f>IF(O37="","",(1/'Metadata'!$B$5)^(O37-1))</x:f>
        <x:v>3162.2776601683795</x:v>
      </x:c>
      <x:c r="U37" s="31" t="n">
        <x:f>IF(T37="","",I37*T37)</x:f>
        <x:v>37292.37011202892</x:v>
      </x:c>
    </x:row>
    <x:row r="38" ht="18" customHeight="1">
      <x:c r="A38" s="24" t="str">
        <x:v>EEZ_044</x:v>
      </x:c>
      <x:c r="B38" s="24" t="str">
        <x:v>Bahamas</x:v>
      </x:c>
      <x:c r="C38" s="24" t="str">
        <x:v>EEZ</x:v>
      </x:c>
      <x:c r="D38" s="30" t="n">
        <x:v>2019</x:v>
      </x:c>
      <x:c r="E38" s="24" t="str">
        <x:v>Selar crumenophthalmus</x:v>
      </x:c>
      <x:c r="F38" s="24" t="str">
        <x:v>Bigeye scad</x:v>
      </x:c>
      <x:c r="G38" s="24" t="str">
        <x:v>Medium pelagics (30 - 89 cm)</x:v>
      </x:c>
      <x:c r="H38" s="24" t="str">
        <x:v>Perch-likes</x:v>
      </x:c>
      <x:c r="I38" s="31" t="n">
        <x:v>11.79288289</x:v>
      </x:c>
      <x:c r="J38" s="31" t="n">
        <x:v>11.79288289</x:v>
      </x:c>
      <x:c r="K38" s="31" t="n">
        <x:v>0</x:v>
      </x:c>
      <x:c r="L38" s="31" t="n">
        <x:v>10.569999999</x:v>
      </x:c>
      <x:c r="M38" s="31" t="n">
        <x:v>1.222882891</x:v>
      </x:c>
      <x:c r="N38" s="24" t="str">
        <x:v>selar crumenophthalmus</x:v>
      </x:c>
      <x:c r="O38" s="32" t="n">
        <x:v>3.81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Selar crumenophthalmus</x:v>
      </x:c>
      <x:c r="T38" s="32" t="n">
        <x:f>IF(O38="","",(1/'Metadata'!$B$5)^(O38-1))</x:f>
        <x:v>645.6542290346556</x:v>
      </x:c>
      <x:c r="U38" s="31" t="n">
        <x:f>IF(T38="","",I38*T38)</x:f>
        <x:v>7614.124710438931</x:v>
      </x:c>
    </x:row>
    <x:row r="39" ht="18" customHeight="1">
      <x:c r="A39" s="24" t="str">
        <x:v>EEZ_044</x:v>
      </x:c>
      <x:c r="B39" s="24" t="str">
        <x:v>Bahamas</x:v>
      </x:c>
      <x:c r="C39" s="24" t="str">
        <x:v>EEZ</x:v>
      </x:c>
      <x:c r="D39" s="30" t="n">
        <x:v>2019</x:v>
      </x:c>
      <x:c r="E39" s="24" t="str">
        <x:v>Balistes vetula</x:v>
      </x:c>
      <x:c r="F39" s="24" t="str">
        <x:v>Queen triggerfish</x:v>
      </x:c>
      <x:c r="G39" s="24" t="str">
        <x:v>Medium reef assoc. fish (30 - 89 cm)</x:v>
      </x:c>
      <x:c r="H39" s="24" t="str">
        <x:v>Other fishes &amp; inverts</x:v>
      </x:c>
      <x:c r="I39" s="31" t="n">
        <x:v>8.215048956</x:v>
      </x:c>
      <x:c r="J39" s="31" t="n">
        <x:v>8.215048956</x:v>
      </x:c>
      <x:c r="K39" s="31" t="n">
        <x:v>0</x:v>
      </x:c>
      <x:c r="L39" s="31" t="n">
        <x:v>6.14</x:v>
      </x:c>
      <x:c r="M39" s="31" t="n">
        <x:v>2.075048956</x:v>
      </x:c>
      <x:c r="N39" s="24" t="str">
        <x:v>balistes vetula</x:v>
      </x:c>
      <x:c r="O39" s="32" t="n">
        <x:v>3.82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Balistes vetula</x:v>
      </x:c>
      <x:c r="T39" s="32" t="n">
        <x:f>IF(O39="","",(1/'Metadata'!$B$5)^(O39-1))</x:f>
        <x:v>660.6934480075957</x:v>
      </x:c>
      <x:c r="U39" s="31" t="n">
        <x:f>IF(T39="","",I39*T39)</x:f>
        <x:v>5427.62902029084</x:v>
      </x:c>
    </x:row>
    <x:row r="40" ht="18" customHeight="1">
      <x:c r="A40" s="24" t="str">
        <x:v>EEZ_044</x:v>
      </x:c>
      <x:c r="B40" s="24" t="str">
        <x:v>Bahamas</x:v>
      </x:c>
      <x:c r="C40" s="24" t="str">
        <x:v>EEZ</x:v>
      </x:c>
      <x:c r="D40" s="30" t="n">
        <x:v>2019</x:v>
      </x:c>
      <x:c r="E40" s="24" t="str">
        <x:v>Haemulon plumierii</x:v>
      </x:c>
      <x:c r="F40" s="24" t="str">
        <x:v>White grunt</x:v>
      </x:c>
      <x:c r="G40" s="24" t="str">
        <x:v>Medium reef assoc. fish (30 - 89 cm)</x:v>
      </x:c>
      <x:c r="H40" s="24" t="str">
        <x:v>Perch-likes</x:v>
      </x:c>
      <x:c r="I40" s="31" t="n">
        <x:v>6.853724828</x:v>
      </x:c>
      <x:c r="J40" s="31" t="n">
        <x:v>6.853724828</x:v>
      </x:c>
      <x:c r="K40" s="31" t="n">
        <x:v>0</x:v>
      </x:c>
      <x:c r="L40" s="31" t="n">
        <x:v>6.570997322999999</x:v>
      </x:c>
      <x:c r="M40" s="31" t="n">
        <x:v>0.282727505</x:v>
      </x:c>
      <x:c r="N40" s="24" t="str">
        <x:v>haemulon plumierii</x:v>
      </x:c>
      <x:c r="O40" s="32" t="n">
        <x:v>3.82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Haemulon plumierii</x:v>
      </x:c>
      <x:c r="T40" s="32" t="n">
        <x:f>IF(O40="","",(1/'Metadata'!$B$5)^(O40-1))</x:f>
        <x:v>660.6934480075957</x:v>
      </x:c>
      <x:c r="U40" s="31" t="n">
        <x:f>IF(T40="","",I40*T40)</x:f>
        <x:v>4528.211088306586</x:v>
      </x:c>
    </x:row>
    <x:row r="41" ht="18" customHeight="1">
      <x:c r="A41" s="24" t="str">
        <x:v>EEZ_044</x:v>
      </x:c>
      <x:c r="B41" s="24" t="str">
        <x:v>Bahamas</x:v>
      </x:c>
      <x:c r="C41" s="24" t="str">
        <x:v>EEZ</x:v>
      </x:c>
      <x:c r="D41" s="30" t="n">
        <x:v>2019</x:v>
      </x:c>
      <x:c r="E41" s="24" t="str">
        <x:v>Haemulon</x:v>
      </x:c>
      <x:c r="F41" s="24" t="str">
        <x:v>Grunts</x:v>
      </x:c>
      <x:c r="G41" s="24" t="str">
        <x:v>Small reef assoc. fish (&lt;30 cm)</x:v>
      </x:c>
      <x:c r="H41" s="24" t="str">
        <x:v>Perch-likes</x:v>
      </x:c>
      <x:c r="I41" s="31" t="n">
        <x:v>6.853724828</x:v>
      </x:c>
      <x:c r="J41" s="31" t="n">
        <x:v>6.853724828</x:v>
      </x:c>
      <x:c r="K41" s="31" t="n">
        <x:v>0</x:v>
      </x:c>
      <x:c r="L41" s="31" t="n">
        <x:v>6.570997322999999</x:v>
      </x:c>
      <x:c r="M41" s="31" t="n">
        <x:v>0.282727505</x:v>
      </x:c>
      <x:c r="N41" s="24" t="str">
        <x:v>haemulon</x:v>
      </x:c>
      <x:c r="O41" s="32" t="n">
        <x:v>3.25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Haemulon</x:v>
      </x:c>
      <x:c r="T41" s="32" t="n">
        <x:f>IF(O41="","",(1/'Metadata'!$B$5)^(O41-1))</x:f>
        <x:v>177.82794100389228</x:v>
      </x:c>
      <x:c r="U41" s="31" t="n">
        <x:f>IF(T41="","",I41*T41)</x:f>
        <x:v>1218.7837743704956</x:v>
      </x:c>
    </x:row>
    <x:row r="42" ht="18" customHeight="1">
      <x:c r="A42" s="24" t="str">
        <x:v>EEZ_044</x:v>
      </x:c>
      <x:c r="B42" s="24" t="str">
        <x:v>Bahamas</x:v>
      </x:c>
      <x:c r="C42" s="24" t="str">
        <x:v>EEZ</x:v>
      </x:c>
      <x:c r="D42" s="30" t="n">
        <x:v>2019</x:v>
      </x:c>
      <x:c r="E42" s="24" t="str">
        <x:v>Haemulon sciurus</x:v>
      </x:c>
      <x:c r="F42" s="24" t="str">
        <x:v>Bluestriped grunt</x:v>
      </x:c>
      <x:c r="G42" s="24" t="str">
        <x:v>Medium reef assoc. fish (30 - 89 cm)</x:v>
      </x:c>
      <x:c r="H42" s="24" t="str">
        <x:v>Perch-likes</x:v>
      </x:c>
      <x:c r="I42" s="31" t="n">
        <x:v>6.853724828</x:v>
      </x:c>
      <x:c r="J42" s="31" t="n">
        <x:v>6.853724828</x:v>
      </x:c>
      <x:c r="K42" s="31" t="n">
        <x:v>0</x:v>
      </x:c>
      <x:c r="L42" s="31" t="n">
        <x:v>6.570997322999999</x:v>
      </x:c>
      <x:c r="M42" s="31" t="n">
        <x:v>0.282727505</x:v>
      </x:c>
      <x:c r="N42" s="24" t="str">
        <x:v>haemulon sciurus</x:v>
      </x:c>
      <x:c r="O42" s="32" t="n">
        <x:v>3.48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Haemulon sciurus</x:v>
      </x:c>
      <x:c r="T42" s="32" t="n">
        <x:f>IF(O42="","",(1/'Metadata'!$B$5)^(O42-1))</x:f>
        <x:v>301.9951720402016</x:v>
      </x:c>
      <x:c r="U42" s="31" t="n">
        <x:f>IF(T42="","",I42*T42)</x:f>
        <x:v>2069.7918085480615</x:v>
      </x:c>
    </x:row>
    <x:row r="43" ht="18" customHeight="1">
      <x:c r="A43" s="24" t="str">
        <x:v>EEZ_044</x:v>
      </x:c>
      <x:c r="B43" s="24" t="str">
        <x:v>Bahamas</x:v>
      </x:c>
      <x:c r="C43" s="24" t="str">
        <x:v>EEZ</x:v>
      </x:c>
      <x:c r="D43" s="30" t="n">
        <x:v>2019</x:v>
      </x:c>
      <x:c r="E43" s="24" t="str">
        <x:v>Makaira nigricans</x:v>
      </x:c>
      <x:c r="F43" s="24" t="str">
        <x:v>Blue marlin</x:v>
      </x:c>
      <x:c r="G43" s="24" t="str">
        <x:v>Large pelagics (&gt;=90 cm)</x:v>
      </x:c>
      <x:c r="H43" s="24" t="str">
        <x:v>Tuna &amp; billfishes</x:v>
      </x:c>
      <x:c r="I43" s="31" t="n">
        <x:v>6.149819859</x:v>
      </x:c>
      <x:c r="J43" s="31" t="n">
        <x:v>6.149819859</x:v>
      </x:c>
      <x:c r="K43" s="31" t="n">
        <x:v>0</x:v>
      </x:c>
      <x:c r="L43" s="31" t="n">
        <x:v>0</x:v>
      </x:c>
      <x:c r="M43" s="31" t="n">
        <x:v>6.149819859</x:v>
      </x:c>
      <x:c r="N43" s="24" t="str">
        <x:v>makaira nigricans</x:v>
      </x:c>
      <x:c r="O43" s="32" t="n">
        <x:v>4.49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Makaira nigricans</x:v>
      </x:c>
      <x:c r="T43" s="32" t="n">
        <x:f>IF(O43="","",(1/'Metadata'!$B$5)^(O43-1))</x:f>
        <x:v>3090.295432513592</x:v>
      </x:c>
      <x:c r="U43" s="31" t="n">
        <x:f>IF(T43="","",I43*T43)</x:f>
        <x:v>19004.76022104908</x:v>
      </x:c>
    </x:row>
    <x:row r="44" ht="18" customHeight="1">
      <x:c r="A44" s="24" t="str">
        <x:v>EEZ_044</x:v>
      </x:c>
      <x:c r="B44" s="24" t="str">
        <x:v>Bahamas</x:v>
      </x:c>
      <x:c r="C44" s="24" t="str">
        <x:v>EEZ</x:v>
      </x:c>
      <x:c r="D44" s="30" t="n">
        <x:v>2019</x:v>
      </x:c>
      <x:c r="E44" s="24" t="str">
        <x:v>Marine fishes not identified</x:v>
      </x:c>
      <x:c r="F44" s="24" t="str">
        <x:v>Marine fishes nei</x:v>
      </x:c>
      <x:c r="G44" s="24" t="str">
        <x:v>Medium demersals (30 - 89 cm)</x:v>
      </x:c>
      <x:c r="H44" s="24" t="str">
        <x:v>Other fishes &amp; inverts</x:v>
      </x:c>
      <x:c r="I44" s="31" t="n">
        <x:v>5.619432</x:v>
      </x:c>
      <x:c r="J44" s="31" t="n">
        <x:v>5.619432</x:v>
      </x:c>
      <x:c r="K44" s="31" t="n">
        <x:v>0</x:v>
      </x:c>
      <x:c r="L44" s="31" t="n">
        <x:v>3.3200000000000003</x:v>
      </x:c>
      <x:c r="M44" s="31" t="n">
        <x:v>2.299432</x:v>
      </x:c>
      <x:c r="N44" s="24" t="str">
        <x:v>marine fishes not identified</x:v>
      </x:c>
      <x:c r="O44" s="32" t="n">
        <x:v>3.28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Marine fishes not identified</x:v>
      </x:c>
      <x:c r="T44" s="32" t="n">
        <x:f>IF(O44="","",(1/'Metadata'!$B$5)^(O44-1))</x:f>
        <x:v>190.54607179632464</x:v>
      </x:c>
      <x:c r="U44" s="31" t="n">
        <x:f>IF(T44="","",I44*T44)</x:f>
        <x:v>1070.760693326564</x:v>
      </x:c>
    </x:row>
  </x:sheetData>
  <x:conditionalFormatting sqref="R2:R4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a7b27b49a9143c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2</x:v>
      </x:c>
      <x:c r="C2" s="33" t="n">
        <x:v>2</x:v>
      </x:c>
      <x:c r="D2" s="31" t="n">
        <x:v>7362.380663529</x:v>
      </x:c>
      <x:c r="E2" s="31" t="n">
        <x:v>7362.380663529</x:v>
      </x:c>
      <x:c r="F2" s="32" t="n">
        <x:v>0</x:v>
      </x:c>
      <x:c r="G2" s="34" t="n">
        <x:v>1</x:v>
      </x:c>
      <x:c r="H2" s="32" t="n">
        <x:f>IF(E2=0,"",I2/E2)</x:f>
        <x:v>157.8222673765657</x:v>
      </x:c>
      <x:c r="I2" s="31" t="n">
        <x:f>IF(C2=0,"",SUMIF('Species'!$H$2:$H$44,A2,'Species'!$U$2:$U$44))</x:f>
        <x:v>1161947.609607531</x:v>
      </x:c>
      <x:c r="J2" s="32" t="n">
        <x:v>3.1966276050245</x:v>
      </x:c>
      <x:c r="K2" s="32" t="n">
        <x:f>IF(J2="","",(1/'Metadata'!$B$5)^(J2-1))</x:f>
        <x:v>157.2633798093065</x:v>
      </x:c>
      <x:c r="L2" s="31" t="n">
        <x:f>IF(E2=0,"",E2*K2)</x:f>
        <x:v>1157832.8665892552</x:v>
      </x:c>
      <x:c r="M2" s="31" t="n">
        <x:f>IF(E2=0,"",I2-L2)</x:f>
        <x:v>4114.743018275825</x:v>
      </x:c>
      <x:c r="N2" s="32" t="n">
        <x:f>IF(L2=0,"",I2/L2)</x:f>
        <x:v>1.0035538315909074</x:v>
      </x:c>
      <x:c r="O2" s="34" t="n">
        <x:f>IF(L2=0,"",M2/L2)</x:f>
        <x:v>0.003553831590907449</x:v>
      </x:c>
    </x:row>
    <x:row r="3" ht="18" customHeight="1">
      <x:c r="A3" s="24" t="str">
        <x:v>Molluscs</x:v>
      </x:c>
      <x:c r="B3" s="33" t="n">
        <x:v>1</x:v>
      </x:c>
      <x:c r="C3" s="33" t="n">
        <x:v>1</x:v>
      </x:c>
      <x:c r="D3" s="31" t="n">
        <x:v>4204.345815</x:v>
      </x:c>
      <x:c r="E3" s="31" t="n">
        <x:v>4204.345815</x:v>
      </x:c>
      <x:c r="F3" s="32" t="n">
        <x:v>0</x:v>
      </x:c>
      <x:c r="G3" s="34" t="n">
        <x:v>1</x:v>
      </x:c>
      <x:c r="H3" s="32" t="n">
        <x:f>IF(E3=0,"",I3/E3)</x:f>
        <x:v>15.488166189124811</x:v>
      </x:c>
      <x:c r="I3" s="31" t="n">
        <x:f>IF(C3=0,"",SUMIF('Species'!$H$2:$H$44,A3,'Species'!$U$2:$U$44))</x:f>
        <x:v>65117.6066992714</x:v>
      </x:c>
      <x:c r="J3" s="32" t="n">
        <x:v>2.19</x:v>
      </x:c>
      <x:c r="K3" s="32" t="n">
        <x:f>IF(J3="","",(1/'Metadata'!$B$5)^(J3-1))</x:f>
        <x:v>15.488166189124811</x:v>
      </x:c>
      <x:c r="L3" s="31" t="n">
        <x:f>IF(E3=0,"",E3*K3)</x:f>
        <x:v>65117.6066992714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4</x:v>
      </x:c>
      <x:c r="C4" s="33" t="n">
        <x:v>4</x:v>
      </x:c>
      <x:c r="D4" s="31" t="n">
        <x:v>490.334480986</x:v>
      </x:c>
      <x:c r="E4" s="31" t="n">
        <x:v>490.334480986</x:v>
      </x:c>
      <x:c r="F4" s="32" t="n">
        <x:v>0</x:v>
      </x:c>
      <x:c r="G4" s="34" t="n">
        <x:v>1</x:v>
      </x:c>
      <x:c r="H4" s="32" t="n">
        <x:f>IF(E4=0,"",I4/E4)</x:f>
        <x:v>22.97082940458963</x:v>
      </x:c>
      <x:c r="I4" s="31" t="n">
        <x:f>IF(C4=0,"",SUMIF('Species'!$H$2:$H$44,A4,'Species'!$U$2:$U$44))</x:f>
        <x:v>11263.389713917404</x:v>
      </x:c>
      <x:c r="J4" s="32" t="n">
        <x:v>2.0451615436372954</x:v>
      </x:c>
      <x:c r="K4" s="32" t="n">
        <x:f>IF(J4="","",(1/'Metadata'!$B$5)^(J4-1))</x:f>
        <x:v>11.095874695103582</x:v>
      </x:c>
      <x:c r="L4" s="31" t="n">
        <x:f>IF(E4=0,"",E4*K4)</x:f>
        <x:v>5440.689959709306</x:v>
      </x:c>
      <x:c r="M4" s="31" t="n">
        <x:f>IF(E4=0,"",I4-L4)</x:f>
        <x:v>5822.699754208098</x:v>
      </x:c>
      <x:c r="N4" s="32" t="n">
        <x:f>IF(L4=0,"",I4/L4)</x:f>
        <x:v>2.0702134834603223</x:v>
      </x:c>
      <x:c r="O4" s="34" t="n">
        <x:f>IF(L4=0,"",M4/L4)</x:f>
        <x:v>1.0702134834603225</x:v>
      </x:c>
    </x:row>
    <x:row r="5" ht="18" customHeight="1">
      <x:c r="A5" s="24" t="str">
        <x:v>Perch-likes</x:v>
      </x:c>
      <x:c r="B5" s="33" t="n">
        <x:v>29</x:v>
      </x:c>
      <x:c r="C5" s="33" t="n">
        <x:v>29</x:v>
      </x:c>
      <x:c r="D5" s="31" t="n">
        <x:v>4470.7633598526</x:v>
      </x:c>
      <x:c r="E5" s="31" t="n">
        <x:v>4470.7633598526</x:v>
      </x:c>
      <x:c r="F5" s="32" t="n">
        <x:v>0</x:v>
      </x:c>
      <x:c r="G5" s="34" t="n">
        <x:v>1</x:v>
      </x:c>
      <x:c r="H5" s="32" t="n">
        <x:f>IF(E5=0,"",I5/E5)</x:f>
        <x:v>2083.020914097054</x:v>
      </x:c>
      <x:c r="I5" s="31" t="n">
        <x:f>IF(C5=0,"",SUMIF('Species'!$H$2:$H$44,A5,'Species'!$U$2:$U$44))</x:f>
        <x:v>9312693.58055178</x:v>
      </x:c>
      <x:c r="J5" s="32" t="n">
        <x:v>4.257034141425067</x:v>
      </x:c>
      <x:c r="K5" s="32" t="n">
        <x:f>IF(J5="","",(1/'Metadata'!$B$5)^(J5-1))</x:f>
        <x:v>1807.3161999442814</x:v>
      </x:c>
      <x:c r="L5" s="31" t="n">
        <x:f>IF(E5=0,"",E5*K5)</x:f>
        <x:v>8080083.046378929</x:v>
      </x:c>
      <x:c r="M5" s="31" t="n">
        <x:f>IF(E5=0,"",I5-L5)</x:f>
        <x:v>1232610.5341728516</x:v>
      </x:c>
      <x:c r="N5" s="32" t="n">
        <x:f>IF(L5=0,"",I5/L5)</x:f>
        <x:v>1.1525492407810392</x:v>
      </x:c>
      <x:c r="O5" s="34" t="n">
        <x:f>IF(L5=0,"",M5/L5)</x:f>
        <x:v>0.15254924078103915</x:v>
      </x:c>
    </x:row>
    <x:row r="6" ht="18" customHeight="1">
      <x:c r="A6" s="24" t="str">
        <x:v>Sharks &amp; rays</x:v>
      </x:c>
      <x:c r="B6" s="33" t="n">
        <x:v>2</x:v>
      </x:c>
      <x:c r="C6" s="33" t="n">
        <x:v>2</x:v>
      </x:c>
      <x:c r="D6" s="31" t="n">
        <x:v>580.4332877103</x:v>
      </x:c>
      <x:c r="E6" s="31" t="n">
        <x:v>580.4332877103</x:v>
      </x:c>
      <x:c r="F6" s="32" t="n">
        <x:v>0</x:v>
      </x:c>
      <x:c r="G6" s="34" t="n">
        <x:v>1</x:v>
      </x:c>
      <x:c r="H6" s="32" t="n">
        <x:f>IF(E6=0,"",I6/E6)</x:f>
        <x:v>433.36224162101513</x:v>
      </x:c>
      <x:c r="I6" s="31" t="n">
        <x:f>IF(C6=0,"",SUMIF('Species'!$H$2:$H$44,A6,'Species'!$U$2:$U$44))</x:f>
        <x:v>251537.8706735912</x:v>
      </x:c>
      <x:c r="J6" s="32" t="n">
        <x:v>3.6259969960399556</x:v>
      </x:c>
      <x:c r="K6" s="32" t="n">
        <x:f>IF(J6="","",(1/'Metadata'!$B$5)^(J6-1))</x:f>
        <x:v>422.6656907303266</x:v>
      </x:c>
      <x:c r="L6" s="31" t="n">
        <x:f>IF(E6=0,"",E6*K6)</x:f>
        <x:v>245329.23647294834</x:v>
      </x:c>
      <x:c r="M6" s="31" t="n">
        <x:f>IF(E6=0,"",I6-L6)</x:f>
        <x:v>6208.634200642875</x:v>
      </x:c>
      <x:c r="N6" s="32" t="n">
        <x:f>IF(L6=0,"",I6/L6)</x:f>
        <x:v>1.025307355494613</x:v>
      </x:c>
      <x:c r="O6" s="34" t="n">
        <x:f>IF(L6=0,"",M6/L6)</x:f>
        <x:v>0.025307355494612976</x:v>
      </x:c>
    </x:row>
    <x:row r="7" ht="18" customHeight="1">
      <x:c r="A7" s="24" t="str">
        <x:v>Tuna &amp; billfishes</x:v>
      </x:c>
      <x:c r="B7" s="33" t="n">
        <x:v>5</x:v>
      </x:c>
      <x:c r="C7" s="33" t="n">
        <x:v>5</x:v>
      </x:c>
      <x:c r="D7" s="31" t="n">
        <x:v>1284.455960759</x:v>
      </x:c>
      <x:c r="E7" s="31" t="n">
        <x:v>1284.455960759</x:v>
      </x:c>
      <x:c r="F7" s="32" t="n">
        <x:v>0</x:v>
      </x:c>
      <x:c r="G7" s="34" t="n">
        <x:v>1</x:v>
      </x:c>
      <x:c r="H7" s="32" t="n">
        <x:f>IF(E7=0,"",I7/E7)</x:f>
        <x:v>2542.6227586244536</x:v>
      </x:c>
      <x:c r="I7" s="31" t="n">
        <x:f>IF(C7=0,"",SUMIF('Species'!$H$2:$H$44,A7,'Species'!$U$2:$U$44))</x:f>
        <x:v>3265886.9582766714</x:v>
      </x:c>
      <x:c r="J7" s="32" t="n">
        <x:v>4.403748282855463</x:v>
      </x:c>
      <x:c r="K7" s="32" t="n">
        <x:f>IF(J7="","",(1/'Metadata'!$B$5)^(J7-1))</x:f>
        <x:v>2533.6596953155777</x:v>
      </x:c>
      <x:c r="L7" s="31" t="n">
        <x:f>IF(E7=0,"",E7*K7)</x:f>
        <x:v>3254374.298182925</x:v>
      </x:c>
      <x:c r="M7" s="31" t="n">
        <x:f>IF(E7=0,"",I7-L7)</x:f>
        <x:v>11512.660093746148</x:v>
      </x:c>
      <x:c r="N7" s="32" t="n">
        <x:f>IF(L7=0,"",I7/L7)</x:f>
        <x:v>1.0035375955679635</x:v>
      </x:c>
      <x:c r="O7" s="34" t="n">
        <x:f>IF(L7=0,"",M7/L7)</x:f>
        <x:v>0.003537595567963471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720ba2b583e46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bathydemersals (&gt;=90 cm)</x:v>
      </x:c>
      <x:c r="B2" s="33" t="n">
        <x:v>1</x:v>
      </x:c>
      <x:c r="C2" s="33" t="n">
        <x:v>1</x:v>
      </x:c>
      <x:c r="D2" s="31" t="n">
        <x:v>62.526514746</x:v>
      </x:c>
      <x:c r="E2" s="31" t="n">
        <x:v>62.526514746</x:v>
      </x:c>
      <x:c r="F2" s="32" t="n">
        <x:v>0</x:v>
      </x:c>
      <x:c r="G2" s="34" t="n">
        <x:v>1</x:v>
      </x:c>
      <x:c r="H2" s="32" t="n">
        <x:f>IF(E2=0,"",I2/E2)</x:f>
        <x:v>3801.8939632056126</x:v>
      </x:c>
      <x:c r="I2" s="31" t="n">
        <x:f>IF(C2=0,"",SUMIF('Species'!$G$2:$G$44,A2,'Species'!$U$2:$U$44))</x:f>
        <x:v>237719.1789531041</x:v>
      </x:c>
      <x:c r="J2" s="32" t="n">
        <x:v>4.58</x:v>
      </x:c>
      <x:c r="K2" s="32" t="n">
        <x:f>IF(J2="","",(1/'Metadata'!$B$5)^(J2-1))</x:f>
        <x:v>3801.8939632056126</x:v>
      </x:c>
      <x:c r="L2" s="31" t="n">
        <x:f>IF(E2=0,"",E2*K2)</x:f>
        <x:v>237719.1789531041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10</x:v>
      </x:c>
      <x:c r="C3" s="33" t="n">
        <x:v>10</x:v>
      </x:c>
      <x:c r="D3" s="31" t="n">
        <x:v>3741.0950363040006</x:v>
      </x:c>
      <x:c r="E3" s="31" t="n">
        <x:v>3741.0950363040006</x:v>
      </x:c>
      <x:c r="F3" s="32" t="n">
        <x:v>0</x:v>
      </x:c>
      <x:c r="G3" s="34" t="n">
        <x:v>1</x:v>
      </x:c>
      <x:c r="H3" s="32" t="n">
        <x:f>IF(E3=0,"",I3/E3)</x:f>
        <x:v>2364.2784393289485</x:v>
      </x:c>
      <x:c r="I3" s="31" t="n">
        <x:f>IF(C3=0,"",SUMIF('Species'!$G$2:$G$44,A3,'Species'!$U$2:$U$44))</x:f>
        <x:v>8844990.333814098</x:v>
      </x:c>
      <x:c r="J3" s="32" t="n">
        <x:v>4.36964102034001</x:v>
      </x:c>
      <x:c r="K3" s="32" t="n">
        <x:f>IF(J3="","",(1/'Metadata'!$B$5)^(J3-1))</x:f>
        <x:v>2342.2919204311197</x:v>
      </x:c>
      <x:c r="L3" s="31" t="n">
        <x:f>IF(E3=0,"",E3*K3)</x:f>
        <x:v>8762736.677099828</x:v>
      </x:c>
      <x:c r="M3" s="31" t="n">
        <x:f>IF(E3=0,"",I3-L3)</x:f>
        <x:v>82253.65671426989</x:v>
      </x:c>
      <x:c r="N3" s="32" t="n">
        <x:f>IF(L3=0,"",I3/L3)</x:f>
        <x:v>1.0093867543605672</x:v>
      </x:c>
      <x:c r="O3" s="34" t="n">
        <x:f>IF(L3=0,"",M3/L3)</x:f>
        <x:v>0.009386754360567308</x:v>
      </x:c>
    </x:row>
    <x:row r="4" ht="18" customHeight="1">
      <x:c r="A4" s="24" t="str">
        <x:v>Large rays (&gt;=90 cm)</x:v>
      </x:c>
      <x:c r="B4" s="33" t="n">
        <x:v>1</x:v>
      </x:c>
      <x:c r="C4" s="33" t="n">
        <x:v>1</x:v>
      </x:c>
      <x:c r="D4" s="31" t="n">
        <x:v>559.3305854263</x:v>
      </x:c>
      <x:c r="E4" s="31" t="n">
        <x:v>559.3305854263</x:v>
      </x:c>
      <x:c r="F4" s="32" t="n">
        <x:v>0</x:v>
      </x:c>
      <x:c r="G4" s="34" t="n">
        <x:v>1</x:v>
      </x:c>
      <x:c r="H4" s="32" t="n">
        <x:f>IF(E4=0,"",I4/E4)</x:f>
        <x:v>407.3802778041126</x:v>
      </x:c>
      <x:c r="I4" s="31" t="n">
        <x:f>IF(C4=0,"",SUMIF('Species'!$G$2:$G$44,A4,'Species'!$U$2:$U$44))</x:f>
        <x:v>227860.24927530304</x:v>
      </x:c>
      <x:c r="J4" s="32" t="n">
        <x:v>3.61</x:v>
      </x:c>
      <x:c r="K4" s="32" t="n">
        <x:f>IF(J4="","",(1/'Metadata'!$B$5)^(J4-1))</x:f>
        <x:v>407.3802778041126</x:v>
      </x:c>
      <x:c r="L4" s="31" t="n">
        <x:f>IF(E4=0,"",E4*K4)</x:f>
        <x:v>227860.24927530304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reef assoc. fish (&gt;=90 cm)</x:v>
      </x:c>
      <x:c r="B5" s="33" t="n">
        <x:v>4</x:v>
      </x:c>
      <x:c r="C5" s="33" t="n">
        <x:v>4</x:v>
      </x:c>
      <x:c r="D5" s="31" t="n">
        <x:v>933.2623467399999</x:v>
      </x:c>
      <x:c r="E5" s="31" t="n">
        <x:v>933.2623467399999</x:v>
      </x:c>
      <x:c r="F5" s="32" t="n">
        <x:v>0</x:v>
      </x:c>
      <x:c r="G5" s="34" t="n">
        <x:v>1</x:v>
      </x:c>
      <x:c r="H5" s="32" t="n">
        <x:f>IF(E5=0,"",I5/E5)</x:f>
        <x:v>2529.173546441187</x:v>
      </x:c>
      <x:c r="I5" s="31" t="n">
        <x:f>IF(C5=0,"",SUMIF('Species'!$G$2:$G$44,A5,'Species'!$U$2:$U$44))</x:f>
        <x:v>2360382.4392644307</x:v>
      </x:c>
      <x:c r="J5" s="32" t="n">
        <x:v>4.340071988034228</x:v>
      </x:c>
      <x:c r="K5" s="32" t="n">
        <x:f>IF(J5="","",(1/'Metadata'!$B$5)^(J5-1))</x:f>
        <x:v>2188.1242942546814</x:v>
      </x:c>
      <x:c r="L5" s="31" t="n">
        <x:f>IF(E5=0,"",E5*K5)</x:f>
        <x:v>2042094.01381493</x:v>
      </x:c>
      <x:c r="M5" s="31" t="n">
        <x:f>IF(E5=0,"",I5-L5)</x:f>
        <x:v>318288.42544950056</x:v>
      </x:c>
      <x:c r="N5" s="32" t="n">
        <x:f>IF(L5=0,"",I5/L5)</x:f>
        <x:v>1.1558637473574938</x:v>
      </x:c>
      <x:c r="O5" s="34" t="n">
        <x:f>IF(L5=0,"",M5/L5)</x:f>
        <x:v>0.15586374735749373</x:v>
      </x:c>
    </x:row>
    <x:row r="6" ht="18" customHeight="1">
      <x:c r="A6" s="24" t="str">
        <x:v>Large sharks (&gt;=90 cm)</x:v>
      </x:c>
      <x:c r="B6" s="33" t="n">
        <x:v>1</x:v>
      </x:c>
      <x:c r="C6" s="33" t="n">
        <x:v>1</x:v>
      </x:c>
      <x:c r="D6" s="31" t="n">
        <x:v>21.102702284</x:v>
      </x:c>
      <x:c r="E6" s="31" t="n">
        <x:v>21.102702284</x:v>
      </x:c>
      <x:c r="F6" s="32" t="n">
        <x:v>0</x:v>
      </x:c>
      <x:c r="G6" s="34" t="n">
        <x:v>1</x:v>
      </x:c>
      <x:c r="H6" s="32" t="n">
        <x:f>IF(E6=0,"",I6/E6)</x:f>
        <x:v>1122.018454301963</x:v>
      </x:c>
      <x:c r="I6" s="31" t="n">
        <x:f>IF(C6=0,"",SUMIF('Species'!$G$2:$G$44,A6,'Species'!$U$2:$U$44))</x:f>
        <x:v>23677.62139828818</x:v>
      </x:c>
      <x:c r="J6" s="32" t="n">
        <x:v>4.05</x:v>
      </x:c>
      <x:c r="K6" s="32" t="n">
        <x:f>IF(J6="","",(1/'Metadata'!$B$5)^(J6-1))</x:f>
        <x:v>1122.018454301963</x:v>
      </x:c>
      <x:c r="L6" s="31" t="n">
        <x:f>IF(E6=0,"",E6*K6)</x:f>
        <x:v>23677.62139828818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Lobsters, crabs</x:v>
      </x:c>
      <x:c r="B7" s="33" t="n">
        <x:v>2</x:v>
      </x:c>
      <x:c r="C7" s="33" t="n">
        <x:v>2</x:v>
      </x:c>
      <x:c r="D7" s="31" t="n">
        <x:v>7362.380663529</x:v>
      </x:c>
      <x:c r="E7" s="31" t="n">
        <x:v>7362.380663529</x:v>
      </x:c>
      <x:c r="F7" s="32" t="n">
        <x:v>0</x:v>
      </x:c>
      <x:c r="G7" s="34" t="n">
        <x:v>1</x:v>
      </x:c>
      <x:c r="H7" s="32" t="n">
        <x:f>IF(E7=0,"",I7/E7)</x:f>
        <x:v>157.8222673765657</x:v>
      </x:c>
      <x:c r="I7" s="31" t="n">
        <x:f>IF(C7=0,"",SUMIF('Species'!$G$2:$G$44,A7,'Species'!$U$2:$U$44))</x:f>
        <x:v>1161947.609607531</x:v>
      </x:c>
      <x:c r="J7" s="32" t="n">
        <x:v>3.1966276050245</x:v>
      </x:c>
      <x:c r="K7" s="32" t="n">
        <x:f>IF(J7="","",(1/'Metadata'!$B$5)^(J7-1))</x:f>
        <x:v>157.2633798093065</x:v>
      </x:c>
      <x:c r="L7" s="31" t="n">
        <x:f>IF(E7=0,"",E7*K7)</x:f>
        <x:v>1157832.8665892552</x:v>
      </x:c>
      <x:c r="M7" s="31" t="n">
        <x:f>IF(E7=0,"",I7-L7)</x:f>
        <x:v>4114.743018275825</x:v>
      </x:c>
      <x:c r="N7" s="32" t="n">
        <x:f>IF(L7=0,"",I7/L7)</x:f>
        <x:v>1.0035538315909074</x:v>
      </x:c>
      <x:c r="O7" s="34" t="n">
        <x:f>IF(L7=0,"",M7/L7)</x:f>
        <x:v>0.003553831590907449</x:v>
      </x:c>
    </x:row>
    <x:row r="8" ht="18" customHeight="1">
      <x:c r="A8" s="24" t="str">
        <x:v>Medium demersals (30 - 89 cm)</x:v>
      </x:c>
      <x:c r="B8" s="33" t="n">
        <x:v>2</x:v>
      </x:c>
      <x:c r="C8" s="33" t="n">
        <x:v>2</x:v>
      </x:c>
      <x:c r="D8" s="31" t="n">
        <x:v>88.39872694200001</x:v>
      </x:c>
      <x:c r="E8" s="31" t="n">
        <x:v>88.39872694200001</x:v>
      </x:c>
      <x:c r="F8" s="32" t="n">
        <x:v>0</x:v>
      </x:c>
      <x:c r="G8" s="34" t="n">
        <x:v>1</x:v>
      </x:c>
      <x:c r="H8" s="32" t="n">
        <x:f>IF(E8=0,"",I8/E8)</x:f>
        <x:v>127.31901494929961</x:v>
      </x:c>
      <x:c r="I8" s="31" t="n">
        <x:f>IF(C8=0,"",SUMIF('Species'!$G$2:$G$44,A8,'Species'!$U$2:$U$44))</x:f>
        <x:v>11254.838837027553</x:v>
      </x:c>
      <x:c r="J8" s="32" t="n">
        <x:v>3.102078138644468</x:v>
      </x:c>
      <x:c r="K8" s="32" t="n">
        <x:f>IF(J8="","",(1/'Metadata'!$B$5)^(J8-1))</x:f>
        <x:v>126.49639204170977</x:v>
      </x:c>
      <x:c r="L8" s="31" t="n">
        <x:f>IF(E8=0,"",E8*K8)</x:f>
        <x:v>11182.120019243284</x:v>
      </x:c>
      <x:c r="M8" s="31" t="n">
        <x:f>IF(E8=0,"",I8-L8)</x:f>
        <x:v>72.71881778426905</x:v>
      </x:c>
      <x:c r="N8" s="32" t="n">
        <x:f>IF(L8=0,"",I8/L8)</x:f>
        <x:v>1.0065031333646148</x:v>
      </x:c>
      <x:c r="O8" s="34" t="n">
        <x:f>IF(L8=0,"",M8/L8)</x:f>
        <x:v>0.0065031333646148855</x:v>
      </x:c>
    </x:row>
    <x:row r="9" ht="18" customHeight="1">
      <x:c r="A9" s="24" t="str">
        <x:v>Medium pelagics (30 - 89 cm)</x:v>
      </x:c>
      <x:c r="B9" s="33" t="n">
        <x:v>2</x:v>
      </x:c>
      <x:c r="C9" s="33" t="n">
        <x:v>2</x:v>
      </x:c>
      <x:c r="D9" s="31" t="n">
        <x:v>53.37408647</x:v>
      </x:c>
      <x:c r="E9" s="31" t="n">
        <x:v>53.37408647</x:v>
      </x:c>
      <x:c r="F9" s="32" t="n">
        <x:v>0</x:v>
      </x:c>
      <x:c r="G9" s="34" t="n">
        <x:v>1</x:v>
      </x:c>
      <x:c r="H9" s="32" t="n">
        <x:f>IF(E9=0,"",I9/E9)</x:f>
        <x:v>1016.7668632565502</x:v>
      </x:c>
      <x:c r="I9" s="31" t="n">
        <x:f>IF(C9=0,"",SUMIF('Species'!$G$2:$G$44,A9,'Species'!$U$2:$U$44))</x:f>
        <x:v>54269.00247928578</x:v>
      </x:c>
      <x:c r="J9" s="32" t="n">
        <x:v>3.9969725464024415</x:v>
      </x:c>
      <x:c r="K9" s="32" t="n">
        <x:f>IF(J9="","",(1/'Metadata'!$B$5)^(J9-1))</x:f>
        <x:v>993.0532713244689</x:v>
      </x:c>
      <x:c r="L9" s="31" t="n">
        <x:f>IF(E9=0,"",E9*K9)</x:f>
        <x:v>53003.31117298858</x:v>
      </x:c>
      <x:c r="M9" s="31" t="n">
        <x:f>IF(E9=0,"",I9-L9)</x:f>
        <x:v>1265.6913062972017</x:v>
      </x:c>
      <x:c r="N9" s="32" t="n">
        <x:f>IF(L9=0,"",I9/L9)</x:f>
        <x:v>1.0238794761739758</x:v>
      </x:c>
      <x:c r="O9" s="34" t="n">
        <x:f>IF(L9=0,"",M9/L9)</x:f>
        <x:v>0.023879476173975716</x:v>
      </x:c>
    </x:row>
    <x:row r="10" ht="18" customHeight="1">
      <x:c r="A10" s="24" t="str">
        <x:v>Medium reef assoc. fish (30 - 89 cm)</x:v>
      </x:c>
      <x:c r="B10" s="33" t="n">
        <x:v>16</x:v>
      </x:c>
      <x:c r="C10" s="33" t="n">
        <x:v>16</x:v>
      </x:c>
      <x:c r="D10" s="31" t="n">
        <x:v>883.5433655376</x:v>
      </x:c>
      <x:c r="E10" s="31" t="n">
        <x:v>883.5433655376</x:v>
      </x:c>
      <x:c r="F10" s="32" t="n">
        <x:v>0</x:v>
      </x:c>
      <x:c r="G10" s="34" t="n">
        <x:v>1</x:v>
      </x:c>
      <x:c r="H10" s="32" t="n">
        <x:f>IF(E10=0,"",I10/E10)</x:f>
        <x:v>1216.9683949417833</x:v>
      </x:c>
      <x:c r="I10" s="31" t="n">
        <x:f>IF(C10=0,"",SUMIF('Species'!$G$2:$G$44,A10,'Species'!$U$2:$U$44))</x:f>
        <x:v>1075244.3514197546</x:v>
      </x:c>
      <x:c r="J10" s="32" t="n">
        <x:v>4.0117527841656</x:v>
      </x:c>
      <x:c r="K10" s="32" t="n">
        <x:f>IF(J10="","",(1/'Metadata'!$B$5)^(J10-1))</x:f>
        <x:v>1027.431281282073</x:v>
      </x:c>
      <x:c r="L10" s="31" t="n">
        <x:f>IF(E10=0,"",E10*K10)</x:f>
        <x:v>907780.0921225714</x:v>
      </x:c>
      <x:c r="M10" s="31" t="n">
        <x:f>IF(E10=0,"",I10-L10)</x:f>
        <x:v>167464.25929718313</x:v>
      </x:c>
      <x:c r="N10" s="32" t="n">
        <x:f>IF(L10=0,"",I10/L10)</x:f>
        <x:v>1.1844766819083004</x:v>
      </x:c>
      <x:c r="O10" s="34" t="n">
        <x:f>IF(L10=0,"",M10/L10)</x:f>
        <x:v>0.18447668190830027</x:v>
      </x:c>
    </x:row>
    <x:row r="11" ht="18" customHeight="1">
      <x:c r="A11" s="24" t="str">
        <x:v>Other demersal invertebrates</x:v>
      </x:c>
      <x:c r="B11" s="33" t="n">
        <x:v>3</x:v>
      </x:c>
      <x:c r="C11" s="33" t="n">
        <x:v>3</x:v>
      </x:c>
      <x:c r="D11" s="31" t="n">
        <x:v>4680.845815029999</x:v>
      </x:c>
      <x:c r="E11" s="31" t="n">
        <x:v>4680.845815029999</x:v>
      </x:c>
      <x:c r="F11" s="32" t="n">
        <x:v>0</x:v>
      </x:c>
      <x:c r="G11" s="34" t="n">
        <x:v>1</x:v>
      </x:c>
      <x:c r="H11" s="32" t="n">
        <x:f>IF(E11=0,"",I11/E11)</x:f>
        <x:v>14.929482717670655</x:v>
      </x:c>
      <x:c r="I11" s="31" t="n">
        <x:f>IF(C11=0,"",SUMIF('Species'!$G$2:$G$44,A11,'Species'!$U$2:$U$44))</x:f>
        <x:v>69882.60669957139</x:v>
      </x:c>
      <x:c r="J11" s="32" t="n">
        <x:v>2.170658410128572</x:v>
      </x:c>
      <x:c r="K11" s="32" t="n">
        <x:f>IF(J11="","",(1/'Metadata'!$B$5)^(J11-1))</x:f>
        <x:v>14.813524842038438</x:v>
      </x:c>
      <x:c r="L11" s="31" t="n">
        <x:f>IF(E11=0,"",E11*K11)</x:f>
        <x:v>69339.82576269856</x:v>
      </x:c>
      <x:c r="M11" s="31" t="n">
        <x:f>IF(E11=0,"",I11-L11)</x:f>
        <x:v>542.780936872834</x:v>
      </x:c>
      <x:c r="N11" s="32" t="n">
        <x:f>IF(L11=0,"",I11/L11)</x:f>
        <x:v>1.0078278381998016</x:v>
      </x:c>
      <x:c r="O11" s="34" t="n">
        <x:f>IF(L11=0,"",M11/L11)</x:f>
        <x:v>0.00782783819980153</x:v>
      </x:c>
    </x:row>
    <x:row r="12" ht="18" customHeight="1">
      <x:c r="A12" s="24" t="str">
        <x:v>Small reef assoc. fish (&lt;30 cm)</x:v>
      </x:c>
      <x:c r="B12" s="33" t="n">
        <x:v>1</x:v>
      </x:c>
      <x:c r="C12" s="33" t="n">
        <x:v>1</x:v>
      </x:c>
      <x:c r="D12" s="31" t="n">
        <x:v>6.853724828</x:v>
      </x:c>
      <x:c r="E12" s="31" t="n">
        <x:v>6.853724828</x:v>
      </x:c>
      <x:c r="F12" s="32" t="n">
        <x:v>0</x:v>
      </x:c>
      <x:c r="G12" s="34" t="n">
        <x:v>1</x:v>
      </x:c>
      <x:c r="H12" s="32" t="n">
        <x:f>IF(E12=0,"",I12/E12)</x:f>
        <x:v>177.82794100389228</x:v>
      </x:c>
      <x:c r="I12" s="31" t="n">
        <x:f>IF(C12=0,"",SUMIF('Species'!$G$2:$G$44,A12,'Species'!$U$2:$U$44))</x:f>
        <x:v>1218.7837743704956</x:v>
      </x:c>
      <x:c r="J12" s="32" t="n">
        <x:v>3.2499999999999996</x:v>
      </x:c>
      <x:c r="K12" s="32" t="n">
        <x:f>IF(J12="","",(1/'Metadata'!$B$5)^(J12-1))</x:f>
        <x:v>177.8279410038921</x:v>
      </x:c>
      <x:c r="L12" s="31" t="n">
        <x:f>IF(E12=0,"",E12*K12)</x:f>
        <x:v>1218.7837743704945</x:v>
      </x:c>
      <x:c r="M12" s="31" t="n">
        <x:f>IF(E12=0,"",I12-L12)</x:f>
        <x:v>1.1368683772161603e-12</x:v>
      </x:c>
      <x:c r="N12" s="32" t="n">
        <x:f>IF(L12=0,"",I12/L12)</x:f>
        <x:v>1.0000000000000009</x:v>
      </x:c>
      <x:c r="O12" s="34" t="n">
        <x:f>IF(L12=0,"",M12/L12)</x:f>
        <x:v>9.32789229002787e-16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da00d61569442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EEZ_044</x:v>
      </x:c>
      <x:c r="B2" s="24" t="str">
        <x:v>raw_filtered_tonnes</x:v>
      </x:c>
      <x:c r="C2" s="24" t="n">
        <x:v>18392.7135678369</x:v>
      </x:c>
      <x:c r="D2" s="24" t="str">
        <x:v>tonnes</x:v>
      </x:c>
    </x:row>
    <x:row r="3" ht="18" customHeight="1">
      <x:c r="A3" s="24" t="str">
        <x:v>EEZ_044</x:v>
      </x:c>
      <x:c r="B3" s="24" t="str">
        <x:v>species_catch_tonnes</x:v>
      </x:c>
      <x:c r="C3" s="24" t="n">
        <x:v>18392.7135678369</x:v>
      </x:c>
      <x:c r="D3" s="24" t="str">
        <x:v>tonnes</x:v>
      </x:c>
    </x:row>
    <x:row r="4" ht="18" customHeight="1">
      <x:c r="A4" s="24" t="str">
        <x:v>EEZ_044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EEZ_044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EEZ_044</x:v>
      </x:c>
      <x:c r="B6" s="24" t="str">
        <x:v>matched_catch_tonnes</x:v>
      </x:c>
      <x:c r="C6" s="24" t="n">
        <x:v>18392.7135678369</x:v>
      </x:c>
      <x:c r="D6" s="24" t="str">
        <x:v>tonnes</x:v>
      </x:c>
    </x:row>
    <x:row r="7" ht="18" customHeight="1">
      <x:c r="A7" s="24" t="str">
        <x:v>EEZ_044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EEZ_044</x:v>
      </x:c>
      <x:c r="B8" s="24" t="str">
        <x:v>taxa_count</x:v>
      </x:c>
      <x:c r="C8" s="24" t="n">
        <x:v>43</x:v>
      </x:c>
      <x:c r="D8" s="24" t="str">
        <x:v>count</x:v>
      </x:c>
    </x:row>
    <x:row r="9" ht="18" customHeight="1">
      <x:c r="A9" s="24" t="str">
        <x:v>EEZ_044</x:v>
      </x:c>
      <x:c r="B9" s="24" t="str">
        <x:v>matched_taxa_count</x:v>
      </x:c>
      <x:c r="C9" s="24" t="n">
        <x:v>43</x:v>
      </x:c>
      <x:c r="D9" s="24" t="str">
        <x:v>count</x:v>
      </x:c>
    </x:row>
    <x:row r="10" ht="18" customHeight="1">
      <x:c r="A10" s="24" t="str">
        <x:v>EEZ_044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EEZ_044</x:v>
      </x:c>
      <x:c r="B11" s="24" t="str">
        <x:v>species_ppr</x:v>
      </x:c>
      <x:c r="C11" s="24" t="n">
        <x:v>14068447.015522763</x:v>
      </x:c>
      <x:c r="D11" s="24" t="str">
        <x:v>tonnes_primary_production_equivalent</x:v>
      </x:c>
    </x:row>
    <x:row r="12" ht="18" customHeight="1">
      <x:c r="A12" s="24" t="str">
        <x:v>EEZ_044</x:v>
      </x:c>
      <x:c r="B12" s="24" t="str">
        <x:v>commercial_ppr</x:v>
      </x:c>
      <x:c r="C12" s="24" t="n">
        <x:v>14068447.015522767</x:v>
      </x:c>
      <x:c r="D12" s="24" t="str">
        <x:v>tonnes_primary_production_equivalent</x:v>
      </x:c>
    </x:row>
    <x:row r="13" ht="18" customHeight="1">
      <x:c r="A13" s="24" t="str">
        <x:v>EEZ_044</x:v>
      </x:c>
      <x:c r="B13" s="24" t="str">
        <x:v>functional_ppr</x:v>
      </x:c>
      <x:c r="C13" s="24" t="n">
        <x:v>14068447.015522765</x:v>
      </x:c>
      <x:c r="D13" s="24" t="str">
        <x:v>tonnes_primary_production_equivalent</x:v>
      </x:c>
    </x:row>
    <x:row r="14" ht="18" customHeight="1">
      <x:c r="A14" s="24" t="str">
        <x:v>EEZ_044</x:v>
      </x:c>
      <x:c r="B14" s="24" t="str">
        <x:v>commercial_ppr_difference</x:v>
      </x:c>
      <x:c r="C14" s="24" t="n">
        <x:v>3.725290298461914e-9</x:v>
      </x:c>
      <x:c r="D14" s="24" t="str">
        <x:v>tonnes_primary_production_equivalent</x:v>
      </x:c>
    </x:row>
    <x:row r="15" ht="18" customHeight="1">
      <x:c r="A15" s="24" t="str">
        <x:v>EEZ_044</x:v>
      </x:c>
      <x:c r="B15" s="24" t="str">
        <x:v>functional_ppr_difference</x:v>
      </x:c>
      <x:c r="C15" s="24" t="n">
        <x:v>1.862645149230957e-9</x:v>
      </x:c>
      <x:c r="D15" s="24" t="str">
        <x:v>tonnes_primary_production_equivalent</x:v>
      </x:c>
    </x:row>
    <x:row r="16" ht="18" customHeight="1">
      <x:c r="A16" s="24" t="str">
        <x:v>EEZ_044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EEZ_044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EEZ_044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EEZ_044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88c050d496148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EEZ_044 - Bahamas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EEZ_044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raw_data/SAU_downloads/EEZ_044-catch.zip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