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f4481bd12946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57f2b6dc52724384"/>
    <x:sheet xmlns:r="http://schemas.openxmlformats.org/officeDocument/2006/relationships" name="Commercial" sheetId="2" r:id="R139d13cff7414968"/>
    <x:sheet xmlns:r="http://schemas.openxmlformats.org/officeDocument/2006/relationships" name="Functional" sheetId="3" r:id="R7dd42dd83aa4407c"/>
    <x:sheet xmlns:r="http://schemas.openxmlformats.org/officeDocument/2006/relationships" name="Missing TL" sheetId="4" r:id="Rab868a1a46f14d97"/>
    <x:sheet xmlns:r="http://schemas.openxmlformats.org/officeDocument/2006/relationships" name="Validation" sheetId="5" r:id="Rce94dd2631a641ca"/>
    <x:sheet xmlns:r="http://schemas.openxmlformats.org/officeDocument/2006/relationships" name="Metadata" sheetId="6" r:id="R1ace2494e0b448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e567c46c514972" /><Relationship Type="http://schemas.openxmlformats.org/officeDocument/2006/relationships/theme" Target="/xl/theme/theme1.xml" Id="R0cea1252df01472c" /><Relationship Type="http://schemas.microsoft.com/office/2022/11/relationships/FeaturePropertyBag" Target="/xl/featurePropertyBag/featurePropertyBag.xml" Id="Rd6c1d27348ce450a" /><Relationship Type="http://schemas.openxmlformats.org/officeDocument/2006/relationships/sharedStrings" Target="/xl/sharedStrings.xml" Id="R7e839226e0e44c80" /><Relationship Type="http://schemas.openxmlformats.org/officeDocument/2006/relationships/worksheet" Target="/xl/worksheets/sheet1.xml" Id="R57f2b6dc52724384" /><Relationship Type="http://schemas.openxmlformats.org/officeDocument/2006/relationships/worksheet" Target="/xl/worksheets/sheet2.xml" Id="R139d13cff7414968" /><Relationship Type="http://schemas.openxmlformats.org/officeDocument/2006/relationships/worksheet" Target="/xl/worksheets/sheet3.xml" Id="R7dd42dd83aa4407c" /><Relationship Type="http://schemas.openxmlformats.org/officeDocument/2006/relationships/worksheet" Target="/xl/worksheets/sheet4.xml" Id="Rab868a1a46f14d97" /><Relationship Type="http://schemas.openxmlformats.org/officeDocument/2006/relationships/worksheet" Target="/xl/worksheets/sheet5.xml" Id="Rce94dd2631a641ca" /><Relationship Type="http://schemas.openxmlformats.org/officeDocument/2006/relationships/worksheet" Target="/xl/worksheets/sheet6.xml" Id="R1ace2494e0b4483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393SpeciesTable" displayName="EEZ393SpeciesTable" ref="A1:U30" headerRowCount="1" totalsRowCount="0" totalsRowShown="0">
  <x:autoFilter ref="A1:U3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393CommercialTable" displayName="EEZ393CommercialTable" ref="A1:O5" headerRowCount="1" totalsRowCount="0" totalsRowShown="0">
  <x:autoFilter ref="A1:O5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393FunctionalTable" displayName="EEZ393FunctionalTable" ref="A1:O6" headerRowCount="1" totalsRowCount="0" totalsRowShown="0">
  <x:autoFilter ref="A1:O6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393ValidationTable" displayName="EEZ393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882cf5595744fe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424c9a3d11c43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da15f40e5b744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cca5e30fd444b0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EEZ_393</x:v>
      </x:c>
      <x:c r="B2" s="24" t="str">
        <x:v>Japan (Daito Islands)</x:v>
      </x:c>
      <x:c r="C2" s="24" t="str">
        <x:v>EEZ</x:v>
      </x:c>
      <x:c r="D2" s="30" t="n">
        <x:v>2019</x:v>
      </x:c>
      <x:c r="E2" s="24" t="str">
        <x:v>Thunnus albacares</x:v>
      </x:c>
      <x:c r="F2" s="24" t="str">
        <x:v>Yellowfin tuna</x:v>
      </x:c>
      <x:c r="G2" s="24" t="str">
        <x:v>Large pelagics (&gt;=90 cm)</x:v>
      </x:c>
      <x:c r="H2" s="24" t="str">
        <x:v>Tuna &amp; billfishes</x:v>
      </x:c>
      <x:c r="I2" s="31" t="n">
        <x:v>6496.075328226099</x:v>
      </x:c>
      <x:c r="J2" s="31" t="n">
        <x:v>6488.3372093327</x:v>
      </x:c>
      <x:c r="K2" s="31" t="n">
        <x:v>7.738118893399999</x:v>
      </x:c>
      <x:c r="L2" s="31" t="n">
        <x:v>6488.3372093327</x:v>
      </x:c>
      <x:c r="M2" s="31" t="n">
        <x:v>7.738118893399999</x:v>
      </x:c>
      <x:c r="N2" s="24" t="str">
        <x:v>thunnus albacares</x:v>
      </x:c>
      <x:c r="O2" s="32" t="n">
        <x:v>4.41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albacares</x:v>
      </x:c>
      <x:c r="T2" s="32" t="n">
        <x:f>IF(O2="","",(1/'Metadata'!$B$5)^(O2-1))</x:f>
        <x:v>2570.3957827688646</x:v>
      </x:c>
      <x:c r="U2" s="31" t="n">
        <x:f>IF(T2="","",I2*T2)</x:f>
        <x:v>16697484.628221234</x:v>
      </x:c>
    </x:row>
    <x:row r="3" ht="18" customHeight="1">
      <x:c r="A3" s="24" t="str">
        <x:v>EEZ_393</x:v>
      </x:c>
      <x:c r="B3" s="24" t="str">
        <x:v>Japan (Daito Islands)</x:v>
      </x:c>
      <x:c r="C3" s="24" t="str">
        <x:v>EEZ</x:v>
      </x:c>
      <x:c r="D3" s="30" t="n">
        <x:v>2019</x:v>
      </x:c>
      <x:c r="E3" s="24" t="str">
        <x:v>Scomber</x:v>
      </x:c>
      <x:c r="F3" s="24" t="str">
        <x:v>Chub mackerels</x:v>
      </x:c>
      <x:c r="G3" s="24" t="str">
        <x:v>Medium pelagics (30 - 89 cm)</x:v>
      </x:c>
      <x:c r="H3" s="24" t="str">
        <x:v>Perch-likes</x:v>
      </x:c>
      <x:c r="I3" s="31" t="n">
        <x:v>3910.1737091733</x:v>
      </x:c>
      <x:c r="J3" s="31" t="n">
        <x:v>3910.1737091733</x:v>
      </x:c>
      <x:c r="K3" s="31" t="n">
        <x:v>0</x:v>
      </x:c>
      <x:c r="L3" s="31" t="n">
        <x:v>2364.8786179191</x:v>
      </x:c>
      <x:c r="M3" s="31" t="n">
        <x:v>1545.2950912541999</x:v>
      </x:c>
      <x:c r="N3" s="24" t="str">
        <x:v>scomber</x:v>
      </x:c>
      <x:c r="O3" s="32" t="n">
        <x:v>3.65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Scomber</x:v>
      </x:c>
      <x:c r="T3" s="32" t="n">
        <x:f>IF(O3="","",(1/'Metadata'!$B$5)^(O3-1))</x:f>
        <x:v>446.683592150963</x:v>
      </x:c>
      <x:c r="U3" s="31" t="n">
        <x:f>IF(T3="","",I3*T3)</x:f>
        <x:v>1746610.4383477846</x:v>
      </x:c>
    </x:row>
    <x:row r="4" ht="18" customHeight="1">
      <x:c r="A4" s="24" t="str">
        <x:v>EEZ_393</x:v>
      </x:c>
      <x:c r="B4" s="24" t="str">
        <x:v>Japan (Daito Islands)</x:v>
      </x:c>
      <x:c r="C4" s="24" t="str">
        <x:v>EEZ</x:v>
      </x:c>
      <x:c r="D4" s="30" t="n">
        <x:v>2019</x:v>
      </x:c>
      <x:c r="E4" s="24" t="str">
        <x:v>Elasmobranchii</x:v>
      </x:c>
      <x:c r="F4" s="24" t="str">
        <x:v>Sharks, rays, skates</x:v>
      </x:c>
      <x:c r="G4" s="24" t="str">
        <x:v>Large sharks (&gt;=90 cm)</x:v>
      </x:c>
      <x:c r="H4" s="24" t="str">
        <x:v>Sharks &amp; rays</x:v>
      </x:c>
      <x:c r="I4" s="31" t="n">
        <x:v>1956.0068667656</x:v>
      </x:c>
      <x:c r="J4" s="31" t="n">
        <x:v>1955.8814059238</x:v>
      </x:c>
      <x:c r="K4" s="31" t="n">
        <x:v>0.1254608418</x:v>
      </x:c>
      <x:c r="L4" s="31" t="n">
        <x:v>1427.2475633413</x:v>
      </x:c>
      <x:c r="M4" s="31" t="n">
        <x:v>528.7593034243</x:v>
      </x:c>
      <x:c r="N4" s="24" t="str">
        <x:v>elasmobranchii</x:v>
      </x:c>
      <x:c r="O4" s="32" t="n">
        <x:v>4.05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Elasmobranchii</x:v>
      </x:c>
      <x:c r="T4" s="32" t="n">
        <x:f>IF(O4="","",(1/'Metadata'!$B$5)^(O4-1))</x:f>
        <x:v>1122.018454301963</x:v>
      </x:c>
      <x:c r="U4" s="31" t="n">
        <x:f>IF(T4="","",I4*T4)</x:f>
        <x:v>2194675.801252364</x:v>
      </x:c>
    </x:row>
    <x:row r="5" ht="18" customHeight="1">
      <x:c r="A5" s="24" t="str">
        <x:v>EEZ_393</x:v>
      </x:c>
      <x:c r="B5" s="24" t="str">
        <x:v>Japan (Daito Islands)</x:v>
      </x:c>
      <x:c r="C5" s="24" t="str">
        <x:v>EEZ</x:v>
      </x:c>
      <x:c r="D5" s="30" t="n">
        <x:v>2019</x:v>
      </x:c>
      <x:c r="E5" s="24" t="str">
        <x:v>Cololabis saira</x:v>
      </x:c>
      <x:c r="F5" s="24" t="str">
        <x:v>Pacific saury</x:v>
      </x:c>
      <x:c r="G5" s="24" t="str">
        <x:v>Medium pelagics (30 - 89 cm)</x:v>
      </x:c>
      <x:c r="H5" s="24" t="str">
        <x:v>Other fishes &amp; inverts</x:v>
      </x:c>
      <x:c r="I5" s="31" t="n">
        <x:v>1791.3078677201</x:v>
      </x:c>
      <x:c r="J5" s="31" t="n">
        <x:v>1541.0706348244</x:v>
      </x:c>
      <x:c r="K5" s="31" t="n">
        <x:v>250.2372328957</x:v>
      </x:c>
      <x:c r="L5" s="31" t="n">
        <x:v>765.3531042531</x:v>
      </x:c>
      <x:c r="M5" s="31" t="n">
        <x:v>1025.954763467</x:v>
      </x:c>
      <x:c r="N5" s="24" t="str">
        <x:v>cololabis saira</x:v>
      </x:c>
      <x:c r="O5" s="32" t="n">
        <x:v>3.71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Cololabis saira</x:v>
      </x:c>
      <x:c r="T5" s="32" t="n">
        <x:f>IF(O5="","",(1/'Metadata'!$B$5)^(O5-1))</x:f>
        <x:v>512.8613839913648</x:v>
      </x:c>
      <x:c r="U5" s="31" t="n">
        <x:f>IF(T5="","",I5*T5)</x:f>
        <x:v>918692.6321935512</x:v>
      </x:c>
    </x:row>
    <x:row r="6" ht="18" customHeight="1">
      <x:c r="A6" s="24" t="str">
        <x:v>EEZ_393</x:v>
      </x:c>
      <x:c r="B6" s="24" t="str">
        <x:v>Japan (Daito Islands)</x:v>
      </x:c>
      <x:c r="C6" s="24" t="str">
        <x:v>EEZ</x:v>
      </x:c>
      <x:c r="D6" s="30" t="n">
        <x:v>2019</x:v>
      </x:c>
      <x:c r="E6" s="24" t="str">
        <x:v>Katsuwonus pelamis</x:v>
      </x:c>
      <x:c r="F6" s="24" t="str">
        <x:v>Skipjack tuna</x:v>
      </x:c>
      <x:c r="G6" s="24" t="str">
        <x:v>Large pelagics (&gt;=90 cm)</x:v>
      </x:c>
      <x:c r="H6" s="24" t="str">
        <x:v>Tuna &amp; billfishes</x:v>
      </x:c>
      <x:c r="I6" s="31" t="n">
        <x:v>1299.3887764195</x:v>
      </x:c>
      <x:c r="J6" s="31" t="n">
        <x:v>1278.7057593716</x:v>
      </x:c>
      <x:c r="K6" s="31" t="n">
        <x:v>20.683017047899998</x:v>
      </x:c>
      <x:c r="L6" s="31" t="n">
        <x:v>1278.7057593716</x:v>
      </x:c>
      <x:c r="M6" s="31" t="n">
        <x:v>20.683017047899998</x:v>
      </x:c>
      <x:c r="N6" s="24" t="str">
        <x:v>katsuwonus pelamis</x:v>
      </x:c>
      <x:c r="O6" s="32" t="n">
        <x:v>4.43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Katsuwonus pelamis</x:v>
      </x:c>
      <x:c r="T6" s="32" t="n">
        <x:f>IF(O6="","",(1/'Metadata'!$B$5)^(O6-1))</x:f>
        <x:v>2691.534803926914</x:v>
      </x:c>
      <x:c r="U6" s="31" t="n">
        <x:f>IF(T6="","",I6*T6)</x:f>
        <x:v>3497350.115565091</x:v>
      </x:c>
    </x:row>
    <x:row r="7" ht="18" customHeight="1">
      <x:c r="A7" s="24" t="str">
        <x:v>EEZ_393</x:v>
      </x:c>
      <x:c r="B7" s="24" t="str">
        <x:v>Japan (Daito Islands)</x:v>
      </x:c>
      <x:c r="C7" s="24" t="str">
        <x:v>EEZ</x:v>
      </x:c>
      <x:c r="D7" s="30" t="n">
        <x:v>2019</x:v>
      </x:c>
      <x:c r="E7" s="24" t="str">
        <x:v>Coryphaena hippurus</x:v>
      </x:c>
      <x:c r="F7" s="24" t="str">
        <x:v>Common dolphinfish</x:v>
      </x:c>
      <x:c r="G7" s="24" t="str">
        <x:v>Large pelagics (&gt;=90 cm)</x:v>
      </x:c>
      <x:c r="H7" s="24" t="str">
        <x:v>Perch-likes</x:v>
      </x:c>
      <x:c r="I7" s="31" t="n">
        <x:v>1064.7139808642</x:v>
      </x:c>
      <x:c r="J7" s="31" t="n">
        <x:v>1061.6563952978</x:v>
      </x:c>
      <x:c r="K7" s="31" t="n">
        <x:v>3.0575855664</x:v>
      </x:c>
      <x:c r="L7" s="31" t="n">
        <x:v>544.0935027915</x:v>
      </x:c>
      <x:c r="M7" s="31" t="n">
        <x:v>520.6204780727</x:v>
      </x:c>
      <x:c r="N7" s="24" t="str">
        <x:v>coryphaena hippurus</x:v>
      </x:c>
      <x:c r="O7" s="32" t="n">
        <x:v>4.37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Coryphaena hippurus</x:v>
      </x:c>
      <x:c r="T7" s="32" t="n">
        <x:f>IF(O7="","",(1/'Metadata'!$B$5)^(O7-1))</x:f>
        <x:v>2344.228815319923</x:v>
      </x:c>
      <x:c r="U7" s="31" t="n">
        <x:f>IF(T7="","",I7*T7)</x:f>
        <x:v>2495933.194015843</x:v>
      </x:c>
    </x:row>
    <x:row r="8" ht="18" customHeight="1">
      <x:c r="A8" s="24" t="str">
        <x:v>EEZ_393</x:v>
      </x:c>
      <x:c r="B8" s="24" t="str">
        <x:v>Japan (Daito Islands)</x:v>
      </x:c>
      <x:c r="C8" s="24" t="str">
        <x:v>EEZ</x:v>
      </x:c>
      <x:c r="D8" s="30" t="n">
        <x:v>2019</x:v>
      </x:c>
      <x:c r="E8" s="24" t="str">
        <x:v>Marine fishes not identified</x:v>
      </x:c>
      <x:c r="F8" s="24" t="str">
        <x:v>Marine fishes nei</x:v>
      </x:c>
      <x:c r="G8" s="24" t="str">
        <x:v>Medium demersals (30 - 89 cm)</x:v>
      </x:c>
      <x:c r="H8" s="24" t="str">
        <x:v>Other fishes &amp; inverts</x:v>
      </x:c>
      <x:c r="I8" s="31" t="n">
        <x:v>446.91319259930003</x:v>
      </x:c>
      <x:c r="J8" s="31" t="n">
        <x:v>403.0199642523</x:v>
      </x:c>
      <x:c r="K8" s="31" t="n">
        <x:v>43.893228347</x:v>
      </x:c>
      <x:c r="L8" s="31" t="n">
        <x:v>255.625875383</x:v>
      </x:c>
      <x:c r="M8" s="31" t="n">
        <x:v>191.2873172163</x:v>
      </x:c>
      <x:c r="N8" s="24" t="str">
        <x:v>marine fishes not identified</x:v>
      </x:c>
      <x:c r="O8" s="32" t="n">
        <x:v>3.28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Marine fishes not identified</x:v>
      </x:c>
      <x:c r="T8" s="32" t="n">
        <x:f>IF(O8="","",(1/'Metadata'!$B$5)^(O8-1))</x:f>
        <x:v>190.54607179632464</x:v>
      </x:c>
      <x:c r="U8" s="31" t="n">
        <x:f>IF(T8="","",I8*T8)</x:f>
        <x:v>85157.55328375088</x:v>
      </x:c>
    </x:row>
    <x:row r="9" ht="18" customHeight="1">
      <x:c r="A9" s="24" t="str">
        <x:v>EEZ_393</x:v>
      </x:c>
      <x:c r="B9" s="24" t="str">
        <x:v>Japan (Daito Islands)</x:v>
      </x:c>
      <x:c r="C9" s="24" t="str">
        <x:v>EEZ</x:v>
      </x:c>
      <x:c r="D9" s="30" t="n">
        <x:v>2019</x:v>
      </x:c>
      <x:c r="E9" s="24" t="str">
        <x:v>Prionace glauca</x:v>
      </x:c>
      <x:c r="F9" s="24" t="str">
        <x:v>Blue shark</x:v>
      </x:c>
      <x:c r="G9" s="24" t="str">
        <x:v>Large sharks (&gt;=90 cm)</x:v>
      </x:c>
      <x:c r="H9" s="24" t="str">
        <x:v>Sharks &amp; rays</x:v>
      </x:c>
      <x:c r="I9" s="31" t="n">
        <x:v>266.3107275216</x:v>
      </x:c>
      <x:c r="J9" s="31" t="n">
        <x:v>191.0331693222</x:v>
      </x:c>
      <x:c r="K9" s="31" t="n">
        <x:v>75.2775581994</x:v>
      </x:c>
      <x:c r="L9" s="31" t="n">
        <x:v>191.0331693222</x:v>
      </x:c>
      <x:c r="M9" s="31" t="n">
        <x:v>75.2775581994</x:v>
      </x:c>
      <x:c r="N9" s="24" t="str">
        <x:v>prionace glauca</x:v>
      </x:c>
      <x:c r="O9" s="32" t="n">
        <x:v>4.35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Prionace glauca</x:v>
      </x:c>
      <x:c r="T9" s="32" t="n">
        <x:f>IF(O9="","",(1/'Metadata'!$B$5)^(O9-1))</x:f>
        <x:v>2238.7211385683377</x:v>
      </x:c>
      <x:c r="U9" s="31" t="n">
        <x:f>IF(T9="","",I9*T9)</x:f>
        <x:v>596195.4551301186</x:v>
      </x:c>
    </x:row>
    <x:row r="10" ht="18" customHeight="1">
      <x:c r="A10" s="24" t="str">
        <x:v>EEZ_393</x:v>
      </x:c>
      <x:c r="B10" s="24" t="str">
        <x:v>Japan (Daito Islands)</x:v>
      </x:c>
      <x:c r="C10" s="24" t="str">
        <x:v>EEZ</x:v>
      </x:c>
      <x:c r="D10" s="30" t="n">
        <x:v>2019</x:v>
      </x:c>
      <x:c r="E10" s="24" t="str">
        <x:v>Thunnus alalunga</x:v>
      </x:c>
      <x:c r="F10" s="24" t="str">
        <x:v>Albacore</x:v>
      </x:c>
      <x:c r="G10" s="24" t="str">
        <x:v>Large pelagics (&gt;=90 cm)</x:v>
      </x:c>
      <x:c r="H10" s="24" t="str">
        <x:v>Tuna &amp; billfishes</x:v>
      </x:c>
      <x:c r="I10" s="31" t="n">
        <x:v>262.6338259635</x:v>
      </x:c>
      <x:c r="J10" s="31" t="n">
        <x:v>260.2530232187</x:v>
      </x:c>
      <x:c r="K10" s="31" t="n">
        <x:v>2.3808027448</x:v>
      </x:c>
      <x:c r="L10" s="31" t="n">
        <x:v>260.2530232187</x:v>
      </x:c>
      <x:c r="M10" s="31" t="n">
        <x:v>2.3808027448</x:v>
      </x:c>
      <x:c r="N10" s="24" t="str">
        <x:v>thunnus alalunga</x:v>
      </x:c>
      <x:c r="O10" s="32" t="n">
        <x:v>4.3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Thunnus alalunga</x:v>
      </x:c>
      <x:c r="T10" s="32" t="n">
        <x:f>IF(O10="","",(1/'Metadata'!$B$5)^(O10-1))</x:f>
        <x:v>1995.2623149688789</x:v>
      </x:c>
      <x:c r="U10" s="31" t="n">
        <x:f>IF(T10="","",I10*T10)</x:f>
        <x:v>524023.37558106665</x:v>
      </x:c>
    </x:row>
    <x:row r="11" ht="18" customHeight="1">
      <x:c r="A11" s="24" t="str">
        <x:v>EEZ_393</x:v>
      </x:c>
      <x:c r="B11" s="24" t="str">
        <x:v>Japan (Daito Islands)</x:v>
      </x:c>
      <x:c r="C11" s="24" t="str">
        <x:v>EEZ</x:v>
      </x:c>
      <x:c r="D11" s="30" t="n">
        <x:v>2019</x:v>
      </x:c>
      <x:c r="E11" s="24" t="str">
        <x:v>Isurus</x:v>
      </x:c>
      <x:c r="F11" s="24" t="str">
        <x:v>Mako sharks</x:v>
      </x:c>
      <x:c r="G11" s="24" t="str">
        <x:v>Large sharks (&gt;=90 cm)</x:v>
      </x:c>
      <x:c r="H11" s="24" t="str">
        <x:v>Sharks &amp; rays</x:v>
      </x:c>
      <x:c r="I11" s="31" t="n">
        <x:v>98.17108471120001</x:v>
      </x:c>
      <x:c r="J11" s="31" t="n">
        <x:v>6.8898639426</x:v>
      </x:c>
      <x:c r="K11" s="31" t="n">
        <x:v>91.28122076860001</x:v>
      </x:c>
      <x:c r="L11" s="31" t="n">
        <x:v>6.8898639426</x:v>
      </x:c>
      <x:c r="M11" s="31" t="n">
        <x:v>91.28122076860001</x:v>
      </x:c>
      <x:c r="N11" s="24" t="str">
        <x:v>isurus</x:v>
      </x:c>
      <x:c r="O11" s="32" t="n">
        <x:v>4.5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Isurus</x:v>
      </x:c>
      <x:c r="T11" s="32" t="n">
        <x:f>IF(O11="","",(1/'Metadata'!$B$5)^(O11-1))</x:f>
        <x:v>3162.2776601683795</x:v>
      </x:c>
      <x:c r="U11" s="31" t="n">
        <x:f>IF(T11="","",I11*T11)</x:f>
        <x:v>310444.22805672535</x:v>
      </x:c>
    </x:row>
    <x:row r="12" ht="18" customHeight="1">
      <x:c r="A12" s="24" t="str">
        <x:v>EEZ_393</x:v>
      </x:c>
      <x:c r="B12" s="24" t="str">
        <x:v>Japan (Daito Islands)</x:v>
      </x:c>
      <x:c r="C12" s="24" t="str">
        <x:v>EEZ</x:v>
      </x:c>
      <x:c r="D12" s="30" t="n">
        <x:v>2019</x:v>
      </x:c>
      <x:c r="E12" s="24" t="str">
        <x:v>Marine pelagic fishes not identified</x:v>
      </x:c>
      <x:c r="F12" s="24" t="str">
        <x:v>Pelagic fishes</x:v>
      </x:c>
      <x:c r="G12" s="24" t="str">
        <x:v>Medium pelagics (30 - 89 cm)</x:v>
      </x:c>
      <x:c r="H12" s="24" t="str">
        <x:v>Other fishes &amp; inverts</x:v>
      </x:c>
      <x:c r="I12" s="31" t="n">
        <x:v>47.5365160688</x:v>
      </x:c>
      <x:c r="J12" s="31" t="n">
        <x:v>38.320964614</x:v>
      </x:c>
      <x:c r="K12" s="31" t="n">
        <x:v>9.2155514548</x:v>
      </x:c>
      <x:c r="L12" s="31" t="n">
        <x:v>38.320964614</x:v>
      </x:c>
      <x:c r="M12" s="31" t="n">
        <x:v>9.2155514548</x:v>
      </x:c>
      <x:c r="N12" s="24" t="str">
        <x:v>marine pelagic fishes not identified</x:v>
      </x:c>
      <x:c r="O12" s="32" t="n">
        <x:v>3.35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Marine pelagic fishes not identified</x:v>
      </x:c>
      <x:c r="T12" s="32" t="n">
        <x:f>IF(O12="","",(1/'Metadata'!$B$5)^(O12-1))</x:f>
        <x:v>223.872113856834</x:v>
      </x:c>
      <x:c r="U12" s="31" t="n">
        <x:f>IF(T12="","",I12*T12)</x:f>
        <x:v>10642.100337711612</x:v>
      </x:c>
    </x:row>
    <x:row r="13" ht="18" customHeight="1">
      <x:c r="A13" s="24" t="str">
        <x:v>EEZ_393</x:v>
      </x:c>
      <x:c r="B13" s="24" t="str">
        <x:v>Japan (Daito Islands)</x:v>
      </x:c>
      <x:c r="C13" s="24" t="str">
        <x:v>EEZ</x:v>
      </x:c>
      <x:c r="D13" s="30" t="n">
        <x:v>2019</x:v>
      </x:c>
      <x:c r="E13" s="24" t="str">
        <x:v>Alopias</x:v>
      </x:c>
      <x:c r="F13" s="24" t="str">
        <x:v>Thresher sharks</x:v>
      </x:c>
      <x:c r="G13" s="24" t="str">
        <x:v>Large sharks (&gt;=90 cm)</x:v>
      </x:c>
      <x:c r="H13" s="24" t="str">
        <x:v>Sharks &amp; rays</x:v>
      </x:c>
      <x:c r="I13" s="31" t="n">
        <x:v>43.3517940413</x:v>
      </x:c>
      <x:c r="J13" s="31" t="n">
        <x:v>43.1576379509</x:v>
      </x:c>
      <x:c r="K13" s="31" t="n">
        <x:v>0.1941560904</x:v>
      </x:c>
      <x:c r="L13" s="31" t="n">
        <x:v>43.1576379509</x:v>
      </x:c>
      <x:c r="M13" s="31" t="n">
        <x:v>0.1941560904</x:v>
      </x:c>
      <x:c r="N13" s="24" t="str">
        <x:v>alopias</x:v>
      </x:c>
      <x:c r="O13" s="32" t="n">
        <x:v>4.5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Alopias</x:v>
      </x:c>
      <x:c r="T13" s="32" t="n">
        <x:f>IF(O13="","",(1/'Metadata'!$B$5)^(O13-1))</x:f>
        <x:v>3162.2776601683795</x:v>
      </x:c>
      <x:c r="U13" s="31" t="n">
        <x:f>IF(T13="","",I13*T13)</x:f>
        <x:v>137090.40982502367</x:v>
      </x:c>
    </x:row>
    <x:row r="14" ht="18" customHeight="1">
      <x:c r="A14" s="24" t="str">
        <x:v>EEZ_393</x:v>
      </x:c>
      <x:c r="B14" s="24" t="str">
        <x:v>Japan (Daito Islands)</x:v>
      </x:c>
      <x:c r="C14" s="24" t="str">
        <x:v>EEZ</x:v>
      </x:c>
      <x:c r="D14" s="30" t="n">
        <x:v>2019</x:v>
      </x:c>
      <x:c r="E14" s="24" t="str">
        <x:v>Thunnus obesus</x:v>
      </x:c>
      <x:c r="F14" s="24" t="str">
        <x:v>Bigeye tuna</x:v>
      </x:c>
      <x:c r="G14" s="24" t="str">
        <x:v>Large pelagics (&gt;=90 cm)</x:v>
      </x:c>
      <x:c r="H14" s="24" t="str">
        <x:v>Tuna &amp; billfishes</x:v>
      </x:c>
      <x:c r="I14" s="31" t="n">
        <x:v>24.5923371595</x:v>
      </x:c>
      <x:c r="J14" s="31" t="n">
        <x:v>23.8509428624</x:v>
      </x:c>
      <x:c r="K14" s="31" t="n">
        <x:v>0.7413942971</x:v>
      </x:c>
      <x:c r="L14" s="31" t="n">
        <x:v>23.8509428624</x:v>
      </x:c>
      <x:c r="M14" s="31" t="n">
        <x:v>0.7413942971</x:v>
      </x:c>
      <x:c r="N14" s="24" t="str">
        <x:v>thunnus obesus</x:v>
      </x:c>
      <x:c r="O14" s="32" t="n">
        <x:v>4.49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Thunnus obesus</x:v>
      </x:c>
      <x:c r="T14" s="32" t="n">
        <x:f>IF(O14="","",(1/'Metadata'!$B$5)^(O14-1))</x:f>
        <x:v>3090.295432513592</x:v>
      </x:c>
      <x:c r="U14" s="31" t="n">
        <x:f>IF(T14="","",I14*T14)</x:f>
        <x:v>75997.58719883714</x:v>
      </x:c>
    </x:row>
    <x:row r="15" ht="18" customHeight="1">
      <x:c r="A15" s="24" t="str">
        <x:v>EEZ_393</x:v>
      </x:c>
      <x:c r="B15" s="24" t="str">
        <x:v>Japan (Daito Islands)</x:v>
      </x:c>
      <x:c r="C15" s="24" t="str">
        <x:v>EEZ</x:v>
      </x:c>
      <x:c r="D15" s="30" t="n">
        <x:v>2019</x:v>
      </x:c>
      <x:c r="E15" s="24" t="str">
        <x:v>Xiphias gladius</x:v>
      </x:c>
      <x:c r="F15" s="24" t="str">
        <x:v>Swordfish</x:v>
      </x:c>
      <x:c r="G15" s="24" t="str">
        <x:v>Large pelagics (&gt;=90 cm)</x:v>
      </x:c>
      <x:c r="H15" s="24" t="str">
        <x:v>Tuna &amp; billfishes</x:v>
      </x:c>
      <x:c r="I15" s="31" t="n">
        <x:v>23.0315856373</x:v>
      </x:c>
      <x:c r="J15" s="31" t="n">
        <x:v>11.5819829268</x:v>
      </x:c>
      <x:c r="K15" s="31" t="n">
        <x:v>11.4496027105</x:v>
      </x:c>
      <x:c r="L15" s="31" t="n">
        <x:v>11.5819829268</x:v>
      </x:c>
      <x:c r="M15" s="31" t="n">
        <x:v>11.4496027105</x:v>
      </x:c>
      <x:c r="N15" s="24" t="str">
        <x:v>xiphias gladius</x:v>
      </x:c>
      <x:c r="O15" s="32" t="n">
        <x:v>4.53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Xiphias gladius</x:v>
      </x:c>
      <x:c r="T15" s="32" t="n">
        <x:f>IF(O15="","",(1/'Metadata'!$B$5)^(O15-1))</x:f>
        <x:v>3388.4415613920273</x:v>
      </x:c>
      <x:c r="U15" s="31" t="n">
        <x:f>IF(T15="","",I15*T15)</x:f>
        <x:v>78041.181998187</x:v>
      </x:c>
    </x:row>
    <x:row r="16" ht="18" customHeight="1">
      <x:c r="A16" s="24" t="str">
        <x:v>EEZ_393</x:v>
      </x:c>
      <x:c r="B16" s="24" t="str">
        <x:v>Japan (Daito Islands)</x:v>
      </x:c>
      <x:c r="C16" s="24" t="str">
        <x:v>EEZ</x:v>
      </x:c>
      <x:c r="D16" s="30" t="n">
        <x:v>2019</x:v>
      </x:c>
      <x:c r="E16" s="24" t="str">
        <x:v>Teuthida</x:v>
      </x:c>
      <x:c r="F16" s="24" t="str">
        <x:v>Squids</x:v>
      </x:c>
      <x:c r="G16" s="24" t="str">
        <x:v>Cephalopods</x:v>
      </x:c>
      <x:c r="H16" s="24" t="str">
        <x:v>Other fishes &amp; inverts</x:v>
      </x:c>
      <x:c r="I16" s="31" t="n">
        <x:v>16.3571202695</x:v>
      </x:c>
      <x:c r="J16" s="31" t="n">
        <x:v>16.3571202695</x:v>
      </x:c>
      <x:c r="K16" s="31" t="n">
        <x:v>0</x:v>
      </x:c>
      <x:c r="L16" s="31" t="n">
        <x:v>16.3571202695</x:v>
      </x:c>
      <x:c r="M16" s="31" t="n">
        <x:v>0</x:v>
      </x:c>
      <x:c r="N16" s="24" t="str">
        <x:v>teuthida</x:v>
      </x:c>
      <x:c r="O16" s="32" t="n">
        <x:v>4.13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Teuthida</x:v>
      </x:c>
      <x:c r="T16" s="32" t="n">
        <x:f>IF(O16="","",(1/'Metadata'!$B$5)^(O16-1))</x:f>
        <x:v>1348.9628825916532</x:v>
      </x:c>
      <x:c r="U16" s="31" t="n">
        <x:f>IF(T16="","",I16*T16)</x:f>
        <x:v>22065.14810964308</x:v>
      </x:c>
    </x:row>
    <x:row r="17" ht="18" customHeight="1">
      <x:c r="A17" s="24" t="str">
        <x:v>EEZ_393</x:v>
      </x:c>
      <x:c r="B17" s="24" t="str">
        <x:v>Japan (Daito Islands)</x:v>
      </x:c>
      <x:c r="C17" s="24" t="str">
        <x:v>EEZ</x:v>
      </x:c>
      <x:c r="D17" s="30" t="n">
        <x:v>2019</x:v>
      </x:c>
      <x:c r="E17" s="24" t="str">
        <x:v>Mola mola</x:v>
      </x:c>
      <x:c r="F17" s="24" t="str">
        <x:v>Ocean sunfish</x:v>
      </x:c>
      <x:c r="G17" s="24" t="str">
        <x:v>Large pelagics (&gt;=90 cm)</x:v>
      </x:c>
      <x:c r="H17" s="24" t="str">
        <x:v>Other fishes &amp; inverts</x:v>
      </x:c>
      <x:c r="I17" s="31" t="n">
        <x:v>12.2903582843</x:v>
      </x:c>
      <x:c r="J17" s="31" t="n">
        <x:v>12.2903582843</x:v>
      </x:c>
      <x:c r="K17" s="31" t="n">
        <x:v>0</x:v>
      </x:c>
      <x:c r="L17" s="31" t="n">
        <x:v>10.3104008697</x:v>
      </x:c>
      <x:c r="M17" s="31" t="n">
        <x:v>1.9799574145999999</x:v>
      </x:c>
      <x:c r="N17" s="24" t="str">
        <x:v>mola mola</x:v>
      </x:c>
      <x:c r="O17" s="32" t="n">
        <x:v>3.68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Mola mola</x:v>
      </x:c>
      <x:c r="T17" s="32" t="n">
        <x:f>IF(O17="","",(1/'Metadata'!$B$5)^(O17-1))</x:f>
        <x:v>478.6300923226385</x:v>
      </x:c>
      <x:c r="U17" s="31" t="n">
        <x:f>IF(T17="","",I17*T17)</x:f>
        <x:v>5882.5353202928145</x:v>
      </x:c>
    </x:row>
    <x:row r="18" ht="18" customHeight="1">
      <x:c r="A18" s="24" t="str">
        <x:v>EEZ_393</x:v>
      </x:c>
      <x:c r="B18" s="24" t="str">
        <x:v>Japan (Daito Islands)</x:v>
      </x:c>
      <x:c r="C18" s="24" t="str">
        <x:v>EEZ</x:v>
      </x:c>
      <x:c r="D18" s="30" t="n">
        <x:v>2019</x:v>
      </x:c>
      <x:c r="E18" s="24" t="str">
        <x:v>Thunnus orientalis</x:v>
      </x:c>
      <x:c r="F18" s="24" t="str">
        <x:v>Pacific bluefin tuna</x:v>
      </x:c>
      <x:c r="G18" s="24" t="str">
        <x:v>Large pelagics (&gt;=90 cm)</x:v>
      </x:c>
      <x:c r="H18" s="24" t="str">
        <x:v>Tuna &amp; billfishes</x:v>
      </x:c>
      <x:c r="I18" s="31" t="n">
        <x:v>12.2510129654</x:v>
      </x:c>
      <x:c r="J18" s="31" t="n">
        <x:v>12.1783418349</x:v>
      </x:c>
      <x:c r="K18" s="31" t="n">
        <x:v>0.0726711305</x:v>
      </x:c>
      <x:c r="L18" s="31" t="n">
        <x:v>12.1783418349</x:v>
      </x:c>
      <x:c r="M18" s="31" t="n">
        <x:v>0.0726711305</x:v>
      </x:c>
      <x:c r="N18" s="24" t="str">
        <x:v>thunnus orientalis</x:v>
      </x:c>
      <x:c r="O18" s="32" t="n">
        <x:v>4.05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Thunnus orientalis</x:v>
      </x:c>
      <x:c r="T18" s="32" t="n">
        <x:f>IF(O18="","",(1/'Metadata'!$B$5)^(O18-1))</x:f>
        <x:v>1122.018454301963</x:v>
      </x:c>
      <x:c r="U18" s="31" t="n">
        <x:f>IF(T18="","",I18*T18)</x:f>
        <x:v>13745.862631071415</x:v>
      </x:c>
    </x:row>
    <x:row r="19" ht="18" customHeight="1">
      <x:c r="A19" s="24" t="str">
        <x:v>EEZ_393</x:v>
      </x:c>
      <x:c r="B19" s="24" t="str">
        <x:v>Japan (Daito Islands)</x:v>
      </x:c>
      <x:c r="C19" s="24" t="str">
        <x:v>EEZ</x:v>
      </x:c>
      <x:c r="D19" s="30" t="n">
        <x:v>2019</x:v>
      </x:c>
      <x:c r="E19" s="24" t="str">
        <x:v>Scombridae</x:v>
      </x:c>
      <x:c r="F19" s="24" t="str">
        <x:v>Mackerels, tunas, bonitos</x:v>
      </x:c>
      <x:c r="G19" s="24" t="str">
        <x:v>Medium pelagics (30 - 89 cm)</x:v>
      </x:c>
      <x:c r="H19" s="24" t="str">
        <x:v>Perch-likes</x:v>
      </x:c>
      <x:c r="I19" s="31" t="n">
        <x:v>10.2722746691</x:v>
      </x:c>
      <x:c r="J19" s="31" t="n">
        <x:v>0</x:v>
      </x:c>
      <x:c r="K19" s="31" t="n">
        <x:v>10.2722746691</x:v>
      </x:c>
      <x:c r="L19" s="31" t="n">
        <x:v>0</x:v>
      </x:c>
      <x:c r="M19" s="31" t="n">
        <x:v>10.2722746691</x:v>
      </x:c>
      <x:c r="N19" s="24" t="str">
        <x:v>scombridae</x:v>
      </x:c>
      <x:c r="O19" s="32" t="n">
        <x:v>4.26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Scombridae</x:v>
      </x:c>
      <x:c r="T19" s="32" t="n">
        <x:f>IF(O19="","",(1/'Metadata'!$B$5)^(O19-1))</x:f>
        <x:v>1819.7008586099826</x:v>
      </x:c>
      <x:c r="U19" s="31" t="n">
        <x:f>IF(T19="","",I19*T19)</x:f>
        <x:v>18692.467035238846</x:v>
      </x:c>
    </x:row>
    <x:row r="20" ht="18" customHeight="1">
      <x:c r="A20" s="24" t="str">
        <x:v>EEZ_393</x:v>
      </x:c>
      <x:c r="B20" s="24" t="str">
        <x:v>Japan (Daito Islands)</x:v>
      </x:c>
      <x:c r="C20" s="24" t="str">
        <x:v>EEZ</x:v>
      </x:c>
      <x:c r="D20" s="30" t="n">
        <x:v>2019</x:v>
      </x:c>
      <x:c r="E20" s="24" t="str">
        <x:v>Kajikia audax</x:v>
      </x:c>
      <x:c r="F20" s="24" t="str">
        <x:v>Striped marlin</x:v>
      </x:c>
      <x:c r="G20" s="24" t="str">
        <x:v>Large pelagics (&gt;=90 cm)</x:v>
      </x:c>
      <x:c r="H20" s="24" t="str">
        <x:v>Tuna &amp; billfishes</x:v>
      </x:c>
      <x:c r="I20" s="31" t="n">
        <x:v>7.1119889487</x:v>
      </x:c>
      <x:c r="J20" s="31" t="n">
        <x:v>7.1119889487</x:v>
      </x:c>
      <x:c r="K20" s="31" t="n">
        <x:v>0</x:v>
      </x:c>
      <x:c r="L20" s="31" t="n">
        <x:v>7.1119889487</x:v>
      </x:c>
      <x:c r="M20" s="31" t="n">
        <x:v>0</x:v>
      </x:c>
      <x:c r="N20" s="24" t="str">
        <x:v>kajikia audax</x:v>
      </x:c>
      <x:c r="O20" s="32" t="n">
        <x:v>4.58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Kajikia audax</x:v>
      </x:c>
      <x:c r="T20" s="32" t="n">
        <x:f>IF(O20="","",(1/'Metadata'!$B$5)^(O20-1))</x:f>
        <x:v>3801.8939632056126</x:v>
      </x:c>
      <x:c r="U20" s="31" t="n">
        <x:f>IF(T20="","",I20*T20)</x:f>
        <x:v>27039.02785044756</x:v>
      </x:c>
    </x:row>
    <x:row r="21" ht="18" customHeight="1">
      <x:c r="A21" s="24" t="str">
        <x:v>EEZ_393</x:v>
      </x:c>
      <x:c r="B21" s="24" t="str">
        <x:v>Japan (Daito Islands)</x:v>
      </x:c>
      <x:c r="C21" s="24" t="str">
        <x:v>EEZ</x:v>
      </x:c>
      <x:c r="D21" s="30" t="n">
        <x:v>2019</x:v>
      </x:c>
      <x:c r="E21" s="24" t="str">
        <x:v>Carangidae</x:v>
      </x:c>
      <x:c r="F21" s="24" t="str">
        <x:v>Jacks, pompanos</x:v>
      </x:c>
      <x:c r="G21" s="24" t="str">
        <x:v>Medium pelagics (30 - 89 cm)</x:v>
      </x:c>
      <x:c r="H21" s="24" t="str">
        <x:v>Perch-likes</x:v>
      </x:c>
      <x:c r="I21" s="31" t="n">
        <x:v>5.237826232600001</x:v>
      </x:c>
      <x:c r="J21" s="31" t="n">
        <x:v>5.237826232600001</x:v>
      </x:c>
      <x:c r="K21" s="31" t="n">
        <x:v>0</x:v>
      </x:c>
      <x:c r="L21" s="31" t="n">
        <x:v>0</x:v>
      </x:c>
      <x:c r="M21" s="31" t="n">
        <x:v>5.237826232600001</x:v>
      </x:c>
      <x:c r="N21" s="24" t="str">
        <x:v>carangidae</x:v>
      </x:c>
      <x:c r="O21" s="32" t="n">
        <x:v>4.05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Carangidae</x:v>
      </x:c>
      <x:c r="T21" s="32" t="n">
        <x:f>IF(O21="","",(1/'Metadata'!$B$5)^(O21-1))</x:f>
        <x:v>1122.018454301963</x:v>
      </x:c>
      <x:c r="U21" s="31" t="n">
        <x:f>IF(T21="","",I21*T21)</x:f>
        <x:v>5876.937693404127</x:v>
      </x:c>
    </x:row>
    <x:row r="22" ht="18" customHeight="1">
      <x:c r="A22" s="24" t="str">
        <x:v>EEZ_393</x:v>
      </x:c>
      <x:c r="B22" s="24" t="str">
        <x:v>Japan (Daito Islands)</x:v>
      </x:c>
      <x:c r="C22" s="24" t="str">
        <x:v>EEZ</x:v>
      </x:c>
      <x:c r="D22" s="30" t="n">
        <x:v>2019</x:v>
      </x:c>
      <x:c r="E22" s="24" t="str">
        <x:v>Scomberomorus commerson</x:v>
      </x:c>
      <x:c r="F22" s="24" t="str">
        <x:v>Narrow-barred Spanish mackerel</x:v>
      </x:c>
      <x:c r="G22" s="24" t="str">
        <x:v>Large pelagics (&gt;=90 cm)</x:v>
      </x:c>
      <x:c r="H22" s="24" t="str">
        <x:v>Perch-likes</x:v>
      </x:c>
      <x:c r="I22" s="31" t="n">
        <x:v>3.9011212494</x:v>
      </x:c>
      <x:c r="J22" s="31" t="n">
        <x:v>3.9011212494</x:v>
      </x:c>
      <x:c r="K22" s="31" t="n">
        <x:v>0</x:v>
      </x:c>
      <x:c r="L22" s="31" t="n">
        <x:v>3.9011212494</x:v>
      </x:c>
      <x:c r="M22" s="31" t="n">
        <x:v>0</x:v>
      </x:c>
      <x:c r="N22" s="24" t="str">
        <x:v>scomberomorus commerson</x:v>
      </x:c>
      <x:c r="O22" s="32" t="n">
        <x:v>4.5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Scomberomorus commerson</x:v>
      </x:c>
      <x:c r="T22" s="32" t="n">
        <x:f>IF(O22="","",(1/'Metadata'!$B$5)^(O22-1))</x:f>
        <x:v>3162.2776601683795</x:v>
      </x:c>
      <x:c r="U22" s="31" t="n">
        <x:f>IF(T22="","",I22*T22)</x:f>
        <x:v>12336.428576585777</x:v>
      </x:c>
    </x:row>
    <x:row r="23" ht="18" customHeight="1">
      <x:c r="A23" s="24" t="str">
        <x:v>EEZ_393</x:v>
      </x:c>
      <x:c r="B23" s="24" t="str">
        <x:v>Japan (Daito Islands)</x:v>
      </x:c>
      <x:c r="C23" s="24" t="str">
        <x:v>EEZ</x:v>
      </x:c>
      <x:c r="D23" s="30" t="n">
        <x:v>2019</x:v>
      </x:c>
      <x:c r="E23" s="24" t="str">
        <x:v>Istiophoridae</x:v>
      </x:c>
      <x:c r="F23" s="24" t="str">
        <x:v>Billfishes</x:v>
      </x:c>
      <x:c r="G23" s="24" t="str">
        <x:v>Large pelagics (&gt;=90 cm)</x:v>
      </x:c>
      <x:c r="H23" s="24" t="str">
        <x:v>Tuna &amp; billfishes</x:v>
      </x:c>
      <x:c r="I23" s="31" t="n">
        <x:v>3.6311935096</x:v>
      </x:c>
      <x:c r="J23" s="31" t="n">
        <x:v>1.6921158895</x:v>
      </x:c>
      <x:c r="K23" s="31" t="n">
        <x:v>1.9390776201</x:v>
      </x:c>
      <x:c r="L23" s="31" t="n">
        <x:v>1.6921158895</x:v>
      </x:c>
      <x:c r="M23" s="31" t="n">
        <x:v>1.9390776201</x:v>
      </x:c>
      <x:c r="N23" s="24" t="str">
        <x:v>istiophoridae</x:v>
      </x:c>
      <x:c r="O23" s="32" t="n">
        <x:v>4.48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Istiophoridae</x:v>
      </x:c>
      <x:c r="T23" s="32" t="n">
        <x:f>IF(O23="","",(1/'Metadata'!$B$5)^(O23-1))</x:f>
        <x:v>3019.951720402019</x:v>
      </x:c>
      <x:c r="U23" s="31" t="n">
        <x:f>IF(T23="","",I23*T23)</x:f>
        <x:v>10966.029086429166</x:v>
      </x:c>
    </x:row>
    <x:row r="24" ht="18" customHeight="1">
      <x:c r="A24" s="24" t="str">
        <x:v>EEZ_393</x:v>
      </x:c>
      <x:c r="B24" s="24" t="str">
        <x:v>Japan (Daito Islands)</x:v>
      </x:c>
      <x:c r="C24" s="24" t="str">
        <x:v>EEZ</x:v>
      </x:c>
      <x:c r="D24" s="30" t="n">
        <x:v>2019</x:v>
      </x:c>
      <x:c r="E24" s="24" t="str">
        <x:v>Carcharhinus longimanus</x:v>
      </x:c>
      <x:c r="F24" s="24" t="str">
        <x:v>Oceanic whitetip shark</x:v>
      </x:c>
      <x:c r="G24" s="24" t="str">
        <x:v>Large sharks (&gt;=90 cm)</x:v>
      </x:c>
      <x:c r="H24" s="24" t="str">
        <x:v>Sharks &amp; rays</x:v>
      </x:c>
      <x:c r="I24" s="31" t="n">
        <x:v>2.9862315641</x:v>
      </x:c>
      <x:c r="J24" s="31" t="n">
        <x:v>0.0000093997</x:v>
      </x:c>
      <x:c r="K24" s="31" t="n">
        <x:v>2.9862221644</x:v>
      </x:c>
      <x:c r="L24" s="31" t="n">
        <x:v>0.0000093997</x:v>
      </x:c>
      <x:c r="M24" s="31" t="n">
        <x:v>2.9862221644</x:v>
      </x:c>
      <x:c r="N24" s="24" t="str">
        <x:v>carcharhinus longimanus</x:v>
      </x:c>
      <x:c r="O24" s="32" t="n">
        <x:v>4.16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Carcharhinus longimanus</x:v>
      </x:c>
      <x:c r="T24" s="32" t="n">
        <x:f>IF(O24="","",(1/'Metadata'!$B$5)^(O24-1))</x:f>
        <x:v>1445.439770745928</x:v>
      </x:c>
      <x:c r="U24" s="31" t="n">
        <x:f>IF(T24="","",I24*T24)</x:f>
        <x:v>4316.417867406958</x:v>
      </x:c>
    </x:row>
    <x:row r="25" ht="18" customHeight="1">
      <x:c r="A25" s="24" t="str">
        <x:v>EEZ_393</x:v>
      </x:c>
      <x:c r="B25" s="24" t="str">
        <x:v>Japan (Daito Islands)</x:v>
      </x:c>
      <x:c r="C25" s="24" t="str">
        <x:v>EEZ</x:v>
      </x:c>
      <x:c r="D25" s="30" t="n">
        <x:v>2019</x:v>
      </x:c>
      <x:c r="E25" s="24" t="str">
        <x:v>Acanthocybium solandri</x:v>
      </x:c>
      <x:c r="F25" s="24" t="str">
        <x:v>Wahoo</x:v>
      </x:c>
      <x:c r="G25" s="24" t="str">
        <x:v>Large pelagics (&gt;=90 cm)</x:v>
      </x:c>
      <x:c r="H25" s="24" t="str">
        <x:v>Perch-likes</x:v>
      </x:c>
      <x:c r="I25" s="31" t="n">
        <x:v>1.9174005981</x:v>
      </x:c>
      <x:c r="J25" s="31" t="n">
        <x:v>0</x:v>
      </x:c>
      <x:c r="K25" s="31" t="n">
        <x:v>1.9174005981</x:v>
      </x:c>
      <x:c r="L25" s="31" t="n">
        <x:v>0</x:v>
      </x:c>
      <x:c r="M25" s="31" t="n">
        <x:v>1.9174005981</x:v>
      </x:c>
      <x:c r="N25" s="24" t="str">
        <x:v>acanthocybium solandri</x:v>
      </x:c>
      <x:c r="O25" s="32" t="n">
        <x:v>4.26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Acanthocybium solandri</x:v>
      </x:c>
      <x:c r="T25" s="32" t="n">
        <x:f>IF(O25="","",(1/'Metadata'!$B$5)^(O25-1))</x:f>
        <x:v>1819.7008586099826</x:v>
      </x:c>
      <x:c r="U25" s="31" t="n">
        <x:f>IF(T25="","",I25*T25)</x:f>
        <x:v>3489.095514661864</x:v>
      </x:c>
    </x:row>
    <x:row r="26" ht="18" customHeight="1">
      <x:c r="A26" s="24" t="str">
        <x:v>EEZ_393</x:v>
      </x:c>
      <x:c r="B26" s="24" t="str">
        <x:v>Japan (Daito Islands)</x:v>
      </x:c>
      <x:c r="C26" s="24" t="str">
        <x:v>EEZ</x:v>
      </x:c>
      <x:c r="D26" s="30" t="n">
        <x:v>2019</x:v>
      </x:c>
      <x:c r="E26" s="24" t="str">
        <x:v>Sphyrna</x:v>
      </x:c>
      <x:c r="F26" s="24" t="str">
        <x:v>Hammerhead sharks</x:v>
      </x:c>
      <x:c r="G26" s="24" t="str">
        <x:v>Large sharks (&gt;=90 cm)</x:v>
      </x:c>
      <x:c r="H26" s="24" t="str">
        <x:v>Sharks &amp; rays</x:v>
      </x:c>
      <x:c r="I26" s="31" t="n">
        <x:v>1.0005972864</x:v>
      </x:c>
      <x:c r="J26" s="31" t="n">
        <x:v>1.0005972864</x:v>
      </x:c>
      <x:c r="K26" s="31" t="n">
        <x:v>0</x:v>
      </x:c>
      <x:c r="L26" s="31" t="n">
        <x:v>1.0005972864</x:v>
      </x:c>
      <x:c r="M26" s="31" t="n">
        <x:v>0</x:v>
      </x:c>
      <x:c r="N26" s="24" t="str">
        <x:v>sphyrna</x:v>
      </x:c>
      <x:c r="O26" s="32" t="n">
        <x:v>4.2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Sphyrna</x:v>
      </x:c>
      <x:c r="T26" s="32" t="n">
        <x:f>IF(O26="","",(1/'Metadata'!$B$5)^(O26-1))</x:f>
        <x:v>1584.893192461114</x:v>
      </x:c>
      <x:c r="U26" s="31" t="n">
        <x:f>IF(T26="","",I26*T26)</x:f>
        <x:v>1585.8398276104235</x:v>
      </x:c>
    </x:row>
    <x:row r="27" ht="18" customHeight="1">
      <x:c r="A27" s="24" t="str">
        <x:v>EEZ_393</x:v>
      </x:c>
      <x:c r="B27" s="24" t="str">
        <x:v>Japan (Daito Islands)</x:v>
      </x:c>
      <x:c r="C27" s="24" t="str">
        <x:v>EEZ</x:v>
      </x:c>
      <x:c r="D27" s="30" t="n">
        <x:v>2019</x:v>
      </x:c>
      <x:c r="E27" s="24" t="str">
        <x:v>Decapterus</x:v>
      </x:c>
      <x:c r="F27" s="24" t="str">
        <x:v>Scads</x:v>
      </x:c>
      <x:c r="G27" s="24" t="str">
        <x:v>Medium pelagics (30 - 89 cm)</x:v>
      </x:c>
      <x:c r="H27" s="24" t="str">
        <x:v>Perch-likes</x:v>
      </x:c>
      <x:c r="I27" s="31" t="n">
        <x:v>0.5420501327</x:v>
      </x:c>
      <x:c r="J27" s="31" t="n">
        <x:v>0.5420501327</x:v>
      </x:c>
      <x:c r="K27" s="31" t="n">
        <x:v>0</x:v>
      </x:c>
      <x:c r="L27" s="31" t="n">
        <x:v>0</x:v>
      </x:c>
      <x:c r="M27" s="31" t="n">
        <x:v>0.5420501327</x:v>
      </x:c>
      <x:c r="N27" s="24" t="str">
        <x:v>decapterus</x:v>
      </x:c>
      <x:c r="O27" s="32" t="n">
        <x:v>3.63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Decapterus</x:v>
      </x:c>
      <x:c r="T27" s="32" t="n">
        <x:f>IF(O27="","",(1/'Metadata'!$B$5)^(O27-1))</x:f>
        <x:v>426.57951880159254</x:v>
      </x:c>
      <x:c r="U27" s="31" t="n">
        <x:f>IF(T27="","",I27*T27)</x:f>
        <x:v>231.22748477350538</x:v>
      </x:c>
    </x:row>
    <x:row r="28" ht="18" customHeight="1">
      <x:c r="A28" s="24" t="str">
        <x:v>EEZ_393</x:v>
      </x:c>
      <x:c r="B28" s="24" t="str">
        <x:v>Japan (Daito Islands)</x:v>
      </x:c>
      <x:c r="C28" s="24" t="str">
        <x:v>EEZ</x:v>
      </x:c>
      <x:c r="D28" s="30" t="n">
        <x:v>2019</x:v>
      </x:c>
      <x:c r="E28" s="24" t="str">
        <x:v>Istiompax indica</x:v>
      </x:c>
      <x:c r="F28" s="24" t="str">
        <x:v>Black marlin</x:v>
      </x:c>
      <x:c r="G28" s="24" t="str">
        <x:v>Large pelagics (&gt;=90 cm)</x:v>
      </x:c>
      <x:c r="H28" s="24" t="str">
        <x:v>Tuna &amp; billfishes</x:v>
      </x:c>
      <x:c r="I28" s="31" t="n">
        <x:v>0.2049410677</x:v>
      </x:c>
      <x:c r="J28" s="31" t="n">
        <x:v>0.2049410677</x:v>
      </x:c>
      <x:c r="K28" s="31" t="n">
        <x:v>0</x:v>
      </x:c>
      <x:c r="L28" s="31" t="n">
        <x:v>0.2049410677</x:v>
      </x:c>
      <x:c r="M28" s="31" t="n">
        <x:v>0</x:v>
      </x:c>
      <x:c r="N28" s="24" t="str">
        <x:v>istiompax indica</x:v>
      </x:c>
      <x:c r="O28" s="32" t="n">
        <x:v>4.5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Istiompax indica</x:v>
      </x:c>
      <x:c r="T28" s="32" t="n">
        <x:f>IF(O28="","",(1/'Metadata'!$B$5)^(O28-1))</x:f>
        <x:v>3162.2776601683795</x:v>
      </x:c>
      <x:c r="U28" s="31" t="n">
        <x:f>IF(T28="","",I28*T28)</x:f>
        <x:v>648.0805600387655</x:v>
      </x:c>
    </x:row>
    <x:row r="29" ht="18" customHeight="1">
      <x:c r="A29" s="24" t="str">
        <x:v>EEZ_393</x:v>
      </x:c>
      <x:c r="B29" s="24" t="str">
        <x:v>Japan (Daito Islands)</x:v>
      </x:c>
      <x:c r="C29" s="24" t="str">
        <x:v>EEZ</x:v>
      </x:c>
      <x:c r="D29" s="30" t="n">
        <x:v>2019</x:v>
      </x:c>
      <x:c r="E29" s="24" t="str">
        <x:v>Sphyraena barracuda</x:v>
      </x:c>
      <x:c r="F29" s="24" t="str">
        <x:v>Great barracuda</x:v>
      </x:c>
      <x:c r="G29" s="24" t="str">
        <x:v>Large pelagics (&gt;=90 cm)</x:v>
      </x:c>
      <x:c r="H29" s="24" t="str">
        <x:v>Perch-likes</x:v>
      </x:c>
      <x:c r="I29" s="31" t="n">
        <x:v>0.1660321866</x:v>
      </x:c>
      <x:c r="J29" s="31" t="n">
        <x:v>0</x:v>
      </x:c>
      <x:c r="K29" s="31" t="n">
        <x:v>0.1660321866</x:v>
      </x:c>
      <x:c r="L29" s="31" t="n">
        <x:v>0</x:v>
      </x:c>
      <x:c r="M29" s="31" t="n">
        <x:v>0.1660321866</x:v>
      </x:c>
      <x:c r="N29" s="24" t="str">
        <x:v>sphyraena barracuda</x:v>
      </x:c>
      <x:c r="O29" s="32" t="n">
        <x:v>4.49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Sphyraena barracuda</x:v>
      </x:c>
      <x:c r="T29" s="32" t="n">
        <x:f>IF(O29="","",(1/'Metadata'!$B$5)^(O29-1))</x:f>
        <x:v>3090.295432513592</x:v>
      </x:c>
      <x:c r="U29" s="31" t="n">
        <x:f>IF(T29="","",I29*T29)</x:f>
        <x:v>513.0885079002244</x:v>
      </x:c>
    </x:row>
    <x:row r="30" ht="18" customHeight="1">
      <x:c r="A30" s="24" t="str">
        <x:v>EEZ_393</x:v>
      </x:c>
      <x:c r="B30" s="24" t="str">
        <x:v>Japan (Daito Islands)</x:v>
      </x:c>
      <x:c r="C30" s="24" t="str">
        <x:v>EEZ</x:v>
      </x:c>
      <x:c r="D30" s="30" t="n">
        <x:v>2019</x:v>
      </x:c>
      <x:c r="E30" s="24" t="str">
        <x:v>Bramidae</x:v>
      </x:c>
      <x:c r="F30" s="24" t="str">
        <x:v>Pomfrets</x:v>
      </x:c>
      <x:c r="G30" s="24" t="str">
        <x:v>Medium pelagics (30 - 89 cm)</x:v>
      </x:c>
      <x:c r="H30" s="24" t="str">
        <x:v>Perch-likes</x:v>
      </x:c>
      <x:c r="I30" s="31" t="n">
        <x:v>0.0205095527</x:v>
      </x:c>
      <x:c r="J30" s="31" t="n">
        <x:v>0</x:v>
      </x:c>
      <x:c r="K30" s="31" t="n">
        <x:v>0.0205095527</x:v>
      </x:c>
      <x:c r="L30" s="31" t="n">
        <x:v>0</x:v>
      </x:c>
      <x:c r="M30" s="31" t="n">
        <x:v>0.0205095527</x:v>
      </x:c>
      <x:c r="N30" s="24" t="str">
        <x:v>bramidae</x:v>
      </x:c>
      <x:c r="O30" s="32" t="n">
        <x:v>4.14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Bramidae</x:v>
      </x:c>
      <x:c r="T30" s="32" t="n">
        <x:f>IF(O30="","",(1/'Metadata'!$B$5)^(O30-1))</x:f>
        <x:v>1380.3842646028838</x:v>
      </x:c>
      <x:c r="U30" s="31" t="n">
        <x:f>IF(T30="","",I30*T30)</x:f>
        <x:v>28.31106382112359</x:v>
      </x:c>
    </x:row>
  </x:sheetData>
  <x:conditionalFormatting sqref="R2:R3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1882cf5595744fe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Other fishes &amp; inverts</x:v>
      </x:c>
      <x:c r="B2" s="33" t="n">
        <x:v>5</x:v>
      </x:c>
      <x:c r="C2" s="33" t="n">
        <x:v>5</x:v>
      </x:c>
      <x:c r="D2" s="31" t="n">
        <x:v>2314.405054942</x:v>
      </x:c>
      <x:c r="E2" s="31" t="n">
        <x:v>2314.405054942</x:v>
      </x:c>
      <x:c r="F2" s="32" t="n">
        <x:v>0</x:v>
      </x:c>
      <x:c r="G2" s="34" t="n">
        <x:v>1</x:v>
      </x:c>
      <x:c r="H2" s="32" t="n">
        <x:f>IF(E2=0,"",I2/E2)</x:f>
        <x:v>450.41379728194283</x:v>
      </x:c>
      <x:c r="I2" s="31" t="n">
        <x:f>IF(C2=0,"",SUMIF('Species'!$H$2:$H$30,A2,'Species'!$U$2:$U$30))</x:f>
        <x:v>1042439.9692449496</x:v>
      </x:c>
      <x:c r="J2" s="32" t="n">
        <x:v>3.622381569334722</x:v>
      </x:c>
      <x:c r="K2" s="32" t="n">
        <x:f>IF(J2="","",(1/'Metadata'!$B$5)^(J2-1))</x:f>
        <x:v>419.161677098446</x:v>
      </x:c>
      <x:c r="L2" s="31" t="n">
        <x:f>IF(E2=0,"",E2*K2)</x:f>
        <x:v>970109.9043146097</x:v>
      </x:c>
      <x:c r="M2" s="31" t="n">
        <x:f>IF(E2=0,"",I2-L2)</x:f>
        <x:v>72330.06493033993</x:v>
      </x:c>
      <x:c r="N2" s="32" t="n">
        <x:f>IF(L2=0,"",I2/L2)</x:f>
        <x:v>1.0745586295002747</x:v>
      </x:c>
      <x:c r="O2" s="34" t="n">
        <x:f>IF(L2=0,"",M2/L2)</x:f>
        <x:v>0.0745586295002747</x:v>
      </x:c>
    </x:row>
    <x:row r="3" ht="18" customHeight="1">
      <x:c r="A3" s="24" t="str">
        <x:v>Perch-likes</x:v>
      </x:c>
      <x:c r="B3" s="33" t="n">
        <x:v>9</x:v>
      </x:c>
      <x:c r="C3" s="33" t="n">
        <x:v>9</x:v>
      </x:c>
      <x:c r="D3" s="31" t="n">
        <x:v>4996.9449046587</x:v>
      </x:c>
      <x:c r="E3" s="31" t="n">
        <x:v>4996.9449046587</x:v>
      </x:c>
      <x:c r="F3" s="32" t="n">
        <x:v>0</x:v>
      </x:c>
      <x:c r="G3" s="34" t="n">
        <x:v>1</x:v>
      </x:c>
      <x:c r="H3" s="32" t="n">
        <x:f>IF(E3=0,"",I3/E3)</x:f>
        <x:v>857.2660435471818</x:v>
      </x:c>
      <x:c r="I3" s="31" t="n">
        <x:f>IF(C3=0,"",SUMIF('Species'!$H$2:$H$30,A3,'Species'!$U$2:$U$30))</x:f>
        <x:v>4283711.188240013</x:v>
      </x:c>
      <x:c r="J3" s="32" t="n">
        <x:v>3.80601123131823</x:v>
      </x:c>
      <x:c r="K3" s="32" t="n">
        <x:f>IF(J3="","",(1/'Metadata'!$B$5)^(J3-1))</x:f>
        <x:v>639.7513799213347</x:v>
      </x:c>
      <x:c r="L3" s="31" t="n">
        <x:f>IF(E3=0,"",E3*K3)</x:f>
        <x:v>3196802.398146285</x:v>
      </x:c>
      <x:c r="M3" s="31" t="n">
        <x:f>IF(E3=0,"",I3-L3)</x:f>
        <x:v>1086908.7900937279</x:v>
      </x:c>
      <x:c r="N3" s="32" t="n">
        <x:f>IF(L3=0,"",I3/L3)</x:f>
        <x:v>1.3399987408430338</x:v>
      </x:c>
      <x:c r="O3" s="34" t="n">
        <x:f>IF(L3=0,"",M3/L3)</x:f>
        <x:v>0.33999874084303383</x:v>
      </x:c>
    </x:row>
    <x:row r="4" ht="18" customHeight="1">
      <x:c r="A4" s="24" t="str">
        <x:v>Sharks &amp; rays</x:v>
      </x:c>
      <x:c r="B4" s="33" t="n">
        <x:v>6</x:v>
      </x:c>
      <x:c r="C4" s="33" t="n">
        <x:v>6</x:v>
      </x:c>
      <x:c r="D4" s="31" t="n">
        <x:v>2367.8273018901996</x:v>
      </x:c>
      <x:c r="E4" s="31" t="n">
        <x:v>2367.8273018901996</x:v>
      </x:c>
      <x:c r="F4" s="32" t="n">
        <x:v>0</x:v>
      </x:c>
      <x:c r="G4" s="34" t="n">
        <x:v>1</x:v>
      </x:c>
      <x:c r="H4" s="32" t="n">
        <x:f>IF(E4=0,"",I4/E4)</x:f>
        <x:v>1370.1624900470438</x:v>
      </x:c>
      <x:c r="I4" s="31" t="n">
        <x:f>IF(C4=0,"",SUMIF('Species'!$H$2:$H$30,A4,'Species'!$U$2:$U$30))</x:f>
        <x:v>3244308.1519592493</x:v>
      </x:c>
      <x:c r="J4" s="32" t="n">
        <x:v>4.110839356250821</x:v>
      </x:c>
      <x:c r="K4" s="32" t="n">
        <x:f>IF(J4="","",(1/'Metadata'!$B$5)^(J4-1))</x:f>
        <x:v>1290.741745218801</x:v>
      </x:c>
      <x:c r="L4" s="31" t="n">
        <x:f>IF(E4=0,"",E4*K4)</x:f>
        <x:v>3056253.544018481</x:v>
      </x:c>
      <x:c r="M4" s="31" t="n">
        <x:f>IF(E4=0,"",I4-L4)</x:f>
        <x:v>188054.60794076836</x:v>
      </x:c>
      <x:c r="N4" s="32" t="n">
        <x:f>IF(L4=0,"",I4/L4)</x:f>
        <x:v>1.0615310887111502</x:v>
      </x:c>
      <x:c r="O4" s="34" t="n">
        <x:f>IF(L4=0,"",M4/L4)</x:f>
        <x:v>0.061531088711150206</x:v>
      </x:c>
    </x:row>
    <x:row r="5" ht="18" customHeight="1">
      <x:c r="A5" s="24" t="str">
        <x:v>Tuna &amp; billfishes</x:v>
      </x:c>
      <x:c r="B5" s="33" t="n">
        <x:v>9</x:v>
      </x:c>
      <x:c r="C5" s="33" t="n">
        <x:v>9</x:v>
      </x:c>
      <x:c r="D5" s="31" t="n">
        <x:v>8128.9209898972995</x:v>
      </x:c>
      <x:c r="E5" s="31" t="n">
        <x:v>8128.9209898972995</x:v>
      </x:c>
      <x:c r="F5" s="32" t="n">
        <x:v>0</x:v>
      </x:c>
      <x:c r="G5" s="34" t="n">
        <x:v>1</x:v>
      </x:c>
      <x:c r="H5" s="32" t="n">
        <x:f>IF(E5=0,"",I5/E5)</x:f>
        <x:v>2574.1787765803806</x:v>
      </x:c>
      <x:c r="I5" s="31" t="n">
        <x:f>IF(C5=0,"",SUMIF('Species'!$H$2:$H$30,A5,'Species'!$U$2:$U$30))</x:f>
        <x:v>20925295.888692405</x:v>
      </x:c>
      <x:c r="J5" s="32" t="n">
        <x:v>4.409864746331743</x:v>
      </x:c>
      <x:c r="K5" s="32" t="n">
        <x:f>IF(J5="","",(1/'Metadata'!$B$5)^(J5-1))</x:f>
        <x:v>2569.5954011317704</x:v>
      </x:c>
      <x:c r="L5" s="31" t="n">
        <x:f>IF(E5=0,"",E5*K5)</x:f>
        <x:v>20888037.99180362</x:v>
      </x:c>
      <x:c r="M5" s="31" t="n">
        <x:f>IF(E5=0,"",I5-L5)</x:f>
        <x:v>37257.896888785064</x:v>
      </x:c>
      <x:c r="N5" s="32" t="n">
        <x:f>IF(L5=0,"",I5/L5)</x:f>
        <x:v>1.0017836953812227</x:v>
      </x:c>
      <x:c r="O5" s="34" t="n">
        <x:f>IF(L5=0,"",M5/L5)</x:f>
        <x:v>0.0017836953812227318</x:v>
      </x:c>
    </x:row>
  </x:sheetData>
  <x:conditionalFormatting sqref="G2:G5">
    <x:cfRule type="cellIs" dxfId="1" priority="1" operator="lessThan">
      <x:formula>0.9</x:formula>
    </x:cfRule>
  </x:conditionalFormatting>
  <x:conditionalFormatting sqref="O2:O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f424c9a3d11c43b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1</x:v>
      </x:c>
      <x:c r="C2" s="33" t="n">
        <x:v>1</x:v>
      </x:c>
      <x:c r="D2" s="31" t="n">
        <x:v>16.3571202695</x:v>
      </x:c>
      <x:c r="E2" s="31" t="n">
        <x:v>16.3571202695</x:v>
      </x:c>
      <x:c r="F2" s="32" t="n">
        <x:v>0</x:v>
      </x:c>
      <x:c r="G2" s="34" t="n">
        <x:v>1</x:v>
      </x:c>
      <x:c r="H2" s="32" t="n">
        <x:f>IF(E2=0,"",I2/E2)</x:f>
        <x:v>1348.9628825916532</x:v>
      </x:c>
      <x:c r="I2" s="31" t="n">
        <x:f>IF(C2=0,"",SUMIF('Species'!$G$2:$G$30,A2,'Species'!$U$2:$U$30))</x:f>
        <x:v>22065.14810964308</x:v>
      </x:c>
      <x:c r="J2" s="32" t="n">
        <x:v>4.13</x:v>
      </x:c>
      <x:c r="K2" s="32" t="n">
        <x:f>IF(J2="","",(1/'Metadata'!$B$5)^(J2-1))</x:f>
        <x:v>1348.9628825916532</x:v>
      </x:c>
      <x:c r="L2" s="31" t="n">
        <x:f>IF(E2=0,"",E2*K2)</x:f>
        <x:v>22065.14810964308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Large pelagics (&gt;=90 cm)</x:v>
      </x:c>
      <x:c r="B3" s="33" t="n">
        <x:v>14</x:v>
      </x:c>
      <x:c r="C3" s="33" t="n">
        <x:v>14</x:v>
      </x:c>
      <x:c r="D3" s="31" t="n">
        <x:v>9211.909883079898</x:v>
      </x:c>
      <x:c r="E3" s="31" t="n">
        <x:v>9211.909883079898</x:v>
      </x:c>
      <x:c r="F3" s="32" t="n">
        <x:v>0</x:v>
      </x:c>
      <x:c r="G3" s="34" t="n">
        <x:v>1</x:v>
      </x:c>
      <x:c r="H3" s="32" t="n">
        <x:f>IF(E3=0,"",I3/E3)</x:f>
        <x:v>2544.9065968054865</x:v>
      </x:c>
      <x:c r="I3" s="31" t="n">
        <x:f>IF(C3=0,"",SUMIF('Species'!$G$2:$G$30,A3,'Species'!$U$2:$U$30))</x:f>
        <x:v>23443450.23062769</x:v>
      </x:c>
      <x:c r="J3" s="32" t="n">
        <x:v>4.404291822821251</x:v>
      </x:c>
      <x:c r="K3" s="32" t="n">
        <x:f>IF(J3="","",(1/'Metadata'!$B$5)^(J3-1))</x:f>
        <x:v>2536.8326747159986</x:v>
      </x:c>
      <x:c r="L3" s="31" t="n">
        <x:f>IF(E3=0,"",E3*K3)</x:f>
        <x:v>23369073.987936318</x:v>
      </x:c>
      <x:c r="M3" s="31" t="n">
        <x:f>IF(E3=0,"",I3-L3)</x:f>
        <x:v>74376.24269137159</x:v>
      </x:c>
      <x:c r="N3" s="32" t="n">
        <x:f>IF(L3=0,"",I3/L3)</x:f>
        <x:v>1.0031826782152244</x:v>
      </x:c>
      <x:c r="O3" s="34" t="n">
        <x:f>IF(L3=0,"",M3/L3)</x:f>
        <x:v>0.003182678215224378</x:v>
      </x:c>
    </x:row>
    <x:row r="4" ht="18" customHeight="1">
      <x:c r="A4" s="24" t="str">
        <x:v>Large sharks (&gt;=90 cm)</x:v>
      </x:c>
      <x:c r="B4" s="33" t="n">
        <x:v>6</x:v>
      </x:c>
      <x:c r="C4" s="33" t="n">
        <x:v>6</x:v>
      </x:c>
      <x:c r="D4" s="31" t="n">
        <x:v>2367.8273018901996</x:v>
      </x:c>
      <x:c r="E4" s="31" t="n">
        <x:v>2367.8273018901996</x:v>
      </x:c>
      <x:c r="F4" s="32" t="n">
        <x:v>0</x:v>
      </x:c>
      <x:c r="G4" s="34" t="n">
        <x:v>1</x:v>
      </x:c>
      <x:c r="H4" s="32" t="n">
        <x:f>IF(E4=0,"",I4/E4)</x:f>
        <x:v>1370.1624900470438</x:v>
      </x:c>
      <x:c r="I4" s="31" t="n">
        <x:f>IF(C4=0,"",SUMIF('Species'!$G$2:$G$30,A4,'Species'!$U$2:$U$30))</x:f>
        <x:v>3244308.1519592493</x:v>
      </x:c>
      <x:c r="J4" s="32" t="n">
        <x:v>4.110839356250821</x:v>
      </x:c>
      <x:c r="K4" s="32" t="n">
        <x:f>IF(J4="","",(1/'Metadata'!$B$5)^(J4-1))</x:f>
        <x:v>1290.741745218801</x:v>
      </x:c>
      <x:c r="L4" s="31" t="n">
        <x:f>IF(E4=0,"",E4*K4)</x:f>
        <x:v>3056253.544018481</x:v>
      </x:c>
      <x:c r="M4" s="31" t="n">
        <x:f>IF(E4=0,"",I4-L4)</x:f>
        <x:v>188054.60794076836</x:v>
      </x:c>
      <x:c r="N4" s="32" t="n">
        <x:f>IF(L4=0,"",I4/L4)</x:f>
        <x:v>1.0615310887111502</x:v>
      </x:c>
      <x:c r="O4" s="34" t="n">
        <x:f>IF(L4=0,"",M4/L4)</x:f>
        <x:v>0.061531088711150206</x:v>
      </x:c>
    </x:row>
    <x:row r="5" ht="18" customHeight="1">
      <x:c r="A5" s="24" t="str">
        <x:v>Medium demersals (30 - 89 cm)</x:v>
      </x:c>
      <x:c r="B5" s="33" t="n">
        <x:v>1</x:v>
      </x:c>
      <x:c r="C5" s="33" t="n">
        <x:v>1</x:v>
      </x:c>
      <x:c r="D5" s="31" t="n">
        <x:v>446.91319259930003</x:v>
      </x:c>
      <x:c r="E5" s="31" t="n">
        <x:v>446.91319259930003</x:v>
      </x:c>
      <x:c r="F5" s="32" t="n">
        <x:v>0</x:v>
      </x:c>
      <x:c r="G5" s="34" t="n">
        <x:v>1</x:v>
      </x:c>
      <x:c r="H5" s="32" t="n">
        <x:f>IF(E5=0,"",I5/E5)</x:f>
        <x:v>190.54607179632464</x:v>
      </x:c>
      <x:c r="I5" s="31" t="n">
        <x:f>IF(C5=0,"",SUMIF('Species'!$G$2:$G$30,A5,'Species'!$U$2:$U$30))</x:f>
        <x:v>85157.55328375088</x:v>
      </x:c>
      <x:c r="J5" s="32" t="n">
        <x:v>3.2800000000000002</x:v>
      </x:c>
      <x:c r="K5" s="32" t="n">
        <x:f>IF(J5="","",(1/'Metadata'!$B$5)^(J5-1))</x:f>
        <x:v>190.54607179632484</x:v>
      </x:c>
      <x:c r="L5" s="31" t="n">
        <x:f>IF(E5=0,"",E5*K5)</x:f>
        <x:v>85157.55328375097</x:v>
      </x:c>
      <x:c r="M5" s="31" t="n">
        <x:f>IF(E5=0,"",I5-L5)</x:f>
        <x:v>-8.731149137020111e-11</x:v>
      </x:c>
      <x:c r="N5" s="32" t="n">
        <x:f>IF(L5=0,"",I5/L5)</x:f>
        <x:v>0.999999999999999</x:v>
      </x:c>
      <x:c r="O5" s="34" t="n">
        <x:f>IF(L5=0,"",M5/L5)</x:f>
        <x:v>-1.0252935647325737e-15</x:v>
      </x:c>
    </x:row>
    <x:row r="6" ht="18" customHeight="1">
      <x:c r="A6" s="24" t="str">
        <x:v>Medium pelagics (30 - 89 cm)</x:v>
      </x:c>
      <x:c r="B6" s="33" t="n">
        <x:v>7</x:v>
      </x:c>
      <x:c r="C6" s="33" t="n">
        <x:v>7</x:v>
      </x:c>
      <x:c r="D6" s="31" t="n">
        <x:v>5765.090753549299</x:v>
      </x:c>
      <x:c r="E6" s="31" t="n">
        <x:v>5765.090753549299</x:v>
      </x:c>
      <x:c r="F6" s="32" t="n">
        <x:v>0</x:v>
      </x:c>
      <x:c r="G6" s="34" t="n">
        <x:v>1</x:v>
      </x:c>
      <x:c r="H6" s="32" t="n">
        <x:f>IF(E6=0,"",I6/E6)</x:f>
        <x:v>468.4703553874747</x:v>
      </x:c>
      <x:c r="I6" s="31" t="n">
        <x:f>IF(C6=0,"",SUMIF('Species'!$G$2:$G$30,A6,'Species'!$U$2:$U$30))</x:f>
        <x:v>2700774.1141562844</x:v>
      </x:c>
      <x:c r="J6" s="32" t="n">
        <x:v>3.6676194874121264</x:v>
      </x:c>
      <x:c r="K6" s="32" t="n">
        <x:f>IF(J6="","",(1/'Metadata'!$B$5)^(J6-1))</x:f>
        <x:v>465.17834304884303</x:v>
      </x:c>
      <x:c r="L6" s="31" t="n">
        <x:f>IF(E6=0,"",E6*K6)</x:f>
        <x:v>2681795.364262269</x:v>
      </x:c>
      <x:c r="M6" s="31" t="n">
        <x:f>IF(E6=0,"",I6-L6)</x:f>
        <x:v>18978.74989401549</x:v>
      </x:c>
      <x:c r="N6" s="32" t="n">
        <x:f>IF(L6=0,"",I6/L6)</x:f>
        <x:v>1.0070768822061993</x:v>
      </x:c>
      <x:c r="O6" s="34" t="n">
        <x:f>IF(L6=0,"",M6/L6)</x:f>
        <x:v>0.007076882206199326</x:v>
      </x:c>
    </x:row>
  </x:sheetData>
  <x:conditionalFormatting sqref="G2:G6">
    <x:cfRule type="cellIs" dxfId="2" priority="1" operator="lessThan">
      <x:formula>0.9</x:formula>
    </x:cfRule>
  </x:conditionalFormatting>
  <x:conditionalFormatting sqref="O2:O6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7da15f40e5b7442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EEZ_393</x:v>
      </x:c>
      <x:c r="B2" s="24" t="str">
        <x:v>raw_filtered_tonnes</x:v>
      </x:c>
      <x:c r="C2" s="24" t="n">
        <x:v>17808.098251388197</x:v>
      </x:c>
      <x:c r="D2" s="24" t="str">
        <x:v>tonnes</x:v>
      </x:c>
    </x:row>
    <x:row r="3" ht="18" customHeight="1">
      <x:c r="A3" s="24" t="str">
        <x:v>EEZ_393</x:v>
      </x:c>
      <x:c r="B3" s="24" t="str">
        <x:v>species_catch_tonnes</x:v>
      </x:c>
      <x:c r="C3" s="24" t="n">
        <x:v>17808.098251388197</x:v>
      </x:c>
      <x:c r="D3" s="24" t="str">
        <x:v>tonnes</x:v>
      </x:c>
    </x:row>
    <x:row r="4" ht="18" customHeight="1">
      <x:c r="A4" s="24" t="str">
        <x:v>EEZ_393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EEZ_393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EEZ_393</x:v>
      </x:c>
      <x:c r="B6" s="24" t="str">
        <x:v>matched_catch_tonnes</x:v>
      </x:c>
      <x:c r="C6" s="24" t="n">
        <x:v>17808.098251388197</x:v>
      </x:c>
      <x:c r="D6" s="24" t="str">
        <x:v>tonnes</x:v>
      </x:c>
    </x:row>
    <x:row r="7" ht="18" customHeight="1">
      <x:c r="A7" s="24" t="str">
        <x:v>EEZ_393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EEZ_393</x:v>
      </x:c>
      <x:c r="B8" s="24" t="str">
        <x:v>taxa_count</x:v>
      </x:c>
      <x:c r="C8" s="24" t="n">
        <x:v>29</x:v>
      </x:c>
      <x:c r="D8" s="24" t="str">
        <x:v>count</x:v>
      </x:c>
    </x:row>
    <x:row r="9" ht="18" customHeight="1">
      <x:c r="A9" s="24" t="str">
        <x:v>EEZ_393</x:v>
      </x:c>
      <x:c r="B9" s="24" t="str">
        <x:v>matched_taxa_count</x:v>
      </x:c>
      <x:c r="C9" s="24" t="n">
        <x:v>29</x:v>
      </x:c>
      <x:c r="D9" s="24" t="str">
        <x:v>count</x:v>
      </x:c>
    </x:row>
    <x:row r="10" ht="18" customHeight="1">
      <x:c r="A10" s="24" t="str">
        <x:v>EEZ_393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EEZ_393</x:v>
      </x:c>
      <x:c r="B11" s="24" t="str">
        <x:v>species_ppr</x:v>
      </x:c>
      <x:c r="C11" s="24" t="n">
        <x:v>29495755.19813662</x:v>
      </x:c>
      <x:c r="D11" s="24" t="str">
        <x:v>tonnes_primary_production_equivalent</x:v>
      </x:c>
    </x:row>
    <x:row r="12" ht="18" customHeight="1">
      <x:c r="A12" s="24" t="str">
        <x:v>EEZ_393</x:v>
      </x:c>
      <x:c r="B12" s="24" t="str">
        <x:v>commercial_ppr</x:v>
      </x:c>
      <x:c r="C12" s="24" t="n">
        <x:v>29495755.198136616</x:v>
      </x:c>
      <x:c r="D12" s="24" t="str">
        <x:v>tonnes_primary_production_equivalent</x:v>
      </x:c>
    </x:row>
    <x:row r="13" ht="18" customHeight="1">
      <x:c r="A13" s="24" t="str">
        <x:v>EEZ_393</x:v>
      </x:c>
      <x:c r="B13" s="24" t="str">
        <x:v>functional_ppr</x:v>
      </x:c>
      <x:c r="C13" s="24" t="n">
        <x:v>29495755.198136616</x:v>
      </x:c>
      <x:c r="D13" s="24" t="str">
        <x:v>tonnes_primary_production_equivalent</x:v>
      </x:c>
    </x:row>
    <x:row r="14" ht="18" customHeight="1">
      <x:c r="A14" s="24" t="str">
        <x:v>EEZ_393</x:v>
      </x:c>
      <x:c r="B14" s="24" t="str">
        <x:v>commercial_ppr_difference</x:v>
      </x:c>
      <x:c r="C14" s="24" t="n">
        <x:v>-3.725290298461914e-9</x:v>
      </x:c>
      <x:c r="D14" s="24" t="str">
        <x:v>tonnes_primary_production_equivalent</x:v>
      </x:c>
    </x:row>
    <x:row r="15" ht="18" customHeight="1">
      <x:c r="A15" s="24" t="str">
        <x:v>EEZ_393</x:v>
      </x:c>
      <x:c r="B15" s="24" t="str">
        <x:v>functional_ppr_difference</x:v>
      </x:c>
      <x:c r="C15" s="24" t="n">
        <x:v>-3.725290298461914e-9</x:v>
      </x:c>
      <x:c r="D15" s="24" t="str">
        <x:v>tonnes_primary_production_equivalent</x:v>
      </x:c>
    </x:row>
    <x:row r="16" ht="18" customHeight="1">
      <x:c r="A16" s="24" t="str">
        <x:v>EEZ_393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EEZ_393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EEZ_393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EEZ_393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ccca5e30fd444b0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EEZ_393 - Japan (Daito Islands)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EEZ_393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raw_data/SAU_downloads/EEZ_393-catch.zip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