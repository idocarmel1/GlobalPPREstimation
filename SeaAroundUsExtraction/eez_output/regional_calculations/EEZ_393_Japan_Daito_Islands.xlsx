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cf3efeacf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b8499eafb834800"/>
    <x:sheet xmlns:r="http://schemas.openxmlformats.org/officeDocument/2006/relationships" name="Commercial" sheetId="2" r:id="Rd4c1c5b0228f4701"/>
    <x:sheet xmlns:r="http://schemas.openxmlformats.org/officeDocument/2006/relationships" name="Functional" sheetId="3" r:id="R46669a77ecf5483f"/>
    <x:sheet xmlns:r="http://schemas.openxmlformats.org/officeDocument/2006/relationships" name="Missing TL" sheetId="4" r:id="Rffd8fef4a7bc4469"/>
    <x:sheet xmlns:r="http://schemas.openxmlformats.org/officeDocument/2006/relationships" name="Validation" sheetId="5" r:id="Ra47bc70a6cc64758"/>
    <x:sheet xmlns:r="http://schemas.openxmlformats.org/officeDocument/2006/relationships" name="Metadata" sheetId="6" r:id="R57c126dedf4b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a388683b544f4" /><Relationship Type="http://schemas.openxmlformats.org/officeDocument/2006/relationships/theme" Target="/xl/theme/theme1.xml" Id="R24c4736718c84524" /><Relationship Type="http://schemas.microsoft.com/office/2022/11/relationships/FeaturePropertyBag" Target="/xl/featurePropertyBag/featurePropertyBag.xml" Id="R8884ee343f8149ba" /><Relationship Type="http://schemas.openxmlformats.org/officeDocument/2006/relationships/sharedStrings" Target="/xl/sharedStrings.xml" Id="Ra08600995bfc44cd" /><Relationship Type="http://schemas.openxmlformats.org/officeDocument/2006/relationships/worksheet" Target="/xl/worksheets/sheet1.xml" Id="R9b8499eafb834800" /><Relationship Type="http://schemas.openxmlformats.org/officeDocument/2006/relationships/worksheet" Target="/xl/worksheets/sheet2.xml" Id="Rd4c1c5b0228f4701" /><Relationship Type="http://schemas.openxmlformats.org/officeDocument/2006/relationships/worksheet" Target="/xl/worksheets/sheet3.xml" Id="R46669a77ecf5483f" /><Relationship Type="http://schemas.openxmlformats.org/officeDocument/2006/relationships/worksheet" Target="/xl/worksheets/sheet4.xml" Id="Rffd8fef4a7bc4469" /><Relationship Type="http://schemas.openxmlformats.org/officeDocument/2006/relationships/worksheet" Target="/xl/worksheets/sheet5.xml" Id="Ra47bc70a6cc64758" /><Relationship Type="http://schemas.openxmlformats.org/officeDocument/2006/relationships/worksheet" Target="/xl/worksheets/sheet6.xml" Id="R57c126dedf4b4d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93SpeciesTable" displayName="EEZ393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93CommercialTable" displayName="EEZ393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93FunctionalTable" displayName="EEZ393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93ValidationTable" displayName="EEZ39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61e787c2945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6bdb751dbb44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aebe5e556a4e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c93fd2948e44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EEZ_393</x:v>
      </x:c>
      <x:c r="B2" s="24" t="str">
        <x:v>Japan (Daito Islands)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6496.075328226099</x:v>
      </x:c>
      <x:c r="J2" s="31" t="n">
        <x:v>6488.3372093327</x:v>
      </x:c>
      <x:c r="K2" s="31" t="n">
        <x:v>7.738118893399999</x:v>
      </x:c>
      <x:c r="L2" s="31" t="n">
        <x:v>6488.3372093327</x:v>
      </x:c>
      <x:c r="M2" s="31" t="n">
        <x:v>7.738118893399999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16697484.628221234</x:v>
      </x:c>
    </x:row>
    <x:row r="3" ht="18" customHeight="1">
      <x:c r="A3" s="24" t="str">
        <x:v>EEZ_393</x:v>
      </x:c>
      <x:c r="B3" s="24" t="str">
        <x:v>Japan (Daito Islands)</x:v>
      </x:c>
      <x:c r="C3" s="24" t="str">
        <x:v>EEZ</x:v>
      </x:c>
      <x:c r="D3" s="30" t="n">
        <x:v>2019</x:v>
      </x:c>
      <x:c r="E3" s="24" t="str">
        <x:v>Scomber</x:v>
      </x:c>
      <x:c r="F3" s="24" t="str">
        <x:v>Chub mackerels</x:v>
      </x:c>
      <x:c r="G3" s="24" t="str">
        <x:v>Medium pelagics (30 - 89 cm)</x:v>
      </x:c>
      <x:c r="H3" s="24" t="str">
        <x:v>Perch-likes</x:v>
      </x:c>
      <x:c r="I3" s="31" t="n">
        <x:v>3910.1737091733</x:v>
      </x:c>
      <x:c r="J3" s="31" t="n">
        <x:v>3910.1737091733</x:v>
      </x:c>
      <x:c r="K3" s="31" t="n">
        <x:v>0</x:v>
      </x:c>
      <x:c r="L3" s="31" t="n">
        <x:v>2364.8786179191</x:v>
      </x:c>
      <x:c r="M3" s="31" t="n">
        <x:v>1545.2950912541999</x:v>
      </x:c>
      <x:c r="N3" s="24" t="str">
        <x:v>scomber</x:v>
      </x:c>
      <x:c r="O3" s="32" t="n">
        <x:v>3.65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Scomber</x:v>
      </x:c>
      <x:c r="T3" s="32" t="n">
        <x:f>IF(O3="","",(1/'Metadata'!$B$5)^(O3-1))</x:f>
        <x:v>446.683592150963</x:v>
      </x:c>
      <x:c r="U3" s="31" t="n">
        <x:f>IF(T3="","",I3*T3)</x:f>
        <x:v>1746610.4383477846</x:v>
      </x:c>
    </x:row>
    <x:row r="4" ht="18" customHeight="1">
      <x:c r="A4" s="24" t="str">
        <x:v>EEZ_393</x:v>
      </x:c>
      <x:c r="B4" s="24" t="str">
        <x:v>Japan (Daito Islands)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1956.0068667656</x:v>
      </x:c>
      <x:c r="J4" s="31" t="n">
        <x:v>1955.8814059238</x:v>
      </x:c>
      <x:c r="K4" s="31" t="n">
        <x:v>0.1254608418</x:v>
      </x:c>
      <x:c r="L4" s="31" t="n">
        <x:v>1427.2475633413</x:v>
      </x:c>
      <x:c r="M4" s="31" t="n">
        <x:v>528.7593034243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2194675.801252364</x:v>
      </x:c>
    </x:row>
    <x:row r="5" ht="18" customHeight="1">
      <x:c r="A5" s="24" t="str">
        <x:v>EEZ_393</x:v>
      </x:c>
      <x:c r="B5" s="24" t="str">
        <x:v>Japan (Daito Islands)</x:v>
      </x:c>
      <x:c r="C5" s="24" t="str">
        <x:v>EEZ</x:v>
      </x:c>
      <x:c r="D5" s="30" t="n">
        <x:v>2019</x:v>
      </x:c>
      <x:c r="E5" s="24" t="str">
        <x:v>Cololabis saira</x:v>
      </x:c>
      <x:c r="F5" s="24" t="str">
        <x:v>Pacific saury</x:v>
      </x:c>
      <x:c r="G5" s="24" t="str">
        <x:v>Medium pelagics (30 - 89 cm)</x:v>
      </x:c>
      <x:c r="H5" s="24" t="str">
        <x:v>Other fishes &amp; inverts</x:v>
      </x:c>
      <x:c r="I5" s="31" t="n">
        <x:v>1791.3078677201</x:v>
      </x:c>
      <x:c r="J5" s="31" t="n">
        <x:v>1541.0706348244</x:v>
      </x:c>
      <x:c r="K5" s="31" t="n">
        <x:v>250.2372328957</x:v>
      </x:c>
      <x:c r="L5" s="31" t="n">
        <x:v>765.3531042531</x:v>
      </x:c>
      <x:c r="M5" s="31" t="n">
        <x:v>1025.954763467</x:v>
      </x:c>
      <x:c r="N5" s="24" t="str">
        <x:v>cololabis saira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Cololabis saira</x:v>
      </x:c>
      <x:c r="T5" s="32" t="n">
        <x:f>IF(O5="","",(1/'Metadata'!$B$5)^(O5-1))</x:f>
        <x:v>512.8613839913648</x:v>
      </x:c>
      <x:c r="U5" s="31" t="n">
        <x:f>IF(T5="","",I5*T5)</x:f>
        <x:v>918692.6321935512</x:v>
      </x:c>
    </x:row>
    <x:row r="6" ht="18" customHeight="1">
      <x:c r="A6" s="24" t="str">
        <x:v>EEZ_393</x:v>
      </x:c>
      <x:c r="B6" s="24" t="str">
        <x:v>Japan (Daito Islands)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1299.3887764195</x:v>
      </x:c>
      <x:c r="J6" s="31" t="n">
        <x:v>1278.7057593716</x:v>
      </x:c>
      <x:c r="K6" s="31" t="n">
        <x:v>20.683017047899998</x:v>
      </x:c>
      <x:c r="L6" s="31" t="n">
        <x:v>1278.7057593716</x:v>
      </x:c>
      <x:c r="M6" s="31" t="n">
        <x:v>20.683017047899998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3497350.115565091</x:v>
      </x:c>
    </x:row>
    <x:row r="7" ht="18" customHeight="1">
      <x:c r="A7" s="24" t="str">
        <x:v>EEZ_393</x:v>
      </x:c>
      <x:c r="B7" s="24" t="str">
        <x:v>Japan (Daito Islands)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1064.7139808642</x:v>
      </x:c>
      <x:c r="J7" s="31" t="n">
        <x:v>1061.6563952978</x:v>
      </x:c>
      <x:c r="K7" s="31" t="n">
        <x:v>3.0575855664</x:v>
      </x:c>
      <x:c r="L7" s="31" t="n">
        <x:v>544.0935027915</x:v>
      </x:c>
      <x:c r="M7" s="31" t="n">
        <x:v>520.6204780727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2495933.194015843</x:v>
      </x:c>
    </x:row>
    <x:row r="8" ht="18" customHeight="1">
      <x:c r="A8" s="24" t="str">
        <x:v>EEZ_393</x:v>
      </x:c>
      <x:c r="B8" s="24" t="str">
        <x:v>Japan (Daito Islands)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446.91319259930003</x:v>
      </x:c>
      <x:c r="J8" s="31" t="n">
        <x:v>403.0199642523</x:v>
      </x:c>
      <x:c r="K8" s="31" t="n">
        <x:v>43.893228347</x:v>
      </x:c>
      <x:c r="L8" s="31" t="n">
        <x:v>255.625875383</x:v>
      </x:c>
      <x:c r="M8" s="31" t="n">
        <x:v>191.2873172163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85157.55328375088</x:v>
      </x:c>
    </x:row>
    <x:row r="9" ht="18" customHeight="1">
      <x:c r="A9" s="24" t="str">
        <x:v>EEZ_393</x:v>
      </x:c>
      <x:c r="B9" s="24" t="str">
        <x:v>Japan (Daito Islands)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266.3107275216</x:v>
      </x:c>
      <x:c r="J9" s="31" t="n">
        <x:v>191.0331693222</x:v>
      </x:c>
      <x:c r="K9" s="31" t="n">
        <x:v>75.2775581994</x:v>
      </x:c>
      <x:c r="L9" s="31" t="n">
        <x:v>191.0331693222</x:v>
      </x:c>
      <x:c r="M9" s="31" t="n">
        <x:v>75.2775581994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596195.4551301186</x:v>
      </x:c>
    </x:row>
    <x:row r="10" ht="18" customHeight="1">
      <x:c r="A10" s="24" t="str">
        <x:v>EEZ_393</x:v>
      </x:c>
      <x:c r="B10" s="24" t="str">
        <x:v>Japan (Daito Islands)</x:v>
      </x:c>
      <x:c r="C10" s="24" t="str">
        <x:v>EEZ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262.6338259635</x:v>
      </x:c>
      <x:c r="J10" s="31" t="n">
        <x:v>260.2530232187</x:v>
      </x:c>
      <x:c r="K10" s="31" t="n">
        <x:v>2.3808027448</x:v>
      </x:c>
      <x:c r="L10" s="31" t="n">
        <x:v>260.2530232187</x:v>
      </x:c>
      <x:c r="M10" s="31" t="n">
        <x:v>2.3808027448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524023.37558106665</x:v>
      </x:c>
    </x:row>
    <x:row r="11" ht="18" customHeight="1">
      <x:c r="A11" s="24" t="str">
        <x:v>EEZ_393</x:v>
      </x:c>
      <x:c r="B11" s="24" t="str">
        <x:v>Japan (Daito Islands)</x:v>
      </x:c>
      <x:c r="C11" s="24" t="str">
        <x:v>EEZ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98.17108471120001</x:v>
      </x:c>
      <x:c r="J11" s="31" t="n">
        <x:v>6.8898639426</x:v>
      </x:c>
      <x:c r="K11" s="31" t="n">
        <x:v>91.28122076860001</x:v>
      </x:c>
      <x:c r="L11" s="31" t="n">
        <x:v>6.8898639426</x:v>
      </x:c>
      <x:c r="M11" s="31" t="n">
        <x:v>91.28122076860001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310444.22805672535</x:v>
      </x:c>
    </x:row>
    <x:row r="12" ht="18" customHeight="1">
      <x:c r="A12" s="24" t="str">
        <x:v>EEZ_393</x:v>
      </x:c>
      <x:c r="B12" s="24" t="str">
        <x:v>Japan (Daito Islands)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47.5365160688</x:v>
      </x:c>
      <x:c r="J12" s="31" t="n">
        <x:v>38.320964614</x:v>
      </x:c>
      <x:c r="K12" s="31" t="n">
        <x:v>9.2155514548</x:v>
      </x:c>
      <x:c r="L12" s="31" t="n">
        <x:v>38.320964614</x:v>
      </x:c>
      <x:c r="M12" s="31" t="n">
        <x:v>9.2155514548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10642.100337711612</x:v>
      </x:c>
    </x:row>
    <x:row r="13" ht="18" customHeight="1">
      <x:c r="A13" s="24" t="str">
        <x:v>EEZ_393</x:v>
      </x:c>
      <x:c r="B13" s="24" t="str">
        <x:v>Japan (Daito Islands)</x:v>
      </x:c>
      <x:c r="C13" s="24" t="str">
        <x:v>EEZ</x:v>
      </x:c>
      <x:c r="D13" s="30" t="n">
        <x:v>2019</x:v>
      </x:c>
      <x:c r="E13" s="24" t="str">
        <x:v>Alopias</x:v>
      </x:c>
      <x:c r="F13" s="24" t="str">
        <x:v>Thresher sharks</x:v>
      </x:c>
      <x:c r="G13" s="24" t="str">
        <x:v>Large sharks (&gt;=90 cm)</x:v>
      </x:c>
      <x:c r="H13" s="24" t="str">
        <x:v>Sharks &amp; rays</x:v>
      </x:c>
      <x:c r="I13" s="31" t="n">
        <x:v>43.3517940413</x:v>
      </x:c>
      <x:c r="J13" s="31" t="n">
        <x:v>43.1576379509</x:v>
      </x:c>
      <x:c r="K13" s="31" t="n">
        <x:v>0.1941560904</x:v>
      </x:c>
      <x:c r="L13" s="31" t="n">
        <x:v>43.1576379509</x:v>
      </x:c>
      <x:c r="M13" s="31" t="n">
        <x:v>0.1941560904</x:v>
      </x:c>
      <x:c r="N13" s="24" t="str">
        <x:v>alopias</x:v>
      </x:c>
      <x:c r="O13" s="32" t="n">
        <x:v>4.5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Alopias</x:v>
      </x:c>
      <x:c r="T13" s="32" t="n">
        <x:f>IF(O13="","",(1/'Metadata'!$B$5)^(O13-1))</x:f>
        <x:v>3162.2776601683795</x:v>
      </x:c>
      <x:c r="U13" s="31" t="n">
        <x:f>IF(T13="","",I13*T13)</x:f>
        <x:v>137090.40982502367</x:v>
      </x:c>
    </x:row>
    <x:row r="14" ht="18" customHeight="1">
      <x:c r="A14" s="24" t="str">
        <x:v>EEZ_393</x:v>
      </x:c>
      <x:c r="B14" s="24" t="str">
        <x:v>Japan (Daito Islands)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24.5923371595</x:v>
      </x:c>
      <x:c r="J14" s="31" t="n">
        <x:v>23.8509428624</x:v>
      </x:c>
      <x:c r="K14" s="31" t="n">
        <x:v>0.7413942971</x:v>
      </x:c>
      <x:c r="L14" s="31" t="n">
        <x:v>23.8509428624</x:v>
      </x:c>
      <x:c r="M14" s="31" t="n">
        <x:v>0.7413942971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75997.58719883714</x:v>
      </x:c>
    </x:row>
    <x:row r="15" ht="18" customHeight="1">
      <x:c r="A15" s="24" t="str">
        <x:v>EEZ_393</x:v>
      </x:c>
      <x:c r="B15" s="24" t="str">
        <x:v>Japan (Daito Islands)</x:v>
      </x:c>
      <x:c r="C15" s="24" t="str">
        <x:v>EEZ</x:v>
      </x:c>
      <x:c r="D15" s="30" t="n">
        <x:v>2019</x:v>
      </x:c>
      <x:c r="E15" s="24" t="str">
        <x:v>Xiphias gladius</x:v>
      </x:c>
      <x:c r="F15" s="24" t="str">
        <x:v>Swordfish</x:v>
      </x:c>
      <x:c r="G15" s="24" t="str">
        <x:v>Large pelagics (&gt;=90 cm)</x:v>
      </x:c>
      <x:c r="H15" s="24" t="str">
        <x:v>Tuna &amp; billfishes</x:v>
      </x:c>
      <x:c r="I15" s="31" t="n">
        <x:v>23.0315856373</x:v>
      </x:c>
      <x:c r="J15" s="31" t="n">
        <x:v>11.5819829268</x:v>
      </x:c>
      <x:c r="K15" s="31" t="n">
        <x:v>11.4496027105</x:v>
      </x:c>
      <x:c r="L15" s="31" t="n">
        <x:v>11.5819829268</x:v>
      </x:c>
      <x:c r="M15" s="31" t="n">
        <x:v>11.4496027105</x:v>
      </x:c>
      <x:c r="N15" s="24" t="str">
        <x:v>xiphias gladius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Xiphias gladius</x:v>
      </x:c>
      <x:c r="T15" s="32" t="n">
        <x:f>IF(O15="","",(1/'Metadata'!$B$5)^(O15-1))</x:f>
        <x:v>3388.4415613920273</x:v>
      </x:c>
      <x:c r="U15" s="31" t="n">
        <x:f>IF(T15="","",I15*T15)</x:f>
        <x:v>78041.181998187</x:v>
      </x:c>
    </x:row>
    <x:row r="16" ht="18" customHeight="1">
      <x:c r="A16" s="24" t="str">
        <x:v>EEZ_393</x:v>
      </x:c>
      <x:c r="B16" s="24" t="str">
        <x:v>Japan (Daito Islands)</x:v>
      </x:c>
      <x:c r="C16" s="24" t="str">
        <x:v>EEZ</x:v>
      </x:c>
      <x:c r="D16" s="30" t="n">
        <x:v>2019</x:v>
      </x:c>
      <x:c r="E16" s="24" t="str">
        <x:v>Teuthida</x:v>
      </x:c>
      <x:c r="F16" s="24" t="str">
        <x:v>Squids</x:v>
      </x:c>
      <x:c r="G16" s="24" t="str">
        <x:v>Cephalopods</x:v>
      </x:c>
      <x:c r="H16" s="24" t="str">
        <x:v>Other fishes &amp; inverts</x:v>
      </x:c>
      <x:c r="I16" s="31" t="n">
        <x:v>16.3571202695</x:v>
      </x:c>
      <x:c r="J16" s="31" t="n">
        <x:v>16.3571202695</x:v>
      </x:c>
      <x:c r="K16" s="31" t="n">
        <x:v>0</x:v>
      </x:c>
      <x:c r="L16" s="31" t="n">
        <x:v>16.3571202695</x:v>
      </x:c>
      <x:c r="M16" s="31" t="n">
        <x:v>0</x:v>
      </x:c>
      <x:c r="N16" s="24" t="str">
        <x:v>teuthida</x:v>
      </x:c>
      <x:c r="O16" s="32" t="n">
        <x:v>4.13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Teuthida</x:v>
      </x:c>
      <x:c r="T16" s="32" t="n">
        <x:f>IF(O16="","",(1/'Metadata'!$B$5)^(O16-1))</x:f>
        <x:v>1348.9628825916532</x:v>
      </x:c>
      <x:c r="U16" s="31" t="n">
        <x:f>IF(T16="","",I16*T16)</x:f>
        <x:v>22065.14810964308</x:v>
      </x:c>
    </x:row>
    <x:row r="17" ht="18" customHeight="1">
      <x:c r="A17" s="24" t="str">
        <x:v>EEZ_393</x:v>
      </x:c>
      <x:c r="B17" s="24" t="str">
        <x:v>Japan (Daito Islands)</x:v>
      </x:c>
      <x:c r="C17" s="24" t="str">
        <x:v>EEZ</x:v>
      </x:c>
      <x:c r="D17" s="30" t="n">
        <x:v>2019</x:v>
      </x:c>
      <x:c r="E17" s="24" t="str">
        <x:v>Mola mola</x:v>
      </x:c>
      <x:c r="F17" s="24" t="str">
        <x:v>Ocean sunfish</x:v>
      </x:c>
      <x:c r="G17" s="24" t="str">
        <x:v>Large pelagics (&gt;=90 cm)</x:v>
      </x:c>
      <x:c r="H17" s="24" t="str">
        <x:v>Other fishes &amp; inverts</x:v>
      </x:c>
      <x:c r="I17" s="31" t="n">
        <x:v>12.2903582843</x:v>
      </x:c>
      <x:c r="J17" s="31" t="n">
        <x:v>12.2903582843</x:v>
      </x:c>
      <x:c r="K17" s="31" t="n">
        <x:v>0</x:v>
      </x:c>
      <x:c r="L17" s="31" t="n">
        <x:v>10.3104008697</x:v>
      </x:c>
      <x:c r="M17" s="31" t="n">
        <x:v>1.9799574145999999</x:v>
      </x:c>
      <x:c r="N17" s="24" t="str">
        <x:v>mola mola</x:v>
      </x:c>
      <x:c r="O17" s="32" t="n">
        <x:v>3.68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Mola mola</x:v>
      </x:c>
      <x:c r="T17" s="32" t="n">
        <x:f>IF(O17="","",(1/'Metadata'!$B$5)^(O17-1))</x:f>
        <x:v>478.6300923226385</x:v>
      </x:c>
      <x:c r="U17" s="31" t="n">
        <x:f>IF(T17="","",I17*T17)</x:f>
        <x:v>5882.5353202928145</x:v>
      </x:c>
    </x:row>
    <x:row r="18" ht="18" customHeight="1">
      <x:c r="A18" s="24" t="str">
        <x:v>EEZ_393</x:v>
      </x:c>
      <x:c r="B18" s="24" t="str">
        <x:v>Japan (Daito Islands)</x:v>
      </x:c>
      <x:c r="C18" s="24" t="str">
        <x:v>EEZ</x:v>
      </x:c>
      <x:c r="D18" s="30" t="n">
        <x:v>2019</x:v>
      </x:c>
      <x:c r="E18" s="24" t="str">
        <x:v>Thunnus orientalis</x:v>
      </x:c>
      <x:c r="F18" s="24" t="str">
        <x:v>Pacific bluefin tuna</x:v>
      </x:c>
      <x:c r="G18" s="24" t="str">
        <x:v>Large pelagics (&gt;=90 cm)</x:v>
      </x:c>
      <x:c r="H18" s="24" t="str">
        <x:v>Tuna &amp; billfishes</x:v>
      </x:c>
      <x:c r="I18" s="31" t="n">
        <x:v>12.2510129654</x:v>
      </x:c>
      <x:c r="J18" s="31" t="n">
        <x:v>12.1783418349</x:v>
      </x:c>
      <x:c r="K18" s="31" t="n">
        <x:v>0.0726711305</x:v>
      </x:c>
      <x:c r="L18" s="31" t="n">
        <x:v>12.1783418349</x:v>
      </x:c>
      <x:c r="M18" s="31" t="n">
        <x:v>0.0726711305</x:v>
      </x:c>
      <x:c r="N18" s="24" t="str">
        <x:v>thunnus orientalis</x:v>
      </x:c>
      <x:c r="O18" s="32" t="n">
        <x:v>4.05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orientalis</x:v>
      </x:c>
      <x:c r="T18" s="32" t="n">
        <x:f>IF(O18="","",(1/'Metadata'!$B$5)^(O18-1))</x:f>
        <x:v>1122.018454301963</x:v>
      </x:c>
      <x:c r="U18" s="31" t="n">
        <x:f>IF(T18="","",I18*T18)</x:f>
        <x:v>13745.862631071415</x:v>
      </x:c>
    </x:row>
    <x:row r="19" ht="18" customHeight="1">
      <x:c r="A19" s="24" t="str">
        <x:v>EEZ_393</x:v>
      </x:c>
      <x:c r="B19" s="24" t="str">
        <x:v>Japan (Daito Islands)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10.2722746691</x:v>
      </x:c>
      <x:c r="J19" s="31" t="n">
        <x:v>0</x:v>
      </x:c>
      <x:c r="K19" s="31" t="n">
        <x:v>10.2722746691</x:v>
      </x:c>
      <x:c r="L19" s="31" t="n">
        <x:v>0</x:v>
      </x:c>
      <x:c r="M19" s="31" t="n">
        <x:v>10.2722746691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18692.467035238846</x:v>
      </x:c>
    </x:row>
    <x:row r="20" ht="18" customHeight="1">
      <x:c r="A20" s="24" t="str">
        <x:v>EEZ_393</x:v>
      </x:c>
      <x:c r="B20" s="24" t="str">
        <x:v>Japan (Daito Islands)</x:v>
      </x:c>
      <x:c r="C20" s="24" t="str">
        <x:v>EEZ</x:v>
      </x:c>
      <x:c r="D20" s="30" t="n">
        <x:v>2019</x:v>
      </x:c>
      <x:c r="E20" s="24" t="str">
        <x:v>Kajikia audax</x:v>
      </x:c>
      <x:c r="F20" s="24" t="str">
        <x:v>Striped marlin</x:v>
      </x:c>
      <x:c r="G20" s="24" t="str">
        <x:v>Large pelagics (&gt;=90 cm)</x:v>
      </x:c>
      <x:c r="H20" s="24" t="str">
        <x:v>Tuna &amp; billfishes</x:v>
      </x:c>
      <x:c r="I20" s="31" t="n">
        <x:v>7.1119889487</x:v>
      </x:c>
      <x:c r="J20" s="31" t="n">
        <x:v>7.1119889487</x:v>
      </x:c>
      <x:c r="K20" s="31" t="n">
        <x:v>0</x:v>
      </x:c>
      <x:c r="L20" s="31" t="n">
        <x:v>7.1119889487</x:v>
      </x:c>
      <x:c r="M20" s="31" t="n">
        <x:v>0</x:v>
      </x:c>
      <x:c r="N20" s="24" t="str">
        <x:v>kajikia audax</x:v>
      </x:c>
      <x:c r="O20" s="32" t="n">
        <x:v>4.58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Kajikia audax</x:v>
      </x:c>
      <x:c r="T20" s="32" t="n">
        <x:f>IF(O20="","",(1/'Metadata'!$B$5)^(O20-1))</x:f>
        <x:v>3801.8939632056126</x:v>
      </x:c>
      <x:c r="U20" s="31" t="n">
        <x:f>IF(T20="","",I20*T20)</x:f>
        <x:v>27039.02785044756</x:v>
      </x:c>
    </x:row>
    <x:row r="21" ht="18" customHeight="1">
      <x:c r="A21" s="24" t="str">
        <x:v>EEZ_393</x:v>
      </x:c>
      <x:c r="B21" s="24" t="str">
        <x:v>Japan (Daito Islands)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5.237826232600001</x:v>
      </x:c>
      <x:c r="J21" s="31" t="n">
        <x:v>5.237826232600001</x:v>
      </x:c>
      <x:c r="K21" s="31" t="n">
        <x:v>0</x:v>
      </x:c>
      <x:c r="L21" s="31" t="n">
        <x:v>0</x:v>
      </x:c>
      <x:c r="M21" s="31" t="n">
        <x:v>5.237826232600001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5876.937693404127</x:v>
      </x:c>
    </x:row>
    <x:row r="22" ht="18" customHeight="1">
      <x:c r="A22" s="24" t="str">
        <x:v>EEZ_393</x:v>
      </x:c>
      <x:c r="B22" s="24" t="str">
        <x:v>Japan (Daito Islands)</x:v>
      </x:c>
      <x:c r="C22" s="24" t="str">
        <x:v>EEZ</x:v>
      </x:c>
      <x:c r="D22" s="30" t="n">
        <x:v>2019</x:v>
      </x:c>
      <x:c r="E22" s="24" t="str">
        <x:v>Scomberomorus commerson</x:v>
      </x:c>
      <x:c r="F22" s="24" t="str">
        <x:v>Narrow-barred Spanish mackerel</x:v>
      </x:c>
      <x:c r="G22" s="24" t="str">
        <x:v>Large pelagics (&gt;=90 cm)</x:v>
      </x:c>
      <x:c r="H22" s="24" t="str">
        <x:v>Perch-likes</x:v>
      </x:c>
      <x:c r="I22" s="31" t="n">
        <x:v>3.9011212494</x:v>
      </x:c>
      <x:c r="J22" s="31" t="n">
        <x:v>3.9011212494</x:v>
      </x:c>
      <x:c r="K22" s="31" t="n">
        <x:v>0</x:v>
      </x:c>
      <x:c r="L22" s="31" t="n">
        <x:v>3.9011212494</x:v>
      </x:c>
      <x:c r="M22" s="31" t="n">
        <x:v>0</x:v>
      </x:c>
      <x:c r="N22" s="24" t="str">
        <x:v>scomberomorus commerson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Scomberomorus commerson</x:v>
      </x:c>
      <x:c r="T22" s="32" t="n">
        <x:f>IF(O22="","",(1/'Metadata'!$B$5)^(O22-1))</x:f>
        <x:v>3162.2776601683795</x:v>
      </x:c>
      <x:c r="U22" s="31" t="n">
        <x:f>IF(T22="","",I22*T22)</x:f>
        <x:v>12336.428576585777</x:v>
      </x:c>
    </x:row>
    <x:row r="23" ht="18" customHeight="1">
      <x:c r="A23" s="24" t="str">
        <x:v>EEZ_393</x:v>
      </x:c>
      <x:c r="B23" s="24" t="str">
        <x:v>Japan (Daito Islands)</x:v>
      </x:c>
      <x:c r="C23" s="24" t="str">
        <x:v>EEZ</x:v>
      </x:c>
      <x:c r="D23" s="30" t="n">
        <x:v>2019</x:v>
      </x:c>
      <x:c r="E23" s="24" t="str">
        <x:v>Istiophoridae</x:v>
      </x:c>
      <x:c r="F23" s="24" t="str">
        <x:v>Billfishes</x:v>
      </x:c>
      <x:c r="G23" s="24" t="str">
        <x:v>Large pelagics (&gt;=90 cm)</x:v>
      </x:c>
      <x:c r="H23" s="24" t="str">
        <x:v>Tuna &amp; billfishes</x:v>
      </x:c>
      <x:c r="I23" s="31" t="n">
        <x:v>3.6311935096</x:v>
      </x:c>
      <x:c r="J23" s="31" t="n">
        <x:v>1.6921158895</x:v>
      </x:c>
      <x:c r="K23" s="31" t="n">
        <x:v>1.9390776201</x:v>
      </x:c>
      <x:c r="L23" s="31" t="n">
        <x:v>1.6921158895</x:v>
      </x:c>
      <x:c r="M23" s="31" t="n">
        <x:v>1.9390776201</x:v>
      </x:c>
      <x:c r="N23" s="24" t="str">
        <x:v>istiophoridae</x:v>
      </x:c>
      <x:c r="O23" s="32" t="n">
        <x:v>4.48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Istiophoridae</x:v>
      </x:c>
      <x:c r="T23" s="32" t="n">
        <x:f>IF(O23="","",(1/'Metadata'!$B$5)^(O23-1))</x:f>
        <x:v>3019.951720402019</x:v>
      </x:c>
      <x:c r="U23" s="31" t="n">
        <x:f>IF(T23="","",I23*T23)</x:f>
        <x:v>10966.029086429166</x:v>
      </x:c>
    </x:row>
    <x:row r="24" ht="18" customHeight="1">
      <x:c r="A24" s="24" t="str">
        <x:v>EEZ_393</x:v>
      </x:c>
      <x:c r="B24" s="24" t="str">
        <x:v>Japan (Daito Islands)</x:v>
      </x:c>
      <x:c r="C24" s="24" t="str">
        <x:v>EEZ</x:v>
      </x:c>
      <x:c r="D24" s="30" t="n">
        <x:v>2019</x:v>
      </x:c>
      <x:c r="E24" s="24" t="str">
        <x:v>Carcharhinus longimanus</x:v>
      </x:c>
      <x:c r="F24" s="24" t="str">
        <x:v>Oceanic whitetip shark</x:v>
      </x:c>
      <x:c r="G24" s="24" t="str">
        <x:v>Large sharks (&gt;=90 cm)</x:v>
      </x:c>
      <x:c r="H24" s="24" t="str">
        <x:v>Sharks &amp; rays</x:v>
      </x:c>
      <x:c r="I24" s="31" t="n">
        <x:v>2.9862315641</x:v>
      </x:c>
      <x:c r="J24" s="31" t="n">
        <x:v>0.0000093997</x:v>
      </x:c>
      <x:c r="K24" s="31" t="n">
        <x:v>2.9862221644</x:v>
      </x:c>
      <x:c r="L24" s="31" t="n">
        <x:v>0.0000093997</x:v>
      </x:c>
      <x:c r="M24" s="31" t="n">
        <x:v>2.9862221644</x:v>
      </x:c>
      <x:c r="N24" s="24" t="str">
        <x:v>carcharhinus longimanus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longimanus</x:v>
      </x:c>
      <x:c r="T24" s="32" t="n">
        <x:f>IF(O24="","",(1/'Metadata'!$B$5)^(O24-1))</x:f>
        <x:v>1445.439770745928</x:v>
      </x:c>
      <x:c r="U24" s="31" t="n">
        <x:f>IF(T24="","",I24*T24)</x:f>
        <x:v>4316.417867406958</x:v>
      </x:c>
    </x:row>
    <x:row r="25" ht="18" customHeight="1">
      <x:c r="A25" s="24" t="str">
        <x:v>EEZ_393</x:v>
      </x:c>
      <x:c r="B25" s="24" t="str">
        <x:v>Japan (Daito Islands)</x:v>
      </x:c>
      <x:c r="C25" s="24" t="str">
        <x:v>EEZ</x:v>
      </x:c>
      <x:c r="D25" s="30" t="n">
        <x:v>2019</x:v>
      </x:c>
      <x:c r="E25" s="24" t="str">
        <x:v>Acanthocybium solandri</x:v>
      </x:c>
      <x:c r="F25" s="24" t="str">
        <x:v>Wahoo</x:v>
      </x:c>
      <x:c r="G25" s="24" t="str">
        <x:v>Large pelagics (&gt;=90 cm)</x:v>
      </x:c>
      <x:c r="H25" s="24" t="str">
        <x:v>Perch-likes</x:v>
      </x:c>
      <x:c r="I25" s="31" t="n">
        <x:v>1.9174005981</x:v>
      </x:c>
      <x:c r="J25" s="31" t="n">
        <x:v>0</x:v>
      </x:c>
      <x:c r="K25" s="31" t="n">
        <x:v>1.9174005981</x:v>
      </x:c>
      <x:c r="L25" s="31" t="n">
        <x:v>0</x:v>
      </x:c>
      <x:c r="M25" s="31" t="n">
        <x:v>1.9174005981</x:v>
      </x:c>
      <x:c r="N25" s="24" t="str">
        <x:v>acanthocybium solandri</x:v>
      </x:c>
      <x:c r="O25" s="32" t="n">
        <x:v>4.26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Acanthocybium solandri</x:v>
      </x:c>
      <x:c r="T25" s="32" t="n">
        <x:f>IF(O25="","",(1/'Metadata'!$B$5)^(O25-1))</x:f>
        <x:v>1819.7008586099826</x:v>
      </x:c>
      <x:c r="U25" s="31" t="n">
        <x:f>IF(T25="","",I25*T25)</x:f>
        <x:v>3489.095514661864</x:v>
      </x:c>
    </x:row>
    <x:row r="26" ht="18" customHeight="1">
      <x:c r="A26" s="24" t="str">
        <x:v>EEZ_393</x:v>
      </x:c>
      <x:c r="B26" s="24" t="str">
        <x:v>Japan (Daito Islands)</x:v>
      </x:c>
      <x:c r="C26" s="24" t="str">
        <x:v>EEZ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1.0005972864</x:v>
      </x:c>
      <x:c r="J26" s="31" t="n">
        <x:v>1.0005972864</x:v>
      </x:c>
      <x:c r="K26" s="31" t="n">
        <x:v>0</x:v>
      </x:c>
      <x:c r="L26" s="31" t="n">
        <x:v>1.0005972864</x:v>
      </x:c>
      <x:c r="M26" s="31" t="n">
        <x:v>0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1585.8398276104235</x:v>
      </x:c>
    </x:row>
    <x:row r="27" ht="18" customHeight="1">
      <x:c r="A27" s="24" t="str">
        <x:v>EEZ_393</x:v>
      </x:c>
      <x:c r="B27" s="24" t="str">
        <x:v>Japan (Daito Islands)</x:v>
      </x:c>
      <x:c r="C27" s="24" t="str">
        <x:v>EEZ</x:v>
      </x:c>
      <x:c r="D27" s="30" t="n">
        <x:v>2019</x:v>
      </x:c>
      <x:c r="E27" s="24" t="str">
        <x:v>Decapterus</x:v>
      </x:c>
      <x:c r="F27" s="24" t="str">
        <x:v>Scads</x:v>
      </x:c>
      <x:c r="G27" s="24" t="str">
        <x:v>Medium pelagics (30 - 89 cm)</x:v>
      </x:c>
      <x:c r="H27" s="24" t="str">
        <x:v>Perch-likes</x:v>
      </x:c>
      <x:c r="I27" s="31" t="n">
        <x:v>0.5420501327</x:v>
      </x:c>
      <x:c r="J27" s="31" t="n">
        <x:v>0.5420501327</x:v>
      </x:c>
      <x:c r="K27" s="31" t="n">
        <x:v>0</x:v>
      </x:c>
      <x:c r="L27" s="31" t="n">
        <x:v>0</x:v>
      </x:c>
      <x:c r="M27" s="31" t="n">
        <x:v>0.5420501327</x:v>
      </x:c>
      <x:c r="N27" s="24" t="str">
        <x:v>decapterus</x:v>
      </x:c>
      <x:c r="O27" s="32" t="n">
        <x:v>3.63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Decapterus</x:v>
      </x:c>
      <x:c r="T27" s="32" t="n">
        <x:f>IF(O27="","",(1/'Metadata'!$B$5)^(O27-1))</x:f>
        <x:v>426.57951880159254</x:v>
      </x:c>
      <x:c r="U27" s="31" t="n">
        <x:f>IF(T27="","",I27*T27)</x:f>
        <x:v>231.22748477350538</x:v>
      </x:c>
    </x:row>
    <x:row r="28" ht="18" customHeight="1">
      <x:c r="A28" s="24" t="str">
        <x:v>EEZ_393</x:v>
      </x:c>
      <x:c r="B28" s="24" t="str">
        <x:v>Japan (Daito Islands)</x:v>
      </x:c>
      <x:c r="C28" s="24" t="str">
        <x:v>EEZ</x:v>
      </x:c>
      <x:c r="D28" s="30" t="n">
        <x:v>2019</x:v>
      </x:c>
      <x:c r="E28" s="24" t="str">
        <x:v>Istiompax indica</x:v>
      </x:c>
      <x:c r="F28" s="24" t="str">
        <x:v>Black marlin</x:v>
      </x:c>
      <x:c r="G28" s="24" t="str">
        <x:v>Large pelagics (&gt;=90 cm)</x:v>
      </x:c>
      <x:c r="H28" s="24" t="str">
        <x:v>Tuna &amp; billfishes</x:v>
      </x:c>
      <x:c r="I28" s="31" t="n">
        <x:v>0.2049410677</x:v>
      </x:c>
      <x:c r="J28" s="31" t="n">
        <x:v>0.2049410677</x:v>
      </x:c>
      <x:c r="K28" s="31" t="n">
        <x:v>0</x:v>
      </x:c>
      <x:c r="L28" s="31" t="n">
        <x:v>0.2049410677</x:v>
      </x:c>
      <x:c r="M28" s="31" t="n">
        <x:v>0</x:v>
      </x:c>
      <x:c r="N28" s="24" t="str">
        <x:v>istiompax indica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Istiompax indica</x:v>
      </x:c>
      <x:c r="T28" s="32" t="n">
        <x:f>IF(O28="","",(1/'Metadata'!$B$5)^(O28-1))</x:f>
        <x:v>3162.2776601683795</x:v>
      </x:c>
      <x:c r="U28" s="31" t="n">
        <x:f>IF(T28="","",I28*T28)</x:f>
        <x:v>648.0805600387655</x:v>
      </x:c>
    </x:row>
    <x:row r="29" ht="18" customHeight="1">
      <x:c r="A29" s="24" t="str">
        <x:v>EEZ_393</x:v>
      </x:c>
      <x:c r="B29" s="24" t="str">
        <x:v>Japan (Daito Islands)</x:v>
      </x:c>
      <x:c r="C29" s="24" t="str">
        <x:v>EEZ</x:v>
      </x:c>
      <x:c r="D29" s="30" t="n">
        <x:v>2019</x:v>
      </x:c>
      <x:c r="E29" s="24" t="str">
        <x:v>Sphyraena barracuda</x:v>
      </x:c>
      <x:c r="F29" s="24" t="str">
        <x:v>Great barracuda</x:v>
      </x:c>
      <x:c r="G29" s="24" t="str">
        <x:v>Large pelagics (&gt;=90 cm)</x:v>
      </x:c>
      <x:c r="H29" s="24" t="str">
        <x:v>Perch-likes</x:v>
      </x:c>
      <x:c r="I29" s="31" t="n">
        <x:v>0.1660321866</x:v>
      </x:c>
      <x:c r="J29" s="31" t="n">
        <x:v>0</x:v>
      </x:c>
      <x:c r="K29" s="31" t="n">
        <x:v>0.1660321866</x:v>
      </x:c>
      <x:c r="L29" s="31" t="n">
        <x:v>0</x:v>
      </x:c>
      <x:c r="M29" s="31" t="n">
        <x:v>0.1660321866</x:v>
      </x:c>
      <x:c r="N29" s="24" t="str">
        <x:v>sphyraena barracuda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Sphyraena barracuda</x:v>
      </x:c>
      <x:c r="T29" s="32" t="n">
        <x:f>IF(O29="","",(1/'Metadata'!$B$5)^(O29-1))</x:f>
        <x:v>3090.295432513592</x:v>
      </x:c>
      <x:c r="U29" s="31" t="n">
        <x:f>IF(T29="","",I29*T29)</x:f>
        <x:v>513.0885079002244</x:v>
      </x:c>
    </x:row>
    <x:row r="30" ht="18" customHeight="1">
      <x:c r="A30" s="24" t="str">
        <x:v>EEZ_393</x:v>
      </x:c>
      <x:c r="B30" s="24" t="str">
        <x:v>Japan (Daito Islands)</x:v>
      </x:c>
      <x:c r="C30" s="24" t="str">
        <x:v>EEZ</x:v>
      </x:c>
      <x:c r="D30" s="30" t="n">
        <x:v>2019</x:v>
      </x:c>
      <x:c r="E30" s="24" t="str">
        <x:v>Bramidae</x:v>
      </x:c>
      <x:c r="F30" s="24" t="str">
        <x:v>Pomfrets</x:v>
      </x:c>
      <x:c r="G30" s="24" t="str">
        <x:v>Medium pelagics (30 - 89 cm)</x:v>
      </x:c>
      <x:c r="H30" s="24" t="str">
        <x:v>Perch-likes</x:v>
      </x:c>
      <x:c r="I30" s="31" t="n">
        <x:v>0.0205095527</x:v>
      </x:c>
      <x:c r="J30" s="31" t="n">
        <x:v>0</x:v>
      </x:c>
      <x:c r="K30" s="31" t="n">
        <x:v>0.0205095527</x:v>
      </x:c>
      <x:c r="L30" s="31" t="n">
        <x:v>0</x:v>
      </x:c>
      <x:c r="M30" s="31" t="n">
        <x:v>0.0205095527</x:v>
      </x:c>
      <x:c r="N30" s="24" t="str">
        <x:v>bramidae</x:v>
      </x:c>
      <x:c r="O30" s="32" t="n">
        <x:v>4.14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Bramidae</x:v>
      </x:c>
      <x:c r="T30" s="32" t="n">
        <x:f>IF(O30="","",(1/'Metadata'!$B$5)^(O30-1))</x:f>
        <x:v>1380.3842646028838</x:v>
      </x:c>
      <x:c r="U30" s="31" t="n">
        <x:f>IF(T30="","",I30*T30)</x:f>
        <x:v>28.31106382112359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8861e787c2945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2314.405054942</x:v>
      </x:c>
      <x:c r="C2" s="32" t="n">
        <x:v>3.622381569334722</x:v>
      </x:c>
      <x:c r="D2" s="32" t="n">
        <x:f>IF(C2="","",(1/'Metadata'!$B$5)^(C2-1))</x:f>
        <x:v>419.161677098446</x:v>
      </x:c>
      <x:c r="E2" s="31" t="n">
        <x:f>IF(B2=0,"",B2*D2)</x:f>
        <x:v>970109.9043146097</x:v>
      </x:c>
    </x:row>
    <x:row r="3" ht="18" customHeight="1">
      <x:c r="A3" s="24" t="str">
        <x:v>Perch-likes</x:v>
      </x:c>
      <x:c r="B3" s="31" t="n">
        <x:v>4996.9449046587</x:v>
      </x:c>
      <x:c r="C3" s="32" t="n">
        <x:v>3.80601123131823</x:v>
      </x:c>
      <x:c r="D3" s="32" t="n">
        <x:f>IF(C3="","",(1/'Metadata'!$B$5)^(C3-1))</x:f>
        <x:v>639.7513799213347</x:v>
      </x:c>
      <x:c r="E3" s="31" t="n">
        <x:f>IF(B3=0,"",B3*D3)</x:f>
        <x:v>3196802.398146285</x:v>
      </x:c>
    </x:row>
    <x:row r="4" ht="18" customHeight="1">
      <x:c r="A4" s="24" t="str">
        <x:v>Sharks &amp; rays</x:v>
      </x:c>
      <x:c r="B4" s="31" t="n">
        <x:v>2367.8273018901996</x:v>
      </x:c>
      <x:c r="C4" s="32" t="n">
        <x:v>4.110839356250821</x:v>
      </x:c>
      <x:c r="D4" s="32" t="n">
        <x:f>IF(C4="","",(1/'Metadata'!$B$5)^(C4-1))</x:f>
        <x:v>1290.741745218801</x:v>
      </x:c>
      <x:c r="E4" s="31" t="n">
        <x:f>IF(B4=0,"",B4*D4)</x:f>
        <x:v>3056253.544018481</x:v>
      </x:c>
    </x:row>
    <x:row r="5" ht="18" customHeight="1">
      <x:c r="A5" s="24" t="str">
        <x:v>Tuna &amp; billfishes</x:v>
      </x:c>
      <x:c r="B5" s="31" t="n">
        <x:v>8128.9209898972995</x:v>
      </x:c>
      <x:c r="C5" s="32" t="n">
        <x:v>4.409864746331743</x:v>
      </x:c>
      <x:c r="D5" s="32" t="n">
        <x:f>IF(C5="","",(1/'Metadata'!$B$5)^(C5-1))</x:f>
        <x:v>2569.5954011317704</x:v>
      </x:c>
      <x:c r="E5" s="31" t="n">
        <x:f>IF(B5=0,"",B5*D5)</x:f>
        <x:v>20888037.99180362</x:v>
      </x:c>
    </x:row>
  </x:sheetData>
  <x:pageMargins left="0.7" right="0.7" top="0.75" bottom="0.75" header="0.3" footer="0.3"/>
  <x:tableParts count="1">
    <x:tablePart xmlns:r="http://schemas.openxmlformats.org/officeDocument/2006/relationships" r:id="R136bdb751dbb44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16.3571202695</x:v>
      </x:c>
      <x:c r="C2" s="32" t="n">
        <x:v>4.13</x:v>
      </x:c>
      <x:c r="D2" s="32" t="n">
        <x:f>IF(C2="","",(1/'Metadata'!$B$5)^(C2-1))</x:f>
        <x:v>1348.9628825916532</x:v>
      </x:c>
      <x:c r="E2" s="31" t="n">
        <x:f>IF(B2=0,"",B2*D2)</x:f>
        <x:v>22065.14810964308</x:v>
      </x:c>
    </x:row>
    <x:row r="3" ht="18" customHeight="1">
      <x:c r="A3" s="24" t="str">
        <x:v>Large pelagics (&gt;=90 cm)</x:v>
      </x:c>
      <x:c r="B3" s="31" t="n">
        <x:v>9211.909883079898</x:v>
      </x:c>
      <x:c r="C3" s="32" t="n">
        <x:v>4.404291822821251</x:v>
      </x:c>
      <x:c r="D3" s="32" t="n">
        <x:f>IF(C3="","",(1/'Metadata'!$B$5)^(C3-1))</x:f>
        <x:v>2536.8326747159986</x:v>
      </x:c>
      <x:c r="E3" s="31" t="n">
        <x:f>IF(B3=0,"",B3*D3)</x:f>
        <x:v>23369073.987936318</x:v>
      </x:c>
    </x:row>
    <x:row r="4" ht="18" customHeight="1">
      <x:c r="A4" s="24" t="str">
        <x:v>Large sharks (&gt;=90 cm)</x:v>
      </x:c>
      <x:c r="B4" s="31" t="n">
        <x:v>2367.8273018901996</x:v>
      </x:c>
      <x:c r="C4" s="32" t="n">
        <x:v>4.110839356250821</x:v>
      </x:c>
      <x:c r="D4" s="32" t="n">
        <x:f>IF(C4="","",(1/'Metadata'!$B$5)^(C4-1))</x:f>
        <x:v>1290.741745218801</x:v>
      </x:c>
      <x:c r="E4" s="31" t="n">
        <x:f>IF(B4=0,"",B4*D4)</x:f>
        <x:v>3056253.544018481</x:v>
      </x:c>
    </x:row>
    <x:row r="5" ht="18" customHeight="1">
      <x:c r="A5" s="24" t="str">
        <x:v>Medium demersals (30 - 89 cm)</x:v>
      </x:c>
      <x:c r="B5" s="31" t="n">
        <x:v>446.91319259930003</x:v>
      </x:c>
      <x:c r="C5" s="32" t="n">
        <x:v>3.2800000000000002</x:v>
      </x:c>
      <x:c r="D5" s="32" t="n">
        <x:f>IF(C5="","",(1/'Metadata'!$B$5)^(C5-1))</x:f>
        <x:v>190.54607179632484</x:v>
      </x:c>
      <x:c r="E5" s="31" t="n">
        <x:f>IF(B5=0,"",B5*D5)</x:f>
        <x:v>85157.55328375097</x:v>
      </x:c>
    </x:row>
    <x:row r="6" ht="18" customHeight="1">
      <x:c r="A6" s="24" t="str">
        <x:v>Medium pelagics (30 - 89 cm)</x:v>
      </x:c>
      <x:c r="B6" s="31" t="n">
        <x:v>5765.090753549299</x:v>
      </x:c>
      <x:c r="C6" s="32" t="n">
        <x:v>3.6676194874121264</x:v>
      </x:c>
      <x:c r="D6" s="32" t="n">
        <x:f>IF(C6="","",(1/'Metadata'!$B$5)^(C6-1))</x:f>
        <x:v>465.17834304884303</x:v>
      </x:c>
      <x:c r="E6" s="31" t="n">
        <x:f>IF(B6=0,"",B6*D6)</x:f>
        <x:v>2681795.364262269</x:v>
      </x:c>
    </x:row>
  </x:sheetData>
  <x:pageMargins left="0.7" right="0.7" top="0.75" bottom="0.75" header="0.3" footer="0.3"/>
  <x:tableParts count="1">
    <x:tablePart xmlns:r="http://schemas.openxmlformats.org/officeDocument/2006/relationships" r:id="R34aebe5e556a4e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EEZ_393</x:v>
      </x:c>
      <x:c r="B2" s="24" t="str">
        <x:v>raw_filtered_tonnes</x:v>
      </x:c>
      <x:c r="C2" s="24" t="n">
        <x:v>17808.098251388197</x:v>
      </x:c>
      <x:c r="D2" s="24" t="str">
        <x:v>tonnes</x:v>
      </x:c>
    </x:row>
    <x:row r="3" ht="18" customHeight="1">
      <x:c r="A3" s="24" t="str">
        <x:v>EEZ_393</x:v>
      </x:c>
      <x:c r="B3" s="24" t="str">
        <x:v>species_catch_tonnes</x:v>
      </x:c>
      <x:c r="C3" s="24" t="n">
        <x:v>17808.098251388197</x:v>
      </x:c>
      <x:c r="D3" s="24" t="str">
        <x:v>tonnes</x:v>
      </x:c>
    </x:row>
    <x:row r="4" ht="18" customHeight="1">
      <x:c r="A4" s="24" t="str">
        <x:v>EEZ_393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EEZ_393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EEZ_393</x:v>
      </x:c>
      <x:c r="B6" s="24" t="str">
        <x:v>matched_catch_tonnes</x:v>
      </x:c>
      <x:c r="C6" s="24" t="n">
        <x:v>17808.098251388197</x:v>
      </x:c>
      <x:c r="D6" s="24" t="str">
        <x:v>tonnes</x:v>
      </x:c>
    </x:row>
    <x:row r="7" ht="18" customHeight="1">
      <x:c r="A7" s="24" t="str">
        <x:v>EEZ_393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EEZ_393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EEZ_393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EEZ_393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EEZ_393</x:v>
      </x:c>
      <x:c r="B11" s="24" t="str">
        <x:v>species_ppr</x:v>
      </x:c>
      <x:c r="C11" s="24" t="n">
        <x:v>29495755.19813662</x:v>
      </x:c>
      <x:c r="D11" s="24" t="str">
        <x:v>tonnes_primary_production_equivalent</x:v>
      </x:c>
    </x:row>
    <x:row r="12" ht="18" customHeight="1">
      <x:c r="A12" s="24" t="str">
        <x:v>EEZ_393</x:v>
      </x:c>
      <x:c r="B12" s="24" t="str">
        <x:v>commercial_ppr</x:v>
      </x:c>
      <x:c r="C12" s="24" t="n">
        <x:v>28111203.838282995</x:v>
      </x:c>
      <x:c r="D12" s="24" t="str">
        <x:v>tonnes_primary_production_equivalent</x:v>
      </x:c>
    </x:row>
    <x:row r="13" ht="18" customHeight="1">
      <x:c r="A13" s="24" t="str">
        <x:v>EEZ_393</x:v>
      </x:c>
      <x:c r="B13" s="24" t="str">
        <x:v>functional_ppr</x:v>
      </x:c>
      <x:c r="C13" s="24" t="n">
        <x:v>29214345.597610462</x:v>
      </x:c>
      <x:c r="D13" s="24" t="str">
        <x:v>tonnes_primary_production_equivalent</x:v>
      </x:c>
    </x:row>
    <x:row r="14" ht="18" customHeight="1">
      <x:c r="A14" s="24" t="str">
        <x:v>EEZ_393</x:v>
      </x:c>
      <x:c r="B14" s="24" t="str">
        <x:v>commercial_ppr_difference</x:v>
      </x:c>
      <x:c r="C14" s="24" t="n">
        <x:v>-1384551.3598536253</x:v>
      </x:c>
      <x:c r="D14" s="24" t="str">
        <x:v>tonnes_primary_production_equivalent</x:v>
      </x:c>
    </x:row>
    <x:row r="15" ht="18" customHeight="1">
      <x:c r="A15" s="24" t="str">
        <x:v>EEZ_393</x:v>
      </x:c>
      <x:c r="B15" s="24" t="str">
        <x:v>functional_ppr_difference</x:v>
      </x:c>
      <x:c r="C15" s="24" t="n">
        <x:v>-281409.60052615777</x:v>
      </x:c>
      <x:c r="D15" s="24" t="str">
        <x:v>tonnes_primary_production_equivalent</x:v>
      </x:c>
    </x:row>
    <x:row r="16" ht="18" customHeight="1">
      <x:c r="A16" s="24" t="str">
        <x:v>EEZ_393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EEZ_393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6c93fd2948e44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EEZ_393 - Japan (Daito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EEZ_393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raw_data/SAU_downloads/EEZ_393-catch.zip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