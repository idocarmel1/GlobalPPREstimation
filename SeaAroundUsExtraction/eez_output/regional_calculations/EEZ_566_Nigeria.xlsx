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0745dae24246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c0ce6442bfa64ae6"/>
    <x:sheet xmlns:r="http://schemas.openxmlformats.org/officeDocument/2006/relationships" name="Commercial" sheetId="2" r:id="Ra8a49b7bfc724d1b"/>
    <x:sheet xmlns:r="http://schemas.openxmlformats.org/officeDocument/2006/relationships" name="Functional" sheetId="3" r:id="R55545201522c4168"/>
    <x:sheet xmlns:r="http://schemas.openxmlformats.org/officeDocument/2006/relationships" name="Missing TL" sheetId="4" r:id="R983ff1b80d77462d"/>
    <x:sheet xmlns:r="http://schemas.openxmlformats.org/officeDocument/2006/relationships" name="Validation" sheetId="5" r:id="R0ae9a16804064258"/>
    <x:sheet xmlns:r="http://schemas.openxmlformats.org/officeDocument/2006/relationships" name="Metadata" sheetId="6" r:id="Rfd2e0a07a84340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4fbc03c7b047da" /><Relationship Type="http://schemas.openxmlformats.org/officeDocument/2006/relationships/theme" Target="/xl/theme/theme1.xml" Id="Rbebbfc1159454830" /><Relationship Type="http://schemas.microsoft.com/office/2022/11/relationships/FeaturePropertyBag" Target="/xl/featurePropertyBag/featurePropertyBag.xml" Id="Rf280d63fc73541c9" /><Relationship Type="http://schemas.openxmlformats.org/officeDocument/2006/relationships/sharedStrings" Target="/xl/sharedStrings.xml" Id="Ree551b08802d4938" /><Relationship Type="http://schemas.openxmlformats.org/officeDocument/2006/relationships/worksheet" Target="/xl/worksheets/sheet1.xml" Id="Rc0ce6442bfa64ae6" /><Relationship Type="http://schemas.openxmlformats.org/officeDocument/2006/relationships/worksheet" Target="/xl/worksheets/sheet2.xml" Id="Ra8a49b7bfc724d1b" /><Relationship Type="http://schemas.openxmlformats.org/officeDocument/2006/relationships/worksheet" Target="/xl/worksheets/sheet3.xml" Id="R55545201522c4168" /><Relationship Type="http://schemas.openxmlformats.org/officeDocument/2006/relationships/worksheet" Target="/xl/worksheets/sheet4.xml" Id="R983ff1b80d77462d" /><Relationship Type="http://schemas.openxmlformats.org/officeDocument/2006/relationships/worksheet" Target="/xl/worksheets/sheet5.xml" Id="R0ae9a16804064258" /><Relationship Type="http://schemas.openxmlformats.org/officeDocument/2006/relationships/worksheet" Target="/xl/worksheets/sheet6.xml" Id="Rfd2e0a07a84340f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566SpeciesTable" displayName="EEZ566SpeciesTable" ref="A1:U78" headerRowCount="1" totalsRowCount="0" totalsRowShown="0">
  <x:autoFilter ref="A1:U7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566CommercialTable" displayName="EEZ566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566FunctionalTable" displayName="EEZ566FunctionalTable" ref="A1:O19" headerRowCount="1" totalsRowCount="0" totalsRowShown="0">
  <x:autoFilter ref="A1:O19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566ValidationTable" displayName="EEZ566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5b2024374145d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63f5f53700e47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781110f54814c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3c6940a575b4a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EEZ_566</x:v>
      </x:c>
      <x:c r="B2" s="24" t="str">
        <x:v>Nigeria</x:v>
      </x:c>
      <x:c r="C2" s="24" t="str">
        <x:v>EEZ</x:v>
      </x:c>
      <x:c r="D2" s="30" t="n">
        <x:v>2019</x:v>
      </x:c>
      <x:c r="E2" s="24" t="str">
        <x:v>Pseudotolithus</x:v>
      </x:c>
      <x:c r="F2" s="24" t="str">
        <x:v>African croakers</x:v>
      </x:c>
      <x:c r="G2" s="24" t="str">
        <x:v>Large demersals (&gt;=90 cm)</x:v>
      </x:c>
      <x:c r="H2" s="24" t="str">
        <x:v>Perch-likes</x:v>
      </x:c>
      <x:c r="I2" s="31" t="n">
        <x:v>69272.2746009955</x:v>
      </x:c>
      <x:c r="J2" s="31" t="n">
        <x:v>69272.2746009955</x:v>
      </x:c>
      <x:c r="K2" s="31" t="n">
        <x:v>0</x:v>
      </x:c>
      <x:c r="L2" s="31" t="n">
        <x:v>20014.8867443145</x:v>
      </x:c>
      <x:c r="M2" s="31" t="n">
        <x:v>49257.387856681</x:v>
      </x:c>
      <x:c r="N2" s="24" t="str">
        <x:v>pseudotolithus</x:v>
      </x:c>
      <x:c r="O2" s="32" t="n">
        <x:v>3.79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Pseudotolithus</x:v>
      </x:c>
      <x:c r="T2" s="32" t="n">
        <x:f>IF(O2="","",(1/'Metadata'!$B$5)^(O2-1))</x:f>
        <x:v>616.5950018614822</x:v>
      </x:c>
      <x:c r="U2" s="31" t="n">
        <x:f>IF(T2="","",I2*T2)</x:f>
        <x:v>42712938.286549926</x:v>
      </x:c>
    </x:row>
    <x:row r="3" ht="18" customHeight="1">
      <x:c r="A3" s="24" t="str">
        <x:v>EEZ_566</x:v>
      </x:c>
      <x:c r="B3" s="24" t="str">
        <x:v>Nigeria</x:v>
      </x:c>
      <x:c r="C3" s="24" t="str">
        <x:v>EEZ</x:v>
      </x:c>
      <x:c r="D3" s="30" t="n">
        <x:v>2019</x:v>
      </x:c>
      <x:c r="E3" s="24" t="str">
        <x:v>Sardinella</x:v>
      </x:c>
      <x:c r="F3" s="24" t="str">
        <x:v>Sardinellas</x:v>
      </x:c>
      <x:c r="G3" s="24" t="str">
        <x:v>Small pelagics (&lt;30 cm)</x:v>
      </x:c>
      <x:c r="H3" s="24" t="str">
        <x:v>Herring-likes</x:v>
      </x:c>
      <x:c r="I3" s="31" t="n">
        <x:v>62204.6285914488</x:v>
      </x:c>
      <x:c r="J3" s="31" t="n">
        <x:v>62204.6285914488</x:v>
      </x:c>
      <x:c r="K3" s="31" t="n">
        <x:v>0</x:v>
      </x:c>
      <x:c r="L3" s="31" t="n">
        <x:v>62204.6285914488</x:v>
      </x:c>
      <x:c r="M3" s="31" t="n">
        <x:v>0</x:v>
      </x:c>
      <x:c r="N3" s="24" t="str">
        <x:v>sardinella</x:v>
      </x:c>
      <x:c r="O3" s="32" t="n">
        <x:v>2.77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Sardinella</x:v>
      </x:c>
      <x:c r="T3" s="32" t="n">
        <x:f>IF(O3="","",(1/'Metadata'!$B$5)^(O3-1))</x:f>
        <x:v>58.8843655355589</x:v>
      </x:c>
      <x:c r="U3" s="31" t="n">
        <x:f>IF(T3="","",I3*T3)</x:f>
        <x:v>3662880.08798255</x:v>
      </x:c>
    </x:row>
    <x:row r="4" ht="18" customHeight="1">
      <x:c r="A4" s="24" t="str">
        <x:v>EEZ_566</x:v>
      </x:c>
      <x:c r="B4" s="24" t="str">
        <x:v>Nigeria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55192.9592601137</x:v>
      </x:c>
      <x:c r="J4" s="31" t="n">
        <x:v>54073.5249731781</x:v>
      </x:c>
      <x:c r="K4" s="31" t="n">
        <x:v>1119.4342869355999</x:v>
      </x:c>
      <x:c r="L4" s="31" t="n">
        <x:v>44174.5722983297</x:v>
      </x:c>
      <x:c r="M4" s="31" t="n">
        <x:v>11018.386961784001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10516801.577829245</x:v>
      </x:c>
    </x:row>
    <x:row r="5" ht="18" customHeight="1">
      <x:c r="A5" s="24" t="str">
        <x:v>EEZ_566</x:v>
      </x:c>
      <x:c r="B5" s="24" t="str">
        <x:v>Nigeria</x:v>
      </x:c>
      <x:c r="C5" s="24" t="str">
        <x:v>EEZ</x:v>
      </x:c>
      <x:c r="D5" s="30" t="n">
        <x:v>2019</x:v>
      </x:c>
      <x:c r="E5" s="24" t="str">
        <x:v>Ethmalosa fimbriata</x:v>
      </x:c>
      <x:c r="F5" s="24" t="str">
        <x:v>Bonga shad</x:v>
      </x:c>
      <x:c r="G5" s="24" t="str">
        <x:v>Medium pelagics (30 - 89 cm)</x:v>
      </x:c>
      <x:c r="H5" s="24" t="str">
        <x:v>Herring-likes</x:v>
      </x:c>
      <x:c r="I5" s="31" t="n">
        <x:v>45959.7801811242</x:v>
      </x:c>
      <x:c r="J5" s="31" t="n">
        <x:v>45959.7801811242</x:v>
      </x:c>
      <x:c r="K5" s="31" t="n">
        <x:v>0</x:v>
      </x:c>
      <x:c r="L5" s="31" t="n">
        <x:v>45959.7801811242</x:v>
      </x:c>
      <x:c r="M5" s="31" t="n">
        <x:v>0</x:v>
      </x:c>
      <x:c r="N5" s="24" t="str">
        <x:v>ethmalosa fimbriata</x:v>
      </x:c>
      <x:c r="O5" s="32" t="n">
        <x:v>2.5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Ethmalosa fimbriata</x:v>
      </x:c>
      <x:c r="T5" s="32" t="n">
        <x:f>IF(O5="","",(1/'Metadata'!$B$5)^(O5-1))</x:f>
        <x:v>31.622776601683793</x:v>
      </x:c>
      <x:c r="U5" s="31" t="n">
        <x:f>IF(T5="","",I5*T5)</x:f>
        <x:v>1453375.8613301849</x:v>
      </x:c>
    </x:row>
    <x:row r="6" ht="18" customHeight="1">
      <x:c r="A6" s="24" t="str">
        <x:v>EEZ_566</x:v>
      </x:c>
      <x:c r="B6" s="24" t="str">
        <x:v>Nigeria</x:v>
      </x:c>
      <x:c r="C6" s="24" t="str">
        <x:v>EEZ</x:v>
      </x:c>
      <x:c r="D6" s="30" t="n">
        <x:v>2019</x:v>
      </x:c>
      <x:c r="E6" s="24" t="str">
        <x:v>Polydactylus quadrifilis</x:v>
      </x:c>
      <x:c r="F6" s="24" t="str">
        <x:v>Giant African threadfin</x:v>
      </x:c>
      <x:c r="G6" s="24" t="str">
        <x:v>Large demersals (&gt;=90 cm)</x:v>
      </x:c>
      <x:c r="H6" s="24" t="str">
        <x:v>Perch-likes</x:v>
      </x:c>
      <x:c r="I6" s="31" t="n">
        <x:v>36804.7628726389</x:v>
      </x:c>
      <x:c r="J6" s="31" t="n">
        <x:v>36804.7628726389</x:v>
      </x:c>
      <x:c r="K6" s="31" t="n">
        <x:v>0</x:v>
      </x:c>
      <x:c r="L6" s="31" t="n">
        <x:v>36804.7628726389</x:v>
      </x:c>
      <x:c r="M6" s="31" t="n">
        <x:v>0</x:v>
      </x:c>
      <x:c r="N6" s="24" t="str">
        <x:v>polydactylus quadrifilis</x:v>
      </x:c>
      <x:c r="O6" s="32" t="n">
        <x:v>4.01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Polydactylus quadrifilis</x:v>
      </x:c>
      <x:c r="T6" s="32" t="n">
        <x:f>IF(O6="","",(1/'Metadata'!$B$5)^(O6-1))</x:f>
        <x:v>1023.2929922807537</x:v>
      </x:c>
      <x:c r="U6" s="31" t="n">
        <x:f>IF(T6="","",I6*T6)</x:f>
        <x:v>37662055.93012625</x:v>
      </x:c>
    </x:row>
    <x:row r="7" ht="18" customHeight="1">
      <x:c r="A7" s="24" t="str">
        <x:v>EEZ_566</x:v>
      </x:c>
      <x:c r="B7" s="24" t="str">
        <x:v>Nigeria</x:v>
      </x:c>
      <x:c r="C7" s="24" t="str">
        <x:v>EEZ</x:v>
      </x:c>
      <x:c r="D7" s="30" t="n">
        <x:v>2019</x:v>
      </x:c>
      <x:c r="E7" s="24" t="str">
        <x:v>Dendrobranchiata</x:v>
      </x:c>
      <x:c r="F7" s="24" t="str">
        <x:v>Shrimps and prawns</x:v>
      </x:c>
      <x:c r="G7" s="24" t="str">
        <x:v>Shrimps</x:v>
      </x:c>
      <x:c r="H7" s="24" t="str">
        <x:v>Crustaceans</x:v>
      </x:c>
      <x:c r="I7" s="31" t="n">
        <x:v>29539.1108661006</x:v>
      </x:c>
      <x:c r="J7" s="31" t="n">
        <x:v>29539.1108661006</x:v>
      </x:c>
      <x:c r="K7" s="31" t="n">
        <x:v>0</x:v>
      </x:c>
      <x:c r="L7" s="31" t="n">
        <x:v>29539.1108661006</x:v>
      </x:c>
      <x:c r="M7" s="31" t="n">
        <x:v>0</x:v>
      </x:c>
      <x:c r="N7" s="24" t="str">
        <x:v>dendrobranchiata</x:v>
      </x:c>
      <x:c r="O7" s="32" t="n">
        <x:v>3.24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Dendrobranchiata</x:v>
      </x:c>
      <x:c r="T7" s="32" t="n">
        <x:f>IF(O7="","",(1/'Metadata'!$B$5)^(O7-1))</x:f>
        <x:v>173.78008287493762</x:v>
      </x:c>
      <x:c r="U7" s="31" t="n">
        <x:f>IF(T7="","",I7*T7)</x:f>
        <x:v>5133309.134362932</x:v>
      </x:c>
    </x:row>
    <x:row r="8" ht="18" customHeight="1">
      <x:c r="A8" s="24" t="str">
        <x:v>EEZ_566</x:v>
      </x:c>
      <x:c r="B8" s="24" t="str">
        <x:v>Nigeria</x:v>
      </x:c>
      <x:c r="C8" s="24" t="str">
        <x:v>EEZ</x:v>
      </x:c>
      <x:c r="D8" s="30" t="n">
        <x:v>2019</x:v>
      </x:c>
      <x:c r="E8" s="24" t="str">
        <x:v>Sphyraena</x:v>
      </x:c>
      <x:c r="F8" s="24" t="str">
        <x:v>Barracudas, sennets</x:v>
      </x:c>
      <x:c r="G8" s="24" t="str">
        <x:v>Large pelagics (&gt;=90 cm)</x:v>
      </x:c>
      <x:c r="H8" s="24" t="str">
        <x:v>Perch-likes</x:v>
      </x:c>
      <x:c r="I8" s="31" t="n">
        <x:v>25607.6625768136</x:v>
      </x:c>
      <x:c r="J8" s="31" t="n">
        <x:v>25607.6625768136</x:v>
      </x:c>
      <x:c r="K8" s="31" t="n">
        <x:v>0</x:v>
      </x:c>
      <x:c r="L8" s="31" t="n">
        <x:v>25607.6625768136</x:v>
      </x:c>
      <x:c r="M8" s="31" t="n">
        <x:v>0</x:v>
      </x:c>
      <x:c r="N8" s="24" t="str">
        <x:v>sphyraena</x:v>
      </x:c>
      <x:c r="O8" s="32" t="n">
        <x:v>4.4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Sphyraena</x:v>
      </x:c>
      <x:c r="T8" s="32" t="n">
        <x:f>IF(O8="","",(1/'Metadata'!$B$5)^(O8-1))</x:f>
        <x:v>2511.886431509582</x:v>
      </x:c>
      <x:c r="U8" s="31" t="n">
        <x:f>IF(T8="","",I8*T8)</x:f>
        <x:v>64323540.16937378</x:v>
      </x:c>
    </x:row>
    <x:row r="9" ht="18" customHeight="1">
      <x:c r="A9" s="24" t="str">
        <x:v>EEZ_566</x:v>
      </x:c>
      <x:c r="B9" s="24" t="str">
        <x:v>Nigeria</x:v>
      </x:c>
      <x:c r="C9" s="24" t="str">
        <x:v>EEZ</x:v>
      </x:c>
      <x:c r="D9" s="30" t="n">
        <x:v>2019</x:v>
      </x:c>
      <x:c r="E9" s="24" t="str">
        <x:v>Sardinella maderensis</x:v>
      </x:c>
      <x:c r="F9" s="24" t="str">
        <x:v>Madeiran sardinella</x:v>
      </x:c>
      <x:c r="G9" s="24" t="str">
        <x:v>Medium pelagics (30 - 89 cm)</x:v>
      </x:c>
      <x:c r="H9" s="24" t="str">
        <x:v>Herring-likes</x:v>
      </x:c>
      <x:c r="I9" s="31" t="n">
        <x:v>25119.1865496572</x:v>
      </x:c>
      <x:c r="J9" s="31" t="n">
        <x:v>25119.1865496572</x:v>
      </x:c>
      <x:c r="K9" s="31" t="n">
        <x:v>0</x:v>
      </x:c>
      <x:c r="L9" s="31" t="n">
        <x:v>25119.1865496572</x:v>
      </x:c>
      <x:c r="M9" s="31" t="n">
        <x:v>0</x:v>
      </x:c>
      <x:c r="N9" s="24" t="str">
        <x:v>sardinella maderensis</x:v>
      </x:c>
      <x:c r="O9" s="32" t="n">
        <x:v>3.2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Sardinella maderensis</x:v>
      </x:c>
      <x:c r="T9" s="32" t="n">
        <x:f>IF(O9="","",(1/'Metadata'!$B$5)^(O9-1))</x:f>
        <x:v>158.48931924611142</x:v>
      </x:c>
      <x:c r="U9" s="31" t="n">
        <x:f>IF(T9="","",I9*T9)</x:f>
        <x:v>3981122.776271248</x:v>
      </x:c>
    </x:row>
    <x:row r="10" ht="18" customHeight="1">
      <x:c r="A10" s="24" t="str">
        <x:v>EEZ_566</x:v>
      </x:c>
      <x:c r="B10" s="24" t="str">
        <x:v>Nigeria</x:v>
      </x:c>
      <x:c r="C10" s="24" t="str">
        <x:v>EEZ</x:v>
      </x:c>
      <x:c r="D10" s="30" t="n">
        <x:v>2019</x:v>
      </x:c>
      <x:c r="E10" s="24" t="str">
        <x:v>Sciaenidae</x:v>
      </x:c>
      <x:c r="F10" s="24" t="str">
        <x:v>Drums, croakers</x:v>
      </x:c>
      <x:c r="G10" s="24" t="str">
        <x:v>Medium demersals (30 - 89 cm)</x:v>
      </x:c>
      <x:c r="H10" s="24" t="str">
        <x:v>Perch-likes</x:v>
      </x:c>
      <x:c r="I10" s="31" t="n">
        <x:v>23762.6334916271</x:v>
      </x:c>
      <x:c r="J10" s="31" t="n">
        <x:v>23762.6334916271</x:v>
      </x:c>
      <x:c r="K10" s="31" t="n">
        <x:v>0</x:v>
      </x:c>
      <x:c r="L10" s="31" t="n">
        <x:v>21611.9989536643</x:v>
      </x:c>
      <x:c r="M10" s="31" t="n">
        <x:v>2150.6345379628</x:v>
      </x:c>
      <x:c r="N10" s="24" t="str">
        <x:v>sciaenidae</x:v>
      </x:c>
      <x:c r="O10" s="32" t="n">
        <x:v>3.76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Sciaenidae</x:v>
      </x:c>
      <x:c r="T10" s="32" t="n">
        <x:f>IF(O10="","",(1/'Metadata'!$B$5)^(O10-1))</x:f>
        <x:v>575.4399373371566</x:v>
      </x:c>
      <x:c r="U10" s="31" t="n">
        <x:f>IF(T10="","",I10*T10)</x:f>
        <x:v>13673968.327387718</x:v>
      </x:c>
    </x:row>
    <x:row r="11" ht="18" customHeight="1">
      <x:c r="A11" s="24" t="str">
        <x:v>EEZ_566</x:v>
      </x:c>
      <x:c r="B11" s="24" t="str">
        <x:v>Nigeria</x:v>
      </x:c>
      <x:c r="C11" s="24" t="str">
        <x:v>EEZ</x:v>
      </x:c>
      <x:c r="D11" s="30" t="n">
        <x:v>2019</x:v>
      </x:c>
      <x:c r="E11" s="24" t="str">
        <x:v>Penaeus notialis</x:v>
      </x:c>
      <x:c r="F11" s="24" t="str">
        <x:v>Southern pink shrimp</x:v>
      </x:c>
      <x:c r="G11" s="24" t="str">
        <x:v>Shrimps</x:v>
      </x:c>
      <x:c r="H11" s="24" t="str">
        <x:v>Crustaceans</x:v>
      </x:c>
      <x:c r="I11" s="31" t="n">
        <x:v>19279.072274343598</x:v>
      </x:c>
      <x:c r="J11" s="31" t="n">
        <x:v>19279.072274343598</x:v>
      </x:c>
      <x:c r="K11" s="31" t="n">
        <x:v>0</x:v>
      </x:c>
      <x:c r="L11" s="31" t="n">
        <x:v>19279.072274343598</x:v>
      </x:c>
      <x:c r="M11" s="31" t="n">
        <x:v>0</x:v>
      </x:c>
      <x:c r="N11" s="24" t="str">
        <x:v>penaeus notialis</x:v>
      </x:c>
      <x:c r="O11" s="32" t="n">
        <x:v>2.7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Penaeus notialis</x:v>
      </x:c>
      <x:c r="T11" s="32" t="n">
        <x:f>IF(O11="","",(1/'Metadata'!$B$5)^(O11-1))</x:f>
        <x:v>50.11872336272725</x:v>
      </x:c>
      <x:c r="U11" s="31" t="n">
        <x:f>IF(T11="","",I11*T11)</x:f>
        <x:v>966242.4900078517</x:v>
      </x:c>
    </x:row>
    <x:row r="12" ht="18" customHeight="1">
      <x:c r="A12" s="24" t="str">
        <x:v>EEZ_566</x:v>
      </x:c>
      <x:c r="B12" s="24" t="str">
        <x:v>Nigeria</x:v>
      </x:c>
      <x:c r="C12" s="24" t="str">
        <x:v>EEZ</x:v>
      </x:c>
      <x:c r="D12" s="30" t="n">
        <x:v>2019</x:v>
      </x:c>
      <x:c r="E12" s="24" t="str">
        <x:v>Elasmobranchii</x:v>
      </x:c>
      <x:c r="F12" s="24" t="str">
        <x:v>Sharks, rays, skates</x:v>
      </x:c>
      <x:c r="G12" s="24" t="str">
        <x:v>Large sharks (&gt;=90 cm)</x:v>
      </x:c>
      <x:c r="H12" s="24" t="str">
        <x:v>Sharks &amp; rays</x:v>
      </x:c>
      <x:c r="I12" s="31" t="n">
        <x:v>15625.330148988302</x:v>
      </x:c>
      <x:c r="J12" s="31" t="n">
        <x:v>15625.330148988302</x:v>
      </x:c>
      <x:c r="K12" s="31" t="n">
        <x:v>0</x:v>
      </x:c>
      <x:c r="L12" s="31" t="n">
        <x:v>15615.0515448614</x:v>
      </x:c>
      <x:c r="M12" s="31" t="n">
        <x:v>10.2786041269</x:v>
      </x:c>
      <x:c r="N12" s="24" t="str">
        <x:v>elasmobranchii</x:v>
      </x:c>
      <x:c r="O12" s="32" t="n">
        <x:v>4.05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Elasmobranchii</x:v>
      </x:c>
      <x:c r="T12" s="32" t="n">
        <x:f>IF(O12="","",(1/'Metadata'!$B$5)^(O12-1))</x:f>
        <x:v>1122.018454301963</x:v>
      </x:c>
      <x:c r="U12" s="31" t="n">
        <x:f>IF(T12="","",I12*T12)</x:f>
        <x:v>17531908.781725716</x:v>
      </x:c>
    </x:row>
    <x:row r="13" ht="18" customHeight="1">
      <x:c r="A13" s="24" t="str">
        <x:v>EEZ_566</x:v>
      </x:c>
      <x:c r="B13" s="24" t="str">
        <x:v>Nigeria</x:v>
      </x:c>
      <x:c r="C13" s="24" t="str">
        <x:v>EEZ</x:v>
      </x:c>
      <x:c r="D13" s="30" t="n">
        <x:v>2019</x:v>
      </x:c>
      <x:c r="E13" s="24" t="str">
        <x:v>Mugilidae</x:v>
      </x:c>
      <x:c r="F13" s="24" t="str">
        <x:v>Mullets, grey mullets</x:v>
      </x:c>
      <x:c r="G13" s="24" t="str">
        <x:v>Medium reef assoc. fish (30 - 89 cm)</x:v>
      </x:c>
      <x:c r="H13" s="24" t="str">
        <x:v>Perch-likes</x:v>
      </x:c>
      <x:c r="I13" s="31" t="n">
        <x:v>14053.103879336399</x:v>
      </x:c>
      <x:c r="J13" s="31" t="n">
        <x:v>14053.103879336399</x:v>
      </x:c>
      <x:c r="K13" s="31" t="n">
        <x:v>0</x:v>
      </x:c>
      <x:c r="L13" s="31" t="n">
        <x:v>13527.2615718652</x:v>
      </x:c>
      <x:c r="M13" s="31" t="n">
        <x:v>525.8423074712</x:v>
      </x:c>
      <x:c r="N13" s="24" t="str">
        <x:v>mugilidae</x:v>
      </x:c>
      <x:c r="O13" s="32" t="n">
        <x:v>2.53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Mugilidae</x:v>
      </x:c>
      <x:c r="T13" s="32" t="n">
        <x:f>IF(O13="","",(1/'Metadata'!$B$5)^(O13-1))</x:f>
        <x:v>33.88441561392024</x:v>
      </x:c>
      <x:c r="U13" s="31" t="n">
        <x:f>IF(T13="","",I13*T13)</x:f>
        <x:v>476181.21251302934</x:v>
      </x:c>
    </x:row>
    <x:row r="14" ht="18" customHeight="1">
      <x:c r="A14" s="24" t="str">
        <x:v>EEZ_566</x:v>
      </x:c>
      <x:c r="B14" s="24" t="str">
        <x:v>Nigeria</x:v>
      </x:c>
      <x:c r="C14" s="24" t="str">
        <x:v>EEZ</x:v>
      </x:c>
      <x:c r="D14" s="30" t="n">
        <x:v>2019</x:v>
      </x:c>
      <x:c r="E14" s="24" t="str">
        <x:v>Lutjanidae</x:v>
      </x:c>
      <x:c r="F14" s="24" t="str">
        <x:v>Snappers</x:v>
      </x:c>
      <x:c r="G14" s="24" t="str">
        <x:v>Medium reef assoc. fish (30 - 89 cm)</x:v>
      </x:c>
      <x:c r="H14" s="24" t="str">
        <x:v>Perch-likes</x:v>
      </x:c>
      <x:c r="I14" s="31" t="n">
        <x:v>12425.1521644822</x:v>
      </x:c>
      <x:c r="J14" s="31" t="n">
        <x:v>12425.1521644822</x:v>
      </x:c>
      <x:c r="K14" s="31" t="n">
        <x:v>0</x:v>
      </x:c>
      <x:c r="L14" s="31" t="n">
        <x:v>12006.570596142901</x:v>
      </x:c>
      <x:c r="M14" s="31" t="n">
        <x:v>418.5815683393</x:v>
      </x:c>
      <x:c r="N14" s="24" t="str">
        <x:v>lutjanidae</x:v>
      </x:c>
      <x:c r="O14" s="32" t="n">
        <x:v>4.02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Lutjanidae</x:v>
      </x:c>
      <x:c r="T14" s="32" t="n">
        <x:f>IF(O14="","",(1/'Metadata'!$B$5)^(O14-1))</x:f>
        <x:v>1047.1285480508984</x:v>
      </x:c>
      <x:c r="U14" s="31" t="n">
        <x:f>IF(T14="","",I14*T14)</x:f>
        <x:v>13010731.545305725</x:v>
      </x:c>
    </x:row>
    <x:row r="15" ht="18" customHeight="1">
      <x:c r="A15" s="24" t="str">
        <x:v>EEZ_566</x:v>
      </x:c>
      <x:c r="B15" s="24" t="str">
        <x:v>Nigeria</x:v>
      </x:c>
      <x:c r="C15" s="24" t="str">
        <x:v>EEZ</x:v>
      </x:c>
      <x:c r="D15" s="30" t="n">
        <x:v>2019</x:v>
      </x:c>
      <x:c r="E15" s="24" t="str">
        <x:v>Galeoides decadactylus</x:v>
      </x:c>
      <x:c r="F15" s="24" t="str">
        <x:v>Lesser African threadfin</x:v>
      </x:c>
      <x:c r="G15" s="24" t="str">
        <x:v>Medium demersals (30 - 89 cm)</x:v>
      </x:c>
      <x:c r="H15" s="24" t="str">
        <x:v>Perch-likes</x:v>
      </x:c>
      <x:c r="I15" s="31" t="n">
        <x:v>10634.0522495422</x:v>
      </x:c>
      <x:c r="J15" s="31" t="n">
        <x:v>10634.0522495422</x:v>
      </x:c>
      <x:c r="K15" s="31" t="n">
        <x:v>0</x:v>
      </x:c>
      <x:c r="L15" s="31" t="n">
        <x:v>10634.0522495422</x:v>
      </x:c>
      <x:c r="M15" s="31" t="n">
        <x:v>0</x:v>
      </x:c>
      <x:c r="N15" s="24" t="str">
        <x:v>galeoides decadactylus</x:v>
      </x:c>
      <x:c r="O15" s="32" t="n">
        <x:v>3.57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Galeoides decadactylus</x:v>
      </x:c>
      <x:c r="T15" s="32" t="n">
        <x:f>IF(O15="","",(1/'Metadata'!$B$5)^(O15-1))</x:f>
        <x:v>371.5352290971724</x:v>
      </x:c>
      <x:c r="U15" s="31" t="n">
        <x:f>IF(T15="","",I15*T15)</x:f>
        <x:v>3950925.038764963</x:v>
      </x:c>
    </x:row>
    <x:row r="16" ht="18" customHeight="1">
      <x:c r="A16" s="24" t="str">
        <x:v>EEZ_566</x:v>
      </x:c>
      <x:c r="B16" s="24" t="str">
        <x:v>Nigeria</x:v>
      </x:c>
      <x:c r="C16" s="24" t="str">
        <x:v>EEZ</x:v>
      </x:c>
      <x:c r="D16" s="30" t="n">
        <x:v>2019</x:v>
      </x:c>
      <x:c r="E16" s="24" t="str">
        <x:v>Haemulidae</x:v>
      </x:c>
      <x:c r="F16" s="24" t="str">
        <x:v>Grunts, sweetlips, bonnetmouths</x:v>
      </x:c>
      <x:c r="G16" s="24" t="str">
        <x:v>Medium demersals (30 - 89 cm)</x:v>
      </x:c>
      <x:c r="H16" s="24" t="str">
        <x:v>Perch-likes</x:v>
      </x:c>
      <x:c r="I16" s="31" t="n">
        <x:v>9394.770781824</x:v>
      </x:c>
      <x:c r="J16" s="31" t="n">
        <x:v>9394.770781824</x:v>
      </x:c>
      <x:c r="K16" s="31" t="n">
        <x:v>0</x:v>
      </x:c>
      <x:c r="L16" s="31" t="n">
        <x:v>8959.4856691028</x:v>
      </x:c>
      <x:c r="M16" s="31" t="n">
        <x:v>435.2851127212</x:v>
      </x:c>
      <x:c r="N16" s="24" t="str">
        <x:v>haemulidae</x:v>
      </x:c>
      <x:c r="O16" s="32" t="n">
        <x:v>3.36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Haemulidae</x:v>
      </x:c>
      <x:c r="T16" s="32" t="n">
        <x:f>IF(O16="","",(1/'Metadata'!$B$5)^(O16-1))</x:f>
        <x:v>229.08676527677724</x:v>
      </x:c>
      <x:c r="U16" s="31" t="n">
        <x:f>IF(T16="","",I16*T16)</x:f>
        <x:v>2152217.6489248397</x:v>
      </x:c>
    </x:row>
    <x:row r="17" ht="18" customHeight="1">
      <x:c r="A17" s="24" t="str">
        <x:v>EEZ_566</x:v>
      </x:c>
      <x:c r="B17" s="24" t="str">
        <x:v>Nigeria</x:v>
      </x:c>
      <x:c r="C17" s="24" t="str">
        <x:v>EEZ</x:v>
      </x:c>
      <x:c r="D17" s="30" t="n">
        <x:v>2019</x:v>
      </x:c>
      <x:c r="E17" s="24" t="str">
        <x:v>Cynoglossus</x:v>
      </x:c>
      <x:c r="F17" s="24" t="str">
        <x:v>Tonguesoles</x:v>
      </x:c>
      <x:c r="G17" s="24" t="str">
        <x:v>Small to medium flatfishes (&lt;90 cm)</x:v>
      </x:c>
      <x:c r="H17" s="24" t="str">
        <x:v>Flatfishes</x:v>
      </x:c>
      <x:c r="I17" s="31" t="n">
        <x:v>9136.0979115864</x:v>
      </x:c>
      <x:c r="J17" s="31" t="n">
        <x:v>9136.0979115864</x:v>
      </x:c>
      <x:c r="K17" s="31" t="n">
        <x:v>0</x:v>
      </x:c>
      <x:c r="L17" s="31" t="n">
        <x:v>8017.8020391016</x:v>
      </x:c>
      <x:c r="M17" s="31" t="n">
        <x:v>1118.2958724848</x:v>
      </x:c>
      <x:c r="N17" s="24" t="str">
        <x:v>cynoglossus</x:v>
      </x:c>
      <x:c r="O17" s="32" t="n">
        <x:v>3.36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Cynoglossus</x:v>
      </x:c>
      <x:c r="T17" s="32" t="n">
        <x:f>IF(O17="","",(1/'Metadata'!$B$5)^(O17-1))</x:f>
        <x:v>229.08676527677724</x:v>
      </x:c>
      <x:c r="U17" s="31" t="n">
        <x:f>IF(T17="","",I17*T17)</x:f>
        <x:v>2092959.1178172482</x:v>
      </x:c>
    </x:row>
    <x:row r="18" ht="18" customHeight="1">
      <x:c r="A18" s="24" t="str">
        <x:v>EEZ_566</x:v>
      </x:c>
      <x:c r="B18" s="24" t="str">
        <x:v>Nigeria</x:v>
      </x:c>
      <x:c r="C18" s="24" t="str">
        <x:v>EEZ</x:v>
      </x:c>
      <x:c r="D18" s="30" t="n">
        <x:v>2019</x:v>
      </x:c>
      <x:c r="E18" s="24" t="str">
        <x:v>Scorpaenidae</x:v>
      </x:c>
      <x:c r="F18" s="24" t="str">
        <x:v>Scorpionfishes, rockfishes</x:v>
      </x:c>
      <x:c r="G18" s="24" t="str">
        <x:v>Large reef assoc. fish (&gt;=90 cm)</x:v>
      </x:c>
      <x:c r="H18" s="24" t="str">
        <x:v>Scorpionfishes</x:v>
      </x:c>
      <x:c r="I18" s="31" t="n">
        <x:v>8075.43</x:v>
      </x:c>
      <x:c r="J18" s="31" t="n">
        <x:v>8075.43</x:v>
      </x:c>
      <x:c r="K18" s="31" t="n">
        <x:v>0</x:v>
      </x:c>
      <x:c r="L18" s="31" t="n">
        <x:v>8075.43</x:v>
      </x:c>
      <x:c r="M18" s="31" t="n">
        <x:v>0</x:v>
      </x:c>
      <x:c r="N18" s="24" t="str">
        <x:v>scorpaenidae</x:v>
      </x:c>
      <x:c r="O18" s="32" t="n">
        <x:v>3.92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Scorpaenidae</x:v>
      </x:c>
      <x:c r="T18" s="32" t="n">
        <x:f>IF(O18="","",(1/'Metadata'!$B$5)^(O18-1))</x:f>
        <x:v>831.7637711026708</x:v>
      </x:c>
      <x:c r="U18" s="31" t="n">
        <x:f>IF(T18="","",I18*T18)</x:f>
        <x:v>6716850.110075641</x:v>
      </x:c>
    </x:row>
    <x:row r="19" ht="18" customHeight="1">
      <x:c r="A19" s="24" t="str">
        <x:v>EEZ_566</x:v>
      </x:c>
      <x:c r="B19" s="24" t="str">
        <x:v>Nigeria</x:v>
      </x:c>
      <x:c r="C19" s="24" t="str">
        <x:v>EEZ</x:v>
      </x:c>
      <x:c r="D19" s="30" t="n">
        <x:v>2019</x:v>
      </x:c>
      <x:c r="E19" s="24" t="str">
        <x:v>Dasyatidae</x:v>
      </x:c>
      <x:c r="F19" s="24" t="str">
        <x:v>Whiptail stingrays</x:v>
      </x:c>
      <x:c r="G19" s="24" t="str">
        <x:v>Large rays (&gt;=90 cm)</x:v>
      </x:c>
      <x:c r="H19" s="24" t="str">
        <x:v>Sharks &amp; rays</x:v>
      </x:c>
      <x:c r="I19" s="31" t="n">
        <x:v>7615.5042269678</x:v>
      </x:c>
      <x:c r="J19" s="31" t="n">
        <x:v>7615.5042269678</x:v>
      </x:c>
      <x:c r="K19" s="31" t="n">
        <x:v>0</x:v>
      </x:c>
      <x:c r="L19" s="31" t="n">
        <x:v>7615.5042269678</x:v>
      </x:c>
      <x:c r="M19" s="31" t="n">
        <x:v>0</x:v>
      </x:c>
      <x:c r="N19" s="24" t="str">
        <x:v>dasyatidae</x:v>
      </x:c>
      <x:c r="O19" s="32" t="n">
        <x:v>3.38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Dasyatidae</x:v>
      </x:c>
      <x:c r="T19" s="32" t="n">
        <x:f>IF(O19="","",(1/'Metadata'!$B$5)^(O19-1))</x:f>
        <x:v>239.88329190194898</x:v>
      </x:c>
      <x:c r="U19" s="31" t="n">
        <x:f>IF(T19="","",I19*T19)</x:f>
        <x:v>1826832.223458243</x:v>
      </x:c>
    </x:row>
    <x:row r="20" ht="18" customHeight="1">
      <x:c r="A20" s="24" t="str">
        <x:v>EEZ_566</x:v>
      </x:c>
      <x:c r="B20" s="24" t="str">
        <x:v>Nigeria</x:v>
      </x:c>
      <x:c r="C20" s="24" t="str">
        <x:v>EEZ</x:v>
      </x:c>
      <x:c r="D20" s="30" t="n">
        <x:v>2019</x:v>
      </x:c>
      <x:c r="E20" s="24" t="str">
        <x:v>Stromateus fiatola</x:v>
      </x:c>
      <x:c r="F20" s="24" t="str">
        <x:v>Blue butterfish</x:v>
      </x:c>
      <x:c r="G20" s="24" t="str">
        <x:v>Medium benthopelagics (30 - 89 cm)</x:v>
      </x:c>
      <x:c r="H20" s="24" t="str">
        <x:v>Perch-likes</x:v>
      </x:c>
      <x:c r="I20" s="31" t="n">
        <x:v>7509.542215712399</x:v>
      </x:c>
      <x:c r="J20" s="31" t="n">
        <x:v>7509.542215712399</x:v>
      </x:c>
      <x:c r="K20" s="31" t="n">
        <x:v>0</x:v>
      </x:c>
      <x:c r="L20" s="31" t="n">
        <x:v>7509.542215712399</x:v>
      </x:c>
      <x:c r="M20" s="31" t="n">
        <x:v>0</x:v>
      </x:c>
      <x:c r="N20" s="24" t="str">
        <x:v>stromateus fiatola</x:v>
      </x:c>
      <x:c r="O20" s="32" t="n">
        <x:v>4.03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Stromateus fiatola</x:v>
      </x:c>
      <x:c r="T20" s="32" t="n">
        <x:f>IF(O20="","",(1/'Metadata'!$B$5)^(O20-1))</x:f>
        <x:v>1071.519305237607</x:v>
      </x:c>
      <x:c r="U20" s="31" t="n">
        <x:f>IF(T20="","",I20*T20)</x:f>
        <x:v>8046619.457632631</x:v>
      </x:c>
    </x:row>
    <x:row r="21" ht="18" customHeight="1">
      <x:c r="A21" s="24" t="str">
        <x:v>EEZ_566</x:v>
      </x:c>
      <x:c r="B21" s="24" t="str">
        <x:v>Nigeria</x:v>
      </x:c>
      <x:c r="C21" s="24" t="str">
        <x:v>EEZ</x:v>
      </x:c>
      <x:c r="D21" s="30" t="n">
        <x:v>2019</x:v>
      </x:c>
      <x:c r="E21" s="24" t="str">
        <x:v>Gastropoda</x:v>
      </x:c>
      <x:c r="F21" s="24" t="str">
        <x:v>Sea snails</x:v>
      </x:c>
      <x:c r="G21" s="24" t="str">
        <x:v>Other demersal invertebrates</x:v>
      </x:c>
      <x:c r="H21" s="24" t="str">
        <x:v>Molluscs</x:v>
      </x:c>
      <x:c r="I21" s="31" t="n">
        <x:v>4906.8313372401</x:v>
      </x:c>
      <x:c r="J21" s="31" t="n">
        <x:v>4906.8313372401</x:v>
      </x:c>
      <x:c r="K21" s="31" t="n">
        <x:v>0</x:v>
      </x:c>
      <x:c r="L21" s="31" t="n">
        <x:v>4906.8313372401</x:v>
      </x:c>
      <x:c r="M21" s="31" t="n">
        <x:v>0</x:v>
      </x:c>
      <x:c r="N21" s="24" t="str">
        <x:v>gastropoda</x:v>
      </x:c>
      <x:c r="O21" s="32" t="n">
        <x:v>3.06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Gastropoda</x:v>
      </x:c>
      <x:c r="T21" s="32" t="n">
        <x:f>IF(O21="","",(1/'Metadata'!$B$5)^(O21-1))</x:f>
        <x:v>114.81536214968828</x:v>
      </x:c>
      <x:c r="U21" s="31" t="n">
        <x:f>IF(T21="","",I21*T21)</x:f>
        <x:v>563379.6169926613</x:v>
      </x:c>
    </x:row>
    <x:row r="22" ht="18" customHeight="1">
      <x:c r="A22" s="24" t="str">
        <x:v>EEZ_566</x:v>
      </x:c>
      <x:c r="B22" s="24" t="str">
        <x:v>Nigeria</x:v>
      </x:c>
      <x:c r="C22" s="24" t="str">
        <x:v>EEZ</x:v>
      </x:c>
      <x:c r="D22" s="30" t="n">
        <x:v>2019</x:v>
      </x:c>
      <x:c r="E22" s="24" t="str">
        <x:v>Merluccius polli</x:v>
      </x:c>
      <x:c r="F22" s="24" t="str">
        <x:v>Benguela hake</x:v>
      </x:c>
      <x:c r="G22" s="24" t="str">
        <x:v>Medium bathydemersals (30 - 89 cm)</x:v>
      </x:c>
      <x:c r="H22" s="24" t="str">
        <x:v>Cod-likes</x:v>
      </x:c>
      <x:c r="I22" s="31" t="n">
        <x:v>4077.3190813456</x:v>
      </x:c>
      <x:c r="J22" s="31" t="n">
        <x:v>4077.3190813456</x:v>
      </x:c>
      <x:c r="K22" s="31" t="n">
        <x:v>0</x:v>
      </x:c>
      <x:c r="L22" s="31" t="n">
        <x:v>4077.3190813456</x:v>
      </x:c>
      <x:c r="M22" s="31" t="n">
        <x:v>0</x:v>
      </x:c>
      <x:c r="N22" s="24" t="str">
        <x:v>merluccius polli</x:v>
      </x:c>
      <x:c r="O22" s="32" t="n">
        <x:v>4.5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Merluccius polli</x:v>
      </x:c>
      <x:c r="T22" s="32" t="n">
        <x:f>IF(O22="","",(1/'Metadata'!$B$5)^(O22-1))</x:f>
        <x:v>3162.2776601683795</x:v>
      </x:c>
      <x:c r="U22" s="31" t="n">
        <x:f>IF(T22="","",I22*T22)</x:f>
        <x:v>12893615.04431745</x:v>
      </x:c>
    </x:row>
    <x:row r="23" ht="18" customHeight="1">
      <x:c r="A23" s="24" t="str">
        <x:v>EEZ_566</x:v>
      </x:c>
      <x:c r="B23" s="24" t="str">
        <x:v>Nigeria</x:v>
      </x:c>
      <x:c r="C23" s="24" t="str">
        <x:v>EEZ</x:v>
      </x:c>
      <x:c r="D23" s="30" t="n">
        <x:v>2019</x:v>
      </x:c>
      <x:c r="E23" s="24" t="str">
        <x:v>Scomberomorus</x:v>
      </x:c>
      <x:c r="F23" s="24" t="str">
        <x:v>Spanish mackerels</x:v>
      </x:c>
      <x:c r="G23" s="24" t="str">
        <x:v>Large pelagics (&gt;=90 cm)</x:v>
      </x:c>
      <x:c r="H23" s="24" t="str">
        <x:v>Perch-likes</x:v>
      </x:c>
      <x:c r="I23" s="31" t="n">
        <x:v>3633.7391924918</x:v>
      </x:c>
      <x:c r="J23" s="31" t="n">
        <x:v>3633.7391924918</x:v>
      </x:c>
      <x:c r="K23" s="31" t="n">
        <x:v>0</x:v>
      </x:c>
      <x:c r="L23" s="31" t="n">
        <x:v>3633.7391924918</x:v>
      </x:c>
      <x:c r="M23" s="31" t="n">
        <x:v>0</x:v>
      </x:c>
      <x:c r="N23" s="24" t="str">
        <x:v>scomberomorus</x:v>
      </x:c>
      <x:c r="O23" s="32" t="n">
        <x:v>4.35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Scomberomorus</x:v>
      </x:c>
      <x:c r="T23" s="32" t="n">
        <x:f>IF(O23="","",(1/'Metadata'!$B$5)^(O23-1))</x:f>
        <x:v>2238.7211385683377</x:v>
      </x:c>
      <x:c r="U23" s="31" t="n">
        <x:f>IF(T23="","",I23*T23)</x:f>
        <x:v>8134928.742275635</x:v>
      </x:c>
    </x:row>
    <x:row r="24" ht="18" customHeight="1">
      <x:c r="A24" s="24" t="str">
        <x:v>EEZ_566</x:v>
      </x:c>
      <x:c r="B24" s="24" t="str">
        <x:v>Nigeria</x:v>
      </x:c>
      <x:c r="C24" s="24" t="str">
        <x:v>EEZ</x:v>
      </x:c>
      <x:c r="D24" s="30" t="n">
        <x:v>2019</x:v>
      </x:c>
      <x:c r="E24" s="24" t="str">
        <x:v>Penaeidae</x:v>
      </x:c>
      <x:c r="F24" s="24" t="str">
        <x:v>Commercial shrimps and prawns</x:v>
      </x:c>
      <x:c r="G24" s="24" t="str">
        <x:v>Shrimps</x:v>
      </x:c>
      <x:c r="H24" s="24" t="str">
        <x:v>Crustaceans</x:v>
      </x:c>
      <x:c r="I24" s="31" t="n">
        <x:v>3414.406338549</x:v>
      </x:c>
      <x:c r="J24" s="31" t="n">
        <x:v>3414.406338549</x:v>
      </x:c>
      <x:c r="K24" s="31" t="n">
        <x:v>0</x:v>
      </x:c>
      <x:c r="L24" s="31" t="n">
        <x:v>0</x:v>
      </x:c>
      <x:c r="M24" s="31" t="n">
        <x:v>3414.406338549</x:v>
      </x:c>
      <x:c r="N24" s="24" t="str">
        <x:v>penaeidae</x:v>
      </x:c>
      <x:c r="O24" s="32" t="n">
        <x:v>3.31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Penaeidae</x:v>
      </x:c>
      <x:c r="T24" s="32" t="n">
        <x:f>IF(O24="","",(1/'Metadata'!$B$5)^(O24-1))</x:f>
        <x:v>204.17379446695296</x:v>
      </x:c>
      <x:c r="U24" s="31" t="n">
        <x:f>IF(T24="","",I24*T24)</x:f>
        <x:v>697132.2979935649</x:v>
      </x:c>
    </x:row>
    <x:row r="25" ht="18" customHeight="1">
      <x:c r="A25" s="24" t="str">
        <x:v>EEZ_566</x:v>
      </x:c>
      <x:c r="B25" s="24" t="str">
        <x:v>Nigeria</x:v>
      </x:c>
      <x:c r="C25" s="24" t="str">
        <x:v>EEZ</x:v>
      </x:c>
      <x:c r="D25" s="30" t="n">
        <x:v>2019</x:v>
      </x:c>
      <x:c r="E25" s="24" t="str">
        <x:v>Trichiurus lepturus</x:v>
      </x:c>
      <x:c r="F25" s="24" t="str">
        <x:v>Largehead hairtail</x:v>
      </x:c>
      <x:c r="G25" s="24" t="str">
        <x:v>Large benthopelagics (&gt;=90 cm)</x:v>
      </x:c>
      <x:c r="H25" s="24" t="str">
        <x:v>Perch-likes</x:v>
      </x:c>
      <x:c r="I25" s="31" t="n">
        <x:v>3399.7355319134</x:v>
      </x:c>
      <x:c r="J25" s="31" t="n">
        <x:v>3399.7355319134</x:v>
      </x:c>
      <x:c r="K25" s="31" t="n">
        <x:v>0</x:v>
      </x:c>
      <x:c r="L25" s="31" t="n">
        <x:v>3399.7355319134</x:v>
      </x:c>
      <x:c r="M25" s="31" t="n">
        <x:v>0</x:v>
      </x:c>
      <x:c r="N25" s="24" t="str">
        <x:v>trichiurus lepturus</x:v>
      </x:c>
      <x:c r="O25" s="32" t="n">
        <x:v>4.42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Trichiurus lepturus</x:v>
      </x:c>
      <x:c r="T25" s="32" t="n">
        <x:f>IF(O25="","",(1/'Metadata'!$B$5)^(O25-1))</x:f>
        <x:v>2630.2679918953813</x:v>
      </x:c>
      <x:c r="U25" s="31" t="n">
        <x:f>IF(T25="","",I25*T25)</x:f>
        <x:v>8942215.550501235</x:v>
      </x:c>
    </x:row>
    <x:row r="26" ht="18" customHeight="1">
      <x:c r="A26" s="24" t="str">
        <x:v>EEZ_566</x:v>
      </x:c>
      <x:c r="B26" s="24" t="str">
        <x:v>Nigeria</x:v>
      </x:c>
      <x:c r="C26" s="24" t="str">
        <x:v>EEZ</x:v>
      </x:c>
      <x:c r="D26" s="30" t="n">
        <x:v>2019</x:v>
      </x:c>
      <x:c r="E26" s="24" t="str">
        <x:v>Brachydeuterus auritus</x:v>
      </x:c>
      <x:c r="F26" s="24" t="str">
        <x:v>Bigeye grunt</x:v>
      </x:c>
      <x:c r="G26" s="24" t="str">
        <x:v>Small demersals (&lt;30 cm)</x:v>
      </x:c>
      <x:c r="H26" s="24" t="str">
        <x:v>Perch-likes</x:v>
      </x:c>
      <x:c r="I26" s="31" t="n">
        <x:v>3392.9580283254</x:v>
      </x:c>
      <x:c r="J26" s="31" t="n">
        <x:v>3392.9580283254</x:v>
      </x:c>
      <x:c r="K26" s="31" t="n">
        <x:v>0</x:v>
      </x:c>
      <x:c r="L26" s="31" t="n">
        <x:v>3392.9411443636</x:v>
      </x:c>
      <x:c r="M26" s="31" t="n">
        <x:v>0.0168839618</x:v>
      </x:c>
      <x:c r="N26" s="24" t="str">
        <x:v>brachydeuterus auritus</x:v>
      </x:c>
      <x:c r="O26" s="32" t="n">
        <x:v>3.03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Brachydeuterus auritus</x:v>
      </x:c>
      <x:c r="T26" s="32" t="n">
        <x:f>IF(O26="","",(1/'Metadata'!$B$5)^(O26-1))</x:f>
        <x:v>107.1519305237606</x:v>
      </x:c>
      <x:c r="U26" s="31" t="n">
        <x:f>IF(T26="","",I26*T26)</x:f>
        <x:v>363562.002921159</x:v>
      </x:c>
    </x:row>
    <x:row r="27" ht="18" customHeight="1">
      <x:c r="A27" s="24" t="str">
        <x:v>EEZ_566</x:v>
      </x:c>
      <x:c r="B27" s="24" t="str">
        <x:v>Nigeria</x:v>
      </x:c>
      <x:c r="C27" s="24" t="str">
        <x:v>EEZ</x:v>
      </x:c>
      <x:c r="D27" s="30" t="n">
        <x:v>2019</x:v>
      </x:c>
      <x:c r="E27" s="24" t="str">
        <x:v>Trichiurus</x:v>
      </x:c>
      <x:c r="F27" s="24" t="str">
        <x:v>Hairtails</x:v>
      </x:c>
      <x:c r="G27" s="24" t="str">
        <x:v>Large benthopelagics (&gt;=90 cm)</x:v>
      </x:c>
      <x:c r="H27" s="24" t="str">
        <x:v>Perch-likes</x:v>
      </x:c>
      <x:c r="I27" s="31" t="n">
        <x:v>2555.1478810503</x:v>
      </x:c>
      <x:c r="J27" s="31" t="n">
        <x:v>2555.1478810503</x:v>
      </x:c>
      <x:c r="K27" s="31" t="n">
        <x:v>0</x:v>
      </x:c>
      <x:c r="L27" s="31" t="n">
        <x:v>2555.1478810503</x:v>
      </x:c>
      <x:c r="M27" s="31" t="n">
        <x:v>0</x:v>
      </x:c>
      <x:c r="N27" s="24" t="str">
        <x:v>trichiurus</x:v>
      </x:c>
      <x:c r="O27" s="32" t="n">
        <x:v>4.42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Trichiurus</x:v>
      </x:c>
      <x:c r="T27" s="32" t="n">
        <x:f>IF(O27="","",(1/'Metadata'!$B$5)^(O27-1))</x:f>
        <x:v>2630.2679918953813</x:v>
      </x:c>
      <x:c r="U27" s="31" t="n">
        <x:f>IF(T27="","",I27*T27)</x:f>
        <x:v>6720723.6860859115</x:v>
      </x:c>
    </x:row>
    <x:row r="28" ht="18" customHeight="1">
      <x:c r="A28" s="24" t="str">
        <x:v>EEZ_566</x:v>
      </x:c>
      <x:c r="B28" s="24" t="str">
        <x:v>Nigeria</x:v>
      </x:c>
      <x:c r="C28" s="24" t="str">
        <x:v>EEZ</x:v>
      </x:c>
      <x:c r="D28" s="30" t="n">
        <x:v>2019</x:v>
      </x:c>
      <x:c r="E28" s="24" t="str">
        <x:v>Elops lacerta</x:v>
      </x:c>
      <x:c r="F28" s="24" t="str">
        <x:v>West African ladyfish</x:v>
      </x:c>
      <x:c r="G28" s="24" t="str">
        <x:v>Medium benthopelagics (30 - 89 cm)</x:v>
      </x:c>
      <x:c r="H28" s="24" t="str">
        <x:v>Other fishes &amp; inverts</x:v>
      </x:c>
      <x:c r="I28" s="31" t="n">
        <x:v>2535.3599117551</x:v>
      </x:c>
      <x:c r="J28" s="31" t="n">
        <x:v>2535.3599117551</x:v>
      </x:c>
      <x:c r="K28" s="31" t="n">
        <x:v>0</x:v>
      </x:c>
      <x:c r="L28" s="31" t="n">
        <x:v>2535.3599117551</x:v>
      </x:c>
      <x:c r="M28" s="31" t="n">
        <x:v>0</x:v>
      </x:c>
      <x:c r="N28" s="24" t="str">
        <x:v>elops lacerta</x:v>
      </x:c>
      <x:c r="O28" s="32" t="n">
        <x:v>4.24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Elops lacerta</x:v>
      </x:c>
      <x:c r="T28" s="32" t="n">
        <x:f>IF(O28="","",(1/'Metadata'!$B$5)^(O28-1))</x:f>
        <x:v>1737.8008287493763</x:v>
      </x:c>
      <x:c r="U28" s="31" t="n">
        <x:f>IF(T28="","",I28*T28)</x:f>
        <x:v>4405950.555825958</x:v>
      </x:c>
    </x:row>
    <x:row r="29" ht="18" customHeight="1">
      <x:c r="A29" s="24" t="str">
        <x:v>EEZ_566</x:v>
      </x:c>
      <x:c r="B29" s="24" t="str">
        <x:v>Nigeria</x:v>
      </x:c>
      <x:c r="C29" s="24" t="str">
        <x:v>EEZ</x:v>
      </x:c>
      <x:c r="D29" s="30" t="n">
        <x:v>2019</x:v>
      </x:c>
      <x:c r="E29" s="24" t="str">
        <x:v>Drepane africana</x:v>
      </x:c>
      <x:c r="F29" s="24" t="str">
        <x:v>African sicklefish</x:v>
      </x:c>
      <x:c r="G29" s="24" t="str">
        <x:v>Medium benthopelagics (30 - 89 cm)</x:v>
      </x:c>
      <x:c r="H29" s="24" t="str">
        <x:v>Perch-likes</x:v>
      </x:c>
      <x:c r="I29" s="31" t="n">
        <x:v>2426.257638258</x:v>
      </x:c>
      <x:c r="J29" s="31" t="n">
        <x:v>2426.257638258</x:v>
      </x:c>
      <x:c r="K29" s="31" t="n">
        <x:v>0</x:v>
      </x:c>
      <x:c r="L29" s="31" t="n">
        <x:v>2426.257638258</x:v>
      </x:c>
      <x:c r="M29" s="31" t="n">
        <x:v>0</x:v>
      </x:c>
      <x:c r="N29" s="24" t="str">
        <x:v>drepane africana</x:v>
      </x:c>
      <x:c r="O29" s="32" t="n">
        <x:v>3.1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Drepane africana</x:v>
      </x:c>
      <x:c r="T29" s="32" t="n">
        <x:f>IF(O29="","",(1/'Metadata'!$B$5)^(O29-1))</x:f>
        <x:v>125.89254117941675</x:v>
      </x:c>
      <x:c r="U29" s="31" t="n">
        <x:f>IF(T29="","",I29*T29)</x:f>
        <x:v>305447.7396362697</x:v>
      </x:c>
    </x:row>
    <x:row r="30" ht="18" customHeight="1">
      <x:c r="A30" s="24" t="str">
        <x:v>EEZ_566</x:v>
      </x:c>
      <x:c r="B30" s="24" t="str">
        <x:v>Nigeria</x:v>
      </x:c>
      <x:c r="C30" s="24" t="str">
        <x:v>EEZ</x:v>
      </x:c>
      <x:c r="D30" s="30" t="n">
        <x:v>2019</x:v>
      </x:c>
      <x:c r="E30" s="24" t="str">
        <x:v>Carangidae</x:v>
      </x:c>
      <x:c r="F30" s="24" t="str">
        <x:v>Jacks, pompanos</x:v>
      </x:c>
      <x:c r="G30" s="24" t="str">
        <x:v>Medium pelagics (30 - 89 cm)</x:v>
      </x:c>
      <x:c r="H30" s="24" t="str">
        <x:v>Perch-likes</x:v>
      </x:c>
      <x:c r="I30" s="31" t="n">
        <x:v>1906.850756221</x:v>
      </x:c>
      <x:c r="J30" s="31" t="n">
        <x:v>1906.850756221</x:v>
      </x:c>
      <x:c r="K30" s="31" t="n">
        <x:v>0</x:v>
      </x:c>
      <x:c r="L30" s="31" t="n">
        <x:v>565.1041973045</x:v>
      </x:c>
      <x:c r="M30" s="31" t="n">
        <x:v>1341.7465589165</x:v>
      </x:c>
      <x:c r="N30" s="24" t="str">
        <x:v>carangidae</x:v>
      </x:c>
      <x:c r="O30" s="32" t="n">
        <x:v>4.05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Carangidae</x:v>
      </x:c>
      <x:c r="T30" s="32" t="n">
        <x:f>IF(O30="","",(1/'Metadata'!$B$5)^(O30-1))</x:f>
        <x:v>1122.018454301963</x:v>
      </x:c>
      <x:c r="U30" s="31" t="n">
        <x:f>IF(T30="","",I30*T30)</x:f>
        <x:v>2139521.7380796154</x:v>
      </x:c>
    </x:row>
    <x:row r="31" ht="18" customHeight="1">
      <x:c r="A31" s="24" t="str">
        <x:v>EEZ_566</x:v>
      </x:c>
      <x:c r="B31" s="24" t="str">
        <x:v>Nigeria</x:v>
      </x:c>
      <x:c r="C31" s="24" t="str">
        <x:v>EEZ</x:v>
      </x:c>
      <x:c r="D31" s="30" t="n">
        <x:v>2019</x:v>
      </x:c>
      <x:c r="E31" s="24" t="str">
        <x:v>Rajidae</x:v>
      </x:c>
      <x:c r="F31" s="24" t="str">
        <x:v>Stingrays</x:v>
      </x:c>
      <x:c r="G31" s="24" t="str">
        <x:v>Large rays (&gt;=90 cm)</x:v>
      </x:c>
      <x:c r="H31" s="24" t="str">
        <x:v>Sharks &amp; rays</x:v>
      </x:c>
      <x:c r="I31" s="31" t="n">
        <x:v>1578.5432750073999</x:v>
      </x:c>
      <x:c r="J31" s="31" t="n">
        <x:v>1578.5432750073999</x:v>
      </x:c>
      <x:c r="K31" s="31" t="n">
        <x:v>0</x:v>
      </x:c>
      <x:c r="L31" s="31" t="n">
        <x:v>0</x:v>
      </x:c>
      <x:c r="M31" s="31" t="n">
        <x:v>1578.5432750073999</x:v>
      </x:c>
      <x:c r="N31" s="24" t="str">
        <x:v>rajidae</x:v>
      </x:c>
      <x:c r="O31" s="32" t="n">
        <x:v>3.82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Rajidae</x:v>
      </x:c>
      <x:c r="T31" s="32" t="n">
        <x:f>IF(O31="","",(1/'Metadata'!$B$5)^(O31-1))</x:f>
        <x:v>660.6934480075957</x:v>
      </x:c>
      <x:c r="U31" s="31" t="n">
        <x:f>IF(T31="","",I31*T31)</x:f>
        <x:v>1042933.1991938414</x:v>
      </x:c>
    </x:row>
    <x:row r="32" ht="18" customHeight="1">
      <x:c r="A32" s="24" t="str">
        <x:v>EEZ_566</x:v>
      </x:c>
      <x:c r="B32" s="24" t="str">
        <x:v>Nigeria</x:v>
      </x:c>
      <x:c r="C32" s="24" t="str">
        <x:v>EEZ</x:v>
      </x:c>
      <x:c r="D32" s="30" t="n">
        <x:v>2019</x:v>
      </x:c>
      <x:c r="E32" s="24" t="str">
        <x:v>Katsuwonus pelamis</x:v>
      </x:c>
      <x:c r="F32" s="24" t="str">
        <x:v>Skipjack tuna</x:v>
      </x:c>
      <x:c r="G32" s="24" t="str">
        <x:v>Large pelagics (&gt;=90 cm)</x:v>
      </x:c>
      <x:c r="H32" s="24" t="str">
        <x:v>Tuna &amp; billfishes</x:v>
      </x:c>
      <x:c r="I32" s="31" t="n">
        <x:v>1187.2365421437999</x:v>
      </x:c>
      <x:c r="J32" s="31" t="n">
        <x:v>1187.2365421437999</x:v>
      </x:c>
      <x:c r="K32" s="31" t="n">
        <x:v>0</x:v>
      </x:c>
      <x:c r="L32" s="31" t="n">
        <x:v>1187.2365421437999</x:v>
      </x:c>
      <x:c r="M32" s="31" t="n">
        <x:v>0</x:v>
      </x:c>
      <x:c r="N32" s="24" t="str">
        <x:v>katsuwonus pelamis</x:v>
      </x:c>
      <x:c r="O32" s="32" t="n">
        <x:v>4.43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Katsuwonus pelamis</x:v>
      </x:c>
      <x:c r="T32" s="32" t="n">
        <x:f>IF(O32="","",(1/'Metadata'!$B$5)^(O32-1))</x:f>
        <x:v>2691.534803926914</x:v>
      </x:c>
      <x:c r="U32" s="31" t="n">
        <x:f>IF(T32="","",I32*T32)</x:f>
        <x:v>3195488.4736738796</x:v>
      </x:c>
    </x:row>
    <x:row r="33" ht="18" customHeight="1">
      <x:c r="A33" s="24" t="str">
        <x:v>EEZ_566</x:v>
      </x:c>
      <x:c r="B33" s="24" t="str">
        <x:v>Nigeria</x:v>
      </x:c>
      <x:c r="C33" s="24" t="str">
        <x:v>EEZ</x:v>
      </x:c>
      <x:c r="D33" s="30" t="n">
        <x:v>2019</x:v>
      </x:c>
      <x:c r="E33" s="24" t="str">
        <x:v>Squalidae</x:v>
      </x:c>
      <x:c r="F33" s="24" t="str">
        <x:v>Dogfish sharks</x:v>
      </x:c>
      <x:c r="G33" s="24" t="str">
        <x:v>Large sharks (&gt;=90 cm)</x:v>
      </x:c>
      <x:c r="H33" s="24" t="str">
        <x:v>Sharks &amp; rays</x:v>
      </x:c>
      <x:c r="I33" s="31" t="n">
        <x:v>1119.0324272527</x:v>
      </x:c>
      <x:c r="J33" s="31" t="n">
        <x:v>1119.0324272527</x:v>
      </x:c>
      <x:c r="K33" s="31" t="n">
        <x:v>0</x:v>
      </x:c>
      <x:c r="L33" s="31" t="n">
        <x:v>0</x:v>
      </x:c>
      <x:c r="M33" s="31" t="n">
        <x:v>1119.0324272527</x:v>
      </x:c>
      <x:c r="N33" s="24" t="str">
        <x:v>squalidae</x:v>
      </x:c>
      <x:c r="O33" s="32" t="n">
        <x:v>4.23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Squalidae</x:v>
      </x:c>
      <x:c r="T33" s="32" t="n">
        <x:f>IF(O33="","",(1/'Metadata'!$B$5)^(O33-1))</x:f>
        <x:v>1698.243652461746</x:v>
      </x:c>
      <x:c r="U33" s="31" t="n">
        <x:f>IF(T33="","",I33*T33)</x:f>
        <x:v>1900389.7164807583</x:v>
      </x:c>
    </x:row>
    <x:row r="34" ht="18" customHeight="1">
      <x:c r="A34" s="24" t="str">
        <x:v>EEZ_566</x:v>
      </x:c>
      <x:c r="B34" s="24" t="str">
        <x:v>Nigeria</x:v>
      </x:c>
      <x:c r="C34" s="24" t="str">
        <x:v>EEZ</x:v>
      </x:c>
      <x:c r="D34" s="30" t="n">
        <x:v>2019</x:v>
      </x:c>
      <x:c r="E34" s="24" t="str">
        <x:v>Clupeiformes</x:v>
      </x:c>
      <x:c r="F34" s="24" t="str">
        <x:v>Herrings, shads, anchovies</x:v>
      </x:c>
      <x:c r="G34" s="24" t="str">
        <x:v>Small pelagics (&lt;30 cm)</x:v>
      </x:c>
      <x:c r="H34" s="24" t="str">
        <x:v>Other fishes &amp; inverts</x:v>
      </x:c>
      <x:c r="I34" s="31" t="n">
        <x:v>1109.0331887437</x:v>
      </x:c>
      <x:c r="J34" s="31" t="n">
        <x:v>1109.0331887437</x:v>
      </x:c>
      <x:c r="K34" s="31" t="n">
        <x:v>0</x:v>
      </x:c>
      <x:c r="L34" s="31" t="n">
        <x:v>0</x:v>
      </x:c>
      <x:c r="M34" s="31" t="n">
        <x:v>1109.0331887437</x:v>
      </x:c>
      <x:c r="N34" s="24" t="str">
        <x:v>clupeiformes</x:v>
      </x:c>
      <x:c r="O34" s="32" t="n">
        <x:v>3.24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Clupeiformes</x:v>
      </x:c>
      <x:c r="T34" s="32" t="n">
        <x:f>IF(O34="","",(1/'Metadata'!$B$5)^(O34-1))</x:f>
        <x:v>173.78008287493762</x:v>
      </x:c>
      <x:c r="U34" s="31" t="n">
        <x:f>IF(T34="","",I34*T34)</x:f>
        <x:v>192727.87945093654</x:v>
      </x:c>
    </x:row>
    <x:row r="35" ht="18" customHeight="1">
      <x:c r="A35" s="24" t="str">
        <x:v>EEZ_566</x:v>
      </x:c>
      <x:c r="B35" s="24" t="str">
        <x:v>Nigeria</x:v>
      </x:c>
      <x:c r="C35" s="24" t="str">
        <x:v>EEZ</x:v>
      </x:c>
      <x:c r="D35" s="30" t="n">
        <x:v>2019</x:v>
      </x:c>
      <x:c r="E35" s="24" t="str">
        <x:v>Polynemidae</x:v>
      </x:c>
      <x:c r="F35" s="24" t="str">
        <x:v>Threadfins</x:v>
      </x:c>
      <x:c r="G35" s="24" t="str">
        <x:v>Small demersals (&lt;30 cm)</x:v>
      </x:c>
      <x:c r="H35" s="24" t="str">
        <x:v>Perch-likes</x:v>
      </x:c>
      <x:c r="I35" s="31" t="n">
        <x:v>1034.6491165398</x:v>
      </x:c>
      <x:c r="J35" s="31" t="n">
        <x:v>1034.6491165398</x:v>
      </x:c>
      <x:c r="K35" s="31" t="n">
        <x:v>0</x:v>
      </x:c>
      <x:c r="L35" s="31" t="n">
        <x:v>0</x:v>
      </x:c>
      <x:c r="M35" s="31" t="n">
        <x:v>1034.6491165398</x:v>
      </x:c>
      <x:c r="N35" s="24" t="str">
        <x:v>polynemidae</x:v>
      </x:c>
      <x:c r="O35" s="32" t="n">
        <x:v>3.62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Polynemidae</x:v>
      </x:c>
      <x:c r="T35" s="32" t="n">
        <x:f>IF(O35="","",(1/'Metadata'!$B$5)^(O35-1))</x:f>
        <x:v>416.8693834703355</x:v>
      </x:c>
      <x:c r="U35" s="31" t="n">
        <x:f>IF(T35="","",I35*T35)</x:f>
        <x:v>431313.5393200737</x:v>
      </x:c>
    </x:row>
    <x:row r="36" ht="18" customHeight="1">
      <x:c r="A36" s="24" t="str">
        <x:v>EEZ_566</x:v>
      </x:c>
      <x:c r="B36" s="24" t="str">
        <x:v>Nigeria</x:v>
      </x:c>
      <x:c r="C36" s="24" t="str">
        <x:v>EEZ</x:v>
      </x:c>
      <x:c r="D36" s="30" t="n">
        <x:v>2019</x:v>
      </x:c>
      <x:c r="E36" s="24" t="str">
        <x:v>Sarda sarda</x:v>
      </x:c>
      <x:c r="F36" s="24" t="str">
        <x:v>Atlantic bonito</x:v>
      </x:c>
      <x:c r="G36" s="24" t="str">
        <x:v>Medium pelagics (30 - 89 cm)</x:v>
      </x:c>
      <x:c r="H36" s="24" t="str">
        <x:v>Tuna &amp; billfishes</x:v>
      </x:c>
      <x:c r="I36" s="31" t="n">
        <x:v>951.0729740466</x:v>
      </x:c>
      <x:c r="J36" s="31" t="n">
        <x:v>951.0729740466</x:v>
      </x:c>
      <x:c r="K36" s="31" t="n">
        <x:v>0</x:v>
      </x:c>
      <x:c r="L36" s="31" t="n">
        <x:v>951.0729740466</x:v>
      </x:c>
      <x:c r="M36" s="31" t="n">
        <x:v>0</x:v>
      </x:c>
      <x:c r="N36" s="24" t="str">
        <x:v>sarda sarda</x:v>
      </x:c>
      <x:c r="O36" s="32" t="n">
        <x:v>4.5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Sarda sarda</x:v>
      </x:c>
      <x:c r="T36" s="32" t="n">
        <x:f>IF(O36="","",(1/'Metadata'!$B$5)^(O36-1))</x:f>
        <x:v>3162.2776601683795</x:v>
      </x:c>
      <x:c r="U36" s="31" t="n">
        <x:f>IF(T36="","",I36*T36)</x:f>
        <x:v>3007556.8190174643</x:v>
      </x:c>
    </x:row>
    <x:row r="37" ht="18" customHeight="1">
      <x:c r="A37" s="24" t="str">
        <x:v>EEZ_566</x:v>
      </x:c>
      <x:c r="B37" s="24" t="str">
        <x:v>Nigeria</x:v>
      </x:c>
      <x:c r="C37" s="24" t="str">
        <x:v>EEZ</x:v>
      </x:c>
      <x:c r="D37" s="30" t="n">
        <x:v>2019</x:v>
      </x:c>
      <x:c r="E37" s="24" t="str">
        <x:v>Marine pelagic fishes not identified</x:v>
      </x:c>
      <x:c r="F37" s="24" t="str">
        <x:v>Pelagic fishes</x:v>
      </x:c>
      <x:c r="G37" s="24" t="str">
        <x:v>Medium pelagics (30 - 89 cm)</x:v>
      </x:c>
      <x:c r="H37" s="24" t="str">
        <x:v>Other fishes &amp; inverts</x:v>
      </x:c>
      <x:c r="I37" s="31" t="n">
        <x:v>891.8940501436</x:v>
      </x:c>
      <x:c r="J37" s="31" t="n">
        <x:v>891.8940501436</x:v>
      </x:c>
      <x:c r="K37" s="31" t="n">
        <x:v>0</x:v>
      </x:c>
      <x:c r="L37" s="31" t="n">
        <x:v>891.8940501436</x:v>
      </x:c>
      <x:c r="M37" s="31" t="n">
        <x:v>0</x:v>
      </x:c>
      <x:c r="N37" s="24" t="str">
        <x:v>marine pelagic fishes not identified</x:v>
      </x:c>
      <x:c r="O37" s="32" t="n">
        <x:v>3.35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Marine pelagic fishes not identified</x:v>
      </x:c>
      <x:c r="T37" s="32" t="n">
        <x:f>IF(O37="","",(1/'Metadata'!$B$5)^(O37-1))</x:f>
        <x:v>223.872113856834</x:v>
      </x:c>
      <x:c r="U37" s="31" t="n">
        <x:f>IF(T37="","",I37*T37)</x:f>
        <x:v>199670.20634198084</x:v>
      </x:c>
    </x:row>
    <x:row r="38" ht="18" customHeight="1">
      <x:c r="A38" s="24" t="str">
        <x:v>EEZ_566</x:v>
      </x:c>
      <x:c r="B38" s="24" t="str">
        <x:v>Nigeria</x:v>
      </x:c>
      <x:c r="C38" s="24" t="str">
        <x:v>EEZ</x:v>
      </x:c>
      <x:c r="D38" s="30" t="n">
        <x:v>2019</x:v>
      </x:c>
      <x:c r="E38" s="24" t="str">
        <x:v>Coryphaena hippurus</x:v>
      </x:c>
      <x:c r="F38" s="24" t="str">
        <x:v>Common dolphinfish</x:v>
      </x:c>
      <x:c r="G38" s="24" t="str">
        <x:v>Large pelagics (&gt;=90 cm)</x:v>
      </x:c>
      <x:c r="H38" s="24" t="str">
        <x:v>Perch-likes</x:v>
      </x:c>
      <x:c r="I38" s="31" t="n">
        <x:v>644.0994953221999</x:v>
      </x:c>
      <x:c r="J38" s="31" t="n">
        <x:v>644.0994953221999</x:v>
      </x:c>
      <x:c r="K38" s="31" t="n">
        <x:v>0</x:v>
      </x:c>
      <x:c r="L38" s="31" t="n">
        <x:v>644.0994953221999</x:v>
      </x:c>
      <x:c r="M38" s="31" t="n">
        <x:v>0</x:v>
      </x:c>
      <x:c r="N38" s="24" t="str">
        <x:v>coryphaena hippurus</x:v>
      </x:c>
      <x:c r="O38" s="32" t="n">
        <x:v>4.37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Coryphaena hippurus</x:v>
      </x:c>
      <x:c r="T38" s="32" t="n">
        <x:f>IF(O38="","",(1/'Metadata'!$B$5)^(O38-1))</x:f>
        <x:v>2344.228815319923</x:v>
      </x:c>
      <x:c r="U38" s="31" t="n">
        <x:f>IF(T38="","",I38*T38)</x:f>
        <x:v>1509916.5968673208</x:v>
      </x:c>
    </x:row>
    <x:row r="39" ht="18" customHeight="1">
      <x:c r="A39" s="24" t="str">
        <x:v>EEZ_566</x:v>
      </x:c>
      <x:c r="B39" s="24" t="str">
        <x:v>Nigeria</x:v>
      </x:c>
      <x:c r="C39" s="24" t="str">
        <x:v>EEZ</x:v>
      </x:c>
      <x:c r="D39" s="30" t="n">
        <x:v>2019</x:v>
      </x:c>
      <x:c r="E39" s="24" t="str">
        <x:v>Cephalopoda</x:v>
      </x:c>
      <x:c r="F39" s="24" t="str">
        <x:v>Squids, cuttlefishes, octopuses</x:v>
      </x:c>
      <x:c r="G39" s="24" t="str">
        <x:v>Cephalopods</x:v>
      </x:c>
      <x:c r="H39" s="24" t="str">
        <x:v>Other fishes &amp; inverts</x:v>
      </x:c>
      <x:c r="I39" s="31" t="n">
        <x:v>601.1974384478</x:v>
      </x:c>
      <x:c r="J39" s="31" t="n">
        <x:v>601.1974384478</x:v>
      </x:c>
      <x:c r="K39" s="31" t="n">
        <x:v>0</x:v>
      </x:c>
      <x:c r="L39" s="31" t="n">
        <x:v>601.1974384478</x:v>
      </x:c>
      <x:c r="M39" s="31" t="n">
        <x:v>0</x:v>
      </x:c>
      <x:c r="N39" s="24" t="str">
        <x:v>cephalopoda</x:v>
      </x:c>
      <x:c r="O39" s="32" t="n">
        <x:v>3.81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Cephalopoda</x:v>
      </x:c>
      <x:c r="T39" s="32" t="n">
        <x:f>IF(O39="","",(1/'Metadata'!$B$5)^(O39-1))</x:f>
        <x:v>645.6542290346556</x:v>
      </x:c>
      <x:c r="U39" s="31" t="n">
        <x:f>IF(T39="","",I39*T39)</x:f>
        <x:v>388165.6686186241</x:v>
      </x:c>
    </x:row>
    <x:row r="40" ht="18" customHeight="1">
      <x:c r="A40" s="24" t="str">
        <x:v>EEZ_566</x:v>
      </x:c>
      <x:c r="B40" s="24" t="str">
        <x:v>Nigeria</x:v>
      </x:c>
      <x:c r="C40" s="24" t="str">
        <x:v>EEZ</x:v>
      </x:c>
      <x:c r="D40" s="30" t="n">
        <x:v>2019</x:v>
      </x:c>
      <x:c r="E40" s="24" t="str">
        <x:v>Thunnus albacares</x:v>
      </x:c>
      <x:c r="F40" s="24" t="str">
        <x:v>Yellowfin tuna</x:v>
      </x:c>
      <x:c r="G40" s="24" t="str">
        <x:v>Large pelagics (&gt;=90 cm)</x:v>
      </x:c>
      <x:c r="H40" s="24" t="str">
        <x:v>Tuna &amp; billfishes</x:v>
      </x:c>
      <x:c r="I40" s="31" t="n">
        <x:v>581.6914456972</x:v>
      </x:c>
      <x:c r="J40" s="31" t="n">
        <x:v>581.6914456972</x:v>
      </x:c>
      <x:c r="K40" s="31" t="n">
        <x:v>0</x:v>
      </x:c>
      <x:c r="L40" s="31" t="n">
        <x:v>581.6914456972</x:v>
      </x:c>
      <x:c r="M40" s="31" t="n">
        <x:v>0</x:v>
      </x:c>
      <x:c r="N40" s="24" t="str">
        <x:v>thunnus albacares</x:v>
      </x:c>
      <x:c r="O40" s="32" t="n">
        <x:v>4.41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Thunnus albacares</x:v>
      </x:c>
      <x:c r="T40" s="32" t="n">
        <x:f>IF(O40="","",(1/'Metadata'!$B$5)^(O40-1))</x:f>
        <x:v>2570.3957827688646</x:v>
      </x:c>
      <x:c r="U40" s="31" t="n">
        <x:f>IF(T40="","",I40*T40)</x:f>
        <x:v>1495177.238892807</x:v>
      </x:c>
    </x:row>
    <x:row r="41" ht="18" customHeight="1">
      <x:c r="A41" s="24" t="str">
        <x:v>EEZ_566</x:v>
      </x:c>
      <x:c r="B41" s="24" t="str">
        <x:v>Nigeria</x:v>
      </x:c>
      <x:c r="C41" s="24" t="str">
        <x:v>EEZ</x:v>
      </x:c>
      <x:c r="D41" s="30" t="n">
        <x:v>2019</x:v>
      </x:c>
      <x:c r="E41" s="24" t="str">
        <x:v>Sphyraenidae</x:v>
      </x:c>
      <x:c r="F41" s="24" t="str">
        <x:v>Barracudas</x:v>
      </x:c>
      <x:c r="G41" s="24" t="str">
        <x:v>Medium reef assoc. fish (30 - 89 cm)</x:v>
      </x:c>
      <x:c r="H41" s="24" t="str">
        <x:v>Perch-likes</x:v>
      </x:c>
      <x:c r="I41" s="31" t="n">
        <x:v>570.2086766538</x:v>
      </x:c>
      <x:c r="J41" s="31" t="n">
        <x:v>570.2086766538</x:v>
      </x:c>
      <x:c r="K41" s="31" t="n">
        <x:v>0</x:v>
      </x:c>
      <x:c r="L41" s="31" t="n">
        <x:v>0</x:v>
      </x:c>
      <x:c r="M41" s="31" t="n">
        <x:v>570.2086766538</x:v>
      </x:c>
      <x:c r="N41" s="24" t="str">
        <x:v>sphyraenidae</x:v>
      </x:c>
      <x:c r="O41" s="32" t="n">
        <x:v>4.4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Sphyraenidae</x:v>
      </x:c>
      <x:c r="T41" s="32" t="n">
        <x:f>IF(O41="","",(1/'Metadata'!$B$5)^(O41-1))</x:f>
        <x:v>2511.886431509582</x:v>
      </x:c>
      <x:c r="U41" s="31" t="n">
        <x:f>IF(T41="","",I41*T41)</x:f>
        <x:v>1432299.4380157148</x:v>
      </x:c>
    </x:row>
    <x:row r="42" ht="18" customHeight="1">
      <x:c r="A42" s="24" t="str">
        <x:v>EEZ_566</x:v>
      </x:c>
      <x:c r="B42" s="24" t="str">
        <x:v>Nigeria</x:v>
      </x:c>
      <x:c r="C42" s="24" t="str">
        <x:v>EEZ</x:v>
      </x:c>
      <x:c r="D42" s="30" t="n">
        <x:v>2019</x:v>
      </x:c>
      <x:c r="E42" s="24" t="str">
        <x:v>Trichiuridae</x:v>
      </x:c>
      <x:c r="F42" s="24" t="str">
        <x:v>Cutlassfishes</x:v>
      </x:c>
      <x:c r="G42" s="24" t="str">
        <x:v>Large benthopelagics (&gt;=90 cm)</x:v>
      </x:c>
      <x:c r="H42" s="24" t="str">
        <x:v>Perch-likes</x:v>
      </x:c>
      <x:c r="I42" s="31" t="n">
        <x:v>527.5648653656</x:v>
      </x:c>
      <x:c r="J42" s="31" t="n">
        <x:v>527.5648653656</x:v>
      </x:c>
      <x:c r="K42" s="31" t="n">
        <x:v>0</x:v>
      </x:c>
      <x:c r="L42" s="31" t="n">
        <x:v>0</x:v>
      </x:c>
      <x:c r="M42" s="31" t="n">
        <x:v>527.5648653656</x:v>
      </x:c>
      <x:c r="N42" s="24" t="str">
        <x:v>trichiuridae</x:v>
      </x:c>
      <x:c r="O42" s="32" t="n">
        <x:v>4.15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Trichiuridae</x:v>
      </x:c>
      <x:c r="T42" s="32" t="n">
        <x:f>IF(O42="","",(1/'Metadata'!$B$5)^(O42-1))</x:f>
        <x:v>1412.5375446227554</x:v>
      </x:c>
      <x:c r="U42" s="31" t="n">
        <x:f>IF(T42="","",I42*T42)</x:f>
        <x:v>745205.1795527592</x:v>
      </x:c>
    </x:row>
    <x:row r="43" ht="18" customHeight="1">
      <x:c r="A43" s="24" t="str">
        <x:v>EEZ_566</x:v>
      </x:c>
      <x:c r="B43" s="24" t="str">
        <x:v>Nigeria</x:v>
      </x:c>
      <x:c r="C43" s="24" t="str">
        <x:v>EEZ</x:v>
      </x:c>
      <x:c r="D43" s="30" t="n">
        <x:v>2019</x:v>
      </x:c>
      <x:c r="E43" s="24" t="str">
        <x:v>Caranx</x:v>
      </x:c>
      <x:c r="F43" s="24" t="str">
        <x:v>Jacks</x:v>
      </x:c>
      <x:c r="G43" s="24" t="str">
        <x:v>Medium reef assoc. fish (30 - 89 cm)</x:v>
      </x:c>
      <x:c r="H43" s="24" t="str">
        <x:v>Perch-likes</x:v>
      </x:c>
      <x:c r="I43" s="31" t="n">
        <x:v>522.6799440683</x:v>
      </x:c>
      <x:c r="J43" s="31" t="n">
        <x:v>522.6799440683</x:v>
      </x:c>
      <x:c r="K43" s="31" t="n">
        <x:v>0</x:v>
      </x:c>
      <x:c r="L43" s="31" t="n">
        <x:v>522.6799440683</x:v>
      </x:c>
      <x:c r="M43" s="31" t="n">
        <x:v>0</x:v>
      </x:c>
      <x:c r="N43" s="24" t="str">
        <x:v>caranx</x:v>
      </x:c>
      <x:c r="O43" s="32" t="n">
        <x:v>4.12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Caranx</x:v>
      </x:c>
      <x:c r="T43" s="32" t="n">
        <x:f>IF(O43="","",(1/'Metadata'!$B$5)^(O43-1))</x:f>
        <x:v>1318.2567385564075</x:v>
      </x:c>
      <x:c r="U43" s="31" t="n">
        <x:f>IF(T43="","",I43*T43)</x:f>
        <x:v>689026.3583763227</x:v>
      </x:c>
    </x:row>
    <x:row r="44" ht="18" customHeight="1">
      <x:c r="A44" s="24" t="str">
        <x:v>EEZ_566</x:v>
      </x:c>
      <x:c r="B44" s="24" t="str">
        <x:v>Nigeria</x:v>
      </x:c>
      <x:c r="C44" s="24" t="str">
        <x:v>EEZ</x:v>
      </x:c>
      <x:c r="D44" s="30" t="n">
        <x:v>2019</x:v>
      </x:c>
      <x:c r="E44" s="24" t="str">
        <x:v>Xiphiidae</x:v>
      </x:c>
      <x:c r="F44" s="24" t="str">
        <x:v>Swordfishes</x:v>
      </x:c>
      <x:c r="G44" s="24" t="str">
        <x:v>Large pelagics (&gt;=90 cm)</x:v>
      </x:c>
      <x:c r="H44" s="24" t="str">
        <x:v>Tuna &amp; billfishes</x:v>
      </x:c>
      <x:c r="I44" s="31" t="n">
        <x:v>299.1149182002</x:v>
      </x:c>
      <x:c r="J44" s="31" t="n">
        <x:v>299.1149182002</x:v>
      </x:c>
      <x:c r="K44" s="31" t="n">
        <x:v>0</x:v>
      </x:c>
      <x:c r="L44" s="31" t="n">
        <x:v>299.1149182002</x:v>
      </x:c>
      <x:c r="M44" s="31" t="n">
        <x:v>0</x:v>
      </x:c>
      <x:c r="N44" s="24" t="str">
        <x:v>xiphiidae</x:v>
      </x:c>
      <x:c r="O44" s="32" t="n">
        <x:v>4.5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Xiphiidae</x:v>
      </x:c>
      <x:c r="T44" s="32" t="n">
        <x:f>IF(O44="","",(1/'Metadata'!$B$5)^(O44-1))</x:f>
        <x:v>3162.2776601683795</x:v>
      </x:c>
      <x:c r="U44" s="31" t="n">
        <x:f>IF(T44="","",I44*T44)</x:f>
        <x:v>945884.4236475847</x:v>
      </x:c>
    </x:row>
    <x:row r="45" ht="18" customHeight="1">
      <x:c r="A45" s="24" t="str">
        <x:v>EEZ_566</x:v>
      </x:c>
      <x:c r="B45" s="24" t="str">
        <x:v>Nigeria</x:v>
      </x:c>
      <x:c r="C45" s="24" t="str">
        <x:v>EEZ</x:v>
      </x:c>
      <x:c r="D45" s="30" t="n">
        <x:v>2019</x:v>
      </x:c>
      <x:c r="E45" s="24" t="str">
        <x:v>Istiophoridae</x:v>
      </x:c>
      <x:c r="F45" s="24" t="str">
        <x:v>Billfishes</x:v>
      </x:c>
      <x:c r="G45" s="24" t="str">
        <x:v>Large pelagics (&gt;=90 cm)</x:v>
      </x:c>
      <x:c r="H45" s="24" t="str">
        <x:v>Tuna &amp; billfishes</x:v>
      </x:c>
      <x:c r="I45" s="31" t="n">
        <x:v>246.2880604208</x:v>
      </x:c>
      <x:c r="J45" s="31" t="n">
        <x:v>246.2880604208</x:v>
      </x:c>
      <x:c r="K45" s="31" t="n">
        <x:v>0</x:v>
      </x:c>
      <x:c r="L45" s="31" t="n">
        <x:v>246.2880604208</x:v>
      </x:c>
      <x:c r="M45" s="31" t="n">
        <x:v>0</x:v>
      </x:c>
      <x:c r="N45" s="24" t="str">
        <x:v>istiophoridae</x:v>
      </x:c>
      <x:c r="O45" s="32" t="n">
        <x:v>4.48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Istiophoridae</x:v>
      </x:c>
      <x:c r="T45" s="32" t="n">
        <x:f>IF(O45="","",(1/'Metadata'!$B$5)^(O45-1))</x:f>
        <x:v>3019.951720402019</x:v>
      </x:c>
      <x:c r="U45" s="31" t="n">
        <x:f>IF(T45="","",I45*T45)</x:f>
        <x:v>743778.0517822714</x:v>
      </x:c>
    </x:row>
    <x:row r="46" ht="18" customHeight="1">
      <x:c r="A46" s="24" t="str">
        <x:v>EEZ_566</x:v>
      </x:c>
      <x:c r="B46" s="24" t="str">
        <x:v>Nigeria</x:v>
      </x:c>
      <x:c r="C46" s="24" t="str">
        <x:v>EEZ</x:v>
      </x:c>
      <x:c r="D46" s="30" t="n">
        <x:v>2019</x:v>
      </x:c>
      <x:c r="E46" s="24" t="str">
        <x:v>Scomberomorus tritor</x:v>
      </x:c>
      <x:c r="F46" s="24" t="str">
        <x:v>West African Spanish mackerel</x:v>
      </x:c>
      <x:c r="G46" s="24" t="str">
        <x:v>Medium pelagics (30 - 89 cm)</x:v>
      </x:c>
      <x:c r="H46" s="24" t="str">
        <x:v>Perch-likes</x:v>
      </x:c>
      <x:c r="I46" s="31" t="n">
        <x:v>245.15345132910002</x:v>
      </x:c>
      <x:c r="J46" s="31" t="n">
        <x:v>245.15345132910002</x:v>
      </x:c>
      <x:c r="K46" s="31" t="n">
        <x:v>0</x:v>
      </x:c>
      <x:c r="L46" s="31" t="n">
        <x:v>245.15345132910002</x:v>
      </x:c>
      <x:c r="M46" s="31" t="n">
        <x:v>0</x:v>
      </x:c>
      <x:c r="N46" s="24" t="str">
        <x:v>scomberomorus tritor</x:v>
      </x:c>
      <x:c r="O46" s="32" t="n">
        <x:v>4.26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Scomberomorus tritor</x:v>
      </x:c>
      <x:c r="T46" s="32" t="n">
        <x:f>IF(O46="","",(1/'Metadata'!$B$5)^(O46-1))</x:f>
        <x:v>1819.7008586099826</x:v>
      </x:c>
      <x:c r="U46" s="31" t="n">
        <x:f>IF(T46="","",I46*T46)</x:f>
        <x:v>446105.9458747639</x:v>
      </x:c>
    </x:row>
    <x:row r="47" ht="18" customHeight="1">
      <x:c r="A47" s="24" t="str">
        <x:v>EEZ_566</x:v>
      </x:c>
      <x:c r="B47" s="24" t="str">
        <x:v>Nigeria</x:v>
      </x:c>
      <x:c r="C47" s="24" t="str">
        <x:v>EEZ</x:v>
      </x:c>
      <x:c r="D47" s="30" t="n">
        <x:v>2019</x:v>
      </x:c>
      <x:c r="E47" s="24" t="str">
        <x:v>Scyris alexandrina</x:v>
      </x:c>
      <x:c r="F47" s="24" t="str">
        <x:v>Alexandria pompano</x:v>
      </x:c>
      <x:c r="G47" s="24" t="str">
        <x:v>Medium pelagics (30 - 89 cm)</x:v>
      </x:c>
      <x:c r="H47" s="24" t="str">
        <x:v>Perch-likes</x:v>
      </x:c>
      <x:c r="I47" s="31" t="n">
        <x:v>210.1482888437</x:v>
      </x:c>
      <x:c r="J47" s="31" t="n">
        <x:v>210.1482888437</x:v>
      </x:c>
      <x:c r="K47" s="31" t="n">
        <x:v>0</x:v>
      </x:c>
      <x:c r="L47" s="31" t="n">
        <x:v>210.1482888437</x:v>
      </x:c>
      <x:c r="M47" s="31" t="n">
        <x:v>0</x:v>
      </x:c>
      <x:c r="N47" s="24" t="str">
        <x:v>scyris alexandrina</x:v>
      </x:c>
      <x:c r="O47" s="32" t="n">
        <x:v>3.6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Scyris alexandrina</x:v>
      </x:c>
      <x:c r="T47" s="32" t="n">
        <x:f>IF(O47="","",(1/'Metadata'!$B$5)^(O47-1))</x:f>
        <x:v>398.1071705534973</x:v>
      </x:c>
      <x:c r="U47" s="31" t="n">
        <x:f>IF(T47="","",I47*T47)</x:f>
        <x:v>83661.5406682245</x:v>
      </x:c>
    </x:row>
    <x:row r="48" ht="18" customHeight="1">
      <x:c r="A48" s="24" t="str">
        <x:v>EEZ_566</x:v>
      </x:c>
      <x:c r="B48" s="24" t="str">
        <x:v>Nigeria</x:v>
      </x:c>
      <x:c r="C48" s="24" t="str">
        <x:v>EEZ</x:v>
      </x:c>
      <x:c r="D48" s="30" t="n">
        <x:v>2019</x:v>
      </x:c>
      <x:c r="E48" s="24" t="str">
        <x:v>Istiophorus albicans</x:v>
      </x:c>
      <x:c r="F48" s="24" t="str">
        <x:v>Atlantic sailfish</x:v>
      </x:c>
      <x:c r="G48" s="24" t="str">
        <x:v>Large pelagics (&gt;=90 cm)</x:v>
      </x:c>
      <x:c r="H48" s="24" t="str">
        <x:v>Tuna &amp; billfishes</x:v>
      </x:c>
      <x:c r="I48" s="31" t="n">
        <x:v>174.02391927579998</x:v>
      </x:c>
      <x:c r="J48" s="31" t="n">
        <x:v>174.02391927579998</x:v>
      </x:c>
      <x:c r="K48" s="31" t="n">
        <x:v>0</x:v>
      </x:c>
      <x:c r="L48" s="31" t="n">
        <x:v>174.02391927579998</x:v>
      </x:c>
      <x:c r="M48" s="31" t="n">
        <x:v>0</x:v>
      </x:c>
      <x:c r="N48" s="24" t="str">
        <x:v>istiophorus albicans</x:v>
      </x:c>
      <x:c r="O48" s="32" t="n">
        <x:v>4.5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Istiophorus albicans</x:v>
      </x:c>
      <x:c r="T48" s="32" t="n">
        <x:f>IF(O48="","",(1/'Metadata'!$B$5)^(O48-1))</x:f>
        <x:v>3162.2776601683795</x:v>
      </x:c>
      <x:c r="U48" s="31" t="n">
        <x:f>IF(T48="","",I48*T48)</x:f>
        <x:v>550311.9522608077</x:v>
      </x:c>
    </x:row>
    <x:row r="49" ht="18" customHeight="1">
      <x:c r="A49" s="24" t="str">
        <x:v>EEZ_566</x:v>
      </x:c>
      <x:c r="B49" s="24" t="str">
        <x:v>Nigeria</x:v>
      </x:c>
      <x:c r="C49" s="24" t="str">
        <x:v>EEZ</x:v>
      </x:c>
      <x:c r="D49" s="30" t="n">
        <x:v>2019</x:v>
      </x:c>
      <x:c r="E49" s="24" t="str">
        <x:v>Thunnus obesus</x:v>
      </x:c>
      <x:c r="F49" s="24" t="str">
        <x:v>Bigeye tuna</x:v>
      </x:c>
      <x:c r="G49" s="24" t="str">
        <x:v>Large pelagics (&gt;=90 cm)</x:v>
      </x:c>
      <x:c r="H49" s="24" t="str">
        <x:v>Tuna &amp; billfishes</x:v>
      </x:c>
      <x:c r="I49" s="31" t="n">
        <x:v>120.16908771189999</x:v>
      </x:c>
      <x:c r="J49" s="31" t="n">
        <x:v>120.16908771189999</x:v>
      </x:c>
      <x:c r="K49" s="31" t="n">
        <x:v>0</x:v>
      </x:c>
      <x:c r="L49" s="31" t="n">
        <x:v>120.16908771189999</x:v>
      </x:c>
      <x:c r="M49" s="31" t="n">
        <x:v>0</x:v>
      </x:c>
      <x:c r="N49" s="24" t="str">
        <x:v>thunnus obesus</x:v>
      </x:c>
      <x:c r="O49" s="32" t="n">
        <x:v>4.49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Thunnus obesus</x:v>
      </x:c>
      <x:c r="T49" s="32" t="n">
        <x:f>IF(O49="","",(1/'Metadata'!$B$5)^(O49-1))</x:f>
        <x:v>3090.295432513592</x:v>
      </x:c>
      <x:c r="U49" s="31" t="n">
        <x:f>IF(T49="","",I49*T49)</x:f>
        <x:v>371357.9828854097</x:v>
      </x:c>
    </x:row>
    <x:row r="50" ht="18" customHeight="1">
      <x:c r="A50" s="24" t="str">
        <x:v>EEZ_566</x:v>
      </x:c>
      <x:c r="B50" s="24" t="str">
        <x:v>Nigeria</x:v>
      </x:c>
      <x:c r="C50" s="24" t="str">
        <x:v>EEZ</x:v>
      </x:c>
      <x:c r="D50" s="30" t="n">
        <x:v>2019</x:v>
      </x:c>
      <x:c r="E50" s="24" t="str">
        <x:v>Rajiformes</x:v>
      </x:c>
      <x:c r="F50" s="24" t="str">
        <x:v>Skates and rays</x:v>
      </x:c>
      <x:c r="G50" s="24" t="str">
        <x:v>Large rays (&gt;=90 cm)</x:v>
      </x:c>
      <x:c r="H50" s="24" t="str">
        <x:v>Sharks &amp; rays</x:v>
      </x:c>
      <x:c r="I50" s="31" t="n">
        <x:v>81.5063979302</x:v>
      </x:c>
      <x:c r="J50" s="31" t="n">
        <x:v>81.5063979302</x:v>
      </x:c>
      <x:c r="K50" s="31" t="n">
        <x:v>0</x:v>
      </x:c>
      <x:c r="L50" s="31" t="n">
        <x:v>0</x:v>
      </x:c>
      <x:c r="M50" s="31" t="n">
        <x:v>81.5063979302</x:v>
      </x:c>
      <x:c r="N50" s="24" t="str">
        <x:v>rajiformes</x:v>
      </x:c>
      <x:c r="O50" s="32" t="n">
        <x:v>3.61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Rajiformes</x:v>
      </x:c>
      <x:c r="T50" s="32" t="n">
        <x:f>IF(O50="","",(1/'Metadata'!$B$5)^(O50-1))</x:f>
        <x:v>407.3802778041126</x:v>
      </x:c>
      <x:c r="U50" s="31" t="n">
        <x:f>IF(T50="","",I50*T50)</x:f>
        <x:v>33204.09903161742</x:v>
      </x:c>
    </x:row>
    <x:row r="51" ht="18" customHeight="1">
      <x:c r="A51" s="24" t="str">
        <x:v>EEZ_566</x:v>
      </x:c>
      <x:c r="B51" s="24" t="str">
        <x:v>Nigeria</x:v>
      </x:c>
      <x:c r="C51" s="24" t="str">
        <x:v>EEZ</x:v>
      </x:c>
      <x:c r="D51" s="30" t="n">
        <x:v>2019</x:v>
      </x:c>
      <x:c r="E51" s="24" t="str">
        <x:v>Auxis thazard</x:v>
      </x:c>
      <x:c r="F51" s="24" t="str">
        <x:v>Frigate tuna</x:v>
      </x:c>
      <x:c r="G51" s="24" t="str">
        <x:v>Medium pelagics (30 - 89 cm)</x:v>
      </x:c>
      <x:c r="H51" s="24" t="str">
        <x:v>Tuna &amp; billfishes</x:v>
      </x:c>
      <x:c r="I51" s="31" t="n">
        <x:v>35.8786604039</x:v>
      </x:c>
      <x:c r="J51" s="31" t="n">
        <x:v>35.8786604039</x:v>
      </x:c>
      <x:c r="K51" s="31" t="n">
        <x:v>0</x:v>
      </x:c>
      <x:c r="L51" s="31" t="n">
        <x:v>35.8786604039</x:v>
      </x:c>
      <x:c r="M51" s="31" t="n">
        <x:v>0</x:v>
      </x:c>
      <x:c r="N51" s="24" t="str">
        <x:v>auxis thazard</x:v>
      </x:c>
      <x:c r="O51" s="32" t="n">
        <x:v>4.37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Auxis thazard</x:v>
      </x:c>
      <x:c r="T51" s="32" t="n">
        <x:f>IF(O51="","",(1/'Metadata'!$B$5)^(O51-1))</x:f>
        <x:v>2344.228815319923</x:v>
      </x:c>
      <x:c r="U51" s="31" t="n">
        <x:f>IF(T51="","",I51*T51)</x:f>
        <x:v>84107.78957390033</x:v>
      </x:c>
    </x:row>
    <x:row r="52" ht="18" customHeight="1">
      <x:c r="A52" s="24" t="str">
        <x:v>EEZ_566</x:v>
      </x:c>
      <x:c r="B52" s="24" t="str">
        <x:v>Nigeria</x:v>
      </x:c>
      <x:c r="C52" s="24" t="str">
        <x:v>EEZ</x:v>
      </x:c>
      <x:c r="D52" s="30" t="n">
        <x:v>2019</x:v>
      </x:c>
      <x:c r="E52" s="24" t="str">
        <x:v>Stromateidae</x:v>
      </x:c>
      <x:c r="F52" s="24" t="str">
        <x:v>Butterfishes</x:v>
      </x:c>
      <x:c r="G52" s="24" t="str">
        <x:v>Small benthopelagics (&lt;30 cm)</x:v>
      </x:c>
      <x:c r="H52" s="24" t="str">
        <x:v>Perch-likes</x:v>
      </x:c>
      <x:c r="I52" s="31" t="n">
        <x:v>24.4099057719</x:v>
      </x:c>
      <x:c r="J52" s="31" t="n">
        <x:v>24.4099057719</x:v>
      </x:c>
      <x:c r="K52" s="31" t="n">
        <x:v>0</x:v>
      </x:c>
      <x:c r="L52" s="31" t="n">
        <x:v>0</x:v>
      </x:c>
      <x:c r="M52" s="31" t="n">
        <x:v>24.4099057719</x:v>
      </x:c>
      <x:c r="N52" s="24" t="str">
        <x:v>stromateidae</x:v>
      </x:c>
      <x:c r="O52" s="32" t="n">
        <x:v>3.62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Stromateidae</x:v>
      </x:c>
      <x:c r="T52" s="32" t="n">
        <x:f>IF(O52="","",(1/'Metadata'!$B$5)^(O52-1))</x:f>
        <x:v>416.8693834703355</x:v>
      </x:c>
      <x:c r="U52" s="31" t="n">
        <x:f>IF(T52="","",I52*T52)</x:f>
        <x:v>10175.742369700936</x:v>
      </x:c>
    </x:row>
    <x:row r="53" ht="18" customHeight="1">
      <x:c r="A53" s="24" t="str">
        <x:v>EEZ_566</x:v>
      </x:c>
      <x:c r="B53" s="24" t="str">
        <x:v>Nigeria</x:v>
      </x:c>
      <x:c r="C53" s="24" t="str">
        <x:v>EEZ</x:v>
      </x:c>
      <x:c r="D53" s="30" t="n">
        <x:v>2019</x:v>
      </x:c>
      <x:c r="E53" s="24" t="str">
        <x:v>Prionace glauca</x:v>
      </x:c>
      <x:c r="F53" s="24" t="str">
        <x:v>Blue shark</x:v>
      </x:c>
      <x:c r="G53" s="24" t="str">
        <x:v>Large sharks (&gt;=90 cm)</x:v>
      </x:c>
      <x:c r="H53" s="24" t="str">
        <x:v>Sharks &amp; rays</x:v>
      </x:c>
      <x:c r="I53" s="31" t="n">
        <x:v>13.882086593499999</x:v>
      </x:c>
      <x:c r="J53" s="31" t="n">
        <x:v>13.882086593499999</x:v>
      </x:c>
      <x:c r="K53" s="31" t="n">
        <x:v>0</x:v>
      </x:c>
      <x:c r="L53" s="31" t="n">
        <x:v>13.882086593499999</x:v>
      </x:c>
      <x:c r="M53" s="31" t="n">
        <x:v>0</x:v>
      </x:c>
      <x:c r="N53" s="24" t="str">
        <x:v>prionace glauca</x:v>
      </x:c>
      <x:c r="O53" s="32" t="n">
        <x:v>4.35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Prionace glauca</x:v>
      </x:c>
      <x:c r="T53" s="32" t="n">
        <x:f>IF(O53="","",(1/'Metadata'!$B$5)^(O53-1))</x:f>
        <x:v>2238.7211385683377</x:v>
      </x:c>
      <x:c r="U53" s="31" t="n">
        <x:f>IF(T53="","",I53*T53)</x:f>
        <x:v>31078.120704304572</x:v>
      </x:c>
    </x:row>
    <x:row r="54" ht="18" customHeight="1">
      <x:c r="A54" s="24" t="str">
        <x:v>EEZ_566</x:v>
      </x:c>
      <x:c r="B54" s="24" t="str">
        <x:v>Nigeria</x:v>
      </x:c>
      <x:c r="C54" s="24" t="str">
        <x:v>EEZ</x:v>
      </x:c>
      <x:c r="D54" s="30" t="n">
        <x:v>2019</x:v>
      </x:c>
      <x:c r="E54" s="24" t="str">
        <x:v>Makaira nigricans</x:v>
      </x:c>
      <x:c r="F54" s="24" t="str">
        <x:v>Blue marlin</x:v>
      </x:c>
      <x:c r="G54" s="24" t="str">
        <x:v>Large pelagics (&gt;=90 cm)</x:v>
      </x:c>
      <x:c r="H54" s="24" t="str">
        <x:v>Tuna &amp; billfishes</x:v>
      </x:c>
      <x:c r="I54" s="31" t="n">
        <x:v>8.299296799499999</x:v>
      </x:c>
      <x:c r="J54" s="31" t="n">
        <x:v>8.299296799499999</x:v>
      </x:c>
      <x:c r="K54" s="31" t="n">
        <x:v>0</x:v>
      </x:c>
      <x:c r="L54" s="31" t="n">
        <x:v>8.299296799499999</x:v>
      </x:c>
      <x:c r="M54" s="31" t="n">
        <x:v>0</x:v>
      </x:c>
      <x:c r="N54" s="24" t="str">
        <x:v>makaira nigricans</x:v>
      </x:c>
      <x:c r="O54" s="32" t="n">
        <x:v>4.49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Makaira nigricans</x:v>
      </x:c>
      <x:c r="T54" s="32" t="n">
        <x:f>IF(O54="","",(1/'Metadata'!$B$5)^(O54-1))</x:f>
        <x:v>3090.295432513592</x:v>
      </x:c>
      <x:c r="U54" s="31" t="n">
        <x:f>IF(T54="","",I54*T54)</x:f>
        <x:v>25647.278992569518</x:v>
      </x:c>
    </x:row>
    <x:row r="55" ht="18" customHeight="1">
      <x:c r="A55" s="24" t="str">
        <x:v>EEZ_566</x:v>
      </x:c>
      <x:c r="B55" s="24" t="str">
        <x:v>Nigeria</x:v>
      </x:c>
      <x:c r="C55" s="24" t="str">
        <x:v>EEZ</x:v>
      </x:c>
      <x:c r="D55" s="30" t="n">
        <x:v>2019</x:v>
      </x:c>
      <x:c r="E55" s="24" t="str">
        <x:v>Selene dorsalis</x:v>
      </x:c>
      <x:c r="F55" s="24" t="str">
        <x:v>African moonfish</x:v>
      </x:c>
      <x:c r="G55" s="24" t="str">
        <x:v>Small demersals (&lt;30 cm)</x:v>
      </x:c>
      <x:c r="H55" s="24" t="str">
        <x:v>Perch-likes</x:v>
      </x:c>
      <x:c r="I55" s="31" t="n">
        <x:v>6.5508364348</x:v>
      </x:c>
      <x:c r="J55" s="31" t="n">
        <x:v>6.5508364348</x:v>
      </x:c>
      <x:c r="K55" s="31" t="n">
        <x:v>0</x:v>
      </x:c>
      <x:c r="L55" s="31" t="n">
        <x:v>0</x:v>
      </x:c>
      <x:c r="M55" s="31" t="n">
        <x:v>6.5508364348</x:v>
      </x:c>
      <x:c r="N55" s="24" t="str">
        <x:v>selene dorsalis</x:v>
      </x:c>
      <x:c r="O55" s="32" t="n">
        <x:v>4.08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Selene dorsalis</x:v>
      </x:c>
      <x:c r="T55" s="32" t="n">
        <x:f>IF(O55="","",(1/'Metadata'!$B$5)^(O55-1))</x:f>
        <x:v>1202.2644346174131</x:v>
      </x:c>
      <x:c r="U55" s="31" t="n">
        <x:f>IF(T55="","",I55*T55)</x:f>
        <x:v>7875.837662555972</x:v>
      </x:c>
    </x:row>
    <x:row r="56" ht="18" customHeight="1">
      <x:c r="A56" s="24" t="str">
        <x:v>EEZ_566</x:v>
      </x:c>
      <x:c r="B56" s="24" t="str">
        <x:v>Nigeria</x:v>
      </x:c>
      <x:c r="C56" s="24" t="str">
        <x:v>EEZ</x:v>
      </x:c>
      <x:c r="D56" s="30" t="n">
        <x:v>2019</x:v>
      </x:c>
      <x:c r="E56" s="24" t="str">
        <x:v>Xiphias gladius</x:v>
      </x:c>
      <x:c r="F56" s="24" t="str">
        <x:v>Swordfish</x:v>
      </x:c>
      <x:c r="G56" s="24" t="str">
        <x:v>Large pelagics (&gt;=90 cm)</x:v>
      </x:c>
      <x:c r="H56" s="24" t="str">
        <x:v>Tuna &amp; billfishes</x:v>
      </x:c>
      <x:c r="I56" s="31" t="n">
        <x:v>5.9143623903</x:v>
      </x:c>
      <x:c r="J56" s="31" t="n">
        <x:v>5.9143623903</x:v>
      </x:c>
      <x:c r="K56" s="31" t="n">
        <x:v>0</x:v>
      </x:c>
      <x:c r="L56" s="31" t="n">
        <x:v>5.9143623903</x:v>
      </x:c>
      <x:c r="M56" s="31" t="n">
        <x:v>0</x:v>
      </x:c>
      <x:c r="N56" s="24" t="str">
        <x:v>xiphias gladius</x:v>
      </x:c>
      <x:c r="O56" s="32" t="n">
        <x:v>4.53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Xiphias gladius</x:v>
      </x:c>
      <x:c r="T56" s="32" t="n">
        <x:f>IF(O56="","",(1/'Metadata'!$B$5)^(O56-1))</x:f>
        <x:v>3388.4415613920273</x:v>
      </x:c>
      <x:c r="U56" s="31" t="n">
        <x:f>IF(T56="","",I56*T56)</x:f>
        <x:v>20040.471332426416</x:v>
      </x:c>
    </x:row>
    <x:row r="57" ht="18" customHeight="1">
      <x:c r="A57" s="24" t="str">
        <x:v>EEZ_566</x:v>
      </x:c>
      <x:c r="B57" s="24" t="str">
        <x:v>Nigeria</x:v>
      </x:c>
      <x:c r="C57" s="24" t="str">
        <x:v>EEZ</x:v>
      </x:c>
      <x:c r="D57" s="30" t="n">
        <x:v>2019</x:v>
      </x:c>
      <x:c r="E57" s="24" t="str">
        <x:v>Ilisha africana</x:v>
      </x:c>
      <x:c r="F57" s="24" t="str">
        <x:v>West African ilisha</x:v>
      </x:c>
      <x:c r="G57" s="24" t="str">
        <x:v>Medium pelagics (30 - 89 cm)</x:v>
      </x:c>
      <x:c r="H57" s="24" t="str">
        <x:v>Herring-likes</x:v>
      </x:c>
      <x:c r="I57" s="31" t="n">
        <x:v>2.8696066589</x:v>
      </x:c>
      <x:c r="J57" s="31" t="n">
        <x:v>2.8696066589</x:v>
      </x:c>
      <x:c r="K57" s="31" t="n">
        <x:v>0</x:v>
      </x:c>
      <x:c r="L57" s="31" t="n">
        <x:v>2.8696066589</x:v>
      </x:c>
      <x:c r="M57" s="31" t="n">
        <x:v>0</x:v>
      </x:c>
      <x:c r="N57" s="24" t="str">
        <x:v>ilisha africana</x:v>
      </x:c>
      <x:c r="O57" s="32" t="n">
        <x:v>3.59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Ilisha africana</x:v>
      </x:c>
      <x:c r="T57" s="32" t="n">
        <x:f>IF(O57="","",(1/'Metadata'!$B$5)^(O57-1))</x:f>
        <x:v>389.04514499428046</x:v>
      </x:c>
      <x:c r="U57" s="31" t="n">
        <x:f>IF(T57="","",I57*T57)</x:f>
        <x:v>1116.4065386883033</x:v>
      </x:c>
    </x:row>
    <x:row r="58" ht="18" customHeight="1">
      <x:c r="A58" s="24" t="str">
        <x:v>EEZ_566</x:v>
      </x:c>
      <x:c r="B58" s="24" t="str">
        <x:v>Nigeria</x:v>
      </x:c>
      <x:c r="C58" s="24" t="str">
        <x:v>EEZ</x:v>
      </x:c>
      <x:c r="D58" s="30" t="n">
        <x:v>2019</x:v>
      </x:c>
      <x:c r="E58" s="24" t="str">
        <x:v>Sphyrna lewini</x:v>
      </x:c>
      <x:c r="F58" s="24" t="str">
        <x:v>Scalloped hammerhead</x:v>
      </x:c>
      <x:c r="G58" s="24" t="str">
        <x:v>Large sharks (&gt;=90 cm)</x:v>
      </x:c>
      <x:c r="H58" s="24" t="str">
        <x:v>Sharks &amp; rays</x:v>
      </x:c>
      <x:c r="I58" s="31" t="n">
        <x:v>2.6179361333</x:v>
      </x:c>
      <x:c r="J58" s="31" t="n">
        <x:v>2.6179361333</x:v>
      </x:c>
      <x:c r="K58" s="31" t="n">
        <x:v>0</x:v>
      </x:c>
      <x:c r="L58" s="31" t="n">
        <x:v>2.6179361333</x:v>
      </x:c>
      <x:c r="M58" s="31" t="n">
        <x:v>0</x:v>
      </x:c>
      <x:c r="N58" s="24" t="str">
        <x:v>sphyrna lewini</x:v>
      </x:c>
      <x:c r="O58" s="32" t="n">
        <x:v>4.08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Sphyrna lewini</x:v>
      </x:c>
      <x:c r="T58" s="32" t="n">
        <x:f>IF(O58="","",(1/'Metadata'!$B$5)^(O58-1))</x:f>
        <x:v>1202.2644346174131</x:v>
      </x:c>
      <x:c r="U58" s="31" t="n">
        <x:f>IF(T58="","",I58*T58)</x:f>
        <x:v>3147.4515051664216</x:v>
      </x:c>
    </x:row>
    <x:row r="59" ht="18" customHeight="1">
      <x:c r="A59" s="24" t="str">
        <x:v>EEZ_566</x:v>
      </x:c>
      <x:c r="B59" s="24" t="str">
        <x:v>Nigeria</x:v>
      </x:c>
      <x:c r="C59" s="24" t="str">
        <x:v>EEZ</x:v>
      </x:c>
      <x:c r="D59" s="30" t="n">
        <x:v>2019</x:v>
      </x:c>
      <x:c r="E59" s="24" t="str">
        <x:v>Carcharhinus falciformis</x:v>
      </x:c>
      <x:c r="F59" s="24" t="str">
        <x:v>Silky shark</x:v>
      </x:c>
      <x:c r="G59" s="24" t="str">
        <x:v>Large sharks (&gt;=90 cm)</x:v>
      </x:c>
      <x:c r="H59" s="24" t="str">
        <x:v>Sharks &amp; rays</x:v>
      </x:c>
      <x:c r="I59" s="31" t="n">
        <x:v>2.3310781814</x:v>
      </x:c>
      <x:c r="J59" s="31" t="n">
        <x:v>2.3310781814</x:v>
      </x:c>
      <x:c r="K59" s="31" t="n">
        <x:v>0</x:v>
      </x:c>
      <x:c r="L59" s="31" t="n">
        <x:v>2.3310781814</x:v>
      </x:c>
      <x:c r="M59" s="31" t="n">
        <x:v>0</x:v>
      </x:c>
      <x:c r="N59" s="24" t="str">
        <x:v>carcharhinus falciformis</x:v>
      </x:c>
      <x:c r="O59" s="32" t="n">
        <x:v>4.51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Carcharhinus falciformis</x:v>
      </x:c>
      <x:c r="T59" s="32" t="n">
        <x:f>IF(O59="","",(1/'Metadata'!$B$5)^(O59-1))</x:f>
        <x:v>3235.936569296281</x:v>
      </x:c>
      <x:c r="U59" s="31" t="n">
        <x:f>IF(T59="","",I59*T59)</x:f>
        <x:v>7543.2211330809305</x:v>
      </x:c>
    </x:row>
    <x:row r="60" ht="18" customHeight="1">
      <x:c r="A60" s="24" t="str">
        <x:v>EEZ_566</x:v>
      </x:c>
      <x:c r="B60" s="24" t="str">
        <x:v>Nigeria</x:v>
      </x:c>
      <x:c r="C60" s="24" t="str">
        <x:v>EEZ</x:v>
      </x:c>
      <x:c r="D60" s="30" t="n">
        <x:v>2019</x:v>
      </x:c>
      <x:c r="E60" s="24" t="str">
        <x:v>Sphyrna</x:v>
      </x:c>
      <x:c r="F60" s="24" t="str">
        <x:v>Hammerhead sharks</x:v>
      </x:c>
      <x:c r="G60" s="24" t="str">
        <x:v>Large sharks (&gt;=90 cm)</x:v>
      </x:c>
      <x:c r="H60" s="24" t="str">
        <x:v>Sharks &amp; rays</x:v>
      </x:c>
      <x:c r="I60" s="31" t="n">
        <x:v>1.81436941</x:v>
      </x:c>
      <x:c r="J60" s="31" t="n">
        <x:v>1.81436941</x:v>
      </x:c>
      <x:c r="K60" s="31" t="n">
        <x:v>0</x:v>
      </x:c>
      <x:c r="L60" s="31" t="n">
        <x:v>1.81436941</x:v>
      </x:c>
      <x:c r="M60" s="31" t="n">
        <x:v>0</x:v>
      </x:c>
      <x:c r="N60" s="24" t="str">
        <x:v>sphyrna</x:v>
      </x:c>
      <x:c r="O60" s="32" t="n">
        <x:v>4.2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Sphyrna</x:v>
      </x:c>
      <x:c r="T60" s="32" t="n">
        <x:f>IF(O60="","",(1/'Metadata'!$B$5)^(O60-1))</x:f>
        <x:v>1584.893192461114</x:v>
      </x:c>
      <x:c r="U60" s="31" t="n">
        <x:f>IF(T60="","",I60*T60)</x:f>
        <x:v>2875.581726518688</x:v>
      </x:c>
    </x:row>
    <x:row r="61" ht="18" customHeight="1">
      <x:c r="A61" s="24" t="str">
        <x:v>EEZ_566</x:v>
      </x:c>
      <x:c r="B61" s="24" t="str">
        <x:v>Nigeria</x:v>
      </x:c>
      <x:c r="C61" s="24" t="str">
        <x:v>EEZ</x:v>
      </x:c>
      <x:c r="D61" s="30" t="n">
        <x:v>2019</x:v>
      </x:c>
      <x:c r="E61" s="24" t="str">
        <x:v>Alopias vulpinus</x:v>
      </x:c>
      <x:c r="F61" s="24" t="str">
        <x:v>Thresher</x:v>
      </x:c>
      <x:c r="G61" s="24" t="str">
        <x:v>Large sharks (&gt;=90 cm)</x:v>
      </x:c>
      <x:c r="H61" s="24" t="str">
        <x:v>Sharks &amp; rays</x:v>
      </x:c>
      <x:c r="I61" s="31" t="n">
        <x:v>1.6602455003</x:v>
      </x:c>
      <x:c r="J61" s="31" t="n">
        <x:v>1.6602455003</x:v>
      </x:c>
      <x:c r="K61" s="31" t="n">
        <x:v>0</x:v>
      </x:c>
      <x:c r="L61" s="31" t="n">
        <x:v>1.6602455003</x:v>
      </x:c>
      <x:c r="M61" s="31" t="n">
        <x:v>0</x:v>
      </x:c>
      <x:c r="N61" s="24" t="str">
        <x:v>alopias vulpinus</x:v>
      </x:c>
      <x:c r="O61" s="32" t="n">
        <x:v>4.5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Alopias vulpinus</x:v>
      </x:c>
      <x:c r="T61" s="32" t="n">
        <x:f>IF(O61="","",(1/'Metadata'!$B$5)^(O61-1))</x:f>
        <x:v>3162.2776601683795</x:v>
      </x:c>
      <x:c r="U61" s="31" t="n">
        <x:f>IF(T61="","",I61*T61)</x:f>
        <x:v>5250.157255993765</x:v>
      </x:c>
    </x:row>
    <x:row r="62" ht="18" customHeight="1">
      <x:c r="A62" s="24" t="str">
        <x:v>EEZ_566</x:v>
      </x:c>
      <x:c r="B62" s="24" t="str">
        <x:v>Nigeria</x:v>
      </x:c>
      <x:c r="C62" s="24" t="str">
        <x:v>EEZ</x:v>
      </x:c>
      <x:c r="D62" s="30" t="n">
        <x:v>2019</x:v>
      </x:c>
      <x:c r="E62" s="24" t="str">
        <x:v>Isurus oxyrinchus</x:v>
      </x:c>
      <x:c r="F62" s="24" t="str">
        <x:v>Shortfin mako</x:v>
      </x:c>
      <x:c r="G62" s="24" t="str">
        <x:v>Large sharks (&gt;=90 cm)</x:v>
      </x:c>
      <x:c r="H62" s="24" t="str">
        <x:v>Sharks &amp; rays</x:v>
      </x:c>
      <x:c r="I62" s="31" t="n">
        <x:v>1.654766312</x:v>
      </x:c>
      <x:c r="J62" s="31" t="n">
        <x:v>1.654766312</x:v>
      </x:c>
      <x:c r="K62" s="31" t="n">
        <x:v>0</x:v>
      </x:c>
      <x:c r="L62" s="31" t="n">
        <x:v>1.654766312</x:v>
      </x:c>
      <x:c r="M62" s="31" t="n">
        <x:v>0</x:v>
      </x:c>
      <x:c r="N62" s="24" t="str">
        <x:v>isurus oxyrinchus</x:v>
      </x:c>
      <x:c r="O62" s="32" t="n">
        <x:v>4.5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Isurus oxyrinchus</x:v>
      </x:c>
      <x:c r="T62" s="32" t="n">
        <x:f>IF(O62="","",(1/'Metadata'!$B$5)^(O62-1))</x:f>
        <x:v>3162.2776601683795</x:v>
      </x:c>
      <x:c r="U62" s="31" t="n">
        <x:f>IF(T62="","",I62*T62)</x:f>
        <x:v>5232.830541236819</x:v>
      </x:c>
    </x:row>
    <x:row r="63" ht="18" customHeight="1">
      <x:c r="A63" s="24" t="str">
        <x:v>EEZ_566</x:v>
      </x:c>
      <x:c r="B63" s="24" t="str">
        <x:v>Nigeria</x:v>
      </x:c>
      <x:c r="C63" s="24" t="str">
        <x:v>EEZ</x:v>
      </x:c>
      <x:c r="D63" s="30" t="n">
        <x:v>2019</x:v>
      </x:c>
      <x:c r="E63" s="24" t="str">
        <x:v>Acanthocybium solandri</x:v>
      </x:c>
      <x:c r="F63" s="24" t="str">
        <x:v>Wahoo</x:v>
      </x:c>
      <x:c r="G63" s="24" t="str">
        <x:v>Large pelagics (&gt;=90 cm)</x:v>
      </x:c>
      <x:c r="H63" s="24" t="str">
        <x:v>Perch-likes</x:v>
      </x:c>
      <x:c r="I63" s="31" t="n">
        <x:v>1.5475798401</x:v>
      </x:c>
      <x:c r="J63" s="31" t="n">
        <x:v>1.5475798401</x:v>
      </x:c>
      <x:c r="K63" s="31" t="n">
        <x:v>0</x:v>
      </x:c>
      <x:c r="L63" s="31" t="n">
        <x:v>1.5475798401</x:v>
      </x:c>
      <x:c r="M63" s="31" t="n">
        <x:v>0</x:v>
      </x:c>
      <x:c r="N63" s="24" t="str">
        <x:v>acanthocybium solandri</x:v>
      </x:c>
      <x:c r="O63" s="32" t="n">
        <x:v>4.26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Acanthocybium solandri</x:v>
      </x:c>
      <x:c r="T63" s="32" t="n">
        <x:f>IF(O63="","",(1/'Metadata'!$B$5)^(O63-1))</x:f>
        <x:v>1819.7008586099826</x:v>
      </x:c>
      <x:c r="U63" s="31" t="n">
        <x:f>IF(T63="","",I63*T63)</x:f>
        <x:v>2816.1323637974697</x:v>
      </x:c>
    </x:row>
    <x:row r="64" ht="18" customHeight="1">
      <x:c r="A64" s="24" t="str">
        <x:v>EEZ_566</x:v>
      </x:c>
      <x:c r="B64" s="24" t="str">
        <x:v>Nigeria</x:v>
      </x:c>
      <x:c r="C64" s="24" t="str">
        <x:v>EEZ</x:v>
      </x:c>
      <x:c r="D64" s="30" t="n">
        <x:v>2019</x:v>
      </x:c>
      <x:c r="E64" s="24" t="str">
        <x:v>Chloroscombrus chrysurus</x:v>
      </x:c>
      <x:c r="F64" s="24" t="str">
        <x:v>Atlantic bumper</x:v>
      </x:c>
      <x:c r="G64" s="24" t="str">
        <x:v>Medium pelagics (30 - 89 cm)</x:v>
      </x:c>
      <x:c r="H64" s="24" t="str">
        <x:v>Perch-likes</x:v>
      </x:c>
      <x:c r="I64" s="31" t="n">
        <x:v>1.2517697434</x:v>
      </x:c>
      <x:c r="J64" s="31" t="n">
        <x:v>1.2517697434</x:v>
      </x:c>
      <x:c r="K64" s="31" t="n">
        <x:v>0</x:v>
      </x:c>
      <x:c r="L64" s="31" t="n">
        <x:v>1.2517697434</x:v>
      </x:c>
      <x:c r="M64" s="31" t="n">
        <x:v>0</x:v>
      </x:c>
      <x:c r="N64" s="24" t="str">
        <x:v>chloroscombrus chrysurus</x:v>
      </x:c>
      <x:c r="O64" s="32" t="n">
        <x:v>3.54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Chloroscombrus chrysurus</x:v>
      </x:c>
      <x:c r="T64" s="32" t="n">
        <x:f>IF(O64="","",(1/'Metadata'!$B$5)^(O64-1))</x:f>
        <x:v>346.73685045253166</x:v>
      </x:c>
      <x:c r="U64" s="31" t="n">
        <x:f>IF(T64="","",I64*T64)</x:f>
        <x:v>434.0346983182897</x:v>
      </x:c>
    </x:row>
    <x:row r="65" ht="18" customHeight="1">
      <x:c r="A65" s="24" t="str">
        <x:v>EEZ_566</x:v>
      </x:c>
      <x:c r="B65" s="24" t="str">
        <x:v>Nigeria</x:v>
      </x:c>
      <x:c r="C65" s="24" t="str">
        <x:v>EEZ</x:v>
      </x:c>
      <x:c r="D65" s="30" t="n">
        <x:v>2019</x:v>
      </x:c>
      <x:c r="E65" s="24" t="str">
        <x:v>Rachycentron canadum</x:v>
      </x:c>
      <x:c r="F65" s="24" t="str">
        <x:v>Cobia</x:v>
      </x:c>
      <x:c r="G65" s="24" t="str">
        <x:v>Large pelagics (&gt;=90 cm)</x:v>
      </x:c>
      <x:c r="H65" s="24" t="str">
        <x:v>Perch-likes</x:v>
      </x:c>
      <x:c r="I65" s="31" t="n">
        <x:v>0.8267607929</x:v>
      </x:c>
      <x:c r="J65" s="31" t="n">
        <x:v>0.8267607929</x:v>
      </x:c>
      <x:c r="K65" s="31" t="n">
        <x:v>0</x:v>
      </x:c>
      <x:c r="L65" s="31" t="n">
        <x:v>0.8267607929</x:v>
      </x:c>
      <x:c r="M65" s="31" t="n">
        <x:v>0</x:v>
      </x:c>
      <x:c r="N65" s="24" t="str">
        <x:v>rachycentron canadum</x:v>
      </x:c>
      <x:c r="O65" s="32" t="n">
        <x:v>3.96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Rachycentron canadum</x:v>
      </x:c>
      <x:c r="T65" s="32" t="n">
        <x:f>IF(O65="","",(1/'Metadata'!$B$5)^(O65-1))</x:f>
        <x:v>912.0108393559096</x:v>
      </x:c>
      <x:c r="U65" s="31" t="n">
        <x:f>IF(T65="","",I65*T65)</x:f>
        <x:v>754.0148046792864</x:v>
      </x:c>
    </x:row>
    <x:row r="66" ht="18" customHeight="1">
      <x:c r="A66" s="24" t="str">
        <x:v>EEZ_566</x:v>
      </x:c>
      <x:c r="B66" s="24" t="str">
        <x:v>Nigeria</x:v>
      </x:c>
      <x:c r="C66" s="24" t="str">
        <x:v>EEZ</x:v>
      </x:c>
      <x:c r="D66" s="30" t="n">
        <x:v>2019</x:v>
      </x:c>
      <x:c r="E66" s="24" t="str">
        <x:v>Epinephelus</x:v>
      </x:c>
      <x:c r="F66" s="24" t="str">
        <x:v>Seabasses, hinds</x:v>
      </x:c>
      <x:c r="G66" s="24" t="str">
        <x:v>Medium reef assoc. fish (30 - 89 cm)</x:v>
      </x:c>
      <x:c r="H66" s="24" t="str">
        <x:v>Perch-likes</x:v>
      </x:c>
      <x:c r="I66" s="31" t="n">
        <x:v>0.5536003944</x:v>
      </x:c>
      <x:c r="J66" s="31" t="n">
        <x:v>0.5536003944</x:v>
      </x:c>
      <x:c r="K66" s="31" t="n">
        <x:v>0</x:v>
      </x:c>
      <x:c r="L66" s="31" t="n">
        <x:v>0.5536003944</x:v>
      </x:c>
      <x:c r="M66" s="31" t="n">
        <x:v>0</x:v>
      </x:c>
      <x:c r="N66" s="24" t="str">
        <x:v>epinephelus</x:v>
      </x:c>
      <x:c r="O66" s="32" t="n">
        <x:v>3.84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Epinephelus</x:v>
      </x:c>
      <x:c r="T66" s="32" t="n">
        <x:f>IF(O66="","",(1/'Metadata'!$B$5)^(O66-1))</x:f>
        <x:v>691.8309709189363</x:v>
      </x:c>
      <x:c r="U66" s="31" t="n">
        <x:f>IF(T66="","",I66*T66)</x:f>
        <x:v>382.99789835885804</x:v>
      </x:c>
    </x:row>
    <x:row r="67" ht="18" customHeight="1">
      <x:c r="A67" s="24" t="str">
        <x:v>EEZ_566</x:v>
      </x:c>
      <x:c r="B67" s="24" t="str">
        <x:v>Nigeria</x:v>
      </x:c>
      <x:c r="C67" s="24" t="str">
        <x:v>EEZ</x:v>
      </x:c>
      <x:c r="D67" s="30" t="n">
        <x:v>2019</x:v>
      </x:c>
      <x:c r="E67" s="24" t="str">
        <x:v>Pentanemus quinquarius</x:v>
      </x:c>
      <x:c r="F67" s="24" t="str">
        <x:v>Royal threadfin</x:v>
      </x:c>
      <x:c r="G67" s="24" t="str">
        <x:v>Small demersals (&lt;30 cm)</x:v>
      </x:c>
      <x:c r="H67" s="24" t="str">
        <x:v>Perch-likes</x:v>
      </x:c>
      <x:c r="I67" s="31" t="n">
        <x:v>0.5207965954</x:v>
      </x:c>
      <x:c r="J67" s="31" t="n">
        <x:v>0.5207965954</x:v>
      </x:c>
      <x:c r="K67" s="31" t="n">
        <x:v>0</x:v>
      </x:c>
      <x:c r="L67" s="31" t="n">
        <x:v>0.5207965954</x:v>
      </x:c>
      <x:c r="M67" s="31" t="n">
        <x:v>0</x:v>
      </x:c>
      <x:c r="N67" s="24" t="str">
        <x:v>pentanemus quinquarius</x:v>
      </x:c>
      <x:c r="O67" s="32" t="n">
        <x:v>3.56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Pentanemus quinquarius</x:v>
      </x:c>
      <x:c r="T67" s="32" t="n">
        <x:f>IF(O67="","",(1/'Metadata'!$B$5)^(O67-1))</x:f>
        <x:v>363.0780547701014</x:v>
      </x:c>
      <x:c r="U67" s="31" t="n">
        <x:f>IF(T67="","",I67*T67)</x:f>
        <x:v>189.08981478872354</x:v>
      </x:c>
    </x:row>
    <x:row r="68" ht="18" customHeight="1">
      <x:c r="A68" s="24" t="str">
        <x:v>EEZ_566</x:v>
      </x:c>
      <x:c r="B68" s="24" t="str">
        <x:v>Nigeria</x:v>
      </x:c>
      <x:c r="C68" s="24" t="str">
        <x:v>EEZ</x:v>
      </x:c>
      <x:c r="D68" s="30" t="n">
        <x:v>2019</x:v>
      </x:c>
      <x:c r="E68" s="24" t="str">
        <x:v>Rhinobatos</x:v>
      </x:c>
      <x:c r="F68" s="24" t="str">
        <x:v>Guitarfishes</x:v>
      </x:c>
      <x:c r="G68" s="24" t="str">
        <x:v>Large rays (&gt;=90 cm)</x:v>
      </x:c>
      <x:c r="H68" s="24" t="str">
        <x:v>Sharks &amp; rays</x:v>
      </x:c>
      <x:c r="I68" s="31" t="n">
        <x:v>0.4354486584</x:v>
      </x:c>
      <x:c r="J68" s="31" t="n">
        <x:v>0.4354486584</x:v>
      </x:c>
      <x:c r="K68" s="31" t="n">
        <x:v>0</x:v>
      </x:c>
      <x:c r="L68" s="31" t="n">
        <x:v>0.4354486584</x:v>
      </x:c>
      <x:c r="M68" s="31" t="n">
        <x:v>0</x:v>
      </x:c>
      <x:c r="N68" s="24" t="str">
        <x:v>rhinobatos</x:v>
      </x:c>
      <x:c r="O68" s="32" t="n">
        <x:v>3.73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Rhinobatos</x:v>
      </x:c>
      <x:c r="T68" s="32" t="n">
        <x:f>IF(O68="","",(1/'Metadata'!$B$5)^(O68-1))</x:f>
        <x:v>537.0317963702527</x:v>
      </x:c>
      <x:c r="U68" s="31" t="n">
        <x:f>IF(T68="","",I68*T68)</x:f>
        <x:v>233.84977524756852</x:v>
      </x:c>
    </x:row>
    <x:row r="69" ht="18" customHeight="1">
      <x:c r="A69" s="24" t="str">
        <x:v>EEZ_566</x:v>
      </x:c>
      <x:c r="B69" s="24" t="str">
        <x:v>Nigeria</x:v>
      </x:c>
      <x:c r="C69" s="24" t="str">
        <x:v>EEZ</x:v>
      </x:c>
      <x:c r="D69" s="30" t="n">
        <x:v>2019</x:v>
      </x:c>
      <x:c r="E69" s="24" t="str">
        <x:v>Hemiramphidae</x:v>
      </x:c>
      <x:c r="F69" s="24" t="str">
        <x:v>Halfbeaks, garfishes</x:v>
      </x:c>
      <x:c r="G69" s="24" t="str">
        <x:v>Medium pelagics (30 - 89 cm)</x:v>
      </x:c>
      <x:c r="H69" s="24" t="str">
        <x:v>Other fishes &amp; inverts</x:v>
      </x:c>
      <x:c r="I69" s="31" t="n">
        <x:v>0.4209337031</x:v>
      </x:c>
      <x:c r="J69" s="31" t="n">
        <x:v>0.4209337031</x:v>
      </x:c>
      <x:c r="K69" s="31" t="n">
        <x:v>0</x:v>
      </x:c>
      <x:c r="L69" s="31" t="n">
        <x:v>0.4209337031</x:v>
      </x:c>
      <x:c r="M69" s="31" t="n">
        <x:v>0</x:v>
      </x:c>
      <x:c r="N69" s="24" t="str">
        <x:v>hemiramphidae</x:v>
      </x:c>
      <x:c r="O69" s="32" t="n">
        <x:v>2.82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Hemiramphidae</x:v>
      </x:c>
      <x:c r="T69" s="32" t="n">
        <x:f>IF(O69="","",(1/'Metadata'!$B$5)^(O69-1))</x:f>
        <x:v>66.06934480075958</x:v>
      </x:c>
      <x:c r="U69" s="31" t="n">
        <x:f>IF(T69="","",I69*T69)</x:f>
        <x:v>27.81081396837446</x:v>
      </x:c>
    </x:row>
    <x:row r="70" ht="18" customHeight="1">
      <x:c r="A70" s="24" t="str">
        <x:v>EEZ_566</x:v>
      </x:c>
      <x:c r="B70" s="24" t="str">
        <x:v>Nigeria</x:v>
      </x:c>
      <x:c r="C70" s="24" t="str">
        <x:v>EEZ</x:v>
      </x:c>
      <x:c r="D70" s="30" t="n">
        <x:v>2019</x:v>
      </x:c>
      <x:c r="E70" s="24" t="str">
        <x:v>Sphyrna zygaena</x:v>
      </x:c>
      <x:c r="F70" s="24" t="str">
        <x:v>Smooth hammerhead</x:v>
      </x:c>
      <x:c r="G70" s="24" t="str">
        <x:v>Large sharks (&gt;=90 cm)</x:v>
      </x:c>
      <x:c r="H70" s="24" t="str">
        <x:v>Sharks &amp; rays</x:v>
      </x:c>
      <x:c r="I70" s="31" t="n">
        <x:v>0.4063190308</x:v>
      </x:c>
      <x:c r="J70" s="31" t="n">
        <x:v>0.4063190308</x:v>
      </x:c>
      <x:c r="K70" s="31" t="n">
        <x:v>0</x:v>
      </x:c>
      <x:c r="L70" s="31" t="n">
        <x:v>0.4063190308</x:v>
      </x:c>
      <x:c r="M70" s="31" t="n">
        <x:v>0</x:v>
      </x:c>
      <x:c r="N70" s="24" t="str">
        <x:v>sphyrna zygaena</x:v>
      </x:c>
      <x:c r="O70" s="32" t="n">
        <x:v>4.94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Sphyrna zygaena</x:v>
      </x:c>
      <x:c r="T70" s="32" t="n">
        <x:f>IF(O70="","",(1/'Metadata'!$B$5)^(O70-1))</x:f>
        <x:v>8709.635899560813</x:v>
      </x:c>
      <x:c r="U70" s="31" t="n">
        <x:f>IF(T70="","",I70*T70)</x:f>
        <x:v>3538.8908173304358</x:v>
      </x:c>
    </x:row>
    <x:row r="71" ht="18" customHeight="1">
      <x:c r="A71" s="24" t="str">
        <x:v>EEZ_566</x:v>
      </x:c>
      <x:c r="B71" s="24" t="str">
        <x:v>Nigeria</x:v>
      </x:c>
      <x:c r="C71" s="24" t="str">
        <x:v>EEZ</x:v>
      </x:c>
      <x:c r="D71" s="30" t="n">
        <x:v>2019</x:v>
      </x:c>
      <x:c r="E71" s="24" t="str">
        <x:v>Dentex</x:v>
      </x:c>
      <x:c r="F71" s="24" t="str">
        <x:v>Toothed seabreams</x:v>
      </x:c>
      <x:c r="G71" s="24" t="str">
        <x:v>Large benthopelagics (&gt;=90 cm)</x:v>
      </x:c>
      <x:c r="H71" s="24" t="str">
        <x:v>Perch-likes</x:v>
      </x:c>
      <x:c r="I71" s="31" t="n">
        <x:v>0.3701313596</x:v>
      </x:c>
      <x:c r="J71" s="31" t="n">
        <x:v>0.3701313596</x:v>
      </x:c>
      <x:c r="K71" s="31" t="n">
        <x:v>0</x:v>
      </x:c>
      <x:c r="L71" s="31" t="n">
        <x:v>0.3701313596</x:v>
      </x:c>
      <x:c r="M71" s="31" t="n">
        <x:v>0</x:v>
      </x:c>
      <x:c r="N71" s="24" t="str">
        <x:v>dentex</x:v>
      </x:c>
      <x:c r="O71" s="32" t="n">
        <x:v>3.96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Dentex</x:v>
      </x:c>
      <x:c r="T71" s="32" t="n">
        <x:f>IF(O71="","",(1/'Metadata'!$B$5)^(O71-1))</x:f>
        <x:v>912.0108393559096</x:v>
      </x:c>
      <x:c r="U71" s="31" t="n">
        <x:f>IF(T71="","",I71*T71)</x:f>
        <x:v>337.56381194074004</x:v>
      </x:c>
    </x:row>
    <x:row r="72" ht="18" customHeight="1">
      <x:c r="A72" s="24" t="str">
        <x:v>EEZ_566</x:v>
      </x:c>
      <x:c r="B72" s="24" t="str">
        <x:v>Nigeria</x:v>
      </x:c>
      <x:c r="C72" s="24" t="str">
        <x:v>EEZ</x:v>
      </x:c>
      <x:c r="D72" s="30" t="n">
        <x:v>2019</x:v>
      </x:c>
      <x:c r="E72" s="24" t="str">
        <x:v>Scombridae</x:v>
      </x:c>
      <x:c r="F72" s="24" t="str">
        <x:v>Mackerels, tunas, bonitos</x:v>
      </x:c>
      <x:c r="G72" s="24" t="str">
        <x:v>Medium pelagics (30 - 89 cm)</x:v>
      </x:c>
      <x:c r="H72" s="24" t="str">
        <x:v>Perch-likes</x:v>
      </x:c>
      <x:c r="I72" s="31" t="n">
        <x:v>0.3338439714</x:v>
      </x:c>
      <x:c r="J72" s="31" t="n">
        <x:v>0.3338439714</x:v>
      </x:c>
      <x:c r="K72" s="31" t="n">
        <x:v>0</x:v>
      </x:c>
      <x:c r="L72" s="31" t="n">
        <x:v>0.3338439714</x:v>
      </x:c>
      <x:c r="M72" s="31" t="n">
        <x:v>0</x:v>
      </x:c>
      <x:c r="N72" s="24" t="str">
        <x:v>scombridae</x:v>
      </x:c>
      <x:c r="O72" s="32" t="n">
        <x:v>4.26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Scombridae</x:v>
      </x:c>
      <x:c r="T72" s="32" t="n">
        <x:f>IF(O72="","",(1/'Metadata'!$B$5)^(O72-1))</x:f>
        <x:v>1819.7008586099826</x:v>
      </x:c>
      <x:c r="U72" s="31" t="n">
        <x:f>IF(T72="","",I72*T72)</x:f>
        <x:v>607.4961613983464</x:v>
      </x:c>
    </x:row>
    <x:row r="73" ht="18" customHeight="1">
      <x:c r="A73" s="24" t="str">
        <x:v>EEZ_566</x:v>
      </x:c>
      <x:c r="B73" s="24" t="str">
        <x:v>Nigeria</x:v>
      </x:c>
      <x:c r="C73" s="24" t="str">
        <x:v>EEZ</x:v>
      </x:c>
      <x:c r="D73" s="30" t="n">
        <x:v>2019</x:v>
      </x:c>
      <x:c r="E73" s="24" t="str">
        <x:v>Pagellus</x:v>
      </x:c>
      <x:c r="F73" s="24" t="str">
        <x:v>Pandoras</x:v>
      </x:c>
      <x:c r="G73" s="24" t="str">
        <x:v>Medium benthopelagics (30 - 89 cm)</x:v>
      </x:c>
      <x:c r="H73" s="24" t="str">
        <x:v>Perch-likes</x:v>
      </x:c>
      <x:c r="I73" s="31" t="n">
        <x:v>0.1596645081</x:v>
      </x:c>
      <x:c r="J73" s="31" t="n">
        <x:v>0.1596645081</x:v>
      </x:c>
      <x:c r="K73" s="31" t="n">
        <x:v>0</x:v>
      </x:c>
      <x:c r="L73" s="31" t="n">
        <x:v>0.1596645081</x:v>
      </x:c>
      <x:c r="M73" s="31" t="n">
        <x:v>0</x:v>
      </x:c>
      <x:c r="N73" s="24" t="str">
        <x:v>pagellus</x:v>
      </x:c>
      <x:c r="O73" s="32" t="n">
        <x:v>3.44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Pagellus</x:v>
      </x:c>
      <x:c r="T73" s="32" t="n">
        <x:f>IF(O73="","",(1/'Metadata'!$B$5)^(O73-1))</x:f>
        <x:v>275.4228703338166</x:v>
      </x:c>
      <x:c r="U73" s="31" t="n">
        <x:f>IF(T73="","",I73*T73)</x:f>
        <x:v>43.975257111338905</x:v>
      </x:c>
    </x:row>
    <x:row r="74" ht="18" customHeight="1">
      <x:c r="A74" s="24" t="str">
        <x:v>EEZ_566</x:v>
      </x:c>
      <x:c r="B74" s="24" t="str">
        <x:v>Nigeria</x:v>
      </x:c>
      <x:c r="C74" s="24" t="str">
        <x:v>EEZ</x:v>
      </x:c>
      <x:c r="D74" s="30" t="n">
        <x:v>2019</x:v>
      </x:c>
      <x:c r="E74" s="24" t="str">
        <x:v>Kajikia albida</x:v>
      </x:c>
      <x:c r="F74" s="24" t="str">
        <x:v>Atlantic white marlin</x:v>
      </x:c>
      <x:c r="G74" s="24" t="str">
        <x:v>Large pelagics (&gt;=90 cm)</x:v>
      </x:c>
      <x:c r="H74" s="24" t="str">
        <x:v>Tuna &amp; billfishes</x:v>
      </x:c>
      <x:c r="I74" s="31" t="n">
        <x:v>0.0884854536</x:v>
      </x:c>
      <x:c r="J74" s="31" t="n">
        <x:v>0.0884854536</x:v>
      </x:c>
      <x:c r="K74" s="31" t="n">
        <x:v>0</x:v>
      </x:c>
      <x:c r="L74" s="31" t="n">
        <x:v>0.0884854536</x:v>
      </x:c>
      <x:c r="M74" s="31" t="n">
        <x:v>0</x:v>
      </x:c>
      <x:c r="N74" s="24" t="str">
        <x:v>kajikia albida</x:v>
      </x:c>
      <x:c r="O74" s="32" t="n">
        <x:v>4.49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Kajikia albida</x:v>
      </x:c>
      <x:c r="T74" s="32" t="n">
        <x:f>IF(O74="","",(1/'Metadata'!$B$5)^(O74-1))</x:f>
        <x:v>3090.295432513592</x:v>
      </x:c>
      <x:c r="U74" s="31" t="n">
        <x:f>IF(T74="","",I74*T74)</x:f>
        <x:v>273.44619310397337</x:v>
      </x:c>
    </x:row>
    <x:row r="75" ht="18" customHeight="1">
      <x:c r="A75" s="24" t="str">
        <x:v>EEZ_566</x:v>
      </x:c>
      <x:c r="B75" s="24" t="str">
        <x:v>Nigeria</x:v>
      </x:c>
      <x:c r="C75" s="24" t="str">
        <x:v>EEZ</x:v>
      </x:c>
      <x:c r="D75" s="30" t="n">
        <x:v>2019</x:v>
      </x:c>
      <x:c r="E75" s="24" t="str">
        <x:v>Pleuronectiformes</x:v>
      </x:c>
      <x:c r="F75" s="24" t="str">
        <x:v>Flatfishes</x:v>
      </x:c>
      <x:c r="G75" s="24" t="str">
        <x:v>Small to medium flatfishes (&lt;90 cm)</x:v>
      </x:c>
      <x:c r="H75" s="24" t="str">
        <x:v>Flatfishes</x:v>
      </x:c>
      <x:c r="I75" s="31" t="n">
        <x:v>0.0725747764</x:v>
      </x:c>
      <x:c r="J75" s="31" t="n">
        <x:v>0.0725747764</x:v>
      </x:c>
      <x:c r="K75" s="31" t="n">
        <x:v>0</x:v>
      </x:c>
      <x:c r="L75" s="31" t="n">
        <x:v>0.0725747764</x:v>
      </x:c>
      <x:c r="M75" s="31" t="n">
        <x:v>0</x:v>
      </x:c>
      <x:c r="N75" s="24" t="str">
        <x:v>pleuronectiformes</x:v>
      </x:c>
      <x:c r="O75" s="32" t="n">
        <x:v>3.57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Pleuronectiformes</x:v>
      </x:c>
      <x:c r="T75" s="32" t="n">
        <x:f>IF(O75="","",(1/'Metadata'!$B$5)^(O75-1))</x:f>
        <x:v>371.5352290971724</x:v>
      </x:c>
      <x:c r="U75" s="31" t="n">
        <x:f>IF(T75="","",I75*T75)</x:f>
        <x:v>26.964086176450063</x:v>
      </x:c>
    </x:row>
    <x:row r="76" ht="18" customHeight="1">
      <x:c r="A76" s="24" t="str">
        <x:v>EEZ_566</x:v>
      </x:c>
      <x:c r="B76" s="24" t="str">
        <x:v>Nigeria</x:v>
      </x:c>
      <x:c r="C76" s="24" t="str">
        <x:v>EEZ</x:v>
      </x:c>
      <x:c r="D76" s="30" t="n">
        <x:v>2019</x:v>
      </x:c>
      <x:c r="E76" s="24" t="str">
        <x:v>Spondyliosoma cantharus</x:v>
      </x:c>
      <x:c r="F76" s="24" t="str">
        <x:v>Black seabream</x:v>
      </x:c>
      <x:c r="G76" s="24" t="str">
        <x:v>Medium benthopelagics (30 - 89 cm)</x:v>
      </x:c>
      <x:c r="H76" s="24" t="str">
        <x:v>Perch-likes</x:v>
      </x:c>
      <x:c r="I76" s="31" t="n">
        <x:v>0.0290299106</x:v>
      </x:c>
      <x:c r="J76" s="31" t="n">
        <x:v>0.0290299106</x:v>
      </x:c>
      <x:c r="K76" s="31" t="n">
        <x:v>0</x:v>
      </x:c>
      <x:c r="L76" s="31" t="n">
        <x:v>0.0290299106</x:v>
      </x:c>
      <x:c r="M76" s="31" t="n">
        <x:v>0</x:v>
      </x:c>
      <x:c r="N76" s="24" t="str">
        <x:v>spondyliosoma cantharus</x:v>
      </x:c>
      <x:c r="O76" s="32" t="n">
        <x:v>3.34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Spondyliosoma cantharus</x:v>
      </x:c>
      <x:c r="T76" s="32" t="n">
        <x:f>IF(O76="","",(1/'Metadata'!$B$5)^(O76-1))</x:f>
        <x:v>218.77616239495518</x:v>
      </x:c>
      <x:c r="U76" s="31" t="n">
        <x:f>IF(T76="","",I76*T76)</x:f>
        <x:v>6.351052435736631</x:v>
      </x:c>
    </x:row>
    <x:row r="77" ht="18" customHeight="1">
      <x:c r="A77" s="24" t="str">
        <x:v>EEZ_566</x:v>
      </x:c>
      <x:c r="B77" s="24" t="str">
        <x:v>Nigeria</x:v>
      </x:c>
      <x:c r="C77" s="24" t="str">
        <x:v>EEZ</x:v>
      </x:c>
      <x:c r="D77" s="30" t="n">
        <x:v>2019</x:v>
      </x:c>
      <x:c r="E77" s="24" t="str">
        <x:v>Carcharhinus</x:v>
      </x:c>
      <x:c r="F77" s="24" t="str">
        <x:v>Sharp-nosed sharks</x:v>
      </x:c>
      <x:c r="G77" s="24" t="str">
        <x:v>Large sharks (&gt;=90 cm)</x:v>
      </x:c>
      <x:c r="H77" s="24" t="str">
        <x:v>Sharks &amp; rays</x:v>
      </x:c>
      <x:c r="I77" s="31" t="n">
        <x:v>0.0201084851</x:v>
      </x:c>
      <x:c r="J77" s="31" t="n">
        <x:v>0.0201084851</x:v>
      </x:c>
      <x:c r="K77" s="31" t="n">
        <x:v>0</x:v>
      </x:c>
      <x:c r="L77" s="31" t="n">
        <x:v>0.0201084851</x:v>
      </x:c>
      <x:c r="M77" s="31" t="n">
        <x:v>0</x:v>
      </x:c>
      <x:c r="N77" s="24" t="str">
        <x:v>carcharhinus</x:v>
      </x:c>
      <x:c r="O77" s="32" t="n">
        <x:v>4.26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Carcharhinus</x:v>
      </x:c>
      <x:c r="T77" s="32" t="n">
        <x:f>IF(O77="","",(1/'Metadata'!$B$5)^(O77-1))</x:f>
        <x:v>1819.7008586099826</x:v>
      </x:c>
      <x:c r="U77" s="31" t="n">
        <x:f>IF(T77="","",I77*T77)</x:f>
        <x:v>36.591427601816044</x:v>
      </x:c>
    </x:row>
    <x:row r="78" ht="18" customHeight="1">
      <x:c r="A78" s="24" t="str">
        <x:v>EEZ_566</x:v>
      </x:c>
      <x:c r="B78" s="24" t="str">
        <x:v>Nigeria</x:v>
      </x:c>
      <x:c r="C78" s="24" t="str">
        <x:v>EEZ</x:v>
      </x:c>
      <x:c r="D78" s="30" t="n">
        <x:v>2019</x:v>
      </x:c>
      <x:c r="E78" s="24" t="str">
        <x:v>Auxis rochei</x:v>
      </x:c>
      <x:c r="F78" s="24" t="str">
        <x:v>Bullet tuna</x:v>
      </x:c>
      <x:c r="G78" s="24" t="str">
        <x:v>Medium pelagics (30 - 89 cm)</x:v>
      </x:c>
      <x:c r="H78" s="24" t="str">
        <x:v>Tuna &amp; billfishes</x:v>
      </x:c>
      <x:c r="I78" s="31" t="n">
        <x:v>0.0007117504</x:v>
      </x:c>
      <x:c r="J78" s="31" t="n">
        <x:v>0.0007117504</x:v>
      </x:c>
      <x:c r="K78" s="31" t="n">
        <x:v>0</x:v>
      </x:c>
      <x:c r="L78" s="31" t="n">
        <x:v>0.0007117504</x:v>
      </x:c>
      <x:c r="M78" s="31" t="n">
        <x:v>0</x:v>
      </x:c>
      <x:c r="N78" s="24" t="str">
        <x:v>auxis rochei</x:v>
      </x:c>
      <x:c r="O78" s="32" t="n">
        <x:v>4.13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Auxis rochei</x:v>
      </x:c>
      <x:c r="T78" s="32" t="n">
        <x:f>IF(O78="","",(1/'Metadata'!$B$5)^(O78-1))</x:f>
        <x:v>1348.9628825916532</x:v>
      </x:c>
      <x:c r="U78" s="31" t="n">
        <x:f>IF(T78="","",I78*T78)</x:f>
        <x:v>0.9601248712697621</x:v>
      </x:c>
    </x:row>
  </x:sheetData>
  <x:conditionalFormatting sqref="R2:R7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395b2024374145d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Cod-likes</x:v>
      </x:c>
      <x:c r="B2" s="33" t="n">
        <x:v>1</x:v>
      </x:c>
      <x:c r="C2" s="33" t="n">
        <x:v>1</x:v>
      </x:c>
      <x:c r="D2" s="31" t="n">
        <x:v>4077.3190813456</x:v>
      </x:c>
      <x:c r="E2" s="31" t="n">
        <x:v>4077.3190813456</x:v>
      </x:c>
      <x:c r="F2" s="32" t="n">
        <x:v>0</x:v>
      </x:c>
      <x:c r="G2" s="34" t="n">
        <x:v>1</x:v>
      </x:c>
      <x:c r="H2" s="32" t="n">
        <x:f>IF(E2=0,"",I2/E2)</x:f>
        <x:v>3162.2776601683795</x:v>
      </x:c>
      <x:c r="I2" s="31" t="n">
        <x:f>IF(C2=0,"",SUMIF('Species'!$H$2:$H$78,A2,'Species'!$U$2:$U$78))</x:f>
        <x:v>12893615.04431745</x:v>
      </x:c>
      <x:c r="J2" s="32" t="n">
        <x:v>4.5</x:v>
      </x:c>
      <x:c r="K2" s="32" t="n">
        <x:f>IF(J2="","",(1/'Metadata'!$B$5)^(J2-1))</x:f>
        <x:v>3162.2776601683795</x:v>
      </x:c>
      <x:c r="L2" s="31" t="n">
        <x:f>IF(E2=0,"",E2*K2)</x:f>
        <x:v>12893615.04431745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Crustaceans</x:v>
      </x:c>
      <x:c r="B3" s="33" t="n">
        <x:v>3</x:v>
      </x:c>
      <x:c r="C3" s="33" t="n">
        <x:v>3</x:v>
      </x:c>
      <x:c r="D3" s="31" t="n">
        <x:v>52232.5894789932</x:v>
      </x:c>
      <x:c r="E3" s="31" t="n">
        <x:v>52232.5894789932</x:v>
      </x:c>
      <x:c r="F3" s="32" t="n">
        <x:v>0</x:v>
      </x:c>
      <x:c r="G3" s="34" t="n">
        <x:v>1</x:v>
      </x:c>
      <x:c r="H3" s="32" t="n">
        <x:f>IF(E3=0,"",I3/E3)</x:f>
        <x:v>130.12343424209948</x:v>
      </x:c>
      <x:c r="I3" s="31" t="n">
        <x:f>IF(C3=0,"",SUMIF('Species'!$H$2:$H$78,A3,'Species'!$U$2:$U$78))</x:f>
        <x:v>6796683.922364349</x:v>
      </x:c>
      <x:c r="J3" s="32" t="n">
        <x:v>3.045261606098661</x:v>
      </x:c>
      <x:c r="K3" s="32" t="n">
        <x:f>IF(J3="","",(1/'Metadata'!$B$5)^(J3-1))</x:f>
        <x:v>110.98431505044077</x:v>
      </x:c>
      <x:c r="L3" s="31" t="n">
        <x:f>IF(E3=0,"",E3*K3)</x:f>
        <x:v>5796998.166636919</x:v>
      </x:c>
      <x:c r="M3" s="31" t="n">
        <x:f>IF(E3=0,"",I3-L3)</x:f>
        <x:v>999685.7557274299</x:v>
      </x:c>
      <x:c r="N3" s="32" t="n">
        <x:f>IF(L3=0,"",I3/L3)</x:f>
        <x:v>1.1724488652559621</x:v>
      </x:c>
      <x:c r="O3" s="34" t="n">
        <x:f>IF(L3=0,"",M3/L3)</x:f>
        <x:v>0.1724488652559622</x:v>
      </x:c>
    </x:row>
    <x:row r="4" ht="18" customHeight="1">
      <x:c r="A4" s="24" t="str">
        <x:v>Flatfishes</x:v>
      </x:c>
      <x:c r="B4" s="33" t="n">
        <x:v>2</x:v>
      </x:c>
      <x:c r="C4" s="33" t="n">
        <x:v>2</x:v>
      </x:c>
      <x:c r="D4" s="31" t="n">
        <x:v>9136.1704863628</x:v>
      </x:c>
      <x:c r="E4" s="31" t="n">
        <x:v>9136.1704863628</x:v>
      </x:c>
      <x:c r="F4" s="32" t="n">
        <x:v>0</x:v>
      </x:c>
      <x:c r="G4" s="34" t="n">
        <x:v>1</x:v>
      </x:c>
      <x:c r="H4" s="32" t="n">
        <x:f>IF(E4=0,"",I4/E4)</x:f>
        <x:v>229.08789684119205</x:v>
      </x:c>
      <x:c r="I4" s="31" t="n">
        <x:f>IF(C4=0,"",SUMIF('Species'!$H$2:$H$78,A4,'Species'!$U$2:$U$78))</x:f>
        <x:v>2092986.0819034246</x:v>
      </x:c>
      <x:c r="J4" s="32" t="n">
        <x:v>3.360001668171918</x:v>
      </x:c>
      <x:c r="K4" s="32" t="n">
        <x:f>IF(J4="","",(1/'Metadata'!$B$5)^(J4-1))</x:f>
        <x:v>229.0876452254261</x:v>
      </x:c>
      <x:c r="L4" s="31" t="n">
        <x:f>IF(E4=0,"",E4*K4)</x:f>
        <x:v>2092983.7830988897</x:v>
      </x:c>
      <x:c r="M4" s="31" t="n">
        <x:f>IF(E4=0,"",I4-L4)</x:f>
        <x:v>2.2988045348320156</x:v>
      </x:c>
      <x:c r="N4" s="32" t="n">
        <x:f>IF(L4=0,"",I4/L4)</x:f>
        <x:v>1.000001098338436</x:v>
      </x:c>
      <x:c r="O4" s="34" t="n">
        <x:f>IF(L4=0,"",M4/L4)</x:f>
        <x:v>0.0000010983384359664679</x:v>
      </x:c>
    </x:row>
    <x:row r="5" ht="18" customHeight="1">
      <x:c r="A5" s="24" t="str">
        <x:v>Herring-likes</x:v>
      </x:c>
      <x:c r="B5" s="33" t="n">
        <x:v>4</x:v>
      </x:c>
      <x:c r="C5" s="33" t="n">
        <x:v>4</x:v>
      </x:c>
      <x:c r="D5" s="31" t="n">
        <x:v>133286.4649288891</x:v>
      </x:c>
      <x:c r="E5" s="31" t="n">
        <x:v>133286.4649288891</x:v>
      </x:c>
      <x:c r="F5" s="32" t="n">
        <x:v>0</x:v>
      </x:c>
      <x:c r="G5" s="34" t="n">
        <x:v>1</x:v>
      </x:c>
      <x:c r="H5" s="32" t="n">
        <x:f>IF(E5=0,"",I5/E5)</x:f>
        <x:v>68.26270872272659</x:v>
      </x:c>
      <x:c r="I5" s="31" t="n">
        <x:f>IF(C5=0,"",SUMIF('Species'!$H$2:$H$78,A5,'Species'!$U$2:$U$78))</x:f>
        <x:v>9098495.13212267</x:v>
      </x:c>
      <x:c r="J5" s="32" t="n">
        <x:v>2.757954235593635</x:v>
      </x:c>
      <x:c r="K5" s="32" t="n">
        <x:f>IF(J5="","",(1/'Metadata'!$B$5)^(J5-1))</x:f>
        <x:v>57.27356749594107</x:v>
      </x:c>
      <x:c r="L5" s="31" t="n">
        <x:f>IF(E5=0,"",E5*K5)</x:f>
        <x:v>7633791.345400112</x:v>
      </x:c>
      <x:c r="M5" s="31" t="n">
        <x:f>IF(E5=0,"",I5-L5)</x:f>
        <x:v>1464703.7867225576</x:v>
      </x:c>
      <x:c r="N5" s="32" t="n">
        <x:f>IF(L5=0,"",I5/L5)</x:f>
        <x:v>1.1918710795789753</x:v>
      </x:c>
      <x:c r="O5" s="34" t="n">
        <x:f>IF(L5=0,"",M5/L5)</x:f>
        <x:v>0.19187107957897528</x:v>
      </x:c>
    </x:row>
    <x:row r="6" ht="18" customHeight="1">
      <x:c r="A6" s="24" t="str">
        <x:v>Molluscs</x:v>
      </x:c>
      <x:c r="B6" s="33" t="n">
        <x:v>1</x:v>
      </x:c>
      <x:c r="C6" s="33" t="n">
        <x:v>1</x:v>
      </x:c>
      <x:c r="D6" s="31" t="n">
        <x:v>4906.8313372401</x:v>
      </x:c>
      <x:c r="E6" s="31" t="n">
        <x:v>4906.8313372401</x:v>
      </x:c>
      <x:c r="F6" s="32" t="n">
        <x:v>0</x:v>
      </x:c>
      <x:c r="G6" s="34" t="n">
        <x:v>1</x:v>
      </x:c>
      <x:c r="H6" s="32" t="n">
        <x:f>IF(E6=0,"",I6/E6)</x:f>
        <x:v>114.81536214968827</x:v>
      </x:c>
      <x:c r="I6" s="31" t="n">
        <x:f>IF(C6=0,"",SUMIF('Species'!$H$2:$H$78,A6,'Species'!$U$2:$U$78))</x:f>
        <x:v>563379.6169926613</x:v>
      </x:c>
      <x:c r="J6" s="32" t="n">
        <x:v>3.06</x:v>
      </x:c>
      <x:c r="K6" s="32" t="n">
        <x:f>IF(J6="","",(1/'Metadata'!$B$5)^(J6-1))</x:f>
        <x:v>114.81536214968828</x:v>
      </x:c>
      <x:c r="L6" s="31" t="n">
        <x:f>IF(E6=0,"",E6*K6)</x:f>
        <x:v>563379.6169926613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Other fishes &amp; inverts</x:v>
      </x:c>
      <x:c r="B7" s="33" t="n">
        <x:v>6</x:v>
      </x:c>
      <x:c r="C7" s="33" t="n">
        <x:v>6</x:v>
      </x:c>
      <x:c r="D7" s="31" t="n">
        <x:v>60330.864782906996</x:v>
      </x:c>
      <x:c r="E7" s="31" t="n">
        <x:v>60330.864782906996</x:v>
      </x:c>
      <x:c r="F7" s="32" t="n">
        <x:v>0</x:v>
      </x:c>
      <x:c r="G7" s="34" t="n">
        <x:v>1</x:v>
      </x:c>
      <x:c r="H7" s="32" t="n">
        <x:f>IF(E7=0,"",I7/E7)</x:f>
        <x:v>260.2870645959943</x:v>
      </x:c>
      <x:c r="I7" s="31" t="n">
        <x:f>IF(C7=0,"",SUMIF('Species'!$H$2:$H$78,A7,'Species'!$U$2:$U$78))</x:f>
        <x:v>15703343.698880712</x:v>
      </x:c>
      <x:c r="J7" s="32" t="n">
        <x:v>3.3259210686617577</x:v>
      </x:c>
      <x:c r="K7" s="32" t="n">
        <x:f>IF(J7="","",(1/'Metadata'!$B$5)^(J7-1))</x:f>
        <x:v>211.79761663098319</x:v>
      </x:c>
      <x:c r="L7" s="31" t="n">
        <x:f>IF(E7=0,"",E7*K7)</x:f>
        <x:v>12777933.370305821</x:v>
      </x:c>
      <x:c r="M7" s="31" t="n">
        <x:f>IF(E7=0,"",I7-L7)</x:f>
        <x:v>2925410.3285748903</x:v>
      </x:c>
      <x:c r="N7" s="32" t="n">
        <x:f>IF(L7=0,"",I7/L7)</x:f>
        <x:v>1.2289423683624103</x:v>
      </x:c>
      <x:c r="O7" s="34" t="n">
        <x:f>IF(L7=0,"",M7/L7)</x:f>
        <x:v>0.2289423683624103</x:v>
      </x:c>
    </x:row>
    <x:row r="8" ht="18" customHeight="1">
      <x:c r="A8" s="24" t="str">
        <x:v>Perch-likes</x:v>
      </x:c>
      <x:c r="B8" s="33" t="n">
        <x:v>33</x:v>
      </x:c>
      <x:c r="C8" s="33" t="n">
        <x:v>33</x:v>
      </x:c>
      <x:c r="D8" s="31" t="n">
        <x:v>230569.7016186773</x:v>
      </x:c>
      <x:c r="E8" s="31" t="n">
        <x:v>230569.7016186773</x:v>
      </x:c>
      <x:c r="F8" s="32" t="n">
        <x:v>0</x:v>
      </x:c>
      <x:c r="G8" s="34" t="n">
        <x:v>1</x:v>
      </x:c>
      <x:c r="H8" s="32" t="n">
        <x:f>IF(E8=0,"",I8/E8)</x:f>
        <x:v>945.3832285004428</x:v>
      </x:c>
      <x:c r="I8" s="31" t="n">
        <x:f>IF(C8=0,"",SUMIF('Species'!$H$2:$H$78,A8,'Species'!$U$2:$U$78))</x:f>
        <x:v>217976728.9106489</x:v>
      </x:c>
      <x:c r="J8" s="32" t="n">
        <x:v>3.818580642748628</x:v>
      </x:c>
      <x:c r="K8" s="32" t="n">
        <x:f>IF(J8="","",(1/'Metadata'!$B$5)^(J8-1))</x:f>
        <x:v>658.5377003432615</x:v>
      </x:c>
      <x:c r="L8" s="31" t="n">
        <x:f>IF(E8=0,"",E8*K8)</x:f>
        <x:v>151838841.07279572</x:v>
      </x:c>
      <x:c r="M8" s="31" t="n">
        <x:f>IF(E8=0,"",I8-L8)</x:f>
        <x:v>66137887.83785319</x:v>
      </x:c>
      <x:c r="N8" s="32" t="n">
        <x:f>IF(L8=0,"",I8/L8)</x:f>
        <x:v>1.4355795089752093</x:v>
      </x:c>
      <x:c r="O8" s="34" t="n">
        <x:f>IF(L8=0,"",M8/L8)</x:f>
        <x:v>0.43557950897520925</x:v>
      </x:c>
    </x:row>
    <x:row r="9" ht="18" customHeight="1">
      <x:c r="A9" s="24" t="str">
        <x:v>Scorpionfishes</x:v>
      </x:c>
      <x:c r="B9" s="33" t="n">
        <x:v>1</x:v>
      </x:c>
      <x:c r="C9" s="33" t="n">
        <x:v>1</x:v>
      </x:c>
      <x:c r="D9" s="31" t="n">
        <x:v>8075.43</x:v>
      </x:c>
      <x:c r="E9" s="31" t="n">
        <x:v>8075.43</x:v>
      </x:c>
      <x:c r="F9" s="32" t="n">
        <x:v>0</x:v>
      </x:c>
      <x:c r="G9" s="34" t="n">
        <x:v>1</x:v>
      </x:c>
      <x:c r="H9" s="32" t="n">
        <x:f>IF(E9=0,"",I9/E9)</x:f>
        <x:v>831.7637711026708</x:v>
      </x:c>
      <x:c r="I9" s="31" t="n">
        <x:f>IF(C9=0,"",SUMIF('Species'!$H$2:$H$78,A9,'Species'!$U$2:$U$78))</x:f>
        <x:v>6716850.110075641</x:v>
      </x:c>
      <x:c r="J9" s="32" t="n">
        <x:v>3.92</x:v>
      </x:c>
      <x:c r="K9" s="32" t="n">
        <x:f>IF(J9="","",(1/'Metadata'!$B$5)^(J9-1))</x:f>
        <x:v>831.7637711026708</x:v>
      </x:c>
      <x:c r="L9" s="31" t="n">
        <x:f>IF(E9=0,"",E9*K9)</x:f>
        <x:v>6716850.110075641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  <x:row r="10" ht="18" customHeight="1">
      <x:c r="A10" s="24" t="str">
        <x:v>Sharks &amp; rays</x:v>
      </x:c>
      <x:c r="B10" s="33" t="n">
        <x:v>14</x:v>
      </x:c>
      <x:c r="C10" s="33" t="n">
        <x:v>14</x:v>
      </x:c>
      <x:c r="D10" s="31" t="n">
        <x:v>26044.738834451204</x:v>
      </x:c>
      <x:c r="E10" s="31" t="n">
        <x:v>26044.738834451204</x:v>
      </x:c>
      <x:c r="F10" s="32" t="n">
        <x:v>0</x:v>
      </x:c>
      <x:c r="G10" s="34" t="n">
        <x:v>1</x:v>
      </x:c>
      <x:c r="H10" s="32" t="n">
        <x:f>IF(E10=0,"",I10/E10)</x:f>
        <x:v>859.8360251228269</x:v>
      </x:c>
      <x:c r="I10" s="31" t="n">
        <x:f>IF(C10=0,"",SUMIF('Species'!$H$2:$H$78,A10,'Species'!$U$2:$U$78))</x:f>
        <x:v>22394204.71477665</x:v>
      </x:c>
      <x:c r="J10" s="32" t="n">
        <x:v>3.8467887517227877</x:v>
      </x:c>
      <x:c r="K10" s="32" t="n">
        <x:f>IF(J10="","",(1/'Metadata'!$B$5)^(J10-1))</x:f>
        <x:v>702.7304166215235</x:v>
      </x:c>
      <x:c r="L10" s="31" t="n">
        <x:f>IF(E10=0,"",E10*K10)</x:f>
        <x:v>18302430.171932667</x:v>
      </x:c>
      <x:c r="M10" s="31" t="n">
        <x:f>IF(E10=0,"",I10-L10)</x:f>
        <x:v>4091774.5428439826</x:v>
      </x:c>
      <x:c r="N10" s="32" t="n">
        <x:f>IF(L10=0,"",I10/L10)</x:f>
        <x:v>1.223564548773356</x:v>
      </x:c>
      <x:c r="O10" s="34" t="n">
        <x:f>IF(L10=0,"",M10/L10)</x:f>
        <x:v>0.22356454877335596</x:v>
      </x:c>
    </x:row>
    <x:row r="11" ht="18" customHeight="1">
      <x:c r="A11" s="24" t="str">
        <x:v>Tuna &amp; billfishes</x:v>
      </x:c>
      <x:c r="B11" s="33" t="n">
        <x:v>12</x:v>
      </x:c>
      <x:c r="C11" s="33" t="n">
        <x:v>12</x:v>
      </x:c>
      <x:c r="D11" s="31" t="n">
        <x:v>3609.778464294</x:v>
      </x:c>
      <x:c r="E11" s="31" t="n">
        <x:v>3609.778464294</x:v>
      </x:c>
      <x:c r="F11" s="32" t="n">
        <x:v>0</x:v>
      </x:c>
      <x:c r="G11" s="34" t="n">
        <x:v>1</x:v>
      </x:c>
      <x:c r="H11" s="32" t="n">
        <x:f>IF(E11=0,"",I11/E11)</x:f>
        <x:v>2892.0403264744045</x:v>
      </x:c>
      <x:c r="I11" s="31" t="n">
        <x:f>IF(C11=0,"",SUMIF('Species'!$H$2:$H$78,A11,'Species'!$U$2:$U$78))</x:f>
        <x:v>10439624.888377095</x:v>
      </x:c>
      <x:c r="J11" s="32" t="n">
        <x:v>4.45951076285012</x:v>
      </x:c>
      <x:c r="K11" s="32" t="n">
        <x:f>IF(J11="","",(1/'Metadata'!$B$5)^(J11-1))</x:f>
        <x:v>2880.78444158008</x:v>
      </x:c>
      <x:c r="L11" s="31" t="n">
        <x:f>IF(E11=0,"",E11*K11)</x:f>
        <x:v>10398993.63748899</x:v>
      </x:c>
      <x:c r="M11" s="31" t="n">
        <x:f>IF(E11=0,"",I11-L11)</x:f>
        <x:v>40631.25088810548</x:v>
      </x:c>
      <x:c r="N11" s="32" t="n">
        <x:f>IF(L11=0,"",I11/L11)</x:f>
        <x:v>1.0039072291324063</x:v>
      </x:c>
      <x:c r="O11" s="34" t="n">
        <x:f>IF(L11=0,"",M11/L11)</x:f>
        <x:v>0.003907229132406371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363f5f53700e47b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</x:v>
      </x:c>
      <x:c r="C2" s="33" t="n">
        <x:v>1</x:v>
      </x:c>
      <x:c r="D2" s="31" t="n">
        <x:v>601.1974384478</x:v>
      </x:c>
      <x:c r="E2" s="31" t="n">
        <x:v>601.1974384478</x:v>
      </x:c>
      <x:c r="F2" s="32" t="n">
        <x:v>0</x:v>
      </x:c>
      <x:c r="G2" s="34" t="n">
        <x:v>1</x:v>
      </x:c>
      <x:c r="H2" s="32" t="n">
        <x:f>IF(E2=0,"",I2/E2)</x:f>
        <x:v>645.6542290346556</x:v>
      </x:c>
      <x:c r="I2" s="31" t="n">
        <x:f>IF(C2=0,"",SUMIF('Species'!$G$2:$G$78,A2,'Species'!$U$2:$U$78))</x:f>
        <x:v>388165.6686186241</x:v>
      </x:c>
      <x:c r="J2" s="32" t="n">
        <x:v>3.81</x:v>
      </x:c>
      <x:c r="K2" s="32" t="n">
        <x:f>IF(J2="","",(1/'Metadata'!$B$5)^(J2-1))</x:f>
        <x:v>645.6542290346556</x:v>
      </x:c>
      <x:c r="L2" s="31" t="n">
        <x:f>IF(E2=0,"",E2*K2)</x:f>
        <x:v>388165.6686186241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benthopelagics (&gt;=90 cm)</x:v>
      </x:c>
      <x:c r="B3" s="33" t="n">
        <x:v>4</x:v>
      </x:c>
      <x:c r="C3" s="33" t="n">
        <x:v>4</x:v>
      </x:c>
      <x:c r="D3" s="31" t="n">
        <x:v>6482.8184096889</x:v>
      </x:c>
      <x:c r="E3" s="31" t="n">
        <x:v>6482.8184096889</x:v>
      </x:c>
      <x:c r="F3" s="32" t="n">
        <x:v>0</x:v>
      </x:c>
      <x:c r="G3" s="34" t="n">
        <x:v>1</x:v>
      </x:c>
      <x:c r="H3" s="32" t="n">
        <x:f>IF(E3=0,"",I3/E3)</x:f>
        <x:v>2531.0722810666025</x:v>
      </x:c>
      <x:c r="I3" s="31" t="n">
        <x:f>IF(C3=0,"",SUMIF('Species'!$G$2:$G$78,A3,'Species'!$U$2:$U$78))</x:f>
        <x:v>16408481.979951847</x:v>
      </x:c>
      <x:c r="J3" s="32" t="n">
        <x:v>4.398001423908314</x:v>
      </x:c>
      <x:c r="K3" s="32" t="n">
        <x:f>IF(J3="","",(1/'Metadata'!$B$5)^(J3-1))</x:f>
        <x:v>2500.3535595173394</x:v>
      </x:c>
      <x:c r="L3" s="31" t="n">
        <x:f>IF(E3=0,"",E3*K3)</x:f>
        <x:v>16209338.086370178</x:v>
      </x:c>
      <x:c r="M3" s="31" t="n">
        <x:f>IF(E3=0,"",I3-L3)</x:f>
        <x:v>199143.89358166978</x:v>
      </x:c>
      <x:c r="N3" s="32" t="n">
        <x:f>IF(L3=0,"",I3/L3)</x:f>
        <x:v>1.0122857511220105</x:v>
      </x:c>
      <x:c r="O3" s="34" t="n">
        <x:f>IF(L3=0,"",M3/L3)</x:f>
        <x:v>0.01228575112201049</x:v>
      </x:c>
    </x:row>
    <x:row r="4" ht="18" customHeight="1">
      <x:c r="A4" s="24" t="str">
        <x:v>Large demersals (&gt;=90 cm)</x:v>
      </x:c>
      <x:c r="B4" s="33" t="n">
        <x:v>2</x:v>
      </x:c>
      <x:c r="C4" s="33" t="n">
        <x:v>2</x:v>
      </x:c>
      <x:c r="D4" s="31" t="n">
        <x:v>106077.03747363441</x:v>
      </x:c>
      <x:c r="E4" s="31" t="n">
        <x:v>106077.03747363441</x:v>
      </x:c>
      <x:c r="F4" s="32" t="n">
        <x:v>0</x:v>
      </x:c>
      <x:c r="G4" s="34" t="n">
        <x:v>1</x:v>
      </x:c>
      <x:c r="H4" s="32" t="n">
        <x:f>IF(E4=0,"",I4/E4)</x:f>
        <x:v>757.7039869411275</x:v>
      </x:c>
      <x:c r="I4" s="31" t="n">
        <x:f>IF(C4=0,"",SUMIF('Species'!$G$2:$G$78,A4,'Species'!$U$2:$U$78))</x:f>
        <x:v>80374994.21667618</x:v>
      </x:c>
      <x:c r="J4" s="32" t="n">
        <x:v>3.86633176816418</x:v>
      </x:c>
      <x:c r="K4" s="32" t="n">
        <x:f>IF(J4="","",(1/'Metadata'!$B$5)^(J4-1))</x:f>
        <x:v>735.0751956231487</x:v>
      </x:c>
      <x:c r="L4" s="31" t="n">
        <x:f>IF(E4=0,"",E4*K4)</x:f>
        <x:v>77974599.07205589</x:v>
      </x:c>
      <x:c r="M4" s="31" t="n">
        <x:f>IF(E4=0,"",I4-L4)</x:f>
        <x:v>2400395.1446202844</x:v>
      </x:c>
      <x:c r="N4" s="32" t="n">
        <x:f>IF(L4=0,"",I4/L4)</x:f>
        <x:v>1.0307843217302355</x:v>
      </x:c>
      <x:c r="O4" s="34" t="n">
        <x:f>IF(L4=0,"",M4/L4)</x:f>
        <x:v>0.030784321730235417</x:v>
      </x:c>
    </x:row>
    <x:row r="5" ht="18" customHeight="1">
      <x:c r="A5" s="24" t="str">
        <x:v>Large pelagics (&gt;=90 cm)</x:v>
      </x:c>
      <x:c r="B5" s="33" t="n">
        <x:v>14</x:v>
      </x:c>
      <x:c r="C5" s="33" t="n">
        <x:v>14</x:v>
      </x:c>
      <x:c r="D5" s="31" t="n">
        <x:v>32510.701723353704</x:v>
      </x:c>
      <x:c r="E5" s="31" t="n">
        <x:v>32510.701723353704</x:v>
      </x:c>
      <x:c r="F5" s="32" t="n">
        <x:v>0</x:v>
      </x:c>
      <x:c r="G5" s="34" t="n">
        <x:v>1</x:v>
      </x:c>
      <x:c r="H5" s="32" t="n">
        <x:f>IF(E5=0,"",I5/E5)</x:f>
        <x:v>2501.3275833702105</x:v>
      </x:c>
      <x:c r="I5" s="31" t="n">
        <x:f>IF(C5=0,"",SUMIF('Species'!$G$2:$G$78,A5,'Species'!$U$2:$U$78))</x:f>
        <x:v>81319914.97534606</x:v>
      </x:c>
      <x:c r="J5" s="32" t="n">
        <x:v>4.397514650517599</x:v>
      </x:c>
      <x:c r="K5" s="32" t="n">
        <x:f>IF(J5="","",(1/'Metadata'!$B$5)^(J5-1))</x:f>
        <x:v>2497.5526403322524</x:v>
      </x:c>
      <x:c r="L5" s="31" t="n">
        <x:f>IF(E5=0,"",E5*K5)</x:f>
        <x:v>81197188.92821635</x:v>
      </x:c>
      <x:c r="M5" s="31" t="n">
        <x:f>IF(E5=0,"",I5-L5)</x:f>
        <x:v>122726.04712970555</x:v>
      </x:c>
      <x:c r="N5" s="32" t="n">
        <x:f>IF(L5=0,"",I5/L5)</x:f>
        <x:v>1.0015114568465935</x:v>
      </x:c>
      <x:c r="O5" s="34" t="n">
        <x:f>IF(L5=0,"",M5/L5)</x:f>
        <x:v>0.0015114568465935862</x:v>
      </x:c>
    </x:row>
    <x:row r="6" ht="18" customHeight="1">
      <x:c r="A6" s="24" t="str">
        <x:v>Large rays (&gt;=90 cm)</x:v>
      </x:c>
      <x:c r="B6" s="33" t="n">
        <x:v>4</x:v>
      </x:c>
      <x:c r="C6" s="33" t="n">
        <x:v>4</x:v>
      </x:c>
      <x:c r="D6" s="31" t="n">
        <x:v>9275.989348563799</x:v>
      </x:c>
      <x:c r="E6" s="31" t="n">
        <x:v>9275.989348563799</x:v>
      </x:c>
      <x:c r="F6" s="32" t="n">
        <x:v>0</x:v>
      </x:c>
      <x:c r="G6" s="34" t="n">
        <x:v>1</x:v>
      </x:c>
      <x:c r="H6" s="32" t="n">
        <x:f>IF(E6=0,"",I6/E6)</x:f>
        <x:v>312.980455492702</x:v>
      </x:c>
      <x:c r="I6" s="31" t="n">
        <x:f>IF(C6=0,"",SUMIF('Species'!$G$2:$G$78,A6,'Species'!$U$2:$U$78))</x:f>
        <x:v>2903203.3714589495</x:v>
      </x:c>
      <x:c r="J6" s="32" t="n">
        <x:v>3.4569144824070017</x:v>
      </x:c>
      <x:c r="K6" s="32" t="n">
        <x:f>IF(J6="","",(1/'Metadata'!$B$5)^(J6-1))</x:f>
        <x:v>286.3614035750902</x:v>
      </x:c>
      <x:c r="L6" s="31" t="n">
        <x:f>IF(E6=0,"",E6*K6)</x:f>
        <x:v>2656285.329402316</x:v>
      </x:c>
      <x:c r="M6" s="31" t="n">
        <x:f>IF(E6=0,"",I6-L6)</x:f>
        <x:v>246918.04205663363</x:v>
      </x:c>
      <x:c r="N6" s="32" t="n">
        <x:f>IF(L6=0,"",I6/L6)</x:f>
        <x:v>1.0929561441775504</x:v>
      </x:c>
      <x:c r="O6" s="34" t="n">
        <x:f>IF(L6=0,"",M6/L6)</x:f>
        <x:v>0.0929561441775504</x:v>
      </x:c>
    </x:row>
    <x:row r="7" ht="18" customHeight="1">
      <x:c r="A7" s="24" t="str">
        <x:v>Large reef assoc. fish (&gt;=90 cm)</x:v>
      </x:c>
      <x:c r="B7" s="33" t="n">
        <x:v>1</x:v>
      </x:c>
      <x:c r="C7" s="33" t="n">
        <x:v>1</x:v>
      </x:c>
      <x:c r="D7" s="31" t="n">
        <x:v>8075.43</x:v>
      </x:c>
      <x:c r="E7" s="31" t="n">
        <x:v>8075.43</x:v>
      </x:c>
      <x:c r="F7" s="32" t="n">
        <x:v>0</x:v>
      </x:c>
      <x:c r="G7" s="34" t="n">
        <x:v>1</x:v>
      </x:c>
      <x:c r="H7" s="32" t="n">
        <x:f>IF(E7=0,"",I7/E7)</x:f>
        <x:v>831.7637711026708</x:v>
      </x:c>
      <x:c r="I7" s="31" t="n">
        <x:f>IF(C7=0,"",SUMIF('Species'!$G$2:$G$78,A7,'Species'!$U$2:$U$78))</x:f>
        <x:v>6716850.110075641</x:v>
      </x:c>
      <x:c r="J7" s="32" t="n">
        <x:v>3.92</x:v>
      </x:c>
      <x:c r="K7" s="32" t="n">
        <x:f>IF(J7="","",(1/'Metadata'!$B$5)^(J7-1))</x:f>
        <x:v>831.7637711026708</x:v>
      </x:c>
      <x:c r="L7" s="31" t="n">
        <x:f>IF(E7=0,"",E7*K7)</x:f>
        <x:v>6716850.110075641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  <x:row r="8" ht="18" customHeight="1">
      <x:c r="A8" s="24" t="str">
        <x:v>Large sharks (&gt;=90 cm)</x:v>
      </x:c>
      <x:c r="B8" s="33" t="n">
        <x:v>10</x:v>
      </x:c>
      <x:c r="C8" s="33" t="n">
        <x:v>10</x:v>
      </x:c>
      <x:c r="D8" s="31" t="n">
        <x:v>16768.7494858874</x:v>
      </x:c>
      <x:c r="E8" s="31" t="n">
        <x:v>16768.7494858874</x:v>
      </x:c>
      <x:c r="F8" s="32" t="n">
        <x:v>0</x:v>
      </x:c>
      <x:c r="G8" s="34" t="n">
        <x:v>1</x:v>
      </x:c>
      <x:c r="H8" s="32" t="n">
        <x:f>IF(E8=0,"",I8/E8)</x:f>
        <x:v>1162.3407791810207</x:v>
      </x:c>
      <x:c r="I8" s="31" t="n">
        <x:f>IF(C8=0,"",SUMIF('Species'!$G$2:$G$78,A8,'Species'!$U$2:$U$78))</x:f>
        <x:v>19491001.343317702</x:v>
      </x:c>
      <x:c r="J8" s="32" t="n">
        <x:v>4.062455970825557</x:v>
      </x:c>
      <x:c r="K8" s="32" t="n">
        <x:f>IF(J8="","",(1/'Metadata'!$B$5)^(J8-1))</x:f>
        <x:v>1154.664917762885</x:v>
      </x:c>
      <x:c r="L8" s="31" t="n">
        <x:f>IF(E8=0,"",E8*K8)</x:f>
        <x:v>19362286.746108595</x:v>
      </x:c>
      <x:c r="M8" s="31" t="n">
        <x:f>IF(E8=0,"",I8-L8)</x:f>
        <x:v>128714.59720910713</x:v>
      </x:c>
      <x:c r="N8" s="32" t="n">
        <x:f>IF(L8=0,"",I8/L8)</x:f>
        <x:v>1.0066476960545467</x:v>
      </x:c>
      <x:c r="O8" s="34" t="n">
        <x:f>IF(L8=0,"",M8/L8)</x:f>
        <x:v>0.006647696054546657</x:v>
      </x:c>
    </x:row>
    <x:row r="9" ht="18" customHeight="1">
      <x:c r="A9" s="24" t="str">
        <x:v>Medium bathydemersals (30 - 89 cm)</x:v>
      </x:c>
      <x:c r="B9" s="33" t="n">
        <x:v>1</x:v>
      </x:c>
      <x:c r="C9" s="33" t="n">
        <x:v>1</x:v>
      </x:c>
      <x:c r="D9" s="31" t="n">
        <x:v>4077.3190813456</x:v>
      </x:c>
      <x:c r="E9" s="31" t="n">
        <x:v>4077.3190813456</x:v>
      </x:c>
      <x:c r="F9" s="32" t="n">
        <x:v>0</x:v>
      </x:c>
      <x:c r="G9" s="34" t="n">
        <x:v>1</x:v>
      </x:c>
      <x:c r="H9" s="32" t="n">
        <x:f>IF(E9=0,"",I9/E9)</x:f>
        <x:v>3162.2776601683795</x:v>
      </x:c>
      <x:c r="I9" s="31" t="n">
        <x:f>IF(C9=0,"",SUMIF('Species'!$G$2:$G$78,A9,'Species'!$U$2:$U$78))</x:f>
        <x:v>12893615.04431745</x:v>
      </x:c>
      <x:c r="J9" s="32" t="n">
        <x:v>4.5</x:v>
      </x:c>
      <x:c r="K9" s="32" t="n">
        <x:f>IF(J9="","",(1/'Metadata'!$B$5)^(J9-1))</x:f>
        <x:v>3162.2776601683795</x:v>
      </x:c>
      <x:c r="L9" s="31" t="n">
        <x:f>IF(E9=0,"",E9*K9)</x:f>
        <x:v>12893615.04431745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  <x:row r="10" ht="18" customHeight="1">
      <x:c r="A10" s="24" t="str">
        <x:v>Medium benthopelagics (30 - 89 cm)</x:v>
      </x:c>
      <x:c r="B10" s="33" t="n">
        <x:v>5</x:v>
      </x:c>
      <x:c r="C10" s="33" t="n">
        <x:v>5</x:v>
      </x:c>
      <x:c r="D10" s="31" t="n">
        <x:v>12471.348460144201</x:v>
      </x:c>
      <x:c r="E10" s="31" t="n">
        <x:v>12471.348460144201</x:v>
      </x:c>
      <x:c r="F10" s="32" t="n">
        <x:v>0</x:v>
      </x:c>
      <x:c r="G10" s="34" t="n">
        <x:v>1</x:v>
      </x:c>
      <x:c r="H10" s="32" t="n">
        <x:f>IF(E10=0,"",I10/E10)</x:f>
        <x:v>1022.9902660627678</x:v>
      </x:c>
      <x:c r="I10" s="31" t="n">
        <x:f>IF(C10=0,"",SUMIF('Species'!$G$2:$G$78,A10,'Species'!$U$2:$U$78))</x:f>
        <x:v>12758068.079404406</x:v>
      </x:c>
      <x:c r="J10" s="32" t="n">
        <x:v>3.8917544638160537</x:v>
      </x:c>
      <x:c r="K10" s="32" t="n">
        <x:f>IF(J10="","",(1/'Metadata'!$B$5)^(J10-1))</x:f>
        <x:v>779.3893441762328</x:v>
      </x:c>
      <x:c r="L10" s="31" t="n">
        <x:f>IF(E10=0,"",E10*K10)</x:f>
        <x:v>9720036.09734506</x:v>
      </x:c>
      <x:c r="M10" s="31" t="n">
        <x:f>IF(E10=0,"",I10-L10)</x:f>
        <x:v>3038031.9820593465</x:v>
      </x:c>
      <x:c r="N10" s="32" t="n">
        <x:f>IF(L10=0,"",I10/L10)</x:f>
        <x:v>1.3125535699285271</x:v>
      </x:c>
      <x:c r="O10" s="34" t="n">
        <x:f>IF(L10=0,"",M10/L10)</x:f>
        <x:v>0.31255356992852706</x:v>
      </x:c>
    </x:row>
    <x:row r="11" ht="18" customHeight="1">
      <x:c r="A11" s="24" t="str">
        <x:v>Medium demersals (30 - 89 cm)</x:v>
      </x:c>
      <x:c r="B11" s="33" t="n">
        <x:v>4</x:v>
      </x:c>
      <x:c r="C11" s="33" t="n">
        <x:v>4</x:v>
      </x:c>
      <x:c r="D11" s="31" t="n">
        <x:v>98984.415783107</x:v>
      </x:c>
      <x:c r="E11" s="31" t="n">
        <x:v>98984.415783107</x:v>
      </x:c>
      <x:c r="F11" s="32" t="n">
        <x:v>0</x:v>
      </x:c>
      <x:c r="G11" s="34" t="n">
        <x:v>1</x:v>
      </x:c>
      <x:c r="H11" s="32" t="n">
        <x:f>IF(E11=0,"",I11/E11)</x:f>
        <x:v>306.0472939425765</x:v>
      </x:c>
      <x:c r="I11" s="31" t="n">
        <x:f>IF(C11=0,"",SUMIF('Species'!$G$2:$G$78,A11,'Species'!$U$2:$U$78))</x:f>
        <x:v>30293912.592906762</x:v>
      </x:c>
      <x:c r="J11" s="32" t="n">
        <x:v>3.4339789952823594</x:v>
      </x:c>
      <x:c r="K11" s="32" t="n">
        <x:f>IF(J11="","",(1/'Metadata'!$B$5)^(J11-1))</x:f>
        <x:v>271.63078910242143</x:v>
      </x:c>
      <x:c r="L11" s="31" t="n">
        <x:f>IF(E11=0,"",E11*K11)</x:f>
        <x:v>26887214.968007535</x:v>
      </x:c>
      <x:c r="M11" s="31" t="n">
        <x:f>IF(E11=0,"",I11-L11)</x:f>
        <x:v>3406697.624899227</x:v>
      </x:c>
      <x:c r="N11" s="32" t="n">
        <x:f>IF(L11=0,"",I11/L11)</x:f>
        <x:v>1.1267032539053516</x:v>
      </x:c>
      <x:c r="O11" s="34" t="n">
        <x:f>IF(L11=0,"",M11/L11)</x:f>
        <x:v>0.12670325390535153</x:v>
      </x:c>
    </x:row>
    <x:row r="12" ht="18" customHeight="1">
      <x:c r="A12" s="24" t="str">
        <x:v>Medium pelagics (30 - 89 cm)</x:v>
      </x:c>
      <x:c r="B12" s="33" t="n">
        <x:v>13</x:v>
      </x:c>
      <x:c r="C12" s="33" t="n">
        <x:v>13</x:v>
      </x:c>
      <x:c r="D12" s="31" t="n">
        <x:v>75324.8417775965</x:v>
      </x:c>
      <x:c r="E12" s="31" t="n">
        <x:v>75324.8417775965</x:v>
      </x:c>
      <x:c r="F12" s="32" t="n">
        <x:v>0</x:v>
      </x:c>
      <x:c r="G12" s="34" t="n">
        <x:v>1</x:v>
      </x:c>
      <x:c r="H12" s="32" t="n">
        <x:f>IF(E12=0,"",I12/E12)</x:f>
        <x:v>151.30877299611495</x:v>
      </x:c>
      <x:c r="I12" s="31" t="n">
        <x:f>IF(C12=0,"",SUMIF('Species'!$G$2:$G$78,A12,'Species'!$U$2:$U$78))</x:f>
        <x:v>11397309.385494625</x:v>
      </x:c>
      <x:c r="J12" s="32" t="n">
        <x:v>2.8177462309370327</x:v>
      </x:c>
      <x:c r="K12" s="32" t="n">
        <x:f>IF(J12="","",(1/'Metadata'!$B$5)^(J12-1))</x:f>
        <x:v>65.7273663782741</x:v>
      </x:c>
      <x:c r="L12" s="31" t="n">
        <x:f>IF(E12=0,"",E12*K12)</x:f>
        <x:v>4950903.4729016125</x:v>
      </x:c>
      <x:c r="M12" s="31" t="n">
        <x:f>IF(E12=0,"",I12-L12)</x:f>
        <x:v>6446405.912593013</x:v>
      </x:c>
      <x:c r="N12" s="32" t="n">
        <x:f>IF(L12=0,"",I12/L12)</x:f>
        <x:v>2.3020665718644926</x:v>
      </x:c>
      <x:c r="O12" s="34" t="n">
        <x:f>IF(L12=0,"",M12/L12)</x:f>
        <x:v>1.3020665718644924</x:v>
      </x:c>
    </x:row>
    <x:row r="13" ht="18" customHeight="1">
      <x:c r="A13" s="24" t="str">
        <x:v>Medium reef assoc. fish (30 - 89 cm)</x:v>
      </x:c>
      <x:c r="B13" s="33" t="n">
        <x:v>5</x:v>
      </x:c>
      <x:c r="C13" s="33" t="n">
        <x:v>5</x:v>
      </x:c>
      <x:c r="D13" s="31" t="n">
        <x:v>27571.698264935098</x:v>
      </x:c>
      <x:c r="E13" s="31" t="n">
        <x:v>27571.698264935098</x:v>
      </x:c>
      <x:c r="F13" s="32" t="n">
        <x:v>0</x:v>
      </x:c>
      <x:c r="G13" s="34" t="n">
        <x:v>1</x:v>
      </x:c>
      <x:c r="H13" s="32" t="n">
        <x:f>IF(E13=0,"",I13/E13)</x:f>
        <x:v>566.1102701083796</x:v>
      </x:c>
      <x:c r="I13" s="31" t="n">
        <x:f>IF(C13=0,"",SUMIF('Species'!$G$2:$G$78,A13,'Species'!$U$2:$U$78))</x:f>
        <x:v>15608621.55210915</x:v>
      </x:c>
      <x:c r="J13" s="32" t="n">
        <x:v>3.2703081624451538</x:v>
      </x:c>
      <x:c r="K13" s="32" t="n">
        <x:f>IF(J13="","",(1/'Metadata'!$B$5)^(J13-1))</x:f>
        <x:v>186.34088871844475</x:v>
      </x:c>
      <x:c r="L13" s="31" t="n">
        <x:f>IF(E13=0,"",E13*K13)</x:f>
        <x:v>5137734.758164807</x:v>
      </x:c>
      <x:c r="M13" s="31" t="n">
        <x:f>IF(E13=0,"",I13-L13)</x:f>
        <x:v>10470886.793944344</x:v>
      </x:c>
      <x:c r="N13" s="32" t="n">
        <x:f>IF(L13=0,"",I13/L13)</x:f>
        <x:v>3.0380356882581716</x:v>
      </x:c>
      <x:c r="O13" s="34" t="n">
        <x:f>IF(L13=0,"",M13/L13)</x:f>
        <x:v>2.0380356882581716</x:v>
      </x:c>
    </x:row>
    <x:row r="14" ht="18" customHeight="1">
      <x:c r="A14" s="24" t="str">
        <x:v>Other demersal invertebrates</x:v>
      </x:c>
      <x:c r="B14" s="33" t="n">
        <x:v>1</x:v>
      </x:c>
      <x:c r="C14" s="33" t="n">
        <x:v>1</x:v>
      </x:c>
      <x:c r="D14" s="31" t="n">
        <x:v>4906.8313372401</x:v>
      </x:c>
      <x:c r="E14" s="31" t="n">
        <x:v>4906.8313372401</x:v>
      </x:c>
      <x:c r="F14" s="32" t="n">
        <x:v>0</x:v>
      </x:c>
      <x:c r="G14" s="34" t="n">
        <x:v>1</x:v>
      </x:c>
      <x:c r="H14" s="32" t="n">
        <x:f>IF(E14=0,"",I14/E14)</x:f>
        <x:v>114.81536214968827</x:v>
      </x:c>
      <x:c r="I14" s="31" t="n">
        <x:f>IF(C14=0,"",SUMIF('Species'!$G$2:$G$78,A14,'Species'!$U$2:$U$78))</x:f>
        <x:v>563379.6169926613</x:v>
      </x:c>
      <x:c r="J14" s="32" t="n">
        <x:v>3.06</x:v>
      </x:c>
      <x:c r="K14" s="32" t="n">
        <x:f>IF(J14="","",(1/'Metadata'!$B$5)^(J14-1))</x:f>
        <x:v>114.81536214968828</x:v>
      </x:c>
      <x:c r="L14" s="31" t="n">
        <x:f>IF(E14=0,"",E14*K14)</x:f>
        <x:v>563379.6169926613</x:v>
      </x:c>
      <x:c r="M14" s="31" t="n">
        <x:f>IF(E14=0,"",I14-L14)</x:f>
        <x:v>0</x:v>
      </x:c>
      <x:c r="N14" s="32" t="n">
        <x:f>IF(L14=0,"",I14/L14)</x:f>
        <x:v>1</x:v>
      </x:c>
      <x:c r="O14" s="34" t="n">
        <x:f>IF(L14=0,"",M14/L14)</x:f>
        <x:v>0</x:v>
      </x:c>
    </x:row>
    <x:row r="15" ht="18" customHeight="1">
      <x:c r="A15" s="24" t="str">
        <x:v>Shrimps</x:v>
      </x:c>
      <x:c r="B15" s="33" t="n">
        <x:v>3</x:v>
      </x:c>
      <x:c r="C15" s="33" t="n">
        <x:v>3</x:v>
      </x:c>
      <x:c r="D15" s="31" t="n">
        <x:v>52232.5894789932</x:v>
      </x:c>
      <x:c r="E15" s="31" t="n">
        <x:v>52232.5894789932</x:v>
      </x:c>
      <x:c r="F15" s="32" t="n">
        <x:v>0</x:v>
      </x:c>
      <x:c r="G15" s="34" t="n">
        <x:v>1</x:v>
      </x:c>
      <x:c r="H15" s="32" t="n">
        <x:f>IF(E15=0,"",I15/E15)</x:f>
        <x:v>130.12343424209948</x:v>
      </x:c>
      <x:c r="I15" s="31" t="n">
        <x:f>IF(C15=0,"",SUMIF('Species'!$G$2:$G$78,A15,'Species'!$U$2:$U$78))</x:f>
        <x:v>6796683.922364349</x:v>
      </x:c>
      <x:c r="J15" s="32" t="n">
        <x:v>3.045261606098661</x:v>
      </x:c>
      <x:c r="K15" s="32" t="n">
        <x:f>IF(J15="","",(1/'Metadata'!$B$5)^(J15-1))</x:f>
        <x:v>110.98431505044077</x:v>
      </x:c>
      <x:c r="L15" s="31" t="n">
        <x:f>IF(E15=0,"",E15*K15)</x:f>
        <x:v>5796998.166636919</x:v>
      </x:c>
      <x:c r="M15" s="31" t="n">
        <x:f>IF(E15=0,"",I15-L15)</x:f>
        <x:v>999685.7557274299</x:v>
      </x:c>
      <x:c r="N15" s="32" t="n">
        <x:f>IF(L15=0,"",I15/L15)</x:f>
        <x:v>1.1724488652559621</x:v>
      </x:c>
      <x:c r="O15" s="34" t="n">
        <x:f>IF(L15=0,"",M15/L15)</x:f>
        <x:v>0.1724488652559622</x:v>
      </x:c>
    </x:row>
    <x:row r="16" ht="18" customHeight="1">
      <x:c r="A16" s="24" t="str">
        <x:v>Small benthopelagics (&lt;30 cm)</x:v>
      </x:c>
      <x:c r="B16" s="33" t="n">
        <x:v>1</x:v>
      </x:c>
      <x:c r="C16" s="33" t="n">
        <x:v>1</x:v>
      </x:c>
      <x:c r="D16" s="31" t="n">
        <x:v>24.4099057719</x:v>
      </x:c>
      <x:c r="E16" s="31" t="n">
        <x:v>24.4099057719</x:v>
      </x:c>
      <x:c r="F16" s="32" t="n">
        <x:v>0</x:v>
      </x:c>
      <x:c r="G16" s="34" t="n">
        <x:v>1</x:v>
      </x:c>
      <x:c r="H16" s="32" t="n">
        <x:f>IF(E16=0,"",I16/E16)</x:f>
        <x:v>416.8693834703355</x:v>
      </x:c>
      <x:c r="I16" s="31" t="n">
        <x:f>IF(C16=0,"",SUMIF('Species'!$G$2:$G$78,A16,'Species'!$U$2:$U$78))</x:f>
        <x:v>10175.742369700936</x:v>
      </x:c>
      <x:c r="J16" s="32" t="n">
        <x:v>3.6199999999999997</x:v>
      </x:c>
      <x:c r="K16" s="32" t="n">
        <x:f>IF(J16="","",(1/'Metadata'!$B$5)^(J16-1))</x:f>
        <x:v>416.8693834703351</x:v>
      </x:c>
      <x:c r="L16" s="31" t="n">
        <x:f>IF(E16=0,"",E16*K16)</x:f>
        <x:v>10175.742369700927</x:v>
      </x:c>
      <x:c r="M16" s="31" t="n">
        <x:f>IF(E16=0,"",I16-L16)</x:f>
        <x:v>9.094947017729282e-12</x:v>
      </x:c>
      <x:c r="N16" s="32" t="n">
        <x:f>IF(L16=0,"",I16/L16)</x:f>
        <x:v>1.0000000000000009</x:v>
      </x:c>
      <x:c r="O16" s="34" t="n">
        <x:f>IF(L16=0,"",M16/L16)</x:f>
        <x:v>8.93787075900251e-16</x:v>
      </x:c>
    </x:row>
    <x:row r="17" ht="18" customHeight="1">
      <x:c r="A17" s="24" t="str">
        <x:v>Small demersals (&lt;30 cm)</x:v>
      </x:c>
      <x:c r="B17" s="33" t="n">
        <x:v>4</x:v>
      </x:c>
      <x:c r="C17" s="33" t="n">
        <x:v>4</x:v>
      </x:c>
      <x:c r="D17" s="31" t="n">
        <x:v>4434.678777895399</x:v>
      </x:c>
      <x:c r="E17" s="31" t="n">
        <x:v>4434.678777895399</x:v>
      </x:c>
      <x:c r="F17" s="32" t="n">
        <x:v>0</x:v>
      </x:c>
      <x:c r="G17" s="34" t="n">
        <x:v>1</x:v>
      </x:c>
      <x:c r="H17" s="32" t="n">
        <x:f>IF(E17=0,"",I17/E17)</x:f>
        <x:v>181.0594430696591</x:v>
      </x:c>
      <x:c r="I17" s="31" t="n">
        <x:f>IF(C17=0,"",SUMIF('Species'!$G$2:$G$78,A17,'Species'!$U$2:$U$78))</x:f>
        <x:v>802940.4697185775</x:v>
      </x:c>
      <x:c r="J17" s="32" t="n">
        <x:v>3.1692654147328527</x:v>
      </x:c>
      <x:c r="K17" s="32" t="n">
        <x:f>IF(J17="","",(1/'Metadata'!$B$5)^(J17-1))</x:f>
        <x:v>147.6608672215975</x:v>
      </x:c>
      <x:c r="L17" s="31" t="n">
        <x:f>IF(E17=0,"",E17*K17)</x:f>
        <x:v>654828.5141932488</x:v>
      </x:c>
      <x:c r="M17" s="31" t="n">
        <x:f>IF(E17=0,"",I17-L17)</x:f>
        <x:v>148111.95552532864</x:v>
      </x:c>
      <x:c r="N17" s="32" t="n">
        <x:f>IF(L17=0,"",I17/L17)</x:f>
        <x:v>1.2261843403502413</x:v>
      </x:c>
      <x:c r="O17" s="34" t="n">
        <x:f>IF(L17=0,"",M17/L17)</x:f>
        <x:v>0.22618434035024135</x:v>
      </x:c>
    </x:row>
    <x:row r="18" ht="18" customHeight="1">
      <x:c r="A18" s="24" t="str">
        <x:v>Small pelagics (&lt;30 cm)</x:v>
      </x:c>
      <x:c r="B18" s="33" t="n">
        <x:v>2</x:v>
      </x:c>
      <x:c r="C18" s="33" t="n">
        <x:v>2</x:v>
      </x:c>
      <x:c r="D18" s="31" t="n">
        <x:v>63313.6617801925</x:v>
      </x:c>
      <x:c r="E18" s="31" t="n">
        <x:v>63313.6617801925</x:v>
      </x:c>
      <x:c r="F18" s="32" t="n">
        <x:v>0</x:v>
      </x:c>
      <x:c r="G18" s="34" t="n">
        <x:v>1</x:v>
      </x:c>
      <x:c r="H18" s="32" t="n">
        <x:f>IF(E18=0,"",I18/E18)</x:f>
        <x:v>60.89693533789104</x:v>
      </x:c>
      <x:c r="I18" s="31" t="n">
        <x:f>IF(C18=0,"",SUMIF('Species'!$G$2:$G$78,A18,'Species'!$U$2:$U$78))</x:f>
        <x:v>3855607.967433486</x:v>
      </x:c>
      <x:c r="J18" s="32" t="n">
        <x:v>2.7782327507848015</x:v>
      </x:c>
      <x:c r="K18" s="32" t="n">
        <x:f>IF(J18="","",(1/'Metadata'!$B$5)^(J18-1))</x:f>
        <x:v>60.01126075309922</x:v>
      </x:c>
      <x:c r="L18" s="31" t="n">
        <x:f>IF(E18=0,"",E18*K18)</x:f>
        <x:v>3799532.6663246644</x:v>
      </x:c>
      <x:c r="M18" s="31" t="n">
        <x:f>IF(E18=0,"",I18-L18)</x:f>
        <x:v>56075.30110882176</x:v>
      </x:c>
      <x:c r="N18" s="32" t="n">
        <x:f>IF(L18=0,"",I18/L18)</x:f>
        <x:v>1.0147584732211459</x:v>
      </x:c>
      <x:c r="O18" s="34" t="n">
        <x:f>IF(L18=0,"",M18/L18)</x:f>
        <x:v>0.014758473221145933</x:v>
      </x:c>
    </x:row>
    <x:row r="19" ht="18" customHeight="1">
      <x:c r="A19" s="24" t="str">
        <x:v>Small to medium flatfishes (&lt;90 cm)</x:v>
      </x:c>
      <x:c r="B19" s="33" t="n">
        <x:v>2</x:v>
      </x:c>
      <x:c r="C19" s="33" t="n">
        <x:v>2</x:v>
      </x:c>
      <x:c r="D19" s="31" t="n">
        <x:v>9136.1704863628</x:v>
      </x:c>
      <x:c r="E19" s="31" t="n">
        <x:v>9136.1704863628</x:v>
      </x:c>
      <x:c r="F19" s="32" t="n">
        <x:v>0</x:v>
      </x:c>
      <x:c r="G19" s="34" t="n">
        <x:v>1</x:v>
      </x:c>
      <x:c r="H19" s="32" t="n">
        <x:f>IF(E19=0,"",I19/E19)</x:f>
        <x:v>229.08789684119205</x:v>
      </x:c>
      <x:c r="I19" s="31" t="n">
        <x:f>IF(C19=0,"",SUMIF('Species'!$G$2:$G$78,A19,'Species'!$U$2:$U$78))</x:f>
        <x:v>2092986.0819034246</x:v>
      </x:c>
      <x:c r="J19" s="32" t="n">
        <x:v>3.360001668171918</x:v>
      </x:c>
      <x:c r="K19" s="32" t="n">
        <x:f>IF(J19="","",(1/'Metadata'!$B$5)^(J19-1))</x:f>
        <x:v>229.0876452254261</x:v>
      </x:c>
      <x:c r="L19" s="31" t="n">
        <x:f>IF(E19=0,"",E19*K19)</x:f>
        <x:v>2092983.7830988897</x:v>
      </x:c>
      <x:c r="M19" s="31" t="n">
        <x:f>IF(E19=0,"",I19-L19)</x:f>
        <x:v>2.2988045348320156</x:v>
      </x:c>
      <x:c r="N19" s="32" t="n">
        <x:f>IF(L19=0,"",I19/L19)</x:f>
        <x:v>1.000001098338436</x:v>
      </x:c>
      <x:c r="O19" s="34" t="n">
        <x:f>IF(L19=0,"",M19/L19)</x:f>
        <x:v>0.0000010983384359664679</x:v>
      </x:c>
    </x:row>
  </x:sheetData>
  <x:conditionalFormatting sqref="G2:G19">
    <x:cfRule type="cellIs" dxfId="2" priority="1" operator="lessThan">
      <x:formula>0.9</x:formula>
    </x:cfRule>
  </x:conditionalFormatting>
  <x:conditionalFormatting sqref="O2:O1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781110f54814c4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EEZ_566</x:v>
      </x:c>
      <x:c r="B2" s="24" t="str">
        <x:v>raw_filtered_tonnes</x:v>
      </x:c>
      <x:c r="C2" s="24" t="n">
        <x:v>532269.8890131604</x:v>
      </x:c>
      <x:c r="D2" s="24" t="str">
        <x:v>tonnes</x:v>
      </x:c>
    </x:row>
    <x:row r="3" ht="18" customHeight="1">
      <x:c r="A3" s="24" t="str">
        <x:v>EEZ_566</x:v>
      </x:c>
      <x:c r="B3" s="24" t="str">
        <x:v>species_catch_tonnes</x:v>
      </x:c>
      <x:c r="C3" s="24" t="n">
        <x:v>532269.8890131604</x:v>
      </x:c>
      <x:c r="D3" s="24" t="str">
        <x:v>tonnes</x:v>
      </x:c>
    </x:row>
    <x:row r="4" ht="18" customHeight="1">
      <x:c r="A4" s="24" t="str">
        <x:v>EEZ_566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EEZ_566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EEZ_566</x:v>
      </x:c>
      <x:c r="B6" s="24" t="str">
        <x:v>matched_catch_tonnes</x:v>
      </x:c>
      <x:c r="C6" s="24" t="n">
        <x:v>532269.8890131604</x:v>
      </x:c>
      <x:c r="D6" s="24" t="str">
        <x:v>tonnes</x:v>
      </x:c>
    </x:row>
    <x:row r="7" ht="18" customHeight="1">
      <x:c r="A7" s="24" t="str">
        <x:v>EEZ_566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EEZ_566</x:v>
      </x:c>
      <x:c r="B8" s="24" t="str">
        <x:v>taxa_count</x:v>
      </x:c>
      <x:c r="C8" s="24" t="n">
        <x:v>77</x:v>
      </x:c>
      <x:c r="D8" s="24" t="str">
        <x:v>count</x:v>
      </x:c>
    </x:row>
    <x:row r="9" ht="18" customHeight="1">
      <x:c r="A9" s="24" t="str">
        <x:v>EEZ_566</x:v>
      </x:c>
      <x:c r="B9" s="24" t="str">
        <x:v>matched_taxa_count</x:v>
      </x:c>
      <x:c r="C9" s="24" t="n">
        <x:v>77</x:v>
      </x:c>
      <x:c r="D9" s="24" t="str">
        <x:v>count</x:v>
      </x:c>
    </x:row>
    <x:row r="10" ht="18" customHeight="1">
      <x:c r="A10" s="24" t="str">
        <x:v>EEZ_566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EEZ_566</x:v>
      </x:c>
      <x:c r="B11" s="24" t="str">
        <x:v>species_ppr</x:v>
      </x:c>
      <x:c r="C11" s="24" t="n">
        <x:v>304675912.1204597</x:v>
      </x:c>
      <x:c r="D11" s="24" t="str">
        <x:v>tonnes_primary_production_equivalent</x:v>
      </x:c>
    </x:row>
    <x:row r="12" ht="18" customHeight="1">
      <x:c r="A12" s="24" t="str">
        <x:v>EEZ_566</x:v>
      </x:c>
      <x:c r="B12" s="24" t="str">
        <x:v>commercial_ppr</x:v>
      </x:c>
      <x:c r="C12" s="24" t="n">
        <x:v>304675912.12045956</x:v>
      </x:c>
      <x:c r="D12" s="24" t="str">
        <x:v>tonnes_primary_production_equivalent</x:v>
      </x:c>
    </x:row>
    <x:row r="13" ht="18" customHeight="1">
      <x:c r="A13" s="24" t="str">
        <x:v>EEZ_566</x:v>
      </x:c>
      <x:c r="B13" s="24" t="str">
        <x:v>functional_ppr</x:v>
      </x:c>
      <x:c r="C13" s="24" t="n">
        <x:v>304675912.12045956</x:v>
      </x:c>
      <x:c r="D13" s="24" t="str">
        <x:v>tonnes_primary_production_equivalent</x:v>
      </x:c>
    </x:row>
    <x:row r="14" ht="18" customHeight="1">
      <x:c r="A14" s="24" t="str">
        <x:v>EEZ_566</x:v>
      </x:c>
      <x:c r="B14" s="24" t="str">
        <x:v>commercial_ppr_difference</x:v>
      </x:c>
      <x:c r="C14" s="24" t="n">
        <x:v>-1.1920928955078125e-7</x:v>
      </x:c>
      <x:c r="D14" s="24" t="str">
        <x:v>tonnes_primary_production_equivalent</x:v>
      </x:c>
    </x:row>
    <x:row r="15" ht="18" customHeight="1">
      <x:c r="A15" s="24" t="str">
        <x:v>EEZ_566</x:v>
      </x:c>
      <x:c r="B15" s="24" t="str">
        <x:v>functional_ppr_difference</x:v>
      </x:c>
      <x:c r="C15" s="24" t="n">
        <x:v>-1.1920928955078125e-7</x:v>
      </x:c>
      <x:c r="D15" s="24" t="str">
        <x:v>tonnes_primary_production_equivalent</x:v>
      </x:c>
    </x:row>
    <x:row r="16" ht="18" customHeight="1">
      <x:c r="A16" s="24" t="str">
        <x:v>EEZ_566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EEZ_566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EEZ_566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EEZ_566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63c6940a575b4ac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EEZ_566 - Nigeria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EEZ_566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raw_data/SAU_downloads/EEZ_566-catch.zip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