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863385dc4e47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92a4169ee2ac4240"/>
    <x:sheet xmlns:r="http://schemas.openxmlformats.org/officeDocument/2006/relationships" name="Commercial" sheetId="2" r:id="R03c454f52af74f6a"/>
    <x:sheet xmlns:r="http://schemas.openxmlformats.org/officeDocument/2006/relationships" name="Functional" sheetId="3" r:id="R59165be6e7e343de"/>
    <x:sheet xmlns:r="http://schemas.openxmlformats.org/officeDocument/2006/relationships" name="Missing TL" sheetId="4" r:id="R4ee26465a0574c68"/>
    <x:sheet xmlns:r="http://schemas.openxmlformats.org/officeDocument/2006/relationships" name="Validation" sheetId="5" r:id="R365251c92f4f4358"/>
    <x:sheet xmlns:r="http://schemas.openxmlformats.org/officeDocument/2006/relationships" name="Metadata" sheetId="6" r:id="Rf7840119e3e84f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9c746305304a64" /><Relationship Type="http://schemas.openxmlformats.org/officeDocument/2006/relationships/theme" Target="/xl/theme/theme1.xml" Id="Re13ae98baad74170" /><Relationship Type="http://schemas.microsoft.com/office/2022/11/relationships/FeaturePropertyBag" Target="/xl/featurePropertyBag/featurePropertyBag.xml" Id="Rb24b43b7f69943d8" /><Relationship Type="http://schemas.openxmlformats.org/officeDocument/2006/relationships/sharedStrings" Target="/xl/sharedStrings.xml" Id="Rf1ad7ed8b7004d92" /><Relationship Type="http://schemas.openxmlformats.org/officeDocument/2006/relationships/worksheet" Target="/xl/worksheets/sheet1.xml" Id="R92a4169ee2ac4240" /><Relationship Type="http://schemas.openxmlformats.org/officeDocument/2006/relationships/worksheet" Target="/xl/worksheets/sheet2.xml" Id="R03c454f52af74f6a" /><Relationship Type="http://schemas.openxmlformats.org/officeDocument/2006/relationships/worksheet" Target="/xl/worksheets/sheet3.xml" Id="R59165be6e7e343de" /><Relationship Type="http://schemas.openxmlformats.org/officeDocument/2006/relationships/worksheet" Target="/xl/worksheets/sheet4.xml" Id="R4ee26465a0574c68" /><Relationship Type="http://schemas.openxmlformats.org/officeDocument/2006/relationships/worksheet" Target="/xl/worksheets/sheet5.xml" Id="R365251c92f4f4358" /><Relationship Type="http://schemas.openxmlformats.org/officeDocument/2006/relationships/worksheet" Target="/xl/worksheets/sheet6.xml" Id="Rf7840119e3e84fe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35SpeciesTable" displayName="EEZ935SpeciesTable" ref="A1:U24" headerRowCount="1" totalsRowCount="0" totalsRowShown="0">
  <x:autoFilter ref="A1:U2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35CommercialTable" displayName="EEZ935CommercialTable" ref="A1:O8" headerRowCount="1" totalsRowCount="0" totalsRowShown="0">
  <x:autoFilter ref="A1:O8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35FunctionalTable" displayName="EEZ935FunctionalTable" ref="A1:O12" headerRowCount="1" totalsRowCount="0" totalsRowShown="0">
  <x:autoFilter ref="A1:O12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35ValidationTable" displayName="EEZ935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db1154a9e5140e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b6048c3581f49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28d4472a6d442b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b9f059034c6472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EEZ_935</x:v>
      </x:c>
      <x:c r="B2" s="24" t="str">
        <x:v>Guatemala (Caribbean)</x:v>
      </x:c>
      <x:c r="C2" s="24" t="str">
        <x:v>EEZ</x:v>
      </x:c>
      <x:c r="D2" s="30" t="n">
        <x:v>2019</x:v>
      </x:c>
      <x:c r="E2" s="24" t="str">
        <x:v>Engraulidae</x:v>
      </x:c>
      <x:c r="F2" s="24" t="str">
        <x:v>Anchovies, round herrings</x:v>
      </x:c>
      <x:c r="G2" s="24" t="str">
        <x:v>Small pelagics (&lt;30 cm)</x:v>
      </x:c>
      <x:c r="H2" s="24" t="str">
        <x:v>Anchovies</x:v>
      </x:c>
      <x:c r="I2" s="31" t="n">
        <x:v>3580.3119327</x:v>
      </x:c>
      <x:c r="J2" s="31" t="n">
        <x:v>3580.3119327</x:v>
      </x:c>
      <x:c r="K2" s="31" t="n">
        <x:v>0</x:v>
      </x:c>
      <x:c r="L2" s="31" t="n">
        <x:v>0</x:v>
      </x:c>
      <x:c r="M2" s="31" t="n">
        <x:v>3580.3119327</x:v>
      </x:c>
      <x:c r="N2" s="24" t="str">
        <x:v>engraulidae</x:v>
      </x:c>
      <x:c r="O2" s="32" t="n">
        <x:v>3.2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Engraulidae</x:v>
      </x:c>
      <x:c r="T2" s="32" t="n">
        <x:f>IF(O2="","",(1/'Metadata'!$B$5)^(O2-1))</x:f>
        <x:v>158.48931924611142</x:v>
      </x:c>
      <x:c r="U2" s="31" t="n">
        <x:f>IF(T2="","",I2*T2)</x:f>
        <x:v>567441.2009023525</x:v>
      </x:c>
    </x:row>
    <x:row r="3" ht="18" customHeight="1">
      <x:c r="A3" s="24" t="str">
        <x:v>EEZ_935</x:v>
      </x:c>
      <x:c r="B3" s="24" t="str">
        <x:v>Guatemala (Caribbean)</x:v>
      </x:c>
      <x:c r="C3" s="24" t="str">
        <x:v>EEZ</x:v>
      </x:c>
      <x:c r="D3" s="30" t="n">
        <x:v>2019</x:v>
      </x:c>
      <x:c r="E3" s="24" t="str">
        <x:v>Ariidae</x:v>
      </x:c>
      <x:c r="F3" s="24" t="str">
        <x:v>Sea catfishes, coblers</x:v>
      </x:c>
      <x:c r="G3" s="24" t="str">
        <x:v>Medium demersals (30 - 89 cm)</x:v>
      </x:c>
      <x:c r="H3" s="24" t="str">
        <x:v>Other fishes &amp; inverts</x:v>
      </x:c>
      <x:c r="I3" s="31" t="n">
        <x:v>196.123082592</x:v>
      </x:c>
      <x:c r="J3" s="31" t="n">
        <x:v>196.123082592</x:v>
      </x:c>
      <x:c r="K3" s="31" t="n">
        <x:v>0</x:v>
      </x:c>
      <x:c r="L3" s="31" t="n">
        <x:v>0</x:v>
      </x:c>
      <x:c r="M3" s="31" t="n">
        <x:v>196.123082592</x:v>
      </x:c>
      <x:c r="N3" s="24" t="str">
        <x:v>ariidae</x:v>
      </x:c>
      <x:c r="O3" s="32" t="n">
        <x:v>3.48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Ariidae</x:v>
      </x:c>
      <x:c r="T3" s="32" t="n">
        <x:f>IF(O3="","",(1/'Metadata'!$B$5)^(O3-1))</x:f>
        <x:v>301.9951720402016</x:v>
      </x:c>
      <x:c r="U3" s="31" t="n">
        <x:f>IF(T3="","",I3*T3)</x:f>
        <x:v>59228.22406842571</x:v>
      </x:c>
    </x:row>
    <x:row r="4" ht="18" customHeight="1">
      <x:c r="A4" s="24" t="str">
        <x:v>EEZ_935</x:v>
      </x:c>
      <x:c r="B4" s="24" t="str">
        <x:v>Guatemala (Caribbean)</x:v>
      </x:c>
      <x:c r="C4" s="24" t="str">
        <x:v>EEZ</x:v>
      </x:c>
      <x:c r="D4" s="30" t="n">
        <x:v>2019</x:v>
      </x:c>
      <x:c r="E4" s="24" t="str">
        <x:v>Lutjanus</x:v>
      </x:c>
      <x:c r="F4" s="24" t="str">
        <x:v>Snappers</x:v>
      </x:c>
      <x:c r="G4" s="24" t="str">
        <x:v>Medium reef assoc. fish (30 - 89 cm)</x:v>
      </x:c>
      <x:c r="H4" s="24" t="str">
        <x:v>Perch-likes</x:v>
      </x:c>
      <x:c r="I4" s="31" t="n">
        <x:v>191.686721511</x:v>
      </x:c>
      <x:c r="J4" s="31" t="n">
        <x:v>191.686721511</x:v>
      </x:c>
      <x:c r="K4" s="31" t="n">
        <x:v>0</x:v>
      </x:c>
      <x:c r="L4" s="31" t="n">
        <x:v>0</x:v>
      </x:c>
      <x:c r="M4" s="31" t="n">
        <x:v>191.686721511</x:v>
      </x:c>
      <x:c r="N4" s="24" t="str">
        <x:v>lutjanus</x:v>
      </x:c>
      <x:c r="O4" s="32" t="n">
        <x:v>4.02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Lutjanus</x:v>
      </x:c>
      <x:c r="T4" s="32" t="n">
        <x:f>IF(O4="","",(1/'Metadata'!$B$5)^(O4-1))</x:f>
        <x:v>1047.1285480508984</x:v>
      </x:c>
      <x:c r="U4" s="31" t="n">
        <x:f>IF(T4="","",I4*T4)</x:f>
        <x:v>200720.63837645034</x:v>
      </x:c>
    </x:row>
    <x:row r="5" ht="18" customHeight="1">
      <x:c r="A5" s="24" t="str">
        <x:v>EEZ_935</x:v>
      </x:c>
      <x:c r="B5" s="24" t="str">
        <x:v>Guatemala (Caribbean)</x:v>
      </x:c>
      <x:c r="C5" s="24" t="str">
        <x:v>EEZ</x:v>
      </x:c>
      <x:c r="D5" s="30" t="n">
        <x:v>2019</x:v>
      </x:c>
      <x:c r="E5" s="24" t="str">
        <x:v>Gerreidae</x:v>
      </x:c>
      <x:c r="F5" s="24" t="str">
        <x:v>Mojarras, silverbellies</x:v>
      </x:c>
      <x:c r="G5" s="24" t="str">
        <x:v>Small benthopelagics (&lt;30 cm)</x:v>
      </x:c>
      <x:c r="H5" s="24" t="str">
        <x:v>Perch-likes</x:v>
      </x:c>
      <x:c r="I5" s="31" t="n">
        <x:v>171.48387563</x:v>
      </x:c>
      <x:c r="J5" s="31" t="n">
        <x:v>137.47056480999998</x:v>
      </x:c>
      <x:c r="K5" s="31" t="n">
        <x:v>34.01331082</x:v>
      </x:c>
      <x:c r="L5" s="31" t="n">
        <x:v>90.22014415</x:v>
      </x:c>
      <x:c r="M5" s="31" t="n">
        <x:v>81.26373148</x:v>
      </x:c>
      <x:c r="N5" s="24" t="str">
        <x:v>gerreidae</x:v>
      </x:c>
      <x:c r="O5" s="32" t="n">
        <x:v>3.03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Gerreidae</x:v>
      </x:c>
      <x:c r="T5" s="32" t="n">
        <x:f>IF(O5="","",(1/'Metadata'!$B$5)^(O5-1))</x:f>
        <x:v>107.1519305237606</x:v>
      </x:c>
      <x:c r="U5" s="31" t="n">
        <x:f>IF(T5="","",I5*T5)</x:f>
        <x:v>18374.828327450963</x:v>
      </x:c>
    </x:row>
    <x:row r="6" ht="18" customHeight="1">
      <x:c r="A6" s="24" t="str">
        <x:v>EEZ_935</x:v>
      </x:c>
      <x:c r="B6" s="24" t="str">
        <x:v>Guatemala (Caribbean)</x:v>
      </x:c>
      <x:c r="C6" s="24" t="str">
        <x:v>EEZ</x:v>
      </x:c>
      <x:c r="D6" s="30" t="n">
        <x:v>2019</x:v>
      </x:c>
      <x:c r="E6" s="24" t="str">
        <x:v>Marine fishes not identified</x:v>
      </x:c>
      <x:c r="F6" s="24" t="str">
        <x:v>Marine fishes nei</x:v>
      </x:c>
      <x:c r="G6" s="24" t="str">
        <x:v>Medium demersals (30 - 89 cm)</x:v>
      </x:c>
      <x:c r="H6" s="24" t="str">
        <x:v>Other fishes &amp; inverts</x:v>
      </x:c>
      <x:c r="I6" s="31" t="n">
        <x:v>94.107266692</x:v>
      </x:c>
      <x:c r="J6" s="31" t="n">
        <x:v>93.344337464</x:v>
      </x:c>
      <x:c r="K6" s="31" t="n">
        <x:v>0.762929228</x:v>
      </x:c>
      <x:c r="L6" s="31" t="n">
        <x:v>52.55319149</x:v>
      </x:c>
      <x:c r="M6" s="31" t="n">
        <x:v>41.554075202</x:v>
      </x:c>
      <x:c r="N6" s="24" t="str">
        <x:v>marine fishes not identified</x:v>
      </x:c>
      <x:c r="O6" s="32" t="n">
        <x:v>3.28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Marine fishes not identified</x:v>
      </x:c>
      <x:c r="T6" s="32" t="n">
        <x:f>IF(O6="","",(1/'Metadata'!$B$5)^(O6-1))</x:f>
        <x:v>190.54607179632464</x:v>
      </x:c>
      <x:c r="U6" s="31" t="n">
        <x:f>IF(T6="","",I6*T6)</x:f>
        <x:v>17931.7699956497</x:v>
      </x:c>
    </x:row>
    <x:row r="7" ht="18" customHeight="1">
      <x:c r="A7" s="24" t="str">
        <x:v>EEZ_935</x:v>
      </x:c>
      <x:c r="B7" s="24" t="str">
        <x:v>Guatemala (Caribbean)</x:v>
      </x:c>
      <x:c r="C7" s="24" t="str">
        <x:v>EEZ</x:v>
      </x:c>
      <x:c r="D7" s="30" t="n">
        <x:v>2019</x:v>
      </x:c>
      <x:c r="E7" s="24" t="str">
        <x:v>Ophidiidae</x:v>
      </x:c>
      <x:c r="F7" s="24" t="str">
        <x:v>Cuskeels</x:v>
      </x:c>
      <x:c r="G7" s="24" t="str">
        <x:v>Large bathydemersals (&gt;=90 cm)</x:v>
      </x:c>
      <x:c r="H7" s="24" t="str">
        <x:v>Other fishes &amp; inverts</x:v>
      </x:c>
      <x:c r="I7" s="31" t="n">
        <x:v>83.64693663</x:v>
      </x:c>
      <x:c r="J7" s="31" t="n">
        <x:v>67.05581839999999</x:v>
      </x:c>
      <x:c r="K7" s="31" t="n">
        <x:v>16.59111823</x:v>
      </x:c>
      <x:c r="L7" s="31" t="n">
        <x:v>44.00786169</x:v>
      </x:c>
      <x:c r="M7" s="31" t="n">
        <x:v>39.63907494</x:v>
      </x:c>
      <x:c r="N7" s="24" t="str">
        <x:v>ophidiidae</x:v>
      </x:c>
      <x:c r="O7" s="32" t="n">
        <x:v>3.67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Ophidiidae</x:v>
      </x:c>
      <x:c r="T7" s="32" t="n">
        <x:f>IF(O7="","",(1/'Metadata'!$B$5)^(O7-1))</x:f>
        <x:v>467.73514128719813</x:v>
      </x:c>
      <x:c r="U7" s="31" t="n">
        <x:f>IF(T7="","",I7*T7)</x:f>
        <x:v>39124.61172287436</x:v>
      </x:c>
    </x:row>
    <x:row r="8" ht="18" customHeight="1">
      <x:c r="A8" s="24" t="str">
        <x:v>EEZ_935</x:v>
      </x:c>
      <x:c r="B8" s="24" t="str">
        <x:v>Guatemala (Caribbean)</x:v>
      </x:c>
      <x:c r="C8" s="24" t="str">
        <x:v>EEZ</x:v>
      </x:c>
      <x:c r="D8" s="30" t="n">
        <x:v>2019</x:v>
      </x:c>
      <x:c r="E8" s="24" t="str">
        <x:v>Pomadasys</x:v>
      </x:c>
      <x:c r="F8" s="24" t="str">
        <x:v>Grunters</x:v>
      </x:c>
      <x:c r="G8" s="24" t="str">
        <x:v>Medium demersals (30 - 89 cm)</x:v>
      </x:c>
      <x:c r="H8" s="24" t="str">
        <x:v>Perch-likes</x:v>
      </x:c>
      <x:c r="I8" s="31" t="n">
        <x:v>75.881731323</x:v>
      </x:c>
      <x:c r="J8" s="31" t="n">
        <x:v>75.881731323</x:v>
      </x:c>
      <x:c r="K8" s="31" t="n">
        <x:v>0</x:v>
      </x:c>
      <x:c r="L8" s="31" t="n">
        <x:v>0</x:v>
      </x:c>
      <x:c r="M8" s="31" t="n">
        <x:v>75.881731323</x:v>
      </x:c>
      <x:c r="N8" s="24" t="str">
        <x:v>pomadasys</x:v>
      </x:c>
      <x:c r="O8" s="32" t="n">
        <x:v>3.59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Pomadasys</x:v>
      </x:c>
      <x:c r="T8" s="32" t="n">
        <x:f>IF(O8="","",(1/'Metadata'!$B$5)^(O8-1))</x:f>
        <x:v>389.04514499428046</x:v>
      </x:c>
      <x:c r="U8" s="31" t="n">
        <x:f>IF(T8="","",I8*T8)</x:f>
        <x:v>29521.419164973566</x:v>
      </x:c>
    </x:row>
    <x:row r="9" ht="18" customHeight="1">
      <x:c r="A9" s="24" t="str">
        <x:v>EEZ_935</x:v>
      </x:c>
      <x:c r="B9" s="24" t="str">
        <x:v>Guatemala (Caribbean)</x:v>
      </x:c>
      <x:c r="C9" s="24" t="str">
        <x:v>EEZ</x:v>
      </x:c>
      <x:c r="D9" s="30" t="n">
        <x:v>2019</x:v>
      </x:c>
      <x:c r="E9" s="24" t="str">
        <x:v>Lutjanidae</x:v>
      </x:c>
      <x:c r="F9" s="24" t="str">
        <x:v>Snappers</x:v>
      </x:c>
      <x:c r="G9" s="24" t="str">
        <x:v>Medium reef assoc. fish (30 - 89 cm)</x:v>
      </x:c>
      <x:c r="H9" s="24" t="str">
        <x:v>Perch-likes</x:v>
      </x:c>
      <x:c r="I9" s="31" t="n">
        <x:v>67.02887512999999</x:v>
      </x:c>
      <x:c r="J9" s="31" t="n">
        <x:v>67.02887512999999</x:v>
      </x:c>
      <x:c r="K9" s="31" t="n">
        <x:v>0</x:v>
      </x:c>
      <x:c r="L9" s="31" t="n">
        <x:v>43.99017917</x:v>
      </x:c>
      <x:c r="M9" s="31" t="n">
        <x:v>23.03869596</x:v>
      </x:c>
      <x:c r="N9" s="24" t="str">
        <x:v>lutjanidae</x:v>
      </x:c>
      <x:c r="O9" s="32" t="n">
        <x:v>4.02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Lutjanidae</x:v>
      </x:c>
      <x:c r="T9" s="32" t="n">
        <x:f>IF(O9="","",(1/'Metadata'!$B$5)^(O9-1))</x:f>
        <x:v>1047.1285480508984</x:v>
      </x:c>
      <x:c r="U9" s="31" t="n">
        <x:f>IF(T9="","",I9*T9)</x:f>
        <x:v>70187.84869236186</x:v>
      </x:c>
    </x:row>
    <x:row r="10" ht="18" customHeight="1">
      <x:c r="A10" s="24" t="str">
        <x:v>EEZ_935</x:v>
      </x:c>
      <x:c r="B10" s="24" t="str">
        <x:v>Guatemala (Caribbean)</x:v>
      </x:c>
      <x:c r="C10" s="24" t="str">
        <x:v>EEZ</x:v>
      </x:c>
      <x:c r="D10" s="30" t="n">
        <x:v>2019</x:v>
      </x:c>
      <x:c r="E10" s="24" t="str">
        <x:v>Haemulidae</x:v>
      </x:c>
      <x:c r="F10" s="24" t="str">
        <x:v>Grunts, sweetlips, bonnetmouths</x:v>
      </x:c>
      <x:c r="G10" s="24" t="str">
        <x:v>Medium demersals (30 - 89 cm)</x:v>
      </x:c>
      <x:c r="H10" s="24" t="str">
        <x:v>Perch-likes</x:v>
      </x:c>
      <x:c r="I10" s="31" t="n">
        <x:v>35.553786621</x:v>
      </x:c>
      <x:c r="J10" s="31" t="n">
        <x:v>35.553786621</x:v>
      </x:c>
      <x:c r="K10" s="31" t="n">
        <x:v>0</x:v>
      </x:c>
      <x:c r="L10" s="31" t="n">
        <x:v>0</x:v>
      </x:c>
      <x:c r="M10" s="31" t="n">
        <x:v>35.553786621</x:v>
      </x:c>
      <x:c r="N10" s="24" t="str">
        <x:v>haemulidae</x:v>
      </x:c>
      <x:c r="O10" s="32" t="n">
        <x:v>3.36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Haemulidae</x:v>
      </x:c>
      <x:c r="T10" s="32" t="n">
        <x:f>IF(O10="","",(1/'Metadata'!$B$5)^(O10-1))</x:f>
        <x:v>229.08676527677724</x:v>
      </x:c>
      <x:c r="U10" s="31" t="n">
        <x:f>IF(T10="","",I10*T10)</x:f>
        <x:v>8144.901970345651</x:v>
      </x:c>
    </x:row>
    <x:row r="11" ht="18" customHeight="1">
      <x:c r="A11" s="24" t="str">
        <x:v>EEZ_935</x:v>
      </x:c>
      <x:c r="B11" s="24" t="str">
        <x:v>Guatemala (Caribbean)</x:v>
      </x:c>
      <x:c r="C11" s="24" t="str">
        <x:v>EEZ</x:v>
      </x:c>
      <x:c r="D11" s="30" t="n">
        <x:v>2019</x:v>
      </x:c>
      <x:c r="E11" s="24" t="str">
        <x:v>Loliginidae</x:v>
      </x:c>
      <x:c r="F11" s="24" t="str">
        <x:v>Common pencil squids</x:v>
      </x:c>
      <x:c r="G11" s="24" t="str">
        <x:v>Cephalopods</x:v>
      </x:c>
      <x:c r="H11" s="24" t="str">
        <x:v>Other fishes &amp; inverts</x:v>
      </x:c>
      <x:c r="I11" s="31" t="n">
        <x:v>18.414995793</x:v>
      </x:c>
      <x:c r="J11" s="31" t="n">
        <x:v>18.414995793</x:v>
      </x:c>
      <x:c r="K11" s="31" t="n">
        <x:v>0</x:v>
      </x:c>
      <x:c r="L11" s="31" t="n">
        <x:v>0</x:v>
      </x:c>
      <x:c r="M11" s="31" t="n">
        <x:v>18.414995793</x:v>
      </x:c>
      <x:c r="N11" s="24" t="str">
        <x:v>loliginidae</x:v>
      </x:c>
      <x:c r="O11" s="32" t="n">
        <x:v>3.9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Loliginidae</x:v>
      </x:c>
      <x:c r="T11" s="32" t="n">
        <x:f>IF(O11="","",(1/'Metadata'!$B$5)^(O11-1))</x:f>
        <x:v>794.3282347242813</x:v>
      </x:c>
      <x:c r="U11" s="31" t="n">
        <x:f>IF(T11="","",I11*T11)</x:f>
        <x:v>14627.551100708755</x:v>
      </x:c>
    </x:row>
    <x:row r="12" ht="18" customHeight="1">
      <x:c r="A12" s="24" t="str">
        <x:v>EEZ_935</x:v>
      </x:c>
      <x:c r="B12" s="24" t="str">
        <x:v>Guatemala (Caribbean)</x:v>
      </x:c>
      <x:c r="C12" s="24" t="str">
        <x:v>EEZ</x:v>
      </x:c>
      <x:c r="D12" s="30" t="n">
        <x:v>2019</x:v>
      </x:c>
      <x:c r="E12" s="24" t="str">
        <x:v>Lutjanus vivanus</x:v>
      </x:c>
      <x:c r="F12" s="24" t="str">
        <x:v>Silk snapper</x:v>
      </x:c>
      <x:c r="G12" s="24" t="str">
        <x:v>Medium demersals (30 - 89 cm)</x:v>
      </x:c>
      <x:c r="H12" s="24" t="str">
        <x:v>Perch-likes</x:v>
      </x:c>
      <x:c r="I12" s="31" t="n">
        <x:v>16.58445186</x:v>
      </x:c>
      <x:c r="J12" s="31" t="n">
        <x:v>0</x:v>
      </x:c>
      <x:c r="K12" s="31" t="n">
        <x:v>16.58445186</x:v>
      </x:c>
      <x:c r="L12" s="31" t="n">
        <x:v>0</x:v>
      </x:c>
      <x:c r="M12" s="31" t="n">
        <x:v>16.58445186</x:v>
      </x:c>
      <x:c r="N12" s="24" t="str">
        <x:v>lutjanus vivanus</x:v>
      </x:c>
      <x:c r="O12" s="32" t="n">
        <x:v>3.09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Lutjanus vivanus</x:v>
      </x:c>
      <x:c r="T12" s="32" t="n">
        <x:f>IF(O12="","",(1/'Metadata'!$B$5)^(O12-1))</x:f>
        <x:v>123.02687708123811</x:v>
      </x:c>
      <x:c r="U12" s="31" t="n">
        <x:f>IF(T12="","",I12*T12)</x:f>
        <x:v>2040.333320439931</x:v>
      </x:c>
    </x:row>
    <x:row r="13" ht="18" customHeight="1">
      <x:c r="A13" s="24" t="str">
        <x:v>EEZ_935</x:v>
      </x:c>
      <x:c r="B13" s="24" t="str">
        <x:v>Guatemala (Caribbean)</x:v>
      </x:c>
      <x:c r="C13" s="24" t="str">
        <x:v>EEZ</x:v>
      </x:c>
      <x:c r="D13" s="30" t="n">
        <x:v>2019</x:v>
      </x:c>
      <x:c r="E13" s="24" t="str">
        <x:v>Cynoscion</x:v>
      </x:c>
      <x:c r="F13" s="24" t="str">
        <x:v>Weakfishes</x:v>
      </x:c>
      <x:c r="G13" s="24" t="str">
        <x:v>Medium demersals (30 - 89 cm)</x:v>
      </x:c>
      <x:c r="H13" s="24" t="str">
        <x:v>Perch-likes</x:v>
      </x:c>
      <x:c r="I13" s="31" t="n">
        <x:v>15.423092474</x:v>
      </x:c>
      <x:c r="J13" s="31" t="n">
        <x:v>12.363968482</x:v>
      </x:c>
      <x:c r="K13" s="31" t="n">
        <x:v>3.059123992</x:v>
      </x:c>
      <x:c r="L13" s="31" t="n">
        <x:v>8.114311746</x:v>
      </x:c>
      <x:c r="M13" s="31" t="n">
        <x:v>7.308780728</x:v>
      </x:c>
      <x:c r="N13" s="24" t="str">
        <x:v>cynoscion</x:v>
      </x:c>
      <x:c r="O13" s="32" t="n">
        <x:v>4.21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Cynoscion</x:v>
      </x:c>
      <x:c r="T13" s="32" t="n">
        <x:f>IF(O13="","",(1/'Metadata'!$B$5)^(O13-1))</x:f>
        <x:v>1621.8100973589299</x:v>
      </x:c>
      <x:c r="U13" s="31" t="n">
        <x:f>IF(T13="","",I13*T13)</x:f>
        <x:v>25013.32710683372</x:v>
      </x:c>
    </x:row>
    <x:row r="14" ht="18" customHeight="1">
      <x:c r="A14" s="24" t="str">
        <x:v>EEZ_935</x:v>
      </x:c>
      <x:c r="B14" s="24" t="str">
        <x:v>Guatemala (Caribbean)</x:v>
      </x:c>
      <x:c r="C14" s="24" t="str">
        <x:v>EEZ</x:v>
      </x:c>
      <x:c r="D14" s="30" t="n">
        <x:v>2019</x:v>
      </x:c>
      <x:c r="E14" s="24" t="str">
        <x:v>Pleuronectiformes</x:v>
      </x:c>
      <x:c r="F14" s="24" t="str">
        <x:v>Flatfishes</x:v>
      </x:c>
      <x:c r="G14" s="24" t="str">
        <x:v>Small to medium flatfishes (&lt;90 cm)</x:v>
      </x:c>
      <x:c r="H14" s="24" t="str">
        <x:v>Flatfishes</x:v>
      </x:c>
      <x:c r="I14" s="31" t="n">
        <x:v>15.423092474</x:v>
      </x:c>
      <x:c r="J14" s="31" t="n">
        <x:v>12.363968482</x:v>
      </x:c>
      <x:c r="K14" s="31" t="n">
        <x:v>3.059123992</x:v>
      </x:c>
      <x:c r="L14" s="31" t="n">
        <x:v>8.114311746</x:v>
      </x:c>
      <x:c r="M14" s="31" t="n">
        <x:v>7.308780728</x:v>
      </x:c>
      <x:c r="N14" s="24" t="str">
        <x:v>pleuronectiformes</x:v>
      </x:c>
      <x:c r="O14" s="32" t="n">
        <x:v>3.57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Pleuronectiformes</x:v>
      </x:c>
      <x:c r="T14" s="32" t="n">
        <x:f>IF(O14="","",(1/'Metadata'!$B$5)^(O14-1))</x:f>
        <x:v>371.5352290971724</x:v>
      </x:c>
      <x:c r="U14" s="31" t="n">
        <x:f>IF(T14="","",I14*T14)</x:f>
        <x:v>5730.222195714466</x:v>
      </x:c>
    </x:row>
    <x:row r="15" ht="18" customHeight="1">
      <x:c r="A15" s="24" t="str">
        <x:v>EEZ_935</x:v>
      </x:c>
      <x:c r="B15" s="24" t="str">
        <x:v>Guatemala (Caribbean)</x:v>
      </x:c>
      <x:c r="C15" s="24" t="str">
        <x:v>EEZ</x:v>
      </x:c>
      <x:c r="D15" s="30" t="n">
        <x:v>2019</x:v>
      </x:c>
      <x:c r="E15" s="24" t="str">
        <x:v>Aliger gigas</x:v>
      </x:c>
      <x:c r="F15" s="24" t="str">
        <x:v>Pink conch</x:v>
      </x:c>
      <x:c r="G15" s="24" t="str">
        <x:v>Other demersal invertebrates</x:v>
      </x:c>
      <x:c r="H15" s="24" t="str">
        <x:v>Molluscs</x:v>
      </x:c>
      <x:c r="I15" s="31" t="n">
        <x:v>13.267798187</x:v>
      </x:c>
      <x:c r="J15" s="31" t="n">
        <x:v>13.267798187</x:v>
      </x:c>
      <x:c r="K15" s="31" t="n">
        <x:v>0</x:v>
      </x:c>
      <x:c r="L15" s="31" t="n">
        <x:v>0</x:v>
      </x:c>
      <x:c r="M15" s="31" t="n">
        <x:v>13.267798187</x:v>
      </x:c>
      <x:c r="N15" s="24" t="str">
        <x:v>aliger gigas</x:v>
      </x:c>
      <x:c r="O15" s="32" t="n">
        <x:v>2.19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Aliger gigas</x:v>
      </x:c>
      <x:c r="T15" s="32" t="n">
        <x:f>IF(O15="","",(1/'Metadata'!$B$5)^(O15-1))</x:f>
        <x:v>15.488166189124811</x:v>
      </x:c>
      <x:c r="U15" s="31" t="n">
        <x:f>IF(T15="","",I15*T15)</x:f>
        <x:v>205.49386328402488</x:v>
      </x:c>
    </x:row>
    <x:row r="16" ht="18" customHeight="1">
      <x:c r="A16" s="24" t="str">
        <x:v>EEZ_935</x:v>
      </x:c>
      <x:c r="B16" s="24" t="str">
        <x:v>Guatemala (Caribbean)</x:v>
      </x:c>
      <x:c r="C16" s="24" t="str">
        <x:v>EEZ</x:v>
      </x:c>
      <x:c r="D16" s="30" t="n">
        <x:v>2019</x:v>
      </x:c>
      <x:c r="E16" s="24" t="str">
        <x:v>Crassostrea</x:v>
      </x:c>
      <x:c r="F16" s="24" t="str">
        <x:v>Cupped oysters</x:v>
      </x:c>
      <x:c r="G16" s="24" t="str">
        <x:v>Other demersal invertebrates</x:v>
      </x:c>
      <x:c r="H16" s="24" t="str">
        <x:v>Molluscs</x:v>
      </x:c>
      <x:c r="I16" s="31" t="n">
        <x:v>13.267798187</x:v>
      </x:c>
      <x:c r="J16" s="31" t="n">
        <x:v>13.267798187</x:v>
      </x:c>
      <x:c r="K16" s="31" t="n">
        <x:v>0</x:v>
      </x:c>
      <x:c r="L16" s="31" t="n">
        <x:v>0</x:v>
      </x:c>
      <x:c r="M16" s="31" t="n">
        <x:v>13.267798187</x:v>
      </x:c>
      <x:c r="N16" s="24" t="str">
        <x:v>crassostrea</x:v>
      </x:c>
      <x:c r="O16" s="32" t="n">
        <x:v>2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Crassostrea</x:v>
      </x:c>
      <x:c r="T16" s="32" t="n">
        <x:f>IF(O16="","",(1/'Metadata'!$B$5)^(O16-1))</x:f>
        <x:v>10</x:v>
      </x:c>
      <x:c r="U16" s="31" t="n">
        <x:f>IF(T16="","",I16*T16)</x:f>
        <x:v>132.67798187</x:v>
      </x:c>
    </x:row>
    <x:row r="17" ht="18" customHeight="1">
      <x:c r="A17" s="24" t="str">
        <x:v>EEZ_935</x:v>
      </x:c>
      <x:c r="B17" s="24" t="str">
        <x:v>Guatemala (Caribbean)</x:v>
      </x:c>
      <x:c r="C17" s="24" t="str">
        <x:v>EEZ</x:v>
      </x:c>
      <x:c r="D17" s="30" t="n">
        <x:v>2019</x:v>
      </x:c>
      <x:c r="E17" s="24" t="str">
        <x:v>Peprilus</x:v>
      </x:c>
      <x:c r="F17" s="24" t="str">
        <x:v>Harvestfishes</x:v>
      </x:c>
      <x:c r="G17" s="24" t="str">
        <x:v>Small benthopelagics (&lt;30 cm)</x:v>
      </x:c>
      <x:c r="H17" s="24" t="str">
        <x:v>Perch-likes</x:v>
      </x:c>
      <x:c r="I17" s="31" t="n">
        <x:v>13.267798187</x:v>
      </x:c>
      <x:c r="J17" s="31" t="n">
        <x:v>13.267798187</x:v>
      </x:c>
      <x:c r="K17" s="31" t="n">
        <x:v>0</x:v>
      </x:c>
      <x:c r="L17" s="31" t="n">
        <x:v>0</x:v>
      </x:c>
      <x:c r="M17" s="31" t="n">
        <x:v>13.267798187</x:v>
      </x:c>
      <x:c r="N17" s="24" t="str">
        <x:v>peprilus</x:v>
      </x:c>
      <x:c r="O17" s="32" t="n">
        <x:v>3.78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Peprilus</x:v>
      </x:c>
      <x:c r="T17" s="32" t="n">
        <x:f>IF(O17="","",(1/'Metadata'!$B$5)^(O17-1))</x:f>
        <x:v>602.5595860743575</x:v>
      </x:c>
      <x:c r="U17" s="31" t="n">
        <x:f>IF(T17="","",I17*T17)</x:f>
        <x:v>7994.638983676831</x:v>
      </x:c>
    </x:row>
    <x:row r="18" ht="18" customHeight="1">
      <x:c r="A18" s="24" t="str">
        <x:v>EEZ_935</x:v>
      </x:c>
      <x:c r="B18" s="24" t="str">
        <x:v>Guatemala (Caribbean)</x:v>
      </x:c>
      <x:c r="C18" s="24" t="str">
        <x:v>EEZ</x:v>
      </x:c>
      <x:c r="D18" s="30" t="n">
        <x:v>2019</x:v>
      </x:c>
      <x:c r="E18" s="24" t="str">
        <x:v>Dasyatidae</x:v>
      </x:c>
      <x:c r="F18" s="24" t="str">
        <x:v>Whiptail stingrays</x:v>
      </x:c>
      <x:c r="G18" s="24" t="str">
        <x:v>Large rays (&gt;=90 cm)</x:v>
      </x:c>
      <x:c r="H18" s="24" t="str">
        <x:v>Sharks &amp; rays</x:v>
      </x:c>
      <x:c r="I18" s="31" t="n">
        <x:v>13.267798187</x:v>
      </x:c>
      <x:c r="J18" s="31" t="n">
        <x:v>13.267798187</x:v>
      </x:c>
      <x:c r="K18" s="31" t="n">
        <x:v>0</x:v>
      </x:c>
      <x:c r="L18" s="31" t="n">
        <x:v>0</x:v>
      </x:c>
      <x:c r="M18" s="31" t="n">
        <x:v>13.267798187</x:v>
      </x:c>
      <x:c r="N18" s="24" t="str">
        <x:v>dasyatidae</x:v>
      </x:c>
      <x:c r="O18" s="32" t="n">
        <x:v>3.38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Dasyatidae</x:v>
      </x:c>
      <x:c r="T18" s="32" t="n">
        <x:f>IF(O18="","",(1/'Metadata'!$B$5)^(O18-1))</x:f>
        <x:v>239.88329190194898</x:v>
      </x:c>
      <x:c r="U18" s="31" t="n">
        <x:f>IF(T18="","",I18*T18)</x:f>
        <x:v>3182.7231053882706</x:v>
      </x:c>
    </x:row>
    <x:row r="19" ht="18" customHeight="1">
      <x:c r="A19" s="24" t="str">
        <x:v>EEZ_935</x:v>
      </x:c>
      <x:c r="B19" s="24" t="str">
        <x:v>Guatemala (Caribbean)</x:v>
      </x:c>
      <x:c r="C19" s="24" t="str">
        <x:v>EEZ</x:v>
      </x:c>
      <x:c r="D19" s="30" t="n">
        <x:v>2019</x:v>
      </x:c>
      <x:c r="E19" s="24" t="str">
        <x:v>Holothuriidae</x:v>
      </x:c>
      <x:c r="F19" s="24" t="str">
        <x:v>Fleshy sea cucumbers</x:v>
      </x:c>
      <x:c r="G19" s="24" t="str">
        <x:v>Other demersal invertebrates</x:v>
      </x:c>
      <x:c r="H19" s="24" t="str">
        <x:v>Other fishes &amp; inverts</x:v>
      </x:c>
      <x:c r="I19" s="31" t="n">
        <x:v>13.267798187</x:v>
      </x:c>
      <x:c r="J19" s="31" t="n">
        <x:v>13.267798187</x:v>
      </x:c>
      <x:c r="K19" s="31" t="n">
        <x:v>0</x:v>
      </x:c>
      <x:c r="L19" s="31" t="n">
        <x:v>0</x:v>
      </x:c>
      <x:c r="M19" s="31" t="n">
        <x:v>13.267798187</x:v>
      </x:c>
      <x:c r="N19" s="24" t="str">
        <x:v>holothuriidae</x:v>
      </x:c>
      <x:c r="O19" s="32" t="n">
        <x:v>2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Holothuriidae</x:v>
      </x:c>
      <x:c r="T19" s="32" t="n">
        <x:f>IF(O19="","",(1/'Metadata'!$B$5)^(O19-1))</x:f>
        <x:v>10</x:v>
      </x:c>
      <x:c r="U19" s="31" t="n">
        <x:f>IF(T19="","",I19*T19)</x:f>
        <x:v>132.67798187</x:v>
      </x:c>
    </x:row>
    <x:row r="20" ht="18" customHeight="1">
      <x:c r="A20" s="24" t="str">
        <x:v>EEZ_935</x:v>
      </x:c>
      <x:c r="B20" s="24" t="str">
        <x:v>Guatemala (Caribbean)</x:v>
      </x:c>
      <x:c r="C20" s="24" t="str">
        <x:v>EEZ</x:v>
      </x:c>
      <x:c r="D20" s="30" t="n">
        <x:v>2019</x:v>
      </x:c>
      <x:c r="E20" s="24" t="str">
        <x:v>Mugil</x:v>
      </x:c>
      <x:c r="F20" s="24" t="str">
        <x:v>Grey mullets</x:v>
      </x:c>
      <x:c r="G20" s="24" t="str">
        <x:v>Medium demersals (30 - 89 cm)</x:v>
      </x:c>
      <x:c r="H20" s="24" t="str">
        <x:v>Perch-likes</x:v>
      </x:c>
      <x:c r="I20" s="31" t="n">
        <x:v>13.267798187</x:v>
      </x:c>
      <x:c r="J20" s="31" t="n">
        <x:v>13.267798187</x:v>
      </x:c>
      <x:c r="K20" s="31" t="n">
        <x:v>0</x:v>
      </x:c>
      <x:c r="L20" s="31" t="n">
        <x:v>0</x:v>
      </x:c>
      <x:c r="M20" s="31" t="n">
        <x:v>13.267798187</x:v>
      </x:c>
      <x:c r="N20" s="24" t="str">
        <x:v>mugil</x:v>
      </x:c>
      <x:c r="O20" s="32" t="n">
        <x:v>2.26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Mugil</x:v>
      </x:c>
      <x:c r="T20" s="32" t="n">
        <x:f>IF(O20="","",(1/'Metadata'!$B$5)^(O20-1))</x:f>
        <x:v>18.197008586099827</x:v>
      </x:c>
      <x:c r="U20" s="31" t="n">
        <x:f>IF(T20="","",I20*T20)</x:f>
        <x:v>241.43423752747873</x:v>
      </x:c>
    </x:row>
    <x:row r="21" ht="18" customHeight="1">
      <x:c r="A21" s="24" t="str">
        <x:v>EEZ_935</x:v>
      </x:c>
      <x:c r="B21" s="24" t="str">
        <x:v>Guatemala (Caribbean)</x:v>
      </x:c>
      <x:c r="C21" s="24" t="str">
        <x:v>EEZ</x:v>
      </x:c>
      <x:c r="D21" s="30" t="n">
        <x:v>2019</x:v>
      </x:c>
      <x:c r="E21" s="24" t="str">
        <x:v>Sphyraena</x:v>
      </x:c>
      <x:c r="F21" s="24" t="str">
        <x:v>Barracudas, sennets</x:v>
      </x:c>
      <x:c r="G21" s="24" t="str">
        <x:v>Large pelagics (&gt;=90 cm)</x:v>
      </x:c>
      <x:c r="H21" s="24" t="str">
        <x:v>Perch-likes</x:v>
      </x:c>
      <x:c r="I21" s="31" t="n">
        <x:v>13.267798187</x:v>
      </x:c>
      <x:c r="J21" s="31" t="n">
        <x:v>13.267798187</x:v>
      </x:c>
      <x:c r="K21" s="31" t="n">
        <x:v>0</x:v>
      </x:c>
      <x:c r="L21" s="31" t="n">
        <x:v>0</x:v>
      </x:c>
      <x:c r="M21" s="31" t="n">
        <x:v>13.267798187</x:v>
      </x:c>
      <x:c r="N21" s="24" t="str">
        <x:v>sphyraena</x:v>
      </x:c>
      <x:c r="O21" s="32" t="n">
        <x:v>4.4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Sphyraena</x:v>
      </x:c>
      <x:c r="T21" s="32" t="n">
        <x:f>IF(O21="","",(1/'Metadata'!$B$5)^(O21-1))</x:f>
        <x:v>2511.886431509582</x:v>
      </x:c>
      <x:c r="U21" s="31" t="n">
        <x:f>IF(T21="","",I21*T21)</x:f>
        <x:v>33327.20224193273</x:v>
      </x:c>
    </x:row>
    <x:row r="22" ht="18" customHeight="1">
      <x:c r="A22" s="24" t="str">
        <x:v>EEZ_935</x:v>
      </x:c>
      <x:c r="B22" s="24" t="str">
        <x:v>Guatemala (Caribbean)</x:v>
      </x:c>
      <x:c r="C22" s="24" t="str">
        <x:v>EEZ</x:v>
      </x:c>
      <x:c r="D22" s="30" t="n">
        <x:v>2019</x:v>
      </x:c>
      <x:c r="E22" s="24" t="str">
        <x:v>Panulirus argus</x:v>
      </x:c>
      <x:c r="F22" s="24" t="str">
        <x:v>Caribbean spiny lobster</x:v>
      </x:c>
      <x:c r="G22" s="24" t="str">
        <x:v>Lobsters, crabs</x:v>
      </x:c>
      <x:c r="H22" s="24" t="str">
        <x:v>Crustaceans</x:v>
      </x:c>
      <x:c r="I22" s="31" t="n">
        <x:v>13.267798187</x:v>
      </x:c>
      <x:c r="J22" s="31" t="n">
        <x:v>13.267798187</x:v>
      </x:c>
      <x:c r="K22" s="31" t="n">
        <x:v>0</x:v>
      </x:c>
      <x:c r="L22" s="31" t="n">
        <x:v>0</x:v>
      </x:c>
      <x:c r="M22" s="31" t="n">
        <x:v>13.267798187</x:v>
      </x:c>
      <x:c r="N22" s="24" t="str">
        <x:v>panulirus argus</x:v>
      </x:c>
      <x:c r="O22" s="32" t="n">
        <x:v>3.2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Panulirus argus</x:v>
      </x:c>
      <x:c r="T22" s="32" t="n">
        <x:f>IF(O22="","",(1/'Metadata'!$B$5)^(O22-1))</x:f>
        <x:v>158.48931924611142</x:v>
      </x:c>
      <x:c r="U22" s="31" t="n">
        <x:f>IF(T22="","",I22*T22)</x:f>
        <x:v>2102.804302552421</x:v>
      </x:c>
    </x:row>
    <x:row r="23" ht="18" customHeight="1">
      <x:c r="A23" s="24" t="str">
        <x:v>EEZ_935</x:v>
      </x:c>
      <x:c r="B23" s="24" t="str">
        <x:v>Guatemala (Caribbean)</x:v>
      </x:c>
      <x:c r="C23" s="24" t="str">
        <x:v>EEZ</x:v>
      </x:c>
      <x:c r="D23" s="30" t="n">
        <x:v>2019</x:v>
      </x:c>
      <x:c r="E23" s="24" t="str">
        <x:v>Veneridae</x:v>
      </x:c>
      <x:c r="F23" s="24" t="str">
        <x:v>Venus clams</x:v>
      </x:c>
      <x:c r="G23" s="24" t="str">
        <x:v>Other demersal invertebrates</x:v>
      </x:c>
      <x:c r="H23" s="24" t="str">
        <x:v>Molluscs</x:v>
      </x:c>
      <x:c r="I23" s="31" t="n">
        <x:v>13.267798187</x:v>
      </x:c>
      <x:c r="J23" s="31" t="n">
        <x:v>13.267798187</x:v>
      </x:c>
      <x:c r="K23" s="31" t="n">
        <x:v>0</x:v>
      </x:c>
      <x:c r="L23" s="31" t="n">
        <x:v>0</x:v>
      </x:c>
      <x:c r="M23" s="31" t="n">
        <x:v>13.267798187</x:v>
      </x:c>
      <x:c r="N23" s="24" t="str">
        <x:v>veneridae</x:v>
      </x:c>
      <x:c r="O23" s="32" t="n">
        <x:v>2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Veneridae</x:v>
      </x:c>
      <x:c r="T23" s="32" t="n">
        <x:f>IF(O23="","",(1/'Metadata'!$B$5)^(O23-1))</x:f>
        <x:v>10</x:v>
      </x:c>
      <x:c r="U23" s="31" t="n">
        <x:f>IF(T23="","",I23*T23)</x:f>
        <x:v>132.67798187</x:v>
      </x:c>
    </x:row>
    <x:row r="24" ht="18" customHeight="1">
      <x:c r="A24" s="24" t="str">
        <x:v>EEZ_935</x:v>
      </x:c>
      <x:c r="B24" s="24" t="str">
        <x:v>Guatemala (Caribbean)</x:v>
      </x:c>
      <x:c r="C24" s="24" t="str">
        <x:v>EEZ</x:v>
      </x:c>
      <x:c r="D24" s="30" t="n">
        <x:v>2019</x:v>
      </x:c>
      <x:c r="E24" s="24" t="str">
        <x:v>Epinephelus</x:v>
      </x:c>
      <x:c r="F24" s="24" t="str">
        <x:v>Seabasses, hinds</x:v>
      </x:c>
      <x:c r="G24" s="24" t="str">
        <x:v>Medium reef assoc. fish (30 - 89 cm)</x:v>
      </x:c>
      <x:c r="H24" s="24" t="str">
        <x:v>Perch-likes</x:v>
      </x:c>
      <x:c r="I24" s="31" t="n">
        <x:v>13.267798185999998</x:v>
      </x:c>
      <x:c r="J24" s="31" t="n">
        <x:v>13.267798185999998</x:v>
      </x:c>
      <x:c r="K24" s="31" t="n">
        <x:v>0</x:v>
      </x:c>
      <x:c r="L24" s="31" t="n">
        <x:v>0</x:v>
      </x:c>
      <x:c r="M24" s="31" t="n">
        <x:v>13.267798185999998</x:v>
      </x:c>
      <x:c r="N24" s="24" t="str">
        <x:v>epinephelus</x:v>
      </x:c>
      <x:c r="O24" s="32" t="n">
        <x:v>3.84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Epinephelus</x:v>
      </x:c>
      <x:c r="T24" s="32" t="n">
        <x:f>IF(O24="","",(1/'Metadata'!$B$5)^(O24-1))</x:f>
        <x:v>691.8309709189363</x:v>
      </x:c>
      <x:c r="U24" s="31" t="n">
        <x:f>IF(T24="","",I24*T24)</x:f>
        <x:v>9179.07370097688</x:v>
      </x:c>
    </x:row>
  </x:sheetData>
  <x:conditionalFormatting sqref="R2:R2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bdb1154a9e5140e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3580.3119327</x:v>
      </x:c>
      <x:c r="E2" s="31" t="n">
        <x:v>3580.3119327</x:v>
      </x:c>
      <x:c r="F2" s="32" t="n">
        <x:v>0</x:v>
      </x:c>
      <x:c r="G2" s="34" t="n">
        <x:v>1</x:v>
      </x:c>
      <x:c r="H2" s="32" t="n">
        <x:f>IF(E2=0,"",I2/E2)</x:f>
        <x:v>158.48931924611142</x:v>
      </x:c>
      <x:c r="I2" s="31" t="n">
        <x:f>IF(C2=0,"",SUMIF('Species'!$H$2:$H$24,A2,'Species'!$U$2:$U$24))</x:f>
        <x:v>567441.2009023525</x:v>
      </x:c>
      <x:c r="J2" s="32" t="n">
        <x:v>3.2</x:v>
      </x:c>
      <x:c r="K2" s="32" t="n">
        <x:f>IF(J2="","",(1/'Metadata'!$B$5)^(J2-1))</x:f>
        <x:v>158.48931924611142</x:v>
      </x:c>
      <x:c r="L2" s="31" t="n">
        <x:f>IF(E2=0,"",E2*K2)</x:f>
        <x:v>567441.2009023525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Crustaceans</x:v>
      </x:c>
      <x:c r="B3" s="33" t="n">
        <x:v>1</x:v>
      </x:c>
      <x:c r="C3" s="33" t="n">
        <x:v>1</x:v>
      </x:c>
      <x:c r="D3" s="31" t="n">
        <x:v>13.267798187</x:v>
      </x:c>
      <x:c r="E3" s="31" t="n">
        <x:v>13.267798187</x:v>
      </x:c>
      <x:c r="F3" s="32" t="n">
        <x:v>0</x:v>
      </x:c>
      <x:c r="G3" s="34" t="n">
        <x:v>1</x:v>
      </x:c>
      <x:c r="H3" s="32" t="n">
        <x:f>IF(E3=0,"",I3/E3)</x:f>
        <x:v>158.4893192461114</x:v>
      </x:c>
      <x:c r="I3" s="31" t="n">
        <x:f>IF(C3=0,"",SUMIF('Species'!$H$2:$H$24,A3,'Species'!$U$2:$U$24))</x:f>
        <x:v>2102.804302552421</x:v>
      </x:c>
      <x:c r="J3" s="32" t="n">
        <x:v>3.2</x:v>
      </x:c>
      <x:c r="K3" s="32" t="n">
        <x:f>IF(J3="","",(1/'Metadata'!$B$5)^(J3-1))</x:f>
        <x:v>158.48931924611142</x:v>
      </x:c>
      <x:c r="L3" s="31" t="n">
        <x:f>IF(E3=0,"",E3*K3)</x:f>
        <x:v>2102.804302552421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Flatfishes</x:v>
      </x:c>
      <x:c r="B4" s="33" t="n">
        <x:v>1</x:v>
      </x:c>
      <x:c r="C4" s="33" t="n">
        <x:v>1</x:v>
      </x:c>
      <x:c r="D4" s="31" t="n">
        <x:v>15.423092474</x:v>
      </x:c>
      <x:c r="E4" s="31" t="n">
        <x:v>15.423092474</x:v>
      </x:c>
      <x:c r="F4" s="32" t="n">
        <x:v>0</x:v>
      </x:c>
      <x:c r="G4" s="34" t="n">
        <x:v>1</x:v>
      </x:c>
      <x:c r="H4" s="32" t="n">
        <x:f>IF(E4=0,"",I4/E4)</x:f>
        <x:v>371.5352290971724</x:v>
      </x:c>
      <x:c r="I4" s="31" t="n">
        <x:f>IF(C4=0,"",SUMIF('Species'!$H$2:$H$24,A4,'Species'!$U$2:$U$24))</x:f>
        <x:v>5730.222195714466</x:v>
      </x:c>
      <x:c r="J4" s="32" t="n">
        <x:v>3.57</x:v>
      </x:c>
      <x:c r="K4" s="32" t="n">
        <x:f>IF(J4="","",(1/'Metadata'!$B$5)^(J4-1))</x:f>
        <x:v>371.5352290971724</x:v>
      </x:c>
      <x:c r="L4" s="31" t="n">
        <x:f>IF(E4=0,"",E4*K4)</x:f>
        <x:v>5730.222195714466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Molluscs</x:v>
      </x:c>
      <x:c r="B5" s="33" t="n">
        <x:v>3</x:v>
      </x:c>
      <x:c r="C5" s="33" t="n">
        <x:v>3</x:v>
      </x:c>
      <x:c r="D5" s="31" t="n">
        <x:v>39.803394561000005</x:v>
      </x:c>
      <x:c r="E5" s="31" t="n">
        <x:v>39.803394561000005</x:v>
      </x:c>
      <x:c r="F5" s="32" t="n">
        <x:v>0</x:v>
      </x:c>
      <x:c r="G5" s="34" t="n">
        <x:v>1</x:v>
      </x:c>
      <x:c r="H5" s="32" t="n">
        <x:f>IF(E5=0,"",I5/E5)</x:f>
        <x:v>11.829388729708269</x:v>
      </x:c>
      <x:c r="I5" s="31" t="n">
        <x:f>IF(C5=0,"",SUMIF('Species'!$H$2:$H$24,A5,'Species'!$U$2:$U$24))</x:f>
        <x:v>470.8498270240249</x:v>
      </x:c>
      <x:c r="J5" s="32" t="n">
        <x:v>2.063333333333333</x:v>
      </x:c>
      <x:c r="K5" s="32" t="n">
        <x:f>IF(J5="","",(1/'Metadata'!$B$5)^(J5-1))</x:f>
        <x:v>11.569999317502104</x:v>
      </x:c>
      <x:c r="L5" s="31" t="n">
        <x:f>IF(E5=0,"",E5*K5)</x:f>
        <x:v>460.525247905037</x:v>
      </x:c>
      <x:c r="M5" s="31" t="n">
        <x:f>IF(E5=0,"",I5-L5)</x:f>
        <x:v>10.324579118987856</x:v>
      </x:c>
      <x:c r="N5" s="32" t="n">
        <x:f>IF(L5=0,"",I5/L5)</x:f>
        <x:v>1.0224191380732222</x:v>
      </x:c>
      <x:c r="O5" s="34" t="n">
        <x:f>IF(L5=0,"",M5/L5)</x:f>
        <x:v>0.022419138073222086</x:v>
      </x:c>
    </x:row>
    <x:row r="6" ht="18" customHeight="1">
      <x:c r="A6" s="24" t="str">
        <x:v>Other fishes &amp; inverts</x:v>
      </x:c>
      <x:c r="B6" s="33" t="n">
        <x:v>5</x:v>
      </x:c>
      <x:c r="C6" s="33" t="n">
        <x:v>5</x:v>
      </x:c>
      <x:c r="D6" s="31" t="n">
        <x:v>405.560079894</x:v>
      </x:c>
      <x:c r="E6" s="31" t="n">
        <x:v>405.560079894</x:v>
      </x:c>
      <x:c r="F6" s="32" t="n">
        <x:v>0</x:v>
      </x:c>
      <x:c r="G6" s="34" t="n">
        <x:v>1</x:v>
      </x:c>
      <x:c r="H6" s="32" t="n">
        <x:f>IF(E6=0,"",I6/E6)</x:f>
        <x:v>323.1206456606363</x:v>
      </x:c>
      <x:c r="I6" s="31" t="n">
        <x:f>IF(C6=0,"",SUMIF('Species'!$H$2:$H$24,A6,'Species'!$U$2:$U$24))</x:f>
        <x:v>131044.83486952852</x:v>
      </x:c>
      <x:c r="J6" s="32" t="n">
        <x:v>3.4434318583173265</x:v>
      </x:c>
      <x:c r="K6" s="32" t="n">
        <x:f>IF(J6="","",(1/'Metadata'!$B$5)^(J6-1))</x:f>
        <x:v>277.6079239484674</x:v>
      </x:c>
      <x:c r="L6" s="31" t="n">
        <x:f>IF(E6=0,"",E6*K6)</x:f>
        <x:v>112586.69181574791</x:v>
      </x:c>
      <x:c r="M6" s="31" t="n">
        <x:f>IF(E6=0,"",I6-L6)</x:f>
        <x:v>18458.143053780615</x:v>
      </x:c>
      <x:c r="N6" s="32" t="n">
        <x:f>IF(L6=0,"",I6/L6)</x:f>
        <x:v>1.1639460468737106</x:v>
      </x:c>
      <x:c r="O6" s="34" t="n">
        <x:f>IF(L6=0,"",M6/L6)</x:f>
        <x:v>0.1639460468737106</x:v>
      </x:c>
    </x:row>
    <x:row r="7" ht="18" customHeight="1">
      <x:c r="A7" s="24" t="str">
        <x:v>Perch-likes</x:v>
      </x:c>
      <x:c r="B7" s="33" t="n">
        <x:v>11</x:v>
      </x:c>
      <x:c r="C7" s="33" t="n">
        <x:v>11</x:v>
      </x:c>
      <x:c r="D7" s="31" t="n">
        <x:v>626.7137272960002</x:v>
      </x:c>
      <x:c r="E7" s="31" t="n">
        <x:v>626.7137272960002</x:v>
      </x:c>
      <x:c r="F7" s="32" t="n">
        <x:v>0</x:v>
      </x:c>
      <x:c r="G7" s="34" t="n">
        <x:v>1</x:v>
      </x:c>
      <x:c r="H7" s="32" t="n">
        <x:f>IF(E7=0,"",I7/E7)</x:f>
        <x:v>645.8222127497879</x:v>
      </x:c>
      <x:c r="I7" s="31" t="n">
        <x:f>IF(C7=0,"",SUMIF('Species'!$H$2:$H$24,A7,'Species'!$U$2:$U$24))</x:f>
        <x:v>404745.64612297004</x:v>
      </x:c>
      <x:c r="J7" s="32" t="n">
        <x:v>3.6015651413284675</x:v>
      </x:c>
      <x:c r="K7" s="32" t="n">
        <x:f>IF(J7="","",(1/'Metadata'!$B$5)^(J7-1))</x:f>
        <x:v>399.5444858706373</x:v>
      </x:c>
      <x:c r="L7" s="31" t="n">
        <x:f>IF(E7=0,"",E7*K7)</x:f>
        <x:v>250400.0139605512</x:v>
      </x:c>
      <x:c r="M7" s="31" t="n">
        <x:f>IF(E7=0,"",I7-L7)</x:f>
        <x:v>154345.63216241883</x:v>
      </x:c>
      <x:c r="N7" s="32" t="n">
        <x:f>IF(L7=0,"",I7/L7)</x:f>
        <x:v>1.6163962602124093</x:v>
      </x:c>
      <x:c r="O7" s="34" t="n">
        <x:f>IF(L7=0,"",M7/L7)</x:f>
        <x:v>0.6163962602124092</x:v>
      </x:c>
    </x:row>
    <x:row r="8" ht="18" customHeight="1">
      <x:c r="A8" s="24" t="str">
        <x:v>Sharks &amp; rays</x:v>
      </x:c>
      <x:c r="B8" s="33" t="n">
        <x:v>1</x:v>
      </x:c>
      <x:c r="C8" s="33" t="n">
        <x:v>1</x:v>
      </x:c>
      <x:c r="D8" s="31" t="n">
        <x:v>13.267798187</x:v>
      </x:c>
      <x:c r="E8" s="31" t="n">
        <x:v>13.267798187</x:v>
      </x:c>
      <x:c r="F8" s="32" t="n">
        <x:v>0</x:v>
      </x:c>
      <x:c r="G8" s="34" t="n">
        <x:v>1</x:v>
      </x:c>
      <x:c r="H8" s="32" t="n">
        <x:f>IF(E8=0,"",I8/E8)</x:f>
        <x:v>239.88329190194898</x:v>
      </x:c>
      <x:c r="I8" s="31" t="n">
        <x:f>IF(C8=0,"",SUMIF('Species'!$H$2:$H$24,A8,'Species'!$U$2:$U$24))</x:f>
        <x:v>3182.7231053882706</x:v>
      </x:c>
      <x:c r="J8" s="32" t="n">
        <x:v>3.38</x:v>
      </x:c>
      <x:c r="K8" s="32" t="n">
        <x:f>IF(J8="","",(1/'Metadata'!$B$5)^(J8-1))</x:f>
        <x:v>239.88329190194898</x:v>
      </x:c>
      <x:c r="L8" s="31" t="n">
        <x:f>IF(E8=0,"",E8*K8)</x:f>
        <x:v>3182.7231053882706</x:v>
      </x:c>
      <x:c r="M8" s="31" t="n">
        <x:f>IF(E8=0,"",I8-L8)</x:f>
        <x:v>0</x:v>
      </x:c>
      <x:c r="N8" s="32" t="n">
        <x:f>IF(L8=0,"",I8/L8)</x:f>
        <x:v>1</x:v>
      </x:c>
      <x:c r="O8" s="34" t="n">
        <x:f>IF(L8=0,"",M8/L8)</x:f>
        <x:v>0</x:v>
      </x:c>
    </x:row>
  </x:sheetData>
  <x:conditionalFormatting sqref="G2:G8">
    <x:cfRule type="cellIs" dxfId="1" priority="1" operator="lessThan">
      <x:formula>0.9</x:formula>
    </x:cfRule>
  </x:conditionalFormatting>
  <x:conditionalFormatting sqref="O2:O8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fb6048c3581f492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1</x:v>
      </x:c>
      <x:c r="C2" s="33" t="n">
        <x:v>1</x:v>
      </x:c>
      <x:c r="D2" s="31" t="n">
        <x:v>18.414995793</x:v>
      </x:c>
      <x:c r="E2" s="31" t="n">
        <x:v>18.414995793</x:v>
      </x:c>
      <x:c r="F2" s="32" t="n">
        <x:v>0</x:v>
      </x:c>
      <x:c r="G2" s="34" t="n">
        <x:v>1</x:v>
      </x:c>
      <x:c r="H2" s="32" t="n">
        <x:f>IF(E2=0,"",I2/E2)</x:f>
        <x:v>794.3282347242813</x:v>
      </x:c>
      <x:c r="I2" s="31" t="n">
        <x:f>IF(C2=0,"",SUMIF('Species'!$G$2:$G$24,A2,'Species'!$U$2:$U$24))</x:f>
        <x:v>14627.551100708755</x:v>
      </x:c>
      <x:c r="J2" s="32" t="n">
        <x:v>3.8999999999999995</x:v>
      </x:c>
      <x:c r="K2" s="32" t="n">
        <x:f>IF(J2="","",(1/'Metadata'!$B$5)^(J2-1))</x:f>
        <x:v>794.3282347242805</x:v>
      </x:c>
      <x:c r="L2" s="31" t="n">
        <x:f>IF(E2=0,"",E2*K2)</x:f>
        <x:v>14627.55110070874</x:v>
      </x:c>
      <x:c r="M2" s="31" t="n">
        <x:f>IF(E2=0,"",I2-L2)</x:f>
        <x:v>1.4551915228366852e-11</x:v>
      </x:c>
      <x:c r="N2" s="32" t="n">
        <x:f>IF(L2=0,"",I2/L2)</x:f>
        <x:v>1.0000000000000009</x:v>
      </x:c>
      <x:c r="O2" s="34" t="n">
        <x:f>IF(L2=0,"",M2/L2)</x:f>
        <x:v>9.94829218382411e-16</x:v>
      </x:c>
    </x:row>
    <x:row r="3" ht="18" customHeight="1">
      <x:c r="A3" s="24" t="str">
        <x:v>Large bathydemersals (&gt;=90 cm)</x:v>
      </x:c>
      <x:c r="B3" s="33" t="n">
        <x:v>1</x:v>
      </x:c>
      <x:c r="C3" s="33" t="n">
        <x:v>1</x:v>
      </x:c>
      <x:c r="D3" s="31" t="n">
        <x:v>83.64693663</x:v>
      </x:c>
      <x:c r="E3" s="31" t="n">
        <x:v>83.64693663</x:v>
      </x:c>
      <x:c r="F3" s="32" t="n">
        <x:v>0</x:v>
      </x:c>
      <x:c r="G3" s="34" t="n">
        <x:v>1</x:v>
      </x:c>
      <x:c r="H3" s="32" t="n">
        <x:f>IF(E3=0,"",I3/E3)</x:f>
        <x:v>467.73514128719813</x:v>
      </x:c>
      <x:c r="I3" s="31" t="n">
        <x:f>IF(C3=0,"",SUMIF('Species'!$G$2:$G$24,A3,'Species'!$U$2:$U$24))</x:f>
        <x:v>39124.61172287436</x:v>
      </x:c>
      <x:c r="J3" s="32" t="n">
        <x:v>3.67</x:v>
      </x:c>
      <x:c r="K3" s="32" t="n">
        <x:f>IF(J3="","",(1/'Metadata'!$B$5)^(J3-1))</x:f>
        <x:v>467.73514128719813</x:v>
      </x:c>
      <x:c r="L3" s="31" t="n">
        <x:f>IF(E3=0,"",E3*K3)</x:f>
        <x:v>39124.61172287436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pelagics (&gt;=90 cm)</x:v>
      </x:c>
      <x:c r="B4" s="33" t="n">
        <x:v>1</x:v>
      </x:c>
      <x:c r="C4" s="33" t="n">
        <x:v>1</x:v>
      </x:c>
      <x:c r="D4" s="31" t="n">
        <x:v>13.267798187</x:v>
      </x:c>
      <x:c r="E4" s="31" t="n">
        <x:v>13.267798187</x:v>
      </x:c>
      <x:c r="F4" s="32" t="n">
        <x:v>0</x:v>
      </x:c>
      <x:c r="G4" s="34" t="n">
        <x:v>1</x:v>
      </x:c>
      <x:c r="H4" s="32" t="n">
        <x:f>IF(E4=0,"",I4/E4)</x:f>
        <x:v>2511.886431509582</x:v>
      </x:c>
      <x:c r="I4" s="31" t="n">
        <x:f>IF(C4=0,"",SUMIF('Species'!$G$2:$G$24,A4,'Species'!$U$2:$U$24))</x:f>
        <x:v>33327.20224193273</x:v>
      </x:c>
      <x:c r="J4" s="32" t="n">
        <x:v>4.4</x:v>
      </x:c>
      <x:c r="K4" s="32" t="n">
        <x:f>IF(J4="","",(1/'Metadata'!$B$5)^(J4-1))</x:f>
        <x:v>2511.886431509582</x:v>
      </x:c>
      <x:c r="L4" s="31" t="n">
        <x:f>IF(E4=0,"",E4*K4)</x:f>
        <x:v>33327.20224193273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Large rays (&gt;=90 cm)</x:v>
      </x:c>
      <x:c r="B5" s="33" t="n">
        <x:v>1</x:v>
      </x:c>
      <x:c r="C5" s="33" t="n">
        <x:v>1</x:v>
      </x:c>
      <x:c r="D5" s="31" t="n">
        <x:v>13.267798187</x:v>
      </x:c>
      <x:c r="E5" s="31" t="n">
        <x:v>13.267798187</x:v>
      </x:c>
      <x:c r="F5" s="32" t="n">
        <x:v>0</x:v>
      </x:c>
      <x:c r="G5" s="34" t="n">
        <x:v>1</x:v>
      </x:c>
      <x:c r="H5" s="32" t="n">
        <x:f>IF(E5=0,"",I5/E5)</x:f>
        <x:v>239.88329190194898</x:v>
      </x:c>
      <x:c r="I5" s="31" t="n">
        <x:f>IF(C5=0,"",SUMIF('Species'!$G$2:$G$24,A5,'Species'!$U$2:$U$24))</x:f>
        <x:v>3182.7231053882706</x:v>
      </x:c>
      <x:c r="J5" s="32" t="n">
        <x:v>3.38</x:v>
      </x:c>
      <x:c r="K5" s="32" t="n">
        <x:f>IF(J5="","",(1/'Metadata'!$B$5)^(J5-1))</x:f>
        <x:v>239.88329190194898</x:v>
      </x:c>
      <x:c r="L5" s="31" t="n">
        <x:f>IF(E5=0,"",E5*K5)</x:f>
        <x:v>3182.7231053882706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Lobsters, crabs</x:v>
      </x:c>
      <x:c r="B6" s="33" t="n">
        <x:v>1</x:v>
      </x:c>
      <x:c r="C6" s="33" t="n">
        <x:v>1</x:v>
      </x:c>
      <x:c r="D6" s="31" t="n">
        <x:v>13.267798187</x:v>
      </x:c>
      <x:c r="E6" s="31" t="n">
        <x:v>13.267798187</x:v>
      </x:c>
      <x:c r="F6" s="32" t="n">
        <x:v>0</x:v>
      </x:c>
      <x:c r="G6" s="34" t="n">
        <x:v>1</x:v>
      </x:c>
      <x:c r="H6" s="32" t="n">
        <x:f>IF(E6=0,"",I6/E6)</x:f>
        <x:v>158.4893192461114</x:v>
      </x:c>
      <x:c r="I6" s="31" t="n">
        <x:f>IF(C6=0,"",SUMIF('Species'!$G$2:$G$24,A6,'Species'!$U$2:$U$24))</x:f>
        <x:v>2102.804302552421</x:v>
      </x:c>
      <x:c r="J6" s="32" t="n">
        <x:v>3.2</x:v>
      </x:c>
      <x:c r="K6" s="32" t="n">
        <x:f>IF(J6="","",(1/'Metadata'!$B$5)^(J6-1))</x:f>
        <x:v>158.48931924611142</x:v>
      </x:c>
      <x:c r="L6" s="31" t="n">
        <x:f>IF(E6=0,"",E6*K6)</x:f>
        <x:v>2102.804302552421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Medium demersals (30 - 89 cm)</x:v>
      </x:c>
      <x:c r="B7" s="33" t="n">
        <x:v>7</x:v>
      </x:c>
      <x:c r="C7" s="33" t="n">
        <x:v>7</x:v>
      </x:c>
      <x:c r="D7" s="31" t="n">
        <x:v>446.941209749</x:v>
      </x:c>
      <x:c r="E7" s="31" t="n">
        <x:v>446.941209749</x:v>
      </x:c>
      <x:c r="F7" s="32" t="n">
        <x:v>0</x:v>
      </x:c>
      <x:c r="G7" s="34" t="n">
        <x:v>1</x:v>
      </x:c>
      <x:c r="H7" s="32" t="n">
        <x:f>IF(E7=0,"",I7/E7)</x:f>
        <x:v>317.98681071277906</x:v>
      </x:c>
      <x:c r="I7" s="31" t="n">
        <x:f>IF(C7=0,"",SUMIF('Species'!$G$2:$G$24,A7,'Species'!$U$2:$U$24))</x:f>
        <x:v>142121.40986419574</x:v>
      </x:c>
      <x:c r="J7" s="32" t="n">
        <x:v>3.421520922159788</x:v>
      </x:c>
      <x:c r="K7" s="32" t="n">
        <x:f>IF(J7="","",(1/'Metadata'!$B$5)^(J7-1))</x:f>
        <x:v>263.9495477138003</x:v>
      </x:c>
      <x:c r="L7" s="31" t="n">
        <x:f>IF(E7=0,"",E7*K7)</x:f>
        <x:v>117969.93016790731</x:v>
      </x:c>
      <x:c r="M7" s="31" t="n">
        <x:f>IF(E7=0,"",I7-L7)</x:f>
        <x:v>24151.47969628843</x:v>
      </x:c>
      <x:c r="N7" s="32" t="n">
        <x:f>IF(L7=0,"",I7/L7)</x:f>
        <x:v>1.2047257268179568</x:v>
      </x:c>
      <x:c r="O7" s="34" t="n">
        <x:f>IF(L7=0,"",M7/L7)</x:f>
        <x:v>0.20472572681795675</x:v>
      </x:c>
    </x:row>
    <x:row r="8" ht="18" customHeight="1">
      <x:c r="A8" s="24" t="str">
        <x:v>Medium reef assoc. fish (30 - 89 cm)</x:v>
      </x:c>
      <x:c r="B8" s="33" t="n">
        <x:v>3</x:v>
      </x:c>
      <x:c r="C8" s="33" t="n">
        <x:v>3</x:v>
      </x:c>
      <x:c r="D8" s="31" t="n">
        <x:v>271.983394827</x:v>
      </x:c>
      <x:c r="E8" s="31" t="n">
        <x:v>271.983394827</x:v>
      </x:c>
      <x:c r="F8" s="32" t="n">
        <x:v>0</x:v>
      </x:c>
      <x:c r="G8" s="34" t="n">
        <x:v>1</x:v>
      </x:c>
      <x:c r="H8" s="32" t="n">
        <x:f>IF(E8=0,"",I8/E8)</x:f>
        <x:v>1029.796546763246</x:v>
      </x:c>
      <x:c r="I8" s="31" t="n">
        <x:f>IF(C8=0,"",SUMIF('Species'!$G$2:$G$24,A8,'Species'!$U$2:$U$24))</x:f>
        <x:v>280087.5607697891</x:v>
      </x:c>
      <x:c r="J8" s="32" t="n">
        <x:v>4.011219303387991</x:v>
      </x:c>
      <x:c r="K8" s="32" t="n">
        <x:f>IF(J8="","",(1/'Metadata'!$B$5)^(J8-1))</x:f>
        <x:v>1026.1699750681687</x:v>
      </x:c>
      <x:c r="L8" s="31" t="n">
        <x:f>IF(E8=0,"",E8*K8)</x:f>
        <x:v>279101.1934885784</x:v>
      </x:c>
      <x:c r="M8" s="31" t="n">
        <x:f>IF(E8=0,"",I8-L8)</x:f>
        <x:v>986.367281210667</x:v>
      </x:c>
      <x:c r="N8" s="32" t="n">
        <x:f>IF(L8=0,"",I8/L8)</x:f>
        <x:v>1.0035340847843814</x:v>
      </x:c>
      <x:c r="O8" s="34" t="n">
        <x:f>IF(L8=0,"",M8/L8)</x:f>
        <x:v>0.0035340847843813744</x:v>
      </x:c>
    </x:row>
    <x:row r="9" ht="18" customHeight="1">
      <x:c r="A9" s="24" t="str">
        <x:v>Other demersal invertebrates</x:v>
      </x:c>
      <x:c r="B9" s="33" t="n">
        <x:v>4</x:v>
      </x:c>
      <x:c r="C9" s="33" t="n">
        <x:v>4</x:v>
      </x:c>
      <x:c r="D9" s="31" t="n">
        <x:v>53.071192748</x:v>
      </x:c>
      <x:c r="E9" s="31" t="n">
        <x:v>53.071192748</x:v>
      </x:c>
      <x:c r="F9" s="32" t="n">
        <x:v>0</x:v>
      </x:c>
      <x:c r="G9" s="34" t="n">
        <x:v>1</x:v>
      </x:c>
      <x:c r="H9" s="32" t="n">
        <x:f>IF(E9=0,"",I9/E9)</x:f>
        <x:v>11.372041547281203</x:v>
      </x:c>
      <x:c r="I9" s="31" t="n">
        <x:f>IF(C9=0,"",SUMIF('Species'!$G$2:$G$24,A9,'Species'!$U$2:$U$24))</x:f>
        <x:v>603.5278088940249</x:v>
      </x:c>
      <x:c r="J9" s="32" t="n">
        <x:v>2.0475</x:v>
      </x:c>
      <x:c r="K9" s="32" t="n">
        <x:f>IF(J9="","",(1/'Metadata'!$B$5)^(J9-1))</x:f>
        <x:v>11.15578151350852</x:v>
      </x:c>
      <x:c r="L9" s="31" t="n">
        <x:f>IF(E9=0,"",E9*K9)</x:f>
        <x:v>592.0506309579858</x:v>
      </x:c>
      <x:c r="M9" s="31" t="n">
        <x:f>IF(E9=0,"",I9-L9)</x:f>
        <x:v>11.477177936039084</x:v>
      </x:c>
      <x:c r="N9" s="32" t="n">
        <x:f>IF(L9=0,"",I9/L9)</x:f>
        <x:v>1.0193854669447242</x:v>
      </x:c>
      <x:c r="O9" s="34" t="n">
        <x:f>IF(L9=0,"",M9/L9)</x:f>
        <x:v>0.019385466944724105</x:v>
      </x:c>
    </x:row>
    <x:row r="10" ht="18" customHeight="1">
      <x:c r="A10" s="24" t="str">
        <x:v>Small benthopelagics (&lt;30 cm)</x:v>
      </x:c>
      <x:c r="B10" s="33" t="n">
        <x:v>2</x:v>
      </x:c>
      <x:c r="C10" s="33" t="n">
        <x:v>2</x:v>
      </x:c>
      <x:c r="D10" s="31" t="n">
        <x:v>184.751673817</x:v>
      </x:c>
      <x:c r="E10" s="31" t="n">
        <x:v>184.751673817</x:v>
      </x:c>
      <x:c r="F10" s="32" t="n">
        <x:v>0</x:v>
      </x:c>
      <x:c r="G10" s="34" t="n">
        <x:v>1</x:v>
      </x:c>
      <x:c r="H10" s="32" t="n">
        <x:f>IF(E10=0,"",I10/E10)</x:f>
        <x:v>142.72924713660373</x:v>
      </x:c>
      <x:c r="I10" s="31" t="n">
        <x:f>IF(C10=0,"",SUMIF('Species'!$G$2:$G$24,A10,'Species'!$U$2:$U$24))</x:f>
        <x:v>26369.467311127795</x:v>
      </x:c>
      <x:c r="J10" s="32" t="n">
        <x:v>3.0838606684024223</x:v>
      </x:c>
      <x:c r="K10" s="32" t="n">
        <x:f>IF(J10="","",(1/'Metadata'!$B$5)^(J10-1))</x:f>
        <x:v>121.29996300229524</x:v>
      </x:c>
      <x:c r="L10" s="31" t="n">
        <x:f>IF(E10=0,"",E10*K10)</x:f>
        <x:v>22410.37119861422</x:v>
      </x:c>
      <x:c r="M10" s="31" t="n">
        <x:f>IF(E10=0,"",I10-L10)</x:f>
        <x:v>3959.0961125135764</x:v>
      </x:c>
      <x:c r="N10" s="32" t="n">
        <x:f>IF(L10=0,"",I10/L10)</x:f>
        <x:v>1.1766635669452183</x:v>
      </x:c>
      <x:c r="O10" s="34" t="n">
        <x:f>IF(L10=0,"",M10/L10)</x:f>
        <x:v>0.17666356694521834</x:v>
      </x:c>
    </x:row>
    <x:row r="11" ht="18" customHeight="1">
      <x:c r="A11" s="24" t="str">
        <x:v>Small pelagics (&lt;30 cm)</x:v>
      </x:c>
      <x:c r="B11" s="33" t="n">
        <x:v>1</x:v>
      </x:c>
      <x:c r="C11" s="33" t="n">
        <x:v>1</x:v>
      </x:c>
      <x:c r="D11" s="31" t="n">
        <x:v>3580.3119327</x:v>
      </x:c>
      <x:c r="E11" s="31" t="n">
        <x:v>3580.3119327</x:v>
      </x:c>
      <x:c r="F11" s="32" t="n">
        <x:v>0</x:v>
      </x:c>
      <x:c r="G11" s="34" t="n">
        <x:v>1</x:v>
      </x:c>
      <x:c r="H11" s="32" t="n">
        <x:f>IF(E11=0,"",I11/E11)</x:f>
        <x:v>158.48931924611142</x:v>
      </x:c>
      <x:c r="I11" s="31" t="n">
        <x:f>IF(C11=0,"",SUMIF('Species'!$G$2:$G$24,A11,'Species'!$U$2:$U$24))</x:f>
        <x:v>567441.2009023525</x:v>
      </x:c>
      <x:c r="J11" s="32" t="n">
        <x:v>3.2</x:v>
      </x:c>
      <x:c r="K11" s="32" t="n">
        <x:f>IF(J11="","",(1/'Metadata'!$B$5)^(J11-1))</x:f>
        <x:v>158.48931924611142</x:v>
      </x:c>
      <x:c r="L11" s="31" t="n">
        <x:f>IF(E11=0,"",E11*K11)</x:f>
        <x:v>567441.2009023525</x:v>
      </x:c>
      <x:c r="M11" s="31" t="n">
        <x:f>IF(E11=0,"",I11-L11)</x:f>
        <x:v>0</x:v>
      </x:c>
      <x:c r="N11" s="32" t="n">
        <x:f>IF(L11=0,"",I11/L11)</x:f>
        <x:v>1</x:v>
      </x:c>
      <x:c r="O11" s="34" t="n">
        <x:f>IF(L11=0,"",M11/L11)</x:f>
        <x:v>0</x:v>
      </x:c>
    </x:row>
    <x:row r="12" ht="18" customHeight="1">
      <x:c r="A12" s="24" t="str">
        <x:v>Small to medium flatfishes (&lt;90 cm)</x:v>
      </x:c>
      <x:c r="B12" s="33" t="n">
        <x:v>1</x:v>
      </x:c>
      <x:c r="C12" s="33" t="n">
        <x:v>1</x:v>
      </x:c>
      <x:c r="D12" s="31" t="n">
        <x:v>15.423092474</x:v>
      </x:c>
      <x:c r="E12" s="31" t="n">
        <x:v>15.423092474</x:v>
      </x:c>
      <x:c r="F12" s="32" t="n">
        <x:v>0</x:v>
      </x:c>
      <x:c r="G12" s="34" t="n">
        <x:v>1</x:v>
      </x:c>
      <x:c r="H12" s="32" t="n">
        <x:f>IF(E12=0,"",I12/E12)</x:f>
        <x:v>371.5352290971724</x:v>
      </x:c>
      <x:c r="I12" s="31" t="n">
        <x:f>IF(C12=0,"",SUMIF('Species'!$G$2:$G$24,A12,'Species'!$U$2:$U$24))</x:f>
        <x:v>5730.222195714466</x:v>
      </x:c>
      <x:c r="J12" s="32" t="n">
        <x:v>3.57</x:v>
      </x:c>
      <x:c r="K12" s="32" t="n">
        <x:f>IF(J12="","",(1/'Metadata'!$B$5)^(J12-1))</x:f>
        <x:v>371.5352290971724</x:v>
      </x:c>
      <x:c r="L12" s="31" t="n">
        <x:f>IF(E12=0,"",E12*K12)</x:f>
        <x:v>5730.222195714466</x:v>
      </x:c>
      <x:c r="M12" s="31" t="n">
        <x:f>IF(E12=0,"",I12-L12)</x:f>
        <x:v>0</x:v>
      </x:c>
      <x:c r="N12" s="32" t="n">
        <x:f>IF(L12=0,"",I12/L12)</x:f>
        <x:v>1</x:v>
      </x:c>
      <x:c r="O12" s="34" t="n">
        <x:f>IF(L12=0,"",M12/L12)</x:f>
        <x:v>0</x:v>
      </x:c>
    </x:row>
  </x:sheetData>
  <x:conditionalFormatting sqref="G2:G12">
    <x:cfRule type="cellIs" dxfId="2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828d4472a6d442b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EEZ_935</x:v>
      </x:c>
      <x:c r="B2" s="24" t="str">
        <x:v>raw_filtered_tonnes</x:v>
      </x:c>
      <x:c r="C2" s="24" t="n">
        <x:v>4694.347823298999</x:v>
      </x:c>
      <x:c r="D2" s="24" t="str">
        <x:v>tonnes</x:v>
      </x:c>
    </x:row>
    <x:row r="3" ht="18" customHeight="1">
      <x:c r="A3" s="24" t="str">
        <x:v>EEZ_935</x:v>
      </x:c>
      <x:c r="B3" s="24" t="str">
        <x:v>species_catch_tonnes</x:v>
      </x:c>
      <x:c r="C3" s="24" t="n">
        <x:v>4694.347823299001</x:v>
      </x:c>
      <x:c r="D3" s="24" t="str">
        <x:v>tonnes</x:v>
      </x:c>
    </x:row>
    <x:row r="4" ht="18" customHeight="1">
      <x:c r="A4" s="24" t="str">
        <x:v>EEZ_935</x:v>
      </x:c>
      <x:c r="B4" s="24" t="str">
        <x:v>catch_difference_tonnes</x:v>
      </x:c>
      <x:c r="C4" s="24" t="n">
        <x:v>1.8189894035458565e-12</x:v>
      </x:c>
      <x:c r="D4" s="24" t="str">
        <x:v>tonnes</x:v>
      </x:c>
    </x:row>
    <x:row r="5" ht="18" customHeight="1">
      <x:c r="A5" s="24" t="str">
        <x:v>EEZ_935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EEZ_935</x:v>
      </x:c>
      <x:c r="B6" s="24" t="str">
        <x:v>matched_catch_tonnes</x:v>
      </x:c>
      <x:c r="C6" s="24" t="n">
        <x:v>4694.347823299001</x:v>
      </x:c>
      <x:c r="D6" s="24" t="str">
        <x:v>tonnes</x:v>
      </x:c>
    </x:row>
    <x:row r="7" ht="18" customHeight="1">
      <x:c r="A7" s="24" t="str">
        <x:v>EEZ_935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EEZ_935</x:v>
      </x:c>
      <x:c r="B8" s="24" t="str">
        <x:v>taxa_count</x:v>
      </x:c>
      <x:c r="C8" s="24" t="n">
        <x:v>23</x:v>
      </x:c>
      <x:c r="D8" s="24" t="str">
        <x:v>count</x:v>
      </x:c>
    </x:row>
    <x:row r="9" ht="18" customHeight="1">
      <x:c r="A9" s="24" t="str">
        <x:v>EEZ_935</x:v>
      </x:c>
      <x:c r="B9" s="24" t="str">
        <x:v>matched_taxa_count</x:v>
      </x:c>
      <x:c r="C9" s="24" t="n">
        <x:v>23</x:v>
      </x:c>
      <x:c r="D9" s="24" t="str">
        <x:v>count</x:v>
      </x:c>
    </x:row>
    <x:row r="10" ht="18" customHeight="1">
      <x:c r="A10" s="24" t="str">
        <x:v>EEZ_935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EEZ_935</x:v>
      </x:c>
      <x:c r="B11" s="24" t="str">
        <x:v>species_ppr</x:v>
      </x:c>
      <x:c r="C11" s="24" t="n">
        <x:v>1114718.28132553</x:v>
      </x:c>
      <x:c r="D11" s="24" t="str">
        <x:v>tonnes_primary_production_equivalent</x:v>
      </x:c>
    </x:row>
    <x:row r="12" ht="18" customHeight="1">
      <x:c r="A12" s="24" t="str">
        <x:v>EEZ_935</x:v>
      </x:c>
      <x:c r="B12" s="24" t="str">
        <x:v>commercial_ppr</x:v>
      </x:c>
      <x:c r="C12" s="24" t="n">
        <x:v>1114718.28132553</x:v>
      </x:c>
      <x:c r="D12" s="24" t="str">
        <x:v>tonnes_primary_production_equivalent</x:v>
      </x:c>
    </x:row>
    <x:row r="13" ht="18" customHeight="1">
      <x:c r="A13" s="24" t="str">
        <x:v>EEZ_935</x:v>
      </x:c>
      <x:c r="B13" s="24" t="str">
        <x:v>functional_ppr</x:v>
      </x:c>
      <x:c r="C13" s="24" t="n">
        <x:v>1114718.28132553</x:v>
      </x:c>
      <x:c r="D13" s="24" t="str">
        <x:v>tonnes_primary_production_equivalent</x:v>
      </x:c>
    </x:row>
    <x:row r="14" ht="18" customHeight="1">
      <x:c r="A14" s="24" t="str">
        <x:v>EEZ_935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EEZ_935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EEZ_935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EEZ_935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EEZ_935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EEZ_935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2b9f059034c6472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EEZ_935 - Guatemala (Caribbean)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EEZ_935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raw_data/SAU_downloads/EEZ_935-catch.zip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