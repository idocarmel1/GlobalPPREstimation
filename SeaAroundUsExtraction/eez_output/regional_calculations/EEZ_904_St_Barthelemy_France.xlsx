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a46ac3796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c49bbb6d909426d"/>
    <x:sheet xmlns:r="http://schemas.openxmlformats.org/officeDocument/2006/relationships" name="Commercial" sheetId="2" r:id="R48f43516076044d8"/>
    <x:sheet xmlns:r="http://schemas.openxmlformats.org/officeDocument/2006/relationships" name="Functional" sheetId="3" r:id="Rcfa4989d35644d08"/>
    <x:sheet xmlns:r="http://schemas.openxmlformats.org/officeDocument/2006/relationships" name="Missing TL" sheetId="4" r:id="R68835fb90885474e"/>
    <x:sheet xmlns:r="http://schemas.openxmlformats.org/officeDocument/2006/relationships" name="Validation" sheetId="5" r:id="R4164c437b2934451"/>
    <x:sheet xmlns:r="http://schemas.openxmlformats.org/officeDocument/2006/relationships" name="Metadata" sheetId="6" r:id="Rb4c6b0909546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fadf7acda4c7f" /><Relationship Type="http://schemas.openxmlformats.org/officeDocument/2006/relationships/theme" Target="/xl/theme/theme1.xml" Id="Raf1d718a06b34ff1" /><Relationship Type="http://schemas.microsoft.com/office/2022/11/relationships/FeaturePropertyBag" Target="/xl/featurePropertyBag/featurePropertyBag.xml" Id="Reb9266493048431a" /><Relationship Type="http://schemas.openxmlformats.org/officeDocument/2006/relationships/sharedStrings" Target="/xl/sharedStrings.xml" Id="R69fedadf42af47a7" /><Relationship Type="http://schemas.openxmlformats.org/officeDocument/2006/relationships/worksheet" Target="/xl/worksheets/sheet1.xml" Id="R0c49bbb6d909426d" /><Relationship Type="http://schemas.openxmlformats.org/officeDocument/2006/relationships/worksheet" Target="/xl/worksheets/sheet2.xml" Id="R48f43516076044d8" /><Relationship Type="http://schemas.openxmlformats.org/officeDocument/2006/relationships/worksheet" Target="/xl/worksheets/sheet3.xml" Id="Rcfa4989d35644d08" /><Relationship Type="http://schemas.openxmlformats.org/officeDocument/2006/relationships/worksheet" Target="/xl/worksheets/sheet4.xml" Id="R68835fb90885474e" /><Relationship Type="http://schemas.openxmlformats.org/officeDocument/2006/relationships/worksheet" Target="/xl/worksheets/sheet5.xml" Id="R4164c437b2934451" /><Relationship Type="http://schemas.openxmlformats.org/officeDocument/2006/relationships/worksheet" Target="/xl/worksheets/sheet6.xml" Id="Rb4c6b09095464f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4SpeciesTable" displayName="EEZ904SpeciesTable" ref="A1:U30" headerRowCount="1" totalsRowCount="0" totalsRowShown="0">
  <x:autoFilter ref="A1:U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4CommercialTable" displayName="EEZ904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4FunctionalTable" displayName="EEZ904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4ValidationTable" displayName="EEZ90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03cad3647d4e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f5e1f0ac6841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35abaf11ca45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ac490e3a6a41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EEZ_904</x:v>
      </x:c>
      <x:c r="B2" s="24" t="str">
        <x:v>St Barthelemy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90.544872825</x:v>
      </x:c>
      <x:c r="J2" s="31" t="n">
        <x:v>87.996796025</x:v>
      </x:c>
      <x:c r="K2" s="31" t="n">
        <x:v>2.5480768</x:v>
      </x:c>
      <x:c r="L2" s="31" t="n">
        <x:v>18.525641025</x:v>
      </x:c>
      <x:c r="M2" s="31" t="n">
        <x:v>72.0192318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17252.969838101533</x:v>
      </x:c>
    </x:row>
    <x:row r="3" ht="18" customHeight="1">
      <x:c r="A3" s="24" t="str">
        <x:v>EEZ_904</x:v>
      </x:c>
      <x:c r="B3" s="24" t="str">
        <x:v>St Barthelemy (France)</x:v>
      </x:c>
      <x:c r="C3" s="24" t="str">
        <x:v>EEZ</x:v>
      </x:c>
      <x:c r="D3" s="30" t="n">
        <x:v>2019</x:v>
      </x:c>
      <x:c r="E3" s="24" t="str">
        <x:v>Aliger gigas</x:v>
      </x:c>
      <x:c r="F3" s="24" t="str">
        <x:v>Pink conch</x:v>
      </x:c>
      <x:c r="G3" s="24" t="str">
        <x:v>Other demersal invertebrates</x:v>
      </x:c>
      <x:c r="H3" s="24" t="str">
        <x:v>Molluscs</x:v>
      </x:c>
      <x:c r="I3" s="31" t="n">
        <x:v>39.583333333</x:v>
      </x:c>
      <x:c r="J3" s="31" t="n">
        <x:v>39.583333333</x:v>
      </x:c>
      <x:c r="K3" s="31" t="n">
        <x:v>0</x:v>
      </x:c>
      <x:c r="L3" s="31" t="n">
        <x:v>8.333333333</x:v>
      </x:c>
      <x:c r="M3" s="31" t="n">
        <x:v>31.25</x:v>
      </x:c>
      <x:c r="N3" s="24" t="str">
        <x:v>aliger gigas</x:v>
      </x:c>
      <x:c r="O3" s="32" t="n">
        <x:v>2.19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Aliger gigas</x:v>
      </x:c>
      <x:c r="T3" s="32" t="n">
        <x:f>IF(O3="","",(1/'Metadata'!$B$5)^(O3-1))</x:f>
        <x:v>15.488166189124811</x:v>
      </x:c>
      <x:c r="U3" s="31" t="n">
        <x:f>IF(T3="","",I3*T3)</x:f>
        <x:v>613.0732449810278</x:v>
      </x:c>
    </x:row>
    <x:row r="4" ht="18" customHeight="1">
      <x:c r="A4" s="24" t="str">
        <x:v>EEZ_904</x:v>
      </x:c>
      <x:c r="B4" s="24" t="str">
        <x:v>St Barthelemy (France)</x:v>
      </x:c>
      <x:c r="C4" s="24" t="str">
        <x:v>EEZ</x:v>
      </x:c>
      <x:c r="D4" s="30" t="n">
        <x:v>2019</x:v>
      </x:c>
      <x:c r="E4" s="24" t="str">
        <x:v>Haemulidae</x:v>
      </x:c>
      <x:c r="F4" s="24" t="str">
        <x:v>Grunts, sweetlips, bonnetmouths</x:v>
      </x:c>
      <x:c r="G4" s="24" t="str">
        <x:v>Medium demersals (30 - 89 cm)</x:v>
      </x:c>
      <x:c r="H4" s="24" t="str">
        <x:v>Perch-likes</x:v>
      </x:c>
      <x:c r="I4" s="31" t="n">
        <x:v>30.677662035</x:v>
      </x:c>
      <x:c r="J4" s="31" t="n">
        <x:v>29.143779135000003</x:v>
      </x:c>
      <x:c r="K4" s="31" t="n">
        <x:v>1.5338829</x:v>
      </x:c>
      <x:c r="L4" s="31" t="n">
        <x:v>6.135531135</x:v>
      </x:c>
      <x:c r="M4" s="31" t="n">
        <x:v>24.5421309</x:v>
      </x:c>
      <x:c r="N4" s="24" t="str">
        <x:v>haemulidae</x:v>
      </x:c>
      <x:c r="O4" s="32" t="n">
        <x:v>3.36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Haemulidae</x:v>
      </x:c>
      <x:c r="T4" s="32" t="n">
        <x:f>IF(O4="","",(1/'Metadata'!$B$5)^(O4-1))</x:f>
        <x:v>229.08676527677724</x:v>
      </x:c>
      <x:c r="U4" s="31" t="n">
        <x:f>IF(T4="","",I4*T4)</x:f>
        <x:v>7027.846361852346</x:v>
      </x:c>
    </x:row>
    <x:row r="5" ht="18" customHeight="1">
      <x:c r="A5" s="24" t="str">
        <x:v>EEZ_904</x:v>
      </x:c>
      <x:c r="B5" s="24" t="str">
        <x:v>St Barthelemy (France)</x:v>
      </x:c>
      <x:c r="C5" s="24" t="str">
        <x:v>EEZ</x:v>
      </x:c>
      <x:c r="D5" s="30" t="n">
        <x:v>2019</x:v>
      </x:c>
      <x:c r="E5" s="24" t="str">
        <x:v>Epinephelus guttatus</x:v>
      </x:c>
      <x:c r="F5" s="24" t="str">
        <x:v>Red hind</x:v>
      </x:c>
      <x:c r="G5" s="24" t="str">
        <x:v>Medium reef assoc. fish (30 - 89 cm)</x:v>
      </x:c>
      <x:c r="H5" s="24" t="str">
        <x:v>Perch-likes</x:v>
      </x:c>
      <x:c r="I5" s="31" t="n">
        <x:v>30.357137772</x:v>
      </x:c>
      <x:c r="J5" s="31" t="n">
        <x:v>28.839280572</x:v>
      </x:c>
      <x:c r="K5" s="31" t="n">
        <x:v>1.5178572</x:v>
      </x:c>
      <x:c r="L5" s="31" t="n">
        <x:v>6.071428572</x:v>
      </x:c>
      <x:c r="M5" s="31" t="n">
        <x:v>24.2857092</x:v>
      </x:c>
      <x:c r="N5" s="24" t="str">
        <x:v>epinephelus guttatus</x:v>
      </x:c>
      <x:c r="O5" s="32" t="n">
        <x:v>3.84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Epinephelus guttatus</x:v>
      </x:c>
      <x:c r="T5" s="32" t="n">
        <x:f>IF(O5="","",(1/'Metadata'!$B$5)^(O5-1))</x:f>
        <x:v>691.8309709189363</x:v>
      </x:c>
      <x:c r="U5" s="31" t="n">
        <x:f>IF(T5="","",I5*T5)</x:f>
        <x:v>21002.008099122675</x:v>
      </x:c>
    </x:row>
    <x:row r="6" ht="18" customHeight="1">
      <x:c r="A6" s="24" t="str">
        <x:v>EEZ_904</x:v>
      </x:c>
      <x:c r="B6" s="24" t="str">
        <x:v>St Barthelemy (France)</x:v>
      </x:c>
      <x:c r="C6" s="24" t="str">
        <x:v>EEZ</x:v>
      </x:c>
      <x:c r="D6" s="30" t="n">
        <x:v>2019</x:v>
      </x:c>
      <x:c r="E6" s="24" t="str">
        <x:v>Lutjanus vivanus</x:v>
      </x:c>
      <x:c r="F6" s="24" t="str">
        <x:v>Silk snapper</x:v>
      </x:c>
      <x:c r="G6" s="24" t="str">
        <x:v>Medium demersals (30 - 89 cm)</x:v>
      </x:c>
      <x:c r="H6" s="24" t="str">
        <x:v>Perch-likes</x:v>
      </x:c>
      <x:c r="I6" s="31" t="n">
        <x:v>25.320512564</x:v>
      </x:c>
      <x:c r="J6" s="31" t="n">
        <x:v>24.054486564</x:v>
      </x:c>
      <x:c r="K6" s="31" t="n">
        <x:v>1.266026</x:v>
      </x:c>
      <x:c r="L6" s="31" t="n">
        <x:v>5.064102564</x:v>
      </x:c>
      <x:c r="M6" s="31" t="n">
        <x:v>20.256410000000002</x:v>
      </x:c>
      <x:c r="N6" s="24" t="str">
        <x:v>lutjanus vivanus</x:v>
      </x:c>
      <x:c r="O6" s="32" t="n">
        <x:v>3.09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Lutjanus vivanus</x:v>
      </x:c>
      <x:c r="T6" s="32" t="n">
        <x:f>IF(O6="","",(1/'Metadata'!$B$5)^(O6-1))</x:f>
        <x:v>123.02687708123811</x:v>
      </x:c>
      <x:c r="U6" s="31" t="n">
        <x:f>IF(T6="","",I6*T6)</x:f>
        <x:v>3115.1035868451736</x:v>
      </x:c>
    </x:row>
    <x:row r="7" ht="18" customHeight="1">
      <x:c r="A7" s="24" t="str">
        <x:v>EEZ_904</x:v>
      </x:c>
      <x:c r="B7" s="24" t="str">
        <x:v>St Barthelemy (France)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18.861029626</x:v>
      </x:c>
      <x:c r="J7" s="31" t="n">
        <x:v>18.220004026</x:v>
      </x:c>
      <x:c r="K7" s="31" t="n">
        <x:v>0.6410256</x:v>
      </x:c>
      <x:c r="L7" s="31" t="n">
        <x:v>2.564102564</x:v>
      </x:c>
      <x:c r="M7" s="31" t="n">
        <x:v>16.296927062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21162.423307508052</x:v>
      </x:c>
    </x:row>
    <x:row r="8" ht="18" customHeight="1">
      <x:c r="A8" s="24" t="str">
        <x:v>EEZ_904</x:v>
      </x:c>
      <x:c r="B8" s="24" t="str">
        <x:v>St Barthelemy (France)</x:v>
      </x:c>
      <x:c r="C8" s="24" t="str">
        <x:v>EEZ</x:v>
      </x:c>
      <x:c r="D8" s="30" t="n">
        <x:v>2019</x:v>
      </x:c>
      <x:c r="E8" s="24" t="str">
        <x:v>Holocentrus adscensionis</x:v>
      </x:c>
      <x:c r="F8" s="24" t="str">
        <x:v>Squirrelfish</x:v>
      </x:c>
      <x:c r="G8" s="24" t="str">
        <x:v>Medium reef assoc. fish (30 - 89 cm)</x:v>
      </x:c>
      <x:c r="H8" s="24" t="str">
        <x:v>Other fishes &amp; inverts</x:v>
      </x:c>
      <x:c r="I8" s="31" t="n">
        <x:v>17.857142672000002</x:v>
      </x:c>
      <x:c r="J8" s="31" t="n">
        <x:v>16.964285572</x:v>
      </x:c>
      <x:c r="K8" s="31" t="n">
        <x:v>0.8928571</x:v>
      </x:c>
      <x:c r="L8" s="31" t="n">
        <x:v>3.5714285720000003</x:v>
      </x:c>
      <x:c r="M8" s="31" t="n">
        <x:v>14.2857141</x:v>
      </x:c>
      <x:c r="N8" s="24" t="str">
        <x:v>holocentrus adscensionis</x:v>
      </x:c>
      <x:c r="O8" s="32" t="n">
        <x:v>3.11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Holocentrus adscensionis</x:v>
      </x:c>
      <x:c r="T8" s="32" t="n">
        <x:f>IF(O8="","",(1/'Metadata'!$B$5)^(O8-1))</x:f>
        <x:v>128.82495516931337</x:v>
      </x:c>
      <x:c r="U8" s="31" t="n">
        <x:f>IF(T8="","",I8*T8)</x:f>
        <x:v>2300.445604172433</x:v>
      </x:c>
    </x:row>
    <x:row r="9" ht="18" customHeight="1">
      <x:c r="A9" s="24" t="str">
        <x:v>EEZ_904</x:v>
      </x:c>
      <x:c r="B9" s="24" t="str">
        <x:v>St Barthelemy (France)</x:v>
      </x:c>
      <x:c r="C9" s="24" t="str">
        <x:v>EEZ</x:v>
      </x:c>
      <x:c r="D9" s="30" t="n">
        <x:v>2019</x:v>
      </x:c>
      <x:c r="E9" s="24" t="str">
        <x:v>Lutjanus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17.857142672000002</x:v>
      </x:c>
      <x:c r="J9" s="31" t="n">
        <x:v>16.964285572</x:v>
      </x:c>
      <x:c r="K9" s="31" t="n">
        <x:v>0.8928571</x:v>
      </x:c>
      <x:c r="L9" s="31" t="n">
        <x:v>3.5714285720000003</x:v>
      </x:c>
      <x:c r="M9" s="31" t="n">
        <x:v>14.2857141</x:v>
      </x:c>
      <x:c r="N9" s="24" t="str">
        <x:v>lutjanus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Lutjanus</x:v>
      </x:c>
      <x:c r="T9" s="32" t="n">
        <x:f>IF(O9="","",(1/'Metadata'!$B$5)^(O9-1))</x:f>
        <x:v>1047.1285480508984</x:v>
      </x:c>
      <x:c r="U9" s="31" t="n">
        <x:f>IF(T9="","",I9*T9)</x:f>
        <x:v>18698.723878469104</x:v>
      </x:c>
    </x:row>
    <x:row r="10" ht="18" customHeight="1">
      <x:c r="A10" s="24" t="str">
        <x:v>EEZ_904</x:v>
      </x:c>
      <x:c r="B10" s="24" t="str">
        <x:v>St Barthelemy (France)</x:v>
      </x:c>
      <x:c r="C10" s="24" t="str">
        <x:v>EEZ</x:v>
      </x:c>
      <x:c r="D10" s="30" t="n">
        <x:v>2019</x:v>
      </x:c>
      <x:c r="E10" s="24" t="str">
        <x:v>Panulirus argus</x:v>
      </x:c>
      <x:c r="F10" s="24" t="str">
        <x:v>Caribbean spiny lobster</x:v>
      </x:c>
      <x:c r="G10" s="24" t="str">
        <x:v>Lobsters, crabs</x:v>
      </x:c>
      <x:c r="H10" s="24" t="str">
        <x:v>Crustaceans</x:v>
      </x:c>
      <x:c r="I10" s="31" t="n">
        <x:v>17.857142672000002</x:v>
      </x:c>
      <x:c r="J10" s="31" t="n">
        <x:v>16.964285572</x:v>
      </x:c>
      <x:c r="K10" s="31" t="n">
        <x:v>0.8928571000000001</x:v>
      </x:c>
      <x:c r="L10" s="31" t="n">
        <x:v>3.571428572</x:v>
      </x:c>
      <x:c r="M10" s="31" t="n">
        <x:v>14.2857141</x:v>
      </x:c>
      <x:c r="N10" s="24" t="str">
        <x:v>panulirus argus</x:v>
      </x:c>
      <x:c r="O10" s="32" t="n">
        <x:v>3.2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Panulirus argus</x:v>
      </x:c>
      <x:c r="T10" s="32" t="n">
        <x:f>IF(O10="","",(1/'Metadata'!$B$5)^(O10-1))</x:f>
        <x:v>158.48931924611142</x:v>
      </x:c>
      <x:c r="U10" s="31" t="n">
        <x:f>IF(T10="","",I10*T10)</x:f>
        <x:v>2830.1663857659673</x:v>
      </x:c>
    </x:row>
    <x:row r="11" ht="18" customHeight="1">
      <x:c r="A11" s="24" t="str">
        <x:v>EEZ_904</x:v>
      </x:c>
      <x:c r="B11" s="24" t="str">
        <x:v>St Barthelemy (France)</x:v>
      </x:c>
      <x:c r="C11" s="24" t="str">
        <x:v>EEZ</x:v>
      </x:c>
      <x:c r="D11" s="30" t="n">
        <x:v>2019</x:v>
      </x:c>
      <x:c r="E11" s="24" t="str">
        <x:v>Epinephelus striatus</x:v>
      </x:c>
      <x:c r="F11" s="24" t="str">
        <x:v>Nassau grouper</x:v>
      </x:c>
      <x:c r="G11" s="24" t="str">
        <x:v>Large reef assoc. fish (&gt;=90 cm)</x:v>
      </x:c>
      <x:c r="H11" s="24" t="str">
        <x:v>Perch-likes</x:v>
      </x:c>
      <x:c r="I11" s="31" t="n">
        <x:v>17.857141772</x:v>
      </x:c>
      <x:c r="J11" s="31" t="n">
        <x:v>16.964284572</x:v>
      </x:c>
      <x:c r="K11" s="31" t="n">
        <x:v>0.8928572</x:v>
      </x:c>
      <x:c r="L11" s="31" t="n">
        <x:v>3.571428572</x:v>
      </x:c>
      <x:c r="M11" s="31" t="n">
        <x:v>14.2857132</x:v>
      </x:c>
      <x:c r="N11" s="24" t="str">
        <x:v>epinephelus striatus</x:v>
      </x:c>
      <x:c r="O11" s="32" t="n">
        <x:v>4.06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Epinephelus striatus</x:v>
      </x:c>
      <x:c r="T11" s="32" t="n">
        <x:f>IF(O11="","",(1/'Metadata'!$B$5)^(O11-1))</x:f>
        <x:v>1148.1536214968817</x:v>
      </x:c>
      <x:c r="U11" s="31" t="n">
        <x:f>IF(T11="","",I11*T11)</x:f>
        <x:v>20502.74199510504</x:v>
      </x:c>
    </x:row>
    <x:row r="12" ht="18" customHeight="1">
      <x:c r="A12" s="24" t="str">
        <x:v>EEZ_904</x:v>
      </x:c>
      <x:c r="B12" s="24" t="str">
        <x:v>St Barthelemy (France)</x:v>
      </x:c>
      <x:c r="C12" s="24" t="str">
        <x:v>EEZ</x:v>
      </x:c>
      <x:c r="D12" s="30" t="n">
        <x:v>2019</x:v>
      </x:c>
      <x:c r="E12" s="24" t="str">
        <x:v>Epinephelus adscensionis</x:v>
      </x:c>
      <x:c r="F12" s="24" t="str">
        <x:v>Rock hind</x:v>
      </x:c>
      <x:c r="G12" s="24" t="str">
        <x:v>Medium reef assoc. fish (30 - 89 cm)</x:v>
      </x:c>
      <x:c r="H12" s="24" t="str">
        <x:v>Perch-likes</x:v>
      </x:c>
      <x:c r="I12" s="31" t="n">
        <x:v>17.857141772</x:v>
      </x:c>
      <x:c r="J12" s="31" t="n">
        <x:v>16.964284572</x:v>
      </x:c>
      <x:c r="K12" s="31" t="n">
        <x:v>0.8928572</x:v>
      </x:c>
      <x:c r="L12" s="31" t="n">
        <x:v>3.571428572</x:v>
      </x:c>
      <x:c r="M12" s="31" t="n">
        <x:v>14.2857132</x:v>
      </x:c>
      <x:c r="N12" s="24" t="str">
        <x:v>epinephelus adscensionis</x:v>
      </x:c>
      <x:c r="O12" s="32" t="n">
        <x:v>3.53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Epinephelus adscensionis</x:v>
      </x:c>
      <x:c r="T12" s="32" t="n">
        <x:f>IF(O12="","",(1/'Metadata'!$B$5)^(O12-1))</x:f>
        <x:v>338.84415613920237</x:v>
      </x:c>
      <x:c r="U12" s="31" t="n">
        <x:f>IF(T12="","",I12*T12)</x:f>
        <x:v>6050.78813479144</x:v>
      </x:c>
    </x:row>
    <x:row r="13" ht="18" customHeight="1">
      <x:c r="A13" s="24" t="str">
        <x:v>EEZ_904</x:v>
      </x:c>
      <x:c r="B13" s="24" t="str">
        <x:v>St Barthelemy (France)</x:v>
      </x:c>
      <x:c r="C13" s="24" t="str">
        <x:v>EEZ</x:v>
      </x:c>
      <x:c r="D13" s="30" t="n">
        <x:v>2019</x:v>
      </x:c>
      <x:c r="E13" s="24" t="str">
        <x:v>Selar crumenophthalmus</x:v>
      </x:c>
      <x:c r="F13" s="24" t="str">
        <x:v>Bigeye scad</x:v>
      </x:c>
      <x:c r="G13" s="24" t="str">
        <x:v>Medium pelagics (30 - 89 cm)</x:v>
      </x:c>
      <x:c r="H13" s="24" t="str">
        <x:v>Perch-likes</x:v>
      </x:c>
      <x:c r="I13" s="31" t="n">
        <x:v>12.820513165000001</x:v>
      </x:c>
      <x:c r="J13" s="31" t="n">
        <x:v>12.179487565</x:v>
      </x:c>
      <x:c r="K13" s="31" t="n">
        <x:v>0.6410256</x:v>
      </x:c>
      <x:c r="L13" s="31" t="n">
        <x:v>2.564102565</x:v>
      </x:c>
      <x:c r="M13" s="31" t="n">
        <x:v>10.2564106</x:v>
      </x:c>
      <x:c r="N13" s="24" t="str">
        <x:v>selar crumenophthalmus</x:v>
      </x:c>
      <x:c r="O13" s="32" t="n">
        <x:v>3.81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Selar crumenophthalmus</x:v>
      </x:c>
      <x:c r="T13" s="32" t="n">
        <x:f>IF(O13="","",(1/'Metadata'!$B$5)^(O13-1))</x:f>
        <x:v>645.6542290346556</x:v>
      </x:c>
      <x:c r="U13" s="31" t="n">
        <x:f>IF(T13="","",I13*T13)</x:f>
        <x:v>8277.618543376728</x:v>
      </x:c>
    </x:row>
    <x:row r="14" ht="18" customHeight="1">
      <x:c r="A14" s="24" t="str">
        <x:v>EEZ_904</x:v>
      </x:c>
      <x:c r="B14" s="24" t="str">
        <x:v>St Barthelemy (France)</x:v>
      </x:c>
      <x:c r="C14" s="24" t="str">
        <x:v>EEZ</x:v>
      </x:c>
      <x:c r="D14" s="30" t="n">
        <x:v>2019</x:v>
      </x:c>
      <x:c r="E14" s="24" t="str">
        <x:v>Chloroscombrus chrysurus</x:v>
      </x:c>
      <x:c r="F14" s="24" t="str">
        <x:v>Atlantic bumper</x:v>
      </x:c>
      <x:c r="G14" s="24" t="str">
        <x:v>Medium pelagics (30 - 89 cm)</x:v>
      </x:c>
      <x:c r="H14" s="24" t="str">
        <x:v>Perch-likes</x:v>
      </x:c>
      <x:c r="I14" s="31" t="n">
        <x:v>12.820513165</x:v>
      </x:c>
      <x:c r="J14" s="31" t="n">
        <x:v>12.179487565</x:v>
      </x:c>
      <x:c r="K14" s="31" t="n">
        <x:v>0.6410256</x:v>
      </x:c>
      <x:c r="L14" s="31" t="n">
        <x:v>2.564102565</x:v>
      </x:c>
      <x:c r="M14" s="31" t="n">
        <x:v>10.2564106</x:v>
      </x:c>
      <x:c r="N14" s="24" t="str">
        <x:v>chloroscombrus chrysurus</x:v>
      </x:c>
      <x:c r="O14" s="32" t="n">
        <x:v>3.54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Chloroscombrus chrysurus</x:v>
      </x:c>
      <x:c r="T14" s="32" t="n">
        <x:f>IF(O14="","",(1/'Metadata'!$B$5)^(O14-1))</x:f>
        <x:v>346.73685045253166</x:v>
      </x:c>
      <x:c r="U14" s="31" t="n">
        <x:f>IF(T14="","",I14*T14)</x:f>
        <x:v>4445.344356017318</x:v>
      </x:c>
    </x:row>
    <x:row r="15" ht="18" customHeight="1">
      <x:c r="A15" s="24" t="str">
        <x:v>EEZ_904</x:v>
      </x:c>
      <x:c r="B15" s="24" t="str">
        <x:v>St Barthelemy (France)</x:v>
      </x:c>
      <x:c r="C15" s="24" t="str">
        <x:v>EEZ</x:v>
      </x:c>
      <x:c r="D15" s="30" t="n">
        <x:v>2019</x:v>
      </x:c>
      <x:c r="E15" s="24" t="str">
        <x:v>Serranidae</x:v>
      </x:c>
      <x:c r="F15" s="24" t="str">
        <x:v>Basses, groupers, hinds</x:v>
      </x:c>
      <x:c r="G15" s="24" t="str">
        <x:v>Medium reef assoc. fish (30 - 89 cm)</x:v>
      </x:c>
      <x:c r="H15" s="24" t="str">
        <x:v>Perch-likes</x:v>
      </x:c>
      <x:c r="I15" s="31" t="n">
        <x:v>12.820513164000001</x:v>
      </x:c>
      <x:c r="J15" s="31" t="n">
        <x:v>12.179487564</x:v>
      </x:c>
      <x:c r="K15" s="31" t="n">
        <x:v>0.6410256</x:v>
      </x:c>
      <x:c r="L15" s="31" t="n">
        <x:v>2.564102564</x:v>
      </x:c>
      <x:c r="M15" s="31" t="n">
        <x:v>10.2564106</x:v>
      </x:c>
      <x:c r="N15" s="24" t="str">
        <x:v>serranidae</x:v>
      </x:c>
      <x:c r="O15" s="32" t="n">
        <x:v>3.98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Serranidae</x:v>
      </x:c>
      <x:c r="T15" s="32" t="n">
        <x:f>IF(O15="","",(1/'Metadata'!$B$5)^(O15-1))</x:f>
        <x:v>954.992586021436</x:v>
      </x:c>
      <x:c r="U15" s="31" t="n">
        <x:f>IF(T15="","",I15*T15)</x:f>
        <x:v>12243.495020610224</x:v>
      </x:c>
    </x:row>
    <x:row r="16" ht="18" customHeight="1">
      <x:c r="A16" s="24" t="str">
        <x:v>EEZ_904</x:v>
      </x:c>
      <x:c r="B16" s="24" t="str">
        <x:v>St Barthelemy (France)</x:v>
      </x:c>
      <x:c r="C16" s="24" t="str">
        <x:v>EEZ</x:v>
      </x:c>
      <x:c r="D16" s="30" t="n">
        <x:v>2019</x:v>
      </x:c>
      <x:c r="E16" s="24" t="str">
        <x:v>Ocyurus chrysurus</x:v>
      </x:c>
      <x:c r="F16" s="24" t="str">
        <x:v>Yellowtail snapper</x:v>
      </x:c>
      <x:c r="G16" s="24" t="str">
        <x:v>Medium reef assoc. fish (30 - 89 cm)</x:v>
      </x:c>
      <x:c r="H16" s="24" t="str">
        <x:v>Perch-likes</x:v>
      </x:c>
      <x:c r="I16" s="31" t="n">
        <x:v>12.820513164000001</x:v>
      </x:c>
      <x:c r="J16" s="31" t="n">
        <x:v>12.179487564</x:v>
      </x:c>
      <x:c r="K16" s="31" t="n">
        <x:v>0.6410256</x:v>
      </x:c>
      <x:c r="L16" s="31" t="n">
        <x:v>2.5641025639999997</x:v>
      </x:c>
      <x:c r="M16" s="31" t="n">
        <x:v>10.2564106</x:v>
      </x:c>
      <x:c r="N16" s="24" t="str">
        <x:v>ocyurus chrysurus</x:v>
      </x:c>
      <x:c r="O16" s="32" t="n">
        <x:v>4.03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Ocyurus chrysurus</x:v>
      </x:c>
      <x:c r="T16" s="32" t="n">
        <x:f>IF(O16="","",(1/'Metadata'!$B$5)^(O16-1))</x:f>
        <x:v>1071.519305237607</x:v>
      </x:c>
      <x:c r="U16" s="31" t="n">
        <x:f>IF(T16="","",I16*T16)</x:f>
        <x:v>13737.427358278877</x:v>
      </x:c>
    </x:row>
    <x:row r="17" ht="18" customHeight="1">
      <x:c r="A17" s="24" t="str">
        <x:v>EEZ_904</x:v>
      </x:c>
      <x:c r="B17" s="24" t="str">
        <x:v>St Barthelemy (France)</x:v>
      </x:c>
      <x:c r="C17" s="24" t="str">
        <x:v>EEZ</x:v>
      </x:c>
      <x:c r="D17" s="30" t="n">
        <x:v>2019</x:v>
      </x:c>
      <x:c r="E17" s="24" t="str">
        <x:v>Lutjanus campechanus</x:v>
      </x:c>
      <x:c r="F17" s="24" t="str">
        <x:v>Northern red snapper</x:v>
      </x:c>
      <x:c r="G17" s="24" t="str">
        <x:v>Medium reef assoc. fish (30 - 89 cm)</x:v>
      </x:c>
      <x:c r="H17" s="24" t="str">
        <x:v>Perch-likes</x:v>
      </x:c>
      <x:c r="I17" s="31" t="n">
        <x:v>12.820513164000001</x:v>
      </x:c>
      <x:c r="J17" s="31" t="n">
        <x:v>12.179487564</x:v>
      </x:c>
      <x:c r="K17" s="31" t="n">
        <x:v>0.6410256</x:v>
      </x:c>
      <x:c r="L17" s="31" t="n">
        <x:v>2.564102564</x:v>
      </x:c>
      <x:c r="M17" s="31" t="n">
        <x:v>10.2564106</x:v>
      </x:c>
      <x:c r="N17" s="24" t="str">
        <x:v>lutjanus campechanus</x:v>
      </x:c>
      <x:c r="O17" s="32" t="n">
        <x:v>4.01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campechanus</x:v>
      </x:c>
      <x:c r="T17" s="32" t="n">
        <x:f>IF(O17="","",(1/'Metadata'!$B$5)^(O17-1))</x:f>
        <x:v>1023.2929922807537</x:v>
      </x:c>
      <x:c r="U17" s="31" t="n">
        <x:f>IF(T17="","",I17*T17)</x:f>
        <x:v>13119.141278164354</x:v>
      </x:c>
    </x:row>
    <x:row r="18" ht="18" customHeight="1">
      <x:c r="A18" s="24" t="str">
        <x:v>EEZ_904</x:v>
      </x:c>
      <x:c r="B18" s="24" t="str">
        <x:v>St Barthelemy (France)</x:v>
      </x:c>
      <x:c r="C18" s="24" t="str">
        <x:v>EEZ</x:v>
      </x:c>
      <x:c r="D18" s="30" t="n">
        <x:v>2019</x:v>
      </x:c>
      <x:c r="E18" s="24" t="str">
        <x:v>Rhomboplites aurorubens</x:v>
      </x:c>
      <x:c r="F18" s="24" t="str">
        <x:v>Vermilion snapper</x:v>
      </x:c>
      <x:c r="G18" s="24" t="str">
        <x:v>Medium demersals (30 - 89 cm)</x:v>
      </x:c>
      <x:c r="H18" s="24" t="str">
        <x:v>Perch-likes</x:v>
      </x:c>
      <x:c r="I18" s="31" t="n">
        <x:v>12.820513164000001</x:v>
      </x:c>
      <x:c r="J18" s="31" t="n">
        <x:v>12.179487564</x:v>
      </x:c>
      <x:c r="K18" s="31" t="n">
        <x:v>0.6410256</x:v>
      </x:c>
      <x:c r="L18" s="31" t="n">
        <x:v>2.564102564</x:v>
      </x:c>
      <x:c r="M18" s="31" t="n">
        <x:v>10.2564106</x:v>
      </x:c>
      <x:c r="N18" s="24" t="str">
        <x:v>rhomboplites aurorubens</x:v>
      </x:c>
      <x:c r="O18" s="32" t="n">
        <x:v>4.36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Rhomboplites aurorubens</x:v>
      </x:c>
      <x:c r="T18" s="32" t="n">
        <x:f>IF(O18="","",(1/'Metadata'!$B$5)^(O18-1))</x:f>
        <x:v>2290.867652767775</x:v>
      </x:c>
      <x:c r="U18" s="31" t="n">
        <x:f>IF(T18="","",I18*T18)</x:f>
        <x:v>29370.098899291042</x:v>
      </x:c>
    </x:row>
    <x:row r="19" ht="18" customHeight="1">
      <x:c r="A19" s="24" t="str">
        <x:v>EEZ_904</x:v>
      </x:c>
      <x:c r="B19" s="24" t="str">
        <x:v>St Barthelemy (France)</x:v>
      </x:c>
      <x:c r="C19" s="24" t="str">
        <x:v>EEZ</x:v>
      </x:c>
      <x:c r="D19" s="30" t="n">
        <x:v>2019</x:v>
      </x:c>
      <x:c r="E19" s="24" t="str">
        <x:v>Balistidae</x:v>
      </x:c>
      <x:c r="F19" s="24" t="str">
        <x:v>Triggerfishes</x:v>
      </x:c>
      <x:c r="G19" s="24" t="str">
        <x:v>Medium reef assoc. fish (30 - 89 cm)</x:v>
      </x:c>
      <x:c r="H19" s="24" t="str">
        <x:v>Other fishes &amp; inverts</x:v>
      </x:c>
      <x:c r="I19" s="31" t="n">
        <x:v>12.820513164000001</x:v>
      </x:c>
      <x:c r="J19" s="31" t="n">
        <x:v>12.179487564</x:v>
      </x:c>
      <x:c r="K19" s="31" t="n">
        <x:v>0.6410256</x:v>
      </x:c>
      <x:c r="L19" s="31" t="n">
        <x:v>2.564102564</x:v>
      </x:c>
      <x:c r="M19" s="31" t="n">
        <x:v>10.2564106</x:v>
      </x:c>
      <x:c r="N19" s="24" t="str">
        <x:v>balistidae</x:v>
      </x:c>
      <x:c r="O19" s="32" t="n">
        <x:v>3.25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Balistidae</x:v>
      </x:c>
      <x:c r="T19" s="32" t="n">
        <x:f>IF(O19="","",(1/'Metadata'!$B$5)^(O19-1))</x:f>
        <x:v>177.82794100389228</x:v>
      </x:c>
      <x:c r="U19" s="31" t="n">
        <x:f>IF(T19="","",I19*T19)</x:f>
        <x:v>2279.8454585674167</x:v>
      </x:c>
    </x:row>
    <x:row r="20" ht="18" customHeight="1">
      <x:c r="A20" s="24" t="str">
        <x:v>EEZ_904</x:v>
      </x:c>
      <x:c r="B20" s="24" t="str">
        <x:v>St Barthelemy (France)</x:v>
      </x:c>
      <x:c r="C20" s="24" t="str">
        <x:v>EEZ</x:v>
      </x:c>
      <x:c r="D20" s="30" t="n">
        <x:v>2019</x:v>
      </x:c>
      <x:c r="E20" s="24" t="str">
        <x:v>Acanthocybium solandri</x:v>
      </x:c>
      <x:c r="F20" s="24" t="str">
        <x:v>Wahoo</x:v>
      </x:c>
      <x:c r="G20" s="24" t="str">
        <x:v>Large pelagics (&gt;=90 cm)</x:v>
      </x:c>
      <x:c r="H20" s="24" t="str">
        <x:v>Perch-likes</x:v>
      </x:c>
      <x:c r="I20" s="31" t="n">
        <x:v>12.5</x:v>
      </x:c>
      <x:c r="J20" s="31" t="n">
        <x:v>11.875</x:v>
      </x:c>
      <x:c r="K20" s="31" t="n">
        <x:v>0.625</x:v>
      </x:c>
      <x:c r="L20" s="31" t="n">
        <x:v>2.5</x:v>
      </x:c>
      <x:c r="M20" s="31" t="n">
        <x:v>10</x:v>
      </x:c>
      <x:c r="N20" s="24" t="str">
        <x:v>acanthocybium solandri</x:v>
      </x:c>
      <x:c r="O20" s="32" t="n">
        <x:v>4.26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Acanthocybium solandri</x:v>
      </x:c>
      <x:c r="T20" s="32" t="n">
        <x:f>IF(O20="","",(1/'Metadata'!$B$5)^(O20-1))</x:f>
        <x:v>1819.7008586099826</x:v>
      </x:c>
      <x:c r="U20" s="31" t="n">
        <x:f>IF(T20="","",I20*T20)</x:f>
        <x:v>22746.26073262478</x:v>
      </x:c>
    </x:row>
    <x:row r="21" ht="18" customHeight="1">
      <x:c r="A21" s="24" t="str">
        <x:v>EEZ_904</x:v>
      </x:c>
      <x:c r="B21" s="24" t="str">
        <x:v>St Barthelemy (France)</x:v>
      </x:c>
      <x:c r="C21" s="24" t="str">
        <x:v>EEZ</x:v>
      </x:c>
      <x:c r="D21" s="30" t="n">
        <x:v>2019</x:v>
      </x:c>
      <x:c r="E21" s="24" t="str">
        <x:v>Coryphaena hippurus</x:v>
      </x:c>
      <x:c r="F21" s="24" t="str">
        <x:v>Common dolphinfish</x:v>
      </x:c>
      <x:c r="G21" s="24" t="str">
        <x:v>Large pelagics (&gt;=90 cm)</x:v>
      </x:c>
      <x:c r="H21" s="24" t="str">
        <x:v>Perch-likes</x:v>
      </x:c>
      <x:c r="I21" s="31" t="n">
        <x:v>12.5</x:v>
      </x:c>
      <x:c r="J21" s="31" t="n">
        <x:v>11.875</x:v>
      </x:c>
      <x:c r="K21" s="31" t="n">
        <x:v>0.625</x:v>
      </x:c>
      <x:c r="L21" s="31" t="n">
        <x:v>2.5</x:v>
      </x:c>
      <x:c r="M21" s="31" t="n">
        <x:v>10</x:v>
      </x:c>
      <x:c r="N21" s="24" t="str">
        <x:v>coryphaena hippurus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Coryphaena hippurus</x:v>
      </x:c>
      <x:c r="T21" s="32" t="n">
        <x:f>IF(O21="","",(1/'Metadata'!$B$5)^(O21-1))</x:f>
        <x:v>2344.228815319923</x:v>
      </x:c>
      <x:c r="U21" s="31" t="n">
        <x:f>IF(T21="","",I21*T21)</x:f>
        <x:v>29302.860191499036</x:v>
      </x:c>
    </x:row>
    <x:row r="22" ht="18" customHeight="1">
      <x:c r="A22" s="24" t="str">
        <x:v>EEZ_904</x:v>
      </x:c>
      <x:c r="B22" s="24" t="str">
        <x:v>St Barthelemy (France)</x:v>
      </x:c>
      <x:c r="C22" s="24" t="str">
        <x:v>EEZ</x:v>
      </x:c>
      <x:c r="D22" s="30" t="n">
        <x:v>2019</x:v>
      </x:c>
      <x:c r="E22" s="24" t="str">
        <x:v>Epinephelus morio</x:v>
      </x:c>
      <x:c r="F22" s="24" t="str">
        <x:v>Red grouper</x:v>
      </x:c>
      <x:c r="G22" s="24" t="str">
        <x:v>Large reef assoc. fish (&gt;=90 cm)</x:v>
      </x:c>
      <x:c r="H22" s="24" t="str">
        <x:v>Perch-likes</x:v>
      </x:c>
      <x:c r="I22" s="31" t="n">
        <x:v>12.5</x:v>
      </x:c>
      <x:c r="J22" s="31" t="n">
        <x:v>11.875</x:v>
      </x:c>
      <x:c r="K22" s="31" t="n">
        <x:v>0.625</x:v>
      </x:c>
      <x:c r="L22" s="31" t="n">
        <x:v>2.5</x:v>
      </x:c>
      <x:c r="M22" s="31" t="n">
        <x:v>10</x:v>
      </x:c>
      <x:c r="N22" s="24" t="str">
        <x:v>epinephelus morio</x:v>
      </x:c>
      <x:c r="O22" s="32" t="n">
        <x:v>3.5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Epinephelus morio</x:v>
      </x:c>
      <x:c r="T22" s="32" t="n">
        <x:f>IF(O22="","",(1/'Metadata'!$B$5)^(O22-1))</x:f>
        <x:v>316.22776601683796</x:v>
      </x:c>
      <x:c r="U22" s="31" t="n">
        <x:f>IF(T22="","",I22*T22)</x:f>
        <x:v>3952.8470752104745</x:v>
      </x:c>
    </x:row>
    <x:row r="23" ht="18" customHeight="1">
      <x:c r="A23" s="24" t="str">
        <x:v>EEZ_904</x:v>
      </x:c>
      <x:c r="B23" s="24" t="str">
        <x:v>St Barthelemy (France)</x:v>
      </x:c>
      <x:c r="C23" s="24" t="str">
        <x:v>EEZ</x:v>
      </x:c>
      <x:c r="D23" s="30" t="n">
        <x:v>2019</x:v>
      </x:c>
      <x:c r="E23" s="24" t="str">
        <x:v>Thunnus thynnus</x:v>
      </x:c>
      <x:c r="F23" s="24" t="str">
        <x:v>Atlantic bluefin tuna</x:v>
      </x:c>
      <x:c r="G23" s="24" t="str">
        <x:v>Large pelagics (&gt;=90 cm)</x:v>
      </x:c>
      <x:c r="H23" s="24" t="str">
        <x:v>Tuna &amp; billfishes</x:v>
      </x:c>
      <x:c r="I23" s="31" t="n">
        <x:v>12.5</x:v>
      </x:c>
      <x:c r="J23" s="31" t="n">
        <x:v>11.875</x:v>
      </x:c>
      <x:c r="K23" s="31" t="n">
        <x:v>0.625</x:v>
      </x:c>
      <x:c r="L23" s="31" t="n">
        <x:v>2.5</x:v>
      </x:c>
      <x:c r="M23" s="31" t="n">
        <x:v>10</x:v>
      </x:c>
      <x:c r="N23" s="24" t="str">
        <x:v>thunnus thynnus</x:v>
      </x:c>
      <x:c r="O23" s="32" t="n">
        <x:v>4.45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thynnus</x:v>
      </x:c>
      <x:c r="T23" s="32" t="n">
        <x:f>IF(O23="","",(1/'Metadata'!$B$5)^(O23-1))</x:f>
        <x:v>2818.382931264455</x:v>
      </x:c>
      <x:c r="U23" s="31" t="n">
        <x:f>IF(T23="","",I23*T23)</x:f>
        <x:v>35229.78664080569</x:v>
      </x:c>
    </x:row>
    <x:row r="24" ht="18" customHeight="1">
      <x:c r="A24" s="24" t="str">
        <x:v>EEZ_904</x:v>
      </x:c>
      <x:c r="B24" s="24" t="str">
        <x:v>St Barthelemy (France)</x:v>
      </x:c>
      <x:c r="C24" s="24" t="str">
        <x:v>EEZ</x:v>
      </x:c>
      <x:c r="D24" s="30" t="n">
        <x:v>2019</x:v>
      </x:c>
      <x:c r="E24" s="24" t="str">
        <x:v>Etelis oculatus</x:v>
      </x:c>
      <x:c r="F24" s="24" t="str">
        <x:v>Queen snapper</x:v>
      </x:c>
      <x:c r="G24" s="24" t="str">
        <x:v>Medium bathydemersals (30 - 89 cm)</x:v>
      </x:c>
      <x:c r="H24" s="24" t="str">
        <x:v>Perch-likes</x:v>
      </x:c>
      <x:c r="I24" s="31" t="n">
        <x:v>12.5</x:v>
      </x:c>
      <x:c r="J24" s="31" t="n">
        <x:v>11.875</x:v>
      </x:c>
      <x:c r="K24" s="31" t="n">
        <x:v>0.625</x:v>
      </x:c>
      <x:c r="L24" s="31" t="n">
        <x:v>2.5000000000000004</x:v>
      </x:c>
      <x:c r="M24" s="31" t="n">
        <x:v>10</x:v>
      </x:c>
      <x:c r="N24" s="24" t="str">
        <x:v>etelis oculatus</x:v>
      </x:c>
      <x:c r="O24" s="32" t="n">
        <x:v>4.18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Etelis oculatus</x:v>
      </x:c>
      <x:c r="T24" s="32" t="n">
        <x:f>IF(O24="","",(1/'Metadata'!$B$5)^(O24-1))</x:f>
        <x:v>1513.5612484362073</x:v>
      </x:c>
      <x:c r="U24" s="31" t="n">
        <x:f>IF(T24="","",I24*T24)</x:f>
        <x:v>18919.51560545259</x:v>
      </x:c>
    </x:row>
    <x:row r="25" ht="18" customHeight="1">
      <x:c r="A25" s="24" t="str">
        <x:v>EEZ_904</x:v>
      </x:c>
      <x:c r="B25" s="24" t="str">
        <x:v>St Barthelemy (France)</x:v>
      </x:c>
      <x:c r="C25" s="24" t="str">
        <x:v>EEZ</x:v>
      </x:c>
      <x:c r="D25" s="30" t="n">
        <x:v>2019</x:v>
      </x:c>
      <x:c r="E25" s="24" t="str">
        <x:v>Katsuwonus pelamis</x:v>
      </x:c>
      <x:c r="F25" s="24" t="str">
        <x:v>Skipjack tuna</x:v>
      </x:c>
      <x:c r="G25" s="24" t="str">
        <x:v>Large pelagics (&gt;=90 cm)</x:v>
      </x:c>
      <x:c r="H25" s="24" t="str">
        <x:v>Tuna &amp; billfishes</x:v>
      </x:c>
      <x:c r="I25" s="31" t="n">
        <x:v>12.5</x:v>
      </x:c>
      <x:c r="J25" s="31" t="n">
        <x:v>11.875</x:v>
      </x:c>
      <x:c r="K25" s="31" t="n">
        <x:v>0.625</x:v>
      </x:c>
      <x:c r="L25" s="31" t="n">
        <x:v>2.5</x:v>
      </x:c>
      <x:c r="M25" s="31" t="n">
        <x:v>10</x:v>
      </x:c>
      <x:c r="N25" s="24" t="str">
        <x:v>katsuwonus pelamis</x:v>
      </x:c>
      <x:c r="O25" s="32" t="n">
        <x:v>4.43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Katsuwonus pelamis</x:v>
      </x:c>
      <x:c r="T25" s="32" t="n">
        <x:f>IF(O25="","",(1/'Metadata'!$B$5)^(O25-1))</x:f>
        <x:v>2691.534803926914</x:v>
      </x:c>
      <x:c r="U25" s="31" t="n">
        <x:f>IF(T25="","",I25*T25)</x:f>
        <x:v>33644.18504908642</x:v>
      </x:c>
    </x:row>
    <x:row r="26" ht="18" customHeight="1">
      <x:c r="A26" s="24" t="str">
        <x:v>EEZ_904</x:v>
      </x:c>
      <x:c r="B26" s="24" t="str">
        <x:v>St Barthelemy (France)</x:v>
      </x:c>
      <x:c r="C26" s="24" t="str">
        <x:v>EEZ</x:v>
      </x:c>
      <x:c r="D26" s="30" t="n">
        <x:v>2019</x:v>
      </x:c>
      <x:c r="E26" s="24" t="str">
        <x:v>Pristipomoides macrophthalmus</x:v>
      </x:c>
      <x:c r="F26" s="24" t="str">
        <x:v>Cardinal snapper</x:v>
      </x:c>
      <x:c r="G26" s="24" t="str">
        <x:v>Medium benthopelagics (30 - 89 cm)</x:v>
      </x:c>
      <x:c r="H26" s="24" t="str">
        <x:v>Perch-likes</x:v>
      </x:c>
      <x:c r="I26" s="31" t="n">
        <x:v>12.5</x:v>
      </x:c>
      <x:c r="J26" s="31" t="n">
        <x:v>11.875</x:v>
      </x:c>
      <x:c r="K26" s="31" t="n">
        <x:v>0.625</x:v>
      </x:c>
      <x:c r="L26" s="31" t="n">
        <x:v>2.5000000000000004</x:v>
      </x:c>
      <x:c r="M26" s="31" t="n">
        <x:v>10</x:v>
      </x:c>
      <x:c r="N26" s="24" t="str">
        <x:v>pristipomoides macrophthalmus</x:v>
      </x:c>
      <x:c r="O26" s="32" t="n">
        <x:v>3.87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Pristipomoides macrophthalmus</x:v>
      </x:c>
      <x:c r="T26" s="32" t="n">
        <x:f>IF(O26="","",(1/'Metadata'!$B$5)^(O26-1))</x:f>
        <x:v>741.3102413009177</x:v>
      </x:c>
      <x:c r="U26" s="31" t="n">
        <x:f>IF(T26="","",I26*T26)</x:f>
        <x:v>9266.378016261471</x:v>
      </x:c>
    </x:row>
    <x:row r="27" ht="18" customHeight="1">
      <x:c r="A27" s="24" t="str">
        <x:v>EEZ_904</x:v>
      </x:c>
      <x:c r="B27" s="24" t="str">
        <x:v>St Barthelemy (France)</x:v>
      </x:c>
      <x:c r="C27" s="24" t="str">
        <x:v>EEZ</x:v>
      </x:c>
      <x:c r="D27" s="30" t="n">
        <x:v>2019</x:v>
      </x:c>
      <x:c r="E27" s="24" t="str">
        <x:v>Coryphaena</x:v>
      </x:c>
      <x:c r="F27" s="24" t="str">
        <x:v>Dolphinfishes</x:v>
      </x:c>
      <x:c r="G27" s="24" t="str">
        <x:v>Large pelagics (&gt;=90 cm)</x:v>
      </x:c>
      <x:c r="H27" s="24" t="str">
        <x:v>Perch-likes</x:v>
      </x:c>
      <x:c r="I27" s="31" t="n">
        <x:v>6.040516462</x:v>
      </x:c>
      <x:c r="J27" s="31" t="n">
        <x:v>6.040516462</x:v>
      </x:c>
      <x:c r="K27" s="31" t="n">
        <x:v>0</x:v>
      </x:c>
      <x:c r="L27" s="31" t="n">
        <x:v>0</x:v>
      </x:c>
      <x:c r="M27" s="31" t="n">
        <x:v>6.040516462</x:v>
      </x:c>
      <x:c r="N27" s="24" t="str">
        <x:v>coryphaena</x:v>
      </x:c>
      <x:c r="O27" s="32" t="n">
        <x:v>4.49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Coryphaena</x:v>
      </x:c>
      <x:c r="T27" s="32" t="n">
        <x:f>IF(O27="","",(1/'Metadata'!$B$5)^(O27-1))</x:f>
        <x:v>3090.295432513592</x:v>
      </x:c>
      <x:c r="U27" s="31" t="n">
        <x:f>IF(T27="","",I27*T27)</x:f>
        <x:v>18666.980432541764</x:v>
      </x:c>
    </x:row>
    <x:row r="28" ht="18" customHeight="1">
      <x:c r="A28" s="24" t="str">
        <x:v>EEZ_904</x:v>
      </x:c>
      <x:c r="B28" s="24" t="str">
        <x:v>St Barthelemy (France)</x:v>
      </x:c>
      <x:c r="C28" s="24" t="str">
        <x:v>EEZ</x:v>
      </x:c>
      <x:c r="D28" s="30" t="n">
        <x:v>2019</x:v>
      </x:c>
      <x:c r="E28" s="24" t="str">
        <x:v>Istiophoridae</x:v>
      </x:c>
      <x:c r="F28" s="24" t="str">
        <x:v>Billfishes</x:v>
      </x:c>
      <x:c r="G28" s="24" t="str">
        <x:v>Large pelagics (&gt;=90 cm)</x:v>
      </x:c>
      <x:c r="H28" s="24" t="str">
        <x:v>Tuna &amp; billfishes</x:v>
      </x:c>
      <x:c r="I28" s="31" t="n">
        <x:v>6.040516462</x:v>
      </x:c>
      <x:c r="J28" s="31" t="n">
        <x:v>6.040516462</x:v>
      </x:c>
      <x:c r="K28" s="31" t="n">
        <x:v>0</x:v>
      </x:c>
      <x:c r="L28" s="31" t="n">
        <x:v>0</x:v>
      </x:c>
      <x:c r="M28" s="31" t="n">
        <x:v>6.040516462</x:v>
      </x:c>
      <x:c r="N28" s="24" t="str">
        <x:v>istiophoridae</x:v>
      </x:c>
      <x:c r="O28" s="32" t="n">
        <x:v>4.48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Istiophoridae</x:v>
      </x:c>
      <x:c r="T28" s="32" t="n">
        <x:f>IF(O28="","",(1/'Metadata'!$B$5)^(O28-1))</x:f>
        <x:v>3019.951720402019</x:v>
      </x:c>
      <x:c r="U28" s="31" t="n">
        <x:f>IF(T28="","",I28*T28)</x:f>
        <x:v>18242.068081533616</x:v>
      </x:c>
    </x:row>
    <x:row r="29" ht="18" customHeight="1">
      <x:c r="A29" s="24" t="str">
        <x:v>EEZ_904</x:v>
      </x:c>
      <x:c r="B29" s="24" t="str">
        <x:v>St Barthelemy (France)</x:v>
      </x:c>
      <x:c r="C29" s="24" t="str">
        <x:v>EEZ</x:v>
      </x:c>
      <x:c r="D29" s="30" t="n">
        <x:v>2019</x:v>
      </x:c>
      <x:c r="E29" s="24" t="str">
        <x:v>Mollusca</x:v>
      </x:c>
      <x:c r="F29" s="24" t="str">
        <x:v>Clams, seasnails, squids, octopuses</x:v>
      </x:c>
      <x:c r="G29" s="24" t="str">
        <x:v>Other demersal invertebrates</x:v>
      </x:c>
      <x:c r="H29" s="24" t="str">
        <x:v>Molluscs</x:v>
      </x:c>
      <x:c r="I29" s="31" t="n">
        <x:v>6.040516462</x:v>
      </x:c>
      <x:c r="J29" s="31" t="n">
        <x:v>6.040516462</x:v>
      </x:c>
      <x:c r="K29" s="31" t="n">
        <x:v>0</x:v>
      </x:c>
      <x:c r="L29" s="31" t="n">
        <x:v>0</x:v>
      </x:c>
      <x:c r="M29" s="31" t="n">
        <x:v>6.040516462</x:v>
      </x:c>
      <x:c r="N29" s="24" t="str">
        <x:v>mollusca</x:v>
      </x:c>
      <x:c r="O29" s="32" t="n">
        <x:v>2.1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Mollusca</x:v>
      </x:c>
      <x:c r="T29" s="32" t="n">
        <x:f>IF(O29="","",(1/'Metadata'!$B$5)^(O29-1))</x:f>
        <x:v>12.589254117941675</x:v>
      </x:c>
      <x:c r="U29" s="31" t="n">
        <x:f>IF(T29="","",I29*T29)</x:f>
        <x:v>76.04559674372798</x:v>
      </x:c>
    </x:row>
    <x:row r="30" ht="18" customHeight="1">
      <x:c r="A30" s="24" t="str">
        <x:v>EEZ_904</x:v>
      </x:c>
      <x:c r="B30" s="24" t="str">
        <x:v>St Barthelemy (France)</x:v>
      </x:c>
      <x:c r="C30" s="24" t="str">
        <x:v>EEZ</x:v>
      </x:c>
      <x:c r="D30" s="30" t="n">
        <x:v>2019</x:v>
      </x:c>
      <x:c r="E30" s="24" t="str">
        <x:v>Scombridae</x:v>
      </x:c>
      <x:c r="F30" s="24" t="str">
        <x:v>Mackerels, tunas, bonitos</x:v>
      </x:c>
      <x:c r="G30" s="24" t="str">
        <x:v>Medium pelagics (30 - 89 cm)</x:v>
      </x:c>
      <x:c r="H30" s="24" t="str">
        <x:v>Perch-likes</x:v>
      </x:c>
      <x:c r="I30" s="31" t="n">
        <x:v>6.040516462</x:v>
      </x:c>
      <x:c r="J30" s="31" t="n">
        <x:v>6.040516462</x:v>
      </x:c>
      <x:c r="K30" s="31" t="n">
        <x:v>0</x:v>
      </x:c>
      <x:c r="L30" s="31" t="n">
        <x:v>0</x:v>
      </x:c>
      <x:c r="M30" s="31" t="n">
        <x:v>6.040516462</x:v>
      </x:c>
      <x:c r="N30" s="24" t="str">
        <x:v>scombridae</x:v>
      </x:c>
      <x:c r="O30" s="32" t="n">
        <x:v>4.26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Scombridae</x:v>
      </x:c>
      <x:c r="T30" s="32" t="n">
        <x:f>IF(O30="","",(1/'Metadata'!$B$5)^(O30-1))</x:f>
        <x:v>1819.7008586099826</x:v>
      </x:c>
      <x:c r="U30" s="31" t="n">
        <x:f>IF(T30="","",I30*T30)</x:f>
        <x:v>10991.932992349135</x:v>
      </x:c>
    </x:row>
  </x:sheetData>
  <x:conditionalFormatting sqref="R2:R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c03cad3647d4e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17.857142672000002</x:v>
      </x:c>
      <x:c r="E2" s="31" t="n">
        <x:v>17.857142672000002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IF(C2=0,"",SUMIF('Species'!$H$2:$H$30,A2,'Species'!$U$2:$U$30))</x:f>
        <x:v>2830.1663857659673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2830.1663857659673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2</x:v>
      </x:c>
      <x:c r="C3" s="33" t="n">
        <x:v>2</x:v>
      </x:c>
      <x:c r="D3" s="31" t="n">
        <x:v>45.623849795</x:v>
      </x:c>
      <x:c r="E3" s="31" t="n">
        <x:v>45.623849795</x:v>
      </x:c>
      <x:c r="F3" s="32" t="n">
        <x:v>0</x:v>
      </x:c>
      <x:c r="G3" s="34" t="n">
        <x:v>1</x:v>
      </x:c>
      <x:c r="H3" s="32" t="n">
        <x:f>IF(E3=0,"",I3/E3)</x:f>
        <x:v>15.104355393530984</x:v>
      </x:c>
      <x:c r="I3" s="31" t="n">
        <x:f>IF(C3=0,"",SUMIF('Species'!$H$2:$H$30,A3,'Species'!$U$2:$U$30))</x:f>
        <x:v>689.1188417247557</x:v>
      </x:c>
      <x:c r="J3" s="32" t="n">
        <x:v>2.1780841602797056</x:v>
      </x:c>
      <x:c r="K3" s="32" t="n">
        <x:f>IF(J3="","",(1/'Metadata'!$B$5)^(J3-1))</x:f>
        <x:v>15.068990541439415</x:v>
      </x:c>
      <x:c r="L3" s="31" t="n">
        <x:f>IF(E3=0,"",E3*K3)</x:f>
        <x:v>687.5053610249075</x:v>
      </x:c>
      <x:c r="M3" s="31" t="n">
        <x:f>IF(E3=0,"",I3-L3)</x:f>
        <x:v>1.6134806998481963</x:v>
      </x:c>
      <x:c r="N3" s="32" t="n">
        <x:f>IF(L3=0,"",I3/L3)</x:f>
        <x:v>1.0023468627174672</x:v>
      </x:c>
      <x:c r="O3" s="34" t="n">
        <x:f>IF(L3=0,"",M3/L3)</x:f>
        <x:v>0.0023468627174672197</x:v>
      </x:c>
    </x:row>
    <x:row r="4" ht="18" customHeight="1">
      <x:c r="A4" s="24" t="str">
        <x:v>Other fishes &amp; inverts</x:v>
      </x:c>
      <x:c r="B4" s="33" t="n">
        <x:v>3</x:v>
      </x:c>
      <x:c r="C4" s="33" t="n">
        <x:v>3</x:v>
      </x:c>
      <x:c r="D4" s="31" t="n">
        <x:v>121.22252866100001</x:v>
      </x:c>
      <x:c r="E4" s="31" t="n">
        <x:v>121.22252866100001</x:v>
      </x:c>
      <x:c r="F4" s="32" t="n">
        <x:v>0</x:v>
      </x:c>
      <x:c r="G4" s="34" t="n">
        <x:v>1</x:v>
      </x:c>
      <x:c r="H4" s="32" t="n">
        <x:f>IF(E4=0,"",I4/E4)</x:f>
        <x:v>180.10893801677994</x:v>
      </x:c>
      <x:c r="I4" s="31" t="n">
        <x:f>IF(C4=0,"",SUMIF('Species'!$H$2:$H$30,A4,'Species'!$U$2:$U$30))</x:f>
        <x:v>21833.260900841382</x:v>
      </x:c>
      <x:c r="J4" s="32" t="n">
        <x:v>3.2517847030008333</x:v>
      </x:c>
      <x:c r="K4" s="32" t="n">
        <x:f>IF(J4="","",(1/'Metadata'!$B$5)^(J4-1))</x:f>
        <x:v>178.56021615929527</x:v>
      </x:c>
      <x:c r="L4" s="31" t="n">
        <x:f>IF(E4=0,"",E4*K4)</x:f>
        <x:v>21645.520921084528</x:v>
      </x:c>
      <x:c r="M4" s="31" t="n">
        <x:f>IF(E4=0,"",I4-L4)</x:f>
        <x:v>187.73997975685415</x:v>
      </x:c>
      <x:c r="N4" s="32" t="n">
        <x:f>IF(L4=0,"",I4/L4)</x:f>
        <x:v>1.008673386999616</x:v>
      </x:c>
      <x:c r="O4" s="34" t="n">
        <x:f>IF(L4=0,"",M4/L4)</x:f>
        <x:v>0.00867338699961616</x:v>
      </x:c>
    </x:row>
    <x:row r="5" ht="18" customHeight="1">
      <x:c r="A5" s="24" t="str">
        <x:v>Perch-likes</x:v>
      </x:c>
      <x:c r="B5" s="33" t="n">
        <x:v>19</x:v>
      </x:c>
      <x:c r="C5" s="33" t="n">
        <x:v>19</x:v>
      </x:c>
      <x:c r="D5" s="31" t="n">
        <x:v>291.43085049700005</x:v>
      </x:c>
      <x:c r="E5" s="31" t="n">
        <x:v>291.43085049700005</x:v>
      </x:c>
      <x:c r="F5" s="32" t="n">
        <x:v>0</x:v>
      </x:c>
      <x:c r="G5" s="34" t="n">
        <x:v>1</x:v>
      </x:c>
      <x:c r="H5" s="32" t="n">
        <x:f>IF(E5=0,"",I5/E5)</x:f>
        <x:v>931.3945730006293</x:v>
      </x:c>
      <x:c r="I5" s="31" t="n">
        <x:f>IF(C5=0,"",SUMIF('Species'!$H$2:$H$30,A5,'Species'!$U$2:$U$30))</x:f>
        <x:v>271437.1125578636</x:v>
      </x:c>
      <x:c r="J5" s="32" t="n">
        <x:v>3.824390765173309</x:v>
      </x:c>
      <x:c r="K5" s="32" t="n">
        <x:f>IF(J5="","",(1/'Metadata'!$B$5)^(J5-1))</x:f>
        <x:v>667.4070119820556</x:v>
      </x:c>
      <x:c r="L5" s="31" t="n">
        <x:f>IF(E5=0,"",E5*K5)</x:f>
        <x:v>194502.99312959195</x:v>
      </x:c>
      <x:c r="M5" s="31" t="n">
        <x:f>IF(E5=0,"",I5-L5)</x:f>
        <x:v>76934.11942827163</x:v>
      </x:c>
      <x:c r="N5" s="32" t="n">
        <x:f>IF(L5=0,"",I5/L5)</x:f>
        <x:v>1.3955420849334312</x:v>
      </x:c>
      <x:c r="O5" s="34" t="n">
        <x:f>IF(L5=0,"",M5/L5)</x:f>
        <x:v>0.3955420849334311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18.861029626</x:v>
      </x:c>
      <x:c r="E6" s="31" t="n">
        <x:v>18.861029626</x:v>
      </x:c>
      <x:c r="F6" s="32" t="n">
        <x:v>0</x:v>
      </x:c>
      <x:c r="G6" s="34" t="n">
        <x:v>1</x:v>
      </x:c>
      <x:c r="H6" s="32" t="n">
        <x:f>IF(E6=0,"",I6/E6)</x:f>
        <x:v>1122.018454301963</x:v>
      </x:c>
      <x:c r="I6" s="31" t="n">
        <x:f>IF(C6=0,"",SUMIF('Species'!$H$2:$H$30,A6,'Species'!$U$2:$U$30))</x:f>
        <x:v>21162.423307508052</x:v>
      </x:c>
      <x:c r="J6" s="32" t="n">
        <x:v>4.05</x:v>
      </x:c>
      <x:c r="K6" s="32" t="n">
        <x:f>IF(J6="","",(1/'Metadata'!$B$5)^(J6-1))</x:f>
        <x:v>1122.018454301963</x:v>
      </x:c>
      <x:c r="L6" s="31" t="n">
        <x:f>IF(E6=0,"",E6*K6)</x:f>
        <x:v>21162.423307508052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Tuna &amp; billfishes</x:v>
      </x:c>
      <x:c r="B7" s="33" t="n">
        <x:v>3</x:v>
      </x:c>
      <x:c r="C7" s="33" t="n">
        <x:v>3</x:v>
      </x:c>
      <x:c r="D7" s="31" t="n">
        <x:v>31.040516462</x:v>
      </x:c>
      <x:c r="E7" s="31" t="n">
        <x:v>31.040516462</x:v>
      </x:c>
      <x:c r="F7" s="32" t="n">
        <x:v>0</x:v>
      </x:c>
      <x:c r="G7" s="34" t="n">
        <x:v>1</x:v>
      </x:c>
      <x:c r="H7" s="32" t="n">
        <x:f>IF(E7=0,"",I7/E7)</x:f>
        <x:v>2806.5267495814305</x:v>
      </x:c>
      <x:c r="I7" s="31" t="n">
        <x:f>IF(C7=0,"",SUMIF('Species'!$H$2:$H$30,A7,'Species'!$U$2:$U$30))</x:f>
        <x:v>87116.03977142574</x:v>
      </x:c>
      <x:c r="J7" s="32" t="n">
        <x:v>4.447784041182942</x:v>
      </x:c>
      <x:c r="K7" s="32" t="n">
        <x:f>IF(J7="","",(1/'Metadata'!$B$5)^(J7-1))</x:f>
        <x:v>2804.0389448473597</x:v>
      </x:c>
      <x:c r="L7" s="31" t="n">
        <x:f>IF(E7=0,"",E7*K7)</x:f>
        <x:v>87038.81702762358</x:v>
      </x:c>
      <x:c r="M7" s="31" t="n">
        <x:f>IF(E7=0,"",I7-L7)</x:f>
        <x:v>77.2227438021655</x:v>
      </x:c>
      <x:c r="N7" s="32" t="n">
        <x:f>IF(L7=0,"",I7/L7)</x:f>
        <x:v>1.0008872218906382</x:v>
      </x:c>
      <x:c r="O7" s="34" t="n">
        <x:f>IF(L7=0,"",M7/L7)</x:f>
        <x:v>0.0008872218906382569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df5e1f0ac6841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6</x:v>
      </x:c>
      <x:c r="C2" s="33" t="n">
        <x:v>6</x:v>
      </x:c>
      <x:c r="D2" s="31" t="n">
        <x:v>62.081032924</x:v>
      </x:c>
      <x:c r="E2" s="31" t="n">
        <x:v>62.081032924</x:v>
      </x:c>
      <x:c r="F2" s="32" t="n">
        <x:v>0</x:v>
      </x:c>
      <x:c r="G2" s="34" t="n">
        <x:v>1</x:v>
      </x:c>
      <x:c r="H2" s="32" t="n">
        <x:f>IF(E2=0,"",I2/E2)</x:f>
        <x:v>2542.356879295331</x:v>
      </x:c>
      <x:c r="I2" s="31" t="n">
        <x:f>IF(C2=0,"",SUMIF('Species'!$G$2:$G$30,A2,'Species'!$U$2:$U$30))</x:f>
        <x:v>157832.14112809135</x:v>
      </x:c>
      <x:c r="J2" s="32" t="n">
        <x:v>4.3984196106791575</x:v>
      </x:c>
      <x:c r="K2" s="32" t="n">
        <x:f>IF(J2="","",(1/'Metadata'!$B$5)^(J2-1))</x:f>
        <x:v>2502.76233605728</x:v>
      </x:c>
      <x:c r="L2" s="31" t="n">
        <x:f>IF(E2=0,"",E2*K2)</x:f>
        <x:v>155374.07098571915</x:v>
      </x:c>
      <x:c r="M2" s="31" t="n">
        <x:f>IF(E2=0,"",I2-L2)</x:f>
        <x:v>2458.070142372191</x:v>
      </x:c>
      <x:c r="N2" s="32" t="n">
        <x:f>IF(L2=0,"",I2/L2)</x:f>
        <x:v>1.0158203368604413</x:v>
      </x:c>
      <x:c r="O2" s="34" t="n">
        <x:f>IF(L2=0,"",M2/L2)</x:f>
        <x:v>0.01582033686044127</x:v>
      </x:c>
    </x:row>
    <x:row r="3" ht="18" customHeight="1">
      <x:c r="A3" s="24" t="str">
        <x:v>Large reef assoc. fish (&gt;=90 cm)</x:v>
      </x:c>
      <x:c r="B3" s="33" t="n">
        <x:v>2</x:v>
      </x:c>
      <x:c r="C3" s="33" t="n">
        <x:v>2</x:v>
      </x:c>
      <x:c r="D3" s="31" t="n">
        <x:v>30.357141772</x:v>
      </x:c>
      <x:c r="E3" s="31" t="n">
        <x:v>30.357141772</x:v>
      </x:c>
      <x:c r="F3" s="32" t="n">
        <x:v>0</x:v>
      </x:c>
      <x:c r="G3" s="34" t="n">
        <x:v>1</x:v>
      </x:c>
      <x:c r="H3" s="32" t="n">
        <x:f>IF(E3=0,"",I3/E3)</x:f>
        <x:v>805.5959040541886</x:v>
      </x:c>
      <x:c r="I3" s="31" t="n">
        <x:f>IF(C3=0,"",SUMIF('Species'!$G$2:$G$30,A3,'Species'!$U$2:$U$30))</x:f>
        <x:v>24455.589070315513</x:v>
      </x:c>
      <x:c r="J3" s="32" t="n">
        <x:v>3.8294117564633017</x:v>
      </x:c>
      <x:c r="K3" s="32" t="n">
        <x:f>IF(J3="","",(1/'Metadata'!$B$5)^(J3-1))</x:f>
        <x:v>675.167853880684</x:v>
      </x:c>
      <x:c r="L3" s="31" t="n">
        <x:f>IF(E3=0,"",E3*K3)</x:f>
        <x:v>20496.166260152902</x:v>
      </x:c>
      <x:c r="M3" s="31" t="n">
        <x:f>IF(E3=0,"",I3-L3)</x:f>
        <x:v>3959.4228101626104</x:v>
      </x:c>
      <x:c r="N3" s="32" t="n">
        <x:f>IF(L3=0,"",I3/L3)</x:f>
        <x:v>1.1931787027830771</x:v>
      </x:c>
      <x:c r="O3" s="34" t="n">
        <x:f>IF(L3=0,"",M3/L3)</x:f>
        <x:v>0.1931787027830771</x:v>
      </x:c>
    </x:row>
    <x:row r="4" ht="18" customHeight="1">
      <x:c r="A4" s="24" t="str">
        <x:v>Large sharks (&gt;=90 cm)</x:v>
      </x:c>
      <x:c r="B4" s="33" t="n">
        <x:v>1</x:v>
      </x:c>
      <x:c r="C4" s="33" t="n">
        <x:v>1</x:v>
      </x:c>
      <x:c r="D4" s="31" t="n">
        <x:v>18.861029626</x:v>
      </x:c>
      <x:c r="E4" s="31" t="n">
        <x:v>18.861029626</x:v>
      </x:c>
      <x:c r="F4" s="32" t="n">
        <x:v>0</x:v>
      </x:c>
      <x:c r="G4" s="34" t="n">
        <x:v>1</x:v>
      </x:c>
      <x:c r="H4" s="32" t="n">
        <x:f>IF(E4=0,"",I4/E4)</x:f>
        <x:v>1122.018454301963</x:v>
      </x:c>
      <x:c r="I4" s="31" t="n">
        <x:f>IF(C4=0,"",SUMIF('Species'!$G$2:$G$30,A4,'Species'!$U$2:$U$30))</x:f>
        <x:v>21162.423307508052</x:v>
      </x:c>
      <x:c r="J4" s="32" t="n">
        <x:v>4.05</x:v>
      </x:c>
      <x:c r="K4" s="32" t="n">
        <x:f>IF(J4="","",(1/'Metadata'!$B$5)^(J4-1))</x:f>
        <x:v>1122.018454301963</x:v>
      </x:c>
      <x:c r="L4" s="31" t="n">
        <x:f>IF(E4=0,"",E4*K4)</x:f>
        <x:v>21162.423307508052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Lobsters, crabs</x:v>
      </x:c>
      <x:c r="B5" s="33" t="n">
        <x:v>1</x:v>
      </x:c>
      <x:c r="C5" s="33" t="n">
        <x:v>1</x:v>
      </x:c>
      <x:c r="D5" s="31" t="n">
        <x:v>17.857142672000002</x:v>
      </x:c>
      <x:c r="E5" s="31" t="n">
        <x:v>17.857142672000002</x:v>
      </x:c>
      <x:c r="F5" s="32" t="n">
        <x:v>0</x:v>
      </x:c>
      <x:c r="G5" s="34" t="n">
        <x:v>1</x:v>
      </x:c>
      <x:c r="H5" s="32" t="n">
        <x:f>IF(E5=0,"",I5/E5)</x:f>
        <x:v>158.48931924611142</x:v>
      </x:c>
      <x:c r="I5" s="31" t="n">
        <x:f>IF(C5=0,"",SUMIF('Species'!$G$2:$G$30,A5,'Species'!$U$2:$U$30))</x:f>
        <x:v>2830.1663857659673</x:v>
      </x:c>
      <x:c r="J5" s="32" t="n">
        <x:v>3.2</x:v>
      </x:c>
      <x:c r="K5" s="32" t="n">
        <x:f>IF(J5="","",(1/'Metadata'!$B$5)^(J5-1))</x:f>
        <x:v>158.48931924611142</x:v>
      </x:c>
      <x:c r="L5" s="31" t="n">
        <x:f>IF(E5=0,"",E5*K5)</x:f>
        <x:v>2830.1663857659673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bathydemersals (30 - 89 cm)</x:v>
      </x:c>
      <x:c r="B6" s="33" t="n">
        <x:v>1</x:v>
      </x:c>
      <x:c r="C6" s="33" t="n">
        <x:v>1</x:v>
      </x:c>
      <x:c r="D6" s="31" t="n">
        <x:v>12.5</x:v>
      </x:c>
      <x:c r="E6" s="31" t="n">
        <x:v>12.5</x:v>
      </x:c>
      <x:c r="F6" s="32" t="n">
        <x:v>0</x:v>
      </x:c>
      <x:c r="G6" s="34" t="n">
        <x:v>1</x:v>
      </x:c>
      <x:c r="H6" s="32" t="n">
        <x:f>IF(E6=0,"",I6/E6)</x:f>
        <x:v>1513.5612484362073</x:v>
      </x:c>
      <x:c r="I6" s="31" t="n">
        <x:f>IF(C6=0,"",SUMIF('Species'!$G$2:$G$30,A6,'Species'!$U$2:$U$30))</x:f>
        <x:v>18919.51560545259</x:v>
      </x:c>
      <x:c r="J6" s="32" t="n">
        <x:v>4.18</x:v>
      </x:c>
      <x:c r="K6" s="32" t="n">
        <x:f>IF(J6="","",(1/'Metadata'!$B$5)^(J6-1))</x:f>
        <x:v>1513.5612484362073</x:v>
      </x:c>
      <x:c r="L6" s="31" t="n">
        <x:f>IF(E6=0,"",E6*K6)</x:f>
        <x:v>18919.51560545259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benthopelagics (30 - 89 cm)</x:v>
      </x:c>
      <x:c r="B7" s="33" t="n">
        <x:v>1</x:v>
      </x:c>
      <x:c r="C7" s="33" t="n">
        <x:v>1</x:v>
      </x:c>
      <x:c r="D7" s="31" t="n">
        <x:v>12.5</x:v>
      </x:c>
      <x:c r="E7" s="31" t="n">
        <x:v>12.5</x:v>
      </x:c>
      <x:c r="F7" s="32" t="n">
        <x:v>0</x:v>
      </x:c>
      <x:c r="G7" s="34" t="n">
        <x:v>1</x:v>
      </x:c>
      <x:c r="H7" s="32" t="n">
        <x:f>IF(E7=0,"",I7/E7)</x:f>
        <x:v>741.3102413009177</x:v>
      </x:c>
      <x:c r="I7" s="31" t="n">
        <x:f>IF(C7=0,"",SUMIF('Species'!$G$2:$G$30,A7,'Species'!$U$2:$U$30))</x:f>
        <x:v>9266.378016261471</x:v>
      </x:c>
      <x:c r="J7" s="32" t="n">
        <x:v>3.87</x:v>
      </x:c>
      <x:c r="K7" s="32" t="n">
        <x:f>IF(J7="","",(1/'Metadata'!$B$5)^(J7-1))</x:f>
        <x:v>741.3102413009177</x:v>
      </x:c>
      <x:c r="L7" s="31" t="n">
        <x:f>IF(E7=0,"",E7*K7)</x:f>
        <x:v>9266.378016261471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4</x:v>
      </x:c>
      <x:c r="C8" s="33" t="n">
        <x:v>4</x:v>
      </x:c>
      <x:c r="D8" s="31" t="n">
        <x:v>159.363560588</x:v>
      </x:c>
      <x:c r="E8" s="31" t="n">
        <x:v>159.363560588</x:v>
      </x:c>
      <x:c r="F8" s="32" t="n">
        <x:v>0</x:v>
      </x:c>
      <x:c r="G8" s="34" t="n">
        <x:v>1</x:v>
      </x:c>
      <x:c r="H8" s="32" t="n">
        <x:f>IF(E8=0,"",I8/E8)</x:f>
        <x:v>356.20450796055155</x:v>
      </x:c>
      <x:c r="I8" s="31" t="n">
        <x:f>IF(C8=0,"",SUMIF('Species'!$G$2:$G$30,A8,'Species'!$U$2:$U$30))</x:f>
        <x:v>56766.018686090094</x:v>
      </x:c>
      <x:c r="J8" s="32" t="n">
        <x:v>3.352095965667229</x:v>
      </x:c>
      <x:c r="K8" s="32" t="n">
        <x:f>IF(J8="","",(1/'Metadata'!$B$5)^(J8-1))</x:f>
        <x:v>224.9551632352904</x:v>
      </x:c>
      <x:c r="L8" s="31" t="n">
        <x:f>IF(E8=0,"",E8*K8)</x:f>
        <x:v>35849.65578583063</x:v>
      </x:c>
      <x:c r="M8" s="31" t="n">
        <x:f>IF(E8=0,"",I8-L8)</x:f>
        <x:v>20916.36290025946</x:v>
      </x:c>
      <x:c r="N8" s="32" t="n">
        <x:f>IF(L8=0,"",I8/L8)</x:f>
        <x:v>1.5834466870537298</x:v>
      </x:c>
      <x:c r="O8" s="34" t="n">
        <x:f>IF(L8=0,"",M8/L8)</x:f>
        <x:v>0.5834466870537298</x:v>
      </x:c>
    </x:row>
    <x:row r="9" ht="18" customHeight="1">
      <x:c r="A9" s="24" t="str">
        <x:v>Medium pelagics (30 - 89 cm)</x:v>
      </x:c>
      <x:c r="B9" s="33" t="n">
        <x:v>3</x:v>
      </x:c>
      <x:c r="C9" s="33" t="n">
        <x:v>3</x:v>
      </x:c>
      <x:c r="D9" s="31" t="n">
        <x:v>31.681542792000002</x:v>
      </x:c>
      <x:c r="E9" s="31" t="n">
        <x:v>31.681542792000002</x:v>
      </x:c>
      <x:c r="F9" s="32" t="n">
        <x:v>0</x:v>
      </x:c>
      <x:c r="G9" s="34" t="n">
        <x:v>1</x:v>
      </x:c>
      <x:c r="H9" s="32" t="n">
        <x:f>IF(E9=0,"",I9/E9)</x:f>
        <x:v>748.5398058875938</x:v>
      </x:c>
      <x:c r="I9" s="31" t="n">
        <x:f>IF(C9=0,"",SUMIF('Species'!$G$2:$G$30,A9,'Species'!$U$2:$U$30))</x:f>
        <x:v>23714.89589174318</x:v>
      </x:c>
      <x:c r="J9" s="32" t="n">
        <x:v>3.786538196023784</x:v>
      </x:c>
      <x:c r="K9" s="32" t="n">
        <x:f>IF(J9="","",(1/'Metadata'!$B$5)^(J9-1))</x:f>
        <x:v>611.6995993209508</x:v>
      </x:c>
      <x:c r="L9" s="31" t="n">
        <x:f>IF(E9=0,"",E9*K9)</x:f>
        <x:v>19379.58703173596</x:v>
      </x:c>
      <x:c r="M9" s="31" t="n">
        <x:f>IF(E9=0,"",I9-L9)</x:f>
        <x:v>4335.308860007222</x:v>
      </x:c>
      <x:c r="N9" s="32" t="n">
        <x:f>IF(L9=0,"",I9/L9)</x:f>
        <x:v>1.223704914501415</x:v>
      </x:c>
      <x:c r="O9" s="34" t="n">
        <x:f>IF(L9=0,"",M9/L9)</x:f>
        <x:v>0.22370491450141494</x:v>
      </x:c>
    </x:row>
    <x:row r="10" ht="18" customHeight="1">
      <x:c r="A10" s="24" t="str">
        <x:v>Medium reef assoc. fish (30 - 89 cm)</x:v>
      </x:c>
      <x:c r="B10" s="33" t="n">
        <x:v>8</x:v>
      </x:c>
      <x:c r="C10" s="33" t="n">
        <x:v>8</x:v>
      </x:c>
      <x:c r="D10" s="31" t="n">
        <x:v>135.210617544</x:v>
      </x:c>
      <x:c r="E10" s="31" t="n">
        <x:v>135.210617544</x:v>
      </x:c>
      <x:c r="F10" s="32" t="n">
        <x:v>0</x:v>
      </x:c>
      <x:c r="G10" s="34" t="n">
        <x:v>1</x:v>
      </x:c>
      <x:c r="H10" s="32" t="n">
        <x:f>IF(E10=0,"",I10/E10)</x:f>
        <x:v>661.4264209175271</x:v>
      </x:c>
      <x:c r="I10" s="31" t="n">
        <x:f>IF(C10=0,"",SUMIF('Species'!$G$2:$G$30,A10,'Species'!$U$2:$U$30))</x:f>
        <x:v>89431.87483217653</x:v>
      </x:c>
      <x:c r="J10" s="32" t="n">
        <x:v>3.717886893029632</x:v>
      </x:c>
      <x:c r="K10" s="32" t="n">
        <x:f>IF(J10="","",(1/'Metadata'!$B$5)^(J10-1))</x:f>
        <x:v>522.2601546740659</x:v>
      </x:c>
      <x:c r="L10" s="31" t="n">
        <x:f>IF(E10=0,"",E10*K10)</x:f>
        <x:v>70615.11803210541</x:v>
      </x:c>
      <x:c r="M10" s="31" t="n">
        <x:f>IF(E10=0,"",I10-L10)</x:f>
        <x:v>18816.756800071118</x:v>
      </x:c>
      <x:c r="N10" s="32" t="n">
        <x:f>IF(L10=0,"",I10/L10)</x:f>
        <x:v>1.2664692395120831</x:v>
      </x:c>
      <x:c r="O10" s="34" t="n">
        <x:f>IF(L10=0,"",M10/L10)</x:f>
        <x:v>0.2664692395120831</x:v>
      </x:c>
    </x:row>
    <x:row r="11" ht="18" customHeight="1">
      <x:c r="A11" s="24" t="str">
        <x:v>Other demersal invertebrates</x:v>
      </x:c>
      <x:c r="B11" s="33" t="n">
        <x:v>2</x:v>
      </x:c>
      <x:c r="C11" s="33" t="n">
        <x:v>2</x:v>
      </x:c>
      <x:c r="D11" s="31" t="n">
        <x:v>45.623849795</x:v>
      </x:c>
      <x:c r="E11" s="31" t="n">
        <x:v>45.623849795</x:v>
      </x:c>
      <x:c r="F11" s="32" t="n">
        <x:v>0</x:v>
      </x:c>
      <x:c r="G11" s="34" t="n">
        <x:v>1</x:v>
      </x:c>
      <x:c r="H11" s="32" t="n">
        <x:f>IF(E11=0,"",I11/E11)</x:f>
        <x:v>15.104355393530984</x:v>
      </x:c>
      <x:c r="I11" s="31" t="n">
        <x:f>IF(C11=0,"",SUMIF('Species'!$G$2:$G$30,A11,'Species'!$U$2:$U$30))</x:f>
        <x:v>689.1188417247557</x:v>
      </x:c>
      <x:c r="J11" s="32" t="n">
        <x:v>2.1780841602797056</x:v>
      </x:c>
      <x:c r="K11" s="32" t="n">
        <x:f>IF(J11="","",(1/'Metadata'!$B$5)^(J11-1))</x:f>
        <x:v>15.068990541439415</x:v>
      </x:c>
      <x:c r="L11" s="31" t="n">
        <x:f>IF(E11=0,"",E11*K11)</x:f>
        <x:v>687.5053610249075</x:v>
      </x:c>
      <x:c r="M11" s="31" t="n">
        <x:f>IF(E11=0,"",I11-L11)</x:f>
        <x:v>1.6134806998481963</x:v>
      </x:c>
      <x:c r="N11" s="32" t="n">
        <x:f>IF(L11=0,"",I11/L11)</x:f>
        <x:v>1.0023468627174672</x:v>
      </x:c>
      <x:c r="O11" s="34" t="n">
        <x:f>IF(L11=0,"",M11/L11)</x:f>
        <x:v>0.0023468627174672197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935abaf11ca45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EEZ_904</x:v>
      </x:c>
      <x:c r="B2" s="24" t="str">
        <x:v>raw_filtered_tonnes</x:v>
      </x:c>
      <x:c r="C2" s="24" t="n">
        <x:v>526.035917713</x:v>
      </x:c>
      <x:c r="D2" s="24" t="str">
        <x:v>tonnes</x:v>
      </x:c>
    </x:row>
    <x:row r="3" ht="18" customHeight="1">
      <x:c r="A3" s="24" t="str">
        <x:v>EEZ_904</x:v>
      </x:c>
      <x:c r="B3" s="24" t="str">
        <x:v>species_catch_tonnes</x:v>
      </x:c>
      <x:c r="C3" s="24" t="n">
        <x:v>526.0359177130001</x:v>
      </x:c>
      <x:c r="D3" s="24" t="str">
        <x:v>tonnes</x:v>
      </x:c>
    </x:row>
    <x:row r="4" ht="18" customHeight="1">
      <x:c r="A4" s="24" t="str">
        <x:v>EEZ_904</x:v>
      </x:c>
      <x:c r="B4" s="24" t="str">
        <x:v>catch_difference_tonnes</x:v>
      </x:c>
      <x:c r="C4" s="24" t="n">
        <x:v>1.1368683772161603e-13</x:v>
      </x:c>
      <x:c r="D4" s="24" t="str">
        <x:v>tonnes</x:v>
      </x:c>
    </x:row>
    <x:row r="5" ht="18" customHeight="1">
      <x:c r="A5" s="24" t="str">
        <x:v>EEZ_904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EEZ_904</x:v>
      </x:c>
      <x:c r="B6" s="24" t="str">
        <x:v>matched_catch_tonnes</x:v>
      </x:c>
      <x:c r="C6" s="24" t="n">
        <x:v>526.0359177130001</x:v>
      </x:c>
      <x:c r="D6" s="24" t="str">
        <x:v>tonnes</x:v>
      </x:c>
    </x:row>
    <x:row r="7" ht="18" customHeight="1">
      <x:c r="A7" s="24" t="str">
        <x:v>EEZ_904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EEZ_904</x:v>
      </x:c>
      <x:c r="B8" s="24" t="str">
        <x:v>taxa_count</x:v>
      </x:c>
      <x:c r="C8" s="24" t="n">
        <x:v>29</x:v>
      </x:c>
      <x:c r="D8" s="24" t="str">
        <x:v>count</x:v>
      </x:c>
    </x:row>
    <x:row r="9" ht="18" customHeight="1">
      <x:c r="A9" s="24" t="str">
        <x:v>EEZ_904</x:v>
      </x:c>
      <x:c r="B9" s="24" t="str">
        <x:v>matched_taxa_count</x:v>
      </x:c>
      <x:c r="C9" s="24" t="n">
        <x:v>29</x:v>
      </x:c>
      <x:c r="D9" s="24" t="str">
        <x:v>count</x:v>
      </x:c>
    </x:row>
    <x:row r="10" ht="18" customHeight="1">
      <x:c r="A10" s="24" t="str">
        <x:v>EEZ_904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EEZ_904</x:v>
      </x:c>
      <x:c r="B11" s="24" t="str">
        <x:v>species_ppr</x:v>
      </x:c>
      <x:c r="C11" s="24" t="n">
        <x:v>405068.1217651294</x:v>
      </x:c>
      <x:c r="D11" s="24" t="str">
        <x:v>tonnes_primary_production_equivalent</x:v>
      </x:c>
    </x:row>
    <x:row r="12" ht="18" customHeight="1">
      <x:c r="A12" s="24" t="str">
        <x:v>EEZ_904</x:v>
      </x:c>
      <x:c r="B12" s="24" t="str">
        <x:v>commercial_ppr</x:v>
      </x:c>
      <x:c r="C12" s="24" t="n">
        <x:v>405068.1217651295</x:v>
      </x:c>
      <x:c r="D12" s="24" t="str">
        <x:v>tonnes_primary_production_equivalent</x:v>
      </x:c>
    </x:row>
    <x:row r="13" ht="18" customHeight="1">
      <x:c r="A13" s="24" t="str">
        <x:v>EEZ_904</x:v>
      </x:c>
      <x:c r="B13" s="24" t="str">
        <x:v>functional_ppr</x:v>
      </x:c>
      <x:c r="C13" s="24" t="n">
        <x:v>405068.1217651295</x:v>
      </x:c>
      <x:c r="D13" s="24" t="str">
        <x:v>tonnes_primary_production_equivalent</x:v>
      </x:c>
    </x:row>
    <x:row r="14" ht="18" customHeight="1">
      <x:c r="A14" s="24" t="str">
        <x:v>EEZ_904</x:v>
      </x:c>
      <x:c r="B14" s="24" t="str">
        <x:v>commercial_ppr_difference</x:v>
      </x:c>
      <x:c r="C14" s="24" t="n">
        <x:v>1.1641532182693481e-10</x:v>
      </x:c>
      <x:c r="D14" s="24" t="str">
        <x:v>tonnes_primary_production_equivalent</x:v>
      </x:c>
    </x:row>
    <x:row r="15" ht="18" customHeight="1">
      <x:c r="A15" s="24" t="str">
        <x:v>EEZ_904</x:v>
      </x:c>
      <x:c r="B15" s="24" t="str">
        <x:v>functional_ppr_difference</x:v>
      </x:c>
      <x:c r="C15" s="24" t="n">
        <x:v>1.1641532182693481e-10</x:v>
      </x:c>
      <x:c r="D15" s="24" t="str">
        <x:v>tonnes_primary_production_equivalent</x:v>
      </x:c>
    </x:row>
    <x:row r="16" ht="18" customHeight="1">
      <x:c r="A16" s="24" t="str">
        <x:v>EEZ_904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EEZ_904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EEZ_904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EEZ_904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7ac490e3a6a41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EEZ_904 - St Barthelemy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