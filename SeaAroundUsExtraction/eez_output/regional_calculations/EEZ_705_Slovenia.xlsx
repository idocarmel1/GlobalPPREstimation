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70891275a34c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288e5d38fd764b3c"/>
    <x:sheet xmlns:r="http://schemas.openxmlformats.org/officeDocument/2006/relationships" name="Commercial" sheetId="2" r:id="R1338b89f6ca04095"/>
    <x:sheet xmlns:r="http://schemas.openxmlformats.org/officeDocument/2006/relationships" name="Functional" sheetId="3" r:id="R5fca6f7572c0450f"/>
    <x:sheet xmlns:r="http://schemas.openxmlformats.org/officeDocument/2006/relationships" name="Missing TL" sheetId="4" r:id="R329215ab3e1a4ebe"/>
    <x:sheet xmlns:r="http://schemas.openxmlformats.org/officeDocument/2006/relationships" name="Validation" sheetId="5" r:id="R37a652ede1014bea"/>
    <x:sheet xmlns:r="http://schemas.openxmlformats.org/officeDocument/2006/relationships" name="Metadata" sheetId="6" r:id="Rc5ac0e04e59d4e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c71a6019814a80" /><Relationship Type="http://schemas.openxmlformats.org/officeDocument/2006/relationships/theme" Target="/xl/theme/theme1.xml" Id="R0b043e7a129c4b5c" /><Relationship Type="http://schemas.microsoft.com/office/2022/11/relationships/FeaturePropertyBag" Target="/xl/featurePropertyBag/featurePropertyBag.xml" Id="Re9222a5382fc445f" /><Relationship Type="http://schemas.openxmlformats.org/officeDocument/2006/relationships/sharedStrings" Target="/xl/sharedStrings.xml" Id="Rf2cb547ec37e43d7" /><Relationship Type="http://schemas.openxmlformats.org/officeDocument/2006/relationships/worksheet" Target="/xl/worksheets/sheet1.xml" Id="R288e5d38fd764b3c" /><Relationship Type="http://schemas.openxmlformats.org/officeDocument/2006/relationships/worksheet" Target="/xl/worksheets/sheet2.xml" Id="R1338b89f6ca04095" /><Relationship Type="http://schemas.openxmlformats.org/officeDocument/2006/relationships/worksheet" Target="/xl/worksheets/sheet3.xml" Id="R5fca6f7572c0450f" /><Relationship Type="http://schemas.openxmlformats.org/officeDocument/2006/relationships/worksheet" Target="/xl/worksheets/sheet4.xml" Id="R329215ab3e1a4ebe" /><Relationship Type="http://schemas.openxmlformats.org/officeDocument/2006/relationships/worksheet" Target="/xl/worksheets/sheet5.xml" Id="R37a652ede1014bea" /><Relationship Type="http://schemas.openxmlformats.org/officeDocument/2006/relationships/worksheet" Target="/xl/worksheets/sheet6.xml" Id="Rc5ac0e04e59d4e8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705SpeciesTable" displayName="EEZ705SpeciesTable" ref="A1:U81" headerRowCount="1" totalsRowCount="0" totalsRowShown="0">
  <x:autoFilter ref="A1:U81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705CommercialTable" displayName="EEZ705CommercialTable" ref="A1:O12" headerRowCount="1" totalsRowCount="0" totalsRowShown="0">
  <x:autoFilter ref="A1:O12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705FunctionalTable" displayName="EEZ705FunctionalTable" ref="A1:O22" headerRowCount="1" totalsRowCount="0" totalsRowShown="0">
  <x:autoFilter ref="A1:O22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705ValidationTable" displayName="EEZ705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915f7a9bb9e4f4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0ee601c1a99404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030e7a3a4dc439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7ea52190e874ad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EEZ_705</x:v>
      </x:c>
      <x:c r="B2" s="24" t="str">
        <x:v>Slovenia</x:v>
      </x:c>
      <x:c r="C2" s="24" t="str">
        <x:v>EEZ</x:v>
      </x:c>
      <x:c r="D2" s="30" t="n">
        <x:v>2019</x:v>
      </x:c>
      <x:c r="E2" s="24" t="str">
        <x:v>Clupeidae</x:v>
      </x:c>
      <x:c r="F2" s="24" t="str">
        <x:v>Herrings, sardines, menhadens</x:v>
      </x:c>
      <x:c r="G2" s="24" t="str">
        <x:v>Small pelagics (&lt;30 cm)</x:v>
      </x:c>
      <x:c r="H2" s="24" t="str">
        <x:v>Herring-likes</x:v>
      </x:c>
      <x:c r="I2" s="31" t="n">
        <x:v>41.9426384334</x:v>
      </x:c>
      <x:c r="J2" s="31" t="n">
        <x:v>41.9426384334</x:v>
      </x:c>
      <x:c r="K2" s="31" t="n">
        <x:v>0</x:v>
      </x:c>
      <x:c r="L2" s="31" t="n">
        <x:v>0</x:v>
      </x:c>
      <x:c r="M2" s="31" t="n">
        <x:v>41.9426384334</x:v>
      </x:c>
      <x:c r="N2" s="24" t="str">
        <x:v>clupeidae</x:v>
      </x:c>
      <x:c r="O2" s="32" t="n">
        <x:v>3.16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Clupeidae</x:v>
      </x:c>
      <x:c r="T2" s="32" t="n">
        <x:f>IF(O2="","",(1/'Metadata'!$B$5)^(O2-1))</x:f>
        <x:v>144.5439770745928</x:v>
      </x:c>
      <x:c r="U2" s="31" t="n">
        <x:f>IF(T2="","",I2*T2)</x:f>
        <x:v>6062.555768165304</x:v>
      </x:c>
    </x:row>
    <x:row r="3" ht="18" customHeight="1">
      <x:c r="A3" s="24" t="str">
        <x:v>EEZ_705</x:v>
      </x:c>
      <x:c r="B3" s="24" t="str">
        <x:v>Slovenia</x:v>
      </x:c>
      <x:c r="C3" s="24" t="str">
        <x:v>EEZ</x:v>
      </x:c>
      <x:c r="D3" s="30" t="n">
        <x:v>2019</x:v>
      </x:c>
      <x:c r="E3" s="24" t="str">
        <x:v>Merlangius merlangus</x:v>
      </x:c>
      <x:c r="F3" s="24" t="str">
        <x:v>Whiting</x:v>
      </x:c>
      <x:c r="G3" s="24" t="str">
        <x:v>Medium benthopelagics (30 - 89 cm)</x:v>
      </x:c>
      <x:c r="H3" s="24" t="str">
        <x:v>Cod-likes</x:v>
      </x:c>
      <x:c r="I3" s="31" t="n">
        <x:v>25.9603331084</x:v>
      </x:c>
      <x:c r="J3" s="31" t="n">
        <x:v>25.3616553935</x:v>
      </x:c>
      <x:c r="K3" s="31" t="n">
        <x:v>0.5986777149</x:v>
      </x:c>
      <x:c r="L3" s="31" t="n">
        <x:v>25.36</x:v>
      </x:c>
      <x:c r="M3" s="31" t="n">
        <x:v>0.6003331084</x:v>
      </x:c>
      <x:c r="N3" s="24" t="str">
        <x:v>merlangius merlangus</x:v>
      </x:c>
      <x:c r="O3" s="32" t="n">
        <x:v>4.36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Merlangius merlangus</x:v>
      </x:c>
      <x:c r="T3" s="32" t="n">
        <x:f>IF(O3="","",(1/'Metadata'!$B$5)^(O3-1))</x:f>
        <x:v>2290.867652767775</x:v>
      </x:c>
      <x:c r="U3" s="31" t="n">
        <x:f>IF(T3="","",I3*T3)</x:f>
        <x:v>59471.68737310986</x:v>
      </x:c>
    </x:row>
    <x:row r="4" ht="18" customHeight="1">
      <x:c r="A4" s="24" t="str">
        <x:v>EEZ_705</x:v>
      </x:c>
      <x:c r="B4" s="24" t="str">
        <x:v>Slovenia</x:v>
      </x:c>
      <x:c r="C4" s="24" t="str">
        <x:v>EEZ</x:v>
      </x:c>
      <x:c r="D4" s="30" t="n">
        <x:v>2019</x:v>
      </x:c>
      <x:c r="E4" s="24" t="str">
        <x:v>Marine fishes not identified</x:v>
      </x:c>
      <x:c r="F4" s="24" t="str">
        <x:v>Marine fishes nei</x:v>
      </x:c>
      <x:c r="G4" s="24" t="str">
        <x:v>Medium demersals (30 - 89 cm)</x:v>
      </x:c>
      <x:c r="H4" s="24" t="str">
        <x:v>Other fishes &amp; inverts</x:v>
      </x:c>
      <x:c r="I4" s="31" t="n">
        <x:v>24.3285216658</x:v>
      </x:c>
      <x:c r="J4" s="31" t="n">
        <x:v>21.6674964598</x:v>
      </x:c>
      <x:c r="K4" s="31" t="n">
        <x:v>2.661025206</x:v>
      </x:c>
      <x:c r="L4" s="31" t="n">
        <x:v>15.6870000001</x:v>
      </x:c>
      <x:c r="M4" s="31" t="n">
        <x:v>8.641521665700001</x:v>
      </x:c>
      <x:c r="N4" s="24" t="str">
        <x:v>marine fishes not identified</x:v>
      </x:c>
      <x:c r="O4" s="32" t="n">
        <x:v>3.28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Marine fishes not identified</x:v>
      </x:c>
      <x:c r="T4" s="32" t="n">
        <x:f>IF(O4="","",(1/'Metadata'!$B$5)^(O4-1))</x:f>
        <x:v>190.54607179632464</x:v>
      </x:c>
      <x:c r="U4" s="31" t="n">
        <x:f>IF(T4="","",I4*T4)</x:f>
        <x:v>4635.7042360299665</x:v>
      </x:c>
    </x:row>
    <x:row r="5" ht="18" customHeight="1">
      <x:c r="A5" s="24" t="str">
        <x:v>EEZ_705</x:v>
      </x:c>
      <x:c r="B5" s="24" t="str">
        <x:v>Slovenia</x:v>
      </x:c>
      <x:c r="C5" s="24" t="str">
        <x:v>EEZ</x:v>
      </x:c>
      <x:c r="D5" s="30" t="n">
        <x:v>2019</x:v>
      </x:c>
      <x:c r="E5" s="24" t="str">
        <x:v>Eledone</x:v>
      </x:c>
      <x:c r="F5" s="24" t="str">
        <x:v>Horned, musky octopuses</x:v>
      </x:c>
      <x:c r="G5" s="24" t="str">
        <x:v>Cephalopods</x:v>
      </x:c>
      <x:c r="H5" s="24" t="str">
        <x:v>Other fishes &amp; inverts</x:v>
      </x:c>
      <x:c r="I5" s="31" t="n">
        <x:v>16.2</x:v>
      </x:c>
      <x:c r="J5" s="31" t="n">
        <x:v>16.2</x:v>
      </x:c>
      <x:c r="K5" s="31" t="n">
        <x:v>0</x:v>
      </x:c>
      <x:c r="L5" s="31" t="n">
        <x:v>16.2</x:v>
      </x:c>
      <x:c r="M5" s="31" t="n">
        <x:v>0</x:v>
      </x:c>
      <x:c r="N5" s="24" t="str">
        <x:v>eledone</x:v>
      </x:c>
      <x:c r="O5" s="32" t="n">
        <x:v>3.67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Eledone</x:v>
      </x:c>
      <x:c r="T5" s="32" t="n">
        <x:f>IF(O5="","",(1/'Metadata'!$B$5)^(O5-1))</x:f>
        <x:v>467.73514128719813</x:v>
      </x:c>
      <x:c r="U5" s="31" t="n">
        <x:f>IF(T5="","",I5*T5)</x:f>
        <x:v>7577.30928885261</x:v>
      </x:c>
    </x:row>
    <x:row r="6" ht="18" customHeight="1">
      <x:c r="A6" s="24" t="str">
        <x:v>EEZ_705</x:v>
      </x:c>
      <x:c r="B6" s="24" t="str">
        <x:v>Slovenia</x:v>
      </x:c>
      <x:c r="C6" s="24" t="str">
        <x:v>EEZ</x:v>
      </x:c>
      <x:c r="D6" s="30" t="n">
        <x:v>2019</x:v>
      </x:c>
      <x:c r="E6" s="24" t="str">
        <x:v>Solea solea</x:v>
      </x:c>
      <x:c r="F6" s="24" t="str">
        <x:v>Common sole</x:v>
      </x:c>
      <x:c r="G6" s="24" t="str">
        <x:v>Small to medium flatfishes (&lt;90 cm)</x:v>
      </x:c>
      <x:c r="H6" s="24" t="str">
        <x:v>Flatfishes</x:v>
      </x:c>
      <x:c r="I6" s="31" t="n">
        <x:v>11.5078106615</x:v>
      </x:c>
      <x:c r="J6" s="31" t="n">
        <x:v>11.3</x:v>
      </x:c>
      <x:c r="K6" s="31" t="n">
        <x:v>0.2078106615</x:v>
      </x:c>
      <x:c r="L6" s="31" t="n">
        <x:v>11.3</x:v>
      </x:c>
      <x:c r="M6" s="31" t="n">
        <x:v>0.2078106615</x:v>
      </x:c>
      <x:c r="N6" s="24" t="str">
        <x:v>solea solea</x:v>
      </x:c>
      <x:c r="O6" s="32" t="n">
        <x:v>3.21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Solea solea</x:v>
      </x:c>
      <x:c r="T6" s="32" t="n">
        <x:f>IF(O6="","",(1/'Metadata'!$B$5)^(O6-1))</x:f>
        <x:v>162.18100973589299</x:v>
      </x:c>
      <x:c r="U6" s="31" t="n">
        <x:f>IF(T6="","",I6*T6)</x:f>
        <x:v>1866.3483529315447</x:v>
      </x:c>
    </x:row>
    <x:row r="7" ht="18" customHeight="1">
      <x:c r="A7" s="24" t="str">
        <x:v>EEZ_705</x:v>
      </x:c>
      <x:c r="B7" s="24" t="str">
        <x:v>Slovenia</x:v>
      </x:c>
      <x:c r="C7" s="24" t="str">
        <x:v>EEZ</x:v>
      </x:c>
      <x:c r="D7" s="30" t="n">
        <x:v>2019</x:v>
      </x:c>
      <x:c r="E7" s="24" t="str">
        <x:v>Sparus aurata</x:v>
      </x:c>
      <x:c r="F7" s="24" t="str">
        <x:v>Gilthead seabream</x:v>
      </x:c>
      <x:c r="G7" s="24" t="str">
        <x:v>Medium demersals (30 - 89 cm)</x:v>
      </x:c>
      <x:c r="H7" s="24" t="str">
        <x:v>Perch-likes</x:v>
      </x:c>
      <x:c r="I7" s="31" t="n">
        <x:v>10.9761814414</x:v>
      </x:c>
      <x:c r="J7" s="31" t="n">
        <x:v>10.8223825944</x:v>
      </x:c>
      <x:c r="K7" s="31" t="n">
        <x:v>0.153798847</x:v>
      </x:c>
      <x:c r="L7" s="31" t="n">
        <x:v>10.822</x:v>
      </x:c>
      <x:c r="M7" s="31" t="n">
        <x:v>0.15418144139999998</x:v>
      </x:c>
      <x:c r="N7" s="24" t="str">
        <x:v>sparus aurata</x:v>
      </x:c>
      <x:c r="O7" s="32" t="n">
        <x:v>3.7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Sparus aurata</x:v>
      </x:c>
      <x:c r="T7" s="32" t="n">
        <x:f>IF(O7="","",(1/'Metadata'!$B$5)^(O7-1))</x:f>
        <x:v>501.18723362727246</x:v>
      </x:c>
      <x:c r="U7" s="31" t="n">
        <x:f>IF(T7="","",I7*T7)</x:f>
        <x:v>5501.122012406274</x:v>
      </x:c>
    </x:row>
    <x:row r="8" ht="18" customHeight="1">
      <x:c r="A8" s="24" t="str">
        <x:v>EEZ_705</x:v>
      </x:c>
      <x:c r="B8" s="24" t="str">
        <x:v>Slovenia</x:v>
      </x:c>
      <x:c r="C8" s="24" t="str">
        <x:v>EEZ</x:v>
      </x:c>
      <x:c r="D8" s="30" t="n">
        <x:v>2019</x:v>
      </x:c>
      <x:c r="E8" s="24" t="str">
        <x:v>Engraulidae</x:v>
      </x:c>
      <x:c r="F8" s="24" t="str">
        <x:v>Anchovies, round herrings</x:v>
      </x:c>
      <x:c r="G8" s="24" t="str">
        <x:v>Small pelagics (&lt;30 cm)</x:v>
      </x:c>
      <x:c r="H8" s="24" t="str">
        <x:v>Anchovies</x:v>
      </x:c>
      <x:c r="I8" s="31" t="n">
        <x:v>6.5874561201</x:v>
      </x:c>
      <x:c r="J8" s="31" t="n">
        <x:v>6.5874561201</x:v>
      </x:c>
      <x:c r="K8" s="31" t="n">
        <x:v>0</x:v>
      </x:c>
      <x:c r="L8" s="31" t="n">
        <x:v>0</x:v>
      </x:c>
      <x:c r="M8" s="31" t="n">
        <x:v>6.5874561201</x:v>
      </x:c>
      <x:c r="N8" s="24" t="str">
        <x:v>engraulidae</x:v>
      </x:c>
      <x:c r="O8" s="32" t="n">
        <x:v>3.2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Engraulidae</x:v>
      </x:c>
      <x:c r="T8" s="32" t="n">
        <x:f>IF(O8="","",(1/'Metadata'!$B$5)^(O8-1))</x:f>
        <x:v>158.48931924611142</x:v>
      </x:c>
      <x:c r="U8" s="31" t="n">
        <x:f>IF(T8="","",I8*T8)</x:f>
        <x:v>1044.0414360382792</x:v>
      </x:c>
    </x:row>
    <x:row r="9" ht="18" customHeight="1">
      <x:c r="A9" s="24" t="str">
        <x:v>EEZ_705</x:v>
      </x:c>
      <x:c r="B9" s="24" t="str">
        <x:v>Slovenia</x:v>
      </x:c>
      <x:c r="C9" s="24" t="str">
        <x:v>EEZ</x:v>
      </x:c>
      <x:c r="D9" s="30" t="n">
        <x:v>2019</x:v>
      </x:c>
      <x:c r="E9" s="24" t="str">
        <x:v>Pagellus erythrinus</x:v>
      </x:c>
      <x:c r="F9" s="24" t="str">
        <x:v>Common pandora</x:v>
      </x:c>
      <x:c r="G9" s="24" t="str">
        <x:v>Medium benthopelagics (30 - 89 cm)</x:v>
      </x:c>
      <x:c r="H9" s="24" t="str">
        <x:v>Perch-likes</x:v>
      </x:c>
      <x:c r="I9" s="31" t="n">
        <x:v>6.062699890399999</x:v>
      </x:c>
      <x:c r="J9" s="31" t="n">
        <x:v>5.7322451945</x:v>
      </x:c>
      <x:c r="K9" s="31" t="n">
        <x:v>0.3304546959</x:v>
      </x:c>
      <x:c r="L9" s="31" t="n">
        <x:v>5.7299999998999995</x:v>
      </x:c>
      <x:c r="M9" s="31" t="n">
        <x:v>0.3326998905</x:v>
      </x:c>
      <x:c r="N9" s="24" t="str">
        <x:v>pagellus erythrinus</x:v>
      </x:c>
      <x:c r="O9" s="32" t="n">
        <x:v>3.48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Pagellus erythrinus</x:v>
      </x:c>
      <x:c r="T9" s="32" t="n">
        <x:f>IF(O9="","",(1/'Metadata'!$B$5)^(O9-1))</x:f>
        <x:v>301.9951720402016</x:v>
      </x:c>
      <x:c r="U9" s="31" t="n">
        <x:f>IF(T9="","",I9*T9)</x:f>
        <x:v>1830.9060964294592</x:v>
      </x:c>
    </x:row>
    <x:row r="10" ht="18" customHeight="1">
      <x:c r="A10" s="24" t="str">
        <x:v>EEZ_705</x:v>
      </x:c>
      <x:c r="B10" s="24" t="str">
        <x:v>Slovenia</x:v>
      </x:c>
      <x:c r="C10" s="24" t="str">
        <x:v>EEZ</x:v>
      </x:c>
      <x:c r="D10" s="30" t="n">
        <x:v>2019</x:v>
      </x:c>
      <x:c r="E10" s="24" t="str">
        <x:v>Sepia officinalis</x:v>
      </x:c>
      <x:c r="F10" s="24" t="str">
        <x:v>Common cuttlefish</x:v>
      </x:c>
      <x:c r="G10" s="24" t="str">
        <x:v>Cephalopods</x:v>
      </x:c>
      <x:c r="H10" s="24" t="str">
        <x:v>Other fishes &amp; inverts</x:v>
      </x:c>
      <x:c r="I10" s="31" t="n">
        <x:v>5.0098114526</x:v>
      </x:c>
      <x:c r="J10" s="31" t="n">
        <x:v>4.8615344575</x:v>
      </x:c>
      <x:c r="K10" s="31" t="n">
        <x:v>0.1482769951</x:v>
      </x:c>
      <x:c r="L10" s="31" t="n">
        <x:v>4.8579999999000005</x:v>
      </x:c>
      <x:c r="M10" s="31" t="n">
        <x:v>0.15181145270000002</x:v>
      </x:c>
      <x:c r="N10" s="24" t="str">
        <x:v>sepia officinalis</x:v>
      </x:c>
      <x:c r="O10" s="32" t="n">
        <x:v>4.27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Sepia officinalis</x:v>
      </x:c>
      <x:c r="T10" s="32" t="n">
        <x:f>IF(O10="","",(1/'Metadata'!$B$5)^(O10-1))</x:f>
        <x:v>1862.0871366628655</x:v>
      </x:c>
      <x:c r="U10" s="31" t="n">
        <x:f>IF(T10="","",I10*T10)</x:f>
        <x:v>9328.705462992766</x:v>
      </x:c>
    </x:row>
    <x:row r="11" ht="18" customHeight="1">
      <x:c r="A11" s="24" t="str">
        <x:v>EEZ_705</x:v>
      </x:c>
      <x:c r="B11" s="24" t="str">
        <x:v>Slovenia</x:v>
      </x:c>
      <x:c r="C11" s="24" t="str">
        <x:v>EEZ</x:v>
      </x:c>
      <x:c r="D11" s="30" t="n">
        <x:v>2019</x:v>
      </x:c>
      <x:c r="E11" s="24" t="str">
        <x:v>Spicara maena</x:v>
      </x:c>
      <x:c r="F11" s="24" t="str">
        <x:v>Blotched picarel</x:v>
      </x:c>
      <x:c r="G11" s="24" t="str">
        <x:v>Small demersals (&lt;30 cm)</x:v>
      </x:c>
      <x:c r="H11" s="24" t="str">
        <x:v>Perch-likes</x:v>
      </x:c>
      <x:c r="I11" s="31" t="n">
        <x:v>4.841</x:v>
      </x:c>
      <x:c r="J11" s="31" t="n">
        <x:v>4.841</x:v>
      </x:c>
      <x:c r="K11" s="31" t="n">
        <x:v>0</x:v>
      </x:c>
      <x:c r="L11" s="31" t="n">
        <x:v>4.841</x:v>
      </x:c>
      <x:c r="M11" s="31" t="n">
        <x:v>0</x:v>
      </x:c>
      <x:c r="N11" s="24" t="str">
        <x:v>spicara maena</x:v>
      </x:c>
      <x:c r="O11" s="32" t="n">
        <x:v>4.15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Spicara maena</x:v>
      </x:c>
      <x:c r="T11" s="32" t="n">
        <x:f>IF(O11="","",(1/'Metadata'!$B$5)^(O11-1))</x:f>
        <x:v>1412.5375446227554</x:v>
      </x:c>
      <x:c r="U11" s="31" t="n">
        <x:f>IF(T11="","",I11*T11)</x:f>
        <x:v>6838.094253518759</x:v>
      </x:c>
    </x:row>
    <x:row r="12" ht="18" customHeight="1">
      <x:c r="A12" s="24" t="str">
        <x:v>EEZ_705</x:v>
      </x:c>
      <x:c r="B12" s="24" t="str">
        <x:v>Slovenia</x:v>
      </x:c>
      <x:c r="C12" s="24" t="str">
        <x:v>EEZ</x:v>
      </x:c>
      <x:c r="D12" s="30" t="n">
        <x:v>2019</x:v>
      </x:c>
      <x:c r="E12" s="24" t="str">
        <x:v>Mullus barbatus</x:v>
      </x:c>
      <x:c r="F12" s="24" t="str">
        <x:v>Red mullet</x:v>
      </x:c>
      <x:c r="G12" s="24" t="str">
        <x:v>Medium demersals (30 - 89 cm)</x:v>
      </x:c>
      <x:c r="H12" s="24" t="str">
        <x:v>Perch-likes</x:v>
      </x:c>
      <x:c r="I12" s="31" t="n">
        <x:v>3.9443673633</x:v>
      </x:c>
      <x:c r="J12" s="31" t="n">
        <x:v>3.852</x:v>
      </x:c>
      <x:c r="K12" s="31" t="n">
        <x:v>0.0923673633</x:v>
      </x:c>
      <x:c r="L12" s="31" t="n">
        <x:v>3.852</x:v>
      </x:c>
      <x:c r="M12" s="31" t="n">
        <x:v>0.0923673633</x:v>
      </x:c>
      <x:c r="N12" s="24" t="str">
        <x:v>mullus barbatus</x:v>
      </x:c>
      <x:c r="O12" s="32" t="n">
        <x:v>3.14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Mullus barbatus</x:v>
      </x:c>
      <x:c r="T12" s="32" t="n">
        <x:f>IF(O12="","",(1/'Metadata'!$B$5)^(O12-1))</x:f>
        <x:v>138.03842646028852</x:v>
      </x:c>
      <x:c r="U12" s="31" t="n">
        <x:f>IF(T12="","",I12*T12)</x:f>
        <x:v>544.4742642112492</x:v>
      </x:c>
    </x:row>
    <x:row r="13" ht="18" customHeight="1">
      <x:c r="A13" s="24" t="str">
        <x:v>EEZ_705</x:v>
      </x:c>
      <x:c r="B13" s="24" t="str">
        <x:v>Slovenia</x:v>
      </x:c>
      <x:c r="C13" s="24" t="str">
        <x:v>EEZ</x:v>
      </x:c>
      <x:c r="D13" s="30" t="n">
        <x:v>2019</x:v>
      </x:c>
      <x:c r="E13" s="24" t="str">
        <x:v>Sardina pilchardus</x:v>
      </x:c>
      <x:c r="F13" s="24" t="str">
        <x:v>European pilchard</x:v>
      </x:c>
      <x:c r="G13" s="24" t="str">
        <x:v>Small pelagics (&lt;30 cm)</x:v>
      </x:c>
      <x:c r="H13" s="24" t="str">
        <x:v>Herring-likes</x:v>
      </x:c>
      <x:c r="I13" s="31" t="n">
        <x:v>3.9173083989</x:v>
      </x:c>
      <x:c r="J13" s="31" t="n">
        <x:v>1.1079999998999999</x:v>
      </x:c>
      <x:c r="K13" s="31" t="n">
        <x:v>2.809308399</x:v>
      </x:c>
      <x:c r="L13" s="31" t="n">
        <x:v>1.1079999998999999</x:v>
      </x:c>
      <x:c r="M13" s="31" t="n">
        <x:v>2.809308399</x:v>
      </x:c>
      <x:c r="N13" s="24" t="str">
        <x:v>sardina pilchardus</x:v>
      </x:c>
      <x:c r="O13" s="32" t="n">
        <x:v>3.06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Sardina pilchardus</x:v>
      </x:c>
      <x:c r="T13" s="32" t="n">
        <x:f>IF(O13="","",(1/'Metadata'!$B$5)^(O13-1))</x:f>
        <x:v>114.81536214968828</x:v>
      </x:c>
      <x:c r="U13" s="31" t="n">
        <x:f>IF(T13="","",I13*T13)</x:f>
        <x:v>449.7671824717191</x:v>
      </x:c>
    </x:row>
    <x:row r="14" ht="18" customHeight="1">
      <x:c r="A14" s="24" t="str">
        <x:v>EEZ_705</x:v>
      </x:c>
      <x:c r="B14" s="24" t="str">
        <x:v>Slovenia</x:v>
      </x:c>
      <x:c r="C14" s="24" t="str">
        <x:v>EEZ</x:v>
      </x:c>
      <x:c r="D14" s="30" t="n">
        <x:v>2019</x:v>
      </x:c>
      <x:c r="E14" s="24" t="str">
        <x:v>Spicara</x:v>
      </x:c>
      <x:c r="F14" s="24" t="str">
        <x:v>Picarels</x:v>
      </x:c>
      <x:c r="G14" s="24" t="str">
        <x:v>Small demersals (&lt;30 cm)</x:v>
      </x:c>
      <x:c r="H14" s="24" t="str">
        <x:v>Perch-likes</x:v>
      </x:c>
      <x:c r="I14" s="31" t="n">
        <x:v>3.6793205084000005</x:v>
      </x:c>
      <x:c r="J14" s="31" t="n">
        <x:v>2.5013569020000004</x:v>
      </x:c>
      <x:c r="K14" s="31" t="n">
        <x:v>1.1779636064</x:v>
      </x:c>
      <x:c r="L14" s="31" t="n">
        <x:v>2.5</x:v>
      </x:c>
      <x:c r="M14" s="31" t="n">
        <x:v>1.1793205084</x:v>
      </x:c>
      <x:c r="N14" s="24" t="str">
        <x:v>spicara</x:v>
      </x:c>
      <x:c r="O14" s="32" t="n">
        <x:v>3.58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Spicara</x:v>
      </x:c>
      <x:c r="T14" s="32" t="n">
        <x:f>IF(O14="","",(1/'Metadata'!$B$5)^(O14-1))</x:f>
        <x:v>380.1893963205613</x:v>
      </x:c>
      <x:c r="U14" s="31" t="n">
        <x:f>IF(T14="","",I14*T14)</x:f>
        <x:v>1398.8386429584568</x:v>
      </x:c>
    </x:row>
    <x:row r="15" ht="18" customHeight="1">
      <x:c r="A15" s="24" t="str">
        <x:v>EEZ_705</x:v>
      </x:c>
      <x:c r="B15" s="24" t="str">
        <x:v>Slovenia</x:v>
      </x:c>
      <x:c r="C15" s="24" t="str">
        <x:v>EEZ</x:v>
      </x:c>
      <x:c r="D15" s="30" t="n">
        <x:v>2019</x:v>
      </x:c>
      <x:c r="E15" s="24" t="str">
        <x:v>Dicentrarchus labrax</x:v>
      </x:c>
      <x:c r="F15" s="24" t="str">
        <x:v>European seabass</x:v>
      </x:c>
      <x:c r="G15" s="24" t="str">
        <x:v>Large demersals (&gt;=90 cm)</x:v>
      </x:c>
      <x:c r="H15" s="24" t="str">
        <x:v>Perch-likes</x:v>
      </x:c>
      <x:c r="I15" s="31" t="n">
        <x:v>3.2252350227999997</x:v>
      </x:c>
      <x:c r="J15" s="31" t="n">
        <x:v>3.2142795803</x:v>
      </x:c>
      <x:c r="K15" s="31" t="n">
        <x:v>0.0109554425</x:v>
      </x:c>
      <x:c r="L15" s="31" t="n">
        <x:v>3.2139999999</x:v>
      </x:c>
      <x:c r="M15" s="31" t="n">
        <x:v>0.0112350229</x:v>
      </x:c>
      <x:c r="N15" s="24" t="str">
        <x:v>dicentrarchus labrax</x:v>
      </x:c>
      <x:c r="O15" s="32" t="n">
        <x:v>3.79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Dicentrarchus labrax</x:v>
      </x:c>
      <x:c r="T15" s="32" t="n">
        <x:f>IF(O15="","",(1/'Metadata'!$B$5)^(O15-1))</x:f>
        <x:v>616.5950018614822</x:v>
      </x:c>
      <x:c r="U15" s="31" t="n">
        <x:f>IF(T15="","",I15*T15)</x:f>
        <x:v>1988.6637948870832</x:v>
      </x:c>
    </x:row>
    <x:row r="16" ht="18" customHeight="1">
      <x:c r="A16" s="24" t="str">
        <x:v>EEZ_705</x:v>
      </x:c>
      <x:c r="B16" s="24" t="str">
        <x:v>Slovenia</x:v>
      </x:c>
      <x:c r="C16" s="24" t="str">
        <x:v>EEZ</x:v>
      </x:c>
      <x:c r="D16" s="30" t="n">
        <x:v>2019</x:v>
      </x:c>
      <x:c r="E16" s="24" t="str">
        <x:v>Mugilidae</x:v>
      </x:c>
      <x:c r="F16" s="24" t="str">
        <x:v>Mullets, grey mullets</x:v>
      </x:c>
      <x:c r="G16" s="24" t="str">
        <x:v>Medium reef assoc. fish (30 - 89 cm)</x:v>
      </x:c>
      <x:c r="H16" s="24" t="str">
        <x:v>Perch-likes</x:v>
      </x:c>
      <x:c r="I16" s="31" t="n">
        <x:v>3.0953329897</x:v>
      </x:c>
      <x:c r="J16" s="31" t="n">
        <x:v>3.0953329897</x:v>
      </x:c>
      <x:c r="K16" s="31" t="n">
        <x:v>0</x:v>
      </x:c>
      <x:c r="L16" s="31" t="n">
        <x:v>3.008</x:v>
      </x:c>
      <x:c r="M16" s="31" t="n">
        <x:v>0.0873329897</x:v>
      </x:c>
      <x:c r="N16" s="24" t="str">
        <x:v>mugilidae</x:v>
      </x:c>
      <x:c r="O16" s="32" t="n">
        <x:v>2.53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Mugilidae</x:v>
      </x:c>
      <x:c r="T16" s="32" t="n">
        <x:f>IF(O16="","",(1/'Metadata'!$B$5)^(O16-1))</x:f>
        <x:v>33.88441561392024</x:v>
      </x:c>
      <x:c r="U16" s="31" t="n">
        <x:f>IF(T16="","",I16*T16)</x:f>
        <x:v>104.8835494864731</x:v>
      </x:c>
    </x:row>
    <x:row r="17" ht="18" customHeight="1">
      <x:c r="A17" s="24" t="str">
        <x:v>EEZ_705</x:v>
      </x:c>
      <x:c r="B17" s="24" t="str">
        <x:v>Slovenia</x:v>
      </x:c>
      <x:c r="C17" s="24" t="str">
        <x:v>EEZ</x:v>
      </x:c>
      <x:c r="D17" s="30" t="n">
        <x:v>2019</x:v>
      </x:c>
      <x:c r="E17" s="24" t="str">
        <x:v>Mustelus mustelus</x:v>
      </x:c>
      <x:c r="F17" s="24" t="str">
        <x:v>Smooth-hound</x:v>
      </x:c>
      <x:c r="G17" s="24" t="str">
        <x:v>Large sharks (&gt;=90 cm)</x:v>
      </x:c>
      <x:c r="H17" s="24" t="str">
        <x:v>Sharks &amp; rays</x:v>
      </x:c>
      <x:c r="I17" s="31" t="n">
        <x:v>2.9885382035</x:v>
      </x:c>
      <x:c r="J17" s="31" t="n">
        <x:v>2.8480064686</x:v>
      </x:c>
      <x:c r="K17" s="31" t="n">
        <x:v>0.1405317349</x:v>
      </x:c>
      <x:c r="L17" s="31" t="n">
        <x:v>2.8479999999</x:v>
      </x:c>
      <x:c r="M17" s="31" t="n">
        <x:v>0.1405382036</x:v>
      </x:c>
      <x:c r="N17" s="24" t="str">
        <x:v>mustelus mustelus</x:v>
      </x:c>
      <x:c r="O17" s="32" t="n">
        <x:v>3.75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Mustelus mustelus</x:v>
      </x:c>
      <x:c r="T17" s="32" t="n">
        <x:f>IF(O17="","",(1/'Metadata'!$B$5)^(O17-1))</x:f>
        <x:v>562.341325190349</x:v>
      </x:c>
      <x:c r="U17" s="31" t="n">
        <x:f>IF(T17="","",I17*T17)</x:f>
        <x:v>1680.578533738175</x:v>
      </x:c>
    </x:row>
    <x:row r="18" ht="18" customHeight="1">
      <x:c r="A18" s="24" t="str">
        <x:v>EEZ_705</x:v>
      </x:c>
      <x:c r="B18" s="24" t="str">
        <x:v>Slovenia</x:v>
      </x:c>
      <x:c r="C18" s="24" t="str">
        <x:v>EEZ</x:v>
      </x:c>
      <x:c r="D18" s="30" t="n">
        <x:v>2019</x:v>
      </x:c>
      <x:c r="E18" s="24" t="str">
        <x:v>Platichthys flesus</x:v>
      </x:c>
      <x:c r="F18" s="24" t="str">
        <x:v>European flounder</x:v>
      </x:c>
      <x:c r="G18" s="24" t="str">
        <x:v>Small to medium flatfishes (&lt;90 cm)</x:v>
      </x:c>
      <x:c r="H18" s="24" t="str">
        <x:v>Flatfishes</x:v>
      </x:c>
      <x:c r="I18" s="31" t="n">
        <x:v>2.2278398602</x:v>
      </x:c>
      <x:c r="J18" s="31" t="n">
        <x:v>2.2070000001</x:v>
      </x:c>
      <x:c r="K18" s="31" t="n">
        <x:v>0.0208398601</x:v>
      </x:c>
      <x:c r="L18" s="31" t="n">
        <x:v>2.2070000001</x:v>
      </x:c>
      <x:c r="M18" s="31" t="n">
        <x:v>0.0208398601</x:v>
      </x:c>
      <x:c r="N18" s="24" t="str">
        <x:v>platichthys flesus</x:v>
      </x:c>
      <x:c r="O18" s="32" t="n">
        <x:v>3.32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Platichthys flesus</x:v>
      </x:c>
      <x:c r="T18" s="32" t="n">
        <x:f>IF(O18="","",(1/'Metadata'!$B$5)^(O18-1))</x:f>
        <x:v>208.92961308540387</x:v>
      </x:c>
      <x:c r="U18" s="31" t="n">
        <x:f>IF(T18="","",I18*T18)</x:f>
        <x:v>465.4617200078263</x:v>
      </x:c>
    </x:row>
    <x:row r="19" ht="18" customHeight="1">
      <x:c r="A19" s="24" t="str">
        <x:v>EEZ_705</x:v>
      </x:c>
      <x:c r="B19" s="24" t="str">
        <x:v>Slovenia</x:v>
      </x:c>
      <x:c r="C19" s="24" t="str">
        <x:v>EEZ</x:v>
      </x:c>
      <x:c r="D19" s="30" t="n">
        <x:v>2019</x:v>
      </x:c>
      <x:c r="E19" s="24" t="str">
        <x:v>Sprattus sprattus</x:v>
      </x:c>
      <x:c r="F19" s="24" t="str">
        <x:v>European sprat</x:v>
      </x:c>
      <x:c r="G19" s="24" t="str">
        <x:v>Small pelagics (&lt;30 cm)</x:v>
      </x:c>
      <x:c r="H19" s="24" t="str">
        <x:v>Herring-likes</x:v>
      </x:c>
      <x:c r="I19" s="31" t="n">
        <x:v>2.052605106</x:v>
      </x:c>
      <x:c r="J19" s="31" t="n">
        <x:v>0.443</x:v>
      </x:c>
      <x:c r="K19" s="31" t="n">
        <x:v>1.609605106</x:v>
      </x:c>
      <x:c r="L19" s="31" t="n">
        <x:v>0.443</x:v>
      </x:c>
      <x:c r="M19" s="31" t="n">
        <x:v>1.609605106</x:v>
      </x:c>
      <x:c r="N19" s="24" t="str">
        <x:v>sprattus sprattus</x:v>
      </x:c>
      <x:c r="O19" s="32" t="n">
        <x:v>3.01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Sprattus sprattus</x:v>
      </x:c>
      <x:c r="T19" s="32" t="n">
        <x:f>IF(O19="","",(1/'Metadata'!$B$5)^(O19-1))</x:f>
        <x:v>102.32929922807536</x:v>
      </x:c>
      <x:c r="U19" s="31" t="n">
        <x:f>IF(T19="","",I19*T19)</x:f>
        <x:v>210.04164208894935</x:v>
      </x:c>
    </x:row>
    <x:row r="20" ht="18" customHeight="1">
      <x:c r="A20" s="24" t="str">
        <x:v>EEZ_705</x:v>
      </x:c>
      <x:c r="B20" s="24" t="str">
        <x:v>Slovenia</x:v>
      </x:c>
      <x:c r="C20" s="24" t="str">
        <x:v>EEZ</x:v>
      </x:c>
      <x:c r="D20" s="30" t="n">
        <x:v>2019</x:v>
      </x:c>
      <x:c r="E20" s="24" t="str">
        <x:v>Bolinus brandaris</x:v>
      </x:c>
      <x:c r="F20" s="24" t="str">
        <x:v>Purple dye murex</x:v>
      </x:c>
      <x:c r="G20" s="24" t="str">
        <x:v>Other demersal invertebrates</x:v>
      </x:c>
      <x:c r="H20" s="24" t="str">
        <x:v>Molluscs</x:v>
      </x:c>
      <x:c r="I20" s="31" t="n">
        <x:v>1.7022656356</x:v>
      </x:c>
      <x:c r="J20" s="31" t="n">
        <x:v>0.45800000009999997</x:v>
      </x:c>
      <x:c r="K20" s="31" t="n">
        <x:v>1.2442656355</x:v>
      </x:c>
      <x:c r="L20" s="31" t="n">
        <x:v>0.45800000009999997</x:v>
      </x:c>
      <x:c r="M20" s="31" t="n">
        <x:v>1.2442656355</x:v>
      </x:c>
      <x:c r="N20" s="24" t="str">
        <x:v>bolinus brandaris</x:v>
      </x:c>
      <x:c r="O20" s="32" t="n">
        <x:v>3.23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Bolinus brandaris</x:v>
      </x:c>
      <x:c r="T20" s="32" t="n">
        <x:f>IF(O20="","",(1/'Metadata'!$B$5)^(O20-1))</x:f>
        <x:v>169.82436524617444</x:v>
      </x:c>
      <x:c r="U20" s="31" t="n">
        <x:f>IF(T20="","",I20*T20)</x:f>
        <x:v>289.0861810461457</x:v>
      </x:c>
    </x:row>
    <x:row r="21" ht="18" customHeight="1">
      <x:c r="A21" s="24" t="str">
        <x:v>EEZ_705</x:v>
      </x:c>
      <x:c r="B21" s="24" t="str">
        <x:v>Slovenia</x:v>
      </x:c>
      <x:c r="C21" s="24" t="str">
        <x:v>EEZ</x:v>
      </x:c>
      <x:c r="D21" s="30" t="n">
        <x:v>2019</x:v>
      </x:c>
      <x:c r="E21" s="24" t="str">
        <x:v>Chelidonichthys lucerna</x:v>
      </x:c>
      <x:c r="F21" s="24" t="str">
        <x:v>Tub gurnard</x:v>
      </x:c>
      <x:c r="G21" s="24" t="str">
        <x:v>Medium demersals (30 - 89 cm)</x:v>
      </x:c>
      <x:c r="H21" s="24" t="str">
        <x:v>Scorpionfishes</x:v>
      </x:c>
      <x:c r="I21" s="31" t="n">
        <x:v>1.6298500452</x:v>
      </x:c>
      <x:c r="J21" s="31" t="n">
        <x:v>1.4969999998999999</x:v>
      </x:c>
      <x:c r="K21" s="31" t="n">
        <x:v>0.1328500453</x:v>
      </x:c>
      <x:c r="L21" s="31" t="n">
        <x:v>1.4969999998999999</x:v>
      </x:c>
      <x:c r="M21" s="31" t="n">
        <x:v>0.1328500453</x:v>
      </x:c>
      <x:c r="N21" s="24" t="str">
        <x:v>chelidonichthys lucerna</x:v>
      </x:c>
      <x:c r="O21" s="32" t="n">
        <x:v>3.98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Chelidonichthys lucerna</x:v>
      </x:c>
      <x:c r="T21" s="32" t="n">
        <x:f>IF(O21="","",(1/'Metadata'!$B$5)^(O21-1))</x:f>
        <x:v>954.992586021436</x:v>
      </x:c>
      <x:c r="U21" s="31" t="n">
        <x:f>IF(T21="","",I21*T21)</x:f>
        <x:v>1556.4947094927022</x:v>
      </x:c>
    </x:row>
    <x:row r="22" ht="18" customHeight="1">
      <x:c r="A22" s="24" t="str">
        <x:v>EEZ_705</x:v>
      </x:c>
      <x:c r="B22" s="24" t="str">
        <x:v>Slovenia</x:v>
      </x:c>
      <x:c r="C22" s="24" t="str">
        <x:v>EEZ</x:v>
      </x:c>
      <x:c r="D22" s="30" t="n">
        <x:v>2019</x:v>
      </x:c>
      <x:c r="E22" s="24" t="str">
        <x:v>Diplodus annularis</x:v>
      </x:c>
      <x:c r="F22" s="24" t="str">
        <x:v>Annular seabream</x:v>
      </x:c>
      <x:c r="G22" s="24" t="str">
        <x:v>Small benthopelagics (&lt;30 cm)</x:v>
      </x:c>
      <x:c r="H22" s="24" t="str">
        <x:v>Perch-likes</x:v>
      </x:c>
      <x:c r="I22" s="31" t="n">
        <x:v>1.5097410155</x:v>
      </x:c>
      <x:c r="J22" s="31" t="n">
        <x:v>0.8662779396999999</x:v>
      </x:c>
      <x:c r="K22" s="31" t="n">
        <x:v>0.6434630758</x:v>
      </x:c>
      <x:c r="L22" s="31" t="n">
        <x:v>0.8659999999999999</x:v>
      </x:c>
      <x:c r="M22" s="31" t="n">
        <x:v>0.6437410155</x:v>
      </x:c>
      <x:c r="N22" s="24" t="str">
        <x:v>diplodus annularis</x:v>
      </x:c>
      <x:c r="O22" s="32" t="n">
        <x:v>3.64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Diplodus annularis</x:v>
      </x:c>
      <x:c r="T22" s="32" t="n">
        <x:f>IF(O22="","",(1/'Metadata'!$B$5)^(O22-1))</x:f>
        <x:v>436.5158322401661</x:v>
      </x:c>
      <x:c r="U22" s="31" t="n">
        <x:f>IF(T22="","",I22*T22)</x:f>
        <x:v>659.025855848096</x:v>
      </x:c>
    </x:row>
    <x:row r="23" ht="18" customHeight="1">
      <x:c r="A23" s="24" t="str">
        <x:v>EEZ_705</x:v>
      </x:c>
      <x:c r="B23" s="24" t="str">
        <x:v>Slovenia</x:v>
      </x:c>
      <x:c r="C23" s="24" t="str">
        <x:v>EEZ</x:v>
      </x:c>
      <x:c r="D23" s="30" t="n">
        <x:v>2019</x:v>
      </x:c>
      <x:c r="E23" s="24" t="str">
        <x:v>Scomber scombrus</x:v>
      </x:c>
      <x:c r="F23" s="24" t="str">
        <x:v>Atlantic mackerel</x:v>
      </x:c>
      <x:c r="G23" s="24" t="str">
        <x:v>Medium pelagics (30 - 89 cm)</x:v>
      </x:c>
      <x:c r="H23" s="24" t="str">
        <x:v>Perch-likes</x:v>
      </x:c>
      <x:c r="I23" s="31" t="n">
        <x:v>1.4685745015</x:v>
      </x:c>
      <x:c r="J23" s="31" t="n">
        <x:v>1.4233943975</x:v>
      </x:c>
      <x:c r="K23" s="31" t="n">
        <x:v>0.045180104</x:v>
      </x:c>
      <x:c r="L23" s="31" t="n">
        <x:v>1.422</x:v>
      </x:c>
      <x:c r="M23" s="31" t="n">
        <x:v>0.0465745015</x:v>
      </x:c>
      <x:c r="N23" s="24" t="str">
        <x:v>scomber scombrus</x:v>
      </x:c>
      <x:c r="O23" s="32" t="n">
        <x:v>3.63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Scomber scombrus</x:v>
      </x:c>
      <x:c r="T23" s="32" t="n">
        <x:f>IF(O23="","",(1/'Metadata'!$B$5)^(O23-1))</x:f>
        <x:v>426.57951880159254</x:v>
      </x:c>
      <x:c r="U23" s="31" t="n">
        <x:f>IF(T23="","",I23*T23)</x:f>
        <x:v>626.4638041741587</x:v>
      </x:c>
    </x:row>
    <x:row r="24" ht="18" customHeight="1">
      <x:c r="A24" s="24" t="str">
        <x:v>EEZ_705</x:v>
      </x:c>
      <x:c r="B24" s="24" t="str">
        <x:v>Slovenia</x:v>
      </x:c>
      <x:c r="C24" s="24" t="str">
        <x:v>EEZ</x:v>
      </x:c>
      <x:c r="D24" s="30" t="n">
        <x:v>2019</x:v>
      </x:c>
      <x:c r="E24" s="24" t="str">
        <x:v>Squilla mantis</x:v>
      </x:c>
      <x:c r="F24" s="24" t="str">
        <x:v>Spottail mantis squillid</x:v>
      </x:c>
      <x:c r="G24" s="24" t="str">
        <x:v>Shrimps</x:v>
      </x:c>
      <x:c r="H24" s="24" t="str">
        <x:v>Crustaceans</x:v>
      </x:c>
      <x:c r="I24" s="31" t="n">
        <x:v>1.4115488201</x:v>
      </x:c>
      <x:c r="J24" s="31" t="n">
        <x:v>1.3340000001</x:v>
      </x:c>
      <x:c r="K24" s="31" t="n">
        <x:v>0.07754882</x:v>
      </x:c>
      <x:c r="L24" s="31" t="n">
        <x:v>1.3340000001</x:v>
      </x:c>
      <x:c r="M24" s="31" t="n">
        <x:v>0.07754882</x:v>
      </x:c>
      <x:c r="N24" s="24" t="str">
        <x:v>squilla mantis</x:v>
      </x:c>
      <x:c r="O24" s="32" t="n">
        <x:v>3.62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Squilla mantis</x:v>
      </x:c>
      <x:c r="T24" s="32" t="n">
        <x:f>IF(O24="","",(1/'Metadata'!$B$5)^(O24-1))</x:f>
        <x:v>416.8693834703355</x:v>
      </x:c>
      <x:c r="U24" s="31" t="n">
        <x:f>IF(T24="","",I24*T24)</x:f>
        <x:v>588.4314863733665</x:v>
      </x:c>
    </x:row>
    <x:row r="25" ht="18" customHeight="1">
      <x:c r="A25" s="24" t="str">
        <x:v>EEZ_705</x:v>
      </x:c>
      <x:c r="B25" s="24" t="str">
        <x:v>Slovenia</x:v>
      </x:c>
      <x:c r="C25" s="24" t="str">
        <x:v>EEZ</x:v>
      </x:c>
      <x:c r="D25" s="30" t="n">
        <x:v>2019</x:v>
      </x:c>
      <x:c r="E25" s="24" t="str">
        <x:v>Venus verrucosa</x:v>
      </x:c>
      <x:c r="F25" s="24" t="str">
        <x:v>Warty venus</x:v>
      </x:c>
      <x:c r="G25" s="24" t="str">
        <x:v>Other demersal invertebrates</x:v>
      </x:c>
      <x:c r="H25" s="24" t="str">
        <x:v>Molluscs</x:v>
      </x:c>
      <x:c r="I25" s="31" t="n">
        <x:v>1.2000000000000002</x:v>
      </x:c>
      <x:c r="J25" s="31" t="n">
        <x:v>1.2000000000000002</x:v>
      </x:c>
      <x:c r="K25" s="31" t="n">
        <x:v>0</x:v>
      </x:c>
      <x:c r="L25" s="31" t="n">
        <x:v>1.2000000000000002</x:v>
      </x:c>
      <x:c r="M25" s="31" t="n">
        <x:v>0</x:v>
      </x:c>
      <x:c r="N25" s="24" t="str">
        <x:v>venus verrucosa</x:v>
      </x:c>
      <x:c r="O25" s="32" t="n">
        <x:v>2</x:v>
      </x:c>
      <x:c r="P25" s="24" t="str">
        <x:v>exact_sea_around_us</x:v>
      </x:c>
      <x:c r="Q25" s="32" t="str">
        <x:v>Sea Around Us exploited organisms</x:v>
      </x:c>
      <x:c r="R25" s="24" t="str">
        <x:v>high</x:v>
      </x:c>
      <x:c r="S25" s="24" t="str">
        <x:v>Venus verrucosa</x:v>
      </x:c>
      <x:c r="T25" s="32" t="n">
        <x:f>IF(O25="","",(1/'Metadata'!$B$5)^(O25-1))</x:f>
        <x:v>10</x:v>
      </x:c>
      <x:c r="U25" s="31" t="n">
        <x:f>IF(T25="","",I25*T25)</x:f>
        <x:v>12.000000000000002</x:v>
      </x:c>
    </x:row>
    <x:row r="26" ht="18" customHeight="1">
      <x:c r="A26" s="24" t="str">
        <x:v>EEZ_705</x:v>
      </x:c>
      <x:c r="B26" s="24" t="str">
        <x:v>Slovenia</x:v>
      </x:c>
      <x:c r="C26" s="24" t="str">
        <x:v>EEZ</x:v>
      </x:c>
      <x:c r="D26" s="30" t="n">
        <x:v>2019</x:v>
      </x:c>
      <x:c r="E26" s="24" t="str">
        <x:v>Zeus faber</x:v>
      </x:c>
      <x:c r="F26" s="24" t="str">
        <x:v>John dory</x:v>
      </x:c>
      <x:c r="G26" s="24" t="str">
        <x:v>Medium benthopelagics (30 - 89 cm)</x:v>
      </x:c>
      <x:c r="H26" s="24" t="str">
        <x:v>Other fishes &amp; inverts</x:v>
      </x:c>
      <x:c r="I26" s="31" t="n">
        <x:v>1.1978070048</x:v>
      </x:c>
      <x:c r="J26" s="31" t="n">
        <x:v>1.1939999999</x:v>
      </x:c>
      <x:c r="K26" s="31" t="n">
        <x:v>0.0038070049</x:v>
      </x:c>
      <x:c r="L26" s="31" t="n">
        <x:v>1.1939999999</x:v>
      </x:c>
      <x:c r="M26" s="31" t="n">
        <x:v>0.0038070049</x:v>
      </x:c>
      <x:c r="N26" s="24" t="str">
        <x:v>zeus faber</x:v>
      </x:c>
      <x:c r="O26" s="32" t="n">
        <x:v>4.5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Zeus faber</x:v>
      </x:c>
      <x:c r="T26" s="32" t="n">
        <x:f>IF(O26="","",(1/'Metadata'!$B$5)^(O26-1))</x:f>
        <x:v>3162.2776601683795</x:v>
      </x:c>
      <x:c r="U26" s="31" t="n">
        <x:f>IF(T26="","",I26*T26)</x:f>
        <x:v>3787.798332472239</x:v>
      </x:c>
    </x:row>
    <x:row r="27" ht="18" customHeight="1">
      <x:c r="A27" s="24" t="str">
        <x:v>EEZ_705</x:v>
      </x:c>
      <x:c r="B27" s="24" t="str">
        <x:v>Slovenia</x:v>
      </x:c>
      <x:c r="C27" s="24" t="str">
        <x:v>EEZ</x:v>
      </x:c>
      <x:c r="D27" s="30" t="n">
        <x:v>2019</x:v>
      </x:c>
      <x:c r="E27" s="24" t="str">
        <x:v>Atherina boyeri</x:v>
      </x:c>
      <x:c r="F27" s="24" t="str">
        <x:v>Big-scale sand smelt</x:v>
      </x:c>
      <x:c r="G27" s="24" t="str">
        <x:v>Small demersals (&lt;30 cm)</x:v>
      </x:c>
      <x:c r="H27" s="24" t="str">
        <x:v>Other fishes &amp; inverts</x:v>
      </x:c>
      <x:c r="I27" s="31" t="n">
        <x:v>1.1</x:v>
      </x:c>
      <x:c r="J27" s="31" t="n">
        <x:v>1.1</x:v>
      </x:c>
      <x:c r="K27" s="31" t="n">
        <x:v>0</x:v>
      </x:c>
      <x:c r="L27" s="31" t="n">
        <x:v>1.1</x:v>
      </x:c>
      <x:c r="M27" s="31" t="n">
        <x:v>0</x:v>
      </x:c>
      <x:c r="N27" s="24" t="str">
        <x:v>atherina boyeri</x:v>
      </x:c>
      <x:c r="O27" s="32" t="n">
        <x:v>3.22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Atherina boyeri</x:v>
      </x:c>
      <x:c r="T27" s="32" t="n">
        <x:f>IF(O27="","",(1/'Metadata'!$B$5)^(O27-1))</x:f>
        <x:v>165.95869074375614</x:v>
      </x:c>
      <x:c r="U27" s="31" t="n">
        <x:f>IF(T27="","",I27*T27)</x:f>
        <x:v>182.55455981813176</x:v>
      </x:c>
    </x:row>
    <x:row r="28" ht="18" customHeight="1">
      <x:c r="A28" s="24" t="str">
        <x:v>EEZ_705</x:v>
      </x:c>
      <x:c r="B28" s="24" t="str">
        <x:v>Slovenia</x:v>
      </x:c>
      <x:c r="C28" s="24" t="str">
        <x:v>EEZ</x:v>
      </x:c>
      <x:c r="D28" s="30" t="n">
        <x:v>2019</x:v>
      </x:c>
      <x:c r="E28" s="24" t="str">
        <x:v>Cephalopoda</x:v>
      </x:c>
      <x:c r="F28" s="24" t="str">
        <x:v>Squids, cuttlefishes, octopuses</x:v>
      </x:c>
      <x:c r="G28" s="24" t="str">
        <x:v>Cephalopods</x:v>
      </x:c>
      <x:c r="H28" s="24" t="str">
        <x:v>Other fishes &amp; inverts</x:v>
      </x:c>
      <x:c r="I28" s="31" t="n">
        <x:v>1.0510425941</x:v>
      </x:c>
      <x:c r="J28" s="31" t="n">
        <x:v>1.0510425941</x:v>
      </x:c>
      <x:c r="K28" s="31" t="n">
        <x:v>0</x:v>
      </x:c>
      <x:c r="L28" s="31" t="n">
        <x:v>0</x:v>
      </x:c>
      <x:c r="M28" s="31" t="n">
        <x:v>1.0510425941</x:v>
      </x:c>
      <x:c r="N28" s="24" t="str">
        <x:v>cephalopoda</x:v>
      </x:c>
      <x:c r="O28" s="32" t="n">
        <x:v>3.81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Cephalopoda</x:v>
      </x:c>
      <x:c r="T28" s="32" t="n">
        <x:f>IF(O28="","",(1/'Metadata'!$B$5)^(O28-1))</x:f>
        <x:v>645.6542290346556</x:v>
      </x:c>
      <x:c r="U28" s="31" t="n">
        <x:f>IF(T28="","",I28*T28)</x:f>
        <x:v>678.6100957762199</x:v>
      </x:c>
    </x:row>
    <x:row r="29" ht="18" customHeight="1">
      <x:c r="A29" s="24" t="str">
        <x:v>EEZ_705</x:v>
      </x:c>
      <x:c r="B29" s="24" t="str">
        <x:v>Slovenia</x:v>
      </x:c>
      <x:c r="C29" s="24" t="str">
        <x:v>EEZ</x:v>
      </x:c>
      <x:c r="D29" s="30" t="n">
        <x:v>2019</x:v>
      </x:c>
      <x:c r="E29" s="24" t="str">
        <x:v>Merluccius</x:v>
      </x:c>
      <x:c r="F29" s="24" t="str">
        <x:v>Hakes</x:v>
      </x:c>
      <x:c r="G29" s="24" t="str">
        <x:v>Medium bathydemersals (30 - 89 cm)</x:v>
      </x:c>
      <x:c r="H29" s="24" t="str">
        <x:v>Cod-likes</x:v>
      </x:c>
      <x:c r="I29" s="31" t="n">
        <x:v>0.9075490266</x:v>
      </x:c>
      <x:c r="J29" s="31" t="n">
        <x:v>0.9075490266</x:v>
      </x:c>
      <x:c r="K29" s="31" t="n">
        <x:v>0</x:v>
      </x:c>
      <x:c r="L29" s="31" t="n">
        <x:v>0</x:v>
      </x:c>
      <x:c r="M29" s="31" t="n">
        <x:v>0.9075490266</x:v>
      </x:c>
      <x:c r="N29" s="24" t="str">
        <x:v>merluccius</x:v>
      </x:c>
      <x:c r="O29" s="32" t="n">
        <x:v>4.27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Merluccius</x:v>
      </x:c>
      <x:c r="T29" s="32" t="n">
        <x:f>IF(O29="","",(1/'Metadata'!$B$5)^(O29-1))</x:f>
        <x:v>1862.0871366628655</x:v>
      </x:c>
      <x:c r="U29" s="31" t="n">
        <x:f>IF(T29="","",I29*T29)</x:f>
        <x:v>1689.9353683227648</x:v>
      </x:c>
    </x:row>
    <x:row r="30" ht="18" customHeight="1">
      <x:c r="A30" s="24" t="str">
        <x:v>EEZ_705</x:v>
      </x:c>
      <x:c r="B30" s="24" t="str">
        <x:v>Slovenia</x:v>
      </x:c>
      <x:c r="C30" s="24" t="str">
        <x:v>EEZ</x:v>
      </x:c>
      <x:c r="D30" s="30" t="n">
        <x:v>2019</x:v>
      </x:c>
      <x:c r="E30" s="24" t="str">
        <x:v>Chelon auratus</x:v>
      </x:c>
      <x:c r="F30" s="24" t="str">
        <x:v>Golden grey mullet</x:v>
      </x:c>
      <x:c r="G30" s="24" t="str">
        <x:v>Medium pelagics (30 - 89 cm)</x:v>
      </x:c>
      <x:c r="H30" s="24" t="str">
        <x:v>Other fishes &amp; inverts</x:v>
      </x:c>
      <x:c r="I30" s="31" t="n">
        <x:v>0.9012810702</x:v>
      </x:c>
      <x:c r="J30" s="31" t="n">
        <x:v>0.9</x:v>
      </x:c>
      <x:c r="K30" s="31" t="n">
        <x:v>0.0012810702</x:v>
      </x:c>
      <x:c r="L30" s="31" t="n">
        <x:v>0.9</x:v>
      </x:c>
      <x:c r="M30" s="31" t="n">
        <x:v>0.0012810702</x:v>
      </x:c>
      <x:c r="N30" s="24" t="str">
        <x:v>chelon auratus</x:v>
      </x:c>
      <x:c r="O30" s="32" t="n">
        <x:v>2.8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Chelon auratus</x:v>
      </x:c>
      <x:c r="T30" s="32" t="n">
        <x:f>IF(O30="","",(1/'Metadata'!$B$5)^(O30-1))</x:f>
        <x:v>63.0957344480193</x:v>
      </x:c>
      <x:c r="U30" s="31" t="n">
        <x:f>IF(T30="","",I30*T30)</x:f>
        <x:v>56.86699106836584</x:v>
      </x:c>
    </x:row>
    <x:row r="31" ht="18" customHeight="1">
      <x:c r="A31" s="24" t="str">
        <x:v>EEZ_705</x:v>
      </x:c>
      <x:c r="B31" s="24" t="str">
        <x:v>Slovenia</x:v>
      </x:c>
      <x:c r="C31" s="24" t="str">
        <x:v>EEZ</x:v>
      </x:c>
      <x:c r="D31" s="30" t="n">
        <x:v>2019</x:v>
      </x:c>
      <x:c r="E31" s="24" t="str">
        <x:v>Chelon labrosus</x:v>
      </x:c>
      <x:c r="F31" s="24" t="str">
        <x:v>Thicklip grey mullet</x:v>
      </x:c>
      <x:c r="G31" s="24" t="str">
        <x:v>Medium demersals (30 - 89 cm)</x:v>
      </x:c>
      <x:c r="H31" s="24" t="str">
        <x:v>Perch-likes</x:v>
      </x:c>
      <x:c r="I31" s="31" t="n">
        <x:v>0.8060567591</x:v>
      </x:c>
      <x:c r="J31" s="31" t="n">
        <x:v>0.8009999998999999</x:v>
      </x:c>
      <x:c r="K31" s="31" t="n">
        <x:v>0.0050567592</x:v>
      </x:c>
      <x:c r="L31" s="31" t="n">
        <x:v>0.8009999998999999</x:v>
      </x:c>
      <x:c r="M31" s="31" t="n">
        <x:v>0.0050567592</x:v>
      </x:c>
      <x:c r="N31" s="24" t="str">
        <x:v>chelon labrosus</x:v>
      </x:c>
      <x:c r="O31" s="32" t="n">
        <x:v>2.59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Chelon labrosus</x:v>
      </x:c>
      <x:c r="T31" s="32" t="n">
        <x:f>IF(O31="","",(1/'Metadata'!$B$5)^(O31-1))</x:f>
        <x:v>38.904514499428046</x:v>
      </x:c>
      <x:c r="U31" s="31" t="n">
        <x:f>IF(T31="","",I31*T31)</x:f>
        <x:v>31.35924687176793</x:v>
      </x:c>
    </x:row>
    <x:row r="32" ht="18" customHeight="1">
      <x:c r="A32" s="24" t="str">
        <x:v>EEZ_705</x:v>
      </x:c>
      <x:c r="B32" s="24" t="str">
        <x:v>Slovenia</x:v>
      </x:c>
      <x:c r="C32" s="24" t="str">
        <x:v>EEZ</x:v>
      </x:c>
      <x:c r="D32" s="30" t="n">
        <x:v>2019</x:v>
      </x:c>
      <x:c r="E32" s="24" t="str">
        <x:v>Trachurus mediterraneus</x:v>
      </x:c>
      <x:c r="F32" s="24" t="str">
        <x:v>Mediterranean horse mackerel</x:v>
      </x:c>
      <x:c r="G32" s="24" t="str">
        <x:v>Medium pelagics (30 - 89 cm)</x:v>
      </x:c>
      <x:c r="H32" s="24" t="str">
        <x:v>Perch-likes</x:v>
      </x:c>
      <x:c r="I32" s="31" t="n">
        <x:v>0.8051808057000001</x:v>
      </x:c>
      <x:c r="J32" s="31" t="n">
        <x:v>0.4530650136</x:v>
      </x:c>
      <x:c r="K32" s="31" t="n">
        <x:v>0.3521157921</x:v>
      </x:c>
      <x:c r="L32" s="31" t="n">
        <x:v>0.45299999999999996</x:v>
      </x:c>
      <x:c r="M32" s="31" t="n">
        <x:v>0.3521808057</x:v>
      </x:c>
      <x:c r="N32" s="24" t="str">
        <x:v>trachurus mediterraneus</x:v>
      </x:c>
      <x:c r="O32" s="32" t="n">
        <x:v>3.77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Trachurus mediterraneus</x:v>
      </x:c>
      <x:c r="T32" s="32" t="n">
        <x:f>IF(O32="","",(1/'Metadata'!$B$5)^(O32-1))</x:f>
        <x:v>588.843655355589</x:v>
      </x:c>
      <x:c r="U32" s="31" t="n">
        <x:f>IF(T32="","",I32*T32)</x:f>
        <x:v>474.1256088505463</x:v>
      </x:c>
    </x:row>
    <x:row r="33" ht="18" customHeight="1">
      <x:c r="A33" s="24" t="str">
        <x:v>EEZ_705</x:v>
      </x:c>
      <x:c r="B33" s="24" t="str">
        <x:v>Slovenia</x:v>
      </x:c>
      <x:c r="C33" s="24" t="str">
        <x:v>EEZ</x:v>
      </x:c>
      <x:c r="D33" s="30" t="n">
        <x:v>2019</x:v>
      </x:c>
      <x:c r="E33" s="24" t="str">
        <x:v>Lithognathus mormyrus</x:v>
      </x:c>
      <x:c r="F33" s="24" t="str">
        <x:v>Sand steenbras</x:v>
      </x:c>
      <x:c r="G33" s="24" t="str">
        <x:v>Medium benthopelagics (30 - 89 cm)</x:v>
      </x:c>
      <x:c r="H33" s="24" t="str">
        <x:v>Perch-likes</x:v>
      </x:c>
      <x:c r="I33" s="31" t="n">
        <x:v>0.7423171064</x:v>
      </x:c>
      <x:c r="J33" s="31" t="n">
        <x:v>0.7220064075</x:v>
      </x:c>
      <x:c r="K33" s="31" t="n">
        <x:v>0.0203106989</x:v>
      </x:c>
      <x:c r="L33" s="31" t="n">
        <x:v>0.7220000000000001</x:v>
      </x:c>
      <x:c r="M33" s="31" t="n">
        <x:v>0.0203171064</x:v>
      </x:c>
      <x:c r="N33" s="24" t="str">
        <x:v>lithognathus mormyrus</x:v>
      </x:c>
      <x:c r="O33" s="32" t="n">
        <x:v>3.42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Lithognathus mormyrus</x:v>
      </x:c>
      <x:c r="T33" s="32" t="n">
        <x:f>IF(O33="","",(1/'Metadata'!$B$5)^(O33-1))</x:f>
        <x:v>263.02679918953817</x:v>
      </x:c>
      <x:c r="U33" s="31" t="n">
        <x:f>IF(T33="","",I33*T33)</x:f>
        <x:v>195.24929248003184</x:v>
      </x:c>
    </x:row>
    <x:row r="34" ht="18" customHeight="1">
      <x:c r="A34" s="24" t="str">
        <x:v>EEZ_705</x:v>
      </x:c>
      <x:c r="B34" s="24" t="str">
        <x:v>Slovenia</x:v>
      </x:c>
      <x:c r="C34" s="24" t="str">
        <x:v>EEZ</x:v>
      </x:c>
      <x:c r="D34" s="30" t="n">
        <x:v>2019</x:v>
      </x:c>
      <x:c r="E34" s="24" t="str">
        <x:v>Scombridae</x:v>
      </x:c>
      <x:c r="F34" s="24" t="str">
        <x:v>Mackerels, tunas, bonitos</x:v>
      </x:c>
      <x:c r="G34" s="24" t="str">
        <x:v>Medium pelagics (30 - 89 cm)</x:v>
      </x:c>
      <x:c r="H34" s="24" t="str">
        <x:v>Perch-likes</x:v>
      </x:c>
      <x:c r="I34" s="31" t="n">
        <x:v>0.7409655265</x:v>
      </x:c>
      <x:c r="J34" s="31" t="n">
        <x:v>0.7409655265</x:v>
      </x:c>
      <x:c r="K34" s="31" t="n">
        <x:v>0</x:v>
      </x:c>
      <x:c r="L34" s="31" t="n">
        <x:v>0</x:v>
      </x:c>
      <x:c r="M34" s="31" t="n">
        <x:v>0.7409655265</x:v>
      </x:c>
      <x:c r="N34" s="24" t="str">
        <x:v>scombridae</x:v>
      </x:c>
      <x:c r="O34" s="32" t="n">
        <x:v>4.26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Scombridae</x:v>
      </x:c>
      <x:c r="T34" s="32" t="n">
        <x:f>IF(O34="","",(1/'Metadata'!$B$5)^(O34-1))</x:f>
        <x:v>1819.7008586099826</x:v>
      </x:c>
      <x:c r="U34" s="31" t="n">
        <x:f>IF(T34="","",I34*T34)</x:f>
        <x:v>1348.3356047724478</x:v>
      </x:c>
    </x:row>
    <x:row r="35" ht="18" customHeight="1">
      <x:c r="A35" s="24" t="str">
        <x:v>EEZ_705</x:v>
      </x:c>
      <x:c r="B35" s="24" t="str">
        <x:v>Slovenia</x:v>
      </x:c>
      <x:c r="C35" s="24" t="str">
        <x:v>EEZ</x:v>
      </x:c>
      <x:c r="D35" s="30" t="n">
        <x:v>2019</x:v>
      </x:c>
      <x:c r="E35" s="24" t="str">
        <x:v>Triglidae</x:v>
      </x:c>
      <x:c r="F35" s="24" t="str">
        <x:v>Searobins, gurnards</x:v>
      </x:c>
      <x:c r="G35" s="24" t="str">
        <x:v>Medium demersals (30 - 89 cm)</x:v>
      </x:c>
      <x:c r="H35" s="24" t="str">
        <x:v>Scorpionfishes</x:v>
      </x:c>
      <x:c r="I35" s="31" t="n">
        <x:v>0.719</x:v>
      </x:c>
      <x:c r="J35" s="31" t="n">
        <x:v>0.719</x:v>
      </x:c>
      <x:c r="K35" s="31" t="n">
        <x:v>0</x:v>
      </x:c>
      <x:c r="L35" s="31" t="n">
        <x:v>0.719</x:v>
      </x:c>
      <x:c r="M35" s="31" t="n">
        <x:v>0</x:v>
      </x:c>
      <x:c r="N35" s="24" t="str">
        <x:v>triglidae</x:v>
      </x:c>
      <x:c r="O35" s="32" t="n">
        <x:v>3.74</x:v>
      </x:c>
      <x:c r="P35" s="24" t="str">
        <x:v>exact_sea_around_us</x:v>
      </x:c>
      <x:c r="Q35" s="32" t="str">
        <x:v>Sea Around Us exploited organisms</x:v>
      </x:c>
      <x:c r="R35" s="24" t="str">
        <x:v>high</x:v>
      </x:c>
      <x:c r="S35" s="24" t="str">
        <x:v>Triglidae</x:v>
      </x:c>
      <x:c r="T35" s="32" t="n">
        <x:f>IF(O35="","",(1/'Metadata'!$B$5)^(O35-1))</x:f>
        <x:v>549.5408738576248</x:v>
      </x:c>
      <x:c r="U35" s="31" t="n">
        <x:f>IF(T35="","",I35*T35)</x:f>
        <x:v>395.1198883036322</x:v>
      </x:c>
    </x:row>
    <x:row r="36" ht="18" customHeight="1">
      <x:c r="A36" s="24" t="str">
        <x:v>EEZ_705</x:v>
      </x:c>
      <x:c r="B36" s="24" t="str">
        <x:v>Slovenia</x:v>
      </x:c>
      <x:c r="C36" s="24" t="str">
        <x:v>EEZ</x:v>
      </x:c>
      <x:c r="D36" s="30" t="n">
        <x:v>2019</x:v>
      </x:c>
      <x:c r="E36" s="24" t="str">
        <x:v>Mullidae</x:v>
      </x:c>
      <x:c r="F36" s="24" t="str">
        <x:v>Goatfishes</x:v>
      </x:c>
      <x:c r="G36" s="24" t="str">
        <x:v>Medium reef assoc. fish (30 - 89 cm)</x:v>
      </x:c>
      <x:c r="H36" s="24" t="str">
        <x:v>Perch-likes</x:v>
      </x:c>
      <x:c r="I36" s="31" t="n">
        <x:v>0.6682768669</x:v>
      </x:c>
      <x:c r="J36" s="31" t="n">
        <x:v>0.6682768669</x:v>
      </x:c>
      <x:c r="K36" s="31" t="n">
        <x:v>0</x:v>
      </x:c>
      <x:c r="L36" s="31" t="n">
        <x:v>0</x:v>
      </x:c>
      <x:c r="M36" s="31" t="n">
        <x:v>0.6682768669</x:v>
      </x:c>
      <x:c r="N36" s="24" t="str">
        <x:v>mullidae</x:v>
      </x:c>
      <x:c r="O36" s="32" t="n">
        <x:v>3.46</x:v>
      </x:c>
      <x:c r="P36" s="24" t="str">
        <x:v>exact_sea_around_us</x:v>
      </x:c>
      <x:c r="Q36" s="32" t="str">
        <x:v>Sea Around Us exploited organisms</x:v>
      </x:c>
      <x:c r="R36" s="24" t="str">
        <x:v>high</x:v>
      </x:c>
      <x:c r="S36" s="24" t="str">
        <x:v>Mullidae</x:v>
      </x:c>
      <x:c r="T36" s="32" t="n">
        <x:f>IF(O36="","",(1/'Metadata'!$B$5)^(O36-1))</x:f>
        <x:v>288.40315031266056</x:v>
      </x:c>
      <x:c r="U36" s="31" t="n">
        <x:f>IF(T36="","",I36*T36)</x:f>
        <x:v>192.73315369503456</x:v>
      </x:c>
    </x:row>
    <x:row r="37" ht="18" customHeight="1">
      <x:c r="A37" s="24" t="str">
        <x:v>EEZ_705</x:v>
      </x:c>
      <x:c r="B37" s="24" t="str">
        <x:v>Slovenia</x:v>
      </x:c>
      <x:c r="C37" s="24" t="str">
        <x:v>EEZ</x:v>
      </x:c>
      <x:c r="D37" s="30" t="n">
        <x:v>2019</x:v>
      </x:c>
      <x:c r="E37" s="24" t="str">
        <x:v>Trachurus trachurus</x:v>
      </x:c>
      <x:c r="F37" s="24" t="str">
        <x:v>Atlantic horse mackerel</x:v>
      </x:c>
      <x:c r="G37" s="24" t="str">
        <x:v>Medium pelagics (30 - 89 cm)</x:v>
      </x:c>
      <x:c r="H37" s="24" t="str">
        <x:v>Perch-likes</x:v>
      </x:c>
      <x:c r="I37" s="31" t="n">
        <x:v>0.5999999999000001</x:v>
      </x:c>
      <x:c r="J37" s="31" t="n">
        <x:v>0.5999999999000001</x:v>
      </x:c>
      <x:c r="K37" s="31" t="n">
        <x:v>0</x:v>
      </x:c>
      <x:c r="L37" s="31" t="n">
        <x:v>0.5999999999000001</x:v>
      </x:c>
      <x:c r="M37" s="31" t="n">
        <x:v>0</x:v>
      </x:c>
      <x:c r="N37" s="24" t="str">
        <x:v>trachurus trachurus</x:v>
      </x:c>
      <x:c r="O37" s="32" t="n">
        <x:v>3.71</x:v>
      </x:c>
      <x:c r="P37" s="24" t="str">
        <x:v>exact_2020_supplement</x:v>
      </x:c>
      <x:c r="Q37" s="32" t="str">
        <x:v>2020 supplement MeanTL</x:v>
      </x:c>
      <x:c r="R37" s="24" t="str">
        <x:v>high</x:v>
      </x:c>
      <x:c r="S37" s="24" t="str">
        <x:v>Trachurus trachurus</x:v>
      </x:c>
      <x:c r="T37" s="32" t="n">
        <x:f>IF(O37="","",(1/'Metadata'!$B$5)^(O37-1))</x:f>
        <x:v>512.8613839913648</x:v>
      </x:c>
      <x:c r="U37" s="31" t="n">
        <x:f>IF(T37="","",I37*T37)</x:f>
        <x:v>307.7168303435328</x:v>
      </x:c>
    </x:row>
    <x:row r="38" ht="18" customHeight="1">
      <x:c r="A38" s="24" t="str">
        <x:v>EEZ_705</x:v>
      </x:c>
      <x:c r="B38" s="24" t="str">
        <x:v>Slovenia</x:v>
      </x:c>
      <x:c r="C38" s="24" t="str">
        <x:v>EEZ</x:v>
      </x:c>
      <x:c r="D38" s="30" t="n">
        <x:v>2019</x:v>
      </x:c>
      <x:c r="E38" s="24" t="str">
        <x:v>Scophthalmus rhombus</x:v>
      </x:c>
      <x:c r="F38" s="24" t="str">
        <x:v>Brill</x:v>
      </x:c>
      <x:c r="G38" s="24" t="str">
        <x:v>Small to medium flatfishes (&lt;90 cm)</x:v>
      </x:c>
      <x:c r="H38" s="24" t="str">
        <x:v>Flatfishes</x:v>
      </x:c>
      <x:c r="I38" s="31" t="n">
        <x:v>0.5999999999</x:v>
      </x:c>
      <x:c r="J38" s="31" t="n">
        <x:v>0.5999999999</x:v>
      </x:c>
      <x:c r="K38" s="31" t="n">
        <x:v>0</x:v>
      </x:c>
      <x:c r="L38" s="31" t="n">
        <x:v>0.5999999999</x:v>
      </x:c>
      <x:c r="M38" s="31" t="n">
        <x:v>0</x:v>
      </x:c>
      <x:c r="N38" s="24" t="str">
        <x:v>scophthalmus rhombus</x:v>
      </x:c>
      <x:c r="O38" s="32" t="n">
        <x:v>4.42</x:v>
      </x:c>
      <x:c r="P38" s="24" t="str">
        <x:v>exact_2020_supplement</x:v>
      </x:c>
      <x:c r="Q38" s="32" t="str">
        <x:v>2020 supplement MeanTL</x:v>
      </x:c>
      <x:c r="R38" s="24" t="str">
        <x:v>high</x:v>
      </x:c>
      <x:c r="S38" s="24" t="str">
        <x:v>Scophthalmus rhombus</x:v>
      </x:c>
      <x:c r="T38" s="32" t="n">
        <x:f>IF(O38="","",(1/'Metadata'!$B$5)^(O38-1))</x:f>
        <x:v>2630.2679918953813</x:v>
      </x:c>
      <x:c r="U38" s="31" t="n">
        <x:f>IF(T38="","",I38*T38)</x:f>
        <x:v>1578.1607948742019</x:v>
      </x:c>
    </x:row>
    <x:row r="39" ht="18" customHeight="1">
      <x:c r="A39" s="24" t="str">
        <x:v>EEZ_705</x:v>
      </x:c>
      <x:c r="B39" s="24" t="str">
        <x:v>Slovenia</x:v>
      </x:c>
      <x:c r="C39" s="24" t="str">
        <x:v>EEZ</x:v>
      </x:c>
      <x:c r="D39" s="30" t="n">
        <x:v>2019</x:v>
      </x:c>
      <x:c r="E39" s="24" t="str">
        <x:v>Sarda sarda</x:v>
      </x:c>
      <x:c r="F39" s="24" t="str">
        <x:v>Atlantic bonito</x:v>
      </x:c>
      <x:c r="G39" s="24" t="str">
        <x:v>Medium pelagics (30 - 89 cm)</x:v>
      </x:c>
      <x:c r="H39" s="24" t="str">
        <x:v>Tuna &amp; billfishes</x:v>
      </x:c>
      <x:c r="I39" s="31" t="n">
        <x:v>0.43731886239999995</x:v>
      </x:c>
      <x:c r="J39" s="31" t="n">
        <x:v>0.43199999999999994</x:v>
      </x:c>
      <x:c r="K39" s="31" t="n">
        <x:v>0.0053188624</x:v>
      </x:c>
      <x:c r="L39" s="31" t="n">
        <x:v>0.43199999999999994</x:v>
      </x:c>
      <x:c r="M39" s="31" t="n">
        <x:v>0.0053188624</x:v>
      </x:c>
      <x:c r="N39" s="24" t="str">
        <x:v>sarda sarda</x:v>
      </x:c>
      <x:c r="O39" s="32" t="n">
        <x:v>4.5</x:v>
      </x:c>
      <x:c r="P39" s="24" t="str">
        <x:v>exact_2020_supplement</x:v>
      </x:c>
      <x:c r="Q39" s="32" t="str">
        <x:v>2020 supplement MeanTL</x:v>
      </x:c>
      <x:c r="R39" s="24" t="str">
        <x:v>high</x:v>
      </x:c>
      <x:c r="S39" s="24" t="str">
        <x:v>Sarda sarda</x:v>
      </x:c>
      <x:c r="T39" s="32" t="n">
        <x:f>IF(O39="","",(1/'Metadata'!$B$5)^(O39-1))</x:f>
        <x:v>3162.2776601683795</x:v>
      </x:c>
      <x:c r="U39" s="31" t="n">
        <x:f>IF(T39="","",I39*T39)</x:f>
        <x:v>1382.9236689377694</x:v>
      </x:c>
    </x:row>
    <x:row r="40" ht="18" customHeight="1">
      <x:c r="A40" s="24" t="str">
        <x:v>EEZ_705</x:v>
      </x:c>
      <x:c r="B40" s="24" t="str">
        <x:v>Slovenia</x:v>
      </x:c>
      <x:c r="C40" s="24" t="str">
        <x:v>EEZ</x:v>
      </x:c>
      <x:c r="D40" s="30" t="n">
        <x:v>2019</x:v>
      </x:c>
      <x:c r="E40" s="24" t="str">
        <x:v>Carangidae</x:v>
      </x:c>
      <x:c r="F40" s="24" t="str">
        <x:v>Jacks, pompanos</x:v>
      </x:c>
      <x:c r="G40" s="24" t="str">
        <x:v>Medium pelagics (30 - 89 cm)</x:v>
      </x:c>
      <x:c r="H40" s="24" t="str">
        <x:v>Perch-likes</x:v>
      </x:c>
      <x:c r="I40" s="31" t="n">
        <x:v>0.4097278614</x:v>
      </x:c>
      <x:c r="J40" s="31" t="n">
        <x:v>0.4097278614</x:v>
      </x:c>
      <x:c r="K40" s="31" t="n">
        <x:v>0</x:v>
      </x:c>
      <x:c r="L40" s="31" t="n">
        <x:v>0</x:v>
      </x:c>
      <x:c r="M40" s="31" t="n">
        <x:v>0.4097278614</x:v>
      </x:c>
      <x:c r="N40" s="24" t="str">
        <x:v>carangidae</x:v>
      </x:c>
      <x:c r="O40" s="32" t="n">
        <x:v>4.05</x:v>
      </x:c>
      <x:c r="P40" s="24" t="str">
        <x:v>exact_sea_around_us</x:v>
      </x:c>
      <x:c r="Q40" s="32" t="str">
        <x:v>Sea Around Us exploited organisms</x:v>
      </x:c>
      <x:c r="R40" s="24" t="str">
        <x:v>high</x:v>
      </x:c>
      <x:c r="S40" s="24" t="str">
        <x:v>Carangidae</x:v>
      </x:c>
      <x:c r="T40" s="32" t="n">
        <x:f>IF(O40="","",(1/'Metadata'!$B$5)^(O40-1))</x:f>
        <x:v>1122.018454301963</x:v>
      </x:c>
      <x:c r="U40" s="31" t="n">
        <x:f>IF(T40="","",I40*T40)</x:f>
        <x:v>459.7222217324769</x:v>
      </x:c>
    </x:row>
    <x:row r="41" ht="18" customHeight="1">
      <x:c r="A41" s="24" t="str">
        <x:v>EEZ_705</x:v>
      </x:c>
      <x:c r="B41" s="24" t="str">
        <x:v>Slovenia</x:v>
      </x:c>
      <x:c r="C41" s="24" t="str">
        <x:v>EEZ</x:v>
      </x:c>
      <x:c r="D41" s="30" t="n">
        <x:v>2019</x:v>
      </x:c>
      <x:c r="E41" s="24" t="str">
        <x:v>Trachinus draco</x:v>
      </x:c>
      <x:c r="F41" s="24" t="str">
        <x:v>Greater weever</x:v>
      </x:c>
      <x:c r="G41" s="24" t="str">
        <x:v>Medium demersals (30 - 89 cm)</x:v>
      </x:c>
      <x:c r="H41" s="24" t="str">
        <x:v>Perch-likes</x:v>
      </x:c>
      <x:c r="I41" s="31" t="n">
        <x:v>0.4021409045</x:v>
      </x:c>
      <x:c r="J41" s="31" t="n">
        <x:v>0.4000023149</x:v>
      </x:c>
      <x:c r="K41" s="31" t="n">
        <x:v>0.0021385896</x:v>
      </x:c>
      <x:c r="L41" s="31" t="n">
        <x:v>0.3999999999</x:v>
      </x:c>
      <x:c r="M41" s="31" t="n">
        <x:v>0.0021409046</x:v>
      </x:c>
      <x:c r="N41" s="24" t="str">
        <x:v>trachinus draco</x:v>
      </x:c>
      <x:c r="O41" s="32" t="n">
        <x:v>4.18</x:v>
      </x:c>
      <x:c r="P41" s="24" t="str">
        <x:v>exact_2020_supplement</x:v>
      </x:c>
      <x:c r="Q41" s="32" t="str">
        <x:v>2020 supplement MeanTL</x:v>
      </x:c>
      <x:c r="R41" s="24" t="str">
        <x:v>high</x:v>
      </x:c>
      <x:c r="S41" s="24" t="str">
        <x:v>Trachinus draco</x:v>
      </x:c>
      <x:c r="T41" s="32" t="n">
        <x:f>IF(O41="","",(1/'Metadata'!$B$5)^(O41-1))</x:f>
        <x:v>1513.5612484362073</x:v>
      </x:c>
      <x:c r="U41" s="31" t="n">
        <x:f>IF(T41="","",I41*T41)</x:f>
        <x:v>608.6648894622856</x:v>
      </x:c>
    </x:row>
    <x:row r="42" ht="18" customHeight="1">
      <x:c r="A42" s="24" t="str">
        <x:v>EEZ_705</x:v>
      </x:c>
      <x:c r="B42" s="24" t="str">
        <x:v>Slovenia</x:v>
      </x:c>
      <x:c r="C42" s="24" t="str">
        <x:v>EEZ</x:v>
      </x:c>
      <x:c r="D42" s="30" t="n">
        <x:v>2019</x:v>
      </x:c>
      <x:c r="E42" s="24" t="str">
        <x:v>Scorpaena porcus</x:v>
      </x:c>
      <x:c r="F42" s="24" t="str">
        <x:v>Black scorpionfish</x:v>
      </x:c>
      <x:c r="G42" s="24" t="str">
        <x:v>Small demersals (&lt;30 cm)</x:v>
      </x:c>
      <x:c r="H42" s="24" t="str">
        <x:v>Scorpionfishes</x:v>
      </x:c>
      <x:c r="I42" s="31" t="n">
        <x:v>0.3999999999</x:v>
      </x:c>
      <x:c r="J42" s="31" t="n">
        <x:v>0.3999999999</x:v>
      </x:c>
      <x:c r="K42" s="31" t="n">
        <x:v>0</x:v>
      </x:c>
      <x:c r="L42" s="31" t="n">
        <x:v>0.3999999999</x:v>
      </x:c>
      <x:c r="M42" s="31" t="n">
        <x:v>0</x:v>
      </x:c>
      <x:c r="N42" s="24" t="str">
        <x:v>scorpaena porcus</x:v>
      </x:c>
      <x:c r="O42" s="32" t="n">
        <x:v>3.92</x:v>
      </x:c>
      <x:c r="P42" s="24" t="str">
        <x:v>exact_2020_supplement</x:v>
      </x:c>
      <x:c r="Q42" s="32" t="str">
        <x:v>2020 supplement MeanTL</x:v>
      </x:c>
      <x:c r="R42" s="24" t="str">
        <x:v>high</x:v>
      </x:c>
      <x:c r="S42" s="24" t="str">
        <x:v>Scorpaena porcus</x:v>
      </x:c>
      <x:c r="T42" s="32" t="n">
        <x:f>IF(O42="","",(1/'Metadata'!$B$5)^(O42-1))</x:f>
        <x:v>831.7637711026708</x:v>
      </x:c>
      <x:c r="U42" s="31" t="n">
        <x:f>IF(T42="","",I42*T42)</x:f>
        <x:v>332.705508357892</x:v>
      </x:c>
    </x:row>
    <x:row r="43" ht="18" customHeight="1">
      <x:c r="A43" s="24" t="str">
        <x:v>EEZ_705</x:v>
      </x:c>
      <x:c r="B43" s="24" t="str">
        <x:v>Slovenia</x:v>
      </x:c>
      <x:c r="C43" s="24" t="str">
        <x:v>EEZ</x:v>
      </x:c>
      <x:c r="D43" s="30" t="n">
        <x:v>2019</x:v>
      </x:c>
      <x:c r="E43" s="24" t="str">
        <x:v>Engraulis encrasicolus</x:v>
      </x:c>
      <x:c r="F43" s="24" t="str">
        <x:v>European anchovy</x:v>
      </x:c>
      <x:c r="G43" s="24" t="str">
        <x:v>Small pelagics (&lt;30 cm)</x:v>
      </x:c>
      <x:c r="H43" s="24" t="str">
        <x:v>Anchovies</x:v>
      </x:c>
      <x:c r="I43" s="31" t="n">
        <x:v>0.3952784681</x:v>
      </x:c>
      <x:c r="J43" s="31" t="n">
        <x:v>0.003</x:v>
      </x:c>
      <x:c r="K43" s="31" t="n">
        <x:v>0.3922784681</x:v>
      </x:c>
      <x:c r="L43" s="31" t="n">
        <x:v>0.003</x:v>
      </x:c>
      <x:c r="M43" s="31" t="n">
        <x:v>0.3922784681</x:v>
      </x:c>
      <x:c r="N43" s="24" t="str">
        <x:v>engraulis encrasicolus</x:v>
      </x:c>
      <x:c r="O43" s="32" t="n">
        <x:v>3.11</x:v>
      </x:c>
      <x:c r="P43" s="24" t="str">
        <x:v>exact_2020_supplement</x:v>
      </x:c>
      <x:c r="Q43" s="32" t="str">
        <x:v>2020 supplement MeanTL</x:v>
      </x:c>
      <x:c r="R43" s="24" t="str">
        <x:v>high</x:v>
      </x:c>
      <x:c r="S43" s="24" t="str">
        <x:v>Engraulis encrasicolus</x:v>
      </x:c>
      <x:c r="T43" s="32" t="n">
        <x:f>IF(O43="","",(1/'Metadata'!$B$5)^(O43-1))</x:f>
        <x:v>128.82495516931337</x:v>
      </x:c>
      <x:c r="U43" s="31" t="n">
        <x:f>IF(T43="","",I43*T43)</x:f>
        <x:v>50.921730932377365</x:v>
      </x:c>
    </x:row>
    <x:row r="44" ht="18" customHeight="1">
      <x:c r="A44" s="24" t="str">
        <x:v>EEZ_705</x:v>
      </x:c>
      <x:c r="B44" s="24" t="str">
        <x:v>Slovenia</x:v>
      </x:c>
      <x:c r="C44" s="24" t="str">
        <x:v>EEZ</x:v>
      </x:c>
      <x:c r="D44" s="30" t="n">
        <x:v>2019</x:v>
      </x:c>
      <x:c r="E44" s="24" t="str">
        <x:v>Gobius niger</x:v>
      </x:c>
      <x:c r="F44" s="24" t="str">
        <x:v>Black goby</x:v>
      </x:c>
      <x:c r="G44" s="24" t="str">
        <x:v>Small demersals (&lt;30 cm)</x:v>
      </x:c>
      <x:c r="H44" s="24" t="str">
        <x:v>Perch-likes</x:v>
      </x:c>
      <x:c r="I44" s="31" t="n">
        <x:v>0.360763943</x:v>
      </x:c>
      <x:c r="J44" s="31" t="n">
        <x:v>0.08200137040000001</x:v>
      </x:c>
      <x:c r="K44" s="31" t="n">
        <x:v>0.2787625726</x:v>
      </x:c>
      <x:c r="L44" s="31" t="n">
        <x:v>0.082</x:v>
      </x:c>
      <x:c r="M44" s="31" t="n">
        <x:v>0.278763943</x:v>
      </x:c>
      <x:c r="N44" s="24" t="str">
        <x:v>gobius niger</x:v>
      </x:c>
      <x:c r="O44" s="32" t="n">
        <x:v>3.31</x:v>
      </x:c>
      <x:c r="P44" s="24" t="str">
        <x:v>exact_2020_supplement</x:v>
      </x:c>
      <x:c r="Q44" s="32" t="str">
        <x:v>2020 supplement MeanTL</x:v>
      </x:c>
      <x:c r="R44" s="24" t="str">
        <x:v>high</x:v>
      </x:c>
      <x:c r="S44" s="24" t="str">
        <x:v>Gobius niger</x:v>
      </x:c>
      <x:c r="T44" s="32" t="n">
        <x:f>IF(O44="","",(1/'Metadata'!$B$5)^(O44-1))</x:f>
        <x:v>204.17379446695296</x:v>
      </x:c>
      <x:c r="U44" s="31" t="n">
        <x:f>IF(T44="","",I44*T44)</x:f>
        <x:v>73.65854314916953</x:v>
      </x:c>
    </x:row>
    <x:row r="45" ht="18" customHeight="1">
      <x:c r="A45" s="24" t="str">
        <x:v>EEZ_705</x:v>
      </x:c>
      <x:c r="B45" s="24" t="str">
        <x:v>Slovenia</x:v>
      </x:c>
      <x:c r="C45" s="24" t="str">
        <x:v>EEZ</x:v>
      </x:c>
      <x:c r="D45" s="30" t="n">
        <x:v>2019</x:v>
      </x:c>
      <x:c r="E45" s="24" t="str">
        <x:v>Cepola macrophthalma</x:v>
      </x:c>
      <x:c r="F45" s="24" t="str">
        <x:v>Red bandfish</x:v>
      </x:c>
      <x:c r="G45" s="24" t="str">
        <x:v>Medium demersals (30 - 89 cm)</x:v>
      </x:c>
      <x:c r="H45" s="24" t="str">
        <x:v>Perch-likes</x:v>
      </x:c>
      <x:c r="I45" s="31" t="n">
        <x:v>0.347801192</x:v>
      </x:c>
      <x:c r="J45" s="31" t="n">
        <x:v>0.212</x:v>
      </x:c>
      <x:c r="K45" s="31" t="n">
        <x:v>0.135801192</x:v>
      </x:c>
      <x:c r="L45" s="31" t="n">
        <x:v>0.212</x:v>
      </x:c>
      <x:c r="M45" s="31" t="n">
        <x:v>0.135801192</x:v>
      </x:c>
      <x:c r="N45" s="24" t="str">
        <x:v>cepola macrophthalma</x:v>
      </x:c>
      <x:c r="O45" s="32" t="n">
        <x:v>3.13</x:v>
      </x:c>
      <x:c r="P45" s="24" t="str">
        <x:v>exact_2020_supplement</x:v>
      </x:c>
      <x:c r="Q45" s="32" t="str">
        <x:v>2020 supplement MeanTL</x:v>
      </x:c>
      <x:c r="R45" s="24" t="str">
        <x:v>high</x:v>
      </x:c>
      <x:c r="S45" s="24" t="str">
        <x:v>Cepola macrophthalma</x:v>
      </x:c>
      <x:c r="T45" s="32" t="n">
        <x:f>IF(O45="","",(1/'Metadata'!$B$5)^(O45-1))</x:f>
        <x:v>134.89628825916532</x:v>
      </x:c>
      <x:c r="U45" s="31" t="n">
        <x:f>IF(T45="","",I45*T45)</x:f>
        <x:v>46.9170898529133</x:v>
      </x:c>
    </x:row>
    <x:row r="46" ht="18" customHeight="1">
      <x:c r="A46" s="24" t="str">
        <x:v>EEZ_705</x:v>
      </x:c>
      <x:c r="B46" s="24" t="str">
        <x:v>Slovenia</x:v>
      </x:c>
      <x:c r="C46" s="24" t="str">
        <x:v>EEZ</x:v>
      </x:c>
      <x:c r="D46" s="30" t="n">
        <x:v>2019</x:v>
      </x:c>
      <x:c r="E46" s="24" t="str">
        <x:v>Auxis rochei</x:v>
      </x:c>
      <x:c r="F46" s="24" t="str">
        <x:v>Bullet tuna</x:v>
      </x:c>
      <x:c r="G46" s="24" t="str">
        <x:v>Medium pelagics (30 - 89 cm)</x:v>
      </x:c>
      <x:c r="H46" s="24" t="str">
        <x:v>Tuna &amp; billfishes</x:v>
      </x:c>
      <x:c r="I46" s="31" t="n">
        <x:v>0.3</x:v>
      </x:c>
      <x:c r="J46" s="31" t="n">
        <x:v>0.3</x:v>
      </x:c>
      <x:c r="K46" s="31" t="n">
        <x:v>0</x:v>
      </x:c>
      <x:c r="L46" s="31" t="n">
        <x:v>0.3</x:v>
      </x:c>
      <x:c r="M46" s="31" t="n">
        <x:v>0</x:v>
      </x:c>
      <x:c r="N46" s="24" t="str">
        <x:v>auxis rochei</x:v>
      </x:c>
      <x:c r="O46" s="32" t="n">
        <x:v>4.13</x:v>
      </x:c>
      <x:c r="P46" s="24" t="str">
        <x:v>exact_2020_supplement</x:v>
      </x:c>
      <x:c r="Q46" s="32" t="str">
        <x:v>2020 supplement MeanTL</x:v>
      </x:c>
      <x:c r="R46" s="24" t="str">
        <x:v>high</x:v>
      </x:c>
      <x:c r="S46" s="24" t="str">
        <x:v>Auxis rochei</x:v>
      </x:c>
      <x:c r="T46" s="32" t="n">
        <x:f>IF(O46="","",(1/'Metadata'!$B$5)^(O46-1))</x:f>
        <x:v>1348.9628825916532</x:v>
      </x:c>
      <x:c r="U46" s="31" t="n">
        <x:f>IF(T46="","",I46*T46)</x:f>
        <x:v>404.68886477749595</x:v>
      </x:c>
    </x:row>
    <x:row r="47" ht="18" customHeight="1">
      <x:c r="A47" s="24" t="str">
        <x:v>EEZ_705</x:v>
      </x:c>
      <x:c r="B47" s="24" t="str">
        <x:v>Slovenia</x:v>
      </x:c>
      <x:c r="C47" s="24" t="str">
        <x:v>EEZ</x:v>
      </x:c>
      <x:c r="D47" s="30" t="n">
        <x:v>2019</x:v>
      </x:c>
      <x:c r="E47" s="24" t="str">
        <x:v>Soleidae</x:v>
      </x:c>
      <x:c r="F47" s="24" t="str">
        <x:v>Soles</x:v>
      </x:c>
      <x:c r="G47" s="24" t="str">
        <x:v>Small to medium flatfishes (&lt;90 cm)</x:v>
      </x:c>
      <x:c r="H47" s="24" t="str">
        <x:v>Flatfishes</x:v>
      </x:c>
      <x:c r="I47" s="31" t="n">
        <x:v>0.2092073968</x:v>
      </x:c>
      <x:c r="J47" s="31" t="n">
        <x:v>0.2092073968</x:v>
      </x:c>
      <x:c r="K47" s="31" t="n">
        <x:v>0</x:v>
      </x:c>
      <x:c r="L47" s="31" t="n">
        <x:v>0</x:v>
      </x:c>
      <x:c r="M47" s="31" t="n">
        <x:v>0.2092073968</x:v>
      </x:c>
      <x:c r="N47" s="24" t="str">
        <x:v>soleidae</x:v>
      </x:c>
      <x:c r="O47" s="32" t="n">
        <x:v>3.15</x:v>
      </x:c>
      <x:c r="P47" s="24" t="str">
        <x:v>exact_sea_around_us</x:v>
      </x:c>
      <x:c r="Q47" s="32" t="str">
        <x:v>Sea Around Us exploited organisms</x:v>
      </x:c>
      <x:c r="R47" s="24" t="str">
        <x:v>high</x:v>
      </x:c>
      <x:c r="S47" s="24" t="str">
        <x:v>Soleidae</x:v>
      </x:c>
      <x:c r="T47" s="32" t="n">
        <x:f>IF(O47="","",(1/'Metadata'!$B$5)^(O47-1))</x:f>
        <x:v>141.2537544622754</x:v>
      </x:c>
      <x:c r="U47" s="31" t="n">
        <x:f>IF(T47="","",I47*T47)</x:f>
        <x:v>29.55133025927902</x:v>
      </x:c>
    </x:row>
    <x:row r="48" ht="18" customHeight="1">
      <x:c r="A48" s="24" t="str">
        <x:v>EEZ_705</x:v>
      </x:c>
      <x:c r="B48" s="24" t="str">
        <x:v>Slovenia</x:v>
      </x:c>
      <x:c r="C48" s="24" t="str">
        <x:v>EEZ</x:v>
      </x:c>
      <x:c r="D48" s="30" t="n">
        <x:v>2019</x:v>
      </x:c>
      <x:c r="E48" s="24" t="str">
        <x:v>Conger conger</x:v>
      </x:c>
      <x:c r="F48" s="24" t="str">
        <x:v>European conger</x:v>
      </x:c>
      <x:c r="G48" s="24" t="str">
        <x:v>Large demersals (&gt;=90 cm)</x:v>
      </x:c>
      <x:c r="H48" s="24" t="str">
        <x:v>Other fishes &amp; inverts</x:v>
      </x:c>
      <x:c r="I48" s="31" t="n">
        <x:v>0.20052474499999998</x:v>
      </x:c>
      <x:c r="J48" s="31" t="n">
        <x:v>0.20034012829999998</x:v>
      </x:c>
      <x:c r="K48" s="31" t="n">
        <x:v>0.0001846167</x:v>
      </x:c>
      <x:c r="L48" s="31" t="n">
        <x:v>0.2000000001</x:v>
      </x:c>
      <x:c r="M48" s="31" t="n">
        <x:v>0.0005247449</x:v>
      </x:c>
      <x:c r="N48" s="24" t="str">
        <x:v>conger conger</x:v>
      </x:c>
      <x:c r="O48" s="32" t="n">
        <x:v>4.31</x:v>
      </x:c>
      <x:c r="P48" s="24" t="str">
        <x:v>exact_2020_supplement</x:v>
      </x:c>
      <x:c r="Q48" s="32" t="str">
        <x:v>2020 supplement MeanTL</x:v>
      </x:c>
      <x:c r="R48" s="24" t="str">
        <x:v>high</x:v>
      </x:c>
      <x:c r="S48" s="24" t="str">
        <x:v>Conger conger</x:v>
      </x:c>
      <x:c r="T48" s="32" t="n">
        <x:f>IF(O48="","",(1/'Metadata'!$B$5)^(O48-1))</x:f>
        <x:v>2041.7379446695275</x:v>
      </x:c>
      <x:c r="U48" s="31" t="n">
        <x:f>IF(T48="","",I48*T48)</x:f>
        <x:v>409.41898071168106</x:v>
      </x:c>
    </x:row>
    <x:row r="49" ht="18" customHeight="1">
      <x:c r="A49" s="24" t="str">
        <x:v>EEZ_705</x:v>
      </x:c>
      <x:c r="B49" s="24" t="str">
        <x:v>Slovenia</x:v>
      </x:c>
      <x:c r="C49" s="24" t="str">
        <x:v>EEZ</x:v>
      </x:c>
      <x:c r="D49" s="30" t="n">
        <x:v>2019</x:v>
      </x:c>
      <x:c r="E49" s="24" t="str">
        <x:v>Raja clavata</x:v>
      </x:c>
      <x:c r="F49" s="24" t="str">
        <x:v>Thornback ray</x:v>
      </x:c>
      <x:c r="G49" s="24" t="str">
        <x:v>Large rays (&gt;=90 cm)</x:v>
      </x:c>
      <x:c r="H49" s="24" t="str">
        <x:v>Sharks &amp; rays</x:v>
      </x:c>
      <x:c r="I49" s="31" t="n">
        <x:v>0.2000006761</x:v>
      </x:c>
      <x:c r="J49" s="31" t="n">
        <x:v>0.2000006761</x:v>
      </x:c>
      <x:c r="K49" s="31" t="n">
        <x:v>0</x:v>
      </x:c>
      <x:c r="L49" s="31" t="n">
        <x:v>0.2</x:v>
      </x:c>
      <x:c r="M49" s="31" t="n">
        <x:v>6.761e-7</x:v>
      </x:c>
      <x:c r="N49" s="24" t="str">
        <x:v>raja clavata</x:v>
      </x:c>
      <x:c r="O49" s="32" t="n">
        <x:v>3.84</x:v>
      </x:c>
      <x:c r="P49" s="24" t="str">
        <x:v>exact_2020_supplement</x:v>
      </x:c>
      <x:c r="Q49" s="32" t="str">
        <x:v>2020 supplement MeanTL</x:v>
      </x:c>
      <x:c r="R49" s="24" t="str">
        <x:v>high</x:v>
      </x:c>
      <x:c r="S49" s="24" t="str">
        <x:v>Raja clavata</x:v>
      </x:c>
      <x:c r="T49" s="32" t="n">
        <x:f>IF(O49="","",(1/'Metadata'!$B$5)^(O49-1))</x:f>
        <x:v>691.8309709189363</x:v>
      </x:c>
      <x:c r="U49" s="31" t="n">
        <x:f>IF(T49="","",I49*T49)</x:f>
        <x:v>138.3666619307067</x:v>
      </x:c>
    </x:row>
    <x:row r="50" ht="18" customHeight="1">
      <x:c r="A50" s="24" t="str">
        <x:v>EEZ_705</x:v>
      </x:c>
      <x:c r="B50" s="24" t="str">
        <x:v>Slovenia</x:v>
      </x:c>
      <x:c r="C50" s="24" t="str">
        <x:v>EEZ</x:v>
      </x:c>
      <x:c r="D50" s="30" t="n">
        <x:v>2019</x:v>
      </x:c>
      <x:c r="E50" s="24" t="str">
        <x:v>Mugil cephalus</x:v>
      </x:c>
      <x:c r="F50" s="24" t="str">
        <x:v>Flathead grey mullet</x:v>
      </x:c>
      <x:c r="G50" s="24" t="str">
        <x:v>Large benthopelagics (&gt;=90 cm)</x:v>
      </x:c>
      <x:c r="H50" s="24" t="str">
        <x:v>Perch-likes</x:v>
      </x:c>
      <x:c r="I50" s="31" t="n">
        <x:v>0.2</x:v>
      </x:c>
      <x:c r="J50" s="31" t="n">
        <x:v>0.2</x:v>
      </x:c>
      <x:c r="K50" s="31" t="n">
        <x:v>0</x:v>
      </x:c>
      <x:c r="L50" s="31" t="n">
        <x:v>0.2</x:v>
      </x:c>
      <x:c r="M50" s="31" t="n">
        <x:v>0</x:v>
      </x:c>
      <x:c r="N50" s="24" t="str">
        <x:v>mugil cephalus</x:v>
      </x:c>
      <x:c r="O50" s="32" t="n">
        <x:v>2.14</x:v>
      </x:c>
      <x:c r="P50" s="24" t="str">
        <x:v>exact_2020_supplement</x:v>
      </x:c>
      <x:c r="Q50" s="32" t="str">
        <x:v>2020 supplement MeanTL</x:v>
      </x:c>
      <x:c r="R50" s="24" t="str">
        <x:v>high</x:v>
      </x:c>
      <x:c r="S50" s="24" t="str">
        <x:v>Mugil cephalus</x:v>
      </x:c>
      <x:c r="T50" s="32" t="n">
        <x:f>IF(O50="","",(1/'Metadata'!$B$5)^(O50-1))</x:f>
        <x:v>13.803842646028853</x:v>
      </x:c>
      <x:c r="U50" s="31" t="n">
        <x:f>IF(T50="","",I50*T50)</x:f>
        <x:v>2.760768529205771</x:v>
      </x:c>
    </x:row>
    <x:row r="51" ht="18" customHeight="1">
      <x:c r="A51" s="24" t="str">
        <x:v>EEZ_705</x:v>
      </x:c>
      <x:c r="B51" s="24" t="str">
        <x:v>Slovenia</x:v>
      </x:c>
      <x:c r="C51" s="24" t="str">
        <x:v>EEZ</x:v>
      </x:c>
      <x:c r="D51" s="30" t="n">
        <x:v>2019</x:v>
      </x:c>
      <x:c r="E51" s="24" t="str">
        <x:v>Raja asterias</x:v>
      </x:c>
      <x:c r="F51" s="24" t="str">
        <x:v>Mediterranean starry ray</x:v>
      </x:c>
      <x:c r="G51" s="24" t="str">
        <x:v>Small to medium rays (&lt;90 cm)</x:v>
      </x:c>
      <x:c r="H51" s="24" t="str">
        <x:v>Sharks &amp; rays</x:v>
      </x:c>
      <x:c r="I51" s="31" t="n">
        <x:v>0.18</x:v>
      </x:c>
      <x:c r="J51" s="31" t="n">
        <x:v>0.18</x:v>
      </x:c>
      <x:c r="K51" s="31" t="n">
        <x:v>0</x:v>
      </x:c>
      <x:c r="L51" s="31" t="n">
        <x:v>0.18</x:v>
      </x:c>
      <x:c r="M51" s="31" t="n">
        <x:v>0</x:v>
      </x:c>
      <x:c r="N51" s="24" t="str">
        <x:v>raja asterias</x:v>
      </x:c>
      <x:c r="O51" s="32" t="n">
        <x:v>3.5</x:v>
      </x:c>
      <x:c r="P51" s="24" t="str">
        <x:v>exact_2020_supplement</x:v>
      </x:c>
      <x:c r="Q51" s="32" t="str">
        <x:v>2020 supplement MeanTL</x:v>
      </x:c>
      <x:c r="R51" s="24" t="str">
        <x:v>high</x:v>
      </x:c>
      <x:c r="S51" s="24" t="str">
        <x:v>Raja asterias</x:v>
      </x:c>
      <x:c r="T51" s="32" t="n">
        <x:f>IF(O51="","",(1/'Metadata'!$B$5)^(O51-1))</x:f>
        <x:v>316.22776601683796</x:v>
      </x:c>
      <x:c r="U51" s="31" t="n">
        <x:f>IF(T51="","",I51*T51)</x:f>
        <x:v>56.92099788303083</x:v>
      </x:c>
    </x:row>
    <x:row r="52" ht="18" customHeight="1">
      <x:c r="A52" s="24" t="str">
        <x:v>EEZ_705</x:v>
      </x:c>
      <x:c r="B52" s="24" t="str">
        <x:v>Slovenia</x:v>
      </x:c>
      <x:c r="C52" s="24" t="str">
        <x:v>EEZ</x:v>
      </x:c>
      <x:c r="D52" s="30" t="n">
        <x:v>2019</x:v>
      </x:c>
      <x:c r="E52" s="24" t="str">
        <x:v>Boops boops</x:v>
      </x:c>
      <x:c r="F52" s="24" t="str">
        <x:v>Bogue</x:v>
      </x:c>
      <x:c r="G52" s="24" t="str">
        <x:v>Medium demersals (30 - 89 cm)</x:v>
      </x:c>
      <x:c r="H52" s="24" t="str">
        <x:v>Perch-likes</x:v>
      </x:c>
      <x:c r="I52" s="31" t="n">
        <x:v>0.1324678003</x:v>
      </x:c>
      <x:c r="J52" s="31" t="n">
        <x:v>0.1290034724</x:v>
      </x:c>
      <x:c r="K52" s="31" t="n">
        <x:v>0.0034643279</x:v>
      </x:c>
      <x:c r="L52" s="31" t="n">
        <x:v>0.129</x:v>
      </x:c>
      <x:c r="M52" s="31" t="n">
        <x:v>0.0034678003</x:v>
      </x:c>
      <x:c r="N52" s="24" t="str">
        <x:v>boops boops</x:v>
      </x:c>
      <x:c r="O52" s="32" t="n">
        <x:v>2.79</x:v>
      </x:c>
      <x:c r="P52" s="24" t="str">
        <x:v>exact_2020_supplement</x:v>
      </x:c>
      <x:c r="Q52" s="32" t="str">
        <x:v>2020 supplement MeanTL</x:v>
      </x:c>
      <x:c r="R52" s="24" t="str">
        <x:v>high</x:v>
      </x:c>
      <x:c r="S52" s="24" t="str">
        <x:v>Boops boops</x:v>
      </x:c>
      <x:c r="T52" s="32" t="n">
        <x:f>IF(O52="","",(1/'Metadata'!$B$5)^(O52-1))</x:f>
        <x:v>61.65950018614822</x:v>
      </x:c>
      <x:c r="U52" s="31" t="n">
        <x:f>IF(T52="","",I52*T52)</x:f>
        <x:v>8.167898357256496</x:v>
      </x:c>
    </x:row>
    <x:row r="53" ht="18" customHeight="1">
      <x:c r="A53" s="24" t="str">
        <x:v>EEZ_705</x:v>
      </x:c>
      <x:c r="B53" s="24" t="str">
        <x:v>Slovenia</x:v>
      </x:c>
      <x:c r="C53" s="24" t="str">
        <x:v>EEZ</x:v>
      </x:c>
      <x:c r="D53" s="30" t="n">
        <x:v>2019</x:v>
      </x:c>
      <x:c r="E53" s="24" t="str">
        <x:v>Sparidae</x:v>
      </x:c>
      <x:c r="F53" s="24" t="str">
        <x:v>Porgies, seabreams</x:v>
      </x:c>
      <x:c r="G53" s="24" t="str">
        <x:v>Medium benthopelagics (30 - 89 cm)</x:v>
      </x:c>
      <x:c r="H53" s="24" t="str">
        <x:v>Perch-likes</x:v>
      </x:c>
      <x:c r="I53" s="31" t="n">
        <x:v>0.1299972466</x:v>
      </x:c>
      <x:c r="J53" s="31" t="n">
        <x:v>0.1299972466</x:v>
      </x:c>
      <x:c r="K53" s="31" t="n">
        <x:v>0</x:v>
      </x:c>
      <x:c r="L53" s="31" t="n">
        <x:v>0</x:v>
      </x:c>
      <x:c r="M53" s="31" t="n">
        <x:v>0.1299972466</x:v>
      </x:c>
      <x:c r="N53" s="24" t="str">
        <x:v>sparidae</x:v>
      </x:c>
      <x:c r="O53" s="32" t="n">
        <x:v>3.31</x:v>
      </x:c>
      <x:c r="P53" s="24" t="str">
        <x:v>exact_sea_around_us</x:v>
      </x:c>
      <x:c r="Q53" s="32" t="str">
        <x:v>Sea Around Us exploited organisms</x:v>
      </x:c>
      <x:c r="R53" s="24" t="str">
        <x:v>high</x:v>
      </x:c>
      <x:c r="S53" s="24" t="str">
        <x:v>Sparidae</x:v>
      </x:c>
      <x:c r="T53" s="32" t="n">
        <x:f>IF(O53="","",(1/'Metadata'!$B$5)^(O53-1))</x:f>
        <x:v>204.17379446695296</x:v>
      </x:c>
      <x:c r="U53" s="31" t="n">
        <x:f>IF(T53="","",I53*T53)</x:f>
        <x:v>26.5420311085782</x:v>
      </x:c>
    </x:row>
    <x:row r="54" ht="18" customHeight="1">
      <x:c r="A54" s="24" t="str">
        <x:v>EEZ_705</x:v>
      </x:c>
      <x:c r="B54" s="24" t="str">
        <x:v>Slovenia</x:v>
      </x:c>
      <x:c r="C54" s="24" t="str">
        <x:v>EEZ</x:v>
      </x:c>
      <x:c r="D54" s="30" t="n">
        <x:v>2019</x:v>
      </x:c>
      <x:c r="E54" s="24" t="str">
        <x:v>Sardinella aurita</x:v>
      </x:c>
      <x:c r="F54" s="24" t="str">
        <x:v>Round sardinella</x:v>
      </x:c>
      <x:c r="G54" s="24" t="str">
        <x:v>Small pelagics (&lt;30 cm)</x:v>
      </x:c>
      <x:c r="H54" s="24" t="str">
        <x:v>Herring-likes</x:v>
      </x:c>
      <x:c r="I54" s="31" t="n">
        <x:v>0.105325431</x:v>
      </x:c>
      <x:c r="J54" s="31" t="n">
        <x:v>0</x:v>
      </x:c>
      <x:c r="K54" s="31" t="n">
        <x:v>0.105325431</x:v>
      </x:c>
      <x:c r="L54" s="31" t="n">
        <x:v>0</x:v>
      </x:c>
      <x:c r="M54" s="31" t="n">
        <x:v>0.105325431</x:v>
      </x:c>
      <x:c r="N54" s="24" t="str">
        <x:v>sardinella aurita</x:v>
      </x:c>
      <x:c r="O54" s="32" t="n">
        <x:v>3.4</x:v>
      </x:c>
      <x:c r="P54" s="24" t="str">
        <x:v>exact_2020_supplement</x:v>
      </x:c>
      <x:c r="Q54" s="32" t="str">
        <x:v>2020 supplement MeanTL</x:v>
      </x:c>
      <x:c r="R54" s="24" t="str">
        <x:v>high</x:v>
      </x:c>
      <x:c r="S54" s="24" t="str">
        <x:v>Sardinella aurita</x:v>
      </x:c>
      <x:c r="T54" s="32" t="n">
        <x:f>IF(O54="","",(1/'Metadata'!$B$5)^(O54-1))</x:f>
        <x:v>251.18864315095797</x:v>
      </x:c>
      <x:c r="U54" s="31" t="n">
        <x:f>IF(T54="","",I54*T54)</x:f>
        <x:v>26.456552102179845</x:v>
      </x:c>
    </x:row>
    <x:row r="55" ht="18" customHeight="1">
      <x:c r="A55" s="24" t="str">
        <x:v>EEZ_705</x:v>
      </x:c>
      <x:c r="B55" s="24" t="str">
        <x:v>Slovenia</x:v>
      </x:c>
      <x:c r="C55" s="24" t="str">
        <x:v>EEZ</x:v>
      </x:c>
      <x:c r="D55" s="30" t="n">
        <x:v>2019</x:v>
      </x:c>
      <x:c r="E55" s="24" t="str">
        <x:v>Sciaena umbra</x:v>
      </x:c>
      <x:c r="F55" s="24" t="str">
        <x:v>Brown meagre</x:v>
      </x:c>
      <x:c r="G55" s="24" t="str">
        <x:v>Medium demersals (30 - 89 cm)</x:v>
      </x:c>
      <x:c r="H55" s="24" t="str">
        <x:v>Perch-likes</x:v>
      </x:c>
      <x:c r="I55" s="31" t="n">
        <x:v>0.1000091185</x:v>
      </x:c>
      <x:c r="J55" s="31" t="n">
        <x:v>0.1000091185</x:v>
      </x:c>
      <x:c r="K55" s="31" t="n">
        <x:v>0</x:v>
      </x:c>
      <x:c r="L55" s="31" t="n">
        <x:v>0.09999999999999999</x:v>
      </x:c>
      <x:c r="M55" s="31" t="n">
        <x:v>0.0000091185</x:v>
      </x:c>
      <x:c r="N55" s="24" t="str">
        <x:v>sciaena umbra</x:v>
      </x:c>
      <x:c r="O55" s="32" t="n">
        <x:v>3.75</x:v>
      </x:c>
      <x:c r="P55" s="24" t="str">
        <x:v>exact_2020_supplement</x:v>
      </x:c>
      <x:c r="Q55" s="32" t="str">
        <x:v>2020 supplement MeanTL</x:v>
      </x:c>
      <x:c r="R55" s="24" t="str">
        <x:v>high</x:v>
      </x:c>
      <x:c r="S55" s="24" t="str">
        <x:v>Sciaena umbra</x:v>
      </x:c>
      <x:c r="T55" s="32" t="n">
        <x:f>IF(O55="","",(1/'Metadata'!$B$5)^(O55-1))</x:f>
        <x:v>562.341325190349</x:v>
      </x:c>
      <x:c r="U55" s="31" t="n">
        <x:f>IF(T55="","",I55*T55)</x:f>
        <x:v>56.23926022840865</x:v>
      </x:c>
    </x:row>
    <x:row r="56" ht="18" customHeight="1">
      <x:c r="A56" s="24" t="str">
        <x:v>EEZ_705</x:v>
      </x:c>
      <x:c r="B56" s="24" t="str">
        <x:v>Slovenia</x:v>
      </x:c>
      <x:c r="C56" s="24" t="str">
        <x:v>EEZ</x:v>
      </x:c>
      <x:c r="D56" s="30" t="n">
        <x:v>2019</x:v>
      </x:c>
      <x:c r="E56" s="24" t="str">
        <x:v>Scophthalmus maximus</x:v>
      </x:c>
      <x:c r="F56" s="24" t="str">
        <x:v>Turbot</x:v>
      </x:c>
      <x:c r="G56" s="24" t="str">
        <x:v>Large flatfishes (&gt;=90 cm)</x:v>
      </x:c>
      <x:c r="H56" s="24" t="str">
        <x:v>Flatfishes</x:v>
      </x:c>
      <x:c r="I56" s="31" t="n">
        <x:v>0.1000046299</x:v>
      </x:c>
      <x:c r="J56" s="31" t="n">
        <x:v>0.1000046299</x:v>
      </x:c>
      <x:c r="K56" s="31" t="n">
        <x:v>0</x:v>
      </x:c>
      <x:c r="L56" s="31" t="n">
        <x:v>0.1</x:v>
      </x:c>
      <x:c r="M56" s="31" t="n">
        <x:v>0.0000046299</x:v>
      </x:c>
      <x:c r="N56" s="24" t="str">
        <x:v>scophthalmus maximus</x:v>
      </x:c>
      <x:c r="O56" s="32" t="n">
        <x:v>4.36</x:v>
      </x:c>
      <x:c r="P56" s="24" t="str">
        <x:v>exact_2020_supplement</x:v>
      </x:c>
      <x:c r="Q56" s="32" t="str">
        <x:v>2020 supplement MeanTL</x:v>
      </x:c>
      <x:c r="R56" s="24" t="str">
        <x:v>high</x:v>
      </x:c>
      <x:c r="S56" s="24" t="str">
        <x:v>Scophthalmus maximus</x:v>
      </x:c>
      <x:c r="T56" s="32" t="n">
        <x:f>IF(O56="","",(1/'Metadata'!$B$5)^(O56-1))</x:f>
        <x:v>2290.867652767775</x:v>
      </x:c>
      <x:c r="U56" s="31" t="n">
        <x:f>IF(T56="","",I56*T56)</x:f>
        <x:v>229.09737176492305</x:v>
      </x:c>
    </x:row>
    <x:row r="57" ht="18" customHeight="1">
      <x:c r="A57" s="24" t="str">
        <x:v>EEZ_705</x:v>
      </x:c>
      <x:c r="B57" s="24" t="str">
        <x:v>Slovenia</x:v>
      </x:c>
      <x:c r="C57" s="24" t="str">
        <x:v>EEZ</x:v>
      </x:c>
      <x:c r="D57" s="30" t="n">
        <x:v>2019</x:v>
      </x:c>
      <x:c r="E57" s="24" t="str">
        <x:v>Mustelus</x:v>
      </x:c>
      <x:c r="F57" s="24" t="str">
        <x:v>Smoothhounds</x:v>
      </x:c>
      <x:c r="G57" s="24" t="str">
        <x:v>Large sharks (&gt;=90 cm)</x:v>
      </x:c>
      <x:c r="H57" s="24" t="str">
        <x:v>Sharks &amp; rays</x:v>
      </x:c>
      <x:c r="I57" s="31" t="n">
        <x:v>0.1</x:v>
      </x:c>
      <x:c r="J57" s="31" t="n">
        <x:v>0.1</x:v>
      </x:c>
      <x:c r="K57" s="31" t="n">
        <x:v>0</x:v>
      </x:c>
      <x:c r="L57" s="31" t="n">
        <x:v>0.1</x:v>
      </x:c>
      <x:c r="M57" s="31" t="n">
        <x:v>0</x:v>
      </x:c>
      <x:c r="N57" s="24" t="str">
        <x:v>mustelus</x:v>
      </x:c>
      <x:c r="O57" s="32" t="n">
        <x:v>3.73</x:v>
      </x:c>
      <x:c r="P57" s="24" t="str">
        <x:v>exact_sea_around_us</x:v>
      </x:c>
      <x:c r="Q57" s="32" t="str">
        <x:v>Sea Around Us exploited organisms</x:v>
      </x:c>
      <x:c r="R57" s="24" t="str">
        <x:v>high</x:v>
      </x:c>
      <x:c r="S57" s="24" t="str">
        <x:v>Mustelus</x:v>
      </x:c>
      <x:c r="T57" s="32" t="n">
        <x:f>IF(O57="","",(1/'Metadata'!$B$5)^(O57-1))</x:f>
        <x:v>537.0317963702527</x:v>
      </x:c>
      <x:c r="U57" s="31" t="n">
        <x:f>IF(T57="","",I57*T57)</x:f>
        <x:v>53.70317963702527</x:v>
      </x:c>
    </x:row>
    <x:row r="58" ht="18" customHeight="1">
      <x:c r="A58" s="24" t="str">
        <x:v>EEZ_705</x:v>
      </x:c>
      <x:c r="B58" s="24" t="str">
        <x:v>Slovenia</x:v>
      </x:c>
      <x:c r="C58" s="24" t="str">
        <x:v>EEZ</x:v>
      </x:c>
      <x:c r="D58" s="30" t="n">
        <x:v>2019</x:v>
      </x:c>
      <x:c r="E58" s="24" t="str">
        <x:v>Mullus surmuletus</x:v>
      </x:c>
      <x:c r="F58" s="24" t="str">
        <x:v>Surmullet</x:v>
      </x:c>
      <x:c r="G58" s="24" t="str">
        <x:v>Medium demersals (30 - 89 cm)</x:v>
      </x:c>
      <x:c r="H58" s="24" t="str">
        <x:v>Perch-likes</x:v>
      </x:c>
      <x:c r="I58" s="31" t="n">
        <x:v>0.1</x:v>
      </x:c>
      <x:c r="J58" s="31" t="n">
        <x:v>0.1</x:v>
      </x:c>
      <x:c r="K58" s="31" t="n">
        <x:v>0</x:v>
      </x:c>
      <x:c r="L58" s="31" t="n">
        <x:v>0.1</x:v>
      </x:c>
      <x:c r="M58" s="31" t="n">
        <x:v>0</x:v>
      </x:c>
      <x:c r="N58" s="24" t="str">
        <x:v>mullus surmuletus</x:v>
      </x:c>
      <x:c r="O58" s="32" t="n">
        <x:v>3.45</x:v>
      </x:c>
      <x:c r="P58" s="24" t="str">
        <x:v>exact_2020_supplement</x:v>
      </x:c>
      <x:c r="Q58" s="32" t="str">
        <x:v>2020 supplement MeanTL</x:v>
      </x:c>
      <x:c r="R58" s="24" t="str">
        <x:v>high</x:v>
      </x:c>
      <x:c r="S58" s="24" t="str">
        <x:v>Mullus surmuletus</x:v>
      </x:c>
      <x:c r="T58" s="32" t="n">
        <x:f>IF(O58="","",(1/'Metadata'!$B$5)^(O58-1))</x:f>
        <x:v>281.8382931264455</x:v>
      </x:c>
      <x:c r="U58" s="31" t="n">
        <x:f>IF(T58="","",I58*T58)</x:f>
        <x:v>28.183829312644548</x:v>
      </x:c>
    </x:row>
    <x:row r="59" ht="18" customHeight="1">
      <x:c r="A59" s="24" t="str">
        <x:v>EEZ_705</x:v>
      </x:c>
      <x:c r="B59" s="24" t="str">
        <x:v>Slovenia</x:v>
      </x:c>
      <x:c r="C59" s="24" t="str">
        <x:v>EEZ</x:v>
      </x:c>
      <x:c r="D59" s="30" t="n">
        <x:v>2019</x:v>
      </x:c>
      <x:c r="E59" s="24" t="str">
        <x:v>Eriphia verrucosa</x:v>
      </x:c>
      <x:c r="F59" s="24" t="str">
        <x:v>Yellow round crab</x:v>
      </x:c>
      <x:c r="G59" s="24" t="str">
        <x:v>Lobsters, crabs</x:v>
      </x:c>
      <x:c r="H59" s="24" t="str">
        <x:v>Crustaceans</x:v>
      </x:c>
      <x:c r="I59" s="31" t="n">
        <x:v>0.1</x:v>
      </x:c>
      <x:c r="J59" s="31" t="n">
        <x:v>0.1</x:v>
      </x:c>
      <x:c r="K59" s="31" t="n">
        <x:v>0</x:v>
      </x:c>
      <x:c r="L59" s="31" t="n">
        <x:v>0.1</x:v>
      </x:c>
      <x:c r="M59" s="31" t="n">
        <x:v>0</x:v>
      </x:c>
      <x:c r="N59" s="24" t="str">
        <x:v>eriphia verrucosa</x:v>
      </x:c>
      <x:c r="O59" s="32" t="n">
        <x:v>2.99</x:v>
      </x:c>
      <x:c r="P59" s="24" t="str">
        <x:v>exact_sea_around_us</x:v>
      </x:c>
      <x:c r="Q59" s="32" t="str">
        <x:v>Sea Around Us exploited organisms</x:v>
      </x:c>
      <x:c r="R59" s="24" t="str">
        <x:v>high</x:v>
      </x:c>
      <x:c r="S59" s="24" t="str">
        <x:v>Eriphia verrucosa</x:v>
      </x:c>
      <x:c r="T59" s="32" t="n">
        <x:f>IF(O59="","",(1/'Metadata'!$B$5)^(O59-1))</x:f>
        <x:v>97.72372209558111</x:v>
      </x:c>
      <x:c r="U59" s="31" t="n">
        <x:f>IF(T59="","",I59*T59)</x:f>
        <x:v>9.772372209558112</x:v>
      </x:c>
    </x:row>
    <x:row r="60" ht="18" customHeight="1">
      <x:c r="A60" s="24" t="str">
        <x:v>EEZ_705</x:v>
      </x:c>
      <x:c r="B60" s="24" t="str">
        <x:v>Slovenia</x:v>
      </x:c>
      <x:c r="C60" s="24" t="str">
        <x:v>EEZ</x:v>
      </x:c>
      <x:c r="D60" s="30" t="n">
        <x:v>2019</x:v>
      </x:c>
      <x:c r="E60" s="24" t="str">
        <x:v>Umbrina cirrosa</x:v>
      </x:c>
      <x:c r="F60" s="24" t="str">
        <x:v>Shi drum</x:v>
      </x:c>
      <x:c r="G60" s="24" t="str">
        <x:v>Medium demersals (30 - 89 cm)</x:v>
      </x:c>
      <x:c r="H60" s="24" t="str">
        <x:v>Perch-likes</x:v>
      </x:c>
      <x:c r="I60" s="31" t="n">
        <x:v>0.1</x:v>
      </x:c>
      <x:c r="J60" s="31" t="n">
        <x:v>0.1</x:v>
      </x:c>
      <x:c r="K60" s="31" t="n">
        <x:v>0</x:v>
      </x:c>
      <x:c r="L60" s="31" t="n">
        <x:v>0.1</x:v>
      </x:c>
      <x:c r="M60" s="31" t="n">
        <x:v>0</x:v>
      </x:c>
      <x:c r="N60" s="24" t="str">
        <x:v>umbrina cirrosa</x:v>
      </x:c>
      <x:c r="O60" s="32" t="n">
        <x:v>3.46</x:v>
      </x:c>
      <x:c r="P60" s="24" t="str">
        <x:v>exact_2020_supplement</x:v>
      </x:c>
      <x:c r="Q60" s="32" t="str">
        <x:v>2020 supplement MeanTL</x:v>
      </x:c>
      <x:c r="R60" s="24" t="str">
        <x:v>high</x:v>
      </x:c>
      <x:c r="S60" s="24" t="str">
        <x:v>Umbrina cirrosa</x:v>
      </x:c>
      <x:c r="T60" s="32" t="n">
        <x:f>IF(O60="","",(1/'Metadata'!$B$5)^(O60-1))</x:f>
        <x:v>288.40315031266056</x:v>
      </x:c>
      <x:c r="U60" s="31" t="n">
        <x:f>IF(T60="","",I60*T60)</x:f>
        <x:v>28.84031503126606</x:v>
      </x:c>
    </x:row>
    <x:row r="61" ht="18" customHeight="1">
      <x:c r="A61" s="24" t="str">
        <x:v>EEZ_705</x:v>
      </x:c>
      <x:c r="B61" s="24" t="str">
        <x:v>Slovenia</x:v>
      </x:c>
      <x:c r="C61" s="24" t="str">
        <x:v>EEZ</x:v>
      </x:c>
      <x:c r="D61" s="30" t="n">
        <x:v>2019</x:v>
      </x:c>
      <x:c r="E61" s="24" t="str">
        <x:v>Trachurus</x:v>
      </x:c>
      <x:c r="F61" s="24" t="str">
        <x:v>Jacks, horse mackerels</x:v>
      </x:c>
      <x:c r="G61" s="24" t="str">
        <x:v>Medium pelagics (30 - 89 cm)</x:v>
      </x:c>
      <x:c r="H61" s="24" t="str">
        <x:v>Perch-likes</x:v>
      </x:c>
      <x:c r="I61" s="31" t="n">
        <x:v>0.0999999999</x:v>
      </x:c>
      <x:c r="J61" s="31" t="n">
        <x:v>0.0999999999</x:v>
      </x:c>
      <x:c r="K61" s="31" t="n">
        <x:v>0</x:v>
      </x:c>
      <x:c r="L61" s="31" t="n">
        <x:v>0.0999999999</x:v>
      </x:c>
      <x:c r="M61" s="31" t="n">
        <x:v>0</x:v>
      </x:c>
      <x:c r="N61" s="24" t="str">
        <x:v>trachurus</x:v>
      </x:c>
      <x:c r="O61" s="32" t="n">
        <x:v>3.69</x:v>
      </x:c>
      <x:c r="P61" s="24" t="str">
        <x:v>exact_sea_around_us</x:v>
      </x:c>
      <x:c r="Q61" s="32" t="str">
        <x:v>Sea Around Us exploited organisms</x:v>
      </x:c>
      <x:c r="R61" s="24" t="str">
        <x:v>high</x:v>
      </x:c>
      <x:c r="S61" s="24" t="str">
        <x:v>Trachurus</x:v>
      </x:c>
      <x:c r="T61" s="32" t="n">
        <x:f>IF(O61="","",(1/'Metadata'!$B$5)^(O61-1))</x:f>
        <x:v>489.77881936844614</x:v>
      </x:c>
      <x:c r="U61" s="31" t="n">
        <x:f>IF(T61="","",I61*T61)</x:f>
        <x:v>48.97788188786673</x:v>
      </x:c>
    </x:row>
    <x:row r="62" ht="18" customHeight="1">
      <x:c r="A62" s="24" t="str">
        <x:v>EEZ_705</x:v>
      </x:c>
      <x:c r="B62" s="24" t="str">
        <x:v>Slovenia</x:v>
      </x:c>
      <x:c r="C62" s="24" t="str">
        <x:v>EEZ</x:v>
      </x:c>
      <x:c r="D62" s="30" t="n">
        <x:v>2019</x:v>
      </x:c>
      <x:c r="E62" s="24" t="str">
        <x:v>Trisopterus minutus</x:v>
      </x:c>
      <x:c r="F62" s="24" t="str">
        <x:v>Poor cod</x:v>
      </x:c>
      <x:c r="G62" s="24" t="str">
        <x:v>Medium benthopelagics (30 - 89 cm)</x:v>
      </x:c>
      <x:c r="H62" s="24" t="str">
        <x:v>Cod-likes</x:v>
      </x:c>
      <x:c r="I62" s="31" t="n">
        <x:v>0.0314599406</x:v>
      </x:c>
      <x:c r="J62" s="31" t="n">
        <x:v>0.005</x:v>
      </x:c>
      <x:c r="K62" s="31" t="n">
        <x:v>0.026459940600000002</x:v>
      </x:c>
      <x:c r="L62" s="31" t="n">
        <x:v>0.005</x:v>
      </x:c>
      <x:c r="M62" s="31" t="n">
        <x:v>0.026459940600000002</x:v>
      </x:c>
      <x:c r="N62" s="24" t="str">
        <x:v>trisopterus minutus</x:v>
      </x:c>
      <x:c r="O62" s="32" t="n">
        <x:v>3.73</x:v>
      </x:c>
      <x:c r="P62" s="24" t="str">
        <x:v>exact_2020_supplement</x:v>
      </x:c>
      <x:c r="Q62" s="32" t="str">
        <x:v>2020 supplement MeanTL</x:v>
      </x:c>
      <x:c r="R62" s="24" t="str">
        <x:v>high</x:v>
      </x:c>
      <x:c r="S62" s="24" t="str">
        <x:v>Trisopterus minutus</x:v>
      </x:c>
      <x:c r="T62" s="32" t="n">
        <x:f>IF(O62="","",(1/'Metadata'!$B$5)^(O62-1))</x:f>
        <x:v>537.0317963702527</x:v>
      </x:c>
      <x:c r="U62" s="31" t="n">
        <x:f>IF(T62="","",I62*T62)</x:f>
        <x:v>16.894988414119446</x:v>
      </x:c>
    </x:row>
    <x:row r="63" ht="18" customHeight="1">
      <x:c r="A63" s="24" t="str">
        <x:v>EEZ_705</x:v>
      </x:c>
      <x:c r="B63" s="24" t="str">
        <x:v>Slovenia</x:v>
      </x:c>
      <x:c r="C63" s="24" t="str">
        <x:v>EEZ</x:v>
      </x:c>
      <x:c r="D63" s="30" t="n">
        <x:v>2019</x:v>
      </x:c>
      <x:c r="E63" s="24" t="str">
        <x:v>Scorpaenidae</x:v>
      </x:c>
      <x:c r="F63" s="24" t="str">
        <x:v>Scorpionfishes, rockfishes</x:v>
      </x:c>
      <x:c r="G63" s="24" t="str">
        <x:v>Large reef assoc. fish (&gt;=90 cm)</x:v>
      </x:c>
      <x:c r="H63" s="24" t="str">
        <x:v>Scorpionfishes</x:v>
      </x:c>
      <x:c r="I63" s="31" t="n">
        <x:v>0.0259904039</x:v>
      </x:c>
      <x:c r="J63" s="31" t="n">
        <x:v>0.0259904039</x:v>
      </x:c>
      <x:c r="K63" s="31" t="n">
        <x:v>0</x:v>
      </x:c>
      <x:c r="L63" s="31" t="n">
        <x:v>0</x:v>
      </x:c>
      <x:c r="M63" s="31" t="n">
        <x:v>0.0259904039</x:v>
      </x:c>
      <x:c r="N63" s="24" t="str">
        <x:v>scorpaenidae</x:v>
      </x:c>
      <x:c r="O63" s="32" t="n">
        <x:v>3.92</x:v>
      </x:c>
      <x:c r="P63" s="24" t="str">
        <x:v>exact_sea_around_us</x:v>
      </x:c>
      <x:c r="Q63" s="32" t="str">
        <x:v>Sea Around Us exploited organisms</x:v>
      </x:c>
      <x:c r="R63" s="24" t="str">
        <x:v>high</x:v>
      </x:c>
      <x:c r="S63" s="24" t="str">
        <x:v>Scorpaenidae</x:v>
      </x:c>
      <x:c r="T63" s="32" t="n">
        <x:f>IF(O63="","",(1/'Metadata'!$B$5)^(O63-1))</x:f>
        <x:v>831.7637711026708</x:v>
      </x:c>
      <x:c r="U63" s="31" t="n">
        <x:f>IF(T63="","",I63*T63)</x:f>
        <x:v>21.617876360345562</x:v>
      </x:c>
    </x:row>
    <x:row r="64" ht="18" customHeight="1">
      <x:c r="A64" s="24" t="str">
        <x:v>EEZ_705</x:v>
      </x:c>
      <x:c r="B64" s="24" t="str">
        <x:v>Slovenia</x:v>
      </x:c>
      <x:c r="C64" s="24" t="str">
        <x:v>EEZ</x:v>
      </x:c>
      <x:c r="D64" s="30" t="n">
        <x:v>2019</x:v>
      </x:c>
      <x:c r="E64" s="24" t="str">
        <x:v>Eledone moschata</x:v>
      </x:c>
      <x:c r="F64" s="24" t="str">
        <x:v>Musky octopus</x:v>
      </x:c>
      <x:c r="G64" s="24" t="str">
        <x:v>Cephalopods</x:v>
      </x:c>
      <x:c r="H64" s="24" t="str">
        <x:v>Other fishes &amp; inverts</x:v>
      </x:c>
      <x:c r="I64" s="31" t="n">
        <x:v>0.020444026599999998</x:v>
      </x:c>
      <x:c r="J64" s="31" t="n">
        <x:v>6.761e-7</x:v>
      </x:c>
      <x:c r="K64" s="31" t="n">
        <x:v>0.0204433505</x:v>
      </x:c>
      <x:c r="L64" s="31" t="n">
        <x:v>0</x:v>
      </x:c>
      <x:c r="M64" s="31" t="n">
        <x:v>0.020444026599999998</x:v>
      </x:c>
      <x:c r="N64" s="24" t="str">
        <x:v>eledone moschata</x:v>
      </x:c>
      <x:c r="O64" s="32" t="n">
        <x:v>3.65</x:v>
      </x:c>
      <x:c r="P64" s="24" t="str">
        <x:v>exact_2020_supplement</x:v>
      </x:c>
      <x:c r="Q64" s="32" t="str">
        <x:v>2020 supplement MeanTL</x:v>
      </x:c>
      <x:c r="R64" s="24" t="str">
        <x:v>high</x:v>
      </x:c>
      <x:c r="S64" s="24" t="str">
        <x:v>Eledone moschata</x:v>
      </x:c>
      <x:c r="T64" s="32" t="n">
        <x:f>IF(O64="","",(1/'Metadata'!$B$5)^(O64-1))</x:f>
        <x:v>446.683592150963</x:v>
      </x:c>
      <x:c r="U64" s="31" t="n">
        <x:f>IF(T64="","",I64*T64)</x:f>
        <x:v>9.132011239717839</x:v>
      </x:c>
    </x:row>
    <x:row r="65" ht="18" customHeight="1">
      <x:c r="A65" s="24" t="str">
        <x:v>EEZ_705</x:v>
      </x:c>
      <x:c r="B65" s="24" t="str">
        <x:v>Slovenia</x:v>
      </x:c>
      <x:c r="C65" s="24" t="str">
        <x:v>EEZ</x:v>
      </x:c>
      <x:c r="D65" s="30" t="n">
        <x:v>2019</x:v>
      </x:c>
      <x:c r="E65" s="24" t="str">
        <x:v>Palinuridae</x:v>
      </x:c>
      <x:c r="F65" s="24" t="str">
        <x:v>Spiny lobsters</x:v>
      </x:c>
      <x:c r="G65" s="24" t="str">
        <x:v>Lobsters, crabs</x:v>
      </x:c>
      <x:c r="H65" s="24" t="str">
        <x:v>Crustaceans</x:v>
      </x:c>
      <x:c r="I65" s="31" t="n">
        <x:v>0.0106459435</x:v>
      </x:c>
      <x:c r="J65" s="31" t="n">
        <x:v>0.0106459435</x:v>
      </x:c>
      <x:c r="K65" s="31" t="n">
        <x:v>0</x:v>
      </x:c>
      <x:c r="L65" s="31" t="n">
        <x:v>0</x:v>
      </x:c>
      <x:c r="M65" s="31" t="n">
        <x:v>0.0106459435</x:v>
      </x:c>
      <x:c r="N65" s="24" t="str">
        <x:v>palinuridae</x:v>
      </x:c>
      <x:c r="O65" s="32" t="n">
        <x:v>3.14</x:v>
      </x:c>
      <x:c r="P65" s="24" t="str">
        <x:v>exact_sea_around_us</x:v>
      </x:c>
      <x:c r="Q65" s="32" t="str">
        <x:v>Sea Around Us exploited organisms</x:v>
      </x:c>
      <x:c r="R65" s="24" t="str">
        <x:v>high</x:v>
      </x:c>
      <x:c r="S65" s="24" t="str">
        <x:v>Palinuridae</x:v>
      </x:c>
      <x:c r="T65" s="32" t="n">
        <x:f>IF(O65="","",(1/'Metadata'!$B$5)^(O65-1))</x:f>
        <x:v>138.03842646028852</x:v>
      </x:c>
      <x:c r="U65" s="31" t="n">
        <x:f>IF(T65="","",I65*T65)</x:f>
        <x:v>1.4695492889251365</x:v>
      </x:c>
    </x:row>
    <x:row r="66" ht="18" customHeight="1">
      <x:c r="A66" s="24" t="str">
        <x:v>EEZ_705</x:v>
      </x:c>
      <x:c r="B66" s="24" t="str">
        <x:v>Slovenia</x:v>
      </x:c>
      <x:c r="C66" s="24" t="str">
        <x:v>EEZ</x:v>
      </x:c>
      <x:c r="D66" s="30" t="n">
        <x:v>2019</x:v>
      </x:c>
      <x:c r="E66" s="24" t="str">
        <x:v>Chelidonichthys lastoviza</x:v>
      </x:c>
      <x:c r="F66" s="24" t="str">
        <x:v>Streaked gurnard</x:v>
      </x:c>
      <x:c r="G66" s="24" t="str">
        <x:v>Medium demersals (30 - 89 cm)</x:v>
      </x:c>
      <x:c r="H66" s="24" t="str">
        <x:v>Scorpionfishes</x:v>
      </x:c>
      <x:c r="I66" s="31" t="n">
        <x:v>0.0082017699</x:v>
      </x:c>
      <x:c r="J66" s="31" t="n">
        <x:v>0</x:v>
      </x:c>
      <x:c r="K66" s="31" t="n">
        <x:v>0.0082017699</x:v>
      </x:c>
      <x:c r="L66" s="31" t="n">
        <x:v>0</x:v>
      </x:c>
      <x:c r="M66" s="31" t="n">
        <x:v>0.0082017699</x:v>
      </x:c>
      <x:c r="N66" s="24" t="str">
        <x:v>chelidonichthys lastoviza</x:v>
      </x:c>
      <x:c r="O66" s="32" t="n">
        <x:v>3.49</x:v>
      </x:c>
      <x:c r="P66" s="24" t="str">
        <x:v>exact_sea_around_us</x:v>
      </x:c>
      <x:c r="Q66" s="32" t="str">
        <x:v>Sea Around Us exploited organisms</x:v>
      </x:c>
      <x:c r="R66" s="24" t="str">
        <x:v>high</x:v>
      </x:c>
      <x:c r="S66" s="24" t="str">
        <x:v>Chelidonichthys lastoviza</x:v>
      </x:c>
      <x:c r="T66" s="32" t="n">
        <x:f>IF(O66="","",(1/'Metadata'!$B$5)^(O66-1))</x:f>
        <x:v>309.0295432513592</x:v>
      </x:c>
      <x:c r="U66" s="31" t="n">
        <x:f>IF(T66="","",I66*T66)</x:f>
        <x:v>2.5345892060497457</x:v>
      </x:c>
    </x:row>
    <x:row r="67" ht="18" customHeight="1">
      <x:c r="A67" s="24" t="str">
        <x:v>EEZ_705</x:v>
      </x:c>
      <x:c r="B67" s="24" t="str">
        <x:v>Slovenia</x:v>
      </x:c>
      <x:c r="C67" s="24" t="str">
        <x:v>EEZ</x:v>
      </x:c>
      <x:c r="D67" s="30" t="n">
        <x:v>2019</x:v>
      </x:c>
      <x:c r="E67" s="24" t="str">
        <x:v>Belonidae</x:v>
      </x:c>
      <x:c r="F67" s="24" t="str">
        <x:v>Needlefishes, garfishes</x:v>
      </x:c>
      <x:c r="G67" s="24" t="str">
        <x:v>Medium pelagics (30 - 89 cm)</x:v>
      </x:c>
      <x:c r="H67" s="24" t="str">
        <x:v>Other fishes &amp; inverts</x:v>
      </x:c>
      <x:c r="I67" s="31" t="n">
        <x:v>0.0027596857</x:v>
      </x:c>
      <x:c r="J67" s="31" t="n">
        <x:v>0.0027596857</x:v>
      </x:c>
      <x:c r="K67" s="31" t="n">
        <x:v>0</x:v>
      </x:c>
      <x:c r="L67" s="31" t="n">
        <x:v>0</x:v>
      </x:c>
      <x:c r="M67" s="31" t="n">
        <x:v>0.0027596857</x:v>
      </x:c>
      <x:c r="N67" s="24" t="str">
        <x:v>belonidae</x:v>
      </x:c>
      <x:c r="O67" s="32" t="n">
        <x:v>4.38</x:v>
      </x:c>
      <x:c r="P67" s="24" t="str">
        <x:v>exact_sea_around_us</x:v>
      </x:c>
      <x:c r="Q67" s="32" t="str">
        <x:v>Sea Around Us exploited organisms</x:v>
      </x:c>
      <x:c r="R67" s="24" t="str">
        <x:v>high</x:v>
      </x:c>
      <x:c r="S67" s="24" t="str">
        <x:v>Belonidae</x:v>
      </x:c>
      <x:c r="T67" s="32" t="n">
        <x:f>IF(O67="","",(1/'Metadata'!$B$5)^(O67-1))</x:f>
        <x:v>2398.83291901949</x:v>
      </x:c>
      <x:c r="U67" s="31" t="n">
        <x:f>IF(T67="","",I67*T67)</x:f>
        <x:v>6.620024903307344</x:v>
      </x:c>
    </x:row>
    <x:row r="68" ht="18" customHeight="1">
      <x:c r="A68" s="24" t="str">
        <x:v>EEZ_705</x:v>
      </x:c>
      <x:c r="B68" s="24" t="str">
        <x:v>Slovenia</x:v>
      </x:c>
      <x:c r="C68" s="24" t="str">
        <x:v>EEZ</x:v>
      </x:c>
      <x:c r="D68" s="30" t="n">
        <x:v>2019</x:v>
      </x:c>
      <x:c r="E68" s="24" t="str">
        <x:v>Uranoscopus scaber</x:v>
      </x:c>
      <x:c r="F68" s="24" t="str">
        <x:v>Stargazer</x:v>
      </x:c>
      <x:c r="G68" s="24" t="str">
        <x:v>Medium demersals (30 - 89 cm)</x:v>
      </x:c>
      <x:c r="H68" s="24" t="str">
        <x:v>Perch-likes</x:v>
      </x:c>
      <x:c r="I68" s="31" t="n">
        <x:v>0.001</x:v>
      </x:c>
      <x:c r="J68" s="31" t="n">
        <x:v>0.001</x:v>
      </x:c>
      <x:c r="K68" s="31" t="n">
        <x:v>0</x:v>
      </x:c>
      <x:c r="L68" s="31" t="n">
        <x:v>0.001</x:v>
      </x:c>
      <x:c r="M68" s="31" t="n">
        <x:v>0</x:v>
      </x:c>
      <x:c r="N68" s="24" t="str">
        <x:v>uranoscopus scaber</x:v>
      </x:c>
      <x:c r="O68" s="32" t="n">
        <x:v>4.38</x:v>
      </x:c>
      <x:c r="P68" s="24" t="str">
        <x:v>exact_2020_supplement</x:v>
      </x:c>
      <x:c r="Q68" s="32" t="str">
        <x:v>2020 supplement MeanTL</x:v>
      </x:c>
      <x:c r="R68" s="24" t="str">
        <x:v>high</x:v>
      </x:c>
      <x:c r="S68" s="24" t="str">
        <x:v>Uranoscopus scaber</x:v>
      </x:c>
      <x:c r="T68" s="32" t="n">
        <x:f>IF(O68="","",(1/'Metadata'!$B$5)^(O68-1))</x:f>
        <x:v>2398.83291901949</x:v>
      </x:c>
      <x:c r="U68" s="31" t="n">
        <x:f>IF(T68="","",I68*T68)</x:f>
        <x:v>2.39883291901949</x:v>
      </x:c>
    </x:row>
    <x:row r="69" ht="18" customHeight="1">
      <x:c r="A69" s="24" t="str">
        <x:v>EEZ_705</x:v>
      </x:c>
      <x:c r="B69" s="24" t="str">
        <x:v>Slovenia</x:v>
      </x:c>
      <x:c r="C69" s="24" t="str">
        <x:v>EEZ</x:v>
      </x:c>
      <x:c r="D69" s="30" t="n">
        <x:v>2019</x:v>
      </x:c>
      <x:c r="E69" s="24" t="str">
        <x:v>Scomber colias</x:v>
      </x:c>
      <x:c r="F69" s="24" t="str">
        <x:v>Atlantic chub mackerel</x:v>
      </x:c>
      <x:c r="G69" s="24" t="str">
        <x:v>Medium pelagics (30 - 89 cm)</x:v>
      </x:c>
      <x:c r="H69" s="24" t="str">
        <x:v>Perch-likes</x:v>
      </x:c>
      <x:c r="I69" s="31" t="n">
        <x:v>0.0007144527999999999</x:v>
      </x:c>
      <x:c r="J69" s="31" t="n">
        <x:v>0.000021739</x:v>
      </x:c>
      <x:c r="K69" s="31" t="n">
        <x:v>0.0006927138</x:v>
      </x:c>
      <x:c r="L69" s="31" t="n">
        <x:v>0</x:v>
      </x:c>
      <x:c r="M69" s="31" t="n">
        <x:v>0.0007144527999999999</x:v>
      </x:c>
      <x:c r="N69" s="24" t="str">
        <x:v>scomber colias</x:v>
      </x:c>
      <x:c r="O69" s="32" t="n">
        <x:v>3.91</x:v>
      </x:c>
      <x:c r="P69" s="24" t="str">
        <x:v>exact_2020_supplement</x:v>
      </x:c>
      <x:c r="Q69" s="32" t="str">
        <x:v>2020 supplement MeanTL</x:v>
      </x:c>
      <x:c r="R69" s="24" t="str">
        <x:v>high</x:v>
      </x:c>
      <x:c r="S69" s="24" t="str">
        <x:v>Scomber colias</x:v>
      </x:c>
      <x:c r="T69" s="32" t="n">
        <x:f>IF(O69="","",(1/'Metadata'!$B$5)^(O69-1))</x:f>
        <x:v>812.8305161640995</x:v>
      </x:c>
      <x:c r="U69" s="31" t="n">
        <x:f>IF(T69="","",I69*T69)</x:f>
        <x:v>0.5807290381988861</x:v>
      </x:c>
    </x:row>
    <x:row r="70" ht="18" customHeight="1">
      <x:c r="A70" s="24" t="str">
        <x:v>EEZ_705</x:v>
      </x:c>
      <x:c r="B70" s="24" t="str">
        <x:v>Slovenia</x:v>
      </x:c>
      <x:c r="C70" s="24" t="str">
        <x:v>EEZ</x:v>
      </x:c>
      <x:c r="D70" s="30" t="n">
        <x:v>2019</x:v>
      </x:c>
      <x:c r="E70" s="24" t="str">
        <x:v>Sphyraena</x:v>
      </x:c>
      <x:c r="F70" s="24" t="str">
        <x:v>Barracudas, sennets</x:v>
      </x:c>
      <x:c r="G70" s="24" t="str">
        <x:v>Large pelagics (&gt;=90 cm)</x:v>
      </x:c>
      <x:c r="H70" s="24" t="str">
        <x:v>Perch-likes</x:v>
      </x:c>
      <x:c r="I70" s="31" t="n">
        <x:v>0.0002754341</x:v>
      </x:c>
      <x:c r="J70" s="31" t="n">
        <x:v>0</x:v>
      </x:c>
      <x:c r="K70" s="31" t="n">
        <x:v>0.0002754341</x:v>
      </x:c>
      <x:c r="L70" s="31" t="n">
        <x:v>0</x:v>
      </x:c>
      <x:c r="M70" s="31" t="n">
        <x:v>0.0002754341</x:v>
      </x:c>
      <x:c r="N70" s="24" t="str">
        <x:v>sphyraena</x:v>
      </x:c>
      <x:c r="O70" s="32" t="n">
        <x:v>4.4</x:v>
      </x:c>
      <x:c r="P70" s="24" t="str">
        <x:v>exact_sea_around_us</x:v>
      </x:c>
      <x:c r="Q70" s="32" t="str">
        <x:v>Sea Around Us exploited organisms</x:v>
      </x:c>
      <x:c r="R70" s="24" t="str">
        <x:v>high</x:v>
      </x:c>
      <x:c r="S70" s="24" t="str">
        <x:v>Sphyraena</x:v>
      </x:c>
      <x:c r="T70" s="32" t="n">
        <x:f>IF(O70="","",(1/'Metadata'!$B$5)^(O70-1))</x:f>
        <x:v>2511.886431509582</x:v>
      </x:c>
      <x:c r="U70" s="31" t="n">
        <x:f>IF(T70="","",I70*T70)</x:f>
        <x:v>0.6918591785650534</x:v>
      </x:c>
    </x:row>
    <x:row r="71" ht="18" customHeight="1">
      <x:c r="A71" s="24" t="str">
        <x:v>EEZ_705</x:v>
      </x:c>
      <x:c r="B71" s="24" t="str">
        <x:v>Slovenia</x:v>
      </x:c>
      <x:c r="C71" s="24" t="str">
        <x:v>EEZ</x:v>
      </x:c>
      <x:c r="D71" s="30" t="n">
        <x:v>2019</x:v>
      </x:c>
      <x:c r="E71" s="24" t="str">
        <x:v>Maja squinado</x:v>
      </x:c>
      <x:c r="F71" s="24" t="str">
        <x:v>Spinous spider crab</x:v>
      </x:c>
      <x:c r="G71" s="24" t="str">
        <x:v>Lobsters, crabs</x:v>
      </x:c>
      <x:c r="H71" s="24" t="str">
        <x:v>Crustaceans</x:v>
      </x:c>
      <x:c r="I71" s="31" t="n">
        <x:v>0.0002724342</x:v>
      </x:c>
      <x:c r="J71" s="31" t="n">
        <x:v>0</x:v>
      </x:c>
      <x:c r="K71" s="31" t="n">
        <x:v>0.0002724342</x:v>
      </x:c>
      <x:c r="L71" s="31" t="n">
        <x:v>0</x:v>
      </x:c>
      <x:c r="M71" s="31" t="n">
        <x:v>0.0002724342</x:v>
      </x:c>
      <x:c r="N71" s="24" t="str">
        <x:v>maja squinado</x:v>
      </x:c>
      <x:c r="O71" s="32" t="n">
        <x:v>2.94</x:v>
      </x:c>
      <x:c r="P71" s="24" t="str">
        <x:v>exact_2020_supplement</x:v>
      </x:c>
      <x:c r="Q71" s="32" t="str">
        <x:v>2020 supplement MeanTL</x:v>
      </x:c>
      <x:c r="R71" s="24" t="str">
        <x:v>high</x:v>
      </x:c>
      <x:c r="S71" s="24" t="str">
        <x:v>Maja squinado</x:v>
      </x:c>
      <x:c r="T71" s="32" t="n">
        <x:f>IF(O71="","",(1/'Metadata'!$B$5)^(O71-1))</x:f>
        <x:v>87.09635899560806</x:v>
      </x:c>
      <x:c r="U71" s="31" t="n">
        <x:f>IF(T71="","",I71*T71)</x:f>
        <x:v>0.023728026885881284</x:v>
      </x:c>
    </x:row>
    <x:row r="72" ht="18" customHeight="1">
      <x:c r="A72" s="24" t="str">
        <x:v>EEZ_705</x:v>
      </x:c>
      <x:c r="B72" s="24" t="str">
        <x:v>Slovenia</x:v>
      </x:c>
      <x:c r="C72" s="24" t="str">
        <x:v>EEZ</x:v>
      </x:c>
      <x:c r="D72" s="30" t="n">
        <x:v>2019</x:v>
      </x:c>
      <x:c r="E72" s="24" t="str">
        <x:v>Belone belone</x:v>
      </x:c>
      <x:c r="F72" s="24" t="str">
        <x:v>Garfish</x:v>
      </x:c>
      <x:c r="G72" s="24" t="str">
        <x:v>Medium pelagics (30 - 89 cm)</x:v>
      </x:c>
      <x:c r="H72" s="24" t="str">
        <x:v>Other fishes &amp; inverts</x:v>
      </x:c>
      <x:c r="I72" s="31" t="n">
        <x:v>0.0001700688</x:v>
      </x:c>
      <x:c r="J72" s="31" t="n">
        <x:v>0.0000014923</x:v>
      </x:c>
      <x:c r="K72" s="31" t="n">
        <x:v>0.0001685765</x:v>
      </x:c>
      <x:c r="L72" s="31" t="n">
        <x:v>0</x:v>
      </x:c>
      <x:c r="M72" s="31" t="n">
        <x:v>0.0001700688</x:v>
      </x:c>
      <x:c r="N72" s="24" t="str">
        <x:v>belone belone</x:v>
      </x:c>
      <x:c r="O72" s="32" t="n">
        <x:v>4.16</x:v>
      </x:c>
      <x:c r="P72" s="24" t="str">
        <x:v>exact_2020_supplement</x:v>
      </x:c>
      <x:c r="Q72" s="32" t="str">
        <x:v>2020 supplement MeanTL</x:v>
      </x:c>
      <x:c r="R72" s="24" t="str">
        <x:v>high</x:v>
      </x:c>
      <x:c r="S72" s="24" t="str">
        <x:v>Belone belone</x:v>
      </x:c>
      <x:c r="T72" s="32" t="n">
        <x:f>IF(O72="","",(1/'Metadata'!$B$5)^(O72-1))</x:f>
        <x:v>1445.439770745928</x:v>
      </x:c>
      <x:c r="U72" s="31" t="n">
        <x:f>IF(T72="","",I72*T72)</x:f>
        <x:v>0.24582420728303508</x:v>
      </x:c>
    </x:row>
    <x:row r="73" ht="18" customHeight="1">
      <x:c r="A73" s="24" t="str">
        <x:v>EEZ_705</x:v>
      </x:c>
      <x:c r="B73" s="24" t="str">
        <x:v>Slovenia</x:v>
      </x:c>
      <x:c r="C73" s="24" t="str">
        <x:v>EEZ</x:v>
      </x:c>
      <x:c r="D73" s="30" t="n">
        <x:v>2019</x:v>
      </x:c>
      <x:c r="E73" s="24" t="str">
        <x:v>Diplodus vulgaris</x:v>
      </x:c>
      <x:c r="F73" s="24" t="str">
        <x:v>Common two-banded seabream</x:v>
      </x:c>
      <x:c r="G73" s="24" t="str">
        <x:v>Medium benthopelagics (30 - 89 cm)</x:v>
      </x:c>
      <x:c r="H73" s="24" t="str">
        <x:v>Perch-likes</x:v>
      </x:c>
      <x:c r="I73" s="31" t="n">
        <x:v>0.0000298518</x:v>
      </x:c>
      <x:c r="J73" s="31" t="n">
        <x:v>0.0000298518</x:v>
      </x:c>
      <x:c r="K73" s="31" t="n">
        <x:v>0</x:v>
      </x:c>
      <x:c r="L73" s="31" t="n">
        <x:v>0</x:v>
      </x:c>
      <x:c r="M73" s="31" t="n">
        <x:v>0.0000298518</x:v>
      </x:c>
      <x:c r="N73" s="24" t="str">
        <x:v>diplodus vulgaris</x:v>
      </x:c>
      <x:c r="O73" s="32" t="n">
        <x:v>3.52</x:v>
      </x:c>
      <x:c r="P73" s="24" t="str">
        <x:v>exact_2020_supplement</x:v>
      </x:c>
      <x:c r="Q73" s="32" t="str">
        <x:v>2020 supplement MeanTL</x:v>
      </x:c>
      <x:c r="R73" s="24" t="str">
        <x:v>high</x:v>
      </x:c>
      <x:c r="S73" s="24" t="str">
        <x:v>Diplodus vulgaris</x:v>
      </x:c>
      <x:c r="T73" s="32" t="n">
        <x:f>IF(O73="","",(1/'Metadata'!$B$5)^(O73-1))</x:f>
        <x:v>331.1311214825911</x:v>
      </x:c>
      <x:c r="U73" s="31" t="n">
        <x:f>IF(T73="","",I73*T73)</x:f>
        <x:v>0.009884860012274012</x:v>
      </x:c>
    </x:row>
    <x:row r="74" ht="18" customHeight="1">
      <x:c r="A74" s="24" t="str">
        <x:v>EEZ_705</x:v>
      </x:c>
      <x:c r="B74" s="24" t="str">
        <x:v>Slovenia</x:v>
      </x:c>
      <x:c r="C74" s="24" t="str">
        <x:v>EEZ</x:v>
      </x:c>
      <x:c r="D74" s="30" t="n">
        <x:v>2019</x:v>
      </x:c>
      <x:c r="E74" s="24" t="str">
        <x:v>Dasyatis pastinaca</x:v>
      </x:c>
      <x:c r="F74" s="24" t="str">
        <x:v>Common stingray</x:v>
      </x:c>
      <x:c r="G74" s="24" t="str">
        <x:v>Large rays (&gt;=90 cm)</x:v>
      </x:c>
      <x:c r="H74" s="24" t="str">
        <x:v>Sharks &amp; rays</x:v>
      </x:c>
      <x:c r="I74" s="31" t="n">
        <x:v>0.000015714</x:v>
      </x:c>
      <x:c r="J74" s="31" t="n">
        <x:v>0.000015714</x:v>
      </x:c>
      <x:c r="K74" s="31" t="n">
        <x:v>0</x:v>
      </x:c>
      <x:c r="L74" s="31" t="n">
        <x:v>0</x:v>
      </x:c>
      <x:c r="M74" s="31" t="n">
        <x:v>0.000015714</x:v>
      </x:c>
      <x:c r="N74" s="24" t="str">
        <x:v>dasyatis pastinaca</x:v>
      </x:c>
      <x:c r="O74" s="32" t="n">
        <x:v>4.05</x:v>
      </x:c>
      <x:c r="P74" s="24" t="str">
        <x:v>exact_2020_supplement</x:v>
      </x:c>
      <x:c r="Q74" s="32" t="str">
        <x:v>2020 supplement MeanTL</x:v>
      </x:c>
      <x:c r="R74" s="24" t="str">
        <x:v>high</x:v>
      </x:c>
      <x:c r="S74" s="24" t="str">
        <x:v>Dasyatis pastinaca</x:v>
      </x:c>
      <x:c r="T74" s="32" t="n">
        <x:f>IF(O74="","",(1/'Metadata'!$B$5)^(O74-1))</x:f>
        <x:v>1122.018454301963</x:v>
      </x:c>
      <x:c r="U74" s="31" t="n">
        <x:f>IF(T74="","",I74*T74)</x:f>
        <x:v>0.017631397990901045</x:v>
      </x:c>
    </x:row>
    <x:row r="75" ht="18" customHeight="1">
      <x:c r="A75" s="24" t="str">
        <x:v>EEZ_705</x:v>
      </x:c>
      <x:c r="B75" s="24" t="str">
        <x:v>Slovenia</x:v>
      </x:c>
      <x:c r="C75" s="24" t="str">
        <x:v>EEZ</x:v>
      </x:c>
      <x:c r="D75" s="30" t="n">
        <x:v>2019</x:v>
      </x:c>
      <x:c r="E75" s="24" t="str">
        <x:v>Pagellus bogaraveo</x:v>
      </x:c>
      <x:c r="F75" s="24" t="str">
        <x:v>Blackspot seabream</x:v>
      </x:c>
      <x:c r="G75" s="24" t="str">
        <x:v>Medium benthopelagics (30 - 89 cm)</x:v>
      </x:c>
      <x:c r="H75" s="24" t="str">
        <x:v>Perch-likes</x:v>
      </x:c>
      <x:c r="I75" s="31" t="n">
        <x:v>0.0000028937</x:v>
      </x:c>
      <x:c r="J75" s="31" t="n">
        <x:v>0.0000028937</x:v>
      </x:c>
      <x:c r="K75" s="31" t="n">
        <x:v>0</x:v>
      </x:c>
      <x:c r="L75" s="31" t="n">
        <x:v>0</x:v>
      </x:c>
      <x:c r="M75" s="31" t="n">
        <x:v>0.0000028937</x:v>
      </x:c>
      <x:c r="N75" s="24" t="str">
        <x:v>pagellus bogaraveo</x:v>
      </x:c>
      <x:c r="O75" s="32" t="n">
        <x:v>4.21</x:v>
      </x:c>
      <x:c r="P75" s="24" t="str">
        <x:v>exact_2020_supplement</x:v>
      </x:c>
      <x:c r="Q75" s="32" t="str">
        <x:v>2020 supplement MeanTL</x:v>
      </x:c>
      <x:c r="R75" s="24" t="str">
        <x:v>high</x:v>
      </x:c>
      <x:c r="S75" s="24" t="str">
        <x:v>Pagellus bogaraveo</x:v>
      </x:c>
      <x:c r="T75" s="32" t="n">
        <x:f>IF(O75="","",(1/'Metadata'!$B$5)^(O75-1))</x:f>
        <x:v>1621.8100973589299</x:v>
      </x:c>
      <x:c r="U75" s="31" t="n">
        <x:f>IF(T75="","",I75*T75)</x:f>
        <x:v>0.0046930318787275355</x:v>
      </x:c>
    </x:row>
    <x:row r="76" ht="18" customHeight="1">
      <x:c r="A76" s="24" t="str">
        <x:v>EEZ_705</x:v>
      </x:c>
      <x:c r="B76" s="24" t="str">
        <x:v>Slovenia</x:v>
      </x:c>
      <x:c r="C76" s="24" t="str">
        <x:v>EEZ</x:v>
      </x:c>
      <x:c r="D76" s="30" t="n">
        <x:v>2019</x:v>
      </x:c>
      <x:c r="E76" s="24" t="str">
        <x:v>Lichia amia</x:v>
      </x:c>
      <x:c r="F76" s="24" t="str">
        <x:v>Leerfish</x:v>
      </x:c>
      <x:c r="G76" s="24" t="str">
        <x:v>Large pelagics (&gt;=90 cm)</x:v>
      </x:c>
      <x:c r="H76" s="24" t="str">
        <x:v>Perch-likes</x:v>
      </x:c>
      <x:c r="I76" s="31" t="n">
        <x:v>0.0000018089</x:v>
      </x:c>
      <x:c r="J76" s="31" t="n">
        <x:v>0.0000018089</x:v>
      </x:c>
      <x:c r="K76" s="31" t="n">
        <x:v>0</x:v>
      </x:c>
      <x:c r="L76" s="31" t="n">
        <x:v>0</x:v>
      </x:c>
      <x:c r="M76" s="31" t="n">
        <x:v>0.0000018089</x:v>
      </x:c>
      <x:c r="N76" s="24" t="str">
        <x:v>lichia amia</x:v>
      </x:c>
      <x:c r="O76" s="32" t="n">
        <x:v>4.5</x:v>
      </x:c>
      <x:c r="P76" s="24" t="str">
        <x:v>exact_2020_supplement</x:v>
      </x:c>
      <x:c r="Q76" s="32" t="str">
        <x:v>2020 supplement MeanTL</x:v>
      </x:c>
      <x:c r="R76" s="24" t="str">
        <x:v>high</x:v>
      </x:c>
      <x:c r="S76" s="24" t="str">
        <x:v>Lichia amia</x:v>
      </x:c>
      <x:c r="T76" s="32" t="n">
        <x:f>IF(O76="","",(1/'Metadata'!$B$5)^(O76-1))</x:f>
        <x:v>3162.2776601683795</x:v>
      </x:c>
      <x:c r="U76" s="31" t="n">
        <x:f>IF(T76="","",I76*T76)</x:f>
        <x:v>0.005720244059478581</x:v>
      </x:c>
    </x:row>
    <x:row r="77" ht="18" customHeight="1">
      <x:c r="A77" s="24" t="str">
        <x:v>EEZ_705</x:v>
      </x:c>
      <x:c r="B77" s="24" t="str">
        <x:v>Slovenia</x:v>
      </x:c>
      <x:c r="C77" s="24" t="str">
        <x:v>EEZ</x:v>
      </x:c>
      <x:c r="D77" s="30" t="n">
        <x:v>2019</x:v>
      </x:c>
      <x:c r="E77" s="24" t="str">
        <x:v>Euthynnus alletteratus</x:v>
      </x:c>
      <x:c r="F77" s="24" t="str">
        <x:v>Little tunny </x:v>
      </x:c>
      <x:c r="G77" s="24" t="str">
        <x:v>Large pelagics (&gt;=90 cm)</x:v>
      </x:c>
      <x:c r="H77" s="24" t="str">
        <x:v>Tuna &amp; billfishes</x:v>
      </x:c>
      <x:c r="I77" s="31" t="n">
        <x:v>0.0000013704</x:v>
      </x:c>
      <x:c r="J77" s="31" t="n">
        <x:v>0.0000013704</x:v>
      </x:c>
      <x:c r="K77" s="31" t="n">
        <x:v>0</x:v>
      </x:c>
      <x:c r="L77" s="31" t="n">
        <x:v>0</x:v>
      </x:c>
      <x:c r="M77" s="31" t="n">
        <x:v>0.0000013704</x:v>
      </x:c>
      <x:c r="N77" s="24" t="str">
        <x:v>euthynnus alletteratus</x:v>
      </x:c>
      <x:c r="O77" s="32" t="n">
        <x:v>4.49</x:v>
      </x:c>
      <x:c r="P77" s="24" t="str">
        <x:v>exact_2020_supplement</x:v>
      </x:c>
      <x:c r="Q77" s="32" t="str">
        <x:v>2020 supplement MeanTL</x:v>
      </x:c>
      <x:c r="R77" s="24" t="str">
        <x:v>high</x:v>
      </x:c>
      <x:c r="S77" s="24" t="str">
        <x:v>Euthynnus alletteratus</x:v>
      </x:c>
      <x:c r="T77" s="32" t="n">
        <x:f>IF(O77="","",(1/'Metadata'!$B$5)^(O77-1))</x:f>
        <x:v>3090.295432513592</x:v>
      </x:c>
      <x:c r="U77" s="31" t="n">
        <x:f>IF(T77="","",I77*T77)</x:f>
        <x:v>0.004234940860716627</x:v>
      </x:c>
    </x:row>
    <x:row r="78" ht="18" customHeight="1">
      <x:c r="A78" s="24" t="str">
        <x:v>EEZ_705</x:v>
      </x:c>
      <x:c r="B78" s="24" t="str">
        <x:v>Slovenia</x:v>
      </x:c>
      <x:c r="C78" s="24" t="str">
        <x:v>EEZ</x:v>
      </x:c>
      <x:c r="D78" s="30" t="n">
        <x:v>2019</x:v>
      </x:c>
      <x:c r="E78" s="24" t="str">
        <x:v>Spondyliosoma cantharus</x:v>
      </x:c>
      <x:c r="F78" s="24" t="str">
        <x:v>Black seabream</x:v>
      </x:c>
      <x:c r="G78" s="24" t="str">
        <x:v>Medium benthopelagics (30 - 89 cm)</x:v>
      </x:c>
      <x:c r="H78" s="24" t="str">
        <x:v>Perch-likes</x:v>
      </x:c>
      <x:c r="I78" s="31" t="n">
        <x:v>0.0000013521</x:v>
      </x:c>
      <x:c r="J78" s="31" t="n">
        <x:v>0.0000013521</x:v>
      </x:c>
      <x:c r="K78" s="31" t="n">
        <x:v>0</x:v>
      </x:c>
      <x:c r="L78" s="31" t="n">
        <x:v>0</x:v>
      </x:c>
      <x:c r="M78" s="31" t="n">
        <x:v>0.0000013521</x:v>
      </x:c>
      <x:c r="N78" s="24" t="str">
        <x:v>spondyliosoma cantharus</x:v>
      </x:c>
      <x:c r="O78" s="32" t="n">
        <x:v>3.34</x:v>
      </x:c>
      <x:c r="P78" s="24" t="str">
        <x:v>exact_2020_supplement</x:v>
      </x:c>
      <x:c r="Q78" s="32" t="str">
        <x:v>2020 supplement MeanTL</x:v>
      </x:c>
      <x:c r="R78" s="24" t="str">
        <x:v>high</x:v>
      </x:c>
      <x:c r="S78" s="24" t="str">
        <x:v>Spondyliosoma cantharus</x:v>
      </x:c>
      <x:c r="T78" s="32" t="n">
        <x:f>IF(O78="","",(1/'Metadata'!$B$5)^(O78-1))</x:f>
        <x:v>218.77616239495518</x:v>
      </x:c>
      <x:c r="U78" s="31" t="n">
        <x:f>IF(T78="","",I78*T78)</x:f>
        <x:v>0.0002958072491742189</x:v>
      </x:c>
    </x:row>
    <x:row r="79" ht="18" customHeight="1">
      <x:c r="A79" s="24" t="str">
        <x:v>EEZ_705</x:v>
      </x:c>
      <x:c r="B79" s="24" t="str">
        <x:v>Slovenia</x:v>
      </x:c>
      <x:c r="C79" s="24" t="str">
        <x:v>EEZ</x:v>
      </x:c>
      <x:c r="D79" s="30" t="n">
        <x:v>2019</x:v>
      </x:c>
      <x:c r="E79" s="24" t="str">
        <x:v>Diplodus sargus</x:v>
      </x:c>
      <x:c r="F79" s="24" t="str">
        <x:v>White seabream</x:v>
      </x:c>
      <x:c r="G79" s="24" t="str">
        <x:v>Medium demersals (30 - 89 cm)</x:v>
      </x:c>
      <x:c r="H79" s="24" t="str">
        <x:v>Perch-likes</x:v>
      </x:c>
      <x:c r="I79" s="31" t="n">
        <x:v>6.761e-7</x:v>
      </x:c>
      <x:c r="J79" s="31" t="n">
        <x:v>6.761e-7</x:v>
      </x:c>
      <x:c r="K79" s="31" t="n">
        <x:v>0</x:v>
      </x:c>
      <x:c r="L79" s="31" t="n">
        <x:v>0</x:v>
      </x:c>
      <x:c r="M79" s="31" t="n">
        <x:v>6.761e-7</x:v>
      </x:c>
      <x:c r="N79" s="24" t="str">
        <x:v>diplodus sargus</x:v>
      </x:c>
      <x:c r="O79" s="32" t="n">
        <x:v>3.38</x:v>
      </x:c>
      <x:c r="P79" s="24" t="str">
        <x:v>exact_sea_around_us</x:v>
      </x:c>
      <x:c r="Q79" s="32" t="str">
        <x:v>Sea Around Us exploited organisms</x:v>
      </x:c>
      <x:c r="R79" s="24" t="str">
        <x:v>high</x:v>
      </x:c>
      <x:c r="S79" s="24" t="str">
        <x:v>Diplodus sargus</x:v>
      </x:c>
      <x:c r="T79" s="32" t="n">
        <x:f>IF(O79="","",(1/'Metadata'!$B$5)^(O79-1))</x:f>
        <x:v>239.88329190194898</x:v>
      </x:c>
      <x:c r="U79" s="31" t="n">
        <x:f>IF(T79="","",I79*T79)</x:f>
        <x:v>0.0001621850936549077</x:v>
      </x:c>
    </x:row>
    <x:row r="80" ht="18" customHeight="1">
      <x:c r="A80" s="24" t="str">
        <x:v>EEZ_705</x:v>
      </x:c>
      <x:c r="B80" s="24" t="str">
        <x:v>Slovenia</x:v>
      </x:c>
      <x:c r="C80" s="24" t="str">
        <x:v>EEZ</x:v>
      </x:c>
      <x:c r="D80" s="30" t="n">
        <x:v>2019</x:v>
      </x:c>
      <x:c r="E80" s="24" t="str">
        <x:v>Scorpaena scrofa</x:v>
      </x:c>
      <x:c r="F80" s="24" t="str">
        <x:v>Red scorpionfish</x:v>
      </x:c>
      <x:c r="G80" s="24" t="str">
        <x:v>Medium demersals (30 - 89 cm)</x:v>
      </x:c>
      <x:c r="H80" s="24" t="str">
        <x:v>Scorpionfishes</x:v>
      </x:c>
      <x:c r="I80" s="31" t="n">
        <x:v>6.761e-7</x:v>
      </x:c>
      <x:c r="J80" s="31" t="n">
        <x:v>6.761e-7</x:v>
      </x:c>
      <x:c r="K80" s="31" t="n">
        <x:v>0</x:v>
      </x:c>
      <x:c r="L80" s="31" t="n">
        <x:v>0</x:v>
      </x:c>
      <x:c r="M80" s="31" t="n">
        <x:v>6.761e-7</x:v>
      </x:c>
      <x:c r="N80" s="24" t="str">
        <x:v>scorpaena scrofa</x:v>
      </x:c>
      <x:c r="O80" s="32" t="n">
        <x:v>4.25</x:v>
      </x:c>
      <x:c r="P80" s="24" t="str">
        <x:v>exact_2020_supplement</x:v>
      </x:c>
      <x:c r="Q80" s="32" t="str">
        <x:v>2020 supplement MeanTL</x:v>
      </x:c>
      <x:c r="R80" s="24" t="str">
        <x:v>high</x:v>
      </x:c>
      <x:c r="S80" s="24" t="str">
        <x:v>Scorpaena scrofa</x:v>
      </x:c>
      <x:c r="T80" s="32" t="n">
        <x:f>IF(O80="","",(1/'Metadata'!$B$5)^(O80-1))</x:f>
        <x:v>1778.2794100389228</x:v>
      </x:c>
      <x:c r="U80" s="31" t="n">
        <x:f>IF(T80="","",I80*T80)</x:f>
        <x:v>0.0012022947091273157</x:v>
      </x:c>
    </x:row>
    <x:row r="81" ht="18" customHeight="1">
      <x:c r="A81" s="24" t="str">
        <x:v>EEZ_705</x:v>
      </x:c>
      <x:c r="B81" s="24" t="str">
        <x:v>Slovenia</x:v>
      </x:c>
      <x:c r="C81" s="24" t="str">
        <x:v>EEZ</x:v>
      </x:c>
      <x:c r="D81" s="30" t="n">
        <x:v>2019</x:v>
      </x:c>
      <x:c r="E81" s="24" t="str">
        <x:v>Anguilla anguilla</x:v>
      </x:c>
      <x:c r="F81" s="24" t="str">
        <x:v>European eel</x:v>
      </x:c>
      <x:c r="G81" s="24" t="str">
        <x:v>Large demersals (&gt;=90 cm)</x:v>
      </x:c>
      <x:c r="H81" s="24" t="str">
        <x:v>Other fishes &amp; inverts</x:v>
      </x:c>
      <x:c r="I81" s="31" t="n">
        <x:v>4.568e-7</x:v>
      </x:c>
      <x:c r="J81" s="31" t="n">
        <x:v>4.568e-7</x:v>
      </x:c>
      <x:c r="K81" s="31" t="n">
        <x:v>0</x:v>
      </x:c>
      <x:c r="L81" s="31" t="n">
        <x:v>0</x:v>
      </x:c>
      <x:c r="M81" s="31" t="n">
        <x:v>4.568e-7</x:v>
      </x:c>
      <x:c r="N81" s="24" t="str">
        <x:v>anguilla anguilla</x:v>
      </x:c>
      <x:c r="O81" s="32" t="n">
        <x:v>3.55</x:v>
      </x:c>
      <x:c r="P81" s="24" t="str">
        <x:v>exact_2020_supplement</x:v>
      </x:c>
      <x:c r="Q81" s="32" t="str">
        <x:v>2020 supplement MeanTL</x:v>
      </x:c>
      <x:c r="R81" s="24" t="str">
        <x:v>high</x:v>
      </x:c>
      <x:c r="S81" s="24" t="str">
        <x:v>Anguilla anguilla</x:v>
      </x:c>
      <x:c r="T81" s="32" t="n">
        <x:f>IF(O81="","",(1/'Metadata'!$B$5)^(O81-1))</x:f>
        <x:v>354.8133892335753</x:v>
      </x:c>
      <x:c r="U81" s="31" t="n">
        <x:f>IF(T81="","",I81*T81)</x:f>
        <x:v>0.0001620787562018972</x:v>
      </x:c>
    </x:row>
  </x:sheetData>
  <x:conditionalFormatting sqref="R2:R81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0915f7a9bb9e4f45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Anchovies</x:v>
      </x:c>
      <x:c r="B2" s="33" t="n">
        <x:v>2</x:v>
      </x:c>
      <x:c r="C2" s="33" t="n">
        <x:v>2</x:v>
      </x:c>
      <x:c r="D2" s="31" t="n">
        <x:v>6.9827345882</x:v>
      </x:c>
      <x:c r="E2" s="31" t="n">
        <x:v>6.9827345882</x:v>
      </x:c>
      <x:c r="F2" s="32" t="n">
        <x:v>0</x:v>
      </x:c>
      <x:c r="G2" s="34" t="n">
        <x:v>1</x:v>
      </x:c>
      <x:c r="H2" s="32" t="n">
        <x:f>IF(E2=0,"",I2/E2)</x:f>
        <x:v>156.81007965289353</x:v>
      </x:c>
      <x:c r="I2" s="31" t="n">
        <x:f>IF(C2=0,"",SUMIF('Species'!$H$2:$H$81,A2,'Species'!$U$2:$U$81))</x:f>
        <x:v>1094.9631669706566</x:v>
      </x:c>
      <x:c r="J2" s="32" t="n">
        <x:v>3.1949052822100508</x:v>
      </x:c>
      <x:c r="K2" s="32" t="n">
        <x:f>IF(J2="","",(1/'Metadata'!$B$5)^(J2-1))</x:f>
        <x:v>156.64094055844174</x:v>
      </x:c>
      <x:c r="L2" s="31" t="n">
        <x:f>IF(E2=0,"",E2*K2)</x:f>
        <x:v>1093.7821135656113</x:v>
      </x:c>
      <x:c r="M2" s="31" t="n">
        <x:f>IF(E2=0,"",I2-L2)</x:f>
        <x:v>1.1810534050453043</x:v>
      </x:c>
      <x:c r="N2" s="32" t="n">
        <x:f>IF(L2=0,"",I2/L2)</x:f>
        <x:v>1.0010797885523974</x:v>
      </x:c>
      <x:c r="O2" s="34" t="n">
        <x:f>IF(L2=0,"",M2/L2)</x:f>
        <x:v>0.0010797885523975137</x:v>
      </x:c>
    </x:row>
    <x:row r="3" ht="18" customHeight="1">
      <x:c r="A3" s="24" t="str">
        <x:v>Cod-likes</x:v>
      </x:c>
      <x:c r="B3" s="33" t="n">
        <x:v>3</x:v>
      </x:c>
      <x:c r="C3" s="33" t="n">
        <x:v>3</x:v>
      </x:c>
      <x:c r="D3" s="31" t="n">
        <x:v>26.899342075600003</x:v>
      </x:c>
      <x:c r="E3" s="31" t="n">
        <x:v>26.899342075600003</x:v>
      </x:c>
      <x:c r="F3" s="32" t="n">
        <x:v>0</x:v>
      </x:c>
      <x:c r="G3" s="34" t="n">
        <x:v>1</x:v>
      </x:c>
      <x:c r="H3" s="32" t="n">
        <x:f>IF(E3=0,"",I3/E3)</x:f>
        <x:v>2274.3499658060737</x:v>
      </x:c>
      <x:c r="I3" s="31" t="n">
        <x:f>IF(C3=0,"",SUMIF('Species'!$H$2:$H$81,A3,'Species'!$U$2:$U$81))</x:f>
        <x:v>61178.517729846746</x:v>
      </x:c>
      <x:c r="J3" s="32" t="n">
        <x:v>4.356226704181584</x:v>
      </x:c>
      <x:c r="K3" s="32" t="n">
        <x:f>IF(J3="","",(1/'Metadata'!$B$5)^(J3-1))</x:f>
        <x:v>2271.050043515909</x:v>
      </x:c>
      <x:c r="L3" s="31" t="n">
        <x:f>IF(E3=0,"",E3*K3)</x:f>
        <x:v>61089.7519913407</x:v>
      </x:c>
      <x:c r="M3" s="31" t="n">
        <x:f>IF(E3=0,"",I3-L3)</x:f>
        <x:v>88.76573850604473</x:v>
      </x:c>
      <x:c r="N3" s="32" t="n">
        <x:f>IF(L3=0,"",I3/L3)</x:f>
        <x:v>1.0014530381219853</x:v>
      </x:c>
      <x:c r="O3" s="34" t="n">
        <x:f>IF(L3=0,"",M3/L3)</x:f>
        <x:v>0.0014530381219852884</x:v>
      </x:c>
    </x:row>
    <x:row r="4" ht="18" customHeight="1">
      <x:c r="A4" s="24" t="str">
        <x:v>Crustaceans</x:v>
      </x:c>
      <x:c r="B4" s="33" t="n">
        <x:v>4</x:v>
      </x:c>
      <x:c r="C4" s="33" t="n">
        <x:v>4</x:v>
      </x:c>
      <x:c r="D4" s="31" t="n">
        <x:v>1.5224671978</x:v>
      </x:c>
      <x:c r="E4" s="31" t="n">
        <x:v>1.5224671978</x:v>
      </x:c>
      <x:c r="F4" s="32" t="n">
        <x:v>0</x:v>
      </x:c>
      <x:c r="G4" s="34" t="n">
        <x:v>1</x:v>
      </x:c>
      <x:c r="H4" s="32" t="n">
        <x:f>IF(E4=0,"",I4/E4)</x:f>
        <x:v>393.8982309538831</x:v>
      </x:c>
      <x:c r="I4" s="31" t="n">
        <x:f>IF(C4=0,"",SUMIF('Species'!$H$2:$H$81,A4,'Species'!$U$2:$U$81))</x:f>
        <x:v>599.6971358987356</x:v>
      </x:c>
      <x:c r="J4" s="32" t="n">
        <x:v>3.5751416882841958</x:v>
      </x:c>
      <x:c r="K4" s="32" t="n">
        <x:f>IF(J4="","",(1/'Metadata'!$B$5)^(J4-1))</x:f>
        <x:v>375.9600409941573</x:v>
      </x:c>
      <x:c r="L4" s="31" t="n">
        <x:f>IF(E4=0,"",E4*K4)</x:f>
        <x:v>572.3868300971477</x:v>
      </x:c>
      <x:c r="M4" s="31" t="n">
        <x:f>IF(E4=0,"",I4-L4)</x:f>
        <x:v>27.3103058015879</x:v>
      </x:c>
      <x:c r="N4" s="32" t="n">
        <x:f>IF(L4=0,"",I4/L4)</x:f>
        <x:v>1.0477130226720148</x:v>
      </x:c>
      <x:c r="O4" s="34" t="n">
        <x:f>IF(L4=0,"",M4/L4)</x:f>
        <x:v>0.04771302267201482</x:v>
      </x:c>
    </x:row>
    <x:row r="5" ht="18" customHeight="1">
      <x:c r="A5" s="24" t="str">
        <x:v>Flatfishes</x:v>
      </x:c>
      <x:c r="B5" s="33" t="n">
        <x:v>5</x:v>
      </x:c>
      <x:c r="C5" s="33" t="n">
        <x:v>5</x:v>
      </x:c>
      <x:c r="D5" s="31" t="n">
        <x:v>14.6448625483</x:v>
      </x:c>
      <x:c r="E5" s="31" t="n">
        <x:v>14.6448625483</x:v>
      </x:c>
      <x:c r="F5" s="32" t="n">
        <x:v>0</x:v>
      </x:c>
      <x:c r="G5" s="34" t="n">
        <x:v>1</x:v>
      </x:c>
      <x:c r="H5" s="32" t="n">
        <x:f>IF(E5=0,"",I5/E5)</x:f>
        <x:v>284.6472308011983</x:v>
      </x:c>
      <x:c r="I5" s="31" t="n">
        <x:f>IF(C5=0,"",SUMIF('Species'!$H$2:$H$81,A5,'Species'!$U$2:$U$81))</x:f>
        <x:v>4168.619569837775</x:v>
      </x:c>
      <x:c r="J5" s="32" t="n">
        <x:v>3.283303198410873</x:v>
      </x:c>
      <x:c r="K5" s="32" t="n">
        <x:f>IF(J5="","",(1/'Metadata'!$B$5)^(J5-1))</x:f>
        <x:v>192.00087080236912</x:v>
      </x:c>
      <x:c r="L5" s="31" t="n">
        <x:f>IF(E5=0,"",E5*K5)</x:f>
        <x:v>2811.8263620546027</x:v>
      </x:c>
      <x:c r="M5" s="31" t="n">
        <x:f>IF(E5=0,"",I5-L5)</x:f>
        <x:v>1356.7932077831724</x:v>
      </x:c>
      <x:c r="N5" s="32" t="n">
        <x:f>IF(L5=0,"",I5/L5)</x:f>
        <x:v>1.4825309365090962</x:v>
      </x:c>
      <x:c r="O5" s="34" t="n">
        <x:f>IF(L5=0,"",M5/L5)</x:f>
        <x:v>0.4825309365090962</x:v>
      </x:c>
    </x:row>
    <x:row r="6" ht="18" customHeight="1">
      <x:c r="A6" s="24" t="str">
        <x:v>Herring-likes</x:v>
      </x:c>
      <x:c r="B6" s="33" t="n">
        <x:v>4</x:v>
      </x:c>
      <x:c r="C6" s="33" t="n">
        <x:v>4</x:v>
      </x:c>
      <x:c r="D6" s="31" t="n">
        <x:v>48.017877369299995</x:v>
      </x:c>
      <x:c r="E6" s="31" t="n">
        <x:v>48.017877369299995</x:v>
      </x:c>
      <x:c r="F6" s="32" t="n">
        <x:v>0</x:v>
      </x:c>
      <x:c r="G6" s="34" t="n">
        <x:v>1</x:v>
      </x:c>
      <x:c r="H6" s="32" t="n">
        <x:f>IF(E6=0,"",I6/E6)</x:f>
        <x:v>140.54809405513163</x:v>
      </x:c>
      <x:c r="I6" s="31" t="n">
        <x:f>IF(C6=0,"",SUMIF('Species'!$H$2:$H$81,A6,'Species'!$U$2:$U$81))</x:f>
        <x:v>6748.821144828152</x:v>
      </x:c>
      <x:c r="J6" s="32" t="n">
        <x:v>3.1459564075029043</x:v>
      </x:c>
      <x:c r="K6" s="32" t="n">
        <x:f>IF(J6="","",(1/'Metadata'!$B$5)^(J6-1))</x:f>
        <x:v>139.9446845438068</x:v>
      </x:c>
      <x:c r="L6" s="31" t="n">
        <x:f>IF(E6=0,"",E6*K6)</x:f>
        <x:v>6719.846700909888</x:v>
      </x:c>
      <x:c r="M6" s="31" t="n">
        <x:f>IF(E6=0,"",I6-L6)</x:f>
        <x:v>28.974443918264114</x:v>
      </x:c>
      <x:c r="N6" s="32" t="n">
        <x:f>IF(L6=0,"",I6/L6)</x:f>
        <x:v>1.0043117715638277</x:v>
      </x:c>
      <x:c r="O6" s="34" t="n">
        <x:f>IF(L6=0,"",M6/L6)</x:f>
        <x:v>0.0043117715638276224</x:v>
      </x:c>
    </x:row>
    <x:row r="7" ht="18" customHeight="1">
      <x:c r="A7" s="24" t="str">
        <x:v>Molluscs</x:v>
      </x:c>
      <x:c r="B7" s="33" t="n">
        <x:v>2</x:v>
      </x:c>
      <x:c r="C7" s="33" t="n">
        <x:v>2</x:v>
      </x:c>
      <x:c r="D7" s="31" t="n">
        <x:v>2.9022656356</x:v>
      </x:c>
      <x:c r="E7" s="31" t="n">
        <x:v>2.9022656356</x:v>
      </x:c>
      <x:c r="F7" s="32" t="n">
        <x:v>0</x:v>
      </x:c>
      <x:c r="G7" s="34" t="n">
        <x:v>1</x:v>
      </x:c>
      <x:c r="H7" s="32" t="n">
        <x:f>IF(E7=0,"",I7/E7)</x:f>
        <x:v>103.74177241150453</x:v>
      </x:c>
      <x:c r="I7" s="31" t="n">
        <x:f>IF(C7=0,"",SUMIF('Species'!$H$2:$H$81,A7,'Species'!$U$2:$U$81))</x:f>
        <x:v>301.0861810461457</x:v>
      </x:c>
      <x:c r="J7" s="32" t="n">
        <x:v>2.7214318035210243</x:v>
      </x:c>
      <x:c r="K7" s="32" t="n">
        <x:f>IF(J7="","",(1/'Metadata'!$B$5)^(J7-1))</x:f>
        <x:v>52.65405266929114</x:v>
      </x:c>
      <x:c r="L7" s="31" t="n">
        <x:f>IF(E7=0,"",E7*K7)</x:f>
        <x:v>152.81604763715612</x:v>
      </x:c>
      <x:c r="M7" s="31" t="n">
        <x:f>IF(E7=0,"",I7-L7)</x:f>
        <x:v>148.2701334089896</x:v>
      </x:c>
      <x:c r="N7" s="32" t="n">
        <x:f>IF(L7=0,"",I7/L7)</x:f>
        <x:v>1.9702523766420117</x:v>
      </x:c>
      <x:c r="O7" s="34" t="n">
        <x:f>IF(L7=0,"",M7/L7)</x:f>
        <x:v>0.9702523766420118</x:v>
      </x:c>
    </x:row>
    <x:row r="8" ht="18" customHeight="1">
      <x:c r="A8" s="24" t="str">
        <x:v>Other fishes &amp; inverts</x:v>
      </x:c>
      <x:c r="B8" s="33" t="n">
        <x:v>12</x:v>
      </x:c>
      <x:c r="C8" s="33" t="n">
        <x:v>12</x:v>
      </x:c>
      <x:c r="D8" s="31" t="n">
        <x:v>50.01236277040001</x:v>
      </x:c>
      <x:c r="E8" s="31" t="n">
        <x:v>50.01236277040001</x:v>
      </x:c>
      <x:c r="F8" s="32" t="n">
        <x:v>0</x:v>
      </x:c>
      <x:c r="G8" s="34" t="n">
        <x:v>1</x:v>
      </x:c>
      <x:c r="H8" s="32" t="n">
        <x:f>IF(E8=0,"",I8/E8)</x:f>
        <x:v>533.3274513064504</x:v>
      </x:c>
      <x:c r="I8" s="31" t="n">
        <x:f>IF(C8=0,"",SUMIF('Species'!$H$2:$H$81,A8,'Species'!$U$2:$U$81))</x:f>
        <x:v>26672.965970151043</x:v>
      </x:c>
      <x:c r="J8" s="32" t="n">
        <x:v>3.5402309716938993</x:v>
      </x:c>
      <x:c r="K8" s="32" t="n">
        <x:f>IF(J8="","",(1/'Metadata'!$B$5)^(J8-1))</x:f>
        <x:v>346.9213052431263</x:v>
      </x:c>
      <x:c r="L8" s="31" t="n">
        <x:f>IF(E8=0,"",E8*K8)</x:f>
        <x:v>17350.35417059991</x:v>
      </x:c>
      <x:c r="M8" s="31" t="n">
        <x:f>IF(E8=0,"",I8-L8)</x:f>
        <x:v>9322.611799551134</x:v>
      </x:c>
      <x:c r="N8" s="32" t="n">
        <x:f>IF(L8=0,"",I8/L8)</x:f>
        <x:v>1.5373153601295502</x:v>
      </x:c>
      <x:c r="O8" s="34" t="n">
        <x:f>IF(L8=0,"",M8/L8)</x:f>
        <x:v>0.5373153601295503</x:v>
      </x:c>
    </x:row>
    <x:row r="9" ht="18" customHeight="1">
      <x:c r="A9" s="24" t="str">
        <x:v>Perch-likes</x:v>
      </x:c>
      <x:c r="B9" s="33" t="n">
        <x:v>34</x:v>
      </x:c>
      <x:c r="C9" s="33" t="n">
        <x:v>34</x:v>
      </x:c>
      <x:c r="D9" s="31" t="n">
        <x:v>45.550184333199994</x:v>
      </x:c>
      <x:c r="E9" s="31" t="n">
        <x:v>45.550184333199994</x:v>
      </x:c>
      <x:c r="F9" s="32" t="n">
        <x:v>0</x:v>
      </x:c>
      <x:c r="G9" s="34" t="n">
        <x:v>1</x:v>
      </x:c>
      <x:c r="H9" s="32" t="n">
        <x:f>IF(E9=0,"",I9/E9)</x:f>
        <x:v>514.473415638167</x:v>
      </x:c>
      <x:c r="I9" s="31" t="n">
        <x:f>IF(C9=0,"",SUMIF('Species'!$H$2:$H$81,A9,'Species'!$U$2:$U$81))</x:f>
        <x:v>23434.358916849524</x:v>
      </x:c>
      <x:c r="J9" s="32" t="n">
        <x:v>3.554100417299714</x:v>
      </x:c>
      <x:c r="K9" s="32" t="n">
        <x:f>IF(J9="","",(1/'Metadata'!$B$5)^(J9-1))</x:f>
        <x:v>358.17924551095746</x:v>
      </x:c>
      <x:c r="L9" s="31" t="n">
        <x:f>IF(E9=0,"",E9*K9)</x:f>
        <x:v>16315.130657350608</x:v>
      </x:c>
      <x:c r="M9" s="31" t="n">
        <x:f>IF(E9=0,"",I9-L9)</x:f>
        <x:v>7119.228259498916</x:v>
      </x:c>
      <x:c r="N9" s="32" t="n">
        <x:f>IF(L9=0,"",I9/L9)</x:f>
        <x:v>1.436357416254673</x:v>
      </x:c>
      <x:c r="O9" s="34" t="n">
        <x:f>IF(L9=0,"",M9/L9)</x:f>
        <x:v>0.43635741625467295</x:v>
      </x:c>
    </x:row>
    <x:row r="10" ht="18" customHeight="1">
      <x:c r="A10" s="24" t="str">
        <x:v>Scorpionfishes</x:v>
      </x:c>
      <x:c r="B10" s="33" t="n">
        <x:v>6</x:v>
      </x:c>
      <x:c r="C10" s="33" t="n">
        <x:v>6</x:v>
      </x:c>
      <x:c r="D10" s="31" t="n">
        <x:v>2.7830428949999995</x:v>
      </x:c>
      <x:c r="E10" s="31" t="n">
        <x:v>2.7830428949999995</x:v>
      </x:c>
      <x:c r="F10" s="32" t="n">
        <x:v>0</x:v>
      </x:c>
      <x:c r="G10" s="34" t="n">
        <x:v>1</x:v>
      </x:c>
      <x:c r="H10" s="32" t="n">
        <x:f>IF(E10=0,"",I10/E10)</x:f>
        <x:v>829.4783304140668</x:v>
      </x:c>
      <x:c r="I10" s="31" t="n">
        <x:f>IF(C10=0,"",SUMIF('Species'!$H$2:$H$81,A10,'Species'!$U$2:$U$81))</x:f>
        <x:v>2308.4737740153305</x:v>
      </x:c>
      <x:c r="J10" s="32" t="n">
        <x:v>3.9073679506359182</x:v>
      </x:c>
      <x:c r="K10" s="32" t="n">
        <x:f>IF(J10="","",(1/'Metadata'!$B$5)^(J10-1))</x:f>
        <x:v>807.9192399614232</x:v>
      </x:c>
      <x:c r="L10" s="31" t="n">
        <x:f>IF(E10=0,"",E10*K10)</x:f>
        <x:v>2248.4739005084384</x:v>
      </x:c>
      <x:c r="M10" s="31" t="n">
        <x:f>IF(E10=0,"",I10-L10)</x:f>
        <x:v>59.99987350689207</x:v>
      </x:c>
      <x:c r="N10" s="32" t="n">
        <x:f>IF(L10=0,"",I10/L10)</x:f>
        <x:v>1.0266847097906382</x:v>
      </x:c>
      <x:c r="O10" s="34" t="n">
        <x:f>IF(L10=0,"",M10/L10)</x:f>
        <x:v>0.026684709790638236</x:v>
      </x:c>
    </x:row>
    <x:row r="11" ht="18" customHeight="1">
      <x:c r="A11" s="24" t="str">
        <x:v>Sharks &amp; rays</x:v>
      </x:c>
      <x:c r="B11" s="33" t="n">
        <x:v>5</x:v>
      </x:c>
      <x:c r="C11" s="33" t="n">
        <x:v>5</x:v>
      </x:c>
      <x:c r="D11" s="31" t="n">
        <x:v>3.4685545936000004</x:v>
      </x:c>
      <x:c r="E11" s="31" t="n">
        <x:v>3.4685545936000004</x:v>
      </x:c>
      <x:c r="F11" s="32" t="n">
        <x:v>0</x:v>
      </x:c>
      <x:c r="G11" s="34" t="n">
        <x:v>1</x:v>
      </x:c>
      <x:c r="H11" s="32" t="n">
        <x:f>IF(E11=0,"",I11/E11)</x:f>
        <x:v>556.3086734016827</x:v>
      </x:c>
      <x:c r="I11" s="31" t="n">
        <x:f>IF(C11=0,"",SUMIF('Species'!$H$2:$H$81,A11,'Species'!$U$2:$U$81))</x:f>
        <x:v>1929.5870045869287</x:v>
      </x:c>
      <x:c r="J11" s="32" t="n">
        <x:v>3.7416405453140333</x:v>
      </x:c>
      <x:c r="K11" s="32" t="n">
        <x:f>IF(J11="","",(1/'Metadata'!$B$5)^(J11-1))</x:f>
        <x:v>551.6206876324003</x:v>
      </x:c>
      <x:c r="L11" s="31" t="n">
        <x:f>IF(E11=0,"",E11*K11)</x:f>
        <x:v>1913.3264700121529</x:v>
      </x:c>
      <x:c r="M11" s="31" t="n">
        <x:f>IF(E11=0,"",I11-L11)</x:f>
        <x:v>16.260534574775875</x:v>
      </x:c>
      <x:c r="N11" s="32" t="n">
        <x:f>IF(L11=0,"",I11/L11)</x:f>
        <x:v>1.0084985677194298</x:v>
      </x:c>
      <x:c r="O11" s="34" t="n">
        <x:f>IF(L11=0,"",M11/L11)</x:f>
        <x:v>0.008498567719429813</x:v>
      </x:c>
    </x:row>
    <x:row r="12" ht="18" customHeight="1">
      <x:c r="A12" s="24" t="str">
        <x:v>Tuna &amp; billfishes</x:v>
      </x:c>
      <x:c r="B12" s="33" t="n">
        <x:v>3</x:v>
      </x:c>
      <x:c r="C12" s="33" t="n">
        <x:v>3</x:v>
      </x:c>
      <x:c r="D12" s="31" t="n">
        <x:v>0.7373202328</x:v>
      </x:c>
      <x:c r="E12" s="31" t="n">
        <x:v>0.7373202328</x:v>
      </x:c>
      <x:c r="F12" s="32" t="n">
        <x:v>0</x:v>
      </x:c>
      <x:c r="G12" s="34" t="n">
        <x:v>1</x:v>
      </x:c>
      <x:c r="H12" s="32" t="n">
        <x:f>IF(E12=0,"",I12/E12)</x:f>
        <x:v>2424.4781156589006</x:v>
      </x:c>
      <x:c r="I12" s="31" t="n">
        <x:f>IF(C12=0,"",SUMIF('Species'!$H$2:$H$81,A12,'Species'!$U$2:$U$81))</x:f>
        <x:v>1787.616768656126</x:v>
      </x:c>
      <x:c r="J12" s="32" t="n">
        <x:v>4.349454811130743</x:v>
      </x:c>
      <x:c r="K12" s="32" t="n">
        <x:f>IF(J12="","",(1/'Metadata'!$B$5)^(J12-1))</x:f>
        <x:v>2235.912537198397</x:v>
      </x:c>
      <x:c r="L12" s="31" t="n">
        <x:f>IF(E12=0,"",E12*K12)</x:f>
        <x:v>1648.5835524475608</x:v>
      </x:c>
      <x:c r="M12" s="31" t="n">
        <x:f>IF(E12=0,"",I12-L12)</x:f>
        <x:v>139.03321620856514</x:v>
      </x:c>
      <x:c r="N12" s="32" t="n">
        <x:f>IF(L12=0,"",I12/L12)</x:f>
        <x:v>1.0843349528764559</x:v>
      </x:c>
      <x:c r="O12" s="34" t="n">
        <x:f>IF(L12=0,"",M12/L12)</x:f>
        <x:v>0.0843349528764558</x:v>
      </x:c>
    </x:row>
  </x:sheetData>
  <x:conditionalFormatting sqref="G2:G12">
    <x:cfRule type="cellIs" dxfId="1" priority="1" operator="lessThan">
      <x:formula>0.9</x:formula>
    </x:cfRule>
  </x:conditionalFormatting>
  <x:conditionalFormatting sqref="O2:O12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70ee601c1a99404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Cephalopods</x:v>
      </x:c>
      <x:c r="B2" s="33" t="n">
        <x:v>4</x:v>
      </x:c>
      <x:c r="C2" s="33" t="n">
        <x:v>4</x:v>
      </x:c>
      <x:c r="D2" s="31" t="n">
        <x:v>22.2812980733</x:v>
      </x:c>
      <x:c r="E2" s="31" t="n">
        <x:v>22.2812980733</x:v>
      </x:c>
      <x:c r="F2" s="32" t="n">
        <x:v>0</x:v>
      </x:c>
      <x:c r="G2" s="34" t="n">
        <x:v>1</x:v>
      </x:c>
      <x:c r="H2" s="32" t="n">
        <x:f>IF(E2=0,"",I2/E2)</x:f>
        <x:v>789.6199225459026</x:v>
      </x:c>
      <x:c r="I2" s="31" t="n">
        <x:f>IF(C2=0,"",SUMIF('Species'!$G$2:$G$81,A2,'Species'!$U$2:$U$81))</x:f>
        <x:v>17593.756858861314</x:v>
      </x:c>
      <x:c r="J2" s="32" t="n">
        <x:v>3.8114919339003785</x:v>
      </x:c>
      <x:c r="K2" s="32" t="n">
        <x:f>IF(J2="","",(1/'Metadata'!$B$5)^(J2-1))</x:f>
        <x:v>647.8760622321935</x:v>
      </x:c>
      <x:c r="L2" s="31" t="n">
        <x:f>IF(E2=0,"",E2*K2)</x:f>
        <x:v>14435.519657151364</x:v>
      </x:c>
      <x:c r="M2" s="31" t="n">
        <x:f>IF(E2=0,"",I2-L2)</x:f>
        <x:v>3158.2372017099497</x:v>
      </x:c>
      <x:c r="N2" s="32" t="n">
        <x:f>IF(L2=0,"",I2/L2)</x:f>
        <x:v>1.2187823699263474</x:v>
      </x:c>
      <x:c r="O2" s="34" t="n">
        <x:f>IF(L2=0,"",M2/L2)</x:f>
        <x:v>0.21878236992634742</x:v>
      </x:c>
    </x:row>
    <x:row r="3" ht="18" customHeight="1">
      <x:c r="A3" s="24" t="str">
        <x:v>Large benthopelagics (&gt;=90 cm)</x:v>
      </x:c>
      <x:c r="B3" s="33" t="n">
        <x:v>1</x:v>
      </x:c>
      <x:c r="C3" s="33" t="n">
        <x:v>1</x:v>
      </x:c>
      <x:c r="D3" s="31" t="n">
        <x:v>0.2</x:v>
      </x:c>
      <x:c r="E3" s="31" t="n">
        <x:v>0.2</x:v>
      </x:c>
      <x:c r="F3" s="32" t="n">
        <x:v>0</x:v>
      </x:c>
      <x:c r="G3" s="34" t="n">
        <x:v>1</x:v>
      </x:c>
      <x:c r="H3" s="32" t="n">
        <x:f>IF(E3=0,"",I3/E3)</x:f>
        <x:v>13.803842646028853</x:v>
      </x:c>
      <x:c r="I3" s="31" t="n">
        <x:f>IF(C3=0,"",SUMIF('Species'!$G$2:$G$81,A3,'Species'!$U$2:$U$81))</x:f>
        <x:v>2.760768529205771</x:v>
      </x:c>
      <x:c r="J3" s="32" t="n">
        <x:v>2.14</x:v>
      </x:c>
      <x:c r="K3" s="32" t="n">
        <x:f>IF(J3="","",(1/'Metadata'!$B$5)^(J3-1))</x:f>
        <x:v>13.803842646028853</x:v>
      </x:c>
      <x:c r="L3" s="31" t="n">
        <x:f>IF(E3=0,"",E3*K3)</x:f>
        <x:v>2.760768529205771</x:v>
      </x:c>
      <x:c r="M3" s="31" t="n">
        <x:f>IF(E3=0,"",I3-L3)</x:f>
        <x:v>0</x:v>
      </x:c>
      <x:c r="N3" s="32" t="n">
        <x:f>IF(L3=0,"",I3/L3)</x:f>
        <x:v>1</x:v>
      </x:c>
      <x:c r="O3" s="34" t="n">
        <x:f>IF(L3=0,"",M3/L3)</x:f>
        <x:v>0</x:v>
      </x:c>
    </x:row>
    <x:row r="4" ht="18" customHeight="1">
      <x:c r="A4" s="24" t="str">
        <x:v>Large demersals (&gt;=90 cm)</x:v>
      </x:c>
      <x:c r="B4" s="33" t="n">
        <x:v>3</x:v>
      </x:c>
      <x:c r="C4" s="33" t="n">
        <x:v>3</x:v>
      </x:c>
      <x:c r="D4" s="31" t="n">
        <x:v>3.4257602246</x:v>
      </x:c>
      <x:c r="E4" s="31" t="n">
        <x:v>3.4257602246</x:v>
      </x:c>
      <x:c r="F4" s="32" t="n">
        <x:v>0</x:v>
      </x:c>
      <x:c r="G4" s="34" t="n">
        <x:v>1</x:v>
      </x:c>
      <x:c r="H4" s="32" t="n">
        <x:f>IF(E4=0,"",I4/E4)</x:f>
        <x:v>700.0148231207648</x:v>
      </x:c>
      <x:c r="I4" s="31" t="n">
        <x:f>IF(C4=0,"",SUMIF('Species'!$G$2:$G$81,A4,'Species'!$U$2:$U$81))</x:f>
        <x:v>2398.0829376775205</x:v>
      </x:c>
      <x:c r="J4" s="32" t="n">
        <x:v>3.820437844721072</x:v>
      </x:c>
      <x:c r="K4" s="32" t="n">
        <x:f>IF(J4="","",(1/'Metadata'!$B$5)^(J4-1))</x:f>
        <x:v>661.3598783273467</x:v>
      </x:c>
      <x:c r="L4" s="31" t="n">
        <x:f>IF(E4=0,"",E4*K4)</x:f>
        <x:v>2265.6603653201196</x:v>
      </x:c>
      <x:c r="M4" s="31" t="n">
        <x:f>IF(E4=0,"",I4-L4)</x:f>
        <x:v>132.4225723574009</x:v>
      </x:c>
      <x:c r="N4" s="32" t="n">
        <x:f>IF(L4=0,"",I4/L4)</x:f>
        <x:v>1.0584476713210678</x:v>
      </x:c>
      <x:c r="O4" s="34" t="n">
        <x:f>IF(L4=0,"",M4/L4)</x:f>
        <x:v>0.058447671321067866</x:v>
      </x:c>
    </x:row>
    <x:row r="5" ht="18" customHeight="1">
      <x:c r="A5" s="24" t="str">
        <x:v>Large flatfishes (&gt;=90 cm)</x:v>
      </x:c>
      <x:c r="B5" s="33" t="n">
        <x:v>1</x:v>
      </x:c>
      <x:c r="C5" s="33" t="n">
        <x:v>1</x:v>
      </x:c>
      <x:c r="D5" s="31" t="n">
        <x:v>0.1000046299</x:v>
      </x:c>
      <x:c r="E5" s="31" t="n">
        <x:v>0.1000046299</x:v>
      </x:c>
      <x:c r="F5" s="32" t="n">
        <x:v>0</x:v>
      </x:c>
      <x:c r="G5" s="34" t="n">
        <x:v>1</x:v>
      </x:c>
      <x:c r="H5" s="32" t="n">
        <x:f>IF(E5=0,"",I5/E5)</x:f>
        <x:v>2290.867652767775</x:v>
      </x:c>
      <x:c r="I5" s="31" t="n">
        <x:f>IF(C5=0,"",SUMIF('Species'!$G$2:$G$81,A5,'Species'!$U$2:$U$81))</x:f>
        <x:v>229.09737176492305</x:v>
      </x:c>
      <x:c r="J5" s="32" t="n">
        <x:v>4.36</x:v>
      </x:c>
      <x:c r="K5" s="32" t="n">
        <x:f>IF(J5="","",(1/'Metadata'!$B$5)^(J5-1))</x:f>
        <x:v>2290.867652767775</x:v>
      </x:c>
      <x:c r="L5" s="31" t="n">
        <x:f>IF(E5=0,"",E5*K5)</x:f>
        <x:v>229.09737176492305</x:v>
      </x:c>
      <x:c r="M5" s="31" t="n">
        <x:f>IF(E5=0,"",I5-L5)</x:f>
        <x:v>0</x:v>
      </x:c>
      <x:c r="N5" s="32" t="n">
        <x:f>IF(L5=0,"",I5/L5)</x:f>
        <x:v>1</x:v>
      </x:c>
      <x:c r="O5" s="34" t="n">
        <x:f>IF(L5=0,"",M5/L5)</x:f>
        <x:v>0</x:v>
      </x:c>
    </x:row>
    <x:row r="6" ht="18" customHeight="1">
      <x:c r="A6" s="24" t="str">
        <x:v>Large pelagics (&gt;=90 cm)</x:v>
      </x:c>
      <x:c r="B6" s="33" t="n">
        <x:v>3</x:v>
      </x:c>
      <x:c r="C6" s="33" t="n">
        <x:v>3</x:v>
      </x:c>
      <x:c r="D6" s="31" t="n">
        <x:v>0.0002786134</x:v>
      </x:c>
      <x:c r="E6" s="31" t="n">
        <x:v>0.0002786134</x:v>
      </x:c>
      <x:c r="F6" s="32" t="n">
        <x:v>0</x:v>
      </x:c>
      <x:c r="G6" s="34" t="n">
        <x:v>1</x:v>
      </x:c>
      <x:c r="H6" s="32" t="n">
        <x:f>IF(E6=0,"",I6/E6)</x:f>
        <x:v>2518.9540900949078</x:v>
      </x:c>
      <x:c r="I6" s="31" t="n">
        <x:f>IF(C6=0,"",SUMIF('Species'!$G$2:$G$81,A6,'Species'!$U$2:$U$81))</x:f>
        <x:v>0.7018143634852486</x:v>
      </x:c>
      <x:c r="J6" s="32" t="n">
        <x:v>4.401091928816059</x:v>
      </x:c>
      <x:c r="K6" s="32" t="n">
        <x:f>IF(J6="","",(1/'Metadata'!$B$5)^(J6-1))</x:f>
        <x:v>2518.209910714464</x:v>
      </x:c>
      <x:c r="L6" s="31" t="n">
        <x:f>IF(E6=0,"",E6*K6)</x:f>
        <x:v>0.7016070251378533</x:v>
      </x:c>
      <x:c r="M6" s="31" t="n">
        <x:f>IF(E6=0,"",I6-L6)</x:f>
        <x:v>0.00020733834739528056</x:v>
      </x:c>
      <x:c r="N6" s="32" t="n">
        <x:f>IF(L6=0,"",I6/L6)</x:f>
        <x:v>1.0002955192008725</x:v>
      </x:c>
      <x:c r="O6" s="34" t="n">
        <x:f>IF(L6=0,"",M6/L6)</x:f>
        <x:v>0.0002955192008725144</x:v>
      </x:c>
    </x:row>
    <x:row r="7" ht="18" customHeight="1">
      <x:c r="A7" s="24" t="str">
        <x:v>Large rays (&gt;=90 cm)</x:v>
      </x:c>
      <x:c r="B7" s="33" t="n">
        <x:v>2</x:v>
      </x:c>
      <x:c r="C7" s="33" t="n">
        <x:v>2</x:v>
      </x:c>
      <x:c r="D7" s="31" t="n">
        <x:v>0.2000163901</x:v>
      </x:c>
      <x:c r="E7" s="31" t="n">
        <x:v>0.2000163901</x:v>
      </x:c>
      <x:c r="F7" s="32" t="n">
        <x:v>0</x:v>
      </x:c>
      <x:c r="G7" s="34" t="n">
        <x:v>1</x:v>
      </x:c>
      <x:c r="H7" s="32" t="n">
        <x:f>IF(E7=0,"",I7/E7)</x:f>
        <x:v>691.8647679798197</x:v>
      </x:c>
      <x:c r="I7" s="31" t="n">
        <x:f>IF(C7=0,"",SUMIF('Species'!$G$2:$G$81,A7,'Species'!$U$2:$U$81))</x:f>
        <x:v>138.3842933286976</x:v>
      </x:c>
      <x:c r="J7" s="32" t="n">
        <x:v>3.8400164983479517</x:v>
      </x:c>
      <x:c r="K7" s="32" t="n">
        <x:f>IF(J7="","",(1/'Metadata'!$B$5)^(J7-1))</x:f>
        <x:v>691.8572532811676</x:v>
      </x:c>
      <x:c r="L7" s="31" t="n">
        <x:f>IF(E7=0,"",E7*K7)</x:f>
        <x:v>138.3827902658005</x:v>
      </x:c>
      <x:c r="M7" s="31" t="n">
        <x:f>IF(E7=0,"",I7-L7)</x:f>
        <x:v>0.001503062897086238</x:v>
      </x:c>
      <x:c r="N7" s="32" t="n">
        <x:f>IF(L7=0,"",I7/L7)</x:f>
        <x:v>1.0000108616316683</x:v>
      </x:c>
      <x:c r="O7" s="34" t="n">
        <x:f>IF(L7=0,"",M7/L7)</x:f>
        <x:v>0.000010861631668209687</x:v>
      </x:c>
    </x:row>
    <x:row r="8" ht="18" customHeight="1">
      <x:c r="A8" s="24" t="str">
        <x:v>Large reef assoc. fish (&gt;=90 cm)</x:v>
      </x:c>
      <x:c r="B8" s="33" t="n">
        <x:v>1</x:v>
      </x:c>
      <x:c r="C8" s="33" t="n">
        <x:v>1</x:v>
      </x:c>
      <x:c r="D8" s="31" t="n">
        <x:v>0.0259904039</x:v>
      </x:c>
      <x:c r="E8" s="31" t="n">
        <x:v>0.0259904039</x:v>
      </x:c>
      <x:c r="F8" s="32" t="n">
        <x:v>0</x:v>
      </x:c>
      <x:c r="G8" s="34" t="n">
        <x:v>1</x:v>
      </x:c>
      <x:c r="H8" s="32" t="n">
        <x:f>IF(E8=0,"",I8/E8)</x:f>
        <x:v>831.7637711026708</x:v>
      </x:c>
      <x:c r="I8" s="31" t="n">
        <x:f>IF(C8=0,"",SUMIF('Species'!$G$2:$G$81,A8,'Species'!$U$2:$U$81))</x:f>
        <x:v>21.617876360345562</x:v>
      </x:c>
      <x:c r="J8" s="32" t="n">
        <x:v>3.9200000000000004</x:v>
      </x:c>
      <x:c r="K8" s="32" t="n">
        <x:f>IF(J8="","",(1/'Metadata'!$B$5)^(J8-1))</x:f>
        <x:v>831.7637711026717</x:v>
      </x:c>
      <x:c r="L8" s="31" t="n">
        <x:f>IF(E8=0,"",E8*K8)</x:f>
        <x:v>21.617876360345587</x:v>
      </x:c>
      <x:c r="M8" s="31" t="n">
        <x:f>IF(E8=0,"",I8-L8)</x:f>
        <x:v>-2.4868995751603507e-14</x:v>
      </x:c>
      <x:c r="N8" s="32" t="n">
        <x:f>IF(L8=0,"",I8/L8)</x:f>
        <x:v>0.9999999999999989</x:v>
      </x:c>
      <x:c r="O8" s="34" t="n">
        <x:f>IF(L8=0,"",M8/L8)</x:f>
        <x:v>-1.1503903222067436e-15</x:v>
      </x:c>
    </x:row>
    <x:row r="9" ht="18" customHeight="1">
      <x:c r="A9" s="24" t="str">
        <x:v>Large sharks (&gt;=90 cm)</x:v>
      </x:c>
      <x:c r="B9" s="33" t="n">
        <x:v>2</x:v>
      </x:c>
      <x:c r="C9" s="33" t="n">
        <x:v>2</x:v>
      </x:c>
      <x:c r="D9" s="31" t="n">
        <x:v>3.0885382035</x:v>
      </x:c>
      <x:c r="E9" s="31" t="n">
        <x:v>3.0885382035</x:v>
      </x:c>
      <x:c r="F9" s="32" t="n">
        <x:v>0</x:v>
      </x:c>
      <x:c r="G9" s="34" t="n">
        <x:v>1</x:v>
      </x:c>
      <x:c r="H9" s="32" t="n">
        <x:f>IF(E9=0,"",I9/E9)</x:f>
        <x:v>561.5218589201434</x:v>
      </x:c>
      <x:c r="I9" s="31" t="n">
        <x:f>IF(C9=0,"",SUMIF('Species'!$G$2:$G$81,A9,'Species'!$U$2:$U$81))</x:f>
        <x:v>1734.2817133752003</x:v>
      </x:c>
      <x:c r="J9" s="32" t="n">
        <x:v>3.749352444467828</x:v>
      </x:c>
      <x:c r="K9" s="32" t="n">
        <x:f>IF(J9="","",(1/'Metadata'!$B$5)^(J9-1))</x:f>
        <x:v>561.5034699908048</x:v>
      </x:c>
      <x:c r="L9" s="31" t="n">
        <x:f>IF(E9=0,"",E9*K9)</x:f>
        <x:v>1734.2249184644165</x:v>
      </x:c>
      <x:c r="M9" s="31" t="n">
        <x:f>IF(E9=0,"",I9-L9)</x:f>
        <x:v>0.05679491078376486</x:v>
      </x:c>
      <x:c r="N9" s="32" t="n">
        <x:f>IF(L9=0,"",I9/L9)</x:f>
        <x:v>1.000032749449151</x:v>
      </x:c>
      <x:c r="O9" s="34" t="n">
        <x:f>IF(L9=0,"",M9/L9)</x:f>
        <x:v>0.00003274944915106766</x:v>
      </x:c>
    </x:row>
    <x:row r="10" ht="18" customHeight="1">
      <x:c r="A10" s="24" t="str">
        <x:v>Lobsters, crabs</x:v>
      </x:c>
      <x:c r="B10" s="33" t="n">
        <x:v>3</x:v>
      </x:c>
      <x:c r="C10" s="33" t="n">
        <x:v>3</x:v>
      </x:c>
      <x:c r="D10" s="31" t="n">
        <x:v>0.11091837770000001</x:v>
      </x:c>
      <x:c r="E10" s="31" t="n">
        <x:v>0.11091837770000001</x:v>
      </x:c>
      <x:c r="F10" s="32" t="n">
        <x:v>0</x:v>
      </x:c>
      <x:c r="G10" s="34" t="n">
        <x:v>1</x:v>
      </x:c>
      <x:c r="H10" s="32" t="n">
        <x:f>IF(E10=0,"",I10/E10)</x:f>
        <x:v>101.56702395917867</x:v>
      </x:c>
      <x:c r="I10" s="31" t="n">
        <x:f>IF(C10=0,"",SUMIF('Species'!$G$2:$G$81,A10,'Species'!$U$2:$U$81))</x:f>
        <x:v>11.265649525369131</x:v>
      </x:c>
      <x:c r="J10" s="32" t="n">
        <x:v>3.0042741883521074</x:v>
      </x:c>
      <x:c r="K10" s="32" t="n">
        <x:f>IF(J10="","",(1/'Metadata'!$B$5)^(J10-1))</x:f>
        <x:v>100.9890271007405</x:v>
      </x:c>
      <x:c r="L10" s="31" t="n">
        <x:f>IF(E10=0,"",E10*K10)</x:f>
        <x:v>11.201539051515473</x:v>
      </x:c>
      <x:c r="M10" s="31" t="n">
        <x:f>IF(E10=0,"",I10-L10)</x:f>
        <x:v>0.06411047385365798</x:v>
      </x:c>
      <x:c r="N10" s="32" t="n">
        <x:f>IF(L10=0,"",I10/L10)</x:f>
        <x:v>1.0057233629735</x:v>
      </x:c>
      <x:c r="O10" s="34" t="n">
        <x:f>IF(L10=0,"",M10/L10)</x:f>
        <x:v>0.005723362973500001</x:v>
      </x:c>
    </x:row>
    <x:row r="11" ht="18" customHeight="1">
      <x:c r="A11" s="24" t="str">
        <x:v>Medium bathydemersals (30 - 89 cm)</x:v>
      </x:c>
      <x:c r="B11" s="33" t="n">
        <x:v>1</x:v>
      </x:c>
      <x:c r="C11" s="33" t="n">
        <x:v>1</x:v>
      </x:c>
      <x:c r="D11" s="31" t="n">
        <x:v>0.9075490266</x:v>
      </x:c>
      <x:c r="E11" s="31" t="n">
        <x:v>0.9075490266</x:v>
      </x:c>
      <x:c r="F11" s="32" t="n">
        <x:v>0</x:v>
      </x:c>
      <x:c r="G11" s="34" t="n">
        <x:v>1</x:v>
      </x:c>
      <x:c r="H11" s="32" t="n">
        <x:f>IF(E11=0,"",I11/E11)</x:f>
        <x:v>1862.0871366628655</x:v>
      </x:c>
      <x:c r="I11" s="31" t="n">
        <x:f>IF(C11=0,"",SUMIF('Species'!$G$2:$G$81,A11,'Species'!$U$2:$U$81))</x:f>
        <x:v>1689.9353683227648</x:v>
      </x:c>
      <x:c r="J11" s="32" t="n">
        <x:v>4.27</x:v>
      </x:c>
      <x:c r="K11" s="32" t="n">
        <x:f>IF(J11="","",(1/'Metadata'!$B$5)^(J11-1))</x:f>
        <x:v>1862.0871366628655</x:v>
      </x:c>
      <x:c r="L11" s="31" t="n">
        <x:f>IF(E11=0,"",E11*K11)</x:f>
        <x:v>1689.9353683227648</x:v>
      </x:c>
      <x:c r="M11" s="31" t="n">
        <x:f>IF(E11=0,"",I11-L11)</x:f>
        <x:v>0</x:v>
      </x:c>
      <x:c r="N11" s="32" t="n">
        <x:f>IF(L11=0,"",I11/L11)</x:f>
        <x:v>1</x:v>
      </x:c>
      <x:c r="O11" s="34" t="n">
        <x:f>IF(L11=0,"",M11/L11)</x:f>
        <x:v>0</x:v>
      </x:c>
    </x:row>
    <x:row r="12" ht="18" customHeight="1">
      <x:c r="A12" s="24" t="str">
        <x:v>Medium benthopelagics (30 - 89 cm)</x:v>
      </x:c>
      <x:c r="B12" s="33" t="n">
        <x:v>9</x:v>
      </x:c>
      <x:c r="C12" s="33" t="n">
        <x:v>9</x:v>
      </x:c>
      <x:c r="D12" s="31" t="n">
        <x:v>34.1246483948</x:v>
      </x:c>
      <x:c r="E12" s="31" t="n">
        <x:v>34.1246483948</x:v>
      </x:c>
      <x:c r="F12" s="32" t="n">
        <x:v>0</x:v>
      </x:c>
      <x:c r="G12" s="34" t="n">
        <x:v>1</x:v>
      </x:c>
      <x:c r="H12" s="32" t="n">
        <x:f>IF(E12=0,"",I12/E12)</x:f>
        <x:v>1914.4253805020433</x:v>
      </x:c>
      <x:c r="I12" s="31" t="n">
        <x:f>IF(C12=0,"",SUMIF('Species'!$G$2:$G$81,A12,'Species'!$U$2:$U$81))</x:f>
        <x:v>65329.092987713426</x:v>
      </x:c>
      <x:c r="J12" s="32" t="n">
        <x:v>4.183540899427095</x:v>
      </x:c>
      <x:c r="K12" s="32" t="n">
        <x:f>IF(J12="","",(1/'Metadata'!$B$5)^(J12-1))</x:f>
        <x:v>1525.9520936808576</x:v>
      </x:c>
      <x:c r="L12" s="31" t="n">
        <x:f>IF(E12=0,"",E12*K12)</x:f>
        <x:v>52072.57866416818</x:v>
      </x:c>
      <x:c r="M12" s="31" t="n">
        <x:f>IF(E12=0,"",I12-L12)</x:f>
        <x:v>13256.514323545249</x:v>
      </x:c>
      <x:c r="N12" s="32" t="n">
        <x:f>IF(L12=0,"",I12/L12)</x:f>
        <x:v>1.254577642659883</x:v>
      </x:c>
      <x:c r="O12" s="34" t="n">
        <x:f>IF(L12=0,"",M12/L12)</x:f>
        <x:v>0.2545776426598829</x:v>
      </x:c>
    </x:row>
    <x:row r="13" ht="18" customHeight="1">
      <x:c r="A13" s="24" t="str">
        <x:v>Medium demersals (30 - 89 cm)</x:v>
      </x:c>
      <x:c r="B13" s="33" t="n">
        <x:v>16</x:v>
      </x:c>
      <x:c r="C13" s="33" t="n">
        <x:v>16</x:v>
      </x:c>
      <x:c r="D13" s="31" t="n">
        <x:v>43.5955994122</x:v>
      </x:c>
      <x:c r="E13" s="31" t="n">
        <x:v>43.5955994122</x:v>
      </x:c>
      <x:c r="F13" s="32" t="n">
        <x:v>0</x:v>
      </x:c>
      <x:c r="G13" s="34" t="n">
        <x:v>1</x:v>
      </x:c>
      <x:c r="H13" s="32" t="n">
        <x:f>IF(E13=0,"",I13/E13)</x:f>
        <x:v>308.43072712523326</x:v>
      </x:c>
      <x:c r="I13" s="31" t="n">
        <x:f>IF(C13=0,"",SUMIF('Species'!$G$2:$G$81,A13,'Species'!$U$2:$U$81))</x:f>
        <x:v>13446.222426165237</x:v>
      </x:c>
      <x:c r="J13" s="32" t="n">
        <x:v>3.4016387779452573</x:v>
      </x:c>
      <x:c r="K13" s="32" t="n">
        <x:f>IF(J13="","",(1/'Metadata'!$B$5)^(J13-1))</x:f>
        <x:v>252.13827538092107</x:v>
      </x:c>
      <x:c r="L13" s="31" t="n">
        <x:f>IF(E13=0,"",E13*K13)</x:f>
        <x:v>10992.119249989604</x:v>
      </x:c>
      <x:c r="M13" s="31" t="n">
        <x:f>IF(E13=0,"",I13-L13)</x:f>
        <x:v>2454.103176175633</x:v>
      </x:c>
      <x:c r="N13" s="32" t="n">
        <x:f>IF(L13=0,"",I13/L13)</x:f>
        <x:v>1.2232602394827508</x:v>
      </x:c>
      <x:c r="O13" s="34" t="n">
        <x:f>IF(L13=0,"",M13/L13)</x:f>
        <x:v>0.2232602394827507</x:v>
      </x:c>
    </x:row>
    <x:row r="14" ht="18" customHeight="1">
      <x:c r="A14" s="24" t="str">
        <x:v>Medium pelagics (30 - 89 cm)</x:v>
      </x:c>
      <x:c r="B14" s="33" t="n">
        <x:v>12</x:v>
      </x:c>
      <x:c r="C14" s="33" t="n">
        <x:v>12</x:v>
      </x:c>
      <x:c r="D14" s="31" t="n">
        <x:v>5.7666928348</x:v>
      </x:c>
      <x:c r="E14" s="31" t="n">
        <x:v>5.7666928348</x:v>
      </x:c>
      <x:c r="F14" s="32" t="n">
        <x:v>0</x:v>
      </x:c>
      <x:c r="G14" s="34" t="n">
        <x:v>1</x:v>
      </x:c>
      <x:c r="H14" s="32" t="n">
        <x:f>IF(E14=0,"",I14/E14)</x:f>
        <x:v>887.383497142852</x:v>
      </x:c>
      <x:c r="I14" s="31" t="n">
        <x:f>IF(C14=0,"",SUMIF('Species'!$G$2:$G$81,A14,'Species'!$U$2:$U$81))</x:f>
        <x:v>5117.268054693451</x:v>
      </x:c>
      <x:c r="J14" s="32" t="n">
        <x:v>3.7323781537745933</x:v>
      </x:c>
      <x:c r="K14" s="32" t="n">
        <x:f>IF(J14="","",(1/'Metadata'!$B$5)^(J14-1))</x:f>
        <x:v>539.9805958512902</x:v>
      </x:c>
      <x:c r="L14" s="31" t="n">
        <x:f>IF(E14=0,"",E14*K14)</x:f>
        <x:v>3113.90223302667</x:v>
      </x:c>
      <x:c r="M14" s="31" t="n">
        <x:f>IF(E14=0,"",I14-L14)</x:f>
        <x:v>2003.365821666781</x:v>
      </x:c>
      <x:c r="N14" s="32" t="n">
        <x:f>IF(L14=0,"",I14/L14)</x:f>
        <x:v>1.6433618244075496</x:v>
      </x:c>
      <x:c r="O14" s="34" t="n">
        <x:f>IF(L14=0,"",M14/L14)</x:f>
        <x:v>0.6433618244075496</x:v>
      </x:c>
    </x:row>
    <x:row r="15" ht="18" customHeight="1">
      <x:c r="A15" s="24" t="str">
        <x:v>Medium reef assoc. fish (30 - 89 cm)</x:v>
      </x:c>
      <x:c r="B15" s="33" t="n">
        <x:v>2</x:v>
      </x:c>
      <x:c r="C15" s="33" t="n">
        <x:v>2</x:v>
      </x:c>
      <x:c r="D15" s="31" t="n">
        <x:v>3.7636098566</x:v>
      </x:c>
      <x:c r="E15" s="31" t="n">
        <x:v>3.7636098566</x:v>
      </x:c>
      <x:c r="F15" s="32" t="n">
        <x:v>0</x:v>
      </x:c>
      <x:c r="G15" s="34" t="n">
        <x:v>1</x:v>
      </x:c>
      <x:c r="H15" s="32" t="n">
        <x:f>IF(E15=0,"",I15/E15)</x:f>
        <x:v>79.07745874870542</x:v>
      </x:c>
      <x:c r="I15" s="31" t="n">
        <x:f>IF(C15=0,"",SUMIF('Species'!$G$2:$G$81,A15,'Species'!$U$2:$U$81))</x:f>
        <x:v>297.61670318150766</x:v>
      </x:c>
      <x:c r="J15" s="32" t="n">
        <x:v>2.695133345351171</x:v>
      </x:c>
      <x:c r="K15" s="32" t="n">
        <x:f>IF(J15="","",(1/'Metadata'!$B$5)^(J15-1))</x:f>
        <x:v>49.56023367009248</x:v>
      </x:c>
      <x:c r="L15" s="31" t="n">
        <x:f>IF(E15=0,"",E15*K15)</x:f>
        <x:v>186.52538393615924</x:v>
      </x:c>
      <x:c r="M15" s="31" t="n">
        <x:f>IF(E15=0,"",I15-L15)</x:f>
        <x:v>111.09131924534842</x:v>
      </x:c>
      <x:c r="N15" s="32" t="n">
        <x:f>IF(L15=0,"",I15/L15)</x:f>
        <x:v>1.5955828472299023</x:v>
      </x:c>
      <x:c r="O15" s="34" t="n">
        <x:f>IF(L15=0,"",M15/L15)</x:f>
        <x:v>0.5955828472299024</x:v>
      </x:c>
    </x:row>
    <x:row r="16" ht="18" customHeight="1">
      <x:c r="A16" s="24" t="str">
        <x:v>Other demersal invertebrates</x:v>
      </x:c>
      <x:c r="B16" s="33" t="n">
        <x:v>2</x:v>
      </x:c>
      <x:c r="C16" s="33" t="n">
        <x:v>2</x:v>
      </x:c>
      <x:c r="D16" s="31" t="n">
        <x:v>2.9022656356</x:v>
      </x:c>
      <x:c r="E16" s="31" t="n">
        <x:v>2.9022656356</x:v>
      </x:c>
      <x:c r="F16" s="32" t="n">
        <x:v>0</x:v>
      </x:c>
      <x:c r="G16" s="34" t="n">
        <x:v>1</x:v>
      </x:c>
      <x:c r="H16" s="32" t="n">
        <x:f>IF(E16=0,"",I16/E16)</x:f>
        <x:v>103.74177241150453</x:v>
      </x:c>
      <x:c r="I16" s="31" t="n">
        <x:f>IF(C16=0,"",SUMIF('Species'!$G$2:$G$81,A16,'Species'!$U$2:$U$81))</x:f>
        <x:v>301.0861810461457</x:v>
      </x:c>
      <x:c r="J16" s="32" t="n">
        <x:v>2.7214318035210243</x:v>
      </x:c>
      <x:c r="K16" s="32" t="n">
        <x:f>IF(J16="","",(1/'Metadata'!$B$5)^(J16-1))</x:f>
        <x:v>52.65405266929114</x:v>
      </x:c>
      <x:c r="L16" s="31" t="n">
        <x:f>IF(E16=0,"",E16*K16)</x:f>
        <x:v>152.81604763715612</x:v>
      </x:c>
      <x:c r="M16" s="31" t="n">
        <x:f>IF(E16=0,"",I16-L16)</x:f>
        <x:v>148.2701334089896</x:v>
      </x:c>
      <x:c r="N16" s="32" t="n">
        <x:f>IF(L16=0,"",I16/L16)</x:f>
        <x:v>1.9702523766420117</x:v>
      </x:c>
      <x:c r="O16" s="34" t="n">
        <x:f>IF(L16=0,"",M16/L16)</x:f>
        <x:v>0.9702523766420118</x:v>
      </x:c>
    </x:row>
    <x:row r="17" ht="18" customHeight="1">
      <x:c r="A17" s="24" t="str">
        <x:v>Shrimps</x:v>
      </x:c>
      <x:c r="B17" s="33" t="n">
        <x:v>1</x:v>
      </x:c>
      <x:c r="C17" s="33" t="n">
        <x:v>1</x:v>
      </x:c>
      <x:c r="D17" s="31" t="n">
        <x:v>1.4115488201</x:v>
      </x:c>
      <x:c r="E17" s="31" t="n">
        <x:v>1.4115488201</x:v>
      </x:c>
      <x:c r="F17" s="32" t="n">
        <x:v>0</x:v>
      </x:c>
      <x:c r="G17" s="34" t="n">
        <x:v>1</x:v>
      </x:c>
      <x:c r="H17" s="32" t="n">
        <x:f>IF(E17=0,"",I17/E17)</x:f>
        <x:v>416.8693834703355</x:v>
      </x:c>
      <x:c r="I17" s="31" t="n">
        <x:f>IF(C17=0,"",SUMIF('Species'!$G$2:$G$81,A17,'Species'!$U$2:$U$81))</x:f>
        <x:v>588.4314863733665</x:v>
      </x:c>
      <x:c r="J17" s="32" t="n">
        <x:v>3.62</x:v>
      </x:c>
      <x:c r="K17" s="32" t="n">
        <x:f>IF(J17="","",(1/'Metadata'!$B$5)^(J17-1))</x:f>
        <x:v>416.8693834703355</x:v>
      </x:c>
      <x:c r="L17" s="31" t="n">
        <x:f>IF(E17=0,"",E17*K17)</x:f>
        <x:v>588.4314863733665</x:v>
      </x:c>
      <x:c r="M17" s="31" t="n">
        <x:f>IF(E17=0,"",I17-L17)</x:f>
        <x:v>0</x:v>
      </x:c>
      <x:c r="N17" s="32" t="n">
        <x:f>IF(L17=0,"",I17/L17)</x:f>
        <x:v>1</x:v>
      </x:c>
      <x:c r="O17" s="34" t="n">
        <x:f>IF(L17=0,"",M17/L17)</x:f>
        <x:v>0</x:v>
      </x:c>
    </x:row>
    <x:row r="18" ht="18" customHeight="1">
      <x:c r="A18" s="24" t="str">
        <x:v>Small benthopelagics (&lt;30 cm)</x:v>
      </x:c>
      <x:c r="B18" s="33" t="n">
        <x:v>1</x:v>
      </x:c>
      <x:c r="C18" s="33" t="n">
        <x:v>1</x:v>
      </x:c>
      <x:c r="D18" s="31" t="n">
        <x:v>1.5097410155</x:v>
      </x:c>
      <x:c r="E18" s="31" t="n">
        <x:v>1.5097410155</x:v>
      </x:c>
      <x:c r="F18" s="32" t="n">
        <x:v>0</x:v>
      </x:c>
      <x:c r="G18" s="34" t="n">
        <x:v>1</x:v>
      </x:c>
      <x:c r="H18" s="32" t="n">
        <x:f>IF(E18=0,"",I18/E18)</x:f>
        <x:v>436.51583224016605</x:v>
      </x:c>
      <x:c r="I18" s="31" t="n">
        <x:f>IF(C18=0,"",SUMIF('Species'!$G$2:$G$81,A18,'Species'!$U$2:$U$81))</x:f>
        <x:v>659.025855848096</x:v>
      </x:c>
      <x:c r="J18" s="32" t="n">
        <x:v>3.64</x:v>
      </x:c>
      <x:c r="K18" s="32" t="n">
        <x:f>IF(J18="","",(1/'Metadata'!$B$5)^(J18-1))</x:f>
        <x:v>436.5158322401661</x:v>
      </x:c>
      <x:c r="L18" s="31" t="n">
        <x:f>IF(E18=0,"",E18*K18)</x:f>
        <x:v>659.025855848096</x:v>
      </x:c>
      <x:c r="M18" s="31" t="n">
        <x:f>IF(E18=0,"",I18-L18)</x:f>
        <x:v>0</x:v>
      </x:c>
      <x:c r="N18" s="32" t="n">
        <x:f>IF(L18=0,"",I18/L18)</x:f>
        <x:v>1</x:v>
      </x:c>
      <x:c r="O18" s="34" t="n">
        <x:f>IF(L18=0,"",M18/L18)</x:f>
        <x:v>0</x:v>
      </x:c>
    </x:row>
    <x:row r="19" ht="18" customHeight="1">
      <x:c r="A19" s="24" t="str">
        <x:v>Small demersals (&lt;30 cm)</x:v>
      </x:c>
      <x:c r="B19" s="33" t="n">
        <x:v>5</x:v>
      </x:c>
      <x:c r="C19" s="33" t="n">
        <x:v>5</x:v>
      </x:c>
      <x:c r="D19" s="31" t="n">
        <x:v>10.381084451300001</x:v>
      </x:c>
      <x:c r="E19" s="31" t="n">
        <x:v>10.381084451300001</x:v>
      </x:c>
      <x:c r="F19" s="32" t="n">
        <x:v>0</x:v>
      </x:c>
      <x:c r="G19" s="34" t="n">
        <x:v>1</x:v>
      </x:c>
      <x:c r="H19" s="32" t="n">
        <x:f>IF(E19=0,"",I19/E19)</x:f>
        <x:v>850.1858884981103</x:v>
      </x:c>
      <x:c r="I19" s="31" t="n">
        <x:f>IF(C19=0,"",SUMIF('Species'!$G$2:$G$81,A19,'Species'!$U$2:$U$81))</x:f>
        <x:v>8825.85150780241</x:v>
      </x:c>
      <x:c r="J19" s="32" t="n">
        <x:v>3.811378884029327</x:v>
      </x:c>
      <x:c r="K19" s="32" t="n">
        <x:f>IF(J19="","",(1/'Metadata'!$B$5)^(J19-1))</x:f>
        <x:v>647.7074375398915</x:v>
      </x:c>
      <x:c r="L19" s="31" t="n">
        <x:f>IF(E19=0,"",E19*K19)</x:f>
        <x:v>6723.905608836735</x:v>
      </x:c>
      <x:c r="M19" s="31" t="n">
        <x:f>IF(E19=0,"",I19-L19)</x:f>
        <x:v>2101.945898965675</x:v>
      </x:c>
      <x:c r="N19" s="32" t="n">
        <x:f>IF(L19=0,"",I19/L19)</x:f>
        <x:v>1.3126078831629109</x:v>
      </x:c>
      <x:c r="O19" s="34" t="n">
        <x:f>IF(L19=0,"",M19/L19)</x:f>
        <x:v>0.3126078831629108</x:v>
      </x:c>
    </x:row>
    <x:row r="20" ht="18" customHeight="1">
      <x:c r="A20" s="24" t="str">
        <x:v>Small pelagics (&lt;30 cm)</x:v>
      </x:c>
      <x:c r="B20" s="33" t="n">
        <x:v>6</x:v>
      </x:c>
      <x:c r="C20" s="33" t="n">
        <x:v>6</x:v>
      </x:c>
      <x:c r="D20" s="31" t="n">
        <x:v>55.0006119575</x:v>
      </x:c>
      <x:c r="E20" s="31" t="n">
        <x:v>55.0006119575</x:v>
      </x:c>
      <x:c r="F20" s="32" t="n">
        <x:v>0</x:v>
      </x:c>
      <x:c r="G20" s="34" t="n">
        <x:v>1</x:v>
      </x:c>
      <x:c r="H20" s="32" t="n">
        <x:f>IF(E20=0,"",I20/E20)</x:f>
        <x:v>142.61267343461282</x:v>
      </x:c>
      <x:c r="I20" s="31" t="n">
        <x:f>IF(C20=0,"",SUMIF('Species'!$G$2:$G$81,A20,'Species'!$U$2:$U$81))</x:f>
        <x:v>7843.784311798809</x:v>
      </x:c>
      <x:c r="J20" s="32" t="n">
        <x:v>3.152170829275795</x:v>
      </x:c>
      <x:c r="K20" s="32" t="n">
        <x:f>IF(J20="","",(1/'Metadata'!$B$5)^(J20-1))</x:f>
        <x:v>141.96158162616632</x:v>
      </x:c>
      <x:c r="L20" s="31" t="n">
        <x:f>IF(E20=0,"",E20*K20)</x:f>
        <x:v>7807.973863893735</x:v>
      </x:c>
      <x:c r="M20" s="31" t="n">
        <x:f>IF(E20=0,"",I20-L20)</x:f>
        <x:v>35.81044790507349</x:v>
      </x:c>
      <x:c r="N20" s="32" t="n">
        <x:f>IF(L20=0,"",I20/L20)</x:f>
        <x:v>1.004586394438469</x:v>
      </x:c>
      <x:c r="O20" s="34" t="n">
        <x:f>IF(L20=0,"",M20/L20)</x:f>
        <x:v>0.004586394438468994</x:v>
      </x:c>
    </x:row>
    <x:row r="21" ht="18" customHeight="1">
      <x:c r="A21" s="24" t="str">
        <x:v>Small to medium flatfishes (&lt;90 cm)</x:v>
      </x:c>
      <x:c r="B21" s="33" t="n">
        <x:v>4</x:v>
      </x:c>
      <x:c r="C21" s="33" t="n">
        <x:v>4</x:v>
      </x:c>
      <x:c r="D21" s="31" t="n">
        <x:v>14.5448579184</x:v>
      </x:c>
      <x:c r="E21" s="31" t="n">
        <x:v>14.5448579184</x:v>
      </x:c>
      <x:c r="F21" s="32" t="n">
        <x:v>0</x:v>
      </x:c>
      <x:c r="G21" s="34" t="n">
        <x:v>1</x:v>
      </x:c>
      <x:c r="H21" s="32" t="n">
        <x:f>IF(E21=0,"",I21/E21)</x:f>
        <x:v>270.8532610063624</x:v>
      </x:c>
      <x:c r="I21" s="31" t="n">
        <x:f>IF(C21=0,"",SUMIF('Species'!$G$2:$G$81,A21,'Species'!$U$2:$U$81))</x:f>
        <x:v>3939.522198072852</x:v>
      </x:c>
      <x:c r="J21" s="32" t="n">
        <x:v>3.2759002615268207</x:v>
      </x:c>
      <x:c r="K21" s="32" t="n">
        <x:f>IF(J21="","",(1/'Metadata'!$B$5)^(J21-1))</x:f>
        <x:v>188.75578097323927</x:v>
      </x:c>
      <x:c r="L21" s="31" t="n">
        <x:f>IF(E21=0,"",E21*K21)</x:f>
        <x:v>2745.426015532395</x:v>
      </x:c>
      <x:c r="M21" s="31" t="n">
        <x:f>IF(E21=0,"",I21-L21)</x:f>
        <x:v>1194.096182540457</x:v>
      </x:c>
      <x:c r="N21" s="32" t="n">
        <x:f>IF(L21=0,"",I21/L21)</x:f>
        <x:v>1.4349402153927273</x:v>
      </x:c>
      <x:c r="O21" s="34" t="n">
        <x:f>IF(L21=0,"",M21/L21)</x:f>
        <x:v>0.4349402153927273</x:v>
      </x:c>
    </x:row>
    <x:row r="22" ht="18" customHeight="1">
      <x:c r="A22" s="24" t="str">
        <x:v>Small to medium rays (&lt;90 cm)</x:v>
      </x:c>
      <x:c r="B22" s="33" t="n">
        <x:v>1</x:v>
      </x:c>
      <x:c r="C22" s="33" t="n">
        <x:v>1</x:v>
      </x:c>
      <x:c r="D22" s="31" t="n">
        <x:v>0.18</x:v>
      </x:c>
      <x:c r="E22" s="31" t="n">
        <x:v>0.18</x:v>
      </x:c>
      <x:c r="F22" s="32" t="n">
        <x:v>0</x:v>
      </x:c>
      <x:c r="G22" s="34" t="n">
        <x:v>1</x:v>
      </x:c>
      <x:c r="H22" s="32" t="n">
        <x:f>IF(E22=0,"",I22/E22)</x:f>
        <x:v>316.22776601683796</x:v>
      </x:c>
      <x:c r="I22" s="31" t="n">
        <x:f>IF(C22=0,"",SUMIF('Species'!$G$2:$G$81,A22,'Species'!$U$2:$U$81))</x:f>
        <x:v>56.92099788303083</x:v>
      </x:c>
      <x:c r="J22" s="32" t="n">
        <x:v>3.5</x:v>
      </x:c>
      <x:c r="K22" s="32" t="n">
        <x:f>IF(J22="","",(1/'Metadata'!$B$5)^(J22-1))</x:f>
        <x:v>316.22776601683796</x:v>
      </x:c>
      <x:c r="L22" s="31" t="n">
        <x:f>IF(E22=0,"",E22*K22)</x:f>
        <x:v>56.92099788303083</x:v>
      </x:c>
      <x:c r="M22" s="31" t="n">
        <x:f>IF(E22=0,"",I22-L22)</x:f>
        <x:v>0</x:v>
      </x:c>
      <x:c r="N22" s="32" t="n">
        <x:f>IF(L22=0,"",I22/L22)</x:f>
        <x:v>1</x:v>
      </x:c>
      <x:c r="O22" s="34" t="n">
        <x:f>IF(L22=0,"",M22/L22)</x:f>
        <x:v>0</x:v>
      </x:c>
    </x:row>
  </x:sheetData>
  <x:conditionalFormatting sqref="G2:G22">
    <x:cfRule type="cellIs" dxfId="2" priority="1" operator="lessThan">
      <x:formula>0.9</x:formula>
    </x:cfRule>
  </x:conditionalFormatting>
  <x:conditionalFormatting sqref="O2:O22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c030e7a3a4dc439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EEZ_705</x:v>
      </x:c>
      <x:c r="B2" s="24" t="str">
        <x:v>raw_filtered_tonnes</x:v>
      </x:c>
      <x:c r="C2" s="24" t="n">
        <x:v>203.5210142398</x:v>
      </x:c>
      <x:c r="D2" s="24" t="str">
        <x:v>tonnes</x:v>
      </x:c>
    </x:row>
    <x:row r="3" ht="18" customHeight="1">
      <x:c r="A3" s="24" t="str">
        <x:v>EEZ_705</x:v>
      </x:c>
      <x:c r="B3" s="24" t="str">
        <x:v>species_catch_tonnes</x:v>
      </x:c>
      <x:c r="C3" s="24" t="n">
        <x:v>203.5210142398</x:v>
      </x:c>
      <x:c r="D3" s="24" t="str">
        <x:v>tonnes</x:v>
      </x:c>
    </x:row>
    <x:row r="4" ht="18" customHeight="1">
      <x:c r="A4" s="24" t="str">
        <x:v>EEZ_705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EEZ_705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EEZ_705</x:v>
      </x:c>
      <x:c r="B6" s="24" t="str">
        <x:v>matched_catch_tonnes</x:v>
      </x:c>
      <x:c r="C6" s="24" t="n">
        <x:v>203.5210142398</x:v>
      </x:c>
      <x:c r="D6" s="24" t="str">
        <x:v>tonnes</x:v>
      </x:c>
    </x:row>
    <x:row r="7" ht="18" customHeight="1">
      <x:c r="A7" s="24" t="str">
        <x:v>EEZ_705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EEZ_705</x:v>
      </x:c>
      <x:c r="B8" s="24" t="str">
        <x:v>taxa_count</x:v>
      </x:c>
      <x:c r="C8" s="24" t="n">
        <x:v>80</x:v>
      </x:c>
      <x:c r="D8" s="24" t="str">
        <x:v>count</x:v>
      </x:c>
    </x:row>
    <x:row r="9" ht="18" customHeight="1">
      <x:c r="A9" s="24" t="str">
        <x:v>EEZ_705</x:v>
      </x:c>
      <x:c r="B9" s="24" t="str">
        <x:v>matched_taxa_count</x:v>
      </x:c>
      <x:c r="C9" s="24" t="n">
        <x:v>80</x:v>
      </x:c>
      <x:c r="D9" s="24" t="str">
        <x:v>count</x:v>
      </x:c>
    </x:row>
    <x:row r="10" ht="18" customHeight="1">
      <x:c r="A10" s="24" t="str">
        <x:v>EEZ_705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EEZ_705</x:v>
      </x:c>
      <x:c r="B11" s="24" t="str">
        <x:v>species_ppr</x:v>
      </x:c>
      <x:c r="C11" s="24" t="n">
        <x:v>130224.70736268716</x:v>
      </x:c>
      <x:c r="D11" s="24" t="str">
        <x:v>tonnes_primary_production_equivalent</x:v>
      </x:c>
    </x:row>
    <x:row r="12" ht="18" customHeight="1">
      <x:c r="A12" s="24" t="str">
        <x:v>EEZ_705</x:v>
      </x:c>
      <x:c r="B12" s="24" t="str">
        <x:v>commercial_ppr</x:v>
      </x:c>
      <x:c r="C12" s="24" t="n">
        <x:v>130224.70736268716</x:v>
      </x:c>
      <x:c r="D12" s="24" t="str">
        <x:v>tonnes_primary_production_equivalent</x:v>
      </x:c>
    </x:row>
    <x:row r="13" ht="18" customHeight="1">
      <x:c r="A13" s="24" t="str">
        <x:v>EEZ_705</x:v>
      </x:c>
      <x:c r="B13" s="24" t="str">
        <x:v>functional_ppr</x:v>
      </x:c>
      <x:c r="C13" s="24" t="n">
        <x:v>130224.70736268717</x:v>
      </x:c>
      <x:c r="D13" s="24" t="str">
        <x:v>tonnes_primary_production_equivalent</x:v>
      </x:c>
    </x:row>
    <x:row r="14" ht="18" customHeight="1">
      <x:c r="A14" s="24" t="str">
        <x:v>EEZ_705</x:v>
      </x:c>
      <x:c r="B14" s="24" t="str">
        <x:v>commercial_ppr_difference</x:v>
      </x:c>
      <x:c r="C14" s="24" t="n">
        <x:v>0</x:v>
      </x:c>
      <x:c r="D14" s="24" t="str">
        <x:v>tonnes_primary_production_equivalent</x:v>
      </x:c>
    </x:row>
    <x:row r="15" ht="18" customHeight="1">
      <x:c r="A15" s="24" t="str">
        <x:v>EEZ_705</x:v>
      </x:c>
      <x:c r="B15" s="24" t="str">
        <x:v>functional_ppr_difference</x:v>
      </x:c>
      <x:c r="C15" s="24" t="n">
        <x:v>1.4551915228366852e-11</x:v>
      </x:c>
      <x:c r="D15" s="24" t="str">
        <x:v>tonnes_primary_production_equivalent</x:v>
      </x:c>
    </x:row>
    <x:row r="16" ht="18" customHeight="1">
      <x:c r="A16" s="24" t="str">
        <x:v>EEZ_705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EEZ_705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EEZ_705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EEZ_705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17ea52190e874ad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EEZ_705 - Slovenia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EEZ_705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raw_data/SAU_downloads/EEZ_705-catch.zip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