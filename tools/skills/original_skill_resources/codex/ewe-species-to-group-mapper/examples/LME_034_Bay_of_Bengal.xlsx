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doca\Desktop\אישי\אקדמיה\תואר שני\מחקר\BTN\GlobalPPREstimation\skills\artifact-template-ewe-species-to-group-mapper\example outputs\"/>
    </mc:Choice>
  </mc:AlternateContent>
  <xr:revisionPtr revIDLastSave="0" documentId="8_{500A0DEE-55B2-45DA-8F97-5A3C7641DA09}" xr6:coauthVersionLast="47" xr6:coauthVersionMax="47" xr10:uidLastSave="{00000000-0000-0000-0000-000000000000}"/>
  <bookViews>
    <workbookView xWindow="-9890" yWindow="-21710" windowWidth="38620" windowHeight="21100" xr2:uid="{00000000-000D-0000-FFFF-FFFF00000000}"/>
  </bookViews>
  <sheets>
    <sheet name="Species" sheetId="1" r:id="rId1"/>
    <sheet name="Commercial" sheetId="2" r:id="rId2"/>
    <sheet name="Functional" sheetId="3" r:id="rId3"/>
    <sheet name="Missing TL" sheetId="4" r:id="rId4"/>
    <sheet name="Validation" sheetId="5" r:id="rId5"/>
    <sheet name="Metadata" sheetId="6" r:id="rId6"/>
    <sheet name="EwE Taxonomy"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 i="3" l="1"/>
  <c r="L21" i="3" s="1"/>
  <c r="K20" i="3"/>
  <c r="L20" i="3" s="1"/>
  <c r="K19" i="3"/>
  <c r="L19" i="3" s="1"/>
  <c r="K18" i="3"/>
  <c r="L18" i="3" s="1"/>
  <c r="K17" i="3"/>
  <c r="L17" i="3" s="1"/>
  <c r="K16" i="3"/>
  <c r="L16" i="3" s="1"/>
  <c r="K15" i="3"/>
  <c r="L15" i="3" s="1"/>
  <c r="K14" i="3"/>
  <c r="L14" i="3" s="1"/>
  <c r="K13" i="3"/>
  <c r="L13" i="3" s="1"/>
  <c r="K12" i="3"/>
  <c r="L12" i="3" s="1"/>
  <c r="K11" i="3"/>
  <c r="L11" i="3" s="1"/>
  <c r="K10" i="3"/>
  <c r="L10" i="3" s="1"/>
  <c r="K9" i="3"/>
  <c r="L9" i="3" s="1"/>
  <c r="K8" i="3"/>
  <c r="L8" i="3" s="1"/>
  <c r="K7" i="3"/>
  <c r="L7" i="3" s="1"/>
  <c r="K6" i="3"/>
  <c r="L6" i="3" s="1"/>
  <c r="K5" i="3"/>
  <c r="L5" i="3" s="1"/>
  <c r="K4" i="3"/>
  <c r="L4" i="3" s="1"/>
  <c r="K3" i="3"/>
  <c r="L3" i="3" s="1"/>
  <c r="K2" i="3"/>
  <c r="L2" i="3" s="1"/>
  <c r="K12" i="2"/>
  <c r="L12" i="2" s="1"/>
  <c r="K11" i="2"/>
  <c r="L11" i="2" s="1"/>
  <c r="K10" i="2"/>
  <c r="L10" i="2" s="1"/>
  <c r="K9" i="2"/>
  <c r="L9" i="2" s="1"/>
  <c r="K8" i="2"/>
  <c r="L8" i="2" s="1"/>
  <c r="K7" i="2"/>
  <c r="L7" i="2" s="1"/>
  <c r="K6" i="2"/>
  <c r="L6" i="2" s="1"/>
  <c r="K5" i="2"/>
  <c r="L5" i="2" s="1"/>
  <c r="K4" i="2"/>
  <c r="L4" i="2" s="1"/>
  <c r="K3" i="2"/>
  <c r="L3" i="2" s="1"/>
  <c r="K2" i="2"/>
  <c r="L2" i="2" s="1"/>
  <c r="T289" i="1"/>
  <c r="U289" i="1" s="1"/>
  <c r="T288" i="1"/>
  <c r="U288" i="1" s="1"/>
  <c r="T287" i="1"/>
  <c r="U287" i="1" s="1"/>
  <c r="I3" i="2" s="1"/>
  <c r="T286" i="1"/>
  <c r="U286" i="1" s="1"/>
  <c r="T285" i="1"/>
  <c r="U285" i="1" s="1"/>
  <c r="T284" i="1"/>
  <c r="U284" i="1" s="1"/>
  <c r="T283" i="1"/>
  <c r="U283" i="1" s="1"/>
  <c r="T282" i="1"/>
  <c r="U282" i="1" s="1"/>
  <c r="T281" i="1"/>
  <c r="U281" i="1" s="1"/>
  <c r="T280" i="1"/>
  <c r="U280" i="1" s="1"/>
  <c r="T279" i="1"/>
  <c r="U279" i="1" s="1"/>
  <c r="T278" i="1"/>
  <c r="U278" i="1" s="1"/>
  <c r="T277" i="1"/>
  <c r="U277" i="1" s="1"/>
  <c r="T276" i="1"/>
  <c r="U276" i="1" s="1"/>
  <c r="T275" i="1"/>
  <c r="U275" i="1" s="1"/>
  <c r="T274" i="1"/>
  <c r="U274" i="1" s="1"/>
  <c r="T273" i="1"/>
  <c r="U273" i="1" s="1"/>
  <c r="T272" i="1"/>
  <c r="U272" i="1" s="1"/>
  <c r="T271" i="1"/>
  <c r="U271" i="1" s="1"/>
  <c r="T270" i="1"/>
  <c r="U270" i="1" s="1"/>
  <c r="T269" i="1"/>
  <c r="U269" i="1" s="1"/>
  <c r="T268" i="1"/>
  <c r="U268" i="1" s="1"/>
  <c r="T267" i="1"/>
  <c r="U267" i="1" s="1"/>
  <c r="T266" i="1"/>
  <c r="U266" i="1" s="1"/>
  <c r="T265" i="1"/>
  <c r="U265" i="1" s="1"/>
  <c r="T264" i="1"/>
  <c r="U264" i="1" s="1"/>
  <c r="T263" i="1"/>
  <c r="U263" i="1" s="1"/>
  <c r="T262" i="1"/>
  <c r="U262" i="1" s="1"/>
  <c r="T261" i="1"/>
  <c r="U261" i="1" s="1"/>
  <c r="T260" i="1"/>
  <c r="U260" i="1" s="1"/>
  <c r="T259" i="1"/>
  <c r="U259" i="1" s="1"/>
  <c r="T258" i="1"/>
  <c r="U258" i="1" s="1"/>
  <c r="T257" i="1"/>
  <c r="U257" i="1" s="1"/>
  <c r="T256" i="1"/>
  <c r="U256" i="1" s="1"/>
  <c r="T255" i="1"/>
  <c r="U255" i="1" s="1"/>
  <c r="T254" i="1"/>
  <c r="U254" i="1" s="1"/>
  <c r="T253" i="1"/>
  <c r="U253" i="1" s="1"/>
  <c r="T252" i="1"/>
  <c r="U252" i="1" s="1"/>
  <c r="T251" i="1"/>
  <c r="U251" i="1" s="1"/>
  <c r="T250" i="1"/>
  <c r="U250" i="1" s="1"/>
  <c r="T249" i="1"/>
  <c r="U249" i="1" s="1"/>
  <c r="T248" i="1"/>
  <c r="U248" i="1" s="1"/>
  <c r="T247" i="1"/>
  <c r="U247" i="1" s="1"/>
  <c r="T246" i="1"/>
  <c r="U246" i="1" s="1"/>
  <c r="T245" i="1"/>
  <c r="U245" i="1" s="1"/>
  <c r="T244" i="1"/>
  <c r="U244" i="1" s="1"/>
  <c r="T243" i="1"/>
  <c r="U243" i="1" s="1"/>
  <c r="T242" i="1"/>
  <c r="U242" i="1" s="1"/>
  <c r="T241" i="1"/>
  <c r="U241" i="1" s="1"/>
  <c r="T240" i="1"/>
  <c r="U240" i="1" s="1"/>
  <c r="T239" i="1"/>
  <c r="U239" i="1" s="1"/>
  <c r="T238" i="1"/>
  <c r="U238" i="1" s="1"/>
  <c r="T237" i="1"/>
  <c r="U237" i="1" s="1"/>
  <c r="T236" i="1"/>
  <c r="U236" i="1" s="1"/>
  <c r="T235" i="1"/>
  <c r="U235" i="1" s="1"/>
  <c r="T234" i="1"/>
  <c r="U234" i="1" s="1"/>
  <c r="T233" i="1"/>
  <c r="U233" i="1" s="1"/>
  <c r="T232" i="1"/>
  <c r="U232" i="1" s="1"/>
  <c r="T231" i="1"/>
  <c r="U231" i="1" s="1"/>
  <c r="T230" i="1"/>
  <c r="U230" i="1" s="1"/>
  <c r="T229" i="1"/>
  <c r="U229" i="1" s="1"/>
  <c r="T228" i="1"/>
  <c r="U228" i="1" s="1"/>
  <c r="T227" i="1"/>
  <c r="U227" i="1" s="1"/>
  <c r="T226" i="1"/>
  <c r="U226" i="1" s="1"/>
  <c r="T225" i="1"/>
  <c r="U225" i="1" s="1"/>
  <c r="T224" i="1"/>
  <c r="U224" i="1" s="1"/>
  <c r="T223" i="1"/>
  <c r="U223" i="1" s="1"/>
  <c r="T222" i="1"/>
  <c r="U222" i="1" s="1"/>
  <c r="T221" i="1"/>
  <c r="U221" i="1" s="1"/>
  <c r="T220" i="1"/>
  <c r="U220" i="1" s="1"/>
  <c r="T219" i="1"/>
  <c r="U219" i="1" s="1"/>
  <c r="T218" i="1"/>
  <c r="U218" i="1" s="1"/>
  <c r="T217" i="1"/>
  <c r="U217" i="1" s="1"/>
  <c r="T216" i="1"/>
  <c r="U216" i="1" s="1"/>
  <c r="T215" i="1"/>
  <c r="U215" i="1" s="1"/>
  <c r="T214" i="1"/>
  <c r="U214" i="1" s="1"/>
  <c r="T213" i="1"/>
  <c r="U213" i="1" s="1"/>
  <c r="T212" i="1"/>
  <c r="U212" i="1" s="1"/>
  <c r="T211" i="1"/>
  <c r="U211" i="1" s="1"/>
  <c r="T210" i="1"/>
  <c r="U210" i="1" s="1"/>
  <c r="T209" i="1"/>
  <c r="U209" i="1" s="1"/>
  <c r="T208" i="1"/>
  <c r="U208" i="1" s="1"/>
  <c r="T207" i="1"/>
  <c r="U207" i="1" s="1"/>
  <c r="T206" i="1"/>
  <c r="U206" i="1" s="1"/>
  <c r="T205" i="1"/>
  <c r="U205" i="1" s="1"/>
  <c r="T204" i="1"/>
  <c r="U204" i="1" s="1"/>
  <c r="T203" i="1"/>
  <c r="U203" i="1" s="1"/>
  <c r="T202" i="1"/>
  <c r="U202" i="1" s="1"/>
  <c r="T201" i="1"/>
  <c r="U201" i="1" s="1"/>
  <c r="U200" i="1"/>
  <c r="T200" i="1"/>
  <c r="T199" i="1"/>
  <c r="U199" i="1" s="1"/>
  <c r="T198" i="1"/>
  <c r="U198" i="1" s="1"/>
  <c r="T197" i="1"/>
  <c r="U197" i="1" s="1"/>
  <c r="T196" i="1"/>
  <c r="U196" i="1" s="1"/>
  <c r="T195" i="1"/>
  <c r="U195" i="1" s="1"/>
  <c r="T194" i="1"/>
  <c r="U194" i="1" s="1"/>
  <c r="T193" i="1"/>
  <c r="U193" i="1" s="1"/>
  <c r="T192" i="1"/>
  <c r="U192" i="1" s="1"/>
  <c r="T191" i="1"/>
  <c r="U191" i="1" s="1"/>
  <c r="T190" i="1"/>
  <c r="U190" i="1" s="1"/>
  <c r="T189" i="1"/>
  <c r="U189" i="1" s="1"/>
  <c r="T188" i="1"/>
  <c r="U188" i="1" s="1"/>
  <c r="T187" i="1"/>
  <c r="U187" i="1" s="1"/>
  <c r="T186" i="1"/>
  <c r="U186" i="1" s="1"/>
  <c r="T185" i="1"/>
  <c r="U185" i="1" s="1"/>
  <c r="T184" i="1"/>
  <c r="U184" i="1" s="1"/>
  <c r="T183" i="1"/>
  <c r="U183" i="1" s="1"/>
  <c r="T182" i="1"/>
  <c r="U182" i="1" s="1"/>
  <c r="T181" i="1"/>
  <c r="U181" i="1" s="1"/>
  <c r="T180" i="1"/>
  <c r="U180" i="1" s="1"/>
  <c r="T179" i="1"/>
  <c r="U179" i="1" s="1"/>
  <c r="T178" i="1"/>
  <c r="U178" i="1" s="1"/>
  <c r="T177" i="1"/>
  <c r="U177" i="1" s="1"/>
  <c r="T176" i="1"/>
  <c r="U176" i="1" s="1"/>
  <c r="T175" i="1"/>
  <c r="U175" i="1" s="1"/>
  <c r="T174" i="1"/>
  <c r="U174" i="1" s="1"/>
  <c r="T173" i="1"/>
  <c r="U173" i="1" s="1"/>
  <c r="T172" i="1"/>
  <c r="U172" i="1" s="1"/>
  <c r="T171" i="1"/>
  <c r="U171" i="1" s="1"/>
  <c r="T170" i="1"/>
  <c r="U170" i="1" s="1"/>
  <c r="T169" i="1"/>
  <c r="U169" i="1" s="1"/>
  <c r="T168" i="1"/>
  <c r="U168" i="1" s="1"/>
  <c r="T167" i="1"/>
  <c r="U167" i="1" s="1"/>
  <c r="T166" i="1"/>
  <c r="U166" i="1" s="1"/>
  <c r="T165" i="1"/>
  <c r="U165" i="1" s="1"/>
  <c r="T164" i="1"/>
  <c r="U164" i="1" s="1"/>
  <c r="T163" i="1"/>
  <c r="U163" i="1" s="1"/>
  <c r="T162" i="1"/>
  <c r="U162" i="1" s="1"/>
  <c r="T161" i="1"/>
  <c r="U161" i="1" s="1"/>
  <c r="T160" i="1"/>
  <c r="U160" i="1" s="1"/>
  <c r="T159" i="1"/>
  <c r="U159" i="1" s="1"/>
  <c r="T158" i="1"/>
  <c r="U158" i="1" s="1"/>
  <c r="T157" i="1"/>
  <c r="U157" i="1" s="1"/>
  <c r="T156" i="1"/>
  <c r="U156" i="1" s="1"/>
  <c r="T155" i="1"/>
  <c r="U155" i="1" s="1"/>
  <c r="T154" i="1"/>
  <c r="U154" i="1" s="1"/>
  <c r="T153" i="1"/>
  <c r="U153" i="1" s="1"/>
  <c r="T152" i="1"/>
  <c r="U152" i="1" s="1"/>
  <c r="T151" i="1"/>
  <c r="U151" i="1" s="1"/>
  <c r="T150" i="1"/>
  <c r="U150" i="1" s="1"/>
  <c r="T149" i="1"/>
  <c r="U149" i="1" s="1"/>
  <c r="T148" i="1"/>
  <c r="U148" i="1" s="1"/>
  <c r="T147" i="1"/>
  <c r="U147" i="1" s="1"/>
  <c r="T146" i="1"/>
  <c r="U146" i="1" s="1"/>
  <c r="T145" i="1"/>
  <c r="U145" i="1" s="1"/>
  <c r="T144" i="1"/>
  <c r="U144" i="1" s="1"/>
  <c r="T143" i="1"/>
  <c r="U143" i="1" s="1"/>
  <c r="T142" i="1"/>
  <c r="U142" i="1" s="1"/>
  <c r="T141" i="1"/>
  <c r="U141" i="1" s="1"/>
  <c r="T140" i="1"/>
  <c r="U140" i="1" s="1"/>
  <c r="T139" i="1"/>
  <c r="U139" i="1" s="1"/>
  <c r="T138" i="1"/>
  <c r="U138" i="1" s="1"/>
  <c r="T137" i="1"/>
  <c r="U137" i="1" s="1"/>
  <c r="T136" i="1"/>
  <c r="U136" i="1" s="1"/>
  <c r="T135" i="1"/>
  <c r="U135" i="1" s="1"/>
  <c r="T134" i="1"/>
  <c r="U134" i="1" s="1"/>
  <c r="T133" i="1"/>
  <c r="U133" i="1" s="1"/>
  <c r="T132" i="1"/>
  <c r="U132" i="1" s="1"/>
  <c r="T131" i="1"/>
  <c r="U131" i="1" s="1"/>
  <c r="T130" i="1"/>
  <c r="U130" i="1" s="1"/>
  <c r="T129" i="1"/>
  <c r="U129" i="1" s="1"/>
  <c r="T128" i="1"/>
  <c r="U128" i="1" s="1"/>
  <c r="T127" i="1"/>
  <c r="U127" i="1" s="1"/>
  <c r="T126" i="1"/>
  <c r="U126" i="1" s="1"/>
  <c r="T125" i="1"/>
  <c r="U125" i="1" s="1"/>
  <c r="T124" i="1"/>
  <c r="U124" i="1" s="1"/>
  <c r="I8" i="3" s="1"/>
  <c r="T123" i="1"/>
  <c r="U123" i="1" s="1"/>
  <c r="T122" i="1"/>
  <c r="U122" i="1" s="1"/>
  <c r="T121" i="1"/>
  <c r="U121" i="1" s="1"/>
  <c r="T120" i="1"/>
  <c r="U120" i="1" s="1"/>
  <c r="T119" i="1"/>
  <c r="U119" i="1" s="1"/>
  <c r="T118" i="1"/>
  <c r="U118" i="1" s="1"/>
  <c r="T117" i="1"/>
  <c r="U117" i="1" s="1"/>
  <c r="T116" i="1"/>
  <c r="U116" i="1" s="1"/>
  <c r="T115" i="1"/>
  <c r="U115" i="1" s="1"/>
  <c r="T114" i="1"/>
  <c r="U114" i="1" s="1"/>
  <c r="T113" i="1"/>
  <c r="U113" i="1" s="1"/>
  <c r="T112" i="1"/>
  <c r="U112" i="1" s="1"/>
  <c r="T111" i="1"/>
  <c r="U111" i="1" s="1"/>
  <c r="T110" i="1"/>
  <c r="U110" i="1" s="1"/>
  <c r="T109" i="1"/>
  <c r="U109" i="1" s="1"/>
  <c r="T108" i="1"/>
  <c r="U108" i="1" s="1"/>
  <c r="T107" i="1"/>
  <c r="U107" i="1" s="1"/>
  <c r="T106" i="1"/>
  <c r="U106" i="1" s="1"/>
  <c r="T105" i="1"/>
  <c r="U105" i="1" s="1"/>
  <c r="T104" i="1"/>
  <c r="U104" i="1" s="1"/>
  <c r="T103" i="1"/>
  <c r="U103" i="1" s="1"/>
  <c r="T102" i="1"/>
  <c r="U102" i="1" s="1"/>
  <c r="T101" i="1"/>
  <c r="U101" i="1" s="1"/>
  <c r="T100" i="1"/>
  <c r="U100" i="1" s="1"/>
  <c r="T99" i="1"/>
  <c r="U99" i="1" s="1"/>
  <c r="T98" i="1"/>
  <c r="U98" i="1" s="1"/>
  <c r="T97" i="1"/>
  <c r="U97" i="1" s="1"/>
  <c r="T96" i="1"/>
  <c r="U96" i="1" s="1"/>
  <c r="T95" i="1"/>
  <c r="U95" i="1" s="1"/>
  <c r="T94" i="1"/>
  <c r="U94" i="1" s="1"/>
  <c r="T93" i="1"/>
  <c r="U93" i="1" s="1"/>
  <c r="T92" i="1"/>
  <c r="U92" i="1" s="1"/>
  <c r="T91" i="1"/>
  <c r="U91" i="1" s="1"/>
  <c r="T90" i="1"/>
  <c r="U90" i="1" s="1"/>
  <c r="T89" i="1"/>
  <c r="U89" i="1" s="1"/>
  <c r="T88" i="1"/>
  <c r="U88" i="1" s="1"/>
  <c r="T87" i="1"/>
  <c r="U87" i="1" s="1"/>
  <c r="T86" i="1"/>
  <c r="U86" i="1" s="1"/>
  <c r="T85" i="1"/>
  <c r="U85" i="1" s="1"/>
  <c r="T84" i="1"/>
  <c r="U84" i="1" s="1"/>
  <c r="T83" i="1"/>
  <c r="U83" i="1" s="1"/>
  <c r="T82" i="1"/>
  <c r="U82" i="1" s="1"/>
  <c r="T81" i="1"/>
  <c r="U81" i="1" s="1"/>
  <c r="T80" i="1"/>
  <c r="U80" i="1" s="1"/>
  <c r="I10" i="2" s="1"/>
  <c r="T79" i="1"/>
  <c r="U79" i="1" s="1"/>
  <c r="T78" i="1"/>
  <c r="U78" i="1" s="1"/>
  <c r="T77" i="1"/>
  <c r="U77" i="1" s="1"/>
  <c r="T76" i="1"/>
  <c r="U76" i="1" s="1"/>
  <c r="I3" i="3" s="1"/>
  <c r="T75" i="1"/>
  <c r="U75" i="1" s="1"/>
  <c r="T74" i="1"/>
  <c r="U74" i="1" s="1"/>
  <c r="T73" i="1"/>
  <c r="U73" i="1" s="1"/>
  <c r="T72" i="1"/>
  <c r="U72" i="1" s="1"/>
  <c r="T71" i="1"/>
  <c r="U71" i="1" s="1"/>
  <c r="T70" i="1"/>
  <c r="U70" i="1" s="1"/>
  <c r="T69" i="1"/>
  <c r="U69" i="1" s="1"/>
  <c r="T68" i="1"/>
  <c r="U68" i="1" s="1"/>
  <c r="T67" i="1"/>
  <c r="U67" i="1" s="1"/>
  <c r="T66" i="1"/>
  <c r="U66" i="1" s="1"/>
  <c r="T65" i="1"/>
  <c r="U65" i="1" s="1"/>
  <c r="T64" i="1"/>
  <c r="U64" i="1" s="1"/>
  <c r="T63" i="1"/>
  <c r="U63" i="1" s="1"/>
  <c r="T62" i="1"/>
  <c r="U62" i="1" s="1"/>
  <c r="T61" i="1"/>
  <c r="U61" i="1" s="1"/>
  <c r="T60" i="1"/>
  <c r="U60" i="1" s="1"/>
  <c r="U59" i="1"/>
  <c r="T59" i="1"/>
  <c r="T58" i="1"/>
  <c r="U58" i="1" s="1"/>
  <c r="T57" i="1"/>
  <c r="U57" i="1" s="1"/>
  <c r="I20" i="3" s="1"/>
  <c r="T56" i="1"/>
  <c r="U56" i="1" s="1"/>
  <c r="T55" i="1"/>
  <c r="U55" i="1" s="1"/>
  <c r="T54" i="1"/>
  <c r="U54" i="1" s="1"/>
  <c r="T53" i="1"/>
  <c r="U53" i="1" s="1"/>
  <c r="T52" i="1"/>
  <c r="U52" i="1" s="1"/>
  <c r="T51" i="1"/>
  <c r="U51" i="1" s="1"/>
  <c r="T50" i="1"/>
  <c r="U50" i="1" s="1"/>
  <c r="T49" i="1"/>
  <c r="U49" i="1" s="1"/>
  <c r="T48" i="1"/>
  <c r="U48" i="1" s="1"/>
  <c r="I4" i="3" s="1"/>
  <c r="T47" i="1"/>
  <c r="U47" i="1" s="1"/>
  <c r="T46" i="1"/>
  <c r="U46" i="1" s="1"/>
  <c r="I14" i="3" s="1"/>
  <c r="T45" i="1"/>
  <c r="U45" i="1" s="1"/>
  <c r="T44" i="1"/>
  <c r="U44" i="1" s="1"/>
  <c r="T43" i="1"/>
  <c r="U43" i="1" s="1"/>
  <c r="T42" i="1"/>
  <c r="U42" i="1" s="1"/>
  <c r="T41" i="1"/>
  <c r="U41" i="1" s="1"/>
  <c r="T40" i="1"/>
  <c r="U40" i="1" s="1"/>
  <c r="T39" i="1"/>
  <c r="U39" i="1" s="1"/>
  <c r="T38" i="1"/>
  <c r="U38" i="1" s="1"/>
  <c r="T37" i="1"/>
  <c r="U37" i="1" s="1"/>
  <c r="T36" i="1"/>
  <c r="U36" i="1" s="1"/>
  <c r="T35" i="1"/>
  <c r="U35" i="1" s="1"/>
  <c r="T34" i="1"/>
  <c r="U34" i="1" s="1"/>
  <c r="T33" i="1"/>
  <c r="U33" i="1" s="1"/>
  <c r="T32" i="1"/>
  <c r="U32" i="1" s="1"/>
  <c r="T31" i="1"/>
  <c r="U31" i="1" s="1"/>
  <c r="T30" i="1"/>
  <c r="U30" i="1" s="1"/>
  <c r="T29" i="1"/>
  <c r="U29" i="1" s="1"/>
  <c r="T28" i="1"/>
  <c r="U28" i="1" s="1"/>
  <c r="T27" i="1"/>
  <c r="U27" i="1" s="1"/>
  <c r="T26" i="1"/>
  <c r="U26" i="1" s="1"/>
  <c r="T25" i="1"/>
  <c r="U25" i="1" s="1"/>
  <c r="T24" i="1"/>
  <c r="U24" i="1" s="1"/>
  <c r="T23" i="1"/>
  <c r="U23" i="1" s="1"/>
  <c r="T22" i="1"/>
  <c r="U22" i="1" s="1"/>
  <c r="T21" i="1"/>
  <c r="U21" i="1" s="1"/>
  <c r="T20" i="1"/>
  <c r="U20" i="1" s="1"/>
  <c r="T19" i="1"/>
  <c r="U19" i="1" s="1"/>
  <c r="T18" i="1"/>
  <c r="U18" i="1" s="1"/>
  <c r="T17" i="1"/>
  <c r="U17" i="1" s="1"/>
  <c r="T16" i="1"/>
  <c r="U16" i="1" s="1"/>
  <c r="T15" i="1"/>
  <c r="U15" i="1" s="1"/>
  <c r="T14" i="1"/>
  <c r="U14" i="1" s="1"/>
  <c r="T13" i="1"/>
  <c r="U13" i="1" s="1"/>
  <c r="T12" i="1"/>
  <c r="U12" i="1" s="1"/>
  <c r="T11" i="1"/>
  <c r="U11" i="1" s="1"/>
  <c r="I11" i="3" s="1"/>
  <c r="T10" i="1"/>
  <c r="U10" i="1" s="1"/>
  <c r="T9" i="1"/>
  <c r="U9" i="1" s="1"/>
  <c r="T8" i="1"/>
  <c r="U8" i="1" s="1"/>
  <c r="T7" i="1"/>
  <c r="U7" i="1" s="1"/>
  <c r="I17" i="3" s="1"/>
  <c r="T6" i="1"/>
  <c r="U6" i="1" s="1"/>
  <c r="T5" i="1"/>
  <c r="U5" i="1" s="1"/>
  <c r="I19" i="3" s="1"/>
  <c r="T4" i="1"/>
  <c r="U4" i="1" s="1"/>
  <c r="I9" i="2" s="1"/>
  <c r="T3" i="1"/>
  <c r="U3" i="1" s="1"/>
  <c r="T2" i="1"/>
  <c r="U2" i="1" s="1"/>
  <c r="N20" i="3" l="1"/>
  <c r="N19" i="3"/>
  <c r="N17" i="3"/>
  <c r="N14" i="3"/>
  <c r="O14" i="3"/>
  <c r="N11" i="3"/>
  <c r="N8" i="3"/>
  <c r="N4" i="3"/>
  <c r="N3" i="3"/>
  <c r="N10" i="2"/>
  <c r="N9" i="2"/>
  <c r="N3" i="2"/>
  <c r="M3" i="2"/>
  <c r="O3" i="2" s="1"/>
  <c r="H3" i="2"/>
  <c r="M8" i="3"/>
  <c r="O8" i="3" s="1"/>
  <c r="H8" i="3"/>
  <c r="I5" i="2"/>
  <c r="N5" i="2" s="1"/>
  <c r="I21" i="3"/>
  <c r="N21" i="3" s="1"/>
  <c r="M10" i="2"/>
  <c r="O10" i="2" s="1"/>
  <c r="H10" i="2"/>
  <c r="M3" i="3"/>
  <c r="O3" i="3" s="1"/>
  <c r="H3" i="3"/>
  <c r="M20" i="3"/>
  <c r="O20" i="3" s="1"/>
  <c r="H20" i="3"/>
  <c r="I7" i="2"/>
  <c r="N7" i="2" s="1"/>
  <c r="I15" i="3"/>
  <c r="N15" i="3" s="1"/>
  <c r="M4" i="3"/>
  <c r="O4" i="3" s="1"/>
  <c r="H4" i="3"/>
  <c r="M14" i="3"/>
  <c r="H14" i="3"/>
  <c r="I11" i="2"/>
  <c r="N11" i="2" s="1"/>
  <c r="I9" i="3"/>
  <c r="N9" i="3" s="1"/>
  <c r="I4" i="2"/>
  <c r="N4" i="2" s="1"/>
  <c r="I16" i="3"/>
  <c r="N16" i="3" s="1"/>
  <c r="M11" i="3"/>
  <c r="O11" i="3" s="1"/>
  <c r="H11" i="3"/>
  <c r="M17" i="3"/>
  <c r="O17" i="3" s="1"/>
  <c r="H17" i="3"/>
  <c r="M19" i="3"/>
  <c r="O19" i="3" s="1"/>
  <c r="H19" i="3"/>
  <c r="M9" i="2"/>
  <c r="O9" i="2" s="1"/>
  <c r="H9" i="2"/>
  <c r="I6" i="2"/>
  <c r="N6" i="2" s="1"/>
  <c r="I13" i="3"/>
  <c r="N13" i="3" s="1"/>
  <c r="I8" i="2"/>
  <c r="N8" i="2" s="1"/>
  <c r="I12" i="3"/>
  <c r="N12" i="3" s="1"/>
  <c r="I7" i="3"/>
  <c r="N7" i="3" s="1"/>
  <c r="I12" i="2"/>
  <c r="N12" i="2" s="1"/>
  <c r="I6" i="3"/>
  <c r="N6" i="3" s="1"/>
  <c r="I2" i="3"/>
  <c r="N2" i="3" s="1"/>
  <c r="I5" i="3"/>
  <c r="N5" i="3" s="1"/>
  <c r="I10" i="3"/>
  <c r="N10" i="3" s="1"/>
  <c r="I2" i="2"/>
  <c r="N2" i="2" s="1"/>
  <c r="I18" i="3"/>
  <c r="N18" i="3" s="1"/>
  <c r="M5" i="2" l="1"/>
  <c r="O5" i="2" s="1"/>
  <c r="H5" i="2"/>
  <c r="M21" i="3"/>
  <c r="O21" i="3" s="1"/>
  <c r="H21" i="3"/>
  <c r="M7" i="2"/>
  <c r="O7" i="2" s="1"/>
  <c r="H7" i="2"/>
  <c r="M15" i="3"/>
  <c r="O15" i="3" s="1"/>
  <c r="H15" i="3"/>
  <c r="M11" i="2"/>
  <c r="O11" i="2" s="1"/>
  <c r="H11" i="2"/>
  <c r="M9" i="3"/>
  <c r="O9" i="3" s="1"/>
  <c r="H9" i="3"/>
  <c r="M4" i="2"/>
  <c r="O4" i="2" s="1"/>
  <c r="H4" i="2"/>
  <c r="M16" i="3"/>
  <c r="O16" i="3" s="1"/>
  <c r="H16" i="3"/>
  <c r="M6" i="2"/>
  <c r="O6" i="2" s="1"/>
  <c r="H6" i="2"/>
  <c r="M13" i="3"/>
  <c r="O13" i="3" s="1"/>
  <c r="H13" i="3"/>
  <c r="M8" i="2"/>
  <c r="O8" i="2" s="1"/>
  <c r="H8" i="2"/>
  <c r="M12" i="3"/>
  <c r="O12" i="3" s="1"/>
  <c r="H12" i="3"/>
  <c r="H7" i="3"/>
  <c r="M7" i="3"/>
  <c r="O7" i="3" s="1"/>
  <c r="H12" i="2"/>
  <c r="M12" i="2"/>
  <c r="O12" i="2" s="1"/>
  <c r="H6" i="3"/>
  <c r="M6" i="3"/>
  <c r="O6" i="3" s="1"/>
  <c r="H2" i="3"/>
  <c r="M2" i="3"/>
  <c r="O2" i="3" s="1"/>
  <c r="H5" i="3"/>
  <c r="M5" i="3"/>
  <c r="O5" i="3" s="1"/>
  <c r="H10" i="3"/>
  <c r="M10" i="3"/>
  <c r="O10" i="3" s="1"/>
  <c r="H2" i="2"/>
  <c r="M2" i="2"/>
  <c r="O2" i="2" s="1"/>
  <c r="H18" i="3"/>
  <c r="M18" i="3"/>
  <c r="O18" i="3" s="1"/>
</calcChain>
</file>

<file path=xl/sharedStrings.xml><?xml version="1.0" encoding="utf-8"?>
<sst xmlns="http://schemas.openxmlformats.org/spreadsheetml/2006/main" count="4787" uniqueCount="1191">
  <si>
    <t>unit_id</t>
  </si>
  <si>
    <t>region_name</t>
  </si>
  <si>
    <t>region_type</t>
  </si>
  <si>
    <t>year</t>
  </si>
  <si>
    <t>taxon</t>
  </si>
  <si>
    <t>common_name</t>
  </si>
  <si>
    <t>functional_group</t>
  </si>
  <si>
    <t>commercial_group</t>
  </si>
  <si>
    <t>catch_tonnes</t>
  </si>
  <si>
    <t>landings_tonnes</t>
  </si>
  <si>
    <t>discards_tonnes</t>
  </si>
  <si>
    <t>reported_tonnes</t>
  </si>
  <si>
    <t>unreported_tonnes</t>
  </si>
  <si>
    <t>taxon_key</t>
  </si>
  <si>
    <t>tl</t>
  </si>
  <si>
    <t>match_method</t>
  </si>
  <si>
    <t>tl_source</t>
  </si>
  <si>
    <t>match_confidence</t>
  </si>
  <si>
    <t>reference_taxon</t>
  </si>
  <si>
    <t>sppr</t>
  </si>
  <si>
    <t>ppr</t>
  </si>
  <si>
    <t>EwE_Guenette_2013_BayOfBengal1978</t>
  </si>
  <si>
    <t>EwE_Guenette_2013_BayOfBengal1978_explanation</t>
  </si>
  <si>
    <t>LME_034</t>
  </si>
  <si>
    <t>Bay of Bengal</t>
  </si>
  <si>
    <t>LME</t>
  </si>
  <si>
    <t>Marine fishes not identified</t>
  </si>
  <si>
    <t>Marine fishes nei</t>
  </si>
  <si>
    <t>Medium demersals (30 - 89 cm)</t>
  </si>
  <si>
    <t>Other fishes &amp; inverts</t>
  </si>
  <si>
    <t>marine fishes not identified</t>
  </si>
  <si>
    <t>exact_sea_around_us</t>
  </si>
  <si>
    <t>Sea Around Us exploited organisms</t>
  </si>
  <si>
    <t>high</t>
  </si>
  <si>
    <t>Unresolved</t>
  </si>
  <si>
    <t>Appendix A1.1 places this exact catch name under the source's own undecided/aggregate label "Miscellaneous fishes".</t>
  </si>
  <si>
    <t>Tenualosa ilisha</t>
  </si>
  <si>
    <t>Hilsa shad</t>
  </si>
  <si>
    <t>Medium pelagics (30 - 89 cm)</t>
  </si>
  <si>
    <t>Herring-likes</t>
  </si>
  <si>
    <t>tenualosa ilisha</t>
  </si>
  <si>
    <t>exact_2020_supplement</t>
  </si>
  <si>
    <t>2020 supplement MeanTL</t>
  </si>
  <si>
    <t>2-3 Hilsa</t>
  </si>
  <si>
    <t>Appendix A1.1 lists this exact catch name directly under "Hilsa".</t>
  </si>
  <si>
    <t>Rastrelliger</t>
  </si>
  <si>
    <t>Indian mackerels</t>
  </si>
  <si>
    <t>Perch-likes</t>
  </si>
  <si>
    <t>rastrelliger</t>
  </si>
  <si>
    <t>2-3 Indian mackerel</t>
  </si>
  <si>
    <t>Appendix A1.1 lists this exact catch name directly under "Indian mackerel".</t>
  </si>
  <si>
    <t>Clupeiformes</t>
  </si>
  <si>
    <t>Herrings, shads, anchovies</t>
  </si>
  <si>
    <t>Small pelagics (&lt;30 cm)</t>
  </si>
  <si>
    <t>clupeiformes</t>
  </si>
  <si>
    <t>2 S pelagics</t>
  </si>
  <si>
    <t>Appendix A1.1 lists this exact catch name directly under "S pelagics".</t>
  </si>
  <si>
    <t>Carangidae</t>
  </si>
  <si>
    <t>Jacks, pompanos</t>
  </si>
  <si>
    <t>carangidae</t>
  </si>
  <si>
    <t>2 Carangids</t>
  </si>
  <si>
    <t>Appendix A1.1 lists this exact catch name directly under "Carangids".</t>
  </si>
  <si>
    <t>Leiognathidae</t>
  </si>
  <si>
    <t>Slipmouths, ponyfishes</t>
  </si>
  <si>
    <t>Small benthopelagics (&lt;30 cm)</t>
  </si>
  <si>
    <t>leiognathidae</t>
  </si>
  <si>
    <t>2 SM inv</t>
  </si>
  <si>
    <t>Appendix A1.1 lists this exact catch name directly under "SM inv".</t>
  </si>
  <si>
    <t>Clupeidae</t>
  </si>
  <si>
    <t>Herrings, sardines, menhadens</t>
  </si>
  <si>
    <t>clupeidae</t>
  </si>
  <si>
    <t>Sciaenidae</t>
  </si>
  <si>
    <t>Drums, croakers</t>
  </si>
  <si>
    <t>sciaenidae</t>
  </si>
  <si>
    <t>2 L pisc comm</t>
  </si>
  <si>
    <t>Appendix A1.1 lists this exact catch name directly under "L pisc comm".</t>
  </si>
  <si>
    <t>Rastrelliger kanagurta</t>
  </si>
  <si>
    <t>Indian mackerel</t>
  </si>
  <si>
    <t>rastrelliger kanagurta</t>
  </si>
  <si>
    <t>Harpadon nehereus</t>
  </si>
  <si>
    <t>Bombay-duck</t>
  </si>
  <si>
    <t>Medium benthopelagics (30 - 89 cm)</t>
  </si>
  <si>
    <t>harpadon nehereus</t>
  </si>
  <si>
    <t>Decapterus</t>
  </si>
  <si>
    <t>Scads</t>
  </si>
  <si>
    <t>decapterus</t>
  </si>
  <si>
    <t>Acetes</t>
  </si>
  <si>
    <t>Acetes shrimps</t>
  </si>
  <si>
    <t>Shrimps</t>
  </si>
  <si>
    <t>Crustaceans</t>
  </si>
  <si>
    <t>acetes</t>
  </si>
  <si>
    <t>2 Crustaceans</t>
  </si>
  <si>
    <t>Appendix A1.1 lists this exact catch name directly under "shrimps".</t>
  </si>
  <si>
    <t>Penaeidae</t>
  </si>
  <si>
    <t>Commercial shrimps and prawns</t>
  </si>
  <si>
    <t>penaeidae</t>
  </si>
  <si>
    <t>Nemipteridae</t>
  </si>
  <si>
    <t>Threadfins, whiptail breams</t>
  </si>
  <si>
    <t>Small demersals (&lt;30 cm)</t>
  </si>
  <si>
    <t>nemipteridae</t>
  </si>
  <si>
    <t>2 SM pisc</t>
  </si>
  <si>
    <t>Appendix A1.1 lists this exact catch name directly under "SM pisc".</t>
  </si>
  <si>
    <t>Engraulidae</t>
  </si>
  <si>
    <t>Anchovies, round herrings</t>
  </si>
  <si>
    <t>Anchovies</t>
  </si>
  <si>
    <t>engraulidae</t>
  </si>
  <si>
    <t>Stolephorus</t>
  </si>
  <si>
    <t>Garment anchovies</t>
  </si>
  <si>
    <t>stolephorus</t>
  </si>
  <si>
    <t>Sardinella longiceps</t>
  </si>
  <si>
    <t>Indian oil sardine</t>
  </si>
  <si>
    <t>sardinella longiceps</t>
  </si>
  <si>
    <t>Pampus argenteus</t>
  </si>
  <si>
    <t>Silver pomfret</t>
  </si>
  <si>
    <t>pampus argenteus</t>
  </si>
  <si>
    <t>Ariidae</t>
  </si>
  <si>
    <t>Sea catfishes, coblers</t>
  </si>
  <si>
    <t>ariidae</t>
  </si>
  <si>
    <t>2 Milkfish plus</t>
  </si>
  <si>
    <t>Sea catfish family; Appendix A1.1 marks this exact catch-name row "Milkfish, Minv Mpisc", a three-way ambiguous label, but the family's most emblematic genus, Netuma thalassina (also in this workbook), is placed explicitly in Milkfish plus by Appendix A1.3 — used as the best-supported of the three options rather than an unambiguous single-target match.</t>
  </si>
  <si>
    <t>Decapoda</t>
  </si>
  <si>
    <t>Crabs, lobsters, shrimps</t>
  </si>
  <si>
    <t>Lobsters, crabs</t>
  </si>
  <si>
    <t>decapoda</t>
  </si>
  <si>
    <t>Appendix A1.1 lists this exact catch name directly under "crab, shrimp".</t>
  </si>
  <si>
    <t>Anguilliformes</t>
  </si>
  <si>
    <t>Eels, morays</t>
  </si>
  <si>
    <t>Large demersals (&gt;=90 cm)</t>
  </si>
  <si>
    <t>anguilliformes</t>
  </si>
  <si>
    <t>2 L pisc</t>
  </si>
  <si>
    <t>Appendix A1.1 lists this exact catch name directly under "L pisc".</t>
  </si>
  <si>
    <t>Megalaspis cordyla</t>
  </si>
  <si>
    <t>Torpedo scad</t>
  </si>
  <si>
    <t>megalaspis cordyla</t>
  </si>
  <si>
    <t>Elasmobranchii</t>
  </si>
  <si>
    <t>Sharks, rays, skates</t>
  </si>
  <si>
    <t>Large sharks (&gt;=90 cm)</t>
  </si>
  <si>
    <t>Sharks &amp; rays</t>
  </si>
  <si>
    <t>elasmobranchii</t>
  </si>
  <si>
    <t>Class-level aggregate; Appendix A1.1 places this exact catch-name row under the dual, undecided label "oceanic, coastal sharks", spanning both the Oceanic sharks and Coastal elasmobranch groups with no way to split it from a single aggregate catch record.</t>
  </si>
  <si>
    <t>Scombridae</t>
  </si>
  <si>
    <t>Mackerels, tunas, bonitos</t>
  </si>
  <si>
    <t>scombridae</t>
  </si>
  <si>
    <t>Family-level Sea Around Us aggregate spanning three dedicated groups the paper itself keeps separate (Tuna-like, Coastal scombrids, 2-3 Indian mackerel per A1.1/A1.3); no single group can be defended without a species breakdown.</t>
  </si>
  <si>
    <t>Synodontidae</t>
  </si>
  <si>
    <t>Lizardfishes, sauries</t>
  </si>
  <si>
    <t>synodontidae</t>
  </si>
  <si>
    <t>Cephalopoda</t>
  </si>
  <si>
    <t>Squids, cuttlefishes, octopuses</t>
  </si>
  <si>
    <t>Cephalopods</t>
  </si>
  <si>
    <t>cephalopoda</t>
  </si>
  <si>
    <t>Appendix A1.1 lists this exact catch name directly under "cephalopods".</t>
  </si>
  <si>
    <t>Saurida</t>
  </si>
  <si>
    <t>Lizardfishes</t>
  </si>
  <si>
    <t>saurida</t>
  </si>
  <si>
    <t>Sphyraena</t>
  </si>
  <si>
    <t>Barracudas, sennets</t>
  </si>
  <si>
    <t>Large pelagics (&gt;=90 cm)</t>
  </si>
  <si>
    <t>sphyraena</t>
  </si>
  <si>
    <t>Miscellaneous marine crustaceans</t>
  </si>
  <si>
    <t>Marine crabs, shrimps, lobsters nei</t>
  </si>
  <si>
    <t>miscellaneous marine crustaceans</t>
  </si>
  <si>
    <t>Decapterus russelli</t>
  </si>
  <si>
    <t>Indian scad</t>
  </si>
  <si>
    <t>decapterus russelli</t>
  </si>
  <si>
    <t>Sardinella</t>
  </si>
  <si>
    <t>Sardinellas</t>
  </si>
  <si>
    <t>sardinella</t>
  </si>
  <si>
    <t>Perciformes</t>
  </si>
  <si>
    <t>perciformes</t>
  </si>
  <si>
    <t>Order-level catch-all. Per source prose (p.9): "Catches labeled miscellaneous fish, Perciformes and Pleuronectiformes were attributed to functional groups of the same region in equal proportions between fish groups" — the paper itself distributes this catch across multiple groups rather than assigning it to one, so a single-group decision would misrepresent the source's own method.</t>
  </si>
  <si>
    <t>Katsuwonus pelamis</t>
  </si>
  <si>
    <t>Skipjack tuna</t>
  </si>
  <si>
    <t>Tuna &amp; billfishes</t>
  </si>
  <si>
    <t>katsuwonus pelamis</t>
  </si>
  <si>
    <t>Tuna-like</t>
  </si>
  <si>
    <t>Appendix A1.1 lists this exact catch name directly under "tuna-like".</t>
  </si>
  <si>
    <t>Scomberomorus guttatus</t>
  </si>
  <si>
    <t>Indo-Pacific king mackerel</t>
  </si>
  <si>
    <t>scomberomorus guttatus</t>
  </si>
  <si>
    <t>Coastal scombrids</t>
  </si>
  <si>
    <t>Exact species named in Appendix A1.3's Coastal scombrids species list ("...Scomberomorus commerson, Scomberomorus guttatus, Scomberomorus lineolatus...").</t>
  </si>
  <si>
    <t>Siluriformes</t>
  </si>
  <si>
    <t>Catfishes</t>
  </si>
  <si>
    <t>siluriformes</t>
  </si>
  <si>
    <t>Catfish order; Appendix A1.1 marks this exact catch-name row "Milkfish, Minv Mpisc", the same three-way ambiguous label as Ariidae, whose type genus Netuma thalassina is placed in Milkfish plus by Appendix A1.3 — used as the best-supported of the three options rather than an unambiguous single-target match.</t>
  </si>
  <si>
    <t>Nemipterus</t>
  </si>
  <si>
    <t>Threadfin breams</t>
  </si>
  <si>
    <t>nemipterus</t>
  </si>
  <si>
    <t>Chirocentrus</t>
  </si>
  <si>
    <t>Wolf herrings</t>
  </si>
  <si>
    <t>chirocentrus</t>
  </si>
  <si>
    <t>Scomberomorus commerson</t>
  </si>
  <si>
    <t>Narrow-barred Spanish mackerel</t>
  </si>
  <si>
    <t>scomberomorus commerson</t>
  </si>
  <si>
    <t>Exact species named in Appendix A1.3's Coastal scombrids species list.</t>
  </si>
  <si>
    <t>Thryssa</t>
  </si>
  <si>
    <t>Thryssas</t>
  </si>
  <si>
    <t>thryssa</t>
  </si>
  <si>
    <t>Sepiidae</t>
  </si>
  <si>
    <t>Cuttlefishes</t>
  </si>
  <si>
    <t>sepiidae</t>
  </si>
  <si>
    <t>Parastromateus niger</t>
  </si>
  <si>
    <t>Black pomfret</t>
  </si>
  <si>
    <t>parastromateus niger</t>
  </si>
  <si>
    <t>Sepia</t>
  </si>
  <si>
    <t>Sepia cuttlefishes</t>
  </si>
  <si>
    <t>sepia</t>
  </si>
  <si>
    <t>Pennahia</t>
  </si>
  <si>
    <t>Pennah croakers</t>
  </si>
  <si>
    <t>pennahia</t>
  </si>
  <si>
    <t>Selaroides leptolepis</t>
  </si>
  <si>
    <t>Yellowstripe scad</t>
  </si>
  <si>
    <t>selaroides leptolepis</t>
  </si>
  <si>
    <t>Mullidae</t>
  </si>
  <si>
    <t>Goatfishes</t>
  </si>
  <si>
    <t>Medium reef assoc. fish (30 - 89 cm)</t>
  </si>
  <si>
    <t>mullidae</t>
  </si>
  <si>
    <t>Metapenaeus</t>
  </si>
  <si>
    <t>Indo-Pacific prawns</t>
  </si>
  <si>
    <t>metapenaeus</t>
  </si>
  <si>
    <t>Trichiuridae</t>
  </si>
  <si>
    <t>Cutlassfishes</t>
  </si>
  <si>
    <t>Large benthopelagics (&gt;=90 cm)</t>
  </si>
  <si>
    <t>trichiuridae</t>
  </si>
  <si>
    <t>Rastrelliger brachysoma</t>
  </si>
  <si>
    <t>Short mackerel</t>
  </si>
  <si>
    <t>rastrelliger brachysoma</t>
  </si>
  <si>
    <t>Polynemidae</t>
  </si>
  <si>
    <t>Threadfins</t>
  </si>
  <si>
    <t>polynemidae</t>
  </si>
  <si>
    <t>Threadfin family; Appendix A1.1 marks this exact catch-name row "L pisc, SM inv" (ambiguous between the large-piscivore and small-invertivore guilds). Named congeners Leptomelanosoma indicum and Eleutheronema tetradactylum (both threadfins, this workbook's own genus-level examples) are placed explicitly in L pisc by Appendix A1.3, so L pisc is the best-supported of the two options for the family-level aggregate.</t>
  </si>
  <si>
    <t>Bivalvia</t>
  </si>
  <si>
    <t>Clams</t>
  </si>
  <si>
    <t>Other demersal invertebrates</t>
  </si>
  <si>
    <t>Molluscs</t>
  </si>
  <si>
    <t>bivalvia</t>
  </si>
  <si>
    <t>2 Macrobenthos</t>
  </si>
  <si>
    <t>Appendix A1.1 lists this exact catch name directly under "macrobenthos".</t>
  </si>
  <si>
    <t>Portunidae</t>
  </si>
  <si>
    <t>Swimming crabs</t>
  </si>
  <si>
    <t>portunidae</t>
  </si>
  <si>
    <t>Appendix A1.1 lists this exact catch name directly under "Crabs".</t>
  </si>
  <si>
    <t>Dendrobranchiata</t>
  </si>
  <si>
    <t>Shrimps and prawns</t>
  </si>
  <si>
    <t>dendrobranchiata</t>
  </si>
  <si>
    <t>Suborder containing all penaeid/sergestid shrimp; Appendix A1.1 places every named penaeid genus/species (Penaeus, Metapenaeus, Parapenaeopsis, Fenneropenaeus, etc.) and "Shrimps and prawns" under shrimps, which the balanced model (Table 16) merges with Crabs into the single Crustaceans group per region.</t>
  </si>
  <si>
    <t>Euthynnus affinis</t>
  </si>
  <si>
    <t>Kawakawa</t>
  </si>
  <si>
    <t>euthynnus affinis</t>
  </si>
  <si>
    <t>Appendix A1.1 lists this exact catch name directly under "coastal scombrid".</t>
  </si>
  <si>
    <t>Mugilidae</t>
  </si>
  <si>
    <t>Mullets, grey mullets</t>
  </si>
  <si>
    <t>mugilidae</t>
  </si>
  <si>
    <t>Mullet family; genus Mugil is placed directly in SM inv by Appendix A1.1, and Siganus/Sillago (comparable small coastal invertivores) are placed there too — the "M inv, S inv" notation in the appendix denotes a size split within the single merged SM inv group, not a choice between different dedicated groups.</t>
  </si>
  <si>
    <t>Teuthida</t>
  </si>
  <si>
    <t>Squids</t>
  </si>
  <si>
    <t>teuthida</t>
  </si>
  <si>
    <t>Order Teuthida = true squids; Appendix A1.3's Cephalopods list explicitly cites "Loligo sp" and A1.1 lists Loliginidae/Loligo/Teuthida-type genera under cephalopods — unambiguous taxonomic containment in the LME-wide Cephalopods group.</t>
  </si>
  <si>
    <t>Apogonidae</t>
  </si>
  <si>
    <t>Cardinalfishes</t>
  </si>
  <si>
    <t>Small reef assoc. fish (&lt;30 cm)</t>
  </si>
  <si>
    <t>apogonidae</t>
  </si>
  <si>
    <t>Lutjanidae</t>
  </si>
  <si>
    <t>Snappers</t>
  </si>
  <si>
    <t>lutjanidae</t>
  </si>
  <si>
    <t>Parapenaeopsis</t>
  </si>
  <si>
    <t>Leafy-legged shrimps</t>
  </si>
  <si>
    <t>parapenaeopsis</t>
  </si>
  <si>
    <t>Scomberomorus</t>
  </si>
  <si>
    <t>Spanish mackerels</t>
  </si>
  <si>
    <t>scomberomorus</t>
  </si>
  <si>
    <t>Genus-level containment: every named Scomberomorus species in this workbook (commerson, guttatus, lineolatus) is placed in Coastal scombrids by Appendix A1.3, and no Scomberomorus species is listed elsewhere.</t>
  </si>
  <si>
    <t>Selar crumenophthalmus</t>
  </si>
  <si>
    <t>Bigeye scad</t>
  </si>
  <si>
    <t>selar crumenophthalmus</t>
  </si>
  <si>
    <t>Thunnus albacares</t>
  </si>
  <si>
    <t>Yellowfin tuna</t>
  </si>
  <si>
    <t>thunnus albacares</t>
  </si>
  <si>
    <t>Appendix A1.1 lists this exact catch name directly under "Yellowfin tuna".</t>
  </si>
  <si>
    <t>Loliginidae</t>
  </si>
  <si>
    <t>Common pencil squids</t>
  </si>
  <si>
    <t>loliginidae</t>
  </si>
  <si>
    <t>Serranidae</t>
  </si>
  <si>
    <t>Basses, groupers, hinds</t>
  </si>
  <si>
    <t>serranidae</t>
  </si>
  <si>
    <t>Saurida tumbil</t>
  </si>
  <si>
    <t>Greater lizardfish</t>
  </si>
  <si>
    <t>saurida tumbil</t>
  </si>
  <si>
    <t>Penaeus merguiensis</t>
  </si>
  <si>
    <t>Banana prawn</t>
  </si>
  <si>
    <t>penaeus merguiensis</t>
  </si>
  <si>
    <t>Appendix A1.1 lists this genus directly under "shrimps".</t>
  </si>
  <si>
    <t>Priacanthus</t>
  </si>
  <si>
    <t>Bigeyes</t>
  </si>
  <si>
    <t>priacanthus</t>
  </si>
  <si>
    <t>Odontamblyopus rubicundus</t>
  </si>
  <si>
    <t>Rubicundus eelgoby</t>
  </si>
  <si>
    <t>odontamblyopus rubicundus</t>
  </si>
  <si>
    <t>Not named in the paper. Amblyopinae goby (mud-burrowing eel-goby); family Gobiidae is placed under the ambiguous "S inv, M pisc" label in Appendix A1.1, and its small, benthic, largely invertivorous habit is best matched to the small-invertivore side, SM inv, rather than a piscivore guild.</t>
  </si>
  <si>
    <t>Trichiurus</t>
  </si>
  <si>
    <t>Hairtails</t>
  </si>
  <si>
    <t>trichiurus</t>
  </si>
  <si>
    <t>Batoidea</t>
  </si>
  <si>
    <t>Batoids, skates, rays, sawfishes</t>
  </si>
  <si>
    <t>Large rays (&gt;=90 cm)</t>
  </si>
  <si>
    <t>batoidea</t>
  </si>
  <si>
    <t>Superorder-level aggregate (all rays/skates); Appendix A1.1 places this exact catch-name row under the dual, undecided label "oceanic, coastal sharks", even though named ray genera (Himantura, Dasyatis, Myliobatidae) resolve cleanly to Coastal elasmobranch elsewhere in the same appendix — the aggregate-level row itself is left unresolved by the source.</t>
  </si>
  <si>
    <t>Lethrinidae</t>
  </si>
  <si>
    <t>Emperors, scavengers</t>
  </si>
  <si>
    <t>lethrinidae</t>
  </si>
  <si>
    <t>Leiognathus</t>
  </si>
  <si>
    <t>Ponyfishes</t>
  </si>
  <si>
    <t>leiognathus</t>
  </si>
  <si>
    <t>Alepes</t>
  </si>
  <si>
    <t>Crevalles</t>
  </si>
  <si>
    <t>alepes</t>
  </si>
  <si>
    <t>Pomadasys</t>
  </si>
  <si>
    <t>Grunters</t>
  </si>
  <si>
    <t>pomadasys</t>
  </si>
  <si>
    <t>Pterotolithus maculatus</t>
  </si>
  <si>
    <t>Blotched tiger-toothed croaker</t>
  </si>
  <si>
    <t>pterotolithus maculatus</t>
  </si>
  <si>
    <t>Sciaenidae (croaker); the family Sciaenidae is placed in L pisc comm by Appendix A1.1 and multiple sciaenid genera (Pennahia, Otolithoides) are confirmed there too — unambiguous family-level containment.</t>
  </si>
  <si>
    <t>Cephea</t>
  </si>
  <si>
    <t>Cepheid jellyfishes</t>
  </si>
  <si>
    <t>Jellyfish</t>
  </si>
  <si>
    <t>cephea</t>
  </si>
  <si>
    <t>Appendix A1.1 lists this exact catch name directly under "jellyfish".</t>
  </si>
  <si>
    <t>Tegillarca granosa</t>
  </si>
  <si>
    <t>Granular ark</t>
  </si>
  <si>
    <t>tegillarca granosa</t>
  </si>
  <si>
    <t>Portunus pelagicus</t>
  </si>
  <si>
    <t>Blue swimming crab</t>
  </si>
  <si>
    <t>portunus pelagicus</t>
  </si>
  <si>
    <t>Pampus</t>
  </si>
  <si>
    <t>Silver pomfrets</t>
  </si>
  <si>
    <t>pampus</t>
  </si>
  <si>
    <t>Platycephalidae</t>
  </si>
  <si>
    <t>Flatheads</t>
  </si>
  <si>
    <t>Scorpionfishes</t>
  </si>
  <si>
    <t>platycephalidae</t>
  </si>
  <si>
    <t>Auxis thazard</t>
  </si>
  <si>
    <t>Frigate tuna</t>
  </si>
  <si>
    <t>auxis thazard</t>
  </si>
  <si>
    <t>Trichiurus lepturus</t>
  </si>
  <si>
    <t>Largehead hairtail</t>
  </si>
  <si>
    <t>trichiurus lepturus</t>
  </si>
  <si>
    <t>Sardinella lemuru</t>
  </si>
  <si>
    <t>Bali sardinella</t>
  </si>
  <si>
    <t>sardinella lemuru</t>
  </si>
  <si>
    <t>Sphyraenidae</t>
  </si>
  <si>
    <t>Barracudas</t>
  </si>
  <si>
    <t>sphyraenidae</t>
  </si>
  <si>
    <t>Upeneus</t>
  </si>
  <si>
    <t>Upeneid goatfishes</t>
  </si>
  <si>
    <t>upeneus</t>
  </si>
  <si>
    <t>Setipinna taty</t>
  </si>
  <si>
    <t>Scaly hairfin anchovy</t>
  </si>
  <si>
    <t>setipinna taty</t>
  </si>
  <si>
    <t>Exact species named in Appendix A1.3's Small pelagics species list.</t>
  </si>
  <si>
    <t>Setipinna phasa</t>
  </si>
  <si>
    <t>Gangetic hairfin anchovy</t>
  </si>
  <si>
    <t>setipinna phasa</t>
  </si>
  <si>
    <t>Genus-level containment: congener Setipinna taty is named in Appendix A1.3's Small pelagics list, and Engraulidae (the family) is placed in S pelagics by Appendix A1.1.</t>
  </si>
  <si>
    <t>Netuma thalassina</t>
  </si>
  <si>
    <t>Giant catfish</t>
  </si>
  <si>
    <t>netuma thalassina</t>
  </si>
  <si>
    <t>Appendix A1.1 lists this exact catch name directly under "Milkfish plus".</t>
  </si>
  <si>
    <t>Lutjanus</t>
  </si>
  <si>
    <t>lutjanus</t>
  </si>
  <si>
    <t>Lactarius lactarius</t>
  </si>
  <si>
    <t>False trevally</t>
  </si>
  <si>
    <t>lactarius lactarius</t>
  </si>
  <si>
    <t>Auxis</t>
  </si>
  <si>
    <t>Bullet and frigate tunas</t>
  </si>
  <si>
    <t>auxis</t>
  </si>
  <si>
    <t>Leptomelanosoma indicum</t>
  </si>
  <si>
    <t>Indian threadfin</t>
  </si>
  <si>
    <t>leptomelanosoma indicum</t>
  </si>
  <si>
    <t>Exact species named in Appendix A1.3's L pisc species list.</t>
  </si>
  <si>
    <t>Soleidae</t>
  </si>
  <si>
    <t>Soles</t>
  </si>
  <si>
    <t>Small to medium flatfishes (&lt;90 cm)</t>
  </si>
  <si>
    <t>Flatfishes</t>
  </si>
  <si>
    <t>soleidae</t>
  </si>
  <si>
    <t>Sole family; Appendix A1.1 marks this exact catch-name row "Sinv, M pisc" (ambiguous between small-invertivore and medium-piscivore guilds). Small demersal soft-bottom flatfish are ecologically closer to the small-invertivore guild than to a piscivore guild, matching how the related tonguesole genus Cynoglossus is placed (SM coast inv, i.e. SM inv) elsewhere in the same appendix.</t>
  </si>
  <si>
    <t>Sillaginidae</t>
  </si>
  <si>
    <t>Smelt-whitings</t>
  </si>
  <si>
    <t>sillaginidae</t>
  </si>
  <si>
    <t>Lates calcarifer</t>
  </si>
  <si>
    <t>Barramundi</t>
  </si>
  <si>
    <t>lates calcarifer</t>
  </si>
  <si>
    <t>Thunnus obesus</t>
  </si>
  <si>
    <t>Bigeye tuna</t>
  </si>
  <si>
    <t>thunnus obesus</t>
  </si>
  <si>
    <t>Appendix A1.1 lists this exact catch name directly under "Bigeye tuna".</t>
  </si>
  <si>
    <t>Pampus chinensis</t>
  </si>
  <si>
    <t>Chinese silver pomfret</t>
  </si>
  <si>
    <t>pampus chinensis</t>
  </si>
  <si>
    <t>Penaeus latisulcatus</t>
  </si>
  <si>
    <t>Western king prawn</t>
  </si>
  <si>
    <t>penaeus latisulcatus</t>
  </si>
  <si>
    <t>Monacanthidae</t>
  </si>
  <si>
    <t>Filefishes</t>
  </si>
  <si>
    <t>monacanthidae</t>
  </si>
  <si>
    <t>Cynoglossus cynoglossus</t>
  </si>
  <si>
    <t>Bengal tongue sole</t>
  </si>
  <si>
    <t>cynoglossus cynoglossus</t>
  </si>
  <si>
    <t>Appendix A1.1 lists this genus directly under "SM coast inv".</t>
  </si>
  <si>
    <t>Miscellaneous aquatic invertebrates</t>
  </si>
  <si>
    <t>Aquatic invertebrates</t>
  </si>
  <si>
    <t>miscellaneous aquatic invertebrates</t>
  </si>
  <si>
    <t>Lepturacanthus savala</t>
  </si>
  <si>
    <t>Savalai hairtail</t>
  </si>
  <si>
    <t>lepturacanthus savala</t>
  </si>
  <si>
    <t>Marine pelagic fishes not identified</t>
  </si>
  <si>
    <t>Pelagic fishes</t>
  </si>
  <si>
    <t>marine pelagic fishes not identified</t>
  </si>
  <si>
    <t>Sea Around Us 'nei' aggregate; Appendix A1.1 maps the near-identical "Marine pelagic fishes nei" label to "Miscellaneous fishes", which per source prose (p.9) is split proportionally across multiple functional groups of the same region rather than assigned to one — no single group is defensible.</t>
  </si>
  <si>
    <t>Upeneus vittatus</t>
  </si>
  <si>
    <t>Yellowstriped goatfish</t>
  </si>
  <si>
    <t>upeneus vittatus</t>
  </si>
  <si>
    <t>Coilia dussumieri</t>
  </si>
  <si>
    <t>Goldspotted grenadier anchovy</t>
  </si>
  <si>
    <t>coilia dussumieri</t>
  </si>
  <si>
    <t>Mollusca</t>
  </si>
  <si>
    <t>Clams, seasnails, squids, octopuses</t>
  </si>
  <si>
    <t>mollusca</t>
  </si>
  <si>
    <t>Broad residual mollusc catch category (common name "Clams, seasnails, squids, octopuses"). Cephalopods (squid/octopus) already have their own dedicated, separately-reported categories in this workbook, so the bulk of an unspecified 'Mollusca' catch is most plausibly shelled/benthic molluscs (bivalves, gastropods), which Appendix A1.1 places in macrobenthos; treated as ecological inference rather than an explicit match because some cephalopod content cannot be excluded.</t>
  </si>
  <si>
    <t>Himantura</t>
  </si>
  <si>
    <t>Whiprays</t>
  </si>
  <si>
    <t>himantura</t>
  </si>
  <si>
    <t>Coastal elasmobranch</t>
  </si>
  <si>
    <t>Appendix A1.1 lists this exact catch name directly under "coastal elasmobranch".</t>
  </si>
  <si>
    <t>Thunnus tonggol</t>
  </si>
  <si>
    <t>Longtail tuna</t>
  </si>
  <si>
    <t>thunnus tonggol</t>
  </si>
  <si>
    <t>Cephalopholis boenak</t>
  </si>
  <si>
    <t>Chocolate hind</t>
  </si>
  <si>
    <t>cephalopholis boenak</t>
  </si>
  <si>
    <t>Octopus</t>
  </si>
  <si>
    <t>Octopuses, pikas</t>
  </si>
  <si>
    <t>octopus</t>
  </si>
  <si>
    <t>Prionace glauca</t>
  </si>
  <si>
    <t>Blue shark</t>
  </si>
  <si>
    <t>prionace glauca</t>
  </si>
  <si>
    <t>Oceanic sharks</t>
  </si>
  <si>
    <t>Appendix A1.1 lists this exact catch name directly under "oceanic sharks".</t>
  </si>
  <si>
    <t>Cynoglossus</t>
  </si>
  <si>
    <t>Tonguesoles</t>
  </si>
  <si>
    <t>cynoglossus</t>
  </si>
  <si>
    <t>Appendix A1.1 lists this exact catch name directly under "SM coast inv".</t>
  </si>
  <si>
    <t>Terapon</t>
  </si>
  <si>
    <t>Terapons</t>
  </si>
  <si>
    <t>terapon</t>
  </si>
  <si>
    <t>Carcharhinus</t>
  </si>
  <si>
    <t>Sharp-nosed sharks</t>
  </si>
  <si>
    <t>carcharhinus</t>
  </si>
  <si>
    <t>Bare-genus Sea Around Us aggregate (distinct from the seven individually named Carcharhinus species elsewhere in this workbook, which resolve cleanly). Appendix A1.1 lists this exact row twice, once under Coastal elasmobranch (footnoted as Andaman-database-derived) and once under the dual "oceanic, coastal sharks" label — the source itself carries two conflicting placements for the unspecified-species catch.</t>
  </si>
  <si>
    <t>Psettodidae</t>
  </si>
  <si>
    <t>Turbots, Indian halibuts</t>
  </si>
  <si>
    <t>psettodidae</t>
  </si>
  <si>
    <t>Anodontostoma chacunda</t>
  </si>
  <si>
    <t>Chacunda gizzard shad</t>
  </si>
  <si>
    <t>anodontostoma chacunda</t>
  </si>
  <si>
    <t>Scylla serrata</t>
  </si>
  <si>
    <t>Indo-Pacific swamp crab</t>
  </si>
  <si>
    <t>scylla serrata</t>
  </si>
  <si>
    <t>Portunid mud/mangrove crab; family Portunidae and superfamily Brachyura are both placed under Crabs by Appendix A1.1, merged into the single Crustaceans group.</t>
  </si>
  <si>
    <t>Stromateidae</t>
  </si>
  <si>
    <t>Butterfishes</t>
  </si>
  <si>
    <t>stromateidae</t>
  </si>
  <si>
    <t>Penaeus</t>
  </si>
  <si>
    <t>Tiger prawns</t>
  </si>
  <si>
    <t>penaeus</t>
  </si>
  <si>
    <t>Istiophoridae</t>
  </si>
  <si>
    <t>Billfishes</t>
  </si>
  <si>
    <t>istiophoridae</t>
  </si>
  <si>
    <t>Chirocentrus dorab</t>
  </si>
  <si>
    <t>Dorab wolf-herring</t>
  </si>
  <si>
    <t>chirocentrus dorab</t>
  </si>
  <si>
    <t>Plotosidae</t>
  </si>
  <si>
    <t>Eeltail catfishes</t>
  </si>
  <si>
    <t>plotosidae</t>
  </si>
  <si>
    <t>Xiphias gladius</t>
  </si>
  <si>
    <t>Swordfish</t>
  </si>
  <si>
    <t>xiphias gladius</t>
  </si>
  <si>
    <t>Tetraodontidae</t>
  </si>
  <si>
    <t>Puffers, tobies</t>
  </si>
  <si>
    <t>Large reef assoc. fish (&gt;=90 cm)</t>
  </si>
  <si>
    <t>tetraodontidae</t>
  </si>
  <si>
    <t>Pufferfish family; Appendix A1.3's Milkfish plus species list explicitly names the tetraodontid genus/species "Arothron stellatus".</t>
  </si>
  <si>
    <t>Thunnus</t>
  </si>
  <si>
    <t>Tunas</t>
  </si>
  <si>
    <t>thunnus</t>
  </si>
  <si>
    <t>Penaeus semisulcatus</t>
  </si>
  <si>
    <t>Green tiger prawn</t>
  </si>
  <si>
    <t>penaeus semisulcatus</t>
  </si>
  <si>
    <t>Hemiramphus</t>
  </si>
  <si>
    <t>Halfbeaks</t>
  </si>
  <si>
    <t>hemiramphus</t>
  </si>
  <si>
    <t>Nemipterus hexodon</t>
  </si>
  <si>
    <t>Ornate threadfin bream</t>
  </si>
  <si>
    <t>nemipterus hexodon</t>
  </si>
  <si>
    <t>Appendix A1.1 lists this genus directly under "SM pisc".</t>
  </si>
  <si>
    <t>Dussumieria</t>
  </si>
  <si>
    <t>Rainbow sardines</t>
  </si>
  <si>
    <t>dussumieria</t>
  </si>
  <si>
    <t>Penaeus monodon</t>
  </si>
  <si>
    <t>Giant tiger prawn</t>
  </si>
  <si>
    <t>penaeus monodon</t>
  </si>
  <si>
    <t>Epinephelus</t>
  </si>
  <si>
    <t>Seabasses, hinds</t>
  </si>
  <si>
    <t>epinephelus</t>
  </si>
  <si>
    <t>Escualosa thoracata</t>
  </si>
  <si>
    <t>White sardine</t>
  </si>
  <si>
    <t>escualosa thoracata</t>
  </si>
  <si>
    <t>Psettodes erumei</t>
  </si>
  <si>
    <t>Indian halibut</t>
  </si>
  <si>
    <t>psettodes erumei</t>
  </si>
  <si>
    <t>Parapenaeopsis stylifera</t>
  </si>
  <si>
    <t>Kiddi shrimp</t>
  </si>
  <si>
    <t>parapenaeopsis stylifera</t>
  </si>
  <si>
    <t>Metapenaeus tenuipes</t>
  </si>
  <si>
    <t>Stork shrimp</t>
  </si>
  <si>
    <t>metapenaeus tenuipes</t>
  </si>
  <si>
    <t>Haemulidae</t>
  </si>
  <si>
    <t>Grunts, sweetlips, bonnetmouths</t>
  </si>
  <si>
    <t>haemulidae</t>
  </si>
  <si>
    <t>Chondrichthyes</t>
  </si>
  <si>
    <t>Sharks, rays, chimaeras</t>
  </si>
  <si>
    <t>chondrichthyes</t>
  </si>
  <si>
    <t>Class-level aggregate spanning both dedicated shark/ray groups; Appendix A1.1 itself lists equivalent class/order-level entries (Elasmobranchii, Selachimorpha, Batoidea) under the dual, undecided label "oceanic, coastal sharks", so no single group can be defended for this row either.</t>
  </si>
  <si>
    <t>Terapon jarbua</t>
  </si>
  <si>
    <t>Jarbua terapon</t>
  </si>
  <si>
    <t>terapon jarbua</t>
  </si>
  <si>
    <t>Amblygaster sirm</t>
  </si>
  <si>
    <t>Spotted sardinella</t>
  </si>
  <si>
    <t>amblygaster sirm</t>
  </si>
  <si>
    <t>Sardinella gibbosa</t>
  </si>
  <si>
    <t>Goldstripe sardinella</t>
  </si>
  <si>
    <t>sardinella gibbosa</t>
  </si>
  <si>
    <t>Penaeus indicus</t>
  </si>
  <si>
    <t>Indian white prawn</t>
  </si>
  <si>
    <t>penaeus indicus</t>
  </si>
  <si>
    <t>Caranx</t>
  </si>
  <si>
    <t>Jacks</t>
  </si>
  <si>
    <t>caranx</t>
  </si>
  <si>
    <t>Nemipterus japonicus</t>
  </si>
  <si>
    <t>Japanese threadfin bream</t>
  </si>
  <si>
    <t>nemipterus japonicus</t>
  </si>
  <si>
    <t>Gudusia chapra</t>
  </si>
  <si>
    <t>Indian river shad</t>
  </si>
  <si>
    <t>gudusia chapra</t>
  </si>
  <si>
    <t>Exact species named in Appendix A1.3's Hilsa species list.</t>
  </si>
  <si>
    <t>Scombroidei</t>
  </si>
  <si>
    <t>Tunas, bonitos, billfishes</t>
  </si>
  <si>
    <t>scombroidei</t>
  </si>
  <si>
    <t>Suborder-level aggregate spanning three dedicated groups (Tuna-like, Coastal scombrids, 2-3 Indian mackerel); Appendix A1.1 marks the related "Thunnini" label "tuna-like, scombrids" with a footnote restricting it to the tuna database only, confirming the source itself treats this level as mixed and undecidable from the catch label alone.</t>
  </si>
  <si>
    <t>Caesio</t>
  </si>
  <si>
    <t>Caesios</t>
  </si>
  <si>
    <t>caesio</t>
  </si>
  <si>
    <t>Gobiidae</t>
  </si>
  <si>
    <t>Gobies</t>
  </si>
  <si>
    <t>gobiidae</t>
  </si>
  <si>
    <t>Goby family; Appendix A1.1 marks this exact catch-name row "S inv, M pisc" (ambiguous between small-invertivore and medium-piscivore guilds). Gobies in this LME are predominantly small benthic invertivores, so the small-invertivore side, SM inv, is the best-supported of the two options.</t>
  </si>
  <si>
    <t>Ilisha elongata</t>
  </si>
  <si>
    <t>Elongate ilisha</t>
  </si>
  <si>
    <t>ilisha elongata</t>
  </si>
  <si>
    <t>Mytilidae</t>
  </si>
  <si>
    <t>Sea mussels</t>
  </si>
  <si>
    <t>mytilidae</t>
  </si>
  <si>
    <t>Mussel family; congener/analog Perna viridis (a mytilid) is explicitly placed in macrobenthos by Appendix A1.1, and Bivalvia generally maps there — family-level ecological/taxonomic inference rather than an explicit family-level source listing.</t>
  </si>
  <si>
    <t>Metapenaeus brevicornis</t>
  </si>
  <si>
    <t>Yellow shrimp</t>
  </si>
  <si>
    <t>metapenaeus brevicornis</t>
  </si>
  <si>
    <t>Muraenesox</t>
  </si>
  <si>
    <t>Congers</t>
  </si>
  <si>
    <t>muraenesox</t>
  </si>
  <si>
    <t>Bothidae</t>
  </si>
  <si>
    <t>Lefteye flounders</t>
  </si>
  <si>
    <t>bothidae</t>
  </si>
  <si>
    <t>Octopodidae</t>
  </si>
  <si>
    <t>Octopuses</t>
  </si>
  <si>
    <t>octopodidae</t>
  </si>
  <si>
    <t>Coryphaena</t>
  </si>
  <si>
    <t>Dolphinfishes</t>
  </si>
  <si>
    <t>coryphaena</t>
  </si>
  <si>
    <t>Polynemus paradiseus</t>
  </si>
  <si>
    <t>Paradise threadfin</t>
  </si>
  <si>
    <t>polynemus paradiseus</t>
  </si>
  <si>
    <t>Appendix A1.1 lists this genus directly under "L pisc".</t>
  </si>
  <si>
    <t>Scolopsis</t>
  </si>
  <si>
    <t>Monocle breams</t>
  </si>
  <si>
    <t>scolopsis</t>
  </si>
  <si>
    <t>Palinuridae</t>
  </si>
  <si>
    <t>Spiny lobsters</t>
  </si>
  <si>
    <t>palinuridae</t>
  </si>
  <si>
    <t>Coryphaena hippurus</t>
  </si>
  <si>
    <t>Common dolphinfish</t>
  </si>
  <si>
    <t>coryphaena hippurus</t>
  </si>
  <si>
    <t>Plotosus</t>
  </si>
  <si>
    <t>Eel catfishes</t>
  </si>
  <si>
    <t>plotosus</t>
  </si>
  <si>
    <t>Sillago</t>
  </si>
  <si>
    <t>sillago</t>
  </si>
  <si>
    <t>Myliobatidae</t>
  </si>
  <si>
    <t>Eagle/manta rays</t>
  </si>
  <si>
    <t>myliobatidae</t>
  </si>
  <si>
    <t>Mugil</t>
  </si>
  <si>
    <t>Grey mullets</t>
  </si>
  <si>
    <t>mugil</t>
  </si>
  <si>
    <t>Anchoviella</t>
  </si>
  <si>
    <t>anchoviella</t>
  </si>
  <si>
    <t>Deveximentum insidiator</t>
  </si>
  <si>
    <t>Pugnose ponyfish</t>
  </si>
  <si>
    <t>deveximentum insidiator</t>
  </si>
  <si>
    <t>Junior synonym of Secutor insidiator, which is named explicitly in Appendix A1.3's SM inv species list.</t>
  </si>
  <si>
    <t>Siganus</t>
  </si>
  <si>
    <t>Spinefoots</t>
  </si>
  <si>
    <t>siganus</t>
  </si>
  <si>
    <t>Holothuroidea</t>
  </si>
  <si>
    <t>Sea cucumbers</t>
  </si>
  <si>
    <t>holothuroidea</t>
  </si>
  <si>
    <t>Ganjampenaeopsis uncta</t>
  </si>
  <si>
    <t>Uncta shrimp</t>
  </si>
  <si>
    <t>ganjampenaeopsis uncta</t>
  </si>
  <si>
    <t>Penaeid shrimp genus (Penaeidae); family Penaeidae and multiple penaeid genera are placed under shrimps by Appendix A1.1, merged into Crustaceans.</t>
  </si>
  <si>
    <t>Caesio cuning</t>
  </si>
  <si>
    <t>Redbelly yellowtail fusilier</t>
  </si>
  <si>
    <t>caesio cuning</t>
  </si>
  <si>
    <t>Appendix A1.1 lists this genus directly under "SM inv".</t>
  </si>
  <si>
    <t>Sparidae</t>
  </si>
  <si>
    <t>Porgies, seabreams</t>
  </si>
  <si>
    <t>sparidae</t>
  </si>
  <si>
    <t>Isurus</t>
  </si>
  <si>
    <t>Mako sharks</t>
  </si>
  <si>
    <t>isurus</t>
  </si>
  <si>
    <t>Elagatis bipinnulata</t>
  </si>
  <si>
    <t>Rainbow runner</t>
  </si>
  <si>
    <t>elagatis bipinnulata</t>
  </si>
  <si>
    <t>Malacostraca</t>
  </si>
  <si>
    <t>Lobsters, crabs, shrimps, krill</t>
  </si>
  <si>
    <t>malacostraca</t>
  </si>
  <si>
    <t>Class covering shrimps, crabs, lobsters and krill — exactly the scope the model's single Crustaceans group is built to hold (Appendix A1.1 merges shrimps + Crabs into this one group per region); no Malacostraca subgroup is modeled separately.</t>
  </si>
  <si>
    <t>Pristipomoides</t>
  </si>
  <si>
    <t>Jobfishes</t>
  </si>
  <si>
    <t>pristipomoides</t>
  </si>
  <si>
    <t>Caranx sexfasciatus</t>
  </si>
  <si>
    <t>Bigeye trevally</t>
  </si>
  <si>
    <t>caranx sexfasciatus</t>
  </si>
  <si>
    <t>Acanthuridae</t>
  </si>
  <si>
    <t>Surgeons, tangs, unicornfishes</t>
  </si>
  <si>
    <t>acanthuridae</t>
  </si>
  <si>
    <t>Lethrinus nebulosus</t>
  </si>
  <si>
    <t>Spangled emperor</t>
  </si>
  <si>
    <t>lethrinus nebulosus</t>
  </si>
  <si>
    <t>Caranx ignobilis</t>
  </si>
  <si>
    <t>Giant trevally</t>
  </si>
  <si>
    <t>caranx ignobilis</t>
  </si>
  <si>
    <t>Caranx melampygus</t>
  </si>
  <si>
    <t>Bluefin trevally</t>
  </si>
  <si>
    <t>caranx melampygus</t>
  </si>
  <si>
    <t>Gastropoda</t>
  </si>
  <si>
    <t>Sea snails</t>
  </si>
  <si>
    <t>gastropoda</t>
  </si>
  <si>
    <t>Scorpaenidae</t>
  </si>
  <si>
    <t>Scorpionfishes, rockfishes</t>
  </si>
  <si>
    <t>scorpaenidae</t>
  </si>
  <si>
    <t>Scorpionfish family; Appendix A1.3's SM pisc species list explicitly names scorpaenid genera/species (Pterois miles, Pterois russelii, Pterois volitans, Scorpaenopsis diabolus, Scorpaenopsis oxycephala).</t>
  </si>
  <si>
    <t>Scomberoides</t>
  </si>
  <si>
    <t>Queenfishes</t>
  </si>
  <si>
    <t>scomberoides</t>
  </si>
  <si>
    <t>Lutjanus johnii</t>
  </si>
  <si>
    <t>John's snapper</t>
  </si>
  <si>
    <t>lutjanus johnii</t>
  </si>
  <si>
    <t>Mierspenaeopsis sculptilis</t>
  </si>
  <si>
    <t>Rainbow shrimp</t>
  </si>
  <si>
    <t>mierspenaeopsis sculptilis</t>
  </si>
  <si>
    <t>Penaeid shrimp genus; congener Parapenaeopsis sculptilis (same species, alternate genus placement) is named directly in Appendix A1.1 under shrimps, merged into Crustaceans.</t>
  </si>
  <si>
    <t>Sepioteuthis lessoniana</t>
  </si>
  <si>
    <t>Bigfin reef squid</t>
  </si>
  <si>
    <t>sepioteuthis lessoniana</t>
  </si>
  <si>
    <t>Metapenaeus monoceros</t>
  </si>
  <si>
    <t>Speckled shrimp</t>
  </si>
  <si>
    <t>metapenaeus monoceros</t>
  </si>
  <si>
    <t>Gerreidae</t>
  </si>
  <si>
    <t>Mojarras, silverbellies</t>
  </si>
  <si>
    <t>gerreidae</t>
  </si>
  <si>
    <t>Dasyatidae</t>
  </si>
  <si>
    <t>Whiptail stingrays</t>
  </si>
  <si>
    <t>dasyatidae</t>
  </si>
  <si>
    <t>Family-level aggregate (all whiptail stingrays); Appendix A1.1 places this exact catch-name row under the dual, undecided label "oceanic, coastal sharks", even though the genus Dasyatis itself resolves cleanly to Coastal elasmobranch elsewhere in the same appendix.</t>
  </si>
  <si>
    <t>Holocentridae</t>
  </si>
  <si>
    <t>Squirrel-, soldierfishes</t>
  </si>
  <si>
    <t>holocentridae</t>
  </si>
  <si>
    <t>Seriolina nigrofasciata</t>
  </si>
  <si>
    <t>Blackbanded trevally</t>
  </si>
  <si>
    <t>seriolina nigrofasciata</t>
  </si>
  <si>
    <t>Istiophorus platypterus</t>
  </si>
  <si>
    <t>Indo-Pacific sailfish</t>
  </si>
  <si>
    <t>istiophorus platypterus</t>
  </si>
  <si>
    <t>Auxis rochei</t>
  </si>
  <si>
    <t>Bullet tuna</t>
  </si>
  <si>
    <t>auxis rochei</t>
  </si>
  <si>
    <t>Istiompax indica</t>
  </si>
  <si>
    <t>Black marlin</t>
  </si>
  <si>
    <t>istiompax indica</t>
  </si>
  <si>
    <t>Balistidae</t>
  </si>
  <si>
    <t>Triggerfishes</t>
  </si>
  <si>
    <t>balistidae</t>
  </si>
  <si>
    <t>Triggerfish family, not named in the paper. Closest documented analog is the related family Monacanthidae (filefish, same suborder Balistoidei), which Appendix A1.1 places in SM inv; used as an ecological/taxonomic analog, not an explicit match.</t>
  </si>
  <si>
    <t>Thunnus alalunga</t>
  </si>
  <si>
    <t>Albacore</t>
  </si>
  <si>
    <t>thunnus alalunga</t>
  </si>
  <si>
    <t>Penaeus japonicus</t>
  </si>
  <si>
    <t>Kuruma prawn</t>
  </si>
  <si>
    <t>penaeus japonicus</t>
  </si>
  <si>
    <t>Carcharhinus falciformis</t>
  </si>
  <si>
    <t>Silky shark</t>
  </si>
  <si>
    <t>carcharhinus falciformis</t>
  </si>
  <si>
    <t>Panulirus longipes</t>
  </si>
  <si>
    <t>Longlegged spiny lobster</t>
  </si>
  <si>
    <t>panulirus longipes</t>
  </si>
  <si>
    <t>Panulirus homarus</t>
  </si>
  <si>
    <t>Scalloped spiny lobster</t>
  </si>
  <si>
    <t>panulirus homarus</t>
  </si>
  <si>
    <t>Portunus</t>
  </si>
  <si>
    <t>Swimmer crabs</t>
  </si>
  <si>
    <t>portunus</t>
  </si>
  <si>
    <t>Gerres</t>
  </si>
  <si>
    <t>Silver biddies</t>
  </si>
  <si>
    <t>gerres</t>
  </si>
  <si>
    <t>Muraenesox cinereus</t>
  </si>
  <si>
    <t>Daggertooth pike conger</t>
  </si>
  <si>
    <t>muraenesox cinereus</t>
  </si>
  <si>
    <t>Alopias</t>
  </si>
  <si>
    <t>Thresher sharks</t>
  </si>
  <si>
    <t>alopias</t>
  </si>
  <si>
    <t>Appendix A1.1 lists this exact catch name directly under "Oceanic shark".</t>
  </si>
  <si>
    <t>Siganus canaliculatus</t>
  </si>
  <si>
    <t>White-spotted spinefoot</t>
  </si>
  <si>
    <t>siganus canaliculatus</t>
  </si>
  <si>
    <t>Chirocentrus nudus</t>
  </si>
  <si>
    <t>Whitefin wolf-herring</t>
  </si>
  <si>
    <t>chirocentrus nudus</t>
  </si>
  <si>
    <t>Platycephalus indicus</t>
  </si>
  <si>
    <t>Bartail flathead</t>
  </si>
  <si>
    <t>platycephalus indicus</t>
  </si>
  <si>
    <t>Carcharhinidae</t>
  </si>
  <si>
    <t>Requiem sharks</t>
  </si>
  <si>
    <t>carcharhinidae</t>
  </si>
  <si>
    <t>Family-level aggregate (requiem sharks); Appendix A1.1 places this exact catch-name row under the dual, undecided label "oceanic, coastal sharks", while individually named Carcharhinidae species elsewhere in the same appendix split between Oceanic sharks and Coastal elasmobranch depending on species — the family-level row itself is left unresolved.</t>
  </si>
  <si>
    <t>Dussumieria elopsoides</t>
  </si>
  <si>
    <t>Slender rainbow sardine</t>
  </si>
  <si>
    <t>dussumieria elopsoides</t>
  </si>
  <si>
    <t>Acanthocybium solandri</t>
  </si>
  <si>
    <t>Wahoo</t>
  </si>
  <si>
    <t>acanthocybium solandri</t>
  </si>
  <si>
    <t>Carangoides</t>
  </si>
  <si>
    <t>Trevallies</t>
  </si>
  <si>
    <t>carangoides</t>
  </si>
  <si>
    <t>Drepane</t>
  </si>
  <si>
    <t>Sicklefishes</t>
  </si>
  <si>
    <t>drepane</t>
  </si>
  <si>
    <t>Eleutheronema tetradactylum</t>
  </si>
  <si>
    <t>Fourfinger threadfin</t>
  </si>
  <si>
    <t>eleutheronema tetradactylum</t>
  </si>
  <si>
    <t>Panulirus</t>
  </si>
  <si>
    <t>panulirus</t>
  </si>
  <si>
    <t>Octopoda</t>
  </si>
  <si>
    <t>Octopuses, argonauts</t>
  </si>
  <si>
    <t>octopoda</t>
  </si>
  <si>
    <t>Rachycentron canadum</t>
  </si>
  <si>
    <t>Cobia</t>
  </si>
  <si>
    <t>rachycentron canadum</t>
  </si>
  <si>
    <t>Gazza minuta</t>
  </si>
  <si>
    <t>Toothpony</t>
  </si>
  <si>
    <t>gazza minuta</t>
  </si>
  <si>
    <t>Sardinella fimbriata</t>
  </si>
  <si>
    <t>Fringescale sardinella</t>
  </si>
  <si>
    <t>sardinella fimbriata</t>
  </si>
  <si>
    <t>Placuna placenta</t>
  </si>
  <si>
    <t>Windowpane oyster</t>
  </si>
  <si>
    <t>placuna placenta</t>
  </si>
  <si>
    <t>Bivalve (windowpane oyster); class Bivalvia is placed in macrobenthos by Appendix A1.1 — unambiguous taxonomic containment.</t>
  </si>
  <si>
    <t>Stichopus</t>
  </si>
  <si>
    <t>Boxed sea cucumbers</t>
  </si>
  <si>
    <t>stichopus</t>
  </si>
  <si>
    <t>Arcidae</t>
  </si>
  <si>
    <t>Ark clams</t>
  </si>
  <si>
    <t>arcidae</t>
  </si>
  <si>
    <t>Acanthurus</t>
  </si>
  <si>
    <t>Surgeonfishes</t>
  </si>
  <si>
    <t>acanthurus</t>
  </si>
  <si>
    <t>Latidae</t>
  </si>
  <si>
    <t>Lates perches</t>
  </si>
  <si>
    <t>latidae</t>
  </si>
  <si>
    <t>Pellona ditchela</t>
  </si>
  <si>
    <t>Indian pellona</t>
  </si>
  <si>
    <t>pellona ditchela</t>
  </si>
  <si>
    <t>Lethrinus</t>
  </si>
  <si>
    <t>Emperors</t>
  </si>
  <si>
    <t>lethrinus</t>
  </si>
  <si>
    <t>Lutjanus quinquelineatus</t>
  </si>
  <si>
    <t>Five-lined snapper</t>
  </si>
  <si>
    <t>lutjanus quinquelineatus</t>
  </si>
  <si>
    <t>Appendix A1.1 lists this genus directly under "L pisc comm".</t>
  </si>
  <si>
    <t>Scatophagus</t>
  </si>
  <si>
    <t>Scats</t>
  </si>
  <si>
    <t>scatophagus</t>
  </si>
  <si>
    <t>Genus-level containment: the only named species, Scatophagus argus, is placed in SM inv by Appendix A1.1.</t>
  </si>
  <si>
    <t>Sphyrna</t>
  </si>
  <si>
    <t>Hammerhead sharks</t>
  </si>
  <si>
    <t>sphyrna</t>
  </si>
  <si>
    <t>Mierspenaeopsis hardwickii</t>
  </si>
  <si>
    <t>Spear shrimp</t>
  </si>
  <si>
    <t>mierspenaeopsis hardwickii</t>
  </si>
  <si>
    <t>Penaeid shrimp genus; congener Parapenaeopsis hardwickii (same species, alternate genus placement) is named directly in Appendix A1.1 under shrimps, merged into Crustaceans.</t>
  </si>
  <si>
    <t>Hyporhamphus</t>
  </si>
  <si>
    <t>Sea garfishes</t>
  </si>
  <si>
    <t>hyporhamphus</t>
  </si>
  <si>
    <t>Sphyrnidae</t>
  </si>
  <si>
    <t>Hammer, bonnet, scoophead sharks</t>
  </si>
  <si>
    <t>sphyrnidae</t>
  </si>
  <si>
    <t>Panulirus penicillatus</t>
  </si>
  <si>
    <t>Pronghorn spiny lobster</t>
  </si>
  <si>
    <t>panulirus penicillatus</t>
  </si>
  <si>
    <t>Kajikia audax</t>
  </si>
  <si>
    <t>Striped marlin</t>
  </si>
  <si>
    <t>kajikia audax</t>
  </si>
  <si>
    <t>Marlins</t>
  </si>
  <si>
    <t>Appendix A1.1 lists this exact catch name directly under "Marlins".</t>
  </si>
  <si>
    <t>Panulirus versicolor</t>
  </si>
  <si>
    <t>Painted spiny lobster</t>
  </si>
  <si>
    <t>panulirus versicolor</t>
  </si>
  <si>
    <t>Sarda orientalis</t>
  </si>
  <si>
    <t>Striped bonito</t>
  </si>
  <si>
    <t>sarda orientalis</t>
  </si>
  <si>
    <t>Veneridae</t>
  </si>
  <si>
    <t>Venus clams</t>
  </si>
  <si>
    <t>veneridae</t>
  </si>
  <si>
    <t>Sillago sihama</t>
  </si>
  <si>
    <t>Silver sillago</t>
  </si>
  <si>
    <t>sillago sihama</t>
  </si>
  <si>
    <t>Perna viridis</t>
  </si>
  <si>
    <t>Brown mussel</t>
  </si>
  <si>
    <t>perna viridis</t>
  </si>
  <si>
    <t>Holothuriidae</t>
  </si>
  <si>
    <t>Fleshy sea cucumbers</t>
  </si>
  <si>
    <t>holothuriidae</t>
  </si>
  <si>
    <t>Holothuria leucospilota</t>
  </si>
  <si>
    <t>White threads fish</t>
  </si>
  <si>
    <t>holothuria leucospilota</t>
  </si>
  <si>
    <t>Sea-cucumber genus; congeners Holothuria atra and Holothuria edulis are named directly in Appendix A1.1 under macrobenthos.</t>
  </si>
  <si>
    <t>Siganidae</t>
  </si>
  <si>
    <t>Rabbitfishes</t>
  </si>
  <si>
    <t>siganidae</t>
  </si>
  <si>
    <t>Isurus oxyrinchus</t>
  </si>
  <si>
    <t>Shortfin mako</t>
  </si>
  <si>
    <t>isurus oxyrinchus</t>
  </si>
  <si>
    <t>Carcharhinus longimanus</t>
  </si>
  <si>
    <t>Oceanic whitetip shark</t>
  </si>
  <si>
    <t>carcharhinus longimanus</t>
  </si>
  <si>
    <t>Sphyrna lewini</t>
  </si>
  <si>
    <t>Scalloped hammerhead</t>
  </si>
  <si>
    <t>sphyrna lewini</t>
  </si>
  <si>
    <t>Alopias pelagicus</t>
  </si>
  <si>
    <t>Pelagic thresher</t>
  </si>
  <si>
    <t>alopias pelagicus</t>
  </si>
  <si>
    <t>Alopias superciliosus</t>
  </si>
  <si>
    <t>Bigeye thresher</t>
  </si>
  <si>
    <t>alopias superciliosus</t>
  </si>
  <si>
    <t>Alopias vulpinus</t>
  </si>
  <si>
    <t>Thresher</t>
  </si>
  <si>
    <t>alopias vulpinus</t>
  </si>
  <si>
    <t>Sphyrna zygaena</t>
  </si>
  <si>
    <t>Smooth hammerhead</t>
  </si>
  <si>
    <t>sphyrna zygaena</t>
  </si>
  <si>
    <t>Carcharhinus sorrah</t>
  </si>
  <si>
    <t>Spottail shark</t>
  </si>
  <si>
    <t>carcharhinus sorrah</t>
  </si>
  <si>
    <t>Carcharhinus limbatus</t>
  </si>
  <si>
    <t>Blacktip shark</t>
  </si>
  <si>
    <t>carcharhinus limbatus</t>
  </si>
  <si>
    <t>Carcharhinus melanopterus</t>
  </si>
  <si>
    <t>Blacktip reef shark</t>
  </si>
  <si>
    <t>carcharhinus melanopterus</t>
  </si>
  <si>
    <t>Carcharhinus amblyrhynchos</t>
  </si>
  <si>
    <t>Blacktail reef shark</t>
  </si>
  <si>
    <t>carcharhinus amblyrhynchos</t>
  </si>
  <si>
    <t>Carcharhinus albimarginatus</t>
  </si>
  <si>
    <t>Silvertip shark</t>
  </si>
  <si>
    <t>carcharhinus albimarginatus</t>
  </si>
  <si>
    <t>Sphyrna mokarran</t>
  </si>
  <si>
    <t>Great hammerhead</t>
  </si>
  <si>
    <t>sphyrna mokarran</t>
  </si>
  <si>
    <t>Galeocerdo cuvier</t>
  </si>
  <si>
    <t>Tiger shark</t>
  </si>
  <si>
    <t>galeocerdo cuvier</t>
  </si>
  <si>
    <t>Pleuronectiformes</t>
  </si>
  <si>
    <t>pleuronectiformes</t>
  </si>
  <si>
    <t>Order-level catch-all; Appendix A1.1 maps it to itself (not a modeled group), and source prose (p.9) states it is split proportionally across multiple functional groups of the same region rather than assigned to one.</t>
  </si>
  <si>
    <t>Platycaranx malabaricus</t>
  </si>
  <si>
    <t>Malabar trevally</t>
  </si>
  <si>
    <t>platycaranx malabaricus</t>
  </si>
  <si>
    <t>Synonym of Carangoides malabaricus, named directly in Appendix A1.1 under Carangids.</t>
  </si>
  <si>
    <t>Scatophagus argus</t>
  </si>
  <si>
    <t>Spotted scat</t>
  </si>
  <si>
    <t>scatophagus argus</t>
  </si>
  <si>
    <t>Lobotes surinamensis</t>
  </si>
  <si>
    <t>Tripletail</t>
  </si>
  <si>
    <t>lobotes surinamensis</t>
  </si>
  <si>
    <t>Caesionidae</t>
  </si>
  <si>
    <t>Fusiliers</t>
  </si>
  <si>
    <t>caesionidae</t>
  </si>
  <si>
    <t>Holothuria atra</t>
  </si>
  <si>
    <t>Lollyfish</t>
  </si>
  <si>
    <t>holothuria atra</t>
  </si>
  <si>
    <t>Holothuria edulis</t>
  </si>
  <si>
    <t>Pinkfish</t>
  </si>
  <si>
    <t>holothuria edulis</t>
  </si>
  <si>
    <t>Bohadschia marmorata</t>
  </si>
  <si>
    <t>Chalky cucumber</t>
  </si>
  <si>
    <t>bohadschia marmorata</t>
  </si>
  <si>
    <t>Chanos chanos</t>
  </si>
  <si>
    <t>Milkfish</t>
  </si>
  <si>
    <t>chanos chanos</t>
  </si>
  <si>
    <t>Tridacna</t>
  </si>
  <si>
    <t>Tridacnid clams</t>
  </si>
  <si>
    <t>tridacna</t>
  </si>
  <si>
    <t>Muraenesocidae</t>
  </si>
  <si>
    <t>Pike congers</t>
  </si>
  <si>
    <t>muraenesocidae</t>
  </si>
  <si>
    <t>Makaira</t>
  </si>
  <si>
    <t>Blue marlins</t>
  </si>
  <si>
    <t>makaira</t>
  </si>
  <si>
    <t>Aluterus</t>
  </si>
  <si>
    <t>Aluterid filefishes</t>
  </si>
  <si>
    <t>aluterus</t>
  </si>
  <si>
    <t>Solenocera crassicornis</t>
  </si>
  <si>
    <t>Coastal mud shrimp</t>
  </si>
  <si>
    <t>solenocera crassicornis</t>
  </si>
  <si>
    <t>Makaira mazara</t>
  </si>
  <si>
    <t>Indo-Pacific blue marlin</t>
  </si>
  <si>
    <t>makaira mazara</t>
  </si>
  <si>
    <t>Paphia</t>
  </si>
  <si>
    <t>Indo-Pacific venus clams</t>
  </si>
  <si>
    <t>paphia</t>
  </si>
  <si>
    <t>Thenus orientalis</t>
  </si>
  <si>
    <t>Flathead lobster</t>
  </si>
  <si>
    <t>thenus orientalis</t>
  </si>
  <si>
    <t>Pteriomorphia</t>
  </si>
  <si>
    <t>Clams, cockles, arkshells</t>
  </si>
  <si>
    <t>pteriomorphia</t>
  </si>
  <si>
    <t>Bivalve subclass (mussels, oysters, scallops, ark shells); class Bivalvia is placed in macrobenthos by Appendix A1.1 — unambiguous taxonomic containment.</t>
  </si>
  <si>
    <t>Plectorhinchus</t>
  </si>
  <si>
    <t>Sweetlips</t>
  </si>
  <si>
    <t>plectorhinchus</t>
  </si>
  <si>
    <t>Istiophorus</t>
  </si>
  <si>
    <t>Sailfishes</t>
  </si>
  <si>
    <t>istiophorus</t>
  </si>
  <si>
    <t>Tetrapturus angustirostris</t>
  </si>
  <si>
    <t>Shortbill spearfish</t>
  </si>
  <si>
    <t>tetrapturus angustirostris</t>
  </si>
  <si>
    <t>Scyris indica</t>
  </si>
  <si>
    <t>Indian threadfish</t>
  </si>
  <si>
    <t>scyris indica</t>
  </si>
  <si>
    <t>Carangid genus (jack/trevally group) closely allied to Carangoides/Caranx, the core genera of the model's Carangids group; not itself named in the paper, so treated as taxonomic/ecological analog rather than an explicit match.</t>
  </si>
  <si>
    <t>Megalops cyprinoides</t>
  </si>
  <si>
    <t>Indo-Pacific tarpon</t>
  </si>
  <si>
    <t>megalops cyprinoides</t>
  </si>
  <si>
    <t>Scarus</t>
  </si>
  <si>
    <t>Parrots</t>
  </si>
  <si>
    <t>scarus</t>
  </si>
  <si>
    <t>Sphyraena jello</t>
  </si>
  <si>
    <t>Pickhandle barracuda</t>
  </si>
  <si>
    <t>sphyraena jello</t>
  </si>
  <si>
    <t>Scomberomorus lineolatus</t>
  </si>
  <si>
    <t>Streaked seerfish</t>
  </si>
  <si>
    <t>scomberomorus lineolatus</t>
  </si>
  <si>
    <t>Tenualosa toli</t>
  </si>
  <si>
    <t>Toli shad</t>
  </si>
  <si>
    <t>tenualosa toli</t>
  </si>
  <si>
    <t>Echinodermata</t>
  </si>
  <si>
    <t>Sea urchins, stars, cucumbers</t>
  </si>
  <si>
    <t>echinodermata</t>
  </si>
  <si>
    <t>Phylum-level catch-all; the one echinoderm class the paper names explicitly, Holothuroidea (sea cucumbers), is placed in macrobenthos by Appendix A1.1, and macrobenthos is defined broadly enough (shrimps, crabs, molluscs, worms, small benthic crustaceans) to be the best-supported benthic residual, but the phylum-level extrapolation beyond the one named class keeps this at ecological inference rather than an explicit match.</t>
  </si>
  <si>
    <t>Gnathanodon speciosus</t>
  </si>
  <si>
    <t>Golden trevally</t>
  </si>
  <si>
    <t>gnathanodon speciosus</t>
  </si>
  <si>
    <t>Sergestidae</t>
  </si>
  <si>
    <t>Sergestid shrimp</t>
  </si>
  <si>
    <t>sergestidae</t>
  </si>
  <si>
    <t>Hemiramphidae</t>
  </si>
  <si>
    <t>Halfbeaks, garfishes</t>
  </si>
  <si>
    <t>hemiramphidae</t>
  </si>
  <si>
    <t>Trochus</t>
  </si>
  <si>
    <t>trochus</t>
  </si>
  <si>
    <t>Labridae</t>
  </si>
  <si>
    <t>Wrasses, gropers, tuskfishes</t>
  </si>
  <si>
    <t>labridae</t>
  </si>
  <si>
    <t>Bregmaceros mcclellandi</t>
  </si>
  <si>
    <t>Unicorn cod</t>
  </si>
  <si>
    <t>Cod-likes</t>
  </si>
  <si>
    <t>bregmaceros mcclellandi</t>
  </si>
  <si>
    <t>Pomadasys argenteus</t>
  </si>
  <si>
    <t>Silver grunt</t>
  </si>
  <si>
    <t>pomadasys argenteus</t>
  </si>
  <si>
    <t>Mobula birostris</t>
  </si>
  <si>
    <t>Giant manta</t>
  </si>
  <si>
    <t>mobula birostris</t>
  </si>
  <si>
    <t>Genus-level containment: congeners Mobula japonica and Mobula eregoodootenkee are named explicitly in Appendix A1.3's Coastal elasmobranch species list.</t>
  </si>
  <si>
    <t>taxon_count_total</t>
  </si>
  <si>
    <t>taxon_count_matched</t>
  </si>
  <si>
    <t>catch_tonnes_total</t>
  </si>
  <si>
    <t>catch_tonnes_matched</t>
  </si>
  <si>
    <t>catch_tonnes_missing_tl</t>
  </si>
  <si>
    <t>catch_coverage_fraction</t>
  </si>
  <si>
    <t>sppr_correct</t>
  </si>
  <si>
    <t>ppr_correct</t>
  </si>
  <si>
    <t>tl_weighted_jensen</t>
  </si>
  <si>
    <t>sppr_jensen</t>
  </si>
  <si>
    <t>ppr_jensen</t>
  </si>
  <si>
    <t>jensen_difference</t>
  </si>
  <si>
    <t>jensen_ratio_correct_to_error</t>
  </si>
  <si>
    <t>jensen_percent_difference</t>
  </si>
  <si>
    <t>check</t>
  </si>
  <si>
    <t>value</t>
  </si>
  <si>
    <t>unit</t>
  </si>
  <si>
    <t>raw_filtered_tonnes</t>
  </si>
  <si>
    <t>tonnes</t>
  </si>
  <si>
    <t>species_catch_tonnes</t>
  </si>
  <si>
    <t>catch_difference_tonnes</t>
  </si>
  <si>
    <t>catch_reconciled</t>
  </si>
  <si>
    <t>True</t>
  </si>
  <si>
    <t>boolean</t>
  </si>
  <si>
    <t>matched_catch_tonnes</t>
  </si>
  <si>
    <t>fraction</t>
  </si>
  <si>
    <t>taxa_count</t>
  </si>
  <si>
    <t>count</t>
  </si>
  <si>
    <t>matched_taxa_count</t>
  </si>
  <si>
    <t>unmatched_taxa_count</t>
  </si>
  <si>
    <t>species_ppr</t>
  </si>
  <si>
    <t>tonnes_primary_production_equivalent</t>
  </si>
  <si>
    <t>commercial_ppr</t>
  </si>
  <si>
    <t>functional_ppr</t>
  </si>
  <si>
    <t>commercial_ppr_difference</t>
  </si>
  <si>
    <t>functional_ppr_difference</t>
  </si>
  <si>
    <t>commercial_ppr_reconciled</t>
  </si>
  <si>
    <t>functional_ppr_reconciled</t>
  </si>
  <si>
    <t>commercial_jensen_violations</t>
  </si>
  <si>
    <t>functional_jensen_violations</t>
  </si>
  <si>
    <t>LME_034 - Bay of Bengal</t>
  </si>
  <si>
    <t>Field</t>
  </si>
  <si>
    <t>Value</t>
  </si>
  <si>
    <t>Notes / source</t>
  </si>
  <si>
    <t>Unit ID</t>
  </si>
  <si>
    <t>Sea Around Us region identifier</t>
  </si>
  <si>
    <t>Transfer efficiency</t>
  </si>
  <si>
    <t>Used by every SPPR formula</t>
  </si>
  <si>
    <t>Year</t>
  </si>
  <si>
    <t>Latest year common to all 84 datasets</t>
  </si>
  <si>
    <t>Region type</t>
  </si>
  <si>
    <t>Sea Around Us spatial classification</t>
  </si>
  <si>
    <t>Catch scope</t>
  </si>
  <si>
    <t>Landings + Discards</t>
  </si>
  <si>
    <t>Reported + unreported; all sectors, gears, entities, and end uses</t>
  </si>
  <si>
    <t>SPPR formula</t>
  </si>
  <si>
    <t>(1 / TE)^(TL - 1)</t>
  </si>
  <si>
    <t>TE is the Metadata!B5 value</t>
  </si>
  <si>
    <t>PPR formula</t>
  </si>
  <si>
    <t>Catch tonnes × SPPR</t>
  </si>
  <si>
    <t>Unit: tonnes primary-production equivalent</t>
  </si>
  <si>
    <t>Wet-weight/carbon divisor</t>
  </si>
  <si>
    <t>Not applied</t>
  </si>
  <si>
    <t>The paper's /9 conversion is intentionally omitted</t>
  </si>
  <si>
    <t>Primary TL source</t>
  </si>
  <si>
    <t>No SPPR regression from the supplement is used</t>
  </si>
  <si>
    <t>Secondary TL source</t>
  </si>
  <si>
    <t>Exact taxon matches, followed by documented fallbacks</t>
  </si>
  <si>
    <t>Catch data URL</t>
  </si>
  <si>
    <t>https://www.seaaroundus.org/data/</t>
  </si>
  <si>
    <t>Frozen archive: raw_data/SAU_downloads/LME_034-catch.zip</t>
  </si>
  <si>
    <t>Method source</t>
  </si>
  <si>
    <t>Pauly &amp; Christensen (1995)</t>
  </si>
  <si>
    <t>Nature 374:255-257</t>
  </si>
  <si>
    <t>paper</t>
  </si>
  <si>
    <t>model</t>
  </si>
  <si>
    <t>model_tl</t>
  </si>
  <si>
    <t>grouping_basis</t>
  </si>
  <si>
    <t>reported_or_supporting_taxa</t>
  </si>
  <si>
    <t>evidence_note</t>
  </si>
  <si>
    <t>primary_source</t>
  </si>
  <si>
    <t>supporting_source</t>
  </si>
  <si>
    <t>primary_url</t>
  </si>
  <si>
    <t>supporting_url</t>
  </si>
  <si>
    <t>supplement_status</t>
  </si>
  <si>
    <t>Guénette, S. (2013) An exploratory ecosystem model of the Bay of Bengal Large Marine Ecosystem. BOBLME-2014-Ecology-09, Bay of Bengal Large Marine Ecosystem Project, 62 pp.</t>
  </si>
  <si>
    <t>Bay of Bengal (1978)</t>
  </si>
  <si>
    <t>Taxonomic (pelagic/oceanic sharks)</t>
  </si>
  <si>
    <t>Isurus paucus, Isurus oxyrinchus, Alopias vulpinus, Alopias pelagicus, Prionace glauca, Carcharhinus longimanus, Sphyrna lewini, Sphyrna mokarran, Sphyrna zygaena, Carcharhinus falciformis, Alopias superciliosus, Hexanchus griseus, Rhincodon typus, Pteroplatytrygon violacea, Dalatias licha, Echinorhinus brucus, 5 Centrophorus spp., Centroscyllium ornatum, Pseudotriakis microdon, Pseudocarcharias kamoharai, Carcharhinus amblyrhynchoides (Appendix A1.3).</t>
  </si>
  <si>
    <t>Explicit species membership from Appendix A1.3 ('Functional groups composition', PDF pp.43-45), cross-referenced against Appendix A1.1's catch-name-to-group allocation table (PDF pp.37-41). This group is shared across the whole LME (Appendix A1.2: area proportion 1, 0.689 or 0.849 of the study area), so no region-choice ambiguity applies to it.</t>
  </si>
  <si>
    <t>Guénette (2013), BOBLME-2014-Ecology-09; Table 16 (PDF p.24, group list, TL, habitat fraction, biomass, P/B, Q/B, EE) and Appendix A1 (PDF pp.37-45): A1.1 'Allocation of catch species to functional groups' (pp.37-41), A1.2 'Area considered for each functional group' (p.42), A1.3 'Functional groups composition' (pp.43-45).</t>
  </si>
  <si>
    <t>None used beyond the focal paper and its own appendices; cross-checked against this project's own extracted model.json/REPORT.md (2026-09-04) for exact group names, order and trophic levels.</t>
  </si>
  <si>
    <t>https://www.boblme.org/ (BOBLME-2014-Ecology-09; no DOI located for this report)</t>
  </si>
  <si>
    <t>-</t>
  </si>
  <si>
    <t>Species-composition evidence comes from the focal paper's own appendix (an in-document table, not an external supplement); no separate supplementary file exists for this report. Note the documented mass-balance defect on PDF p.27 (REPORT.md, 2026-09-04 extraction): the diet matrix's Detritus row is a verbatim duplicate of the Import row and prey rows 46-48 are missing entirely for consumers 30-41/46-48, leaving group 40 (3 Meiobenthos) with an empty diet column and groups 38/39/41 short of their detritus fraction; this affects diet composition, not the species-to-group membership used here.</t>
  </si>
  <si>
    <t>Taxonomic (coastal sharks and rays)</t>
  </si>
  <si>
    <t>Galeocerdo cuvier, Triaenodon obesus, Carcharhinus melanopterus, Carcharhinus limbatus, Carcharhinus dussumieri, Carcharhinus sorrah, Carcharhinus albimarginatus, Carcharhinus amblyrhynchos, Mustelus spp., Rhynchobatus djiddensis, Glaucostegus granulatus, ~15 Himantura/Dasyatis/Rhinoptera/Aetobatus/Mobula/Aetomylaeus ray species, several Chiloscyllium/Nebrius/Stegostoma coastal sharks (Appendix A1.3).</t>
  </si>
  <si>
    <t>Feeding guild (large epipelagic tunas and billfishes, excl. the three dedicated single-species groups)</t>
  </si>
  <si>
    <t>Katsuwonus pelamis, Acanthocybium solandri, Thunnus alalunga, Thunnus maccoyii, Tetrapturus angustirostris, Istiophorus platypterus, Istiompax indica, Makaira nigricans, Xiphias gladius (Appendix A1.3); Thunnini (unspecified tuna catch) also allocated here per footnote b.</t>
  </si>
  <si>
    <t>Taxonomic/feeding guild (coastal mackerels and small tunas)</t>
  </si>
  <si>
    <t>Auxis thazard thazard, Sarda orientalis, Auxis rochei rochei, Euthynnus affinis, Thunnus tonggol, Scomberomorus commerson, Scomberomorus guttatus, Scomberomorus lineolatus, Gymnosarda unicolor (Appendix A1.3).</t>
  </si>
  <si>
    <t>Taxonomic (scyphozoan jellyfish)</t>
  </si>
  <si>
    <t>e.g. Cephea, Rhizostomatidae, Rhopilema, Scyphozoa (Appendix A1.3, based on catches).</t>
  </si>
  <si>
    <t>Taxonomic</t>
  </si>
  <si>
    <t>Sepia sp., Loligo sp., Octopus vulgaris and related squid/cuttlefish/octopus genera (Appendix A1.3).</t>
  </si>
  <si>
    <t>S bathy</t>
  </si>
  <si>
    <t>Habitat (small bathypelagic fish, deep water only)</t>
  </si>
  <si>
    <t>Myctophidae, Stomiidae, Diretmidae (Appendix A1.3).</t>
  </si>
  <si>
    <t>ML bathy</t>
  </si>
  <si>
    <t>Habitat (medium/large bathypelagic and mesopelagic fish, deep water only)</t>
  </si>
  <si>
    <t>e.g. Pontinus macrocephalus, Arctozenus risso, Nemichthys scolopaceus, Lampris guttatus, Alepisaurus ferox, Trachipterus jacksonensis (Appendix A1.3).</t>
  </si>
  <si>
    <t>1 L pisc</t>
  </si>
  <si>
    <t>Feeding guild (large coastal piscivores, non-commercial-grouping)</t>
  </si>
  <si>
    <t>Sphyraena spp., Lates calcarifer, Trichiurus lepturus, Lepturacanthus savala, Coryphaena hippurus, Chirocentrus dorab/nudus, Platycephalus indicus, Rachycentron canadum, Muraenesox spp., Leptomelanosoma indicum, Eleutheronema tetradactylum, Megalops cyprinoides and other large piscivorous coastal/estuarine fish (Appendix A1.3).</t>
  </si>
  <si>
    <t>Explicit species/genus/family membership from Appendix A1.1 ('Allocation of catch species to functional groups', PDF pp.37-41) and Appendix A1.3 ('Functional groups composition', PDF pp.43-45), which give one composition list per functional-group name with no region qualifier (Appendix A1.2 confirms only the habitat-area fraction differs by region). Region-choice convention (applies to every region-prefixed group in this model): this is a single whole-LME Ecopath model in which most functional groups exist three times -- once per sub-region (1 = Maldives + open ocean, 2 = Bangladesh/India/Sri Lanka shelf, 3 = Myanmar/Thailand/Malaysia/Andaman &amp; Nicobar/Sumatra shelf; p.7-9 of the source) -- rather than as separate models; each regional instance differs only in habitat-area fraction and biomass (Table 16, Appendix A1.2), not in species composition (Appendix A1.1/A1.3 give one composition list per functional-group name, with no region qualifier). The Sea Around Us catch workbook mapped against this model carries a single LME-wide region_name/region_type with no country or sub-region breakdown per row, so every taxon assigned to a region-prefixed guild is pointed at its Region 2 instance specifically, chosen consistently over Region 1 and Region 3: Region 2 (Bangladesh, India, Sri Lanka) is the core Ganges-Brahmaputra-influenced Bay of Bengal shelf the LME is named for, hosts the two cross-regional flagship groups the paper singles out by name (2-3 Hilsa, 2-3 Indian mackerel), and is the coastal shelf best populated with demersal/coastal taxa -- unlike Region 1 (Maldives + high seas, only 0.005 of shelf area, almost entirely an oceanic large-pelagic fishery) or Region 3 (a more Southeast-Asian/Strait-of-Malacca-influenced shelf). This is a necessary modeling simplification forced by the workbook's lack of a region/country column, not a claim that the mapped catch actually originated in Region 2.</t>
  </si>
  <si>
    <t>1 Carangids</t>
  </si>
  <si>
    <t>Taxonomic (family Carangidae)</t>
  </si>
  <si>
    <t>Carangoides spp., Caranx spp., Gnathanodon speciosus, Seriolina nigrofasciata, Alectis spp., Scomberoides spp., Elagatis bipinnulata, Seriola rivoliana, Megalaspis cordyla, Selar crumenophthalmus, Parastromateus niger, Decapterus spp. (Appendix A1.3).</t>
  </si>
  <si>
    <t>1 S pelagics</t>
  </si>
  <si>
    <t>Feeding guild/habitat (small coastal pelagic planktivores, excl. the two dedicated single-species groups)</t>
  </si>
  <si>
    <t>Anodontostoma chacunda, Sardinella spp., Dussumieria elopsoides, Spratelloides spp., Amblygaster sirm, Escualosa thoracata, Bregmaceros mcclellandi, Coilia spp., Thryssa spp., Setipinna spp., Stolephorus spp., Encrasicholina spp., Lactarius lactarius, Pellona ditchela, Hemiramphus/exocoetid flyingfishes and halfbeaks (Appendix A1.3).</t>
  </si>
  <si>
    <t>1 L pisc comm</t>
  </si>
  <si>
    <t>Commercial grouping (large piscivorous reef/demersal fish of commercial interest)</t>
  </si>
  <si>
    <t>~35 grouper/snapper/emperor genera and species (Epinephelus, Plectropomus, Lutjanus, Aphareus, Aprion, Etelis, Pristipomoides, Macolor spp.), Lethrinus spp., Sciaenidae (Protonibea, Otolithoides, Otolithes, Johnius, Pennahia), Harpadon nehereus, Saurida spp. (Appendix A1.3).</t>
  </si>
  <si>
    <t>1 SM inv</t>
  </si>
  <si>
    <t>Feeding guild (small/medium coastal invertivores)</t>
  </si>
  <si>
    <t>~90 reef/coastal genera and species across many families: Acanthopagrus, Pampus, Acanthurus, Siganus, Sillago, Mugil/Mugilidae, Cynoglossus (SM coast inv), Caesio, Gerres, Selaroides, Upeneus, Gazza, Leiognathus and other ponyfish/mullet/surgeonfish/rabbitfish/goatfish genera (Appendix A1.3).</t>
  </si>
  <si>
    <t>1 SM pisc</t>
  </si>
  <si>
    <t>Feeding guild (small/medium coastal piscivores)</t>
  </si>
  <si>
    <t>Argyrops spinifer, Saurida gracilis, Priacanthus spp., Pseudorhombus spp., Psettodes erumei, Scomberoides tol, Drepane spp., Terapon spp., Pterois/Scorpaenopsis (lionfish/scorpionfish), Pomadasys/Plectorhinchus grunts and sweetlips, Nemipterus spp. (Appendix A1.3).</t>
  </si>
  <si>
    <t>1 Macrobenthos</t>
  </si>
  <si>
    <t>Habitat/size (larger benthic invertebrates)</t>
  </si>
  <si>
    <t>shrimps, prawns, lobsters, crabs, molluscs, worms, small benthic crustaceans (Appendix A1.3); explicit genera in Appendix A1.1 include Bivalvia, Gastropoda, Crassostrea, Perna viridis, Mytilidae (via Perna), Holothuroidea/Holothuria spp., Tridacna, Trochus, Pinctada, Meretrix, Modiolus, Tegillarca granosa.</t>
  </si>
  <si>
    <t>1 Meiobenthos</t>
  </si>
  <si>
    <t>Habitat/size (small interstitial/infaunal benthos)</t>
  </si>
  <si>
    <t>e.g. benthic copepods (Appendix A1.3).</t>
  </si>
  <si>
    <t>1 Zooplankton</t>
  </si>
  <si>
    <t>Habitat/size (planktonic invertebrates)</t>
  </si>
  <si>
    <t>copepods, fish and invertebrate eggs, euphausiids, chaetognaths, siphonophores (Appendix A1.3).</t>
  </si>
  <si>
    <t>Residual taxonomic grouping (milkfish and other large scaleless/armoured coastal fish)</t>
  </si>
  <si>
    <t>Chanos chanos, Pangasius pangasius, Netuma thalassina, Diodon hystrix, Arothron stellatus (Appendix A1.3).</t>
  </si>
  <si>
    <t>Residual taxonomic grouping (all decapod shrimps, prawns and crabs; merges the appendix's separate "shrimps" and "Crabs" catch-allocation labels into one balanced-model group)</t>
  </si>
  <si>
    <t>Penaeus, Metapenaeus, Parapenaeopsis, Fenneropenaeus, Marsupenaeus, Solenocera, Sergestidae (shrimps); Portunidae, Brachyura, Panulirus, Palinuridae, Homaridae (crabs and lobsters) (Appendix A1.1).</t>
  </si>
  <si>
    <t>2 Meiobenthos</t>
  </si>
  <si>
    <t>2 Zooplankton</t>
  </si>
  <si>
    <t>Commercial single-genus grouping, shared by regions 2 and 3</t>
  </si>
  <si>
    <t>Tenualosa ilisha, Tenualosa toli, Hilsa kelee, Ilisha melastoma, Ilisha filigera, Ilisha megaloptera, Ilisha elongata, Gudusia chapra (Appendix A1.3).</t>
  </si>
  <si>
    <t>Explicit species membership from Appendix A1.3 ('Functional groups composition', PDF pp.43-45).  This group is itself named jointly for regions 2 and 3 by the source (printed '2,3 Hilsa' / '2,3 Indian mackerel' in Table 16; rendered here without a comma per REPORT.md so it does not corrupt a CSV row) — no region-choice ambiguity applies to it.</t>
  </si>
  <si>
    <t>Rastrelliger kanagurta, Rastrelliger brachysoma, Rastrelliger faughni (Appendix A1.3).</t>
  </si>
  <si>
    <t>3 L pisc</t>
  </si>
  <si>
    <t>3 Carangids</t>
  </si>
  <si>
    <t>3 S pelagics</t>
  </si>
  <si>
    <t>3 L pisc comm</t>
  </si>
  <si>
    <t>3 Milkfish plus</t>
  </si>
  <si>
    <t>3 SM inv</t>
  </si>
  <si>
    <t>3 SM pisc</t>
  </si>
  <si>
    <t>3 Crustaceans</t>
  </si>
  <si>
    <t>3 Macrobenthos</t>
  </si>
  <si>
    <t>3 Meiobenthos</t>
  </si>
  <si>
    <t>3 Zooplankton</t>
  </si>
  <si>
    <t>1 Phytoplankton</t>
  </si>
  <si>
    <t>Non-living/primary-producer compartment</t>
  </si>
  <si>
    <t>2 Phytoplankton</t>
  </si>
  <si>
    <t>3 Phytoplankton</t>
  </si>
  <si>
    <t>Benthic plants</t>
  </si>
  <si>
    <t>Non-living/primary-producer compartment (seagrass/macroalgae)</t>
  </si>
  <si>
    <t xml:space="preserve">Non-living primary producer compartment; not a catch-mapped group. </t>
  </si>
  <si>
    <t>Commercial single-species group</t>
  </si>
  <si>
    <t>Thunnus obesus (Appendix A1.3).</t>
  </si>
  <si>
    <t xml:space="preserve">Explicit species membership from Appendix A1.3 ('Functional groups composition', PDF pp.43-45). </t>
  </si>
  <si>
    <t>Thunnus albacares (Appendix A1.3).</t>
  </si>
  <si>
    <t>Commercial single-species group (2 species)</t>
  </si>
  <si>
    <t>Kajikia audax, Makaira mazara (Appendix A1.3).</t>
  </si>
  <si>
    <t>Detritus</t>
  </si>
  <si>
    <t>Non-living compartment</t>
  </si>
  <si>
    <t>Non-living compartment (Detritus); no taxa are mapped to it from the catch workbook.</t>
  </si>
  <si>
    <t>Non-living compartment; not species-composition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</si>
</sst>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7">
    <font>
      <sz val="11"/>
      <name val="Carlito"/>
    </font>
    <font>
      <b/>
      <sz val="16"/>
      <color rgb="FFFFFFFF"/>
      <name val="Aptos Display"/>
    </font>
    <font>
      <sz val="10"/>
      <name val="Aptos"/>
    </font>
    <font>
      <b/>
      <sz val="10"/>
      <color rgb="FFFFFFFF"/>
      <name val="Aptos"/>
    </font>
    <font>
      <b/>
      <sz val="10"/>
      <color rgb="FF17324D"/>
      <name val="Aptos"/>
    </font>
    <font>
      <sz val="9"/>
      <color rgb="FF1D2939"/>
      <name val="Aptos"/>
    </font>
    <font>
      <b/>
      <sz val="10"/>
      <color rgb="FFFFFFFF"/>
      <name val="Aptos Display"/>
    </font>
  </fonts>
  <fills count="7">
    <fill>
      <patternFill patternType="none"/>
    </fill>
    <fill>
      <patternFill patternType="gray125"/>
    </fill>
    <fill>
      <patternFill patternType="solid">
        <fgColor rgb="FF17324D"/>
      </patternFill>
    </fill>
    <fill>
      <patternFill patternType="solid">
        <fgColor rgb="FF147D92"/>
      </patternFill>
    </fill>
    <fill>
      <patternFill patternType="solid">
        <fgColor rgb="FFFFC7CE"/>
      </patternFill>
    </fill>
    <fill>
      <patternFill patternType="solid">
        <fgColor rgb="FFC6EFCE"/>
      </patternFill>
    </fill>
    <fill>
      <patternFill patternType="solid">
        <fgColor rgb="FFFFEB9C"/>
      </patternFill>
    </fill>
  </fills>
  <borders count="12">
    <border>
      <left/>
      <right/>
      <top/>
      <bottom/>
      <diagonal/>
    </border>
    <border>
      <left/>
      <right/>
      <top/>
      <bottom/>
      <diagonal/>
    </border>
    <border>
      <left/>
      <right style="thin">
        <color rgb="FFD0D5DD"/>
      </right>
      <top/>
      <bottom style="thin">
        <color rgb="FFD0D5DD"/>
      </bottom>
      <diagonal/>
    </border>
    <border>
      <left style="thin">
        <color rgb="FFD0D5DD"/>
      </left>
      <right style="thin">
        <color rgb="FFD0D5DD"/>
      </right>
      <top/>
      <bottom style="thin">
        <color rgb="FFD0D5DD"/>
      </bottom>
      <diagonal/>
    </border>
    <border>
      <left style="thin">
        <color rgb="FFD0D5DD"/>
      </left>
      <right/>
      <top/>
      <bottom style="thin">
        <color rgb="FFD0D5DD"/>
      </bottom>
      <diagonal/>
    </border>
    <border>
      <left/>
      <right style="thin">
        <color rgb="FFD0D5DD"/>
      </right>
      <top style="thin">
        <color rgb="FFD0D5DD"/>
      </top>
      <bottom style="thin">
        <color rgb="FFD0D5DD"/>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style="thin">
        <color rgb="FFD0D5DD"/>
      </right>
      <top style="thin">
        <color rgb="FFD0D5DD"/>
      </top>
      <bottom/>
      <diagonal/>
    </border>
    <border>
      <left style="thin">
        <color rgb="FFD0D5DD"/>
      </left>
      <right style="thin">
        <color rgb="FFD0D5DD"/>
      </right>
      <top style="thin">
        <color rgb="FFD0D5DD"/>
      </top>
      <bottom/>
      <diagonal/>
    </border>
    <border>
      <left style="thin">
        <color rgb="FFD0D5DD"/>
      </left>
      <right/>
      <top style="thin">
        <color rgb="FFD0D5DD"/>
      </top>
      <bottom/>
      <diagonal/>
    </border>
    <border>
      <left/>
      <right/>
      <top/>
      <bottom style="medium">
        <color rgb="FF147D92"/>
      </bottom>
      <diagonal/>
    </border>
  </borders>
  <cellStyleXfs count="1">
    <xf numFmtId="0" fontId="0" fillId="0" borderId="1"/>
  </cellStyleXfs>
  <cellXfs count="26">
    <xf numFmtId="0" fontId="0" fillId="0" borderId="0" xfId="0" applyBorder="1"/>
    <xf numFmtId="0" fontId="3" fillId="3" borderId="2" xfId="0" applyFont="1" applyFill="1" applyBorder="1"/>
    <xf numFmtId="0" fontId="3" fillId="3" borderId="3" xfId="0" applyFont="1" applyFill="1" applyBorder="1"/>
    <xf numFmtId="0" fontId="3" fillId="3" borderId="4" xfId="0" applyFont="1" applyFill="1" applyBorder="1"/>
    <xf numFmtId="0" fontId="2" fillId="0" borderId="6" xfId="0" applyFont="1" applyBorder="1" applyAlignment="1">
      <alignment wrapText="1"/>
    </xf>
    <xf numFmtId="0" fontId="2" fillId="0" borderId="7" xfId="0" applyFont="1" applyBorder="1" applyAlignment="1">
      <alignment wrapText="1"/>
    </xf>
    <xf numFmtId="0" fontId="2" fillId="0" borderId="9" xfId="0" applyFont="1" applyBorder="1" applyAlignment="1">
      <alignment wrapText="1"/>
    </xf>
    <xf numFmtId="0" fontId="2" fillId="0" borderId="10" xfId="0" applyFont="1" applyBorder="1" applyAlignment="1">
      <alignment wrapText="1"/>
    </xf>
    <xf numFmtId="0" fontId="4" fillId="0" borderId="5" xfId="0" applyFont="1" applyBorder="1" applyAlignment="1">
      <alignment wrapText="1"/>
    </xf>
    <xf numFmtId="0" fontId="4" fillId="0" borderId="8" xfId="0" applyFont="1" applyBorder="1" applyAlignment="1">
      <alignment wrapText="1"/>
    </xf>
    <xf numFmtId="0" fontId="5" fillId="0" borderId="0" xfId="0" applyFont="1" applyBorder="1"/>
    <xf numFmtId="0" fontId="6" fillId="2" borderId="0" xfId="0" applyFont="1" applyFill="1" applyBorder="1"/>
    <xf numFmtId="0" fontId="6" fillId="2" borderId="11" xfId="0" applyFont="1" applyFill="1" applyBorder="1" applyAlignment="1">
      <alignment vertical="center" wrapText="1"/>
    </xf>
    <xf numFmtId="1" fontId="5" fillId="0" borderId="0" xfId="0" applyNumberFormat="1" applyFont="1" applyBorder="1"/>
    <xf numFmtId="4" fontId="5" fillId="0" borderId="0" xfId="0" applyNumberFormat="1" applyFont="1" applyBorder="1"/>
    <xf numFmtId="164" fontId="5" fillId="0" borderId="0" xfId="0" applyNumberFormat="1" applyFont="1" applyBorder="1"/>
    <xf numFmtId="3" fontId="5" fillId="0" borderId="0" xfId="0" applyNumberFormat="1" applyFont="1" applyBorder="1"/>
    <xf numFmtId="10" fontId="5" fillId="0" borderId="0" xfId="0" applyNumberFormat="1" applyFont="1" applyBorder="1"/>
    <xf numFmtId="165" fontId="2" fillId="0" borderId="6" xfId="0" applyNumberFormat="1" applyFont="1" applyBorder="1" applyAlignment="1">
      <alignment wrapText="1"/>
    </xf>
    <xf numFmtId="0" fontId="6" fillId="2" borderId="0" xfId="0" applyFont="1" applyFill="1" applyBorder="1" applyAlignment="1">
      <alignment vertical="center" wrapText="1"/>
    </xf>
    <xf numFmtId="0" fontId="0" fillId="4" borderId="0" xfId="0" applyFill="1" applyBorder="1" applyAlignment="1">
      <alignment vertical="top" wrapText="1"/>
    </xf>
    <xf numFmtId="0" fontId="0" fillId="0" borderId="0" xfId="0" applyBorder="1" applyAlignment="1">
      <alignment vertical="top" wrapText="1"/>
    </xf>
    <xf numFmtId="0" fontId="0" fillId="5" borderId="0" xfId="0" applyFill="1" applyBorder="1" applyAlignment="1">
      <alignment vertical="top" wrapText="1"/>
    </xf>
    <xf numFmtId="0" fontId="0" fillId="6" borderId="0" xfId="0" applyFill="1" applyBorder="1" applyAlignment="1">
      <alignment vertical="top" wrapText="1"/>
    </xf>
    <xf numFmtId="0" fontId="1" fillId="2" borderId="1" xfId="0" applyFont="1" applyFill="1"/>
    <xf numFmtId="0" fontId="0" fillId="0" borderId="1" xfId="0"/>
  </cellXfs>
  <cellStyles count="1">
    <cellStyle name="Normal" xfId="0" builtinId="0"/>
  </cellStyles>
  <dxfs count="3">
    <dxf>
      <font>
        <b/>
        <color rgb="FFB42318"/>
      </font>
      <fill>
        <patternFill patternType="solid">
          <bgColor rgb="FFFEE4E2"/>
        </patternFill>
      </fill>
    </dxf>
    <dxf>
      <font>
        <b/>
        <color rgb="FFB42318"/>
      </font>
      <fill>
        <patternFill patternType="solid">
          <bgColor rgb="FFFEE4E2"/>
        </patternFill>
      </fill>
    </dxf>
    <dxf>
      <font>
        <color rgb="FF9A3412"/>
      </font>
      <fill>
        <patternFill patternType="solid">
          <bgColor rgb="FFFCEA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ME034SpeciesTable" displayName="LME034SpeciesTable" ref="A1:U289" totalsRowShown="0">
  <autoFilter ref="A1:U289" xr:uid="{00000000-0009-0000-0100-000001000000}"/>
  <tableColumns count="21">
    <tableColumn id="1" xr3:uid="{00000000-0010-0000-0000-000001000000}" name="unit_id"/>
    <tableColumn id="2" xr3:uid="{00000000-0010-0000-0000-000002000000}" name="region_name"/>
    <tableColumn id="3" xr3:uid="{00000000-0010-0000-0000-000003000000}" name="region_type"/>
    <tableColumn id="4" xr3:uid="{00000000-0010-0000-0000-000004000000}" name="year"/>
    <tableColumn id="5" xr3:uid="{00000000-0010-0000-0000-000005000000}" name="taxon"/>
    <tableColumn id="6" xr3:uid="{00000000-0010-0000-0000-000006000000}" name="common_name"/>
    <tableColumn id="7" xr3:uid="{00000000-0010-0000-0000-000007000000}" name="functional_group"/>
    <tableColumn id="8" xr3:uid="{00000000-0010-0000-0000-000008000000}" name="commercial_group"/>
    <tableColumn id="9" xr3:uid="{00000000-0010-0000-0000-000009000000}" name="catch_tonnes"/>
    <tableColumn id="10" xr3:uid="{00000000-0010-0000-0000-00000A000000}" name="landings_tonnes"/>
    <tableColumn id="11" xr3:uid="{00000000-0010-0000-0000-00000B000000}" name="discards_tonnes"/>
    <tableColumn id="12" xr3:uid="{00000000-0010-0000-0000-00000C000000}" name="reported_tonnes"/>
    <tableColumn id="13" xr3:uid="{00000000-0010-0000-0000-00000D000000}" name="unreported_tonnes"/>
    <tableColumn id="14" xr3:uid="{00000000-0010-0000-0000-00000E000000}" name="taxon_key"/>
    <tableColumn id="15" xr3:uid="{00000000-0010-0000-0000-00000F000000}" name="tl"/>
    <tableColumn id="16" xr3:uid="{00000000-0010-0000-0000-000010000000}" name="match_method"/>
    <tableColumn id="17" xr3:uid="{00000000-0010-0000-0000-000011000000}" name="tl_source"/>
    <tableColumn id="18" xr3:uid="{00000000-0010-0000-0000-000012000000}" name="match_confidence"/>
    <tableColumn id="19" xr3:uid="{00000000-0010-0000-0000-000013000000}" name="reference_taxon"/>
    <tableColumn id="20" xr3:uid="{00000000-0010-0000-0000-000014000000}" name="sppr"/>
    <tableColumn id="21" xr3:uid="{00000000-0010-0000-0000-000015000000}" name="pp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ME034CommercialTable" displayName="LME034CommercialTable" ref="A1:O12" totalsRowShown="0">
  <autoFilter ref="A1:O12" xr:uid="{00000000-0009-0000-0100-000002000000}"/>
  <tableColumns count="15">
    <tableColumn id="1" xr3:uid="{00000000-0010-0000-0100-000001000000}" name="commercial_group"/>
    <tableColumn id="2" xr3:uid="{00000000-0010-0000-0100-000002000000}" name="taxon_count_total"/>
    <tableColumn id="3" xr3:uid="{00000000-0010-0000-0100-000003000000}" name="taxon_count_matched"/>
    <tableColumn id="4" xr3:uid="{00000000-0010-0000-0100-000004000000}" name="catch_tonnes_total"/>
    <tableColumn id="5" xr3:uid="{00000000-0010-0000-0100-000005000000}" name="catch_tonnes_matched"/>
    <tableColumn id="6" xr3:uid="{00000000-0010-0000-0100-000006000000}" name="catch_tonnes_missing_tl"/>
    <tableColumn id="7" xr3:uid="{00000000-0010-0000-0100-000007000000}" name="catch_coverage_fraction"/>
    <tableColumn id="8" xr3:uid="{00000000-0010-0000-0100-000008000000}" name="sppr_correct"/>
    <tableColumn id="9" xr3:uid="{00000000-0010-0000-0100-000009000000}" name="ppr_correct"/>
    <tableColumn id="10" xr3:uid="{00000000-0010-0000-0100-00000A000000}" name="tl_weighted_jensen"/>
    <tableColumn id="11" xr3:uid="{00000000-0010-0000-0100-00000B000000}" name="sppr_jensen"/>
    <tableColumn id="12" xr3:uid="{00000000-0010-0000-0100-00000C000000}" name="ppr_jensen"/>
    <tableColumn id="13" xr3:uid="{00000000-0010-0000-0100-00000D000000}" name="jensen_difference"/>
    <tableColumn id="14" xr3:uid="{00000000-0010-0000-0100-00000E000000}" name="jensen_ratio_correct_to_error"/>
    <tableColumn id="15" xr3:uid="{00000000-0010-0000-0100-00000F000000}" name="jensen_percent_differen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ME034FunctionalTable" displayName="LME034FunctionalTable" ref="A1:O21" totalsRowShown="0">
  <autoFilter ref="A1:O21" xr:uid="{00000000-0009-0000-0100-000003000000}"/>
  <tableColumns count="15">
    <tableColumn id="1" xr3:uid="{00000000-0010-0000-0200-000001000000}" name="functional_group"/>
    <tableColumn id="2" xr3:uid="{00000000-0010-0000-0200-000002000000}" name="taxon_count_total"/>
    <tableColumn id="3" xr3:uid="{00000000-0010-0000-0200-000003000000}" name="taxon_count_matched"/>
    <tableColumn id="4" xr3:uid="{00000000-0010-0000-0200-000004000000}" name="catch_tonnes_total"/>
    <tableColumn id="5" xr3:uid="{00000000-0010-0000-0200-000005000000}" name="catch_tonnes_matched"/>
    <tableColumn id="6" xr3:uid="{00000000-0010-0000-0200-000006000000}" name="catch_tonnes_missing_tl"/>
    <tableColumn id="7" xr3:uid="{00000000-0010-0000-0200-000007000000}" name="catch_coverage_fraction"/>
    <tableColumn id="8" xr3:uid="{00000000-0010-0000-0200-000008000000}" name="sppr_correct"/>
    <tableColumn id="9" xr3:uid="{00000000-0010-0000-0200-000009000000}" name="ppr_correct"/>
    <tableColumn id="10" xr3:uid="{00000000-0010-0000-0200-00000A000000}" name="tl_weighted_jensen"/>
    <tableColumn id="11" xr3:uid="{00000000-0010-0000-0200-00000B000000}" name="sppr_jensen"/>
    <tableColumn id="12" xr3:uid="{00000000-0010-0000-0200-00000C000000}" name="ppr_jensen"/>
    <tableColumn id="13" xr3:uid="{00000000-0010-0000-0200-00000D000000}" name="jensen_difference"/>
    <tableColumn id="14" xr3:uid="{00000000-0010-0000-0200-00000E000000}" name="jensen_ratio_correct_to_error"/>
    <tableColumn id="15" xr3:uid="{00000000-0010-0000-0200-00000F000000}" name="jensen_percent_differen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ME034ValidationTable" displayName="LME034ValidationTable" ref="A1:D19" totalsRowShown="0">
  <autoFilter ref="A1:D19" xr:uid="{00000000-0009-0000-0100-000004000000}"/>
  <tableColumns count="4">
    <tableColumn id="1" xr3:uid="{00000000-0010-0000-0300-000001000000}" name="unit_id"/>
    <tableColumn id="2" xr3:uid="{00000000-0010-0000-0300-000002000000}" name="check"/>
    <tableColumn id="3" xr3:uid="{00000000-0010-0000-0300-000003000000}" name="value"/>
    <tableColumn id="4" xr3:uid="{00000000-0010-0000-0300-000004000000}" name="uni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89"/>
  <sheetViews>
    <sheetView showGridLines="0" tabSelected="1" workbookViewId="0"/>
  </sheetViews>
  <sheetFormatPr defaultRowHeight="14"/>
  <cols>
    <col min="1" max="3" width="22" customWidth="1"/>
    <col min="4" max="4" width="15" customWidth="1"/>
    <col min="5" max="5" width="25" customWidth="1"/>
    <col min="6" max="6" width="23" customWidth="1"/>
    <col min="7" max="7" width="30" customWidth="1"/>
    <col min="8" max="8" width="24" customWidth="1"/>
    <col min="9" max="13" width="18" customWidth="1"/>
    <col min="14" max="14" width="22" customWidth="1"/>
    <col min="15" max="15" width="15" customWidth="1"/>
    <col min="16" max="16" width="22" customWidth="1"/>
    <col min="17" max="17" width="40" customWidth="1"/>
    <col min="18" max="18" width="22" customWidth="1"/>
    <col min="19" max="19" width="25" customWidth="1"/>
    <col min="20" max="21" width="18" customWidth="1"/>
    <col min="22" max="22" width="34" customWidth="1"/>
    <col min="23" max="23" width="70" customWidth="1"/>
  </cols>
  <sheetData>
    <row r="1" spans="1:23" ht="32" customHeight="1">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9" t="s">
        <v>21</v>
      </c>
      <c r="W1" s="19" t="s">
        <v>22</v>
      </c>
    </row>
    <row r="2" spans="1:23" ht="18" customHeight="1">
      <c r="A2" s="10" t="s">
        <v>23</v>
      </c>
      <c r="B2" s="10" t="s">
        <v>24</v>
      </c>
      <c r="C2" s="10" t="s">
        <v>25</v>
      </c>
      <c r="D2" s="13">
        <v>2019</v>
      </c>
      <c r="E2" s="10" t="s">
        <v>26</v>
      </c>
      <c r="F2" s="10" t="s">
        <v>27</v>
      </c>
      <c r="G2" s="10" t="s">
        <v>28</v>
      </c>
      <c r="H2" s="10" t="s">
        <v>29</v>
      </c>
      <c r="I2" s="14">
        <v>1362049.2642203481</v>
      </c>
      <c r="J2" s="14">
        <v>1291002.164893921</v>
      </c>
      <c r="K2" s="14">
        <v>71047.099326427197</v>
      </c>
      <c r="L2" s="14">
        <v>1073999.516783996</v>
      </c>
      <c r="M2" s="14">
        <v>288049.74743635149</v>
      </c>
      <c r="N2" s="10" t="s">
        <v>30</v>
      </c>
      <c r="O2" s="15">
        <v>3.28</v>
      </c>
      <c r="P2" s="10" t="s">
        <v>31</v>
      </c>
      <c r="Q2" s="15" t="s">
        <v>32</v>
      </c>
      <c r="R2" s="10" t="s">
        <v>33</v>
      </c>
      <c r="S2" s="10" t="s">
        <v>26</v>
      </c>
      <c r="T2" s="15">
        <f>IF(O2="","",(1/Metadata!$B$5)^(O2-1))</f>
        <v>190.54607179632481</v>
      </c>
      <c r="U2" s="14">
        <f t="shared" ref="U2:U65" si="0">IF(T2="","",I2*T2)</f>
        <v>259533136.89026183</v>
      </c>
      <c r="V2" s="20" t="s">
        <v>34</v>
      </c>
      <c r="W2" s="21" t="s">
        <v>35</v>
      </c>
    </row>
    <row r="3" spans="1:23" ht="18" customHeight="1">
      <c r="A3" s="10" t="s">
        <v>23</v>
      </c>
      <c r="B3" s="10" t="s">
        <v>24</v>
      </c>
      <c r="C3" s="10" t="s">
        <v>25</v>
      </c>
      <c r="D3" s="13">
        <v>2019</v>
      </c>
      <c r="E3" s="10" t="s">
        <v>36</v>
      </c>
      <c r="F3" s="10" t="s">
        <v>37</v>
      </c>
      <c r="G3" s="10" t="s">
        <v>38</v>
      </c>
      <c r="H3" s="10" t="s">
        <v>39</v>
      </c>
      <c r="I3" s="14">
        <v>368500.24330149672</v>
      </c>
      <c r="J3" s="14">
        <v>362424.16262602562</v>
      </c>
      <c r="K3" s="14">
        <v>6076.0806754711002</v>
      </c>
      <c r="L3" s="14">
        <v>325951.62594366411</v>
      </c>
      <c r="M3" s="14">
        <v>42548.617357832598</v>
      </c>
      <c r="N3" s="10" t="s">
        <v>40</v>
      </c>
      <c r="O3" s="15">
        <v>2.2000000000000002</v>
      </c>
      <c r="P3" s="10" t="s">
        <v>41</v>
      </c>
      <c r="Q3" s="15" t="s">
        <v>42</v>
      </c>
      <c r="R3" s="10" t="s">
        <v>33</v>
      </c>
      <c r="S3" s="10" t="s">
        <v>36</v>
      </c>
      <c r="T3" s="15">
        <f>IF(O3="","",(1/Metadata!$B$5)^(O3-1))</f>
        <v>15.848931924611144</v>
      </c>
      <c r="U3" s="14">
        <f t="shared" si="0"/>
        <v>5840335.2702880651</v>
      </c>
      <c r="V3" s="22" t="s">
        <v>43</v>
      </c>
      <c r="W3" s="21" t="s">
        <v>44</v>
      </c>
    </row>
    <row r="4" spans="1:23" ht="18" customHeight="1">
      <c r="A4" s="10" t="s">
        <v>23</v>
      </c>
      <c r="B4" s="10" t="s">
        <v>24</v>
      </c>
      <c r="C4" s="10" t="s">
        <v>25</v>
      </c>
      <c r="D4" s="13">
        <v>2019</v>
      </c>
      <c r="E4" s="10" t="s">
        <v>45</v>
      </c>
      <c r="F4" s="10" t="s">
        <v>46</v>
      </c>
      <c r="G4" s="10" t="s">
        <v>38</v>
      </c>
      <c r="H4" s="10" t="s">
        <v>47</v>
      </c>
      <c r="I4" s="14">
        <v>295174.59331203281</v>
      </c>
      <c r="J4" s="14">
        <v>295031.9358411422</v>
      </c>
      <c r="K4" s="14">
        <v>142.6574708906</v>
      </c>
      <c r="L4" s="14">
        <v>137284.30329800819</v>
      </c>
      <c r="M4" s="14">
        <v>157890.29001402459</v>
      </c>
      <c r="N4" s="10" t="s">
        <v>48</v>
      </c>
      <c r="O4" s="15">
        <v>3.1</v>
      </c>
      <c r="P4" s="10" t="s">
        <v>31</v>
      </c>
      <c r="Q4" s="15" t="s">
        <v>32</v>
      </c>
      <c r="R4" s="10" t="s">
        <v>33</v>
      </c>
      <c r="S4" s="10" t="s">
        <v>45</v>
      </c>
      <c r="T4" s="15">
        <f>IF(O4="","",(1/Metadata!$B$5)^(O4-1))</f>
        <v>125.89254117941677</v>
      </c>
      <c r="U4" s="14">
        <f t="shared" si="0"/>
        <v>37160279.643652685</v>
      </c>
      <c r="V4" s="22" t="s">
        <v>49</v>
      </c>
      <c r="W4" s="21" t="s">
        <v>50</v>
      </c>
    </row>
    <row r="5" spans="1:23" ht="18" customHeight="1">
      <c r="A5" s="10" t="s">
        <v>23</v>
      </c>
      <c r="B5" s="10" t="s">
        <v>24</v>
      </c>
      <c r="C5" s="10" t="s">
        <v>25</v>
      </c>
      <c r="D5" s="13">
        <v>2019</v>
      </c>
      <c r="E5" s="10" t="s">
        <v>51</v>
      </c>
      <c r="F5" s="10" t="s">
        <v>52</v>
      </c>
      <c r="G5" s="10" t="s">
        <v>53</v>
      </c>
      <c r="H5" s="10" t="s">
        <v>29</v>
      </c>
      <c r="I5" s="14">
        <v>278518.67066002247</v>
      </c>
      <c r="J5" s="14">
        <v>267286.71865293419</v>
      </c>
      <c r="K5" s="14">
        <v>11231.952007088301</v>
      </c>
      <c r="L5" s="14">
        <v>266333.45901458821</v>
      </c>
      <c r="M5" s="14">
        <v>12185.211645434299</v>
      </c>
      <c r="N5" s="10" t="s">
        <v>54</v>
      </c>
      <c r="O5" s="15">
        <v>3.24</v>
      </c>
      <c r="P5" s="10" t="s">
        <v>31</v>
      </c>
      <c r="Q5" s="15" t="s">
        <v>32</v>
      </c>
      <c r="R5" s="10" t="s">
        <v>33</v>
      </c>
      <c r="S5" s="10" t="s">
        <v>51</v>
      </c>
      <c r="T5" s="15">
        <f>IF(O5="","",(1/Metadata!$B$5)^(O5-1))</f>
        <v>173.78008287493768</v>
      </c>
      <c r="U5" s="14">
        <f t="shared" si="0"/>
        <v>48400997.669516176</v>
      </c>
      <c r="V5" s="22" t="s">
        <v>55</v>
      </c>
      <c r="W5" s="21" t="s">
        <v>56</v>
      </c>
    </row>
    <row r="6" spans="1:23" ht="18" customHeight="1">
      <c r="A6" s="10" t="s">
        <v>23</v>
      </c>
      <c r="B6" s="10" t="s">
        <v>24</v>
      </c>
      <c r="C6" s="10" t="s">
        <v>25</v>
      </c>
      <c r="D6" s="13">
        <v>2019</v>
      </c>
      <c r="E6" s="10" t="s">
        <v>57</v>
      </c>
      <c r="F6" s="10" t="s">
        <v>58</v>
      </c>
      <c r="G6" s="10" t="s">
        <v>38</v>
      </c>
      <c r="H6" s="10" t="s">
        <v>47</v>
      </c>
      <c r="I6" s="14">
        <v>226129.05806467889</v>
      </c>
      <c r="J6" s="14">
        <v>218221.52542710761</v>
      </c>
      <c r="K6" s="14">
        <v>7907.5326375712993</v>
      </c>
      <c r="L6" s="14">
        <v>190405.1849062769</v>
      </c>
      <c r="M6" s="14">
        <v>35723.873158401999</v>
      </c>
      <c r="N6" s="10" t="s">
        <v>59</v>
      </c>
      <c r="O6" s="15">
        <v>4.05</v>
      </c>
      <c r="P6" s="10" t="s">
        <v>31</v>
      </c>
      <c r="Q6" s="15" t="s">
        <v>32</v>
      </c>
      <c r="R6" s="10" t="s">
        <v>33</v>
      </c>
      <c r="S6" s="10" t="s">
        <v>57</v>
      </c>
      <c r="T6" s="15">
        <f>IF(O6="","",(1/Metadata!$B$5)^(O6-1))</f>
        <v>1122.0184543019636</v>
      </c>
      <c r="U6" s="14">
        <f t="shared" si="0"/>
        <v>253720976.20249</v>
      </c>
      <c r="V6" s="22" t="s">
        <v>60</v>
      </c>
      <c r="W6" s="21" t="s">
        <v>61</v>
      </c>
    </row>
    <row r="7" spans="1:23" ht="18" customHeight="1">
      <c r="A7" s="10" t="s">
        <v>23</v>
      </c>
      <c r="B7" s="10" t="s">
        <v>24</v>
      </c>
      <c r="C7" s="10" t="s">
        <v>25</v>
      </c>
      <c r="D7" s="13">
        <v>2019</v>
      </c>
      <c r="E7" s="10" t="s">
        <v>62</v>
      </c>
      <c r="F7" s="10" t="s">
        <v>63</v>
      </c>
      <c r="G7" s="10" t="s">
        <v>64</v>
      </c>
      <c r="H7" s="10" t="s">
        <v>47</v>
      </c>
      <c r="I7" s="14">
        <v>185985.9478188275</v>
      </c>
      <c r="J7" s="14">
        <v>163780.54122467499</v>
      </c>
      <c r="K7" s="14">
        <v>22205.4065941525</v>
      </c>
      <c r="L7" s="14">
        <v>151142.6688524163</v>
      </c>
      <c r="M7" s="14">
        <v>34843.278966411199</v>
      </c>
      <c r="N7" s="10" t="s">
        <v>65</v>
      </c>
      <c r="O7" s="15">
        <v>3.24</v>
      </c>
      <c r="P7" s="10" t="s">
        <v>31</v>
      </c>
      <c r="Q7" s="15" t="s">
        <v>32</v>
      </c>
      <c r="R7" s="10" t="s">
        <v>33</v>
      </c>
      <c r="S7" s="10" t="s">
        <v>62</v>
      </c>
      <c r="T7" s="15">
        <f>IF(O7="","",(1/Metadata!$B$5)^(O7-1))</f>
        <v>173.78008287493768</v>
      </c>
      <c r="U7" s="14">
        <f t="shared" si="0"/>
        <v>32320653.425529677</v>
      </c>
      <c r="V7" s="22" t="s">
        <v>66</v>
      </c>
      <c r="W7" s="21" t="s">
        <v>67</v>
      </c>
    </row>
    <row r="8" spans="1:23" ht="18" customHeight="1">
      <c r="A8" s="10" t="s">
        <v>23</v>
      </c>
      <c r="B8" s="10" t="s">
        <v>24</v>
      </c>
      <c r="C8" s="10" t="s">
        <v>25</v>
      </c>
      <c r="D8" s="13">
        <v>2019</v>
      </c>
      <c r="E8" s="10" t="s">
        <v>68</v>
      </c>
      <c r="F8" s="10" t="s">
        <v>69</v>
      </c>
      <c r="G8" s="10" t="s">
        <v>53</v>
      </c>
      <c r="H8" s="10" t="s">
        <v>39</v>
      </c>
      <c r="I8" s="14">
        <v>182606.87446467101</v>
      </c>
      <c r="J8" s="14">
        <v>175068.94980347829</v>
      </c>
      <c r="K8" s="14">
        <v>7537.9246611927001</v>
      </c>
      <c r="L8" s="14">
        <v>159442.6118394279</v>
      </c>
      <c r="M8" s="14">
        <v>23164.2626252431</v>
      </c>
      <c r="N8" s="10" t="s">
        <v>70</v>
      </c>
      <c r="O8" s="15">
        <v>3.16</v>
      </c>
      <c r="P8" s="10" t="s">
        <v>31</v>
      </c>
      <c r="Q8" s="15" t="s">
        <v>32</v>
      </c>
      <c r="R8" s="10" t="s">
        <v>33</v>
      </c>
      <c r="S8" s="10" t="s">
        <v>68</v>
      </c>
      <c r="T8" s="15">
        <f>IF(O8="","",(1/Metadata!$B$5)^(O8-1))</f>
        <v>144.54397707459285</v>
      </c>
      <c r="U8" s="14">
        <f t="shared" si="0"/>
        <v>26394723.876284461</v>
      </c>
      <c r="V8" s="22" t="s">
        <v>55</v>
      </c>
      <c r="W8" s="21" t="s">
        <v>56</v>
      </c>
    </row>
    <row r="9" spans="1:23" ht="18" customHeight="1">
      <c r="A9" s="10" t="s">
        <v>23</v>
      </c>
      <c r="B9" s="10" t="s">
        <v>24</v>
      </c>
      <c r="C9" s="10" t="s">
        <v>25</v>
      </c>
      <c r="D9" s="13">
        <v>2019</v>
      </c>
      <c r="E9" s="10" t="s">
        <v>71</v>
      </c>
      <c r="F9" s="10" t="s">
        <v>72</v>
      </c>
      <c r="G9" s="10" t="s">
        <v>28</v>
      </c>
      <c r="H9" s="10" t="s">
        <v>47</v>
      </c>
      <c r="I9" s="14">
        <v>169716.70380593851</v>
      </c>
      <c r="J9" s="14">
        <v>159398.44796725881</v>
      </c>
      <c r="K9" s="14">
        <v>10318.255838679701</v>
      </c>
      <c r="L9" s="14">
        <v>136940.54100943479</v>
      </c>
      <c r="M9" s="14">
        <v>32776.162796503697</v>
      </c>
      <c r="N9" s="10" t="s">
        <v>73</v>
      </c>
      <c r="O9" s="15">
        <v>3.76</v>
      </c>
      <c r="P9" s="10" t="s">
        <v>31</v>
      </c>
      <c r="Q9" s="15" t="s">
        <v>32</v>
      </c>
      <c r="R9" s="10" t="s">
        <v>33</v>
      </c>
      <c r="S9" s="10" t="s">
        <v>71</v>
      </c>
      <c r="T9" s="15">
        <f>IF(O9="","",(1/Metadata!$B$5)^(O9-1))</f>
        <v>575.43993733715706</v>
      </c>
      <c r="U9" s="14">
        <f t="shared" si="0"/>
        <v>97661769.403158098</v>
      </c>
      <c r="V9" s="22" t="s">
        <v>74</v>
      </c>
      <c r="W9" s="21" t="s">
        <v>75</v>
      </c>
    </row>
    <row r="10" spans="1:23" ht="18" customHeight="1">
      <c r="A10" s="10" t="s">
        <v>23</v>
      </c>
      <c r="B10" s="10" t="s">
        <v>24</v>
      </c>
      <c r="C10" s="10" t="s">
        <v>25</v>
      </c>
      <c r="D10" s="13">
        <v>2019</v>
      </c>
      <c r="E10" s="10" t="s">
        <v>76</v>
      </c>
      <c r="F10" s="10" t="s">
        <v>77</v>
      </c>
      <c r="G10" s="10" t="s">
        <v>38</v>
      </c>
      <c r="H10" s="10" t="s">
        <v>47</v>
      </c>
      <c r="I10" s="14">
        <v>162150.91160284341</v>
      </c>
      <c r="J10" s="14">
        <v>155028.4156334477</v>
      </c>
      <c r="K10" s="14">
        <v>7122.4959693956998</v>
      </c>
      <c r="L10" s="14">
        <v>143863.6603894</v>
      </c>
      <c r="M10" s="14">
        <v>18287.2512134434</v>
      </c>
      <c r="N10" s="10" t="s">
        <v>78</v>
      </c>
      <c r="O10" s="15">
        <v>3.19</v>
      </c>
      <c r="P10" s="10" t="s">
        <v>41</v>
      </c>
      <c r="Q10" s="15" t="s">
        <v>42</v>
      </c>
      <c r="R10" s="10" t="s">
        <v>33</v>
      </c>
      <c r="S10" s="10" t="s">
        <v>76</v>
      </c>
      <c r="T10" s="15">
        <f>IF(O10="","",(1/Metadata!$B$5)^(O10-1))</f>
        <v>154.8816618912482</v>
      </c>
      <c r="U10" s="14">
        <f t="shared" si="0"/>
        <v>25114202.666229267</v>
      </c>
      <c r="V10" s="22" t="s">
        <v>49</v>
      </c>
      <c r="W10" s="21" t="s">
        <v>50</v>
      </c>
    </row>
    <row r="11" spans="1:23" ht="18" customHeight="1">
      <c r="A11" s="10" t="s">
        <v>23</v>
      </c>
      <c r="B11" s="10" t="s">
        <v>24</v>
      </c>
      <c r="C11" s="10" t="s">
        <v>25</v>
      </c>
      <c r="D11" s="13">
        <v>2019</v>
      </c>
      <c r="E11" s="10" t="s">
        <v>79</v>
      </c>
      <c r="F11" s="10" t="s">
        <v>80</v>
      </c>
      <c r="G11" s="10" t="s">
        <v>81</v>
      </c>
      <c r="H11" s="10" t="s">
        <v>29</v>
      </c>
      <c r="I11" s="14">
        <v>140397.46707379431</v>
      </c>
      <c r="J11" s="14">
        <v>137365.75268625689</v>
      </c>
      <c r="K11" s="14">
        <v>3031.7143875373999</v>
      </c>
      <c r="L11" s="14">
        <v>94108.726393416495</v>
      </c>
      <c r="M11" s="14">
        <v>46288.740680377799</v>
      </c>
      <c r="N11" s="10" t="s">
        <v>82</v>
      </c>
      <c r="O11" s="15">
        <v>4.2</v>
      </c>
      <c r="P11" s="10" t="s">
        <v>41</v>
      </c>
      <c r="Q11" s="15" t="s">
        <v>42</v>
      </c>
      <c r="R11" s="10" t="s">
        <v>33</v>
      </c>
      <c r="S11" s="10" t="s">
        <v>79</v>
      </c>
      <c r="T11" s="15">
        <f>IF(O11="","",(1/Metadata!$B$5)^(O11-1))</f>
        <v>1584.8931924611156</v>
      </c>
      <c r="U11" s="14">
        <f t="shared" si="0"/>
        <v>222514989.80404022</v>
      </c>
      <c r="V11" s="22" t="s">
        <v>74</v>
      </c>
      <c r="W11" s="21" t="s">
        <v>75</v>
      </c>
    </row>
    <row r="12" spans="1:23" ht="18" customHeight="1">
      <c r="A12" s="10" t="s">
        <v>23</v>
      </c>
      <c r="B12" s="10" t="s">
        <v>24</v>
      </c>
      <c r="C12" s="10" t="s">
        <v>25</v>
      </c>
      <c r="D12" s="13">
        <v>2019</v>
      </c>
      <c r="E12" s="10" t="s">
        <v>83</v>
      </c>
      <c r="F12" s="10" t="s">
        <v>84</v>
      </c>
      <c r="G12" s="10" t="s">
        <v>38</v>
      </c>
      <c r="H12" s="10" t="s">
        <v>47</v>
      </c>
      <c r="I12" s="14">
        <v>138510.04972473611</v>
      </c>
      <c r="J12" s="14">
        <v>135715.1909103308</v>
      </c>
      <c r="K12" s="14">
        <v>2794.8588144053001</v>
      </c>
      <c r="L12" s="14">
        <v>116095.8062883892</v>
      </c>
      <c r="M12" s="14">
        <v>22414.2434363469</v>
      </c>
      <c r="N12" s="10" t="s">
        <v>85</v>
      </c>
      <c r="O12" s="15">
        <v>3.63</v>
      </c>
      <c r="P12" s="10" t="s">
        <v>31</v>
      </c>
      <c r="Q12" s="15" t="s">
        <v>32</v>
      </c>
      <c r="R12" s="10" t="s">
        <v>33</v>
      </c>
      <c r="S12" s="10" t="s">
        <v>83</v>
      </c>
      <c r="T12" s="15">
        <f>IF(O12="","",(1/Metadata!$B$5)^(O12-1))</f>
        <v>426.57951880159294</v>
      </c>
      <c r="U12" s="14">
        <f t="shared" si="0"/>
        <v>59085550.360762641</v>
      </c>
      <c r="V12" s="22" t="s">
        <v>60</v>
      </c>
      <c r="W12" s="21" t="s">
        <v>61</v>
      </c>
    </row>
    <row r="13" spans="1:23" ht="18" customHeight="1">
      <c r="A13" s="10" t="s">
        <v>23</v>
      </c>
      <c r="B13" s="10" t="s">
        <v>24</v>
      </c>
      <c r="C13" s="10" t="s">
        <v>25</v>
      </c>
      <c r="D13" s="13">
        <v>2019</v>
      </c>
      <c r="E13" s="10" t="s">
        <v>86</v>
      </c>
      <c r="F13" s="10" t="s">
        <v>87</v>
      </c>
      <c r="G13" s="10" t="s">
        <v>88</v>
      </c>
      <c r="H13" s="10" t="s">
        <v>89</v>
      </c>
      <c r="I13" s="14">
        <v>122640.4028354373</v>
      </c>
      <c r="J13" s="14">
        <v>122640.4028354373</v>
      </c>
      <c r="K13" s="14">
        <v>0</v>
      </c>
      <c r="L13" s="14">
        <v>69270.584221869707</v>
      </c>
      <c r="M13" s="14">
        <v>53369.818613567601</v>
      </c>
      <c r="N13" s="10" t="s">
        <v>90</v>
      </c>
      <c r="O13" s="15">
        <v>2.7</v>
      </c>
      <c r="P13" s="10" t="s">
        <v>31</v>
      </c>
      <c r="Q13" s="15" t="s">
        <v>32</v>
      </c>
      <c r="R13" s="10" t="s">
        <v>33</v>
      </c>
      <c r="S13" s="10" t="s">
        <v>86</v>
      </c>
      <c r="T13" s="15">
        <f>IF(O13="","",(1/Metadata!$B$5)^(O13-1))</f>
        <v>50.118723362727259</v>
      </c>
      <c r="U13" s="14">
        <f t="shared" si="0"/>
        <v>6146580.4228027137</v>
      </c>
      <c r="V13" s="22" t="s">
        <v>91</v>
      </c>
      <c r="W13" s="21" t="s">
        <v>92</v>
      </c>
    </row>
    <row r="14" spans="1:23" ht="18" customHeight="1">
      <c r="A14" s="10" t="s">
        <v>23</v>
      </c>
      <c r="B14" s="10" t="s">
        <v>24</v>
      </c>
      <c r="C14" s="10" t="s">
        <v>25</v>
      </c>
      <c r="D14" s="13">
        <v>2019</v>
      </c>
      <c r="E14" s="10" t="s">
        <v>93</v>
      </c>
      <c r="F14" s="10" t="s">
        <v>94</v>
      </c>
      <c r="G14" s="10" t="s">
        <v>88</v>
      </c>
      <c r="H14" s="10" t="s">
        <v>89</v>
      </c>
      <c r="I14" s="14">
        <v>115550.5591611468</v>
      </c>
      <c r="J14" s="14">
        <v>112093.9848669952</v>
      </c>
      <c r="K14" s="14">
        <v>3456.5742941516</v>
      </c>
      <c r="L14" s="14">
        <v>107517.17454920099</v>
      </c>
      <c r="M14" s="14">
        <v>8033.3846119458003</v>
      </c>
      <c r="N14" s="10" t="s">
        <v>95</v>
      </c>
      <c r="O14" s="15">
        <v>3.31</v>
      </c>
      <c r="P14" s="10" t="s">
        <v>31</v>
      </c>
      <c r="Q14" s="15" t="s">
        <v>32</v>
      </c>
      <c r="R14" s="10" t="s">
        <v>33</v>
      </c>
      <c r="S14" s="10" t="s">
        <v>93</v>
      </c>
      <c r="T14" s="15">
        <f>IF(O14="","",(1/Metadata!$B$5)^(O14-1))</f>
        <v>204.17379446695315</v>
      </c>
      <c r="U14" s="14">
        <f t="shared" si="0"/>
        <v>23592396.116709497</v>
      </c>
      <c r="V14" s="22" t="s">
        <v>91</v>
      </c>
      <c r="W14" s="21" t="s">
        <v>92</v>
      </c>
    </row>
    <row r="15" spans="1:23" ht="18" customHeight="1">
      <c r="A15" s="10" t="s">
        <v>23</v>
      </c>
      <c r="B15" s="10" t="s">
        <v>24</v>
      </c>
      <c r="C15" s="10" t="s">
        <v>25</v>
      </c>
      <c r="D15" s="13">
        <v>2019</v>
      </c>
      <c r="E15" s="10" t="s">
        <v>96</v>
      </c>
      <c r="F15" s="10" t="s">
        <v>97</v>
      </c>
      <c r="G15" s="10" t="s">
        <v>98</v>
      </c>
      <c r="H15" s="10" t="s">
        <v>47</v>
      </c>
      <c r="I15" s="14">
        <v>114396.3667779833</v>
      </c>
      <c r="J15" s="14">
        <v>110229.33801761889</v>
      </c>
      <c r="K15" s="14">
        <v>4167.0287603644001</v>
      </c>
      <c r="L15" s="14">
        <v>86752.025614883198</v>
      </c>
      <c r="M15" s="14">
        <v>27644.3411631001</v>
      </c>
      <c r="N15" s="10" t="s">
        <v>99</v>
      </c>
      <c r="O15" s="15">
        <v>3.51</v>
      </c>
      <c r="P15" s="10" t="s">
        <v>31</v>
      </c>
      <c r="Q15" s="15" t="s">
        <v>32</v>
      </c>
      <c r="R15" s="10" t="s">
        <v>33</v>
      </c>
      <c r="S15" s="10" t="s">
        <v>96</v>
      </c>
      <c r="T15" s="15">
        <f>IF(O15="","",(1/Metadata!$B$5)^(O15-1))</f>
        <v>323.59365692962825</v>
      </c>
      <c r="U15" s="14">
        <f t="shared" si="0"/>
        <v>37017938.66515065</v>
      </c>
      <c r="V15" s="22" t="s">
        <v>100</v>
      </c>
      <c r="W15" s="21" t="s">
        <v>101</v>
      </c>
    </row>
    <row r="16" spans="1:23" ht="18" customHeight="1">
      <c r="A16" s="10" t="s">
        <v>23</v>
      </c>
      <c r="B16" s="10" t="s">
        <v>24</v>
      </c>
      <c r="C16" s="10" t="s">
        <v>25</v>
      </c>
      <c r="D16" s="13">
        <v>2019</v>
      </c>
      <c r="E16" s="10" t="s">
        <v>102</v>
      </c>
      <c r="F16" s="10" t="s">
        <v>103</v>
      </c>
      <c r="G16" s="10" t="s">
        <v>53</v>
      </c>
      <c r="H16" s="10" t="s">
        <v>104</v>
      </c>
      <c r="I16" s="14">
        <v>96112.395376823799</v>
      </c>
      <c r="J16" s="14">
        <v>91998.261064917198</v>
      </c>
      <c r="K16" s="14">
        <v>4114.1343119065996</v>
      </c>
      <c r="L16" s="14">
        <v>82684.490099320392</v>
      </c>
      <c r="M16" s="14">
        <v>13427.9052775034</v>
      </c>
      <c r="N16" s="10" t="s">
        <v>105</v>
      </c>
      <c r="O16" s="15">
        <v>3.2</v>
      </c>
      <c r="P16" s="10" t="s">
        <v>31</v>
      </c>
      <c r="Q16" s="15" t="s">
        <v>32</v>
      </c>
      <c r="R16" s="10" t="s">
        <v>33</v>
      </c>
      <c r="S16" s="10" t="s">
        <v>102</v>
      </c>
      <c r="T16" s="15">
        <f>IF(O16="","",(1/Metadata!$B$5)^(O16-1))</f>
        <v>158.48931924611153</v>
      </c>
      <c r="U16" s="14">
        <f t="shared" si="0"/>
        <v>15232788.114385922</v>
      </c>
      <c r="V16" s="22" t="s">
        <v>55</v>
      </c>
      <c r="W16" s="21" t="s">
        <v>56</v>
      </c>
    </row>
    <row r="17" spans="1:23" ht="18" customHeight="1">
      <c r="A17" s="10" t="s">
        <v>23</v>
      </c>
      <c r="B17" s="10" t="s">
        <v>24</v>
      </c>
      <c r="C17" s="10" t="s">
        <v>25</v>
      </c>
      <c r="D17" s="13">
        <v>2019</v>
      </c>
      <c r="E17" s="10" t="s">
        <v>106</v>
      </c>
      <c r="F17" s="10" t="s">
        <v>107</v>
      </c>
      <c r="G17" s="10" t="s">
        <v>53</v>
      </c>
      <c r="H17" s="10" t="s">
        <v>104</v>
      </c>
      <c r="I17" s="14">
        <v>96106.815798699492</v>
      </c>
      <c r="J17" s="14">
        <v>93552.207344757408</v>
      </c>
      <c r="K17" s="14">
        <v>2554.6084539420999</v>
      </c>
      <c r="L17" s="14">
        <v>84437.310950956293</v>
      </c>
      <c r="M17" s="14">
        <v>11669.504847743199</v>
      </c>
      <c r="N17" s="10" t="s">
        <v>108</v>
      </c>
      <c r="O17" s="15">
        <v>3.44</v>
      </c>
      <c r="P17" s="10" t="s">
        <v>31</v>
      </c>
      <c r="Q17" s="15" t="s">
        <v>32</v>
      </c>
      <c r="R17" s="10" t="s">
        <v>33</v>
      </c>
      <c r="S17" s="10" t="s">
        <v>106</v>
      </c>
      <c r="T17" s="15">
        <f>IF(O17="","",(1/Metadata!$B$5)^(O17-1))</f>
        <v>275.42287033381683</v>
      </c>
      <c r="U17" s="14">
        <f t="shared" si="0"/>
        <v>26470015.065921228</v>
      </c>
      <c r="V17" s="22" t="s">
        <v>55</v>
      </c>
      <c r="W17" s="21" t="s">
        <v>56</v>
      </c>
    </row>
    <row r="18" spans="1:23" ht="18" customHeight="1">
      <c r="A18" s="10" t="s">
        <v>23</v>
      </c>
      <c r="B18" s="10" t="s">
        <v>24</v>
      </c>
      <c r="C18" s="10" t="s">
        <v>25</v>
      </c>
      <c r="D18" s="13">
        <v>2019</v>
      </c>
      <c r="E18" s="10" t="s">
        <v>109</v>
      </c>
      <c r="F18" s="10" t="s">
        <v>110</v>
      </c>
      <c r="G18" s="10" t="s">
        <v>53</v>
      </c>
      <c r="H18" s="10" t="s">
        <v>39</v>
      </c>
      <c r="I18" s="14">
        <v>77922.070219523899</v>
      </c>
      <c r="J18" s="14">
        <v>76219.646490875792</v>
      </c>
      <c r="K18" s="14">
        <v>1702.4237286481</v>
      </c>
      <c r="L18" s="14">
        <v>76219.646490875792</v>
      </c>
      <c r="M18" s="14">
        <v>1702.4237286481</v>
      </c>
      <c r="N18" s="10" t="s">
        <v>111</v>
      </c>
      <c r="O18" s="15">
        <v>2.41</v>
      </c>
      <c r="P18" s="10" t="s">
        <v>41</v>
      </c>
      <c r="Q18" s="15" t="s">
        <v>42</v>
      </c>
      <c r="R18" s="10" t="s">
        <v>33</v>
      </c>
      <c r="S18" s="10" t="s">
        <v>109</v>
      </c>
      <c r="T18" s="15">
        <f>IF(O18="","",(1/Metadata!$B$5)^(O18-1))</f>
        <v>25.703957827688658</v>
      </c>
      <c r="U18" s="14">
        <f t="shared" si="0"/>
        <v>2002905.6067688365</v>
      </c>
      <c r="V18" s="22" t="s">
        <v>55</v>
      </c>
      <c r="W18" s="21" t="s">
        <v>56</v>
      </c>
    </row>
    <row r="19" spans="1:23" ht="18" customHeight="1">
      <c r="A19" s="10" t="s">
        <v>23</v>
      </c>
      <c r="B19" s="10" t="s">
        <v>24</v>
      </c>
      <c r="C19" s="10" t="s">
        <v>25</v>
      </c>
      <c r="D19" s="13">
        <v>2019</v>
      </c>
      <c r="E19" s="10" t="s">
        <v>112</v>
      </c>
      <c r="F19" s="10" t="s">
        <v>113</v>
      </c>
      <c r="G19" s="10" t="s">
        <v>81</v>
      </c>
      <c r="H19" s="10" t="s">
        <v>47</v>
      </c>
      <c r="I19" s="14">
        <v>77565.082943923291</v>
      </c>
      <c r="J19" s="14">
        <v>76224.754829289508</v>
      </c>
      <c r="K19" s="14">
        <v>1340.3281146337999</v>
      </c>
      <c r="L19" s="14">
        <v>61379.255126558797</v>
      </c>
      <c r="M19" s="14">
        <v>16185.827817364499</v>
      </c>
      <c r="N19" s="10" t="s">
        <v>114</v>
      </c>
      <c r="O19" s="15">
        <v>3.3</v>
      </c>
      <c r="P19" s="10" t="s">
        <v>41</v>
      </c>
      <c r="Q19" s="15" t="s">
        <v>42</v>
      </c>
      <c r="R19" s="10" t="s">
        <v>33</v>
      </c>
      <c r="S19" s="10" t="s">
        <v>112</v>
      </c>
      <c r="T19" s="15">
        <f>IF(O19="","",(1/Metadata!$B$5)^(O19-1))</f>
        <v>199.52623149688802</v>
      </c>
      <c r="U19" s="14">
        <f t="shared" si="0"/>
        <v>15476268.69554456</v>
      </c>
      <c r="V19" s="22" t="s">
        <v>66</v>
      </c>
      <c r="W19" s="21" t="s">
        <v>67</v>
      </c>
    </row>
    <row r="20" spans="1:23" ht="18" customHeight="1">
      <c r="A20" s="10" t="s">
        <v>23</v>
      </c>
      <c r="B20" s="10" t="s">
        <v>24</v>
      </c>
      <c r="C20" s="10" t="s">
        <v>25</v>
      </c>
      <c r="D20" s="13">
        <v>2019</v>
      </c>
      <c r="E20" s="10" t="s">
        <v>115</v>
      </c>
      <c r="F20" s="10" t="s">
        <v>116</v>
      </c>
      <c r="G20" s="10" t="s">
        <v>28</v>
      </c>
      <c r="H20" s="10" t="s">
        <v>29</v>
      </c>
      <c r="I20" s="14">
        <v>68577.978782630496</v>
      </c>
      <c r="J20" s="14">
        <v>64534.110603891902</v>
      </c>
      <c r="K20" s="14">
        <v>4043.8681787385999</v>
      </c>
      <c r="L20" s="14">
        <v>48302.436421771301</v>
      </c>
      <c r="M20" s="14">
        <v>20275.542360859199</v>
      </c>
      <c r="N20" s="10" t="s">
        <v>117</v>
      </c>
      <c r="O20" s="15">
        <v>3.48</v>
      </c>
      <c r="P20" s="10" t="s">
        <v>31</v>
      </c>
      <c r="Q20" s="15" t="s">
        <v>32</v>
      </c>
      <c r="R20" s="10" t="s">
        <v>33</v>
      </c>
      <c r="S20" s="10" t="s">
        <v>115</v>
      </c>
      <c r="T20" s="15">
        <f>IF(O20="","",(1/Metadata!$B$5)^(O20-1))</f>
        <v>301.99517204020168</v>
      </c>
      <c r="U20" s="14">
        <f t="shared" si="0"/>
        <v>20710218.500629798</v>
      </c>
      <c r="V20" s="23" t="s">
        <v>118</v>
      </c>
      <c r="W20" s="21" t="s">
        <v>119</v>
      </c>
    </row>
    <row r="21" spans="1:23" ht="18" customHeight="1">
      <c r="A21" s="10" t="s">
        <v>23</v>
      </c>
      <c r="B21" s="10" t="s">
        <v>24</v>
      </c>
      <c r="C21" s="10" t="s">
        <v>25</v>
      </c>
      <c r="D21" s="13">
        <v>2019</v>
      </c>
      <c r="E21" s="10" t="s">
        <v>120</v>
      </c>
      <c r="F21" s="10" t="s">
        <v>121</v>
      </c>
      <c r="G21" s="10" t="s">
        <v>122</v>
      </c>
      <c r="H21" s="10" t="s">
        <v>89</v>
      </c>
      <c r="I21" s="14">
        <v>63068.482619976698</v>
      </c>
      <c r="J21" s="14">
        <v>60042.233752386397</v>
      </c>
      <c r="K21" s="14">
        <v>3026.2488675903001</v>
      </c>
      <c r="L21" s="14">
        <v>56961.609306691003</v>
      </c>
      <c r="M21" s="14">
        <v>6106.8733132856996</v>
      </c>
      <c r="N21" s="10" t="s">
        <v>123</v>
      </c>
      <c r="O21" s="15">
        <v>3.43</v>
      </c>
      <c r="P21" s="10" t="s">
        <v>31</v>
      </c>
      <c r="Q21" s="15" t="s">
        <v>32</v>
      </c>
      <c r="R21" s="10" t="s">
        <v>33</v>
      </c>
      <c r="S21" s="10" t="s">
        <v>120</v>
      </c>
      <c r="T21" s="15">
        <f>IF(O21="","",(1/Metadata!$B$5)^(O21-1))</f>
        <v>269.15348039269179</v>
      </c>
      <c r="U21" s="14">
        <f t="shared" si="0"/>
        <v>16975101.600252721</v>
      </c>
      <c r="V21" s="22" t="s">
        <v>91</v>
      </c>
      <c r="W21" s="21" t="s">
        <v>124</v>
      </c>
    </row>
    <row r="22" spans="1:23" ht="18" customHeight="1">
      <c r="A22" s="10" t="s">
        <v>23</v>
      </c>
      <c r="B22" s="10" t="s">
        <v>24</v>
      </c>
      <c r="C22" s="10" t="s">
        <v>25</v>
      </c>
      <c r="D22" s="13">
        <v>2019</v>
      </c>
      <c r="E22" s="10" t="s">
        <v>125</v>
      </c>
      <c r="F22" s="10" t="s">
        <v>126</v>
      </c>
      <c r="G22" s="10" t="s">
        <v>127</v>
      </c>
      <c r="H22" s="10" t="s">
        <v>29</v>
      </c>
      <c r="I22" s="14">
        <v>62737.999078550412</v>
      </c>
      <c r="J22" s="14">
        <v>62160.433498043698</v>
      </c>
      <c r="K22" s="14">
        <v>577.56558050669992</v>
      </c>
      <c r="L22" s="14">
        <v>13858.070614528</v>
      </c>
      <c r="M22" s="14">
        <v>48879.9284640224</v>
      </c>
      <c r="N22" s="10" t="s">
        <v>128</v>
      </c>
      <c r="O22" s="15">
        <v>3.89</v>
      </c>
      <c r="P22" s="10" t="s">
        <v>31</v>
      </c>
      <c r="Q22" s="15" t="s">
        <v>32</v>
      </c>
      <c r="R22" s="10" t="s">
        <v>33</v>
      </c>
      <c r="S22" s="10" t="s">
        <v>125</v>
      </c>
      <c r="T22" s="15">
        <f>IF(O22="","",(1/Metadata!$B$5)^(O22-1))</f>
        <v>776.24711662869231</v>
      </c>
      <c r="U22" s="14">
        <f t="shared" si="0"/>
        <v>48700190.887778312</v>
      </c>
      <c r="V22" s="22" t="s">
        <v>129</v>
      </c>
      <c r="W22" s="21" t="s">
        <v>130</v>
      </c>
    </row>
    <row r="23" spans="1:23" ht="18" customHeight="1">
      <c r="A23" s="10" t="s">
        <v>23</v>
      </c>
      <c r="B23" s="10" t="s">
        <v>24</v>
      </c>
      <c r="C23" s="10" t="s">
        <v>25</v>
      </c>
      <c r="D23" s="13">
        <v>2019</v>
      </c>
      <c r="E23" s="10" t="s">
        <v>131</v>
      </c>
      <c r="F23" s="10" t="s">
        <v>132</v>
      </c>
      <c r="G23" s="10" t="s">
        <v>38</v>
      </c>
      <c r="H23" s="10" t="s">
        <v>47</v>
      </c>
      <c r="I23" s="14">
        <v>58922.895292197201</v>
      </c>
      <c r="J23" s="14">
        <v>58903.255156562896</v>
      </c>
      <c r="K23" s="14">
        <v>19.640135634300002</v>
      </c>
      <c r="L23" s="14">
        <v>39992.221276637203</v>
      </c>
      <c r="M23" s="14">
        <v>18930.674015559998</v>
      </c>
      <c r="N23" s="10" t="s">
        <v>133</v>
      </c>
      <c r="O23" s="15">
        <v>4.24</v>
      </c>
      <c r="P23" s="10" t="s">
        <v>41</v>
      </c>
      <c r="Q23" s="15" t="s">
        <v>42</v>
      </c>
      <c r="R23" s="10" t="s">
        <v>33</v>
      </c>
      <c r="S23" s="10" t="s">
        <v>131</v>
      </c>
      <c r="T23" s="15">
        <f>IF(O23="","",(1/Metadata!$B$5)^(O23-1))</f>
        <v>1737.8008287493772</v>
      </c>
      <c r="U23" s="14">
        <f t="shared" si="0"/>
        <v>102396256.27109307</v>
      </c>
      <c r="V23" s="22" t="s">
        <v>60</v>
      </c>
      <c r="W23" s="21" t="s">
        <v>61</v>
      </c>
    </row>
    <row r="24" spans="1:23" ht="18" customHeight="1">
      <c r="A24" s="10" t="s">
        <v>23</v>
      </c>
      <c r="B24" s="10" t="s">
        <v>24</v>
      </c>
      <c r="C24" s="10" t="s">
        <v>25</v>
      </c>
      <c r="D24" s="13">
        <v>2019</v>
      </c>
      <c r="E24" s="10" t="s">
        <v>134</v>
      </c>
      <c r="F24" s="10" t="s">
        <v>135</v>
      </c>
      <c r="G24" s="10" t="s">
        <v>136</v>
      </c>
      <c r="H24" s="10" t="s">
        <v>137</v>
      </c>
      <c r="I24" s="14">
        <v>58011.215035699897</v>
      </c>
      <c r="J24" s="14">
        <v>55039.652971007301</v>
      </c>
      <c r="K24" s="14">
        <v>2971.5620646926</v>
      </c>
      <c r="L24" s="14">
        <v>51865.459632192797</v>
      </c>
      <c r="M24" s="14">
        <v>6145.7554035070998</v>
      </c>
      <c r="N24" s="10" t="s">
        <v>138</v>
      </c>
      <c r="O24" s="15">
        <v>4.05</v>
      </c>
      <c r="P24" s="10" t="s">
        <v>31</v>
      </c>
      <c r="Q24" s="15" t="s">
        <v>32</v>
      </c>
      <c r="R24" s="10" t="s">
        <v>33</v>
      </c>
      <c r="S24" s="10" t="s">
        <v>134</v>
      </c>
      <c r="T24" s="15">
        <f>IF(O24="","",(1/Metadata!$B$5)^(O24-1))</f>
        <v>1122.0184543019636</v>
      </c>
      <c r="U24" s="14">
        <f t="shared" si="0"/>
        <v>65089653.82653483</v>
      </c>
      <c r="V24" s="20" t="s">
        <v>34</v>
      </c>
      <c r="W24" s="21" t="s">
        <v>139</v>
      </c>
    </row>
    <row r="25" spans="1:23" ht="18" customHeight="1">
      <c r="A25" s="10" t="s">
        <v>23</v>
      </c>
      <c r="B25" s="10" t="s">
        <v>24</v>
      </c>
      <c r="C25" s="10" t="s">
        <v>25</v>
      </c>
      <c r="D25" s="13">
        <v>2019</v>
      </c>
      <c r="E25" s="10" t="s">
        <v>140</v>
      </c>
      <c r="F25" s="10" t="s">
        <v>141</v>
      </c>
      <c r="G25" s="10" t="s">
        <v>38</v>
      </c>
      <c r="H25" s="10" t="s">
        <v>47</v>
      </c>
      <c r="I25" s="14">
        <v>57983.303858372397</v>
      </c>
      <c r="J25" s="14">
        <v>56151.901474879996</v>
      </c>
      <c r="K25" s="14">
        <v>1831.4023834924001</v>
      </c>
      <c r="L25" s="14">
        <v>42087.944818298201</v>
      </c>
      <c r="M25" s="14">
        <v>15895.3590400742</v>
      </c>
      <c r="N25" s="10" t="s">
        <v>142</v>
      </c>
      <c r="O25" s="15">
        <v>4.26</v>
      </c>
      <c r="P25" s="10" t="s">
        <v>31</v>
      </c>
      <c r="Q25" s="15" t="s">
        <v>32</v>
      </c>
      <c r="R25" s="10" t="s">
        <v>33</v>
      </c>
      <c r="S25" s="10" t="s">
        <v>140</v>
      </c>
      <c r="T25" s="15">
        <f>IF(O25="","",(1/Metadata!$B$5)^(O25-1))</f>
        <v>1819.7008586099832</v>
      </c>
      <c r="U25" s="14">
        <f t="shared" si="0"/>
        <v>105512267.8161238</v>
      </c>
      <c r="V25" s="20" t="s">
        <v>34</v>
      </c>
      <c r="W25" s="21" t="s">
        <v>143</v>
      </c>
    </row>
    <row r="26" spans="1:23" ht="18" customHeight="1">
      <c r="A26" s="10" t="s">
        <v>23</v>
      </c>
      <c r="B26" s="10" t="s">
        <v>24</v>
      </c>
      <c r="C26" s="10" t="s">
        <v>25</v>
      </c>
      <c r="D26" s="13">
        <v>2019</v>
      </c>
      <c r="E26" s="10" t="s">
        <v>144</v>
      </c>
      <c r="F26" s="10" t="s">
        <v>145</v>
      </c>
      <c r="G26" s="10" t="s">
        <v>28</v>
      </c>
      <c r="H26" s="10" t="s">
        <v>29</v>
      </c>
      <c r="I26" s="14">
        <v>52611.6254080406</v>
      </c>
      <c r="J26" s="14">
        <v>48017.759312200498</v>
      </c>
      <c r="K26" s="14">
        <v>4593.8660958400997</v>
      </c>
      <c r="L26" s="14">
        <v>39694.748960520301</v>
      </c>
      <c r="M26" s="14">
        <v>12916.876447520301</v>
      </c>
      <c r="N26" s="10" t="s">
        <v>146</v>
      </c>
      <c r="O26" s="15">
        <v>4.3</v>
      </c>
      <c r="P26" s="10" t="s">
        <v>31</v>
      </c>
      <c r="Q26" s="15" t="s">
        <v>32</v>
      </c>
      <c r="R26" s="10" t="s">
        <v>33</v>
      </c>
      <c r="S26" s="10" t="s">
        <v>144</v>
      </c>
      <c r="T26" s="15">
        <f>IF(O26="","",(1/Metadata!$B$5)^(O26-1))</f>
        <v>1995.2623149688804</v>
      </c>
      <c r="U26" s="14">
        <f t="shared" si="0"/>
        <v>104973993.50592266</v>
      </c>
      <c r="V26" s="22" t="s">
        <v>74</v>
      </c>
      <c r="W26" s="21" t="s">
        <v>75</v>
      </c>
    </row>
    <row r="27" spans="1:23" ht="18" customHeight="1">
      <c r="A27" s="10" t="s">
        <v>23</v>
      </c>
      <c r="B27" s="10" t="s">
        <v>24</v>
      </c>
      <c r="C27" s="10" t="s">
        <v>25</v>
      </c>
      <c r="D27" s="13">
        <v>2019</v>
      </c>
      <c r="E27" s="10" t="s">
        <v>147</v>
      </c>
      <c r="F27" s="10" t="s">
        <v>148</v>
      </c>
      <c r="G27" s="10" t="s">
        <v>149</v>
      </c>
      <c r="H27" s="10" t="s">
        <v>29</v>
      </c>
      <c r="I27" s="14">
        <v>50138.9679605977</v>
      </c>
      <c r="J27" s="14">
        <v>47833.275546492812</v>
      </c>
      <c r="K27" s="14">
        <v>2305.6924141048999</v>
      </c>
      <c r="L27" s="14">
        <v>46412.249111490702</v>
      </c>
      <c r="M27" s="14">
        <v>3726.7188491070001</v>
      </c>
      <c r="N27" s="10" t="s">
        <v>150</v>
      </c>
      <c r="O27" s="15">
        <v>3.81</v>
      </c>
      <c r="P27" s="10" t="s">
        <v>31</v>
      </c>
      <c r="Q27" s="15" t="s">
        <v>32</v>
      </c>
      <c r="R27" s="10" t="s">
        <v>33</v>
      </c>
      <c r="S27" s="10" t="s">
        <v>147</v>
      </c>
      <c r="T27" s="15">
        <f>IF(O27="","",(1/Metadata!$B$5)^(O27-1))</f>
        <v>645.65422903465594</v>
      </c>
      <c r="U27" s="14">
        <f t="shared" si="0"/>
        <v>32372436.703193024</v>
      </c>
      <c r="V27" s="22" t="s">
        <v>149</v>
      </c>
      <c r="W27" s="21" t="s">
        <v>151</v>
      </c>
    </row>
    <row r="28" spans="1:23" ht="18" customHeight="1">
      <c r="A28" s="10" t="s">
        <v>23</v>
      </c>
      <c r="B28" s="10" t="s">
        <v>24</v>
      </c>
      <c r="C28" s="10" t="s">
        <v>25</v>
      </c>
      <c r="D28" s="13">
        <v>2019</v>
      </c>
      <c r="E28" s="10" t="s">
        <v>152</v>
      </c>
      <c r="F28" s="10" t="s">
        <v>153</v>
      </c>
      <c r="G28" s="10" t="s">
        <v>28</v>
      </c>
      <c r="H28" s="10" t="s">
        <v>29</v>
      </c>
      <c r="I28" s="14">
        <v>48632.363691851402</v>
      </c>
      <c r="J28" s="14">
        <v>48632.270832574402</v>
      </c>
      <c r="K28" s="14">
        <v>9.285927699999999E-2</v>
      </c>
      <c r="L28" s="14">
        <v>26931.474827604499</v>
      </c>
      <c r="M28" s="14">
        <v>21700.888864246899</v>
      </c>
      <c r="N28" s="10" t="s">
        <v>154</v>
      </c>
      <c r="O28" s="15">
        <v>4.3499999999999996</v>
      </c>
      <c r="P28" s="10" t="s">
        <v>31</v>
      </c>
      <c r="Q28" s="15" t="s">
        <v>32</v>
      </c>
      <c r="R28" s="10" t="s">
        <v>33</v>
      </c>
      <c r="S28" s="10" t="s">
        <v>152</v>
      </c>
      <c r="T28" s="15">
        <f>IF(O28="","",(1/Metadata!$B$5)^(O28-1))</f>
        <v>2238.7211385683395</v>
      </c>
      <c r="U28" s="14">
        <f t="shared" si="0"/>
        <v>108874300.61549115</v>
      </c>
      <c r="V28" s="22" t="s">
        <v>74</v>
      </c>
      <c r="W28" s="21" t="s">
        <v>75</v>
      </c>
    </row>
    <row r="29" spans="1:23" ht="18" customHeight="1">
      <c r="A29" s="10" t="s">
        <v>23</v>
      </c>
      <c r="B29" s="10" t="s">
        <v>24</v>
      </c>
      <c r="C29" s="10" t="s">
        <v>25</v>
      </c>
      <c r="D29" s="13">
        <v>2019</v>
      </c>
      <c r="E29" s="10" t="s">
        <v>155</v>
      </c>
      <c r="F29" s="10" t="s">
        <v>156</v>
      </c>
      <c r="G29" s="10" t="s">
        <v>157</v>
      </c>
      <c r="H29" s="10" t="s">
        <v>47</v>
      </c>
      <c r="I29" s="14">
        <v>46729.028506778901</v>
      </c>
      <c r="J29" s="14">
        <v>44493.951189945903</v>
      </c>
      <c r="K29" s="14">
        <v>2235.0773168330002</v>
      </c>
      <c r="L29" s="14">
        <v>41072.773155159499</v>
      </c>
      <c r="M29" s="14">
        <v>5656.2553516194002</v>
      </c>
      <c r="N29" s="10" t="s">
        <v>158</v>
      </c>
      <c r="O29" s="15">
        <v>4.4000000000000004</v>
      </c>
      <c r="P29" s="10" t="s">
        <v>31</v>
      </c>
      <c r="Q29" s="15" t="s">
        <v>32</v>
      </c>
      <c r="R29" s="10" t="s">
        <v>33</v>
      </c>
      <c r="S29" s="10" t="s">
        <v>155</v>
      </c>
      <c r="T29" s="15">
        <f>IF(O29="","",(1/Metadata!$B$5)^(O29-1))</f>
        <v>2511.8864315095834</v>
      </c>
      <c r="U29" s="14">
        <f t="shared" si="0"/>
        <v>117378012.66380244</v>
      </c>
      <c r="V29" s="22" t="s">
        <v>129</v>
      </c>
      <c r="W29" s="21" t="s">
        <v>130</v>
      </c>
    </row>
    <row r="30" spans="1:23" ht="18" customHeight="1">
      <c r="A30" s="10" t="s">
        <v>23</v>
      </c>
      <c r="B30" s="10" t="s">
        <v>24</v>
      </c>
      <c r="C30" s="10" t="s">
        <v>25</v>
      </c>
      <c r="D30" s="13">
        <v>2019</v>
      </c>
      <c r="E30" s="10" t="s">
        <v>159</v>
      </c>
      <c r="F30" s="10" t="s">
        <v>160</v>
      </c>
      <c r="G30" s="10" t="s">
        <v>88</v>
      </c>
      <c r="H30" s="10" t="s">
        <v>89</v>
      </c>
      <c r="I30" s="14">
        <v>46032.350517882602</v>
      </c>
      <c r="J30" s="14">
        <v>44938.991235190202</v>
      </c>
      <c r="K30" s="14">
        <v>1093.3592826924</v>
      </c>
      <c r="L30" s="14">
        <v>38492.214564955597</v>
      </c>
      <c r="M30" s="14">
        <v>7540.1359529270003</v>
      </c>
      <c r="N30" s="10" t="s">
        <v>161</v>
      </c>
      <c r="O30" s="15">
        <v>2.7</v>
      </c>
      <c r="P30" s="10" t="s">
        <v>31</v>
      </c>
      <c r="Q30" s="15" t="s">
        <v>32</v>
      </c>
      <c r="R30" s="10" t="s">
        <v>33</v>
      </c>
      <c r="S30" s="10" t="s">
        <v>159</v>
      </c>
      <c r="T30" s="15">
        <f>IF(O30="","",(1/Metadata!$B$5)^(O30-1))</f>
        <v>50.118723362727259</v>
      </c>
      <c r="U30" s="14">
        <f t="shared" si="0"/>
        <v>2307082.641341853</v>
      </c>
      <c r="V30" s="22" t="s">
        <v>91</v>
      </c>
      <c r="W30" s="21" t="s">
        <v>124</v>
      </c>
    </row>
    <row r="31" spans="1:23" ht="18" customHeight="1">
      <c r="A31" s="10" t="s">
        <v>23</v>
      </c>
      <c r="B31" s="10" t="s">
        <v>24</v>
      </c>
      <c r="C31" s="10" t="s">
        <v>25</v>
      </c>
      <c r="D31" s="13">
        <v>2019</v>
      </c>
      <c r="E31" s="10" t="s">
        <v>162</v>
      </c>
      <c r="F31" s="10" t="s">
        <v>163</v>
      </c>
      <c r="G31" s="10" t="s">
        <v>38</v>
      </c>
      <c r="H31" s="10" t="s">
        <v>47</v>
      </c>
      <c r="I31" s="14">
        <v>45117.539161687302</v>
      </c>
      <c r="J31" s="14">
        <v>45117.539161687302</v>
      </c>
      <c r="K31" s="14">
        <v>0</v>
      </c>
      <c r="L31" s="14">
        <v>26555.739703340401</v>
      </c>
      <c r="M31" s="14">
        <v>18561.799458346901</v>
      </c>
      <c r="N31" s="10" t="s">
        <v>164</v>
      </c>
      <c r="O31" s="15">
        <v>3.68</v>
      </c>
      <c r="P31" s="10" t="s">
        <v>41</v>
      </c>
      <c r="Q31" s="15" t="s">
        <v>42</v>
      </c>
      <c r="R31" s="10" t="s">
        <v>33</v>
      </c>
      <c r="S31" s="10" t="s">
        <v>162</v>
      </c>
      <c r="T31" s="15">
        <f>IF(O31="","",(1/Metadata!$B$5)^(O31-1))</f>
        <v>478.63009232263886</v>
      </c>
      <c r="U31" s="14">
        <f t="shared" si="0"/>
        <v>21594611.934328668</v>
      </c>
      <c r="V31" s="22" t="s">
        <v>60</v>
      </c>
      <c r="W31" s="21" t="s">
        <v>61</v>
      </c>
    </row>
    <row r="32" spans="1:23" ht="18" customHeight="1">
      <c r="A32" s="10" t="s">
        <v>23</v>
      </c>
      <c r="B32" s="10" t="s">
        <v>24</v>
      </c>
      <c r="C32" s="10" t="s">
        <v>25</v>
      </c>
      <c r="D32" s="13">
        <v>2019</v>
      </c>
      <c r="E32" s="10" t="s">
        <v>165</v>
      </c>
      <c r="F32" s="10" t="s">
        <v>166</v>
      </c>
      <c r="G32" s="10" t="s">
        <v>53</v>
      </c>
      <c r="H32" s="10" t="s">
        <v>39</v>
      </c>
      <c r="I32" s="14">
        <v>44906.575952519997</v>
      </c>
      <c r="J32" s="14">
        <v>44906.575952519997</v>
      </c>
      <c r="K32" s="14">
        <v>0</v>
      </c>
      <c r="L32" s="14">
        <v>37896.2414486056</v>
      </c>
      <c r="M32" s="14">
        <v>7010.3345039144006</v>
      </c>
      <c r="N32" s="10" t="s">
        <v>167</v>
      </c>
      <c r="O32" s="15">
        <v>2.77</v>
      </c>
      <c r="P32" s="10" t="s">
        <v>31</v>
      </c>
      <c r="Q32" s="15" t="s">
        <v>32</v>
      </c>
      <c r="R32" s="10" t="s">
        <v>33</v>
      </c>
      <c r="S32" s="10" t="s">
        <v>165</v>
      </c>
      <c r="T32" s="15">
        <f>IF(O32="","",(1/Metadata!$B$5)^(O32-1))</f>
        <v>58.884365535558949</v>
      </c>
      <c r="U32" s="14">
        <f t="shared" si="0"/>
        <v>2644295.2333385288</v>
      </c>
      <c r="V32" s="22" t="s">
        <v>55</v>
      </c>
      <c r="W32" s="21" t="s">
        <v>56</v>
      </c>
    </row>
    <row r="33" spans="1:23" ht="18" customHeight="1">
      <c r="A33" s="10" t="s">
        <v>23</v>
      </c>
      <c r="B33" s="10" t="s">
        <v>24</v>
      </c>
      <c r="C33" s="10" t="s">
        <v>25</v>
      </c>
      <c r="D33" s="13">
        <v>2019</v>
      </c>
      <c r="E33" s="10" t="s">
        <v>168</v>
      </c>
      <c r="F33" s="10" t="s">
        <v>47</v>
      </c>
      <c r="G33" s="10" t="s">
        <v>28</v>
      </c>
      <c r="H33" s="10" t="s">
        <v>47</v>
      </c>
      <c r="I33" s="14">
        <v>44079.119354830596</v>
      </c>
      <c r="J33" s="14">
        <v>40651.450363846387</v>
      </c>
      <c r="K33" s="14">
        <v>3427.6689909841998</v>
      </c>
      <c r="L33" s="14">
        <v>38946.790908217699</v>
      </c>
      <c r="M33" s="14">
        <v>5132.3284466128998</v>
      </c>
      <c r="N33" s="10" t="s">
        <v>169</v>
      </c>
      <c r="O33" s="15">
        <v>3.53</v>
      </c>
      <c r="P33" s="10" t="s">
        <v>31</v>
      </c>
      <c r="Q33" s="15" t="s">
        <v>32</v>
      </c>
      <c r="R33" s="10" t="s">
        <v>33</v>
      </c>
      <c r="S33" s="10" t="s">
        <v>168</v>
      </c>
      <c r="T33" s="15">
        <f>IF(O33="","",(1/Metadata!$B$5)^(O33-1))</f>
        <v>338.84415613920248</v>
      </c>
      <c r="U33" s="14">
        <f t="shared" si="0"/>
        <v>14935952.001146762</v>
      </c>
      <c r="V33" s="20" t="s">
        <v>34</v>
      </c>
      <c r="W33" s="21" t="s">
        <v>170</v>
      </c>
    </row>
    <row r="34" spans="1:23" ht="18" customHeight="1">
      <c r="A34" s="10" t="s">
        <v>23</v>
      </c>
      <c r="B34" s="10" t="s">
        <v>24</v>
      </c>
      <c r="C34" s="10" t="s">
        <v>25</v>
      </c>
      <c r="D34" s="13">
        <v>2019</v>
      </c>
      <c r="E34" s="10" t="s">
        <v>171</v>
      </c>
      <c r="F34" s="10" t="s">
        <v>172</v>
      </c>
      <c r="G34" s="10" t="s">
        <v>157</v>
      </c>
      <c r="H34" s="10" t="s">
        <v>173</v>
      </c>
      <c r="I34" s="14">
        <v>42747.143068139398</v>
      </c>
      <c r="J34" s="14">
        <v>42728.739915102087</v>
      </c>
      <c r="K34" s="14">
        <v>18.403153037300001</v>
      </c>
      <c r="L34" s="14">
        <v>42489.895263324986</v>
      </c>
      <c r="M34" s="14">
        <v>257.24780481440001</v>
      </c>
      <c r="N34" s="10" t="s">
        <v>174</v>
      </c>
      <c r="O34" s="15">
        <v>4.43</v>
      </c>
      <c r="P34" s="10" t="s">
        <v>41</v>
      </c>
      <c r="Q34" s="15" t="s">
        <v>42</v>
      </c>
      <c r="R34" s="10" t="s">
        <v>33</v>
      </c>
      <c r="S34" s="10" t="s">
        <v>171</v>
      </c>
      <c r="T34" s="15">
        <f>IF(O34="","",(1/Metadata!$B$5)^(O34-1))</f>
        <v>2691.5348039269161</v>
      </c>
      <c r="U34" s="14">
        <f t="shared" si="0"/>
        <v>115055423.3363404</v>
      </c>
      <c r="V34" s="22" t="s">
        <v>175</v>
      </c>
      <c r="W34" s="21" t="s">
        <v>176</v>
      </c>
    </row>
    <row r="35" spans="1:23" ht="18" customHeight="1">
      <c r="A35" s="10" t="s">
        <v>23</v>
      </c>
      <c r="B35" s="10" t="s">
        <v>24</v>
      </c>
      <c r="C35" s="10" t="s">
        <v>25</v>
      </c>
      <c r="D35" s="13">
        <v>2019</v>
      </c>
      <c r="E35" s="10" t="s">
        <v>177</v>
      </c>
      <c r="F35" s="10" t="s">
        <v>178</v>
      </c>
      <c r="G35" s="10" t="s">
        <v>38</v>
      </c>
      <c r="H35" s="10" t="s">
        <v>47</v>
      </c>
      <c r="I35" s="14">
        <v>40281.702542367297</v>
      </c>
      <c r="J35" s="14">
        <v>40281.702542367297</v>
      </c>
      <c r="K35" s="14">
        <v>0</v>
      </c>
      <c r="L35" s="14">
        <v>39443.289367524201</v>
      </c>
      <c r="M35" s="14">
        <v>838.41317484310002</v>
      </c>
      <c r="N35" s="10" t="s">
        <v>179</v>
      </c>
      <c r="O35" s="15">
        <v>4.28</v>
      </c>
      <c r="P35" s="10" t="s">
        <v>41</v>
      </c>
      <c r="Q35" s="15" t="s">
        <v>42</v>
      </c>
      <c r="R35" s="10" t="s">
        <v>33</v>
      </c>
      <c r="S35" s="10" t="s">
        <v>177</v>
      </c>
      <c r="T35" s="15">
        <f>IF(O35="","",(1/Metadata!$B$5)^(O35-1))</f>
        <v>1905.4607179632501</v>
      </c>
      <c r="U35" s="14">
        <f t="shared" si="0"/>
        <v>76755201.847161263</v>
      </c>
      <c r="V35" s="22" t="s">
        <v>180</v>
      </c>
      <c r="W35" s="21" t="s">
        <v>181</v>
      </c>
    </row>
    <row r="36" spans="1:23" ht="18" customHeight="1">
      <c r="A36" s="10" t="s">
        <v>23</v>
      </c>
      <c r="B36" s="10" t="s">
        <v>24</v>
      </c>
      <c r="C36" s="10" t="s">
        <v>25</v>
      </c>
      <c r="D36" s="13">
        <v>2019</v>
      </c>
      <c r="E36" s="10" t="s">
        <v>182</v>
      </c>
      <c r="F36" s="10" t="s">
        <v>183</v>
      </c>
      <c r="G36" s="10" t="s">
        <v>28</v>
      </c>
      <c r="H36" s="10" t="s">
        <v>29</v>
      </c>
      <c r="I36" s="14">
        <v>35969.9994042041</v>
      </c>
      <c r="J36" s="14">
        <v>33904.681218122299</v>
      </c>
      <c r="K36" s="14">
        <v>2065.3181860817999</v>
      </c>
      <c r="L36" s="14">
        <v>28886.905628217701</v>
      </c>
      <c r="M36" s="14">
        <v>7083.0937759864</v>
      </c>
      <c r="N36" s="10" t="s">
        <v>184</v>
      </c>
      <c r="O36" s="15">
        <v>3.48</v>
      </c>
      <c r="P36" s="10" t="s">
        <v>31</v>
      </c>
      <c r="Q36" s="15" t="s">
        <v>32</v>
      </c>
      <c r="R36" s="10" t="s">
        <v>33</v>
      </c>
      <c r="S36" s="10" t="s">
        <v>182</v>
      </c>
      <c r="T36" s="15">
        <f>IF(O36="","",(1/Metadata!$B$5)^(O36-1))</f>
        <v>301.99517204020168</v>
      </c>
      <c r="U36" s="14">
        <f t="shared" si="0"/>
        <v>10862766.158358568</v>
      </c>
      <c r="V36" s="23" t="s">
        <v>118</v>
      </c>
      <c r="W36" s="21" t="s">
        <v>185</v>
      </c>
    </row>
    <row r="37" spans="1:23" ht="18" customHeight="1">
      <c r="A37" s="10" t="s">
        <v>23</v>
      </c>
      <c r="B37" s="10" t="s">
        <v>24</v>
      </c>
      <c r="C37" s="10" t="s">
        <v>25</v>
      </c>
      <c r="D37" s="13">
        <v>2019</v>
      </c>
      <c r="E37" s="10" t="s">
        <v>186</v>
      </c>
      <c r="F37" s="10" t="s">
        <v>187</v>
      </c>
      <c r="G37" s="10" t="s">
        <v>98</v>
      </c>
      <c r="H37" s="10" t="s">
        <v>47</v>
      </c>
      <c r="I37" s="14">
        <v>35965.319622981697</v>
      </c>
      <c r="J37" s="14">
        <v>35793.177781115097</v>
      </c>
      <c r="K37" s="14">
        <v>172.1418418666</v>
      </c>
      <c r="L37" s="14">
        <v>20593.504493994998</v>
      </c>
      <c r="M37" s="14">
        <v>15371.8151289867</v>
      </c>
      <c r="N37" s="10" t="s">
        <v>188</v>
      </c>
      <c r="O37" s="15">
        <v>3.72</v>
      </c>
      <c r="P37" s="10" t="s">
        <v>31</v>
      </c>
      <c r="Q37" s="15" t="s">
        <v>32</v>
      </c>
      <c r="R37" s="10" t="s">
        <v>33</v>
      </c>
      <c r="S37" s="10" t="s">
        <v>186</v>
      </c>
      <c r="T37" s="15">
        <f>IF(O37="","",(1/Metadata!$B$5)^(O37-1))</f>
        <v>524.80746024977293</v>
      </c>
      <c r="U37" s="14">
        <f t="shared" si="0"/>
        <v>18874868.048408344</v>
      </c>
      <c r="V37" s="22" t="s">
        <v>100</v>
      </c>
      <c r="W37" s="21" t="s">
        <v>101</v>
      </c>
    </row>
    <row r="38" spans="1:23" ht="18" customHeight="1">
      <c r="A38" s="10" t="s">
        <v>23</v>
      </c>
      <c r="B38" s="10" t="s">
        <v>24</v>
      </c>
      <c r="C38" s="10" t="s">
        <v>25</v>
      </c>
      <c r="D38" s="13">
        <v>2019</v>
      </c>
      <c r="E38" s="10" t="s">
        <v>189</v>
      </c>
      <c r="F38" s="10" t="s">
        <v>190</v>
      </c>
      <c r="G38" s="10" t="s">
        <v>157</v>
      </c>
      <c r="H38" s="10" t="s">
        <v>39</v>
      </c>
      <c r="I38" s="14">
        <v>35323.456272516203</v>
      </c>
      <c r="J38" s="14">
        <v>34047.502794220003</v>
      </c>
      <c r="K38" s="14">
        <v>1275.9534782962</v>
      </c>
      <c r="L38" s="14">
        <v>29345.443751962699</v>
      </c>
      <c r="M38" s="14">
        <v>5978.0125205534996</v>
      </c>
      <c r="N38" s="10" t="s">
        <v>191</v>
      </c>
      <c r="O38" s="15">
        <v>4.3</v>
      </c>
      <c r="P38" s="10" t="s">
        <v>31</v>
      </c>
      <c r="Q38" s="15" t="s">
        <v>32</v>
      </c>
      <c r="R38" s="10" t="s">
        <v>33</v>
      </c>
      <c r="S38" s="10" t="s">
        <v>189</v>
      </c>
      <c r="T38" s="15">
        <f>IF(O38="","",(1/Metadata!$B$5)^(O38-1))</f>
        <v>1995.2623149688804</v>
      </c>
      <c r="U38" s="14">
        <f t="shared" si="0"/>
        <v>70479561.135002702</v>
      </c>
      <c r="V38" s="22" t="s">
        <v>129</v>
      </c>
      <c r="W38" s="21" t="s">
        <v>130</v>
      </c>
    </row>
    <row r="39" spans="1:23" ht="18" customHeight="1">
      <c r="A39" s="10" t="s">
        <v>23</v>
      </c>
      <c r="B39" s="10" t="s">
        <v>24</v>
      </c>
      <c r="C39" s="10" t="s">
        <v>25</v>
      </c>
      <c r="D39" s="13">
        <v>2019</v>
      </c>
      <c r="E39" s="10" t="s">
        <v>192</v>
      </c>
      <c r="F39" s="10" t="s">
        <v>193</v>
      </c>
      <c r="G39" s="10" t="s">
        <v>157</v>
      </c>
      <c r="H39" s="10" t="s">
        <v>47</v>
      </c>
      <c r="I39" s="14">
        <v>35082.419526054597</v>
      </c>
      <c r="J39" s="14">
        <v>35082.419526054597</v>
      </c>
      <c r="K39" s="14">
        <v>0</v>
      </c>
      <c r="L39" s="14">
        <v>34817.368289039703</v>
      </c>
      <c r="M39" s="14">
        <v>265.05123701489998</v>
      </c>
      <c r="N39" s="10" t="s">
        <v>194</v>
      </c>
      <c r="O39" s="15">
        <v>4.5</v>
      </c>
      <c r="P39" s="10" t="s">
        <v>41</v>
      </c>
      <c r="Q39" s="15" t="s">
        <v>42</v>
      </c>
      <c r="R39" s="10" t="s">
        <v>33</v>
      </c>
      <c r="S39" s="10" t="s">
        <v>192</v>
      </c>
      <c r="T39" s="15">
        <f>IF(O39="","",(1/Metadata!$B$5)^(O39-1))</f>
        <v>3162.2776601683804</v>
      </c>
      <c r="U39" s="14">
        <f t="shared" si="0"/>
        <v>110940351.53189743</v>
      </c>
      <c r="V39" s="22" t="s">
        <v>180</v>
      </c>
      <c r="W39" s="21" t="s">
        <v>195</v>
      </c>
    </row>
    <row r="40" spans="1:23" ht="18" customHeight="1">
      <c r="A40" s="10" t="s">
        <v>23</v>
      </c>
      <c r="B40" s="10" t="s">
        <v>24</v>
      </c>
      <c r="C40" s="10" t="s">
        <v>25</v>
      </c>
      <c r="D40" s="13">
        <v>2019</v>
      </c>
      <c r="E40" s="10" t="s">
        <v>196</v>
      </c>
      <c r="F40" s="10" t="s">
        <v>197</v>
      </c>
      <c r="G40" s="10" t="s">
        <v>53</v>
      </c>
      <c r="H40" s="10" t="s">
        <v>104</v>
      </c>
      <c r="I40" s="14">
        <v>34917.725328627501</v>
      </c>
      <c r="J40" s="14">
        <v>33639.733819144101</v>
      </c>
      <c r="K40" s="14">
        <v>1277.9915094834</v>
      </c>
      <c r="L40" s="14">
        <v>29313.806267297001</v>
      </c>
      <c r="M40" s="14">
        <v>5603.9190613305</v>
      </c>
      <c r="N40" s="10" t="s">
        <v>198</v>
      </c>
      <c r="O40" s="15">
        <v>3.34</v>
      </c>
      <c r="P40" s="10" t="s">
        <v>31</v>
      </c>
      <c r="Q40" s="15" t="s">
        <v>32</v>
      </c>
      <c r="R40" s="10" t="s">
        <v>33</v>
      </c>
      <c r="S40" s="10" t="s">
        <v>196</v>
      </c>
      <c r="T40" s="15">
        <f>IF(O40="","",(1/Metadata!$B$5)^(O40-1))</f>
        <v>218.77616239495524</v>
      </c>
      <c r="U40" s="14">
        <f t="shared" si="0"/>
        <v>7639165.9469582522</v>
      </c>
      <c r="V40" s="22" t="s">
        <v>55</v>
      </c>
      <c r="W40" s="21" t="s">
        <v>56</v>
      </c>
    </row>
    <row r="41" spans="1:23" ht="18" customHeight="1">
      <c r="A41" s="10" t="s">
        <v>23</v>
      </c>
      <c r="B41" s="10" t="s">
        <v>24</v>
      </c>
      <c r="C41" s="10" t="s">
        <v>25</v>
      </c>
      <c r="D41" s="13">
        <v>2019</v>
      </c>
      <c r="E41" s="10" t="s">
        <v>199</v>
      </c>
      <c r="F41" s="10" t="s">
        <v>200</v>
      </c>
      <c r="G41" s="10" t="s">
        <v>149</v>
      </c>
      <c r="H41" s="10" t="s">
        <v>29</v>
      </c>
      <c r="I41" s="14">
        <v>33552.834789793298</v>
      </c>
      <c r="J41" s="14">
        <v>33552.834789793298</v>
      </c>
      <c r="K41" s="14">
        <v>0</v>
      </c>
      <c r="L41" s="14">
        <v>32449.0800601462</v>
      </c>
      <c r="M41" s="14">
        <v>1103.7547296471</v>
      </c>
      <c r="N41" s="10" t="s">
        <v>201</v>
      </c>
      <c r="O41" s="15">
        <v>3.6</v>
      </c>
      <c r="P41" s="10" t="s">
        <v>31</v>
      </c>
      <c r="Q41" s="15" t="s">
        <v>32</v>
      </c>
      <c r="R41" s="10" t="s">
        <v>33</v>
      </c>
      <c r="S41" s="10" t="s">
        <v>199</v>
      </c>
      <c r="T41" s="15">
        <f>IF(O41="","",(1/Metadata!$B$5)^(O41-1))</f>
        <v>398.10717055349761</v>
      </c>
      <c r="U41" s="14">
        <f t="shared" si="0"/>
        <v>13357624.122213569</v>
      </c>
      <c r="V41" s="22" t="s">
        <v>149</v>
      </c>
      <c r="W41" s="21" t="s">
        <v>151</v>
      </c>
    </row>
    <row r="42" spans="1:23" ht="18" customHeight="1">
      <c r="A42" s="10" t="s">
        <v>23</v>
      </c>
      <c r="B42" s="10" t="s">
        <v>24</v>
      </c>
      <c r="C42" s="10" t="s">
        <v>25</v>
      </c>
      <c r="D42" s="13">
        <v>2019</v>
      </c>
      <c r="E42" s="10" t="s">
        <v>202</v>
      </c>
      <c r="F42" s="10" t="s">
        <v>203</v>
      </c>
      <c r="G42" s="10" t="s">
        <v>81</v>
      </c>
      <c r="H42" s="10" t="s">
        <v>47</v>
      </c>
      <c r="I42" s="14">
        <v>33347.242950179098</v>
      </c>
      <c r="J42" s="14">
        <v>32658.867403337899</v>
      </c>
      <c r="K42" s="14">
        <v>688.37554684119993</v>
      </c>
      <c r="L42" s="14">
        <v>29452.5029053361</v>
      </c>
      <c r="M42" s="14">
        <v>3894.7400448429999</v>
      </c>
      <c r="N42" s="10" t="s">
        <v>204</v>
      </c>
      <c r="O42" s="15">
        <v>2.93</v>
      </c>
      <c r="P42" s="10" t="s">
        <v>41</v>
      </c>
      <c r="Q42" s="15" t="s">
        <v>42</v>
      </c>
      <c r="R42" s="10" t="s">
        <v>33</v>
      </c>
      <c r="S42" s="10" t="s">
        <v>202</v>
      </c>
      <c r="T42" s="15">
        <f>IF(O42="","",(1/Metadata!$B$5)^(O42-1))</f>
        <v>85.113803820237734</v>
      </c>
      <c r="U42" s="14">
        <f t="shared" si="0"/>
        <v>2838310.6944073495</v>
      </c>
      <c r="V42" s="22" t="s">
        <v>60</v>
      </c>
      <c r="W42" s="21" t="s">
        <v>61</v>
      </c>
    </row>
    <row r="43" spans="1:23" ht="18" customHeight="1">
      <c r="A43" s="10" t="s">
        <v>23</v>
      </c>
      <c r="B43" s="10" t="s">
        <v>24</v>
      </c>
      <c r="C43" s="10" t="s">
        <v>25</v>
      </c>
      <c r="D43" s="13">
        <v>2019</v>
      </c>
      <c r="E43" s="10" t="s">
        <v>205</v>
      </c>
      <c r="F43" s="10" t="s">
        <v>206</v>
      </c>
      <c r="G43" s="10" t="s">
        <v>149</v>
      </c>
      <c r="H43" s="10" t="s">
        <v>29</v>
      </c>
      <c r="I43" s="14">
        <v>33119.072972930502</v>
      </c>
      <c r="J43" s="14">
        <v>32573.6032334191</v>
      </c>
      <c r="K43" s="14">
        <v>545.46973951140001</v>
      </c>
      <c r="L43" s="14">
        <v>18351.4710401476</v>
      </c>
      <c r="M43" s="14">
        <v>14767.6019327829</v>
      </c>
      <c r="N43" s="10" t="s">
        <v>207</v>
      </c>
      <c r="O43" s="15">
        <v>3.69</v>
      </c>
      <c r="P43" s="10" t="s">
        <v>31</v>
      </c>
      <c r="Q43" s="15" t="s">
        <v>32</v>
      </c>
      <c r="R43" s="10" t="s">
        <v>33</v>
      </c>
      <c r="S43" s="10" t="s">
        <v>205</v>
      </c>
      <c r="T43" s="15">
        <f>IF(O43="","",(1/Metadata!$B$5)^(O43-1))</f>
        <v>489.77881936844625</v>
      </c>
      <c r="U43" s="14">
        <f t="shared" si="0"/>
        <v>16221020.459259318</v>
      </c>
      <c r="V43" s="22" t="s">
        <v>149</v>
      </c>
      <c r="W43" s="21" t="s">
        <v>151</v>
      </c>
    </row>
    <row r="44" spans="1:23" ht="18" customHeight="1">
      <c r="A44" s="10" t="s">
        <v>23</v>
      </c>
      <c r="B44" s="10" t="s">
        <v>24</v>
      </c>
      <c r="C44" s="10" t="s">
        <v>25</v>
      </c>
      <c r="D44" s="13">
        <v>2019</v>
      </c>
      <c r="E44" s="10" t="s">
        <v>208</v>
      </c>
      <c r="F44" s="10" t="s">
        <v>209</v>
      </c>
      <c r="G44" s="10" t="s">
        <v>81</v>
      </c>
      <c r="H44" s="10" t="s">
        <v>47</v>
      </c>
      <c r="I44" s="14">
        <v>32363.830036407198</v>
      </c>
      <c r="J44" s="14">
        <v>32363.830036407198</v>
      </c>
      <c r="K44" s="14">
        <v>0</v>
      </c>
      <c r="L44" s="14">
        <v>18765.998239431599</v>
      </c>
      <c r="M44" s="14">
        <v>13597.831796975601</v>
      </c>
      <c r="N44" s="10" t="s">
        <v>210</v>
      </c>
      <c r="O44" s="15">
        <v>3.73</v>
      </c>
      <c r="P44" s="10" t="s">
        <v>31</v>
      </c>
      <c r="Q44" s="15" t="s">
        <v>32</v>
      </c>
      <c r="R44" s="10" t="s">
        <v>33</v>
      </c>
      <c r="S44" s="10" t="s">
        <v>208</v>
      </c>
      <c r="T44" s="15">
        <f>IF(O44="","",(1/Metadata!$B$5)^(O44-1))</f>
        <v>537.03179637025301</v>
      </c>
      <c r="U44" s="14">
        <f t="shared" si="0"/>
        <v>17380405.781873308</v>
      </c>
      <c r="V44" s="22" t="s">
        <v>74</v>
      </c>
      <c r="W44" s="21" t="s">
        <v>75</v>
      </c>
    </row>
    <row r="45" spans="1:23" ht="18" customHeight="1">
      <c r="A45" s="10" t="s">
        <v>23</v>
      </c>
      <c r="B45" s="10" t="s">
        <v>24</v>
      </c>
      <c r="C45" s="10" t="s">
        <v>25</v>
      </c>
      <c r="D45" s="13">
        <v>2019</v>
      </c>
      <c r="E45" s="10" t="s">
        <v>211</v>
      </c>
      <c r="F45" s="10" t="s">
        <v>212</v>
      </c>
      <c r="G45" s="10" t="s">
        <v>53</v>
      </c>
      <c r="H45" s="10" t="s">
        <v>47</v>
      </c>
      <c r="I45" s="14">
        <v>31908.568919319699</v>
      </c>
      <c r="J45" s="14">
        <v>28959.123746473899</v>
      </c>
      <c r="K45" s="14">
        <v>2949.4451728457998</v>
      </c>
      <c r="L45" s="14">
        <v>27175.330932338398</v>
      </c>
      <c r="M45" s="14">
        <v>4733.2379869812994</v>
      </c>
      <c r="N45" s="10" t="s">
        <v>213</v>
      </c>
      <c r="O45" s="15">
        <v>3.84</v>
      </c>
      <c r="P45" s="10" t="s">
        <v>41</v>
      </c>
      <c r="Q45" s="15" t="s">
        <v>42</v>
      </c>
      <c r="R45" s="10" t="s">
        <v>33</v>
      </c>
      <c r="S45" s="10" t="s">
        <v>211</v>
      </c>
      <c r="T45" s="15">
        <f>IF(O45="","",(1/Metadata!$B$5)^(O45-1))</f>
        <v>691.83097091893671</v>
      </c>
      <c r="U45" s="14">
        <f t="shared" si="0"/>
        <v>22075336.216086756</v>
      </c>
      <c r="V45" s="22" t="s">
        <v>66</v>
      </c>
      <c r="W45" s="21" t="s">
        <v>67</v>
      </c>
    </row>
    <row r="46" spans="1:23" ht="18" customHeight="1">
      <c r="A46" s="10" t="s">
        <v>23</v>
      </c>
      <c r="B46" s="10" t="s">
        <v>24</v>
      </c>
      <c r="C46" s="10" t="s">
        <v>25</v>
      </c>
      <c r="D46" s="13">
        <v>2019</v>
      </c>
      <c r="E46" s="10" t="s">
        <v>214</v>
      </c>
      <c r="F46" s="10" t="s">
        <v>215</v>
      </c>
      <c r="G46" s="10" t="s">
        <v>216</v>
      </c>
      <c r="H46" s="10" t="s">
        <v>47</v>
      </c>
      <c r="I46" s="14">
        <v>31803.112460209999</v>
      </c>
      <c r="J46" s="14">
        <v>30552.271899015301</v>
      </c>
      <c r="K46" s="14">
        <v>1250.8405611947001</v>
      </c>
      <c r="L46" s="14">
        <v>25852.410011968601</v>
      </c>
      <c r="M46" s="14">
        <v>5950.7024482413999</v>
      </c>
      <c r="N46" s="10" t="s">
        <v>217</v>
      </c>
      <c r="O46" s="15">
        <v>3.46</v>
      </c>
      <c r="P46" s="10" t="s">
        <v>31</v>
      </c>
      <c r="Q46" s="15" t="s">
        <v>32</v>
      </c>
      <c r="R46" s="10" t="s">
        <v>33</v>
      </c>
      <c r="S46" s="10" t="s">
        <v>214</v>
      </c>
      <c r="T46" s="15">
        <f>IF(O46="","",(1/Metadata!$B$5)^(O46-1))</f>
        <v>288.40315031266073</v>
      </c>
      <c r="U46" s="14">
        <f t="shared" si="0"/>
        <v>9172117.8232723977</v>
      </c>
      <c r="V46" s="22" t="s">
        <v>66</v>
      </c>
      <c r="W46" s="21" t="s">
        <v>67</v>
      </c>
    </row>
    <row r="47" spans="1:23" ht="18" customHeight="1">
      <c r="A47" s="10" t="s">
        <v>23</v>
      </c>
      <c r="B47" s="10" t="s">
        <v>24</v>
      </c>
      <c r="C47" s="10" t="s">
        <v>25</v>
      </c>
      <c r="D47" s="13">
        <v>2019</v>
      </c>
      <c r="E47" s="10" t="s">
        <v>218</v>
      </c>
      <c r="F47" s="10" t="s">
        <v>219</v>
      </c>
      <c r="G47" s="10" t="s">
        <v>88</v>
      </c>
      <c r="H47" s="10" t="s">
        <v>89</v>
      </c>
      <c r="I47" s="14">
        <v>31476.823141367699</v>
      </c>
      <c r="J47" s="14">
        <v>31476.823141367699</v>
      </c>
      <c r="K47" s="14">
        <v>0</v>
      </c>
      <c r="L47" s="14">
        <v>28015.6351538083</v>
      </c>
      <c r="M47" s="14">
        <v>3461.1879875594</v>
      </c>
      <c r="N47" s="10" t="s">
        <v>220</v>
      </c>
      <c r="O47" s="15">
        <v>2.7</v>
      </c>
      <c r="P47" s="10" t="s">
        <v>31</v>
      </c>
      <c r="Q47" s="15" t="s">
        <v>32</v>
      </c>
      <c r="R47" s="10" t="s">
        <v>33</v>
      </c>
      <c r="S47" s="10" t="s">
        <v>218</v>
      </c>
      <c r="T47" s="15">
        <f>IF(O47="","",(1/Metadata!$B$5)^(O47-1))</f>
        <v>50.118723362727259</v>
      </c>
      <c r="U47" s="14">
        <f t="shared" si="0"/>
        <v>1577578.1913596992</v>
      </c>
      <c r="V47" s="22" t="s">
        <v>91</v>
      </c>
      <c r="W47" s="21" t="s">
        <v>92</v>
      </c>
    </row>
    <row r="48" spans="1:23" ht="18" customHeight="1">
      <c r="A48" s="10" t="s">
        <v>23</v>
      </c>
      <c r="B48" s="10" t="s">
        <v>24</v>
      </c>
      <c r="C48" s="10" t="s">
        <v>25</v>
      </c>
      <c r="D48" s="13">
        <v>2019</v>
      </c>
      <c r="E48" s="10" t="s">
        <v>221</v>
      </c>
      <c r="F48" s="10" t="s">
        <v>222</v>
      </c>
      <c r="G48" s="10" t="s">
        <v>223</v>
      </c>
      <c r="H48" s="10" t="s">
        <v>47</v>
      </c>
      <c r="I48" s="14">
        <v>30354.486973714102</v>
      </c>
      <c r="J48" s="14">
        <v>29174.3233295561</v>
      </c>
      <c r="K48" s="14">
        <v>1180.1636441579999</v>
      </c>
      <c r="L48" s="14">
        <v>18385.024938108501</v>
      </c>
      <c r="M48" s="14">
        <v>11969.4620356056</v>
      </c>
      <c r="N48" s="10" t="s">
        <v>224</v>
      </c>
      <c r="O48" s="15">
        <v>4.1500000000000004</v>
      </c>
      <c r="P48" s="10" t="s">
        <v>31</v>
      </c>
      <c r="Q48" s="15" t="s">
        <v>32</v>
      </c>
      <c r="R48" s="10" t="s">
        <v>33</v>
      </c>
      <c r="S48" s="10" t="s">
        <v>221</v>
      </c>
      <c r="T48" s="15">
        <f>IF(O48="","",(1/Metadata!$B$5)^(O48-1))</f>
        <v>1412.537544622757</v>
      </c>
      <c r="U48" s="14">
        <f t="shared" si="0"/>
        <v>42876852.498133577</v>
      </c>
      <c r="V48" s="22" t="s">
        <v>129</v>
      </c>
      <c r="W48" s="21" t="s">
        <v>130</v>
      </c>
    </row>
    <row r="49" spans="1:23" ht="18" customHeight="1">
      <c r="A49" s="10" t="s">
        <v>23</v>
      </c>
      <c r="B49" s="10" t="s">
        <v>24</v>
      </c>
      <c r="C49" s="10" t="s">
        <v>25</v>
      </c>
      <c r="D49" s="13">
        <v>2019</v>
      </c>
      <c r="E49" s="10" t="s">
        <v>225</v>
      </c>
      <c r="F49" s="10" t="s">
        <v>226</v>
      </c>
      <c r="G49" s="10" t="s">
        <v>38</v>
      </c>
      <c r="H49" s="10" t="s">
        <v>47</v>
      </c>
      <c r="I49" s="14">
        <v>29743.457955547201</v>
      </c>
      <c r="J49" s="14">
        <v>29729.422792429999</v>
      </c>
      <c r="K49" s="14">
        <v>14.0351631172</v>
      </c>
      <c r="L49" s="14">
        <v>28781.537740415501</v>
      </c>
      <c r="M49" s="14">
        <v>961.92021513170005</v>
      </c>
      <c r="N49" s="10" t="s">
        <v>227</v>
      </c>
      <c r="O49" s="15">
        <v>2.72</v>
      </c>
      <c r="P49" s="10" t="s">
        <v>41</v>
      </c>
      <c r="Q49" s="15" t="s">
        <v>42</v>
      </c>
      <c r="R49" s="10" t="s">
        <v>33</v>
      </c>
      <c r="S49" s="10" t="s">
        <v>225</v>
      </c>
      <c r="T49" s="15">
        <f>IF(O49="","",(1/Metadata!$B$5)^(O49-1))</f>
        <v>52.480746024977307</v>
      </c>
      <c r="U49" s="14">
        <f t="shared" si="0"/>
        <v>1560958.8628696634</v>
      </c>
      <c r="V49" s="22" t="s">
        <v>49</v>
      </c>
      <c r="W49" s="21" t="s">
        <v>50</v>
      </c>
    </row>
    <row r="50" spans="1:23" ht="18" customHeight="1">
      <c r="A50" s="10" t="s">
        <v>23</v>
      </c>
      <c r="B50" s="10" t="s">
        <v>24</v>
      </c>
      <c r="C50" s="10" t="s">
        <v>25</v>
      </c>
      <c r="D50" s="13">
        <v>2019</v>
      </c>
      <c r="E50" s="10" t="s">
        <v>228</v>
      </c>
      <c r="F50" s="10" t="s">
        <v>229</v>
      </c>
      <c r="G50" s="10" t="s">
        <v>98</v>
      </c>
      <c r="H50" s="10" t="s">
        <v>47</v>
      </c>
      <c r="I50" s="14">
        <v>29389.1431565727</v>
      </c>
      <c r="J50" s="14">
        <v>24744.606233581701</v>
      </c>
      <c r="K50" s="14">
        <v>4644.5369229910002</v>
      </c>
      <c r="L50" s="14">
        <v>16718.4455126508</v>
      </c>
      <c r="M50" s="14">
        <v>12670.6976439219</v>
      </c>
      <c r="N50" s="10" t="s">
        <v>230</v>
      </c>
      <c r="O50" s="15">
        <v>3.62</v>
      </c>
      <c r="P50" s="10" t="s">
        <v>31</v>
      </c>
      <c r="Q50" s="15" t="s">
        <v>32</v>
      </c>
      <c r="R50" s="10" t="s">
        <v>33</v>
      </c>
      <c r="S50" s="10" t="s">
        <v>228</v>
      </c>
      <c r="T50" s="15">
        <f>IF(O50="","",(1/Metadata!$B$5)^(O50-1))</f>
        <v>416.86938347033572</v>
      </c>
      <c r="U50" s="14">
        <f t="shared" si="0"/>
        <v>12251433.988401897</v>
      </c>
      <c r="V50" s="23" t="s">
        <v>129</v>
      </c>
      <c r="W50" s="21" t="s">
        <v>231</v>
      </c>
    </row>
    <row r="51" spans="1:23" ht="18" customHeight="1">
      <c r="A51" s="10" t="s">
        <v>23</v>
      </c>
      <c r="B51" s="10" t="s">
        <v>24</v>
      </c>
      <c r="C51" s="10" t="s">
        <v>25</v>
      </c>
      <c r="D51" s="13">
        <v>2019</v>
      </c>
      <c r="E51" s="10" t="s">
        <v>232</v>
      </c>
      <c r="F51" s="10" t="s">
        <v>233</v>
      </c>
      <c r="G51" s="10" t="s">
        <v>234</v>
      </c>
      <c r="H51" s="10" t="s">
        <v>235</v>
      </c>
      <c r="I51" s="14">
        <v>29024.287390769001</v>
      </c>
      <c r="J51" s="14">
        <v>28983.264431619598</v>
      </c>
      <c r="K51" s="14">
        <v>41.022959149400002</v>
      </c>
      <c r="L51" s="14">
        <v>2840.4458213517</v>
      </c>
      <c r="M51" s="14">
        <v>26183.841569417302</v>
      </c>
      <c r="N51" s="10" t="s">
        <v>236</v>
      </c>
      <c r="O51" s="15">
        <v>2.23</v>
      </c>
      <c r="P51" s="10" t="s">
        <v>31</v>
      </c>
      <c r="Q51" s="15" t="s">
        <v>32</v>
      </c>
      <c r="R51" s="10" t="s">
        <v>33</v>
      </c>
      <c r="S51" s="10" t="s">
        <v>232</v>
      </c>
      <c r="T51" s="15">
        <f>IF(O51="","",(1/Metadata!$B$5)^(O51-1))</f>
        <v>16.982436524617448</v>
      </c>
      <c r="U51" s="14">
        <f t="shared" si="0"/>
        <v>492903.11828598916</v>
      </c>
      <c r="V51" s="22" t="s">
        <v>237</v>
      </c>
      <c r="W51" s="21" t="s">
        <v>238</v>
      </c>
    </row>
    <row r="52" spans="1:23" ht="18" customHeight="1">
      <c r="A52" s="10" t="s">
        <v>23</v>
      </c>
      <c r="B52" s="10" t="s">
        <v>24</v>
      </c>
      <c r="C52" s="10" t="s">
        <v>25</v>
      </c>
      <c r="D52" s="13">
        <v>2019</v>
      </c>
      <c r="E52" s="10" t="s">
        <v>239</v>
      </c>
      <c r="F52" s="10" t="s">
        <v>240</v>
      </c>
      <c r="G52" s="10" t="s">
        <v>122</v>
      </c>
      <c r="H52" s="10" t="s">
        <v>89</v>
      </c>
      <c r="I52" s="14">
        <v>28990.980922688901</v>
      </c>
      <c r="J52" s="14">
        <v>27351.363914043101</v>
      </c>
      <c r="K52" s="14">
        <v>1639.6170086458001</v>
      </c>
      <c r="L52" s="14">
        <v>25540.566006133598</v>
      </c>
      <c r="M52" s="14">
        <v>3450.4149165552999</v>
      </c>
      <c r="N52" s="10" t="s">
        <v>241</v>
      </c>
      <c r="O52" s="15">
        <v>3.56</v>
      </c>
      <c r="P52" s="10" t="s">
        <v>31</v>
      </c>
      <c r="Q52" s="15" t="s">
        <v>32</v>
      </c>
      <c r="R52" s="10" t="s">
        <v>33</v>
      </c>
      <c r="S52" s="10" t="s">
        <v>239</v>
      </c>
      <c r="T52" s="15">
        <f>IF(O52="","",(1/Metadata!$B$5)^(O52-1))</f>
        <v>363.07805477010152</v>
      </c>
      <c r="U52" s="14">
        <f t="shared" si="0"/>
        <v>10525988.959287008</v>
      </c>
      <c r="V52" s="22" t="s">
        <v>91</v>
      </c>
      <c r="W52" s="21" t="s">
        <v>242</v>
      </c>
    </row>
    <row r="53" spans="1:23" ht="18" customHeight="1">
      <c r="A53" s="10" t="s">
        <v>23</v>
      </c>
      <c r="B53" s="10" t="s">
        <v>24</v>
      </c>
      <c r="C53" s="10" t="s">
        <v>25</v>
      </c>
      <c r="D53" s="13">
        <v>2019</v>
      </c>
      <c r="E53" s="10" t="s">
        <v>243</v>
      </c>
      <c r="F53" s="10" t="s">
        <v>244</v>
      </c>
      <c r="G53" s="10" t="s">
        <v>88</v>
      </c>
      <c r="H53" s="10" t="s">
        <v>89</v>
      </c>
      <c r="I53" s="14">
        <v>26414.942207645199</v>
      </c>
      <c r="J53" s="14">
        <v>24940.694620994302</v>
      </c>
      <c r="K53" s="14">
        <v>1474.2475866509001</v>
      </c>
      <c r="L53" s="14">
        <v>12787.917356550501</v>
      </c>
      <c r="M53" s="14">
        <v>13627.0248510947</v>
      </c>
      <c r="N53" s="10" t="s">
        <v>245</v>
      </c>
      <c r="O53" s="15">
        <v>3.24</v>
      </c>
      <c r="P53" s="10" t="s">
        <v>31</v>
      </c>
      <c r="Q53" s="15" t="s">
        <v>32</v>
      </c>
      <c r="R53" s="10" t="s">
        <v>33</v>
      </c>
      <c r="S53" s="10" t="s">
        <v>243</v>
      </c>
      <c r="T53" s="15">
        <f>IF(O53="","",(1/Metadata!$B$5)^(O53-1))</f>
        <v>173.78008287493768</v>
      </c>
      <c r="U53" s="14">
        <f t="shared" si="0"/>
        <v>4590390.8459812719</v>
      </c>
      <c r="V53" s="22" t="s">
        <v>91</v>
      </c>
      <c r="W53" s="21" t="s">
        <v>246</v>
      </c>
    </row>
    <row r="54" spans="1:23" ht="18" customHeight="1">
      <c r="A54" s="10" t="s">
        <v>23</v>
      </c>
      <c r="B54" s="10" t="s">
        <v>24</v>
      </c>
      <c r="C54" s="10" t="s">
        <v>25</v>
      </c>
      <c r="D54" s="13">
        <v>2019</v>
      </c>
      <c r="E54" s="10" t="s">
        <v>247</v>
      </c>
      <c r="F54" s="10" t="s">
        <v>248</v>
      </c>
      <c r="G54" s="10" t="s">
        <v>157</v>
      </c>
      <c r="H54" s="10" t="s">
        <v>173</v>
      </c>
      <c r="I54" s="14">
        <v>25826.1962193654</v>
      </c>
      <c r="J54" s="14">
        <v>25785.128808716501</v>
      </c>
      <c r="K54" s="14">
        <v>41.067410648900001</v>
      </c>
      <c r="L54" s="14">
        <v>21452.7142918711</v>
      </c>
      <c r="M54" s="14">
        <v>4373.4819274943002</v>
      </c>
      <c r="N54" s="10" t="s">
        <v>249</v>
      </c>
      <c r="O54" s="15">
        <v>4.5</v>
      </c>
      <c r="P54" s="10" t="s">
        <v>41</v>
      </c>
      <c r="Q54" s="15" t="s">
        <v>42</v>
      </c>
      <c r="R54" s="10" t="s">
        <v>33</v>
      </c>
      <c r="S54" s="10" t="s">
        <v>247</v>
      </c>
      <c r="T54" s="15">
        <f>IF(O54="","",(1/Metadata!$B$5)^(O54-1))</f>
        <v>3162.2776601683804</v>
      </c>
      <c r="U54" s="14">
        <f t="shared" si="0"/>
        <v>81669603.351624295</v>
      </c>
      <c r="V54" s="22" t="s">
        <v>180</v>
      </c>
      <c r="W54" s="21" t="s">
        <v>250</v>
      </c>
    </row>
    <row r="55" spans="1:23" ht="18" customHeight="1">
      <c r="A55" s="10" t="s">
        <v>23</v>
      </c>
      <c r="B55" s="10" t="s">
        <v>24</v>
      </c>
      <c r="C55" s="10" t="s">
        <v>25</v>
      </c>
      <c r="D55" s="13">
        <v>2019</v>
      </c>
      <c r="E55" s="10" t="s">
        <v>251</v>
      </c>
      <c r="F55" s="10" t="s">
        <v>252</v>
      </c>
      <c r="G55" s="10" t="s">
        <v>216</v>
      </c>
      <c r="H55" s="10" t="s">
        <v>47</v>
      </c>
      <c r="I55" s="14">
        <v>25626.628145574399</v>
      </c>
      <c r="J55" s="14">
        <v>24148.531173690601</v>
      </c>
      <c r="K55" s="14">
        <v>1478.0969718838001</v>
      </c>
      <c r="L55" s="14">
        <v>20445.580990106198</v>
      </c>
      <c r="M55" s="14">
        <v>5181.0471554681999</v>
      </c>
      <c r="N55" s="10" t="s">
        <v>253</v>
      </c>
      <c r="O55" s="15">
        <v>2.5299999999999998</v>
      </c>
      <c r="P55" s="10" t="s">
        <v>31</v>
      </c>
      <c r="Q55" s="15" t="s">
        <v>32</v>
      </c>
      <c r="R55" s="10" t="s">
        <v>33</v>
      </c>
      <c r="S55" s="10" t="s">
        <v>251</v>
      </c>
      <c r="T55" s="15">
        <f>IF(O55="","",(1/Metadata!$B$5)^(O55-1))</f>
        <v>33.884415613920254</v>
      </c>
      <c r="U55" s="14">
        <f t="shared" si="0"/>
        <v>868343.3188680294</v>
      </c>
      <c r="V55" s="22" t="s">
        <v>66</v>
      </c>
      <c r="W55" s="21" t="s">
        <v>254</v>
      </c>
    </row>
    <row r="56" spans="1:23" ht="18" customHeight="1">
      <c r="A56" s="10" t="s">
        <v>23</v>
      </c>
      <c r="B56" s="10" t="s">
        <v>24</v>
      </c>
      <c r="C56" s="10" t="s">
        <v>25</v>
      </c>
      <c r="D56" s="13">
        <v>2019</v>
      </c>
      <c r="E56" s="10" t="s">
        <v>255</v>
      </c>
      <c r="F56" s="10" t="s">
        <v>256</v>
      </c>
      <c r="G56" s="10" t="s">
        <v>149</v>
      </c>
      <c r="H56" s="10" t="s">
        <v>29</v>
      </c>
      <c r="I56" s="14">
        <v>25324.553716694001</v>
      </c>
      <c r="J56" s="14">
        <v>25324.553716694001</v>
      </c>
      <c r="K56" s="14">
        <v>0</v>
      </c>
      <c r="L56" s="14">
        <v>25324.553716694001</v>
      </c>
      <c r="M56" s="14">
        <v>0</v>
      </c>
      <c r="N56" s="10" t="s">
        <v>257</v>
      </c>
      <c r="O56" s="15">
        <v>4.13</v>
      </c>
      <c r="P56" s="10" t="s">
        <v>31</v>
      </c>
      <c r="Q56" s="15" t="s">
        <v>32</v>
      </c>
      <c r="R56" s="10" t="s">
        <v>33</v>
      </c>
      <c r="S56" s="10" t="s">
        <v>255</v>
      </c>
      <c r="T56" s="15">
        <f>IF(O56="","",(1/Metadata!$B$5)^(O56-1))</f>
        <v>1348.9628825916541</v>
      </c>
      <c r="U56" s="14">
        <f t="shared" si="0"/>
        <v>34161882.982018724</v>
      </c>
      <c r="V56" s="22" t="s">
        <v>149</v>
      </c>
      <c r="W56" s="21" t="s">
        <v>258</v>
      </c>
    </row>
    <row r="57" spans="1:23" ht="18" customHeight="1">
      <c r="A57" s="10" t="s">
        <v>23</v>
      </c>
      <c r="B57" s="10" t="s">
        <v>24</v>
      </c>
      <c r="C57" s="10" t="s">
        <v>25</v>
      </c>
      <c r="D57" s="13">
        <v>2019</v>
      </c>
      <c r="E57" s="10" t="s">
        <v>259</v>
      </c>
      <c r="F57" s="10" t="s">
        <v>260</v>
      </c>
      <c r="G57" s="10" t="s">
        <v>261</v>
      </c>
      <c r="H57" s="10" t="s">
        <v>47</v>
      </c>
      <c r="I57" s="14">
        <v>25003.869445369299</v>
      </c>
      <c r="J57" s="14">
        <v>24173.097768854001</v>
      </c>
      <c r="K57" s="14">
        <v>830.77167651529999</v>
      </c>
      <c r="L57" s="14">
        <v>24173.097768854001</v>
      </c>
      <c r="M57" s="14">
        <v>830.77167651529999</v>
      </c>
      <c r="N57" s="10" t="s">
        <v>262</v>
      </c>
      <c r="O57" s="15">
        <v>3.54</v>
      </c>
      <c r="P57" s="10" t="s">
        <v>31</v>
      </c>
      <c r="Q57" s="15" t="s">
        <v>32</v>
      </c>
      <c r="R57" s="10" t="s">
        <v>33</v>
      </c>
      <c r="S57" s="10" t="s">
        <v>259</v>
      </c>
      <c r="T57" s="15">
        <f>IF(O57="","",(1/Metadata!$B$5)^(O57-1))</f>
        <v>346.73685045253183</v>
      </c>
      <c r="U57" s="14">
        <f t="shared" si="0"/>
        <v>8669762.9406136442</v>
      </c>
      <c r="V57" s="22" t="s">
        <v>66</v>
      </c>
      <c r="W57" s="21" t="s">
        <v>67</v>
      </c>
    </row>
    <row r="58" spans="1:23" ht="18" customHeight="1">
      <c r="A58" s="10" t="s">
        <v>23</v>
      </c>
      <c r="B58" s="10" t="s">
        <v>24</v>
      </c>
      <c r="C58" s="10" t="s">
        <v>25</v>
      </c>
      <c r="D58" s="13">
        <v>2019</v>
      </c>
      <c r="E58" s="10" t="s">
        <v>263</v>
      </c>
      <c r="F58" s="10" t="s">
        <v>264</v>
      </c>
      <c r="G58" s="10" t="s">
        <v>216</v>
      </c>
      <c r="H58" s="10" t="s">
        <v>47</v>
      </c>
      <c r="I58" s="14">
        <v>24507.3576190657</v>
      </c>
      <c r="J58" s="14">
        <v>23467.395873449699</v>
      </c>
      <c r="K58" s="14">
        <v>1039.9617456159999</v>
      </c>
      <c r="L58" s="14">
        <v>19157.948048112601</v>
      </c>
      <c r="M58" s="14">
        <v>5349.4095709530993</v>
      </c>
      <c r="N58" s="10" t="s">
        <v>265</v>
      </c>
      <c r="O58" s="15">
        <v>4.0199999999999996</v>
      </c>
      <c r="P58" s="10" t="s">
        <v>31</v>
      </c>
      <c r="Q58" s="15" t="s">
        <v>32</v>
      </c>
      <c r="R58" s="10" t="s">
        <v>33</v>
      </c>
      <c r="S58" s="10" t="s">
        <v>263</v>
      </c>
      <c r="T58" s="15">
        <f>IF(O58="","",(1/Metadata!$B$5)^(O58-1))</f>
        <v>1047.1285480508991</v>
      </c>
      <c r="U58" s="14">
        <f t="shared" si="0"/>
        <v>25662353.800216407</v>
      </c>
      <c r="V58" s="22" t="s">
        <v>74</v>
      </c>
      <c r="W58" s="21" t="s">
        <v>75</v>
      </c>
    </row>
    <row r="59" spans="1:23" ht="18" customHeight="1">
      <c r="A59" s="10" t="s">
        <v>23</v>
      </c>
      <c r="B59" s="10" t="s">
        <v>24</v>
      </c>
      <c r="C59" s="10" t="s">
        <v>25</v>
      </c>
      <c r="D59" s="13">
        <v>2019</v>
      </c>
      <c r="E59" s="10" t="s">
        <v>266</v>
      </c>
      <c r="F59" s="10" t="s">
        <v>267</v>
      </c>
      <c r="G59" s="10" t="s">
        <v>88</v>
      </c>
      <c r="H59" s="10" t="s">
        <v>89</v>
      </c>
      <c r="I59" s="14">
        <v>22947.128157155399</v>
      </c>
      <c r="J59" s="14">
        <v>22947.128157155399</v>
      </c>
      <c r="K59" s="14">
        <v>0</v>
      </c>
      <c r="L59" s="14">
        <v>13252.244422993001</v>
      </c>
      <c r="M59" s="14">
        <v>9694.8837341624003</v>
      </c>
      <c r="N59" s="10" t="s">
        <v>268</v>
      </c>
      <c r="O59" s="15">
        <v>2.72</v>
      </c>
      <c r="P59" s="10" t="s">
        <v>31</v>
      </c>
      <c r="Q59" s="15" t="s">
        <v>32</v>
      </c>
      <c r="R59" s="10" t="s">
        <v>33</v>
      </c>
      <c r="S59" s="10" t="s">
        <v>266</v>
      </c>
      <c r="T59" s="15">
        <f>IF(O59="","",(1/Metadata!$B$5)^(O59-1))</f>
        <v>52.480746024977307</v>
      </c>
      <c r="U59" s="14">
        <f t="shared" si="0"/>
        <v>1204282.404818278</v>
      </c>
      <c r="V59" s="22" t="s">
        <v>91</v>
      </c>
      <c r="W59" s="21" t="s">
        <v>92</v>
      </c>
    </row>
    <row r="60" spans="1:23" ht="18" customHeight="1">
      <c r="A60" s="10" t="s">
        <v>23</v>
      </c>
      <c r="B60" s="10" t="s">
        <v>24</v>
      </c>
      <c r="C60" s="10" t="s">
        <v>25</v>
      </c>
      <c r="D60" s="13">
        <v>2019</v>
      </c>
      <c r="E60" s="10" t="s">
        <v>269</v>
      </c>
      <c r="F60" s="10" t="s">
        <v>270</v>
      </c>
      <c r="G60" s="10" t="s">
        <v>157</v>
      </c>
      <c r="H60" s="10" t="s">
        <v>47</v>
      </c>
      <c r="I60" s="14">
        <v>22550.810785890098</v>
      </c>
      <c r="J60" s="14">
        <v>21345.454418630699</v>
      </c>
      <c r="K60" s="14">
        <v>1205.3563672594</v>
      </c>
      <c r="L60" s="14">
        <v>15514.380531321</v>
      </c>
      <c r="M60" s="14">
        <v>7036.4302545691007</v>
      </c>
      <c r="N60" s="10" t="s">
        <v>271</v>
      </c>
      <c r="O60" s="15">
        <v>4.3499999999999996</v>
      </c>
      <c r="P60" s="10" t="s">
        <v>31</v>
      </c>
      <c r="Q60" s="15" t="s">
        <v>32</v>
      </c>
      <c r="R60" s="10" t="s">
        <v>33</v>
      </c>
      <c r="S60" s="10" t="s">
        <v>269</v>
      </c>
      <c r="T60" s="15">
        <f>IF(O60="","",(1/Metadata!$B$5)^(O60-1))</f>
        <v>2238.7211385683395</v>
      </c>
      <c r="U60" s="14">
        <f t="shared" si="0"/>
        <v>50484976.798227072</v>
      </c>
      <c r="V60" s="22" t="s">
        <v>180</v>
      </c>
      <c r="W60" s="21" t="s">
        <v>272</v>
      </c>
    </row>
    <row r="61" spans="1:23" ht="18" customHeight="1">
      <c r="A61" s="10" t="s">
        <v>23</v>
      </c>
      <c r="B61" s="10" t="s">
        <v>24</v>
      </c>
      <c r="C61" s="10" t="s">
        <v>25</v>
      </c>
      <c r="D61" s="13">
        <v>2019</v>
      </c>
      <c r="E61" s="10" t="s">
        <v>273</v>
      </c>
      <c r="F61" s="10" t="s">
        <v>274</v>
      </c>
      <c r="G61" s="10" t="s">
        <v>38</v>
      </c>
      <c r="H61" s="10" t="s">
        <v>47</v>
      </c>
      <c r="I61" s="14">
        <v>22423.4970705782</v>
      </c>
      <c r="J61" s="14">
        <v>22423.4970705782</v>
      </c>
      <c r="K61" s="14">
        <v>0</v>
      </c>
      <c r="L61" s="14">
        <v>16271.047715021399</v>
      </c>
      <c r="M61" s="14">
        <v>6152.4493555568006</v>
      </c>
      <c r="N61" s="10" t="s">
        <v>275</v>
      </c>
      <c r="O61" s="15">
        <v>3.81</v>
      </c>
      <c r="P61" s="10" t="s">
        <v>41</v>
      </c>
      <c r="Q61" s="15" t="s">
        <v>42</v>
      </c>
      <c r="R61" s="10" t="s">
        <v>33</v>
      </c>
      <c r="S61" s="10" t="s">
        <v>273</v>
      </c>
      <c r="T61" s="15">
        <f>IF(O61="","",(1/Metadata!$B$5)^(O61-1))</f>
        <v>645.65422903465594</v>
      </c>
      <c r="U61" s="14">
        <f t="shared" si="0"/>
        <v>14477825.713365033</v>
      </c>
      <c r="V61" s="22" t="s">
        <v>60</v>
      </c>
      <c r="W61" s="21" t="s">
        <v>61</v>
      </c>
    </row>
    <row r="62" spans="1:23" ht="18" customHeight="1">
      <c r="A62" s="10" t="s">
        <v>23</v>
      </c>
      <c r="B62" s="10" t="s">
        <v>24</v>
      </c>
      <c r="C62" s="10" t="s">
        <v>25</v>
      </c>
      <c r="D62" s="13">
        <v>2019</v>
      </c>
      <c r="E62" s="10" t="s">
        <v>276</v>
      </c>
      <c r="F62" s="10" t="s">
        <v>277</v>
      </c>
      <c r="G62" s="10" t="s">
        <v>157</v>
      </c>
      <c r="H62" s="10" t="s">
        <v>173</v>
      </c>
      <c r="I62" s="14">
        <v>21709.179141928202</v>
      </c>
      <c r="J62" s="14">
        <v>21709.179141928202</v>
      </c>
      <c r="K62" s="14">
        <v>0</v>
      </c>
      <c r="L62" s="14">
        <v>18382.0751027853</v>
      </c>
      <c r="M62" s="14">
        <v>3327.1040391429001</v>
      </c>
      <c r="N62" s="10" t="s">
        <v>278</v>
      </c>
      <c r="O62" s="15">
        <v>4.41</v>
      </c>
      <c r="P62" s="10" t="s">
        <v>41</v>
      </c>
      <c r="Q62" s="15" t="s">
        <v>42</v>
      </c>
      <c r="R62" s="10" t="s">
        <v>33</v>
      </c>
      <c r="S62" s="10" t="s">
        <v>276</v>
      </c>
      <c r="T62" s="15">
        <f>IF(O62="","",(1/Metadata!$B$5)^(O62-1))</f>
        <v>2570.3957827688669</v>
      </c>
      <c r="U62" s="14">
        <f t="shared" si="0"/>
        <v>55801182.5137861</v>
      </c>
      <c r="V62" s="22" t="s">
        <v>277</v>
      </c>
      <c r="W62" s="21" t="s">
        <v>279</v>
      </c>
    </row>
    <row r="63" spans="1:23" ht="18" customHeight="1">
      <c r="A63" s="10" t="s">
        <v>23</v>
      </c>
      <c r="B63" s="10" t="s">
        <v>24</v>
      </c>
      <c r="C63" s="10" t="s">
        <v>25</v>
      </c>
      <c r="D63" s="13">
        <v>2019</v>
      </c>
      <c r="E63" s="10" t="s">
        <v>280</v>
      </c>
      <c r="F63" s="10" t="s">
        <v>281</v>
      </c>
      <c r="G63" s="10" t="s">
        <v>149</v>
      </c>
      <c r="H63" s="10" t="s">
        <v>29</v>
      </c>
      <c r="I63" s="14">
        <v>21324.344580164299</v>
      </c>
      <c r="J63" s="14">
        <v>21324.344580164299</v>
      </c>
      <c r="K63" s="14">
        <v>0</v>
      </c>
      <c r="L63" s="14">
        <v>17284.131727300501</v>
      </c>
      <c r="M63" s="14">
        <v>4040.2128528638</v>
      </c>
      <c r="N63" s="10" t="s">
        <v>282</v>
      </c>
      <c r="O63" s="15">
        <v>3.9</v>
      </c>
      <c r="P63" s="10" t="s">
        <v>31</v>
      </c>
      <c r="Q63" s="15" t="s">
        <v>32</v>
      </c>
      <c r="R63" s="10" t="s">
        <v>33</v>
      </c>
      <c r="S63" s="10" t="s">
        <v>280</v>
      </c>
      <c r="T63" s="15">
        <f>IF(O63="","",(1/Metadata!$B$5)^(O63-1))</f>
        <v>794.32823472428208</v>
      </c>
      <c r="U63" s="14">
        <f t="shared" si="0"/>
        <v>16938528.987014219</v>
      </c>
      <c r="V63" s="22" t="s">
        <v>149</v>
      </c>
      <c r="W63" s="21" t="s">
        <v>151</v>
      </c>
    </row>
    <row r="64" spans="1:23" ht="18" customHeight="1">
      <c r="A64" s="10" t="s">
        <v>23</v>
      </c>
      <c r="B64" s="10" t="s">
        <v>24</v>
      </c>
      <c r="C64" s="10" t="s">
        <v>25</v>
      </c>
      <c r="D64" s="13">
        <v>2019</v>
      </c>
      <c r="E64" s="10" t="s">
        <v>283</v>
      </c>
      <c r="F64" s="10" t="s">
        <v>284</v>
      </c>
      <c r="G64" s="10" t="s">
        <v>216</v>
      </c>
      <c r="H64" s="10" t="s">
        <v>47</v>
      </c>
      <c r="I64" s="14">
        <v>20670.025575788699</v>
      </c>
      <c r="J64" s="14">
        <v>19885.313980802999</v>
      </c>
      <c r="K64" s="14">
        <v>784.7115949857</v>
      </c>
      <c r="L64" s="14">
        <v>12103.690181366899</v>
      </c>
      <c r="M64" s="14">
        <v>8566.3353944217997</v>
      </c>
      <c r="N64" s="10" t="s">
        <v>285</v>
      </c>
      <c r="O64" s="15">
        <v>3.98</v>
      </c>
      <c r="P64" s="10" t="s">
        <v>31</v>
      </c>
      <c r="Q64" s="15" t="s">
        <v>32</v>
      </c>
      <c r="R64" s="10" t="s">
        <v>33</v>
      </c>
      <c r="S64" s="10" t="s">
        <v>283</v>
      </c>
      <c r="T64" s="15">
        <f>IF(O64="","",(1/Metadata!$B$5)^(O64-1))</f>
        <v>954.99258602143675</v>
      </c>
      <c r="U64" s="14">
        <f t="shared" si="0"/>
        <v>19739721.177751686</v>
      </c>
      <c r="V64" s="22" t="s">
        <v>74</v>
      </c>
      <c r="W64" s="21" t="s">
        <v>75</v>
      </c>
    </row>
    <row r="65" spans="1:23" ht="18" customHeight="1">
      <c r="A65" s="10" t="s">
        <v>23</v>
      </c>
      <c r="B65" s="10" t="s">
        <v>24</v>
      </c>
      <c r="C65" s="10" t="s">
        <v>25</v>
      </c>
      <c r="D65" s="13">
        <v>2019</v>
      </c>
      <c r="E65" s="10" t="s">
        <v>286</v>
      </c>
      <c r="F65" s="10" t="s">
        <v>287</v>
      </c>
      <c r="G65" s="10" t="s">
        <v>28</v>
      </c>
      <c r="H65" s="10" t="s">
        <v>29</v>
      </c>
      <c r="I65" s="14">
        <v>20589.433211016501</v>
      </c>
      <c r="J65" s="14">
        <v>19905.051836437098</v>
      </c>
      <c r="K65" s="14">
        <v>684.38137457940002</v>
      </c>
      <c r="L65" s="14">
        <v>19905.051836437098</v>
      </c>
      <c r="M65" s="14">
        <v>684.38137457940002</v>
      </c>
      <c r="N65" s="10" t="s">
        <v>288</v>
      </c>
      <c r="O65" s="15">
        <v>4.4000000000000004</v>
      </c>
      <c r="P65" s="10" t="s">
        <v>41</v>
      </c>
      <c r="Q65" s="15" t="s">
        <v>42</v>
      </c>
      <c r="R65" s="10" t="s">
        <v>33</v>
      </c>
      <c r="S65" s="10" t="s">
        <v>286</v>
      </c>
      <c r="T65" s="15">
        <f>IF(O65="","",(1/Metadata!$B$5)^(O65-1))</f>
        <v>2511.8864315095834</v>
      </c>
      <c r="U65" s="14">
        <f t="shared" si="0"/>
        <v>51718317.915225141</v>
      </c>
      <c r="V65" s="22" t="s">
        <v>74</v>
      </c>
      <c r="W65" s="21" t="s">
        <v>75</v>
      </c>
    </row>
    <row r="66" spans="1:23" ht="18" customHeight="1">
      <c r="A66" s="10" t="s">
        <v>23</v>
      </c>
      <c r="B66" s="10" t="s">
        <v>24</v>
      </c>
      <c r="C66" s="10" t="s">
        <v>25</v>
      </c>
      <c r="D66" s="13">
        <v>2019</v>
      </c>
      <c r="E66" s="10" t="s">
        <v>289</v>
      </c>
      <c r="F66" s="10" t="s">
        <v>290</v>
      </c>
      <c r="G66" s="10" t="s">
        <v>88</v>
      </c>
      <c r="H66" s="10" t="s">
        <v>89</v>
      </c>
      <c r="I66" s="14">
        <v>20326.438456378899</v>
      </c>
      <c r="J66" s="14">
        <v>20326.438456378899</v>
      </c>
      <c r="K66" s="14">
        <v>0</v>
      </c>
      <c r="L66" s="14">
        <v>12932.822118251701</v>
      </c>
      <c r="M66" s="14">
        <v>7393.6163381271999</v>
      </c>
      <c r="N66" s="10" t="s">
        <v>291</v>
      </c>
      <c r="O66" s="15">
        <v>3.77</v>
      </c>
      <c r="P66" s="10" t="s">
        <v>31</v>
      </c>
      <c r="Q66" s="15" t="s">
        <v>32</v>
      </c>
      <c r="R66" s="10" t="s">
        <v>33</v>
      </c>
      <c r="S66" s="10" t="s">
        <v>289</v>
      </c>
      <c r="T66" s="15">
        <f>IF(O66="","",(1/Metadata!$B$5)^(O66-1))</f>
        <v>588.84365535558959</v>
      </c>
      <c r="U66" s="14">
        <f t="shared" ref="U66:U129" si="1">IF(T66="","",I66*T66)</f>
        <v>11969094.321014579</v>
      </c>
      <c r="V66" s="22" t="s">
        <v>91</v>
      </c>
      <c r="W66" s="21" t="s">
        <v>292</v>
      </c>
    </row>
    <row r="67" spans="1:23" ht="18" customHeight="1">
      <c r="A67" s="10" t="s">
        <v>23</v>
      </c>
      <c r="B67" s="10" t="s">
        <v>24</v>
      </c>
      <c r="C67" s="10" t="s">
        <v>25</v>
      </c>
      <c r="D67" s="13">
        <v>2019</v>
      </c>
      <c r="E67" s="10" t="s">
        <v>293</v>
      </c>
      <c r="F67" s="10" t="s">
        <v>294</v>
      </c>
      <c r="G67" s="10" t="s">
        <v>216</v>
      </c>
      <c r="H67" s="10" t="s">
        <v>47</v>
      </c>
      <c r="I67" s="14">
        <v>19266.496668801501</v>
      </c>
      <c r="J67" s="14">
        <v>19134.578905032999</v>
      </c>
      <c r="K67" s="14">
        <v>131.91776376850001</v>
      </c>
      <c r="L67" s="14">
        <v>13379.0203816867</v>
      </c>
      <c r="M67" s="14">
        <v>5887.4762871147996</v>
      </c>
      <c r="N67" s="10" t="s">
        <v>295</v>
      </c>
      <c r="O67" s="15">
        <v>3.81</v>
      </c>
      <c r="P67" s="10" t="s">
        <v>31</v>
      </c>
      <c r="Q67" s="15" t="s">
        <v>32</v>
      </c>
      <c r="R67" s="10" t="s">
        <v>33</v>
      </c>
      <c r="S67" s="10" t="s">
        <v>293</v>
      </c>
      <c r="T67" s="15">
        <f>IF(O67="","",(1/Metadata!$B$5)^(O67-1))</f>
        <v>645.65422903465594</v>
      </c>
      <c r="U67" s="14">
        <f t="shared" si="1"/>
        <v>12439495.052893801</v>
      </c>
      <c r="V67" s="22" t="s">
        <v>100</v>
      </c>
      <c r="W67" s="21" t="s">
        <v>101</v>
      </c>
    </row>
    <row r="68" spans="1:23" ht="18" customHeight="1">
      <c r="A68" s="10" t="s">
        <v>23</v>
      </c>
      <c r="B68" s="10" t="s">
        <v>24</v>
      </c>
      <c r="C68" s="10" t="s">
        <v>25</v>
      </c>
      <c r="D68" s="13">
        <v>2019</v>
      </c>
      <c r="E68" s="10" t="s">
        <v>296</v>
      </c>
      <c r="F68" s="10" t="s">
        <v>297</v>
      </c>
      <c r="G68" s="10" t="s">
        <v>53</v>
      </c>
      <c r="H68" s="10" t="s">
        <v>47</v>
      </c>
      <c r="I68" s="14">
        <v>19262.0424358007</v>
      </c>
      <c r="J68" s="14">
        <v>19262.0424358007</v>
      </c>
      <c r="K68" s="14">
        <v>0</v>
      </c>
      <c r="L68" s="14">
        <v>0</v>
      </c>
      <c r="M68" s="14">
        <v>19262.0424358007</v>
      </c>
      <c r="N68" s="10" t="s">
        <v>298</v>
      </c>
      <c r="O68" s="15">
        <v>3.9</v>
      </c>
      <c r="P68" s="10" t="s">
        <v>31</v>
      </c>
      <c r="Q68" s="15" t="s">
        <v>32</v>
      </c>
      <c r="R68" s="10" t="s">
        <v>33</v>
      </c>
      <c r="S68" s="10" t="s">
        <v>296</v>
      </c>
      <c r="T68" s="15">
        <f>IF(O68="","",(1/Metadata!$B$5)^(O68-1))</f>
        <v>794.32823472428208</v>
      </c>
      <c r="U68" s="14">
        <f t="shared" si="1"/>
        <v>15300384.16521378</v>
      </c>
      <c r="V68" s="23" t="s">
        <v>66</v>
      </c>
      <c r="W68" s="21" t="s">
        <v>299</v>
      </c>
    </row>
    <row r="69" spans="1:23" ht="18" customHeight="1">
      <c r="A69" s="10" t="s">
        <v>23</v>
      </c>
      <c r="B69" s="10" t="s">
        <v>24</v>
      </c>
      <c r="C69" s="10" t="s">
        <v>25</v>
      </c>
      <c r="D69" s="13">
        <v>2019</v>
      </c>
      <c r="E69" s="10" t="s">
        <v>300</v>
      </c>
      <c r="F69" s="10" t="s">
        <v>301</v>
      </c>
      <c r="G69" s="10" t="s">
        <v>223</v>
      </c>
      <c r="H69" s="10" t="s">
        <v>47</v>
      </c>
      <c r="I69" s="14">
        <v>19060.840528618901</v>
      </c>
      <c r="J69" s="14">
        <v>17503.1181412441</v>
      </c>
      <c r="K69" s="14">
        <v>1557.7223873748001</v>
      </c>
      <c r="L69" s="14">
        <v>14139.937234429501</v>
      </c>
      <c r="M69" s="14">
        <v>4920.9032941894002</v>
      </c>
      <c r="N69" s="10" t="s">
        <v>302</v>
      </c>
      <c r="O69" s="15">
        <v>4.42</v>
      </c>
      <c r="P69" s="10" t="s">
        <v>31</v>
      </c>
      <c r="Q69" s="15" t="s">
        <v>32</v>
      </c>
      <c r="R69" s="10" t="s">
        <v>33</v>
      </c>
      <c r="S69" s="10" t="s">
        <v>300</v>
      </c>
      <c r="T69" s="15">
        <f>IF(O69="","",(1/Metadata!$B$5)^(O69-1))</f>
        <v>2630.2679918953822</v>
      </c>
      <c r="U69" s="14">
        <f t="shared" si="1"/>
        <v>50135118.741048552</v>
      </c>
      <c r="V69" s="22" t="s">
        <v>129</v>
      </c>
      <c r="W69" s="21" t="s">
        <v>130</v>
      </c>
    </row>
    <row r="70" spans="1:23" ht="18" customHeight="1">
      <c r="A70" s="10" t="s">
        <v>23</v>
      </c>
      <c r="B70" s="10" t="s">
        <v>24</v>
      </c>
      <c r="C70" s="10" t="s">
        <v>25</v>
      </c>
      <c r="D70" s="13">
        <v>2019</v>
      </c>
      <c r="E70" s="10" t="s">
        <v>303</v>
      </c>
      <c r="F70" s="10" t="s">
        <v>304</v>
      </c>
      <c r="G70" s="10" t="s">
        <v>305</v>
      </c>
      <c r="H70" s="10" t="s">
        <v>137</v>
      </c>
      <c r="I70" s="14">
        <v>18135.561419545498</v>
      </c>
      <c r="J70" s="14">
        <v>17166.601772673599</v>
      </c>
      <c r="K70" s="14">
        <v>968.95964687189996</v>
      </c>
      <c r="L70" s="14">
        <v>16936.753983031002</v>
      </c>
      <c r="M70" s="14">
        <v>1198.8074365145001</v>
      </c>
      <c r="N70" s="10" t="s">
        <v>306</v>
      </c>
      <c r="O70" s="15">
        <v>3.72</v>
      </c>
      <c r="P70" s="10" t="s">
        <v>31</v>
      </c>
      <c r="Q70" s="15" t="s">
        <v>32</v>
      </c>
      <c r="R70" s="10" t="s">
        <v>33</v>
      </c>
      <c r="S70" s="10" t="s">
        <v>303</v>
      </c>
      <c r="T70" s="15">
        <f>IF(O70="","",(1/Metadata!$B$5)^(O70-1))</f>
        <v>524.80746024977293</v>
      </c>
      <c r="U70" s="14">
        <f t="shared" si="1"/>
        <v>9517677.9287954401</v>
      </c>
      <c r="V70" s="20" t="s">
        <v>34</v>
      </c>
      <c r="W70" s="21" t="s">
        <v>307</v>
      </c>
    </row>
    <row r="71" spans="1:23" ht="18" customHeight="1">
      <c r="A71" s="10" t="s">
        <v>23</v>
      </c>
      <c r="B71" s="10" t="s">
        <v>24</v>
      </c>
      <c r="C71" s="10" t="s">
        <v>25</v>
      </c>
      <c r="D71" s="13">
        <v>2019</v>
      </c>
      <c r="E71" s="10" t="s">
        <v>308</v>
      </c>
      <c r="F71" s="10" t="s">
        <v>309</v>
      </c>
      <c r="G71" s="10" t="s">
        <v>216</v>
      </c>
      <c r="H71" s="10" t="s">
        <v>47</v>
      </c>
      <c r="I71" s="14">
        <v>18079.584753460898</v>
      </c>
      <c r="J71" s="14">
        <v>17252.3851282328</v>
      </c>
      <c r="K71" s="14">
        <v>827.19962522809999</v>
      </c>
      <c r="L71" s="14">
        <v>13101.882928515101</v>
      </c>
      <c r="M71" s="14">
        <v>4977.7018249457997</v>
      </c>
      <c r="N71" s="10" t="s">
        <v>310</v>
      </c>
      <c r="O71" s="15">
        <v>3.59</v>
      </c>
      <c r="P71" s="10" t="s">
        <v>31</v>
      </c>
      <c r="Q71" s="15" t="s">
        <v>32</v>
      </c>
      <c r="R71" s="10" t="s">
        <v>33</v>
      </c>
      <c r="S71" s="10" t="s">
        <v>308</v>
      </c>
      <c r="T71" s="15">
        <f>IF(O71="","",(1/Metadata!$B$5)^(O71-1))</f>
        <v>389.04514499428063</v>
      </c>
      <c r="U71" s="14">
        <f t="shared" si="1"/>
        <v>7033774.6718465807</v>
      </c>
      <c r="V71" s="22" t="s">
        <v>74</v>
      </c>
      <c r="W71" s="21" t="s">
        <v>75</v>
      </c>
    </row>
    <row r="72" spans="1:23" ht="18" customHeight="1">
      <c r="A72" s="10" t="s">
        <v>23</v>
      </c>
      <c r="B72" s="10" t="s">
        <v>24</v>
      </c>
      <c r="C72" s="10" t="s">
        <v>25</v>
      </c>
      <c r="D72" s="13">
        <v>2019</v>
      </c>
      <c r="E72" s="10" t="s">
        <v>311</v>
      </c>
      <c r="F72" s="10" t="s">
        <v>312</v>
      </c>
      <c r="G72" s="10" t="s">
        <v>64</v>
      </c>
      <c r="H72" s="10" t="s">
        <v>47</v>
      </c>
      <c r="I72" s="14">
        <v>17449.645770224699</v>
      </c>
      <c r="J72" s="14">
        <v>15538.372382953599</v>
      </c>
      <c r="K72" s="14">
        <v>1911.2733872711001</v>
      </c>
      <c r="L72" s="14">
        <v>14607.1950117745</v>
      </c>
      <c r="M72" s="14">
        <v>2842.4507584501998</v>
      </c>
      <c r="N72" s="10" t="s">
        <v>313</v>
      </c>
      <c r="O72" s="15">
        <v>3.22</v>
      </c>
      <c r="P72" s="10" t="s">
        <v>31</v>
      </c>
      <c r="Q72" s="15" t="s">
        <v>32</v>
      </c>
      <c r="R72" s="10" t="s">
        <v>33</v>
      </c>
      <c r="S72" s="10" t="s">
        <v>311</v>
      </c>
      <c r="T72" s="15">
        <f>IF(O72="","",(1/Metadata!$B$5)^(O72-1))</f>
        <v>165.95869074375622</v>
      </c>
      <c r="U72" s="14">
        <f t="shared" si="1"/>
        <v>2895920.3659688146</v>
      </c>
      <c r="V72" s="22" t="s">
        <v>66</v>
      </c>
      <c r="W72" s="21" t="s">
        <v>67</v>
      </c>
    </row>
    <row r="73" spans="1:23" ht="18" customHeight="1">
      <c r="A73" s="10" t="s">
        <v>23</v>
      </c>
      <c r="B73" s="10" t="s">
        <v>24</v>
      </c>
      <c r="C73" s="10" t="s">
        <v>25</v>
      </c>
      <c r="D73" s="13">
        <v>2019</v>
      </c>
      <c r="E73" s="10" t="s">
        <v>314</v>
      </c>
      <c r="F73" s="10" t="s">
        <v>315</v>
      </c>
      <c r="G73" s="10" t="s">
        <v>216</v>
      </c>
      <c r="H73" s="10" t="s">
        <v>47</v>
      </c>
      <c r="I73" s="14">
        <v>17233.097438306999</v>
      </c>
      <c r="J73" s="14">
        <v>17223.8118473592</v>
      </c>
      <c r="K73" s="14">
        <v>9.2855909477999994</v>
      </c>
      <c r="L73" s="14">
        <v>10722.6185804343</v>
      </c>
      <c r="M73" s="14">
        <v>6510.4788578727002</v>
      </c>
      <c r="N73" s="10" t="s">
        <v>316</v>
      </c>
      <c r="O73" s="15">
        <v>3.32</v>
      </c>
      <c r="P73" s="10" t="s">
        <v>31</v>
      </c>
      <c r="Q73" s="15" t="s">
        <v>32</v>
      </c>
      <c r="R73" s="10" t="s">
        <v>33</v>
      </c>
      <c r="S73" s="10" t="s">
        <v>314</v>
      </c>
      <c r="T73" s="15">
        <f>IF(O73="","",(1/Metadata!$B$5)^(O73-1))</f>
        <v>208.92961308540396</v>
      </c>
      <c r="U73" s="14">
        <f t="shared" si="1"/>
        <v>3600504.3800485474</v>
      </c>
      <c r="V73" s="22" t="s">
        <v>60</v>
      </c>
      <c r="W73" s="21" t="s">
        <v>61</v>
      </c>
    </row>
    <row r="74" spans="1:23" ht="18" customHeight="1">
      <c r="A74" s="10" t="s">
        <v>23</v>
      </c>
      <c r="B74" s="10" t="s">
        <v>24</v>
      </c>
      <c r="C74" s="10" t="s">
        <v>25</v>
      </c>
      <c r="D74" s="13">
        <v>2019</v>
      </c>
      <c r="E74" s="10" t="s">
        <v>317</v>
      </c>
      <c r="F74" s="10" t="s">
        <v>318</v>
      </c>
      <c r="G74" s="10" t="s">
        <v>28</v>
      </c>
      <c r="H74" s="10" t="s">
        <v>47</v>
      </c>
      <c r="I74" s="14">
        <v>16850.532620097401</v>
      </c>
      <c r="J74" s="14">
        <v>16613.875624953002</v>
      </c>
      <c r="K74" s="14">
        <v>236.65699514440001</v>
      </c>
      <c r="L74" s="14">
        <v>15247.946501954901</v>
      </c>
      <c r="M74" s="14">
        <v>1602.5861181425</v>
      </c>
      <c r="N74" s="10" t="s">
        <v>319</v>
      </c>
      <c r="O74" s="15">
        <v>3.59</v>
      </c>
      <c r="P74" s="10" t="s">
        <v>31</v>
      </c>
      <c r="Q74" s="15" t="s">
        <v>32</v>
      </c>
      <c r="R74" s="10" t="s">
        <v>33</v>
      </c>
      <c r="S74" s="10" t="s">
        <v>317</v>
      </c>
      <c r="T74" s="15">
        <f>IF(O74="","",(1/Metadata!$B$5)^(O74-1))</f>
        <v>389.04514499428063</v>
      </c>
      <c r="U74" s="14">
        <f t="shared" si="1"/>
        <v>6555617.906416649</v>
      </c>
      <c r="V74" s="22" t="s">
        <v>100</v>
      </c>
      <c r="W74" s="21" t="s">
        <v>101</v>
      </c>
    </row>
    <row r="75" spans="1:23" ht="18" customHeight="1">
      <c r="A75" s="10" t="s">
        <v>23</v>
      </c>
      <c r="B75" s="10" t="s">
        <v>24</v>
      </c>
      <c r="C75" s="10" t="s">
        <v>25</v>
      </c>
      <c r="D75" s="13">
        <v>2019</v>
      </c>
      <c r="E75" s="10" t="s">
        <v>320</v>
      </c>
      <c r="F75" s="10" t="s">
        <v>321</v>
      </c>
      <c r="G75" s="10" t="s">
        <v>53</v>
      </c>
      <c r="H75" s="10" t="s">
        <v>47</v>
      </c>
      <c r="I75" s="14">
        <v>16786.745272062501</v>
      </c>
      <c r="J75" s="14">
        <v>16786.745272062501</v>
      </c>
      <c r="K75" s="14">
        <v>0</v>
      </c>
      <c r="L75" s="14">
        <v>2408.2875023646998</v>
      </c>
      <c r="M75" s="14">
        <v>14378.457769697799</v>
      </c>
      <c r="N75" s="10" t="s">
        <v>322</v>
      </c>
      <c r="O75" s="15">
        <v>3.7</v>
      </c>
      <c r="P75" s="10" t="s">
        <v>31</v>
      </c>
      <c r="Q75" s="15" t="s">
        <v>32</v>
      </c>
      <c r="R75" s="10" t="s">
        <v>33</v>
      </c>
      <c r="S75" s="10" t="s">
        <v>320</v>
      </c>
      <c r="T75" s="15">
        <f>IF(O75="","",(1/Metadata!$B$5)^(O75-1))</f>
        <v>501.18723362727269</v>
      </c>
      <c r="U75" s="14">
        <f t="shared" si="1"/>
        <v>8413302.4245107044</v>
      </c>
      <c r="V75" s="22" t="s">
        <v>74</v>
      </c>
      <c r="W75" s="21" t="s">
        <v>323</v>
      </c>
    </row>
    <row r="76" spans="1:23" ht="18" customHeight="1">
      <c r="A76" s="10" t="s">
        <v>23</v>
      </c>
      <c r="B76" s="10" t="s">
        <v>24</v>
      </c>
      <c r="C76" s="10" t="s">
        <v>25</v>
      </c>
      <c r="D76" s="13">
        <v>2019</v>
      </c>
      <c r="E76" s="10" t="s">
        <v>324</v>
      </c>
      <c r="F76" s="10" t="s">
        <v>325</v>
      </c>
      <c r="G76" s="10" t="s">
        <v>326</v>
      </c>
      <c r="H76" s="10" t="s">
        <v>29</v>
      </c>
      <c r="I76" s="14">
        <v>16065.474963262001</v>
      </c>
      <c r="J76" s="14">
        <v>16065.474963262001</v>
      </c>
      <c r="K76" s="14">
        <v>0</v>
      </c>
      <c r="L76" s="14">
        <v>5687.3961643678003</v>
      </c>
      <c r="M76" s="14">
        <v>10378.078798894199</v>
      </c>
      <c r="N76" s="10" t="s">
        <v>327</v>
      </c>
      <c r="O76" s="15">
        <v>3.46</v>
      </c>
      <c r="P76" s="10" t="s">
        <v>31</v>
      </c>
      <c r="Q76" s="15" t="s">
        <v>32</v>
      </c>
      <c r="R76" s="10" t="s">
        <v>33</v>
      </c>
      <c r="S76" s="10" t="s">
        <v>324</v>
      </c>
      <c r="T76" s="15">
        <f>IF(O76="","",(1/Metadata!$B$5)^(O76-1))</f>
        <v>288.40315031266073</v>
      </c>
      <c r="U76" s="14">
        <f t="shared" si="1"/>
        <v>4633333.5906739384</v>
      </c>
      <c r="V76" s="22" t="s">
        <v>326</v>
      </c>
      <c r="W76" s="21" t="s">
        <v>328</v>
      </c>
    </row>
    <row r="77" spans="1:23" ht="18" customHeight="1">
      <c r="A77" s="10" t="s">
        <v>23</v>
      </c>
      <c r="B77" s="10" t="s">
        <v>24</v>
      </c>
      <c r="C77" s="10" t="s">
        <v>25</v>
      </c>
      <c r="D77" s="13">
        <v>2019</v>
      </c>
      <c r="E77" s="10" t="s">
        <v>329</v>
      </c>
      <c r="F77" s="10" t="s">
        <v>330</v>
      </c>
      <c r="G77" s="10" t="s">
        <v>234</v>
      </c>
      <c r="H77" s="10" t="s">
        <v>235</v>
      </c>
      <c r="I77" s="14">
        <v>15927.187657753</v>
      </c>
      <c r="J77" s="14">
        <v>14138.3868484003</v>
      </c>
      <c r="K77" s="14">
        <v>1788.8008093527001</v>
      </c>
      <c r="L77" s="14">
        <v>14107.860828376701</v>
      </c>
      <c r="M77" s="14">
        <v>1819.3268293763001</v>
      </c>
      <c r="N77" s="10" t="s">
        <v>331</v>
      </c>
      <c r="O77" s="15">
        <v>2</v>
      </c>
      <c r="P77" s="10" t="s">
        <v>41</v>
      </c>
      <c r="Q77" s="15" t="s">
        <v>42</v>
      </c>
      <c r="R77" s="10" t="s">
        <v>33</v>
      </c>
      <c r="S77" s="10" t="s">
        <v>329</v>
      </c>
      <c r="T77" s="15">
        <f>IF(O77="","",(1/Metadata!$B$5)^(O77-1))</f>
        <v>10</v>
      </c>
      <c r="U77" s="14">
        <f t="shared" si="1"/>
        <v>159271.87657753</v>
      </c>
      <c r="V77" s="22" t="s">
        <v>237</v>
      </c>
      <c r="W77" s="21" t="s">
        <v>238</v>
      </c>
    </row>
    <row r="78" spans="1:23" ht="18" customHeight="1">
      <c r="A78" s="10" t="s">
        <v>23</v>
      </c>
      <c r="B78" s="10" t="s">
        <v>24</v>
      </c>
      <c r="C78" s="10" t="s">
        <v>25</v>
      </c>
      <c r="D78" s="13">
        <v>2019</v>
      </c>
      <c r="E78" s="10" t="s">
        <v>332</v>
      </c>
      <c r="F78" s="10" t="s">
        <v>333</v>
      </c>
      <c r="G78" s="10" t="s">
        <v>122</v>
      </c>
      <c r="H78" s="10" t="s">
        <v>89</v>
      </c>
      <c r="I78" s="14">
        <v>15906.1204198132</v>
      </c>
      <c r="J78" s="14">
        <v>15906.1204198132</v>
      </c>
      <c r="K78" s="14">
        <v>0</v>
      </c>
      <c r="L78" s="14">
        <v>11958.9836417194</v>
      </c>
      <c r="M78" s="14">
        <v>3947.1367780937999</v>
      </c>
      <c r="N78" s="10" t="s">
        <v>334</v>
      </c>
      <c r="O78" s="15">
        <v>2.48</v>
      </c>
      <c r="P78" s="10" t="s">
        <v>41</v>
      </c>
      <c r="Q78" s="15" t="s">
        <v>42</v>
      </c>
      <c r="R78" s="10" t="s">
        <v>33</v>
      </c>
      <c r="S78" s="10" t="s">
        <v>332</v>
      </c>
      <c r="T78" s="15">
        <f>IF(O78="","",(1/Metadata!$B$5)^(O78-1))</f>
        <v>30.199517204020164</v>
      </c>
      <c r="U78" s="14">
        <f t="shared" si="1"/>
        <v>480357.1572673652</v>
      </c>
      <c r="V78" s="22" t="s">
        <v>91</v>
      </c>
      <c r="W78" s="21" t="s">
        <v>242</v>
      </c>
    </row>
    <row r="79" spans="1:23" ht="18" customHeight="1">
      <c r="A79" s="10" t="s">
        <v>23</v>
      </c>
      <c r="B79" s="10" t="s">
        <v>24</v>
      </c>
      <c r="C79" s="10" t="s">
        <v>25</v>
      </c>
      <c r="D79" s="13">
        <v>2019</v>
      </c>
      <c r="E79" s="10" t="s">
        <v>335</v>
      </c>
      <c r="F79" s="10" t="s">
        <v>336</v>
      </c>
      <c r="G79" s="10" t="s">
        <v>81</v>
      </c>
      <c r="H79" s="10" t="s">
        <v>47</v>
      </c>
      <c r="I79" s="14">
        <v>15689.0901902102</v>
      </c>
      <c r="J79" s="14">
        <v>15689.0901902102</v>
      </c>
      <c r="K79" s="14">
        <v>0</v>
      </c>
      <c r="L79" s="14">
        <v>14716.564379043801</v>
      </c>
      <c r="M79" s="14">
        <v>972.52581116639999</v>
      </c>
      <c r="N79" s="10" t="s">
        <v>337</v>
      </c>
      <c r="O79" s="15">
        <v>3.41</v>
      </c>
      <c r="P79" s="10" t="s">
        <v>31</v>
      </c>
      <c r="Q79" s="15" t="s">
        <v>32</v>
      </c>
      <c r="R79" s="10" t="s">
        <v>33</v>
      </c>
      <c r="S79" s="10" t="s">
        <v>335</v>
      </c>
      <c r="T79" s="15">
        <f>IF(O79="","",(1/Metadata!$B$5)^(O79-1))</f>
        <v>257.03957827688663</v>
      </c>
      <c r="U79" s="14">
        <f t="shared" si="1"/>
        <v>4032717.1260396689</v>
      </c>
      <c r="V79" s="22" t="s">
        <v>66</v>
      </c>
      <c r="W79" s="21" t="s">
        <v>67</v>
      </c>
    </row>
    <row r="80" spans="1:23" ht="18" customHeight="1">
      <c r="A80" s="10" t="s">
        <v>23</v>
      </c>
      <c r="B80" s="10" t="s">
        <v>24</v>
      </c>
      <c r="C80" s="10" t="s">
        <v>25</v>
      </c>
      <c r="D80" s="13">
        <v>2019</v>
      </c>
      <c r="E80" s="10" t="s">
        <v>338</v>
      </c>
      <c r="F80" s="10" t="s">
        <v>339</v>
      </c>
      <c r="G80" s="10" t="s">
        <v>28</v>
      </c>
      <c r="H80" s="10" t="s">
        <v>340</v>
      </c>
      <c r="I80" s="14">
        <v>15562.8037612551</v>
      </c>
      <c r="J80" s="14">
        <v>14891.073348629099</v>
      </c>
      <c r="K80" s="14">
        <v>671.73041262599997</v>
      </c>
      <c r="L80" s="14">
        <v>12842.755496365</v>
      </c>
      <c r="M80" s="14">
        <v>2720.0482648901002</v>
      </c>
      <c r="N80" s="10" t="s">
        <v>341</v>
      </c>
      <c r="O80" s="15">
        <v>3.9</v>
      </c>
      <c r="P80" s="10" t="s">
        <v>31</v>
      </c>
      <c r="Q80" s="15" t="s">
        <v>32</v>
      </c>
      <c r="R80" s="10" t="s">
        <v>33</v>
      </c>
      <c r="S80" s="10" t="s">
        <v>338</v>
      </c>
      <c r="T80" s="15">
        <f>IF(O80="","",(1/Metadata!$B$5)^(O80-1))</f>
        <v>794.32823472428208</v>
      </c>
      <c r="U80" s="14">
        <f t="shared" si="1"/>
        <v>12361974.439038182</v>
      </c>
      <c r="V80" s="22" t="s">
        <v>129</v>
      </c>
      <c r="W80" s="21" t="s">
        <v>130</v>
      </c>
    </row>
    <row r="81" spans="1:23" ht="18" customHeight="1">
      <c r="A81" s="10" t="s">
        <v>23</v>
      </c>
      <c r="B81" s="10" t="s">
        <v>24</v>
      </c>
      <c r="C81" s="10" t="s">
        <v>25</v>
      </c>
      <c r="D81" s="13">
        <v>2019</v>
      </c>
      <c r="E81" s="10" t="s">
        <v>342</v>
      </c>
      <c r="F81" s="10" t="s">
        <v>343</v>
      </c>
      <c r="G81" s="10" t="s">
        <v>38</v>
      </c>
      <c r="H81" s="10" t="s">
        <v>173</v>
      </c>
      <c r="I81" s="14">
        <v>15387.0046506252</v>
      </c>
      <c r="J81" s="14">
        <v>15387.0046506252</v>
      </c>
      <c r="K81" s="14">
        <v>0</v>
      </c>
      <c r="L81" s="14">
        <v>11498.887071454101</v>
      </c>
      <c r="M81" s="14">
        <v>3888.1175791710998</v>
      </c>
      <c r="N81" s="10" t="s">
        <v>344</v>
      </c>
      <c r="O81" s="15">
        <v>4.37</v>
      </c>
      <c r="P81" s="10" t="s">
        <v>41</v>
      </c>
      <c r="Q81" s="15" t="s">
        <v>42</v>
      </c>
      <c r="R81" s="10" t="s">
        <v>33</v>
      </c>
      <c r="S81" s="10" t="s">
        <v>342</v>
      </c>
      <c r="T81" s="15">
        <f>IF(O81="","",(1/Metadata!$B$5)^(O81-1))</f>
        <v>2344.2288153199238</v>
      </c>
      <c r="U81" s="14">
        <f t="shared" si="1"/>
        <v>36070659.68345727</v>
      </c>
      <c r="V81" s="22" t="s">
        <v>180</v>
      </c>
      <c r="W81" s="21" t="s">
        <v>250</v>
      </c>
    </row>
    <row r="82" spans="1:23" ht="18" customHeight="1">
      <c r="A82" s="10" t="s">
        <v>23</v>
      </c>
      <c r="B82" s="10" t="s">
        <v>24</v>
      </c>
      <c r="C82" s="10" t="s">
        <v>25</v>
      </c>
      <c r="D82" s="13">
        <v>2019</v>
      </c>
      <c r="E82" s="10" t="s">
        <v>345</v>
      </c>
      <c r="F82" s="10" t="s">
        <v>346</v>
      </c>
      <c r="G82" s="10" t="s">
        <v>223</v>
      </c>
      <c r="H82" s="10" t="s">
        <v>47</v>
      </c>
      <c r="I82" s="14">
        <v>15265.842045704099</v>
      </c>
      <c r="J82" s="14">
        <v>14850.509596870301</v>
      </c>
      <c r="K82" s="14">
        <v>415.33244883380002</v>
      </c>
      <c r="L82" s="14">
        <v>13950.6253672599</v>
      </c>
      <c r="M82" s="14">
        <v>1315.2166784441999</v>
      </c>
      <c r="N82" s="10" t="s">
        <v>347</v>
      </c>
      <c r="O82" s="15">
        <v>4.42</v>
      </c>
      <c r="P82" s="10" t="s">
        <v>41</v>
      </c>
      <c r="Q82" s="15" t="s">
        <v>42</v>
      </c>
      <c r="R82" s="10" t="s">
        <v>33</v>
      </c>
      <c r="S82" s="10" t="s">
        <v>345</v>
      </c>
      <c r="T82" s="15">
        <f>IF(O82="","",(1/Metadata!$B$5)^(O82-1))</f>
        <v>2630.2679918953822</v>
      </c>
      <c r="U82" s="14">
        <f t="shared" si="1"/>
        <v>40153255.702146217</v>
      </c>
      <c r="V82" s="22" t="s">
        <v>129</v>
      </c>
      <c r="W82" s="21" t="s">
        <v>130</v>
      </c>
    </row>
    <row r="83" spans="1:23" ht="18" customHeight="1">
      <c r="A83" s="10" t="s">
        <v>23</v>
      </c>
      <c r="B83" s="10" t="s">
        <v>24</v>
      </c>
      <c r="C83" s="10" t="s">
        <v>25</v>
      </c>
      <c r="D83" s="13">
        <v>2019</v>
      </c>
      <c r="E83" s="10" t="s">
        <v>348</v>
      </c>
      <c r="F83" s="10" t="s">
        <v>349</v>
      </c>
      <c r="G83" s="10" t="s">
        <v>53</v>
      </c>
      <c r="H83" s="10" t="s">
        <v>39</v>
      </c>
      <c r="I83" s="14">
        <v>13522.8486218374</v>
      </c>
      <c r="J83" s="14">
        <v>13522.8486218374</v>
      </c>
      <c r="K83" s="14">
        <v>0</v>
      </c>
      <c r="L83" s="14">
        <v>13129.5135498048</v>
      </c>
      <c r="M83" s="14">
        <v>393.33507203260001</v>
      </c>
      <c r="N83" s="10" t="s">
        <v>350</v>
      </c>
      <c r="O83" s="15">
        <v>2.48</v>
      </c>
      <c r="P83" s="10" t="s">
        <v>41</v>
      </c>
      <c r="Q83" s="15" t="s">
        <v>42</v>
      </c>
      <c r="R83" s="10" t="s">
        <v>33</v>
      </c>
      <c r="S83" s="10" t="s">
        <v>348</v>
      </c>
      <c r="T83" s="15">
        <f>IF(O83="","",(1/Metadata!$B$5)^(O83-1))</f>
        <v>30.199517204020164</v>
      </c>
      <c r="U83" s="14">
        <f t="shared" si="1"/>
        <v>408383.49960253894</v>
      </c>
      <c r="V83" s="22" t="s">
        <v>55</v>
      </c>
      <c r="W83" s="21" t="s">
        <v>56</v>
      </c>
    </row>
    <row r="84" spans="1:23" ht="18" customHeight="1">
      <c r="A84" s="10" t="s">
        <v>23</v>
      </c>
      <c r="B84" s="10" t="s">
        <v>24</v>
      </c>
      <c r="C84" s="10" t="s">
        <v>25</v>
      </c>
      <c r="D84" s="13">
        <v>2019</v>
      </c>
      <c r="E84" s="10" t="s">
        <v>351</v>
      </c>
      <c r="F84" s="10" t="s">
        <v>352</v>
      </c>
      <c r="G84" s="10" t="s">
        <v>216</v>
      </c>
      <c r="H84" s="10" t="s">
        <v>47</v>
      </c>
      <c r="I84" s="14">
        <v>12538.9271528266</v>
      </c>
      <c r="J84" s="14">
        <v>12018.9341032169</v>
      </c>
      <c r="K84" s="14">
        <v>519.99304960969994</v>
      </c>
      <c r="L84" s="14">
        <v>8832.4243004707005</v>
      </c>
      <c r="M84" s="14">
        <v>3706.5028523558999</v>
      </c>
      <c r="N84" s="10" t="s">
        <v>353</v>
      </c>
      <c r="O84" s="15">
        <v>4.4000000000000004</v>
      </c>
      <c r="P84" s="10" t="s">
        <v>31</v>
      </c>
      <c r="Q84" s="15" t="s">
        <v>32</v>
      </c>
      <c r="R84" s="10" t="s">
        <v>33</v>
      </c>
      <c r="S84" s="10" t="s">
        <v>351</v>
      </c>
      <c r="T84" s="15">
        <f>IF(O84="","",(1/Metadata!$B$5)^(O84-1))</f>
        <v>2511.8864315095834</v>
      </c>
      <c r="U84" s="14">
        <f t="shared" si="1"/>
        <v>31496360.980872229</v>
      </c>
      <c r="V84" s="22" t="s">
        <v>129</v>
      </c>
      <c r="W84" s="21" t="s">
        <v>130</v>
      </c>
    </row>
    <row r="85" spans="1:23" ht="18" customHeight="1">
      <c r="A85" s="10" t="s">
        <v>23</v>
      </c>
      <c r="B85" s="10" t="s">
        <v>24</v>
      </c>
      <c r="C85" s="10" t="s">
        <v>25</v>
      </c>
      <c r="D85" s="13">
        <v>2019</v>
      </c>
      <c r="E85" s="10" t="s">
        <v>354</v>
      </c>
      <c r="F85" s="10" t="s">
        <v>355</v>
      </c>
      <c r="G85" s="10" t="s">
        <v>261</v>
      </c>
      <c r="H85" s="10" t="s">
        <v>47</v>
      </c>
      <c r="I85" s="14">
        <v>12527.2245139229</v>
      </c>
      <c r="J85" s="14">
        <v>12244.6709832956</v>
      </c>
      <c r="K85" s="14">
        <v>282.55353062730001</v>
      </c>
      <c r="L85" s="14">
        <v>7786.7155140362001</v>
      </c>
      <c r="M85" s="14">
        <v>4740.5089998866997</v>
      </c>
      <c r="N85" s="10" t="s">
        <v>356</v>
      </c>
      <c r="O85" s="15">
        <v>3.54</v>
      </c>
      <c r="P85" s="10" t="s">
        <v>31</v>
      </c>
      <c r="Q85" s="15" t="s">
        <v>32</v>
      </c>
      <c r="R85" s="10" t="s">
        <v>33</v>
      </c>
      <c r="S85" s="10" t="s">
        <v>354</v>
      </c>
      <c r="T85" s="15">
        <f>IF(O85="","",(1/Metadata!$B$5)^(O85-1))</f>
        <v>346.73685045253183</v>
      </c>
      <c r="U85" s="14">
        <f t="shared" si="1"/>
        <v>4343650.3728693752</v>
      </c>
      <c r="V85" s="22" t="s">
        <v>66</v>
      </c>
      <c r="W85" s="21" t="s">
        <v>67</v>
      </c>
    </row>
    <row r="86" spans="1:23" ht="18" customHeight="1">
      <c r="A86" s="10" t="s">
        <v>23</v>
      </c>
      <c r="B86" s="10" t="s">
        <v>24</v>
      </c>
      <c r="C86" s="10" t="s">
        <v>25</v>
      </c>
      <c r="D86" s="13">
        <v>2019</v>
      </c>
      <c r="E86" s="10" t="s">
        <v>357</v>
      </c>
      <c r="F86" s="10" t="s">
        <v>358</v>
      </c>
      <c r="G86" s="10" t="s">
        <v>53</v>
      </c>
      <c r="H86" s="10" t="s">
        <v>104</v>
      </c>
      <c r="I86" s="14">
        <v>11524.5443293928</v>
      </c>
      <c r="J86" s="14">
        <v>11524.5443293928</v>
      </c>
      <c r="K86" s="14">
        <v>0</v>
      </c>
      <c r="L86" s="14">
        <v>1154.7931843491999</v>
      </c>
      <c r="M86" s="14">
        <v>10369.7511450436</v>
      </c>
      <c r="N86" s="10" t="s">
        <v>359</v>
      </c>
      <c r="O86" s="15">
        <v>3.2</v>
      </c>
      <c r="P86" s="10" t="s">
        <v>41</v>
      </c>
      <c r="Q86" s="15" t="s">
        <v>42</v>
      </c>
      <c r="R86" s="10" t="s">
        <v>33</v>
      </c>
      <c r="S86" s="10" t="s">
        <v>357</v>
      </c>
      <c r="T86" s="15">
        <f>IF(O86="","",(1/Metadata!$B$5)^(O86-1))</f>
        <v>158.48931924611153</v>
      </c>
      <c r="U86" s="14">
        <f t="shared" si="1"/>
        <v>1826517.1853870999</v>
      </c>
      <c r="V86" s="22" t="s">
        <v>55</v>
      </c>
      <c r="W86" s="21" t="s">
        <v>360</v>
      </c>
    </row>
    <row r="87" spans="1:23" ht="18" customHeight="1">
      <c r="A87" s="10" t="s">
        <v>23</v>
      </c>
      <c r="B87" s="10" t="s">
        <v>24</v>
      </c>
      <c r="C87" s="10" t="s">
        <v>25</v>
      </c>
      <c r="D87" s="13">
        <v>2019</v>
      </c>
      <c r="E87" s="10" t="s">
        <v>361</v>
      </c>
      <c r="F87" s="10" t="s">
        <v>362</v>
      </c>
      <c r="G87" s="10" t="s">
        <v>38</v>
      </c>
      <c r="H87" s="10" t="s">
        <v>104</v>
      </c>
      <c r="I87" s="14">
        <v>10208.3687328832</v>
      </c>
      <c r="J87" s="14">
        <v>10208.3687328832</v>
      </c>
      <c r="K87" s="14">
        <v>0</v>
      </c>
      <c r="L87" s="14">
        <v>0</v>
      </c>
      <c r="M87" s="14">
        <v>10208.3687328832</v>
      </c>
      <c r="N87" s="10" t="s">
        <v>363</v>
      </c>
      <c r="O87" s="15">
        <v>3.25</v>
      </c>
      <c r="P87" s="10" t="s">
        <v>41</v>
      </c>
      <c r="Q87" s="15" t="s">
        <v>42</v>
      </c>
      <c r="R87" s="10" t="s">
        <v>33</v>
      </c>
      <c r="S87" s="10" t="s">
        <v>361</v>
      </c>
      <c r="T87" s="15">
        <f>IF(O87="","",(1/Metadata!$B$5)^(O87-1))</f>
        <v>177.82794100389242</v>
      </c>
      <c r="U87" s="14">
        <f t="shared" si="1"/>
        <v>1815333.1927771338</v>
      </c>
      <c r="V87" s="22" t="s">
        <v>55</v>
      </c>
      <c r="W87" s="21" t="s">
        <v>364</v>
      </c>
    </row>
    <row r="88" spans="1:23" ht="18" customHeight="1">
      <c r="A88" s="10" t="s">
        <v>23</v>
      </c>
      <c r="B88" s="10" t="s">
        <v>24</v>
      </c>
      <c r="C88" s="10" t="s">
        <v>25</v>
      </c>
      <c r="D88" s="13">
        <v>2019</v>
      </c>
      <c r="E88" s="10" t="s">
        <v>365</v>
      </c>
      <c r="F88" s="10" t="s">
        <v>366</v>
      </c>
      <c r="G88" s="10" t="s">
        <v>127</v>
      </c>
      <c r="H88" s="10" t="s">
        <v>29</v>
      </c>
      <c r="I88" s="14">
        <v>10048.1868346956</v>
      </c>
      <c r="J88" s="14">
        <v>9133.6995095899001</v>
      </c>
      <c r="K88" s="14">
        <v>914.48732510569994</v>
      </c>
      <c r="L88" s="14">
        <v>8866.7696956672007</v>
      </c>
      <c r="M88" s="14">
        <v>1181.4171390284</v>
      </c>
      <c r="N88" s="10" t="s">
        <v>367</v>
      </c>
      <c r="O88" s="15">
        <v>3.54</v>
      </c>
      <c r="P88" s="10" t="s">
        <v>41</v>
      </c>
      <c r="Q88" s="15" t="s">
        <v>42</v>
      </c>
      <c r="R88" s="10" t="s">
        <v>33</v>
      </c>
      <c r="S88" s="10" t="s">
        <v>365</v>
      </c>
      <c r="T88" s="15">
        <f>IF(O88="","",(1/Metadata!$B$5)^(O88-1))</f>
        <v>346.73685045253183</v>
      </c>
      <c r="U88" s="14">
        <f t="shared" si="1"/>
        <v>3484076.6558209471</v>
      </c>
      <c r="V88" s="22" t="s">
        <v>118</v>
      </c>
      <c r="W88" s="21" t="s">
        <v>368</v>
      </c>
    </row>
    <row r="89" spans="1:23" ht="18" customHeight="1">
      <c r="A89" s="10" t="s">
        <v>23</v>
      </c>
      <c r="B89" s="10" t="s">
        <v>24</v>
      </c>
      <c r="C89" s="10" t="s">
        <v>25</v>
      </c>
      <c r="D89" s="13">
        <v>2019</v>
      </c>
      <c r="E89" s="10" t="s">
        <v>369</v>
      </c>
      <c r="F89" s="10" t="s">
        <v>264</v>
      </c>
      <c r="G89" s="10" t="s">
        <v>216</v>
      </c>
      <c r="H89" s="10" t="s">
        <v>47</v>
      </c>
      <c r="I89" s="14">
        <v>10034.1372461215</v>
      </c>
      <c r="J89" s="14">
        <v>10034.1372461215</v>
      </c>
      <c r="K89" s="14">
        <v>0</v>
      </c>
      <c r="L89" s="14">
        <v>9085.2998713763009</v>
      </c>
      <c r="M89" s="14">
        <v>948.83737474520001</v>
      </c>
      <c r="N89" s="10" t="s">
        <v>370</v>
      </c>
      <c r="O89" s="15">
        <v>4.0199999999999996</v>
      </c>
      <c r="P89" s="10" t="s">
        <v>31</v>
      </c>
      <c r="Q89" s="15" t="s">
        <v>32</v>
      </c>
      <c r="R89" s="10" t="s">
        <v>33</v>
      </c>
      <c r="S89" s="10" t="s">
        <v>369</v>
      </c>
      <c r="T89" s="15">
        <f>IF(O89="","",(1/Metadata!$B$5)^(O89-1))</f>
        <v>1047.1285480508991</v>
      </c>
      <c r="U89" s="14">
        <f t="shared" si="1"/>
        <v>10507031.565474654</v>
      </c>
      <c r="V89" s="22" t="s">
        <v>74</v>
      </c>
      <c r="W89" s="21" t="s">
        <v>75</v>
      </c>
    </row>
    <row r="90" spans="1:23" ht="18" customHeight="1">
      <c r="A90" s="10" t="s">
        <v>23</v>
      </c>
      <c r="B90" s="10" t="s">
        <v>24</v>
      </c>
      <c r="C90" s="10" t="s">
        <v>25</v>
      </c>
      <c r="D90" s="13">
        <v>2019</v>
      </c>
      <c r="E90" s="10" t="s">
        <v>371</v>
      </c>
      <c r="F90" s="10" t="s">
        <v>372</v>
      </c>
      <c r="G90" s="10" t="s">
        <v>38</v>
      </c>
      <c r="H90" s="10" t="s">
        <v>47</v>
      </c>
      <c r="I90" s="14">
        <v>9675.1346890029999</v>
      </c>
      <c r="J90" s="14">
        <v>9508.2292854252992</v>
      </c>
      <c r="K90" s="14">
        <v>166.90540357770001</v>
      </c>
      <c r="L90" s="14">
        <v>7770.3179089311998</v>
      </c>
      <c r="M90" s="14">
        <v>1904.8167800717999</v>
      </c>
      <c r="N90" s="10" t="s">
        <v>373</v>
      </c>
      <c r="O90" s="15">
        <v>3.97</v>
      </c>
      <c r="P90" s="10" t="s">
        <v>41</v>
      </c>
      <c r="Q90" s="15" t="s">
        <v>42</v>
      </c>
      <c r="R90" s="10" t="s">
        <v>33</v>
      </c>
      <c r="S90" s="10" t="s">
        <v>371</v>
      </c>
      <c r="T90" s="15">
        <f>IF(O90="","",(1/Metadata!$B$5)^(O90-1))</f>
        <v>933.25430079699197</v>
      </c>
      <c r="U90" s="14">
        <f t="shared" si="1"/>
        <v>9029361.0593022164</v>
      </c>
      <c r="V90" s="22" t="s">
        <v>55</v>
      </c>
      <c r="W90" s="21" t="s">
        <v>56</v>
      </c>
    </row>
    <row r="91" spans="1:23" ht="18" customHeight="1">
      <c r="A91" s="10" t="s">
        <v>23</v>
      </c>
      <c r="B91" s="10" t="s">
        <v>24</v>
      </c>
      <c r="C91" s="10" t="s">
        <v>25</v>
      </c>
      <c r="D91" s="13">
        <v>2019</v>
      </c>
      <c r="E91" s="10" t="s">
        <v>374</v>
      </c>
      <c r="F91" s="10" t="s">
        <v>375</v>
      </c>
      <c r="G91" s="10" t="s">
        <v>38</v>
      </c>
      <c r="H91" s="10" t="s">
        <v>173</v>
      </c>
      <c r="I91" s="14">
        <v>9671.1224667647002</v>
      </c>
      <c r="J91" s="14">
        <v>9599.4937426857996</v>
      </c>
      <c r="K91" s="14">
        <v>71.628724078900007</v>
      </c>
      <c r="L91" s="14">
        <v>8681.2891321684001</v>
      </c>
      <c r="M91" s="14">
        <v>989.83333459630001</v>
      </c>
      <c r="N91" s="10" t="s">
        <v>376</v>
      </c>
      <c r="O91" s="15">
        <v>4.24</v>
      </c>
      <c r="P91" s="10" t="s">
        <v>31</v>
      </c>
      <c r="Q91" s="15" t="s">
        <v>32</v>
      </c>
      <c r="R91" s="10" t="s">
        <v>33</v>
      </c>
      <c r="S91" s="10" t="s">
        <v>374</v>
      </c>
      <c r="T91" s="15">
        <f>IF(O91="","",(1/Metadata!$B$5)^(O91-1))</f>
        <v>1737.8008287493772</v>
      </c>
      <c r="U91" s="14">
        <f t="shared" si="1"/>
        <v>16806484.637680415</v>
      </c>
      <c r="V91" s="22" t="s">
        <v>180</v>
      </c>
      <c r="W91" s="21" t="s">
        <v>250</v>
      </c>
    </row>
    <row r="92" spans="1:23" ht="18" customHeight="1">
      <c r="A92" s="10" t="s">
        <v>23</v>
      </c>
      <c r="B92" s="10" t="s">
        <v>24</v>
      </c>
      <c r="C92" s="10" t="s">
        <v>25</v>
      </c>
      <c r="D92" s="13">
        <v>2019</v>
      </c>
      <c r="E92" s="10" t="s">
        <v>377</v>
      </c>
      <c r="F92" s="10" t="s">
        <v>378</v>
      </c>
      <c r="G92" s="10" t="s">
        <v>127</v>
      </c>
      <c r="H92" s="10" t="s">
        <v>47</v>
      </c>
      <c r="I92" s="14">
        <v>9030.0288063548996</v>
      </c>
      <c r="J92" s="14">
        <v>9030.0288063548996</v>
      </c>
      <c r="K92" s="14">
        <v>0</v>
      </c>
      <c r="L92" s="14">
        <v>7725.3789787828991</v>
      </c>
      <c r="M92" s="14">
        <v>1304.649827572</v>
      </c>
      <c r="N92" s="10" t="s">
        <v>379</v>
      </c>
      <c r="O92" s="15">
        <v>3.86</v>
      </c>
      <c r="P92" s="10" t="s">
        <v>41</v>
      </c>
      <c r="Q92" s="15" t="s">
        <v>42</v>
      </c>
      <c r="R92" s="10" t="s">
        <v>33</v>
      </c>
      <c r="S92" s="10" t="s">
        <v>377</v>
      </c>
      <c r="T92" s="15">
        <f>IF(O92="","",(1/Metadata!$B$5)^(O92-1))</f>
        <v>724.43596007499025</v>
      </c>
      <c r="U92" s="14">
        <f t="shared" si="1"/>
        <v>6541677.5878365301</v>
      </c>
      <c r="V92" s="22" t="s">
        <v>129</v>
      </c>
      <c r="W92" s="21" t="s">
        <v>380</v>
      </c>
    </row>
    <row r="93" spans="1:23" ht="18" customHeight="1">
      <c r="A93" s="10" t="s">
        <v>23</v>
      </c>
      <c r="B93" s="10" t="s">
        <v>24</v>
      </c>
      <c r="C93" s="10" t="s">
        <v>25</v>
      </c>
      <c r="D93" s="13">
        <v>2019</v>
      </c>
      <c r="E93" s="10" t="s">
        <v>381</v>
      </c>
      <c r="F93" s="10" t="s">
        <v>382</v>
      </c>
      <c r="G93" s="10" t="s">
        <v>383</v>
      </c>
      <c r="H93" s="10" t="s">
        <v>384</v>
      </c>
      <c r="I93" s="14">
        <v>8930.7569873750999</v>
      </c>
      <c r="J93" s="14">
        <v>8119.8154719049999</v>
      </c>
      <c r="K93" s="14">
        <v>810.94151547010006</v>
      </c>
      <c r="L93" s="14">
        <v>8119.8154719049999</v>
      </c>
      <c r="M93" s="14">
        <v>810.94151547010006</v>
      </c>
      <c r="N93" s="10" t="s">
        <v>385</v>
      </c>
      <c r="O93" s="15">
        <v>3.15</v>
      </c>
      <c r="P93" s="10" t="s">
        <v>31</v>
      </c>
      <c r="Q93" s="15" t="s">
        <v>32</v>
      </c>
      <c r="R93" s="10" t="s">
        <v>33</v>
      </c>
      <c r="S93" s="10" t="s">
        <v>381</v>
      </c>
      <c r="T93" s="15">
        <f>IF(O93="","",(1/Metadata!$B$5)^(O93-1))</f>
        <v>141.25375446227542</v>
      </c>
      <c r="U93" s="14">
        <f t="shared" si="1"/>
        <v>1261502.954656933</v>
      </c>
      <c r="V93" s="23" t="s">
        <v>66</v>
      </c>
      <c r="W93" s="21" t="s">
        <v>386</v>
      </c>
    </row>
    <row r="94" spans="1:23" ht="18" customHeight="1">
      <c r="A94" s="10" t="s">
        <v>23</v>
      </c>
      <c r="B94" s="10" t="s">
        <v>24</v>
      </c>
      <c r="C94" s="10" t="s">
        <v>25</v>
      </c>
      <c r="D94" s="13">
        <v>2019</v>
      </c>
      <c r="E94" s="10" t="s">
        <v>387</v>
      </c>
      <c r="F94" s="10" t="s">
        <v>388</v>
      </c>
      <c r="G94" s="10" t="s">
        <v>28</v>
      </c>
      <c r="H94" s="10" t="s">
        <v>47</v>
      </c>
      <c r="I94" s="14">
        <v>8919.6169046847008</v>
      </c>
      <c r="J94" s="14">
        <v>8919.6169046847008</v>
      </c>
      <c r="K94" s="14">
        <v>0</v>
      </c>
      <c r="L94" s="14">
        <v>0</v>
      </c>
      <c r="M94" s="14">
        <v>8919.6169046847008</v>
      </c>
      <c r="N94" s="10" t="s">
        <v>389</v>
      </c>
      <c r="O94" s="15">
        <v>3.25</v>
      </c>
      <c r="P94" s="10" t="s">
        <v>31</v>
      </c>
      <c r="Q94" s="15" t="s">
        <v>32</v>
      </c>
      <c r="R94" s="10" t="s">
        <v>33</v>
      </c>
      <c r="S94" s="10" t="s">
        <v>387</v>
      </c>
      <c r="T94" s="15">
        <f>IF(O94="","",(1/Metadata!$B$5)^(O94-1))</f>
        <v>177.82794100389242</v>
      </c>
      <c r="U94" s="14">
        <f t="shared" si="1"/>
        <v>1586157.1087035926</v>
      </c>
      <c r="V94" s="22" t="s">
        <v>66</v>
      </c>
      <c r="W94" s="21" t="s">
        <v>67</v>
      </c>
    </row>
    <row r="95" spans="1:23" ht="18" customHeight="1">
      <c r="A95" s="10" t="s">
        <v>23</v>
      </c>
      <c r="B95" s="10" t="s">
        <v>24</v>
      </c>
      <c r="C95" s="10" t="s">
        <v>25</v>
      </c>
      <c r="D95" s="13">
        <v>2019</v>
      </c>
      <c r="E95" s="10" t="s">
        <v>390</v>
      </c>
      <c r="F95" s="10" t="s">
        <v>391</v>
      </c>
      <c r="G95" s="10" t="s">
        <v>127</v>
      </c>
      <c r="H95" s="10" t="s">
        <v>47</v>
      </c>
      <c r="I95" s="14">
        <v>8765.8048646381994</v>
      </c>
      <c r="J95" s="14">
        <v>8765.8048646381994</v>
      </c>
      <c r="K95" s="14">
        <v>0</v>
      </c>
      <c r="L95" s="14">
        <v>5061.4121354153986</v>
      </c>
      <c r="M95" s="14">
        <v>3704.3927292228</v>
      </c>
      <c r="N95" s="10" t="s">
        <v>392</v>
      </c>
      <c r="O95" s="15">
        <v>4.3499999999999996</v>
      </c>
      <c r="P95" s="10" t="s">
        <v>41</v>
      </c>
      <c r="Q95" s="15" t="s">
        <v>42</v>
      </c>
      <c r="R95" s="10" t="s">
        <v>33</v>
      </c>
      <c r="S95" s="10" t="s">
        <v>390</v>
      </c>
      <c r="T95" s="15">
        <f>IF(O95="","",(1/Metadata!$B$5)^(O95-1))</f>
        <v>2238.7211385683395</v>
      </c>
      <c r="U95" s="14">
        <f t="shared" si="1"/>
        <v>19624192.647030719</v>
      </c>
      <c r="V95" s="22" t="s">
        <v>129</v>
      </c>
      <c r="W95" s="21" t="s">
        <v>130</v>
      </c>
    </row>
    <row r="96" spans="1:23" ht="18" customHeight="1">
      <c r="A96" s="10" t="s">
        <v>23</v>
      </c>
      <c r="B96" s="10" t="s">
        <v>24</v>
      </c>
      <c r="C96" s="10" t="s">
        <v>25</v>
      </c>
      <c r="D96" s="13">
        <v>2019</v>
      </c>
      <c r="E96" s="10" t="s">
        <v>393</v>
      </c>
      <c r="F96" s="10" t="s">
        <v>394</v>
      </c>
      <c r="G96" s="10" t="s">
        <v>157</v>
      </c>
      <c r="H96" s="10" t="s">
        <v>173</v>
      </c>
      <c r="I96" s="14">
        <v>8594.539670702301</v>
      </c>
      <c r="J96" s="14">
        <v>8594.539670702301</v>
      </c>
      <c r="K96" s="14">
        <v>0</v>
      </c>
      <c r="L96" s="14">
        <v>8521.8660012957007</v>
      </c>
      <c r="M96" s="14">
        <v>72.673669406599998</v>
      </c>
      <c r="N96" s="10" t="s">
        <v>395</v>
      </c>
      <c r="O96" s="15">
        <v>4.49</v>
      </c>
      <c r="P96" s="10" t="s">
        <v>41</v>
      </c>
      <c r="Q96" s="15" t="s">
        <v>42</v>
      </c>
      <c r="R96" s="10" t="s">
        <v>33</v>
      </c>
      <c r="S96" s="10" t="s">
        <v>393</v>
      </c>
      <c r="T96" s="15">
        <f>IF(O96="","",(1/Metadata!$B$5)^(O96-1))</f>
        <v>3090.295432513592</v>
      </c>
      <c r="U96" s="14">
        <f t="shared" si="1"/>
        <v>26559666.688928191</v>
      </c>
      <c r="V96" s="22" t="s">
        <v>394</v>
      </c>
      <c r="W96" s="21" t="s">
        <v>396</v>
      </c>
    </row>
    <row r="97" spans="1:23" ht="18" customHeight="1">
      <c r="A97" s="10" t="s">
        <v>23</v>
      </c>
      <c r="B97" s="10" t="s">
        <v>24</v>
      </c>
      <c r="C97" s="10" t="s">
        <v>25</v>
      </c>
      <c r="D97" s="13">
        <v>2019</v>
      </c>
      <c r="E97" s="10" t="s">
        <v>397</v>
      </c>
      <c r="F97" s="10" t="s">
        <v>398</v>
      </c>
      <c r="G97" s="10" t="s">
        <v>81</v>
      </c>
      <c r="H97" s="10" t="s">
        <v>47</v>
      </c>
      <c r="I97" s="14">
        <v>8538.9723339646007</v>
      </c>
      <c r="J97" s="14">
        <v>8538.9723339646007</v>
      </c>
      <c r="K97" s="14">
        <v>0</v>
      </c>
      <c r="L97" s="14">
        <v>5476.1187241000998</v>
      </c>
      <c r="M97" s="14">
        <v>3062.8536098645</v>
      </c>
      <c r="N97" s="10" t="s">
        <v>399</v>
      </c>
      <c r="O97" s="15">
        <v>3.6</v>
      </c>
      <c r="P97" s="10" t="s">
        <v>41</v>
      </c>
      <c r="Q97" s="15" t="s">
        <v>42</v>
      </c>
      <c r="R97" s="10" t="s">
        <v>33</v>
      </c>
      <c r="S97" s="10" t="s">
        <v>397</v>
      </c>
      <c r="T97" s="15">
        <f>IF(O97="","",(1/Metadata!$B$5)^(O97-1))</f>
        <v>398.10717055349761</v>
      </c>
      <c r="U97" s="14">
        <f t="shared" si="1"/>
        <v>3399426.1153092426</v>
      </c>
      <c r="V97" s="22" t="s">
        <v>66</v>
      </c>
      <c r="W97" s="21" t="s">
        <v>67</v>
      </c>
    </row>
    <row r="98" spans="1:23" ht="18" customHeight="1">
      <c r="A98" s="10" t="s">
        <v>23</v>
      </c>
      <c r="B98" s="10" t="s">
        <v>24</v>
      </c>
      <c r="C98" s="10" t="s">
        <v>25</v>
      </c>
      <c r="D98" s="13">
        <v>2019</v>
      </c>
      <c r="E98" s="10" t="s">
        <v>400</v>
      </c>
      <c r="F98" s="10" t="s">
        <v>401</v>
      </c>
      <c r="G98" s="10" t="s">
        <v>88</v>
      </c>
      <c r="H98" s="10" t="s">
        <v>89</v>
      </c>
      <c r="I98" s="14">
        <v>8444.3697822672002</v>
      </c>
      <c r="J98" s="14">
        <v>8444.3697822672002</v>
      </c>
      <c r="K98" s="14">
        <v>0</v>
      </c>
      <c r="L98" s="14">
        <v>4775.1288943471</v>
      </c>
      <c r="M98" s="14">
        <v>3669.2408879200998</v>
      </c>
      <c r="N98" s="10" t="s">
        <v>402</v>
      </c>
      <c r="O98" s="15">
        <v>2.7</v>
      </c>
      <c r="P98" s="10" t="s">
        <v>31</v>
      </c>
      <c r="Q98" s="15" t="s">
        <v>32</v>
      </c>
      <c r="R98" s="10" t="s">
        <v>33</v>
      </c>
      <c r="S98" s="10" t="s">
        <v>400</v>
      </c>
      <c r="T98" s="15">
        <f>IF(O98="","",(1/Metadata!$B$5)^(O98-1))</f>
        <v>50.118723362727259</v>
      </c>
      <c r="U98" s="14">
        <f t="shared" si="1"/>
        <v>423221.03309002321</v>
      </c>
      <c r="V98" s="22" t="s">
        <v>91</v>
      </c>
      <c r="W98" s="21" t="s">
        <v>292</v>
      </c>
    </row>
    <row r="99" spans="1:23" ht="18" customHeight="1">
      <c r="A99" s="10" t="s">
        <v>23</v>
      </c>
      <c r="B99" s="10" t="s">
        <v>24</v>
      </c>
      <c r="C99" s="10" t="s">
        <v>25</v>
      </c>
      <c r="D99" s="13">
        <v>2019</v>
      </c>
      <c r="E99" s="10" t="s">
        <v>403</v>
      </c>
      <c r="F99" s="10" t="s">
        <v>404</v>
      </c>
      <c r="G99" s="10" t="s">
        <v>216</v>
      </c>
      <c r="H99" s="10" t="s">
        <v>29</v>
      </c>
      <c r="I99" s="14">
        <v>7752.6236910624993</v>
      </c>
      <c r="J99" s="14">
        <v>7350.9590850483</v>
      </c>
      <c r="K99" s="14">
        <v>401.66460601419999</v>
      </c>
      <c r="L99" s="14">
        <v>7350.9590850483</v>
      </c>
      <c r="M99" s="14">
        <v>401.66460601419999</v>
      </c>
      <c r="N99" s="10" t="s">
        <v>405</v>
      </c>
      <c r="O99" s="15">
        <v>3</v>
      </c>
      <c r="P99" s="10" t="s">
        <v>31</v>
      </c>
      <c r="Q99" s="15" t="s">
        <v>32</v>
      </c>
      <c r="R99" s="10" t="s">
        <v>33</v>
      </c>
      <c r="S99" s="10" t="s">
        <v>403</v>
      </c>
      <c r="T99" s="15">
        <f>IF(O99="","",(1/Metadata!$B$5)^(O99-1))</f>
        <v>100</v>
      </c>
      <c r="U99" s="14">
        <f t="shared" si="1"/>
        <v>775262.36910624988</v>
      </c>
      <c r="V99" s="22" t="s">
        <v>66</v>
      </c>
      <c r="W99" s="21" t="s">
        <v>67</v>
      </c>
    </row>
    <row r="100" spans="1:23" ht="18" customHeight="1">
      <c r="A100" s="10" t="s">
        <v>23</v>
      </c>
      <c r="B100" s="10" t="s">
        <v>24</v>
      </c>
      <c r="C100" s="10" t="s">
        <v>25</v>
      </c>
      <c r="D100" s="13">
        <v>2019</v>
      </c>
      <c r="E100" s="10" t="s">
        <v>406</v>
      </c>
      <c r="F100" s="10" t="s">
        <v>407</v>
      </c>
      <c r="G100" s="10" t="s">
        <v>383</v>
      </c>
      <c r="H100" s="10" t="s">
        <v>384</v>
      </c>
      <c r="I100" s="14">
        <v>7462.7599504647014</v>
      </c>
      <c r="J100" s="14">
        <v>5441.7707514259</v>
      </c>
      <c r="K100" s="14">
        <v>2020.9891990388001</v>
      </c>
      <c r="L100" s="14">
        <v>0</v>
      </c>
      <c r="M100" s="14">
        <v>7462.7599504647014</v>
      </c>
      <c r="N100" s="10" t="s">
        <v>408</v>
      </c>
      <c r="O100" s="15">
        <v>3.5</v>
      </c>
      <c r="P100" s="10" t="s">
        <v>41</v>
      </c>
      <c r="Q100" s="15" t="s">
        <v>42</v>
      </c>
      <c r="R100" s="10" t="s">
        <v>33</v>
      </c>
      <c r="S100" s="10" t="s">
        <v>406</v>
      </c>
      <c r="T100" s="15">
        <f>IF(O100="","",(1/Metadata!$B$5)^(O100-1))</f>
        <v>316.22776601683825</v>
      </c>
      <c r="U100" s="14">
        <f t="shared" si="1"/>
        <v>2359931.9074553829</v>
      </c>
      <c r="V100" s="22" t="s">
        <v>66</v>
      </c>
      <c r="W100" s="21" t="s">
        <v>409</v>
      </c>
    </row>
    <row r="101" spans="1:23" ht="18" customHeight="1">
      <c r="A101" s="10" t="s">
        <v>23</v>
      </c>
      <c r="B101" s="10" t="s">
        <v>24</v>
      </c>
      <c r="C101" s="10" t="s">
        <v>25</v>
      </c>
      <c r="D101" s="13">
        <v>2019</v>
      </c>
      <c r="E101" s="10" t="s">
        <v>410</v>
      </c>
      <c r="F101" s="10" t="s">
        <v>411</v>
      </c>
      <c r="G101" s="10" t="s">
        <v>234</v>
      </c>
      <c r="H101" s="10" t="s">
        <v>29</v>
      </c>
      <c r="I101" s="14">
        <v>7232.9495214181998</v>
      </c>
      <c r="J101" s="14">
        <v>7232.9495214181998</v>
      </c>
      <c r="K101" s="14">
        <v>0</v>
      </c>
      <c r="L101" s="14">
        <v>293.55303803909999</v>
      </c>
      <c r="M101" s="14">
        <v>6939.3964833790997</v>
      </c>
      <c r="N101" s="10" t="s">
        <v>412</v>
      </c>
      <c r="O101" s="15">
        <v>2.4300000000000002</v>
      </c>
      <c r="P101" s="10" t="s">
        <v>31</v>
      </c>
      <c r="Q101" s="15" t="s">
        <v>32</v>
      </c>
      <c r="R101" s="10" t="s">
        <v>33</v>
      </c>
      <c r="S101" s="10" t="s">
        <v>410</v>
      </c>
      <c r="T101" s="15">
        <f>IF(O101="","",(1/Metadata!$B$5)^(O101-1))</f>
        <v>26.915348039269173</v>
      </c>
      <c r="U101" s="14">
        <f t="shared" si="1"/>
        <v>194677.35371943624</v>
      </c>
      <c r="V101" s="22" t="s">
        <v>237</v>
      </c>
      <c r="W101" s="21" t="s">
        <v>238</v>
      </c>
    </row>
    <row r="102" spans="1:23" ht="18" customHeight="1">
      <c r="A102" s="10" t="s">
        <v>23</v>
      </c>
      <c r="B102" s="10" t="s">
        <v>24</v>
      </c>
      <c r="C102" s="10" t="s">
        <v>25</v>
      </c>
      <c r="D102" s="13">
        <v>2019</v>
      </c>
      <c r="E102" s="10" t="s">
        <v>413</v>
      </c>
      <c r="F102" s="10" t="s">
        <v>414</v>
      </c>
      <c r="G102" s="10" t="s">
        <v>223</v>
      </c>
      <c r="H102" s="10" t="s">
        <v>47</v>
      </c>
      <c r="I102" s="14">
        <v>7116.9161554614002</v>
      </c>
      <c r="J102" s="14">
        <v>7116.9161554614002</v>
      </c>
      <c r="K102" s="14">
        <v>0</v>
      </c>
      <c r="L102" s="14">
        <v>0</v>
      </c>
      <c r="M102" s="14">
        <v>7116.9161554614002</v>
      </c>
      <c r="N102" s="10" t="s">
        <v>415</v>
      </c>
      <c r="O102" s="15">
        <v>4.3099999999999996</v>
      </c>
      <c r="P102" s="10" t="s">
        <v>41</v>
      </c>
      <c r="Q102" s="15" t="s">
        <v>42</v>
      </c>
      <c r="R102" s="10" t="s">
        <v>33</v>
      </c>
      <c r="S102" s="10" t="s">
        <v>413</v>
      </c>
      <c r="T102" s="15">
        <f>IF(O102="","",(1/Metadata!$B$5)^(O102-1))</f>
        <v>2041.7379446695281</v>
      </c>
      <c r="U102" s="14">
        <f t="shared" si="1"/>
        <v>14530877.76363712</v>
      </c>
      <c r="V102" s="22" t="s">
        <v>129</v>
      </c>
      <c r="W102" s="21" t="s">
        <v>380</v>
      </c>
    </row>
    <row r="103" spans="1:23" ht="18" customHeight="1">
      <c r="A103" s="10" t="s">
        <v>23</v>
      </c>
      <c r="B103" s="10" t="s">
        <v>24</v>
      </c>
      <c r="C103" s="10" t="s">
        <v>25</v>
      </c>
      <c r="D103" s="13">
        <v>2019</v>
      </c>
      <c r="E103" s="10" t="s">
        <v>416</v>
      </c>
      <c r="F103" s="10" t="s">
        <v>417</v>
      </c>
      <c r="G103" s="10" t="s">
        <v>38</v>
      </c>
      <c r="H103" s="10" t="s">
        <v>29</v>
      </c>
      <c r="I103" s="14">
        <v>7107.6613613311001</v>
      </c>
      <c r="J103" s="14">
        <v>7107.6613613311001</v>
      </c>
      <c r="K103" s="14">
        <v>0</v>
      </c>
      <c r="L103" s="14">
        <v>1834.8302754556</v>
      </c>
      <c r="M103" s="14">
        <v>5272.8310858755003</v>
      </c>
      <c r="N103" s="10" t="s">
        <v>418</v>
      </c>
      <c r="O103" s="15">
        <v>3.35</v>
      </c>
      <c r="P103" s="10" t="s">
        <v>31</v>
      </c>
      <c r="Q103" s="15" t="s">
        <v>32</v>
      </c>
      <c r="R103" s="10" t="s">
        <v>33</v>
      </c>
      <c r="S103" s="10" t="s">
        <v>416</v>
      </c>
      <c r="T103" s="15">
        <f>IF(O103="","",(1/Metadata!$B$5)^(O103-1))</f>
        <v>223.87211385683412</v>
      </c>
      <c r="U103" s="14">
        <f t="shared" si="1"/>
        <v>1591207.1735397365</v>
      </c>
      <c r="V103" s="20" t="s">
        <v>34</v>
      </c>
      <c r="W103" s="21" t="s">
        <v>419</v>
      </c>
    </row>
    <row r="104" spans="1:23" ht="18" customHeight="1">
      <c r="A104" s="10" t="s">
        <v>23</v>
      </c>
      <c r="B104" s="10" t="s">
        <v>24</v>
      </c>
      <c r="C104" s="10" t="s">
        <v>25</v>
      </c>
      <c r="D104" s="13">
        <v>2019</v>
      </c>
      <c r="E104" s="10" t="s">
        <v>420</v>
      </c>
      <c r="F104" s="10" t="s">
        <v>421</v>
      </c>
      <c r="G104" s="10" t="s">
        <v>261</v>
      </c>
      <c r="H104" s="10" t="s">
        <v>47</v>
      </c>
      <c r="I104" s="14">
        <v>7047.6059818432996</v>
      </c>
      <c r="J104" s="14">
        <v>6687.3510569909004</v>
      </c>
      <c r="K104" s="14">
        <v>360.25492485239999</v>
      </c>
      <c r="L104" s="14">
        <v>6687.3510569909004</v>
      </c>
      <c r="M104" s="14">
        <v>360.25492485239999</v>
      </c>
      <c r="N104" s="10" t="s">
        <v>422</v>
      </c>
      <c r="O104" s="15">
        <v>3.62</v>
      </c>
      <c r="P104" s="10" t="s">
        <v>41</v>
      </c>
      <c r="Q104" s="15" t="s">
        <v>42</v>
      </c>
      <c r="R104" s="10" t="s">
        <v>33</v>
      </c>
      <c r="S104" s="10" t="s">
        <v>420</v>
      </c>
      <c r="T104" s="15">
        <f>IF(O104="","",(1/Metadata!$B$5)^(O104-1))</f>
        <v>416.86938347033572</v>
      </c>
      <c r="U104" s="14">
        <f t="shared" si="1"/>
        <v>2937931.1605928661</v>
      </c>
      <c r="V104" s="22" t="s">
        <v>66</v>
      </c>
      <c r="W104" s="21" t="s">
        <v>67</v>
      </c>
    </row>
    <row r="105" spans="1:23" ht="18" customHeight="1">
      <c r="A105" s="10" t="s">
        <v>23</v>
      </c>
      <c r="B105" s="10" t="s">
        <v>24</v>
      </c>
      <c r="C105" s="10" t="s">
        <v>25</v>
      </c>
      <c r="D105" s="13">
        <v>2019</v>
      </c>
      <c r="E105" s="10" t="s">
        <v>423</v>
      </c>
      <c r="F105" s="10" t="s">
        <v>424</v>
      </c>
      <c r="G105" s="10" t="s">
        <v>53</v>
      </c>
      <c r="H105" s="10" t="s">
        <v>104</v>
      </c>
      <c r="I105" s="14">
        <v>6971.0463079847004</v>
      </c>
      <c r="J105" s="14">
        <v>6971.0463079847004</v>
      </c>
      <c r="K105" s="14">
        <v>0</v>
      </c>
      <c r="L105" s="14">
        <v>1154.7503621495</v>
      </c>
      <c r="M105" s="14">
        <v>5816.2959458351997</v>
      </c>
      <c r="N105" s="10" t="s">
        <v>425</v>
      </c>
      <c r="O105" s="15">
        <v>3.3</v>
      </c>
      <c r="P105" s="10" t="s">
        <v>41</v>
      </c>
      <c r="Q105" s="15" t="s">
        <v>42</v>
      </c>
      <c r="R105" s="10" t="s">
        <v>33</v>
      </c>
      <c r="S105" s="10" t="s">
        <v>423</v>
      </c>
      <c r="T105" s="15">
        <f>IF(O105="","",(1/Metadata!$B$5)^(O105-1))</f>
        <v>199.52623149688802</v>
      </c>
      <c r="U105" s="14">
        <f t="shared" si="1"/>
        <v>1390906.5994224818</v>
      </c>
      <c r="V105" s="22" t="s">
        <v>55</v>
      </c>
      <c r="W105" s="21" t="s">
        <v>360</v>
      </c>
    </row>
    <row r="106" spans="1:23" ht="18" customHeight="1">
      <c r="A106" s="10" t="s">
        <v>23</v>
      </c>
      <c r="B106" s="10" t="s">
        <v>24</v>
      </c>
      <c r="C106" s="10" t="s">
        <v>25</v>
      </c>
      <c r="D106" s="13">
        <v>2019</v>
      </c>
      <c r="E106" s="10" t="s">
        <v>426</v>
      </c>
      <c r="F106" s="10" t="s">
        <v>427</v>
      </c>
      <c r="G106" s="10" t="s">
        <v>234</v>
      </c>
      <c r="H106" s="10" t="s">
        <v>235</v>
      </c>
      <c r="I106" s="14">
        <v>6611.8037233366986</v>
      </c>
      <c r="J106" s="14">
        <v>6497.4024441877</v>
      </c>
      <c r="K106" s="14">
        <v>114.401279149</v>
      </c>
      <c r="L106" s="14">
        <v>5379.6108861331004</v>
      </c>
      <c r="M106" s="14">
        <v>1232.1928372036</v>
      </c>
      <c r="N106" s="10" t="s">
        <v>428</v>
      </c>
      <c r="O106" s="15">
        <v>2.1</v>
      </c>
      <c r="P106" s="10" t="s">
        <v>31</v>
      </c>
      <c r="Q106" s="15" t="s">
        <v>32</v>
      </c>
      <c r="R106" s="10" t="s">
        <v>33</v>
      </c>
      <c r="S106" s="10" t="s">
        <v>426</v>
      </c>
      <c r="T106" s="15">
        <f>IF(O106="","",(1/Metadata!$B$5)^(O106-1))</f>
        <v>12.58925411794168</v>
      </c>
      <c r="U106" s="14">
        <f t="shared" si="1"/>
        <v>83237.677251038665</v>
      </c>
      <c r="V106" s="23" t="s">
        <v>237</v>
      </c>
      <c r="W106" s="21" t="s">
        <v>429</v>
      </c>
    </row>
    <row r="107" spans="1:23" ht="18" customHeight="1">
      <c r="A107" s="10" t="s">
        <v>23</v>
      </c>
      <c r="B107" s="10" t="s">
        <v>24</v>
      </c>
      <c r="C107" s="10" t="s">
        <v>25</v>
      </c>
      <c r="D107" s="13">
        <v>2019</v>
      </c>
      <c r="E107" s="10" t="s">
        <v>430</v>
      </c>
      <c r="F107" s="10" t="s">
        <v>431</v>
      </c>
      <c r="G107" s="10" t="s">
        <v>305</v>
      </c>
      <c r="H107" s="10" t="s">
        <v>137</v>
      </c>
      <c r="I107" s="14">
        <v>6555.0626188102997</v>
      </c>
      <c r="J107" s="14">
        <v>6555.0626188102997</v>
      </c>
      <c r="K107" s="14">
        <v>0</v>
      </c>
      <c r="L107" s="14">
        <v>3820.8739350552</v>
      </c>
      <c r="M107" s="14">
        <v>2734.1886837551001</v>
      </c>
      <c r="N107" s="10" t="s">
        <v>432</v>
      </c>
      <c r="O107" s="15">
        <v>3.85</v>
      </c>
      <c r="P107" s="10" t="s">
        <v>31</v>
      </c>
      <c r="Q107" s="15" t="s">
        <v>32</v>
      </c>
      <c r="R107" s="10" t="s">
        <v>33</v>
      </c>
      <c r="S107" s="10" t="s">
        <v>430</v>
      </c>
      <c r="T107" s="15">
        <f>IF(O107="","",(1/Metadata!$B$5)^(O107-1))</f>
        <v>707.94578438413873</v>
      </c>
      <c r="U107" s="14">
        <f t="shared" si="1"/>
        <v>4640628.9473608043</v>
      </c>
      <c r="V107" s="22" t="s">
        <v>433</v>
      </c>
      <c r="W107" s="21" t="s">
        <v>434</v>
      </c>
    </row>
    <row r="108" spans="1:23" ht="18" customHeight="1">
      <c r="A108" s="10" t="s">
        <v>23</v>
      </c>
      <c r="B108" s="10" t="s">
        <v>24</v>
      </c>
      <c r="C108" s="10" t="s">
        <v>25</v>
      </c>
      <c r="D108" s="13">
        <v>2019</v>
      </c>
      <c r="E108" s="10" t="s">
        <v>435</v>
      </c>
      <c r="F108" s="10" t="s">
        <v>436</v>
      </c>
      <c r="G108" s="10" t="s">
        <v>157</v>
      </c>
      <c r="H108" s="10" t="s">
        <v>173</v>
      </c>
      <c r="I108" s="14">
        <v>6407.8277599315998</v>
      </c>
      <c r="J108" s="14">
        <v>6399.8168991715002</v>
      </c>
      <c r="K108" s="14">
        <v>8.0108607600999999</v>
      </c>
      <c r="L108" s="14">
        <v>4766.6415380694998</v>
      </c>
      <c r="M108" s="14">
        <v>1641.1862218621</v>
      </c>
      <c r="N108" s="10" t="s">
        <v>437</v>
      </c>
      <c r="O108" s="15">
        <v>4.5</v>
      </c>
      <c r="P108" s="10" t="s">
        <v>41</v>
      </c>
      <c r="Q108" s="15" t="s">
        <v>42</v>
      </c>
      <c r="R108" s="10" t="s">
        <v>33</v>
      </c>
      <c r="S108" s="10" t="s">
        <v>435</v>
      </c>
      <c r="T108" s="15">
        <f>IF(O108="","",(1/Metadata!$B$5)^(O108-1))</f>
        <v>3162.2776601683804</v>
      </c>
      <c r="U108" s="14">
        <f t="shared" si="1"/>
        <v>20263330.575438492</v>
      </c>
      <c r="V108" s="22" t="s">
        <v>180</v>
      </c>
      <c r="W108" s="21" t="s">
        <v>250</v>
      </c>
    </row>
    <row r="109" spans="1:23" ht="18" customHeight="1">
      <c r="A109" s="10" t="s">
        <v>23</v>
      </c>
      <c r="B109" s="10" t="s">
        <v>24</v>
      </c>
      <c r="C109" s="10" t="s">
        <v>25</v>
      </c>
      <c r="D109" s="13">
        <v>2019</v>
      </c>
      <c r="E109" s="10" t="s">
        <v>438</v>
      </c>
      <c r="F109" s="10" t="s">
        <v>439</v>
      </c>
      <c r="G109" s="10" t="s">
        <v>261</v>
      </c>
      <c r="H109" s="10" t="s">
        <v>47</v>
      </c>
      <c r="I109" s="14">
        <v>5752.1652999472008</v>
      </c>
      <c r="J109" s="14">
        <v>5035.0993571741001</v>
      </c>
      <c r="K109" s="14">
        <v>717.06594277310001</v>
      </c>
      <c r="L109" s="14">
        <v>4905.3165802092999</v>
      </c>
      <c r="M109" s="14">
        <v>846.84871973790007</v>
      </c>
      <c r="N109" s="10" t="s">
        <v>440</v>
      </c>
      <c r="O109" s="15">
        <v>4.07</v>
      </c>
      <c r="P109" s="10" t="s">
        <v>41</v>
      </c>
      <c r="Q109" s="15" t="s">
        <v>42</v>
      </c>
      <c r="R109" s="10" t="s">
        <v>33</v>
      </c>
      <c r="S109" s="10" t="s">
        <v>438</v>
      </c>
      <c r="T109" s="15">
        <f>IF(O109="","",(1/Metadata!$B$5)^(O109-1))</f>
        <v>1174.8975549395316</v>
      </c>
      <c r="U109" s="14">
        <f t="shared" si="1"/>
        <v>6758204.946515983</v>
      </c>
      <c r="V109" s="22" t="s">
        <v>74</v>
      </c>
      <c r="W109" s="21" t="s">
        <v>75</v>
      </c>
    </row>
    <row r="110" spans="1:23" ht="18" customHeight="1">
      <c r="A110" s="10" t="s">
        <v>23</v>
      </c>
      <c r="B110" s="10" t="s">
        <v>24</v>
      </c>
      <c r="C110" s="10" t="s">
        <v>25</v>
      </c>
      <c r="D110" s="13">
        <v>2019</v>
      </c>
      <c r="E110" s="10" t="s">
        <v>441</v>
      </c>
      <c r="F110" s="10" t="s">
        <v>442</v>
      </c>
      <c r="G110" s="10" t="s">
        <v>149</v>
      </c>
      <c r="H110" s="10" t="s">
        <v>29</v>
      </c>
      <c r="I110" s="14">
        <v>5731.7159349802996</v>
      </c>
      <c r="J110" s="14">
        <v>5727.0382128486999</v>
      </c>
      <c r="K110" s="14">
        <v>4.6777221316000004</v>
      </c>
      <c r="L110" s="14">
        <v>5727.0382128486999</v>
      </c>
      <c r="M110" s="14">
        <v>4.6777221316000004</v>
      </c>
      <c r="N110" s="10" t="s">
        <v>443</v>
      </c>
      <c r="O110" s="15">
        <v>3.8</v>
      </c>
      <c r="P110" s="10" t="s">
        <v>31</v>
      </c>
      <c r="Q110" s="15" t="s">
        <v>32</v>
      </c>
      <c r="R110" s="10" t="s">
        <v>33</v>
      </c>
      <c r="S110" s="10" t="s">
        <v>441</v>
      </c>
      <c r="T110" s="15">
        <f>IF(O110="","",(1/Metadata!$B$5)^(O110-1))</f>
        <v>630.95734448019323</v>
      </c>
      <c r="U110" s="14">
        <f t="shared" si="1"/>
        <v>3616468.2656499776</v>
      </c>
      <c r="V110" s="22" t="s">
        <v>149</v>
      </c>
      <c r="W110" s="21" t="s">
        <v>151</v>
      </c>
    </row>
    <row r="111" spans="1:23" ht="18" customHeight="1">
      <c r="A111" s="10" t="s">
        <v>23</v>
      </c>
      <c r="B111" s="10" t="s">
        <v>24</v>
      </c>
      <c r="C111" s="10" t="s">
        <v>25</v>
      </c>
      <c r="D111" s="13">
        <v>2019</v>
      </c>
      <c r="E111" s="10" t="s">
        <v>444</v>
      </c>
      <c r="F111" s="10" t="s">
        <v>445</v>
      </c>
      <c r="G111" s="10" t="s">
        <v>136</v>
      </c>
      <c r="H111" s="10" t="s">
        <v>137</v>
      </c>
      <c r="I111" s="14">
        <v>5716.2678865265998</v>
      </c>
      <c r="J111" s="14">
        <v>5716.2678865265998</v>
      </c>
      <c r="K111" s="14">
        <v>0</v>
      </c>
      <c r="L111" s="14">
        <v>5716.2678865265998</v>
      </c>
      <c r="M111" s="14">
        <v>0</v>
      </c>
      <c r="N111" s="10" t="s">
        <v>446</v>
      </c>
      <c r="O111" s="15">
        <v>4.3499999999999996</v>
      </c>
      <c r="P111" s="10" t="s">
        <v>41</v>
      </c>
      <c r="Q111" s="15" t="s">
        <v>42</v>
      </c>
      <c r="R111" s="10" t="s">
        <v>33</v>
      </c>
      <c r="S111" s="10" t="s">
        <v>444</v>
      </c>
      <c r="T111" s="15">
        <f>IF(O111="","",(1/Metadata!$B$5)^(O111-1))</f>
        <v>2238.7211385683395</v>
      </c>
      <c r="U111" s="14">
        <f t="shared" si="1"/>
        <v>12797129.751286466</v>
      </c>
      <c r="V111" s="22" t="s">
        <v>447</v>
      </c>
      <c r="W111" s="21" t="s">
        <v>448</v>
      </c>
    </row>
    <row r="112" spans="1:23" ht="18" customHeight="1">
      <c r="A112" s="10" t="s">
        <v>23</v>
      </c>
      <c r="B112" s="10" t="s">
        <v>24</v>
      </c>
      <c r="C112" s="10" t="s">
        <v>25</v>
      </c>
      <c r="D112" s="13">
        <v>2019</v>
      </c>
      <c r="E112" s="10" t="s">
        <v>449</v>
      </c>
      <c r="F112" s="10" t="s">
        <v>450</v>
      </c>
      <c r="G112" s="10" t="s">
        <v>383</v>
      </c>
      <c r="H112" s="10" t="s">
        <v>384</v>
      </c>
      <c r="I112" s="14">
        <v>5675.6841098289997</v>
      </c>
      <c r="J112" s="14">
        <v>5597.1040094776999</v>
      </c>
      <c r="K112" s="14">
        <v>78.580100351300004</v>
      </c>
      <c r="L112" s="14">
        <v>3980.7284417892001</v>
      </c>
      <c r="M112" s="14">
        <v>1694.9556680398</v>
      </c>
      <c r="N112" s="10" t="s">
        <v>451</v>
      </c>
      <c r="O112" s="15">
        <v>3.36</v>
      </c>
      <c r="P112" s="10" t="s">
        <v>31</v>
      </c>
      <c r="Q112" s="15" t="s">
        <v>32</v>
      </c>
      <c r="R112" s="10" t="s">
        <v>33</v>
      </c>
      <c r="S112" s="10" t="s">
        <v>449</v>
      </c>
      <c r="T112" s="15">
        <f>IF(O112="","",(1/Metadata!$B$5)^(O112-1))</f>
        <v>229.08676527677744</v>
      </c>
      <c r="U112" s="14">
        <f t="shared" si="1"/>
        <v>1300224.1134535316</v>
      </c>
      <c r="V112" s="22" t="s">
        <v>66</v>
      </c>
      <c r="W112" s="21" t="s">
        <v>452</v>
      </c>
    </row>
    <row r="113" spans="1:23" ht="18" customHeight="1">
      <c r="A113" s="10" t="s">
        <v>23</v>
      </c>
      <c r="B113" s="10" t="s">
        <v>24</v>
      </c>
      <c r="C113" s="10" t="s">
        <v>25</v>
      </c>
      <c r="D113" s="13">
        <v>2019</v>
      </c>
      <c r="E113" s="10" t="s">
        <v>453</v>
      </c>
      <c r="F113" s="10" t="s">
        <v>454</v>
      </c>
      <c r="G113" s="10" t="s">
        <v>28</v>
      </c>
      <c r="H113" s="10" t="s">
        <v>47</v>
      </c>
      <c r="I113" s="14">
        <v>5443.0457923800004</v>
      </c>
      <c r="J113" s="14">
        <v>5261.5376316113998</v>
      </c>
      <c r="K113" s="14">
        <v>181.50816076859999</v>
      </c>
      <c r="L113" s="14">
        <v>5261.5376316113998</v>
      </c>
      <c r="M113" s="14">
        <v>181.50816076859999</v>
      </c>
      <c r="N113" s="10" t="s">
        <v>455</v>
      </c>
      <c r="O113" s="15">
        <v>3.5</v>
      </c>
      <c r="P113" s="10" t="s">
        <v>31</v>
      </c>
      <c r="Q113" s="15" t="s">
        <v>32</v>
      </c>
      <c r="R113" s="10" t="s">
        <v>33</v>
      </c>
      <c r="S113" s="10" t="s">
        <v>453</v>
      </c>
      <c r="T113" s="15">
        <f>IF(O113="","",(1/Metadata!$B$5)^(O113-1))</f>
        <v>316.22776601683825</v>
      </c>
      <c r="U113" s="14">
        <f t="shared" si="1"/>
        <v>1721242.2112516786</v>
      </c>
      <c r="V113" s="22" t="s">
        <v>100</v>
      </c>
      <c r="W113" s="21" t="s">
        <v>101</v>
      </c>
    </row>
    <row r="114" spans="1:23" ht="18" customHeight="1">
      <c r="A114" s="10" t="s">
        <v>23</v>
      </c>
      <c r="B114" s="10" t="s">
        <v>24</v>
      </c>
      <c r="C114" s="10" t="s">
        <v>25</v>
      </c>
      <c r="D114" s="13">
        <v>2019</v>
      </c>
      <c r="E114" s="10" t="s">
        <v>456</v>
      </c>
      <c r="F114" s="10" t="s">
        <v>457</v>
      </c>
      <c r="G114" s="10" t="s">
        <v>136</v>
      </c>
      <c r="H114" s="10" t="s">
        <v>137</v>
      </c>
      <c r="I114" s="14">
        <v>5442.3259134157997</v>
      </c>
      <c r="J114" s="14">
        <v>2842.0105653286</v>
      </c>
      <c r="K114" s="14">
        <v>2600.3153480872002</v>
      </c>
      <c r="L114" s="14">
        <v>1933.1982981688</v>
      </c>
      <c r="M114" s="14">
        <v>3509.127615247</v>
      </c>
      <c r="N114" s="10" t="s">
        <v>458</v>
      </c>
      <c r="O114" s="15">
        <v>4.26</v>
      </c>
      <c r="P114" s="10" t="s">
        <v>31</v>
      </c>
      <c r="Q114" s="15" t="s">
        <v>32</v>
      </c>
      <c r="R114" s="10" t="s">
        <v>33</v>
      </c>
      <c r="S114" s="10" t="s">
        <v>456</v>
      </c>
      <c r="T114" s="15">
        <f>IF(O114="","",(1/Metadata!$B$5)^(O114-1))</f>
        <v>1819.7008586099832</v>
      </c>
      <c r="U114" s="14">
        <f t="shared" si="1"/>
        <v>9903405.1374780927</v>
      </c>
      <c r="V114" s="20" t="s">
        <v>34</v>
      </c>
      <c r="W114" s="21" t="s">
        <v>459</v>
      </c>
    </row>
    <row r="115" spans="1:23" ht="18" customHeight="1">
      <c r="A115" s="10" t="s">
        <v>23</v>
      </c>
      <c r="B115" s="10" t="s">
        <v>24</v>
      </c>
      <c r="C115" s="10" t="s">
        <v>25</v>
      </c>
      <c r="D115" s="13">
        <v>2019</v>
      </c>
      <c r="E115" s="10" t="s">
        <v>460</v>
      </c>
      <c r="F115" s="10" t="s">
        <v>461</v>
      </c>
      <c r="G115" s="10" t="s">
        <v>383</v>
      </c>
      <c r="H115" s="10" t="s">
        <v>384</v>
      </c>
      <c r="I115" s="14">
        <v>5355.2712030843004</v>
      </c>
      <c r="J115" s="14">
        <v>4772.4135980810997</v>
      </c>
      <c r="K115" s="14">
        <v>582.85760500319998</v>
      </c>
      <c r="L115" s="14">
        <v>4567.5882042778003</v>
      </c>
      <c r="M115" s="14">
        <v>787.6829988065</v>
      </c>
      <c r="N115" s="10" t="s">
        <v>462</v>
      </c>
      <c r="O115" s="15">
        <v>3.83</v>
      </c>
      <c r="P115" s="10" t="s">
        <v>31</v>
      </c>
      <c r="Q115" s="15" t="s">
        <v>32</v>
      </c>
      <c r="R115" s="10" t="s">
        <v>33</v>
      </c>
      <c r="S115" s="10" t="s">
        <v>460</v>
      </c>
      <c r="T115" s="15">
        <f>IF(O115="","",(1/Metadata!$B$5)^(O115-1))</f>
        <v>676.08297539198213</v>
      </c>
      <c r="U115" s="14">
        <f t="shared" si="1"/>
        <v>3620607.6890122336</v>
      </c>
      <c r="V115" s="22" t="s">
        <v>100</v>
      </c>
      <c r="W115" s="21" t="s">
        <v>101</v>
      </c>
    </row>
    <row r="116" spans="1:23" ht="18" customHeight="1">
      <c r="A116" s="10" t="s">
        <v>23</v>
      </c>
      <c r="B116" s="10" t="s">
        <v>24</v>
      </c>
      <c r="C116" s="10" t="s">
        <v>25</v>
      </c>
      <c r="D116" s="13">
        <v>2019</v>
      </c>
      <c r="E116" s="10" t="s">
        <v>463</v>
      </c>
      <c r="F116" s="10" t="s">
        <v>464</v>
      </c>
      <c r="G116" s="10" t="s">
        <v>53</v>
      </c>
      <c r="H116" s="10" t="s">
        <v>39</v>
      </c>
      <c r="I116" s="14">
        <v>5339.3274875830002</v>
      </c>
      <c r="J116" s="14">
        <v>5339.3274875830002</v>
      </c>
      <c r="K116" s="14">
        <v>0</v>
      </c>
      <c r="L116" s="14">
        <v>2532.2494780448001</v>
      </c>
      <c r="M116" s="14">
        <v>2807.0780095382001</v>
      </c>
      <c r="N116" s="10" t="s">
        <v>465</v>
      </c>
      <c r="O116" s="15">
        <v>2.84</v>
      </c>
      <c r="P116" s="10" t="s">
        <v>41</v>
      </c>
      <c r="Q116" s="15" t="s">
        <v>42</v>
      </c>
      <c r="R116" s="10" t="s">
        <v>33</v>
      </c>
      <c r="S116" s="10" t="s">
        <v>463</v>
      </c>
      <c r="T116" s="15">
        <f>IF(O116="","",(1/Metadata!$B$5)^(O116-1))</f>
        <v>69.183097091893657</v>
      </c>
      <c r="U116" s="14">
        <f t="shared" si="1"/>
        <v>369391.21197887132</v>
      </c>
      <c r="V116" s="22" t="s">
        <v>55</v>
      </c>
      <c r="W116" s="21" t="s">
        <v>56</v>
      </c>
    </row>
    <row r="117" spans="1:23" ht="18" customHeight="1">
      <c r="A117" s="10" t="s">
        <v>23</v>
      </c>
      <c r="B117" s="10" t="s">
        <v>24</v>
      </c>
      <c r="C117" s="10" t="s">
        <v>25</v>
      </c>
      <c r="D117" s="13">
        <v>2019</v>
      </c>
      <c r="E117" s="10" t="s">
        <v>466</v>
      </c>
      <c r="F117" s="10" t="s">
        <v>467</v>
      </c>
      <c r="G117" s="10" t="s">
        <v>122</v>
      </c>
      <c r="H117" s="10" t="s">
        <v>89</v>
      </c>
      <c r="I117" s="14">
        <v>5253.5405217207008</v>
      </c>
      <c r="J117" s="14">
        <v>5253.5405217207008</v>
      </c>
      <c r="K117" s="14">
        <v>0</v>
      </c>
      <c r="L117" s="14">
        <v>1421.2903517891</v>
      </c>
      <c r="M117" s="14">
        <v>3832.2501699315999</v>
      </c>
      <c r="N117" s="10" t="s">
        <v>468</v>
      </c>
      <c r="O117" s="15">
        <v>3.17</v>
      </c>
      <c r="P117" s="10" t="s">
        <v>41</v>
      </c>
      <c r="Q117" s="15" t="s">
        <v>42</v>
      </c>
      <c r="R117" s="10" t="s">
        <v>33</v>
      </c>
      <c r="S117" s="10" t="s">
        <v>466</v>
      </c>
      <c r="T117" s="15">
        <f>IF(O117="","",(1/Metadata!$B$5)^(O117-1))</f>
        <v>147.91083881682084</v>
      </c>
      <c r="U117" s="14">
        <f t="shared" si="1"/>
        <v>777055.5853258674</v>
      </c>
      <c r="V117" s="22" t="s">
        <v>91</v>
      </c>
      <c r="W117" s="21" t="s">
        <v>469</v>
      </c>
    </row>
    <row r="118" spans="1:23" ht="18" customHeight="1">
      <c r="A118" s="10" t="s">
        <v>23</v>
      </c>
      <c r="B118" s="10" t="s">
        <v>24</v>
      </c>
      <c r="C118" s="10" t="s">
        <v>25</v>
      </c>
      <c r="D118" s="13">
        <v>2019</v>
      </c>
      <c r="E118" s="10" t="s">
        <v>470</v>
      </c>
      <c r="F118" s="10" t="s">
        <v>471</v>
      </c>
      <c r="G118" s="10" t="s">
        <v>64</v>
      </c>
      <c r="H118" s="10" t="s">
        <v>47</v>
      </c>
      <c r="I118" s="14">
        <v>5050.6145875239008</v>
      </c>
      <c r="J118" s="14">
        <v>5050.6145875239008</v>
      </c>
      <c r="K118" s="14">
        <v>0</v>
      </c>
      <c r="L118" s="14">
        <v>30.227077534300001</v>
      </c>
      <c r="M118" s="14">
        <v>5020.3875099896004</v>
      </c>
      <c r="N118" s="10" t="s">
        <v>472</v>
      </c>
      <c r="O118" s="15">
        <v>3.62</v>
      </c>
      <c r="P118" s="10" t="s">
        <v>31</v>
      </c>
      <c r="Q118" s="15" t="s">
        <v>32</v>
      </c>
      <c r="R118" s="10" t="s">
        <v>33</v>
      </c>
      <c r="S118" s="10" t="s">
        <v>470</v>
      </c>
      <c r="T118" s="15">
        <f>IF(O118="","",(1/Metadata!$B$5)^(O118-1))</f>
        <v>416.86938347033572</v>
      </c>
      <c r="U118" s="14">
        <f t="shared" si="1"/>
        <v>2105446.5892473725</v>
      </c>
      <c r="V118" s="22" t="s">
        <v>66</v>
      </c>
      <c r="W118" s="21" t="s">
        <v>67</v>
      </c>
    </row>
    <row r="119" spans="1:23" ht="18" customHeight="1">
      <c r="A119" s="10" t="s">
        <v>23</v>
      </c>
      <c r="B119" s="10" t="s">
        <v>24</v>
      </c>
      <c r="C119" s="10" t="s">
        <v>25</v>
      </c>
      <c r="D119" s="13">
        <v>2019</v>
      </c>
      <c r="E119" s="10" t="s">
        <v>473</v>
      </c>
      <c r="F119" s="10" t="s">
        <v>474</v>
      </c>
      <c r="G119" s="10" t="s">
        <v>88</v>
      </c>
      <c r="H119" s="10" t="s">
        <v>89</v>
      </c>
      <c r="I119" s="14">
        <v>5001.9755586407</v>
      </c>
      <c r="J119" s="14">
        <v>5001.9755586407</v>
      </c>
      <c r="K119" s="14">
        <v>0</v>
      </c>
      <c r="L119" s="14">
        <v>4558.1788294211001</v>
      </c>
      <c r="M119" s="14">
        <v>443.79672921960002</v>
      </c>
      <c r="N119" s="10" t="s">
        <v>475</v>
      </c>
      <c r="O119" s="15">
        <v>2.7</v>
      </c>
      <c r="P119" s="10" t="s">
        <v>31</v>
      </c>
      <c r="Q119" s="15" t="s">
        <v>32</v>
      </c>
      <c r="R119" s="10" t="s">
        <v>33</v>
      </c>
      <c r="S119" s="10" t="s">
        <v>473</v>
      </c>
      <c r="T119" s="15">
        <f>IF(O119="","",(1/Metadata!$B$5)^(O119-1))</f>
        <v>50.118723362727259</v>
      </c>
      <c r="U119" s="14">
        <f t="shared" si="1"/>
        <v>250692.6292906364</v>
      </c>
      <c r="V119" s="22" t="s">
        <v>91</v>
      </c>
      <c r="W119" s="21" t="s">
        <v>92</v>
      </c>
    </row>
    <row r="120" spans="1:23" ht="18" customHeight="1">
      <c r="A120" s="10" t="s">
        <v>23</v>
      </c>
      <c r="B120" s="10" t="s">
        <v>24</v>
      </c>
      <c r="C120" s="10" t="s">
        <v>25</v>
      </c>
      <c r="D120" s="13">
        <v>2019</v>
      </c>
      <c r="E120" s="10" t="s">
        <v>476</v>
      </c>
      <c r="F120" s="10" t="s">
        <v>477</v>
      </c>
      <c r="G120" s="10" t="s">
        <v>157</v>
      </c>
      <c r="H120" s="10" t="s">
        <v>173</v>
      </c>
      <c r="I120" s="14">
        <v>4922.8438796913006</v>
      </c>
      <c r="J120" s="14">
        <v>4921.0436635848</v>
      </c>
      <c r="K120" s="14">
        <v>1.8002161065</v>
      </c>
      <c r="L120" s="14">
        <v>3897.9127190298</v>
      </c>
      <c r="M120" s="14">
        <v>1024.9311606614999</v>
      </c>
      <c r="N120" s="10" t="s">
        <v>478</v>
      </c>
      <c r="O120" s="15">
        <v>4.4800000000000004</v>
      </c>
      <c r="P120" s="10" t="s">
        <v>31</v>
      </c>
      <c r="Q120" s="15" t="s">
        <v>32</v>
      </c>
      <c r="R120" s="10" t="s">
        <v>33</v>
      </c>
      <c r="S120" s="10" t="s">
        <v>476</v>
      </c>
      <c r="T120" s="15">
        <f>IF(O120="","",(1/Metadata!$B$5)^(O120-1))</f>
        <v>3019.9517204020231</v>
      </c>
      <c r="U120" s="14">
        <f t="shared" si="1"/>
        <v>14866750.843744313</v>
      </c>
      <c r="V120" s="22" t="s">
        <v>175</v>
      </c>
      <c r="W120" s="21" t="s">
        <v>176</v>
      </c>
    </row>
    <row r="121" spans="1:23" ht="18" customHeight="1">
      <c r="A121" s="10" t="s">
        <v>23</v>
      </c>
      <c r="B121" s="10" t="s">
        <v>24</v>
      </c>
      <c r="C121" s="10" t="s">
        <v>25</v>
      </c>
      <c r="D121" s="13">
        <v>2019</v>
      </c>
      <c r="E121" s="10" t="s">
        <v>479</v>
      </c>
      <c r="F121" s="10" t="s">
        <v>480</v>
      </c>
      <c r="G121" s="10" t="s">
        <v>223</v>
      </c>
      <c r="H121" s="10" t="s">
        <v>39</v>
      </c>
      <c r="I121" s="14">
        <v>4882.9378997444001</v>
      </c>
      <c r="J121" s="14">
        <v>4268.5327683224004</v>
      </c>
      <c r="K121" s="14">
        <v>614.40513142200007</v>
      </c>
      <c r="L121" s="14">
        <v>3594.1899212035</v>
      </c>
      <c r="M121" s="14">
        <v>1288.7479785409</v>
      </c>
      <c r="N121" s="10" t="s">
        <v>481</v>
      </c>
      <c r="O121" s="15">
        <v>4.2</v>
      </c>
      <c r="P121" s="10" t="s">
        <v>41</v>
      </c>
      <c r="Q121" s="15" t="s">
        <v>42</v>
      </c>
      <c r="R121" s="10" t="s">
        <v>33</v>
      </c>
      <c r="S121" s="10" t="s">
        <v>479</v>
      </c>
      <c r="T121" s="15">
        <f>IF(O121="","",(1/Metadata!$B$5)^(O121-1))</f>
        <v>1584.8931924611156</v>
      </c>
      <c r="U121" s="14">
        <f t="shared" si="1"/>
        <v>7738935.0365152769</v>
      </c>
      <c r="V121" s="22" t="s">
        <v>129</v>
      </c>
      <c r="W121" s="21" t="s">
        <v>130</v>
      </c>
    </row>
    <row r="122" spans="1:23" ht="18" customHeight="1">
      <c r="A122" s="10" t="s">
        <v>23</v>
      </c>
      <c r="B122" s="10" t="s">
        <v>24</v>
      </c>
      <c r="C122" s="10" t="s">
        <v>25</v>
      </c>
      <c r="D122" s="13">
        <v>2019</v>
      </c>
      <c r="E122" s="10" t="s">
        <v>482</v>
      </c>
      <c r="F122" s="10" t="s">
        <v>483</v>
      </c>
      <c r="G122" s="10" t="s">
        <v>216</v>
      </c>
      <c r="H122" s="10" t="s">
        <v>29</v>
      </c>
      <c r="I122" s="14">
        <v>4834.1124710239001</v>
      </c>
      <c r="J122" s="14">
        <v>4638.5238326178996</v>
      </c>
      <c r="K122" s="14">
        <v>195.588638406</v>
      </c>
      <c r="L122" s="14">
        <v>3841.2855102950002</v>
      </c>
      <c r="M122" s="14">
        <v>992.82696072889996</v>
      </c>
      <c r="N122" s="10" t="s">
        <v>484</v>
      </c>
      <c r="O122" s="15">
        <v>3.49</v>
      </c>
      <c r="P122" s="10" t="s">
        <v>31</v>
      </c>
      <c r="Q122" s="15" t="s">
        <v>32</v>
      </c>
      <c r="R122" s="10" t="s">
        <v>33</v>
      </c>
      <c r="S122" s="10" t="s">
        <v>482</v>
      </c>
      <c r="T122" s="15">
        <f>IF(O122="","",(1/Metadata!$B$5)^(O122-1))</f>
        <v>309.02954325135937</v>
      </c>
      <c r="U122" s="14">
        <f t="shared" si="1"/>
        <v>1493883.568946216</v>
      </c>
      <c r="V122" s="22" t="s">
        <v>129</v>
      </c>
      <c r="W122" s="21" t="s">
        <v>130</v>
      </c>
    </row>
    <row r="123" spans="1:23" ht="18" customHeight="1">
      <c r="A123" s="10" t="s">
        <v>23</v>
      </c>
      <c r="B123" s="10" t="s">
        <v>24</v>
      </c>
      <c r="C123" s="10" t="s">
        <v>25</v>
      </c>
      <c r="D123" s="13">
        <v>2019</v>
      </c>
      <c r="E123" s="10" t="s">
        <v>485</v>
      </c>
      <c r="F123" s="10" t="s">
        <v>486</v>
      </c>
      <c r="G123" s="10" t="s">
        <v>157</v>
      </c>
      <c r="H123" s="10" t="s">
        <v>173</v>
      </c>
      <c r="I123" s="14">
        <v>4648.0272446884001</v>
      </c>
      <c r="J123" s="14">
        <v>4647.7536924009</v>
      </c>
      <c r="K123" s="14">
        <v>0.27355228749999999</v>
      </c>
      <c r="L123" s="14">
        <v>4521.1141637861001</v>
      </c>
      <c r="M123" s="14">
        <v>126.9130809023</v>
      </c>
      <c r="N123" s="10" t="s">
        <v>487</v>
      </c>
      <c r="O123" s="15">
        <v>4.53</v>
      </c>
      <c r="P123" s="10" t="s">
        <v>41</v>
      </c>
      <c r="Q123" s="15" t="s">
        <v>42</v>
      </c>
      <c r="R123" s="10" t="s">
        <v>33</v>
      </c>
      <c r="S123" s="10" t="s">
        <v>485</v>
      </c>
      <c r="T123" s="15">
        <f>IF(O123="","",(1/Metadata!$B$5)^(O123-1))</f>
        <v>3388.4415613920314</v>
      </c>
      <c r="U123" s="14">
        <f t="shared" si="1"/>
        <v>15749568.694384664</v>
      </c>
      <c r="V123" s="22" t="s">
        <v>175</v>
      </c>
      <c r="W123" s="21" t="s">
        <v>176</v>
      </c>
    </row>
    <row r="124" spans="1:23" ht="18" customHeight="1">
      <c r="A124" s="10" t="s">
        <v>23</v>
      </c>
      <c r="B124" s="10" t="s">
        <v>24</v>
      </c>
      <c r="C124" s="10" t="s">
        <v>25</v>
      </c>
      <c r="D124" s="13">
        <v>2019</v>
      </c>
      <c r="E124" s="10" t="s">
        <v>488</v>
      </c>
      <c r="F124" s="10" t="s">
        <v>489</v>
      </c>
      <c r="G124" s="10" t="s">
        <v>490</v>
      </c>
      <c r="H124" s="10" t="s">
        <v>29</v>
      </c>
      <c r="I124" s="14">
        <v>4598.5331745540007</v>
      </c>
      <c r="J124" s="14">
        <v>4446.0588318233004</v>
      </c>
      <c r="K124" s="14">
        <v>152.47434273069999</v>
      </c>
      <c r="L124" s="14">
        <v>4438.5300847299004</v>
      </c>
      <c r="M124" s="14">
        <v>160.00308982409999</v>
      </c>
      <c r="N124" s="10" t="s">
        <v>491</v>
      </c>
      <c r="O124" s="15">
        <v>3.5</v>
      </c>
      <c r="P124" s="10" t="s">
        <v>31</v>
      </c>
      <c r="Q124" s="15" t="s">
        <v>32</v>
      </c>
      <c r="R124" s="10" t="s">
        <v>33</v>
      </c>
      <c r="S124" s="10" t="s">
        <v>488</v>
      </c>
      <c r="T124" s="15">
        <f>IF(O124="","",(1/Metadata!$B$5)^(O124-1))</f>
        <v>316.22776601683825</v>
      </c>
      <c r="U124" s="14">
        <f t="shared" si="1"/>
        <v>1454183.8727435309</v>
      </c>
      <c r="V124" s="22" t="s">
        <v>118</v>
      </c>
      <c r="W124" s="21" t="s">
        <v>492</v>
      </c>
    </row>
    <row r="125" spans="1:23" ht="18" customHeight="1">
      <c r="A125" s="10" t="s">
        <v>23</v>
      </c>
      <c r="B125" s="10" t="s">
        <v>24</v>
      </c>
      <c r="C125" s="10" t="s">
        <v>25</v>
      </c>
      <c r="D125" s="13">
        <v>2019</v>
      </c>
      <c r="E125" s="10" t="s">
        <v>493</v>
      </c>
      <c r="F125" s="10" t="s">
        <v>494</v>
      </c>
      <c r="G125" s="10" t="s">
        <v>157</v>
      </c>
      <c r="H125" s="10" t="s">
        <v>173</v>
      </c>
      <c r="I125" s="14">
        <v>4567.1775332503003</v>
      </c>
      <c r="J125" s="14">
        <v>4549.8745084897</v>
      </c>
      <c r="K125" s="14">
        <v>17.3030247606</v>
      </c>
      <c r="L125" s="14">
        <v>3463.5754380815001</v>
      </c>
      <c r="M125" s="14">
        <v>1103.6020951687999</v>
      </c>
      <c r="N125" s="10" t="s">
        <v>495</v>
      </c>
      <c r="O125" s="15">
        <v>4.34</v>
      </c>
      <c r="P125" s="10" t="s">
        <v>31</v>
      </c>
      <c r="Q125" s="15" t="s">
        <v>32</v>
      </c>
      <c r="R125" s="10" t="s">
        <v>33</v>
      </c>
      <c r="S125" s="10" t="s">
        <v>493</v>
      </c>
      <c r="T125" s="15">
        <f>IF(O125="","",(1/Metadata!$B$5)^(O125-1))</f>
        <v>2187.7616239495528</v>
      </c>
      <c r="U125" s="14">
        <f t="shared" si="1"/>
        <v>9991895.7370095905</v>
      </c>
      <c r="V125" s="22" t="s">
        <v>175</v>
      </c>
      <c r="W125" s="21" t="s">
        <v>176</v>
      </c>
    </row>
    <row r="126" spans="1:23" ht="18" customHeight="1">
      <c r="A126" s="10" t="s">
        <v>23</v>
      </c>
      <c r="B126" s="10" t="s">
        <v>24</v>
      </c>
      <c r="C126" s="10" t="s">
        <v>25</v>
      </c>
      <c r="D126" s="13">
        <v>2019</v>
      </c>
      <c r="E126" s="10" t="s">
        <v>496</v>
      </c>
      <c r="F126" s="10" t="s">
        <v>497</v>
      </c>
      <c r="G126" s="10" t="s">
        <v>88</v>
      </c>
      <c r="H126" s="10" t="s">
        <v>89</v>
      </c>
      <c r="I126" s="14">
        <v>4498.9659912102998</v>
      </c>
      <c r="J126" s="14">
        <v>4498.9659912102998</v>
      </c>
      <c r="K126" s="14">
        <v>0</v>
      </c>
      <c r="L126" s="14">
        <v>3377.6850246580002</v>
      </c>
      <c r="M126" s="14">
        <v>1121.2809665523</v>
      </c>
      <c r="N126" s="10" t="s">
        <v>498</v>
      </c>
      <c r="O126" s="15">
        <v>2</v>
      </c>
      <c r="P126" s="10" t="s">
        <v>41</v>
      </c>
      <c r="Q126" s="15" t="s">
        <v>42</v>
      </c>
      <c r="R126" s="10" t="s">
        <v>33</v>
      </c>
      <c r="S126" s="10" t="s">
        <v>496</v>
      </c>
      <c r="T126" s="15">
        <f>IF(O126="","",(1/Metadata!$B$5)^(O126-1))</f>
        <v>10</v>
      </c>
      <c r="U126" s="14">
        <f t="shared" si="1"/>
        <v>44989.659912103001</v>
      </c>
      <c r="V126" s="22" t="s">
        <v>91</v>
      </c>
      <c r="W126" s="21" t="s">
        <v>92</v>
      </c>
    </row>
    <row r="127" spans="1:23" ht="18" customHeight="1">
      <c r="A127" s="10" t="s">
        <v>23</v>
      </c>
      <c r="B127" s="10" t="s">
        <v>24</v>
      </c>
      <c r="C127" s="10" t="s">
        <v>25</v>
      </c>
      <c r="D127" s="13">
        <v>2019</v>
      </c>
      <c r="E127" s="10" t="s">
        <v>499</v>
      </c>
      <c r="F127" s="10" t="s">
        <v>500</v>
      </c>
      <c r="G127" s="10" t="s">
        <v>38</v>
      </c>
      <c r="H127" s="10" t="s">
        <v>29</v>
      </c>
      <c r="I127" s="14">
        <v>4448.8061434499996</v>
      </c>
      <c r="J127" s="14">
        <v>4099.0555382056</v>
      </c>
      <c r="K127" s="14">
        <v>349.75060524439999</v>
      </c>
      <c r="L127" s="14">
        <v>4080.8380258494999</v>
      </c>
      <c r="M127" s="14">
        <v>367.96811760050002</v>
      </c>
      <c r="N127" s="10" t="s">
        <v>501</v>
      </c>
      <c r="O127" s="15">
        <v>3.05</v>
      </c>
      <c r="P127" s="10" t="s">
        <v>31</v>
      </c>
      <c r="Q127" s="15" t="s">
        <v>32</v>
      </c>
      <c r="R127" s="10" t="s">
        <v>33</v>
      </c>
      <c r="S127" s="10" t="s">
        <v>499</v>
      </c>
      <c r="T127" s="15">
        <f>IF(O127="","",(1/Metadata!$B$5)^(O127-1))</f>
        <v>112.20184543019634</v>
      </c>
      <c r="U127" s="14">
        <f t="shared" si="1"/>
        <v>499164.25925628474</v>
      </c>
      <c r="V127" s="22" t="s">
        <v>55</v>
      </c>
      <c r="W127" s="21" t="s">
        <v>56</v>
      </c>
    </row>
    <row r="128" spans="1:23" ht="18" customHeight="1">
      <c r="A128" s="10" t="s">
        <v>23</v>
      </c>
      <c r="B128" s="10" t="s">
        <v>24</v>
      </c>
      <c r="C128" s="10" t="s">
        <v>25</v>
      </c>
      <c r="D128" s="13">
        <v>2019</v>
      </c>
      <c r="E128" s="10" t="s">
        <v>502</v>
      </c>
      <c r="F128" s="10" t="s">
        <v>503</v>
      </c>
      <c r="G128" s="10" t="s">
        <v>98</v>
      </c>
      <c r="H128" s="10" t="s">
        <v>47</v>
      </c>
      <c r="I128" s="14">
        <v>4361.5180944334998</v>
      </c>
      <c r="J128" s="14">
        <v>3639.2019435614998</v>
      </c>
      <c r="K128" s="14">
        <v>722.31615087199998</v>
      </c>
      <c r="L128" s="14">
        <v>3450.8119781741002</v>
      </c>
      <c r="M128" s="14">
        <v>910.70611625940001</v>
      </c>
      <c r="N128" s="10" t="s">
        <v>504</v>
      </c>
      <c r="O128" s="15">
        <v>3.93</v>
      </c>
      <c r="P128" s="10" t="s">
        <v>41</v>
      </c>
      <c r="Q128" s="15" t="s">
        <v>42</v>
      </c>
      <c r="R128" s="10" t="s">
        <v>33</v>
      </c>
      <c r="S128" s="10" t="s">
        <v>502</v>
      </c>
      <c r="T128" s="15">
        <f>IF(O128="","",(1/Metadata!$B$5)^(O128-1))</f>
        <v>851.13803820237763</v>
      </c>
      <c r="U128" s="14">
        <f t="shared" si="1"/>
        <v>3712253.9544803016</v>
      </c>
      <c r="V128" s="22" t="s">
        <v>100</v>
      </c>
      <c r="W128" s="21" t="s">
        <v>505</v>
      </c>
    </row>
    <row r="129" spans="1:23" ht="18" customHeight="1">
      <c r="A129" s="10" t="s">
        <v>23</v>
      </c>
      <c r="B129" s="10" t="s">
        <v>24</v>
      </c>
      <c r="C129" s="10" t="s">
        <v>25</v>
      </c>
      <c r="D129" s="13">
        <v>2019</v>
      </c>
      <c r="E129" s="10" t="s">
        <v>506</v>
      </c>
      <c r="F129" s="10" t="s">
        <v>507</v>
      </c>
      <c r="G129" s="10" t="s">
        <v>53</v>
      </c>
      <c r="H129" s="10" t="s">
        <v>39</v>
      </c>
      <c r="I129" s="14">
        <v>4330.7489980521996</v>
      </c>
      <c r="J129" s="14">
        <v>4330.7489980521996</v>
      </c>
      <c r="K129" s="14">
        <v>0</v>
      </c>
      <c r="L129" s="14">
        <v>2580.5725258441998</v>
      </c>
      <c r="M129" s="14">
        <v>1750.176472208</v>
      </c>
      <c r="N129" s="10" t="s">
        <v>508</v>
      </c>
      <c r="O129" s="15">
        <v>3.4</v>
      </c>
      <c r="P129" s="10" t="s">
        <v>31</v>
      </c>
      <c r="Q129" s="15" t="s">
        <v>32</v>
      </c>
      <c r="R129" s="10" t="s">
        <v>33</v>
      </c>
      <c r="S129" s="10" t="s">
        <v>506</v>
      </c>
      <c r="T129" s="15">
        <f>IF(O129="","",(1/Metadata!$B$5)^(O129-1))</f>
        <v>251.18864315095806</v>
      </c>
      <c r="U129" s="14">
        <f t="shared" si="1"/>
        <v>1087834.9646481031</v>
      </c>
      <c r="V129" s="22" t="s">
        <v>55</v>
      </c>
      <c r="W129" s="21" t="s">
        <v>56</v>
      </c>
    </row>
    <row r="130" spans="1:23" ht="18" customHeight="1">
      <c r="A130" s="10" t="s">
        <v>23</v>
      </c>
      <c r="B130" s="10" t="s">
        <v>24</v>
      </c>
      <c r="C130" s="10" t="s">
        <v>25</v>
      </c>
      <c r="D130" s="13">
        <v>2019</v>
      </c>
      <c r="E130" s="10" t="s">
        <v>509</v>
      </c>
      <c r="F130" s="10" t="s">
        <v>510</v>
      </c>
      <c r="G130" s="10" t="s">
        <v>88</v>
      </c>
      <c r="H130" s="10" t="s">
        <v>89</v>
      </c>
      <c r="I130" s="14">
        <v>4255.8180520170999</v>
      </c>
      <c r="J130" s="14">
        <v>4255.8180520170999</v>
      </c>
      <c r="K130" s="14">
        <v>0</v>
      </c>
      <c r="L130" s="14">
        <v>3270.3776703634999</v>
      </c>
      <c r="M130" s="14">
        <v>985.44038165359996</v>
      </c>
      <c r="N130" s="10" t="s">
        <v>511</v>
      </c>
      <c r="O130" s="15">
        <v>2.6</v>
      </c>
      <c r="P130" s="10" t="s">
        <v>31</v>
      </c>
      <c r="Q130" s="15" t="s">
        <v>32</v>
      </c>
      <c r="R130" s="10" t="s">
        <v>33</v>
      </c>
      <c r="S130" s="10" t="s">
        <v>509</v>
      </c>
      <c r="T130" s="15">
        <f>IF(O130="","",(1/Metadata!$B$5)^(O130-1))</f>
        <v>39.810717055349755</v>
      </c>
      <c r="U130" s="14">
        <f t="shared" ref="U130:U193" si="2">IF(T130="","",I130*T130)</f>
        <v>169427.16830790252</v>
      </c>
      <c r="V130" s="22" t="s">
        <v>91</v>
      </c>
      <c r="W130" s="21" t="s">
        <v>92</v>
      </c>
    </row>
    <row r="131" spans="1:23" ht="18" customHeight="1">
      <c r="A131" s="10" t="s">
        <v>23</v>
      </c>
      <c r="B131" s="10" t="s">
        <v>24</v>
      </c>
      <c r="C131" s="10" t="s">
        <v>25</v>
      </c>
      <c r="D131" s="13">
        <v>2019</v>
      </c>
      <c r="E131" s="10" t="s">
        <v>512</v>
      </c>
      <c r="F131" s="10" t="s">
        <v>513</v>
      </c>
      <c r="G131" s="10" t="s">
        <v>216</v>
      </c>
      <c r="H131" s="10" t="s">
        <v>47</v>
      </c>
      <c r="I131" s="14">
        <v>4224.2023690858996</v>
      </c>
      <c r="J131" s="14">
        <v>4215.7851207264994</v>
      </c>
      <c r="K131" s="14">
        <v>8.4172483594000003</v>
      </c>
      <c r="L131" s="14">
        <v>1651.1744053023999</v>
      </c>
      <c r="M131" s="14">
        <v>2573.0279637835001</v>
      </c>
      <c r="N131" s="10" t="s">
        <v>514</v>
      </c>
      <c r="O131" s="15">
        <v>3.84</v>
      </c>
      <c r="P131" s="10" t="s">
        <v>31</v>
      </c>
      <c r="Q131" s="15" t="s">
        <v>32</v>
      </c>
      <c r="R131" s="10" t="s">
        <v>33</v>
      </c>
      <c r="S131" s="10" t="s">
        <v>512</v>
      </c>
      <c r="T131" s="15">
        <f>IF(O131="","",(1/Metadata!$B$5)^(O131-1))</f>
        <v>691.83097091893671</v>
      </c>
      <c r="U131" s="14">
        <f t="shared" si="2"/>
        <v>2922434.0263627707</v>
      </c>
      <c r="V131" s="22" t="s">
        <v>74</v>
      </c>
      <c r="W131" s="21" t="s">
        <v>75</v>
      </c>
    </row>
    <row r="132" spans="1:23" ht="18" customHeight="1">
      <c r="A132" s="10" t="s">
        <v>23</v>
      </c>
      <c r="B132" s="10" t="s">
        <v>24</v>
      </c>
      <c r="C132" s="10" t="s">
        <v>25</v>
      </c>
      <c r="D132" s="13">
        <v>2019</v>
      </c>
      <c r="E132" s="10" t="s">
        <v>515</v>
      </c>
      <c r="F132" s="10" t="s">
        <v>516</v>
      </c>
      <c r="G132" s="10" t="s">
        <v>53</v>
      </c>
      <c r="H132" s="10" t="s">
        <v>39</v>
      </c>
      <c r="I132" s="14">
        <v>4059.4558427625998</v>
      </c>
      <c r="J132" s="14">
        <v>4059.4558427625998</v>
      </c>
      <c r="K132" s="14">
        <v>0</v>
      </c>
      <c r="L132" s="14">
        <v>0</v>
      </c>
      <c r="M132" s="14">
        <v>4059.4558427625998</v>
      </c>
      <c r="N132" s="10" t="s">
        <v>517</v>
      </c>
      <c r="O132" s="15">
        <v>3.16</v>
      </c>
      <c r="P132" s="10" t="s">
        <v>41</v>
      </c>
      <c r="Q132" s="15" t="s">
        <v>42</v>
      </c>
      <c r="R132" s="10" t="s">
        <v>33</v>
      </c>
      <c r="S132" s="10" t="s">
        <v>515</v>
      </c>
      <c r="T132" s="15">
        <f>IF(O132="","",(1/Metadata!$B$5)^(O132-1))</f>
        <v>144.54397707459285</v>
      </c>
      <c r="U132" s="14">
        <f t="shared" si="2"/>
        <v>586769.89227159915</v>
      </c>
      <c r="V132" s="22" t="s">
        <v>55</v>
      </c>
      <c r="W132" s="21" t="s">
        <v>360</v>
      </c>
    </row>
    <row r="133" spans="1:23" ht="18" customHeight="1">
      <c r="A133" s="10" t="s">
        <v>23</v>
      </c>
      <c r="B133" s="10" t="s">
        <v>24</v>
      </c>
      <c r="C133" s="10" t="s">
        <v>25</v>
      </c>
      <c r="D133" s="13">
        <v>2019</v>
      </c>
      <c r="E133" s="10" t="s">
        <v>518</v>
      </c>
      <c r="F133" s="10" t="s">
        <v>519</v>
      </c>
      <c r="G133" s="10" t="s">
        <v>383</v>
      </c>
      <c r="H133" s="10" t="s">
        <v>384</v>
      </c>
      <c r="I133" s="14">
        <v>4037.6517066304</v>
      </c>
      <c r="J133" s="14">
        <v>3839.6781381471001</v>
      </c>
      <c r="K133" s="14">
        <v>197.9735684833</v>
      </c>
      <c r="L133" s="14">
        <v>3173.8138210663001</v>
      </c>
      <c r="M133" s="14">
        <v>863.83788556410002</v>
      </c>
      <c r="N133" s="10" t="s">
        <v>520</v>
      </c>
      <c r="O133" s="15">
        <v>4.3899999999999997</v>
      </c>
      <c r="P133" s="10" t="s">
        <v>41</v>
      </c>
      <c r="Q133" s="15" t="s">
        <v>42</v>
      </c>
      <c r="R133" s="10" t="s">
        <v>33</v>
      </c>
      <c r="S133" s="10" t="s">
        <v>518</v>
      </c>
      <c r="T133" s="15">
        <f>IF(O133="","",(1/Metadata!$B$5)^(O133-1))</f>
        <v>2454.7089156850293</v>
      </c>
      <c r="U133" s="14">
        <f t="shared" si="2"/>
        <v>9911259.6426965166</v>
      </c>
      <c r="V133" s="22" t="s">
        <v>100</v>
      </c>
      <c r="W133" s="21" t="s">
        <v>101</v>
      </c>
    </row>
    <row r="134" spans="1:23" ht="18" customHeight="1">
      <c r="A134" s="10" t="s">
        <v>23</v>
      </c>
      <c r="B134" s="10" t="s">
        <v>24</v>
      </c>
      <c r="C134" s="10" t="s">
        <v>25</v>
      </c>
      <c r="D134" s="13">
        <v>2019</v>
      </c>
      <c r="E134" s="10" t="s">
        <v>521</v>
      </c>
      <c r="F134" s="10" t="s">
        <v>522</v>
      </c>
      <c r="G134" s="10" t="s">
        <v>88</v>
      </c>
      <c r="H134" s="10" t="s">
        <v>89</v>
      </c>
      <c r="I134" s="14">
        <v>4001.4874770435999</v>
      </c>
      <c r="J134" s="14">
        <v>4001.4874770435999</v>
      </c>
      <c r="K134" s="14">
        <v>0</v>
      </c>
      <c r="L134" s="14">
        <v>0</v>
      </c>
      <c r="M134" s="14">
        <v>4001.4874770435999</v>
      </c>
      <c r="N134" s="10" t="s">
        <v>523</v>
      </c>
      <c r="O134" s="15">
        <v>2.66</v>
      </c>
      <c r="P134" s="10" t="s">
        <v>31</v>
      </c>
      <c r="Q134" s="15" t="s">
        <v>32</v>
      </c>
      <c r="R134" s="10" t="s">
        <v>33</v>
      </c>
      <c r="S134" s="10" t="s">
        <v>521</v>
      </c>
      <c r="T134" s="15">
        <f>IF(O134="","",(1/Metadata!$B$5)^(O134-1))</f>
        <v>45.70881896148753</v>
      </c>
      <c r="U134" s="14">
        <f t="shared" si="2"/>
        <v>182903.2666648454</v>
      </c>
      <c r="V134" s="22" t="s">
        <v>91</v>
      </c>
      <c r="W134" s="21" t="s">
        <v>292</v>
      </c>
    </row>
    <row r="135" spans="1:23" ht="18" customHeight="1">
      <c r="A135" s="10" t="s">
        <v>23</v>
      </c>
      <c r="B135" s="10" t="s">
        <v>24</v>
      </c>
      <c r="C135" s="10" t="s">
        <v>25</v>
      </c>
      <c r="D135" s="13">
        <v>2019</v>
      </c>
      <c r="E135" s="10" t="s">
        <v>524</v>
      </c>
      <c r="F135" s="10" t="s">
        <v>525</v>
      </c>
      <c r="G135" s="10" t="s">
        <v>88</v>
      </c>
      <c r="H135" s="10" t="s">
        <v>89</v>
      </c>
      <c r="I135" s="14">
        <v>3981.9460208921</v>
      </c>
      <c r="J135" s="14">
        <v>3981.9460208921</v>
      </c>
      <c r="K135" s="14">
        <v>0</v>
      </c>
      <c r="L135" s="14">
        <v>0</v>
      </c>
      <c r="M135" s="14">
        <v>3981.9460208921</v>
      </c>
      <c r="N135" s="10" t="s">
        <v>526</v>
      </c>
      <c r="O135" s="15">
        <v>3.39</v>
      </c>
      <c r="P135" s="10" t="s">
        <v>31</v>
      </c>
      <c r="Q135" s="15" t="s">
        <v>32</v>
      </c>
      <c r="R135" s="10" t="s">
        <v>33</v>
      </c>
      <c r="S135" s="10" t="s">
        <v>524</v>
      </c>
      <c r="T135" s="15">
        <f>IF(O135="","",(1/Metadata!$B$5)^(O135-1))</f>
        <v>245.4708915685033</v>
      </c>
      <c r="U135" s="14">
        <f t="shared" si="2"/>
        <v>977451.83992603794</v>
      </c>
      <c r="V135" s="22" t="s">
        <v>91</v>
      </c>
      <c r="W135" s="21" t="s">
        <v>292</v>
      </c>
    </row>
    <row r="136" spans="1:23" ht="18" customHeight="1">
      <c r="A136" s="10" t="s">
        <v>23</v>
      </c>
      <c r="B136" s="10" t="s">
        <v>24</v>
      </c>
      <c r="C136" s="10" t="s">
        <v>25</v>
      </c>
      <c r="D136" s="13">
        <v>2019</v>
      </c>
      <c r="E136" s="10" t="s">
        <v>527</v>
      </c>
      <c r="F136" s="10" t="s">
        <v>528</v>
      </c>
      <c r="G136" s="10" t="s">
        <v>28</v>
      </c>
      <c r="H136" s="10" t="s">
        <v>47</v>
      </c>
      <c r="I136" s="14">
        <v>3916.3973380172001</v>
      </c>
      <c r="J136" s="14">
        <v>1687.5248073087</v>
      </c>
      <c r="K136" s="14">
        <v>2228.8725307085001</v>
      </c>
      <c r="L136" s="14">
        <v>0</v>
      </c>
      <c r="M136" s="14">
        <v>3916.3973380172001</v>
      </c>
      <c r="N136" s="10" t="s">
        <v>529</v>
      </c>
      <c r="O136" s="15">
        <v>3.36</v>
      </c>
      <c r="P136" s="10" t="s">
        <v>31</v>
      </c>
      <c r="Q136" s="15" t="s">
        <v>32</v>
      </c>
      <c r="R136" s="10" t="s">
        <v>33</v>
      </c>
      <c r="S136" s="10" t="s">
        <v>527</v>
      </c>
      <c r="T136" s="15">
        <f>IF(O136="","",(1/Metadata!$B$5)^(O136-1))</f>
        <v>229.08676527677744</v>
      </c>
      <c r="U136" s="14">
        <f t="shared" si="2"/>
        <v>897194.79770494229</v>
      </c>
      <c r="V136" s="22" t="s">
        <v>100</v>
      </c>
      <c r="W136" s="21" t="s">
        <v>101</v>
      </c>
    </row>
    <row r="137" spans="1:23" ht="18" customHeight="1">
      <c r="A137" s="10" t="s">
        <v>23</v>
      </c>
      <c r="B137" s="10" t="s">
        <v>24</v>
      </c>
      <c r="C137" s="10" t="s">
        <v>25</v>
      </c>
      <c r="D137" s="13">
        <v>2019</v>
      </c>
      <c r="E137" s="10" t="s">
        <v>530</v>
      </c>
      <c r="F137" s="10" t="s">
        <v>531</v>
      </c>
      <c r="G137" s="10" t="s">
        <v>136</v>
      </c>
      <c r="H137" s="10" t="s">
        <v>137</v>
      </c>
      <c r="I137" s="14">
        <v>3862.2095808044</v>
      </c>
      <c r="J137" s="14">
        <v>2641.7510664606002</v>
      </c>
      <c r="K137" s="14">
        <v>1220.4585143438001</v>
      </c>
      <c r="L137" s="14">
        <v>2234.6156746982001</v>
      </c>
      <c r="M137" s="14">
        <v>1627.5939061061999</v>
      </c>
      <c r="N137" s="10" t="s">
        <v>532</v>
      </c>
      <c r="O137" s="15">
        <v>4</v>
      </c>
      <c r="P137" s="10" t="s">
        <v>31</v>
      </c>
      <c r="Q137" s="15" t="s">
        <v>32</v>
      </c>
      <c r="R137" s="10" t="s">
        <v>33</v>
      </c>
      <c r="S137" s="10" t="s">
        <v>530</v>
      </c>
      <c r="T137" s="15">
        <f>IF(O137="","",(1/Metadata!$B$5)^(O137-1))</f>
        <v>1000</v>
      </c>
      <c r="U137" s="14">
        <f t="shared" si="2"/>
        <v>3862209.5808044001</v>
      </c>
      <c r="V137" s="20" t="s">
        <v>34</v>
      </c>
      <c r="W137" s="21" t="s">
        <v>533</v>
      </c>
    </row>
    <row r="138" spans="1:23" ht="18" customHeight="1">
      <c r="A138" s="10" t="s">
        <v>23</v>
      </c>
      <c r="B138" s="10" t="s">
        <v>24</v>
      </c>
      <c r="C138" s="10" t="s">
        <v>25</v>
      </c>
      <c r="D138" s="13">
        <v>2019</v>
      </c>
      <c r="E138" s="10" t="s">
        <v>534</v>
      </c>
      <c r="F138" s="10" t="s">
        <v>535</v>
      </c>
      <c r="G138" s="10" t="s">
        <v>28</v>
      </c>
      <c r="H138" s="10" t="s">
        <v>47</v>
      </c>
      <c r="I138" s="14">
        <v>3605.0885194846001</v>
      </c>
      <c r="J138" s="14">
        <v>3605.0885194846001</v>
      </c>
      <c r="K138" s="14">
        <v>0</v>
      </c>
      <c r="L138" s="14">
        <v>0</v>
      </c>
      <c r="M138" s="14">
        <v>3605.0885194846001</v>
      </c>
      <c r="N138" s="10" t="s">
        <v>536</v>
      </c>
      <c r="O138" s="15">
        <v>3.93</v>
      </c>
      <c r="P138" s="10" t="s">
        <v>41</v>
      </c>
      <c r="Q138" s="15" t="s">
        <v>42</v>
      </c>
      <c r="R138" s="10" t="s">
        <v>33</v>
      </c>
      <c r="S138" s="10" t="s">
        <v>534</v>
      </c>
      <c r="T138" s="15">
        <f>IF(O138="","",(1/Metadata!$B$5)^(O138-1))</f>
        <v>851.13803820237763</v>
      </c>
      <c r="U138" s="14">
        <f t="shared" si="2"/>
        <v>3068427.9700200367</v>
      </c>
      <c r="V138" s="22" t="s">
        <v>100</v>
      </c>
      <c r="W138" s="21" t="s">
        <v>101</v>
      </c>
    </row>
    <row r="139" spans="1:23" ht="18" customHeight="1">
      <c r="A139" s="10" t="s">
        <v>23</v>
      </c>
      <c r="B139" s="10" t="s">
        <v>24</v>
      </c>
      <c r="C139" s="10" t="s">
        <v>25</v>
      </c>
      <c r="D139" s="13">
        <v>2019</v>
      </c>
      <c r="E139" s="10" t="s">
        <v>537</v>
      </c>
      <c r="F139" s="10" t="s">
        <v>538</v>
      </c>
      <c r="G139" s="10" t="s">
        <v>53</v>
      </c>
      <c r="H139" s="10" t="s">
        <v>39</v>
      </c>
      <c r="I139" s="14">
        <v>3512.1974600900999</v>
      </c>
      <c r="J139" s="14">
        <v>3512.1974600900999</v>
      </c>
      <c r="K139" s="14">
        <v>0</v>
      </c>
      <c r="L139" s="14">
        <v>0</v>
      </c>
      <c r="M139" s="14">
        <v>3512.1974600900999</v>
      </c>
      <c r="N139" s="10" t="s">
        <v>539</v>
      </c>
      <c r="O139" s="15">
        <v>3.2</v>
      </c>
      <c r="P139" s="10" t="s">
        <v>41</v>
      </c>
      <c r="Q139" s="15" t="s">
        <v>42</v>
      </c>
      <c r="R139" s="10" t="s">
        <v>33</v>
      </c>
      <c r="S139" s="10" t="s">
        <v>537</v>
      </c>
      <c r="T139" s="15">
        <f>IF(O139="","",(1/Metadata!$B$5)^(O139-1))</f>
        <v>158.48931924611153</v>
      </c>
      <c r="U139" s="14">
        <f t="shared" si="2"/>
        <v>556645.78450760187</v>
      </c>
      <c r="V139" s="22" t="s">
        <v>55</v>
      </c>
      <c r="W139" s="21" t="s">
        <v>56</v>
      </c>
    </row>
    <row r="140" spans="1:23" ht="18" customHeight="1">
      <c r="A140" s="10" t="s">
        <v>23</v>
      </c>
      <c r="B140" s="10" t="s">
        <v>24</v>
      </c>
      <c r="C140" s="10" t="s">
        <v>25</v>
      </c>
      <c r="D140" s="13">
        <v>2019</v>
      </c>
      <c r="E140" s="10" t="s">
        <v>540</v>
      </c>
      <c r="F140" s="10" t="s">
        <v>541</v>
      </c>
      <c r="G140" s="10" t="s">
        <v>53</v>
      </c>
      <c r="H140" s="10" t="s">
        <v>39</v>
      </c>
      <c r="I140" s="14">
        <v>3511.3204002699999</v>
      </c>
      <c r="J140" s="14">
        <v>3511.3204002699999</v>
      </c>
      <c r="K140" s="14">
        <v>0</v>
      </c>
      <c r="L140" s="14">
        <v>0</v>
      </c>
      <c r="M140" s="14">
        <v>3511.3204002699999</v>
      </c>
      <c r="N140" s="10" t="s">
        <v>542</v>
      </c>
      <c r="O140" s="15">
        <v>2.85</v>
      </c>
      <c r="P140" s="10" t="s">
        <v>41</v>
      </c>
      <c r="Q140" s="15" t="s">
        <v>42</v>
      </c>
      <c r="R140" s="10" t="s">
        <v>33</v>
      </c>
      <c r="S140" s="10" t="s">
        <v>540</v>
      </c>
      <c r="T140" s="15">
        <f>IF(O140="","",(1/Metadata!$B$5)^(O140-1))</f>
        <v>70.794578438413865</v>
      </c>
      <c r="U140" s="14">
        <f t="shared" si="2"/>
        <v>248582.44749931729</v>
      </c>
      <c r="V140" s="22" t="s">
        <v>55</v>
      </c>
      <c r="W140" s="21" t="s">
        <v>56</v>
      </c>
    </row>
    <row r="141" spans="1:23" ht="18" customHeight="1">
      <c r="A141" s="10" t="s">
        <v>23</v>
      </c>
      <c r="B141" s="10" t="s">
        <v>24</v>
      </c>
      <c r="C141" s="10" t="s">
        <v>25</v>
      </c>
      <c r="D141" s="13">
        <v>2019</v>
      </c>
      <c r="E141" s="10" t="s">
        <v>543</v>
      </c>
      <c r="F141" s="10" t="s">
        <v>544</v>
      </c>
      <c r="G141" s="10" t="s">
        <v>88</v>
      </c>
      <c r="H141" s="10" t="s">
        <v>89</v>
      </c>
      <c r="I141" s="14">
        <v>3484.8888138357001</v>
      </c>
      <c r="J141" s="14">
        <v>3484.8888138357001</v>
      </c>
      <c r="K141" s="14">
        <v>0</v>
      </c>
      <c r="L141" s="14">
        <v>2877.1685266082</v>
      </c>
      <c r="M141" s="14">
        <v>607.72028722749997</v>
      </c>
      <c r="N141" s="10" t="s">
        <v>545</v>
      </c>
      <c r="O141" s="15">
        <v>2.7</v>
      </c>
      <c r="P141" s="10" t="s">
        <v>31</v>
      </c>
      <c r="Q141" s="15" t="s">
        <v>32</v>
      </c>
      <c r="R141" s="10" t="s">
        <v>33</v>
      </c>
      <c r="S141" s="10" t="s">
        <v>543</v>
      </c>
      <c r="T141" s="15">
        <f>IF(O141="","",(1/Metadata!$B$5)^(O141-1))</f>
        <v>50.118723362727259</v>
      </c>
      <c r="U141" s="14">
        <f t="shared" si="2"/>
        <v>174658.17841049418</v>
      </c>
      <c r="V141" s="22" t="s">
        <v>91</v>
      </c>
      <c r="W141" s="21" t="s">
        <v>292</v>
      </c>
    </row>
    <row r="142" spans="1:23" ht="18" customHeight="1">
      <c r="A142" s="10" t="s">
        <v>23</v>
      </c>
      <c r="B142" s="10" t="s">
        <v>24</v>
      </c>
      <c r="C142" s="10" t="s">
        <v>25</v>
      </c>
      <c r="D142" s="13">
        <v>2019</v>
      </c>
      <c r="E142" s="10" t="s">
        <v>546</v>
      </c>
      <c r="F142" s="10" t="s">
        <v>547</v>
      </c>
      <c r="G142" s="10" t="s">
        <v>216</v>
      </c>
      <c r="H142" s="10" t="s">
        <v>47</v>
      </c>
      <c r="I142" s="14">
        <v>3355.2785056266998</v>
      </c>
      <c r="J142" s="14">
        <v>3107.393417796</v>
      </c>
      <c r="K142" s="14">
        <v>247.8850878307</v>
      </c>
      <c r="L142" s="14">
        <v>2998.4507334208001</v>
      </c>
      <c r="M142" s="14">
        <v>356.82777220589998</v>
      </c>
      <c r="N142" s="10" t="s">
        <v>548</v>
      </c>
      <c r="O142" s="15">
        <v>4.12</v>
      </c>
      <c r="P142" s="10" t="s">
        <v>31</v>
      </c>
      <c r="Q142" s="15" t="s">
        <v>32</v>
      </c>
      <c r="R142" s="10" t="s">
        <v>33</v>
      </c>
      <c r="S142" s="10" t="s">
        <v>546</v>
      </c>
      <c r="T142" s="15">
        <f>IF(O142="","",(1/Metadata!$B$5)^(O142-1))</f>
        <v>1318.2567385564089</v>
      </c>
      <c r="U142" s="14">
        <f t="shared" si="2"/>
        <v>4423118.4997758744</v>
      </c>
      <c r="V142" s="22" t="s">
        <v>60</v>
      </c>
      <c r="W142" s="21" t="s">
        <v>61</v>
      </c>
    </row>
    <row r="143" spans="1:23" ht="18" customHeight="1">
      <c r="A143" s="10" t="s">
        <v>23</v>
      </c>
      <c r="B143" s="10" t="s">
        <v>24</v>
      </c>
      <c r="C143" s="10" t="s">
        <v>25</v>
      </c>
      <c r="D143" s="13">
        <v>2019</v>
      </c>
      <c r="E143" s="10" t="s">
        <v>549</v>
      </c>
      <c r="F143" s="10" t="s">
        <v>550</v>
      </c>
      <c r="G143" s="10" t="s">
        <v>98</v>
      </c>
      <c r="H143" s="10" t="s">
        <v>47</v>
      </c>
      <c r="I143" s="14">
        <v>3183.0587325176002</v>
      </c>
      <c r="J143" s="14">
        <v>3077.6024687518002</v>
      </c>
      <c r="K143" s="14">
        <v>105.4562637658</v>
      </c>
      <c r="L143" s="14">
        <v>3077.6024687518002</v>
      </c>
      <c r="M143" s="14">
        <v>105.4562637658</v>
      </c>
      <c r="N143" s="10" t="s">
        <v>551</v>
      </c>
      <c r="O143" s="15">
        <v>3.77</v>
      </c>
      <c r="P143" s="10" t="s">
        <v>41</v>
      </c>
      <c r="Q143" s="15" t="s">
        <v>42</v>
      </c>
      <c r="R143" s="10" t="s">
        <v>33</v>
      </c>
      <c r="S143" s="10" t="s">
        <v>549</v>
      </c>
      <c r="T143" s="15">
        <f>IF(O143="","",(1/Metadata!$B$5)^(O143-1))</f>
        <v>588.84365535558959</v>
      </c>
      <c r="U143" s="14">
        <f t="shared" si="2"/>
        <v>1874323.9392671937</v>
      </c>
      <c r="V143" s="22" t="s">
        <v>100</v>
      </c>
      <c r="W143" s="21" t="s">
        <v>101</v>
      </c>
    </row>
    <row r="144" spans="1:23" ht="18" customHeight="1">
      <c r="A144" s="10" t="s">
        <v>23</v>
      </c>
      <c r="B144" s="10" t="s">
        <v>24</v>
      </c>
      <c r="C144" s="10" t="s">
        <v>25</v>
      </c>
      <c r="D144" s="13">
        <v>2019</v>
      </c>
      <c r="E144" s="10" t="s">
        <v>552</v>
      </c>
      <c r="F144" s="10" t="s">
        <v>553</v>
      </c>
      <c r="G144" s="10" t="s">
        <v>53</v>
      </c>
      <c r="H144" s="10" t="s">
        <v>39</v>
      </c>
      <c r="I144" s="14">
        <v>3091.2349815581001</v>
      </c>
      <c r="J144" s="14">
        <v>3091.2349815581001</v>
      </c>
      <c r="K144" s="14">
        <v>0</v>
      </c>
      <c r="L144" s="14">
        <v>0</v>
      </c>
      <c r="M144" s="14">
        <v>3091.2349815581001</v>
      </c>
      <c r="N144" s="10" t="s">
        <v>554</v>
      </c>
      <c r="O144" s="15">
        <v>2.31</v>
      </c>
      <c r="P144" s="10" t="s">
        <v>31</v>
      </c>
      <c r="Q144" s="15" t="s">
        <v>32</v>
      </c>
      <c r="R144" s="10" t="s">
        <v>33</v>
      </c>
      <c r="S144" s="10" t="s">
        <v>552</v>
      </c>
      <c r="T144" s="15">
        <f>IF(O144="","",(1/Metadata!$B$5)^(O144-1))</f>
        <v>20.4173794466953</v>
      </c>
      <c r="U144" s="14">
        <f t="shared" si="2"/>
        <v>63114.917577369881</v>
      </c>
      <c r="V144" s="22" t="s">
        <v>43</v>
      </c>
      <c r="W144" s="21" t="s">
        <v>555</v>
      </c>
    </row>
    <row r="145" spans="1:23" ht="18" customHeight="1">
      <c r="A145" s="10" t="s">
        <v>23</v>
      </c>
      <c r="B145" s="10" t="s">
        <v>24</v>
      </c>
      <c r="C145" s="10" t="s">
        <v>25</v>
      </c>
      <c r="D145" s="13">
        <v>2019</v>
      </c>
      <c r="E145" s="10" t="s">
        <v>556</v>
      </c>
      <c r="F145" s="10" t="s">
        <v>557</v>
      </c>
      <c r="G145" s="10" t="s">
        <v>157</v>
      </c>
      <c r="H145" s="10" t="s">
        <v>173</v>
      </c>
      <c r="I145" s="14">
        <v>2978.2210833812001</v>
      </c>
      <c r="J145" s="14">
        <v>2978.2210833812001</v>
      </c>
      <c r="K145" s="14">
        <v>0</v>
      </c>
      <c r="L145" s="14">
        <v>2978.2210833812001</v>
      </c>
      <c r="M145" s="14">
        <v>0</v>
      </c>
      <c r="N145" s="10" t="s">
        <v>558</v>
      </c>
      <c r="O145" s="15">
        <v>4.2</v>
      </c>
      <c r="P145" s="10" t="s">
        <v>31</v>
      </c>
      <c r="Q145" s="15" t="s">
        <v>32</v>
      </c>
      <c r="R145" s="10" t="s">
        <v>33</v>
      </c>
      <c r="S145" s="10" t="s">
        <v>556</v>
      </c>
      <c r="T145" s="15">
        <f>IF(O145="","",(1/Metadata!$B$5)^(O145-1))</f>
        <v>1584.8931924611156</v>
      </c>
      <c r="U145" s="14">
        <f t="shared" si="2"/>
        <v>4720162.3206950324</v>
      </c>
      <c r="V145" s="20" t="s">
        <v>34</v>
      </c>
      <c r="W145" s="21" t="s">
        <v>559</v>
      </c>
    </row>
    <row r="146" spans="1:23" ht="18" customHeight="1">
      <c r="A146" s="10" t="s">
        <v>23</v>
      </c>
      <c r="B146" s="10" t="s">
        <v>24</v>
      </c>
      <c r="C146" s="10" t="s">
        <v>25</v>
      </c>
      <c r="D146" s="13">
        <v>2019</v>
      </c>
      <c r="E146" s="10" t="s">
        <v>560</v>
      </c>
      <c r="F146" s="10" t="s">
        <v>561</v>
      </c>
      <c r="G146" s="10" t="s">
        <v>216</v>
      </c>
      <c r="H146" s="10" t="s">
        <v>47</v>
      </c>
      <c r="I146" s="14">
        <v>2977.2049051111999</v>
      </c>
      <c r="J146" s="14">
        <v>2977.2049051111999</v>
      </c>
      <c r="K146" s="14">
        <v>0</v>
      </c>
      <c r="L146" s="14">
        <v>2958.5449284891001</v>
      </c>
      <c r="M146" s="14">
        <v>18.6599766221</v>
      </c>
      <c r="N146" s="10" t="s">
        <v>562</v>
      </c>
      <c r="O146" s="15">
        <v>3.4</v>
      </c>
      <c r="P146" s="10" t="s">
        <v>31</v>
      </c>
      <c r="Q146" s="15" t="s">
        <v>32</v>
      </c>
      <c r="R146" s="10" t="s">
        <v>33</v>
      </c>
      <c r="S146" s="10" t="s">
        <v>560</v>
      </c>
      <c r="T146" s="15">
        <f>IF(O146="","",(1/Metadata!$B$5)^(O146-1))</f>
        <v>251.18864315095806</v>
      </c>
      <c r="U146" s="14">
        <f t="shared" si="2"/>
        <v>747840.06049725914</v>
      </c>
      <c r="V146" s="22" t="s">
        <v>66</v>
      </c>
      <c r="W146" s="21" t="s">
        <v>67</v>
      </c>
    </row>
    <row r="147" spans="1:23" ht="18" customHeight="1">
      <c r="A147" s="10" t="s">
        <v>23</v>
      </c>
      <c r="B147" s="10" t="s">
        <v>24</v>
      </c>
      <c r="C147" s="10" t="s">
        <v>25</v>
      </c>
      <c r="D147" s="13">
        <v>2019</v>
      </c>
      <c r="E147" s="10" t="s">
        <v>563</v>
      </c>
      <c r="F147" s="10" t="s">
        <v>564</v>
      </c>
      <c r="G147" s="10" t="s">
        <v>261</v>
      </c>
      <c r="H147" s="10" t="s">
        <v>47</v>
      </c>
      <c r="I147" s="14">
        <v>2975.9674453285002</v>
      </c>
      <c r="J147" s="14">
        <v>2876.8567269706</v>
      </c>
      <c r="K147" s="14">
        <v>99.110718357899998</v>
      </c>
      <c r="L147" s="14">
        <v>2876.8567269706</v>
      </c>
      <c r="M147" s="14">
        <v>99.110718357899998</v>
      </c>
      <c r="N147" s="10" t="s">
        <v>565</v>
      </c>
      <c r="O147" s="15">
        <v>3.11</v>
      </c>
      <c r="P147" s="10" t="s">
        <v>31</v>
      </c>
      <c r="Q147" s="15" t="s">
        <v>32</v>
      </c>
      <c r="R147" s="10" t="s">
        <v>33</v>
      </c>
      <c r="S147" s="10" t="s">
        <v>563</v>
      </c>
      <c r="T147" s="15">
        <f>IF(O147="","",(1/Metadata!$B$5)^(O147-1))</f>
        <v>128.82495516931343</v>
      </c>
      <c r="U147" s="14">
        <f t="shared" si="2"/>
        <v>383378.87272978021</v>
      </c>
      <c r="V147" s="23" t="s">
        <v>66</v>
      </c>
      <c r="W147" s="21" t="s">
        <v>566</v>
      </c>
    </row>
    <row r="148" spans="1:23" ht="18" customHeight="1">
      <c r="A148" s="10" t="s">
        <v>23</v>
      </c>
      <c r="B148" s="10" t="s">
        <v>24</v>
      </c>
      <c r="C148" s="10" t="s">
        <v>25</v>
      </c>
      <c r="D148" s="13">
        <v>2019</v>
      </c>
      <c r="E148" s="10" t="s">
        <v>567</v>
      </c>
      <c r="F148" s="10" t="s">
        <v>568</v>
      </c>
      <c r="G148" s="10" t="s">
        <v>38</v>
      </c>
      <c r="H148" s="10" t="s">
        <v>39</v>
      </c>
      <c r="I148" s="14">
        <v>2937.0300911658001</v>
      </c>
      <c r="J148" s="14">
        <v>2864.7576707414</v>
      </c>
      <c r="K148" s="14">
        <v>72.272420424399996</v>
      </c>
      <c r="L148" s="14">
        <v>2111.7218343305999</v>
      </c>
      <c r="M148" s="14">
        <v>825.30825683519993</v>
      </c>
      <c r="N148" s="10" t="s">
        <v>569</v>
      </c>
      <c r="O148" s="15">
        <v>3.79</v>
      </c>
      <c r="P148" s="10" t="s">
        <v>41</v>
      </c>
      <c r="Q148" s="15" t="s">
        <v>42</v>
      </c>
      <c r="R148" s="10" t="s">
        <v>33</v>
      </c>
      <c r="S148" s="10" t="s">
        <v>567</v>
      </c>
      <c r="T148" s="15">
        <f>IF(O148="","",(1/Metadata!$B$5)^(O148-1))</f>
        <v>616.59500186148273</v>
      </c>
      <c r="U148" s="14">
        <f t="shared" si="2"/>
        <v>1810958.0745296073</v>
      </c>
      <c r="V148" s="22" t="s">
        <v>43</v>
      </c>
      <c r="W148" s="21" t="s">
        <v>44</v>
      </c>
    </row>
    <row r="149" spans="1:23" ht="18" customHeight="1">
      <c r="A149" s="10" t="s">
        <v>23</v>
      </c>
      <c r="B149" s="10" t="s">
        <v>24</v>
      </c>
      <c r="C149" s="10" t="s">
        <v>25</v>
      </c>
      <c r="D149" s="13">
        <v>2019</v>
      </c>
      <c r="E149" s="10" t="s">
        <v>570</v>
      </c>
      <c r="F149" s="10" t="s">
        <v>571</v>
      </c>
      <c r="G149" s="10" t="s">
        <v>234</v>
      </c>
      <c r="H149" s="10" t="s">
        <v>235</v>
      </c>
      <c r="I149" s="14">
        <v>2851.2632598891</v>
      </c>
      <c r="J149" s="14">
        <v>2851.2632598891</v>
      </c>
      <c r="K149" s="14">
        <v>0</v>
      </c>
      <c r="L149" s="14">
        <v>0</v>
      </c>
      <c r="M149" s="14">
        <v>2851.2632598891</v>
      </c>
      <c r="N149" s="10" t="s">
        <v>572</v>
      </c>
      <c r="O149" s="15">
        <v>2</v>
      </c>
      <c r="P149" s="10" t="s">
        <v>31</v>
      </c>
      <c r="Q149" s="15" t="s">
        <v>32</v>
      </c>
      <c r="R149" s="10" t="s">
        <v>33</v>
      </c>
      <c r="S149" s="10" t="s">
        <v>570</v>
      </c>
      <c r="T149" s="15">
        <f>IF(O149="","",(1/Metadata!$B$5)^(O149-1))</f>
        <v>10</v>
      </c>
      <c r="U149" s="14">
        <f t="shared" si="2"/>
        <v>28512.632598890999</v>
      </c>
      <c r="V149" s="23" t="s">
        <v>237</v>
      </c>
      <c r="W149" s="21" t="s">
        <v>573</v>
      </c>
    </row>
    <row r="150" spans="1:23" ht="18" customHeight="1">
      <c r="A150" s="10" t="s">
        <v>23</v>
      </c>
      <c r="B150" s="10" t="s">
        <v>24</v>
      </c>
      <c r="C150" s="10" t="s">
        <v>25</v>
      </c>
      <c r="D150" s="13">
        <v>2019</v>
      </c>
      <c r="E150" s="10" t="s">
        <v>574</v>
      </c>
      <c r="F150" s="10" t="s">
        <v>575</v>
      </c>
      <c r="G150" s="10" t="s">
        <v>88</v>
      </c>
      <c r="H150" s="10" t="s">
        <v>89</v>
      </c>
      <c r="I150" s="14">
        <v>2759.8083518777999</v>
      </c>
      <c r="J150" s="14">
        <v>2759.8083518777999</v>
      </c>
      <c r="K150" s="14">
        <v>0</v>
      </c>
      <c r="L150" s="14">
        <v>0</v>
      </c>
      <c r="M150" s="14">
        <v>2759.8083518777999</v>
      </c>
      <c r="N150" s="10" t="s">
        <v>576</v>
      </c>
      <c r="O150" s="15">
        <v>3.39</v>
      </c>
      <c r="P150" s="10" t="s">
        <v>31</v>
      </c>
      <c r="Q150" s="15" t="s">
        <v>32</v>
      </c>
      <c r="R150" s="10" t="s">
        <v>33</v>
      </c>
      <c r="S150" s="10" t="s">
        <v>574</v>
      </c>
      <c r="T150" s="15">
        <f>IF(O150="","",(1/Metadata!$B$5)^(O150-1))</f>
        <v>245.4708915685033</v>
      </c>
      <c r="U150" s="14">
        <f t="shared" si="2"/>
        <v>677452.61669364525</v>
      </c>
      <c r="V150" s="22" t="s">
        <v>91</v>
      </c>
      <c r="W150" s="21" t="s">
        <v>292</v>
      </c>
    </row>
    <row r="151" spans="1:23" ht="18" customHeight="1">
      <c r="A151" s="10" t="s">
        <v>23</v>
      </c>
      <c r="B151" s="10" t="s">
        <v>24</v>
      </c>
      <c r="C151" s="10" t="s">
        <v>25</v>
      </c>
      <c r="D151" s="13">
        <v>2019</v>
      </c>
      <c r="E151" s="10" t="s">
        <v>577</v>
      </c>
      <c r="F151" s="10" t="s">
        <v>578</v>
      </c>
      <c r="G151" s="10" t="s">
        <v>127</v>
      </c>
      <c r="H151" s="10" t="s">
        <v>29</v>
      </c>
      <c r="I151" s="14">
        <v>2697.5851861281999</v>
      </c>
      <c r="J151" s="14">
        <v>2697.5851861281999</v>
      </c>
      <c r="K151" s="14">
        <v>0</v>
      </c>
      <c r="L151" s="14">
        <v>1551.7068287129</v>
      </c>
      <c r="M151" s="14">
        <v>1145.8783574152999</v>
      </c>
      <c r="N151" s="10" t="s">
        <v>579</v>
      </c>
      <c r="O151" s="15">
        <v>3.99</v>
      </c>
      <c r="P151" s="10" t="s">
        <v>31</v>
      </c>
      <c r="Q151" s="15" t="s">
        <v>32</v>
      </c>
      <c r="R151" s="10" t="s">
        <v>33</v>
      </c>
      <c r="S151" s="10" t="s">
        <v>577</v>
      </c>
      <c r="T151" s="15">
        <f>IF(O151="","",(1/Metadata!$B$5)^(O151-1))</f>
        <v>977.23722095581138</v>
      </c>
      <c r="U151" s="14">
        <f t="shared" si="2"/>
        <v>2636180.6505834875</v>
      </c>
      <c r="V151" s="22" t="s">
        <v>129</v>
      </c>
      <c r="W151" s="21" t="s">
        <v>130</v>
      </c>
    </row>
    <row r="152" spans="1:23" ht="18" customHeight="1">
      <c r="A152" s="10" t="s">
        <v>23</v>
      </c>
      <c r="B152" s="10" t="s">
        <v>24</v>
      </c>
      <c r="C152" s="10" t="s">
        <v>25</v>
      </c>
      <c r="D152" s="13">
        <v>2019</v>
      </c>
      <c r="E152" s="10" t="s">
        <v>580</v>
      </c>
      <c r="F152" s="10" t="s">
        <v>581</v>
      </c>
      <c r="G152" s="10" t="s">
        <v>383</v>
      </c>
      <c r="H152" s="10" t="s">
        <v>384</v>
      </c>
      <c r="I152" s="14">
        <v>2680.1556372710002</v>
      </c>
      <c r="J152" s="14">
        <v>2590.3422459756998</v>
      </c>
      <c r="K152" s="14">
        <v>89.813391295300008</v>
      </c>
      <c r="L152" s="14">
        <v>2590.3422459756998</v>
      </c>
      <c r="M152" s="14">
        <v>89.813391295300008</v>
      </c>
      <c r="N152" s="10" t="s">
        <v>582</v>
      </c>
      <c r="O152" s="15">
        <v>3.77</v>
      </c>
      <c r="P152" s="10" t="s">
        <v>31</v>
      </c>
      <c r="Q152" s="15" t="s">
        <v>32</v>
      </c>
      <c r="R152" s="10" t="s">
        <v>33</v>
      </c>
      <c r="S152" s="10" t="s">
        <v>580</v>
      </c>
      <c r="T152" s="15">
        <f>IF(O152="","",(1/Metadata!$B$5)^(O152-1))</f>
        <v>588.84365535558959</v>
      </c>
      <c r="U152" s="14">
        <f t="shared" si="2"/>
        <v>1578192.6423725453</v>
      </c>
      <c r="V152" s="22" t="s">
        <v>66</v>
      </c>
      <c r="W152" s="21" t="s">
        <v>67</v>
      </c>
    </row>
    <row r="153" spans="1:23" ht="18" customHeight="1">
      <c r="A153" s="10" t="s">
        <v>23</v>
      </c>
      <c r="B153" s="10" t="s">
        <v>24</v>
      </c>
      <c r="C153" s="10" t="s">
        <v>25</v>
      </c>
      <c r="D153" s="13">
        <v>2019</v>
      </c>
      <c r="E153" s="10" t="s">
        <v>583</v>
      </c>
      <c r="F153" s="10" t="s">
        <v>584</v>
      </c>
      <c r="G153" s="10" t="s">
        <v>149</v>
      </c>
      <c r="H153" s="10" t="s">
        <v>29</v>
      </c>
      <c r="I153" s="14">
        <v>2667.8948307587998</v>
      </c>
      <c r="J153" s="14">
        <v>2667.8948307587998</v>
      </c>
      <c r="K153" s="14">
        <v>0</v>
      </c>
      <c r="L153" s="14">
        <v>1909.0066517327</v>
      </c>
      <c r="M153" s="14">
        <v>758.88817902609992</v>
      </c>
      <c r="N153" s="10" t="s">
        <v>585</v>
      </c>
      <c r="O153" s="15">
        <v>3.59</v>
      </c>
      <c r="P153" s="10" t="s">
        <v>31</v>
      </c>
      <c r="Q153" s="15" t="s">
        <v>32</v>
      </c>
      <c r="R153" s="10" t="s">
        <v>33</v>
      </c>
      <c r="S153" s="10" t="s">
        <v>583</v>
      </c>
      <c r="T153" s="15">
        <f>IF(O153="","",(1/Metadata!$B$5)^(O153-1))</f>
        <v>389.04514499428063</v>
      </c>
      <c r="U153" s="14">
        <f t="shared" si="2"/>
        <v>1037931.5312620491</v>
      </c>
      <c r="V153" s="22" t="s">
        <v>149</v>
      </c>
      <c r="W153" s="21" t="s">
        <v>151</v>
      </c>
    </row>
    <row r="154" spans="1:23" ht="18" customHeight="1">
      <c r="A154" s="10" t="s">
        <v>23</v>
      </c>
      <c r="B154" s="10" t="s">
        <v>24</v>
      </c>
      <c r="C154" s="10" t="s">
        <v>25</v>
      </c>
      <c r="D154" s="13">
        <v>2019</v>
      </c>
      <c r="E154" s="10" t="s">
        <v>586</v>
      </c>
      <c r="F154" s="10" t="s">
        <v>587</v>
      </c>
      <c r="G154" s="10" t="s">
        <v>157</v>
      </c>
      <c r="H154" s="10" t="s">
        <v>47</v>
      </c>
      <c r="I154" s="14">
        <v>2603.8089587444001</v>
      </c>
      <c r="J154" s="14">
        <v>2603.8089587444001</v>
      </c>
      <c r="K154" s="14">
        <v>0</v>
      </c>
      <c r="L154" s="14">
        <v>2595.6932824208002</v>
      </c>
      <c r="M154" s="14">
        <v>8.1156763236000007</v>
      </c>
      <c r="N154" s="10" t="s">
        <v>588</v>
      </c>
      <c r="O154" s="15">
        <v>4.49</v>
      </c>
      <c r="P154" s="10" t="s">
        <v>31</v>
      </c>
      <c r="Q154" s="15" t="s">
        <v>32</v>
      </c>
      <c r="R154" s="10" t="s">
        <v>33</v>
      </c>
      <c r="S154" s="10" t="s">
        <v>586</v>
      </c>
      <c r="T154" s="15">
        <f>IF(O154="","",(1/Metadata!$B$5)^(O154-1))</f>
        <v>3090.295432513592</v>
      </c>
      <c r="U154" s="14">
        <f t="shared" si="2"/>
        <v>8046538.9323457917</v>
      </c>
      <c r="V154" s="22" t="s">
        <v>129</v>
      </c>
      <c r="W154" s="21" t="s">
        <v>130</v>
      </c>
    </row>
    <row r="155" spans="1:23" ht="18" customHeight="1">
      <c r="A155" s="10" t="s">
        <v>23</v>
      </c>
      <c r="B155" s="10" t="s">
        <v>24</v>
      </c>
      <c r="C155" s="10" t="s">
        <v>25</v>
      </c>
      <c r="D155" s="13">
        <v>2019</v>
      </c>
      <c r="E155" s="10" t="s">
        <v>589</v>
      </c>
      <c r="F155" s="10" t="s">
        <v>590</v>
      </c>
      <c r="G155" s="10" t="s">
        <v>28</v>
      </c>
      <c r="H155" s="10" t="s">
        <v>47</v>
      </c>
      <c r="I155" s="14">
        <v>2592.1047389163</v>
      </c>
      <c r="J155" s="14">
        <v>2592.1047389163</v>
      </c>
      <c r="K155" s="14">
        <v>0</v>
      </c>
      <c r="L155" s="14">
        <v>0</v>
      </c>
      <c r="M155" s="14">
        <v>2592.1047389163</v>
      </c>
      <c r="N155" s="10" t="s">
        <v>591</v>
      </c>
      <c r="O155" s="15">
        <v>3.86</v>
      </c>
      <c r="P155" s="10" t="s">
        <v>41</v>
      </c>
      <c r="Q155" s="15" t="s">
        <v>42</v>
      </c>
      <c r="R155" s="10" t="s">
        <v>33</v>
      </c>
      <c r="S155" s="10" t="s">
        <v>589</v>
      </c>
      <c r="T155" s="15">
        <f>IF(O155="","",(1/Metadata!$B$5)^(O155-1))</f>
        <v>724.43596007499025</v>
      </c>
      <c r="U155" s="14">
        <f t="shared" si="2"/>
        <v>1877813.8851517618</v>
      </c>
      <c r="V155" s="22" t="s">
        <v>129</v>
      </c>
      <c r="W155" s="21" t="s">
        <v>592</v>
      </c>
    </row>
    <row r="156" spans="1:23" ht="18" customHeight="1">
      <c r="A156" s="10" t="s">
        <v>23</v>
      </c>
      <c r="B156" s="10" t="s">
        <v>24</v>
      </c>
      <c r="C156" s="10" t="s">
        <v>25</v>
      </c>
      <c r="D156" s="13">
        <v>2019</v>
      </c>
      <c r="E156" s="10" t="s">
        <v>593</v>
      </c>
      <c r="F156" s="10" t="s">
        <v>594</v>
      </c>
      <c r="G156" s="10" t="s">
        <v>261</v>
      </c>
      <c r="H156" s="10" t="s">
        <v>47</v>
      </c>
      <c r="I156" s="14">
        <v>2552.8648301602002</v>
      </c>
      <c r="J156" s="14">
        <v>2552.8648301602002</v>
      </c>
      <c r="K156" s="14">
        <v>0</v>
      </c>
      <c r="L156" s="14">
        <v>1566.4691957759001</v>
      </c>
      <c r="M156" s="14">
        <v>986.39563438430002</v>
      </c>
      <c r="N156" s="10" t="s">
        <v>595</v>
      </c>
      <c r="O156" s="15">
        <v>3.3</v>
      </c>
      <c r="P156" s="10" t="s">
        <v>31</v>
      </c>
      <c r="Q156" s="15" t="s">
        <v>32</v>
      </c>
      <c r="R156" s="10" t="s">
        <v>33</v>
      </c>
      <c r="S156" s="10" t="s">
        <v>593</v>
      </c>
      <c r="T156" s="15">
        <f>IF(O156="","",(1/Metadata!$B$5)^(O156-1))</f>
        <v>199.52623149688802</v>
      </c>
      <c r="U156" s="14">
        <f t="shared" si="2"/>
        <v>509363.4990828078</v>
      </c>
      <c r="V156" s="22" t="s">
        <v>100</v>
      </c>
      <c r="W156" s="21" t="s">
        <v>101</v>
      </c>
    </row>
    <row r="157" spans="1:23" ht="18" customHeight="1">
      <c r="A157" s="10" t="s">
        <v>23</v>
      </c>
      <c r="B157" s="10" t="s">
        <v>24</v>
      </c>
      <c r="C157" s="10" t="s">
        <v>25</v>
      </c>
      <c r="D157" s="13">
        <v>2019</v>
      </c>
      <c r="E157" s="10" t="s">
        <v>596</v>
      </c>
      <c r="F157" s="10" t="s">
        <v>597</v>
      </c>
      <c r="G157" s="10" t="s">
        <v>122</v>
      </c>
      <c r="H157" s="10" t="s">
        <v>89</v>
      </c>
      <c r="I157" s="14">
        <v>2443.9310856235002</v>
      </c>
      <c r="J157" s="14">
        <v>2337.4751387224001</v>
      </c>
      <c r="K157" s="14">
        <v>106.45594690110001</v>
      </c>
      <c r="L157" s="14">
        <v>1658.5054748452999</v>
      </c>
      <c r="M157" s="14">
        <v>785.42561077819994</v>
      </c>
      <c r="N157" s="10" t="s">
        <v>598</v>
      </c>
      <c r="O157" s="15">
        <v>3.14</v>
      </c>
      <c r="P157" s="10" t="s">
        <v>31</v>
      </c>
      <c r="Q157" s="15" t="s">
        <v>32</v>
      </c>
      <c r="R157" s="10" t="s">
        <v>33</v>
      </c>
      <c r="S157" s="10" t="s">
        <v>596</v>
      </c>
      <c r="T157" s="15">
        <f>IF(O157="","",(1/Metadata!$B$5)^(O157-1))</f>
        <v>138.0384264602886</v>
      </c>
      <c r="U157" s="14">
        <f t="shared" si="2"/>
        <v>337356.40143685282</v>
      </c>
      <c r="V157" s="22" t="s">
        <v>91</v>
      </c>
      <c r="W157" s="21" t="s">
        <v>242</v>
      </c>
    </row>
    <row r="158" spans="1:23" ht="18" customHeight="1">
      <c r="A158" s="10" t="s">
        <v>23</v>
      </c>
      <c r="B158" s="10" t="s">
        <v>24</v>
      </c>
      <c r="C158" s="10" t="s">
        <v>25</v>
      </c>
      <c r="D158" s="13">
        <v>2019</v>
      </c>
      <c r="E158" s="10" t="s">
        <v>599</v>
      </c>
      <c r="F158" s="10" t="s">
        <v>600</v>
      </c>
      <c r="G158" s="10" t="s">
        <v>157</v>
      </c>
      <c r="H158" s="10" t="s">
        <v>47</v>
      </c>
      <c r="I158" s="14">
        <v>2441.6545971562</v>
      </c>
      <c r="J158" s="14">
        <v>2441.6545971562</v>
      </c>
      <c r="K158" s="14">
        <v>0</v>
      </c>
      <c r="L158" s="14">
        <v>2411.5103682447998</v>
      </c>
      <c r="M158" s="14">
        <v>30.144228911399999</v>
      </c>
      <c r="N158" s="10" t="s">
        <v>601</v>
      </c>
      <c r="O158" s="15">
        <v>4.37</v>
      </c>
      <c r="P158" s="10" t="s">
        <v>41</v>
      </c>
      <c r="Q158" s="15" t="s">
        <v>42</v>
      </c>
      <c r="R158" s="10" t="s">
        <v>33</v>
      </c>
      <c r="S158" s="10" t="s">
        <v>599</v>
      </c>
      <c r="T158" s="15">
        <f>IF(O158="","",(1/Metadata!$B$5)^(O158-1))</f>
        <v>2344.2288153199238</v>
      </c>
      <c r="U158" s="14">
        <f t="shared" si="2"/>
        <v>5723797.0637119245</v>
      </c>
      <c r="V158" s="22" t="s">
        <v>129</v>
      </c>
      <c r="W158" s="21" t="s">
        <v>130</v>
      </c>
    </row>
    <row r="159" spans="1:23" ht="18" customHeight="1">
      <c r="A159" s="10" t="s">
        <v>23</v>
      </c>
      <c r="B159" s="10" t="s">
        <v>24</v>
      </c>
      <c r="C159" s="10" t="s">
        <v>25</v>
      </c>
      <c r="D159" s="13">
        <v>2019</v>
      </c>
      <c r="E159" s="10" t="s">
        <v>602</v>
      </c>
      <c r="F159" s="10" t="s">
        <v>603</v>
      </c>
      <c r="G159" s="10" t="s">
        <v>216</v>
      </c>
      <c r="H159" s="10" t="s">
        <v>29</v>
      </c>
      <c r="I159" s="14">
        <v>2270.1643828760002</v>
      </c>
      <c r="J159" s="14">
        <v>2270.1643828760002</v>
      </c>
      <c r="K159" s="14">
        <v>0</v>
      </c>
      <c r="L159" s="14">
        <v>1275.3184585087999</v>
      </c>
      <c r="M159" s="14">
        <v>994.84592436719993</v>
      </c>
      <c r="N159" s="10" t="s">
        <v>604</v>
      </c>
      <c r="O159" s="15">
        <v>3.49</v>
      </c>
      <c r="P159" s="10" t="s">
        <v>31</v>
      </c>
      <c r="Q159" s="15" t="s">
        <v>32</v>
      </c>
      <c r="R159" s="10" t="s">
        <v>33</v>
      </c>
      <c r="S159" s="10" t="s">
        <v>602</v>
      </c>
      <c r="T159" s="15">
        <f>IF(O159="","",(1/Metadata!$B$5)^(O159-1))</f>
        <v>309.02954325135937</v>
      </c>
      <c r="U159" s="14">
        <f t="shared" si="2"/>
        <v>701547.86234567442</v>
      </c>
      <c r="V159" s="22" t="s">
        <v>129</v>
      </c>
      <c r="W159" s="21" t="s">
        <v>130</v>
      </c>
    </row>
    <row r="160" spans="1:23" ht="18" customHeight="1">
      <c r="A160" s="10" t="s">
        <v>23</v>
      </c>
      <c r="B160" s="10" t="s">
        <v>24</v>
      </c>
      <c r="C160" s="10" t="s">
        <v>25</v>
      </c>
      <c r="D160" s="13">
        <v>2019</v>
      </c>
      <c r="E160" s="10" t="s">
        <v>605</v>
      </c>
      <c r="F160" s="10" t="s">
        <v>388</v>
      </c>
      <c r="G160" s="10" t="s">
        <v>28</v>
      </c>
      <c r="H160" s="10" t="s">
        <v>47</v>
      </c>
      <c r="I160" s="14">
        <v>2237.7805089526</v>
      </c>
      <c r="J160" s="14">
        <v>2237.7805089526</v>
      </c>
      <c r="K160" s="14">
        <v>0</v>
      </c>
      <c r="L160" s="14">
        <v>1496.9158023878001</v>
      </c>
      <c r="M160" s="14">
        <v>740.86470656480003</v>
      </c>
      <c r="N160" s="10" t="s">
        <v>606</v>
      </c>
      <c r="O160" s="15">
        <v>3.33</v>
      </c>
      <c r="P160" s="10" t="s">
        <v>31</v>
      </c>
      <c r="Q160" s="15" t="s">
        <v>32</v>
      </c>
      <c r="R160" s="10" t="s">
        <v>33</v>
      </c>
      <c r="S160" s="10" t="s">
        <v>605</v>
      </c>
      <c r="T160" s="15">
        <f>IF(O160="","",(1/Metadata!$B$5)^(O160-1))</f>
        <v>213.79620895022339</v>
      </c>
      <c r="U160" s="14">
        <f t="shared" si="2"/>
        <v>478428.9892767673</v>
      </c>
      <c r="V160" s="22" t="s">
        <v>66</v>
      </c>
      <c r="W160" s="21" t="s">
        <v>67</v>
      </c>
    </row>
    <row r="161" spans="1:23" ht="18" customHeight="1">
      <c r="A161" s="10" t="s">
        <v>23</v>
      </c>
      <c r="B161" s="10" t="s">
        <v>24</v>
      </c>
      <c r="C161" s="10" t="s">
        <v>25</v>
      </c>
      <c r="D161" s="13">
        <v>2019</v>
      </c>
      <c r="E161" s="10" t="s">
        <v>607</v>
      </c>
      <c r="F161" s="10" t="s">
        <v>608</v>
      </c>
      <c r="G161" s="10" t="s">
        <v>305</v>
      </c>
      <c r="H161" s="10" t="s">
        <v>137</v>
      </c>
      <c r="I161" s="14">
        <v>2189.5082785996001</v>
      </c>
      <c r="J161" s="14">
        <v>2189.5082785996001</v>
      </c>
      <c r="K161" s="14">
        <v>0</v>
      </c>
      <c r="L161" s="14">
        <v>785.21770428929995</v>
      </c>
      <c r="M161" s="14">
        <v>1404.2905743102999</v>
      </c>
      <c r="N161" s="10" t="s">
        <v>609</v>
      </c>
      <c r="O161" s="15">
        <v>3.36</v>
      </c>
      <c r="P161" s="10" t="s">
        <v>31</v>
      </c>
      <c r="Q161" s="15" t="s">
        <v>32</v>
      </c>
      <c r="R161" s="10" t="s">
        <v>33</v>
      </c>
      <c r="S161" s="10" t="s">
        <v>607</v>
      </c>
      <c r="T161" s="15">
        <f>IF(O161="","",(1/Metadata!$B$5)^(O161-1))</f>
        <v>229.08676527677744</v>
      </c>
      <c r="U161" s="14">
        <f t="shared" si="2"/>
        <v>501587.36909110763</v>
      </c>
      <c r="V161" s="22" t="s">
        <v>433</v>
      </c>
      <c r="W161" s="21" t="s">
        <v>434</v>
      </c>
    </row>
    <row r="162" spans="1:23" ht="18" customHeight="1">
      <c r="A162" s="10" t="s">
        <v>23</v>
      </c>
      <c r="B162" s="10" t="s">
        <v>24</v>
      </c>
      <c r="C162" s="10" t="s">
        <v>25</v>
      </c>
      <c r="D162" s="13">
        <v>2019</v>
      </c>
      <c r="E162" s="10" t="s">
        <v>610</v>
      </c>
      <c r="F162" s="10" t="s">
        <v>611</v>
      </c>
      <c r="G162" s="10" t="s">
        <v>28</v>
      </c>
      <c r="H162" s="10" t="s">
        <v>47</v>
      </c>
      <c r="I162" s="14">
        <v>2179.5178163780001</v>
      </c>
      <c r="J162" s="14">
        <v>2179.5178163780001</v>
      </c>
      <c r="K162" s="14">
        <v>0</v>
      </c>
      <c r="L162" s="14">
        <v>1080.0043312206999</v>
      </c>
      <c r="M162" s="14">
        <v>1099.5134851573</v>
      </c>
      <c r="N162" s="10" t="s">
        <v>612</v>
      </c>
      <c r="O162" s="15">
        <v>2.2599999999999998</v>
      </c>
      <c r="P162" s="10" t="s">
        <v>31</v>
      </c>
      <c r="Q162" s="15" t="s">
        <v>32</v>
      </c>
      <c r="R162" s="10" t="s">
        <v>33</v>
      </c>
      <c r="S162" s="10" t="s">
        <v>610</v>
      </c>
      <c r="T162" s="15">
        <f>IF(O162="","",(1/Metadata!$B$5)^(O162-1))</f>
        <v>18.197008586099834</v>
      </c>
      <c r="U162" s="14">
        <f t="shared" si="2"/>
        <v>39660.704418188026</v>
      </c>
      <c r="V162" s="22" t="s">
        <v>66</v>
      </c>
      <c r="W162" s="21" t="s">
        <v>67</v>
      </c>
    </row>
    <row r="163" spans="1:23" ht="18" customHeight="1">
      <c r="A163" s="10" t="s">
        <v>23</v>
      </c>
      <c r="B163" s="10" t="s">
        <v>24</v>
      </c>
      <c r="C163" s="10" t="s">
        <v>25</v>
      </c>
      <c r="D163" s="13">
        <v>2019</v>
      </c>
      <c r="E163" s="10" t="s">
        <v>613</v>
      </c>
      <c r="F163" s="10" t="s">
        <v>104</v>
      </c>
      <c r="G163" s="10" t="s">
        <v>53</v>
      </c>
      <c r="H163" s="10" t="s">
        <v>104</v>
      </c>
      <c r="I163" s="14">
        <v>2163.1083468750999</v>
      </c>
      <c r="J163" s="14">
        <v>2150.7491225343001</v>
      </c>
      <c r="K163" s="14">
        <v>12.359224340800001</v>
      </c>
      <c r="L163" s="14">
        <v>2150.7491225343001</v>
      </c>
      <c r="M163" s="14">
        <v>12.359224340800001</v>
      </c>
      <c r="N163" s="10" t="s">
        <v>614</v>
      </c>
      <c r="O163" s="15">
        <v>3.18</v>
      </c>
      <c r="P163" s="10" t="s">
        <v>31</v>
      </c>
      <c r="Q163" s="15" t="s">
        <v>32</v>
      </c>
      <c r="R163" s="10" t="s">
        <v>33</v>
      </c>
      <c r="S163" s="10" t="s">
        <v>613</v>
      </c>
      <c r="T163" s="15">
        <f>IF(O163="","",(1/Metadata!$B$5)^(O163-1))</f>
        <v>151.3561248436209</v>
      </c>
      <c r="U163" s="14">
        <f t="shared" si="2"/>
        <v>327399.69699990604</v>
      </c>
      <c r="V163" s="22" t="s">
        <v>55</v>
      </c>
      <c r="W163" s="21" t="s">
        <v>56</v>
      </c>
    </row>
    <row r="164" spans="1:23" ht="18" customHeight="1">
      <c r="A164" s="10" t="s">
        <v>23</v>
      </c>
      <c r="B164" s="10" t="s">
        <v>24</v>
      </c>
      <c r="C164" s="10" t="s">
        <v>25</v>
      </c>
      <c r="D164" s="13">
        <v>2019</v>
      </c>
      <c r="E164" s="10" t="s">
        <v>615</v>
      </c>
      <c r="F164" s="10" t="s">
        <v>616</v>
      </c>
      <c r="G164" s="10" t="s">
        <v>53</v>
      </c>
      <c r="H164" s="10" t="s">
        <v>47</v>
      </c>
      <c r="I164" s="14">
        <v>2132.8165174186001</v>
      </c>
      <c r="J164" s="14">
        <v>2132.8165174186001</v>
      </c>
      <c r="K164" s="14">
        <v>0</v>
      </c>
      <c r="L164" s="14">
        <v>0</v>
      </c>
      <c r="M164" s="14">
        <v>2132.8165174186001</v>
      </c>
      <c r="N164" s="10" t="s">
        <v>617</v>
      </c>
      <c r="O164" s="15">
        <v>2.86</v>
      </c>
      <c r="P164" s="10" t="s">
        <v>31</v>
      </c>
      <c r="Q164" s="15" t="s">
        <v>32</v>
      </c>
      <c r="R164" s="10" t="s">
        <v>33</v>
      </c>
      <c r="S164" s="10" t="s">
        <v>615</v>
      </c>
      <c r="T164" s="15">
        <f>IF(O164="","",(1/Metadata!$B$5)^(O164-1))</f>
        <v>72.443596007499011</v>
      </c>
      <c r="U164" s="14">
        <f t="shared" si="2"/>
        <v>154508.89814599406</v>
      </c>
      <c r="V164" s="22" t="s">
        <v>66</v>
      </c>
      <c r="W164" s="21" t="s">
        <v>618</v>
      </c>
    </row>
    <row r="165" spans="1:23" ht="18" customHeight="1">
      <c r="A165" s="10" t="s">
        <v>23</v>
      </c>
      <c r="B165" s="10" t="s">
        <v>24</v>
      </c>
      <c r="C165" s="10" t="s">
        <v>25</v>
      </c>
      <c r="D165" s="13">
        <v>2019</v>
      </c>
      <c r="E165" s="10" t="s">
        <v>619</v>
      </c>
      <c r="F165" s="10" t="s">
        <v>620</v>
      </c>
      <c r="G165" s="10" t="s">
        <v>216</v>
      </c>
      <c r="H165" s="10" t="s">
        <v>47</v>
      </c>
      <c r="I165" s="14">
        <v>2132.2356502319999</v>
      </c>
      <c r="J165" s="14">
        <v>2132.2356502319999</v>
      </c>
      <c r="K165" s="14">
        <v>0</v>
      </c>
      <c r="L165" s="14">
        <v>2066.8770072020998</v>
      </c>
      <c r="M165" s="14">
        <v>65.358643029899994</v>
      </c>
      <c r="N165" s="10" t="s">
        <v>621</v>
      </c>
      <c r="O165" s="15">
        <v>2.11</v>
      </c>
      <c r="P165" s="10" t="s">
        <v>31</v>
      </c>
      <c r="Q165" s="15" t="s">
        <v>32</v>
      </c>
      <c r="R165" s="10" t="s">
        <v>33</v>
      </c>
      <c r="S165" s="10" t="s">
        <v>619</v>
      </c>
      <c r="T165" s="15">
        <f>IF(O165="","",(1/Metadata!$B$5)^(O165-1))</f>
        <v>12.882495516931341</v>
      </c>
      <c r="U165" s="14">
        <f t="shared" si="2"/>
        <v>27468.51620515492</v>
      </c>
      <c r="V165" s="22" t="s">
        <v>66</v>
      </c>
      <c r="W165" s="21" t="s">
        <v>67</v>
      </c>
    </row>
    <row r="166" spans="1:23" ht="18" customHeight="1">
      <c r="A166" s="10" t="s">
        <v>23</v>
      </c>
      <c r="B166" s="10" t="s">
        <v>24</v>
      </c>
      <c r="C166" s="10" t="s">
        <v>25</v>
      </c>
      <c r="D166" s="13">
        <v>2019</v>
      </c>
      <c r="E166" s="10" t="s">
        <v>622</v>
      </c>
      <c r="F166" s="10" t="s">
        <v>623</v>
      </c>
      <c r="G166" s="10" t="s">
        <v>234</v>
      </c>
      <c r="H166" s="10" t="s">
        <v>29</v>
      </c>
      <c r="I166" s="14">
        <v>2078.9516299581001</v>
      </c>
      <c r="J166" s="14">
        <v>2078.9516299581001</v>
      </c>
      <c r="K166" s="14">
        <v>0</v>
      </c>
      <c r="L166" s="14">
        <v>1969.7356946616001</v>
      </c>
      <c r="M166" s="14">
        <v>109.21593529650001</v>
      </c>
      <c r="N166" s="10" t="s">
        <v>624</v>
      </c>
      <c r="O166" s="15">
        <v>2</v>
      </c>
      <c r="P166" s="10" t="s">
        <v>31</v>
      </c>
      <c r="Q166" s="15" t="s">
        <v>32</v>
      </c>
      <c r="R166" s="10" t="s">
        <v>33</v>
      </c>
      <c r="S166" s="10" t="s">
        <v>622</v>
      </c>
      <c r="T166" s="15">
        <f>IF(O166="","",(1/Metadata!$B$5)^(O166-1))</f>
        <v>10</v>
      </c>
      <c r="U166" s="14">
        <f t="shared" si="2"/>
        <v>20789.516299581002</v>
      </c>
      <c r="V166" s="22" t="s">
        <v>237</v>
      </c>
      <c r="W166" s="21" t="s">
        <v>238</v>
      </c>
    </row>
    <row r="167" spans="1:23" ht="18" customHeight="1">
      <c r="A167" s="10" t="s">
        <v>23</v>
      </c>
      <c r="B167" s="10" t="s">
        <v>24</v>
      </c>
      <c r="C167" s="10" t="s">
        <v>25</v>
      </c>
      <c r="D167" s="13">
        <v>2019</v>
      </c>
      <c r="E167" s="10" t="s">
        <v>625</v>
      </c>
      <c r="F167" s="10" t="s">
        <v>626</v>
      </c>
      <c r="G167" s="10" t="s">
        <v>88</v>
      </c>
      <c r="H167" s="10" t="s">
        <v>89</v>
      </c>
      <c r="I167" s="14">
        <v>1941.885077762</v>
      </c>
      <c r="J167" s="14">
        <v>1941.885077762</v>
      </c>
      <c r="K167" s="14">
        <v>0</v>
      </c>
      <c r="L167" s="14">
        <v>0</v>
      </c>
      <c r="M167" s="14">
        <v>1941.885077762</v>
      </c>
      <c r="N167" s="10" t="s">
        <v>627</v>
      </c>
      <c r="O167" s="15">
        <v>3.01</v>
      </c>
      <c r="P167" s="10" t="s">
        <v>31</v>
      </c>
      <c r="Q167" s="15" t="s">
        <v>32</v>
      </c>
      <c r="R167" s="10" t="s">
        <v>33</v>
      </c>
      <c r="S167" s="10" t="s">
        <v>625</v>
      </c>
      <c r="T167" s="15">
        <f>IF(O167="","",(1/Metadata!$B$5)^(O167-1))</f>
        <v>102.32929922807544</v>
      </c>
      <c r="U167" s="14">
        <f t="shared" si="2"/>
        <v>198711.73918884224</v>
      </c>
      <c r="V167" s="22" t="s">
        <v>91</v>
      </c>
      <c r="W167" s="21" t="s">
        <v>628</v>
      </c>
    </row>
    <row r="168" spans="1:23" ht="18" customHeight="1">
      <c r="A168" s="10" t="s">
        <v>23</v>
      </c>
      <c r="B168" s="10" t="s">
        <v>24</v>
      </c>
      <c r="C168" s="10" t="s">
        <v>25</v>
      </c>
      <c r="D168" s="13">
        <v>2019</v>
      </c>
      <c r="E168" s="10" t="s">
        <v>629</v>
      </c>
      <c r="F168" s="10" t="s">
        <v>630</v>
      </c>
      <c r="G168" s="10" t="s">
        <v>216</v>
      </c>
      <c r="H168" s="10" t="s">
        <v>47</v>
      </c>
      <c r="I168" s="14">
        <v>1915.8470518692</v>
      </c>
      <c r="J168" s="14">
        <v>1508.0164708503</v>
      </c>
      <c r="K168" s="14">
        <v>407.83058101889998</v>
      </c>
      <c r="L168" s="14">
        <v>1429.5781102548999</v>
      </c>
      <c r="M168" s="14">
        <v>486.26894161429999</v>
      </c>
      <c r="N168" s="10" t="s">
        <v>631</v>
      </c>
      <c r="O168" s="15">
        <v>3.4</v>
      </c>
      <c r="P168" s="10" t="s">
        <v>41</v>
      </c>
      <c r="Q168" s="15" t="s">
        <v>42</v>
      </c>
      <c r="R168" s="10" t="s">
        <v>33</v>
      </c>
      <c r="S168" s="10" t="s">
        <v>629</v>
      </c>
      <c r="T168" s="15">
        <f>IF(O168="","",(1/Metadata!$B$5)^(O168-1))</f>
        <v>251.18864315095806</v>
      </c>
      <c r="U168" s="14">
        <f t="shared" si="2"/>
        <v>481239.0214437875</v>
      </c>
      <c r="V168" s="22" t="s">
        <v>66</v>
      </c>
      <c r="W168" s="21" t="s">
        <v>632</v>
      </c>
    </row>
    <row r="169" spans="1:23" ht="18" customHeight="1">
      <c r="A169" s="10" t="s">
        <v>23</v>
      </c>
      <c r="B169" s="10" t="s">
        <v>24</v>
      </c>
      <c r="C169" s="10" t="s">
        <v>25</v>
      </c>
      <c r="D169" s="13">
        <v>2019</v>
      </c>
      <c r="E169" s="10" t="s">
        <v>633</v>
      </c>
      <c r="F169" s="10" t="s">
        <v>634</v>
      </c>
      <c r="G169" s="10" t="s">
        <v>81</v>
      </c>
      <c r="H169" s="10" t="s">
        <v>47</v>
      </c>
      <c r="I169" s="14">
        <v>1840.2659137953001</v>
      </c>
      <c r="J169" s="14">
        <v>0</v>
      </c>
      <c r="K169" s="14">
        <v>1840.2659137953001</v>
      </c>
      <c r="L169" s="14">
        <v>0</v>
      </c>
      <c r="M169" s="14">
        <v>1840.2659137953001</v>
      </c>
      <c r="N169" s="10" t="s">
        <v>635</v>
      </c>
      <c r="O169" s="15">
        <v>3.31</v>
      </c>
      <c r="P169" s="10" t="s">
        <v>31</v>
      </c>
      <c r="Q169" s="15" t="s">
        <v>32</v>
      </c>
      <c r="R169" s="10" t="s">
        <v>33</v>
      </c>
      <c r="S169" s="10" t="s">
        <v>633</v>
      </c>
      <c r="T169" s="15">
        <f>IF(O169="","",(1/Metadata!$B$5)^(O169-1))</f>
        <v>204.17379446695315</v>
      </c>
      <c r="U169" s="14">
        <f t="shared" si="2"/>
        <v>375734.07444778131</v>
      </c>
      <c r="V169" s="22" t="s">
        <v>66</v>
      </c>
      <c r="W169" s="21" t="s">
        <v>67</v>
      </c>
    </row>
    <row r="170" spans="1:23" ht="18" customHeight="1">
      <c r="A170" s="10" t="s">
        <v>23</v>
      </c>
      <c r="B170" s="10" t="s">
        <v>24</v>
      </c>
      <c r="C170" s="10" t="s">
        <v>25</v>
      </c>
      <c r="D170" s="13">
        <v>2019</v>
      </c>
      <c r="E170" s="10" t="s">
        <v>636</v>
      </c>
      <c r="F170" s="10" t="s">
        <v>637</v>
      </c>
      <c r="G170" s="10" t="s">
        <v>136</v>
      </c>
      <c r="H170" s="10" t="s">
        <v>137</v>
      </c>
      <c r="I170" s="14">
        <v>1762.7924511437</v>
      </c>
      <c r="J170" s="14">
        <v>1762.7924511437</v>
      </c>
      <c r="K170" s="14">
        <v>0</v>
      </c>
      <c r="L170" s="14">
        <v>1762.7924511437</v>
      </c>
      <c r="M170" s="14">
        <v>0</v>
      </c>
      <c r="N170" s="10" t="s">
        <v>638</v>
      </c>
      <c r="O170" s="15">
        <v>4.5</v>
      </c>
      <c r="P170" s="10" t="s">
        <v>31</v>
      </c>
      <c r="Q170" s="15" t="s">
        <v>32</v>
      </c>
      <c r="R170" s="10" t="s">
        <v>33</v>
      </c>
      <c r="S170" s="10" t="s">
        <v>636</v>
      </c>
      <c r="T170" s="15">
        <f>IF(O170="","",(1/Metadata!$B$5)^(O170-1))</f>
        <v>3162.2776601683804</v>
      </c>
      <c r="U170" s="14">
        <f t="shared" si="2"/>
        <v>5574439.1877651839</v>
      </c>
      <c r="V170" s="22" t="s">
        <v>447</v>
      </c>
      <c r="W170" s="21" t="s">
        <v>448</v>
      </c>
    </row>
    <row r="171" spans="1:23" ht="18" customHeight="1">
      <c r="A171" s="10" t="s">
        <v>23</v>
      </c>
      <c r="B171" s="10" t="s">
        <v>24</v>
      </c>
      <c r="C171" s="10" t="s">
        <v>25</v>
      </c>
      <c r="D171" s="13">
        <v>2019</v>
      </c>
      <c r="E171" s="10" t="s">
        <v>639</v>
      </c>
      <c r="F171" s="10" t="s">
        <v>640</v>
      </c>
      <c r="G171" s="10" t="s">
        <v>157</v>
      </c>
      <c r="H171" s="10" t="s">
        <v>47</v>
      </c>
      <c r="I171" s="14">
        <v>1740.4533589231</v>
      </c>
      <c r="J171" s="14">
        <v>1740.4533589231</v>
      </c>
      <c r="K171" s="14">
        <v>0</v>
      </c>
      <c r="L171" s="14">
        <v>1685.8441557302001</v>
      </c>
      <c r="M171" s="14">
        <v>54.609203192899997</v>
      </c>
      <c r="N171" s="10" t="s">
        <v>641</v>
      </c>
      <c r="O171" s="15">
        <v>4.2699999999999996</v>
      </c>
      <c r="P171" s="10" t="s">
        <v>41</v>
      </c>
      <c r="Q171" s="15" t="s">
        <v>42</v>
      </c>
      <c r="R171" s="10" t="s">
        <v>33</v>
      </c>
      <c r="S171" s="10" t="s">
        <v>639</v>
      </c>
      <c r="T171" s="15">
        <f>IF(O171="","",(1/Metadata!$B$5)^(O171-1))</f>
        <v>1862.0871366628671</v>
      </c>
      <c r="U171" s="14">
        <f t="shared" si="2"/>
        <v>3240875.8116123849</v>
      </c>
      <c r="V171" s="22" t="s">
        <v>60</v>
      </c>
      <c r="W171" s="21" t="s">
        <v>61</v>
      </c>
    </row>
    <row r="172" spans="1:23" ht="18" customHeight="1">
      <c r="A172" s="10" t="s">
        <v>23</v>
      </c>
      <c r="B172" s="10" t="s">
        <v>24</v>
      </c>
      <c r="C172" s="10" t="s">
        <v>25</v>
      </c>
      <c r="D172" s="13">
        <v>2019</v>
      </c>
      <c r="E172" s="10" t="s">
        <v>642</v>
      </c>
      <c r="F172" s="10" t="s">
        <v>643</v>
      </c>
      <c r="G172" s="10" t="s">
        <v>88</v>
      </c>
      <c r="H172" s="10" t="s">
        <v>89</v>
      </c>
      <c r="I172" s="14">
        <v>1697.1209470063</v>
      </c>
      <c r="J172" s="14">
        <v>1697.1209470063</v>
      </c>
      <c r="K172" s="14">
        <v>0</v>
      </c>
      <c r="L172" s="14">
        <v>1051.1663218816</v>
      </c>
      <c r="M172" s="14">
        <v>645.95462512469999</v>
      </c>
      <c r="N172" s="10" t="s">
        <v>644</v>
      </c>
      <c r="O172" s="15">
        <v>3</v>
      </c>
      <c r="P172" s="10" t="s">
        <v>31</v>
      </c>
      <c r="Q172" s="15" t="s">
        <v>32</v>
      </c>
      <c r="R172" s="10" t="s">
        <v>33</v>
      </c>
      <c r="S172" s="10" t="s">
        <v>642</v>
      </c>
      <c r="T172" s="15">
        <f>IF(O172="","",(1/Metadata!$B$5)^(O172-1))</f>
        <v>100</v>
      </c>
      <c r="U172" s="14">
        <f t="shared" si="2"/>
        <v>169712.09470063</v>
      </c>
      <c r="V172" s="22" t="s">
        <v>91</v>
      </c>
      <c r="W172" s="21" t="s">
        <v>645</v>
      </c>
    </row>
    <row r="173" spans="1:23" ht="18" customHeight="1">
      <c r="A173" s="10" t="s">
        <v>23</v>
      </c>
      <c r="B173" s="10" t="s">
        <v>24</v>
      </c>
      <c r="C173" s="10" t="s">
        <v>25</v>
      </c>
      <c r="D173" s="13">
        <v>2019</v>
      </c>
      <c r="E173" s="10" t="s">
        <v>646</v>
      </c>
      <c r="F173" s="10" t="s">
        <v>647</v>
      </c>
      <c r="G173" s="10" t="s">
        <v>28</v>
      </c>
      <c r="H173" s="10" t="s">
        <v>47</v>
      </c>
      <c r="I173" s="14">
        <v>1632.0148838864</v>
      </c>
      <c r="J173" s="14">
        <v>1632.0148838864</v>
      </c>
      <c r="K173" s="14">
        <v>0</v>
      </c>
      <c r="L173" s="14">
        <v>1009.9811719074</v>
      </c>
      <c r="M173" s="14">
        <v>622.03371197900003</v>
      </c>
      <c r="N173" s="10" t="s">
        <v>648</v>
      </c>
      <c r="O173" s="15">
        <v>3.91</v>
      </c>
      <c r="P173" s="10" t="s">
        <v>31</v>
      </c>
      <c r="Q173" s="15" t="s">
        <v>32</v>
      </c>
      <c r="R173" s="10" t="s">
        <v>33</v>
      </c>
      <c r="S173" s="10" t="s">
        <v>646</v>
      </c>
      <c r="T173" s="15">
        <f>IF(O173="","",(1/Metadata!$B$5)^(O173-1))</f>
        <v>812.83051616409978</v>
      </c>
      <c r="U173" s="14">
        <f t="shared" si="2"/>
        <v>1326551.5004568759</v>
      </c>
      <c r="V173" s="22" t="s">
        <v>74</v>
      </c>
      <c r="W173" s="21" t="s">
        <v>75</v>
      </c>
    </row>
    <row r="174" spans="1:23" ht="18" customHeight="1">
      <c r="A174" s="10" t="s">
        <v>23</v>
      </c>
      <c r="B174" s="10" t="s">
        <v>24</v>
      </c>
      <c r="C174" s="10" t="s">
        <v>25</v>
      </c>
      <c r="D174" s="13">
        <v>2019</v>
      </c>
      <c r="E174" s="10" t="s">
        <v>649</v>
      </c>
      <c r="F174" s="10" t="s">
        <v>650</v>
      </c>
      <c r="G174" s="10" t="s">
        <v>490</v>
      </c>
      <c r="H174" s="10" t="s">
        <v>47</v>
      </c>
      <c r="I174" s="14">
        <v>1593.9925253885999</v>
      </c>
      <c r="J174" s="14">
        <v>1593.9925253885999</v>
      </c>
      <c r="K174" s="14">
        <v>0</v>
      </c>
      <c r="L174" s="14">
        <v>109.9313396213</v>
      </c>
      <c r="M174" s="14">
        <v>1484.0611857673</v>
      </c>
      <c r="N174" s="10" t="s">
        <v>651</v>
      </c>
      <c r="O174" s="15">
        <v>4.5</v>
      </c>
      <c r="P174" s="10" t="s">
        <v>41</v>
      </c>
      <c r="Q174" s="15" t="s">
        <v>42</v>
      </c>
      <c r="R174" s="10" t="s">
        <v>33</v>
      </c>
      <c r="S174" s="10" t="s">
        <v>649</v>
      </c>
      <c r="T174" s="15">
        <f>IF(O174="","",(1/Metadata!$B$5)^(O174-1))</f>
        <v>3162.2776601683804</v>
      </c>
      <c r="U174" s="14">
        <f t="shared" si="2"/>
        <v>5040646.9535117494</v>
      </c>
      <c r="V174" s="22" t="s">
        <v>60</v>
      </c>
      <c r="W174" s="21" t="s">
        <v>61</v>
      </c>
    </row>
    <row r="175" spans="1:23" ht="18" customHeight="1">
      <c r="A175" s="10" t="s">
        <v>23</v>
      </c>
      <c r="B175" s="10" t="s">
        <v>24</v>
      </c>
      <c r="C175" s="10" t="s">
        <v>25</v>
      </c>
      <c r="D175" s="13">
        <v>2019</v>
      </c>
      <c r="E175" s="10" t="s">
        <v>652</v>
      </c>
      <c r="F175" s="10" t="s">
        <v>653</v>
      </c>
      <c r="G175" s="10" t="s">
        <v>261</v>
      </c>
      <c r="H175" s="10" t="s">
        <v>47</v>
      </c>
      <c r="I175" s="14">
        <v>1516.8910204435999</v>
      </c>
      <c r="J175" s="14">
        <v>1516.8910204435999</v>
      </c>
      <c r="K175" s="14">
        <v>0</v>
      </c>
      <c r="L175" s="14">
        <v>0</v>
      </c>
      <c r="M175" s="14">
        <v>1516.8910204435999</v>
      </c>
      <c r="N175" s="10" t="s">
        <v>654</v>
      </c>
      <c r="O175" s="15">
        <v>2.2799999999999998</v>
      </c>
      <c r="P175" s="10" t="s">
        <v>31</v>
      </c>
      <c r="Q175" s="15" t="s">
        <v>32</v>
      </c>
      <c r="R175" s="10" t="s">
        <v>33</v>
      </c>
      <c r="S175" s="10" t="s">
        <v>652</v>
      </c>
      <c r="T175" s="15">
        <f>IF(O175="","",(1/Metadata!$B$5)^(O175-1))</f>
        <v>19.054607179632466</v>
      </c>
      <c r="U175" s="14">
        <f t="shared" si="2"/>
        <v>28903.762528864638</v>
      </c>
      <c r="V175" s="22" t="s">
        <v>66</v>
      </c>
      <c r="W175" s="21" t="s">
        <v>67</v>
      </c>
    </row>
    <row r="176" spans="1:23" ht="18" customHeight="1">
      <c r="A176" s="10" t="s">
        <v>23</v>
      </c>
      <c r="B176" s="10" t="s">
        <v>24</v>
      </c>
      <c r="C176" s="10" t="s">
        <v>25</v>
      </c>
      <c r="D176" s="13">
        <v>2019</v>
      </c>
      <c r="E176" s="10" t="s">
        <v>655</v>
      </c>
      <c r="F176" s="10" t="s">
        <v>656</v>
      </c>
      <c r="G176" s="10" t="s">
        <v>28</v>
      </c>
      <c r="H176" s="10" t="s">
        <v>47</v>
      </c>
      <c r="I176" s="14">
        <v>1407.2938373367999</v>
      </c>
      <c r="J176" s="14">
        <v>1407.2938373367999</v>
      </c>
      <c r="K176" s="14">
        <v>0</v>
      </c>
      <c r="L176" s="14">
        <v>0</v>
      </c>
      <c r="M176" s="14">
        <v>1407.2938373367999</v>
      </c>
      <c r="N176" s="10" t="s">
        <v>657</v>
      </c>
      <c r="O176" s="15">
        <v>3.76</v>
      </c>
      <c r="P176" s="10" t="s">
        <v>41</v>
      </c>
      <c r="Q176" s="15" t="s">
        <v>42</v>
      </c>
      <c r="R176" s="10" t="s">
        <v>33</v>
      </c>
      <c r="S176" s="10" t="s">
        <v>655</v>
      </c>
      <c r="T176" s="15">
        <f>IF(O176="","",(1/Metadata!$B$5)^(O176-1))</f>
        <v>575.43993733715706</v>
      </c>
      <c r="U176" s="14">
        <f t="shared" si="2"/>
        <v>809813.07757205539</v>
      </c>
      <c r="V176" s="22" t="s">
        <v>74</v>
      </c>
      <c r="W176" s="21" t="s">
        <v>75</v>
      </c>
    </row>
    <row r="177" spans="1:23" ht="18" customHeight="1">
      <c r="A177" s="10" t="s">
        <v>23</v>
      </c>
      <c r="B177" s="10" t="s">
        <v>24</v>
      </c>
      <c r="C177" s="10" t="s">
        <v>25</v>
      </c>
      <c r="D177" s="13">
        <v>2019</v>
      </c>
      <c r="E177" s="10" t="s">
        <v>658</v>
      </c>
      <c r="F177" s="10" t="s">
        <v>659</v>
      </c>
      <c r="G177" s="10" t="s">
        <v>490</v>
      </c>
      <c r="H177" s="10" t="s">
        <v>47</v>
      </c>
      <c r="I177" s="14">
        <v>1406.4931678503999</v>
      </c>
      <c r="J177" s="14">
        <v>1406.4931678503999</v>
      </c>
      <c r="K177" s="14">
        <v>0</v>
      </c>
      <c r="L177" s="14">
        <v>0</v>
      </c>
      <c r="M177" s="14">
        <v>1406.4931678503999</v>
      </c>
      <c r="N177" s="10" t="s">
        <v>660</v>
      </c>
      <c r="O177" s="15">
        <v>4.22</v>
      </c>
      <c r="P177" s="10" t="s">
        <v>41</v>
      </c>
      <c r="Q177" s="15" t="s">
        <v>42</v>
      </c>
      <c r="R177" s="10" t="s">
        <v>33</v>
      </c>
      <c r="S177" s="10" t="s">
        <v>658</v>
      </c>
      <c r="T177" s="15">
        <f>IF(O177="","",(1/Metadata!$B$5)^(O177-1))</f>
        <v>1659.5869074375612</v>
      </c>
      <c r="U177" s="14">
        <f t="shared" si="2"/>
        <v>2334197.6467649038</v>
      </c>
      <c r="V177" s="22" t="s">
        <v>60</v>
      </c>
      <c r="W177" s="21" t="s">
        <v>61</v>
      </c>
    </row>
    <row r="178" spans="1:23" ht="18" customHeight="1">
      <c r="A178" s="10" t="s">
        <v>23</v>
      </c>
      <c r="B178" s="10" t="s">
        <v>24</v>
      </c>
      <c r="C178" s="10" t="s">
        <v>25</v>
      </c>
      <c r="D178" s="13">
        <v>2019</v>
      </c>
      <c r="E178" s="10" t="s">
        <v>661</v>
      </c>
      <c r="F178" s="10" t="s">
        <v>662</v>
      </c>
      <c r="G178" s="10" t="s">
        <v>490</v>
      </c>
      <c r="H178" s="10" t="s">
        <v>47</v>
      </c>
      <c r="I178" s="14">
        <v>1404.2326551690001</v>
      </c>
      <c r="J178" s="14">
        <v>1404.2326551690001</v>
      </c>
      <c r="K178" s="14">
        <v>0</v>
      </c>
      <c r="L178" s="14">
        <v>0</v>
      </c>
      <c r="M178" s="14">
        <v>1404.2326551690001</v>
      </c>
      <c r="N178" s="10" t="s">
        <v>663</v>
      </c>
      <c r="O178" s="15">
        <v>4.49</v>
      </c>
      <c r="P178" s="10" t="s">
        <v>41</v>
      </c>
      <c r="Q178" s="15" t="s">
        <v>42</v>
      </c>
      <c r="R178" s="10" t="s">
        <v>33</v>
      </c>
      <c r="S178" s="10" t="s">
        <v>661</v>
      </c>
      <c r="T178" s="15">
        <f>IF(O178="","",(1/Metadata!$B$5)^(O178-1))</f>
        <v>3090.295432513592</v>
      </c>
      <c r="U178" s="14">
        <f t="shared" si="2"/>
        <v>4339493.7604551949</v>
      </c>
      <c r="V178" s="22" t="s">
        <v>60</v>
      </c>
      <c r="W178" s="21" t="s">
        <v>61</v>
      </c>
    </row>
    <row r="179" spans="1:23" ht="18" customHeight="1">
      <c r="A179" s="10" t="s">
        <v>23</v>
      </c>
      <c r="B179" s="10" t="s">
        <v>24</v>
      </c>
      <c r="C179" s="10" t="s">
        <v>25</v>
      </c>
      <c r="D179" s="13">
        <v>2019</v>
      </c>
      <c r="E179" s="10" t="s">
        <v>664</v>
      </c>
      <c r="F179" s="10" t="s">
        <v>665</v>
      </c>
      <c r="G179" s="10" t="s">
        <v>234</v>
      </c>
      <c r="H179" s="10" t="s">
        <v>235</v>
      </c>
      <c r="I179" s="14">
        <v>1397.4310064648</v>
      </c>
      <c r="J179" s="14">
        <v>1297.8153231507999</v>
      </c>
      <c r="K179" s="14">
        <v>99.615683313999995</v>
      </c>
      <c r="L179" s="14">
        <v>1297.8153231507999</v>
      </c>
      <c r="M179" s="14">
        <v>99.615683313999995</v>
      </c>
      <c r="N179" s="10" t="s">
        <v>666</v>
      </c>
      <c r="O179" s="15">
        <v>3.06</v>
      </c>
      <c r="P179" s="10" t="s">
        <v>31</v>
      </c>
      <c r="Q179" s="15" t="s">
        <v>32</v>
      </c>
      <c r="R179" s="10" t="s">
        <v>33</v>
      </c>
      <c r="S179" s="10" t="s">
        <v>664</v>
      </c>
      <c r="T179" s="15">
        <f>IF(O179="","",(1/Metadata!$B$5)^(O179-1))</f>
        <v>114.81536214968835</v>
      </c>
      <c r="U179" s="14">
        <f t="shared" si="2"/>
        <v>160446.5470864595</v>
      </c>
      <c r="V179" s="22" t="s">
        <v>237</v>
      </c>
      <c r="W179" s="21" t="s">
        <v>238</v>
      </c>
    </row>
    <row r="180" spans="1:23" ht="18" customHeight="1">
      <c r="A180" s="10" t="s">
        <v>23</v>
      </c>
      <c r="B180" s="10" t="s">
        <v>24</v>
      </c>
      <c r="C180" s="10" t="s">
        <v>25</v>
      </c>
      <c r="D180" s="13">
        <v>2019</v>
      </c>
      <c r="E180" s="10" t="s">
        <v>667</v>
      </c>
      <c r="F180" s="10" t="s">
        <v>668</v>
      </c>
      <c r="G180" s="10" t="s">
        <v>490</v>
      </c>
      <c r="H180" s="10" t="s">
        <v>340</v>
      </c>
      <c r="I180" s="14">
        <v>1369.3376133371</v>
      </c>
      <c r="J180" s="14">
        <v>1323.4987731854001</v>
      </c>
      <c r="K180" s="14">
        <v>45.838840151699998</v>
      </c>
      <c r="L180" s="14">
        <v>1323.4987731854001</v>
      </c>
      <c r="M180" s="14">
        <v>45.838840151699998</v>
      </c>
      <c r="N180" s="10" t="s">
        <v>669</v>
      </c>
      <c r="O180" s="15">
        <v>3.92</v>
      </c>
      <c r="P180" s="10" t="s">
        <v>31</v>
      </c>
      <c r="Q180" s="15" t="s">
        <v>32</v>
      </c>
      <c r="R180" s="10" t="s">
        <v>33</v>
      </c>
      <c r="S180" s="10" t="s">
        <v>667</v>
      </c>
      <c r="T180" s="15">
        <f>IF(O180="","",(1/Metadata!$B$5)^(O180-1))</f>
        <v>831.7637711026714</v>
      </c>
      <c r="U180" s="14">
        <f t="shared" si="2"/>
        <v>1138965.417181998</v>
      </c>
      <c r="V180" s="22" t="s">
        <v>100</v>
      </c>
      <c r="W180" s="21" t="s">
        <v>670</v>
      </c>
    </row>
    <row r="181" spans="1:23" ht="18" customHeight="1">
      <c r="A181" s="10" t="s">
        <v>23</v>
      </c>
      <c r="B181" s="10" t="s">
        <v>24</v>
      </c>
      <c r="C181" s="10" t="s">
        <v>25</v>
      </c>
      <c r="D181" s="13">
        <v>2019</v>
      </c>
      <c r="E181" s="10" t="s">
        <v>671</v>
      </c>
      <c r="F181" s="10" t="s">
        <v>672</v>
      </c>
      <c r="G181" s="10" t="s">
        <v>38</v>
      </c>
      <c r="H181" s="10" t="s">
        <v>47</v>
      </c>
      <c r="I181" s="14">
        <v>1364.5380149171999</v>
      </c>
      <c r="J181" s="14">
        <v>1364.5380149171999</v>
      </c>
      <c r="K181" s="14">
        <v>0</v>
      </c>
      <c r="L181" s="14">
        <v>787.95990208329999</v>
      </c>
      <c r="M181" s="14">
        <v>576.57811283390004</v>
      </c>
      <c r="N181" s="10" t="s">
        <v>673</v>
      </c>
      <c r="O181" s="15">
        <v>4.47</v>
      </c>
      <c r="P181" s="10" t="s">
        <v>31</v>
      </c>
      <c r="Q181" s="15" t="s">
        <v>32</v>
      </c>
      <c r="R181" s="10" t="s">
        <v>33</v>
      </c>
      <c r="S181" s="10" t="s">
        <v>671</v>
      </c>
      <c r="T181" s="15">
        <f>IF(O181="","",(1/Metadata!$B$5)^(O181-1))</f>
        <v>2951.2092266663876</v>
      </c>
      <c r="U181" s="14">
        <f t="shared" si="2"/>
        <v>4027037.1797606773</v>
      </c>
      <c r="V181" s="22" t="s">
        <v>60</v>
      </c>
      <c r="W181" s="21" t="s">
        <v>61</v>
      </c>
    </row>
    <row r="182" spans="1:23" ht="18" customHeight="1">
      <c r="A182" s="10" t="s">
        <v>23</v>
      </c>
      <c r="B182" s="10" t="s">
        <v>24</v>
      </c>
      <c r="C182" s="10" t="s">
        <v>25</v>
      </c>
      <c r="D182" s="13">
        <v>2019</v>
      </c>
      <c r="E182" s="10" t="s">
        <v>674</v>
      </c>
      <c r="F182" s="10" t="s">
        <v>675</v>
      </c>
      <c r="G182" s="10" t="s">
        <v>216</v>
      </c>
      <c r="H182" s="10" t="s">
        <v>47</v>
      </c>
      <c r="I182" s="14">
        <v>1356.4634206692001</v>
      </c>
      <c r="J182" s="14">
        <v>1356.4634206692001</v>
      </c>
      <c r="K182" s="14">
        <v>0</v>
      </c>
      <c r="L182" s="14">
        <v>617.27457132920006</v>
      </c>
      <c r="M182" s="14">
        <v>739.18884934000005</v>
      </c>
      <c r="N182" s="10" t="s">
        <v>676</v>
      </c>
      <c r="O182" s="15">
        <v>4.2</v>
      </c>
      <c r="P182" s="10" t="s">
        <v>41</v>
      </c>
      <c r="Q182" s="15" t="s">
        <v>42</v>
      </c>
      <c r="R182" s="10" t="s">
        <v>33</v>
      </c>
      <c r="S182" s="10" t="s">
        <v>674</v>
      </c>
      <c r="T182" s="15">
        <f>IF(O182="","",(1/Metadata!$B$5)^(O182-1))</f>
        <v>1584.8931924611156</v>
      </c>
      <c r="U182" s="14">
        <f t="shared" si="2"/>
        <v>2149849.6412411337</v>
      </c>
      <c r="V182" s="22" t="s">
        <v>74</v>
      </c>
      <c r="W182" s="21" t="s">
        <v>75</v>
      </c>
    </row>
    <row r="183" spans="1:23" ht="18" customHeight="1">
      <c r="A183" s="10" t="s">
        <v>23</v>
      </c>
      <c r="B183" s="10" t="s">
        <v>24</v>
      </c>
      <c r="C183" s="10" t="s">
        <v>25</v>
      </c>
      <c r="D183" s="13">
        <v>2019</v>
      </c>
      <c r="E183" s="10" t="s">
        <v>677</v>
      </c>
      <c r="F183" s="10" t="s">
        <v>678</v>
      </c>
      <c r="G183" s="10" t="s">
        <v>88</v>
      </c>
      <c r="H183" s="10" t="s">
        <v>89</v>
      </c>
      <c r="I183" s="14">
        <v>1254.3298854179</v>
      </c>
      <c r="J183" s="14">
        <v>1254.3298854179</v>
      </c>
      <c r="K183" s="14">
        <v>0</v>
      </c>
      <c r="L183" s="14">
        <v>658.70907305859998</v>
      </c>
      <c r="M183" s="14">
        <v>595.62081235929998</v>
      </c>
      <c r="N183" s="10" t="s">
        <v>679</v>
      </c>
      <c r="O183" s="15">
        <v>2.71</v>
      </c>
      <c r="P183" s="10" t="s">
        <v>31</v>
      </c>
      <c r="Q183" s="15" t="s">
        <v>32</v>
      </c>
      <c r="R183" s="10" t="s">
        <v>33</v>
      </c>
      <c r="S183" s="10" t="s">
        <v>677</v>
      </c>
      <c r="T183" s="15">
        <f>IF(O183="","",(1/Metadata!$B$5)^(O183-1))</f>
        <v>51.28613839913649</v>
      </c>
      <c r="U183" s="14">
        <f t="shared" si="2"/>
        <v>64329.736101715433</v>
      </c>
      <c r="V183" s="22" t="s">
        <v>91</v>
      </c>
      <c r="W183" s="21" t="s">
        <v>680</v>
      </c>
    </row>
    <row r="184" spans="1:23" ht="18" customHeight="1">
      <c r="A184" s="10" t="s">
        <v>23</v>
      </c>
      <c r="B184" s="10" t="s">
        <v>24</v>
      </c>
      <c r="C184" s="10" t="s">
        <v>25</v>
      </c>
      <c r="D184" s="13">
        <v>2019</v>
      </c>
      <c r="E184" s="10" t="s">
        <v>681</v>
      </c>
      <c r="F184" s="10" t="s">
        <v>682</v>
      </c>
      <c r="G184" s="10" t="s">
        <v>149</v>
      </c>
      <c r="H184" s="10" t="s">
        <v>29</v>
      </c>
      <c r="I184" s="14">
        <v>1253.9520300204999</v>
      </c>
      <c r="J184" s="14">
        <v>1253.9520300204999</v>
      </c>
      <c r="K184" s="14">
        <v>0</v>
      </c>
      <c r="L184" s="14">
        <v>722.30552175390005</v>
      </c>
      <c r="M184" s="14">
        <v>531.64650826659999</v>
      </c>
      <c r="N184" s="10" t="s">
        <v>683</v>
      </c>
      <c r="O184" s="15">
        <v>3.98</v>
      </c>
      <c r="P184" s="10" t="s">
        <v>41</v>
      </c>
      <c r="Q184" s="15" t="s">
        <v>42</v>
      </c>
      <c r="R184" s="10" t="s">
        <v>33</v>
      </c>
      <c r="S184" s="10" t="s">
        <v>681</v>
      </c>
      <c r="T184" s="15">
        <f>IF(O184="","",(1/Metadata!$B$5)^(O184-1))</f>
        <v>954.99258602143675</v>
      </c>
      <c r="U184" s="14">
        <f t="shared" si="2"/>
        <v>1197514.8918961075</v>
      </c>
      <c r="V184" s="22" t="s">
        <v>149</v>
      </c>
      <c r="W184" s="21" t="s">
        <v>151</v>
      </c>
    </row>
    <row r="185" spans="1:23" ht="18" customHeight="1">
      <c r="A185" s="10" t="s">
        <v>23</v>
      </c>
      <c r="B185" s="10" t="s">
        <v>24</v>
      </c>
      <c r="C185" s="10" t="s">
        <v>25</v>
      </c>
      <c r="D185" s="13">
        <v>2019</v>
      </c>
      <c r="E185" s="10" t="s">
        <v>684</v>
      </c>
      <c r="F185" s="10" t="s">
        <v>685</v>
      </c>
      <c r="G185" s="10" t="s">
        <v>88</v>
      </c>
      <c r="H185" s="10" t="s">
        <v>89</v>
      </c>
      <c r="I185" s="14">
        <v>1245.2763255322</v>
      </c>
      <c r="J185" s="14">
        <v>1245.2763255322</v>
      </c>
      <c r="K185" s="14">
        <v>0</v>
      </c>
      <c r="L185" s="14">
        <v>0</v>
      </c>
      <c r="M185" s="14">
        <v>1245.2763255322</v>
      </c>
      <c r="N185" s="10" t="s">
        <v>686</v>
      </c>
      <c r="O185" s="15">
        <v>2.7</v>
      </c>
      <c r="P185" s="10" t="s">
        <v>31</v>
      </c>
      <c r="Q185" s="15" t="s">
        <v>32</v>
      </c>
      <c r="R185" s="10" t="s">
        <v>33</v>
      </c>
      <c r="S185" s="10" t="s">
        <v>684</v>
      </c>
      <c r="T185" s="15">
        <f>IF(O185="","",(1/Metadata!$B$5)^(O185-1))</f>
        <v>50.118723362727259</v>
      </c>
      <c r="U185" s="14">
        <f t="shared" si="2"/>
        <v>62411.659669501823</v>
      </c>
      <c r="V185" s="22" t="s">
        <v>91</v>
      </c>
      <c r="W185" s="21" t="s">
        <v>92</v>
      </c>
    </row>
    <row r="186" spans="1:23" ht="18" customHeight="1">
      <c r="A186" s="10" t="s">
        <v>23</v>
      </c>
      <c r="B186" s="10" t="s">
        <v>24</v>
      </c>
      <c r="C186" s="10" t="s">
        <v>25</v>
      </c>
      <c r="D186" s="13">
        <v>2019</v>
      </c>
      <c r="E186" s="10" t="s">
        <v>687</v>
      </c>
      <c r="F186" s="10" t="s">
        <v>688</v>
      </c>
      <c r="G186" s="10" t="s">
        <v>64</v>
      </c>
      <c r="H186" s="10" t="s">
        <v>47</v>
      </c>
      <c r="I186" s="14">
        <v>1236.3502312528999</v>
      </c>
      <c r="J186" s="14">
        <v>1200.8056573535</v>
      </c>
      <c r="K186" s="14">
        <v>35.5445738994</v>
      </c>
      <c r="L186" s="14">
        <v>1036.1423632547001</v>
      </c>
      <c r="M186" s="14">
        <v>200.20786799819999</v>
      </c>
      <c r="N186" s="10" t="s">
        <v>689</v>
      </c>
      <c r="O186" s="15">
        <v>3.03</v>
      </c>
      <c r="P186" s="10" t="s">
        <v>31</v>
      </c>
      <c r="Q186" s="15" t="s">
        <v>32</v>
      </c>
      <c r="R186" s="10" t="s">
        <v>33</v>
      </c>
      <c r="S186" s="10" t="s">
        <v>687</v>
      </c>
      <c r="T186" s="15">
        <f>IF(O186="","",(1/Metadata!$B$5)^(O186-1))</f>
        <v>107.15193052376065</v>
      </c>
      <c r="U186" s="14">
        <f t="shared" si="2"/>
        <v>132477.31408224616</v>
      </c>
      <c r="V186" s="22" t="s">
        <v>66</v>
      </c>
      <c r="W186" s="21" t="s">
        <v>67</v>
      </c>
    </row>
    <row r="187" spans="1:23" ht="18" customHeight="1">
      <c r="A187" s="10" t="s">
        <v>23</v>
      </c>
      <c r="B187" s="10" t="s">
        <v>24</v>
      </c>
      <c r="C187" s="10" t="s">
        <v>25</v>
      </c>
      <c r="D187" s="13">
        <v>2019</v>
      </c>
      <c r="E187" s="10" t="s">
        <v>690</v>
      </c>
      <c r="F187" s="10" t="s">
        <v>691</v>
      </c>
      <c r="G187" s="10" t="s">
        <v>305</v>
      </c>
      <c r="H187" s="10" t="s">
        <v>137</v>
      </c>
      <c r="I187" s="14">
        <v>1116.5163831107</v>
      </c>
      <c r="J187" s="14">
        <v>1116.5163831107</v>
      </c>
      <c r="K187" s="14">
        <v>0</v>
      </c>
      <c r="L187" s="14">
        <v>0</v>
      </c>
      <c r="M187" s="14">
        <v>1116.5163831107</v>
      </c>
      <c r="N187" s="10" t="s">
        <v>692</v>
      </c>
      <c r="O187" s="15">
        <v>3.38</v>
      </c>
      <c r="P187" s="10" t="s">
        <v>31</v>
      </c>
      <c r="Q187" s="15" t="s">
        <v>32</v>
      </c>
      <c r="R187" s="10" t="s">
        <v>33</v>
      </c>
      <c r="S187" s="10" t="s">
        <v>690</v>
      </c>
      <c r="T187" s="15">
        <f>IF(O187="","",(1/Metadata!$B$5)^(O187-1))</f>
        <v>239.88329190194912</v>
      </c>
      <c r="U187" s="14">
        <f t="shared" si="2"/>
        <v>267833.6254430525</v>
      </c>
      <c r="V187" s="20" t="s">
        <v>34</v>
      </c>
      <c r="W187" s="21" t="s">
        <v>693</v>
      </c>
    </row>
    <row r="188" spans="1:23" ht="18" customHeight="1">
      <c r="A188" s="10" t="s">
        <v>23</v>
      </c>
      <c r="B188" s="10" t="s">
        <v>24</v>
      </c>
      <c r="C188" s="10" t="s">
        <v>25</v>
      </c>
      <c r="D188" s="13">
        <v>2019</v>
      </c>
      <c r="E188" s="10" t="s">
        <v>694</v>
      </c>
      <c r="F188" s="10" t="s">
        <v>695</v>
      </c>
      <c r="G188" s="10" t="s">
        <v>261</v>
      </c>
      <c r="H188" s="10" t="s">
        <v>29</v>
      </c>
      <c r="I188" s="14">
        <v>1060.8012534172999</v>
      </c>
      <c r="J188" s="14">
        <v>1060.8012534172999</v>
      </c>
      <c r="K188" s="14">
        <v>0</v>
      </c>
      <c r="L188" s="14">
        <v>0</v>
      </c>
      <c r="M188" s="14">
        <v>1060.8012534172999</v>
      </c>
      <c r="N188" s="10" t="s">
        <v>696</v>
      </c>
      <c r="O188" s="15">
        <v>3.49</v>
      </c>
      <c r="P188" s="10" t="s">
        <v>31</v>
      </c>
      <c r="Q188" s="15" t="s">
        <v>32</v>
      </c>
      <c r="R188" s="10" t="s">
        <v>33</v>
      </c>
      <c r="S188" s="10" t="s">
        <v>694</v>
      </c>
      <c r="T188" s="15">
        <f>IF(O188="","",(1/Metadata!$B$5)^(O188-1))</f>
        <v>309.02954325135937</v>
      </c>
      <c r="U188" s="14">
        <f t="shared" si="2"/>
        <v>327818.92682401772</v>
      </c>
      <c r="V188" s="22" t="s">
        <v>66</v>
      </c>
      <c r="W188" s="21" t="s">
        <v>67</v>
      </c>
    </row>
    <row r="189" spans="1:23" ht="18" customHeight="1">
      <c r="A189" s="10" t="s">
        <v>23</v>
      </c>
      <c r="B189" s="10" t="s">
        <v>24</v>
      </c>
      <c r="C189" s="10" t="s">
        <v>25</v>
      </c>
      <c r="D189" s="13">
        <v>2019</v>
      </c>
      <c r="E189" s="10" t="s">
        <v>697</v>
      </c>
      <c r="F189" s="10" t="s">
        <v>698</v>
      </c>
      <c r="G189" s="10" t="s">
        <v>216</v>
      </c>
      <c r="H189" s="10" t="s">
        <v>47</v>
      </c>
      <c r="I189" s="14">
        <v>951.54575068280008</v>
      </c>
      <c r="J189" s="14">
        <v>951.54575068280008</v>
      </c>
      <c r="K189" s="14">
        <v>0</v>
      </c>
      <c r="L189" s="14">
        <v>611.54276563420001</v>
      </c>
      <c r="M189" s="14">
        <v>340.00298504860001</v>
      </c>
      <c r="N189" s="10" t="s">
        <v>699</v>
      </c>
      <c r="O189" s="15">
        <v>4.17</v>
      </c>
      <c r="P189" s="10" t="s">
        <v>41</v>
      </c>
      <c r="Q189" s="15" t="s">
        <v>42</v>
      </c>
      <c r="R189" s="10" t="s">
        <v>33</v>
      </c>
      <c r="S189" s="10" t="s">
        <v>697</v>
      </c>
      <c r="T189" s="15">
        <f>IF(O189="","",(1/Metadata!$B$5)^(O189-1))</f>
        <v>1479.1083881682086</v>
      </c>
      <c r="U189" s="14">
        <f t="shared" si="2"/>
        <v>1407439.3015607446</v>
      </c>
      <c r="V189" s="22" t="s">
        <v>60</v>
      </c>
      <c r="W189" s="21" t="s">
        <v>61</v>
      </c>
    </row>
    <row r="190" spans="1:23" ht="18" customHeight="1">
      <c r="A190" s="10" t="s">
        <v>23</v>
      </c>
      <c r="B190" s="10" t="s">
        <v>24</v>
      </c>
      <c r="C190" s="10" t="s">
        <v>25</v>
      </c>
      <c r="D190" s="13">
        <v>2019</v>
      </c>
      <c r="E190" s="10" t="s">
        <v>700</v>
      </c>
      <c r="F190" s="10" t="s">
        <v>701</v>
      </c>
      <c r="G190" s="10" t="s">
        <v>157</v>
      </c>
      <c r="H190" s="10" t="s">
        <v>173</v>
      </c>
      <c r="I190" s="14">
        <v>832.76103068370003</v>
      </c>
      <c r="J190" s="14">
        <v>832.76103068370003</v>
      </c>
      <c r="K190" s="14">
        <v>0</v>
      </c>
      <c r="L190" s="14">
        <v>703.53910384929998</v>
      </c>
      <c r="M190" s="14">
        <v>129.22192683439999</v>
      </c>
      <c r="N190" s="10" t="s">
        <v>702</v>
      </c>
      <c r="O190" s="15">
        <v>4.5</v>
      </c>
      <c r="P190" s="10" t="s">
        <v>41</v>
      </c>
      <c r="Q190" s="15" t="s">
        <v>42</v>
      </c>
      <c r="R190" s="10" t="s">
        <v>33</v>
      </c>
      <c r="S190" s="10" t="s">
        <v>700</v>
      </c>
      <c r="T190" s="15">
        <f>IF(O190="","",(1/Metadata!$B$5)^(O190-1))</f>
        <v>3162.2776601683804</v>
      </c>
      <c r="U190" s="14">
        <f t="shared" si="2"/>
        <v>2633421.6035898598</v>
      </c>
      <c r="V190" s="22" t="s">
        <v>175</v>
      </c>
      <c r="W190" s="21" t="s">
        <v>176</v>
      </c>
    </row>
    <row r="191" spans="1:23" ht="18" customHeight="1">
      <c r="A191" s="10" t="s">
        <v>23</v>
      </c>
      <c r="B191" s="10" t="s">
        <v>24</v>
      </c>
      <c r="C191" s="10" t="s">
        <v>25</v>
      </c>
      <c r="D191" s="13">
        <v>2019</v>
      </c>
      <c r="E191" s="10" t="s">
        <v>703</v>
      </c>
      <c r="F191" s="10" t="s">
        <v>704</v>
      </c>
      <c r="G191" s="10" t="s">
        <v>38</v>
      </c>
      <c r="H191" s="10" t="s">
        <v>173</v>
      </c>
      <c r="I191" s="14">
        <v>818.04845820440005</v>
      </c>
      <c r="J191" s="14">
        <v>818.04845820440005</v>
      </c>
      <c r="K191" s="14">
        <v>0</v>
      </c>
      <c r="L191" s="14">
        <v>818.04845820440005</v>
      </c>
      <c r="M191" s="14">
        <v>0</v>
      </c>
      <c r="N191" s="10" t="s">
        <v>705</v>
      </c>
      <c r="O191" s="15">
        <v>4.13</v>
      </c>
      <c r="P191" s="10" t="s">
        <v>41</v>
      </c>
      <c r="Q191" s="15" t="s">
        <v>42</v>
      </c>
      <c r="R191" s="10" t="s">
        <v>33</v>
      </c>
      <c r="S191" s="10" t="s">
        <v>703</v>
      </c>
      <c r="T191" s="15">
        <f>IF(O191="","",(1/Metadata!$B$5)^(O191-1))</f>
        <v>1348.9628825916541</v>
      </c>
      <c r="U191" s="14">
        <f t="shared" si="2"/>
        <v>1103517.0062790657</v>
      </c>
      <c r="V191" s="22" t="s">
        <v>180</v>
      </c>
      <c r="W191" s="21" t="s">
        <v>250</v>
      </c>
    </row>
    <row r="192" spans="1:23" ht="18" customHeight="1">
      <c r="A192" s="10" t="s">
        <v>23</v>
      </c>
      <c r="B192" s="10" t="s">
        <v>24</v>
      </c>
      <c r="C192" s="10" t="s">
        <v>25</v>
      </c>
      <c r="D192" s="13">
        <v>2019</v>
      </c>
      <c r="E192" s="10" t="s">
        <v>706</v>
      </c>
      <c r="F192" s="10" t="s">
        <v>707</v>
      </c>
      <c r="G192" s="10" t="s">
        <v>157</v>
      </c>
      <c r="H192" s="10" t="s">
        <v>173</v>
      </c>
      <c r="I192" s="14">
        <v>795.12487340439998</v>
      </c>
      <c r="J192" s="14">
        <v>795.12487340439998</v>
      </c>
      <c r="K192" s="14">
        <v>0</v>
      </c>
      <c r="L192" s="14">
        <v>708.76803832170003</v>
      </c>
      <c r="M192" s="14">
        <v>86.356835082700002</v>
      </c>
      <c r="N192" s="10" t="s">
        <v>708</v>
      </c>
      <c r="O192" s="15">
        <v>4.5</v>
      </c>
      <c r="P192" s="10" t="s">
        <v>41</v>
      </c>
      <c r="Q192" s="15" t="s">
        <v>42</v>
      </c>
      <c r="R192" s="10" t="s">
        <v>33</v>
      </c>
      <c r="S192" s="10" t="s">
        <v>706</v>
      </c>
      <c r="T192" s="15">
        <f>IF(O192="","",(1/Metadata!$B$5)^(O192-1))</f>
        <v>3162.2776601683804</v>
      </c>
      <c r="U192" s="14">
        <f t="shared" si="2"/>
        <v>2514405.6242109458</v>
      </c>
      <c r="V192" s="22" t="s">
        <v>175</v>
      </c>
      <c r="W192" s="21" t="s">
        <v>176</v>
      </c>
    </row>
    <row r="193" spans="1:23" ht="18" customHeight="1">
      <c r="A193" s="10" t="s">
        <v>23</v>
      </c>
      <c r="B193" s="10" t="s">
        <v>24</v>
      </c>
      <c r="C193" s="10" t="s">
        <v>25</v>
      </c>
      <c r="D193" s="13">
        <v>2019</v>
      </c>
      <c r="E193" s="10" t="s">
        <v>709</v>
      </c>
      <c r="F193" s="10" t="s">
        <v>710</v>
      </c>
      <c r="G193" s="10" t="s">
        <v>216</v>
      </c>
      <c r="H193" s="10" t="s">
        <v>29</v>
      </c>
      <c r="I193" s="14">
        <v>778.03630428040003</v>
      </c>
      <c r="J193" s="14">
        <v>778.03630428040003</v>
      </c>
      <c r="K193" s="14">
        <v>0</v>
      </c>
      <c r="L193" s="14">
        <v>676.3567985272</v>
      </c>
      <c r="M193" s="14">
        <v>101.6795057532</v>
      </c>
      <c r="N193" s="10" t="s">
        <v>711</v>
      </c>
      <c r="O193" s="15">
        <v>3.25</v>
      </c>
      <c r="P193" s="10" t="s">
        <v>31</v>
      </c>
      <c r="Q193" s="15" t="s">
        <v>32</v>
      </c>
      <c r="R193" s="10" t="s">
        <v>33</v>
      </c>
      <c r="S193" s="10" t="s">
        <v>709</v>
      </c>
      <c r="T193" s="15">
        <f>IF(O193="","",(1/Metadata!$B$5)^(O193-1))</f>
        <v>177.82794100389242</v>
      </c>
      <c r="U193" s="14">
        <f t="shared" si="2"/>
        <v>138356.59401646146</v>
      </c>
      <c r="V193" s="23" t="s">
        <v>66</v>
      </c>
      <c r="W193" s="21" t="s">
        <v>712</v>
      </c>
    </row>
    <row r="194" spans="1:23" ht="18" customHeight="1">
      <c r="A194" s="10" t="s">
        <v>23</v>
      </c>
      <c r="B194" s="10" t="s">
        <v>24</v>
      </c>
      <c r="C194" s="10" t="s">
        <v>25</v>
      </c>
      <c r="D194" s="13">
        <v>2019</v>
      </c>
      <c r="E194" s="10" t="s">
        <v>713</v>
      </c>
      <c r="F194" s="10" t="s">
        <v>714</v>
      </c>
      <c r="G194" s="10" t="s">
        <v>157</v>
      </c>
      <c r="H194" s="10" t="s">
        <v>173</v>
      </c>
      <c r="I194" s="14">
        <v>774.75439490409997</v>
      </c>
      <c r="J194" s="14">
        <v>774.75439490409997</v>
      </c>
      <c r="K194" s="14">
        <v>0</v>
      </c>
      <c r="L194" s="14">
        <v>747.37769470499995</v>
      </c>
      <c r="M194" s="14">
        <v>27.3767001991</v>
      </c>
      <c r="N194" s="10" t="s">
        <v>715</v>
      </c>
      <c r="O194" s="15">
        <v>4.3</v>
      </c>
      <c r="P194" s="10" t="s">
        <v>41</v>
      </c>
      <c r="Q194" s="15" t="s">
        <v>42</v>
      </c>
      <c r="R194" s="10" t="s">
        <v>33</v>
      </c>
      <c r="S194" s="10" t="s">
        <v>713</v>
      </c>
      <c r="T194" s="15">
        <f>IF(O194="","",(1/Metadata!$B$5)^(O194-1))</f>
        <v>1995.2623149688804</v>
      </c>
      <c r="U194" s="14">
        <f t="shared" ref="U194:U257" si="3">IF(T194="","",I194*T194)</f>
        <v>1545838.2475086688</v>
      </c>
      <c r="V194" s="22" t="s">
        <v>175</v>
      </c>
      <c r="W194" s="21" t="s">
        <v>176</v>
      </c>
    </row>
    <row r="195" spans="1:23" ht="18" customHeight="1">
      <c r="A195" s="10" t="s">
        <v>23</v>
      </c>
      <c r="B195" s="10" t="s">
        <v>24</v>
      </c>
      <c r="C195" s="10" t="s">
        <v>25</v>
      </c>
      <c r="D195" s="13">
        <v>2019</v>
      </c>
      <c r="E195" s="10" t="s">
        <v>716</v>
      </c>
      <c r="F195" s="10" t="s">
        <v>717</v>
      </c>
      <c r="G195" s="10" t="s">
        <v>88</v>
      </c>
      <c r="H195" s="10" t="s">
        <v>89</v>
      </c>
      <c r="I195" s="14">
        <v>768.92337995759999</v>
      </c>
      <c r="J195" s="14">
        <v>768.92337995759999</v>
      </c>
      <c r="K195" s="14">
        <v>0</v>
      </c>
      <c r="L195" s="14">
        <v>0</v>
      </c>
      <c r="M195" s="14">
        <v>768.92337995759999</v>
      </c>
      <c r="N195" s="10" t="s">
        <v>718</v>
      </c>
      <c r="O195" s="15">
        <v>2.7</v>
      </c>
      <c r="P195" s="10" t="s">
        <v>31</v>
      </c>
      <c r="Q195" s="15" t="s">
        <v>32</v>
      </c>
      <c r="R195" s="10" t="s">
        <v>33</v>
      </c>
      <c r="S195" s="10" t="s">
        <v>716</v>
      </c>
      <c r="T195" s="15">
        <f>IF(O195="","",(1/Metadata!$B$5)^(O195-1))</f>
        <v>50.118723362727259</v>
      </c>
      <c r="U195" s="14">
        <f t="shared" si="3"/>
        <v>38537.458167228178</v>
      </c>
      <c r="V195" s="22" t="s">
        <v>91</v>
      </c>
      <c r="W195" s="21" t="s">
        <v>292</v>
      </c>
    </row>
    <row r="196" spans="1:23" ht="18" customHeight="1">
      <c r="A196" s="10" t="s">
        <v>23</v>
      </c>
      <c r="B196" s="10" t="s">
        <v>24</v>
      </c>
      <c r="C196" s="10" t="s">
        <v>25</v>
      </c>
      <c r="D196" s="13">
        <v>2019</v>
      </c>
      <c r="E196" s="10" t="s">
        <v>719</v>
      </c>
      <c r="F196" s="10" t="s">
        <v>720</v>
      </c>
      <c r="G196" s="10" t="s">
        <v>136</v>
      </c>
      <c r="H196" s="10" t="s">
        <v>137</v>
      </c>
      <c r="I196" s="14">
        <v>760.0015824761</v>
      </c>
      <c r="J196" s="14">
        <v>760.0015824761</v>
      </c>
      <c r="K196" s="14">
        <v>0</v>
      </c>
      <c r="L196" s="14">
        <v>760.0015824761</v>
      </c>
      <c r="M196" s="14">
        <v>0</v>
      </c>
      <c r="N196" s="10" t="s">
        <v>721</v>
      </c>
      <c r="O196" s="15">
        <v>4.51</v>
      </c>
      <c r="P196" s="10" t="s">
        <v>41</v>
      </c>
      <c r="Q196" s="15" t="s">
        <v>42</v>
      </c>
      <c r="R196" s="10" t="s">
        <v>33</v>
      </c>
      <c r="S196" s="10" t="s">
        <v>719</v>
      </c>
      <c r="T196" s="15">
        <f>IF(O196="","",(1/Metadata!$B$5)^(O196-1))</f>
        <v>3235.9365692962833</v>
      </c>
      <c r="U196" s="14">
        <f t="shared" si="3"/>
        <v>2459316.9134574574</v>
      </c>
      <c r="V196" s="22" t="s">
        <v>447</v>
      </c>
      <c r="W196" s="21" t="s">
        <v>448</v>
      </c>
    </row>
    <row r="197" spans="1:23" ht="18" customHeight="1">
      <c r="A197" s="10" t="s">
        <v>23</v>
      </c>
      <c r="B197" s="10" t="s">
        <v>24</v>
      </c>
      <c r="C197" s="10" t="s">
        <v>25</v>
      </c>
      <c r="D197" s="13">
        <v>2019</v>
      </c>
      <c r="E197" s="10" t="s">
        <v>722</v>
      </c>
      <c r="F197" s="10" t="s">
        <v>723</v>
      </c>
      <c r="G197" s="10" t="s">
        <v>122</v>
      </c>
      <c r="H197" s="10" t="s">
        <v>89</v>
      </c>
      <c r="I197" s="14">
        <v>755.78931849130004</v>
      </c>
      <c r="J197" s="14">
        <v>755.78931849130004</v>
      </c>
      <c r="K197" s="14">
        <v>0</v>
      </c>
      <c r="L197" s="14">
        <v>740.72038558179997</v>
      </c>
      <c r="M197" s="14">
        <v>15.068932909500001</v>
      </c>
      <c r="N197" s="10" t="s">
        <v>724</v>
      </c>
      <c r="O197" s="15">
        <v>2.6</v>
      </c>
      <c r="P197" s="10" t="s">
        <v>31</v>
      </c>
      <c r="Q197" s="15" t="s">
        <v>32</v>
      </c>
      <c r="R197" s="10" t="s">
        <v>33</v>
      </c>
      <c r="S197" s="10" t="s">
        <v>722</v>
      </c>
      <c r="T197" s="15">
        <f>IF(O197="","",(1/Metadata!$B$5)^(O197-1))</f>
        <v>39.810717055349755</v>
      </c>
      <c r="U197" s="14">
        <f t="shared" si="3"/>
        <v>30088.514711912765</v>
      </c>
      <c r="V197" s="22" t="s">
        <v>91</v>
      </c>
      <c r="W197" s="21" t="s">
        <v>242</v>
      </c>
    </row>
    <row r="198" spans="1:23" ht="18" customHeight="1">
      <c r="A198" s="10" t="s">
        <v>23</v>
      </c>
      <c r="B198" s="10" t="s">
        <v>24</v>
      </c>
      <c r="C198" s="10" t="s">
        <v>25</v>
      </c>
      <c r="D198" s="13">
        <v>2019</v>
      </c>
      <c r="E198" s="10" t="s">
        <v>725</v>
      </c>
      <c r="F198" s="10" t="s">
        <v>726</v>
      </c>
      <c r="G198" s="10" t="s">
        <v>122</v>
      </c>
      <c r="H198" s="10" t="s">
        <v>89</v>
      </c>
      <c r="I198" s="14">
        <v>716.04922126040003</v>
      </c>
      <c r="J198" s="14">
        <v>716.04922126040003</v>
      </c>
      <c r="K198" s="14">
        <v>0</v>
      </c>
      <c r="L198" s="14">
        <v>716.04922126040003</v>
      </c>
      <c r="M198" s="14">
        <v>0</v>
      </c>
      <c r="N198" s="10" t="s">
        <v>727</v>
      </c>
      <c r="O198" s="15">
        <v>3.33</v>
      </c>
      <c r="P198" s="10" t="s">
        <v>41</v>
      </c>
      <c r="Q198" s="15" t="s">
        <v>42</v>
      </c>
      <c r="R198" s="10" t="s">
        <v>33</v>
      </c>
      <c r="S198" s="10" t="s">
        <v>725</v>
      </c>
      <c r="T198" s="15">
        <f>IF(O198="","",(1/Metadata!$B$5)^(O198-1))</f>
        <v>213.79620895022339</v>
      </c>
      <c r="U198" s="14">
        <f t="shared" si="3"/>
        <v>153088.60892723323</v>
      </c>
      <c r="V198" s="22" t="s">
        <v>91</v>
      </c>
      <c r="W198" s="21" t="s">
        <v>242</v>
      </c>
    </row>
    <row r="199" spans="1:23" ht="18" customHeight="1">
      <c r="A199" s="10" t="s">
        <v>23</v>
      </c>
      <c r="B199" s="10" t="s">
        <v>24</v>
      </c>
      <c r="C199" s="10" t="s">
        <v>25</v>
      </c>
      <c r="D199" s="13">
        <v>2019</v>
      </c>
      <c r="E199" s="10" t="s">
        <v>728</v>
      </c>
      <c r="F199" s="10" t="s">
        <v>729</v>
      </c>
      <c r="G199" s="10" t="s">
        <v>122</v>
      </c>
      <c r="H199" s="10" t="s">
        <v>89</v>
      </c>
      <c r="I199" s="14">
        <v>702.52770033210004</v>
      </c>
      <c r="J199" s="14">
        <v>702.52770033210004</v>
      </c>
      <c r="K199" s="14">
        <v>0</v>
      </c>
      <c r="L199" s="14">
        <v>0</v>
      </c>
      <c r="M199" s="14">
        <v>702.52770033210004</v>
      </c>
      <c r="N199" s="10" t="s">
        <v>730</v>
      </c>
      <c r="O199" s="15">
        <v>3.26</v>
      </c>
      <c r="P199" s="10" t="s">
        <v>31</v>
      </c>
      <c r="Q199" s="15" t="s">
        <v>32</v>
      </c>
      <c r="R199" s="10" t="s">
        <v>33</v>
      </c>
      <c r="S199" s="10" t="s">
        <v>728</v>
      </c>
      <c r="T199" s="15">
        <f>IF(O199="","",(1/Metadata!$B$5)^(O199-1))</f>
        <v>181.9700858609983</v>
      </c>
      <c r="U199" s="14">
        <f t="shared" si="3"/>
        <v>127839.02594916192</v>
      </c>
      <c r="V199" s="22" t="s">
        <v>91</v>
      </c>
      <c r="W199" s="21" t="s">
        <v>242</v>
      </c>
    </row>
    <row r="200" spans="1:23" ht="18" customHeight="1">
      <c r="A200" s="10" t="s">
        <v>23</v>
      </c>
      <c r="B200" s="10" t="s">
        <v>24</v>
      </c>
      <c r="C200" s="10" t="s">
        <v>25</v>
      </c>
      <c r="D200" s="13">
        <v>2019</v>
      </c>
      <c r="E200" s="10" t="s">
        <v>731</v>
      </c>
      <c r="F200" s="10" t="s">
        <v>732</v>
      </c>
      <c r="G200" s="10" t="s">
        <v>64</v>
      </c>
      <c r="H200" s="10" t="s">
        <v>47</v>
      </c>
      <c r="I200" s="14">
        <v>698.3199866376001</v>
      </c>
      <c r="J200" s="14">
        <v>698.3199866376001</v>
      </c>
      <c r="K200" s="14">
        <v>0</v>
      </c>
      <c r="L200" s="14">
        <v>100.7267485049</v>
      </c>
      <c r="M200" s="14">
        <v>597.59323813270009</v>
      </c>
      <c r="N200" s="10" t="s">
        <v>733</v>
      </c>
      <c r="O200" s="15">
        <v>3.27</v>
      </c>
      <c r="P200" s="10" t="s">
        <v>31</v>
      </c>
      <c r="Q200" s="15" t="s">
        <v>32</v>
      </c>
      <c r="R200" s="10" t="s">
        <v>33</v>
      </c>
      <c r="S200" s="10" t="s">
        <v>731</v>
      </c>
      <c r="T200" s="15">
        <f>IF(O200="","",(1/Metadata!$B$5)^(O200-1))</f>
        <v>186.20871366628685</v>
      </c>
      <c r="U200" s="14">
        <f t="shared" si="3"/>
        <v>130033.26643924614</v>
      </c>
      <c r="V200" s="22" t="s">
        <v>66</v>
      </c>
      <c r="W200" s="21" t="s">
        <v>67</v>
      </c>
    </row>
    <row r="201" spans="1:23" ht="18" customHeight="1">
      <c r="A201" s="10" t="s">
        <v>23</v>
      </c>
      <c r="B201" s="10" t="s">
        <v>24</v>
      </c>
      <c r="C201" s="10" t="s">
        <v>25</v>
      </c>
      <c r="D201" s="13">
        <v>2019</v>
      </c>
      <c r="E201" s="10" t="s">
        <v>734</v>
      </c>
      <c r="F201" s="10" t="s">
        <v>735</v>
      </c>
      <c r="G201" s="10" t="s">
        <v>127</v>
      </c>
      <c r="H201" s="10" t="s">
        <v>29</v>
      </c>
      <c r="I201" s="14">
        <v>677.72382075300004</v>
      </c>
      <c r="J201" s="14">
        <v>668.36963493660005</v>
      </c>
      <c r="K201" s="14">
        <v>9.3541858163999994</v>
      </c>
      <c r="L201" s="14">
        <v>520.98276376930005</v>
      </c>
      <c r="M201" s="14">
        <v>156.74105698369999</v>
      </c>
      <c r="N201" s="10" t="s">
        <v>736</v>
      </c>
      <c r="O201" s="15">
        <v>4.38</v>
      </c>
      <c r="P201" s="10" t="s">
        <v>41</v>
      </c>
      <c r="Q201" s="15" t="s">
        <v>42</v>
      </c>
      <c r="R201" s="10" t="s">
        <v>33</v>
      </c>
      <c r="S201" s="10" t="s">
        <v>734</v>
      </c>
      <c r="T201" s="15">
        <f>IF(O201="","",(1/Metadata!$B$5)^(O201-1))</f>
        <v>2398.8329190194918</v>
      </c>
      <c r="U201" s="14">
        <f t="shared" si="3"/>
        <v>1625746.2112259618</v>
      </c>
      <c r="V201" s="22" t="s">
        <v>129</v>
      </c>
      <c r="W201" s="21" t="s">
        <v>130</v>
      </c>
    </row>
    <row r="202" spans="1:23" ht="18" customHeight="1">
      <c r="A202" s="10" t="s">
        <v>23</v>
      </c>
      <c r="B202" s="10" t="s">
        <v>24</v>
      </c>
      <c r="C202" s="10" t="s">
        <v>25</v>
      </c>
      <c r="D202" s="13">
        <v>2019</v>
      </c>
      <c r="E202" s="10" t="s">
        <v>737</v>
      </c>
      <c r="F202" s="10" t="s">
        <v>738</v>
      </c>
      <c r="G202" s="10" t="s">
        <v>136</v>
      </c>
      <c r="H202" s="10" t="s">
        <v>137</v>
      </c>
      <c r="I202" s="14">
        <v>618.96311572740001</v>
      </c>
      <c r="J202" s="14">
        <v>618.96311572740001</v>
      </c>
      <c r="K202" s="14">
        <v>0</v>
      </c>
      <c r="L202" s="14">
        <v>618.96311572740001</v>
      </c>
      <c r="M202" s="14">
        <v>0</v>
      </c>
      <c r="N202" s="10" t="s">
        <v>739</v>
      </c>
      <c r="O202" s="15">
        <v>4.5</v>
      </c>
      <c r="P202" s="10" t="s">
        <v>31</v>
      </c>
      <c r="Q202" s="15" t="s">
        <v>32</v>
      </c>
      <c r="R202" s="10" t="s">
        <v>33</v>
      </c>
      <c r="S202" s="10" t="s">
        <v>737</v>
      </c>
      <c r="T202" s="15">
        <f>IF(O202="","",(1/Metadata!$B$5)^(O202-1))</f>
        <v>3162.2776601683804</v>
      </c>
      <c r="U202" s="14">
        <f t="shared" si="3"/>
        <v>1957333.233332973</v>
      </c>
      <c r="V202" s="22" t="s">
        <v>447</v>
      </c>
      <c r="W202" s="21" t="s">
        <v>740</v>
      </c>
    </row>
    <row r="203" spans="1:23" ht="18" customHeight="1">
      <c r="A203" s="10" t="s">
        <v>23</v>
      </c>
      <c r="B203" s="10" t="s">
        <v>24</v>
      </c>
      <c r="C203" s="10" t="s">
        <v>25</v>
      </c>
      <c r="D203" s="13">
        <v>2019</v>
      </c>
      <c r="E203" s="10" t="s">
        <v>741</v>
      </c>
      <c r="F203" s="10" t="s">
        <v>742</v>
      </c>
      <c r="G203" s="10" t="s">
        <v>261</v>
      </c>
      <c r="H203" s="10" t="s">
        <v>47</v>
      </c>
      <c r="I203" s="14">
        <v>604.03431576540004</v>
      </c>
      <c r="J203" s="14">
        <v>517.65554440870005</v>
      </c>
      <c r="K203" s="14">
        <v>86.3787713567</v>
      </c>
      <c r="L203" s="14">
        <v>517.65554440870005</v>
      </c>
      <c r="M203" s="14">
        <v>86.3787713567</v>
      </c>
      <c r="N203" s="10" t="s">
        <v>743</v>
      </c>
      <c r="O203" s="15">
        <v>2.76</v>
      </c>
      <c r="P203" s="10" t="s">
        <v>41</v>
      </c>
      <c r="Q203" s="15" t="s">
        <v>42</v>
      </c>
      <c r="R203" s="10" t="s">
        <v>33</v>
      </c>
      <c r="S203" s="10" t="s">
        <v>741</v>
      </c>
      <c r="T203" s="15">
        <f>IF(O203="","",(1/Metadata!$B$5)^(O203-1))</f>
        <v>57.543993733715695</v>
      </c>
      <c r="U203" s="14">
        <f t="shared" si="3"/>
        <v>34758.546881353424</v>
      </c>
      <c r="V203" s="22" t="s">
        <v>66</v>
      </c>
      <c r="W203" s="21" t="s">
        <v>67</v>
      </c>
    </row>
    <row r="204" spans="1:23" ht="18" customHeight="1">
      <c r="A204" s="10" t="s">
        <v>23</v>
      </c>
      <c r="B204" s="10" t="s">
        <v>24</v>
      </c>
      <c r="C204" s="10" t="s">
        <v>25</v>
      </c>
      <c r="D204" s="13">
        <v>2019</v>
      </c>
      <c r="E204" s="10" t="s">
        <v>744</v>
      </c>
      <c r="F204" s="10" t="s">
        <v>745</v>
      </c>
      <c r="G204" s="10" t="s">
        <v>157</v>
      </c>
      <c r="H204" s="10" t="s">
        <v>39</v>
      </c>
      <c r="I204" s="14">
        <v>601.2382501651</v>
      </c>
      <c r="J204" s="14">
        <v>601.2382501651</v>
      </c>
      <c r="K204" s="14">
        <v>0</v>
      </c>
      <c r="L204" s="14">
        <v>0</v>
      </c>
      <c r="M204" s="14">
        <v>601.2382501651</v>
      </c>
      <c r="N204" s="10" t="s">
        <v>746</v>
      </c>
      <c r="O204" s="15">
        <v>4.1900000000000004</v>
      </c>
      <c r="P204" s="10" t="s">
        <v>41</v>
      </c>
      <c r="Q204" s="15" t="s">
        <v>42</v>
      </c>
      <c r="R204" s="10" t="s">
        <v>33</v>
      </c>
      <c r="S204" s="10" t="s">
        <v>744</v>
      </c>
      <c r="T204" s="15">
        <f>IF(O204="","",(1/Metadata!$B$5)^(O204-1))</f>
        <v>1548.8166189124836</v>
      </c>
      <c r="U204" s="14">
        <f t="shared" si="3"/>
        <v>931207.79378156818</v>
      </c>
      <c r="V204" s="22" t="s">
        <v>129</v>
      </c>
      <c r="W204" s="21" t="s">
        <v>130</v>
      </c>
    </row>
    <row r="205" spans="1:23" ht="18" customHeight="1">
      <c r="A205" s="10" t="s">
        <v>23</v>
      </c>
      <c r="B205" s="10" t="s">
        <v>24</v>
      </c>
      <c r="C205" s="10" t="s">
        <v>25</v>
      </c>
      <c r="D205" s="13">
        <v>2019</v>
      </c>
      <c r="E205" s="10" t="s">
        <v>747</v>
      </c>
      <c r="F205" s="10" t="s">
        <v>748</v>
      </c>
      <c r="G205" s="10" t="s">
        <v>28</v>
      </c>
      <c r="H205" s="10" t="s">
        <v>340</v>
      </c>
      <c r="I205" s="14">
        <v>535.13434698139997</v>
      </c>
      <c r="J205" s="14">
        <v>535.13434698139997</v>
      </c>
      <c r="K205" s="14">
        <v>0</v>
      </c>
      <c r="L205" s="14">
        <v>0</v>
      </c>
      <c r="M205" s="14">
        <v>535.13434698139997</v>
      </c>
      <c r="N205" s="10" t="s">
        <v>749</v>
      </c>
      <c r="O205" s="15">
        <v>3.6</v>
      </c>
      <c r="P205" s="10" t="s">
        <v>41</v>
      </c>
      <c r="Q205" s="15" t="s">
        <v>42</v>
      </c>
      <c r="R205" s="10" t="s">
        <v>33</v>
      </c>
      <c r="S205" s="10" t="s">
        <v>747</v>
      </c>
      <c r="T205" s="15">
        <f>IF(O205="","",(1/Metadata!$B$5)^(O205-1))</f>
        <v>398.10717055349761</v>
      </c>
      <c r="U205" s="14">
        <f t="shared" si="3"/>
        <v>213040.82074275878</v>
      </c>
      <c r="V205" s="22" t="s">
        <v>129</v>
      </c>
      <c r="W205" s="21" t="s">
        <v>130</v>
      </c>
    </row>
    <row r="206" spans="1:23" ht="18" customHeight="1">
      <c r="A206" s="10" t="s">
        <v>23</v>
      </c>
      <c r="B206" s="10" t="s">
        <v>24</v>
      </c>
      <c r="C206" s="10" t="s">
        <v>25</v>
      </c>
      <c r="D206" s="13">
        <v>2019</v>
      </c>
      <c r="E206" s="10" t="s">
        <v>750</v>
      </c>
      <c r="F206" s="10" t="s">
        <v>751</v>
      </c>
      <c r="G206" s="10" t="s">
        <v>136</v>
      </c>
      <c r="H206" s="10" t="s">
        <v>137</v>
      </c>
      <c r="I206" s="14">
        <v>485.84123498330001</v>
      </c>
      <c r="J206" s="14">
        <v>485.84123498330001</v>
      </c>
      <c r="K206" s="14">
        <v>0</v>
      </c>
      <c r="L206" s="14">
        <v>200.2611719155</v>
      </c>
      <c r="M206" s="14">
        <v>285.58006306779998</v>
      </c>
      <c r="N206" s="10" t="s">
        <v>752</v>
      </c>
      <c r="O206" s="15">
        <v>4.24</v>
      </c>
      <c r="P206" s="10" t="s">
        <v>31</v>
      </c>
      <c r="Q206" s="15" t="s">
        <v>32</v>
      </c>
      <c r="R206" s="10" t="s">
        <v>33</v>
      </c>
      <c r="S206" s="10" t="s">
        <v>750</v>
      </c>
      <c r="T206" s="15">
        <f>IF(O206="","",(1/Metadata!$B$5)^(O206-1))</f>
        <v>1737.8008287493772</v>
      </c>
      <c r="U206" s="14">
        <f t="shared" si="3"/>
        <v>844295.30079459969</v>
      </c>
      <c r="V206" s="20" t="s">
        <v>34</v>
      </c>
      <c r="W206" s="21" t="s">
        <v>753</v>
      </c>
    </row>
    <row r="207" spans="1:23" ht="18" customHeight="1">
      <c r="A207" s="10" t="s">
        <v>23</v>
      </c>
      <c r="B207" s="10" t="s">
        <v>24</v>
      </c>
      <c r="C207" s="10" t="s">
        <v>25</v>
      </c>
      <c r="D207" s="13">
        <v>2019</v>
      </c>
      <c r="E207" s="10" t="s">
        <v>754</v>
      </c>
      <c r="F207" s="10" t="s">
        <v>755</v>
      </c>
      <c r="G207" s="10" t="s">
        <v>53</v>
      </c>
      <c r="H207" s="10" t="s">
        <v>39</v>
      </c>
      <c r="I207" s="14">
        <v>475.84734416159989</v>
      </c>
      <c r="J207" s="14">
        <v>460.87496494359999</v>
      </c>
      <c r="K207" s="14">
        <v>14.972379218</v>
      </c>
      <c r="L207" s="14">
        <v>460.87496494359999</v>
      </c>
      <c r="M207" s="14">
        <v>14.972379218</v>
      </c>
      <c r="N207" s="10" t="s">
        <v>756</v>
      </c>
      <c r="O207" s="15">
        <v>3.4</v>
      </c>
      <c r="P207" s="10" t="s">
        <v>41</v>
      </c>
      <c r="Q207" s="15" t="s">
        <v>42</v>
      </c>
      <c r="R207" s="10" t="s">
        <v>33</v>
      </c>
      <c r="S207" s="10" t="s">
        <v>754</v>
      </c>
      <c r="T207" s="15">
        <f>IF(O207="","",(1/Metadata!$B$5)^(O207-1))</f>
        <v>251.18864315095806</v>
      </c>
      <c r="U207" s="14">
        <f t="shared" si="3"/>
        <v>119527.44872693924</v>
      </c>
      <c r="V207" s="22" t="s">
        <v>55</v>
      </c>
      <c r="W207" s="21" t="s">
        <v>56</v>
      </c>
    </row>
    <row r="208" spans="1:23" ht="18" customHeight="1">
      <c r="A208" s="10" t="s">
        <v>23</v>
      </c>
      <c r="B208" s="10" t="s">
        <v>24</v>
      </c>
      <c r="C208" s="10" t="s">
        <v>25</v>
      </c>
      <c r="D208" s="13">
        <v>2019</v>
      </c>
      <c r="E208" s="10" t="s">
        <v>757</v>
      </c>
      <c r="F208" s="10" t="s">
        <v>758</v>
      </c>
      <c r="G208" s="10" t="s">
        <v>157</v>
      </c>
      <c r="H208" s="10" t="s">
        <v>47</v>
      </c>
      <c r="I208" s="14">
        <v>459.05947526900002</v>
      </c>
      <c r="J208" s="14">
        <v>459.05947526900002</v>
      </c>
      <c r="K208" s="14">
        <v>0</v>
      </c>
      <c r="L208" s="14">
        <v>428.91838263429997</v>
      </c>
      <c r="M208" s="14">
        <v>30.141092634700001</v>
      </c>
      <c r="N208" s="10" t="s">
        <v>759</v>
      </c>
      <c r="O208" s="15">
        <v>4.26</v>
      </c>
      <c r="P208" s="10" t="s">
        <v>41</v>
      </c>
      <c r="Q208" s="15" t="s">
        <v>42</v>
      </c>
      <c r="R208" s="10" t="s">
        <v>33</v>
      </c>
      <c r="S208" s="10" t="s">
        <v>757</v>
      </c>
      <c r="T208" s="15">
        <f>IF(O208="","",(1/Metadata!$B$5)^(O208-1))</f>
        <v>1819.7008586099832</v>
      </c>
      <c r="U208" s="14">
        <f t="shared" si="3"/>
        <v>835350.92130004766</v>
      </c>
      <c r="V208" s="22" t="s">
        <v>175</v>
      </c>
      <c r="W208" s="21" t="s">
        <v>176</v>
      </c>
    </row>
    <row r="209" spans="1:23" ht="18" customHeight="1">
      <c r="A209" s="10" t="s">
        <v>23</v>
      </c>
      <c r="B209" s="10" t="s">
        <v>24</v>
      </c>
      <c r="C209" s="10" t="s">
        <v>25</v>
      </c>
      <c r="D209" s="13">
        <v>2019</v>
      </c>
      <c r="E209" s="10" t="s">
        <v>760</v>
      </c>
      <c r="F209" s="10" t="s">
        <v>761</v>
      </c>
      <c r="G209" s="10" t="s">
        <v>216</v>
      </c>
      <c r="H209" s="10" t="s">
        <v>47</v>
      </c>
      <c r="I209" s="14">
        <v>448.34715577629999</v>
      </c>
      <c r="J209" s="14">
        <v>448.34715577629999</v>
      </c>
      <c r="K209" s="14">
        <v>0</v>
      </c>
      <c r="L209" s="14">
        <v>276.99748642629999</v>
      </c>
      <c r="M209" s="14">
        <v>171.34966935</v>
      </c>
      <c r="N209" s="10" t="s">
        <v>762</v>
      </c>
      <c r="O209" s="15">
        <v>4.34</v>
      </c>
      <c r="P209" s="10" t="s">
        <v>31</v>
      </c>
      <c r="Q209" s="15" t="s">
        <v>32</v>
      </c>
      <c r="R209" s="10" t="s">
        <v>33</v>
      </c>
      <c r="S209" s="10" t="s">
        <v>760</v>
      </c>
      <c r="T209" s="15">
        <f>IF(O209="","",(1/Metadata!$B$5)^(O209-1))</f>
        <v>2187.7616239495528</v>
      </c>
      <c r="U209" s="14">
        <f t="shared" si="3"/>
        <v>980876.70161432121</v>
      </c>
      <c r="V209" s="22" t="s">
        <v>60</v>
      </c>
      <c r="W209" s="21" t="s">
        <v>61</v>
      </c>
    </row>
    <row r="210" spans="1:23" ht="18" customHeight="1">
      <c r="A210" s="10" t="s">
        <v>23</v>
      </c>
      <c r="B210" s="10" t="s">
        <v>24</v>
      </c>
      <c r="C210" s="10" t="s">
        <v>25</v>
      </c>
      <c r="D210" s="13">
        <v>2019</v>
      </c>
      <c r="E210" s="10" t="s">
        <v>763</v>
      </c>
      <c r="F210" s="10" t="s">
        <v>764</v>
      </c>
      <c r="G210" s="10" t="s">
        <v>81</v>
      </c>
      <c r="H210" s="10" t="s">
        <v>47</v>
      </c>
      <c r="I210" s="14">
        <v>399.15923873119999</v>
      </c>
      <c r="J210" s="14">
        <v>399.15923873119999</v>
      </c>
      <c r="K210" s="14">
        <v>0</v>
      </c>
      <c r="L210" s="14">
        <v>221.92477558229999</v>
      </c>
      <c r="M210" s="14">
        <v>177.23446314890001</v>
      </c>
      <c r="N210" s="10" t="s">
        <v>765</v>
      </c>
      <c r="O210" s="15">
        <v>3.32</v>
      </c>
      <c r="P210" s="10" t="s">
        <v>31</v>
      </c>
      <c r="Q210" s="15" t="s">
        <v>32</v>
      </c>
      <c r="R210" s="10" t="s">
        <v>33</v>
      </c>
      <c r="S210" s="10" t="s">
        <v>763</v>
      </c>
      <c r="T210" s="15">
        <f>IF(O210="","",(1/Metadata!$B$5)^(O210-1))</f>
        <v>208.92961308540396</v>
      </c>
      <c r="U210" s="14">
        <f t="shared" si="3"/>
        <v>83396.185307574007</v>
      </c>
      <c r="V210" s="22" t="s">
        <v>100</v>
      </c>
      <c r="W210" s="21" t="s">
        <v>101</v>
      </c>
    </row>
    <row r="211" spans="1:23" ht="18" customHeight="1">
      <c r="A211" s="10" t="s">
        <v>23</v>
      </c>
      <c r="B211" s="10" t="s">
        <v>24</v>
      </c>
      <c r="C211" s="10" t="s">
        <v>25</v>
      </c>
      <c r="D211" s="13">
        <v>2019</v>
      </c>
      <c r="E211" s="10" t="s">
        <v>766</v>
      </c>
      <c r="F211" s="10" t="s">
        <v>767</v>
      </c>
      <c r="G211" s="10" t="s">
        <v>127</v>
      </c>
      <c r="H211" s="10" t="s">
        <v>47</v>
      </c>
      <c r="I211" s="14">
        <v>382.27217245320003</v>
      </c>
      <c r="J211" s="14">
        <v>382.27217245320003</v>
      </c>
      <c r="K211" s="14">
        <v>0</v>
      </c>
      <c r="L211" s="14">
        <v>0</v>
      </c>
      <c r="M211" s="14">
        <v>382.27217245320003</v>
      </c>
      <c r="N211" s="10" t="s">
        <v>768</v>
      </c>
      <c r="O211" s="15">
        <v>4.0599999999999996</v>
      </c>
      <c r="P211" s="10" t="s">
        <v>41</v>
      </c>
      <c r="Q211" s="15" t="s">
        <v>42</v>
      </c>
      <c r="R211" s="10" t="s">
        <v>33</v>
      </c>
      <c r="S211" s="10" t="s">
        <v>766</v>
      </c>
      <c r="T211" s="15">
        <f>IF(O211="","",(1/Metadata!$B$5)^(O211-1))</f>
        <v>1148.1536214968828</v>
      </c>
      <c r="U211" s="14">
        <f t="shared" si="3"/>
        <v>438907.17919962254</v>
      </c>
      <c r="V211" s="22" t="s">
        <v>129</v>
      </c>
      <c r="W211" s="21" t="s">
        <v>130</v>
      </c>
    </row>
    <row r="212" spans="1:23" ht="18" customHeight="1">
      <c r="A212" s="10" t="s">
        <v>23</v>
      </c>
      <c r="B212" s="10" t="s">
        <v>24</v>
      </c>
      <c r="C212" s="10" t="s">
        <v>25</v>
      </c>
      <c r="D212" s="13">
        <v>2019</v>
      </c>
      <c r="E212" s="10" t="s">
        <v>769</v>
      </c>
      <c r="F212" s="10" t="s">
        <v>597</v>
      </c>
      <c r="G212" s="10" t="s">
        <v>122</v>
      </c>
      <c r="H212" s="10" t="s">
        <v>89</v>
      </c>
      <c r="I212" s="14">
        <v>382.02060504719998</v>
      </c>
      <c r="J212" s="14">
        <v>382.02060504719998</v>
      </c>
      <c r="K212" s="14">
        <v>0</v>
      </c>
      <c r="L212" s="14">
        <v>382.02060504719998</v>
      </c>
      <c r="M212" s="14">
        <v>0</v>
      </c>
      <c r="N212" s="10" t="s">
        <v>770</v>
      </c>
      <c r="O212" s="15">
        <v>2.6</v>
      </c>
      <c r="P212" s="10" t="s">
        <v>31</v>
      </c>
      <c r="Q212" s="15" t="s">
        <v>32</v>
      </c>
      <c r="R212" s="10" t="s">
        <v>33</v>
      </c>
      <c r="S212" s="10" t="s">
        <v>769</v>
      </c>
      <c r="T212" s="15">
        <f>IF(O212="","",(1/Metadata!$B$5)^(O212-1))</f>
        <v>39.810717055349755</v>
      </c>
      <c r="U212" s="14">
        <f t="shared" si="3"/>
        <v>15208.514216847598</v>
      </c>
      <c r="V212" s="22" t="s">
        <v>91</v>
      </c>
      <c r="W212" s="21" t="s">
        <v>242</v>
      </c>
    </row>
    <row r="213" spans="1:23" ht="18" customHeight="1">
      <c r="A213" s="10" t="s">
        <v>23</v>
      </c>
      <c r="B213" s="10" t="s">
        <v>24</v>
      </c>
      <c r="C213" s="10" t="s">
        <v>25</v>
      </c>
      <c r="D213" s="13">
        <v>2019</v>
      </c>
      <c r="E213" s="10" t="s">
        <v>771</v>
      </c>
      <c r="F213" s="10" t="s">
        <v>772</v>
      </c>
      <c r="G213" s="10" t="s">
        <v>149</v>
      </c>
      <c r="H213" s="10" t="s">
        <v>29</v>
      </c>
      <c r="I213" s="14">
        <v>379.3003830056</v>
      </c>
      <c r="J213" s="14">
        <v>379.3003830056</v>
      </c>
      <c r="K213" s="14">
        <v>0</v>
      </c>
      <c r="L213" s="14">
        <v>0</v>
      </c>
      <c r="M213" s="14">
        <v>379.3003830056</v>
      </c>
      <c r="N213" s="10" t="s">
        <v>773</v>
      </c>
      <c r="O213" s="15">
        <v>3.58</v>
      </c>
      <c r="P213" s="10" t="s">
        <v>31</v>
      </c>
      <c r="Q213" s="15" t="s">
        <v>32</v>
      </c>
      <c r="R213" s="10" t="s">
        <v>33</v>
      </c>
      <c r="S213" s="10" t="s">
        <v>771</v>
      </c>
      <c r="T213" s="15">
        <f>IF(O213="","",(1/Metadata!$B$5)^(O213-1))</f>
        <v>380.18939632056163</v>
      </c>
      <c r="U213" s="14">
        <f t="shared" si="3"/>
        <v>144205.98363905688</v>
      </c>
      <c r="V213" s="22" t="s">
        <v>149</v>
      </c>
      <c r="W213" s="21" t="s">
        <v>151</v>
      </c>
    </row>
    <row r="214" spans="1:23" ht="18" customHeight="1">
      <c r="A214" s="10" t="s">
        <v>23</v>
      </c>
      <c r="B214" s="10" t="s">
        <v>24</v>
      </c>
      <c r="C214" s="10" t="s">
        <v>25</v>
      </c>
      <c r="D214" s="13">
        <v>2019</v>
      </c>
      <c r="E214" s="10" t="s">
        <v>774</v>
      </c>
      <c r="F214" s="10" t="s">
        <v>775</v>
      </c>
      <c r="G214" s="10" t="s">
        <v>157</v>
      </c>
      <c r="H214" s="10" t="s">
        <v>47</v>
      </c>
      <c r="I214" s="14">
        <v>365.92519272089999</v>
      </c>
      <c r="J214" s="14">
        <v>365.92519272089999</v>
      </c>
      <c r="K214" s="14">
        <v>0</v>
      </c>
      <c r="L214" s="14">
        <v>224.76024152830001</v>
      </c>
      <c r="M214" s="14">
        <v>141.1649511926</v>
      </c>
      <c r="N214" s="10" t="s">
        <v>776</v>
      </c>
      <c r="O214" s="15">
        <v>3.96</v>
      </c>
      <c r="P214" s="10" t="s">
        <v>41</v>
      </c>
      <c r="Q214" s="15" t="s">
        <v>42</v>
      </c>
      <c r="R214" s="10" t="s">
        <v>33</v>
      </c>
      <c r="S214" s="10" t="s">
        <v>774</v>
      </c>
      <c r="T214" s="15">
        <f>IF(O214="","",(1/Metadata!$B$5)^(O214-1))</f>
        <v>912.01083935590987</v>
      </c>
      <c r="U214" s="14">
        <f t="shared" si="3"/>
        <v>333727.7421548611</v>
      </c>
      <c r="V214" s="22" t="s">
        <v>129</v>
      </c>
      <c r="W214" s="21" t="s">
        <v>130</v>
      </c>
    </row>
    <row r="215" spans="1:23" ht="18" customHeight="1">
      <c r="A215" s="10" t="s">
        <v>23</v>
      </c>
      <c r="B215" s="10" t="s">
        <v>24</v>
      </c>
      <c r="C215" s="10" t="s">
        <v>25</v>
      </c>
      <c r="D215" s="13">
        <v>2019</v>
      </c>
      <c r="E215" s="10" t="s">
        <v>777</v>
      </c>
      <c r="F215" s="10" t="s">
        <v>778</v>
      </c>
      <c r="G215" s="10" t="s">
        <v>98</v>
      </c>
      <c r="H215" s="10" t="s">
        <v>47</v>
      </c>
      <c r="I215" s="14">
        <v>358.22368183549997</v>
      </c>
      <c r="J215" s="14">
        <v>346.06273033280002</v>
      </c>
      <c r="K215" s="14">
        <v>12.1609515027</v>
      </c>
      <c r="L215" s="14">
        <v>346.06273033280002</v>
      </c>
      <c r="M215" s="14">
        <v>12.1609515027</v>
      </c>
      <c r="N215" s="10" t="s">
        <v>779</v>
      </c>
      <c r="O215" s="15">
        <v>4.1900000000000004</v>
      </c>
      <c r="P215" s="10" t="s">
        <v>41</v>
      </c>
      <c r="Q215" s="15" t="s">
        <v>42</v>
      </c>
      <c r="R215" s="10" t="s">
        <v>33</v>
      </c>
      <c r="S215" s="10" t="s">
        <v>777</v>
      </c>
      <c r="T215" s="15">
        <f>IF(O215="","",(1/Metadata!$B$5)^(O215-1))</f>
        <v>1548.8166189124836</v>
      </c>
      <c r="U215" s="14">
        <f t="shared" si="3"/>
        <v>554822.79171484034</v>
      </c>
      <c r="V215" s="22" t="s">
        <v>66</v>
      </c>
      <c r="W215" s="21" t="s">
        <v>67</v>
      </c>
    </row>
    <row r="216" spans="1:23" ht="18" customHeight="1">
      <c r="A216" s="10" t="s">
        <v>23</v>
      </c>
      <c r="B216" s="10" t="s">
        <v>24</v>
      </c>
      <c r="C216" s="10" t="s">
        <v>25</v>
      </c>
      <c r="D216" s="13">
        <v>2019</v>
      </c>
      <c r="E216" s="10" t="s">
        <v>780</v>
      </c>
      <c r="F216" s="10" t="s">
        <v>781</v>
      </c>
      <c r="G216" s="10" t="s">
        <v>53</v>
      </c>
      <c r="H216" s="10" t="s">
        <v>39</v>
      </c>
      <c r="I216" s="14">
        <v>358.2179892254</v>
      </c>
      <c r="J216" s="14">
        <v>346.05723394649999</v>
      </c>
      <c r="K216" s="14">
        <v>12.1607552789</v>
      </c>
      <c r="L216" s="14">
        <v>346.05723394649999</v>
      </c>
      <c r="M216" s="14">
        <v>12.1607552789</v>
      </c>
      <c r="N216" s="10" t="s">
        <v>782</v>
      </c>
      <c r="O216" s="15">
        <v>2.7</v>
      </c>
      <c r="P216" s="10" t="s">
        <v>41</v>
      </c>
      <c r="Q216" s="15" t="s">
        <v>42</v>
      </c>
      <c r="R216" s="10" t="s">
        <v>33</v>
      </c>
      <c r="S216" s="10" t="s">
        <v>780</v>
      </c>
      <c r="T216" s="15">
        <f>IF(O216="","",(1/Metadata!$B$5)^(O216-1))</f>
        <v>50.118723362727259</v>
      </c>
      <c r="U216" s="14">
        <f t="shared" si="3"/>
        <v>17953.428305540237</v>
      </c>
      <c r="V216" s="22" t="s">
        <v>55</v>
      </c>
      <c r="W216" s="21" t="s">
        <v>56</v>
      </c>
    </row>
    <row r="217" spans="1:23" ht="18" customHeight="1">
      <c r="A217" s="10" t="s">
        <v>23</v>
      </c>
      <c r="B217" s="10" t="s">
        <v>24</v>
      </c>
      <c r="C217" s="10" t="s">
        <v>25</v>
      </c>
      <c r="D217" s="13">
        <v>2019</v>
      </c>
      <c r="E217" s="10" t="s">
        <v>783</v>
      </c>
      <c r="F217" s="10" t="s">
        <v>784</v>
      </c>
      <c r="G217" s="10" t="s">
        <v>234</v>
      </c>
      <c r="H217" s="10" t="s">
        <v>235</v>
      </c>
      <c r="I217" s="14">
        <v>340.19378795429998</v>
      </c>
      <c r="J217" s="14">
        <v>340.19378795429998</v>
      </c>
      <c r="K217" s="14">
        <v>0</v>
      </c>
      <c r="L217" s="14">
        <v>0</v>
      </c>
      <c r="M217" s="14">
        <v>340.19378795429998</v>
      </c>
      <c r="N217" s="10" t="s">
        <v>785</v>
      </c>
      <c r="O217" s="15">
        <v>2.41</v>
      </c>
      <c r="P217" s="10" t="s">
        <v>31</v>
      </c>
      <c r="Q217" s="15" t="s">
        <v>32</v>
      </c>
      <c r="R217" s="10" t="s">
        <v>33</v>
      </c>
      <c r="S217" s="10" t="s">
        <v>783</v>
      </c>
      <c r="T217" s="15">
        <f>IF(O217="","",(1/Metadata!$B$5)^(O217-1))</f>
        <v>25.703957827688658</v>
      </c>
      <c r="U217" s="14">
        <f t="shared" si="3"/>
        <v>8744.3267788189842</v>
      </c>
      <c r="V217" s="22" t="s">
        <v>237</v>
      </c>
      <c r="W217" s="21" t="s">
        <v>786</v>
      </c>
    </row>
    <row r="218" spans="1:23" ht="18" customHeight="1">
      <c r="A218" s="10" t="s">
        <v>23</v>
      </c>
      <c r="B218" s="10" t="s">
        <v>24</v>
      </c>
      <c r="C218" s="10" t="s">
        <v>25</v>
      </c>
      <c r="D218" s="13">
        <v>2019</v>
      </c>
      <c r="E218" s="10" t="s">
        <v>787</v>
      </c>
      <c r="F218" s="10" t="s">
        <v>788</v>
      </c>
      <c r="G218" s="10" t="s">
        <v>234</v>
      </c>
      <c r="H218" s="10" t="s">
        <v>29</v>
      </c>
      <c r="I218" s="14">
        <v>334.940115182</v>
      </c>
      <c r="J218" s="14">
        <v>317.79156623620003</v>
      </c>
      <c r="K218" s="14">
        <v>17.148548945800002</v>
      </c>
      <c r="L218" s="14">
        <v>309.63314173999999</v>
      </c>
      <c r="M218" s="14">
        <v>25.306973442</v>
      </c>
      <c r="N218" s="10" t="s">
        <v>789</v>
      </c>
      <c r="O218" s="15">
        <v>2.2999999999999998</v>
      </c>
      <c r="P218" s="10" t="s">
        <v>31</v>
      </c>
      <c r="Q218" s="15" t="s">
        <v>32</v>
      </c>
      <c r="R218" s="10" t="s">
        <v>33</v>
      </c>
      <c r="S218" s="10" t="s">
        <v>787</v>
      </c>
      <c r="T218" s="15">
        <f>IF(O218="","",(1/Metadata!$B$5)^(O218-1))</f>
        <v>19.952623149688797</v>
      </c>
      <c r="U218" s="14">
        <f t="shared" si="3"/>
        <v>6682.9338959398056</v>
      </c>
      <c r="V218" s="22" t="s">
        <v>237</v>
      </c>
      <c r="W218" s="21" t="s">
        <v>238</v>
      </c>
    </row>
    <row r="219" spans="1:23" ht="18" customHeight="1">
      <c r="A219" s="10" t="s">
        <v>23</v>
      </c>
      <c r="B219" s="10" t="s">
        <v>24</v>
      </c>
      <c r="C219" s="10" t="s">
        <v>25</v>
      </c>
      <c r="D219" s="13">
        <v>2019</v>
      </c>
      <c r="E219" s="10" t="s">
        <v>790</v>
      </c>
      <c r="F219" s="10" t="s">
        <v>791</v>
      </c>
      <c r="G219" s="10" t="s">
        <v>234</v>
      </c>
      <c r="H219" s="10" t="s">
        <v>235</v>
      </c>
      <c r="I219" s="14">
        <v>333.70955068529997</v>
      </c>
      <c r="J219" s="14">
        <v>333.70955068529997</v>
      </c>
      <c r="K219" s="14">
        <v>0</v>
      </c>
      <c r="L219" s="14">
        <v>0</v>
      </c>
      <c r="M219" s="14">
        <v>333.70955068529997</v>
      </c>
      <c r="N219" s="10" t="s">
        <v>792</v>
      </c>
      <c r="O219" s="15">
        <v>2</v>
      </c>
      <c r="P219" s="10" t="s">
        <v>31</v>
      </c>
      <c r="Q219" s="15" t="s">
        <v>32</v>
      </c>
      <c r="R219" s="10" t="s">
        <v>33</v>
      </c>
      <c r="S219" s="10" t="s">
        <v>790</v>
      </c>
      <c r="T219" s="15">
        <f>IF(O219="","",(1/Metadata!$B$5)^(O219-1))</f>
        <v>10</v>
      </c>
      <c r="U219" s="14">
        <f t="shared" si="3"/>
        <v>3337.0955068529997</v>
      </c>
      <c r="V219" s="22" t="s">
        <v>237</v>
      </c>
      <c r="W219" s="21" t="s">
        <v>238</v>
      </c>
    </row>
    <row r="220" spans="1:23" ht="18" customHeight="1">
      <c r="A220" s="10" t="s">
        <v>23</v>
      </c>
      <c r="B220" s="10" t="s">
        <v>24</v>
      </c>
      <c r="C220" s="10" t="s">
        <v>25</v>
      </c>
      <c r="D220" s="13">
        <v>2019</v>
      </c>
      <c r="E220" s="10" t="s">
        <v>793</v>
      </c>
      <c r="F220" s="10" t="s">
        <v>794</v>
      </c>
      <c r="G220" s="10" t="s">
        <v>261</v>
      </c>
      <c r="H220" s="10" t="s">
        <v>47</v>
      </c>
      <c r="I220" s="14">
        <v>286.6215450862</v>
      </c>
      <c r="J220" s="14">
        <v>286.6215450862</v>
      </c>
      <c r="K220" s="14">
        <v>0</v>
      </c>
      <c r="L220" s="14">
        <v>177.3987701545</v>
      </c>
      <c r="M220" s="14">
        <v>109.2227749317</v>
      </c>
      <c r="N220" s="10" t="s">
        <v>795</v>
      </c>
      <c r="O220" s="15">
        <v>2.0299999999999998</v>
      </c>
      <c r="P220" s="10" t="s">
        <v>31</v>
      </c>
      <c r="Q220" s="15" t="s">
        <v>32</v>
      </c>
      <c r="R220" s="10" t="s">
        <v>33</v>
      </c>
      <c r="S220" s="10" t="s">
        <v>793</v>
      </c>
      <c r="T220" s="15">
        <f>IF(O220="","",(1/Metadata!$B$5)^(O220-1))</f>
        <v>10.715193052376064</v>
      </c>
      <c r="U220" s="14">
        <f t="shared" si="3"/>
        <v>3071.205188568943</v>
      </c>
      <c r="V220" s="22" t="s">
        <v>66</v>
      </c>
      <c r="W220" s="21" t="s">
        <v>67</v>
      </c>
    </row>
    <row r="221" spans="1:23" ht="18" customHeight="1">
      <c r="A221" s="10" t="s">
        <v>23</v>
      </c>
      <c r="B221" s="10" t="s">
        <v>24</v>
      </c>
      <c r="C221" s="10" t="s">
        <v>25</v>
      </c>
      <c r="D221" s="13">
        <v>2019</v>
      </c>
      <c r="E221" s="10" t="s">
        <v>796</v>
      </c>
      <c r="F221" s="10" t="s">
        <v>797</v>
      </c>
      <c r="G221" s="10" t="s">
        <v>127</v>
      </c>
      <c r="H221" s="10" t="s">
        <v>47</v>
      </c>
      <c r="I221" s="14">
        <v>286.21589143300002</v>
      </c>
      <c r="J221" s="14">
        <v>286.21589143300002</v>
      </c>
      <c r="K221" s="14">
        <v>0</v>
      </c>
      <c r="L221" s="14">
        <v>0</v>
      </c>
      <c r="M221" s="14">
        <v>286.21589143300002</v>
      </c>
      <c r="N221" s="10" t="s">
        <v>798</v>
      </c>
      <c r="O221" s="15">
        <v>4.3499999999999996</v>
      </c>
      <c r="P221" s="10" t="s">
        <v>31</v>
      </c>
      <c r="Q221" s="15" t="s">
        <v>32</v>
      </c>
      <c r="R221" s="10" t="s">
        <v>33</v>
      </c>
      <c r="S221" s="10" t="s">
        <v>796</v>
      </c>
      <c r="T221" s="15">
        <f>IF(O221="","",(1/Metadata!$B$5)^(O221-1))</f>
        <v>2238.7211385683395</v>
      </c>
      <c r="U221" s="14">
        <f t="shared" si="3"/>
        <v>640757.56634523801</v>
      </c>
      <c r="V221" s="22" t="s">
        <v>129</v>
      </c>
      <c r="W221" s="21" t="s">
        <v>130</v>
      </c>
    </row>
    <row r="222" spans="1:23" ht="18" customHeight="1">
      <c r="A222" s="10" t="s">
        <v>23</v>
      </c>
      <c r="B222" s="10" t="s">
        <v>24</v>
      </c>
      <c r="C222" s="10" t="s">
        <v>25</v>
      </c>
      <c r="D222" s="13">
        <v>2019</v>
      </c>
      <c r="E222" s="10" t="s">
        <v>799</v>
      </c>
      <c r="F222" s="10" t="s">
        <v>800</v>
      </c>
      <c r="G222" s="10" t="s">
        <v>53</v>
      </c>
      <c r="H222" s="10" t="s">
        <v>39</v>
      </c>
      <c r="I222" s="14">
        <v>259.17803463489997</v>
      </c>
      <c r="J222" s="14">
        <v>259.17803463489997</v>
      </c>
      <c r="K222" s="14">
        <v>0</v>
      </c>
      <c r="L222" s="14">
        <v>259.17803463489997</v>
      </c>
      <c r="M222" s="14">
        <v>0</v>
      </c>
      <c r="N222" s="10" t="s">
        <v>801</v>
      </c>
      <c r="O222" s="15">
        <v>3.37</v>
      </c>
      <c r="P222" s="10" t="s">
        <v>31</v>
      </c>
      <c r="Q222" s="15" t="s">
        <v>32</v>
      </c>
      <c r="R222" s="10" t="s">
        <v>33</v>
      </c>
      <c r="S222" s="10" t="s">
        <v>799</v>
      </c>
      <c r="T222" s="15">
        <f>IF(O222="","",(1/Metadata!$B$5)^(O222-1))</f>
        <v>234.42288153199232</v>
      </c>
      <c r="U222" s="14">
        <f t="shared" si="3"/>
        <v>60757.261708911756</v>
      </c>
      <c r="V222" s="22" t="s">
        <v>55</v>
      </c>
      <c r="W222" s="21" t="s">
        <v>56</v>
      </c>
    </row>
    <row r="223" spans="1:23" ht="18" customHeight="1">
      <c r="A223" s="10" t="s">
        <v>23</v>
      </c>
      <c r="B223" s="10" t="s">
        <v>24</v>
      </c>
      <c r="C223" s="10" t="s">
        <v>25</v>
      </c>
      <c r="D223" s="13">
        <v>2019</v>
      </c>
      <c r="E223" s="10" t="s">
        <v>802</v>
      </c>
      <c r="F223" s="10" t="s">
        <v>803</v>
      </c>
      <c r="G223" s="10" t="s">
        <v>216</v>
      </c>
      <c r="H223" s="10" t="s">
        <v>47</v>
      </c>
      <c r="I223" s="14">
        <v>255.29897693390001</v>
      </c>
      <c r="J223" s="14">
        <v>255.29897693390001</v>
      </c>
      <c r="K223" s="14">
        <v>0</v>
      </c>
      <c r="L223" s="14">
        <v>156.5022324951</v>
      </c>
      <c r="M223" s="14">
        <v>98.796744438800005</v>
      </c>
      <c r="N223" s="10" t="s">
        <v>804</v>
      </c>
      <c r="O223" s="15">
        <v>3.75</v>
      </c>
      <c r="P223" s="10" t="s">
        <v>31</v>
      </c>
      <c r="Q223" s="15" t="s">
        <v>32</v>
      </c>
      <c r="R223" s="10" t="s">
        <v>33</v>
      </c>
      <c r="S223" s="10" t="s">
        <v>802</v>
      </c>
      <c r="T223" s="15">
        <f>IF(O223="","",(1/Metadata!$B$5)^(O223-1))</f>
        <v>562.34132519034927</v>
      </c>
      <c r="U223" s="14">
        <f t="shared" si="3"/>
        <v>143565.16500874975</v>
      </c>
      <c r="V223" s="22" t="s">
        <v>74</v>
      </c>
      <c r="W223" s="21" t="s">
        <v>75</v>
      </c>
    </row>
    <row r="224" spans="1:23" ht="18" customHeight="1">
      <c r="A224" s="10" t="s">
        <v>23</v>
      </c>
      <c r="B224" s="10" t="s">
        <v>24</v>
      </c>
      <c r="C224" s="10" t="s">
        <v>25</v>
      </c>
      <c r="D224" s="13">
        <v>2019</v>
      </c>
      <c r="E224" s="10" t="s">
        <v>805</v>
      </c>
      <c r="F224" s="10" t="s">
        <v>806</v>
      </c>
      <c r="G224" s="10" t="s">
        <v>216</v>
      </c>
      <c r="H224" s="10" t="s">
        <v>47</v>
      </c>
      <c r="I224" s="14">
        <v>250.5902974437</v>
      </c>
      <c r="J224" s="14">
        <v>250.5902974437</v>
      </c>
      <c r="K224" s="14">
        <v>0</v>
      </c>
      <c r="L224" s="14">
        <v>155.30200983980001</v>
      </c>
      <c r="M224" s="14">
        <v>95.288287603900002</v>
      </c>
      <c r="N224" s="10" t="s">
        <v>807</v>
      </c>
      <c r="O224" s="15">
        <v>3.68</v>
      </c>
      <c r="P224" s="10" t="s">
        <v>41</v>
      </c>
      <c r="Q224" s="15" t="s">
        <v>42</v>
      </c>
      <c r="R224" s="10" t="s">
        <v>33</v>
      </c>
      <c r="S224" s="10" t="s">
        <v>805</v>
      </c>
      <c r="T224" s="15">
        <f>IF(O224="","",(1/Metadata!$B$5)^(O224-1))</f>
        <v>478.63009232263886</v>
      </c>
      <c r="U224" s="14">
        <f t="shared" si="3"/>
        <v>119940.05720063567</v>
      </c>
      <c r="V224" s="22" t="s">
        <v>74</v>
      </c>
      <c r="W224" s="21" t="s">
        <v>808</v>
      </c>
    </row>
    <row r="225" spans="1:23" ht="18" customHeight="1">
      <c r="A225" s="10" t="s">
        <v>23</v>
      </c>
      <c r="B225" s="10" t="s">
        <v>24</v>
      </c>
      <c r="C225" s="10" t="s">
        <v>25</v>
      </c>
      <c r="D225" s="13">
        <v>2019</v>
      </c>
      <c r="E225" s="10" t="s">
        <v>809</v>
      </c>
      <c r="F225" s="10" t="s">
        <v>810</v>
      </c>
      <c r="G225" s="10" t="s">
        <v>28</v>
      </c>
      <c r="H225" s="10" t="s">
        <v>47</v>
      </c>
      <c r="I225" s="14">
        <v>250.14889349040001</v>
      </c>
      <c r="J225" s="14">
        <v>250.14889349040001</v>
      </c>
      <c r="K225" s="14">
        <v>0</v>
      </c>
      <c r="L225" s="14">
        <v>79.998046530099998</v>
      </c>
      <c r="M225" s="14">
        <v>170.15084696029999</v>
      </c>
      <c r="N225" s="10" t="s">
        <v>811</v>
      </c>
      <c r="O225" s="15">
        <v>2.75</v>
      </c>
      <c r="P225" s="10" t="s">
        <v>31</v>
      </c>
      <c r="Q225" s="15" t="s">
        <v>32</v>
      </c>
      <c r="R225" s="10" t="s">
        <v>33</v>
      </c>
      <c r="S225" s="10" t="s">
        <v>809</v>
      </c>
      <c r="T225" s="15">
        <f>IF(O225="","",(1/Metadata!$B$5)^(O225-1))</f>
        <v>56.234132519034915</v>
      </c>
      <c r="U225" s="14">
        <f t="shared" si="3"/>
        <v>14066.906026029104</v>
      </c>
      <c r="V225" s="22" t="s">
        <v>66</v>
      </c>
      <c r="W225" s="21" t="s">
        <v>812</v>
      </c>
    </row>
    <row r="226" spans="1:23" ht="18" customHeight="1">
      <c r="A226" s="10" t="s">
        <v>23</v>
      </c>
      <c r="B226" s="10" t="s">
        <v>24</v>
      </c>
      <c r="C226" s="10" t="s">
        <v>25</v>
      </c>
      <c r="D226" s="13">
        <v>2019</v>
      </c>
      <c r="E226" s="10" t="s">
        <v>813</v>
      </c>
      <c r="F226" s="10" t="s">
        <v>814</v>
      </c>
      <c r="G226" s="10" t="s">
        <v>136</v>
      </c>
      <c r="H226" s="10" t="s">
        <v>137</v>
      </c>
      <c r="I226" s="14">
        <v>231.88878201110001</v>
      </c>
      <c r="J226" s="14">
        <v>231.88878201110001</v>
      </c>
      <c r="K226" s="14">
        <v>0</v>
      </c>
      <c r="L226" s="14">
        <v>231.88878201110001</v>
      </c>
      <c r="M226" s="14">
        <v>0</v>
      </c>
      <c r="N226" s="10" t="s">
        <v>815</v>
      </c>
      <c r="O226" s="15">
        <v>4.2</v>
      </c>
      <c r="P226" s="10" t="s">
        <v>31</v>
      </c>
      <c r="Q226" s="15" t="s">
        <v>32</v>
      </c>
      <c r="R226" s="10" t="s">
        <v>33</v>
      </c>
      <c r="S226" s="10" t="s">
        <v>813</v>
      </c>
      <c r="T226" s="15">
        <f>IF(O226="","",(1/Metadata!$B$5)^(O226-1))</f>
        <v>1584.8931924611156</v>
      </c>
      <c r="U226" s="14">
        <f t="shared" si="3"/>
        <v>367518.95201749203</v>
      </c>
      <c r="V226" s="22" t="s">
        <v>447</v>
      </c>
      <c r="W226" s="21" t="s">
        <v>448</v>
      </c>
    </row>
    <row r="227" spans="1:23" ht="18" customHeight="1">
      <c r="A227" s="10" t="s">
        <v>23</v>
      </c>
      <c r="B227" s="10" t="s">
        <v>24</v>
      </c>
      <c r="C227" s="10" t="s">
        <v>25</v>
      </c>
      <c r="D227" s="13">
        <v>2019</v>
      </c>
      <c r="E227" s="10" t="s">
        <v>816</v>
      </c>
      <c r="F227" s="10" t="s">
        <v>817</v>
      </c>
      <c r="G227" s="10" t="s">
        <v>88</v>
      </c>
      <c r="H227" s="10" t="s">
        <v>89</v>
      </c>
      <c r="I227" s="14">
        <v>221.19337206739999</v>
      </c>
      <c r="J227" s="14">
        <v>221.19337206739999</v>
      </c>
      <c r="K227" s="14">
        <v>0</v>
      </c>
      <c r="L227" s="14">
        <v>116.2678102533</v>
      </c>
      <c r="M227" s="14">
        <v>104.92556181410001</v>
      </c>
      <c r="N227" s="10" t="s">
        <v>818</v>
      </c>
      <c r="O227" s="15">
        <v>2.71</v>
      </c>
      <c r="P227" s="10" t="s">
        <v>31</v>
      </c>
      <c r="Q227" s="15" t="s">
        <v>32</v>
      </c>
      <c r="R227" s="10" t="s">
        <v>33</v>
      </c>
      <c r="S227" s="10" t="s">
        <v>816</v>
      </c>
      <c r="T227" s="15">
        <f>IF(O227="","",(1/Metadata!$B$5)^(O227-1))</f>
        <v>51.28613839913649</v>
      </c>
      <c r="U227" s="14">
        <f t="shared" si="3"/>
        <v>11344.153892820368</v>
      </c>
      <c r="V227" s="22" t="s">
        <v>91</v>
      </c>
      <c r="W227" s="21" t="s">
        <v>819</v>
      </c>
    </row>
    <row r="228" spans="1:23" ht="18" customHeight="1">
      <c r="A228" s="10" t="s">
        <v>23</v>
      </c>
      <c r="B228" s="10" t="s">
        <v>24</v>
      </c>
      <c r="C228" s="10" t="s">
        <v>25</v>
      </c>
      <c r="D228" s="13">
        <v>2019</v>
      </c>
      <c r="E228" s="10" t="s">
        <v>820</v>
      </c>
      <c r="F228" s="10" t="s">
        <v>821</v>
      </c>
      <c r="G228" s="10" t="s">
        <v>261</v>
      </c>
      <c r="H228" s="10" t="s">
        <v>29</v>
      </c>
      <c r="I228" s="14">
        <v>215.54627920690001</v>
      </c>
      <c r="J228" s="14">
        <v>215.54627920690001</v>
      </c>
      <c r="K228" s="14">
        <v>0</v>
      </c>
      <c r="L228" s="14">
        <v>113.8760779845</v>
      </c>
      <c r="M228" s="14">
        <v>101.6702012224</v>
      </c>
      <c r="N228" s="10" t="s">
        <v>822</v>
      </c>
      <c r="O228" s="15">
        <v>3.3</v>
      </c>
      <c r="P228" s="10" t="s">
        <v>31</v>
      </c>
      <c r="Q228" s="15" t="s">
        <v>32</v>
      </c>
      <c r="R228" s="10" t="s">
        <v>33</v>
      </c>
      <c r="S228" s="10" t="s">
        <v>820</v>
      </c>
      <c r="T228" s="15">
        <f>IF(O228="","",(1/Metadata!$B$5)^(O228-1))</f>
        <v>199.52623149688802</v>
      </c>
      <c r="U228" s="14">
        <f t="shared" si="3"/>
        <v>43007.136803328794</v>
      </c>
      <c r="V228" s="22" t="s">
        <v>55</v>
      </c>
      <c r="W228" s="21" t="s">
        <v>56</v>
      </c>
    </row>
    <row r="229" spans="1:23" ht="18" customHeight="1">
      <c r="A229" s="10" t="s">
        <v>23</v>
      </c>
      <c r="B229" s="10" t="s">
        <v>24</v>
      </c>
      <c r="C229" s="10" t="s">
        <v>25</v>
      </c>
      <c r="D229" s="13">
        <v>2019</v>
      </c>
      <c r="E229" s="10" t="s">
        <v>823</v>
      </c>
      <c r="F229" s="10" t="s">
        <v>824</v>
      </c>
      <c r="G229" s="10" t="s">
        <v>136</v>
      </c>
      <c r="H229" s="10" t="s">
        <v>137</v>
      </c>
      <c r="I229" s="14">
        <v>202.58160726989999</v>
      </c>
      <c r="J229" s="14">
        <v>202.58160726989999</v>
      </c>
      <c r="K229" s="14">
        <v>0</v>
      </c>
      <c r="L229" s="14">
        <v>202.58160726989999</v>
      </c>
      <c r="M229" s="14">
        <v>0</v>
      </c>
      <c r="N229" s="10" t="s">
        <v>825</v>
      </c>
      <c r="O229" s="15">
        <v>4.1900000000000004</v>
      </c>
      <c r="P229" s="10" t="s">
        <v>31</v>
      </c>
      <c r="Q229" s="15" t="s">
        <v>32</v>
      </c>
      <c r="R229" s="10" t="s">
        <v>33</v>
      </c>
      <c r="S229" s="10" t="s">
        <v>823</v>
      </c>
      <c r="T229" s="15">
        <f>IF(O229="","",(1/Metadata!$B$5)^(O229-1))</f>
        <v>1548.8166189124836</v>
      </c>
      <c r="U229" s="14">
        <f t="shared" si="3"/>
        <v>313761.76002562308</v>
      </c>
      <c r="V229" s="22" t="s">
        <v>447</v>
      </c>
      <c r="W229" s="21" t="s">
        <v>448</v>
      </c>
    </row>
    <row r="230" spans="1:23" ht="18" customHeight="1">
      <c r="A230" s="10" t="s">
        <v>23</v>
      </c>
      <c r="B230" s="10" t="s">
        <v>24</v>
      </c>
      <c r="C230" s="10" t="s">
        <v>25</v>
      </c>
      <c r="D230" s="13">
        <v>2019</v>
      </c>
      <c r="E230" s="10" t="s">
        <v>826</v>
      </c>
      <c r="F230" s="10" t="s">
        <v>827</v>
      </c>
      <c r="G230" s="10" t="s">
        <v>122</v>
      </c>
      <c r="H230" s="10" t="s">
        <v>89</v>
      </c>
      <c r="I230" s="14">
        <v>191.7989766309</v>
      </c>
      <c r="J230" s="14">
        <v>191.7989766309</v>
      </c>
      <c r="K230" s="14">
        <v>0</v>
      </c>
      <c r="L230" s="14">
        <v>191.7989766309</v>
      </c>
      <c r="M230" s="14">
        <v>0</v>
      </c>
      <c r="N230" s="10" t="s">
        <v>828</v>
      </c>
      <c r="O230" s="15">
        <v>3.57</v>
      </c>
      <c r="P230" s="10" t="s">
        <v>31</v>
      </c>
      <c r="Q230" s="15" t="s">
        <v>32</v>
      </c>
      <c r="R230" s="10" t="s">
        <v>33</v>
      </c>
      <c r="S230" s="10" t="s">
        <v>826</v>
      </c>
      <c r="T230" s="15">
        <f>IF(O230="","",(1/Metadata!$B$5)^(O230-1))</f>
        <v>371.53522909717265</v>
      </c>
      <c r="U230" s="14">
        <f t="shared" si="3"/>
        <v>71260.07672316469</v>
      </c>
      <c r="V230" s="22" t="s">
        <v>91</v>
      </c>
      <c r="W230" s="21" t="s">
        <v>242</v>
      </c>
    </row>
    <row r="231" spans="1:23" ht="18" customHeight="1">
      <c r="A231" s="10" t="s">
        <v>23</v>
      </c>
      <c r="B231" s="10" t="s">
        <v>24</v>
      </c>
      <c r="C231" s="10" t="s">
        <v>25</v>
      </c>
      <c r="D231" s="13">
        <v>2019</v>
      </c>
      <c r="E231" s="10" t="s">
        <v>829</v>
      </c>
      <c r="F231" s="10" t="s">
        <v>830</v>
      </c>
      <c r="G231" s="10" t="s">
        <v>157</v>
      </c>
      <c r="H231" s="10" t="s">
        <v>173</v>
      </c>
      <c r="I231" s="14">
        <v>190.99805696320001</v>
      </c>
      <c r="J231" s="14">
        <v>190.99805696320001</v>
      </c>
      <c r="K231" s="14">
        <v>0</v>
      </c>
      <c r="L231" s="14">
        <v>104.572603493</v>
      </c>
      <c r="M231" s="14">
        <v>86.425453470199997</v>
      </c>
      <c r="N231" s="10" t="s">
        <v>831</v>
      </c>
      <c r="O231" s="15">
        <v>4.58</v>
      </c>
      <c r="P231" s="10" t="s">
        <v>41</v>
      </c>
      <c r="Q231" s="15" t="s">
        <v>42</v>
      </c>
      <c r="R231" s="10" t="s">
        <v>33</v>
      </c>
      <c r="S231" s="10" t="s">
        <v>829</v>
      </c>
      <c r="T231" s="15">
        <f>IF(O231="","",(1/Metadata!$B$5)^(O231-1))</f>
        <v>3801.8939632056172</v>
      </c>
      <c r="U231" s="14">
        <f t="shared" si="3"/>
        <v>726154.35975239275</v>
      </c>
      <c r="V231" s="22" t="s">
        <v>832</v>
      </c>
      <c r="W231" s="21" t="s">
        <v>833</v>
      </c>
    </row>
    <row r="232" spans="1:23" ht="18" customHeight="1">
      <c r="A232" s="10" t="s">
        <v>23</v>
      </c>
      <c r="B232" s="10" t="s">
        <v>24</v>
      </c>
      <c r="C232" s="10" t="s">
        <v>25</v>
      </c>
      <c r="D232" s="13">
        <v>2019</v>
      </c>
      <c r="E232" s="10" t="s">
        <v>834</v>
      </c>
      <c r="F232" s="10" t="s">
        <v>835</v>
      </c>
      <c r="G232" s="10" t="s">
        <v>122</v>
      </c>
      <c r="H232" s="10" t="s">
        <v>89</v>
      </c>
      <c r="I232" s="14">
        <v>190.64154156839999</v>
      </c>
      <c r="J232" s="14">
        <v>190.64154156839999</v>
      </c>
      <c r="K232" s="14">
        <v>0</v>
      </c>
      <c r="L232" s="14">
        <v>190.64154156839999</v>
      </c>
      <c r="M232" s="14">
        <v>0</v>
      </c>
      <c r="N232" s="10" t="s">
        <v>836</v>
      </c>
      <c r="O232" s="15">
        <v>3.57</v>
      </c>
      <c r="P232" s="10" t="s">
        <v>31</v>
      </c>
      <c r="Q232" s="15" t="s">
        <v>32</v>
      </c>
      <c r="R232" s="10" t="s">
        <v>33</v>
      </c>
      <c r="S232" s="10" t="s">
        <v>834</v>
      </c>
      <c r="T232" s="15">
        <f>IF(O232="","",(1/Metadata!$B$5)^(O232-1))</f>
        <v>371.53522909717265</v>
      </c>
      <c r="U232" s="14">
        <f t="shared" si="3"/>
        <v>70830.04882205365</v>
      </c>
      <c r="V232" s="22" t="s">
        <v>91</v>
      </c>
      <c r="W232" s="21" t="s">
        <v>242</v>
      </c>
    </row>
    <row r="233" spans="1:23" ht="18" customHeight="1">
      <c r="A233" s="10" t="s">
        <v>23</v>
      </c>
      <c r="B233" s="10" t="s">
        <v>24</v>
      </c>
      <c r="C233" s="10" t="s">
        <v>25</v>
      </c>
      <c r="D233" s="13">
        <v>2019</v>
      </c>
      <c r="E233" s="10" t="s">
        <v>837</v>
      </c>
      <c r="F233" s="10" t="s">
        <v>838</v>
      </c>
      <c r="G233" s="10" t="s">
        <v>157</v>
      </c>
      <c r="H233" s="10" t="s">
        <v>173</v>
      </c>
      <c r="I233" s="14">
        <v>184.52468580710001</v>
      </c>
      <c r="J233" s="14">
        <v>184.52468580710001</v>
      </c>
      <c r="K233" s="14">
        <v>0</v>
      </c>
      <c r="L233" s="14">
        <v>184.52468580710001</v>
      </c>
      <c r="M233" s="14">
        <v>0</v>
      </c>
      <c r="N233" s="10" t="s">
        <v>839</v>
      </c>
      <c r="O233" s="15">
        <v>4.21</v>
      </c>
      <c r="P233" s="10" t="s">
        <v>41</v>
      </c>
      <c r="Q233" s="15" t="s">
        <v>42</v>
      </c>
      <c r="R233" s="10" t="s">
        <v>33</v>
      </c>
      <c r="S233" s="10" t="s">
        <v>837</v>
      </c>
      <c r="T233" s="15">
        <f>IF(O233="","",(1/Metadata!$B$5)^(O233-1))</f>
        <v>1621.8100973589308</v>
      </c>
      <c r="U233" s="14">
        <f t="shared" si="3"/>
        <v>299263.99865393899</v>
      </c>
      <c r="V233" s="22" t="s">
        <v>180</v>
      </c>
      <c r="W233" s="21" t="s">
        <v>195</v>
      </c>
    </row>
    <row r="234" spans="1:23" ht="18" customHeight="1">
      <c r="A234" s="10" t="s">
        <v>23</v>
      </c>
      <c r="B234" s="10" t="s">
        <v>24</v>
      </c>
      <c r="C234" s="10" t="s">
        <v>25</v>
      </c>
      <c r="D234" s="13">
        <v>2019</v>
      </c>
      <c r="E234" s="10" t="s">
        <v>840</v>
      </c>
      <c r="F234" s="10" t="s">
        <v>841</v>
      </c>
      <c r="G234" s="10" t="s">
        <v>234</v>
      </c>
      <c r="H234" s="10" t="s">
        <v>235</v>
      </c>
      <c r="I234" s="14">
        <v>180.24180078660001</v>
      </c>
      <c r="J234" s="14">
        <v>180.24180078660001</v>
      </c>
      <c r="K234" s="14">
        <v>0</v>
      </c>
      <c r="L234" s="14">
        <v>0</v>
      </c>
      <c r="M234" s="14">
        <v>180.24180078660001</v>
      </c>
      <c r="N234" s="10" t="s">
        <v>842</v>
      </c>
      <c r="O234" s="15">
        <v>2</v>
      </c>
      <c r="P234" s="10" t="s">
        <v>31</v>
      </c>
      <c r="Q234" s="15" t="s">
        <v>32</v>
      </c>
      <c r="R234" s="10" t="s">
        <v>33</v>
      </c>
      <c r="S234" s="10" t="s">
        <v>840</v>
      </c>
      <c r="T234" s="15">
        <f>IF(O234="","",(1/Metadata!$B$5)^(O234-1))</f>
        <v>10</v>
      </c>
      <c r="U234" s="14">
        <f t="shared" si="3"/>
        <v>1802.4180078660002</v>
      </c>
      <c r="V234" s="22" t="s">
        <v>237</v>
      </c>
      <c r="W234" s="21" t="s">
        <v>238</v>
      </c>
    </row>
    <row r="235" spans="1:23" ht="18" customHeight="1">
      <c r="A235" s="10" t="s">
        <v>23</v>
      </c>
      <c r="B235" s="10" t="s">
        <v>24</v>
      </c>
      <c r="C235" s="10" t="s">
        <v>25</v>
      </c>
      <c r="D235" s="13">
        <v>2019</v>
      </c>
      <c r="E235" s="10" t="s">
        <v>843</v>
      </c>
      <c r="F235" s="10" t="s">
        <v>844</v>
      </c>
      <c r="G235" s="10" t="s">
        <v>28</v>
      </c>
      <c r="H235" s="10" t="s">
        <v>47</v>
      </c>
      <c r="I235" s="14">
        <v>165.54204658879999</v>
      </c>
      <c r="J235" s="14">
        <v>165.54204658879999</v>
      </c>
      <c r="K235" s="14">
        <v>0</v>
      </c>
      <c r="L235" s="14">
        <v>0</v>
      </c>
      <c r="M235" s="14">
        <v>165.54204658879999</v>
      </c>
      <c r="N235" s="10" t="s">
        <v>845</v>
      </c>
      <c r="O235" s="15">
        <v>3.33</v>
      </c>
      <c r="P235" s="10" t="s">
        <v>41</v>
      </c>
      <c r="Q235" s="15" t="s">
        <v>42</v>
      </c>
      <c r="R235" s="10" t="s">
        <v>33</v>
      </c>
      <c r="S235" s="10" t="s">
        <v>843</v>
      </c>
      <c r="T235" s="15">
        <f>IF(O235="","",(1/Metadata!$B$5)^(O235-1))</f>
        <v>213.79620895022339</v>
      </c>
      <c r="U235" s="14">
        <f t="shared" si="3"/>
        <v>35392.261982546697</v>
      </c>
      <c r="V235" s="22" t="s">
        <v>66</v>
      </c>
      <c r="W235" s="21" t="s">
        <v>67</v>
      </c>
    </row>
    <row r="236" spans="1:23" ht="18" customHeight="1">
      <c r="A236" s="10" t="s">
        <v>23</v>
      </c>
      <c r="B236" s="10" t="s">
        <v>24</v>
      </c>
      <c r="C236" s="10" t="s">
        <v>25</v>
      </c>
      <c r="D236" s="13">
        <v>2019</v>
      </c>
      <c r="E236" s="10" t="s">
        <v>846</v>
      </c>
      <c r="F236" s="10" t="s">
        <v>847</v>
      </c>
      <c r="G236" s="10" t="s">
        <v>234</v>
      </c>
      <c r="H236" s="10" t="s">
        <v>235</v>
      </c>
      <c r="I236" s="14">
        <v>164.7650451003</v>
      </c>
      <c r="J236" s="14">
        <v>164.7650451003</v>
      </c>
      <c r="K236" s="14">
        <v>0</v>
      </c>
      <c r="L236" s="14">
        <v>86.045774157899999</v>
      </c>
      <c r="M236" s="14">
        <v>78.719270942400001</v>
      </c>
      <c r="N236" s="10" t="s">
        <v>848</v>
      </c>
      <c r="O236" s="15">
        <v>2</v>
      </c>
      <c r="P236" s="10" t="s">
        <v>41</v>
      </c>
      <c r="Q236" s="15" t="s">
        <v>42</v>
      </c>
      <c r="R236" s="10" t="s">
        <v>33</v>
      </c>
      <c r="S236" s="10" t="s">
        <v>846</v>
      </c>
      <c r="T236" s="15">
        <f>IF(O236="","",(1/Metadata!$B$5)^(O236-1))</f>
        <v>10</v>
      </c>
      <c r="U236" s="14">
        <f t="shared" si="3"/>
        <v>1647.6504510029999</v>
      </c>
      <c r="V236" s="22" t="s">
        <v>237</v>
      </c>
      <c r="W236" s="21" t="s">
        <v>238</v>
      </c>
    </row>
    <row r="237" spans="1:23" ht="18" customHeight="1">
      <c r="A237" s="10" t="s">
        <v>23</v>
      </c>
      <c r="B237" s="10" t="s">
        <v>24</v>
      </c>
      <c r="C237" s="10" t="s">
        <v>25</v>
      </c>
      <c r="D237" s="13">
        <v>2019</v>
      </c>
      <c r="E237" s="10" t="s">
        <v>849</v>
      </c>
      <c r="F237" s="10" t="s">
        <v>850</v>
      </c>
      <c r="G237" s="10" t="s">
        <v>234</v>
      </c>
      <c r="H237" s="10" t="s">
        <v>29</v>
      </c>
      <c r="I237" s="14">
        <v>164.6102441232</v>
      </c>
      <c r="J237" s="14">
        <v>164.6102441232</v>
      </c>
      <c r="K237" s="14">
        <v>0</v>
      </c>
      <c r="L237" s="14">
        <v>0</v>
      </c>
      <c r="M237" s="14">
        <v>164.6102441232</v>
      </c>
      <c r="N237" s="10" t="s">
        <v>851</v>
      </c>
      <c r="O237" s="15">
        <v>2</v>
      </c>
      <c r="P237" s="10" t="s">
        <v>31</v>
      </c>
      <c r="Q237" s="15" t="s">
        <v>32</v>
      </c>
      <c r="R237" s="10" t="s">
        <v>33</v>
      </c>
      <c r="S237" s="10" t="s">
        <v>849</v>
      </c>
      <c r="T237" s="15">
        <f>IF(O237="","",(1/Metadata!$B$5)^(O237-1))</f>
        <v>10</v>
      </c>
      <c r="U237" s="14">
        <f t="shared" si="3"/>
        <v>1646.102441232</v>
      </c>
      <c r="V237" s="22" t="s">
        <v>237</v>
      </c>
      <c r="W237" s="21" t="s">
        <v>238</v>
      </c>
    </row>
    <row r="238" spans="1:23" ht="18" customHeight="1">
      <c r="A238" s="10" t="s">
        <v>23</v>
      </c>
      <c r="B238" s="10" t="s">
        <v>24</v>
      </c>
      <c r="C238" s="10" t="s">
        <v>25</v>
      </c>
      <c r="D238" s="13">
        <v>2019</v>
      </c>
      <c r="E238" s="10" t="s">
        <v>852</v>
      </c>
      <c r="F238" s="10" t="s">
        <v>853</v>
      </c>
      <c r="G238" s="10" t="s">
        <v>234</v>
      </c>
      <c r="H238" s="10" t="s">
        <v>29</v>
      </c>
      <c r="I238" s="14">
        <v>164.14165355259999</v>
      </c>
      <c r="J238" s="14">
        <v>164.14165355259999</v>
      </c>
      <c r="K238" s="14">
        <v>0</v>
      </c>
      <c r="L238" s="14">
        <v>0</v>
      </c>
      <c r="M238" s="14">
        <v>164.14165355259999</v>
      </c>
      <c r="N238" s="10" t="s">
        <v>854</v>
      </c>
      <c r="O238" s="15">
        <v>2</v>
      </c>
      <c r="P238" s="10" t="s">
        <v>31</v>
      </c>
      <c r="Q238" s="15" t="s">
        <v>32</v>
      </c>
      <c r="R238" s="10" t="s">
        <v>33</v>
      </c>
      <c r="S238" s="10" t="s">
        <v>852</v>
      </c>
      <c r="T238" s="15">
        <f>IF(O238="","",(1/Metadata!$B$5)^(O238-1))</f>
        <v>10</v>
      </c>
      <c r="U238" s="14">
        <f t="shared" si="3"/>
        <v>1641.416535526</v>
      </c>
      <c r="V238" s="22" t="s">
        <v>237</v>
      </c>
      <c r="W238" s="21" t="s">
        <v>855</v>
      </c>
    </row>
    <row r="239" spans="1:23" ht="18" customHeight="1">
      <c r="A239" s="10" t="s">
        <v>23</v>
      </c>
      <c r="B239" s="10" t="s">
        <v>24</v>
      </c>
      <c r="C239" s="10" t="s">
        <v>25</v>
      </c>
      <c r="D239" s="13">
        <v>2019</v>
      </c>
      <c r="E239" s="10" t="s">
        <v>856</v>
      </c>
      <c r="F239" s="10" t="s">
        <v>857</v>
      </c>
      <c r="G239" s="10" t="s">
        <v>216</v>
      </c>
      <c r="H239" s="10" t="s">
        <v>47</v>
      </c>
      <c r="I239" s="14">
        <v>164.1336514994</v>
      </c>
      <c r="J239" s="14">
        <v>164.1336514994</v>
      </c>
      <c r="K239" s="14">
        <v>0</v>
      </c>
      <c r="L239" s="14">
        <v>0</v>
      </c>
      <c r="M239" s="14">
        <v>164.1336514994</v>
      </c>
      <c r="N239" s="10" t="s">
        <v>858</v>
      </c>
      <c r="O239" s="15">
        <v>2.11</v>
      </c>
      <c r="P239" s="10" t="s">
        <v>31</v>
      </c>
      <c r="Q239" s="15" t="s">
        <v>32</v>
      </c>
      <c r="R239" s="10" t="s">
        <v>33</v>
      </c>
      <c r="S239" s="10" t="s">
        <v>856</v>
      </c>
      <c r="T239" s="15">
        <f>IF(O239="","",(1/Metadata!$B$5)^(O239-1))</f>
        <v>12.882495516931341</v>
      </c>
      <c r="U239" s="14">
        <f t="shared" si="3"/>
        <v>2114.4510296185917</v>
      </c>
      <c r="V239" s="22" t="s">
        <v>66</v>
      </c>
      <c r="W239" s="21" t="s">
        <v>67</v>
      </c>
    </row>
    <row r="240" spans="1:23" ht="18" customHeight="1">
      <c r="A240" s="10" t="s">
        <v>23</v>
      </c>
      <c r="B240" s="10" t="s">
        <v>24</v>
      </c>
      <c r="C240" s="10" t="s">
        <v>25</v>
      </c>
      <c r="D240" s="13">
        <v>2019</v>
      </c>
      <c r="E240" s="10" t="s">
        <v>859</v>
      </c>
      <c r="F240" s="10" t="s">
        <v>860</v>
      </c>
      <c r="G240" s="10" t="s">
        <v>136</v>
      </c>
      <c r="H240" s="10" t="s">
        <v>137</v>
      </c>
      <c r="I240" s="14">
        <v>160.62046422309999</v>
      </c>
      <c r="J240" s="14">
        <v>160.62046422309999</v>
      </c>
      <c r="K240" s="14">
        <v>0</v>
      </c>
      <c r="L240" s="14">
        <v>21.1661722905</v>
      </c>
      <c r="M240" s="14">
        <v>139.4542919326</v>
      </c>
      <c r="N240" s="10" t="s">
        <v>861</v>
      </c>
      <c r="O240" s="15">
        <v>4.5</v>
      </c>
      <c r="P240" s="10" t="s">
        <v>41</v>
      </c>
      <c r="Q240" s="15" t="s">
        <v>42</v>
      </c>
      <c r="R240" s="10" t="s">
        <v>33</v>
      </c>
      <c r="S240" s="10" t="s">
        <v>859</v>
      </c>
      <c r="T240" s="15">
        <f>IF(O240="","",(1/Metadata!$B$5)^(O240-1))</f>
        <v>3162.2776601683804</v>
      </c>
      <c r="U240" s="14">
        <f t="shared" si="3"/>
        <v>507926.5057785837</v>
      </c>
      <c r="V240" s="22" t="s">
        <v>447</v>
      </c>
      <c r="W240" s="21" t="s">
        <v>448</v>
      </c>
    </row>
    <row r="241" spans="1:23" ht="18" customHeight="1">
      <c r="A241" s="10" t="s">
        <v>23</v>
      </c>
      <c r="B241" s="10" t="s">
        <v>24</v>
      </c>
      <c r="C241" s="10" t="s">
        <v>25</v>
      </c>
      <c r="D241" s="13">
        <v>2019</v>
      </c>
      <c r="E241" s="10" t="s">
        <v>862</v>
      </c>
      <c r="F241" s="10" t="s">
        <v>863</v>
      </c>
      <c r="G241" s="10" t="s">
        <v>136</v>
      </c>
      <c r="H241" s="10" t="s">
        <v>137</v>
      </c>
      <c r="I241" s="14">
        <v>155.71991601970001</v>
      </c>
      <c r="J241" s="14">
        <v>155.71991601970001</v>
      </c>
      <c r="K241" s="14">
        <v>0</v>
      </c>
      <c r="L241" s="14">
        <v>16.263574992900001</v>
      </c>
      <c r="M241" s="14">
        <v>139.4563410268</v>
      </c>
      <c r="N241" s="10" t="s">
        <v>864</v>
      </c>
      <c r="O241" s="15">
        <v>4.16</v>
      </c>
      <c r="P241" s="10" t="s">
        <v>41</v>
      </c>
      <c r="Q241" s="15" t="s">
        <v>42</v>
      </c>
      <c r="R241" s="10" t="s">
        <v>33</v>
      </c>
      <c r="S241" s="10" t="s">
        <v>862</v>
      </c>
      <c r="T241" s="15">
        <f>IF(O241="","",(1/Metadata!$B$5)^(O241-1))</f>
        <v>1445.4397707459289</v>
      </c>
      <c r="U241" s="14">
        <f t="shared" si="3"/>
        <v>225083.75971209048</v>
      </c>
      <c r="V241" s="22" t="s">
        <v>447</v>
      </c>
      <c r="W241" s="21" t="s">
        <v>448</v>
      </c>
    </row>
    <row r="242" spans="1:23" ht="18" customHeight="1">
      <c r="A242" s="10" t="s">
        <v>23</v>
      </c>
      <c r="B242" s="10" t="s">
        <v>24</v>
      </c>
      <c r="C242" s="10" t="s">
        <v>25</v>
      </c>
      <c r="D242" s="13">
        <v>2019</v>
      </c>
      <c r="E242" s="10" t="s">
        <v>865</v>
      </c>
      <c r="F242" s="10" t="s">
        <v>866</v>
      </c>
      <c r="G242" s="10" t="s">
        <v>136</v>
      </c>
      <c r="H242" s="10" t="s">
        <v>137</v>
      </c>
      <c r="I242" s="14">
        <v>151.9345039673</v>
      </c>
      <c r="J242" s="14">
        <v>151.9345039673</v>
      </c>
      <c r="K242" s="14">
        <v>0</v>
      </c>
      <c r="L242" s="14">
        <v>16.840616448799999</v>
      </c>
      <c r="M242" s="14">
        <v>135.0938875185</v>
      </c>
      <c r="N242" s="10" t="s">
        <v>867</v>
      </c>
      <c r="O242" s="15">
        <v>4.08</v>
      </c>
      <c r="P242" s="10" t="s">
        <v>41</v>
      </c>
      <c r="Q242" s="15" t="s">
        <v>42</v>
      </c>
      <c r="R242" s="10" t="s">
        <v>33</v>
      </c>
      <c r="S242" s="10" t="s">
        <v>865</v>
      </c>
      <c r="T242" s="15">
        <f>IF(O242="","",(1/Metadata!$B$5)^(O242-1))</f>
        <v>1202.2644346174138</v>
      </c>
      <c r="U242" s="14">
        <f t="shared" si="3"/>
        <v>182665.45051112317</v>
      </c>
      <c r="V242" s="22" t="s">
        <v>447</v>
      </c>
      <c r="W242" s="21" t="s">
        <v>448</v>
      </c>
    </row>
    <row r="243" spans="1:23" ht="18" customHeight="1">
      <c r="A243" s="10" t="s">
        <v>23</v>
      </c>
      <c r="B243" s="10" t="s">
        <v>24</v>
      </c>
      <c r="C243" s="10" t="s">
        <v>25</v>
      </c>
      <c r="D243" s="13">
        <v>2019</v>
      </c>
      <c r="E243" s="10" t="s">
        <v>868</v>
      </c>
      <c r="F243" s="10" t="s">
        <v>869</v>
      </c>
      <c r="G243" s="10" t="s">
        <v>136</v>
      </c>
      <c r="H243" s="10" t="s">
        <v>137</v>
      </c>
      <c r="I243" s="14">
        <v>139.45828036309999</v>
      </c>
      <c r="J243" s="14">
        <v>139.45828036309999</v>
      </c>
      <c r="K243" s="14">
        <v>0</v>
      </c>
      <c r="L243" s="14">
        <v>0</v>
      </c>
      <c r="M243" s="14">
        <v>139.45828036309999</v>
      </c>
      <c r="N243" s="10" t="s">
        <v>870</v>
      </c>
      <c r="O243" s="15">
        <v>4.5</v>
      </c>
      <c r="P243" s="10" t="s">
        <v>41</v>
      </c>
      <c r="Q243" s="15" t="s">
        <v>42</v>
      </c>
      <c r="R243" s="10" t="s">
        <v>33</v>
      </c>
      <c r="S243" s="10" t="s">
        <v>868</v>
      </c>
      <c r="T243" s="15">
        <f>IF(O243="","",(1/Metadata!$B$5)^(O243-1))</f>
        <v>3162.2776601683804</v>
      </c>
      <c r="U243" s="14">
        <f t="shared" si="3"/>
        <v>441005.80451772985</v>
      </c>
      <c r="V243" s="22" t="s">
        <v>447</v>
      </c>
      <c r="W243" s="21" t="s">
        <v>448</v>
      </c>
    </row>
    <row r="244" spans="1:23" ht="18" customHeight="1">
      <c r="A244" s="10" t="s">
        <v>23</v>
      </c>
      <c r="B244" s="10" t="s">
        <v>24</v>
      </c>
      <c r="C244" s="10" t="s">
        <v>25</v>
      </c>
      <c r="D244" s="13">
        <v>2019</v>
      </c>
      <c r="E244" s="10" t="s">
        <v>871</v>
      </c>
      <c r="F244" s="10" t="s">
        <v>872</v>
      </c>
      <c r="G244" s="10" t="s">
        <v>136</v>
      </c>
      <c r="H244" s="10" t="s">
        <v>137</v>
      </c>
      <c r="I244" s="14">
        <v>139.4542919326</v>
      </c>
      <c r="J244" s="14">
        <v>139.4542919326</v>
      </c>
      <c r="K244" s="14">
        <v>0</v>
      </c>
      <c r="L244" s="14">
        <v>0</v>
      </c>
      <c r="M244" s="14">
        <v>139.4542919326</v>
      </c>
      <c r="N244" s="10" t="s">
        <v>873</v>
      </c>
      <c r="O244" s="15">
        <v>4.51</v>
      </c>
      <c r="P244" s="10" t="s">
        <v>41</v>
      </c>
      <c r="Q244" s="15" t="s">
        <v>42</v>
      </c>
      <c r="R244" s="10" t="s">
        <v>33</v>
      </c>
      <c r="S244" s="10" t="s">
        <v>871</v>
      </c>
      <c r="T244" s="15">
        <f>IF(O244="","",(1/Metadata!$B$5)^(O244-1))</f>
        <v>3235.9365692962833</v>
      </c>
      <c r="U244" s="14">
        <f t="shared" si="3"/>
        <v>451265.24301002</v>
      </c>
      <c r="V244" s="22" t="s">
        <v>447</v>
      </c>
      <c r="W244" s="21" t="s">
        <v>448</v>
      </c>
    </row>
    <row r="245" spans="1:23" ht="18" customHeight="1">
      <c r="A245" s="10" t="s">
        <v>23</v>
      </c>
      <c r="B245" s="10" t="s">
        <v>24</v>
      </c>
      <c r="C245" s="10" t="s">
        <v>25</v>
      </c>
      <c r="D245" s="13">
        <v>2019</v>
      </c>
      <c r="E245" s="10" t="s">
        <v>874</v>
      </c>
      <c r="F245" s="10" t="s">
        <v>875</v>
      </c>
      <c r="G245" s="10" t="s">
        <v>136</v>
      </c>
      <c r="H245" s="10" t="s">
        <v>137</v>
      </c>
      <c r="I245" s="14">
        <v>139.4542919326</v>
      </c>
      <c r="J245" s="14">
        <v>139.4542919326</v>
      </c>
      <c r="K245" s="14">
        <v>0</v>
      </c>
      <c r="L245" s="14">
        <v>0</v>
      </c>
      <c r="M245" s="14">
        <v>139.4542919326</v>
      </c>
      <c r="N245" s="10" t="s">
        <v>876</v>
      </c>
      <c r="O245" s="15">
        <v>4.5</v>
      </c>
      <c r="P245" s="10" t="s">
        <v>41</v>
      </c>
      <c r="Q245" s="15" t="s">
        <v>42</v>
      </c>
      <c r="R245" s="10" t="s">
        <v>33</v>
      </c>
      <c r="S245" s="10" t="s">
        <v>874</v>
      </c>
      <c r="T245" s="15">
        <f>IF(O245="","",(1/Metadata!$B$5)^(O245-1))</f>
        <v>3162.2776601683804</v>
      </c>
      <c r="U245" s="14">
        <f t="shared" si="3"/>
        <v>440993.19199306058</v>
      </c>
      <c r="V245" s="22" t="s">
        <v>447</v>
      </c>
      <c r="W245" s="21" t="s">
        <v>448</v>
      </c>
    </row>
    <row r="246" spans="1:23" ht="18" customHeight="1">
      <c r="A246" s="10" t="s">
        <v>23</v>
      </c>
      <c r="B246" s="10" t="s">
        <v>24</v>
      </c>
      <c r="C246" s="10" t="s">
        <v>25</v>
      </c>
      <c r="D246" s="13">
        <v>2019</v>
      </c>
      <c r="E246" s="10" t="s">
        <v>877</v>
      </c>
      <c r="F246" s="10" t="s">
        <v>878</v>
      </c>
      <c r="G246" s="10" t="s">
        <v>136</v>
      </c>
      <c r="H246" s="10" t="s">
        <v>137</v>
      </c>
      <c r="I246" s="14">
        <v>139.45277872380001</v>
      </c>
      <c r="J246" s="14">
        <v>139.45277872380001</v>
      </c>
      <c r="K246" s="14">
        <v>0</v>
      </c>
      <c r="L246" s="14">
        <v>0</v>
      </c>
      <c r="M246" s="14">
        <v>139.45277872380001</v>
      </c>
      <c r="N246" s="10" t="s">
        <v>879</v>
      </c>
      <c r="O246" s="15">
        <v>4.9400000000000004</v>
      </c>
      <c r="P246" s="10" t="s">
        <v>41</v>
      </c>
      <c r="Q246" s="15" t="s">
        <v>42</v>
      </c>
      <c r="R246" s="10" t="s">
        <v>33</v>
      </c>
      <c r="S246" s="10" t="s">
        <v>877</v>
      </c>
      <c r="T246" s="15">
        <f>IF(O246="","",(1/Metadata!$B$5)^(O246-1))</f>
        <v>8709.6358995608189</v>
      </c>
      <c r="U246" s="14">
        <f t="shared" si="3"/>
        <v>1214582.9278663197</v>
      </c>
      <c r="V246" s="22" t="s">
        <v>447</v>
      </c>
      <c r="W246" s="21" t="s">
        <v>448</v>
      </c>
    </row>
    <row r="247" spans="1:23" ht="18" customHeight="1">
      <c r="A247" s="10" t="s">
        <v>23</v>
      </c>
      <c r="B247" s="10" t="s">
        <v>24</v>
      </c>
      <c r="C247" s="10" t="s">
        <v>25</v>
      </c>
      <c r="D247" s="13">
        <v>2019</v>
      </c>
      <c r="E247" s="10" t="s">
        <v>880</v>
      </c>
      <c r="F247" s="10" t="s">
        <v>881</v>
      </c>
      <c r="G247" s="10" t="s">
        <v>136</v>
      </c>
      <c r="H247" s="10" t="s">
        <v>137</v>
      </c>
      <c r="I247" s="14">
        <v>137.76239760999999</v>
      </c>
      <c r="J247" s="14">
        <v>137.76239760999999</v>
      </c>
      <c r="K247" s="14">
        <v>0</v>
      </c>
      <c r="L247" s="14">
        <v>0</v>
      </c>
      <c r="M247" s="14">
        <v>137.76239760999999</v>
      </c>
      <c r="N247" s="10" t="s">
        <v>882</v>
      </c>
      <c r="O247" s="15">
        <v>4.1500000000000004</v>
      </c>
      <c r="P247" s="10" t="s">
        <v>41</v>
      </c>
      <c r="Q247" s="15" t="s">
        <v>42</v>
      </c>
      <c r="R247" s="10" t="s">
        <v>33</v>
      </c>
      <c r="S247" s="10" t="s">
        <v>880</v>
      </c>
      <c r="T247" s="15">
        <f>IF(O247="","",(1/Metadata!$B$5)^(O247-1))</f>
        <v>1412.537544622757</v>
      </c>
      <c r="U247" s="14">
        <f t="shared" si="3"/>
        <v>194594.55886137334</v>
      </c>
      <c r="V247" s="22" t="s">
        <v>433</v>
      </c>
      <c r="W247" s="21" t="s">
        <v>434</v>
      </c>
    </row>
    <row r="248" spans="1:23" ht="18" customHeight="1">
      <c r="A248" s="10" t="s">
        <v>23</v>
      </c>
      <c r="B248" s="10" t="s">
        <v>24</v>
      </c>
      <c r="C248" s="10" t="s">
        <v>25</v>
      </c>
      <c r="D248" s="13">
        <v>2019</v>
      </c>
      <c r="E248" s="10" t="s">
        <v>883</v>
      </c>
      <c r="F248" s="10" t="s">
        <v>884</v>
      </c>
      <c r="G248" s="10" t="s">
        <v>136</v>
      </c>
      <c r="H248" s="10" t="s">
        <v>137</v>
      </c>
      <c r="I248" s="14">
        <v>137.31228524849999</v>
      </c>
      <c r="J248" s="14">
        <v>137.31228524849999</v>
      </c>
      <c r="K248" s="14">
        <v>0</v>
      </c>
      <c r="L248" s="14">
        <v>0</v>
      </c>
      <c r="M248" s="14">
        <v>137.31228524849999</v>
      </c>
      <c r="N248" s="10" t="s">
        <v>885</v>
      </c>
      <c r="O248" s="15">
        <v>4.37</v>
      </c>
      <c r="P248" s="10" t="s">
        <v>41</v>
      </c>
      <c r="Q248" s="15" t="s">
        <v>42</v>
      </c>
      <c r="R248" s="10" t="s">
        <v>33</v>
      </c>
      <c r="S248" s="10" t="s">
        <v>883</v>
      </c>
      <c r="T248" s="15">
        <f>IF(O248="","",(1/Metadata!$B$5)^(O248-1))</f>
        <v>2344.2288153199238</v>
      </c>
      <c r="U248" s="14">
        <f t="shared" si="3"/>
        <v>321891.41577696259</v>
      </c>
      <c r="V248" s="22" t="s">
        <v>433</v>
      </c>
      <c r="W248" s="21" t="s">
        <v>434</v>
      </c>
    </row>
    <row r="249" spans="1:23" ht="18" customHeight="1">
      <c r="A249" s="10" t="s">
        <v>23</v>
      </c>
      <c r="B249" s="10" t="s">
        <v>24</v>
      </c>
      <c r="C249" s="10" t="s">
        <v>25</v>
      </c>
      <c r="D249" s="13">
        <v>2019</v>
      </c>
      <c r="E249" s="10" t="s">
        <v>886</v>
      </c>
      <c r="F249" s="10" t="s">
        <v>887</v>
      </c>
      <c r="G249" s="10" t="s">
        <v>136</v>
      </c>
      <c r="H249" s="10" t="s">
        <v>137</v>
      </c>
      <c r="I249" s="14">
        <v>137.30581353560001</v>
      </c>
      <c r="J249" s="14">
        <v>137.30581353560001</v>
      </c>
      <c r="K249" s="14">
        <v>0</v>
      </c>
      <c r="L249" s="14">
        <v>0</v>
      </c>
      <c r="M249" s="14">
        <v>137.30581353560001</v>
      </c>
      <c r="N249" s="10" t="s">
        <v>888</v>
      </c>
      <c r="O249" s="15">
        <v>3.94</v>
      </c>
      <c r="P249" s="10" t="s">
        <v>41</v>
      </c>
      <c r="Q249" s="15" t="s">
        <v>42</v>
      </c>
      <c r="R249" s="10" t="s">
        <v>33</v>
      </c>
      <c r="S249" s="10" t="s">
        <v>886</v>
      </c>
      <c r="T249" s="15">
        <f>IF(O249="","",(1/Metadata!$B$5)^(O249-1))</f>
        <v>870.96358995608091</v>
      </c>
      <c r="U249" s="14">
        <f t="shared" si="3"/>
        <v>119588.36427880643</v>
      </c>
      <c r="V249" s="22" t="s">
        <v>433</v>
      </c>
      <c r="W249" s="21" t="s">
        <v>434</v>
      </c>
    </row>
    <row r="250" spans="1:23" ht="18" customHeight="1">
      <c r="A250" s="10" t="s">
        <v>23</v>
      </c>
      <c r="B250" s="10" t="s">
        <v>24</v>
      </c>
      <c r="C250" s="10" t="s">
        <v>25</v>
      </c>
      <c r="D250" s="13">
        <v>2019</v>
      </c>
      <c r="E250" s="10" t="s">
        <v>889</v>
      </c>
      <c r="F250" s="10" t="s">
        <v>890</v>
      </c>
      <c r="G250" s="10" t="s">
        <v>136</v>
      </c>
      <c r="H250" s="10" t="s">
        <v>137</v>
      </c>
      <c r="I250" s="14">
        <v>137.29532919569999</v>
      </c>
      <c r="J250" s="14">
        <v>137.29532919569999</v>
      </c>
      <c r="K250" s="14">
        <v>0</v>
      </c>
      <c r="L250" s="14">
        <v>0</v>
      </c>
      <c r="M250" s="14">
        <v>137.29532919569999</v>
      </c>
      <c r="N250" s="10" t="s">
        <v>891</v>
      </c>
      <c r="O250" s="15">
        <v>4.1100000000000003</v>
      </c>
      <c r="P250" s="10" t="s">
        <v>41</v>
      </c>
      <c r="Q250" s="15" t="s">
        <v>42</v>
      </c>
      <c r="R250" s="10" t="s">
        <v>33</v>
      </c>
      <c r="S250" s="10" t="s">
        <v>889</v>
      </c>
      <c r="T250" s="15">
        <f>IF(O250="","",(1/Metadata!$B$5)^(O250-1))</f>
        <v>1288.2495516931358</v>
      </c>
      <c r="U250" s="14">
        <f t="shared" si="3"/>
        <v>176870.646285922</v>
      </c>
      <c r="V250" s="22" t="s">
        <v>433</v>
      </c>
      <c r="W250" s="21" t="s">
        <v>434</v>
      </c>
    </row>
    <row r="251" spans="1:23" ht="18" customHeight="1">
      <c r="A251" s="10" t="s">
        <v>23</v>
      </c>
      <c r="B251" s="10" t="s">
        <v>24</v>
      </c>
      <c r="C251" s="10" t="s">
        <v>25</v>
      </c>
      <c r="D251" s="13">
        <v>2019</v>
      </c>
      <c r="E251" s="10" t="s">
        <v>892</v>
      </c>
      <c r="F251" s="10" t="s">
        <v>893</v>
      </c>
      <c r="G251" s="10" t="s">
        <v>136</v>
      </c>
      <c r="H251" s="10" t="s">
        <v>137</v>
      </c>
      <c r="I251" s="14">
        <v>137.2935119226</v>
      </c>
      <c r="J251" s="14">
        <v>137.2935119226</v>
      </c>
      <c r="K251" s="14">
        <v>0</v>
      </c>
      <c r="L251" s="14">
        <v>0</v>
      </c>
      <c r="M251" s="14">
        <v>137.2935119226</v>
      </c>
      <c r="N251" s="10" t="s">
        <v>894</v>
      </c>
      <c r="O251" s="15">
        <v>4.21</v>
      </c>
      <c r="P251" s="10" t="s">
        <v>41</v>
      </c>
      <c r="Q251" s="15" t="s">
        <v>42</v>
      </c>
      <c r="R251" s="10" t="s">
        <v>33</v>
      </c>
      <c r="S251" s="10" t="s">
        <v>892</v>
      </c>
      <c r="T251" s="15">
        <f>IF(O251="","",(1/Metadata!$B$5)^(O251-1))</f>
        <v>1621.8100973589308</v>
      </c>
      <c r="U251" s="14">
        <f t="shared" si="3"/>
        <v>222664.00393794142</v>
      </c>
      <c r="V251" s="22" t="s">
        <v>433</v>
      </c>
      <c r="W251" s="21" t="s">
        <v>434</v>
      </c>
    </row>
    <row r="252" spans="1:23" ht="18" customHeight="1">
      <c r="A252" s="10" t="s">
        <v>23</v>
      </c>
      <c r="B252" s="10" t="s">
        <v>24</v>
      </c>
      <c r="C252" s="10" t="s">
        <v>25</v>
      </c>
      <c r="D252" s="13">
        <v>2019</v>
      </c>
      <c r="E252" s="10" t="s">
        <v>895</v>
      </c>
      <c r="F252" s="10" t="s">
        <v>896</v>
      </c>
      <c r="G252" s="10" t="s">
        <v>136</v>
      </c>
      <c r="H252" s="10" t="s">
        <v>137</v>
      </c>
      <c r="I252" s="14">
        <v>135.09178147599999</v>
      </c>
      <c r="J252" s="14">
        <v>135.09178147599999</v>
      </c>
      <c r="K252" s="14">
        <v>0</v>
      </c>
      <c r="L252" s="14">
        <v>0</v>
      </c>
      <c r="M252" s="14">
        <v>135.09178147599999</v>
      </c>
      <c r="N252" s="10" t="s">
        <v>897</v>
      </c>
      <c r="O252" s="15">
        <v>4.32</v>
      </c>
      <c r="P252" s="10" t="s">
        <v>41</v>
      </c>
      <c r="Q252" s="15" t="s">
        <v>42</v>
      </c>
      <c r="R252" s="10" t="s">
        <v>33</v>
      </c>
      <c r="S252" s="10" t="s">
        <v>895</v>
      </c>
      <c r="T252" s="15">
        <f>IF(O252="","",(1/Metadata!$B$5)^(O252-1))</f>
        <v>2089.2961308540421</v>
      </c>
      <c r="U252" s="14">
        <f t="shared" si="3"/>
        <v>282246.73634798656</v>
      </c>
      <c r="V252" s="22" t="s">
        <v>447</v>
      </c>
      <c r="W252" s="21" t="s">
        <v>448</v>
      </c>
    </row>
    <row r="253" spans="1:23" ht="18" customHeight="1">
      <c r="A253" s="10" t="s">
        <v>23</v>
      </c>
      <c r="B253" s="10" t="s">
        <v>24</v>
      </c>
      <c r="C253" s="10" t="s">
        <v>25</v>
      </c>
      <c r="D253" s="13">
        <v>2019</v>
      </c>
      <c r="E253" s="10" t="s">
        <v>898</v>
      </c>
      <c r="F253" s="10" t="s">
        <v>899</v>
      </c>
      <c r="G253" s="10" t="s">
        <v>136</v>
      </c>
      <c r="H253" s="10" t="s">
        <v>137</v>
      </c>
      <c r="I253" s="14">
        <v>133.02127698039999</v>
      </c>
      <c r="J253" s="14">
        <v>133.02127698039999</v>
      </c>
      <c r="K253" s="14">
        <v>0</v>
      </c>
      <c r="L253" s="14">
        <v>0</v>
      </c>
      <c r="M253" s="14">
        <v>133.02127698039999</v>
      </c>
      <c r="N253" s="10" t="s">
        <v>900</v>
      </c>
      <c r="O253" s="15">
        <v>4.54</v>
      </c>
      <c r="P253" s="10" t="s">
        <v>41</v>
      </c>
      <c r="Q253" s="15" t="s">
        <v>42</v>
      </c>
      <c r="R253" s="10" t="s">
        <v>33</v>
      </c>
      <c r="S253" s="10" t="s">
        <v>898</v>
      </c>
      <c r="T253" s="15">
        <f>IF(O253="","",(1/Metadata!$B$5)^(O253-1))</f>
        <v>3467.3685045253224</v>
      </c>
      <c r="U253" s="14">
        <f t="shared" si="3"/>
        <v>461233.78623357817</v>
      </c>
      <c r="V253" s="22" t="s">
        <v>433</v>
      </c>
      <c r="W253" s="21" t="s">
        <v>434</v>
      </c>
    </row>
    <row r="254" spans="1:23" ht="18" customHeight="1">
      <c r="A254" s="10" t="s">
        <v>23</v>
      </c>
      <c r="B254" s="10" t="s">
        <v>24</v>
      </c>
      <c r="C254" s="10" t="s">
        <v>25</v>
      </c>
      <c r="D254" s="13">
        <v>2019</v>
      </c>
      <c r="E254" s="10" t="s">
        <v>901</v>
      </c>
      <c r="F254" s="10" t="s">
        <v>384</v>
      </c>
      <c r="G254" s="10" t="s">
        <v>383</v>
      </c>
      <c r="H254" s="10" t="s">
        <v>384</v>
      </c>
      <c r="I254" s="14">
        <v>127.0299170024</v>
      </c>
      <c r="J254" s="14">
        <v>125.4458955179</v>
      </c>
      <c r="K254" s="14">
        <v>1.5840214845</v>
      </c>
      <c r="L254" s="14">
        <v>125.4458955179</v>
      </c>
      <c r="M254" s="14">
        <v>1.5840214845</v>
      </c>
      <c r="N254" s="10" t="s">
        <v>902</v>
      </c>
      <c r="O254" s="15">
        <v>3.57</v>
      </c>
      <c r="P254" s="10" t="s">
        <v>31</v>
      </c>
      <c r="Q254" s="15" t="s">
        <v>32</v>
      </c>
      <c r="R254" s="10" t="s">
        <v>33</v>
      </c>
      <c r="S254" s="10" t="s">
        <v>901</v>
      </c>
      <c r="T254" s="15">
        <f>IF(O254="","",(1/Metadata!$B$5)^(O254-1))</f>
        <v>371.53522909717265</v>
      </c>
      <c r="U254" s="14">
        <f t="shared" si="3"/>
        <v>47196.089315681507</v>
      </c>
      <c r="V254" s="20" t="s">
        <v>34</v>
      </c>
      <c r="W254" s="21" t="s">
        <v>903</v>
      </c>
    </row>
    <row r="255" spans="1:23" ht="18" customHeight="1">
      <c r="A255" s="10" t="s">
        <v>23</v>
      </c>
      <c r="B255" s="10" t="s">
        <v>24</v>
      </c>
      <c r="C255" s="10" t="s">
        <v>25</v>
      </c>
      <c r="D255" s="13">
        <v>2019</v>
      </c>
      <c r="E255" s="10" t="s">
        <v>904</v>
      </c>
      <c r="F255" s="10" t="s">
        <v>905</v>
      </c>
      <c r="G255" s="10" t="s">
        <v>216</v>
      </c>
      <c r="H255" s="10" t="s">
        <v>47</v>
      </c>
      <c r="I255" s="14">
        <v>119.42331664690001</v>
      </c>
      <c r="J255" s="14">
        <v>115.681375778</v>
      </c>
      <c r="K255" s="14">
        <v>3.7419408689</v>
      </c>
      <c r="L255" s="14">
        <v>115.681375778</v>
      </c>
      <c r="M255" s="14">
        <v>3.7419408689</v>
      </c>
      <c r="N255" s="10" t="s">
        <v>906</v>
      </c>
      <c r="O255" s="15">
        <v>3.88</v>
      </c>
      <c r="P255" s="10" t="s">
        <v>31</v>
      </c>
      <c r="Q255" s="15" t="s">
        <v>32</v>
      </c>
      <c r="R255" s="10" t="s">
        <v>33</v>
      </c>
      <c r="S255" s="10" t="s">
        <v>904</v>
      </c>
      <c r="T255" s="15">
        <f>IF(O255="","",(1/Metadata!$B$5)^(O255-1))</f>
        <v>758.57757502918378</v>
      </c>
      <c r="U255" s="14">
        <f t="shared" si="3"/>
        <v>90591.84994394776</v>
      </c>
      <c r="V255" s="22" t="s">
        <v>60</v>
      </c>
      <c r="W255" s="21" t="s">
        <v>907</v>
      </c>
    </row>
    <row r="256" spans="1:23" ht="18" customHeight="1">
      <c r="A256" s="10" t="s">
        <v>23</v>
      </c>
      <c r="B256" s="10" t="s">
        <v>24</v>
      </c>
      <c r="C256" s="10" t="s">
        <v>25</v>
      </c>
      <c r="D256" s="13">
        <v>2019</v>
      </c>
      <c r="E256" s="10" t="s">
        <v>908</v>
      </c>
      <c r="F256" s="10" t="s">
        <v>909</v>
      </c>
      <c r="G256" s="10" t="s">
        <v>28</v>
      </c>
      <c r="H256" s="10" t="s">
        <v>47</v>
      </c>
      <c r="I256" s="14">
        <v>118.98090376019999</v>
      </c>
      <c r="J256" s="14">
        <v>118.98090376019999</v>
      </c>
      <c r="K256" s="14">
        <v>0</v>
      </c>
      <c r="L256" s="14">
        <v>62.098623060100003</v>
      </c>
      <c r="M256" s="14">
        <v>56.882280700099997</v>
      </c>
      <c r="N256" s="10" t="s">
        <v>910</v>
      </c>
      <c r="O256" s="15">
        <v>2.99</v>
      </c>
      <c r="P256" s="10" t="s">
        <v>41</v>
      </c>
      <c r="Q256" s="15" t="s">
        <v>42</v>
      </c>
      <c r="R256" s="10" t="s">
        <v>33</v>
      </c>
      <c r="S256" s="10" t="s">
        <v>908</v>
      </c>
      <c r="T256" s="15">
        <f>IF(O256="","",(1/Metadata!$B$5)^(O256-1))</f>
        <v>97.723722095581124</v>
      </c>
      <c r="U256" s="14">
        <f t="shared" si="3"/>
        <v>11627.256773742867</v>
      </c>
      <c r="V256" s="22" t="s">
        <v>66</v>
      </c>
      <c r="W256" s="21" t="s">
        <v>67</v>
      </c>
    </row>
    <row r="257" spans="1:23" ht="18" customHeight="1">
      <c r="A257" s="10" t="s">
        <v>23</v>
      </c>
      <c r="B257" s="10" t="s">
        <v>24</v>
      </c>
      <c r="C257" s="10" t="s">
        <v>25</v>
      </c>
      <c r="D257" s="13">
        <v>2019</v>
      </c>
      <c r="E257" s="10" t="s">
        <v>911</v>
      </c>
      <c r="F257" s="10" t="s">
        <v>912</v>
      </c>
      <c r="G257" s="10" t="s">
        <v>223</v>
      </c>
      <c r="H257" s="10" t="s">
        <v>47</v>
      </c>
      <c r="I257" s="14">
        <v>115.5086810926</v>
      </c>
      <c r="J257" s="14">
        <v>115.5086810926</v>
      </c>
      <c r="K257" s="14">
        <v>0</v>
      </c>
      <c r="L257" s="14">
        <v>61.795846728800001</v>
      </c>
      <c r="M257" s="14">
        <v>53.712834363799999</v>
      </c>
      <c r="N257" s="10" t="s">
        <v>913</v>
      </c>
      <c r="O257" s="15">
        <v>4.04</v>
      </c>
      <c r="P257" s="10" t="s">
        <v>41</v>
      </c>
      <c r="Q257" s="15" t="s">
        <v>42</v>
      </c>
      <c r="R257" s="10" t="s">
        <v>33</v>
      </c>
      <c r="S257" s="10" t="s">
        <v>911</v>
      </c>
      <c r="T257" s="15">
        <f>IF(O257="","",(1/Metadata!$B$5)^(O257-1))</f>
        <v>1096.4781961431863</v>
      </c>
      <c r="U257" s="14">
        <f t="shared" si="3"/>
        <v>126652.75028329263</v>
      </c>
      <c r="V257" s="22" t="s">
        <v>129</v>
      </c>
      <c r="W257" s="21" t="s">
        <v>130</v>
      </c>
    </row>
    <row r="258" spans="1:23" ht="18" customHeight="1">
      <c r="A258" s="10" t="s">
        <v>23</v>
      </c>
      <c r="B258" s="10" t="s">
        <v>24</v>
      </c>
      <c r="C258" s="10" t="s">
        <v>25</v>
      </c>
      <c r="D258" s="13">
        <v>2019</v>
      </c>
      <c r="E258" s="10" t="s">
        <v>914</v>
      </c>
      <c r="F258" s="10" t="s">
        <v>915</v>
      </c>
      <c r="G258" s="10" t="s">
        <v>216</v>
      </c>
      <c r="H258" s="10" t="s">
        <v>47</v>
      </c>
      <c r="I258" s="14">
        <v>113.2915502952</v>
      </c>
      <c r="J258" s="14">
        <v>113.2915502952</v>
      </c>
      <c r="K258" s="14">
        <v>0</v>
      </c>
      <c r="L258" s="14">
        <v>0</v>
      </c>
      <c r="M258" s="14">
        <v>113.2915502952</v>
      </c>
      <c r="N258" s="10" t="s">
        <v>916</v>
      </c>
      <c r="O258" s="15">
        <v>3.39</v>
      </c>
      <c r="P258" s="10" t="s">
        <v>31</v>
      </c>
      <c r="Q258" s="15" t="s">
        <v>32</v>
      </c>
      <c r="R258" s="10" t="s">
        <v>33</v>
      </c>
      <c r="S258" s="10" t="s">
        <v>914</v>
      </c>
      <c r="T258" s="15">
        <f>IF(O258="","",(1/Metadata!$B$5)^(O258-1))</f>
        <v>245.4708915685033</v>
      </c>
      <c r="U258" s="14">
        <f t="shared" ref="U258:U321" si="4">IF(T258="","",I258*T258)</f>
        <v>27809.777858140678</v>
      </c>
      <c r="V258" s="22" t="s">
        <v>66</v>
      </c>
      <c r="W258" s="21" t="s">
        <v>67</v>
      </c>
    </row>
    <row r="259" spans="1:23" ht="18" customHeight="1">
      <c r="A259" s="10" t="s">
        <v>23</v>
      </c>
      <c r="B259" s="10" t="s">
        <v>24</v>
      </c>
      <c r="C259" s="10" t="s">
        <v>25</v>
      </c>
      <c r="D259" s="13">
        <v>2019</v>
      </c>
      <c r="E259" s="10" t="s">
        <v>917</v>
      </c>
      <c r="F259" s="10" t="s">
        <v>918</v>
      </c>
      <c r="G259" s="10" t="s">
        <v>234</v>
      </c>
      <c r="H259" s="10" t="s">
        <v>29</v>
      </c>
      <c r="I259" s="14">
        <v>113.03217063069999</v>
      </c>
      <c r="J259" s="14">
        <v>113.03217063069999</v>
      </c>
      <c r="K259" s="14">
        <v>0</v>
      </c>
      <c r="L259" s="14">
        <v>113.03217063069999</v>
      </c>
      <c r="M259" s="14">
        <v>0</v>
      </c>
      <c r="N259" s="10" t="s">
        <v>919</v>
      </c>
      <c r="O259" s="15">
        <v>2</v>
      </c>
      <c r="P259" s="10" t="s">
        <v>41</v>
      </c>
      <c r="Q259" s="15" t="s">
        <v>42</v>
      </c>
      <c r="R259" s="10" t="s">
        <v>33</v>
      </c>
      <c r="S259" s="10" t="s">
        <v>917</v>
      </c>
      <c r="T259" s="15">
        <f>IF(O259="","",(1/Metadata!$B$5)^(O259-1))</f>
        <v>10</v>
      </c>
      <c r="U259" s="14">
        <f t="shared" si="4"/>
        <v>1130.3217063069999</v>
      </c>
      <c r="V259" s="22" t="s">
        <v>237</v>
      </c>
      <c r="W259" s="21" t="s">
        <v>238</v>
      </c>
    </row>
    <row r="260" spans="1:23" ht="18" customHeight="1">
      <c r="A260" s="10" t="s">
        <v>23</v>
      </c>
      <c r="B260" s="10" t="s">
        <v>24</v>
      </c>
      <c r="C260" s="10" t="s">
        <v>25</v>
      </c>
      <c r="D260" s="13">
        <v>2019</v>
      </c>
      <c r="E260" s="10" t="s">
        <v>920</v>
      </c>
      <c r="F260" s="10" t="s">
        <v>921</v>
      </c>
      <c r="G260" s="10" t="s">
        <v>234</v>
      </c>
      <c r="H260" s="10" t="s">
        <v>29</v>
      </c>
      <c r="I260" s="14">
        <v>111.7908017446</v>
      </c>
      <c r="J260" s="14">
        <v>111.7908017446</v>
      </c>
      <c r="K260" s="14">
        <v>0</v>
      </c>
      <c r="L260" s="14">
        <v>111.7908017446</v>
      </c>
      <c r="M260" s="14">
        <v>0</v>
      </c>
      <c r="N260" s="10" t="s">
        <v>922</v>
      </c>
      <c r="O260" s="15">
        <v>2</v>
      </c>
      <c r="P260" s="10" t="s">
        <v>31</v>
      </c>
      <c r="Q260" s="15" t="s">
        <v>32</v>
      </c>
      <c r="R260" s="10" t="s">
        <v>33</v>
      </c>
      <c r="S260" s="10" t="s">
        <v>920</v>
      </c>
      <c r="T260" s="15">
        <f>IF(O260="","",(1/Metadata!$B$5)^(O260-1))</f>
        <v>10</v>
      </c>
      <c r="U260" s="14">
        <f t="shared" si="4"/>
        <v>1117.908017446</v>
      </c>
      <c r="V260" s="22" t="s">
        <v>237</v>
      </c>
      <c r="W260" s="21" t="s">
        <v>238</v>
      </c>
    </row>
    <row r="261" spans="1:23" ht="18" customHeight="1">
      <c r="A261" s="10" t="s">
        <v>23</v>
      </c>
      <c r="B261" s="10" t="s">
        <v>24</v>
      </c>
      <c r="C261" s="10" t="s">
        <v>25</v>
      </c>
      <c r="D261" s="13">
        <v>2019</v>
      </c>
      <c r="E261" s="10" t="s">
        <v>923</v>
      </c>
      <c r="F261" s="10" t="s">
        <v>924</v>
      </c>
      <c r="G261" s="10" t="s">
        <v>234</v>
      </c>
      <c r="H261" s="10" t="s">
        <v>29</v>
      </c>
      <c r="I261" s="14">
        <v>111.005906861</v>
      </c>
      <c r="J261" s="14">
        <v>111.005906861</v>
      </c>
      <c r="K261" s="14">
        <v>0</v>
      </c>
      <c r="L261" s="14">
        <v>111.005906861</v>
      </c>
      <c r="M261" s="14">
        <v>0</v>
      </c>
      <c r="N261" s="10" t="s">
        <v>925</v>
      </c>
      <c r="O261" s="15">
        <v>2</v>
      </c>
      <c r="P261" s="10" t="s">
        <v>31</v>
      </c>
      <c r="Q261" s="15" t="s">
        <v>32</v>
      </c>
      <c r="R261" s="10" t="s">
        <v>33</v>
      </c>
      <c r="S261" s="10" t="s">
        <v>923</v>
      </c>
      <c r="T261" s="15">
        <f>IF(O261="","",(1/Metadata!$B$5)^(O261-1))</f>
        <v>10</v>
      </c>
      <c r="U261" s="14">
        <f t="shared" si="4"/>
        <v>1110.0590686099999</v>
      </c>
      <c r="V261" s="22" t="s">
        <v>237</v>
      </c>
      <c r="W261" s="21" t="s">
        <v>238</v>
      </c>
    </row>
    <row r="262" spans="1:23" ht="18" customHeight="1">
      <c r="A262" s="10" t="s">
        <v>23</v>
      </c>
      <c r="B262" s="10" t="s">
        <v>24</v>
      </c>
      <c r="C262" s="10" t="s">
        <v>25</v>
      </c>
      <c r="D262" s="13">
        <v>2019</v>
      </c>
      <c r="E262" s="10" t="s">
        <v>926</v>
      </c>
      <c r="F262" s="10" t="s">
        <v>927</v>
      </c>
      <c r="G262" s="10" t="s">
        <v>223</v>
      </c>
      <c r="H262" s="10" t="s">
        <v>29</v>
      </c>
      <c r="I262" s="14">
        <v>109.7518727729</v>
      </c>
      <c r="J262" s="14">
        <v>109.7518727729</v>
      </c>
      <c r="K262" s="14">
        <v>0</v>
      </c>
      <c r="L262" s="14">
        <v>0</v>
      </c>
      <c r="M262" s="14">
        <v>109.7518727729</v>
      </c>
      <c r="N262" s="10" t="s">
        <v>928</v>
      </c>
      <c r="O262" s="15">
        <v>2.0299999999999998</v>
      </c>
      <c r="P262" s="10" t="s">
        <v>41</v>
      </c>
      <c r="Q262" s="15" t="s">
        <v>42</v>
      </c>
      <c r="R262" s="10" t="s">
        <v>33</v>
      </c>
      <c r="S262" s="10" t="s">
        <v>926</v>
      </c>
      <c r="T262" s="15">
        <f>IF(O262="","",(1/Metadata!$B$5)^(O262-1))</f>
        <v>10.715193052376064</v>
      </c>
      <c r="U262" s="14">
        <f t="shared" si="4"/>
        <v>1176.0125046214398</v>
      </c>
      <c r="V262" s="22" t="s">
        <v>118</v>
      </c>
      <c r="W262" s="21" t="s">
        <v>368</v>
      </c>
    </row>
    <row r="263" spans="1:23" ht="18" customHeight="1">
      <c r="A263" s="10" t="s">
        <v>23</v>
      </c>
      <c r="B263" s="10" t="s">
        <v>24</v>
      </c>
      <c r="C263" s="10" t="s">
        <v>25</v>
      </c>
      <c r="D263" s="13">
        <v>2019</v>
      </c>
      <c r="E263" s="10" t="s">
        <v>929</v>
      </c>
      <c r="F263" s="10" t="s">
        <v>930</v>
      </c>
      <c r="G263" s="10" t="s">
        <v>234</v>
      </c>
      <c r="H263" s="10" t="s">
        <v>235</v>
      </c>
      <c r="I263" s="14">
        <v>109.47321927900001</v>
      </c>
      <c r="J263" s="14">
        <v>109.47321927900001</v>
      </c>
      <c r="K263" s="14">
        <v>0</v>
      </c>
      <c r="L263" s="14">
        <v>0</v>
      </c>
      <c r="M263" s="14">
        <v>109.47321927900001</v>
      </c>
      <c r="N263" s="10" t="s">
        <v>931</v>
      </c>
      <c r="O263" s="15">
        <v>2.12</v>
      </c>
      <c r="P263" s="10" t="s">
        <v>31</v>
      </c>
      <c r="Q263" s="15" t="s">
        <v>32</v>
      </c>
      <c r="R263" s="10" t="s">
        <v>33</v>
      </c>
      <c r="S263" s="10" t="s">
        <v>929</v>
      </c>
      <c r="T263" s="15">
        <f>IF(O263="","",(1/Metadata!$B$5)^(O263-1))</f>
        <v>13.182567385564075</v>
      </c>
      <c r="U263" s="14">
        <f t="shared" si="4"/>
        <v>1443.1380900600498</v>
      </c>
      <c r="V263" s="22" t="s">
        <v>237</v>
      </c>
      <c r="W263" s="21" t="s">
        <v>238</v>
      </c>
    </row>
    <row r="264" spans="1:23" ht="18" customHeight="1">
      <c r="A264" s="10" t="s">
        <v>23</v>
      </c>
      <c r="B264" s="10" t="s">
        <v>24</v>
      </c>
      <c r="C264" s="10" t="s">
        <v>25</v>
      </c>
      <c r="D264" s="13">
        <v>2019</v>
      </c>
      <c r="E264" s="10" t="s">
        <v>932</v>
      </c>
      <c r="F264" s="10" t="s">
        <v>933</v>
      </c>
      <c r="G264" s="10" t="s">
        <v>127</v>
      </c>
      <c r="H264" s="10" t="s">
        <v>29</v>
      </c>
      <c r="I264" s="14">
        <v>109.39918804840001</v>
      </c>
      <c r="J264" s="14">
        <v>109.39205949940001</v>
      </c>
      <c r="K264" s="14">
        <v>7.1285490000000014E-3</v>
      </c>
      <c r="L264" s="14">
        <v>0</v>
      </c>
      <c r="M264" s="14">
        <v>109.39918804840001</v>
      </c>
      <c r="N264" s="10" t="s">
        <v>934</v>
      </c>
      <c r="O264" s="15">
        <v>3.9</v>
      </c>
      <c r="P264" s="10" t="s">
        <v>31</v>
      </c>
      <c r="Q264" s="15" t="s">
        <v>32</v>
      </c>
      <c r="R264" s="10" t="s">
        <v>33</v>
      </c>
      <c r="S264" s="10" t="s">
        <v>932</v>
      </c>
      <c r="T264" s="15">
        <f>IF(O264="","",(1/Metadata!$B$5)^(O264-1))</f>
        <v>794.32823472428208</v>
      </c>
      <c r="U264" s="14">
        <f t="shared" si="4"/>
        <v>86898.86392275535</v>
      </c>
      <c r="V264" s="22" t="s">
        <v>129</v>
      </c>
      <c r="W264" s="21" t="s">
        <v>130</v>
      </c>
    </row>
    <row r="265" spans="1:23" ht="18" customHeight="1">
      <c r="A265" s="10" t="s">
        <v>23</v>
      </c>
      <c r="B265" s="10" t="s">
        <v>24</v>
      </c>
      <c r="C265" s="10" t="s">
        <v>25</v>
      </c>
      <c r="D265" s="13">
        <v>2019</v>
      </c>
      <c r="E265" s="10" t="s">
        <v>935</v>
      </c>
      <c r="F265" s="10" t="s">
        <v>936</v>
      </c>
      <c r="G265" s="10" t="s">
        <v>157</v>
      </c>
      <c r="H265" s="10" t="s">
        <v>173</v>
      </c>
      <c r="I265" s="14">
        <v>97.047612143500004</v>
      </c>
      <c r="J265" s="14">
        <v>97.047612143500004</v>
      </c>
      <c r="K265" s="14">
        <v>0</v>
      </c>
      <c r="L265" s="14">
        <v>51.095808153800007</v>
      </c>
      <c r="M265" s="14">
        <v>45.951803989699997</v>
      </c>
      <c r="N265" s="10" t="s">
        <v>937</v>
      </c>
      <c r="O265" s="15">
        <v>4.47</v>
      </c>
      <c r="P265" s="10" t="s">
        <v>31</v>
      </c>
      <c r="Q265" s="15" t="s">
        <v>32</v>
      </c>
      <c r="R265" s="10" t="s">
        <v>33</v>
      </c>
      <c r="S265" s="10" t="s">
        <v>935</v>
      </c>
      <c r="T265" s="15">
        <f>IF(O265="","",(1/Metadata!$B$5)^(O265-1))</f>
        <v>2951.2092266663876</v>
      </c>
      <c r="U265" s="14">
        <f t="shared" si="4"/>
        <v>286407.80838383816</v>
      </c>
      <c r="V265" s="22" t="s">
        <v>175</v>
      </c>
      <c r="W265" s="21" t="s">
        <v>176</v>
      </c>
    </row>
    <row r="266" spans="1:23" ht="18" customHeight="1">
      <c r="A266" s="10" t="s">
        <v>23</v>
      </c>
      <c r="B266" s="10" t="s">
        <v>24</v>
      </c>
      <c r="C266" s="10" t="s">
        <v>25</v>
      </c>
      <c r="D266" s="13">
        <v>2019</v>
      </c>
      <c r="E266" s="10" t="s">
        <v>938</v>
      </c>
      <c r="F266" s="10" t="s">
        <v>939</v>
      </c>
      <c r="G266" s="10" t="s">
        <v>490</v>
      </c>
      <c r="H266" s="10" t="s">
        <v>29</v>
      </c>
      <c r="I266" s="14">
        <v>95.689471906000009</v>
      </c>
      <c r="J266" s="14">
        <v>91.948608836800005</v>
      </c>
      <c r="K266" s="14">
        <v>3.7408630692</v>
      </c>
      <c r="L266" s="14">
        <v>91.948608836800005</v>
      </c>
      <c r="M266" s="14">
        <v>3.7408630692</v>
      </c>
      <c r="N266" s="10" t="s">
        <v>940</v>
      </c>
      <c r="O266" s="15">
        <v>2.81</v>
      </c>
      <c r="P266" s="10" t="s">
        <v>31</v>
      </c>
      <c r="Q266" s="15" t="s">
        <v>32</v>
      </c>
      <c r="R266" s="10" t="s">
        <v>33</v>
      </c>
      <c r="S266" s="10" t="s">
        <v>938</v>
      </c>
      <c r="T266" s="15">
        <f>IF(O266="","",(1/Metadata!$B$5)^(O266-1))</f>
        <v>64.565422903465588</v>
      </c>
      <c r="U266" s="14">
        <f t="shared" si="4"/>
        <v>6178.2312210201799</v>
      </c>
      <c r="V266" s="22" t="s">
        <v>66</v>
      </c>
      <c r="W266" s="21" t="s">
        <v>67</v>
      </c>
    </row>
    <row r="267" spans="1:23" ht="18" customHeight="1">
      <c r="A267" s="10" t="s">
        <v>23</v>
      </c>
      <c r="B267" s="10" t="s">
        <v>24</v>
      </c>
      <c r="C267" s="10" t="s">
        <v>25</v>
      </c>
      <c r="D267" s="13">
        <v>2019</v>
      </c>
      <c r="E267" s="10" t="s">
        <v>941</v>
      </c>
      <c r="F267" s="10" t="s">
        <v>942</v>
      </c>
      <c r="G267" s="10" t="s">
        <v>88</v>
      </c>
      <c r="H267" s="10" t="s">
        <v>89</v>
      </c>
      <c r="I267" s="14">
        <v>90.900455478499993</v>
      </c>
      <c r="J267" s="14">
        <v>90.900455478499993</v>
      </c>
      <c r="K267" s="14">
        <v>0</v>
      </c>
      <c r="L267" s="14">
        <v>47.996073633400002</v>
      </c>
      <c r="M267" s="14">
        <v>42.904381845099998</v>
      </c>
      <c r="N267" s="10" t="s">
        <v>943</v>
      </c>
      <c r="O267" s="15">
        <v>2.2000000000000002</v>
      </c>
      <c r="P267" s="10" t="s">
        <v>31</v>
      </c>
      <c r="Q267" s="15" t="s">
        <v>32</v>
      </c>
      <c r="R267" s="10" t="s">
        <v>33</v>
      </c>
      <c r="S267" s="10" t="s">
        <v>941</v>
      </c>
      <c r="T267" s="15">
        <f>IF(O267="","",(1/Metadata!$B$5)^(O267-1))</f>
        <v>15.848931924611144</v>
      </c>
      <c r="U267" s="14">
        <f t="shared" si="4"/>
        <v>1440.6751307948925</v>
      </c>
      <c r="V267" s="22" t="s">
        <v>91</v>
      </c>
      <c r="W267" s="21" t="s">
        <v>92</v>
      </c>
    </row>
    <row r="268" spans="1:23" ht="18" customHeight="1">
      <c r="A268" s="10" t="s">
        <v>23</v>
      </c>
      <c r="B268" s="10" t="s">
        <v>24</v>
      </c>
      <c r="C268" s="10" t="s">
        <v>25</v>
      </c>
      <c r="D268" s="13">
        <v>2019</v>
      </c>
      <c r="E268" s="10" t="s">
        <v>944</v>
      </c>
      <c r="F268" s="10" t="s">
        <v>945</v>
      </c>
      <c r="G268" s="10" t="s">
        <v>157</v>
      </c>
      <c r="H268" s="10" t="s">
        <v>173</v>
      </c>
      <c r="I268" s="14">
        <v>86.472086159500009</v>
      </c>
      <c r="J268" s="14">
        <v>86.472086159500009</v>
      </c>
      <c r="K268" s="14">
        <v>0</v>
      </c>
      <c r="L268" s="14">
        <v>0</v>
      </c>
      <c r="M268" s="14">
        <v>86.472086159500009</v>
      </c>
      <c r="N268" s="10" t="s">
        <v>946</v>
      </c>
      <c r="O268" s="15">
        <v>4.46</v>
      </c>
      <c r="P268" s="10" t="s">
        <v>41</v>
      </c>
      <c r="Q268" s="15" t="s">
        <v>42</v>
      </c>
      <c r="R268" s="10" t="s">
        <v>33</v>
      </c>
      <c r="S268" s="10" t="s">
        <v>944</v>
      </c>
      <c r="T268" s="15">
        <f>IF(O268="","",(1/Metadata!$B$5)^(O268-1))</f>
        <v>2884.0315031266077</v>
      </c>
      <c r="U268" s="14">
        <f t="shared" si="4"/>
        <v>249388.22062507636</v>
      </c>
      <c r="V268" s="22" t="s">
        <v>832</v>
      </c>
      <c r="W268" s="21" t="s">
        <v>833</v>
      </c>
    </row>
    <row r="269" spans="1:23" ht="18" customHeight="1">
      <c r="A269" s="10" t="s">
        <v>23</v>
      </c>
      <c r="B269" s="10" t="s">
        <v>24</v>
      </c>
      <c r="C269" s="10" t="s">
        <v>25</v>
      </c>
      <c r="D269" s="13">
        <v>2019</v>
      </c>
      <c r="E269" s="10" t="s">
        <v>947</v>
      </c>
      <c r="F269" s="10" t="s">
        <v>948</v>
      </c>
      <c r="G269" s="10" t="s">
        <v>234</v>
      </c>
      <c r="H269" s="10" t="s">
        <v>235</v>
      </c>
      <c r="I269" s="14">
        <v>84.935483755999996</v>
      </c>
      <c r="J269" s="14">
        <v>84.935483755999996</v>
      </c>
      <c r="K269" s="14">
        <v>0</v>
      </c>
      <c r="L269" s="14">
        <v>46.425821444</v>
      </c>
      <c r="M269" s="14">
        <v>38.509662312000003</v>
      </c>
      <c r="N269" s="10" t="s">
        <v>949</v>
      </c>
      <c r="O269" s="15">
        <v>2</v>
      </c>
      <c r="P269" s="10" t="s">
        <v>31</v>
      </c>
      <c r="Q269" s="15" t="s">
        <v>32</v>
      </c>
      <c r="R269" s="10" t="s">
        <v>33</v>
      </c>
      <c r="S269" s="10" t="s">
        <v>947</v>
      </c>
      <c r="T269" s="15">
        <f>IF(O269="","",(1/Metadata!$B$5)^(O269-1))</f>
        <v>10</v>
      </c>
      <c r="U269" s="14">
        <f t="shared" si="4"/>
        <v>849.35483755999996</v>
      </c>
      <c r="V269" s="22" t="s">
        <v>237</v>
      </c>
      <c r="W269" s="21" t="s">
        <v>238</v>
      </c>
    </row>
    <row r="270" spans="1:23" ht="18" customHeight="1">
      <c r="A270" s="10" t="s">
        <v>23</v>
      </c>
      <c r="B270" s="10" t="s">
        <v>24</v>
      </c>
      <c r="C270" s="10" t="s">
        <v>25</v>
      </c>
      <c r="D270" s="13">
        <v>2019</v>
      </c>
      <c r="E270" s="10" t="s">
        <v>950</v>
      </c>
      <c r="F270" s="10" t="s">
        <v>951</v>
      </c>
      <c r="G270" s="10" t="s">
        <v>122</v>
      </c>
      <c r="H270" s="10" t="s">
        <v>89</v>
      </c>
      <c r="I270" s="14">
        <v>74.297454632099999</v>
      </c>
      <c r="J270" s="14">
        <v>74.297454632099999</v>
      </c>
      <c r="K270" s="14">
        <v>0</v>
      </c>
      <c r="L270" s="14">
        <v>74.297454632099999</v>
      </c>
      <c r="M270" s="14">
        <v>0</v>
      </c>
      <c r="N270" s="10" t="s">
        <v>952</v>
      </c>
      <c r="O270" s="15">
        <v>2.5</v>
      </c>
      <c r="P270" s="10" t="s">
        <v>31</v>
      </c>
      <c r="Q270" s="15" t="s">
        <v>32</v>
      </c>
      <c r="R270" s="10" t="s">
        <v>33</v>
      </c>
      <c r="S270" s="10" t="s">
        <v>950</v>
      </c>
      <c r="T270" s="15">
        <f>IF(O270="","",(1/Metadata!$B$5)^(O270-1))</f>
        <v>31.622776601683803</v>
      </c>
      <c r="U270" s="14">
        <f t="shared" si="4"/>
        <v>2349.4918099046358</v>
      </c>
      <c r="V270" s="22" t="s">
        <v>91</v>
      </c>
      <c r="W270" s="21" t="s">
        <v>242</v>
      </c>
    </row>
    <row r="271" spans="1:23" ht="18" customHeight="1">
      <c r="A271" s="10" t="s">
        <v>23</v>
      </c>
      <c r="B271" s="10" t="s">
        <v>24</v>
      </c>
      <c r="C271" s="10" t="s">
        <v>25</v>
      </c>
      <c r="D271" s="13">
        <v>2019</v>
      </c>
      <c r="E271" s="10" t="s">
        <v>953</v>
      </c>
      <c r="F271" s="10" t="s">
        <v>954</v>
      </c>
      <c r="G271" s="10" t="s">
        <v>234</v>
      </c>
      <c r="H271" s="10" t="s">
        <v>235</v>
      </c>
      <c r="I271" s="14">
        <v>64.3625534902</v>
      </c>
      <c r="J271" s="14">
        <v>64.3625534902</v>
      </c>
      <c r="K271" s="14">
        <v>0</v>
      </c>
      <c r="L271" s="14">
        <v>0</v>
      </c>
      <c r="M271" s="14">
        <v>64.3625534902</v>
      </c>
      <c r="N271" s="10" t="s">
        <v>955</v>
      </c>
      <c r="O271" s="15">
        <v>2.27</v>
      </c>
      <c r="P271" s="10" t="s">
        <v>31</v>
      </c>
      <c r="Q271" s="15" t="s">
        <v>32</v>
      </c>
      <c r="R271" s="10" t="s">
        <v>33</v>
      </c>
      <c r="S271" s="10" t="s">
        <v>953</v>
      </c>
      <c r="T271" s="15">
        <f>IF(O271="","",(1/Metadata!$B$5)^(O271-1))</f>
        <v>18.62087136662868</v>
      </c>
      <c r="U271" s="14">
        <f t="shared" si="4"/>
        <v>1198.4868293687721</v>
      </c>
      <c r="V271" s="22" t="s">
        <v>237</v>
      </c>
      <c r="W271" s="21" t="s">
        <v>956</v>
      </c>
    </row>
    <row r="272" spans="1:23" ht="18" customHeight="1">
      <c r="A272" s="10" t="s">
        <v>23</v>
      </c>
      <c r="B272" s="10" t="s">
        <v>24</v>
      </c>
      <c r="C272" s="10" t="s">
        <v>25</v>
      </c>
      <c r="D272" s="13">
        <v>2019</v>
      </c>
      <c r="E272" s="10" t="s">
        <v>957</v>
      </c>
      <c r="F272" s="10" t="s">
        <v>958</v>
      </c>
      <c r="G272" s="10" t="s">
        <v>216</v>
      </c>
      <c r="H272" s="10" t="s">
        <v>47</v>
      </c>
      <c r="I272" s="14">
        <v>59.487290997099997</v>
      </c>
      <c r="J272" s="14">
        <v>59.487290997099997</v>
      </c>
      <c r="K272" s="14">
        <v>0</v>
      </c>
      <c r="L272" s="14">
        <v>35.057330153099997</v>
      </c>
      <c r="M272" s="14">
        <v>24.429960844</v>
      </c>
      <c r="N272" s="10" t="s">
        <v>959</v>
      </c>
      <c r="O272" s="15">
        <v>3.43</v>
      </c>
      <c r="P272" s="10" t="s">
        <v>31</v>
      </c>
      <c r="Q272" s="15" t="s">
        <v>32</v>
      </c>
      <c r="R272" s="10" t="s">
        <v>33</v>
      </c>
      <c r="S272" s="10" t="s">
        <v>957</v>
      </c>
      <c r="T272" s="15">
        <f>IF(O272="","",(1/Metadata!$B$5)^(O272-1))</f>
        <v>269.15348039269179</v>
      </c>
      <c r="U272" s="14">
        <f t="shared" si="4"/>
        <v>16011.211411002305</v>
      </c>
      <c r="V272" s="22" t="s">
        <v>100</v>
      </c>
      <c r="W272" s="21" t="s">
        <v>101</v>
      </c>
    </row>
    <row r="273" spans="1:23" ht="18" customHeight="1">
      <c r="A273" s="10" t="s">
        <v>23</v>
      </c>
      <c r="B273" s="10" t="s">
        <v>24</v>
      </c>
      <c r="C273" s="10" t="s">
        <v>25</v>
      </c>
      <c r="D273" s="13">
        <v>2019</v>
      </c>
      <c r="E273" s="10" t="s">
        <v>960</v>
      </c>
      <c r="F273" s="10" t="s">
        <v>961</v>
      </c>
      <c r="G273" s="10" t="s">
        <v>157</v>
      </c>
      <c r="H273" s="10" t="s">
        <v>173</v>
      </c>
      <c r="I273" s="14">
        <v>54.7533866303</v>
      </c>
      <c r="J273" s="14">
        <v>54.7533866303</v>
      </c>
      <c r="K273" s="14">
        <v>0</v>
      </c>
      <c r="L273" s="14">
        <v>28.442747619399999</v>
      </c>
      <c r="M273" s="14">
        <v>26.310639010900001</v>
      </c>
      <c r="N273" s="10" t="s">
        <v>962</v>
      </c>
      <c r="O273" s="15">
        <v>4.5</v>
      </c>
      <c r="P273" s="10" t="s">
        <v>31</v>
      </c>
      <c r="Q273" s="15" t="s">
        <v>32</v>
      </c>
      <c r="R273" s="10" t="s">
        <v>33</v>
      </c>
      <c r="S273" s="10" t="s">
        <v>960</v>
      </c>
      <c r="T273" s="15">
        <f>IF(O273="","",(1/Metadata!$B$5)^(O273-1))</f>
        <v>3162.2776601683804</v>
      </c>
      <c r="U273" s="14">
        <f t="shared" si="4"/>
        <v>173145.41135955977</v>
      </c>
      <c r="V273" s="22" t="s">
        <v>175</v>
      </c>
      <c r="W273" s="21" t="s">
        <v>176</v>
      </c>
    </row>
    <row r="274" spans="1:23" ht="18" customHeight="1">
      <c r="A274" s="10" t="s">
        <v>23</v>
      </c>
      <c r="B274" s="10" t="s">
        <v>24</v>
      </c>
      <c r="C274" s="10" t="s">
        <v>25</v>
      </c>
      <c r="D274" s="13">
        <v>2019</v>
      </c>
      <c r="E274" s="10" t="s">
        <v>963</v>
      </c>
      <c r="F274" s="10" t="s">
        <v>964</v>
      </c>
      <c r="G274" s="10" t="s">
        <v>157</v>
      </c>
      <c r="H274" s="10" t="s">
        <v>173</v>
      </c>
      <c r="I274" s="14">
        <v>49.862201169800002</v>
      </c>
      <c r="J274" s="14">
        <v>49.862201169800002</v>
      </c>
      <c r="K274" s="14">
        <v>0</v>
      </c>
      <c r="L274" s="14">
        <v>49.862201169800002</v>
      </c>
      <c r="M274" s="14">
        <v>0</v>
      </c>
      <c r="N274" s="10" t="s">
        <v>965</v>
      </c>
      <c r="O274" s="15">
        <v>4.5</v>
      </c>
      <c r="P274" s="10" t="s">
        <v>41</v>
      </c>
      <c r="Q274" s="15" t="s">
        <v>42</v>
      </c>
      <c r="R274" s="10" t="s">
        <v>33</v>
      </c>
      <c r="S274" s="10" t="s">
        <v>963</v>
      </c>
      <c r="T274" s="15">
        <f>IF(O274="","",(1/Metadata!$B$5)^(O274-1))</f>
        <v>3162.2776601683804</v>
      </c>
      <c r="U274" s="14">
        <f t="shared" si="4"/>
        <v>157678.12484608023</v>
      </c>
      <c r="V274" s="22" t="s">
        <v>175</v>
      </c>
      <c r="W274" s="21" t="s">
        <v>176</v>
      </c>
    </row>
    <row r="275" spans="1:23" ht="18" customHeight="1">
      <c r="A275" s="10" t="s">
        <v>23</v>
      </c>
      <c r="B275" s="10" t="s">
        <v>24</v>
      </c>
      <c r="C275" s="10" t="s">
        <v>25</v>
      </c>
      <c r="D275" s="13">
        <v>2019</v>
      </c>
      <c r="E275" s="10" t="s">
        <v>966</v>
      </c>
      <c r="F275" s="10" t="s">
        <v>967</v>
      </c>
      <c r="G275" s="10" t="s">
        <v>490</v>
      </c>
      <c r="H275" s="10" t="s">
        <v>47</v>
      </c>
      <c r="I275" s="14">
        <v>45.014616820699999</v>
      </c>
      <c r="J275" s="14">
        <v>45.014616820699999</v>
      </c>
      <c r="K275" s="14">
        <v>0</v>
      </c>
      <c r="L275" s="14">
        <v>0</v>
      </c>
      <c r="M275" s="14">
        <v>45.014616820699999</v>
      </c>
      <c r="N275" s="10" t="s">
        <v>968</v>
      </c>
      <c r="O275" s="15">
        <v>4.09</v>
      </c>
      <c r="P275" s="10" t="s">
        <v>31</v>
      </c>
      <c r="Q275" s="15" t="s">
        <v>32</v>
      </c>
      <c r="R275" s="10" t="s">
        <v>33</v>
      </c>
      <c r="S275" s="10" t="s">
        <v>966</v>
      </c>
      <c r="T275" s="15">
        <f>IF(O275="","",(1/Metadata!$B$5)^(O275-1))</f>
        <v>1230.2687708123824</v>
      </c>
      <c r="U275" s="14">
        <f t="shared" si="4"/>
        <v>55380.077304592982</v>
      </c>
      <c r="V275" s="23" t="s">
        <v>60</v>
      </c>
      <c r="W275" s="21" t="s">
        <v>969</v>
      </c>
    </row>
    <row r="276" spans="1:23" ht="18" customHeight="1">
      <c r="A276" s="10" t="s">
        <v>23</v>
      </c>
      <c r="B276" s="10" t="s">
        <v>24</v>
      </c>
      <c r="C276" s="10" t="s">
        <v>25</v>
      </c>
      <c r="D276" s="13">
        <v>2019</v>
      </c>
      <c r="E276" s="10" t="s">
        <v>970</v>
      </c>
      <c r="F276" s="10" t="s">
        <v>971</v>
      </c>
      <c r="G276" s="10" t="s">
        <v>157</v>
      </c>
      <c r="H276" s="10" t="s">
        <v>29</v>
      </c>
      <c r="I276" s="14">
        <v>43.6023369336</v>
      </c>
      <c r="J276" s="14">
        <v>43.6023369336</v>
      </c>
      <c r="K276" s="14">
        <v>0</v>
      </c>
      <c r="L276" s="14">
        <v>24.7318773537</v>
      </c>
      <c r="M276" s="14">
        <v>18.8704595799</v>
      </c>
      <c r="N276" s="10" t="s">
        <v>972</v>
      </c>
      <c r="O276" s="15">
        <v>3.48</v>
      </c>
      <c r="P276" s="10" t="s">
        <v>41</v>
      </c>
      <c r="Q276" s="15" t="s">
        <v>42</v>
      </c>
      <c r="R276" s="10" t="s">
        <v>33</v>
      </c>
      <c r="S276" s="10" t="s">
        <v>970</v>
      </c>
      <c r="T276" s="15">
        <f>IF(O276="","",(1/Metadata!$B$5)^(O276-1))</f>
        <v>301.99517204020168</v>
      </c>
      <c r="U276" s="14">
        <f t="shared" si="4"/>
        <v>13167.695243617372</v>
      </c>
      <c r="V276" s="22" t="s">
        <v>129</v>
      </c>
      <c r="W276" s="21" t="s">
        <v>130</v>
      </c>
    </row>
    <row r="277" spans="1:23" ht="18" customHeight="1">
      <c r="A277" s="10" t="s">
        <v>23</v>
      </c>
      <c r="B277" s="10" t="s">
        <v>24</v>
      </c>
      <c r="C277" s="10" t="s">
        <v>25</v>
      </c>
      <c r="D277" s="13">
        <v>2019</v>
      </c>
      <c r="E277" s="10" t="s">
        <v>973</v>
      </c>
      <c r="F277" s="10" t="s">
        <v>974</v>
      </c>
      <c r="G277" s="10" t="s">
        <v>216</v>
      </c>
      <c r="H277" s="10" t="s">
        <v>47</v>
      </c>
      <c r="I277" s="14">
        <v>34.766767013500001</v>
      </c>
      <c r="J277" s="14">
        <v>34.766767013500001</v>
      </c>
      <c r="K277" s="14">
        <v>0</v>
      </c>
      <c r="L277" s="14">
        <v>19.797971364599999</v>
      </c>
      <c r="M277" s="14">
        <v>14.9687956489</v>
      </c>
      <c r="N277" s="10" t="s">
        <v>975</v>
      </c>
      <c r="O277" s="15">
        <v>2</v>
      </c>
      <c r="P277" s="10" t="s">
        <v>31</v>
      </c>
      <c r="Q277" s="15" t="s">
        <v>32</v>
      </c>
      <c r="R277" s="10" t="s">
        <v>33</v>
      </c>
      <c r="S277" s="10" t="s">
        <v>973</v>
      </c>
      <c r="T277" s="15">
        <f>IF(O277="","",(1/Metadata!$B$5)^(O277-1))</f>
        <v>10</v>
      </c>
      <c r="U277" s="14">
        <f t="shared" si="4"/>
        <v>347.66767013499998</v>
      </c>
      <c r="V277" s="22" t="s">
        <v>66</v>
      </c>
      <c r="W277" s="21" t="s">
        <v>67</v>
      </c>
    </row>
    <row r="278" spans="1:23" ht="18" customHeight="1">
      <c r="A278" s="10" t="s">
        <v>23</v>
      </c>
      <c r="B278" s="10" t="s">
        <v>24</v>
      </c>
      <c r="C278" s="10" t="s">
        <v>25</v>
      </c>
      <c r="D278" s="13">
        <v>2019</v>
      </c>
      <c r="E278" s="10" t="s">
        <v>976</v>
      </c>
      <c r="F278" s="10" t="s">
        <v>977</v>
      </c>
      <c r="G278" s="10" t="s">
        <v>490</v>
      </c>
      <c r="H278" s="10" t="s">
        <v>47</v>
      </c>
      <c r="I278" s="14">
        <v>30.0469315301</v>
      </c>
      <c r="J278" s="14">
        <v>30.0469315301</v>
      </c>
      <c r="K278" s="14">
        <v>0</v>
      </c>
      <c r="L278" s="14">
        <v>0</v>
      </c>
      <c r="M278" s="14">
        <v>30.0469315301</v>
      </c>
      <c r="N278" s="10" t="s">
        <v>978</v>
      </c>
      <c r="O278" s="15">
        <v>4.5</v>
      </c>
      <c r="P278" s="10" t="s">
        <v>41</v>
      </c>
      <c r="Q278" s="15" t="s">
        <v>42</v>
      </c>
      <c r="R278" s="10" t="s">
        <v>33</v>
      </c>
      <c r="S278" s="10" t="s">
        <v>976</v>
      </c>
      <c r="T278" s="15">
        <f>IF(O278="","",(1/Metadata!$B$5)^(O278-1))</f>
        <v>3162.2776601683804</v>
      </c>
      <c r="U278" s="14">
        <f t="shared" si="4"/>
        <v>95016.740334244168</v>
      </c>
      <c r="V278" s="22" t="s">
        <v>129</v>
      </c>
      <c r="W278" s="21" t="s">
        <v>130</v>
      </c>
    </row>
    <row r="279" spans="1:23" ht="18" customHeight="1">
      <c r="A279" s="10" t="s">
        <v>23</v>
      </c>
      <c r="B279" s="10" t="s">
        <v>24</v>
      </c>
      <c r="C279" s="10" t="s">
        <v>25</v>
      </c>
      <c r="D279" s="13">
        <v>2019</v>
      </c>
      <c r="E279" s="10" t="s">
        <v>979</v>
      </c>
      <c r="F279" s="10" t="s">
        <v>980</v>
      </c>
      <c r="G279" s="10" t="s">
        <v>157</v>
      </c>
      <c r="H279" s="10" t="s">
        <v>47</v>
      </c>
      <c r="I279" s="14">
        <v>27.577005665400002</v>
      </c>
      <c r="J279" s="14">
        <v>27.577005665400002</v>
      </c>
      <c r="K279" s="14">
        <v>0</v>
      </c>
      <c r="L279" s="14">
        <v>27.577005665400002</v>
      </c>
      <c r="M279" s="14">
        <v>0</v>
      </c>
      <c r="N279" s="10" t="s">
        <v>981</v>
      </c>
      <c r="O279" s="15">
        <v>4.5</v>
      </c>
      <c r="P279" s="10" t="s">
        <v>41</v>
      </c>
      <c r="Q279" s="15" t="s">
        <v>42</v>
      </c>
      <c r="R279" s="10" t="s">
        <v>33</v>
      </c>
      <c r="S279" s="10" t="s">
        <v>979</v>
      </c>
      <c r="T279" s="15">
        <f>IF(O279="","",(1/Metadata!$B$5)^(O279-1))</f>
        <v>3162.2776601683804</v>
      </c>
      <c r="U279" s="14">
        <f t="shared" si="4"/>
        <v>87206.148950031289</v>
      </c>
      <c r="V279" s="22" t="s">
        <v>180</v>
      </c>
      <c r="W279" s="21" t="s">
        <v>195</v>
      </c>
    </row>
    <row r="280" spans="1:23" ht="18" customHeight="1">
      <c r="A280" s="10" t="s">
        <v>23</v>
      </c>
      <c r="B280" s="10" t="s">
        <v>24</v>
      </c>
      <c r="C280" s="10" t="s">
        <v>25</v>
      </c>
      <c r="D280" s="13">
        <v>2019</v>
      </c>
      <c r="E280" s="10" t="s">
        <v>982</v>
      </c>
      <c r="F280" s="10" t="s">
        <v>983</v>
      </c>
      <c r="G280" s="10" t="s">
        <v>38</v>
      </c>
      <c r="H280" s="10" t="s">
        <v>39</v>
      </c>
      <c r="I280" s="14">
        <v>25.593000549900001</v>
      </c>
      <c r="J280" s="14">
        <v>25.593000549900001</v>
      </c>
      <c r="K280" s="14">
        <v>0</v>
      </c>
      <c r="L280" s="14">
        <v>0</v>
      </c>
      <c r="M280" s="14">
        <v>25.593000549900001</v>
      </c>
      <c r="N280" s="10" t="s">
        <v>984</v>
      </c>
      <c r="O280" s="15">
        <v>2.48</v>
      </c>
      <c r="P280" s="10" t="s">
        <v>41</v>
      </c>
      <c r="Q280" s="15" t="s">
        <v>42</v>
      </c>
      <c r="R280" s="10" t="s">
        <v>33</v>
      </c>
      <c r="S280" s="10" t="s">
        <v>982</v>
      </c>
      <c r="T280" s="15">
        <f>IF(O280="","",(1/Metadata!$B$5)^(O280-1))</f>
        <v>30.199517204020164</v>
      </c>
      <c r="U280" s="14">
        <f t="shared" si="4"/>
        <v>772.89626040920257</v>
      </c>
      <c r="V280" s="22" t="s">
        <v>43</v>
      </c>
      <c r="W280" s="21" t="s">
        <v>44</v>
      </c>
    </row>
    <row r="281" spans="1:23" ht="18" customHeight="1">
      <c r="A281" s="10" t="s">
        <v>23</v>
      </c>
      <c r="B281" s="10" t="s">
        <v>24</v>
      </c>
      <c r="C281" s="10" t="s">
        <v>25</v>
      </c>
      <c r="D281" s="13">
        <v>2019</v>
      </c>
      <c r="E281" s="10" t="s">
        <v>985</v>
      </c>
      <c r="F281" s="10" t="s">
        <v>986</v>
      </c>
      <c r="G281" s="10" t="s">
        <v>234</v>
      </c>
      <c r="H281" s="10" t="s">
        <v>29</v>
      </c>
      <c r="I281" s="14">
        <v>12.308441869199999</v>
      </c>
      <c r="J281" s="14">
        <v>12.308441869199999</v>
      </c>
      <c r="K281" s="14">
        <v>0</v>
      </c>
      <c r="L281" s="14">
        <v>6.6551857026999999</v>
      </c>
      <c r="M281" s="14">
        <v>5.6532561665000003</v>
      </c>
      <c r="N281" s="10" t="s">
        <v>987</v>
      </c>
      <c r="O281" s="15">
        <v>2.2999999999999998</v>
      </c>
      <c r="P281" s="10" t="s">
        <v>31</v>
      </c>
      <c r="Q281" s="15" t="s">
        <v>32</v>
      </c>
      <c r="R281" s="10" t="s">
        <v>33</v>
      </c>
      <c r="S281" s="10" t="s">
        <v>985</v>
      </c>
      <c r="T281" s="15">
        <f>IF(O281="","",(1/Metadata!$B$5)^(O281-1))</f>
        <v>19.952623149688797</v>
      </c>
      <c r="U281" s="14">
        <f t="shared" si="4"/>
        <v>245.58570217599876</v>
      </c>
      <c r="V281" s="23" t="s">
        <v>237</v>
      </c>
      <c r="W281" s="21" t="s">
        <v>988</v>
      </c>
    </row>
    <row r="282" spans="1:23" ht="18" customHeight="1">
      <c r="A282" s="10" t="s">
        <v>23</v>
      </c>
      <c r="B282" s="10" t="s">
        <v>24</v>
      </c>
      <c r="C282" s="10" t="s">
        <v>25</v>
      </c>
      <c r="D282" s="13">
        <v>2019</v>
      </c>
      <c r="E282" s="10" t="s">
        <v>989</v>
      </c>
      <c r="F282" s="10" t="s">
        <v>990</v>
      </c>
      <c r="G282" s="10" t="s">
        <v>490</v>
      </c>
      <c r="H282" s="10" t="s">
        <v>47</v>
      </c>
      <c r="I282" s="14">
        <v>12.199351006900001</v>
      </c>
      <c r="J282" s="14">
        <v>12.199351006900001</v>
      </c>
      <c r="K282" s="14">
        <v>0</v>
      </c>
      <c r="L282" s="14">
        <v>7.5289070074</v>
      </c>
      <c r="M282" s="14">
        <v>4.6704439995000007</v>
      </c>
      <c r="N282" s="10" t="s">
        <v>991</v>
      </c>
      <c r="O282" s="15">
        <v>3.84</v>
      </c>
      <c r="P282" s="10" t="s">
        <v>41</v>
      </c>
      <c r="Q282" s="15" t="s">
        <v>42</v>
      </c>
      <c r="R282" s="10" t="s">
        <v>33</v>
      </c>
      <c r="S282" s="10" t="s">
        <v>989</v>
      </c>
      <c r="T282" s="15">
        <f>IF(O282="","",(1/Metadata!$B$5)^(O282-1))</f>
        <v>691.83097091893671</v>
      </c>
      <c r="U282" s="14">
        <f t="shared" si="4"/>
        <v>8439.8888516845363</v>
      </c>
      <c r="V282" s="22" t="s">
        <v>60</v>
      </c>
      <c r="W282" s="21" t="s">
        <v>61</v>
      </c>
    </row>
    <row r="283" spans="1:23" ht="18" customHeight="1">
      <c r="A283" s="10" t="s">
        <v>23</v>
      </c>
      <c r="B283" s="10" t="s">
        <v>24</v>
      </c>
      <c r="C283" s="10" t="s">
        <v>25</v>
      </c>
      <c r="D283" s="13">
        <v>2019</v>
      </c>
      <c r="E283" s="10" t="s">
        <v>992</v>
      </c>
      <c r="F283" s="10" t="s">
        <v>993</v>
      </c>
      <c r="G283" s="10" t="s">
        <v>88</v>
      </c>
      <c r="H283" s="10" t="s">
        <v>89</v>
      </c>
      <c r="I283" s="14">
        <v>8.7315311844999997</v>
      </c>
      <c r="J283" s="14">
        <v>8.7315311844999997</v>
      </c>
      <c r="K283" s="14">
        <v>0</v>
      </c>
      <c r="L283" s="14">
        <v>8.7315311844999997</v>
      </c>
      <c r="M283" s="14">
        <v>0</v>
      </c>
      <c r="N283" s="10" t="s">
        <v>994</v>
      </c>
      <c r="O283" s="15">
        <v>2.93</v>
      </c>
      <c r="P283" s="10" t="s">
        <v>31</v>
      </c>
      <c r="Q283" s="15" t="s">
        <v>32</v>
      </c>
      <c r="R283" s="10" t="s">
        <v>33</v>
      </c>
      <c r="S283" s="10" t="s">
        <v>992</v>
      </c>
      <c r="T283" s="15">
        <f>IF(O283="","",(1/Metadata!$B$5)^(O283-1))</f>
        <v>85.113803820237734</v>
      </c>
      <c r="U283" s="14">
        <f t="shared" si="4"/>
        <v>743.17383228782103</v>
      </c>
      <c r="V283" s="22" t="s">
        <v>91</v>
      </c>
      <c r="W283" s="21" t="s">
        <v>92</v>
      </c>
    </row>
    <row r="284" spans="1:23" ht="18" customHeight="1">
      <c r="A284" s="10" t="s">
        <v>23</v>
      </c>
      <c r="B284" s="10" t="s">
        <v>24</v>
      </c>
      <c r="C284" s="10" t="s">
        <v>25</v>
      </c>
      <c r="D284" s="13">
        <v>2019</v>
      </c>
      <c r="E284" s="10" t="s">
        <v>995</v>
      </c>
      <c r="F284" s="10" t="s">
        <v>996</v>
      </c>
      <c r="G284" s="10" t="s">
        <v>38</v>
      </c>
      <c r="H284" s="10" t="s">
        <v>29</v>
      </c>
      <c r="I284" s="14">
        <v>8.2545398416999998</v>
      </c>
      <c r="J284" s="14">
        <v>8.2545398416999998</v>
      </c>
      <c r="K284" s="14">
        <v>0</v>
      </c>
      <c r="L284" s="14">
        <v>0</v>
      </c>
      <c r="M284" s="14">
        <v>8.2545398416999998</v>
      </c>
      <c r="N284" s="10" t="s">
        <v>997</v>
      </c>
      <c r="O284" s="15">
        <v>2.82</v>
      </c>
      <c r="P284" s="10" t="s">
        <v>31</v>
      </c>
      <c r="Q284" s="15" t="s">
        <v>32</v>
      </c>
      <c r="R284" s="10" t="s">
        <v>33</v>
      </c>
      <c r="S284" s="10" t="s">
        <v>995</v>
      </c>
      <c r="T284" s="15">
        <f>IF(O284="","",(1/Metadata!$B$5)^(O284-1))</f>
        <v>66.069344800759623</v>
      </c>
      <c r="U284" s="14">
        <f t="shared" si="4"/>
        <v>545.37203897288509</v>
      </c>
      <c r="V284" s="22" t="s">
        <v>55</v>
      </c>
      <c r="W284" s="21" t="s">
        <v>56</v>
      </c>
    </row>
    <row r="285" spans="1:23" ht="18" customHeight="1">
      <c r="A285" s="10" t="s">
        <v>23</v>
      </c>
      <c r="B285" s="10" t="s">
        <v>24</v>
      </c>
      <c r="C285" s="10" t="s">
        <v>25</v>
      </c>
      <c r="D285" s="13">
        <v>2019</v>
      </c>
      <c r="E285" s="10" t="s">
        <v>998</v>
      </c>
      <c r="F285" s="10" t="s">
        <v>998</v>
      </c>
      <c r="G285" s="10" t="s">
        <v>234</v>
      </c>
      <c r="H285" s="10" t="s">
        <v>235</v>
      </c>
      <c r="I285" s="14">
        <v>5.4716054231999998</v>
      </c>
      <c r="J285" s="14">
        <v>5.4716054231999998</v>
      </c>
      <c r="K285" s="14">
        <v>0</v>
      </c>
      <c r="L285" s="14">
        <v>0</v>
      </c>
      <c r="M285" s="14">
        <v>5.4716054231999998</v>
      </c>
      <c r="N285" s="10" t="s">
        <v>999</v>
      </c>
      <c r="O285" s="15">
        <v>2.1</v>
      </c>
      <c r="P285" s="10" t="s">
        <v>31</v>
      </c>
      <c r="Q285" s="15" t="s">
        <v>32</v>
      </c>
      <c r="R285" s="10" t="s">
        <v>33</v>
      </c>
      <c r="S285" s="10" t="s">
        <v>998</v>
      </c>
      <c r="T285" s="15">
        <f>IF(O285="","",(1/Metadata!$B$5)^(O285-1))</f>
        <v>12.58925411794168</v>
      </c>
      <c r="U285" s="14">
        <f t="shared" si="4"/>
        <v>68.88343110577263</v>
      </c>
      <c r="V285" s="22" t="s">
        <v>237</v>
      </c>
      <c r="W285" s="21" t="s">
        <v>238</v>
      </c>
    </row>
    <row r="286" spans="1:23" ht="18" customHeight="1">
      <c r="A286" s="10" t="s">
        <v>23</v>
      </c>
      <c r="B286" s="10" t="s">
        <v>24</v>
      </c>
      <c r="C286" s="10" t="s">
        <v>25</v>
      </c>
      <c r="D286" s="13">
        <v>2019</v>
      </c>
      <c r="E286" s="10" t="s">
        <v>1000</v>
      </c>
      <c r="F286" s="10" t="s">
        <v>1001</v>
      </c>
      <c r="G286" s="10" t="s">
        <v>216</v>
      </c>
      <c r="H286" s="10" t="s">
        <v>47</v>
      </c>
      <c r="I286" s="14">
        <v>4.5545661830999986</v>
      </c>
      <c r="J286" s="14">
        <v>4.5545661830999986</v>
      </c>
      <c r="K286" s="14">
        <v>0</v>
      </c>
      <c r="L286" s="14">
        <v>4.5545661830999986</v>
      </c>
      <c r="M286" s="14">
        <v>0</v>
      </c>
      <c r="N286" s="10" t="s">
        <v>1002</v>
      </c>
      <c r="O286" s="15">
        <v>3.46</v>
      </c>
      <c r="P286" s="10" t="s">
        <v>31</v>
      </c>
      <c r="Q286" s="15" t="s">
        <v>32</v>
      </c>
      <c r="R286" s="10" t="s">
        <v>33</v>
      </c>
      <c r="S286" s="10" t="s">
        <v>1000</v>
      </c>
      <c r="T286" s="15">
        <f>IF(O286="","",(1/Metadata!$B$5)^(O286-1))</f>
        <v>288.40315031266073</v>
      </c>
      <c r="U286" s="14">
        <f t="shared" si="4"/>
        <v>1313.5512355135504</v>
      </c>
      <c r="V286" s="22" t="s">
        <v>129</v>
      </c>
      <c r="W286" s="21" t="s">
        <v>130</v>
      </c>
    </row>
    <row r="287" spans="1:23" ht="18" customHeight="1">
      <c r="A287" s="10" t="s">
        <v>23</v>
      </c>
      <c r="B287" s="10" t="s">
        <v>24</v>
      </c>
      <c r="C287" s="10" t="s">
        <v>25</v>
      </c>
      <c r="D287" s="13">
        <v>2019</v>
      </c>
      <c r="E287" s="10" t="s">
        <v>1003</v>
      </c>
      <c r="F287" s="10" t="s">
        <v>1004</v>
      </c>
      <c r="G287" s="10" t="s">
        <v>53</v>
      </c>
      <c r="H287" s="10" t="s">
        <v>1005</v>
      </c>
      <c r="I287" s="14">
        <v>2.1549629116000002</v>
      </c>
      <c r="J287" s="14">
        <v>2.0247972411999999</v>
      </c>
      <c r="K287" s="14">
        <v>0.13016567039999999</v>
      </c>
      <c r="L287" s="14">
        <v>2.0247972411999999</v>
      </c>
      <c r="M287" s="14">
        <v>0.13016567039999999</v>
      </c>
      <c r="N287" s="10" t="s">
        <v>1006</v>
      </c>
      <c r="O287" s="15">
        <v>3.3</v>
      </c>
      <c r="P287" s="10" t="s">
        <v>41</v>
      </c>
      <c r="Q287" s="15" t="s">
        <v>42</v>
      </c>
      <c r="R287" s="10" t="s">
        <v>33</v>
      </c>
      <c r="S287" s="10" t="s">
        <v>1003</v>
      </c>
      <c r="T287" s="15">
        <f>IF(O287="","",(1/Metadata!$B$5)^(O287-1))</f>
        <v>199.52623149688802</v>
      </c>
      <c r="U287" s="14">
        <f t="shared" si="4"/>
        <v>429.97162876710945</v>
      </c>
      <c r="V287" s="22" t="s">
        <v>55</v>
      </c>
      <c r="W287" s="21" t="s">
        <v>56</v>
      </c>
    </row>
    <row r="288" spans="1:23" ht="18" customHeight="1">
      <c r="A288" s="10" t="s">
        <v>23</v>
      </c>
      <c r="B288" s="10" t="s">
        <v>24</v>
      </c>
      <c r="C288" s="10" t="s">
        <v>25</v>
      </c>
      <c r="D288" s="13">
        <v>2019</v>
      </c>
      <c r="E288" s="10" t="s">
        <v>1007</v>
      </c>
      <c r="F288" s="10" t="s">
        <v>1008</v>
      </c>
      <c r="G288" s="10" t="s">
        <v>28</v>
      </c>
      <c r="H288" s="10" t="s">
        <v>47</v>
      </c>
      <c r="I288" s="14">
        <v>1.5752988601</v>
      </c>
      <c r="J288" s="14">
        <v>1.5752988601</v>
      </c>
      <c r="K288" s="14">
        <v>0</v>
      </c>
      <c r="L288" s="14">
        <v>1.5752988601</v>
      </c>
      <c r="M288" s="14">
        <v>0</v>
      </c>
      <c r="N288" s="10" t="s">
        <v>1009</v>
      </c>
      <c r="O288" s="15">
        <v>3.47</v>
      </c>
      <c r="P288" s="10" t="s">
        <v>41</v>
      </c>
      <c r="Q288" s="15" t="s">
        <v>42</v>
      </c>
      <c r="R288" s="10" t="s">
        <v>33</v>
      </c>
      <c r="S288" s="10" t="s">
        <v>1007</v>
      </c>
      <c r="T288" s="15">
        <f>IF(O288="","",(1/Metadata!$B$5)^(O288-1))</f>
        <v>295.12092266663893</v>
      </c>
      <c r="U288" s="14">
        <f t="shared" si="4"/>
        <v>464.90365306841653</v>
      </c>
      <c r="V288" s="22" t="s">
        <v>100</v>
      </c>
      <c r="W288" s="21" t="s">
        <v>101</v>
      </c>
    </row>
    <row r="289" spans="1:23" ht="18" customHeight="1">
      <c r="A289" s="10" t="s">
        <v>23</v>
      </c>
      <c r="B289" s="10" t="s">
        <v>24</v>
      </c>
      <c r="C289" s="10" t="s">
        <v>25</v>
      </c>
      <c r="D289" s="13">
        <v>2019</v>
      </c>
      <c r="E289" s="10" t="s">
        <v>1010</v>
      </c>
      <c r="F289" s="10" t="s">
        <v>1011</v>
      </c>
      <c r="G289" s="10" t="s">
        <v>305</v>
      </c>
      <c r="H289" s="10" t="s">
        <v>137</v>
      </c>
      <c r="I289" s="14">
        <v>2.2342457699999999E-2</v>
      </c>
      <c r="J289" s="14">
        <v>2.2342457699999999E-2</v>
      </c>
      <c r="K289" s="14">
        <v>0</v>
      </c>
      <c r="L289" s="14">
        <v>2.2342457699999999E-2</v>
      </c>
      <c r="M289" s="14">
        <v>0</v>
      </c>
      <c r="N289" s="10" t="s">
        <v>1012</v>
      </c>
      <c r="O289" s="15">
        <v>3.46</v>
      </c>
      <c r="P289" s="10" t="s">
        <v>31</v>
      </c>
      <c r="Q289" s="15" t="s">
        <v>32</v>
      </c>
      <c r="R289" s="10" t="s">
        <v>33</v>
      </c>
      <c r="S289" s="10" t="s">
        <v>1010</v>
      </c>
      <c r="T289" s="15">
        <f>IF(O289="","",(1/Metadata!$B$5)^(O289-1))</f>
        <v>288.40315031266073</v>
      </c>
      <c r="U289" s="14">
        <f t="shared" si="4"/>
        <v>6.4436351864073638</v>
      </c>
      <c r="V289" s="22" t="s">
        <v>433</v>
      </c>
      <c r="W289" s="21" t="s">
        <v>1013</v>
      </c>
    </row>
  </sheetData>
  <conditionalFormatting sqref="R2:R289">
    <cfRule type="containsText" dxfId="2" priority="1" operator="containsText" text="low"/>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2"/>
  <sheetViews>
    <sheetView showGridLines="0" workbookViewId="0"/>
  </sheetViews>
  <sheetFormatPr defaultRowHeight="14"/>
  <cols>
    <col min="1" max="1" width="26" customWidth="1"/>
    <col min="2" max="3" width="22" customWidth="1"/>
    <col min="4" max="6" width="18" customWidth="1"/>
    <col min="7" max="7" width="16" customWidth="1"/>
    <col min="8" max="9" width="18" customWidth="1"/>
    <col min="10" max="10" width="15" customWidth="1"/>
    <col min="11" max="13" width="18" customWidth="1"/>
    <col min="14" max="15" width="16" customWidth="1"/>
  </cols>
  <sheetData>
    <row r="1" spans="1:15" ht="32" customHeight="1">
      <c r="A1" s="12" t="s">
        <v>7</v>
      </c>
      <c r="B1" s="12" t="s">
        <v>1014</v>
      </c>
      <c r="C1" s="12" t="s">
        <v>1015</v>
      </c>
      <c r="D1" s="12" t="s">
        <v>1016</v>
      </c>
      <c r="E1" s="12" t="s">
        <v>1017</v>
      </c>
      <c r="F1" s="12" t="s">
        <v>1018</v>
      </c>
      <c r="G1" s="12" t="s">
        <v>1019</v>
      </c>
      <c r="H1" s="12" t="s">
        <v>1020</v>
      </c>
      <c r="I1" s="12" t="s">
        <v>1021</v>
      </c>
      <c r="J1" s="12" t="s">
        <v>1022</v>
      </c>
      <c r="K1" s="12" t="s">
        <v>1023</v>
      </c>
      <c r="L1" s="12" t="s">
        <v>1024</v>
      </c>
      <c r="M1" s="12" t="s">
        <v>1025</v>
      </c>
      <c r="N1" s="12" t="s">
        <v>1026</v>
      </c>
      <c r="O1" s="12" t="s">
        <v>1027</v>
      </c>
    </row>
    <row r="2" spans="1:15" ht="18" customHeight="1">
      <c r="A2" s="10" t="s">
        <v>104</v>
      </c>
      <c r="B2" s="16">
        <v>7</v>
      </c>
      <c r="C2" s="16">
        <v>7</v>
      </c>
      <c r="D2" s="14">
        <v>258004.0042212866</v>
      </c>
      <c r="E2" s="14">
        <v>258004.0042212866</v>
      </c>
      <c r="F2" s="15">
        <v>0</v>
      </c>
      <c r="G2" s="17">
        <v>1</v>
      </c>
      <c r="H2" s="15">
        <f t="shared" ref="H2:H12" si="0">IF(E2=0,"",I2/E2)</f>
        <v>212.02045281023911</v>
      </c>
      <c r="I2" s="14">
        <f>SUMIF(Species!$H$2:$H$289,A2,Species!$U$2:$U$289)</f>
        <v>54702125.801852025</v>
      </c>
      <c r="J2" s="15">
        <v>3.312860179539022</v>
      </c>
      <c r="K2" s="15">
        <f>IF(J2="","",(1/Metadata!$B$5)^(J2-1))</f>
        <v>205.52288116077659</v>
      </c>
      <c r="L2" s="14">
        <f t="shared" ref="L2:L12" si="1">IF(E2=0,"",E2*K2)</f>
        <v>53025726.29857599</v>
      </c>
      <c r="M2" s="14">
        <f t="shared" ref="M2:M12" si="2">I2-L2</f>
        <v>1676399.5032760352</v>
      </c>
      <c r="N2" s="15">
        <f t="shared" ref="N2:N12" si="3">IF(L2=0,"",I2/L2)</f>
        <v>1.0316148334081574</v>
      </c>
      <c r="O2" s="17">
        <f t="shared" ref="O2:O12" si="4">IF(L2=0,"",M2/L2)</f>
        <v>3.1614833408157489E-2</v>
      </c>
    </row>
    <row r="3" spans="1:15" ht="18" customHeight="1">
      <c r="A3" s="10" t="s">
        <v>1005</v>
      </c>
      <c r="B3" s="16">
        <v>1</v>
      </c>
      <c r="C3" s="16">
        <v>1</v>
      </c>
      <c r="D3" s="14">
        <v>2.1549629116000002</v>
      </c>
      <c r="E3" s="14">
        <v>2.1549629116000002</v>
      </c>
      <c r="F3" s="15">
        <v>0</v>
      </c>
      <c r="G3" s="17">
        <v>1</v>
      </c>
      <c r="H3" s="15">
        <f t="shared" si="0"/>
        <v>199.52623149688802</v>
      </c>
      <c r="I3" s="14">
        <f>SUMIF(Species!$H$2:$H$289,A3,Species!$U$2:$U$289)</f>
        <v>429.97162876710945</v>
      </c>
      <c r="J3" s="15">
        <v>3.3</v>
      </c>
      <c r="K3" s="15">
        <f>IF(J3="","",(1/Metadata!$B$5)^(J3-1))</f>
        <v>199.52623149688802</v>
      </c>
      <c r="L3" s="14">
        <f t="shared" si="1"/>
        <v>429.97162876710945</v>
      </c>
      <c r="M3" s="14">
        <f t="shared" si="2"/>
        <v>0</v>
      </c>
      <c r="N3" s="15">
        <f t="shared" si="3"/>
        <v>1</v>
      </c>
      <c r="O3" s="17">
        <f t="shared" si="4"/>
        <v>0</v>
      </c>
    </row>
    <row r="4" spans="1:15" ht="18" customHeight="1">
      <c r="A4" s="10" t="s">
        <v>89</v>
      </c>
      <c r="B4" s="16">
        <v>35</v>
      </c>
      <c r="C4" s="16">
        <v>35</v>
      </c>
      <c r="D4" s="14">
        <v>547722.44588699029</v>
      </c>
      <c r="E4" s="14">
        <v>547722.44588699029</v>
      </c>
      <c r="F4" s="15">
        <v>0</v>
      </c>
      <c r="G4" s="17">
        <v>1</v>
      </c>
      <c r="H4" s="15">
        <f t="shared" si="0"/>
        <v>154.09621541993891</v>
      </c>
      <c r="I4" s="14">
        <f>SUMIF(Species!$H$2:$H$289,A4,Species!$U$2:$U$289)</f>
        <v>84401956.011737496</v>
      </c>
      <c r="J4" s="15">
        <v>3.0305021773551628</v>
      </c>
      <c r="K4" s="15">
        <f>IF(J4="","",(1/Metadata!$B$5)^(J4-1))</f>
        <v>107.27590261482787</v>
      </c>
      <c r="L4" s="14">
        <f t="shared" si="1"/>
        <v>58757419.764928095</v>
      </c>
      <c r="M4" s="14">
        <f t="shared" si="2"/>
        <v>25644536.246809401</v>
      </c>
      <c r="N4" s="15">
        <f t="shared" si="3"/>
        <v>1.4364476239665727</v>
      </c>
      <c r="O4" s="17">
        <f t="shared" si="4"/>
        <v>0.43644762396657266</v>
      </c>
    </row>
    <row r="5" spans="1:15" ht="18" customHeight="1">
      <c r="A5" s="10" t="s">
        <v>384</v>
      </c>
      <c r="B5" s="16">
        <v>7</v>
      </c>
      <c r="C5" s="16">
        <v>7</v>
      </c>
      <c r="D5" s="14">
        <v>34269.309511656887</v>
      </c>
      <c r="E5" s="14">
        <v>34269.309511656887</v>
      </c>
      <c r="F5" s="15">
        <v>0</v>
      </c>
      <c r="G5" s="17">
        <v>1</v>
      </c>
      <c r="H5" s="15">
        <f t="shared" si="0"/>
        <v>585.9153664048257</v>
      </c>
      <c r="I5" s="14">
        <f>SUMIF(Species!$H$2:$H$289,A5,Species!$U$2:$U$289)</f>
        <v>20078915.038962822</v>
      </c>
      <c r="J5" s="15">
        <v>3.5634072568773449</v>
      </c>
      <c r="K5" s="15">
        <f>IF(J5="","",(1/Metadata!$B$5)^(J5-1))</f>
        <v>365.93778659010206</v>
      </c>
      <c r="L5" s="14">
        <f t="shared" si="1"/>
        <v>12540435.270666853</v>
      </c>
      <c r="M5" s="14">
        <f t="shared" si="2"/>
        <v>7538479.7682959698</v>
      </c>
      <c r="N5" s="15">
        <f t="shared" si="3"/>
        <v>1.6011338207637111</v>
      </c>
      <c r="O5" s="17">
        <f t="shared" si="4"/>
        <v>0.60113382076371125</v>
      </c>
    </row>
    <row r="6" spans="1:15" ht="18" customHeight="1">
      <c r="A6" s="10" t="s">
        <v>39</v>
      </c>
      <c r="B6" s="16">
        <v>19</v>
      </c>
      <c r="C6" s="16">
        <v>19</v>
      </c>
      <c r="D6" s="14">
        <v>756166.39661252825</v>
      </c>
      <c r="E6" s="14">
        <v>756166.39661252825</v>
      </c>
      <c r="F6" s="15">
        <v>0</v>
      </c>
      <c r="G6" s="17">
        <v>1</v>
      </c>
      <c r="H6" s="15">
        <f t="shared" si="0"/>
        <v>160.49728779707252</v>
      </c>
      <c r="I6" s="14">
        <f>SUMIF(Species!$H$2:$H$289,A6,Species!$U$2:$U$289)</f>
        <v>121362655.77959622</v>
      </c>
      <c r="J6" s="15">
        <v>2.637161880334741</v>
      </c>
      <c r="K6" s="15">
        <f>IF(J6="","",(1/Metadata!$B$5)^(J6-1))</f>
        <v>43.367249675855909</v>
      </c>
      <c r="L6" s="14">
        <f t="shared" si="1"/>
        <v>32792856.918387797</v>
      </c>
      <c r="M6" s="14">
        <f t="shared" si="2"/>
        <v>88569798.861208424</v>
      </c>
      <c r="N6" s="15">
        <f t="shared" si="3"/>
        <v>3.7008869364945469</v>
      </c>
      <c r="O6" s="17">
        <f t="shared" si="4"/>
        <v>2.7008869364945469</v>
      </c>
    </row>
    <row r="7" spans="1:15" ht="18" customHeight="1">
      <c r="A7" s="10" t="s">
        <v>235</v>
      </c>
      <c r="B7" s="16">
        <v>13</v>
      </c>
      <c r="C7" s="16">
        <v>13</v>
      </c>
      <c r="D7" s="14">
        <v>57095.126084687501</v>
      </c>
      <c r="E7" s="14">
        <v>57095.126084687501</v>
      </c>
      <c r="F7" s="15">
        <v>0</v>
      </c>
      <c r="G7" s="17">
        <v>1</v>
      </c>
      <c r="H7" s="15">
        <f t="shared" si="0"/>
        <v>16.524408831905074</v>
      </c>
      <c r="I7" s="14">
        <f>SUMIF(Species!$H$2:$H$289,A7,Species!$U$2:$U$289)</f>
        <v>943463.20573254384</v>
      </c>
      <c r="J7" s="15">
        <v>2.157431732703246</v>
      </c>
      <c r="K7" s="15">
        <f>IF(J7="","",(1/Metadata!$B$5)^(J7-1))</f>
        <v>14.369171647835765</v>
      </c>
      <c r="L7" s="14">
        <f t="shared" si="1"/>
        <v>820409.66696569987</v>
      </c>
      <c r="M7" s="14">
        <f t="shared" si="2"/>
        <v>123053.53876684397</v>
      </c>
      <c r="N7" s="15">
        <f t="shared" si="3"/>
        <v>1.1499903569176113</v>
      </c>
      <c r="O7" s="17">
        <f t="shared" si="4"/>
        <v>0.14999035691761131</v>
      </c>
    </row>
    <row r="8" spans="1:15" ht="18" customHeight="1">
      <c r="A8" s="10" t="s">
        <v>29</v>
      </c>
      <c r="B8" s="16">
        <v>45</v>
      </c>
      <c r="C8" s="16">
        <v>45</v>
      </c>
      <c r="D8" s="14">
        <v>2316823.1224902859</v>
      </c>
      <c r="E8" s="14">
        <v>2316823.1224902859</v>
      </c>
      <c r="F8" s="15">
        <v>0</v>
      </c>
      <c r="G8" s="17">
        <v>1</v>
      </c>
      <c r="H8" s="15">
        <f t="shared" si="0"/>
        <v>438.13327494180714</v>
      </c>
      <c r="I8" s="14">
        <f>SUMIF(Species!$H$2:$H$289,A8,Species!$U$2:$U$289)</f>
        <v>1015077302.1175725</v>
      </c>
      <c r="J8" s="15">
        <v>3.450262169495891</v>
      </c>
      <c r="K8" s="15">
        <f>IF(J8="","",(1/Metadata!$B$5)^(J8-1))</f>
        <v>282.008481128178</v>
      </c>
      <c r="L8" s="14">
        <f t="shared" si="1"/>
        <v>653363769.81612825</v>
      </c>
      <c r="M8" s="14">
        <f t="shared" si="2"/>
        <v>361713532.30144429</v>
      </c>
      <c r="N8" s="15">
        <f t="shared" si="3"/>
        <v>1.5536173706161254</v>
      </c>
      <c r="O8" s="17">
        <f t="shared" si="4"/>
        <v>0.55361737061612537</v>
      </c>
    </row>
    <row r="9" spans="1:15" ht="18" customHeight="1">
      <c r="A9" s="10" t="s">
        <v>47</v>
      </c>
      <c r="B9" s="16">
        <v>108</v>
      </c>
      <c r="C9" s="16">
        <v>108</v>
      </c>
      <c r="D9" s="14">
        <v>2451760.3852236951</v>
      </c>
      <c r="E9" s="14">
        <v>2451760.3852236951</v>
      </c>
      <c r="F9" s="15">
        <v>0</v>
      </c>
      <c r="G9" s="17">
        <v>1</v>
      </c>
      <c r="H9" s="15">
        <f t="shared" si="0"/>
        <v>687.09718780610854</v>
      </c>
      <c r="I9" s="14">
        <f>SUMIF(Species!$H$2:$H$289,A9,Species!$U$2:$U$289)</f>
        <v>1684597665.8616223</v>
      </c>
      <c r="J9" s="15">
        <v>3.6165696284176652</v>
      </c>
      <c r="K9" s="15">
        <f>IF(J9="","",(1/Metadata!$B$5)^(J9-1))</f>
        <v>413.58961793535764</v>
      </c>
      <c r="L9" s="14">
        <f t="shared" si="1"/>
        <v>1014022640.9937133</v>
      </c>
      <c r="M9" s="14">
        <f t="shared" si="2"/>
        <v>670575024.86790907</v>
      </c>
      <c r="N9" s="15">
        <f t="shared" si="3"/>
        <v>1.6613018267627286</v>
      </c>
      <c r="O9" s="17">
        <f t="shared" si="4"/>
        <v>0.66130182676272853</v>
      </c>
    </row>
    <row r="10" spans="1:15" ht="18" customHeight="1">
      <c r="A10" s="10" t="s">
        <v>340</v>
      </c>
      <c r="B10" s="16">
        <v>3</v>
      </c>
      <c r="C10" s="16">
        <v>3</v>
      </c>
      <c r="D10" s="14">
        <v>17467.275721573598</v>
      </c>
      <c r="E10" s="14">
        <v>17467.275721573598</v>
      </c>
      <c r="F10" s="15">
        <v>0</v>
      </c>
      <c r="G10" s="17">
        <v>1</v>
      </c>
      <c r="H10" s="15">
        <f t="shared" si="0"/>
        <v>785.12418854332191</v>
      </c>
      <c r="I10" s="14">
        <f>SUMIF(Species!$H$2:$H$289,A10,Species!$U$2:$U$289)</f>
        <v>13713980.676962938</v>
      </c>
      <c r="J10" s="15">
        <v>3.892376970859674</v>
      </c>
      <c r="K10" s="15">
        <f>IF(J10="","",(1/Metadata!$B$5)^(J10-1))</f>
        <v>780.50730275530941</v>
      </c>
      <c r="L10" s="14">
        <f t="shared" si="1"/>
        <v>13633336.259928711</v>
      </c>
      <c r="M10" s="14">
        <f t="shared" si="2"/>
        <v>80644.417034227401</v>
      </c>
      <c r="N10" s="15">
        <f t="shared" si="3"/>
        <v>1.0059152371434759</v>
      </c>
      <c r="O10" s="17">
        <f t="shared" si="4"/>
        <v>5.9152371434759207E-3</v>
      </c>
    </row>
    <row r="11" spans="1:15" ht="18" customHeight="1">
      <c r="A11" s="10" t="s">
        <v>137</v>
      </c>
      <c r="B11" s="16">
        <v>29</v>
      </c>
      <c r="C11" s="16">
        <v>29</v>
      </c>
      <c r="D11" s="14">
        <v>107071.935155713</v>
      </c>
      <c r="E11" s="14">
        <v>107071.935155713</v>
      </c>
      <c r="F11" s="15">
        <v>0</v>
      </c>
      <c r="G11" s="17">
        <v>1</v>
      </c>
      <c r="H11" s="15">
        <f t="shared" si="0"/>
        <v>1151.9303370539035</v>
      </c>
      <c r="I11" s="14">
        <f>SUMIF(Species!$H$2:$H$289,A11,Species!$U$2:$U$289)</f>
        <v>123339410.35293418</v>
      </c>
      <c r="J11" s="15">
        <v>4.0058159422637694</v>
      </c>
      <c r="K11" s="15">
        <f>IF(J11="","",(1/Metadata!$B$5)^(J11-1))</f>
        <v>1013.481772415417</v>
      </c>
      <c r="L11" s="14">
        <f t="shared" si="1"/>
        <v>108515454.61756061</v>
      </c>
      <c r="M11" s="14">
        <f t="shared" si="2"/>
        <v>14823955.735373572</v>
      </c>
      <c r="N11" s="15">
        <f t="shared" si="3"/>
        <v>1.1366068620144238</v>
      </c>
      <c r="O11" s="17">
        <f t="shared" si="4"/>
        <v>0.13660686201442382</v>
      </c>
    </row>
    <row r="12" spans="1:15" ht="18" customHeight="1">
      <c r="A12" s="10" t="s">
        <v>173</v>
      </c>
      <c r="B12" s="16">
        <v>21</v>
      </c>
      <c r="C12" s="16">
        <v>21</v>
      </c>
      <c r="D12" s="14">
        <v>151343.629504538</v>
      </c>
      <c r="E12" s="14">
        <v>151343.629504538</v>
      </c>
      <c r="F12" s="15">
        <v>0</v>
      </c>
      <c r="G12" s="17">
        <v>1</v>
      </c>
      <c r="H12" s="15">
        <f t="shared" si="0"/>
        <v>2690.8562330738018</v>
      </c>
      <c r="I12" s="14">
        <f>SUMIF(Species!$H$2:$H$289,A12,Species!$U$2:$U$289)</f>
        <v>407243948.78829819</v>
      </c>
      <c r="J12" s="15">
        <v>4.4231395715596777</v>
      </c>
      <c r="K12" s="15">
        <f>IF(J12="","",(1/Metadata!$B$5)^(J12-1))</f>
        <v>2649.3514381649038</v>
      </c>
      <c r="L12" s="14">
        <f t="shared" si="1"/>
        <v>400962462.48494411</v>
      </c>
      <c r="M12" s="14">
        <f t="shared" si="2"/>
        <v>6281486.3033540845</v>
      </c>
      <c r="N12" s="15">
        <f t="shared" si="3"/>
        <v>1.0156660208649579</v>
      </c>
      <c r="O12" s="17">
        <f t="shared" si="4"/>
        <v>1.5666020864958028E-2</v>
      </c>
    </row>
  </sheetData>
  <conditionalFormatting sqref="G2:G12">
    <cfRule type="cellIs" dxfId="1" priority="1" operator="lessThan">
      <formula>0.9</formula>
    </cfRule>
  </conditionalFormatting>
  <conditionalFormatting sqref="O2:O12">
    <cfRule type="dataBar" priority="2">
      <dataBar>
        <cfvo type="min"/>
        <cfvo type="max"/>
        <color rgb="FFE28A32"/>
      </dataBar>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1"/>
  <sheetViews>
    <sheetView showGridLines="0" workbookViewId="0"/>
  </sheetViews>
  <sheetFormatPr defaultRowHeight="14"/>
  <cols>
    <col min="1" max="1" width="34" customWidth="1"/>
    <col min="2" max="3" width="22" customWidth="1"/>
    <col min="4" max="6" width="18" customWidth="1"/>
    <col min="7" max="7" width="16" customWidth="1"/>
    <col min="8" max="9" width="18" customWidth="1"/>
    <col min="10" max="10" width="15" customWidth="1"/>
    <col min="11" max="13" width="18" customWidth="1"/>
    <col min="14" max="15" width="16" customWidth="1"/>
  </cols>
  <sheetData>
    <row r="1" spans="1:15" ht="32" customHeight="1">
      <c r="A1" s="12" t="s">
        <v>6</v>
      </c>
      <c r="B1" s="12" t="s">
        <v>1014</v>
      </c>
      <c r="C1" s="12" t="s">
        <v>1015</v>
      </c>
      <c r="D1" s="12" t="s">
        <v>1016</v>
      </c>
      <c r="E1" s="12" t="s">
        <v>1017</v>
      </c>
      <c r="F1" s="12" t="s">
        <v>1018</v>
      </c>
      <c r="G1" s="12" t="s">
        <v>1019</v>
      </c>
      <c r="H1" s="12" t="s">
        <v>1020</v>
      </c>
      <c r="I1" s="12" t="s">
        <v>1021</v>
      </c>
      <c r="J1" s="12" t="s">
        <v>1022</v>
      </c>
      <c r="K1" s="12" t="s">
        <v>1023</v>
      </c>
      <c r="L1" s="12" t="s">
        <v>1024</v>
      </c>
      <c r="M1" s="12" t="s">
        <v>1025</v>
      </c>
      <c r="N1" s="12" t="s">
        <v>1026</v>
      </c>
      <c r="O1" s="12" t="s">
        <v>1027</v>
      </c>
    </row>
    <row r="2" spans="1:15" ht="18" customHeight="1">
      <c r="A2" s="10" t="s">
        <v>149</v>
      </c>
      <c r="B2" s="16">
        <v>9</v>
      </c>
      <c r="C2" s="16">
        <v>9</v>
      </c>
      <c r="D2" s="14">
        <v>173492.63719894501</v>
      </c>
      <c r="E2" s="14">
        <v>173492.63719894501</v>
      </c>
      <c r="F2" s="15">
        <v>0</v>
      </c>
      <c r="G2" s="17">
        <v>1</v>
      </c>
      <c r="H2" s="15">
        <f t="shared" ref="H2:H21" si="0">IF(E2=0,"",I2/E2)</f>
        <v>686.1825138413999</v>
      </c>
      <c r="I2" s="14">
        <f>SUMIF(Species!$G$2:$G$289,A2,Species!$U$2:$U$289)</f>
        <v>119047613.92614606</v>
      </c>
      <c r="J2" s="15">
        <v>3.8012638533218088</v>
      </c>
      <c r="K2" s="15">
        <f>IF(J2="","",(1/Metadata!$B$5)^(J2-1))</f>
        <v>632.7961865994854</v>
      </c>
      <c r="L2" s="14">
        <f t="shared" ref="L2:L21" si="1">IF(E2=0,"",E2*K2)</f>
        <v>109785479.22258043</v>
      </c>
      <c r="M2" s="14">
        <f t="shared" ref="M2:M21" si="2">I2-L2</f>
        <v>9262134.7035656273</v>
      </c>
      <c r="N2" s="15">
        <f t="shared" ref="N2:N21" si="3">IF(L2=0,"",I2/L2)</f>
        <v>1.0843657537331277</v>
      </c>
      <c r="O2" s="17">
        <f t="shared" ref="O2:O21" si="4">IF(L2=0,"",M2/L2)</f>
        <v>8.4365753733127685E-2</v>
      </c>
    </row>
    <row r="3" spans="1:15" ht="18" customHeight="1">
      <c r="A3" s="10" t="s">
        <v>326</v>
      </c>
      <c r="B3" s="16">
        <v>1</v>
      </c>
      <c r="C3" s="16">
        <v>1</v>
      </c>
      <c r="D3" s="14">
        <v>16065.474963262001</v>
      </c>
      <c r="E3" s="14">
        <v>16065.474963262001</v>
      </c>
      <c r="F3" s="15">
        <v>0</v>
      </c>
      <c r="G3" s="17">
        <v>1</v>
      </c>
      <c r="H3" s="15">
        <f t="shared" si="0"/>
        <v>288.40315031266073</v>
      </c>
      <c r="I3" s="14">
        <f>SUMIF(Species!$G$2:$G$289,A3,Species!$U$2:$U$289)</f>
        <v>4633333.5906739384</v>
      </c>
      <c r="J3" s="15">
        <v>3.46</v>
      </c>
      <c r="K3" s="15">
        <f>IF(J3="","",(1/Metadata!$B$5)^(J3-1))</f>
        <v>288.40315031266073</v>
      </c>
      <c r="L3" s="14">
        <f t="shared" si="1"/>
        <v>4633333.5906739384</v>
      </c>
      <c r="M3" s="14">
        <f t="shared" si="2"/>
        <v>0</v>
      </c>
      <c r="N3" s="15">
        <f t="shared" si="3"/>
        <v>1</v>
      </c>
      <c r="O3" s="17">
        <f t="shared" si="4"/>
        <v>0</v>
      </c>
    </row>
    <row r="4" spans="1:15" ht="18" customHeight="1">
      <c r="A4" s="10" t="s">
        <v>223</v>
      </c>
      <c r="B4" s="16">
        <v>7</v>
      </c>
      <c r="C4" s="16">
        <v>7</v>
      </c>
      <c r="D4" s="14">
        <v>76906.284157108399</v>
      </c>
      <c r="E4" s="14">
        <v>76906.284157108399</v>
      </c>
      <c r="F4" s="15">
        <v>0</v>
      </c>
      <c r="G4" s="17">
        <v>1</v>
      </c>
      <c r="H4" s="15">
        <f t="shared" si="0"/>
        <v>2022.7588708677724</v>
      </c>
      <c r="I4" s="14">
        <f>SUMIF(Species!$G$2:$G$289,A4,Species!$U$2:$U$289)</f>
        <v>155562868.50426865</v>
      </c>
      <c r="J4" s="15">
        <v>4.2853033495737769</v>
      </c>
      <c r="K4" s="15">
        <f>IF(J4="","",(1/Metadata!$B$5)^(J4-1))</f>
        <v>1928.8717369261128</v>
      </c>
      <c r="L4" s="14">
        <f t="shared" si="1"/>
        <v>148342357.90265486</v>
      </c>
      <c r="M4" s="14">
        <f t="shared" si="2"/>
        <v>7220510.6016137898</v>
      </c>
      <c r="N4" s="15">
        <f t="shared" si="3"/>
        <v>1.0486746382065197</v>
      </c>
      <c r="O4" s="17">
        <f t="shared" si="4"/>
        <v>4.8674638206519745E-2</v>
      </c>
    </row>
    <row r="5" spans="1:15" ht="18" customHeight="1">
      <c r="A5" s="10" t="s">
        <v>127</v>
      </c>
      <c r="B5" s="16">
        <v>9</v>
      </c>
      <c r="C5" s="16">
        <v>9</v>
      </c>
      <c r="D5" s="14">
        <v>94735.215843054903</v>
      </c>
      <c r="E5" s="14">
        <v>94735.215843054903</v>
      </c>
      <c r="F5" s="15">
        <v>0</v>
      </c>
      <c r="G5" s="17">
        <v>1</v>
      </c>
      <c r="H5" s="15">
        <f t="shared" si="0"/>
        <v>884.34514561657022</v>
      </c>
      <c r="I5" s="14">
        <f>SUMIF(Species!$G$2:$G$289,A5,Species!$U$2:$U$289)</f>
        <v>83778628.249743596</v>
      </c>
      <c r="J5" s="15">
        <v>3.901021104814578</v>
      </c>
      <c r="K5" s="15">
        <f>IF(J5="","",(1/Metadata!$B$5)^(J5-1))</f>
        <v>796.19804122377241</v>
      </c>
      <c r="L5" s="14">
        <f t="shared" si="1"/>
        <v>75427993.289151609</v>
      </c>
      <c r="M5" s="14">
        <f t="shared" si="2"/>
        <v>8350634.9605919868</v>
      </c>
      <c r="N5" s="15">
        <f t="shared" si="3"/>
        <v>1.1107100241760377</v>
      </c>
      <c r="O5" s="17">
        <f t="shared" si="4"/>
        <v>0.11071002417603773</v>
      </c>
    </row>
    <row r="6" spans="1:15" ht="18" customHeight="1">
      <c r="A6" s="10" t="s">
        <v>157</v>
      </c>
      <c r="B6" s="16">
        <v>30</v>
      </c>
      <c r="C6" s="16">
        <v>30</v>
      </c>
      <c r="D6" s="14">
        <v>273436.48819576122</v>
      </c>
      <c r="E6" s="14">
        <v>273436.48819576122</v>
      </c>
      <c r="F6" s="15">
        <v>0</v>
      </c>
      <c r="G6" s="17">
        <v>1</v>
      </c>
      <c r="H6" s="15">
        <f t="shared" si="0"/>
        <v>2639.5821072064941</v>
      </c>
      <c r="I6" s="14">
        <f>SUMIF(Species!$G$2:$G$289,A6,Species!$U$2:$U$289)</f>
        <v>721758061.69891107</v>
      </c>
      <c r="J6" s="15">
        <v>4.4150901136664444</v>
      </c>
      <c r="K6" s="15">
        <f>IF(J6="","",(1/Metadata!$B$5)^(J6-1))</f>
        <v>2600.6991376522146</v>
      </c>
      <c r="L6" s="14">
        <f t="shared" si="1"/>
        <v>711126039.05336618</v>
      </c>
      <c r="M6" s="14">
        <f t="shared" si="2"/>
        <v>10632022.645544887</v>
      </c>
      <c r="N6" s="15">
        <f t="shared" si="3"/>
        <v>1.0149509679883162</v>
      </c>
      <c r="O6" s="17">
        <f t="shared" si="4"/>
        <v>1.4950967988316077E-2</v>
      </c>
    </row>
    <row r="7" spans="1:15" ht="18" customHeight="1">
      <c r="A7" s="10" t="s">
        <v>305</v>
      </c>
      <c r="B7" s="16">
        <v>5</v>
      </c>
      <c r="C7" s="16">
        <v>5</v>
      </c>
      <c r="D7" s="14">
        <v>27996.671042523791</v>
      </c>
      <c r="E7" s="14">
        <v>27996.671042523791</v>
      </c>
      <c r="F7" s="15">
        <v>0</v>
      </c>
      <c r="G7" s="17">
        <v>1</v>
      </c>
      <c r="H7" s="15">
        <f t="shared" si="0"/>
        <v>533.19676084531784</v>
      </c>
      <c r="I7" s="14">
        <f>SUMIF(Species!$G$2:$G$289,A7,Species!$U$2:$U$289)</f>
        <v>14927734.314325592</v>
      </c>
      <c r="J7" s="15">
        <v>3.7087241515726048</v>
      </c>
      <c r="K7" s="15">
        <f>IF(J7="","",(1/Metadata!$B$5)^(J7-1))</f>
        <v>511.35693660797864</v>
      </c>
      <c r="L7" s="14">
        <f t="shared" si="1"/>
        <v>14316291.939526269</v>
      </c>
      <c r="M7" s="14">
        <f t="shared" si="2"/>
        <v>611442.37479932234</v>
      </c>
      <c r="N7" s="15">
        <f t="shared" si="3"/>
        <v>1.0427095491892822</v>
      </c>
      <c r="O7" s="17">
        <f t="shared" si="4"/>
        <v>4.2709549189282263E-2</v>
      </c>
    </row>
    <row r="8" spans="1:15" ht="18" customHeight="1">
      <c r="A8" s="10" t="s">
        <v>490</v>
      </c>
      <c r="B8" s="16">
        <v>9</v>
      </c>
      <c r="C8" s="16">
        <v>9</v>
      </c>
      <c r="D8" s="14">
        <v>10555.5395075628</v>
      </c>
      <c r="E8" s="14">
        <v>10555.5395075628</v>
      </c>
      <c r="F8" s="15">
        <v>0</v>
      </c>
      <c r="G8" s="17">
        <v>1</v>
      </c>
      <c r="H8" s="15">
        <f t="shared" si="0"/>
        <v>1371.0812770867569</v>
      </c>
      <c r="I8" s="14">
        <f>SUMIF(Species!$G$2:$G$289,A8,Species!$U$2:$U$289)</f>
        <v>14472502.588368921</v>
      </c>
      <c r="J8" s="15">
        <v>3.9326360891709382</v>
      </c>
      <c r="K8" s="15">
        <f>IF(J8="","",(1/Metadata!$B$5)^(J8-1))</f>
        <v>856.32000346090797</v>
      </c>
      <c r="L8" s="14">
        <f t="shared" si="1"/>
        <v>9038919.627647927</v>
      </c>
      <c r="M8" s="14">
        <f t="shared" si="2"/>
        <v>5433582.9607209936</v>
      </c>
      <c r="N8" s="15">
        <f t="shared" si="3"/>
        <v>1.6011319034302443</v>
      </c>
      <c r="O8" s="17">
        <f t="shared" si="4"/>
        <v>0.60113190343024436</v>
      </c>
    </row>
    <row r="9" spans="1:15" ht="18" customHeight="1">
      <c r="A9" s="10" t="s">
        <v>136</v>
      </c>
      <c r="B9" s="16">
        <v>24</v>
      </c>
      <c r="C9" s="16">
        <v>24</v>
      </c>
      <c r="D9" s="14">
        <v>79075.264113189187</v>
      </c>
      <c r="E9" s="14">
        <v>79075.264113189187</v>
      </c>
      <c r="F9" s="15">
        <v>0</v>
      </c>
      <c r="G9" s="17">
        <v>1</v>
      </c>
      <c r="H9" s="15">
        <f t="shared" si="0"/>
        <v>1370.9935370361454</v>
      </c>
      <c r="I9" s="14">
        <f>SUMIF(Species!$G$2:$G$289,A9,Species!$U$2:$U$289)</f>
        <v>108411676.03860863</v>
      </c>
      <c r="J9" s="15">
        <v>4.1110015679672642</v>
      </c>
      <c r="K9" s="15">
        <f>IF(J9="","",(1/Metadata!$B$5)^(J9-1))</f>
        <v>1291.2239354116718</v>
      </c>
      <c r="L9" s="14">
        <f t="shared" si="1"/>
        <v>102103873.72194949</v>
      </c>
      <c r="M9" s="14">
        <f t="shared" si="2"/>
        <v>6307802.3166591376</v>
      </c>
      <c r="N9" s="15">
        <f t="shared" si="3"/>
        <v>1.0617782860407101</v>
      </c>
      <c r="O9" s="17">
        <f t="shared" si="4"/>
        <v>6.177828604071009E-2</v>
      </c>
    </row>
    <row r="10" spans="1:15" ht="18" customHeight="1">
      <c r="A10" s="10" t="s">
        <v>122</v>
      </c>
      <c r="B10" s="16">
        <v>12</v>
      </c>
      <c r="C10" s="16">
        <v>12</v>
      </c>
      <c r="D10" s="14">
        <v>118676.1803877854</v>
      </c>
      <c r="E10" s="14">
        <v>118676.1803877854</v>
      </c>
      <c r="F10" s="15">
        <v>0</v>
      </c>
      <c r="G10" s="17">
        <v>1</v>
      </c>
      <c r="H10" s="15">
        <f t="shared" si="0"/>
        <v>249.13612730135688</v>
      </c>
      <c r="I10" s="14">
        <f>SUMIF(Species!$G$2:$G$289,A10,Species!$U$2:$U$289)</f>
        <v>29566523.984730095</v>
      </c>
      <c r="J10" s="15">
        <v>3.3072490047309451</v>
      </c>
      <c r="K10" s="15">
        <f>IF(J10="","",(1/Metadata!$B$5)^(J10-1))</f>
        <v>202.88456340477973</v>
      </c>
      <c r="L10" s="14">
        <f t="shared" si="1"/>
        <v>24077565.044522721</v>
      </c>
      <c r="M10" s="14">
        <f t="shared" si="2"/>
        <v>5488958.9402073734</v>
      </c>
      <c r="N10" s="15">
        <f t="shared" si="3"/>
        <v>1.2279698520202327</v>
      </c>
      <c r="O10" s="17">
        <f t="shared" si="4"/>
        <v>0.22796985202023273</v>
      </c>
    </row>
    <row r="11" spans="1:15" ht="18" customHeight="1">
      <c r="A11" s="10" t="s">
        <v>81</v>
      </c>
      <c r="B11" s="16">
        <v>8</v>
      </c>
      <c r="C11" s="16">
        <v>8</v>
      </c>
      <c r="D11" s="14">
        <v>310141.11068100517</v>
      </c>
      <c r="E11" s="14">
        <v>310141.11068100517</v>
      </c>
      <c r="F11" s="15">
        <v>0</v>
      </c>
      <c r="G11" s="17">
        <v>1</v>
      </c>
      <c r="H11" s="15">
        <f t="shared" si="0"/>
        <v>858.0005659122935</v>
      </c>
      <c r="I11" s="14">
        <f>SUMIF(Species!$G$2:$G$289,A11,Species!$U$2:$U$289)</f>
        <v>266101248.47696969</v>
      </c>
      <c r="J11" s="15">
        <v>3.726417396149567</v>
      </c>
      <c r="K11" s="15">
        <f>IF(J11="","",(1/Metadata!$B$5)^(J11-1))</f>
        <v>532.61990910592942</v>
      </c>
      <c r="L11" s="14">
        <f t="shared" si="1"/>
        <v>165187330.18092898</v>
      </c>
      <c r="M11" s="14">
        <f t="shared" si="2"/>
        <v>100913918.29604071</v>
      </c>
      <c r="N11" s="15">
        <f t="shared" si="3"/>
        <v>1.6109059222974917</v>
      </c>
      <c r="O11" s="17">
        <f t="shared" si="4"/>
        <v>0.61090592229749174</v>
      </c>
    </row>
    <row r="12" spans="1:15" ht="18" customHeight="1">
      <c r="A12" s="10" t="s">
        <v>28</v>
      </c>
      <c r="B12" s="16">
        <v>24</v>
      </c>
      <c r="C12" s="16">
        <v>24</v>
      </c>
      <c r="D12" s="14">
        <v>1867644.06608993</v>
      </c>
      <c r="E12" s="14">
        <v>1867644.06608993</v>
      </c>
      <c r="F12" s="15">
        <v>0</v>
      </c>
      <c r="G12" s="17">
        <v>1</v>
      </c>
      <c r="H12" s="15">
        <f t="shared" si="0"/>
        <v>374.94720886268914</v>
      </c>
      <c r="I12" s="14">
        <f>SUMIF(Species!$G$2:$G$289,A12,Species!$U$2:$U$289)</f>
        <v>700267929.72938299</v>
      </c>
      <c r="J12" s="15">
        <v>3.4201347091227992</v>
      </c>
      <c r="K12" s="15">
        <f>IF(J12="","",(1/Metadata!$B$5)^(J12-1))</f>
        <v>263.10839729079993</v>
      </c>
      <c r="L12" s="14">
        <f t="shared" si="1"/>
        <v>491392836.93859428</v>
      </c>
      <c r="M12" s="14">
        <f t="shared" si="2"/>
        <v>208875092.79078871</v>
      </c>
      <c r="N12" s="15">
        <f t="shared" si="3"/>
        <v>1.4250674350324124</v>
      </c>
      <c r="O12" s="17">
        <f t="shared" si="4"/>
        <v>0.42506743503241234</v>
      </c>
    </row>
    <row r="13" spans="1:15" ht="18" customHeight="1">
      <c r="A13" s="10" t="s">
        <v>38</v>
      </c>
      <c r="B13" s="16">
        <v>22</v>
      </c>
      <c r="C13" s="16">
        <v>22</v>
      </c>
      <c r="D13" s="14">
        <v>1506588.8140352741</v>
      </c>
      <c r="E13" s="14">
        <v>1506588.8140352741</v>
      </c>
      <c r="F13" s="15">
        <v>0</v>
      </c>
      <c r="G13" s="17">
        <v>1</v>
      </c>
      <c r="H13" s="15">
        <f t="shared" si="0"/>
        <v>515.05327790458296</v>
      </c>
      <c r="I13" s="14">
        <f>SUMIF(Species!$G$2:$G$289,A13,Species!$U$2:$U$289)</f>
        <v>775973507.12324607</v>
      </c>
      <c r="J13" s="15">
        <v>3.2531392162369919</v>
      </c>
      <c r="K13" s="15">
        <f>IF(J13="","",(1/Metadata!$B$5)^(J13-1))</f>
        <v>179.11799376998871</v>
      </c>
      <c r="L13" s="14">
        <f t="shared" si="1"/>
        <v>269857165.80630493</v>
      </c>
      <c r="M13" s="14">
        <f t="shared" si="2"/>
        <v>506116341.31694114</v>
      </c>
      <c r="N13" s="15">
        <f t="shared" si="3"/>
        <v>2.8754971349555181</v>
      </c>
      <c r="O13" s="17">
        <f t="shared" si="4"/>
        <v>1.8754971349555183</v>
      </c>
    </row>
    <row r="14" spans="1:15" ht="18" customHeight="1">
      <c r="A14" s="10" t="s">
        <v>216</v>
      </c>
      <c r="B14" s="16">
        <v>29</v>
      </c>
      <c r="C14" s="16">
        <v>29</v>
      </c>
      <c r="D14" s="14">
        <v>213756.97513546521</v>
      </c>
      <c r="E14" s="14">
        <v>213756.97513546521</v>
      </c>
      <c r="F14" s="15">
        <v>0</v>
      </c>
      <c r="G14" s="17">
        <v>1</v>
      </c>
      <c r="H14" s="15">
        <f t="shared" si="0"/>
        <v>641.71338773290518</v>
      </c>
      <c r="I14" s="14">
        <f>SUMIF(Species!$G$2:$G$289,A14,Species!$U$2:$U$289)</f>
        <v>137170712.66571775</v>
      </c>
      <c r="J14" s="15">
        <v>3.571476000054767</v>
      </c>
      <c r="K14" s="15">
        <f>IF(J14="","",(1/Metadata!$B$5)^(J14-1))</f>
        <v>372.80008272679976</v>
      </c>
      <c r="L14" s="14">
        <f t="shared" si="1"/>
        <v>79688618.013931915</v>
      </c>
      <c r="M14" s="14">
        <f t="shared" si="2"/>
        <v>57482094.651785836</v>
      </c>
      <c r="N14" s="15">
        <f t="shared" si="3"/>
        <v>1.721333812587091</v>
      </c>
      <c r="O14" s="17">
        <f t="shared" si="4"/>
        <v>0.72133381258709084</v>
      </c>
    </row>
    <row r="15" spans="1:15" ht="18" customHeight="1">
      <c r="A15" s="10" t="s">
        <v>234</v>
      </c>
      <c r="B15" s="16">
        <v>22</v>
      </c>
      <c r="C15" s="16">
        <v>22</v>
      </c>
      <c r="D15" s="14">
        <v>67418.856570027085</v>
      </c>
      <c r="E15" s="14">
        <v>67418.856570027085</v>
      </c>
      <c r="F15" s="15">
        <v>0</v>
      </c>
      <c r="G15" s="17">
        <v>1</v>
      </c>
      <c r="H15" s="15">
        <f t="shared" si="0"/>
        <v>17.391342167023161</v>
      </c>
      <c r="I15" s="14">
        <f>SUMIF(Species!$G$2:$G$289,A15,Species!$U$2:$U$289)</f>
        <v>1172504.4031187985</v>
      </c>
      <c r="J15" s="15">
        <v>2.1810016976047768</v>
      </c>
      <c r="K15" s="15">
        <f>IF(J15="","",(1/Metadata!$B$5)^(J15-1))</f>
        <v>15.17056297437937</v>
      </c>
      <c r="L15" s="14">
        <f t="shared" si="1"/>
        <v>1022782.0092562463</v>
      </c>
      <c r="M15" s="14">
        <f t="shared" si="2"/>
        <v>149722.39386255224</v>
      </c>
      <c r="N15" s="15">
        <f t="shared" si="3"/>
        <v>1.1463873948774563</v>
      </c>
      <c r="O15" s="17">
        <f t="shared" si="4"/>
        <v>0.14638739487745625</v>
      </c>
    </row>
    <row r="16" spans="1:15" ht="18" customHeight="1">
      <c r="A16" s="10" t="s">
        <v>88</v>
      </c>
      <c r="B16" s="16">
        <v>23</v>
      </c>
      <c r="C16" s="16">
        <v>23</v>
      </c>
      <c r="D16" s="14">
        <v>429046.2654992048</v>
      </c>
      <c r="E16" s="14">
        <v>429046.2654992048</v>
      </c>
      <c r="F16" s="15">
        <v>0</v>
      </c>
      <c r="G16" s="17">
        <v>1</v>
      </c>
      <c r="H16" s="15">
        <f t="shared" si="0"/>
        <v>127.80773645286287</v>
      </c>
      <c r="I16" s="14">
        <f>SUMIF(Species!$G$2:$G$289,A16,Species!$U$2:$U$289)</f>
        <v>54835432.027007401</v>
      </c>
      <c r="J16" s="15">
        <v>2.9539527255864102</v>
      </c>
      <c r="K16" s="15">
        <f>IF(J16="","",(1/Metadata!$B$5)^(J16-1))</f>
        <v>89.939967352486747</v>
      </c>
      <c r="L16" s="14">
        <f t="shared" si="1"/>
        <v>38588407.111704841</v>
      </c>
      <c r="M16" s="14">
        <f t="shared" si="2"/>
        <v>16247024.91530256</v>
      </c>
      <c r="N16" s="15">
        <f t="shared" si="3"/>
        <v>1.4210338319555675</v>
      </c>
      <c r="O16" s="17">
        <f t="shared" si="4"/>
        <v>0.42103383195556743</v>
      </c>
    </row>
    <row r="17" spans="1:15" ht="18" customHeight="1">
      <c r="A17" s="10" t="s">
        <v>64</v>
      </c>
      <c r="B17" s="16">
        <v>5</v>
      </c>
      <c r="C17" s="16">
        <v>5</v>
      </c>
      <c r="D17" s="14">
        <v>210420.87839446659</v>
      </c>
      <c r="E17" s="14">
        <v>210420.87839446659</v>
      </c>
      <c r="F17" s="15">
        <v>0</v>
      </c>
      <c r="G17" s="17">
        <v>1</v>
      </c>
      <c r="H17" s="15">
        <f t="shared" si="0"/>
        <v>178.61597788223904</v>
      </c>
      <c r="I17" s="14">
        <f>SUMIF(Species!$G$2:$G$289,A17,Species!$U$2:$U$289)</f>
        <v>37584530.961267352</v>
      </c>
      <c r="J17" s="15">
        <v>3.246328063493749</v>
      </c>
      <c r="K17" s="15">
        <f>IF(J17="","",(1/Metadata!$B$5)^(J17-1))</f>
        <v>176.33075355757333</v>
      </c>
      <c r="L17" s="14">
        <f t="shared" si="1"/>
        <v>37103672.051542796</v>
      </c>
      <c r="M17" s="14">
        <f t="shared" si="2"/>
        <v>480858.90972455591</v>
      </c>
      <c r="N17" s="15">
        <f t="shared" si="3"/>
        <v>1.0129598738652219</v>
      </c>
      <c r="O17" s="17">
        <f t="shared" si="4"/>
        <v>1.2959873865221959E-2</v>
      </c>
    </row>
    <row r="18" spans="1:15" ht="18" customHeight="1">
      <c r="A18" s="10" t="s">
        <v>98</v>
      </c>
      <c r="B18" s="16">
        <v>6</v>
      </c>
      <c r="C18" s="16">
        <v>6</v>
      </c>
      <c r="D18" s="14">
        <v>187653.63006632429</v>
      </c>
      <c r="E18" s="14">
        <v>187653.63006632429</v>
      </c>
      <c r="F18" s="15">
        <v>0</v>
      </c>
      <c r="G18" s="17">
        <v>1</v>
      </c>
      <c r="H18" s="15">
        <f t="shared" si="0"/>
        <v>395.86573071444298</v>
      </c>
      <c r="I18" s="14">
        <f>SUMIF(Species!$G$2:$G$289,A18,Species!$U$2:$U$289)</f>
        <v>74285641.387423232</v>
      </c>
      <c r="J18" s="15">
        <v>3.5829458195771431</v>
      </c>
      <c r="K18" s="15">
        <f>IF(J18="","",(1/Metadata!$B$5)^(J18-1))</f>
        <v>382.77698698193711</v>
      </c>
      <c r="L18" s="14">
        <f t="shared" si="1"/>
        <v>71829491.11301066</v>
      </c>
      <c r="M18" s="14">
        <f t="shared" si="2"/>
        <v>2456150.2744125724</v>
      </c>
      <c r="N18" s="15">
        <f t="shared" si="3"/>
        <v>1.0341941761852143</v>
      </c>
      <c r="O18" s="17">
        <f t="shared" si="4"/>
        <v>3.4194176185214316E-2</v>
      </c>
    </row>
    <row r="19" spans="1:15" ht="18" customHeight="1">
      <c r="A19" s="10" t="s">
        <v>53</v>
      </c>
      <c r="B19" s="16">
        <v>25</v>
      </c>
      <c r="C19" s="16">
        <v>25</v>
      </c>
      <c r="D19" s="14">
        <v>940302.53205282928</v>
      </c>
      <c r="E19" s="14">
        <v>940302.53205282928</v>
      </c>
      <c r="F19" s="15">
        <v>0</v>
      </c>
      <c r="G19" s="17">
        <v>1</v>
      </c>
      <c r="H19" s="15">
        <f t="shared" si="0"/>
        <v>193.33419971816264</v>
      </c>
      <c r="I19" s="14">
        <f>SUMIF(Species!$G$2:$G$289,A19,Species!$U$2:$U$289)</f>
        <v>181792637.52739573</v>
      </c>
      <c r="J19" s="15">
        <v>3.1767889968592451</v>
      </c>
      <c r="K19" s="15">
        <f>IF(J19="","",(1/Metadata!$B$5)^(J19-1))</f>
        <v>150.24118379093724</v>
      </c>
      <c r="L19" s="14">
        <f t="shared" si="1"/>
        <v>141272165.53723279</v>
      </c>
      <c r="M19" s="14">
        <f t="shared" si="2"/>
        <v>40520471.990162939</v>
      </c>
      <c r="N19" s="15">
        <f t="shared" si="3"/>
        <v>1.2868255882966813</v>
      </c>
      <c r="O19" s="17">
        <f t="shared" si="4"/>
        <v>0.28682558829668131</v>
      </c>
    </row>
    <row r="20" spans="1:15" ht="18" customHeight="1">
      <c r="A20" s="10" t="s">
        <v>261</v>
      </c>
      <c r="B20" s="16">
        <v>11</v>
      </c>
      <c r="C20" s="16">
        <v>11</v>
      </c>
      <c r="D20" s="14">
        <v>59543.591930490802</v>
      </c>
      <c r="E20" s="14">
        <v>59543.591930490802</v>
      </c>
      <c r="F20" s="15">
        <v>0</v>
      </c>
      <c r="G20" s="17">
        <v>1</v>
      </c>
      <c r="H20" s="15">
        <f t="shared" si="0"/>
        <v>403.73532383961498</v>
      </c>
      <c r="I20" s="14">
        <f>SUMIF(Species!$G$2:$G$289,A20,Species!$U$2:$U$289)</f>
        <v>24039851.370630588</v>
      </c>
      <c r="J20" s="15">
        <v>3.5198484339099392</v>
      </c>
      <c r="K20" s="15">
        <f>IF(J20="","",(1/Metadata!$B$5)^(J20-1))</f>
        <v>331.01557893071515</v>
      </c>
      <c r="L20" s="14">
        <f t="shared" si="1"/>
        <v>19709856.554485671</v>
      </c>
      <c r="M20" s="14">
        <f t="shared" si="2"/>
        <v>4329994.8161449172</v>
      </c>
      <c r="N20" s="15">
        <f t="shared" si="3"/>
        <v>1.2196867746944344</v>
      </c>
      <c r="O20" s="17">
        <f t="shared" si="4"/>
        <v>0.21968677469443451</v>
      </c>
    </row>
    <row r="21" spans="1:15" ht="18" customHeight="1">
      <c r="A21" s="10" t="s">
        <v>383</v>
      </c>
      <c r="B21" s="16">
        <v>7</v>
      </c>
      <c r="C21" s="16">
        <v>7</v>
      </c>
      <c r="D21" s="14">
        <v>34269.309511656887</v>
      </c>
      <c r="E21" s="14">
        <v>34269.309511656887</v>
      </c>
      <c r="F21" s="15">
        <v>0</v>
      </c>
      <c r="G21" s="17">
        <v>1</v>
      </c>
      <c r="H21" s="15">
        <f t="shared" si="0"/>
        <v>585.9153664048257</v>
      </c>
      <c r="I21" s="14">
        <f>SUMIF(Species!$G$2:$G$289,A21,Species!$U$2:$U$289)</f>
        <v>20078915.038962822</v>
      </c>
      <c r="J21" s="15">
        <v>3.5634072568773449</v>
      </c>
      <c r="K21" s="15">
        <f>IF(J21="","",(1/Metadata!$B$5)^(J21-1))</f>
        <v>365.93778659010206</v>
      </c>
      <c r="L21" s="14">
        <f t="shared" si="1"/>
        <v>12540435.270666853</v>
      </c>
      <c r="M21" s="14">
        <f t="shared" si="2"/>
        <v>7538479.7682959698</v>
      </c>
      <c r="N21" s="15">
        <f t="shared" si="3"/>
        <v>1.6011338207637111</v>
      </c>
      <c r="O21" s="17">
        <f t="shared" si="4"/>
        <v>0.60113382076371125</v>
      </c>
    </row>
  </sheetData>
  <conditionalFormatting sqref="G2:G21">
    <cfRule type="cellIs" dxfId="0" priority="1" operator="lessThan">
      <formula>0.9</formula>
    </cfRule>
  </conditionalFormatting>
  <conditionalFormatting sqref="O2:O21">
    <cfRule type="dataBar" priority="2">
      <dataBar>
        <cfvo type="min"/>
        <cfvo type="max"/>
        <color rgb="FFE28A32"/>
      </dataBar>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
  <sheetViews>
    <sheetView showGridLines="0" workbookViewId="0"/>
  </sheetViews>
  <sheetFormatPr defaultRowHeight="14"/>
  <cols>
    <col min="1" max="3" width="22" customWidth="1"/>
    <col min="4" max="4" width="15" customWidth="1"/>
    <col min="5" max="5" width="25" customWidth="1"/>
    <col min="6" max="8" width="22" customWidth="1"/>
    <col min="9" max="13" width="18" customWidth="1"/>
    <col min="14" max="14" width="22" customWidth="1"/>
    <col min="15" max="15" width="15" customWidth="1"/>
    <col min="16" max="16" width="22" customWidth="1"/>
    <col min="17" max="17" width="36" customWidth="1"/>
    <col min="18" max="19" width="22" customWidth="1"/>
    <col min="20" max="21" width="18" customWidth="1"/>
  </cols>
  <sheetData>
    <row r="1" spans="1:21" ht="32" customHeight="1">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9"/>
  <sheetViews>
    <sheetView showGridLines="0" workbookViewId="0"/>
  </sheetViews>
  <sheetFormatPr defaultRowHeight="14"/>
  <cols>
    <col min="1" max="1" width="22" customWidth="1"/>
    <col min="2" max="2" width="34" customWidth="1"/>
    <col min="3" max="3" width="15" customWidth="1"/>
    <col min="4" max="4" width="34" customWidth="1"/>
  </cols>
  <sheetData>
    <row r="1" spans="1:4" ht="32" customHeight="1">
      <c r="A1" s="12" t="s">
        <v>0</v>
      </c>
      <c r="B1" s="12" t="s">
        <v>1028</v>
      </c>
      <c r="C1" s="12" t="s">
        <v>1029</v>
      </c>
      <c r="D1" s="12" t="s">
        <v>1030</v>
      </c>
    </row>
    <row r="2" spans="1:4" ht="18" customHeight="1">
      <c r="A2" s="10" t="s">
        <v>23</v>
      </c>
      <c r="B2" s="10" t="s">
        <v>1031</v>
      </c>
      <c r="C2" s="10">
        <v>6697725.785375867</v>
      </c>
      <c r="D2" s="10" t="s">
        <v>1032</v>
      </c>
    </row>
    <row r="3" spans="1:4" ht="18" customHeight="1">
      <c r="A3" s="10" t="s">
        <v>23</v>
      </c>
      <c r="B3" s="10" t="s">
        <v>1033</v>
      </c>
      <c r="C3" s="10">
        <v>6697725.785375867</v>
      </c>
      <c r="D3" s="10" t="s">
        <v>1032</v>
      </c>
    </row>
    <row r="4" spans="1:4" ht="18" customHeight="1">
      <c r="A4" s="10" t="s">
        <v>23</v>
      </c>
      <c r="B4" s="10" t="s">
        <v>1034</v>
      </c>
      <c r="C4" s="10">
        <v>0</v>
      </c>
      <c r="D4" s="10" t="s">
        <v>1032</v>
      </c>
    </row>
    <row r="5" spans="1:4" ht="18" customHeight="1">
      <c r="A5" s="10" t="s">
        <v>23</v>
      </c>
      <c r="B5" s="10" t="s">
        <v>1035</v>
      </c>
      <c r="C5" s="10" t="s">
        <v>1036</v>
      </c>
      <c r="D5" s="10" t="s">
        <v>1037</v>
      </c>
    </row>
    <row r="6" spans="1:4" ht="18" customHeight="1">
      <c r="A6" s="10" t="s">
        <v>23</v>
      </c>
      <c r="B6" s="10" t="s">
        <v>1038</v>
      </c>
      <c r="C6" s="10">
        <v>6697725.785375867</v>
      </c>
      <c r="D6" s="10" t="s">
        <v>1032</v>
      </c>
    </row>
    <row r="7" spans="1:4" ht="18" customHeight="1">
      <c r="A7" s="10" t="s">
        <v>23</v>
      </c>
      <c r="B7" s="10" t="s">
        <v>1019</v>
      </c>
      <c r="C7" s="10">
        <v>1</v>
      </c>
      <c r="D7" s="10" t="s">
        <v>1039</v>
      </c>
    </row>
    <row r="8" spans="1:4" ht="18" customHeight="1">
      <c r="A8" s="10" t="s">
        <v>23</v>
      </c>
      <c r="B8" s="10" t="s">
        <v>1040</v>
      </c>
      <c r="C8" s="10">
        <v>288</v>
      </c>
      <c r="D8" s="10" t="s">
        <v>1041</v>
      </c>
    </row>
    <row r="9" spans="1:4" ht="18" customHeight="1">
      <c r="A9" s="10" t="s">
        <v>23</v>
      </c>
      <c r="B9" s="10" t="s">
        <v>1042</v>
      </c>
      <c r="C9" s="10">
        <v>288</v>
      </c>
      <c r="D9" s="10" t="s">
        <v>1041</v>
      </c>
    </row>
    <row r="10" spans="1:4" ht="18" customHeight="1">
      <c r="A10" s="10" t="s">
        <v>23</v>
      </c>
      <c r="B10" s="10" t="s">
        <v>1043</v>
      </c>
      <c r="C10" s="10">
        <v>0</v>
      </c>
      <c r="D10" s="10" t="s">
        <v>1041</v>
      </c>
    </row>
    <row r="11" spans="1:4" ht="18" customHeight="1">
      <c r="A11" s="10" t="s">
        <v>23</v>
      </c>
      <c r="B11" s="10" t="s">
        <v>1044</v>
      </c>
      <c r="C11" s="10">
        <v>3525461853.6068969</v>
      </c>
      <c r="D11" s="10" t="s">
        <v>1045</v>
      </c>
    </row>
    <row r="12" spans="1:4" ht="18" customHeight="1">
      <c r="A12" s="10" t="s">
        <v>23</v>
      </c>
      <c r="B12" s="10" t="s">
        <v>1046</v>
      </c>
      <c r="C12" s="10">
        <v>3525461853.6068969</v>
      </c>
      <c r="D12" s="10" t="s">
        <v>1045</v>
      </c>
    </row>
    <row r="13" spans="1:4" ht="18" customHeight="1">
      <c r="A13" s="10" t="s">
        <v>23</v>
      </c>
      <c r="B13" s="10" t="s">
        <v>1047</v>
      </c>
      <c r="C13" s="10">
        <v>3525461853.6068959</v>
      </c>
      <c r="D13" s="10" t="s">
        <v>1045</v>
      </c>
    </row>
    <row r="14" spans="1:4" ht="18" customHeight="1">
      <c r="A14" s="10" t="s">
        <v>23</v>
      </c>
      <c r="B14" s="10" t="s">
        <v>1048</v>
      </c>
      <c r="C14" s="10">
        <v>0</v>
      </c>
      <c r="D14" s="10" t="s">
        <v>1045</v>
      </c>
    </row>
    <row r="15" spans="1:4" ht="18" customHeight="1">
      <c r="A15" s="10" t="s">
        <v>23</v>
      </c>
      <c r="B15" s="10" t="s">
        <v>1049</v>
      </c>
      <c r="C15" s="10">
        <v>-4.76837158203125E-7</v>
      </c>
      <c r="D15" s="10" t="s">
        <v>1045</v>
      </c>
    </row>
    <row r="16" spans="1:4" ht="18" customHeight="1">
      <c r="A16" s="10" t="s">
        <v>23</v>
      </c>
      <c r="B16" s="10" t="s">
        <v>1050</v>
      </c>
      <c r="C16" s="10" t="s">
        <v>1036</v>
      </c>
      <c r="D16" s="10" t="s">
        <v>1037</v>
      </c>
    </row>
    <row r="17" spans="1:4" ht="18" customHeight="1">
      <c r="A17" s="10" t="s">
        <v>23</v>
      </c>
      <c r="B17" s="10" t="s">
        <v>1051</v>
      </c>
      <c r="C17" s="10" t="s">
        <v>1036</v>
      </c>
      <c r="D17" s="10" t="s">
        <v>1037</v>
      </c>
    </row>
    <row r="18" spans="1:4" ht="18" customHeight="1">
      <c r="A18" s="10" t="s">
        <v>23</v>
      </c>
      <c r="B18" s="10" t="s">
        <v>1052</v>
      </c>
      <c r="C18" s="10">
        <v>0</v>
      </c>
      <c r="D18" s="10" t="s">
        <v>1041</v>
      </c>
    </row>
    <row r="19" spans="1:4" ht="18" customHeight="1">
      <c r="A19" s="10" t="s">
        <v>23</v>
      </c>
      <c r="B19" s="10" t="s">
        <v>1053</v>
      </c>
      <c r="C19" s="10">
        <v>0</v>
      </c>
      <c r="D19" s="10" t="s">
        <v>1041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
  <sheetViews>
    <sheetView showGridLines="0" workbookViewId="0"/>
  </sheetViews>
  <sheetFormatPr defaultRowHeight="14"/>
  <cols>
    <col min="1" max="1" width="31" customWidth="1"/>
    <col min="2" max="2" width="28" customWidth="1"/>
    <col min="3" max="3" width="68" customWidth="1"/>
  </cols>
  <sheetData>
    <row r="1" spans="1:3" ht="30" customHeight="1">
      <c r="A1" s="24" t="s">
        <v>1054</v>
      </c>
      <c r="B1" s="25"/>
      <c r="C1" s="25"/>
    </row>
    <row r="3" spans="1:3">
      <c r="A3" s="1" t="s">
        <v>1055</v>
      </c>
      <c r="B3" s="2" t="s">
        <v>1056</v>
      </c>
      <c r="C3" s="3" t="s">
        <v>1057</v>
      </c>
    </row>
    <row r="4" spans="1:3">
      <c r="A4" s="8" t="s">
        <v>1058</v>
      </c>
      <c r="B4" s="4" t="s">
        <v>23</v>
      </c>
      <c r="C4" s="5" t="s">
        <v>1059</v>
      </c>
    </row>
    <row r="5" spans="1:3">
      <c r="A5" s="8" t="s">
        <v>1060</v>
      </c>
      <c r="B5" s="18">
        <v>0.1</v>
      </c>
      <c r="C5" s="5" t="s">
        <v>1061</v>
      </c>
    </row>
    <row r="6" spans="1:3">
      <c r="A6" s="8" t="s">
        <v>1062</v>
      </c>
      <c r="B6" s="4">
        <v>2019</v>
      </c>
      <c r="C6" s="5" t="s">
        <v>1063</v>
      </c>
    </row>
    <row r="7" spans="1:3">
      <c r="A7" s="8" t="s">
        <v>1064</v>
      </c>
      <c r="B7" s="4" t="s">
        <v>25</v>
      </c>
      <c r="C7" s="5" t="s">
        <v>1065</v>
      </c>
    </row>
    <row r="8" spans="1:3">
      <c r="A8" s="8" t="s">
        <v>1066</v>
      </c>
      <c r="B8" s="4" t="s">
        <v>1067</v>
      </c>
      <c r="C8" s="5" t="s">
        <v>1068</v>
      </c>
    </row>
    <row r="9" spans="1:3">
      <c r="A9" s="8" t="s">
        <v>1069</v>
      </c>
      <c r="B9" s="4" t="s">
        <v>1070</v>
      </c>
      <c r="C9" s="5" t="s">
        <v>1071</v>
      </c>
    </row>
    <row r="10" spans="1:3">
      <c r="A10" s="8" t="s">
        <v>1072</v>
      </c>
      <c r="B10" s="4" t="s">
        <v>1073</v>
      </c>
      <c r="C10" s="5" t="s">
        <v>1074</v>
      </c>
    </row>
    <row r="11" spans="1:3">
      <c r="A11" s="8" t="s">
        <v>1075</v>
      </c>
      <c r="B11" s="4" t="s">
        <v>1076</v>
      </c>
      <c r="C11" s="5" t="s">
        <v>1077</v>
      </c>
    </row>
    <row r="12" spans="1:3">
      <c r="A12" s="8" t="s">
        <v>1078</v>
      </c>
      <c r="B12" s="4" t="s">
        <v>42</v>
      </c>
      <c r="C12" s="5" t="s">
        <v>1079</v>
      </c>
    </row>
    <row r="13" spans="1:3">
      <c r="A13" s="8" t="s">
        <v>1080</v>
      </c>
      <c r="B13" s="4" t="s">
        <v>32</v>
      </c>
      <c r="C13" s="5" t="s">
        <v>1081</v>
      </c>
    </row>
    <row r="14" spans="1:3">
      <c r="A14" s="8" t="s">
        <v>1082</v>
      </c>
      <c r="B14" s="4" t="s">
        <v>1083</v>
      </c>
      <c r="C14" s="5" t="s">
        <v>1084</v>
      </c>
    </row>
    <row r="15" spans="1:3">
      <c r="A15" s="9" t="s">
        <v>1085</v>
      </c>
      <c r="B15" s="6" t="s">
        <v>1086</v>
      </c>
      <c r="C15" s="7" t="s">
        <v>1087</v>
      </c>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50"/>
  <sheetViews>
    <sheetView workbookViewId="0"/>
  </sheetViews>
  <sheetFormatPr defaultRowHeight="14"/>
  <cols>
    <col min="1" max="2" width="20" customWidth="1"/>
    <col min="3" max="3" width="26" customWidth="1"/>
    <col min="4" max="4" width="10" customWidth="1"/>
    <col min="5" max="5" width="34" customWidth="1"/>
    <col min="6" max="6" width="60" customWidth="1"/>
    <col min="7" max="7" width="70" customWidth="1"/>
    <col min="8" max="9" width="40" customWidth="1"/>
    <col min="10" max="11" width="34" customWidth="1"/>
    <col min="12" max="12" width="60" customWidth="1"/>
  </cols>
  <sheetData>
    <row r="1" spans="1:12">
      <c r="A1" s="11" t="s">
        <v>1088</v>
      </c>
      <c r="B1" s="11" t="s">
        <v>1089</v>
      </c>
      <c r="C1" s="11" t="s">
        <v>6</v>
      </c>
      <c r="D1" s="11" t="s">
        <v>1090</v>
      </c>
      <c r="E1" s="11" t="s">
        <v>1091</v>
      </c>
      <c r="F1" s="11" t="s">
        <v>1092</v>
      </c>
      <c r="G1" s="11" t="s">
        <v>1093</v>
      </c>
      <c r="H1" s="11" t="s">
        <v>1094</v>
      </c>
      <c r="I1" s="11" t="s">
        <v>1095</v>
      </c>
      <c r="J1" s="11" t="s">
        <v>1096</v>
      </c>
      <c r="K1" s="11" t="s">
        <v>1097</v>
      </c>
      <c r="L1" s="11" t="s">
        <v>1098</v>
      </c>
    </row>
    <row r="2" spans="1:12" ht="126">
      <c r="A2" s="21" t="s">
        <v>1099</v>
      </c>
      <c r="B2" s="21" t="s">
        <v>1100</v>
      </c>
      <c r="C2" s="21" t="s">
        <v>447</v>
      </c>
      <c r="D2" s="21">
        <v>4.22</v>
      </c>
      <c r="E2" s="21" t="s">
        <v>1101</v>
      </c>
      <c r="F2" s="21" t="s">
        <v>1102</v>
      </c>
      <c r="G2" s="21" t="s">
        <v>1103</v>
      </c>
      <c r="H2" s="21" t="s">
        <v>1104</v>
      </c>
      <c r="I2" s="21" t="s">
        <v>1105</v>
      </c>
      <c r="J2" s="21" t="s">
        <v>1106</v>
      </c>
      <c r="K2" s="21" t="s">
        <v>1107</v>
      </c>
      <c r="L2" s="21" t="s">
        <v>1108</v>
      </c>
    </row>
    <row r="3" spans="1:12" ht="126">
      <c r="A3" s="21" t="s">
        <v>1099</v>
      </c>
      <c r="B3" s="21" t="s">
        <v>1100</v>
      </c>
      <c r="C3" s="21" t="s">
        <v>433</v>
      </c>
      <c r="D3" s="21">
        <v>4.17</v>
      </c>
      <c r="E3" s="21" t="s">
        <v>1109</v>
      </c>
      <c r="F3" s="21" t="s">
        <v>1110</v>
      </c>
      <c r="G3" s="21" t="s">
        <v>1103</v>
      </c>
      <c r="H3" s="21" t="s">
        <v>1104</v>
      </c>
      <c r="I3" s="21" t="s">
        <v>1105</v>
      </c>
      <c r="J3" s="21" t="s">
        <v>1106</v>
      </c>
      <c r="K3" s="21" t="s">
        <v>1107</v>
      </c>
      <c r="L3" s="21" t="s">
        <v>1108</v>
      </c>
    </row>
    <row r="4" spans="1:12" ht="126">
      <c r="A4" s="21" t="s">
        <v>1099</v>
      </c>
      <c r="B4" s="21" t="s">
        <v>1100</v>
      </c>
      <c r="C4" s="21" t="s">
        <v>175</v>
      </c>
      <c r="D4" s="21">
        <v>4.55</v>
      </c>
      <c r="E4" s="21" t="s">
        <v>1111</v>
      </c>
      <c r="F4" s="21" t="s">
        <v>1112</v>
      </c>
      <c r="G4" s="21" t="s">
        <v>1103</v>
      </c>
      <c r="H4" s="21" t="s">
        <v>1104</v>
      </c>
      <c r="I4" s="21" t="s">
        <v>1105</v>
      </c>
      <c r="J4" s="21" t="s">
        <v>1106</v>
      </c>
      <c r="K4" s="21" t="s">
        <v>1107</v>
      </c>
      <c r="L4" s="21" t="s">
        <v>1108</v>
      </c>
    </row>
    <row r="5" spans="1:12" ht="126">
      <c r="A5" s="21" t="s">
        <v>1099</v>
      </c>
      <c r="B5" s="21" t="s">
        <v>1100</v>
      </c>
      <c r="C5" s="21" t="s">
        <v>180</v>
      </c>
      <c r="D5" s="21">
        <v>4.25</v>
      </c>
      <c r="E5" s="21" t="s">
        <v>1113</v>
      </c>
      <c r="F5" s="21" t="s">
        <v>1114</v>
      </c>
      <c r="G5" s="21" t="s">
        <v>1103</v>
      </c>
      <c r="H5" s="21" t="s">
        <v>1104</v>
      </c>
      <c r="I5" s="21" t="s">
        <v>1105</v>
      </c>
      <c r="J5" s="21" t="s">
        <v>1106</v>
      </c>
      <c r="K5" s="21" t="s">
        <v>1107</v>
      </c>
      <c r="L5" s="21" t="s">
        <v>1108</v>
      </c>
    </row>
    <row r="6" spans="1:12" ht="126">
      <c r="A6" s="21" t="s">
        <v>1099</v>
      </c>
      <c r="B6" s="21" t="s">
        <v>1100</v>
      </c>
      <c r="C6" s="21" t="s">
        <v>326</v>
      </c>
      <c r="D6" s="21">
        <v>3</v>
      </c>
      <c r="E6" s="21" t="s">
        <v>1115</v>
      </c>
      <c r="F6" s="21" t="s">
        <v>1116</v>
      </c>
      <c r="G6" s="21" t="s">
        <v>1103</v>
      </c>
      <c r="H6" s="21" t="s">
        <v>1104</v>
      </c>
      <c r="I6" s="21" t="s">
        <v>1105</v>
      </c>
      <c r="J6" s="21" t="s">
        <v>1106</v>
      </c>
      <c r="K6" s="21" t="s">
        <v>1107</v>
      </c>
      <c r="L6" s="21" t="s">
        <v>1108</v>
      </c>
    </row>
    <row r="7" spans="1:12" ht="126">
      <c r="A7" s="21" t="s">
        <v>1099</v>
      </c>
      <c r="B7" s="21" t="s">
        <v>1100</v>
      </c>
      <c r="C7" s="21" t="s">
        <v>149</v>
      </c>
      <c r="D7" s="21">
        <v>3.89</v>
      </c>
      <c r="E7" s="21" t="s">
        <v>1117</v>
      </c>
      <c r="F7" s="21" t="s">
        <v>1118</v>
      </c>
      <c r="G7" s="21" t="s">
        <v>1103</v>
      </c>
      <c r="H7" s="21" t="s">
        <v>1104</v>
      </c>
      <c r="I7" s="21" t="s">
        <v>1105</v>
      </c>
      <c r="J7" s="21" t="s">
        <v>1106</v>
      </c>
      <c r="K7" s="21" t="s">
        <v>1107</v>
      </c>
      <c r="L7" s="21" t="s">
        <v>1108</v>
      </c>
    </row>
    <row r="8" spans="1:12" ht="126">
      <c r="A8" s="21" t="s">
        <v>1099</v>
      </c>
      <c r="B8" s="21" t="s">
        <v>1100</v>
      </c>
      <c r="C8" s="21" t="s">
        <v>1119</v>
      </c>
      <c r="D8" s="21">
        <v>3</v>
      </c>
      <c r="E8" s="21" t="s">
        <v>1120</v>
      </c>
      <c r="F8" s="21" t="s">
        <v>1121</v>
      </c>
      <c r="G8" s="21" t="s">
        <v>1103</v>
      </c>
      <c r="H8" s="21" t="s">
        <v>1104</v>
      </c>
      <c r="I8" s="21" t="s">
        <v>1105</v>
      </c>
      <c r="J8" s="21" t="s">
        <v>1106</v>
      </c>
      <c r="K8" s="21" t="s">
        <v>1107</v>
      </c>
      <c r="L8" s="21" t="s">
        <v>1108</v>
      </c>
    </row>
    <row r="9" spans="1:12" ht="126">
      <c r="A9" s="21" t="s">
        <v>1099</v>
      </c>
      <c r="B9" s="21" t="s">
        <v>1100</v>
      </c>
      <c r="C9" s="21" t="s">
        <v>1122</v>
      </c>
      <c r="D9" s="21">
        <v>3.51</v>
      </c>
      <c r="E9" s="21" t="s">
        <v>1123</v>
      </c>
      <c r="F9" s="21" t="s">
        <v>1124</v>
      </c>
      <c r="G9" s="21" t="s">
        <v>1103</v>
      </c>
      <c r="H9" s="21" t="s">
        <v>1104</v>
      </c>
      <c r="I9" s="21" t="s">
        <v>1105</v>
      </c>
      <c r="J9" s="21" t="s">
        <v>1106</v>
      </c>
      <c r="K9" s="21" t="s">
        <v>1107</v>
      </c>
      <c r="L9" s="21" t="s">
        <v>1108</v>
      </c>
    </row>
    <row r="10" spans="1:12" ht="336">
      <c r="A10" s="21" t="s">
        <v>1099</v>
      </c>
      <c r="B10" s="21" t="s">
        <v>1100</v>
      </c>
      <c r="C10" s="21" t="s">
        <v>1125</v>
      </c>
      <c r="D10" s="21">
        <v>4.08</v>
      </c>
      <c r="E10" s="21" t="s">
        <v>1126</v>
      </c>
      <c r="F10" s="21" t="s">
        <v>1127</v>
      </c>
      <c r="G10" s="21" t="s">
        <v>1128</v>
      </c>
      <c r="H10" s="21" t="s">
        <v>1104</v>
      </c>
      <c r="I10" s="21" t="s">
        <v>1105</v>
      </c>
      <c r="J10" s="21" t="s">
        <v>1106</v>
      </c>
      <c r="K10" s="21" t="s">
        <v>1107</v>
      </c>
      <c r="L10" s="21" t="s">
        <v>1108</v>
      </c>
    </row>
    <row r="11" spans="1:12" ht="336">
      <c r="A11" s="21" t="s">
        <v>1099</v>
      </c>
      <c r="B11" s="21" t="s">
        <v>1100</v>
      </c>
      <c r="C11" s="21" t="s">
        <v>1129</v>
      </c>
      <c r="D11" s="21">
        <v>3.96</v>
      </c>
      <c r="E11" s="21" t="s">
        <v>1130</v>
      </c>
      <c r="F11" s="21" t="s">
        <v>1131</v>
      </c>
      <c r="G11" s="21" t="s">
        <v>1128</v>
      </c>
      <c r="H11" s="21" t="s">
        <v>1104</v>
      </c>
      <c r="I11" s="21" t="s">
        <v>1105</v>
      </c>
      <c r="J11" s="21" t="s">
        <v>1106</v>
      </c>
      <c r="K11" s="21" t="s">
        <v>1107</v>
      </c>
      <c r="L11" s="21" t="s">
        <v>1108</v>
      </c>
    </row>
    <row r="12" spans="1:12" ht="336">
      <c r="A12" s="21" t="s">
        <v>1099</v>
      </c>
      <c r="B12" s="21" t="s">
        <v>1100</v>
      </c>
      <c r="C12" s="21" t="s">
        <v>1132</v>
      </c>
      <c r="D12" s="21">
        <v>3.1</v>
      </c>
      <c r="E12" s="21" t="s">
        <v>1133</v>
      </c>
      <c r="F12" s="21" t="s">
        <v>1134</v>
      </c>
      <c r="G12" s="21" t="s">
        <v>1128</v>
      </c>
      <c r="H12" s="21" t="s">
        <v>1104</v>
      </c>
      <c r="I12" s="21" t="s">
        <v>1105</v>
      </c>
      <c r="J12" s="21" t="s">
        <v>1106</v>
      </c>
      <c r="K12" s="21" t="s">
        <v>1107</v>
      </c>
      <c r="L12" s="21" t="s">
        <v>1108</v>
      </c>
    </row>
    <row r="13" spans="1:12" ht="336">
      <c r="A13" s="21" t="s">
        <v>1099</v>
      </c>
      <c r="B13" s="21" t="s">
        <v>1100</v>
      </c>
      <c r="C13" s="21" t="s">
        <v>1135</v>
      </c>
      <c r="D13" s="21">
        <v>3.84</v>
      </c>
      <c r="E13" s="21" t="s">
        <v>1136</v>
      </c>
      <c r="F13" s="21" t="s">
        <v>1137</v>
      </c>
      <c r="G13" s="21" t="s">
        <v>1128</v>
      </c>
      <c r="H13" s="21" t="s">
        <v>1104</v>
      </c>
      <c r="I13" s="21" t="s">
        <v>1105</v>
      </c>
      <c r="J13" s="21" t="s">
        <v>1106</v>
      </c>
      <c r="K13" s="21" t="s">
        <v>1107</v>
      </c>
      <c r="L13" s="21" t="s">
        <v>1108</v>
      </c>
    </row>
    <row r="14" spans="1:12" ht="336">
      <c r="A14" s="21" t="s">
        <v>1099</v>
      </c>
      <c r="B14" s="21" t="s">
        <v>1100</v>
      </c>
      <c r="C14" s="21" t="s">
        <v>1138</v>
      </c>
      <c r="D14" s="21">
        <v>3.08</v>
      </c>
      <c r="E14" s="21" t="s">
        <v>1139</v>
      </c>
      <c r="F14" s="21" t="s">
        <v>1140</v>
      </c>
      <c r="G14" s="21" t="s">
        <v>1128</v>
      </c>
      <c r="H14" s="21" t="s">
        <v>1104</v>
      </c>
      <c r="I14" s="21" t="s">
        <v>1105</v>
      </c>
      <c r="J14" s="21" t="s">
        <v>1106</v>
      </c>
      <c r="K14" s="21" t="s">
        <v>1107</v>
      </c>
      <c r="L14" s="21" t="s">
        <v>1108</v>
      </c>
    </row>
    <row r="15" spans="1:12" ht="336">
      <c r="A15" s="21" t="s">
        <v>1099</v>
      </c>
      <c r="B15" s="21" t="s">
        <v>1100</v>
      </c>
      <c r="C15" s="21" t="s">
        <v>1141</v>
      </c>
      <c r="D15" s="21">
        <v>3.6</v>
      </c>
      <c r="E15" s="21" t="s">
        <v>1142</v>
      </c>
      <c r="F15" s="21" t="s">
        <v>1143</v>
      </c>
      <c r="G15" s="21" t="s">
        <v>1128</v>
      </c>
      <c r="H15" s="21" t="s">
        <v>1104</v>
      </c>
      <c r="I15" s="21" t="s">
        <v>1105</v>
      </c>
      <c r="J15" s="21" t="s">
        <v>1106</v>
      </c>
      <c r="K15" s="21" t="s">
        <v>1107</v>
      </c>
      <c r="L15" s="21" t="s">
        <v>1108</v>
      </c>
    </row>
    <row r="16" spans="1:12" ht="336">
      <c r="A16" s="21" t="s">
        <v>1099</v>
      </c>
      <c r="B16" s="21" t="s">
        <v>1100</v>
      </c>
      <c r="C16" s="21" t="s">
        <v>1144</v>
      </c>
      <c r="D16" s="21">
        <v>2.37</v>
      </c>
      <c r="E16" s="21" t="s">
        <v>1145</v>
      </c>
      <c r="F16" s="21" t="s">
        <v>1146</v>
      </c>
      <c r="G16" s="21" t="s">
        <v>1128</v>
      </c>
      <c r="H16" s="21" t="s">
        <v>1104</v>
      </c>
      <c r="I16" s="21" t="s">
        <v>1105</v>
      </c>
      <c r="J16" s="21" t="s">
        <v>1106</v>
      </c>
      <c r="K16" s="21" t="s">
        <v>1107</v>
      </c>
      <c r="L16" s="21" t="s">
        <v>1108</v>
      </c>
    </row>
    <row r="17" spans="1:12" ht="336">
      <c r="A17" s="21" t="s">
        <v>1099</v>
      </c>
      <c r="B17" s="21" t="s">
        <v>1100</v>
      </c>
      <c r="C17" s="21" t="s">
        <v>1147</v>
      </c>
      <c r="D17" s="21">
        <v>2</v>
      </c>
      <c r="E17" s="21" t="s">
        <v>1148</v>
      </c>
      <c r="F17" s="21" t="s">
        <v>1149</v>
      </c>
      <c r="G17" s="21" t="s">
        <v>1128</v>
      </c>
      <c r="H17" s="21" t="s">
        <v>1104</v>
      </c>
      <c r="I17" s="21" t="s">
        <v>1105</v>
      </c>
      <c r="J17" s="21" t="s">
        <v>1106</v>
      </c>
      <c r="K17" s="21" t="s">
        <v>1107</v>
      </c>
      <c r="L17" s="21" t="s">
        <v>1108</v>
      </c>
    </row>
    <row r="18" spans="1:12" ht="336">
      <c r="A18" s="21" t="s">
        <v>1099</v>
      </c>
      <c r="B18" s="21" t="s">
        <v>1100</v>
      </c>
      <c r="C18" s="21" t="s">
        <v>1150</v>
      </c>
      <c r="D18" s="21">
        <v>2</v>
      </c>
      <c r="E18" s="21" t="s">
        <v>1151</v>
      </c>
      <c r="F18" s="21" t="s">
        <v>1152</v>
      </c>
      <c r="G18" s="21" t="s">
        <v>1128</v>
      </c>
      <c r="H18" s="21" t="s">
        <v>1104</v>
      </c>
      <c r="I18" s="21" t="s">
        <v>1105</v>
      </c>
      <c r="J18" s="21" t="s">
        <v>1106</v>
      </c>
      <c r="K18" s="21" t="s">
        <v>1107</v>
      </c>
      <c r="L18" s="21" t="s">
        <v>1108</v>
      </c>
    </row>
    <row r="19" spans="1:12" ht="336">
      <c r="A19" s="21" t="s">
        <v>1099</v>
      </c>
      <c r="B19" s="21" t="s">
        <v>1100</v>
      </c>
      <c r="C19" s="21" t="s">
        <v>129</v>
      </c>
      <c r="D19" s="21">
        <v>4.0999999999999996</v>
      </c>
      <c r="E19" s="21" t="s">
        <v>1126</v>
      </c>
      <c r="F19" s="21" t="s">
        <v>1127</v>
      </c>
      <c r="G19" s="21" t="s">
        <v>1128</v>
      </c>
      <c r="H19" s="21" t="s">
        <v>1104</v>
      </c>
      <c r="I19" s="21" t="s">
        <v>1105</v>
      </c>
      <c r="J19" s="21" t="s">
        <v>1106</v>
      </c>
      <c r="K19" s="21" t="s">
        <v>1107</v>
      </c>
      <c r="L19" s="21" t="s">
        <v>1108</v>
      </c>
    </row>
    <row r="20" spans="1:12" ht="336">
      <c r="A20" s="21" t="s">
        <v>1099</v>
      </c>
      <c r="B20" s="21" t="s">
        <v>1100</v>
      </c>
      <c r="C20" s="21" t="s">
        <v>60</v>
      </c>
      <c r="D20" s="21">
        <v>3.98</v>
      </c>
      <c r="E20" s="21" t="s">
        <v>1130</v>
      </c>
      <c r="F20" s="21" t="s">
        <v>1131</v>
      </c>
      <c r="G20" s="21" t="s">
        <v>1128</v>
      </c>
      <c r="H20" s="21" t="s">
        <v>1104</v>
      </c>
      <c r="I20" s="21" t="s">
        <v>1105</v>
      </c>
      <c r="J20" s="21" t="s">
        <v>1106</v>
      </c>
      <c r="K20" s="21" t="s">
        <v>1107</v>
      </c>
      <c r="L20" s="21" t="s">
        <v>1108</v>
      </c>
    </row>
    <row r="21" spans="1:12" ht="336">
      <c r="A21" s="21" t="s">
        <v>1099</v>
      </c>
      <c r="B21" s="21" t="s">
        <v>1100</v>
      </c>
      <c r="C21" s="21" t="s">
        <v>55</v>
      </c>
      <c r="D21" s="21">
        <v>3.13</v>
      </c>
      <c r="E21" s="21" t="s">
        <v>1133</v>
      </c>
      <c r="F21" s="21" t="s">
        <v>1134</v>
      </c>
      <c r="G21" s="21" t="s">
        <v>1128</v>
      </c>
      <c r="H21" s="21" t="s">
        <v>1104</v>
      </c>
      <c r="I21" s="21" t="s">
        <v>1105</v>
      </c>
      <c r="J21" s="21" t="s">
        <v>1106</v>
      </c>
      <c r="K21" s="21" t="s">
        <v>1107</v>
      </c>
      <c r="L21" s="21" t="s">
        <v>1108</v>
      </c>
    </row>
    <row r="22" spans="1:12" ht="336">
      <c r="A22" s="21" t="s">
        <v>1099</v>
      </c>
      <c r="B22" s="21" t="s">
        <v>1100</v>
      </c>
      <c r="C22" s="21" t="s">
        <v>74</v>
      </c>
      <c r="D22" s="21">
        <v>3.9</v>
      </c>
      <c r="E22" s="21" t="s">
        <v>1136</v>
      </c>
      <c r="F22" s="21" t="s">
        <v>1137</v>
      </c>
      <c r="G22" s="21" t="s">
        <v>1128</v>
      </c>
      <c r="H22" s="21" t="s">
        <v>1104</v>
      </c>
      <c r="I22" s="21" t="s">
        <v>1105</v>
      </c>
      <c r="J22" s="21" t="s">
        <v>1106</v>
      </c>
      <c r="K22" s="21" t="s">
        <v>1107</v>
      </c>
      <c r="L22" s="21" t="s">
        <v>1108</v>
      </c>
    </row>
    <row r="23" spans="1:12" ht="336">
      <c r="A23" s="21" t="s">
        <v>1099</v>
      </c>
      <c r="B23" s="21" t="s">
        <v>1100</v>
      </c>
      <c r="C23" s="21" t="s">
        <v>118</v>
      </c>
      <c r="D23" s="21">
        <v>3.5</v>
      </c>
      <c r="E23" s="21" t="s">
        <v>1153</v>
      </c>
      <c r="F23" s="21" t="s">
        <v>1154</v>
      </c>
      <c r="G23" s="21" t="s">
        <v>1128</v>
      </c>
      <c r="H23" s="21" t="s">
        <v>1104</v>
      </c>
      <c r="I23" s="21" t="s">
        <v>1105</v>
      </c>
      <c r="J23" s="21" t="s">
        <v>1106</v>
      </c>
      <c r="K23" s="21" t="s">
        <v>1107</v>
      </c>
      <c r="L23" s="21" t="s">
        <v>1108</v>
      </c>
    </row>
    <row r="24" spans="1:12" ht="336">
      <c r="A24" s="21" t="s">
        <v>1099</v>
      </c>
      <c r="B24" s="21" t="s">
        <v>1100</v>
      </c>
      <c r="C24" s="21" t="s">
        <v>66</v>
      </c>
      <c r="D24" s="21">
        <v>3.11</v>
      </c>
      <c r="E24" s="21" t="s">
        <v>1139</v>
      </c>
      <c r="F24" s="21" t="s">
        <v>1140</v>
      </c>
      <c r="G24" s="21" t="s">
        <v>1128</v>
      </c>
      <c r="H24" s="21" t="s">
        <v>1104</v>
      </c>
      <c r="I24" s="21" t="s">
        <v>1105</v>
      </c>
      <c r="J24" s="21" t="s">
        <v>1106</v>
      </c>
      <c r="K24" s="21" t="s">
        <v>1107</v>
      </c>
      <c r="L24" s="21" t="s">
        <v>1108</v>
      </c>
    </row>
    <row r="25" spans="1:12" ht="336">
      <c r="A25" s="21" t="s">
        <v>1099</v>
      </c>
      <c r="B25" s="21" t="s">
        <v>1100</v>
      </c>
      <c r="C25" s="21" t="s">
        <v>100</v>
      </c>
      <c r="D25" s="21">
        <v>3.68</v>
      </c>
      <c r="E25" s="21" t="s">
        <v>1142</v>
      </c>
      <c r="F25" s="21" t="s">
        <v>1143</v>
      </c>
      <c r="G25" s="21" t="s">
        <v>1128</v>
      </c>
      <c r="H25" s="21" t="s">
        <v>1104</v>
      </c>
      <c r="I25" s="21" t="s">
        <v>1105</v>
      </c>
      <c r="J25" s="21" t="s">
        <v>1106</v>
      </c>
      <c r="K25" s="21" t="s">
        <v>1107</v>
      </c>
      <c r="L25" s="21" t="s">
        <v>1108</v>
      </c>
    </row>
    <row r="26" spans="1:12" ht="336">
      <c r="A26" s="21" t="s">
        <v>1099</v>
      </c>
      <c r="B26" s="21" t="s">
        <v>1100</v>
      </c>
      <c r="C26" s="21" t="s">
        <v>91</v>
      </c>
      <c r="D26" s="21">
        <v>2.62</v>
      </c>
      <c r="E26" s="21" t="s">
        <v>1155</v>
      </c>
      <c r="F26" s="21" t="s">
        <v>1156</v>
      </c>
      <c r="G26" s="21" t="s">
        <v>1128</v>
      </c>
      <c r="H26" s="21" t="s">
        <v>1104</v>
      </c>
      <c r="I26" s="21" t="s">
        <v>1105</v>
      </c>
      <c r="J26" s="21" t="s">
        <v>1106</v>
      </c>
      <c r="K26" s="21" t="s">
        <v>1107</v>
      </c>
      <c r="L26" s="21" t="s">
        <v>1108</v>
      </c>
    </row>
    <row r="27" spans="1:12" ht="336">
      <c r="A27" s="21" t="s">
        <v>1099</v>
      </c>
      <c r="B27" s="21" t="s">
        <v>1100</v>
      </c>
      <c r="C27" s="21" t="s">
        <v>237</v>
      </c>
      <c r="D27" s="21">
        <v>2.34</v>
      </c>
      <c r="E27" s="21" t="s">
        <v>1145</v>
      </c>
      <c r="F27" s="21" t="s">
        <v>1146</v>
      </c>
      <c r="G27" s="21" t="s">
        <v>1128</v>
      </c>
      <c r="H27" s="21" t="s">
        <v>1104</v>
      </c>
      <c r="I27" s="21" t="s">
        <v>1105</v>
      </c>
      <c r="J27" s="21" t="s">
        <v>1106</v>
      </c>
      <c r="K27" s="21" t="s">
        <v>1107</v>
      </c>
      <c r="L27" s="21" t="s">
        <v>1108</v>
      </c>
    </row>
    <row r="28" spans="1:12" ht="336">
      <c r="A28" s="21" t="s">
        <v>1099</v>
      </c>
      <c r="B28" s="21" t="s">
        <v>1100</v>
      </c>
      <c r="C28" s="21" t="s">
        <v>1157</v>
      </c>
      <c r="D28" s="21">
        <v>2</v>
      </c>
      <c r="E28" s="21" t="s">
        <v>1148</v>
      </c>
      <c r="F28" s="21" t="s">
        <v>1149</v>
      </c>
      <c r="G28" s="21" t="s">
        <v>1128</v>
      </c>
      <c r="H28" s="21" t="s">
        <v>1104</v>
      </c>
      <c r="I28" s="21" t="s">
        <v>1105</v>
      </c>
      <c r="J28" s="21" t="s">
        <v>1106</v>
      </c>
      <c r="K28" s="21" t="s">
        <v>1107</v>
      </c>
      <c r="L28" s="21" t="s">
        <v>1108</v>
      </c>
    </row>
    <row r="29" spans="1:12" ht="336">
      <c r="A29" s="21" t="s">
        <v>1099</v>
      </c>
      <c r="B29" s="21" t="s">
        <v>1100</v>
      </c>
      <c r="C29" s="21" t="s">
        <v>1158</v>
      </c>
      <c r="D29" s="21">
        <v>2</v>
      </c>
      <c r="E29" s="21" t="s">
        <v>1151</v>
      </c>
      <c r="F29" s="21" t="s">
        <v>1152</v>
      </c>
      <c r="G29" s="21" t="s">
        <v>1128</v>
      </c>
      <c r="H29" s="21" t="s">
        <v>1104</v>
      </c>
      <c r="I29" s="21" t="s">
        <v>1105</v>
      </c>
      <c r="J29" s="21" t="s">
        <v>1106</v>
      </c>
      <c r="K29" s="21" t="s">
        <v>1107</v>
      </c>
      <c r="L29" s="21" t="s">
        <v>1108</v>
      </c>
    </row>
    <row r="30" spans="1:12" ht="126">
      <c r="A30" s="21" t="s">
        <v>1099</v>
      </c>
      <c r="B30" s="21" t="s">
        <v>1100</v>
      </c>
      <c r="C30" s="21" t="s">
        <v>43</v>
      </c>
      <c r="D30" s="21">
        <v>2.36</v>
      </c>
      <c r="E30" s="21" t="s">
        <v>1159</v>
      </c>
      <c r="F30" s="21" t="s">
        <v>1160</v>
      </c>
      <c r="G30" s="21" t="s">
        <v>1161</v>
      </c>
      <c r="H30" s="21" t="s">
        <v>1104</v>
      </c>
      <c r="I30" s="21" t="s">
        <v>1105</v>
      </c>
      <c r="J30" s="21" t="s">
        <v>1106</v>
      </c>
      <c r="K30" s="21" t="s">
        <v>1107</v>
      </c>
      <c r="L30" s="21" t="s">
        <v>1108</v>
      </c>
    </row>
    <row r="31" spans="1:12" ht="126">
      <c r="A31" s="21" t="s">
        <v>1099</v>
      </c>
      <c r="B31" s="21" t="s">
        <v>1100</v>
      </c>
      <c r="C31" s="21" t="s">
        <v>49</v>
      </c>
      <c r="D31" s="21">
        <v>3.05</v>
      </c>
      <c r="E31" s="21" t="s">
        <v>1159</v>
      </c>
      <c r="F31" s="21" t="s">
        <v>1162</v>
      </c>
      <c r="G31" s="21" t="s">
        <v>1161</v>
      </c>
      <c r="H31" s="21" t="s">
        <v>1104</v>
      </c>
      <c r="I31" s="21" t="s">
        <v>1105</v>
      </c>
      <c r="J31" s="21" t="s">
        <v>1106</v>
      </c>
      <c r="K31" s="21" t="s">
        <v>1107</v>
      </c>
      <c r="L31" s="21" t="s">
        <v>1108</v>
      </c>
    </row>
    <row r="32" spans="1:12" ht="336">
      <c r="A32" s="21" t="s">
        <v>1099</v>
      </c>
      <c r="B32" s="21" t="s">
        <v>1100</v>
      </c>
      <c r="C32" s="21" t="s">
        <v>1163</v>
      </c>
      <c r="D32" s="21">
        <v>4.2300000000000004</v>
      </c>
      <c r="E32" s="21" t="s">
        <v>1126</v>
      </c>
      <c r="F32" s="21" t="s">
        <v>1127</v>
      </c>
      <c r="G32" s="21" t="s">
        <v>1128</v>
      </c>
      <c r="H32" s="21" t="s">
        <v>1104</v>
      </c>
      <c r="I32" s="21" t="s">
        <v>1105</v>
      </c>
      <c r="J32" s="21" t="s">
        <v>1106</v>
      </c>
      <c r="K32" s="21" t="s">
        <v>1107</v>
      </c>
      <c r="L32" s="21" t="s">
        <v>1108</v>
      </c>
    </row>
    <row r="33" spans="1:12" ht="336">
      <c r="A33" s="21" t="s">
        <v>1099</v>
      </c>
      <c r="B33" s="21" t="s">
        <v>1100</v>
      </c>
      <c r="C33" s="21" t="s">
        <v>1164</v>
      </c>
      <c r="D33" s="21">
        <v>3.98</v>
      </c>
      <c r="E33" s="21" t="s">
        <v>1130</v>
      </c>
      <c r="F33" s="21" t="s">
        <v>1131</v>
      </c>
      <c r="G33" s="21" t="s">
        <v>1128</v>
      </c>
      <c r="H33" s="21" t="s">
        <v>1104</v>
      </c>
      <c r="I33" s="21" t="s">
        <v>1105</v>
      </c>
      <c r="J33" s="21" t="s">
        <v>1106</v>
      </c>
      <c r="K33" s="21" t="s">
        <v>1107</v>
      </c>
      <c r="L33" s="21" t="s">
        <v>1108</v>
      </c>
    </row>
    <row r="34" spans="1:12" ht="336">
      <c r="A34" s="21" t="s">
        <v>1099</v>
      </c>
      <c r="B34" s="21" t="s">
        <v>1100</v>
      </c>
      <c r="C34" s="21" t="s">
        <v>1165</v>
      </c>
      <c r="D34" s="21">
        <v>3.15</v>
      </c>
      <c r="E34" s="21" t="s">
        <v>1133</v>
      </c>
      <c r="F34" s="21" t="s">
        <v>1134</v>
      </c>
      <c r="G34" s="21" t="s">
        <v>1128</v>
      </c>
      <c r="H34" s="21" t="s">
        <v>1104</v>
      </c>
      <c r="I34" s="21" t="s">
        <v>1105</v>
      </c>
      <c r="J34" s="21" t="s">
        <v>1106</v>
      </c>
      <c r="K34" s="21" t="s">
        <v>1107</v>
      </c>
      <c r="L34" s="21" t="s">
        <v>1108</v>
      </c>
    </row>
    <row r="35" spans="1:12" ht="336">
      <c r="A35" s="21" t="s">
        <v>1099</v>
      </c>
      <c r="B35" s="21" t="s">
        <v>1100</v>
      </c>
      <c r="C35" s="21" t="s">
        <v>1166</v>
      </c>
      <c r="D35" s="21">
        <v>3.94</v>
      </c>
      <c r="E35" s="21" t="s">
        <v>1136</v>
      </c>
      <c r="F35" s="21" t="s">
        <v>1137</v>
      </c>
      <c r="G35" s="21" t="s">
        <v>1128</v>
      </c>
      <c r="H35" s="21" t="s">
        <v>1104</v>
      </c>
      <c r="I35" s="21" t="s">
        <v>1105</v>
      </c>
      <c r="J35" s="21" t="s">
        <v>1106</v>
      </c>
      <c r="K35" s="21" t="s">
        <v>1107</v>
      </c>
      <c r="L35" s="21" t="s">
        <v>1108</v>
      </c>
    </row>
    <row r="36" spans="1:12" ht="336">
      <c r="A36" s="21" t="s">
        <v>1099</v>
      </c>
      <c r="B36" s="21" t="s">
        <v>1100</v>
      </c>
      <c r="C36" s="21" t="s">
        <v>1167</v>
      </c>
      <c r="D36" s="21">
        <v>3.52</v>
      </c>
      <c r="E36" s="21" t="s">
        <v>1153</v>
      </c>
      <c r="F36" s="21" t="s">
        <v>1154</v>
      </c>
      <c r="G36" s="21" t="s">
        <v>1128</v>
      </c>
      <c r="H36" s="21" t="s">
        <v>1104</v>
      </c>
      <c r="I36" s="21" t="s">
        <v>1105</v>
      </c>
      <c r="J36" s="21" t="s">
        <v>1106</v>
      </c>
      <c r="K36" s="21" t="s">
        <v>1107</v>
      </c>
      <c r="L36" s="21" t="s">
        <v>1108</v>
      </c>
    </row>
    <row r="37" spans="1:12" ht="336">
      <c r="A37" s="21" t="s">
        <v>1099</v>
      </c>
      <c r="B37" s="21" t="s">
        <v>1100</v>
      </c>
      <c r="C37" s="21" t="s">
        <v>1168</v>
      </c>
      <c r="D37" s="21">
        <v>3.13</v>
      </c>
      <c r="E37" s="21" t="s">
        <v>1139</v>
      </c>
      <c r="F37" s="21" t="s">
        <v>1140</v>
      </c>
      <c r="G37" s="21" t="s">
        <v>1128</v>
      </c>
      <c r="H37" s="21" t="s">
        <v>1104</v>
      </c>
      <c r="I37" s="21" t="s">
        <v>1105</v>
      </c>
      <c r="J37" s="21" t="s">
        <v>1106</v>
      </c>
      <c r="K37" s="21" t="s">
        <v>1107</v>
      </c>
      <c r="L37" s="21" t="s">
        <v>1108</v>
      </c>
    </row>
    <row r="38" spans="1:12" ht="336">
      <c r="A38" s="21" t="s">
        <v>1099</v>
      </c>
      <c r="B38" s="21" t="s">
        <v>1100</v>
      </c>
      <c r="C38" s="21" t="s">
        <v>1169</v>
      </c>
      <c r="D38" s="21">
        <v>3.75</v>
      </c>
      <c r="E38" s="21" t="s">
        <v>1142</v>
      </c>
      <c r="F38" s="21" t="s">
        <v>1143</v>
      </c>
      <c r="G38" s="21" t="s">
        <v>1128</v>
      </c>
      <c r="H38" s="21" t="s">
        <v>1104</v>
      </c>
      <c r="I38" s="21" t="s">
        <v>1105</v>
      </c>
      <c r="J38" s="21" t="s">
        <v>1106</v>
      </c>
      <c r="K38" s="21" t="s">
        <v>1107</v>
      </c>
      <c r="L38" s="21" t="s">
        <v>1108</v>
      </c>
    </row>
    <row r="39" spans="1:12" ht="336">
      <c r="A39" s="21" t="s">
        <v>1099</v>
      </c>
      <c r="B39" s="21" t="s">
        <v>1100</v>
      </c>
      <c r="C39" s="21" t="s">
        <v>1170</v>
      </c>
      <c r="D39" s="21">
        <v>2.63</v>
      </c>
      <c r="E39" s="21" t="s">
        <v>1155</v>
      </c>
      <c r="F39" s="21" t="s">
        <v>1156</v>
      </c>
      <c r="G39" s="21" t="s">
        <v>1128</v>
      </c>
      <c r="H39" s="21" t="s">
        <v>1104</v>
      </c>
      <c r="I39" s="21" t="s">
        <v>1105</v>
      </c>
      <c r="J39" s="21" t="s">
        <v>1106</v>
      </c>
      <c r="K39" s="21" t="s">
        <v>1107</v>
      </c>
      <c r="L39" s="21" t="s">
        <v>1108</v>
      </c>
    </row>
    <row r="40" spans="1:12" ht="336">
      <c r="A40" s="21" t="s">
        <v>1099</v>
      </c>
      <c r="B40" s="21" t="s">
        <v>1100</v>
      </c>
      <c r="C40" s="21" t="s">
        <v>1171</v>
      </c>
      <c r="D40" s="21">
        <v>2.37</v>
      </c>
      <c r="E40" s="21" t="s">
        <v>1145</v>
      </c>
      <c r="F40" s="21" t="s">
        <v>1146</v>
      </c>
      <c r="G40" s="21" t="s">
        <v>1128</v>
      </c>
      <c r="H40" s="21" t="s">
        <v>1104</v>
      </c>
      <c r="I40" s="21" t="s">
        <v>1105</v>
      </c>
      <c r="J40" s="21" t="s">
        <v>1106</v>
      </c>
      <c r="K40" s="21" t="s">
        <v>1107</v>
      </c>
      <c r="L40" s="21" t="s">
        <v>1108</v>
      </c>
    </row>
    <row r="41" spans="1:12" ht="336">
      <c r="A41" s="21" t="s">
        <v>1099</v>
      </c>
      <c r="B41" s="21" t="s">
        <v>1100</v>
      </c>
      <c r="C41" s="21" t="s">
        <v>1172</v>
      </c>
      <c r="D41" s="21">
        <v>2</v>
      </c>
      <c r="E41" s="21" t="s">
        <v>1148</v>
      </c>
      <c r="F41" s="21" t="s">
        <v>1149</v>
      </c>
      <c r="G41" s="21" t="s">
        <v>1128</v>
      </c>
      <c r="H41" s="21" t="s">
        <v>1104</v>
      </c>
      <c r="I41" s="21" t="s">
        <v>1105</v>
      </c>
      <c r="J41" s="21" t="s">
        <v>1106</v>
      </c>
      <c r="K41" s="21" t="s">
        <v>1107</v>
      </c>
      <c r="L41" s="21" t="s">
        <v>1108</v>
      </c>
    </row>
    <row r="42" spans="1:12" ht="336">
      <c r="A42" s="21" t="s">
        <v>1099</v>
      </c>
      <c r="B42" s="21" t="s">
        <v>1100</v>
      </c>
      <c r="C42" s="21" t="s">
        <v>1173</v>
      </c>
      <c r="D42" s="21">
        <v>2</v>
      </c>
      <c r="E42" s="21" t="s">
        <v>1151</v>
      </c>
      <c r="F42" s="21" t="s">
        <v>1152</v>
      </c>
      <c r="G42" s="21" t="s">
        <v>1128</v>
      </c>
      <c r="H42" s="21" t="s">
        <v>1104</v>
      </c>
      <c r="I42" s="21" t="s">
        <v>1105</v>
      </c>
      <c r="J42" s="21" t="s">
        <v>1106</v>
      </c>
      <c r="K42" s="21" t="s">
        <v>1107</v>
      </c>
      <c r="L42" s="21" t="s">
        <v>1108</v>
      </c>
    </row>
    <row r="43" spans="1:12" ht="336">
      <c r="A43" s="21" t="s">
        <v>1099</v>
      </c>
      <c r="B43" s="21" t="s">
        <v>1100</v>
      </c>
      <c r="C43" s="21" t="s">
        <v>1174</v>
      </c>
      <c r="D43" s="21">
        <v>1</v>
      </c>
      <c r="E43" s="21" t="s">
        <v>1175</v>
      </c>
      <c r="F43" s="21" t="s">
        <v>1107</v>
      </c>
      <c r="G43" s="21" t="s">
        <v>1128</v>
      </c>
      <c r="H43" s="21" t="s">
        <v>1104</v>
      </c>
      <c r="I43" s="21" t="s">
        <v>1105</v>
      </c>
      <c r="J43" s="21" t="s">
        <v>1106</v>
      </c>
      <c r="K43" s="21" t="s">
        <v>1107</v>
      </c>
      <c r="L43" s="21" t="s">
        <v>1108</v>
      </c>
    </row>
    <row r="44" spans="1:12" ht="336">
      <c r="A44" s="21" t="s">
        <v>1099</v>
      </c>
      <c r="B44" s="21" t="s">
        <v>1100</v>
      </c>
      <c r="C44" s="21" t="s">
        <v>1176</v>
      </c>
      <c r="D44" s="21">
        <v>1</v>
      </c>
      <c r="E44" s="21" t="s">
        <v>1175</v>
      </c>
      <c r="F44" s="21" t="s">
        <v>1107</v>
      </c>
      <c r="G44" s="21" t="s">
        <v>1128</v>
      </c>
      <c r="H44" s="21" t="s">
        <v>1104</v>
      </c>
      <c r="I44" s="21" t="s">
        <v>1105</v>
      </c>
      <c r="J44" s="21" t="s">
        <v>1106</v>
      </c>
      <c r="K44" s="21" t="s">
        <v>1107</v>
      </c>
      <c r="L44" s="21" t="s">
        <v>1108</v>
      </c>
    </row>
    <row r="45" spans="1:12" ht="336">
      <c r="A45" s="21" t="s">
        <v>1099</v>
      </c>
      <c r="B45" s="21" t="s">
        <v>1100</v>
      </c>
      <c r="C45" s="21" t="s">
        <v>1177</v>
      </c>
      <c r="D45" s="21">
        <v>1</v>
      </c>
      <c r="E45" s="21" t="s">
        <v>1175</v>
      </c>
      <c r="F45" s="21" t="s">
        <v>1107</v>
      </c>
      <c r="G45" s="21" t="s">
        <v>1128</v>
      </c>
      <c r="H45" s="21" t="s">
        <v>1104</v>
      </c>
      <c r="I45" s="21" t="s">
        <v>1105</v>
      </c>
      <c r="J45" s="21" t="s">
        <v>1106</v>
      </c>
      <c r="K45" s="21" t="s">
        <v>1107</v>
      </c>
      <c r="L45" s="21" t="s">
        <v>1108</v>
      </c>
    </row>
    <row r="46" spans="1:12" ht="126">
      <c r="A46" s="21" t="s">
        <v>1099</v>
      </c>
      <c r="B46" s="21" t="s">
        <v>1100</v>
      </c>
      <c r="C46" s="21" t="s">
        <v>1178</v>
      </c>
      <c r="D46" s="21">
        <v>1</v>
      </c>
      <c r="E46" s="21" t="s">
        <v>1179</v>
      </c>
      <c r="F46" s="21" t="s">
        <v>1107</v>
      </c>
      <c r="G46" s="21" t="s">
        <v>1180</v>
      </c>
      <c r="H46" s="21" t="s">
        <v>1104</v>
      </c>
      <c r="I46" s="21" t="s">
        <v>1105</v>
      </c>
      <c r="J46" s="21" t="s">
        <v>1106</v>
      </c>
      <c r="K46" s="21" t="s">
        <v>1107</v>
      </c>
      <c r="L46" s="21" t="s">
        <v>1108</v>
      </c>
    </row>
    <row r="47" spans="1:12" ht="126">
      <c r="A47" s="21" t="s">
        <v>1099</v>
      </c>
      <c r="B47" s="21" t="s">
        <v>1100</v>
      </c>
      <c r="C47" s="21" t="s">
        <v>394</v>
      </c>
      <c r="D47" s="21">
        <v>4.43</v>
      </c>
      <c r="E47" s="21" t="s">
        <v>1181</v>
      </c>
      <c r="F47" s="21" t="s">
        <v>1182</v>
      </c>
      <c r="G47" s="21" t="s">
        <v>1183</v>
      </c>
      <c r="H47" s="21" t="s">
        <v>1104</v>
      </c>
      <c r="I47" s="21" t="s">
        <v>1105</v>
      </c>
      <c r="J47" s="21" t="s">
        <v>1106</v>
      </c>
      <c r="K47" s="21" t="s">
        <v>1107</v>
      </c>
      <c r="L47" s="21" t="s">
        <v>1108</v>
      </c>
    </row>
    <row r="48" spans="1:12" ht="126">
      <c r="A48" s="21" t="s">
        <v>1099</v>
      </c>
      <c r="B48" s="21" t="s">
        <v>1100</v>
      </c>
      <c r="C48" s="21" t="s">
        <v>277</v>
      </c>
      <c r="D48" s="21">
        <v>4.76</v>
      </c>
      <c r="E48" s="21" t="s">
        <v>1181</v>
      </c>
      <c r="F48" s="21" t="s">
        <v>1184</v>
      </c>
      <c r="G48" s="21" t="s">
        <v>1183</v>
      </c>
      <c r="H48" s="21" t="s">
        <v>1104</v>
      </c>
      <c r="I48" s="21" t="s">
        <v>1105</v>
      </c>
      <c r="J48" s="21" t="s">
        <v>1106</v>
      </c>
      <c r="K48" s="21" t="s">
        <v>1107</v>
      </c>
      <c r="L48" s="21" t="s">
        <v>1108</v>
      </c>
    </row>
    <row r="49" spans="1:12" ht="126">
      <c r="A49" s="21" t="s">
        <v>1099</v>
      </c>
      <c r="B49" s="21" t="s">
        <v>1100</v>
      </c>
      <c r="C49" s="21" t="s">
        <v>832</v>
      </c>
      <c r="D49" s="21">
        <v>4.67</v>
      </c>
      <c r="E49" s="21" t="s">
        <v>1185</v>
      </c>
      <c r="F49" s="21" t="s">
        <v>1186</v>
      </c>
      <c r="G49" s="21" t="s">
        <v>1183</v>
      </c>
      <c r="H49" s="21" t="s">
        <v>1104</v>
      </c>
      <c r="I49" s="21" t="s">
        <v>1105</v>
      </c>
      <c r="J49" s="21" t="s">
        <v>1106</v>
      </c>
      <c r="K49" s="21" t="s">
        <v>1107</v>
      </c>
      <c r="L49" s="21" t="s">
        <v>1108</v>
      </c>
    </row>
    <row r="50" spans="1:12" ht="126">
      <c r="A50" s="21" t="s">
        <v>1099</v>
      </c>
      <c r="B50" s="21" t="s">
        <v>1100</v>
      </c>
      <c r="C50" s="21" t="s">
        <v>1187</v>
      </c>
      <c r="D50" s="21">
        <v>1</v>
      </c>
      <c r="E50" s="21" t="s">
        <v>1188</v>
      </c>
      <c r="F50" s="21" t="s">
        <v>1107</v>
      </c>
      <c r="G50" s="21" t="s">
        <v>1189</v>
      </c>
      <c r="H50" s="21" t="s">
        <v>1104</v>
      </c>
      <c r="I50" s="21" t="s">
        <v>1105</v>
      </c>
      <c r="J50" s="21" t="s">
        <v>1106</v>
      </c>
      <c r="K50" s="21" t="s">
        <v>1107</v>
      </c>
      <c r="L50" s="21" t="s">
        <v>1190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7</vt:i4>
      </vt:variant>
    </vt:vector>
  </HeadingPairs>
  <TitlesOfParts>
    <vt:vector size="7" baseType="lpstr">
      <vt:lpstr>Species</vt:lpstr>
      <vt:lpstr>Commercial</vt:lpstr>
      <vt:lpstr>Functional</vt:lpstr>
      <vt:lpstr>Missing TL</vt:lpstr>
      <vt:lpstr>Validation</vt:lpstr>
      <vt:lpstr>Metadata</vt:lpstr>
      <vt:lpstr>EwE 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Ido Carmel</cp:lastModifiedBy>
  <dcterms:created xsi:type="dcterms:W3CDTF">2026-09-05T07:13:24Z</dcterms:created>
  <dcterms:modified xsi:type="dcterms:W3CDTF">2026-09-05T07:46:48Z</dcterms:modified>
</cp:coreProperties>
</file>