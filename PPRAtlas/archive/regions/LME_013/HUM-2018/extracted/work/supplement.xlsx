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autoCompressPictures="0"/>
  <mc:AlternateContent xmlns:mc="http://schemas.openxmlformats.org/markup-compatibility/2006">
    <mc:Choice Requires="x15">
      <x15ac:absPath xmlns:x15ac="http://schemas.microsoft.com/office/spreadsheetml/2010/11/ac" url="C:\Users\idoca\Desktop\אישי\אקדמיה\תואר שני\מחקר\BTN\קוד\PPR_Ecopath_Atlas\archive\regions\LME_013\HUM-2018\extracted\work\"/>
    </mc:Choice>
  </mc:AlternateContent>
  <xr:revisionPtr revIDLastSave="0" documentId="8_{10103A8A-75D5-47EA-A693-9ABB01B9FBA2}" xr6:coauthVersionLast="47" xr6:coauthVersionMax="47" xr10:uidLastSave="{00000000-0000-0000-0000-000000000000}"/>
  <bookViews>
    <workbookView xWindow="-3430" yWindow="-15340" windowWidth="14400" windowHeight="7270" tabRatio="816" firstSheet="10" activeTab="11" xr2:uid="{EFCED2BD-49F7-4A87-A139-EF9FB1EA8657}"/>
  </bookViews>
  <sheets>
    <sheet name="Index" sheetId="10" r:id="rId1"/>
    <sheet name="Table A-resolved parameters" sheetId="1" r:id="rId2"/>
    <sheet name="Table B-resolved diet" sheetId="3" r:id="rId3"/>
    <sheet name="Table C-resolved detritus fate" sheetId="5" r:id="rId4"/>
    <sheet name="Table D-resolved pedigree" sheetId="11" r:id="rId5"/>
    <sheet name="Table E-trophic aggregations" sheetId="2" r:id="rId6"/>
    <sheet name="Table F-aggregated diet" sheetId="7" r:id="rId7"/>
    <sheet name="Table G-aggregate detritus fate" sheetId="8" r:id="rId8"/>
    <sheet name="Table H-agg. production matrix" sheetId="9" r:id="rId9"/>
    <sheet name="Table I-aggregated pedigree" sheetId="15" r:id="rId10"/>
    <sheet name="Scenario I - Uncertainties" sheetId="16" r:id="rId11"/>
    <sheet name="Scenario II - Uncertainties" sheetId="17" r:id="rId1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7" l="1"/>
  <c r="E35" i="17"/>
  <c r="F35" i="17"/>
  <c r="L35" i="17"/>
  <c r="M35" i="17"/>
  <c r="N35" i="17"/>
  <c r="D36" i="17"/>
  <c r="E36" i="17"/>
  <c r="F36" i="17"/>
  <c r="L36" i="17"/>
  <c r="M36" i="17"/>
  <c r="N36" i="17"/>
  <c r="D37" i="17"/>
  <c r="E37" i="17"/>
  <c r="F37" i="17"/>
  <c r="L37" i="17"/>
  <c r="M37" i="17"/>
  <c r="N37" i="17"/>
  <c r="D38" i="17"/>
  <c r="E38" i="17"/>
  <c r="F38" i="17"/>
  <c r="L38" i="17"/>
  <c r="M38" i="17"/>
  <c r="N38" i="17"/>
  <c r="D39" i="17"/>
  <c r="E39" i="17"/>
  <c r="F39" i="17"/>
  <c r="L39" i="17"/>
  <c r="M39" i="17"/>
  <c r="N39" i="17"/>
  <c r="D40" i="17"/>
  <c r="E40" i="17"/>
  <c r="F40" i="17"/>
  <c r="L40" i="17"/>
  <c r="M40" i="17"/>
  <c r="N40" i="17"/>
  <c r="D41" i="17"/>
  <c r="E41" i="17"/>
  <c r="F41" i="17"/>
  <c r="L41" i="17"/>
  <c r="M41" i="17"/>
  <c r="N41" i="17"/>
  <c r="D42" i="17"/>
  <c r="E42" i="17"/>
  <c r="F42" i="17"/>
  <c r="L42" i="17"/>
  <c r="M42" i="17"/>
  <c r="N42" i="17"/>
  <c r="D43" i="17"/>
  <c r="E43" i="17"/>
  <c r="F43" i="17"/>
  <c r="L43" i="17"/>
  <c r="M43" i="17"/>
  <c r="N43" i="17"/>
  <c r="D44" i="17"/>
  <c r="E44" i="17"/>
  <c r="F44" i="17"/>
  <c r="L44" i="17"/>
  <c r="M44" i="17"/>
  <c r="N44" i="17"/>
  <c r="D45" i="17"/>
  <c r="E45" i="17"/>
  <c r="F45" i="17"/>
  <c r="L45" i="17"/>
  <c r="M45" i="17"/>
  <c r="N45" i="17"/>
  <c r="D46" i="17"/>
  <c r="E46" i="17"/>
  <c r="F46" i="17"/>
  <c r="L46" i="17"/>
  <c r="M46" i="17"/>
  <c r="N46" i="17"/>
  <c r="D47" i="17"/>
  <c r="E47" i="17"/>
  <c r="F47" i="17"/>
  <c r="L47" i="17"/>
  <c r="M47" i="17"/>
  <c r="N47" i="17"/>
  <c r="D48" i="17"/>
  <c r="E48" i="17"/>
  <c r="F48" i="17"/>
  <c r="L48" i="17"/>
  <c r="M48" i="17"/>
  <c r="N48" i="17"/>
  <c r="D49" i="17"/>
  <c r="E49" i="17"/>
  <c r="F49" i="17"/>
  <c r="L49" i="17"/>
  <c r="M49" i="17"/>
  <c r="N49" i="17"/>
  <c r="D35" i="16"/>
  <c r="E35" i="16"/>
  <c r="F35" i="16"/>
  <c r="L35" i="16"/>
  <c r="M35" i="16"/>
  <c r="N35" i="16"/>
  <c r="D36" i="16"/>
  <c r="E36" i="16"/>
  <c r="F36" i="16"/>
  <c r="L36" i="16"/>
  <c r="M36" i="16"/>
  <c r="N36" i="16"/>
  <c r="D37" i="16"/>
  <c r="E37" i="16"/>
  <c r="F37" i="16"/>
  <c r="L37" i="16"/>
  <c r="M37" i="16"/>
  <c r="N37" i="16"/>
  <c r="D38" i="16"/>
  <c r="E38" i="16"/>
  <c r="F38" i="16"/>
  <c r="L38" i="16"/>
  <c r="M38" i="16"/>
  <c r="N38" i="16"/>
  <c r="D39" i="16"/>
  <c r="E39" i="16"/>
  <c r="F39" i="16"/>
  <c r="L39" i="16"/>
  <c r="M39" i="16"/>
  <c r="N39" i="16"/>
  <c r="D40" i="16"/>
  <c r="E40" i="16"/>
  <c r="F40" i="16"/>
  <c r="L40" i="16"/>
  <c r="M40" i="16"/>
  <c r="N40" i="16"/>
  <c r="D41" i="16"/>
  <c r="E41" i="16"/>
  <c r="F41" i="16"/>
  <c r="L41" i="16"/>
  <c r="M41" i="16"/>
  <c r="N41" i="16"/>
  <c r="D42" i="16"/>
  <c r="E42" i="16"/>
  <c r="F42" i="16"/>
  <c r="L42" i="16"/>
  <c r="M42" i="16"/>
  <c r="N42" i="16"/>
  <c r="D43" i="16"/>
  <c r="E43" i="16"/>
  <c r="F43" i="16"/>
  <c r="L43" i="16"/>
  <c r="M43" i="16"/>
  <c r="N43" i="16"/>
  <c r="D44" i="16"/>
  <c r="E44" i="16"/>
  <c r="F44" i="16"/>
  <c r="L44" i="16"/>
  <c r="M44" i="16"/>
  <c r="N44" i="16"/>
  <c r="D45" i="16"/>
  <c r="E45" i="16"/>
  <c r="F45" i="16"/>
  <c r="L45" i="16"/>
  <c r="M45" i="16"/>
  <c r="N45" i="16"/>
  <c r="D46" i="16"/>
  <c r="E46" i="16"/>
  <c r="F46" i="16"/>
  <c r="L46" i="16"/>
  <c r="M46" i="16"/>
  <c r="N46" i="16"/>
  <c r="D47" i="16"/>
  <c r="E47" i="16"/>
  <c r="F47" i="16"/>
  <c r="L47" i="16"/>
  <c r="M47" i="16"/>
  <c r="N47" i="16"/>
  <c r="D48" i="16"/>
  <c r="E48" i="16"/>
  <c r="F48" i="16"/>
  <c r="L48" i="16"/>
  <c r="M48" i="16"/>
  <c r="N48" i="16"/>
  <c r="D49" i="16"/>
  <c r="E49" i="16"/>
  <c r="F49" i="16"/>
  <c r="L49" i="16"/>
  <c r="M49" i="16"/>
  <c r="N49" i="16"/>
</calcChain>
</file>

<file path=xl/sharedStrings.xml><?xml version="1.0" encoding="utf-8"?>
<sst xmlns="http://schemas.openxmlformats.org/spreadsheetml/2006/main" count="721" uniqueCount="171">
  <si>
    <t>Diatoms</t>
  </si>
  <si>
    <t>Microzooplankton</t>
  </si>
  <si>
    <t>Mesozooplankton</t>
  </si>
  <si>
    <t>Macrozooplankton</t>
  </si>
  <si>
    <t>Macrobenthos</t>
  </si>
  <si>
    <t>Horse mackerel</t>
  </si>
  <si>
    <t>Medium hake</t>
  </si>
  <si>
    <t>Flatfish</t>
  </si>
  <si>
    <t>Conger</t>
  </si>
  <si>
    <t>Catfish</t>
  </si>
  <si>
    <t>Chondrichthyans</t>
  </si>
  <si>
    <t>Seabirds</t>
  </si>
  <si>
    <t>Pinnipeds</t>
  </si>
  <si>
    <t>Cetaceans</t>
  </si>
  <si>
    <t>Anchovy eggs</t>
  </si>
  <si>
    <t>Gelatinous zooplankton</t>
  </si>
  <si>
    <t>Large jellyfish</t>
  </si>
  <si>
    <t>Sardine</t>
  </si>
  <si>
    <t xml:space="preserve">Anchovy </t>
  </si>
  <si>
    <t>Mesopelagic fish</t>
  </si>
  <si>
    <t>Jumbo squid</t>
  </si>
  <si>
    <t>Other cephalopods</t>
  </si>
  <si>
    <t>Other small pelagic fish</t>
  </si>
  <si>
    <t>Chub mackerel</t>
  </si>
  <si>
    <t>Other large pelagic fish</t>
  </si>
  <si>
    <t xml:space="preserve">Small hake </t>
  </si>
  <si>
    <t xml:space="preserve">Large hake </t>
  </si>
  <si>
    <t>Small demersal fish</t>
  </si>
  <si>
    <t>Benthic elasmobranchs</t>
  </si>
  <si>
    <t>Butter fishes</t>
  </si>
  <si>
    <t>Medium demersal fish</t>
  </si>
  <si>
    <t>Medium sciaenids</t>
  </si>
  <si>
    <t>Sea robin</t>
  </si>
  <si>
    <t>Green sea turtle</t>
  </si>
  <si>
    <t>Leatherback turtle</t>
  </si>
  <si>
    <t>Benthic detritus</t>
  </si>
  <si>
    <t>Commercial fisheries</t>
  </si>
  <si>
    <t>Landings</t>
  </si>
  <si>
    <t>Commercial</t>
  </si>
  <si>
    <t>Discards</t>
  </si>
  <si>
    <r>
      <t>t km</t>
    </r>
    <r>
      <rPr>
        <vertAlign val="superscript"/>
        <sz val="11"/>
        <color indexed="8"/>
        <rFont val="Arial"/>
        <family val="2"/>
      </rPr>
      <t>-2</t>
    </r>
    <r>
      <rPr>
        <sz val="11"/>
        <color indexed="8"/>
        <rFont val="Arial"/>
        <family val="2"/>
      </rPr>
      <t xml:space="preserve"> y</t>
    </r>
    <r>
      <rPr>
        <vertAlign val="superscript"/>
        <sz val="11"/>
        <color indexed="8"/>
        <rFont val="Arial"/>
        <family val="2"/>
      </rPr>
      <t>-1</t>
    </r>
  </si>
  <si>
    <r>
      <t>t km</t>
    </r>
    <r>
      <rPr>
        <vertAlign val="superscript"/>
        <sz val="11"/>
        <rFont val="Arial"/>
        <family val="2"/>
      </rPr>
      <t xml:space="preserve">-2 </t>
    </r>
    <r>
      <rPr>
        <sz val="11"/>
        <rFont val="Arial"/>
        <family val="2"/>
      </rPr>
      <t>y</t>
    </r>
    <r>
      <rPr>
        <vertAlign val="superscript"/>
        <sz val="11"/>
        <rFont val="Arial"/>
        <family val="2"/>
      </rPr>
      <t>-1</t>
    </r>
  </si>
  <si>
    <r>
      <t>y</t>
    </r>
    <r>
      <rPr>
        <vertAlign val="superscript"/>
        <sz val="11"/>
        <rFont val="Arial"/>
        <family val="2"/>
      </rPr>
      <t>-1</t>
    </r>
  </si>
  <si>
    <t>Functional group</t>
  </si>
  <si>
    <t>(fully resolved)</t>
  </si>
  <si>
    <t>Mesozooplakton</t>
  </si>
  <si>
    <t>Mesopelagics</t>
  </si>
  <si>
    <t>Cephalopods</t>
  </si>
  <si>
    <t xml:space="preserve">Seabirds </t>
  </si>
  <si>
    <t>Eggs</t>
  </si>
  <si>
    <t>Fisheries</t>
  </si>
  <si>
    <t>Large phytoplankton</t>
  </si>
  <si>
    <t>Small phytoplankton</t>
  </si>
  <si>
    <t>Small jellyfish</t>
  </si>
  <si>
    <t>Forage fish</t>
  </si>
  <si>
    <t>Pelagic planktivorous fish</t>
  </si>
  <si>
    <t>Pelagic piscivorous fish</t>
  </si>
  <si>
    <t>Demersal piscivorous fish</t>
  </si>
  <si>
    <t>Demersal planktivorous fish</t>
  </si>
  <si>
    <t>Demersal benthivorous fish</t>
  </si>
  <si>
    <t>Apex predatory fish</t>
  </si>
  <si>
    <t>Marine mammals</t>
  </si>
  <si>
    <t>Sea turtle</t>
  </si>
  <si>
    <t>Pelagic detritus</t>
  </si>
  <si>
    <t>Detritus offal</t>
  </si>
  <si>
    <t>Chrysaora plocamia</t>
  </si>
  <si>
    <t>Artisanal</t>
  </si>
  <si>
    <t>Dino/silicoflagellates</t>
  </si>
  <si>
    <t>Group</t>
  </si>
  <si>
    <t>code</t>
  </si>
  <si>
    <t>P/B</t>
  </si>
  <si>
    <t>B</t>
  </si>
  <si>
    <t>Q/B</t>
  </si>
  <si>
    <t>P/Q</t>
  </si>
  <si>
    <t>AE</t>
  </si>
  <si>
    <t>EE</t>
  </si>
  <si>
    <t>Code</t>
  </si>
  <si>
    <t>Aggregated</t>
  </si>
  <si>
    <t>NO3</t>
  </si>
  <si>
    <t>Pelagic NH4</t>
  </si>
  <si>
    <t>Benthic NH4</t>
  </si>
  <si>
    <t>pelagic NH4</t>
  </si>
  <si>
    <t>benthic NH4</t>
  </si>
  <si>
    <t>Functional groups</t>
  </si>
  <si>
    <t>Artisanal fisheries</t>
  </si>
  <si>
    <t>DIETS</t>
  </si>
  <si>
    <t>Import</t>
  </si>
  <si>
    <t>Export</t>
  </si>
  <si>
    <t>Consumer (c)</t>
  </si>
  <si>
    <t>Feces fate</t>
  </si>
  <si>
    <t>Senescence</t>
  </si>
  <si>
    <t>Surface</t>
  </si>
  <si>
    <t>Sub-surface</t>
  </si>
  <si>
    <t>Subsurface</t>
  </si>
  <si>
    <t>Producer (p)</t>
  </si>
  <si>
    <r>
      <t>NH</t>
    </r>
    <r>
      <rPr>
        <vertAlign val="subscript"/>
        <sz val="11"/>
        <color indexed="8"/>
        <rFont val="Arial"/>
        <family val="2"/>
      </rPr>
      <t>4</t>
    </r>
    <r>
      <rPr>
        <vertAlign val="superscript"/>
        <sz val="11"/>
        <color indexed="8"/>
        <rFont val="Arial"/>
        <family val="2"/>
      </rPr>
      <t>+</t>
    </r>
    <r>
      <rPr>
        <sz val="11"/>
        <color indexed="8"/>
        <rFont val="Arial"/>
        <family val="2"/>
      </rPr>
      <t xml:space="preserve"> excretion</t>
    </r>
  </si>
  <si>
    <t>diet</t>
  </si>
  <si>
    <t>Fishery offal</t>
  </si>
  <si>
    <t>PB</t>
  </si>
  <si>
    <t>QB</t>
  </si>
  <si>
    <t>Fish eggs</t>
  </si>
  <si>
    <r>
      <t>Table A.</t>
    </r>
    <r>
      <rPr>
        <sz val="11"/>
        <color indexed="8"/>
        <rFont val="Arial"/>
        <family val="2"/>
      </rPr>
      <t xml:space="preserve"> Fully resolved, balanced ECOPATH model parameterization for the Northern Humboldt Current System (NHCS). Values estimated by the model are shown in bold.</t>
    </r>
  </si>
  <si>
    <t>mean</t>
  </si>
  <si>
    <t>CV</t>
  </si>
  <si>
    <t>decreased by 0.1X</t>
  </si>
  <si>
    <t>increased by 10X</t>
  </si>
  <si>
    <r>
      <rPr>
        <b/>
        <sz val="11"/>
        <color indexed="8"/>
        <rFont val="Arial"/>
        <family val="2"/>
      </rPr>
      <t>DEFAULT</t>
    </r>
    <r>
      <rPr>
        <sz val="11"/>
        <color indexed="8"/>
        <rFont val="Arial"/>
        <family val="2"/>
      </rPr>
      <t xml:space="preserve"> pedigree</t>
    </r>
  </si>
  <si>
    <r>
      <rPr>
        <b/>
        <sz val="11"/>
        <color indexed="8"/>
        <rFont val="Arial"/>
        <family val="2"/>
      </rPr>
      <t>BIOMASS</t>
    </r>
    <r>
      <rPr>
        <sz val="11"/>
        <color indexed="8"/>
        <rFont val="Arial"/>
        <family val="2"/>
      </rPr>
      <t xml:space="preserve"> uncertainty</t>
    </r>
  </si>
  <si>
    <r>
      <rPr>
        <b/>
        <sz val="11"/>
        <color indexed="8"/>
        <rFont val="Arial"/>
        <family val="2"/>
      </rPr>
      <t>GROWTH EFFICIENCY</t>
    </r>
    <r>
      <rPr>
        <sz val="11"/>
        <color indexed="8"/>
        <rFont val="Arial"/>
        <family val="2"/>
      </rPr>
      <t xml:space="preserve"> uncertainty</t>
    </r>
  </si>
  <si>
    <r>
      <rPr>
        <b/>
        <sz val="11"/>
        <color indexed="8"/>
        <rFont val="Arial"/>
        <family val="2"/>
      </rPr>
      <t>DIET</t>
    </r>
    <r>
      <rPr>
        <sz val="11"/>
        <color indexed="8"/>
        <rFont val="Arial"/>
        <family val="2"/>
      </rPr>
      <t xml:space="preserve"> uncertainty</t>
    </r>
  </si>
  <si>
    <t>In this alternate uncertainty analysis, scenarios were re-run with the uncertainty of biomass, growth efficiency (P/Q), and diet terms each separately decreased by a factor of 0.1 and then run with uncertainties increased by a factor of 10.</t>
  </si>
  <si>
    <t>Increased jellyfish biomass scenario re-run under different assumptions of parameter uncertainty. Jellyfish biomass was increased by 50% and results are reported as the mean and coefficient of variation (CV) of the relative change in production (fractional change = (Pscenario model - Pbase model) / Pbase model) of 1000 randomly generated models.</t>
  </si>
  <si>
    <t>Increased forage fish biomass scenario re-run under different assumptions of parameter uncertainty. Forage fish biomass was increased by 50% and results are reported as the mean and coefficient of variation (CV) of the relative change in production (fractional change = (Pscenario model - Pbase model) / Pbase model) of 1000 randomly generated models.</t>
  </si>
  <si>
    <t>(scroll down for figures)</t>
  </si>
  <si>
    <t>BIOMASS</t>
  </si>
  <si>
    <t>DIET</t>
  </si>
  <si>
    <t>To summarize differences under alternate levels of uncertainty, we looked at the change in the mean scenario effect and the spread of scenario effects as the ratio of the high uncertainty run to the low uncertainty run (ratios of mean effect and spread of effects under 10X increased uncertainty / 0.1X decreased uncertainty)</t>
  </si>
  <si>
    <t>Change in MEAN effect (10X increased uncertainty / 0.1X decreased uncertainty)</t>
  </si>
  <si>
    <t>Changes of 0.5 or greater are highlighted. Decreased mean effects under higher uncertainty are in red. Increased mean effects under higher uncertainty are in green.</t>
  </si>
  <si>
    <t>Change in SPREAD effect (10X increased uncertainty / 0.1X decreased uncertainty)</t>
  </si>
  <si>
    <t>The main reason for the reduced mean effect under greater uncertainty is that a greater fraction of the 1000 Monte Carlo models could not support the full targeted 1.5X increase in jellyfish or in forage fish biomasses.</t>
  </si>
  <si>
    <t>Increased uncertainty generally reduced the scale of the mean scenario effect but increased the spread of the scenario effect.</t>
  </si>
  <si>
    <t>The system was generally more sensitive to uncertainty in growth efficiency (P/Q) than to uncertainty in biomass or uncertainty in diet.</t>
  </si>
  <si>
    <r>
      <rPr>
        <b/>
        <sz val="11"/>
        <rFont val="Arial"/>
        <family val="2"/>
      </rPr>
      <t>Table B.</t>
    </r>
    <r>
      <rPr>
        <sz val="11"/>
        <rFont val="Arial"/>
        <family val="2"/>
      </rPr>
      <t xml:space="preserve"> Diet composition matrix for the fully resolved NHCS ECOPATH model. Prey are defined down rows and predators are defined across columns.</t>
    </r>
  </si>
  <si>
    <r>
      <rPr>
        <b/>
        <sz val="11"/>
        <color indexed="8"/>
        <rFont val="Arial"/>
        <family val="2"/>
      </rPr>
      <t xml:space="preserve">Table C. </t>
    </r>
    <r>
      <rPr>
        <sz val="11"/>
        <color indexed="8"/>
        <rFont val="Arial"/>
        <family val="2"/>
      </rPr>
      <t>Detritus fates for each functional group in the fully resolved NHCS ECOPATH model.</t>
    </r>
  </si>
  <si>
    <t>(resolved model)</t>
  </si>
  <si>
    <t>(aggregated model)</t>
  </si>
  <si>
    <r>
      <rPr>
        <b/>
        <sz val="11"/>
        <color indexed="8"/>
        <rFont val="Arial"/>
        <family val="2"/>
      </rPr>
      <t>Table H</t>
    </r>
    <r>
      <rPr>
        <sz val="11"/>
        <color indexed="8"/>
        <rFont val="Arial"/>
        <family val="2"/>
      </rPr>
      <t>. Feces and senescence detritus and excretion fates (surface or sub-surface pools) in the aggregated ECOTRAN model</t>
    </r>
  </si>
  <si>
    <t>surface NH4</t>
  </si>
  <si>
    <t>sub-surface NH4</t>
  </si>
  <si>
    <r>
      <rPr>
        <b/>
        <sz val="11"/>
        <color indexed="8"/>
        <rFont val="Arial"/>
        <family val="2"/>
      </rPr>
      <t>Table I</t>
    </r>
    <r>
      <rPr>
        <sz val="11"/>
        <color indexed="8"/>
        <rFont val="Arial"/>
        <family val="2"/>
      </rPr>
      <t>. Production matrix (</t>
    </r>
    <r>
      <rPr>
        <i/>
        <sz val="11"/>
        <color indexed="8"/>
        <rFont val="Arial"/>
      </rPr>
      <t>Acp</t>
    </r>
    <r>
      <rPr>
        <sz val="11"/>
        <color indexed="8"/>
        <rFont val="Arial"/>
        <family val="2"/>
      </rPr>
      <t>) for the aggregated ECOTRAN model</t>
    </r>
  </si>
  <si>
    <r>
      <rPr>
        <b/>
        <sz val="11"/>
        <color indexed="8"/>
        <rFont val="Arial"/>
        <family val="2"/>
      </rPr>
      <t>Table E</t>
    </r>
    <r>
      <rPr>
        <sz val="11"/>
        <color indexed="8"/>
        <rFont val="Arial"/>
        <family val="2"/>
      </rPr>
      <t>. Trophic aggregation of functional groups in the aggregated model.</t>
    </r>
  </si>
  <si>
    <r>
      <rPr>
        <b/>
        <sz val="11"/>
        <rFont val="Arial"/>
        <family val="2"/>
      </rPr>
      <t>Table G.</t>
    </r>
    <r>
      <rPr>
        <sz val="11"/>
        <rFont val="Arial"/>
        <family val="2"/>
      </rPr>
      <t xml:space="preserve"> Diet composition for the aggregated NHCS model. Prey are defined down rows and predators are defined across columns.</t>
    </r>
  </si>
  <si>
    <r>
      <rPr>
        <b/>
        <sz val="11"/>
        <rFont val="Arial"/>
        <family val="2"/>
      </rPr>
      <t>Table B.</t>
    </r>
    <r>
      <rPr>
        <sz val="11"/>
        <rFont val="Arial"/>
        <family val="2"/>
      </rPr>
      <t xml:space="preserve"> Diet composition for the fully resolved NHCS model.</t>
    </r>
  </si>
  <si>
    <r>
      <rPr>
        <b/>
        <sz val="11"/>
        <color indexed="8"/>
        <rFont val="Arial"/>
        <family val="2"/>
      </rPr>
      <t>Table D</t>
    </r>
    <r>
      <rPr>
        <sz val="11"/>
        <color indexed="8"/>
        <rFont val="Arial"/>
        <family val="2"/>
      </rPr>
      <t>. Fully resolved model parameter uncertainty pedigree for the Northern Humboldt Current System (NHCS).</t>
    </r>
  </si>
  <si>
    <r>
      <rPr>
        <b/>
        <sz val="11"/>
        <color indexed="8"/>
        <rFont val="Arial"/>
        <family val="2"/>
      </rPr>
      <t>Table D</t>
    </r>
    <r>
      <rPr>
        <sz val="11"/>
        <color indexed="8"/>
        <rFont val="Arial"/>
        <family val="2"/>
      </rPr>
      <t>. Fully resolved model parameter uncertainty pedigree for the Northern Humboldt Current System (NHCS). Values are Coefficients of Variation (CV).</t>
    </r>
  </si>
  <si>
    <r>
      <rPr>
        <b/>
        <sz val="11"/>
        <color indexed="8"/>
        <rFont val="Arial"/>
        <family val="2"/>
      </rPr>
      <t>Table J</t>
    </r>
    <r>
      <rPr>
        <sz val="11"/>
        <color indexed="8"/>
        <rFont val="Arial"/>
        <family val="2"/>
      </rPr>
      <t>. Aggregated model parameter uncertainty pedigree for the Northern Humboldt Current System (NHCS). Values are Coefficients of Variation (CV).</t>
    </r>
  </si>
  <si>
    <r>
      <rPr>
        <b/>
        <sz val="11"/>
        <color indexed="8"/>
        <rFont val="Arial"/>
        <family val="2"/>
      </rPr>
      <t>Scenario 1</t>
    </r>
    <r>
      <rPr>
        <sz val="11"/>
        <color indexed="8"/>
        <rFont val="Arial"/>
        <family val="2"/>
      </rPr>
      <t xml:space="preserve"> run under alternate uncertainty levels</t>
    </r>
  </si>
  <si>
    <r>
      <rPr>
        <b/>
        <sz val="11"/>
        <color indexed="8"/>
        <rFont val="Arial"/>
        <family val="2"/>
      </rPr>
      <t>Scenario 2</t>
    </r>
    <r>
      <rPr>
        <sz val="11"/>
        <color indexed="8"/>
        <rFont val="Arial"/>
        <family val="2"/>
      </rPr>
      <t xml:space="preserve"> run under alternate uncertainty levels</t>
    </r>
  </si>
  <si>
    <r>
      <rPr>
        <b/>
        <sz val="11"/>
        <rFont val="Arial"/>
        <family val="2"/>
      </rPr>
      <t>Table F.</t>
    </r>
    <r>
      <rPr>
        <sz val="11"/>
        <rFont val="Arial"/>
        <family val="2"/>
      </rPr>
      <t xml:space="preserve"> Diet composition for the aggregated NHCS model.</t>
    </r>
  </si>
  <si>
    <r>
      <rPr>
        <b/>
        <sz val="11"/>
        <color indexed="8"/>
        <rFont val="Arial"/>
        <family val="2"/>
      </rPr>
      <t>Table G</t>
    </r>
    <r>
      <rPr>
        <sz val="11"/>
        <color indexed="8"/>
        <rFont val="Arial"/>
        <family val="2"/>
      </rPr>
      <t>. Feces and senescence detritus and excretion fates (surface or sub-surface pools) in the aggregated ECOTRAN model</t>
    </r>
  </si>
  <si>
    <r>
      <rPr>
        <b/>
        <sz val="11"/>
        <color indexed="8"/>
        <rFont val="Arial"/>
        <family val="2"/>
      </rPr>
      <t>Table H</t>
    </r>
    <r>
      <rPr>
        <sz val="11"/>
        <color indexed="8"/>
        <rFont val="Arial"/>
        <family val="2"/>
      </rPr>
      <t>. Production matrix (</t>
    </r>
    <r>
      <rPr>
        <i/>
        <sz val="11"/>
        <color indexed="8"/>
        <rFont val="Arial"/>
      </rPr>
      <t>Acp</t>
    </r>
    <r>
      <rPr>
        <sz val="11"/>
        <color indexed="8"/>
        <rFont val="Arial"/>
        <family val="2"/>
      </rPr>
      <t>) for the aggregated ECOTRAN model</t>
    </r>
  </si>
  <si>
    <r>
      <rPr>
        <b/>
        <sz val="11"/>
        <color indexed="8"/>
        <rFont val="Arial"/>
        <family val="2"/>
      </rPr>
      <t>Table I</t>
    </r>
    <r>
      <rPr>
        <sz val="11"/>
        <color indexed="8"/>
        <rFont val="Arial"/>
        <family val="2"/>
      </rPr>
      <t>. Aggregated model parameter uncertainty pedigree for the Northern Humboldt Current System (NHCS).</t>
    </r>
  </si>
  <si>
    <t>Models were randomly generated by drawing from a normal distribution about each element of the ECOTRAN production matrix. The level of uncertainty about each production matrix element is calculated from the uncertainty of each parameter (biomass, P/B, P/Q, AE, diet, landings, and discards) defined in the model pedigree (Table J).</t>
  </si>
  <si>
    <t>Fig. 1. Scenario I</t>
  </si>
  <si>
    <t xml:space="preserve">Fig. 2. Scenario I. </t>
  </si>
  <si>
    <t xml:space="preserve">Fig. 3. Scenario I. </t>
  </si>
  <si>
    <t>Biomass uncertainty scaled by 0.1X.</t>
  </si>
  <si>
    <t>Biomass uncertainty scaled by 10X</t>
  </si>
  <si>
    <t xml:space="preserve">Fig. 4. Scenario I. </t>
  </si>
  <si>
    <t xml:space="preserve">Fig. 5. Scenario I </t>
  </si>
  <si>
    <t xml:space="preserve">Fig. 6. Scenario I. </t>
  </si>
  <si>
    <t>Growth efficiency (P/Q) uncertainty scaled by 0.1X.</t>
  </si>
  <si>
    <t>Growth efficiency (P/Q) uncertainty scaled by 10X.</t>
  </si>
  <si>
    <t>Diet uncertainty scaled by 0.1X.</t>
  </si>
  <si>
    <t xml:space="preserve">Fig. 7. Scenario I. </t>
  </si>
  <si>
    <t xml:space="preserve"> Diet uncertainty scaled by 10X.</t>
  </si>
  <si>
    <t xml:space="preserve">Fig. 1. Scenario II </t>
  </si>
  <si>
    <t xml:space="preserve">Fig. 2. Scenario II </t>
  </si>
  <si>
    <t xml:space="preserve">Fig. 3. Scenario II </t>
  </si>
  <si>
    <t>Biomass uncertainty scaled by 0.1X</t>
  </si>
  <si>
    <t xml:space="preserve">Fig. 4.  Scenario II </t>
  </si>
  <si>
    <t xml:space="preserve">Fig. 5. Scenario II </t>
  </si>
  <si>
    <t xml:space="preserve">Fig. 6. Scenario II </t>
  </si>
  <si>
    <t>Growth efficiency (P/Q) uncertainty scaled by 0.1X</t>
  </si>
  <si>
    <t>Growth efficiency (P/Q) uncertainty scaled by 10X</t>
  </si>
  <si>
    <t>Diet uncertainty scaled by 0.1X</t>
  </si>
  <si>
    <t xml:space="preserve">Fig. 7. Scenario II </t>
  </si>
  <si>
    <t>Diet uncertainty scaled by 10X</t>
  </si>
  <si>
    <t>Uncertainty levels as defined in data pedigree (Table I).</t>
  </si>
  <si>
    <t>Uncertainty levels as defined in data pedigree (Table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</si>
</sst>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27" x14ac:knownFonts="1">
    <font>
      <sz val="11"/>
      <color theme="1"/>
      <name val="Arial"/>
      <family val="2"/>
      <scheme val="minor"/>
    </font>
    <font>
      <sz val="11"/>
      <color indexed="8"/>
      <name val="Arial"/>
      <family val="2"/>
    </font>
    <font>
      <vertAlign val="superscript"/>
      <sz val="11"/>
      <color indexed="8"/>
      <name val="Arial"/>
      <family val="2"/>
    </font>
    <font>
      <sz val="11"/>
      <name val="Arial"/>
      <family val="2"/>
    </font>
    <font>
      <vertAlign val="superscript"/>
      <sz val="11"/>
      <name val="Arial"/>
      <family val="2"/>
    </font>
    <font>
      <i/>
      <sz val="11"/>
      <name val="Arial"/>
      <family val="2"/>
    </font>
    <font>
      <sz val="10"/>
      <name val="Arial"/>
      <family val="2"/>
    </font>
    <font>
      <sz val="9"/>
      <name val="Arial"/>
      <family val="2"/>
    </font>
    <font>
      <i/>
      <sz val="10"/>
      <name val="Arial"/>
      <family val="2"/>
    </font>
    <font>
      <b/>
      <sz val="11"/>
      <color indexed="8"/>
      <name val="Arial"/>
      <family val="2"/>
    </font>
    <font>
      <b/>
      <sz val="9"/>
      <name val="Arial"/>
      <family val="2"/>
    </font>
    <font>
      <b/>
      <sz val="11"/>
      <name val="Arial"/>
      <family val="2"/>
    </font>
    <font>
      <b/>
      <sz val="10"/>
      <name val="Arial"/>
      <family val="2"/>
    </font>
    <font>
      <vertAlign val="subscript"/>
      <sz val="11"/>
      <color indexed="8"/>
      <name val="Arial"/>
      <family val="2"/>
    </font>
    <font>
      <i/>
      <sz val="11"/>
      <color indexed="8"/>
      <name val="Arial"/>
    </font>
    <font>
      <sz val="11"/>
      <color theme="1"/>
      <name val="Arial"/>
      <family val="2"/>
    </font>
    <font>
      <b/>
      <sz val="9"/>
      <color rgb="FFFF0000"/>
      <name val="Arial"/>
      <family val="2"/>
    </font>
    <font>
      <sz val="11"/>
      <color rgb="FF000000"/>
      <name val="Arial"/>
      <family val="2"/>
      <scheme val="minor"/>
    </font>
    <font>
      <sz val="10"/>
      <name val="Arial"/>
      <family val="2"/>
      <scheme val="minor"/>
    </font>
    <font>
      <b/>
      <sz val="11"/>
      <color theme="1"/>
      <name val="Arial"/>
      <family val="2"/>
    </font>
    <font>
      <sz val="9"/>
      <color theme="1"/>
      <name val="Arial"/>
      <family val="2"/>
    </font>
    <font>
      <sz val="11"/>
      <name val="Arial"/>
      <family val="2"/>
      <scheme val="minor"/>
    </font>
    <font>
      <sz val="10"/>
      <color theme="1"/>
      <name val="Arial"/>
      <family val="2"/>
    </font>
    <font>
      <sz val="11"/>
      <color rgb="FF000000"/>
      <name val="Arial"/>
      <family val="2"/>
    </font>
    <font>
      <i/>
      <sz val="11"/>
      <color theme="1"/>
      <name val="Arial"/>
    </font>
    <font>
      <sz val="12"/>
      <color theme="1"/>
      <name val="Times New Roman"/>
      <family val="1"/>
    </font>
    <font>
      <b/>
      <sz val="12"/>
      <color theme="1"/>
      <name val="Times New Roman"/>
      <family val="1"/>
    </font>
  </fonts>
  <fills count="4">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s>
  <borders count="5">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s>
  <cellStyleXfs count="1">
    <xf numFmtId="0" fontId="0" fillId="0" borderId="0"/>
  </cellStyleXfs>
  <cellXfs count="121">
    <xf numFmtId="0" fontId="0" fillId="0" borderId="0" xfId="0"/>
    <xf numFmtId="0" fontId="15" fillId="0" borderId="0" xfId="0" applyFont="1" applyAlignment="1">
      <alignment horizontal="center"/>
    </xf>
    <xf numFmtId="0" fontId="15" fillId="0" borderId="0" xfId="0" applyFont="1" applyFill="1" applyAlignment="1">
      <alignment horizontal="center"/>
    </xf>
    <xf numFmtId="0" fontId="10" fillId="0" borderId="0" xfId="0" applyFont="1" applyFill="1"/>
    <xf numFmtId="0" fontId="7" fillId="0" borderId="0" xfId="0" applyFont="1" applyFill="1"/>
    <xf numFmtId="165" fontId="7" fillId="0" borderId="0" xfId="0" applyNumberFormat="1" applyFont="1" applyFill="1"/>
    <xf numFmtId="165" fontId="10" fillId="0" borderId="0" xfId="0" applyNumberFormat="1" applyFont="1" applyFill="1"/>
    <xf numFmtId="2" fontId="10" fillId="0" borderId="0" xfId="0" applyNumberFormat="1" applyFont="1" applyFill="1"/>
    <xf numFmtId="2" fontId="7" fillId="0" borderId="0" xfId="0" applyNumberFormat="1" applyFont="1" applyFill="1"/>
    <xf numFmtId="0" fontId="16" fillId="0" borderId="0" xfId="0" applyFont="1" applyFill="1"/>
    <xf numFmtId="0" fontId="0" fillId="0" borderId="0" xfId="0" applyFill="1" applyBorder="1" applyAlignment="1">
      <alignment horizontal="center"/>
    </xf>
    <xf numFmtId="0" fontId="17" fillId="0" borderId="0" xfId="0" applyFont="1" applyFill="1" applyBorder="1" applyAlignment="1">
      <alignment horizontal="center" vertical="center"/>
    </xf>
    <xf numFmtId="0" fontId="18" fillId="0" borderId="0" xfId="0" applyFont="1" applyFill="1" applyAlignment="1">
      <alignment horizontal="center"/>
    </xf>
    <xf numFmtId="0" fontId="0" fillId="0" borderId="0" xfId="0" applyFont="1" applyFill="1" applyBorder="1" applyAlignment="1">
      <alignment horizontal="center" vertical="center"/>
    </xf>
    <xf numFmtId="0" fontId="0" fillId="0" borderId="0" xfId="0" applyNumberFormat="1" applyFont="1" applyAlignment="1">
      <alignment horizontal="center"/>
    </xf>
    <xf numFmtId="0" fontId="0" fillId="0" borderId="0" xfId="0" applyNumberFormat="1" applyFont="1" applyFill="1" applyAlignment="1">
      <alignment horizontal="center"/>
    </xf>
    <xf numFmtId="0" fontId="0" fillId="0" borderId="0" xfId="0" applyNumberFormat="1" applyFill="1" applyAlignment="1">
      <alignment horizontal="center"/>
    </xf>
    <xf numFmtId="0" fontId="19" fillId="0" borderId="0" xfId="0" applyFont="1" applyFill="1" applyAlignment="1">
      <alignment horizontal="center"/>
    </xf>
    <xf numFmtId="0" fontId="15" fillId="0" borderId="0" xfId="0" applyFont="1" applyFill="1" applyAlignment="1">
      <alignment vertical="center"/>
    </xf>
    <xf numFmtId="0" fontId="15" fillId="0" borderId="0" xfId="0" applyFont="1" applyFill="1" applyBorder="1" applyAlignment="1">
      <alignment horizontal="center" vertical="center"/>
    </xf>
    <xf numFmtId="0" fontId="15" fillId="0" borderId="1" xfId="0" applyFont="1" applyFill="1" applyBorder="1" applyAlignment="1">
      <alignment horizontal="center" vertical="center"/>
    </xf>
    <xf numFmtId="0" fontId="15" fillId="0" borderId="2"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2" fontId="15" fillId="0" borderId="0" xfId="0" applyNumberFormat="1" applyFont="1" applyFill="1" applyBorder="1" applyAlignment="1">
      <alignment horizontal="center" vertical="center"/>
    </xf>
    <xf numFmtId="0" fontId="5"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0" fillId="0" borderId="0" xfId="0" applyAlignment="1">
      <alignment horizontal="center"/>
    </xf>
    <xf numFmtId="2" fontId="0" fillId="0" borderId="0" xfId="0" applyNumberFormat="1" applyFill="1" applyAlignment="1">
      <alignment horizontal="center"/>
    </xf>
    <xf numFmtId="2" fontId="0" fillId="0" borderId="0" xfId="0" applyNumberFormat="1" applyAlignment="1">
      <alignment horizontal="center"/>
    </xf>
    <xf numFmtId="2" fontId="0" fillId="0" borderId="0" xfId="0" applyNumberFormat="1" applyFont="1" applyAlignment="1">
      <alignment horizontal="center"/>
    </xf>
    <xf numFmtId="0" fontId="15" fillId="0" borderId="0" xfId="0" applyFont="1" applyFill="1" applyBorder="1" applyAlignment="1">
      <alignment horizontal="left" vertical="center"/>
    </xf>
    <xf numFmtId="0" fontId="5" fillId="0" borderId="0" xfId="0" applyFont="1" applyFill="1" applyBorder="1" applyAlignment="1">
      <alignment horizontal="left" vertical="center"/>
    </xf>
    <xf numFmtId="0" fontId="3" fillId="0" borderId="0" xfId="0" applyFont="1" applyFill="1" applyBorder="1" applyAlignment="1">
      <alignment horizontal="left" vertical="center"/>
    </xf>
    <xf numFmtId="0" fontId="15" fillId="0" borderId="0" xfId="0" applyFont="1" applyFill="1" applyAlignment="1">
      <alignment horizontal="left" vertical="center"/>
    </xf>
    <xf numFmtId="0" fontId="15" fillId="0" borderId="1" xfId="0" applyFont="1" applyFill="1" applyBorder="1" applyAlignment="1">
      <alignment horizontal="center"/>
    </xf>
    <xf numFmtId="0" fontId="3" fillId="0" borderId="1" xfId="0" applyFont="1" applyFill="1" applyBorder="1" applyAlignment="1">
      <alignment horizontal="center"/>
    </xf>
    <xf numFmtId="0" fontId="15" fillId="0" borderId="2" xfId="0" applyFont="1" applyFill="1" applyBorder="1" applyAlignment="1">
      <alignment horizontal="center"/>
    </xf>
    <xf numFmtId="0" fontId="3" fillId="0" borderId="2" xfId="0" applyFont="1" applyFill="1" applyBorder="1" applyAlignment="1">
      <alignment horizontal="center"/>
    </xf>
    <xf numFmtId="0" fontId="15" fillId="0" borderId="0" xfId="0" applyFont="1" applyFill="1" applyAlignment="1">
      <alignment horizontal="left"/>
    </xf>
    <xf numFmtId="0" fontId="3" fillId="0" borderId="0" xfId="0" applyFont="1" applyFill="1" applyAlignment="1">
      <alignment horizontal="left"/>
    </xf>
    <xf numFmtId="0" fontId="3" fillId="0" borderId="0" xfId="0" applyFont="1" applyFill="1" applyAlignment="1">
      <alignment horizontal="center"/>
    </xf>
    <xf numFmtId="0" fontId="3" fillId="0" borderId="2" xfId="0" applyFont="1" applyFill="1" applyBorder="1" applyAlignment="1">
      <alignment horizontal="left"/>
    </xf>
    <xf numFmtId="0" fontId="20" fillId="0" borderId="0" xfId="0" applyNumberFormat="1" applyFont="1" applyFill="1" applyAlignment="1">
      <alignment horizontal="center"/>
    </xf>
    <xf numFmtId="0" fontId="21" fillId="0" borderId="0" xfId="0" applyFont="1" applyFill="1" applyAlignment="1">
      <alignment wrapText="1"/>
    </xf>
    <xf numFmtId="0" fontId="6" fillId="0" borderId="2" xfId="0" applyFont="1" applyFill="1" applyBorder="1"/>
    <xf numFmtId="0" fontId="20" fillId="0" borderId="2" xfId="0" applyNumberFormat="1" applyFont="1" applyFill="1" applyBorder="1" applyAlignment="1">
      <alignment horizontal="center"/>
    </xf>
    <xf numFmtId="0" fontId="0" fillId="0" borderId="2" xfId="0" applyNumberFormat="1" applyFont="1" applyFill="1" applyBorder="1" applyAlignment="1">
      <alignment horizontal="center"/>
    </xf>
    <xf numFmtId="0" fontId="12" fillId="0" borderId="3" xfId="0" applyFont="1" applyFill="1" applyBorder="1"/>
    <xf numFmtId="0" fontId="6" fillId="0" borderId="3" xfId="0" applyFont="1" applyFill="1" applyBorder="1" applyAlignment="1">
      <alignment horizontal="center"/>
    </xf>
    <xf numFmtId="0" fontId="8" fillId="0" borderId="3" xfId="0" applyFont="1" applyFill="1" applyBorder="1" applyAlignment="1">
      <alignment horizontal="center"/>
    </xf>
    <xf numFmtId="165" fontId="6" fillId="0" borderId="3" xfId="0" applyNumberFormat="1" applyFont="1" applyFill="1" applyBorder="1" applyAlignment="1">
      <alignment horizontal="center"/>
    </xf>
    <xf numFmtId="0" fontId="17" fillId="0" borderId="2"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2" xfId="0" applyNumberFormat="1" applyFill="1" applyBorder="1" applyAlignment="1">
      <alignment horizontal="center"/>
    </xf>
    <xf numFmtId="0" fontId="15" fillId="0" borderId="0" xfId="0" applyFont="1" applyFill="1"/>
    <xf numFmtId="0" fontId="22" fillId="0" borderId="0" xfId="0" applyFont="1" applyFill="1" applyAlignment="1">
      <alignment horizontal="center"/>
    </xf>
    <xf numFmtId="0" fontId="22" fillId="0" borderId="3" xfId="0" applyFont="1" applyFill="1" applyBorder="1" applyAlignment="1">
      <alignment horizontal="center"/>
    </xf>
    <xf numFmtId="0" fontId="0" fillId="0" borderId="0" xfId="0" applyFill="1" applyAlignment="1">
      <alignment horizontal="center"/>
    </xf>
    <xf numFmtId="0" fontId="22" fillId="0" borderId="2" xfId="0" applyFont="1" applyFill="1" applyBorder="1" applyAlignment="1">
      <alignment horizontal="center"/>
    </xf>
    <xf numFmtId="0" fontId="0" fillId="0" borderId="2" xfId="0" applyFill="1" applyBorder="1" applyAlignment="1">
      <alignment horizontal="center"/>
    </xf>
    <xf numFmtId="0" fontId="15" fillId="0" borderId="0" xfId="0" applyFont="1" applyFill="1" applyBorder="1"/>
    <xf numFmtId="0" fontId="3" fillId="0" borderId="0" xfId="0" applyFont="1" applyFill="1" applyBorder="1" applyAlignment="1">
      <alignment horizontal="center"/>
    </xf>
    <xf numFmtId="0" fontId="0" fillId="0" borderId="0" xfId="0" applyFont="1" applyFill="1" applyBorder="1"/>
    <xf numFmtId="0" fontId="15" fillId="0" borderId="0" xfId="0" applyFont="1" applyFill="1" applyBorder="1" applyAlignment="1">
      <alignment horizontal="center"/>
    </xf>
    <xf numFmtId="0" fontId="15" fillId="0" borderId="0" xfId="0" applyFont="1" applyFill="1" applyBorder="1" applyAlignment="1"/>
    <xf numFmtId="0" fontId="15" fillId="0" borderId="1" xfId="0" applyFont="1" applyFill="1" applyBorder="1" applyAlignment="1">
      <alignment horizontal="left" vertical="center" wrapText="1"/>
    </xf>
    <xf numFmtId="0" fontId="15" fillId="0" borderId="2" xfId="0" applyFont="1" applyFill="1" applyBorder="1" applyAlignment="1">
      <alignment horizontal="left" vertical="center"/>
    </xf>
    <xf numFmtId="0" fontId="15" fillId="0" borderId="2" xfId="0" applyFont="1" applyFill="1" applyBorder="1" applyAlignment="1">
      <alignment horizontal="left" vertical="center" wrapText="1"/>
    </xf>
    <xf numFmtId="0" fontId="0" fillId="0" borderId="0" xfId="0" applyNumberFormat="1" applyFont="1" applyFill="1" applyBorder="1" applyAlignment="1">
      <alignment horizontal="center"/>
    </xf>
    <xf numFmtId="0" fontId="15" fillId="0" borderId="0" xfId="0" applyNumberFormat="1" applyFont="1" applyFill="1" applyBorder="1"/>
    <xf numFmtId="0" fontId="0" fillId="0" borderId="2" xfId="0" applyNumberFormat="1" applyFont="1" applyFill="1" applyBorder="1"/>
    <xf numFmtId="0" fontId="19" fillId="0" borderId="0" xfId="0" applyFont="1" applyFill="1" applyAlignment="1">
      <alignment horizontal="left"/>
    </xf>
    <xf numFmtId="0" fontId="15" fillId="0" borderId="1" xfId="0" applyFont="1" applyFill="1" applyBorder="1"/>
    <xf numFmtId="0" fontId="15" fillId="0" borderId="0" xfId="0" applyFont="1" applyFill="1" applyBorder="1" applyAlignment="1">
      <alignment horizontal="right"/>
    </xf>
    <xf numFmtId="0" fontId="0" fillId="0" borderId="0" xfId="0" applyBorder="1"/>
    <xf numFmtId="166" fontId="0" fillId="0" borderId="0" xfId="0" applyNumberFormat="1" applyBorder="1"/>
    <xf numFmtId="166" fontId="0" fillId="0" borderId="0" xfId="0" applyNumberFormat="1"/>
    <xf numFmtId="2" fontId="0" fillId="0" borderId="0" xfId="0" applyNumberFormat="1"/>
    <xf numFmtId="0" fontId="15" fillId="0" borderId="0" xfId="0" applyFont="1" applyBorder="1"/>
    <xf numFmtId="2" fontId="15" fillId="0" borderId="0" xfId="0" applyNumberFormat="1" applyFont="1"/>
    <xf numFmtId="166" fontId="15" fillId="0" borderId="0" xfId="0" applyNumberFormat="1" applyFont="1" applyBorder="1"/>
    <xf numFmtId="2" fontId="15" fillId="0" borderId="0" xfId="0" applyNumberFormat="1" applyFont="1" applyBorder="1"/>
    <xf numFmtId="0" fontId="19" fillId="0" borderId="0" xfId="0" applyFont="1" applyBorder="1"/>
    <xf numFmtId="0" fontId="23" fillId="0" borderId="0" xfId="0" applyFont="1"/>
    <xf numFmtId="166" fontId="15" fillId="0" borderId="0" xfId="0" applyNumberFormat="1" applyFont="1" applyBorder="1" applyAlignment="1">
      <alignment horizontal="center"/>
    </xf>
    <xf numFmtId="166" fontId="15" fillId="2" borderId="0" xfId="0" applyNumberFormat="1" applyFont="1" applyFill="1" applyBorder="1" applyAlignment="1">
      <alignment horizontal="center"/>
    </xf>
    <xf numFmtId="166" fontId="15" fillId="3" borderId="0" xfId="0" applyNumberFormat="1" applyFont="1" applyFill="1" applyBorder="1" applyAlignment="1">
      <alignment horizontal="center"/>
    </xf>
    <xf numFmtId="166" fontId="15" fillId="0" borderId="0" xfId="0" applyNumberFormat="1" applyFont="1" applyFill="1" applyBorder="1" applyAlignment="1">
      <alignment horizontal="center"/>
    </xf>
    <xf numFmtId="0" fontId="15" fillId="0" borderId="3" xfId="0" applyFont="1" applyFill="1" applyBorder="1" applyAlignment="1">
      <alignment horizontal="center"/>
    </xf>
    <xf numFmtId="165" fontId="15" fillId="0" borderId="0" xfId="0" applyNumberFormat="1" applyFont="1" applyFill="1" applyAlignment="1">
      <alignment horizontal="center"/>
    </xf>
    <xf numFmtId="0" fontId="15" fillId="0" borderId="4" xfId="0" applyFont="1" applyFill="1" applyBorder="1" applyAlignment="1">
      <alignment horizontal="center"/>
    </xf>
    <xf numFmtId="165" fontId="15" fillId="0" borderId="4" xfId="0" applyNumberFormat="1" applyFont="1" applyFill="1" applyBorder="1" applyAlignment="1">
      <alignment horizontal="center"/>
    </xf>
    <xf numFmtId="0" fontId="24" fillId="0" borderId="3" xfId="0" applyFont="1" applyFill="1" applyBorder="1" applyAlignment="1">
      <alignment horizontal="center" vertical="center"/>
    </xf>
    <xf numFmtId="0" fontId="15" fillId="0" borderId="0" xfId="0" applyNumberFormat="1" applyFont="1" applyAlignment="1">
      <alignment horizontal="center"/>
    </xf>
    <xf numFmtId="0" fontId="15" fillId="0" borderId="0" xfId="0" applyNumberFormat="1" applyFont="1" applyFill="1" applyAlignment="1">
      <alignment horizontal="center"/>
    </xf>
    <xf numFmtId="164" fontId="15" fillId="0" borderId="0" xfId="0" applyNumberFormat="1" applyFont="1" applyAlignment="1">
      <alignment horizontal="center"/>
    </xf>
    <xf numFmtId="1" fontId="24" fillId="0" borderId="2" xfId="0" applyNumberFormat="1" applyFont="1" applyFill="1" applyBorder="1" applyAlignment="1">
      <alignment horizontal="center"/>
    </xf>
    <xf numFmtId="1" fontId="24" fillId="0" borderId="0" xfId="0" applyNumberFormat="1" applyFont="1" applyFill="1" applyBorder="1" applyAlignment="1">
      <alignment horizontal="center"/>
    </xf>
    <xf numFmtId="165" fontId="15" fillId="0" borderId="0" xfId="0" applyNumberFormat="1" applyFont="1" applyFill="1" applyBorder="1" applyAlignment="1">
      <alignment horizontal="center"/>
    </xf>
    <xf numFmtId="165" fontId="15" fillId="0" borderId="1" xfId="0" applyNumberFormat="1" applyFont="1" applyFill="1" applyBorder="1" applyAlignment="1">
      <alignment horizontal="left"/>
    </xf>
    <xf numFmtId="165" fontId="24" fillId="0" borderId="1" xfId="0" applyNumberFormat="1" applyFont="1" applyFill="1" applyBorder="1" applyAlignment="1">
      <alignment horizontal="left" vertical="center"/>
    </xf>
    <xf numFmtId="1" fontId="24" fillId="0" borderId="2" xfId="0" applyNumberFormat="1" applyFont="1" applyFill="1" applyBorder="1" applyAlignment="1">
      <alignment horizontal="left" vertical="center"/>
    </xf>
    <xf numFmtId="1" fontId="24" fillId="0" borderId="2" xfId="0" applyNumberFormat="1" applyFont="1" applyFill="1" applyBorder="1" applyAlignment="1">
      <alignment horizontal="left"/>
    </xf>
    <xf numFmtId="165" fontId="15" fillId="0" borderId="2" xfId="0" applyNumberFormat="1" applyFont="1" applyFill="1" applyBorder="1" applyAlignment="1">
      <alignment horizontal="center"/>
    </xf>
    <xf numFmtId="2" fontId="0" fillId="0" borderId="0" xfId="0" applyNumberFormat="1" applyFill="1" applyBorder="1" applyAlignment="1">
      <alignment horizontal="center"/>
    </xf>
    <xf numFmtId="2" fontId="17" fillId="0" borderId="0" xfId="0" applyNumberFormat="1" applyFont="1" applyFill="1" applyBorder="1" applyAlignment="1">
      <alignment horizontal="center" vertical="center"/>
    </xf>
    <xf numFmtId="0" fontId="0" fillId="0" borderId="2" xfId="0" applyBorder="1" applyAlignment="1">
      <alignment horizontal="center"/>
    </xf>
    <xf numFmtId="2" fontId="17" fillId="0" borderId="2" xfId="0" applyNumberFormat="1" applyFont="1" applyFill="1" applyBorder="1" applyAlignment="1">
      <alignment horizontal="center" vertical="center"/>
    </xf>
    <xf numFmtId="2" fontId="15" fillId="0" borderId="0" xfId="0" applyNumberFormat="1" applyFont="1" applyFill="1" applyAlignment="1">
      <alignment horizontal="center"/>
    </xf>
    <xf numFmtId="165" fontId="3" fillId="0" borderId="0" xfId="0" applyNumberFormat="1" applyFont="1" applyFill="1" applyAlignment="1">
      <alignment horizontal="center" vertical="center"/>
    </xf>
    <xf numFmtId="2" fontId="15" fillId="0" borderId="2" xfId="0" applyNumberFormat="1" applyFont="1" applyFill="1" applyBorder="1" applyAlignment="1">
      <alignment horizontal="center" vertical="center"/>
    </xf>
    <xf numFmtId="164" fontId="3" fillId="0" borderId="0" xfId="0" applyNumberFormat="1" applyFont="1" applyAlignment="1">
      <alignment horizontal="center"/>
    </xf>
    <xf numFmtId="2" fontId="19" fillId="0" borderId="0" xfId="0" applyNumberFormat="1" applyFont="1" applyFill="1" applyAlignment="1">
      <alignment horizontal="center"/>
    </xf>
    <xf numFmtId="2" fontId="15" fillId="0" borderId="2" xfId="0" applyNumberFormat="1" applyFont="1" applyFill="1" applyBorder="1" applyAlignment="1">
      <alignment horizontal="center"/>
    </xf>
    <xf numFmtId="165" fontId="6" fillId="0" borderId="0" xfId="0" applyNumberFormat="1" applyFont="1" applyFill="1" applyAlignment="1">
      <alignment horizontal="center" vertical="center"/>
    </xf>
    <xf numFmtId="0" fontId="25" fillId="0" borderId="0" xfId="0" applyFont="1" applyFill="1" applyBorder="1" applyAlignment="1"/>
    <xf numFmtId="0" fontId="25" fillId="0" borderId="0" xfId="0" applyFont="1" applyBorder="1"/>
    <xf numFmtId="0" fontId="26" fillId="0" borderId="0" xfId="0" applyFont="1" applyBorder="1"/>
    <xf numFmtId="0" fontId="3" fillId="0" borderId="0" xfId="0" applyFont="1" applyFill="1" applyAlignment="1">
      <alignment wrapText="1"/>
    </xf>
    <xf numFmtId="0" fontId="15" fillId="0" borderId="1" xfId="0" applyFont="1" applyFill="1" applyBorder="1" applyAlignment="1">
      <alignment horizontal="left" vertical="center"/>
    </xf>
  </cellXfs>
  <cellStyles count="1">
    <cellStyle name="Normal" xfId="0" builtinId="0"/>
  </cellStyles>
  <dxfs count="14">
    <dxf>
      <font>
        <color theme="0" tint="-0.499984740745262"/>
      </font>
      <numFmt numFmtId="1" formatCode="0"/>
    </dxf>
    <dxf>
      <font>
        <color theme="0" tint="-0.34998626667073579"/>
      </font>
      <numFmt numFmtId="1" formatCode="0"/>
    </dxf>
    <dxf>
      <font>
        <color rgb="FF9C0006"/>
      </font>
      <fill>
        <patternFill>
          <bgColor rgb="FFFFC7CE"/>
        </patternFill>
      </fill>
    </dxf>
    <dxf>
      <font>
        <color theme="0" tint="-0.499984740745262"/>
      </font>
      <numFmt numFmtId="1" formatCode="0"/>
    </dxf>
    <dxf>
      <numFmt numFmtId="1" formatCode="0"/>
    </dxf>
    <dxf>
      <font>
        <color theme="0" tint="-0.34998626667073579"/>
      </font>
      <numFmt numFmtId="1" formatCode="0"/>
    </dxf>
    <dxf>
      <font>
        <color rgb="FF9C0006"/>
      </font>
      <fill>
        <patternFill>
          <bgColor rgb="FFFFC7CE"/>
        </patternFill>
      </fill>
    </dxf>
    <dxf>
      <font>
        <color theme="0" tint="-0.499984740745262"/>
      </font>
      <numFmt numFmtId="1" formatCode="0"/>
    </dxf>
    <dxf>
      <font>
        <color rgb="FF9C0006"/>
      </font>
      <fill>
        <patternFill>
          <bgColor rgb="FFFFC7CE"/>
        </patternFill>
      </fill>
    </dxf>
    <dxf>
      <font>
        <color theme="0" tint="-0.499984740745262"/>
      </font>
      <numFmt numFmtId="1" formatCode="0"/>
    </dxf>
    <dxf>
      <numFmt numFmtId="1" formatCode="0"/>
    </dxf>
    <dxf>
      <font>
        <color theme="0" tint="-0.499984740745262"/>
      </font>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787400</xdr:colOff>
      <xdr:row>54</xdr:row>
      <xdr:rowOff>69850</xdr:rowOff>
    </xdr:from>
    <xdr:to>
      <xdr:col>7</xdr:col>
      <xdr:colOff>533400</xdr:colOff>
      <xdr:row>74</xdr:row>
      <xdr:rowOff>19050</xdr:rowOff>
    </xdr:to>
    <xdr:pic>
      <xdr:nvPicPr>
        <xdr:cNvPr id="14337" name="Picture 1">
          <a:extLst>
            <a:ext uri="{FF2B5EF4-FFF2-40B4-BE49-F238E27FC236}">
              <a16:creationId xmlns:a16="http://schemas.microsoft.com/office/drawing/2014/main" id="{49F42361-3070-A9F3-6C74-8CB2B975F0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000" y="9728200"/>
          <a:ext cx="4025900" cy="350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381000</xdr:colOff>
      <xdr:row>54</xdr:row>
      <xdr:rowOff>44450</xdr:rowOff>
    </xdr:from>
    <xdr:to>
      <xdr:col>14</xdr:col>
      <xdr:colOff>139700</xdr:colOff>
      <xdr:row>73</xdr:row>
      <xdr:rowOff>171450</xdr:rowOff>
    </xdr:to>
    <xdr:pic>
      <xdr:nvPicPr>
        <xdr:cNvPr id="14338" name="Picture 2">
          <a:extLst>
            <a:ext uri="{FF2B5EF4-FFF2-40B4-BE49-F238E27FC236}">
              <a16:creationId xmlns:a16="http://schemas.microsoft.com/office/drawing/2014/main" id="{157744DF-BE7A-EFCF-4A19-F2E11E240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9000" y="9702800"/>
          <a:ext cx="3949700" cy="350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19050</xdr:colOff>
      <xdr:row>54</xdr:row>
      <xdr:rowOff>38100</xdr:rowOff>
    </xdr:from>
    <xdr:to>
      <xdr:col>20</xdr:col>
      <xdr:colOff>609600</xdr:colOff>
      <xdr:row>73</xdr:row>
      <xdr:rowOff>158750</xdr:rowOff>
    </xdr:to>
    <xdr:pic>
      <xdr:nvPicPr>
        <xdr:cNvPr id="14339" name="Picture 3">
          <a:extLst>
            <a:ext uri="{FF2B5EF4-FFF2-40B4-BE49-F238E27FC236}">
              <a16:creationId xmlns:a16="http://schemas.microsoft.com/office/drawing/2014/main" id="{DB59A49B-FD45-24E9-9821-D823438CE3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96550" y="9696450"/>
          <a:ext cx="4083050" cy="349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730250</xdr:colOff>
      <xdr:row>80</xdr:row>
      <xdr:rowOff>50800</xdr:rowOff>
    </xdr:from>
    <xdr:to>
      <xdr:col>7</xdr:col>
      <xdr:colOff>565150</xdr:colOff>
      <xdr:row>100</xdr:row>
      <xdr:rowOff>50800</xdr:rowOff>
    </xdr:to>
    <xdr:pic>
      <xdr:nvPicPr>
        <xdr:cNvPr id="14340" name="Picture 4">
          <a:extLst>
            <a:ext uri="{FF2B5EF4-FFF2-40B4-BE49-F238E27FC236}">
              <a16:creationId xmlns:a16="http://schemas.microsoft.com/office/drawing/2014/main" id="{AA5442EA-FA10-A57D-BD31-DEE53C13E96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97000" y="14389100"/>
          <a:ext cx="4057650" cy="355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330200</xdr:colOff>
      <xdr:row>80</xdr:row>
      <xdr:rowOff>69850</xdr:rowOff>
    </xdr:from>
    <xdr:to>
      <xdr:col>14</xdr:col>
      <xdr:colOff>152400</xdr:colOff>
      <xdr:row>100</xdr:row>
      <xdr:rowOff>63500</xdr:rowOff>
    </xdr:to>
    <xdr:pic>
      <xdr:nvPicPr>
        <xdr:cNvPr id="14341" name="Picture 5">
          <a:extLst>
            <a:ext uri="{FF2B5EF4-FFF2-40B4-BE49-F238E27FC236}">
              <a16:creationId xmlns:a16="http://schemas.microsoft.com/office/drawing/2014/main" id="{D40B682D-7887-342E-0D25-0A0A7EBEE09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918200" y="14408150"/>
          <a:ext cx="4013200" cy="354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806450</xdr:colOff>
      <xdr:row>80</xdr:row>
      <xdr:rowOff>88900</xdr:rowOff>
    </xdr:from>
    <xdr:to>
      <xdr:col>20</xdr:col>
      <xdr:colOff>641350</xdr:colOff>
      <xdr:row>100</xdr:row>
      <xdr:rowOff>88900</xdr:rowOff>
    </xdr:to>
    <xdr:pic>
      <xdr:nvPicPr>
        <xdr:cNvPr id="14342" name="Picture 6">
          <a:extLst>
            <a:ext uri="{FF2B5EF4-FFF2-40B4-BE49-F238E27FC236}">
              <a16:creationId xmlns:a16="http://schemas.microsoft.com/office/drawing/2014/main" id="{B81EA1DE-0992-C99E-1F0A-7B8A249BEBD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477500" y="14427200"/>
          <a:ext cx="4133850" cy="355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107</xdr:row>
      <xdr:rowOff>0</xdr:rowOff>
    </xdr:from>
    <xdr:to>
      <xdr:col>8</xdr:col>
      <xdr:colOff>0</xdr:colOff>
      <xdr:row>127</xdr:row>
      <xdr:rowOff>19050</xdr:rowOff>
    </xdr:to>
    <xdr:pic>
      <xdr:nvPicPr>
        <xdr:cNvPr id="14343" name="Picture 7">
          <a:extLst>
            <a:ext uri="{FF2B5EF4-FFF2-40B4-BE49-F238E27FC236}">
              <a16:creationId xmlns:a16="http://schemas.microsoft.com/office/drawing/2014/main" id="{A3715D29-1947-5E10-3009-E5CD54D65FF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16050" y="19215100"/>
          <a:ext cx="4171950" cy="357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31750</xdr:colOff>
      <xdr:row>54</xdr:row>
      <xdr:rowOff>6350</xdr:rowOff>
    </xdr:from>
    <xdr:to>
      <xdr:col>7</xdr:col>
      <xdr:colOff>641350</xdr:colOff>
      <xdr:row>75</xdr:row>
      <xdr:rowOff>50800</xdr:rowOff>
    </xdr:to>
    <xdr:pic>
      <xdr:nvPicPr>
        <xdr:cNvPr id="15361" name="Picture 1">
          <a:extLst>
            <a:ext uri="{FF2B5EF4-FFF2-40B4-BE49-F238E27FC236}">
              <a16:creationId xmlns:a16="http://schemas.microsoft.com/office/drawing/2014/main" id="{84BF8945-8628-EC8F-C826-96861689A3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0" y="9607550"/>
          <a:ext cx="4102100" cy="377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819150</xdr:colOff>
      <xdr:row>54</xdr:row>
      <xdr:rowOff>6350</xdr:rowOff>
    </xdr:from>
    <xdr:to>
      <xdr:col>21</xdr:col>
      <xdr:colOff>641350</xdr:colOff>
      <xdr:row>75</xdr:row>
      <xdr:rowOff>88900</xdr:rowOff>
    </xdr:to>
    <xdr:pic>
      <xdr:nvPicPr>
        <xdr:cNvPr id="15362" name="Picture 2">
          <a:extLst>
            <a:ext uri="{FF2B5EF4-FFF2-40B4-BE49-F238E27FC236}">
              <a16:creationId xmlns:a16="http://schemas.microsoft.com/office/drawing/2014/main" id="{75AAAA19-12CA-D97C-D056-FFDD14EA4F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76000" y="9607550"/>
          <a:ext cx="4133850" cy="381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806450</xdr:colOff>
      <xdr:row>81</xdr:row>
      <xdr:rowOff>0</xdr:rowOff>
    </xdr:from>
    <xdr:to>
      <xdr:col>7</xdr:col>
      <xdr:colOff>565150</xdr:colOff>
      <xdr:row>102</xdr:row>
      <xdr:rowOff>38100</xdr:rowOff>
    </xdr:to>
    <xdr:pic>
      <xdr:nvPicPr>
        <xdr:cNvPr id="15363" name="Picture 3">
          <a:extLst>
            <a:ext uri="{FF2B5EF4-FFF2-40B4-BE49-F238E27FC236}">
              <a16:creationId xmlns:a16="http://schemas.microsoft.com/office/drawing/2014/main" id="{1ABA2D20-E33C-FE50-2528-E37A0FF78E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97000" y="14401800"/>
          <a:ext cx="4057650" cy="377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81</xdr:row>
      <xdr:rowOff>0</xdr:rowOff>
    </xdr:from>
    <xdr:to>
      <xdr:col>14</xdr:col>
      <xdr:colOff>609600</xdr:colOff>
      <xdr:row>102</xdr:row>
      <xdr:rowOff>44450</xdr:rowOff>
    </xdr:to>
    <xdr:pic>
      <xdr:nvPicPr>
        <xdr:cNvPr id="15364" name="Picture 4">
          <a:extLst>
            <a:ext uri="{FF2B5EF4-FFF2-40B4-BE49-F238E27FC236}">
              <a16:creationId xmlns:a16="http://schemas.microsoft.com/office/drawing/2014/main" id="{99528112-E1D4-207D-0931-15C0D6BCDDF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0" y="14401800"/>
          <a:ext cx="4102100" cy="377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806450</xdr:colOff>
      <xdr:row>81</xdr:row>
      <xdr:rowOff>38100</xdr:rowOff>
    </xdr:from>
    <xdr:to>
      <xdr:col>21</xdr:col>
      <xdr:colOff>635000</xdr:colOff>
      <xdr:row>102</xdr:row>
      <xdr:rowOff>114300</xdr:rowOff>
    </xdr:to>
    <xdr:pic>
      <xdr:nvPicPr>
        <xdr:cNvPr id="15365" name="Picture 5">
          <a:extLst>
            <a:ext uri="{FF2B5EF4-FFF2-40B4-BE49-F238E27FC236}">
              <a16:creationId xmlns:a16="http://schemas.microsoft.com/office/drawing/2014/main" id="{CEC0C032-608B-6443-380A-9FF73120202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176000" y="14439900"/>
          <a:ext cx="4127500" cy="381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108</xdr:row>
      <xdr:rowOff>19050</xdr:rowOff>
    </xdr:from>
    <xdr:to>
      <xdr:col>7</xdr:col>
      <xdr:colOff>565150</xdr:colOff>
      <xdr:row>129</xdr:row>
      <xdr:rowOff>38100</xdr:rowOff>
    </xdr:to>
    <xdr:pic>
      <xdr:nvPicPr>
        <xdr:cNvPr id="15366" name="Picture 6">
          <a:extLst>
            <a:ext uri="{FF2B5EF4-FFF2-40B4-BE49-F238E27FC236}">
              <a16:creationId xmlns:a16="http://schemas.microsoft.com/office/drawing/2014/main" id="{9F077818-DE3C-680C-8609-972BC7FDA00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97000" y="19221450"/>
          <a:ext cx="4057650" cy="3752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54</xdr:row>
      <xdr:rowOff>0</xdr:rowOff>
    </xdr:from>
    <xdr:to>
      <xdr:col>14</xdr:col>
      <xdr:colOff>679450</xdr:colOff>
      <xdr:row>75</xdr:row>
      <xdr:rowOff>88900</xdr:rowOff>
    </xdr:to>
    <xdr:pic>
      <xdr:nvPicPr>
        <xdr:cNvPr id="15367" name="Picture 7">
          <a:extLst>
            <a:ext uri="{FF2B5EF4-FFF2-40B4-BE49-F238E27FC236}">
              <a16:creationId xmlns:a16="http://schemas.microsoft.com/office/drawing/2014/main" id="{E03F9044-B0EB-D45E-5DE8-AF4B541990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305550" y="9601200"/>
          <a:ext cx="4152900" cy="382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AF7CB-4A48-49B4-92C9-42C2E94D41E6}">
  <dimension ref="B2:AR22"/>
  <sheetViews>
    <sheetView workbookViewId="0">
      <selection activeCell="D27" sqref="D27"/>
    </sheetView>
  </sheetViews>
  <sheetFormatPr defaultColWidth="8.83203125" defaultRowHeight="14" x14ac:dyDescent="0.3"/>
  <cols>
    <col min="1" max="16384" width="8.83203125" style="55"/>
  </cols>
  <sheetData>
    <row r="2" spans="2:44" x14ac:dyDescent="0.3">
      <c r="B2" s="72" t="s">
        <v>101</v>
      </c>
    </row>
    <row r="4" spans="2:44" x14ac:dyDescent="0.3">
      <c r="B4" s="119" t="s">
        <v>133</v>
      </c>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row>
    <row r="6" spans="2:44" x14ac:dyDescent="0.3">
      <c r="B6" s="55" t="s">
        <v>124</v>
      </c>
    </row>
    <row r="8" spans="2:44" x14ac:dyDescent="0.3">
      <c r="B8" s="55" t="s">
        <v>134</v>
      </c>
    </row>
    <row r="10" spans="2:44" x14ac:dyDescent="0.3">
      <c r="B10" s="34" t="s">
        <v>131</v>
      </c>
    </row>
    <row r="12" spans="2:44" x14ac:dyDescent="0.3">
      <c r="B12" s="119" t="s">
        <v>139</v>
      </c>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row>
    <row r="14" spans="2:44" x14ac:dyDescent="0.3">
      <c r="B14" s="61" t="s">
        <v>140</v>
      </c>
    </row>
    <row r="16" spans="2:44" ht="14.5" x14ac:dyDescent="0.35">
      <c r="B16" s="61" t="s">
        <v>141</v>
      </c>
    </row>
    <row r="18" spans="2:2" x14ac:dyDescent="0.3">
      <c r="B18" s="55" t="s">
        <v>142</v>
      </c>
    </row>
    <row r="20" spans="2:2" x14ac:dyDescent="0.3">
      <c r="B20" s="55" t="s">
        <v>137</v>
      </c>
    </row>
    <row r="22" spans="2:2" x14ac:dyDescent="0.3">
      <c r="B22" s="55" t="s">
        <v>138</v>
      </c>
    </row>
  </sheetData>
  <mergeCells count="2">
    <mergeCell ref="B4:AR4"/>
    <mergeCell ref="B12:AR12"/>
  </mergeCells>
  <conditionalFormatting sqref="B4:AR4">
    <cfRule type="cellIs" dxfId="13" priority="2" operator="equal">
      <formula>0</formula>
    </cfRule>
  </conditionalFormatting>
  <conditionalFormatting sqref="B12:AR12">
    <cfRule type="cellIs" dxfId="12" priority="1" operator="equal">
      <formula>0</formula>
    </cfRule>
  </conditionalFormatting>
  <pageMargins left="0.7" right="0.7" top="0.75" bottom="0.75" header="0.3" footer="0.3"/>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7DA16-7DE3-4BBE-B02A-DD28A59846EB}">
  <dimension ref="A1:M46"/>
  <sheetViews>
    <sheetView workbookViewId="0">
      <selection activeCell="H49" sqref="H49"/>
    </sheetView>
  </sheetViews>
  <sheetFormatPr defaultColWidth="8.83203125" defaultRowHeight="14" x14ac:dyDescent="0.3"/>
  <cols>
    <col min="1" max="1" width="8.83203125" style="2"/>
    <col min="2" max="2" width="23.4140625" style="2" bestFit="1" customWidth="1"/>
    <col min="3" max="3" width="14" style="2" bestFit="1" customWidth="1"/>
    <col min="4" max="4" width="7.25" style="2" bestFit="1" customWidth="1"/>
    <col min="5" max="5" width="8.4140625" style="2" bestFit="1" customWidth="1"/>
    <col min="6" max="6" width="7.83203125" style="2" bestFit="1" customWidth="1"/>
    <col min="7" max="8" width="5" style="2" bestFit="1" customWidth="1"/>
    <col min="9" max="9" width="14.1640625" style="2" bestFit="1" customWidth="1"/>
    <col min="10" max="10" width="12.4140625" style="2" bestFit="1" customWidth="1"/>
    <col min="11" max="11" width="14.1640625" style="2" bestFit="1" customWidth="1"/>
    <col min="12" max="12" width="12.4140625" style="2" bestFit="1" customWidth="1"/>
    <col min="14" max="16384" width="8.83203125" style="2"/>
  </cols>
  <sheetData>
    <row r="1" spans="1:12" s="2" customFormat="1" x14ac:dyDescent="0.3">
      <c r="A1" s="72" t="s">
        <v>101</v>
      </c>
      <c r="B1" s="18"/>
    </row>
    <row r="2" spans="1:12" s="2" customFormat="1" x14ac:dyDescent="0.3">
      <c r="A2" s="19"/>
      <c r="B2" s="19"/>
      <c r="C2" s="19"/>
      <c r="D2" s="19"/>
      <c r="E2" s="19"/>
      <c r="F2" s="19"/>
      <c r="G2" s="19"/>
      <c r="H2" s="19"/>
    </row>
    <row r="3" spans="1:12" s="2" customFormat="1" x14ac:dyDescent="0.3">
      <c r="A3" s="19"/>
      <c r="B3" s="19"/>
      <c r="C3" s="19"/>
      <c r="D3" s="19"/>
      <c r="E3" s="19"/>
      <c r="F3" s="19"/>
      <c r="G3" s="19"/>
      <c r="H3" s="19"/>
      <c r="I3" s="20" t="s">
        <v>37</v>
      </c>
      <c r="J3" s="20"/>
      <c r="K3" s="20" t="s">
        <v>39</v>
      </c>
      <c r="L3" s="20"/>
    </row>
    <row r="4" spans="1:12" s="2" customFormat="1" x14ac:dyDescent="0.3">
      <c r="A4" s="20" t="s">
        <v>68</v>
      </c>
      <c r="B4" s="22" t="s">
        <v>43</v>
      </c>
      <c r="C4" s="22" t="s">
        <v>71</v>
      </c>
      <c r="D4" s="22" t="s">
        <v>70</v>
      </c>
      <c r="E4" s="22" t="s">
        <v>72</v>
      </c>
      <c r="F4" s="22" t="s">
        <v>73</v>
      </c>
      <c r="G4" s="22" t="s">
        <v>74</v>
      </c>
      <c r="H4" s="22" t="s">
        <v>75</v>
      </c>
      <c r="I4" s="22" t="s">
        <v>66</v>
      </c>
      <c r="J4" s="22" t="s">
        <v>38</v>
      </c>
      <c r="K4" s="22" t="s">
        <v>66</v>
      </c>
      <c r="L4" s="22" t="s">
        <v>38</v>
      </c>
    </row>
    <row r="5" spans="1:12" s="2" customFormat="1" ht="16.5" x14ac:dyDescent="0.3">
      <c r="A5" s="21" t="s">
        <v>69</v>
      </c>
      <c r="B5" s="23" t="s">
        <v>44</v>
      </c>
      <c r="C5" s="23" t="s">
        <v>41</v>
      </c>
      <c r="D5" s="23" t="s">
        <v>42</v>
      </c>
      <c r="E5" s="23"/>
      <c r="F5" s="23"/>
      <c r="G5" s="23"/>
      <c r="H5" s="23"/>
      <c r="I5" s="21" t="s">
        <v>40</v>
      </c>
      <c r="J5" s="21"/>
      <c r="K5" s="21" t="s">
        <v>40</v>
      </c>
      <c r="L5" s="21"/>
    </row>
    <row r="6" spans="1:12" s="2" customFormat="1" x14ac:dyDescent="0.3">
      <c r="A6" s="19">
        <v>1</v>
      </c>
      <c r="B6" s="19" t="s">
        <v>0</v>
      </c>
      <c r="C6" s="109">
        <v>34.0885009765625</v>
      </c>
      <c r="D6" s="109">
        <v>237.5</v>
      </c>
      <c r="E6" s="109"/>
      <c r="F6" s="109"/>
      <c r="G6" s="109"/>
      <c r="H6" s="113">
        <v>0.82167637348175049</v>
      </c>
      <c r="I6" s="94">
        <v>0</v>
      </c>
      <c r="J6" s="94">
        <v>0</v>
      </c>
      <c r="K6" s="94">
        <v>0</v>
      </c>
      <c r="L6" s="94">
        <v>0</v>
      </c>
    </row>
    <row r="7" spans="1:12" s="2" customFormat="1" x14ac:dyDescent="0.3">
      <c r="A7" s="19">
        <v>2</v>
      </c>
      <c r="B7" s="19" t="s">
        <v>67</v>
      </c>
      <c r="C7" s="109">
        <v>13.376999855041504</v>
      </c>
      <c r="D7" s="109">
        <v>237.5</v>
      </c>
      <c r="E7" s="109"/>
      <c r="F7" s="109"/>
      <c r="G7" s="109"/>
      <c r="H7" s="113">
        <v>0.96689391136169434</v>
      </c>
      <c r="I7" s="94">
        <v>0</v>
      </c>
      <c r="J7" s="94">
        <v>0</v>
      </c>
      <c r="K7" s="94">
        <v>0</v>
      </c>
      <c r="L7" s="94">
        <v>0</v>
      </c>
    </row>
    <row r="8" spans="1:12" s="2" customFormat="1" x14ac:dyDescent="0.3">
      <c r="A8" s="19">
        <v>3</v>
      </c>
      <c r="B8" s="19" t="s">
        <v>1</v>
      </c>
      <c r="C8" s="109">
        <v>13.542136192321777</v>
      </c>
      <c r="D8" s="109">
        <v>256</v>
      </c>
      <c r="E8" s="113">
        <v>1024</v>
      </c>
      <c r="F8" s="109">
        <v>0.25</v>
      </c>
      <c r="G8" s="24">
        <v>0.8</v>
      </c>
      <c r="H8" s="109">
        <v>0.95674461126327515</v>
      </c>
      <c r="I8" s="94">
        <v>0</v>
      </c>
      <c r="J8" s="94">
        <v>0</v>
      </c>
      <c r="K8" s="94">
        <v>0</v>
      </c>
      <c r="L8" s="94">
        <v>0</v>
      </c>
    </row>
    <row r="9" spans="1:12" s="2" customFormat="1" x14ac:dyDescent="0.3">
      <c r="A9" s="19">
        <v>4</v>
      </c>
      <c r="B9" s="19" t="s">
        <v>2</v>
      </c>
      <c r="C9" s="109">
        <v>24.082000732421875</v>
      </c>
      <c r="D9" s="109">
        <v>40</v>
      </c>
      <c r="E9" s="113">
        <v>125</v>
      </c>
      <c r="F9" s="109">
        <v>0.31999999284744263</v>
      </c>
      <c r="G9" s="24">
        <v>0.65</v>
      </c>
      <c r="H9" s="113">
        <v>0.92619967460632324</v>
      </c>
      <c r="I9" s="94">
        <v>0</v>
      </c>
      <c r="J9" s="94">
        <v>0</v>
      </c>
      <c r="K9" s="94">
        <v>0</v>
      </c>
      <c r="L9" s="94">
        <v>0</v>
      </c>
    </row>
    <row r="10" spans="1:12" s="2" customFormat="1" x14ac:dyDescent="0.3">
      <c r="A10" s="19">
        <v>5</v>
      </c>
      <c r="B10" s="19" t="s">
        <v>3</v>
      </c>
      <c r="C10" s="113">
        <v>37.424713134765625</v>
      </c>
      <c r="D10" s="109">
        <v>19.085500717163086</v>
      </c>
      <c r="E10" s="109">
        <v>46.549999237060547</v>
      </c>
      <c r="F10" s="109">
        <v>0.4100000262260437</v>
      </c>
      <c r="G10" s="24">
        <v>0.8</v>
      </c>
      <c r="H10" s="109">
        <v>0.94999986886978149</v>
      </c>
      <c r="I10" s="94">
        <v>0</v>
      </c>
      <c r="J10" s="94">
        <v>0</v>
      </c>
      <c r="K10" s="94">
        <v>0</v>
      </c>
      <c r="L10" s="94">
        <v>0</v>
      </c>
    </row>
    <row r="11" spans="1:12" s="2" customFormat="1" x14ac:dyDescent="0.3">
      <c r="A11" s="19">
        <v>6</v>
      </c>
      <c r="B11" s="19" t="s">
        <v>15</v>
      </c>
      <c r="C11" s="113">
        <v>9.0683326125144958E-3</v>
      </c>
      <c r="D11" s="109">
        <v>0.58399999141693115</v>
      </c>
      <c r="E11" s="113">
        <v>2.9199998378753662</v>
      </c>
      <c r="F11" s="109">
        <v>0.20000000298023224</v>
      </c>
      <c r="G11" s="24">
        <v>0.65</v>
      </c>
      <c r="H11" s="109">
        <v>0.94999998807907104</v>
      </c>
      <c r="I11" s="94">
        <v>0</v>
      </c>
      <c r="J11" s="94">
        <v>0</v>
      </c>
      <c r="K11" s="94">
        <v>0</v>
      </c>
      <c r="L11" s="94">
        <v>0</v>
      </c>
    </row>
    <row r="12" spans="1:12" s="2" customFormat="1" ht="14.5" x14ac:dyDescent="0.3">
      <c r="A12" s="19">
        <v>7</v>
      </c>
      <c r="B12" s="25" t="s">
        <v>65</v>
      </c>
      <c r="C12" s="109">
        <v>8.4642858505249023</v>
      </c>
      <c r="D12" s="109">
        <v>15</v>
      </c>
      <c r="E12" s="109">
        <v>56</v>
      </c>
      <c r="F12" s="109">
        <v>0.2678571343421936</v>
      </c>
      <c r="G12" s="24">
        <v>0.65</v>
      </c>
      <c r="H12" s="113">
        <v>6.1178048781584948E-5</v>
      </c>
      <c r="I12" s="94">
        <v>0</v>
      </c>
      <c r="J12" s="94">
        <v>0</v>
      </c>
      <c r="K12" s="94">
        <v>0</v>
      </c>
      <c r="L12" s="94">
        <v>0</v>
      </c>
    </row>
    <row r="13" spans="1:12" s="2" customFormat="1" x14ac:dyDescent="0.3">
      <c r="A13" s="19">
        <v>8</v>
      </c>
      <c r="B13" s="19" t="s">
        <v>4</v>
      </c>
      <c r="C13" s="109">
        <v>23.166999816894531</v>
      </c>
      <c r="D13" s="109">
        <v>1.2000000476837158</v>
      </c>
      <c r="E13" s="113">
        <v>10.000000953674316</v>
      </c>
      <c r="F13" s="109">
        <v>0.11999998986721039</v>
      </c>
      <c r="G13" s="24">
        <v>0.8</v>
      </c>
      <c r="H13" s="109">
        <v>0.79029494524002075</v>
      </c>
      <c r="I13" s="94">
        <v>0</v>
      </c>
      <c r="J13" s="94">
        <v>0</v>
      </c>
      <c r="K13" s="94">
        <v>0</v>
      </c>
      <c r="L13" s="94">
        <v>0</v>
      </c>
    </row>
    <row r="14" spans="1:12" s="2" customFormat="1" x14ac:dyDescent="0.3">
      <c r="A14" s="19">
        <v>9</v>
      </c>
      <c r="B14" s="19" t="s">
        <v>17</v>
      </c>
      <c r="C14" s="109">
        <v>10.73799991607666</v>
      </c>
      <c r="D14" s="109">
        <v>1.3999999761581421</v>
      </c>
      <c r="E14" s="109">
        <v>12</v>
      </c>
      <c r="F14" s="109">
        <v>0.11666666716337204</v>
      </c>
      <c r="G14" s="24">
        <v>0.65</v>
      </c>
      <c r="H14" s="113">
        <v>0.97000348567962646</v>
      </c>
      <c r="I14" s="94">
        <v>0</v>
      </c>
      <c r="J14" s="96">
        <v>5.6513425000000002</v>
      </c>
      <c r="K14" s="94">
        <v>0</v>
      </c>
      <c r="L14" s="96">
        <v>0.17462648325000002</v>
      </c>
    </row>
    <row r="15" spans="1:12" s="2" customFormat="1" x14ac:dyDescent="0.3">
      <c r="A15" s="19">
        <v>10</v>
      </c>
      <c r="B15" s="19" t="s">
        <v>18</v>
      </c>
      <c r="C15" s="109">
        <v>58.316501617431641</v>
      </c>
      <c r="D15" s="109">
        <v>2</v>
      </c>
      <c r="E15" s="109">
        <v>15</v>
      </c>
      <c r="F15" s="109">
        <v>0.13333334028720856</v>
      </c>
      <c r="G15" s="24">
        <v>0.65</v>
      </c>
      <c r="H15" s="113">
        <v>0.81484740972518921</v>
      </c>
      <c r="I15" s="94">
        <v>0</v>
      </c>
      <c r="J15" s="96">
        <v>22.475494999999999</v>
      </c>
      <c r="K15" s="94">
        <v>0</v>
      </c>
      <c r="L15" s="96">
        <v>0.69449279549999987</v>
      </c>
    </row>
    <row r="16" spans="1:12" s="2" customFormat="1" x14ac:dyDescent="0.3">
      <c r="A16" s="19">
        <v>11</v>
      </c>
      <c r="B16" s="19" t="s">
        <v>19</v>
      </c>
      <c r="C16" s="109">
        <v>14.628499984741211</v>
      </c>
      <c r="D16" s="109">
        <v>1.3999999761581421</v>
      </c>
      <c r="E16" s="113">
        <v>14</v>
      </c>
      <c r="F16" s="109">
        <v>0.10000000149011612</v>
      </c>
      <c r="G16" s="24">
        <v>0.65</v>
      </c>
      <c r="H16" s="113">
        <v>0.26389497518539429</v>
      </c>
      <c r="I16" s="94">
        <v>0</v>
      </c>
      <c r="J16" s="94">
        <v>0</v>
      </c>
      <c r="K16" s="94">
        <v>0</v>
      </c>
      <c r="L16" s="94">
        <v>0</v>
      </c>
    </row>
    <row r="17" spans="1:12" s="2" customFormat="1" x14ac:dyDescent="0.3">
      <c r="A17" s="19">
        <v>12</v>
      </c>
      <c r="B17" s="19" t="s">
        <v>20</v>
      </c>
      <c r="C17" s="109">
        <v>0.38350000977516174</v>
      </c>
      <c r="D17" s="109">
        <v>8.9099998474121094</v>
      </c>
      <c r="E17" s="113">
        <v>25.457143783569336</v>
      </c>
      <c r="F17" s="109">
        <v>0.34999999403953552</v>
      </c>
      <c r="G17" s="24">
        <v>0.8</v>
      </c>
      <c r="H17" s="113">
        <v>0.79997843503952026</v>
      </c>
      <c r="I17" s="94">
        <v>0</v>
      </c>
      <c r="J17" s="96">
        <v>0.10020266</v>
      </c>
      <c r="K17" s="94">
        <v>0</v>
      </c>
      <c r="L17" s="96">
        <v>5.260639650000001E-3</v>
      </c>
    </row>
    <row r="18" spans="1:12" s="2" customFormat="1" x14ac:dyDescent="0.3">
      <c r="A18" s="19">
        <v>13</v>
      </c>
      <c r="B18" s="19" t="s">
        <v>21</v>
      </c>
      <c r="C18" s="113">
        <v>1.8063184022903442</v>
      </c>
      <c r="D18" s="109">
        <v>4.3000001907348633</v>
      </c>
      <c r="E18" s="109">
        <v>10</v>
      </c>
      <c r="F18" s="109">
        <v>0.43000000715255737</v>
      </c>
      <c r="G18" s="24">
        <v>0.8</v>
      </c>
      <c r="H18" s="109">
        <v>0.94999998807907104</v>
      </c>
      <c r="I18" s="96">
        <v>3.3701515000000001E-2</v>
      </c>
      <c r="J18" s="94">
        <v>0</v>
      </c>
      <c r="K18" s="96">
        <v>1.7693295375000003E-3</v>
      </c>
      <c r="L18" s="94">
        <v>0</v>
      </c>
    </row>
    <row r="19" spans="1:12" s="2" customFormat="1" x14ac:dyDescent="0.3">
      <c r="A19" s="19">
        <v>14</v>
      </c>
      <c r="B19" s="19" t="s">
        <v>22</v>
      </c>
      <c r="C19" s="113">
        <v>10.99500560760498</v>
      </c>
      <c r="D19" s="109">
        <v>1</v>
      </c>
      <c r="E19" s="113">
        <v>10</v>
      </c>
      <c r="F19" s="109">
        <v>0.10000000149011612</v>
      </c>
      <c r="G19" s="24">
        <v>0.65</v>
      </c>
      <c r="H19" s="109">
        <v>0.89999997615814209</v>
      </c>
      <c r="I19" s="94">
        <v>0</v>
      </c>
      <c r="J19" s="96">
        <v>1.5223365</v>
      </c>
      <c r="K19" s="94">
        <v>0</v>
      </c>
      <c r="L19" s="96">
        <v>0.16745701499999999</v>
      </c>
    </row>
    <row r="20" spans="1:12" s="2" customFormat="1" x14ac:dyDescent="0.3">
      <c r="A20" s="19">
        <v>15</v>
      </c>
      <c r="B20" s="19" t="s">
        <v>5</v>
      </c>
      <c r="C20" s="109">
        <v>7.2989997863769531</v>
      </c>
      <c r="D20" s="109">
        <v>1.2000000476837158</v>
      </c>
      <c r="E20" s="109">
        <v>10</v>
      </c>
      <c r="F20" s="109">
        <v>0.12000000476837158</v>
      </c>
      <c r="G20" s="24">
        <v>0.65</v>
      </c>
      <c r="H20" s="113">
        <v>0.23551708459854126</v>
      </c>
      <c r="I20" s="94">
        <v>0</v>
      </c>
      <c r="J20" s="96">
        <v>1.6941729999999999</v>
      </c>
      <c r="K20" s="94">
        <v>0</v>
      </c>
      <c r="L20" s="96">
        <v>5.2349945699999997E-2</v>
      </c>
    </row>
    <row r="21" spans="1:12" s="2" customFormat="1" x14ac:dyDescent="0.3">
      <c r="A21" s="19">
        <v>16</v>
      </c>
      <c r="B21" s="19" t="s">
        <v>23</v>
      </c>
      <c r="C21" s="109">
        <v>7.690000057220459</v>
      </c>
      <c r="D21" s="109">
        <v>0.85000002384185791</v>
      </c>
      <c r="E21" s="109">
        <v>10</v>
      </c>
      <c r="F21" s="109">
        <v>8.5000000894069672E-2</v>
      </c>
      <c r="G21" s="24">
        <v>0.75</v>
      </c>
      <c r="H21" s="113">
        <v>0.15512745082378387</v>
      </c>
      <c r="I21" s="94">
        <v>0</v>
      </c>
      <c r="J21" s="96">
        <v>0.72039400000000009</v>
      </c>
      <c r="K21" s="94">
        <v>0</v>
      </c>
      <c r="L21" s="96">
        <v>2.2260174600000002E-2</v>
      </c>
    </row>
    <row r="22" spans="1:12" s="2" customFormat="1" x14ac:dyDescent="0.3">
      <c r="A22" s="19">
        <v>17</v>
      </c>
      <c r="B22" s="19" t="s">
        <v>24</v>
      </c>
      <c r="C22" s="109">
        <v>1.1729999780654907</v>
      </c>
      <c r="D22" s="109">
        <v>0.625</v>
      </c>
      <c r="E22" s="113">
        <v>6.25</v>
      </c>
      <c r="F22" s="109">
        <v>0.10000000149011612</v>
      </c>
      <c r="G22" s="24">
        <v>0.8</v>
      </c>
      <c r="H22" s="109">
        <v>0.53397244215011597</v>
      </c>
      <c r="I22" s="94">
        <v>0</v>
      </c>
      <c r="J22" s="96">
        <v>0.30073784999999997</v>
      </c>
      <c r="K22" s="94">
        <v>0</v>
      </c>
      <c r="L22" s="96">
        <v>3.308116349999999E-2</v>
      </c>
    </row>
    <row r="23" spans="1:12" s="2" customFormat="1" x14ac:dyDescent="0.3">
      <c r="A23" s="19">
        <v>18</v>
      </c>
      <c r="B23" s="19" t="s">
        <v>25</v>
      </c>
      <c r="C23" s="109">
        <v>2.0079998970031738</v>
      </c>
      <c r="D23" s="109">
        <v>1.122499942779541</v>
      </c>
      <c r="E23" s="113">
        <v>7.483332633972168</v>
      </c>
      <c r="F23" s="109">
        <v>0.15000000596046448</v>
      </c>
      <c r="G23" s="24">
        <v>0.65</v>
      </c>
      <c r="H23" s="109">
        <v>0.72136765718460083</v>
      </c>
      <c r="I23" s="94">
        <v>0</v>
      </c>
      <c r="J23" s="96">
        <v>1.0277810000000001</v>
      </c>
      <c r="K23" s="94">
        <v>0</v>
      </c>
      <c r="L23" s="96">
        <v>0.13813376640000002</v>
      </c>
    </row>
    <row r="24" spans="1:12" s="2" customFormat="1" x14ac:dyDescent="0.3">
      <c r="A24" s="19">
        <v>19</v>
      </c>
      <c r="B24" s="19" t="s">
        <v>6</v>
      </c>
      <c r="C24" s="109">
        <v>0.28850001096725464</v>
      </c>
      <c r="D24" s="109">
        <v>1.7864999771118164</v>
      </c>
      <c r="E24" s="113">
        <v>11.909999847412109</v>
      </c>
      <c r="F24" s="109">
        <v>0.15000000596046448</v>
      </c>
      <c r="G24" s="24">
        <v>0.8</v>
      </c>
      <c r="H24" s="109">
        <v>0.14074458181858063</v>
      </c>
      <c r="I24" s="94">
        <v>0</v>
      </c>
      <c r="J24" s="96">
        <v>2.6499999999999999E-2</v>
      </c>
      <c r="K24" s="94">
        <v>0</v>
      </c>
      <c r="L24" s="96">
        <v>2.2176000000000001E-2</v>
      </c>
    </row>
    <row r="25" spans="1:12" s="2" customFormat="1" x14ac:dyDescent="0.3">
      <c r="A25" s="19">
        <v>20</v>
      </c>
      <c r="B25" s="19" t="s">
        <v>26</v>
      </c>
      <c r="C25" s="109">
        <v>4.1499998420476913E-2</v>
      </c>
      <c r="D25" s="109">
        <v>1.2799999713897705</v>
      </c>
      <c r="E25" s="113">
        <v>8.5333328247070313</v>
      </c>
      <c r="F25" s="109">
        <v>0.15000000596046448</v>
      </c>
      <c r="G25" s="24">
        <v>0.8</v>
      </c>
      <c r="H25" s="109">
        <v>0.87386727333068848</v>
      </c>
      <c r="I25" s="94">
        <v>0</v>
      </c>
      <c r="J25" s="94">
        <v>0</v>
      </c>
      <c r="K25" s="94">
        <v>0</v>
      </c>
      <c r="L25" s="96">
        <v>4.6334762879999991E-2</v>
      </c>
    </row>
    <row r="26" spans="1:12" s="2" customFormat="1" x14ac:dyDescent="0.3">
      <c r="A26" s="19">
        <v>21</v>
      </c>
      <c r="B26" s="19" t="s">
        <v>7</v>
      </c>
      <c r="C26" s="109">
        <v>2.500000037252903E-2</v>
      </c>
      <c r="D26" s="109">
        <v>0.30399999022483826</v>
      </c>
      <c r="E26" s="113">
        <v>2.0266664028167725</v>
      </c>
      <c r="F26" s="109">
        <v>0.15000002086162567</v>
      </c>
      <c r="G26" s="24">
        <v>0.8</v>
      </c>
      <c r="H26" s="113">
        <v>0.99545878171920776</v>
      </c>
      <c r="I26" s="96">
        <v>3.6560605000000002E-3</v>
      </c>
      <c r="J26" s="94">
        <v>0</v>
      </c>
      <c r="K26" s="96">
        <v>4.0216665500000006E-4</v>
      </c>
      <c r="L26" s="94">
        <v>0</v>
      </c>
    </row>
    <row r="27" spans="1:12" s="2" customFormat="1" x14ac:dyDescent="0.3">
      <c r="A27" s="19">
        <v>22</v>
      </c>
      <c r="B27" s="19" t="s">
        <v>27</v>
      </c>
      <c r="C27" s="109">
        <v>5.2300000190734863</v>
      </c>
      <c r="D27" s="109">
        <v>2.2999999523162842</v>
      </c>
      <c r="E27" s="113">
        <v>15.333332061767578</v>
      </c>
      <c r="F27" s="109">
        <v>0.15000000596046448</v>
      </c>
      <c r="G27" s="24">
        <v>0.8</v>
      </c>
      <c r="H27" s="109">
        <v>0.73042982816696167</v>
      </c>
      <c r="I27" s="96">
        <v>1.7422729999999997E-2</v>
      </c>
      <c r="J27" s="94">
        <v>0</v>
      </c>
      <c r="K27" s="96">
        <v>1.9165002999999997E-3</v>
      </c>
      <c r="L27" s="94">
        <v>0</v>
      </c>
    </row>
    <row r="28" spans="1:12" s="2" customFormat="1" x14ac:dyDescent="0.3">
      <c r="A28" s="19">
        <v>23</v>
      </c>
      <c r="B28" s="19" t="s">
        <v>28</v>
      </c>
      <c r="C28" s="109">
        <v>6.1500001698732376E-2</v>
      </c>
      <c r="D28" s="109">
        <v>1</v>
      </c>
      <c r="E28" s="113">
        <v>6.6666665077209473</v>
      </c>
      <c r="F28" s="109">
        <v>0.15000000596046448</v>
      </c>
      <c r="G28" s="24">
        <v>0.8</v>
      </c>
      <c r="H28" s="109">
        <v>0.6587257981300354</v>
      </c>
      <c r="I28" s="96">
        <v>3.6496970000000004E-2</v>
      </c>
      <c r="J28" s="94">
        <v>0</v>
      </c>
      <c r="K28" s="96">
        <v>4.0146667000000007E-3</v>
      </c>
      <c r="L28" s="94">
        <v>0</v>
      </c>
    </row>
    <row r="29" spans="1:12" s="2" customFormat="1" x14ac:dyDescent="0.3">
      <c r="A29" s="19">
        <v>24</v>
      </c>
      <c r="B29" s="19" t="s">
        <v>29</v>
      </c>
      <c r="C29" s="109">
        <v>1.8999999389052391E-2</v>
      </c>
      <c r="D29" s="109">
        <v>0.80000001192092896</v>
      </c>
      <c r="E29" s="113">
        <v>4</v>
      </c>
      <c r="F29" s="109">
        <v>0.20000000298023224</v>
      </c>
      <c r="G29" s="24">
        <v>0.8</v>
      </c>
      <c r="H29" s="113">
        <v>0.53675764799118042</v>
      </c>
      <c r="I29" s="94">
        <v>0</v>
      </c>
      <c r="J29" s="94">
        <v>0</v>
      </c>
      <c r="K29" s="94">
        <v>0</v>
      </c>
      <c r="L29" s="94">
        <v>0</v>
      </c>
    </row>
    <row r="30" spans="1:12" s="2" customFormat="1" x14ac:dyDescent="0.3">
      <c r="A30" s="19">
        <v>25</v>
      </c>
      <c r="B30" s="19" t="s">
        <v>8</v>
      </c>
      <c r="C30" s="109">
        <v>1.1500000022351742E-2</v>
      </c>
      <c r="D30" s="109">
        <v>0.75</v>
      </c>
      <c r="E30" s="113">
        <v>5</v>
      </c>
      <c r="F30" s="109">
        <v>0.15000000596046448</v>
      </c>
      <c r="G30" s="24">
        <v>0.8</v>
      </c>
      <c r="H30" s="113">
        <v>1.1290673166513443E-2</v>
      </c>
      <c r="I30" s="94">
        <v>0</v>
      </c>
      <c r="J30" s="94">
        <v>0</v>
      </c>
      <c r="K30" s="94">
        <v>0</v>
      </c>
      <c r="L30" s="94">
        <v>0</v>
      </c>
    </row>
    <row r="31" spans="1:12" s="2" customFormat="1" x14ac:dyDescent="0.3">
      <c r="A31" s="19">
        <v>26</v>
      </c>
      <c r="B31" s="19" t="s">
        <v>30</v>
      </c>
      <c r="C31" s="109">
        <v>0.20550000667572021</v>
      </c>
      <c r="D31" s="109">
        <v>1.8999999761581421</v>
      </c>
      <c r="E31" s="113">
        <v>12.666666030883789</v>
      </c>
      <c r="F31" s="109">
        <v>0.15000000596046448</v>
      </c>
      <c r="G31" s="24">
        <v>0.8</v>
      </c>
      <c r="H31" s="109">
        <v>0.82015728950500488</v>
      </c>
      <c r="I31" s="96">
        <v>0.13474544999999999</v>
      </c>
      <c r="J31" s="94">
        <v>0</v>
      </c>
      <c r="K31" s="96">
        <v>1.4821999499999997E-2</v>
      </c>
      <c r="L31" s="94">
        <v>0</v>
      </c>
    </row>
    <row r="32" spans="1:12" s="2" customFormat="1" x14ac:dyDescent="0.3">
      <c r="A32" s="19">
        <v>27</v>
      </c>
      <c r="B32" s="19" t="s">
        <v>31</v>
      </c>
      <c r="C32" s="109">
        <v>0.29350000619888306</v>
      </c>
      <c r="D32" s="109">
        <v>0.9154999852180481</v>
      </c>
      <c r="E32" s="113">
        <v>6.1033329963684082</v>
      </c>
      <c r="F32" s="109">
        <v>0.15000000596046448</v>
      </c>
      <c r="G32" s="24">
        <v>0.8</v>
      </c>
      <c r="H32" s="113">
        <v>0.70982182025909424</v>
      </c>
      <c r="I32" s="96">
        <v>5.5224245000000005E-2</v>
      </c>
      <c r="J32" s="94">
        <v>0</v>
      </c>
      <c r="K32" s="96">
        <v>6.0746669500000008E-3</v>
      </c>
      <c r="L32" s="94">
        <v>0</v>
      </c>
    </row>
    <row r="33" spans="1:12" s="2" customFormat="1" x14ac:dyDescent="0.3">
      <c r="A33" s="19">
        <v>28</v>
      </c>
      <c r="B33" s="19" t="s">
        <v>32</v>
      </c>
      <c r="C33" s="109">
        <v>0.55400002002716064</v>
      </c>
      <c r="D33" s="109">
        <v>3.309999942779541</v>
      </c>
      <c r="E33" s="113">
        <v>16.549999237060547</v>
      </c>
      <c r="F33" s="109">
        <v>0.20000000298023224</v>
      </c>
      <c r="G33" s="24">
        <v>0.8</v>
      </c>
      <c r="H33" s="113">
        <v>0.45854362845420837</v>
      </c>
      <c r="I33" s="94">
        <v>0</v>
      </c>
      <c r="J33" s="94">
        <v>0</v>
      </c>
      <c r="K33" s="94">
        <v>0</v>
      </c>
      <c r="L33" s="94">
        <v>0</v>
      </c>
    </row>
    <row r="34" spans="1:12" s="2" customFormat="1" x14ac:dyDescent="0.3">
      <c r="A34" s="19">
        <v>29</v>
      </c>
      <c r="B34" s="19" t="s">
        <v>9</v>
      </c>
      <c r="C34" s="109">
        <v>0.61349999904632568</v>
      </c>
      <c r="D34" s="109">
        <v>0.89999997615814209</v>
      </c>
      <c r="E34" s="113">
        <v>5.9999995231628418</v>
      </c>
      <c r="F34" s="109">
        <v>0.15000000596046448</v>
      </c>
      <c r="G34" s="24">
        <v>0.8</v>
      </c>
      <c r="H34" s="113">
        <v>0.82125067710876465</v>
      </c>
      <c r="I34" s="96">
        <v>0.30610000000000004</v>
      </c>
      <c r="J34" s="94">
        <v>0</v>
      </c>
      <c r="K34" s="96">
        <v>3.3671000000000006E-2</v>
      </c>
      <c r="L34" s="94">
        <v>0</v>
      </c>
    </row>
    <row r="35" spans="1:12" s="2" customFormat="1" x14ac:dyDescent="0.3">
      <c r="A35" s="19">
        <v>30</v>
      </c>
      <c r="B35" s="19" t="s">
        <v>10</v>
      </c>
      <c r="C35" s="109">
        <v>5.2499998360872269E-2</v>
      </c>
      <c r="D35" s="109">
        <v>0.48600000143051147</v>
      </c>
      <c r="E35" s="113">
        <v>3.2399997711181641</v>
      </c>
      <c r="F35" s="109">
        <v>0.15000000596046448</v>
      </c>
      <c r="G35" s="24">
        <v>0.8</v>
      </c>
      <c r="H35" s="109">
        <v>0.564231276512146</v>
      </c>
      <c r="I35" s="94">
        <v>0</v>
      </c>
      <c r="J35" s="112">
        <v>1.2969695E-2</v>
      </c>
      <c r="K35" s="96">
        <v>1.42666645E-3</v>
      </c>
      <c r="L35" s="94">
        <v>0</v>
      </c>
    </row>
    <row r="36" spans="1:12" s="2" customFormat="1" x14ac:dyDescent="0.3">
      <c r="A36" s="19">
        <v>31</v>
      </c>
      <c r="B36" s="19" t="s">
        <v>11</v>
      </c>
      <c r="C36" s="109">
        <v>3.8499999791383743E-2</v>
      </c>
      <c r="D36" s="109">
        <v>3.9999999105930328E-2</v>
      </c>
      <c r="E36" s="109">
        <v>61</v>
      </c>
      <c r="F36" s="109">
        <v>6.5573770552873611E-4</v>
      </c>
      <c r="G36" s="24">
        <v>0.8</v>
      </c>
      <c r="H36" s="113">
        <v>0</v>
      </c>
      <c r="I36" s="94">
        <v>0</v>
      </c>
      <c r="J36" s="94">
        <v>0</v>
      </c>
      <c r="K36" s="94">
        <v>0</v>
      </c>
      <c r="L36" s="94">
        <v>0</v>
      </c>
    </row>
    <row r="37" spans="1:12" s="2" customFormat="1" x14ac:dyDescent="0.3">
      <c r="A37" s="19">
        <v>32</v>
      </c>
      <c r="B37" s="19" t="s">
        <v>12</v>
      </c>
      <c r="C37" s="109">
        <v>6.25E-2</v>
      </c>
      <c r="D37" s="109">
        <v>0.10000000149011612</v>
      </c>
      <c r="E37" s="109">
        <v>36.950000762939453</v>
      </c>
      <c r="F37" s="109">
        <v>2.7063598390668631E-3</v>
      </c>
      <c r="G37" s="24">
        <v>0.74</v>
      </c>
      <c r="H37" s="113">
        <v>0</v>
      </c>
      <c r="I37" s="94">
        <v>0</v>
      </c>
      <c r="J37" s="94">
        <v>0</v>
      </c>
      <c r="K37" s="94">
        <v>0</v>
      </c>
      <c r="L37" s="94">
        <v>0</v>
      </c>
    </row>
    <row r="38" spans="1:12" s="2" customFormat="1" x14ac:dyDescent="0.3">
      <c r="A38" s="19">
        <v>33</v>
      </c>
      <c r="B38" s="19" t="s">
        <v>13</v>
      </c>
      <c r="C38" s="109">
        <v>6.4499996602535248E-2</v>
      </c>
      <c r="D38" s="109">
        <v>0.10000000149011612</v>
      </c>
      <c r="E38" s="109">
        <v>20</v>
      </c>
      <c r="F38" s="109">
        <v>4.999999888241291E-3</v>
      </c>
      <c r="G38" s="24">
        <v>0.8</v>
      </c>
      <c r="H38" s="113">
        <v>0</v>
      </c>
      <c r="I38" s="94">
        <v>0</v>
      </c>
      <c r="J38" s="94">
        <v>0</v>
      </c>
      <c r="K38" s="94">
        <v>0</v>
      </c>
      <c r="L38" s="94">
        <v>0</v>
      </c>
    </row>
    <row r="39" spans="1:12" s="2" customFormat="1" x14ac:dyDescent="0.3">
      <c r="A39" s="19">
        <v>34</v>
      </c>
      <c r="B39" s="26" t="s">
        <v>33</v>
      </c>
      <c r="C39" s="109">
        <v>3.4299999242648482E-4</v>
      </c>
      <c r="D39" s="109">
        <v>0.19200000166893005</v>
      </c>
      <c r="E39" s="109">
        <v>3.5</v>
      </c>
      <c r="F39" s="113">
        <v>5.4857142269611359E-2</v>
      </c>
      <c r="G39" s="24">
        <v>0.8</v>
      </c>
      <c r="H39" s="113">
        <v>0</v>
      </c>
      <c r="I39" s="94">
        <v>0</v>
      </c>
      <c r="J39" s="94">
        <v>0</v>
      </c>
      <c r="K39" s="94">
        <v>0</v>
      </c>
      <c r="L39" s="94">
        <v>0</v>
      </c>
    </row>
    <row r="40" spans="1:12" s="2" customFormat="1" x14ac:dyDescent="0.3">
      <c r="A40" s="19">
        <v>35</v>
      </c>
      <c r="B40" s="26" t="s">
        <v>34</v>
      </c>
      <c r="C40" s="109">
        <v>1.6199999663513154E-4</v>
      </c>
      <c r="D40" s="109">
        <v>0.19200000166893005</v>
      </c>
      <c r="E40" s="109">
        <v>3.5</v>
      </c>
      <c r="F40" s="113">
        <v>5.4857142269611359E-2</v>
      </c>
      <c r="G40" s="24">
        <v>0.8</v>
      </c>
      <c r="H40" s="113">
        <v>0</v>
      </c>
      <c r="I40" s="95">
        <v>0</v>
      </c>
      <c r="J40" s="95">
        <v>0</v>
      </c>
      <c r="K40" s="95">
        <v>0</v>
      </c>
      <c r="L40" s="95">
        <v>0</v>
      </c>
    </row>
    <row r="41" spans="1:12" s="2" customFormat="1" x14ac:dyDescent="0.3">
      <c r="A41" s="19">
        <v>36</v>
      </c>
      <c r="B41" s="19" t="s">
        <v>14</v>
      </c>
      <c r="C41" s="109">
        <v>0.43599998950958252</v>
      </c>
      <c r="D41" s="109"/>
      <c r="E41" s="109"/>
      <c r="F41" s="109"/>
      <c r="G41" s="109"/>
      <c r="H41" s="113">
        <v>0.88433223962783813</v>
      </c>
      <c r="I41" s="95">
        <v>0</v>
      </c>
      <c r="J41" s="95">
        <v>0</v>
      </c>
      <c r="K41" s="95">
        <v>0</v>
      </c>
      <c r="L41" s="95">
        <v>0</v>
      </c>
    </row>
    <row r="42" spans="1:12" s="2" customFormat="1" x14ac:dyDescent="0.3">
      <c r="A42" s="19">
        <v>37</v>
      </c>
      <c r="B42" s="2" t="s">
        <v>97</v>
      </c>
      <c r="C42" s="109">
        <v>5.000000074505806E-2</v>
      </c>
      <c r="D42" s="109"/>
      <c r="E42" s="109"/>
      <c r="F42" s="109"/>
      <c r="G42" s="109"/>
      <c r="H42" s="113">
        <v>0</v>
      </c>
      <c r="I42" s="95">
        <v>0</v>
      </c>
      <c r="J42" s="95">
        <v>0</v>
      </c>
      <c r="K42" s="95">
        <v>0</v>
      </c>
      <c r="L42" s="95">
        <v>0</v>
      </c>
    </row>
    <row r="43" spans="1:12" s="2" customFormat="1" x14ac:dyDescent="0.3">
      <c r="A43" s="19">
        <v>38</v>
      </c>
      <c r="B43" s="41" t="s">
        <v>63</v>
      </c>
      <c r="C43" s="109">
        <v>20</v>
      </c>
      <c r="D43" s="109"/>
      <c r="E43" s="109"/>
      <c r="F43" s="109"/>
      <c r="G43" s="109"/>
      <c r="H43" s="113">
        <v>0</v>
      </c>
      <c r="I43" s="95">
        <v>0</v>
      </c>
      <c r="J43" s="95">
        <v>0</v>
      </c>
      <c r="K43" s="95">
        <v>0</v>
      </c>
      <c r="L43" s="95">
        <v>0</v>
      </c>
    </row>
    <row r="44" spans="1:12" s="2" customFormat="1" x14ac:dyDescent="0.3">
      <c r="A44" s="19">
        <v>39</v>
      </c>
      <c r="B44" s="2" t="s">
        <v>35</v>
      </c>
      <c r="C44" s="109">
        <v>60</v>
      </c>
      <c r="D44" s="109"/>
      <c r="E44" s="109"/>
      <c r="F44" s="109"/>
      <c r="G44" s="109"/>
      <c r="H44" s="113">
        <v>0.88909053802490234</v>
      </c>
      <c r="I44" s="95">
        <v>0</v>
      </c>
      <c r="J44" s="95">
        <v>0</v>
      </c>
      <c r="K44" s="95">
        <v>0</v>
      </c>
      <c r="L44" s="95">
        <v>0</v>
      </c>
    </row>
    <row r="45" spans="1:12" s="2" customFormat="1" x14ac:dyDescent="0.3">
      <c r="A45" s="19">
        <v>40</v>
      </c>
      <c r="B45" s="41" t="s">
        <v>84</v>
      </c>
      <c r="C45" s="109"/>
      <c r="D45" s="109"/>
      <c r="E45" s="109"/>
      <c r="F45" s="109"/>
      <c r="G45" s="109"/>
      <c r="H45" s="109"/>
      <c r="I45" s="24"/>
      <c r="J45" s="24"/>
      <c r="K45" s="24"/>
      <c r="L45" s="24"/>
    </row>
    <row r="46" spans="1:12" s="2" customFormat="1" x14ac:dyDescent="0.3">
      <c r="A46" s="21">
        <v>41</v>
      </c>
      <c r="B46" s="38" t="s">
        <v>36</v>
      </c>
      <c r="C46" s="114"/>
      <c r="D46" s="114"/>
      <c r="E46" s="114"/>
      <c r="F46" s="114"/>
      <c r="G46" s="114"/>
      <c r="H46" s="114"/>
      <c r="I46" s="111"/>
      <c r="J46" s="111"/>
      <c r="K46" s="111"/>
      <c r="L46" s="111"/>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41C1E-5BF4-427E-83AD-D51E8488141D}">
  <dimension ref="A1:AQ49"/>
  <sheetViews>
    <sheetView workbookViewId="0">
      <selection activeCell="E16" sqref="E16"/>
    </sheetView>
  </sheetViews>
  <sheetFormatPr defaultColWidth="8.83203125" defaultRowHeight="11.5" x14ac:dyDescent="0.25"/>
  <cols>
    <col min="1" max="1" width="24.25" style="4" customWidth="1"/>
    <col min="2" max="16" width="15.83203125" style="4" customWidth="1"/>
    <col min="17" max="17" width="15.83203125" style="5" customWidth="1"/>
    <col min="18" max="40" width="15.83203125" style="4" customWidth="1"/>
    <col min="41" max="16384" width="8.83203125" style="4"/>
  </cols>
  <sheetData>
    <row r="1" spans="1:43" ht="14.25" customHeight="1" x14ac:dyDescent="0.3">
      <c r="A1" s="119" t="s">
        <v>123</v>
      </c>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row>
    <row r="2" spans="1:43" ht="14" x14ac:dyDescent="0.3">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row>
    <row r="3" spans="1:43" ht="13" x14ac:dyDescent="0.3">
      <c r="A3" s="48" t="s">
        <v>85</v>
      </c>
      <c r="B3" s="49" t="s">
        <v>0</v>
      </c>
      <c r="C3" s="49" t="s">
        <v>67</v>
      </c>
      <c r="D3" s="49" t="s">
        <v>1</v>
      </c>
      <c r="E3" s="49" t="s">
        <v>2</v>
      </c>
      <c r="F3" s="49" t="s">
        <v>3</v>
      </c>
      <c r="G3" s="49" t="s">
        <v>15</v>
      </c>
      <c r="H3" s="50" t="s">
        <v>65</v>
      </c>
      <c r="I3" s="49" t="s">
        <v>4</v>
      </c>
      <c r="J3" s="49" t="s">
        <v>17</v>
      </c>
      <c r="K3" s="49" t="s">
        <v>18</v>
      </c>
      <c r="L3" s="49" t="s">
        <v>19</v>
      </c>
      <c r="M3" s="49" t="s">
        <v>20</v>
      </c>
      <c r="N3" s="49" t="s">
        <v>21</v>
      </c>
      <c r="O3" s="49" t="s">
        <v>22</v>
      </c>
      <c r="P3" s="49" t="s">
        <v>5</v>
      </c>
      <c r="Q3" s="51" t="s">
        <v>23</v>
      </c>
      <c r="R3" s="49" t="s">
        <v>24</v>
      </c>
      <c r="S3" s="49" t="s">
        <v>25</v>
      </c>
      <c r="T3" s="49" t="s">
        <v>6</v>
      </c>
      <c r="U3" s="49" t="s">
        <v>26</v>
      </c>
      <c r="V3" s="49" t="s">
        <v>7</v>
      </c>
      <c r="W3" s="49" t="s">
        <v>27</v>
      </c>
      <c r="X3" s="49" t="s">
        <v>28</v>
      </c>
      <c r="Y3" s="49" t="s">
        <v>29</v>
      </c>
      <c r="Z3" s="49" t="s">
        <v>8</v>
      </c>
      <c r="AA3" s="49" t="s">
        <v>30</v>
      </c>
      <c r="AB3" s="49" t="s">
        <v>31</v>
      </c>
      <c r="AC3" s="49" t="s">
        <v>32</v>
      </c>
      <c r="AD3" s="49" t="s">
        <v>9</v>
      </c>
      <c r="AE3" s="49" t="s">
        <v>10</v>
      </c>
      <c r="AF3" s="49" t="s">
        <v>11</v>
      </c>
      <c r="AG3" s="49" t="s">
        <v>12</v>
      </c>
      <c r="AH3" s="49" t="s">
        <v>13</v>
      </c>
      <c r="AI3" s="50" t="s">
        <v>33</v>
      </c>
      <c r="AJ3" s="50" t="s">
        <v>34</v>
      </c>
      <c r="AK3" s="49" t="s">
        <v>14</v>
      </c>
      <c r="AL3" s="49" t="s">
        <v>97</v>
      </c>
      <c r="AM3" s="49" t="s">
        <v>63</v>
      </c>
      <c r="AN3" s="49" t="s">
        <v>35</v>
      </c>
    </row>
    <row r="4" spans="1:43" ht="14" x14ac:dyDescent="0.3">
      <c r="A4" s="31" t="s">
        <v>0</v>
      </c>
      <c r="B4" s="43">
        <v>0</v>
      </c>
      <c r="C4" s="43">
        <v>0</v>
      </c>
      <c r="D4" s="43">
        <v>0.27</v>
      </c>
      <c r="E4" s="43">
        <v>0.57499999999999996</v>
      </c>
      <c r="F4" s="43">
        <v>0.5</v>
      </c>
      <c r="G4" s="43">
        <v>0</v>
      </c>
      <c r="H4" s="115">
        <v>9.8522167487684695E-3</v>
      </c>
      <c r="I4" s="43">
        <v>0</v>
      </c>
      <c r="J4" s="43">
        <v>8.2299999999999998E-2</v>
      </c>
      <c r="K4" s="43">
        <v>0.24303334761991899</v>
      </c>
      <c r="L4" s="43">
        <v>0</v>
      </c>
      <c r="M4" s="43">
        <v>0</v>
      </c>
      <c r="N4" s="43">
        <v>0</v>
      </c>
      <c r="O4" s="43">
        <v>0.3</v>
      </c>
      <c r="P4" s="43">
        <v>0</v>
      </c>
      <c r="Q4" s="15">
        <v>2.5615000000000002E-2</v>
      </c>
      <c r="R4" s="43">
        <v>0</v>
      </c>
      <c r="S4" s="43">
        <v>0</v>
      </c>
      <c r="T4" s="43">
        <v>0</v>
      </c>
      <c r="U4" s="15">
        <v>0</v>
      </c>
      <c r="V4" s="43">
        <v>0</v>
      </c>
      <c r="W4" s="43">
        <v>0.6</v>
      </c>
      <c r="X4" s="43">
        <v>0</v>
      </c>
      <c r="Y4" s="43">
        <v>0.40500000000000003</v>
      </c>
      <c r="Z4" s="43">
        <v>0</v>
      </c>
      <c r="AA4" s="43">
        <v>0</v>
      </c>
      <c r="AB4" s="43">
        <v>0</v>
      </c>
      <c r="AC4" s="43">
        <v>0</v>
      </c>
      <c r="AD4" s="43">
        <v>0</v>
      </c>
      <c r="AE4" s="43">
        <v>0</v>
      </c>
      <c r="AF4" s="43">
        <v>0</v>
      </c>
      <c r="AG4" s="43">
        <v>0</v>
      </c>
      <c r="AH4" s="43">
        <v>0</v>
      </c>
      <c r="AI4" s="43">
        <v>0</v>
      </c>
      <c r="AJ4" s="43">
        <v>0</v>
      </c>
      <c r="AK4" s="43">
        <v>0</v>
      </c>
      <c r="AL4" s="43">
        <v>0</v>
      </c>
      <c r="AM4" s="43">
        <v>0</v>
      </c>
      <c r="AN4" s="43">
        <v>0</v>
      </c>
    </row>
    <row r="5" spans="1:43" ht="14" x14ac:dyDescent="0.3">
      <c r="A5" s="31" t="s">
        <v>67</v>
      </c>
      <c r="B5" s="43">
        <v>0</v>
      </c>
      <c r="C5" s="43">
        <v>0</v>
      </c>
      <c r="D5" s="43">
        <v>0.13</v>
      </c>
      <c r="E5" s="43">
        <v>0.27500000000000002</v>
      </c>
      <c r="F5" s="43">
        <v>0.25</v>
      </c>
      <c r="G5" s="43">
        <v>0</v>
      </c>
      <c r="H5" s="115">
        <v>0</v>
      </c>
      <c r="I5" s="43">
        <v>0</v>
      </c>
      <c r="J5" s="43">
        <v>2.6765000000000001E-2</v>
      </c>
      <c r="K5" s="43">
        <v>2.66666666666667E-3</v>
      </c>
      <c r="L5" s="43">
        <v>0</v>
      </c>
      <c r="M5" s="43">
        <v>0</v>
      </c>
      <c r="N5" s="43">
        <v>0</v>
      </c>
      <c r="O5" s="43">
        <v>0</v>
      </c>
      <c r="P5" s="43">
        <v>0</v>
      </c>
      <c r="Q5" s="15">
        <v>0</v>
      </c>
      <c r="R5" s="43">
        <v>0</v>
      </c>
      <c r="S5" s="43">
        <v>0</v>
      </c>
      <c r="T5" s="43">
        <v>0</v>
      </c>
      <c r="U5" s="15">
        <v>0</v>
      </c>
      <c r="V5" s="43">
        <v>0</v>
      </c>
      <c r="W5" s="43">
        <v>0</v>
      </c>
      <c r="X5" s="43">
        <v>0</v>
      </c>
      <c r="Y5" s="43">
        <v>0</v>
      </c>
      <c r="Z5" s="43">
        <v>0</v>
      </c>
      <c r="AA5" s="43">
        <v>0</v>
      </c>
      <c r="AB5" s="43">
        <v>0</v>
      </c>
      <c r="AC5" s="43">
        <v>0</v>
      </c>
      <c r="AD5" s="43">
        <v>0</v>
      </c>
      <c r="AE5" s="43">
        <v>0</v>
      </c>
      <c r="AF5" s="43">
        <v>0</v>
      </c>
      <c r="AG5" s="43">
        <v>0</v>
      </c>
      <c r="AH5" s="43">
        <v>0</v>
      </c>
      <c r="AI5" s="43">
        <v>0</v>
      </c>
      <c r="AJ5" s="43">
        <v>0</v>
      </c>
      <c r="AK5" s="43">
        <v>0</v>
      </c>
      <c r="AL5" s="43">
        <v>0</v>
      </c>
      <c r="AM5" s="43">
        <v>0</v>
      </c>
      <c r="AN5" s="43">
        <v>0</v>
      </c>
    </row>
    <row r="6" spans="1:43" ht="14" x14ac:dyDescent="0.3">
      <c r="A6" s="31" t="s">
        <v>1</v>
      </c>
      <c r="B6" s="43">
        <v>0</v>
      </c>
      <c r="C6" s="43">
        <v>0</v>
      </c>
      <c r="D6" s="43">
        <v>0.17499999999999999</v>
      </c>
      <c r="E6" s="43">
        <v>0.15000000000000002</v>
      </c>
      <c r="F6" s="43">
        <v>0.25</v>
      </c>
      <c r="G6" s="43">
        <v>0</v>
      </c>
      <c r="H6" s="115">
        <v>0</v>
      </c>
      <c r="I6" s="43">
        <v>0</v>
      </c>
      <c r="J6" s="43">
        <v>2.1000000000000001E-2</v>
      </c>
      <c r="K6" s="43">
        <v>3.49217494148967E-4</v>
      </c>
      <c r="L6" s="43">
        <v>0</v>
      </c>
      <c r="M6" s="43">
        <v>0</v>
      </c>
      <c r="N6" s="43">
        <v>0</v>
      </c>
      <c r="O6" s="43">
        <v>0</v>
      </c>
      <c r="P6" s="43">
        <v>0</v>
      </c>
      <c r="Q6" s="15">
        <v>2.4550000000000001E-8</v>
      </c>
      <c r="R6" s="43">
        <v>0</v>
      </c>
      <c r="S6" s="43">
        <v>0</v>
      </c>
      <c r="T6" s="43">
        <v>0</v>
      </c>
      <c r="U6" s="15">
        <v>0</v>
      </c>
      <c r="V6" s="43">
        <v>0</v>
      </c>
      <c r="W6" s="43">
        <v>0</v>
      </c>
      <c r="X6" s="43">
        <v>0</v>
      </c>
      <c r="Y6" s="43">
        <v>0</v>
      </c>
      <c r="Z6" s="43">
        <v>0</v>
      </c>
      <c r="AA6" s="43">
        <v>0</v>
      </c>
      <c r="AB6" s="43">
        <v>0</v>
      </c>
      <c r="AC6" s="43">
        <v>0</v>
      </c>
      <c r="AD6" s="43">
        <v>0</v>
      </c>
      <c r="AE6" s="43">
        <v>0</v>
      </c>
      <c r="AF6" s="43">
        <v>0</v>
      </c>
      <c r="AG6" s="43">
        <v>0</v>
      </c>
      <c r="AH6" s="43">
        <v>0</v>
      </c>
      <c r="AI6" s="43">
        <v>0</v>
      </c>
      <c r="AJ6" s="43">
        <v>0</v>
      </c>
      <c r="AK6" s="43">
        <v>0</v>
      </c>
      <c r="AL6" s="43">
        <v>0</v>
      </c>
      <c r="AM6" s="43">
        <v>0</v>
      </c>
      <c r="AN6" s="43">
        <v>0</v>
      </c>
    </row>
    <row r="7" spans="1:43" ht="14" x14ac:dyDescent="0.3">
      <c r="A7" s="31" t="s">
        <v>2</v>
      </c>
      <c r="B7" s="43">
        <v>0</v>
      </c>
      <c r="C7" s="43">
        <v>0</v>
      </c>
      <c r="D7" s="43">
        <v>0</v>
      </c>
      <c r="E7" s="43">
        <v>0</v>
      </c>
      <c r="F7" s="43">
        <v>0</v>
      </c>
      <c r="G7" s="43">
        <v>0.64</v>
      </c>
      <c r="H7" s="115">
        <v>0.73118226600985003</v>
      </c>
      <c r="I7" s="43">
        <v>0</v>
      </c>
      <c r="J7" s="43">
        <v>0.629</v>
      </c>
      <c r="K7" s="43">
        <v>0.38833768495287102</v>
      </c>
      <c r="L7" s="43">
        <v>0.15</v>
      </c>
      <c r="M7" s="43">
        <v>6.5500000000000003E-2</v>
      </c>
      <c r="N7" s="43">
        <v>0</v>
      </c>
      <c r="O7" s="43">
        <v>0.65</v>
      </c>
      <c r="P7" s="43">
        <v>5.5500000000000001E-2</v>
      </c>
      <c r="Q7" s="15">
        <v>0.13297500000000001</v>
      </c>
      <c r="R7" s="43">
        <v>0</v>
      </c>
      <c r="S7" s="43">
        <v>0</v>
      </c>
      <c r="T7" s="43">
        <v>0</v>
      </c>
      <c r="U7" s="15">
        <v>0</v>
      </c>
      <c r="V7" s="43">
        <v>0</v>
      </c>
      <c r="W7" s="43">
        <v>0.4</v>
      </c>
      <c r="X7" s="43">
        <v>0</v>
      </c>
      <c r="Y7" s="43">
        <v>0.08</v>
      </c>
      <c r="Z7" s="43">
        <v>0</v>
      </c>
      <c r="AA7" s="43">
        <v>0</v>
      </c>
      <c r="AB7" s="43">
        <v>0</v>
      </c>
      <c r="AC7" s="43">
        <v>0</v>
      </c>
      <c r="AD7" s="43">
        <v>2.1299999999999999E-3</v>
      </c>
      <c r="AE7" s="43">
        <v>0</v>
      </c>
      <c r="AF7" s="43">
        <v>0</v>
      </c>
      <c r="AG7" s="43">
        <v>0</v>
      </c>
      <c r="AH7" s="43">
        <v>0</v>
      </c>
      <c r="AI7" s="43">
        <v>0</v>
      </c>
      <c r="AJ7" s="43">
        <v>0</v>
      </c>
      <c r="AK7" s="43">
        <v>0</v>
      </c>
      <c r="AL7" s="43">
        <v>0</v>
      </c>
      <c r="AM7" s="43">
        <v>0</v>
      </c>
      <c r="AN7" s="43">
        <v>0</v>
      </c>
    </row>
    <row r="8" spans="1:43" ht="14" x14ac:dyDescent="0.3">
      <c r="A8" s="31" t="s">
        <v>3</v>
      </c>
      <c r="B8" s="43">
        <v>0</v>
      </c>
      <c r="C8" s="43">
        <v>0</v>
      </c>
      <c r="D8" s="43">
        <v>0</v>
      </c>
      <c r="E8" s="43">
        <v>0</v>
      </c>
      <c r="F8" s="43">
        <v>0</v>
      </c>
      <c r="G8" s="43">
        <v>0.12</v>
      </c>
      <c r="H8" s="115">
        <v>0.10470443349753696</v>
      </c>
      <c r="I8" s="43">
        <v>0</v>
      </c>
      <c r="J8" s="43">
        <v>0.24</v>
      </c>
      <c r="K8" s="43">
        <v>0.36459743678883499</v>
      </c>
      <c r="L8" s="43">
        <v>0.85</v>
      </c>
      <c r="M8" s="43">
        <v>0.20300000000000001</v>
      </c>
      <c r="N8" s="43">
        <v>0.89</v>
      </c>
      <c r="O8" s="43">
        <v>0</v>
      </c>
      <c r="P8" s="43">
        <v>0.32730000000000004</v>
      </c>
      <c r="Q8" s="15">
        <v>0.28149999999999997</v>
      </c>
      <c r="R8" s="43">
        <v>1E-3</v>
      </c>
      <c r="S8" s="43">
        <v>0.14000000000000001</v>
      </c>
      <c r="T8" s="43">
        <v>7.0000000000000001E-3</v>
      </c>
      <c r="U8" s="15">
        <v>6.6049999999999998E-2</v>
      </c>
      <c r="V8" s="43">
        <v>0</v>
      </c>
      <c r="W8" s="43">
        <v>0</v>
      </c>
      <c r="X8" s="43">
        <v>3.9899999999999998E-2</v>
      </c>
      <c r="Y8" s="43">
        <v>1.315E-2</v>
      </c>
      <c r="Z8" s="43">
        <v>0</v>
      </c>
      <c r="AA8" s="43">
        <v>0.16600000000000001</v>
      </c>
      <c r="AB8" s="43">
        <v>3.815E-4</v>
      </c>
      <c r="AC8" s="43">
        <v>0.79299999999999993</v>
      </c>
      <c r="AD8" s="43">
        <v>5.3999999999999999E-2</v>
      </c>
      <c r="AE8" s="43">
        <v>1.0500000000000001E-2</v>
      </c>
      <c r="AF8" s="43">
        <v>0</v>
      </c>
      <c r="AG8" s="43">
        <v>0</v>
      </c>
      <c r="AH8" s="43">
        <v>0.3</v>
      </c>
      <c r="AI8" s="43">
        <v>3.9E-2</v>
      </c>
      <c r="AJ8" s="43">
        <v>0</v>
      </c>
      <c r="AK8" s="43">
        <v>0</v>
      </c>
      <c r="AL8" s="43">
        <v>0</v>
      </c>
      <c r="AM8" s="43">
        <v>0</v>
      </c>
      <c r="AN8" s="43">
        <v>0</v>
      </c>
    </row>
    <row r="9" spans="1:43" ht="14" x14ac:dyDescent="0.3">
      <c r="A9" s="31" t="s">
        <v>15</v>
      </c>
      <c r="B9" s="43">
        <v>0</v>
      </c>
      <c r="C9" s="43">
        <v>0</v>
      </c>
      <c r="D9" s="43">
        <v>0</v>
      </c>
      <c r="E9" s="43">
        <v>0</v>
      </c>
      <c r="F9" s="43">
        <v>0</v>
      </c>
      <c r="G9" s="43">
        <v>0.04</v>
      </c>
      <c r="H9" s="115">
        <v>4.9261083743842402E-2</v>
      </c>
      <c r="I9" s="43">
        <v>0</v>
      </c>
      <c r="J9" s="43">
        <v>0</v>
      </c>
      <c r="K9" s="43">
        <v>0</v>
      </c>
      <c r="L9" s="43">
        <v>0</v>
      </c>
      <c r="M9" s="43">
        <v>0</v>
      </c>
      <c r="N9" s="43">
        <v>0</v>
      </c>
      <c r="O9" s="43">
        <v>0</v>
      </c>
      <c r="P9" s="43">
        <v>0</v>
      </c>
      <c r="Q9" s="15">
        <v>0</v>
      </c>
      <c r="R9" s="43">
        <v>0</v>
      </c>
      <c r="S9" s="43">
        <v>0</v>
      </c>
      <c r="T9" s="43">
        <v>0</v>
      </c>
      <c r="U9" s="15">
        <v>0</v>
      </c>
      <c r="V9" s="43">
        <v>0</v>
      </c>
      <c r="W9" s="43">
        <v>0</v>
      </c>
      <c r="X9" s="43">
        <v>0</v>
      </c>
      <c r="Y9" s="43">
        <v>0</v>
      </c>
      <c r="Z9" s="43">
        <v>0</v>
      </c>
      <c r="AA9" s="43">
        <v>0</v>
      </c>
      <c r="AB9" s="43">
        <v>2.14E-3</v>
      </c>
      <c r="AC9" s="43">
        <v>0</v>
      </c>
      <c r="AD9" s="43">
        <v>0</v>
      </c>
      <c r="AE9" s="43">
        <v>0</v>
      </c>
      <c r="AF9" s="43">
        <v>0</v>
      </c>
      <c r="AG9" s="43">
        <v>0</v>
      </c>
      <c r="AH9" s="43">
        <v>0</v>
      </c>
      <c r="AI9" s="43">
        <v>0</v>
      </c>
      <c r="AJ9" s="43">
        <v>0.25</v>
      </c>
      <c r="AK9" s="43">
        <v>0</v>
      </c>
      <c r="AL9" s="43">
        <v>0</v>
      </c>
      <c r="AM9" s="43">
        <v>0</v>
      </c>
      <c r="AN9" s="43">
        <v>0</v>
      </c>
    </row>
    <row r="10" spans="1:43" ht="14.5" x14ac:dyDescent="0.3">
      <c r="A10" s="32" t="s">
        <v>65</v>
      </c>
      <c r="B10" s="43">
        <v>0</v>
      </c>
      <c r="C10" s="43">
        <v>0</v>
      </c>
      <c r="D10" s="43">
        <v>0</v>
      </c>
      <c r="E10" s="43">
        <v>0</v>
      </c>
      <c r="F10" s="43">
        <v>0</v>
      </c>
      <c r="G10" s="43">
        <v>0</v>
      </c>
      <c r="H10" s="43">
        <v>0</v>
      </c>
      <c r="I10" s="43">
        <v>0</v>
      </c>
      <c r="J10" s="43">
        <v>0</v>
      </c>
      <c r="K10" s="43">
        <v>0</v>
      </c>
      <c r="L10" s="43">
        <v>0</v>
      </c>
      <c r="M10" s="43">
        <v>0</v>
      </c>
      <c r="N10" s="43">
        <v>0</v>
      </c>
      <c r="O10" s="43">
        <v>0</v>
      </c>
      <c r="P10" s="43">
        <v>0</v>
      </c>
      <c r="Q10" s="15">
        <v>0</v>
      </c>
      <c r="R10" s="43">
        <v>0</v>
      </c>
      <c r="S10" s="43">
        <v>0</v>
      </c>
      <c r="T10" s="43">
        <v>0</v>
      </c>
      <c r="U10" s="15">
        <v>0</v>
      </c>
      <c r="V10" s="43">
        <v>0</v>
      </c>
      <c r="W10" s="43">
        <v>0</v>
      </c>
      <c r="X10" s="43">
        <v>0</v>
      </c>
      <c r="Y10" s="43">
        <v>0.09</v>
      </c>
      <c r="Z10" s="43">
        <v>0</v>
      </c>
      <c r="AA10" s="43">
        <v>0</v>
      </c>
      <c r="AB10" s="43">
        <v>0</v>
      </c>
      <c r="AC10" s="43">
        <v>0</v>
      </c>
      <c r="AD10" s="43">
        <v>0</v>
      </c>
      <c r="AE10" s="43">
        <v>0</v>
      </c>
      <c r="AF10" s="43">
        <v>0</v>
      </c>
      <c r="AG10" s="43">
        <v>0</v>
      </c>
      <c r="AH10" s="43">
        <v>0</v>
      </c>
      <c r="AI10" s="43">
        <v>0.42</v>
      </c>
      <c r="AJ10" s="43">
        <v>0.75</v>
      </c>
      <c r="AK10" s="43">
        <v>0</v>
      </c>
      <c r="AL10" s="43">
        <v>0</v>
      </c>
      <c r="AM10" s="43">
        <v>0</v>
      </c>
      <c r="AN10" s="43">
        <v>0</v>
      </c>
    </row>
    <row r="11" spans="1:43" ht="14" x14ac:dyDescent="0.3">
      <c r="A11" s="31" t="s">
        <v>4</v>
      </c>
      <c r="B11" s="43">
        <v>0</v>
      </c>
      <c r="C11" s="43">
        <v>0</v>
      </c>
      <c r="D11" s="43">
        <v>0</v>
      </c>
      <c r="E11" s="43">
        <v>0</v>
      </c>
      <c r="F11" s="43">
        <v>0</v>
      </c>
      <c r="G11" s="43">
        <v>0</v>
      </c>
      <c r="H11" s="43">
        <v>0</v>
      </c>
      <c r="I11" s="43">
        <v>0.05</v>
      </c>
      <c r="J11" s="43">
        <v>0</v>
      </c>
      <c r="K11" s="43">
        <v>0</v>
      </c>
      <c r="L11" s="43">
        <v>0</v>
      </c>
      <c r="M11" s="43">
        <v>0</v>
      </c>
      <c r="N11" s="43">
        <v>0</v>
      </c>
      <c r="O11" s="43">
        <v>0</v>
      </c>
      <c r="P11" s="43">
        <v>1.2500000000000001E-2</v>
      </c>
      <c r="Q11" s="15">
        <v>5.0000000000000001E-3</v>
      </c>
      <c r="R11" s="43">
        <v>0</v>
      </c>
      <c r="S11" s="43">
        <v>0.154</v>
      </c>
      <c r="T11" s="43">
        <v>3.5000000000000003E-2</v>
      </c>
      <c r="U11" s="15">
        <v>2.5000000000000001E-3</v>
      </c>
      <c r="V11" s="43">
        <v>0.14000000000000001</v>
      </c>
      <c r="W11" s="43">
        <v>0</v>
      </c>
      <c r="X11" s="43">
        <v>0.5585</v>
      </c>
      <c r="Y11" s="43">
        <v>0.32</v>
      </c>
      <c r="Z11" s="43">
        <v>0.114</v>
      </c>
      <c r="AA11" s="43">
        <v>0.62149999999999994</v>
      </c>
      <c r="AB11" s="43">
        <v>0.55695000000000006</v>
      </c>
      <c r="AC11" s="43">
        <v>9.8150000000000001E-2</v>
      </c>
      <c r="AD11" s="43">
        <v>0.77800000000000002</v>
      </c>
      <c r="AE11" s="43">
        <v>4.1500000000000002E-2</v>
      </c>
      <c r="AF11" s="43">
        <v>0</v>
      </c>
      <c r="AG11" s="43">
        <v>0</v>
      </c>
      <c r="AH11" s="43">
        <v>0</v>
      </c>
      <c r="AI11" s="43">
        <v>0.54</v>
      </c>
      <c r="AJ11" s="43">
        <v>0</v>
      </c>
      <c r="AK11" s="43">
        <v>0</v>
      </c>
      <c r="AL11" s="43">
        <v>0</v>
      </c>
      <c r="AM11" s="43">
        <v>0</v>
      </c>
      <c r="AN11" s="43">
        <v>0</v>
      </c>
    </row>
    <row r="12" spans="1:43" ht="14" x14ac:dyDescent="0.3">
      <c r="A12" s="31" t="s">
        <v>17</v>
      </c>
      <c r="B12" s="43">
        <v>0</v>
      </c>
      <c r="C12" s="43">
        <v>0</v>
      </c>
      <c r="D12" s="43">
        <v>0</v>
      </c>
      <c r="E12" s="43">
        <v>0</v>
      </c>
      <c r="F12" s="43">
        <v>0</v>
      </c>
      <c r="G12" s="43">
        <v>0</v>
      </c>
      <c r="H12" s="43">
        <v>0</v>
      </c>
      <c r="I12" s="43">
        <v>0</v>
      </c>
      <c r="J12" s="43">
        <v>0</v>
      </c>
      <c r="K12" s="43">
        <v>0</v>
      </c>
      <c r="L12" s="43">
        <v>0</v>
      </c>
      <c r="M12" s="43">
        <v>0</v>
      </c>
      <c r="N12" s="43">
        <v>0</v>
      </c>
      <c r="O12" s="43">
        <v>0</v>
      </c>
      <c r="P12" s="43">
        <v>0.05</v>
      </c>
      <c r="Q12" s="15">
        <v>4.9250000000000002E-2</v>
      </c>
      <c r="R12" s="43">
        <v>0</v>
      </c>
      <c r="S12" s="43">
        <v>0.05</v>
      </c>
      <c r="T12" s="43">
        <v>0</v>
      </c>
      <c r="U12" s="15">
        <v>0</v>
      </c>
      <c r="V12" s="43">
        <v>0</v>
      </c>
      <c r="W12" s="43">
        <v>0</v>
      </c>
      <c r="X12" s="43">
        <v>2.3800000000000002E-2</v>
      </c>
      <c r="Y12" s="43">
        <v>0</v>
      </c>
      <c r="Z12" s="43">
        <v>0</v>
      </c>
      <c r="AA12" s="43">
        <v>0</v>
      </c>
      <c r="AB12" s="43">
        <v>8.6499999999999997E-3</v>
      </c>
      <c r="AC12" s="43">
        <v>0</v>
      </c>
      <c r="AD12" s="43">
        <v>0</v>
      </c>
      <c r="AE12" s="43">
        <v>0</v>
      </c>
      <c r="AF12" s="43">
        <v>0.2235</v>
      </c>
      <c r="AG12" s="43">
        <v>0</v>
      </c>
      <c r="AH12" s="43">
        <v>0</v>
      </c>
      <c r="AI12" s="43">
        <v>0</v>
      </c>
      <c r="AJ12" s="43">
        <v>0</v>
      </c>
      <c r="AK12" s="43">
        <v>0</v>
      </c>
      <c r="AL12" s="43">
        <v>0</v>
      </c>
      <c r="AM12" s="43">
        <v>0</v>
      </c>
      <c r="AN12" s="43">
        <v>0</v>
      </c>
    </row>
    <row r="13" spans="1:43" ht="14" x14ac:dyDescent="0.3">
      <c r="A13" s="31" t="s">
        <v>18</v>
      </c>
      <c r="B13" s="43">
        <v>0</v>
      </c>
      <c r="C13" s="43">
        <v>0</v>
      </c>
      <c r="D13" s="43">
        <v>0</v>
      </c>
      <c r="E13" s="43">
        <v>0</v>
      </c>
      <c r="F13" s="43">
        <v>0</v>
      </c>
      <c r="G13" s="43">
        <v>0</v>
      </c>
      <c r="H13" s="43">
        <v>0</v>
      </c>
      <c r="I13" s="43">
        <v>0</v>
      </c>
      <c r="J13" s="43">
        <v>0</v>
      </c>
      <c r="K13" s="43">
        <v>0</v>
      </c>
      <c r="L13" s="43">
        <v>0</v>
      </c>
      <c r="M13" s="43">
        <v>6.8000000000000005E-2</v>
      </c>
      <c r="N13" s="43">
        <v>0</v>
      </c>
      <c r="O13" s="43">
        <v>0</v>
      </c>
      <c r="P13" s="43">
        <v>0.375</v>
      </c>
      <c r="Q13" s="15">
        <v>0.40034999999999998</v>
      </c>
      <c r="R13" s="43">
        <v>0.66049999999999998</v>
      </c>
      <c r="S13" s="43">
        <v>0.2135</v>
      </c>
      <c r="T13" s="43">
        <v>0.36</v>
      </c>
      <c r="U13" s="15">
        <v>1.4E-2</v>
      </c>
      <c r="V13" s="43">
        <v>0.5</v>
      </c>
      <c r="W13" s="43">
        <v>0</v>
      </c>
      <c r="X13" s="43">
        <v>0.08</v>
      </c>
      <c r="Y13" s="43">
        <v>0</v>
      </c>
      <c r="Z13" s="43">
        <v>0</v>
      </c>
      <c r="AA13" s="43">
        <v>5.9000000000000004E-2</v>
      </c>
      <c r="AB13" s="43">
        <v>0.187</v>
      </c>
      <c r="AC13" s="43">
        <v>0</v>
      </c>
      <c r="AD13" s="43">
        <v>9.9000000000000005E-2</v>
      </c>
      <c r="AE13" s="43">
        <v>0.21199999999999999</v>
      </c>
      <c r="AF13" s="43">
        <v>0.62749999999999995</v>
      </c>
      <c r="AG13" s="43">
        <v>0.45800000000000002</v>
      </c>
      <c r="AH13" s="43">
        <v>0.1</v>
      </c>
      <c r="AI13" s="43">
        <v>3.0000000000000001E-3</v>
      </c>
      <c r="AJ13" s="43">
        <v>0</v>
      </c>
      <c r="AK13" s="43">
        <v>0</v>
      </c>
      <c r="AL13" s="43">
        <v>0</v>
      </c>
      <c r="AM13" s="43">
        <v>0</v>
      </c>
      <c r="AN13" s="43">
        <v>0</v>
      </c>
    </row>
    <row r="14" spans="1:43" ht="14" x14ac:dyDescent="0.3">
      <c r="A14" s="31" t="s">
        <v>19</v>
      </c>
      <c r="B14" s="43">
        <v>0</v>
      </c>
      <c r="C14" s="43">
        <v>0</v>
      </c>
      <c r="D14" s="43">
        <v>0</v>
      </c>
      <c r="E14" s="43">
        <v>0</v>
      </c>
      <c r="F14" s="43">
        <v>0</v>
      </c>
      <c r="G14" s="43">
        <v>0</v>
      </c>
      <c r="H14" s="43">
        <v>0</v>
      </c>
      <c r="I14" s="43">
        <v>0</v>
      </c>
      <c r="J14" s="43">
        <v>0</v>
      </c>
      <c r="K14" s="43">
        <v>0</v>
      </c>
      <c r="L14" s="43">
        <v>0</v>
      </c>
      <c r="M14" s="43">
        <v>0.38</v>
      </c>
      <c r="N14" s="43">
        <v>0</v>
      </c>
      <c r="O14" s="43">
        <v>0</v>
      </c>
      <c r="P14" s="43">
        <v>0</v>
      </c>
      <c r="Q14" s="15">
        <v>1.6175E-3</v>
      </c>
      <c r="R14" s="43">
        <v>0</v>
      </c>
      <c r="S14" s="43">
        <v>0.08</v>
      </c>
      <c r="T14" s="43">
        <v>8.4000000000000005E-2</v>
      </c>
      <c r="U14" s="15">
        <v>1.55E-2</v>
      </c>
      <c r="V14" s="43">
        <v>0</v>
      </c>
      <c r="W14" s="43">
        <v>0</v>
      </c>
      <c r="X14" s="43">
        <v>0</v>
      </c>
      <c r="Y14" s="43">
        <v>0</v>
      </c>
      <c r="Z14" s="43">
        <v>0</v>
      </c>
      <c r="AA14" s="43">
        <v>0</v>
      </c>
      <c r="AB14" s="43">
        <v>4.8700000000000002E-4</v>
      </c>
      <c r="AC14" s="43">
        <v>0</v>
      </c>
      <c r="AD14" s="43">
        <v>0</v>
      </c>
      <c r="AE14" s="43">
        <v>0</v>
      </c>
      <c r="AF14" s="43">
        <v>0</v>
      </c>
      <c r="AG14" s="43">
        <v>3.0975000000000003E-2</v>
      </c>
      <c r="AH14" s="43">
        <v>0</v>
      </c>
      <c r="AI14" s="43">
        <v>0</v>
      </c>
      <c r="AJ14" s="43">
        <v>0</v>
      </c>
      <c r="AK14" s="43">
        <v>0</v>
      </c>
      <c r="AL14" s="43">
        <v>0</v>
      </c>
      <c r="AM14" s="43">
        <v>0</v>
      </c>
      <c r="AN14" s="43">
        <v>0</v>
      </c>
    </row>
    <row r="15" spans="1:43" ht="14" x14ac:dyDescent="0.3">
      <c r="A15" s="31" t="s">
        <v>20</v>
      </c>
      <c r="B15" s="43">
        <v>0</v>
      </c>
      <c r="C15" s="43">
        <v>0</v>
      </c>
      <c r="D15" s="43">
        <v>0</v>
      </c>
      <c r="E15" s="43">
        <v>0</v>
      </c>
      <c r="F15" s="43">
        <v>0</v>
      </c>
      <c r="G15" s="43">
        <v>0</v>
      </c>
      <c r="H15" s="43">
        <v>0</v>
      </c>
      <c r="I15" s="43">
        <v>0</v>
      </c>
      <c r="J15" s="43">
        <v>0</v>
      </c>
      <c r="K15" s="43">
        <v>0</v>
      </c>
      <c r="L15" s="43">
        <v>0</v>
      </c>
      <c r="M15" s="43">
        <v>0.14000000000000001</v>
      </c>
      <c r="N15" s="43">
        <v>0</v>
      </c>
      <c r="O15" s="43">
        <v>0</v>
      </c>
      <c r="P15" s="43">
        <v>0</v>
      </c>
      <c r="Q15" s="15">
        <v>0</v>
      </c>
      <c r="R15" s="43">
        <v>3.5700000000000003E-2</v>
      </c>
      <c r="S15" s="43">
        <v>4.2000000000000003E-2</v>
      </c>
      <c r="T15" s="43">
        <v>6.0000000000000001E-3</v>
      </c>
      <c r="U15" s="15">
        <v>5.5500000000000001E-2</v>
      </c>
      <c r="V15" s="43">
        <v>0</v>
      </c>
      <c r="W15" s="43">
        <v>0</v>
      </c>
      <c r="X15" s="43">
        <v>1.3350000000000001E-2</v>
      </c>
      <c r="Y15" s="43">
        <v>0</v>
      </c>
      <c r="Z15" s="43">
        <v>0</v>
      </c>
      <c r="AA15" s="43">
        <v>0</v>
      </c>
      <c r="AB15" s="43">
        <v>2.32E-3</v>
      </c>
      <c r="AC15" s="43">
        <v>0</v>
      </c>
      <c r="AD15" s="43">
        <v>0</v>
      </c>
      <c r="AE15" s="43">
        <v>0.35449999999999998</v>
      </c>
      <c r="AF15" s="43">
        <v>0</v>
      </c>
      <c r="AG15" s="43">
        <v>0</v>
      </c>
      <c r="AH15" s="43">
        <v>0.2</v>
      </c>
      <c r="AI15" s="43">
        <v>0</v>
      </c>
      <c r="AJ15" s="43">
        <v>0</v>
      </c>
      <c r="AK15" s="43">
        <v>0</v>
      </c>
      <c r="AL15" s="43">
        <v>0</v>
      </c>
      <c r="AM15" s="43">
        <v>0</v>
      </c>
      <c r="AN15" s="43">
        <v>0</v>
      </c>
    </row>
    <row r="16" spans="1:43" ht="14" x14ac:dyDescent="0.3">
      <c r="A16" s="31" t="s">
        <v>21</v>
      </c>
      <c r="B16" s="43">
        <v>0</v>
      </c>
      <c r="C16" s="43">
        <v>0</v>
      </c>
      <c r="D16" s="43">
        <v>0</v>
      </c>
      <c r="E16" s="43">
        <v>0</v>
      </c>
      <c r="F16" s="43">
        <v>0</v>
      </c>
      <c r="G16" s="43">
        <v>0</v>
      </c>
      <c r="H16" s="43">
        <v>0</v>
      </c>
      <c r="I16" s="43">
        <v>0</v>
      </c>
      <c r="J16" s="43">
        <v>0</v>
      </c>
      <c r="K16" s="43">
        <v>0</v>
      </c>
      <c r="L16" s="43">
        <v>0</v>
      </c>
      <c r="M16" s="43">
        <v>7.0000000000000007E-2</v>
      </c>
      <c r="N16" s="43">
        <v>0</v>
      </c>
      <c r="O16" s="43">
        <v>0</v>
      </c>
      <c r="P16" s="43">
        <v>0.03</v>
      </c>
      <c r="Q16" s="15">
        <v>4.0500000000000001E-2</v>
      </c>
      <c r="R16" s="43">
        <v>4.4249999999999998E-2</v>
      </c>
      <c r="S16" s="43">
        <v>5.7500000000000002E-2</v>
      </c>
      <c r="T16" s="43">
        <v>4.0000000000000001E-3</v>
      </c>
      <c r="U16" s="15">
        <v>3.5000000000000001E-3</v>
      </c>
      <c r="V16" s="43">
        <v>0</v>
      </c>
      <c r="W16" s="43">
        <v>0</v>
      </c>
      <c r="X16" s="43">
        <v>6.4500000000000002E-2</v>
      </c>
      <c r="Y16" s="43">
        <v>0</v>
      </c>
      <c r="Z16" s="43">
        <v>3.7099999999999994E-2</v>
      </c>
      <c r="AA16" s="43">
        <v>2.2499999999999999E-2</v>
      </c>
      <c r="AB16" s="43">
        <v>1.9465E-2</v>
      </c>
      <c r="AC16" s="43">
        <v>0</v>
      </c>
      <c r="AD16" s="43">
        <v>0</v>
      </c>
      <c r="AE16" s="43">
        <v>0.09</v>
      </c>
      <c r="AF16" s="43">
        <v>0</v>
      </c>
      <c r="AG16" s="43">
        <v>0</v>
      </c>
      <c r="AH16" s="43">
        <v>0</v>
      </c>
      <c r="AI16" s="43">
        <v>0</v>
      </c>
      <c r="AJ16" s="43">
        <v>0</v>
      </c>
      <c r="AK16" s="43">
        <v>0</v>
      </c>
      <c r="AL16" s="43">
        <v>0</v>
      </c>
      <c r="AM16" s="43">
        <v>0</v>
      </c>
      <c r="AN16" s="43">
        <v>0</v>
      </c>
    </row>
    <row r="17" spans="1:40" ht="14" x14ac:dyDescent="0.3">
      <c r="A17" s="31" t="s">
        <v>22</v>
      </c>
      <c r="B17" s="43">
        <v>0</v>
      </c>
      <c r="C17" s="43">
        <v>0</v>
      </c>
      <c r="D17" s="43">
        <v>0</v>
      </c>
      <c r="E17" s="43">
        <v>0</v>
      </c>
      <c r="F17" s="43">
        <v>0</v>
      </c>
      <c r="G17" s="43">
        <v>0</v>
      </c>
      <c r="H17" s="43">
        <v>0</v>
      </c>
      <c r="I17" s="43">
        <v>0</v>
      </c>
      <c r="J17" s="43">
        <v>0</v>
      </c>
      <c r="K17" s="43">
        <v>0</v>
      </c>
      <c r="L17" s="43">
        <v>0</v>
      </c>
      <c r="M17" s="43">
        <v>4.1300000000000003E-2</v>
      </c>
      <c r="N17" s="43">
        <v>0</v>
      </c>
      <c r="O17" s="43">
        <v>0</v>
      </c>
      <c r="P17" s="43">
        <v>1.7250000000000001E-2</v>
      </c>
      <c r="Q17" s="15">
        <v>3.5000000000000003E-2</v>
      </c>
      <c r="R17" s="43">
        <v>0.10564</v>
      </c>
      <c r="S17" s="43">
        <v>8.4000000000000005E-2</v>
      </c>
      <c r="T17" s="43">
        <v>0.14000000000000001</v>
      </c>
      <c r="U17" s="15">
        <v>0.01</v>
      </c>
      <c r="V17" s="43">
        <v>0</v>
      </c>
      <c r="W17" s="43">
        <v>0</v>
      </c>
      <c r="X17" s="43">
        <v>3.4150000000000001E-3</v>
      </c>
      <c r="Y17" s="43">
        <v>0</v>
      </c>
      <c r="Z17" s="43">
        <v>0</v>
      </c>
      <c r="AA17" s="43">
        <v>6.1849999999999995E-3</v>
      </c>
      <c r="AB17" s="43">
        <v>0.05</v>
      </c>
      <c r="AC17" s="43">
        <v>0.109</v>
      </c>
      <c r="AD17" s="43">
        <v>6.1499999999999999E-4</v>
      </c>
      <c r="AE17" s="43">
        <v>0</v>
      </c>
      <c r="AF17" s="43">
        <v>8.09E-2</v>
      </c>
      <c r="AG17" s="43">
        <v>8.3550000000000013E-3</v>
      </c>
      <c r="AH17" s="43">
        <v>0</v>
      </c>
      <c r="AI17" s="43">
        <v>0</v>
      </c>
      <c r="AJ17" s="43">
        <v>0</v>
      </c>
      <c r="AK17" s="43">
        <v>0</v>
      </c>
      <c r="AL17" s="43">
        <v>0</v>
      </c>
      <c r="AM17" s="43">
        <v>0</v>
      </c>
      <c r="AN17" s="43">
        <v>0</v>
      </c>
    </row>
    <row r="18" spans="1:40" ht="14" x14ac:dyDescent="0.3">
      <c r="A18" s="31" t="s">
        <v>5</v>
      </c>
      <c r="B18" s="43">
        <v>0</v>
      </c>
      <c r="C18" s="43">
        <v>0</v>
      </c>
      <c r="D18" s="43">
        <v>0</v>
      </c>
      <c r="E18" s="43">
        <v>0</v>
      </c>
      <c r="F18" s="43">
        <v>0</v>
      </c>
      <c r="G18" s="43">
        <v>0</v>
      </c>
      <c r="H18" s="43">
        <v>0</v>
      </c>
      <c r="I18" s="43">
        <v>0</v>
      </c>
      <c r="J18" s="43">
        <v>0</v>
      </c>
      <c r="K18" s="43">
        <v>0</v>
      </c>
      <c r="L18" s="43">
        <v>0</v>
      </c>
      <c r="M18" s="43">
        <v>0</v>
      </c>
      <c r="N18" s="43">
        <v>0</v>
      </c>
      <c r="O18" s="43">
        <v>0</v>
      </c>
      <c r="P18" s="43">
        <v>0</v>
      </c>
      <c r="Q18" s="15">
        <v>0</v>
      </c>
      <c r="R18" s="43">
        <v>0</v>
      </c>
      <c r="S18" s="43">
        <v>0</v>
      </c>
      <c r="T18" s="43">
        <v>0</v>
      </c>
      <c r="U18" s="15">
        <v>2.5000000000000001E-3</v>
      </c>
      <c r="V18" s="43">
        <v>0</v>
      </c>
      <c r="W18" s="43">
        <v>0</v>
      </c>
      <c r="X18" s="43">
        <v>2.9850000000000002E-3</v>
      </c>
      <c r="Y18" s="43">
        <v>0</v>
      </c>
      <c r="Z18" s="43">
        <v>0</v>
      </c>
      <c r="AA18" s="43">
        <v>0</v>
      </c>
      <c r="AB18" s="43">
        <v>0</v>
      </c>
      <c r="AC18" s="43">
        <v>0</v>
      </c>
      <c r="AD18" s="43">
        <v>0</v>
      </c>
      <c r="AE18" s="43">
        <v>1.0500000000000001E-2</v>
      </c>
      <c r="AF18" s="43">
        <v>7.4999999999999997E-3</v>
      </c>
      <c r="AG18" s="43">
        <v>1.5949999999999999E-2</v>
      </c>
      <c r="AH18" s="43">
        <v>0.2</v>
      </c>
      <c r="AI18" s="43">
        <v>0</v>
      </c>
      <c r="AJ18" s="43">
        <v>0</v>
      </c>
      <c r="AK18" s="43">
        <v>0</v>
      </c>
      <c r="AL18" s="43">
        <v>0</v>
      </c>
      <c r="AM18" s="43">
        <v>0</v>
      </c>
      <c r="AN18" s="43">
        <v>0</v>
      </c>
    </row>
    <row r="19" spans="1:40" ht="14" x14ac:dyDescent="0.3">
      <c r="A19" s="31" t="s">
        <v>23</v>
      </c>
      <c r="B19" s="43">
        <v>0</v>
      </c>
      <c r="C19" s="43">
        <v>0</v>
      </c>
      <c r="D19" s="43">
        <v>0</v>
      </c>
      <c r="E19" s="43">
        <v>0</v>
      </c>
      <c r="F19" s="43">
        <v>0</v>
      </c>
      <c r="G19" s="43">
        <v>0</v>
      </c>
      <c r="H19" s="43">
        <v>0</v>
      </c>
      <c r="I19" s="43">
        <v>0</v>
      </c>
      <c r="J19" s="43">
        <v>0</v>
      </c>
      <c r="K19" s="43">
        <v>0</v>
      </c>
      <c r="L19" s="43">
        <v>0</v>
      </c>
      <c r="M19" s="43">
        <v>0</v>
      </c>
      <c r="N19" s="43">
        <v>0</v>
      </c>
      <c r="O19" s="43">
        <v>0</v>
      </c>
      <c r="P19" s="43">
        <v>0</v>
      </c>
      <c r="Q19" s="15">
        <v>0</v>
      </c>
      <c r="R19" s="43">
        <v>0</v>
      </c>
      <c r="S19" s="43">
        <v>0</v>
      </c>
      <c r="T19" s="43">
        <v>0</v>
      </c>
      <c r="U19" s="15">
        <v>3.7999999999999999E-2</v>
      </c>
      <c r="V19" s="43">
        <v>0</v>
      </c>
      <c r="W19" s="43">
        <v>0</v>
      </c>
      <c r="X19" s="43">
        <v>0</v>
      </c>
      <c r="Y19" s="43">
        <v>0</v>
      </c>
      <c r="Z19" s="43">
        <v>0</v>
      </c>
      <c r="AA19" s="43">
        <v>0</v>
      </c>
      <c r="AB19" s="43">
        <v>0</v>
      </c>
      <c r="AC19" s="43">
        <v>0</v>
      </c>
      <c r="AD19" s="43">
        <v>0</v>
      </c>
      <c r="AE19" s="43">
        <v>0</v>
      </c>
      <c r="AF19" s="43">
        <v>0</v>
      </c>
      <c r="AG19" s="43">
        <v>0</v>
      </c>
      <c r="AH19" s="43">
        <v>0.2</v>
      </c>
      <c r="AI19" s="43">
        <v>0</v>
      </c>
      <c r="AJ19" s="43">
        <v>0</v>
      </c>
      <c r="AK19" s="43">
        <v>0</v>
      </c>
      <c r="AL19" s="43">
        <v>0</v>
      </c>
      <c r="AM19" s="43">
        <v>0</v>
      </c>
      <c r="AN19" s="43">
        <v>0</v>
      </c>
    </row>
    <row r="20" spans="1:40" ht="14" x14ac:dyDescent="0.3">
      <c r="A20" s="31" t="s">
        <v>24</v>
      </c>
      <c r="B20" s="43">
        <v>0</v>
      </c>
      <c r="C20" s="43">
        <v>0</v>
      </c>
      <c r="D20" s="43">
        <v>0</v>
      </c>
      <c r="E20" s="43">
        <v>0</v>
      </c>
      <c r="F20" s="43">
        <v>0</v>
      </c>
      <c r="G20" s="43">
        <v>0</v>
      </c>
      <c r="H20" s="43">
        <v>0</v>
      </c>
      <c r="I20" s="43">
        <v>0</v>
      </c>
      <c r="J20" s="43">
        <v>0</v>
      </c>
      <c r="K20" s="43">
        <v>0</v>
      </c>
      <c r="L20" s="43">
        <v>0</v>
      </c>
      <c r="M20" s="43">
        <v>0</v>
      </c>
      <c r="N20" s="43">
        <v>0</v>
      </c>
      <c r="O20" s="43">
        <v>0</v>
      </c>
      <c r="P20" s="43">
        <v>0</v>
      </c>
      <c r="Q20" s="15">
        <v>0</v>
      </c>
      <c r="R20" s="43">
        <v>0</v>
      </c>
      <c r="S20" s="43">
        <v>1.5E-3</v>
      </c>
      <c r="T20" s="43">
        <v>0</v>
      </c>
      <c r="U20" s="15">
        <v>0</v>
      </c>
      <c r="V20" s="43">
        <v>0</v>
      </c>
      <c r="W20" s="43">
        <v>0</v>
      </c>
      <c r="X20" s="43">
        <v>2.5000000000000001E-3</v>
      </c>
      <c r="Y20" s="43">
        <v>0</v>
      </c>
      <c r="Z20" s="43">
        <v>0</v>
      </c>
      <c r="AA20" s="43">
        <v>0</v>
      </c>
      <c r="AB20" s="43">
        <v>1.5349999999999999E-3</v>
      </c>
      <c r="AC20" s="43">
        <v>0</v>
      </c>
      <c r="AD20" s="43">
        <v>0</v>
      </c>
      <c r="AE20" s="43">
        <v>0.1842</v>
      </c>
      <c r="AF20" s="43">
        <v>0</v>
      </c>
      <c r="AG20" s="43">
        <v>0</v>
      </c>
      <c r="AH20" s="43">
        <v>0</v>
      </c>
      <c r="AI20" s="43">
        <v>0</v>
      </c>
      <c r="AJ20" s="43">
        <v>0</v>
      </c>
      <c r="AK20" s="43">
        <v>0</v>
      </c>
      <c r="AL20" s="43">
        <v>0</v>
      </c>
      <c r="AM20" s="43">
        <v>0</v>
      </c>
      <c r="AN20" s="43">
        <v>0</v>
      </c>
    </row>
    <row r="21" spans="1:40" ht="14" x14ac:dyDescent="0.3">
      <c r="A21" s="31" t="s">
        <v>25</v>
      </c>
      <c r="B21" s="43">
        <v>0</v>
      </c>
      <c r="C21" s="43">
        <v>0</v>
      </c>
      <c r="D21" s="43">
        <v>0</v>
      </c>
      <c r="E21" s="43">
        <v>0</v>
      </c>
      <c r="F21" s="43">
        <v>0</v>
      </c>
      <c r="G21" s="43">
        <v>0</v>
      </c>
      <c r="H21" s="43">
        <v>0</v>
      </c>
      <c r="I21" s="43">
        <v>0</v>
      </c>
      <c r="J21" s="43">
        <v>0</v>
      </c>
      <c r="K21" s="43">
        <v>0</v>
      </c>
      <c r="L21" s="43">
        <v>0</v>
      </c>
      <c r="M21" s="43">
        <v>3.1899999999999998E-2</v>
      </c>
      <c r="N21" s="43">
        <v>0</v>
      </c>
      <c r="O21" s="43">
        <v>0</v>
      </c>
      <c r="P21" s="43">
        <v>0</v>
      </c>
      <c r="Q21" s="15">
        <v>0</v>
      </c>
      <c r="R21" s="43">
        <v>0</v>
      </c>
      <c r="S21" s="43">
        <v>0</v>
      </c>
      <c r="T21" s="43">
        <v>0</v>
      </c>
      <c r="U21" s="15">
        <v>0.39600000000000002</v>
      </c>
      <c r="V21" s="43">
        <v>0</v>
      </c>
      <c r="W21" s="43">
        <v>0</v>
      </c>
      <c r="X21" s="43">
        <v>0</v>
      </c>
      <c r="Y21" s="43">
        <v>0</v>
      </c>
      <c r="Z21" s="43">
        <v>0</v>
      </c>
      <c r="AA21" s="43">
        <v>0</v>
      </c>
      <c r="AB21" s="43">
        <v>0</v>
      </c>
      <c r="AC21" s="43">
        <v>0</v>
      </c>
      <c r="AD21" s="43">
        <v>0</v>
      </c>
      <c r="AE21" s="43">
        <v>5.6000000000000001E-2</v>
      </c>
      <c r="AF21" s="43">
        <v>0</v>
      </c>
      <c r="AG21" s="43">
        <v>0</v>
      </c>
      <c r="AH21" s="43">
        <v>0</v>
      </c>
      <c r="AI21" s="43">
        <v>0</v>
      </c>
      <c r="AJ21" s="43">
        <v>0</v>
      </c>
      <c r="AK21" s="43">
        <v>0</v>
      </c>
      <c r="AL21" s="43">
        <v>0</v>
      </c>
      <c r="AM21" s="43">
        <v>0</v>
      </c>
      <c r="AN21" s="43">
        <v>0</v>
      </c>
    </row>
    <row r="22" spans="1:40" ht="14" x14ac:dyDescent="0.3">
      <c r="A22" s="31" t="s">
        <v>6</v>
      </c>
      <c r="B22" s="43">
        <v>0</v>
      </c>
      <c r="C22" s="43">
        <v>0</v>
      </c>
      <c r="D22" s="43">
        <v>0</v>
      </c>
      <c r="E22" s="43">
        <v>0</v>
      </c>
      <c r="F22" s="43">
        <v>0</v>
      </c>
      <c r="G22" s="43">
        <v>0</v>
      </c>
      <c r="H22" s="43">
        <v>0</v>
      </c>
      <c r="I22" s="43">
        <v>0</v>
      </c>
      <c r="J22" s="43">
        <v>0</v>
      </c>
      <c r="K22" s="43">
        <v>0</v>
      </c>
      <c r="L22" s="43">
        <v>0</v>
      </c>
      <c r="M22" s="43">
        <v>0</v>
      </c>
      <c r="N22" s="43">
        <v>0</v>
      </c>
      <c r="O22" s="43">
        <v>0</v>
      </c>
      <c r="P22" s="43">
        <v>0</v>
      </c>
      <c r="Q22" s="15">
        <v>0</v>
      </c>
      <c r="R22" s="43">
        <v>0</v>
      </c>
      <c r="S22" s="43">
        <v>0</v>
      </c>
      <c r="T22" s="43">
        <v>0</v>
      </c>
      <c r="U22" s="15">
        <v>0</v>
      </c>
      <c r="V22" s="43">
        <v>0</v>
      </c>
      <c r="W22" s="43">
        <v>0</v>
      </c>
      <c r="X22" s="43">
        <v>2.4549999999999999E-2</v>
      </c>
      <c r="Y22" s="43">
        <v>0</v>
      </c>
      <c r="Z22" s="43">
        <v>0.216</v>
      </c>
      <c r="AA22" s="43">
        <v>0</v>
      </c>
      <c r="AB22" s="43">
        <v>0</v>
      </c>
      <c r="AC22" s="43">
        <v>0</v>
      </c>
      <c r="AD22" s="43">
        <v>0</v>
      </c>
      <c r="AE22" s="43">
        <v>8.094500000000001E-3</v>
      </c>
      <c r="AF22" s="43">
        <v>0</v>
      </c>
      <c r="AG22" s="43">
        <v>0</v>
      </c>
      <c r="AH22" s="43">
        <v>0</v>
      </c>
      <c r="AI22" s="43">
        <v>0</v>
      </c>
      <c r="AJ22" s="43">
        <v>0</v>
      </c>
      <c r="AK22" s="43">
        <v>0</v>
      </c>
      <c r="AL22" s="43">
        <v>0</v>
      </c>
      <c r="AM22" s="43">
        <v>0</v>
      </c>
      <c r="AN22" s="43">
        <v>0</v>
      </c>
    </row>
    <row r="23" spans="1:40" ht="14" x14ac:dyDescent="0.3">
      <c r="A23" s="31" t="s">
        <v>26</v>
      </c>
      <c r="B23" s="43">
        <v>0</v>
      </c>
      <c r="C23" s="43">
        <v>0</v>
      </c>
      <c r="D23" s="43">
        <v>0</v>
      </c>
      <c r="E23" s="43">
        <v>0</v>
      </c>
      <c r="F23" s="43">
        <v>0</v>
      </c>
      <c r="G23" s="43">
        <v>0</v>
      </c>
      <c r="H23" s="43">
        <v>0</v>
      </c>
      <c r="I23" s="43">
        <v>0</v>
      </c>
      <c r="J23" s="43">
        <v>0</v>
      </c>
      <c r="K23" s="43">
        <v>0</v>
      </c>
      <c r="L23" s="43">
        <v>0</v>
      </c>
      <c r="M23" s="43">
        <v>0</v>
      </c>
      <c r="N23" s="43">
        <v>0</v>
      </c>
      <c r="O23" s="43">
        <v>0</v>
      </c>
      <c r="P23" s="43">
        <v>0</v>
      </c>
      <c r="Q23" s="15">
        <v>0</v>
      </c>
      <c r="R23" s="43">
        <v>0</v>
      </c>
      <c r="S23" s="43">
        <v>0</v>
      </c>
      <c r="T23" s="43">
        <v>0</v>
      </c>
      <c r="U23" s="15">
        <v>0</v>
      </c>
      <c r="V23" s="43">
        <v>0</v>
      </c>
      <c r="W23" s="43">
        <v>0</v>
      </c>
      <c r="X23" s="43">
        <v>0</v>
      </c>
      <c r="Y23" s="43">
        <v>0</v>
      </c>
      <c r="Z23" s="43">
        <v>0</v>
      </c>
      <c r="AA23" s="43">
        <v>0</v>
      </c>
      <c r="AB23" s="43">
        <v>0</v>
      </c>
      <c r="AC23" s="43">
        <v>0</v>
      </c>
      <c r="AD23" s="43">
        <v>0</v>
      </c>
      <c r="AE23" s="43">
        <v>5.0000000000000001E-4</v>
      </c>
      <c r="AF23" s="43">
        <v>0</v>
      </c>
      <c r="AG23" s="43">
        <v>0</v>
      </c>
      <c r="AH23" s="43">
        <v>0</v>
      </c>
      <c r="AI23" s="43">
        <v>0</v>
      </c>
      <c r="AJ23" s="43">
        <v>0</v>
      </c>
      <c r="AK23" s="43">
        <v>0</v>
      </c>
      <c r="AL23" s="43">
        <v>0</v>
      </c>
      <c r="AM23" s="43">
        <v>0</v>
      </c>
      <c r="AN23" s="43">
        <v>0</v>
      </c>
    </row>
    <row r="24" spans="1:40" ht="14" x14ac:dyDescent="0.3">
      <c r="A24" s="31" t="s">
        <v>7</v>
      </c>
      <c r="B24" s="43">
        <v>0</v>
      </c>
      <c r="C24" s="43">
        <v>0</v>
      </c>
      <c r="D24" s="43">
        <v>0</v>
      </c>
      <c r="E24" s="43">
        <v>0</v>
      </c>
      <c r="F24" s="43">
        <v>0</v>
      </c>
      <c r="G24" s="43">
        <v>0</v>
      </c>
      <c r="H24" s="43">
        <v>0</v>
      </c>
      <c r="I24" s="43">
        <v>0</v>
      </c>
      <c r="J24" s="43">
        <v>0</v>
      </c>
      <c r="K24" s="43">
        <v>0</v>
      </c>
      <c r="L24" s="43">
        <v>0</v>
      </c>
      <c r="M24" s="43">
        <v>0</v>
      </c>
      <c r="N24" s="43">
        <v>0</v>
      </c>
      <c r="O24" s="43">
        <v>0</v>
      </c>
      <c r="P24" s="43">
        <v>0</v>
      </c>
      <c r="Q24" s="15">
        <v>0</v>
      </c>
      <c r="R24" s="43">
        <v>0</v>
      </c>
      <c r="S24" s="43">
        <v>0</v>
      </c>
      <c r="T24" s="43">
        <v>0</v>
      </c>
      <c r="U24" s="15">
        <v>0</v>
      </c>
      <c r="V24" s="43">
        <v>0</v>
      </c>
      <c r="W24" s="43">
        <v>0</v>
      </c>
      <c r="X24" s="43">
        <v>3.6750000000000003E-3</v>
      </c>
      <c r="Y24" s="43">
        <v>0</v>
      </c>
      <c r="Z24" s="43">
        <v>9.2049999999999996E-3</v>
      </c>
      <c r="AA24" s="43">
        <v>5.6499999999999996E-4</v>
      </c>
      <c r="AB24" s="43">
        <v>0</v>
      </c>
      <c r="AC24" s="43">
        <v>0</v>
      </c>
      <c r="AD24" s="43">
        <v>0</v>
      </c>
      <c r="AE24" s="43">
        <v>0</v>
      </c>
      <c r="AF24" s="43">
        <v>0</v>
      </c>
      <c r="AG24" s="43">
        <v>0</v>
      </c>
      <c r="AH24" s="43">
        <v>0</v>
      </c>
      <c r="AI24" s="43">
        <v>0</v>
      </c>
      <c r="AJ24" s="43">
        <v>0</v>
      </c>
      <c r="AK24" s="43">
        <v>0</v>
      </c>
      <c r="AL24" s="43">
        <v>0</v>
      </c>
      <c r="AM24" s="43">
        <v>0</v>
      </c>
      <c r="AN24" s="43">
        <v>0</v>
      </c>
    </row>
    <row r="25" spans="1:40" ht="14" x14ac:dyDescent="0.3">
      <c r="A25" s="31" t="s">
        <v>27</v>
      </c>
      <c r="B25" s="43">
        <v>0</v>
      </c>
      <c r="C25" s="43">
        <v>0</v>
      </c>
      <c r="D25" s="43">
        <v>0</v>
      </c>
      <c r="E25" s="43">
        <v>0</v>
      </c>
      <c r="F25" s="43">
        <v>0</v>
      </c>
      <c r="G25" s="43">
        <v>0</v>
      </c>
      <c r="H25" s="43">
        <v>0</v>
      </c>
      <c r="I25" s="43">
        <v>0</v>
      </c>
      <c r="J25" s="43">
        <v>0</v>
      </c>
      <c r="K25" s="43">
        <v>0</v>
      </c>
      <c r="L25" s="43">
        <v>0</v>
      </c>
      <c r="M25" s="43">
        <v>0</v>
      </c>
      <c r="N25" s="43">
        <v>0.01</v>
      </c>
      <c r="O25" s="43">
        <v>0</v>
      </c>
      <c r="P25" s="43">
        <v>1.02075E-2</v>
      </c>
      <c r="Q25" s="15">
        <v>2.3271375E-2</v>
      </c>
      <c r="R25" s="43">
        <v>0.153</v>
      </c>
      <c r="S25" s="43">
        <v>0.1575</v>
      </c>
      <c r="T25" s="43">
        <v>0.22</v>
      </c>
      <c r="U25" s="15">
        <v>9.1999999999999998E-2</v>
      </c>
      <c r="V25" s="43">
        <v>0</v>
      </c>
      <c r="W25" s="43">
        <v>0</v>
      </c>
      <c r="X25" s="43">
        <v>0.10815</v>
      </c>
      <c r="Y25" s="43">
        <v>0</v>
      </c>
      <c r="Z25" s="43">
        <v>3.1099999999999999E-2</v>
      </c>
      <c r="AA25" s="43">
        <v>0.108</v>
      </c>
      <c r="AB25" s="43">
        <v>0.13</v>
      </c>
      <c r="AC25" s="43">
        <v>0</v>
      </c>
      <c r="AD25" s="43">
        <v>0</v>
      </c>
      <c r="AE25" s="43">
        <v>1.1050000000000001E-2</v>
      </c>
      <c r="AF25" s="43">
        <v>6.08E-2</v>
      </c>
      <c r="AG25" s="43">
        <v>0.46</v>
      </c>
      <c r="AH25" s="43">
        <v>0</v>
      </c>
      <c r="AI25" s="43">
        <v>0</v>
      </c>
      <c r="AJ25" s="43">
        <v>0</v>
      </c>
      <c r="AK25" s="43">
        <v>0</v>
      </c>
      <c r="AL25" s="43">
        <v>0</v>
      </c>
      <c r="AM25" s="43">
        <v>0</v>
      </c>
      <c r="AN25" s="43">
        <v>0</v>
      </c>
    </row>
    <row r="26" spans="1:40" ht="14" x14ac:dyDescent="0.3">
      <c r="A26" s="31" t="s">
        <v>28</v>
      </c>
      <c r="B26" s="43">
        <v>0</v>
      </c>
      <c r="C26" s="43">
        <v>0</v>
      </c>
      <c r="D26" s="43">
        <v>0</v>
      </c>
      <c r="E26" s="43">
        <v>0</v>
      </c>
      <c r="F26" s="43">
        <v>0</v>
      </c>
      <c r="G26" s="43">
        <v>0</v>
      </c>
      <c r="H26" s="43">
        <v>0</v>
      </c>
      <c r="I26" s="43">
        <v>0</v>
      </c>
      <c r="J26" s="43">
        <v>0</v>
      </c>
      <c r="K26" s="43">
        <v>0</v>
      </c>
      <c r="L26" s="43">
        <v>0</v>
      </c>
      <c r="M26" s="43">
        <v>0</v>
      </c>
      <c r="N26" s="43">
        <v>0</v>
      </c>
      <c r="O26" s="43">
        <v>0</v>
      </c>
      <c r="P26" s="43">
        <v>0</v>
      </c>
      <c r="Q26" s="15">
        <v>0</v>
      </c>
      <c r="R26" s="43">
        <v>0</v>
      </c>
      <c r="S26" s="43">
        <v>0</v>
      </c>
      <c r="T26" s="43">
        <v>0</v>
      </c>
      <c r="U26" s="15">
        <v>0</v>
      </c>
      <c r="V26" s="43">
        <v>0</v>
      </c>
      <c r="W26" s="43">
        <v>0</v>
      </c>
      <c r="X26" s="43">
        <v>0</v>
      </c>
      <c r="Y26" s="43">
        <v>0</v>
      </c>
      <c r="Z26" s="43">
        <v>0</v>
      </c>
      <c r="AA26" s="43">
        <v>0</v>
      </c>
      <c r="AB26" s="43">
        <v>0</v>
      </c>
      <c r="AC26" s="43">
        <v>0</v>
      </c>
      <c r="AD26" s="43">
        <v>0</v>
      </c>
      <c r="AE26" s="43">
        <v>0</v>
      </c>
      <c r="AF26" s="43">
        <v>0</v>
      </c>
      <c r="AG26" s="43">
        <v>0</v>
      </c>
      <c r="AH26" s="43">
        <v>0</v>
      </c>
      <c r="AI26" s="43">
        <v>0</v>
      </c>
      <c r="AJ26" s="43">
        <v>0</v>
      </c>
      <c r="AK26" s="43">
        <v>0</v>
      </c>
      <c r="AL26" s="43">
        <v>0</v>
      </c>
      <c r="AM26" s="43">
        <v>0</v>
      </c>
      <c r="AN26" s="43">
        <v>0</v>
      </c>
    </row>
    <row r="27" spans="1:40" ht="14" x14ac:dyDescent="0.3">
      <c r="A27" s="31" t="s">
        <v>29</v>
      </c>
      <c r="B27" s="43">
        <v>0</v>
      </c>
      <c r="C27" s="43">
        <v>0</v>
      </c>
      <c r="D27" s="43">
        <v>0</v>
      </c>
      <c r="E27" s="43">
        <v>0</v>
      </c>
      <c r="F27" s="43">
        <v>0</v>
      </c>
      <c r="G27" s="43">
        <v>0</v>
      </c>
      <c r="H27" s="43">
        <v>0</v>
      </c>
      <c r="I27" s="43">
        <v>0</v>
      </c>
      <c r="J27" s="43">
        <v>0</v>
      </c>
      <c r="K27" s="43">
        <v>0</v>
      </c>
      <c r="L27" s="43">
        <v>0</v>
      </c>
      <c r="M27" s="43">
        <v>0</v>
      </c>
      <c r="N27" s="43">
        <v>0</v>
      </c>
      <c r="O27" s="43">
        <v>0</v>
      </c>
      <c r="P27" s="43">
        <v>0</v>
      </c>
      <c r="Q27" s="15">
        <v>0</v>
      </c>
      <c r="R27" s="43">
        <v>0</v>
      </c>
      <c r="S27" s="43">
        <v>0</v>
      </c>
      <c r="T27" s="43">
        <v>0</v>
      </c>
      <c r="U27" s="15">
        <v>1.4999999999999999E-2</v>
      </c>
      <c r="V27" s="43">
        <v>0</v>
      </c>
      <c r="W27" s="43">
        <v>0</v>
      </c>
      <c r="X27" s="43">
        <v>1.5E-3</v>
      </c>
      <c r="Y27" s="43">
        <v>0</v>
      </c>
      <c r="Z27" s="43">
        <v>0</v>
      </c>
      <c r="AA27" s="43">
        <v>0</v>
      </c>
      <c r="AB27" s="43">
        <v>1.2734999999999999E-3</v>
      </c>
      <c r="AC27" s="43">
        <v>0</v>
      </c>
      <c r="AD27" s="43">
        <v>0</v>
      </c>
      <c r="AE27" s="43">
        <v>0</v>
      </c>
      <c r="AF27" s="43">
        <v>0</v>
      </c>
      <c r="AG27" s="43">
        <v>0</v>
      </c>
      <c r="AH27" s="43">
        <v>0</v>
      </c>
      <c r="AI27" s="43">
        <v>0</v>
      </c>
      <c r="AJ27" s="43">
        <v>0</v>
      </c>
      <c r="AK27" s="43">
        <v>0</v>
      </c>
      <c r="AL27" s="43">
        <v>0</v>
      </c>
      <c r="AM27" s="43">
        <v>0</v>
      </c>
      <c r="AN27" s="43">
        <v>0</v>
      </c>
    </row>
    <row r="28" spans="1:40" ht="14" x14ac:dyDescent="0.3">
      <c r="A28" s="31" t="s">
        <v>8</v>
      </c>
      <c r="B28" s="43">
        <v>0</v>
      </c>
      <c r="C28" s="43">
        <v>0</v>
      </c>
      <c r="D28" s="43">
        <v>0</v>
      </c>
      <c r="E28" s="43">
        <v>0</v>
      </c>
      <c r="F28" s="43">
        <v>0</v>
      </c>
      <c r="G28" s="43">
        <v>0</v>
      </c>
      <c r="H28" s="43">
        <v>0</v>
      </c>
      <c r="I28" s="43">
        <v>0</v>
      </c>
      <c r="J28" s="43">
        <v>0</v>
      </c>
      <c r="K28" s="43">
        <v>0</v>
      </c>
      <c r="L28" s="43">
        <v>0</v>
      </c>
      <c r="M28" s="43">
        <v>0</v>
      </c>
      <c r="N28" s="43">
        <v>0</v>
      </c>
      <c r="O28" s="43">
        <v>0</v>
      </c>
      <c r="P28" s="43">
        <v>0</v>
      </c>
      <c r="Q28" s="15">
        <v>0</v>
      </c>
      <c r="R28" s="43">
        <v>0</v>
      </c>
      <c r="S28" s="43">
        <v>0</v>
      </c>
      <c r="T28" s="43">
        <v>0</v>
      </c>
      <c r="U28" s="15">
        <v>0</v>
      </c>
      <c r="V28" s="43">
        <v>0</v>
      </c>
      <c r="W28" s="43">
        <v>0</v>
      </c>
      <c r="X28" s="43">
        <v>2.375E-4</v>
      </c>
      <c r="Y28" s="43">
        <v>0</v>
      </c>
      <c r="Z28" s="43">
        <v>0</v>
      </c>
      <c r="AA28" s="43">
        <v>0</v>
      </c>
      <c r="AB28" s="43">
        <v>0</v>
      </c>
      <c r="AC28" s="43">
        <v>0</v>
      </c>
      <c r="AD28" s="43">
        <v>0</v>
      </c>
      <c r="AE28" s="43">
        <v>0</v>
      </c>
      <c r="AF28" s="43">
        <v>0</v>
      </c>
      <c r="AG28" s="43">
        <v>0</v>
      </c>
      <c r="AH28" s="43">
        <v>0</v>
      </c>
      <c r="AI28" s="43">
        <v>0</v>
      </c>
      <c r="AJ28" s="43">
        <v>0</v>
      </c>
      <c r="AK28" s="43">
        <v>0</v>
      </c>
      <c r="AL28" s="43">
        <v>0</v>
      </c>
      <c r="AM28" s="43">
        <v>0</v>
      </c>
      <c r="AN28" s="43">
        <v>0</v>
      </c>
    </row>
    <row r="29" spans="1:40" ht="14" x14ac:dyDescent="0.3">
      <c r="A29" s="31" t="s">
        <v>30</v>
      </c>
      <c r="B29" s="43">
        <v>0</v>
      </c>
      <c r="C29" s="43">
        <v>0</v>
      </c>
      <c r="D29" s="43">
        <v>0</v>
      </c>
      <c r="E29" s="43">
        <v>0</v>
      </c>
      <c r="F29" s="43">
        <v>0</v>
      </c>
      <c r="G29" s="43">
        <v>0</v>
      </c>
      <c r="H29" s="43">
        <v>0</v>
      </c>
      <c r="I29" s="43">
        <v>0</v>
      </c>
      <c r="J29" s="43">
        <v>0</v>
      </c>
      <c r="K29" s="43">
        <v>0</v>
      </c>
      <c r="L29" s="43">
        <v>0</v>
      </c>
      <c r="M29" s="43">
        <v>0</v>
      </c>
      <c r="N29" s="43">
        <v>0</v>
      </c>
      <c r="O29" s="43">
        <v>0</v>
      </c>
      <c r="P29" s="43">
        <v>0</v>
      </c>
      <c r="Q29" s="15">
        <v>0</v>
      </c>
      <c r="R29" s="43">
        <v>0</v>
      </c>
      <c r="S29" s="43">
        <v>0</v>
      </c>
      <c r="T29" s="43">
        <v>4.0000000000000001E-3</v>
      </c>
      <c r="U29" s="15">
        <v>7.0000000000000001E-3</v>
      </c>
      <c r="V29" s="43">
        <v>0.36</v>
      </c>
      <c r="W29" s="43">
        <v>0</v>
      </c>
      <c r="X29" s="43">
        <v>2.435E-2</v>
      </c>
      <c r="Y29" s="43">
        <v>0</v>
      </c>
      <c r="Z29" s="43">
        <v>0.32550000000000001</v>
      </c>
      <c r="AA29" s="43">
        <v>1.6E-2</v>
      </c>
      <c r="AB29" s="43">
        <v>0.01</v>
      </c>
      <c r="AC29" s="43">
        <v>0</v>
      </c>
      <c r="AD29" s="43">
        <v>0</v>
      </c>
      <c r="AE29" s="43">
        <v>1.0500000000000001E-2</v>
      </c>
      <c r="AF29" s="43">
        <v>0</v>
      </c>
      <c r="AG29" s="43">
        <v>0.02</v>
      </c>
      <c r="AH29" s="43">
        <v>0</v>
      </c>
      <c r="AI29" s="43">
        <v>0</v>
      </c>
      <c r="AJ29" s="43">
        <v>0</v>
      </c>
      <c r="AK29" s="43">
        <v>0</v>
      </c>
      <c r="AL29" s="43">
        <v>0</v>
      </c>
      <c r="AM29" s="43">
        <v>0</v>
      </c>
      <c r="AN29" s="43">
        <v>0</v>
      </c>
    </row>
    <row r="30" spans="1:40" ht="14" x14ac:dyDescent="0.3">
      <c r="A30" s="31" t="s">
        <v>31</v>
      </c>
      <c r="B30" s="43">
        <v>0</v>
      </c>
      <c r="C30" s="43">
        <v>0</v>
      </c>
      <c r="D30" s="43">
        <v>0</v>
      </c>
      <c r="E30" s="43">
        <v>0</v>
      </c>
      <c r="F30" s="43">
        <v>0</v>
      </c>
      <c r="G30" s="43">
        <v>0</v>
      </c>
      <c r="H30" s="43">
        <v>0</v>
      </c>
      <c r="I30" s="43">
        <v>0</v>
      </c>
      <c r="J30" s="43">
        <v>0</v>
      </c>
      <c r="K30" s="43">
        <v>0</v>
      </c>
      <c r="L30" s="43">
        <v>0</v>
      </c>
      <c r="M30" s="43">
        <v>0</v>
      </c>
      <c r="N30" s="43">
        <v>0</v>
      </c>
      <c r="O30" s="43">
        <v>0</v>
      </c>
      <c r="P30" s="43">
        <v>0</v>
      </c>
      <c r="Q30" s="15">
        <v>0</v>
      </c>
      <c r="R30" s="43">
        <v>0</v>
      </c>
      <c r="S30" s="43">
        <v>0</v>
      </c>
      <c r="T30" s="43">
        <v>0</v>
      </c>
      <c r="U30" s="15">
        <v>0.2</v>
      </c>
      <c r="V30" s="43">
        <v>0</v>
      </c>
      <c r="W30" s="43">
        <v>0</v>
      </c>
      <c r="X30" s="43">
        <v>1.8065000000000001E-2</v>
      </c>
      <c r="Y30" s="43">
        <v>0</v>
      </c>
      <c r="Z30" s="43">
        <v>0</v>
      </c>
      <c r="AA30" s="43">
        <v>0</v>
      </c>
      <c r="AB30" s="43">
        <v>0.02</v>
      </c>
      <c r="AC30" s="43">
        <v>0</v>
      </c>
      <c r="AD30" s="43">
        <v>0</v>
      </c>
      <c r="AE30" s="43">
        <v>0</v>
      </c>
      <c r="AF30" s="43">
        <v>0</v>
      </c>
      <c r="AG30" s="43">
        <v>6.9449999999999998E-3</v>
      </c>
      <c r="AH30" s="43">
        <v>0</v>
      </c>
      <c r="AI30" s="43">
        <v>0</v>
      </c>
      <c r="AJ30" s="43">
        <v>0</v>
      </c>
      <c r="AK30" s="43">
        <v>0</v>
      </c>
      <c r="AL30" s="43">
        <v>0</v>
      </c>
      <c r="AM30" s="43">
        <v>0</v>
      </c>
      <c r="AN30" s="43">
        <v>0</v>
      </c>
    </row>
    <row r="31" spans="1:40" ht="14" x14ac:dyDescent="0.3">
      <c r="A31" s="31" t="s">
        <v>32</v>
      </c>
      <c r="B31" s="43">
        <v>0</v>
      </c>
      <c r="C31" s="43">
        <v>0</v>
      </c>
      <c r="D31" s="43">
        <v>0</v>
      </c>
      <c r="E31" s="43">
        <v>0</v>
      </c>
      <c r="F31" s="43">
        <v>0</v>
      </c>
      <c r="G31" s="43">
        <v>0</v>
      </c>
      <c r="H31" s="43">
        <v>0</v>
      </c>
      <c r="I31" s="43">
        <v>0</v>
      </c>
      <c r="J31" s="43">
        <v>0</v>
      </c>
      <c r="K31" s="43">
        <v>0</v>
      </c>
      <c r="L31" s="43">
        <v>0</v>
      </c>
      <c r="M31" s="43">
        <v>0</v>
      </c>
      <c r="N31" s="43">
        <v>0</v>
      </c>
      <c r="O31" s="43">
        <v>0</v>
      </c>
      <c r="P31" s="43">
        <v>0</v>
      </c>
      <c r="Q31" s="15">
        <v>1.55E-4</v>
      </c>
      <c r="R31" s="43">
        <v>0</v>
      </c>
      <c r="S31" s="43">
        <v>0.02</v>
      </c>
      <c r="T31" s="43">
        <v>0.14000000000000001</v>
      </c>
      <c r="U31" s="15">
        <v>9.1499999999999998E-2</v>
      </c>
      <c r="V31" s="43">
        <v>0</v>
      </c>
      <c r="W31" s="43">
        <v>0</v>
      </c>
      <c r="X31" s="43">
        <v>0</v>
      </c>
      <c r="Y31" s="43">
        <v>0</v>
      </c>
      <c r="Z31" s="43">
        <v>0.23300000000000001</v>
      </c>
      <c r="AA31" s="43">
        <v>0</v>
      </c>
      <c r="AB31" s="43">
        <v>0</v>
      </c>
      <c r="AC31" s="43">
        <v>0</v>
      </c>
      <c r="AD31" s="43">
        <v>0</v>
      </c>
      <c r="AE31" s="43">
        <v>1.0500000000000001E-2</v>
      </c>
      <c r="AF31" s="43">
        <v>0</v>
      </c>
      <c r="AG31" s="43">
        <v>0</v>
      </c>
      <c r="AH31" s="43">
        <v>0</v>
      </c>
      <c r="AI31" s="43">
        <v>0</v>
      </c>
      <c r="AJ31" s="43">
        <v>0</v>
      </c>
      <c r="AK31" s="43">
        <v>0</v>
      </c>
      <c r="AL31" s="43">
        <v>0</v>
      </c>
      <c r="AM31" s="43">
        <v>0</v>
      </c>
      <c r="AN31" s="43">
        <v>0</v>
      </c>
    </row>
    <row r="32" spans="1:40" ht="14" x14ac:dyDescent="0.3">
      <c r="A32" s="31" t="s">
        <v>9</v>
      </c>
      <c r="B32" s="43">
        <v>0</v>
      </c>
      <c r="C32" s="43">
        <v>0</v>
      </c>
      <c r="D32" s="43">
        <v>0</v>
      </c>
      <c r="E32" s="43">
        <v>0</v>
      </c>
      <c r="F32" s="43">
        <v>0</v>
      </c>
      <c r="G32" s="43">
        <v>0</v>
      </c>
      <c r="H32" s="43">
        <v>0</v>
      </c>
      <c r="I32" s="43">
        <v>0</v>
      </c>
      <c r="J32" s="43">
        <v>0</v>
      </c>
      <c r="K32" s="43">
        <v>0</v>
      </c>
      <c r="L32" s="43">
        <v>0</v>
      </c>
      <c r="M32" s="43">
        <v>0</v>
      </c>
      <c r="N32" s="43">
        <v>0</v>
      </c>
      <c r="O32" s="43">
        <v>0</v>
      </c>
      <c r="P32" s="43">
        <v>0</v>
      </c>
      <c r="Q32" s="15">
        <v>0</v>
      </c>
      <c r="R32" s="43">
        <v>0</v>
      </c>
      <c r="S32" s="43">
        <v>0</v>
      </c>
      <c r="T32" s="43">
        <v>0</v>
      </c>
      <c r="U32" s="15">
        <v>0</v>
      </c>
      <c r="V32" s="43">
        <v>0</v>
      </c>
      <c r="W32" s="43">
        <v>0</v>
      </c>
      <c r="X32" s="43">
        <v>7.9500000000000005E-3</v>
      </c>
      <c r="Y32" s="43">
        <v>0</v>
      </c>
      <c r="Z32" s="43">
        <v>0</v>
      </c>
      <c r="AA32" s="43">
        <v>0</v>
      </c>
      <c r="AB32" s="43">
        <v>0</v>
      </c>
      <c r="AC32" s="43">
        <v>0</v>
      </c>
      <c r="AD32" s="43">
        <v>0.03</v>
      </c>
      <c r="AE32" s="43">
        <v>0</v>
      </c>
      <c r="AF32" s="43">
        <v>0</v>
      </c>
      <c r="AG32" s="43">
        <v>0</v>
      </c>
      <c r="AH32" s="43">
        <v>0</v>
      </c>
      <c r="AI32" s="43">
        <v>0</v>
      </c>
      <c r="AJ32" s="43">
        <v>0</v>
      </c>
      <c r="AK32" s="43">
        <v>0</v>
      </c>
      <c r="AL32" s="43">
        <v>0</v>
      </c>
      <c r="AM32" s="43">
        <v>0</v>
      </c>
      <c r="AN32" s="43">
        <v>0</v>
      </c>
    </row>
    <row r="33" spans="1:40" ht="14" x14ac:dyDescent="0.3">
      <c r="A33" s="31" t="s">
        <v>10</v>
      </c>
      <c r="B33" s="43">
        <v>0</v>
      </c>
      <c r="C33" s="43">
        <v>0</v>
      </c>
      <c r="D33" s="43">
        <v>0</v>
      </c>
      <c r="E33" s="43">
        <v>0</v>
      </c>
      <c r="F33" s="43">
        <v>0</v>
      </c>
      <c r="G33" s="43">
        <v>0</v>
      </c>
      <c r="H33" s="43">
        <v>0</v>
      </c>
      <c r="I33" s="43">
        <v>0</v>
      </c>
      <c r="J33" s="43">
        <v>0</v>
      </c>
      <c r="K33" s="43">
        <v>0</v>
      </c>
      <c r="L33" s="43">
        <v>0</v>
      </c>
      <c r="M33" s="43">
        <v>0</v>
      </c>
      <c r="N33" s="43">
        <v>0</v>
      </c>
      <c r="O33" s="43">
        <v>0</v>
      </c>
      <c r="P33" s="43">
        <v>0</v>
      </c>
      <c r="Q33" s="15">
        <v>0</v>
      </c>
      <c r="R33" s="43">
        <v>0</v>
      </c>
      <c r="S33" s="43">
        <v>0</v>
      </c>
      <c r="T33" s="43">
        <v>0</v>
      </c>
      <c r="U33" s="15">
        <v>0</v>
      </c>
      <c r="V33" s="43">
        <v>0</v>
      </c>
      <c r="W33" s="43">
        <v>0</v>
      </c>
      <c r="X33" s="43">
        <v>0</v>
      </c>
      <c r="Y33" s="43">
        <v>0</v>
      </c>
      <c r="Z33" s="43">
        <v>0</v>
      </c>
      <c r="AA33" s="43">
        <v>0</v>
      </c>
      <c r="AB33" s="43">
        <v>0</v>
      </c>
      <c r="AC33" s="43">
        <v>0</v>
      </c>
      <c r="AD33" s="43">
        <v>0</v>
      </c>
      <c r="AE33" s="43">
        <v>0</v>
      </c>
      <c r="AF33" s="43">
        <v>0</v>
      </c>
      <c r="AG33" s="43">
        <v>0</v>
      </c>
      <c r="AH33" s="43">
        <v>0</v>
      </c>
      <c r="AI33" s="43">
        <v>0</v>
      </c>
      <c r="AJ33" s="43">
        <v>0</v>
      </c>
      <c r="AK33" s="43">
        <v>0</v>
      </c>
      <c r="AL33" s="43">
        <v>0</v>
      </c>
      <c r="AM33" s="43">
        <v>0</v>
      </c>
      <c r="AN33" s="43">
        <v>0</v>
      </c>
    </row>
    <row r="34" spans="1:40" ht="14" x14ac:dyDescent="0.3">
      <c r="A34" s="31" t="s">
        <v>11</v>
      </c>
      <c r="B34" s="43">
        <v>0</v>
      </c>
      <c r="C34" s="43">
        <v>0</v>
      </c>
      <c r="D34" s="43">
        <v>0</v>
      </c>
      <c r="E34" s="43">
        <v>0</v>
      </c>
      <c r="F34" s="43">
        <v>0</v>
      </c>
      <c r="G34" s="43">
        <v>0</v>
      </c>
      <c r="H34" s="43">
        <v>0</v>
      </c>
      <c r="I34" s="43">
        <v>0</v>
      </c>
      <c r="J34" s="43">
        <v>0</v>
      </c>
      <c r="K34" s="43">
        <v>0</v>
      </c>
      <c r="L34" s="43">
        <v>0</v>
      </c>
      <c r="M34" s="43">
        <v>0</v>
      </c>
      <c r="N34" s="43">
        <v>0</v>
      </c>
      <c r="O34" s="43">
        <v>0</v>
      </c>
      <c r="P34" s="43">
        <v>0</v>
      </c>
      <c r="Q34" s="15">
        <v>0</v>
      </c>
      <c r="R34" s="43">
        <v>0</v>
      </c>
      <c r="S34" s="43">
        <v>0</v>
      </c>
      <c r="T34" s="43">
        <v>0</v>
      </c>
      <c r="U34" s="15">
        <v>0</v>
      </c>
      <c r="V34" s="43">
        <v>0</v>
      </c>
      <c r="W34" s="43">
        <v>0</v>
      </c>
      <c r="X34" s="43">
        <v>0</v>
      </c>
      <c r="Y34" s="43">
        <v>0</v>
      </c>
      <c r="Z34" s="43">
        <v>0</v>
      </c>
      <c r="AA34" s="43">
        <v>0</v>
      </c>
      <c r="AB34" s="43">
        <v>0</v>
      </c>
      <c r="AC34" s="43">
        <v>0</v>
      </c>
      <c r="AD34" s="43">
        <v>0</v>
      </c>
      <c r="AE34" s="43">
        <v>0</v>
      </c>
      <c r="AF34" s="43">
        <v>0</v>
      </c>
      <c r="AG34" s="43">
        <v>0</v>
      </c>
      <c r="AH34" s="43">
        <v>0</v>
      </c>
      <c r="AI34" s="43">
        <v>0</v>
      </c>
      <c r="AJ34" s="43">
        <v>0</v>
      </c>
      <c r="AK34" s="43">
        <v>0</v>
      </c>
      <c r="AL34" s="43">
        <v>0</v>
      </c>
      <c r="AM34" s="43">
        <v>0</v>
      </c>
      <c r="AN34" s="43">
        <v>0</v>
      </c>
    </row>
    <row r="35" spans="1:40" ht="14" x14ac:dyDescent="0.3">
      <c r="A35" s="31" t="s">
        <v>12</v>
      </c>
      <c r="B35" s="43">
        <v>0</v>
      </c>
      <c r="C35" s="43">
        <v>0</v>
      </c>
      <c r="D35" s="43">
        <v>0</v>
      </c>
      <c r="E35" s="43">
        <v>0</v>
      </c>
      <c r="F35" s="43">
        <v>0</v>
      </c>
      <c r="G35" s="43">
        <v>0</v>
      </c>
      <c r="H35" s="43">
        <v>0</v>
      </c>
      <c r="I35" s="43">
        <v>0</v>
      </c>
      <c r="J35" s="43">
        <v>0</v>
      </c>
      <c r="K35" s="43">
        <v>0</v>
      </c>
      <c r="L35" s="43">
        <v>0</v>
      </c>
      <c r="M35" s="43">
        <v>0</v>
      </c>
      <c r="N35" s="43">
        <v>0</v>
      </c>
      <c r="O35" s="43">
        <v>0</v>
      </c>
      <c r="P35" s="43">
        <v>0</v>
      </c>
      <c r="Q35" s="15">
        <v>0</v>
      </c>
      <c r="R35" s="43">
        <v>0</v>
      </c>
      <c r="S35" s="43">
        <v>0</v>
      </c>
      <c r="T35" s="43">
        <v>0</v>
      </c>
      <c r="U35" s="15">
        <v>0</v>
      </c>
      <c r="V35" s="43">
        <v>0</v>
      </c>
      <c r="W35" s="43">
        <v>0</v>
      </c>
      <c r="X35" s="43">
        <v>0</v>
      </c>
      <c r="Y35" s="43">
        <v>0</v>
      </c>
      <c r="Z35" s="43">
        <v>0</v>
      </c>
      <c r="AA35" s="43">
        <v>0</v>
      </c>
      <c r="AB35" s="43">
        <v>0</v>
      </c>
      <c r="AC35" s="43">
        <v>0</v>
      </c>
      <c r="AD35" s="43">
        <v>0</v>
      </c>
      <c r="AE35" s="43">
        <v>0</v>
      </c>
      <c r="AF35" s="43">
        <v>0</v>
      </c>
      <c r="AG35" s="43">
        <v>0</v>
      </c>
      <c r="AH35" s="43">
        <v>0</v>
      </c>
      <c r="AI35" s="43">
        <v>0</v>
      </c>
      <c r="AJ35" s="43">
        <v>0</v>
      </c>
      <c r="AK35" s="43">
        <v>0</v>
      </c>
      <c r="AL35" s="43">
        <v>0</v>
      </c>
      <c r="AM35" s="43">
        <v>0</v>
      </c>
      <c r="AN35" s="43">
        <v>0</v>
      </c>
    </row>
    <row r="36" spans="1:40" ht="14" x14ac:dyDescent="0.3">
      <c r="A36" s="31" t="s">
        <v>13</v>
      </c>
      <c r="B36" s="43">
        <v>0</v>
      </c>
      <c r="C36" s="43">
        <v>0</v>
      </c>
      <c r="D36" s="43">
        <v>0</v>
      </c>
      <c r="E36" s="43">
        <v>0</v>
      </c>
      <c r="F36" s="43">
        <v>0</v>
      </c>
      <c r="G36" s="43">
        <v>0</v>
      </c>
      <c r="H36" s="43">
        <v>0</v>
      </c>
      <c r="I36" s="43">
        <v>0</v>
      </c>
      <c r="J36" s="43">
        <v>0</v>
      </c>
      <c r="K36" s="43">
        <v>0</v>
      </c>
      <c r="L36" s="43">
        <v>0</v>
      </c>
      <c r="M36" s="43">
        <v>0</v>
      </c>
      <c r="N36" s="43">
        <v>0</v>
      </c>
      <c r="O36" s="43">
        <v>0</v>
      </c>
      <c r="P36" s="43">
        <v>0</v>
      </c>
      <c r="Q36" s="15">
        <v>0</v>
      </c>
      <c r="R36" s="43">
        <v>0</v>
      </c>
      <c r="S36" s="43">
        <v>0</v>
      </c>
      <c r="T36" s="43">
        <v>0</v>
      </c>
      <c r="U36" s="15">
        <v>0</v>
      </c>
      <c r="V36" s="43">
        <v>0</v>
      </c>
      <c r="W36" s="43">
        <v>0</v>
      </c>
      <c r="X36" s="43">
        <v>0</v>
      </c>
      <c r="Y36" s="43">
        <v>0</v>
      </c>
      <c r="Z36" s="43">
        <v>0</v>
      </c>
      <c r="AA36" s="43">
        <v>0</v>
      </c>
      <c r="AB36" s="43">
        <v>0</v>
      </c>
      <c r="AC36" s="43">
        <v>0</v>
      </c>
      <c r="AD36" s="43">
        <v>0</v>
      </c>
      <c r="AE36" s="43">
        <v>0</v>
      </c>
      <c r="AF36" s="43">
        <v>0</v>
      </c>
      <c r="AG36" s="43">
        <v>0</v>
      </c>
      <c r="AH36" s="43">
        <v>0</v>
      </c>
      <c r="AI36" s="43">
        <v>0</v>
      </c>
      <c r="AJ36" s="43">
        <v>0</v>
      </c>
      <c r="AK36" s="43">
        <v>0</v>
      </c>
      <c r="AL36" s="43">
        <v>0</v>
      </c>
      <c r="AM36" s="43">
        <v>0</v>
      </c>
      <c r="AN36" s="43">
        <v>0</v>
      </c>
    </row>
    <row r="37" spans="1:40" ht="14" x14ac:dyDescent="0.3">
      <c r="A37" s="33" t="s">
        <v>33</v>
      </c>
      <c r="B37" s="43">
        <v>0</v>
      </c>
      <c r="C37" s="43">
        <v>0</v>
      </c>
      <c r="D37" s="43">
        <v>0</v>
      </c>
      <c r="E37" s="43">
        <v>0</v>
      </c>
      <c r="F37" s="43">
        <v>0</v>
      </c>
      <c r="G37" s="43">
        <v>0</v>
      </c>
      <c r="H37" s="43">
        <v>0</v>
      </c>
      <c r="I37" s="43">
        <v>0</v>
      </c>
      <c r="J37" s="43">
        <v>0</v>
      </c>
      <c r="K37" s="43">
        <v>0</v>
      </c>
      <c r="L37" s="43">
        <v>0</v>
      </c>
      <c r="M37" s="43">
        <v>0</v>
      </c>
      <c r="N37" s="43">
        <v>0</v>
      </c>
      <c r="O37" s="43">
        <v>0</v>
      </c>
      <c r="P37" s="43">
        <v>0</v>
      </c>
      <c r="Q37" s="15">
        <v>0</v>
      </c>
      <c r="R37" s="43">
        <v>0</v>
      </c>
      <c r="S37" s="43">
        <v>0</v>
      </c>
      <c r="T37" s="43">
        <v>0</v>
      </c>
      <c r="U37" s="43">
        <v>0</v>
      </c>
      <c r="V37" s="43">
        <v>0</v>
      </c>
      <c r="W37" s="43">
        <v>0</v>
      </c>
      <c r="X37" s="43">
        <v>0</v>
      </c>
      <c r="Y37" s="43">
        <v>0</v>
      </c>
      <c r="Z37" s="43">
        <v>0</v>
      </c>
      <c r="AA37" s="43">
        <v>0</v>
      </c>
      <c r="AB37" s="43">
        <v>0</v>
      </c>
      <c r="AC37" s="43">
        <v>0</v>
      </c>
      <c r="AD37" s="43">
        <v>0</v>
      </c>
      <c r="AE37" s="43">
        <v>0</v>
      </c>
      <c r="AF37" s="43">
        <v>0</v>
      </c>
      <c r="AG37" s="43">
        <v>0</v>
      </c>
      <c r="AH37" s="43">
        <v>0</v>
      </c>
      <c r="AI37" s="43">
        <v>0</v>
      </c>
      <c r="AJ37" s="43">
        <v>0</v>
      </c>
      <c r="AK37" s="43">
        <v>0</v>
      </c>
      <c r="AL37" s="43">
        <v>0</v>
      </c>
      <c r="AM37" s="43">
        <v>0</v>
      </c>
      <c r="AN37" s="43">
        <v>0</v>
      </c>
    </row>
    <row r="38" spans="1:40" ht="14" x14ac:dyDescent="0.3">
      <c r="A38" s="33" t="s">
        <v>34</v>
      </c>
      <c r="B38" s="43">
        <v>0</v>
      </c>
      <c r="C38" s="43">
        <v>0</v>
      </c>
      <c r="D38" s="43">
        <v>0</v>
      </c>
      <c r="E38" s="43">
        <v>0</v>
      </c>
      <c r="F38" s="43">
        <v>0</v>
      </c>
      <c r="G38" s="43">
        <v>0</v>
      </c>
      <c r="H38" s="43">
        <v>0</v>
      </c>
      <c r="I38" s="43">
        <v>0</v>
      </c>
      <c r="J38" s="43">
        <v>0</v>
      </c>
      <c r="K38" s="43">
        <v>0</v>
      </c>
      <c r="L38" s="43">
        <v>0</v>
      </c>
      <c r="M38" s="43">
        <v>0</v>
      </c>
      <c r="N38" s="43">
        <v>0</v>
      </c>
      <c r="O38" s="43">
        <v>0</v>
      </c>
      <c r="P38" s="43">
        <v>0</v>
      </c>
      <c r="Q38" s="15">
        <v>0</v>
      </c>
      <c r="R38" s="43">
        <v>0</v>
      </c>
      <c r="S38" s="43">
        <v>0</v>
      </c>
      <c r="T38" s="43">
        <v>0</v>
      </c>
      <c r="U38" s="43">
        <v>0</v>
      </c>
      <c r="V38" s="43">
        <v>0</v>
      </c>
      <c r="W38" s="43">
        <v>0</v>
      </c>
      <c r="X38" s="43">
        <v>0</v>
      </c>
      <c r="Y38" s="43">
        <v>0</v>
      </c>
      <c r="Z38" s="43">
        <v>0</v>
      </c>
      <c r="AA38" s="43">
        <v>0</v>
      </c>
      <c r="AB38" s="43">
        <v>0</v>
      </c>
      <c r="AC38" s="43">
        <v>0</v>
      </c>
      <c r="AD38" s="43">
        <v>0</v>
      </c>
      <c r="AE38" s="43">
        <v>0</v>
      </c>
      <c r="AF38" s="43">
        <v>0</v>
      </c>
      <c r="AG38" s="43">
        <v>0</v>
      </c>
      <c r="AH38" s="43">
        <v>0</v>
      </c>
      <c r="AI38" s="43">
        <v>0</v>
      </c>
      <c r="AJ38" s="43">
        <v>0</v>
      </c>
      <c r="AK38" s="43">
        <v>0</v>
      </c>
      <c r="AL38" s="43">
        <v>0</v>
      </c>
      <c r="AM38" s="43">
        <v>0</v>
      </c>
      <c r="AN38" s="43">
        <v>0</v>
      </c>
    </row>
    <row r="39" spans="1:40" ht="14" x14ac:dyDescent="0.3">
      <c r="A39" s="31" t="s">
        <v>14</v>
      </c>
      <c r="B39" s="43">
        <v>0</v>
      </c>
      <c r="C39" s="43">
        <v>0</v>
      </c>
      <c r="D39" s="43">
        <v>0</v>
      </c>
      <c r="E39" s="43">
        <v>0</v>
      </c>
      <c r="F39" s="43">
        <v>0</v>
      </c>
      <c r="G39" s="43">
        <v>0</v>
      </c>
      <c r="H39" s="43">
        <v>0.15</v>
      </c>
      <c r="I39" s="43">
        <v>0</v>
      </c>
      <c r="J39" s="43">
        <v>1E-3</v>
      </c>
      <c r="K39" s="43">
        <v>1.4096094593552099E-3</v>
      </c>
      <c r="L39" s="43">
        <v>0</v>
      </c>
      <c r="M39" s="43">
        <v>0</v>
      </c>
      <c r="N39" s="43">
        <v>0</v>
      </c>
      <c r="O39" s="43">
        <v>0</v>
      </c>
      <c r="P39" s="43">
        <v>0</v>
      </c>
      <c r="Q39" s="15">
        <v>0</v>
      </c>
      <c r="R39" s="43">
        <v>0</v>
      </c>
      <c r="S39" s="43">
        <v>0</v>
      </c>
      <c r="T39" s="43">
        <v>0</v>
      </c>
      <c r="U39" s="43">
        <v>0</v>
      </c>
      <c r="V39" s="43">
        <v>0</v>
      </c>
      <c r="W39" s="43">
        <v>0</v>
      </c>
      <c r="X39" s="43">
        <v>0</v>
      </c>
      <c r="Y39" s="43">
        <v>0</v>
      </c>
      <c r="Z39" s="43">
        <v>0</v>
      </c>
      <c r="AA39" s="43">
        <v>0</v>
      </c>
      <c r="AB39" s="43">
        <v>0</v>
      </c>
      <c r="AC39" s="43">
        <v>0</v>
      </c>
      <c r="AD39" s="43">
        <v>0</v>
      </c>
      <c r="AE39" s="43">
        <v>0</v>
      </c>
      <c r="AF39" s="43">
        <v>0</v>
      </c>
      <c r="AG39" s="43">
        <v>0</v>
      </c>
      <c r="AH39" s="43">
        <v>0</v>
      </c>
      <c r="AI39" s="43">
        <v>0</v>
      </c>
      <c r="AJ39" s="43">
        <v>0</v>
      </c>
      <c r="AK39" s="43">
        <v>0</v>
      </c>
      <c r="AL39" s="43">
        <v>0</v>
      </c>
      <c r="AM39" s="43">
        <v>0</v>
      </c>
      <c r="AN39" s="43">
        <v>0</v>
      </c>
    </row>
    <row r="40" spans="1:40" ht="14" x14ac:dyDescent="0.3">
      <c r="A40" s="39" t="s">
        <v>97</v>
      </c>
      <c r="B40" s="43">
        <v>0</v>
      </c>
      <c r="C40" s="43">
        <v>0</v>
      </c>
      <c r="D40" s="43">
        <v>0</v>
      </c>
      <c r="E40" s="43">
        <v>0</v>
      </c>
      <c r="F40" s="43">
        <v>0</v>
      </c>
      <c r="G40" s="43">
        <v>0</v>
      </c>
      <c r="H40" s="43">
        <v>0</v>
      </c>
      <c r="I40" s="43">
        <v>0</v>
      </c>
      <c r="J40" s="43">
        <v>0</v>
      </c>
      <c r="K40" s="43">
        <v>0</v>
      </c>
      <c r="L40" s="43">
        <v>0</v>
      </c>
      <c r="M40" s="43">
        <v>0</v>
      </c>
      <c r="N40" s="43">
        <v>0</v>
      </c>
      <c r="O40" s="43">
        <v>0</v>
      </c>
      <c r="P40" s="43">
        <v>0</v>
      </c>
      <c r="Q40" s="15">
        <v>0</v>
      </c>
      <c r="R40" s="43">
        <v>0</v>
      </c>
      <c r="S40" s="43">
        <v>0</v>
      </c>
      <c r="T40" s="43">
        <v>0</v>
      </c>
      <c r="U40" s="43">
        <v>0</v>
      </c>
      <c r="V40" s="43">
        <v>0</v>
      </c>
      <c r="W40" s="43">
        <v>0</v>
      </c>
      <c r="X40" s="43">
        <v>0</v>
      </c>
      <c r="Y40" s="43">
        <v>0</v>
      </c>
      <c r="Z40" s="43">
        <v>0</v>
      </c>
      <c r="AA40" s="43">
        <v>0</v>
      </c>
      <c r="AB40" s="43">
        <v>0</v>
      </c>
      <c r="AC40" s="43">
        <v>0</v>
      </c>
      <c r="AD40" s="43">
        <v>0</v>
      </c>
      <c r="AE40" s="43">
        <v>0</v>
      </c>
      <c r="AF40" s="43">
        <v>0</v>
      </c>
      <c r="AG40" s="43">
        <v>0</v>
      </c>
      <c r="AH40" s="43">
        <v>0</v>
      </c>
      <c r="AI40" s="43">
        <v>0</v>
      </c>
      <c r="AJ40" s="43">
        <v>0</v>
      </c>
      <c r="AK40" s="43">
        <v>0</v>
      </c>
      <c r="AL40" s="43">
        <v>0</v>
      </c>
      <c r="AM40" s="43">
        <v>0</v>
      </c>
      <c r="AN40" s="43">
        <v>0</v>
      </c>
    </row>
    <row r="41" spans="1:40" ht="14" x14ac:dyDescent="0.3">
      <c r="A41" s="40" t="s">
        <v>63</v>
      </c>
      <c r="B41" s="43">
        <v>0</v>
      </c>
      <c r="C41" s="43">
        <v>0</v>
      </c>
      <c r="D41" s="43">
        <v>0</v>
      </c>
      <c r="E41" s="43">
        <v>0</v>
      </c>
      <c r="F41" s="43">
        <v>0</v>
      </c>
      <c r="G41" s="43">
        <v>0</v>
      </c>
      <c r="H41" s="43">
        <v>0</v>
      </c>
      <c r="I41" s="43">
        <v>0</v>
      </c>
      <c r="J41" s="43">
        <v>0</v>
      </c>
      <c r="K41" s="43">
        <v>0</v>
      </c>
      <c r="L41" s="43">
        <v>0</v>
      </c>
      <c r="M41" s="43">
        <v>0</v>
      </c>
      <c r="N41" s="43">
        <v>0</v>
      </c>
      <c r="O41" s="43">
        <v>0</v>
      </c>
      <c r="P41" s="43">
        <v>0</v>
      </c>
      <c r="Q41" s="15">
        <v>0</v>
      </c>
      <c r="R41" s="43">
        <v>0</v>
      </c>
      <c r="S41" s="43">
        <v>0</v>
      </c>
      <c r="T41" s="43">
        <v>0</v>
      </c>
      <c r="U41" s="43">
        <v>0</v>
      </c>
      <c r="V41" s="43">
        <v>0</v>
      </c>
      <c r="W41" s="43">
        <v>0</v>
      </c>
      <c r="X41" s="43">
        <v>0</v>
      </c>
      <c r="Y41" s="43">
        <v>0</v>
      </c>
      <c r="Z41" s="43">
        <v>0</v>
      </c>
      <c r="AA41" s="43">
        <v>0</v>
      </c>
      <c r="AB41" s="43">
        <v>0</v>
      </c>
      <c r="AC41" s="43">
        <v>0</v>
      </c>
      <c r="AD41" s="43">
        <v>0</v>
      </c>
      <c r="AE41" s="43">
        <v>0</v>
      </c>
      <c r="AF41" s="43">
        <v>0</v>
      </c>
      <c r="AG41" s="43">
        <v>0</v>
      </c>
      <c r="AH41" s="43">
        <v>0</v>
      </c>
      <c r="AI41" s="43">
        <v>0</v>
      </c>
      <c r="AJ41" s="43">
        <v>0</v>
      </c>
      <c r="AK41" s="43">
        <v>0</v>
      </c>
      <c r="AL41" s="43">
        <v>0</v>
      </c>
      <c r="AM41" s="43">
        <v>0</v>
      </c>
      <c r="AN41" s="43">
        <v>0</v>
      </c>
    </row>
    <row r="42" spans="1:40" ht="14" x14ac:dyDescent="0.3">
      <c r="A42" s="39" t="s">
        <v>35</v>
      </c>
      <c r="B42" s="43">
        <v>0</v>
      </c>
      <c r="C42" s="43">
        <v>0</v>
      </c>
      <c r="D42" s="43">
        <v>0.42500000000000004</v>
      </c>
      <c r="E42" s="43">
        <v>0</v>
      </c>
      <c r="F42" s="43">
        <v>0</v>
      </c>
      <c r="G42" s="43">
        <v>0.2</v>
      </c>
      <c r="H42" s="43">
        <v>0</v>
      </c>
      <c r="I42" s="43">
        <v>0.82</v>
      </c>
      <c r="J42" s="43">
        <v>0</v>
      </c>
      <c r="K42" s="43">
        <v>0</v>
      </c>
      <c r="L42" s="43">
        <v>0</v>
      </c>
      <c r="M42" s="43">
        <v>0</v>
      </c>
      <c r="N42" s="43">
        <v>0</v>
      </c>
      <c r="O42" s="43">
        <v>0</v>
      </c>
      <c r="P42" s="43">
        <v>0.12225</v>
      </c>
      <c r="Q42" s="15">
        <v>0</v>
      </c>
      <c r="R42" s="43">
        <v>0</v>
      </c>
      <c r="S42" s="43">
        <v>0</v>
      </c>
      <c r="T42" s="43">
        <v>0</v>
      </c>
      <c r="U42" s="43">
        <v>0</v>
      </c>
      <c r="V42" s="43">
        <v>0</v>
      </c>
      <c r="W42" s="43">
        <v>0</v>
      </c>
      <c r="X42" s="43">
        <v>2.2499999999999999E-2</v>
      </c>
      <c r="Y42" s="43">
        <v>9.1999999999999998E-2</v>
      </c>
      <c r="Z42" s="43">
        <v>3.4000000000000002E-2</v>
      </c>
      <c r="AA42" s="43">
        <v>0</v>
      </c>
      <c r="AB42" s="43">
        <v>1.065E-2</v>
      </c>
      <c r="AC42" s="43">
        <v>0</v>
      </c>
      <c r="AD42" s="43">
        <v>3.6319999999999998E-2</v>
      </c>
      <c r="AE42" s="43">
        <v>0</v>
      </c>
      <c r="AF42" s="43">
        <v>0</v>
      </c>
      <c r="AG42" s="43">
        <v>0</v>
      </c>
      <c r="AH42" s="43">
        <v>0</v>
      </c>
      <c r="AI42" s="43">
        <v>0</v>
      </c>
      <c r="AJ42" s="43">
        <v>0</v>
      </c>
      <c r="AK42" s="43">
        <v>0</v>
      </c>
      <c r="AL42" s="43">
        <v>0</v>
      </c>
      <c r="AM42" s="43">
        <v>0</v>
      </c>
      <c r="AN42" s="43">
        <v>0</v>
      </c>
    </row>
    <row r="43" spans="1:40" ht="14" x14ac:dyDescent="0.3">
      <c r="A43" s="45" t="s">
        <v>86</v>
      </c>
      <c r="B43" s="46">
        <v>0</v>
      </c>
      <c r="C43" s="46">
        <v>0</v>
      </c>
      <c r="D43" s="46">
        <v>0</v>
      </c>
      <c r="E43" s="46">
        <v>0</v>
      </c>
      <c r="F43" s="46">
        <v>0</v>
      </c>
      <c r="G43" s="46">
        <v>0</v>
      </c>
      <c r="H43" s="46">
        <v>0</v>
      </c>
      <c r="I43" s="46">
        <v>0.13</v>
      </c>
      <c r="J43" s="46">
        <v>0</v>
      </c>
      <c r="K43" s="46">
        <v>0</v>
      </c>
      <c r="L43" s="46">
        <v>0</v>
      </c>
      <c r="M43" s="46">
        <v>0</v>
      </c>
      <c r="N43" s="46">
        <v>0.1</v>
      </c>
      <c r="O43" s="46">
        <v>0.05</v>
      </c>
      <c r="P43" s="46">
        <v>0</v>
      </c>
      <c r="Q43" s="47">
        <v>0</v>
      </c>
      <c r="R43" s="46">
        <v>0</v>
      </c>
      <c r="S43" s="46">
        <v>0</v>
      </c>
      <c r="T43" s="46">
        <v>0</v>
      </c>
      <c r="U43" s="46">
        <v>0</v>
      </c>
      <c r="V43" s="46">
        <v>0</v>
      </c>
      <c r="W43" s="46">
        <v>0</v>
      </c>
      <c r="X43" s="46">
        <v>0</v>
      </c>
      <c r="Y43" s="46">
        <v>0</v>
      </c>
      <c r="Z43" s="46">
        <v>0</v>
      </c>
      <c r="AA43" s="46">
        <v>0</v>
      </c>
      <c r="AB43" s="46">
        <v>0</v>
      </c>
      <c r="AC43" s="46">
        <v>0</v>
      </c>
      <c r="AD43" s="46">
        <v>0</v>
      </c>
      <c r="AE43" s="46">
        <v>0</v>
      </c>
      <c r="AF43" s="46">
        <v>0</v>
      </c>
      <c r="AG43" s="46">
        <v>0</v>
      </c>
      <c r="AH43" s="46">
        <v>0</v>
      </c>
      <c r="AI43" s="46">
        <v>0</v>
      </c>
      <c r="AJ43" s="46">
        <v>0</v>
      </c>
      <c r="AK43" s="46">
        <v>0</v>
      </c>
      <c r="AL43" s="46">
        <v>0</v>
      </c>
      <c r="AM43" s="46">
        <v>0</v>
      </c>
      <c r="AN43" s="46">
        <v>0</v>
      </c>
    </row>
    <row r="47" spans="1:40" s="8" customFormat="1" x14ac:dyDescent="0.25">
      <c r="A47" s="3"/>
      <c r="B47" s="6"/>
      <c r="C47" s="6"/>
      <c r="D47" s="6"/>
      <c r="E47" s="6"/>
      <c r="F47" s="6"/>
      <c r="G47" s="6"/>
      <c r="H47" s="6"/>
      <c r="I47" s="6"/>
      <c r="J47" s="6"/>
      <c r="K47" s="6"/>
      <c r="L47" s="6"/>
      <c r="M47" s="6"/>
      <c r="N47" s="6"/>
      <c r="O47" s="6"/>
      <c r="P47" s="6"/>
      <c r="Q47" s="6"/>
      <c r="R47" s="6"/>
      <c r="S47" s="6"/>
      <c r="T47" s="6"/>
      <c r="U47" s="6"/>
      <c r="V47" s="6"/>
      <c r="W47" s="6"/>
      <c r="X47" s="6"/>
      <c r="Y47" s="6"/>
      <c r="Z47" s="6"/>
      <c r="AA47" s="6"/>
      <c r="AB47" s="7"/>
      <c r="AC47" s="6"/>
      <c r="AD47" s="6"/>
      <c r="AE47" s="6"/>
      <c r="AF47" s="6"/>
      <c r="AG47" s="6"/>
      <c r="AH47" s="6"/>
      <c r="AI47" s="6"/>
      <c r="AJ47" s="6"/>
      <c r="AK47" s="6"/>
      <c r="AL47" s="6"/>
      <c r="AM47" s="6"/>
      <c r="AN47" s="6"/>
    </row>
    <row r="49" spans="1:1" x14ac:dyDescent="0.25">
      <c r="A49" s="9"/>
    </row>
  </sheetData>
  <mergeCells count="1">
    <mergeCell ref="A1:AQ1"/>
  </mergeCells>
  <conditionalFormatting sqref="AI43 AL4:AL39 AL42:AL43 V4:AH36">
    <cfRule type="cellIs" dxfId="11" priority="5" operator="equal">
      <formula>0</formula>
    </cfRule>
  </conditionalFormatting>
  <conditionalFormatting sqref="A1:AQ2">
    <cfRule type="cellIs" dxfId="10" priority="6" operator="equal">
      <formula>0</formula>
    </cfRule>
  </conditionalFormatting>
  <conditionalFormatting sqref="R42:AH43 R4:T36 J40:K40 J4:K37 B10:I36 L4:P36 B38:P39 R38:AH39 B42:P43 P37 P40:P41 B4:G9 I4:I9">
    <cfRule type="cellIs" dxfId="9" priority="4" operator="equal">
      <formula>0</formula>
    </cfRule>
  </conditionalFormatting>
  <conditionalFormatting sqref="U37:U38 R4:T38 B10:P43 V4:AJ38 R39:AJ43 AK4:AN43 B4:G9 I4:P9">
    <cfRule type="cellIs" dxfId="8" priority="3" operator="lessThan">
      <formula>0</formula>
    </cfRule>
  </conditionalFormatting>
  <conditionalFormatting sqref="H4:H9">
    <cfRule type="cellIs" dxfId="7" priority="2" operator="equal">
      <formula>0</formula>
    </cfRule>
  </conditionalFormatting>
  <conditionalFormatting sqref="H4:H9">
    <cfRule type="cellIs" dxfId="6" priority="1" operator="lessThan">
      <formula>0</formula>
    </cfRule>
  </conditionalFormatting>
  <pageMargins left="0.7" right="0.7" top="0.75" bottom="0.75" header="0.3" footer="0.3"/>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FB3C-A91A-43F5-AB9D-829633AAE4D9}">
  <dimension ref="A1:I44"/>
  <sheetViews>
    <sheetView workbookViewId="0"/>
  </sheetViews>
  <sheetFormatPr defaultColWidth="8.83203125" defaultRowHeight="14" x14ac:dyDescent="0.3"/>
  <cols>
    <col min="1" max="1" width="8.83203125" style="2"/>
    <col min="2" max="2" width="23.4140625" style="2" bestFit="1" customWidth="1"/>
    <col min="3" max="7" width="16.25" style="2" customWidth="1"/>
    <col min="8" max="16384" width="8.83203125" style="2"/>
  </cols>
  <sheetData>
    <row r="1" spans="1:9" x14ac:dyDescent="0.3">
      <c r="A1" s="55" t="s">
        <v>124</v>
      </c>
      <c r="B1" s="55"/>
      <c r="C1" s="55"/>
      <c r="D1" s="55"/>
      <c r="E1" s="55"/>
      <c r="F1" s="55"/>
      <c r="G1" s="55"/>
      <c r="H1" s="55"/>
      <c r="I1" s="55"/>
    </row>
    <row r="3" spans="1:9" x14ac:dyDescent="0.3">
      <c r="A3" s="57" t="s">
        <v>76</v>
      </c>
      <c r="B3" s="57" t="s">
        <v>43</v>
      </c>
      <c r="C3" s="57" t="s">
        <v>14</v>
      </c>
      <c r="D3" s="57" t="s">
        <v>97</v>
      </c>
      <c r="E3" s="57" t="s">
        <v>63</v>
      </c>
      <c r="F3" s="57" t="s">
        <v>35</v>
      </c>
      <c r="G3" s="57" t="s">
        <v>87</v>
      </c>
    </row>
    <row r="4" spans="1:9" x14ac:dyDescent="0.3">
      <c r="A4" s="56">
        <v>1</v>
      </c>
      <c r="B4" s="19" t="s">
        <v>0</v>
      </c>
      <c r="C4" s="58">
        <v>0</v>
      </c>
      <c r="D4" s="58">
        <v>0</v>
      </c>
      <c r="E4" s="58">
        <v>1</v>
      </c>
      <c r="F4" s="58">
        <v>0</v>
      </c>
      <c r="G4" s="27">
        <v>0</v>
      </c>
    </row>
    <row r="5" spans="1:9" x14ac:dyDescent="0.3">
      <c r="A5" s="56">
        <v>2</v>
      </c>
      <c r="B5" s="19" t="s">
        <v>67</v>
      </c>
      <c r="C5" s="58">
        <v>0</v>
      </c>
      <c r="D5" s="58">
        <v>0</v>
      </c>
      <c r="E5" s="58">
        <v>1</v>
      </c>
      <c r="F5" s="58">
        <v>0</v>
      </c>
      <c r="G5" s="27">
        <v>0</v>
      </c>
    </row>
    <row r="6" spans="1:9" x14ac:dyDescent="0.3">
      <c r="A6" s="56">
        <v>3</v>
      </c>
      <c r="B6" s="19" t="s">
        <v>1</v>
      </c>
      <c r="C6" s="58">
        <v>0</v>
      </c>
      <c r="D6" s="58">
        <v>0</v>
      </c>
      <c r="E6" s="58">
        <v>1</v>
      </c>
      <c r="F6" s="58">
        <v>0</v>
      </c>
      <c r="G6" s="27">
        <v>0</v>
      </c>
    </row>
    <row r="7" spans="1:9" x14ac:dyDescent="0.3">
      <c r="A7" s="56">
        <v>4</v>
      </c>
      <c r="B7" s="19" t="s">
        <v>2</v>
      </c>
      <c r="C7" s="58">
        <v>0</v>
      </c>
      <c r="D7" s="58">
        <v>0</v>
      </c>
      <c r="E7" s="58">
        <v>0.2</v>
      </c>
      <c r="F7" s="58">
        <v>0.8</v>
      </c>
      <c r="G7" s="27">
        <v>0</v>
      </c>
    </row>
    <row r="8" spans="1:9" x14ac:dyDescent="0.3">
      <c r="A8" s="56">
        <v>5</v>
      </c>
      <c r="B8" s="19" t="s">
        <v>3</v>
      </c>
      <c r="C8" s="58">
        <v>0</v>
      </c>
      <c r="D8" s="58">
        <v>0</v>
      </c>
      <c r="E8" s="58">
        <v>0.2</v>
      </c>
      <c r="F8" s="58">
        <v>0.8</v>
      </c>
      <c r="G8" s="27">
        <v>0</v>
      </c>
    </row>
    <row r="9" spans="1:9" x14ac:dyDescent="0.3">
      <c r="A9" s="56">
        <v>6</v>
      </c>
      <c r="B9" s="19" t="s">
        <v>15</v>
      </c>
      <c r="C9" s="58">
        <v>0</v>
      </c>
      <c r="D9" s="58">
        <v>0</v>
      </c>
      <c r="E9" s="58">
        <v>0.95</v>
      </c>
      <c r="F9" s="58">
        <v>0.05</v>
      </c>
      <c r="G9" s="58">
        <v>0</v>
      </c>
    </row>
    <row r="10" spans="1:9" ht="14.5" x14ac:dyDescent="0.3">
      <c r="A10" s="56">
        <v>7</v>
      </c>
      <c r="B10" s="25" t="s">
        <v>65</v>
      </c>
      <c r="C10" s="58">
        <v>0</v>
      </c>
      <c r="D10" s="58">
        <v>0</v>
      </c>
      <c r="E10" s="58">
        <v>0.95</v>
      </c>
      <c r="F10" s="58">
        <v>0.05</v>
      </c>
      <c r="G10" s="58">
        <v>0</v>
      </c>
    </row>
    <row r="11" spans="1:9" x14ac:dyDescent="0.3">
      <c r="A11" s="56">
        <v>8</v>
      </c>
      <c r="B11" s="19" t="s">
        <v>4</v>
      </c>
      <c r="C11" s="58">
        <v>0</v>
      </c>
      <c r="D11" s="58">
        <v>0</v>
      </c>
      <c r="E11" s="58">
        <v>0</v>
      </c>
      <c r="F11" s="58">
        <v>1</v>
      </c>
      <c r="G11" s="27">
        <v>0</v>
      </c>
    </row>
    <row r="12" spans="1:9" x14ac:dyDescent="0.3">
      <c r="A12" s="56">
        <v>9</v>
      </c>
      <c r="B12" s="19" t="s">
        <v>17</v>
      </c>
      <c r="C12" s="58">
        <v>0</v>
      </c>
      <c r="D12" s="58">
        <v>0</v>
      </c>
      <c r="E12" s="58">
        <v>0</v>
      </c>
      <c r="F12" s="58">
        <v>1</v>
      </c>
      <c r="G12" s="27">
        <v>0</v>
      </c>
    </row>
    <row r="13" spans="1:9" x14ac:dyDescent="0.3">
      <c r="A13" s="56">
        <v>10</v>
      </c>
      <c r="B13" s="19" t="s">
        <v>18</v>
      </c>
      <c r="C13" s="58">
        <v>0.25</v>
      </c>
      <c r="D13" s="58">
        <v>0</v>
      </c>
      <c r="E13" s="58">
        <v>0</v>
      </c>
      <c r="F13" s="58">
        <v>0.75</v>
      </c>
      <c r="G13" s="27">
        <v>0</v>
      </c>
    </row>
    <row r="14" spans="1:9" x14ac:dyDescent="0.3">
      <c r="A14" s="56">
        <v>11</v>
      </c>
      <c r="B14" s="19" t="s">
        <v>19</v>
      </c>
      <c r="C14" s="58">
        <v>0</v>
      </c>
      <c r="D14" s="58">
        <v>0</v>
      </c>
      <c r="E14" s="58">
        <v>0.25</v>
      </c>
      <c r="F14" s="58">
        <v>0.75</v>
      </c>
      <c r="G14" s="27">
        <v>0</v>
      </c>
    </row>
    <row r="15" spans="1:9" x14ac:dyDescent="0.3">
      <c r="A15" s="56">
        <v>12</v>
      </c>
      <c r="B15" s="19" t="s">
        <v>20</v>
      </c>
      <c r="C15" s="58">
        <v>0</v>
      </c>
      <c r="D15" s="58">
        <v>0</v>
      </c>
      <c r="E15" s="58">
        <v>0</v>
      </c>
      <c r="F15" s="58">
        <v>1</v>
      </c>
      <c r="G15" s="27">
        <v>0</v>
      </c>
    </row>
    <row r="16" spans="1:9" x14ac:dyDescent="0.3">
      <c r="A16" s="56">
        <v>13</v>
      </c>
      <c r="B16" s="19" t="s">
        <v>21</v>
      </c>
      <c r="C16" s="58">
        <v>0</v>
      </c>
      <c r="D16" s="58">
        <v>0</v>
      </c>
      <c r="E16" s="58">
        <v>0.25</v>
      </c>
      <c r="F16" s="58">
        <v>0.75</v>
      </c>
      <c r="G16" s="27">
        <v>0</v>
      </c>
    </row>
    <row r="17" spans="1:7" x14ac:dyDescent="0.3">
      <c r="A17" s="56">
        <v>14</v>
      </c>
      <c r="B17" s="19" t="s">
        <v>22</v>
      </c>
      <c r="C17" s="58">
        <v>0</v>
      </c>
      <c r="D17" s="58">
        <v>0</v>
      </c>
      <c r="E17" s="58">
        <v>0.25</v>
      </c>
      <c r="F17" s="58">
        <v>0.75</v>
      </c>
      <c r="G17" s="27">
        <v>0</v>
      </c>
    </row>
    <row r="18" spans="1:7" x14ac:dyDescent="0.3">
      <c r="A18" s="56">
        <v>15</v>
      </c>
      <c r="B18" s="19" t="s">
        <v>5</v>
      </c>
      <c r="C18" s="58">
        <v>0</v>
      </c>
      <c r="D18" s="58">
        <v>0</v>
      </c>
      <c r="E18" s="58">
        <v>0</v>
      </c>
      <c r="F18" s="58">
        <v>1</v>
      </c>
      <c r="G18" s="27">
        <v>0</v>
      </c>
    </row>
    <row r="19" spans="1:7" x14ac:dyDescent="0.3">
      <c r="A19" s="56">
        <v>16</v>
      </c>
      <c r="B19" s="19" t="s">
        <v>23</v>
      </c>
      <c r="C19" s="58">
        <v>0</v>
      </c>
      <c r="D19" s="58">
        <v>0</v>
      </c>
      <c r="E19" s="58">
        <v>0</v>
      </c>
      <c r="F19" s="58">
        <v>1</v>
      </c>
      <c r="G19" s="27">
        <v>0</v>
      </c>
    </row>
    <row r="20" spans="1:7" x14ac:dyDescent="0.3">
      <c r="A20" s="56">
        <v>17</v>
      </c>
      <c r="B20" s="19" t="s">
        <v>24</v>
      </c>
      <c r="C20" s="58">
        <v>0</v>
      </c>
      <c r="D20" s="58">
        <v>0</v>
      </c>
      <c r="E20" s="58">
        <v>0</v>
      </c>
      <c r="F20" s="58">
        <v>1</v>
      </c>
      <c r="G20" s="27">
        <v>0</v>
      </c>
    </row>
    <row r="21" spans="1:7" x14ac:dyDescent="0.3">
      <c r="A21" s="56">
        <v>18</v>
      </c>
      <c r="B21" s="19" t="s">
        <v>25</v>
      </c>
      <c r="C21" s="58">
        <v>0</v>
      </c>
      <c r="D21" s="58">
        <v>0</v>
      </c>
      <c r="E21" s="58">
        <v>0.1</v>
      </c>
      <c r="F21" s="58">
        <v>0.9</v>
      </c>
      <c r="G21" s="27">
        <v>0</v>
      </c>
    </row>
    <row r="22" spans="1:7" x14ac:dyDescent="0.3">
      <c r="A22" s="56">
        <v>19</v>
      </c>
      <c r="B22" s="19" t="s">
        <v>6</v>
      </c>
      <c r="C22" s="58">
        <v>0</v>
      </c>
      <c r="D22" s="58">
        <v>0</v>
      </c>
      <c r="E22" s="58">
        <v>0</v>
      </c>
      <c r="F22" s="58">
        <v>1</v>
      </c>
      <c r="G22" s="27">
        <v>0</v>
      </c>
    </row>
    <row r="23" spans="1:7" x14ac:dyDescent="0.3">
      <c r="A23" s="56">
        <v>20</v>
      </c>
      <c r="B23" s="19" t="s">
        <v>26</v>
      </c>
      <c r="C23" s="58">
        <v>0</v>
      </c>
      <c r="D23" s="58">
        <v>0</v>
      </c>
      <c r="E23" s="58">
        <v>0</v>
      </c>
      <c r="F23" s="58">
        <v>1</v>
      </c>
      <c r="G23" s="27">
        <v>0</v>
      </c>
    </row>
    <row r="24" spans="1:7" x14ac:dyDescent="0.3">
      <c r="A24" s="56">
        <v>21</v>
      </c>
      <c r="B24" s="19" t="s">
        <v>7</v>
      </c>
      <c r="C24" s="58">
        <v>0</v>
      </c>
      <c r="D24" s="58">
        <v>0</v>
      </c>
      <c r="E24" s="58">
        <v>0.25</v>
      </c>
      <c r="F24" s="58">
        <v>0.75</v>
      </c>
      <c r="G24" s="27">
        <v>0</v>
      </c>
    </row>
    <row r="25" spans="1:7" x14ac:dyDescent="0.3">
      <c r="A25" s="56">
        <v>22</v>
      </c>
      <c r="B25" s="19" t="s">
        <v>27</v>
      </c>
      <c r="C25" s="58">
        <v>0</v>
      </c>
      <c r="D25" s="58">
        <v>0</v>
      </c>
      <c r="E25" s="58">
        <v>0.25</v>
      </c>
      <c r="F25" s="58">
        <v>0.75</v>
      </c>
      <c r="G25" s="27">
        <v>0</v>
      </c>
    </row>
    <row r="26" spans="1:7" x14ac:dyDescent="0.3">
      <c r="A26" s="56">
        <v>23</v>
      </c>
      <c r="B26" s="19" t="s">
        <v>28</v>
      </c>
      <c r="C26" s="58">
        <v>0</v>
      </c>
      <c r="D26" s="58">
        <v>0</v>
      </c>
      <c r="E26" s="58">
        <v>0</v>
      </c>
      <c r="F26" s="58">
        <v>1</v>
      </c>
      <c r="G26" s="27">
        <v>0</v>
      </c>
    </row>
    <row r="27" spans="1:7" x14ac:dyDescent="0.3">
      <c r="A27" s="56">
        <v>24</v>
      </c>
      <c r="B27" s="19" t="s">
        <v>29</v>
      </c>
      <c r="C27" s="58">
        <v>0</v>
      </c>
      <c r="D27" s="58">
        <v>0</v>
      </c>
      <c r="E27" s="58">
        <v>0</v>
      </c>
      <c r="F27" s="58">
        <v>1</v>
      </c>
      <c r="G27" s="27">
        <v>0</v>
      </c>
    </row>
    <row r="28" spans="1:7" x14ac:dyDescent="0.3">
      <c r="A28" s="56">
        <v>25</v>
      </c>
      <c r="B28" s="19" t="s">
        <v>8</v>
      </c>
      <c r="C28" s="58">
        <v>0</v>
      </c>
      <c r="D28" s="58">
        <v>0</v>
      </c>
      <c r="E28" s="58">
        <v>0</v>
      </c>
      <c r="F28" s="58">
        <v>1</v>
      </c>
      <c r="G28" s="27">
        <v>0</v>
      </c>
    </row>
    <row r="29" spans="1:7" x14ac:dyDescent="0.3">
      <c r="A29" s="56">
        <v>26</v>
      </c>
      <c r="B29" s="19" t="s">
        <v>30</v>
      </c>
      <c r="C29" s="58">
        <v>0</v>
      </c>
      <c r="D29" s="58">
        <v>0</v>
      </c>
      <c r="E29" s="58">
        <v>0</v>
      </c>
      <c r="F29" s="58">
        <v>1</v>
      </c>
      <c r="G29" s="27">
        <v>0</v>
      </c>
    </row>
    <row r="30" spans="1:7" x14ac:dyDescent="0.3">
      <c r="A30" s="56">
        <v>27</v>
      </c>
      <c r="B30" s="19" t="s">
        <v>31</v>
      </c>
      <c r="C30" s="58">
        <v>0</v>
      </c>
      <c r="D30" s="58">
        <v>0</v>
      </c>
      <c r="E30" s="58">
        <v>0</v>
      </c>
      <c r="F30" s="58">
        <v>1</v>
      </c>
      <c r="G30" s="27">
        <v>0</v>
      </c>
    </row>
    <row r="31" spans="1:7" x14ac:dyDescent="0.3">
      <c r="A31" s="56">
        <v>28</v>
      </c>
      <c r="B31" s="19" t="s">
        <v>32</v>
      </c>
      <c r="C31" s="58">
        <v>0</v>
      </c>
      <c r="D31" s="58">
        <v>0</v>
      </c>
      <c r="E31" s="58">
        <v>0</v>
      </c>
      <c r="F31" s="58">
        <v>1</v>
      </c>
      <c r="G31" s="27">
        <v>0</v>
      </c>
    </row>
    <row r="32" spans="1:7" x14ac:dyDescent="0.3">
      <c r="A32" s="56">
        <v>29</v>
      </c>
      <c r="B32" s="19" t="s">
        <v>9</v>
      </c>
      <c r="C32" s="58">
        <v>0</v>
      </c>
      <c r="D32" s="58">
        <v>0</v>
      </c>
      <c r="E32" s="58">
        <v>0</v>
      </c>
      <c r="F32" s="58">
        <v>1</v>
      </c>
      <c r="G32" s="27">
        <v>0</v>
      </c>
    </row>
    <row r="33" spans="1:7" x14ac:dyDescent="0.3">
      <c r="A33" s="56">
        <v>30</v>
      </c>
      <c r="B33" s="19" t="s">
        <v>10</v>
      </c>
      <c r="C33" s="58">
        <v>0</v>
      </c>
      <c r="D33" s="58">
        <v>0</v>
      </c>
      <c r="E33" s="58">
        <v>0</v>
      </c>
      <c r="F33" s="58">
        <v>1</v>
      </c>
      <c r="G33" s="27">
        <v>0</v>
      </c>
    </row>
    <row r="34" spans="1:7" x14ac:dyDescent="0.3">
      <c r="A34" s="56">
        <v>31</v>
      </c>
      <c r="B34" s="19" t="s">
        <v>11</v>
      </c>
      <c r="C34" s="58">
        <v>0</v>
      </c>
      <c r="D34" s="58">
        <v>0</v>
      </c>
      <c r="E34" s="58">
        <v>0</v>
      </c>
      <c r="F34" s="58">
        <v>1</v>
      </c>
      <c r="G34" s="27">
        <v>0</v>
      </c>
    </row>
    <row r="35" spans="1:7" x14ac:dyDescent="0.3">
      <c r="A35" s="56">
        <v>32</v>
      </c>
      <c r="B35" s="19" t="s">
        <v>12</v>
      </c>
      <c r="C35" s="58">
        <v>0</v>
      </c>
      <c r="D35" s="58">
        <v>0</v>
      </c>
      <c r="E35" s="58">
        <v>0</v>
      </c>
      <c r="F35" s="58">
        <v>1</v>
      </c>
      <c r="G35" s="27">
        <v>0</v>
      </c>
    </row>
    <row r="36" spans="1:7" x14ac:dyDescent="0.3">
      <c r="A36" s="56">
        <v>33</v>
      </c>
      <c r="B36" s="19" t="s">
        <v>13</v>
      </c>
      <c r="C36" s="58">
        <v>0</v>
      </c>
      <c r="D36" s="58">
        <v>0</v>
      </c>
      <c r="E36" s="58">
        <v>0</v>
      </c>
      <c r="F36" s="58">
        <v>1</v>
      </c>
      <c r="G36" s="27">
        <v>0</v>
      </c>
    </row>
    <row r="37" spans="1:7" x14ac:dyDescent="0.3">
      <c r="A37" s="56">
        <v>34</v>
      </c>
      <c r="B37" s="26" t="s">
        <v>33</v>
      </c>
      <c r="C37" s="58">
        <v>0</v>
      </c>
      <c r="D37" s="58">
        <v>0</v>
      </c>
      <c r="E37" s="58">
        <v>0.7</v>
      </c>
      <c r="F37" s="58">
        <v>0.3</v>
      </c>
      <c r="G37" s="58">
        <v>0</v>
      </c>
    </row>
    <row r="38" spans="1:7" x14ac:dyDescent="0.3">
      <c r="A38" s="56">
        <v>35</v>
      </c>
      <c r="B38" s="26" t="s">
        <v>34</v>
      </c>
      <c r="C38" s="58">
        <v>0</v>
      </c>
      <c r="D38" s="58">
        <v>0</v>
      </c>
      <c r="E38" s="58">
        <v>0.7</v>
      </c>
      <c r="F38" s="58">
        <v>0.3</v>
      </c>
      <c r="G38" s="58">
        <v>0</v>
      </c>
    </row>
    <row r="39" spans="1:7" x14ac:dyDescent="0.3">
      <c r="A39" s="56">
        <v>36</v>
      </c>
      <c r="B39" s="19" t="s">
        <v>14</v>
      </c>
      <c r="C39" s="58">
        <v>0</v>
      </c>
      <c r="D39" s="58">
        <v>0</v>
      </c>
      <c r="E39" s="58">
        <v>0</v>
      </c>
      <c r="F39" s="58">
        <v>1</v>
      </c>
      <c r="G39" s="58">
        <v>0</v>
      </c>
    </row>
    <row r="40" spans="1:7" x14ac:dyDescent="0.3">
      <c r="A40" s="56">
        <v>37</v>
      </c>
      <c r="B40" s="2" t="s">
        <v>97</v>
      </c>
      <c r="C40" s="58">
        <v>0</v>
      </c>
      <c r="D40" s="58">
        <v>0</v>
      </c>
      <c r="E40" s="58">
        <v>0.1</v>
      </c>
      <c r="F40" s="58">
        <v>0.9</v>
      </c>
      <c r="G40" s="58">
        <v>0</v>
      </c>
    </row>
    <row r="41" spans="1:7" x14ac:dyDescent="0.3">
      <c r="A41" s="56">
        <v>38</v>
      </c>
      <c r="B41" s="41" t="s">
        <v>63</v>
      </c>
      <c r="C41" s="58">
        <v>0</v>
      </c>
      <c r="D41" s="58">
        <v>0</v>
      </c>
      <c r="E41" s="58">
        <v>0</v>
      </c>
      <c r="F41" s="58">
        <v>1</v>
      </c>
      <c r="G41" s="58">
        <v>0</v>
      </c>
    </row>
    <row r="42" spans="1:7" x14ac:dyDescent="0.3">
      <c r="A42" s="56">
        <v>39</v>
      </c>
      <c r="B42" s="2" t="s">
        <v>35</v>
      </c>
      <c r="C42" s="58">
        <v>0</v>
      </c>
      <c r="D42" s="58">
        <v>0</v>
      </c>
      <c r="E42" s="58">
        <v>0</v>
      </c>
      <c r="F42" s="58">
        <v>0</v>
      </c>
      <c r="G42" s="58">
        <v>1</v>
      </c>
    </row>
    <row r="43" spans="1:7" x14ac:dyDescent="0.3">
      <c r="A43" s="56">
        <v>40</v>
      </c>
      <c r="B43" s="41" t="s">
        <v>84</v>
      </c>
      <c r="C43" s="58">
        <v>0</v>
      </c>
      <c r="D43" s="58">
        <v>1</v>
      </c>
      <c r="E43" s="58">
        <v>0</v>
      </c>
      <c r="F43" s="58">
        <v>0</v>
      </c>
      <c r="G43" s="58">
        <v>0</v>
      </c>
    </row>
    <row r="44" spans="1:7" x14ac:dyDescent="0.3">
      <c r="A44" s="59">
        <v>41</v>
      </c>
      <c r="B44" s="38" t="s">
        <v>36</v>
      </c>
      <c r="C44" s="60">
        <v>0</v>
      </c>
      <c r="D44" s="60">
        <v>1</v>
      </c>
      <c r="E44" s="60">
        <v>0</v>
      </c>
      <c r="F44" s="60">
        <v>0</v>
      </c>
      <c r="G44" s="60">
        <v>0</v>
      </c>
    </row>
  </sheetData>
  <pageMargins left="0.7" right="0.7" top="0.75" bottom="0.75" header="0.3" footer="0.3"/>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6E230-FA47-4296-BE99-9440CC64AA61}">
  <dimension ref="A1:K44"/>
  <sheetViews>
    <sheetView workbookViewId="0">
      <selection activeCell="A2" sqref="A2"/>
    </sheetView>
  </sheetViews>
  <sheetFormatPr defaultColWidth="8.83203125" defaultRowHeight="14" x14ac:dyDescent="0.3"/>
  <cols>
    <col min="1" max="1" width="8.83203125" style="2"/>
    <col min="2" max="2" width="23.4140625" style="2" bestFit="1" customWidth="1"/>
    <col min="3" max="3" width="14" style="2" bestFit="1" customWidth="1"/>
    <col min="4" max="4" width="7.25" style="2" bestFit="1" customWidth="1"/>
    <col min="5" max="5" width="8.4140625" style="2" bestFit="1" customWidth="1"/>
    <col min="6" max="6" width="7.83203125" style="2" bestFit="1" customWidth="1"/>
    <col min="7" max="7" width="5" style="2" bestFit="1" customWidth="1"/>
    <col min="8" max="8" width="14.1640625" style="2" bestFit="1" customWidth="1"/>
    <col min="9" max="9" width="12.4140625" style="2" bestFit="1" customWidth="1"/>
    <col min="10" max="10" width="14.1640625" style="2" bestFit="1" customWidth="1"/>
    <col min="11" max="11" width="12.4140625" style="2" bestFit="1" customWidth="1"/>
    <col min="12" max="16384" width="8.83203125" style="2"/>
  </cols>
  <sheetData>
    <row r="1" spans="1:11" x14ac:dyDescent="0.3">
      <c r="A1" s="55" t="s">
        <v>135</v>
      </c>
      <c r="B1" s="18"/>
    </row>
    <row r="2" spans="1:11" x14ac:dyDescent="0.3">
      <c r="A2" s="17"/>
      <c r="B2" s="18"/>
    </row>
    <row r="3" spans="1:11" x14ac:dyDescent="0.3">
      <c r="A3" s="19"/>
      <c r="B3" s="19"/>
      <c r="C3" s="19"/>
      <c r="D3" s="19"/>
      <c r="E3" s="19"/>
      <c r="F3" s="19"/>
      <c r="G3" s="19"/>
      <c r="H3" s="20" t="s">
        <v>37</v>
      </c>
      <c r="I3" s="20"/>
      <c r="J3" s="20" t="s">
        <v>39</v>
      </c>
      <c r="K3" s="20"/>
    </row>
    <row r="4" spans="1:11" x14ac:dyDescent="0.3">
      <c r="A4" s="20" t="s">
        <v>68</v>
      </c>
      <c r="B4" s="22" t="s">
        <v>43</v>
      </c>
      <c r="C4" s="35" t="s">
        <v>71</v>
      </c>
      <c r="D4" s="35" t="s">
        <v>98</v>
      </c>
      <c r="E4" s="35" t="s">
        <v>99</v>
      </c>
      <c r="F4" s="35" t="s">
        <v>74</v>
      </c>
      <c r="G4" s="35" t="s">
        <v>96</v>
      </c>
      <c r="H4" s="22" t="s">
        <v>66</v>
      </c>
      <c r="I4" s="22" t="s">
        <v>38</v>
      </c>
      <c r="J4" s="22" t="s">
        <v>66</v>
      </c>
      <c r="K4" s="22" t="s">
        <v>38</v>
      </c>
    </row>
    <row r="5" spans="1:11" x14ac:dyDescent="0.3">
      <c r="A5" s="21" t="s">
        <v>69</v>
      </c>
      <c r="B5" s="23" t="s">
        <v>44</v>
      </c>
      <c r="C5" s="23"/>
      <c r="D5" s="23"/>
      <c r="E5" s="23"/>
      <c r="F5" s="23"/>
      <c r="G5" s="23"/>
      <c r="H5" s="21"/>
      <c r="I5" s="21"/>
      <c r="J5" s="21"/>
      <c r="K5" s="21"/>
    </row>
    <row r="6" spans="1:11" x14ac:dyDescent="0.3">
      <c r="A6" s="19">
        <v>1</v>
      </c>
      <c r="B6" s="19" t="s">
        <v>0</v>
      </c>
      <c r="C6" s="10">
        <v>0.3</v>
      </c>
      <c r="D6" s="11">
        <v>0.5</v>
      </c>
      <c r="E6" s="11">
        <v>0</v>
      </c>
      <c r="F6" s="13">
        <v>0</v>
      </c>
      <c r="G6" s="2">
        <v>0</v>
      </c>
      <c r="H6" s="16">
        <v>0</v>
      </c>
      <c r="I6" s="15">
        <v>0</v>
      </c>
      <c r="J6" s="2">
        <v>0</v>
      </c>
      <c r="K6" s="2">
        <v>0</v>
      </c>
    </row>
    <row r="7" spans="1:11" x14ac:dyDescent="0.3">
      <c r="A7" s="19">
        <v>2</v>
      </c>
      <c r="B7" s="19" t="s">
        <v>67</v>
      </c>
      <c r="C7" s="10">
        <v>0.3</v>
      </c>
      <c r="D7" s="11">
        <v>0.5</v>
      </c>
      <c r="E7" s="11">
        <v>0</v>
      </c>
      <c r="F7" s="13">
        <v>0</v>
      </c>
      <c r="G7" s="2">
        <v>0</v>
      </c>
      <c r="H7" s="16">
        <v>0</v>
      </c>
      <c r="I7" s="15">
        <v>0</v>
      </c>
      <c r="J7" s="2">
        <v>0</v>
      </c>
      <c r="K7" s="2">
        <v>0</v>
      </c>
    </row>
    <row r="8" spans="1:11" x14ac:dyDescent="0.3">
      <c r="A8" s="19">
        <v>3</v>
      </c>
      <c r="B8" s="19" t="s">
        <v>1</v>
      </c>
      <c r="C8" s="11">
        <v>0.8</v>
      </c>
      <c r="D8" s="11">
        <v>0.4</v>
      </c>
      <c r="E8" s="11">
        <v>0.4</v>
      </c>
      <c r="F8" s="13">
        <v>0.2</v>
      </c>
      <c r="G8" s="2">
        <v>0.6</v>
      </c>
      <c r="H8" s="16">
        <v>0</v>
      </c>
      <c r="I8" s="15">
        <v>0</v>
      </c>
      <c r="J8" s="2">
        <v>0</v>
      </c>
      <c r="K8" s="2">
        <v>0</v>
      </c>
    </row>
    <row r="9" spans="1:11" x14ac:dyDescent="0.3">
      <c r="A9" s="19">
        <v>4</v>
      </c>
      <c r="B9" s="19" t="s">
        <v>2</v>
      </c>
      <c r="C9" s="10">
        <v>0.3</v>
      </c>
      <c r="D9" s="11">
        <v>0.4</v>
      </c>
      <c r="E9" s="11">
        <v>0.4</v>
      </c>
      <c r="F9" s="13">
        <v>0.2</v>
      </c>
      <c r="G9" s="2">
        <v>0.6</v>
      </c>
      <c r="H9" s="16">
        <v>0</v>
      </c>
      <c r="I9" s="15">
        <v>0</v>
      </c>
      <c r="J9" s="2">
        <v>0</v>
      </c>
      <c r="K9" s="2">
        <v>0</v>
      </c>
    </row>
    <row r="10" spans="1:11" x14ac:dyDescent="0.3">
      <c r="A10" s="19">
        <v>5</v>
      </c>
      <c r="B10" s="19" t="s">
        <v>3</v>
      </c>
      <c r="C10" s="10">
        <v>0.3</v>
      </c>
      <c r="D10" s="11">
        <v>0.4</v>
      </c>
      <c r="E10" s="11">
        <v>0.4</v>
      </c>
      <c r="F10" s="13">
        <v>0.2</v>
      </c>
      <c r="G10" s="2">
        <v>0.6</v>
      </c>
      <c r="H10" s="16">
        <v>0</v>
      </c>
      <c r="I10" s="15">
        <v>0</v>
      </c>
      <c r="J10" s="2">
        <v>0</v>
      </c>
      <c r="K10" s="2">
        <v>0</v>
      </c>
    </row>
    <row r="11" spans="1:11" x14ac:dyDescent="0.3">
      <c r="A11" s="19">
        <v>6</v>
      </c>
      <c r="B11" s="19" t="s">
        <v>15</v>
      </c>
      <c r="C11" s="11">
        <v>0.8</v>
      </c>
      <c r="D11" s="11">
        <v>0.6</v>
      </c>
      <c r="E11" s="11">
        <v>0.4</v>
      </c>
      <c r="F11" s="13">
        <v>0.2</v>
      </c>
      <c r="G11" s="2">
        <v>0.6</v>
      </c>
      <c r="H11" s="16">
        <v>0</v>
      </c>
      <c r="I11" s="15">
        <v>0</v>
      </c>
      <c r="J11" s="2">
        <v>0</v>
      </c>
      <c r="K11" s="2">
        <v>0</v>
      </c>
    </row>
    <row r="12" spans="1:11" ht="14.5" x14ac:dyDescent="0.3">
      <c r="A12" s="19">
        <v>7</v>
      </c>
      <c r="B12" s="25" t="s">
        <v>65</v>
      </c>
      <c r="C12" s="11">
        <v>0.15</v>
      </c>
      <c r="D12" s="11">
        <v>0.5</v>
      </c>
      <c r="E12" s="11">
        <v>0.5</v>
      </c>
      <c r="F12" s="13">
        <v>0.2</v>
      </c>
      <c r="G12" s="2">
        <v>0.3</v>
      </c>
      <c r="H12" s="16">
        <v>0</v>
      </c>
      <c r="I12" s="15">
        <v>0</v>
      </c>
      <c r="J12" s="2">
        <v>0</v>
      </c>
      <c r="K12" s="2">
        <v>0</v>
      </c>
    </row>
    <row r="13" spans="1:11" x14ac:dyDescent="0.3">
      <c r="A13" s="19">
        <v>8</v>
      </c>
      <c r="B13" s="19" t="s">
        <v>4</v>
      </c>
      <c r="C13" s="10">
        <v>0.3</v>
      </c>
      <c r="D13" s="11">
        <v>0.6</v>
      </c>
      <c r="E13" s="11">
        <v>0.4</v>
      </c>
      <c r="F13" s="13">
        <v>0.2</v>
      </c>
      <c r="G13" s="2">
        <v>0.6</v>
      </c>
      <c r="H13" s="16">
        <v>0</v>
      </c>
      <c r="I13" s="15">
        <v>0</v>
      </c>
      <c r="J13" s="2">
        <v>0</v>
      </c>
      <c r="K13" s="2">
        <v>0</v>
      </c>
    </row>
    <row r="14" spans="1:11" x14ac:dyDescent="0.3">
      <c r="A14" s="19">
        <v>9</v>
      </c>
      <c r="B14" s="19" t="s">
        <v>17</v>
      </c>
      <c r="C14" s="11">
        <v>0.5</v>
      </c>
      <c r="D14" s="11">
        <v>0.1</v>
      </c>
      <c r="E14" s="11">
        <v>0.4</v>
      </c>
      <c r="F14" s="13">
        <v>0.2</v>
      </c>
      <c r="G14" s="2">
        <v>0.1</v>
      </c>
      <c r="H14" s="15">
        <v>0.1</v>
      </c>
      <c r="I14" s="15">
        <v>0.1</v>
      </c>
      <c r="J14" s="2">
        <v>0.1</v>
      </c>
      <c r="K14" s="2">
        <v>0.1</v>
      </c>
    </row>
    <row r="15" spans="1:11" x14ac:dyDescent="0.3">
      <c r="A15" s="19">
        <v>10</v>
      </c>
      <c r="B15" s="19" t="s">
        <v>18</v>
      </c>
      <c r="C15" s="11">
        <v>0.5</v>
      </c>
      <c r="D15" s="11">
        <v>0.1</v>
      </c>
      <c r="E15" s="11">
        <v>0.4</v>
      </c>
      <c r="F15" s="13">
        <v>0.2</v>
      </c>
      <c r="G15" s="2">
        <v>0.1</v>
      </c>
      <c r="H15" s="15">
        <v>0.1</v>
      </c>
      <c r="I15" s="15">
        <v>0.1</v>
      </c>
      <c r="J15" s="2">
        <v>0.1</v>
      </c>
      <c r="K15" s="2">
        <v>0.1</v>
      </c>
    </row>
    <row r="16" spans="1:11" x14ac:dyDescent="0.3">
      <c r="A16" s="19">
        <v>11</v>
      </c>
      <c r="B16" s="19" t="s">
        <v>19</v>
      </c>
      <c r="C16" s="11">
        <v>0.5</v>
      </c>
      <c r="D16" s="11">
        <v>0.7</v>
      </c>
      <c r="E16" s="11">
        <v>0.4</v>
      </c>
      <c r="F16" s="13">
        <v>0.2</v>
      </c>
      <c r="G16" s="2">
        <v>0.6</v>
      </c>
      <c r="H16" s="16">
        <v>0</v>
      </c>
      <c r="I16" s="15">
        <v>0</v>
      </c>
      <c r="J16" s="2">
        <v>0</v>
      </c>
      <c r="K16" s="2">
        <v>0</v>
      </c>
    </row>
    <row r="17" spans="1:11" x14ac:dyDescent="0.3">
      <c r="A17" s="19">
        <v>12</v>
      </c>
      <c r="B17" s="19" t="s">
        <v>20</v>
      </c>
      <c r="C17" s="11">
        <v>0.5</v>
      </c>
      <c r="D17" s="11">
        <v>0.1</v>
      </c>
      <c r="E17" s="11">
        <v>0.4</v>
      </c>
      <c r="F17" s="13">
        <v>0.2</v>
      </c>
      <c r="G17" s="2">
        <v>0.5</v>
      </c>
      <c r="H17" s="15">
        <v>0.1</v>
      </c>
      <c r="I17" s="15">
        <v>0.1</v>
      </c>
      <c r="J17" s="2">
        <v>0.1</v>
      </c>
      <c r="K17" s="2">
        <v>0.1</v>
      </c>
    </row>
    <row r="18" spans="1:11" x14ac:dyDescent="0.3">
      <c r="A18" s="19">
        <v>13</v>
      </c>
      <c r="B18" s="19" t="s">
        <v>21</v>
      </c>
      <c r="C18" s="11">
        <v>0.5</v>
      </c>
      <c r="D18" s="11">
        <v>0.3</v>
      </c>
      <c r="E18" s="11">
        <v>0.4</v>
      </c>
      <c r="F18" s="13">
        <v>0.2</v>
      </c>
      <c r="G18" s="2">
        <v>0.8</v>
      </c>
      <c r="H18" s="15">
        <v>0.1</v>
      </c>
      <c r="I18" s="15">
        <v>0.1</v>
      </c>
      <c r="J18" s="2">
        <v>0.1</v>
      </c>
      <c r="K18" s="2">
        <v>0.1</v>
      </c>
    </row>
    <row r="19" spans="1:11" x14ac:dyDescent="0.3">
      <c r="A19" s="19">
        <v>14</v>
      </c>
      <c r="B19" s="19" t="s">
        <v>22</v>
      </c>
      <c r="C19" s="11">
        <v>0.8</v>
      </c>
      <c r="D19" s="11">
        <v>0.3</v>
      </c>
      <c r="E19" s="11">
        <v>0.4</v>
      </c>
      <c r="F19" s="13">
        <v>0.2</v>
      </c>
      <c r="G19" s="2">
        <v>0.8</v>
      </c>
      <c r="H19" s="15">
        <v>0.1</v>
      </c>
      <c r="I19" s="15">
        <v>0.1</v>
      </c>
      <c r="J19" s="2">
        <v>0.1</v>
      </c>
      <c r="K19" s="2">
        <v>0.1</v>
      </c>
    </row>
    <row r="20" spans="1:11" x14ac:dyDescent="0.3">
      <c r="A20" s="19">
        <v>15</v>
      </c>
      <c r="B20" s="19" t="s">
        <v>5</v>
      </c>
      <c r="C20" s="11">
        <v>0.1</v>
      </c>
      <c r="D20" s="11">
        <v>0.3</v>
      </c>
      <c r="E20" s="11">
        <v>0.4</v>
      </c>
      <c r="F20" s="13">
        <v>0.2</v>
      </c>
      <c r="G20" s="2">
        <v>0.5</v>
      </c>
      <c r="H20" s="15">
        <v>0.1</v>
      </c>
      <c r="I20" s="15">
        <v>0.1</v>
      </c>
      <c r="J20" s="2">
        <v>0.1</v>
      </c>
      <c r="K20" s="2">
        <v>0.1</v>
      </c>
    </row>
    <row r="21" spans="1:11" x14ac:dyDescent="0.3">
      <c r="A21" s="19">
        <v>16</v>
      </c>
      <c r="B21" s="19" t="s">
        <v>23</v>
      </c>
      <c r="C21" s="11">
        <v>0.1</v>
      </c>
      <c r="D21" s="11">
        <v>0.3</v>
      </c>
      <c r="E21" s="11">
        <v>0.1</v>
      </c>
      <c r="F21" s="13">
        <v>0.2</v>
      </c>
      <c r="G21" s="2">
        <v>0.5</v>
      </c>
      <c r="H21" s="15">
        <v>0.1</v>
      </c>
      <c r="I21" s="15">
        <v>0.1</v>
      </c>
      <c r="J21" s="2">
        <v>0.1</v>
      </c>
      <c r="K21" s="2">
        <v>0.1</v>
      </c>
    </row>
    <row r="22" spans="1:11" x14ac:dyDescent="0.3">
      <c r="A22" s="19">
        <v>17</v>
      </c>
      <c r="B22" s="19" t="s">
        <v>24</v>
      </c>
      <c r="C22" s="11">
        <v>0.1</v>
      </c>
      <c r="D22" s="11">
        <v>0.3</v>
      </c>
      <c r="E22" s="11">
        <v>0.4</v>
      </c>
      <c r="F22" s="13">
        <v>0.2</v>
      </c>
      <c r="G22" s="2">
        <v>0.5</v>
      </c>
      <c r="H22" s="15">
        <v>0.1</v>
      </c>
      <c r="I22" s="15">
        <v>0.1</v>
      </c>
      <c r="J22" s="2">
        <v>0.1</v>
      </c>
      <c r="K22" s="2">
        <v>0.1</v>
      </c>
    </row>
    <row r="23" spans="1:11" x14ac:dyDescent="0.3">
      <c r="A23" s="19">
        <v>18</v>
      </c>
      <c r="B23" s="19" t="s">
        <v>25</v>
      </c>
      <c r="C23" s="11">
        <v>0.1</v>
      </c>
      <c r="D23" s="11">
        <v>0.1</v>
      </c>
      <c r="E23" s="11">
        <v>0.4</v>
      </c>
      <c r="F23" s="13">
        <v>0.2</v>
      </c>
      <c r="G23" s="2">
        <v>0.1</v>
      </c>
      <c r="H23" s="15">
        <v>0.1</v>
      </c>
      <c r="I23" s="15">
        <v>0.1</v>
      </c>
      <c r="J23" s="2">
        <v>0.1</v>
      </c>
      <c r="K23" s="2">
        <v>0.1</v>
      </c>
    </row>
    <row r="24" spans="1:11" x14ac:dyDescent="0.3">
      <c r="A24" s="19">
        <v>19</v>
      </c>
      <c r="B24" s="19" t="s">
        <v>6</v>
      </c>
      <c r="C24" s="11">
        <v>0.1</v>
      </c>
      <c r="D24" s="11">
        <v>0.1</v>
      </c>
      <c r="E24" s="11">
        <v>0.4</v>
      </c>
      <c r="F24" s="13">
        <v>0.2</v>
      </c>
      <c r="G24" s="2">
        <v>0.1</v>
      </c>
      <c r="H24" s="15">
        <v>0.1</v>
      </c>
      <c r="I24" s="15">
        <v>0.1</v>
      </c>
      <c r="J24" s="2">
        <v>0.1</v>
      </c>
      <c r="K24" s="2">
        <v>0.1</v>
      </c>
    </row>
    <row r="25" spans="1:11" x14ac:dyDescent="0.3">
      <c r="A25" s="19">
        <v>20</v>
      </c>
      <c r="B25" s="19" t="s">
        <v>26</v>
      </c>
      <c r="C25" s="11">
        <v>0.1</v>
      </c>
      <c r="D25" s="11">
        <v>0.1</v>
      </c>
      <c r="E25" s="11">
        <v>0.4</v>
      </c>
      <c r="F25" s="13">
        <v>0.2</v>
      </c>
      <c r="G25" s="2">
        <v>0.1</v>
      </c>
      <c r="H25" s="15">
        <v>0.1</v>
      </c>
      <c r="I25" s="15">
        <v>0.1</v>
      </c>
      <c r="J25" s="2">
        <v>0.1</v>
      </c>
      <c r="K25" s="2">
        <v>0.1</v>
      </c>
    </row>
    <row r="26" spans="1:11" x14ac:dyDescent="0.3">
      <c r="A26" s="19">
        <v>21</v>
      </c>
      <c r="B26" s="19" t="s">
        <v>7</v>
      </c>
      <c r="C26" s="11">
        <v>0.5</v>
      </c>
      <c r="D26" s="11">
        <v>0.2</v>
      </c>
      <c r="E26" s="11">
        <v>0.4</v>
      </c>
      <c r="F26" s="13">
        <v>0.2</v>
      </c>
      <c r="G26" s="2">
        <v>0.3</v>
      </c>
      <c r="H26" s="15">
        <v>0.1</v>
      </c>
      <c r="I26" s="15">
        <v>0.1</v>
      </c>
      <c r="J26" s="2">
        <v>0.1</v>
      </c>
      <c r="K26" s="2">
        <v>0.1</v>
      </c>
    </row>
    <row r="27" spans="1:11" x14ac:dyDescent="0.3">
      <c r="A27" s="19">
        <v>22</v>
      </c>
      <c r="B27" s="19" t="s">
        <v>27</v>
      </c>
      <c r="C27" s="11">
        <v>0.5</v>
      </c>
      <c r="D27" s="11">
        <v>0.6</v>
      </c>
      <c r="E27" s="11">
        <v>0.4</v>
      </c>
      <c r="F27" s="13">
        <v>0.2</v>
      </c>
      <c r="G27" s="2">
        <v>0.8</v>
      </c>
      <c r="H27" s="16">
        <v>0.1</v>
      </c>
      <c r="I27" s="15">
        <v>0.1</v>
      </c>
      <c r="J27" s="2">
        <v>0.1</v>
      </c>
      <c r="K27" s="2">
        <v>0.1</v>
      </c>
    </row>
    <row r="28" spans="1:11" x14ac:dyDescent="0.3">
      <c r="A28" s="19">
        <v>23</v>
      </c>
      <c r="B28" s="19" t="s">
        <v>28</v>
      </c>
      <c r="C28" s="11">
        <v>0.5</v>
      </c>
      <c r="D28" s="11">
        <v>0.6</v>
      </c>
      <c r="E28" s="11">
        <v>0.4</v>
      </c>
      <c r="F28" s="13">
        <v>0.2</v>
      </c>
      <c r="G28" s="2">
        <v>0.3</v>
      </c>
      <c r="H28" s="15">
        <v>0.1</v>
      </c>
      <c r="I28" s="15">
        <v>0.1</v>
      </c>
      <c r="J28" s="2">
        <v>0.1</v>
      </c>
      <c r="K28" s="2">
        <v>0.1</v>
      </c>
    </row>
    <row r="29" spans="1:11" x14ac:dyDescent="0.3">
      <c r="A29" s="19">
        <v>24</v>
      </c>
      <c r="B29" s="19" t="s">
        <v>29</v>
      </c>
      <c r="C29" s="11">
        <v>0.5</v>
      </c>
      <c r="D29" s="11">
        <v>0.6</v>
      </c>
      <c r="E29" s="11">
        <v>0.4</v>
      </c>
      <c r="F29" s="13">
        <v>0.2</v>
      </c>
      <c r="G29" s="2">
        <v>0.3</v>
      </c>
      <c r="H29" s="16">
        <v>0</v>
      </c>
      <c r="I29" s="15">
        <v>0</v>
      </c>
      <c r="J29" s="2">
        <v>0</v>
      </c>
      <c r="K29" s="2">
        <v>0</v>
      </c>
    </row>
    <row r="30" spans="1:11" x14ac:dyDescent="0.3">
      <c r="A30" s="19">
        <v>25</v>
      </c>
      <c r="B30" s="19" t="s">
        <v>8</v>
      </c>
      <c r="C30" s="11">
        <v>0.5</v>
      </c>
      <c r="D30" s="11">
        <v>0.4</v>
      </c>
      <c r="E30" s="11">
        <v>0.4</v>
      </c>
      <c r="F30" s="13">
        <v>0.2</v>
      </c>
      <c r="G30" s="2">
        <v>0.3</v>
      </c>
      <c r="H30" s="16">
        <v>0</v>
      </c>
      <c r="I30" s="15">
        <v>0</v>
      </c>
      <c r="J30" s="2">
        <v>0</v>
      </c>
      <c r="K30" s="2">
        <v>0</v>
      </c>
    </row>
    <row r="31" spans="1:11" x14ac:dyDescent="0.3">
      <c r="A31" s="19">
        <v>26</v>
      </c>
      <c r="B31" s="19" t="s">
        <v>30</v>
      </c>
      <c r="C31" s="11">
        <v>0.5</v>
      </c>
      <c r="D31" s="11">
        <v>0.2</v>
      </c>
      <c r="E31" s="11">
        <v>0.4</v>
      </c>
      <c r="F31" s="13">
        <v>0.2</v>
      </c>
      <c r="G31" s="2">
        <v>0.3</v>
      </c>
      <c r="H31" s="15">
        <v>0.1</v>
      </c>
      <c r="I31" s="15">
        <v>0.1</v>
      </c>
      <c r="J31" s="2">
        <v>0.1</v>
      </c>
      <c r="K31" s="2">
        <v>0.1</v>
      </c>
    </row>
    <row r="32" spans="1:11" x14ac:dyDescent="0.3">
      <c r="A32" s="19">
        <v>27</v>
      </c>
      <c r="B32" s="19" t="s">
        <v>31</v>
      </c>
      <c r="C32" s="10">
        <v>0.3</v>
      </c>
      <c r="D32" s="11">
        <v>0.2</v>
      </c>
      <c r="E32" s="11">
        <v>0.4</v>
      </c>
      <c r="F32" s="13">
        <v>0.2</v>
      </c>
      <c r="G32" s="2">
        <v>0.3</v>
      </c>
      <c r="H32" s="15">
        <v>0.1</v>
      </c>
      <c r="I32" s="15">
        <v>0.1</v>
      </c>
      <c r="J32" s="2">
        <v>0.1</v>
      </c>
      <c r="K32" s="2">
        <v>0.1</v>
      </c>
    </row>
    <row r="33" spans="1:11" x14ac:dyDescent="0.3">
      <c r="A33" s="19">
        <v>28</v>
      </c>
      <c r="B33" s="19" t="s">
        <v>32</v>
      </c>
      <c r="C33" s="10">
        <v>0.3</v>
      </c>
      <c r="D33" s="11">
        <v>0.2</v>
      </c>
      <c r="E33" s="11">
        <v>0.4</v>
      </c>
      <c r="F33" s="13">
        <v>0.2</v>
      </c>
      <c r="G33" s="2">
        <v>0.3</v>
      </c>
      <c r="H33" s="16">
        <v>0</v>
      </c>
      <c r="I33" s="15">
        <v>0</v>
      </c>
      <c r="J33" s="2">
        <v>0</v>
      </c>
      <c r="K33" s="2">
        <v>0</v>
      </c>
    </row>
    <row r="34" spans="1:11" x14ac:dyDescent="0.3">
      <c r="A34" s="19">
        <v>29</v>
      </c>
      <c r="B34" s="19" t="s">
        <v>9</v>
      </c>
      <c r="C34" s="11">
        <v>0.5</v>
      </c>
      <c r="D34" s="11">
        <v>0.7</v>
      </c>
      <c r="E34" s="11">
        <v>0.4</v>
      </c>
      <c r="F34" s="13">
        <v>0.2</v>
      </c>
      <c r="G34" s="2">
        <v>0.3</v>
      </c>
      <c r="H34" s="15">
        <v>0.1</v>
      </c>
      <c r="I34" s="15">
        <v>0.1</v>
      </c>
      <c r="J34" s="2">
        <v>0.1</v>
      </c>
      <c r="K34" s="2">
        <v>0.1</v>
      </c>
    </row>
    <row r="35" spans="1:11" x14ac:dyDescent="0.3">
      <c r="A35" s="19">
        <v>30</v>
      </c>
      <c r="B35" s="19" t="s">
        <v>10</v>
      </c>
      <c r="C35" s="11">
        <v>0.8</v>
      </c>
      <c r="D35" s="11">
        <v>0.5</v>
      </c>
      <c r="E35" s="11">
        <v>0.4</v>
      </c>
      <c r="F35" s="13">
        <v>0.2</v>
      </c>
      <c r="G35" s="2">
        <v>0.3</v>
      </c>
      <c r="H35" s="15">
        <v>0.1</v>
      </c>
      <c r="I35" s="15">
        <v>0.1</v>
      </c>
      <c r="J35" s="2">
        <v>0.1</v>
      </c>
      <c r="K35" s="2">
        <v>0.1</v>
      </c>
    </row>
    <row r="36" spans="1:11" x14ac:dyDescent="0.3">
      <c r="A36" s="19">
        <v>31</v>
      </c>
      <c r="B36" s="19" t="s">
        <v>11</v>
      </c>
      <c r="C36" s="11">
        <v>0.1</v>
      </c>
      <c r="D36" s="11">
        <v>0.1</v>
      </c>
      <c r="E36" s="11">
        <v>0.4</v>
      </c>
      <c r="F36" s="13">
        <v>0.2</v>
      </c>
      <c r="G36" s="2">
        <v>0.1</v>
      </c>
      <c r="H36" s="16">
        <v>0</v>
      </c>
      <c r="I36" s="15">
        <v>0</v>
      </c>
      <c r="J36" s="2">
        <v>0</v>
      </c>
      <c r="K36" s="2">
        <v>0</v>
      </c>
    </row>
    <row r="37" spans="1:11" x14ac:dyDescent="0.3">
      <c r="A37" s="19">
        <v>32</v>
      </c>
      <c r="B37" s="19" t="s">
        <v>12</v>
      </c>
      <c r="C37" s="11">
        <v>0.1</v>
      </c>
      <c r="D37" s="11">
        <v>0.1</v>
      </c>
      <c r="E37" s="11">
        <v>0.4</v>
      </c>
      <c r="F37" s="13">
        <v>0.2</v>
      </c>
      <c r="G37" s="2">
        <v>0.1</v>
      </c>
      <c r="H37" s="16">
        <v>0</v>
      </c>
      <c r="I37" s="15">
        <v>0</v>
      </c>
      <c r="J37" s="2">
        <v>0</v>
      </c>
      <c r="K37" s="2">
        <v>0</v>
      </c>
    </row>
    <row r="38" spans="1:11" x14ac:dyDescent="0.3">
      <c r="A38" s="19">
        <v>33</v>
      </c>
      <c r="B38" s="19" t="s">
        <v>13</v>
      </c>
      <c r="C38" s="11">
        <v>0.5</v>
      </c>
      <c r="D38" s="11">
        <v>0.4</v>
      </c>
      <c r="E38" s="11">
        <v>0.4</v>
      </c>
      <c r="F38" s="13">
        <v>0.2</v>
      </c>
      <c r="G38" s="2">
        <v>0.8</v>
      </c>
      <c r="H38" s="16">
        <v>0</v>
      </c>
      <c r="I38" s="15">
        <v>0</v>
      </c>
      <c r="J38" s="2">
        <v>0</v>
      </c>
      <c r="K38" s="2">
        <v>0</v>
      </c>
    </row>
    <row r="39" spans="1:11" x14ac:dyDescent="0.3">
      <c r="A39" s="19">
        <v>34</v>
      </c>
      <c r="B39" s="26" t="s">
        <v>33</v>
      </c>
      <c r="C39" s="11">
        <v>0.25</v>
      </c>
      <c r="D39" s="11">
        <v>0.6</v>
      </c>
      <c r="E39" s="11">
        <v>0.4</v>
      </c>
      <c r="F39" s="13">
        <v>0.2</v>
      </c>
      <c r="G39" s="2">
        <v>0.8</v>
      </c>
      <c r="H39" s="16">
        <v>0</v>
      </c>
      <c r="I39" s="15">
        <v>0</v>
      </c>
      <c r="J39" s="2">
        <v>0</v>
      </c>
      <c r="K39" s="2">
        <v>0</v>
      </c>
    </row>
    <row r="40" spans="1:11" x14ac:dyDescent="0.3">
      <c r="A40" s="19">
        <v>35</v>
      </c>
      <c r="B40" s="26" t="s">
        <v>34</v>
      </c>
      <c r="C40" s="11">
        <v>0.25</v>
      </c>
      <c r="D40" s="11">
        <v>0.6</v>
      </c>
      <c r="E40" s="11">
        <v>0.4</v>
      </c>
      <c r="F40" s="13">
        <v>0.2</v>
      </c>
      <c r="G40" s="2">
        <v>0.8</v>
      </c>
      <c r="H40" s="16">
        <v>0</v>
      </c>
      <c r="I40" s="15">
        <v>0</v>
      </c>
      <c r="J40" s="2">
        <v>0</v>
      </c>
      <c r="K40" s="2">
        <v>0</v>
      </c>
    </row>
    <row r="41" spans="1:11" x14ac:dyDescent="0.3">
      <c r="A41" s="19">
        <v>36</v>
      </c>
      <c r="B41" s="19" t="s">
        <v>14</v>
      </c>
      <c r="C41" s="11">
        <v>0.25</v>
      </c>
      <c r="D41" s="11">
        <v>0.6</v>
      </c>
      <c r="E41" s="11">
        <v>0</v>
      </c>
      <c r="F41" s="13">
        <v>0</v>
      </c>
      <c r="G41" s="2">
        <v>0</v>
      </c>
      <c r="H41" s="16">
        <v>0</v>
      </c>
      <c r="I41" s="15">
        <v>0</v>
      </c>
      <c r="J41" s="2">
        <v>0</v>
      </c>
      <c r="K41" s="2">
        <v>0</v>
      </c>
    </row>
    <row r="42" spans="1:11" x14ac:dyDescent="0.3">
      <c r="A42" s="19">
        <v>37</v>
      </c>
      <c r="B42" s="2" t="s">
        <v>97</v>
      </c>
      <c r="C42" s="11">
        <v>0.1</v>
      </c>
      <c r="D42" s="11">
        <v>0.6</v>
      </c>
      <c r="E42" s="11">
        <v>0</v>
      </c>
      <c r="F42" s="13">
        <v>0</v>
      </c>
      <c r="G42" s="2">
        <v>0</v>
      </c>
      <c r="H42" s="16">
        <v>0</v>
      </c>
      <c r="I42" s="15">
        <v>0</v>
      </c>
      <c r="J42" s="2">
        <v>0</v>
      </c>
      <c r="K42" s="2">
        <v>0</v>
      </c>
    </row>
    <row r="43" spans="1:11" x14ac:dyDescent="0.3">
      <c r="A43" s="19">
        <v>38</v>
      </c>
      <c r="B43" s="41" t="s">
        <v>63</v>
      </c>
      <c r="C43" s="11">
        <v>0.25</v>
      </c>
      <c r="D43" s="12">
        <v>0.8</v>
      </c>
      <c r="E43" s="12">
        <v>0</v>
      </c>
      <c r="F43" s="13">
        <v>0</v>
      </c>
      <c r="G43" s="2">
        <v>0</v>
      </c>
      <c r="H43" s="16">
        <v>0</v>
      </c>
      <c r="I43" s="15">
        <v>0</v>
      </c>
      <c r="J43" s="2">
        <v>0</v>
      </c>
      <c r="K43" s="2">
        <v>0</v>
      </c>
    </row>
    <row r="44" spans="1:11" x14ac:dyDescent="0.3">
      <c r="A44" s="21">
        <v>39</v>
      </c>
      <c r="B44" s="37" t="s">
        <v>35</v>
      </c>
      <c r="C44" s="52">
        <v>0.1</v>
      </c>
      <c r="D44" s="52">
        <v>0.6</v>
      </c>
      <c r="E44" s="52">
        <v>0</v>
      </c>
      <c r="F44" s="53">
        <v>0</v>
      </c>
      <c r="G44" s="37">
        <v>0</v>
      </c>
      <c r="H44" s="54">
        <v>0</v>
      </c>
      <c r="I44" s="47">
        <v>0</v>
      </c>
      <c r="J44" s="37">
        <v>0</v>
      </c>
      <c r="K44" s="37">
        <v>0</v>
      </c>
    </row>
  </sheetData>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712D-431D-4998-8965-05F5432F5890}">
  <dimension ref="A1:C48"/>
  <sheetViews>
    <sheetView topLeftCell="A13" workbookViewId="0">
      <selection activeCell="H18" sqref="H18"/>
    </sheetView>
  </sheetViews>
  <sheetFormatPr defaultColWidth="8.83203125" defaultRowHeight="14" x14ac:dyDescent="0.3"/>
  <cols>
    <col min="1" max="1" width="23.4140625" style="1" bestFit="1" customWidth="1"/>
    <col min="2" max="2" width="27.25" style="1" bestFit="1" customWidth="1"/>
    <col min="3" max="3" width="11.4140625" style="1" bestFit="1" customWidth="1"/>
  </cols>
  <sheetData>
    <row r="1" spans="1:3" x14ac:dyDescent="0.3">
      <c r="A1" s="34" t="s">
        <v>131</v>
      </c>
      <c r="B1" s="2"/>
      <c r="C1" s="2"/>
    </row>
    <row r="2" spans="1:3" x14ac:dyDescent="0.3">
      <c r="A2" s="34"/>
      <c r="B2" s="2"/>
      <c r="C2" s="2"/>
    </row>
    <row r="3" spans="1:3" x14ac:dyDescent="0.3">
      <c r="A3" s="35" t="s">
        <v>83</v>
      </c>
      <c r="B3" s="36" t="s">
        <v>43</v>
      </c>
      <c r="C3" s="35" t="s">
        <v>76</v>
      </c>
    </row>
    <row r="4" spans="1:3" x14ac:dyDescent="0.3">
      <c r="A4" s="37" t="s">
        <v>125</v>
      </c>
      <c r="B4" s="38" t="s">
        <v>126</v>
      </c>
      <c r="C4" s="37" t="s">
        <v>77</v>
      </c>
    </row>
    <row r="5" spans="1:3" x14ac:dyDescent="0.3">
      <c r="A5" s="2" t="s">
        <v>78</v>
      </c>
      <c r="B5" s="2" t="s">
        <v>78</v>
      </c>
      <c r="C5" s="2">
        <v>1</v>
      </c>
    </row>
    <row r="6" spans="1:3" x14ac:dyDescent="0.3">
      <c r="A6" s="2" t="s">
        <v>81</v>
      </c>
      <c r="B6" s="2" t="s">
        <v>79</v>
      </c>
      <c r="C6" s="2">
        <v>2</v>
      </c>
    </row>
    <row r="7" spans="1:3" x14ac:dyDescent="0.3">
      <c r="A7" s="2" t="s">
        <v>82</v>
      </c>
      <c r="B7" s="2" t="s">
        <v>80</v>
      </c>
      <c r="C7" s="2">
        <v>3</v>
      </c>
    </row>
    <row r="8" spans="1:3" x14ac:dyDescent="0.3">
      <c r="A8" s="31" t="s">
        <v>0</v>
      </c>
      <c r="B8" s="2" t="s">
        <v>51</v>
      </c>
      <c r="C8" s="2">
        <v>4</v>
      </c>
    </row>
    <row r="9" spans="1:3" x14ac:dyDescent="0.3">
      <c r="A9" s="31" t="s">
        <v>67</v>
      </c>
      <c r="B9" s="2" t="s">
        <v>52</v>
      </c>
      <c r="C9" s="2">
        <v>5</v>
      </c>
    </row>
    <row r="10" spans="1:3" x14ac:dyDescent="0.3">
      <c r="A10" s="31" t="s">
        <v>1</v>
      </c>
      <c r="B10" s="2" t="s">
        <v>1</v>
      </c>
      <c r="C10" s="2">
        <v>6</v>
      </c>
    </row>
    <row r="11" spans="1:3" x14ac:dyDescent="0.3">
      <c r="A11" s="31" t="s">
        <v>2</v>
      </c>
      <c r="B11" s="2" t="s">
        <v>45</v>
      </c>
      <c r="C11" s="2">
        <v>7</v>
      </c>
    </row>
    <row r="12" spans="1:3" x14ac:dyDescent="0.3">
      <c r="A12" s="31" t="s">
        <v>3</v>
      </c>
      <c r="B12" s="2" t="s">
        <v>3</v>
      </c>
      <c r="C12" s="2">
        <v>8</v>
      </c>
    </row>
    <row r="13" spans="1:3" x14ac:dyDescent="0.3">
      <c r="A13" s="31" t="s">
        <v>15</v>
      </c>
      <c r="B13" s="2" t="s">
        <v>53</v>
      </c>
      <c r="C13" s="2">
        <v>9</v>
      </c>
    </row>
    <row r="14" spans="1:3" ht="14.5" x14ac:dyDescent="0.3">
      <c r="A14" s="32" t="s">
        <v>65</v>
      </c>
      <c r="B14" s="2" t="s">
        <v>16</v>
      </c>
      <c r="C14" s="2">
        <v>10</v>
      </c>
    </row>
    <row r="15" spans="1:3" x14ac:dyDescent="0.3">
      <c r="A15" s="31" t="s">
        <v>4</v>
      </c>
      <c r="B15" s="2" t="s">
        <v>4</v>
      </c>
      <c r="C15" s="2">
        <v>11</v>
      </c>
    </row>
    <row r="16" spans="1:3" x14ac:dyDescent="0.3">
      <c r="A16" s="31" t="s">
        <v>17</v>
      </c>
      <c r="B16" s="2" t="s">
        <v>54</v>
      </c>
      <c r="C16" s="2">
        <v>12</v>
      </c>
    </row>
    <row r="17" spans="1:3" x14ac:dyDescent="0.3">
      <c r="A17" s="31" t="s">
        <v>18</v>
      </c>
      <c r="B17" s="2" t="s">
        <v>54</v>
      </c>
      <c r="C17" s="2">
        <v>12</v>
      </c>
    </row>
    <row r="18" spans="1:3" x14ac:dyDescent="0.3">
      <c r="A18" s="31" t="s">
        <v>19</v>
      </c>
      <c r="B18" s="2" t="s">
        <v>46</v>
      </c>
      <c r="C18" s="2">
        <v>13</v>
      </c>
    </row>
    <row r="19" spans="1:3" x14ac:dyDescent="0.3">
      <c r="A19" s="31" t="s">
        <v>20</v>
      </c>
      <c r="B19" s="2" t="s">
        <v>47</v>
      </c>
      <c r="C19" s="2">
        <v>14</v>
      </c>
    </row>
    <row r="20" spans="1:3" x14ac:dyDescent="0.3">
      <c r="A20" s="31" t="s">
        <v>21</v>
      </c>
      <c r="B20" s="2" t="s">
        <v>47</v>
      </c>
      <c r="C20" s="2">
        <v>14</v>
      </c>
    </row>
    <row r="21" spans="1:3" x14ac:dyDescent="0.3">
      <c r="A21" s="31" t="s">
        <v>22</v>
      </c>
      <c r="B21" s="2" t="s">
        <v>55</v>
      </c>
      <c r="C21" s="2">
        <v>15</v>
      </c>
    </row>
    <row r="22" spans="1:3" x14ac:dyDescent="0.3">
      <c r="A22" s="31" t="s">
        <v>5</v>
      </c>
      <c r="B22" s="2" t="s">
        <v>56</v>
      </c>
      <c r="C22" s="2">
        <v>16</v>
      </c>
    </row>
    <row r="23" spans="1:3" x14ac:dyDescent="0.3">
      <c r="A23" s="31" t="s">
        <v>23</v>
      </c>
      <c r="B23" s="2" t="s">
        <v>56</v>
      </c>
      <c r="C23" s="2">
        <v>16</v>
      </c>
    </row>
    <row r="24" spans="1:3" x14ac:dyDescent="0.3">
      <c r="A24" s="31" t="s">
        <v>24</v>
      </c>
      <c r="B24" s="2" t="s">
        <v>56</v>
      </c>
      <c r="C24" s="2">
        <v>16</v>
      </c>
    </row>
    <row r="25" spans="1:3" x14ac:dyDescent="0.3">
      <c r="A25" s="31" t="s">
        <v>25</v>
      </c>
      <c r="B25" s="2" t="s">
        <v>57</v>
      </c>
      <c r="C25" s="2">
        <v>17</v>
      </c>
    </row>
    <row r="26" spans="1:3" x14ac:dyDescent="0.3">
      <c r="A26" s="31" t="s">
        <v>6</v>
      </c>
      <c r="B26" s="2" t="s">
        <v>57</v>
      </c>
      <c r="C26" s="2">
        <v>17</v>
      </c>
    </row>
    <row r="27" spans="1:3" x14ac:dyDescent="0.3">
      <c r="A27" s="31" t="s">
        <v>26</v>
      </c>
      <c r="B27" s="2" t="s">
        <v>57</v>
      </c>
      <c r="C27" s="2">
        <v>17</v>
      </c>
    </row>
    <row r="28" spans="1:3" x14ac:dyDescent="0.3">
      <c r="A28" s="31" t="s">
        <v>7</v>
      </c>
      <c r="B28" s="2" t="s">
        <v>57</v>
      </c>
      <c r="C28" s="2">
        <v>17</v>
      </c>
    </row>
    <row r="29" spans="1:3" x14ac:dyDescent="0.3">
      <c r="A29" s="31" t="s">
        <v>27</v>
      </c>
      <c r="B29" s="2" t="s">
        <v>58</v>
      </c>
      <c r="C29" s="2">
        <v>18</v>
      </c>
    </row>
    <row r="30" spans="1:3" x14ac:dyDescent="0.3">
      <c r="A30" s="31" t="s">
        <v>28</v>
      </c>
      <c r="B30" s="2" t="s">
        <v>59</v>
      </c>
      <c r="C30" s="2">
        <v>19</v>
      </c>
    </row>
    <row r="31" spans="1:3" x14ac:dyDescent="0.3">
      <c r="A31" s="31" t="s">
        <v>29</v>
      </c>
      <c r="B31" s="2" t="s">
        <v>55</v>
      </c>
      <c r="C31" s="2">
        <v>15</v>
      </c>
    </row>
    <row r="32" spans="1:3" x14ac:dyDescent="0.3">
      <c r="A32" s="31" t="s">
        <v>8</v>
      </c>
      <c r="B32" s="2" t="s">
        <v>57</v>
      </c>
      <c r="C32" s="2">
        <v>17</v>
      </c>
    </row>
    <row r="33" spans="1:3" x14ac:dyDescent="0.3">
      <c r="A33" s="31" t="s">
        <v>30</v>
      </c>
      <c r="B33" s="2" t="s">
        <v>59</v>
      </c>
      <c r="C33" s="2">
        <v>19</v>
      </c>
    </row>
    <row r="34" spans="1:3" x14ac:dyDescent="0.3">
      <c r="A34" s="31" t="s">
        <v>31</v>
      </c>
      <c r="B34" s="2" t="s">
        <v>59</v>
      </c>
      <c r="C34" s="2">
        <v>19</v>
      </c>
    </row>
    <row r="35" spans="1:3" x14ac:dyDescent="0.3">
      <c r="A35" s="31" t="s">
        <v>32</v>
      </c>
      <c r="B35" s="2" t="s">
        <v>58</v>
      </c>
      <c r="C35" s="2">
        <v>18</v>
      </c>
    </row>
    <row r="36" spans="1:3" x14ac:dyDescent="0.3">
      <c r="A36" s="31" t="s">
        <v>9</v>
      </c>
      <c r="B36" s="2" t="s">
        <v>59</v>
      </c>
      <c r="C36" s="2">
        <v>19</v>
      </c>
    </row>
    <row r="37" spans="1:3" x14ac:dyDescent="0.3">
      <c r="A37" s="31" t="s">
        <v>10</v>
      </c>
      <c r="B37" s="2" t="s">
        <v>60</v>
      </c>
      <c r="C37" s="2">
        <v>20</v>
      </c>
    </row>
    <row r="38" spans="1:3" x14ac:dyDescent="0.3">
      <c r="A38" s="31" t="s">
        <v>11</v>
      </c>
      <c r="B38" s="2" t="s">
        <v>48</v>
      </c>
      <c r="C38" s="2">
        <v>21</v>
      </c>
    </row>
    <row r="39" spans="1:3" x14ac:dyDescent="0.3">
      <c r="A39" s="31" t="s">
        <v>12</v>
      </c>
      <c r="B39" s="2" t="s">
        <v>61</v>
      </c>
      <c r="C39" s="2">
        <v>22</v>
      </c>
    </row>
    <row r="40" spans="1:3" x14ac:dyDescent="0.3">
      <c r="A40" s="31" t="s">
        <v>13</v>
      </c>
      <c r="B40" s="2" t="s">
        <v>61</v>
      </c>
      <c r="C40" s="2">
        <v>22</v>
      </c>
    </row>
    <row r="41" spans="1:3" x14ac:dyDescent="0.3">
      <c r="A41" s="33" t="s">
        <v>33</v>
      </c>
      <c r="B41" s="2" t="s">
        <v>62</v>
      </c>
      <c r="C41" s="2">
        <v>23</v>
      </c>
    </row>
    <row r="42" spans="1:3" x14ac:dyDescent="0.3">
      <c r="A42" s="33" t="s">
        <v>34</v>
      </c>
      <c r="B42" s="2" t="s">
        <v>62</v>
      </c>
      <c r="C42" s="2">
        <v>23</v>
      </c>
    </row>
    <row r="43" spans="1:3" x14ac:dyDescent="0.3">
      <c r="A43" s="31" t="s">
        <v>14</v>
      </c>
      <c r="B43" s="2" t="s">
        <v>100</v>
      </c>
      <c r="C43" s="2">
        <v>25</v>
      </c>
    </row>
    <row r="44" spans="1:3" x14ac:dyDescent="0.3">
      <c r="A44" s="39" t="s">
        <v>97</v>
      </c>
      <c r="B44" s="2" t="s">
        <v>64</v>
      </c>
      <c r="C44" s="2">
        <v>26</v>
      </c>
    </row>
    <row r="45" spans="1:3" x14ac:dyDescent="0.3">
      <c r="A45" s="40" t="s">
        <v>63</v>
      </c>
      <c r="B45" s="41" t="s">
        <v>63</v>
      </c>
      <c r="C45" s="2">
        <v>24</v>
      </c>
    </row>
    <row r="46" spans="1:3" x14ac:dyDescent="0.3">
      <c r="A46" s="39" t="s">
        <v>35</v>
      </c>
      <c r="B46" s="2" t="s">
        <v>35</v>
      </c>
      <c r="C46" s="2">
        <v>27</v>
      </c>
    </row>
    <row r="47" spans="1:3" x14ac:dyDescent="0.3">
      <c r="A47" s="40" t="s">
        <v>84</v>
      </c>
      <c r="B47" s="2" t="s">
        <v>50</v>
      </c>
      <c r="C47" s="2">
        <v>28</v>
      </c>
    </row>
    <row r="48" spans="1:3" x14ac:dyDescent="0.3">
      <c r="A48" s="42" t="s">
        <v>36</v>
      </c>
      <c r="B48" s="37" t="s">
        <v>50</v>
      </c>
      <c r="C48" s="37">
        <v>28</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1FFE-501D-4D5B-943D-4B901355E368}">
  <dimension ref="A1:AQ28"/>
  <sheetViews>
    <sheetView workbookViewId="0">
      <selection activeCell="I32" sqref="I32"/>
    </sheetView>
  </sheetViews>
  <sheetFormatPr defaultColWidth="8.83203125" defaultRowHeight="14" x14ac:dyDescent="0.3"/>
  <cols>
    <col min="1" max="1" width="37.25" style="2" bestFit="1" customWidth="1"/>
    <col min="2" max="25" width="19" style="2" customWidth="1"/>
    <col min="26" max="16384" width="8.83203125" style="2"/>
  </cols>
  <sheetData>
    <row r="1" spans="1:43" x14ac:dyDescent="0.3">
      <c r="A1" s="119" t="s">
        <v>132</v>
      </c>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row>
    <row r="3" spans="1:43" ht="14.5" x14ac:dyDescent="0.3">
      <c r="A3" s="93"/>
      <c r="B3" s="89" t="s">
        <v>51</v>
      </c>
      <c r="C3" s="89" t="s">
        <v>52</v>
      </c>
      <c r="D3" s="89" t="s">
        <v>1</v>
      </c>
      <c r="E3" s="89" t="s">
        <v>45</v>
      </c>
      <c r="F3" s="89" t="s">
        <v>3</v>
      </c>
      <c r="G3" s="89" t="s">
        <v>53</v>
      </c>
      <c r="H3" s="89" t="s">
        <v>16</v>
      </c>
      <c r="I3" s="89" t="s">
        <v>4</v>
      </c>
      <c r="J3" s="89" t="s">
        <v>54</v>
      </c>
      <c r="K3" s="89" t="s">
        <v>46</v>
      </c>
      <c r="L3" s="89" t="s">
        <v>47</v>
      </c>
      <c r="M3" s="89" t="s">
        <v>55</v>
      </c>
      <c r="N3" s="89" t="s">
        <v>56</v>
      </c>
      <c r="O3" s="89" t="s">
        <v>57</v>
      </c>
      <c r="P3" s="89" t="s">
        <v>58</v>
      </c>
      <c r="Q3" s="89" t="s">
        <v>59</v>
      </c>
      <c r="R3" s="89" t="s">
        <v>60</v>
      </c>
      <c r="S3" s="89" t="s">
        <v>48</v>
      </c>
      <c r="T3" s="89" t="s">
        <v>61</v>
      </c>
      <c r="U3" s="89" t="s">
        <v>62</v>
      </c>
      <c r="V3" s="89" t="s">
        <v>49</v>
      </c>
      <c r="W3" s="89" t="s">
        <v>64</v>
      </c>
      <c r="X3" s="89" t="s">
        <v>63</v>
      </c>
      <c r="Y3" s="89" t="s">
        <v>35</v>
      </c>
    </row>
    <row r="4" spans="1:43" x14ac:dyDescent="0.3">
      <c r="A4" s="64" t="s">
        <v>51</v>
      </c>
      <c r="B4" s="90">
        <v>0</v>
      </c>
      <c r="C4" s="90">
        <v>0</v>
      </c>
      <c r="D4" s="90">
        <v>0.27</v>
      </c>
      <c r="E4" s="90">
        <v>0.57499999999999996</v>
      </c>
      <c r="F4" s="90">
        <v>0.5</v>
      </c>
      <c r="G4" s="90">
        <v>0</v>
      </c>
      <c r="H4" s="110">
        <v>9.8522167487684695E-3</v>
      </c>
      <c r="I4" s="90">
        <v>0</v>
      </c>
      <c r="J4" s="90">
        <v>0.222396258070056</v>
      </c>
      <c r="K4" s="90">
        <v>0</v>
      </c>
      <c r="L4" s="90">
        <v>0</v>
      </c>
      <c r="M4" s="90">
        <v>0.30007252826997999</v>
      </c>
      <c r="N4" s="90">
        <v>1.2528799618107701E-2</v>
      </c>
      <c r="O4" s="90">
        <v>0</v>
      </c>
      <c r="P4" s="90">
        <v>0.53843895177027701</v>
      </c>
      <c r="Q4" s="90">
        <v>0</v>
      </c>
      <c r="R4" s="90">
        <v>0</v>
      </c>
      <c r="S4" s="90">
        <v>0</v>
      </c>
      <c r="T4" s="90">
        <v>0</v>
      </c>
      <c r="U4" s="90">
        <v>0</v>
      </c>
      <c r="V4" s="90">
        <v>0</v>
      </c>
      <c r="W4" s="90">
        <v>0</v>
      </c>
      <c r="X4" s="90">
        <v>0</v>
      </c>
      <c r="Y4" s="90">
        <v>0</v>
      </c>
    </row>
    <row r="5" spans="1:43" x14ac:dyDescent="0.3">
      <c r="A5" s="64" t="s">
        <v>52</v>
      </c>
      <c r="B5" s="90">
        <v>0</v>
      </c>
      <c r="C5" s="90">
        <v>0</v>
      </c>
      <c r="D5" s="90">
        <v>0.13</v>
      </c>
      <c r="E5" s="90">
        <v>0.27500000000000002</v>
      </c>
      <c r="F5" s="90">
        <v>0.25</v>
      </c>
      <c r="G5" s="90">
        <v>0</v>
      </c>
      <c r="H5" s="110">
        <v>0</v>
      </c>
      <c r="I5" s="90">
        <v>0</v>
      </c>
      <c r="J5" s="90">
        <v>5.76073224203511E-3</v>
      </c>
      <c r="K5" s="90">
        <v>0</v>
      </c>
      <c r="L5" s="90">
        <v>0</v>
      </c>
      <c r="M5" s="90">
        <v>0</v>
      </c>
      <c r="N5" s="90">
        <v>0</v>
      </c>
      <c r="O5" s="90">
        <v>0</v>
      </c>
      <c r="P5" s="90">
        <v>0</v>
      </c>
      <c r="Q5" s="90">
        <v>0</v>
      </c>
      <c r="R5" s="90">
        <v>0</v>
      </c>
      <c r="S5" s="90">
        <v>0</v>
      </c>
      <c r="T5" s="90">
        <v>0</v>
      </c>
      <c r="U5" s="90">
        <v>0</v>
      </c>
      <c r="V5" s="90">
        <v>0</v>
      </c>
      <c r="W5" s="90">
        <v>0</v>
      </c>
      <c r="X5" s="90">
        <v>0</v>
      </c>
      <c r="Y5" s="90">
        <v>0</v>
      </c>
    </row>
    <row r="6" spans="1:43" x14ac:dyDescent="0.3">
      <c r="A6" s="64" t="s">
        <v>1</v>
      </c>
      <c r="B6" s="90">
        <v>0</v>
      </c>
      <c r="C6" s="90">
        <v>0</v>
      </c>
      <c r="D6" s="90">
        <v>0.17499999999999999</v>
      </c>
      <c r="E6" s="90">
        <v>0.15</v>
      </c>
      <c r="F6" s="90">
        <v>0.25</v>
      </c>
      <c r="G6" s="90">
        <v>0</v>
      </c>
      <c r="H6" s="110">
        <v>0</v>
      </c>
      <c r="I6" s="90">
        <v>0</v>
      </c>
      <c r="J6" s="90">
        <v>3.0006398142299099E-3</v>
      </c>
      <c r="K6" s="90">
        <v>0</v>
      </c>
      <c r="L6" s="90">
        <v>0</v>
      </c>
      <c r="M6" s="90">
        <v>0</v>
      </c>
      <c r="N6" s="90">
        <v>1.20078871998651E-8</v>
      </c>
      <c r="O6" s="90">
        <v>0</v>
      </c>
      <c r="P6" s="90">
        <v>0</v>
      </c>
      <c r="Q6" s="90">
        <v>0</v>
      </c>
      <c r="R6" s="90">
        <v>0</v>
      </c>
      <c r="S6" s="90">
        <v>0</v>
      </c>
      <c r="T6" s="90">
        <v>0</v>
      </c>
      <c r="U6" s="90">
        <v>0</v>
      </c>
      <c r="V6" s="90">
        <v>0</v>
      </c>
      <c r="W6" s="90">
        <v>0</v>
      </c>
      <c r="X6" s="90">
        <v>0</v>
      </c>
      <c r="Y6" s="90">
        <v>0</v>
      </c>
    </row>
    <row r="7" spans="1:43" x14ac:dyDescent="0.3">
      <c r="A7" s="64" t="s">
        <v>45</v>
      </c>
      <c r="B7" s="90">
        <v>0</v>
      </c>
      <c r="C7" s="90">
        <v>0</v>
      </c>
      <c r="D7" s="90">
        <v>0</v>
      </c>
      <c r="E7" s="90">
        <v>0</v>
      </c>
      <c r="F7" s="90">
        <v>0</v>
      </c>
      <c r="G7" s="90">
        <v>0.64</v>
      </c>
      <c r="H7" s="110">
        <v>0.73118226600985003</v>
      </c>
      <c r="I7" s="90">
        <v>0</v>
      </c>
      <c r="J7" s="90">
        <v>0.41923712123524498</v>
      </c>
      <c r="K7" s="90">
        <v>0.15</v>
      </c>
      <c r="L7" s="90">
        <v>2.2980825240715701E-2</v>
      </c>
      <c r="M7" s="90">
        <v>0.64960627510582203</v>
      </c>
      <c r="N7" s="90">
        <v>9.0806571185409302E-2</v>
      </c>
      <c r="O7" s="90">
        <v>0</v>
      </c>
      <c r="P7" s="90">
        <v>0.35895930118018499</v>
      </c>
      <c r="Q7" s="90">
        <v>9.2401017445232201E-4</v>
      </c>
      <c r="R7" s="90">
        <v>0</v>
      </c>
      <c r="S7" s="90">
        <v>0</v>
      </c>
      <c r="T7" s="90">
        <v>0</v>
      </c>
      <c r="U7" s="90">
        <v>0</v>
      </c>
      <c r="V7" s="90">
        <v>0</v>
      </c>
      <c r="W7" s="90">
        <v>0</v>
      </c>
      <c r="X7" s="90">
        <v>0</v>
      </c>
      <c r="Y7" s="90">
        <v>0</v>
      </c>
    </row>
    <row r="8" spans="1:43" x14ac:dyDescent="0.3">
      <c r="A8" s="64" t="s">
        <v>3</v>
      </c>
      <c r="B8" s="90">
        <v>0</v>
      </c>
      <c r="C8" s="90">
        <v>0</v>
      </c>
      <c r="D8" s="90">
        <v>0</v>
      </c>
      <c r="E8" s="90">
        <v>0</v>
      </c>
      <c r="F8" s="90">
        <v>0</v>
      </c>
      <c r="G8" s="90">
        <v>0.12</v>
      </c>
      <c r="H8" s="110">
        <v>0.10470443349753696</v>
      </c>
      <c r="I8" s="90">
        <v>0</v>
      </c>
      <c r="J8" s="90">
        <v>0.34859995704699398</v>
      </c>
      <c r="K8" s="90">
        <v>0.85</v>
      </c>
      <c r="L8" s="90">
        <v>0.64896447419279901</v>
      </c>
      <c r="M8" s="90">
        <v>9.0833023832349599E-6</v>
      </c>
      <c r="N8" s="90">
        <v>0.28968290412981301</v>
      </c>
      <c r="O8" s="90">
        <v>0.11366828590302699</v>
      </c>
      <c r="P8" s="90">
        <v>8.13631854102842E-2</v>
      </c>
      <c r="Q8" s="90">
        <v>7.6357022653848305E-2</v>
      </c>
      <c r="R8" s="90">
        <v>1.0500000000000001E-2</v>
      </c>
      <c r="S8" s="90">
        <v>0</v>
      </c>
      <c r="T8" s="90">
        <v>0.107518664923847</v>
      </c>
      <c r="U8" s="90">
        <v>2.6489103789893501E-2</v>
      </c>
      <c r="V8" s="90">
        <v>0</v>
      </c>
      <c r="W8" s="90">
        <v>0</v>
      </c>
      <c r="X8" s="90">
        <v>0</v>
      </c>
      <c r="Y8" s="90">
        <v>0</v>
      </c>
    </row>
    <row r="9" spans="1:43" x14ac:dyDescent="0.3">
      <c r="A9" s="64" t="s">
        <v>53</v>
      </c>
      <c r="B9" s="90">
        <v>0</v>
      </c>
      <c r="C9" s="90">
        <v>0</v>
      </c>
      <c r="D9" s="90">
        <v>0</v>
      </c>
      <c r="E9" s="90">
        <v>0</v>
      </c>
      <c r="F9" s="90">
        <v>0</v>
      </c>
      <c r="G9" s="90">
        <v>0.04</v>
      </c>
      <c r="H9" s="110">
        <v>4.9261083743842402E-2</v>
      </c>
      <c r="I9" s="90">
        <v>0</v>
      </c>
      <c r="J9" s="90">
        <v>0</v>
      </c>
      <c r="K9" s="90">
        <v>0</v>
      </c>
      <c r="L9" s="90">
        <v>0</v>
      </c>
      <c r="M9" s="90">
        <v>0</v>
      </c>
      <c r="N9" s="90">
        <v>0</v>
      </c>
      <c r="O9" s="90">
        <v>0</v>
      </c>
      <c r="P9" s="90">
        <v>0</v>
      </c>
      <c r="Q9" s="90">
        <v>4.51773051272326E-4</v>
      </c>
      <c r="R9" s="90">
        <v>0</v>
      </c>
      <c r="S9" s="90">
        <v>0</v>
      </c>
      <c r="T9" s="90">
        <v>0</v>
      </c>
      <c r="U9" s="90">
        <v>8.0198052628887795E-2</v>
      </c>
      <c r="V9" s="90">
        <v>0</v>
      </c>
      <c r="W9" s="90">
        <v>0</v>
      </c>
      <c r="X9" s="90">
        <v>0</v>
      </c>
      <c r="Y9" s="90">
        <v>0</v>
      </c>
    </row>
    <row r="10" spans="1:43" x14ac:dyDescent="0.3">
      <c r="A10" s="64" t="s">
        <v>16</v>
      </c>
      <c r="B10" s="90">
        <v>0</v>
      </c>
      <c r="C10" s="90">
        <v>0</v>
      </c>
      <c r="D10" s="90">
        <v>0</v>
      </c>
      <c r="E10" s="90">
        <v>0</v>
      </c>
      <c r="F10" s="90">
        <v>0</v>
      </c>
      <c r="G10" s="90">
        <v>0</v>
      </c>
      <c r="H10" s="90">
        <v>0</v>
      </c>
      <c r="I10" s="90">
        <v>0</v>
      </c>
      <c r="J10" s="90">
        <v>0</v>
      </c>
      <c r="K10" s="90">
        <v>0</v>
      </c>
      <c r="L10" s="90">
        <v>0</v>
      </c>
      <c r="M10" s="90">
        <v>6.2167088554459802E-5</v>
      </c>
      <c r="N10" s="90">
        <v>0</v>
      </c>
      <c r="O10" s="90">
        <v>0</v>
      </c>
      <c r="P10" s="90">
        <v>0</v>
      </c>
      <c r="Q10" s="90">
        <v>0</v>
      </c>
      <c r="R10" s="90">
        <v>0</v>
      </c>
      <c r="S10" s="90">
        <v>0</v>
      </c>
      <c r="T10" s="90">
        <v>0</v>
      </c>
      <c r="U10" s="90">
        <v>0.52586142947013204</v>
      </c>
      <c r="V10" s="90">
        <v>0</v>
      </c>
      <c r="W10" s="90">
        <v>0</v>
      </c>
      <c r="X10" s="90">
        <v>0</v>
      </c>
      <c r="Y10" s="90">
        <v>0</v>
      </c>
    </row>
    <row r="11" spans="1:43" x14ac:dyDescent="0.3">
      <c r="A11" s="64" t="s">
        <v>4</v>
      </c>
      <c r="B11" s="90">
        <v>0</v>
      </c>
      <c r="C11" s="90">
        <v>0</v>
      </c>
      <c r="D11" s="90">
        <v>0</v>
      </c>
      <c r="E11" s="90">
        <v>0</v>
      </c>
      <c r="F11" s="90">
        <v>0</v>
      </c>
      <c r="G11" s="90">
        <v>0</v>
      </c>
      <c r="H11" s="90">
        <v>0</v>
      </c>
      <c r="I11" s="90">
        <v>0.05</v>
      </c>
      <c r="J11" s="90">
        <v>0</v>
      </c>
      <c r="K11" s="90">
        <v>0</v>
      </c>
      <c r="L11" s="90">
        <v>0</v>
      </c>
      <c r="M11" s="90">
        <v>2.21038537082524E-4</v>
      </c>
      <c r="N11" s="90">
        <v>8.2487258769265003E-3</v>
      </c>
      <c r="O11" s="90">
        <v>0.129400158268623</v>
      </c>
      <c r="P11" s="90">
        <v>1.0070361472912201E-2</v>
      </c>
      <c r="Q11" s="90">
        <v>0.67271973113726102</v>
      </c>
      <c r="R11" s="90">
        <v>4.1500000000000002E-2</v>
      </c>
      <c r="S11" s="90">
        <v>0</v>
      </c>
      <c r="T11" s="90">
        <v>0</v>
      </c>
      <c r="U11" s="90">
        <v>0.36677220632160201</v>
      </c>
      <c r="V11" s="90">
        <v>0</v>
      </c>
      <c r="W11" s="90">
        <v>0</v>
      </c>
      <c r="X11" s="90">
        <v>0</v>
      </c>
      <c r="Y11" s="90">
        <v>0</v>
      </c>
    </row>
    <row r="12" spans="1:43" x14ac:dyDescent="0.3">
      <c r="A12" s="64" t="s">
        <v>54</v>
      </c>
      <c r="B12" s="90">
        <v>0</v>
      </c>
      <c r="C12" s="90">
        <v>0</v>
      </c>
      <c r="D12" s="90">
        <v>0</v>
      </c>
      <c r="E12" s="90">
        <v>0</v>
      </c>
      <c r="F12" s="90">
        <v>0</v>
      </c>
      <c r="G12" s="90">
        <v>0</v>
      </c>
      <c r="H12" s="90">
        <v>0</v>
      </c>
      <c r="I12" s="90">
        <v>0</v>
      </c>
      <c r="J12" s="90">
        <v>0</v>
      </c>
      <c r="K12" s="90">
        <v>0</v>
      </c>
      <c r="L12" s="90">
        <v>2.3857955975094099E-2</v>
      </c>
      <c r="M12" s="90">
        <v>0</v>
      </c>
      <c r="N12" s="90">
        <v>0.44801374231071101</v>
      </c>
      <c r="O12" s="90">
        <v>0.27618450434236302</v>
      </c>
      <c r="P12" s="90">
        <v>0</v>
      </c>
      <c r="Q12" s="90">
        <v>0.107365012681153</v>
      </c>
      <c r="R12" s="90">
        <v>0.21199999999999999</v>
      </c>
      <c r="S12" s="90">
        <v>0.85099999999999998</v>
      </c>
      <c r="T12" s="90">
        <v>0.32969439319087501</v>
      </c>
      <c r="U12" s="90">
        <v>2.03762336845335E-3</v>
      </c>
      <c r="V12" s="90">
        <v>0</v>
      </c>
      <c r="W12" s="90">
        <v>0</v>
      </c>
      <c r="X12" s="90">
        <v>0</v>
      </c>
      <c r="Y12" s="90">
        <v>0</v>
      </c>
    </row>
    <row r="13" spans="1:43" x14ac:dyDescent="0.3">
      <c r="A13" s="64" t="s">
        <v>46</v>
      </c>
      <c r="B13" s="90">
        <v>0</v>
      </c>
      <c r="C13" s="90">
        <v>0</v>
      </c>
      <c r="D13" s="90">
        <v>0</v>
      </c>
      <c r="E13" s="90">
        <v>0</v>
      </c>
      <c r="F13" s="90">
        <v>0</v>
      </c>
      <c r="G13" s="90">
        <v>0</v>
      </c>
      <c r="H13" s="90">
        <v>0</v>
      </c>
      <c r="I13" s="90">
        <v>0</v>
      </c>
      <c r="J13" s="90">
        <v>0</v>
      </c>
      <c r="K13" s="90">
        <v>0</v>
      </c>
      <c r="L13" s="90">
        <v>0.133323871625526</v>
      </c>
      <c r="M13" s="90">
        <v>0</v>
      </c>
      <c r="N13" s="90">
        <v>7.9115102019477795E-4</v>
      </c>
      <c r="O13" s="90">
        <v>7.9062038722058706E-2</v>
      </c>
      <c r="P13" s="90">
        <v>0</v>
      </c>
      <c r="Q13" s="90">
        <v>1.02810035499824E-4</v>
      </c>
      <c r="R13" s="90">
        <v>0</v>
      </c>
      <c r="S13" s="90">
        <v>0</v>
      </c>
      <c r="T13" s="90">
        <v>1.98736978466128E-2</v>
      </c>
      <c r="U13" s="90">
        <v>0</v>
      </c>
      <c r="V13" s="90">
        <v>0</v>
      </c>
      <c r="W13" s="90">
        <v>0</v>
      </c>
      <c r="X13" s="90">
        <v>0</v>
      </c>
      <c r="Y13" s="90">
        <v>0</v>
      </c>
    </row>
    <row r="14" spans="1:43" x14ac:dyDescent="0.3">
      <c r="A14" s="64" t="s">
        <v>47</v>
      </c>
      <c r="B14" s="90">
        <v>0</v>
      </c>
      <c r="C14" s="90">
        <v>0</v>
      </c>
      <c r="D14" s="90">
        <v>0</v>
      </c>
      <c r="E14" s="90">
        <v>0</v>
      </c>
      <c r="F14" s="90">
        <v>0</v>
      </c>
      <c r="G14" s="90">
        <v>0</v>
      </c>
      <c r="H14" s="90">
        <v>0</v>
      </c>
      <c r="I14" s="90">
        <v>0</v>
      </c>
      <c r="J14" s="90">
        <v>0</v>
      </c>
      <c r="K14" s="90">
        <v>0</v>
      </c>
      <c r="L14" s="90">
        <v>7.3678981687790704E-2</v>
      </c>
      <c r="M14" s="90">
        <v>0</v>
      </c>
      <c r="N14" s="90">
        <v>3.7464931974971798E-2</v>
      </c>
      <c r="O14" s="90">
        <v>8.2036369099188197E-2</v>
      </c>
      <c r="P14" s="90">
        <v>0</v>
      </c>
      <c r="Q14" s="90">
        <v>1.52628258952494E-2</v>
      </c>
      <c r="R14" s="90">
        <v>0.44450000000000001</v>
      </c>
      <c r="S14" s="90">
        <v>0</v>
      </c>
      <c r="T14" s="90">
        <v>7.1679109949231601E-2</v>
      </c>
      <c r="U14" s="90">
        <v>0</v>
      </c>
      <c r="V14" s="90">
        <v>0</v>
      </c>
      <c r="W14" s="90">
        <v>0</v>
      </c>
      <c r="X14" s="90">
        <v>0</v>
      </c>
      <c r="Y14" s="90">
        <v>0</v>
      </c>
    </row>
    <row r="15" spans="1:43" x14ac:dyDescent="0.3">
      <c r="A15" s="64" t="s">
        <v>55</v>
      </c>
      <c r="B15" s="90">
        <v>0</v>
      </c>
      <c r="C15" s="90">
        <v>0</v>
      </c>
      <c r="D15" s="90">
        <v>0</v>
      </c>
      <c r="E15" s="90">
        <v>0</v>
      </c>
      <c r="F15" s="90">
        <v>0</v>
      </c>
      <c r="G15" s="90">
        <v>0</v>
      </c>
      <c r="H15" s="90">
        <v>0</v>
      </c>
      <c r="I15" s="90">
        <v>0</v>
      </c>
      <c r="J15" s="90">
        <v>0</v>
      </c>
      <c r="K15" s="90">
        <v>0</v>
      </c>
      <c r="L15" s="90">
        <v>1.4490199731932199E-2</v>
      </c>
      <c r="M15" s="90">
        <v>0</v>
      </c>
      <c r="N15" s="90">
        <v>3.0053512146896499E-2</v>
      </c>
      <c r="O15" s="90">
        <v>9.25833157652972E-2</v>
      </c>
      <c r="P15" s="90">
        <v>1.11835904283997E-2</v>
      </c>
      <c r="Q15" s="90">
        <v>1.32259107129734E-2</v>
      </c>
      <c r="R15" s="90">
        <v>0</v>
      </c>
      <c r="S15" s="90">
        <v>8.09E-2</v>
      </c>
      <c r="T15" s="90">
        <v>5.36060518187085E-3</v>
      </c>
      <c r="U15" s="90">
        <v>0</v>
      </c>
      <c r="V15" s="90">
        <v>0</v>
      </c>
      <c r="W15" s="90">
        <v>0</v>
      </c>
      <c r="X15" s="90">
        <v>0</v>
      </c>
      <c r="Y15" s="90">
        <v>0</v>
      </c>
    </row>
    <row r="16" spans="1:43" x14ac:dyDescent="0.3">
      <c r="A16" s="64" t="s">
        <v>56</v>
      </c>
      <c r="B16" s="90">
        <v>0</v>
      </c>
      <c r="C16" s="90">
        <v>0</v>
      </c>
      <c r="D16" s="90">
        <v>0</v>
      </c>
      <c r="E16" s="90">
        <v>0</v>
      </c>
      <c r="F16" s="90">
        <v>0</v>
      </c>
      <c r="G16" s="90">
        <v>0</v>
      </c>
      <c r="H16" s="90">
        <v>0</v>
      </c>
      <c r="I16" s="90">
        <v>0</v>
      </c>
      <c r="J16" s="90">
        <v>0</v>
      </c>
      <c r="K16" s="90">
        <v>0</v>
      </c>
      <c r="L16" s="90">
        <v>0</v>
      </c>
      <c r="M16" s="90">
        <v>0</v>
      </c>
      <c r="N16" s="90">
        <v>0</v>
      </c>
      <c r="O16" s="90">
        <v>1.9488748667300601E-3</v>
      </c>
      <c r="P16" s="90">
        <v>0</v>
      </c>
      <c r="Q16" s="90">
        <v>5.8908019240821899E-4</v>
      </c>
      <c r="R16" s="90">
        <v>0.19470000000000001</v>
      </c>
      <c r="S16" s="90">
        <v>7.4999999999999997E-3</v>
      </c>
      <c r="T16" s="90">
        <v>0.153591810880012</v>
      </c>
      <c r="U16" s="90">
        <v>0</v>
      </c>
      <c r="V16" s="90">
        <v>0</v>
      </c>
      <c r="W16" s="90">
        <v>0</v>
      </c>
      <c r="X16" s="90">
        <v>0</v>
      </c>
      <c r="Y16" s="90">
        <v>0</v>
      </c>
    </row>
    <row r="17" spans="1:25" x14ac:dyDescent="0.3">
      <c r="A17" s="64" t="s">
        <v>57</v>
      </c>
      <c r="B17" s="90">
        <v>0</v>
      </c>
      <c r="C17" s="90">
        <v>0</v>
      </c>
      <c r="D17" s="90">
        <v>0</v>
      </c>
      <c r="E17" s="90">
        <v>0</v>
      </c>
      <c r="F17" s="90">
        <v>0</v>
      </c>
      <c r="G17" s="90">
        <v>0</v>
      </c>
      <c r="H17" s="90">
        <v>0</v>
      </c>
      <c r="I17" s="90">
        <v>0</v>
      </c>
      <c r="J17" s="90">
        <v>0</v>
      </c>
      <c r="K17" s="90">
        <v>0</v>
      </c>
      <c r="L17" s="90">
        <v>1.11921881706692E-2</v>
      </c>
      <c r="M17" s="90">
        <v>0</v>
      </c>
      <c r="N17" s="90">
        <v>0</v>
      </c>
      <c r="O17" s="90">
        <v>8.0944340211406805E-3</v>
      </c>
      <c r="P17" s="90">
        <v>0</v>
      </c>
      <c r="Q17" s="90">
        <v>1.54859289743358E-3</v>
      </c>
      <c r="R17" s="90">
        <v>6.4594499999999999E-2</v>
      </c>
      <c r="S17" s="90">
        <v>0</v>
      </c>
      <c r="T17" s="90">
        <v>0</v>
      </c>
      <c r="U17" s="90">
        <v>0</v>
      </c>
      <c r="V17" s="90">
        <v>0</v>
      </c>
      <c r="W17" s="90">
        <v>0</v>
      </c>
      <c r="X17" s="90">
        <v>0</v>
      </c>
      <c r="Y17" s="90">
        <v>0</v>
      </c>
    </row>
    <row r="18" spans="1:25" x14ac:dyDescent="0.3">
      <c r="A18" s="64" t="s">
        <v>58</v>
      </c>
      <c r="B18" s="90">
        <v>0</v>
      </c>
      <c r="C18" s="90">
        <v>0</v>
      </c>
      <c r="D18" s="90">
        <v>0</v>
      </c>
      <c r="E18" s="90">
        <v>0</v>
      </c>
      <c r="F18" s="90">
        <v>0</v>
      </c>
      <c r="G18" s="90">
        <v>0</v>
      </c>
      <c r="H18" s="90">
        <v>0</v>
      </c>
      <c r="I18" s="90">
        <v>0</v>
      </c>
      <c r="J18" s="90">
        <v>0</v>
      </c>
      <c r="K18" s="90">
        <v>0</v>
      </c>
      <c r="L18" s="90">
        <v>6.4914770624861602E-3</v>
      </c>
      <c r="M18" s="90">
        <v>0</v>
      </c>
      <c r="N18" s="90">
        <v>2.3331546370148198E-2</v>
      </c>
      <c r="O18" s="90">
        <v>0.210535233770132</v>
      </c>
      <c r="P18" s="90">
        <v>0</v>
      </c>
      <c r="Q18" s="90">
        <v>6.5800423544967193E-2</v>
      </c>
      <c r="R18" s="90">
        <v>2.155E-2</v>
      </c>
      <c r="S18" s="90">
        <v>6.08E-2</v>
      </c>
      <c r="T18" s="90">
        <v>0.295138047116767</v>
      </c>
      <c r="U18" s="90">
        <v>0</v>
      </c>
      <c r="V18" s="90">
        <v>0</v>
      </c>
      <c r="W18" s="90">
        <v>0</v>
      </c>
      <c r="X18" s="90">
        <v>0</v>
      </c>
      <c r="Y18" s="90">
        <v>0</v>
      </c>
    </row>
    <row r="19" spans="1:25" x14ac:dyDescent="0.3">
      <c r="A19" s="64" t="s">
        <v>59</v>
      </c>
      <c r="B19" s="90">
        <v>0</v>
      </c>
      <c r="C19" s="90">
        <v>0</v>
      </c>
      <c r="D19" s="90">
        <v>0</v>
      </c>
      <c r="E19" s="90">
        <v>0</v>
      </c>
      <c r="F19" s="90">
        <v>0</v>
      </c>
      <c r="G19" s="90">
        <v>0</v>
      </c>
      <c r="H19" s="90">
        <v>0</v>
      </c>
      <c r="I19" s="90">
        <v>0</v>
      </c>
      <c r="J19" s="90">
        <v>0</v>
      </c>
      <c r="K19" s="90">
        <v>0</v>
      </c>
      <c r="L19" s="90">
        <v>0</v>
      </c>
      <c r="M19" s="90">
        <v>0</v>
      </c>
      <c r="N19" s="90">
        <v>0</v>
      </c>
      <c r="O19" s="90">
        <v>6.5525423405507002E-3</v>
      </c>
      <c r="P19" s="90">
        <v>0</v>
      </c>
      <c r="Q19" s="90">
        <v>2.6689302805464301E-2</v>
      </c>
      <c r="R19" s="90">
        <v>1.0500000000000001E-2</v>
      </c>
      <c r="S19" s="90">
        <v>0</v>
      </c>
      <c r="T19" s="90">
        <v>1.7288031912089798E-2</v>
      </c>
      <c r="U19" s="90">
        <v>0</v>
      </c>
      <c r="V19" s="90">
        <v>0</v>
      </c>
      <c r="W19" s="90">
        <v>0</v>
      </c>
      <c r="X19" s="90">
        <v>0</v>
      </c>
      <c r="Y19" s="90">
        <v>0</v>
      </c>
    </row>
    <row r="20" spans="1:25" x14ac:dyDescent="0.3">
      <c r="A20" s="64" t="s">
        <v>60</v>
      </c>
      <c r="B20" s="90">
        <v>0</v>
      </c>
      <c r="C20" s="90">
        <v>0</v>
      </c>
      <c r="D20" s="90">
        <v>0</v>
      </c>
      <c r="E20" s="90">
        <v>0</v>
      </c>
      <c r="F20" s="90">
        <v>0</v>
      </c>
      <c r="G20" s="90">
        <v>0</v>
      </c>
      <c r="H20" s="90">
        <v>0</v>
      </c>
      <c r="I20" s="90">
        <v>0</v>
      </c>
      <c r="J20" s="90">
        <v>0</v>
      </c>
      <c r="K20" s="90">
        <v>0</v>
      </c>
      <c r="L20" s="90">
        <v>0</v>
      </c>
      <c r="M20" s="90">
        <v>0</v>
      </c>
      <c r="N20" s="90">
        <v>0</v>
      </c>
      <c r="O20" s="90">
        <v>0</v>
      </c>
      <c r="P20" s="90">
        <v>0</v>
      </c>
      <c r="Q20" s="90">
        <v>0</v>
      </c>
      <c r="R20" s="90">
        <v>0</v>
      </c>
      <c r="S20" s="90">
        <v>0</v>
      </c>
      <c r="T20" s="90">
        <v>0</v>
      </c>
      <c r="U20" s="90">
        <v>0</v>
      </c>
      <c r="V20" s="90">
        <v>0</v>
      </c>
      <c r="W20" s="90">
        <v>0</v>
      </c>
      <c r="X20" s="90">
        <v>0</v>
      </c>
      <c r="Y20" s="90">
        <v>0</v>
      </c>
    </row>
    <row r="21" spans="1:25" x14ac:dyDescent="0.3">
      <c r="A21" s="64" t="s">
        <v>48</v>
      </c>
      <c r="B21" s="90">
        <v>0</v>
      </c>
      <c r="C21" s="90">
        <v>0</v>
      </c>
      <c r="D21" s="90">
        <v>0</v>
      </c>
      <c r="E21" s="90">
        <v>0</v>
      </c>
      <c r="F21" s="90">
        <v>0</v>
      </c>
      <c r="G21" s="90">
        <v>0</v>
      </c>
      <c r="H21" s="90">
        <v>0</v>
      </c>
      <c r="I21" s="90">
        <v>0</v>
      </c>
      <c r="J21" s="90">
        <v>0</v>
      </c>
      <c r="K21" s="90">
        <v>0</v>
      </c>
      <c r="L21" s="90">
        <v>0</v>
      </c>
      <c r="M21" s="90">
        <v>0</v>
      </c>
      <c r="N21" s="90">
        <v>0</v>
      </c>
      <c r="O21" s="90">
        <v>0</v>
      </c>
      <c r="P21" s="90">
        <v>0</v>
      </c>
      <c r="Q21" s="90">
        <v>0</v>
      </c>
      <c r="R21" s="90">
        <v>0</v>
      </c>
      <c r="S21" s="90">
        <v>0</v>
      </c>
      <c r="T21" s="90">
        <v>0</v>
      </c>
      <c r="U21" s="90">
        <v>0</v>
      </c>
      <c r="V21" s="90">
        <v>0</v>
      </c>
      <c r="W21" s="90">
        <v>0</v>
      </c>
      <c r="X21" s="90">
        <v>0</v>
      </c>
      <c r="Y21" s="90">
        <v>0</v>
      </c>
    </row>
    <row r="22" spans="1:25" x14ac:dyDescent="0.3">
      <c r="A22" s="64" t="s">
        <v>61</v>
      </c>
      <c r="B22" s="90">
        <v>0</v>
      </c>
      <c r="C22" s="90">
        <v>0</v>
      </c>
      <c r="D22" s="90">
        <v>0</v>
      </c>
      <c r="E22" s="90">
        <v>0</v>
      </c>
      <c r="F22" s="90">
        <v>0</v>
      </c>
      <c r="G22" s="90">
        <v>0</v>
      </c>
      <c r="H22" s="90">
        <v>0</v>
      </c>
      <c r="I22" s="90">
        <v>0</v>
      </c>
      <c r="J22" s="90">
        <v>0</v>
      </c>
      <c r="K22" s="90">
        <v>0</v>
      </c>
      <c r="L22" s="90">
        <v>0</v>
      </c>
      <c r="M22" s="90">
        <v>0</v>
      </c>
      <c r="N22" s="90">
        <v>0</v>
      </c>
      <c r="O22" s="90">
        <v>0</v>
      </c>
      <c r="P22" s="90">
        <v>0</v>
      </c>
      <c r="Q22" s="90">
        <v>0</v>
      </c>
      <c r="R22" s="90">
        <v>0</v>
      </c>
      <c r="S22" s="90">
        <v>0</v>
      </c>
      <c r="T22" s="90">
        <v>0</v>
      </c>
      <c r="U22" s="90">
        <v>0</v>
      </c>
      <c r="V22" s="90">
        <v>0</v>
      </c>
      <c r="W22" s="90">
        <v>0</v>
      </c>
      <c r="X22" s="90">
        <v>0</v>
      </c>
      <c r="Y22" s="90">
        <v>0</v>
      </c>
    </row>
    <row r="23" spans="1:25" x14ac:dyDescent="0.3">
      <c r="A23" s="64" t="s">
        <v>62</v>
      </c>
      <c r="B23" s="90">
        <v>0</v>
      </c>
      <c r="C23" s="90">
        <v>0</v>
      </c>
      <c r="D23" s="90">
        <v>0</v>
      </c>
      <c r="E23" s="90">
        <v>0</v>
      </c>
      <c r="F23" s="90">
        <v>0</v>
      </c>
      <c r="G23" s="90">
        <v>0</v>
      </c>
      <c r="H23" s="90">
        <v>0</v>
      </c>
      <c r="I23" s="90">
        <v>0</v>
      </c>
      <c r="J23" s="90">
        <v>0</v>
      </c>
      <c r="K23" s="90">
        <v>0</v>
      </c>
      <c r="L23" s="90">
        <v>0</v>
      </c>
      <c r="M23" s="90">
        <v>0</v>
      </c>
      <c r="N23" s="90">
        <v>0</v>
      </c>
      <c r="O23" s="90">
        <v>0</v>
      </c>
      <c r="P23" s="90">
        <v>0</v>
      </c>
      <c r="Q23" s="90">
        <v>0</v>
      </c>
      <c r="R23" s="90">
        <v>0</v>
      </c>
      <c r="S23" s="90">
        <v>0</v>
      </c>
      <c r="T23" s="90">
        <v>0</v>
      </c>
      <c r="U23" s="90">
        <v>0</v>
      </c>
      <c r="V23" s="90">
        <v>0</v>
      </c>
      <c r="W23" s="90">
        <v>0</v>
      </c>
      <c r="X23" s="90">
        <v>0</v>
      </c>
      <c r="Y23" s="90">
        <v>0</v>
      </c>
    </row>
    <row r="24" spans="1:25" x14ac:dyDescent="0.3">
      <c r="A24" s="64" t="s">
        <v>49</v>
      </c>
      <c r="B24" s="90">
        <v>0</v>
      </c>
      <c r="C24" s="90">
        <v>0</v>
      </c>
      <c r="D24" s="90">
        <v>0</v>
      </c>
      <c r="E24" s="90">
        <v>0</v>
      </c>
      <c r="F24" s="90">
        <v>0</v>
      </c>
      <c r="G24" s="90">
        <v>0</v>
      </c>
      <c r="H24" s="90">
        <v>0.15</v>
      </c>
      <c r="I24" s="90">
        <v>0</v>
      </c>
      <c r="J24" s="90">
        <v>1.35701793613991E-3</v>
      </c>
      <c r="K24" s="90">
        <v>0</v>
      </c>
      <c r="L24" s="90">
        <v>0</v>
      </c>
      <c r="M24" s="90">
        <v>0</v>
      </c>
      <c r="N24" s="90">
        <v>0</v>
      </c>
      <c r="O24" s="90">
        <v>0</v>
      </c>
      <c r="P24" s="90">
        <v>0</v>
      </c>
      <c r="Q24" s="90">
        <v>0</v>
      </c>
      <c r="R24" s="90">
        <v>0</v>
      </c>
      <c r="S24" s="90">
        <v>0</v>
      </c>
      <c r="T24" s="90">
        <v>0</v>
      </c>
      <c r="U24" s="90">
        <v>0</v>
      </c>
      <c r="V24" s="90">
        <v>0</v>
      </c>
      <c r="W24" s="90">
        <v>0</v>
      </c>
      <c r="X24" s="90">
        <v>0</v>
      </c>
      <c r="Y24" s="90">
        <v>0</v>
      </c>
    </row>
    <row r="25" spans="1:25" x14ac:dyDescent="0.3">
      <c r="A25" s="64" t="s">
        <v>64</v>
      </c>
      <c r="B25" s="90">
        <v>0</v>
      </c>
      <c r="C25" s="90">
        <v>0</v>
      </c>
      <c r="D25" s="90">
        <v>0</v>
      </c>
      <c r="E25" s="90">
        <v>0</v>
      </c>
      <c r="F25" s="90">
        <v>0</v>
      </c>
      <c r="G25" s="90">
        <v>0</v>
      </c>
      <c r="H25" s="90">
        <v>0</v>
      </c>
      <c r="I25" s="90">
        <v>0</v>
      </c>
      <c r="J25" s="90">
        <v>0</v>
      </c>
      <c r="K25" s="90">
        <v>0</v>
      </c>
      <c r="L25" s="90">
        <v>0</v>
      </c>
      <c r="M25" s="90">
        <v>0</v>
      </c>
      <c r="N25" s="90">
        <v>0</v>
      </c>
      <c r="O25" s="90">
        <v>0</v>
      </c>
      <c r="P25" s="90">
        <v>0</v>
      </c>
      <c r="Q25" s="90">
        <v>0</v>
      </c>
      <c r="R25" s="90">
        <v>0</v>
      </c>
      <c r="S25" s="90">
        <v>0</v>
      </c>
      <c r="T25" s="90">
        <v>0</v>
      </c>
      <c r="U25" s="90">
        <v>0</v>
      </c>
      <c r="V25" s="90">
        <v>0</v>
      </c>
      <c r="W25" s="90">
        <v>0</v>
      </c>
      <c r="X25" s="90">
        <v>0</v>
      </c>
      <c r="Y25" s="90">
        <v>0</v>
      </c>
    </row>
    <row r="26" spans="1:25" x14ac:dyDescent="0.3">
      <c r="A26" s="64" t="s">
        <v>63</v>
      </c>
      <c r="B26" s="90">
        <v>0</v>
      </c>
      <c r="C26" s="90">
        <v>0</v>
      </c>
      <c r="D26" s="90">
        <v>0</v>
      </c>
      <c r="E26" s="90">
        <v>0</v>
      </c>
      <c r="F26" s="90">
        <v>0</v>
      </c>
      <c r="G26" s="90">
        <v>0</v>
      </c>
      <c r="H26" s="90">
        <v>0</v>
      </c>
      <c r="I26" s="90">
        <v>0</v>
      </c>
      <c r="J26" s="90">
        <v>0</v>
      </c>
      <c r="K26" s="90">
        <v>0</v>
      </c>
      <c r="L26" s="90">
        <v>0</v>
      </c>
      <c r="M26" s="90">
        <v>0</v>
      </c>
      <c r="N26" s="90">
        <v>0</v>
      </c>
      <c r="O26" s="90">
        <v>0</v>
      </c>
      <c r="P26" s="90">
        <v>0</v>
      </c>
      <c r="Q26" s="90">
        <v>0</v>
      </c>
      <c r="R26" s="90">
        <v>0</v>
      </c>
      <c r="S26" s="90">
        <v>0</v>
      </c>
      <c r="T26" s="90">
        <v>0</v>
      </c>
      <c r="U26" s="90">
        <v>0</v>
      </c>
      <c r="V26" s="90">
        <v>0</v>
      </c>
      <c r="W26" s="90">
        <v>0</v>
      </c>
      <c r="X26" s="90">
        <v>0</v>
      </c>
      <c r="Y26" s="90">
        <v>0</v>
      </c>
    </row>
    <row r="27" spans="1:25" x14ac:dyDescent="0.3">
      <c r="A27" s="64" t="s">
        <v>35</v>
      </c>
      <c r="B27" s="90">
        <v>0</v>
      </c>
      <c r="C27" s="90">
        <v>0</v>
      </c>
      <c r="D27" s="90">
        <v>0.42499999999999999</v>
      </c>
      <c r="E27" s="90">
        <v>0</v>
      </c>
      <c r="F27" s="90">
        <v>0</v>
      </c>
      <c r="G27" s="90">
        <v>0.2</v>
      </c>
      <c r="H27" s="90">
        <v>0</v>
      </c>
      <c r="I27" s="90">
        <v>0.82</v>
      </c>
      <c r="J27" s="90">
        <v>0</v>
      </c>
      <c r="K27" s="90">
        <v>0</v>
      </c>
      <c r="L27" s="90">
        <v>0</v>
      </c>
      <c r="M27" s="90">
        <v>6.3548579411225605E-5</v>
      </c>
      <c r="N27" s="90">
        <v>5.6754588604919401E-2</v>
      </c>
      <c r="O27" s="90">
        <v>1.03303227056314E-4</v>
      </c>
      <c r="P27" s="90">
        <v>0</v>
      </c>
      <c r="Q27" s="90">
        <v>1.9091372188407799E-2</v>
      </c>
      <c r="R27" s="90">
        <v>0</v>
      </c>
      <c r="S27" s="90">
        <v>0</v>
      </c>
      <c r="T27" s="90">
        <v>0</v>
      </c>
      <c r="U27" s="90">
        <v>0</v>
      </c>
      <c r="V27" s="90">
        <v>0</v>
      </c>
      <c r="W27" s="90">
        <v>0</v>
      </c>
      <c r="X27" s="90">
        <v>0</v>
      </c>
      <c r="Y27" s="90">
        <v>0</v>
      </c>
    </row>
    <row r="28" spans="1:25" ht="14.5" thickBot="1" x14ac:dyDescent="0.35">
      <c r="A28" s="91" t="s">
        <v>86</v>
      </c>
      <c r="B28" s="92">
        <v>0</v>
      </c>
      <c r="C28" s="92">
        <v>0</v>
      </c>
      <c r="D28" s="92">
        <v>0</v>
      </c>
      <c r="E28" s="92">
        <v>0</v>
      </c>
      <c r="F28" s="92">
        <v>0</v>
      </c>
      <c r="G28" s="92">
        <v>0</v>
      </c>
      <c r="H28" s="92">
        <v>0</v>
      </c>
      <c r="I28" s="92">
        <v>0.129999997127793</v>
      </c>
      <c r="J28" s="92">
        <v>0</v>
      </c>
      <c r="K28" s="92">
        <v>0</v>
      </c>
      <c r="L28" s="92">
        <v>6.4914775270601105E-2</v>
      </c>
      <c r="M28" s="92">
        <v>4.9965459706209303E-2</v>
      </c>
      <c r="N28" s="92">
        <v>0</v>
      </c>
      <c r="O28" s="92">
        <v>0</v>
      </c>
      <c r="P28" s="92">
        <v>0</v>
      </c>
      <c r="Q28" s="92">
        <v>0</v>
      </c>
      <c r="R28" s="92">
        <v>0</v>
      </c>
      <c r="S28" s="92">
        <v>0</v>
      </c>
      <c r="T28" s="92">
        <v>0</v>
      </c>
      <c r="U28" s="92">
        <v>0</v>
      </c>
      <c r="V28" s="92">
        <v>0</v>
      </c>
      <c r="W28" s="92">
        <v>0</v>
      </c>
      <c r="X28" s="92">
        <v>0</v>
      </c>
      <c r="Y28" s="92">
        <v>0</v>
      </c>
    </row>
  </sheetData>
  <mergeCells count="1">
    <mergeCell ref="A1:AQ1"/>
  </mergeCells>
  <conditionalFormatting sqref="B10:Y28 B4:G9 I4:Y9">
    <cfRule type="cellIs" dxfId="5" priority="5" operator="equal">
      <formula>0</formula>
    </cfRule>
  </conditionalFormatting>
  <conditionalFormatting sqref="A1:AQ1">
    <cfRule type="cellIs" dxfId="4" priority="3" operator="equal">
      <formula>0</formula>
    </cfRule>
  </conditionalFormatting>
  <conditionalFormatting sqref="H4:H9">
    <cfRule type="cellIs" dxfId="3" priority="2" operator="equal">
      <formula>0</formula>
    </cfRule>
  </conditionalFormatting>
  <conditionalFormatting sqref="H4:H9">
    <cfRule type="cellIs" dxfId="2" priority="1" operator="lessThan">
      <formula>0</formula>
    </cfRule>
  </conditionalFormatting>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776E6-1DA3-4AB8-893F-A36C96E20E34}">
  <dimension ref="A1:I29"/>
  <sheetViews>
    <sheetView workbookViewId="0">
      <selection activeCell="Q34" sqref="Q34"/>
    </sheetView>
  </sheetViews>
  <sheetFormatPr defaultColWidth="8.83203125" defaultRowHeight="14" x14ac:dyDescent="0.3"/>
  <cols>
    <col min="1" max="1" width="27.25" style="61" bestFit="1" customWidth="1"/>
    <col min="2" max="2" width="8.83203125" style="63"/>
    <col min="3" max="3" width="11.4140625" style="63" bestFit="1" customWidth="1"/>
    <col min="4" max="5" width="8.83203125" style="63"/>
    <col min="6" max="6" width="11.4140625" style="63" bestFit="1" customWidth="1"/>
    <col min="7" max="8" width="8.83203125" style="63"/>
    <col min="9" max="9" width="10.75" style="63" bestFit="1" customWidth="1"/>
    <col min="10" max="16384" width="8.83203125" style="63"/>
  </cols>
  <sheetData>
    <row r="1" spans="1:9" x14ac:dyDescent="0.3">
      <c r="A1" s="61" t="s">
        <v>127</v>
      </c>
    </row>
    <row r="3" spans="1:9" ht="16.5" x14ac:dyDescent="0.3">
      <c r="A3" s="73"/>
      <c r="B3" s="120" t="s">
        <v>89</v>
      </c>
      <c r="C3" s="120"/>
      <c r="D3" s="66"/>
      <c r="E3" s="120" t="s">
        <v>90</v>
      </c>
      <c r="F3" s="120"/>
      <c r="G3" s="66"/>
      <c r="H3" s="120" t="s">
        <v>95</v>
      </c>
      <c r="I3" s="120"/>
    </row>
    <row r="4" spans="1:9" x14ac:dyDescent="0.3">
      <c r="A4" s="21" t="s">
        <v>43</v>
      </c>
      <c r="B4" s="67" t="s">
        <v>91</v>
      </c>
      <c r="C4" s="67" t="s">
        <v>92</v>
      </c>
      <c r="D4" s="68"/>
      <c r="E4" s="67" t="s">
        <v>91</v>
      </c>
      <c r="F4" s="67" t="s">
        <v>92</v>
      </c>
      <c r="G4" s="68"/>
      <c r="H4" s="67" t="s">
        <v>91</v>
      </c>
      <c r="I4" s="67" t="s">
        <v>93</v>
      </c>
    </row>
    <row r="5" spans="1:9" x14ac:dyDescent="0.3">
      <c r="A5" s="64" t="s">
        <v>51</v>
      </c>
      <c r="B5" s="69">
        <v>0</v>
      </c>
      <c r="C5" s="69">
        <v>0</v>
      </c>
      <c r="D5" s="70"/>
      <c r="E5" s="69">
        <v>0</v>
      </c>
      <c r="F5" s="69">
        <v>1</v>
      </c>
      <c r="G5" s="70"/>
      <c r="H5" s="69">
        <v>0</v>
      </c>
      <c r="I5" s="69">
        <v>0</v>
      </c>
    </row>
    <row r="6" spans="1:9" x14ac:dyDescent="0.3">
      <c r="A6" s="64" t="s">
        <v>52</v>
      </c>
      <c r="B6" s="69">
        <v>0</v>
      </c>
      <c r="C6" s="69">
        <v>0</v>
      </c>
      <c r="D6" s="70"/>
      <c r="E6" s="69">
        <v>1</v>
      </c>
      <c r="F6" s="69">
        <v>0</v>
      </c>
      <c r="G6" s="70"/>
      <c r="H6" s="69">
        <v>0</v>
      </c>
      <c r="I6" s="69">
        <v>0</v>
      </c>
    </row>
    <row r="7" spans="1:9" x14ac:dyDescent="0.3">
      <c r="A7" s="64" t="s">
        <v>1</v>
      </c>
      <c r="B7" s="69">
        <v>1</v>
      </c>
      <c r="C7" s="69">
        <v>0</v>
      </c>
      <c r="D7" s="70"/>
      <c r="E7" s="69">
        <v>1</v>
      </c>
      <c r="F7" s="69">
        <v>0</v>
      </c>
      <c r="G7" s="70"/>
      <c r="H7" s="69">
        <v>1</v>
      </c>
      <c r="I7" s="69">
        <v>0</v>
      </c>
    </row>
    <row r="8" spans="1:9" x14ac:dyDescent="0.3">
      <c r="A8" s="64" t="s">
        <v>45</v>
      </c>
      <c r="B8" s="69">
        <v>0</v>
      </c>
      <c r="C8" s="69">
        <v>1</v>
      </c>
      <c r="D8" s="70"/>
      <c r="E8" s="69">
        <v>0</v>
      </c>
      <c r="F8" s="69">
        <v>1</v>
      </c>
      <c r="G8" s="70"/>
      <c r="H8" s="69">
        <v>0.5</v>
      </c>
      <c r="I8" s="69">
        <v>0.5</v>
      </c>
    </row>
    <row r="9" spans="1:9" x14ac:dyDescent="0.3">
      <c r="A9" s="64" t="s">
        <v>3</v>
      </c>
      <c r="B9" s="69">
        <v>0</v>
      </c>
      <c r="C9" s="69">
        <v>1</v>
      </c>
      <c r="D9" s="70"/>
      <c r="E9" s="69">
        <v>0</v>
      </c>
      <c r="F9" s="69">
        <v>1</v>
      </c>
      <c r="G9" s="70"/>
      <c r="H9" s="69">
        <v>0.5</v>
      </c>
      <c r="I9" s="69">
        <v>0.5</v>
      </c>
    </row>
    <row r="10" spans="1:9" x14ac:dyDescent="0.3">
      <c r="A10" s="64" t="s">
        <v>53</v>
      </c>
      <c r="B10" s="69">
        <v>0</v>
      </c>
      <c r="C10" s="69">
        <v>1</v>
      </c>
      <c r="D10" s="70"/>
      <c r="E10" s="69">
        <v>0</v>
      </c>
      <c r="F10" s="69">
        <v>1</v>
      </c>
      <c r="G10" s="70"/>
      <c r="H10" s="69">
        <v>0.5</v>
      </c>
      <c r="I10" s="69">
        <v>0.5</v>
      </c>
    </row>
    <row r="11" spans="1:9" x14ac:dyDescent="0.3">
      <c r="A11" s="64" t="s">
        <v>16</v>
      </c>
      <c r="B11" s="69">
        <v>0</v>
      </c>
      <c r="C11" s="69">
        <v>1</v>
      </c>
      <c r="D11" s="70"/>
      <c r="E11" s="69">
        <v>0</v>
      </c>
      <c r="F11" s="69">
        <v>1</v>
      </c>
      <c r="G11" s="70"/>
      <c r="H11" s="69">
        <v>0.5</v>
      </c>
      <c r="I11" s="69">
        <v>0.5</v>
      </c>
    </row>
    <row r="12" spans="1:9" x14ac:dyDescent="0.3">
      <c r="A12" s="64" t="s">
        <v>4</v>
      </c>
      <c r="B12" s="69">
        <v>0</v>
      </c>
      <c r="C12" s="69">
        <v>1</v>
      </c>
      <c r="D12" s="70"/>
      <c r="E12" s="69">
        <v>0</v>
      </c>
      <c r="F12" s="69">
        <v>1</v>
      </c>
      <c r="G12" s="70"/>
      <c r="H12" s="69">
        <v>0</v>
      </c>
      <c r="I12" s="69">
        <v>1</v>
      </c>
    </row>
    <row r="13" spans="1:9" x14ac:dyDescent="0.3">
      <c r="A13" s="64" t="s">
        <v>54</v>
      </c>
      <c r="B13" s="69">
        <v>0</v>
      </c>
      <c r="C13" s="69">
        <v>1</v>
      </c>
      <c r="D13" s="70"/>
      <c r="E13" s="69">
        <v>0</v>
      </c>
      <c r="F13" s="69">
        <v>1</v>
      </c>
      <c r="G13" s="70"/>
      <c r="H13" s="69">
        <v>1</v>
      </c>
      <c r="I13" s="69">
        <v>0</v>
      </c>
    </row>
    <row r="14" spans="1:9" x14ac:dyDescent="0.3">
      <c r="A14" s="64" t="s">
        <v>46</v>
      </c>
      <c r="B14" s="69">
        <v>0</v>
      </c>
      <c r="C14" s="69">
        <v>1</v>
      </c>
      <c r="D14" s="70"/>
      <c r="E14" s="69">
        <v>0</v>
      </c>
      <c r="F14" s="69">
        <v>1</v>
      </c>
      <c r="G14" s="70"/>
      <c r="H14" s="69">
        <v>1</v>
      </c>
      <c r="I14" s="69">
        <v>0</v>
      </c>
    </row>
    <row r="15" spans="1:9" x14ac:dyDescent="0.3">
      <c r="A15" s="64" t="s">
        <v>47</v>
      </c>
      <c r="B15" s="69">
        <v>0</v>
      </c>
      <c r="C15" s="69">
        <v>1</v>
      </c>
      <c r="D15" s="70"/>
      <c r="E15" s="69">
        <v>0</v>
      </c>
      <c r="F15" s="69">
        <v>1</v>
      </c>
      <c r="G15" s="70"/>
      <c r="H15" s="69">
        <v>1</v>
      </c>
      <c r="I15" s="69">
        <v>0</v>
      </c>
    </row>
    <row r="16" spans="1:9" x14ac:dyDescent="0.3">
      <c r="A16" s="64" t="s">
        <v>55</v>
      </c>
      <c r="B16" s="69">
        <v>0</v>
      </c>
      <c r="C16" s="69">
        <v>1</v>
      </c>
      <c r="D16" s="70"/>
      <c r="E16" s="69">
        <v>0</v>
      </c>
      <c r="F16" s="69">
        <v>1</v>
      </c>
      <c r="G16" s="70"/>
      <c r="H16" s="69">
        <v>1</v>
      </c>
      <c r="I16" s="69">
        <v>0</v>
      </c>
    </row>
    <row r="17" spans="1:9" x14ac:dyDescent="0.3">
      <c r="A17" s="64" t="s">
        <v>56</v>
      </c>
      <c r="B17" s="69">
        <v>0</v>
      </c>
      <c r="C17" s="69">
        <v>1</v>
      </c>
      <c r="D17" s="70"/>
      <c r="E17" s="69">
        <v>0</v>
      </c>
      <c r="F17" s="69">
        <v>1</v>
      </c>
      <c r="G17" s="70"/>
      <c r="H17" s="69">
        <v>1</v>
      </c>
      <c r="I17" s="69">
        <v>0</v>
      </c>
    </row>
    <row r="18" spans="1:9" x14ac:dyDescent="0.3">
      <c r="A18" s="64" t="s">
        <v>57</v>
      </c>
      <c r="B18" s="69">
        <v>0</v>
      </c>
      <c r="C18" s="69">
        <v>1</v>
      </c>
      <c r="D18" s="70"/>
      <c r="E18" s="69">
        <v>0</v>
      </c>
      <c r="F18" s="69">
        <v>1</v>
      </c>
      <c r="G18" s="70"/>
      <c r="H18" s="69">
        <v>0.5</v>
      </c>
      <c r="I18" s="69">
        <v>0.5</v>
      </c>
    </row>
    <row r="19" spans="1:9" x14ac:dyDescent="0.3">
      <c r="A19" s="64" t="s">
        <v>58</v>
      </c>
      <c r="B19" s="69">
        <v>0</v>
      </c>
      <c r="C19" s="69">
        <v>1</v>
      </c>
      <c r="D19" s="70"/>
      <c r="E19" s="69">
        <v>0</v>
      </c>
      <c r="F19" s="69">
        <v>1</v>
      </c>
      <c r="G19" s="70"/>
      <c r="H19" s="69">
        <v>0.5</v>
      </c>
      <c r="I19" s="69">
        <v>0.5</v>
      </c>
    </row>
    <row r="20" spans="1:9" x14ac:dyDescent="0.3">
      <c r="A20" s="64" t="s">
        <v>59</v>
      </c>
      <c r="B20" s="69">
        <v>0</v>
      </c>
      <c r="C20" s="69">
        <v>1</v>
      </c>
      <c r="D20" s="70"/>
      <c r="E20" s="69">
        <v>0</v>
      </c>
      <c r="F20" s="69">
        <v>1</v>
      </c>
      <c r="G20" s="70"/>
      <c r="H20" s="69">
        <v>0.5</v>
      </c>
      <c r="I20" s="69">
        <v>0.5</v>
      </c>
    </row>
    <row r="21" spans="1:9" x14ac:dyDescent="0.3">
      <c r="A21" s="64" t="s">
        <v>60</v>
      </c>
      <c r="B21" s="69">
        <v>0</v>
      </c>
      <c r="C21" s="69">
        <v>1</v>
      </c>
      <c r="D21" s="70"/>
      <c r="E21" s="69">
        <v>0</v>
      </c>
      <c r="F21" s="69">
        <v>1</v>
      </c>
      <c r="G21" s="70"/>
      <c r="H21" s="69">
        <v>1</v>
      </c>
      <c r="I21" s="69">
        <v>0</v>
      </c>
    </row>
    <row r="22" spans="1:9" x14ac:dyDescent="0.3">
      <c r="A22" s="64" t="s">
        <v>48</v>
      </c>
      <c r="B22" s="69">
        <v>0</v>
      </c>
      <c r="C22" s="69">
        <v>1</v>
      </c>
      <c r="D22" s="70"/>
      <c r="E22" s="69">
        <v>0</v>
      </c>
      <c r="F22" s="69">
        <v>1</v>
      </c>
      <c r="G22" s="70"/>
      <c r="H22" s="69">
        <v>1</v>
      </c>
      <c r="I22" s="69">
        <v>0</v>
      </c>
    </row>
    <row r="23" spans="1:9" x14ac:dyDescent="0.3">
      <c r="A23" s="64" t="s">
        <v>61</v>
      </c>
      <c r="B23" s="69">
        <v>0</v>
      </c>
      <c r="C23" s="69">
        <v>1</v>
      </c>
      <c r="D23" s="70"/>
      <c r="E23" s="69">
        <v>0</v>
      </c>
      <c r="F23" s="69">
        <v>1</v>
      </c>
      <c r="G23" s="70"/>
      <c r="H23" s="69">
        <v>1</v>
      </c>
      <c r="I23" s="69">
        <v>0</v>
      </c>
    </row>
    <row r="24" spans="1:9" x14ac:dyDescent="0.3">
      <c r="A24" s="64" t="s">
        <v>62</v>
      </c>
      <c r="B24" s="69">
        <v>0</v>
      </c>
      <c r="C24" s="69">
        <v>1</v>
      </c>
      <c r="D24" s="70"/>
      <c r="E24" s="69">
        <v>0</v>
      </c>
      <c r="F24" s="69">
        <v>1</v>
      </c>
      <c r="G24" s="70"/>
      <c r="H24" s="69">
        <v>1</v>
      </c>
      <c r="I24" s="69">
        <v>0</v>
      </c>
    </row>
    <row r="25" spans="1:9" x14ac:dyDescent="0.3">
      <c r="A25" s="64" t="s">
        <v>49</v>
      </c>
      <c r="B25" s="69">
        <v>0</v>
      </c>
      <c r="C25" s="69">
        <v>1</v>
      </c>
      <c r="D25" s="70"/>
      <c r="E25" s="69">
        <v>0</v>
      </c>
      <c r="F25" s="69">
        <v>1</v>
      </c>
      <c r="G25" s="70"/>
      <c r="H25" s="69">
        <v>0</v>
      </c>
      <c r="I25" s="69">
        <v>0</v>
      </c>
    </row>
    <row r="26" spans="1:9" x14ac:dyDescent="0.3">
      <c r="A26" s="64" t="s">
        <v>64</v>
      </c>
      <c r="B26" s="69">
        <v>0</v>
      </c>
      <c r="C26" s="69">
        <v>1</v>
      </c>
      <c r="D26" s="70"/>
      <c r="E26" s="69">
        <v>0</v>
      </c>
      <c r="F26" s="69">
        <v>1</v>
      </c>
      <c r="G26" s="70"/>
      <c r="H26" s="69">
        <v>0</v>
      </c>
      <c r="I26" s="69">
        <v>1</v>
      </c>
    </row>
    <row r="27" spans="1:9" x14ac:dyDescent="0.3">
      <c r="A27" s="64" t="s">
        <v>63</v>
      </c>
      <c r="B27" s="69">
        <v>0</v>
      </c>
      <c r="C27" s="69">
        <v>1</v>
      </c>
      <c r="D27" s="70"/>
      <c r="E27" s="69">
        <v>0</v>
      </c>
      <c r="F27" s="69">
        <v>1</v>
      </c>
      <c r="G27" s="70"/>
      <c r="H27" s="69">
        <v>1</v>
      </c>
      <c r="I27" s="69">
        <v>0</v>
      </c>
    </row>
    <row r="28" spans="1:9" x14ac:dyDescent="0.3">
      <c r="A28" s="64" t="s">
        <v>35</v>
      </c>
      <c r="B28" s="69">
        <v>0</v>
      </c>
      <c r="C28" s="69">
        <v>1</v>
      </c>
      <c r="D28" s="70"/>
      <c r="E28" s="69">
        <v>0</v>
      </c>
      <c r="F28" s="69">
        <v>1</v>
      </c>
      <c r="G28" s="70"/>
      <c r="H28" s="69">
        <v>0</v>
      </c>
      <c r="I28" s="69">
        <v>1</v>
      </c>
    </row>
    <row r="29" spans="1:9" x14ac:dyDescent="0.3">
      <c r="A29" s="37" t="s">
        <v>50</v>
      </c>
      <c r="B29" s="47">
        <v>0</v>
      </c>
      <c r="C29" s="47">
        <v>1</v>
      </c>
      <c r="D29" s="71"/>
      <c r="E29" s="47">
        <v>0</v>
      </c>
      <c r="F29" s="47">
        <v>0</v>
      </c>
      <c r="G29" s="71"/>
      <c r="H29" s="47">
        <v>0</v>
      </c>
      <c r="I29" s="47">
        <v>0</v>
      </c>
    </row>
  </sheetData>
  <mergeCells count="3">
    <mergeCell ref="B3:C3"/>
    <mergeCell ref="E3:F3"/>
    <mergeCell ref="H3:I3"/>
  </mergeCells>
  <conditionalFormatting sqref="B5:I28">
    <cfRule type="cellIs" dxfId="1" priority="1" operator="equal">
      <formula>0</formula>
    </cfRule>
  </conditionalFormatting>
  <pageMargins left="0.7" right="0.7" top="0.75" bottom="0.75" header="0.3" footer="0.3"/>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6DB05-DD9B-4FD5-8C2E-46B557C95020}">
  <dimension ref="A1:AD32"/>
  <sheetViews>
    <sheetView workbookViewId="0"/>
  </sheetViews>
  <sheetFormatPr defaultColWidth="8.83203125" defaultRowHeight="14" x14ac:dyDescent="0.3"/>
  <cols>
    <col min="1" max="1" width="8.83203125" style="61"/>
    <col min="2" max="2" width="27.25" style="61" bestFit="1" customWidth="1"/>
    <col min="3" max="3" width="12.4140625" style="61" bestFit="1" customWidth="1"/>
    <col min="4" max="16384" width="8.83203125" style="61"/>
  </cols>
  <sheetData>
    <row r="1" spans="1:30" ht="14.5" x14ac:dyDescent="0.35">
      <c r="A1" s="61" t="s">
        <v>130</v>
      </c>
    </row>
    <row r="3" spans="1:30" ht="14.5" x14ac:dyDescent="0.3">
      <c r="A3" s="100"/>
      <c r="B3" s="100"/>
      <c r="C3" s="101" t="s">
        <v>94</v>
      </c>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row>
    <row r="4" spans="1:30" ht="14.5" x14ac:dyDescent="0.35">
      <c r="A4" s="102" t="s">
        <v>76</v>
      </c>
      <c r="B4" s="102" t="s">
        <v>88</v>
      </c>
      <c r="C4" s="103">
        <v>1</v>
      </c>
      <c r="D4" s="103">
        <v>2</v>
      </c>
      <c r="E4" s="103">
        <v>3</v>
      </c>
      <c r="F4" s="103">
        <v>4</v>
      </c>
      <c r="G4" s="103">
        <v>5</v>
      </c>
      <c r="H4" s="103">
        <v>6</v>
      </c>
      <c r="I4" s="103">
        <v>7</v>
      </c>
      <c r="J4" s="103">
        <v>8</v>
      </c>
      <c r="K4" s="103">
        <v>9</v>
      </c>
      <c r="L4" s="103">
        <v>10</v>
      </c>
      <c r="M4" s="103">
        <v>11</v>
      </c>
      <c r="N4" s="103">
        <v>12</v>
      </c>
      <c r="O4" s="103">
        <v>13</v>
      </c>
      <c r="P4" s="103">
        <v>14</v>
      </c>
      <c r="Q4" s="103">
        <v>15</v>
      </c>
      <c r="R4" s="103">
        <v>16</v>
      </c>
      <c r="S4" s="103">
        <v>17</v>
      </c>
      <c r="T4" s="103">
        <v>18</v>
      </c>
      <c r="U4" s="103">
        <v>19</v>
      </c>
      <c r="V4" s="103">
        <v>20</v>
      </c>
      <c r="W4" s="103">
        <v>21</v>
      </c>
      <c r="X4" s="103">
        <v>22</v>
      </c>
      <c r="Y4" s="103">
        <v>23</v>
      </c>
      <c r="Z4" s="103">
        <v>24</v>
      </c>
      <c r="AA4" s="103">
        <v>25</v>
      </c>
      <c r="AB4" s="103">
        <v>26</v>
      </c>
      <c r="AC4" s="103">
        <v>27</v>
      </c>
      <c r="AD4" s="103">
        <v>28</v>
      </c>
    </row>
    <row r="5" spans="1:30" ht="14.5" x14ac:dyDescent="0.35">
      <c r="A5" s="98">
        <v>1</v>
      </c>
      <c r="B5" s="99" t="s">
        <v>78</v>
      </c>
      <c r="C5" s="99">
        <v>0</v>
      </c>
      <c r="D5" s="99">
        <v>0</v>
      </c>
      <c r="E5" s="99">
        <v>0</v>
      </c>
      <c r="F5" s="99">
        <v>0</v>
      </c>
      <c r="G5" s="99">
        <v>0</v>
      </c>
      <c r="H5" s="99">
        <v>0</v>
      </c>
      <c r="I5" s="99">
        <v>0</v>
      </c>
      <c r="J5" s="99">
        <v>0</v>
      </c>
      <c r="K5" s="99">
        <v>0</v>
      </c>
      <c r="L5" s="99">
        <v>0</v>
      </c>
      <c r="M5" s="99">
        <v>0</v>
      </c>
      <c r="N5" s="99">
        <v>0</v>
      </c>
      <c r="O5" s="99">
        <v>0</v>
      </c>
      <c r="P5" s="99">
        <v>0</v>
      </c>
      <c r="Q5" s="99">
        <v>0</v>
      </c>
      <c r="R5" s="99">
        <v>0</v>
      </c>
      <c r="S5" s="99">
        <v>0</v>
      </c>
      <c r="T5" s="99">
        <v>0</v>
      </c>
      <c r="U5" s="99">
        <v>0</v>
      </c>
      <c r="V5" s="99">
        <v>0</v>
      </c>
      <c r="W5" s="99">
        <v>0</v>
      </c>
      <c r="X5" s="99">
        <v>0</v>
      </c>
      <c r="Y5" s="99">
        <v>0</v>
      </c>
      <c r="Z5" s="99">
        <v>0</v>
      </c>
      <c r="AA5" s="99">
        <v>0</v>
      </c>
      <c r="AB5" s="99">
        <v>0</v>
      </c>
      <c r="AC5" s="99">
        <v>0</v>
      </c>
      <c r="AD5" s="99">
        <v>0</v>
      </c>
    </row>
    <row r="6" spans="1:30" ht="14.5" x14ac:dyDescent="0.35">
      <c r="A6" s="98">
        <v>2</v>
      </c>
      <c r="B6" s="99" t="s">
        <v>128</v>
      </c>
      <c r="C6" s="99">
        <v>0</v>
      </c>
      <c r="D6" s="99">
        <v>0</v>
      </c>
      <c r="E6" s="99">
        <v>0</v>
      </c>
      <c r="F6" s="99">
        <v>0</v>
      </c>
      <c r="G6" s="99">
        <v>0</v>
      </c>
      <c r="H6" s="99">
        <v>0.55000000000000004</v>
      </c>
      <c r="I6" s="99">
        <v>0.16500000349999999</v>
      </c>
      <c r="J6" s="99">
        <v>0.19499998700000001</v>
      </c>
      <c r="K6" s="99">
        <v>0.22499999849999999</v>
      </c>
      <c r="L6" s="99">
        <v>0.19107143300000001</v>
      </c>
      <c r="M6" s="99">
        <v>0</v>
      </c>
      <c r="N6" s="99">
        <v>0.51856959800000002</v>
      </c>
      <c r="O6" s="99">
        <v>0.54999999899999996</v>
      </c>
      <c r="P6" s="99">
        <v>0.39444162199999999</v>
      </c>
      <c r="Q6" s="99">
        <v>0.54986195400000004</v>
      </c>
      <c r="R6" s="99">
        <v>0.59318801899999996</v>
      </c>
      <c r="S6" s="99">
        <v>0.26549999699999999</v>
      </c>
      <c r="T6" s="99">
        <v>0.32169304199999998</v>
      </c>
      <c r="U6" s="99">
        <v>0.32499999699999998</v>
      </c>
      <c r="V6" s="99">
        <v>0.64999999399999997</v>
      </c>
      <c r="W6" s="99">
        <v>0.79934426199999997</v>
      </c>
      <c r="X6" s="99">
        <v>0.76612875999999996</v>
      </c>
      <c r="Y6" s="99">
        <v>0.74514285800000002</v>
      </c>
      <c r="Z6" s="99">
        <v>0</v>
      </c>
      <c r="AA6" s="99">
        <v>0</v>
      </c>
      <c r="AB6" s="99">
        <v>0</v>
      </c>
      <c r="AC6" s="99">
        <v>0.66666666699999999</v>
      </c>
      <c r="AD6" s="99">
        <v>0</v>
      </c>
    </row>
    <row r="7" spans="1:30" ht="14.5" x14ac:dyDescent="0.35">
      <c r="A7" s="98">
        <v>3</v>
      </c>
      <c r="B7" s="99" t="s">
        <v>129</v>
      </c>
      <c r="C7" s="99">
        <v>0</v>
      </c>
      <c r="D7" s="99">
        <v>0</v>
      </c>
      <c r="E7" s="99">
        <v>0</v>
      </c>
      <c r="F7" s="99">
        <v>0</v>
      </c>
      <c r="G7" s="99">
        <v>0</v>
      </c>
      <c r="H7" s="99">
        <v>0</v>
      </c>
      <c r="I7" s="99">
        <v>0.16500000349999999</v>
      </c>
      <c r="J7" s="99">
        <v>0.19499998700000001</v>
      </c>
      <c r="K7" s="99">
        <v>0.22499999849999999</v>
      </c>
      <c r="L7" s="99">
        <v>0.19107143300000001</v>
      </c>
      <c r="M7" s="99">
        <v>0.68000000999999999</v>
      </c>
      <c r="N7" s="99">
        <v>0</v>
      </c>
      <c r="O7" s="99">
        <v>0</v>
      </c>
      <c r="P7" s="99">
        <v>0</v>
      </c>
      <c r="Q7" s="99">
        <v>0</v>
      </c>
      <c r="R7" s="99">
        <v>0</v>
      </c>
      <c r="S7" s="99">
        <v>0.26549999699999999</v>
      </c>
      <c r="T7" s="99">
        <v>0.32169304199999998</v>
      </c>
      <c r="U7" s="99">
        <v>0.32499999699999998</v>
      </c>
      <c r="V7" s="99">
        <v>0</v>
      </c>
      <c r="W7" s="99">
        <v>0</v>
      </c>
      <c r="X7" s="99">
        <v>0</v>
      </c>
      <c r="Y7" s="99">
        <v>0</v>
      </c>
      <c r="Z7" s="99">
        <v>0</v>
      </c>
      <c r="AA7" s="99">
        <v>0</v>
      </c>
      <c r="AB7" s="99">
        <v>0</v>
      </c>
      <c r="AC7" s="99">
        <v>0</v>
      </c>
      <c r="AD7" s="99">
        <v>0.25</v>
      </c>
    </row>
    <row r="8" spans="1:30" ht="14.5" x14ac:dyDescent="0.35">
      <c r="A8" s="98">
        <v>4</v>
      </c>
      <c r="B8" s="62" t="s">
        <v>51</v>
      </c>
      <c r="C8" s="99">
        <v>0.71817425300000004</v>
      </c>
      <c r="D8" s="99">
        <v>0.71817425300000004</v>
      </c>
      <c r="E8" s="99">
        <v>0.71817425300000004</v>
      </c>
      <c r="F8" s="99">
        <v>0</v>
      </c>
      <c r="G8" s="99">
        <v>0</v>
      </c>
      <c r="H8" s="99">
        <v>0</v>
      </c>
      <c r="I8" s="99">
        <v>0</v>
      </c>
      <c r="J8" s="99">
        <v>0</v>
      </c>
      <c r="K8" s="99">
        <v>0</v>
      </c>
      <c r="L8" s="99">
        <v>0</v>
      </c>
      <c r="M8" s="99">
        <v>0</v>
      </c>
      <c r="N8" s="99">
        <v>0</v>
      </c>
      <c r="O8" s="99">
        <v>0</v>
      </c>
      <c r="P8" s="99">
        <v>0</v>
      </c>
      <c r="Q8" s="99">
        <v>0</v>
      </c>
      <c r="R8" s="99">
        <v>0</v>
      </c>
      <c r="S8" s="99">
        <v>0</v>
      </c>
      <c r="T8" s="99">
        <v>0</v>
      </c>
      <c r="U8" s="99">
        <v>0</v>
      </c>
      <c r="V8" s="99">
        <v>0</v>
      </c>
      <c r="W8" s="99">
        <v>0</v>
      </c>
      <c r="X8" s="99">
        <v>0</v>
      </c>
      <c r="Y8" s="99">
        <v>0</v>
      </c>
      <c r="Z8" s="99">
        <v>0</v>
      </c>
      <c r="AA8" s="99">
        <v>0</v>
      </c>
      <c r="AB8" s="99">
        <v>0</v>
      </c>
      <c r="AC8" s="99">
        <v>0</v>
      </c>
      <c r="AD8" s="99">
        <v>0</v>
      </c>
    </row>
    <row r="9" spans="1:30" ht="14.5" x14ac:dyDescent="0.35">
      <c r="A9" s="98">
        <v>5</v>
      </c>
      <c r="B9" s="62" t="s">
        <v>52</v>
      </c>
      <c r="C9" s="99">
        <v>0.28182574700000002</v>
      </c>
      <c r="D9" s="99">
        <v>0.28182574700000002</v>
      </c>
      <c r="E9" s="99">
        <v>0.28182574700000002</v>
      </c>
      <c r="F9" s="99">
        <v>0</v>
      </c>
      <c r="G9" s="99">
        <v>0</v>
      </c>
      <c r="H9" s="99">
        <v>0</v>
      </c>
      <c r="I9" s="99">
        <v>0</v>
      </c>
      <c r="J9" s="99">
        <v>0</v>
      </c>
      <c r="K9" s="99">
        <v>0</v>
      </c>
      <c r="L9" s="99">
        <v>0</v>
      </c>
      <c r="M9" s="99">
        <v>0</v>
      </c>
      <c r="N9" s="99">
        <v>0</v>
      </c>
      <c r="O9" s="99">
        <v>0</v>
      </c>
      <c r="P9" s="99">
        <v>0</v>
      </c>
      <c r="Q9" s="99">
        <v>0</v>
      </c>
      <c r="R9" s="99">
        <v>0</v>
      </c>
      <c r="S9" s="99">
        <v>0</v>
      </c>
      <c r="T9" s="99">
        <v>0</v>
      </c>
      <c r="U9" s="99">
        <v>0</v>
      </c>
      <c r="V9" s="99">
        <v>0</v>
      </c>
      <c r="W9" s="99">
        <v>0</v>
      </c>
      <c r="X9" s="99">
        <v>0</v>
      </c>
      <c r="Y9" s="99">
        <v>0</v>
      </c>
      <c r="Z9" s="99">
        <v>0</v>
      </c>
      <c r="AA9" s="99">
        <v>0</v>
      </c>
      <c r="AB9" s="99">
        <v>0</v>
      </c>
      <c r="AC9" s="99">
        <v>0</v>
      </c>
      <c r="AD9" s="99">
        <v>0</v>
      </c>
    </row>
    <row r="10" spans="1:30" ht="14.5" x14ac:dyDescent="0.35">
      <c r="A10" s="98">
        <v>6</v>
      </c>
      <c r="B10" s="62" t="s">
        <v>1</v>
      </c>
      <c r="C10" s="99">
        <v>0</v>
      </c>
      <c r="D10" s="99">
        <v>0</v>
      </c>
      <c r="E10" s="99">
        <v>0</v>
      </c>
      <c r="F10" s="99">
        <v>0.46246554325677502</v>
      </c>
      <c r="G10" s="99">
        <v>0.56742458660023798</v>
      </c>
      <c r="H10" s="99">
        <v>0</v>
      </c>
      <c r="I10" s="99">
        <v>0</v>
      </c>
      <c r="J10" s="99">
        <v>0</v>
      </c>
      <c r="K10" s="99">
        <v>0</v>
      </c>
      <c r="L10" s="99">
        <v>0</v>
      </c>
      <c r="M10" s="99">
        <v>0</v>
      </c>
      <c r="N10" s="99">
        <v>0</v>
      </c>
      <c r="O10" s="99">
        <v>0</v>
      </c>
      <c r="P10" s="99">
        <v>0</v>
      </c>
      <c r="Q10" s="99">
        <v>0</v>
      </c>
      <c r="R10" s="99">
        <v>0</v>
      </c>
      <c r="S10" s="99">
        <v>0</v>
      </c>
      <c r="T10" s="99">
        <v>0</v>
      </c>
      <c r="U10" s="99">
        <v>0</v>
      </c>
      <c r="V10" s="99">
        <v>0</v>
      </c>
      <c r="W10" s="99">
        <v>0</v>
      </c>
      <c r="X10" s="99">
        <v>0</v>
      </c>
      <c r="Y10" s="99">
        <v>0</v>
      </c>
      <c r="Z10" s="99">
        <v>0</v>
      </c>
      <c r="AA10" s="99">
        <v>0</v>
      </c>
      <c r="AB10" s="99">
        <v>0</v>
      </c>
      <c r="AC10" s="99">
        <v>0</v>
      </c>
      <c r="AD10" s="99">
        <v>0.72552126792231797</v>
      </c>
    </row>
    <row r="11" spans="1:30" ht="14.5" x14ac:dyDescent="0.35">
      <c r="A11" s="98">
        <v>7</v>
      </c>
      <c r="B11" s="62" t="s">
        <v>45</v>
      </c>
      <c r="C11" s="99">
        <v>0</v>
      </c>
      <c r="D11" s="99">
        <v>0</v>
      </c>
      <c r="E11" s="99">
        <v>0</v>
      </c>
      <c r="F11" s="99">
        <v>0.21379566863460001</v>
      </c>
      <c r="G11" s="99">
        <v>0.260563112209102</v>
      </c>
      <c r="H11" s="99">
        <v>3.2561672270842203E-2</v>
      </c>
      <c r="I11" s="99">
        <v>0</v>
      </c>
      <c r="J11" s="99">
        <v>0</v>
      </c>
      <c r="K11" s="99">
        <v>0</v>
      </c>
      <c r="L11" s="99">
        <v>0</v>
      </c>
      <c r="M11" s="99">
        <v>0</v>
      </c>
      <c r="N11" s="99">
        <v>0</v>
      </c>
      <c r="O11" s="99">
        <v>0</v>
      </c>
      <c r="P11" s="99">
        <v>0</v>
      </c>
      <c r="Q11" s="99">
        <v>0</v>
      </c>
      <c r="R11" s="99">
        <v>0</v>
      </c>
      <c r="S11" s="99">
        <v>0</v>
      </c>
      <c r="T11" s="99">
        <v>0</v>
      </c>
      <c r="U11" s="99">
        <v>0</v>
      </c>
      <c r="V11" s="99">
        <v>0</v>
      </c>
      <c r="W11" s="99">
        <v>0</v>
      </c>
      <c r="X11" s="99">
        <v>0</v>
      </c>
      <c r="Y11" s="99">
        <v>0</v>
      </c>
      <c r="Z11" s="99">
        <v>0</v>
      </c>
      <c r="AA11" s="99">
        <v>0</v>
      </c>
      <c r="AB11" s="99">
        <v>0</v>
      </c>
      <c r="AC11" s="99">
        <v>0</v>
      </c>
      <c r="AD11" s="99">
        <v>0</v>
      </c>
    </row>
    <row r="12" spans="1:30" ht="14.5" x14ac:dyDescent="0.35">
      <c r="A12" s="98">
        <v>8</v>
      </c>
      <c r="B12" s="62" t="s">
        <v>3</v>
      </c>
      <c r="C12" s="99">
        <v>0</v>
      </c>
      <c r="D12" s="99">
        <v>0</v>
      </c>
      <c r="E12" s="99">
        <v>0</v>
      </c>
      <c r="F12" s="99">
        <v>0.107591172813792</v>
      </c>
      <c r="G12" s="99">
        <v>0.13708685947098101</v>
      </c>
      <c r="H12" s="99">
        <v>3.1407330890503501E-2</v>
      </c>
      <c r="I12" s="99">
        <v>0</v>
      </c>
      <c r="J12" s="99">
        <v>0</v>
      </c>
      <c r="K12" s="99">
        <v>0</v>
      </c>
      <c r="L12" s="99">
        <v>0</v>
      </c>
      <c r="M12" s="99">
        <v>0</v>
      </c>
      <c r="N12" s="99">
        <v>0</v>
      </c>
      <c r="O12" s="99">
        <v>0</v>
      </c>
      <c r="P12" s="99">
        <v>0</v>
      </c>
      <c r="Q12" s="99">
        <v>0</v>
      </c>
      <c r="R12" s="99">
        <v>0</v>
      </c>
      <c r="S12" s="99">
        <v>0</v>
      </c>
      <c r="T12" s="99">
        <v>0</v>
      </c>
      <c r="U12" s="99">
        <v>0</v>
      </c>
      <c r="V12" s="99">
        <v>0</v>
      </c>
      <c r="W12" s="99">
        <v>0</v>
      </c>
      <c r="X12" s="99">
        <v>0</v>
      </c>
      <c r="Y12" s="99">
        <v>0</v>
      </c>
      <c r="Z12" s="99">
        <v>0</v>
      </c>
      <c r="AA12" s="99">
        <v>0</v>
      </c>
      <c r="AB12" s="99">
        <v>0</v>
      </c>
      <c r="AC12" s="99">
        <v>0</v>
      </c>
      <c r="AD12" s="99">
        <v>0</v>
      </c>
    </row>
    <row r="13" spans="1:30" ht="14.5" x14ac:dyDescent="0.35">
      <c r="A13" s="98">
        <v>9</v>
      </c>
      <c r="B13" s="62" t="s">
        <v>53</v>
      </c>
      <c r="C13" s="99">
        <v>0</v>
      </c>
      <c r="D13" s="99">
        <v>0</v>
      </c>
      <c r="E13" s="99">
        <v>0</v>
      </c>
      <c r="F13" s="99">
        <v>0</v>
      </c>
      <c r="G13" s="99">
        <v>0</v>
      </c>
      <c r="H13" s="99">
        <v>0</v>
      </c>
      <c r="I13" s="99">
        <v>5.6297286391361198E-6</v>
      </c>
      <c r="J13" s="99">
        <v>1.8239510016819399E-6</v>
      </c>
      <c r="K13" s="99">
        <v>0</v>
      </c>
      <c r="L13" s="99">
        <v>0</v>
      </c>
      <c r="M13" s="99">
        <v>0</v>
      </c>
      <c r="N13" s="99">
        <v>0</v>
      </c>
      <c r="O13" s="99">
        <v>0</v>
      </c>
      <c r="P13" s="99">
        <v>0</v>
      </c>
      <c r="Q13" s="99">
        <v>0</v>
      </c>
      <c r="R13" s="99">
        <v>0</v>
      </c>
      <c r="S13" s="99">
        <v>0</v>
      </c>
      <c r="T13" s="99">
        <v>0</v>
      </c>
      <c r="U13" s="99">
        <v>0</v>
      </c>
      <c r="V13" s="99">
        <v>0</v>
      </c>
      <c r="W13" s="99">
        <v>0</v>
      </c>
      <c r="X13" s="99">
        <v>0</v>
      </c>
      <c r="Y13" s="99">
        <v>0</v>
      </c>
      <c r="Z13" s="99">
        <v>0</v>
      </c>
      <c r="AA13" s="99">
        <v>0</v>
      </c>
      <c r="AB13" s="99">
        <v>0</v>
      </c>
      <c r="AC13" s="99">
        <v>0</v>
      </c>
      <c r="AD13" s="99">
        <v>6.5194979766334302E-7</v>
      </c>
    </row>
    <row r="14" spans="1:30" ht="14.5" x14ac:dyDescent="0.35">
      <c r="A14" s="98">
        <v>10</v>
      </c>
      <c r="B14" s="62" t="s">
        <v>16</v>
      </c>
      <c r="C14" s="99">
        <v>0</v>
      </c>
      <c r="D14" s="99">
        <v>0</v>
      </c>
      <c r="E14" s="99">
        <v>0</v>
      </c>
      <c r="F14" s="99">
        <v>0</v>
      </c>
      <c r="G14" s="99">
        <v>0</v>
      </c>
      <c r="H14" s="99">
        <v>0</v>
      </c>
      <c r="I14" s="99">
        <v>0.107074162237438</v>
      </c>
      <c r="J14" s="99">
        <v>4.6253982026671303E-2</v>
      </c>
      <c r="K14" s="99">
        <v>0</v>
      </c>
      <c r="L14" s="99">
        <v>0</v>
      </c>
      <c r="M14" s="99">
        <v>0</v>
      </c>
      <c r="N14" s="99">
        <v>0</v>
      </c>
      <c r="O14" s="99">
        <v>0</v>
      </c>
      <c r="P14" s="99">
        <v>0</v>
      </c>
      <c r="Q14" s="99">
        <v>0</v>
      </c>
      <c r="R14" s="99">
        <v>0</v>
      </c>
      <c r="S14" s="99">
        <v>0</v>
      </c>
      <c r="T14" s="99">
        <v>0</v>
      </c>
      <c r="U14" s="99">
        <v>0</v>
      </c>
      <c r="V14" s="99">
        <v>0</v>
      </c>
      <c r="W14" s="99">
        <v>0</v>
      </c>
      <c r="X14" s="99">
        <v>0</v>
      </c>
      <c r="Y14" s="99">
        <v>0</v>
      </c>
      <c r="Z14" s="99">
        <v>0.856802725225558</v>
      </c>
      <c r="AA14" s="99">
        <v>0</v>
      </c>
      <c r="AB14" s="99">
        <v>0</v>
      </c>
      <c r="AC14" s="99">
        <v>0</v>
      </c>
      <c r="AD14" s="99">
        <v>0</v>
      </c>
    </row>
    <row r="15" spans="1:30" ht="14.5" x14ac:dyDescent="0.35">
      <c r="A15" s="98">
        <v>11</v>
      </c>
      <c r="B15" s="62" t="s">
        <v>4</v>
      </c>
      <c r="C15" s="99">
        <v>0</v>
      </c>
      <c r="D15" s="99">
        <v>0</v>
      </c>
      <c r="E15" s="99">
        <v>0</v>
      </c>
      <c r="F15" s="99">
        <v>0</v>
      </c>
      <c r="G15" s="99">
        <v>0</v>
      </c>
      <c r="H15" s="99">
        <v>0</v>
      </c>
      <c r="I15" s="99">
        <v>0</v>
      </c>
      <c r="J15" s="99">
        <v>0</v>
      </c>
      <c r="K15" s="99">
        <v>0</v>
      </c>
      <c r="L15" s="99">
        <v>0</v>
      </c>
      <c r="M15" s="99">
        <v>0</v>
      </c>
      <c r="N15" s="99">
        <v>0</v>
      </c>
      <c r="O15" s="99">
        <v>0</v>
      </c>
      <c r="P15" s="99">
        <v>0</v>
      </c>
      <c r="Q15" s="99">
        <v>0</v>
      </c>
      <c r="R15" s="99">
        <v>0</v>
      </c>
      <c r="S15" s="99">
        <v>0</v>
      </c>
      <c r="T15" s="99">
        <v>0</v>
      </c>
      <c r="U15" s="99">
        <v>0</v>
      </c>
      <c r="V15" s="99">
        <v>0</v>
      </c>
      <c r="W15" s="99">
        <v>0</v>
      </c>
      <c r="X15" s="99">
        <v>0</v>
      </c>
      <c r="Y15" s="99">
        <v>0</v>
      </c>
      <c r="Z15" s="99">
        <v>0</v>
      </c>
      <c r="AA15" s="99">
        <v>0</v>
      </c>
      <c r="AB15" s="99">
        <v>0</v>
      </c>
      <c r="AC15" s="99">
        <v>0</v>
      </c>
      <c r="AD15" s="99">
        <v>2.3386098991331698E-2</v>
      </c>
    </row>
    <row r="16" spans="1:30" ht="14.5" x14ac:dyDescent="0.35">
      <c r="A16" s="98">
        <v>12</v>
      </c>
      <c r="B16" s="62" t="s">
        <v>54</v>
      </c>
      <c r="C16" s="99">
        <v>0</v>
      </c>
      <c r="D16" s="99">
        <v>0</v>
      </c>
      <c r="E16" s="99">
        <v>0</v>
      </c>
      <c r="F16" s="99">
        <v>2.7509440652902398E-2</v>
      </c>
      <c r="G16" s="99">
        <v>1.8158548787616099E-3</v>
      </c>
      <c r="H16" s="99">
        <v>2.1669683229862501E-4</v>
      </c>
      <c r="I16" s="99">
        <v>0.13947068835930501</v>
      </c>
      <c r="J16" s="99">
        <v>0.20038950716585899</v>
      </c>
      <c r="K16" s="99">
        <v>0</v>
      </c>
      <c r="L16" s="99">
        <v>0</v>
      </c>
      <c r="M16" s="99">
        <v>0</v>
      </c>
      <c r="N16" s="99">
        <v>0</v>
      </c>
      <c r="O16" s="99">
        <v>0</v>
      </c>
      <c r="P16" s="99">
        <v>0</v>
      </c>
      <c r="Q16" s="99">
        <v>0</v>
      </c>
      <c r="R16" s="99">
        <v>0</v>
      </c>
      <c r="S16" s="99">
        <v>0</v>
      </c>
      <c r="T16" s="99">
        <v>0</v>
      </c>
      <c r="U16" s="99">
        <v>0</v>
      </c>
      <c r="V16" s="99">
        <v>0</v>
      </c>
      <c r="W16" s="99">
        <v>0</v>
      </c>
      <c r="X16" s="99">
        <v>0</v>
      </c>
      <c r="Y16" s="99">
        <v>0</v>
      </c>
      <c r="Z16" s="99">
        <v>1.6376558108028998E-2</v>
      </c>
      <c r="AA16" s="99">
        <v>0</v>
      </c>
      <c r="AB16" s="99">
        <v>0</v>
      </c>
      <c r="AC16" s="99">
        <v>0</v>
      </c>
      <c r="AD16" s="99">
        <v>0</v>
      </c>
    </row>
    <row r="17" spans="1:30" ht="14.5" x14ac:dyDescent="0.35">
      <c r="A17" s="98">
        <v>13</v>
      </c>
      <c r="B17" s="62" t="s">
        <v>46</v>
      </c>
      <c r="C17" s="99">
        <v>0</v>
      </c>
      <c r="D17" s="99">
        <v>0</v>
      </c>
      <c r="E17" s="99">
        <v>0</v>
      </c>
      <c r="F17" s="99">
        <v>0</v>
      </c>
      <c r="G17" s="99">
        <v>0</v>
      </c>
      <c r="H17" s="99">
        <v>0</v>
      </c>
      <c r="I17" s="99">
        <v>1.0205082290102301E-2</v>
      </c>
      <c r="J17" s="99">
        <v>9.9923724023060198E-2</v>
      </c>
      <c r="K17" s="99">
        <v>0</v>
      </c>
      <c r="L17" s="99">
        <v>0</v>
      </c>
      <c r="M17" s="99">
        <v>0</v>
      </c>
      <c r="N17" s="99">
        <v>0</v>
      </c>
      <c r="O17" s="99">
        <v>0</v>
      </c>
      <c r="P17" s="99">
        <v>0</v>
      </c>
      <c r="Q17" s="99">
        <v>0</v>
      </c>
      <c r="R17" s="99">
        <v>0</v>
      </c>
      <c r="S17" s="99">
        <v>0</v>
      </c>
      <c r="T17" s="99">
        <v>0</v>
      </c>
      <c r="U17" s="99">
        <v>0</v>
      </c>
      <c r="V17" s="99">
        <v>0</v>
      </c>
      <c r="W17" s="99">
        <v>0</v>
      </c>
      <c r="X17" s="99">
        <v>0</v>
      </c>
      <c r="Y17" s="99">
        <v>0</v>
      </c>
      <c r="Z17" s="99">
        <v>0</v>
      </c>
      <c r="AA17" s="99">
        <v>0</v>
      </c>
      <c r="AB17" s="99">
        <v>0</v>
      </c>
      <c r="AC17" s="99">
        <v>0</v>
      </c>
      <c r="AD17" s="99">
        <v>0</v>
      </c>
    </row>
    <row r="18" spans="1:30" ht="14.5" x14ac:dyDescent="0.35">
      <c r="A18" s="98">
        <v>14</v>
      </c>
      <c r="B18" s="62" t="s">
        <v>47</v>
      </c>
      <c r="C18" s="99">
        <v>0</v>
      </c>
      <c r="D18" s="99">
        <v>0</v>
      </c>
      <c r="E18" s="99">
        <v>0</v>
      </c>
      <c r="F18" s="99">
        <v>0</v>
      </c>
      <c r="G18" s="99">
        <v>0</v>
      </c>
      <c r="H18" s="99">
        <v>0</v>
      </c>
      <c r="I18" s="99">
        <v>2.10551574908679E-4</v>
      </c>
      <c r="J18" s="99">
        <v>1.0273968627589501E-2</v>
      </c>
      <c r="K18" s="99">
        <v>0</v>
      </c>
      <c r="L18" s="99">
        <v>0</v>
      </c>
      <c r="M18" s="99">
        <v>0</v>
      </c>
      <c r="N18" s="99">
        <v>6.5682580617650705E-4</v>
      </c>
      <c r="O18" s="99">
        <v>1.7954593007615399E-2</v>
      </c>
      <c r="P18" s="99">
        <v>0</v>
      </c>
      <c r="Q18" s="99">
        <v>3.63474139962043E-3</v>
      </c>
      <c r="R18" s="99">
        <v>0</v>
      </c>
      <c r="S18" s="99">
        <v>1.6310890696674001E-2</v>
      </c>
      <c r="T18" s="99">
        <v>2.0226478288479701E-3</v>
      </c>
      <c r="U18" s="99">
        <v>0</v>
      </c>
      <c r="V18" s="99">
        <v>0</v>
      </c>
      <c r="W18" s="99">
        <v>0</v>
      </c>
      <c r="X18" s="99">
        <v>0</v>
      </c>
      <c r="Y18" s="99">
        <v>0</v>
      </c>
      <c r="Z18" s="99">
        <v>0</v>
      </c>
      <c r="AA18" s="99">
        <v>0</v>
      </c>
      <c r="AB18" s="99">
        <v>0</v>
      </c>
      <c r="AC18" s="99">
        <v>0</v>
      </c>
      <c r="AD18" s="99">
        <v>0</v>
      </c>
    </row>
    <row r="19" spans="1:30" ht="14.5" x14ac:dyDescent="0.35">
      <c r="A19" s="98">
        <v>15</v>
      </c>
      <c r="B19" s="62" t="s">
        <v>55</v>
      </c>
      <c r="C19" s="99">
        <v>0</v>
      </c>
      <c r="D19" s="99">
        <v>0</v>
      </c>
      <c r="E19" s="99">
        <v>0</v>
      </c>
      <c r="F19" s="99">
        <v>4.0752198969497902E-3</v>
      </c>
      <c r="G19" s="99">
        <v>0</v>
      </c>
      <c r="H19" s="99">
        <v>0</v>
      </c>
      <c r="I19" s="99">
        <v>2.3727061308250998E-2</v>
      </c>
      <c r="J19" s="99">
        <v>5.7327345518385097E-7</v>
      </c>
      <c r="K19" s="99">
        <v>0</v>
      </c>
      <c r="L19" s="99">
        <v>1.4420442075002701E-5</v>
      </c>
      <c r="M19" s="99">
        <v>1.04904806498243E-4</v>
      </c>
      <c r="N19" s="99">
        <v>0</v>
      </c>
      <c r="O19" s="99">
        <v>0</v>
      </c>
      <c r="P19" s="99">
        <v>0</v>
      </c>
      <c r="Q19" s="99">
        <v>0</v>
      </c>
      <c r="R19" s="99">
        <v>0</v>
      </c>
      <c r="S19" s="99">
        <v>0</v>
      </c>
      <c r="T19" s="99">
        <v>0</v>
      </c>
      <c r="U19" s="99">
        <v>0</v>
      </c>
      <c r="V19" s="99">
        <v>0</v>
      </c>
      <c r="W19" s="99">
        <v>0</v>
      </c>
      <c r="X19" s="99">
        <v>0</v>
      </c>
      <c r="Y19" s="99">
        <v>0</v>
      </c>
      <c r="Z19" s="99">
        <v>0</v>
      </c>
      <c r="AA19" s="99">
        <v>0</v>
      </c>
      <c r="AB19" s="99">
        <v>0</v>
      </c>
      <c r="AC19" s="99">
        <v>0</v>
      </c>
      <c r="AD19" s="99">
        <v>8.6015436938535701E-7</v>
      </c>
    </row>
    <row r="20" spans="1:30" ht="14.5" x14ac:dyDescent="0.35">
      <c r="A20" s="98">
        <v>16</v>
      </c>
      <c r="B20" s="62" t="s">
        <v>56</v>
      </c>
      <c r="C20" s="99">
        <v>0</v>
      </c>
      <c r="D20" s="99">
        <v>0</v>
      </c>
      <c r="E20" s="99">
        <v>0</v>
      </c>
      <c r="F20" s="99">
        <v>2.37207377735006E-4</v>
      </c>
      <c r="G20" s="99">
        <v>0</v>
      </c>
      <c r="H20" s="99">
        <v>1.32730326455399E-10</v>
      </c>
      <c r="I20" s="99">
        <v>4.6238626214058897E-3</v>
      </c>
      <c r="J20" s="99">
        <v>2.5487952264516101E-2</v>
      </c>
      <c r="K20" s="99">
        <v>0</v>
      </c>
      <c r="L20" s="99">
        <v>0</v>
      </c>
      <c r="M20" s="99">
        <v>5.4576698785021504E-3</v>
      </c>
      <c r="N20" s="99">
        <v>6.8549308317854898E-2</v>
      </c>
      <c r="O20" s="99">
        <v>5.9213645016657497E-4</v>
      </c>
      <c r="P20" s="99">
        <v>0.208240606905226</v>
      </c>
      <c r="Q20" s="99">
        <v>4.1897598951528801E-2</v>
      </c>
      <c r="R20" s="99">
        <v>0</v>
      </c>
      <c r="S20" s="99">
        <v>0</v>
      </c>
      <c r="T20" s="99">
        <v>4.0403132186430303E-2</v>
      </c>
      <c r="U20" s="99">
        <v>0</v>
      </c>
      <c r="V20" s="99">
        <v>0</v>
      </c>
      <c r="W20" s="99">
        <v>0</v>
      </c>
      <c r="X20" s="99">
        <v>0</v>
      </c>
      <c r="Y20" s="99">
        <v>0</v>
      </c>
      <c r="Z20" s="99">
        <v>0</v>
      </c>
      <c r="AA20" s="99">
        <v>0</v>
      </c>
      <c r="AB20" s="99">
        <v>0</v>
      </c>
      <c r="AC20" s="99">
        <v>0</v>
      </c>
      <c r="AD20" s="99">
        <v>1.07094039589508E-3</v>
      </c>
    </row>
    <row r="21" spans="1:30" ht="14.5" x14ac:dyDescent="0.35">
      <c r="A21" s="98">
        <v>17</v>
      </c>
      <c r="B21" s="62" t="s">
        <v>57</v>
      </c>
      <c r="C21" s="99">
        <v>0</v>
      </c>
      <c r="D21" s="99">
        <v>0</v>
      </c>
      <c r="E21" s="99">
        <v>0</v>
      </c>
      <c r="F21" s="99">
        <v>0</v>
      </c>
      <c r="G21" s="99">
        <v>0</v>
      </c>
      <c r="H21" s="99">
        <v>0</v>
      </c>
      <c r="I21" s="99">
        <v>0</v>
      </c>
      <c r="J21" s="99">
        <v>1.2345836739228299E-3</v>
      </c>
      <c r="K21" s="99">
        <v>0</v>
      </c>
      <c r="L21" s="99">
        <v>0</v>
      </c>
      <c r="M21" s="99">
        <v>1.05687671631494E-2</v>
      </c>
      <c r="N21" s="99">
        <v>5.2165117274616396E-3</v>
      </c>
      <c r="O21" s="99">
        <v>7.3046525562907097E-3</v>
      </c>
      <c r="P21" s="99">
        <v>5.6288028894757001E-2</v>
      </c>
      <c r="Q21" s="99">
        <v>1.59329346706816E-2</v>
      </c>
      <c r="R21" s="99">
        <v>2.4113674995467199E-4</v>
      </c>
      <c r="S21" s="99">
        <v>0</v>
      </c>
      <c r="T21" s="99">
        <v>4.50054847033797E-2</v>
      </c>
      <c r="U21" s="99">
        <v>1.46116938454338E-2</v>
      </c>
      <c r="V21" s="99">
        <v>0</v>
      </c>
      <c r="W21" s="99">
        <v>0</v>
      </c>
      <c r="X21" s="99">
        <v>0</v>
      </c>
      <c r="Y21" s="99">
        <v>0</v>
      </c>
      <c r="Z21" s="99">
        <v>0</v>
      </c>
      <c r="AA21" s="99">
        <v>0</v>
      </c>
      <c r="AB21" s="99">
        <v>0</v>
      </c>
      <c r="AC21" s="99">
        <v>0</v>
      </c>
      <c r="AD21" s="99">
        <v>2.4062812673055198E-7</v>
      </c>
    </row>
    <row r="22" spans="1:30" ht="14.5" x14ac:dyDescent="0.35">
      <c r="A22" s="98">
        <v>18</v>
      </c>
      <c r="B22" s="62" t="s">
        <v>58</v>
      </c>
      <c r="C22" s="99">
        <v>0</v>
      </c>
      <c r="D22" s="99">
        <v>0</v>
      </c>
      <c r="E22" s="99">
        <v>0</v>
      </c>
      <c r="F22" s="99">
        <v>5.8867693248282E-3</v>
      </c>
      <c r="G22" s="99">
        <v>0</v>
      </c>
      <c r="H22" s="99">
        <v>0</v>
      </c>
      <c r="I22" s="99">
        <v>1.05549137489952E-2</v>
      </c>
      <c r="J22" s="99">
        <v>4.13391794868034E-3</v>
      </c>
      <c r="K22" s="99">
        <v>0</v>
      </c>
      <c r="L22" s="99">
        <v>0</v>
      </c>
      <c r="M22" s="99">
        <v>3.8475764345914602E-3</v>
      </c>
      <c r="N22" s="99">
        <v>0</v>
      </c>
      <c r="O22" s="99">
        <v>0</v>
      </c>
      <c r="P22" s="99">
        <v>0</v>
      </c>
      <c r="Q22" s="99">
        <v>9.0032015820755602E-3</v>
      </c>
      <c r="R22" s="99">
        <v>0</v>
      </c>
      <c r="S22" s="99">
        <v>0</v>
      </c>
      <c r="T22" s="99">
        <v>0</v>
      </c>
      <c r="U22" s="99">
        <v>0</v>
      </c>
      <c r="V22" s="99">
        <v>0</v>
      </c>
      <c r="W22" s="99">
        <v>0</v>
      </c>
      <c r="X22" s="99">
        <v>0</v>
      </c>
      <c r="Y22" s="99">
        <v>0</v>
      </c>
      <c r="Z22" s="99">
        <v>0</v>
      </c>
      <c r="AA22" s="99">
        <v>0</v>
      </c>
      <c r="AB22" s="99">
        <v>0</v>
      </c>
      <c r="AC22" s="99">
        <v>0</v>
      </c>
      <c r="AD22" s="99">
        <v>0</v>
      </c>
    </row>
    <row r="23" spans="1:30" ht="14.5" x14ac:dyDescent="0.35">
      <c r="A23" s="98">
        <v>19</v>
      </c>
      <c r="B23" s="62" t="s">
        <v>59</v>
      </c>
      <c r="C23" s="99">
        <v>0</v>
      </c>
      <c r="D23" s="99">
        <v>0</v>
      </c>
      <c r="E23" s="99">
        <v>0</v>
      </c>
      <c r="F23" s="99">
        <v>0</v>
      </c>
      <c r="G23" s="99">
        <v>0</v>
      </c>
      <c r="H23" s="99">
        <v>0</v>
      </c>
      <c r="I23" s="99">
        <v>2.6042765631853198E-6</v>
      </c>
      <c r="J23" s="99">
        <v>3.7186375687164002E-4</v>
      </c>
      <c r="K23" s="99">
        <v>0.14475147343098699</v>
      </c>
      <c r="L23" s="99">
        <v>0</v>
      </c>
      <c r="M23" s="99">
        <v>2.4636405059035499E-2</v>
      </c>
      <c r="N23" s="99">
        <v>9.0927930725098695E-4</v>
      </c>
      <c r="O23" s="99">
        <v>4.2591266918714097E-6</v>
      </c>
      <c r="P23" s="99">
        <v>4.69567694532256E-3</v>
      </c>
      <c r="Q23" s="99">
        <v>1.0205687975556399E-3</v>
      </c>
      <c r="R23" s="99">
        <v>3.2681903498427801E-5</v>
      </c>
      <c r="S23" s="99">
        <v>6.9425261654660405E-4</v>
      </c>
      <c r="T23" s="99">
        <v>6.3070023762126096E-3</v>
      </c>
      <c r="U23" s="99">
        <v>0</v>
      </c>
      <c r="V23" s="99">
        <v>0</v>
      </c>
      <c r="W23" s="99">
        <v>0</v>
      </c>
      <c r="X23" s="99">
        <v>0</v>
      </c>
      <c r="Y23" s="99">
        <v>0</v>
      </c>
      <c r="Z23" s="99">
        <v>0</v>
      </c>
      <c r="AA23" s="99">
        <v>0</v>
      </c>
      <c r="AB23" s="99">
        <v>0</v>
      </c>
      <c r="AC23" s="99">
        <v>0</v>
      </c>
      <c r="AD23" s="99">
        <v>1.9939958161945101E-5</v>
      </c>
    </row>
    <row r="24" spans="1:30" ht="14.5" x14ac:dyDescent="0.35">
      <c r="A24" s="98">
        <v>20</v>
      </c>
      <c r="B24" s="62" t="s">
        <v>60</v>
      </c>
      <c r="C24" s="99">
        <v>0</v>
      </c>
      <c r="D24" s="99">
        <v>0</v>
      </c>
      <c r="E24" s="99">
        <v>0</v>
      </c>
      <c r="F24" s="99">
        <v>0</v>
      </c>
      <c r="G24" s="99">
        <v>0</v>
      </c>
      <c r="H24" s="99">
        <v>0</v>
      </c>
      <c r="I24" s="99">
        <v>0</v>
      </c>
      <c r="J24" s="99">
        <v>1.0253755862995499E-6</v>
      </c>
      <c r="K24" s="99">
        <v>0</v>
      </c>
      <c r="L24" s="99">
        <v>0</v>
      </c>
      <c r="M24" s="99">
        <v>3.0475446404222299E-5</v>
      </c>
      <c r="N24" s="99">
        <v>3.6002212983047003E-5</v>
      </c>
      <c r="O24" s="99">
        <v>0</v>
      </c>
      <c r="P24" s="99">
        <v>2.74216656812896E-3</v>
      </c>
      <c r="Q24" s="99">
        <v>0</v>
      </c>
      <c r="R24" s="99">
        <v>2.1659968750735301E-4</v>
      </c>
      <c r="S24" s="99">
        <v>5.80676945067987E-4</v>
      </c>
      <c r="T24" s="99">
        <v>4.1419074082352297E-5</v>
      </c>
      <c r="U24" s="99">
        <v>2.10519585036797E-4</v>
      </c>
      <c r="V24" s="99">
        <v>0</v>
      </c>
      <c r="W24" s="99">
        <v>0</v>
      </c>
      <c r="X24" s="99">
        <v>0</v>
      </c>
      <c r="Y24" s="99">
        <v>0</v>
      </c>
      <c r="Z24" s="99">
        <v>0</v>
      </c>
      <c r="AA24" s="99">
        <v>0</v>
      </c>
      <c r="AB24" s="99">
        <v>0</v>
      </c>
      <c r="AC24" s="99">
        <v>0</v>
      </c>
      <c r="AD24" s="99">
        <v>0</v>
      </c>
    </row>
    <row r="25" spans="1:30" ht="14.5" x14ac:dyDescent="0.35">
      <c r="A25" s="98">
        <v>21</v>
      </c>
      <c r="B25" s="62" t="s">
        <v>48</v>
      </c>
      <c r="C25" s="99">
        <v>0</v>
      </c>
      <c r="D25" s="99">
        <v>0</v>
      </c>
      <c r="E25" s="99">
        <v>0</v>
      </c>
      <c r="F25" s="99">
        <v>0</v>
      </c>
      <c r="G25" s="99">
        <v>0</v>
      </c>
      <c r="H25" s="99">
        <v>0</v>
      </c>
      <c r="I25" s="99">
        <v>0</v>
      </c>
      <c r="J25" s="99">
        <v>0</v>
      </c>
      <c r="K25" s="99">
        <v>0</v>
      </c>
      <c r="L25" s="99">
        <v>0</v>
      </c>
      <c r="M25" s="99">
        <v>0</v>
      </c>
      <c r="N25" s="99">
        <v>1.9945944041404101E-3</v>
      </c>
      <c r="O25" s="99">
        <v>0</v>
      </c>
      <c r="P25" s="99">
        <v>0</v>
      </c>
      <c r="Q25" s="99">
        <v>1.72764982839392E-3</v>
      </c>
      <c r="R25" s="99">
        <v>1.1515554045869299E-4</v>
      </c>
      <c r="S25" s="99">
        <v>0</v>
      </c>
      <c r="T25" s="99">
        <v>1.6128292502338201E-3</v>
      </c>
      <c r="U25" s="99">
        <v>0</v>
      </c>
      <c r="V25" s="99">
        <v>0</v>
      </c>
      <c r="W25" s="99">
        <v>0</v>
      </c>
      <c r="X25" s="99">
        <v>0</v>
      </c>
      <c r="Y25" s="99">
        <v>0</v>
      </c>
      <c r="Z25" s="99">
        <v>0</v>
      </c>
      <c r="AA25" s="99">
        <v>0</v>
      </c>
      <c r="AB25" s="99">
        <v>0</v>
      </c>
      <c r="AC25" s="99">
        <v>0</v>
      </c>
      <c r="AD25" s="99">
        <v>0</v>
      </c>
    </row>
    <row r="26" spans="1:30" ht="14.5" x14ac:dyDescent="0.35">
      <c r="A26" s="98">
        <v>22</v>
      </c>
      <c r="B26" s="62" t="s">
        <v>61</v>
      </c>
      <c r="C26" s="99">
        <v>0</v>
      </c>
      <c r="D26" s="99">
        <v>0</v>
      </c>
      <c r="E26" s="99">
        <v>0</v>
      </c>
      <c r="F26" s="99">
        <v>0</v>
      </c>
      <c r="G26" s="99">
        <v>0</v>
      </c>
      <c r="H26" s="99">
        <v>0</v>
      </c>
      <c r="I26" s="99">
        <v>0</v>
      </c>
      <c r="J26" s="99">
        <v>2.0244015725505199E-4</v>
      </c>
      <c r="K26" s="99">
        <v>0</v>
      </c>
      <c r="L26" s="99">
        <v>0</v>
      </c>
      <c r="M26" s="99">
        <v>0</v>
      </c>
      <c r="N26" s="99">
        <v>1.0795034285278301E-3</v>
      </c>
      <c r="O26" s="99">
        <v>3.1830380010934101E-4</v>
      </c>
      <c r="P26" s="99">
        <v>8.52577367192274E-3</v>
      </c>
      <c r="Q26" s="99">
        <v>1.59922082067615E-4</v>
      </c>
      <c r="R26" s="99">
        <v>3.2944207464176501E-3</v>
      </c>
      <c r="S26" s="99">
        <v>0</v>
      </c>
      <c r="T26" s="99">
        <v>1.09369805437428E-2</v>
      </c>
      <c r="U26" s="99">
        <v>6.6829450903304203E-3</v>
      </c>
      <c r="V26" s="99">
        <v>0</v>
      </c>
      <c r="W26" s="99">
        <v>0</v>
      </c>
      <c r="X26" s="99">
        <v>0</v>
      </c>
      <c r="Y26" s="99">
        <v>0</v>
      </c>
      <c r="Z26" s="99">
        <v>0</v>
      </c>
      <c r="AA26" s="99">
        <v>0</v>
      </c>
      <c r="AB26" s="99">
        <v>0</v>
      </c>
      <c r="AC26" s="99">
        <v>0</v>
      </c>
      <c r="AD26" s="99">
        <v>0</v>
      </c>
    </row>
    <row r="27" spans="1:30" ht="14.5" x14ac:dyDescent="0.35">
      <c r="A27" s="98">
        <v>23</v>
      </c>
      <c r="B27" s="62" t="s">
        <v>62</v>
      </c>
      <c r="C27" s="99">
        <v>0</v>
      </c>
      <c r="D27" s="99">
        <v>0</v>
      </c>
      <c r="E27" s="99">
        <v>0</v>
      </c>
      <c r="F27" s="99">
        <v>0</v>
      </c>
      <c r="G27" s="99">
        <v>0</v>
      </c>
      <c r="H27" s="99">
        <v>0</v>
      </c>
      <c r="I27" s="99">
        <v>0</v>
      </c>
      <c r="J27" s="99">
        <v>2.68385834982407E-8</v>
      </c>
      <c r="K27" s="99">
        <v>5.3459390565489097E-3</v>
      </c>
      <c r="L27" s="99">
        <v>1.9582287870317998E-6</v>
      </c>
      <c r="M27" s="99">
        <v>2.79445451461293E-6</v>
      </c>
      <c r="N27" s="99">
        <v>3.5901766535175701E-9</v>
      </c>
      <c r="O27" s="99">
        <v>0</v>
      </c>
      <c r="P27" s="99">
        <v>0</v>
      </c>
      <c r="Q27" s="99">
        <v>0</v>
      </c>
      <c r="R27" s="99">
        <v>0</v>
      </c>
      <c r="S27" s="99">
        <v>0</v>
      </c>
      <c r="T27" s="99">
        <v>0</v>
      </c>
      <c r="U27" s="99">
        <v>0</v>
      </c>
      <c r="V27" s="99">
        <v>0</v>
      </c>
      <c r="W27" s="99">
        <v>0</v>
      </c>
      <c r="X27" s="99">
        <v>0</v>
      </c>
      <c r="Y27" s="99">
        <v>0</v>
      </c>
      <c r="Z27" s="99">
        <v>0</v>
      </c>
      <c r="AA27" s="99">
        <v>0</v>
      </c>
      <c r="AB27" s="99">
        <v>0</v>
      </c>
      <c r="AC27" s="99">
        <v>0</v>
      </c>
      <c r="AD27" s="99">
        <v>0</v>
      </c>
    </row>
    <row r="28" spans="1:30" ht="14.5" x14ac:dyDescent="0.35">
      <c r="A28" s="98">
        <v>24</v>
      </c>
      <c r="B28" s="62" t="s">
        <v>49</v>
      </c>
      <c r="C28" s="99">
        <v>0</v>
      </c>
      <c r="D28" s="99">
        <v>0</v>
      </c>
      <c r="E28" s="99">
        <v>0</v>
      </c>
      <c r="F28" s="99">
        <v>0</v>
      </c>
      <c r="G28" s="99">
        <v>0</v>
      </c>
      <c r="H28" s="99">
        <v>0</v>
      </c>
      <c r="I28" s="99">
        <v>0</v>
      </c>
      <c r="J28" s="99">
        <v>0</v>
      </c>
      <c r="K28" s="99">
        <v>0</v>
      </c>
      <c r="L28" s="99">
        <v>0</v>
      </c>
      <c r="M28" s="99">
        <v>0</v>
      </c>
      <c r="N28" s="99">
        <v>8.2834308672047996E-2</v>
      </c>
      <c r="O28" s="99">
        <v>0</v>
      </c>
      <c r="P28" s="99">
        <v>0</v>
      </c>
      <c r="Q28" s="99">
        <v>0</v>
      </c>
      <c r="R28" s="99">
        <v>0</v>
      </c>
      <c r="S28" s="99">
        <v>0</v>
      </c>
      <c r="T28" s="99">
        <v>0</v>
      </c>
      <c r="U28" s="99">
        <v>0</v>
      </c>
      <c r="V28" s="99">
        <v>0</v>
      </c>
      <c r="W28" s="99">
        <v>0</v>
      </c>
      <c r="X28" s="99">
        <v>0</v>
      </c>
      <c r="Y28" s="99">
        <v>0</v>
      </c>
      <c r="Z28" s="99">
        <v>0</v>
      </c>
      <c r="AA28" s="99">
        <v>0</v>
      </c>
      <c r="AB28" s="99">
        <v>0</v>
      </c>
      <c r="AC28" s="99">
        <v>0</v>
      </c>
      <c r="AD28" s="99">
        <v>0</v>
      </c>
    </row>
    <row r="29" spans="1:30" ht="14.5" x14ac:dyDescent="0.35">
      <c r="A29" s="98">
        <v>25</v>
      </c>
      <c r="B29" s="62" t="s">
        <v>64</v>
      </c>
      <c r="C29" s="99">
        <v>0</v>
      </c>
      <c r="D29" s="99">
        <v>0</v>
      </c>
      <c r="E29" s="99">
        <v>0</v>
      </c>
      <c r="F29" s="99">
        <v>0</v>
      </c>
      <c r="G29" s="99">
        <v>0</v>
      </c>
      <c r="H29" s="99">
        <v>0</v>
      </c>
      <c r="I29" s="99">
        <v>0</v>
      </c>
      <c r="J29" s="99">
        <v>0</v>
      </c>
      <c r="K29" s="99">
        <v>0</v>
      </c>
      <c r="L29" s="99">
        <v>0</v>
      </c>
      <c r="M29" s="99">
        <v>0</v>
      </c>
      <c r="N29" s="99">
        <v>0</v>
      </c>
      <c r="O29" s="99">
        <v>0</v>
      </c>
      <c r="P29" s="99">
        <v>0</v>
      </c>
      <c r="Q29" s="99">
        <v>0</v>
      </c>
      <c r="R29" s="99">
        <v>0</v>
      </c>
      <c r="S29" s="99">
        <v>0</v>
      </c>
      <c r="T29" s="99">
        <v>0</v>
      </c>
      <c r="U29" s="99">
        <v>0</v>
      </c>
      <c r="V29" s="99">
        <v>0</v>
      </c>
      <c r="W29" s="99">
        <v>0</v>
      </c>
      <c r="X29" s="99">
        <v>0</v>
      </c>
      <c r="Y29" s="99">
        <v>0</v>
      </c>
      <c r="Z29" s="99">
        <v>0</v>
      </c>
      <c r="AA29" s="99">
        <v>0</v>
      </c>
      <c r="AB29" s="99">
        <v>3.9963077419949297E-2</v>
      </c>
      <c r="AC29" s="99">
        <v>0</v>
      </c>
      <c r="AD29" s="99">
        <v>0</v>
      </c>
    </row>
    <row r="30" spans="1:30" ht="14.5" x14ac:dyDescent="0.35">
      <c r="A30" s="98">
        <v>26</v>
      </c>
      <c r="B30" s="62" t="s">
        <v>50</v>
      </c>
      <c r="C30" s="99">
        <v>0</v>
      </c>
      <c r="D30" s="99">
        <v>0</v>
      </c>
      <c r="E30" s="99">
        <v>0</v>
      </c>
      <c r="F30" s="99">
        <v>0</v>
      </c>
      <c r="G30" s="99">
        <v>0</v>
      </c>
      <c r="H30" s="99">
        <v>0</v>
      </c>
      <c r="I30" s="99">
        <v>0</v>
      </c>
      <c r="J30" s="99">
        <v>0</v>
      </c>
      <c r="K30" s="99">
        <v>0</v>
      </c>
      <c r="L30" s="99">
        <v>0</v>
      </c>
      <c r="M30" s="99">
        <v>0</v>
      </c>
      <c r="N30" s="99">
        <v>2.8944026794854499E-2</v>
      </c>
      <c r="O30" s="99">
        <v>0</v>
      </c>
      <c r="P30" s="99">
        <v>5.1105361361605903E-3</v>
      </c>
      <c r="Q30" s="99">
        <v>1.5368706273442501E-2</v>
      </c>
      <c r="R30" s="99">
        <v>1.8459941896444301E-2</v>
      </c>
      <c r="S30" s="99">
        <v>6.6842419767682598E-2</v>
      </c>
      <c r="T30" s="99">
        <v>2.1848441441513E-4</v>
      </c>
      <c r="U30" s="99">
        <v>6.9667196888236402E-2</v>
      </c>
      <c r="V30" s="99">
        <v>8.4634697793445901E-2</v>
      </c>
      <c r="W30" s="99">
        <v>0</v>
      </c>
      <c r="X30" s="99">
        <v>0</v>
      </c>
      <c r="Y30" s="99">
        <v>0</v>
      </c>
      <c r="Z30" s="99">
        <v>0</v>
      </c>
      <c r="AA30" s="99">
        <v>0</v>
      </c>
      <c r="AB30" s="99">
        <v>0</v>
      </c>
      <c r="AC30" s="99">
        <v>0</v>
      </c>
      <c r="AD30" s="99">
        <v>0</v>
      </c>
    </row>
    <row r="31" spans="1:30" ht="14.5" x14ac:dyDescent="0.35">
      <c r="A31" s="98">
        <v>27</v>
      </c>
      <c r="B31" s="62" t="s">
        <v>63</v>
      </c>
      <c r="C31" s="99">
        <v>0</v>
      </c>
      <c r="D31" s="99">
        <v>0</v>
      </c>
      <c r="E31" s="99">
        <v>0</v>
      </c>
      <c r="F31" s="99">
        <v>0</v>
      </c>
      <c r="G31" s="99">
        <v>3.3109586840916999E-2</v>
      </c>
      <c r="H31" s="99">
        <v>0.38581429987362498</v>
      </c>
      <c r="I31" s="99">
        <v>0</v>
      </c>
      <c r="J31" s="99">
        <v>0</v>
      </c>
      <c r="K31" s="99">
        <v>0</v>
      </c>
      <c r="L31" s="99">
        <v>0</v>
      </c>
      <c r="M31" s="99">
        <v>0</v>
      </c>
      <c r="N31" s="99">
        <v>0</v>
      </c>
      <c r="O31" s="99">
        <v>0</v>
      </c>
      <c r="P31" s="99">
        <v>0</v>
      </c>
      <c r="Q31" s="99">
        <v>0</v>
      </c>
      <c r="R31" s="99">
        <v>0</v>
      </c>
      <c r="S31" s="99">
        <v>0</v>
      </c>
      <c r="T31" s="99">
        <v>0</v>
      </c>
      <c r="U31" s="99">
        <v>0</v>
      </c>
      <c r="V31" s="99">
        <v>0</v>
      </c>
      <c r="W31" s="99">
        <v>0</v>
      </c>
      <c r="X31" s="99">
        <v>0</v>
      </c>
      <c r="Y31" s="99">
        <v>0</v>
      </c>
      <c r="Z31" s="99">
        <v>0</v>
      </c>
      <c r="AA31" s="99">
        <v>0</v>
      </c>
      <c r="AB31" s="99">
        <v>0</v>
      </c>
      <c r="AC31" s="99">
        <v>0</v>
      </c>
      <c r="AD31" s="99">
        <v>0</v>
      </c>
    </row>
    <row r="32" spans="1:30" ht="14.5" x14ac:dyDescent="0.35">
      <c r="A32" s="97">
        <v>28</v>
      </c>
      <c r="B32" s="38" t="s">
        <v>35</v>
      </c>
      <c r="C32" s="104">
        <v>0</v>
      </c>
      <c r="D32" s="104">
        <v>0</v>
      </c>
      <c r="E32" s="104">
        <v>0</v>
      </c>
      <c r="F32" s="104">
        <v>0.17843897804241801</v>
      </c>
      <c r="G32" s="104">
        <v>0</v>
      </c>
      <c r="H32" s="104">
        <v>0</v>
      </c>
      <c r="I32" s="104">
        <v>0.37412543685439198</v>
      </c>
      <c r="J32" s="104">
        <v>0.22172463691694799</v>
      </c>
      <c r="K32" s="104">
        <v>0.39990259051246402</v>
      </c>
      <c r="L32" s="104">
        <v>0.61784075532913796</v>
      </c>
      <c r="M32" s="104">
        <v>0.29095139465530401</v>
      </c>
      <c r="N32" s="104">
        <v>0.291210037738526</v>
      </c>
      <c r="O32" s="104">
        <v>0.42382605605912599</v>
      </c>
      <c r="P32" s="104">
        <v>0.346282318824228</v>
      </c>
      <c r="Q32" s="104">
        <v>0.36639616581904899</v>
      </c>
      <c r="R32" s="104">
        <v>0.38445204447571901</v>
      </c>
      <c r="S32" s="104">
        <v>0.38457176597402898</v>
      </c>
      <c r="T32" s="104">
        <v>0.250065935622655</v>
      </c>
      <c r="U32" s="104">
        <v>0.25882765059096302</v>
      </c>
      <c r="V32" s="104">
        <v>0.26536530820655402</v>
      </c>
      <c r="W32" s="104">
        <v>0.200655738</v>
      </c>
      <c r="X32" s="104">
        <v>0.23387124000000001</v>
      </c>
      <c r="Y32" s="104">
        <v>0.25485714199999998</v>
      </c>
      <c r="Z32" s="104">
        <v>0.12682071666641301</v>
      </c>
      <c r="AA32" s="104">
        <v>1</v>
      </c>
      <c r="AB32" s="104">
        <v>0</v>
      </c>
      <c r="AC32" s="104">
        <v>0.33333333300000001</v>
      </c>
      <c r="AD32" s="37">
        <v>0</v>
      </c>
    </row>
  </sheetData>
  <conditionalFormatting sqref="C32:AC32 C8:AD31 A3:A32 B3:AD7">
    <cfRule type="cellIs" dxfId="0" priority="1" operator="equal">
      <formula>0</formula>
    </cfRule>
  </conditionalFormatting>
  <pageMargins left="0.7" right="0.7" top="0.75" bottom="0.75" header="0.3" footer="0.3"/>
  <pageSetup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B24DC-1204-4599-8990-6664072416D3}">
  <dimension ref="A1:J30"/>
  <sheetViews>
    <sheetView workbookViewId="0">
      <selection activeCell="M38" sqref="M38"/>
    </sheetView>
  </sheetViews>
  <sheetFormatPr defaultColWidth="11.4140625" defaultRowHeight="14" x14ac:dyDescent="0.3"/>
  <cols>
    <col min="2" max="2" width="23.83203125" bestFit="1" customWidth="1"/>
  </cols>
  <sheetData>
    <row r="1" spans="1:10" x14ac:dyDescent="0.3">
      <c r="A1" s="55" t="s">
        <v>136</v>
      </c>
    </row>
    <row r="3" spans="1:10" x14ac:dyDescent="0.3">
      <c r="H3" s="20" t="s">
        <v>37</v>
      </c>
      <c r="I3" s="20" t="s">
        <v>39</v>
      </c>
    </row>
    <row r="4" spans="1:10" s="2" customFormat="1" x14ac:dyDescent="0.3">
      <c r="A4" s="20" t="s">
        <v>68</v>
      </c>
      <c r="B4" s="22" t="s">
        <v>43</v>
      </c>
      <c r="C4" s="35" t="s">
        <v>71</v>
      </c>
      <c r="D4" s="35" t="s">
        <v>98</v>
      </c>
      <c r="E4" s="35" t="s">
        <v>99</v>
      </c>
      <c r="F4" s="35" t="s">
        <v>74</v>
      </c>
      <c r="G4" s="35" t="s">
        <v>96</v>
      </c>
      <c r="H4" s="22" t="s">
        <v>50</v>
      </c>
      <c r="I4" s="22" t="s">
        <v>50</v>
      </c>
    </row>
    <row r="5" spans="1:10" s="2" customFormat="1" x14ac:dyDescent="0.3">
      <c r="A5" s="21" t="s">
        <v>69</v>
      </c>
      <c r="B5" s="23" t="s">
        <v>126</v>
      </c>
      <c r="C5" s="23"/>
      <c r="D5" s="23"/>
      <c r="E5" s="23"/>
      <c r="F5" s="23"/>
      <c r="G5" s="23"/>
      <c r="H5" s="21"/>
      <c r="I5" s="21"/>
    </row>
    <row r="6" spans="1:10" s="2" customFormat="1" x14ac:dyDescent="0.3">
      <c r="A6" s="19">
        <v>1</v>
      </c>
      <c r="B6" s="62" t="s">
        <v>51</v>
      </c>
      <c r="C6" s="105">
        <v>0.3</v>
      </c>
      <c r="D6" s="106">
        <v>0.5</v>
      </c>
      <c r="E6" s="13">
        <v>0</v>
      </c>
      <c r="F6" s="13">
        <v>0</v>
      </c>
      <c r="G6" s="16">
        <v>0</v>
      </c>
      <c r="H6" s="14">
        <v>0</v>
      </c>
      <c r="I6" s="14">
        <v>0</v>
      </c>
      <c r="J6"/>
    </row>
    <row r="7" spans="1:10" s="2" customFormat="1" x14ac:dyDescent="0.3">
      <c r="A7" s="19">
        <v>2</v>
      </c>
      <c r="B7" s="62" t="s">
        <v>52</v>
      </c>
      <c r="C7" s="105">
        <v>0.3</v>
      </c>
      <c r="D7" s="106">
        <v>0.5</v>
      </c>
      <c r="E7" s="13">
        <v>0</v>
      </c>
      <c r="F7" s="13">
        <v>0</v>
      </c>
      <c r="G7" s="16">
        <v>0</v>
      </c>
      <c r="H7" s="14">
        <v>0</v>
      </c>
      <c r="I7" s="14">
        <v>0</v>
      </c>
      <c r="J7"/>
    </row>
    <row r="8" spans="1:10" x14ac:dyDescent="0.3">
      <c r="A8" s="27">
        <v>3</v>
      </c>
      <c r="B8" s="62" t="s">
        <v>1</v>
      </c>
      <c r="C8" s="106">
        <v>0.8</v>
      </c>
      <c r="D8" s="106">
        <v>0.4</v>
      </c>
      <c r="E8" s="28">
        <v>0.56568542499999996</v>
      </c>
      <c r="F8" s="13">
        <v>0.2</v>
      </c>
      <c r="G8" s="29">
        <v>0.6</v>
      </c>
      <c r="H8" s="14">
        <v>0</v>
      </c>
      <c r="I8" s="14">
        <v>0</v>
      </c>
    </row>
    <row r="9" spans="1:10" x14ac:dyDescent="0.3">
      <c r="A9" s="19">
        <v>4</v>
      </c>
      <c r="B9" s="62" t="s">
        <v>45</v>
      </c>
      <c r="C9" s="105">
        <v>0.3</v>
      </c>
      <c r="D9" s="106">
        <v>0.4</v>
      </c>
      <c r="E9" s="28">
        <v>0.56568542499999996</v>
      </c>
      <c r="F9" s="13">
        <v>0.2</v>
      </c>
      <c r="G9" s="29">
        <v>0.6</v>
      </c>
      <c r="H9" s="14">
        <v>0</v>
      </c>
      <c r="I9" s="14">
        <v>0</v>
      </c>
    </row>
    <row r="10" spans="1:10" x14ac:dyDescent="0.3">
      <c r="A10" s="19">
        <v>5</v>
      </c>
      <c r="B10" s="62" t="s">
        <v>3</v>
      </c>
      <c r="C10" s="105">
        <v>0.3</v>
      </c>
      <c r="D10" s="106">
        <v>0.4</v>
      </c>
      <c r="E10" s="28">
        <v>0.56568542499999996</v>
      </c>
      <c r="F10" s="13">
        <v>0.2</v>
      </c>
      <c r="G10" s="29">
        <v>0.6</v>
      </c>
      <c r="H10" s="14">
        <v>0</v>
      </c>
      <c r="I10" s="14">
        <v>0</v>
      </c>
    </row>
    <row r="11" spans="1:10" x14ac:dyDescent="0.3">
      <c r="A11" s="19">
        <v>6</v>
      </c>
      <c r="B11" s="62" t="s">
        <v>53</v>
      </c>
      <c r="C11" s="106">
        <v>0.8</v>
      </c>
      <c r="D11" s="106">
        <v>0.6</v>
      </c>
      <c r="E11" s="28">
        <v>0.72111025500000003</v>
      </c>
      <c r="F11" s="13">
        <v>0.2</v>
      </c>
      <c r="G11" s="29">
        <v>0.6</v>
      </c>
      <c r="H11" s="14">
        <v>0</v>
      </c>
      <c r="I11" s="14">
        <v>0</v>
      </c>
    </row>
    <row r="12" spans="1:10" x14ac:dyDescent="0.3">
      <c r="A12" s="19">
        <v>7</v>
      </c>
      <c r="B12" s="62" t="s">
        <v>16</v>
      </c>
      <c r="C12" s="106">
        <v>0.15</v>
      </c>
      <c r="D12" s="106">
        <v>0.5</v>
      </c>
      <c r="E12" s="28">
        <v>0.70710678100000002</v>
      </c>
      <c r="F12" s="13">
        <v>0.2</v>
      </c>
      <c r="G12" s="29">
        <v>0.3</v>
      </c>
      <c r="H12" s="14">
        <v>0</v>
      </c>
      <c r="I12" s="14">
        <v>0</v>
      </c>
    </row>
    <row r="13" spans="1:10" x14ac:dyDescent="0.3">
      <c r="A13" s="19">
        <v>8</v>
      </c>
      <c r="B13" s="62" t="s">
        <v>4</v>
      </c>
      <c r="C13" s="105">
        <v>0.3</v>
      </c>
      <c r="D13" s="106">
        <v>0.6</v>
      </c>
      <c r="E13" s="28">
        <v>0.72111025500000003</v>
      </c>
      <c r="F13" s="13">
        <v>0.2</v>
      </c>
      <c r="G13" s="29">
        <v>0.6</v>
      </c>
      <c r="H13" s="14">
        <v>0</v>
      </c>
      <c r="I13" s="14">
        <v>0</v>
      </c>
    </row>
    <row r="14" spans="1:10" x14ac:dyDescent="0.3">
      <c r="A14" s="19">
        <v>9</v>
      </c>
      <c r="B14" s="62" t="s">
        <v>54</v>
      </c>
      <c r="C14" s="106">
        <v>0.5</v>
      </c>
      <c r="D14" s="106">
        <v>0.1</v>
      </c>
      <c r="E14" s="28">
        <v>0.41231056300000002</v>
      </c>
      <c r="F14" s="13">
        <v>0.2</v>
      </c>
      <c r="G14" s="29">
        <v>0.1</v>
      </c>
      <c r="H14" s="30">
        <v>0.1</v>
      </c>
      <c r="I14" s="30">
        <v>0.1</v>
      </c>
    </row>
    <row r="15" spans="1:10" x14ac:dyDescent="0.3">
      <c r="A15" s="19">
        <v>10</v>
      </c>
      <c r="B15" s="62" t="s">
        <v>46</v>
      </c>
      <c r="C15" s="106">
        <v>0.5</v>
      </c>
      <c r="D15" s="106">
        <v>0.7</v>
      </c>
      <c r="E15" s="28">
        <v>0.80622577500000003</v>
      </c>
      <c r="F15" s="13">
        <v>0.2</v>
      </c>
      <c r="G15" s="29">
        <v>0.6</v>
      </c>
      <c r="H15" s="14">
        <v>0</v>
      </c>
      <c r="I15" s="14">
        <v>0</v>
      </c>
    </row>
    <row r="16" spans="1:10" x14ac:dyDescent="0.3">
      <c r="A16" s="19">
        <v>11</v>
      </c>
      <c r="B16" s="62" t="s">
        <v>47</v>
      </c>
      <c r="C16" s="106">
        <v>0.5</v>
      </c>
      <c r="D16" s="106">
        <v>0.238895961617969</v>
      </c>
      <c r="E16" s="28">
        <v>0.473209106379266</v>
      </c>
      <c r="F16" s="13">
        <v>0.2</v>
      </c>
      <c r="G16" s="29">
        <v>0.69474431187458496</v>
      </c>
      <c r="H16" s="30">
        <v>0.1</v>
      </c>
      <c r="I16" s="30">
        <v>0.1</v>
      </c>
    </row>
    <row r="17" spans="1:9" x14ac:dyDescent="0.3">
      <c r="A17" s="19">
        <v>12</v>
      </c>
      <c r="B17" s="62" t="s">
        <v>55</v>
      </c>
      <c r="C17" s="106">
        <v>0.79958583881262901</v>
      </c>
      <c r="D17" s="106">
        <v>0.30041416118737102</v>
      </c>
      <c r="E17" s="28">
        <v>0.500305250952502</v>
      </c>
      <c r="F17" s="13">
        <v>0.2</v>
      </c>
      <c r="G17" s="29">
        <v>0.79965462728580905</v>
      </c>
      <c r="H17" s="30">
        <v>0.1</v>
      </c>
      <c r="I17" s="30">
        <v>0.1</v>
      </c>
    </row>
    <row r="18" spans="1:9" x14ac:dyDescent="0.3">
      <c r="A18" s="19">
        <v>13</v>
      </c>
      <c r="B18" s="62" t="s">
        <v>56</v>
      </c>
      <c r="C18" s="106">
        <v>0.1</v>
      </c>
      <c r="D18" s="106">
        <v>0.3</v>
      </c>
      <c r="E18" s="28">
        <v>0.425056440235486</v>
      </c>
      <c r="F18" s="13">
        <v>0.2</v>
      </c>
      <c r="G18" s="29">
        <v>0.5</v>
      </c>
      <c r="H18" s="30">
        <v>0.1</v>
      </c>
      <c r="I18" s="30">
        <v>0.1</v>
      </c>
    </row>
    <row r="19" spans="1:9" x14ac:dyDescent="0.3">
      <c r="A19" s="19">
        <v>14</v>
      </c>
      <c r="B19" s="62" t="s">
        <v>57</v>
      </c>
      <c r="C19" s="106">
        <v>0.10228623357412001</v>
      </c>
      <c r="D19" s="106">
        <v>0.101179224491546</v>
      </c>
      <c r="E19" s="28">
        <v>0.41287001078229701</v>
      </c>
      <c r="F19" s="13">
        <v>0.2</v>
      </c>
      <c r="G19" s="29">
        <v>0.10114311681117399</v>
      </c>
      <c r="H19" s="30">
        <v>0.1</v>
      </c>
      <c r="I19" s="30">
        <v>0.1</v>
      </c>
    </row>
    <row r="20" spans="1:9" x14ac:dyDescent="0.3">
      <c r="A20" s="19">
        <v>15</v>
      </c>
      <c r="B20" s="62" t="s">
        <v>58</v>
      </c>
      <c r="C20" s="106">
        <v>0.473544334562015</v>
      </c>
      <c r="D20" s="106">
        <v>0.54708866912402998</v>
      </c>
      <c r="E20" s="28">
        <v>0.68487966299229297</v>
      </c>
      <c r="F20" s="13">
        <v>0.2</v>
      </c>
      <c r="G20" s="29">
        <v>0.74869912647523096</v>
      </c>
      <c r="H20" s="30">
        <v>0.1</v>
      </c>
      <c r="I20" s="30">
        <v>0.1</v>
      </c>
    </row>
    <row r="21" spans="1:9" x14ac:dyDescent="0.3">
      <c r="A21" s="19">
        <v>16</v>
      </c>
      <c r="B21" s="62" t="s">
        <v>59</v>
      </c>
      <c r="C21" s="106">
        <v>0.45777821962577803</v>
      </c>
      <c r="D21" s="106">
        <v>0.43623127839839798</v>
      </c>
      <c r="E21" s="28">
        <v>0.61619013660265998</v>
      </c>
      <c r="F21" s="13">
        <v>0.2</v>
      </c>
      <c r="G21" s="29">
        <v>0.3</v>
      </c>
      <c r="H21" s="30">
        <v>0.1</v>
      </c>
      <c r="I21" s="30">
        <v>0.1</v>
      </c>
    </row>
    <row r="22" spans="1:9" x14ac:dyDescent="0.3">
      <c r="A22" s="19">
        <v>17</v>
      </c>
      <c r="B22" s="62" t="s">
        <v>60</v>
      </c>
      <c r="C22" s="106">
        <v>0.8</v>
      </c>
      <c r="D22" s="106">
        <v>0.5</v>
      </c>
      <c r="E22" s="28">
        <v>0.64031242399999999</v>
      </c>
      <c r="F22" s="13">
        <v>0.2</v>
      </c>
      <c r="G22" s="29">
        <v>0.3</v>
      </c>
      <c r="H22" s="30">
        <v>0.1</v>
      </c>
      <c r="I22" s="30">
        <v>0.1</v>
      </c>
    </row>
    <row r="23" spans="1:9" x14ac:dyDescent="0.3">
      <c r="A23" s="19">
        <v>18</v>
      </c>
      <c r="B23" s="62" t="s">
        <v>48</v>
      </c>
      <c r="C23" s="106">
        <v>0.1</v>
      </c>
      <c r="D23" s="106">
        <v>0.1</v>
      </c>
      <c r="E23" s="28">
        <v>0.41231056300000002</v>
      </c>
      <c r="F23" s="13">
        <v>0.2</v>
      </c>
      <c r="G23" s="29">
        <v>0.1</v>
      </c>
      <c r="H23" s="14">
        <v>0</v>
      </c>
      <c r="I23" s="14">
        <v>0</v>
      </c>
    </row>
    <row r="24" spans="1:9" x14ac:dyDescent="0.3">
      <c r="A24" s="19">
        <v>19</v>
      </c>
      <c r="B24" s="62" t="s">
        <v>61</v>
      </c>
      <c r="C24" s="106">
        <v>0.30314960164920302</v>
      </c>
      <c r="D24" s="106">
        <v>0.25236220123690201</v>
      </c>
      <c r="E24" s="28">
        <v>0.49020566829575402</v>
      </c>
      <c r="F24" s="13">
        <v>0.2</v>
      </c>
      <c r="G24" s="29">
        <v>0.350876884822311</v>
      </c>
      <c r="H24" s="15">
        <v>0</v>
      </c>
      <c r="I24" s="15">
        <v>0</v>
      </c>
    </row>
    <row r="25" spans="1:9" x14ac:dyDescent="0.3">
      <c r="A25" s="19">
        <v>20</v>
      </c>
      <c r="B25" s="62" t="s">
        <v>62</v>
      </c>
      <c r="C25" s="106">
        <v>0.25</v>
      </c>
      <c r="D25" s="106">
        <v>0.6</v>
      </c>
      <c r="E25" s="28">
        <v>0.72111025500000003</v>
      </c>
      <c r="F25" s="13">
        <v>0.2</v>
      </c>
      <c r="G25" s="29">
        <v>0.8</v>
      </c>
      <c r="H25" s="15">
        <v>0</v>
      </c>
      <c r="I25" s="15">
        <v>0</v>
      </c>
    </row>
    <row r="26" spans="1:9" x14ac:dyDescent="0.3">
      <c r="A26" s="19">
        <v>21</v>
      </c>
      <c r="B26" s="62" t="s">
        <v>49</v>
      </c>
      <c r="C26" s="106">
        <v>0.25</v>
      </c>
      <c r="D26" s="13">
        <v>0</v>
      </c>
      <c r="E26" s="13">
        <v>0</v>
      </c>
      <c r="F26" s="13">
        <v>0</v>
      </c>
      <c r="G26" s="27">
        <v>0</v>
      </c>
      <c r="H26" s="15">
        <v>0</v>
      </c>
      <c r="I26" s="15">
        <v>0</v>
      </c>
    </row>
    <row r="27" spans="1:9" x14ac:dyDescent="0.3">
      <c r="A27" s="19">
        <v>22</v>
      </c>
      <c r="B27" s="62" t="s">
        <v>64</v>
      </c>
      <c r="C27" s="106">
        <v>0.1</v>
      </c>
      <c r="D27" s="13">
        <v>0</v>
      </c>
      <c r="E27" s="13">
        <v>0</v>
      </c>
      <c r="F27" s="13">
        <v>0</v>
      </c>
      <c r="G27" s="27">
        <v>0</v>
      </c>
      <c r="H27" s="15">
        <v>0</v>
      </c>
      <c r="I27" s="15">
        <v>0</v>
      </c>
    </row>
    <row r="28" spans="1:9" x14ac:dyDescent="0.3">
      <c r="A28" s="19">
        <v>23</v>
      </c>
      <c r="B28" s="62" t="s">
        <v>63</v>
      </c>
      <c r="C28" s="106">
        <v>0.25</v>
      </c>
      <c r="D28" s="13">
        <v>0</v>
      </c>
      <c r="E28" s="13">
        <v>0</v>
      </c>
      <c r="F28" s="13">
        <v>0</v>
      </c>
      <c r="G28" s="27">
        <v>0</v>
      </c>
      <c r="H28" s="15">
        <v>0</v>
      </c>
      <c r="I28" s="15">
        <v>0</v>
      </c>
    </row>
    <row r="29" spans="1:9" x14ac:dyDescent="0.3">
      <c r="A29" s="21">
        <v>24</v>
      </c>
      <c r="B29" s="38" t="s">
        <v>35</v>
      </c>
      <c r="C29" s="108">
        <v>0.1</v>
      </c>
      <c r="D29" s="53">
        <v>0</v>
      </c>
      <c r="E29" s="53">
        <v>0</v>
      </c>
      <c r="F29" s="53">
        <v>0</v>
      </c>
      <c r="G29" s="107">
        <v>0</v>
      </c>
      <c r="H29" s="47">
        <v>0</v>
      </c>
      <c r="I29" s="47">
        <v>0</v>
      </c>
    </row>
    <row r="30" spans="1:9" x14ac:dyDescent="0.3">
      <c r="A30" s="19"/>
    </row>
  </sheetData>
  <pageMargins left="0.75" right="0.75" top="1" bottom="1" header="0.5" footer="0.5"/>
  <pageSetup orientation="portrait" horizontalDpi="4294967292" verticalDpi="429496729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62B1-0CA1-40A3-9C73-B2A8A6C23ABF}">
  <dimension ref="A2:AG107"/>
  <sheetViews>
    <sheetView topLeftCell="A87" workbookViewId="0">
      <selection activeCell="M106" sqref="M106"/>
    </sheetView>
  </sheetViews>
  <sheetFormatPr defaultRowHeight="14" x14ac:dyDescent="0.3"/>
  <cols>
    <col min="1" max="33" width="9.1640625" style="75" customWidth="1"/>
  </cols>
  <sheetData>
    <row r="2" spans="1:33" x14ac:dyDescent="0.3">
      <c r="B2" s="79" t="s">
        <v>111</v>
      </c>
    </row>
    <row r="3" spans="1:33" x14ac:dyDescent="0.3">
      <c r="B3" s="79" t="s">
        <v>143</v>
      </c>
    </row>
    <row r="4" spans="1:33" x14ac:dyDescent="0.3">
      <c r="B4" s="79" t="s">
        <v>110</v>
      </c>
    </row>
    <row r="5" spans="1:33" x14ac:dyDescent="0.3">
      <c r="B5" s="84" t="s">
        <v>113</v>
      </c>
    </row>
    <row r="6" spans="1:33" x14ac:dyDescent="0.3">
      <c r="A6"/>
      <c r="B6"/>
      <c r="C6"/>
      <c r="D6"/>
      <c r="E6"/>
      <c r="F6"/>
      <c r="G6"/>
      <c r="H6"/>
      <c r="I6"/>
      <c r="J6"/>
      <c r="K6"/>
      <c r="L6"/>
      <c r="M6"/>
      <c r="N6"/>
      <c r="O6"/>
      <c r="P6"/>
      <c r="Q6"/>
      <c r="R6"/>
      <c r="S6"/>
      <c r="T6"/>
      <c r="U6"/>
      <c r="V6"/>
      <c r="W6"/>
      <c r="X6"/>
      <c r="Y6"/>
      <c r="Z6"/>
      <c r="AA6"/>
      <c r="AB6"/>
      <c r="AC6"/>
      <c r="AD6"/>
      <c r="AE6"/>
      <c r="AF6"/>
      <c r="AG6"/>
    </row>
    <row r="7" spans="1:33" x14ac:dyDescent="0.3">
      <c r="A7" s="79"/>
      <c r="B7" s="79"/>
      <c r="C7" s="79"/>
      <c r="D7" s="79" t="s">
        <v>106</v>
      </c>
      <c r="E7" s="79"/>
      <c r="F7" s="79"/>
      <c r="G7" s="79" t="s">
        <v>107</v>
      </c>
      <c r="H7" s="79"/>
      <c r="I7" s="79"/>
      <c r="J7" s="79"/>
      <c r="K7" s="79"/>
      <c r="L7" s="79" t="s">
        <v>108</v>
      </c>
      <c r="M7" s="79"/>
      <c r="N7" s="79"/>
      <c r="O7" s="79"/>
      <c r="P7" s="79"/>
      <c r="Q7" s="79" t="s">
        <v>109</v>
      </c>
      <c r="R7" s="79"/>
      <c r="S7" s="79"/>
      <c r="T7" s="79"/>
      <c r="U7" s="79"/>
      <c r="V7" s="79"/>
      <c r="W7" s="79"/>
      <c r="X7" s="79"/>
      <c r="Y7" s="79"/>
      <c r="Z7" s="79"/>
      <c r="AA7" s="79"/>
      <c r="AB7" s="79"/>
      <c r="AC7" s="79"/>
      <c r="AD7" s="79"/>
      <c r="AE7" s="79"/>
      <c r="AF7" s="79"/>
      <c r="AG7" s="79"/>
    </row>
    <row r="8" spans="1:33" x14ac:dyDescent="0.3">
      <c r="A8" s="79"/>
      <c r="B8" s="79"/>
      <c r="C8" s="79"/>
      <c r="D8" s="79"/>
      <c r="E8" s="79"/>
      <c r="F8" s="79"/>
      <c r="G8" s="79" t="s">
        <v>104</v>
      </c>
      <c r="H8" s="79"/>
      <c r="I8" s="79" t="s">
        <v>105</v>
      </c>
      <c r="J8" s="79"/>
      <c r="K8" s="79"/>
      <c r="L8" s="79" t="s">
        <v>104</v>
      </c>
      <c r="M8" s="79"/>
      <c r="N8" s="79" t="s">
        <v>105</v>
      </c>
      <c r="O8" s="79"/>
      <c r="P8" s="79"/>
      <c r="Q8" s="79" t="s">
        <v>104</v>
      </c>
      <c r="R8" s="79"/>
      <c r="S8" s="79" t="s">
        <v>105</v>
      </c>
      <c r="T8" s="79"/>
      <c r="U8" s="79"/>
      <c r="V8" s="79"/>
      <c r="W8" s="79"/>
      <c r="X8" s="79"/>
      <c r="Y8" s="79"/>
      <c r="Z8" s="79"/>
      <c r="AA8" s="79"/>
      <c r="AB8" s="79"/>
      <c r="AC8" s="79"/>
      <c r="AD8" s="79"/>
      <c r="AE8" s="79"/>
      <c r="AF8" s="79"/>
      <c r="AG8" s="79"/>
    </row>
    <row r="9" spans="1:33" x14ac:dyDescent="0.3">
      <c r="A9" s="79"/>
      <c r="B9" s="79"/>
      <c r="C9" s="79"/>
      <c r="D9" s="79" t="s">
        <v>102</v>
      </c>
      <c r="E9" s="79" t="s">
        <v>103</v>
      </c>
      <c r="F9" s="79"/>
      <c r="G9" s="79" t="s">
        <v>102</v>
      </c>
      <c r="H9" s="79" t="s">
        <v>103</v>
      </c>
      <c r="I9" s="79" t="s">
        <v>102</v>
      </c>
      <c r="J9" s="79" t="s">
        <v>103</v>
      </c>
      <c r="K9" s="79"/>
      <c r="L9" s="79" t="s">
        <v>102</v>
      </c>
      <c r="M9" s="79" t="s">
        <v>103</v>
      </c>
      <c r="N9" s="79" t="s">
        <v>102</v>
      </c>
      <c r="O9" s="79" t="s">
        <v>103</v>
      </c>
      <c r="P9" s="79"/>
      <c r="Q9" s="79" t="s">
        <v>102</v>
      </c>
      <c r="R9" s="79" t="s">
        <v>103</v>
      </c>
      <c r="S9" s="79" t="s">
        <v>102</v>
      </c>
      <c r="T9" s="79" t="s">
        <v>103</v>
      </c>
      <c r="U9" s="79"/>
      <c r="V9" s="79"/>
      <c r="W9" s="79"/>
      <c r="X9" s="79"/>
      <c r="Y9" s="79"/>
      <c r="Z9" s="79"/>
      <c r="AA9" s="79"/>
      <c r="AB9" s="79"/>
      <c r="AC9" s="79"/>
      <c r="AD9" s="79"/>
      <c r="AE9" s="79"/>
      <c r="AF9" s="79"/>
      <c r="AG9" s="79"/>
    </row>
    <row r="10" spans="1:33" x14ac:dyDescent="0.3">
      <c r="C10" s="74" t="s">
        <v>45</v>
      </c>
      <c r="D10" s="78">
        <v>2.5601272689205402E-5</v>
      </c>
      <c r="E10" s="77">
        <v>2.7694126795753009</v>
      </c>
      <c r="F10"/>
      <c r="G10" s="78">
        <v>4.4801233422088597E-5</v>
      </c>
      <c r="H10" s="77">
        <v>4.9731572073019965</v>
      </c>
      <c r="I10" s="78">
        <v>2.8082664748140298E-5</v>
      </c>
      <c r="J10" s="77">
        <v>8.8231093277671704</v>
      </c>
      <c r="L10" s="78">
        <v>3.2078743415417503E-5</v>
      </c>
      <c r="M10" s="77">
        <v>2.0103692172868382</v>
      </c>
      <c r="N10" s="78">
        <v>3.03541539755504E-5</v>
      </c>
      <c r="O10" s="77">
        <v>12.915467892269277</v>
      </c>
      <c r="Q10" s="78">
        <v>3.4195076877733997E-5</v>
      </c>
      <c r="R10" s="76">
        <v>5.1130731161994465</v>
      </c>
      <c r="S10" s="78">
        <v>2.8184265262293701E-5</v>
      </c>
      <c r="T10" s="76">
        <v>5.8600464537760955</v>
      </c>
    </row>
    <row r="11" spans="1:33" x14ac:dyDescent="0.3">
      <c r="C11" s="74" t="s">
        <v>3</v>
      </c>
      <c r="D11" s="78">
        <v>7.1554643860307395E-5</v>
      </c>
      <c r="E11" s="77">
        <v>7.0578953335595909</v>
      </c>
      <c r="F11"/>
      <c r="G11" s="78">
        <v>6.8303315283717197E-5</v>
      </c>
      <c r="H11" s="77">
        <v>4.9152304644199418</v>
      </c>
      <c r="I11" s="78">
        <v>1.5528913654462299E-4</v>
      </c>
      <c r="J11" s="77">
        <v>10.392382850320317</v>
      </c>
      <c r="L11" s="78">
        <v>1.03645484771385E-4</v>
      </c>
      <c r="M11" s="77">
        <v>6.4864041409586086</v>
      </c>
      <c r="N11" s="78">
        <v>6.2324378278752596E-5</v>
      </c>
      <c r="O11" s="77">
        <v>14.353809187311672</v>
      </c>
      <c r="Q11" s="78">
        <v>6.7152853589148796E-5</v>
      </c>
      <c r="R11" s="76">
        <v>7.5002898181039948</v>
      </c>
      <c r="S11" s="78">
        <v>1.4062284996510399E-4</v>
      </c>
      <c r="T11" s="76">
        <v>9.5912094828672227</v>
      </c>
    </row>
    <row r="12" spans="1:33" x14ac:dyDescent="0.3">
      <c r="C12" s="74" t="s">
        <v>16</v>
      </c>
      <c r="D12" s="78">
        <v>0.36488482143318401</v>
      </c>
      <c r="E12" s="77">
        <v>0.35127962858356965</v>
      </c>
      <c r="F12"/>
      <c r="G12" s="78">
        <v>0.37470868543186098</v>
      </c>
      <c r="H12" s="77">
        <v>0.31768596410192051</v>
      </c>
      <c r="I12" s="78">
        <v>0.29428562489313798</v>
      </c>
      <c r="J12" s="77">
        <v>0.59217418547745559</v>
      </c>
      <c r="L12" s="78">
        <v>0.38356206667008502</v>
      </c>
      <c r="M12" s="77">
        <v>0.24847741465244352</v>
      </c>
      <c r="N12" s="78">
        <v>0.272332288991048</v>
      </c>
      <c r="O12" s="77">
        <v>0.68692339665862889</v>
      </c>
      <c r="Q12" s="78">
        <v>0.36623825298722201</v>
      </c>
      <c r="R12" s="76">
        <v>0.32901011976026456</v>
      </c>
      <c r="S12" s="78">
        <v>0.30911066134611598</v>
      </c>
      <c r="T12" s="76">
        <v>0.59562390291221967</v>
      </c>
    </row>
    <row r="13" spans="1:33" x14ac:dyDescent="0.3">
      <c r="C13" s="74" t="s">
        <v>54</v>
      </c>
      <c r="D13" s="78">
        <v>-0.10987626144306301</v>
      </c>
      <c r="E13" s="77">
        <v>1.1075580412922224</v>
      </c>
      <c r="F13"/>
      <c r="G13" s="78">
        <v>-0.120750709272908</v>
      </c>
      <c r="H13" s="77">
        <v>0.96907157554932966</v>
      </c>
      <c r="I13" s="78">
        <v>-5.77517655391806E-2</v>
      </c>
      <c r="J13" s="77">
        <v>2.0785639421240485</v>
      </c>
      <c r="L13" s="78">
        <v>-0.126592975438167</v>
      </c>
      <c r="M13" s="77">
        <v>0.87846056138373052</v>
      </c>
      <c r="N13" s="78">
        <v>-7.7749575824699504E-2</v>
      </c>
      <c r="O13" s="77">
        <v>2.2005917618624293</v>
      </c>
      <c r="Q13" s="78">
        <v>-0.10896267218885</v>
      </c>
      <c r="R13" s="76">
        <v>1.0724441809243344</v>
      </c>
      <c r="S13" s="78">
        <v>-9.0278430528377598E-2</v>
      </c>
      <c r="T13" s="76">
        <v>1.8458604281460667</v>
      </c>
    </row>
    <row r="14" spans="1:33" x14ac:dyDescent="0.3">
      <c r="C14" s="74" t="s">
        <v>47</v>
      </c>
      <c r="D14" s="78">
        <v>-0.13102685628529601</v>
      </c>
      <c r="E14" s="77">
        <v>1.1757976794236107</v>
      </c>
      <c r="F14"/>
      <c r="G14" s="78">
        <v>-0.12585981603864799</v>
      </c>
      <c r="H14" s="77">
        <v>1.0214624278683717</v>
      </c>
      <c r="I14" s="78">
        <v>-0.12839953338792501</v>
      </c>
      <c r="J14" s="77">
        <v>1.6873631076399915</v>
      </c>
      <c r="L14" s="78">
        <v>-0.129171657604328</v>
      </c>
      <c r="M14" s="77">
        <v>1.001286913194249</v>
      </c>
      <c r="N14" s="78">
        <v>-0.135158897394307</v>
      </c>
      <c r="O14" s="77">
        <v>1.6831750963675463</v>
      </c>
      <c r="Q14" s="78">
        <v>-0.13005965178631801</v>
      </c>
      <c r="R14" s="76">
        <v>1.1417927902609071</v>
      </c>
      <c r="S14" s="78">
        <v>-0.12424562840566999</v>
      </c>
      <c r="T14" s="76">
        <v>1.6425687928272787</v>
      </c>
    </row>
    <row r="15" spans="1:33" x14ac:dyDescent="0.3">
      <c r="C15" s="74" t="s">
        <v>55</v>
      </c>
      <c r="D15" s="78">
        <v>-0.12911324250404199</v>
      </c>
      <c r="E15" s="77">
        <v>1.8499382388866779</v>
      </c>
      <c r="F15"/>
      <c r="G15" s="78">
        <v>-0.121696275760117</v>
      </c>
      <c r="H15" s="77">
        <v>1.8247517508472562</v>
      </c>
      <c r="I15" s="78">
        <v>-6.2706726896038706E-2</v>
      </c>
      <c r="J15" s="77">
        <v>3.9926043645983675</v>
      </c>
      <c r="L15" s="78">
        <v>-0.14157953122040601</v>
      </c>
      <c r="M15" s="77">
        <v>1.6081512270999669</v>
      </c>
      <c r="N15" s="78">
        <v>-7.3597308925536203E-2</v>
      </c>
      <c r="O15" s="77">
        <v>3.5880141339497635</v>
      </c>
      <c r="Q15" s="78">
        <v>-0.13374621332011899</v>
      </c>
      <c r="R15" s="76">
        <v>1.6886793607167381</v>
      </c>
      <c r="S15" s="78">
        <v>-6.3808900678672203E-2</v>
      </c>
      <c r="T15" s="76">
        <v>4.0504865047323237</v>
      </c>
    </row>
    <row r="16" spans="1:33" x14ac:dyDescent="0.3">
      <c r="C16" s="74" t="s">
        <v>56</v>
      </c>
      <c r="D16" s="78">
        <v>-0.12978144061382699</v>
      </c>
      <c r="E16" s="77">
        <v>1.097887865846517</v>
      </c>
      <c r="F16"/>
      <c r="G16" s="78">
        <v>-0.12916894783216601</v>
      </c>
      <c r="H16" s="77">
        <v>0.990870121549838</v>
      </c>
      <c r="I16" s="78">
        <v>-9.7305025282591107E-2</v>
      </c>
      <c r="J16" s="77">
        <v>1.8956325229072815</v>
      </c>
      <c r="L16" s="78">
        <v>-0.13643780744425699</v>
      </c>
      <c r="M16" s="77">
        <v>0.89055685452990241</v>
      </c>
      <c r="N16" s="78">
        <v>-0.112630146458103</v>
      </c>
      <c r="O16" s="77">
        <v>1.8269283570108985</v>
      </c>
      <c r="Q16" s="78">
        <v>-0.12885935604125001</v>
      </c>
      <c r="R16" s="76">
        <v>1.0149490962099899</v>
      </c>
      <c r="S16" s="78">
        <v>-0.104306736505171</v>
      </c>
      <c r="T16" s="76">
        <v>1.7099256641988794</v>
      </c>
    </row>
    <row r="17" spans="1:33" x14ac:dyDescent="0.3">
      <c r="C17" s="74" t="s">
        <v>57</v>
      </c>
      <c r="D17" s="78">
        <v>-0.119236047483295</v>
      </c>
      <c r="E17" s="77">
        <v>1.1590717223920164</v>
      </c>
      <c r="F17"/>
      <c r="G17" s="78">
        <v>-0.11753783707387599</v>
      </c>
      <c r="H17" s="77">
        <v>1.022267850451646</v>
      </c>
      <c r="I17" s="78">
        <v>-9.9621610221313495E-2</v>
      </c>
      <c r="J17" s="77">
        <v>1.8476776165281008</v>
      </c>
      <c r="L17" s="78">
        <v>-0.125129942909814</v>
      </c>
      <c r="M17" s="77">
        <v>0.94100347394771322</v>
      </c>
      <c r="N17" s="78">
        <v>-9.9366517182508399E-2</v>
      </c>
      <c r="O17" s="77">
        <v>1.8711884419417597</v>
      </c>
      <c r="Q17" s="78">
        <v>-0.11548065447651</v>
      </c>
      <c r="R17" s="76">
        <v>1.0613459450183322</v>
      </c>
      <c r="S17" s="78">
        <v>-0.103591467101721</v>
      </c>
      <c r="T17" s="76">
        <v>1.6785756018904299</v>
      </c>
    </row>
    <row r="18" spans="1:33" x14ac:dyDescent="0.3">
      <c r="C18" s="74" t="s">
        <v>58</v>
      </c>
      <c r="D18" s="78">
        <v>-0.12867065686385001</v>
      </c>
      <c r="E18" s="77">
        <v>1.4830404555645342</v>
      </c>
      <c r="F18"/>
      <c r="G18" s="78">
        <v>-0.120693173585137</v>
      </c>
      <c r="H18" s="77">
        <v>1.3603387174397219</v>
      </c>
      <c r="I18" s="78">
        <v>-0.106964562143596</v>
      </c>
      <c r="J18" s="77">
        <v>2.1110361838188676</v>
      </c>
      <c r="L18" s="78">
        <v>-0.12908439850980299</v>
      </c>
      <c r="M18" s="77">
        <v>1.2916875959944112</v>
      </c>
      <c r="N18" s="78">
        <v>-0.10741086011682301</v>
      </c>
      <c r="O18" s="77">
        <v>2.1203460459582559</v>
      </c>
      <c r="Q18" s="78">
        <v>-0.12093426730147699</v>
      </c>
      <c r="R18" s="76">
        <v>1.5183256736141688</v>
      </c>
      <c r="S18" s="78">
        <v>-0.119988876542361</v>
      </c>
      <c r="T18" s="76">
        <v>1.8740490952887738</v>
      </c>
    </row>
    <row r="19" spans="1:33" x14ac:dyDescent="0.3">
      <c r="C19" s="74" t="s">
        <v>59</v>
      </c>
      <c r="D19" s="78">
        <v>-9.3203088701657305E-2</v>
      </c>
      <c r="E19" s="77">
        <v>1.3852177132745844</v>
      </c>
      <c r="F19"/>
      <c r="G19" s="78">
        <v>-8.9967651370148893E-2</v>
      </c>
      <c r="H19" s="77">
        <v>1.1527400550074998</v>
      </c>
      <c r="I19" s="78">
        <v>-8.3632573893513001E-2</v>
      </c>
      <c r="J19" s="77">
        <v>2.1207509257879997</v>
      </c>
      <c r="L19" s="78">
        <v>-9.5552727194842202E-2</v>
      </c>
      <c r="M19" s="77">
        <v>1.1086614230218774</v>
      </c>
      <c r="N19" s="78">
        <v>-7.3621157743110205E-2</v>
      </c>
      <c r="O19" s="77">
        <v>2.0907255379757412</v>
      </c>
      <c r="Q19" s="78">
        <v>-8.8769285424652705E-2</v>
      </c>
      <c r="R19" s="76">
        <v>1.2954429761601169</v>
      </c>
      <c r="S19" s="78">
        <v>-7.6521495716525001E-2</v>
      </c>
      <c r="T19" s="76">
        <v>1.9216031668896341</v>
      </c>
    </row>
    <row r="20" spans="1:33" x14ac:dyDescent="0.3">
      <c r="C20" s="74" t="s">
        <v>60</v>
      </c>
      <c r="D20" s="78">
        <v>-0.118455623926325</v>
      </c>
      <c r="E20" s="77">
        <v>1.1048425420566799</v>
      </c>
      <c r="F20"/>
      <c r="G20" s="78">
        <v>-0.117287507125811</v>
      </c>
      <c r="H20" s="77">
        <v>0.97506645827273752</v>
      </c>
      <c r="I20" s="78">
        <v>-9.2374148210417895E-2</v>
      </c>
      <c r="J20" s="77">
        <v>1.8066285647272657</v>
      </c>
      <c r="L20" s="78">
        <v>-0.123912451417123</v>
      </c>
      <c r="M20" s="77">
        <v>0.90939792075251757</v>
      </c>
      <c r="N20" s="78">
        <v>-9.3365560836897898E-2</v>
      </c>
      <c r="O20" s="77">
        <v>1.8757865723469143</v>
      </c>
      <c r="Q20" s="78">
        <v>-0.114659125460967</v>
      </c>
      <c r="R20" s="76">
        <v>1.0440584211558175</v>
      </c>
      <c r="S20" s="78">
        <v>-9.5419273524364301E-2</v>
      </c>
      <c r="T20" s="76">
        <v>1.6646632895289717</v>
      </c>
    </row>
    <row r="21" spans="1:33" x14ac:dyDescent="0.3">
      <c r="C21" s="74" t="s">
        <v>48</v>
      </c>
      <c r="D21" s="78">
        <v>-0.12218712217243199</v>
      </c>
      <c r="E21" s="77">
        <v>1.1177938897777997</v>
      </c>
      <c r="F21"/>
      <c r="G21" s="78">
        <v>-0.12495143273163301</v>
      </c>
      <c r="H21" s="77">
        <v>1.0152719047761418</v>
      </c>
      <c r="I21" s="78">
        <v>-7.4401017690327198E-2</v>
      </c>
      <c r="J21" s="77">
        <v>2.0637192660753074</v>
      </c>
      <c r="L21" s="78">
        <v>-0.136423012431097</v>
      </c>
      <c r="M21" s="77">
        <v>0.887643298402088</v>
      </c>
      <c r="N21" s="78">
        <v>-8.3871452456589404E-2</v>
      </c>
      <c r="O21" s="77">
        <v>2.0243301288151936</v>
      </c>
      <c r="Q21" s="78">
        <v>-0.118494946810139</v>
      </c>
      <c r="R21" s="76">
        <v>1.0797369457656869</v>
      </c>
      <c r="S21" s="78">
        <v>-9.2470455662004902E-2</v>
      </c>
      <c r="T21" s="76">
        <v>1.8404963735595157</v>
      </c>
    </row>
    <row r="22" spans="1:33" x14ac:dyDescent="0.3">
      <c r="C22" s="74" t="s">
        <v>61</v>
      </c>
      <c r="D22" s="78">
        <v>-0.11961479016250599</v>
      </c>
      <c r="E22" s="77">
        <v>1.1448018390047239</v>
      </c>
      <c r="F22"/>
      <c r="G22" s="78">
        <v>-0.116381238561877</v>
      </c>
      <c r="H22" s="77">
        <v>1.0079772398178026</v>
      </c>
      <c r="I22" s="78">
        <v>-9.6234085454116006E-2</v>
      </c>
      <c r="J22" s="77">
        <v>1.833811089014854</v>
      </c>
      <c r="L22" s="78">
        <v>-0.124723513909183</v>
      </c>
      <c r="M22" s="77">
        <v>0.91658249463308306</v>
      </c>
      <c r="N22" s="78">
        <v>-0.102315804227988</v>
      </c>
      <c r="O22" s="77">
        <v>1.8064598917212322</v>
      </c>
      <c r="Q22" s="78">
        <v>-0.11420257501831201</v>
      </c>
      <c r="R22" s="76">
        <v>1.0610304893227442</v>
      </c>
      <c r="S22" s="78">
        <v>-0.10733779974694101</v>
      </c>
      <c r="T22" s="76">
        <v>1.6707057606600202</v>
      </c>
    </row>
    <row r="23" spans="1:33" x14ac:dyDescent="0.3">
      <c r="C23" s="74" t="s">
        <v>62</v>
      </c>
      <c r="D23" s="78">
        <v>0.29972631465248001</v>
      </c>
      <c r="E23" s="77">
        <v>0.60698997088676432</v>
      </c>
      <c r="F23"/>
      <c r="G23" s="78">
        <v>0.32253364155980302</v>
      </c>
      <c r="H23" s="77">
        <v>0.50780805726522493</v>
      </c>
      <c r="I23" s="78">
        <v>0.22595963363437399</v>
      </c>
      <c r="J23" s="77">
        <v>0.91809462278135601</v>
      </c>
      <c r="L23" s="78">
        <v>0.330903224291767</v>
      </c>
      <c r="M23" s="77">
        <v>0.47935828291828031</v>
      </c>
      <c r="N23" s="78">
        <v>0.18289599108006099</v>
      </c>
      <c r="O23" s="77">
        <v>1.1968028901019803</v>
      </c>
      <c r="Q23" s="78">
        <v>0.316624690149378</v>
      </c>
      <c r="R23" s="76">
        <v>0.54642984979049614</v>
      </c>
      <c r="S23" s="78">
        <v>0.22569826249791899</v>
      </c>
      <c r="T23" s="76">
        <v>0.97419779503992987</v>
      </c>
    </row>
    <row r="24" spans="1:33" x14ac:dyDescent="0.3">
      <c r="C24" s="74" t="s">
        <v>50</v>
      </c>
      <c r="D24" s="78">
        <v>-0.11959136741741599</v>
      </c>
      <c r="E24" s="77">
        <v>1.0125575523044008</v>
      </c>
      <c r="F24"/>
      <c r="G24" s="78">
        <v>-0.122680609385816</v>
      </c>
      <c r="H24" s="77">
        <v>0.95018151301210751</v>
      </c>
      <c r="I24" s="78">
        <v>-7.7967652448573704E-2</v>
      </c>
      <c r="J24" s="77">
        <v>1.8198286872716867</v>
      </c>
      <c r="L24" s="78">
        <v>-0.133992697859287</v>
      </c>
      <c r="M24" s="77">
        <v>0.84313604636557293</v>
      </c>
      <c r="N24" s="78">
        <v>-8.5402934356434701E-2</v>
      </c>
      <c r="O24" s="77">
        <v>1.8826989668628571</v>
      </c>
      <c r="Q24" s="78">
        <v>-0.11585336348026</v>
      </c>
      <c r="R24" s="76">
        <v>0.97490493712672932</v>
      </c>
      <c r="S24" s="78">
        <v>-9.6724910033584702E-2</v>
      </c>
      <c r="T24" s="76">
        <v>1.6679110591595454</v>
      </c>
    </row>
    <row r="27" spans="1:33" x14ac:dyDescent="0.3">
      <c r="A27" s="79"/>
      <c r="B27" s="79" t="s">
        <v>116</v>
      </c>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row>
    <row r="28" spans="1:33" x14ac:dyDescent="0.3">
      <c r="A28" s="79"/>
      <c r="B28" s="79" t="s">
        <v>118</v>
      </c>
      <c r="C28" s="79"/>
      <c r="D28" s="79"/>
      <c r="E28" s="79"/>
      <c r="F28" s="79"/>
      <c r="G28"/>
      <c r="H28"/>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row>
    <row r="29" spans="1:33" x14ac:dyDescent="0.3">
      <c r="A29" s="79"/>
      <c r="B29" s="84" t="s">
        <v>121</v>
      </c>
      <c r="C29" s="79"/>
      <c r="D29" s="79"/>
      <c r="E29" s="79"/>
      <c r="F29" s="79"/>
      <c r="G29"/>
      <c r="H2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row>
    <row r="30" spans="1:33" x14ac:dyDescent="0.3">
      <c r="A30" s="79"/>
      <c r="B30" s="84" t="s">
        <v>120</v>
      </c>
      <c r="C30" s="79"/>
      <c r="D30" s="79"/>
      <c r="E30" s="79"/>
      <c r="F30" s="79"/>
      <c r="G30"/>
      <c r="H30"/>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row>
    <row r="31" spans="1:33" x14ac:dyDescent="0.3">
      <c r="A31" s="79"/>
      <c r="B31" s="84" t="s">
        <v>122</v>
      </c>
      <c r="C31" s="79"/>
      <c r="D31" s="79"/>
      <c r="E31" s="79"/>
      <c r="F31" s="79"/>
      <c r="G31"/>
      <c r="H31"/>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row>
    <row r="32" spans="1:33" x14ac:dyDescent="0.3">
      <c r="A32" s="79"/>
      <c r="B32" s="79"/>
      <c r="C32" s="79"/>
      <c r="D32" s="79"/>
      <c r="E32" s="79"/>
      <c r="F32" s="79"/>
      <c r="G32"/>
      <c r="H32"/>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row>
    <row r="33" spans="1:33" x14ac:dyDescent="0.3">
      <c r="A33" s="79"/>
      <c r="B33" s="79"/>
      <c r="C33" s="79"/>
      <c r="D33" t="s">
        <v>117</v>
      </c>
      <c r="E33"/>
      <c r="F33"/>
      <c r="G33"/>
      <c r="H33"/>
      <c r="I33" s="79"/>
      <c r="J33" s="79"/>
      <c r="K33" s="79"/>
      <c r="L33" t="s">
        <v>119</v>
      </c>
      <c r="M33"/>
      <c r="N33"/>
      <c r="O33" s="79"/>
      <c r="P33" s="79"/>
      <c r="Q33" s="79"/>
      <c r="R33" s="79"/>
      <c r="S33" s="79"/>
      <c r="T33" s="79"/>
      <c r="U33" s="79"/>
      <c r="V33" s="79"/>
      <c r="W33" s="79"/>
      <c r="X33" s="79"/>
      <c r="Y33" s="79"/>
      <c r="Z33" s="79"/>
      <c r="AA33" s="79"/>
      <c r="AB33" s="79"/>
      <c r="AC33" s="79"/>
      <c r="AD33" s="79"/>
      <c r="AE33" s="79"/>
      <c r="AF33" s="79"/>
      <c r="AG33" s="79"/>
    </row>
    <row r="34" spans="1:33" x14ac:dyDescent="0.3">
      <c r="A34" s="79"/>
      <c r="B34" s="79"/>
      <c r="C34" s="79"/>
      <c r="D34" s="27" t="s">
        <v>114</v>
      </c>
      <c r="E34" s="27" t="s">
        <v>73</v>
      </c>
      <c r="F34" s="27" t="s">
        <v>115</v>
      </c>
      <c r="G34" s="79"/>
      <c r="H34" s="79"/>
      <c r="I34" s="79"/>
      <c r="J34" s="79"/>
      <c r="K34" s="79"/>
      <c r="L34" s="27" t="s">
        <v>114</v>
      </c>
      <c r="M34" s="27" t="s">
        <v>73</v>
      </c>
      <c r="N34" s="27" t="s">
        <v>115</v>
      </c>
      <c r="O34" s="79"/>
      <c r="P34" s="79"/>
      <c r="Q34" s="79"/>
      <c r="R34" s="79"/>
      <c r="S34" s="79"/>
      <c r="T34" s="79"/>
      <c r="U34" s="79"/>
      <c r="V34" s="79"/>
      <c r="W34" s="79"/>
      <c r="X34" s="79"/>
      <c r="Y34" s="79"/>
      <c r="Z34" s="79"/>
      <c r="AA34" s="79"/>
      <c r="AB34" s="79"/>
      <c r="AC34" s="79"/>
      <c r="AD34" s="79"/>
      <c r="AE34" s="79"/>
      <c r="AF34" s="79"/>
      <c r="AG34" s="79"/>
    </row>
    <row r="35" spans="1:33" x14ac:dyDescent="0.3">
      <c r="A35" s="79"/>
      <c r="B35" s="79"/>
      <c r="C35" s="74" t="s">
        <v>45</v>
      </c>
      <c r="D35" s="88">
        <f>I10/G10</f>
        <v>0.62682793760527467</v>
      </c>
      <c r="E35" s="88">
        <f>N10/L10</f>
        <v>0.94623887171845267</v>
      </c>
      <c r="F35" s="88">
        <f>S10/Q10</f>
        <v>0.82421997070127329</v>
      </c>
      <c r="G35" s="79"/>
      <c r="H35" s="79"/>
      <c r="I35" s="79"/>
      <c r="J35" s="79"/>
      <c r="K35" s="74" t="s">
        <v>45</v>
      </c>
      <c r="L35" s="86">
        <f>J10/H10</f>
        <v>1.7741464747610147</v>
      </c>
      <c r="M35" s="86">
        <f>O10/M10</f>
        <v>6.4244258125379492</v>
      </c>
      <c r="N35" s="88">
        <f>T10/R10</f>
        <v>1.146090877364937</v>
      </c>
      <c r="O35" s="79"/>
      <c r="P35" s="79"/>
      <c r="Q35" s="79"/>
      <c r="R35" s="79"/>
      <c r="S35" s="79"/>
      <c r="T35" s="79"/>
      <c r="U35" s="79"/>
      <c r="V35" s="79"/>
      <c r="W35" s="79"/>
      <c r="X35" s="79"/>
      <c r="Y35" s="79"/>
      <c r="Z35" s="79"/>
      <c r="AA35" s="79"/>
      <c r="AB35" s="79"/>
      <c r="AC35" s="79"/>
      <c r="AD35" s="79"/>
      <c r="AE35" s="79"/>
      <c r="AF35" s="79"/>
      <c r="AG35" s="79"/>
    </row>
    <row r="36" spans="1:33" x14ac:dyDescent="0.3">
      <c r="A36" s="79"/>
      <c r="B36" s="79"/>
      <c r="C36" s="74" t="s">
        <v>3</v>
      </c>
      <c r="D36" s="86">
        <f t="shared" ref="D36:D49" si="0">I11/G11</f>
        <v>2.2735226818725489</v>
      </c>
      <c r="E36" s="88">
        <f t="shared" ref="E36:E49" si="1">N11/L11</f>
        <v>0.60132265690323106</v>
      </c>
      <c r="F36" s="86">
        <f t="shared" ref="F36:F49" si="2">S11/Q11</f>
        <v>2.0940710997250487</v>
      </c>
      <c r="G36" s="79"/>
      <c r="H36" s="79"/>
      <c r="I36" s="79"/>
      <c r="J36" s="79"/>
      <c r="K36" s="74" t="s">
        <v>3</v>
      </c>
      <c r="L36" s="86">
        <f t="shared" ref="L36:L49" si="3">J11/H11</f>
        <v>2.1143225990211523</v>
      </c>
      <c r="M36" s="86">
        <f t="shared" ref="M36:M49" si="4">O11/M11</f>
        <v>2.2129070090890699</v>
      </c>
      <c r="N36" s="88">
        <f t="shared" ref="N36:N49" si="5">T11/R11</f>
        <v>1.2787785159603064</v>
      </c>
      <c r="O36" s="79"/>
      <c r="P36" s="79"/>
      <c r="Q36" s="79"/>
      <c r="R36" s="79"/>
      <c r="S36" s="79"/>
      <c r="T36" s="79"/>
      <c r="U36" s="79"/>
      <c r="V36" s="79"/>
      <c r="W36" s="79"/>
      <c r="X36" s="79"/>
      <c r="Y36" s="79"/>
      <c r="Z36" s="79"/>
      <c r="AA36" s="79"/>
      <c r="AB36" s="79"/>
      <c r="AC36" s="79"/>
      <c r="AD36" s="79"/>
      <c r="AE36" s="79"/>
      <c r="AF36" s="79"/>
      <c r="AG36" s="79"/>
    </row>
    <row r="37" spans="1:33" x14ac:dyDescent="0.3">
      <c r="A37" s="79"/>
      <c r="B37" s="79"/>
      <c r="C37" s="74" t="s">
        <v>16</v>
      </c>
      <c r="D37" s="88">
        <f t="shared" si="0"/>
        <v>0.78537177368591427</v>
      </c>
      <c r="E37" s="88">
        <f t="shared" si="1"/>
        <v>0.71000839930631199</v>
      </c>
      <c r="F37" s="88">
        <f t="shared" si="2"/>
        <v>0.84401522458360134</v>
      </c>
      <c r="G37" s="79"/>
      <c r="H37" s="79"/>
      <c r="I37" s="79"/>
      <c r="J37" s="79"/>
      <c r="K37" s="74" t="s">
        <v>16</v>
      </c>
      <c r="L37" s="86">
        <f t="shared" si="3"/>
        <v>1.8640237605444643</v>
      </c>
      <c r="M37" s="86">
        <f t="shared" si="4"/>
        <v>2.7645305212928886</v>
      </c>
      <c r="N37" s="86">
        <f t="shared" si="5"/>
        <v>1.810351314866014</v>
      </c>
      <c r="O37" s="79"/>
      <c r="P37" s="79"/>
      <c r="Q37" s="79"/>
      <c r="R37" s="79"/>
      <c r="S37" s="79"/>
      <c r="T37" s="79"/>
      <c r="U37" s="79"/>
      <c r="V37" s="79"/>
      <c r="W37" s="79"/>
      <c r="X37" s="79"/>
      <c r="Y37" s="79"/>
      <c r="Z37" s="79"/>
      <c r="AA37" s="79"/>
      <c r="AB37" s="79"/>
      <c r="AC37" s="79"/>
      <c r="AD37" s="79"/>
      <c r="AE37" s="79"/>
      <c r="AF37" s="79"/>
      <c r="AG37" s="79"/>
    </row>
    <row r="38" spans="1:33" x14ac:dyDescent="0.3">
      <c r="A38" s="79"/>
      <c r="B38" s="79"/>
      <c r="C38" s="74" t="s">
        <v>54</v>
      </c>
      <c r="D38" s="87">
        <f t="shared" si="0"/>
        <v>0.47827268168384962</v>
      </c>
      <c r="E38" s="88">
        <f t="shared" si="1"/>
        <v>0.61416974801003443</v>
      </c>
      <c r="F38" s="88">
        <f t="shared" si="2"/>
        <v>0.82852621650018299</v>
      </c>
      <c r="G38" s="79"/>
      <c r="H38" s="79"/>
      <c r="I38" s="79"/>
      <c r="J38" s="79"/>
      <c r="K38" s="74" t="s">
        <v>54</v>
      </c>
      <c r="L38" s="86">
        <f t="shared" si="3"/>
        <v>2.1449023937636289</v>
      </c>
      <c r="M38" s="86">
        <f t="shared" si="4"/>
        <v>2.5050547043297069</v>
      </c>
      <c r="N38" s="86">
        <f t="shared" si="5"/>
        <v>1.7211715639644094</v>
      </c>
      <c r="O38" s="79"/>
      <c r="P38" s="79"/>
      <c r="Q38" s="79"/>
      <c r="R38" s="79"/>
      <c r="S38" s="79"/>
      <c r="T38" s="79"/>
      <c r="U38" s="79"/>
      <c r="V38" s="79"/>
      <c r="W38" s="79"/>
      <c r="X38" s="79"/>
      <c r="Y38" s="79"/>
      <c r="Z38" s="79"/>
      <c r="AA38" s="79"/>
      <c r="AB38" s="79"/>
      <c r="AC38" s="79"/>
      <c r="AD38" s="79"/>
      <c r="AE38" s="79"/>
      <c r="AF38" s="79"/>
      <c r="AG38" s="79"/>
    </row>
    <row r="39" spans="1:33" x14ac:dyDescent="0.3">
      <c r="A39" s="79"/>
      <c r="B39" s="79"/>
      <c r="C39" s="74" t="s">
        <v>47</v>
      </c>
      <c r="D39" s="88">
        <f t="shared" si="0"/>
        <v>1.0201789374020469</v>
      </c>
      <c r="E39" s="88">
        <f t="shared" si="1"/>
        <v>1.0463510331989299</v>
      </c>
      <c r="F39" s="88">
        <f t="shared" si="2"/>
        <v>0.95529725552241074</v>
      </c>
      <c r="G39" s="79"/>
      <c r="H39" s="79"/>
      <c r="I39" s="79"/>
      <c r="J39" s="79"/>
      <c r="K39" s="74" t="s">
        <v>47</v>
      </c>
      <c r="L39" s="86">
        <f t="shared" si="3"/>
        <v>1.6519091271533577</v>
      </c>
      <c r="M39" s="86">
        <f t="shared" si="4"/>
        <v>1.6810117801280116</v>
      </c>
      <c r="N39" s="88">
        <f t="shared" si="5"/>
        <v>1.4385874624869028</v>
      </c>
      <c r="O39" s="79"/>
      <c r="P39" s="79"/>
      <c r="Q39" s="79"/>
      <c r="R39" s="79"/>
      <c r="S39" s="79"/>
      <c r="T39" s="79"/>
      <c r="U39" s="79"/>
      <c r="V39" s="79"/>
      <c r="W39" s="79"/>
      <c r="X39" s="79"/>
      <c r="Y39" s="79"/>
      <c r="Z39" s="79"/>
      <c r="AA39" s="79"/>
      <c r="AB39" s="79"/>
      <c r="AC39" s="79"/>
      <c r="AD39" s="79"/>
      <c r="AE39" s="79"/>
      <c r="AF39" s="79"/>
      <c r="AG39" s="79"/>
    </row>
    <row r="40" spans="1:33" x14ac:dyDescent="0.3">
      <c r="A40" s="79"/>
      <c r="B40" s="79"/>
      <c r="C40" s="74" t="s">
        <v>55</v>
      </c>
      <c r="D40" s="87">
        <f t="shared" si="0"/>
        <v>0.51527235738621768</v>
      </c>
      <c r="E40" s="87">
        <f t="shared" si="1"/>
        <v>0.51983014981849684</v>
      </c>
      <c r="F40" s="87">
        <f t="shared" si="2"/>
        <v>0.47708940010097201</v>
      </c>
      <c r="G40" s="79"/>
      <c r="H40" s="79"/>
      <c r="I40" s="79"/>
      <c r="J40" s="79"/>
      <c r="K40" s="74" t="s">
        <v>55</v>
      </c>
      <c r="L40" s="86">
        <f t="shared" si="3"/>
        <v>2.1880260494308605</v>
      </c>
      <c r="M40" s="86">
        <f t="shared" si="4"/>
        <v>2.2311422417779387</v>
      </c>
      <c r="N40" s="86">
        <f t="shared" si="5"/>
        <v>2.3986119561579455</v>
      </c>
      <c r="O40" s="79"/>
      <c r="P40" s="79"/>
      <c r="Q40" s="79"/>
      <c r="R40" s="79"/>
      <c r="S40" s="79"/>
      <c r="T40" s="79"/>
      <c r="U40" s="79"/>
      <c r="V40" s="79"/>
      <c r="W40" s="79"/>
      <c r="X40" s="79"/>
      <c r="Y40" s="79"/>
      <c r="Z40" s="79"/>
      <c r="AA40" s="79"/>
      <c r="AB40" s="79"/>
      <c r="AC40" s="79"/>
      <c r="AD40" s="79"/>
      <c r="AE40" s="79"/>
      <c r="AF40" s="79"/>
      <c r="AG40" s="79"/>
    </row>
    <row r="41" spans="1:33" x14ac:dyDescent="0.3">
      <c r="A41" s="79"/>
      <c r="B41" s="79"/>
      <c r="C41" s="74" t="s">
        <v>56</v>
      </c>
      <c r="D41" s="88">
        <f t="shared" si="0"/>
        <v>0.75331592395583435</v>
      </c>
      <c r="E41" s="88">
        <f t="shared" si="1"/>
        <v>0.82550539742526396</v>
      </c>
      <c r="F41" s="88">
        <f t="shared" si="2"/>
        <v>0.80946187928939117</v>
      </c>
      <c r="G41" s="79"/>
      <c r="H41" s="79"/>
      <c r="I41" s="79"/>
      <c r="J41" s="79"/>
      <c r="K41" s="74" t="s">
        <v>56</v>
      </c>
      <c r="L41" s="86">
        <f t="shared" si="3"/>
        <v>1.9130988831737989</v>
      </c>
      <c r="M41" s="86">
        <f t="shared" si="4"/>
        <v>2.0514449444951808</v>
      </c>
      <c r="N41" s="86">
        <f t="shared" si="5"/>
        <v>1.684740319080102</v>
      </c>
      <c r="O41" s="79"/>
      <c r="P41" s="79"/>
      <c r="Q41" s="79"/>
      <c r="R41" s="79"/>
      <c r="S41" s="79"/>
      <c r="T41" s="79"/>
      <c r="U41" s="79"/>
      <c r="V41" s="79"/>
      <c r="W41" s="79"/>
      <c r="X41" s="79"/>
      <c r="Y41" s="79"/>
      <c r="Z41" s="79"/>
      <c r="AA41" s="79"/>
      <c r="AB41" s="79"/>
      <c r="AC41" s="79"/>
      <c r="AD41" s="79"/>
      <c r="AE41" s="79"/>
      <c r="AF41" s="79"/>
      <c r="AG41" s="79"/>
    </row>
    <row r="42" spans="1:33" x14ac:dyDescent="0.3">
      <c r="A42" s="79"/>
      <c r="B42" s="79"/>
      <c r="C42" s="74" t="s">
        <v>57</v>
      </c>
      <c r="D42" s="88">
        <f t="shared" si="0"/>
        <v>0.84757055856573549</v>
      </c>
      <c r="E42" s="88">
        <f t="shared" si="1"/>
        <v>0.79410662925120734</v>
      </c>
      <c r="F42" s="88">
        <f t="shared" si="2"/>
        <v>0.89704606863647984</v>
      </c>
      <c r="G42" s="79"/>
      <c r="H42" s="79"/>
      <c r="I42" s="79"/>
      <c r="J42" s="79"/>
      <c r="K42" s="74" t="s">
        <v>57</v>
      </c>
      <c r="L42" s="86">
        <f t="shared" si="3"/>
        <v>1.8074300348111136</v>
      </c>
      <c r="M42" s="86">
        <f t="shared" si="4"/>
        <v>1.9885032242141671</v>
      </c>
      <c r="N42" s="86">
        <f t="shared" si="5"/>
        <v>1.5815536958229359</v>
      </c>
      <c r="O42" s="79"/>
      <c r="P42" s="79"/>
      <c r="Q42" s="79"/>
      <c r="R42" s="79"/>
      <c r="S42" s="79"/>
      <c r="T42" s="79"/>
      <c r="U42" s="79"/>
      <c r="V42" s="79"/>
      <c r="W42" s="79"/>
      <c r="X42" s="79"/>
      <c r="Y42" s="79"/>
      <c r="Z42" s="79"/>
      <c r="AA42" s="79"/>
      <c r="AB42" s="79"/>
      <c r="AC42" s="79"/>
      <c r="AD42" s="79"/>
      <c r="AE42" s="79"/>
      <c r="AF42" s="79"/>
      <c r="AG42" s="79"/>
    </row>
    <row r="43" spans="1:33" x14ac:dyDescent="0.3">
      <c r="A43" s="79"/>
      <c r="B43" s="79"/>
      <c r="C43" s="74" t="s">
        <v>58</v>
      </c>
      <c r="D43" s="88">
        <f t="shared" si="0"/>
        <v>0.88625196410253615</v>
      </c>
      <c r="E43" s="88">
        <f t="shared" si="1"/>
        <v>0.83209792474391053</v>
      </c>
      <c r="F43" s="88">
        <f t="shared" si="2"/>
        <v>0.9921826064670386</v>
      </c>
      <c r="G43" s="79"/>
      <c r="H43" s="79"/>
      <c r="I43" s="79"/>
      <c r="J43" s="79"/>
      <c r="K43" s="74" t="s">
        <v>58</v>
      </c>
      <c r="L43" s="86">
        <f t="shared" si="3"/>
        <v>1.5518459900869579</v>
      </c>
      <c r="M43" s="86">
        <f t="shared" si="4"/>
        <v>1.6415316308165819</v>
      </c>
      <c r="N43" s="88">
        <f t="shared" si="5"/>
        <v>1.234286640775726</v>
      </c>
      <c r="O43" s="79"/>
      <c r="P43" s="79"/>
      <c r="Q43" s="79"/>
      <c r="R43" s="79"/>
      <c r="S43" s="79"/>
      <c r="T43" s="79"/>
      <c r="U43" s="79"/>
      <c r="V43" s="79"/>
      <c r="W43" s="79"/>
      <c r="X43" s="79"/>
      <c r="Y43" s="79"/>
      <c r="Z43" s="79"/>
      <c r="AA43" s="79"/>
      <c r="AB43" s="79"/>
      <c r="AC43" s="79"/>
      <c r="AD43" s="79"/>
      <c r="AE43" s="79"/>
      <c r="AF43" s="79"/>
      <c r="AG43" s="79"/>
    </row>
    <row r="44" spans="1:33" x14ac:dyDescent="0.3">
      <c r="A44" s="79"/>
      <c r="B44" s="79"/>
      <c r="C44" s="74" t="s">
        <v>59</v>
      </c>
      <c r="D44" s="88">
        <f t="shared" si="0"/>
        <v>0.92958494102983935</v>
      </c>
      <c r="E44" s="88">
        <f t="shared" si="1"/>
        <v>0.77047678181899315</v>
      </c>
      <c r="F44" s="88">
        <f t="shared" si="2"/>
        <v>0.86202671735457848</v>
      </c>
      <c r="G44" s="79"/>
      <c r="H44" s="79"/>
      <c r="I44" s="79"/>
      <c r="J44" s="79"/>
      <c r="K44" s="74" t="s">
        <v>59</v>
      </c>
      <c r="L44" s="86">
        <f t="shared" si="3"/>
        <v>1.8397477528220376</v>
      </c>
      <c r="M44" s="86">
        <f t="shared" si="4"/>
        <v>1.8858106673154122</v>
      </c>
      <c r="N44" s="86">
        <f t="shared" si="5"/>
        <v>1.4833560428769685</v>
      </c>
      <c r="O44" s="79"/>
      <c r="P44" s="79"/>
      <c r="Q44" s="79"/>
      <c r="R44" s="79"/>
      <c r="S44" s="79"/>
      <c r="T44" s="79"/>
      <c r="U44" s="79"/>
      <c r="V44" s="79"/>
      <c r="W44" s="79"/>
      <c r="X44" s="79"/>
      <c r="Y44" s="79"/>
      <c r="Z44" s="79"/>
      <c r="AA44" s="79"/>
      <c r="AB44" s="79"/>
      <c r="AC44" s="79"/>
      <c r="AD44" s="79"/>
      <c r="AE44" s="79"/>
      <c r="AF44" s="79"/>
      <c r="AG44" s="79"/>
    </row>
    <row r="45" spans="1:33" x14ac:dyDescent="0.3">
      <c r="A45" s="79"/>
      <c r="B45" s="79"/>
      <c r="C45" s="74" t="s">
        <v>60</v>
      </c>
      <c r="D45" s="88">
        <f t="shared" si="0"/>
        <v>0.78758727569621501</v>
      </c>
      <c r="E45" s="88">
        <f t="shared" si="1"/>
        <v>0.75348005603249701</v>
      </c>
      <c r="F45" s="88">
        <f t="shared" si="2"/>
        <v>0.8321995579570991</v>
      </c>
      <c r="G45" s="79"/>
      <c r="H45" s="79"/>
      <c r="I45" s="79"/>
      <c r="J45" s="79"/>
      <c r="K45" s="74" t="s">
        <v>60</v>
      </c>
      <c r="L45" s="86">
        <f t="shared" si="3"/>
        <v>1.8528260811345953</v>
      </c>
      <c r="M45" s="86">
        <f t="shared" si="4"/>
        <v>2.0626686399224665</v>
      </c>
      <c r="N45" s="86">
        <f t="shared" si="5"/>
        <v>1.5944158447437433</v>
      </c>
      <c r="O45" s="79"/>
      <c r="P45" s="79"/>
      <c r="Q45" s="79"/>
      <c r="R45" s="79"/>
      <c r="S45" s="79"/>
      <c r="T45" s="79"/>
      <c r="U45" s="79"/>
      <c r="V45" s="79"/>
      <c r="W45" s="79"/>
      <c r="X45" s="79"/>
      <c r="Y45" s="79"/>
      <c r="Z45" s="79"/>
      <c r="AA45" s="79"/>
      <c r="AB45" s="79"/>
      <c r="AC45" s="79"/>
      <c r="AD45" s="79"/>
      <c r="AE45" s="79"/>
      <c r="AF45" s="79"/>
      <c r="AG45" s="79"/>
    </row>
    <row r="46" spans="1:33" x14ac:dyDescent="0.3">
      <c r="A46" s="79"/>
      <c r="B46" s="79"/>
      <c r="C46" s="74" t="s">
        <v>48</v>
      </c>
      <c r="D46" s="88">
        <f t="shared" si="0"/>
        <v>0.59543949247963812</v>
      </c>
      <c r="E46" s="88">
        <f t="shared" si="1"/>
        <v>0.61478962355379929</v>
      </c>
      <c r="F46" s="88">
        <f t="shared" si="2"/>
        <v>0.78037467547175343</v>
      </c>
      <c r="G46" s="79"/>
      <c r="H46" s="79"/>
      <c r="I46" s="79"/>
      <c r="J46" s="79"/>
      <c r="K46" s="74" t="s">
        <v>48</v>
      </c>
      <c r="L46" s="86">
        <f t="shared" si="3"/>
        <v>2.0326764252679075</v>
      </c>
      <c r="M46" s="86">
        <f t="shared" si="4"/>
        <v>2.2805671292278547</v>
      </c>
      <c r="N46" s="86">
        <f t="shared" si="5"/>
        <v>1.7045784908789448</v>
      </c>
      <c r="O46" s="79"/>
      <c r="P46" s="79"/>
      <c r="Q46" s="79"/>
      <c r="R46" s="79"/>
      <c r="S46" s="79"/>
      <c r="T46" s="79"/>
      <c r="U46" s="79"/>
      <c r="V46" s="79"/>
      <c r="W46" s="79"/>
      <c r="X46" s="79"/>
      <c r="Y46" s="79"/>
      <c r="Z46" s="79"/>
      <c r="AA46" s="79"/>
      <c r="AB46" s="79"/>
      <c r="AC46" s="79"/>
      <c r="AD46" s="79"/>
      <c r="AE46" s="79"/>
      <c r="AF46" s="79"/>
      <c r="AG46" s="79"/>
    </row>
    <row r="47" spans="1:33" x14ac:dyDescent="0.3">
      <c r="A47" s="79"/>
      <c r="B47" s="79"/>
      <c r="C47" s="74" t="s">
        <v>61</v>
      </c>
      <c r="D47" s="88">
        <f t="shared" si="0"/>
        <v>0.8268865896538018</v>
      </c>
      <c r="E47" s="88">
        <f t="shared" si="1"/>
        <v>0.82034093669369279</v>
      </c>
      <c r="F47" s="88">
        <f t="shared" si="2"/>
        <v>0.93988948786601134</v>
      </c>
      <c r="G47" s="79"/>
      <c r="H47" s="79"/>
      <c r="I47" s="79"/>
      <c r="J47" s="79"/>
      <c r="K47" s="74" t="s">
        <v>61</v>
      </c>
      <c r="L47" s="86">
        <f t="shared" si="3"/>
        <v>1.8192981116779237</v>
      </c>
      <c r="M47" s="86">
        <f t="shared" si="4"/>
        <v>1.9708644909745694</v>
      </c>
      <c r="N47" s="86">
        <f t="shared" si="5"/>
        <v>1.574606740779364</v>
      </c>
      <c r="O47" s="79"/>
      <c r="P47" s="79"/>
      <c r="Q47" s="79"/>
      <c r="R47" s="79"/>
      <c r="S47" s="79"/>
      <c r="T47" s="79"/>
      <c r="U47" s="79"/>
      <c r="V47" s="79"/>
      <c r="W47" s="79"/>
      <c r="X47" s="79"/>
      <c r="Y47" s="79"/>
      <c r="Z47" s="79"/>
      <c r="AA47" s="79"/>
      <c r="AB47" s="79"/>
      <c r="AC47" s="79"/>
      <c r="AD47" s="79"/>
      <c r="AE47" s="79"/>
      <c r="AF47" s="79"/>
      <c r="AG47" s="79"/>
    </row>
    <row r="48" spans="1:33" x14ac:dyDescent="0.3">
      <c r="A48" s="79"/>
      <c r="B48" s="79"/>
      <c r="C48" s="74" t="s">
        <v>62</v>
      </c>
      <c r="D48" s="88">
        <f t="shared" si="0"/>
        <v>0.70057694614928212</v>
      </c>
      <c r="E48" s="88">
        <f t="shared" si="1"/>
        <v>0.55271746436292291</v>
      </c>
      <c r="F48" s="88">
        <f t="shared" si="2"/>
        <v>0.71282584561374063</v>
      </c>
      <c r="G48" s="79"/>
      <c r="H48" s="79"/>
      <c r="I48" s="79"/>
      <c r="J48" s="79"/>
      <c r="K48" s="74" t="s">
        <v>62</v>
      </c>
      <c r="L48" s="86">
        <f t="shared" si="3"/>
        <v>1.8079559976375896</v>
      </c>
      <c r="M48" s="86">
        <f t="shared" si="4"/>
        <v>2.4966771885446026</v>
      </c>
      <c r="N48" s="86">
        <f t="shared" si="5"/>
        <v>1.782841467049141</v>
      </c>
      <c r="O48" s="79"/>
      <c r="P48" s="79"/>
      <c r="Q48" s="79"/>
      <c r="R48" s="79"/>
      <c r="S48" s="79"/>
      <c r="T48" s="79"/>
      <c r="U48" s="79"/>
      <c r="V48" s="79"/>
      <c r="W48" s="79"/>
      <c r="X48" s="79"/>
      <c r="Y48" s="79"/>
      <c r="Z48" s="79"/>
      <c r="AA48" s="79"/>
      <c r="AB48" s="79"/>
      <c r="AC48" s="79"/>
      <c r="AD48" s="79"/>
      <c r="AE48" s="79"/>
      <c r="AF48" s="79"/>
      <c r="AG48" s="79"/>
    </row>
    <row r="49" spans="1:33" x14ac:dyDescent="0.3">
      <c r="A49" s="79"/>
      <c r="B49" s="79"/>
      <c r="C49" s="74" t="s">
        <v>50</v>
      </c>
      <c r="D49" s="88">
        <f t="shared" si="0"/>
        <v>0.6355336253944962</v>
      </c>
      <c r="E49" s="88">
        <f t="shared" si="1"/>
        <v>0.63737006359944304</v>
      </c>
      <c r="F49" s="88">
        <f t="shared" si="2"/>
        <v>0.83489082343358501</v>
      </c>
      <c r="G49" s="79"/>
      <c r="H49" s="79"/>
      <c r="I49" s="79"/>
      <c r="J49" s="79"/>
      <c r="K49" s="74" t="s">
        <v>50</v>
      </c>
      <c r="L49" s="86">
        <f t="shared" si="3"/>
        <v>1.91524320600889</v>
      </c>
      <c r="M49" s="86">
        <f t="shared" si="4"/>
        <v>2.2329717427910123</v>
      </c>
      <c r="N49" s="86">
        <f t="shared" si="5"/>
        <v>1.7108448174190867</v>
      </c>
      <c r="O49" s="79"/>
      <c r="P49" s="79"/>
      <c r="Q49" s="79"/>
      <c r="R49" s="79"/>
      <c r="S49" s="79"/>
      <c r="T49" s="79"/>
      <c r="U49" s="79"/>
      <c r="V49" s="79"/>
      <c r="W49" s="79"/>
      <c r="X49" s="79"/>
      <c r="Y49" s="79"/>
      <c r="Z49" s="79"/>
      <c r="AA49" s="79"/>
      <c r="AB49" s="79"/>
      <c r="AC49" s="79"/>
      <c r="AD49" s="79"/>
      <c r="AE49" s="79"/>
      <c r="AF49" s="79"/>
      <c r="AG49" s="79"/>
    </row>
    <row r="52" spans="1:33" ht="15.5" x14ac:dyDescent="0.35">
      <c r="C52" s="116" t="s">
        <v>144</v>
      </c>
      <c r="D52" s="117"/>
      <c r="E52" s="117"/>
      <c r="F52" s="117"/>
      <c r="G52" s="117"/>
      <c r="H52" s="117"/>
      <c r="I52" s="117"/>
      <c r="J52" s="116" t="s">
        <v>145</v>
      </c>
      <c r="K52" s="117"/>
      <c r="L52" s="117"/>
      <c r="M52" s="117"/>
      <c r="N52" s="117"/>
      <c r="O52" s="117"/>
      <c r="P52" s="116" t="s">
        <v>146</v>
      </c>
      <c r="Q52" s="117"/>
      <c r="R52" s="117"/>
      <c r="S52" s="117"/>
      <c r="T52" s="117"/>
      <c r="U52" s="117"/>
    </row>
    <row r="53" spans="1:33" ht="15.5" x14ac:dyDescent="0.35">
      <c r="C53" s="117" t="s">
        <v>169</v>
      </c>
      <c r="D53" s="117"/>
      <c r="E53" s="117"/>
      <c r="F53" s="117"/>
      <c r="G53" s="117"/>
      <c r="H53" s="117"/>
      <c r="I53" s="117"/>
      <c r="J53" s="117" t="s">
        <v>170</v>
      </c>
      <c r="K53" s="117"/>
      <c r="L53" s="117"/>
      <c r="M53" s="117"/>
      <c r="N53" s="117"/>
      <c r="O53" s="117"/>
      <c r="P53" s="117" t="s">
        <v>170</v>
      </c>
      <c r="Q53" s="117"/>
      <c r="R53" s="117"/>
      <c r="S53" s="117"/>
      <c r="T53" s="117"/>
      <c r="U53" s="117"/>
    </row>
    <row r="54" spans="1:33" ht="15.5" x14ac:dyDescent="0.35">
      <c r="C54" s="118"/>
      <c r="D54" s="117"/>
      <c r="E54" s="117"/>
      <c r="F54" s="117"/>
      <c r="G54" s="117"/>
      <c r="H54" s="117"/>
      <c r="I54" s="117"/>
      <c r="J54" s="117" t="s">
        <v>147</v>
      </c>
      <c r="K54" s="117"/>
      <c r="L54" s="117"/>
      <c r="M54" s="117"/>
      <c r="N54" s="117"/>
      <c r="O54" s="117"/>
      <c r="P54" s="117" t="s">
        <v>148</v>
      </c>
      <c r="Q54" s="117"/>
      <c r="R54" s="117"/>
      <c r="S54" s="117"/>
      <c r="T54" s="117"/>
      <c r="U54" s="117"/>
    </row>
    <row r="78" spans="3:21" ht="15.5" x14ac:dyDescent="0.35">
      <c r="C78" s="116" t="s">
        <v>149</v>
      </c>
      <c r="D78" s="117"/>
      <c r="E78" s="117"/>
      <c r="F78" s="117"/>
      <c r="G78" s="117"/>
      <c r="H78" s="117"/>
      <c r="I78" s="117"/>
      <c r="J78" s="116" t="s">
        <v>150</v>
      </c>
      <c r="K78" s="117"/>
      <c r="L78" s="117"/>
      <c r="M78" s="117"/>
      <c r="N78" s="117"/>
      <c r="O78" s="117"/>
      <c r="P78" s="116" t="s">
        <v>151</v>
      </c>
      <c r="Q78" s="117"/>
      <c r="R78" s="117"/>
      <c r="S78" s="117"/>
      <c r="T78" s="117"/>
      <c r="U78" s="117"/>
    </row>
    <row r="79" spans="3:21" ht="15.5" x14ac:dyDescent="0.35">
      <c r="C79" s="117" t="s">
        <v>170</v>
      </c>
      <c r="D79" s="117"/>
      <c r="E79" s="117"/>
      <c r="F79" s="117"/>
      <c r="G79" s="117"/>
      <c r="H79" s="117"/>
      <c r="I79" s="117"/>
      <c r="J79" s="117" t="s">
        <v>170</v>
      </c>
      <c r="K79" s="117"/>
      <c r="L79" s="117"/>
      <c r="M79" s="117"/>
      <c r="N79" s="117"/>
      <c r="O79" s="117"/>
      <c r="P79" s="117" t="s">
        <v>170</v>
      </c>
      <c r="Q79" s="117"/>
      <c r="R79" s="117"/>
      <c r="S79" s="117"/>
      <c r="T79" s="117"/>
      <c r="U79" s="117"/>
    </row>
    <row r="80" spans="3:21" ht="15.5" x14ac:dyDescent="0.35">
      <c r="C80" s="117" t="s">
        <v>152</v>
      </c>
      <c r="D80" s="117"/>
      <c r="E80" s="117"/>
      <c r="F80" s="117"/>
      <c r="G80" s="117"/>
      <c r="H80" s="117"/>
      <c r="I80" s="117"/>
      <c r="J80" s="117" t="s">
        <v>153</v>
      </c>
      <c r="K80" s="117"/>
      <c r="L80" s="117"/>
      <c r="M80" s="117"/>
      <c r="N80" s="117"/>
      <c r="O80" s="117"/>
      <c r="P80" s="117" t="s">
        <v>154</v>
      </c>
      <c r="Q80" s="117"/>
      <c r="R80" s="117"/>
      <c r="S80" s="117"/>
      <c r="T80" s="117"/>
      <c r="U80" s="117"/>
    </row>
    <row r="104" spans="3:7" ht="15.5" x14ac:dyDescent="0.35">
      <c r="C104" s="116" t="s">
        <v>155</v>
      </c>
      <c r="D104" s="117"/>
      <c r="E104" s="117"/>
      <c r="F104" s="117"/>
      <c r="G104" s="117"/>
    </row>
    <row r="105" spans="3:7" ht="15.5" x14ac:dyDescent="0.35">
      <c r="C105" s="117" t="s">
        <v>170</v>
      </c>
      <c r="D105" s="117"/>
      <c r="E105" s="117"/>
      <c r="F105" s="117"/>
      <c r="G105" s="117"/>
    </row>
    <row r="106" spans="3:7" ht="15.5" x14ac:dyDescent="0.35">
      <c r="C106" s="117" t="s">
        <v>156</v>
      </c>
      <c r="D106" s="117"/>
      <c r="E106" s="117"/>
      <c r="F106" s="117"/>
      <c r="G106" s="117"/>
    </row>
    <row r="107" spans="3:7" ht="15.5" x14ac:dyDescent="0.35">
      <c r="C107" s="117"/>
      <c r="D107" s="117"/>
      <c r="E107" s="117"/>
      <c r="F107" s="117"/>
      <c r="G107" s="1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82DC-2D41-4834-8956-4E44CC253833}">
  <dimension ref="A2:AF108"/>
  <sheetViews>
    <sheetView tabSelected="1" workbookViewId="0">
      <selection activeCell="F38" sqref="F38"/>
    </sheetView>
  </sheetViews>
  <sheetFormatPr defaultRowHeight="14" x14ac:dyDescent="0.3"/>
  <cols>
    <col min="1" max="32" width="9.1640625" style="79" customWidth="1"/>
  </cols>
  <sheetData>
    <row r="2" spans="2:20" x14ac:dyDescent="0.3">
      <c r="B2" s="79" t="s">
        <v>112</v>
      </c>
    </row>
    <row r="3" spans="2:20" x14ac:dyDescent="0.3">
      <c r="B3" s="79" t="s">
        <v>143</v>
      </c>
    </row>
    <row r="4" spans="2:20" x14ac:dyDescent="0.3">
      <c r="B4" s="79" t="s">
        <v>110</v>
      </c>
    </row>
    <row r="5" spans="2:20" x14ac:dyDescent="0.3">
      <c r="B5" s="79" t="s">
        <v>113</v>
      </c>
    </row>
    <row r="7" spans="2:20" x14ac:dyDescent="0.3">
      <c r="D7" s="79" t="s">
        <v>106</v>
      </c>
      <c r="G7" s="79" t="s">
        <v>107</v>
      </c>
      <c r="L7" s="79" t="s">
        <v>108</v>
      </c>
      <c r="Q7" s="79" t="s">
        <v>109</v>
      </c>
    </row>
    <row r="8" spans="2:20" x14ac:dyDescent="0.3">
      <c r="G8" s="79" t="s">
        <v>104</v>
      </c>
      <c r="I8" s="79" t="s">
        <v>105</v>
      </c>
      <c r="L8" s="79" t="s">
        <v>104</v>
      </c>
      <c r="N8" s="79" t="s">
        <v>105</v>
      </c>
      <c r="Q8" s="79" t="s">
        <v>104</v>
      </c>
      <c r="S8" s="79" t="s">
        <v>105</v>
      </c>
    </row>
    <row r="9" spans="2:20" x14ac:dyDescent="0.3">
      <c r="D9" s="79" t="s">
        <v>102</v>
      </c>
      <c r="E9" s="79" t="s">
        <v>103</v>
      </c>
      <c r="G9" s="79" t="s">
        <v>102</v>
      </c>
      <c r="H9" s="79" t="s">
        <v>103</v>
      </c>
      <c r="I9" s="79" t="s">
        <v>102</v>
      </c>
      <c r="J9" s="79" t="s">
        <v>103</v>
      </c>
      <c r="L9" s="79" t="s">
        <v>102</v>
      </c>
      <c r="M9" s="79" t="s">
        <v>103</v>
      </c>
      <c r="N9" s="79" t="s">
        <v>102</v>
      </c>
      <c r="O9" s="79" t="s">
        <v>103</v>
      </c>
      <c r="Q9" s="79" t="s">
        <v>102</v>
      </c>
      <c r="R9" s="79" t="s">
        <v>103</v>
      </c>
      <c r="S9" s="79" t="s">
        <v>102</v>
      </c>
      <c r="T9" s="79" t="s">
        <v>103</v>
      </c>
    </row>
    <row r="10" spans="2:20" x14ac:dyDescent="0.3">
      <c r="C10" s="74" t="s">
        <v>45</v>
      </c>
      <c r="D10" s="80">
        <v>-2.4005894617642E-2</v>
      </c>
      <c r="E10" s="81">
        <v>2.9814946838174849</v>
      </c>
      <c r="G10" s="82">
        <v>-1.71363502841652E-2</v>
      </c>
      <c r="H10" s="81">
        <v>2.182667848519332</v>
      </c>
      <c r="I10" s="80">
        <v>-5.5967389185289602E-2</v>
      </c>
      <c r="J10" s="81">
        <v>2.975607800821543</v>
      </c>
      <c r="L10" s="82">
        <v>-2.1220592052848999E-2</v>
      </c>
      <c r="M10" s="81">
        <v>2.5899369202540403</v>
      </c>
      <c r="N10" s="80">
        <v>-4.5119950834256899E-2</v>
      </c>
      <c r="O10" s="81">
        <v>3.2201415606986195</v>
      </c>
      <c r="Q10" s="80">
        <v>-1.9152569590480201E-2</v>
      </c>
      <c r="R10" s="81">
        <v>2.1978337799404701</v>
      </c>
      <c r="S10" s="80">
        <v>-5.5781443428088398E-2</v>
      </c>
      <c r="T10" s="81">
        <v>3.2710034797888494</v>
      </c>
    </row>
    <row r="11" spans="2:20" x14ac:dyDescent="0.3">
      <c r="C11" s="74" t="s">
        <v>3</v>
      </c>
      <c r="D11" s="80">
        <v>-2.2797619183334401E-2</v>
      </c>
      <c r="E11" s="81">
        <v>2.3829969265161499</v>
      </c>
      <c r="G11" s="82">
        <v>-2.13714757476395E-2</v>
      </c>
      <c r="H11" s="81">
        <v>2.6732630481556772</v>
      </c>
      <c r="I11" s="80">
        <v>-6.7519426705827598E-2</v>
      </c>
      <c r="J11" s="81">
        <v>2.7471989383126298</v>
      </c>
      <c r="L11" s="82">
        <v>-2.3533216050104201E-2</v>
      </c>
      <c r="M11" s="81">
        <v>2.4689030168960793</v>
      </c>
      <c r="N11" s="80">
        <v>-6.1621764602890199E-2</v>
      </c>
      <c r="O11" s="81">
        <v>2.8910114732825325</v>
      </c>
      <c r="Q11" s="80">
        <v>-2.2549989967304E-2</v>
      </c>
      <c r="R11" s="81">
        <v>2.3792703447060788</v>
      </c>
      <c r="S11" s="80">
        <v>-5.8142385706483099E-2</v>
      </c>
      <c r="T11" s="81">
        <v>3.0879788076043693</v>
      </c>
    </row>
    <row r="12" spans="2:20" x14ac:dyDescent="0.3">
      <c r="C12" s="74" t="s">
        <v>16</v>
      </c>
      <c r="D12" s="80">
        <v>-0.22095374480338401</v>
      </c>
      <c r="E12" s="81">
        <v>1.2419072234631996</v>
      </c>
      <c r="G12" s="82">
        <v>-0.24931835957805501</v>
      </c>
      <c r="H12" s="81">
        <v>1.09836598584067</v>
      </c>
      <c r="I12" s="80">
        <v>-0.129112489430392</v>
      </c>
      <c r="J12" s="81">
        <v>2.7918289013663751</v>
      </c>
      <c r="L12" s="82">
        <v>-0.26373742457127702</v>
      </c>
      <c r="M12" s="81">
        <v>0.87917528836156889</v>
      </c>
      <c r="N12" s="80">
        <v>-8.0525625955952806E-2</v>
      </c>
      <c r="O12" s="81">
        <v>4.3116177929362225</v>
      </c>
      <c r="Q12" s="80">
        <v>-0.23651564529330199</v>
      </c>
      <c r="R12" s="81">
        <v>1.1352061038472478</v>
      </c>
      <c r="S12" s="80">
        <v>-0.12404740717355001</v>
      </c>
      <c r="T12" s="81">
        <v>2.8236415760063247</v>
      </c>
    </row>
    <row r="13" spans="2:20" x14ac:dyDescent="0.3">
      <c r="C13" s="74" t="s">
        <v>54</v>
      </c>
      <c r="D13" s="80">
        <v>0.44308029770281998</v>
      </c>
      <c r="E13" s="81">
        <v>0.18668061901632094</v>
      </c>
      <c r="G13" s="82">
        <v>0.44951832490413302</v>
      </c>
      <c r="H13" s="81">
        <v>0.1620691199846809</v>
      </c>
      <c r="I13" s="80">
        <v>0.37590964398166699</v>
      </c>
      <c r="J13" s="81">
        <v>0.40442254038719816</v>
      </c>
      <c r="L13" s="82">
        <v>0.45563291258644001</v>
      </c>
      <c r="M13" s="81">
        <v>0.14850067605527531</v>
      </c>
      <c r="N13" s="80">
        <v>0.39464951931402398</v>
      </c>
      <c r="O13" s="81">
        <v>0.37188186285019942</v>
      </c>
      <c r="Q13" s="80">
        <v>0.45219476730144298</v>
      </c>
      <c r="R13" s="81">
        <v>0.1629835259528794</v>
      </c>
      <c r="S13" s="80">
        <v>0.41299043594662399</v>
      </c>
      <c r="T13" s="81">
        <v>0.32322890808506438</v>
      </c>
    </row>
    <row r="14" spans="2:20" x14ac:dyDescent="0.3">
      <c r="C14" s="74" t="s">
        <v>47</v>
      </c>
      <c r="D14" s="80">
        <v>-0.37968124924490398</v>
      </c>
      <c r="E14" s="81">
        <v>0.79902470213238175</v>
      </c>
      <c r="G14" s="82">
        <v>-0.42270430177989798</v>
      </c>
      <c r="H14" s="81">
        <v>0.71957635416179233</v>
      </c>
      <c r="I14" s="80">
        <v>-0.18836444066119901</v>
      </c>
      <c r="J14" s="81">
        <v>1.7783407185470297</v>
      </c>
      <c r="L14" s="82">
        <v>-0.420636078042467</v>
      </c>
      <c r="M14" s="81">
        <v>0.68603296728458529</v>
      </c>
      <c r="N14" s="80">
        <v>-0.15853989517366901</v>
      </c>
      <c r="O14" s="81">
        <v>2.1597329462372064</v>
      </c>
      <c r="Q14" s="80">
        <v>-0.37681402775088202</v>
      </c>
      <c r="R14" s="81">
        <v>0.79840855105914732</v>
      </c>
      <c r="S14" s="80">
        <v>-0.191323797836149</v>
      </c>
      <c r="T14" s="81">
        <v>1.6107521608152184</v>
      </c>
    </row>
    <row r="15" spans="2:20" x14ac:dyDescent="0.3">
      <c r="C15" s="74" t="s">
        <v>55</v>
      </c>
      <c r="D15" s="80">
        <v>-0.260654596620712</v>
      </c>
      <c r="E15" s="81">
        <v>1.0218165848974485</v>
      </c>
      <c r="G15" s="82">
        <v>-0.27401095081617299</v>
      </c>
      <c r="H15" s="81">
        <v>0.96910924741776994</v>
      </c>
      <c r="I15" s="80">
        <v>-0.20908571309704299</v>
      </c>
      <c r="J15" s="81">
        <v>1.4815241783708408</v>
      </c>
      <c r="L15" s="82">
        <v>-0.271272887499516</v>
      </c>
      <c r="M15" s="81">
        <v>0.95487657966755768</v>
      </c>
      <c r="N15" s="80">
        <v>-0.16789246572953101</v>
      </c>
      <c r="O15" s="81">
        <v>1.6901522954234813</v>
      </c>
      <c r="Q15" s="80">
        <v>-0.26641115260347797</v>
      </c>
      <c r="R15" s="81">
        <v>1.0172262419108655</v>
      </c>
      <c r="S15" s="80">
        <v>-0.18916139325179299</v>
      </c>
      <c r="T15" s="81">
        <v>1.4842994836528922</v>
      </c>
    </row>
    <row r="16" spans="2:20" x14ac:dyDescent="0.3">
      <c r="C16" s="74" t="s">
        <v>56</v>
      </c>
      <c r="D16" s="80">
        <v>-5.1073934433978598E-2</v>
      </c>
      <c r="E16" s="81">
        <v>5.1473978902523836</v>
      </c>
      <c r="G16" s="82">
        <v>-6.4148118298068602E-2</v>
      </c>
      <c r="H16" s="81">
        <v>4.2861105378315552</v>
      </c>
      <c r="I16" s="80">
        <v>-1.7636878552628899E-2</v>
      </c>
      <c r="J16" s="81">
        <v>14.294189499734804</v>
      </c>
      <c r="L16" s="82">
        <v>-4.2127358784769302E-2</v>
      </c>
      <c r="M16" s="81">
        <v>5.811962523947793</v>
      </c>
      <c r="N16" s="80">
        <v>-4.5811669056379102E-2</v>
      </c>
      <c r="O16" s="81">
        <v>5.9782033594306121</v>
      </c>
      <c r="Q16" s="80">
        <v>-1.7007052149801999E-2</v>
      </c>
      <c r="R16" s="81">
        <v>13.942685592142356</v>
      </c>
      <c r="S16" s="80">
        <v>-5.45510732997318E-2</v>
      </c>
      <c r="T16" s="81">
        <v>5.3370694558665157</v>
      </c>
    </row>
    <row r="17" spans="2:20" x14ac:dyDescent="0.3">
      <c r="C17" s="74" t="s">
        <v>57</v>
      </c>
      <c r="D17" s="80">
        <v>-0.10041382422100099</v>
      </c>
      <c r="E17" s="81">
        <v>2.3233912082834656</v>
      </c>
      <c r="G17" s="82">
        <v>-9.6889194725936503E-2</v>
      </c>
      <c r="H17" s="81">
        <v>2.4762408779269376</v>
      </c>
      <c r="I17" s="80">
        <v>-4.8515115616658298E-2</v>
      </c>
      <c r="J17" s="81">
        <v>5.1632577725721198</v>
      </c>
      <c r="L17" s="82">
        <v>-9.7537607541298393E-2</v>
      </c>
      <c r="M17" s="81">
        <v>2.126534806552391</v>
      </c>
      <c r="N17" s="80">
        <v>-3.1424163691297899E-2</v>
      </c>
      <c r="O17" s="81">
        <v>8.9486971186893189</v>
      </c>
      <c r="Q17" s="80">
        <v>-7.5848589675119399E-2</v>
      </c>
      <c r="R17" s="81">
        <v>2.8417773233741368</v>
      </c>
      <c r="S17" s="80">
        <v>-4.9838430077598701E-2</v>
      </c>
      <c r="T17" s="81">
        <v>5.2440714976688048</v>
      </c>
    </row>
    <row r="18" spans="2:20" x14ac:dyDescent="0.3">
      <c r="C18" s="74" t="s">
        <v>58</v>
      </c>
      <c r="D18" s="80">
        <v>-0.25978078393934201</v>
      </c>
      <c r="E18" s="81">
        <v>1.0144202718511686</v>
      </c>
      <c r="G18" s="82">
        <v>-0.25252678224969499</v>
      </c>
      <c r="H18" s="81">
        <v>0.91669531374143021</v>
      </c>
      <c r="I18" s="80">
        <v>-0.22904856699536499</v>
      </c>
      <c r="J18" s="81">
        <v>1.3541250724938672</v>
      </c>
      <c r="L18" s="82">
        <v>-0.25555597236078498</v>
      </c>
      <c r="M18" s="81">
        <v>0.88736962490509275</v>
      </c>
      <c r="N18" s="80">
        <v>-0.19189308133904101</v>
      </c>
      <c r="O18" s="81">
        <v>1.5057548087887096</v>
      </c>
      <c r="Q18" s="80">
        <v>-0.22946990646387599</v>
      </c>
      <c r="R18" s="81">
        <v>1.0305659915104606</v>
      </c>
      <c r="S18" s="80">
        <v>-0.21069800811580899</v>
      </c>
      <c r="T18" s="81">
        <v>1.3432030418213163</v>
      </c>
    </row>
    <row r="19" spans="2:20" x14ac:dyDescent="0.3">
      <c r="C19" s="74" t="s">
        <v>59</v>
      </c>
      <c r="D19" s="80">
        <v>-4.5713191389705199E-2</v>
      </c>
      <c r="E19" s="81">
        <v>5.4207819759062561</v>
      </c>
      <c r="G19" s="82">
        <v>-6.4817986211461495E-2</v>
      </c>
      <c r="H19" s="81">
        <v>3.7636832304890793</v>
      </c>
      <c r="I19" s="80">
        <v>-3.2774483633494E-2</v>
      </c>
      <c r="J19" s="81">
        <v>7.488680898744172</v>
      </c>
      <c r="L19" s="82">
        <v>-5.2635181197574703E-2</v>
      </c>
      <c r="M19" s="81">
        <v>4.1877125270127209</v>
      </c>
      <c r="N19" s="80">
        <v>-1.35482499325626E-2</v>
      </c>
      <c r="O19" s="81">
        <v>18.538340944946214</v>
      </c>
      <c r="Q19" s="80">
        <v>-3.1905630328336203E-2</v>
      </c>
      <c r="R19" s="81">
        <v>7.0586657885527559</v>
      </c>
      <c r="S19" s="80">
        <v>-3.1106309650380901E-2</v>
      </c>
      <c r="T19" s="81">
        <v>8.3802739564547153</v>
      </c>
    </row>
    <row r="20" spans="2:20" x14ac:dyDescent="0.3">
      <c r="C20" s="74" t="s">
        <v>60</v>
      </c>
      <c r="D20" s="80">
        <v>-4.42350779602756E-2</v>
      </c>
      <c r="E20" s="81">
        <v>6.2753406430718206</v>
      </c>
      <c r="G20" s="82">
        <v>-6.2849877856710396E-2</v>
      </c>
      <c r="H20" s="81">
        <v>4.5712566539116688</v>
      </c>
      <c r="I20" s="80">
        <v>-2.9632107491085499E-3</v>
      </c>
      <c r="J20" s="81">
        <v>84.895376121543819</v>
      </c>
      <c r="L20" s="82">
        <v>-6.44127391214286E-2</v>
      </c>
      <c r="M20" s="81">
        <v>4.2098801003710022</v>
      </c>
      <c r="N20" s="80">
        <v>1.3588001724573201E-2</v>
      </c>
      <c r="O20" s="81">
        <v>19.419581599067929</v>
      </c>
      <c r="Q20" s="80">
        <v>-2.1435314948700199E-2</v>
      </c>
      <c r="R20" s="81">
        <v>12.480110445020713</v>
      </c>
      <c r="S20" s="80">
        <v>-8.5670807236402097E-3</v>
      </c>
      <c r="T20" s="81">
        <v>30.264850101748031</v>
      </c>
    </row>
    <row r="21" spans="2:20" x14ac:dyDescent="0.3">
      <c r="C21" s="74" t="s">
        <v>48</v>
      </c>
      <c r="D21" s="80">
        <v>0.23817073141501999</v>
      </c>
      <c r="E21" s="81">
        <v>0.86883390290584683</v>
      </c>
      <c r="G21" s="82">
        <v>0.23357857379875399</v>
      </c>
      <c r="H21" s="81">
        <v>0.99181692801076948</v>
      </c>
      <c r="I21" s="80">
        <v>0.13650166969359501</v>
      </c>
      <c r="J21" s="81">
        <v>1.8668456333301695</v>
      </c>
      <c r="L21" s="82">
        <v>0.26835541966218501</v>
      </c>
      <c r="M21" s="81">
        <v>0.67351383187996372</v>
      </c>
      <c r="N21" s="80">
        <v>9.9594386954679107E-2</v>
      </c>
      <c r="O21" s="81">
        <v>2.8643710025106017</v>
      </c>
      <c r="Q21" s="80">
        <v>0.24544596837395699</v>
      </c>
      <c r="R21" s="81">
        <v>0.83867054362199711</v>
      </c>
      <c r="S21" s="80">
        <v>0.112263809783805</v>
      </c>
      <c r="T21" s="81">
        <v>2.601849634242138</v>
      </c>
    </row>
    <row r="22" spans="2:20" x14ac:dyDescent="0.3">
      <c r="C22" s="74" t="s">
        <v>61</v>
      </c>
      <c r="D22" s="80">
        <v>-2.5666182808853501E-2</v>
      </c>
      <c r="E22" s="81">
        <v>9.4553609715081954</v>
      </c>
      <c r="G22" s="82">
        <v>-3.8251168123817403E-2</v>
      </c>
      <c r="H22" s="81">
        <v>6.4311106638514044</v>
      </c>
      <c r="I22" s="80">
        <v>-2.3831949964945E-2</v>
      </c>
      <c r="J22" s="81">
        <v>10.7872071947733</v>
      </c>
      <c r="L22" s="82">
        <v>-3.8474098160668199E-2</v>
      </c>
      <c r="M22" s="81">
        <v>5.7902560016923594</v>
      </c>
      <c r="N22" s="80">
        <v>4.1683159132966203E-3</v>
      </c>
      <c r="O22" s="81">
        <v>64.900040192867536</v>
      </c>
      <c r="Q22" s="80">
        <v>-6.0942160846262803E-3</v>
      </c>
      <c r="R22" s="81">
        <v>37.523200642832499</v>
      </c>
      <c r="S22" s="80">
        <v>-1.96995200369381E-2</v>
      </c>
      <c r="T22" s="81">
        <v>14.371317710266586</v>
      </c>
    </row>
    <row r="23" spans="2:20" x14ac:dyDescent="0.3">
      <c r="C23" s="74" t="s">
        <v>62</v>
      </c>
      <c r="D23" s="80">
        <v>-0.22820103815489801</v>
      </c>
      <c r="E23" s="81">
        <v>1.155286782738685</v>
      </c>
      <c r="G23" s="82">
        <v>-0.25997405282998198</v>
      </c>
      <c r="H23" s="81">
        <v>0.99442058811540468</v>
      </c>
      <c r="I23" s="80">
        <v>-0.14200580635124199</v>
      </c>
      <c r="J23" s="81">
        <v>2.345390441894625</v>
      </c>
      <c r="L23" s="82">
        <v>-0.26611136317790801</v>
      </c>
      <c r="M23" s="81">
        <v>0.84406771721070994</v>
      </c>
      <c r="N23" s="80">
        <v>-8.5280107466707E-2</v>
      </c>
      <c r="O23" s="81">
        <v>3.5807116390508256</v>
      </c>
      <c r="Q23" s="80">
        <v>-0.24082122198485501</v>
      </c>
      <c r="R23" s="81">
        <v>1.0847990331156458</v>
      </c>
      <c r="S23" s="80">
        <v>-0.13234690372362001</v>
      </c>
      <c r="T23" s="81">
        <v>2.4114432343532997</v>
      </c>
    </row>
    <row r="24" spans="2:20" x14ac:dyDescent="0.3">
      <c r="C24" s="74" t="s">
        <v>50</v>
      </c>
      <c r="D24" s="80">
        <v>0.25424906939589398</v>
      </c>
      <c r="E24" s="81">
        <v>0.63925677234259648</v>
      </c>
      <c r="G24" s="82">
        <v>0.25748529327514003</v>
      </c>
      <c r="H24" s="81">
        <v>0.65690307605103748</v>
      </c>
      <c r="I24" s="80">
        <v>0.16440637748164699</v>
      </c>
      <c r="J24" s="81">
        <v>1.1207008593701009</v>
      </c>
      <c r="L24" s="82">
        <v>0.27609300655424202</v>
      </c>
      <c r="M24" s="81">
        <v>0.54607441125181777</v>
      </c>
      <c r="N24" s="80">
        <v>0.13571774222788899</v>
      </c>
      <c r="O24" s="81">
        <v>1.6278701539917775</v>
      </c>
      <c r="Q24" s="80">
        <v>0.272952545088257</v>
      </c>
      <c r="R24" s="81">
        <v>0.54978080769294169</v>
      </c>
      <c r="S24" s="80">
        <v>0.12228711875046699</v>
      </c>
      <c r="T24" s="81">
        <v>1.7535752582065647</v>
      </c>
    </row>
    <row r="25" spans="2:20" x14ac:dyDescent="0.3">
      <c r="C25" s="74"/>
      <c r="D25" s="80"/>
      <c r="E25" s="81"/>
      <c r="G25" s="82"/>
      <c r="H25" s="81"/>
      <c r="I25" s="80"/>
      <c r="J25" s="81"/>
      <c r="L25" s="82"/>
      <c r="M25" s="81"/>
      <c r="N25" s="80"/>
      <c r="O25" s="81"/>
      <c r="Q25" s="80"/>
      <c r="R25" s="81"/>
      <c r="S25" s="80"/>
      <c r="T25" s="81"/>
    </row>
    <row r="27" spans="2:20" x14ac:dyDescent="0.3">
      <c r="B27" s="79" t="s">
        <v>116</v>
      </c>
    </row>
    <row r="28" spans="2:20" x14ac:dyDescent="0.3">
      <c r="B28" s="79" t="s">
        <v>118</v>
      </c>
      <c r="G28"/>
      <c r="H28"/>
    </row>
    <row r="29" spans="2:20" x14ac:dyDescent="0.3">
      <c r="B29" s="84" t="s">
        <v>121</v>
      </c>
      <c r="G29"/>
      <c r="H29"/>
    </row>
    <row r="30" spans="2:20" x14ac:dyDescent="0.3">
      <c r="B30" s="84" t="s">
        <v>120</v>
      </c>
      <c r="G30"/>
      <c r="H30"/>
    </row>
    <row r="31" spans="2:20" x14ac:dyDescent="0.3">
      <c r="B31" s="84" t="s">
        <v>122</v>
      </c>
      <c r="G31"/>
      <c r="H31"/>
    </row>
    <row r="32" spans="2:20" x14ac:dyDescent="0.3">
      <c r="G32"/>
      <c r="H32"/>
    </row>
    <row r="33" spans="3:14" x14ac:dyDescent="0.3">
      <c r="D33" t="s">
        <v>117</v>
      </c>
      <c r="E33"/>
      <c r="F33"/>
      <c r="G33"/>
      <c r="H33"/>
      <c r="L33" t="s">
        <v>119</v>
      </c>
      <c r="M33"/>
      <c r="N33"/>
    </row>
    <row r="34" spans="3:14" x14ac:dyDescent="0.3">
      <c r="D34" s="27" t="s">
        <v>114</v>
      </c>
      <c r="E34" s="27" t="s">
        <v>73</v>
      </c>
      <c r="F34" s="27" t="s">
        <v>115</v>
      </c>
      <c r="L34" s="27" t="s">
        <v>114</v>
      </c>
      <c r="M34" s="27" t="s">
        <v>73</v>
      </c>
      <c r="N34" s="27" t="s">
        <v>115</v>
      </c>
    </row>
    <row r="35" spans="3:14" x14ac:dyDescent="0.3">
      <c r="C35" s="74" t="s">
        <v>45</v>
      </c>
      <c r="D35" s="86">
        <f>I10/G10</f>
        <v>3.266004035702172</v>
      </c>
      <c r="E35" s="86">
        <f>N10/L10</f>
        <v>2.1262343068415595</v>
      </c>
      <c r="F35" s="86">
        <f>S10/Q10</f>
        <v>2.9124783055645236</v>
      </c>
      <c r="K35" s="74" t="s">
        <v>45</v>
      </c>
      <c r="L35" s="85">
        <f>J10/H10</f>
        <v>1.3632893354983544</v>
      </c>
      <c r="M35" s="85">
        <f>O10/M10</f>
        <v>1.2433281812835673</v>
      </c>
      <c r="N35" s="86">
        <f>T10/R10</f>
        <v>1.4882851968347883</v>
      </c>
    </row>
    <row r="36" spans="3:14" x14ac:dyDescent="0.3">
      <c r="C36" s="74" t="s">
        <v>3</v>
      </c>
      <c r="D36" s="86">
        <f t="shared" ref="D36:D49" si="0">I11/G11</f>
        <v>3.1593244894791686</v>
      </c>
      <c r="E36" s="86">
        <f t="shared" ref="E36:E49" si="1">N11/L11</f>
        <v>2.6185016307032694</v>
      </c>
      <c r="F36" s="86">
        <f t="shared" ref="F36:F49" si="2">S11/Q11</f>
        <v>2.5783774534173065</v>
      </c>
      <c r="K36" s="74" t="s">
        <v>3</v>
      </c>
      <c r="L36" s="85">
        <f t="shared" ref="L36:L49" si="3">J11/H11</f>
        <v>1.0276575439173343</v>
      </c>
      <c r="M36" s="85">
        <f t="shared" ref="M36:M49" si="4">O11/M11</f>
        <v>1.1709700435771393</v>
      </c>
      <c r="N36" s="85">
        <f t="shared" ref="N36:N49" si="5">T11/R11</f>
        <v>1.2978679848110495</v>
      </c>
    </row>
    <row r="37" spans="3:14" x14ac:dyDescent="0.3">
      <c r="C37" s="74" t="s">
        <v>16</v>
      </c>
      <c r="D37" s="87">
        <f t="shared" si="0"/>
        <v>0.51786194024740595</v>
      </c>
      <c r="E37" s="87">
        <f t="shared" si="1"/>
        <v>0.30532498786189577</v>
      </c>
      <c r="F37" s="87">
        <f t="shared" si="2"/>
        <v>0.52447865349338463</v>
      </c>
      <c r="K37" s="74" t="s">
        <v>16</v>
      </c>
      <c r="L37" s="86">
        <f t="shared" si="3"/>
        <v>2.5418020380789179</v>
      </c>
      <c r="M37" s="86">
        <f t="shared" si="4"/>
        <v>4.9041617183887798</v>
      </c>
      <c r="N37" s="86">
        <f t="shared" si="5"/>
        <v>2.4873382608117751</v>
      </c>
    </row>
    <row r="38" spans="3:14" x14ac:dyDescent="0.3">
      <c r="C38" s="74" t="s">
        <v>54</v>
      </c>
      <c r="D38" s="85">
        <f t="shared" si="0"/>
        <v>0.83624987715870258</v>
      </c>
      <c r="E38" s="85">
        <f t="shared" si="1"/>
        <v>0.86615674243934992</v>
      </c>
      <c r="F38" s="85">
        <f t="shared" si="2"/>
        <v>0.91330211185596377</v>
      </c>
      <c r="K38" s="74" t="s">
        <v>54</v>
      </c>
      <c r="L38" s="86">
        <f t="shared" si="3"/>
        <v>2.4953707432077437</v>
      </c>
      <c r="M38" s="86">
        <f t="shared" si="4"/>
        <v>2.5042435679671691</v>
      </c>
      <c r="N38" s="86">
        <f t="shared" si="5"/>
        <v>1.9831998737008176</v>
      </c>
    </row>
    <row r="39" spans="3:14" x14ac:dyDescent="0.3">
      <c r="C39" s="74" t="s">
        <v>47</v>
      </c>
      <c r="D39" s="87">
        <f t="shared" si="0"/>
        <v>0.44561751528916382</v>
      </c>
      <c r="E39" s="87">
        <f t="shared" si="1"/>
        <v>0.37690512880272475</v>
      </c>
      <c r="F39" s="87">
        <f t="shared" si="2"/>
        <v>0.5077406459046061</v>
      </c>
      <c r="K39" s="74" t="s">
        <v>47</v>
      </c>
      <c r="L39" s="86">
        <f t="shared" si="3"/>
        <v>2.4713718124028028</v>
      </c>
      <c r="M39" s="86">
        <f t="shared" si="4"/>
        <v>3.1481474640872324</v>
      </c>
      <c r="N39" s="86">
        <f t="shared" si="5"/>
        <v>2.017453543901099</v>
      </c>
    </row>
    <row r="40" spans="3:14" x14ac:dyDescent="0.3">
      <c r="C40" s="74" t="s">
        <v>55</v>
      </c>
      <c r="D40" s="85">
        <f t="shared" si="0"/>
        <v>0.76305604748371281</v>
      </c>
      <c r="E40" s="85">
        <f t="shared" si="1"/>
        <v>0.61890617701273432</v>
      </c>
      <c r="F40" s="85">
        <f t="shared" si="2"/>
        <v>0.71003556496502129</v>
      </c>
      <c r="K40" s="74" t="s">
        <v>55</v>
      </c>
      <c r="L40" s="86">
        <f t="shared" si="3"/>
        <v>1.528748365902421</v>
      </c>
      <c r="M40" s="86">
        <f t="shared" si="4"/>
        <v>1.7700217299411736</v>
      </c>
      <c r="N40" s="86">
        <f t="shared" si="5"/>
        <v>1.4591635788559945</v>
      </c>
    </row>
    <row r="41" spans="3:14" x14ac:dyDescent="0.3">
      <c r="C41" s="74" t="s">
        <v>56</v>
      </c>
      <c r="D41" s="87">
        <f t="shared" si="0"/>
        <v>0.27493992061743638</v>
      </c>
      <c r="E41" s="85">
        <f t="shared" si="1"/>
        <v>1.0874564743171562</v>
      </c>
      <c r="F41" s="86">
        <f t="shared" si="2"/>
        <v>3.2075560666971259</v>
      </c>
      <c r="K41" s="74" t="s">
        <v>56</v>
      </c>
      <c r="L41" s="86">
        <f t="shared" si="3"/>
        <v>3.3350025328480148</v>
      </c>
      <c r="M41" s="85">
        <f t="shared" si="4"/>
        <v>1.0286032187574912</v>
      </c>
      <c r="N41" s="87">
        <f t="shared" si="5"/>
        <v>0.38278633055272471</v>
      </c>
    </row>
    <row r="42" spans="3:14" x14ac:dyDescent="0.3">
      <c r="C42" s="74" t="s">
        <v>57</v>
      </c>
      <c r="D42" s="87">
        <f t="shared" si="0"/>
        <v>0.50072782371542579</v>
      </c>
      <c r="E42" s="87">
        <f t="shared" si="1"/>
        <v>0.32217484602534047</v>
      </c>
      <c r="F42" s="85">
        <f t="shared" si="2"/>
        <v>0.65707787436879916</v>
      </c>
      <c r="K42" s="74" t="s">
        <v>57</v>
      </c>
      <c r="L42" s="86">
        <f t="shared" si="3"/>
        <v>2.0851193511088075</v>
      </c>
      <c r="M42" s="86">
        <f t="shared" si="4"/>
        <v>4.2081122261042339</v>
      </c>
      <c r="N42" s="86">
        <f t="shared" si="5"/>
        <v>1.8453491955669292</v>
      </c>
    </row>
    <row r="43" spans="3:14" x14ac:dyDescent="0.3">
      <c r="C43" s="74" t="s">
        <v>58</v>
      </c>
      <c r="D43" s="85">
        <f t="shared" si="0"/>
        <v>0.90702683079723767</v>
      </c>
      <c r="E43" s="85">
        <f t="shared" si="1"/>
        <v>0.75088474578137843</v>
      </c>
      <c r="F43" s="85">
        <f t="shared" si="2"/>
        <v>0.91819450908687172</v>
      </c>
      <c r="K43" s="74" t="s">
        <v>58</v>
      </c>
      <c r="L43" s="86">
        <f t="shared" si="3"/>
        <v>1.4771811878988417</v>
      </c>
      <c r="M43" s="86">
        <f t="shared" si="4"/>
        <v>1.6968744100856001</v>
      </c>
      <c r="N43" s="85">
        <f t="shared" si="5"/>
        <v>1.3033644161424691</v>
      </c>
    </row>
    <row r="44" spans="3:14" x14ac:dyDescent="0.3">
      <c r="C44" s="74" t="s">
        <v>59</v>
      </c>
      <c r="D44" s="87">
        <f t="shared" si="0"/>
        <v>0.50563872081077743</v>
      </c>
      <c r="E44" s="87">
        <f t="shared" si="1"/>
        <v>0.25739913161326533</v>
      </c>
      <c r="F44" s="85">
        <f t="shared" si="2"/>
        <v>0.97494734723214649</v>
      </c>
      <c r="K44" s="74" t="s">
        <v>59</v>
      </c>
      <c r="L44" s="86">
        <f t="shared" si="3"/>
        <v>1.9897213554210407</v>
      </c>
      <c r="M44" s="86">
        <f t="shared" si="4"/>
        <v>4.4268418200545456</v>
      </c>
      <c r="N44" s="85">
        <f t="shared" si="5"/>
        <v>1.1872320077889578</v>
      </c>
    </row>
    <row r="45" spans="3:14" x14ac:dyDescent="0.3">
      <c r="C45" s="74" t="s">
        <v>60</v>
      </c>
      <c r="D45" s="87">
        <f t="shared" si="0"/>
        <v>4.7147438470195403E-2</v>
      </c>
      <c r="E45" s="87">
        <f t="shared" si="1"/>
        <v>-0.21095208665102075</v>
      </c>
      <c r="F45" s="87">
        <f t="shared" si="2"/>
        <v>0.3996713248274294</v>
      </c>
      <c r="K45" s="74" t="s">
        <v>60</v>
      </c>
      <c r="L45" s="86">
        <f t="shared" si="3"/>
        <v>18.57156194651596</v>
      </c>
      <c r="M45" s="86">
        <f t="shared" si="4"/>
        <v>4.6128585936109081</v>
      </c>
      <c r="N45" s="86">
        <f t="shared" si="5"/>
        <v>2.4250466560432593</v>
      </c>
    </row>
    <row r="46" spans="3:14" x14ac:dyDescent="0.3">
      <c r="C46" s="74" t="s">
        <v>48</v>
      </c>
      <c r="D46" s="85">
        <f t="shared" si="0"/>
        <v>0.58439294098611017</v>
      </c>
      <c r="E46" s="87">
        <f t="shared" si="1"/>
        <v>0.37112865870214928</v>
      </c>
      <c r="F46" s="87">
        <f t="shared" si="2"/>
        <v>0.4573870596756428</v>
      </c>
      <c r="K46" s="74" t="s">
        <v>48</v>
      </c>
      <c r="L46" s="86">
        <f t="shared" si="3"/>
        <v>1.8822482059006544</v>
      </c>
      <c r="M46" s="86">
        <f t="shared" si="4"/>
        <v>4.2528762839440857</v>
      </c>
      <c r="N46" s="86">
        <f t="shared" si="5"/>
        <v>3.1023500873244396</v>
      </c>
    </row>
    <row r="47" spans="3:14" x14ac:dyDescent="0.3">
      <c r="C47" s="74" t="s">
        <v>61</v>
      </c>
      <c r="D47" s="85">
        <f t="shared" si="0"/>
        <v>0.62303848833588538</v>
      </c>
      <c r="E47" s="87">
        <f t="shared" si="1"/>
        <v>-0.10834083481020643</v>
      </c>
      <c r="F47" s="86">
        <f t="shared" si="2"/>
        <v>3.2324945101033689</v>
      </c>
      <c r="K47" s="74" t="s">
        <v>61</v>
      </c>
      <c r="L47" s="86">
        <f t="shared" si="3"/>
        <v>1.6773474689849539</v>
      </c>
      <c r="M47" s="86">
        <f t="shared" si="4"/>
        <v>11.208492366123146</v>
      </c>
      <c r="N47" s="87">
        <f t="shared" si="5"/>
        <v>0.38299818416507403</v>
      </c>
    </row>
    <row r="48" spans="3:14" x14ac:dyDescent="0.3">
      <c r="C48" s="74" t="s">
        <v>62</v>
      </c>
      <c r="D48" s="87">
        <f t="shared" si="0"/>
        <v>0.54623069035320637</v>
      </c>
      <c r="E48" s="87">
        <f t="shared" si="1"/>
        <v>0.32046774120537358</v>
      </c>
      <c r="F48" s="87">
        <f t="shared" si="2"/>
        <v>0.54956495375620662</v>
      </c>
      <c r="K48" s="74" t="s">
        <v>62</v>
      </c>
      <c r="L48" s="86">
        <f t="shared" si="3"/>
        <v>2.358549762469758</v>
      </c>
      <c r="M48" s="86">
        <f t="shared" si="4"/>
        <v>4.2422089674079428</v>
      </c>
      <c r="N48" s="86">
        <f t="shared" si="5"/>
        <v>2.2229400660760228</v>
      </c>
    </row>
    <row r="49" spans="3:17" x14ac:dyDescent="0.3">
      <c r="C49" s="74" t="s">
        <v>50</v>
      </c>
      <c r="D49" s="85">
        <f t="shared" si="0"/>
        <v>0.63850783627462537</v>
      </c>
      <c r="E49" s="87">
        <f t="shared" si="1"/>
        <v>0.49156530229325274</v>
      </c>
      <c r="F49" s="87">
        <f t="shared" si="2"/>
        <v>0.44801604143653045</v>
      </c>
      <c r="K49" s="74" t="s">
        <v>50</v>
      </c>
      <c r="L49" s="86">
        <f t="shared" si="3"/>
        <v>1.7060368572288875</v>
      </c>
      <c r="M49" s="86">
        <f t="shared" si="4"/>
        <v>2.9810408992797472</v>
      </c>
      <c r="N49" s="86">
        <f t="shared" si="5"/>
        <v>3.1895898031892642</v>
      </c>
    </row>
    <row r="52" spans="3:17" x14ac:dyDescent="0.3">
      <c r="C52" s="65" t="s">
        <v>157</v>
      </c>
      <c r="J52" s="65" t="s">
        <v>158</v>
      </c>
      <c r="Q52" s="65" t="s">
        <v>159</v>
      </c>
    </row>
    <row r="53" spans="3:17" x14ac:dyDescent="0.3">
      <c r="C53" s="79" t="s">
        <v>170</v>
      </c>
      <c r="J53" s="79" t="s">
        <v>170</v>
      </c>
      <c r="Q53" s="79" t="s">
        <v>170</v>
      </c>
    </row>
    <row r="54" spans="3:17" x14ac:dyDescent="0.3">
      <c r="C54" s="83"/>
      <c r="J54" s="79" t="s">
        <v>160</v>
      </c>
      <c r="Q54" s="79" t="s">
        <v>148</v>
      </c>
    </row>
    <row r="78" spans="3:17" x14ac:dyDescent="0.3">
      <c r="C78" s="65" t="s">
        <v>161</v>
      </c>
      <c r="J78" s="65" t="s">
        <v>162</v>
      </c>
      <c r="Q78" s="65" t="s">
        <v>163</v>
      </c>
    </row>
    <row r="79" spans="3:17" x14ac:dyDescent="0.3">
      <c r="C79" s="79" t="s">
        <v>170</v>
      </c>
      <c r="J79" s="79" t="s">
        <v>170</v>
      </c>
      <c r="Q79" s="79" t="s">
        <v>170</v>
      </c>
    </row>
    <row r="80" spans="3:17" x14ac:dyDescent="0.3">
      <c r="C80" s="79" t="s">
        <v>164</v>
      </c>
      <c r="J80" s="79" t="s">
        <v>165</v>
      </c>
      <c r="Q80" s="79" t="s">
        <v>166</v>
      </c>
    </row>
    <row r="106" spans="3:3" x14ac:dyDescent="0.3">
      <c r="C106" s="65" t="s">
        <v>167</v>
      </c>
    </row>
    <row r="107" spans="3:3" x14ac:dyDescent="0.3">
      <c r="C107" s="79" t="s">
        <v>170</v>
      </c>
    </row>
    <row r="108" spans="3:3" x14ac:dyDescent="0.3">
      <c r="C108" s="79" t="s">
        <v>168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12</vt:i4>
      </vt:variant>
    </vt:vector>
  </HeadingPairs>
  <TitlesOfParts>
    <vt:vector size="12" baseType="lpstr">
      <vt:lpstr>Index</vt:lpstr>
      <vt:lpstr>Table A-resolved parameters</vt:lpstr>
      <vt:lpstr>Table B-resolved diet</vt:lpstr>
      <vt:lpstr>Table C-resolved detritus fate</vt:lpstr>
      <vt:lpstr>Table D-resolved pedigree</vt:lpstr>
      <vt:lpstr>Table E-trophic aggregations</vt:lpstr>
      <vt:lpstr>Table F-aggregated diet</vt:lpstr>
      <vt:lpstr>Table G-aggregate detritus fate</vt:lpstr>
      <vt:lpstr>Table H-agg. production matrix</vt:lpstr>
      <vt:lpstr>Table I-aggregated pedigree</vt:lpstr>
      <vt:lpstr>Scenario I - Uncertainties</vt:lpstr>
      <vt:lpstr>Scenario II - Uncertainties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Luciano</dc:creator>
  <cp:lastModifiedBy>Ido Carmel</cp:lastModifiedBy>
  <dcterms:created xsi:type="dcterms:W3CDTF">2017-03-10T19:39:28Z</dcterms:created>
  <dcterms:modified xsi:type="dcterms:W3CDTF">2026-09-04T17:27:34Z</dcterms:modified>
</cp:coreProperties>
</file>