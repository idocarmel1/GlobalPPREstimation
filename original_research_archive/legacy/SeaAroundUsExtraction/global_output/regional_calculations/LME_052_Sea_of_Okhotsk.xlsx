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bd5a26c26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68c45637ea54fd3"/>
    <x:sheet xmlns:r="http://schemas.openxmlformats.org/officeDocument/2006/relationships" name="Commercial" sheetId="2" r:id="R36b82ca9f2114fd7"/>
    <x:sheet xmlns:r="http://schemas.openxmlformats.org/officeDocument/2006/relationships" name="Functional" sheetId="3" r:id="Rfc8ee690b2e24155"/>
    <x:sheet xmlns:r="http://schemas.openxmlformats.org/officeDocument/2006/relationships" name="Missing TL" sheetId="4" r:id="R92f249a34ad24cf7"/>
    <x:sheet xmlns:r="http://schemas.openxmlformats.org/officeDocument/2006/relationships" name="Validation" sheetId="5" r:id="R69c556435574462b"/>
    <x:sheet xmlns:r="http://schemas.openxmlformats.org/officeDocument/2006/relationships" name="Metadata" sheetId="6" r:id="R512a74925fcd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00ba223ee4ad6" /><Relationship Type="http://schemas.openxmlformats.org/officeDocument/2006/relationships/theme" Target="/xl/theme/theme1.xml" Id="Rf54495d7f1614775" /><Relationship Type="http://schemas.microsoft.com/office/2022/11/relationships/FeaturePropertyBag" Target="/xl/featurePropertyBag/featurePropertyBag.xml" Id="Re76691dfb330404f" /><Relationship Type="http://schemas.openxmlformats.org/officeDocument/2006/relationships/sharedStrings" Target="/xl/sharedStrings.xml" Id="R30c1f0a9e8a94907" /><Relationship Type="http://schemas.openxmlformats.org/officeDocument/2006/relationships/worksheet" Target="/xl/worksheets/sheet1.xml" Id="R368c45637ea54fd3" /><Relationship Type="http://schemas.openxmlformats.org/officeDocument/2006/relationships/worksheet" Target="/xl/worksheets/sheet2.xml" Id="R36b82ca9f2114fd7" /><Relationship Type="http://schemas.openxmlformats.org/officeDocument/2006/relationships/worksheet" Target="/xl/worksheets/sheet3.xml" Id="Rfc8ee690b2e24155" /><Relationship Type="http://schemas.openxmlformats.org/officeDocument/2006/relationships/worksheet" Target="/xl/worksheets/sheet4.xml" Id="R92f249a34ad24cf7" /><Relationship Type="http://schemas.openxmlformats.org/officeDocument/2006/relationships/worksheet" Target="/xl/worksheets/sheet5.xml" Id="R69c556435574462b" /><Relationship Type="http://schemas.openxmlformats.org/officeDocument/2006/relationships/worksheet" Target="/xl/worksheets/sheet6.xml" Id="R512a74925fcd47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2SpeciesTable" displayName="LME052SpeciesTable" ref="A1:U132" headerRowCount="1" totalsRowCount="0" totalsRowShown="0">
  <x:autoFilter ref="A1:U13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2CommercialTable" displayName="LME05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2FunctionalTable" displayName="LME052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2ValidationTable" displayName="LME05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34c7f24e7443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8a0231d4eb47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76cf19ad4244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e6934271e548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LME_052</x:v>
      </x:c>
      <x:c r="B2" s="24" t="str">
        <x:v>Sea of Okhotsk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2636838.8137454437</x:v>
      </x:c>
      <x:c r="J2" s="31" t="n">
        <x:v>1713630.3252850005</x:v>
      </x:c>
      <x:c r="K2" s="31" t="n">
        <x:v>923208.4884604431</x:v>
      </x:c>
      <x:c r="L2" s="31" t="n">
        <x:v>1276861.461841779</x:v>
      </x:c>
      <x:c r="M2" s="31" t="n">
        <x:v>1359977.3519036646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979678512.7572298</x:v>
      </x:c>
    </x:row>
    <x:row r="3" ht="18" customHeight="1">
      <x:c r="A3" s="24" t="str">
        <x:v>LME_052</x:v>
      </x:c>
      <x:c r="B3" s="24" t="str">
        <x:v>Sea of Okhotsk</x:v>
      </x:c>
      <x:c r="C3" s="24" t="str">
        <x:v>LME</x:v>
      </x:c>
      <x:c r="D3" s="30" t="n">
        <x:v>2019</x:v>
      </x:c>
      <x:c r="E3" s="24" t="str">
        <x:v>Clupea pallasii</x:v>
      </x:c>
      <x:c r="F3" s="24" t="str">
        <x:v>Pacific herring</x:v>
      </x:c>
      <x:c r="G3" s="24" t="str">
        <x:v>Medium pelagics (30 - 89 cm)</x:v>
      </x:c>
      <x:c r="H3" s="24" t="str">
        <x:v>Herring-likes</x:v>
      </x:c>
      <x:c r="I3" s="31" t="n">
        <x:v>473415.58572658035</x:v>
      </x:c>
      <x:c r="J3" s="31" t="n">
        <x:v>311472.56263646035</x:v>
      </x:c>
      <x:c r="K3" s="31" t="n">
        <x:v>161943.02309012003</x:v>
      </x:c>
      <x:c r="L3" s="31" t="n">
        <x:v>264299.50770965574</x:v>
      </x:c>
      <x:c r="M3" s="31" t="n">
        <x:v>209116.0780169246</x:v>
      </x:c>
      <x:c r="N3" s="24" t="str">
        <x:v>clupea pallasii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Clupea pallasii</x:v>
      </x:c>
      <x:c r="T3" s="32" t="n">
        <x:f>IF(O3="","",(1/'Metadata'!$B$5)^(O3-1))</x:f>
        <x:v>144.5439770745928</x:v>
      </x:c>
      <x:c r="U3" s="31" t="n">
        <x:f>IF(T3="","",I3*T3)</x:f>
        <x:v>68429371.57001774</x:v>
      </x:c>
    </x:row>
    <x:row r="4" ht="18" customHeight="1">
      <x:c r="A4" s="24" t="str">
        <x:v>LME_052</x:v>
      </x:c>
      <x:c r="B4" s="24" t="str">
        <x:v>Sea of Okhotsk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375147.6485688514</x:v>
      </x:c>
      <x:c r="J4" s="31" t="n">
        <x:v>282776.7011184691</x:v>
      </x:c>
      <x:c r="K4" s="31" t="n">
        <x:v>92370.9474503823</x:v>
      </x:c>
      <x:c r="L4" s="31" t="n">
        <x:v>234739.7200607072</x:v>
      </x:c>
      <x:c r="M4" s="31" t="n">
        <x:v>140407.9285081442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71482910.77842273</x:v>
      </x:c>
    </x:row>
    <x:row r="5" ht="18" customHeight="1">
      <x:c r="A5" s="24" t="str">
        <x:v>LME_052</x:v>
      </x:c>
      <x:c r="B5" s="24" t="str">
        <x:v>Sea of Okhotsk</x:v>
      </x:c>
      <x:c r="C5" s="24" t="str">
        <x:v>LME</x:v>
      </x:c>
      <x:c r="D5" s="30" t="n">
        <x:v>2019</x:v>
      </x:c>
      <x:c r="E5" s="24" t="str">
        <x:v>Oncorhynchus gorbuscha</x:v>
      </x:c>
      <x:c r="F5" s="24" t="str">
        <x:v>Pink salmon</x:v>
      </x:c>
      <x:c r="G5" s="24" t="str">
        <x:v>Medium demersals (30 - 89 cm)</x:v>
      </x:c>
      <x:c r="H5" s="24" t="str">
        <x:v>Salmon, smelts, etc</x:v>
      </x:c>
      <x:c r="I5" s="31" t="n">
        <x:v>332892.38130680297</x:v>
      </x:c>
      <x:c r="J5" s="31" t="n">
        <x:v>294802.1737119019</x:v>
      </x:c>
      <x:c r="K5" s="31" t="n">
        <x:v>38090.207594901105</x:v>
      </x:c>
      <x:c r="L5" s="31" t="n">
        <x:v>201899.126142926</x:v>
      </x:c>
      <x:c r="M5" s="31" t="n">
        <x:v>130993.255163877</x:v>
      </x:c>
      <x:c r="N5" s="24" t="str">
        <x:v>oncorhynchus gorbuscha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Oncorhynchus gorbuscha</x:v>
      </x:c>
      <x:c r="T5" s="32" t="n">
        <x:f>IF(O5="","",(1/'Metadata'!$B$5)^(O5-1))</x:f>
        <x:v>3090.295432513592</x:v>
      </x:c>
      <x:c r="U5" s="31" t="n">
        <x:f>IF(T5="","",I5*T5)</x:f>
        <x:v>1028735805.4709862</x:v>
      </x:c>
    </x:row>
    <x:row r="6" ht="18" customHeight="1">
      <x:c r="A6" s="24" t="str">
        <x:v>LME_052</x:v>
      </x:c>
      <x:c r="B6" s="24" t="str">
        <x:v>Sea of Okhotsk</x:v>
      </x:c>
      <x:c r="C6" s="24" t="str">
        <x:v>LME</x:v>
      </x:c>
      <x:c r="D6" s="30" t="n">
        <x:v>2019</x:v>
      </x:c>
      <x:c r="E6" s="24" t="str">
        <x:v>Oncorhynchus keta</x:v>
      </x:c>
      <x:c r="F6" s="24" t="str">
        <x:v>Chum salmon</x:v>
      </x:c>
      <x:c r="G6" s="24" t="str">
        <x:v>Large benthopelagics (&gt;=90 cm)</x:v>
      </x:c>
      <x:c r="H6" s="24" t="str">
        <x:v>Salmon, smelts, etc</x:v>
      </x:c>
      <x:c r="I6" s="31" t="n">
        <x:v>143367.6820607762</x:v>
      </x:c>
      <x:c r="J6" s="31" t="n">
        <x:v>143367.6820607762</x:v>
      </x:c>
      <x:c r="K6" s="31" t="n">
        <x:v>0</x:v>
      </x:c>
      <x:c r="L6" s="31" t="n">
        <x:v>48546.446560204495</x:v>
      </x:c>
      <x:c r="M6" s="31" t="n">
        <x:v>94821.2355005717</x:v>
      </x:c>
      <x:c r="N6" s="24" t="str">
        <x:v>oncorhynchus keta</x:v>
      </x:c>
      <x:c r="O6" s="32" t="n">
        <x:v>3.74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Oncorhynchus keta</x:v>
      </x:c>
      <x:c r="T6" s="32" t="n">
        <x:f>IF(O6="","",(1/'Metadata'!$B$5)^(O6-1))</x:f>
        <x:v>549.5408738576248</x:v>
      </x:c>
      <x:c r="U6" s="31" t="n">
        <x:f>IF(T6="","",I6*T6)</x:f>
        <x:v>78786401.28262106</x:v>
      </x:c>
    </x:row>
    <x:row r="7" ht="18" customHeight="1">
      <x:c r="A7" s="24" t="str">
        <x:v>LME_052</x:v>
      </x:c>
      <x:c r="B7" s="24" t="str">
        <x:v>Sea of Okhotsk</x:v>
      </x:c>
      <x:c r="C7" s="24" t="str">
        <x:v>LME</x:v>
      </x:c>
      <x:c r="D7" s="30" t="n">
        <x:v>2019</x:v>
      </x:c>
      <x:c r="E7" s="24" t="str">
        <x:v>Gadus macrocephalus</x:v>
      </x:c>
      <x:c r="F7" s="24" t="str">
        <x:v>Pacific cod</x:v>
      </x:c>
      <x:c r="G7" s="24" t="str">
        <x:v>Large demersals (&gt;=90 cm)</x:v>
      </x:c>
      <x:c r="H7" s="24" t="str">
        <x:v>Cod-likes</x:v>
      </x:c>
      <x:c r="I7" s="31" t="n">
        <x:v>128809.9314916162</x:v>
      </x:c>
      <x:c r="J7" s="31" t="n">
        <x:v>104755.3886975174</x:v>
      </x:c>
      <x:c r="K7" s="31" t="n">
        <x:v>24054.5427940988</x:v>
      </x:c>
      <x:c r="L7" s="31" t="n">
        <x:v>91003.1687145816</x:v>
      </x:c>
      <x:c r="M7" s="31" t="n">
        <x:v>37806.7627770346</x:v>
      </x:c>
      <x:c r="N7" s="24" t="str">
        <x:v>gadus macrocephalus</x:v>
      </x:c>
      <x:c r="O7" s="32" t="n">
        <x:v>4.16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Gadus macrocephalus</x:v>
      </x:c>
      <x:c r="T7" s="32" t="n">
        <x:f>IF(O7="","",(1/'Metadata'!$B$5)^(O7-1))</x:f>
        <x:v>1445.439770745928</x:v>
      </x:c>
      <x:c r="U7" s="31" t="n">
        <x:f>IF(T7="","",I7*T7)</x:f>
        <x:v>186186997.8450404</x:v>
      </x:c>
    </x:row>
    <x:row r="8" ht="18" customHeight="1">
      <x:c r="A8" s="24" t="str">
        <x:v>LME_052</x:v>
      </x:c>
      <x:c r="B8" s="24" t="str">
        <x:v>Sea of Okhotsk</x:v>
      </x:c>
      <x:c r="C8" s="24" t="str">
        <x:v>LME</x:v>
      </x:c>
      <x:c r="D8" s="30" t="n">
        <x:v>2019</x:v>
      </x:c>
      <x:c r="E8" s="24" t="str">
        <x:v>Sardinops sagax</x:v>
      </x:c>
      <x:c r="F8" s="24" t="str">
        <x:v>South American pilchard</x:v>
      </x:c>
      <x:c r="G8" s="24" t="str">
        <x:v>Medium pelagics (30 - 89 cm)</x:v>
      </x:c>
      <x:c r="H8" s="24" t="str">
        <x:v>Herring-likes</x:v>
      </x:c>
      <x:c r="I8" s="31" t="n">
        <x:v>81121.5847171905</x:v>
      </x:c>
      <x:c r="J8" s="31" t="n">
        <x:v>81099.5877493409</x:v>
      </x:c>
      <x:c r="K8" s="31" t="n">
        <x:v>21.9969678496</x:v>
      </x:c>
      <x:c r="L8" s="31" t="n">
        <x:v>80330.55149769591</x:v>
      </x:c>
      <x:c r="M8" s="31" t="n">
        <x:v>791.0332194946</x:v>
      </x:c>
      <x:c r="N8" s="24" t="str">
        <x:v>sardinops sagax</x:v>
      </x:c>
      <x:c r="O8" s="32" t="n">
        <x:v>2.84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Sardinops sagax</x:v>
      </x:c>
      <x:c r="T8" s="32" t="n">
        <x:f>IF(O8="","",(1/'Metadata'!$B$5)^(O8-1))</x:f>
        <x:v>69.18309709189363</x:v>
      </x:c>
      <x:c r="U8" s="31" t="n">
        <x:f>IF(T8="","",I8*T8)</x:f>
        <x:v>5612242.471737665</x:v>
      </x:c>
    </x:row>
    <x:row r="9" ht="18" customHeight="1">
      <x:c r="A9" s="24" t="str">
        <x:v>LME_052</x:v>
      </x:c>
      <x:c r="B9" s="24" t="str">
        <x:v>Sea of Okhotsk</x:v>
      </x:c>
      <x:c r="C9" s="24" t="str">
        <x:v>LME</x:v>
      </x:c>
      <x:c r="D9" s="30" t="n">
        <x:v>2019</x:v>
      </x:c>
      <x:c r="E9" s="24" t="str">
        <x:v>Teuthida</x:v>
      </x:c>
      <x:c r="F9" s="24" t="str">
        <x:v>Squids</x:v>
      </x:c>
      <x:c r="G9" s="24" t="str">
        <x:v>Cephalopods</x:v>
      </x:c>
      <x:c r="H9" s="24" t="str">
        <x:v>Other fishes &amp; inverts</x:v>
      </x:c>
      <x:c r="I9" s="31" t="n">
        <x:v>57346.99703172629</x:v>
      </x:c>
      <x:c r="J9" s="31" t="n">
        <x:v>57346.99703172629</x:v>
      </x:c>
      <x:c r="K9" s="31" t="n">
        <x:v>0</x:v>
      </x:c>
      <x:c r="L9" s="31" t="n">
        <x:v>47852.1447879413</x:v>
      </x:c>
      <x:c r="M9" s="31" t="n">
        <x:v>9494.852243785</x:v>
      </x:c>
      <x:c r="N9" s="24" t="str">
        <x:v>teuthida</x:v>
      </x:c>
      <x:c r="O9" s="32" t="n">
        <x:v>4.13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Teuthida</x:v>
      </x:c>
      <x:c r="T9" s="32" t="n">
        <x:f>IF(O9="","",(1/'Metadata'!$B$5)^(O9-1))</x:f>
        <x:v>1348.9628825916532</x:v>
      </x:c>
      <x:c r="U9" s="31" t="n">
        <x:f>IF(T9="","",I9*T9)</x:f>
        <x:v>77358970.42389248</x:v>
      </x:c>
    </x:row>
    <x:row r="10" ht="18" customHeight="1">
      <x:c r="A10" s="24" t="str">
        <x:v>LME_052</x:v>
      </x:c>
      <x:c r="B10" s="24" t="str">
        <x:v>Sea of Okhotsk</x:v>
      </x:c>
      <x:c r="C10" s="24" t="str">
        <x:v>LME</x:v>
      </x:c>
      <x:c r="D10" s="30" t="n">
        <x:v>2019</x:v>
      </x:c>
      <x:c r="E10" s="24" t="str">
        <x:v>Oncorhynchus nerka</x:v>
      </x:c>
      <x:c r="F10" s="24" t="str">
        <x:v>Sockeye salmon</x:v>
      </x:c>
      <x:c r="G10" s="24" t="str">
        <x:v>Medium pelagics (30 - 89 cm)</x:v>
      </x:c>
      <x:c r="H10" s="24" t="str">
        <x:v>Salmon, smelts, etc</x:v>
      </x:c>
      <x:c r="I10" s="31" t="n">
        <x:v>56581.4036861205</x:v>
      </x:c>
      <x:c r="J10" s="31" t="n">
        <x:v>52343.2555856278</x:v>
      </x:c>
      <x:c r="K10" s="31" t="n">
        <x:v>4238.1481004927</x:v>
      </x:c>
      <x:c r="L10" s="31" t="n">
        <x:v>34239.912744633795</x:v>
      </x:c>
      <x:c r="M10" s="31" t="n">
        <x:v>22341.490941486703</x:v>
      </x:c>
      <x:c r="N10" s="24" t="str">
        <x:v>oncorhynchus nerka</x:v>
      </x:c>
      <x:c r="O10" s="32" t="n">
        <x:v>3.54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Oncorhynchus nerka</x:v>
      </x:c>
      <x:c r="T10" s="32" t="n">
        <x:f>IF(O10="","",(1/'Metadata'!$B$5)^(O10-1))</x:f>
        <x:v>346.73685045253166</x:v>
      </x:c>
      <x:c r="U10" s="31" t="n">
        <x:f>IF(T10="","",I10*T10)</x:f>
        <x:v>19618857.70830869</x:v>
      </x:c>
    </x:row>
    <x:row r="11" ht="18" customHeight="1">
      <x:c r="A11" s="24" t="str">
        <x:v>LME_052</x:v>
      </x:c>
      <x:c r="B11" s="24" t="str">
        <x:v>Sea of Okhotsk</x:v>
      </x:c>
      <x:c r="C11" s="24" t="str">
        <x:v>LME</x:v>
      </x:c>
      <x:c r="D11" s="30" t="n">
        <x:v>2019</x:v>
      </x:c>
      <x:c r="E11" s="24" t="str">
        <x:v>Pleuronectiformes</x:v>
      </x:c>
      <x:c r="F11" s="24" t="str">
        <x:v>Flatfishes</x:v>
      </x:c>
      <x:c r="G11" s="24" t="str">
        <x:v>Small to medium flatfishes (&lt;90 cm)</x:v>
      </x:c>
      <x:c r="H11" s="24" t="str">
        <x:v>Flatfishes</x:v>
      </x:c>
      <x:c r="I11" s="31" t="n">
        <x:v>52221.8966446188</x:v>
      </x:c>
      <x:c r="J11" s="31" t="n">
        <x:v>47990.3200956189</x:v>
      </x:c>
      <x:c r="K11" s="31" t="n">
        <x:v>4231.576548999899</x:v>
      </x:c>
      <x:c r="L11" s="31" t="n">
        <x:v>37430.8760626906</x:v>
      </x:c>
      <x:c r="M11" s="31" t="n">
        <x:v>14791.020581928202</x:v>
      </x:c>
      <x:c r="N11" s="24" t="str">
        <x:v>pleuronectiformes</x:v>
      </x:c>
      <x:c r="O11" s="32" t="n">
        <x:v>3.57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Pleuronectiformes</x:v>
      </x:c>
      <x:c r="T11" s="32" t="n">
        <x:f>IF(O11="","",(1/'Metadata'!$B$5)^(O11-1))</x:f>
        <x:v>371.5352290971724</x:v>
      </x:c>
      <x:c r="U11" s="31" t="n">
        <x:f>IF(T11="","",I11*T11)</x:f>
        <x:v>19402274.333747305</x:v>
      </x:c>
    </x:row>
    <x:row r="12" ht="18" customHeight="1">
      <x:c r="A12" s="24" t="str">
        <x:v>LME_052</x:v>
      </x:c>
      <x:c r="B12" s="24" t="str">
        <x:v>Sea of Okhotsk</x:v>
      </x:c>
      <x:c r="C12" s="24" t="str">
        <x:v>LME</x:v>
      </x:c>
      <x:c r="D12" s="30" t="n">
        <x:v>2019</x:v>
      </x:c>
      <x:c r="E12" s="24" t="str">
        <x:v>Eleginus gracilis</x:v>
      </x:c>
      <x:c r="F12" s="24" t="str">
        <x:v>Saffron cod</x:v>
      </x:c>
      <x:c r="G12" s="24" t="str">
        <x:v>Medium demersals (30 - 89 cm)</x:v>
      </x:c>
      <x:c r="H12" s="24" t="str">
        <x:v>Cod-likes</x:v>
      </x:c>
      <x:c r="I12" s="31" t="n">
        <x:v>35580.6827758283</x:v>
      </x:c>
      <x:c r="J12" s="31" t="n">
        <x:v>32367.8836826624</x:v>
      </x:c>
      <x:c r="K12" s="31" t="n">
        <x:v>3212.7990931659</x:v>
      </x:c>
      <x:c r="L12" s="31" t="n">
        <x:v>24341.437754562</x:v>
      </x:c>
      <x:c r="M12" s="31" t="n">
        <x:v>11239.2450212663</x:v>
      </x:c>
      <x:c r="N12" s="24" t="str">
        <x:v>eleginus gracilis</x:v>
      </x:c>
      <x:c r="O12" s="32" t="n">
        <x:v>4.1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Eleginus gracilis</x:v>
      </x:c>
      <x:c r="T12" s="32" t="n">
        <x:f>IF(O12="","",(1/'Metadata'!$B$5)^(O12-1))</x:f>
        <x:v>1258.9254117941662</x:v>
      </x:c>
      <x:c r="U12" s="31" t="n">
        <x:f>IF(T12="","",I12*T12)</x:f>
        <x:v>44793425.71547724</x:v>
      </x:c>
    </x:row>
    <x:row r="13" ht="18" customHeight="1">
      <x:c r="A13" s="24" t="str">
        <x:v>LME_052</x:v>
      </x:c>
      <x:c r="B13" s="24" t="str">
        <x:v>Sea of Okhotsk</x:v>
      </x:c>
      <x:c r="C13" s="24" t="str">
        <x:v>LME</x:v>
      </x:c>
      <x:c r="D13" s="30" t="n">
        <x:v>2019</x:v>
      </x:c>
      <x:c r="E13" s="24" t="str">
        <x:v>Chionoecetes</x:v>
      </x:c>
      <x:c r="F13" s="24" t="str">
        <x:v>Tanner, snow crabs</x:v>
      </x:c>
      <x:c r="G13" s="24" t="str">
        <x:v>Lobsters, crabs</x:v>
      </x:c>
      <x:c r="H13" s="24" t="str">
        <x:v>Crustaceans</x:v>
      </x:c>
      <x:c r="I13" s="31" t="n">
        <x:v>30271.9314727819</x:v>
      </x:c>
      <x:c r="J13" s="31" t="n">
        <x:v>30271.9314727819</x:v>
      </x:c>
      <x:c r="K13" s="31" t="n">
        <x:v>0</x:v>
      </x:c>
      <x:c r="L13" s="31" t="n">
        <x:v>21462.1044441155</x:v>
      </x:c>
      <x:c r="M13" s="31" t="n">
        <x:v>8809.8270286664</x:v>
      </x:c>
      <x:c r="N13" s="24" t="str">
        <x:v>chionoecetes</x:v>
      </x:c>
      <x:c r="O13" s="32" t="n">
        <x:v>2.3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Chionoecetes</x:v>
      </x:c>
      <x:c r="T13" s="32" t="n">
        <x:f>IF(O13="","",(1/'Metadata'!$B$5)^(O13-1))</x:f>
        <x:v>19.952623149688787</x:v>
      </x:c>
      <x:c r="U13" s="31" t="n">
        <x:f>IF(T13="","",I13*T13)</x:f>
        <x:v>604004.4406896207</x:v>
      </x:c>
    </x:row>
    <x:row r="14" ht="18" customHeight="1">
      <x:c r="A14" s="24" t="str">
        <x:v>LME_052</x:v>
      </x:c>
      <x:c r="B14" s="24" t="str">
        <x:v>Sea of Okhotsk</x:v>
      </x:c>
      <x:c r="C14" s="24" t="str">
        <x:v>LME</x:v>
      </x:c>
      <x:c r="D14" s="30" t="n">
        <x:v>2019</x:v>
      </x:c>
      <x:c r="E14" s="24" t="str">
        <x:v>Oncorhynchus kisutch</x:v>
      </x:c>
      <x:c r="F14" s="24" t="str">
        <x:v>Coho salmon</x:v>
      </x:c>
      <x:c r="G14" s="24" t="str">
        <x:v>Large demersals (&gt;=90 cm)</x:v>
      </x:c>
      <x:c r="H14" s="24" t="str">
        <x:v>Salmon, smelts, etc</x:v>
      </x:c>
      <x:c r="I14" s="31" t="n">
        <x:v>28214.4141884317</x:v>
      </x:c>
      <x:c r="J14" s="31" t="n">
        <x:v>28214.4141884317</x:v>
      </x:c>
      <x:c r="K14" s="31" t="n">
        <x:v>0</x:v>
      </x:c>
      <x:c r="L14" s="31" t="n">
        <x:v>4977.5487905035</x:v>
      </x:c>
      <x:c r="M14" s="31" t="n">
        <x:v>23236.865397928203</x:v>
      </x:c>
      <x:c r="N14" s="24" t="str">
        <x:v>oncorhynchus kisutch</x:v>
      </x:c>
      <x:c r="O14" s="32" t="n">
        <x:v>4.22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Oncorhynchus kisutch</x:v>
      </x:c>
      <x:c r="T14" s="32" t="n">
        <x:f>IF(O14="","",(1/'Metadata'!$B$5)^(O14-1))</x:f>
        <x:v>1659.5869074375596</x:v>
      </x:c>
      <x:c r="U14" s="31" t="n">
        <x:f>IF(T14="","",I14*T14)</x:f>
        <x:v>46824272.388141766</x:v>
      </x:c>
    </x:row>
    <x:row r="15" ht="18" customHeight="1">
      <x:c r="A15" s="24" t="str">
        <x:v>LME_052</x:v>
      </x:c>
      <x:c r="B15" s="24" t="str">
        <x:v>Sea of Okhotsk</x:v>
      </x:c>
      <x:c r="C15" s="24" t="str">
        <x:v>LME</x:v>
      </x:c>
      <x:c r="D15" s="30" t="n">
        <x:v>2019</x:v>
      </x:c>
      <x:c r="E15" s="24" t="str">
        <x:v>Oncorhynchus</x:v>
      </x:c>
      <x:c r="F15" s="24" t="str">
        <x:v>Salmons, trouts</x:v>
      </x:c>
      <x:c r="G15" s="24" t="str">
        <x:v>Large benthopelagics (&gt;=90 cm)</x:v>
      </x:c>
      <x:c r="H15" s="24" t="str">
        <x:v>Salmon, smelts, etc</x:v>
      </x:c>
      <x:c r="I15" s="31" t="n">
        <x:v>27045.2611157805</x:v>
      </x:c>
      <x:c r="J15" s="31" t="n">
        <x:v>21150.6875526552</x:v>
      </x:c>
      <x:c r="K15" s="31" t="n">
        <x:v>5894.5735631253</x:v>
      </x:c>
      <x:c r="L15" s="31" t="n">
        <x:v>5677.5906520386</x:v>
      </x:c>
      <x:c r="M15" s="31" t="n">
        <x:v>21367.6704637419</x:v>
      </x:c>
      <x:c r="N15" s="24" t="str">
        <x:v>oncorhynchus</x:v>
      </x:c>
      <x:c r="O15" s="32" t="n">
        <x:v>3.95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Oncorhynchus</x:v>
      </x:c>
      <x:c r="T15" s="32" t="n">
        <x:f>IF(O15="","",(1/'Metadata'!$B$5)^(O15-1))</x:f>
        <x:v>891.2509381337459</x:v>
      </x:c>
      <x:c r="U15" s="31" t="n">
        <x:f>IF(T15="","",I15*T15)</x:f>
        <x:v>24104114.341511488</x:v>
      </x:c>
    </x:row>
    <x:row r="16" ht="18" customHeight="1">
      <x:c r="A16" s="24" t="str">
        <x:v>LME_052</x:v>
      </x:c>
      <x:c r="B16" s="24" t="str">
        <x:v>Sea of Okhotsk</x:v>
      </x:c>
      <x:c r="C16" s="24" t="str">
        <x:v>LME</x:v>
      </x:c>
      <x:c r="D16" s="30" t="n">
        <x:v>2019</x:v>
      </x:c>
      <x:c r="E16" s="24" t="str">
        <x:v>Mallotus villosus</x:v>
      </x:c>
      <x:c r="F16" s="24" t="str">
        <x:v>Capelin</x:v>
      </x:c>
      <x:c r="G16" s="24" t="str">
        <x:v>Small pelagics (&lt;30 cm)</x:v>
      </x:c>
      <x:c r="H16" s="24" t="str">
        <x:v>Salmon, smelts, etc</x:v>
      </x:c>
      <x:c r="I16" s="31" t="n">
        <x:v>23982.4131209344</x:v>
      </x:c>
      <x:c r="J16" s="31" t="n">
        <x:v>10845.5065915596</x:v>
      </x:c>
      <x:c r="K16" s="31" t="n">
        <x:v>13136.9065293748</x:v>
      </x:c>
      <x:c r="L16" s="31" t="n">
        <x:v>8611.3400728791</x:v>
      </x:c>
      <x:c r="M16" s="31" t="n">
        <x:v>15371.073048055301</x:v>
      </x:c>
      <x:c r="N16" s="24" t="str">
        <x:v>mallotus villosus</x:v>
      </x:c>
      <x:c r="O16" s="32" t="n">
        <x:v>3.15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Mallotus villosus</x:v>
      </x:c>
      <x:c r="T16" s="32" t="n">
        <x:f>IF(O16="","",(1/'Metadata'!$B$5)^(O16-1))</x:f>
        <x:v>141.2537544622754</x:v>
      </x:c>
      <x:c r="U16" s="31" t="n">
        <x:f>IF(T16="","",I16*T16)</x:f>
        <x:v>3387605.8943973198</x:v>
      </x:c>
    </x:row>
    <x:row r="17" ht="18" customHeight="1">
      <x:c r="A17" s="24" t="str">
        <x:v>LME_052</x:v>
      </x:c>
      <x:c r="B17" s="24" t="str">
        <x:v>Sea of Okhotsk</x:v>
      </x:c>
      <x:c r="C17" s="24" t="str">
        <x:v>LME</x:v>
      </x:c>
      <x:c r="D17" s="30" t="n">
        <x:v>2019</x:v>
      </x:c>
      <x:c r="E17" s="24" t="str">
        <x:v>Scomber japonicus</x:v>
      </x:c>
      <x:c r="F17" s="24" t="str">
        <x:v>Pacific chub mackerel</x:v>
      </x:c>
      <x:c r="G17" s="24" t="str">
        <x:v>Medium pelagics (30 - 89 cm)</x:v>
      </x:c>
      <x:c r="H17" s="24" t="str">
        <x:v>Perch-likes</x:v>
      </x:c>
      <x:c r="I17" s="31" t="n">
        <x:v>23113.347363069697</x:v>
      </x:c>
      <x:c r="J17" s="31" t="n">
        <x:v>23113.347363069697</x:v>
      </x:c>
      <x:c r="K17" s="31" t="n">
        <x:v>0</x:v>
      </x:c>
      <x:c r="L17" s="31" t="n">
        <x:v>22511.723651278797</x:v>
      </x:c>
      <x:c r="M17" s="31" t="n">
        <x:v>601.6237117909</x:v>
      </x:c>
      <x:c r="N17" s="24" t="str">
        <x:v>scomber japonicus</x:v>
      </x:c>
      <x:c r="O17" s="32" t="n">
        <x:v>3.38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 japonicus</x:v>
      </x:c>
      <x:c r="T17" s="32" t="n">
        <x:f>IF(O17="","",(1/'Metadata'!$B$5)^(O17-1))</x:f>
        <x:v>239.88329190194898</x:v>
      </x:c>
      <x:c r="U17" s="31" t="n">
        <x:f>IF(T17="","",I17*T17)</x:f>
        <x:v>5544505.852326391</x:v>
      </x:c>
    </x:row>
    <x:row r="18" ht="18" customHeight="1">
      <x:c r="A18" s="24" t="str">
        <x:v>LME_052</x:v>
      </x:c>
      <x:c r="B18" s="24" t="str">
        <x:v>Sea of Okhotsk</x:v>
      </x:c>
      <x:c r="C18" s="24" t="str">
        <x:v>LME</x:v>
      </x:c>
      <x:c r="D18" s="30" t="n">
        <x:v>2019</x:v>
      </x:c>
      <x:c r="E18" s="24" t="str">
        <x:v>Ammodytes personatus</x:v>
      </x:c>
      <x:c r="F18" s="24" t="str">
        <x:v>Pacific sandlance</x:v>
      </x:c>
      <x:c r="G18" s="24" t="str">
        <x:v>Small demersals (&lt;30 cm)</x:v>
      </x:c>
      <x:c r="H18" s="24" t="str">
        <x:v>Perch-likes</x:v>
      </x:c>
      <x:c r="I18" s="31" t="n">
        <x:v>22825.8619399928</x:v>
      </x:c>
      <x:c r="J18" s="31" t="n">
        <x:v>21821.3726144148</x:v>
      </x:c>
      <x:c r="K18" s="31" t="n">
        <x:v>1004.489325578</x:v>
      </x:c>
      <x:c r="L18" s="31" t="n">
        <x:v>21821.3726144148</x:v>
      </x:c>
      <x:c r="M18" s="31" t="n">
        <x:v>1004.489325578</x:v>
      </x:c>
      <x:c r="N18" s="24" t="str">
        <x:v>ammodytes personatus</x:v>
      </x:c>
      <x:c r="O18" s="32" t="n">
        <x:v>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Ammodytes personatus</x:v>
      </x:c>
      <x:c r="T18" s="32" t="n">
        <x:f>IF(O18="","",(1/'Metadata'!$B$5)^(O18-1))</x:f>
        <x:v>100</x:v>
      </x:c>
      <x:c r="U18" s="31" t="n">
        <x:f>IF(T18="","",I18*T18)</x:f>
        <x:v>2282586.1939992798</x:v>
      </x:c>
    </x:row>
    <x:row r="19" ht="18" customHeight="1">
      <x:c r="A19" s="24" t="str">
        <x:v>LME_052</x:v>
      </x:c>
      <x:c r="B19" s="24" t="str">
        <x:v>Sea of Okhotsk</x:v>
      </x:c>
      <x:c r="C19" s="24" t="str">
        <x:v>LME</x:v>
      </x:c>
      <x:c r="D19" s="30" t="n">
        <x:v>2019</x:v>
      </x:c>
      <x:c r="E19" s="24" t="str">
        <x:v>Paralithodes camtschaticus</x:v>
      </x:c>
      <x:c r="F19" s="24" t="str">
        <x:v>Red king crab</x:v>
      </x:c>
      <x:c r="G19" s="24" t="str">
        <x:v>Lobsters, crabs</x:v>
      </x:c>
      <x:c r="H19" s="24" t="str">
        <x:v>Crustaceans</x:v>
      </x:c>
      <x:c r="I19" s="31" t="n">
        <x:v>19858.3423054301</x:v>
      </x:c>
      <x:c r="J19" s="31" t="n">
        <x:v>19858.3423054301</x:v>
      </x:c>
      <x:c r="K19" s="31" t="n">
        <x:v>0</x:v>
      </x:c>
      <x:c r="L19" s="31" t="n">
        <x:v>11380.3112818074</x:v>
      </x:c>
      <x:c r="M19" s="31" t="n">
        <x:v>8478.0310236227</x:v>
      </x:c>
      <x:c r="N19" s="24" t="str">
        <x:v>paralithodes camtschaticus</x:v>
      </x:c>
      <x:c r="O19" s="32" t="n">
        <x:v>3.7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Paralithodes camtschaticus</x:v>
      </x:c>
      <x:c r="T19" s="32" t="n">
        <x:f>IF(O19="","",(1/'Metadata'!$B$5)^(O19-1))</x:f>
        <x:v>501.18723362727246</x:v>
      </x:c>
      <x:c r="U19" s="31" t="n">
        <x:f>IF(T19="","",I19*T19)</x:f>
        <x:v>9952747.644481944</x:v>
      </x:c>
    </x:row>
    <x:row r="20" ht="18" customHeight="1">
      <x:c r="A20" s="24" t="str">
        <x:v>LME_052</x:v>
      </x:c>
      <x:c r="B20" s="24" t="str">
        <x:v>Sea of Okhotsk</x:v>
      </x:c>
      <x:c r="C20" s="24" t="str">
        <x:v>LME</x:v>
      </x:c>
      <x:c r="D20" s="30" t="n">
        <x:v>2019</x:v>
      </x:c>
      <x:c r="E20" s="24" t="str">
        <x:v>Miscellaneous marine crustaceans</x:v>
      </x:c>
      <x:c r="F20" s="24" t="str">
        <x:v>Marine crabs, shrimps, lobsters nei</x:v>
      </x:c>
      <x:c r="G20" s="24" t="str">
        <x:v>Shrimps</x:v>
      </x:c>
      <x:c r="H20" s="24" t="str">
        <x:v>Crustaceans</x:v>
      </x:c>
      <x:c r="I20" s="31" t="n">
        <x:v>19649.5036989731</x:v>
      </x:c>
      <x:c r="J20" s="31" t="n">
        <x:v>19649.5036989731</x:v>
      </x:c>
      <x:c r="K20" s="31" t="n">
        <x:v>0</x:v>
      </x:c>
      <x:c r="L20" s="31" t="n">
        <x:v>19470.811840702503</x:v>
      </x:c>
      <x:c r="M20" s="31" t="n">
        <x:v>178.6918582706</x:v>
      </x:c>
      <x:c r="N20" s="24" t="str">
        <x:v>miscellaneous marine crustaceans</x:v>
      </x:c>
      <x:c r="O20" s="32" t="n">
        <x:v>2.7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Miscellaneous marine crustaceans</x:v>
      </x:c>
      <x:c r="T20" s="32" t="n">
        <x:f>IF(O20="","",(1/'Metadata'!$B$5)^(O20-1))</x:f>
        <x:v>50.11872336272725</x:v>
      </x:c>
      <x:c r="U20" s="31" t="n">
        <x:f>IF(T20="","",I20*T20)</x:f>
        <x:v>984808.0401037188</x:v>
      </x:c>
    </x:row>
    <x:row r="21" ht="18" customHeight="1">
      <x:c r="A21" s="24" t="str">
        <x:v>LME_052</x:v>
      </x:c>
      <x:c r="B21" s="24" t="str">
        <x:v>Sea of Okhotsk</x:v>
      </x:c>
      <x:c r="C21" s="24" t="str">
        <x:v>LME</x:v>
      </x:c>
      <x:c r="D21" s="30" t="n">
        <x:v>2019</x:v>
      </x:c>
      <x:c r="E21" s="24" t="str">
        <x:v>Pectinidae</x:v>
      </x:c>
      <x:c r="F21" s="24" t="str">
        <x:v>Scallops</x:v>
      </x:c>
      <x:c r="G21" s="24" t="str">
        <x:v>Other demersal invertebrates</x:v>
      </x:c>
      <x:c r="H21" s="24" t="str">
        <x:v>Molluscs</x:v>
      </x:c>
      <x:c r="I21" s="31" t="n">
        <x:v>18212.897029802698</x:v>
      </x:c>
      <x:c r="J21" s="31" t="n">
        <x:v>14181.545981140398</x:v>
      </x:c>
      <x:c r="K21" s="31" t="n">
        <x:v>4031.3510486623</x:v>
      </x:c>
      <x:c r="L21" s="31" t="n">
        <x:v>14181.545981140398</x:v>
      </x:c>
      <x:c r="M21" s="31" t="n">
        <x:v>4031.3510486623</x:v>
      </x:c>
      <x:c r="N21" s="24" t="str">
        <x:v>pectinidae</x:v>
      </x:c>
      <x:c r="O21" s="32" t="n">
        <x:v>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Pectinidae</x:v>
      </x:c>
      <x:c r="T21" s="32" t="n">
        <x:f>IF(O21="","",(1/'Metadata'!$B$5)^(O21-1))</x:f>
        <x:v>10</x:v>
      </x:c>
      <x:c r="U21" s="31" t="n">
        <x:f>IF(T21="","",I21*T21)</x:f>
        <x:v>182128.97029802698</x:v>
      </x:c>
    </x:row>
    <x:row r="22" ht="18" customHeight="1">
      <x:c r="A22" s="24" t="str">
        <x:v>LME_052</x:v>
      </x:c>
      <x:c r="B22" s="24" t="str">
        <x:v>Sea of Okhotsk</x:v>
      </x:c>
      <x:c r="C22" s="24" t="str">
        <x:v>LME</x:v>
      </x:c>
      <x:c r="D22" s="30" t="n">
        <x:v>2019</x:v>
      </x:c>
      <x:c r="E22" s="24" t="str">
        <x:v>Pleurogrammus monopterygius</x:v>
      </x:c>
      <x:c r="F22" s="24" t="str">
        <x:v>Atka mackerel</x:v>
      </x:c>
      <x:c r="G22" s="24" t="str">
        <x:v>Medium demersals (30 - 89 cm)</x:v>
      </x:c>
      <x:c r="H22" s="24" t="str">
        <x:v>Scorpionfishes</x:v>
      </x:c>
      <x:c r="I22" s="31" t="n">
        <x:v>17700.8478623175</x:v>
      </x:c>
      <x:c r="J22" s="31" t="n">
        <x:v>14095.1902776881</x:v>
      </x:c>
      <x:c r="K22" s="31" t="n">
        <x:v>3605.6575846294</x:v>
      </x:c>
      <x:c r="L22" s="31" t="n">
        <x:v>10577.3202383271</x:v>
      </x:c>
      <x:c r="M22" s="31" t="n">
        <x:v>7123.5276239904</x:v>
      </x:c>
      <x:c r="N22" s="24" t="str">
        <x:v>pleurogrammus monopterygius</x:v>
      </x:c>
      <x:c r="O22" s="32" t="n">
        <x:v>3.38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Pleurogrammus monopterygius</x:v>
      </x:c>
      <x:c r="T22" s="32" t="n">
        <x:f>IF(O22="","",(1/'Metadata'!$B$5)^(O22-1))</x:f>
        <x:v>239.88329190194898</x:v>
      </x:c>
      <x:c r="U22" s="31" t="n">
        <x:f>IF(T22="","",I22*T22)</x:f>
        <x:v>4246137.654668299</x:v>
      </x:c>
    </x:row>
    <x:row r="23" ht="18" customHeight="1">
      <x:c r="A23" s="24" t="str">
        <x:v>LME_052</x:v>
      </x:c>
      <x:c r="B23" s="24" t="str">
        <x:v>Sea of Okhotsk</x:v>
      </x:c>
      <x:c r="C23" s="24" t="str">
        <x:v>LME</x:v>
      </x:c>
      <x:c r="D23" s="30" t="n">
        <x:v>2019</x:v>
      </x:c>
      <x:c r="E23" s="24" t="str">
        <x:v>Scomber</x:v>
      </x:c>
      <x:c r="F23" s="24" t="str">
        <x:v>Chub mackerels</x:v>
      </x:c>
      <x:c r="G23" s="24" t="str">
        <x:v>Medium pelagics (30 - 89 cm)</x:v>
      </x:c>
      <x:c r="H23" s="24" t="str">
        <x:v>Perch-likes</x:v>
      </x:c>
      <x:c r="I23" s="31" t="n">
        <x:v>17012.1764202864</x:v>
      </x:c>
      <x:c r="J23" s="31" t="n">
        <x:v>16694.2564205856</x:v>
      </x:c>
      <x:c r="K23" s="31" t="n">
        <x:v>317.91999970079996</x:v>
      </x:c>
      <x:c r="L23" s="31" t="n">
        <x:v>16107.702228973401</x:v>
      </x:c>
      <x:c r="M23" s="31" t="n">
        <x:v>904.474191313</x:v>
      </x:c>
      <x:c r="N23" s="24" t="str">
        <x:v>scomber</x:v>
      </x:c>
      <x:c r="O23" s="32" t="n">
        <x:v>3.65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Scomber</x:v>
      </x:c>
      <x:c r="T23" s="32" t="n">
        <x:f>IF(O23="","",(1/'Metadata'!$B$5)^(O23-1))</x:f>
        <x:v>446.683592150963</x:v>
      </x:c>
      <x:c r="U23" s="31" t="n">
        <x:f>IF(T23="","",I23*T23)</x:f>
        <x:v>7599060.07371944</x:v>
      </x:c>
    </x:row>
    <x:row r="24" ht="18" customHeight="1">
      <x:c r="A24" s="24" t="str">
        <x:v>LME_052</x:v>
      </x:c>
      <x:c r="B24" s="24" t="str">
        <x:v>Sea of Okhotsk</x:v>
      </x:c>
      <x:c r="C24" s="24" t="str">
        <x:v>LME</x:v>
      </x:c>
      <x:c r="D24" s="30" t="n">
        <x:v>2019</x:v>
      </x:c>
      <x:c r="E24" s="24" t="str">
        <x:v>Decapoda</x:v>
      </x:c>
      <x:c r="F24" s="24" t="str">
        <x:v>Crabs, lobsters, shrimps</x:v>
      </x:c>
      <x:c r="G24" s="24" t="str">
        <x:v>Lobsters, crabs</x:v>
      </x:c>
      <x:c r="H24" s="24" t="str">
        <x:v>Crustaceans</x:v>
      </x:c>
      <x:c r="I24" s="31" t="n">
        <x:v>11617.845602946401</x:v>
      </x:c>
      <x:c r="J24" s="31" t="n">
        <x:v>11434.2194392857</x:v>
      </x:c>
      <x:c r="K24" s="31" t="n">
        <x:v>183.6261636607</x:v>
      </x:c>
      <x:c r="L24" s="31" t="n">
        <x:v>10855.2550108346</x:v>
      </x:c>
      <x:c r="M24" s="31" t="n">
        <x:v>762.5905921118</x:v>
      </x:c>
      <x:c r="N24" s="24" t="str">
        <x:v>decapoda</x:v>
      </x:c>
      <x:c r="O24" s="32" t="n">
        <x:v>3.43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Decapoda</x:v>
      </x:c>
      <x:c r="T24" s="32" t="n">
        <x:f>IF(O24="","",(1/'Metadata'!$B$5)^(O24-1))</x:f>
        <x:v>269.1534803926917</x:v>
      </x:c>
      <x:c r="U24" s="31" t="n">
        <x:f>IF(T24="","",I24*T24)</x:f>
        <x:v>3126983.5786979534</x:v>
      </x:c>
    </x:row>
    <x:row r="25" ht="18" customHeight="1">
      <x:c r="A25" s="24" t="str">
        <x:v>LME_052</x:v>
      </x:c>
      <x:c r="B25" s="24" t="str">
        <x:v>Sea of Okhotsk</x:v>
      </x:c>
      <x:c r="C25" s="24" t="str">
        <x:v>LME</x:v>
      </x:c>
      <x:c r="D25" s="30" t="n">
        <x:v>2019</x:v>
      </x:c>
      <x:c r="E25" s="24" t="str">
        <x:v>Cololabis saira</x:v>
      </x:c>
      <x:c r="F25" s="24" t="str">
        <x:v>Pacific saury</x:v>
      </x:c>
      <x:c r="G25" s="24" t="str">
        <x:v>Medium pelagics (30 - 89 cm)</x:v>
      </x:c>
      <x:c r="H25" s="24" t="str">
        <x:v>Other fishes &amp; inverts</x:v>
      </x:c>
      <x:c r="I25" s="31" t="n">
        <x:v>10763.8627483866</x:v>
      </x:c>
      <x:c r="J25" s="31" t="n">
        <x:v>10470.0616883814</x:v>
      </x:c>
      <x:c r="K25" s="31" t="n">
        <x:v>293.8010600052</x:v>
      </x:c>
      <x:c r="L25" s="31" t="n">
        <x:v>8777.0571425201</x:v>
      </x:c>
      <x:c r="M25" s="31" t="n">
        <x:v>1986.8056058665</x:v>
      </x:c>
      <x:c r="N25" s="24" t="str">
        <x:v>cololabis saira</x:v>
      </x:c>
      <x:c r="O25" s="32" t="n">
        <x:v>3.71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Cololabis saira</x:v>
      </x:c>
      <x:c r="T25" s="32" t="n">
        <x:f>IF(O25="","",(1/'Metadata'!$B$5)^(O25-1))</x:f>
        <x:v>512.8613839913648</x:v>
      </x:c>
      <x:c r="U25" s="31" t="n">
        <x:f>IF(T25="","",I25*T25)</x:f>
        <x:v>5520369.546230648</x:v>
      </x:c>
    </x:row>
    <x:row r="26" ht="18" customHeight="1">
      <x:c r="A26" s="24" t="str">
        <x:v>LME_052</x:v>
      </x:c>
      <x:c r="B26" s="24" t="str">
        <x:v>Sea of Okhotsk</x:v>
      </x:c>
      <x:c r="C26" s="24" t="str">
        <x:v>LME</x:v>
      </x:c>
      <x:c r="D26" s="30" t="n">
        <x:v>2019</x:v>
      </x:c>
      <x:c r="E26" s="24" t="str">
        <x:v>Pandalus borealis</x:v>
      </x:c>
      <x:c r="F26" s="24" t="str">
        <x:v>Northern prawn</x:v>
      </x:c>
      <x:c r="G26" s="24" t="str">
        <x:v>Shrimps</x:v>
      </x:c>
      <x:c r="H26" s="24" t="str">
        <x:v>Crustaceans</x:v>
      </x:c>
      <x:c r="I26" s="31" t="n">
        <x:v>10717.5797845225</x:v>
      </x:c>
      <x:c r="J26" s="31" t="n">
        <x:v>10717.5797845225</x:v>
      </x:c>
      <x:c r="K26" s="31" t="n">
        <x:v>0</x:v>
      </x:c>
      <x:c r="L26" s="31" t="n">
        <x:v>8402.632560534099</x:v>
      </x:c>
      <x:c r="M26" s="31" t="n">
        <x:v>2314.9472239884003</x:v>
      </x:c>
      <x:c r="N26" s="24" t="str">
        <x:v>pandalus borealis</x:v>
      </x:c>
      <x:c r="O26" s="32" t="n">
        <x:v>3.07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Pandalus borealis</x:v>
      </x:c>
      <x:c r="T26" s="32" t="n">
        <x:f>IF(O26="","",(1/'Metadata'!$B$5)^(O26-1))</x:f>
        <x:v>117.48975549395291</x:v>
      </x:c>
      <x:c r="U26" s="31" t="n">
        <x:f>IF(T26="","",I26*T26)</x:f>
        <x:v>1259205.828370481</x:v>
      </x:c>
    </x:row>
    <x:row r="27" ht="18" customHeight="1">
      <x:c r="A27" s="24" t="str">
        <x:v>LME_052</x:v>
      </x:c>
      <x:c r="B27" s="24" t="str">
        <x:v>Sea of Okhotsk</x:v>
      </x:c>
      <x:c r="C27" s="24" t="str">
        <x:v>LME</x:v>
      </x:c>
      <x:c r="D27" s="30" t="n">
        <x:v>2019</x:v>
      </x:c>
      <x:c r="E27" s="24" t="str">
        <x:v>Engraulis japonicus</x:v>
      </x:c>
      <x:c r="F27" s="24" t="str">
        <x:v>Japanese anchovy</x:v>
      </x:c>
      <x:c r="G27" s="24" t="str">
        <x:v>Small pelagics (&lt;30 cm)</x:v>
      </x:c>
      <x:c r="H27" s="24" t="str">
        <x:v>Anchovies</x:v>
      </x:c>
      <x:c r="I27" s="31" t="n">
        <x:v>10377.7610720746</x:v>
      </x:c>
      <x:c r="J27" s="31" t="n">
        <x:v>9948.5047405235</x:v>
      </x:c>
      <x:c r="K27" s="31" t="n">
        <x:v>429.25633155109995</x:v>
      </x:c>
      <x:c r="L27" s="31" t="n">
        <x:v>9948.5047405235</x:v>
      </x:c>
      <x:c r="M27" s="31" t="n">
        <x:v>429.25633155109995</x:v>
      </x:c>
      <x:c r="N27" s="24" t="str">
        <x:v>engraulis japonicus</x:v>
      </x:c>
      <x:c r="O27" s="32" t="n">
        <x:v>3.14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Engraulis japonicus</x:v>
      </x:c>
      <x:c r="T27" s="32" t="n">
        <x:f>IF(O27="","",(1/'Metadata'!$B$5)^(O27-1))</x:f>
        <x:v>138.03842646028852</x:v>
      </x:c>
      <x:c r="U27" s="31" t="n">
        <x:f>IF(T27="","",I27*T27)</x:f>
        <x:v>1432529.8085700145</x:v>
      </x:c>
    </x:row>
    <x:row r="28" ht="18" customHeight="1">
      <x:c r="A28" s="24" t="str">
        <x:v>LME_052</x:v>
      </x:c>
      <x:c r="B28" s="24" t="str">
        <x:v>Sea of Okhotsk</x:v>
      </x:c>
      <x:c r="C28" s="24" t="str">
        <x:v>LME</x:v>
      </x:c>
      <x:c r="D28" s="30" t="n">
        <x:v>2019</x:v>
      </x:c>
      <x:c r="E28" s="24" t="str">
        <x:v>Mizuhopecten yessoensis</x:v>
      </x:c>
      <x:c r="F28" s="24" t="str">
        <x:v>Yesso scallop</x:v>
      </x:c>
      <x:c r="G28" s="24" t="str">
        <x:v>Other demersal invertebrates</x:v>
      </x:c>
      <x:c r="H28" s="24" t="str">
        <x:v>Molluscs</x:v>
      </x:c>
      <x:c r="I28" s="31" t="n">
        <x:v>9271.0769800629</x:v>
      </x:c>
      <x:c r="J28" s="31" t="n">
        <x:v>9271.0769800629</x:v>
      </x:c>
      <x:c r="K28" s="31" t="n">
        <x:v>0</x:v>
      </x:c>
      <x:c r="L28" s="31" t="n">
        <x:v>7214.6134531844</x:v>
      </x:c>
      <x:c r="M28" s="31" t="n">
        <x:v>2056.4635268785</x:v>
      </x:c>
      <x:c r="N28" s="24" t="str">
        <x:v>mizuhopecten yessoensis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Mizuhopecten yessoensis</x:v>
      </x:c>
      <x:c r="T28" s="32" t="n">
        <x:f>IF(O28="","",(1/'Metadata'!$B$5)^(O28-1))</x:f>
        <x:v>12.589254117941675</x:v>
      </x:c>
      <x:c r="U28" s="31" t="n">
        <x:f>IF(T28="","",I28*T28)</x:f>
        <x:v>116715.94404901113</x:v>
      </x:c>
    </x:row>
    <x:row r="29" ht="18" customHeight="1">
      <x:c r="A29" s="24" t="str">
        <x:v>LME_052</x:v>
      </x:c>
      <x:c r="B29" s="24" t="str">
        <x:v>Sea of Okhotsk</x:v>
      </x:c>
      <x:c r="C29" s="24" t="str">
        <x:v>LME</x:v>
      </x:c>
      <x:c r="D29" s="30" t="n">
        <x:v>2019</x:v>
      </x:c>
      <x:c r="E29" s="24" t="str">
        <x:v>Reinhardtius hippoglossoides</x:v>
      </x:c>
      <x:c r="F29" s="24" t="str">
        <x:v>Greenland halibut</x:v>
      </x:c>
      <x:c r="G29" s="24" t="str">
        <x:v>Small to medium flatfishes (&lt;90 cm)</x:v>
      </x:c>
      <x:c r="H29" s="24" t="str">
        <x:v>Flatfishes</x:v>
      </x:c>
      <x:c r="I29" s="31" t="n">
        <x:v>8962.2761815431</x:v>
      </x:c>
      <x:c r="J29" s="31" t="n">
        <x:v>7804.468948601801</x:v>
      </x:c>
      <x:c r="K29" s="31" t="n">
        <x:v>1157.8072329413</x:v>
      </x:c>
      <x:c r="L29" s="31" t="n">
        <x:v>5430.231481221101</x:v>
      </x:c>
      <x:c r="M29" s="31" t="n">
        <x:v>3532.0447003219997</x:v>
      </x:c>
      <x:c r="N29" s="24" t="str">
        <x:v>reinhardtius hippoglossoides</x:v>
      </x:c>
      <x:c r="O29" s="32" t="n">
        <x:v>4.38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Reinhardtius hippoglossoides</x:v>
      </x:c>
      <x:c r="T29" s="32" t="n">
        <x:f>IF(O29="","",(1/'Metadata'!$B$5)^(O29-1))</x:f>
        <x:v>2398.83291901949</x:v>
      </x:c>
      <x:c r="U29" s="31" t="n">
        <x:f>IF(T29="","",I29*T29)</x:f>
        <x:v>21499003.133629885</x:v>
      </x:c>
    </x:row>
    <x:row r="30" ht="18" customHeight="1">
      <x:c r="A30" s="24" t="str">
        <x:v>LME_052</x:v>
      </x:c>
      <x:c r="B30" s="24" t="str">
        <x:v>Sea of Okhotsk</x:v>
      </x:c>
      <x:c r="C30" s="24" t="str">
        <x:v>LME</x:v>
      </x:c>
      <x:c r="D30" s="30" t="n">
        <x:v>2019</x:v>
      </x:c>
      <x:c r="E30" s="24" t="str">
        <x:v>Pleurogrammus azonus</x:v>
      </x:c>
      <x:c r="F30" s="24" t="str">
        <x:v>Okhotsk atka mackerel</x:v>
      </x:c>
      <x:c r="G30" s="24" t="str">
        <x:v>Medium demersals (30 - 89 cm)</x:v>
      </x:c>
      <x:c r="H30" s="24" t="str">
        <x:v>Scorpionfishes</x:v>
      </x:c>
      <x:c r="I30" s="31" t="n">
        <x:v>8662.8348521085</x:v>
      </x:c>
      <x:c r="J30" s="31" t="n">
        <x:v>6284.2106028193</x:v>
      </x:c>
      <x:c r="K30" s="31" t="n">
        <x:v>2378.6242492891997</x:v>
      </x:c>
      <x:c r="L30" s="31" t="n">
        <x:v>6284.2106028193</x:v>
      </x:c>
      <x:c r="M30" s="31" t="n">
        <x:v>2378.6242492891997</x:v>
      </x:c>
      <x:c r="N30" s="24" t="str">
        <x:v>pleurogrammus azonus</x:v>
      </x:c>
      <x:c r="O30" s="32" t="n">
        <x:v>3.6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Pleurogrammus azonus</x:v>
      </x:c>
      <x:c r="T30" s="32" t="n">
        <x:f>IF(O30="","",(1/'Metadata'!$B$5)^(O30-1))</x:f>
        <x:v>398.1071705534973</x:v>
      </x:c>
      <x:c r="U30" s="31" t="n">
        <x:f>IF(T30="","",I30*T30)</x:f>
        <x:v>3448736.6719451398</x:v>
      </x:c>
    </x:row>
    <x:row r="31" ht="18" customHeight="1">
      <x:c r="A31" s="24" t="str">
        <x:v>LME_052</x:v>
      </x:c>
      <x:c r="B31" s="24" t="str">
        <x:v>Sea of Okhotsk</x:v>
      </x:c>
      <x:c r="C31" s="24" t="str">
        <x:v>LME</x:v>
      </x:c>
      <x:c r="D31" s="30" t="n">
        <x:v>2019</x:v>
      </x:c>
      <x:c r="E31" s="24" t="str">
        <x:v>Todarodes pacificus</x:v>
      </x:c>
      <x:c r="F31" s="24" t="str">
        <x:v>Japanese flying squid</x:v>
      </x:c>
      <x:c r="G31" s="24" t="str">
        <x:v>Cephalopods</x:v>
      </x:c>
      <x:c r="H31" s="24" t="str">
        <x:v>Other fishes &amp; inverts</x:v>
      </x:c>
      <x:c r="I31" s="31" t="n">
        <x:v>7851.6262186622</x:v>
      </x:c>
      <x:c r="J31" s="31" t="n">
        <x:v>7129.6122097139</x:v>
      </x:c>
      <x:c r="K31" s="31" t="n">
        <x:v>722.0140089483</x:v>
      </x:c>
      <x:c r="L31" s="31" t="n">
        <x:v>6197.8419850149</x:v>
      </x:c>
      <x:c r="M31" s="31" t="n">
        <x:v>1653.7842336473002</x:v>
      </x:c>
      <x:c r="N31" s="24" t="str">
        <x:v>todarodes pacificus</x:v>
      </x:c>
      <x:c r="O31" s="32" t="n">
        <x:v>4.28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Todarodes pacificus</x:v>
      </x:c>
      <x:c r="T31" s="32" t="n">
        <x:f>IF(O31="","",(1/'Metadata'!$B$5)^(O31-1))</x:f>
        <x:v>1905.4607179632483</x:v>
      </x:c>
      <x:c r="U31" s="31" t="n">
        <x:f>IF(T31="","",I31*T31)</x:f>
        <x:v>14960965.33179114</x:v>
      </x:c>
    </x:row>
    <x:row r="32" ht="18" customHeight="1">
      <x:c r="A32" s="24" t="str">
        <x:v>LME_052</x:v>
      </x:c>
      <x:c r="B32" s="24" t="str">
        <x:v>Sea of Okhotsk</x:v>
      </x:c>
      <x:c r="C32" s="24" t="str">
        <x:v>LME</x:v>
      </x:c>
      <x:c r="D32" s="30" t="n">
        <x:v>2019</x:v>
      </x:c>
      <x:c r="E32" s="24" t="str">
        <x:v>Pleuronectidae</x:v>
      </x:c>
      <x:c r="F32" s="24" t="str">
        <x:v>Righteye flounders</x:v>
      </x:c>
      <x:c r="G32" s="24" t="str">
        <x:v>Small to medium flatfishes (&lt;90 cm)</x:v>
      </x:c>
      <x:c r="H32" s="24" t="str">
        <x:v>Flatfishes</x:v>
      </x:c>
      <x:c r="I32" s="31" t="n">
        <x:v>7024.92632454</x:v>
      </x:c>
      <x:c r="J32" s="31" t="n">
        <x:v>4177.4959502064</x:v>
      </x:c>
      <x:c r="K32" s="31" t="n">
        <x:v>2847.4303743336</x:v>
      </x:c>
      <x:c r="L32" s="31" t="n">
        <x:v>2712.4416126317</x:v>
      </x:c>
      <x:c r="M32" s="31" t="n">
        <x:v>4312.4847119083</x:v>
      </x:c>
      <x:c r="N32" s="24" t="str">
        <x:v>pleuronectidae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Pleuronectidae</x:v>
      </x:c>
      <x:c r="T32" s="32" t="n">
        <x:f>IF(O32="","",(1/'Metadata'!$B$5)^(O32-1))</x:f>
        <x:v>309.0295432513592</x:v>
      </x:c>
      <x:c r="U32" s="31" t="n">
        <x:f>IF(T32="","",I32*T32)</x:f>
        <x:v>2170909.7734470456</x:v>
      </x:c>
    </x:row>
    <x:row r="33" ht="18" customHeight="1">
      <x:c r="A33" s="24" t="str">
        <x:v>LME_052</x:v>
      </x:c>
      <x:c r="B33" s="24" t="str">
        <x:v>Sea of Okhotsk</x:v>
      </x:c>
      <x:c r="C33" s="24" t="str">
        <x:v>LME</x:v>
      </x:c>
      <x:c r="D33" s="30" t="n">
        <x:v>2019</x:v>
      </x:c>
      <x:c r="E33" s="24" t="str">
        <x:v>Batoidea</x:v>
      </x:c>
      <x:c r="F33" s="24" t="str">
        <x:v>Batoids, skates, rays, sawfishes</x:v>
      </x:c>
      <x:c r="G33" s="24" t="str">
        <x:v>Large rays (&gt;=90 cm)</x:v>
      </x:c>
      <x:c r="H33" s="24" t="str">
        <x:v>Sharks &amp; rays</x:v>
      </x:c>
      <x:c r="I33" s="31" t="n">
        <x:v>6855.2835830245</x:v>
      </x:c>
      <x:c r="J33" s="31" t="n">
        <x:v>0</x:v>
      </x:c>
      <x:c r="K33" s="31" t="n">
        <x:v>6855.2835830245</x:v>
      </x:c>
      <x:c r="L33" s="31" t="n">
        <x:v>0</x:v>
      </x:c>
      <x:c r="M33" s="31" t="n">
        <x:v>6855.2835830245</x:v>
      </x:c>
      <x:c r="N33" s="24" t="str">
        <x:v>batoidea</x:v>
      </x:c>
      <x:c r="O33" s="32" t="n">
        <x:v>3.72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Batoidea</x:v>
      </x:c>
      <x:c r="T33" s="32" t="n">
        <x:f>IF(O33="","",(1/'Metadata'!$B$5)^(O33-1))</x:f>
        <x:v>524.8074602497728</x:v>
      </x:c>
      <x:c r="U33" s="31" t="n">
        <x:f>IF(T33="","",I33*T33)</x:f>
        <x:v>3597703.9664990506</x:v>
      </x:c>
    </x:row>
    <x:row r="34" ht="18" customHeight="1">
      <x:c r="A34" s="24" t="str">
        <x:v>LME_052</x:v>
      </x:c>
      <x:c r="B34" s="24" t="str">
        <x:v>Sea of Okhotsk</x:v>
      </x:c>
      <x:c r="C34" s="24" t="str">
        <x:v>LME</x:v>
      </x:c>
      <x:c r="D34" s="30" t="n">
        <x:v>2019</x:v>
      </x:c>
      <x:c r="E34" s="24" t="str">
        <x:v>Brachyura</x:v>
      </x:c>
      <x:c r="F34" s="24" t="str">
        <x:v>Marine crabs</x:v>
      </x:c>
      <x:c r="G34" s="24" t="str">
        <x:v>Lobsters, crabs</x:v>
      </x:c>
      <x:c r="H34" s="24" t="str">
        <x:v>Crustaceans</x:v>
      </x:c>
      <x:c r="I34" s="31" t="n">
        <x:v>6676.2564813005</x:v>
      </x:c>
      <x:c r="J34" s="31" t="n">
        <x:v>6648.0913144133</x:v>
      </x:c>
      <x:c r="K34" s="31" t="n">
        <x:v>28.165166887199998</x:v>
      </x:c>
      <x:c r="L34" s="31" t="n">
        <x:v>6647.113563981</x:v>
      </x:c>
      <x:c r="M34" s="31" t="n">
        <x:v>29.1429173195</x:v>
      </x:c>
      <x:c r="N34" s="24" t="str">
        <x:v>brachyura</x:v>
      </x:c>
      <x:c r="O34" s="32" t="n">
        <x:v>2.6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Brachyura</x:v>
      </x:c>
      <x:c r="T34" s="32" t="n">
        <x:f>IF(O34="","",(1/'Metadata'!$B$5)^(O34-1))</x:f>
        <x:v>39.810717055349734</x:v>
      </x:c>
      <x:c r="U34" s="31" t="n">
        <x:f>IF(T34="","",I34*T34)</x:f>
        <x:v>265786.55776599905</x:v>
      </x:c>
    </x:row>
    <x:row r="35" ht="18" customHeight="1">
      <x:c r="A35" s="24" t="str">
        <x:v>LME_052</x:v>
      </x:c>
      <x:c r="B35" s="24" t="str">
        <x:v>Sea of Okhotsk</x:v>
      </x:c>
      <x:c r="C35" s="24" t="str">
        <x:v>LME</x:v>
      </x:c>
      <x:c r="D35" s="30" t="n">
        <x:v>2019</x:v>
      </x:c>
      <x:c r="E35" s="24" t="str">
        <x:v>Echinoidea</x:v>
      </x:c>
      <x:c r="F35" s="24" t="str">
        <x:v>Sea urchins, sea hedgehogs</x:v>
      </x:c>
      <x:c r="G35" s="24" t="str">
        <x:v>Other demersal invertebrates</x:v>
      </x:c>
      <x:c r="H35" s="24" t="str">
        <x:v>Other fishes &amp; inverts</x:v>
      </x:c>
      <x:c r="I35" s="31" t="n">
        <x:v>5285.4084825906</x:v>
      </x:c>
      <x:c r="J35" s="31" t="n">
        <x:v>5285.4084825906</x:v>
      </x:c>
      <x:c r="K35" s="31" t="n">
        <x:v>0</x:v>
      </x:c>
      <x:c r="L35" s="31" t="n">
        <x:v>4191.011612244</x:v>
      </x:c>
      <x:c r="M35" s="31" t="n">
        <x:v>1094.3968703466</x:v>
      </x:c>
      <x:c r="N35" s="24" t="str">
        <x:v>echinoidea</x:v>
      </x:c>
      <x:c r="O35" s="32" t="n">
        <x:v>2.51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Echinoidea</x:v>
      </x:c>
      <x:c r="T35" s="32" t="n">
        <x:f>IF(O35="","",(1/'Metadata'!$B$5)^(O35-1))</x:f>
        <x:v>32.35936569296281</x:v>
      </x:c>
      <x:c r="U35" s="31" t="n">
        <x:f>IF(T35="","",I35*T35)</x:f>
        <x:v>171032.4659248369</x:v>
      </x:c>
    </x:row>
    <x:row r="36" ht="18" customHeight="1">
      <x:c r="A36" s="24" t="str">
        <x:v>LME_052</x:v>
      </x:c>
      <x:c r="B36" s="24" t="str">
        <x:v>Sea of Okhotsk</x:v>
      </x:c>
      <x:c r="C36" s="24" t="str">
        <x:v>LME</x:v>
      </x:c>
      <x:c r="D36" s="30" t="n">
        <x:v>2019</x:v>
      </x:c>
      <x:c r="E36" s="24" t="str">
        <x:v>Gastropoda</x:v>
      </x:c>
      <x:c r="F36" s="24" t="str">
        <x:v>Sea snails</x:v>
      </x:c>
      <x:c r="G36" s="24" t="str">
        <x:v>Other demersal invertebrates</x:v>
      </x:c>
      <x:c r="H36" s="24" t="str">
        <x:v>Molluscs</x:v>
      </x:c>
      <x:c r="I36" s="31" t="n">
        <x:v>4919.358447746699</x:v>
      </x:c>
      <x:c r="J36" s="31" t="n">
        <x:v>4919.358447746699</x:v>
      </x:c>
      <x:c r="K36" s="31" t="n">
        <x:v>0</x:v>
      </x:c>
      <x:c r="L36" s="31" t="n">
        <x:v>4147.206197502999</x:v>
      </x:c>
      <x:c r="M36" s="31" t="n">
        <x:v>772.1522502437</x:v>
      </x:c>
      <x:c r="N36" s="24" t="str">
        <x:v>gastropoda</x:v>
      </x:c>
      <x:c r="O36" s="32" t="n">
        <x:v>3.06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Gastropoda</x:v>
      </x:c>
      <x:c r="T36" s="32" t="n">
        <x:f>IF(O36="","",(1/'Metadata'!$B$5)^(O36-1))</x:f>
        <x:v>114.81536214968828</x:v>
      </x:c>
      <x:c r="U36" s="31" t="n">
        <x:f>IF(T36="","",I36*T36)</x:f>
        <x:v>564817.9217221657</x:v>
      </x:c>
    </x:row>
    <x:row r="37" ht="18" customHeight="1">
      <x:c r="A37" s="24" t="str">
        <x:v>LME_052</x:v>
      </x:c>
      <x:c r="B37" s="24" t="str">
        <x:v>Sea of Okhotsk</x:v>
      </x:c>
      <x:c r="C37" s="24" t="str">
        <x:v>LME</x:v>
      </x:c>
      <x:c r="D37" s="30" t="n">
        <x:v>2019</x:v>
      </x:c>
      <x:c r="E37" s="24" t="str">
        <x:v>Moridae</x:v>
      </x:c>
      <x:c r="F37" s="24" t="str">
        <x:v>Codlings, moras</x:v>
      </x:c>
      <x:c r="G37" s="24" t="str">
        <x:v>Medium benthopelagics (30 - 89 cm)</x:v>
      </x:c>
      <x:c r="H37" s="24" t="str">
        <x:v>Cod-likes</x:v>
      </x:c>
      <x:c r="I37" s="31" t="n">
        <x:v>4795.0568517022</x:v>
      </x:c>
      <x:c r="J37" s="31" t="n">
        <x:v>4795.0568517022</x:v>
      </x:c>
      <x:c r="K37" s="31" t="n">
        <x:v>0</x:v>
      </x:c>
      <x:c r="L37" s="31" t="n">
        <x:v>2222.2389547714</x:v>
      </x:c>
      <x:c r="M37" s="31" t="n">
        <x:v>2572.8178969307996</x:v>
      </x:c>
      <x:c r="N37" s="24" t="str">
        <x:v>moridae</x:v>
      </x:c>
      <x:c r="O37" s="32" t="n">
        <x:v>3.87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Moridae</x:v>
      </x:c>
      <x:c r="T37" s="32" t="n">
        <x:f>IF(O37="","",(1/'Metadata'!$B$5)^(O37-1))</x:f>
        <x:v>741.3102413009177</x:v>
      </x:c>
      <x:c r="U37" s="31" t="n">
        <x:f>IF(T37="","",I37*T37)</x:f>
        <x:v>3554624.751786977</x:v>
      </x:c>
    </x:row>
    <x:row r="38" ht="18" customHeight="1">
      <x:c r="A38" s="24" t="str">
        <x:v>LME_052</x:v>
      </x:c>
      <x:c r="B38" s="24" t="str">
        <x:v>Sea of Okhotsk</x:v>
      </x:c>
      <x:c r="C38" s="24" t="str">
        <x:v>LME</x:v>
      </x:c>
      <x:c r="D38" s="30" t="n">
        <x:v>2019</x:v>
      </x:c>
      <x:c r="E38" s="24" t="str">
        <x:v>Cephalopoda</x:v>
      </x:c>
      <x:c r="F38" s="24" t="str">
        <x:v>Squids, cuttlefishes, octopuses</x:v>
      </x:c>
      <x:c r="G38" s="24" t="str">
        <x:v>Cephalopods</x:v>
      </x:c>
      <x:c r="H38" s="24" t="str">
        <x:v>Other fishes &amp; inverts</x:v>
      </x:c>
      <x:c r="I38" s="31" t="n">
        <x:v>4626.354921907</x:v>
      </x:c>
      <x:c r="J38" s="31" t="n">
        <x:v>4496.0914931233</x:v>
      </x:c>
      <x:c r="K38" s="31" t="n">
        <x:v>130.2634287837</x:v>
      </x:c>
      <x:c r="L38" s="31" t="n">
        <x:v>1794.1472889924</x:v>
      </x:c>
      <x:c r="M38" s="31" t="n">
        <x:v>2832.2076329146003</x:v>
      </x:c>
      <x:c r="N38" s="24" t="str">
        <x:v>cephalopoda</x:v>
      </x:c>
      <x:c r="O38" s="32" t="n">
        <x:v>3.81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Cephalopoda</x:v>
      </x:c>
      <x:c r="T38" s="32" t="n">
        <x:f>IF(O38="","",(1/'Metadata'!$B$5)^(O38-1))</x:f>
        <x:v>645.6542290346556</x:v>
      </x:c>
      <x:c r="U38" s="31" t="n">
        <x:f>IF(T38="","",I38*T38)</x:f>
        <x:v>2987025.6203445485</x:v>
      </x:c>
    </x:row>
    <x:row r="39" ht="18" customHeight="1">
      <x:c r="A39" s="24" t="str">
        <x:v>LME_052</x:v>
      </x:c>
      <x:c r="B39" s="24" t="str">
        <x:v>Sea of Okhotsk</x:v>
      </x:c>
      <x:c r="C39" s="24" t="str">
        <x:v>LME</x:v>
      </x:c>
      <x:c r="D39" s="30" t="n">
        <x:v>2019</x:v>
      </x:c>
      <x:c r="E39" s="24" t="str">
        <x:v>Osmeridae</x:v>
      </x:c>
      <x:c r="F39" s="24" t="str">
        <x:v>Smelts</x:v>
      </x:c>
      <x:c r="G39" s="24" t="str">
        <x:v>Small pelagics (&lt;30 cm)</x:v>
      </x:c>
      <x:c r="H39" s="24" t="str">
        <x:v>Salmon, smelts, etc</x:v>
      </x:c>
      <x:c r="I39" s="31" t="n">
        <x:v>4228.3072848812</x:v>
      </x:c>
      <x:c r="J39" s="31" t="n">
        <x:v>4228.3072848812</x:v>
      </x:c>
      <x:c r="K39" s="31" t="n">
        <x:v>0</x:v>
      </x:c>
      <x:c r="L39" s="31" t="n">
        <x:v>0</x:v>
      </x:c>
      <x:c r="M39" s="31" t="n">
        <x:v>4228.3072848812</x:v>
      </x:c>
      <x:c r="N39" s="24" t="str">
        <x:v>osmeridae</x:v>
      </x:c>
      <x:c r="O39" s="32" t="n">
        <x:v>3.46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Osmeridae</x:v>
      </x:c>
      <x:c r="T39" s="32" t="n">
        <x:f>IF(O39="","",(1/'Metadata'!$B$5)^(O39-1))</x:f>
        <x:v>288.40315031266056</x:v>
      </x:c>
      <x:c r="U39" s="31" t="n">
        <x:f>IF(T39="","",I39*T39)</x:f>
        <x:v>1219457.1414497104</x:v>
      </x:c>
    </x:row>
    <x:row r="40" ht="18" customHeight="1">
      <x:c r="A40" s="24" t="str">
        <x:v>LME_052</x:v>
      </x:c>
      <x:c r="B40" s="24" t="str">
        <x:v>Sea of Okhotsk</x:v>
      </x:c>
      <x:c r="C40" s="24" t="str">
        <x:v>LME</x:v>
      </x:c>
      <x:c r="D40" s="30" t="n">
        <x:v>2019</x:v>
      </x:c>
      <x:c r="E40" s="24" t="str">
        <x:v>Hippoglossus stenolepis</x:v>
      </x:c>
      <x:c r="F40" s="24" t="str">
        <x:v>Pacific halibut</x:v>
      </x:c>
      <x:c r="G40" s="24" t="str">
        <x:v>Large flatfishes (&gt;=90 cm)</x:v>
      </x:c>
      <x:c r="H40" s="24" t="str">
        <x:v>Flatfishes</x:v>
      </x:c>
      <x:c r="I40" s="31" t="n">
        <x:v>3697.6340032305</x:v>
      </x:c>
      <x:c r="J40" s="31" t="n">
        <x:v>3232.4022071043</x:v>
      </x:c>
      <x:c r="K40" s="31" t="n">
        <x:v>465.2317961262</x:v>
      </x:c>
      <x:c r="L40" s="31" t="n">
        <x:v>2462.7601461044997</x:v>
      </x:c>
      <x:c r="M40" s="31" t="n">
        <x:v>1234.8738571259998</x:v>
      </x:c>
      <x:c r="N40" s="24" t="str">
        <x:v>hippoglossus stenolepis</x:v>
      </x:c>
      <x:c r="O40" s="32" t="n">
        <x:v>4.14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Hippoglossus stenolepis</x:v>
      </x:c>
      <x:c r="T40" s="32" t="n">
        <x:f>IF(O40="","",(1/'Metadata'!$B$5)^(O40-1))</x:f>
        <x:v>1380.3842646028838</x:v>
      </x:c>
      <x:c r="U40" s="31" t="n">
        <x:f>IF(T40="","",I40*T40)</x:f>
        <x:v>5104155.794319951</x:v>
      </x:c>
    </x:row>
    <x:row r="41" ht="18" customHeight="1">
      <x:c r="A41" s="24" t="str">
        <x:v>LME_052</x:v>
      </x:c>
      <x:c r="B41" s="24" t="str">
        <x:v>Sea of Okhotsk</x:v>
      </x:c>
      <x:c r="C41" s="24" t="str">
        <x:v>LME</x:v>
      </x:c>
      <x:c r="D41" s="30" t="n">
        <x:v>2019</x:v>
      </x:c>
      <x:c r="E41" s="24" t="str">
        <x:v>Seriola</x:v>
      </x:c>
      <x:c r="F41" s="24" t="str">
        <x:v>Amberjacks</x:v>
      </x:c>
      <x:c r="G41" s="24" t="str">
        <x:v>Large benthopelagics (&gt;=90 cm)</x:v>
      </x:c>
      <x:c r="H41" s="24" t="str">
        <x:v>Perch-likes</x:v>
      </x:c>
      <x:c r="I41" s="31" t="n">
        <x:v>3456.3476931167997</x:v>
      </x:c>
      <x:c r="J41" s="31" t="n">
        <x:v>3322.8859240011</x:v>
      </x:c>
      <x:c r="K41" s="31" t="n">
        <x:v>133.4617691157</x:v>
      </x:c>
      <x:c r="L41" s="31" t="n">
        <x:v>3149.9972298088</x:v>
      </x:c>
      <x:c r="M41" s="31" t="n">
        <x:v>306.35046330800003</x:v>
      </x:c>
      <x:c r="N41" s="24" t="str">
        <x:v>seriola</x:v>
      </x:c>
      <x:c r="O41" s="32" t="n">
        <x:v>4.39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Seriola</x:v>
      </x:c>
      <x:c r="T41" s="32" t="n">
        <x:f>IF(O41="","",(1/'Metadata'!$B$5)^(O41-1))</x:f>
        <x:v>2454.7089156850284</x:v>
      </x:c>
      <x:c r="U41" s="31" t="n">
        <x:f>IF(T41="","",I41*T41)</x:f>
        <x:v>8484327.498001188</x:v>
      </x:c>
    </x:row>
    <x:row r="42" ht="18" customHeight="1">
      <x:c r="A42" s="24" t="str">
        <x:v>LME_052</x:v>
      </x:c>
      <x:c r="B42" s="24" t="str">
        <x:v>Sea of Okhotsk</x:v>
      </x:c>
      <x:c r="C42" s="24" t="str">
        <x:v>LME</x:v>
      </x:c>
      <x:c r="D42" s="30" t="n">
        <x:v>2019</x:v>
      </x:c>
      <x:c r="E42" s="24" t="str">
        <x:v>Octopoda</x:v>
      </x:c>
      <x:c r="F42" s="24" t="str">
        <x:v>Octopuses, argonauts</x:v>
      </x:c>
      <x:c r="G42" s="24" t="str">
        <x:v>Cephalopods</x:v>
      </x:c>
      <x:c r="H42" s="24" t="str">
        <x:v>Other fishes &amp; inverts</x:v>
      </x:c>
      <x:c r="I42" s="31" t="n">
        <x:v>3346.022559383</x:v>
      </x:c>
      <x:c r="J42" s="31" t="n">
        <x:v>3137.5312734162003</x:v>
      </x:c>
      <x:c r="K42" s="31" t="n">
        <x:v>208.4912859668</x:v>
      </x:c>
      <x:c r="L42" s="31" t="n">
        <x:v>3074.02909773</x:v>
      </x:c>
      <x:c r="M42" s="31" t="n">
        <x:v>271.993461653</x:v>
      </x:c>
      <x:c r="N42" s="24" t="str">
        <x:v>octopoda</x:v>
      </x:c>
      <x:c r="O42" s="32" t="n">
        <x:v>3.58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Octopoda</x:v>
      </x:c>
      <x:c r="T42" s="32" t="n">
        <x:f>IF(O42="","",(1/'Metadata'!$B$5)^(O42-1))</x:f>
        <x:v>380.1893963205613</x:v>
      </x:c>
      <x:c r="U42" s="31" t="n">
        <x:f>IF(T42="","",I42*T42)</x:f>
        <x:v>1272122.2969268023</x:v>
      </x:c>
    </x:row>
    <x:row r="43" ht="18" customHeight="1">
      <x:c r="A43" s="24" t="str">
        <x:v>LME_052</x:v>
      </x:c>
      <x:c r="B43" s="24" t="str">
        <x:v>Sea of Okhotsk</x:v>
      </x:c>
      <x:c r="C43" s="24" t="str">
        <x:v>LME</x:v>
      </x:c>
      <x:c r="D43" s="30" t="n">
        <x:v>2019</x:v>
      </x:c>
      <x:c r="E43" s="24" t="str">
        <x:v>Paralithodes platypus</x:v>
      </x:c>
      <x:c r="F43" s="24" t="str">
        <x:v>Blue king crab</x:v>
      </x:c>
      <x:c r="G43" s="24" t="str">
        <x:v>Lobsters, crabs</x:v>
      </x:c>
      <x:c r="H43" s="24" t="str">
        <x:v>Crustaceans</x:v>
      </x:c>
      <x:c r="I43" s="31" t="n">
        <x:v>3122.557282351</x:v>
      </x:c>
      <x:c r="J43" s="31" t="n">
        <x:v>3122.557282351</x:v>
      </x:c>
      <x:c r="K43" s="31" t="n">
        <x:v>0</x:v>
      </x:c>
      <x:c r="L43" s="31" t="n">
        <x:v>1550.2564661722</x:v>
      </x:c>
      <x:c r="M43" s="31" t="n">
        <x:v>1572.3008161788</x:v>
      </x:c>
      <x:c r="N43" s="24" t="str">
        <x:v>paralithodes platypus</x:v>
      </x:c>
      <x:c r="O43" s="32" t="n">
        <x:v>3.79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Paralithodes platypus</x:v>
      </x:c>
      <x:c r="T43" s="32" t="n">
        <x:f>IF(O43="","",(1/'Metadata'!$B$5)^(O43-1))</x:f>
        <x:v>616.5950018614822</x:v>
      </x:c>
      <x:c r="U43" s="31" t="n">
        <x:f>IF(T43="","",I43*T43)</x:f>
        <x:v>1925353.2133237997</x:v>
      </x:c>
    </x:row>
    <x:row r="44" ht="18" customHeight="1">
      <x:c r="A44" s="24" t="str">
        <x:v>LME_052</x:v>
      </x:c>
      <x:c r="B44" s="24" t="str">
        <x:v>Sea of Okhotsk</x:v>
      </x:c>
      <x:c r="C44" s="24" t="str">
        <x:v>LME</x:v>
      </x:c>
      <x:c r="D44" s="30" t="n">
        <x:v>2019</x:v>
      </x:c>
      <x:c r="E44" s="24" t="str">
        <x:v>Clupeidae</x:v>
      </x:c>
      <x:c r="F44" s="24" t="str">
        <x:v>Herrings, sardines, menhadens</x:v>
      </x:c>
      <x:c r="G44" s="24" t="str">
        <x:v>Small pelagics (&lt;30 cm)</x:v>
      </x:c>
      <x:c r="H44" s="24" t="str">
        <x:v>Herring-likes</x:v>
      </x:c>
      <x:c r="I44" s="31" t="n">
        <x:v>3063.4371635233997</x:v>
      </x:c>
      <x:c r="J44" s="31" t="n">
        <x:v>2511.3739871161</x:v>
      </x:c>
      <x:c r="K44" s="31" t="n">
        <x:v>552.0631764073</x:v>
      </x:c>
      <x:c r="L44" s="31" t="n">
        <x:v>2511.3739871161</x:v>
      </x:c>
      <x:c r="M44" s="31" t="n">
        <x:v>552.0631764073</x:v>
      </x:c>
      <x:c r="N44" s="24" t="str">
        <x:v>clupeidae</x:v>
      </x:c>
      <x:c r="O44" s="32" t="n">
        <x:v>3.16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Clupeidae</x:v>
      </x:c>
      <x:c r="T44" s="32" t="n">
        <x:f>IF(O44="","",(1/'Metadata'!$B$5)^(O44-1))</x:f>
        <x:v>144.5439770745928</x:v>
      </x:c>
      <x:c r="U44" s="31" t="n">
        <x:f>IF(T44="","",I44*T44)</x:f>
        <x:v>442801.3911337819</x:v>
      </x:c>
    </x:row>
    <x:row r="45" ht="18" customHeight="1">
      <x:c r="A45" s="24" t="str">
        <x:v>LME_052</x:v>
      </x:c>
      <x:c r="B45" s="24" t="str">
        <x:v>Sea of Okhotsk</x:v>
      </x:c>
      <x:c r="C45" s="24" t="str">
        <x:v>LME</x:v>
      </x:c>
      <x:c r="D45" s="30" t="n">
        <x:v>2019</x:v>
      </x:c>
      <x:c r="E45" s="24" t="str">
        <x:v>Trichiurus lepturus</x:v>
      </x:c>
      <x:c r="F45" s="24" t="str">
        <x:v>Largehead hairtail</x:v>
      </x:c>
      <x:c r="G45" s="24" t="str">
        <x:v>Large benthopelagics (&gt;=90 cm)</x:v>
      </x:c>
      <x:c r="H45" s="24" t="str">
        <x:v>Perch-likes</x:v>
      </x:c>
      <x:c r="I45" s="31" t="n">
        <x:v>3034.5806640705</x:v>
      </x:c>
      <x:c r="J45" s="31" t="n">
        <x:v>3021.7674086416</x:v>
      </x:c>
      <x:c r="K45" s="31" t="n">
        <x:v>12.8132554289</x:v>
      </x:c>
      <x:c r="L45" s="31" t="n">
        <x:v>2998.0168178641</x:v>
      </x:c>
      <x:c r="M45" s="31" t="n">
        <x:v>36.5638462064</x:v>
      </x:c>
      <x:c r="N45" s="24" t="str">
        <x:v>trichiurus lepturus</x:v>
      </x:c>
      <x:c r="O45" s="32" t="n">
        <x:v>4.42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Trichiurus lepturus</x:v>
      </x:c>
      <x:c r="T45" s="32" t="n">
        <x:f>IF(O45="","",(1/'Metadata'!$B$5)^(O45-1))</x:f>
        <x:v>2630.2679918953813</x:v>
      </x:c>
      <x:c r="U45" s="31" t="n">
        <x:f>IF(T45="","",I45*T45)</x:f>
        <x:v>7981760.389529266</x:v>
      </x:c>
    </x:row>
    <x:row r="46" ht="18" customHeight="1">
      <x:c r="A46" s="24" t="str">
        <x:v>LME_052</x:v>
      </x:c>
      <x:c r="B46" s="24" t="str">
        <x:v>Sea of Okhotsk</x:v>
      </x:c>
      <x:c r="C46" s="24" t="str">
        <x:v>LME</x:v>
      </x:c>
      <x:c r="D46" s="30" t="n">
        <x:v>2019</x:v>
      </x:c>
      <x:c r="E46" s="24" t="str">
        <x:v>Miscellaneous aquatic invertebrates</x:v>
      </x:c>
      <x:c r="F46" s="24" t="str">
        <x:v>Aquatic invertebrates</x:v>
      </x:c>
      <x:c r="G46" s="24" t="str">
        <x:v>Other demersal invertebrates</x:v>
      </x:c>
      <x:c r="H46" s="24" t="str">
        <x:v>Other fishes &amp; inverts</x:v>
      </x:c>
      <x:c r="I46" s="31" t="n">
        <x:v>2835.5161442574</x:v>
      </x:c>
      <x:c r="J46" s="31" t="n">
        <x:v>2835.5161442574</x:v>
      </x:c>
      <x:c r="K46" s="31" t="n">
        <x:v>0</x:v>
      </x:c>
      <x:c r="L46" s="31" t="n">
        <x:v>2835.512409285</x:v>
      </x:c>
      <x:c r="M46" s="31" t="n">
        <x:v>0.0037349723999999997</x:v>
      </x:c>
      <x:c r="N46" s="24" t="str">
        <x:v>miscellaneous aquatic invertebrates</x:v>
      </x:c>
      <x:c r="O46" s="32" t="n">
        <x:v>2.43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Miscellaneous aquatic invertebrates</x:v>
      </x:c>
      <x:c r="T46" s="32" t="n">
        <x:f>IF(O46="","",(1/'Metadata'!$B$5)^(O46-1))</x:f>
        <x:v>26.915348039269166</x:v>
      </x:c>
      <x:c r="U46" s="31" t="n">
        <x:f>IF(T46="","",I46*T46)</x:f>
        <x:v>76318.90389365447</x:v>
      </x:c>
    </x:row>
    <x:row r="47" ht="18" customHeight="1">
      <x:c r="A47" s="24" t="str">
        <x:v>LME_052</x:v>
      </x:c>
      <x:c r="B47" s="24" t="str">
        <x:v>Sea of Okhotsk</x:v>
      </x:c>
      <x:c r="C47" s="24" t="str">
        <x:v>LME</x:v>
      </x:c>
      <x:c r="D47" s="30" t="n">
        <x:v>2019</x:v>
      </x:c>
      <x:c r="E47" s="24" t="str">
        <x:v>Holothuroidea</x:v>
      </x:c>
      <x:c r="F47" s="24" t="str">
        <x:v>Sea cucumbers</x:v>
      </x:c>
      <x:c r="G47" s="24" t="str">
        <x:v>Other demersal invertebrates</x:v>
      </x:c>
      <x:c r="H47" s="24" t="str">
        <x:v>Other fishes &amp; inverts</x:v>
      </x:c>
      <x:c r="I47" s="31" t="n">
        <x:v>2760.8200021158</x:v>
      </x:c>
      <x:c r="J47" s="31" t="n">
        <x:v>2728.758676584</x:v>
      </x:c>
      <x:c r="K47" s="31" t="n">
        <x:v>32.0613255318</x:v>
      </x:c>
      <x:c r="L47" s="31" t="n">
        <x:v>2279.0818525445</x:v>
      </x:c>
      <x:c r="M47" s="31" t="n">
        <x:v>481.73814957129997</x:v>
      </x:c>
      <x:c r="N47" s="24" t="str">
        <x:v>holothuroidea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Holothuroidea</x:v>
      </x:c>
      <x:c r="T47" s="32" t="n">
        <x:f>IF(O47="","",(1/'Metadata'!$B$5)^(O47-1))</x:f>
        <x:v>10</x:v>
      </x:c>
      <x:c r="U47" s="31" t="n">
        <x:f>IF(T47="","",I47*T47)</x:f>
        <x:v>27608.200021158</x:v>
      </x:c>
    </x:row>
    <x:row r="48" ht="18" customHeight="1">
      <x:c r="A48" s="24" t="str">
        <x:v>LME_052</x:v>
      </x:c>
      <x:c r="B48" s="24" t="str">
        <x:v>Sea of Okhotsk</x:v>
      </x:c>
      <x:c r="C48" s="24" t="str">
        <x:v>LME</x:v>
      </x:c>
      <x:c r="D48" s="30" t="n">
        <x:v>2019</x:v>
      </x:c>
      <x:c r="E48" s="24" t="str">
        <x:v>Salmonidae</x:v>
      </x:c>
      <x:c r="F48" s="24" t="str">
        <x:v>Salmonids</x:v>
      </x:c>
      <x:c r="G48" s="24" t="str">
        <x:v>Large benthopelagics (&gt;=90 cm)</x:v>
      </x:c>
      <x:c r="H48" s="24" t="str">
        <x:v>Salmon, smelts, etc</x:v>
      </x:c>
      <x:c r="I48" s="31" t="n">
        <x:v>2363.3483158323997</x:v>
      </x:c>
      <x:c r="J48" s="31" t="n">
        <x:v>2241.9046794446</x:v>
      </x:c>
      <x:c r="K48" s="31" t="n">
        <x:v>121.4436363878</x:v>
      </x:c>
      <x:c r="L48" s="31" t="n">
        <x:v>2241.9046794446</x:v>
      </x:c>
      <x:c r="M48" s="31" t="n">
        <x:v>121.4436363878</x:v>
      </x:c>
      <x:c r="N48" s="24" t="str">
        <x:v>salmonidae</x:v>
      </x:c>
      <x:c r="O48" s="32" t="n">
        <x:v>3.3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Salmonidae</x:v>
      </x:c>
      <x:c r="T48" s="32" t="n">
        <x:f>IF(O48="","",(1/'Metadata'!$B$5)^(O48-1))</x:f>
        <x:v>199.52623149688787</x:v>
      </x:c>
      <x:c r="U48" s="31" t="n">
        <x:f>IF(T48="","",I48*T48)</x:f>
        <x:v>471549.98317255545</x:v>
      </x:c>
    </x:row>
    <x:row r="49" ht="18" customHeight="1">
      <x:c r="A49" s="24" t="str">
        <x:v>LME_052</x:v>
      </x:c>
      <x:c r="B49" s="24" t="str">
        <x:v>Sea of Okhotsk</x:v>
      </x:c>
      <x:c r="C49" s="24" t="str">
        <x:v>LME</x:v>
      </x:c>
      <x:c r="D49" s="30" t="n">
        <x:v>2019</x:v>
      </x:c>
      <x:c r="E49" s="24" t="str">
        <x:v>Sebastes alutus</x:v>
      </x:c>
      <x:c r="F49" s="24" t="str">
        <x:v>Pacific ocean perch</x:v>
      </x:c>
      <x:c r="G49" s="24" t="str">
        <x:v>Medium demersals (30 - 89 cm)</x:v>
      </x:c>
      <x:c r="H49" s="24" t="str">
        <x:v>Scorpionfishes</x:v>
      </x:c>
      <x:c r="I49" s="31" t="n">
        <x:v>2245.4783094607</x:v>
      </x:c>
      <x:c r="J49" s="31" t="n">
        <x:v>2245.4783094607</x:v>
      </x:c>
      <x:c r="K49" s="31" t="n">
        <x:v>0</x:v>
      </x:c>
      <x:c r="L49" s="31" t="n">
        <x:v>1879.4985805879</x:v>
      </x:c>
      <x:c r="M49" s="31" t="n">
        <x:v>365.9797288728</x:v>
      </x:c>
      <x:c r="N49" s="24" t="str">
        <x:v>sebastes alutus</x:v>
      </x:c>
      <x:c r="O49" s="32" t="n">
        <x:v>3.48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Sebastes alutus</x:v>
      </x:c>
      <x:c r="T49" s="32" t="n">
        <x:f>IF(O49="","",(1/'Metadata'!$B$5)^(O49-1))</x:f>
        <x:v>301.9951720402016</x:v>
      </x:c>
      <x:c r="U49" s="31" t="n">
        <x:f>IF(T49="","",I49*T49)</x:f>
        <x:v>678123.6083781252</x:v>
      </x:c>
    </x:row>
    <x:row r="50" ht="18" customHeight="1">
      <x:c r="A50" s="24" t="str">
        <x:v>LME_052</x:v>
      </x:c>
      <x:c r="B50" s="24" t="str">
        <x:v>Sea of Okhotsk</x:v>
      </x:c>
      <x:c r="C50" s="24" t="str">
        <x:v>LME</x:v>
      </x:c>
      <x:c r="D50" s="30" t="n">
        <x:v>2019</x:v>
      </x:c>
      <x:c r="E50" s="24" t="str">
        <x:v>Mugil cephalus</x:v>
      </x:c>
      <x:c r="F50" s="24" t="str">
        <x:v>Flathead grey mullet</x:v>
      </x:c>
      <x:c r="G50" s="24" t="str">
        <x:v>Large benthopelagics (&gt;=90 cm)</x:v>
      </x:c>
      <x:c r="H50" s="24" t="str">
        <x:v>Perch-likes</x:v>
      </x:c>
      <x:c r="I50" s="31" t="n">
        <x:v>2213.7079566855</x:v>
      </x:c>
      <x:c r="J50" s="31" t="n">
        <x:v>2213.7079566855</x:v>
      </x:c>
      <x:c r="K50" s="31" t="n">
        <x:v>0</x:v>
      </x:c>
      <x:c r="L50" s="31" t="n">
        <x:v>2209.3623442187</x:v>
      </x:c>
      <x:c r="M50" s="31" t="n">
        <x:v>4.3456124668</x:v>
      </x:c>
      <x:c r="N50" s="24" t="str">
        <x:v>mugil cephalus</x:v>
      </x:c>
      <x:c r="O50" s="32" t="n">
        <x:v>2.14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Mugil cephalus</x:v>
      </x:c>
      <x:c r="T50" s="32" t="n">
        <x:f>IF(O50="","",(1/'Metadata'!$B$5)^(O50-1))</x:f>
        <x:v>13.803842646028853</x:v>
      </x:c>
      <x:c r="U50" s="31" t="n">
        <x:f>IF(T50="","",I50*T50)</x:f>
        <x:v>30557.6762983487</x:v>
      </x:c>
    </x:row>
    <x:row r="51" ht="18" customHeight="1">
      <x:c r="A51" s="24" t="str">
        <x:v>LME_052</x:v>
      </x:c>
      <x:c r="B51" s="24" t="str">
        <x:v>Sea of Okhotsk</x:v>
      </x:c>
      <x:c r="C51" s="24" t="str">
        <x:v>LME</x:v>
      </x:c>
      <x:c r="D51" s="30" t="n">
        <x:v>2019</x:v>
      </x:c>
      <x:c r="E51" s="24" t="str">
        <x:v>Oncorhynchus tshawytscha</x:v>
      </x:c>
      <x:c r="F51" s="24" t="str">
        <x:v>Chinook salmon</x:v>
      </x:c>
      <x:c r="G51" s="24" t="str">
        <x:v>Large benthopelagics (&gt;=90 cm)</x:v>
      </x:c>
      <x:c r="H51" s="24" t="str">
        <x:v>Salmon, smelts, etc</x:v>
      </x:c>
      <x:c r="I51" s="31" t="n">
        <x:v>1628.0584884432</x:v>
      </x:c>
      <x:c r="J51" s="31" t="n">
        <x:v>1628.0584884432</x:v>
      </x:c>
      <x:c r="K51" s="31" t="n">
        <x:v>0</x:v>
      </x:c>
      <x:c r="L51" s="31" t="n">
        <x:v>246.015984742</x:v>
      </x:c>
      <x:c r="M51" s="31" t="n">
        <x:v>1382.0425037012</x:v>
      </x:c>
      <x:c r="N51" s="24" t="str">
        <x:v>oncorhynchus tshawytscha</x:v>
      </x:c>
      <x:c r="O51" s="32" t="n">
        <x:v>4.4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Oncorhynchus tshawytscha</x:v>
      </x:c>
      <x:c r="T51" s="32" t="n">
        <x:f>IF(O51="","",(1/'Metadata'!$B$5)^(O51-1))</x:f>
        <x:v>2511.886431509582</x:v>
      </x:c>
      <x:c r="U51" s="31" t="n">
        <x:f>IF(T51="","",I51*T51)</x:f>
        <x:v>4089498.026824474</x:v>
      </x:c>
    </x:row>
    <x:row r="52" ht="18" customHeight="1">
      <x:c r="A52" s="24" t="str">
        <x:v>LME_052</x:v>
      </x:c>
      <x:c r="B52" s="24" t="str">
        <x:v>Sea of Okhotsk</x:v>
      </x:c>
      <x:c r="C52" s="24" t="str">
        <x:v>LME</x:v>
      </x:c>
      <x:c r="D52" s="30" t="n">
        <x:v>2019</x:v>
      </x:c>
      <x:c r="E52" s="24" t="str">
        <x:v>Laemonema longipes</x:v>
      </x:c>
      <x:c r="F52" s="24" t="str">
        <x:v>Longfin codling</x:v>
      </x:c>
      <x:c r="G52" s="24" t="str">
        <x:v>Medium benthopelagics (30 - 89 cm)</x:v>
      </x:c>
      <x:c r="H52" s="24" t="str">
        <x:v>Cod-likes</x:v>
      </x:c>
      <x:c r="I52" s="31" t="n">
        <x:v>1568.7071325641</x:v>
      </x:c>
      <x:c r="J52" s="31" t="n">
        <x:v>1568.7071325641</x:v>
      </x:c>
      <x:c r="K52" s="31" t="n">
        <x:v>0</x:v>
      </x:c>
      <x:c r="L52" s="31" t="n">
        <x:v>727.6500729891</x:v>
      </x:c>
      <x:c r="M52" s="31" t="n">
        <x:v>841.0570595749999</x:v>
      </x:c>
      <x:c r="N52" s="24" t="str">
        <x:v>laemonema longipes</x:v>
      </x:c>
      <x:c r="O52" s="32" t="n">
        <x:v>3.24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Laemonema longipes</x:v>
      </x:c>
      <x:c r="T52" s="32" t="n">
        <x:f>IF(O52="","",(1/'Metadata'!$B$5)^(O52-1))</x:f>
        <x:v>173.78008287493762</x:v>
      </x:c>
      <x:c r="U52" s="31" t="n">
        <x:f>IF(T52="","",I52*T52)</x:f>
        <x:v>272610.05550349504</x:v>
      </x:c>
    </x:row>
    <x:row r="53" ht="18" customHeight="1">
      <x:c r="A53" s="24" t="str">
        <x:v>LME_052</x:v>
      </x:c>
      <x:c r="B53" s="24" t="str">
        <x:v>Sea of Okhotsk</x:v>
      </x:c>
      <x:c r="C53" s="24" t="str">
        <x:v>LME</x:v>
      </x:c>
      <x:c r="D53" s="30" t="n">
        <x:v>2019</x:v>
      </x:c>
      <x:c r="E53" s="24" t="str">
        <x:v>Bivalvia</x:v>
      </x:c>
      <x:c r="F53" s="24" t="str">
        <x:v>Clams</x:v>
      </x:c>
      <x:c r="G53" s="24" t="str">
        <x:v>Other demersal invertebrates</x:v>
      </x:c>
      <x:c r="H53" s="24" t="str">
        <x:v>Molluscs</x:v>
      </x:c>
      <x:c r="I53" s="31" t="n">
        <x:v>1541.5649932946</x:v>
      </x:c>
      <x:c r="J53" s="31" t="n">
        <x:v>1287.3861129931</x:v>
      </x:c>
      <x:c r="K53" s="31" t="n">
        <x:v>254.1788803015</x:v>
      </x:c>
      <x:c r="L53" s="31" t="n">
        <x:v>1287.3861129931</x:v>
      </x:c>
      <x:c r="M53" s="31" t="n">
        <x:v>254.1788803015</x:v>
      </x:c>
      <x:c r="N53" s="24" t="str">
        <x:v>bivalvia</x:v>
      </x:c>
      <x:c r="O53" s="32" t="n">
        <x:v>2.23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Bivalvia</x:v>
      </x:c>
      <x:c r="T53" s="32" t="n">
        <x:f>IF(O53="","",(1/'Metadata'!$B$5)^(O53-1))</x:f>
        <x:v>16.982436524617444</x:v>
      </x:c>
      <x:c r="U53" s="31" t="n">
        <x:f>IF(T53="","",I53*T53)</x:f>
        <x:v>26179.52964719786</x:v>
      </x:c>
    </x:row>
    <x:row r="54" ht="18" customHeight="1">
      <x:c r="A54" s="24" t="str">
        <x:v>LME_052</x:v>
      </x:c>
      <x:c r="B54" s="24" t="str">
        <x:v>Sea of Okhotsk</x:v>
      </x:c>
      <x:c r="C54" s="24" t="str">
        <x:v>LME</x:v>
      </x:c>
      <x:c r="D54" s="30" t="n">
        <x:v>2019</x:v>
      </x:c>
      <x:c r="E54" s="24" t="str">
        <x:v>Thunnus alalunga</x:v>
      </x:c>
      <x:c r="F54" s="24" t="str">
        <x:v>Albacore</x:v>
      </x:c>
      <x:c r="G54" s="24" t="str">
        <x:v>Large pelagics (&gt;=90 cm)</x:v>
      </x:c>
      <x:c r="H54" s="24" t="str">
        <x:v>Tuna &amp; billfishes</x:v>
      </x:c>
      <x:c r="I54" s="31" t="n">
        <x:v>1511.7640489727</x:v>
      </x:c>
      <x:c r="J54" s="31" t="n">
        <x:v>1509.24224171</x:v>
      </x:c>
      <x:c r="K54" s="31" t="n">
        <x:v>2.5218072627</x:v>
      </x:c>
      <x:c r="L54" s="31" t="n">
        <x:v>1509.24224171</x:v>
      </x:c>
      <x:c r="M54" s="31" t="n">
        <x:v>2.5218072627</x:v>
      </x:c>
      <x:c r="N54" s="24" t="str">
        <x:v>thunnus alalunga</x:v>
      </x:c>
      <x:c r="O54" s="32" t="n">
        <x:v>4.3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alalunga</x:v>
      </x:c>
      <x:c r="T54" s="32" t="n">
        <x:f>IF(O54="","",(1/'Metadata'!$B$5)^(O54-1))</x:f>
        <x:v>1995.2623149688789</x:v>
      </x:c>
      <x:c r="U54" s="31" t="n">
        <x:f>IF(T54="","",I54*T54)</x:f>
        <x:v>3016365.836039995</x:v>
      </x:c>
    </x:row>
    <x:row r="55" ht="18" customHeight="1">
      <x:c r="A55" s="24" t="str">
        <x:v>LME_052</x:v>
      </x:c>
      <x:c r="B55" s="24" t="str">
        <x:v>Sea of Okhotsk</x:v>
      </x:c>
      <x:c r="C55" s="24" t="str">
        <x:v>LME</x:v>
      </x:c>
      <x:c r="D55" s="30" t="n">
        <x:v>2019</x:v>
      </x:c>
      <x:c r="E55" s="24" t="str">
        <x:v>Salvelinus</x:v>
      </x:c>
      <x:c r="F55" s="24" t="str">
        <x:v>Chars</x:v>
      </x:c>
      <x:c r="G55" s="24" t="str">
        <x:v>Large benthopelagics (&gt;=90 cm)</x:v>
      </x:c>
      <x:c r="H55" s="24" t="str">
        <x:v>Salmon, smelts, etc</x:v>
      </x:c>
      <x:c r="I55" s="31" t="n">
        <x:v>1453.9839472441</x:v>
      </x:c>
      <x:c r="J55" s="31" t="n">
        <x:v>1453.9839472441</x:v>
      </x:c>
      <x:c r="K55" s="31" t="n">
        <x:v>0</x:v>
      </x:c>
      <x:c r="L55" s="31" t="n">
        <x:v>0</x:v>
      </x:c>
      <x:c r="M55" s="31" t="n">
        <x:v>1453.9839472441</x:v>
      </x:c>
      <x:c r="N55" s="24" t="str">
        <x:v>salvelinus</x:v>
      </x:c>
      <x:c r="O55" s="32" t="n">
        <x:v>4.1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Salvelinus</x:v>
      </x:c>
      <x:c r="T55" s="32" t="n">
        <x:f>IF(O55="","",(1/'Metadata'!$B$5)^(O55-1))</x:f>
        <x:v>1258.9254117941662</x:v>
      </x:c>
      <x:c r="U55" s="31" t="n">
        <x:f>IF(T55="","",I55*T55)</x:f>
        <x:v>1830457.3395263858</x:v>
      </x:c>
    </x:row>
    <x:row r="56" ht="18" customHeight="1">
      <x:c r="A56" s="24" t="str">
        <x:v>LME_052</x:v>
      </x:c>
      <x:c r="B56" s="24" t="str">
        <x:v>Sea of Okhotsk</x:v>
      </x:c>
      <x:c r="C56" s="24" t="str">
        <x:v>LME</x:v>
      </x:c>
      <x:c r="D56" s="30" t="n">
        <x:v>2019</x:v>
      </x:c>
      <x:c r="E56" s="24" t="str">
        <x:v>Sciaenidae</x:v>
      </x:c>
      <x:c r="F56" s="24" t="str">
        <x:v>Drums, croakers</x:v>
      </x:c>
      <x:c r="G56" s="24" t="str">
        <x:v>Medium demersals (30 - 89 cm)</x:v>
      </x:c>
      <x:c r="H56" s="24" t="str">
        <x:v>Perch-likes</x:v>
      </x:c>
      <x:c r="I56" s="31" t="n">
        <x:v>1433.2354928339</x:v>
      </x:c>
      <x:c r="J56" s="31" t="n">
        <x:v>1433.2354928339</x:v>
      </x:c>
      <x:c r="K56" s="31" t="n">
        <x:v>0</x:v>
      </x:c>
      <x:c r="L56" s="31" t="n">
        <x:v>1432.7462804803001</x:v>
      </x:c>
      <x:c r="M56" s="31" t="n">
        <x:v>0.4892123536</x:v>
      </x:c>
      <x:c r="N56" s="24" t="str">
        <x:v>sciaenidae</x:v>
      </x:c>
      <x:c r="O56" s="32" t="n">
        <x:v>3.76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Sciaenidae</x:v>
      </x:c>
      <x:c r="T56" s="32" t="n">
        <x:f>IF(O56="","",(1/'Metadata'!$B$5)^(O56-1))</x:f>
        <x:v>575.4399373371566</x:v>
      </x:c>
      <x:c r="U56" s="31" t="n">
        <x:f>IF(T56="","",I56*T56)</x:f>
        <x:v>824740.9421857282</x:v>
      </x:c>
    </x:row>
    <x:row r="57" ht="18" customHeight="1">
      <x:c r="A57" s="24" t="str">
        <x:v>LME_052</x:v>
      </x:c>
      <x:c r="B57" s="24" t="str">
        <x:v>Sea of Okhotsk</x:v>
      </x:c>
      <x:c r="C57" s="24" t="str">
        <x:v>LME</x:v>
      </x:c>
      <x:c r="D57" s="30" t="n">
        <x:v>2019</x:v>
      </x:c>
      <x:c r="E57" s="24" t="str">
        <x:v>Pandalus goniurus</x:v>
      </x:c>
      <x:c r="F57" s="24" t="str">
        <x:v>Humpy shrimp</x:v>
      </x:c>
      <x:c r="G57" s="24" t="str">
        <x:v>Shrimps</x:v>
      </x:c>
      <x:c r="H57" s="24" t="str">
        <x:v>Crustaceans</x:v>
      </x:c>
      <x:c r="I57" s="31" t="n">
        <x:v>1247.8165330786</x:v>
      </x:c>
      <x:c r="J57" s="31" t="n">
        <x:v>1247.8165330786</x:v>
      </x:c>
      <x:c r="K57" s="31" t="n">
        <x:v>0</x:v>
      </x:c>
      <x:c r="L57" s="31" t="n">
        <x:v>759.3511840824</x:v>
      </x:c>
      <x:c r="M57" s="31" t="n">
        <x:v>488.4653489962</x:v>
      </x:c>
      <x:c r="N57" s="24" t="str">
        <x:v>pandalus goniurus</x:v>
      </x:c>
      <x:c r="O57" s="32" t="n">
        <x:v>2.6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Pandalus goniurus</x:v>
      </x:c>
      <x:c r="T57" s="32" t="n">
        <x:f>IF(O57="","",(1/'Metadata'!$B$5)^(O57-1))</x:f>
        <x:v>39.810717055349734</x:v>
      </x:c>
      <x:c r="U57" s="31" t="n">
        <x:f>IF(T57="","",I57*T57)</x:f>
        <x:v>49676.4709353796</x:v>
      </x:c>
    </x:row>
    <x:row r="58" ht="18" customHeight="1">
      <x:c r="A58" s="24" t="str">
        <x:v>LME_052</x:v>
      </x:c>
      <x:c r="B58" s="24" t="str">
        <x:v>Sea of Okhotsk</x:v>
      </x:c>
      <x:c r="C58" s="24" t="str">
        <x:v>LME</x:v>
      </x:c>
      <x:c r="D58" s="30" t="n">
        <x:v>2019</x:v>
      </x:c>
      <x:c r="E58" s="24" t="str">
        <x:v>Arctoscopus japonicus</x:v>
      </x:c>
      <x:c r="F58" s="24" t="str">
        <x:v>Japanese sandfish</x:v>
      </x:c>
      <x:c r="G58" s="24" t="str">
        <x:v>Small bathydemersals (&lt;30 cm)</x:v>
      </x:c>
      <x:c r="H58" s="24" t="str">
        <x:v>Perch-likes</x:v>
      </x:c>
      <x:c r="I58" s="31" t="n">
        <x:v>1189.3235408127</x:v>
      </x:c>
      <x:c r="J58" s="31" t="n">
        <x:v>900.8492134496</x:v>
      </x:c>
      <x:c r="K58" s="31" t="n">
        <x:v>288.4743273631</x:v>
      </x:c>
      <x:c r="L58" s="31" t="n">
        <x:v>900.8492134496</x:v>
      </x:c>
      <x:c r="M58" s="31" t="n">
        <x:v>288.4743273631</x:v>
      </x:c>
      <x:c r="N58" s="24" t="str">
        <x:v>arctoscopus japonicus</x:v>
      </x:c>
      <x:c r="O58" s="32" t="n">
        <x:v>3.51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Arctoscopus japonicus</x:v>
      </x:c>
      <x:c r="T58" s="32" t="n">
        <x:f>IF(O58="","",(1/'Metadata'!$B$5)^(O58-1))</x:f>
        <x:v>323.5936569296281</x:v>
      </x:c>
      <x:c r="U58" s="31" t="n">
        <x:f>IF(T58="","",I58*T58)</x:f>
        <x:v>384857.55384407536</x:v>
      </x:c>
    </x:row>
    <x:row r="59" ht="18" customHeight="1">
      <x:c r="A59" s="24" t="str">
        <x:v>LME_052</x:v>
      </x:c>
      <x:c r="B59" s="24" t="str">
        <x:v>Sea of Okhotsk</x:v>
      </x:c>
      <x:c r="C59" s="24" t="str">
        <x:v>LME</x:v>
      </x:c>
      <x:c r="D59" s="30" t="n">
        <x:v>2019</x:v>
      </x:c>
      <x:c r="E59" s="24" t="str">
        <x:v>Pandalus hypsinotus</x:v>
      </x:c>
      <x:c r="F59" s="24" t="str">
        <x:v>Coonstriped shrimp</x:v>
      </x:c>
      <x:c r="G59" s="24" t="str">
        <x:v>Shrimps</x:v>
      </x:c>
      <x:c r="H59" s="24" t="str">
        <x:v>Crustaceans</x:v>
      </x:c>
      <x:c r="I59" s="31" t="n">
        <x:v>1178.9451533472</x:v>
      </x:c>
      <x:c r="J59" s="31" t="n">
        <x:v>1178.9451533472</x:v>
      </x:c>
      <x:c r="K59" s="31" t="n">
        <x:v>0</x:v>
      </x:c>
      <x:c r="L59" s="31" t="n">
        <x:v>993.889800426</x:v>
      </x:c>
      <x:c r="M59" s="31" t="n">
        <x:v>185.05535292119998</x:v>
      </x:c>
      <x:c r="N59" s="24" t="str">
        <x:v>pandalus hypsinotus</x:v>
      </x:c>
      <x:c r="O59" s="32" t="n">
        <x:v>2.6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Pandalus hypsinotus</x:v>
      </x:c>
      <x:c r="T59" s="32" t="n">
        <x:f>IF(O59="","",(1/'Metadata'!$B$5)^(O59-1))</x:f>
        <x:v>39.810717055349734</x:v>
      </x:c>
      <x:c r="U59" s="31" t="n">
        <x:f>IF(T59="","",I59*T59)</x:f>
        <x:v>46934.65192368128</x:v>
      </x:c>
    </x:row>
    <x:row r="60" ht="18" customHeight="1">
      <x:c r="A60" s="24" t="str">
        <x:v>LME_052</x:v>
      </x:c>
      <x:c r="B60" s="24" t="str">
        <x:v>Sea of Okhotsk</x:v>
      </x:c>
      <x:c r="C60" s="24" t="str">
        <x:v>LME</x:v>
      </x:c>
      <x:c r="D60" s="30" t="n">
        <x:v>2019</x:v>
      </x:c>
      <x:c r="E60" s="24" t="str">
        <x:v>Scombridae</x:v>
      </x:c>
      <x:c r="F60" s="24" t="str">
        <x:v>Mackerels, tunas, bonitos</x:v>
      </x:c>
      <x:c r="G60" s="24" t="str">
        <x:v>Medium pelagics (30 - 89 cm)</x:v>
      </x:c>
      <x:c r="H60" s="24" t="str">
        <x:v>Perch-likes</x:v>
      </x:c>
      <x:c r="I60" s="31" t="n">
        <x:v>1071.9254648863</x:v>
      </x:c>
      <x:c r="J60" s="31" t="n">
        <x:v>1027.2698171639001</x:v>
      </x:c>
      <x:c r="K60" s="31" t="n">
        <x:v>44.655647722400005</x:v>
      </x:c>
      <x:c r="L60" s="31" t="n">
        <x:v>952.0640059775001</x:v>
      </x:c>
      <x:c r="M60" s="31" t="n">
        <x:v>119.8614589088</x:v>
      </x:c>
      <x:c r="N60" s="24" t="str">
        <x:v>scombridae</x:v>
      </x:c>
      <x:c r="O60" s="32" t="n">
        <x:v>4.26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Scombridae</x:v>
      </x:c>
      <x:c r="T60" s="32" t="n">
        <x:f>IF(O60="","",(1/'Metadata'!$B$5)^(O60-1))</x:f>
        <x:v>1819.7008586099826</x:v>
      </x:c>
      <x:c r="U60" s="31" t="n">
        <x:f>IF(T60="","",I60*T60)</x:f>
        <x:v>1950583.6888195048</x:v>
      </x:c>
    </x:row>
    <x:row r="61" ht="18" customHeight="1">
      <x:c r="A61" s="24" t="str">
        <x:v>LME_052</x:v>
      </x:c>
      <x:c r="B61" s="24" t="str">
        <x:v>Sea of Okhotsk</x:v>
      </x:c>
      <x:c r="C61" s="24" t="str">
        <x:v>LME</x:v>
      </x:c>
      <x:c r="D61" s="30" t="n">
        <x:v>2019</x:v>
      </x:c>
      <x:c r="E61" s="24" t="str">
        <x:v>Trachurus japonicus</x:v>
      </x:c>
      <x:c r="F61" s="24" t="str">
        <x:v>Japanese jack mackerel</x:v>
      </x:c>
      <x:c r="G61" s="24" t="str">
        <x:v>Medium demersals (30 - 89 cm)</x:v>
      </x:c>
      <x:c r="H61" s="24" t="str">
        <x:v>Perch-likes</x:v>
      </x:c>
      <x:c r="I61" s="31" t="n">
        <x:v>1062.4106086593</x:v>
      </x:c>
      <x:c r="J61" s="31" t="n">
        <x:v>985.7023621831</x:v>
      </x:c>
      <x:c r="K61" s="31" t="n">
        <x:v>76.7082464762</x:v>
      </x:c>
      <x:c r="L61" s="31" t="n">
        <x:v>874.6310431943</x:v>
      </x:c>
      <x:c r="M61" s="31" t="n">
        <x:v>187.77956546500002</x:v>
      </x:c>
      <x:c r="N61" s="24" t="str">
        <x:v>trachurus japonicus</x:v>
      </x:c>
      <x:c r="O61" s="32" t="n">
        <x:v>3.4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Trachurus japonicus</x:v>
      </x:c>
      <x:c r="T61" s="32" t="n">
        <x:f>IF(O61="","",(1/'Metadata'!$B$5)^(O61-1))</x:f>
        <x:v>251.18864315095797</x:v>
      </x:c>
      <x:c r="U61" s="31" t="n">
        <x:f>IF(T61="","",I61*T61)</x:f>
        <x:v>266865.47925831296</x:v>
      </x:c>
    </x:row>
    <x:row r="62" ht="18" customHeight="1">
      <x:c r="A62" s="24" t="str">
        <x:v>LME_052</x:v>
      </x:c>
      <x:c r="B62" s="24" t="str">
        <x:v>Sea of Okhotsk</x:v>
      </x:c>
      <x:c r="C62" s="24" t="str">
        <x:v>LME</x:v>
      </x:c>
      <x:c r="D62" s="30" t="n">
        <x:v>2019</x:v>
      </x:c>
      <x:c r="E62" s="24" t="str">
        <x:v>Atheresthes evermanni</x:v>
      </x:c>
      <x:c r="F62" s="24" t="str">
        <x:v>Kamchatka flounder</x:v>
      </x:c>
      <x:c r="G62" s="24" t="str">
        <x:v>Large flatfishes (&gt;=90 cm)</x:v>
      </x:c>
      <x:c r="H62" s="24" t="str">
        <x:v>Flatfishes</x:v>
      </x:c>
      <x:c r="I62" s="31" t="n">
        <x:v>1009.2740682734999</x:v>
      </x:c>
      <x:c r="J62" s="31" t="n">
        <x:v>947.2234412017999</x:v>
      </x:c>
      <x:c r="K62" s="31" t="n">
        <x:v>62.0506270717</x:v>
      </x:c>
      <x:c r="L62" s="31" t="n">
        <x:v>828.7060488899999</x:v>
      </x:c>
      <x:c r="M62" s="31" t="n">
        <x:v>180.5680193835</x:v>
      </x:c>
      <x:c r="N62" s="24" t="str">
        <x:v>atheresthes evermanni</x:v>
      </x:c>
      <x:c r="O62" s="32" t="n">
        <x:v>4.3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Atheresthes evermanni</x:v>
      </x:c>
      <x:c r="T62" s="32" t="n">
        <x:f>IF(O62="","",(1/'Metadata'!$B$5)^(O62-1))</x:f>
        <x:v>1995.2623149688789</x:v>
      </x:c>
      <x:c r="U62" s="31" t="n">
        <x:f>IF(T62="","",I62*T62)</x:f>
        <x:v>2013766.5139014416</x:v>
      </x:c>
    </x:row>
    <x:row r="63" ht="18" customHeight="1">
      <x:c r="A63" s="24" t="str">
        <x:v>LME_052</x:v>
      </x:c>
      <x:c r="B63" s="24" t="str">
        <x:v>Sea of Okhotsk</x:v>
      </x:c>
      <x:c r="C63" s="24" t="str">
        <x:v>LME</x:v>
      </x:c>
      <x:c r="D63" s="30" t="n">
        <x:v>2019</x:v>
      </x:c>
      <x:c r="E63" s="24" t="str">
        <x:v>Octopus</x:v>
      </x:c>
      <x:c r="F63" s="24" t="str">
        <x:v>Octopuses, pikas</x:v>
      </x:c>
      <x:c r="G63" s="24" t="str">
        <x:v>Cephalopods</x:v>
      </x:c>
      <x:c r="H63" s="24" t="str">
        <x:v>Other fishes &amp; inverts</x:v>
      </x:c>
      <x:c r="I63" s="31" t="n">
        <x:v>934.9020207873</x:v>
      </x:c>
      <x:c r="J63" s="31" t="n">
        <x:v>934.9020207873</x:v>
      </x:c>
      <x:c r="K63" s="31" t="n">
        <x:v>0</x:v>
      </x:c>
      <x:c r="L63" s="31" t="n">
        <x:v>934.9020207873</x:v>
      </x:c>
      <x:c r="M63" s="31" t="n">
        <x:v>0</x:v>
      </x:c>
      <x:c r="N63" s="24" t="str">
        <x:v>octopus</x:v>
      </x:c>
      <x:c r="O63" s="32" t="n">
        <x:v>3.8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Octopus</x:v>
      </x:c>
      <x:c r="T63" s="32" t="n">
        <x:f>IF(O63="","",(1/'Metadata'!$B$5)^(O63-1))</x:f>
        <x:v>630.957344480193</x:v>
      </x:c>
      <x:c r="U63" s="31" t="n">
        <x:f>IF(T63="","",I63*T63)</x:f>
        <x:v>589883.296385121</x:v>
      </x:c>
    </x:row>
    <x:row r="64" ht="18" customHeight="1">
      <x:c r="A64" s="24" t="str">
        <x:v>LME_052</x:v>
      </x:c>
      <x:c r="B64" s="24" t="str">
        <x:v>Sea of Okhotsk</x:v>
      </x:c>
      <x:c r="C64" s="24" t="str">
        <x:v>LME</x:v>
      </x:c>
      <x:c r="D64" s="30" t="n">
        <x:v>2019</x:v>
      </x:c>
      <x:c r="E64" s="24" t="str">
        <x:v>Lutjanidae</x:v>
      </x:c>
      <x:c r="F64" s="24" t="str">
        <x:v>Snappers</x:v>
      </x:c>
      <x:c r="G64" s="24" t="str">
        <x:v>Medium reef assoc. fish (30 - 89 cm)</x:v>
      </x:c>
      <x:c r="H64" s="24" t="str">
        <x:v>Perch-likes</x:v>
      </x:c>
      <x:c r="I64" s="31" t="n">
        <x:v>657.7093911787</x:v>
      </x:c>
      <x:c r="J64" s="31" t="n">
        <x:v>0.040183669400000004</x:v>
      </x:c>
      <x:c r="K64" s="31" t="n">
        <x:v>657.6692075093</x:v>
      </x:c>
      <x:c r="L64" s="31" t="n">
        <x:v>0.0175946962</x:v>
      </x:c>
      <x:c r="M64" s="31" t="n">
        <x:v>657.6917964825</x:v>
      </x:c>
      <x:c r="N64" s="24" t="str">
        <x:v>lutjanidae</x:v>
      </x:c>
      <x:c r="O64" s="32" t="n">
        <x:v>4.02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Lutjanidae</x:v>
      </x:c>
      <x:c r="T64" s="32" t="n">
        <x:f>IF(O64="","",(1/'Metadata'!$B$5)^(O64-1))</x:f>
        <x:v>1047.1285480508984</x:v>
      </x:c>
      <x:c r="U64" s="31" t="n">
        <x:f>IF(T64="","",I64*T64)</x:f>
        <x:v>688706.2798243925</x:v>
      </x:c>
    </x:row>
    <x:row r="65" ht="18" customHeight="1">
      <x:c r="A65" s="24" t="str">
        <x:v>LME_052</x:v>
      </x:c>
      <x:c r="B65" s="24" t="str">
        <x:v>Sea of Okhotsk</x:v>
      </x:c>
      <x:c r="C65" s="24" t="str">
        <x:v>LME</x:v>
      </x:c>
      <x:c r="D65" s="30" t="n">
        <x:v>2019</x:v>
      </x:c>
      <x:c r="E65" s="24" t="str">
        <x:v>Chionoecetes opilio</x:v>
      </x:c>
      <x:c r="F65" s="24" t="str">
        <x:v>Snow crab</x:v>
      </x:c>
      <x:c r="G65" s="24" t="str">
        <x:v>Lobsters, crabs</x:v>
      </x:c>
      <x:c r="H65" s="24" t="str">
        <x:v>Crustaceans</x:v>
      </x:c>
      <x:c r="I65" s="31" t="n">
        <x:v>652.6598690540001</x:v>
      </x:c>
      <x:c r="J65" s="31" t="n">
        <x:v>641.0543199409001</x:v>
      </x:c>
      <x:c r="K65" s="31" t="n">
        <x:v>11.6055491131</x:v>
      </x:c>
      <x:c r="L65" s="31" t="n">
        <x:v>641.0543199409001</x:v>
      </x:c>
      <x:c r="M65" s="31" t="n">
        <x:v>11.6055491131</x:v>
      </x:c>
      <x:c r="N65" s="24" t="str">
        <x:v>chionoecetes opilio</x:v>
      </x:c>
      <x:c r="O65" s="32" t="n">
        <x:v>3.54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Chionoecetes opilio</x:v>
      </x:c>
      <x:c r="T65" s="32" t="n">
        <x:f>IF(O65="","",(1/'Metadata'!$B$5)^(O65-1))</x:f>
        <x:v>346.73685045253166</x:v>
      </x:c>
      <x:c r="U65" s="31" t="n">
        <x:f>IF(T65="","",I65*T65)</x:f>
        <x:v>226301.2274125457</x:v>
      </x:c>
    </x:row>
    <x:row r="66" ht="18" customHeight="1">
      <x:c r="A66" s="24" t="str">
        <x:v>LME_052</x:v>
      </x:c>
      <x:c r="B66" s="24" t="str">
        <x:v>Sea of Okhotsk</x:v>
      </x:c>
      <x:c r="C66" s="24" t="str">
        <x:v>LME</x:v>
      </x:c>
      <x:c r="D66" s="30" t="n">
        <x:v>2019</x:v>
      </x:c>
      <x:c r="E66" s="24" t="str">
        <x:v>Sebastolobus alascanus</x:v>
      </x:c>
      <x:c r="F66" s="24" t="str">
        <x:v>Shortspine thornyhead</x:v>
      </x:c>
      <x:c r="G66" s="24" t="str">
        <x:v>Medium bathydemersals (30 - 89 cm)</x:v>
      </x:c>
      <x:c r="H66" s="24" t="str">
        <x:v>Scorpionfishes</x:v>
      </x:c>
      <x:c r="I66" s="31" t="n">
        <x:v>531.6028164752</x:v>
      </x:c>
      <x:c r="J66" s="31" t="n">
        <x:v>531.6028164752</x:v>
      </x:c>
      <x:c r="K66" s="31" t="n">
        <x:v>0</x:v>
      </x:c>
      <x:c r="L66" s="31" t="n">
        <x:v>466.3329518413</x:v>
      </x:c>
      <x:c r="M66" s="31" t="n">
        <x:v>65.2698646339</x:v>
      </x:c>
      <x:c r="N66" s="24" t="str">
        <x:v>sebastolobus alascanus</x:v>
      </x:c>
      <x:c r="O66" s="32" t="n">
        <x:v>3.62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Sebastolobus alascanus</x:v>
      </x:c>
      <x:c r="T66" s="32" t="n">
        <x:f>IF(O66="","",(1/'Metadata'!$B$5)^(O66-1))</x:f>
        <x:v>416.8693834703355</x:v>
      </x:c>
      <x:c r="U66" s="31" t="n">
        <x:f>IF(T66="","",I66*T66)</x:f>
        <x:v>221608.93835511056</x:v>
      </x:c>
    </x:row>
    <x:row r="67" ht="18" customHeight="1">
      <x:c r="A67" s="24" t="str">
        <x:v>LME_052</x:v>
      </x:c>
      <x:c r="B67" s="24" t="str">
        <x:v>Sea of Okhotsk</x:v>
      </x:c>
      <x:c r="C67" s="24" t="str">
        <x:v>LME</x:v>
      </x:c>
      <x:c r="D67" s="30" t="n">
        <x:v>2019</x:v>
      </x:c>
      <x:c r="E67" s="24" t="str">
        <x:v>Salvelinus malma</x:v>
      </x:c>
      <x:c r="F67" s="24" t="str">
        <x:v>Dolly varden</x:v>
      </x:c>
      <x:c r="G67" s="24" t="str">
        <x:v>Large benthopelagics (&gt;=90 cm)</x:v>
      </x:c>
      <x:c r="H67" s="24" t="str">
        <x:v>Salmon, smelts, etc</x:v>
      </x:c>
      <x:c r="I67" s="31" t="n">
        <x:v>476.85164123410004</x:v>
      </x:c>
      <x:c r="J67" s="31" t="n">
        <x:v>476.85164123410004</x:v>
      </x:c>
      <x:c r="K67" s="31" t="n">
        <x:v>0</x:v>
      </x:c>
      <x:c r="L67" s="31" t="n">
        <x:v>0</x:v>
      </x:c>
      <x:c r="M67" s="31" t="n">
        <x:v>476.85164123410004</x:v>
      </x:c>
      <x:c r="N67" s="24" t="str">
        <x:v>salvelinus malma</x:v>
      </x:c>
      <x:c r="O67" s="32" t="n">
        <x:v>4.4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Salvelinus malma</x:v>
      </x:c>
      <x:c r="T67" s="32" t="n">
        <x:f>IF(O67="","",(1/'Metadata'!$B$5)^(O67-1))</x:f>
        <x:v>2511.886431509582</x:v>
      </x:c>
      <x:c r="U67" s="31" t="n">
        <x:f>IF(T67="","",I67*T67)</x:f>
        <x:v>1197797.167459011</x:v>
      </x:c>
    </x:row>
    <x:row r="68" ht="18" customHeight="1">
      <x:c r="A68" s="24" t="str">
        <x:v>LME_052</x:v>
      </x:c>
      <x:c r="B68" s="24" t="str">
        <x:v>Sea of Okhotsk</x:v>
      </x:c>
      <x:c r="C68" s="24" t="str">
        <x:v>LME</x:v>
      </x:c>
      <x:c r="D68" s="30" t="n">
        <x:v>2019</x:v>
      </x:c>
      <x:c r="E68" s="24" t="str">
        <x:v>Chondrichthyes</x:v>
      </x:c>
      <x:c r="F68" s="24" t="str">
        <x:v>Sharks, rays, chimaeras</x:v>
      </x:c>
      <x:c r="G68" s="24" t="str">
        <x:v>Large sharks (&gt;=90 cm)</x:v>
      </x:c>
      <x:c r="H68" s="24" t="str">
        <x:v>Sharks &amp; rays</x:v>
      </x:c>
      <x:c r="I68" s="31" t="n">
        <x:v>417.968286331</x:v>
      </x:c>
      <x:c r="J68" s="31" t="n">
        <x:v>271.43660156059997</x:v>
      </x:c>
      <x:c r="K68" s="31" t="n">
        <x:v>146.5316847704</x:v>
      </x:c>
      <x:c r="L68" s="31" t="n">
        <x:v>271.43660156059997</x:v>
      </x:c>
      <x:c r="M68" s="31" t="n">
        <x:v>146.5316847704</x:v>
      </x:c>
      <x:c r="N68" s="24" t="str">
        <x:v>chondrichthyes</x:v>
      </x:c>
      <x:c r="O68" s="32" t="n">
        <x:v>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Chondrichthyes</x:v>
      </x:c>
      <x:c r="T68" s="32" t="n">
        <x:f>IF(O68="","",(1/'Metadata'!$B$5)^(O68-1))</x:f>
        <x:v>1000</x:v>
      </x:c>
      <x:c r="U68" s="31" t="n">
        <x:f>IF(T68="","",I68*T68)</x:f>
        <x:v>417968.286331</x:v>
      </x:c>
    </x:row>
    <x:row r="69" ht="18" customHeight="1">
      <x:c r="A69" s="24" t="str">
        <x:v>LME_052</x:v>
      </x:c>
      <x:c r="B69" s="24" t="str">
        <x:v>Sea of Okhotsk</x:v>
      </x:c>
      <x:c r="C69" s="24" t="str">
        <x:v>LME</x:v>
      </x:c>
      <x:c r="D69" s="30" t="n">
        <x:v>2019</x:v>
      </x:c>
      <x:c r="E69" s="24" t="str">
        <x:v>Muraenesox cinereus</x:v>
      </x:c>
      <x:c r="F69" s="24" t="str">
        <x:v>Daggertooth pike conger</x:v>
      </x:c>
      <x:c r="G69" s="24" t="str">
        <x:v>Large demersals (&gt;=90 cm)</x:v>
      </x:c>
      <x:c r="H69" s="24" t="str">
        <x:v>Other fishes &amp; inverts</x:v>
      </x:c>
      <x:c r="I69" s="31" t="n">
        <x:v>347.9226054933</x:v>
      </x:c>
      <x:c r="J69" s="31" t="n">
        <x:v>346.5214897057</x:v>
      </x:c>
      <x:c r="K69" s="31" t="n">
        <x:v>1.4011157876</x:v>
      </x:c>
      <x:c r="L69" s="31" t="n">
        <x:v>346.5214897057</x:v>
      </x:c>
      <x:c r="M69" s="31" t="n">
        <x:v>1.4011157876</x:v>
      </x:c>
      <x:c r="N69" s="24" t="str">
        <x:v>muraenesox cinereus</x:v>
      </x:c>
      <x:c r="O69" s="32" t="n">
        <x:v>4.38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Muraenesox cinereus</x:v>
      </x:c>
      <x:c r="T69" s="32" t="n">
        <x:f>IF(O69="","",(1/'Metadata'!$B$5)^(O69-1))</x:f>
        <x:v>2398.83291901949</x:v>
      </x:c>
      <x:c r="U69" s="31" t="n">
        <x:f>IF(T69="","",I69*T69)</x:f>
        <x:v>834608.1993283593</x:v>
      </x:c>
    </x:row>
    <x:row r="70" ht="18" customHeight="1">
      <x:c r="A70" s="24" t="str">
        <x:v>LME_052</x:v>
      </x:c>
      <x:c r="B70" s="24" t="str">
        <x:v>Sea of Okhotsk</x:v>
      </x:c>
      <x:c r="C70" s="24" t="str">
        <x:v>LME</x:v>
      </x:c>
      <x:c r="D70" s="30" t="n">
        <x:v>2019</x:v>
      </x:c>
      <x:c r="E70" s="24" t="str">
        <x:v>Actinopterygii</x:v>
      </x:c>
      <x:c r="F70" s="24" t="str">
        <x:v>Ray-finned fishes</x:v>
      </x:c>
      <x:c r="G70" s="24" t="str">
        <x:v>Medium demersals (30 - 89 cm)</x:v>
      </x:c>
      <x:c r="H70" s="24" t="str">
        <x:v>Other fishes &amp; inverts</x:v>
      </x:c>
      <x:c r="I70" s="31" t="n">
        <x:v>328.90797386869997</x:v>
      </x:c>
      <x:c r="J70" s="31" t="n">
        <x:v>328.90797386869997</x:v>
      </x:c>
      <x:c r="K70" s="31" t="n">
        <x:v>0</x:v>
      </x:c>
      <x:c r="L70" s="31" t="n">
        <x:v>0</x:v>
      </x:c>
      <x:c r="M70" s="31" t="n">
        <x:v>328.90797386869997</x:v>
      </x:c>
      <x:c r="N70" s="24" t="str">
        <x:v>actinopterygii</x:v>
      </x:c>
      <x:c r="O70" s="32" t="n">
        <x:v>3.79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Actinopterygii</x:v>
      </x:c>
      <x:c r="T70" s="32" t="n">
        <x:f>IF(O70="","",(1/'Metadata'!$B$5)^(O70-1))</x:f>
        <x:v>616.5950018614822</x:v>
      </x:c>
      <x:c r="U70" s="31" t="n">
        <x:f>IF(T70="","",I70*T70)</x:f>
        <x:v>202803.0127598274</x:v>
      </x:c>
    </x:row>
    <x:row r="71" ht="18" customHeight="1">
      <x:c r="A71" s="24" t="str">
        <x:v>LME_052</x:v>
      </x:c>
      <x:c r="B71" s="24" t="str">
        <x:v>Sea of Okhotsk</x:v>
      </x:c>
      <x:c r="C71" s="24" t="str">
        <x:v>LME</x:v>
      </x:c>
      <x:c r="D71" s="30" t="n">
        <x:v>2019</x:v>
      </x:c>
      <x:c r="E71" s="24" t="str">
        <x:v>Gadidae</x:v>
      </x:c>
      <x:c r="F71" s="24" t="str">
        <x:v>Cods, haddocks</x:v>
      </x:c>
      <x:c r="G71" s="24" t="str">
        <x:v>Medium demersals (30 - 89 cm)</x:v>
      </x:c>
      <x:c r="H71" s="24" t="str">
        <x:v>Cod-likes</x:v>
      </x:c>
      <x:c r="I71" s="31" t="n">
        <x:v>305.3217364531</x:v>
      </x:c>
      <x:c r="J71" s="31" t="n">
        <x:v>305.3217364531</x:v>
      </x:c>
      <x:c r="K71" s="31" t="n">
        <x:v>0</x:v>
      </x:c>
      <x:c r="L71" s="31" t="n">
        <x:v>0</x:v>
      </x:c>
      <x:c r="M71" s="31" t="n">
        <x:v>305.3217364531</x:v>
      </x:c>
      <x:c r="N71" s="24" t="str">
        <x:v>gadidae</x:v>
      </x:c>
      <x:c r="O71" s="32" t="n">
        <x:v>3.84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Gadidae</x:v>
      </x:c>
      <x:c r="T71" s="32" t="n">
        <x:f>IF(O71="","",(1/'Metadata'!$B$5)^(O71-1))</x:f>
        <x:v>691.8309709189363</x:v>
      </x:c>
      <x:c r="U71" s="31" t="n">
        <x:f>IF(T71="","",I71*T71)</x:f>
        <x:v>211231.03337300377</x:v>
      </x:c>
    </x:row>
    <x:row r="72" ht="18" customHeight="1">
      <x:c r="A72" s="24" t="str">
        <x:v>LME_052</x:v>
      </x:c>
      <x:c r="B72" s="24" t="str">
        <x:v>Sea of Okhotsk</x:v>
      </x:c>
      <x:c r="C72" s="24" t="str">
        <x:v>LME</x:v>
      </x:c>
      <x:c r="D72" s="30" t="n">
        <x:v>2019</x:v>
      </x:c>
      <x:c r="E72" s="24" t="str">
        <x:v>Squillidae</x:v>
      </x:c>
      <x:c r="F72" s="24" t="str">
        <x:v>Squilla mantis shrimps</x:v>
      </x:c>
      <x:c r="G72" s="24" t="str">
        <x:v>Shrimps</x:v>
      </x:c>
      <x:c r="H72" s="24" t="str">
        <x:v>Crustaceans</x:v>
      </x:c>
      <x:c r="I72" s="31" t="n">
        <x:v>302.5390725518</x:v>
      </x:c>
      <x:c r="J72" s="31" t="n">
        <x:v>302.5390725518</x:v>
      </x:c>
      <x:c r="K72" s="31" t="n">
        <x:v>0</x:v>
      </x:c>
      <x:c r="L72" s="31" t="n">
        <x:v>302.5390725518</x:v>
      </x:c>
      <x:c r="M72" s="31" t="n">
        <x:v>0</x:v>
      </x:c>
      <x:c r="N72" s="24" t="str">
        <x:v>squillidae</x:v>
      </x:c>
      <x:c r="O72" s="32" t="n">
        <x:v>3.5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Squillidae</x:v>
      </x:c>
      <x:c r="T72" s="32" t="n">
        <x:f>IF(O72="","",(1/'Metadata'!$B$5)^(O72-1))</x:f>
        <x:v>316.22776601683796</x:v>
      </x:c>
      <x:c r="U72" s="31" t="n">
        <x:f>IF(T72="","",I72*T72)</x:f>
        <x:v>95671.25504586178</x:v>
      </x:c>
    </x:row>
    <x:row r="73" ht="18" customHeight="1">
      <x:c r="A73" s="24" t="str">
        <x:v>LME_052</x:v>
      </x:c>
      <x:c r="B73" s="24" t="str">
        <x:v>Sea of Okhotsk</x:v>
      </x:c>
      <x:c r="C73" s="24" t="str">
        <x:v>LME</x:v>
      </x:c>
      <x:c r="D73" s="30" t="n">
        <x:v>2019</x:v>
      </x:c>
      <x:c r="E73" s="24" t="str">
        <x:v>Anoplopoma fimbria</x:v>
      </x:c>
      <x:c r="F73" s="24" t="str">
        <x:v>Sablefish</x:v>
      </x:c>
      <x:c r="G73" s="24" t="str">
        <x:v>Large bathydemersals (&gt;=90 cm)</x:v>
      </x:c>
      <x:c r="H73" s="24" t="str">
        <x:v>Scorpionfishes</x:v>
      </x:c>
      <x:c r="I73" s="31" t="n">
        <x:v>301.6798206571</x:v>
      </x:c>
      <x:c r="J73" s="31" t="n">
        <x:v>301.6798206571</x:v>
      </x:c>
      <x:c r="K73" s="31" t="n">
        <x:v>0</x:v>
      </x:c>
      <x:c r="L73" s="31" t="n">
        <x:v>300.42514487799997</x:v>
      </x:c>
      <x:c r="M73" s="31" t="n">
        <x:v>1.2546757791</x:v>
      </x:c>
      <x:c r="N73" s="24" t="str">
        <x:v>anoplopoma fimbria</x:v>
      </x:c>
      <x:c r="O73" s="32" t="n">
        <x:v>3.84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Anoplopoma fimbria</x:v>
      </x:c>
      <x:c r="T73" s="32" t="n">
        <x:f>IF(O73="","",(1/'Metadata'!$B$5)^(O73-1))</x:f>
        <x:v>691.8309709189363</x:v>
      </x:c>
      <x:c r="U73" s="31" t="n">
        <x:f>IF(T73="","",I73*T73)</x:f>
        <x:v>208711.44323185206</x:v>
      </x:c>
    </x:row>
    <x:row r="74" ht="18" customHeight="1">
      <x:c r="A74" s="24" t="str">
        <x:v>LME_052</x:v>
      </x:c>
      <x:c r="B74" s="24" t="str">
        <x:v>Sea of Okhotsk</x:v>
      </x:c>
      <x:c r="C74" s="24" t="str">
        <x:v>LME</x:v>
      </x:c>
      <x:c r="D74" s="30" t="n">
        <x:v>2019</x:v>
      </x:c>
      <x:c r="E74" s="24" t="str">
        <x:v>Sclerocrangon</x:v>
      </x:c>
      <x:c r="F74" s="24" t="str">
        <x:v>Sculptured shrimps</x:v>
      </x:c>
      <x:c r="G74" s="24" t="str">
        <x:v>Shrimps</x:v>
      </x:c>
      <x:c r="H74" s="24" t="str">
        <x:v>Crustaceans</x:v>
      </x:c>
      <x:c r="I74" s="31" t="n">
        <x:v>286.735489148</x:v>
      </x:c>
      <x:c r="J74" s="31" t="n">
        <x:v>286.735489148</x:v>
      </x:c>
      <x:c r="K74" s="31" t="n">
        <x:v>0</x:v>
      </x:c>
      <x:c r="L74" s="31" t="n">
        <x:v>263.6003518818</x:v>
      </x:c>
      <x:c r="M74" s="31" t="n">
        <x:v>23.1351372662</x:v>
      </x:c>
      <x:c r="N74" s="24" t="str">
        <x:v>sclerocrangon</x:v>
      </x:c>
      <x:c r="O74" s="32" t="n">
        <x:v>2.2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Sclerocrangon</x:v>
      </x:c>
      <x:c r="T74" s="32" t="n">
        <x:f>IF(O74="","",(1/'Metadata'!$B$5)^(O74-1))</x:f>
        <x:v>15.848931924611142</x:v>
      </x:c>
      <x:c r="U74" s="31" t="n">
        <x:f>IF(T74="","",I74*T74)</x:f>
        <x:v>4544.451247876729</x:v>
      </x:c>
    </x:row>
    <x:row r="75" ht="18" customHeight="1">
      <x:c r="A75" s="24" t="str">
        <x:v>LME_052</x:v>
      </x:c>
      <x:c r="B75" s="24" t="str">
        <x:v>Sea of Okhotsk</x:v>
      </x:c>
      <x:c r="C75" s="24" t="str">
        <x:v>LME</x:v>
      </x:c>
      <x:c r="D75" s="30" t="n">
        <x:v>2019</x:v>
      </x:c>
      <x:c r="E75" s="24" t="str">
        <x:v>Paralichthys olivaceus</x:v>
      </x:c>
      <x:c r="F75" s="24" t="str">
        <x:v>Bastard halibut</x:v>
      </x:c>
      <x:c r="G75" s="24" t="str">
        <x:v>Large flatfishes (&gt;=90 cm)</x:v>
      </x:c>
      <x:c r="H75" s="24" t="str">
        <x:v>Flatfishes</x:v>
      </x:c>
      <x:c r="I75" s="31" t="n">
        <x:v>282.9540683825</x:v>
      </x:c>
      <x:c r="J75" s="31" t="n">
        <x:v>264.8871718204</x:v>
      </x:c>
      <x:c r="K75" s="31" t="n">
        <x:v>18.0668965621</x:v>
      </x:c>
      <x:c r="L75" s="31" t="n">
        <x:v>241.4256747288</x:v>
      </x:c>
      <x:c r="M75" s="31" t="n">
        <x:v>41.5283936537</x:v>
      </x:c>
      <x:c r="N75" s="24" t="str">
        <x:v>paralichthys olivaceus</x:v>
      </x:c>
      <x:c r="O75" s="32" t="n">
        <x:v>4.25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Paralichthys olivaceus</x:v>
      </x:c>
      <x:c r="T75" s="32" t="n">
        <x:f>IF(O75="","",(1/'Metadata'!$B$5)^(O75-1))</x:f>
        <x:v>1778.2794100389228</x:v>
      </x:c>
      <x:c r="U75" s="31" t="n">
        <x:f>IF(T75="","",I75*T75)</x:f>
        <x:v>503171.3937913451</x:v>
      </x:c>
    </x:row>
    <x:row r="76" ht="18" customHeight="1">
      <x:c r="A76" s="24" t="str">
        <x:v>LME_052</x:v>
      </x:c>
      <x:c r="B76" s="24" t="str">
        <x:v>Sea of Okhotsk</x:v>
      </x:c>
      <x:c r="C76" s="24" t="str">
        <x:v>LME</x:v>
      </x:c>
      <x:c r="D76" s="30" t="n">
        <x:v>2019</x:v>
      </x:c>
      <x:c r="E76" s="24" t="str">
        <x:v>Thunnus orientalis</x:v>
      </x:c>
      <x:c r="F76" s="24" t="str">
        <x:v>Pacific bluefin tuna</x:v>
      </x:c>
      <x:c r="G76" s="24" t="str">
        <x:v>Large pelagics (&gt;=90 cm)</x:v>
      </x:c>
      <x:c r="H76" s="24" t="str">
        <x:v>Tuna &amp; billfishes</x:v>
      </x:c>
      <x:c r="I76" s="31" t="n">
        <x:v>281.187603014</x:v>
      </x:c>
      <x:c r="J76" s="31" t="n">
        <x:v>277.0796211151</x:v>
      </x:c>
      <x:c r="K76" s="31" t="n">
        <x:v>4.1079818989</x:v>
      </x:c>
      <x:c r="L76" s="31" t="n">
        <x:v>277.0796211151</x:v>
      </x:c>
      <x:c r="M76" s="31" t="n">
        <x:v>4.1079818989</x:v>
      </x:c>
      <x:c r="N76" s="24" t="str">
        <x:v>thunnus orientalis</x:v>
      </x:c>
      <x:c r="O76" s="32" t="n">
        <x:v>4.05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orientalis</x:v>
      </x:c>
      <x:c r="T76" s="32" t="n">
        <x:f>IF(O76="","",(1/'Metadata'!$B$5)^(O76-1))</x:f>
        <x:v>1122.018454301963</x:v>
      </x:c>
      <x:c r="U76" s="31" t="n">
        <x:f>IF(T76="","",I76*T76)</x:f>
        <x:v>315497.67970264226</x:v>
      </x:c>
    </x:row>
    <x:row r="77" ht="18" customHeight="1">
      <x:c r="A77" s="24" t="str">
        <x:v>LME_052</x:v>
      </x:c>
      <x:c r="B77" s="24" t="str">
        <x:v>Sea of Okhotsk</x:v>
      </x:c>
      <x:c r="C77" s="24" t="str">
        <x:v>LME</x:v>
      </x:c>
      <x:c r="D77" s="30" t="n">
        <x:v>2019</x:v>
      </x:c>
      <x:c r="E77" s="24" t="str">
        <x:v>Erimacrus isenbeckii</x:v>
      </x:c>
      <x:c r="F77" s="24" t="str">
        <x:v>Hair Crab</x:v>
      </x:c>
      <x:c r="G77" s="24" t="str">
        <x:v>Lobsters, crabs</x:v>
      </x:c>
      <x:c r="H77" s="24" t="str">
        <x:v>Crustaceans</x:v>
      </x:c>
      <x:c r="I77" s="31" t="n">
        <x:v>224.4417102587</x:v>
      </x:c>
      <x:c r="J77" s="31" t="n">
        <x:v>224.4417102587</x:v>
      </x:c>
      <x:c r="K77" s="31" t="n">
        <x:v>0</x:v>
      </x:c>
      <x:c r="L77" s="31" t="n">
        <x:v>218.7355650826</x:v>
      </x:c>
      <x:c r="M77" s="31" t="n">
        <x:v>5.7061451761</x:v>
      </x:c>
      <x:c r="N77" s="24" t="str">
        <x:v>erimacrus isenbeckii</x:v>
      </x:c>
      <x:c r="O77" s="32" t="n">
        <x:v>2.6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Erimacrus isenbeckii</x:v>
      </x:c>
      <x:c r="T77" s="32" t="n">
        <x:f>IF(O77="","",(1/'Metadata'!$B$5)^(O77-1))</x:f>
        <x:v>39.810717055349734</x:v>
      </x:c>
      <x:c r="U77" s="31" t="n">
        <x:f>IF(T77="","",I77*T77)</x:f>
        <x:v>8935.185422527891</x:v>
      </x:c>
    </x:row>
    <x:row r="78" ht="18" customHeight="1">
      <x:c r="A78" s="24" t="str">
        <x:v>LME_052</x:v>
      </x:c>
      <x:c r="B78" s="24" t="str">
        <x:v>Sea of Okhotsk</x:v>
      </x:c>
      <x:c r="C78" s="24" t="str">
        <x:v>LME</x:v>
      </x:c>
      <x:c r="D78" s="30" t="n">
        <x:v>2019</x:v>
      </x:c>
      <x:c r="E78" s="24" t="str">
        <x:v>Chionoecetes japonicus</x:v>
      </x:c>
      <x:c r="F78" s="24" t="str">
        <x:v>Red snow crab</x:v>
      </x:c>
      <x:c r="G78" s="24" t="str">
        <x:v>Lobsters, crabs</x:v>
      </x:c>
      <x:c r="H78" s="24" t="str">
        <x:v>Crustaceans</x:v>
      </x:c>
      <x:c r="I78" s="31" t="n">
        <x:v>205.78801846110002</x:v>
      </x:c>
      <x:c r="J78" s="31" t="n">
        <x:v>205.78801846110002</x:v>
      </x:c>
      <x:c r="K78" s="31" t="n">
        <x:v>0</x:v>
      </x:c>
      <x:c r="L78" s="31" t="n">
        <x:v>205.78801846110002</x:v>
      </x:c>
      <x:c r="M78" s="31" t="n">
        <x:v>0</x:v>
      </x:c>
      <x:c r="N78" s="24" t="str">
        <x:v>chionoecetes japonicus</x:v>
      </x:c>
      <x:c r="O78" s="32" t="n">
        <x:v>3.74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Chionoecetes japonicus</x:v>
      </x:c>
      <x:c r="T78" s="32" t="n">
        <x:f>IF(O78="","",(1/'Metadata'!$B$5)^(O78-1))</x:f>
        <x:v>549.5408738576248</x:v>
      </x:c>
      <x:c r="U78" s="31" t="n">
        <x:f>IF(T78="","",I78*T78)</x:f>
        <x:v>113088.92749454193</x:v>
      </x:c>
    </x:row>
    <x:row r="79" ht="18" customHeight="1">
      <x:c r="A79" s="24" t="str">
        <x:v>LME_052</x:v>
      </x:c>
      <x:c r="B79" s="24" t="str">
        <x:v>Sea of Okhotsk</x:v>
      </x:c>
      <x:c r="C79" s="24" t="str">
        <x:v>LME</x:v>
      </x:c>
      <x:c r="D79" s="30" t="n">
        <x:v>2019</x:v>
      </x:c>
      <x:c r="E79" s="24" t="str">
        <x:v>Bathylagidae</x:v>
      </x:c>
      <x:c r="F79" s="24" t="str">
        <x:v>Deepsea smelts</x:v>
      </x:c>
      <x:c r="G79" s="24" t="str">
        <x:v>Small bathypelagics (&lt;30 cm)</x:v>
      </x:c>
      <x:c r="H79" s="24" t="str">
        <x:v>Salmon, smelts, etc</x:v>
      </x:c>
      <x:c r="I79" s="31" t="n">
        <x:v>194.2687440237</x:v>
      </x:c>
      <x:c r="J79" s="31" t="n">
        <x:v>189.906658654</x:v>
      </x:c>
      <x:c r="K79" s="31" t="n">
        <x:v>4.3620853697</x:v>
      </x:c>
      <x:c r="L79" s="31" t="n">
        <x:v>189.906658654</x:v>
      </x:c>
      <x:c r="M79" s="31" t="n">
        <x:v>4.3620853697</x:v>
      </x:c>
      <x:c r="N79" s="24" t="str">
        <x:v>bathylagidae</x:v>
      </x:c>
      <x:c r="O79" s="32" t="n">
        <x:v>3.1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Bathylagidae</x:v>
      </x:c>
      <x:c r="T79" s="32" t="n">
        <x:f>IF(O79="","",(1/'Metadata'!$B$5)^(O79-1))</x:f>
        <x:v>125.89254117941675</x:v>
      </x:c>
      <x:c r="U79" s="31" t="n">
        <x:f>IF(T79="","",I79*T79)</x:f>
        <x:v>24456.985856877225</x:v>
      </x:c>
    </x:row>
    <x:row r="80" ht="18" customHeight="1">
      <x:c r="A80" s="24" t="str">
        <x:v>LME_052</x:v>
      </x:c>
      <x:c r="B80" s="24" t="str">
        <x:v>Sea of Okhotsk</x:v>
      </x:c>
      <x:c r="C80" s="24" t="str">
        <x:v>LME</x:v>
      </x:c>
      <x:c r="D80" s="30" t="n">
        <x:v>2019</x:v>
      </x:c>
      <x:c r="E80" s="24" t="str">
        <x:v>Cyprinidae</x:v>
      </x:c>
      <x:c r="F80" s="24" t="str">
        <x:v>Carps, barbels, other cyprinids</x:v>
      </x:c>
      <x:c r="G80" s="24" t="str">
        <x:v>Medium demersals (30 - 89 cm)</x:v>
      </x:c>
      <x:c r="H80" s="24" t="str">
        <x:v>Other fishes &amp; inverts</x:v>
      </x:c>
      <x:c r="I80" s="31" t="n">
        <x:v>177.0543150084</x:v>
      </x:c>
      <x:c r="J80" s="31" t="n">
        <x:v>177.0543150084</x:v>
      </x:c>
      <x:c r="K80" s="31" t="n">
        <x:v>0</x:v>
      </x:c>
      <x:c r="L80" s="31" t="n">
        <x:v>128.6073439599</x:v>
      </x:c>
      <x:c r="M80" s="31" t="n">
        <x:v>48.4469710485</x:v>
      </x:c>
      <x:c r="N80" s="24" t="str">
        <x:v>cyprinidae</x:v>
      </x:c>
      <x:c r="O80" s="32" t="n">
        <x:v>2.8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Cyprinidae</x:v>
      </x:c>
      <x:c r="T80" s="32" t="n">
        <x:f>IF(O80="","",(1/'Metadata'!$B$5)^(O80-1))</x:f>
        <x:v>63.0957344480193</x:v>
      </x:c>
      <x:c r="U80" s="31" t="n">
        <x:f>IF(T80="","",I80*T80)</x:f>
        <x:v>11171.372042645966</x:v>
      </x:c>
    </x:row>
    <x:row r="81" ht="18" customHeight="1">
      <x:c r="A81" s="24" t="str">
        <x:v>LME_052</x:v>
      </x:c>
      <x:c r="B81" s="24" t="str">
        <x:v>Sea of Okhotsk</x:v>
      </x:c>
      <x:c r="C81" s="24" t="str">
        <x:v>LME</x:v>
      </x:c>
      <x:c r="D81" s="30" t="n">
        <x:v>2019</x:v>
      </x:c>
      <x:c r="E81" s="24" t="str">
        <x:v>Mollusca</x:v>
      </x:c>
      <x:c r="F81" s="24" t="str">
        <x:v>Clams, seasnails, squids, octopuses</x:v>
      </x:c>
      <x:c r="G81" s="24" t="str">
        <x:v>Other demersal invertebrates</x:v>
      </x:c>
      <x:c r="H81" s="24" t="str">
        <x:v>Molluscs</x:v>
      </x:c>
      <x:c r="I81" s="31" t="n">
        <x:v>176.5048437983</x:v>
      </x:c>
      <x:c r="J81" s="31" t="n">
        <x:v>176.5048437983</x:v>
      </x:c>
      <x:c r="K81" s="31" t="n">
        <x:v>0</x:v>
      </x:c>
      <x:c r="L81" s="31" t="n">
        <x:v>2.8584115752000003</x:v>
      </x:c>
      <x:c r="M81" s="31" t="n">
        <x:v>173.6464322231</x:v>
      </x:c>
      <x:c r="N81" s="24" t="str">
        <x:v>mollusca</x:v>
      </x:c>
      <x:c r="O81" s="32" t="n">
        <x:v>2.1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Mollusca</x:v>
      </x:c>
      <x:c r="T81" s="32" t="n">
        <x:f>IF(O81="","",(1/'Metadata'!$B$5)^(O81-1))</x:f>
        <x:v>12.589254117941675</x:v>
      </x:c>
      <x:c r="U81" s="31" t="n">
        <x:f>IF(T81="","",I81*T81)</x:f>
        <x:v>2222.0643316244</x:v>
      </x:c>
    </x:row>
    <x:row r="82" ht="18" customHeight="1">
      <x:c r="A82" s="24" t="str">
        <x:v>LME_052</x:v>
      </x:c>
      <x:c r="B82" s="24" t="str">
        <x:v>Sea of Okhotsk</x:v>
      </x:c>
      <x:c r="C82" s="24" t="str">
        <x:v>LME</x:v>
      </x:c>
      <x:c r="D82" s="30" t="n">
        <x:v>2019</x:v>
      </x:c>
      <x:c r="E82" s="24" t="str">
        <x:v>Apostichopus japonicus</x:v>
      </x:c>
      <x:c r="F82" s="24" t="str">
        <x:v>Japanese sea cucumber</x:v>
      </x:c>
      <x:c r="G82" s="24" t="str">
        <x:v>Other demersal invertebrates</x:v>
      </x:c>
      <x:c r="H82" s="24" t="str">
        <x:v>Other fishes &amp; inverts</x:v>
      </x:c>
      <x:c r="I82" s="31" t="n">
        <x:v>176.194452881</x:v>
      </x:c>
      <x:c r="J82" s="31" t="n">
        <x:v>176.194452881</x:v>
      </x:c>
      <x:c r="K82" s="31" t="n">
        <x:v>0</x:v>
      </x:c>
      <x:c r="L82" s="31" t="n">
        <x:v>170.7777717333</x:v>
      </x:c>
      <x:c r="M82" s="31" t="n">
        <x:v>5.416681147699999</x:v>
      </x:c>
      <x:c r="N82" s="24" t="str">
        <x:v>apostichopus japonicus</x:v>
      </x:c>
      <x:c r="O82" s="32" t="n">
        <x:v>2.3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Apostichopus japonicus</x:v>
      </x:c>
      <x:c r="T82" s="32" t="n">
        <x:f>IF(O82="","",(1/'Metadata'!$B$5)^(O82-1))</x:f>
        <x:v>19.952623149688787</x:v>
      </x:c>
      <x:c r="U82" s="31" t="n">
        <x:f>IF(T82="","",I82*T82)</x:f>
        <x:v>3515.5415194001907</x:v>
      </x:c>
    </x:row>
    <x:row r="83" ht="18" customHeight="1">
      <x:c r="A83" s="24" t="str">
        <x:v>LME_052</x:v>
      </x:c>
      <x:c r="B83" s="24" t="str">
        <x:v>Sea of Okhotsk</x:v>
      </x:c>
      <x:c r="C83" s="24" t="str">
        <x:v>LME</x:v>
      </x:c>
      <x:c r="D83" s="30" t="n">
        <x:v>2019</x:v>
      </x:c>
      <x:c r="E83" s="24" t="str">
        <x:v>Sebastes</x:v>
      </x:c>
      <x:c r="F83" s="24" t="str">
        <x:v>Redfishes</x:v>
      </x:c>
      <x:c r="G83" s="24" t="str">
        <x:v>Large reef assoc. fish (&gt;=90 cm)</x:v>
      </x:c>
      <x:c r="H83" s="24" t="str">
        <x:v>Scorpionfishes</x:v>
      </x:c>
      <x:c r="I83" s="31" t="n">
        <x:v>151.2970606449</x:v>
      </x:c>
      <x:c r="J83" s="31" t="n">
        <x:v>151.2970606449</x:v>
      </x:c>
      <x:c r="K83" s="31" t="n">
        <x:v>0</x:v>
      </x:c>
      <x:c r="L83" s="31" t="n">
        <x:v>0</x:v>
      </x:c>
      <x:c r="M83" s="31" t="n">
        <x:v>151.2970606449</x:v>
      </x:c>
      <x:c r="N83" s="24" t="str">
        <x:v>sebastes</x:v>
      </x:c>
      <x:c r="O83" s="32" t="n">
        <x:v>3.79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Sebastes</x:v>
      </x:c>
      <x:c r="T83" s="32" t="n">
        <x:f>IF(O83="","",(1/'Metadata'!$B$5)^(O83-1))</x:f>
        <x:v>616.5950018614822</x:v>
      </x:c>
      <x:c r="U83" s="31" t="n">
        <x:f>IF(T83="","",I83*T83)</x:f>
        <x:v>93289.0113899789</x:v>
      </x:c>
    </x:row>
    <x:row r="84" ht="18" customHeight="1">
      <x:c r="A84" s="24" t="str">
        <x:v>LME_052</x:v>
      </x:c>
      <x:c r="B84" s="24" t="str">
        <x:v>Sea of Okhotsk</x:v>
      </x:c>
      <x:c r="C84" s="24" t="str">
        <x:v>LME</x:v>
      </x:c>
      <x:c r="D84" s="30" t="n">
        <x:v>2019</x:v>
      </x:c>
      <x:c r="E84" s="24" t="str">
        <x:v>Corbicula japonica</x:v>
      </x:c>
      <x:c r="F84" s="24" t="str">
        <x:v>Japanese corbicula</x:v>
      </x:c>
      <x:c r="G84" s="24" t="str">
        <x:v>Other demersal invertebrates</x:v>
      </x:c>
      <x:c r="H84" s="24" t="str">
        <x:v>Molluscs</x:v>
      </x:c>
      <x:c r="I84" s="31" t="n">
        <x:v>149.90970317059998</x:v>
      </x:c>
      <x:c r="J84" s="31" t="n">
        <x:v>149.90970317059998</x:v>
      </x:c>
      <x:c r="K84" s="31" t="n">
        <x:v>0</x:v>
      </x:c>
      <x:c r="L84" s="31" t="n">
        <x:v>0.9937666766</x:v>
      </x:c>
      <x:c r="M84" s="31" t="n">
        <x:v>148.915936494</x:v>
      </x:c>
      <x:c r="N84" s="24" t="str">
        <x:v>corbicula japonica</x:v>
      </x:c>
      <x:c r="O84" s="32" t="n">
        <x:v>2.05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Corbicula japonica</x:v>
      </x:c>
      <x:c r="T84" s="32" t="n">
        <x:f>IF(O84="","",(1/'Metadata'!$B$5)^(O84-1))</x:f>
        <x:v>11.220184543019629</x:v>
      </x:c>
      <x:c r="U84" s="31" t="n">
        <x:f>IF(T84="","",I84*T84)</x:f>
        <x:v>1682.0145343634265</x:v>
      </x:c>
    </x:row>
    <x:row r="85" ht="18" customHeight="1">
      <x:c r="A85" s="24" t="str">
        <x:v>LME_052</x:v>
      </x:c>
      <x:c r="B85" s="24" t="str">
        <x:v>Sea of Okhotsk</x:v>
      </x:c>
      <x:c r="C85" s="24" t="str">
        <x:v>LME</x:v>
      </x:c>
      <x:c r="D85" s="30" t="n">
        <x:v>2019</x:v>
      </x:c>
      <x:c r="E85" s="24" t="str">
        <x:v>Tetraodontidae</x:v>
      </x:c>
      <x:c r="F85" s="24" t="str">
        <x:v>Puffers, tobies</x:v>
      </x:c>
      <x:c r="G85" s="24" t="str">
        <x:v>Large reef assoc. fish (&gt;=90 cm)</x:v>
      </x:c>
      <x:c r="H85" s="24" t="str">
        <x:v>Other fishes &amp; inverts</x:v>
      </x:c>
      <x:c r="I85" s="31" t="n">
        <x:v>143.8437357679</x:v>
      </x:c>
      <x:c r="J85" s="31" t="n">
        <x:v>136.0676288131</x:v>
      </x:c>
      <x:c r="K85" s="31" t="n">
        <x:v>7.7761069548</x:v>
      </x:c>
      <x:c r="L85" s="31" t="n">
        <x:v>127.53096692599999</x:v>
      </x:c>
      <x:c r="M85" s="31" t="n">
        <x:v>16.3127688419</x:v>
      </x:c>
      <x:c r="N85" s="24" t="str">
        <x:v>tetraodontidae</x:v>
      </x:c>
      <x:c r="O85" s="32" t="n">
        <x:v>3.5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Tetraodontidae</x:v>
      </x:c>
      <x:c r="T85" s="32" t="n">
        <x:f>IF(O85="","",(1/'Metadata'!$B$5)^(O85-1))</x:f>
        <x:v>316.22776601683796</x:v>
      </x:c>
      <x:c r="U85" s="31" t="n">
        <x:f>IF(T85="","",I85*T85)</x:f>
        <x:v>45487.38321739934</x:v>
      </x:c>
    </x:row>
    <x:row r="86" ht="18" customHeight="1">
      <x:c r="A86" s="24" t="str">
        <x:v>LME_052</x:v>
      </x:c>
      <x:c r="B86" s="24" t="str">
        <x:v>Sea of Okhotsk</x:v>
      </x:c>
      <x:c r="C86" s="24" t="str">
        <x:v>LME</x:v>
      </x:c>
      <x:c r="D86" s="30" t="n">
        <x:v>2019</x:v>
      </x:c>
      <x:c r="E86" s="24" t="str">
        <x:v>Trachurus</x:v>
      </x:c>
      <x:c r="F86" s="24" t="str">
        <x:v>Jacks, horse mackerels</x:v>
      </x:c>
      <x:c r="G86" s="24" t="str">
        <x:v>Medium pelagics (30 - 89 cm)</x:v>
      </x:c>
      <x:c r="H86" s="24" t="str">
        <x:v>Perch-likes</x:v>
      </x:c>
      <x:c r="I86" s="31" t="n">
        <x:v>140.74120427489999</x:v>
      </x:c>
      <x:c r="J86" s="31" t="n">
        <x:v>140.74120427489999</x:v>
      </x:c>
      <x:c r="K86" s="31" t="n">
        <x:v>0</x:v>
      </x:c>
      <x:c r="L86" s="31" t="n">
        <x:v>140.74120427489999</x:v>
      </x:c>
      <x:c r="M86" s="31" t="n">
        <x:v>0</x:v>
      </x:c>
      <x:c r="N86" s="24" t="str">
        <x:v>trachurus</x:v>
      </x:c>
      <x:c r="O86" s="32" t="n">
        <x:v>3.69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Trachurus</x:v>
      </x:c>
      <x:c r="T86" s="32" t="n">
        <x:f>IF(O86="","",(1/'Metadata'!$B$5)^(O86-1))</x:f>
        <x:v>489.77881936844614</x:v>
      </x:c>
      <x:c r="U86" s="31" t="n">
        <x:f>IF(T86="","",I86*T86)</x:f>
        <x:v>68932.06086625381</x:v>
      </x:c>
    </x:row>
    <x:row r="87" ht="18" customHeight="1">
      <x:c r="A87" s="24" t="str">
        <x:v>LME_052</x:v>
      </x:c>
      <x:c r="B87" s="24" t="str">
        <x:v>Sea of Okhotsk</x:v>
      </x:c>
      <x:c r="C87" s="24" t="str">
        <x:v>LME</x:v>
      </x:c>
      <x:c r="D87" s="30" t="n">
        <x:v>2019</x:v>
      </x:c>
      <x:c r="E87" s="24" t="str">
        <x:v>Scorpaeniformes</x:v>
      </x:c>
      <x:c r="F87" s="24" t="str">
        <x:v>Scorpionfishes, flatheads</x:v>
      </x:c>
      <x:c r="G87" s="24" t="str">
        <x:v>Medium demersals (30 - 89 cm)</x:v>
      </x:c>
      <x:c r="H87" s="24" t="str">
        <x:v>Scorpionfishes</x:v>
      </x:c>
      <x:c r="I87" s="31" t="n">
        <x:v>123.2718424273</x:v>
      </x:c>
      <x:c r="J87" s="31" t="n">
        <x:v>123.2718424273</x:v>
      </x:c>
      <x:c r="K87" s="31" t="n">
        <x:v>0</x:v>
      </x:c>
      <x:c r="L87" s="31" t="n">
        <x:v>0</x:v>
      </x:c>
      <x:c r="M87" s="31" t="n">
        <x:v>123.2718424273</x:v>
      </x:c>
      <x:c r="N87" s="24" t="str">
        <x:v>scorpaeniformes</x:v>
      </x:c>
      <x:c r="O87" s="32" t="n">
        <x:v>3.78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Scorpaeniformes</x:v>
      </x:c>
      <x:c r="T87" s="32" t="n">
        <x:f>IF(O87="","",(1/'Metadata'!$B$5)^(O87-1))</x:f>
        <x:v>602.5595860743575</x:v>
      </x:c>
      <x:c r="U87" s="31" t="n">
        <x:f>IF(T87="","",I87*T87)</x:f>
        <x:v>74278.63034761732</x:v>
      </x:c>
    </x:row>
    <x:row r="88" ht="18" customHeight="1">
      <x:c r="A88" s="24" t="str">
        <x:v>LME_052</x:v>
      </x:c>
      <x:c r="B88" s="24" t="str">
        <x:v>Sea of Okhotsk</x:v>
      </x:c>
      <x:c r="C88" s="24" t="str">
        <x:v>LME</x:v>
      </x:c>
      <x:c r="D88" s="30" t="n">
        <x:v>2019</x:v>
      </x:c>
      <x:c r="E88" s="24" t="str">
        <x:v>Crassostrea</x:v>
      </x:c>
      <x:c r="F88" s="24" t="str">
        <x:v>Cupped oysters</x:v>
      </x:c>
      <x:c r="G88" s="24" t="str">
        <x:v>Other demersal invertebrates</x:v>
      </x:c>
      <x:c r="H88" s="24" t="str">
        <x:v>Molluscs</x:v>
      </x:c>
      <x:c r="I88" s="31" t="n">
        <x:v>122.2720170741</x:v>
      </x:c>
      <x:c r="J88" s="31" t="n">
        <x:v>122.2720170741</x:v>
      </x:c>
      <x:c r="K88" s="31" t="n">
        <x:v>0</x:v>
      </x:c>
      <x:c r="L88" s="31" t="n">
        <x:v>116.40817256070001</x:v>
      </x:c>
      <x:c r="M88" s="31" t="n">
        <x:v>5.8638445134</x:v>
      </x:c>
      <x:c r="N88" s="24" t="str">
        <x:v>crassostrea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Crassostrea</x:v>
      </x:c>
      <x:c r="T88" s="32" t="n">
        <x:f>IF(O88="","",(1/'Metadata'!$B$5)^(O88-1))</x:f>
        <x:v>10</x:v>
      </x:c>
      <x:c r="U88" s="31" t="n">
        <x:f>IF(T88="","",I88*T88)</x:f>
        <x:v>1222.720170741</x:v>
      </x:c>
    </x:row>
    <x:row r="89" ht="18" customHeight="1">
      <x:c r="A89" s="24" t="str">
        <x:v>LME_052</x:v>
      </x:c>
      <x:c r="B89" s="24" t="str">
        <x:v>Sea of Okhotsk</x:v>
      </x:c>
      <x:c r="C89" s="24" t="str">
        <x:v>LME</x:v>
      </x:c>
      <x:c r="D89" s="30" t="n">
        <x:v>2019</x:v>
      </x:c>
      <x:c r="E89" s="24" t="str">
        <x:v>Hexagrammidae</x:v>
      </x:c>
      <x:c r="F89" s="24" t="str">
        <x:v>Greenlings</x:v>
      </x:c>
      <x:c r="G89" s="24" t="str">
        <x:v>Medium demersals (30 - 89 cm)</x:v>
      </x:c>
      <x:c r="H89" s="24" t="str">
        <x:v>Scorpionfishes</x:v>
      </x:c>
      <x:c r="I89" s="31" t="n">
        <x:v>109.7172820913</x:v>
      </x:c>
      <x:c r="J89" s="31" t="n">
        <x:v>109.7172820913</x:v>
      </x:c>
      <x:c r="K89" s="31" t="n">
        <x:v>0</x:v>
      </x:c>
      <x:c r="L89" s="31" t="n">
        <x:v>0</x:v>
      </x:c>
      <x:c r="M89" s="31" t="n">
        <x:v>109.7172820913</x:v>
      </x:c>
      <x:c r="N89" s="24" t="str">
        <x:v>hexagrammidae</x:v>
      </x:c>
      <x:c r="O89" s="32" t="n">
        <x:v>3.72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Hexagrammidae</x:v>
      </x:c>
      <x:c r="T89" s="32" t="n">
        <x:f>IF(O89="","",(1/'Metadata'!$B$5)^(O89-1))</x:f>
        <x:v>524.8074602497728</x:v>
      </x:c>
      <x:c r="U89" s="31" t="n">
        <x:f>IF(T89="","",I89*T89)</x:f>
        <x:v>57580.448159843036</x:v>
      </x:c>
    </x:row>
    <x:row r="90" ht="18" customHeight="1">
      <x:c r="A90" s="24" t="str">
        <x:v>LME_052</x:v>
      </x:c>
      <x:c r="B90" s="24" t="str">
        <x:v>Sea of Okhotsk</x:v>
      </x:c>
      <x:c r="C90" s="24" t="str">
        <x:v>LME</x:v>
      </x:c>
      <x:c r="D90" s="30" t="n">
        <x:v>2019</x:v>
      </x:c>
      <x:c r="E90" s="24" t="str">
        <x:v>Penaeus chinensis</x:v>
      </x:c>
      <x:c r="F90" s="24" t="str">
        <x:v>Fleshy prawn</x:v>
      </x:c>
      <x:c r="G90" s="24" t="str">
        <x:v>Shrimps</x:v>
      </x:c>
      <x:c r="H90" s="24" t="str">
        <x:v>Crustaceans</x:v>
      </x:c>
      <x:c r="I90" s="31" t="n">
        <x:v>106.3830091171</x:v>
      </x:c>
      <x:c r="J90" s="31" t="n">
        <x:v>106.3830091171</x:v>
      </x:c>
      <x:c r="K90" s="31" t="n">
        <x:v>0</x:v>
      </x:c>
      <x:c r="L90" s="31" t="n">
        <x:v>106.3830091171</x:v>
      </x:c>
      <x:c r="M90" s="31" t="n">
        <x:v>0</x:v>
      </x:c>
      <x:c r="N90" s="24" t="str">
        <x:v>penaeus chinensis</x:v>
      </x:c>
      <x:c r="O90" s="32" t="n">
        <x:v>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Penaeus chinensis</x:v>
      </x:c>
      <x:c r="T90" s="32" t="n">
        <x:f>IF(O90="","",(1/'Metadata'!$B$5)^(O90-1))</x:f>
        <x:v>10</x:v>
      </x:c>
      <x:c r="U90" s="31" t="n">
        <x:f>IF(T90="","",I90*T90)</x:f>
        <x:v>1063.830091171</x:v>
      </x:c>
    </x:row>
    <x:row r="91" ht="18" customHeight="1">
      <x:c r="A91" s="24" t="str">
        <x:v>LME_052</x:v>
      </x:c>
      <x:c r="B91" s="24" t="str">
        <x:v>Sea of Okhotsk</x:v>
      </x:c>
      <x:c r="C91" s="24" t="str">
        <x:v>LME</x:v>
      </x:c>
      <x:c r="D91" s="30" t="n">
        <x:v>2019</x:v>
      </x:c>
      <x:c r="E91" s="24" t="str">
        <x:v>Lycodes</x:v>
      </x:c>
      <x:c r="F91" s="24" t="str">
        <x:v>Eelpouts</x:v>
      </x:c>
      <x:c r="G91" s="24" t="str">
        <x:v>Medium bathydemersals (30 - 89 cm)</x:v>
      </x:c>
      <x:c r="H91" s="24" t="str">
        <x:v>Perch-likes</x:v>
      </x:c>
      <x:c r="I91" s="31" t="n">
        <x:v>77.29960302059999</x:v>
      </x:c>
      <x:c r="J91" s="31" t="n">
        <x:v>77.29960302059999</x:v>
      </x:c>
      <x:c r="K91" s="31" t="n">
        <x:v>0</x:v>
      </x:c>
      <x:c r="L91" s="31" t="n">
        <x:v>25.4539420691</x:v>
      </x:c>
      <x:c r="M91" s="31" t="n">
        <x:v>51.8456609515</x:v>
      </x:c>
      <x:c r="N91" s="24" t="str">
        <x:v>lycodes</x:v>
      </x:c>
      <x:c r="O91" s="32" t="n">
        <x:v>3.3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Lycodes</x:v>
      </x:c>
      <x:c r="T91" s="32" t="n">
        <x:f>IF(O91="","",(1/'Metadata'!$B$5)^(O91-1))</x:f>
        <x:v>199.52623149688787</x:v>
      </x:c>
      <x:c r="U91" s="31" t="n">
        <x:f>IF(T91="","",I91*T91)</x:f>
        <x:v>15423.298486905767</x:v>
      </x:c>
    </x:row>
    <x:row r="92" ht="18" customHeight="1">
      <x:c r="A92" s="24" t="str">
        <x:v>LME_052</x:v>
      </x:c>
      <x:c r="B92" s="24" t="str">
        <x:v>Sea of Okhotsk</x:v>
      </x:c>
      <x:c r="C92" s="24" t="str">
        <x:v>LME</x:v>
      </x:c>
      <x:c r="D92" s="30" t="n">
        <x:v>2019</x:v>
      </x:c>
      <x:c r="E92" s="24" t="str">
        <x:v>Elasmobranchii</x:v>
      </x:c>
      <x:c r="F92" s="24" t="str">
        <x:v>Sharks, rays, skates</x:v>
      </x:c>
      <x:c r="G92" s="24" t="str">
        <x:v>Large sharks (&gt;=90 cm)</x:v>
      </x:c>
      <x:c r="H92" s="24" t="str">
        <x:v>Sharks &amp; rays</x:v>
      </x:c>
      <x:c r="I92" s="31" t="n">
        <x:v>69.648291697</x:v>
      </x:c>
      <x:c r="J92" s="31" t="n">
        <x:v>69.6480338547</x:v>
      </x:c>
      <x:c r="K92" s="31" t="n">
        <x:v>0.0002578423</x:v>
      </x:c>
      <x:c r="L92" s="31" t="n">
        <x:v>50.823626785200005</x:v>
      </x:c>
      <x:c r="M92" s="31" t="n">
        <x:v>18.8246649118</x:v>
      </x:c>
      <x:c r="N92" s="24" t="str">
        <x:v>elasmobranchii</x:v>
      </x:c>
      <x:c r="O92" s="32" t="n">
        <x:v>4.05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Elasmobranchii</x:v>
      </x:c>
      <x:c r="T92" s="32" t="n">
        <x:f>IF(O92="","",(1/'Metadata'!$B$5)^(O92-1))</x:f>
        <x:v>1122.018454301963</x:v>
      </x:c>
      <x:c r="U92" s="31" t="n">
        <x:f>IF(T92="","",I92*T92)</x:f>
        <x:v>78146.66859464018</x:v>
      </x:c>
    </x:row>
    <x:row r="93" ht="18" customHeight="1">
      <x:c r="A93" s="24" t="str">
        <x:v>LME_052</x:v>
      </x:c>
      <x:c r="B93" s="24" t="str">
        <x:v>Sea of Okhotsk</x:v>
      </x:c>
      <x:c r="C93" s="24" t="str">
        <x:v>LME</x:v>
      </x:c>
      <x:c r="D93" s="30" t="n">
        <x:v>2019</x:v>
      </x:c>
      <x:c r="E93" s="24" t="str">
        <x:v>Mactridae</x:v>
      </x:c>
      <x:c r="F93" s="24" t="str">
        <x:v>Mactra surf clams</x:v>
      </x:c>
      <x:c r="G93" s="24" t="str">
        <x:v>Other demersal invertebrates</x:v>
      </x:c>
      <x:c r="H93" s="24" t="str">
        <x:v>Molluscs</x:v>
      </x:c>
      <x:c r="I93" s="31" t="n">
        <x:v>67.0308301922</x:v>
      </x:c>
      <x:c r="J93" s="31" t="n">
        <x:v>0</x:v>
      </x:c>
      <x:c r="K93" s="31" t="n">
        <x:v>67.0308301922</x:v>
      </x:c>
      <x:c r="L93" s="31" t="n">
        <x:v>0</x:v>
      </x:c>
      <x:c r="M93" s="31" t="n">
        <x:v>67.0308301922</x:v>
      </x:c>
      <x:c r="N93" s="24" t="str">
        <x:v>mactridae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Mactridae</x:v>
      </x:c>
      <x:c r="T93" s="32" t="n">
        <x:f>IF(O93="","",(1/'Metadata'!$B$5)^(O93-1))</x:f>
        <x:v>10</x:v>
      </x:c>
      <x:c r="U93" s="31" t="n">
        <x:f>IF(T93="","",I93*T93)</x:f>
        <x:v>670.308301922</x:v>
      </x:c>
    </x:row>
    <x:row r="94" ht="18" customHeight="1">
      <x:c r="A94" s="24" t="str">
        <x:v>LME_052</x:v>
      </x:c>
      <x:c r="B94" s="24" t="str">
        <x:v>Sea of Okhotsk</x:v>
      </x:c>
      <x:c r="C94" s="24" t="str">
        <x:v>LME</x:v>
      </x:c>
      <x:c r="D94" s="30" t="n">
        <x:v>2019</x:v>
      </x:c>
      <x:c r="E94" s="24" t="str">
        <x:v>Mytilidae</x:v>
      </x:c>
      <x:c r="F94" s="24" t="str">
        <x:v>Sea mussels</x:v>
      </x:c>
      <x:c r="G94" s="24" t="str">
        <x:v>Other demersal invertebrates</x:v>
      </x:c>
      <x:c r="H94" s="24" t="str">
        <x:v>Molluscs</x:v>
      </x:c>
      <x:c r="I94" s="31" t="n">
        <x:v>53.0674275987</x:v>
      </x:c>
      <x:c r="J94" s="31" t="n">
        <x:v>53.0674275987</x:v>
      </x:c>
      <x:c r="K94" s="31" t="n">
        <x:v>0</x:v>
      </x:c>
      <x:c r="L94" s="31" t="n">
        <x:v>49.591395223199996</x:v>
      </x:c>
      <x:c r="M94" s="31" t="n">
        <x:v>3.4760323755</x:v>
      </x:c>
      <x:c r="N94" s="24" t="str">
        <x:v>mytilidae</x:v>
      </x:c>
      <x:c r="O94" s="32" t="n">
        <x:v>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Mytilidae</x:v>
      </x:c>
      <x:c r="T94" s="32" t="n">
        <x:f>IF(O94="","",(1/'Metadata'!$B$5)^(O94-1))</x:f>
        <x:v>10</x:v>
      </x:c>
      <x:c r="U94" s="31" t="n">
        <x:f>IF(T94="","",I94*T94)</x:f>
        <x:v>530.674275987</x:v>
      </x:c>
    </x:row>
    <x:row r="95" ht="18" customHeight="1">
      <x:c r="A95" s="24" t="str">
        <x:v>LME_052</x:v>
      </x:c>
      <x:c r="B95" s="24" t="str">
        <x:v>Sea of Okhotsk</x:v>
      </x:c>
      <x:c r="C95" s="24" t="str">
        <x:v>LME</x:v>
      </x:c>
      <x:c r="D95" s="30" t="n">
        <x:v>2019</x:v>
      </x:c>
      <x:c r="E95" s="24" t="str">
        <x:v>Ommastrephidae</x:v>
      </x:c>
      <x:c r="F95" s="24" t="str">
        <x:v>Arrow squids</x:v>
      </x:c>
      <x:c r="G95" s="24" t="str">
        <x:v>Cephalopods</x:v>
      </x:c>
      <x:c r="H95" s="24" t="str">
        <x:v>Other fishes &amp; inverts</x:v>
      </x:c>
      <x:c r="I95" s="31" t="n">
        <x:v>50.870228090299996</x:v>
      </x:c>
      <x:c r="J95" s="31" t="n">
        <x:v>0</x:v>
      </x:c>
      <x:c r="K95" s="31" t="n">
        <x:v>50.870228090299996</x:v>
      </x:c>
      <x:c r="L95" s="31" t="n">
        <x:v>0</x:v>
      </x:c>
      <x:c r="M95" s="31" t="n">
        <x:v>50.870228090299996</x:v>
      </x:c>
      <x:c r="N95" s="24" t="str">
        <x:v>ommastrephidae</x:v>
      </x:c>
      <x:c r="O95" s="32" t="n">
        <x:v>4.09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Ommastrephidae</x:v>
      </x:c>
      <x:c r="T95" s="32" t="n">
        <x:f>IF(O95="","",(1/'Metadata'!$B$5)^(O95-1))</x:f>
        <x:v>1230.268770812381</x:v>
      </x:c>
      <x:c r="U95" s="31" t="n">
        <x:f>IF(T95="","",I95*T95)</x:f>
        <x:v>62584.052983598835</x:v>
      </x:c>
    </x:row>
    <x:row r="96" ht="18" customHeight="1">
      <x:c r="A96" s="24" t="str">
        <x:v>LME_052</x:v>
      </x:c>
      <x:c r="B96" s="24" t="str">
        <x:v>Sea of Okhotsk</x:v>
      </x:c>
      <x:c r="C96" s="24" t="str">
        <x:v>LME</x:v>
      </x:c>
      <x:c r="D96" s="30" t="n">
        <x:v>2019</x:v>
      </x:c>
      <x:c r="E96" s="24" t="str">
        <x:v>Dendrobranchiata</x:v>
      </x:c>
      <x:c r="F96" s="24" t="str">
        <x:v>Shrimps and prawns</x:v>
      </x:c>
      <x:c r="G96" s="24" t="str">
        <x:v>Shrimps</x:v>
      </x:c>
      <x:c r="H96" s="24" t="str">
        <x:v>Crustaceans</x:v>
      </x:c>
      <x:c r="I96" s="31" t="n">
        <x:v>43.5169977371</x:v>
      </x:c>
      <x:c r="J96" s="31" t="n">
        <x:v>42.6776242054</x:v>
      </x:c>
      <x:c r="K96" s="31" t="n">
        <x:v>0.8393735317</x:v>
      </x:c>
      <x:c r="L96" s="31" t="n">
        <x:v>31.1066709224</x:v>
      </x:c>
      <x:c r="M96" s="31" t="n">
        <x:v>12.4103268147</x:v>
      </x:c>
      <x:c r="N96" s="24" t="str">
        <x:v>dendrobranchiata</x:v>
      </x:c>
      <x:c r="O96" s="32" t="n">
        <x:v>3.24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Dendrobranchiata</x:v>
      </x:c>
      <x:c r="T96" s="32" t="n">
        <x:f>IF(O96="","",(1/'Metadata'!$B$5)^(O96-1))</x:f>
        <x:v>173.78008287493762</x:v>
      </x:c>
      <x:c r="U96" s="31" t="n">
        <x:f>IF(T96="","",I96*T96)</x:f>
        <x:v>7562.387473221711</x:v>
      </x:c>
    </x:row>
    <x:row r="97" ht="18" customHeight="1">
      <x:c r="A97" s="24" t="str">
        <x:v>LME_052</x:v>
      </x:c>
      <x:c r="B97" s="24" t="str">
        <x:v>Sea of Okhotsk</x:v>
      </x:c>
      <x:c r="C97" s="24" t="str">
        <x:v>LME</x:v>
      </x:c>
      <x:c r="D97" s="30" t="n">
        <x:v>2019</x:v>
      </x:c>
      <x:c r="E97" s="24" t="str">
        <x:v>Beryx</x:v>
      </x:c>
      <x:c r="F97" s="24" t="str">
        <x:v>Alfonsinos</x:v>
      </x:c>
      <x:c r="G97" s="24" t="str">
        <x:v>Medium benthopelagics (30 - 89 cm)</x:v>
      </x:c>
      <x:c r="H97" s="24" t="str">
        <x:v>Other fishes &amp; inverts</x:v>
      </x:c>
      <x:c r="I97" s="31" t="n">
        <x:v>41.1712793553</x:v>
      </x:c>
      <x:c r="J97" s="31" t="n">
        <x:v>41.1712793553</x:v>
      </x:c>
      <x:c r="K97" s="31" t="n">
        <x:v>0</x:v>
      </x:c>
      <x:c r="L97" s="31" t="n">
        <x:v>41.1712793553</x:v>
      </x:c>
      <x:c r="M97" s="31" t="n">
        <x:v>0</x:v>
      </x:c>
      <x:c r="N97" s="24" t="str">
        <x:v>beryx</x:v>
      </x:c>
      <x:c r="O97" s="32" t="n">
        <x:v>3.97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Beryx</x:v>
      </x:c>
      <x:c r="T97" s="32" t="n">
        <x:f>IF(O97="","",(1/'Metadata'!$B$5)^(O97-1))</x:f>
        <x:v>933.2543007969915</x:v>
      </x:c>
      <x:c r="U97" s="31" t="n">
        <x:f>IF(T97="","",I97*T97)</x:f>
        <x:v>38423.27352764811</x:v>
      </x:c>
    </x:row>
    <x:row r="98" ht="18" customHeight="1">
      <x:c r="A98" s="24" t="str">
        <x:v>LME_052</x:v>
      </x:c>
      <x:c r="B98" s="24" t="str">
        <x:v>Sea of Okhotsk</x:v>
      </x:c>
      <x:c r="C98" s="24" t="str">
        <x:v>LME</x:v>
      </x:c>
      <x:c r="D98" s="30" t="n">
        <x:v>2019</x:v>
      </x:c>
      <x:c r="E98" s="24" t="str">
        <x:v>Pandalus kessleri</x:v>
      </x:c>
      <x:c r="F98" s="24" t="str">
        <x:v>Grass shrimp</x:v>
      </x:c>
      <x:c r="G98" s="24" t="str">
        <x:v>Shrimps</x:v>
      </x:c>
      <x:c r="H98" s="24" t="str">
        <x:v>Crustaceans</x:v>
      </x:c>
      <x:c r="I98" s="31" t="n">
        <x:v>35.1195286278</x:v>
      </x:c>
      <x:c r="J98" s="31" t="n">
        <x:v>35.1195286278</x:v>
      </x:c>
      <x:c r="K98" s="31" t="n">
        <x:v>0</x:v>
      </x:c>
      <x:c r="L98" s="31" t="n">
        <x:v>25.9458258991</x:v>
      </x:c>
      <x:c r="M98" s="31" t="n">
        <x:v>9.1737027287</x:v>
      </x:c>
      <x:c r="N98" s="24" t="str">
        <x:v>pandalus kessleri</x:v>
      </x:c>
      <x:c r="O98" s="32" t="n">
        <x:v>2.6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Pandalus kessleri</x:v>
      </x:c>
      <x:c r="T98" s="32" t="n">
        <x:f>IF(O98="","",(1/'Metadata'!$B$5)^(O98-1))</x:f>
        <x:v>39.810717055349734</x:v>
      </x:c>
      <x:c r="U98" s="31" t="n">
        <x:f>IF(T98="","",I98*T98)</x:f>
        <x:v>1398.1336173186007</x:v>
      </x:c>
    </x:row>
    <x:row r="99" ht="18" customHeight="1">
      <x:c r="A99" s="24" t="str">
        <x:v>LME_052</x:v>
      </x:c>
      <x:c r="B99" s="24" t="str">
        <x:v>Sea of Okhotsk</x:v>
      </x:c>
      <x:c r="C99" s="24" t="str">
        <x:v>LME</x:v>
      </x:c>
      <x:c r="D99" s="30" t="n">
        <x:v>2019</x:v>
      </x:c>
      <x:c r="E99" s="24" t="str">
        <x:v>Scyphozoa</x:v>
      </x:c>
      <x:c r="F99" s="24" t="str">
        <x:v>True jellyfishes</x:v>
      </x:c>
      <x:c r="G99" s="24" t="str">
        <x:v>Jellyfish</x:v>
      </x:c>
      <x:c r="H99" s="24" t="str">
        <x:v>Other fishes &amp; inverts</x:v>
      </x:c>
      <x:c r="I99" s="31" t="n">
        <x:v>31.795673360200002</x:v>
      </x:c>
      <x:c r="J99" s="31" t="n">
        <x:v>31.795673360200002</x:v>
      </x:c>
      <x:c r="K99" s="31" t="n">
        <x:v>0</x:v>
      </x:c>
      <x:c r="L99" s="31" t="n">
        <x:v>29.7507528762</x:v>
      </x:c>
      <x:c r="M99" s="31" t="n">
        <x:v>2.044920484</x:v>
      </x:c>
      <x:c r="N99" s="24" t="str">
        <x:v>scyphozoa</x:v>
      </x:c>
      <x:c r="O99" s="32" t="n">
        <x:v>3.46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Scyphozoa</x:v>
      </x:c>
      <x:c r="T99" s="32" t="n">
        <x:f>IF(O99="","",(1/'Metadata'!$B$5)^(O99-1))</x:f>
        <x:v>288.40315031266056</x:v>
      </x:c>
      <x:c r="U99" s="31" t="n">
        <x:f>IF(T99="","",I99*T99)</x:f>
        <x:v>9169.972363394018</x:v>
      </x:c>
    </x:row>
    <x:row r="100" ht="18" customHeight="1">
      <x:c r="A100" s="24" t="str">
        <x:v>LME_052</x:v>
      </x:c>
      <x:c r="B100" s="24" t="str">
        <x:v>Sea of Okhotsk</x:v>
      </x:c>
      <x:c r="C100" s="24" t="str">
        <x:v>LME</x:v>
      </x:c>
      <x:c r="D100" s="30" t="n">
        <x:v>2019</x:v>
      </x:c>
      <x:c r="E100" s="24" t="str">
        <x:v>Sebastidae</x:v>
      </x:c>
      <x:c r="F100" s="24" t="str">
        <x:v>Rockfishes, rockcods, thornyheads</x:v>
      </x:c>
      <x:c r="G100" s="24" t="str">
        <x:v>Medium demersals (30 - 89 cm)</x:v>
      </x:c>
      <x:c r="H100" s="24" t="str">
        <x:v>Scorpionfishes</x:v>
      </x:c>
      <x:c r="I100" s="31" t="n">
        <x:v>30.9565965416</x:v>
      </x:c>
      <x:c r="J100" s="31" t="n">
        <x:v>30.9565965416</x:v>
      </x:c>
      <x:c r="K100" s="31" t="n">
        <x:v>0</x:v>
      </x:c>
      <x:c r="L100" s="31" t="n">
        <x:v>30.9565965416</x:v>
      </x:c>
      <x:c r="M100" s="31" t="n">
        <x:v>0</x:v>
      </x:c>
      <x:c r="N100" s="24" t="str">
        <x:v>sebastidae</x:v>
      </x:c>
      <x:c r="O100" s="32" t="n">
        <x:v>3.74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Sebastidae</x:v>
      </x:c>
      <x:c r="T100" s="32" t="n">
        <x:f>IF(O100="","",(1/'Metadata'!$B$5)^(O100-1))</x:f>
        <x:v>549.5408738576248</x:v>
      </x:c>
      <x:c r="U100" s="31" t="n">
        <x:f>IF(T100="","",I100*T100)</x:f>
        <x:v>17011.915115128788</x:v>
      </x:c>
    </x:row>
    <x:row r="101" ht="18" customHeight="1">
      <x:c r="A101" s="24" t="str">
        <x:v>LME_052</x:v>
      </x:c>
      <x:c r="B101" s="24" t="str">
        <x:v>Sea of Okhotsk</x:v>
      </x:c>
      <x:c r="C101" s="24" t="str">
        <x:v>LME</x:v>
      </x:c>
      <x:c r="D101" s="30" t="n">
        <x:v>2019</x:v>
      </x:c>
      <x:c r="E101" s="24" t="str">
        <x:v>Ommastrephes bartramii</x:v>
      </x:c>
      <x:c r="F101" s="24" t="str">
        <x:v>Neon flying squid</x:v>
      </x:c>
      <x:c r="G101" s="24" t="str">
        <x:v>Cephalopods</x:v>
      </x:c>
      <x:c r="H101" s="24" t="str">
        <x:v>Other fishes &amp; inverts</x:v>
      </x:c>
      <x:c r="I101" s="31" t="n">
        <x:v>26.0809203634</x:v>
      </x:c>
      <x:c r="J101" s="31" t="n">
        <x:v>26.0809203634</x:v>
      </x:c>
      <x:c r="K101" s="31" t="n">
        <x:v>0</x:v>
      </x:c>
      <x:c r="L101" s="31" t="n">
        <x:v>3.6479356297999996</x:v>
      </x:c>
      <x:c r="M101" s="31" t="n">
        <x:v>22.4329847336</x:v>
      </x:c>
      <x:c r="N101" s="24" t="str">
        <x:v>ommastrephes bartramii</x:v>
      </x:c>
      <x:c r="O101" s="32" t="n">
        <x:v>4.37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Ommastrephes bartramii</x:v>
      </x:c>
      <x:c r="T101" s="32" t="n">
        <x:f>IF(O101="","",(1/'Metadata'!$B$5)^(O101-1))</x:f>
        <x:v>2344.228815319923</x:v>
      </x:c>
      <x:c r="U101" s="31" t="n">
        <x:f>IF(T101="","",I101*T101)</x:f>
        <x:v>61139.64504594644</x:v>
      </x:c>
    </x:row>
    <x:row r="102" ht="18" customHeight="1">
      <x:c r="A102" s="24" t="str">
        <x:v>LME_052</x:v>
      </x:c>
      <x:c r="B102" s="24" t="str">
        <x:v>Sea of Okhotsk</x:v>
      </x:c>
      <x:c r="C102" s="24" t="str">
        <x:v>LME</x:v>
      </x:c>
      <x:c r="D102" s="30" t="n">
        <x:v>2019</x:v>
      </x:c>
      <x:c r="E102" s="24" t="str">
        <x:v>Haliotidae</x:v>
      </x:c>
      <x:c r="F102" s="24" t="str">
        <x:v>Abalones, ear shells</x:v>
      </x:c>
      <x:c r="G102" s="24" t="str">
        <x:v>Other demersal invertebrates</x:v>
      </x:c>
      <x:c r="H102" s="24" t="str">
        <x:v>Molluscs</x:v>
      </x:c>
      <x:c r="I102" s="31" t="n">
        <x:v>24.1436951953</x:v>
      </x:c>
      <x:c r="J102" s="31" t="n">
        <x:v>24.1436951953</x:v>
      </x:c>
      <x:c r="K102" s="31" t="n">
        <x:v>0</x:v>
      </x:c>
      <x:c r="L102" s="31" t="n">
        <x:v>24.1436951953</x:v>
      </x:c>
      <x:c r="M102" s="31" t="n">
        <x:v>0</x:v>
      </x:c>
      <x:c r="N102" s="24" t="str">
        <x:v>haliotidae</x:v>
      </x:c>
      <x:c r="O102" s="32" t="n">
        <x:v>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Haliotidae</x:v>
      </x:c>
      <x:c r="T102" s="32" t="n">
        <x:f>IF(O102="","",(1/'Metadata'!$B$5)^(O102-1))</x:f>
        <x:v>10</x:v>
      </x:c>
      <x:c r="U102" s="31" t="n">
        <x:f>IF(T102="","",I102*T102)</x:f>
        <x:v>241.436951953</x:v>
      </x:c>
    </x:row>
    <x:row r="103" ht="18" customHeight="1">
      <x:c r="A103" s="24" t="str">
        <x:v>LME_052</x:v>
      </x:c>
      <x:c r="B103" s="24" t="str">
        <x:v>Sea of Okhotsk</x:v>
      </x:c>
      <x:c r="C103" s="24" t="str">
        <x:v>LME</x:v>
      </x:c>
      <x:c r="D103" s="30" t="n">
        <x:v>2019</x:v>
      </x:c>
      <x:c r="E103" s="24" t="str">
        <x:v>Mugilidae</x:v>
      </x:c>
      <x:c r="F103" s="24" t="str">
        <x:v>Mullets, grey mullets</x:v>
      </x:c>
      <x:c r="G103" s="24" t="str">
        <x:v>Medium reef assoc. fish (30 - 89 cm)</x:v>
      </x:c>
      <x:c r="H103" s="24" t="str">
        <x:v>Perch-likes</x:v>
      </x:c>
      <x:c r="I103" s="31" t="n">
        <x:v>23.184973403900003</x:v>
      </x:c>
      <x:c r="J103" s="31" t="n">
        <x:v>23.184973403900003</x:v>
      </x:c>
      <x:c r="K103" s="31" t="n">
        <x:v>0</x:v>
      </x:c>
      <x:c r="L103" s="31" t="n">
        <x:v>5.796243351</x:v>
      </x:c>
      <x:c r="M103" s="31" t="n">
        <x:v>17.3887300529</x:v>
      </x:c>
      <x:c r="N103" s="24" t="str">
        <x:v>mugilidae</x:v>
      </x:c>
      <x:c r="O103" s="32" t="n">
        <x:v>2.53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Mugilidae</x:v>
      </x:c>
      <x:c r="T103" s="32" t="n">
        <x:f>IF(O103="","",(1/'Metadata'!$B$5)^(O103-1))</x:f>
        <x:v>33.88441561392024</x:v>
      </x:c>
      <x:c r="U103" s="31" t="n">
        <x:f>IF(T103="","",I103*T103)</x:f>
        <x:v>785.6092748154348</x:v>
      </x:c>
    </x:row>
    <x:row r="104" ht="18" customHeight="1">
      <x:c r="A104" s="24" t="str">
        <x:v>LME_052</x:v>
      </x:c>
      <x:c r="B104" s="24" t="str">
        <x:v>Sea of Okhotsk</x:v>
      </x:c>
      <x:c r="C104" s="24" t="str">
        <x:v>LME</x:v>
      </x:c>
      <x:c r="D104" s="30" t="n">
        <x:v>2019</x:v>
      </x:c>
      <x:c r="E104" s="24" t="str">
        <x:v>Serranidae</x:v>
      </x:c>
      <x:c r="F104" s="24" t="str">
        <x:v>Basses, groupers, hinds</x:v>
      </x:c>
      <x:c r="G104" s="24" t="str">
        <x:v>Medium reef assoc. fish (30 - 89 cm)</x:v>
      </x:c>
      <x:c r="H104" s="24" t="str">
        <x:v>Perch-likes</x:v>
      </x:c>
      <x:c r="I104" s="31" t="n">
        <x:v>15.7920352196</x:v>
      </x:c>
      <x:c r="J104" s="31" t="n">
        <x:v>15.7920352196</x:v>
      </x:c>
      <x:c r="K104" s="31" t="n">
        <x:v>0</x:v>
      </x:c>
      <x:c r="L104" s="31" t="n">
        <x:v>0</x:v>
      </x:c>
      <x:c r="M104" s="31" t="n">
        <x:v>15.7920352196</x:v>
      </x:c>
      <x:c r="N104" s="24" t="str">
        <x:v>serranidae</x:v>
      </x:c>
      <x:c r="O104" s="32" t="n">
        <x:v>3.98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Serranidae</x:v>
      </x:c>
      <x:c r="T104" s="32" t="n">
        <x:f>IF(O104="","",(1/'Metadata'!$B$5)^(O104-1))</x:f>
        <x:v>954.992586021436</x:v>
      </x:c>
      <x:c r="U104" s="31" t="n">
        <x:f>IF(T104="","",I104*T104)</x:f>
        <x:v>15081.2765529074</x:v>
      </x:c>
    </x:row>
    <x:row r="105" ht="18" customHeight="1">
      <x:c r="A105" s="24" t="str">
        <x:v>LME_052</x:v>
      </x:c>
      <x:c r="B105" s="24" t="str">
        <x:v>Sea of Okhotsk</x:v>
      </x:c>
      <x:c r="C105" s="24" t="str">
        <x:v>LME</x:v>
      </x:c>
      <x:c r="D105" s="30" t="n">
        <x:v>2019</x:v>
      </x:c>
      <x:c r="E105" s="24" t="str">
        <x:v>Clupeiformes</x:v>
      </x:c>
      <x:c r="F105" s="24" t="str">
        <x:v>Herrings, shads, anchovies</x:v>
      </x:c>
      <x:c r="G105" s="24" t="str">
        <x:v>Small pelagics (&lt;30 cm)</x:v>
      </x:c>
      <x:c r="H105" s="24" t="str">
        <x:v>Other fishes &amp; inverts</x:v>
      </x:c>
      <x:c r="I105" s="31" t="n">
        <x:v>11.071582336</x:v>
      </x:c>
      <x:c r="J105" s="31" t="n">
        <x:v>11.071582336</x:v>
      </x:c>
      <x:c r="K105" s="31" t="n">
        <x:v>0</x:v>
      </x:c>
      <x:c r="L105" s="31" t="n">
        <x:v>2.7499737419</x:v>
      </x:c>
      <x:c r="M105" s="31" t="n">
        <x:v>8.3216085941</x:v>
      </x:c>
      <x:c r="N105" s="24" t="str">
        <x:v>clupeiformes</x:v>
      </x:c>
      <x:c r="O105" s="32" t="n">
        <x:v>3.24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Clupeiformes</x:v>
      </x:c>
      <x:c r="T105" s="32" t="n">
        <x:f>IF(O105="","",(1/'Metadata'!$B$5)^(O105-1))</x:f>
        <x:v>173.78008287493762</x:v>
      </x:c>
      <x:c r="U105" s="31" t="n">
        <x:f>IF(T105="","",I105*T105)</x:f>
        <x:v>1924.0204959067755</x:v>
      </x:c>
    </x:row>
    <x:row r="106" ht="18" customHeight="1">
      <x:c r="A106" s="24" t="str">
        <x:v>LME_052</x:v>
      </x:c>
      <x:c r="B106" s="24" t="str">
        <x:v>Sea of Okhotsk</x:v>
      </x:c>
      <x:c r="C106" s="24" t="str">
        <x:v>LME</x:v>
      </x:c>
      <x:c r="D106" s="30" t="n">
        <x:v>2019</x:v>
      </x:c>
      <x:c r="E106" s="24" t="str">
        <x:v>Perciformes</x:v>
      </x:c>
      <x:c r="F106" s="24" t="str">
        <x:v>Perch-likes</x:v>
      </x:c>
      <x:c r="G106" s="24" t="str">
        <x:v>Medium demersals (30 - 89 cm)</x:v>
      </x:c>
      <x:c r="H106" s="24" t="str">
        <x:v>Perch-likes</x:v>
      </x:c>
      <x:c r="I106" s="31" t="n">
        <x:v>9.4177119531</x:v>
      </x:c>
      <x:c r="J106" s="31" t="n">
        <x:v>9.4177119531</x:v>
      </x:c>
      <x:c r="K106" s="31" t="n">
        <x:v>0</x:v>
      </x:c>
      <x:c r="L106" s="31" t="n">
        <x:v>0</x:v>
      </x:c>
      <x:c r="M106" s="31" t="n">
        <x:v>9.4177119531</x:v>
      </x:c>
      <x:c r="N106" s="24" t="str">
        <x:v>perciformes</x:v>
      </x:c>
      <x:c r="O106" s="32" t="n">
        <x:v>3.53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Perciformes</x:v>
      </x:c>
      <x:c r="T106" s="32" t="n">
        <x:f>IF(O106="","",(1/'Metadata'!$B$5)^(O106-1))</x:f>
        <x:v>338.84415613920237</x:v>
      </x:c>
      <x:c r="U106" s="31" t="n">
        <x:f>IF(T106="","",I106*T106)</x:f>
        <x:v>3191.1366595102486</x:v>
      </x:c>
    </x:row>
    <x:row r="107" ht="18" customHeight="1">
      <x:c r="A107" s="24" t="str">
        <x:v>LME_052</x:v>
      </x:c>
      <x:c r="B107" s="24" t="str">
        <x:v>Sea of Okhotsk</x:v>
      </x:c>
      <x:c r="C107" s="24" t="str">
        <x:v>LME</x:v>
      </x:c>
      <x:c r="D107" s="30" t="n">
        <x:v>2019</x:v>
      </x:c>
      <x:c r="E107" s="24" t="str">
        <x:v>Bramidae</x:v>
      </x:c>
      <x:c r="F107" s="24" t="str">
        <x:v>Pomfrets</x:v>
      </x:c>
      <x:c r="G107" s="24" t="str">
        <x:v>Medium pelagics (30 - 89 cm)</x:v>
      </x:c>
      <x:c r="H107" s="24" t="str">
        <x:v>Perch-likes</x:v>
      </x:c>
      <x:c r="I107" s="31" t="n">
        <x:v>9.229601889100001</x:v>
      </x:c>
      <x:c r="J107" s="31" t="n">
        <x:v>9.198099432200001</x:v>
      </x:c>
      <x:c r="K107" s="31" t="n">
        <x:v>0.031502456899999996</x:v>
      </x:c>
      <x:c r="L107" s="31" t="n">
        <x:v>0</x:v>
      </x:c>
      <x:c r="M107" s="31" t="n">
        <x:v>9.229601889100001</x:v>
      </x:c>
      <x:c r="N107" s="24" t="str">
        <x:v>bramidae</x:v>
      </x:c>
      <x:c r="O107" s="32" t="n">
        <x:v>4.14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Bramidae</x:v>
      </x:c>
      <x:c r="T107" s="32" t="n">
        <x:f>IF(O107="","",(1/'Metadata'!$B$5)^(O107-1))</x:f>
        <x:v>1380.3842646028838</x:v>
      </x:c>
      <x:c r="U107" s="31" t="n">
        <x:f>IF(T107="","",I107*T107)</x:f>
        <x:v>12740.397216262692</x:v>
      </x:c>
    </x:row>
    <x:row r="108" ht="18" customHeight="1">
      <x:c r="A108" s="24" t="str">
        <x:v>LME_052</x:v>
      </x:c>
      <x:c r="B108" s="24" t="str">
        <x:v>Sea of Okhotsk</x:v>
      </x:c>
      <x:c r="C108" s="24" t="str">
        <x:v>LME</x:v>
      </x:c>
      <x:c r="D108" s="30" t="n">
        <x:v>2019</x:v>
      </x:c>
      <x:c r="E108" s="24" t="str">
        <x:v>Congridae</x:v>
      </x:c>
      <x:c r="F108" s="24" t="str">
        <x:v>Conger, garden eels</x:v>
      </x:c>
      <x:c r="G108" s="24" t="str">
        <x:v>Large demersals (&gt;=90 cm)</x:v>
      </x:c>
      <x:c r="H108" s="24" t="str">
        <x:v>Other fishes &amp; inverts</x:v>
      </x:c>
      <x:c r="I108" s="31" t="n">
        <x:v>9.0030328199</x:v>
      </x:c>
      <x:c r="J108" s="31" t="n">
        <x:v>6.0122747142</x:v>
      </x:c>
      <x:c r="K108" s="31" t="n">
        <x:v>2.9907581057</x:v>
      </x:c>
      <x:c r="L108" s="31" t="n">
        <x:v>6.0122747142</x:v>
      </x:c>
      <x:c r="M108" s="31" t="n">
        <x:v>2.9907581057</x:v>
      </x:c>
      <x:c r="N108" s="24" t="str">
        <x:v>congridae</x:v>
      </x:c>
      <x:c r="O108" s="32" t="n">
        <x:v>4.18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Congridae</x:v>
      </x:c>
      <x:c r="T108" s="32" t="n">
        <x:f>IF(O108="","",(1/'Metadata'!$B$5)^(O108-1))</x:f>
        <x:v>1513.5612484362073</x:v>
      </x:c>
      <x:c r="U108" s="31" t="n">
        <x:f>IF(T108="","",I108*T108)</x:f>
        <x:v>13626.64159459999</x:v>
      </x:c>
    </x:row>
    <x:row r="109" ht="18" customHeight="1">
      <x:c r="A109" s="24" t="str">
        <x:v>LME_052</x:v>
      </x:c>
      <x:c r="B109" s="24" t="str">
        <x:v>Sea of Okhotsk</x:v>
      </x:c>
      <x:c r="C109" s="24" t="str">
        <x:v>LME</x:v>
      </x:c>
      <x:c r="D109" s="30" t="n">
        <x:v>2019</x:v>
      </x:c>
      <x:c r="E109" s="24" t="str">
        <x:v>Marine pelagic fishes not identified</x:v>
      </x:c>
      <x:c r="F109" s="24" t="str">
        <x:v>Pelagic fishes</x:v>
      </x:c>
      <x:c r="G109" s="24" t="str">
        <x:v>Medium pelagics (30 - 89 cm)</x:v>
      </x:c>
      <x:c r="H109" s="24" t="str">
        <x:v>Other fishes &amp; inverts</x:v>
      </x:c>
      <x:c r="I109" s="31" t="n">
        <x:v>6.957177575999999</x:v>
      </x:c>
      <x:c r="J109" s="31" t="n">
        <x:v>6.9570936151</x:v>
      </x:c>
      <x:c r="K109" s="31" t="n">
        <x:v>0.0000839609</x:v>
      </x:c>
      <x:c r="L109" s="31" t="n">
        <x:v>6.9570936151</x:v>
      </x:c>
      <x:c r="M109" s="31" t="n">
        <x:v>0.0000839609</x:v>
      </x:c>
      <x:c r="N109" s="24" t="str">
        <x:v>marine pelagic fishes not identified</x:v>
      </x:c>
      <x:c r="O109" s="32" t="n">
        <x:v>3.35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Marine pelagic fishes not identified</x:v>
      </x:c>
      <x:c r="T109" s="32" t="n">
        <x:f>IF(O109="","",(1/'Metadata'!$B$5)^(O109-1))</x:f>
        <x:v>223.872113856834</x:v>
      </x:c>
      <x:c r="U109" s="31" t="n">
        <x:f>IF(T109="","",I109*T109)</x:f>
        <x:v>1557.5180504164844</x:v>
      </x:c>
    </x:row>
    <x:row r="110" ht="18" customHeight="1">
      <x:c r="A110" s="24" t="str">
        <x:v>LME_052</x:v>
      </x:c>
      <x:c r="B110" s="24" t="str">
        <x:v>Sea of Okhotsk</x:v>
      </x:c>
      <x:c r="C110" s="24" t="str">
        <x:v>LME</x:v>
      </x:c>
      <x:c r="D110" s="30" t="n">
        <x:v>2019</x:v>
      </x:c>
      <x:c r="E110" s="24" t="str">
        <x:v>Oncorhynchus masou</x:v>
      </x:c>
      <x:c r="F110" s="24" t="str">
        <x:v>Masu salmon</x:v>
      </x:c>
      <x:c r="G110" s="24" t="str">
        <x:v>Medium benthopelagics (30 - 89 cm)</x:v>
      </x:c>
      <x:c r="H110" s="24" t="str">
        <x:v>Salmon, smelts, etc</x:v>
      </x:c>
      <x:c r="I110" s="31" t="n">
        <x:v>5.7082780883</x:v>
      </x:c>
      <x:c r="J110" s="31" t="n">
        <x:v>5.7082780883</x:v>
      </x:c>
      <x:c r="K110" s="31" t="n">
        <x:v>0</x:v>
      </x:c>
      <x:c r="L110" s="31" t="n">
        <x:v>4.0884369595</x:v>
      </x:c>
      <x:c r="M110" s="31" t="n">
        <x:v>1.6198411287999999</x:v>
      </x:c>
      <x:c r="N110" s="24" t="str">
        <x:v>oncorhynchus masou</x:v>
      </x:c>
      <x:c r="O110" s="32" t="n">
        <x:v>3.6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Oncorhynchus masou</x:v>
      </x:c>
      <x:c r="T110" s="32" t="n">
        <x:f>IF(O110="","",(1/'Metadata'!$B$5)^(O110-1))</x:f>
        <x:v>398.1071705534973</x:v>
      </x:c>
      <x:c r="U110" s="31" t="n">
        <x:f>IF(T110="","",I110*T110)</x:f>
        <x:v>2272.50643846564</x:v>
      </x:c>
    </x:row>
    <x:row r="111" ht="18" customHeight="1">
      <x:c r="A111" s="24" t="str">
        <x:v>LME_052</x:v>
      </x:c>
      <x:c r="B111" s="24" t="str">
        <x:v>Sea of Okhotsk</x:v>
      </x:c>
      <x:c r="C111" s="24" t="str">
        <x:v>LME</x:v>
      </x:c>
      <x:c r="D111" s="30" t="n">
        <x:v>2019</x:v>
      </x:c>
      <x:c r="E111" s="24" t="str">
        <x:v>Paralithodes brevipes</x:v>
      </x:c>
      <x:c r="F111" s="24" t="str">
        <x:v>Spiny king crab</x:v>
      </x:c>
      <x:c r="G111" s="24" t="str">
        <x:v>Lobsters, crabs</x:v>
      </x:c>
      <x:c r="H111" s="24" t="str">
        <x:v>Crustaceans</x:v>
      </x:c>
      <x:c r="I111" s="31" t="n">
        <x:v>5.6987842214</x:v>
      </x:c>
      <x:c r="J111" s="31" t="n">
        <x:v>5.6987842214</x:v>
      </x:c>
      <x:c r="K111" s="31" t="n">
        <x:v>0</x:v>
      </x:c>
      <x:c r="L111" s="31" t="n">
        <x:v>1.9508691487</x:v>
      </x:c>
      <x:c r="M111" s="31" t="n">
        <x:v>3.7479150727</x:v>
      </x:c>
      <x:c r="N111" s="24" t="str">
        <x:v>paralithodes brevipes</x:v>
      </x:c>
      <x:c r="O111" s="32" t="n">
        <x:v>2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Paralithodes brevipes</x:v>
      </x:c>
      <x:c r="T111" s="32" t="n">
        <x:f>IF(O111="","",(1/'Metadata'!$B$5)^(O111-1))</x:f>
        <x:v>10</x:v>
      </x:c>
      <x:c r="U111" s="31" t="n">
        <x:f>IF(T111="","",I111*T111)</x:f>
        <x:v>56.987842214000004</x:v>
      </x:c>
    </x:row>
    <x:row r="112" ht="18" customHeight="1">
      <x:c r="A112" s="24" t="str">
        <x:v>LME_052</x:v>
      </x:c>
      <x:c r="B112" s="24" t="str">
        <x:v>Sea of Okhotsk</x:v>
      </x:c>
      <x:c r="C112" s="24" t="str">
        <x:v>LME</x:v>
      </x:c>
      <x:c r="D112" s="30" t="n">
        <x:v>2019</x:v>
      </x:c>
      <x:c r="E112" s="24" t="str">
        <x:v>Synodontidae</x:v>
      </x:c>
      <x:c r="F112" s="24" t="str">
        <x:v>Lizardfishes, sauries</x:v>
      </x:c>
      <x:c r="G112" s="24" t="str">
        <x:v>Medium demersals (30 - 89 cm)</x:v>
      </x:c>
      <x:c r="H112" s="24" t="str">
        <x:v>Other fishes &amp; inverts</x:v>
      </x:c>
      <x:c r="I112" s="31" t="n">
        <x:v>4.0630486126</x:v>
      </x:c>
      <x:c r="J112" s="31" t="n">
        <x:v>4.0630486126</x:v>
      </x:c>
      <x:c r="K112" s="31" t="n">
        <x:v>0</x:v>
      </x:c>
      <x:c r="L112" s="31" t="n">
        <x:v>4.0630486126</x:v>
      </x:c>
      <x:c r="M112" s="31" t="n">
        <x:v>0</x:v>
      </x:c>
      <x:c r="N112" s="24" t="str">
        <x:v>synodontidae</x:v>
      </x:c>
      <x:c r="O112" s="32" t="n">
        <x:v>4.3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Synodontidae</x:v>
      </x:c>
      <x:c r="T112" s="32" t="n">
        <x:f>IF(O112="","",(1/'Metadata'!$B$5)^(O112-1))</x:f>
        <x:v>1995.2623149688789</x:v>
      </x:c>
      <x:c r="U112" s="31" t="n">
        <x:f>IF(T112="","",I112*T112)</x:f>
        <x:v>8106.847780607368</x:v>
      </x:c>
    </x:row>
    <x:row r="113" ht="18" customHeight="1">
      <x:c r="A113" s="24" t="str">
        <x:v>LME_052</x:v>
      </x:c>
      <x:c r="B113" s="24" t="str">
        <x:v>Sea of Okhotsk</x:v>
      </x:c>
      <x:c r="C113" s="24" t="str">
        <x:v>LME</x:v>
      </x:c>
      <x:c r="D113" s="30" t="n">
        <x:v>2019</x:v>
      </x:c>
      <x:c r="E113" s="24" t="str">
        <x:v>Mola mola</x:v>
      </x:c>
      <x:c r="F113" s="24" t="str">
        <x:v>Ocean sunfish</x:v>
      </x:c>
      <x:c r="G113" s="24" t="str">
        <x:v>Large pelagics (&gt;=90 cm)</x:v>
      </x:c>
      <x:c r="H113" s="24" t="str">
        <x:v>Other fishes &amp; inverts</x:v>
      </x:c>
      <x:c r="I113" s="31" t="n">
        <x:v>2.0847292169</x:v>
      </x:c>
      <x:c r="J113" s="31" t="n">
        <x:v>2.0847292169</x:v>
      </x:c>
      <x:c r="K113" s="31" t="n">
        <x:v>0</x:v>
      </x:c>
      <x:c r="L113" s="31" t="n">
        <x:v>1.7488826146</x:v>
      </x:c>
      <x:c r="M113" s="31" t="n">
        <x:v>0.3358466023</x:v>
      </x:c>
      <x:c r="N113" s="24" t="str">
        <x:v>mola mola</x:v>
      </x:c>
      <x:c r="O113" s="32" t="n">
        <x:v>3.68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Mola mola</x:v>
      </x:c>
      <x:c r="T113" s="32" t="n">
        <x:f>IF(O113="","",(1/'Metadata'!$B$5)^(O113-1))</x:f>
        <x:v>478.6300923226385</x:v>
      </x:c>
      <x:c r="U113" s="31" t="n">
        <x:f>IF(T113="","",I113*T113)</x:f>
        <x:v>997.8141375525489</x:v>
      </x:c>
    </x:row>
    <x:row r="114" ht="18" customHeight="1">
      <x:c r="A114" s="24" t="str">
        <x:v>LME_052</x:v>
      </x:c>
      <x:c r="B114" s="24" t="str">
        <x:v>Sea of Okhotsk</x:v>
      </x:c>
      <x:c r="C114" s="24" t="str">
        <x:v>LME</x:v>
      </x:c>
      <x:c r="D114" s="30" t="n">
        <x:v>2019</x:v>
      </x:c>
      <x:c r="E114" s="24" t="str">
        <x:v>Loliginidae</x:v>
      </x:c>
      <x:c r="F114" s="24" t="str">
        <x:v>Common pencil squids</x:v>
      </x:c>
      <x:c r="G114" s="24" t="str">
        <x:v>Cephalopods</x:v>
      </x:c>
      <x:c r="H114" s="24" t="str">
        <x:v>Other fishes &amp; inverts</x:v>
      </x:c>
      <x:c r="I114" s="31" t="n">
        <x:v>1.0924504261</x:v>
      </x:c>
      <x:c r="J114" s="31" t="n">
        <x:v>0</x:v>
      </x:c>
      <x:c r="K114" s="31" t="n">
        <x:v>1.0924504261</x:v>
      </x:c>
      <x:c r="L114" s="31" t="n">
        <x:v>0</x:v>
      </x:c>
      <x:c r="M114" s="31" t="n">
        <x:v>1.0924504261</x:v>
      </x:c>
      <x:c r="N114" s="24" t="str">
        <x:v>loliginidae</x:v>
      </x:c>
      <x:c r="O114" s="32" t="n">
        <x:v>3.9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Loliginidae</x:v>
      </x:c>
      <x:c r="T114" s="32" t="n">
        <x:f>IF(O114="","",(1/'Metadata'!$B$5)^(O114-1))</x:f>
        <x:v>794.3282347242813</x:v>
      </x:c>
      <x:c r="U114" s="31" t="n">
        <x:f>IF(T114="","",I114*T114)</x:f>
        <x:v>867.7642184878019</x:v>
      </x:c>
    </x:row>
    <x:row r="115" ht="18" customHeight="1">
      <x:c r="A115" s="24" t="str">
        <x:v>LME_052</x:v>
      </x:c>
      <x:c r="B115" s="24" t="str">
        <x:v>Sea of Okhotsk</x:v>
      </x:c>
      <x:c r="C115" s="24" t="str">
        <x:v>LME</x:v>
      </x:c>
      <x:c r="D115" s="30" t="n">
        <x:v>2019</x:v>
      </x:c>
      <x:c r="E115" s="24" t="str">
        <x:v>Stromateidae</x:v>
      </x:c>
      <x:c r="F115" s="24" t="str">
        <x:v>Butterfishes</x:v>
      </x:c>
      <x:c r="G115" s="24" t="str">
        <x:v>Small benthopelagics (&lt;30 cm)</x:v>
      </x:c>
      <x:c r="H115" s="24" t="str">
        <x:v>Perch-likes</x:v>
      </x:c>
      <x:c r="I115" s="31" t="n">
        <x:v>0.9564359593</x:v>
      </x:c>
      <x:c r="J115" s="31" t="n">
        <x:v>0.9564359593</x:v>
      </x:c>
      <x:c r="K115" s="31" t="n">
        <x:v>0</x:v>
      </x:c>
      <x:c r="L115" s="31" t="n">
        <x:v>0.6609828308000001</x:v>
      </x:c>
      <x:c r="M115" s="31" t="n">
        <x:v>0.2954531285</x:v>
      </x:c>
      <x:c r="N115" s="24" t="str">
        <x:v>stromateidae</x:v>
      </x:c>
      <x:c r="O115" s="32" t="n">
        <x:v>3.62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Stromateidae</x:v>
      </x:c>
      <x:c r="T115" s="32" t="n">
        <x:f>IF(O115="","",(1/'Metadata'!$B$5)^(O115-1))</x:f>
        <x:v>416.8693834703355</x:v>
      </x:c>
      <x:c r="U115" s="31" t="n">
        <x:f>IF(T115="","",I115*T115)</x:f>
        <x:v>398.7088686822499</x:v>
      </x:c>
    </x:row>
    <x:row r="116" ht="18" customHeight="1">
      <x:c r="A116" s="24" t="str">
        <x:v>LME_052</x:v>
      </x:c>
      <x:c r="B116" s="24" t="str">
        <x:v>Sea of Okhotsk</x:v>
      </x:c>
      <x:c r="C116" s="24" t="str">
        <x:v>LME</x:v>
      </x:c>
      <x:c r="D116" s="30" t="n">
        <x:v>2019</x:v>
      </x:c>
      <x:c r="E116" s="24" t="str">
        <x:v>Carangidae</x:v>
      </x:c>
      <x:c r="F116" s="24" t="str">
        <x:v>Jacks, pompanos</x:v>
      </x:c>
      <x:c r="G116" s="24" t="str">
        <x:v>Medium pelagics (30 - 89 cm)</x:v>
      </x:c>
      <x:c r="H116" s="24" t="str">
        <x:v>Perch-likes</x:v>
      </x:c>
      <x:c r="I116" s="31" t="n">
        <x:v>0.885055552</x:v>
      </x:c>
      <x:c r="J116" s="31" t="n">
        <x:v>0.885055552</x:v>
      </x:c>
      <x:c r="K116" s="31" t="n">
        <x:v>0</x:v>
      </x:c>
      <x:c r="L116" s="31" t="n">
        <x:v>0</x:v>
      </x:c>
      <x:c r="M116" s="31" t="n">
        <x:v>0.885055552</x:v>
      </x:c>
      <x:c r="N116" s="24" t="str">
        <x:v>carangidae</x:v>
      </x:c>
      <x:c r="O116" s="32" t="n">
        <x:v>4.05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Carangidae</x:v>
      </x:c>
      <x:c r="T116" s="32" t="n">
        <x:f>IF(O116="","",(1/'Metadata'!$B$5)^(O116-1))</x:f>
        <x:v>1122.018454301963</x:v>
      </x:c>
      <x:c r="U116" s="31" t="n">
        <x:f>IF(T116="","",I116*T116)</x:f>
        <x:v>993.0486624264106</x:v>
      </x:c>
    </x:row>
    <x:row r="117" ht="18" customHeight="1">
      <x:c r="A117" s="24" t="str">
        <x:v>LME_052</x:v>
      </x:c>
      <x:c r="B117" s="24" t="str">
        <x:v>Sea of Okhotsk</x:v>
      </x:c>
      <x:c r="C117" s="24" t="str">
        <x:v>LME</x:v>
      </x:c>
      <x:c r="D117" s="30" t="n">
        <x:v>2019</x:v>
      </x:c>
      <x:c r="E117" s="24" t="str">
        <x:v>Metapenaeus</x:v>
      </x:c>
      <x:c r="F117" s="24" t="str">
        <x:v>Indo-Pacific prawns</x:v>
      </x:c>
      <x:c r="G117" s="24" t="str">
        <x:v>Shrimps</x:v>
      </x:c>
      <x:c r="H117" s="24" t="str">
        <x:v>Crustaceans</x:v>
      </x:c>
      <x:c r="I117" s="31" t="n">
        <x:v>0.32185376769999996</x:v>
      </x:c>
      <x:c r="J117" s="31" t="n">
        <x:v>0.32185376769999996</x:v>
      </x:c>
      <x:c r="K117" s="31" t="n">
        <x:v>0</x:v>
      </x:c>
      <x:c r="L117" s="31" t="n">
        <x:v>0.026551905</x:v>
      </x:c>
      <x:c r="M117" s="31" t="n">
        <x:v>0.2953018627</x:v>
      </x:c>
      <x:c r="N117" s="24" t="str">
        <x:v>metapenaeus</x:v>
      </x:c>
      <x:c r="O117" s="32" t="n">
        <x:v>2.7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Metapenaeus</x:v>
      </x:c>
      <x:c r="T117" s="32" t="n">
        <x:f>IF(O117="","",(1/'Metadata'!$B$5)^(O117-1))</x:f>
        <x:v>50.11872336272725</x:v>
      </x:c>
      <x:c r="U117" s="31" t="n">
        <x:f>IF(T117="","",I117*T117)</x:f>
        <x:v>16.130899946607776</x:v>
      </x:c>
    </x:row>
    <x:row r="118" ht="18" customHeight="1">
      <x:c r="A118" s="24" t="str">
        <x:v>LME_052</x:v>
      </x:c>
      <x:c r="B118" s="24" t="str">
        <x:v>Sea of Okhotsk</x:v>
      </x:c>
      <x:c r="C118" s="24" t="str">
        <x:v>LME</x:v>
      </x:c>
      <x:c r="D118" s="30" t="n">
        <x:v>2019</x:v>
      </x:c>
      <x:c r="E118" s="24" t="str">
        <x:v>Magallana gigas</x:v>
      </x:c>
      <x:c r="F118" s="24" t="str">
        <x:v>Pacific cupped oyster</x:v>
      </x:c>
      <x:c r="G118" s="24" t="str">
        <x:v>Other demersal invertebrates</x:v>
      </x:c>
      <x:c r="H118" s="24" t="str">
        <x:v>Molluscs</x:v>
      </x:c>
      <x:c r="I118" s="31" t="n">
        <x:v>0.3127434347</x:v>
      </x:c>
      <x:c r="J118" s="31" t="n">
        <x:v>0.3127434347</x:v>
      </x:c>
      <x:c r="K118" s="31" t="n">
        <x:v>0</x:v>
      </x:c>
      <x:c r="L118" s="31" t="n">
        <x:v>0</x:v>
      </x:c>
      <x:c r="M118" s="31" t="n">
        <x:v>0.3127434347</x:v>
      </x:c>
      <x:c r="N118" s="24" t="str">
        <x:v>magallana gigas</x:v>
      </x:c>
      <x:c r="O118" s="32" t="n">
        <x:v>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Magallana gigas</x:v>
      </x:c>
      <x:c r="T118" s="32" t="n">
        <x:f>IF(O118="","",(1/'Metadata'!$B$5)^(O118-1))</x:f>
        <x:v>10</x:v>
      </x:c>
      <x:c r="U118" s="31" t="n">
        <x:f>IF(T118="","",I118*T118)</x:f>
        <x:v>3.127434347</x:v>
      </x:c>
    </x:row>
    <x:row r="119" ht="18" customHeight="1">
      <x:c r="A119" s="24" t="str">
        <x:v>LME_052</x:v>
      </x:c>
      <x:c r="B119" s="24" t="str">
        <x:v>Sea of Okhotsk</x:v>
      </x:c>
      <x:c r="C119" s="24" t="str">
        <x:v>LME</x:v>
      </x:c>
      <x:c r="D119" s="30" t="n">
        <x:v>2019</x:v>
      </x:c>
      <x:c r="E119" s="24" t="str">
        <x:v>Isurus</x:v>
      </x:c>
      <x:c r="F119" s="24" t="str">
        <x:v>Mako sharks</x:v>
      </x:c>
      <x:c r="G119" s="24" t="str">
        <x:v>Large sharks (&gt;=90 cm)</x:v>
      </x:c>
      <x:c r="H119" s="24" t="str">
        <x:v>Sharks &amp; rays</x:v>
      </x:c>
      <x:c r="I119" s="31" t="n">
        <x:v>0.2525566435</x:v>
      </x:c>
      <x:c r="J119" s="31" t="n">
        <x:v>0</x:v>
      </x:c>
      <x:c r="K119" s="31" t="n">
        <x:v>0.2525566435</x:v>
      </x:c>
      <x:c r="L119" s="31" t="n">
        <x:v>0</x:v>
      </x:c>
      <x:c r="M119" s="31" t="n">
        <x:v>0.2525566435</x:v>
      </x:c>
      <x:c r="N119" s="24" t="str">
        <x:v>isurus</x:v>
      </x:c>
      <x:c r="O119" s="32" t="n">
        <x:v>4.5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Isurus</x:v>
      </x:c>
      <x:c r="T119" s="32" t="n">
        <x:f>IF(O119="","",(1/'Metadata'!$B$5)^(O119-1))</x:f>
        <x:v>3162.2776601683795</x:v>
      </x:c>
      <x:c r="U119" s="31" t="n">
        <x:f>IF(T119="","",I119*T119)</x:f>
        <x:v>798.6542316671596</x:v>
      </x:c>
    </x:row>
    <x:row r="120" ht="18" customHeight="1">
      <x:c r="A120" s="24" t="str">
        <x:v>LME_052</x:v>
      </x:c>
      <x:c r="B120" s="24" t="str">
        <x:v>Sea of Okhotsk</x:v>
      </x:c>
      <x:c r="C120" s="24" t="str">
        <x:v>LME</x:v>
      </x:c>
      <x:c r="D120" s="30" t="n">
        <x:v>2019</x:v>
      </x:c>
      <x:c r="E120" s="24" t="str">
        <x:v>Decapterus</x:v>
      </x:c>
      <x:c r="F120" s="24" t="str">
        <x:v>Scads</x:v>
      </x:c>
      <x:c r="G120" s="24" t="str">
        <x:v>Medium pelagics (30 - 89 cm)</x:v>
      </x:c>
      <x:c r="H120" s="24" t="str">
        <x:v>Perch-likes</x:v>
      </x:c>
      <x:c r="I120" s="31" t="n">
        <x:v>0.2456878126</x:v>
      </x:c>
      <x:c r="J120" s="31" t="n">
        <x:v>0.2456878126</x:v>
      </x:c>
      <x:c r="K120" s="31" t="n">
        <x:v>0</x:v>
      </x:c>
      <x:c r="L120" s="31" t="n">
        <x:v>0</x:v>
      </x:c>
      <x:c r="M120" s="31" t="n">
        <x:v>0.2456878126</x:v>
      </x:c>
      <x:c r="N120" s="24" t="str">
        <x:v>decapterus</x:v>
      </x:c>
      <x:c r="O120" s="32" t="n">
        <x:v>3.63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Decapterus</x:v>
      </x:c>
      <x:c r="T120" s="32" t="n">
        <x:f>IF(O120="","",(1/'Metadata'!$B$5)^(O120-1))</x:f>
        <x:v>426.57951880159254</x:v>
      </x:c>
      <x:c r="U120" s="31" t="n">
        <x:f>IF(T120="","",I120*T120)</x:f>
        <x:v>104.80538887432384</x:v>
      </x:c>
    </x:row>
    <x:row r="121" ht="18" customHeight="1">
      <x:c r="A121" s="24" t="str">
        <x:v>LME_052</x:v>
      </x:c>
      <x:c r="B121" s="24" t="str">
        <x:v>Sea of Okhotsk</x:v>
      </x:c>
      <x:c r="C121" s="24" t="str">
        <x:v>LME</x:v>
      </x:c>
      <x:c r="D121" s="30" t="n">
        <x:v>2019</x:v>
      </x:c>
      <x:c r="E121" s="24" t="str">
        <x:v>Xiphias gladius</x:v>
      </x:c>
      <x:c r="F121" s="24" t="str">
        <x:v>Swordfish</x:v>
      </x:c>
      <x:c r="G121" s="24" t="str">
        <x:v>Large pelagics (&gt;=90 cm)</x:v>
      </x:c>
      <x:c r="H121" s="24" t="str">
        <x:v>Tuna &amp; billfishes</x:v>
      </x:c>
      <x:c r="I121" s="31" t="n">
        <x:v>0.2428968816</x:v>
      </x:c>
      <x:c r="J121" s="31" t="n">
        <x:v>0.2428968816</x:v>
      </x:c>
      <x:c r="K121" s="31" t="n">
        <x:v>0</x:v>
      </x:c>
      <x:c r="L121" s="31" t="n">
        <x:v>0.2428968816</x:v>
      </x:c>
      <x:c r="M121" s="31" t="n">
        <x:v>0</x:v>
      </x:c>
      <x:c r="N121" s="24" t="str">
        <x:v>xiphias gladius</x:v>
      </x:c>
      <x:c r="O121" s="32" t="n">
        <x:v>4.53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Xiphias gladius</x:v>
      </x:c>
      <x:c r="T121" s="32" t="n">
        <x:f>IF(O121="","",(1/'Metadata'!$B$5)^(O121-1))</x:f>
        <x:v>3388.4415613920273</x:v>
      </x:c>
      <x:c r="U121" s="31" t="n">
        <x:f>IF(T121="","",I121*T121)</x:f>
        <x:v>823.0418887459584</x:v>
      </x:c>
    </x:row>
    <x:row r="122" ht="18" customHeight="1">
      <x:c r="A122" s="24" t="str">
        <x:v>LME_052</x:v>
      </x:c>
      <x:c r="B122" s="24" t="str">
        <x:v>Sea of Okhotsk</x:v>
      </x:c>
      <x:c r="C122" s="24" t="str">
        <x:v>LME</x:v>
      </x:c>
      <x:c r="D122" s="30" t="n">
        <x:v>2019</x:v>
      </x:c>
      <x:c r="E122" s="24" t="str">
        <x:v>Octopodidae</x:v>
      </x:c>
      <x:c r="F122" s="24" t="str">
        <x:v>Octopuses</x:v>
      </x:c>
      <x:c r="G122" s="24" t="str">
        <x:v>Cephalopods</x:v>
      </x:c>
      <x:c r="H122" s="24" t="str">
        <x:v>Other fishes &amp; inverts</x:v>
      </x:c>
      <x:c r="I122" s="31" t="n">
        <x:v>0.20785631329999998</x:v>
      </x:c>
      <x:c r="J122" s="31" t="n">
        <x:v>0.2066595358</x:v>
      </x:c>
      <x:c r="K122" s="31" t="n">
        <x:v>0.0011967775000000002</x:v>
      </x:c>
      <x:c r="L122" s="31" t="n">
        <x:v>0.2066595358</x:v>
      </x:c>
      <x:c r="M122" s="31" t="n">
        <x:v>0.0011967775000000002</x:v>
      </x:c>
      <x:c r="N122" s="24" t="str">
        <x:v>octopodidae</x:v>
      </x:c>
      <x:c r="O122" s="32" t="n">
        <x:v>3.59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Octopodidae</x:v>
      </x:c>
      <x:c r="T122" s="32" t="n">
        <x:f>IF(O122="","",(1/'Metadata'!$B$5)^(O122-1))</x:f>
        <x:v>389.04514499428046</x:v>
      </x:c>
      <x:c r="U122" s="31" t="n">
        <x:f>IF(T122="","",I122*T122)</x:f>
        <x:v>80.86548954577508</x:v>
      </x:c>
    </x:row>
    <x:row r="123" ht="18" customHeight="1">
      <x:c r="A123" s="24" t="str">
        <x:v>LME_052</x:v>
      </x:c>
      <x:c r="B123" s="24" t="str">
        <x:v>Sea of Okhotsk</x:v>
      </x:c>
      <x:c r="C123" s="24" t="str">
        <x:v>LME</x:v>
      </x:c>
      <x:c r="D123" s="30" t="n">
        <x:v>2019</x:v>
      </x:c>
      <x:c r="E123" s="24" t="str">
        <x:v>Seriola dumerili</x:v>
      </x:c>
      <x:c r="F123" s="24" t="str">
        <x:v>Greater amberjack</x:v>
      </x:c>
      <x:c r="G123" s="24" t="str">
        <x:v>Large reef assoc. fish (&gt;=90 cm)</x:v>
      </x:c>
      <x:c r="H123" s="24" t="str">
        <x:v>Perch-likes</x:v>
      </x:c>
      <x:c r="I123" s="31" t="n">
        <x:v>0.11255854400000001</x:v>
      </x:c>
      <x:c r="J123" s="31" t="n">
        <x:v>0.11255854400000001</x:v>
      </x:c>
      <x:c r="K123" s="31" t="n">
        <x:v>0</x:v>
      </x:c>
      <x:c r="L123" s="31" t="n">
        <x:v>0.0591935944</x:v>
      </x:c>
      <x:c r="M123" s="31" t="n">
        <x:v>0.0533649496</x:v>
      </x:c>
      <x:c r="N123" s="24" t="str">
        <x:v>seriola dumerili</x:v>
      </x:c>
      <x:c r="O123" s="32" t="n">
        <x:v>4.5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Seriola dumerili</x:v>
      </x:c>
      <x:c r="T123" s="32" t="n">
        <x:f>IF(O123="","",(1/'Metadata'!$B$5)^(O123-1))</x:f>
        <x:v>3162.2776601683795</x:v>
      </x:c>
      <x:c r="U123" s="31" t="n">
        <x:f>IF(T123="","",I123*T123)</x:f>
        <x:v>355.9413691522796</x:v>
      </x:c>
    </x:row>
    <x:row r="124" ht="18" customHeight="1">
      <x:c r="A124" s="24" t="str">
        <x:v>LME_052</x:v>
      </x:c>
      <x:c r="B124" s="24" t="str">
        <x:v>Sea of Okhotsk</x:v>
      </x:c>
      <x:c r="C124" s="24" t="str">
        <x:v>LME</x:v>
      </x:c>
      <x:c r="D124" s="30" t="n">
        <x:v>2019</x:v>
      </x:c>
      <x:c r="E124" s="24" t="str">
        <x:v>Rachycentron canadum</x:v>
      </x:c>
      <x:c r="F124" s="24" t="str">
        <x:v>Cobia</x:v>
      </x:c>
      <x:c r="G124" s="24" t="str">
        <x:v>Large pelagics (&gt;=90 cm)</x:v>
      </x:c>
      <x:c r="H124" s="24" t="str">
        <x:v>Perch-likes</x:v>
      </x:c>
      <x:c r="I124" s="31" t="n">
        <x:v>0.048035431100000005</x:v>
      </x:c>
      <x:c r="J124" s="31" t="n">
        <x:v>0.0258537012</x:v>
      </x:c>
      <x:c r="K124" s="31" t="n">
        <x:v>0.022181729900000002</x:v>
      </x:c>
      <x:c r="L124" s="31" t="n">
        <x:v>0.0258537012</x:v>
      </x:c>
      <x:c r="M124" s="31" t="n">
        <x:v>0.022181729900000002</x:v>
      </x:c>
      <x:c r="N124" s="24" t="str">
        <x:v>rachycentron canadum</x:v>
      </x:c>
      <x:c r="O124" s="32" t="n">
        <x:v>3.96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Rachycentron canadum</x:v>
      </x:c>
      <x:c r="T124" s="32" t="n">
        <x:f>IF(O124="","",(1/'Metadata'!$B$5)^(O124-1))</x:f>
        <x:v>912.0108393559096</x:v>
      </x:c>
      <x:c r="U124" s="31" t="n">
        <x:f>IF(T124="","",I124*T124)</x:f>
        <x:v>43.80883383633397</x:v>
      </x:c>
    </x:row>
    <x:row r="125" ht="18" customHeight="1">
      <x:c r="A125" s="24" t="str">
        <x:v>LME_052</x:v>
      </x:c>
      <x:c r="B125" s="24" t="str">
        <x:v>Sea of Okhotsk</x:v>
      </x:c>
      <x:c r="C125" s="24" t="str">
        <x:v>LME</x:v>
      </x:c>
      <x:c r="D125" s="30" t="n">
        <x:v>2019</x:v>
      </x:c>
      <x:c r="E125" s="24" t="str">
        <x:v>Saurida</x:v>
      </x:c>
      <x:c r="F125" s="24" t="str">
        <x:v>Lizardfishes</x:v>
      </x:c>
      <x:c r="G125" s="24" t="str">
        <x:v>Medium demersals (30 - 89 cm)</x:v>
      </x:c>
      <x:c r="H125" s="24" t="str">
        <x:v>Other fishes &amp; inverts</x:v>
      </x:c>
      <x:c r="I125" s="31" t="n">
        <x:v>0.0133172377</x:v>
      </x:c>
      <x:c r="J125" s="31" t="n">
        <x:v>0</x:v>
      </x:c>
      <x:c r="K125" s="31" t="n">
        <x:v>0.0133172377</x:v>
      </x:c>
      <x:c r="L125" s="31" t="n">
        <x:v>0</x:v>
      </x:c>
      <x:c r="M125" s="31" t="n">
        <x:v>0.0133172377</x:v>
      </x:c>
      <x:c r="N125" s="24" t="str">
        <x:v>saurida</x:v>
      </x:c>
      <x:c r="O125" s="32" t="n">
        <x:v>4.35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Saurida</x:v>
      </x:c>
      <x:c r="T125" s="32" t="n">
        <x:f>IF(O125="","",(1/'Metadata'!$B$5)^(O125-1))</x:f>
        <x:v>2238.7211385683377</x:v>
      </x:c>
      <x:c r="U125" s="31" t="n">
        <x:f>IF(T125="","",I125*T125)</x:f>
        <x:v>29.81358154632919</x:v>
      </x:c>
    </x:row>
    <x:row r="126" ht="18" customHeight="1">
      <x:c r="A126" s="24" t="str">
        <x:v>LME_052</x:v>
      </x:c>
      <x:c r="B126" s="24" t="str">
        <x:v>Sea of Okhotsk</x:v>
      </x:c>
      <x:c r="C126" s="24" t="str">
        <x:v>LME</x:v>
      </x:c>
      <x:c r="D126" s="30" t="n">
        <x:v>2019</x:v>
      </x:c>
      <x:c r="E126" s="24" t="str">
        <x:v>Scomberomorus niphonius</x:v>
      </x:c>
      <x:c r="F126" s="24" t="str">
        <x:v>Japanese Spanish mackerel</x:v>
      </x:c>
      <x:c r="G126" s="24" t="str">
        <x:v>Large pelagics (&gt;=90 cm)</x:v>
      </x:c>
      <x:c r="H126" s="24" t="str">
        <x:v>Perch-likes</x:v>
      </x:c>
      <x:c r="I126" s="31" t="n">
        <x:v>0.008569918599999999</x:v>
      </x:c>
      <x:c r="J126" s="31" t="n">
        <x:v>0.008569918599999999</x:v>
      </x:c>
      <x:c r="K126" s="31" t="n">
        <x:v>0</x:v>
      </x:c>
      <x:c r="L126" s="31" t="n">
        <x:v>0.008569918599999999</x:v>
      </x:c>
      <x:c r="M126" s="31" t="n">
        <x:v>0</x:v>
      </x:c>
      <x:c r="N126" s="24" t="str">
        <x:v>scomberomorus niphonius</x:v>
      </x:c>
      <x:c r="O126" s="32" t="n">
        <x:v>4.5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Scomberomorus niphonius</x:v>
      </x:c>
      <x:c r="T126" s="32" t="n">
        <x:f>IF(O126="","",(1/'Metadata'!$B$5)^(O126-1))</x:f>
        <x:v>3162.2776601683795</x:v>
      </x:c>
      <x:c r="U126" s="31" t="n">
        <x:f>IF(T126="","",I126*T126)</x:f>
        <x:v>27.100462138241472</x:v>
      </x:c>
    </x:row>
    <x:row r="127" ht="18" customHeight="1">
      <x:c r="A127" s="24" t="str">
        <x:v>LME_052</x:v>
      </x:c>
      <x:c r="B127" s="24" t="str">
        <x:v>Sea of Okhotsk</x:v>
      </x:c>
      <x:c r="C127" s="24" t="str">
        <x:v>LME</x:v>
      </x:c>
      <x:c r="D127" s="30" t="n">
        <x:v>2019</x:v>
      </x:c>
      <x:c r="E127" s="24" t="str">
        <x:v>Rhopilema hispidum</x:v>
      </x:c>
      <x:c r="F127" s="24" t="str">
        <x:v>Sand jellyfish</x:v>
      </x:c>
      <x:c r="G127" s="24" t="str">
        <x:v>Jellyfish</x:v>
      </x:c>
      <x:c r="H127" s="24" t="str">
        <x:v>Other fishes &amp; inverts</x:v>
      </x:c>
      <x:c r="I127" s="31" t="n">
        <x:v>0.0023718969</x:v>
      </x:c>
      <x:c r="J127" s="31" t="n">
        <x:v>0.0023718969</x:v>
      </x:c>
      <x:c r="K127" s="31" t="n">
        <x:v>0</x:v>
      </x:c>
      <x:c r="L127" s="31" t="n">
        <x:v>0</x:v>
      </x:c>
      <x:c r="M127" s="31" t="n">
        <x:v>0.0023718969</x:v>
      </x:c>
      <x:c r="N127" s="24" t="str">
        <x:v>rhopilema hispidum</x:v>
      </x:c>
      <x:c r="O127" s="32" t="n">
        <x:v>3.46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Rhopilema hispidum</x:v>
      </x:c>
      <x:c r="T127" s="32" t="n">
        <x:f>IF(O127="","",(1/'Metadata'!$B$5)^(O127-1))</x:f>
        <x:v>288.40315031266056</x:v>
      </x:c>
      <x:c r="U127" s="31" t="n">
        <x:f>IF(T127="","",I127*T127)</x:f>
        <x:v>0.6840625381768336</x:v>
      </x:c>
    </x:row>
    <x:row r="128" ht="18" customHeight="1">
      <x:c r="A128" s="24" t="str">
        <x:v>LME_052</x:v>
      </x:c>
      <x:c r="B128" s="24" t="str">
        <x:v>Sea of Okhotsk</x:v>
      </x:c>
      <x:c r="C128" s="24" t="str">
        <x:v>LME</x:v>
      </x:c>
      <x:c r="D128" s="30" t="n">
        <x:v>2019</x:v>
      </x:c>
      <x:c r="E128" s="24" t="str">
        <x:v>Chanos chanos</x:v>
      </x:c>
      <x:c r="F128" s="24" t="str">
        <x:v>Milkfish</x:v>
      </x:c>
      <x:c r="G128" s="24" t="str">
        <x:v>Large benthopelagics (&gt;=90 cm)</x:v>
      </x:c>
      <x:c r="H128" s="24" t="str">
        <x:v>Other fishes &amp; inverts</x:v>
      </x:c>
      <x:c r="I128" s="31" t="n">
        <x:v>0.0005918516</x:v>
      </x:c>
      <x:c r="J128" s="31" t="n">
        <x:v>0.0005918516</x:v>
      </x:c>
      <x:c r="K128" s="31" t="n">
        <x:v>0</x:v>
      </x:c>
      <x:c r="L128" s="31" t="n">
        <x:v>0.0003463042</x:v>
      </x:c>
      <x:c r="M128" s="31" t="n">
        <x:v>0.0002455474</x:v>
      </x:c>
      <x:c r="N128" s="24" t="str">
        <x:v>chanos chanos</x:v>
      </x:c>
      <x:c r="O128" s="32" t="n">
        <x:v>2.03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Chanos chanos</x:v>
      </x:c>
      <x:c r="T128" s="32" t="n">
        <x:f>IF(O128="","",(1/'Metadata'!$B$5)^(O128-1))</x:f>
        <x:v>10.71519305237606</x:v>
      </x:c>
      <x:c r="U128" s="31" t="n">
        <x:f>IF(T128="","",I128*T128)</x:f>
        <x:v>0.006341804152357655</x:v>
      </x:c>
    </x:row>
    <x:row r="129" ht="18" customHeight="1">
      <x:c r="A129" s="24" t="str">
        <x:v>LME_052</x:v>
      </x:c>
      <x:c r="B129" s="24" t="str">
        <x:v>Sea of Okhotsk</x:v>
      </x:c>
      <x:c r="C129" s="24" t="str">
        <x:v>LME</x:v>
      </x:c>
      <x:c r="D129" s="30" t="n">
        <x:v>2019</x:v>
      </x:c>
      <x:c r="E129" s="24" t="str">
        <x:v>Scaridae</x:v>
      </x:c>
      <x:c r="F129" s="24" t="str">
        <x:v>Parrotfishes</x:v>
      </x:c>
      <x:c r="G129" s="24" t="str">
        <x:v>Medium reef assoc. fish (30 - 89 cm)</x:v>
      </x:c>
      <x:c r="H129" s="24" t="str">
        <x:v>Perch-likes</x:v>
      </x:c>
      <x:c r="I129" s="31" t="n">
        <x:v>0.0005507663</x:v>
      </x:c>
      <x:c r="J129" s="31" t="n">
        <x:v>0.0005507663</x:v>
      </x:c>
      <x:c r="K129" s="31" t="n">
        <x:v>0</x:v>
      </x:c>
      <x:c r="L129" s="31" t="n">
        <x:v>0.00021391660000000002</x:v>
      </x:c>
      <x:c r="M129" s="31" t="n">
        <x:v>0.0003368497</x:v>
      </x:c>
      <x:c r="N129" s="24" t="str">
        <x:v>scaridae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Scaridae</x:v>
      </x:c>
      <x:c r="T129" s="32" t="n">
        <x:f>IF(O129="","",(1/'Metadata'!$B$5)^(O129-1))</x:f>
        <x:v>10</x:v>
      </x:c>
      <x:c r="U129" s="31" t="n">
        <x:f>IF(T129="","",I129*T129)</x:f>
        <x:v>0.005507663</x:v>
      </x:c>
    </x:row>
    <x:row r="130" ht="18" customHeight="1">
      <x:c r="A130" s="24" t="str">
        <x:v>LME_052</x:v>
      </x:c>
      <x:c r="B130" s="24" t="str">
        <x:v>Sea of Okhotsk</x:v>
      </x:c>
      <x:c r="C130" s="24" t="str">
        <x:v>LME</x:v>
      </x:c>
      <x:c r="D130" s="30" t="n">
        <x:v>2019</x:v>
      </x:c>
      <x:c r="E130" s="24" t="str">
        <x:v>Lates calcarifer</x:v>
      </x:c>
      <x:c r="F130" s="24" t="str">
        <x:v>Barramundi</x:v>
      </x:c>
      <x:c r="G130" s="24" t="str">
        <x:v>Large demersals (&gt;=90 cm)</x:v>
      </x:c>
      <x:c r="H130" s="24" t="str">
        <x:v>Perch-likes</x:v>
      </x:c>
      <x:c r="I130" s="31" t="n">
        <x:v>0.000050652</x:v>
      </x:c>
      <x:c r="J130" s="31" t="n">
        <x:v>0.000050652</x:v>
      </x:c>
      <x:c r="K130" s="31" t="n">
        <x:v>0</x:v>
      </x:c>
      <x:c r="L130" s="31" t="n">
        <x:v>0.000050652</x:v>
      </x:c>
      <x:c r="M130" s="31" t="n">
        <x:v>0</x:v>
      </x:c>
      <x:c r="N130" s="24" t="str">
        <x:v>lates calcarifer</x:v>
      </x:c>
      <x:c r="O130" s="32" t="n">
        <x:v>4.35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Lates calcarifer</x:v>
      </x:c>
      <x:c r="T130" s="32" t="n">
        <x:f>IF(O130="","",(1/'Metadata'!$B$5)^(O130-1))</x:f>
        <x:v>2238.7211385683377</x:v>
      </x:c>
      <x:c r="U130" s="31" t="n">
        <x:f>IF(T130="","",I130*T130)</x:f>
        <x:v>0.11339570311076344</x:v>
      </x:c>
    </x:row>
    <x:row r="131" ht="18" customHeight="1">
      <x:c r="A131" s="24" t="str">
        <x:v>LME_052</x:v>
      </x:c>
      <x:c r="B131" s="24" t="str">
        <x:v>Sea of Okhotsk</x:v>
      </x:c>
      <x:c r="C131" s="24" t="str">
        <x:v>LME</x:v>
      </x:c>
      <x:c r="D131" s="30" t="n">
        <x:v>2019</x:v>
      </x:c>
      <x:c r="E131" s="24" t="str">
        <x:v>Prionace glauca</x:v>
      </x:c>
      <x:c r="F131" s="24" t="str">
        <x:v>Blue shark</x:v>
      </x:c>
      <x:c r="G131" s="24" t="str">
        <x:v>Large sharks (&gt;=90 cm)</x:v>
      </x:c>
      <x:c r="H131" s="24" t="str">
        <x:v>Sharks &amp; rays</x:v>
      </x:c>
      <x:c r="I131" s="31" t="n">
        <x:v>0.0000140408</x:v>
      </x:c>
      <x:c r="J131" s="31" t="n">
        <x:v>0.0000140408</x:v>
      </x:c>
      <x:c r="K131" s="31" t="n">
        <x:v>0</x:v>
      </x:c>
      <x:c r="L131" s="31" t="n">
        <x:v>0.0000140408</x:v>
      </x:c>
      <x:c r="M131" s="31" t="n">
        <x:v>0</x:v>
      </x:c>
      <x:c r="N131" s="24" t="str">
        <x:v>prionace glauca</x:v>
      </x:c>
      <x:c r="O131" s="32" t="n">
        <x:v>4.35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Prionace glauca</x:v>
      </x:c>
      <x:c r="T131" s="32" t="n">
        <x:f>IF(O131="","",(1/'Metadata'!$B$5)^(O131-1))</x:f>
        <x:v>2238.7211385683377</x:v>
      </x:c>
      <x:c r="U131" s="31" t="n">
        <x:f>IF(T131="","",I131*T131)</x:f>
        <x:v>0.03143343576241031</x:v>
      </x:c>
    </x:row>
    <x:row r="132" ht="18" customHeight="1">
      <x:c r="A132" s="24" t="str">
        <x:v>LME_052</x:v>
      </x:c>
      <x:c r="B132" s="24" t="str">
        <x:v>Sea of Okhotsk</x:v>
      </x:c>
      <x:c r="C132" s="24" t="str">
        <x:v>LME</x:v>
      </x:c>
      <x:c r="D132" s="30" t="n">
        <x:v>2019</x:v>
      </x:c>
      <x:c r="E132" s="24" t="str">
        <x:v>Sphyraena barracuda</x:v>
      </x:c>
      <x:c r="F132" s="24" t="str">
        <x:v>Great barracuda</x:v>
      </x:c>
      <x:c r="G132" s="24" t="str">
        <x:v>Large pelagics (&gt;=90 cm)</x:v>
      </x:c>
      <x:c r="H132" s="24" t="str">
        <x:v>Perch-likes</x:v>
      </x:c>
      <x:c r="I132" s="31" t="n">
        <x:v>0.0000094514</x:v>
      </x:c>
      <x:c r="J132" s="31" t="n">
        <x:v>0</x:v>
      </x:c>
      <x:c r="K132" s="31" t="n">
        <x:v>0.0000094514</x:v>
      </x:c>
      <x:c r="L132" s="31" t="n">
        <x:v>0</x:v>
      </x:c>
      <x:c r="M132" s="31" t="n">
        <x:v>0.0000094514</x:v>
      </x:c>
      <x:c r="N132" s="24" t="str">
        <x:v>sphyraena barracuda</x:v>
      </x:c>
      <x:c r="O132" s="32" t="n">
        <x:v>4.49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Sphyraena barracuda</x:v>
      </x:c>
      <x:c r="T132" s="32" t="n">
        <x:f>IF(O132="","",(1/'Metadata'!$B$5)^(O132-1))</x:f>
        <x:v>3090.295432513592</x:v>
      </x:c>
      <x:c r="U132" s="31" t="n">
        <x:f>IF(T132="","",I132*T132)</x:f>
        <x:v>0.029207618250858967</x:v>
      </x:c>
    </x:row>
  </x:sheetData>
  <x:conditionalFormatting sqref="R2:R13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834c7f24e7443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10377.7610720746</x:v>
      </x:c>
      <x:c r="C2" s="32" t="n">
        <x:v>3.14</x:v>
      </x:c>
      <x:c r="D2" s="32" t="n">
        <x:f>IF(C2="","",(1/'Metadata'!$B$5)^(C2-1))</x:f>
        <x:v>138.03842646028852</x:v>
      </x:c>
      <x:c r="E2" s="31" t="n">
        <x:f>IF(B2=0,"",B2*D2)</x:f>
        <x:v>1432529.8085700145</x:v>
      </x:c>
    </x:row>
    <x:row r="3" ht="18" customHeight="1">
      <x:c r="A3" s="24" t="str">
        <x:v>Cod-likes</x:v>
      </x:c>
      <x:c r="B3" s="31" t="n">
        <x:v>2807898.5137336077</x:v>
      </x:c>
      <x:c r="C3" s="32" t="n">
        <x:v>3.6041390194670493</x:v>
      </x:c>
      <x:c r="D3" s="32" t="n">
        <x:f>IF(C3="","",(1/'Metadata'!$B$5)^(C3-1))</x:f>
        <x:v>401.91944634319395</x:v>
      </x:c>
      <x:c r="E3" s="31" t="n">
        <x:f>IF(B3=0,"",B3*D3)</x:f>
        <x:v>1128549016.0276887</x:v>
      </x:c>
    </x:row>
    <x:row r="4" ht="18" customHeight="1">
      <x:c r="A4" s="24" t="str">
        <x:v>Crustaceans</x:v>
      </x:c>
      <x:c r="B4" s="31" t="n">
        <x:v>106203.98264767599</x:v>
      </x:c>
      <x:c r="C4" s="32" t="n">
        <x:v>2.920984088401038</x:v>
      </x:c>
      <x:c r="D4" s="32" t="n">
        <x:f>IF(C4="","",(1/'Metadata'!$B$5)^(C4-1))</x:f>
        <x:v>83.36506409258419</x:v>
      </x:c>
      <x:c r="E4" s="31" t="n">
        <x:f>IF(B4=0,"",B4*D4)</x:f>
        <x:v>8853701.82031121</x:v>
      </x:c>
    </x:row>
    <x:row r="5" ht="18" customHeight="1">
      <x:c r="A5" s="24" t="str">
        <x:v>Flatfishes</x:v>
      </x:c>
      <x:c r="B5" s="31" t="n">
        <x:v>73198.9612905884</x:v>
      </x:c>
      <x:c r="C5" s="32" t="n">
        <x:v>3.702983851787518</x:v>
      </x:c>
      <x:c r="D5" s="32" t="n">
        <x:f>IF(C5="","",(1/'Metadata'!$B$5)^(C5-1))</x:f>
        <x:v>504.64253327639534</x:v>
      </x:c>
      <x:c r="E5" s="31" t="n">
        <x:f>IF(B5=0,"",B5*D5)</x:f>
        <x:v>36939309.25888333</x:v>
      </x:c>
    </x:row>
    <x:row r="6" ht="18" customHeight="1">
      <x:c r="A6" s="24" t="str">
        <x:v>Herring-likes</x:v>
      </x:c>
      <x:c r="B6" s="31" t="n">
        <x:v>557600.6076072942</x:v>
      </x:c>
      <x:c r="C6" s="32" t="n">
        <x:v>3.1134453392708945</x:v>
      </x:c>
      <x:c r="D6" s="32" t="n">
        <x:f>IF(C6="","",(1/'Metadata'!$B$5)^(C6-1))</x:f>
        <x:v>129.851012178741</x:v>
      </x:c>
      <x:c r="E6" s="31" t="n">
        <x:f>IF(B6=0,"",B6*D6)</x:f>
        <x:v>72405003.28928815</x:v>
      </x:c>
    </x:row>
    <x:row r="7" ht="18" customHeight="1">
      <x:c r="A7" s="24" t="str">
        <x:v>Molluscs</x:v>
      </x:c>
      <x:c r="B7" s="31" t="n">
        <x:v>34538.13871137079</x:v>
      </x:c>
      <x:c r="C7" s="32" t="n">
        <x:v>2.18881543169166</x:v>
      </x:c>
      <x:c r="D7" s="32" t="n">
        <x:f>IF(C7="","",(1/'Metadata'!$B$5)^(C7-1))</x:f>
        <x:v>15.44597870287566</x:v>
      </x:c>
      <x:c r="E7" s="31" t="n">
        <x:f>IF(B7=0,"",B7*D7)</x:f>
        <x:v>533475.3549727986</x:v>
      </x:c>
    </x:row>
    <x:row r="8" ht="18" customHeight="1">
      <x:c r="A8" s="24" t="str">
        <x:v>Other fishes &amp; inverts</x:v>
      </x:c>
      <x:c r="B8" s="31" t="n">
        <x:v>472257.4960411431</x:v>
      </x:c>
      <x:c r="C8" s="32" t="n">
        <x:v>3.397722319680472</x:v>
      </x:c>
      <x:c r="D8" s="32" t="n">
        <x:f>IF(C8="","",(1/'Metadata'!$B$5)^(C8-1))</x:f>
        <x:v>249.87471954415403</x:v>
      </x:c>
      <x:c r="E8" s="31" t="n">
        <x:f>IF(B8=0,"",B8*D8)</x:f>
        <x:v>118005209.37590507</x:v>
      </x:c>
    </x:row>
    <x:row r="9" ht="18" customHeight="1">
      <x:c r="A9" s="24" t="str">
        <x:v>Perch-likes</x:v>
      </x:c>
      <x:c r="B9" s="31" t="n">
        <x:v>77348.54861944108</x:v>
      </x:c>
      <x:c r="C9" s="32" t="n">
        <x:v>3.4051167376169893</x:v>
      </x:c>
      <x:c r="D9" s="32" t="n">
        <x:f>IF(C9="","",(1/'Metadata'!$B$5)^(C9-1))</x:f>
        <x:v>254.16558064885163</x:v>
      </x:c>
      <x:c r="E9" s="31" t="n">
        <x:f>IF(B9=0,"",B9*D9)</x:f>
        <x:v>19659338.772206172</x:v>
      </x:c>
    </x:row>
    <x:row r="10" ht="18" customHeight="1">
      <x:c r="A10" s="24" t="str">
        <x:v>Salmon, smelts, etc</x:v>
      </x:c>
      <x:c r="B10" s="31" t="n">
        <x:v>622434.0821785933</x:v>
      </x:c>
      <x:c r="C10" s="32" t="n">
        <x:v>4.1303859967766385</x:v>
      </x:c>
      <x:c r="D10" s="32" t="n">
        <x:f>IF(C10="","",(1/'Metadata'!$B$5)^(C10-1))</x:f>
        <x:v>1350.1623608472385</x:v>
      </x:c>
      <x:c r="E10" s="31" t="n">
        <x:f>IF(B10=0,"",B10*D10)</x:f>
        <x:v>840387069.8660336</x:v>
      </x:c>
    </x:row>
    <x:row r="11" ht="18" customHeight="1">
      <x:c r="A11" s="24" t="str">
        <x:v>Scorpionfishes</x:v>
      </x:c>
      <x:c r="B11" s="31" t="n">
        <x:v>29857.6864427241</x:v>
      </x:c>
      <x:c r="C11" s="32" t="n">
        <x:v>3.4656234349996193</x:v>
      </x:c>
      <x:c r="D11" s="32" t="n">
        <x:f>IF(C11="","",(1/'Metadata'!$B$5)^(C11-1))</x:f>
        <x:v>292.1618023289985</x:v>
      </x:c>
      <x:c r="E11" s="31" t="n">
        <x:f>IF(B11=0,"",B11*D11)</x:f>
        <x:v>8723275.484480377</x:v>
      </x:c>
    </x:row>
    <x:row r="12" ht="18" customHeight="1">
      <x:c r="A12" s="24" t="str">
        <x:v>Sharks &amp; rays</x:v>
      </x:c>
      <x:c r="B12" s="31" t="n">
        <x:v>7343.1527317368</x:v>
      </x:c>
      <x:c r="C12" s="32" t="n">
        <x:v>3.7390942589079392</x:v>
      </x:c>
      <x:c r="D12" s="32" t="n">
        <x:f>IF(C12="","",(1/'Metadata'!$B$5)^(C12-1))</x:f>
        <x:v>548.3959754052407</x:v>
      </x:c>
      <x:c r="E12" s="31" t="n">
        <x:f>IF(B12=0,"",B12*D12)</x:f>
        <x:v>4026955.4048704603</x:v>
      </x:c>
    </x:row>
    <x:row r="13" ht="18" customHeight="1">
      <x:c r="A13" s="24" t="str">
        <x:v>Tuna &amp; billfishes</x:v>
      </x:c>
      <x:c r="B13" s="31" t="n">
        <x:v>1793.1945488683</x:v>
      </x:c>
      <x:c r="C13" s="32" t="n">
        <x:v>4.26082910551169</x:v>
      </x:c>
      <x:c r="D13" s="32" t="n">
        <x:f>IF(C13="","",(1/'Metadata'!$B$5)^(C13-1))</x:f>
        <x:v>1823.178142188881</x:v>
      </x:c>
      <x:c r="E13" s="31" t="n">
        <x:f>IF(B13=0,"",B13*D13)</x:f>
        <x:v>3269313.106188936</x:v>
      </x:c>
    </x:row>
  </x:sheetData>
  <x:pageMargins left="0.7" right="0.7" top="0.75" bottom="0.75" header="0.3" footer="0.3"/>
  <x:tableParts count="1">
    <x:tablePart xmlns:r="http://schemas.openxmlformats.org/officeDocument/2006/relationships" r:id="R868a0231d4eb475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74184.15420765888</x:v>
      </x:c>
      <x:c r="C2" s="32" t="n">
        <x:v>4.097005641068263</x:v>
      </x:c>
      <x:c r="D2" s="32" t="n">
        <x:f>IF(C2="","",(1/'Metadata'!$B$5)^(C2-1))</x:f>
        <x:v>1250.275269987356</x:v>
      </x:c>
      <x:c r="E2" s="31" t="n">
        <x:f>IF(B2=0,"",B2*D2)</x:f>
        <x:v>92750613.43076436</x:v>
      </x:c>
    </x:row>
    <x:row r="3" ht="18" customHeight="1">
      <x:c r="A3" s="24" t="str">
        <x:v>Jellyfish</x:v>
      </x:c>
      <x:c r="B3" s="31" t="n">
        <x:v>31.798045257100004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9170.656425932195</x:v>
      </x:c>
    </x:row>
    <x:row r="4" ht="18" customHeight="1">
      <x:c r="A4" s="24" t="str">
        <x:v>Large bathydemersals (&gt;=90 cm)</x:v>
      </x:c>
      <x:c r="B4" s="31" t="n">
        <x:v>301.6798206571</x:v>
      </x:c>
      <x:c r="C4" s="32" t="n">
        <x:v>3.8400000000000003</x:v>
      </x:c>
      <x:c r="D4" s="32" t="n">
        <x:f>IF(C4="","",(1/'Metadata'!$B$5)^(C4-1))</x:f>
        <x:v>691.8309709189369</x:v>
      </x:c>
      <x:c r="E4" s="31" t="n">
        <x:f>IF(B4=0,"",B4*D4)</x:f>
        <x:v>208711.44323185226</x:v>
      </x:c>
    </x:row>
    <x:row r="5" ht="18" customHeight="1">
      <x:c r="A5" s="24" t="str">
        <x:v>Large benthopelagics (&gt;=90 cm)</x:v>
      </x:c>
      <x:c r="B5" s="31" t="n">
        <x:v>185039.8224750349</x:v>
      </x:c>
      <x:c r="C5" s="32" t="n">
        <x:v>3.77956182779121</x:v>
      </x:c>
      <x:c r="D5" s="32" t="n">
        <x:f>IF(C5="","",(1/'Metadata'!$B$5)^(C5-1))</x:f>
        <x:v>601.9519529374157</x:v>
      </x:c>
      <x:c r="E5" s="31" t="n">
        <x:f>IF(B5=0,"",B5*D5)</x:f>
        <x:v>111385082.51003997</x:v>
      </x:c>
    </x:row>
    <x:row r="6" ht="18" customHeight="1">
      <x:c r="A6" s="24" t="str">
        <x:v>Large demersals (&gt;=90 cm)</x:v>
      </x:c>
      <x:c r="B6" s="31" t="n">
        <x:v>157381.2713690131</x:v>
      </x:c>
      <x:c r="C6" s="32" t="n">
        <x:v>4.171243954756508</x:v>
      </x:c>
      <x:c r="D6" s="32" t="n">
        <x:f>IF(C6="","",(1/'Metadata'!$B$5)^(C6-1))</x:f>
        <x:v>1483.3510889064376</x:v>
      </x:c>
      <x:c r="E6" s="31" t="n">
        <x:f>IF(B6=0,"",B6*D6)</x:f>
        <x:v>233451680.2587051</x:v>
      </x:c>
    </x:row>
    <x:row r="7" ht="18" customHeight="1">
      <x:c r="A7" s="24" t="str">
        <x:v>Large flatfishes (&gt;=90 cm)</x:v>
      </x:c>
      <x:c r="B7" s="31" t="n">
        <x:v>4989.8621398865</x:v>
      </x:c>
      <x:c r="C7" s="32" t="n">
        <x:v>4.178600024017941</x:v>
      </x:c>
      <x:c r="D7" s="32" t="n">
        <x:f>IF(C7="","",(1/'Metadata'!$B$5)^(C7-1))</x:f>
        <x:v>1508.6900426855743</x:v>
      </x:c>
      <x:c r="E7" s="31" t="n">
        <x:f>IF(B7=0,"",B7*D7)</x:f>
        <x:v>7528155.324820494</x:v>
      </x:c>
    </x:row>
    <x:row r="8" ht="18" customHeight="1">
      <x:c r="A8" s="24" t="str">
        <x:v>Large pelagics (&gt;=90 cm)</x:v>
      </x:c>
      <x:c r="B8" s="31" t="n">
        <x:v>1795.3358928863001</x:v>
      </x:c>
      <x:c r="C8" s="32" t="n">
        <x:v>4.260147745535643</x:v>
      </x:c>
      <x:c r="D8" s="32" t="n">
        <x:f>IF(C8="","",(1/'Metadata'!$B$5)^(C8-1))</x:f>
        <x:v>1820.3200200910728</x:v>
      </x:c>
      <x:c r="E8" s="31" t="n">
        <x:f>IF(B8=0,"",B8*D8)</x:f>
        <x:v>3268085.868609014</x:v>
      </x:c>
    </x:row>
    <x:row r="9" ht="18" customHeight="1">
      <x:c r="A9" s="24" t="str">
        <x:v>Large rays (&gt;=90 cm)</x:v>
      </x:c>
      <x:c r="B9" s="31" t="n">
        <x:v>6855.2835830245</x:v>
      </x:c>
      <x:c r="C9" s="32" t="n">
        <x:v>3.72</x:v>
      </x:c>
      <x:c r="D9" s="32" t="n">
        <x:f>IF(C9="","",(1/'Metadata'!$B$5)^(C9-1))</x:f>
        <x:v>524.8074602497728</x:v>
      </x:c>
      <x:c r="E9" s="31" t="n">
        <x:f>IF(B9=0,"",B9*D9)</x:f>
        <x:v>3597703.9664990506</x:v>
      </x:c>
    </x:row>
    <x:row r="10" ht="18" customHeight="1">
      <x:c r="A10" s="24" t="str">
        <x:v>Large reef assoc. fish (&gt;=90 cm)</x:v>
      </x:c>
      <x:c r="B10" s="31" t="n">
        <x:v>295.2533549568</x:v>
      </x:c>
      <x:c r="C10" s="32" t="n">
        <x:v>3.6489863041097608</x:v>
      </x:c>
      <x:c r="D10" s="32" t="n">
        <x:f>IF(C10="","",(1/'Metadata'!$B$5)^(C10-1))</x:f>
        <x:v>445.64219442473717</x:v>
      </x:c>
      <x:c r="E10" s="31" t="n">
        <x:f>IF(B10=0,"",B10*D10)</x:f>
        <x:v>131577.35301421423</x:v>
      </x:c>
    </x:row>
    <x:row r="11" ht="18" customHeight="1">
      <x:c r="A11" s="24" t="str">
        <x:v>Large sharks (&gt;=90 cm)</x:v>
      </x:c>
      <x:c r="B11" s="31" t="n">
        <x:v>487.8691487123</x:v>
      </x:c>
      <x:c r="C11" s="32" t="n">
        <x:v>4.007396855961081</x:v>
      </x:c>
      <x:c r="D11" s="32" t="n">
        <x:f>IF(C11="","",(1/'Metadata'!$B$5)^(C11-1))</x:f>
        <x:v>1017.1777598824432</x:v>
      </x:c>
      <x:c r="E11" s="31" t="n">
        <x:f>IF(B11=0,"",B11*D11)</x:f>
        <x:v>496249.64780293184</x:v>
      </x:c>
    </x:row>
    <x:row r="12" ht="18" customHeight="1">
      <x:c r="A12" s="24" t="str">
        <x:v>Lobsters, crabs</x:v>
      </x:c>
      <x:c r="B12" s="31" t="n">
        <x:v>72635.5215268051</x:v>
      </x:c>
      <x:c r="C12" s="32" t="n">
        <x:v>2.971249918651082</x:v>
      </x:c>
      <x:c r="D12" s="32" t="n">
        <x:f>IF(C12="","",(1/'Metadata'!$B$5)^(C12-1))</x:f>
        <x:v>93.59441166353075</x:v>
      </x:c>
      <x:c r="E12" s="31" t="n">
        <x:f>IF(B12=0,"",B12*D12)</x:f>
        <x:v>6798278.903175046</x:v>
      </x:c>
    </x:row>
    <x:row r="13" ht="18" customHeight="1">
      <x:c r="A13" s="24" t="str">
        <x:v>Medium bathydemersals (30 - 89 cm)</x:v>
      </x:c>
      <x:c r="B13" s="31" t="n">
        <x:v>608.9024194958</x:v>
      </x:c>
      <x:c r="C13" s="32" t="n">
        <x:v>3.579376293845122</x:v>
      </x:c>
      <x:c r="D13" s="32" t="n">
        <x:f>IF(C13="","",(1/'Metadata'!$B$5)^(C13-1))</x:f>
        <x:v>379.6437843340529</x:v>
      </x:c>
      <x:c r="E13" s="31" t="n">
        <x:f>IF(B13=0,"",B13*D13)</x:f>
        <x:v>231166.0188275465</x:v>
      </x:c>
    </x:row>
    <x:row r="14" ht="18" customHeight="1">
      <x:c r="A14" s="24" t="str">
        <x:v>Medium benthopelagics (30 - 89 cm)</x:v>
      </x:c>
      <x:c r="B14" s="31" t="n">
        <x:v>2643249.4572871537</x:v>
      </x:c>
      <x:c r="C14" s="32" t="n">
        <x:v>3.5703546708235447</x:v>
      </x:c>
      <x:c r="D14" s="32" t="n">
        <x:f>IF(C14="","",(1/'Metadata'!$B$5)^(C14-1))</x:f>
        <x:v>371.83877089324795</x:v>
      </x:c>
      <x:c r="E14" s="31" t="n">
        <x:f>IF(B14=0,"",B14*D14)</x:f>
        <x:v>982862629.3619</x:v>
      </x:c>
    </x:row>
    <x:row r="15" ht="18" customHeight="1">
      <x:c r="A15" s="24" t="str">
        <x:v>Medium demersals (30 - 89 cm)</x:v>
      </x:c>
      <x:c r="B15" s="31" t="n">
        <x:v>775814.2436010564</x:v>
      </x:c>
      <x:c r="C15" s="32" t="n">
        <x:v>3.8447834858620724</x:v>
      </x:c>
      <x:c r="D15" s="32" t="n">
        <x:f>IF(C15="","",(1/'Metadata'!$B$5)^(C15-1))</x:f>
        <x:v>699.4931821718845</x:v>
      </x:c>
      <x:c r="E15" s="31" t="n">
        <x:f>IF(B15=0,"",B15*D15)</x:f>
        <x:v>542676774.0307765</x:v>
      </x:c>
    </x:row>
    <x:row r="16" ht="18" customHeight="1">
      <x:c r="A16" s="24" t="str">
        <x:v>Medium pelagics (30 - 89 cm)</x:v>
      </x:c>
      <x:c r="B16" s="31" t="n">
        <x:v>663237.9448536249</x:v>
      </x:c>
      <x:c r="C16" s="32" t="n">
        <x:v>3.1843472718801715</x:v>
      </x:c>
      <x:c r="D16" s="32" t="n">
        <x:f>IF(C16="","",(1/'Metadata'!$B$5)^(C16-1))</x:f>
        <x:v>152.8788023766304</x:v>
      </x:c>
      <x:c r="E16" s="31" t="n">
        <x:f>IF(B16=0,"",B16*D16)</x:f>
        <x:v>101395022.69995981</x:v>
      </x:c>
    </x:row>
    <x:row r="17" ht="18" customHeight="1">
      <x:c r="A17" s="24" t="str">
        <x:v>Medium reef assoc. fish (30 - 89 cm)</x:v>
      </x:c>
      <x:c r="B17" s="31" t="n">
        <x:v>696.6869505685</x:v>
      </x:c>
      <x:c r="C17" s="32" t="n">
        <x:v>3.969506152943133</x:v>
      </x:c>
      <x:c r="D17" s="32" t="n">
        <x:f>IF(C17="","",(1/'Metadata'!$B$5)^(C17-1))</x:f>
        <x:v>932.1936772652352</x:v>
      </x:c>
      <x:c r="E17" s="31" t="n">
        <x:f>IF(B17=0,"",B17*D17)</x:f>
        <x:v>649447.1703531533</x:v>
      </x:c>
    </x:row>
    <x:row r="18" ht="18" customHeight="1">
      <x:c r="A18" s="24" t="str">
        <x:v>Other demersal invertebrates</x:v>
      </x:c>
      <x:c r="B18" s="31" t="n">
        <x:v>45596.07779321559</x:v>
      </x:c>
      <x:c r="C18" s="32" t="n">
        <x:v>2.2300422028008473</x:v>
      </x:c>
      <x:c r="D18" s="32" t="n">
        <x:f>IF(C18="","",(1/'Metadata'!$B$5)^(C18-1))</x:f>
        <x:v>16.984086882245066</x:v>
      </x:c>
      <x:c r="E18" s="31" t="n">
        <x:f>IF(B18=0,"",B18*D18)</x:f>
        <x:v>774407.7467295785</x:v>
      </x:c>
    </x:row>
    <x:row r="19" ht="18" customHeight="1">
      <x:c r="A19" s="24" t="str">
        <x:v>Shrimps</x:v>
      </x:c>
      <x:c r="B19" s="31" t="n">
        <x:v>33568.46112087091</x:v>
      </x:c>
      <x:c r="C19" s="32" t="n">
        <x:v>2.812218757096653</x:v>
      </x:c>
      <x:c r="D19" s="32" t="n">
        <x:f>IF(C19="","",(1/'Metadata'!$B$5)^(C19-1))</x:f>
        <x:v>64.89612374421881</x:v>
      </x:c>
      <x:c r="E19" s="31" t="n">
        <x:f>IF(B19=0,"",B19*D19)</x:f>
        <x:v>2178463.0068030367</x:v>
      </x:c>
    </x:row>
    <x:row r="20" ht="18" customHeight="1">
      <x:c r="A20" s="24" t="str">
        <x:v>Small bathydemersals (&lt;30 cm)</x:v>
      </x:c>
      <x:c r="B20" s="31" t="n">
        <x:v>1189.3235408127</x:v>
      </x:c>
      <x:c r="C20" s="32" t="n">
        <x:v>3.51</x:v>
      </x:c>
      <x:c r="D20" s="32" t="n">
        <x:f>IF(C20="","",(1/'Metadata'!$B$5)^(C20-1))</x:f>
        <x:v>323.5936569296281</x:v>
      </x:c>
      <x:c r="E20" s="31" t="n">
        <x:f>IF(B20=0,"",B20*D20)</x:f>
        <x:v>384857.55384407536</x:v>
      </x:c>
    </x:row>
    <x:row r="21" ht="18" customHeight="1">
      <x:c r="A21" s="24" t="str">
        <x:v>Small bathypelagics (&lt;30 cm)</x:v>
      </x:c>
      <x:c r="B21" s="31" t="n">
        <x:v>194.2687440237</x:v>
      </x:c>
      <x:c r="C21" s="32" t="n">
        <x:v>3.1</x:v>
      </x:c>
      <x:c r="D21" s="32" t="n">
        <x:f>IF(C21="","",(1/'Metadata'!$B$5)^(C21-1))</x:f>
        <x:v>125.89254117941675</x:v>
      </x:c>
      <x:c r="E21" s="31" t="n">
        <x:f>IF(B21=0,"",B21*D21)</x:f>
        <x:v>24456.985856877225</x:v>
      </x:c>
    </x:row>
    <x:row r="22" ht="18" customHeight="1">
      <x:c r="A22" s="24" t="str">
        <x:v>Small benthopelagics (&lt;30 cm)</x:v>
      </x:c>
      <x:c r="B22" s="31" t="n">
        <x:v>0.9564359593</x:v>
      </x:c>
      <x:c r="C22" s="32" t="n">
        <x:v>3.62</x:v>
      </x:c>
      <x:c r="D22" s="32" t="n">
        <x:f>IF(C22="","",(1/'Metadata'!$B$5)^(C22-1))</x:f>
        <x:v>416.8693834703355</x:v>
      </x:c>
      <x:c r="E22" s="31" t="n">
        <x:f>IF(B22=0,"",B22*D22)</x:f>
        <x:v>398.7088686822499</x:v>
      </x:c>
    </x:row>
    <x:row r="23" ht="18" customHeight="1">
      <x:c r="A23" s="24" t="str">
        <x:v>Small demersals (&lt;30 cm)</x:v>
      </x:c>
      <x:c r="B23" s="31" t="n">
        <x:v>22825.8619399928</x:v>
      </x:c>
      <x:c r="C23" s="32" t="n">
        <x:v>3</x:v>
      </x:c>
      <x:c r="D23" s="32" t="n">
        <x:f>IF(C23="","",(1/'Metadata'!$B$5)^(C23-1))</x:f>
        <x:v>100</x:v>
      </x:c>
      <x:c r="E23" s="31" t="n">
        <x:f>IF(B23=0,"",B23*D23)</x:f>
        <x:v>2282586.1939992798</x:v>
      </x:c>
    </x:row>
    <x:row r="24" ht="18" customHeight="1">
      <x:c r="A24" s="24" t="str">
        <x:v>Small pelagics (&lt;30 cm)</x:v>
      </x:c>
      <x:c r="B24" s="31" t="n">
        <x:v>41662.9902237496</x:v>
      </x:c>
      <x:c r="C24" s="32" t="n">
        <x:v>3.179729706268943</x:v>
      </x:c>
      <x:c r="D24" s="32" t="n">
        <x:f>IF(C24="","",(1/'Metadata'!$B$5)^(C24-1))</x:f>
        <x:v>151.26195398677083</x:v>
      </x:c>
      <x:c r="E24" s="31" t="n">
        <x:f>IF(B24=0,"",B24*D24)</x:f>
        <x:v>6302025.310176095</x:v>
      </x:c>
    </x:row>
    <x:row r="25" ht="18" customHeight="1">
      <x:c r="A25" s="24" t="str">
        <x:v>Small to medium flatfishes (&lt;90 cm)</x:v>
      </x:c>
      <x:c r="B25" s="31" t="n">
        <x:v>68209.09915070189</x:v>
      </x:c>
      <x:c r="C25" s="32" t="n">
        <x:v>3.6681899729578498</x:v>
      </x:c>
      <x:c r="D25" s="32" t="n">
        <x:f>IF(C25="","",(1/'Metadata'!$B$5)^(C25-1))</x:f>
        <x:v>465.7897988861427</x:v>
      </x:c>
      <x:c r="E25" s="31" t="n">
        <x:f>IF(B25=0,"",B25*D25)</x:f>
        <x:v>31771102.575610403</x:v>
      </x:c>
    </x:row>
  </x:sheetData>
  <x:pageMargins left="0.7" right="0.7" top="0.75" bottom="0.75" header="0.3" footer="0.3"/>
  <x:tableParts count="1">
    <x:tablePart xmlns:r="http://schemas.openxmlformats.org/officeDocument/2006/relationships" r:id="R7c76cf19ad4244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LME_052</x:v>
      </x:c>
      <x:c r="B2" s="24" t="str">
        <x:v>raw_filtered_tonnes</x:v>
      </x:c>
      <x:c r="C2" s="24" t="n">
        <x:v>4800852.125625119</x:v>
      </x:c>
      <x:c r="D2" s="24" t="str">
        <x:v>tonnes</x:v>
      </x:c>
    </x:row>
    <x:row r="3" ht="18" customHeight="1">
      <x:c r="A3" s="24" t="str">
        <x:v>LME_052</x:v>
      </x:c>
      <x:c r="B3" s="24" t="str">
        <x:v>species_catch_tonnes</x:v>
      </x:c>
      <x:c r="C3" s="24" t="n">
        <x:v>4800852.125625119</x:v>
      </x:c>
      <x:c r="D3" s="24" t="str">
        <x:v>tonnes</x:v>
      </x:c>
    </x:row>
    <x:row r="4" ht="18" customHeight="1">
      <x:c r="A4" s="24" t="str">
        <x:v>LME_052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LME_052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LME_052</x:v>
      </x:c>
      <x:c r="B6" s="24" t="str">
        <x:v>matched_catch_tonnes</x:v>
      </x:c>
      <x:c r="C6" s="24" t="n">
        <x:v>4800852.125625119</x:v>
      </x:c>
      <x:c r="D6" s="24" t="str">
        <x:v>tonnes</x:v>
      </x:c>
    </x:row>
    <x:row r="7" ht="18" customHeight="1">
      <x:c r="A7" s="24" t="str">
        <x:v>LME_052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LME_052</x:v>
      </x:c>
      <x:c r="B8" s="24" t="str">
        <x:v>taxa_count</x:v>
      </x:c>
      <x:c r="C8" s="24" t="n">
        <x:v>131</x:v>
      </x:c>
      <x:c r="D8" s="24" t="str">
        <x:v>count</x:v>
      </x:c>
    </x:row>
    <x:row r="9" ht="18" customHeight="1">
      <x:c r="A9" s="24" t="str">
        <x:v>LME_052</x:v>
      </x:c>
      <x:c r="B9" s="24" t="str">
        <x:v>matched_taxa_count</x:v>
      </x:c>
      <x:c r="C9" s="24" t="n">
        <x:v>131</x:v>
      </x:c>
      <x:c r="D9" s="24" t="str">
        <x:v>count</x:v>
      </x:c>
    </x:row>
    <x:row r="10" ht="18" customHeight="1">
      <x:c r="A10" s="24" t="str">
        <x:v>LME_052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LME_052</x:v>
      </x:c>
      <x:c r="B11" s="24" t="str">
        <x:v>species_ppr</x:v>
      </x:c>
      <x:c r="C11" s="24" t="n">
        <x:v>2799543440.9812036</x:v>
      </x:c>
      <x:c r="D11" s="24" t="str">
        <x:v>tonnes_primary_production_equivalent</x:v>
      </x:c>
    </x:row>
    <x:row r="12" ht="18" customHeight="1">
      <x:c r="A12" s="24" t="str">
        <x:v>LME_052</x:v>
      </x:c>
      <x:c r="B12" s="24" t="str">
        <x:v>commercial_ppr</x:v>
      </x:c>
      <x:c r="C12" s="24" t="n">
        <x:v>2242784197.569399</x:v>
      </x:c>
      <x:c r="D12" s="24" t="str">
        <x:v>tonnes_primary_production_equivalent</x:v>
      </x:c>
    </x:row>
    <x:row r="13" ht="18" customHeight="1">
      <x:c r="A13" s="24" t="str">
        <x:v>LME_052</x:v>
      </x:c>
      <x:c r="B13" s="24" t="str">
        <x:v>functional_ppr</x:v>
      </x:c>
      <x:c r="C13" s="24" t="n">
        <x:v>2131158646.726793</x:v>
      </x:c>
      <x:c r="D13" s="24" t="str">
        <x:v>tonnes_primary_production_equivalent</x:v>
      </x:c>
    </x:row>
    <x:row r="14" ht="18" customHeight="1">
      <x:c r="A14" s="24" t="str">
        <x:v>LME_052</x:v>
      </x:c>
      <x:c r="B14" s="24" t="str">
        <x:v>commercial_ppr_difference</x:v>
      </x:c>
      <x:c r="C14" s="24" t="n">
        <x:v>-556759243.4118047</x:v>
      </x:c>
      <x:c r="D14" s="24" t="str">
        <x:v>tonnes_primary_production_equivalent</x:v>
      </x:c>
    </x:row>
    <x:row r="15" ht="18" customHeight="1">
      <x:c r="A15" s="24" t="str">
        <x:v>LME_052</x:v>
      </x:c>
      <x:c r="B15" s="24" t="str">
        <x:v>functional_ppr_difference</x:v>
      </x:c>
      <x:c r="C15" s="24" t="n">
        <x:v>-668384794.2544105</x:v>
      </x:c>
      <x:c r="D15" s="24" t="str">
        <x:v>tonnes_primary_production_equivalent</x:v>
      </x:c>
    </x:row>
    <x:row r="16" ht="18" customHeight="1">
      <x:c r="A16" s="24" t="str">
        <x:v>LME_052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6e6934271e548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LME_052 - Sea of Okhotsk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