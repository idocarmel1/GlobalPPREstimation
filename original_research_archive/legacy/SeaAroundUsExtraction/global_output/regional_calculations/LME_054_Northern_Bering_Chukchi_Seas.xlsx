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4be54c1cb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4b79c02019c4d38"/>
    <x:sheet xmlns:r="http://schemas.openxmlformats.org/officeDocument/2006/relationships" name="Commercial" sheetId="2" r:id="R1bdfd1818dfe4c59"/>
    <x:sheet xmlns:r="http://schemas.openxmlformats.org/officeDocument/2006/relationships" name="Functional" sheetId="3" r:id="Rc8cefd1660a0432d"/>
    <x:sheet xmlns:r="http://schemas.openxmlformats.org/officeDocument/2006/relationships" name="Missing TL" sheetId="4" r:id="Reb5adc6e219c4f46"/>
    <x:sheet xmlns:r="http://schemas.openxmlformats.org/officeDocument/2006/relationships" name="Validation" sheetId="5" r:id="R4be8a7ea1737490b"/>
    <x:sheet xmlns:r="http://schemas.openxmlformats.org/officeDocument/2006/relationships" name="Metadata" sheetId="6" r:id="R9df9e4a8c560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d3a29d7674311" /><Relationship Type="http://schemas.openxmlformats.org/officeDocument/2006/relationships/theme" Target="/xl/theme/theme1.xml" Id="Rff118fbcffd24ada" /><Relationship Type="http://schemas.microsoft.com/office/2022/11/relationships/FeaturePropertyBag" Target="/xl/featurePropertyBag/featurePropertyBag.xml" Id="Rbac2adb139684a4c" /><Relationship Type="http://schemas.openxmlformats.org/officeDocument/2006/relationships/sharedStrings" Target="/xl/sharedStrings.xml" Id="R92a24c9dd91a40f8" /><Relationship Type="http://schemas.openxmlformats.org/officeDocument/2006/relationships/worksheet" Target="/xl/worksheets/sheet1.xml" Id="Rf4b79c02019c4d38" /><Relationship Type="http://schemas.openxmlformats.org/officeDocument/2006/relationships/worksheet" Target="/xl/worksheets/sheet2.xml" Id="R1bdfd1818dfe4c59" /><Relationship Type="http://schemas.openxmlformats.org/officeDocument/2006/relationships/worksheet" Target="/xl/worksheets/sheet3.xml" Id="Rc8cefd1660a0432d" /><Relationship Type="http://schemas.openxmlformats.org/officeDocument/2006/relationships/worksheet" Target="/xl/worksheets/sheet4.xml" Id="Reb5adc6e219c4f46" /><Relationship Type="http://schemas.openxmlformats.org/officeDocument/2006/relationships/worksheet" Target="/xl/worksheets/sheet5.xml" Id="R4be8a7ea1737490b" /><Relationship Type="http://schemas.openxmlformats.org/officeDocument/2006/relationships/worksheet" Target="/xl/worksheets/sheet6.xml" Id="R9df9e4a8c56043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4SpeciesTable" displayName="LME054SpeciesTable" ref="A1:U94" headerRowCount="1" totalsRowCount="0" totalsRowShown="0">
  <x:autoFilter ref="A1:U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4CommercialTable" displayName="LME05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4FunctionalTable" displayName="LME054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4ValidationTable" displayName="LME0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12b06751a47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ecf570eecb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fc2b6be2534b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9d68703c2746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LME_054</x:v>
      </x:c>
      <x:c r="B2" s="24" t="str">
        <x:v>Northern Bering - Chukchi Seas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194770.1276651564</x:v>
      </x:c>
      <x:c r="J2" s="31" t="n">
        <x:v>147557.41022050648</x:v>
      </x:c>
      <x:c r="K2" s="31" t="n">
        <x:v>47212.7174446499</x:v>
      </x:c>
      <x:c r="L2" s="31" t="n">
        <x:v>125255.96348178749</x:v>
      </x:c>
      <x:c r="M2" s="31" t="n">
        <x:v>69514.16418336889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72363964.0033594</x:v>
      </x:c>
    </x:row>
    <x:row r="3" ht="18" customHeight="1">
      <x:c r="A3" s="24" t="str">
        <x:v>LME_054</x:v>
      </x:c>
      <x:c r="B3" s="24" t="str">
        <x:v>Northern Bering - Chukchi Seas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50840.7795775294</x:v>
      </x:c>
      <x:c r="J3" s="31" t="n">
        <x:v>39786.0482174681</x:v>
      </x:c>
      <x:c r="K3" s="31" t="n">
        <x:v>11054.7313600613</x:v>
      </x:c>
      <x:c r="L3" s="31" t="n">
        <x:v>33167.0492447724</x:v>
      </x:c>
      <x:c r="M3" s="31" t="n">
        <x:v>17673.730332756997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9687510.835561033</x:v>
      </x:c>
    </x:row>
    <x:row r="4" ht="18" customHeight="1">
      <x:c r="A4" s="24" t="str">
        <x:v>LME_054</x:v>
      </x:c>
      <x:c r="B4" s="24" t="str">
        <x:v>Northern Bering - Chukchi Seas</x:v>
      </x:c>
      <x:c r="C4" s="24" t="str">
        <x:v>LME</x:v>
      </x:c>
      <x:c r="D4" s="30" t="n">
        <x:v>2019</x:v>
      </x:c>
      <x:c r="E4" s="24" t="str">
        <x:v>Oncorhynchus gorbuscha</x:v>
      </x:c>
      <x:c r="F4" s="24" t="str">
        <x:v>Pink salmon</x:v>
      </x:c>
      <x:c r="G4" s="24" t="str">
        <x:v>Medium demersals (30 - 89 cm)</x:v>
      </x:c>
      <x:c r="H4" s="24" t="str">
        <x:v>Salmon, smelts, etc</x:v>
      </x:c>
      <x:c r="I4" s="31" t="n">
        <x:v>21160.308290620098</x:v>
      </x:c>
      <x:c r="J4" s="31" t="n">
        <x:v>20831.004665609198</x:v>
      </x:c>
      <x:c r="K4" s="31" t="n">
        <x:v>329.3036250109</x:v>
      </x:c>
      <x:c r="L4" s="31" t="n">
        <x:v>17095.63286313</x:v>
      </x:c>
      <x:c r="M4" s="31" t="n">
        <x:v>4064.6754274900995</x:v>
      </x:c>
      <x:c r="N4" s="24" t="str">
        <x:v>oncorhynchus gorbuscha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Oncorhynchus gorbuscha</x:v>
      </x:c>
      <x:c r="T4" s="32" t="n">
        <x:f>IF(O4="","",(1/'Metadata'!$B$5)^(O4-1))</x:f>
        <x:v>3090.295432513592</x:v>
      </x:c>
      <x:c r="U4" s="31" t="n">
        <x:f>IF(T4="","",I4*T4)</x:f>
        <x:v>65391604.06108278</x:v>
      </x:c>
    </x:row>
    <x:row r="5" ht="18" customHeight="1">
      <x:c r="A5" s="24" t="str">
        <x:v>LME_054</x:v>
      </x:c>
      <x:c r="B5" s="24" t="str">
        <x:v>Northern Bering - Chukchi Seas</x:v>
      </x:c>
      <x:c r="C5" s="24" t="str">
        <x:v>LME</x:v>
      </x:c>
      <x:c r="D5" s="30" t="n">
        <x:v>2019</x:v>
      </x:c>
      <x:c r="E5" s="24" t="str">
        <x:v>Clupea pallasii</x:v>
      </x:c>
      <x:c r="F5" s="24" t="str">
        <x:v>Pacific herring</x:v>
      </x:c>
      <x:c r="G5" s="24" t="str">
        <x:v>Medium pelagics (30 - 89 cm)</x:v>
      </x:c>
      <x:c r="H5" s="24" t="str">
        <x:v>Herring-likes</x:v>
      </x:c>
      <x:c r="I5" s="31" t="n">
        <x:v>8514.7772658086</x:v>
      </x:c>
      <x:c r="J5" s="31" t="n">
        <x:v>6276.9689195409</x:v>
      </x:c>
      <x:c r="K5" s="31" t="n">
        <x:v>2237.8083462677005</x:v>
      </x:c>
      <x:c r="L5" s="31" t="n">
        <x:v>5569.8683976923</x:v>
      </x:c>
      <x:c r="M5" s="31" t="n">
        <x:v>2944.9088681163003</x:v>
      </x:c>
      <x:c r="N5" s="24" t="str">
        <x:v>clupea pallasii</x:v>
      </x:c>
      <x:c r="O5" s="32" t="n">
        <x:v>3.16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Clupea pallasii</x:v>
      </x:c>
      <x:c r="T5" s="32" t="n">
        <x:f>IF(O5="","",(1/'Metadata'!$B$5)^(O5-1))</x:f>
        <x:v>144.5439770745928</x:v>
      </x:c>
      <x:c r="U5" s="31" t="n">
        <x:f>IF(T5="","",I5*T5)</x:f>
        <x:v>1230759.7699043022</x:v>
      </x:c>
    </x:row>
    <x:row r="6" ht="18" customHeight="1">
      <x:c r="A6" s="24" t="str">
        <x:v>LME_054</x:v>
      </x:c>
      <x:c r="B6" s="24" t="str">
        <x:v>Northern Bering - Chukchi Seas</x:v>
      </x:c>
      <x:c r="C6" s="24" t="str">
        <x:v>LME</x:v>
      </x:c>
      <x:c r="D6" s="30" t="n">
        <x:v>2019</x:v>
      </x:c>
      <x:c r="E6" s="24" t="str">
        <x:v>Lithodes aequispinus</x:v>
      </x:c>
      <x:c r="F6" s="24" t="str">
        <x:v>Same-spine stone crab</x:v>
      </x:c>
      <x:c r="G6" s="24" t="str">
        <x:v>Lobsters, crabs</x:v>
      </x:c>
      <x:c r="H6" s="24" t="str">
        <x:v>Crustaceans</x:v>
      </x:c>
      <x:c r="I6" s="31" t="n">
        <x:v>7963.5333156902</x:v>
      </x:c>
      <x:c r="J6" s="31" t="n">
        <x:v>7963.5333156902</x:v>
      </x:c>
      <x:c r="K6" s="31" t="n">
        <x:v>0</x:v>
      </x:c>
      <x:c r="L6" s="31" t="n">
        <x:v>3145.082377498</x:v>
      </x:c>
      <x:c r="M6" s="31" t="n">
        <x:v>4818.4509381922</x:v>
      </x:c>
      <x:c r="N6" s="24" t="str">
        <x:v>lithodes aequispinus</x:v>
      </x:c>
      <x:c r="O6" s="32" t="n">
        <x:v>3.54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Lithodes aequispinus</x:v>
      </x:c>
      <x:c r="T6" s="32" t="n">
        <x:f>IF(O6="","",(1/'Metadata'!$B$5)^(O6-1))</x:f>
        <x:v>346.73685045253166</x:v>
      </x:c>
      <x:c r="U6" s="31" t="n">
        <x:f>IF(T6="","",I6*T6)</x:f>
        <x:v>2761250.460356226</x:v>
      </x:c>
    </x:row>
    <x:row r="7" ht="18" customHeight="1">
      <x:c r="A7" s="24" t="str">
        <x:v>LME_054</x:v>
      </x:c>
      <x:c r="B7" s="24" t="str">
        <x:v>Northern Bering - Chukchi Seas</x:v>
      </x:c>
      <x:c r="C7" s="24" t="str">
        <x:v>LME</x:v>
      </x:c>
      <x:c r="D7" s="30" t="n">
        <x:v>2019</x:v>
      </x:c>
      <x:c r="E7" s="24" t="str">
        <x:v>Oncorhynchus nerka</x:v>
      </x:c>
      <x:c r="F7" s="24" t="str">
        <x:v>Sockeye salmon</x:v>
      </x:c>
      <x:c r="G7" s="24" t="str">
        <x:v>Medium pelagics (30 - 89 cm)</x:v>
      </x:c>
      <x:c r="H7" s="24" t="str">
        <x:v>Salmon, smelts, etc</x:v>
      </x:c>
      <x:c r="I7" s="31" t="n">
        <x:v>7650.575136958099</x:v>
      </x:c>
      <x:c r="J7" s="31" t="n">
        <x:v>7613.773179432899</x:v>
      </x:c>
      <x:c r="K7" s="31" t="n">
        <x:v>36.801957525199995</x:v>
      </x:c>
      <x:c r="L7" s="31" t="n">
        <x:v>6989.471951855699</x:v>
      </x:c>
      <x:c r="M7" s="31" t="n">
        <x:v>661.1031851024</x:v>
      </x:c>
      <x:c r="N7" s="24" t="str">
        <x:v>oncorhynchus nerka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Oncorhynchus nerka</x:v>
      </x:c>
      <x:c r="T7" s="32" t="n">
        <x:f>IF(O7="","",(1/'Metadata'!$B$5)^(O7-1))</x:f>
        <x:v>346.73685045253166</x:v>
      </x:c>
      <x:c r="U7" s="31" t="n">
        <x:f>IF(T7="","",I7*T7)</x:f>
        <x:v>2652736.3271392975</x:v>
      </x:c>
    </x:row>
    <x:row r="8" ht="18" customHeight="1">
      <x:c r="A8" s="24" t="str">
        <x:v>LME_054</x:v>
      </x:c>
      <x:c r="B8" s="24" t="str">
        <x:v>Northern Bering - Chukchi Seas</x:v>
      </x:c>
      <x:c r="C8" s="24" t="str">
        <x:v>LME</x:v>
      </x:c>
      <x:c r="D8" s="30" t="n">
        <x:v>2019</x:v>
      </x:c>
      <x:c r="E8" s="24" t="str">
        <x:v>Oncorhynchus keta</x:v>
      </x:c>
      <x:c r="F8" s="24" t="str">
        <x:v>Chum salmon</x:v>
      </x:c>
      <x:c r="G8" s="24" t="str">
        <x:v>Large benthopelagics (&gt;=90 cm)</x:v>
      </x:c>
      <x:c r="H8" s="24" t="str">
        <x:v>Salmon, smelts, etc</x:v>
      </x:c>
      <x:c r="I8" s="31" t="n">
        <x:v>7397.0059264571</x:v>
      </x:c>
      <x:c r="J8" s="31" t="n">
        <x:v>7396.8250488066</x:v>
      </x:c>
      <x:c r="K8" s="31" t="n">
        <x:v>0.1808776505</x:v>
      </x:c>
      <x:c r="L8" s="31" t="n">
        <x:v>3774.6437883281</x:v>
      </x:c>
      <x:c r="M8" s="31" t="n">
        <x:v>3622.362138129</x:v>
      </x:c>
      <x:c r="N8" s="24" t="str">
        <x:v>oncorhynchus keta</x:v>
      </x:c>
      <x:c r="O8" s="32" t="n">
        <x:v>3.74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Oncorhynchus keta</x:v>
      </x:c>
      <x:c r="T8" s="32" t="n">
        <x:f>IF(O8="","",(1/'Metadata'!$B$5)^(O8-1))</x:f>
        <x:v>549.5408738576248</x:v>
      </x:c>
      <x:c r="U8" s="31" t="n">
        <x:f>IF(T8="","",I8*T8)</x:f>
        <x:v>4064957.100755264</x:v>
      </x:c>
    </x:row>
    <x:row r="9" ht="18" customHeight="1">
      <x:c r="A9" s="24" t="str">
        <x:v>LME_054</x:v>
      </x:c>
      <x:c r="B9" s="24" t="str">
        <x:v>Northern Bering - Chukchi Seas</x:v>
      </x:c>
      <x:c r="C9" s="24" t="str">
        <x:v>LME</x:v>
      </x:c>
      <x:c r="D9" s="30" t="n">
        <x:v>2019</x:v>
      </x:c>
      <x:c r="E9" s="24" t="str">
        <x:v>Pleuronectiformes</x:v>
      </x:c>
      <x:c r="F9" s="24" t="str">
        <x:v>Flatfishes</x:v>
      </x:c>
      <x:c r="G9" s="24" t="str">
        <x:v>Small to medium flatfishes (&lt;90 cm)</x:v>
      </x:c>
      <x:c r="H9" s="24" t="str">
        <x:v>Flatfishes</x:v>
      </x:c>
      <x:c r="I9" s="31" t="n">
        <x:v>6130.2199502839</x:v>
      </x:c>
      <x:c r="J9" s="31" t="n">
        <x:v>5571.2852573326</x:v>
      </x:c>
      <x:c r="K9" s="31" t="n">
        <x:v>558.9346929513</x:v>
      </x:c>
      <x:c r="L9" s="31" t="n">
        <x:v>4719.5548453069</x:v>
      </x:c>
      <x:c r="M9" s="31" t="n">
        <x:v>1410.665104977</x:v>
      </x:c>
      <x:c r="N9" s="24" t="str">
        <x:v>pleuronectiformes</x:v>
      </x:c>
      <x:c r="O9" s="32" t="n">
        <x:v>3.57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Pleuronectiformes</x:v>
      </x:c>
      <x:c r="T9" s="32" t="n">
        <x:f>IF(O9="","",(1/'Metadata'!$B$5)^(O9-1))</x:f>
        <x:v>371.5352290971724</x:v>
      </x:c>
      <x:c r="U9" s="31" t="n">
        <x:f>IF(T9="","",I9*T9)</x:f>
        <x:v>2277592.673644786</x:v>
      </x:c>
    </x:row>
    <x:row r="10" ht="18" customHeight="1">
      <x:c r="A10" s="24" t="str">
        <x:v>LME_054</x:v>
      </x:c>
      <x:c r="B10" s="24" t="str">
        <x:v>Northern Bering - Chukchi Seas</x:v>
      </x:c>
      <x:c r="C10" s="24" t="str">
        <x:v>LME</x:v>
      </x:c>
      <x:c r="D10" s="30" t="n">
        <x:v>2019</x:v>
      </x:c>
      <x:c r="E10" s="24" t="str">
        <x:v>Eleginus gracilis</x:v>
      </x:c>
      <x:c r="F10" s="24" t="str">
        <x:v>Saffron cod</x:v>
      </x:c>
      <x:c r="G10" s="24" t="str">
        <x:v>Medium demersals (30 - 89 cm)</x:v>
      </x:c>
      <x:c r="H10" s="24" t="str">
        <x:v>Cod-likes</x:v>
      </x:c>
      <x:c r="I10" s="31" t="n">
        <x:v>5167.1640378731</x:v>
      </x:c>
      <x:c r="J10" s="31" t="n">
        <x:v>4684.2972830941</x:v>
      </x:c>
      <x:c r="K10" s="31" t="n">
        <x:v>482.866754779</x:v>
      </x:c>
      <x:c r="L10" s="31" t="n">
        <x:v>3658.3896827541002</x:v>
      </x:c>
      <x:c r="M10" s="31" t="n">
        <x:v>1508.7743551190001</x:v>
      </x:c>
      <x:c r="N10" s="24" t="str">
        <x:v>eleginus gracilis</x:v>
      </x:c>
      <x:c r="O10" s="32" t="n">
        <x:v>4.1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Eleginus gracilis</x:v>
      </x:c>
      <x:c r="T10" s="32" t="n">
        <x:f>IF(O10="","",(1/'Metadata'!$B$5)^(O10-1))</x:f>
        <x:v>1258.9254117941662</x:v>
      </x:c>
      <x:c r="U10" s="31" t="n">
        <x:f>IF(T10="","",I10*T10)</x:f>
        <x:v>6505074.114187399</x:v>
      </x:c>
    </x:row>
    <x:row r="11" ht="18" customHeight="1">
      <x:c r="A11" s="24" t="str">
        <x:v>LME_054</x:v>
      </x:c>
      <x:c r="B11" s="24" t="str">
        <x:v>Northern Bering - Chukchi Seas</x:v>
      </x:c>
      <x:c r="C11" s="24" t="str">
        <x:v>LME</x:v>
      </x:c>
      <x:c r="D11" s="30" t="n">
        <x:v>2019</x:v>
      </x:c>
      <x:c r="E11" s="24" t="str">
        <x:v>Chionoecetes</x:v>
      </x:c>
      <x:c r="F11" s="24" t="str">
        <x:v>Tanner, snow crabs</x:v>
      </x:c>
      <x:c r="G11" s="24" t="str">
        <x:v>Lobsters, crabs</x:v>
      </x:c>
      <x:c r="H11" s="24" t="str">
        <x:v>Crustaceans</x:v>
      </x:c>
      <x:c r="I11" s="31" t="n">
        <x:v>4304.1725207513</x:v>
      </x:c>
      <x:c r="J11" s="31" t="n">
        <x:v>4304.1725207513</x:v>
      </x:c>
      <x:c r="K11" s="31" t="n">
        <x:v>0</x:v>
      </x:c>
      <x:c r="L11" s="31" t="n">
        <x:v>3045.1661587869</x:v>
      </x:c>
      <x:c r="M11" s="31" t="n">
        <x:v>1259.0063619644</x:v>
      </x:c>
      <x:c r="N11" s="24" t="str">
        <x:v>chionoecetes</x:v>
      </x:c>
      <x:c r="O11" s="32" t="n">
        <x:v>2.3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Chionoecetes</x:v>
      </x:c>
      <x:c r="T11" s="32" t="n">
        <x:f>IF(O11="","",(1/'Metadata'!$B$5)^(O11-1))</x:f>
        <x:v>19.952623149688787</x:v>
      </x:c>
      <x:c r="U11" s="31" t="n">
        <x:f>IF(T11="","",I11*T11)</x:f>
        <x:v>85879.53227779672</x:v>
      </x:c>
    </x:row>
    <x:row r="12" ht="18" customHeight="1">
      <x:c r="A12" s="24" t="str">
        <x:v>LME_054</x:v>
      </x:c>
      <x:c r="B12" s="24" t="str">
        <x:v>Northern Bering - Chukchi Seas</x:v>
      </x:c>
      <x:c r="C12" s="24" t="str">
        <x:v>LME</x:v>
      </x:c>
      <x:c r="D12" s="30" t="n">
        <x:v>2019</x:v>
      </x:c>
      <x:c r="E12" s="24" t="str">
        <x:v>Teuthida</x:v>
      </x:c>
      <x:c r="F12" s="24" t="str">
        <x:v>Squids</x:v>
      </x:c>
      <x:c r="G12" s="24" t="str">
        <x:v>Cephalopods</x:v>
      </x:c>
      <x:c r="H12" s="24" t="str">
        <x:v>Other fishes &amp; inverts</x:v>
      </x:c>
      <x:c r="I12" s="31" t="n">
        <x:v>4286.2746967232</x:v>
      </x:c>
      <x:c r="J12" s="31" t="n">
        <x:v>4250.9103711184</x:v>
      </x:c>
      <x:c r="K12" s="31" t="n">
        <x:v>35.3643256048</x:v>
      </x:c>
      <x:c r="L12" s="31" t="n">
        <x:v>3537.821840498</x:v>
      </x:c>
      <x:c r="M12" s="31" t="n">
        <x:v>748.4528562252</x:v>
      </x:c>
      <x:c r="N12" s="24" t="str">
        <x:v>teuthida</x:v>
      </x:c>
      <x:c r="O12" s="32" t="n">
        <x:v>4.13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Teuthida</x:v>
      </x:c>
      <x:c r="T12" s="32" t="n">
        <x:f>IF(O12="","",(1/'Metadata'!$B$5)^(O12-1))</x:f>
        <x:v>1348.9628825916532</x:v>
      </x:c>
      <x:c r="U12" s="31" t="n">
        <x:f>IF(T12="","",I12*T12)</x:f>
        <x:v>5782025.470471391</x:v>
      </x:c>
    </x:row>
    <x:row r="13" ht="18" customHeight="1">
      <x:c r="A13" s="24" t="str">
        <x:v>LME_054</x:v>
      </x:c>
      <x:c r="B13" s="24" t="str">
        <x:v>Northern Bering - Chukchi Seas</x:v>
      </x:c>
      <x:c r="C13" s="24" t="str">
        <x:v>LME</x:v>
      </x:c>
      <x:c r="D13" s="30" t="n">
        <x:v>2019</x:v>
      </x:c>
      <x:c r="E13" s="24" t="str">
        <x:v>Miscellaneous aquatic invertebrates</x:v>
      </x:c>
      <x:c r="F13" s="24" t="str">
        <x:v>Aquatic invertebrates</x:v>
      </x:c>
      <x:c r="G13" s="24" t="str">
        <x:v>Other demersal invertebrates</x:v>
      </x:c>
      <x:c r="H13" s="24" t="str">
        <x:v>Other fishes &amp; inverts</x:v>
      </x:c>
      <x:c r="I13" s="31" t="n">
        <x:v>3259.9911494995</x:v>
      </x:c>
      <x:c r="J13" s="31" t="n">
        <x:v>3259.9911494995</x:v>
      </x:c>
      <x:c r="K13" s="31" t="n">
        <x:v>0</x:v>
      </x:c>
      <x:c r="L13" s="31" t="n">
        <x:v>3259.4885233549003</x:v>
      </x:c>
      <x:c r="M13" s="31" t="n">
        <x:v>0.5026261446</x:v>
      </x:c>
      <x:c r="N13" s="24" t="str">
        <x:v>miscellaneous aquatic invertebrates</x:v>
      </x:c>
      <x:c r="O13" s="32" t="n">
        <x:v>2.43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Miscellaneous aquatic invertebrates</x:v>
      </x:c>
      <x:c r="T13" s="32" t="n">
        <x:f>IF(O13="","",(1/'Metadata'!$B$5)^(O13-1))</x:f>
        <x:v>26.915348039269166</x:v>
      </x:c>
      <x:c r="U13" s="31" t="n">
        <x:f>IF(T13="","",I13*T13)</x:f>
        <x:v>87743.7963937162</x:v>
      </x:c>
    </x:row>
    <x:row r="14" ht="18" customHeight="1">
      <x:c r="A14" s="24" t="str">
        <x:v>LME_054</x:v>
      </x:c>
      <x:c r="B14" s="24" t="str">
        <x:v>Northern Bering - Chukchi Seas</x:v>
      </x:c>
      <x:c r="C14" s="24" t="str">
        <x:v>LME</x:v>
      </x:c>
      <x:c r="D14" s="30" t="n">
        <x:v>2019</x:v>
      </x:c>
      <x:c r="E14" s="24" t="str">
        <x:v>Chionoecetes opilio</x:v>
      </x:c>
      <x:c r="F14" s="24" t="str">
        <x:v>Snow crab</x:v>
      </x:c>
      <x:c r="G14" s="24" t="str">
        <x:v>Lobsters, crabs</x:v>
      </x:c>
      <x:c r="H14" s="24" t="str">
        <x:v>Crustaceans</x:v>
      </x:c>
      <x:c r="I14" s="31" t="n">
        <x:v>3223.6046010729997</x:v>
      </x:c>
      <x:c r="J14" s="31" t="n">
        <x:v>3223.6046010729997</x:v>
      </x:c>
      <x:c r="K14" s="31" t="n">
        <x:v>0</x:v>
      </x:c>
      <x:c r="L14" s="31" t="n">
        <x:v>3223.6046010729997</x:v>
      </x:c>
      <x:c r="M14" s="31" t="n">
        <x:v>0</x:v>
      </x:c>
      <x:c r="N14" s="24" t="str">
        <x:v>chionoecetes opilio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Chionoecetes opilio</x:v>
      </x:c>
      <x:c r="T14" s="32" t="n">
        <x:f>IF(O14="","",(1/'Metadata'!$B$5)^(O14-1))</x:f>
        <x:v>346.73685045253166</x:v>
      </x:c>
      <x:c r="U14" s="31" t="n">
        <x:f>IF(T14="","",I14*T14)</x:f>
        <x:v>1117742.5064803415</x:v>
      </x:c>
    </x:row>
    <x:row r="15" ht="18" customHeight="1">
      <x:c r="A15" s="24" t="str">
        <x:v>LME_054</x:v>
      </x:c>
      <x:c r="B15" s="24" t="str">
        <x:v>Northern Bering - Chukchi Seas</x:v>
      </x:c>
      <x:c r="C15" s="24" t="str">
        <x:v>LME</x:v>
      </x:c>
      <x:c r="D15" s="30" t="n">
        <x:v>2019</x:v>
      </x:c>
      <x:c r="E15" s="24" t="str">
        <x:v>Paralithodes camtschaticus</x:v>
      </x:c>
      <x:c r="F15" s="24" t="str">
        <x:v>Red king crab</x:v>
      </x:c>
      <x:c r="G15" s="24" t="str">
        <x:v>Lobsters, crabs</x:v>
      </x:c>
      <x:c r="H15" s="24" t="str">
        <x:v>Crustaceans</x:v>
      </x:c>
      <x:c r="I15" s="31" t="n">
        <x:v>2817.8319723471</x:v>
      </x:c>
      <x:c r="J15" s="31" t="n">
        <x:v>2817.8319723471</x:v>
      </x:c>
      <x:c r="K15" s="31" t="n">
        <x:v>0</x:v>
      </x:c>
      <x:c r="L15" s="31" t="n">
        <x:v>1614.8278890515</x:v>
      </x:c>
      <x:c r="M15" s="31" t="n">
        <x:v>1203.0040832956001</x:v>
      </x:c>
      <x:c r="N15" s="24" t="str">
        <x:v>paralithodes camtschaticus</x:v>
      </x:c>
      <x:c r="O15" s="32" t="n">
        <x:v>3.7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Paralithodes camtschaticus</x:v>
      </x:c>
      <x:c r="T15" s="32" t="n">
        <x:f>IF(O15="","",(1/'Metadata'!$B$5)^(O15-1))</x:f>
        <x:v>501.18723362727246</x:v>
      </x:c>
      <x:c r="U15" s="31" t="n">
        <x:f>IF(T15="","",I15*T15)</x:f>
        <x:v>1412261.4110471238</x:v>
      </x:c>
    </x:row>
    <x:row r="16" ht="18" customHeight="1">
      <x:c r="A16" s="24" t="str">
        <x:v>LME_054</x:v>
      </x:c>
      <x:c r="B16" s="24" t="str">
        <x:v>Northern Bering - Chukchi Seas</x:v>
      </x:c>
      <x:c r="C16" s="24" t="str">
        <x:v>LME</x:v>
      </x:c>
      <x:c r="D16" s="30" t="n">
        <x:v>2019</x:v>
      </x:c>
      <x:c r="E16" s="24" t="str">
        <x:v>Atheresthes stomias</x:v>
      </x:c>
      <x:c r="F16" s="24" t="str">
        <x:v>Arrowtooth flounder</x:v>
      </x:c>
      <x:c r="G16" s="24" t="str">
        <x:v>Small to medium flatfishes (&lt;90 cm)</x:v>
      </x:c>
      <x:c r="H16" s="24" t="str">
        <x:v>Flatfishes</x:v>
      </x:c>
      <x:c r="I16" s="31" t="n">
        <x:v>2535.7832287129995</x:v>
      </x:c>
      <x:c r="J16" s="31" t="n">
        <x:v>2323.0793018533</x:v>
      </x:c>
      <x:c r="K16" s="31" t="n">
        <x:v>212.7039268597</x:v>
      </x:c>
      <x:c r="L16" s="31" t="n">
        <x:v>2323.0793018533</x:v>
      </x:c>
      <x:c r="M16" s="31" t="n">
        <x:v>212.7039268597</x:v>
      </x:c>
      <x:c r="N16" s="24" t="str">
        <x:v>atheresthes stomias</x:v>
      </x:c>
      <x:c r="O16" s="32" t="n">
        <x:v>4.17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Atheresthes stomias</x:v>
      </x:c>
      <x:c r="T16" s="32" t="n">
        <x:f>IF(O16="","",(1/'Metadata'!$B$5)^(O16-1))</x:f>
        <x:v>1479.1083881682073</x:v>
      </x:c>
      <x:c r="U16" s="31" t="n">
        <x:f>IF(T16="","",I16*T16)</x:f>
        <x:v>3750698.244165657</x:v>
      </x:c>
    </x:row>
    <x:row r="17" ht="18" customHeight="1">
      <x:c r="A17" s="24" t="str">
        <x:v>LME_054</x:v>
      </x:c>
      <x:c r="B17" s="24" t="str">
        <x:v>Northern Bering - Chukchi Seas</x:v>
      </x:c>
      <x:c r="C17" s="24" t="str">
        <x:v>LME</x:v>
      </x:c>
      <x:c r="D17" s="30" t="n">
        <x:v>2019</x:v>
      </x:c>
      <x:c r="E17" s="24" t="str">
        <x:v>Pleurogrammus monopterygius</x:v>
      </x:c>
      <x:c r="F17" s="24" t="str">
        <x:v>Atka mackerel</x:v>
      </x:c>
      <x:c r="G17" s="24" t="str">
        <x:v>Medium demersals (30 - 89 cm)</x:v>
      </x:c>
      <x:c r="H17" s="24" t="str">
        <x:v>Scorpionfishes</x:v>
      </x:c>
      <x:c r="I17" s="31" t="n">
        <x:v>1724.770644508</x:v>
      </x:c>
      <x:c r="J17" s="31" t="n">
        <x:v>1681.4320694647</x:v>
      </x:c>
      <x:c r="K17" s="31" t="n">
        <x:v>43.3385750433</x:v>
      </x:c>
      <x:c r="L17" s="31" t="n">
        <x:v>1653.7985657673</x:v>
      </x:c>
      <x:c r="M17" s="31" t="n">
        <x:v>70.9720787407</x:v>
      </x:c>
      <x:c r="N17" s="24" t="str">
        <x:v>pleurogrammus monopterygius</x:v>
      </x:c>
      <x:c r="O17" s="32" t="n">
        <x:v>3.38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Pleurogrammus monopterygius</x:v>
      </x:c>
      <x:c r="T17" s="32" t="n">
        <x:f>IF(O17="","",(1/'Metadata'!$B$5)^(O17-1))</x:f>
        <x:v>239.88329190194898</x:v>
      </x:c>
      <x:c r="U17" s="31" t="n">
        <x:f>IF(T17="","",I17*T17)</x:f>
        <x:v>413743.65998042526</x:v>
      </x:c>
    </x:row>
    <x:row r="18" ht="18" customHeight="1">
      <x:c r="A18" s="24" t="str">
        <x:v>LME_054</x:v>
      </x:c>
      <x:c r="B18" s="24" t="str">
        <x:v>Northern Bering - Chukchi Seas</x:v>
      </x:c>
      <x:c r="C18" s="24" t="str">
        <x:v>LME</x:v>
      </x:c>
      <x:c r="D18" s="30" t="n">
        <x:v>2019</x:v>
      </x:c>
      <x:c r="E18" s="24" t="str">
        <x:v>Limanda aspera</x:v>
      </x:c>
      <x:c r="F18" s="24" t="str">
        <x:v>Yellowfin sole</x:v>
      </x:c>
      <x:c r="G18" s="24" t="str">
        <x:v>Small to medium flatfishes (&lt;90 cm)</x:v>
      </x:c>
      <x:c r="H18" s="24" t="str">
        <x:v>Flatfishes</x:v>
      </x:c>
      <x:c r="I18" s="31" t="n">
        <x:v>1681.2579739146</x:v>
      </x:c>
      <x:c r="J18" s="31" t="n">
        <x:v>1656.8915051799</x:v>
      </x:c>
      <x:c r="K18" s="31" t="n">
        <x:v>24.3664687347</x:v>
      </x:c>
      <x:c r="L18" s="31" t="n">
        <x:v>1656.8915051799</x:v>
      </x:c>
      <x:c r="M18" s="31" t="n">
        <x:v>24.3664687347</x:v>
      </x:c>
      <x:c r="N18" s="24" t="str">
        <x:v>limanda aspera</x:v>
      </x:c>
      <x:c r="O18" s="32" t="n">
        <x:v>3.49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Limanda aspera</x:v>
      </x:c>
      <x:c r="T18" s="32" t="n">
        <x:f>IF(O18="","",(1/'Metadata'!$B$5)^(O18-1))</x:f>
        <x:v>309.0295432513592</x:v>
      </x:c>
      <x:c r="U18" s="31" t="n">
        <x:f>IF(T18="","",I18*T18)</x:f>
        <x:v>519558.3837665344</x:v>
      </x:c>
    </x:row>
    <x:row r="19" ht="18" customHeight="1">
      <x:c r="A19" s="24" t="str">
        <x:v>LME_054</x:v>
      </x:c>
      <x:c r="B19" s="24" t="str">
        <x:v>Northern Bering - Chukchi Seas</x:v>
      </x:c>
      <x:c r="C19" s="24" t="str">
        <x:v>LME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1379.4428939594002</x:v>
      </x:c>
      <x:c r="J19" s="31" t="n">
        <x:v>1379.4428939594002</x:v>
      </x:c>
      <x:c r="K19" s="31" t="n">
        <x:v>0</x:v>
      </x:c>
      <x:c r="L19" s="31" t="n">
        <x:v>1379.4428939594002</x:v>
      </x:c>
      <x:c r="M19" s="31" t="n">
        <x:v>0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69135.91679703108</x:v>
      </x:c>
    </x:row>
    <x:row r="20" ht="18" customHeight="1">
      <x:c r="A20" s="24" t="str">
        <x:v>LME_054</x:v>
      </x:c>
      <x:c r="B20" s="24" t="str">
        <x:v>Northern Bering - Chukchi Seas</x:v>
      </x:c>
      <x:c r="C20" s="24" t="str">
        <x:v>LME</x:v>
      </x:c>
      <x:c r="D20" s="30" t="n">
        <x:v>2019</x:v>
      </x:c>
      <x:c r="E20" s="24" t="str">
        <x:v>Pandalus borealis</x:v>
      </x:c>
      <x:c r="F20" s="24" t="str">
        <x:v>Northern prawn</x:v>
      </x:c>
      <x:c r="G20" s="24" t="str">
        <x:v>Shrimps</x:v>
      </x:c>
      <x:c r="H20" s="24" t="str">
        <x:v>Crustaceans</x:v>
      </x:c>
      <x:c r="I20" s="31" t="n">
        <x:v>1335.737440552</x:v>
      </x:c>
      <x:c r="J20" s="31" t="n">
        <x:v>1335.737440552</x:v>
      </x:c>
      <x:c r="K20" s="31" t="n">
        <x:v>0</x:v>
      </x:c>
      <x:c r="L20" s="31" t="n">
        <x:v>1047.2243860984</x:v>
      </x:c>
      <x:c r="M20" s="31" t="n">
        <x:v>288.51305445360003</x:v>
      </x:c>
      <x:c r="N20" s="24" t="str">
        <x:v>pandalus borealis</x:v>
      </x:c>
      <x:c r="O20" s="32" t="n">
        <x:v>3.07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Pandalus borealis</x:v>
      </x:c>
      <x:c r="T20" s="32" t="n">
        <x:f>IF(O20="","",(1/'Metadata'!$B$5)^(O20-1))</x:f>
        <x:v>117.48975549395291</x:v>
      </x:c>
      <x:c r="U20" s="31" t="n">
        <x:f>IF(T20="","",I20*T20)</x:f>
        <x:v>156935.46529457293</x:v>
      </x:c>
    </x:row>
    <x:row r="21" ht="18" customHeight="1">
      <x:c r="A21" s="24" t="str">
        <x:v>LME_054</x:v>
      </x:c>
      <x:c r="B21" s="24" t="str">
        <x:v>Northern Bering - Chukchi Seas</x:v>
      </x:c>
      <x:c r="C21" s="24" t="str">
        <x:v>LME</x:v>
      </x:c>
      <x:c r="D21" s="30" t="n">
        <x:v>2019</x:v>
      </x:c>
      <x:c r="E21" s="24" t="str">
        <x:v>Oncorhynchus kisutch</x:v>
      </x:c>
      <x:c r="F21" s="24" t="str">
        <x:v>Coho salmon</x:v>
      </x:c>
      <x:c r="G21" s="24" t="str">
        <x:v>Large demersals (&gt;=90 cm)</x:v>
      </x:c>
      <x:c r="H21" s="24" t="str">
        <x:v>Salmon, smelts, etc</x:v>
      </x:c>
      <x:c r="I21" s="31" t="n">
        <x:v>1330.686805175</x:v>
      </x:c>
      <x:c r="J21" s="31" t="n">
        <x:v>1330.6783996462</x:v>
      </x:c>
      <x:c r="K21" s="31" t="n">
        <x:v>0.0084055288</x:v>
      </x:c>
      <x:c r="L21" s="31" t="n">
        <x:v>598.5945630082</x:v>
      </x:c>
      <x:c r="M21" s="31" t="n">
        <x:v>732.0922421667999</x:v>
      </x:c>
      <x:c r="N21" s="24" t="str">
        <x:v>oncorhynchus kisutch</x:v>
      </x:c>
      <x:c r="O21" s="32" t="n">
        <x:v>4.22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Oncorhynchus kisutch</x:v>
      </x:c>
      <x:c r="T21" s="32" t="n">
        <x:f>IF(O21="","",(1/'Metadata'!$B$5)^(O21-1))</x:f>
        <x:v>1659.5869074375596</x:v>
      </x:c>
      <x:c r="U21" s="31" t="n">
        <x:f>IF(T21="","",I21*T21)</x:f>
        <x:v>2208390.3997683446</x:v>
      </x:c>
    </x:row>
    <x:row r="22" ht="18" customHeight="1">
      <x:c r="A22" s="24" t="str">
        <x:v>LME_054</x:v>
      </x:c>
      <x:c r="B22" s="24" t="str">
        <x:v>Northern Bering - Chukchi Seas</x:v>
      </x:c>
      <x:c r="C22" s="24" t="str">
        <x:v>LME</x:v>
      </x:c>
      <x:c r="D22" s="30" t="n">
        <x:v>2019</x:v>
      </x:c>
      <x:c r="E22" s="24" t="str">
        <x:v>Coregonus sardinella</x:v>
      </x:c>
      <x:c r="F22" s="24" t="str">
        <x:v>Sardine cisco</x:v>
      </x:c>
      <x:c r="G22" s="24" t="str">
        <x:v>Medium pelagics (30 - 89 cm)</x:v>
      </x:c>
      <x:c r="H22" s="24" t="str">
        <x:v>Salmon, smelts, etc</x:v>
      </x:c>
      <x:c r="I22" s="31" t="n">
        <x:v>1086.099064868</x:v>
      </x:c>
      <x:c r="J22" s="31" t="n">
        <x:v>1086.099064868</x:v>
      </x:c>
      <x:c r="K22" s="31" t="n">
        <x:v>0</x:v>
      </x:c>
      <x:c r="L22" s="31" t="n">
        <x:v>0</x:v>
      </x:c>
      <x:c r="M22" s="31" t="n">
        <x:v>1086.099064868</x:v>
      </x:c>
      <x:c r="N22" s="24" t="str">
        <x:v>coregonus sardinella</x:v>
      </x:c>
      <x:c r="O22" s="32" t="n">
        <x:v>3.21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Coregonus sardinella</x:v>
      </x:c>
      <x:c r="T22" s="32" t="n">
        <x:f>IF(O22="","",(1/'Metadata'!$B$5)^(O22-1))</x:f>
        <x:v>162.18100973589299</x:v>
      </x:c>
      <x:c r="U22" s="31" t="n">
        <x:f>IF(T22="","",I22*T22)</x:f>
        <x:v>176144.64301350137</x:v>
      </x:c>
    </x:row>
    <x:row r="23" ht="18" customHeight="1">
      <x:c r="A23" s="24" t="str">
        <x:v>LME_054</x:v>
      </x:c>
      <x:c r="B23" s="24" t="str">
        <x:v>Northern Bering - Chukchi Seas</x:v>
      </x:c>
      <x:c r="C23" s="24" t="str">
        <x:v>LME</x:v>
      </x:c>
      <x:c r="D23" s="30" t="n">
        <x:v>2019</x:v>
      </x:c>
      <x:c r="E23" s="24" t="str">
        <x:v>Decapoda</x:v>
      </x:c>
      <x:c r="F23" s="24" t="str">
        <x:v>Crabs, lobsters, shrimps</x:v>
      </x:c>
      <x:c r="G23" s="24" t="str">
        <x:v>Lobsters, crabs</x:v>
      </x:c>
      <x:c r="H23" s="24" t="str">
        <x:v>Crustaceans</x:v>
      </x:c>
      <x:c r="I23" s="31" t="n">
        <x:v>823.8113249059</x:v>
      </x:c>
      <x:c r="J23" s="31" t="n">
        <x:v>823.8113249059</x:v>
      </x:c>
      <x:c r="K23" s="31" t="n">
        <x:v>0</x:v>
      </x:c>
      <x:c r="L23" s="31" t="n">
        <x:v>762.1050010296001</x:v>
      </x:c>
      <x:c r="M23" s="31" t="n">
        <x:v>61.706323876300004</x:v>
      </x:c>
      <x:c r="N23" s="24" t="str">
        <x:v>decapoda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Decapoda</x:v>
      </x:c>
      <x:c r="T23" s="32" t="n">
        <x:f>IF(O23="","",(1/'Metadata'!$B$5)^(O23-1))</x:f>
        <x:v>269.1534803926917</x:v>
      </x:c>
      <x:c r="U23" s="31" t="n">
        <x:f>IF(T23="","",I23*T23)</x:f>
        <x:v>221731.68528533753</x:v>
      </x:c>
    </x:row>
    <x:row r="24" ht="18" customHeight="1">
      <x:c r="A24" s="24" t="str">
        <x:v>LME_054</x:v>
      </x:c>
      <x:c r="B24" s="24" t="str">
        <x:v>Northern Bering - Chukchi Seas</x:v>
      </x:c>
      <x:c r="C24" s="24" t="str">
        <x:v>LME</x:v>
      </x:c>
      <x:c r="D24" s="30" t="n">
        <x:v>2019</x:v>
      </x:c>
      <x:c r="E24" s="24" t="str">
        <x:v>Paralithodes</x:v>
      </x:c>
      <x:c r="F24" s="24" t="str">
        <x:v>North Pacific king crabs</x:v>
      </x:c>
      <x:c r="G24" s="24" t="str">
        <x:v>Lobsters, crabs</x:v>
      </x:c>
      <x:c r="H24" s="24" t="str">
        <x:v>Crustaceans</x:v>
      </x:c>
      <x:c r="I24" s="31" t="n">
        <x:v>798.6465531595</x:v>
      </x:c>
      <x:c r="J24" s="31" t="n">
        <x:v>798.6465531595</x:v>
      </x:c>
      <x:c r="K24" s="31" t="n">
        <x:v>0</x:v>
      </x:c>
      <x:c r="L24" s="31" t="n">
        <x:v>797.8266547566</x:v>
      </x:c>
      <x:c r="M24" s="31" t="n">
        <x:v>0.8198984029</x:v>
      </x:c>
      <x:c r="N24" s="24" t="str">
        <x:v>paralithodes</x:v>
      </x:c>
      <x:c r="O24" s="32" t="n">
        <x:v>2.82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Paralithodes</x:v>
      </x:c>
      <x:c r="T24" s="32" t="n">
        <x:f>IF(O24="","",(1/'Metadata'!$B$5)^(O24-1))</x:f>
        <x:v>66.06934480075958</x:v>
      </x:c>
      <x:c r="U24" s="31" t="n">
        <x:f>IF(T24="","",I24*T24)</x:f>
        <x:v>52766.054494633165</x:v>
      </x:c>
    </x:row>
    <x:row r="25" ht="18" customHeight="1">
      <x:c r="A25" s="24" t="str">
        <x:v>LME_054</x:v>
      </x:c>
      <x:c r="B25" s="24" t="str">
        <x:v>Northern Bering - Chukchi Seas</x:v>
      </x:c>
      <x:c r="C25" s="24" t="str">
        <x:v>LME</x:v>
      </x:c>
      <x:c r="D25" s="30" t="n">
        <x:v>2019</x:v>
      </x:c>
      <x:c r="E25" s="24" t="str">
        <x:v>Sebastes</x:v>
      </x:c>
      <x:c r="F25" s="24" t="str">
        <x:v>Redfishes</x:v>
      </x:c>
      <x:c r="G25" s="24" t="str">
        <x:v>Large reef assoc. fish (&gt;=90 cm)</x:v>
      </x:c>
      <x:c r="H25" s="24" t="str">
        <x:v>Scorpionfishes</x:v>
      </x:c>
      <x:c r="I25" s="31" t="n">
        <x:v>739.9215542495</x:v>
      </x:c>
      <x:c r="J25" s="31" t="n">
        <x:v>724.6195316567</x:v>
      </x:c>
      <x:c r="K25" s="31" t="n">
        <x:v>15.3020225928</x:v>
      </x:c>
      <x:c r="L25" s="31" t="n">
        <x:v>721.911671382</x:v>
      </x:c>
      <x:c r="M25" s="31" t="n">
        <x:v>18.0098828675</x:v>
      </x:c>
      <x:c r="N25" s="24" t="str">
        <x:v>sebastes</x:v>
      </x:c>
      <x:c r="O25" s="32" t="n">
        <x:v>3.79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Sebastes</x:v>
      </x:c>
      <x:c r="T25" s="32" t="n">
        <x:f>IF(O25="","",(1/'Metadata'!$B$5)^(O25-1))</x:f>
        <x:v>616.5950018614822</x:v>
      </x:c>
      <x:c r="U25" s="31" t="n">
        <x:f>IF(T25="","",I25*T25)</x:f>
        <x:v>456231.9321198212</x:v>
      </x:c>
    </x:row>
    <x:row r="26" ht="18" customHeight="1">
      <x:c r="A26" s="24" t="str">
        <x:v>LME_054</x:v>
      </x:c>
      <x:c r="B26" s="24" t="str">
        <x:v>Northern Bering - Chukchi Seas</x:v>
      </x:c>
      <x:c r="C26" s="24" t="str">
        <x:v>LME</x:v>
      </x:c>
      <x:c r="D26" s="30" t="n">
        <x:v>2019</x:v>
      </x:c>
      <x:c r="E26" s="24" t="str">
        <x:v>Coregonus autumnalis</x:v>
      </x:c>
      <x:c r="F26" s="24" t="str">
        <x:v>Arctic cisco</x:v>
      </x:c>
      <x:c r="G26" s="24" t="str">
        <x:v>Medium pelagics (30 - 89 cm)</x:v>
      </x:c>
      <x:c r="H26" s="24" t="str">
        <x:v>Salmon, smelts, etc</x:v>
      </x:c>
      <x:c r="I26" s="31" t="n">
        <x:v>606.7506927549</x:v>
      </x:c>
      <x:c r="J26" s="31" t="n">
        <x:v>606.7506927549</x:v>
      </x:c>
      <x:c r="K26" s="31" t="n">
        <x:v>0</x:v>
      </x:c>
      <x:c r="L26" s="31" t="n">
        <x:v>0</x:v>
      </x:c>
      <x:c r="M26" s="31" t="n">
        <x:v>606.7506927549</x:v>
      </x:c>
      <x:c r="N26" s="24" t="str">
        <x:v>coregonus autumnalis</x:v>
      </x:c>
      <x:c r="O26" s="32" t="n">
        <x:v>3.67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Coregonus autumnalis</x:v>
      </x:c>
      <x:c r="T26" s="32" t="n">
        <x:f>IF(O26="","",(1/'Metadata'!$B$5)^(O26-1))</x:f>
        <x:v>467.73514128719813</x:v>
      </x:c>
      <x:c r="U26" s="31" t="n">
        <x:f>IF(T26="","",I26*T26)</x:f>
        <x:v>283798.6210018185</x:v>
      </x:c>
    </x:row>
    <x:row r="27" ht="18" customHeight="1">
      <x:c r="A27" s="24" t="str">
        <x:v>LME_054</x:v>
      </x:c>
      <x:c r="B27" s="24" t="str">
        <x:v>Northern Bering - Chukchi Seas</x:v>
      </x:c>
      <x:c r="C27" s="24" t="str">
        <x:v>LME</x:v>
      </x:c>
      <x:c r="D27" s="30" t="n">
        <x:v>2019</x:v>
      </x:c>
      <x:c r="E27" s="24" t="str">
        <x:v>Sebastes alutus</x:v>
      </x:c>
      <x:c r="F27" s="24" t="str">
        <x:v>Pacific ocean perch</x:v>
      </x:c>
      <x:c r="G27" s="24" t="str">
        <x:v>Medium demersals (30 - 89 cm)</x:v>
      </x:c>
      <x:c r="H27" s="24" t="str">
        <x:v>Scorpionfishes</x:v>
      </x:c>
      <x:c r="I27" s="31" t="n">
        <x:v>595.4634457386001</x:v>
      </x:c>
      <x:c r="J27" s="31" t="n">
        <x:v>555.9986299108</x:v>
      </x:c>
      <x:c r="K27" s="31" t="n">
        <x:v>39.4648158278</x:v>
      </x:c>
      <x:c r="L27" s="31" t="n">
        <x:v>554.8363870833</x:v>
      </x:c>
      <x:c r="M27" s="31" t="n">
        <x:v>40.627058655300004</x:v>
      </x:c>
      <x:c r="N27" s="24" t="str">
        <x:v>sebastes alutus</x:v>
      </x:c>
      <x:c r="O27" s="32" t="n">
        <x:v>3.48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Sebastes alutus</x:v>
      </x:c>
      <x:c r="T27" s="32" t="n">
        <x:f>IF(O27="","",(1/'Metadata'!$B$5)^(O27-1))</x:f>
        <x:v>301.9951720402016</x:v>
      </x:c>
      <x:c r="U27" s="31" t="n">
        <x:f>IF(T27="","",I27*T27)</x:f>
        <x:v>179827.08573947978</x:v>
      </x:c>
    </x:row>
    <x:row r="28" ht="18" customHeight="1">
      <x:c r="A28" s="24" t="str">
        <x:v>LME_054</x:v>
      </x:c>
      <x:c r="B28" s="24" t="str">
        <x:v>Northern Bering - Chukchi Seas</x:v>
      </x:c>
      <x:c r="C28" s="24" t="str">
        <x:v>LME</x:v>
      </x:c>
      <x:c r="D28" s="30" t="n">
        <x:v>2019</x:v>
      </x:c>
      <x:c r="E28" s="24" t="str">
        <x:v>Echinoidea</x:v>
      </x:c>
      <x:c r="F28" s="24" t="str">
        <x:v>Sea urchins, sea hedgehogs</x:v>
      </x:c>
      <x:c r="G28" s="24" t="str">
        <x:v>Other demersal invertebrates</x:v>
      </x:c>
      <x:c r="H28" s="24" t="str">
        <x:v>Other fishes &amp; inverts</x:v>
      </x:c>
      <x:c r="I28" s="31" t="n">
        <x:v>546.3487012332</x:v>
      </x:c>
      <x:c r="J28" s="31" t="n">
        <x:v>546.3487012332</x:v>
      </x:c>
      <x:c r="K28" s="31" t="n">
        <x:v>0</x:v>
      </x:c>
      <x:c r="L28" s="31" t="n">
        <x:v>426.2321995961</x:v>
      </x:c>
      <x:c r="M28" s="31" t="n">
        <x:v>120.1165016371</x:v>
      </x:c>
      <x:c r="N28" s="24" t="str">
        <x:v>echinoidea</x:v>
      </x:c>
      <x:c r="O28" s="32" t="n">
        <x:v>2.51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Echinoidea</x:v>
      </x:c>
      <x:c r="T28" s="32" t="n">
        <x:f>IF(O28="","",(1/'Metadata'!$B$5)^(O28-1))</x:f>
        <x:v>32.35936569296281</x:v>
      </x:c>
      <x:c r="U28" s="31" t="n">
        <x:f>IF(T28="","",I28*T28)</x:f>
        <x:v>17679.497419080402</x:v>
      </x:c>
    </x:row>
    <x:row r="29" ht="18" customHeight="1">
      <x:c r="A29" s="24" t="str">
        <x:v>LME_054</x:v>
      </x:c>
      <x:c r="B29" s="24" t="str">
        <x:v>Northern Bering - Chukchi Seas</x:v>
      </x:c>
      <x:c r="C29" s="24" t="str">
        <x:v>LME</x:v>
      </x:c>
      <x:c r="D29" s="30" t="n">
        <x:v>2019</x:v>
      </x:c>
      <x:c r="E29" s="24" t="str">
        <x:v>Oncorhynchus</x:v>
      </x:c>
      <x:c r="F29" s="24" t="str">
        <x:v>Salmons, trouts</x:v>
      </x:c>
      <x:c r="G29" s="24" t="str">
        <x:v>Large benthopelagics (&gt;=90 cm)</x:v>
      </x:c>
      <x:c r="H29" s="24" t="str">
        <x:v>Salmon, smelts, etc</x:v>
      </x:c>
      <x:c r="I29" s="31" t="n">
        <x:v>513.5082047335</x:v>
      </x:c>
      <x:c r="J29" s="31" t="n">
        <x:v>477.7423962771</x:v>
      </x:c>
      <x:c r="K29" s="31" t="n">
        <x:v>35.7658084564</x:v>
      </x:c>
      <x:c r="L29" s="31" t="n">
        <x:v>0</x:v>
      </x:c>
      <x:c r="M29" s="31" t="n">
        <x:v>513.5082047335</x:v>
      </x:c>
      <x:c r="N29" s="24" t="str">
        <x:v>oncorhynchus</x:v>
      </x:c>
      <x:c r="O29" s="32" t="n">
        <x:v>3.95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Oncorhynchus</x:v>
      </x:c>
      <x:c r="T29" s="32" t="n">
        <x:f>IF(O29="","",(1/'Metadata'!$B$5)^(O29-1))</x:f>
        <x:v>891.2509381337459</x:v>
      </x:c>
      <x:c r="U29" s="31" t="n">
        <x:f>IF(T29="","",I29*T29)</x:f>
        <x:v>457664.66920810746</x:v>
      </x:c>
    </x:row>
    <x:row r="30" ht="18" customHeight="1">
      <x:c r="A30" s="24" t="str">
        <x:v>LME_054</x:v>
      </x:c>
      <x:c r="B30" s="24" t="str">
        <x:v>Northern Bering - Chukchi Seas</x:v>
      </x:c>
      <x:c r="C30" s="24" t="str">
        <x:v>LME</x:v>
      </x:c>
      <x:c r="D30" s="30" t="n">
        <x:v>2019</x:v>
      </x:c>
      <x:c r="E30" s="24" t="str">
        <x:v>Coregonus</x:v>
      </x:c>
      <x:c r="F30" s="24" t="str">
        <x:v>Whitefishes</x:v>
      </x:c>
      <x:c r="G30" s="24" t="str">
        <x:v>Medium pelagics (30 - 89 cm)</x:v>
      </x:c>
      <x:c r="H30" s="24" t="str">
        <x:v>Salmon, smelts, etc</x:v>
      </x:c>
      <x:c r="I30" s="31" t="n">
        <x:v>470.0502571334</x:v>
      </x:c>
      <x:c r="J30" s="31" t="n">
        <x:v>470.0502571334</x:v>
      </x:c>
      <x:c r="K30" s="31" t="n">
        <x:v>0</x:v>
      </x:c>
      <x:c r="L30" s="31" t="n">
        <x:v>0</x:v>
      </x:c>
      <x:c r="M30" s="31" t="n">
        <x:v>470.0502571334</x:v>
      </x:c>
      <x:c r="N30" s="24" t="str">
        <x:v>coregonus</x:v>
      </x:c>
      <x:c r="O30" s="32" t="n">
        <x:v>3.3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Coregonus</x:v>
      </x:c>
      <x:c r="T30" s="32" t="n">
        <x:f>IF(O30="","",(1/'Metadata'!$B$5)^(O30-1))</x:f>
        <x:v>199.52623149688787</x:v>
      </x:c>
      <x:c r="U30" s="31" t="n">
        <x:f>IF(T30="","",I30*T30)</x:f>
        <x:v>93787.35641997044</x:v>
      </x:c>
    </x:row>
    <x:row r="31" ht="18" customHeight="1">
      <x:c r="A31" s="24" t="str">
        <x:v>LME_054</x:v>
      </x:c>
      <x:c r="B31" s="24" t="str">
        <x:v>Northern Bering - Chukchi Seas</x:v>
      </x:c>
      <x:c r="C31" s="24" t="str">
        <x:v>LME</x:v>
      </x:c>
      <x:c r="D31" s="30" t="n">
        <x:v>2019</x:v>
      </x:c>
      <x:c r="E31" s="24" t="str">
        <x:v>Batoidea</x:v>
      </x:c>
      <x:c r="F31" s="24" t="str">
        <x:v>Batoids, skates, rays, sawfishes</x:v>
      </x:c>
      <x:c r="G31" s="24" t="str">
        <x:v>Large rays (&gt;=90 cm)</x:v>
      </x:c>
      <x:c r="H31" s="24" t="str">
        <x:v>Sharks &amp; rays</x:v>
      </x:c>
      <x:c r="I31" s="31" t="n">
        <x:v>468.8445655828</x:v>
      </x:c>
      <x:c r="J31" s="31" t="n">
        <x:v>0</x:v>
      </x:c>
      <x:c r="K31" s="31" t="n">
        <x:v>468.8445655828</x:v>
      </x:c>
      <x:c r="L31" s="31" t="n">
        <x:v>0</x:v>
      </x:c>
      <x:c r="M31" s="31" t="n">
        <x:v>468.8445655828</x:v>
      </x:c>
      <x:c r="N31" s="24" t="str">
        <x:v>batoidea</x:v>
      </x:c>
      <x:c r="O31" s="32" t="n">
        <x:v>3.72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Batoidea</x:v>
      </x:c>
      <x:c r="T31" s="32" t="n">
        <x:f>IF(O31="","",(1/'Metadata'!$B$5)^(O31-1))</x:f>
        <x:v>524.8074602497728</x:v>
      </x:c>
      <x:c r="U31" s="31" t="n">
        <x:f>IF(T31="","",I31*T31)</x:f>
        <x:v>246053.12571541732</x:v>
      </x:c>
    </x:row>
    <x:row r="32" ht="18" customHeight="1">
      <x:c r="A32" s="24" t="str">
        <x:v>LME_054</x:v>
      </x:c>
      <x:c r="B32" s="24" t="str">
        <x:v>Northern Bering - Chukchi Seas</x:v>
      </x:c>
      <x:c r="C32" s="24" t="str">
        <x:v>LME</x:v>
      </x:c>
      <x:c r="D32" s="30" t="n">
        <x:v>2019</x:v>
      </x:c>
      <x:c r="E32" s="24" t="str">
        <x:v>Brachyura</x:v>
      </x:c>
      <x:c r="F32" s="24" t="str">
        <x:v>Marine crabs</x:v>
      </x:c>
      <x:c r="G32" s="24" t="str">
        <x:v>Lobsters, crabs</x:v>
      </x:c>
      <x:c r="H32" s="24" t="str">
        <x:v>Crustaceans</x:v>
      </x:c>
      <x:c r="I32" s="31" t="n">
        <x:v>461.782910895</x:v>
      </x:c>
      <x:c r="J32" s="31" t="n">
        <x:v>461.782910895</x:v>
      </x:c>
      <x:c r="K32" s="31" t="n">
        <x:v>0</x:v>
      </x:c>
      <x:c r="L32" s="31" t="n">
        <x:v>461.782910895</x:v>
      </x:c>
      <x:c r="M32" s="31" t="n">
        <x:v>0</x:v>
      </x:c>
      <x:c r="N32" s="24" t="str">
        <x:v>brachyura</x:v>
      </x:c>
      <x:c r="O32" s="32" t="n">
        <x:v>2.6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Brachyura</x:v>
      </x:c>
      <x:c r="T32" s="32" t="n">
        <x:f>IF(O32="","",(1/'Metadata'!$B$5)^(O32-1))</x:f>
        <x:v>39.810717055349734</x:v>
      </x:c>
      <x:c r="U32" s="31" t="n">
        <x:f>IF(T32="","",I32*T32)</x:f>
        <x:v>18383.908806636624</x:v>
      </x:c>
    </x:row>
    <x:row r="33" ht="18" customHeight="1">
      <x:c r="A33" s="24" t="str">
        <x:v>LME_054</x:v>
      </x:c>
      <x:c r="B33" s="24" t="str">
        <x:v>Northern Bering - Chukchi Seas</x:v>
      </x:c>
      <x:c r="C33" s="24" t="str">
        <x:v>LME</x:v>
      </x:c>
      <x:c r="D33" s="30" t="n">
        <x:v>2019</x:v>
      </x:c>
      <x:c r="E33" s="24" t="str">
        <x:v>Cottidae</x:v>
      </x:c>
      <x:c r="F33" s="24" t="str">
        <x:v>Sculpins</x:v>
      </x:c>
      <x:c r="G33" s="24" t="str">
        <x:v>Large reef assoc. fish (&gt;=90 cm)</x:v>
      </x:c>
      <x:c r="H33" s="24" t="str">
        <x:v>Scorpionfishes</x:v>
      </x:c>
      <x:c r="I33" s="31" t="n">
        <x:v>404.1675910749</x:v>
      </x:c>
      <x:c r="J33" s="31" t="n">
        <x:v>8.8190371576</x:v>
      </x:c>
      <x:c r="K33" s="31" t="n">
        <x:v>395.3485539173</x:v>
      </x:c>
      <x:c r="L33" s="31" t="n">
        <x:v>8.6164834747</x:v>
      </x:c>
      <x:c r="M33" s="31" t="n">
        <x:v>395.5511076002</x:v>
      </x:c>
      <x:c r="N33" s="24" t="str">
        <x:v>cottidae</x:v>
      </x:c>
      <x:c r="O33" s="32" t="n">
        <x:v>3.81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Cottidae</x:v>
      </x:c>
      <x:c r="T33" s="32" t="n">
        <x:f>IF(O33="","",(1/'Metadata'!$B$5)^(O33-1))</x:f>
        <x:v>645.6542290346556</x:v>
      </x:c>
      <x:c r="U33" s="31" t="n">
        <x:f>IF(T33="","",I33*T33)</x:f>
        <x:v>260952.5144162585</x:v>
      </x:c>
    </x:row>
    <x:row r="34" ht="18" customHeight="1">
      <x:c r="A34" s="24" t="str">
        <x:v>LME_054</x:v>
      </x:c>
      <x:c r="B34" s="24" t="str">
        <x:v>Northern Bering - Chukchi Seas</x:v>
      </x:c>
      <x:c r="C34" s="24" t="str">
        <x:v>LME</x:v>
      </x:c>
      <x:c r="D34" s="30" t="n">
        <x:v>2019</x:v>
      </x:c>
      <x:c r="E34" s="24" t="str">
        <x:v>Hippoglossus stenolepis</x:v>
      </x:c>
      <x:c r="F34" s="24" t="str">
        <x:v>Pacific halibut</x:v>
      </x:c>
      <x:c r="G34" s="24" t="str">
        <x:v>Large flatfishes (&gt;=90 cm)</x:v>
      </x:c>
      <x:c r="H34" s="24" t="str">
        <x:v>Flatfishes</x:v>
      </x:c>
      <x:c r="I34" s="31" t="n">
        <x:v>398.89982778480004</x:v>
      </x:c>
      <x:c r="J34" s="31" t="n">
        <x:v>397.99340995060004</x:v>
      </x:c>
      <x:c r="K34" s="31" t="n">
        <x:v>0.9064178342</x:v>
      </x:c>
      <x:c r="L34" s="31" t="n">
        <x:v>284.9549860932</x:v>
      </x:c>
      <x:c r="M34" s="31" t="n">
        <x:v>113.9448416916</x:v>
      </x:c>
      <x:c r="N34" s="24" t="str">
        <x:v>hippoglossus stenolepis</x:v>
      </x:c>
      <x:c r="O34" s="32" t="n">
        <x:v>4.14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Hippoglossus stenolepis</x:v>
      </x:c>
      <x:c r="T34" s="32" t="n">
        <x:f>IF(O34="","",(1/'Metadata'!$B$5)^(O34-1))</x:f>
        <x:v>1380.3842646028838</x:v>
      </x:c>
      <x:c r="U34" s="31" t="n">
        <x:f>IF(T34="","",I34*T34)</x:f>
        <x:v>550635.0454269382</x:v>
      </x:c>
    </x:row>
    <x:row r="35" ht="18" customHeight="1">
      <x:c r="A35" s="24" t="str">
        <x:v>LME_054</x:v>
      </x:c>
      <x:c r="B35" s="24" t="str">
        <x:v>Northern Bering - Chukchi Seas</x:v>
      </x:c>
      <x:c r="C35" s="24" t="str">
        <x:v>LME</x:v>
      </x:c>
      <x:c r="D35" s="30" t="n">
        <x:v>2019</x:v>
      </x:c>
      <x:c r="E35" s="24" t="str">
        <x:v>Gadus macrocephalus</x:v>
      </x:c>
      <x:c r="F35" s="24" t="str">
        <x:v>Pacific cod</x:v>
      </x:c>
      <x:c r="G35" s="24" t="str">
        <x:v>Large demersals (&gt;=90 cm)</x:v>
      </x:c>
      <x:c r="H35" s="24" t="str">
        <x:v>Cod-likes</x:v>
      </x:c>
      <x:c r="I35" s="31" t="n">
        <x:v>332.556237383</x:v>
      </x:c>
      <x:c r="J35" s="31" t="n">
        <x:v>328.2253896386</x:v>
      </x:c>
      <x:c r="K35" s="31" t="n">
        <x:v>4.3308477444</x:v>
      </x:c>
      <x:c r="L35" s="31" t="n">
        <x:v>326.5107712314</x:v>
      </x:c>
      <x:c r="M35" s="31" t="n">
        <x:v>6.0454661516</x:v>
      </x:c>
      <x:c r="N35" s="24" t="str">
        <x:v>gadus macrocephalus</x:v>
      </x:c>
      <x:c r="O35" s="32" t="n">
        <x:v>4.16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Gadus macrocephalus</x:v>
      </x:c>
      <x:c r="T35" s="32" t="n">
        <x:f>IF(O35="","",(1/'Metadata'!$B$5)^(O35-1))</x:f>
        <x:v>1445.439770745928</x:v>
      </x:c>
      <x:c r="U35" s="31" t="n">
        <x:f>IF(T35="","",I35*T35)</x:f>
        <x:v>480690.0115230119</x:v>
      </x:c>
    </x:row>
    <x:row r="36" ht="18" customHeight="1">
      <x:c r="A36" s="24" t="str">
        <x:v>LME_054</x:v>
      </x:c>
      <x:c r="B36" s="24" t="str">
        <x:v>Northern Bering - Chukchi Seas</x:v>
      </x:c>
      <x:c r="C36" s="24" t="str">
        <x:v>LME</x:v>
      </x:c>
      <x:c r="D36" s="30" t="n">
        <x:v>2019</x:v>
      </x:c>
      <x:c r="E36" s="24" t="str">
        <x:v>Cephalopoda</x:v>
      </x:c>
      <x:c r="F36" s="24" t="str">
        <x:v>Squids, cuttlefishes, octopuses</x:v>
      </x:c>
      <x:c r="G36" s="24" t="str">
        <x:v>Cephalopods</x:v>
      </x:c>
      <x:c r="H36" s="24" t="str">
        <x:v>Other fishes &amp; inverts</x:v>
      </x:c>
      <x:c r="I36" s="31" t="n">
        <x:v>329.7548094541</x:v>
      </x:c>
      <x:c r="J36" s="31" t="n">
        <x:v>329.7548094541</x:v>
      </x:c>
      <x:c r="K36" s="31" t="n">
        <x:v>0</x:v>
      </x:c>
      <x:c r="L36" s="31" t="n">
        <x:v>125.000079057</x:v>
      </x:c>
      <x:c r="M36" s="31" t="n">
        <x:v>204.7547303971</x:v>
      </x:c>
      <x:c r="N36" s="24" t="str">
        <x:v>cephalopoda</x:v>
      </x:c>
      <x:c r="O36" s="32" t="n">
        <x:v>3.81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Cephalopoda</x:v>
      </x:c>
      <x:c r="T36" s="32" t="n">
        <x:f>IF(O36="","",(1/'Metadata'!$B$5)^(O36-1))</x:f>
        <x:v>645.6542290346556</x:v>
      </x:c>
      <x:c r="U36" s="31" t="n">
        <x:f>IF(T36="","",I36*T36)</x:f>
        <x:v>212907.5872685567</x:v>
      </x:c>
    </x:row>
    <x:row r="37" ht="18" customHeight="1">
      <x:c r="A37" s="24" t="str">
        <x:v>LME_054</x:v>
      </x:c>
      <x:c r="B37" s="24" t="str">
        <x:v>Northern Bering - Chukchi Seas</x:v>
      </x:c>
      <x:c r="C37" s="24" t="str">
        <x:v>LME</x:v>
      </x:c>
      <x:c r="D37" s="30" t="n">
        <x:v>2019</x:v>
      </x:c>
      <x:c r="E37" s="24" t="str">
        <x:v>Oncorhynchus tshawytscha</x:v>
      </x:c>
      <x:c r="F37" s="24" t="str">
        <x:v>Chinook salmon</x:v>
      </x:c>
      <x:c r="G37" s="24" t="str">
        <x:v>Large benthopelagics (&gt;=90 cm)</x:v>
      </x:c>
      <x:c r="H37" s="24" t="str">
        <x:v>Salmon, smelts, etc</x:v>
      </x:c>
      <x:c r="I37" s="31" t="n">
        <x:v>301.4569928825</x:v>
      </x:c>
      <x:c r="J37" s="31" t="n">
        <x:v>301.4187938008</x:v>
      </x:c>
      <x:c r="K37" s="31" t="n">
        <x:v>0.0381990817</x:v>
      </x:c>
      <x:c r="L37" s="31" t="n">
        <x:v>73.7029675854</x:v>
      </x:c>
      <x:c r="M37" s="31" t="n">
        <x:v>227.7540252971</x:v>
      </x:c>
      <x:c r="N37" s="24" t="str">
        <x:v>oncorhynchus tshawytscha</x:v>
      </x:c>
      <x:c r="O37" s="32" t="n">
        <x:v>4.4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Oncorhynchus tshawytscha</x:v>
      </x:c>
      <x:c r="T37" s="32" t="n">
        <x:f>IF(O37="","",(1/'Metadata'!$B$5)^(O37-1))</x:f>
        <x:v>2511.886431509582</x:v>
      </x:c>
      <x:c r="U37" s="31" t="n">
        <x:f>IF(T37="","",I37*T37)</x:f>
        <x:v>757225.7301052324</x:v>
      </x:c>
    </x:row>
    <x:row r="38" ht="18" customHeight="1">
      <x:c r="A38" s="24" t="str">
        <x:v>LME_054</x:v>
      </x:c>
      <x:c r="B38" s="24" t="str">
        <x:v>Northern Bering - Chukchi Seas</x:v>
      </x:c>
      <x:c r="C38" s="24" t="str">
        <x:v>LME</x:v>
      </x:c>
      <x:c r="D38" s="30" t="n">
        <x:v>2019</x:v>
      </x:c>
      <x:c r="E38" s="24" t="str">
        <x:v>Hippoglossoides elassodon</x:v>
      </x:c>
      <x:c r="F38" s="24" t="str">
        <x:v>Flathead sole</x:v>
      </x:c>
      <x:c r="G38" s="24" t="str">
        <x:v>Small to medium flatfishes (&lt;90 cm)</x:v>
      </x:c>
      <x:c r="H38" s="24" t="str">
        <x:v>Flatfishes</x:v>
      </x:c>
      <x:c r="I38" s="31" t="n">
        <x:v>296.4716268544</x:v>
      </x:c>
      <x:c r="J38" s="31" t="n">
        <x:v>285.408750448</x:v>
      </x:c>
      <x:c r="K38" s="31" t="n">
        <x:v>11.0628764064</x:v>
      </x:c>
      <x:c r="L38" s="31" t="n">
        <x:v>285.408750448</x:v>
      </x:c>
      <x:c r="M38" s="31" t="n">
        <x:v>11.0628764064</x:v>
      </x:c>
      <x:c r="N38" s="24" t="str">
        <x:v>hippoglossoides elassodon</x:v>
      </x:c>
      <x:c r="O38" s="32" t="n">
        <x:v>3.67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Hippoglossoides elassodon</x:v>
      </x:c>
      <x:c r="T38" s="32" t="n">
        <x:f>IF(O38="","",(1/'Metadata'!$B$5)^(O38-1))</x:f>
        <x:v>467.73514128719813</x:v>
      </x:c>
      <x:c r="U38" s="31" t="n">
        <x:f>IF(T38="","",I38*T38)</x:f>
        <x:v>138670.19827438827</x:v>
      </x:c>
    </x:row>
    <x:row r="39" ht="18" customHeight="1">
      <x:c r="A39" s="24" t="str">
        <x:v>LME_054</x:v>
      </x:c>
      <x:c r="B39" s="24" t="str">
        <x:v>Northern Bering - Chukchi Seas</x:v>
      </x:c>
      <x:c r="C39" s="24" t="str">
        <x:v>LME</x:v>
      </x:c>
      <x:c r="D39" s="30" t="n">
        <x:v>2019</x:v>
      </x:c>
      <x:c r="E39" s="24" t="str">
        <x:v>Stenodus leucichthys</x:v>
      </x:c>
      <x:c r="F39" s="24" t="str">
        <x:v>Sheefish</x:v>
      </x:c>
      <x:c r="G39" s="24" t="str">
        <x:v>Large demersals (&gt;=90 cm)</x:v>
      </x:c>
      <x:c r="H39" s="24" t="str">
        <x:v>Salmon, smelts, etc</x:v>
      </x:c>
      <x:c r="I39" s="31" t="n">
        <x:v>277.4828612781</x:v>
      </x:c>
      <x:c r="J39" s="31" t="n">
        <x:v>277.4828612781</x:v>
      </x:c>
      <x:c r="K39" s="31" t="n">
        <x:v>0</x:v>
      </x:c>
      <x:c r="L39" s="31" t="n">
        <x:v>0</x:v>
      </x:c>
      <x:c r="M39" s="31" t="n">
        <x:v>277.4828612781</x:v>
      </x:c>
      <x:c r="N39" s="24" t="str">
        <x:v>stenodus leucichthys</x:v>
      </x:c>
      <x:c r="O39" s="32" t="n">
        <x:v>4.15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Stenodus leucichthys</x:v>
      </x:c>
      <x:c r="T39" s="32" t="n">
        <x:f>IF(O39="","",(1/'Metadata'!$B$5)^(O39-1))</x:f>
        <x:v>1412.5375446227554</x:v>
      </x:c>
      <x:c r="U39" s="31" t="n">
        <x:f>IF(T39="","",I39*T39)</x:f>
        <x:v>391954.959544664</x:v>
      </x:c>
    </x:row>
    <x:row r="40" ht="18" customHeight="1">
      <x:c r="A40" s="24" t="str">
        <x:v>LME_054</x:v>
      </x:c>
      <x:c r="B40" s="24" t="str">
        <x:v>Northern Bering - Chukchi Seas</x:v>
      </x:c>
      <x:c r="C40" s="24" t="str">
        <x:v>LME</x:v>
      </x:c>
      <x:c r="D40" s="30" t="n">
        <x:v>2019</x:v>
      </x:c>
      <x:c r="E40" s="24" t="str">
        <x:v>Gastropoda</x:v>
      </x:c>
      <x:c r="F40" s="24" t="str">
        <x:v>Sea snails</x:v>
      </x:c>
      <x:c r="G40" s="24" t="str">
        <x:v>Other demersal invertebrates</x:v>
      </x:c>
      <x:c r="H40" s="24" t="str">
        <x:v>Molluscs</x:v>
      </x:c>
      <x:c r="I40" s="31" t="n">
        <x:v>260.4649200909</x:v>
      </x:c>
      <x:c r="J40" s="31" t="n">
        <x:v>260.4649200909</x:v>
      </x:c>
      <x:c r="K40" s="31" t="n">
        <x:v>0</x:v>
      </x:c>
      <x:c r="L40" s="31" t="n">
        <x:v>218.3603091342</x:v>
      </x:c>
      <x:c r="M40" s="31" t="n">
        <x:v>42.1046109567</x:v>
      </x:c>
      <x:c r="N40" s="24" t="str">
        <x:v>gastropoda</x:v>
      </x:c>
      <x:c r="O40" s="32" t="n">
        <x:v>3.06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Gastropoda</x:v>
      </x:c>
      <x:c r="T40" s="32" t="n">
        <x:f>IF(O40="","",(1/'Metadata'!$B$5)^(O40-1))</x:f>
        <x:v>114.81536214968828</x:v>
      </x:c>
      <x:c r="U40" s="31" t="n">
        <x:f>IF(T40="","",I40*T40)</x:f>
        <x:v>29905.374127526306</x:v>
      </x:c>
    </x:row>
    <x:row r="41" ht="18" customHeight="1">
      <x:c r="A41" s="24" t="str">
        <x:v>LME_054</x:v>
      </x:c>
      <x:c r="B41" s="24" t="str">
        <x:v>Northern Bering - Chukchi Seas</x:v>
      </x:c>
      <x:c r="C41" s="24" t="str">
        <x:v>LME</x:v>
      </x:c>
      <x:c r="D41" s="30" t="n">
        <x:v>2019</x:v>
      </x:c>
      <x:c r="E41" s="24" t="str">
        <x:v>Salmonidae</x:v>
      </x:c>
      <x:c r="F41" s="24" t="str">
        <x:v>Salmonids</x:v>
      </x:c>
      <x:c r="G41" s="24" t="str">
        <x:v>Large benthopelagics (&gt;=90 cm)</x:v>
      </x:c>
      <x:c r="H41" s="24" t="str">
        <x:v>Salmon, smelts, etc</x:v>
      </x:c>
      <x:c r="I41" s="31" t="n">
        <x:v>185.5207519699</x:v>
      </x:c>
      <x:c r="J41" s="31" t="n">
        <x:v>185.5207519699</x:v>
      </x:c>
      <x:c r="K41" s="31" t="n">
        <x:v>0</x:v>
      </x:c>
      <x:c r="L41" s="31" t="n">
        <x:v>184.4417374673</x:v>
      </x:c>
      <x:c r="M41" s="31" t="n">
        <x:v>1.0790145026</x:v>
      </x:c>
      <x:c r="N41" s="24" t="str">
        <x:v>salmonidae</x:v>
      </x:c>
      <x:c r="O41" s="32" t="n">
        <x:v>3.3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Salmonidae</x:v>
      </x:c>
      <x:c r="T41" s="32" t="n">
        <x:f>IF(O41="","",(1/'Metadata'!$B$5)^(O41-1))</x:f>
        <x:v>199.52623149688787</x:v>
      </x:c>
      <x:c r="U41" s="31" t="n">
        <x:f>IF(T41="","",I41*T41)</x:f>
        <x:v>37016.25650502298</x:v>
      </x:c>
    </x:row>
    <x:row r="42" ht="18" customHeight="1">
      <x:c r="A42" s="24" t="str">
        <x:v>LME_054</x:v>
      </x:c>
      <x:c r="B42" s="24" t="str">
        <x:v>Northern Bering - Chukchi Seas</x:v>
      </x:c>
      <x:c r="C42" s="24" t="str">
        <x:v>LME</x:v>
      </x:c>
      <x:c r="D42" s="30" t="n">
        <x:v>2019</x:v>
      </x:c>
      <x:c r="E42" s="24" t="str">
        <x:v>Salvelinus malma</x:v>
      </x:c>
      <x:c r="F42" s="24" t="str">
        <x:v>Dolly varden</x:v>
      </x:c>
      <x:c r="G42" s="24" t="str">
        <x:v>Large benthopelagics (&gt;=90 cm)</x:v>
      </x:c>
      <x:c r="H42" s="24" t="str">
        <x:v>Salmon, smelts, etc</x:v>
      </x:c>
      <x:c r="I42" s="31" t="n">
        <x:v>164.0635789929</x:v>
      </x:c>
      <x:c r="J42" s="31" t="n">
        <x:v>164.0635789929</x:v>
      </x:c>
      <x:c r="K42" s="31" t="n">
        <x:v>0</x:v>
      </x:c>
      <x:c r="L42" s="31" t="n">
        <x:v>0</x:v>
      </x:c>
      <x:c r="M42" s="31" t="n">
        <x:v>164.0635789929</x:v>
      </x:c>
      <x:c r="N42" s="24" t="str">
        <x:v>salvelinus malma</x:v>
      </x:c>
      <x:c r="O42" s="32" t="n">
        <x:v>4.4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Salvelinus malma</x:v>
      </x:c>
      <x:c r="T42" s="32" t="n">
        <x:f>IF(O42="","",(1/'Metadata'!$B$5)^(O42-1))</x:f>
        <x:v>2511.886431509582</x:v>
      </x:c>
      <x:c r="U42" s="31" t="n">
        <x:f>IF(T42="","",I42*T42)</x:f>
        <x:v>412109.07797716605</x:v>
      </x:c>
    </x:row>
    <x:row r="43" ht="18" customHeight="1">
      <x:c r="A43" s="24" t="str">
        <x:v>LME_054</x:v>
      </x:c>
      <x:c r="B43" s="24" t="str">
        <x:v>Northern Bering - Chukchi Seas</x:v>
      </x:c>
      <x:c r="C43" s="24" t="str">
        <x:v>LME</x:v>
      </x:c>
      <x:c r="D43" s="30" t="n">
        <x:v>2019</x:v>
      </x:c>
      <x:c r="E43" s="24" t="str">
        <x:v>Mallotus villosus</x:v>
      </x:c>
      <x:c r="F43" s="24" t="str">
        <x:v>Capelin</x:v>
      </x:c>
      <x:c r="G43" s="24" t="str">
        <x:v>Small pelagics (&lt;30 cm)</x:v>
      </x:c>
      <x:c r="H43" s="24" t="str">
        <x:v>Salmon, smelts, etc</x:v>
      </x:c>
      <x:c r="I43" s="31" t="n">
        <x:v>145.60356804149998</x:v>
      </x:c>
      <x:c r="J43" s="31" t="n">
        <x:v>65.9238648372</x:v>
      </x:c>
      <x:c r="K43" s="31" t="n">
        <x:v>79.6797032043</x:v>
      </x:c>
      <x:c r="L43" s="31" t="n">
        <x:v>52.2306389</x:v>
      </x:c>
      <x:c r="M43" s="31" t="n">
        <x:v>93.3729291415</x:v>
      </x:c>
      <x:c r="N43" s="24" t="str">
        <x:v>mallotus villosus</x:v>
      </x:c>
      <x:c r="O43" s="32" t="n">
        <x:v>3.15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Mallotus villosus</x:v>
      </x:c>
      <x:c r="T43" s="32" t="n">
        <x:f>IF(O43="","",(1/'Metadata'!$B$5)^(O43-1))</x:f>
        <x:v>141.2537544622754</x:v>
      </x:c>
      <x:c r="U43" s="31" t="n">
        <x:f>IF(T43="","",I43*T43)</x:f>
        <x:v>20567.050648965247</x:v>
      </x:c>
    </x:row>
    <x:row r="44" ht="18" customHeight="1">
      <x:c r="A44" s="24" t="str">
        <x:v>LME_054</x:v>
      </x:c>
      <x:c r="B44" s="24" t="str">
        <x:v>Northern Bering - Chukchi Seas</x:v>
      </x:c>
      <x:c r="C44" s="24" t="str">
        <x:v>LME</x:v>
      </x:c>
      <x:c r="D44" s="30" t="n">
        <x:v>2019</x:v>
      </x:c>
      <x:c r="E44" s="24" t="str">
        <x:v>Salvelinus</x:v>
      </x:c>
      <x:c r="F44" s="24" t="str">
        <x:v>Chars</x:v>
      </x:c>
      <x:c r="G44" s="24" t="str">
        <x:v>Large benthopelagics (&gt;=90 cm)</x:v>
      </x:c>
      <x:c r="H44" s="24" t="str">
        <x:v>Salmon, smelts, etc</x:v>
      </x:c>
      <x:c r="I44" s="31" t="n">
        <x:v>139.0052528969</x:v>
      </x:c>
      <x:c r="J44" s="31" t="n">
        <x:v>139.0052528969</x:v>
      </x:c>
      <x:c r="K44" s="31" t="n">
        <x:v>0</x:v>
      </x:c>
      <x:c r="L44" s="31" t="n">
        <x:v>0</x:v>
      </x:c>
      <x:c r="M44" s="31" t="n">
        <x:v>139.0052528969</x:v>
      </x:c>
      <x:c r="N44" s="24" t="str">
        <x:v>salvelinus</x:v>
      </x:c>
      <x:c r="O44" s="32" t="n">
        <x:v>4.1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Salvelinus</x:v>
      </x:c>
      <x:c r="T44" s="32" t="n">
        <x:f>IF(O44="","",(1/'Metadata'!$B$5)^(O44-1))</x:f>
        <x:v>1258.9254117941662</x:v>
      </x:c>
      <x:c r="U44" s="31" t="n">
        <x:f>IF(T44="","",I44*T44)</x:f>
        <x:v>174997.24524478204</x:v>
      </x:c>
    </x:row>
    <x:row r="45" ht="18" customHeight="1">
      <x:c r="A45" s="24" t="str">
        <x:v>LME_054</x:v>
      </x:c>
      <x:c r="B45" s="24" t="str">
        <x:v>Northern Bering - Chukchi Seas</x:v>
      </x:c>
      <x:c r="C45" s="24" t="str">
        <x:v>LME</x:v>
      </x:c>
      <x:c r="D45" s="30" t="n">
        <x:v>2019</x:v>
      </x:c>
      <x:c r="E45" s="24" t="str">
        <x:v>Osmeridae</x:v>
      </x:c>
      <x:c r="F45" s="24" t="str">
        <x:v>Smelts</x:v>
      </x:c>
      <x:c r="G45" s="24" t="str">
        <x:v>Small pelagics (&lt;30 cm)</x:v>
      </x:c>
      <x:c r="H45" s="24" t="str">
        <x:v>Salmon, smelts, etc</x:v>
      </x:c>
      <x:c r="I45" s="31" t="n">
        <x:v>129.5723475452</x:v>
      </x:c>
      <x:c r="J45" s="31" t="n">
        <x:v>129.5723475452</x:v>
      </x:c>
      <x:c r="K45" s="31" t="n">
        <x:v>0</x:v>
      </x:c>
      <x:c r="L45" s="31" t="n">
        <x:v>0</x:v>
      </x:c>
      <x:c r="M45" s="31" t="n">
        <x:v>129.5723475452</x:v>
      </x:c>
      <x:c r="N45" s="24" t="str">
        <x:v>osmeridae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Osmeridae</x:v>
      </x:c>
      <x:c r="T45" s="32" t="n">
        <x:f>IF(O45="","",(1/'Metadata'!$B$5)^(O45-1))</x:f>
        <x:v>288.40315031266056</x:v>
      </x:c>
      <x:c r="U45" s="31" t="n">
        <x:f>IF(T45="","",I45*T45)</x:f>
        <x:v>37369.073225442604</x:v>
      </x:c>
    </x:row>
    <x:row r="46" ht="18" customHeight="1">
      <x:c r="A46" s="24" t="str">
        <x:v>LME_054</x:v>
      </x:c>
      <x:c r="B46" s="24" t="str">
        <x:v>Northern Bering - Chukchi Seas</x:v>
      </x:c>
      <x:c r="C46" s="24" t="str">
        <x:v>LME</x:v>
      </x:c>
      <x:c r="D46" s="30" t="n">
        <x:v>2019</x:v>
      </x:c>
      <x:c r="E46" s="24" t="str">
        <x:v>Paralithodes brevipes</x:v>
      </x:c>
      <x:c r="F46" s="24" t="str">
        <x:v>Spiny king crab</x:v>
      </x:c>
      <x:c r="G46" s="24" t="str">
        <x:v>Lobsters, crabs</x:v>
      </x:c>
      <x:c r="H46" s="24" t="str">
        <x:v>Crustaceans</x:v>
      </x:c>
      <x:c r="I46" s="31" t="n">
        <x:v>127.70749149619998</x:v>
      </x:c>
      <x:c r="J46" s="31" t="n">
        <x:v>127.70749149619998</x:v>
      </x:c>
      <x:c r="K46" s="31" t="n">
        <x:v>0</x:v>
      </x:c>
      <x:c r="L46" s="31" t="n">
        <x:v>43.718202958599996</x:v>
      </x:c>
      <x:c r="M46" s="31" t="n">
        <x:v>83.98928853759999</x:v>
      </x:c>
      <x:c r="N46" s="24" t="str">
        <x:v>paralithodes brevipes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Paralithodes brevipes</x:v>
      </x:c>
      <x:c r="T46" s="32" t="n">
        <x:f>IF(O46="","",(1/'Metadata'!$B$5)^(O46-1))</x:f>
        <x:v>10</x:v>
      </x:c>
      <x:c r="U46" s="31" t="n">
        <x:f>IF(T46="","",I46*T46)</x:f>
        <x:v>1277.0749149619999</x:v>
      </x:c>
    </x:row>
    <x:row r="47" ht="18" customHeight="1">
      <x:c r="A47" s="24" t="str">
        <x:v>LME_054</x:v>
      </x:c>
      <x:c r="B47" s="24" t="str">
        <x:v>Northern Bering - Chukchi Seas</x:v>
      </x:c>
      <x:c r="C47" s="24" t="str">
        <x:v>LME</x:v>
      </x:c>
      <x:c r="D47" s="30" t="n">
        <x:v>2019</x:v>
      </x:c>
      <x:c r="E47" s="24" t="str">
        <x:v>Pleuronectidae</x:v>
      </x:c>
      <x:c r="F47" s="24" t="str">
        <x:v>Righteye flounders</x:v>
      </x:c>
      <x:c r="G47" s="24" t="str">
        <x:v>Small to medium flatfishes (&lt;90 cm)</x:v>
      </x:c>
      <x:c r="H47" s="24" t="str">
        <x:v>Flatfishes</x:v>
      </x:c>
      <x:c r="I47" s="31" t="n">
        <x:v>75.1371659668</x:v>
      </x:c>
      <x:c r="J47" s="31" t="n">
        <x:v>45.6870684215</x:v>
      </x:c>
      <x:c r="K47" s="31" t="n">
        <x:v>29.4500975453</x:v>
      </x:c>
      <x:c r="L47" s="31" t="n">
        <x:v>10.635386354000001</x:v>
      </x:c>
      <x:c r="M47" s="31" t="n">
        <x:v>64.5017796128</x:v>
      </x:c>
      <x:c r="N47" s="24" t="str">
        <x:v>pleuronectidae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Pleuronectidae</x:v>
      </x:c>
      <x:c r="T47" s="32" t="n">
        <x:f>IF(O47="","",(1/'Metadata'!$B$5)^(O47-1))</x:f>
        <x:v>309.0295432513592</x:v>
      </x:c>
      <x:c r="U47" s="31" t="n">
        <x:f>IF(T47="","",I47*T47)</x:f>
        <x:v>23219.604079921774</x:v>
      </x:c>
    </x:row>
    <x:row r="48" ht="18" customHeight="1">
      <x:c r="A48" s="24" t="str">
        <x:v>LME_054</x:v>
      </x:c>
      <x:c r="B48" s="24" t="str">
        <x:v>Northern Bering - Chukchi Seas</x:v>
      </x:c>
      <x:c r="C48" s="24" t="str">
        <x:v>LME</x:v>
      </x:c>
      <x:c r="D48" s="30" t="n">
        <x:v>2019</x:v>
      </x:c>
      <x:c r="E48" s="24" t="str">
        <x:v>Coregonus nasus</x:v>
      </x:c>
      <x:c r="F48" s="24" t="str">
        <x:v>Broad whitefish</x:v>
      </x:c>
      <x:c r="G48" s="24" t="str">
        <x:v>Medium demersals (30 - 89 cm)</x:v>
      </x:c>
      <x:c r="H48" s="24" t="str">
        <x:v>Salmon, smelts, etc</x:v>
      </x:c>
      <x:c r="I48" s="31" t="n">
        <x:v>62.9613938554</x:v>
      </x:c>
      <x:c r="J48" s="31" t="n">
        <x:v>62.9613938554</x:v>
      </x:c>
      <x:c r="K48" s="31" t="n">
        <x:v>0</x:v>
      </x:c>
      <x:c r="L48" s="31" t="n">
        <x:v>0</x:v>
      </x:c>
      <x:c r="M48" s="31" t="n">
        <x:v>62.9613938554</x:v>
      </x:c>
      <x:c r="N48" s="24" t="str">
        <x:v>coregonus nasus</x:v>
      </x:c>
      <x:c r="O48" s="32" t="n">
        <x:v>3.45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Coregonus nasus</x:v>
      </x:c>
      <x:c r="T48" s="32" t="n">
        <x:f>IF(O48="","",(1/'Metadata'!$B$5)^(O48-1))</x:f>
        <x:v>281.8382931264455</x:v>
      </x:c>
      <x:c r="U48" s="31" t="n">
        <x:f>IF(T48="","",I48*T48)</x:f>
        <x:v>17744.931777067806</x:v>
      </x:c>
    </x:row>
    <x:row r="49" ht="18" customHeight="1">
      <x:c r="A49" s="24" t="str">
        <x:v>LME_054</x:v>
      </x:c>
      <x:c r="B49" s="24" t="str">
        <x:v>Northern Bering - Chukchi Seas</x:v>
      </x:c>
      <x:c r="C49" s="24" t="str">
        <x:v>LME</x:v>
      </x:c>
      <x:c r="D49" s="30" t="n">
        <x:v>2019</x:v>
      </x:c>
      <x:c r="E49" s="24" t="str">
        <x:v>Salvelinus alpinus</x:v>
      </x:c>
      <x:c r="F49" s="24" t="str">
        <x:v>Arctic char</x:v>
      </x:c>
      <x:c r="G49" s="24" t="str">
        <x:v>Medium benthopelagics (30 - 89 cm)</x:v>
      </x:c>
      <x:c r="H49" s="24" t="str">
        <x:v>Salmon, smelts, etc</x:v>
      </x:c>
      <x:c r="I49" s="31" t="n">
        <x:v>60.69206419379999</x:v>
      </x:c>
      <x:c r="J49" s="31" t="n">
        <x:v>60.69206419379999</x:v>
      </x:c>
      <x:c r="K49" s="31" t="n">
        <x:v>0</x:v>
      </x:c>
      <x:c r="L49" s="31" t="n">
        <x:v>0</x:v>
      </x:c>
      <x:c r="M49" s="31" t="n">
        <x:v>60.69206419379999</x:v>
      </x:c>
      <x:c r="N49" s="24" t="str">
        <x:v>salvelinus alpinus</x:v>
      </x:c>
      <x:c r="O49" s="32" t="n">
        <x:v>4.39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Salvelinus alpinus</x:v>
      </x:c>
      <x:c r="T49" s="32" t="n">
        <x:f>IF(O49="","",(1/'Metadata'!$B$5)^(O49-1))</x:f>
        <x:v>2454.7089156850284</x:v>
      </x:c>
      <x:c r="U49" s="31" t="n">
        <x:f>IF(T49="","",I49*T49)</x:f>
        <x:v>148981.35108784892</x:v>
      </x:c>
    </x:row>
    <x:row r="50" ht="18" customHeight="1">
      <x:c r="A50" s="24" t="str">
        <x:v>LME_054</x:v>
      </x:c>
      <x:c r="B50" s="24" t="str">
        <x:v>Northern Bering - Chukchi Seas</x:v>
      </x:c>
      <x:c r="C50" s="24" t="str">
        <x:v>LME</x:v>
      </x:c>
      <x:c r="D50" s="30" t="n">
        <x:v>2019</x:v>
      </x:c>
      <x:c r="E50" s="24" t="str">
        <x:v>Atheresthes evermanni</x:v>
      </x:c>
      <x:c r="F50" s="24" t="str">
        <x:v>Kamchatka flounder</x:v>
      </x:c>
      <x:c r="G50" s="24" t="str">
        <x:v>Large flatfishes (&gt;=90 cm)</x:v>
      </x:c>
      <x:c r="H50" s="24" t="str">
        <x:v>Flatfishes</x:v>
      </x:c>
      <x:c r="I50" s="31" t="n">
        <x:v>59.600331259200004</x:v>
      </x:c>
      <x:c r="J50" s="31" t="n">
        <x:v>40.4645233163</x:v>
      </x:c>
      <x:c r="K50" s="31" t="n">
        <x:v>19.1358079429</x:v>
      </x:c>
      <x:c r="L50" s="31" t="n">
        <x:v>35.401568182300004</x:v>
      </x:c>
      <x:c r="M50" s="31" t="n">
        <x:v>24.1987630769</x:v>
      </x:c>
      <x:c r="N50" s="24" t="str">
        <x:v>atheresthes evermanni</x:v>
      </x:c>
      <x:c r="O50" s="32" t="n">
        <x:v>4.3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Atheresthes evermanni</x:v>
      </x:c>
      <x:c r="T50" s="32" t="n">
        <x:f>IF(O50="","",(1/'Metadata'!$B$5)^(O50-1))</x:f>
        <x:v>1995.2623149688789</x:v>
      </x:c>
      <x:c r="U50" s="31" t="n">
        <x:f>IF(T50="","",I50*T50)</x:f>
        <x:v>118918.29492114343</x:v>
      </x:c>
    </x:row>
    <x:row r="51" ht="18" customHeight="1">
      <x:c r="A51" s="24" t="str">
        <x:v>LME_054</x:v>
      </x:c>
      <x:c r="B51" s="24" t="str">
        <x:v>Northern Bering - Chukchi Seas</x:v>
      </x:c>
      <x:c r="C51" s="24" t="str">
        <x:v>LME</x:v>
      </x:c>
      <x:c r="D51" s="30" t="n">
        <x:v>2019</x:v>
      </x:c>
      <x:c r="E51" s="24" t="str">
        <x:v>Glyptocephalus zachirus</x:v>
      </x:c>
      <x:c r="F51" s="24" t="str">
        <x:v>Rex sole</x:v>
      </x:c>
      <x:c r="G51" s="24" t="str">
        <x:v>Small to medium flatfishes (&lt;90 cm)</x:v>
      </x:c>
      <x:c r="H51" s="24" t="str">
        <x:v>Flatfishes</x:v>
      </x:c>
      <x:c r="I51" s="31" t="n">
        <x:v>58.077185270600005</x:v>
      </x:c>
      <x:c r="J51" s="31" t="n">
        <x:v>56.911602537600004</x:v>
      </x:c>
      <x:c r="K51" s="31" t="n">
        <x:v>1.1655827330000001</x:v>
      </x:c>
      <x:c r="L51" s="31" t="n">
        <x:v>56.911602537600004</x:v>
      </x:c>
      <x:c r="M51" s="31" t="n">
        <x:v>1.1655827330000001</x:v>
      </x:c>
      <x:c r="N51" s="24" t="str">
        <x:v>glyptocephalus zachirus</x:v>
      </x:c>
      <x:c r="O51" s="32" t="n">
        <x:v>3.25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Glyptocephalus zachirus</x:v>
      </x:c>
      <x:c r="T51" s="32" t="n">
        <x:f>IF(O51="","",(1/'Metadata'!$B$5)^(O51-1))</x:f>
        <x:v>177.82794100389228</x:v>
      </x:c>
      <x:c r="U51" s="31" t="n">
        <x:f>IF(T51="","",I51*T51)</x:f>
        <x:v>10327.746275972378</x:v>
      </x:c>
    </x:row>
    <x:row r="52" ht="18" customHeight="1">
      <x:c r="A52" s="24" t="str">
        <x:v>LME_054</x:v>
      </x:c>
      <x:c r="B52" s="24" t="str">
        <x:v>Northern Bering - Chukchi Seas</x:v>
      </x:c>
      <x:c r="C52" s="24" t="str">
        <x:v>LME</x:v>
      </x:c>
      <x:c r="D52" s="30" t="n">
        <x:v>2019</x:v>
      </x:c>
      <x:c r="E52" s="24" t="str">
        <x:v>Rajidae</x:v>
      </x:c>
      <x:c r="F52" s="24" t="str">
        <x:v>Stingrays</x:v>
      </x:c>
      <x:c r="G52" s="24" t="str">
        <x:v>Large rays (&gt;=90 cm)</x:v>
      </x:c>
      <x:c r="H52" s="24" t="str">
        <x:v>Sharks &amp; rays</x:v>
      </x:c>
      <x:c r="I52" s="31" t="n">
        <x:v>47.3330913539</x:v>
      </x:c>
      <x:c r="J52" s="31" t="n">
        <x:v>34.3001360605</x:v>
      </x:c>
      <x:c r="K52" s="31" t="n">
        <x:v>13.0329552934</x:v>
      </x:c>
      <x:c r="L52" s="31" t="n">
        <x:v>34.2930534255</x:v>
      </x:c>
      <x:c r="M52" s="31" t="n">
        <x:v>13.0400379284</x:v>
      </x:c>
      <x:c r="N52" s="24" t="str">
        <x:v>rajidae</x:v>
      </x:c>
      <x:c r="O52" s="32" t="n">
        <x:v>3.82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Rajidae</x:v>
      </x:c>
      <x:c r="T52" s="32" t="n">
        <x:f>IF(O52="","",(1/'Metadata'!$B$5)^(O52-1))</x:f>
        <x:v>660.6934480075957</x:v>
      </x:c>
      <x:c r="U52" s="31" t="n">
        <x:f>IF(T52="","",I52*T52)</x:f>
        <x:v>31272.663331466712</x:v>
      </x:c>
    </x:row>
    <x:row r="53" ht="18" customHeight="1">
      <x:c r="A53" s="24" t="str">
        <x:v>LME_054</x:v>
      </x:c>
      <x:c r="B53" s="24" t="str">
        <x:v>Northern Bering - Chukchi Seas</x:v>
      </x:c>
      <x:c r="C53" s="24" t="str">
        <x:v>LME</x:v>
      </x:c>
      <x:c r="D53" s="30" t="n">
        <x:v>2019</x:v>
      </x:c>
      <x:c r="E53" s="24" t="str">
        <x:v>Octopoda</x:v>
      </x:c>
      <x:c r="F53" s="24" t="str">
        <x:v>Octopuses, argonauts</x:v>
      </x:c>
      <x:c r="G53" s="24" t="str">
        <x:v>Cephalopods</x:v>
      </x:c>
      <x:c r="H53" s="24" t="str">
        <x:v>Other fishes &amp; inverts</x:v>
      </x:c>
      <x:c r="I53" s="31" t="n">
        <x:v>45.8345947906</x:v>
      </x:c>
      <x:c r="J53" s="31" t="n">
        <x:v>45.8345947906</x:v>
      </x:c>
      <x:c r="K53" s="31" t="n">
        <x:v>0</x:v>
      </x:c>
      <x:c r="L53" s="31" t="n">
        <x:v>45.0168367762</x:v>
      </x:c>
      <x:c r="M53" s="31" t="n">
        <x:v>0.8177580144</x:v>
      </x:c>
      <x:c r="N53" s="24" t="str">
        <x:v>octopoda</x:v>
      </x:c>
      <x:c r="O53" s="32" t="n">
        <x:v>3.58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Octopoda</x:v>
      </x:c>
      <x:c r="T53" s="32" t="n">
        <x:f>IF(O53="","",(1/'Metadata'!$B$5)^(O53-1))</x:f>
        <x:v>380.1893963205613</x:v>
      </x:c>
      <x:c r="U53" s="31" t="n">
        <x:f>IF(T53="","",I53*T53)</x:f>
        <x:v>17425.82692403576</x:v>
      </x:c>
    </x:row>
    <x:row r="54" ht="18" customHeight="1">
      <x:c r="A54" s="24" t="str">
        <x:v>LME_054</x:v>
      </x:c>
      <x:c r="B54" s="24" t="str">
        <x:v>Northern Bering - Chukchi Seas</x:v>
      </x:c>
      <x:c r="C54" s="24" t="str">
        <x:v>LME</x:v>
      </x:c>
      <x:c r="D54" s="30" t="n">
        <x:v>2019</x:v>
      </x:c>
      <x:c r="E54" s="24" t="str">
        <x:v>Sclerocrangon</x:v>
      </x:c>
      <x:c r="F54" s="24" t="str">
        <x:v>Sculptured shrimps</x:v>
      </x:c>
      <x:c r="G54" s="24" t="str">
        <x:v>Shrimps</x:v>
      </x:c>
      <x:c r="H54" s="24" t="str">
        <x:v>Crustaceans</x:v>
      </x:c>
      <x:c r="I54" s="31" t="n">
        <x:v>41.3332834749</x:v>
      </x:c>
      <x:c r="J54" s="31" t="n">
        <x:v>41.3332834749</x:v>
      </x:c>
      <x:c r="K54" s="31" t="n">
        <x:v>0</x:v>
      </x:c>
      <x:c r="L54" s="31" t="n">
        <x:v>37.9983241724</x:v>
      </x:c>
      <x:c r="M54" s="31" t="n">
        <x:v>3.3349593025</x:v>
      </x:c>
      <x:c r="N54" s="24" t="str">
        <x:v>sclerocrangon</x:v>
      </x:c>
      <x:c r="O54" s="32" t="n">
        <x:v>2.2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Sclerocrangon</x:v>
      </x:c>
      <x:c r="T54" s="32" t="n">
        <x:f>IF(O54="","",(1/'Metadata'!$B$5)^(O54-1))</x:f>
        <x:v>15.848931924611142</x:v>
      </x:c>
      <x:c r="U54" s="31" t="n">
        <x:f>IF(T54="","",I54*T54)</x:f>
        <x:v>655.0883960143448</x:v>
      </x:c>
    </x:row>
    <x:row r="55" ht="18" customHeight="1">
      <x:c r="A55" s="24" t="str">
        <x:v>LME_054</x:v>
      </x:c>
      <x:c r="B55" s="24" t="str">
        <x:v>Northern Bering - Chukchi Seas</x:v>
      </x:c>
      <x:c r="C55" s="24" t="str">
        <x:v>LME</x:v>
      </x:c>
      <x:c r="D55" s="30" t="n">
        <x:v>2019</x:v>
      </x:c>
      <x:c r="E55" s="24" t="str">
        <x:v>Sebastidae</x:v>
      </x:c>
      <x:c r="F55" s="24" t="str">
        <x:v>Rockfishes, rockcods, thornyheads</x:v>
      </x:c>
      <x:c r="G55" s="24" t="str">
        <x:v>Medium demersals (30 - 89 cm)</x:v>
      </x:c>
      <x:c r="H55" s="24" t="str">
        <x:v>Scorpionfishes</x:v>
      </x:c>
      <x:c r="I55" s="31" t="n">
        <x:v>40.4466360718</x:v>
      </x:c>
      <x:c r="J55" s="31" t="n">
        <x:v>0</x:v>
      </x:c>
      <x:c r="K55" s="31" t="n">
        <x:v>40.4466360718</x:v>
      </x:c>
      <x:c r="L55" s="31" t="n">
        <x:v>0</x:v>
      </x:c>
      <x:c r="M55" s="31" t="n">
        <x:v>40.4466360718</x:v>
      </x:c>
      <x:c r="N55" s="24" t="str">
        <x:v>sebastidae</x:v>
      </x:c>
      <x:c r="O55" s="32" t="n">
        <x:v>3.74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Sebastidae</x:v>
      </x:c>
      <x:c r="T55" s="32" t="n">
        <x:f>IF(O55="","",(1/'Metadata'!$B$5)^(O55-1))</x:f>
        <x:v>549.5408738576248</x:v>
      </x:c>
      <x:c r="U55" s="31" t="n">
        <x:f>IF(T55="","",I55*T55)</x:f>
        <x:v>22227.0797314983</x:v>
      </x:c>
    </x:row>
    <x:row r="56" ht="18" customHeight="1">
      <x:c r="A56" s="24" t="str">
        <x:v>LME_054</x:v>
      </x:c>
      <x:c r="B56" s="24" t="str">
        <x:v>Northern Bering - Chukchi Seas</x:v>
      </x:c>
      <x:c r="C56" s="24" t="str">
        <x:v>LME</x:v>
      </x:c>
      <x:c r="D56" s="30" t="n">
        <x:v>2019</x:v>
      </x:c>
      <x:c r="E56" s="24" t="str">
        <x:v>Reinhardtius hippoglossoides</x:v>
      </x:c>
      <x:c r="F56" s="24" t="str">
        <x:v>Greenland halibut</x:v>
      </x:c>
      <x:c r="G56" s="24" t="str">
        <x:v>Small to medium flatfishes (&lt;90 cm)</x:v>
      </x:c>
      <x:c r="H56" s="24" t="str">
        <x:v>Flatfishes</x:v>
      </x:c>
      <x:c r="I56" s="31" t="n">
        <x:v>35.502360068600005</x:v>
      </x:c>
      <x:c r="J56" s="31" t="n">
        <x:v>30.9159259484</x:v>
      </x:c>
      <x:c r="K56" s="31" t="n">
        <x:v>4.5864341202</x:v>
      </x:c>
      <x:c r="L56" s="31" t="n">
        <x:v>21.5108337879</x:v>
      </x:c>
      <x:c r="M56" s="31" t="n">
        <x:v>13.9915262807</x:v>
      </x:c>
      <x:c r="N56" s="24" t="str">
        <x:v>reinhardtius hippoglossoides</x:v>
      </x:c>
      <x:c r="O56" s="32" t="n">
        <x:v>4.38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Reinhardtius hippoglossoides</x:v>
      </x:c>
      <x:c r="T56" s="32" t="n">
        <x:f>IF(O56="","",(1/'Metadata'!$B$5)^(O56-1))</x:f>
        <x:v>2398.83291901949</x:v>
      </x:c>
      <x:c r="U56" s="31" t="n">
        <x:f>IF(T56="","",I56*T56)</x:f>
        <x:v>85164.23003544073</x:v>
      </x:c>
    </x:row>
    <x:row r="57" ht="18" customHeight="1">
      <x:c r="A57" s="24" t="str">
        <x:v>LME_054</x:v>
      </x:c>
      <x:c r="B57" s="24" t="str">
        <x:v>Northern Bering - Chukchi Seas</x:v>
      </x:c>
      <x:c r="C57" s="24" t="str">
        <x:v>LME</x:v>
      </x:c>
      <x:c r="D57" s="30" t="n">
        <x:v>2019</x:v>
      </x:c>
      <x:c r="E57" s="24" t="str">
        <x:v>Octopodidae</x:v>
      </x:c>
      <x:c r="F57" s="24" t="str">
        <x:v>Octopuses</x:v>
      </x:c>
      <x:c r="G57" s="24" t="str">
        <x:v>Cephalopods</x:v>
      </x:c>
      <x:c r="H57" s="24" t="str">
        <x:v>Other fishes &amp; inverts</x:v>
      </x:c>
      <x:c r="I57" s="31" t="n">
        <x:v>29.902315398600003</x:v>
      </x:c>
      <x:c r="J57" s="31" t="n">
        <x:v>25.1869335979</x:v>
      </x:c>
      <x:c r="K57" s="31" t="n">
        <x:v>4.7153818007</x:v>
      </x:c>
      <x:c r="L57" s="31" t="n">
        <x:v>25.1869335979</x:v>
      </x:c>
      <x:c r="M57" s="31" t="n">
        <x:v>4.7153818007</x:v>
      </x:c>
      <x:c r="N57" s="24" t="str">
        <x:v>octopodidae</x:v>
      </x:c>
      <x:c r="O57" s="32" t="n">
        <x:v>3.59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Octopodidae</x:v>
      </x:c>
      <x:c r="T57" s="32" t="n">
        <x:f>IF(O57="","",(1/'Metadata'!$B$5)^(O57-1))</x:f>
        <x:v>389.04514499428046</x:v>
      </x:c>
      <x:c r="U57" s="31" t="n">
        <x:f>IF(T57="","",I57*T57)</x:f>
        <x:v>11633.350629913044</x:v>
      </x:c>
    </x:row>
    <x:row r="58" ht="18" customHeight="1">
      <x:c r="A58" s="24" t="str">
        <x:v>LME_054</x:v>
      </x:c>
      <x:c r="B58" s="24" t="str">
        <x:v>Northern Bering - Chukchi Seas</x:v>
      </x:c>
      <x:c r="C58" s="24" t="str">
        <x:v>LME</x:v>
      </x:c>
      <x:c r="D58" s="30" t="n">
        <x:v>2019</x:v>
      </x:c>
      <x:c r="E58" s="24" t="str">
        <x:v>Cololabis saira</x:v>
      </x:c>
      <x:c r="F58" s="24" t="str">
        <x:v>Pacific saury</x:v>
      </x:c>
      <x:c r="G58" s="24" t="str">
        <x:v>Medium pelagics (30 - 89 cm)</x:v>
      </x:c>
      <x:c r="H58" s="24" t="str">
        <x:v>Other fishes &amp; inverts</x:v>
      </x:c>
      <x:c r="I58" s="31" t="n">
        <x:v>29.173507011199998</x:v>
      </x:c>
      <x:c r="J58" s="31" t="n">
        <x:v>29.173507011199998</x:v>
      </x:c>
      <x:c r="K58" s="31" t="n">
        <x:v>0</x:v>
      </x:c>
      <x:c r="L58" s="31" t="n">
        <x:v>20.2618082929</x:v>
      </x:c>
      <x:c r="M58" s="31" t="n">
        <x:v>8.9116987183</x:v>
      </x:c>
      <x:c r="N58" s="24" t="str">
        <x:v>cololabis saira</x:v>
      </x:c>
      <x:c r="O58" s="32" t="n">
        <x:v>3.71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Cololabis saira</x:v>
      </x:c>
      <x:c r="T58" s="32" t="n">
        <x:f>IF(O58="","",(1/'Metadata'!$B$5)^(O58-1))</x:f>
        <x:v>512.8613839913648</x:v>
      </x:c>
      <x:c r="U58" s="31" t="n">
        <x:f>IF(T58="","",I58*T58)</x:f>
        <x:v>14961.965181645817</x:v>
      </x:c>
    </x:row>
    <x:row r="59" ht="18" customHeight="1">
      <x:c r="A59" s="24" t="str">
        <x:v>LME_054</x:v>
      </x:c>
      <x:c r="B59" s="24" t="str">
        <x:v>Northern Bering - Chukchi Seas</x:v>
      </x:c>
      <x:c r="C59" s="24" t="str">
        <x:v>LME</x:v>
      </x:c>
      <x:c r="D59" s="30" t="n">
        <x:v>2019</x:v>
      </x:c>
      <x:c r="E59" s="24" t="str">
        <x:v>Strongylocentrotus</x:v>
      </x:c>
      <x:c r="F59" s="24" t="str">
        <x:v>Sickle-arched sea urchins</x:v>
      </x:c>
      <x:c r="G59" s="24" t="str">
        <x:v>Other demersal invertebrates</x:v>
      </x:c>
      <x:c r="H59" s="24" t="str">
        <x:v>Other fishes &amp; inverts</x:v>
      </x:c>
      <x:c r="I59" s="31" t="n">
        <x:v>23.2292280792</x:v>
      </x:c>
      <x:c r="J59" s="31" t="n">
        <x:v>23.2292280792</x:v>
      </x:c>
      <x:c r="K59" s="31" t="n">
        <x:v>0</x:v>
      </x:c>
      <x:c r="L59" s="31" t="n">
        <x:v>22.1646675597</x:v>
      </x:c>
      <x:c r="M59" s="31" t="n">
        <x:v>1.0645605195</x:v>
      </x:c>
      <x:c r="N59" s="24" t="str">
        <x:v>strongylocentrotus</x:v>
      </x:c>
      <x:c r="O59" s="32" t="n">
        <x:v>2.1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Strongylocentrotus</x:v>
      </x:c>
      <x:c r="T59" s="32" t="n">
        <x:f>IF(O59="","",(1/'Metadata'!$B$5)^(O59-1))</x:f>
        <x:v>12.589254117941675</x:v>
      </x:c>
      <x:c r="U59" s="31" t="n">
        <x:f>IF(T59="","",I59*T59)</x:f>
        <x:v>292.43865525267495</x:v>
      </x:c>
    </x:row>
    <x:row r="60" ht="18" customHeight="1">
      <x:c r="A60" s="24" t="str">
        <x:v>LME_054</x:v>
      </x:c>
      <x:c r="B60" s="24" t="str">
        <x:v>Northern Bering - Chukchi Seas</x:v>
      </x:c>
      <x:c r="C60" s="24" t="str">
        <x:v>LME</x:v>
      </x:c>
      <x:c r="D60" s="30" t="n">
        <x:v>2019</x:v>
      </x:c>
      <x:c r="E60" s="24" t="str">
        <x:v>Lepidopsetta bilineata</x:v>
      </x:c>
      <x:c r="F60" s="24" t="str">
        <x:v>Rock sole</x:v>
      </x:c>
      <x:c r="G60" s="24" t="str">
        <x:v>Small to medium flatfishes (&lt;90 cm)</x:v>
      </x:c>
      <x:c r="H60" s="24" t="str">
        <x:v>Flatfishes</x:v>
      </x:c>
      <x:c r="I60" s="31" t="n">
        <x:v>21.5068714891</x:v>
      </x:c>
      <x:c r="J60" s="31" t="n">
        <x:v>0</x:v>
      </x:c>
      <x:c r="K60" s="31" t="n">
        <x:v>21.5068714891</x:v>
      </x:c>
      <x:c r="L60" s="31" t="n">
        <x:v>0</x:v>
      </x:c>
      <x:c r="M60" s="31" t="n">
        <x:v>21.5068714891</x:v>
      </x:c>
      <x:c r="N60" s="24" t="str">
        <x:v>lepidopsetta bilineata</x:v>
      </x:c>
      <x:c r="O60" s="32" t="n">
        <x:v>3.18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Lepidopsetta bilineata</x:v>
      </x:c>
      <x:c r="T60" s="32" t="n">
        <x:f>IF(O60="","",(1/'Metadata'!$B$5)^(O60-1))</x:f>
        <x:v>151.35612484362088</x:v>
      </x:c>
      <x:c r="U60" s="31" t="n">
        <x:f>IF(T60="","",I60*T60)</x:f>
        <x:v>3255.19672609993</x:v>
      </x:c>
    </x:row>
    <x:row r="61" ht="18" customHeight="1">
      <x:c r="A61" s="24" t="str">
        <x:v>LME_054</x:v>
      </x:c>
      <x:c r="B61" s="24" t="str">
        <x:v>Northern Bering - Chukchi Seas</x:v>
      </x:c>
      <x:c r="C61" s="24" t="str">
        <x:v>LME</x:v>
      </x:c>
      <x:c r="D61" s="30" t="n">
        <x:v>2019</x:v>
      </x:c>
      <x:c r="E61" s="24" t="str">
        <x:v>Pleuronectes quadrituberculatus</x:v>
      </x:c>
      <x:c r="F61" s="24" t="str">
        <x:v>Alaska plaice</x:v>
      </x:c>
      <x:c r="G61" s="24" t="str">
        <x:v>Small to medium flatfishes (&lt;90 cm)</x:v>
      </x:c>
      <x:c r="H61" s="24" t="str">
        <x:v>Flatfishes</x:v>
      </x:c>
      <x:c r="I61" s="31" t="n">
        <x:v>12.5681403777</x:v>
      </x:c>
      <x:c r="J61" s="31" t="n">
        <x:v>0</x:v>
      </x:c>
      <x:c r="K61" s="31" t="n">
        <x:v>12.5681403777</x:v>
      </x:c>
      <x:c r="L61" s="31" t="n">
        <x:v>0</x:v>
      </x:c>
      <x:c r="M61" s="31" t="n">
        <x:v>12.5681403777</x:v>
      </x:c>
      <x:c r="N61" s="24" t="str">
        <x:v>pleuronectes quadrituberculatus</x:v>
      </x:c>
      <x:c r="O61" s="32" t="n">
        <x:v>3.59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Pleuronectes quadrituberculatus</x:v>
      </x:c>
      <x:c r="T61" s="32" t="n">
        <x:f>IF(O61="","",(1/'Metadata'!$B$5)^(O61-1))</x:f>
        <x:v>389.04514499428046</x:v>
      </x:c>
      <x:c r="U61" s="31" t="n">
        <x:f>IF(T61="","",I61*T61)</x:f>
        <x:v>4889.573995550768</x:v>
      </x:c>
    </x:row>
    <x:row r="62" ht="18" customHeight="1">
      <x:c r="A62" s="24" t="str">
        <x:v>LME_054</x:v>
      </x:c>
      <x:c r="B62" s="24" t="str">
        <x:v>Northern Bering - Chukchi Seas</x:v>
      </x:c>
      <x:c r="C62" s="24" t="str">
        <x:v>LME</x:v>
      </x:c>
      <x:c r="D62" s="30" t="n">
        <x:v>2019</x:v>
      </x:c>
      <x:c r="E62" s="24" t="str">
        <x:v>Pandalidae</x:v>
      </x:c>
      <x:c r="F62" s="24" t="str">
        <x:v>Northern shrimps</x:v>
      </x:c>
      <x:c r="G62" s="24" t="str">
        <x:v>Shrimps</x:v>
      </x:c>
      <x:c r="H62" s="24" t="str">
        <x:v>Crustaceans</x:v>
      </x:c>
      <x:c r="I62" s="31" t="n">
        <x:v>11.4967563818</x:v>
      </x:c>
      <x:c r="J62" s="31" t="n">
        <x:v>11.4967563818</x:v>
      </x:c>
      <x:c r="K62" s="31" t="n">
        <x:v>0</x:v>
      </x:c>
      <x:c r="L62" s="31" t="n">
        <x:v>0</x:v>
      </x:c>
      <x:c r="M62" s="31" t="n">
        <x:v>11.4967563818</x:v>
      </x:c>
      <x:c r="N62" s="24" t="str">
        <x:v>pandalidae</x:v>
      </x:c>
      <x:c r="O62" s="32" t="n">
        <x:v>2.7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Pandalidae</x:v>
      </x:c>
      <x:c r="T62" s="32" t="n">
        <x:f>IF(O62="","",(1/'Metadata'!$B$5)^(O62-1))</x:f>
        <x:v>50.11872336272725</x:v>
      </x:c>
      <x:c r="U62" s="31" t="n">
        <x:f>IF(T62="","",I62*T62)</x:f>
        <x:v>576.2027526681032</x:v>
      </x:c>
    </x:row>
    <x:row r="63" ht="18" customHeight="1">
      <x:c r="A63" s="24" t="str">
        <x:v>LME_054</x:v>
      </x:c>
      <x:c r="B63" s="24" t="str">
        <x:v>Northern Bering - Chukchi Seas</x:v>
      </x:c>
      <x:c r="C63" s="24" t="str">
        <x:v>LME</x:v>
      </x:c>
      <x:c r="D63" s="30" t="n">
        <x:v>2019</x:v>
      </x:c>
      <x:c r="E63" s="24" t="str">
        <x:v>Pandalus goniurus</x:v>
      </x:c>
      <x:c r="F63" s="24" t="str">
        <x:v>Humpy shrimp</x:v>
      </x:c>
      <x:c r="G63" s="24" t="str">
        <x:v>Shrimps</x:v>
      </x:c>
      <x:c r="H63" s="24" t="str">
        <x:v>Crustaceans</x:v>
      </x:c>
      <x:c r="I63" s="31" t="n">
        <x:v>9.1006566346</x:v>
      </x:c>
      <x:c r="J63" s="31" t="n">
        <x:v>9.1006566346</x:v>
      </x:c>
      <x:c r="K63" s="31" t="n">
        <x:v>0</x:v>
      </x:c>
      <x:c r="L63" s="31" t="n">
        <x:v>5.5381494060000005</x:v>
      </x:c>
      <x:c r="M63" s="31" t="n">
        <x:v>3.5625072286</x:v>
      </x:c>
      <x:c r="N63" s="24" t="str">
        <x:v>pandalus goniurus</x:v>
      </x:c>
      <x:c r="O63" s="32" t="n">
        <x:v>2.6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Pandalus goniurus</x:v>
      </x:c>
      <x:c r="T63" s="32" t="n">
        <x:f>IF(O63="","",(1/'Metadata'!$B$5)^(O63-1))</x:f>
        <x:v>39.810717055349734</x:v>
      </x:c>
      <x:c r="U63" s="31" t="n">
        <x:f>IF(T63="","",I63*T63)</x:f>
        <x:v>362.3036662979519</x:v>
      </x:c>
    </x:row>
    <x:row r="64" ht="18" customHeight="1">
      <x:c r="A64" s="24" t="str">
        <x:v>LME_054</x:v>
      </x:c>
      <x:c r="B64" s="24" t="str">
        <x:v>Northern Bering - Chukchi Seas</x:v>
      </x:c>
      <x:c r="C64" s="24" t="str">
        <x:v>LME</x:v>
      </x:c>
      <x:c r="D64" s="30" t="n">
        <x:v>2019</x:v>
      </x:c>
      <x:c r="E64" s="24" t="str">
        <x:v>Erimacrus isenbeckii</x:v>
      </x:c>
      <x:c r="F64" s="24" t="str">
        <x:v>Hair Crab</x:v>
      </x:c>
      <x:c r="G64" s="24" t="str">
        <x:v>Lobsters, crabs</x:v>
      </x:c>
      <x:c r="H64" s="24" t="str">
        <x:v>Crustaceans</x:v>
      </x:c>
      <x:c r="I64" s="31" t="n">
        <x:v>9.0056651858</x:v>
      </x:c>
      <x:c r="J64" s="31" t="n">
        <x:v>9.0056651858</x:v>
      </x:c>
      <x:c r="K64" s="31" t="n">
        <x:v>0</x:v>
      </x:c>
      <x:c r="L64" s="31" t="n">
        <x:v>8.7667684536</x:v>
      </x:c>
      <x:c r="M64" s="31" t="n">
        <x:v>0.23889673220000002</x:v>
      </x:c>
      <x:c r="N64" s="24" t="str">
        <x:v>erimacrus isenbeckii</x:v>
      </x:c>
      <x:c r="O64" s="32" t="n">
        <x:v>2.6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Erimacrus isenbeckii</x:v>
      </x:c>
      <x:c r="T64" s="32" t="n">
        <x:f>IF(O64="","",(1/'Metadata'!$B$5)^(O64-1))</x:f>
        <x:v>39.810717055349734</x:v>
      </x:c>
      <x:c r="U64" s="31" t="n">
        <x:f>IF(T64="","",I64*T64)</x:f>
        <x:v>358.5219886070974</x:v>
      </x:c>
    </x:row>
    <x:row r="65" ht="18" customHeight="1">
      <x:c r="A65" s="24" t="str">
        <x:v>LME_054</x:v>
      </x:c>
      <x:c r="B65" s="24" t="str">
        <x:v>Northern Bering - Chukchi Seas</x:v>
      </x:c>
      <x:c r="C65" s="24" t="str">
        <x:v>LME</x:v>
      </x:c>
      <x:c r="D65" s="30" t="n">
        <x:v>2019</x:v>
      </x:c>
      <x:c r="E65" s="24" t="str">
        <x:v>Coregonus pidschian</x:v>
      </x:c>
      <x:c r="F65" s="24" t="str">
        <x:v>Humpback whitefish</x:v>
      </x:c>
      <x:c r="G65" s="24" t="str">
        <x:v>Medium demersals (30 - 89 cm)</x:v>
      </x:c>
      <x:c r="H65" s="24" t="str">
        <x:v>Salmon, smelts, etc</x:v>
      </x:c>
      <x:c r="I65" s="31" t="n">
        <x:v>8.6439095258</x:v>
      </x:c>
      <x:c r="J65" s="31" t="n">
        <x:v>8.6439095258</x:v>
      </x:c>
      <x:c r="K65" s="31" t="n">
        <x:v>0</x:v>
      </x:c>
      <x:c r="L65" s="31" t="n">
        <x:v>0</x:v>
      </x:c>
      <x:c r="M65" s="31" t="n">
        <x:v>8.6439095258</x:v>
      </x:c>
      <x:c r="N65" s="24" t="str">
        <x:v>coregonus pidschian</x:v>
      </x:c>
      <x:c r="O65" s="32" t="n">
        <x:v>3.31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Coregonus pidschian</x:v>
      </x:c>
      <x:c r="T65" s="32" t="n">
        <x:f>IF(O65="","",(1/'Metadata'!$B$5)^(O65-1))</x:f>
        <x:v>204.17379446695296</x:v>
      </x:c>
      <x:c r="U65" s="31" t="n">
        <x:f>IF(T65="","",I65*T65)</x:f>
        <x:v>1764.859806911626</x:v>
      </x:c>
    </x:row>
    <x:row r="66" ht="18" customHeight="1">
      <x:c r="A66" s="24" t="str">
        <x:v>LME_054</x:v>
      </x:c>
      <x:c r="B66" s="24" t="str">
        <x:v>Northern Bering - Chukchi Seas</x:v>
      </x:c>
      <x:c r="C66" s="24" t="str">
        <x:v>LME</x:v>
      </x:c>
      <x:c r="D66" s="30" t="n">
        <x:v>2019</x:v>
      </x:c>
      <x:c r="E66" s="24" t="str">
        <x:v>Chionoecetes bairdi</x:v>
      </x:c>
      <x:c r="F66" s="24" t="str">
        <x:v>Tanner crab</x:v>
      </x:c>
      <x:c r="G66" s="24" t="str">
        <x:v>Lobsters, crabs</x:v>
      </x:c>
      <x:c r="H66" s="24" t="str">
        <x:v>Crustaceans</x:v>
      </x:c>
      <x:c r="I66" s="31" t="n">
        <x:v>7.7734335342</x:v>
      </x:c>
      <x:c r="J66" s="31" t="n">
        <x:v>7.7734335342</x:v>
      </x:c>
      <x:c r="K66" s="31" t="n">
        <x:v>0</x:v>
      </x:c>
      <x:c r="L66" s="31" t="n">
        <x:v>7.7734335342</x:v>
      </x:c>
      <x:c r="M66" s="31" t="n">
        <x:v>0</x:v>
      </x:c>
      <x:c r="N66" s="24" t="str">
        <x:v>chionoecetes bairdi</x:v>
      </x:c>
      <x:c r="O66" s="32" t="n">
        <x:v>3.08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Chionoecetes bairdi</x:v>
      </x:c>
      <x:c r="T66" s="32" t="n">
        <x:f>IF(O66="","",(1/'Metadata'!$B$5)^(O66-1))</x:f>
        <x:v>120.22644346174131</x:v>
      </x:c>
      <x:c r="U66" s="31" t="n">
        <x:f>IF(T66="","",I66*T66)</x:f>
        <x:v>934.5722673031001</x:v>
      </x:c>
    </x:row>
    <x:row r="67" ht="18" customHeight="1">
      <x:c r="A67" s="24" t="str">
        <x:v>LME_054</x:v>
      </x:c>
      <x:c r="B67" s="24" t="str">
        <x:v>Northern Bering - Chukchi Seas</x:v>
      </x:c>
      <x:c r="C67" s="24" t="str">
        <x:v>LME</x:v>
      </x:c>
      <x:c r="D67" s="30" t="n">
        <x:v>2019</x:v>
      </x:c>
      <x:c r="E67" s="24" t="str">
        <x:v>Coregonus laurettae</x:v>
      </x:c>
      <x:c r="F67" s="24" t="str">
        <x:v>Bering cisco</x:v>
      </x:c>
      <x:c r="G67" s="24" t="str">
        <x:v>Medium pelagics (30 - 89 cm)</x:v>
      </x:c>
      <x:c r="H67" s="24" t="str">
        <x:v>Salmon, smelts, etc</x:v>
      </x:c>
      <x:c r="I67" s="31" t="n">
        <x:v>7.710704156799999</x:v>
      </x:c>
      <x:c r="J67" s="31" t="n">
        <x:v>7.710704156799999</x:v>
      </x:c>
      <x:c r="K67" s="31" t="n">
        <x:v>0</x:v>
      </x:c>
      <x:c r="L67" s="31" t="n">
        <x:v>0</x:v>
      </x:c>
      <x:c r="M67" s="31" t="n">
        <x:v>7.710704156799999</x:v>
      </x:c>
      <x:c r="N67" s="24" t="str">
        <x:v>coregonus laurettae</x:v>
      </x:c>
      <x:c r="O67" s="32" t="n">
        <x:v>3.79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Coregonus laurettae</x:v>
      </x:c>
      <x:c r="T67" s="32" t="n">
        <x:f>IF(O67="","",(1/'Metadata'!$B$5)^(O67-1))</x:f>
        <x:v>616.5950018614822</x:v>
      </x:c>
      <x:c r="U67" s="31" t="n">
        <x:f>IF(T67="","",I67*T67)</x:f>
        <x:v>4754.381643915434</x:v>
      </x:c>
    </x:row>
    <x:row r="68" ht="18" customHeight="1">
      <x:c r="A68" s="24" t="str">
        <x:v>LME_054</x:v>
      </x:c>
      <x:c r="B68" s="24" t="str">
        <x:v>Northern Bering - Chukchi Seas</x:v>
      </x:c>
      <x:c r="C68" s="24" t="str">
        <x:v>LME</x:v>
      </x:c>
      <x:c r="D68" s="30" t="n">
        <x:v>2019</x:v>
      </x:c>
      <x:c r="E68" s="24" t="str">
        <x:v>Corbicula japonica</x:v>
      </x:c>
      <x:c r="F68" s="24" t="str">
        <x:v>Japanese corbicula</x:v>
      </x:c>
      <x:c r="G68" s="24" t="str">
        <x:v>Other demersal invertebrates</x:v>
      </x:c>
      <x:c r="H68" s="24" t="str">
        <x:v>Molluscs</x:v>
      </x:c>
      <x:c r="I68" s="31" t="n">
        <x:v>7.2226059902</x:v>
      </x:c>
      <x:c r="J68" s="31" t="n">
        <x:v>7.2226059902</x:v>
      </x:c>
      <x:c r="K68" s="31" t="n">
        <x:v>0</x:v>
      </x:c>
      <x:c r="L68" s="31" t="n">
        <x:v>0.0478793901</x:v>
      </x:c>
      <x:c r="M68" s="31" t="n">
        <x:v>7.1747266001</x:v>
      </x:c>
      <x:c r="N68" s="24" t="str">
        <x:v>corbicula japonica</x:v>
      </x:c>
      <x:c r="O68" s="32" t="n">
        <x:v>2.05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Corbicula japonica</x:v>
      </x:c>
      <x:c r="T68" s="32" t="n">
        <x:f>IF(O68="","",(1/'Metadata'!$B$5)^(O68-1))</x:f>
        <x:v>11.220184543019629</x:v>
      </x:c>
      <x:c r="U68" s="31" t="n">
        <x:f>IF(T68="","",I68*T68)</x:f>
        <x:v>81.03897209156302</x:v>
      </x:c>
    </x:row>
    <x:row r="69" ht="18" customHeight="1">
      <x:c r="A69" s="24" t="str">
        <x:v>LME_054</x:v>
      </x:c>
      <x:c r="B69" s="24" t="str">
        <x:v>Northern Bering - Chukchi Seas</x:v>
      </x:c>
      <x:c r="C69" s="24" t="str">
        <x:v>LME</x:v>
      </x:c>
      <x:c r="D69" s="30" t="n">
        <x:v>2019</x:v>
      </x:c>
      <x:c r="E69" s="24" t="str">
        <x:v>Cyprinidae</x:v>
      </x:c>
      <x:c r="F69" s="24" t="str">
        <x:v>Carps, barbels, other cyprinids</x:v>
      </x:c>
      <x:c r="G69" s="24" t="str">
        <x:v>Medium demersals (30 - 89 cm)</x:v>
      </x:c>
      <x:c r="H69" s="24" t="str">
        <x:v>Other fishes &amp; inverts</x:v>
      </x:c>
      <x:c r="I69" s="31" t="n">
        <x:v>5.982800907500001</x:v>
      </x:c>
      <x:c r="J69" s="31" t="n">
        <x:v>5.982800907500001</x:v>
      </x:c>
      <x:c r="K69" s="31" t="n">
        <x:v>0</x:v>
      </x:c>
      <x:c r="L69" s="31" t="n">
        <x:v>4.345740651</x:v>
      </x:c>
      <x:c r="M69" s="31" t="n">
        <x:v>1.6370602565</x:v>
      </x:c>
      <x:c r="N69" s="24" t="str">
        <x:v>cyprinidae</x:v>
      </x:c>
      <x:c r="O69" s="32" t="n">
        <x:v>2.8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Cyprinidae</x:v>
      </x:c>
      <x:c r="T69" s="32" t="n">
        <x:f>IF(O69="","",(1/'Metadata'!$B$5)^(O69-1))</x:f>
        <x:v>63.0957344480193</x:v>
      </x:c>
      <x:c r="U69" s="31" t="n">
        <x:f>IF(T69="","",I69*T69)</x:f>
        <x:v>377.48921731498893</x:v>
      </x:c>
    </x:row>
    <x:row r="70" ht="18" customHeight="1">
      <x:c r="A70" s="24" t="str">
        <x:v>LME_054</x:v>
      </x:c>
      <x:c r="B70" s="24" t="str">
        <x:v>Northern Bering - Chukchi Seas</x:v>
      </x:c>
      <x:c r="C70" s="24" t="str">
        <x:v>LME</x:v>
      </x:c>
      <x:c r="D70" s="30" t="n">
        <x:v>2019</x:v>
      </x:c>
      <x:c r="E70" s="24" t="str">
        <x:v>Crassostrea</x:v>
      </x:c>
      <x:c r="F70" s="24" t="str">
        <x:v>Cupped oysters</x:v>
      </x:c>
      <x:c r="G70" s="24" t="str">
        <x:v>Other demersal invertebrates</x:v>
      </x:c>
      <x:c r="H70" s="24" t="str">
        <x:v>Molluscs</x:v>
      </x:c>
      <x:c r="I70" s="31" t="n">
        <x:v>5.9723055113</x:v>
      </x:c>
      <x:c r="J70" s="31" t="n">
        <x:v>5.9723055113</x:v>
      </x:c>
      <x:c r="K70" s="31" t="n">
        <x:v>0</x:v>
      </x:c>
      <x:c r="L70" s="31" t="n">
        <x:v>5.6226670232</x:v>
      </x:c>
      <x:c r="M70" s="31" t="n">
        <x:v>0.3496384881</x:v>
      </x:c>
      <x:c r="N70" s="24" t="str">
        <x:v>crassostrea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Crassostrea</x:v>
      </x:c>
      <x:c r="T70" s="32" t="n">
        <x:f>IF(O70="","",(1/'Metadata'!$B$5)^(O70-1))</x:f>
        <x:v>10</x:v>
      </x:c>
      <x:c r="U70" s="31" t="n">
        <x:f>IF(T70="","",I70*T70)</x:f>
        <x:v>59.723055113</x:v>
      </x:c>
    </x:row>
    <x:row r="71" ht="18" customHeight="1">
      <x:c r="A71" s="24" t="str">
        <x:v>LME_054</x:v>
      </x:c>
      <x:c r="B71" s="24" t="str">
        <x:v>Northern Bering - Chukchi Seas</x:v>
      </x:c>
      <x:c r="C71" s="24" t="str">
        <x:v>LME</x:v>
      </x:c>
      <x:c r="D71" s="30" t="n">
        <x:v>2019</x:v>
      </x:c>
      <x:c r="E71" s="24" t="str">
        <x:v>Sebastolobus alascanus</x:v>
      </x:c>
      <x:c r="F71" s="24" t="str">
        <x:v>Shortspine thornyhead</x:v>
      </x:c>
      <x:c r="G71" s="24" t="str">
        <x:v>Medium bathydemersals (30 - 89 cm)</x:v>
      </x:c>
      <x:c r="H71" s="24" t="str">
        <x:v>Scorpionfishes</x:v>
      </x:c>
      <x:c r="I71" s="31" t="n">
        <x:v>4.9176406882</x:v>
      </x:c>
      <x:c r="J71" s="31" t="n">
        <x:v>4.9176406882</x:v>
      </x:c>
      <x:c r="K71" s="31" t="n">
        <x:v>0</x:v>
      </x:c>
      <x:c r="L71" s="31" t="n">
        <x:v>4.313855809600001</x:v>
      </x:c>
      <x:c r="M71" s="31" t="n">
        <x:v>0.6037848786</x:v>
      </x:c>
      <x:c r="N71" s="24" t="str">
        <x:v>sebastolobus alascanus</x:v>
      </x:c>
      <x:c r="O71" s="32" t="n">
        <x:v>3.62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Sebastolobus alascanus</x:v>
      </x:c>
      <x:c r="T71" s="32" t="n">
        <x:f>IF(O71="","",(1/'Metadata'!$B$5)^(O71-1))</x:f>
        <x:v>416.8693834703355</x:v>
      </x:c>
      <x:c r="U71" s="31" t="n">
        <x:f>IF(T71="","",I71*T71)</x:f>
        <x:v>2050.01384181857</x:v>
      </x:c>
    </x:row>
    <x:row r="72" ht="18" customHeight="1">
      <x:c r="A72" s="24" t="str">
        <x:v>LME_054</x:v>
      </x:c>
      <x:c r="B72" s="24" t="str">
        <x:v>Northern Bering - Chukchi Seas</x:v>
      </x:c>
      <x:c r="C72" s="24" t="str">
        <x:v>LME</x:v>
      </x:c>
      <x:c r="D72" s="30" t="n">
        <x:v>2019</x:v>
      </x:c>
      <x:c r="E72" s="24" t="str">
        <x:v>Mytilidae</x:v>
      </x:c>
      <x:c r="F72" s="24" t="str">
        <x:v>Sea mussels</x:v>
      </x:c>
      <x:c r="G72" s="24" t="str">
        <x:v>Other demersal invertebrates</x:v>
      </x:c>
      <x:c r="H72" s="24" t="str">
        <x:v>Molluscs</x:v>
      </x:c>
      <x:c r="I72" s="31" t="n">
        <x:v>4.8193936164</x:v>
      </x:c>
      <x:c r="J72" s="31" t="n">
        <x:v>4.8193936164</x:v>
      </x:c>
      <x:c r="K72" s="31" t="n">
        <x:v>0</x:v>
      </x:c>
      <x:c r="L72" s="31" t="n">
        <x:v>4.5037128118</x:v>
      </x:c>
      <x:c r="M72" s="31" t="n">
        <x:v>0.3156808046</x:v>
      </x:c>
      <x:c r="N72" s="24" t="str">
        <x:v>mytilidae</x:v>
      </x:c>
      <x:c r="O72" s="32" t="n">
        <x:v>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Mytilidae</x:v>
      </x:c>
      <x:c r="T72" s="32" t="n">
        <x:f>IF(O72="","",(1/'Metadata'!$B$5)^(O72-1))</x:f>
        <x:v>10</x:v>
      </x:c>
      <x:c r="U72" s="31" t="n">
        <x:f>IF(T72="","",I72*T72)</x:f>
        <x:v>48.193936164</x:v>
      </x:c>
    </x:row>
    <x:row r="73" ht="18" customHeight="1">
      <x:c r="A73" s="24" t="str">
        <x:v>LME_054</x:v>
      </x:c>
      <x:c r="B73" s="24" t="str">
        <x:v>Northern Bering - Chukchi Seas</x:v>
      </x:c>
      <x:c r="C73" s="24" t="str">
        <x:v>LME</x:v>
      </x:c>
      <x:c r="D73" s="30" t="n">
        <x:v>2019</x:v>
      </x:c>
      <x:c r="E73" s="24" t="str">
        <x:v>Boreogadus saida</x:v>
      </x:c>
      <x:c r="F73" s="24" t="str">
        <x:v>Polar cod</x:v>
      </x:c>
      <x:c r="G73" s="24" t="str">
        <x:v>Medium demersals (30 - 89 cm)</x:v>
      </x:c>
      <x:c r="H73" s="24" t="str">
        <x:v>Cod-likes</x:v>
      </x:c>
      <x:c r="I73" s="31" t="n">
        <x:v>3.8559343541</x:v>
      </x:c>
      <x:c r="J73" s="31" t="n">
        <x:v>3.8559343541</x:v>
      </x:c>
      <x:c r="K73" s="31" t="n">
        <x:v>0</x:v>
      </x:c>
      <x:c r="L73" s="31" t="n">
        <x:v>0</x:v>
      </x:c>
      <x:c r="M73" s="31" t="n">
        <x:v>3.8559343541</x:v>
      </x:c>
      <x:c r="N73" s="24" t="str">
        <x:v>boreogadus saida</x:v>
      </x:c>
      <x:c r="O73" s="32" t="n">
        <x:v>3.12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Boreogadus saida</x:v>
      </x:c>
      <x:c r="T73" s="32" t="n">
        <x:f>IF(O73="","",(1/'Metadata'!$B$5)^(O73-1))</x:f>
        <x:v>131.82567385564073</x:v>
      </x:c>
      <x:c r="U73" s="31" t="n">
        <x:f>IF(T73="","",I73*T73)</x:f>
        <x:v>508.3111445723473</x:v>
      </x:c>
    </x:row>
    <x:row r="74" ht="18" customHeight="1">
      <x:c r="A74" s="24" t="str">
        <x:v>LME_054</x:v>
      </x:c>
      <x:c r="B74" s="24" t="str">
        <x:v>Northern Bering - Chukchi Seas</x:v>
      </x:c>
      <x:c r="C74" s="24" t="str">
        <x:v>LME</x:v>
      </x:c>
      <x:c r="D74" s="30" t="n">
        <x:v>2019</x:v>
      </x:c>
      <x:c r="E74" s="24" t="str">
        <x:v>Raja</x:v>
      </x:c>
      <x:c r="F74" s="24" t="str">
        <x:v>Stingrays, skates</x:v>
      </x:c>
      <x:c r="G74" s="24" t="str">
        <x:v>Small to medium rays (&lt;90 cm)</x:v>
      </x:c>
      <x:c r="H74" s="24" t="str">
        <x:v>Sharks &amp; rays</x:v>
      </x:c>
      <x:c r="I74" s="31" t="n">
        <x:v>3.4309181699</x:v>
      </x:c>
      <x:c r="J74" s="31" t="n">
        <x:v>0</x:v>
      </x:c>
      <x:c r="K74" s="31" t="n">
        <x:v>3.4309181699</x:v>
      </x:c>
      <x:c r="L74" s="31" t="n">
        <x:v>0</x:v>
      </x:c>
      <x:c r="M74" s="31" t="n">
        <x:v>3.4309181699</x:v>
      </x:c>
      <x:c r="N74" s="24" t="str">
        <x:v>raja</x:v>
      </x:c>
      <x:c r="O74" s="32" t="n">
        <x:v>3.8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Raja</x:v>
      </x:c>
      <x:c r="T74" s="32" t="n">
        <x:f>IF(O74="","",(1/'Metadata'!$B$5)^(O74-1))</x:f>
        <x:v>630.957344480193</x:v>
      </x:c>
      <x:c r="U74" s="31" t="n">
        <x:f>IF(T74="","",I74*T74)</x:f>
        <x:v>2164.763017608948</x:v>
      </x:c>
    </x:row>
    <x:row r="75" ht="18" customHeight="1">
      <x:c r="A75" s="24" t="str">
        <x:v>LME_054</x:v>
      </x:c>
      <x:c r="B75" s="24" t="str">
        <x:v>Northern Bering - Chukchi Seas</x:v>
      </x:c>
      <x:c r="C75" s="24" t="str">
        <x:v>LME</x:v>
      </x:c>
      <x:c r="D75" s="30" t="n">
        <x:v>2019</x:v>
      </x:c>
      <x:c r="E75" s="24" t="str">
        <x:v>Bivalvia</x:v>
      </x:c>
      <x:c r="F75" s="24" t="str">
        <x:v>Clams</x:v>
      </x:c>
      <x:c r="G75" s="24" t="str">
        <x:v>Other demersal invertebrates</x:v>
      </x:c>
      <x:c r="H75" s="24" t="str">
        <x:v>Molluscs</x:v>
      </x:c>
      <x:c r="I75" s="31" t="n">
        <x:v>3.2639235599000003</x:v>
      </x:c>
      <x:c r="J75" s="31" t="n">
        <x:v>3.2639235599000003</x:v>
      </x:c>
      <x:c r="K75" s="31" t="n">
        <x:v>0</x:v>
      </x:c>
      <x:c r="L75" s="31" t="n">
        <x:v>2.0023540589</x:v>
      </x:c>
      <x:c r="M75" s="31" t="n">
        <x:v>1.261569501</x:v>
      </x:c>
      <x:c r="N75" s="24" t="str">
        <x:v>bivalvia</x:v>
      </x:c>
      <x:c r="O75" s="32" t="n">
        <x:v>2.23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Bivalvia</x:v>
      </x:c>
      <x:c r="T75" s="32" t="n">
        <x:f>IF(O75="","",(1/'Metadata'!$B$5)^(O75-1))</x:f>
        <x:v>16.982436524617444</x:v>
      </x:c>
      <x:c r="U75" s="31" t="n">
        <x:f>IF(T75="","",I75*T75)</x:f>
        <x:v>55.42937467720516</x:v>
      </x:c>
    </x:row>
    <x:row r="76" ht="18" customHeight="1">
      <x:c r="A76" s="24" t="str">
        <x:v>LME_054</x:v>
      </x:c>
      <x:c r="B76" s="24" t="str">
        <x:v>Northern Bering - Chukchi Seas</x:v>
      </x:c>
      <x:c r="C76" s="24" t="str">
        <x:v>LME</x:v>
      </x:c>
      <x:c r="D76" s="30" t="n">
        <x:v>2019</x:v>
      </x:c>
      <x:c r="E76" s="24" t="str">
        <x:v>Lycodes</x:v>
      </x:c>
      <x:c r="F76" s="24" t="str">
        <x:v>Eelpouts</x:v>
      </x:c>
      <x:c r="G76" s="24" t="str">
        <x:v>Medium bathydemersals (30 - 89 cm)</x:v>
      </x:c>
      <x:c r="H76" s="24" t="str">
        <x:v>Perch-likes</x:v>
      </x:c>
      <x:c r="I76" s="31" t="n">
        <x:v>3.0625184953000004</x:v>
      </x:c>
      <x:c r="J76" s="31" t="n">
        <x:v>3.0625184953000004</x:v>
      </x:c>
      <x:c r="K76" s="31" t="n">
        <x:v>0</x:v>
      </x:c>
      <x:c r="L76" s="31" t="n">
        <x:v>1.0084549638</x:v>
      </x:c>
      <x:c r="M76" s="31" t="n">
        <x:v>2.0540635315</x:v>
      </x:c>
      <x:c r="N76" s="24" t="str">
        <x:v>lycodes</x:v>
      </x:c>
      <x:c r="O76" s="32" t="n">
        <x:v>3.3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Lycodes</x:v>
      </x:c>
      <x:c r="T76" s="32" t="n">
        <x:f>IF(O76="","",(1/'Metadata'!$B$5)^(O76-1))</x:f>
        <x:v>199.52623149688787</x:v>
      </x:c>
      <x:c r="U76" s="31" t="n">
        <x:f>IF(T76="","",I76*T76)</x:f>
        <x:v>611.0527742567286</x:v>
      </x:c>
    </x:row>
    <x:row r="77" ht="18" customHeight="1">
      <x:c r="A77" s="24" t="str">
        <x:v>LME_054</x:v>
      </x:c>
      <x:c r="B77" s="24" t="str">
        <x:v>Northern Bering - Chukchi Seas</x:v>
      </x:c>
      <x:c r="C77" s="24" t="str">
        <x:v>LME</x:v>
      </x:c>
      <x:c r="D77" s="30" t="n">
        <x:v>2019</x:v>
      </x:c>
      <x:c r="E77" s="24" t="str">
        <x:v>Lithodidae</x:v>
      </x:c>
      <x:c r="F77" s="24" t="str">
        <x:v>Stone/king crabs</x:v>
      </x:c>
      <x:c r="G77" s="24" t="str">
        <x:v>Lobsters, crabs</x:v>
      </x:c>
      <x:c r="H77" s="24" t="str">
        <x:v>Crustaceans</x:v>
      </x:c>
      <x:c r="I77" s="31" t="n">
        <x:v>3.0491616838</x:v>
      </x:c>
      <x:c r="J77" s="31" t="n">
        <x:v>3.0491616838</x:v>
      </x:c>
      <x:c r="K77" s="31" t="n">
        <x:v>0</x:v>
      </x:c>
      <x:c r="L77" s="31" t="n">
        <x:v>0</x:v>
      </x:c>
      <x:c r="M77" s="31" t="n">
        <x:v>3.0491616838</x:v>
      </x:c>
      <x:c r="N77" s="24" t="str">
        <x:v>lithodidae</x:v>
      </x:c>
      <x:c r="O77" s="32" t="n">
        <x:v>2.82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Lithodidae</x:v>
      </x:c>
      <x:c r="T77" s="32" t="n">
        <x:f>IF(O77="","",(1/'Metadata'!$B$5)^(O77-1))</x:f>
        <x:v>66.06934480075958</x:v>
      </x:c>
      <x:c r="U77" s="31" t="n">
        <x:f>IF(T77="","",I77*T77)</x:f>
        <x:v>201.45611464024685</x:v>
      </x:c>
    </x:row>
    <x:row r="78" ht="18" customHeight="1">
      <x:c r="A78" s="24" t="str">
        <x:v>LME_054</x:v>
      </x:c>
      <x:c r="B78" s="24" t="str">
        <x:v>Northern Bering - Chukchi Seas</x:v>
      </x:c>
      <x:c r="C78" s="24" t="str">
        <x:v>LME</x:v>
      </x:c>
      <x:c r="D78" s="30" t="n">
        <x:v>2019</x:v>
      </x:c>
      <x:c r="E78" s="24" t="str">
        <x:v>Moridae</x:v>
      </x:c>
      <x:c r="F78" s="24" t="str">
        <x:v>Codlings, moras</x:v>
      </x:c>
      <x:c r="G78" s="24" t="str">
        <x:v>Medium benthopelagics (30 - 89 cm)</x:v>
      </x:c>
      <x:c r="H78" s="24" t="str">
        <x:v>Cod-likes</x:v>
      </x:c>
      <x:c r="I78" s="31" t="n">
        <x:v>1.7762746076999998</x:v>
      </x:c>
      <x:c r="J78" s="31" t="n">
        <x:v>1.7762746076999998</x:v>
      </x:c>
      <x:c r="K78" s="31" t="n">
        <x:v>0</x:v>
      </x:c>
      <x:c r="L78" s="31" t="n">
        <x:v>0.8232033007999999</x:v>
      </x:c>
      <x:c r="M78" s="31" t="n">
        <x:v>0.9530713069</x:v>
      </x:c>
      <x:c r="N78" s="24" t="str">
        <x:v>moridae</x:v>
      </x:c>
      <x:c r="O78" s="32" t="n">
        <x:v>3.87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Moridae</x:v>
      </x:c>
      <x:c r="T78" s="32" t="n">
        <x:f>IF(O78="","",(1/'Metadata'!$B$5)^(O78-1))</x:f>
        <x:v>741.3102413009177</x:v>
      </x:c>
      <x:c r="U78" s="31" t="n">
        <x:f>IF(T78="","",I78*T78)</x:f>
        <x:v>1316.7705580507798</x:v>
      </x:c>
    </x:row>
    <x:row r="79" ht="18" customHeight="1">
      <x:c r="A79" s="24" t="str">
        <x:v>LME_054</x:v>
      </x:c>
      <x:c r="B79" s="24" t="str">
        <x:v>Northern Bering - Chukchi Seas</x:v>
      </x:c>
      <x:c r="C79" s="24" t="str">
        <x:v>LME</x:v>
      </x:c>
      <x:c r="D79" s="30" t="n">
        <x:v>2019</x:v>
      </x:c>
      <x:c r="E79" s="24" t="str">
        <x:v>Microstomus pacificus</x:v>
      </x:c>
      <x:c r="F79" s="24" t="str">
        <x:v>Dover sole</x:v>
      </x:c>
      <x:c r="G79" s="24" t="str">
        <x:v>Small to medium flatfishes (&lt;90 cm)</x:v>
      </x:c>
      <x:c r="H79" s="24" t="str">
        <x:v>Flatfishes</x:v>
      </x:c>
      <x:c r="I79" s="31" t="n">
        <x:v>1.3955265046</x:v>
      </x:c>
      <x:c r="J79" s="31" t="n">
        <x:v>1.3955265046</x:v>
      </x:c>
      <x:c r="K79" s="31" t="n">
        <x:v>0</x:v>
      </x:c>
      <x:c r="L79" s="31" t="n">
        <x:v>1.3955265046</x:v>
      </x:c>
      <x:c r="M79" s="31" t="n">
        <x:v>0</x:v>
      </x:c>
      <x:c r="N79" s="24" t="str">
        <x:v>microstomus pacificus</x:v>
      </x:c>
      <x:c r="O79" s="32" t="n">
        <x:v>3.22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Microstomus pacificus</x:v>
      </x:c>
      <x:c r="T79" s="32" t="n">
        <x:f>IF(O79="","",(1/'Metadata'!$B$5)^(O79-1))</x:f>
        <x:v>165.95869074375614</x:v>
      </x:c>
      <x:c r="U79" s="31" t="n">
        <x:f>IF(T79="","",I79*T79)</x:f>
        <x:v>231.5997516016264</x:v>
      </x:c>
    </x:row>
    <x:row r="80" ht="18" customHeight="1">
      <x:c r="A80" s="24" t="str">
        <x:v>LME_054</x:v>
      </x:c>
      <x:c r="B80" s="24" t="str">
        <x:v>Northern Bering - Chukchi Seas</x:v>
      </x:c>
      <x:c r="C80" s="24" t="str">
        <x:v>LME</x:v>
      </x:c>
      <x:c r="D80" s="30" t="n">
        <x:v>2019</x:v>
      </x:c>
      <x:c r="E80" s="24" t="str">
        <x:v>Myoxocephalus quadricornis</x:v>
      </x:c>
      <x:c r="F80" s="24" t="str">
        <x:v>Fourhorn sculpin</x:v>
      </x:c>
      <x:c r="G80" s="24" t="str">
        <x:v>Medium demersals (30 - 89 cm)</x:v>
      </x:c>
      <x:c r="H80" s="24" t="str">
        <x:v>Scorpionfishes</x:v>
      </x:c>
      <x:c r="I80" s="31" t="n">
        <x:v>0.9772379435999999</x:v>
      </x:c>
      <x:c r="J80" s="31" t="n">
        <x:v>0.9772379435999999</x:v>
      </x:c>
      <x:c r="K80" s="31" t="n">
        <x:v>0</x:v>
      </x:c>
      <x:c r="L80" s="31" t="n">
        <x:v>0</x:v>
      </x:c>
      <x:c r="M80" s="31" t="n">
        <x:v>0.9772379435999999</x:v>
      </x:c>
      <x:c r="N80" s="24" t="str">
        <x:v>myoxocephalus quadricornis</x:v>
      </x:c>
      <x:c r="O80" s="32" t="n">
        <x:v>3.69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Myoxocephalus quadricornis</x:v>
      </x:c>
      <x:c r="T80" s="32" t="n">
        <x:f>IF(O80="","",(1/'Metadata'!$B$5)^(O80-1))</x:f>
        <x:v>489.77881936844614</x:v>
      </x:c>
      <x:c r="U80" s="31" t="n">
        <x:f>IF(T80="","",I80*T80)</x:f>
        <x:v>478.6304462584561</x:v>
      </x:c>
    </x:row>
    <x:row r="81" ht="18" customHeight="1">
      <x:c r="A81" s="24" t="str">
        <x:v>LME_054</x:v>
      </x:c>
      <x:c r="B81" s="24" t="str">
        <x:v>Northern Bering - Chukchi Seas</x:v>
      </x:c>
      <x:c r="C81" s="24" t="str">
        <x:v>LME</x:v>
      </x:c>
      <x:c r="D81" s="30" t="n">
        <x:v>2019</x:v>
      </x:c>
      <x:c r="E81" s="24" t="str">
        <x:v>Mugil cephalus</x:v>
      </x:c>
      <x:c r="F81" s="24" t="str">
        <x:v>Flathead grey mullet</x:v>
      </x:c>
      <x:c r="G81" s="24" t="str">
        <x:v>Large benthopelagics (&gt;=90 cm)</x:v>
      </x:c>
      <x:c r="H81" s="24" t="str">
        <x:v>Perch-likes</x:v>
      </x:c>
      <x:c r="I81" s="31" t="n">
        <x:v>0.8061850757000001</x:v>
      </x:c>
      <x:c r="J81" s="31" t="n">
        <x:v>0.8061850757000001</x:v>
      </x:c>
      <x:c r="K81" s="31" t="n">
        <x:v>0</x:v>
      </x:c>
      <x:c r="L81" s="31" t="n">
        <x:v>0.8061850757000001</x:v>
      </x:c>
      <x:c r="M81" s="31" t="n">
        <x:v>0</x:v>
      </x:c>
      <x:c r="N81" s="24" t="str">
        <x:v>mugil cephalus</x:v>
      </x:c>
      <x:c r="O81" s="32" t="n">
        <x:v>2.14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Mugil cephalus</x:v>
      </x:c>
      <x:c r="T81" s="32" t="n">
        <x:f>IF(O81="","",(1/'Metadata'!$B$5)^(O81-1))</x:f>
        <x:v>13.803842646028853</x:v>
      </x:c>
      <x:c r="U81" s="31" t="n">
        <x:f>IF(T81="","",I81*T81)</x:f>
        <x:v>11.128451928539661</x:v>
      </x:c>
    </x:row>
    <x:row r="82" ht="18" customHeight="1">
      <x:c r="A82" s="24" t="str">
        <x:v>LME_054</x:v>
      </x:c>
      <x:c r="B82" s="24" t="str">
        <x:v>Northern Bering - Chukchi Seas</x:v>
      </x:c>
      <x:c r="C82" s="24" t="str">
        <x:v>LME</x:v>
      </x:c>
      <x:c r="D82" s="30" t="n">
        <x:v>2019</x:v>
      </x:c>
      <x:c r="E82" s="24" t="str">
        <x:v>Mugilidae</x:v>
      </x:c>
      <x:c r="F82" s="24" t="str">
        <x:v>Mullets, grey mullets</x:v>
      </x:c>
      <x:c r="G82" s="24" t="str">
        <x:v>Medium reef assoc. fish (30 - 89 cm)</x:v>
      </x:c>
      <x:c r="H82" s="24" t="str">
        <x:v>Perch-likes</x:v>
      </x:c>
      <x:c r="I82" s="31" t="n">
        <x:v>0.4557669385</x:v>
      </x:c>
      <x:c r="J82" s="31" t="n">
        <x:v>0.4557669385</x:v>
      </x:c>
      <x:c r="K82" s="31" t="n">
        <x:v>0</x:v>
      </x:c>
      <x:c r="L82" s="31" t="n">
        <x:v>0.1139417347</x:v>
      </x:c>
      <x:c r="M82" s="31" t="n">
        <x:v>0.3418252038</x:v>
      </x:c>
      <x:c r="N82" s="24" t="str">
        <x:v>mugilidae</x:v>
      </x:c>
      <x:c r="O82" s="32" t="n">
        <x:v>2.53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Mugilidae</x:v>
      </x:c>
      <x:c r="T82" s="32" t="n">
        <x:f>IF(O82="","",(1/'Metadata'!$B$5)^(O82-1))</x:f>
        <x:v>33.88441561392024</x:v>
      </x:c>
      <x:c r="U82" s="31" t="n">
        <x:f>IF(T82="","",I82*T82)</x:f>
        <x:v>15.443396367218025</x:v>
      </x:c>
    </x:row>
    <x:row r="83" ht="18" customHeight="1">
      <x:c r="A83" s="24" t="str">
        <x:v>LME_054</x:v>
      </x:c>
      <x:c r="B83" s="24" t="str">
        <x:v>Northern Bering - Chukchi Seas</x:v>
      </x:c>
      <x:c r="C83" s="24" t="str">
        <x:v>LME</x:v>
      </x:c>
      <x:c r="D83" s="30" t="n">
        <x:v>2019</x:v>
      </x:c>
      <x:c r="E83" s="24" t="str">
        <x:v>Veneridae</x:v>
      </x:c>
      <x:c r="F83" s="24" t="str">
        <x:v>Venus clams</x:v>
      </x:c>
      <x:c r="G83" s="24" t="str">
        <x:v>Other demersal invertebrates</x:v>
      </x:c>
      <x:c r="H83" s="24" t="str">
        <x:v>Molluscs</x:v>
      </x:c>
      <x:c r="I83" s="31" t="n">
        <x:v>0.4315558098</x:v>
      </x:c>
      <x:c r="J83" s="31" t="n">
        <x:v>0.4315558098</x:v>
      </x:c>
      <x:c r="K83" s="31" t="n">
        <x:v>0</x:v>
      </x:c>
      <x:c r="L83" s="31" t="n">
        <x:v>0</x:v>
      </x:c>
      <x:c r="M83" s="31" t="n">
        <x:v>0.4315558098</x:v>
      </x:c>
      <x:c r="N83" s="24" t="str">
        <x:v>veneridae</x:v>
      </x:c>
      <x:c r="O83" s="32" t="n">
        <x:v>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Veneridae</x:v>
      </x:c>
      <x:c r="T83" s="32" t="n">
        <x:f>IF(O83="","",(1/'Metadata'!$B$5)^(O83-1))</x:f>
        <x:v>10</x:v>
      </x:c>
      <x:c r="U83" s="31" t="n">
        <x:f>IF(T83="","",I83*T83)</x:f>
        <x:v>4.315558098</x:v>
      </x:c>
    </x:row>
    <x:row r="84" ht="18" customHeight="1">
      <x:c r="A84" s="24" t="str">
        <x:v>LME_054</x:v>
      </x:c>
      <x:c r="B84" s="24" t="str">
        <x:v>Northern Bering - Chukchi Seas</x:v>
      </x:c>
      <x:c r="C84" s="24" t="str">
        <x:v>LME</x:v>
      </x:c>
      <x:c r="D84" s="30" t="n">
        <x:v>2019</x:v>
      </x:c>
      <x:c r="E84" s="24" t="str">
        <x:v>Gadidae</x:v>
      </x:c>
      <x:c r="F84" s="24" t="str">
        <x:v>Cods, haddocks</x:v>
      </x:c>
      <x:c r="G84" s="24" t="str">
        <x:v>Medium demersals (30 - 89 cm)</x:v>
      </x:c>
      <x:c r="H84" s="24" t="str">
        <x:v>Cod-likes</x:v>
      </x:c>
      <x:c r="I84" s="31" t="n">
        <x:v>0.3552052113</x:v>
      </x:c>
      <x:c r="J84" s="31" t="n">
        <x:v>0.3552052113</x:v>
      </x:c>
      <x:c r="K84" s="31" t="n">
        <x:v>0</x:v>
      </x:c>
      <x:c r="L84" s="31" t="n">
        <x:v>0</x:v>
      </x:c>
      <x:c r="M84" s="31" t="n">
        <x:v>0.3552052113</x:v>
      </x:c>
      <x:c r="N84" s="24" t="str">
        <x:v>gadidae</x:v>
      </x:c>
      <x:c r="O84" s="32" t="n">
        <x:v>3.84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Gadidae</x:v>
      </x:c>
      <x:c r="T84" s="32" t="n">
        <x:f>IF(O84="","",(1/'Metadata'!$B$5)^(O84-1))</x:f>
        <x:v>691.8309709189363</x:v>
      </x:c>
      <x:c r="U84" s="31" t="n">
        <x:f>IF(T84="","",I84*T84)</x:f>
        <x:v>245.7419662091449</x:v>
      </x:c>
    </x:row>
    <x:row r="85" ht="18" customHeight="1">
      <x:c r="A85" s="24" t="str">
        <x:v>LME_054</x:v>
      </x:c>
      <x:c r="B85" s="24" t="str">
        <x:v>Northern Bering - Chukchi Seas</x:v>
      </x:c>
      <x:c r="C85" s="24" t="str">
        <x:v>LME</x:v>
      </x:c>
      <x:c r="D85" s="30" t="n">
        <x:v>2019</x:v>
      </x:c>
      <x:c r="E85" s="24" t="str">
        <x:v>Cardiidae</x:v>
      </x:c>
      <x:c r="F85" s="24" t="str">
        <x:v>Cockles</x:v>
      </x:c>
      <x:c r="G85" s="24" t="str">
        <x:v>Other demersal invertebrates</x:v>
      </x:c>
      <x:c r="H85" s="24" t="str">
        <x:v>Molluscs</x:v>
      </x:c>
      <x:c r="I85" s="31" t="n">
        <x:v>0.2900018765</x:v>
      </x:c>
      <x:c r="J85" s="31" t="n">
        <x:v>0.2900018765</x:v>
      </x:c>
      <x:c r="K85" s="31" t="n">
        <x:v>0</x:v>
      </x:c>
      <x:c r="L85" s="31" t="n">
        <x:v>0</x:v>
      </x:c>
      <x:c r="M85" s="31" t="n">
        <x:v>0.2900018765</x:v>
      </x:c>
      <x:c r="N85" s="24" t="str">
        <x:v>cardiidae</x:v>
      </x:c>
      <x:c r="O85" s="32" t="n">
        <x:v>2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Cardiidae</x:v>
      </x:c>
      <x:c r="T85" s="32" t="n">
        <x:f>IF(O85="","",(1/'Metadata'!$B$5)^(O85-1))</x:f>
        <x:v>10</x:v>
      </x:c>
      <x:c r="U85" s="31" t="n">
        <x:f>IF(T85="","",I85*T85)</x:f>
        <x:v>2.9000187649999996</x:v>
      </x:c>
    </x:row>
    <x:row r="86" ht="18" customHeight="1">
      <x:c r="A86" s="24" t="str">
        <x:v>LME_054</x:v>
      </x:c>
      <x:c r="B86" s="24" t="str">
        <x:v>Northern Bering - Chukchi Seas</x:v>
      </x:c>
      <x:c r="C86" s="24" t="str">
        <x:v>LME</x:v>
      </x:c>
      <x:c r="D86" s="30" t="n">
        <x:v>2019</x:v>
      </x:c>
      <x:c r="E86" s="24" t="str">
        <x:v>Oncorhynchus mykiss</x:v>
      </x:c>
      <x:c r="F86" s="24" t="str">
        <x:v>Rainbow trout</x:v>
      </x:c>
      <x:c r="G86" s="24" t="str">
        <x:v>Large benthopelagics (&gt;=90 cm)</x:v>
      </x:c>
      <x:c r="H86" s="24" t="str">
        <x:v>Salmon, smelts, etc</x:v>
      </x:c>
      <x:c r="I86" s="31" t="n">
        <x:v>0.2790524638</x:v>
      </x:c>
      <x:c r="J86" s="31" t="n">
        <x:v>0.2790524638</x:v>
      </x:c>
      <x:c r="K86" s="31" t="n">
        <x:v>0</x:v>
      </x:c>
      <x:c r="L86" s="31" t="n">
        <x:v>0</x:v>
      </x:c>
      <x:c r="M86" s="31" t="n">
        <x:v>0.2790524638</x:v>
      </x:c>
      <x:c r="N86" s="24" t="str">
        <x:v>oncorhynchus mykiss</x:v>
      </x:c>
      <x:c r="O86" s="32" t="n">
        <x:v>4.08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Oncorhynchus mykiss</x:v>
      </x:c>
      <x:c r="T86" s="32" t="n">
        <x:f>IF(O86="","",(1/'Metadata'!$B$5)^(O86-1))</x:f>
        <x:v>1202.2644346174131</x:v>
      </x:c>
      <x:c r="U86" s="31" t="n">
        <x:f>IF(T86="","",I86*T86)</x:f>
        <x:v>335.49485261910314</x:v>
      </x:c>
    </x:row>
    <x:row r="87" ht="18" customHeight="1">
      <x:c r="A87" s="24" t="str">
        <x:v>LME_054</x:v>
      </x:c>
      <x:c r="B87" s="24" t="str">
        <x:v>Northern Bering - Chukchi Seas</x:v>
      </x:c>
      <x:c r="C87" s="24" t="str">
        <x:v>LME</x:v>
      </x:c>
      <x:c r="D87" s="30" t="n">
        <x:v>2019</x:v>
      </x:c>
      <x:c r="E87" s="24" t="str">
        <x:v>Microgadus proximus</x:v>
      </x:c>
      <x:c r="F87" s="24" t="str">
        <x:v>Pacific tomcod</x:v>
      </x:c>
      <x:c r="G87" s="24" t="str">
        <x:v>Medium demersals (30 - 89 cm)</x:v>
      </x:c>
      <x:c r="H87" s="24" t="str">
        <x:v>Cod-likes</x:v>
      </x:c>
      <x:c r="I87" s="31" t="n">
        <x:v>0.2665519112</x:v>
      </x:c>
      <x:c r="J87" s="31" t="n">
        <x:v>0.2665519112</x:v>
      </x:c>
      <x:c r="K87" s="31" t="n">
        <x:v>0</x:v>
      </x:c>
      <x:c r="L87" s="31" t="n">
        <x:v>0</x:v>
      </x:c>
      <x:c r="M87" s="31" t="n">
        <x:v>0.2665519112</x:v>
      </x:c>
      <x:c r="N87" s="24" t="str">
        <x:v>microgadus proximus</x:v>
      </x:c>
      <x:c r="O87" s="32" t="n">
        <x:v>3.58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Microgadus proximus</x:v>
      </x:c>
      <x:c r="T87" s="32" t="n">
        <x:f>IF(O87="","",(1/'Metadata'!$B$5)^(O87-1))</x:f>
        <x:v>380.1893963205613</x:v>
      </x:c>
      <x:c r="U87" s="31" t="n">
        <x:f>IF(T87="","",I87*T87)</x:f>
        <x:v>101.34021020721985</x:v>
      </x:c>
    </x:row>
    <x:row r="88" ht="18" customHeight="1">
      <x:c r="A88" s="24" t="str">
        <x:v>LME_054</x:v>
      </x:c>
      <x:c r="B88" s="24" t="str">
        <x:v>Northern Bering - Chukchi Seas</x:v>
      </x:c>
      <x:c r="C88" s="24" t="str">
        <x:v>LME</x:v>
      </x:c>
      <x:c r="D88" s="30" t="n">
        <x:v>2019</x:v>
      </x:c>
      <x:c r="E88" s="24" t="str">
        <x:v>Platichthys stellatus</x:v>
      </x:c>
      <x:c r="F88" s="24" t="str">
        <x:v>Starry flounder</x:v>
      </x:c>
      <x:c r="G88" s="24" t="str">
        <x:v>Small to medium flatfishes (&lt;90 cm)</x:v>
      </x:c>
      <x:c r="H88" s="24" t="str">
        <x:v>Flatfishes</x:v>
      </x:c>
      <x:c r="I88" s="31" t="n">
        <x:v>0.1991850482</x:v>
      </x:c>
      <x:c r="J88" s="31" t="n">
        <x:v>0.1991850482</x:v>
      </x:c>
      <x:c r="K88" s="31" t="n">
        <x:v>0</x:v>
      </x:c>
      <x:c r="L88" s="31" t="n">
        <x:v>0</x:v>
      </x:c>
      <x:c r="M88" s="31" t="n">
        <x:v>0.1991850482</x:v>
      </x:c>
      <x:c r="N88" s="24" t="str">
        <x:v>platichthys stellatus</x:v>
      </x:c>
      <x:c r="O88" s="32" t="n">
        <x:v>3.58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Platichthys stellatus</x:v>
      </x:c>
      <x:c r="T88" s="32" t="n">
        <x:f>IF(O88="","",(1/'Metadata'!$B$5)^(O88-1))</x:f>
        <x:v>380.1893963205613</x:v>
      </x:c>
      <x:c r="U88" s="31" t="n">
        <x:f>IF(T88="","",I88*T88)</x:f>
        <x:v>75.7280432312399</x:v>
      </x:c>
    </x:row>
    <x:row r="89" ht="18" customHeight="1">
      <x:c r="A89" s="24" t="str">
        <x:v>LME_054</x:v>
      </x:c>
      <x:c r="B89" s="24" t="str">
        <x:v>Northern Bering - Chukchi Seas</x:v>
      </x:c>
      <x:c r="C89" s="24" t="str">
        <x:v>LME</x:v>
      </x:c>
      <x:c r="D89" s="30" t="n">
        <x:v>2019</x:v>
      </x:c>
      <x:c r="E89" s="24" t="str">
        <x:v>Petromyzontidae</x:v>
      </x:c>
      <x:c r="F89" s="24" t="str">
        <x:v>Lampreys</x:v>
      </x:c>
      <x:c r="G89" s="24" t="str">
        <x:v>Large demersals (&gt;=90 cm)</x:v>
      </x:c>
      <x:c r="H89" s="24" t="str">
        <x:v>Other fishes &amp; inverts</x:v>
      </x:c>
      <x:c r="I89" s="31" t="n">
        <x:v>0.1475277247</x:v>
      </x:c>
      <x:c r="J89" s="31" t="n">
        <x:v>0.1475277247</x:v>
      </x:c>
      <x:c r="K89" s="31" t="n">
        <x:v>0</x:v>
      </x:c>
      <x:c r="L89" s="31" t="n">
        <x:v>0</x:v>
      </x:c>
      <x:c r="M89" s="31" t="n">
        <x:v>0.1475277247</x:v>
      </x:c>
      <x:c r="N89" s="24" t="str">
        <x:v>petromyzontidae</x:v>
      </x:c>
      <x:c r="O89" s="32" t="n">
        <x:v>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Petromyzontidae</x:v>
      </x:c>
      <x:c r="T89" s="32" t="n">
        <x:f>IF(O89="","",(1/'Metadata'!$B$5)^(O89-1))</x:f>
        <x:v>1000</x:v>
      </x:c>
      <x:c r="U89" s="31" t="n">
        <x:f>IF(T89="","",I89*T89)</x:f>
        <x:v>147.5277247</x:v>
      </x:c>
    </x:row>
    <x:row r="90" ht="18" customHeight="1">
      <x:c r="A90" s="24" t="str">
        <x:v>LME_054</x:v>
      </x:c>
      <x:c r="B90" s="24" t="str">
        <x:v>Northern Bering - Chukchi Seas</x:v>
      </x:c>
      <x:c r="C90" s="24" t="str">
        <x:v>LME</x:v>
      </x:c>
      <x:c r="D90" s="30" t="n">
        <x:v>2019</x:v>
      </x:c>
      <x:c r="E90" s="24" t="str">
        <x:v>Actinopterygii</x:v>
      </x:c>
      <x:c r="F90" s="24" t="str">
        <x:v>Ray-finned fishes</x:v>
      </x:c>
      <x:c r="G90" s="24" t="str">
        <x:v>Medium demersals (30 - 89 cm)</x:v>
      </x:c>
      <x:c r="H90" s="24" t="str">
        <x:v>Other fishes &amp; inverts</x:v>
      </x:c>
      <x:c r="I90" s="31" t="n">
        <x:v>0.1329469298</x:v>
      </x:c>
      <x:c r="J90" s="31" t="n">
        <x:v>0.1329469298</x:v>
      </x:c>
      <x:c r="K90" s="31" t="n">
        <x:v>0</x:v>
      </x:c>
      <x:c r="L90" s="31" t="n">
        <x:v>0</x:v>
      </x:c>
      <x:c r="M90" s="31" t="n">
        <x:v>0.1329469298</x:v>
      </x:c>
      <x:c r="N90" s="24" t="str">
        <x:v>actinopterygii</x:v>
      </x:c>
      <x:c r="O90" s="32" t="n">
        <x:v>3.79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Actinopterygii</x:v>
      </x:c>
      <x:c r="T90" s="32" t="n">
        <x:f>IF(O90="","",(1/'Metadata'!$B$5)^(O90-1))</x:f>
        <x:v>616.5950018614822</x:v>
      </x:c>
      <x:c r="U90" s="31" t="n">
        <x:f>IF(T90="","",I90*T90)</x:f>
        <x:v>81.97441242750934</x:v>
      </x:c>
    </x:row>
    <x:row r="91" ht="18" customHeight="1">
      <x:c r="A91" s="24" t="str">
        <x:v>LME_054</x:v>
      </x:c>
      <x:c r="B91" s="24" t="str">
        <x:v>Northern Bering - Chukchi Seas</x:v>
      </x:c>
      <x:c r="C91" s="24" t="str">
        <x:v>LME</x:v>
      </x:c>
      <x:c r="D91" s="30" t="n">
        <x:v>2019</x:v>
      </x:c>
      <x:c r="E91" s="24" t="str">
        <x:v>Hexagrammidae</x:v>
      </x:c>
      <x:c r="F91" s="24" t="str">
        <x:v>Greenlings</x:v>
      </x:c>
      <x:c r="G91" s="24" t="str">
        <x:v>Medium demersals (30 - 89 cm)</x:v>
      </x:c>
      <x:c r="H91" s="24" t="str">
        <x:v>Scorpionfishes</x:v>
      </x:c>
      <x:c r="I91" s="31" t="n">
        <x:v>0.0770946562</x:v>
      </x:c>
      <x:c r="J91" s="31" t="n">
        <x:v>0.0770946562</x:v>
      </x:c>
      <x:c r="K91" s="31" t="n">
        <x:v>0</x:v>
      </x:c>
      <x:c r="L91" s="31" t="n">
        <x:v>0</x:v>
      </x:c>
      <x:c r="M91" s="31" t="n">
        <x:v>0.0770946562</x:v>
      </x:c>
      <x:c r="N91" s="24" t="str">
        <x:v>hexagrammidae</x:v>
      </x:c>
      <x:c r="O91" s="32" t="n">
        <x:v>3.72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Hexagrammidae</x:v>
      </x:c>
      <x:c r="T91" s="32" t="n">
        <x:f>IF(O91="","",(1/'Metadata'!$B$5)^(O91-1))</x:f>
        <x:v>524.8074602497728</x:v>
      </x:c>
      <x:c r="U91" s="31" t="n">
        <x:f>IF(T91="","",I91*T91)</x:f>
        <x:v>40.459850719151405</x:v>
      </x:c>
    </x:row>
    <x:row r="92" ht="18" customHeight="1">
      <x:c r="A92" s="24" t="str">
        <x:v>LME_054</x:v>
      </x:c>
      <x:c r="B92" s="24" t="str">
        <x:v>Northern Bering - Chukchi Seas</x:v>
      </x:c>
      <x:c r="C92" s="24" t="str">
        <x:v>LME</x:v>
      </x:c>
      <x:c r="D92" s="30" t="n">
        <x:v>2019</x:v>
      </x:c>
      <x:c r="E92" s="24" t="str">
        <x:v>Elasmobranchii</x:v>
      </x:c>
      <x:c r="F92" s="24" t="str">
        <x:v>Sharks, rays, skates</x:v>
      </x:c>
      <x:c r="G92" s="24" t="str">
        <x:v>Large sharks (&gt;=90 cm)</x:v>
      </x:c>
      <x:c r="H92" s="24" t="str">
        <x:v>Sharks &amp; rays</x:v>
      </x:c>
      <x:c r="I92" s="31" t="n">
        <x:v>0.0144750151</x:v>
      </x:c>
      <x:c r="J92" s="31" t="n">
        <x:v>0.0005514431</x:v>
      </x:c>
      <x:c r="K92" s="31" t="n">
        <x:v>0.013923572</x:v>
      </x:c>
      <x:c r="L92" s="31" t="n">
        <x:v>0</x:v>
      </x:c>
      <x:c r="M92" s="31" t="n">
        <x:v>0.0144750151</x:v>
      </x:c>
      <x:c r="N92" s="24" t="str">
        <x:v>elasmobranchii</x:v>
      </x:c>
      <x:c r="O92" s="32" t="n">
        <x:v>4.05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Elasmobranchii</x:v>
      </x:c>
      <x:c r="T92" s="32" t="n">
        <x:f>IF(O92="","",(1/'Metadata'!$B$5)^(O92-1))</x:f>
        <x:v>1122.018454301963</x:v>
      </x:c>
      <x:c r="U92" s="31" t="n">
        <x:f>IF(T92="","",I92*T92)</x:f>
        <x:v>16.241234068499573</x:v>
      </x:c>
    </x:row>
    <x:row r="93" ht="18" customHeight="1">
      <x:c r="A93" s="24" t="str">
        <x:v>LME_054</x:v>
      </x:c>
      <x:c r="B93" s="24" t="str">
        <x:v>Northern Bering - Chukchi Seas</x:v>
      </x:c>
      <x:c r="C93" s="24" t="str">
        <x:v>LME</x:v>
      </x:c>
      <x:c r="D93" s="30" t="n">
        <x:v>2019</x:v>
      </x:c>
      <x:c r="E93" s="24" t="str">
        <x:v>Scyphozoa</x:v>
      </x:c>
      <x:c r="F93" s="24" t="str">
        <x:v>True jellyfishes</x:v>
      </x:c>
      <x:c r="G93" s="24" t="str">
        <x:v>Jellyfish</x:v>
      </x:c>
      <x:c r="H93" s="24" t="str">
        <x:v>Other fishes &amp; inverts</x:v>
      </x:c>
      <x:c r="I93" s="31" t="n">
        <x:v>0.009897314899999999</x:v>
      </x:c>
      <x:c r="J93" s="31" t="n">
        <x:v>0.009897314899999999</x:v>
      </x:c>
      <x:c r="K93" s="31" t="n">
        <x:v>0</x:v>
      </x:c>
      <x:c r="L93" s="31" t="n">
        <x:v>0.0092607747</x:v>
      </x:c>
      <x:c r="M93" s="31" t="n">
        <x:v>0.0006365402000000001</x:v>
      </x:c>
      <x:c r="N93" s="24" t="str">
        <x:v>scyphozoa</x:v>
      </x:c>
      <x:c r="O93" s="32" t="n">
        <x:v>3.46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Scyphozoa</x:v>
      </x:c>
      <x:c r="T93" s="32" t="n">
        <x:f>IF(O93="","",(1/'Metadata'!$B$5)^(O93-1))</x:f>
        <x:v>288.40315031266056</x:v>
      </x:c>
      <x:c r="U93" s="31" t="n">
        <x:f>IF(T93="","",I93*T93)</x:f>
        <x:v>2.8544167967964347</x:v>
      </x:c>
    </x:row>
    <x:row r="94" ht="18" customHeight="1">
      <x:c r="A94" s="24" t="str">
        <x:v>LME_054</x:v>
      </x:c>
      <x:c r="B94" s="24" t="str">
        <x:v>Northern Bering - Chukchi Seas</x:v>
      </x:c>
      <x:c r="C94" s="24" t="str">
        <x:v>LME</x:v>
      </x:c>
      <x:c r="D94" s="30" t="n">
        <x:v>2019</x:v>
      </x:c>
      <x:c r="E94" s="24" t="str">
        <x:v>Chondrichthyes</x:v>
      </x:c>
      <x:c r="F94" s="24" t="str">
        <x:v>Sharks, rays, chimaeras</x:v>
      </x:c>
      <x:c r="G94" s="24" t="str">
        <x:v>Large sharks (&gt;=90 cm)</x:v>
      </x:c>
      <x:c r="H94" s="24" t="str">
        <x:v>Sharks &amp; rays</x:v>
      </x:c>
      <x:c r="I94" s="31" t="n">
        <x:v>0.0000647148</x:v>
      </x:c>
      <x:c r="J94" s="31" t="n">
        <x:v>0.0000647148</x:v>
      </x:c>
      <x:c r="K94" s="31" t="n">
        <x:v>0</x:v>
      </x:c>
      <x:c r="L94" s="31" t="n">
        <x:v>0</x:v>
      </x:c>
      <x:c r="M94" s="31" t="n">
        <x:v>0.0000647148</x:v>
      </x:c>
      <x:c r="N94" s="24" t="str">
        <x:v>chondrichthyes</x:v>
      </x:c>
      <x:c r="O94" s="32" t="n">
        <x:v>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Chondrichthyes</x:v>
      </x:c>
      <x:c r="T94" s="32" t="n">
        <x:f>IF(O94="","",(1/'Metadata'!$B$5)^(O94-1))</x:f>
        <x:v>1000</x:v>
      </x:c>
      <x:c r="U94" s="31" t="n">
        <x:f>IF(T94="","",I94*T94)</x:f>
        <x:v>0.0647148</x:v>
      </x:c>
    </x:row>
  </x:sheetData>
  <x:conditionalFormatting sqref="R2:R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9712b06751a47d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200276.10190649677</x:v>
      </x:c>
      <x:c r="C2" s="32" t="n">
        <x:v>3.584648284917926</x:v>
      </x:c>
      <x:c r="D2" s="32" t="n">
        <x:f>IF(C2="","",(1/'Metadata'!$B$5)^(C2-1))</x:f>
        <x:v>384.2804449746344</x:v>
      </x:c>
      <x:c r="E2" s="31" t="n">
        <x:f>IF(B2=0,"",B2*D2)</x:f>
        <x:v>76962189.5584138</x:v>
      </x:c>
    </x:row>
    <x:row r="3" ht="18" customHeight="1">
      <x:c r="A3" s="24" t="str">
        <x:v>Crustaceans</x:v>
      </x:c>
      <x:c r="B3" s="31" t="n">
        <x:v>23318.0299817247</x:v>
      </x:c>
      <x:c r="C3" s="32" t="n">
        <x:v>3.1944701814354675</x:v>
      </x:c>
      <x:c r="D3" s="32" t="n">
        <x:f>IF(C3="","",(1/'Metadata'!$B$5)^(C3-1))</x:f>
        <x:v>156.48408739027664</x:v>
      </x:c>
      <x:c r="E3" s="31" t="n">
        <x:f>IF(B3=0,"",B3*D3)</x:f>
        <x:v>3648900.6414292986</x:v>
      </x:c>
    </x:row>
    <x:row r="4" ht="18" customHeight="1">
      <x:c r="A4" s="24" t="str">
        <x:v>Flatfishes</x:v>
      </x:c>
      <x:c r="B4" s="31" t="n">
        <x:v>11306.619373535501</x:v>
      </x:c>
      <x:c r="C4" s="32" t="n">
        <x:v>3.7188540499725566</x:v>
      </x:c>
      <x:c r="D4" s="32" t="n">
        <x:f>IF(C4="","",(1/'Metadata'!$B$5)^(C4-1))</x:f>
        <x:v>523.4245037524935</x:v>
      </x:c>
      <x:c r="E4" s="31" t="n">
        <x:f>IF(B4=0,"",B4*D4)</x:f>
        <x:v>5918161.634711148</x:v>
      </x:c>
    </x:row>
    <x:row r="5" ht="18" customHeight="1">
      <x:c r="A5" s="24" t="str">
        <x:v>Herring-likes</x:v>
      </x:c>
      <x:c r="B5" s="31" t="n">
        <x:v>8514.7772658086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1230759.7699043022</x:v>
      </x:c>
    </x:row>
    <x:row r="6" ht="18" customHeight="1">
      <x:c r="A6" s="24" t="str">
        <x:v>Molluscs</x:v>
      </x:c>
      <x:c r="B6" s="31" t="n">
        <x:v>282.46470645500006</x:v>
      </x:c>
      <x:c r="C6" s="32" t="n">
        <x:v>2.9813779976041115</x:v>
      </x:c>
      <x:c r="D6" s="32" t="n">
        <x:f>IF(C6="","",(1/'Metadata'!$B$5)^(C6-1))</x:f>
        <x:v>95.8027548541396</x:v>
      </x:c>
      <x:c r="E6" s="31" t="n">
        <x:f>IF(B6=0,"",B6*D6)</x:f>
        <x:v>27060.89702745487</x:v>
      </x:c>
    </x:row>
    <x:row r="7" ht="18" customHeight="1">
      <x:c r="A7" s="24" t="str">
        <x:v>Other fishes &amp; inverts</x:v>
      </x:c>
      <x:c r="B7" s="31" t="n">
        <x:v>59397.5617525959</x:v>
      </x:c>
      <x:c r="C7" s="32" t="n">
        <x:v>3.2906381612414046</x:v>
      </x:c>
      <x:c r="D7" s="32" t="n">
        <x:f>IF(C7="","",(1/'Metadata'!$B$5)^(C7-1))</x:f>
        <x:v>195.2711847584978</x:v>
      </x:c>
      <x:c r="E7" s="31" t="n">
        <x:f>IF(B7=0,"",B7*D7)</x:f>
        <x:v>11598632.255195437</x:v>
      </x:c>
    </x:row>
    <x:row r="8" ht="18" customHeight="1">
      <x:c r="A8" s="24" t="str">
        <x:v>Perch-likes</x:v>
      </x:c>
      <x:c r="B8" s="31" t="n">
        <x:v>4.3244705095</x:v>
      </x:c>
      <x:c r="C8" s="32" t="n">
        <x:v>3.002595906797916</x:v>
      </x:c>
      <x:c r="D8" s="32" t="n">
        <x:f>IF(C8="","",(1/'Metadata'!$B$5)^(C8-1))</x:f>
        <x:v>100.59951959773157</x:v>
      </x:c>
      <x:c r="E8" s="31" t="n">
        <x:f>IF(B8=0,"",B8*D8)</x:f>
        <x:v>435.0396557702575</x:v>
      </x:c>
    </x:row>
    <x:row r="9" ht="18" customHeight="1">
      <x:c r="A9" s="24" t="str">
        <x:v>Salmon, smelts, etc</x:v>
      </x:c>
      <x:c r="B9" s="31" t="n">
        <x:v>41697.9768565027</x:v>
      </x:c>
      <x:c r="C9" s="32" t="n">
        <x:v>4.088864597959732</x:v>
      </x:c>
      <x:c r="D9" s="32" t="n">
        <x:f>IF(C9="","",(1/'Metadata'!$B$5)^(C9-1))</x:f>
        <x:v>1227.056606285911</x:v>
      </x:c>
      <x:c r="E9" s="31" t="n">
        <x:f>IF(B9=0,"",B9*D9)</x:f>
        <x:v>51165777.970528655</x:v>
      </x:c>
    </x:row>
    <x:row r="10" ht="18" customHeight="1">
      <x:c r="A10" s="24" t="str">
        <x:v>Scorpionfishes</x:v>
      </x:c>
      <x:c r="B10" s="31" t="n">
        <x:v>3510.7418449308</x:v>
      </x:c>
      <x:c r="C10" s="32" t="n">
        <x:v>3.5374528829207876</x:v>
      </x:c>
      <x:c r="D10" s="32" t="n">
        <x:f>IF(C10="","",(1/'Metadata'!$B$5)^(C10-1))</x:f>
        <x:v>344.7092066688359</x:v>
      </x:c>
      <x:c r="E10" s="31" t="n">
        <x:f>IF(B10=0,"",B10*D10)</x:f>
        <x:v>1210185.0361851815</x:v>
      </x:c>
    </x:row>
    <x:row r="11" ht="18" customHeight="1">
      <x:c r="A11" s="24" t="str">
        <x:v>Sharks &amp; rays</x:v>
      </x:c>
      <x:c r="B11" s="31" t="n">
        <x:v>519.6231148365</x:v>
      </x:c>
      <x:c r="C11" s="32" t="n">
        <x:v>3.7296465636746863</x:v>
      </x:c>
      <x:c r="D11" s="32" t="n">
        <x:f>IF(C11="","",(1/'Metadata'!$B$5)^(C11-1))</x:f>
        <x:v>536.5949284393392</x:v>
      </x:c>
      <x:c r="E11" s="31" t="n">
        <x:f>IF(B11=0,"",B11*D11)</x:f>
        <x:v>278827.1281211183</x:v>
      </x:c>
    </x:row>
  </x:sheetData>
  <x:pageMargins left="0.7" right="0.7" top="0.75" bottom="0.75" header="0.3" footer="0.3"/>
  <x:tableParts count="1">
    <x:tablePart xmlns:r="http://schemas.openxmlformats.org/officeDocument/2006/relationships" r:id="Rc1ecf570eecb45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4691.7664163664995</x:v>
      </x:c>
      <x:c r="C2" s="32" t="n">
        <x:v>4.098694559054981</x:v>
      </x:c>
      <x:c r="D2" s="32" t="n">
        <x:f>IF(C2="","",(1/'Metadata'!$B$5)^(C2-1))</x:f>
        <x:v>1255.1469036563315</x:v>
      </x:c>
      <x:c r="E2" s="31" t="n">
        <x:f>IF(B2=0,"",B2*D2)</x:f>
        <x:v>5888856.090181175</x:v>
      </x:c>
    </x:row>
    <x:row r="3" ht="18" customHeight="1">
      <x:c r="A3" s="24" t="str">
        <x:v>Jellyfish</x:v>
      </x:c>
      <x:c r="B3" s="31" t="n">
        <x:v>0.009897314899999999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2.8544167967964347</x:v>
      </x:c>
    </x:row>
    <x:row r="4" ht="18" customHeight="1">
      <x:c r="A4" s="24" t="str">
        <x:v>Large benthopelagics (&gt;=90 cm)</x:v>
      </x:c>
      <x:c r="B4" s="31" t="n">
        <x:v>8701.645945472299</x:v>
      </x:c>
      <x:c r="C4" s="32" t="n">
        <x:v>3.78393399188155</x:v>
      </x:c>
      <x:c r="D4" s="32" t="n">
        <x:f>IF(C4="","",(1/'Metadata'!$B$5)^(C4-1))</x:f>
        <x:v>608.0425782835861</x:v>
      </x:c>
      <x:c r="E4" s="31" t="n">
        <x:f>IF(B4=0,"",B4*D4)</x:f>
        <x:v>5290971.23599589</x:v>
      </x:c>
    </x:row>
    <x:row r="5" ht="18" customHeight="1">
      <x:c r="A5" s="24" t="str">
        <x:v>Large demersals (&gt;=90 cm)</x:v>
      </x:c>
      <x:c r="B5" s="31" t="n">
        <x:v>1940.8734315608</x:v>
      </x:c>
      <x:c r="C5" s="32" t="n">
        <x:v>4.199694899218549</x:v>
      </x:c>
      <x:c r="D5" s="32" t="n">
        <x:f>IF(C5="","",(1/'Metadata'!$B$5)^(C5-1))</x:f>
        <x:v>1583.7801634939185</x:v>
      </x:c>
      <x:c r="E5" s="31" t="n">
        <x:f>IF(B5=0,"",B5*D5)</x:f>
        <x:v>3073916.8407583665</x:v>
      </x:c>
    </x:row>
    <x:row r="6" ht="18" customHeight="1">
      <x:c r="A6" s="24" t="str">
        <x:v>Large flatfishes (&gt;=90 cm)</x:v>
      </x:c>
      <x:c r="B6" s="31" t="n">
        <x:v>458.50015904400004</x:v>
      </x:c>
      <x:c r="C6" s="32" t="n">
        <x:v>4.160798363562959</x:v>
      </x:c>
      <x:c r="D6" s="32" t="n">
        <x:f>IF(C6="","",(1/'Metadata'!$B$5)^(C6-1))</x:f>
        <x:v>1448.0993665512196</x:v>
      </x:c>
      <x:c r="E6" s="31" t="n">
        <x:f>IF(B6=0,"",B6*D6)</x:f>
        <x:v>663953.78987525</x:v>
      </x:c>
    </x:row>
    <x:row r="7" ht="18" customHeight="1">
      <x:c r="A7" s="24" t="str">
        <x:v>Large rays (&gt;=90 cm)</x:v>
      </x:c>
      <x:c r="B7" s="31" t="n">
        <x:v>516.1776569367</x:v>
      </x:c>
      <x:c r="C7" s="32" t="n">
        <x:v>3.7291699225485275</x:v>
      </x:c>
      <x:c r="D7" s="32" t="n">
        <x:f>IF(C7="","",(1/'Metadata'!$B$5)^(C7-1))</x:f>
        <x:v>536.006334934149</x:v>
      </x:c>
      <x:c r="E7" s="31" t="n">
        <x:f>IF(B7=0,"",B7*D7)</x:f>
        <x:v>276674.4940695371</x:v>
      </x:c>
    </x:row>
    <x:row r="8" ht="18" customHeight="1">
      <x:c r="A8" s="24" t="str">
        <x:v>Large reef assoc. fish (&gt;=90 cm)</x:v>
      </x:c>
      <x:c r="B8" s="31" t="n">
        <x:v>1144.0891453243999</x:v>
      </x:c>
      <x:c r="C8" s="32" t="n">
        <x:v>3.7970653164174597</x:v>
      </x:c>
      <x:c r="D8" s="32" t="n">
        <x:f>IF(C8="","",(1/'Metadata'!$B$5)^(C8-1))</x:f>
        <x:v>626.7081123599299</x:v>
      </x:c>
      <x:c r="E8" s="31" t="n">
        <x:f>IF(B8=0,"",B8*D8)</x:f>
        <x:v>717009.9486377402</x:v>
      </x:c>
    </x:row>
    <x:row r="9" ht="18" customHeight="1">
      <x:c r="A9" s="24" t="str">
        <x:v>Large sharks (&gt;=90 cm)</x:v>
      </x:c>
      <x:c r="B9" s="31" t="n">
        <x:v>0.014539729900000001</x:v>
      </x:c>
      <x:c r="C9" s="32" t="n">
        <x:v>4.049777455288217</x:v>
      </x:c>
      <x:c r="D9" s="32" t="n">
        <x:f>IF(C9="","",(1/'Metadata'!$B$5)^(C9-1))</x:f>
        <x:v>1121.4436477631052</x:v>
      </x:c>
      <x:c r="E9" s="31" t="n">
        <x:f>IF(B9=0,"",B9*D9)</x:f>
        <x:v>16.30548773654629</x:v>
      </x:c>
    </x:row>
    <x:row r="10" ht="18" customHeight="1">
      <x:c r="A10" s="24" t="str">
        <x:v>Lobsters, crabs</x:v>
      </x:c>
      <x:c r="B10" s="31" t="n">
        <x:v>20540.918950721996</x:v>
      </x:c>
      <x:c r="C10" s="32" t="n">
        <x:v>3.238312058808308</x:v>
      </x:c>
      <x:c r="D10" s="32" t="n">
        <x:f>IF(C10="","",(1/'Metadata'!$B$5)^(C10-1))</x:f>
        <x:v>173.105975151382</x:v>
      </x:c>
      <x:c r="E10" s="31" t="n">
        <x:f>IF(B10=0,"",B10*D10)</x:f>
        <x:v>3555755.805470234</x:v>
      </x:c>
    </x:row>
    <x:row r="11" ht="18" customHeight="1">
      <x:c r="A11" s="24" t="str">
        <x:v>Medium bathydemersals (30 - 89 cm)</x:v>
      </x:c>
      <x:c r="B11" s="31" t="n">
        <x:v>7.9801591835</x:v>
      </x:c>
      <x:c r="C11" s="32" t="n">
        <x:v>3.49719469048659</x:v>
      </x:c>
      <x:c r="D11" s="32" t="n">
        <x:f>IF(C11="","",(1/'Metadata'!$B$5)^(C11-1))</x:f>
        <x:v>314.1916872567151</x:v>
      </x:c>
      <x:c r="E11" s="31" t="n">
        <x:f>IF(B11=0,"",B11*D11)</x:f>
        <x:v>2507.2996784410348</x:v>
      </x:c>
    </x:row>
    <x:row r="12" ht="18" customHeight="1">
      <x:c r="A12" s="24" t="str">
        <x:v>Medium benthopelagics (30 - 89 cm)</x:v>
      </x:c>
      <x:c r="B12" s="31" t="n">
        <x:v>194832.5960039579</x:v>
      </x:c>
      <x:c r="C12" s="32" t="n">
        <x:v>3.5702581722773954</x:v>
      </x:c>
      <x:c r="D12" s="32" t="n">
        <x:f>IF(C12="","",(1/'Metadata'!$B$5)^(C12-1))</x:f>
        <x:v>371.7561589417405</x:v>
      </x:c>
      <x:c r="E12" s="31" t="n">
        <x:f>IF(B12=0,"",B12*D12)</x:f>
        <x:v>72430217.5270793</x:v>
      </x:c>
    </x:row>
    <x:row r="13" ht="18" customHeight="1">
      <x:c r="A13" s="24" t="str">
        <x:v>Medium demersals (30 - 89 cm)</x:v>
      </x:c>
      <x:c r="B13" s="31" t="n">
        <x:v>79612.1857076359</x:v>
      </x:c>
      <x:c r="C13" s="32" t="n">
        <x:v>3.6588299217483424</x:v>
      </x:c>
      <x:c r="D13" s="32" t="n">
        <x:f>IF(C13="","",(1/'Metadata'!$B$5)^(C13-1))</x:f>
        <x:v>455.8583579009961</x:v>
      </x:c>
      <x:c r="E13" s="31" t="n">
        <x:f>IF(B13=0,"",B13*D13)</x:f>
        <x:v>36291880.24559205</x:v>
      </x:c>
    </x:row>
    <x:row r="14" ht="18" customHeight="1">
      <x:c r="A14" s="24" t="str">
        <x:v>Medium pelagics (30 - 89 cm)</x:v>
      </x:c>
      <x:c r="B14" s="31" t="n">
        <x:v>18365.136628691</x:v>
      </x:c>
      <x:c r="C14" s="32" t="n">
        <x:v>3.3428288367765555</x:v>
      </x:c>
      <x:c r="D14" s="32" t="n">
        <x:f>IF(C14="","",(1/'Metadata'!$B$5)^(C14-1))</x:f>
        <x:v>220.20584213977307</x:v>
      </x:c>
      <x:c r="E14" s="31" t="n">
        <x:f>IF(B14=0,"",B14*D14)</x:f>
        <x:v>4044110.377332895</x:v>
      </x:c>
    </x:row>
    <x:row r="15" ht="18" customHeight="1">
      <x:c r="A15" s="24" t="str">
        <x:v>Medium reef assoc. fish (30 - 89 cm)</x:v>
      </x:c>
      <x:c r="B15" s="31" t="n">
        <x:v>0.4557669385</x:v>
      </x:c>
      <x:c r="C15" s="32" t="n">
        <x:v>2.53</x:v>
      </x:c>
      <x:c r="D15" s="32" t="n">
        <x:f>IF(C15="","",(1/'Metadata'!$B$5)^(C15-1))</x:f>
        <x:v>33.88441561392024</x:v>
      </x:c>
      <x:c r="E15" s="31" t="n">
        <x:f>IF(B15=0,"",B15*D15)</x:f>
        <x:v>15.443396367218025</x:v>
      </x:c>
    </x:row>
    <x:row r="16" ht="18" customHeight="1">
      <x:c r="A16" s="24" t="str">
        <x:v>Other demersal invertebrates</x:v>
      </x:c>
      <x:c r="B16" s="31" t="n">
        <x:v>4112.0337852669</x:v>
      </x:c>
      <x:c r="C16" s="32" t="n">
        <x:v>2.47664044243962</x:v>
      </x:c>
      <x:c r="D16" s="32" t="n">
        <x:f>IF(C16="","",(1/'Metadata'!$B$5)^(C16-1))</x:f>
        <x:v>29.96680504298809</x:v>
      </x:c>
      <x:c r="E16" s="31" t="n">
        <x:f>IF(B16=0,"",B16*D16)</x:f>
        <x:v>123224.51477327353</x:v>
      </x:c>
    </x:row>
    <x:row r="17" ht="18" customHeight="1">
      <x:c r="A17" s="24" t="str">
        <x:v>Shrimps</x:v>
      </x:c>
      <x:c r="B17" s="31" t="n">
        <x:v>2777.1110310027</x:v>
      </x:c>
      <x:c r="C17" s="32" t="n">
        <x:v>2.8701934637567144</x:v>
      </x:c>
      <x:c r="D17" s="32" t="n">
        <x:f>IF(C17="","",(1/'Metadata'!$B$5)^(C17-1))</x:f>
        <x:v>74.164054393789</x:v>
      </x:c>
      <x:c r="E17" s="31" t="n">
        <x:f>IF(B17=0,"",B17*D17)</x:f>
        <x:v>205961.81356087571</x:v>
      </x:c>
    </x:row>
    <x:row r="18" ht="18" customHeight="1">
      <x:c r="A18" s="24" t="str">
        <x:v>Small pelagics (&lt;30 cm)</x:v>
      </x:c>
      <x:c r="B18" s="31" t="n">
        <x:v>275.17591558669994</x:v>
      </x:c>
      <x:c r="C18" s="32" t="n">
        <x:v>3.29596999760452</x:v>
      </x:c>
      <x:c r="D18" s="32" t="n">
        <x:f>IF(C18="","",(1/'Metadata'!$B$5)^(C18-1))</x:f>
        <x:v>197.6833069700025</x:v>
      </x:c>
      <x:c r="E18" s="31" t="n">
        <x:f>IF(B18=0,"",B18*D18)</x:f>
        <x:v>54397.684991677095</x:v>
      </x:c>
    </x:row>
    <x:row r="19" ht="18" customHeight="1">
      <x:c r="A19" s="24" t="str">
        <x:v>Small to medium flatfishes (&lt;90 cm)</x:v>
      </x:c>
      <x:c r="B19" s="31" t="n">
        <x:v>10848.119214491502</x:v>
      </x:c>
      <x:c r="C19" s="32" t="n">
        <x:v>3.7001750942878595</x:v>
      </x:c>
      <x:c r="D19" s="32" t="n">
        <x:f>IF(C19="","",(1/'Metadata'!$B$5)^(C19-1))</x:f>
        <x:v>501.3893377705789</x:v>
      </x:c>
      <x:c r="E19" s="31" t="n">
        <x:f>IF(B19=0,"",B19*D19)</x:f>
        <x:v>5439131.309010187</x:v>
      </x:c>
    </x:row>
    <x:row r="20" ht="18" customHeight="1">
      <x:c r="A20" s="24" t="str">
        <x:v>Small to medium rays (&lt;90 cm)</x:v>
      </x:c>
      <x:c r="B20" s="31" t="n">
        <x:v>3.4309181699</x:v>
      </x:c>
      <x:c r="C20" s="32" t="n">
        <x:v>3.8</x:v>
      </x:c>
      <x:c r="D20" s="32" t="n">
        <x:f>IF(C20="","",(1/'Metadata'!$B$5)^(C20-1))</x:f>
        <x:v>630.957344480193</x:v>
      </x:c>
      <x:c r="E20" s="31" t="n">
        <x:f>IF(B20=0,"",B20*D20)</x:f>
        <x:v>2164.763017608948</x:v>
      </x:c>
    </x:row>
  </x:sheetData>
  <x:pageMargins left="0.7" right="0.7" top="0.75" bottom="0.75" header="0.3" footer="0.3"/>
  <x:tableParts count="1">
    <x:tablePart xmlns:r="http://schemas.openxmlformats.org/officeDocument/2006/relationships" r:id="Re2fc2b6be2534b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LME_054</x:v>
      </x:c>
      <x:c r="B2" s="24" t="str">
        <x:v>raw_filtered_tonnes</x:v>
      </x:c>
      <x:c r="C2" s="24" t="n">
        <x:v>348828.221273396</x:v>
      </x:c>
      <x:c r="D2" s="24" t="str">
        <x:v>tonnes</x:v>
      </x:c>
    </x:row>
    <x:row r="3" ht="18" customHeight="1">
      <x:c r="A3" s="24" t="str">
        <x:v>LME_054</x:v>
      </x:c>
      <x:c r="B3" s="24" t="str">
        <x:v>species_catch_tonnes</x:v>
      </x:c>
      <x:c r="C3" s="24" t="n">
        <x:v>348828.221273396</x:v>
      </x:c>
      <x:c r="D3" s="24" t="str">
        <x:v>tonnes</x:v>
      </x:c>
    </x:row>
    <x:row r="4" ht="18" customHeight="1">
      <x:c r="A4" s="24" t="str">
        <x:v>LME_054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LME_054</x:v>
      </x:c>
      <x:c r="B6" s="24" t="str">
        <x:v>matched_catch_tonnes</x:v>
      </x:c>
      <x:c r="C6" s="24" t="n">
        <x:v>348828.221273396</x:v>
      </x:c>
      <x:c r="D6" s="24" t="str">
        <x:v>tonnes</x:v>
      </x:c>
    </x:row>
    <x:row r="7" ht="18" customHeight="1">
      <x:c r="A7" s="24" t="str">
        <x:v>LME_054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LME_054</x:v>
      </x:c>
      <x:c r="B8" s="24" t="str">
        <x:v>taxa_count</x:v>
      </x:c>
      <x:c r="C8" s="24" t="n">
        <x:v>93</x:v>
      </x:c>
      <x:c r="D8" s="24" t="str">
        <x:v>count</x:v>
      </x:c>
    </x:row>
    <x:row r="9" ht="18" customHeight="1">
      <x:c r="A9" s="24" t="str">
        <x:v>LME_054</x:v>
      </x:c>
      <x:c r="B9" s="24" t="str">
        <x:v>matched_taxa_count</x:v>
      </x:c>
      <x:c r="C9" s="24" t="n">
        <x:v>93</x:v>
      </x:c>
      <x:c r="D9" s="24" t="str">
        <x:v>count</x:v>
      </x:c>
    </x:row>
    <x:row r="10" ht="18" customHeight="1">
      <x:c r="A10" s="24" t="str">
        <x:v>LME_054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LME_054</x:v>
      </x:c>
      <x:c r="B11" s="24" t="str">
        <x:v>species_ppr</x:v>
      </x:c>
      <x:c r="C11" s="24" t="n">
        <x:v>188778895.78178987</x:v>
      </x:c>
      <x:c r="D11" s="24" t="str">
        <x:v>tonnes_primary_production_equivalent</x:v>
      </x:c>
    </x:row>
    <x:row r="12" ht="18" customHeight="1">
      <x:c r="A12" s="24" t="str">
        <x:v>LME_054</x:v>
      </x:c>
      <x:c r="B12" s="24" t="str">
        <x:v>commercial_ppr</x:v>
      </x:c>
      <x:c r="C12" s="24" t="n">
        <x:v>152040929.93117216</x:v>
      </x:c>
      <x:c r="D12" s="24" t="str">
        <x:v>tonnes_primary_production_equivalent</x:v>
      </x:c>
    </x:row>
    <x:row r="13" ht="18" customHeight="1">
      <x:c r="A13" s="24" t="str">
        <x:v>LME_054</x:v>
      </x:c>
      <x:c r="B13" s="24" t="str">
        <x:v>functional_ppr</x:v>
      </x:c>
      <x:c r="C13" s="24" t="n">
        <x:v>138060768.34332538</x:v>
      </x:c>
      <x:c r="D13" s="24" t="str">
        <x:v>tonnes_primary_production_equivalent</x:v>
      </x:c>
    </x:row>
    <x:row r="14" ht="18" customHeight="1">
      <x:c r="A14" s="24" t="str">
        <x:v>LME_054</x:v>
      </x:c>
      <x:c r="B14" s="24" t="str">
        <x:v>commercial_ppr_difference</x:v>
      </x:c>
      <x:c r="C14" s="24" t="n">
        <x:v>-36737965.85061771</x:v>
      </x:c>
      <x:c r="D14" s="24" t="str">
        <x:v>tonnes_primary_production_equivalent</x:v>
      </x:c>
    </x:row>
    <x:row r="15" ht="18" customHeight="1">
      <x:c r="A15" s="24" t="str">
        <x:v>LME_054</x:v>
      </x:c>
      <x:c r="B15" s="24" t="str">
        <x:v>functional_ppr_difference</x:v>
      </x:c>
      <x:c r="C15" s="24" t="n">
        <x:v>-50718127.43846449</x:v>
      </x:c>
      <x:c r="D15" s="24" t="str">
        <x:v>tonnes_primary_production_equivalent</x:v>
      </x:c>
    </x:row>
    <x:row r="16" ht="18" customHeight="1">
      <x:c r="A16" s="24" t="str">
        <x:v>LME_054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d9d68703c2746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LME_054 - Northern Bering - Chukchi Seas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