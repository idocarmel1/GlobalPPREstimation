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4f13c0f82e49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d70a150ffad941c7"/>
    <x:sheet xmlns:r="http://schemas.openxmlformats.org/officeDocument/2006/relationships" name="Commercial" sheetId="2" r:id="Rd7a4bc38399f4523"/>
    <x:sheet xmlns:r="http://schemas.openxmlformats.org/officeDocument/2006/relationships" name="Functional" sheetId="3" r:id="R51d33e63d3be4924"/>
    <x:sheet xmlns:r="http://schemas.openxmlformats.org/officeDocument/2006/relationships" name="Missing TL" sheetId="4" r:id="Rd2ea7e6eed514562"/>
    <x:sheet xmlns:r="http://schemas.openxmlformats.org/officeDocument/2006/relationships" name="Validation" sheetId="5" r:id="R27e3d7e529fd41b9"/>
    <x:sheet xmlns:r="http://schemas.openxmlformats.org/officeDocument/2006/relationships" name="Metadata" sheetId="6" r:id="R285f38d71cd44d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1b59f588bc45ca" /><Relationship Type="http://schemas.openxmlformats.org/officeDocument/2006/relationships/theme" Target="/xl/theme/theme1.xml" Id="R5f0e057dac5c48eb" /><Relationship Type="http://schemas.microsoft.com/office/2022/11/relationships/FeaturePropertyBag" Target="/xl/featurePropertyBag/featurePropertyBag.xml" Id="R736ee7e860314372" /><Relationship Type="http://schemas.openxmlformats.org/officeDocument/2006/relationships/sharedStrings" Target="/xl/sharedStrings.xml" Id="Rae258f2c1d3f46c7" /><Relationship Type="http://schemas.openxmlformats.org/officeDocument/2006/relationships/worksheet" Target="/xl/worksheets/sheet1.xml" Id="Rd70a150ffad941c7" /><Relationship Type="http://schemas.openxmlformats.org/officeDocument/2006/relationships/worksheet" Target="/xl/worksheets/sheet2.xml" Id="Rd7a4bc38399f4523" /><Relationship Type="http://schemas.openxmlformats.org/officeDocument/2006/relationships/worksheet" Target="/xl/worksheets/sheet3.xml" Id="R51d33e63d3be4924" /><Relationship Type="http://schemas.openxmlformats.org/officeDocument/2006/relationships/worksheet" Target="/xl/worksheets/sheet4.xml" Id="Rd2ea7e6eed514562" /><Relationship Type="http://schemas.openxmlformats.org/officeDocument/2006/relationships/worksheet" Target="/xl/worksheets/sheet5.xml" Id="R27e3d7e529fd41b9" /><Relationship Type="http://schemas.openxmlformats.org/officeDocument/2006/relationships/worksheet" Target="/xl/worksheets/sheet6.xml" Id="R285f38d71cd44d9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ME047SpeciesTable" displayName="LME047SpeciesTable" ref="A1:U255" headerRowCount="1" totalsRowCount="0" totalsRowShown="0">
  <x:autoFilter ref="A1:U25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47CommercialTable" displayName="LME047CommercialTable" ref="A1:E13" headerRowCount="1" totalsRowCount="0" totalsRowShown="0">
  <x:autoFilter ref="A1:E13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47FunctionalTable" displayName="LME047FunctionalTable" ref="A1:E25" headerRowCount="1" totalsRowCount="0" totalsRowShown="0">
  <x:autoFilter ref="A1:E25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47ValidationTable" displayName="LME047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b77f113a4d48c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e0708f126f247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f409fad72cf40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6b298981f9f45b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LME_047</x:v>
      </x:c>
      <x:c r="B2" s="24" t="str">
        <x:v>East China Sea</x:v>
      </x:c>
      <x:c r="C2" s="24" t="str">
        <x:v>LME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541116.4041810834</x:v>
      </x:c>
      <x:c r="J2" s="31" t="n">
        <x:v>444671.0882636831</x:v>
      </x:c>
      <x:c r="K2" s="31" t="n">
        <x:v>96445.3159174003</x:v>
      </x:c>
      <x:c r="L2" s="31" t="n">
        <x:v>341947.5849196666</x:v>
      </x:c>
      <x:c r="M2" s="31" t="n">
        <x:v>199168.8192614168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103107605.20125775</x:v>
      </x:c>
    </x:row>
    <x:row r="3" ht="18" customHeight="1">
      <x:c r="A3" s="24" t="str">
        <x:v>LME_047</x:v>
      </x:c>
      <x:c r="B3" s="24" t="str">
        <x:v>East China Sea</x:v>
      </x:c>
      <x:c r="C3" s="24" t="str">
        <x:v>LME</x:v>
      </x:c>
      <x:c r="D3" s="30" t="n">
        <x:v>2019</x:v>
      </x:c>
      <x:c r="E3" s="24" t="str">
        <x:v>Engraulis japonicus</x:v>
      </x:c>
      <x:c r="F3" s="24" t="str">
        <x:v>Japanese anchovy</x:v>
      </x:c>
      <x:c r="G3" s="24" t="str">
        <x:v>Small pelagics (&lt;30 cm)</x:v>
      </x:c>
      <x:c r="H3" s="24" t="str">
        <x:v>Anchovies</x:v>
      </x:c>
      <x:c r="I3" s="31" t="n">
        <x:v>454179.6754704398</x:v>
      </x:c>
      <x:c r="J3" s="31" t="n">
        <x:v>449066.32122771366</x:v>
      </x:c>
      <x:c r="K3" s="31" t="n">
        <x:v>5113.3542427261</x:v>
      </x:c>
      <x:c r="L3" s="31" t="n">
        <x:v>448265.5765932271</x:v>
      </x:c>
      <x:c r="M3" s="31" t="n">
        <x:v>5914.0988772127</x:v>
      </x:c>
      <x:c r="N3" s="24" t="str">
        <x:v>engraulis japonicus</x:v>
      </x:c>
      <x:c r="O3" s="32" t="n">
        <x:v>3.14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Engraulis japonicus</x:v>
      </x:c>
      <x:c r="T3" s="32" t="n">
        <x:f>IF(O3="","",(1/'Metadata'!$B$5)^(O3-1))</x:f>
        <x:v>138.03842646028852</x:v>
      </x:c>
      <x:c r="U3" s="31" t="n">
        <x:f>IF(T3="","",I3*T3)</x:f>
        <x:v>62694247.73218401</x:v>
      </x:c>
    </x:row>
    <x:row r="4" ht="18" customHeight="1">
      <x:c r="A4" s="24" t="str">
        <x:v>LME_047</x:v>
      </x:c>
      <x:c r="B4" s="24" t="str">
        <x:v>East China Sea</x:v>
      </x:c>
      <x:c r="C4" s="24" t="str">
        <x:v>LME</x:v>
      </x:c>
      <x:c r="D4" s="30" t="n">
        <x:v>2019</x:v>
      </x:c>
      <x:c r="E4" s="24" t="str">
        <x:v>Sardinops sagax</x:v>
      </x:c>
      <x:c r="F4" s="24" t="str">
        <x:v>South American pilchard</x:v>
      </x:c>
      <x:c r="G4" s="24" t="str">
        <x:v>Medium pelagics (30 - 89 cm)</x:v>
      </x:c>
      <x:c r="H4" s="24" t="str">
        <x:v>Herring-likes</x:v>
      </x:c>
      <x:c r="I4" s="31" t="n">
        <x:v>443565.5353651192</x:v>
      </x:c>
      <x:c r="J4" s="31" t="n">
        <x:v>443296.8266346639</x:v>
      </x:c>
      <x:c r="K4" s="31" t="n">
        <x:v>268.7087304553</x:v>
      </x:c>
      <x:c r="L4" s="31" t="n">
        <x:v>443215.80611957767</x:v>
      </x:c>
      <x:c r="M4" s="31" t="n">
        <x:v>349.7292455415</x:v>
      </x:c>
      <x:c r="N4" s="24" t="str">
        <x:v>sardinops sagax</x:v>
      </x:c>
      <x:c r="O4" s="32" t="n">
        <x:v>2.84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Sardinops sagax</x:v>
      </x:c>
      <x:c r="T4" s="32" t="n">
        <x:f>IF(O4="","",(1/'Metadata'!$B$5)^(O4-1))</x:f>
        <x:v>69.18309709189363</x:v>
      </x:c>
      <x:c r="U4" s="31" t="n">
        <x:f>IF(T4="","",I4*T4)</x:f>
        <x:v>30687237.49978282</x:v>
      </x:c>
    </x:row>
    <x:row r="5" ht="18" customHeight="1">
      <x:c r="A5" s="24" t="str">
        <x:v>LME_047</x:v>
      </x:c>
      <x:c r="B5" s="24" t="str">
        <x:v>East China Sea</x:v>
      </x:c>
      <x:c r="C5" s="24" t="str">
        <x:v>LME</x:v>
      </x:c>
      <x:c r="D5" s="30" t="n">
        <x:v>2019</x:v>
      </x:c>
      <x:c r="E5" s="24" t="str">
        <x:v>Scomber japonicus</x:v>
      </x:c>
      <x:c r="F5" s="24" t="str">
        <x:v>Pacific chub mackerel</x:v>
      </x:c>
      <x:c r="G5" s="24" t="str">
        <x:v>Medium pelagics (30 - 89 cm)</x:v>
      </x:c>
      <x:c r="H5" s="24" t="str">
        <x:v>Perch-likes</x:v>
      </x:c>
      <x:c r="I5" s="31" t="n">
        <x:v>427018.3003616673</x:v>
      </x:c>
      <x:c r="J5" s="31" t="n">
        <x:v>426743.9343248757</x:v>
      </x:c>
      <x:c r="K5" s="31" t="n">
        <x:v>274.3660367916</x:v>
      </x:c>
      <x:c r="L5" s="31" t="n">
        <x:v>415457.931493585</x:v>
      </x:c>
      <x:c r="M5" s="31" t="n">
        <x:v>11560.3688680823</x:v>
      </x:c>
      <x:c r="N5" s="24" t="str">
        <x:v>scomber japonicus</x:v>
      </x:c>
      <x:c r="O5" s="32" t="n">
        <x:v>3.38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Scomber japonicus</x:v>
      </x:c>
      <x:c r="T5" s="32" t="n">
        <x:f>IF(O5="","",(1/'Metadata'!$B$5)^(O5-1))</x:f>
        <x:v>239.88329190194898</x:v>
      </x:c>
      <x:c r="U5" s="31" t="n">
        <x:f>IF(T5="","",I5*T5)</x:f>
        <x:v>102434555.59313196</x:v>
      </x:c>
    </x:row>
    <x:row r="6" ht="18" customHeight="1">
      <x:c r="A6" s="24" t="str">
        <x:v>LME_047</x:v>
      </x:c>
      <x:c r="B6" s="24" t="str">
        <x:v>East China Sea</x:v>
      </x:c>
      <x:c r="C6" s="24" t="str">
        <x:v>LME</x:v>
      </x:c>
      <x:c r="D6" s="30" t="n">
        <x:v>2019</x:v>
      </x:c>
      <x:c r="E6" s="24" t="str">
        <x:v>Trichiurus lepturus</x:v>
      </x:c>
      <x:c r="F6" s="24" t="str">
        <x:v>Largehead hairtail</x:v>
      </x:c>
      <x:c r="G6" s="24" t="str">
        <x:v>Large benthopelagics (&gt;=90 cm)</x:v>
      </x:c>
      <x:c r="H6" s="24" t="str">
        <x:v>Perch-likes</x:v>
      </x:c>
      <x:c r="I6" s="31" t="n">
        <x:v>355462.8292509914</x:v>
      </x:c>
      <x:c r="J6" s="31" t="n">
        <x:v>354199.8121914362</x:v>
      </x:c>
      <x:c r="K6" s="31" t="n">
        <x:v>1263.0170595552</x:v>
      </x:c>
      <x:c r="L6" s="31" t="n">
        <x:v>352251.7983417175</x:v>
      </x:c>
      <x:c r="M6" s="31" t="n">
        <x:v>3211.0309092739</x:v>
      </x:c>
      <x:c r="N6" s="24" t="str">
        <x:v>trichiurus lepturus</x:v>
      </x:c>
      <x:c r="O6" s="32" t="n">
        <x:v>4.42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Trichiurus lepturus</x:v>
      </x:c>
      <x:c r="T6" s="32" t="n">
        <x:f>IF(O6="","",(1/'Metadata'!$B$5)^(O6-1))</x:f>
        <x:v>2630.2679918953813</x:v>
      </x:c>
      <x:c r="U6" s="31" t="n">
        <x:f>IF(T6="","",I6*T6)</x:f>
        <x:v>934962502.087456</x:v>
      </x:c>
    </x:row>
    <x:row r="7" ht="18" customHeight="1">
      <x:c r="A7" s="24" t="str">
        <x:v>LME_047</x:v>
      </x:c>
      <x:c r="B7" s="24" t="str">
        <x:v>East China Sea</x:v>
      </x:c>
      <x:c r="C7" s="24" t="str">
        <x:v>LME</x:v>
      </x:c>
      <x:c r="D7" s="30" t="n">
        <x:v>2019</x:v>
      </x:c>
      <x:c r="E7" s="24" t="str">
        <x:v>Cololabis saira</x:v>
      </x:c>
      <x:c r="F7" s="24" t="str">
        <x:v>Pacific saury</x:v>
      </x:c>
      <x:c r="G7" s="24" t="str">
        <x:v>Medium pelagics (30 - 89 cm)</x:v>
      </x:c>
      <x:c r="H7" s="24" t="str">
        <x:v>Other fishes &amp; inverts</x:v>
      </x:c>
      <x:c r="I7" s="31" t="n">
        <x:v>230694.4589490451</x:v>
      </x:c>
      <x:c r="J7" s="31" t="n">
        <x:v>227887.1805618316</x:v>
      </x:c>
      <x:c r="K7" s="31" t="n">
        <x:v>2807.2783872135</x:v>
      </x:c>
      <x:c r="L7" s="31" t="n">
        <x:v>204040.5828528501</x:v>
      </x:c>
      <x:c r="M7" s="31" t="n">
        <x:v>26653.876096195</x:v>
      </x:c>
      <x:c r="N7" s="24" t="str">
        <x:v>cololabis saira</x:v>
      </x:c>
      <x:c r="O7" s="32" t="n">
        <x:v>3.71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Cololabis saira</x:v>
      </x:c>
      <x:c r="T7" s="32" t="n">
        <x:f>IF(O7="","",(1/'Metadata'!$B$5)^(O7-1))</x:f>
        <x:v>512.8613839913648</x:v>
      </x:c>
      <x:c r="U7" s="31" t="n">
        <x:f>IF(T7="","",I7*T7)</x:f>
        <x:v>118314279.49574637</x:v>
      </x:c>
    </x:row>
    <x:row r="8" ht="18" customHeight="1">
      <x:c r="A8" s="24" t="str">
        <x:v>LME_047</x:v>
      </x:c>
      <x:c r="B8" s="24" t="str">
        <x:v>East China Sea</x:v>
      </x:c>
      <x:c r="C8" s="24" t="str">
        <x:v>LME</x:v>
      </x:c>
      <x:c r="D8" s="30" t="n">
        <x:v>2019</x:v>
      </x:c>
      <x:c r="E8" s="24" t="str">
        <x:v>Larimichthys polyactis</x:v>
      </x:c>
      <x:c r="F8" s="24" t="str">
        <x:v>Yellow croaker</x:v>
      </x:c>
      <x:c r="G8" s="24" t="str">
        <x:v>Medium benthopelagics (30 - 89 cm)</x:v>
      </x:c>
      <x:c r="H8" s="24" t="str">
        <x:v>Perch-likes</x:v>
      </x:c>
      <x:c r="I8" s="31" t="n">
        <x:v>197176.5988946415</x:v>
      </x:c>
      <x:c r="J8" s="31" t="n">
        <x:v>196148.2457708462</x:v>
      </x:c>
      <x:c r="K8" s="31" t="n">
        <x:v>1028.3531237953</x:v>
      </x:c>
      <x:c r="L8" s="31" t="n">
        <x:v>193802.4084775568</x:v>
      </x:c>
      <x:c r="M8" s="31" t="n">
        <x:v>3374.1904170847</x:v>
      </x:c>
      <x:c r="N8" s="24" t="str">
        <x:v>larimichthys polyactis</x:v>
      </x:c>
      <x:c r="O8" s="32" t="n">
        <x:v>3.64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Larimichthys polyactis</x:v>
      </x:c>
      <x:c r="T8" s="32" t="n">
        <x:f>IF(O8="","",(1/'Metadata'!$B$5)^(O8-1))</x:f>
        <x:v>436.5158322401661</x:v>
      </x:c>
      <x:c r="U8" s="31" t="n">
        <x:f>IF(T8="","",I8*T8)</x:f>
        <x:v>86070707.16477986</x:v>
      </x:c>
    </x:row>
    <x:row r="9" ht="18" customHeight="1">
      <x:c r="A9" s="24" t="str">
        <x:v>LME_047</x:v>
      </x:c>
      <x:c r="B9" s="24" t="str">
        <x:v>East China Sea</x:v>
      </x:c>
      <x:c r="C9" s="24" t="str">
        <x:v>LME</x:v>
      </x:c>
      <x:c r="D9" s="30" t="n">
        <x:v>2019</x:v>
      </x:c>
      <x:c r="E9" s="24" t="str">
        <x:v>Pectinidae</x:v>
      </x:c>
      <x:c r="F9" s="24" t="str">
        <x:v>Scallops</x:v>
      </x:c>
      <x:c r="G9" s="24" t="str">
        <x:v>Other demersal invertebrates</x:v>
      </x:c>
      <x:c r="H9" s="24" t="str">
        <x:v>Molluscs</x:v>
      </x:c>
      <x:c r="I9" s="31" t="n">
        <x:v>167843.22632905378</x:v>
      </x:c>
      <x:c r="J9" s="31" t="n">
        <x:v>131725.0620803857</x:v>
      </x:c>
      <x:c r="K9" s="31" t="n">
        <x:v>36118.1642486681</x:v>
      </x:c>
      <x:c r="L9" s="31" t="n">
        <x:v>131725.0620803857</x:v>
      </x:c>
      <x:c r="M9" s="31" t="n">
        <x:v>36118.1642486681</x:v>
      </x:c>
      <x:c r="N9" s="24" t="str">
        <x:v>pectinidae</x:v>
      </x:c>
      <x:c r="O9" s="32" t="n">
        <x:v>2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Pectinidae</x:v>
      </x:c>
      <x:c r="T9" s="32" t="n">
        <x:f>IF(O9="","",(1/'Metadata'!$B$5)^(O9-1))</x:f>
        <x:v>10</x:v>
      </x:c>
      <x:c r="U9" s="31" t="n">
        <x:f>IF(T9="","",I9*T9)</x:f>
        <x:v>1678432.2632905378</x:v>
      </x:c>
    </x:row>
    <x:row r="10" ht="18" customHeight="1">
      <x:c r="A10" s="24" t="str">
        <x:v>LME_047</x:v>
      </x:c>
      <x:c r="B10" s="24" t="str">
        <x:v>East China Sea</x:v>
      </x:c>
      <x:c r="C10" s="24" t="str">
        <x:v>LME</x:v>
      </x:c>
      <x:c r="D10" s="30" t="n">
        <x:v>2019</x:v>
      </x:c>
      <x:c r="E10" s="24" t="str">
        <x:v>Nemipterus</x:v>
      </x:c>
      <x:c r="F10" s="24" t="str">
        <x:v>Threadfin breams</x:v>
      </x:c>
      <x:c r="G10" s="24" t="str">
        <x:v>Small demersals (&lt;30 cm)</x:v>
      </x:c>
      <x:c r="H10" s="24" t="str">
        <x:v>Perch-likes</x:v>
      </x:c>
      <x:c r="I10" s="31" t="n">
        <x:v>116853.5155605323</x:v>
      </x:c>
      <x:c r="J10" s="31" t="n">
        <x:v>116535.001403034</x:v>
      </x:c>
      <x:c r="K10" s="31" t="n">
        <x:v>318.51415749830005</x:v>
      </x:c>
      <x:c r="L10" s="31" t="n">
        <x:v>115758.0689532873</x:v>
      </x:c>
      <x:c r="M10" s="31" t="n">
        <x:v>1095.446607245</x:v>
      </x:c>
      <x:c r="N10" s="24" t="str">
        <x:v>nemipterus</x:v>
      </x:c>
      <x:c r="O10" s="32" t="n">
        <x:v>3.72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Nemipterus</x:v>
      </x:c>
      <x:c r="T10" s="32" t="n">
        <x:f>IF(O10="","",(1/'Metadata'!$B$5)^(O10-1))</x:f>
        <x:v>524.8074602497728</x:v>
      </x:c>
      <x:c r="U10" s="31" t="n">
        <x:f>IF(T10="","",I10*T10)</x:f>
        <x:v>61325596.72258026</x:v>
      </x:c>
    </x:row>
    <x:row r="11" ht="18" customHeight="1">
      <x:c r="A11" s="24" t="str">
        <x:v>LME_047</x:v>
      </x:c>
      <x:c r="B11" s="24" t="str">
        <x:v>East China Sea</x:v>
      </x:c>
      <x:c r="C11" s="24" t="str">
        <x:v>LME</x:v>
      </x:c>
      <x:c r="D11" s="30" t="n">
        <x:v>2019</x:v>
      </x:c>
      <x:c r="E11" s="24" t="str">
        <x:v>Muraenesox cinereus</x:v>
      </x:c>
      <x:c r="F11" s="24" t="str">
        <x:v>Daggertooth pike conger</x:v>
      </x:c>
      <x:c r="G11" s="24" t="str">
        <x:v>Large demersals (&gt;=90 cm)</x:v>
      </x:c>
      <x:c r="H11" s="24" t="str">
        <x:v>Other fishes &amp; inverts</x:v>
      </x:c>
      <x:c r="I11" s="31" t="n">
        <x:v>114956.7721681152</x:v>
      </x:c>
      <x:c r="J11" s="31" t="n">
        <x:v>114571.5275412048</x:v>
      </x:c>
      <x:c r="K11" s="31" t="n">
        <x:v>385.2446269104</x:v>
      </x:c>
      <x:c r="L11" s="31" t="n">
        <x:v>114350.9317589627</x:v>
      </x:c>
      <x:c r="M11" s="31" t="n">
        <x:v>605.8404091525</x:v>
      </x:c>
      <x:c r="N11" s="24" t="str">
        <x:v>muraenesox cinereus</x:v>
      </x:c>
      <x:c r="O11" s="32" t="n">
        <x:v>4.38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Muraenesox cinereus</x:v>
      </x:c>
      <x:c r="T11" s="32" t="n">
        <x:f>IF(O11="","",(1/'Metadata'!$B$5)^(O11-1))</x:f>
        <x:v>2398.83291901949</x:v>
      </x:c>
      <x:c r="U11" s="31" t="n">
        <x:f>IF(T11="","",I11*T11)</x:f>
        <x:v>275762089.34109825</x:v>
      </x:c>
    </x:row>
    <x:row r="12" ht="18" customHeight="1">
      <x:c r="A12" s="24" t="str">
        <x:v>LME_047</x:v>
      </x:c>
      <x:c r="B12" s="24" t="str">
        <x:v>East China Sea</x:v>
      </x:c>
      <x:c r="C12" s="24" t="str">
        <x:v>LME</x:v>
      </x:c>
      <x:c r="D12" s="30" t="n">
        <x:v>2019</x:v>
      </x:c>
      <x:c r="E12" s="24" t="str">
        <x:v>Acetes japonicus</x:v>
      </x:c>
      <x:c r="F12" s="24" t="str">
        <x:v>Akiami paste shrimp</x:v>
      </x:c>
      <x:c r="G12" s="24" t="str">
        <x:v>Shrimps</x:v>
      </x:c>
      <x:c r="H12" s="24" t="str">
        <x:v>Crustaceans</x:v>
      </x:c>
      <x:c r="I12" s="31" t="n">
        <x:v>110894.41542930341</x:v>
      </x:c>
      <x:c r="J12" s="31" t="n">
        <x:v>110196.0400868004</x:v>
      </x:c>
      <x:c r="K12" s="31" t="n">
        <x:v>698.375342503</x:v>
      </x:c>
      <x:c r="L12" s="31" t="n">
        <x:v>109751.3968761559</x:v>
      </x:c>
      <x:c r="M12" s="31" t="n">
        <x:v>1143.0185531475</x:v>
      </x:c>
      <x:c r="N12" s="24" t="str">
        <x:v>acetes japonicus</x:v>
      </x:c>
      <x:c r="O12" s="32" t="n">
        <x:v>2.54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Acetes japonicus</x:v>
      </x:c>
      <x:c r="T12" s="32" t="n">
        <x:f>IF(O12="","",(1/'Metadata'!$B$5)^(O12-1))</x:f>
        <x:v>34.673685045253166</x:v>
      </x:c>
      <x:c r="U12" s="31" t="n">
        <x:f>IF(T12="","",I12*T12)</x:f>
        <x:v>3845118.0338731296</x:v>
      </x:c>
    </x:row>
    <x:row r="13" ht="18" customHeight="1">
      <x:c r="A13" s="24" t="str">
        <x:v>LME_047</x:v>
      </x:c>
      <x:c r="B13" s="24" t="str">
        <x:v>East China Sea</x:v>
      </x:c>
      <x:c r="C13" s="24" t="str">
        <x:v>LME</x:v>
      </x:c>
      <x:c r="D13" s="30" t="n">
        <x:v>2019</x:v>
      </x:c>
      <x:c r="E13" s="24" t="str">
        <x:v>Scomber</x:v>
      </x:c>
      <x:c r="F13" s="24" t="str">
        <x:v>Chub mackerels</x:v>
      </x:c>
      <x:c r="G13" s="24" t="str">
        <x:v>Medium pelagics (30 - 89 cm)</x:v>
      </x:c>
      <x:c r="H13" s="24" t="str">
        <x:v>Perch-likes</x:v>
      </x:c>
      <x:c r="I13" s="31" t="n">
        <x:v>108540.0639924213</x:v>
      </x:c>
      <x:c r="J13" s="31" t="n">
        <x:v>107400.5200798732</x:v>
      </x:c>
      <x:c r="K13" s="31" t="n">
        <x:v>1139.5439125481</x:v>
      </x:c>
      <x:c r="L13" s="31" t="n">
        <x:v>102099.7172197294</x:v>
      </x:c>
      <x:c r="M13" s="31" t="n">
        <x:v>6440.3467726919</x:v>
      </x:c>
      <x:c r="N13" s="24" t="str">
        <x:v>scomber</x:v>
      </x:c>
      <x:c r="O13" s="32" t="n">
        <x:v>3.65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Scomber</x:v>
      </x:c>
      <x:c r="T13" s="32" t="n">
        <x:f>IF(O13="","",(1/'Metadata'!$B$5)^(O13-1))</x:f>
        <x:v>446.683592150963</x:v>
      </x:c>
      <x:c r="U13" s="31" t="n">
        <x:f>IF(T13="","",I13*T13)</x:f>
        <x:v>48483065.67643014</x:v>
      </x:c>
    </x:row>
    <x:row r="14" ht="18" customHeight="1">
      <x:c r="A14" s="24" t="str">
        <x:v>LME_047</x:v>
      </x:c>
      <x:c r="B14" s="24" t="str">
        <x:v>East China Sea</x:v>
      </x:c>
      <x:c r="C14" s="24" t="str">
        <x:v>LME</x:v>
      </x:c>
      <x:c r="D14" s="30" t="n">
        <x:v>2019</x:v>
      </x:c>
      <x:c r="E14" s="24" t="str">
        <x:v>Penaeus chinensis</x:v>
      </x:c>
      <x:c r="F14" s="24" t="str">
        <x:v>Fleshy prawn</x:v>
      </x:c>
      <x:c r="G14" s="24" t="str">
        <x:v>Shrimps</x:v>
      </x:c>
      <x:c r="H14" s="24" t="str">
        <x:v>Crustaceans</x:v>
      </x:c>
      <x:c r="I14" s="31" t="n">
        <x:v>107938.025532131</x:v>
      </x:c>
      <x:c r="J14" s="31" t="n">
        <x:v>107616.99305812581</x:v>
      </x:c>
      <x:c r="K14" s="31" t="n">
        <x:v>321.0324740052</x:v>
      </x:c>
      <x:c r="L14" s="31" t="n">
        <x:v>107517.0932218534</x:v>
      </x:c>
      <x:c r="M14" s="31" t="n">
        <x:v>420.9323102776</x:v>
      </x:c>
      <x:c r="N14" s="24" t="str">
        <x:v>penaeus chinensis</x:v>
      </x:c>
      <x:c r="O14" s="32" t="n">
        <x:v>2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Penaeus chinensis</x:v>
      </x:c>
      <x:c r="T14" s="32" t="n">
        <x:f>IF(O14="","",(1/'Metadata'!$B$5)^(O14-1))</x:f>
        <x:v>10</x:v>
      </x:c>
      <x:c r="U14" s="31" t="n">
        <x:f>IF(T14="","",I14*T14)</x:f>
        <x:v>1079380.25532131</x:v>
      </x:c>
    </x:row>
    <x:row r="15" ht="18" customHeight="1">
      <x:c r="A15" s="24" t="str">
        <x:v>LME_047</x:v>
      </x:c>
      <x:c r="B15" s="24" t="str">
        <x:v>East China Sea</x:v>
      </x:c>
      <x:c r="C15" s="24" t="str">
        <x:v>LME</x:v>
      </x:c>
      <x:c r="D15" s="30" t="n">
        <x:v>2019</x:v>
      </x:c>
      <x:c r="E15" s="24" t="str">
        <x:v>Sciaenidae</x:v>
      </x:c>
      <x:c r="F15" s="24" t="str">
        <x:v>Drums, croakers</x:v>
      </x:c>
      <x:c r="G15" s="24" t="str">
        <x:v>Medium demersals (30 - 89 cm)</x:v>
      </x:c>
      <x:c r="H15" s="24" t="str">
        <x:v>Perch-likes</x:v>
      </x:c>
      <x:c r="I15" s="31" t="n">
        <x:v>104287.68627548449</x:v>
      </x:c>
      <x:c r="J15" s="31" t="n">
        <x:v>103745.4392768873</x:v>
      </x:c>
      <x:c r="K15" s="31" t="n">
        <x:v>542.2469985972</x:v>
      </x:c>
      <x:c r="L15" s="31" t="n">
        <x:v>102641.5484052843</x:v>
      </x:c>
      <x:c r="M15" s="31" t="n">
        <x:v>1646.1378702002</x:v>
      </x:c>
      <x:c r="N15" s="24" t="str">
        <x:v>sciaenidae</x:v>
      </x:c>
      <x:c r="O15" s="32" t="n">
        <x:v>3.76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Sciaenidae</x:v>
      </x:c>
      <x:c r="T15" s="32" t="n">
        <x:f>IF(O15="","",(1/'Metadata'!$B$5)^(O15-1))</x:f>
        <x:v>575.4399373371566</x:v>
      </x:c>
      <x:c r="U15" s="31" t="n">
        <x:f>IF(T15="","",I15*T15)</x:f>
        <x:v>60011299.65540184</x:v>
      </x:c>
    </x:row>
    <x:row r="16" ht="18" customHeight="1">
      <x:c r="A16" s="24" t="str">
        <x:v>LME_047</x:v>
      </x:c>
      <x:c r="B16" s="24" t="str">
        <x:v>East China Sea</x:v>
      </x:c>
      <x:c r="C16" s="24" t="str">
        <x:v>LME</x:v>
      </x:c>
      <x:c r="D16" s="30" t="n">
        <x:v>2019</x:v>
      </x:c>
      <x:c r="E16" s="24" t="str">
        <x:v>Miscellaneous marine crustaceans</x:v>
      </x:c>
      <x:c r="F16" s="24" t="str">
        <x:v>Marine crabs, shrimps, lobsters nei</x:v>
      </x:c>
      <x:c r="G16" s="24" t="str">
        <x:v>Shrimps</x:v>
      </x:c>
      <x:c r="H16" s="24" t="str">
        <x:v>Crustaceans</x:v>
      </x:c>
      <x:c r="I16" s="31" t="n">
        <x:v>102287.53606203549</x:v>
      </x:c>
      <x:c r="J16" s="31" t="n">
        <x:v>101308.3930018646</x:v>
      </x:c>
      <x:c r="K16" s="31" t="n">
        <x:v>979.1430601709</x:v>
      </x:c>
      <x:c r="L16" s="31" t="n">
        <x:v>100111.2210936103</x:v>
      </x:c>
      <x:c r="M16" s="31" t="n">
        <x:v>2176.3149684252</x:v>
      </x:c>
      <x:c r="N16" s="24" t="str">
        <x:v>miscellaneous marine crustaceans</x:v>
      </x:c>
      <x:c r="O16" s="32" t="n">
        <x:v>2.7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Miscellaneous marine crustaceans</x:v>
      </x:c>
      <x:c r="T16" s="32" t="n">
        <x:f>IF(O16="","",(1/'Metadata'!$B$5)^(O16-1))</x:f>
        <x:v>50.11872336272725</x:v>
      </x:c>
      <x:c r="U16" s="31" t="n">
        <x:f>IF(T16="","",I16*T16)</x:f>
        <x:v>5126520.723348144</x:v>
      </x:c>
    </x:row>
    <x:row r="17" ht="18" customHeight="1">
      <x:c r="A17" s="24" t="str">
        <x:v>LME_047</x:v>
      </x:c>
      <x:c r="B17" s="24" t="str">
        <x:v>East China Sea</x:v>
      </x:c>
      <x:c r="C17" s="24" t="str">
        <x:v>LME</x:v>
      </x:c>
      <x:c r="D17" s="30" t="n">
        <x:v>2019</x:v>
      </x:c>
      <x:c r="E17" s="24" t="str">
        <x:v>Pampus</x:v>
      </x:c>
      <x:c r="F17" s="24" t="str">
        <x:v>Silver pomfrets</x:v>
      </x:c>
      <x:c r="G17" s="24" t="str">
        <x:v>Medium benthopelagics (30 - 89 cm)</x:v>
      </x:c>
      <x:c r="H17" s="24" t="str">
        <x:v>Perch-likes</x:v>
      </x:c>
      <x:c r="I17" s="31" t="n">
        <x:v>99753.9588610455</x:v>
      </x:c>
      <x:c r="J17" s="31" t="n">
        <x:v>99389.2780556263</x:v>
      </x:c>
      <x:c r="K17" s="31" t="n">
        <x:v>364.6808054192</x:v>
      </x:c>
      <x:c r="L17" s="31" t="n">
        <x:v>99239.3635454941</x:v>
      </x:c>
      <x:c r="M17" s="31" t="n">
        <x:v>514.5953155514</x:v>
      </x:c>
      <x:c r="N17" s="24" t="str">
        <x:v>pampus</x:v>
      </x:c>
      <x:c r="O17" s="32" t="n">
        <x:v>3.41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Pampus</x:v>
      </x:c>
      <x:c r="T17" s="32" t="n">
        <x:f>IF(O17="","",(1/'Metadata'!$B$5)^(O17-1))</x:f>
        <x:v>257.03957827688646</x:v>
      </x:c>
      <x:c r="U17" s="31" t="n">
        <x:f>IF(T17="","",I17*T17)</x:f>
        <x:v>25640715.517093014</x:v>
      </x:c>
    </x:row>
    <x:row r="18" ht="18" customHeight="1">
      <x:c r="A18" s="24" t="str">
        <x:v>LME_047</x:v>
      </x:c>
      <x:c r="B18" s="24" t="str">
        <x:v>East China Sea</x:v>
      </x:c>
      <x:c r="C18" s="24" t="str">
        <x:v>LME</x:v>
      </x:c>
      <x:c r="D18" s="30" t="n">
        <x:v>2019</x:v>
      </x:c>
      <x:c r="E18" s="24" t="str">
        <x:v>Portunus trituberculatus</x:v>
      </x:c>
      <x:c r="F18" s="24" t="str">
        <x:v>Gazami crab</x:v>
      </x:c>
      <x:c r="G18" s="24" t="str">
        <x:v>Lobsters, crabs</x:v>
      </x:c>
      <x:c r="H18" s="24" t="str">
        <x:v>Crustaceans</x:v>
      </x:c>
      <x:c r="I18" s="31" t="n">
        <x:v>94979.7903254891</x:v>
      </x:c>
      <x:c r="J18" s="31" t="n">
        <x:v>94009.86590048739</x:v>
      </x:c>
      <x:c r="K18" s="31" t="n">
        <x:v>969.9244250017</x:v>
      </x:c>
      <x:c r="L18" s="31" t="n">
        <x:v>93474.9522788316</x:v>
      </x:c>
      <x:c r="M18" s="31" t="n">
        <x:v>1504.8380466575</x:v>
      </x:c>
      <x:c r="N18" s="24" t="str">
        <x:v>portunus trituberculatus</x:v>
      </x:c>
      <x:c r="O18" s="32" t="n">
        <x:v>3.73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Portunus trituberculatus</x:v>
      </x:c>
      <x:c r="T18" s="32" t="n">
        <x:f>IF(O18="","",(1/'Metadata'!$B$5)^(O18-1))</x:f>
        <x:v>537.0317963702527</x:v>
      </x:c>
      <x:c r="U18" s="31" t="n">
        <x:f>IF(T18="","",I18*T18)</x:f>
        <x:v>51007167.417367354</x:v>
      </x:c>
    </x:row>
    <x:row r="19" ht="18" customHeight="1">
      <x:c r="A19" s="24" t="str">
        <x:v>LME_047</x:v>
      </x:c>
      <x:c r="B19" s="24" t="str">
        <x:v>East China Sea</x:v>
      </x:c>
      <x:c r="C19" s="24" t="str">
        <x:v>LME</x:v>
      </x:c>
      <x:c r="D19" s="30" t="n">
        <x:v>2019</x:v>
      </x:c>
      <x:c r="E19" s="24" t="str">
        <x:v>Planiliza haematocheilus</x:v>
      </x:c>
      <x:c r="F19" s="24" t="str">
        <x:v>So-iny mullet</x:v>
      </x:c>
      <x:c r="G19" s="24" t="str">
        <x:v>Medium demersals (30 - 89 cm)</x:v>
      </x:c>
      <x:c r="H19" s="24" t="str">
        <x:v>Perch-likes</x:v>
      </x:c>
      <x:c r="I19" s="31" t="n">
        <x:v>94545.8584681388</x:v>
      </x:c>
      <x:c r="J19" s="31" t="n">
        <x:v>94329.6673230797</x:v>
      </x:c>
      <x:c r="K19" s="31" t="n">
        <x:v>216.1911450591</x:v>
      </x:c>
      <x:c r="L19" s="31" t="n">
        <x:v>94057.63351165531</x:v>
      </x:c>
      <x:c r="M19" s="31" t="n">
        <x:v>488.2249564835</x:v>
      </x:c>
      <x:c r="N19" s="24" t="str">
        <x:v>planiliza haematocheilus</x:v>
      </x:c>
      <x:c r="O19" s="32" t="n">
        <x:v>2.5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Planiliza haematocheilus</x:v>
      </x:c>
      <x:c r="T19" s="32" t="n">
        <x:f>IF(O19="","",(1/'Metadata'!$B$5)^(O19-1))</x:f>
        <x:v>31.622776601683793</x:v>
      </x:c>
      <x:c r="U19" s="31" t="n">
        <x:f>IF(T19="","",I19*T19)</x:f>
        <x:v>2989802.5609523673</x:v>
      </x:c>
    </x:row>
    <x:row r="20" ht="18" customHeight="1">
      <x:c r="A20" s="24" t="str">
        <x:v>LME_047</x:v>
      </x:c>
      <x:c r="B20" s="24" t="str">
        <x:v>East China Sea</x:v>
      </x:c>
      <x:c r="C20" s="24" t="str">
        <x:v>LME</x:v>
      </x:c>
      <x:c r="D20" s="30" t="n">
        <x:v>2019</x:v>
      </x:c>
      <x:c r="E20" s="24" t="str">
        <x:v>Pennahia argentata</x:v>
      </x:c>
      <x:c r="F20" s="24" t="str">
        <x:v>Silver croaker</x:v>
      </x:c>
      <x:c r="G20" s="24" t="str">
        <x:v>Medium benthopelagics (30 - 89 cm)</x:v>
      </x:c>
      <x:c r="H20" s="24" t="str">
        <x:v>Perch-likes</x:v>
      </x:c>
      <x:c r="I20" s="31" t="n">
        <x:v>81103.1852473097</x:v>
      </x:c>
      <x:c r="J20" s="31" t="n">
        <x:v>80625.2081991225</x:v>
      </x:c>
      <x:c r="K20" s="31" t="n">
        <x:v>477.97704818719996</x:v>
      </x:c>
      <x:c r="L20" s="31" t="n">
        <x:v>80283.0723937438</x:v>
      </x:c>
      <x:c r="M20" s="31" t="n">
        <x:v>820.1128535659</x:v>
      </x:c>
      <x:c r="N20" s="24" t="str">
        <x:v>pennahia argentata</x:v>
      </x:c>
      <x:c r="O20" s="32" t="n">
        <x:v>3.47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Pennahia argentata</x:v>
      </x:c>
      <x:c r="T20" s="32" t="n">
        <x:f>IF(O20="","",(1/'Metadata'!$B$5)^(O20-1))</x:f>
        <x:v>295.1209226666387</x:v>
      </x:c>
      <x:c r="U20" s="31" t="n">
        <x:f>IF(T20="","",I20*T20)</x:f>
        <x:v>23935246.861389358</x:v>
      </x:c>
    </x:row>
    <x:row r="21" ht="18" customHeight="1">
      <x:c r="A21" s="24" t="str">
        <x:v>LME_047</x:v>
      </x:c>
      <x:c r="B21" s="24" t="str">
        <x:v>East China Sea</x:v>
      </x:c>
      <x:c r="C21" s="24" t="str">
        <x:v>LME</x:v>
      </x:c>
      <x:c r="D21" s="30" t="n">
        <x:v>2019</x:v>
      </x:c>
      <x:c r="E21" s="24" t="str">
        <x:v>Trachysalambria curvirostris</x:v>
      </x:c>
      <x:c r="F21" s="24" t="str">
        <x:v>Southern rough shrimp</x:v>
      </x:c>
      <x:c r="G21" s="24" t="str">
        <x:v>Shrimps</x:v>
      </x:c>
      <x:c r="H21" s="24" t="str">
        <x:v>Crustaceans</x:v>
      </x:c>
      <x:c r="I21" s="31" t="n">
        <x:v>79332.3371031822</x:v>
      </x:c>
      <x:c r="J21" s="31" t="n">
        <x:v>78499.4728147445</x:v>
      </x:c>
      <x:c r="K21" s="31" t="n">
        <x:v>832.8642884377</x:v>
      </x:c>
      <x:c r="L21" s="31" t="n">
        <x:v>78325.96295328</x:v>
      </x:c>
      <x:c r="M21" s="31" t="n">
        <x:v>1006.3741499022</x:v>
      </x:c>
      <x:c r="N21" s="24" t="str">
        <x:v>trachysalambria curvirostris</x:v>
      </x:c>
      <x:c r="O21" s="32" t="n">
        <x:v>2.7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Trachysalambria curvirostris</x:v>
      </x:c>
      <x:c r="T21" s="32" t="n">
        <x:f>IF(O21="","",(1/'Metadata'!$B$5)^(O21-1))</x:f>
        <x:v>50.11872336272725</x:v>
      </x:c>
      <x:c r="U21" s="31" t="n">
        <x:f>IF(T21="","",I21*T21)</x:f>
        <x:v>3976035.4569930118</x:v>
      </x:c>
    </x:row>
    <x:row r="22" ht="18" customHeight="1">
      <x:c r="A22" s="24" t="str">
        <x:v>LME_047</x:v>
      </x:c>
      <x:c r="B22" s="24" t="str">
        <x:v>East China Sea</x:v>
      </x:c>
      <x:c r="C22" s="24" t="str">
        <x:v>LME</x:v>
      </x:c>
      <x:c r="D22" s="30" t="n">
        <x:v>2019</x:v>
      </x:c>
      <x:c r="E22" s="24" t="str">
        <x:v>Scomberomorus</x:v>
      </x:c>
      <x:c r="F22" s="24" t="str">
        <x:v>Spanish mackerels</x:v>
      </x:c>
      <x:c r="G22" s="24" t="str">
        <x:v>Large pelagics (&gt;=90 cm)</x:v>
      </x:c>
      <x:c r="H22" s="24" t="str">
        <x:v>Perch-likes</x:v>
      </x:c>
      <x:c r="I22" s="31" t="n">
        <x:v>77656.6100308452</x:v>
      </x:c>
      <x:c r="J22" s="31" t="n">
        <x:v>77411.4435081541</x:v>
      </x:c>
      <x:c r="K22" s="31" t="n">
        <x:v>245.1665226911</x:v>
      </x:c>
      <x:c r="L22" s="31" t="n">
        <x:v>76986.6111868169</x:v>
      </x:c>
      <x:c r="M22" s="31" t="n">
        <x:v>669.9988440283</x:v>
      </x:c>
      <x:c r="N22" s="24" t="str">
        <x:v>scomberomorus</x:v>
      </x:c>
      <x:c r="O22" s="32" t="n">
        <x:v>4.35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Scomberomorus</x:v>
      </x:c>
      <x:c r="T22" s="32" t="n">
        <x:f>IF(O22="","",(1/'Metadata'!$B$5)^(O22-1))</x:f>
        <x:v>2238.7211385683377</x:v>
      </x:c>
      <x:c r="U22" s="31" t="n">
        <x:f>IF(T22="","",I22*T22)</x:f>
        <x:v>173851494.42561117</x:v>
      </x:c>
    </x:row>
    <x:row r="23" ht="18" customHeight="1">
      <x:c r="A23" s="24" t="str">
        <x:v>LME_047</x:v>
      </x:c>
      <x:c r="B23" s="24" t="str">
        <x:v>East China Sea</x:v>
      </x:c>
      <x:c r="C23" s="24" t="str">
        <x:v>LME</x:v>
      </x:c>
      <x:c r="D23" s="30" t="n">
        <x:v>2019</x:v>
      </x:c>
      <x:c r="E23" s="24" t="str">
        <x:v>Squillidae</x:v>
      </x:c>
      <x:c r="F23" s="24" t="str">
        <x:v>Squilla mantis shrimps</x:v>
      </x:c>
      <x:c r="G23" s="24" t="str">
        <x:v>Shrimps</x:v>
      </x:c>
      <x:c r="H23" s="24" t="str">
        <x:v>Crustaceans</x:v>
      </x:c>
      <x:c r="I23" s="31" t="n">
        <x:v>75778.0965474014</x:v>
      </x:c>
      <x:c r="J23" s="31" t="n">
        <x:v>75634.5303292597</x:v>
      </x:c>
      <x:c r="K23" s="31" t="n">
        <x:v>143.5662181417</x:v>
      </x:c>
      <x:c r="L23" s="31" t="n">
        <x:v>75535.8456284106</x:v>
      </x:c>
      <x:c r="M23" s="31" t="n">
        <x:v>242.25091899080002</x:v>
      </x:c>
      <x:c r="N23" s="24" t="str">
        <x:v>squillidae</x:v>
      </x:c>
      <x:c r="O23" s="32" t="n">
        <x:v>3.5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Squillidae</x:v>
      </x:c>
      <x:c r="T23" s="32" t="n">
        <x:f>IF(O23="","",(1/'Metadata'!$B$5)^(O23-1))</x:f>
        <x:v>316.22776601683796</x:v>
      </x:c>
      <x:c r="U23" s="31" t="n">
        <x:f>IF(T23="","",I23*T23)</x:f>
        <x:v>23963138.184193004</x:v>
      </x:c>
    </x:row>
    <x:row r="24" ht="18" customHeight="1">
      <x:c r="A24" s="24" t="str">
        <x:v>LME_047</x:v>
      </x:c>
      <x:c r="B24" s="24" t="str">
        <x:v>East China Sea</x:v>
      </x:c>
      <x:c r="C24" s="24" t="str">
        <x:v>LME</x:v>
      </x:c>
      <x:c r="D24" s="30" t="n">
        <x:v>2019</x:v>
      </x:c>
      <x:c r="E24" s="24" t="str">
        <x:v>Teuthida</x:v>
      </x:c>
      <x:c r="F24" s="24" t="str">
        <x:v>Squids</x:v>
      </x:c>
      <x:c r="G24" s="24" t="str">
        <x:v>Cephalopods</x:v>
      </x:c>
      <x:c r="H24" s="24" t="str">
        <x:v>Other fishes &amp; inverts</x:v>
      </x:c>
      <x:c r="I24" s="31" t="n">
        <x:v>66237.3032107409</x:v>
      </x:c>
      <x:c r="J24" s="31" t="n">
        <x:v>65868.2205715255</x:v>
      </x:c>
      <x:c r="K24" s="31" t="n">
        <x:v>369.0826392154</x:v>
      </x:c>
      <x:c r="L24" s="31" t="n">
        <x:v>65367.4463180749</x:v>
      </x:c>
      <x:c r="M24" s="31" t="n">
        <x:v>869.856892666</x:v>
      </x:c>
      <x:c r="N24" s="24" t="str">
        <x:v>teuthida</x:v>
      </x:c>
      <x:c r="O24" s="32" t="n">
        <x:v>4.13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Teuthida</x:v>
      </x:c>
      <x:c r="T24" s="32" t="n">
        <x:f>IF(O24="","",(1/'Metadata'!$B$5)^(O24-1))</x:f>
        <x:v>1348.9628825916532</x:v>
      </x:c>
      <x:c r="U24" s="31" t="n">
        <x:f>IF(T24="","",I24*T24)</x:f>
        <x:v>89351663.47425841</x:v>
      </x:c>
    </x:row>
    <x:row r="25" ht="18" customHeight="1">
      <x:c r="A25" s="24" t="str">
        <x:v>LME_047</x:v>
      </x:c>
      <x:c r="B25" s="24" t="str">
        <x:v>East China Sea</x:v>
      </x:c>
      <x:c r="C25" s="24" t="str">
        <x:v>LME</x:v>
      </x:c>
      <x:c r="D25" s="30" t="n">
        <x:v>2019</x:v>
      </x:c>
      <x:c r="E25" s="24" t="str">
        <x:v>Scyphozoa</x:v>
      </x:c>
      <x:c r="F25" s="24" t="str">
        <x:v>True jellyfishes</x:v>
      </x:c>
      <x:c r="G25" s="24" t="str">
        <x:v>Jellyfish</x:v>
      </x:c>
      <x:c r="H25" s="24" t="str">
        <x:v>Other fishes &amp; inverts</x:v>
      </x:c>
      <x:c r="I25" s="31" t="n">
        <x:v>64205.573340651004</x:v>
      </x:c>
      <x:c r="J25" s="31" t="n">
        <x:v>64150.7162072696</x:v>
      </x:c>
      <x:c r="K25" s="31" t="n">
        <x:v>54.8571333814</x:v>
      </x:c>
      <x:c r="L25" s="31" t="n">
        <x:v>64150.7162072696</x:v>
      </x:c>
      <x:c r="M25" s="31" t="n">
        <x:v>54.8571333814</x:v>
      </x:c>
      <x:c r="N25" s="24" t="str">
        <x:v>scyphozoa</x:v>
      </x:c>
      <x:c r="O25" s="32" t="n">
        <x:v>3.46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Scyphozoa</x:v>
      </x:c>
      <x:c r="T25" s="32" t="n">
        <x:f>IF(O25="","",(1/'Metadata'!$B$5)^(O25-1))</x:f>
        <x:v>288.40315031266056</x:v>
      </x:c>
      <x:c r="U25" s="31" t="n">
        <x:f>IF(T25="","",I25*T25)</x:f>
        <x:v>18517089.619074322</x:v>
      </x:c>
    </x:row>
    <x:row r="26" ht="18" customHeight="1">
      <x:c r="A26" s="24" t="str">
        <x:v>LME_047</x:v>
      </x:c>
      <x:c r="B26" s="24" t="str">
        <x:v>East China Sea</x:v>
      </x:c>
      <x:c r="C26" s="24" t="str">
        <x:v>LME</x:v>
      </x:c>
      <x:c r="D26" s="30" t="n">
        <x:v>2019</x:v>
      </x:c>
      <x:c r="E26" s="24" t="str">
        <x:v>Rhopilema esculentum</x:v>
      </x:c>
      <x:c r="F26" s="24" t="str">
        <x:v>Flame jellyfish</x:v>
      </x:c>
      <x:c r="G26" s="24" t="str">
        <x:v>Jellyfish</x:v>
      </x:c>
      <x:c r="H26" s="24" t="str">
        <x:v>Other fishes &amp; inverts</x:v>
      </x:c>
      <x:c r="I26" s="31" t="n">
        <x:v>56849.6706913366</x:v>
      </x:c>
      <x:c r="J26" s="31" t="n">
        <x:v>56849.6706913366</x:v>
      </x:c>
      <x:c r="K26" s="31" t="n">
        <x:v>0</x:v>
      </x:c>
      <x:c r="L26" s="31" t="n">
        <x:v>55936.8746545395</x:v>
      </x:c>
      <x:c r="M26" s="31" t="n">
        <x:v>912.7960367971</x:v>
      </x:c>
      <x:c r="N26" s="24" t="str">
        <x:v>rhopilema esculentum</x:v>
      </x:c>
      <x:c r="O26" s="32" t="n">
        <x:v>3.01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Rhopilema esculentum</x:v>
      </x:c>
      <x:c r="T26" s="32" t="n">
        <x:f>IF(O26="","",(1/'Metadata'!$B$5)^(O26-1))</x:f>
        <x:v>102.32929922807536</x:v>
      </x:c>
      <x:c r="U26" s="31" t="n">
        <x:f>IF(T26="","",I26*T26)</x:f>
        <x:v>5817386.963191329</x:v>
      </x:c>
    </x:row>
    <x:row r="27" ht="18" customHeight="1">
      <x:c r="A27" s="24" t="str">
        <x:v>LME_047</x:v>
      </x:c>
      <x:c r="B27" s="24" t="str">
        <x:v>East China Sea</x:v>
      </x:c>
      <x:c r="C27" s="24" t="str">
        <x:v>LME</x:v>
      </x:c>
      <x:c r="D27" s="30" t="n">
        <x:v>2019</x:v>
      </x:c>
      <x:c r="E27" s="24" t="str">
        <x:v>Seriola</x:v>
      </x:c>
      <x:c r="F27" s="24" t="str">
        <x:v>Amberjacks</x:v>
      </x:c>
      <x:c r="G27" s="24" t="str">
        <x:v>Large benthopelagics (&gt;=90 cm)</x:v>
      </x:c>
      <x:c r="H27" s="24" t="str">
        <x:v>Perch-likes</x:v>
      </x:c>
      <x:c r="I27" s="31" t="n">
        <x:v>56096.3257960985</x:v>
      </x:c>
      <x:c r="J27" s="31" t="n">
        <x:v>55007.261246538495</x:v>
      </x:c>
      <x:c r="K27" s="31" t="n">
        <x:v>1089.0645495600002</x:v>
      </x:c>
      <x:c r="L27" s="31" t="n">
        <x:v>53609.4437057241</x:v>
      </x:c>
      <x:c r="M27" s="31" t="n">
        <x:v>2486.8820903744</x:v>
      </x:c>
      <x:c r="N27" s="24" t="str">
        <x:v>seriola</x:v>
      </x:c>
      <x:c r="O27" s="32" t="n">
        <x:v>4.39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Seriola</x:v>
      </x:c>
      <x:c r="T27" s="32" t="n">
        <x:f>IF(O27="","",(1/'Metadata'!$B$5)^(O27-1))</x:f>
        <x:v>2454.7089156850284</x:v>
      </x:c>
      <x:c r="U27" s="31" t="n">
        <x:f>IF(T27="","",I27*T27)</x:f>
        <x:v>137700151.06885505</x:v>
      </x:c>
    </x:row>
    <x:row r="28" ht="18" customHeight="1">
      <x:c r="A28" s="24" t="str">
        <x:v>LME_047</x:v>
      </x:c>
      <x:c r="B28" s="24" t="str">
        <x:v>East China Sea</x:v>
      </x:c>
      <x:c r="C28" s="24" t="str">
        <x:v>LME</x:v>
      </x:c>
      <x:c r="D28" s="30" t="n">
        <x:v>2019</x:v>
      </x:c>
      <x:c r="E28" s="24" t="str">
        <x:v>Harpadon nehereus</x:v>
      </x:c>
      <x:c r="F28" s="24" t="str">
        <x:v>Bombay-duck</x:v>
      </x:c>
      <x:c r="G28" s="24" t="str">
        <x:v>Medium benthopelagics (30 - 89 cm)</x:v>
      </x:c>
      <x:c r="H28" s="24" t="str">
        <x:v>Other fishes &amp; inverts</x:v>
      </x:c>
      <x:c r="I28" s="31" t="n">
        <x:v>52888.2008287482</x:v>
      </x:c>
      <x:c r="J28" s="31" t="n">
        <x:v>52888.2008287482</x:v>
      </x:c>
      <x:c r="K28" s="31" t="n">
        <x:v>0</x:v>
      </x:c>
      <x:c r="L28" s="31" t="n">
        <x:v>1977.7773766813</x:v>
      </x:c>
      <x:c r="M28" s="31" t="n">
        <x:v>50910.4234520669</x:v>
      </x:c>
      <x:c r="N28" s="24" t="str">
        <x:v>harpadon nehereus</x:v>
      </x:c>
      <x:c r="O28" s="32" t="n">
        <x:v>4.2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Harpadon nehereus</x:v>
      </x:c>
      <x:c r="T28" s="32" t="n">
        <x:f>IF(O28="","",(1/'Metadata'!$B$5)^(O28-1))</x:f>
        <x:v>1584.893192461114</x:v>
      </x:c>
      <x:c r="U28" s="31" t="n">
        <x:f>IF(T28="","",I28*T28)</x:f>
        <x:v>83822149.45499927</x:v>
      </x:c>
    </x:row>
    <x:row r="29" ht="18" customHeight="1">
      <x:c r="A29" s="24" t="str">
        <x:v>LME_047</x:v>
      </x:c>
      <x:c r="B29" s="24" t="str">
        <x:v>East China Sea</x:v>
      </x:c>
      <x:c r="C29" s="24" t="str">
        <x:v>LME</x:v>
      </x:c>
      <x:c r="D29" s="30" t="n">
        <x:v>2019</x:v>
      </x:c>
      <x:c r="E29" s="24" t="str">
        <x:v>Scomberomorus niphonius</x:v>
      </x:c>
      <x:c r="F29" s="24" t="str">
        <x:v>Japanese Spanish mackerel</x:v>
      </x:c>
      <x:c r="G29" s="24" t="str">
        <x:v>Large pelagics (&gt;=90 cm)</x:v>
      </x:c>
      <x:c r="H29" s="24" t="str">
        <x:v>Perch-likes</x:v>
      </x:c>
      <x:c r="I29" s="31" t="n">
        <x:v>50589.8213596274</x:v>
      </x:c>
      <x:c r="J29" s="31" t="n">
        <x:v>50259.0667887172</x:v>
      </x:c>
      <x:c r="K29" s="31" t="n">
        <x:v>330.7545709102</x:v>
      </x:c>
      <x:c r="L29" s="31" t="n">
        <x:v>50259.0667887172</x:v>
      </x:c>
      <x:c r="M29" s="31" t="n">
        <x:v>330.7545709102</x:v>
      </x:c>
      <x:c r="N29" s="24" t="str">
        <x:v>scomberomorus niphonius</x:v>
      </x:c>
      <x:c r="O29" s="32" t="n">
        <x:v>4.5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Scomberomorus niphonius</x:v>
      </x:c>
      <x:c r="T29" s="32" t="n">
        <x:f>IF(O29="","",(1/'Metadata'!$B$5)^(O29-1))</x:f>
        <x:v>3162.2776601683795</x:v>
      </x:c>
      <x:c r="U29" s="31" t="n">
        <x:f>IF(T29="","",I29*T29)</x:f>
        <x:v>159979061.91745883</x:v>
      </x:c>
    </x:row>
    <x:row r="30" ht="18" customHeight="1">
      <x:c r="A30" s="24" t="str">
        <x:v>LME_047</x:v>
      </x:c>
      <x:c r="B30" s="24" t="str">
        <x:v>East China Sea</x:v>
      </x:c>
      <x:c r="C30" s="24" t="str">
        <x:v>LME</x:v>
      </x:c>
      <x:c r="D30" s="30" t="n">
        <x:v>2019</x:v>
      </x:c>
      <x:c r="E30" s="24" t="str">
        <x:v>Sepiida</x:v>
      </x:c>
      <x:c r="F30" s="24" t="str">
        <x:v>Cuttlefishes, bobtail squids</x:v>
      </x:c>
      <x:c r="G30" s="24" t="str">
        <x:v>Cephalopods</x:v>
      </x:c>
      <x:c r="H30" s="24" t="str">
        <x:v>Other fishes &amp; inverts</x:v>
      </x:c>
      <x:c r="I30" s="31" t="n">
        <x:v>49141.9384799724</x:v>
      </x:c>
      <x:c r="J30" s="31" t="n">
        <x:v>48861.1158486029</x:v>
      </x:c>
      <x:c r="K30" s="31" t="n">
        <x:v>280.8226313695</x:v>
      </x:c>
      <x:c r="L30" s="31" t="n">
        <x:v>48785.0938642287</x:v>
      </x:c>
      <x:c r="M30" s="31" t="n">
        <x:v>356.8446157437</x:v>
      </x:c>
      <x:c r="N30" s="24" t="str">
        <x:v>sepiida</x:v>
      </x:c>
      <x:c r="O30" s="32" t="n">
        <x:v>3.7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Sepiida</x:v>
      </x:c>
      <x:c r="T30" s="32" t="n">
        <x:f>IF(O30="","",(1/'Metadata'!$B$5)^(O30-1))</x:f>
        <x:v>501.18723362727246</x:v>
      </x:c>
      <x:c r="U30" s="31" t="n">
        <x:f>IF(T30="","",I30*T30)</x:f>
        <x:v>24629312.20185898</x:v>
      </x:c>
    </x:row>
    <x:row r="31" ht="18" customHeight="1">
      <x:c r="A31" s="24" t="str">
        <x:v>LME_047</x:v>
      </x:c>
      <x:c r="B31" s="24" t="str">
        <x:v>East China Sea</x:v>
      </x:c>
      <x:c r="C31" s="24" t="str">
        <x:v>LME</x:v>
      </x:c>
      <x:c r="D31" s="30" t="n">
        <x:v>2019</x:v>
      </x:c>
      <x:c r="E31" s="24" t="str">
        <x:v>Decapoda</x:v>
      </x:c>
      <x:c r="F31" s="24" t="str">
        <x:v>Crabs, lobsters, shrimps</x:v>
      </x:c>
      <x:c r="G31" s="24" t="str">
        <x:v>Lobsters, crabs</x:v>
      </x:c>
      <x:c r="H31" s="24" t="str">
        <x:v>Crustaceans</x:v>
      </x:c>
      <x:c r="I31" s="31" t="n">
        <x:v>48910.066727256395</x:v>
      </x:c>
      <x:c r="J31" s="31" t="n">
        <x:v>47646.437540524996</x:v>
      </x:c>
      <x:c r="K31" s="31" t="n">
        <x:v>1263.6291867314</x:v>
      </x:c>
      <x:c r="L31" s="31" t="n">
        <x:v>47495.9641249226</x:v>
      </x:c>
      <x:c r="M31" s="31" t="n">
        <x:v>1414.1026023338</x:v>
      </x:c>
      <x:c r="N31" s="24" t="str">
        <x:v>decapoda</x:v>
      </x:c>
      <x:c r="O31" s="32" t="n">
        <x:v>3.43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Decapoda</x:v>
      </x:c>
      <x:c r="T31" s="32" t="n">
        <x:f>IF(O31="","",(1/'Metadata'!$B$5)^(O31-1))</x:f>
        <x:v>269.1534803926917</x:v>
      </x:c>
      <x:c r="U31" s="31" t="n">
        <x:f>IF(T31="","",I31*T31)</x:f>
        <x:v>13164314.685879845</x:v>
      </x:c>
    </x:row>
    <x:row r="32" ht="18" customHeight="1">
      <x:c r="A32" s="24" t="str">
        <x:v>LME_047</x:v>
      </x:c>
      <x:c r="B32" s="24" t="str">
        <x:v>East China Sea</x:v>
      </x:c>
      <x:c r="C32" s="24" t="str">
        <x:v>LME</x:v>
      </x:c>
      <x:c r="D32" s="30" t="n">
        <x:v>2019</x:v>
      </x:c>
      <x:c r="E32" s="24" t="str">
        <x:v>Octopoda</x:v>
      </x:c>
      <x:c r="F32" s="24" t="str">
        <x:v>Octopuses, argonauts</x:v>
      </x:c>
      <x:c r="G32" s="24" t="str">
        <x:v>Cephalopods</x:v>
      </x:c>
      <x:c r="H32" s="24" t="str">
        <x:v>Other fishes &amp; inverts</x:v>
      </x:c>
      <x:c r="I32" s="31" t="n">
        <x:v>45834.8916675018</x:v>
      </x:c>
      <x:c r="J32" s="31" t="n">
        <x:v>43646.3388537942</x:v>
      </x:c>
      <x:c r="K32" s="31" t="n">
        <x:v>2188.5528137076</x:v>
      </x:c>
      <x:c r="L32" s="31" t="n">
        <x:v>43320.5950811928</x:v>
      </x:c>
      <x:c r="M32" s="31" t="n">
        <x:v>2514.296586309</x:v>
      </x:c>
      <x:c r="N32" s="24" t="str">
        <x:v>octopoda</x:v>
      </x:c>
      <x:c r="O32" s="32" t="n">
        <x:v>3.58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Octopoda</x:v>
      </x:c>
      <x:c r="T32" s="32" t="n">
        <x:f>IF(O32="","",(1/'Metadata'!$B$5)^(O32-1))</x:f>
        <x:v>380.1893963205613</x:v>
      </x:c>
      <x:c r="U32" s="31" t="n">
        <x:f>IF(T32="","",I32*T32)</x:f>
        <x:v>17425939.79348583</x:v>
      </x:c>
    </x:row>
    <x:row r="33" ht="18" customHeight="1">
      <x:c r="A33" s="24" t="str">
        <x:v>LME_047</x:v>
      </x:c>
      <x:c r="B33" s="24" t="str">
        <x:v>East China Sea</x:v>
      </x:c>
      <x:c r="C33" s="24" t="str">
        <x:v>LME</x:v>
      </x:c>
      <x:c r="D33" s="30" t="n">
        <x:v>2019</x:v>
      </x:c>
      <x:c r="E33" s="24" t="str">
        <x:v>Todarodes pacificus</x:v>
      </x:c>
      <x:c r="F33" s="24" t="str">
        <x:v>Japanese flying squid</x:v>
      </x:c>
      <x:c r="G33" s="24" t="str">
        <x:v>Cephalopods</x:v>
      </x:c>
      <x:c r="H33" s="24" t="str">
        <x:v>Other fishes &amp; inverts</x:v>
      </x:c>
      <x:c r="I33" s="31" t="n">
        <x:v>44135.1138345945</x:v>
      </x:c>
      <x:c r="J33" s="31" t="n">
        <x:v>43508.7212661443</x:v>
      </x:c>
      <x:c r="K33" s="31" t="n">
        <x:v>626.3925684502</x:v>
      </x:c>
      <x:c r="L33" s="31" t="n">
        <x:v>43417.8092619142</x:v>
      </x:c>
      <x:c r="M33" s="31" t="n">
        <x:v>717.3045726803</x:v>
      </x:c>
      <x:c r="N33" s="24" t="str">
        <x:v>todarodes pacificus</x:v>
      </x:c>
      <x:c r="O33" s="32" t="n">
        <x:v>4.28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Todarodes pacificus</x:v>
      </x:c>
      <x:c r="T33" s="32" t="n">
        <x:f>IF(O33="","",(1/'Metadata'!$B$5)^(O33-1))</x:f>
        <x:v>1905.4607179632483</x:v>
      </x:c>
      <x:c r="U33" s="31" t="n">
        <x:f>IF(T33="","",I33*T33)</x:f>
        <x:v>84097725.69465613</x:v>
      </x:c>
    </x:row>
    <x:row r="34" ht="18" customHeight="1">
      <x:c r="A34" s="24" t="str">
        <x:v>LME_047</x:v>
      </x:c>
      <x:c r="B34" s="24" t="str">
        <x:v>East China Sea</x:v>
      </x:c>
      <x:c r="C34" s="24" t="str">
        <x:v>LME</x:v>
      </x:c>
      <x:c r="D34" s="30" t="n">
        <x:v>2019</x:v>
      </x:c>
      <x:c r="E34" s="24" t="str">
        <x:v>Dussumieria</x:v>
      </x:c>
      <x:c r="F34" s="24" t="str">
        <x:v>Rainbow sardines</x:v>
      </x:c>
      <x:c r="G34" s="24" t="str">
        <x:v>Small pelagics (&lt;30 cm)</x:v>
      </x:c>
      <x:c r="H34" s="24" t="str">
        <x:v>Herring-likes</x:v>
      </x:c>
      <x:c r="I34" s="31" t="n">
        <x:v>44130.8177629893</x:v>
      </x:c>
      <x:c r="J34" s="31" t="n">
        <x:v>43662.8671342537</x:v>
      </x:c>
      <x:c r="K34" s="31" t="n">
        <x:v>467.95062873560005</x:v>
      </x:c>
      <x:c r="L34" s="31" t="n">
        <x:v>43662.8671342537</x:v>
      </x:c>
      <x:c r="M34" s="31" t="n">
        <x:v>467.95062873560005</x:v>
      </x:c>
      <x:c r="N34" s="24" t="str">
        <x:v>dussumieria</x:v>
      </x:c>
      <x:c r="O34" s="32" t="n">
        <x:v>3.4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Dussumieria</x:v>
      </x:c>
      <x:c r="T34" s="32" t="n">
        <x:f>IF(O34="","",(1/'Metadata'!$B$5)^(O34-1))</x:f>
        <x:v>251.18864315095797</x:v>
      </x:c>
      <x:c r="U34" s="31" t="n">
        <x:f>IF(T34="","",I34*T34)</x:f>
        <x:v>11085160.235027477</x:v>
      </x:c>
    </x:row>
    <x:row r="35" ht="18" customHeight="1">
      <x:c r="A35" s="24" t="str">
        <x:v>LME_047</x:v>
      </x:c>
      <x:c r="B35" s="24" t="str">
        <x:v>East China Sea</x:v>
      </x:c>
      <x:c r="C35" s="24" t="str">
        <x:v>LME</x:v>
      </x:c>
      <x:c r="D35" s="30" t="n">
        <x:v>2019</x:v>
      </x:c>
      <x:c r="E35" s="24" t="str">
        <x:v>Monacanthidae</x:v>
      </x:c>
      <x:c r="F35" s="24" t="str">
        <x:v>Filefishes</x:v>
      </x:c>
      <x:c r="G35" s="24" t="str">
        <x:v>Medium reef assoc. fish (30 - 89 cm)</x:v>
      </x:c>
      <x:c r="H35" s="24" t="str">
        <x:v>Other fishes &amp; inverts</x:v>
      </x:c>
      <x:c r="I35" s="31" t="n">
        <x:v>43439.9639841107</x:v>
      </x:c>
      <x:c r="J35" s="31" t="n">
        <x:v>43227.6882227753</x:v>
      </x:c>
      <x:c r="K35" s="31" t="n">
        <x:v>212.2757613354</x:v>
      </x:c>
      <x:c r="L35" s="31" t="n">
        <x:v>43138.909144285404</x:v>
      </x:c>
      <x:c r="M35" s="31" t="n">
        <x:v>301.0548398253</x:v>
      </x:c>
      <x:c r="N35" s="24" t="str">
        <x:v>monacanthidae</x:v>
      </x:c>
      <x:c r="O35" s="32" t="n">
        <x:v>3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Monacanthidae</x:v>
      </x:c>
      <x:c r="T35" s="32" t="n">
        <x:f>IF(O35="","",(1/'Metadata'!$B$5)^(O35-1))</x:f>
        <x:v>100</x:v>
      </x:c>
      <x:c r="U35" s="31" t="n">
        <x:f>IF(T35="","",I35*T35)</x:f>
        <x:v>4343996.39841107</x:v>
      </x:c>
    </x:row>
    <x:row r="36" ht="18" customHeight="1">
      <x:c r="A36" s="24" t="str">
        <x:v>LME_047</x:v>
      </x:c>
      <x:c r="B36" s="24" t="str">
        <x:v>East China Sea</x:v>
      </x:c>
      <x:c r="C36" s="24" t="str">
        <x:v>LME</x:v>
      </x:c>
      <x:c r="D36" s="30" t="n">
        <x:v>2019</x:v>
      </x:c>
      <x:c r="E36" s="24" t="str">
        <x:v>Nemopilema nomurai</x:v>
      </x:c>
      <x:c r="F36" s="24" t="str">
        <x:v>Nomura jelly</x:v>
      </x:c>
      <x:c r="G36" s="24" t="str">
        <x:v>Jellyfish</x:v>
      </x:c>
      <x:c r="H36" s="24" t="str">
        <x:v>Other fishes &amp; inverts</x:v>
      </x:c>
      <x:c r="I36" s="31" t="n">
        <x:v>41058.5358625295</x:v>
      </x:c>
      <x:c r="J36" s="31" t="n">
        <x:v>41058.5358625295</x:v>
      </x:c>
      <x:c r="K36" s="31" t="n">
        <x:v>0</x:v>
      </x:c>
      <x:c r="L36" s="31" t="n">
        <x:v>0</x:v>
      </x:c>
      <x:c r="M36" s="31" t="n">
        <x:v>41058.5358625295</x:v>
      </x:c>
      <x:c r="N36" s="24" t="str">
        <x:v>nemopilema nomurai</x:v>
      </x:c>
      <x:c r="O36" s="32" t="n">
        <x:v>3.57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Nemopilema nomurai</x:v>
      </x:c>
      <x:c r="T36" s="32" t="n">
        <x:f>IF(O36="","",(1/'Metadata'!$B$5)^(O36-1))</x:f>
        <x:v>371.5352290971724</x:v>
      </x:c>
      <x:c r="U36" s="31" t="n">
        <x:f>IF(T36="","",I36*T36)</x:f>
        <x:v>15254692.528079366</x:v>
      </x:c>
    </x:row>
    <x:row r="37" ht="18" customHeight="1">
      <x:c r="A37" s="24" t="str">
        <x:v>LME_047</x:v>
      </x:c>
      <x:c r="B37" s="24" t="str">
        <x:v>East China Sea</x:v>
      </x:c>
      <x:c r="C37" s="24" t="str">
        <x:v>LME</x:v>
      </x:c>
      <x:c r="D37" s="30" t="n">
        <x:v>2019</x:v>
      </x:c>
      <x:c r="E37" s="24" t="str">
        <x:v>Sparidae</x:v>
      </x:c>
      <x:c r="F37" s="24" t="str">
        <x:v>Porgies, seabreams</x:v>
      </x:c>
      <x:c r="G37" s="24" t="str">
        <x:v>Medium benthopelagics (30 - 89 cm)</x:v>
      </x:c>
      <x:c r="H37" s="24" t="str">
        <x:v>Perch-likes</x:v>
      </x:c>
      <x:c r="I37" s="31" t="n">
        <x:v>39624.7270876187</x:v>
      </x:c>
      <x:c r="J37" s="31" t="n">
        <x:v>39357.657964680104</x:v>
      </x:c>
      <x:c r="K37" s="31" t="n">
        <x:v>267.0691229386</x:v>
      </x:c>
      <x:c r="L37" s="31" t="n">
        <x:v>36897.970776100905</x:v>
      </x:c>
      <x:c r="M37" s="31" t="n">
        <x:v>2726.7563115178</x:v>
      </x:c>
      <x:c r="N37" s="24" t="str">
        <x:v>sparidae</x:v>
      </x:c>
      <x:c r="O37" s="32" t="n">
        <x:v>3.31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Sparidae</x:v>
      </x:c>
      <x:c r="T37" s="32" t="n">
        <x:f>IF(O37="","",(1/'Metadata'!$B$5)^(O37-1))</x:f>
        <x:v>204.17379446695296</x:v>
      </x:c>
      <x:c r="U37" s="31" t="n">
        <x:f>IF(T37="","",I37*T37)</x:f>
        <x:v>8090330.884196565</x:v>
      </x:c>
    </x:row>
    <x:row r="38" ht="18" customHeight="1">
      <x:c r="A38" s="24" t="str">
        <x:v>LME_047</x:v>
      </x:c>
      <x:c r="B38" s="24" t="str">
        <x:v>East China Sea</x:v>
      </x:c>
      <x:c r="C38" s="24" t="str">
        <x:v>LME</x:v>
      </x:c>
      <x:c r="D38" s="30" t="n">
        <x:v>2019</x:v>
      </x:c>
      <x:c r="E38" s="24" t="str">
        <x:v>Gadus macrocephalus</x:v>
      </x:c>
      <x:c r="F38" s="24" t="str">
        <x:v>Pacific cod</x:v>
      </x:c>
      <x:c r="G38" s="24" t="str">
        <x:v>Large demersals (&gt;=90 cm)</x:v>
      </x:c>
      <x:c r="H38" s="24" t="str">
        <x:v>Cod-likes</x:v>
      </x:c>
      <x:c r="I38" s="31" t="n">
        <x:v>37357.069022064</x:v>
      </x:c>
      <x:c r="J38" s="31" t="n">
        <x:v>32856.320347279696</x:v>
      </x:c>
      <x:c r="K38" s="31" t="n">
        <x:v>4500.7486747843</x:v>
      </x:c>
      <x:c r="L38" s="31" t="n">
        <x:v>32846.0296380912</x:v>
      </x:c>
      <x:c r="M38" s="31" t="n">
        <x:v>4511.0393839728</x:v>
      </x:c>
      <x:c r="N38" s="24" t="str">
        <x:v>gadus macrocephalus</x:v>
      </x:c>
      <x:c r="O38" s="32" t="n">
        <x:v>4.16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Gadus macrocephalus</x:v>
      </x:c>
      <x:c r="T38" s="32" t="n">
        <x:f>IF(O38="","",(1/'Metadata'!$B$5)^(O38-1))</x:f>
        <x:v>1445.439770745928</x:v>
      </x:c>
      <x:c r="U38" s="31" t="n">
        <x:f>IF(T38="","",I38*T38)</x:f>
        <x:v>53997393.282992</x:v>
      </x:c>
    </x:row>
    <x:row r="39" ht="18" customHeight="1">
      <x:c r="A39" s="24" t="str">
        <x:v>LME_047</x:v>
      </x:c>
      <x:c r="B39" s="24" t="str">
        <x:v>East China Sea</x:v>
      </x:c>
      <x:c r="C39" s="24" t="str">
        <x:v>LME</x:v>
      </x:c>
      <x:c r="D39" s="30" t="n">
        <x:v>2019</x:v>
      </x:c>
      <x:c r="E39" s="24" t="str">
        <x:v>Alepes</x:v>
      </x:c>
      <x:c r="F39" s="24" t="str">
        <x:v>Crevalles</x:v>
      </x:c>
      <x:c r="G39" s="24" t="str">
        <x:v>Medium reef assoc. fish (30 - 89 cm)</x:v>
      </x:c>
      <x:c r="H39" s="24" t="str">
        <x:v>Perch-likes</x:v>
      </x:c>
      <x:c r="I39" s="31" t="n">
        <x:v>35881.1472364324</x:v>
      </x:c>
      <x:c r="J39" s="31" t="n">
        <x:v>35844.3344663946</x:v>
      </x:c>
      <x:c r="K39" s="31" t="n">
        <x:v>36.8127700378</x:v>
      </x:c>
      <x:c r="L39" s="31" t="n">
        <x:v>35716.0928457731</x:v>
      </x:c>
      <x:c r="M39" s="31" t="n">
        <x:v>165.0543906593</x:v>
      </x:c>
      <x:c r="N39" s="24" t="str">
        <x:v>alepes</x:v>
      </x:c>
      <x:c r="O39" s="32" t="n">
        <x:v>3.32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Alepes</x:v>
      </x:c>
      <x:c r="T39" s="32" t="n">
        <x:f>IF(O39="","",(1/'Metadata'!$B$5)^(O39-1))</x:f>
        <x:v>208.92961308540387</x:v>
      </x:c>
      <x:c r="U39" s="31" t="n">
        <x:f>IF(T39="","",I39*T39)</x:f>
        <x:v>7496634.20916823</x:v>
      </x:c>
    </x:row>
    <x:row r="40" ht="18" customHeight="1">
      <x:c r="A40" s="24" t="str">
        <x:v>LME_047</x:v>
      </x:c>
      <x:c r="B40" s="24" t="str">
        <x:v>East China Sea</x:v>
      </x:c>
      <x:c r="C40" s="24" t="str">
        <x:v>LME</x:v>
      </x:c>
      <x:c r="D40" s="30" t="n">
        <x:v>2019</x:v>
      </x:c>
      <x:c r="E40" s="24" t="str">
        <x:v>Epinephelus</x:v>
      </x:c>
      <x:c r="F40" s="24" t="str">
        <x:v>Seabasses, hinds</x:v>
      </x:c>
      <x:c r="G40" s="24" t="str">
        <x:v>Medium reef assoc. fish (30 - 89 cm)</x:v>
      </x:c>
      <x:c r="H40" s="24" t="str">
        <x:v>Perch-likes</x:v>
      </x:c>
      <x:c r="I40" s="31" t="n">
        <x:v>34598.5586724176</x:v>
      </x:c>
      <x:c r="J40" s="31" t="n">
        <x:v>34313.4642510447</x:v>
      </x:c>
      <x:c r="K40" s="31" t="n">
        <x:v>285.0944213729</x:v>
      </x:c>
      <x:c r="L40" s="31" t="n">
        <x:v>33556.7347638418</x:v>
      </x:c>
      <x:c r="M40" s="31" t="n">
        <x:v>1041.8239085758</x:v>
      </x:c>
      <x:c r="N40" s="24" t="str">
        <x:v>epinephelus</x:v>
      </x:c>
      <x:c r="O40" s="32" t="n">
        <x:v>3.84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Epinephelus</x:v>
      </x:c>
      <x:c r="T40" s="32" t="n">
        <x:f>IF(O40="","",(1/'Metadata'!$B$5)^(O40-1))</x:f>
        <x:v>691.8309709189363</x:v>
      </x:c>
      <x:c r="U40" s="31" t="n">
        <x:f>IF(T40="","",I40*T40)</x:f>
        <x:v>23936354.438734453</x:v>
      </x:c>
    </x:row>
    <x:row r="41" ht="18" customHeight="1">
      <x:c r="A41" s="24" t="str">
        <x:v>LME_047</x:v>
      </x:c>
      <x:c r="B41" s="24" t="str">
        <x:v>East China Sea</x:v>
      </x:c>
      <x:c r="C41" s="24" t="str">
        <x:v>LME</x:v>
      </x:c>
      <x:c r="D41" s="30" t="n">
        <x:v>2019</x:v>
      </x:c>
      <x:c r="E41" s="24" t="str">
        <x:v>Thunnus albacares</x:v>
      </x:c>
      <x:c r="F41" s="24" t="str">
        <x:v>Yellowfin tuna</x:v>
      </x:c>
      <x:c r="G41" s="24" t="str">
        <x:v>Large pelagics (&gt;=90 cm)</x:v>
      </x:c>
      <x:c r="H41" s="24" t="str">
        <x:v>Tuna &amp; billfishes</x:v>
      </x:c>
      <x:c r="I41" s="31" t="n">
        <x:v>27967.6970243176</x:v>
      </x:c>
      <x:c r="J41" s="31" t="n">
        <x:v>27941.8775953113</x:v>
      </x:c>
      <x:c r="K41" s="31" t="n">
        <x:v>25.819429006300002</x:v>
      </x:c>
      <x:c r="L41" s="31" t="n">
        <x:v>27941.8775953113</x:v>
      </x:c>
      <x:c r="M41" s="31" t="n">
        <x:v>25.819429006300002</x:v>
      </x:c>
      <x:c r="N41" s="24" t="str">
        <x:v>thunnus albacares</x:v>
      </x:c>
      <x:c r="O41" s="32" t="n">
        <x:v>4.41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Thunnus albacares</x:v>
      </x:c>
      <x:c r="T41" s="32" t="n">
        <x:f>IF(O41="","",(1/'Metadata'!$B$5)^(O41-1))</x:f>
        <x:v>2570.3957827688646</x:v>
      </x:c>
      <x:c r="U41" s="31" t="n">
        <x:f>IF(T41="","",I41*T41)</x:f>
        <x:v>71888050.48506328</x:v>
      </x:c>
    </x:row>
    <x:row r="42" ht="18" customHeight="1">
      <x:c r="A42" s="24" t="str">
        <x:v>LME_047</x:v>
      </x:c>
      <x:c r="B42" s="24" t="str">
        <x:v>East China Sea</x:v>
      </x:c>
      <x:c r="C42" s="24" t="str">
        <x:v>LME</x:v>
      </x:c>
      <x:c r="D42" s="30" t="n">
        <x:v>2019</x:v>
      </x:c>
      <x:c r="E42" s="24" t="str">
        <x:v>Mugil cephalus</x:v>
      </x:c>
      <x:c r="F42" s="24" t="str">
        <x:v>Flathead grey mullet</x:v>
      </x:c>
      <x:c r="G42" s="24" t="str">
        <x:v>Large benthopelagics (&gt;=90 cm)</x:v>
      </x:c>
      <x:c r="H42" s="24" t="str">
        <x:v>Perch-likes</x:v>
      </x:c>
      <x:c r="I42" s="31" t="n">
        <x:v>27950.513579196602</x:v>
      </x:c>
      <x:c r="J42" s="31" t="n">
        <x:v>27830.6219240258</x:v>
      </x:c>
      <x:c r="K42" s="31" t="n">
        <x:v>119.89165517080001</x:v>
      </x:c>
      <x:c r="L42" s="31" t="n">
        <x:v>27375.1591790751</x:v>
      </x:c>
      <x:c r="M42" s="31" t="n">
        <x:v>575.3544001215</x:v>
      </x:c>
      <x:c r="N42" s="24" t="str">
        <x:v>mugil cephalus</x:v>
      </x:c>
      <x:c r="O42" s="32" t="n">
        <x:v>2.14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Mugil cephalus</x:v>
      </x:c>
      <x:c r="T42" s="32" t="n">
        <x:f>IF(O42="","",(1/'Metadata'!$B$5)^(O42-1))</x:f>
        <x:v>13.803842646028853</x:v>
      </x:c>
      <x:c r="U42" s="31" t="n">
        <x:f>IF(T42="","",I42*T42)</x:f>
        <x:v>385824.49132292264</x:v>
      </x:c>
    </x:row>
    <x:row r="43" ht="18" customHeight="1">
      <x:c r="A43" s="24" t="str">
        <x:v>LME_047</x:v>
      </x:c>
      <x:c r="B43" s="24" t="str">
        <x:v>East China Sea</x:v>
      </x:c>
      <x:c r="C43" s="24" t="str">
        <x:v>LME</x:v>
      </x:c>
      <x:c r="D43" s="30" t="n">
        <x:v>2019</x:v>
      </x:c>
      <x:c r="E43" s="24" t="str">
        <x:v>Oncorhynchus</x:v>
      </x:c>
      <x:c r="F43" s="24" t="str">
        <x:v>Salmons, trouts</x:v>
      </x:c>
      <x:c r="G43" s="24" t="str">
        <x:v>Large benthopelagics (&gt;=90 cm)</x:v>
      </x:c>
      <x:c r="H43" s="24" t="str">
        <x:v>Salmon, smelts, etc</x:v>
      </x:c>
      <x:c r="I43" s="31" t="n">
        <x:v>24016.3352546489</x:v>
      </x:c>
      <x:c r="J43" s="31" t="n">
        <x:v>19314.0132239129</x:v>
      </x:c>
      <x:c r="K43" s="31" t="n">
        <x:v>4702.322030736</x:v>
      </x:c>
      <x:c r="L43" s="31" t="n">
        <x:v>19314.0132239129</x:v>
      </x:c>
      <x:c r="M43" s="31" t="n">
        <x:v>4702.322030736</x:v>
      </x:c>
      <x:c r="N43" s="24" t="str">
        <x:v>oncorhynchus</x:v>
      </x:c>
      <x:c r="O43" s="32" t="n">
        <x:v>3.95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Oncorhynchus</x:v>
      </x:c>
      <x:c r="T43" s="32" t="n">
        <x:f>IF(O43="","",(1/'Metadata'!$B$5)^(O43-1))</x:f>
        <x:v>891.2509381337459</x:v>
      </x:c>
      <x:c r="U43" s="31" t="n">
        <x:f>IF(T43="","",I43*T43)</x:f>
        <x:v>21404581.326240387</x:v>
      </x:c>
    </x:row>
    <x:row r="44" ht="18" customHeight="1">
      <x:c r="A44" s="24" t="str">
        <x:v>LME_047</x:v>
      </x:c>
      <x:c r="B44" s="24" t="str">
        <x:v>East China Sea</x:v>
      </x:c>
      <x:c r="C44" s="24" t="str">
        <x:v>LME</x:v>
      </x:c>
      <x:c r="D44" s="30" t="n">
        <x:v>2019</x:v>
      </x:c>
      <x:c r="E44" s="24" t="str">
        <x:v>Katsuwonus pelamis</x:v>
      </x:c>
      <x:c r="F44" s="24" t="str">
        <x:v>Skipjack tuna</x:v>
      </x:c>
      <x:c r="G44" s="24" t="str">
        <x:v>Large pelagics (&gt;=90 cm)</x:v>
      </x:c>
      <x:c r="H44" s="24" t="str">
        <x:v>Tuna &amp; billfishes</x:v>
      </x:c>
      <x:c r="I44" s="31" t="n">
        <x:v>23281.9246016012</x:v>
      </x:c>
      <x:c r="J44" s="31" t="n">
        <x:v>23174.1725420871</x:v>
      </x:c>
      <x:c r="K44" s="31" t="n">
        <x:v>107.7520595141</x:v>
      </x:c>
      <x:c r="L44" s="31" t="n">
        <x:v>22996.563017449</x:v>
      </x:c>
      <x:c r="M44" s="31" t="n">
        <x:v>285.3615841522</x:v>
      </x:c>
      <x:c r="N44" s="24" t="str">
        <x:v>katsuwonus pelamis</x:v>
      </x:c>
      <x:c r="O44" s="32" t="n">
        <x:v>4.43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Katsuwonus pelamis</x:v>
      </x:c>
      <x:c r="T44" s="32" t="n">
        <x:f>IF(O44="","",(1/'Metadata'!$B$5)^(O44-1))</x:f>
        <x:v>2691.534803926914</x:v>
      </x:c>
      <x:c r="U44" s="31" t="n">
        <x:f>IF(T44="","",I44*T44)</x:f>
        <x:v>62664110.36761188</x:v>
      </x:c>
    </x:row>
    <x:row r="45" ht="18" customHeight="1">
      <x:c r="A45" s="24" t="str">
        <x:v>LME_047</x:v>
      </x:c>
      <x:c r="B45" s="24" t="str">
        <x:v>East China Sea</x:v>
      </x:c>
      <x:c r="C45" s="24" t="str">
        <x:v>LME</x:v>
      </x:c>
      <x:c r="D45" s="30" t="n">
        <x:v>2019</x:v>
      </x:c>
      <x:c r="E45" s="24" t="str">
        <x:v>Miscellaneous aquatic invertebrates</x:v>
      </x:c>
      <x:c r="F45" s="24" t="str">
        <x:v>Aquatic invertebrates</x:v>
      </x:c>
      <x:c r="G45" s="24" t="str">
        <x:v>Other demersal invertebrates</x:v>
      </x:c>
      <x:c r="H45" s="24" t="str">
        <x:v>Other fishes &amp; inverts</x:v>
      </x:c>
      <x:c r="I45" s="31" t="n">
        <x:v>22309.6745690633</x:v>
      </x:c>
      <x:c r="J45" s="31" t="n">
        <x:v>22006.4364394736</x:v>
      </x:c>
      <x:c r="K45" s="31" t="n">
        <x:v>303.2381295897</x:v>
      </x:c>
      <x:c r="L45" s="31" t="n">
        <x:v>22003.8570495551</x:v>
      </x:c>
      <x:c r="M45" s="31" t="n">
        <x:v>305.8175195082</x:v>
      </x:c>
      <x:c r="N45" s="24" t="str">
        <x:v>miscellaneous aquatic invertebrates</x:v>
      </x:c>
      <x:c r="O45" s="32" t="n">
        <x:v>2.43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Miscellaneous aquatic invertebrates</x:v>
      </x:c>
      <x:c r="T45" s="32" t="n">
        <x:f>IF(O45="","",(1/'Metadata'!$B$5)^(O45-1))</x:f>
        <x:v>26.915348039269166</x:v>
      </x:c>
      <x:c r="U45" s="31" t="n">
        <x:f>IF(T45="","",I45*T45)</x:f>
        <x:v>600472.655669171</x:v>
      </x:c>
    </x:row>
    <x:row r="46" ht="18" customHeight="1">
      <x:c r="A46" s="24" t="str">
        <x:v>LME_047</x:v>
      </x:c>
      <x:c r="B46" s="24" t="str">
        <x:v>East China Sea</x:v>
      </x:c>
      <x:c r="C46" s="24" t="str">
        <x:v>LME</x:v>
      </x:c>
      <x:c r="D46" s="30" t="n">
        <x:v>2019</x:v>
      </x:c>
      <x:c r="E46" s="24" t="str">
        <x:v>Ilisha elongata</x:v>
      </x:c>
      <x:c r="F46" s="24" t="str">
        <x:v>Elongate ilisha</x:v>
      </x:c>
      <x:c r="G46" s="24" t="str">
        <x:v>Medium pelagics (30 - 89 cm)</x:v>
      </x:c>
      <x:c r="H46" s="24" t="str">
        <x:v>Herring-likes</x:v>
      </x:c>
      <x:c r="I46" s="31" t="n">
        <x:v>19975.066278380502</x:v>
      </x:c>
      <x:c r="J46" s="31" t="n">
        <x:v>19900.224625903502</x:v>
      </x:c>
      <x:c r="K46" s="31" t="n">
        <x:v>74.841652477</x:v>
      </x:c>
      <x:c r="L46" s="31" t="n">
        <x:v>19858.7506197233</x:v>
      </x:c>
      <x:c r="M46" s="31" t="n">
        <x:v>116.3156586572</x:v>
      </x:c>
      <x:c r="N46" s="24" t="str">
        <x:v>ilisha elongata</x:v>
      </x:c>
      <x:c r="O46" s="32" t="n">
        <x:v>3.79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Ilisha elongata</x:v>
      </x:c>
      <x:c r="T46" s="32" t="n">
        <x:f>IF(O46="","",(1/'Metadata'!$B$5)^(O46-1))</x:f>
        <x:v>616.5950018614822</x:v>
      </x:c>
      <x:c r="U46" s="31" t="n">
        <x:f>IF(T46="","",I46*T46)</x:f>
        <x:v>12316526.029101254</x:v>
      </x:c>
    </x:row>
    <x:row r="47" ht="18" customHeight="1">
      <x:c r="A47" s="24" t="str">
        <x:v>LME_047</x:v>
      </x:c>
      <x:c r="B47" s="24" t="str">
        <x:v>East China Sea</x:v>
      </x:c>
      <x:c r="C47" s="24" t="str">
        <x:v>LME</x:v>
      </x:c>
      <x:c r="D47" s="30" t="n">
        <x:v>2019</x:v>
      </x:c>
      <x:c r="E47" s="24" t="str">
        <x:v>Larimichthys crocea</x:v>
      </x:c>
      <x:c r="F47" s="24" t="str">
        <x:v>Large yellow croaker</x:v>
      </x:c>
      <x:c r="G47" s="24" t="str">
        <x:v>Medium benthopelagics (30 - 89 cm)</x:v>
      </x:c>
      <x:c r="H47" s="24" t="str">
        <x:v>Perch-likes</x:v>
      </x:c>
      <x:c r="I47" s="31" t="n">
        <x:v>18497.546598197998</x:v>
      </x:c>
      <x:c r="J47" s="31" t="n">
        <x:v>18145.1200366631</x:v>
      </x:c>
      <x:c r="K47" s="31" t="n">
        <x:v>352.4265615349</x:v>
      </x:c>
      <x:c r="L47" s="31" t="n">
        <x:v>17191.6254655136</x:v>
      </x:c>
      <x:c r="M47" s="31" t="n">
        <x:v>1305.9211326844002</x:v>
      </x:c>
      <x:c r="N47" s="24" t="str">
        <x:v>larimichthys crocea</x:v>
      </x:c>
      <x:c r="O47" s="32" t="n">
        <x:v>3.72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Larimichthys crocea</x:v>
      </x:c>
      <x:c r="T47" s="32" t="n">
        <x:f>IF(O47="","",(1/'Metadata'!$B$5)^(O47-1))</x:f>
        <x:v>524.8074602497728</x:v>
      </x:c>
      <x:c r="U47" s="31" t="n">
        <x:f>IF(T47="","",I47*T47)</x:f>
        <x:v>9707650.451052116</x:v>
      </x:c>
    </x:row>
    <x:row r="48" ht="18" customHeight="1">
      <x:c r="A48" s="24" t="str">
        <x:v>LME_047</x:v>
      </x:c>
      <x:c r="B48" s="24" t="str">
        <x:v>East China Sea</x:v>
      </x:c>
      <x:c r="C48" s="24" t="str">
        <x:v>LME</x:v>
      </x:c>
      <x:c r="D48" s="30" t="n">
        <x:v>2019</x:v>
      </x:c>
      <x:c r="E48" s="24" t="str">
        <x:v>Decapterus maruadsi</x:v>
      </x:c>
      <x:c r="F48" s="24" t="str">
        <x:v>Japanese scad</x:v>
      </x:c>
      <x:c r="G48" s="24" t="str">
        <x:v>Small pelagics (&lt;30 cm)</x:v>
      </x:c>
      <x:c r="H48" s="24" t="str">
        <x:v>Perch-likes</x:v>
      </x:c>
      <x:c r="I48" s="31" t="n">
        <x:v>18277.1383389411</x:v>
      </x:c>
      <x:c r="J48" s="31" t="n">
        <x:v>17580.365583562</x:v>
      </x:c>
      <x:c r="K48" s="31" t="n">
        <x:v>696.7727553791</x:v>
      </x:c>
      <x:c r="L48" s="31" t="n">
        <x:v>15698.829032997799</x:v>
      </x:c>
      <x:c r="M48" s="31" t="n">
        <x:v>2578.3093059433</x:v>
      </x:c>
      <x:c r="N48" s="24" t="str">
        <x:v>decapterus maruadsi</x:v>
      </x:c>
      <x:c r="O48" s="32" t="n">
        <x:v>3.4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Decapterus maruadsi</x:v>
      </x:c>
      <x:c r="T48" s="32" t="n">
        <x:f>IF(O48="","",(1/'Metadata'!$B$5)^(O48-1))</x:f>
        <x:v>251.18864315095797</x:v>
      </x:c>
      <x:c r="U48" s="31" t="n">
        <x:f>IF(T48="","",I48*T48)</x:f>
        <x:v>4591009.580040968</x:v>
      </x:c>
    </x:row>
    <x:row r="49" ht="18" customHeight="1">
      <x:c r="A49" s="24" t="str">
        <x:v>LME_047</x:v>
      </x:c>
      <x:c r="B49" s="24" t="str">
        <x:v>East China Sea</x:v>
      </x:c>
      <x:c r="C49" s="24" t="str">
        <x:v>LME</x:v>
      </x:c>
      <x:c r="D49" s="30" t="n">
        <x:v>2019</x:v>
      </x:c>
      <x:c r="E49" s="24" t="str">
        <x:v>Brachyura</x:v>
      </x:c>
      <x:c r="F49" s="24" t="str">
        <x:v>Marine crabs</x:v>
      </x:c>
      <x:c r="G49" s="24" t="str">
        <x:v>Lobsters, crabs</x:v>
      </x:c>
      <x:c r="H49" s="24" t="str">
        <x:v>Crustaceans</x:v>
      </x:c>
      <x:c r="I49" s="31" t="n">
        <x:v>17860.7133932113</x:v>
      </x:c>
      <x:c r="J49" s="31" t="n">
        <x:v>17738.7061312291</x:v>
      </x:c>
      <x:c r="K49" s="31" t="n">
        <x:v>122.00726198219999</x:v>
      </x:c>
      <x:c r="L49" s="31" t="n">
        <x:v>17703.5738460066</x:v>
      </x:c>
      <x:c r="M49" s="31" t="n">
        <x:v>157.1395472047</x:v>
      </x:c>
      <x:c r="N49" s="24" t="str">
        <x:v>brachyura</x:v>
      </x:c>
      <x:c r="O49" s="32" t="n">
        <x:v>2.6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Brachyura</x:v>
      </x:c>
      <x:c r="T49" s="32" t="n">
        <x:f>IF(O49="","",(1/'Metadata'!$B$5)^(O49-1))</x:f>
        <x:v>39.810717055349734</x:v>
      </x:c>
      <x:c r="U49" s="31" t="n">
        <x:f>IF(T49="","",I49*T49)</x:f>
        <x:v>711047.8073038305</x:v>
      </x:c>
    </x:row>
    <x:row r="50" ht="18" customHeight="1">
      <x:c r="A50" s="24" t="str">
        <x:v>LME_047</x:v>
      </x:c>
      <x:c r="B50" s="24" t="str">
        <x:v>East China Sea</x:v>
      </x:c>
      <x:c r="C50" s="24" t="str">
        <x:v>LME</x:v>
      </x:c>
      <x:c r="D50" s="30" t="n">
        <x:v>2019</x:v>
      </x:c>
      <x:c r="E50" s="24" t="str">
        <x:v>Pagrus major</x:v>
      </x:c>
      <x:c r="F50" s="24" t="str">
        <x:v>Japanese seabream</x:v>
      </x:c>
      <x:c r="G50" s="24" t="str">
        <x:v>Large demersals (&gt;=90 cm)</x:v>
      </x:c>
      <x:c r="H50" s="24" t="str">
        <x:v>Perch-likes</x:v>
      </x:c>
      <x:c r="I50" s="31" t="n">
        <x:v>17619.8243985953</x:v>
      </x:c>
      <x:c r="J50" s="31" t="n">
        <x:v>16006.3453896328</x:v>
      </x:c>
      <x:c r="K50" s="31" t="n">
        <x:v>1613.4790089625</x:v>
      </x:c>
      <x:c r="L50" s="31" t="n">
        <x:v>6766.5305791795</x:v>
      </x:c>
      <x:c r="M50" s="31" t="n">
        <x:v>10853.2938194158</x:v>
      </x:c>
      <x:c r="N50" s="24" t="str">
        <x:v>pagrus major</x:v>
      </x:c>
      <x:c r="O50" s="32" t="n">
        <x:v>3.7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Pagrus major</x:v>
      </x:c>
      <x:c r="T50" s="32" t="n">
        <x:f>IF(O50="","",(1/'Metadata'!$B$5)^(O50-1))</x:f>
        <x:v>501.18723362727246</x:v>
      </x:c>
      <x:c r="U50" s="31" t="n">
        <x:f>IF(T50="","",I50*T50)</x:f>
        <x:v>8830831.0473303</x:v>
      </x:c>
    </x:row>
    <x:row r="51" ht="18" customHeight="1">
      <x:c r="A51" s="24" t="str">
        <x:v>LME_047</x:v>
      </x:c>
      <x:c r="B51" s="24" t="str">
        <x:v>East China Sea</x:v>
      </x:c>
      <x:c r="C51" s="24" t="str">
        <x:v>LME</x:v>
      </x:c>
      <x:c r="D51" s="30" t="n">
        <x:v>2019</x:v>
      </x:c>
      <x:c r="E51" s="24" t="str">
        <x:v>Cephalopoda</x:v>
      </x:c>
      <x:c r="F51" s="24" t="str">
        <x:v>Squids, cuttlefishes, octopuses</x:v>
      </x:c>
      <x:c r="G51" s="24" t="str">
        <x:v>Cephalopods</x:v>
      </x:c>
      <x:c r="H51" s="24" t="str">
        <x:v>Other fishes &amp; inverts</x:v>
      </x:c>
      <x:c r="I51" s="31" t="n">
        <x:v>17264.7147652269</x:v>
      </x:c>
      <x:c r="J51" s="31" t="n">
        <x:v>16538.8007365045</x:v>
      </x:c>
      <x:c r="K51" s="31" t="n">
        <x:v>725.9140287224</x:v>
      </x:c>
      <x:c r="L51" s="31" t="n">
        <x:v>11584.9570280812</x:v>
      </x:c>
      <x:c r="M51" s="31" t="n">
        <x:v>5679.757737145699</x:v>
      </x:c>
      <x:c r="N51" s="24" t="str">
        <x:v>cephalopoda</x:v>
      </x:c>
      <x:c r="O51" s="32" t="n">
        <x:v>3.81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Cephalopoda</x:v>
      </x:c>
      <x:c r="T51" s="32" t="n">
        <x:f>IF(O51="","",(1/'Metadata'!$B$5)^(O51-1))</x:f>
        <x:v>645.6542290346556</x:v>
      </x:c>
      <x:c r="U51" s="31" t="n">
        <x:f>IF(T51="","",I51*T51)</x:f>
        <x:v>11147036.10124581</x:v>
      </x:c>
    </x:row>
    <x:row r="52" ht="18" customHeight="1">
      <x:c r="A52" s="24" t="str">
        <x:v>LME_047</x:v>
      </x:c>
      <x:c r="B52" s="24" t="str">
        <x:v>East China Sea</x:v>
      </x:c>
      <x:c r="C52" s="24" t="str">
        <x:v>LME</x:v>
      </x:c>
      <x:c r="D52" s="30" t="n">
        <x:v>2019</x:v>
      </x:c>
      <x:c r="E52" s="24" t="str">
        <x:v>Nemipteridae</x:v>
      </x:c>
      <x:c r="F52" s="24" t="str">
        <x:v>Threadfins, whiptail breams</x:v>
      </x:c>
      <x:c r="G52" s="24" t="str">
        <x:v>Small demersals (&lt;30 cm)</x:v>
      </x:c>
      <x:c r="H52" s="24" t="str">
        <x:v>Perch-likes</x:v>
      </x:c>
      <x:c r="I52" s="31" t="n">
        <x:v>17176.4627339038</x:v>
      </x:c>
      <x:c r="J52" s="31" t="n">
        <x:v>17176.4627339038</x:v>
      </x:c>
      <x:c r="K52" s="31" t="n">
        <x:v>0</x:v>
      </x:c>
      <x:c r="L52" s="31" t="n">
        <x:v>4430.4621372014</x:v>
      </x:c>
      <x:c r="M52" s="31" t="n">
        <x:v>12746.000596702399</x:v>
      </x:c>
      <x:c r="N52" s="24" t="str">
        <x:v>nemipteridae</x:v>
      </x:c>
      <x:c r="O52" s="32" t="n">
        <x:v>3.51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Nemipteridae</x:v>
      </x:c>
      <x:c r="T52" s="32" t="n">
        <x:f>IF(O52="","",(1/'Metadata'!$B$5)^(O52-1))</x:f>
        <x:v>323.5936569296281</x:v>
      </x:c>
      <x:c r="U52" s="31" t="n">
        <x:f>IF(T52="","",I52*T52)</x:f>
        <x:v>5558194.389179409</x:v>
      </x:c>
    </x:row>
    <x:row r="53" ht="18" customHeight="1">
      <x:c r="A53" s="24" t="str">
        <x:v>LME_047</x:v>
      </x:c>
      <x:c r="B53" s="24" t="str">
        <x:v>East China Sea</x:v>
      </x:c>
      <x:c r="C53" s="24" t="str">
        <x:v>LME</x:v>
      </x:c>
      <x:c r="D53" s="30" t="n">
        <x:v>2019</x:v>
      </x:c>
      <x:c r="E53" s="24" t="str">
        <x:v>Clupeidae</x:v>
      </x:c>
      <x:c r="F53" s="24" t="str">
        <x:v>Herrings, sardines, menhadens</x:v>
      </x:c>
      <x:c r="G53" s="24" t="str">
        <x:v>Small pelagics (&lt;30 cm)</x:v>
      </x:c>
      <x:c r="H53" s="24" t="str">
        <x:v>Herring-likes</x:v>
      </x:c>
      <x:c r="I53" s="31" t="n">
        <x:v>16896.179395013998</x:v>
      </x:c>
      <x:c r="J53" s="31" t="n">
        <x:v>14266.4179059397</x:v>
      </x:c>
      <x:c r="K53" s="31" t="n">
        <x:v>2629.7614890743</x:v>
      </x:c>
      <x:c r="L53" s="31" t="n">
        <x:v>12634.890290621901</x:v>
      </x:c>
      <x:c r="M53" s="31" t="n">
        <x:v>4261.2891043921</x:v>
      </x:c>
      <x:c r="N53" s="24" t="str">
        <x:v>clupeidae</x:v>
      </x:c>
      <x:c r="O53" s="32" t="n">
        <x:v>3.16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Clupeidae</x:v>
      </x:c>
      <x:c r="T53" s="32" t="n">
        <x:f>IF(O53="","",(1/'Metadata'!$B$5)^(O53-1))</x:f>
        <x:v>144.5439770745928</x:v>
      </x:c>
      <x:c r="U53" s="31" t="n">
        <x:f>IF(T53="","",I53*T53)</x:f>
        <x:v>2442240.9671211103</x:v>
      </x:c>
    </x:row>
    <x:row r="54" ht="18" customHeight="1">
      <x:c r="A54" s="24" t="str">
        <x:v>LME_047</x:v>
      </x:c>
      <x:c r="B54" s="24" t="str">
        <x:v>East China Sea</x:v>
      </x:c>
      <x:c r="C54" s="24" t="str">
        <x:v>LME</x:v>
      </x:c>
      <x:c r="D54" s="30" t="n">
        <x:v>2019</x:v>
      </x:c>
      <x:c r="E54" s="24" t="str">
        <x:v>Conger myriaster</x:v>
      </x:c>
      <x:c r="F54" s="24" t="str">
        <x:v>Whitespotted conger</x:v>
      </x:c>
      <x:c r="G54" s="24" t="str">
        <x:v>Medium demersals (30 - 89 cm)</x:v>
      </x:c>
      <x:c r="H54" s="24" t="str">
        <x:v>Other fishes &amp; inverts</x:v>
      </x:c>
      <x:c r="I54" s="31" t="n">
        <x:v>16878.9917085674</x:v>
      </x:c>
      <x:c r="J54" s="31" t="n">
        <x:v>16693.0230782557</x:v>
      </x:c>
      <x:c r="K54" s="31" t="n">
        <x:v>185.9686303117</x:v>
      </x:c>
      <x:c r="L54" s="31" t="n">
        <x:v>16673.7147951216</x:v>
      </x:c>
      <x:c r="M54" s="31" t="n">
        <x:v>205.2769134458</x:v>
      </x:c>
      <x:c r="N54" s="24" t="str">
        <x:v>conger myriaster</x:v>
      </x:c>
      <x:c r="O54" s="32" t="n">
        <x:v>3.98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Conger myriaster</x:v>
      </x:c>
      <x:c r="T54" s="32" t="n">
        <x:f>IF(O54="","",(1/'Metadata'!$B$5)^(O54-1))</x:f>
        <x:v>954.992586021436</x:v>
      </x:c>
      <x:c r="U54" s="31" t="n">
        <x:f>IF(T54="","",I54*T54)</x:f>
        <x:v>16119311.941199156</x:v>
      </x:c>
    </x:row>
    <x:row r="55" ht="18" customHeight="1">
      <x:c r="A55" s="24" t="str">
        <x:v>LME_047</x:v>
      </x:c>
      <x:c r="B55" s="24" t="str">
        <x:v>East China Sea</x:v>
      </x:c>
      <x:c r="C55" s="24" t="str">
        <x:v>LME</x:v>
      </x:c>
      <x:c r="D55" s="30" t="n">
        <x:v>2019</x:v>
      </x:c>
      <x:c r="E55" s="24" t="str">
        <x:v>Portunus pelagicus</x:v>
      </x:c>
      <x:c r="F55" s="24" t="str">
        <x:v>Blue swimming crab</x:v>
      </x:c>
      <x:c r="G55" s="24" t="str">
        <x:v>Lobsters, crabs</x:v>
      </x:c>
      <x:c r="H55" s="24" t="str">
        <x:v>Crustaceans</x:v>
      </x:c>
      <x:c r="I55" s="31" t="n">
        <x:v>15940.357791172499</x:v>
      </x:c>
      <x:c r="J55" s="31" t="n">
        <x:v>15769.347863118799</x:v>
      </x:c>
      <x:c r="K55" s="31" t="n">
        <x:v>171.0099280537</x:v>
      </x:c>
      <x:c r="L55" s="31" t="n">
        <x:v>15725.972368954299</x:v>
      </x:c>
      <x:c r="M55" s="31" t="n">
        <x:v>214.3854222182</x:v>
      </x:c>
      <x:c r="N55" s="24" t="str">
        <x:v>portunus pelagicus</x:v>
      </x:c>
      <x:c r="O55" s="32" t="n">
        <x:v>2.48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Portunus pelagicus</x:v>
      </x:c>
      <x:c r="T55" s="32" t="n">
        <x:f>IF(O55="","",(1/'Metadata'!$B$5)^(O55-1))</x:f>
        <x:v>30.19951720402016</x:v>
      </x:c>
      <x:c r="U55" s="31" t="n">
        <x:f>IF(T55="","",I55*T55)</x:f>
        <x:v>481391.1093527507</x:v>
      </x:c>
    </x:row>
    <x:row r="56" ht="18" customHeight="1">
      <x:c r="A56" s="24" t="str">
        <x:v>LME_047</x:v>
      </x:c>
      <x:c r="B56" s="24" t="str">
        <x:v>East China Sea</x:v>
      </x:c>
      <x:c r="C56" s="24" t="str">
        <x:v>LME</x:v>
      </x:c>
      <x:c r="D56" s="30" t="n">
        <x:v>2019</x:v>
      </x:c>
      <x:c r="E56" s="24" t="str">
        <x:v>Bivalvia</x:v>
      </x:c>
      <x:c r="F56" s="24" t="str">
        <x:v>Clams</x:v>
      </x:c>
      <x:c r="G56" s="24" t="str">
        <x:v>Other demersal invertebrates</x:v>
      </x:c>
      <x:c r="H56" s="24" t="str">
        <x:v>Molluscs</x:v>
      </x:c>
      <x:c r="I56" s="31" t="n">
        <x:v>14347.8303042596</x:v>
      </x:c>
      <x:c r="J56" s="31" t="n">
        <x:v>12730.0615491329</x:v>
      </x:c>
      <x:c r="K56" s="31" t="n">
        <x:v>1617.7687551267</x:v>
      </x:c>
      <x:c r="L56" s="31" t="n">
        <x:v>11070.5328648926</x:v>
      </x:c>
      <x:c r="M56" s="31" t="n">
        <x:v>3277.297439367</x:v>
      </x:c>
      <x:c r="N56" s="24" t="str">
        <x:v>bivalvia</x:v>
      </x:c>
      <x:c r="O56" s="32" t="n">
        <x:v>2.23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Bivalvia</x:v>
      </x:c>
      <x:c r="T56" s="32" t="n">
        <x:f>IF(O56="","",(1/'Metadata'!$B$5)^(O56-1))</x:f>
        <x:v>16.982436524617444</x:v>
      </x:c>
      <x:c r="U56" s="31" t="n">
        <x:f>IF(T56="","",I56*T56)</x:f>
        <x:v>243661.11740807124</x:v>
      </x:c>
    </x:row>
    <x:row r="57" ht="18" customHeight="1">
      <x:c r="A57" s="24" t="str">
        <x:v>LME_047</x:v>
      </x:c>
      <x:c r="B57" s="24" t="str">
        <x:v>East China Sea</x:v>
      </x:c>
      <x:c r="C57" s="24" t="str">
        <x:v>LME</x:v>
      </x:c>
      <x:c r="D57" s="30" t="n">
        <x:v>2019</x:v>
      </x:c>
      <x:c r="E57" s="24" t="str">
        <x:v>Pleuronectidae</x:v>
      </x:c>
      <x:c r="F57" s="24" t="str">
        <x:v>Righteye flounders</x:v>
      </x:c>
      <x:c r="G57" s="24" t="str">
        <x:v>Small to medium flatfishes (&lt;90 cm)</x:v>
      </x:c>
      <x:c r="H57" s="24" t="str">
        <x:v>Flatfishes</x:v>
      </x:c>
      <x:c r="I57" s="31" t="n">
        <x:v>13897.4785236012</x:v>
      </x:c>
      <x:c r="J57" s="31" t="n">
        <x:v>10418.5060839987</x:v>
      </x:c>
      <x:c r="K57" s="31" t="n">
        <x:v>3478.9724396025</x:v>
      </x:c>
      <x:c r="L57" s="31" t="n">
        <x:v>8463.9194068509</x:v>
      </x:c>
      <x:c r="M57" s="31" t="n">
        <x:v>5433.5591167503</x:v>
      </x:c>
      <x:c r="N57" s="24" t="str">
        <x:v>pleuronectidae</x:v>
      </x:c>
      <x:c r="O57" s="32" t="n">
        <x:v>3.49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Pleuronectidae</x:v>
      </x:c>
      <x:c r="T57" s="32" t="n">
        <x:f>IF(O57="","",(1/'Metadata'!$B$5)^(O57-1))</x:f>
        <x:v>309.0295432513592</x:v>
      </x:c>
      <x:c r="U57" s="31" t="n">
        <x:f>IF(T57="","",I57*T57)</x:f>
        <x:v>4294731.440494052</x:v>
      </x:c>
    </x:row>
    <x:row r="58" ht="18" customHeight="1">
      <x:c r="A58" s="24" t="str">
        <x:v>LME_047</x:v>
      </x:c>
      <x:c r="B58" s="24" t="str">
        <x:v>East China Sea</x:v>
      </x:c>
      <x:c r="C58" s="24" t="str">
        <x:v>LME</x:v>
      </x:c>
      <x:c r="D58" s="30" t="n">
        <x:v>2019</x:v>
      </x:c>
      <x:c r="E58" s="24" t="str">
        <x:v>Magallana gigas</x:v>
      </x:c>
      <x:c r="F58" s="24" t="str">
        <x:v>Pacific cupped oyster</x:v>
      </x:c>
      <x:c r="G58" s="24" t="str">
        <x:v>Other demersal invertebrates</x:v>
      </x:c>
      <x:c r="H58" s="24" t="str">
        <x:v>Molluscs</x:v>
      </x:c>
      <x:c r="I58" s="31" t="n">
        <x:v>13757.8431031398</x:v>
      </x:c>
      <x:c r="J58" s="31" t="n">
        <x:v>13757.8431031398</x:v>
      </x:c>
      <x:c r="K58" s="31" t="n">
        <x:v>0</x:v>
      </x:c>
      <x:c r="L58" s="31" t="n">
        <x:v>13732.770007355799</x:v>
      </x:c>
      <x:c r="M58" s="31" t="n">
        <x:v>25.073095784</x:v>
      </x:c>
      <x:c r="N58" s="24" t="str">
        <x:v>magallana gigas</x:v>
      </x:c>
      <x:c r="O58" s="32" t="n">
        <x:v>2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Magallana gigas</x:v>
      </x:c>
      <x:c r="T58" s="32" t="n">
        <x:f>IF(O58="","",(1/'Metadata'!$B$5)^(O58-1))</x:f>
        <x:v>10</x:v>
      </x:c>
      <x:c r="U58" s="31" t="n">
        <x:f>IF(T58="","",I58*T58)</x:f>
        <x:v>137578.431031398</x:v>
      </x:c>
    </x:row>
    <x:row r="59" ht="18" customHeight="1">
      <x:c r="A59" s="24" t="str">
        <x:v>LME_047</x:v>
      </x:c>
      <x:c r="B59" s="24" t="str">
        <x:v>East China Sea</x:v>
      </x:c>
      <x:c r="C59" s="24" t="str">
        <x:v>LME</x:v>
      </x:c>
      <x:c r="D59" s="30" t="n">
        <x:v>2019</x:v>
      </x:c>
      <x:c r="E59" s="24" t="str">
        <x:v>Ruditapes philippinarum</x:v>
      </x:c>
      <x:c r="F59" s="24" t="str">
        <x:v>Japanese carpet shell</x:v>
      </x:c>
      <x:c r="G59" s="24" t="str">
        <x:v>Other demersal invertebrates</x:v>
      </x:c>
      <x:c r="H59" s="24" t="str">
        <x:v>Molluscs</x:v>
      </x:c>
      <x:c r="I59" s="31" t="n">
        <x:v>13152.499824278999</x:v>
      </x:c>
      <x:c r="J59" s="31" t="n">
        <x:v>13148.6282828522</x:v>
      </x:c>
      <x:c r="K59" s="31" t="n">
        <x:v>3.8715414268</x:v>
      </x:c>
      <x:c r="L59" s="31" t="n">
        <x:v>13148.6282828522</x:v>
      </x:c>
      <x:c r="M59" s="31" t="n">
        <x:v>3.8715414268</x:v>
      </x:c>
      <x:c r="N59" s="24" t="str">
        <x:v>ruditapes philippinarum</x:v>
      </x:c>
      <x:c r="O59" s="32" t="n">
        <x:v>2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Ruditapes philippinarum</x:v>
      </x:c>
      <x:c r="T59" s="32" t="n">
        <x:f>IF(O59="","",(1/'Metadata'!$B$5)^(O59-1))</x:f>
        <x:v>10</x:v>
      </x:c>
      <x:c r="U59" s="31" t="n">
        <x:f>IF(T59="","",I59*T59)</x:f>
        <x:v>131524.99824279</x:v>
      </x:c>
    </x:row>
    <x:row r="60" ht="18" customHeight="1">
      <x:c r="A60" s="24" t="str">
        <x:v>LME_047</x:v>
      </x:c>
      <x:c r="B60" s="24" t="str">
        <x:v>East China Sea</x:v>
      </x:c>
      <x:c r="C60" s="24" t="str">
        <x:v>LME</x:v>
      </x:c>
      <x:c r="D60" s="30" t="n">
        <x:v>2019</x:v>
      </x:c>
      <x:c r="E60" s="24" t="str">
        <x:v>Trachurus japonicus</x:v>
      </x:c>
      <x:c r="F60" s="24" t="str">
        <x:v>Japanese jack mackerel</x:v>
      </x:c>
      <x:c r="G60" s="24" t="str">
        <x:v>Medium demersals (30 - 89 cm)</x:v>
      </x:c>
      <x:c r="H60" s="24" t="str">
        <x:v>Perch-likes</x:v>
      </x:c>
      <x:c r="I60" s="31" t="n">
        <x:v>11928.084846441501</x:v>
      </x:c>
      <x:c r="J60" s="31" t="n">
        <x:v>11521.435788557801</x:v>
      </x:c>
      <x:c r="K60" s="31" t="n">
        <x:v>406.6490578837</x:v>
      </x:c>
      <x:c r="L60" s="31" t="n">
        <x:v>10749.2704763352</x:v>
      </x:c>
      <x:c r="M60" s="31" t="n">
        <x:v>1178.8143701063</x:v>
      </x:c>
      <x:c r="N60" s="24" t="str">
        <x:v>trachurus japonicus</x:v>
      </x:c>
      <x:c r="O60" s="32" t="n">
        <x:v>3.4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Trachurus japonicus</x:v>
      </x:c>
      <x:c r="T60" s="32" t="n">
        <x:f>IF(O60="","",(1/'Metadata'!$B$5)^(O60-1))</x:f>
        <x:v>251.18864315095797</x:v>
      </x:c>
      <x:c r="U60" s="31" t="n">
        <x:f>IF(T60="","",I60*T60)</x:f>
        <x:v>2996199.4479671437</x:v>
      </x:c>
    </x:row>
    <x:row r="61" ht="18" customHeight="1">
      <x:c r="A61" s="24" t="str">
        <x:v>LME_047</x:v>
      </x:c>
      <x:c r="B61" s="24" t="str">
        <x:v>East China Sea</x:v>
      </x:c>
      <x:c r="C61" s="24" t="str">
        <x:v>LME</x:v>
      </x:c>
      <x:c r="D61" s="30" t="n">
        <x:v>2019</x:v>
      </x:c>
      <x:c r="E61" s="24" t="str">
        <x:v>Miichthys miiuy</x:v>
      </x:c>
      <x:c r="F61" s="24" t="str">
        <x:v>Mi-iuy croaker</x:v>
      </x:c>
      <x:c r="G61" s="24" t="str">
        <x:v>Medium demersals (30 - 89 cm)</x:v>
      </x:c>
      <x:c r="H61" s="24" t="str">
        <x:v>Perch-likes</x:v>
      </x:c>
      <x:c r="I61" s="31" t="n">
        <x:v>11696.9400180099</x:v>
      </x:c>
      <x:c r="J61" s="31" t="n">
        <x:v>11665.246723765</x:v>
      </x:c>
      <x:c r="K61" s="31" t="n">
        <x:v>31.6932942449</x:v>
      </x:c>
      <x:c r="L61" s="31" t="n">
        <x:v>11613.7805606481</x:v>
      </x:c>
      <x:c r="M61" s="31" t="n">
        <x:v>83.15945736180001</x:v>
      </x:c>
      <x:c r="N61" s="24" t="str">
        <x:v>miichthys miiuy</x:v>
      </x:c>
      <x:c r="O61" s="32" t="n">
        <x:v>3.5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Miichthys miiuy</x:v>
      </x:c>
      <x:c r="T61" s="32" t="n">
        <x:f>IF(O61="","",(1/'Metadata'!$B$5)^(O61-1))</x:f>
        <x:v>316.22776601683796</x:v>
      </x:c>
      <x:c r="U61" s="31" t="n">
        <x:f>IF(T61="","",I61*T61)</x:f>
        <x:v>3698897.211128223</x:v>
      </x:c>
    </x:row>
    <x:row r="62" ht="18" customHeight="1">
      <x:c r="A62" s="24" t="str">
        <x:v>LME_047</x:v>
      </x:c>
      <x:c r="B62" s="24" t="str">
        <x:v>East China Sea</x:v>
      </x:c>
      <x:c r="C62" s="24" t="str">
        <x:v>LME</x:v>
      </x:c>
      <x:c r="D62" s="30" t="n">
        <x:v>2019</x:v>
      </x:c>
      <x:c r="E62" s="24" t="str">
        <x:v>Octopus</x:v>
      </x:c>
      <x:c r="F62" s="24" t="str">
        <x:v>Octopuses, pikas</x:v>
      </x:c>
      <x:c r="G62" s="24" t="str">
        <x:v>Cephalopods</x:v>
      </x:c>
      <x:c r="H62" s="24" t="str">
        <x:v>Other fishes &amp; inverts</x:v>
      </x:c>
      <x:c r="I62" s="31" t="n">
        <x:v>11594.255772405</x:v>
      </x:c>
      <x:c r="J62" s="31" t="n">
        <x:v>11594.255772405</x:v>
      </x:c>
      <x:c r="K62" s="31" t="n">
        <x:v>0</x:v>
      </x:c>
      <x:c r="L62" s="31" t="n">
        <x:v>11592.9096384232</x:v>
      </x:c>
      <x:c r="M62" s="31" t="n">
        <x:v>1.3461339818</x:v>
      </x:c>
      <x:c r="N62" s="24" t="str">
        <x:v>octopus</x:v>
      </x:c>
      <x:c r="O62" s="32" t="n">
        <x:v>3.8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Octopus</x:v>
      </x:c>
      <x:c r="T62" s="32" t="n">
        <x:f>IF(O62="","",(1/'Metadata'!$B$5)^(O62-1))</x:f>
        <x:v>630.957344480193</x:v>
      </x:c>
      <x:c r="U62" s="31" t="n">
        <x:f>IF(T62="","",I62*T62)</x:f>
        <x:v>7315480.833380808</x:v>
      </x:c>
    </x:row>
    <x:row r="63" ht="18" customHeight="1">
      <x:c r="A63" s="24" t="str">
        <x:v>LME_047</x:v>
      </x:c>
      <x:c r="B63" s="24" t="str">
        <x:v>East China Sea</x:v>
      </x:c>
      <x:c r="C63" s="24" t="str">
        <x:v>LME</x:v>
      </x:c>
      <x:c r="D63" s="30" t="n">
        <x:v>2019</x:v>
      </x:c>
      <x:c r="E63" s="24" t="str">
        <x:v>Clupeiformes</x:v>
      </x:c>
      <x:c r="F63" s="24" t="str">
        <x:v>Herrings, shads, anchovies</x:v>
      </x:c>
      <x:c r="G63" s="24" t="str">
        <x:v>Small pelagics (&lt;30 cm)</x:v>
      </x:c>
      <x:c r="H63" s="24" t="str">
        <x:v>Other fishes &amp; inverts</x:v>
      </x:c>
      <x:c r="I63" s="31" t="n">
        <x:v>10312.7702595266</x:v>
      </x:c>
      <x:c r="J63" s="31" t="n">
        <x:v>10312.7702595266</x:v>
      </x:c>
      <x:c r="K63" s="31" t="n">
        <x:v>0</x:v>
      </x:c>
      <x:c r="L63" s="31" t="n">
        <x:v>10082.9122740966</x:v>
      </x:c>
      <x:c r="M63" s="31" t="n">
        <x:v>229.85798542999999</x:v>
      </x:c>
      <x:c r="N63" s="24" t="str">
        <x:v>clupeiformes</x:v>
      </x:c>
      <x:c r="O63" s="32" t="n">
        <x:v>3.24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Clupeiformes</x:v>
      </x:c>
      <x:c r="T63" s="32" t="n">
        <x:f>IF(O63="","",(1/'Metadata'!$B$5)^(O63-1))</x:f>
        <x:v>173.78008287493762</x:v>
      </x:c>
      <x:c r="U63" s="31" t="n">
        <x:f>IF(T63="","",I63*T63)</x:f>
        <x:v>1792154.0703707244</x:v>
      </x:c>
    </x:row>
    <x:row r="64" ht="18" customHeight="1">
      <x:c r="A64" s="24" t="str">
        <x:v>LME_047</x:v>
      </x:c>
      <x:c r="B64" s="24" t="str">
        <x:v>East China Sea</x:v>
      </x:c>
      <x:c r="C64" s="24" t="str">
        <x:v>LME</x:v>
      </x:c>
      <x:c r="D64" s="30" t="n">
        <x:v>2019</x:v>
      </x:c>
      <x:c r="E64" s="24" t="str">
        <x:v>Ruvettus pretiosus</x:v>
      </x:c>
      <x:c r="F64" s="24" t="str">
        <x:v>Oilfish</x:v>
      </x:c>
      <x:c r="G64" s="24" t="str">
        <x:v>Large benthopelagics (&gt;=90 cm)</x:v>
      </x:c>
      <x:c r="H64" s="24" t="str">
        <x:v>Perch-likes</x:v>
      </x:c>
      <x:c r="I64" s="31" t="n">
        <x:v>10020.6111454988</x:v>
      </x:c>
      <x:c r="J64" s="31" t="n">
        <x:v>9996.403785570801</x:v>
      </x:c>
      <x:c r="K64" s="31" t="n">
        <x:v>24.207359928</x:v>
      </x:c>
      <x:c r="L64" s="31" t="n">
        <x:v>8001.8661774656</x:v>
      </x:c>
      <x:c r="M64" s="31" t="n">
        <x:v>2018.7449680332002</x:v>
      </x:c>
      <x:c r="N64" s="24" t="str">
        <x:v>ruvettus pretiosus</x:v>
      </x:c>
      <x:c r="O64" s="32" t="n">
        <x:v>4.18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Ruvettus pretiosus</x:v>
      </x:c>
      <x:c r="T64" s="32" t="n">
        <x:f>IF(O64="","",(1/'Metadata'!$B$5)^(O64-1))</x:f>
        <x:v>1513.5612484362073</x:v>
      </x:c>
      <x:c r="U64" s="31" t="n">
        <x:f>IF(T64="","",I64*T64)</x:f>
        <x:v>15166808.715474937</x:v>
      </x:c>
    </x:row>
    <x:row r="65" ht="18" customHeight="1">
      <x:c r="A65" s="24" t="str">
        <x:v>LME_047</x:v>
      </x:c>
      <x:c r="B65" s="24" t="str">
        <x:v>East China Sea</x:v>
      </x:c>
      <x:c r="C65" s="24" t="str">
        <x:v>LME</x:v>
      </x:c>
      <x:c r="D65" s="30" t="n">
        <x:v>2019</x:v>
      </x:c>
      <x:c r="E65" s="24" t="str">
        <x:v>Ammodytes personatus</x:v>
      </x:c>
      <x:c r="F65" s="24" t="str">
        <x:v>Pacific sandlance</x:v>
      </x:c>
      <x:c r="G65" s="24" t="str">
        <x:v>Small demersals (&lt;30 cm)</x:v>
      </x:c>
      <x:c r="H65" s="24" t="str">
        <x:v>Perch-likes</x:v>
      </x:c>
      <x:c r="I65" s="31" t="n">
        <x:v>9823.7778330354</x:v>
      </x:c>
      <x:c r="J65" s="31" t="n">
        <x:v>9294.5698842534</x:v>
      </x:c>
      <x:c r="K65" s="31" t="n">
        <x:v>529.2079487819999</x:v>
      </x:c>
      <x:c r="L65" s="31" t="n">
        <x:v>9294.5698842534</x:v>
      </x:c>
      <x:c r="M65" s="31" t="n">
        <x:v>529.2079487819999</x:v>
      </x:c>
      <x:c r="N65" s="24" t="str">
        <x:v>ammodytes personatus</x:v>
      </x:c>
      <x:c r="O65" s="32" t="n">
        <x:v>3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Ammodytes personatus</x:v>
      </x:c>
      <x:c r="T65" s="32" t="n">
        <x:f>IF(O65="","",(1/'Metadata'!$B$5)^(O65-1))</x:f>
        <x:v>100</x:v>
      </x:c>
      <x:c r="U65" s="31" t="n">
        <x:f>IF(T65="","",I65*T65)</x:f>
        <x:v>982377.78330354</x:v>
      </x:c>
    </x:row>
    <x:row r="66" ht="18" customHeight="1">
      <x:c r="A66" s="24" t="str">
        <x:v>LME_047</x:v>
      </x:c>
      <x:c r="B66" s="24" t="str">
        <x:v>East China Sea</x:v>
      </x:c>
      <x:c r="C66" s="24" t="str">
        <x:v>LME</x:v>
      </x:c>
      <x:c r="D66" s="30" t="n">
        <x:v>2019</x:v>
      </x:c>
      <x:c r="E66" s="24" t="str">
        <x:v>Stromateidae</x:v>
      </x:c>
      <x:c r="F66" s="24" t="str">
        <x:v>Butterfishes</x:v>
      </x:c>
      <x:c r="G66" s="24" t="str">
        <x:v>Small benthopelagics (&lt;30 cm)</x:v>
      </x:c>
      <x:c r="H66" s="24" t="str">
        <x:v>Perch-likes</x:v>
      </x:c>
      <x:c r="I66" s="31" t="n">
        <x:v>9613.6197028127</x:v>
      </x:c>
      <x:c r="J66" s="31" t="n">
        <x:v>9613.6197028127</x:v>
      </x:c>
      <x:c r="K66" s="31" t="n">
        <x:v>0</x:v>
      </x:c>
      <x:c r="L66" s="31" t="n">
        <x:v>7716.729076015799</x:v>
      </x:c>
      <x:c r="M66" s="31" t="n">
        <x:v>1896.8906267969</x:v>
      </x:c>
      <x:c r="N66" s="24" t="str">
        <x:v>stromateidae</x:v>
      </x:c>
      <x:c r="O66" s="32" t="n">
        <x:v>3.62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Stromateidae</x:v>
      </x:c>
      <x:c r="T66" s="32" t="n">
        <x:f>IF(O66="","",(1/'Metadata'!$B$5)^(O66-1))</x:f>
        <x:v>416.8693834703355</x:v>
      </x:c>
      <x:c r="U66" s="31" t="n">
        <x:f>IF(T66="","",I66*T66)</x:f>
        <x:v>4007623.7184298006</x:v>
      </x:c>
    </x:row>
    <x:row r="67" ht="18" customHeight="1">
      <x:c r="A67" s="24" t="str">
        <x:v>LME_047</x:v>
      </x:c>
      <x:c r="B67" s="24" t="str">
        <x:v>East China Sea</x:v>
      </x:c>
      <x:c r="C67" s="24" t="str">
        <x:v>LME</x:v>
      </x:c>
      <x:c r="D67" s="30" t="n">
        <x:v>2019</x:v>
      </x:c>
      <x:c r="E67" s="24" t="str">
        <x:v>Psenopsis anomala</x:v>
      </x:c>
      <x:c r="F67" s="24" t="str">
        <x:v>Pacific rudderfish</x:v>
      </x:c>
      <x:c r="G67" s="24" t="str">
        <x:v>Small benthopelagics (&lt;30 cm)</x:v>
      </x:c>
      <x:c r="H67" s="24" t="str">
        <x:v>Perch-likes</x:v>
      </x:c>
      <x:c r="I67" s="31" t="n">
        <x:v>9168.4368781713</x:v>
      </x:c>
      <x:c r="J67" s="31" t="n">
        <x:v>8867.0207448521</x:v>
      </x:c>
      <x:c r="K67" s="31" t="n">
        <x:v>301.4161333192</x:v>
      </x:c>
      <x:c r="L67" s="31" t="n">
        <x:v>6761.2677683867005</x:v>
      </x:c>
      <x:c r="M67" s="31" t="n">
        <x:v>2407.1691097846</x:v>
      </x:c>
      <x:c r="N67" s="24" t="str">
        <x:v>psenopsis anomala</x:v>
      </x:c>
      <x:c r="O67" s="32" t="n">
        <x:v>4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Psenopsis anomala</x:v>
      </x:c>
      <x:c r="T67" s="32" t="n">
        <x:f>IF(O67="","",(1/'Metadata'!$B$5)^(O67-1))</x:f>
        <x:v>1000</x:v>
      </x:c>
      <x:c r="U67" s="31" t="n">
        <x:f>IF(T67="","",I67*T67)</x:f>
        <x:v>9168436.8781713</x:v>
      </x:c>
    </x:row>
    <x:row r="68" ht="18" customHeight="1">
      <x:c r="A68" s="24" t="str">
        <x:v>LME_047</x:v>
      </x:c>
      <x:c r="B68" s="24" t="str">
        <x:v>East China Sea</x:v>
      </x:c>
      <x:c r="C68" s="24" t="str">
        <x:v>LME</x:v>
      </x:c>
      <x:c r="D68" s="30" t="n">
        <x:v>2019</x:v>
      </x:c>
      <x:c r="E68" s="24" t="str">
        <x:v>Charybdis</x:v>
      </x:c>
      <x:c r="F68" s="24" t="str">
        <x:v>Whirlpool swimming crabs</x:v>
      </x:c>
      <x:c r="G68" s="24" t="str">
        <x:v>Lobsters, crabs</x:v>
      </x:c>
      <x:c r="H68" s="24" t="str">
        <x:v>Crustaceans</x:v>
      </x:c>
      <x:c r="I68" s="31" t="n">
        <x:v>9070.3780201808</x:v>
      </x:c>
      <x:c r="J68" s="31" t="n">
        <x:v>8557.1588486543</x:v>
      </x:c>
      <x:c r="K68" s="31" t="n">
        <x:v>513.2191715265</x:v>
      </x:c>
      <x:c r="L68" s="31" t="n">
        <x:v>8531.1462614685</x:v>
      </x:c>
      <x:c r="M68" s="31" t="n">
        <x:v>539.2317587123</x:v>
      </x:c>
      <x:c r="N68" s="24" t="str">
        <x:v>charybdis</x:v>
      </x:c>
      <x:c r="O68" s="32" t="n">
        <x:v>2.7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Charybdis</x:v>
      </x:c>
      <x:c r="T68" s="32" t="n">
        <x:f>IF(O68="","",(1/'Metadata'!$B$5)^(O68-1))</x:f>
        <x:v>50.11872336272725</x:v>
      </x:c>
      <x:c r="U68" s="31" t="n">
        <x:f>IF(T68="","",I68*T68)</x:f>
        <x:v>454595.7667888032</x:v>
      </x:c>
    </x:row>
    <x:row r="69" ht="18" customHeight="1">
      <x:c r="A69" s="24" t="str">
        <x:v>LME_047</x:v>
      </x:c>
      <x:c r="B69" s="24" t="str">
        <x:v>East China Sea</x:v>
      </x:c>
      <x:c r="C69" s="24" t="str">
        <x:v>LME</x:v>
      </x:c>
      <x:c r="D69" s="30" t="n">
        <x:v>2019</x:v>
      </x:c>
      <x:c r="E69" s="24" t="str">
        <x:v>Scombridae</x:v>
      </x:c>
      <x:c r="F69" s="24" t="str">
        <x:v>Mackerels, tunas, bonitos</x:v>
      </x:c>
      <x:c r="G69" s="24" t="str">
        <x:v>Medium pelagics (30 - 89 cm)</x:v>
      </x:c>
      <x:c r="H69" s="24" t="str">
        <x:v>Perch-likes</x:v>
      </x:c>
      <x:c r="I69" s="31" t="n">
        <x:v>8979.2835819838</x:v>
      </x:c>
      <x:c r="J69" s="31" t="n">
        <x:v>8713.7718832193</x:v>
      </x:c>
      <x:c r="K69" s="31" t="n">
        <x:v>265.51169876449995</x:v>
      </x:c>
      <x:c r="L69" s="31" t="n">
        <x:v>8355.912680118</x:v>
      </x:c>
      <x:c r="M69" s="31" t="n">
        <x:v>623.3709018658</x:v>
      </x:c>
      <x:c r="N69" s="24" t="str">
        <x:v>scombridae</x:v>
      </x:c>
      <x:c r="O69" s="32" t="n">
        <x:v>4.26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Scombridae</x:v>
      </x:c>
      <x:c r="T69" s="32" t="n">
        <x:f>IF(O69="","",(1/'Metadata'!$B$5)^(O69-1))</x:f>
        <x:v>1819.7008586099826</x:v>
      </x:c>
      <x:c r="U69" s="31" t="n">
        <x:f>IF(T69="","",I69*T69)</x:f>
        <x:v>16339610.043838441</x:v>
      </x:c>
    </x:row>
    <x:row r="70" ht="18" customHeight="1">
      <x:c r="A70" s="24" t="str">
        <x:v>LME_047</x:v>
      </x:c>
      <x:c r="B70" s="24" t="str">
        <x:v>East China Sea</x:v>
      </x:c>
      <x:c r="C70" s="24" t="str">
        <x:v>LME</x:v>
      </x:c>
      <x:c r="D70" s="30" t="n">
        <x:v>2019</x:v>
      </x:c>
      <x:c r="E70" s="24" t="str">
        <x:v>Turbo cornutus</x:v>
      </x:c>
      <x:c r="F70" s="24" t="str">
        <x:v>Horned turban</x:v>
      </x:c>
      <x:c r="G70" s="24" t="str">
        <x:v>Other demersal invertebrates</x:v>
      </x:c>
      <x:c r="H70" s="24" t="str">
        <x:v>Molluscs</x:v>
      </x:c>
      <x:c r="I70" s="31" t="n">
        <x:v>8155.7647528986</x:v>
      </x:c>
      <x:c r="J70" s="31" t="n">
        <x:v>7950.4527018514</x:v>
      </x:c>
      <x:c r="K70" s="31" t="n">
        <x:v>205.3120510472</x:v>
      </x:c>
      <x:c r="L70" s="31" t="n">
        <x:v>7942.5433485275</x:v>
      </x:c>
      <x:c r="M70" s="31" t="n">
        <x:v>213.2214043711</x:v>
      </x:c>
      <x:c r="N70" s="24" t="str">
        <x:v>turbo cornutus</x:v>
      </x:c>
      <x:c r="O70" s="32" t="n">
        <x:v>2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Turbo cornutus</x:v>
      </x:c>
      <x:c r="T70" s="32" t="n">
        <x:f>IF(O70="","",(1/'Metadata'!$B$5)^(O70-1))</x:f>
        <x:v>10</x:v>
      </x:c>
      <x:c r="U70" s="31" t="n">
        <x:f>IF(T70="","",I70*T70)</x:f>
        <x:v>81557.647528986</x:v>
      </x:c>
    </x:row>
    <x:row r="71" ht="18" customHeight="1">
      <x:c r="A71" s="24" t="str">
        <x:v>LME_047</x:v>
      </x:c>
      <x:c r="B71" s="24" t="str">
        <x:v>East China Sea</x:v>
      </x:c>
      <x:c r="C71" s="24" t="str">
        <x:v>LME</x:v>
      </x:c>
      <x:c r="D71" s="30" t="n">
        <x:v>2019</x:v>
      </x:c>
      <x:c r="E71" s="24" t="str">
        <x:v>Coryphaena hippurus</x:v>
      </x:c>
      <x:c r="F71" s="24" t="str">
        <x:v>Common dolphinfish</x:v>
      </x:c>
      <x:c r="G71" s="24" t="str">
        <x:v>Large pelagics (&gt;=90 cm)</x:v>
      </x:c>
      <x:c r="H71" s="24" t="str">
        <x:v>Perch-likes</x:v>
      </x:c>
      <x:c r="I71" s="31" t="n">
        <x:v>7585.5763329913</x:v>
      </x:c>
      <x:c r="J71" s="31" t="n">
        <x:v>7566.9216232556</x:v>
      </x:c>
      <x:c r="K71" s="31" t="n">
        <x:v>18.6547097357</x:v>
      </x:c>
      <x:c r="L71" s="31" t="n">
        <x:v>6284.3089986689</x:v>
      </x:c>
      <x:c r="M71" s="31" t="n">
        <x:v>1301.2673343223998</x:v>
      </x:c>
      <x:c r="N71" s="24" t="str">
        <x:v>coryphaena hippurus</x:v>
      </x:c>
      <x:c r="O71" s="32" t="n">
        <x:v>4.37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Coryphaena hippurus</x:v>
      </x:c>
      <x:c r="T71" s="32" t="n">
        <x:f>IF(O71="","",(1/'Metadata'!$B$5)^(O71-1))</x:f>
        <x:v>2344.228815319923</x:v>
      </x:c>
      <x:c r="U71" s="31" t="n">
        <x:f>IF(T71="","",I71*T71)</x:f>
        <x:v>17782326.62060704</x:v>
      </x:c>
    </x:row>
    <x:row r="72" ht="18" customHeight="1">
      <x:c r="A72" s="24" t="str">
        <x:v>LME_047</x:v>
      </x:c>
      <x:c r="B72" s="24" t="str">
        <x:v>East China Sea</x:v>
      </x:c>
      <x:c r="C72" s="24" t="str">
        <x:v>LME</x:v>
      </x:c>
      <x:c r="D72" s="30" t="n">
        <x:v>2019</x:v>
      </x:c>
      <x:c r="E72" s="24" t="str">
        <x:v>Gastropoda</x:v>
      </x:c>
      <x:c r="F72" s="24" t="str">
        <x:v>Sea snails</x:v>
      </x:c>
      <x:c r="G72" s="24" t="str">
        <x:v>Other demersal invertebrates</x:v>
      </x:c>
      <x:c r="H72" s="24" t="str">
        <x:v>Molluscs</x:v>
      </x:c>
      <x:c r="I72" s="31" t="n">
        <x:v>6582.2851614754</x:v>
      </x:c>
      <x:c r="J72" s="31" t="n">
        <x:v>6579.7359606502005</x:v>
      </x:c>
      <x:c r="K72" s="31" t="n">
        <x:v>2.5492008252</x:v>
      </x:c>
      <x:c r="L72" s="31" t="n">
        <x:v>6516.6899353244</x:v>
      </x:c>
      <x:c r="M72" s="31" t="n">
        <x:v>65.595226151</x:v>
      </x:c>
      <x:c r="N72" s="24" t="str">
        <x:v>gastropoda</x:v>
      </x:c>
      <x:c r="O72" s="32" t="n">
        <x:v>3.06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Gastropoda</x:v>
      </x:c>
      <x:c r="T72" s="32" t="n">
        <x:f>IF(O72="","",(1/'Metadata'!$B$5)^(O72-1))</x:f>
        <x:v>114.81536214968828</x:v>
      </x:c>
      <x:c r="U72" s="31" t="n">
        <x:f>IF(T72="","",I72*T72)</x:f>
        <x:v>755747.4545873174</x:v>
      </x:c>
    </x:row>
    <x:row r="73" ht="18" customHeight="1">
      <x:c r="A73" s="24" t="str">
        <x:v>LME_047</x:v>
      </x:c>
      <x:c r="B73" s="24" t="str">
        <x:v>East China Sea</x:v>
      </x:c>
      <x:c r="C73" s="24" t="str">
        <x:v>LME</x:v>
      </x:c>
      <x:c r="D73" s="30" t="n">
        <x:v>2019</x:v>
      </x:c>
      <x:c r="E73" s="24" t="str">
        <x:v>Thunnus alalunga</x:v>
      </x:c>
      <x:c r="F73" s="24" t="str">
        <x:v>Albacore</x:v>
      </x:c>
      <x:c r="G73" s="24" t="str">
        <x:v>Large pelagics (&gt;=90 cm)</x:v>
      </x:c>
      <x:c r="H73" s="24" t="str">
        <x:v>Tuna &amp; billfishes</x:v>
      </x:c>
      <x:c r="I73" s="31" t="n">
        <x:v>6472.807429032</x:v>
      </x:c>
      <x:c r="J73" s="31" t="n">
        <x:v>6465.2771616102</x:v>
      </x:c>
      <x:c r="K73" s="31" t="n">
        <x:v>7.5302674218000005</x:v>
      </x:c>
      <x:c r="L73" s="31" t="n">
        <x:v>6465.2771616102</x:v>
      </x:c>
      <x:c r="M73" s="31" t="n">
        <x:v>7.5302674218000005</x:v>
      </x:c>
      <x:c r="N73" s="24" t="str">
        <x:v>thunnus alalunga</x:v>
      </x:c>
      <x:c r="O73" s="32" t="n">
        <x:v>4.3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Thunnus alalunga</x:v>
      </x:c>
      <x:c r="T73" s="32" t="n">
        <x:f>IF(O73="","",(1/'Metadata'!$B$5)^(O73-1))</x:f>
        <x:v>1995.2623149688789</x:v>
      </x:c>
      <x:c r="U73" s="31" t="n">
        <x:f>IF(T73="","",I73*T73)</x:f>
        <x:v>12914948.735198146</x:v>
      </x:c>
    </x:row>
    <x:row r="74" ht="18" customHeight="1">
      <x:c r="A74" s="24" t="str">
        <x:v>LME_047</x:v>
      </x:c>
      <x:c r="B74" s="24" t="str">
        <x:v>East China Sea</x:v>
      </x:c>
      <x:c r="C74" s="24" t="str">
        <x:v>LME</x:v>
      </x:c>
      <x:c r="D74" s="30" t="n">
        <x:v>2019</x:v>
      </x:c>
      <x:c r="E74" s="24" t="str">
        <x:v>Paralichthys olivaceus</x:v>
      </x:c>
      <x:c r="F74" s="24" t="str">
        <x:v>Bastard halibut</x:v>
      </x:c>
      <x:c r="G74" s="24" t="str">
        <x:v>Large flatfishes (&gt;=90 cm)</x:v>
      </x:c>
      <x:c r="H74" s="24" t="str">
        <x:v>Flatfishes</x:v>
      </x:c>
      <x:c r="I74" s="31" t="n">
        <x:v>6225.5744773235</x:v>
      </x:c>
      <x:c r="J74" s="31" t="n">
        <x:v>6086.2528983798</x:v>
      </x:c>
      <x:c r="K74" s="31" t="n">
        <x:v>139.3215789437</x:v>
      </x:c>
      <x:c r="L74" s="31" t="n">
        <x:v>5958.5451548757</x:v>
      </x:c>
      <x:c r="M74" s="31" t="n">
        <x:v>267.0293224478</x:v>
      </x:c>
      <x:c r="N74" s="24" t="str">
        <x:v>paralichthys olivaceus</x:v>
      </x:c>
      <x:c r="O74" s="32" t="n">
        <x:v>4.25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Paralichthys olivaceus</x:v>
      </x:c>
      <x:c r="T74" s="32" t="n">
        <x:f>IF(O74="","",(1/'Metadata'!$B$5)^(O74-1))</x:f>
        <x:v>1778.2794100389228</x:v>
      </x:c>
      <x:c r="U74" s="31" t="n">
        <x:f>IF(T74="","",I74*T74)</x:f>
        <x:v>11070810.90868821</x:v>
      </x:c>
    </x:row>
    <x:row r="75" ht="18" customHeight="1">
      <x:c r="A75" s="24" t="str">
        <x:v>LME_047</x:v>
      </x:c>
      <x:c r="B75" s="24" t="str">
        <x:v>East China Sea</x:v>
      </x:c>
      <x:c r="C75" s="24" t="str">
        <x:v>LME</x:v>
      </x:c>
      <x:c r="D75" s="30" t="n">
        <x:v>2019</x:v>
      </x:c>
      <x:c r="E75" s="24" t="str">
        <x:v>Dendrobranchiata</x:v>
      </x:c>
      <x:c r="F75" s="24" t="str">
        <x:v>Shrimps and prawns</x:v>
      </x:c>
      <x:c r="G75" s="24" t="str">
        <x:v>Shrimps</x:v>
      </x:c>
      <x:c r="H75" s="24" t="str">
        <x:v>Crustaceans</x:v>
      </x:c>
      <x:c r="I75" s="31" t="n">
        <x:v>5799.378234479899</x:v>
      </x:c>
      <x:c r="J75" s="31" t="n">
        <x:v>5699.4626663709</x:v>
      </x:c>
      <x:c r="K75" s="31" t="n">
        <x:v>99.91556810899999</x:v>
      </x:c>
      <x:c r="L75" s="31" t="n">
        <x:v>2492.439843889</x:v>
      </x:c>
      <x:c r="M75" s="31" t="n">
        <x:v>3306.9383905909</x:v>
      </x:c>
      <x:c r="N75" s="24" t="str">
        <x:v>dendrobranchiata</x:v>
      </x:c>
      <x:c r="O75" s="32" t="n">
        <x:v>3.24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Dendrobranchiata</x:v>
      </x:c>
      <x:c r="T75" s="32" t="n">
        <x:f>IF(O75="","",(1/'Metadata'!$B$5)^(O75-1))</x:f>
        <x:v>173.78008287493762</x:v>
      </x:c>
      <x:c r="U75" s="31" t="n">
        <x:f>IF(T75="","",I75*T75)</x:f>
        <x:v>1007816.4302110263</x:v>
      </x:c>
    </x:row>
    <x:row r="76" ht="18" customHeight="1">
      <x:c r="A76" s="24" t="str">
        <x:v>LME_047</x:v>
      </x:c>
      <x:c r="B76" s="24" t="str">
        <x:v>East China Sea</x:v>
      </x:c>
      <x:c r="C76" s="24" t="str">
        <x:v>LME</x:v>
      </x:c>
      <x:c r="D76" s="30" t="n">
        <x:v>2019</x:v>
      </x:c>
      <x:c r="E76" s="24" t="str">
        <x:v>Mollusca</x:v>
      </x:c>
      <x:c r="F76" s="24" t="str">
        <x:v>Clams, seasnails, squids, octopuses</x:v>
      </x:c>
      <x:c r="G76" s="24" t="str">
        <x:v>Other demersal invertebrates</x:v>
      </x:c>
      <x:c r="H76" s="24" t="str">
        <x:v>Molluscs</x:v>
      </x:c>
      <x:c r="I76" s="31" t="n">
        <x:v>5752.0967867744</x:v>
      </x:c>
      <x:c r="J76" s="31" t="n">
        <x:v>2028.321392928</x:v>
      </x:c>
      <x:c r="K76" s="31" t="n">
        <x:v>3723.7753938464</x:v>
      </x:c>
      <x:c r="L76" s="31" t="n">
        <x:v>484.5202556442</x:v>
      </x:c>
      <x:c r="M76" s="31" t="n">
        <x:v>5267.5765311302</x:v>
      </x:c>
      <x:c r="N76" s="24" t="str">
        <x:v>mollusca</x:v>
      </x:c>
      <x:c r="O76" s="32" t="n">
        <x:v>2.1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Mollusca</x:v>
      </x:c>
      <x:c r="T76" s="32" t="n">
        <x:f>IF(O76="","",(1/'Metadata'!$B$5)^(O76-1))</x:f>
        <x:v>12.589254117941675</x:v>
      </x:c>
      <x:c r="U76" s="31" t="n">
        <x:f>IF(T76="","",I76*T76)</x:f>
        <x:v>72414.60815969869</x:v>
      </x:c>
    </x:row>
    <x:row r="77" ht="18" customHeight="1">
      <x:c r="A77" s="24" t="str">
        <x:v>LME_047</x:v>
      </x:c>
      <x:c r="B77" s="24" t="str">
        <x:v>East China Sea</x:v>
      </x:c>
      <x:c r="C77" s="24" t="str">
        <x:v>LME</x:v>
      </x:c>
      <x:c r="D77" s="30" t="n">
        <x:v>2019</x:v>
      </x:c>
      <x:c r="E77" s="24" t="str">
        <x:v>Lateolabrax japonicus</x:v>
      </x:c>
      <x:c r="F77" s="24" t="str">
        <x:v>Japanese seabass</x:v>
      </x:c>
      <x:c r="G77" s="24" t="str">
        <x:v>Medium reef assoc. fish (30 - 89 cm)</x:v>
      </x:c>
      <x:c r="H77" s="24" t="str">
        <x:v>Perch-likes</x:v>
      </x:c>
      <x:c r="I77" s="31" t="n">
        <x:v>4893.0255562532</x:v>
      </x:c>
      <x:c r="J77" s="31" t="n">
        <x:v>4138.5346392745005</x:v>
      </x:c>
      <x:c r="K77" s="31" t="n">
        <x:v>754.4909169786999</x:v>
      </x:c>
      <x:c r="L77" s="31" t="n">
        <x:v>3047.736150406</x:v>
      </x:c>
      <x:c r="M77" s="31" t="n">
        <x:v>1845.2894058472</x:v>
      </x:c>
      <x:c r="N77" s="24" t="str">
        <x:v>lateolabrax japonicus</x:v>
      </x:c>
      <x:c r="O77" s="32" t="n">
        <x:v>3.36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Lateolabrax japonicus</x:v>
      </x:c>
      <x:c r="T77" s="32" t="n">
        <x:f>IF(O77="","",(1/'Metadata'!$B$5)^(O77-1))</x:f>
        <x:v>229.08676527677724</x:v>
      </x:c>
      <x:c r="U77" s="31" t="n">
        <x:f>IF(T77="","",I77*T77)</x:f>
        <x:v>1120927.3970986493</x:v>
      </x:c>
    </x:row>
    <x:row r="78" ht="18" customHeight="1">
      <x:c r="A78" s="24" t="str">
        <x:v>LME_047</x:v>
      </x:c>
      <x:c r="B78" s="24" t="str">
        <x:v>East China Sea</x:v>
      </x:c>
      <x:c r="C78" s="24" t="str">
        <x:v>LME</x:v>
      </x:c>
      <x:c r="D78" s="30" t="n">
        <x:v>2019</x:v>
      </x:c>
      <x:c r="E78" s="24" t="str">
        <x:v>Mytilidae</x:v>
      </x:c>
      <x:c r="F78" s="24" t="str">
        <x:v>Sea mussels</x:v>
      </x:c>
      <x:c r="G78" s="24" t="str">
        <x:v>Other demersal invertebrates</x:v>
      </x:c>
      <x:c r="H78" s="24" t="str">
        <x:v>Molluscs</x:v>
      </x:c>
      <x:c r="I78" s="31" t="n">
        <x:v>4855.7963694344</x:v>
      </x:c>
      <x:c r="J78" s="31" t="n">
        <x:v>4853.8815393645</x:v>
      </x:c>
      <x:c r="K78" s="31" t="n">
        <x:v>1.9148300699</x:v>
      </x:c>
      <x:c r="L78" s="31" t="n">
        <x:v>4853.8815393645</x:v>
      </x:c>
      <x:c r="M78" s="31" t="n">
        <x:v>1.9148300699</x:v>
      </x:c>
      <x:c r="N78" s="24" t="str">
        <x:v>mytilidae</x:v>
      </x:c>
      <x:c r="O78" s="32" t="n">
        <x:v>2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Mytilidae</x:v>
      </x:c>
      <x:c r="T78" s="32" t="n">
        <x:f>IF(O78="","",(1/'Metadata'!$B$5)^(O78-1))</x:f>
        <x:v>10</x:v>
      </x:c>
      <x:c r="U78" s="31" t="n">
        <x:f>IF(T78="","",I78*T78)</x:f>
        <x:v>48557.963694344</x:v>
      </x:c>
    </x:row>
    <x:row r="79" ht="18" customHeight="1">
      <x:c r="A79" s="24" t="str">
        <x:v>LME_047</x:v>
      </x:c>
      <x:c r="B79" s="24" t="str">
        <x:v>East China Sea</x:v>
      </x:c>
      <x:c r="C79" s="24" t="str">
        <x:v>LME</x:v>
      </x:c>
      <x:c r="D79" s="30" t="n">
        <x:v>2019</x:v>
      </x:c>
      <x:c r="E79" s="24" t="str">
        <x:v>Tetraodontidae</x:v>
      </x:c>
      <x:c r="F79" s="24" t="str">
        <x:v>Puffers, tobies</x:v>
      </x:c>
      <x:c r="G79" s="24" t="str">
        <x:v>Large reef assoc. fish (&gt;=90 cm)</x:v>
      </x:c>
      <x:c r="H79" s="24" t="str">
        <x:v>Other fishes &amp; inverts</x:v>
      </x:c>
      <x:c r="I79" s="31" t="n">
        <x:v>4849.1617477428</x:v>
      </x:c>
      <x:c r="J79" s="31" t="n">
        <x:v>4544.6227432268</x:v>
      </x:c>
      <x:c r="K79" s="31" t="n">
        <x:v>304.539004516</x:v>
      </x:c>
      <x:c r="L79" s="31" t="n">
        <x:v>4476.4793865955</x:v>
      </x:c>
      <x:c r="M79" s="31" t="n">
        <x:v>372.68236114729996</x:v>
      </x:c>
      <x:c r="N79" s="24" t="str">
        <x:v>tetraodontidae</x:v>
      </x:c>
      <x:c r="O79" s="32" t="n">
        <x:v>3.5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Tetraodontidae</x:v>
      </x:c>
      <x:c r="T79" s="32" t="n">
        <x:f>IF(O79="","",(1/'Metadata'!$B$5)^(O79-1))</x:f>
        <x:v>316.22776601683796</x:v>
      </x:c>
      <x:c r="U79" s="31" t="n">
        <x:f>IF(T79="","",I79*T79)</x:f>
        <x:v>1533439.5865430112</x:v>
      </x:c>
    </x:row>
    <x:row r="80" ht="18" customHeight="1">
      <x:c r="A80" s="24" t="str">
        <x:v>LME_047</x:v>
      </x:c>
      <x:c r="B80" s="24" t="str">
        <x:v>East China Sea</x:v>
      </x:c>
      <x:c r="C80" s="24" t="str">
        <x:v>LME</x:v>
      </x:c>
      <x:c r="D80" s="30" t="n">
        <x:v>2019</x:v>
      </x:c>
      <x:c r="E80" s="24" t="str">
        <x:v>Sepiidae</x:v>
      </x:c>
      <x:c r="F80" s="24" t="str">
        <x:v>Cuttlefishes</x:v>
      </x:c>
      <x:c r="G80" s="24" t="str">
        <x:v>Cephalopods</x:v>
      </x:c>
      <x:c r="H80" s="24" t="str">
        <x:v>Other fishes &amp; inverts</x:v>
      </x:c>
      <x:c r="I80" s="31" t="n">
        <x:v>4838.0853947815</x:v>
      </x:c>
      <x:c r="J80" s="31" t="n">
        <x:v>3901.6060772267</x:v>
      </x:c>
      <x:c r="K80" s="31" t="n">
        <x:v>936.4793175548</x:v>
      </x:c>
      <x:c r="L80" s="31" t="n">
        <x:v>3817.3235105608</x:v>
      </x:c>
      <x:c r="M80" s="31" t="n">
        <x:v>1020.7618842206999</x:v>
      </x:c>
      <x:c r="N80" s="24" t="str">
        <x:v>sepiidae</x:v>
      </x:c>
      <x:c r="O80" s="32" t="n">
        <x:v>3.6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Sepiidae</x:v>
      </x:c>
      <x:c r="T80" s="32" t="n">
        <x:f>IF(O80="","",(1/'Metadata'!$B$5)^(O80-1))</x:f>
        <x:v>398.1071705534973</x:v>
      </x:c>
      <x:c r="U80" s="31" t="n">
        <x:f>IF(T80="","",I80*T80)</x:f>
        <x:v>1926076.4874126632</x:v>
      </x:c>
    </x:row>
    <x:row r="81" ht="18" customHeight="1">
      <x:c r="A81" s="24" t="str">
        <x:v>LME_047</x:v>
      </x:c>
      <x:c r="B81" s="24" t="str">
        <x:v>East China Sea</x:v>
      </x:c>
      <x:c r="C81" s="24" t="str">
        <x:v>LME</x:v>
      </x:c>
      <x:c r="D81" s="30" t="n">
        <x:v>2019</x:v>
      </x:c>
      <x:c r="E81" s="24" t="str">
        <x:v>Acanthopagrus schlegelii</x:v>
      </x:c>
      <x:c r="F81" s="24" t="str">
        <x:v>Blackhead seabream</x:v>
      </x:c>
      <x:c r="G81" s="24" t="str">
        <x:v>Medium demersals (30 - 89 cm)</x:v>
      </x:c>
      <x:c r="H81" s="24" t="str">
        <x:v>Perch-likes</x:v>
      </x:c>
      <x:c r="I81" s="31" t="n">
        <x:v>4762.8987794754</x:v>
      </x:c>
      <x:c r="J81" s="31" t="n">
        <x:v>4744.7537959619</x:v>
      </x:c>
      <x:c r="K81" s="31" t="n">
        <x:v>18.1449835135</x:v>
      </x:c>
      <x:c r="L81" s="31" t="n">
        <x:v>603.4106739907</x:v>
      </x:c>
      <x:c r="M81" s="31" t="n">
        <x:v>4159.4881054847</x:v>
      </x:c>
      <x:c r="N81" s="24" t="str">
        <x:v>acanthopagrus schlegelii</x:v>
      </x:c>
      <x:c r="O81" s="32" t="n">
        <x:v>3.24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Acanthopagrus schlegelii</x:v>
      </x:c>
      <x:c r="T81" s="32" t="n">
        <x:f>IF(O81="","",(1/'Metadata'!$B$5)^(O81-1))</x:f>
        <x:v>173.78008287493762</x:v>
      </x:c>
      <x:c r="U81" s="31" t="n">
        <x:f>IF(T81="","",I81*T81)</x:f>
        <x:v>827696.9446221743</x:v>
      </x:c>
    </x:row>
    <x:row r="82" ht="18" customHeight="1">
      <x:c r="A82" s="24" t="str">
        <x:v>LME_047</x:v>
      </x:c>
      <x:c r="B82" s="24" t="str">
        <x:v>East China Sea</x:v>
      </x:c>
      <x:c r="C82" s="24" t="str">
        <x:v>LME</x:v>
      </x:c>
      <x:c r="D82" s="30" t="n">
        <x:v>2019</x:v>
      </x:c>
      <x:c r="E82" s="24" t="str">
        <x:v>Loliginidae</x:v>
      </x:c>
      <x:c r="F82" s="24" t="str">
        <x:v>Common pencil squids</x:v>
      </x:c>
      <x:c r="G82" s="24" t="str">
        <x:v>Cephalopods</x:v>
      </x:c>
      <x:c r="H82" s="24" t="str">
        <x:v>Other fishes &amp; inverts</x:v>
      </x:c>
      <x:c r="I82" s="31" t="n">
        <x:v>4331.4490683474</x:v>
      </x:c>
      <x:c r="J82" s="31" t="n">
        <x:v>4139.9303709169</x:v>
      </x:c>
      <x:c r="K82" s="31" t="n">
        <x:v>191.5186974305</x:v>
      </x:c>
      <x:c r="L82" s="31" t="n">
        <x:v>4119.2233122855005</x:v>
      </x:c>
      <x:c r="M82" s="31" t="n">
        <x:v>212.2257560619</x:v>
      </x:c>
      <x:c r="N82" s="24" t="str">
        <x:v>loliginidae</x:v>
      </x:c>
      <x:c r="O82" s="32" t="n">
        <x:v>3.9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Loliginidae</x:v>
      </x:c>
      <x:c r="T82" s="32" t="n">
        <x:f>IF(O82="","",(1/'Metadata'!$B$5)^(O82-1))</x:f>
        <x:v>794.3282347242813</x:v>
      </x:c>
      <x:c r="U82" s="31" t="n">
        <x:f>IF(T82="","",I82*T82)</x:f>
        <x:v>3440592.292258523</x:v>
      </x:c>
    </x:row>
    <x:row r="83" ht="18" customHeight="1">
      <x:c r="A83" s="24" t="str">
        <x:v>LME_047</x:v>
      </x:c>
      <x:c r="B83" s="24" t="str">
        <x:v>East China Sea</x:v>
      </x:c>
      <x:c r="C83" s="24" t="str">
        <x:v>LME</x:v>
      </x:c>
      <x:c r="D83" s="30" t="n">
        <x:v>2019</x:v>
      </x:c>
      <x:c r="E83" s="24" t="str">
        <x:v>Scomber australasicus</x:v>
      </x:c>
      <x:c r="F83" s="24" t="str">
        <x:v>Blue mackerel</x:v>
      </x:c>
      <x:c r="G83" s="24" t="str">
        <x:v>Medium pelagics (30 - 89 cm)</x:v>
      </x:c>
      <x:c r="H83" s="24" t="str">
        <x:v>Perch-likes</x:v>
      </x:c>
      <x:c r="I83" s="31" t="n">
        <x:v>4005.9273097160003</x:v>
      </x:c>
      <x:c r="J83" s="31" t="n">
        <x:v>0</x:v>
      </x:c>
      <x:c r="K83" s="31" t="n">
        <x:v>4005.9273097160003</x:v>
      </x:c>
      <x:c r="L83" s="31" t="n">
        <x:v>0</x:v>
      </x:c>
      <x:c r="M83" s="31" t="n">
        <x:v>4005.9273097160003</x:v>
      </x:c>
      <x:c r="N83" s="24" t="str">
        <x:v>scomber australasicus</x:v>
      </x:c>
      <x:c r="O83" s="32" t="n">
        <x:v>4.23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Scomber australasicus</x:v>
      </x:c>
      <x:c r="T83" s="32" t="n">
        <x:f>IF(O83="","",(1/'Metadata'!$B$5)^(O83-1))</x:f>
        <x:v>1698.243652461746</x:v>
      </x:c>
      <x:c r="U83" s="31" t="n">
        <x:f>IF(T83="","",I83*T83)</x:f>
        <x:v>6803040.625948356</x:v>
      </x:c>
    </x:row>
    <x:row r="84" ht="18" customHeight="1">
      <x:c r="A84" s="24" t="str">
        <x:v>LME_047</x:v>
      </x:c>
      <x:c r="B84" s="24" t="str">
        <x:v>East China Sea</x:v>
      </x:c>
      <x:c r="C84" s="24" t="str">
        <x:v>LME</x:v>
      </x:c>
      <x:c r="D84" s="30" t="n">
        <x:v>2019</x:v>
      </x:c>
      <x:c r="E84" s="24" t="str">
        <x:v>Apostichopus japonicus</x:v>
      </x:c>
      <x:c r="F84" s="24" t="str">
        <x:v>Japanese sea cucumber</x:v>
      </x:c>
      <x:c r="G84" s="24" t="str">
        <x:v>Other demersal invertebrates</x:v>
      </x:c>
      <x:c r="H84" s="24" t="str">
        <x:v>Other fishes &amp; inverts</x:v>
      </x:c>
      <x:c r="I84" s="31" t="n">
        <x:v>3947.7166805174</x:v>
      </x:c>
      <x:c r="J84" s="31" t="n">
        <x:v>3946.8292586764</x:v>
      </x:c>
      <x:c r="K84" s="31" t="n">
        <x:v>0.887421841</x:v>
      </x:c>
      <x:c r="L84" s="31" t="n">
        <x:v>3946.8292586764</x:v>
      </x:c>
      <x:c r="M84" s="31" t="n">
        <x:v>0.887421841</x:v>
      </x:c>
      <x:c r="N84" s="24" t="str">
        <x:v>apostichopus japonicus</x:v>
      </x:c>
      <x:c r="O84" s="32" t="n">
        <x:v>2.3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Apostichopus japonicus</x:v>
      </x:c>
      <x:c r="T84" s="32" t="n">
        <x:f>IF(O84="","",(1/'Metadata'!$B$5)^(O84-1))</x:f>
        <x:v>19.952623149688787</x:v>
      </x:c>
      <x:c r="U84" s="31" t="n">
        <x:f>IF(T84="","",I84*T84)</x:f>
        <x:v>78767.30322810405</x:v>
      </x:c>
    </x:row>
    <x:row r="85" ht="18" customHeight="1">
      <x:c r="A85" s="24" t="str">
        <x:v>LME_047</x:v>
      </x:c>
      <x:c r="B85" s="24" t="str">
        <x:v>East China Sea</x:v>
      </x:c>
      <x:c r="C85" s="24" t="str">
        <x:v>LME</x:v>
      </x:c>
      <x:c r="D85" s="30" t="n">
        <x:v>2019</x:v>
      </x:c>
      <x:c r="E85" s="24" t="str">
        <x:v>Kyphosidae</x:v>
      </x:c>
      <x:c r="F85" s="24" t="str">
        <x:v>Sea chubs, knifefishes, niblers</x:v>
      </x:c>
      <x:c r="G85" s="24" t="str">
        <x:v>Medium reef assoc. fish (30 - 89 cm)</x:v>
      </x:c>
      <x:c r="H85" s="24" t="str">
        <x:v>Perch-likes</x:v>
      </x:c>
      <x:c r="I85" s="31" t="n">
        <x:v>3849.8733103784</x:v>
      </x:c>
      <x:c r="J85" s="31" t="n">
        <x:v>3849.8733103784</x:v>
      </x:c>
      <x:c r="K85" s="31" t="n">
        <x:v>0</x:v>
      </x:c>
      <x:c r="L85" s="31" t="n">
        <x:v>0</x:v>
      </x:c>
      <x:c r="M85" s="31" t="n">
        <x:v>3849.8733103784</x:v>
      </x:c>
      <x:c r="N85" s="24" t="str">
        <x:v>kyphosidae</x:v>
      </x:c>
      <x:c r="O85" s="32" t="n">
        <x:v>2.19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Kyphosidae</x:v>
      </x:c>
      <x:c r="T85" s="32" t="n">
        <x:f>IF(O85="","",(1/'Metadata'!$B$5)^(O85-1))</x:f>
        <x:v>15.488166189124811</x:v>
      </x:c>
      <x:c r="U85" s="31" t="n">
        <x:f>IF(T85="","",I85*T85)</x:f>
        <x:v>59627.47763821675</x:v>
      </x:c>
    </x:row>
    <x:row r="86" ht="18" customHeight="1">
      <x:c r="A86" s="24" t="str">
        <x:v>LME_047</x:v>
      </x:c>
      <x:c r="B86" s="24" t="str">
        <x:v>East China Sea</x:v>
      </x:c>
      <x:c r="C86" s="24" t="str">
        <x:v>LME</x:v>
      </x:c>
      <x:c r="D86" s="30" t="n">
        <x:v>2019</x:v>
      </x:c>
      <x:c r="E86" s="24" t="str">
        <x:v>Priacanthus</x:v>
      </x:c>
      <x:c r="F86" s="24" t="str">
        <x:v>Bigeyes</x:v>
      </x:c>
      <x:c r="G86" s="24" t="str">
        <x:v>Medium reef assoc. fish (30 - 89 cm)</x:v>
      </x:c>
      <x:c r="H86" s="24" t="str">
        <x:v>Perch-likes</x:v>
      </x:c>
      <x:c r="I86" s="31" t="n">
        <x:v>3732.0364401168</x:v>
      </x:c>
      <x:c r="J86" s="31" t="n">
        <x:v>3732.0364401168</x:v>
      </x:c>
      <x:c r="K86" s="31" t="n">
        <x:v>0</x:v>
      </x:c>
      <x:c r="L86" s="31" t="n">
        <x:v>962.218342685</x:v>
      </x:c>
      <x:c r="M86" s="31" t="n">
        <x:v>2769.8180974317997</x:v>
      </x:c>
      <x:c r="N86" s="24" t="str">
        <x:v>priacanthus</x:v>
      </x:c>
      <x:c r="O86" s="32" t="n">
        <x:v>3.81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Priacanthus</x:v>
      </x:c>
      <x:c r="T86" s="32" t="n">
        <x:f>IF(O86="","",(1/'Metadata'!$B$5)^(O86-1))</x:f>
        <x:v>645.6542290346556</x:v>
      </x:c>
      <x:c r="U86" s="31" t="n">
        <x:f>IF(T86="","",I86*T86)</x:f>
        <x:v>2409605.1104728533</x:v>
      </x:c>
    </x:row>
    <x:row r="87" ht="18" customHeight="1">
      <x:c r="A87" s="24" t="str">
        <x:v>LME_047</x:v>
      </x:c>
      <x:c r="B87" s="24" t="str">
        <x:v>East China Sea</x:v>
      </x:c>
      <x:c r="C87" s="24" t="str">
        <x:v>LME</x:v>
      </x:c>
      <x:c r="D87" s="30" t="n">
        <x:v>2019</x:v>
      </x:c>
      <x:c r="E87" s="24" t="str">
        <x:v>Oplegnathus fasciatus</x:v>
      </x:c>
      <x:c r="F87" s="24" t="str">
        <x:v>Barred knifejaw</x:v>
      </x:c>
      <x:c r="G87" s="24" t="str">
        <x:v>Medium reef assoc. fish (30 - 89 cm)</x:v>
      </x:c>
      <x:c r="H87" s="24" t="str">
        <x:v>Perch-likes</x:v>
      </x:c>
      <x:c r="I87" s="31" t="n">
        <x:v>3586.6654938439</x:v>
      </x:c>
      <x:c r="J87" s="31" t="n">
        <x:v>3586.6654938439</x:v>
      </x:c>
      <x:c r="K87" s="31" t="n">
        <x:v>0</x:v>
      </x:c>
      <x:c r="L87" s="31" t="n">
        <x:v>0</x:v>
      </x:c>
      <x:c r="M87" s="31" t="n">
        <x:v>3586.6654938439</x:v>
      </x:c>
      <x:c r="N87" s="24" t="str">
        <x:v>oplegnathus fasciatus</x:v>
      </x:c>
      <x:c r="O87" s="32" t="n">
        <x:v>3.55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Oplegnathus fasciatus</x:v>
      </x:c>
      <x:c r="T87" s="32" t="n">
        <x:f>IF(O87="","",(1/'Metadata'!$B$5)^(O87-1))</x:f>
        <x:v>354.8133892335753</x:v>
      </x:c>
      <x:c r="U87" s="31" t="n">
        <x:f>IF(T87="","",I87*T87)</x:f>
        <x:v>1272596.9399178694</x:v>
      </x:c>
    </x:row>
    <x:row r="88" ht="18" customHeight="1">
      <x:c r="A88" s="24" t="str">
        <x:v>LME_047</x:v>
      </x:c>
      <x:c r="B88" s="24" t="str">
        <x:v>East China Sea</x:v>
      </x:c>
      <x:c r="C88" s="24" t="str">
        <x:v>LME</x:v>
      </x:c>
      <x:c r="D88" s="30" t="n">
        <x:v>2019</x:v>
      </x:c>
      <x:c r="E88" s="24" t="str">
        <x:v>Mugilidae</x:v>
      </x:c>
      <x:c r="F88" s="24" t="str">
        <x:v>Mullets, grey mullets</x:v>
      </x:c>
      <x:c r="G88" s="24" t="str">
        <x:v>Medium reef assoc. fish (30 - 89 cm)</x:v>
      </x:c>
      <x:c r="H88" s="24" t="str">
        <x:v>Perch-likes</x:v>
      </x:c>
      <x:c r="I88" s="31" t="n">
        <x:v>3401.7376591078</x:v>
      </x:c>
      <x:c r="J88" s="31" t="n">
        <x:v>3401.7376591078</x:v>
      </x:c>
      <x:c r="K88" s="31" t="n">
        <x:v>0</x:v>
      </x:c>
      <x:c r="L88" s="31" t="n">
        <x:v>0</x:v>
      </x:c>
      <x:c r="M88" s="31" t="n">
        <x:v>3401.7376591078</x:v>
      </x:c>
      <x:c r="N88" s="24" t="str">
        <x:v>mugilidae</x:v>
      </x:c>
      <x:c r="O88" s="32" t="n">
        <x:v>2.53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Mugilidae</x:v>
      </x:c>
      <x:c r="T88" s="32" t="n">
        <x:f>IF(O88="","",(1/'Metadata'!$B$5)^(O88-1))</x:f>
        <x:v>33.88441561392024</x:v>
      </x:c>
      <x:c r="U88" s="31" t="n">
        <x:f>IF(T88="","",I88*T88)</x:f>
        <x:v>115265.89265073283</x:v>
      </x:c>
    </x:row>
    <x:row r="89" ht="18" customHeight="1">
      <x:c r="A89" s="24" t="str">
        <x:v>LME_047</x:v>
      </x:c>
      <x:c r="B89" s="24" t="str">
        <x:v>East China Sea</x:v>
      </x:c>
      <x:c r="C89" s="24" t="str">
        <x:v>LME</x:v>
      </x:c>
      <x:c r="D89" s="30" t="n">
        <x:v>2019</x:v>
      </x:c>
      <x:c r="E89" s="24" t="str">
        <x:v>Stephanolepis cirrhifer</x:v>
      </x:c>
      <x:c r="F89" s="24" t="str">
        <x:v>Threadsail filefish</x:v>
      </x:c>
      <x:c r="G89" s="24" t="str">
        <x:v>Small demersals (&lt;30 cm)</x:v>
      </x:c>
      <x:c r="H89" s="24" t="str">
        <x:v>Other fishes &amp; inverts</x:v>
      </x:c>
      <x:c r="I89" s="31" t="n">
        <x:v>3297.2996737461</x:v>
      </x:c>
      <x:c r="J89" s="31" t="n">
        <x:v>3284.8050558239</x:v>
      </x:c>
      <x:c r="K89" s="31" t="n">
        <x:v>12.4946179222</x:v>
      </x:c>
      <x:c r="L89" s="31" t="n">
        <x:v>3107.8522161274</x:v>
      </x:c>
      <x:c r="M89" s="31" t="n">
        <x:v>189.4474576187</x:v>
      </x:c>
      <x:c r="N89" s="24" t="str">
        <x:v>stephanolepis cirrhifer</x:v>
      </x:c>
      <x:c r="O89" s="32" t="n">
        <x:v>2.84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Stephanolepis cirrhifer</x:v>
      </x:c>
      <x:c r="T89" s="32" t="n">
        <x:f>IF(O89="","",(1/'Metadata'!$B$5)^(O89-1))</x:f>
        <x:v>69.18309709189363</x:v>
      </x:c>
      <x:c r="U89" s="31" t="n">
        <x:f>IF(T89="","",I89*T89)</x:f>
        <x:v>228117.40346984562</x:v>
      </x:c>
    </x:row>
    <x:row r="90" ht="18" customHeight="1">
      <x:c r="A90" s="24" t="str">
        <x:v>LME_047</x:v>
      </x:c>
      <x:c r="B90" s="24" t="str">
        <x:v>East China Sea</x:v>
      </x:c>
      <x:c r="C90" s="24" t="str">
        <x:v>LME</x:v>
      </x:c>
      <x:c r="D90" s="30" t="n">
        <x:v>2019</x:v>
      </x:c>
      <x:c r="E90" s="24" t="str">
        <x:v>Echinoidea</x:v>
      </x:c>
      <x:c r="F90" s="24" t="str">
        <x:v>Sea urchins, sea hedgehogs</x:v>
      </x:c>
      <x:c r="G90" s="24" t="str">
        <x:v>Other demersal invertebrates</x:v>
      </x:c>
      <x:c r="H90" s="24" t="str">
        <x:v>Other fishes &amp; inverts</x:v>
      </x:c>
      <x:c r="I90" s="31" t="n">
        <x:v>3141.0279720517997</x:v>
      </x:c>
      <x:c r="J90" s="31" t="n">
        <x:v>2937.9282765844</x:v>
      </x:c>
      <x:c r="K90" s="31" t="n">
        <x:v>203.09969546739998</x:v>
      </x:c>
      <x:c r="L90" s="31" t="n">
        <x:v>2937.8275106158</x:v>
      </x:c>
      <x:c r="M90" s="31" t="n">
        <x:v>203.20046143599998</x:v>
      </x:c>
      <x:c r="N90" s="24" t="str">
        <x:v>echinoidea</x:v>
      </x:c>
      <x:c r="O90" s="32" t="n">
        <x:v>2.51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Echinoidea</x:v>
      </x:c>
      <x:c r="T90" s="32" t="n">
        <x:f>IF(O90="","",(1/'Metadata'!$B$5)^(O90-1))</x:f>
        <x:v>32.35936569296281</x:v>
      </x:c>
      <x:c r="U90" s="31" t="n">
        <x:f>IF(T90="","",I90*T90)</x:f>
        <x:v>101641.67279944956</x:v>
      </x:c>
    </x:row>
    <x:row r="91" ht="18" customHeight="1">
      <x:c r="A91" s="24" t="str">
        <x:v>LME_047</x:v>
      </x:c>
      <x:c r="B91" s="24" t="str">
        <x:v>East China Sea</x:v>
      </x:c>
      <x:c r="C91" s="24" t="str">
        <x:v>LME</x:v>
      </x:c>
      <x:c r="D91" s="30" t="n">
        <x:v>2019</x:v>
      </x:c>
      <x:c r="E91" s="24" t="str">
        <x:v>Congridae</x:v>
      </x:c>
      <x:c r="F91" s="24" t="str">
        <x:v>Conger, garden eels</x:v>
      </x:c>
      <x:c r="G91" s="24" t="str">
        <x:v>Large demersals (&gt;=90 cm)</x:v>
      </x:c>
      <x:c r="H91" s="24" t="str">
        <x:v>Other fishes &amp; inverts</x:v>
      </x:c>
      <x:c r="I91" s="31" t="n">
        <x:v>2893.0826649074</x:v>
      </x:c>
      <x:c r="J91" s="31" t="n">
        <x:v>1798.6869390399</x:v>
      </x:c>
      <x:c r="K91" s="31" t="n">
        <x:v>1094.3957258675</x:v>
      </x:c>
      <x:c r="L91" s="31" t="n">
        <x:v>1389.348876813</x:v>
      </x:c>
      <x:c r="M91" s="31" t="n">
        <x:v>1503.7337880944</x:v>
      </x:c>
      <x:c r="N91" s="24" t="str">
        <x:v>congridae</x:v>
      </x:c>
      <x:c r="O91" s="32" t="n">
        <x:v>4.18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Congridae</x:v>
      </x:c>
      <x:c r="T91" s="32" t="n">
        <x:f>IF(O91="","",(1/'Metadata'!$B$5)^(O91-1))</x:f>
        <x:v>1513.5612484362073</x:v>
      </x:c>
      <x:c r="U91" s="31" t="n">
        <x:f>IF(T91="","",I91*T91)</x:f>
        <x:v>4378857.810126394</x:v>
      </x:c>
    </x:row>
    <x:row r="92" ht="18" customHeight="1">
      <x:c r="A92" s="24" t="str">
        <x:v>LME_047</x:v>
      </x:c>
      <x:c r="B92" s="24" t="str">
        <x:v>East China Sea</x:v>
      </x:c>
      <x:c r="C92" s="24" t="str">
        <x:v>LME</x:v>
      </x:c>
      <x:c r="D92" s="30" t="n">
        <x:v>2019</x:v>
      </x:c>
      <x:c r="E92" s="24" t="str">
        <x:v>Clupea pallasii</x:v>
      </x:c>
      <x:c r="F92" s="24" t="str">
        <x:v>Pacific herring</x:v>
      </x:c>
      <x:c r="G92" s="24" t="str">
        <x:v>Medium pelagics (30 - 89 cm)</x:v>
      </x:c>
      <x:c r="H92" s="24" t="str">
        <x:v>Herring-likes</x:v>
      </x:c>
      <x:c r="I92" s="31" t="n">
        <x:v>2780.1022240443</x:v>
      </x:c>
      <x:c r="J92" s="31" t="n">
        <x:v>2770.1581039545</x:v>
      </x:c>
      <x:c r="K92" s="31" t="n">
        <x:v>9.9441200898</x:v>
      </x:c>
      <x:c r="L92" s="31" t="n">
        <x:v>2770.1581039545</x:v>
      </x:c>
      <x:c r="M92" s="31" t="n">
        <x:v>9.9441200898</x:v>
      </x:c>
      <x:c r="N92" s="24" t="str">
        <x:v>clupea pallasii</x:v>
      </x:c>
      <x:c r="O92" s="32" t="n">
        <x:v>3.16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Clupea pallasii</x:v>
      </x:c>
      <x:c r="T92" s="32" t="n">
        <x:f>IF(O92="","",(1/'Metadata'!$B$5)^(O92-1))</x:f>
        <x:v>144.5439770745928</x:v>
      </x:c>
      <x:c r="U92" s="31" t="n">
        <x:f>IF(T92="","",I92*T92)</x:f>
        <x:v>401847.0321372837</x:v>
      </x:c>
    </x:row>
    <x:row r="93" ht="18" customHeight="1">
      <x:c r="A93" s="24" t="str">
        <x:v>LME_047</x:v>
      </x:c>
      <x:c r="B93" s="24" t="str">
        <x:v>East China Sea</x:v>
      </x:c>
      <x:c r="C93" s="24" t="str">
        <x:v>LME</x:v>
      </x:c>
      <x:c r="D93" s="30" t="n">
        <x:v>2019</x:v>
      </x:c>
      <x:c r="E93" s="24" t="str">
        <x:v>Elasmobranchii</x:v>
      </x:c>
      <x:c r="F93" s="24" t="str">
        <x:v>Sharks, rays, skates</x:v>
      </x:c>
      <x:c r="G93" s="24" t="str">
        <x:v>Large sharks (&gt;=90 cm)</x:v>
      </x:c>
      <x:c r="H93" s="24" t="str">
        <x:v>Sharks &amp; rays</x:v>
      </x:c>
      <x:c r="I93" s="31" t="n">
        <x:v>2627.9618089765</x:v>
      </x:c>
      <x:c r="J93" s="31" t="n">
        <x:v>2578.1111784162</x:v>
      </x:c>
      <x:c r="K93" s="31" t="n">
        <x:v>49.850630560300004</x:v>
      </x:c>
      <x:c r="L93" s="31" t="n">
        <x:v>2359.6065843030997</x:v>
      </x:c>
      <x:c r="M93" s="31" t="n">
        <x:v>268.35522467339996</x:v>
      </x:c>
      <x:c r="N93" s="24" t="str">
        <x:v>elasmobranchii</x:v>
      </x:c>
      <x:c r="O93" s="32" t="n">
        <x:v>4.05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Elasmobranchii</x:v>
      </x:c>
      <x:c r="T93" s="32" t="n">
        <x:f>IF(O93="","",(1/'Metadata'!$B$5)^(O93-1))</x:f>
        <x:v>1122.018454301963</x:v>
      </x:c>
      <x:c r="U93" s="31" t="n">
        <x:f>IF(T93="","",I93*T93)</x:f>
        <x:v>2948621.6468724026</x:v>
      </x:c>
    </x:row>
    <x:row r="94" ht="18" customHeight="1">
      <x:c r="A94" s="24" t="str">
        <x:v>LME_047</x:v>
      </x:c>
      <x:c r="B94" s="24" t="str">
        <x:v>East China Sea</x:v>
      </x:c>
      <x:c r="C94" s="24" t="str">
        <x:v>LME</x:v>
      </x:c>
      <x:c r="D94" s="30" t="n">
        <x:v>2019</x:v>
      </x:c>
      <x:c r="E94" s="24" t="str">
        <x:v>Menidae</x:v>
      </x:c>
      <x:c r="F94" s="24" t="str">
        <x:v>Moonfishes</x:v>
      </x:c>
      <x:c r="G94" s="24" t="str">
        <x:v>Medium reef assoc. fish (30 - 89 cm)</x:v>
      </x:c>
      <x:c r="H94" s="24" t="str">
        <x:v>Perch-likes</x:v>
      </x:c>
      <x:c r="I94" s="31" t="n">
        <x:v>2548.7230557686</x:v>
      </x:c>
      <x:c r="J94" s="31" t="n">
        <x:v>2544.8299256468</x:v>
      </x:c>
      <x:c r="K94" s="31" t="n">
        <x:v>3.8931301217999996</x:v>
      </x:c>
      <x:c r="L94" s="31" t="n">
        <x:v>2536.2429768077</x:v>
      </x:c>
      <x:c r="M94" s="31" t="n">
        <x:v>12.480078960899998</x:v>
      </x:c>
      <x:c r="N94" s="24" t="str">
        <x:v>menidae</x:v>
      </x:c>
      <x:c r="O94" s="32" t="n">
        <x:v>3.45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Menidae</x:v>
      </x:c>
      <x:c r="T94" s="32" t="n">
        <x:f>IF(O94="","",(1/'Metadata'!$B$5)^(O94-1))</x:f>
        <x:v>281.8382931264455</x:v>
      </x:c>
      <x:c r="U94" s="31" t="n">
        <x:f>IF(T94="","",I94*T94)</x:f>
        <x:v>718327.7556898405</x:v>
      </x:c>
    </x:row>
    <x:row r="95" ht="18" customHeight="1">
      <x:c r="A95" s="24" t="str">
        <x:v>LME_047</x:v>
      </x:c>
      <x:c r="B95" s="24" t="str">
        <x:v>East China Sea</x:v>
      </x:c>
      <x:c r="C95" s="24" t="str">
        <x:v>LME</x:v>
      </x:c>
      <x:c r="D95" s="30" t="n">
        <x:v>2019</x:v>
      </x:c>
      <x:c r="E95" s="24" t="str">
        <x:v>Platycephalus indicus</x:v>
      </x:c>
      <x:c r="F95" s="24" t="str">
        <x:v>Bartail flathead</x:v>
      </x:c>
      <x:c r="G95" s="24" t="str">
        <x:v>Medium demersals (30 - 89 cm)</x:v>
      </x:c>
      <x:c r="H95" s="24" t="str">
        <x:v>Scorpionfishes</x:v>
      </x:c>
      <x:c r="I95" s="31" t="n">
        <x:v>2538.0702985631</x:v>
      </x:c>
      <x:c r="J95" s="31" t="n">
        <x:v>1756.5636489294</x:v>
      </x:c>
      <x:c r="K95" s="31" t="n">
        <x:v>781.5066496337</x:v>
      </x:c>
      <x:c r="L95" s="31" t="n">
        <x:v>1756.1373510839999</x:v>
      </x:c>
      <x:c r="M95" s="31" t="n">
        <x:v>781.9329474791</x:v>
      </x:c>
      <x:c r="N95" s="24" t="str">
        <x:v>platycephalus indicus</x:v>
      </x:c>
      <x:c r="O95" s="32" t="n">
        <x:v>3.6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Platycephalus indicus</x:v>
      </x:c>
      <x:c r="T95" s="32" t="n">
        <x:f>IF(O95="","",(1/'Metadata'!$B$5)^(O95-1))</x:f>
        <x:v>398.1071705534973</x:v>
      </x:c>
      <x:c r="U95" s="31" t="n">
        <x:f>IF(T95="","",I95*T95)</x:f>
        <x:v>1010423.9852268259</x:v>
      </x:c>
    </x:row>
    <x:row r="96" ht="18" customHeight="1">
      <x:c r="A96" s="24" t="str">
        <x:v>LME_047</x:v>
      </x:c>
      <x:c r="B96" s="24" t="str">
        <x:v>East China Sea</x:v>
      </x:c>
      <x:c r="C96" s="24" t="str">
        <x:v>LME</x:v>
      </x:c>
      <x:c r="D96" s="30" t="n">
        <x:v>2019</x:v>
      </x:c>
      <x:c r="E96" s="24" t="str">
        <x:v>Carangidae</x:v>
      </x:c>
      <x:c r="F96" s="24" t="str">
        <x:v>Jacks, pompanos</x:v>
      </x:c>
      <x:c r="G96" s="24" t="str">
        <x:v>Medium pelagics (30 - 89 cm)</x:v>
      </x:c>
      <x:c r="H96" s="24" t="str">
        <x:v>Perch-likes</x:v>
      </x:c>
      <x:c r="I96" s="31" t="n">
        <x:v>2522.5308172046</x:v>
      </x:c>
      <x:c r="J96" s="31" t="n">
        <x:v>2521.7690151636</x:v>
      </x:c>
      <x:c r="K96" s="31" t="n">
        <x:v>0.7618020409999999</x:v>
      </x:c>
      <x:c r="L96" s="31" t="n">
        <x:v>752.6799217146</x:v>
      </x:c>
      <x:c r="M96" s="31" t="n">
        <x:v>1769.8508954899999</x:v>
      </x:c>
      <x:c r="N96" s="24" t="str">
        <x:v>carangidae</x:v>
      </x:c>
      <x:c r="O96" s="32" t="n">
        <x:v>4.05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Carangidae</x:v>
      </x:c>
      <x:c r="T96" s="32" t="n">
        <x:f>IF(O96="","",(1/'Metadata'!$B$5)^(O96-1))</x:f>
        <x:v>1122.018454301963</x:v>
      </x:c>
      <x:c r="U96" s="31" t="n">
        <x:f>IF(T96="","",I96*T96)</x:f>
        <x:v>2830326.128448973</x:v>
      </x:c>
    </x:row>
    <x:row r="97" ht="18" customHeight="1">
      <x:c r="A97" s="24" t="str">
        <x:v>LME_047</x:v>
      </x:c>
      <x:c r="B97" s="24" t="str">
        <x:v>East China Sea</x:v>
      </x:c>
      <x:c r="C97" s="24" t="str">
        <x:v>LME</x:v>
      </x:c>
      <x:c r="D97" s="30" t="n">
        <x:v>2019</x:v>
      </x:c>
      <x:c r="E97" s="24" t="str">
        <x:v>Paralichthyidae</x:v>
      </x:c>
      <x:c r="F97" s="24" t="str">
        <x:v>Largetooth flounders</x:v>
      </x:c>
      <x:c r="G97" s="24" t="str">
        <x:v>Small to medium flatfishes (&lt;90 cm)</x:v>
      </x:c>
      <x:c r="H97" s="24" t="str">
        <x:v>Flatfishes</x:v>
      </x:c>
      <x:c r="I97" s="31" t="n">
        <x:v>2427.7622914545</x:v>
      </x:c>
      <x:c r="J97" s="31" t="n">
        <x:v>1997.7453216581</x:v>
      </x:c>
      <x:c r="K97" s="31" t="n">
        <x:v>430.0169697964</x:v>
      </x:c>
      <x:c r="L97" s="31" t="n">
        <x:v>0</x:v>
      </x:c>
      <x:c r="M97" s="31" t="n">
        <x:v>2427.7622914545</x:v>
      </x:c>
      <x:c r="N97" s="24" t="str">
        <x:v>paralichthyidae</x:v>
      </x:c>
      <x:c r="O97" s="32" t="n">
        <x:v>4.06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Paralichthyidae</x:v>
      </x:c>
      <x:c r="T97" s="32" t="n">
        <x:f>IF(O97="","",(1/'Metadata'!$B$5)^(O97-1))</x:f>
        <x:v>1148.1536214968817</x:v>
      </x:c>
      <x:c r="U97" s="31" t="n">
        <x:f>IF(T97="","",I97*T97)</x:f>
        <x:v>2787444.0670670522</x:v>
      </x:c>
    </x:row>
    <x:row r="98" ht="18" customHeight="1">
      <x:c r="A98" s="24" t="str">
        <x:v>LME_047</x:v>
      </x:c>
      <x:c r="B98" s="24" t="str">
        <x:v>East China Sea</x:v>
      </x:c>
      <x:c r="C98" s="24" t="str">
        <x:v>LME</x:v>
      </x:c>
      <x:c r="D98" s="30" t="n">
        <x:v>2019</x:v>
      </x:c>
      <x:c r="E98" s="24" t="str">
        <x:v>Serranidae</x:v>
      </x:c>
      <x:c r="F98" s="24" t="str">
        <x:v>Basses, groupers, hinds</x:v>
      </x:c>
      <x:c r="G98" s="24" t="str">
        <x:v>Medium reef assoc. fish (30 - 89 cm)</x:v>
      </x:c>
      <x:c r="H98" s="24" t="str">
        <x:v>Perch-likes</x:v>
      </x:c>
      <x:c r="I98" s="31" t="n">
        <x:v>2402.350423839</x:v>
      </x:c>
      <x:c r="J98" s="31" t="n">
        <x:v>2398.0948342303</x:v>
      </x:c>
      <x:c r="K98" s="31" t="n">
        <x:v>4.255589608699999</x:v>
      </x:c>
      <x:c r="L98" s="31" t="n">
        <x:v>540.649580707</x:v>
      </x:c>
      <x:c r="M98" s="31" t="n">
        <x:v>1861.700843132</x:v>
      </x:c>
      <x:c r="N98" s="24" t="str">
        <x:v>serranidae</x:v>
      </x:c>
      <x:c r="O98" s="32" t="n">
        <x:v>3.98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Serranidae</x:v>
      </x:c>
      <x:c r="T98" s="32" t="n">
        <x:f>IF(O98="","",(1/'Metadata'!$B$5)^(O98-1))</x:f>
        <x:v>954.992586021436</x:v>
      </x:c>
      <x:c r="U98" s="31" t="n">
        <x:f>IF(T98="","",I98*T98)</x:f>
        <x:v>2294226.8437916995</x:v>
      </x:c>
    </x:row>
    <x:row r="99" ht="18" customHeight="1">
      <x:c r="A99" s="24" t="str">
        <x:v>LME_047</x:v>
      </x:c>
      <x:c r="B99" s="24" t="str">
        <x:v>East China Sea</x:v>
      </x:c>
      <x:c r="C99" s="24" t="str">
        <x:v>LME</x:v>
      </x:c>
      <x:c r="D99" s="30" t="n">
        <x:v>2019</x:v>
      </x:c>
      <x:c r="E99" s="24" t="str">
        <x:v>Auxis</x:v>
      </x:c>
      <x:c r="F99" s="24" t="str">
        <x:v>Bullet and frigate tunas</x:v>
      </x:c>
      <x:c r="G99" s="24" t="str">
        <x:v>Medium pelagics (30 - 89 cm)</x:v>
      </x:c>
      <x:c r="H99" s="24" t="str">
        <x:v>Tuna &amp; billfishes</x:v>
      </x:c>
      <x:c r="I99" s="31" t="n">
        <x:v>2370.2137909573</x:v>
      </x:c>
      <x:c r="J99" s="31" t="n">
        <x:v>2066.3178951281</x:v>
      </x:c>
      <x:c r="K99" s="31" t="n">
        <x:v>303.89589582919996</x:v>
      </x:c>
      <x:c r="L99" s="31" t="n">
        <x:v>1706.6092234513</x:v>
      </x:c>
      <x:c r="M99" s="31" t="n">
        <x:v>663.604567506</x:v>
      </x:c>
      <x:c r="N99" s="24" t="str">
        <x:v>auxis</x:v>
      </x:c>
      <x:c r="O99" s="32" t="n">
        <x:v>4.24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Auxis</x:v>
      </x:c>
      <x:c r="T99" s="32" t="n">
        <x:f>IF(O99="","",(1/'Metadata'!$B$5)^(O99-1))</x:f>
        <x:v>1737.8008287493763</x:v>
      </x:c>
      <x:c r="U99" s="31" t="n">
        <x:f>IF(T99="","",I99*T99)</x:f>
        <x:v>4118959.4902387965</x:v>
      </x:c>
    </x:row>
    <x:row r="100" ht="18" customHeight="1">
      <x:c r="A100" s="24" t="str">
        <x:v>LME_047</x:v>
      </x:c>
      <x:c r="B100" s="24" t="str">
        <x:v>East China Sea</x:v>
      </x:c>
      <x:c r="C100" s="24" t="str">
        <x:v>LME</x:v>
      </x:c>
      <x:c r="D100" s="30" t="n">
        <x:v>2019</x:v>
      </x:c>
      <x:c r="E100" s="24" t="str">
        <x:v>Muraenesocidae</x:v>
      </x:c>
      <x:c r="F100" s="24" t="str">
        <x:v>Pike congers</x:v>
      </x:c>
      <x:c r="G100" s="24" t="str">
        <x:v>Large demersals (&gt;=90 cm)</x:v>
      </x:c>
      <x:c r="H100" s="24" t="str">
        <x:v>Other fishes &amp; inverts</x:v>
      </x:c>
      <x:c r="I100" s="31" t="n">
        <x:v>2152.6465249164</x:v>
      </x:c>
      <x:c r="J100" s="31" t="n">
        <x:v>2152.6465249164</x:v>
      </x:c>
      <x:c r="K100" s="31" t="n">
        <x:v>0</x:v>
      </x:c>
      <x:c r="L100" s="31" t="n">
        <x:v>555.8828245525</x:v>
      </x:c>
      <x:c r="M100" s="31" t="n">
        <x:v>1596.7637003639</x:v>
      </x:c>
      <x:c r="N100" s="24" t="str">
        <x:v>muraenesocidae</x:v>
      </x:c>
      <x:c r="O100" s="32" t="n">
        <x:v>3.9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Muraenesocidae</x:v>
      </x:c>
      <x:c r="T100" s="32" t="n">
        <x:f>IF(O100="","",(1/'Metadata'!$B$5)^(O100-1))</x:f>
        <x:v>794.3282347242813</x:v>
      </x:c>
      <x:c r="U100" s="31" t="n">
        <x:f>IF(T100="","",I100*T100)</x:f>
        <x:v>1709907.9141222024</x:v>
      </x:c>
    </x:row>
    <x:row r="101" ht="18" customHeight="1">
      <x:c r="A101" s="24" t="str">
        <x:v>LME_047</x:v>
      </x:c>
      <x:c r="B101" s="24" t="str">
        <x:v>East China Sea</x:v>
      </x:c>
      <x:c r="C101" s="24" t="str">
        <x:v>LME</x:v>
      </x:c>
      <x:c r="D101" s="30" t="n">
        <x:v>2019</x:v>
      </x:c>
      <x:c r="E101" s="24" t="str">
        <x:v>Sardinella zunasi</x:v>
      </x:c>
      <x:c r="F101" s="24" t="str">
        <x:v>Japanese sardinella</x:v>
      </x:c>
      <x:c r="G101" s="24" t="str">
        <x:v>Small pelagics (&lt;30 cm)</x:v>
      </x:c>
      <x:c r="H101" s="24" t="str">
        <x:v>Herring-likes</x:v>
      </x:c>
      <x:c r="I101" s="31" t="n">
        <x:v>2140.6734137958</x:v>
      </x:c>
      <x:c r="J101" s="31" t="n">
        <x:v>2134.796736821</x:v>
      </x:c>
      <x:c r="K101" s="31" t="n">
        <x:v>5.8766769748000005</x:v>
      </x:c>
      <x:c r="L101" s="31" t="n">
        <x:v>2134.5538422545</x:v>
      </x:c>
      <x:c r="M101" s="31" t="n">
        <x:v>6.1195715413</x:v>
      </x:c>
      <x:c r="N101" s="24" t="str">
        <x:v>sardinella zunasi</x:v>
      </x:c>
      <x:c r="O101" s="32" t="n">
        <x:v>3.12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Sardinella zunasi</x:v>
      </x:c>
      <x:c r="T101" s="32" t="n">
        <x:f>IF(O101="","",(1/'Metadata'!$B$5)^(O101-1))</x:f>
        <x:v>131.82567385564073</x:v>
      </x:c>
      <x:c r="U101" s="31" t="n">
        <x:f>IF(T101="","",I101*T101)</x:f>
        <x:v>282195.7152784862</x:v>
      </x:c>
    </x:row>
    <x:row r="102" ht="18" customHeight="1">
      <x:c r="A102" s="24" t="str">
        <x:v>LME_047</x:v>
      </x:c>
      <x:c r="B102" s="24" t="str">
        <x:v>East China Sea</x:v>
      </x:c>
      <x:c r="C102" s="24" t="str">
        <x:v>LME</x:v>
      </x:c>
      <x:c r="D102" s="30" t="n">
        <x:v>2019</x:v>
      </x:c>
      <x:c r="E102" s="24" t="str">
        <x:v>Sebastidae</x:v>
      </x:c>
      <x:c r="F102" s="24" t="str">
        <x:v>Rockfishes, rockcods, thornyheads</x:v>
      </x:c>
      <x:c r="G102" s="24" t="str">
        <x:v>Medium demersals (30 - 89 cm)</x:v>
      </x:c>
      <x:c r="H102" s="24" t="str">
        <x:v>Scorpionfishes</x:v>
      </x:c>
      <x:c r="I102" s="31" t="n">
        <x:v>2115.5921285186</x:v>
      </x:c>
      <x:c r="J102" s="31" t="n">
        <x:v>2115.5921285186</x:v>
      </x:c>
      <x:c r="K102" s="31" t="n">
        <x:v>0</x:v>
      </x:c>
      <x:c r="L102" s="31" t="n">
        <x:v>333.7767991087</x:v>
      </x:c>
      <x:c r="M102" s="31" t="n">
        <x:v>1781.8153294099</x:v>
      </x:c>
      <x:c r="N102" s="24" t="str">
        <x:v>sebastidae</x:v>
      </x:c>
      <x:c r="O102" s="32" t="n">
        <x:v>3.74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Sebastidae</x:v>
      </x:c>
      <x:c r="T102" s="32" t="n">
        <x:f>IF(O102="","",(1/'Metadata'!$B$5)^(O102-1))</x:f>
        <x:v>549.5408738576248</x:v>
      </x:c>
      <x:c r="U102" s="31" t="n">
        <x:f>IF(T102="","",I102*T102)</x:f>
        <x:v>1162604.3470324238</x:v>
      </x:c>
    </x:row>
    <x:row r="103" ht="18" customHeight="1">
      <x:c r="A103" s="24" t="str">
        <x:v>LME_047</x:v>
      </x:c>
      <x:c r="B103" s="24" t="str">
        <x:v>East China Sea</x:v>
      </x:c>
      <x:c r="C103" s="24" t="str">
        <x:v>LME</x:v>
      </x:c>
      <x:c r="D103" s="30" t="n">
        <x:v>2019</x:v>
      </x:c>
      <x:c r="E103" s="24" t="str">
        <x:v>Thunnus obesus</x:v>
      </x:c>
      <x:c r="F103" s="24" t="str">
        <x:v>Bigeye tuna</x:v>
      </x:c>
      <x:c r="G103" s="24" t="str">
        <x:v>Large pelagics (&gt;=90 cm)</x:v>
      </x:c>
      <x:c r="H103" s="24" t="str">
        <x:v>Tuna &amp; billfishes</x:v>
      </x:c>
      <x:c r="I103" s="31" t="n">
        <x:v>2090.6083425618003</x:v>
      </x:c>
      <x:c r="J103" s="31" t="n">
        <x:v>2090.3058660604</x:v>
      </x:c>
      <x:c r="K103" s="31" t="n">
        <x:v>0.3024765014</x:v>
      </x:c>
      <x:c r="L103" s="31" t="n">
        <x:v>2090.3058660604</x:v>
      </x:c>
      <x:c r="M103" s="31" t="n">
        <x:v>0.3024765014</x:v>
      </x:c>
      <x:c r="N103" s="24" t="str">
        <x:v>thunnus obesus</x:v>
      </x:c>
      <x:c r="O103" s="32" t="n">
        <x:v>4.49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Thunnus obesus</x:v>
      </x:c>
      <x:c r="T103" s="32" t="n">
        <x:f>IF(O103="","",(1/'Metadata'!$B$5)^(O103-1))</x:f>
        <x:v>3090.295432513592</x:v>
      </x:c>
      <x:c r="U103" s="31" t="n">
        <x:f>IF(T103="","",I103*T103)</x:f>
        <x:v>6460597.412193542</x:v>
      </x:c>
    </x:row>
    <x:row r="104" ht="18" customHeight="1">
      <x:c r="A104" s="24" t="str">
        <x:v>LME_047</x:v>
      </x:c>
      <x:c r="B104" s="24" t="str">
        <x:v>East China Sea</x:v>
      </x:c>
      <x:c r="C104" s="24" t="str">
        <x:v>LME</x:v>
      </x:c>
      <x:c r="D104" s="30" t="n">
        <x:v>2019</x:v>
      </x:c>
      <x:c r="E104" s="24" t="str">
        <x:v>Scorpaenidae</x:v>
      </x:c>
      <x:c r="F104" s="24" t="str">
        <x:v>Scorpionfishes, rockfishes</x:v>
      </x:c>
      <x:c r="G104" s="24" t="str">
        <x:v>Large reef assoc. fish (&gt;=90 cm)</x:v>
      </x:c>
      <x:c r="H104" s="24" t="str">
        <x:v>Scorpionfishes</x:v>
      </x:c>
      <x:c r="I104" s="31" t="n">
        <x:v>2014.0289126793</x:v>
      </x:c>
      <x:c r="J104" s="31" t="n">
        <x:v>2014.0289126793</x:v>
      </x:c>
      <x:c r="K104" s="31" t="n">
        <x:v>0</x:v>
      </x:c>
      <x:c r="L104" s="31" t="n">
        <x:v>2014.0289126793</x:v>
      </x:c>
      <x:c r="M104" s="31" t="n">
        <x:v>0</x:v>
      </x:c>
      <x:c r="N104" s="24" t="str">
        <x:v>scorpaenidae</x:v>
      </x:c>
      <x:c r="O104" s="32" t="n">
        <x:v>3.92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Scorpaenidae</x:v>
      </x:c>
      <x:c r="T104" s="32" t="n">
        <x:f>IF(O104="","",(1/'Metadata'!$B$5)^(O104-1))</x:f>
        <x:v>831.7637711026708</x:v>
      </x:c>
      <x:c r="U104" s="31" t="n">
        <x:f>IF(T104="","",I104*T104)</x:f>
        <x:v>1675196.2835199463</x:v>
      </x:c>
    </x:row>
    <x:row r="105" ht="18" customHeight="1">
      <x:c r="A105" s="24" t="str">
        <x:v>LME_047</x:v>
      </x:c>
      <x:c r="B105" s="24" t="str">
        <x:v>East China Sea</x:v>
      </x:c>
      <x:c r="C105" s="24" t="str">
        <x:v>LME</x:v>
      </x:c>
      <x:c r="D105" s="30" t="n">
        <x:v>2019</x:v>
      </x:c>
      <x:c r="E105" s="24" t="str">
        <x:v>Chelidonichthys kumu</x:v>
      </x:c>
      <x:c r="F105" s="24" t="str">
        <x:v>Bluefin gurnard</x:v>
      </x:c>
      <x:c r="G105" s="24" t="str">
        <x:v>Medium demersals (30 - 89 cm)</x:v>
      </x:c>
      <x:c r="H105" s="24" t="str">
        <x:v>Scorpionfishes</x:v>
      </x:c>
      <x:c r="I105" s="31" t="n">
        <x:v>2012.5286839441999</x:v>
      </x:c>
      <x:c r="J105" s="31" t="n">
        <x:v>2010.039201012</x:v>
      </x:c>
      <x:c r="K105" s="31" t="n">
        <x:v>2.4894829322</x:v>
      </x:c>
      <x:c r="L105" s="31" t="n">
        <x:v>2008.4609659943999</x:v>
      </x:c>
      <x:c r="M105" s="31" t="n">
        <x:v>4.0677179498</x:v>
      </x:c>
      <x:c r="N105" s="24" t="str">
        <x:v>chelidonichthys kumu</x:v>
      </x:c>
      <x:c r="O105" s="32" t="n">
        <x:v>3.68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Chelidonichthys kumu</x:v>
      </x:c>
      <x:c r="T105" s="32" t="n">
        <x:f>IF(O105="","",(1/'Metadata'!$B$5)^(O105-1))</x:f>
        <x:v>478.6300923226385</x:v>
      </x:c>
      <x:c r="U105" s="31" t="n">
        <x:f>IF(T105="","",I105*T105)</x:f>
        <x:v>963256.7897981706</x:v>
      </x:c>
    </x:row>
    <x:row r="106" ht="18" customHeight="1">
      <x:c r="A106" s="24" t="str">
        <x:v>LME_047</x:v>
      </x:c>
      <x:c r="B106" s="24" t="str">
        <x:v>East China Sea</x:v>
      </x:c>
      <x:c r="C106" s="24" t="str">
        <x:v>LME</x:v>
      </x:c>
      <x:c r="D106" s="30" t="n">
        <x:v>2019</x:v>
      </x:c>
      <x:c r="E106" s="24" t="str">
        <x:v>Thunnus orientalis</x:v>
      </x:c>
      <x:c r="F106" s="24" t="str">
        <x:v>Pacific bluefin tuna</x:v>
      </x:c>
      <x:c r="G106" s="24" t="str">
        <x:v>Large pelagics (&gt;=90 cm)</x:v>
      </x:c>
      <x:c r="H106" s="24" t="str">
        <x:v>Tuna &amp; billfishes</x:v>
      </x:c>
      <x:c r="I106" s="31" t="n">
        <x:v>1860.6373401042</x:v>
      </x:c>
      <x:c r="J106" s="31" t="n">
        <x:v>1833.4556703430999</x:v>
      </x:c>
      <x:c r="K106" s="31" t="n">
        <x:v>27.181669761099997</x:v>
      </x:c>
      <x:c r="L106" s="31" t="n">
        <x:v>1833.4556703430999</x:v>
      </x:c>
      <x:c r="M106" s="31" t="n">
        <x:v>27.181669761099997</x:v>
      </x:c>
      <x:c r="N106" s="24" t="str">
        <x:v>thunnus orientalis</x:v>
      </x:c>
      <x:c r="O106" s="32" t="n">
        <x:v>4.05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Thunnus orientalis</x:v>
      </x:c>
      <x:c r="T106" s="32" t="n">
        <x:f>IF(O106="","",(1/'Metadata'!$B$5)^(O106-1))</x:f>
        <x:v>1122.018454301963</x:v>
      </x:c>
      <x:c r="U106" s="31" t="n">
        <x:f>IF(T106="","",I106*T106)</x:f>
        <x:v>2087669.43236023</x:v>
      </x:c>
    </x:row>
    <x:row r="107" ht="18" customHeight="1">
      <x:c r="A107" s="24" t="str">
        <x:v>LME_047</x:v>
      </x:c>
      <x:c r="B107" s="24" t="str">
        <x:v>East China Sea</x:v>
      </x:c>
      <x:c r="C107" s="24" t="str">
        <x:v>LME</x:v>
      </x:c>
      <x:c r="D107" s="30" t="n">
        <x:v>2019</x:v>
      </x:c>
      <x:c r="E107" s="24" t="str">
        <x:v>Trachurus</x:v>
      </x:c>
      <x:c r="F107" s="24" t="str">
        <x:v>Jacks, horse mackerels</x:v>
      </x:c>
      <x:c r="G107" s="24" t="str">
        <x:v>Medium pelagics (30 - 89 cm)</x:v>
      </x:c>
      <x:c r="H107" s="24" t="str">
        <x:v>Perch-likes</x:v>
      </x:c>
      <x:c r="I107" s="31" t="n">
        <x:v>1736.1208305624</x:v>
      </x:c>
      <x:c r="J107" s="31" t="n">
        <x:v>1736.1208305624</x:v>
      </x:c>
      <x:c r="K107" s="31" t="n">
        <x:v>0</x:v>
      </x:c>
      <x:c r="L107" s="31" t="n">
        <x:v>1736.1208305624</x:v>
      </x:c>
      <x:c r="M107" s="31" t="n">
        <x:v>0</x:v>
      </x:c>
      <x:c r="N107" s="24" t="str">
        <x:v>trachurus</x:v>
      </x:c>
      <x:c r="O107" s="32" t="n">
        <x:v>3.69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Trachurus</x:v>
      </x:c>
      <x:c r="T107" s="32" t="n">
        <x:f>IF(O107="","",(1/'Metadata'!$B$5)^(O107-1))</x:f>
        <x:v>489.77881936844614</x:v>
      </x:c>
      <x:c r="U107" s="31" t="n">
        <x:f>IF(T107="","",I107*T107)</x:f>
        <x:v>850315.2106738184</x:v>
      </x:c>
    </x:row>
    <x:row r="108" ht="18" customHeight="1">
      <x:c r="A108" s="24" t="str">
        <x:v>LME_047</x:v>
      </x:c>
      <x:c r="B108" s="24" t="str">
        <x:v>East China Sea</x:v>
      </x:c>
      <x:c r="C108" s="24" t="str">
        <x:v>LME</x:v>
      </x:c>
      <x:c r="D108" s="30" t="n">
        <x:v>2019</x:v>
      </x:c>
      <x:c r="E108" s="24" t="str">
        <x:v>Konosirus punctatus</x:v>
      </x:c>
      <x:c r="F108" s="24" t="str">
        <x:v>Dotted gizzard shad</x:v>
      </x:c>
      <x:c r="G108" s="24" t="str">
        <x:v>Small pelagics (&lt;30 cm)</x:v>
      </x:c>
      <x:c r="H108" s="24" t="str">
        <x:v>Herring-likes</x:v>
      </x:c>
      <x:c r="I108" s="31" t="n">
        <x:v>1649.4679704283</x:v>
      </x:c>
      <x:c r="J108" s="31" t="n">
        <x:v>1614.4730440321</x:v>
      </x:c>
      <x:c r="K108" s="31" t="n">
        <x:v>34.9949263962</x:v>
      </x:c>
      <x:c r="L108" s="31" t="n">
        <x:v>1614.4730440321</x:v>
      </x:c>
      <x:c r="M108" s="31" t="n">
        <x:v>34.9949263962</x:v>
      </x:c>
      <x:c r="N108" s="24" t="str">
        <x:v>konosirus punctatus</x:v>
      </x:c>
      <x:c r="O108" s="32" t="n">
        <x:v>2.87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Konosirus punctatus</x:v>
      </x:c>
      <x:c r="T108" s="32" t="n">
        <x:f>IF(O108="","",(1/'Metadata'!$B$5)^(O108-1))</x:f>
        <x:v>74.13102413009177</x:v>
      </x:c>
      <x:c r="U108" s="31" t="n">
        <x:f>IF(T108="","",I108*T108)</x:f>
        <x:v>122276.74991763382</x:v>
      </x:c>
    </x:row>
    <x:row r="109" ht="18" customHeight="1">
      <x:c r="A109" s="24" t="str">
        <x:v>LME_047</x:v>
      </x:c>
      <x:c r="B109" s="24" t="str">
        <x:v>East China Sea</x:v>
      </x:c>
      <x:c r="C109" s="24" t="str">
        <x:v>LME</x:v>
      </x:c>
      <x:c r="D109" s="30" t="n">
        <x:v>2019</x:v>
      </x:c>
      <x:c r="E109" s="24" t="str">
        <x:v>Exocoetidae</x:v>
      </x:c>
      <x:c r="F109" s="24" t="str">
        <x:v>Flyingfishes</x:v>
      </x:c>
      <x:c r="G109" s="24" t="str">
        <x:v>Small pelagics (&lt;30 cm)</x:v>
      </x:c>
      <x:c r="H109" s="24" t="str">
        <x:v>Other fishes &amp; inverts</x:v>
      </x:c>
      <x:c r="I109" s="31" t="n">
        <x:v>1637.3054406177</x:v>
      </x:c>
      <x:c r="J109" s="31" t="n">
        <x:v>1394.6075788353</x:v>
      </x:c>
      <x:c r="K109" s="31" t="n">
        <x:v>242.6978617824</x:v>
      </x:c>
      <x:c r="L109" s="31" t="n">
        <x:v>1381.5199812429</x:v>
      </x:c>
      <x:c r="M109" s="31" t="n">
        <x:v>255.78545937479998</x:v>
      </x:c>
      <x:c r="N109" s="24" t="str">
        <x:v>exocoetidae</x:v>
      </x:c>
      <x:c r="O109" s="32" t="n">
        <x:v>3.57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Exocoetidae</x:v>
      </x:c>
      <x:c r="T109" s="32" t="n">
        <x:f>IF(O109="","",(1/'Metadata'!$B$5)^(O109-1))</x:f>
        <x:v>371.5352290971724</x:v>
      </x:c>
      <x:c r="U109" s="31" t="n">
        <x:f>IF(T109="","",I109*T109)</x:f>
        <x:v>608316.651981944</x:v>
      </x:c>
    </x:row>
    <x:row r="110" ht="18" customHeight="1">
      <x:c r="A110" s="24" t="str">
        <x:v>LME_047</x:v>
      </x:c>
      <x:c r="B110" s="24" t="str">
        <x:v>East China Sea</x:v>
      </x:c>
      <x:c r="C110" s="24" t="str">
        <x:v>LME</x:v>
      </x:c>
      <x:c r="D110" s="30" t="n">
        <x:v>2019</x:v>
      </x:c>
      <x:c r="E110" s="24" t="str">
        <x:v>Niphon spinosus</x:v>
      </x:c>
      <x:c r="F110" s="24" t="str">
        <x:v>Ara</x:v>
      </x:c>
      <x:c r="G110" s="24" t="str">
        <x:v>Medium demersals (30 - 89 cm)</x:v>
      </x:c>
      <x:c r="H110" s="24" t="str">
        <x:v>Perch-likes</x:v>
      </x:c>
      <x:c r="I110" s="31" t="n">
        <x:v>1626.5606142113</x:v>
      </x:c>
      <x:c r="J110" s="31" t="n">
        <x:v>1626.5606142113</x:v>
      </x:c>
      <x:c r="K110" s="31" t="n">
        <x:v>0</x:v>
      </x:c>
      <x:c r="L110" s="31" t="n">
        <x:v>0</x:v>
      </x:c>
      <x:c r="M110" s="31" t="n">
        <x:v>1626.5606142113</x:v>
      </x:c>
      <x:c r="N110" s="24" t="str">
        <x:v>niphon spinosus</x:v>
      </x:c>
      <x:c r="O110" s="32" t="n">
        <x:v>4.5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Niphon spinosus</x:v>
      </x:c>
      <x:c r="T110" s="32" t="n">
        <x:f>IF(O110="","",(1/'Metadata'!$B$5)^(O110-1))</x:f>
        <x:v>3162.2776601683795</x:v>
      </x:c>
      <x:c r="U110" s="31" t="n">
        <x:f>IF(T110="","",I110*T110)</x:f>
        <x:v>5143636.293230152</x:v>
      </x:c>
    </x:row>
    <x:row r="111" ht="18" customHeight="1">
      <x:c r="A111" s="24" t="str">
        <x:v>LME_047</x:v>
      </x:c>
      <x:c r="B111" s="24" t="str">
        <x:v>East China Sea</x:v>
      </x:c>
      <x:c r="C111" s="24" t="str">
        <x:v>LME</x:v>
      </x:c>
      <x:c r="D111" s="30" t="n">
        <x:v>2019</x:v>
      </x:c>
      <x:c r="E111" s="24" t="str">
        <x:v>Mytilus coruscus</x:v>
      </x:c>
      <x:c r="F111" s="24" t="str">
        <x:v>Korean mussel</x:v>
      </x:c>
      <x:c r="G111" s="24" t="str">
        <x:v>Other demersal invertebrates</x:v>
      </x:c>
      <x:c r="H111" s="24" t="str">
        <x:v>Molluscs</x:v>
      </x:c>
      <x:c r="I111" s="31" t="n">
        <x:v>1624.2778211111001</x:v>
      </x:c>
      <x:c r="J111" s="31" t="n">
        <x:v>1619.8005776015</x:v>
      </x:c>
      <x:c r="K111" s="31" t="n">
        <x:v>4.4772435096</x:v>
      </x:c>
      <x:c r="L111" s="31" t="n">
        <x:v>1619.8005776015</x:v>
      </x:c>
      <x:c r="M111" s="31" t="n">
        <x:v>4.4772435096</x:v>
      </x:c>
      <x:c r="N111" s="24" t="str">
        <x:v>mytilus coruscus</x:v>
      </x:c>
      <x:c r="O111" s="32" t="n">
        <x:v>2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Mytilus coruscus</x:v>
      </x:c>
      <x:c r="T111" s="32" t="n">
        <x:f>IF(O111="","",(1/'Metadata'!$B$5)^(O111-1))</x:f>
        <x:v>10</x:v>
      </x:c>
      <x:c r="U111" s="31" t="n">
        <x:f>IF(T111="","",I111*T111)</x:f>
        <x:v>16242.778211111001</x:v>
      </x:c>
    </x:row>
    <x:row r="112" ht="18" customHeight="1">
      <x:c r="A112" s="24" t="str">
        <x:v>LME_047</x:v>
      </x:c>
      <x:c r="B112" s="24" t="str">
        <x:v>East China Sea</x:v>
      </x:c>
      <x:c r="C112" s="24" t="str">
        <x:v>LME</x:v>
      </x:c>
      <x:c r="D112" s="30" t="n">
        <x:v>2019</x:v>
      </x:c>
      <x:c r="E112" s="24" t="str">
        <x:v>Coryphaena</x:v>
      </x:c>
      <x:c r="F112" s="24" t="str">
        <x:v>Dolphinfishes</x:v>
      </x:c>
      <x:c r="G112" s="24" t="str">
        <x:v>Large pelagics (&gt;=90 cm)</x:v>
      </x:c>
      <x:c r="H112" s="24" t="str">
        <x:v>Perch-likes</x:v>
      </x:c>
      <x:c r="I112" s="31" t="n">
        <x:v>1599.6196330944</x:v>
      </x:c>
      <x:c r="J112" s="31" t="n">
        <x:v>1418.823821303</x:v>
      </x:c>
      <x:c r="K112" s="31" t="n">
        <x:v>180.7958117914</x:v>
      </x:c>
      <x:c r="L112" s="31" t="n">
        <x:v>1261.8947617526999</x:v>
      </x:c>
      <x:c r="M112" s="31" t="n">
        <x:v>337.7248713417</x:v>
      </x:c>
      <x:c r="N112" s="24" t="str">
        <x:v>coryphaena</x:v>
      </x:c>
      <x:c r="O112" s="32" t="n">
        <x:v>4.49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Coryphaena</x:v>
      </x:c>
      <x:c r="T112" s="32" t="n">
        <x:f>IF(O112="","",(1/'Metadata'!$B$5)^(O112-1))</x:f>
        <x:v>3090.295432513592</x:v>
      </x:c>
      <x:c r="U112" s="31" t="n">
        <x:f>IF(T112="","",I112*T112)</x:f>
        <x:v>4943297.245910692</x:v>
      </x:c>
    </x:row>
    <x:row r="113" ht="18" customHeight="1">
      <x:c r="A113" s="24" t="str">
        <x:v>LME_047</x:v>
      </x:c>
      <x:c r="B113" s="24" t="str">
        <x:v>East China Sea</x:v>
      </x:c>
      <x:c r="C113" s="24" t="str">
        <x:v>LME</x:v>
      </x:c>
      <x:c r="D113" s="30" t="n">
        <x:v>2019</x:v>
      </x:c>
      <x:c r="E113" s="24" t="str">
        <x:v>Trichiuridae</x:v>
      </x:c>
      <x:c r="F113" s="24" t="str">
        <x:v>Cutlassfishes</x:v>
      </x:c>
      <x:c r="G113" s="24" t="str">
        <x:v>Large benthopelagics (&gt;=90 cm)</x:v>
      </x:c>
      <x:c r="H113" s="24" t="str">
        <x:v>Perch-likes</x:v>
      </x:c>
      <x:c r="I113" s="31" t="n">
        <x:v>1441.7597277431998</x:v>
      </x:c>
      <x:c r="J113" s="31" t="n">
        <x:v>1441.7597277431998</x:v>
      </x:c>
      <x:c r="K113" s="31" t="n">
        <x:v>0</x:v>
      </x:c>
      <x:c r="L113" s="31" t="n">
        <x:v>368.3508556134</x:v>
      </x:c>
      <x:c r="M113" s="31" t="n">
        <x:v>1073.4088721297999</x:v>
      </x:c>
      <x:c r="N113" s="24" t="str">
        <x:v>trichiuridae</x:v>
      </x:c>
      <x:c r="O113" s="32" t="n">
        <x:v>4.15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Trichiuridae</x:v>
      </x:c>
      <x:c r="T113" s="32" t="n">
        <x:f>IF(O113="","",(1/'Metadata'!$B$5)^(O113-1))</x:f>
        <x:v>1412.5375446227554</x:v>
      </x:c>
      <x:c r="U113" s="31" t="n">
        <x:f>IF(T113="","",I113*T113)</x:f>
        <x:v>2036539.745762352</x:v>
      </x:c>
    </x:row>
    <x:row r="114" ht="18" customHeight="1">
      <x:c r="A114" s="24" t="str">
        <x:v>LME_047</x:v>
      </x:c>
      <x:c r="B114" s="24" t="str">
        <x:v>East China Sea</x:v>
      </x:c>
      <x:c r="C114" s="24" t="str">
        <x:v>LME</x:v>
      </x:c>
      <x:c r="D114" s="30" t="n">
        <x:v>2019</x:v>
      </x:c>
      <x:c r="E114" s="24" t="str">
        <x:v>Pleurogrammus azonus</x:v>
      </x:c>
      <x:c r="F114" s="24" t="str">
        <x:v>Okhotsk atka mackerel</x:v>
      </x:c>
      <x:c r="G114" s="24" t="str">
        <x:v>Medium demersals (30 - 89 cm)</x:v>
      </x:c>
      <x:c r="H114" s="24" t="str">
        <x:v>Scorpionfishes</x:v>
      </x:c>
      <x:c r="I114" s="31" t="n">
        <x:v>1395.0972473711</x:v>
      </x:c>
      <x:c r="J114" s="31" t="n">
        <x:v>1062.9673618874</x:v>
      </x:c>
      <x:c r="K114" s="31" t="n">
        <x:v>332.1298854837</x:v>
      </x:c>
      <x:c r="L114" s="31" t="n">
        <x:v>1062.9673618874</x:v>
      </x:c>
      <x:c r="M114" s="31" t="n">
        <x:v>332.1298854837</x:v>
      </x:c>
      <x:c r="N114" s="24" t="str">
        <x:v>pleurogrammus azonus</x:v>
      </x:c>
      <x:c r="O114" s="32" t="n">
        <x:v>3.6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Pleurogrammus azonus</x:v>
      </x:c>
      <x:c r="T114" s="32" t="n">
        <x:f>IF(O114="","",(1/'Metadata'!$B$5)^(O114-1))</x:f>
        <x:v>398.1071705534973</x:v>
      </x:c>
      <x:c r="U114" s="31" t="n">
        <x:f>IF(T114="","",I114*T114)</x:f>
        <x:v>555398.2177978811</x:v>
      </x:c>
    </x:row>
    <x:row r="115" ht="18" customHeight="1">
      <x:c r="A115" s="24" t="str">
        <x:v>LME_047</x:v>
      </x:c>
      <x:c r="B115" s="24" t="str">
        <x:v>East China Sea</x:v>
      </x:c>
      <x:c r="C115" s="24" t="str">
        <x:v>LME</x:v>
      </x:c>
      <x:c r="D115" s="30" t="n">
        <x:v>2019</x:v>
      </x:c>
      <x:c r="E115" s="24" t="str">
        <x:v>Haemulidae</x:v>
      </x:c>
      <x:c r="F115" s="24" t="str">
        <x:v>Grunts, sweetlips, bonnetmouths</x:v>
      </x:c>
      <x:c r="G115" s="24" t="str">
        <x:v>Medium demersals (30 - 89 cm)</x:v>
      </x:c>
      <x:c r="H115" s="24" t="str">
        <x:v>Perch-likes</x:v>
      </x:c>
      <x:c r="I115" s="31" t="n">
        <x:v>1390.1707184883999</x:v>
      </x:c>
      <x:c r="J115" s="31" t="n">
        <x:v>1390.1707184883999</x:v>
      </x:c>
      <x:c r="K115" s="31" t="n">
        <x:v>0</x:v>
      </x:c>
      <x:c r="L115" s="31" t="n">
        <x:v>997.0599133308</x:v>
      </x:c>
      <x:c r="M115" s="31" t="n">
        <x:v>393.1108051576</x:v>
      </x:c>
      <x:c r="N115" s="24" t="str">
        <x:v>haemulidae</x:v>
      </x:c>
      <x:c r="O115" s="32" t="n">
        <x:v>3.36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Haemulidae</x:v>
      </x:c>
      <x:c r="T115" s="32" t="n">
        <x:f>IF(O115="","",(1/'Metadata'!$B$5)^(O115-1))</x:f>
        <x:v>229.08676527677724</x:v>
      </x:c>
      <x:c r="U115" s="31" t="n">
        <x:f>IF(T115="","",I115*T115)</x:f>
        <x:v>318469.71308100084</x:v>
      </x:c>
    </x:row>
    <x:row r="116" ht="18" customHeight="1">
      <x:c r="A116" s="24" t="str">
        <x:v>LME_047</x:v>
      </x:c>
      <x:c r="B116" s="24" t="str">
        <x:v>East China Sea</x:v>
      </x:c>
      <x:c r="C116" s="24" t="str">
        <x:v>LME</x:v>
      </x:c>
      <x:c r="D116" s="30" t="n">
        <x:v>2019</x:v>
      </x:c>
      <x:c r="E116" s="24" t="str">
        <x:v>Mene maculata</x:v>
      </x:c>
      <x:c r="F116" s="24" t="str">
        <x:v>Moonfish</x:v>
      </x:c>
      <x:c r="G116" s="24" t="str">
        <x:v>Medium reef assoc. fish (30 - 89 cm)</x:v>
      </x:c>
      <x:c r="H116" s="24" t="str">
        <x:v>Perch-likes</x:v>
      </x:c>
      <x:c r="I116" s="31" t="n">
        <x:v>1258.2618423903</x:v>
      </x:c>
      <x:c r="J116" s="31" t="n">
        <x:v>1134.4700827085</x:v>
      </x:c>
      <x:c r="K116" s="31" t="n">
        <x:v>123.7917596818</x:v>
      </x:c>
      <x:c r="L116" s="31" t="n">
        <x:v>463.5371872788</x:v>
      </x:c>
      <x:c r="M116" s="31" t="n">
        <x:v>794.7246551114999</x:v>
      </x:c>
      <x:c r="N116" s="24" t="str">
        <x:v>mene maculata</x:v>
      </x:c>
      <x:c r="O116" s="32" t="n">
        <x:v>3.45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Mene maculata</x:v>
      </x:c>
      <x:c r="T116" s="32" t="n">
        <x:f>IF(O116="","",(1/'Metadata'!$B$5)^(O116-1))</x:f>
        <x:v>281.8382931264455</x:v>
      </x:c>
      <x:c r="U116" s="31" t="n">
        <x:f>IF(T116="","",I116*T116)</x:f>
        <x:v>354626.3699654187</x:v>
      </x:c>
    </x:row>
    <x:row r="117" ht="18" customHeight="1">
      <x:c r="A117" s="24" t="str">
        <x:v>LME_047</x:v>
      </x:c>
      <x:c r="B117" s="24" t="str">
        <x:v>East China Sea</x:v>
      </x:c>
      <x:c r="C117" s="24" t="str">
        <x:v>LME</x:v>
      </x:c>
      <x:c r="D117" s="30" t="n">
        <x:v>2019</x:v>
      </x:c>
      <x:c r="E117" s="24" t="str">
        <x:v>Scomberomorus guttatus</x:v>
      </x:c>
      <x:c r="F117" s="24" t="str">
        <x:v>Indo-Pacific king mackerel</x:v>
      </x:c>
      <x:c r="G117" s="24" t="str">
        <x:v>Medium pelagics (30 - 89 cm)</x:v>
      </x:c>
      <x:c r="H117" s="24" t="str">
        <x:v>Perch-likes</x:v>
      </x:c>
      <x:c r="I117" s="31" t="n">
        <x:v>1166.0358033215</x:v>
      </x:c>
      <x:c r="J117" s="31" t="n">
        <x:v>1165.4120112177</x:v>
      </x:c>
      <x:c r="K117" s="31" t="n">
        <x:v>0.6237921037999999</x:v>
      </x:c>
      <x:c r="L117" s="31" t="n">
        <x:v>403.95272528209995</x:v>
      </x:c>
      <x:c r="M117" s="31" t="n">
        <x:v>762.0830780393999</x:v>
      </x:c>
      <x:c r="N117" s="24" t="str">
        <x:v>scomberomorus guttatus</x:v>
      </x:c>
      <x:c r="O117" s="32" t="n">
        <x:v>4.28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Scomberomorus guttatus</x:v>
      </x:c>
      <x:c r="T117" s="32" t="n">
        <x:f>IF(O117="","",(1/'Metadata'!$B$5)^(O117-1))</x:f>
        <x:v>1905.4607179632483</x:v>
      </x:c>
      <x:c r="U117" s="31" t="n">
        <x:f>IF(T117="","",I117*T117)</x:f>
        <x:v>2221835.4189678384</x:v>
      </x:c>
    </x:row>
    <x:row r="118" ht="18" customHeight="1">
      <x:c r="A118" s="24" t="str">
        <x:v>LME_047</x:v>
      </x:c>
      <x:c r="B118" s="24" t="str">
        <x:v>East China Sea</x:v>
      </x:c>
      <x:c r="C118" s="24" t="str">
        <x:v>LME</x:v>
      </x:c>
      <x:c r="D118" s="30" t="n">
        <x:v>2019</x:v>
      </x:c>
      <x:c r="E118" s="24" t="str">
        <x:v>Pampus argenteus</x:v>
      </x:c>
      <x:c r="F118" s="24" t="str">
        <x:v>Silver pomfret</x:v>
      </x:c>
      <x:c r="G118" s="24" t="str">
        <x:v>Medium benthopelagics (30 - 89 cm)</x:v>
      </x:c>
      <x:c r="H118" s="24" t="str">
        <x:v>Perch-likes</x:v>
      </x:c>
      <x:c r="I118" s="31" t="n">
        <x:v>1165.2864861712</x:v>
      </x:c>
      <x:c r="J118" s="31" t="n">
        <x:v>269.00923441599997</x:v>
      </x:c>
      <x:c r="K118" s="31" t="n">
        <x:v>896.2772517552</x:v>
      </x:c>
      <x:c r="L118" s="31" t="n">
        <x:v>243.74372231459998</x:v>
      </x:c>
      <x:c r="M118" s="31" t="n">
        <x:v>921.5427638566</x:v>
      </x:c>
      <x:c r="N118" s="24" t="str">
        <x:v>pampus argenteus</x:v>
      </x:c>
      <x:c r="O118" s="32" t="n">
        <x:v>3.3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Pampus argenteus</x:v>
      </x:c>
      <x:c r="T118" s="32" t="n">
        <x:f>IF(O118="","",(1/'Metadata'!$B$5)^(O118-1))</x:f>
        <x:v>199.52623149688787</x:v>
      </x:c>
      <x:c r="U118" s="31" t="n">
        <x:f>IF(T118="","",I118*T118)</x:f>
        <x:v>232505.2211999899</x:v>
      </x:c>
    </x:row>
    <x:row r="119" ht="18" customHeight="1">
      <x:c r="A119" s="24" t="str">
        <x:v>LME_047</x:v>
      </x:c>
      <x:c r="B119" s="24" t="str">
        <x:v>East China Sea</x:v>
      </x:c>
      <x:c r="C119" s="24" t="str">
        <x:v>LME</x:v>
      </x:c>
      <x:c r="D119" s="30" t="n">
        <x:v>2019</x:v>
      </x:c>
      <x:c r="E119" s="24" t="str">
        <x:v>Xiphias gladius</x:v>
      </x:c>
      <x:c r="F119" s="24" t="str">
        <x:v>Swordfish</x:v>
      </x:c>
      <x:c r="G119" s="24" t="str">
        <x:v>Large pelagics (&gt;=90 cm)</x:v>
      </x:c>
      <x:c r="H119" s="24" t="str">
        <x:v>Tuna &amp; billfishes</x:v>
      </x:c>
      <x:c r="I119" s="31" t="n">
        <x:v>1151.0960575591</x:v>
      </x:c>
      <x:c r="J119" s="31" t="n">
        <x:v>1150.5425587148</x:v>
      </x:c>
      <x:c r="K119" s="31" t="n">
        <x:v>0.5534988443</x:v>
      </x:c>
      <x:c r="L119" s="31" t="n">
        <x:v>1150.5425587148</x:v>
      </x:c>
      <x:c r="M119" s="31" t="n">
        <x:v>0.5534988443</x:v>
      </x:c>
      <x:c r="N119" s="24" t="str">
        <x:v>xiphias gladius</x:v>
      </x:c>
      <x:c r="O119" s="32" t="n">
        <x:v>4.53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Xiphias gladius</x:v>
      </x:c>
      <x:c r="T119" s="32" t="n">
        <x:f>IF(O119="","",(1/'Metadata'!$B$5)^(O119-1))</x:f>
        <x:v>3388.4415613920273</x:v>
      </x:c>
      <x:c r="U119" s="31" t="n">
        <x:f>IF(T119="","",I119*T119)</x:f>
        <x:v>3900421.722587764</x:v>
      </x:c>
    </x:row>
    <x:row r="120" ht="18" customHeight="1">
      <x:c r="A120" s="24" t="str">
        <x:v>LME_047</x:v>
      </x:c>
      <x:c r="B120" s="24" t="str">
        <x:v>East China Sea</x:v>
      </x:c>
      <x:c r="C120" s="24" t="str">
        <x:v>LME</x:v>
      </x:c>
      <x:c r="D120" s="30" t="n">
        <x:v>2019</x:v>
      </x:c>
      <x:c r="E120" s="24" t="str">
        <x:v>Metapenaeus joyneri</x:v>
      </x:c>
      <x:c r="F120" s="24" t="str">
        <x:v>Shiba shrimp</x:v>
      </x:c>
      <x:c r="G120" s="24" t="str">
        <x:v>Shrimps</x:v>
      </x:c>
      <x:c r="H120" s="24" t="str">
        <x:v>Crustaceans</x:v>
      </x:c>
      <x:c r="I120" s="31" t="n">
        <x:v>1115.3452303677</x:v>
      </x:c>
      <x:c r="J120" s="31" t="n">
        <x:v>1114.7307135974</x:v>
      </x:c>
      <x:c r="K120" s="31" t="n">
        <x:v>0.6145167703</x:v>
      </x:c>
      <x:c r="L120" s="31" t="n">
        <x:v>1113.2995573458</x:v>
      </x:c>
      <x:c r="M120" s="31" t="n">
        <x:v>2.0456730219</x:v>
      </x:c>
      <x:c r="N120" s="24" t="str">
        <x:v>metapenaeus joyneri</x:v>
      </x:c>
      <x:c r="O120" s="32" t="n">
        <x:v>3.2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Metapenaeus joyneri</x:v>
      </x:c>
      <x:c r="T120" s="32" t="n">
        <x:f>IF(O120="","",(1/'Metadata'!$B$5)^(O120-1))</x:f>
        <x:v>158.48931924611142</x:v>
      </x:c>
      <x:c r="U120" s="31" t="n">
        <x:f>IF(T120="","",I120*T120)</x:f>
        <x:v>176770.3062853741</x:v>
      </x:c>
    </x:row>
    <x:row r="121" ht="18" customHeight="1">
      <x:c r="A121" s="24" t="str">
        <x:v>LME_047</x:v>
      </x:c>
      <x:c r="B121" s="24" t="str">
        <x:v>East China Sea</x:v>
      </x:c>
      <x:c r="C121" s="24" t="str">
        <x:v>LME</x:v>
      </x:c>
      <x:c r="D121" s="30" t="n">
        <x:v>2019</x:v>
      </x:c>
      <x:c r="E121" s="24" t="str">
        <x:v>Bathylagidae</x:v>
      </x:c>
      <x:c r="F121" s="24" t="str">
        <x:v>Deepsea smelts</x:v>
      </x:c>
      <x:c r="G121" s="24" t="str">
        <x:v>Small bathypelagics (&lt;30 cm)</x:v>
      </x:c>
      <x:c r="H121" s="24" t="str">
        <x:v>Salmon, smelts, etc</x:v>
      </x:c>
      <x:c r="I121" s="31" t="n">
        <x:v>1098.2277475731</x:v>
      </x:c>
      <x:c r="J121" s="31" t="n">
        <x:v>1069.6825868817</x:v>
      </x:c>
      <x:c r="K121" s="31" t="n">
        <x:v>28.5451606914</x:v>
      </x:c>
      <x:c r="L121" s="31" t="n">
        <x:v>1069.6825868817</x:v>
      </x:c>
      <x:c r="M121" s="31" t="n">
        <x:v>28.5451606914</x:v>
      </x:c>
      <x:c r="N121" s="24" t="str">
        <x:v>bathylagidae</x:v>
      </x:c>
      <x:c r="O121" s="32" t="n">
        <x:v>3.1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Bathylagidae</x:v>
      </x:c>
      <x:c r="T121" s="32" t="n">
        <x:f>IF(O121="","",(1/'Metadata'!$B$5)^(O121-1))</x:f>
        <x:v>125.89254117941675</x:v>
      </x:c>
      <x:c r="U121" s="31" t="n">
        <x:f>IF(T121="","",I121*T121)</x:f>
        <x:v>138258.6819357246</x:v>
      </x:c>
    </x:row>
    <x:row r="122" ht="18" customHeight="1">
      <x:c r="A122" s="24" t="str">
        <x:v>LME_047</x:v>
      </x:c>
      <x:c r="B122" s="24" t="str">
        <x:v>East China Sea</x:v>
      </x:c>
      <x:c r="C122" s="24" t="str">
        <x:v>LME</x:v>
      </x:c>
      <x:c r="D122" s="30" t="n">
        <x:v>2019</x:v>
      </x:c>
      <x:c r="E122" s="24" t="str">
        <x:v>Marine finfishes not identified</x:v>
      </x:c>
      <x:c r="F122" s="24" t="str">
        <x:v>Finfishes</x:v>
      </x:c>
      <x:c r="G122" s="24" t="str">
        <x:v>Medium demersals (30 - 89 cm)</x:v>
      </x:c>
      <x:c r="H122" s="24" t="str">
        <x:v>Other fishes &amp; inverts</x:v>
      </x:c>
      <x:c r="I122" s="31" t="n">
        <x:v>1021.8965808354001</x:v>
      </x:c>
      <x:c r="J122" s="31" t="n">
        <x:v>1021.8965808354001</x:v>
      </x:c>
      <x:c r="K122" s="31" t="n">
        <x:v>0</x:v>
      </x:c>
      <x:c r="L122" s="31" t="n">
        <x:v>1021.8965808354001</x:v>
      </x:c>
      <x:c r="M122" s="31" t="n">
        <x:v>0</x:v>
      </x:c>
      <x:c r="N122" s="24" t="str">
        <x:v>marine finfishes not identified</x:v>
      </x:c>
      <x:c r="O122" s="32" t="n">
        <x:v>3.23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Marine finfishes not identified</x:v>
      </x:c>
      <x:c r="T122" s="32" t="n">
        <x:f>IF(O122="","",(1/'Metadata'!$B$5)^(O122-1))</x:f>
        <x:v>169.82436524617444</x:v>
      </x:c>
      <x:c r="U122" s="31" t="n">
        <x:f>IF(T122="","",I122*T122)</x:f>
        <x:v>173542.9381876078</x:v>
      </x:c>
    </x:row>
    <x:row r="123" ht="18" customHeight="1">
      <x:c r="A123" s="24" t="str">
        <x:v>LME_047</x:v>
      </x:c>
      <x:c r="B123" s="24" t="str">
        <x:v>East China Sea</x:v>
      </x:c>
      <x:c r="C123" s="24" t="str">
        <x:v>LME</x:v>
      </x:c>
      <x:c r="D123" s="30" t="n">
        <x:v>2019</x:v>
      </x:c>
      <x:c r="E123" s="24" t="str">
        <x:v>Scyllaridae</x:v>
      </x:c>
      <x:c r="F123" s="24" t="str">
        <x:v>Slipper lobsters</x:v>
      </x:c>
      <x:c r="G123" s="24" t="str">
        <x:v>Lobsters, crabs</x:v>
      </x:c>
      <x:c r="H123" s="24" t="str">
        <x:v>Crustaceans</x:v>
      </x:c>
      <x:c r="I123" s="31" t="n">
        <x:v>977.5045018795</x:v>
      </x:c>
      <x:c r="J123" s="31" t="n">
        <x:v>947.2564156821</x:v>
      </x:c>
      <x:c r="K123" s="31" t="n">
        <x:v>30.2480861974</x:v>
      </x:c>
      <x:c r="L123" s="31" t="n">
        <x:v>947.2564156821</x:v>
      </x:c>
      <x:c r="M123" s="31" t="n">
        <x:v>30.2480861974</x:v>
      </x:c>
      <x:c r="N123" s="24" t="str">
        <x:v>scyllaridae</x:v>
      </x:c>
      <x:c r="O123" s="32" t="n">
        <x:v>2.87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Scyllaridae</x:v>
      </x:c>
      <x:c r="T123" s="32" t="n">
        <x:f>IF(O123="","",(1/'Metadata'!$B$5)^(O123-1))</x:f>
        <x:v>74.13102413009177</x:v>
      </x:c>
      <x:c r="U123" s="31" t="n">
        <x:f>IF(T123="","",I123*T123)</x:f>
        <x:v>72463.40981610256</x:v>
      </x:c>
    </x:row>
    <x:row r="124" ht="18" customHeight="1">
      <x:c r="A124" s="24" t="str">
        <x:v>LME_047</x:v>
      </x:c>
      <x:c r="B124" s="24" t="str">
        <x:v>East China Sea</x:v>
      </x:c>
      <x:c r="C124" s="24" t="str">
        <x:v>LME</x:v>
      </x:c>
      <x:c r="D124" s="30" t="n">
        <x:v>2019</x:v>
      </x:c>
      <x:c r="E124" s="24" t="str">
        <x:v>Chanos chanos</x:v>
      </x:c>
      <x:c r="F124" s="24" t="str">
        <x:v>Milkfish</x:v>
      </x:c>
      <x:c r="G124" s="24" t="str">
        <x:v>Large benthopelagics (&gt;=90 cm)</x:v>
      </x:c>
      <x:c r="H124" s="24" t="str">
        <x:v>Other fishes &amp; inverts</x:v>
      </x:c>
      <x:c r="I124" s="31" t="n">
        <x:v>957.7763704176</x:v>
      </x:c>
      <x:c r="J124" s="31" t="n">
        <x:v>957.7398905109</x:v>
      </x:c>
      <x:c r="K124" s="31" t="n">
        <x:v>0.0364799067</x:v>
      </x:c>
      <x:c r="L124" s="31" t="n">
        <x:v>9.8529718534</x:v>
      </x:c>
      <x:c r="M124" s="31" t="n">
        <x:v>947.9233985641999</x:v>
      </x:c>
      <x:c r="N124" s="24" t="str">
        <x:v>chanos chanos</x:v>
      </x:c>
      <x:c r="O124" s="32" t="n">
        <x:v>2.03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Chanos chanos</x:v>
      </x:c>
      <x:c r="T124" s="32" t="n">
        <x:f>IF(O124="","",(1/'Metadata'!$B$5)^(O124-1))</x:f>
        <x:v>10.71519305237606</x:v>
      </x:c>
      <x:c r="U124" s="31" t="n">
        <x:f>IF(T124="","",I124*T124)</x:f>
        <x:v>10262.758710028627</x:v>
      </x:c>
    </x:row>
    <x:row r="125" ht="18" customHeight="1">
      <x:c r="A125" s="24" t="str">
        <x:v>LME_047</x:v>
      </x:c>
      <x:c r="B125" s="24" t="str">
        <x:v>East China Sea</x:v>
      </x:c>
      <x:c r="C125" s="24" t="str">
        <x:v>LME</x:v>
      </x:c>
      <x:c r="D125" s="30" t="n">
        <x:v>2019</x:v>
      </x:c>
      <x:c r="E125" s="24" t="str">
        <x:v>Sebastes</x:v>
      </x:c>
      <x:c r="F125" s="24" t="str">
        <x:v>Redfishes</x:v>
      </x:c>
      <x:c r="G125" s="24" t="str">
        <x:v>Large reef assoc. fish (&gt;=90 cm)</x:v>
      </x:c>
      <x:c r="H125" s="24" t="str">
        <x:v>Scorpionfishes</x:v>
      </x:c>
      <x:c r="I125" s="31" t="n">
        <x:v>912.7349326402</x:v>
      </x:c>
      <x:c r="J125" s="31" t="n">
        <x:v>912.7349326402</x:v>
      </x:c>
      <x:c r="K125" s="31" t="n">
        <x:v>0</x:v>
      </x:c>
      <x:c r="L125" s="31" t="n">
        <x:v>0</x:v>
      </x:c>
      <x:c r="M125" s="31" t="n">
        <x:v>912.7349326402</x:v>
      </x:c>
      <x:c r="N125" s="24" t="str">
        <x:v>sebastes</x:v>
      </x:c>
      <x:c r="O125" s="32" t="n">
        <x:v>3.79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Sebastes</x:v>
      </x:c>
      <x:c r="T125" s="32" t="n">
        <x:f>IF(O125="","",(1/'Metadata'!$B$5)^(O125-1))</x:f>
        <x:v>616.5950018614822</x:v>
      </x:c>
      <x:c r="U125" s="31" t="n">
        <x:f>IF(T125="","",I125*T125)</x:f>
        <x:v>562787.7974903239</x:v>
      </x:c>
    </x:row>
    <x:row r="126" ht="18" customHeight="1">
      <x:c r="A126" s="24" t="str">
        <x:v>LME_047</x:v>
      </x:c>
      <x:c r="B126" s="24" t="str">
        <x:v>East China Sea</x:v>
      </x:c>
      <x:c r="C126" s="24" t="str">
        <x:v>LME</x:v>
      </x:c>
      <x:c r="D126" s="30" t="n">
        <x:v>2019</x:v>
      </x:c>
      <x:c r="E126" s="24" t="str">
        <x:v>Hyporhamphus sajori</x:v>
      </x:c>
      <x:c r="F126" s="24" t="str">
        <x:v>Japanese halfbeak</x:v>
      </x:c>
      <x:c r="G126" s="24" t="str">
        <x:v>Medium pelagics (30 - 89 cm)</x:v>
      </x:c>
      <x:c r="H126" s="24" t="str">
        <x:v>Other fishes &amp; inverts</x:v>
      </x:c>
      <x:c r="I126" s="31" t="n">
        <x:v>895.4142399708</x:v>
      </x:c>
      <x:c r="J126" s="31" t="n">
        <x:v>895.4142399708</x:v>
      </x:c>
      <x:c r="K126" s="31" t="n">
        <x:v>0</x:v>
      </x:c>
      <x:c r="L126" s="31" t="n">
        <x:v>892.1743845932</x:v>
      </x:c>
      <x:c r="M126" s="31" t="n">
        <x:v>3.2398553776</x:v>
      </x:c>
      <x:c r="N126" s="24" t="str">
        <x:v>hyporhamphus sajori</x:v>
      </x:c>
      <x:c r="O126" s="32" t="n">
        <x:v>3.4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Hyporhamphus sajori</x:v>
      </x:c>
      <x:c r="T126" s="32" t="n">
        <x:f>IF(O126="","",(1/'Metadata'!$B$5)^(O126-1))</x:f>
        <x:v>251.18864315095797</x:v>
      </x:c>
      <x:c r="U126" s="31" t="n">
        <x:f>IF(T126="","",I126*T126)</x:f>
        <x:v>224917.88799631153</x:v>
      </x:c>
    </x:row>
    <x:row r="127" ht="18" customHeight="1">
      <x:c r="A127" s="24" t="str">
        <x:v>LME_047</x:v>
      </x:c>
      <x:c r="B127" s="24" t="str">
        <x:v>East China Sea</x:v>
      </x:c>
      <x:c r="C127" s="24" t="str">
        <x:v>LME</x:v>
      </x:c>
      <x:c r="D127" s="30" t="n">
        <x:v>2019</x:v>
      </x:c>
      <x:c r="E127" s="24" t="str">
        <x:v>Penaeus japonicus</x:v>
      </x:c>
      <x:c r="F127" s="24" t="str">
        <x:v>Kuruma prawn</x:v>
      </x:c>
      <x:c r="G127" s="24" t="str">
        <x:v>Shrimps</x:v>
      </x:c>
      <x:c r="H127" s="24" t="str">
        <x:v>Crustaceans</x:v>
      </x:c>
      <x:c r="I127" s="31" t="n">
        <x:v>894.0743148399</x:v>
      </x:c>
      <x:c r="J127" s="31" t="n">
        <x:v>821.7394323501</x:v>
      </x:c>
      <x:c r="K127" s="31" t="n">
        <x:v>72.3348824898</x:v>
      </x:c>
      <x:c r="L127" s="31" t="n">
        <x:v>821.1801633809</x:v>
      </x:c>
      <x:c r="M127" s="31" t="n">
        <x:v>72.894151459</x:v>
      </x:c>
      <x:c r="N127" s="24" t="str">
        <x:v>penaeus japonicus</x:v>
      </x:c>
      <x:c r="O127" s="32" t="n">
        <x:v>2.7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Penaeus japonicus</x:v>
      </x:c>
      <x:c r="T127" s="32" t="n">
        <x:f>IF(O127="","",(1/'Metadata'!$B$5)^(O127-1))</x:f>
        <x:v>50.11872336272725</x:v>
      </x:c>
      <x:c r="U127" s="31" t="n">
        <x:f>IF(T127="","",I127*T127)</x:f>
        <x:v>44809.863251180854</x:v>
      </x:c>
    </x:row>
    <x:row r="128" ht="18" customHeight="1">
      <x:c r="A128" s="24" t="str">
        <x:v>LME_047</x:v>
      </x:c>
      <x:c r="B128" s="24" t="str">
        <x:v>East China Sea</x:v>
      </x:c>
      <x:c r="C128" s="24" t="str">
        <x:v>LME</x:v>
      </x:c>
      <x:c r="D128" s="30" t="n">
        <x:v>2019</x:v>
      </x:c>
      <x:c r="E128" s="24" t="str">
        <x:v>Lateolabracidae</x:v>
      </x:c>
      <x:c r="F128" s="24" t="str">
        <x:v>Asian seaperches</x:v>
      </x:c>
      <x:c r="G128" s="24" t="str">
        <x:v>Large demersals (&gt;=90 cm)</x:v>
      </x:c>
      <x:c r="H128" s="24" t="str">
        <x:v>Perch-likes</x:v>
      </x:c>
      <x:c r="I128" s="31" t="n">
        <x:v>889.3212752742</x:v>
      </x:c>
      <x:c r="J128" s="31" t="n">
        <x:v>889.3212752742</x:v>
      </x:c>
      <x:c r="K128" s="31" t="n">
        <x:v>0</x:v>
      </x:c>
      <x:c r="L128" s="31" t="n">
        <x:v>0</x:v>
      </x:c>
      <x:c r="M128" s="31" t="n">
        <x:v>889.3212752742</x:v>
      </x:c>
      <x:c r="N128" s="24" t="str">
        <x:v>lateolabracidae</x:v>
      </x:c>
      <x:c r="O128" s="32" t="n">
        <x:v>3.78</x:v>
      </x:c>
      <x:c r="P128" s="24" t="str">
        <x:v>exact_sea_around_us</x:v>
      </x:c>
      <x:c r="Q128" s="32" t="str">
        <x:v>Sea Around Us exploited organisms</x:v>
      </x:c>
      <x:c r="R128" s="24" t="str">
        <x:v>high</x:v>
      </x:c>
      <x:c r="S128" s="24" t="str">
        <x:v>Lateolabracidae</x:v>
      </x:c>
      <x:c r="T128" s="32" t="n">
        <x:f>IF(O128="","",(1/'Metadata'!$B$5)^(O128-1))</x:f>
        <x:v>602.5595860743575</x:v>
      </x:c>
      <x:c r="U128" s="31" t="n">
        <x:f>IF(T128="","",I128*T128)</x:f>
        <x:v>535869.0595163418</x:v>
      </x:c>
    </x:row>
    <x:row r="129" ht="18" customHeight="1">
      <x:c r="A129" s="24" t="str">
        <x:v>LME_047</x:v>
      </x:c>
      <x:c r="B129" s="24" t="str">
        <x:v>East China Sea</x:v>
      </x:c>
      <x:c r="C129" s="24" t="str">
        <x:v>LME</x:v>
      </x:c>
      <x:c r="D129" s="30" t="n">
        <x:v>2019</x:v>
      </x:c>
      <x:c r="E129" s="24" t="str">
        <x:v>Hemiramphidae</x:v>
      </x:c>
      <x:c r="F129" s="24" t="str">
        <x:v>Halfbeaks, garfishes</x:v>
      </x:c>
      <x:c r="G129" s="24" t="str">
        <x:v>Medium pelagics (30 - 89 cm)</x:v>
      </x:c>
      <x:c r="H129" s="24" t="str">
        <x:v>Other fishes &amp; inverts</x:v>
      </x:c>
      <x:c r="I129" s="31" t="n">
        <x:v>863.6740991045</x:v>
      </x:c>
      <x:c r="J129" s="31" t="n">
        <x:v>863.6740991045</x:v>
      </x:c>
      <x:c r="K129" s="31" t="n">
        <x:v>0</x:v>
      </x:c>
      <x:c r="L129" s="31" t="n">
        <x:v>0</x:v>
      </x:c>
      <x:c r="M129" s="31" t="n">
        <x:v>863.6740991045</x:v>
      </x:c>
      <x:c r="N129" s="24" t="str">
        <x:v>hemiramphidae</x:v>
      </x:c>
      <x:c r="O129" s="32" t="n">
        <x:v>2.82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Hemiramphidae</x:v>
      </x:c>
      <x:c r="T129" s="32" t="n">
        <x:f>IF(O129="","",(1/'Metadata'!$B$5)^(O129-1))</x:f>
        <x:v>66.06934480075958</x:v>
      </x:c>
      <x:c r="U129" s="31" t="n">
        <x:f>IF(T129="","",I129*T129)</x:f>
        <x:v>57062.38184922061</x:v>
      </x:c>
    </x:row>
    <x:row r="130" ht="18" customHeight="1">
      <x:c r="A130" s="24" t="str">
        <x:v>LME_047</x:v>
      </x:c>
      <x:c r="B130" s="24" t="str">
        <x:v>East China Sea</x:v>
      </x:c>
      <x:c r="C130" s="24" t="str">
        <x:v>LME</x:v>
      </x:c>
      <x:c r="D130" s="30" t="n">
        <x:v>2019</x:v>
      </x:c>
      <x:c r="E130" s="24" t="str">
        <x:v>Priacanthus macracanthus</x:v>
      </x:c>
      <x:c r="F130" s="24" t="str">
        <x:v>Red bigeye</x:v>
      </x:c>
      <x:c r="G130" s="24" t="str">
        <x:v>Medium reef assoc. fish (30 - 89 cm)</x:v>
      </x:c>
      <x:c r="H130" s="24" t="str">
        <x:v>Perch-likes</x:v>
      </x:c>
      <x:c r="I130" s="31" t="n">
        <x:v>824.5938469489</x:v>
      </x:c>
      <x:c r="J130" s="31" t="n">
        <x:v>754.6749483175</x:v>
      </x:c>
      <x:c r="K130" s="31" t="n">
        <x:v>69.9188986314</x:v>
      </x:c>
      <x:c r="L130" s="31" t="n">
        <x:v>753.7733444456001</x:v>
      </x:c>
      <x:c r="M130" s="31" t="n">
        <x:v>70.8205025033</x:v>
      </x:c>
      <x:c r="N130" s="24" t="str">
        <x:v>priacanthus macracanthus</x:v>
      </x:c>
      <x:c r="O130" s="32" t="n">
        <x:v>4.11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Priacanthus macracanthus</x:v>
      </x:c>
      <x:c r="T130" s="32" t="n">
        <x:f>IF(O130="","",(1/'Metadata'!$B$5)^(O130-1))</x:f>
        <x:v>1288.249551693135</x:v>
      </x:c>
      <x:c r="U130" s="31" t="n">
        <x:f>IF(T130="","",I130*T130)</x:f>
        <x:v>1062282.653660838</x:v>
      </x:c>
    </x:row>
    <x:row r="131" ht="18" customHeight="1">
      <x:c r="A131" s="24" t="str">
        <x:v>LME_047</x:v>
      </x:c>
      <x:c r="B131" s="24" t="str">
        <x:v>East China Sea</x:v>
      </x:c>
      <x:c r="C131" s="24" t="str">
        <x:v>LME</x:v>
      </x:c>
      <x:c r="D131" s="30" t="n">
        <x:v>2019</x:v>
      </x:c>
      <x:c r="E131" s="24" t="str">
        <x:v>Panulirus longipes</x:v>
      </x:c>
      <x:c r="F131" s="24" t="str">
        <x:v>Longlegged spiny lobster</x:v>
      </x:c>
      <x:c r="G131" s="24" t="str">
        <x:v>Lobsters, crabs</x:v>
      </x:c>
      <x:c r="H131" s="24" t="str">
        <x:v>Crustaceans</x:v>
      </x:c>
      <x:c r="I131" s="31" t="n">
        <x:v>822.5504722029</x:v>
      </x:c>
      <x:c r="J131" s="31" t="n">
        <x:v>650.570783477</x:v>
      </x:c>
      <x:c r="K131" s="31" t="n">
        <x:v>171.9796887259</x:v>
      </x:c>
      <x:c r="L131" s="31" t="n">
        <x:v>647.0206859673</x:v>
      </x:c>
      <x:c r="M131" s="31" t="n">
        <x:v>175.5297862356</x:v>
      </x:c>
      <x:c r="N131" s="24" t="str">
        <x:v>panulirus longipes</x:v>
      </x:c>
      <x:c r="O131" s="32" t="n">
        <x:v>2.6</x:v>
      </x:c>
      <x:c r="P131" s="24" t="str">
        <x:v>exact_sea_around_us</x:v>
      </x:c>
      <x:c r="Q131" s="32" t="str">
        <x:v>Sea Around Us exploited organisms</x:v>
      </x:c>
      <x:c r="R131" s="24" t="str">
        <x:v>high</x:v>
      </x:c>
      <x:c r="S131" s="24" t="str">
        <x:v>Panulirus longipes</x:v>
      </x:c>
      <x:c r="T131" s="32" t="n">
        <x:f>IF(O131="","",(1/'Metadata'!$B$5)^(O131-1))</x:f>
        <x:v>39.810717055349734</x:v>
      </x:c>
      <x:c r="U131" s="31" t="n">
        <x:f>IF(T131="","",I131*T131)</x:f>
        <x:v>32746.32411261397</x:v>
      </x:c>
    </x:row>
    <x:row r="132" ht="18" customHeight="1">
      <x:c r="A132" s="24" t="str">
        <x:v>LME_047</x:v>
      </x:c>
      <x:c r="B132" s="24" t="str">
        <x:v>East China Sea</x:v>
      </x:c>
      <x:c r="C132" s="24" t="str">
        <x:v>LME</x:v>
      </x:c>
      <x:c r="D132" s="30" t="n">
        <x:v>2019</x:v>
      </x:c>
      <x:c r="E132" s="24" t="str">
        <x:v>Arctoscopus japonicus</x:v>
      </x:c>
      <x:c r="F132" s="24" t="str">
        <x:v>Japanese sandfish</x:v>
      </x:c>
      <x:c r="G132" s="24" t="str">
        <x:v>Small bathydemersals (&lt;30 cm)</x:v>
      </x:c>
      <x:c r="H132" s="24" t="str">
        <x:v>Perch-likes</x:v>
      </x:c>
      <x:c r="I132" s="31" t="n">
        <x:v>821.8729190527</x:v>
      </x:c>
      <x:c r="J132" s="31" t="n">
        <x:v>762.0956129451</x:v>
      </x:c>
      <x:c r="K132" s="31" t="n">
        <x:v>59.777306107600005</x:v>
      </x:c>
      <x:c r="L132" s="31" t="n">
        <x:v>762.07438215</x:v>
      </x:c>
      <x:c r="M132" s="31" t="n">
        <x:v>59.79853690270001</x:v>
      </x:c>
      <x:c r="N132" s="24" t="str">
        <x:v>arctoscopus japonicus</x:v>
      </x:c>
      <x:c r="O132" s="32" t="n">
        <x:v>3.51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Arctoscopus japonicus</x:v>
      </x:c>
      <x:c r="T132" s="32" t="n">
        <x:f>IF(O132="","",(1/'Metadata'!$B$5)^(O132-1))</x:f>
        <x:v>323.5936569296281</x:v>
      </x:c>
      <x:c r="U132" s="31" t="n">
        <x:f>IF(T132="","",I132*T132)</x:f>
        <x:v>265952.8634076914</x:v>
      </x:c>
    </x:row>
    <x:row r="133" ht="18" customHeight="1">
      <x:c r="A133" s="24" t="str">
        <x:v>LME_047</x:v>
      </x:c>
      <x:c r="B133" s="24" t="str">
        <x:v>East China Sea</x:v>
      </x:c>
      <x:c r="C133" s="24" t="str">
        <x:v>LME</x:v>
      </x:c>
      <x:c r="D133" s="30" t="n">
        <x:v>2019</x:v>
      </x:c>
      <x:c r="E133" s="24" t="str">
        <x:v>Gadidae</x:v>
      </x:c>
      <x:c r="F133" s="24" t="str">
        <x:v>Cods, haddocks</x:v>
      </x:c>
      <x:c r="G133" s="24" t="str">
        <x:v>Medium demersals (30 - 89 cm)</x:v>
      </x:c>
      <x:c r="H133" s="24" t="str">
        <x:v>Cod-likes</x:v>
      </x:c>
      <x:c r="I133" s="31" t="n">
        <x:v>773.3401157284</x:v>
      </x:c>
      <x:c r="J133" s="31" t="n">
        <x:v>773.3401157284</x:v>
      </x:c>
      <x:c r="K133" s="31" t="n">
        <x:v>0</x:v>
      </x:c>
      <x:c r="L133" s="31" t="n">
        <x:v>0</x:v>
      </x:c>
      <x:c r="M133" s="31" t="n">
        <x:v>773.3401157284</x:v>
      </x:c>
      <x:c r="N133" s="24" t="str">
        <x:v>gadidae</x:v>
      </x:c>
      <x:c r="O133" s="32" t="n">
        <x:v>3.84</x:v>
      </x:c>
      <x:c r="P133" s="24" t="str">
        <x:v>exact_sea_around_us</x:v>
      </x:c>
      <x:c r="Q133" s="32" t="str">
        <x:v>Sea Around Us exploited organisms</x:v>
      </x:c>
      <x:c r="R133" s="24" t="str">
        <x:v>high</x:v>
      </x:c>
      <x:c r="S133" s="24" t="str">
        <x:v>Gadidae</x:v>
      </x:c>
      <x:c r="T133" s="32" t="n">
        <x:f>IF(O133="","",(1/'Metadata'!$B$5)^(O133-1))</x:f>
        <x:v>691.8309709189363</x:v>
      </x:c>
      <x:c r="U133" s="31" t="n">
        <x:f>IF(T133="","",I133*T133)</x:f>
        <x:v>535020.6431149414</x:v>
      </x:c>
    </x:row>
    <x:row r="134" ht="18" customHeight="1">
      <x:c r="A134" s="24" t="str">
        <x:v>LME_047</x:v>
      </x:c>
      <x:c r="B134" s="24" t="str">
        <x:v>East China Sea</x:v>
      </x:c>
      <x:c r="C134" s="24" t="str">
        <x:v>LME</x:v>
      </x:c>
      <x:c r="D134" s="30" t="n">
        <x:v>2019</x:v>
      </x:c>
      <x:c r="E134" s="24" t="str">
        <x:v>Scomberomorus commerson</x:v>
      </x:c>
      <x:c r="F134" s="24" t="str">
        <x:v>Narrow-barred Spanish mackerel</x:v>
      </x:c>
      <x:c r="G134" s="24" t="str">
        <x:v>Large pelagics (&gt;=90 cm)</x:v>
      </x:c>
      <x:c r="H134" s="24" t="str">
        <x:v>Perch-likes</x:v>
      </x:c>
      <x:c r="I134" s="31" t="n">
        <x:v>760.8844484603</x:v>
      </x:c>
      <x:c r="J134" s="31" t="n">
        <x:v>725.4385830735</x:v>
      </x:c>
      <x:c r="K134" s="31" t="n">
        <x:v>35.4458653868</x:v>
      </x:c>
      <x:c r="L134" s="31" t="n">
        <x:v>723.4406469314</x:v>
      </x:c>
      <x:c r="M134" s="31" t="n">
        <x:v>37.443801528899996</x:v>
      </x:c>
      <x:c r="N134" s="24" t="str">
        <x:v>scomberomorus commerson</x:v>
      </x:c>
      <x:c r="O134" s="32" t="n">
        <x:v>4.5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Scomberomorus commerson</x:v>
      </x:c>
      <x:c r="T134" s="32" t="n">
        <x:f>IF(O134="","",(1/'Metadata'!$B$5)^(O134-1))</x:f>
        <x:v>3162.2776601683795</x:v>
      </x:c>
      <x:c r="U134" s="31" t="n">
        <x:f>IF(T134="","",I134*T134)</x:f>
        <x:v>2406127.8933355454</x:v>
      </x:c>
    </x:row>
    <x:row r="135" ht="18" customHeight="1">
      <x:c r="A135" s="24" t="str">
        <x:v>LME_047</x:v>
      </x:c>
      <x:c r="B135" s="24" t="str">
        <x:v>East China Sea</x:v>
      </x:c>
      <x:c r="C135" s="24" t="str">
        <x:v>LME</x:v>
      </x:c>
      <x:c r="D135" s="30" t="n">
        <x:v>2019</x:v>
      </x:c>
      <x:c r="E135" s="24" t="str">
        <x:v>Synodontidae</x:v>
      </x:c>
      <x:c r="F135" s="24" t="str">
        <x:v>Lizardfishes, sauries</x:v>
      </x:c>
      <x:c r="G135" s="24" t="str">
        <x:v>Medium demersals (30 - 89 cm)</x:v>
      </x:c>
      <x:c r="H135" s="24" t="str">
        <x:v>Other fishes &amp; inverts</x:v>
      </x:c>
      <x:c r="I135" s="31" t="n">
        <x:v>752.227928529</x:v>
      </x:c>
      <x:c r="J135" s="31" t="n">
        <x:v>752.227928529</x:v>
      </x:c>
      <x:c r="K135" s="31" t="n">
        <x:v>0</x:v>
      </x:c>
      <x:c r="L135" s="31" t="n">
        <x:v>752.227928529</x:v>
      </x:c>
      <x:c r="M135" s="31" t="n">
        <x:v>0</x:v>
      </x:c>
      <x:c r="N135" s="24" t="str">
        <x:v>synodontidae</x:v>
      </x:c>
      <x:c r="O135" s="32" t="n">
        <x:v>4.3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Synodontidae</x:v>
      </x:c>
      <x:c r="T135" s="32" t="n">
        <x:f>IF(O135="","",(1/'Metadata'!$B$5)^(O135-1))</x:f>
        <x:v>1995.2623149688789</x:v>
      </x:c>
      <x:c r="U135" s="31" t="n">
        <x:f>IF(T135="","",I135*T135)</x:f>
        <x:v>1500892.038061017</x:v>
      </x:c>
    </x:row>
    <x:row r="136" ht="18" customHeight="1">
      <x:c r="A136" s="24" t="str">
        <x:v>LME_047</x:v>
      </x:c>
      <x:c r="B136" s="24" t="str">
        <x:v>East China Sea</x:v>
      </x:c>
      <x:c r="C136" s="24" t="str">
        <x:v>LME</x:v>
      </x:c>
      <x:c r="D136" s="30" t="n">
        <x:v>2019</x:v>
      </x:c>
      <x:c r="E136" s="24" t="str">
        <x:v>Penaeidae</x:v>
      </x:c>
      <x:c r="F136" s="24" t="str">
        <x:v>Commercial shrimps and prawns</x:v>
      </x:c>
      <x:c r="G136" s="24" t="str">
        <x:v>Shrimps</x:v>
      </x:c>
      <x:c r="H136" s="24" t="str">
        <x:v>Crustaceans</x:v>
      </x:c>
      <x:c r="I136" s="31" t="n">
        <x:v>752.0362844670999</x:v>
      </x:c>
      <x:c r="J136" s="31" t="n">
        <x:v>151.9498991981</x:v>
      </x:c>
      <x:c r="K136" s="31" t="n">
        <x:v>600.086385269</x:v>
      </x:c>
      <x:c r="L136" s="31" t="n">
        <x:v>150.3877363306</x:v>
      </x:c>
      <x:c r="M136" s="31" t="n">
        <x:v>601.6485481364999</x:v>
      </x:c>
      <x:c r="N136" s="24" t="str">
        <x:v>penaeidae</x:v>
      </x:c>
      <x:c r="O136" s="32" t="n">
        <x:v>3.31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Penaeidae</x:v>
      </x:c>
      <x:c r="T136" s="32" t="n">
        <x:f>IF(O136="","",(1/'Metadata'!$B$5)^(O136-1))</x:f>
        <x:v>204.17379446695296</x:v>
      </x:c>
      <x:c r="U136" s="31" t="n">
        <x:f>IF(T136="","",I136*T136)</x:f>
        <x:v>153546.10177647663</x:v>
      </x:c>
    </x:row>
    <x:row r="137" ht="18" customHeight="1">
      <x:c r="A137" s="24" t="str">
        <x:v>LME_047</x:v>
      </x:c>
      <x:c r="B137" s="24" t="str">
        <x:v>East China Sea</x:v>
      </x:c>
      <x:c r="C137" s="24" t="str">
        <x:v>LME</x:v>
      </x:c>
      <x:c r="D137" s="30" t="n">
        <x:v>2019</x:v>
      </x:c>
      <x:c r="E137" s="24" t="str">
        <x:v>Atrobucca nibe</x:v>
      </x:c>
      <x:c r="F137" s="24" t="str">
        <x:v>Blackmouth croaker</x:v>
      </x:c>
      <x:c r="G137" s="24" t="str">
        <x:v>Medium demersals (30 - 89 cm)</x:v>
      </x:c>
      <x:c r="H137" s="24" t="str">
        <x:v>Perch-likes</x:v>
      </x:c>
      <x:c r="I137" s="31" t="n">
        <x:v>739.210186478</x:v>
      </x:c>
      <x:c r="J137" s="31" t="n">
        <x:v>689.2760991397</x:v>
      </x:c>
      <x:c r="K137" s="31" t="n">
        <x:v>49.934087338299996</x:v>
      </x:c>
      <x:c r="L137" s="31" t="n">
        <x:v>554.3343400411</x:v>
      </x:c>
      <x:c r="M137" s="31" t="n">
        <x:v>184.8758464369</x:v>
      </x:c>
      <x:c r="N137" s="24" t="str">
        <x:v>atrobucca nibe</x:v>
      </x:c>
      <x:c r="O137" s="32" t="n">
        <x:v>3.03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Atrobucca nibe</x:v>
      </x:c>
      <x:c r="T137" s="32" t="n">
        <x:f>IF(O137="","",(1/'Metadata'!$B$5)^(O137-1))</x:f>
        <x:v>107.1519305237606</x:v>
      </x:c>
      <x:c r="U137" s="31" t="n">
        <x:f>IF(T137="","",I137*T137)</x:f>
        <x:v>79207.79854394677</x:v>
      </x:c>
    </x:row>
    <x:row r="138" ht="18" customHeight="1">
      <x:c r="A138" s="24" t="str">
        <x:v>LME_047</x:v>
      </x:c>
      <x:c r="B138" s="24" t="str">
        <x:v>East China Sea</x:v>
      </x:c>
      <x:c r="C138" s="24" t="str">
        <x:v>LME</x:v>
      </x:c>
      <x:c r="D138" s="30" t="n">
        <x:v>2019</x:v>
      </x:c>
      <x:c r="E138" s="24" t="str">
        <x:v>Nemipterus virgatus</x:v>
      </x:c>
      <x:c r="F138" s="24" t="str">
        <x:v>Golden threadfin bream</x:v>
      </x:c>
      <x:c r="G138" s="24" t="str">
        <x:v>Medium demersals (30 - 89 cm)</x:v>
      </x:c>
      <x:c r="H138" s="24" t="str">
        <x:v>Perch-likes</x:v>
      </x:c>
      <x:c r="I138" s="31" t="n">
        <x:v>730.7029266429</x:v>
      </x:c>
      <x:c r="J138" s="31" t="n">
        <x:v>654.0433661792</x:v>
      </x:c>
      <x:c r="K138" s="31" t="n">
        <x:v>76.6595604637</x:v>
      </x:c>
      <x:c r="L138" s="31" t="n">
        <x:v>653.7996071179</x:v>
      </x:c>
      <x:c r="M138" s="31" t="n">
        <x:v>76.903319525</x:v>
      </x:c>
      <x:c r="N138" s="24" t="str">
        <x:v>nemipterus virgatus</x:v>
      </x:c>
      <x:c r="O138" s="32" t="n">
        <x:v>3.99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Nemipterus virgatus</x:v>
      </x:c>
      <x:c r="T138" s="32" t="n">
        <x:f>IF(O138="","",(1/'Metadata'!$B$5)^(O138-1))</x:f>
        <x:v>977.2372209558112</x:v>
      </x:c>
      <x:c r="U138" s="31" t="n">
        <x:f>IF(T138="","",I138*T138)</x:f>
        <x:v>714070.0973767856</x:v>
      </x:c>
    </x:row>
    <x:row r="139" ht="18" customHeight="1">
      <x:c r="A139" s="24" t="str">
        <x:v>LME_047</x:v>
      </x:c>
      <x:c r="B139" s="24" t="str">
        <x:v>East China Sea</x:v>
      </x:c>
      <x:c r="C139" s="24" t="str">
        <x:v>LME</x:v>
      </x:c>
      <x:c r="D139" s="30" t="n">
        <x:v>2019</x:v>
      </x:c>
      <x:c r="E139" s="24" t="str">
        <x:v>Beryx</x:v>
      </x:c>
      <x:c r="F139" s="24" t="str">
        <x:v>Alfonsinos</x:v>
      </x:c>
      <x:c r="G139" s="24" t="str">
        <x:v>Medium benthopelagics (30 - 89 cm)</x:v>
      </x:c>
      <x:c r="H139" s="24" t="str">
        <x:v>Other fishes &amp; inverts</x:v>
      </x:c>
      <x:c r="I139" s="31" t="n">
        <x:v>712.2505249882</x:v>
      </x:c>
      <x:c r="J139" s="31" t="n">
        <x:v>712.2505249882</x:v>
      </x:c>
      <x:c r="K139" s="31" t="n">
        <x:v>0</x:v>
      </x:c>
      <x:c r="L139" s="31" t="n">
        <x:v>712.2505249882</x:v>
      </x:c>
      <x:c r="M139" s="31" t="n">
        <x:v>0</x:v>
      </x:c>
      <x:c r="N139" s="24" t="str">
        <x:v>beryx</x:v>
      </x:c>
      <x:c r="O139" s="32" t="n">
        <x:v>3.97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Beryx</x:v>
      </x:c>
      <x:c r="T139" s="32" t="n">
        <x:f>IF(O139="","",(1/'Metadata'!$B$5)^(O139-1))</x:f>
        <x:v>933.2543007969915</x:v>
      </x:c>
      <x:c r="U139" s="31" t="n">
        <x:f>IF(T139="","",I139*T139)</x:f>
        <x:v>664710.8656901527</x:v>
      </x:c>
    </x:row>
    <x:row r="140" ht="18" customHeight="1">
      <x:c r="A140" s="24" t="str">
        <x:v>LME_047</x:v>
      </x:c>
      <x:c r="B140" s="24" t="str">
        <x:v>East China Sea</x:v>
      </x:c>
      <x:c r="C140" s="24" t="str">
        <x:v>LME</x:v>
      </x:c>
      <x:c r="D140" s="30" t="n">
        <x:v>2019</x:v>
      </x:c>
      <x:c r="E140" s="24" t="str">
        <x:v>Pleuronectiformes</x:v>
      </x:c>
      <x:c r="F140" s="24" t="str">
        <x:v>Flatfishes</x:v>
      </x:c>
      <x:c r="G140" s="24" t="str">
        <x:v>Small to medium flatfishes (&lt;90 cm)</x:v>
      </x:c>
      <x:c r="H140" s="24" t="str">
        <x:v>Flatfishes</x:v>
      </x:c>
      <x:c r="I140" s="31" t="n">
        <x:v>683.2949912675999</x:v>
      </x:c>
      <x:c r="J140" s="31" t="n">
        <x:v>680.1274710714</x:v>
      </x:c>
      <x:c r="K140" s="31" t="n">
        <x:v>3.1675201962</x:v>
      </x:c>
      <x:c r="L140" s="31" t="n">
        <x:v>642.9702190298999</x:v>
      </x:c>
      <x:c r="M140" s="31" t="n">
        <x:v>40.3247722377</x:v>
      </x:c>
      <x:c r="N140" s="24" t="str">
        <x:v>pleuronectiformes</x:v>
      </x:c>
      <x:c r="O140" s="32" t="n">
        <x:v>3.57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Pleuronectiformes</x:v>
      </x:c>
      <x:c r="T140" s="32" t="n">
        <x:f>IF(O140="","",(1/'Metadata'!$B$5)^(O140-1))</x:f>
        <x:v>371.5352290971724</x:v>
      </x:c>
      <x:c r="U140" s="31" t="n">
        <x:f>IF(T140="","",I140*T140)</x:f>
        <x:v>253868.16112155817</x:v>
      </x:c>
    </x:row>
    <x:row r="141" ht="18" customHeight="1">
      <x:c r="A141" s="24" t="str">
        <x:v>LME_047</x:v>
      </x:c>
      <x:c r="B141" s="24" t="str">
        <x:v>East China Sea</x:v>
      </x:c>
      <x:c r="C141" s="24" t="str">
        <x:v>LME</x:v>
      </x:c>
      <x:c r="D141" s="30" t="n">
        <x:v>2019</x:v>
      </x:c>
      <x:c r="E141" s="24" t="str">
        <x:v>Portunidae</x:v>
      </x:c>
      <x:c r="F141" s="24" t="str">
        <x:v>Swimming crabs</x:v>
      </x:c>
      <x:c r="G141" s="24" t="str">
        <x:v>Lobsters, crabs</x:v>
      </x:c>
      <x:c r="H141" s="24" t="str">
        <x:v>Crustaceans</x:v>
      </x:c>
      <x:c r="I141" s="31" t="n">
        <x:v>678.8140646619</x:v>
      </x:c>
      <x:c r="J141" s="31" t="n">
        <x:v>134.3477197355</x:v>
      </x:c>
      <x:c r="K141" s="31" t="n">
        <x:v>544.4663449264</x:v>
      </x:c>
      <x:c r="L141" s="31" t="n">
        <x:v>0</x:v>
      </x:c>
      <x:c r="M141" s="31" t="n">
        <x:v>678.8140646619</x:v>
      </x:c>
      <x:c r="N141" s="24" t="str">
        <x:v>portunidae</x:v>
      </x:c>
      <x:c r="O141" s="32" t="n">
        <x:v>3.56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Portunidae</x:v>
      </x:c>
      <x:c r="T141" s="32" t="n">
        <x:f>IF(O141="","",(1/'Metadata'!$B$5)^(O141-1))</x:f>
        <x:v>363.0780547701014</x:v>
      </x:c>
      <x:c r="U141" s="31" t="n">
        <x:f>IF(T141="","",I141*T141)</x:f>
        <x:v>246462.4901480285</x:v>
      </x:c>
    </x:row>
    <x:row r="142" ht="18" customHeight="1">
      <x:c r="A142" s="24" t="str">
        <x:v>LME_047</x:v>
      </x:c>
      <x:c r="B142" s="24" t="str">
        <x:v>East China Sea</x:v>
      </x:c>
      <x:c r="C142" s="24" t="str">
        <x:v>LME</x:v>
      </x:c>
      <x:c r="D142" s="30" t="n">
        <x:v>2019</x:v>
      </x:c>
      <x:c r="E142" s="24" t="str">
        <x:v>Liparis tanakae</x:v>
      </x:c>
      <x:c r="F142" s="24" t="str">
        <x:v>Tanaka's snailfish</x:v>
      </x:c>
      <x:c r="G142" s="24" t="str">
        <x:v>Medium demersals (30 - 89 cm)</x:v>
      </x:c>
      <x:c r="H142" s="24" t="str">
        <x:v>Scorpionfishes</x:v>
      </x:c>
      <x:c r="I142" s="31" t="n">
        <x:v>545.881532743</x:v>
      </x:c>
      <x:c r="J142" s="31" t="n">
        <x:v>0</x:v>
      </x:c>
      <x:c r="K142" s="31" t="n">
        <x:v>545.881532743</x:v>
      </x:c>
      <x:c r="L142" s="31" t="n">
        <x:v>0</x:v>
      </x:c>
      <x:c r="M142" s="31" t="n">
        <x:v>545.881532743</x:v>
      </x:c>
      <x:c r="N142" s="24" t="str">
        <x:v>liparis tanakae</x:v>
      </x:c>
      <x:c r="O142" s="32" t="n">
        <x:v>3.42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Liparis tanakae</x:v>
      </x:c>
      <x:c r="T142" s="32" t="n">
        <x:f>IF(O142="","",(1/'Metadata'!$B$5)^(O142-1))</x:f>
        <x:v>263.02679918953817</x:v>
      </x:c>
      <x:c r="U142" s="31" t="n">
        <x:f>IF(T142="","",I142*T142)</x:f>
        <x:v>143581.47229407035</x:v>
      </x:c>
    </x:row>
    <x:row r="143" ht="18" customHeight="1">
      <x:c r="A143" s="24" t="str">
        <x:v>LME_047</x:v>
      </x:c>
      <x:c r="B143" s="24" t="str">
        <x:v>East China Sea</x:v>
      </x:c>
      <x:c r="C143" s="24" t="str">
        <x:v>LME</x:v>
      </x:c>
      <x:c r="D143" s="30" t="n">
        <x:v>2019</x:v>
      </x:c>
      <x:c r="E143" s="24" t="str">
        <x:v>Portunus</x:v>
      </x:c>
      <x:c r="F143" s="24" t="str">
        <x:v>Swimmer crabs</x:v>
      </x:c>
      <x:c r="G143" s="24" t="str">
        <x:v>Lobsters, crabs</x:v>
      </x:c>
      <x:c r="H143" s="24" t="str">
        <x:v>Crustaceans</x:v>
      </x:c>
      <x:c r="I143" s="31" t="n">
        <x:v>520.6319669387</x:v>
      </x:c>
      <x:c r="J143" s="31" t="n">
        <x:v>520.6319669387</x:v>
      </x:c>
      <x:c r="K143" s="31" t="n">
        <x:v>0</x:v>
      </x:c>
      <x:c r="L143" s="31" t="n">
        <x:v>134.0791329896</x:v>
      </x:c>
      <x:c r="M143" s="31" t="n">
        <x:v>386.5528339491</x:v>
      </x:c>
      <x:c r="N143" s="24" t="str">
        <x:v>portunus</x:v>
      </x:c>
      <x:c r="O143" s="32" t="n">
        <x:v>3.26</x:v>
      </x:c>
      <x:c r="P143" s="24" t="str">
        <x:v>exact_sea_around_us</x:v>
      </x:c>
      <x:c r="Q143" s="32" t="str">
        <x:v>Sea Around Us exploited organisms</x:v>
      </x:c>
      <x:c r="R143" s="24" t="str">
        <x:v>high</x:v>
      </x:c>
      <x:c r="S143" s="24" t="str">
        <x:v>Portunus</x:v>
      </x:c>
      <x:c r="T143" s="32" t="n">
        <x:f>IF(O143="","",(1/'Metadata'!$B$5)^(O143-1))</x:f>
        <x:v>181.97008586099827</x:v>
      </x:c>
      <x:c r="U143" s="31" t="n">
        <x:f>IF(T143="","",I143*T143)</x:f>
        <x:v>94739.44372581564</x:v>
      </x:c>
    </x:row>
    <x:row r="144" ht="18" customHeight="1">
      <x:c r="A144" s="24" t="str">
        <x:v>LME_047</x:v>
      </x:c>
      <x:c r="B144" s="24" t="str">
        <x:v>East China Sea</x:v>
      </x:c>
      <x:c r="C144" s="24" t="str">
        <x:v>LME</x:v>
      </x:c>
      <x:c r="D144" s="30" t="n">
        <x:v>2019</x:v>
      </x:c>
      <x:c r="E144" s="24" t="str">
        <x:v>Sepia</x:v>
      </x:c>
      <x:c r="F144" s="24" t="str">
        <x:v>Sepia cuttlefishes</x:v>
      </x:c>
      <x:c r="G144" s="24" t="str">
        <x:v>Cephalopods</x:v>
      </x:c>
      <x:c r="H144" s="24" t="str">
        <x:v>Other fishes &amp; inverts</x:v>
      </x:c>
      <x:c r="I144" s="31" t="n">
        <x:v>513.232031253</x:v>
      </x:c>
      <x:c r="J144" s="31" t="n">
        <x:v>513.232031253</x:v>
      </x:c>
      <x:c r="K144" s="31" t="n">
        <x:v>0</x:v>
      </x:c>
      <x:c r="L144" s="31" t="n">
        <x:v>133.1918196457</x:v>
      </x:c>
      <x:c r="M144" s="31" t="n">
        <x:v>380.04021160729997</x:v>
      </x:c>
      <x:c r="N144" s="24" t="str">
        <x:v>sepia</x:v>
      </x:c>
      <x:c r="O144" s="32" t="n">
        <x:v>3.69</x:v>
      </x:c>
      <x:c r="P144" s="24" t="str">
        <x:v>exact_sea_around_us</x:v>
      </x:c>
      <x:c r="Q144" s="32" t="str">
        <x:v>Sea Around Us exploited organisms</x:v>
      </x:c>
      <x:c r="R144" s="24" t="str">
        <x:v>high</x:v>
      </x:c>
      <x:c r="S144" s="24" t="str">
        <x:v>Sepia</x:v>
      </x:c>
      <x:c r="T144" s="32" t="n">
        <x:f>IF(O144="","",(1/'Metadata'!$B$5)^(O144-1))</x:f>
        <x:v>489.77881936844614</x:v>
      </x:c>
      <x:c r="U144" s="31" t="n">
        <x:f>IF(T144="","",I144*T144)</x:f>
        <x:v>251370.17832916375</x:v>
      </x:c>
    </x:row>
    <x:row r="145" ht="18" customHeight="1">
      <x:c r="A145" s="24" t="str">
        <x:v>LME_047</x:v>
      </x:c>
      <x:c r="B145" s="24" t="str">
        <x:v>East China Sea</x:v>
      </x:c>
      <x:c r="C145" s="24" t="str">
        <x:v>LME</x:v>
      </x:c>
      <x:c r="D145" s="30" t="n">
        <x:v>2019</x:v>
      </x:c>
      <x:c r="E145" s="24" t="str">
        <x:v>Holothuroidea</x:v>
      </x:c>
      <x:c r="F145" s="24" t="str">
        <x:v>Sea cucumbers</x:v>
      </x:c>
      <x:c r="G145" s="24" t="str">
        <x:v>Other demersal invertebrates</x:v>
      </x:c>
      <x:c r="H145" s="24" t="str">
        <x:v>Other fishes &amp; inverts</x:v>
      </x:c>
      <x:c r="I145" s="31" t="n">
        <x:v>486.5104889135</x:v>
      </x:c>
      <x:c r="J145" s="31" t="n">
        <x:v>0</x:v>
      </x:c>
      <x:c r="K145" s="31" t="n">
        <x:v>486.5104889135</x:v>
      </x:c>
      <x:c r="L145" s="31" t="n">
        <x:v>0</x:v>
      </x:c>
      <x:c r="M145" s="31" t="n">
        <x:v>486.5104889135</x:v>
      </x:c>
      <x:c r="N145" s="24" t="str">
        <x:v>holothuroidea</x:v>
      </x:c>
      <x:c r="O145" s="32" t="n">
        <x:v>2</x:v>
      </x:c>
      <x:c r="P145" s="24" t="str">
        <x:v>exact_sea_around_us</x:v>
      </x:c>
      <x:c r="Q145" s="32" t="str">
        <x:v>Sea Around Us exploited organisms</x:v>
      </x:c>
      <x:c r="R145" s="24" t="str">
        <x:v>high</x:v>
      </x:c>
      <x:c r="S145" s="24" t="str">
        <x:v>Holothuroidea</x:v>
      </x:c>
      <x:c r="T145" s="32" t="n">
        <x:f>IF(O145="","",(1/'Metadata'!$B$5)^(O145-1))</x:f>
        <x:v>10</x:v>
      </x:c>
      <x:c r="U145" s="31" t="n">
        <x:f>IF(T145="","",I145*T145)</x:f>
        <x:v>4865.104889135</x:v>
      </x:c>
    </x:row>
    <x:row r="146" ht="18" customHeight="1">
      <x:c r="A146" s="24" t="str">
        <x:v>LME_047</x:v>
      </x:c>
      <x:c r="B146" s="24" t="str">
        <x:v>East China Sea</x:v>
      </x:c>
      <x:c r="C146" s="24" t="str">
        <x:v>LME</x:v>
      </x:c>
      <x:c r="D146" s="30" t="n">
        <x:v>2019</x:v>
      </x:c>
      <x:c r="E146" s="24" t="str">
        <x:v>Gobiidae</x:v>
      </x:c>
      <x:c r="F146" s="24" t="str">
        <x:v>Gobies</x:v>
      </x:c>
      <x:c r="G146" s="24" t="str">
        <x:v>Small reef assoc. fish (&lt;30 cm)</x:v>
      </x:c>
      <x:c r="H146" s="24" t="str">
        <x:v>Perch-likes</x:v>
      </x:c>
      <x:c r="I146" s="31" t="n">
        <x:v>460.141634313</x:v>
      </x:c>
      <x:c r="J146" s="31" t="n">
        <x:v>459.58585328009997</x:v>
      </x:c>
      <x:c r="K146" s="31" t="n">
        <x:v>0.5557810329</x:v>
      </x:c>
      <x:c r="L146" s="31" t="n">
        <x:v>457.91091658299996</x:v>
      </x:c>
      <x:c r="M146" s="31" t="n">
        <x:v>2.23071773</x:v>
      </x:c>
      <x:c r="N146" s="24" t="str">
        <x:v>gobiidae</x:v>
      </x:c>
      <x:c r="O146" s="32" t="n">
        <x:v>3.11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Gobiidae</x:v>
      </x:c>
      <x:c r="T146" s="32" t="n">
        <x:f>IF(O146="","",(1/'Metadata'!$B$5)^(O146-1))</x:f>
        <x:v>128.82495516931337</x:v>
      </x:c>
      <x:c r="U146" s="31" t="n">
        <x:f>IF(T146="","",I146*T146)</x:f>
        <x:v>59277.72541190681</x:v>
      </x:c>
    </x:row>
    <x:row r="147" ht="18" customHeight="1">
      <x:c r="A147" s="24" t="str">
        <x:v>LME_047</x:v>
      </x:c>
      <x:c r="B147" s="24" t="str">
        <x:v>East China Sea</x:v>
      </x:c>
      <x:c r="C147" s="24" t="str">
        <x:v>LME</x:v>
      </x:c>
      <x:c r="D147" s="30" t="n">
        <x:v>2019</x:v>
      </x:c>
      <x:c r="E147" s="24" t="str">
        <x:v>Mullidae</x:v>
      </x:c>
      <x:c r="F147" s="24" t="str">
        <x:v>Goatfishes</x:v>
      </x:c>
      <x:c r="G147" s="24" t="str">
        <x:v>Medium reef assoc. fish (30 - 89 cm)</x:v>
      </x:c>
      <x:c r="H147" s="24" t="str">
        <x:v>Perch-likes</x:v>
      </x:c>
      <x:c r="I147" s="31" t="n">
        <x:v>445.18336216989997</x:v>
      </x:c>
      <x:c r="J147" s="31" t="n">
        <x:v>444.9886073389</x:v>
      </x:c>
      <x:c r="K147" s="31" t="n">
        <x:v>0.19475483100000002</x:v>
      </x:c>
      <x:c r="L147" s="31" t="n">
        <x:v>164.5410663385</x:v>
      </x:c>
      <x:c r="M147" s="31" t="n">
        <x:v>280.64229583139996</x:v>
      </x:c>
      <x:c r="N147" s="24" t="str">
        <x:v>mullidae</x:v>
      </x:c>
      <x:c r="O147" s="32" t="n">
        <x:v>3.46</x:v>
      </x:c>
      <x:c r="P147" s="24" t="str">
        <x:v>exact_sea_around_us</x:v>
      </x:c>
      <x:c r="Q147" s="32" t="str">
        <x:v>Sea Around Us exploited organisms</x:v>
      </x:c>
      <x:c r="R147" s="24" t="str">
        <x:v>high</x:v>
      </x:c>
      <x:c r="S147" s="24" t="str">
        <x:v>Mullidae</x:v>
      </x:c>
      <x:c r="T147" s="32" t="n">
        <x:f>IF(O147="","",(1/'Metadata'!$B$5)^(O147-1))</x:f>
        <x:v>288.40315031266056</x:v>
      </x:c>
      <x:c r="U147" s="31" t="n">
        <x:f>IF(T147="","",I147*T147)</x:f>
        <x:v>128392.28411658126</x:v>
      </x:c>
    </x:row>
    <x:row r="148" ht="18" customHeight="1">
      <x:c r="A148" s="24" t="str">
        <x:v>LME_047</x:v>
      </x:c>
      <x:c r="B148" s="24" t="str">
        <x:v>East China Sea</x:v>
      </x:c>
      <x:c r="C148" s="24" t="str">
        <x:v>LME</x:v>
      </x:c>
      <x:c r="D148" s="30" t="n">
        <x:v>2019</x:v>
      </x:c>
      <x:c r="E148" s="24" t="str">
        <x:v>Engraulidae</x:v>
      </x:c>
      <x:c r="F148" s="24" t="str">
        <x:v>Anchovies, round herrings</x:v>
      </x:c>
      <x:c r="G148" s="24" t="str">
        <x:v>Small pelagics (&lt;30 cm)</x:v>
      </x:c>
      <x:c r="H148" s="24" t="str">
        <x:v>Anchovies</x:v>
      </x:c>
      <x:c r="I148" s="31" t="n">
        <x:v>444.8900588809</x:v>
      </x:c>
      <x:c r="J148" s="31" t="n">
        <x:v>0</x:v>
      </x:c>
      <x:c r="K148" s="31" t="n">
        <x:v>444.8900588809</x:v>
      </x:c>
      <x:c r="L148" s="31" t="n">
        <x:v>0</x:v>
      </x:c>
      <x:c r="M148" s="31" t="n">
        <x:v>444.8900588809</x:v>
      </x:c>
      <x:c r="N148" s="24" t="str">
        <x:v>engraulidae</x:v>
      </x:c>
      <x:c r="O148" s="32" t="n">
        <x:v>3.2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Engraulidae</x:v>
      </x:c>
      <x:c r="T148" s="32" t="n">
        <x:f>IF(O148="","",(1/'Metadata'!$B$5)^(O148-1))</x:f>
        <x:v>158.48931924611142</x:v>
      </x:c>
      <x:c r="U148" s="31" t="n">
        <x:f>IF(T148="","",I148*T148)</x:f>
        <x:v>70510.32257139627</x:v>
      </x:c>
    </x:row>
    <x:row r="149" ht="18" customHeight="1">
      <x:c r="A149" s="24" t="str">
        <x:v>LME_047</x:v>
      </x:c>
      <x:c r="B149" s="24" t="str">
        <x:v>East China Sea</x:v>
      </x:c>
      <x:c r="C149" s="24" t="str">
        <x:v>LME</x:v>
      </x:c>
      <x:c r="D149" s="30" t="n">
        <x:v>2019</x:v>
      </x:c>
      <x:c r="E149" s="24" t="str">
        <x:v>Perciformes</x:v>
      </x:c>
      <x:c r="F149" s="24" t="str">
        <x:v>Perch-likes</x:v>
      </x:c>
      <x:c r="G149" s="24" t="str">
        <x:v>Medium demersals (30 - 89 cm)</x:v>
      </x:c>
      <x:c r="H149" s="24" t="str">
        <x:v>Perch-likes</x:v>
      </x:c>
      <x:c r="I149" s="31" t="n">
        <x:v>423.5835914589</x:v>
      </x:c>
      <x:c r="J149" s="31" t="n">
        <x:v>408.9939992163</x:v>
      </x:c>
      <x:c r="K149" s="31" t="n">
        <x:v>14.5895922426</x:v>
      </x:c>
      <x:c r="L149" s="31" t="n">
        <x:v>401.8735930514</x:v>
      </x:c>
      <x:c r="M149" s="31" t="n">
        <x:v>21.709998407500002</x:v>
      </x:c>
      <x:c r="N149" s="24" t="str">
        <x:v>perciformes</x:v>
      </x:c>
      <x:c r="O149" s="32" t="n">
        <x:v>3.53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Perciformes</x:v>
      </x:c>
      <x:c r="T149" s="32" t="n">
        <x:f>IF(O149="","",(1/'Metadata'!$B$5)^(O149-1))</x:f>
        <x:v>338.84415613920237</x:v>
      </x:c>
      <x:c r="U149" s="31" t="n">
        <x:f>IF(T149="","",I149*T149)</x:f>
        <x:v>143528.82460230362</x:v>
      </x:c>
    </x:row>
    <x:row r="150" ht="18" customHeight="1">
      <x:c r="A150" s="24" t="str">
        <x:v>LME_047</x:v>
      </x:c>
      <x:c r="B150" s="24" t="str">
        <x:v>East China Sea</x:v>
      </x:c>
      <x:c r="C150" s="24" t="str">
        <x:v>LME</x:v>
      </x:c>
      <x:c r="D150" s="30" t="n">
        <x:v>2019</x:v>
      </x:c>
      <x:c r="E150" s="24" t="str">
        <x:v>Kajikia audax</x:v>
      </x:c>
      <x:c r="F150" s="24" t="str">
        <x:v>Striped marlin</x:v>
      </x:c>
      <x:c r="G150" s="24" t="str">
        <x:v>Large pelagics (&gt;=90 cm)</x:v>
      </x:c>
      <x:c r="H150" s="24" t="str">
        <x:v>Tuna &amp; billfishes</x:v>
      </x:c>
      <x:c r="I150" s="31" t="n">
        <x:v>417.4898015846</x:v>
      </x:c>
      <x:c r="J150" s="31" t="n">
        <x:v>416.123294273</x:v>
      </x:c>
      <x:c r="K150" s="31" t="n">
        <x:v>1.3665073116</x:v>
      </x:c>
      <x:c r="L150" s="31" t="n">
        <x:v>416.123294273</x:v>
      </x:c>
      <x:c r="M150" s="31" t="n">
        <x:v>1.3665073116</x:v>
      </x:c>
      <x:c r="N150" s="24" t="str">
        <x:v>kajikia audax</x:v>
      </x:c>
      <x:c r="O150" s="32" t="n">
        <x:v>4.58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Kajikia audax</x:v>
      </x:c>
      <x:c r="T150" s="32" t="n">
        <x:f>IF(O150="","",(1/'Metadata'!$B$5)^(O150-1))</x:f>
        <x:v>3801.8939632056126</x:v>
      </x:c>
      <x:c r="U150" s="31" t="n">
        <x:f>IF(T150="","",I150*T150)</x:f>
        <x:v>1587251.9563443998</x:v>
      </x:c>
    </x:row>
    <x:row r="151" ht="18" customHeight="1">
      <x:c r="A151" s="24" t="str">
        <x:v>LME_047</x:v>
      </x:c>
      <x:c r="B151" s="24" t="str">
        <x:v>East China Sea</x:v>
      </x:c>
      <x:c r="C151" s="24" t="str">
        <x:v>LME</x:v>
      </x:c>
      <x:c r="D151" s="30" t="n">
        <x:v>2019</x:v>
      </x:c>
      <x:c r="E151" s="24" t="str">
        <x:v>Epinephelus maculatus</x:v>
      </x:c>
      <x:c r="F151" s="24" t="str">
        <x:v>Highfin grouper</x:v>
      </x:c>
      <x:c r="G151" s="24" t="str">
        <x:v>Medium reef assoc. fish (30 - 89 cm)</x:v>
      </x:c>
      <x:c r="H151" s="24" t="str">
        <x:v>Perch-likes</x:v>
      </x:c>
      <x:c r="I151" s="31" t="n">
        <x:v>415.8603214972</x:v>
      </x:c>
      <x:c r="J151" s="31" t="n">
        <x:v>415.8603214972</x:v>
      </x:c>
      <x:c r="K151" s="31" t="n">
        <x:v>0</x:v>
      </x:c>
      <x:c r="L151" s="31" t="n">
        <x:v>0</x:v>
      </x:c>
      <x:c r="M151" s="31" t="n">
        <x:v>415.8603214972</x:v>
      </x:c>
      <x:c r="N151" s="24" t="str">
        <x:v>epinephelus maculatus</x:v>
      </x:c>
      <x:c r="O151" s="32" t="n">
        <x:v>3.98</x:v>
      </x:c>
      <x:c r="P151" s="24" t="str">
        <x:v>exact_2020_supplement</x:v>
      </x:c>
      <x:c r="Q151" s="32" t="str">
        <x:v>2020 supplement MeanTL</x:v>
      </x:c>
      <x:c r="R151" s="24" t="str">
        <x:v>high</x:v>
      </x:c>
      <x:c r="S151" s="24" t="str">
        <x:v>Epinephelus maculatus</x:v>
      </x:c>
      <x:c r="T151" s="32" t="n">
        <x:f>IF(O151="","",(1/'Metadata'!$B$5)^(O151-1))</x:f>
        <x:v>954.992586021436</x:v>
      </x:c>
      <x:c r="U151" s="31" t="n">
        <x:f>IF(T151="","",I151*T151)</x:f>
        <x:v>397143.52385031676</x:v>
      </x:c>
    </x:row>
    <x:row r="152" ht="18" customHeight="1">
      <x:c r="A152" s="24" t="str">
        <x:v>LME_047</x:v>
      </x:c>
      <x:c r="B152" s="24" t="str">
        <x:v>East China Sea</x:v>
      </x:c>
      <x:c r="C152" s="24" t="str">
        <x:v>LME</x:v>
      </x:c>
      <x:c r="D152" s="30" t="n">
        <x:v>2019</x:v>
      </x:c>
      <x:c r="E152" s="24" t="str">
        <x:v>Salmonidae</x:v>
      </x:c>
      <x:c r="F152" s="24" t="str">
        <x:v>Salmonids</x:v>
      </x:c>
      <x:c r="G152" s="24" t="str">
        <x:v>Large benthopelagics (&gt;=90 cm)</x:v>
      </x:c>
      <x:c r="H152" s="24" t="str">
        <x:v>Salmon, smelts, etc</x:v>
      </x:c>
      <x:c r="I152" s="31" t="n">
        <x:v>408.95025491030003</x:v>
      </x:c>
      <x:c r="J152" s="31" t="n">
        <x:v>47.9166936174</x:v>
      </x:c>
      <x:c r="K152" s="31" t="n">
        <x:v>361.0335612929</x:v>
      </x:c>
      <x:c r="L152" s="31" t="n">
        <x:v>47.9166936174</x:v>
      </x:c>
      <x:c r="M152" s="31" t="n">
        <x:v>361.0335612929</x:v>
      </x:c>
      <x:c r="N152" s="24" t="str">
        <x:v>salmonidae</x:v>
      </x:c>
      <x:c r="O152" s="32" t="n">
        <x:v>3.3</x:v>
      </x:c>
      <x:c r="P152" s="24" t="str">
        <x:v>exact_sea_around_us</x:v>
      </x:c>
      <x:c r="Q152" s="32" t="str">
        <x:v>Sea Around Us exploited organisms</x:v>
      </x:c>
      <x:c r="R152" s="24" t="str">
        <x:v>high</x:v>
      </x:c>
      <x:c r="S152" s="24" t="str">
        <x:v>Salmonidae</x:v>
      </x:c>
      <x:c r="T152" s="32" t="n">
        <x:f>IF(O152="","",(1/'Metadata'!$B$5)^(O152-1))</x:f>
        <x:v>199.52623149688787</x:v>
      </x:c>
      <x:c r="U152" s="31" t="n">
        <x:f>IF(T152="","",I152*T152)</x:f>
        <x:v>81596.30323194384</x:v>
      </x:c>
    </x:row>
    <x:row r="153" ht="18" customHeight="1">
      <x:c r="A153" s="24" t="str">
        <x:v>LME_047</x:v>
      </x:c>
      <x:c r="B153" s="24" t="str">
        <x:v>East China Sea</x:v>
      </x:c>
      <x:c r="C153" s="24" t="str">
        <x:v>LME</x:v>
      </x:c>
      <x:c r="D153" s="30" t="n">
        <x:v>2019</x:v>
      </x:c>
      <x:c r="E153" s="24" t="str">
        <x:v>Gadus chalcogrammus</x:v>
      </x:c>
      <x:c r="F153" s="24" t="str">
        <x:v>Alaska pollock</x:v>
      </x:c>
      <x:c r="G153" s="24" t="str">
        <x:v>Medium benthopelagics (30 - 89 cm)</x:v>
      </x:c>
      <x:c r="H153" s="24" t="str">
        <x:v>Cod-likes</x:v>
      </x:c>
      <x:c r="I153" s="31" t="n">
        <x:v>394.5501101382</x:v>
      </x:c>
      <x:c r="J153" s="31" t="n">
        <x:v>315.4439981936</x:v>
      </x:c>
      <x:c r="K153" s="31" t="n">
        <x:v>79.1061119446</x:v>
      </x:c>
      <x:c r="L153" s="31" t="n">
        <x:v>315.4439981936</x:v>
      </x:c>
      <x:c r="M153" s="31" t="n">
        <x:v>79.1061119446</x:v>
      </x:c>
      <x:c r="N153" s="24" t="str">
        <x:v>gadus chalcogrammus</x:v>
      </x:c>
      <x:c r="O153" s="32" t="n">
        <x:v>3.57</x:v>
      </x:c>
      <x:c r="P153" s="24" t="str">
        <x:v>exact_sea_around_us</x:v>
      </x:c>
      <x:c r="Q153" s="32" t="str">
        <x:v>Sea Around Us exploited organisms</x:v>
      </x:c>
      <x:c r="R153" s="24" t="str">
        <x:v>high</x:v>
      </x:c>
      <x:c r="S153" s="24" t="str">
        <x:v>Gadus chalcogrammus</x:v>
      </x:c>
      <x:c r="T153" s="32" t="n">
        <x:f>IF(O153="","",(1/'Metadata'!$B$5)^(O153-1))</x:f>
        <x:v>371.5352290971724</x:v>
      </x:c>
      <x:c r="U153" s="31" t="n">
        <x:f>IF(T153="","",I153*T153)</x:f>
        <x:v>146589.26556051074</x:v>
      </x:c>
    </x:row>
    <x:row r="154" ht="18" customHeight="1">
      <x:c r="A154" s="24" t="str">
        <x:v>LME_047</x:v>
      </x:c>
      <x:c r="B154" s="24" t="str">
        <x:v>East China Sea</x:v>
      </x:c>
      <x:c r="C154" s="24" t="str">
        <x:v>LME</x:v>
      </x:c>
      <x:c r="D154" s="30" t="n">
        <x:v>2019</x:v>
      </x:c>
      <x:c r="E154" s="24" t="str">
        <x:v>Mactridae</x:v>
      </x:c>
      <x:c r="F154" s="24" t="str">
        <x:v>Mactra surf clams</x:v>
      </x:c>
      <x:c r="G154" s="24" t="str">
        <x:v>Other demersal invertebrates</x:v>
      </x:c>
      <x:c r="H154" s="24" t="str">
        <x:v>Molluscs</x:v>
      </x:c>
      <x:c r="I154" s="31" t="n">
        <x:v>379.9703370521</x:v>
      </x:c>
      <x:c r="J154" s="31" t="n">
        <x:v>21.0231757426</x:v>
      </x:c>
      <x:c r="K154" s="31" t="n">
        <x:v>358.94716130949996</x:v>
      </x:c>
      <x:c r="L154" s="31" t="n">
        <x:v>21.0231757426</x:v>
      </x:c>
      <x:c r="M154" s="31" t="n">
        <x:v>358.94716130949996</x:v>
      </x:c>
      <x:c r="N154" s="24" t="str">
        <x:v>mactridae</x:v>
      </x:c>
      <x:c r="O154" s="32" t="n">
        <x:v>2</x:v>
      </x:c>
      <x:c r="P154" s="24" t="str">
        <x:v>exact_sea_around_us</x:v>
      </x:c>
      <x:c r="Q154" s="32" t="str">
        <x:v>Sea Around Us exploited organisms</x:v>
      </x:c>
      <x:c r="R154" s="24" t="str">
        <x:v>high</x:v>
      </x:c>
      <x:c r="S154" s="24" t="str">
        <x:v>Mactridae</x:v>
      </x:c>
      <x:c r="T154" s="32" t="n">
        <x:f>IF(O154="","",(1/'Metadata'!$B$5)^(O154-1))</x:f>
        <x:v>10</x:v>
      </x:c>
      <x:c r="U154" s="31" t="n">
        <x:f>IF(T154="","",I154*T154)</x:f>
        <x:v>3799.7033705209997</x:v>
      </x:c>
    </x:row>
    <x:row r="155" ht="18" customHeight="1">
      <x:c r="A155" s="24" t="str">
        <x:v>LME_047</x:v>
      </x:c>
      <x:c r="B155" s="24" t="str">
        <x:v>East China Sea</x:v>
      </x:c>
      <x:c r="C155" s="24" t="str">
        <x:v>LME</x:v>
      </x:c>
      <x:c r="D155" s="30" t="n">
        <x:v>2019</x:v>
      </x:c>
      <x:c r="E155" s="24" t="str">
        <x:v>Parastromateus niger</x:v>
      </x:c>
      <x:c r="F155" s="24" t="str">
        <x:v>Black pomfret</x:v>
      </x:c>
      <x:c r="G155" s="24" t="str">
        <x:v>Medium benthopelagics (30 - 89 cm)</x:v>
      </x:c>
      <x:c r="H155" s="24" t="str">
        <x:v>Perch-likes</x:v>
      </x:c>
      <x:c r="I155" s="31" t="n">
        <x:v>360.9612330501</x:v>
      </x:c>
      <x:c r="J155" s="31" t="n">
        <x:v>276.8376296879</x:v>
      </x:c>
      <x:c r="K155" s="31" t="n">
        <x:v>84.12360336219999</x:v>
      </x:c>
      <x:c r="L155" s="31" t="n">
        <x:v>276.2030520814</x:v>
      </x:c>
      <x:c r="M155" s="31" t="n">
        <x:v>84.75818096869999</x:v>
      </x:c>
      <x:c r="N155" s="24" t="str">
        <x:v>parastromateus niger</x:v>
      </x:c>
      <x:c r="O155" s="32" t="n">
        <x:v>2.93</x:v>
      </x:c>
      <x:c r="P155" s="24" t="str">
        <x:v>exact_2020_supplement</x:v>
      </x:c>
      <x:c r="Q155" s="32" t="str">
        <x:v>2020 supplement MeanTL</x:v>
      </x:c>
      <x:c r="R155" s="24" t="str">
        <x:v>high</x:v>
      </x:c>
      <x:c r="S155" s="24" t="str">
        <x:v>Parastromateus niger</x:v>
      </x:c>
      <x:c r="T155" s="32" t="n">
        <x:f>IF(O155="","",(1/'Metadata'!$B$5)^(O155-1))</x:f>
        <x:v>85.11380382023768</x:v>
      </x:c>
      <x:c r="U155" s="31" t="n">
        <x:f>IF(T155="","",I155*T155)</x:f>
        <x:v>30722.783576537306</x:v>
      </x:c>
    </x:row>
    <x:row r="156" ht="18" customHeight="1">
      <x:c r="A156" s="24" t="str">
        <x:v>LME_047</x:v>
      </x:c>
      <x:c r="B156" s="24" t="str">
        <x:v>East China Sea</x:v>
      </x:c>
      <x:c r="C156" s="24" t="str">
        <x:v>LME</x:v>
      </x:c>
      <x:c r="D156" s="30" t="n">
        <x:v>2019</x:v>
      </x:c>
      <x:c r="E156" s="24" t="str">
        <x:v>Epinephelus coioides</x:v>
      </x:c>
      <x:c r="F156" s="24" t="str">
        <x:v>Orange-spotted grouper</x:v>
      </x:c>
      <x:c r="G156" s="24" t="str">
        <x:v>Large reef assoc. fish (&gt;=90 cm)</x:v>
      </x:c>
      <x:c r="H156" s="24" t="str">
        <x:v>Perch-likes</x:v>
      </x:c>
      <x:c r="I156" s="31" t="n">
        <x:v>342.1244940343</x:v>
      </x:c>
      <x:c r="J156" s="31" t="n">
        <x:v>342.1244940343</x:v>
      </x:c>
      <x:c r="K156" s="31" t="n">
        <x:v>0</x:v>
      </x:c>
      <x:c r="L156" s="31" t="n">
        <x:v>87.8304938744</x:v>
      </x:c>
      <x:c r="M156" s="31" t="n">
        <x:v>254.29400015989998</x:v>
      </x:c>
      <x:c r="N156" s="24" t="str">
        <x:v>epinephelus coioides</x:v>
      </x:c>
      <x:c r="O156" s="32" t="n">
        <x:v>4</x:v>
      </x:c>
      <x:c r="P156" s="24" t="str">
        <x:v>exact_2020_supplement</x:v>
      </x:c>
      <x:c r="Q156" s="32" t="str">
        <x:v>2020 supplement MeanTL</x:v>
      </x:c>
      <x:c r="R156" s="24" t="str">
        <x:v>high</x:v>
      </x:c>
      <x:c r="S156" s="24" t="str">
        <x:v>Epinephelus coioides</x:v>
      </x:c>
      <x:c r="T156" s="32" t="n">
        <x:f>IF(O156="","",(1/'Metadata'!$B$5)^(O156-1))</x:f>
        <x:v>1000</x:v>
      </x:c>
      <x:c r="U156" s="31" t="n">
        <x:f>IF(T156="","",I156*T156)</x:f>
        <x:v>342124.49403430003</x:v>
      </x:c>
    </x:row>
    <x:row r="157" ht="18" customHeight="1">
      <x:c r="A157" s="24" t="str">
        <x:v>LME_047</x:v>
      </x:c>
      <x:c r="B157" s="24" t="str">
        <x:v>East China Sea</x:v>
      </x:c>
      <x:c r="C157" s="24" t="str">
        <x:v>LME</x:v>
      </x:c>
      <x:c r="D157" s="30" t="n">
        <x:v>2019</x:v>
      </x:c>
      <x:c r="E157" s="24" t="str">
        <x:v>Seriola dumerili</x:v>
      </x:c>
      <x:c r="F157" s="24" t="str">
        <x:v>Greater amberjack</x:v>
      </x:c>
      <x:c r="G157" s="24" t="str">
        <x:v>Large reef assoc. fish (&gt;=90 cm)</x:v>
      </x:c>
      <x:c r="H157" s="24" t="str">
        <x:v>Perch-likes</x:v>
      </x:c>
      <x:c r="I157" s="31" t="n">
        <x:v>339.79010998710004</x:v>
      </x:c>
      <x:c r="J157" s="31" t="n">
        <x:v>339.79010998710004</x:v>
      </x:c>
      <x:c r="K157" s="31" t="n">
        <x:v>0</x:v>
      </x:c>
      <x:c r="L157" s="31" t="n">
        <x:v>197.568403902</x:v>
      </x:c>
      <x:c r="M157" s="31" t="n">
        <x:v>142.2217060851</x:v>
      </x:c>
      <x:c r="N157" s="24" t="str">
        <x:v>seriola dumerili</x:v>
      </x:c>
      <x:c r="O157" s="32" t="n">
        <x:v>4.5</x:v>
      </x:c>
      <x:c r="P157" s="24" t="str">
        <x:v>exact_2020_supplement</x:v>
      </x:c>
      <x:c r="Q157" s="32" t="str">
        <x:v>2020 supplement MeanTL</x:v>
      </x:c>
      <x:c r="R157" s="24" t="str">
        <x:v>high</x:v>
      </x:c>
      <x:c r="S157" s="24" t="str">
        <x:v>Seriola dumerili</x:v>
      </x:c>
      <x:c r="T157" s="32" t="n">
        <x:f>IF(O157="","",(1/'Metadata'!$B$5)^(O157-1))</x:f>
        <x:v>3162.2776601683795</x:v>
      </x:c>
      <x:c r="U157" s="31" t="n">
        <x:f>IF(T157="","",I157*T157)</x:f>
        <x:v>1074510.673958363</x:v>
      </x:c>
    </x:row>
    <x:row r="158" ht="18" customHeight="1">
      <x:c r="A158" s="24" t="str">
        <x:v>LME_047</x:v>
      </x:c>
      <x:c r="B158" s="24" t="str">
        <x:v>East China Sea</x:v>
      </x:c>
      <x:c r="C158" s="24" t="str">
        <x:v>LME</x:v>
      </x:c>
      <x:c r="D158" s="30" t="n">
        <x:v>2019</x:v>
      </x:c>
      <x:c r="E158" s="24" t="str">
        <x:v>Octopodidae</x:v>
      </x:c>
      <x:c r="F158" s="24" t="str">
        <x:v>Octopuses</x:v>
      </x:c>
      <x:c r="G158" s="24" t="str">
        <x:v>Cephalopods</x:v>
      </x:c>
      <x:c r="H158" s="24" t="str">
        <x:v>Other fishes &amp; inverts</x:v>
      </x:c>
      <x:c r="I158" s="31" t="n">
        <x:v>339.2320015159</x:v>
      </x:c>
      <x:c r="J158" s="31" t="n">
        <x:v>334.5745407425</x:v>
      </x:c>
      <x:c r="K158" s="31" t="n">
        <x:v>4.6574607733999995</x:v>
      </x:c>
      <x:c r="L158" s="31" t="n">
        <x:v>23.173365303199997</x:v>
      </x:c>
      <x:c r="M158" s="31" t="n">
        <x:v>316.0586362127</x:v>
      </x:c>
      <x:c r="N158" s="24" t="str">
        <x:v>octopodidae</x:v>
      </x:c>
      <x:c r="O158" s="32" t="n">
        <x:v>3.59</x:v>
      </x:c>
      <x:c r="P158" s="24" t="str">
        <x:v>exact_sea_around_us</x:v>
      </x:c>
      <x:c r="Q158" s="32" t="str">
        <x:v>Sea Around Us exploited organisms</x:v>
      </x:c>
      <x:c r="R158" s="24" t="str">
        <x:v>high</x:v>
      </x:c>
      <x:c r="S158" s="24" t="str">
        <x:v>Octopodidae</x:v>
      </x:c>
      <x:c r="T158" s="32" t="n">
        <x:f>IF(O158="","",(1/'Metadata'!$B$5)^(O158-1))</x:f>
        <x:v>389.04514499428046</x:v>
      </x:c>
      <x:c r="U158" s="31" t="n">
        <x:f>IF(T158="","",I158*T158)</x:f>
        <x:v>131976.56321645327</x:v>
      </x:c>
    </x:row>
    <x:row r="159" ht="18" customHeight="1">
      <x:c r="A159" s="24" t="str">
        <x:v>LME_047</x:v>
      </x:c>
      <x:c r="B159" s="24" t="str">
        <x:v>East China Sea</x:v>
      </x:c>
      <x:c r="C159" s="24" t="str">
        <x:v>LME</x:v>
      </x:c>
      <x:c r="D159" s="30" t="n">
        <x:v>2019</x:v>
      </x:c>
      <x:c r="E159" s="24" t="str">
        <x:v>Megalaspis cordyla</x:v>
      </x:c>
      <x:c r="F159" s="24" t="str">
        <x:v>Torpedo scad</x:v>
      </x:c>
      <x:c r="G159" s="24" t="str">
        <x:v>Medium pelagics (30 - 89 cm)</x:v>
      </x:c>
      <x:c r="H159" s="24" t="str">
        <x:v>Perch-likes</x:v>
      </x:c>
      <x:c r="I159" s="31" t="n">
        <x:v>330.8341164043</x:v>
      </x:c>
      <x:c r="J159" s="31" t="n">
        <x:v>328.8024062617</x:v>
      </x:c>
      <x:c r="K159" s="31" t="n">
        <x:v>2.0317101425999997</x:v>
      </x:c>
      <x:c r="L159" s="31" t="n">
        <x:v>270.7574186039</x:v>
      </x:c>
      <x:c r="M159" s="31" t="n">
        <x:v>60.0766978004</x:v>
      </x:c>
      <x:c r="N159" s="24" t="str">
        <x:v>megalaspis cordyla</x:v>
      </x:c>
      <x:c r="O159" s="32" t="n">
        <x:v>4.24</x:v>
      </x:c>
      <x:c r="P159" s="24" t="str">
        <x:v>exact_2020_supplement</x:v>
      </x:c>
      <x:c r="Q159" s="32" t="str">
        <x:v>2020 supplement MeanTL</x:v>
      </x:c>
      <x:c r="R159" s="24" t="str">
        <x:v>high</x:v>
      </x:c>
      <x:c r="S159" s="24" t="str">
        <x:v>Megalaspis cordyla</x:v>
      </x:c>
      <x:c r="T159" s="32" t="n">
        <x:f>IF(O159="","",(1/'Metadata'!$B$5)^(O159-1))</x:f>
        <x:v>1737.8008287493763</x:v>
      </x:c>
      <x:c r="U159" s="31" t="n">
        <x:f>IF(T159="","",I159*T159)</x:f>
        <x:v>574923.8016659601</x:v>
      </x:c>
    </x:row>
    <x:row r="160" ht="18" customHeight="1">
      <x:c r="A160" s="24" t="str">
        <x:v>LME_047</x:v>
      </x:c>
      <x:c r="B160" s="24" t="str">
        <x:v>East China Sea</x:v>
      </x:c>
      <x:c r="C160" s="24" t="str">
        <x:v>LME</x:v>
      </x:c>
      <x:c r="D160" s="30" t="n">
        <x:v>2019</x:v>
      </x:c>
      <x:c r="E160" s="24" t="str">
        <x:v>Bramidae</x:v>
      </x:c>
      <x:c r="F160" s="24" t="str">
        <x:v>Pomfrets</x:v>
      </x:c>
      <x:c r="G160" s="24" t="str">
        <x:v>Medium pelagics (30 - 89 cm)</x:v>
      </x:c>
      <x:c r="H160" s="24" t="str">
        <x:v>Perch-likes</x:v>
      </x:c>
      <x:c r="I160" s="31" t="n">
        <x:v>311.688029525</x:v>
      </x:c>
      <x:c r="J160" s="31" t="n">
        <x:v>309.1751212653</x:v>
      </x:c>
      <x:c r="K160" s="31" t="n">
        <x:v>2.5129082597</x:v>
      </x:c>
      <x:c r="L160" s="31" t="n">
        <x:v>0</x:v>
      </x:c>
      <x:c r="M160" s="31" t="n">
        <x:v>311.688029525</x:v>
      </x:c>
      <x:c r="N160" s="24" t="str">
        <x:v>bramidae</x:v>
      </x:c>
      <x:c r="O160" s="32" t="n">
        <x:v>4.14</x:v>
      </x:c>
      <x:c r="P160" s="24" t="str">
        <x:v>exact_sea_around_us</x:v>
      </x:c>
      <x:c r="Q160" s="32" t="str">
        <x:v>Sea Around Us exploited organisms</x:v>
      </x:c>
      <x:c r="R160" s="24" t="str">
        <x:v>high</x:v>
      </x:c>
      <x:c r="S160" s="24" t="str">
        <x:v>Bramidae</x:v>
      </x:c>
      <x:c r="T160" s="32" t="n">
        <x:f>IF(O160="","",(1/'Metadata'!$B$5)^(O160-1))</x:f>
        <x:v>1380.3842646028838</x:v>
      </x:c>
      <x:c r="U160" s="31" t="n">
        <x:f>IF(T160="","",I160*T160)</x:f>
        <x:v>430249.25142138905</x:v>
      </x:c>
    </x:row>
    <x:row r="161" ht="18" customHeight="1">
      <x:c r="A161" s="24" t="str">
        <x:v>LME_047</x:v>
      </x:c>
      <x:c r="B161" s="24" t="str">
        <x:v>East China Sea</x:v>
      </x:c>
      <x:c r="C161" s="24" t="str">
        <x:v>LME</x:v>
      </x:c>
      <x:c r="D161" s="30" t="n">
        <x:v>2019</x:v>
      </x:c>
      <x:c r="E161" s="24" t="str">
        <x:v>Anadara</x:v>
      </x:c>
      <x:c r="F161" s="24" t="str">
        <x:v>Arks, blood cockles</x:v>
      </x:c>
      <x:c r="G161" s="24" t="str">
        <x:v>Other demersal invertebrates</x:v>
      </x:c>
      <x:c r="H161" s="24" t="str">
        <x:v>Molluscs</x:v>
      </x:c>
      <x:c r="I161" s="31" t="n">
        <x:v>298.4799568307</x:v>
      </x:c>
      <x:c r="J161" s="31" t="n">
        <x:v>0</x:v>
      </x:c>
      <x:c r="K161" s="31" t="n">
        <x:v>298.4799568307</x:v>
      </x:c>
      <x:c r="L161" s="31" t="n">
        <x:v>0</x:v>
      </x:c>
      <x:c r="M161" s="31" t="n">
        <x:v>298.4799568307</x:v>
      </x:c>
      <x:c r="N161" s="24" t="str">
        <x:v>anadara</x:v>
      </x:c>
      <x:c r="O161" s="32" t="n">
        <x:v>2</x:v>
      </x:c>
      <x:c r="P161" s="24" t="str">
        <x:v>exact_sea_around_us</x:v>
      </x:c>
      <x:c r="Q161" s="32" t="str">
        <x:v>Sea Around Us exploited organisms</x:v>
      </x:c>
      <x:c r="R161" s="24" t="str">
        <x:v>high</x:v>
      </x:c>
      <x:c r="S161" s="24" t="str">
        <x:v>Anadara</x:v>
      </x:c>
      <x:c r="T161" s="32" t="n">
        <x:f>IF(O161="","",(1/'Metadata'!$B$5)^(O161-1))</x:f>
        <x:v>10</x:v>
      </x:c>
      <x:c r="U161" s="31" t="n">
        <x:f>IF(T161="","",I161*T161)</x:f>
        <x:v>2984.7995683070003</x:v>
      </x:c>
    </x:row>
    <x:row r="162" ht="18" customHeight="1">
      <x:c r="A162" s="24" t="str">
        <x:v>LME_047</x:v>
      </x:c>
      <x:c r="B162" s="24" t="str">
        <x:v>East China Sea</x:v>
      </x:c>
      <x:c r="C162" s="24" t="str">
        <x:v>LME</x:v>
      </x:c>
      <x:c r="D162" s="30" t="n">
        <x:v>2019</x:v>
      </x:c>
      <x:c r="E162" s="24" t="str">
        <x:v>Chondrichthyes</x:v>
      </x:c>
      <x:c r="F162" s="24" t="str">
        <x:v>Sharks, rays, chimaeras</x:v>
      </x:c>
      <x:c r="G162" s="24" t="str">
        <x:v>Large sharks (&gt;=90 cm)</x:v>
      </x:c>
      <x:c r="H162" s="24" t="str">
        <x:v>Sharks &amp; rays</x:v>
      </x:c>
      <x:c r="I162" s="31" t="n">
        <x:v>290.16826647880004</x:v>
      </x:c>
      <x:c r="J162" s="31" t="n">
        <x:v>189.51730801070002</x:v>
      </x:c>
      <x:c r="K162" s="31" t="n">
        <x:v>100.6509584681</x:v>
      </x:c>
      <x:c r="L162" s="31" t="n">
        <x:v>189.51730801070002</x:v>
      </x:c>
      <x:c r="M162" s="31" t="n">
        <x:v>100.6509584681</x:v>
      </x:c>
      <x:c r="N162" s="24" t="str">
        <x:v>chondrichthyes</x:v>
      </x:c>
      <x:c r="O162" s="32" t="n">
        <x:v>4</x:v>
      </x:c>
      <x:c r="P162" s="24" t="str">
        <x:v>exact_sea_around_us</x:v>
      </x:c>
      <x:c r="Q162" s="32" t="str">
        <x:v>Sea Around Us exploited organisms</x:v>
      </x:c>
      <x:c r="R162" s="24" t="str">
        <x:v>high</x:v>
      </x:c>
      <x:c r="S162" s="24" t="str">
        <x:v>Chondrichthyes</x:v>
      </x:c>
      <x:c r="T162" s="32" t="n">
        <x:f>IF(O162="","",(1/'Metadata'!$B$5)^(O162-1))</x:f>
        <x:v>1000</x:v>
      </x:c>
      <x:c r="U162" s="31" t="n">
        <x:f>IF(T162="","",I162*T162)</x:f>
        <x:v>290168.26647880004</x:v>
      </x:c>
    </x:row>
    <x:row r="163" ht="18" customHeight="1">
      <x:c r="A163" s="24" t="str">
        <x:v>LME_047</x:v>
      </x:c>
      <x:c r="B163" s="24" t="str">
        <x:v>East China Sea</x:v>
      </x:c>
      <x:c r="C163" s="24" t="str">
        <x:v>LME</x:v>
      </x:c>
      <x:c r="D163" s="30" t="n">
        <x:v>2019</x:v>
      </x:c>
      <x:c r="E163" s="24" t="str">
        <x:v>Makaira mazara</x:v>
      </x:c>
      <x:c r="F163" s="24" t="str">
        <x:v>Indo-Pacific blue marlin</x:v>
      </x:c>
      <x:c r="G163" s="24" t="str">
        <x:v>Large pelagics (&gt;=90 cm)</x:v>
      </x:c>
      <x:c r="H163" s="24" t="str">
        <x:v>Tuna &amp; billfishes</x:v>
      </x:c>
      <x:c r="I163" s="31" t="n">
        <x:v>289.1078574185</x:v>
      </x:c>
      <x:c r="J163" s="31" t="n">
        <x:v>288.8091552676</x:v>
      </x:c>
      <x:c r="K163" s="31" t="n">
        <x:v>0.2987021509</x:v>
      </x:c>
      <x:c r="L163" s="31" t="n">
        <x:v>288.8091552676</x:v>
      </x:c>
      <x:c r="M163" s="31" t="n">
        <x:v>0.2987021509</x:v>
      </x:c>
      <x:c r="N163" s="24" t="str">
        <x:v>makaira mazara</x:v>
      </x:c>
      <x:c r="O163" s="32" t="n">
        <x:v>4.46</x:v>
      </x:c>
      <x:c r="P163" s="24" t="str">
        <x:v>exact_2020_supplement</x:v>
      </x:c>
      <x:c r="Q163" s="32" t="str">
        <x:v>2020 supplement MeanTL</x:v>
      </x:c>
      <x:c r="R163" s="24" t="str">
        <x:v>high</x:v>
      </x:c>
      <x:c r="S163" s="24" t="str">
        <x:v>Makaira mazara</x:v>
      </x:c>
      <x:c r="T163" s="32" t="n">
        <x:f>IF(O163="","",(1/'Metadata'!$B$5)^(O163-1))</x:f>
        <x:v>2884.031503126606</x:v>
      </x:c>
      <x:c r="U163" s="31" t="n">
        <x:f>IF(T163="","",I163*T163)</x:f>
        <x:v>833796.168596389</x:v>
      </x:c>
    </x:row>
    <x:row r="164" ht="18" customHeight="1">
      <x:c r="A164" s="24" t="str">
        <x:v>LME_047</x:v>
      </x:c>
      <x:c r="B164" s="24" t="str">
        <x:v>East China Sea</x:v>
      </x:c>
      <x:c r="C164" s="24" t="str">
        <x:v>LME</x:v>
      </x:c>
      <x:c r="D164" s="30" t="n">
        <x:v>2019</x:v>
      </x:c>
      <x:c r="E164" s="24" t="str">
        <x:v>Ibacus ciliatus</x:v>
      </x:c>
      <x:c r="F164" s="24" t="str">
        <x:v>Sand Crayfish</x:v>
      </x:c>
      <x:c r="G164" s="24" t="str">
        <x:v>Lobsters, crabs</x:v>
      </x:c>
      <x:c r="H164" s="24" t="str">
        <x:v>Crustaceans</x:v>
      </x:c>
      <x:c r="I164" s="31" t="n">
        <x:v>280.5032685182</x:v>
      </x:c>
      <x:c r="J164" s="31" t="n">
        <x:v>1.0898879268000001</x:v>
      </x:c>
      <x:c r="K164" s="31" t="n">
        <x:v>279.4133805914</x:v>
      </x:c>
      <x:c r="L164" s="31" t="n">
        <x:v>1.0898879268000001</x:v>
      </x:c>
      <x:c r="M164" s="31" t="n">
        <x:v>279.4133805914</x:v>
      </x:c>
      <x:c r="N164" s="24" t="str">
        <x:v>ibacus ciliatus</x:v>
      </x:c>
      <x:c r="O164" s="32" t="n">
        <x:v>2.6</x:v>
      </x:c>
      <x:c r="P164" s="24" t="str">
        <x:v>exact_sea_around_us</x:v>
      </x:c>
      <x:c r="Q164" s="32" t="str">
        <x:v>Sea Around Us exploited organisms</x:v>
      </x:c>
      <x:c r="R164" s="24" t="str">
        <x:v>high</x:v>
      </x:c>
      <x:c r="S164" s="24" t="str">
        <x:v>Ibacus ciliatus</x:v>
      </x:c>
      <x:c r="T164" s="32" t="n">
        <x:f>IF(O164="","",(1/'Metadata'!$B$5)^(O164-1))</x:f>
        <x:v>39.810717055349734</x:v>
      </x:c>
      <x:c r="U164" s="31" t="n">
        <x:f>IF(T164="","",I164*T164)</x:f>
        <x:v>11167.03625607885</x:v>
      </x:c>
    </x:row>
    <x:row r="165" ht="18" customHeight="1">
      <x:c r="A165" s="24" t="str">
        <x:v>LME_047</x:v>
      </x:c>
      <x:c r="B165" s="24" t="str">
        <x:v>East China Sea</x:v>
      </x:c>
      <x:c r="C165" s="24" t="str">
        <x:v>LME</x:v>
      </x:c>
      <x:c r="D165" s="30" t="n">
        <x:v>2019</x:v>
      </x:c>
      <x:c r="E165" s="24" t="str">
        <x:v>Lethrinidae</x:v>
      </x:c>
      <x:c r="F165" s="24" t="str">
        <x:v>Emperors, scavengers</x:v>
      </x:c>
      <x:c r="G165" s="24" t="str">
        <x:v>Medium reef assoc. fish (30 - 89 cm)</x:v>
      </x:c>
      <x:c r="H165" s="24" t="str">
        <x:v>Perch-likes</x:v>
      </x:c>
      <x:c r="I165" s="31" t="n">
        <x:v>273.5938232926</x:v>
      </x:c>
      <x:c r="J165" s="31" t="n">
        <x:v>273.5938232926</x:v>
      </x:c>
      <x:c r="K165" s="31" t="n">
        <x:v>0</x:v>
      </x:c>
      <x:c r="L165" s="31" t="n">
        <x:v>70.465335483</x:v>
      </x:c>
      <x:c r="M165" s="31" t="n">
        <x:v>203.12848780960002</x:v>
      </x:c>
      <x:c r="N165" s="24" t="str">
        <x:v>lethrinidae</x:v>
      </x:c>
      <x:c r="O165" s="32" t="n">
        <x:v>3.59</x:v>
      </x:c>
      <x:c r="P165" s="24" t="str">
        <x:v>exact_sea_around_us</x:v>
      </x:c>
      <x:c r="Q165" s="32" t="str">
        <x:v>Sea Around Us exploited organisms</x:v>
      </x:c>
      <x:c r="R165" s="24" t="str">
        <x:v>high</x:v>
      </x:c>
      <x:c r="S165" s="24" t="str">
        <x:v>Lethrinidae</x:v>
      </x:c>
      <x:c r="T165" s="32" t="n">
        <x:f>IF(O165="","",(1/'Metadata'!$B$5)^(O165-1))</x:f>
        <x:v>389.04514499428046</x:v>
      </x:c>
      <x:c r="U165" s="31" t="n">
        <x:f>IF(T165="","",I165*T165)</x:f>
        <x:v>106440.34865240911</x:v>
      </x:c>
    </x:row>
    <x:row r="166" ht="18" customHeight="1">
      <x:c r="A166" s="24" t="str">
        <x:v>LME_047</x:v>
      </x:c>
      <x:c r="B166" s="24" t="str">
        <x:v>East China Sea</x:v>
      </x:c>
      <x:c r="C166" s="24" t="str">
        <x:v>LME</x:v>
      </x:c>
      <x:c r="D166" s="30" t="n">
        <x:v>2019</x:v>
      </x:c>
      <x:c r="E166" s="24" t="str">
        <x:v>Decapterus</x:v>
      </x:c>
      <x:c r="F166" s="24" t="str">
        <x:v>Scads</x:v>
      </x:c>
      <x:c r="G166" s="24" t="str">
        <x:v>Medium pelagics (30 - 89 cm)</x:v>
      </x:c>
      <x:c r="H166" s="24" t="str">
        <x:v>Perch-likes</x:v>
      </x:c>
      <x:c r="I166" s="31" t="n">
        <x:v>241.1553687303</x:v>
      </x:c>
      <x:c r="J166" s="31" t="n">
        <x:v>200.5176013502</x:v>
      </x:c>
      <x:c r="K166" s="31" t="n">
        <x:v>40.6377673801</x:v>
      </x:c>
      <x:c r="L166" s="31" t="n">
        <x:v>0</x:v>
      </x:c>
      <x:c r="M166" s="31" t="n">
        <x:v>241.1553687303</x:v>
      </x:c>
      <x:c r="N166" s="24" t="str">
        <x:v>decapterus</x:v>
      </x:c>
      <x:c r="O166" s="32" t="n">
        <x:v>3.63</x:v>
      </x:c>
      <x:c r="P166" s="24" t="str">
        <x:v>exact_sea_around_us</x:v>
      </x:c>
      <x:c r="Q166" s="32" t="str">
        <x:v>Sea Around Us exploited organisms</x:v>
      </x:c>
      <x:c r="R166" s="24" t="str">
        <x:v>high</x:v>
      </x:c>
      <x:c r="S166" s="24" t="str">
        <x:v>Decapterus</x:v>
      </x:c>
      <x:c r="T166" s="32" t="n">
        <x:f>IF(O166="","",(1/'Metadata'!$B$5)^(O166-1))</x:f>
        <x:v>426.57951880159254</x:v>
      </x:c>
      <x:c r="U166" s="31" t="n">
        <x:f>IF(T166="","",I166*T166)</x:f>
        <x:v>102871.94114939199</x:v>
      </x:c>
    </x:row>
    <x:row r="167" ht="18" customHeight="1">
      <x:c r="A167" s="24" t="str">
        <x:v>LME_047</x:v>
      </x:c>
      <x:c r="B167" s="24" t="str">
        <x:v>East China Sea</x:v>
      </x:c>
      <x:c r="C167" s="24" t="str">
        <x:v>LME</x:v>
      </x:c>
      <x:c r="D167" s="30" t="n">
        <x:v>2019</x:v>
      </x:c>
      <x:c r="E167" s="24" t="str">
        <x:v>Pagrus auratus</x:v>
      </x:c>
      <x:c r="F167" s="24" t="str">
        <x:v>Silver seabream</x:v>
      </x:c>
      <x:c r="G167" s="24" t="str">
        <x:v>Large demersals (&gt;=90 cm)</x:v>
      </x:c>
      <x:c r="H167" s="24" t="str">
        <x:v>Perch-likes</x:v>
      </x:c>
      <x:c r="I167" s="31" t="n">
        <x:v>234.9509179568</x:v>
      </x:c>
      <x:c r="J167" s="31" t="n">
        <x:v>225.4355269824</x:v>
      </x:c>
      <x:c r="K167" s="31" t="n">
        <x:v>9.515390974399999</x:v>
      </x:c>
      <x:c r="L167" s="31" t="n">
        <x:v>220.377385582</x:v>
      </x:c>
      <x:c r="M167" s="31" t="n">
        <x:v>14.5735323748</x:v>
      </x:c>
      <x:c r="N167" s="24" t="str">
        <x:v>pagrus auratus</x:v>
      </x:c>
      <x:c r="O167" s="32" t="n">
        <x:v>3.59</x:v>
      </x:c>
      <x:c r="P167" s="24" t="str">
        <x:v>exact_2020_supplement</x:v>
      </x:c>
      <x:c r="Q167" s="32" t="str">
        <x:v>2020 supplement MeanTL</x:v>
      </x:c>
      <x:c r="R167" s="24" t="str">
        <x:v>high</x:v>
      </x:c>
      <x:c r="S167" s="24" t="str">
        <x:v>Pagrus auratus</x:v>
      </x:c>
      <x:c r="T167" s="32" t="n">
        <x:f>IF(O167="","",(1/'Metadata'!$B$5)^(O167-1))</x:f>
        <x:v>389.04514499428046</x:v>
      </x:c>
      <x:c r="U167" s="31" t="n">
        <x:f>IF(T167="","",I167*T167)</x:f>
        <x:v>91406.51394304255</x:v>
      </x:c>
    </x:row>
    <x:row r="168" ht="18" customHeight="1">
      <x:c r="A168" s="24" t="str">
        <x:v>LME_047</x:v>
      </x:c>
      <x:c r="B168" s="24" t="str">
        <x:v>East China Sea</x:v>
      </x:c>
      <x:c r="C168" s="24" t="str">
        <x:v>LME</x:v>
      </x:c>
      <x:c r="D168" s="30" t="n">
        <x:v>2019</x:v>
      </x:c>
      <x:c r="E168" s="24" t="str">
        <x:v>Haliotidae</x:v>
      </x:c>
      <x:c r="F168" s="24" t="str">
        <x:v>Abalones, ear shells</x:v>
      </x:c>
      <x:c r="G168" s="24" t="str">
        <x:v>Other demersal invertebrates</x:v>
      </x:c>
      <x:c r="H168" s="24" t="str">
        <x:v>Molluscs</x:v>
      </x:c>
      <x:c r="I168" s="31" t="n">
        <x:v>232.205546698</x:v>
      </x:c>
      <x:c r="J168" s="31" t="n">
        <x:v>232.1162520844</x:v>
      </x:c>
      <x:c r="K168" s="31" t="n">
        <x:v>0.0892946136</x:v>
      </x:c>
      <x:c r="L168" s="31" t="n">
        <x:v>232.1162520844</x:v>
      </x:c>
      <x:c r="M168" s="31" t="n">
        <x:v>0.0892946136</x:v>
      </x:c>
      <x:c r="N168" s="24" t="str">
        <x:v>haliotidae</x:v>
      </x:c>
      <x:c r="O168" s="32" t="n">
        <x:v>2</x:v>
      </x:c>
      <x:c r="P168" s="24" t="str">
        <x:v>exact_sea_around_us</x:v>
      </x:c>
      <x:c r="Q168" s="32" t="str">
        <x:v>Sea Around Us exploited organisms</x:v>
      </x:c>
      <x:c r="R168" s="24" t="str">
        <x:v>high</x:v>
      </x:c>
      <x:c r="S168" s="24" t="str">
        <x:v>Haliotidae</x:v>
      </x:c>
      <x:c r="T168" s="32" t="n">
        <x:f>IF(O168="","",(1/'Metadata'!$B$5)^(O168-1))</x:f>
        <x:v>10</x:v>
      </x:c>
      <x:c r="U168" s="31" t="n">
        <x:f>IF(T168="","",I168*T168)</x:f>
        <x:v>2322.05546698</x:v>
      </x:c>
    </x:row>
    <x:row r="169" ht="18" customHeight="1">
      <x:c r="A169" s="24" t="str">
        <x:v>LME_047</x:v>
      </x:c>
      <x:c r="B169" s="24" t="str">
        <x:v>East China Sea</x:v>
      </x:c>
      <x:c r="C169" s="24" t="str">
        <x:v>LME</x:v>
      </x:c>
      <x:c r="D169" s="30" t="n">
        <x:v>2019</x:v>
      </x:c>
      <x:c r="E169" s="24" t="str">
        <x:v>Sillaginidae</x:v>
      </x:c>
      <x:c r="F169" s="24" t="str">
        <x:v>Smelt-whitings</x:v>
      </x:c>
      <x:c r="G169" s="24" t="str">
        <x:v>Medium demersals (30 - 89 cm)</x:v>
      </x:c>
      <x:c r="H169" s="24" t="str">
        <x:v>Perch-likes</x:v>
      </x:c>
      <x:c r="I169" s="31" t="n">
        <x:v>230.59882581789998</x:v>
      </x:c>
      <x:c r="J169" s="31" t="n">
        <x:v>230.59882581789998</x:v>
      </x:c>
      <x:c r="K169" s="31" t="n">
        <x:v>0</x:v>
      </x:c>
      <x:c r="L169" s="31" t="n">
        <x:v>112.13512933509999</x:v>
      </x:c>
      <x:c r="M169" s="31" t="n">
        <x:v>118.4636964828</x:v>
      </x:c>
      <x:c r="N169" s="24" t="str">
        <x:v>sillaginidae</x:v>
      </x:c>
      <x:c r="O169" s="32" t="n">
        <x:v>3.25</x:v>
      </x:c>
      <x:c r="P169" s="24" t="str">
        <x:v>exact_sea_around_us</x:v>
      </x:c>
      <x:c r="Q169" s="32" t="str">
        <x:v>Sea Around Us exploited organisms</x:v>
      </x:c>
      <x:c r="R169" s="24" t="str">
        <x:v>high</x:v>
      </x:c>
      <x:c r="S169" s="24" t="str">
        <x:v>Sillaginidae</x:v>
      </x:c>
      <x:c r="T169" s="32" t="n">
        <x:f>IF(O169="","",(1/'Metadata'!$B$5)^(O169-1))</x:f>
        <x:v>177.82794100389228</x:v>
      </x:c>
      <x:c r="U169" s="31" t="n">
        <x:f>IF(T169="","",I169*T169)</x:f>
        <x:v>41006.91439311235</x:v>
      </x:c>
    </x:row>
    <x:row r="170" ht="18" customHeight="1">
      <x:c r="A170" s="24" t="str">
        <x:v>LME_047</x:v>
      </x:c>
      <x:c r="B170" s="24" t="str">
        <x:v>East China Sea</x:v>
      </x:c>
      <x:c r="C170" s="24" t="str">
        <x:v>LME</x:v>
      </x:c>
      <x:c r="D170" s="30" t="n">
        <x:v>2019</x:v>
      </x:c>
      <x:c r="E170" s="24" t="str">
        <x:v>Saurida tumbil</x:v>
      </x:c>
      <x:c r="F170" s="24" t="str">
        <x:v>Greater lizardfish</x:v>
      </x:c>
      <x:c r="G170" s="24" t="str">
        <x:v>Medium demersals (30 - 89 cm)</x:v>
      </x:c>
      <x:c r="H170" s="24" t="str">
        <x:v>Other fishes &amp; inverts</x:v>
      </x:c>
      <x:c r="I170" s="31" t="n">
        <x:v>228.3232634936</x:v>
      </x:c>
      <x:c r="J170" s="31" t="n">
        <x:v>227.5805943981</x:v>
      </x:c>
      <x:c r="K170" s="31" t="n">
        <x:v>0.7426690954999999</x:v>
      </x:c>
      <x:c r="L170" s="31" t="n">
        <x:v>227.3977688143</x:v>
      </x:c>
      <x:c r="M170" s="31" t="n">
        <x:v>0.9254946793</x:v>
      </x:c>
      <x:c r="N170" s="24" t="str">
        <x:v>saurida tumbil</x:v>
      </x:c>
      <x:c r="O170" s="32" t="n">
        <x:v>4.4</x:v>
      </x:c>
      <x:c r="P170" s="24" t="str">
        <x:v>exact_2020_supplement</x:v>
      </x:c>
      <x:c r="Q170" s="32" t="str">
        <x:v>2020 supplement MeanTL</x:v>
      </x:c>
      <x:c r="R170" s="24" t="str">
        <x:v>high</x:v>
      </x:c>
      <x:c r="S170" s="24" t="str">
        <x:v>Saurida tumbil</x:v>
      </x:c>
      <x:c r="T170" s="32" t="n">
        <x:f>IF(O170="","",(1/'Metadata'!$B$5)^(O170-1))</x:f>
        <x:v>2511.886431509582</x:v>
      </x:c>
      <x:c r="U170" s="31" t="n">
        <x:f>IF(T170="","",I170*T170)</x:f>
        <x:v>573522.107567561</x:v>
      </x:c>
    </x:row>
    <x:row r="171" ht="18" customHeight="1">
      <x:c r="A171" s="24" t="str">
        <x:v>LME_047</x:v>
      </x:c>
      <x:c r="B171" s="24" t="str">
        <x:v>East China Sea</x:v>
      </x:c>
      <x:c r="C171" s="24" t="str">
        <x:v>LME</x:v>
      </x:c>
      <x:c r="D171" s="30" t="n">
        <x:v>2019</x:v>
      </x:c>
      <x:c r="E171" s="24" t="str">
        <x:v>Lutjanidae</x:v>
      </x:c>
      <x:c r="F171" s="24" t="str">
        <x:v>Snappers</x:v>
      </x:c>
      <x:c r="G171" s="24" t="str">
        <x:v>Medium reef assoc. fish (30 - 89 cm)</x:v>
      </x:c>
      <x:c r="H171" s="24" t="str">
        <x:v>Perch-likes</x:v>
      </x:c>
      <x:c r="I171" s="31" t="n">
        <x:v>219.6253362496</x:v>
      </x:c>
      <x:c r="J171" s="31" t="n">
        <x:v>207.2972995136</x:v>
      </x:c>
      <x:c r="K171" s="31" t="n">
        <x:v>12.328036736</x:v>
      </x:c>
      <x:c r="L171" s="31" t="n">
        <x:v>146.2711097202</x:v>
      </x:c>
      <x:c r="M171" s="31" t="n">
        <x:v>73.35422652940001</x:v>
      </x:c>
      <x:c r="N171" s="24" t="str">
        <x:v>lutjanidae</x:v>
      </x:c>
      <x:c r="O171" s="32" t="n">
        <x:v>4.02</x:v>
      </x:c>
      <x:c r="P171" s="24" t="str">
        <x:v>exact_sea_around_us</x:v>
      </x:c>
      <x:c r="Q171" s="32" t="str">
        <x:v>Sea Around Us exploited organisms</x:v>
      </x:c>
      <x:c r="R171" s="24" t="str">
        <x:v>high</x:v>
      </x:c>
      <x:c r="S171" s="24" t="str">
        <x:v>Lutjanidae</x:v>
      </x:c>
      <x:c r="T171" s="32" t="n">
        <x:f>IF(O171="","",(1/'Metadata'!$B$5)^(O171-1))</x:f>
        <x:v>1047.1285480508984</x:v>
      </x:c>
      <x:c r="U171" s="31" t="n">
        <x:f>IF(T171="","",I171*T171)</x:f>
        <x:v>229975.959462234</x:v>
      </x:c>
    </x:row>
    <x:row r="172" ht="18" customHeight="1">
      <x:c r="A172" s="24" t="str">
        <x:v>LME_047</x:v>
      </x:c>
      <x:c r="B172" s="24" t="str">
        <x:v>East China Sea</x:v>
      </x:c>
      <x:c r="C172" s="24" t="str">
        <x:v>LME</x:v>
      </x:c>
      <x:c r="D172" s="30" t="n">
        <x:v>2019</x:v>
      </x:c>
      <x:c r="E172" s="24" t="str">
        <x:v>Oratosquilla oratoria</x:v>
      </x:c>
      <x:c r="F172" s="24" t="str">
        <x:v>Japanese squillid mantis shrimp</x:v>
      </x:c>
      <x:c r="G172" s="24" t="str">
        <x:v>Shrimps</x:v>
      </x:c>
      <x:c r="H172" s="24" t="str">
        <x:v>Crustaceans</x:v>
      </x:c>
      <x:c r="I172" s="31" t="n">
        <x:v>201.3697558189</x:v>
      </x:c>
      <x:c r="J172" s="31" t="n">
        <x:v>0</x:v>
      </x:c>
      <x:c r="K172" s="31" t="n">
        <x:v>201.3697558189</x:v>
      </x:c>
      <x:c r="L172" s="31" t="n">
        <x:v>0</x:v>
      </x:c>
      <x:c r="M172" s="31" t="n">
        <x:v>201.3697558189</x:v>
      </x:c>
      <x:c r="N172" s="24" t="str">
        <x:v>oratosquilla oratoria</x:v>
      </x:c>
      <x:c r="O172" s="32" t="n">
        <x:v>3.27</x:v>
      </x:c>
      <x:c r="P172" s="24" t="str">
        <x:v>exact_sea_around_us</x:v>
      </x:c>
      <x:c r="Q172" s="32" t="str">
        <x:v>Sea Around Us exploited organisms</x:v>
      </x:c>
      <x:c r="R172" s="24" t="str">
        <x:v>high</x:v>
      </x:c>
      <x:c r="S172" s="24" t="str">
        <x:v>Oratosquilla oratoria</x:v>
      </x:c>
      <x:c r="T172" s="32" t="n">
        <x:f>IF(O172="","",(1/'Metadata'!$B$5)^(O172-1))</x:f>
        <x:v>186.20871366628674</x:v>
      </x:c>
      <x:c r="U172" s="31" t="n">
        <x:f>IF(T172="","",I172*T172)</x:f>
        <x:v>37496.80320233163</x:v>
      </x:c>
    </x:row>
    <x:row r="173" ht="18" customHeight="1">
      <x:c r="A173" s="24" t="str">
        <x:v>LME_047</x:v>
      </x:c>
      <x:c r="B173" s="24" t="str">
        <x:v>East China Sea</x:v>
      </x:c>
      <x:c r="C173" s="24" t="str">
        <x:v>LME</x:v>
      </x:c>
      <x:c r="D173" s="30" t="n">
        <x:v>2019</x:v>
      </x:c>
      <x:c r="E173" s="24" t="str">
        <x:v>Spratelloides gracilis</x:v>
      </x:c>
      <x:c r="F173" s="24" t="str">
        <x:v>Silver-stripe round herring</x:v>
      </x:c>
      <x:c r="G173" s="24" t="str">
        <x:v>Small pelagics (&lt;30 cm)</x:v>
      </x:c>
      <x:c r="H173" s="24" t="str">
        <x:v>Herring-likes</x:v>
      </x:c>
      <x:c r="I173" s="31" t="n">
        <x:v>196.7363242421</x:v>
      </x:c>
      <x:c r="J173" s="31" t="n">
        <x:v>50.0166659</x:v>
      </x:c>
      <x:c r="K173" s="31" t="n">
        <x:v>146.7196583421</x:v>
      </x:c>
      <x:c r="L173" s="31" t="n">
        <x:v>49.8263791632</x:v>
      </x:c>
      <x:c r="M173" s="31" t="n">
        <x:v>146.9099450789</x:v>
      </x:c>
      <x:c r="N173" s="24" t="str">
        <x:v>spratelloides gracilis</x:v>
      </x:c>
      <x:c r="O173" s="32" t="n">
        <x:v>3.06</x:v>
      </x:c>
      <x:c r="P173" s="24" t="str">
        <x:v>exact_2020_supplement</x:v>
      </x:c>
      <x:c r="Q173" s="32" t="str">
        <x:v>2020 supplement MeanTL</x:v>
      </x:c>
      <x:c r="R173" s="24" t="str">
        <x:v>high</x:v>
      </x:c>
      <x:c r="S173" s="24" t="str">
        <x:v>Spratelloides gracilis</x:v>
      </x:c>
      <x:c r="T173" s="32" t="n">
        <x:f>IF(O173="","",(1/'Metadata'!$B$5)^(O173-1))</x:f>
        <x:v>114.81536214968828</x:v>
      </x:c>
      <x:c r="U173" s="31" t="n">
        <x:f>IF(T173="","",I173*T173)</x:f>
        <x:v>22588.352315855213</x:v>
      </x:c>
    </x:row>
    <x:row r="174" ht="18" customHeight="1">
      <x:c r="A174" s="24" t="str">
        <x:v>LME_047</x:v>
      </x:c>
      <x:c r="B174" s="24" t="str">
        <x:v>East China Sea</x:v>
      </x:c>
      <x:c r="C174" s="24" t="str">
        <x:v>LME</x:v>
      </x:c>
      <x:c r="D174" s="30" t="n">
        <x:v>2019</x:v>
      </x:c>
      <x:c r="E174" s="24" t="str">
        <x:v>Hexagrammidae</x:v>
      </x:c>
      <x:c r="F174" s="24" t="str">
        <x:v>Greenlings</x:v>
      </x:c>
      <x:c r="G174" s="24" t="str">
        <x:v>Medium demersals (30 - 89 cm)</x:v>
      </x:c>
      <x:c r="H174" s="24" t="str">
        <x:v>Scorpionfishes</x:v>
      </x:c>
      <x:c r="I174" s="31" t="n">
        <x:v>190.1735908516</x:v>
      </x:c>
      <x:c r="J174" s="31" t="n">
        <x:v>190.1735908516</x:v>
      </x:c>
      <x:c r="K174" s="31" t="n">
        <x:v>0</x:v>
      </x:c>
      <x:c r="L174" s="31" t="n">
        <x:v>0</x:v>
      </x:c>
      <x:c r="M174" s="31" t="n">
        <x:v>190.1735908516</x:v>
      </x:c>
      <x:c r="N174" s="24" t="str">
        <x:v>hexagrammidae</x:v>
      </x:c>
      <x:c r="O174" s="32" t="n">
        <x:v>3.72</x:v>
      </x:c>
      <x:c r="P174" s="24" t="str">
        <x:v>exact_sea_around_us</x:v>
      </x:c>
      <x:c r="Q174" s="32" t="str">
        <x:v>Sea Around Us exploited organisms</x:v>
      </x:c>
      <x:c r="R174" s="24" t="str">
        <x:v>high</x:v>
      </x:c>
      <x:c r="S174" s="24" t="str">
        <x:v>Hexagrammidae</x:v>
      </x:c>
      <x:c r="T174" s="32" t="n">
        <x:f>IF(O174="","",(1/'Metadata'!$B$5)^(O174-1))</x:f>
        <x:v>524.8074602497728</x:v>
      </x:c>
      <x:c r="U174" s="31" t="n">
        <x:f>IF(T174="","",I174*T174)</x:f>
        <x:v>99804.51922140764</x:v>
      </x:c>
    </x:row>
    <x:row r="175" ht="18" customHeight="1">
      <x:c r="A175" s="24" t="str">
        <x:v>LME_047</x:v>
      </x:c>
      <x:c r="B175" s="24" t="str">
        <x:v>East China Sea</x:v>
      </x:c>
      <x:c r="C175" s="24" t="str">
        <x:v>LME</x:v>
      </x:c>
      <x:c r="D175" s="30" t="n">
        <x:v>2019</x:v>
      </x:c>
      <x:c r="E175" s="24" t="str">
        <x:v>Auxis rochei</x:v>
      </x:c>
      <x:c r="F175" s="24" t="str">
        <x:v>Bullet tuna</x:v>
      </x:c>
      <x:c r="G175" s="24" t="str">
        <x:v>Medium pelagics (30 - 89 cm)</x:v>
      </x:c>
      <x:c r="H175" s="24" t="str">
        <x:v>Tuna &amp; billfishes</x:v>
      </x:c>
      <x:c r="I175" s="31" t="n">
        <x:v>181.7407700143</x:v>
      </x:c>
      <x:c r="J175" s="31" t="n">
        <x:v>0</x:v>
      </x:c>
      <x:c r="K175" s="31" t="n">
        <x:v>181.7407700143</x:v>
      </x:c>
      <x:c r="L175" s="31" t="n">
        <x:v>0</x:v>
      </x:c>
      <x:c r="M175" s="31" t="n">
        <x:v>181.7407700143</x:v>
      </x:c>
      <x:c r="N175" s="24" t="str">
        <x:v>auxis rochei</x:v>
      </x:c>
      <x:c r="O175" s="32" t="n">
        <x:v>4.13</x:v>
      </x:c>
      <x:c r="P175" s="24" t="str">
        <x:v>exact_2020_supplement</x:v>
      </x:c>
      <x:c r="Q175" s="32" t="str">
        <x:v>2020 supplement MeanTL</x:v>
      </x:c>
      <x:c r="R175" s="24" t="str">
        <x:v>high</x:v>
      </x:c>
      <x:c r="S175" s="24" t="str">
        <x:v>Auxis rochei</x:v>
      </x:c>
      <x:c r="T175" s="32" t="n">
        <x:f>IF(O175="","",(1/'Metadata'!$B$5)^(O175-1))</x:f>
        <x:v>1348.9628825916532</x:v>
      </x:c>
      <x:c r="U175" s="31" t="n">
        <x:f>IF(T175="","",I175*T175)</x:f>
        <x:v>245161.55300291683</x:v>
      </x:c>
    </x:row>
    <x:row r="176" ht="18" customHeight="1">
      <x:c r="A176" s="24" t="str">
        <x:v>LME_047</x:v>
      </x:c>
      <x:c r="B176" s="24" t="str">
        <x:v>East China Sea</x:v>
      </x:c>
      <x:c r="C176" s="24" t="str">
        <x:v>LME</x:v>
      </x:c>
      <x:c r="D176" s="30" t="n">
        <x:v>2019</x:v>
      </x:c>
      <x:c r="E176" s="24" t="str">
        <x:v>Ariidae</x:v>
      </x:c>
      <x:c r="F176" s="24" t="str">
        <x:v>Sea catfishes, coblers</x:v>
      </x:c>
      <x:c r="G176" s="24" t="str">
        <x:v>Medium demersals (30 - 89 cm)</x:v>
      </x:c>
      <x:c r="H176" s="24" t="str">
        <x:v>Other fishes &amp; inverts</x:v>
      </x:c>
      <x:c r="I176" s="31" t="n">
        <x:v>175.3506251376</x:v>
      </x:c>
      <x:c r="J176" s="31" t="n">
        <x:v>167.4129077749</x:v>
      </x:c>
      <x:c r="K176" s="31" t="n">
        <x:v>7.937717362700001</x:v>
      </x:c>
      <x:c r="L176" s="31" t="n">
        <x:v>127.45695485799999</x:v>
      </x:c>
      <x:c r="M176" s="31" t="n">
        <x:v>47.893670279599995</x:v>
      </x:c>
      <x:c r="N176" s="24" t="str">
        <x:v>ariidae</x:v>
      </x:c>
      <x:c r="O176" s="32" t="n">
        <x:v>3.48</x:v>
      </x:c>
      <x:c r="P176" s="24" t="str">
        <x:v>exact_sea_around_us</x:v>
      </x:c>
      <x:c r="Q176" s="32" t="str">
        <x:v>Sea Around Us exploited organisms</x:v>
      </x:c>
      <x:c r="R176" s="24" t="str">
        <x:v>high</x:v>
      </x:c>
      <x:c r="S176" s="24" t="str">
        <x:v>Ariidae</x:v>
      </x:c>
      <x:c r="T176" s="32" t="n">
        <x:f>IF(O176="","",(1/'Metadata'!$B$5)^(O176-1))</x:f>
        <x:v>301.9951720402016</x:v>
      </x:c>
      <x:c r="U176" s="31" t="n">
        <x:f>IF(T176="","",I176*T176)</x:f>
        <x:v>52955.04220578641</x:v>
      </x:c>
    </x:row>
    <x:row r="177" ht="18" customHeight="1">
      <x:c r="A177" s="24" t="str">
        <x:v>LME_047</x:v>
      </x:c>
      <x:c r="B177" s="24" t="str">
        <x:v>East China Sea</x:v>
      </x:c>
      <x:c r="C177" s="24" t="str">
        <x:v>LME</x:v>
      </x:c>
      <x:c r="D177" s="30" t="n">
        <x:v>2019</x:v>
      </x:c>
      <x:c r="E177" s="24" t="str">
        <x:v>Ommastrephes bartramii</x:v>
      </x:c>
      <x:c r="F177" s="24" t="str">
        <x:v>Neon flying squid</x:v>
      </x:c>
      <x:c r="G177" s="24" t="str">
        <x:v>Cephalopods</x:v>
      </x:c>
      <x:c r="H177" s="24" t="str">
        <x:v>Other fishes &amp; inverts</x:v>
      </x:c>
      <x:c r="I177" s="31" t="n">
        <x:v>174.7708911466</x:v>
      </x:c>
      <x:c r="J177" s="31" t="n">
        <x:v>174.7708911466</x:v>
      </x:c>
      <x:c r="K177" s="31" t="n">
        <x:v>0</x:v>
      </x:c>
      <x:c r="L177" s="31" t="n">
        <x:v>137.9847237985</x:v>
      </x:c>
      <x:c r="M177" s="31" t="n">
        <x:v>36.7861673481</x:v>
      </x:c>
      <x:c r="N177" s="24" t="str">
        <x:v>ommastrephes bartramii</x:v>
      </x:c>
      <x:c r="O177" s="32" t="n">
        <x:v>4.37</x:v>
      </x:c>
      <x:c r="P177" s="24" t="str">
        <x:v>exact_2020_supplement</x:v>
      </x:c>
      <x:c r="Q177" s="32" t="str">
        <x:v>2020 supplement MeanTL</x:v>
      </x:c>
      <x:c r="R177" s="24" t="str">
        <x:v>high</x:v>
      </x:c>
      <x:c r="S177" s="24" t="str">
        <x:v>Ommastrephes bartramii</x:v>
      </x:c>
      <x:c r="T177" s="32" t="n">
        <x:f>IF(O177="","",(1/'Metadata'!$B$5)^(O177-1))</x:f>
        <x:v>2344.228815319923</x:v>
      </x:c>
      <x:c r="U177" s="31" t="n">
        <x:f>IF(T177="","",I177*T177)</x:f>
        <x:v>409702.95910500136</x:v>
      </x:c>
    </x:row>
    <x:row r="178" ht="18" customHeight="1">
      <x:c r="A178" s="24" t="str">
        <x:v>LME_047</x:v>
      </x:c>
      <x:c r="B178" s="24" t="str">
        <x:v>East China Sea</x:v>
      </x:c>
      <x:c r="C178" s="24" t="str">
        <x:v>LME</x:v>
      </x:c>
      <x:c r="D178" s="30" t="n">
        <x:v>2019</x:v>
      </x:c>
      <x:c r="E178" s="24" t="str">
        <x:v>Sillago</x:v>
      </x:c>
      <x:c r="F178" s="24" t="str">
        <x:v>Smelt-whitings</x:v>
      </x:c>
      <x:c r="G178" s="24" t="str">
        <x:v>Medium demersals (30 - 89 cm)</x:v>
      </x:c>
      <x:c r="H178" s="24" t="str">
        <x:v>Perch-likes</x:v>
      </x:c>
      <x:c r="I178" s="31" t="n">
        <x:v>157.3104798963</x:v>
      </x:c>
      <x:c r="J178" s="31" t="n">
        <x:v>149.0040469329</x:v>
      </x:c>
      <x:c r="K178" s="31" t="n">
        <x:v>8.3064329634</x:v>
      </x:c>
      <x:c r="L178" s="31" t="n">
        <x:v>147.90438201610002</x:v>
      </x:c>
      <x:c r="M178" s="31" t="n">
        <x:v>9.406097880199999</x:v>
      </x:c>
      <x:c r="N178" s="24" t="str">
        <x:v>sillago</x:v>
      </x:c>
      <x:c r="O178" s="32" t="n">
        <x:v>3.33</x:v>
      </x:c>
      <x:c r="P178" s="24" t="str">
        <x:v>exact_sea_around_us</x:v>
      </x:c>
      <x:c r="Q178" s="32" t="str">
        <x:v>Sea Around Us exploited organisms</x:v>
      </x:c>
      <x:c r="R178" s="24" t="str">
        <x:v>high</x:v>
      </x:c>
      <x:c r="S178" s="24" t="str">
        <x:v>Sillago</x:v>
      </x:c>
      <x:c r="T178" s="32" t="n">
        <x:f>IF(O178="","",(1/'Metadata'!$B$5)^(O178-1))</x:f>
        <x:v>213.79620895022325</x:v>
      </x:c>
      <x:c r="U178" s="31" t="n">
        <x:f>IF(T178="","",I178*T178)</x:f>
        <x:v>33632.38422996925</x:v>
      </x:c>
    </x:row>
    <x:row r="179" ht="18" customHeight="1">
      <x:c r="A179" s="24" t="str">
        <x:v>LME_047</x:v>
      </x:c>
      <x:c r="B179" s="24" t="str">
        <x:v>East China Sea</x:v>
      </x:c>
      <x:c r="C179" s="24" t="str">
        <x:v>LME</x:v>
      </x:c>
      <x:c r="D179" s="30" t="n">
        <x:v>2019</x:v>
      </x:c>
      <x:c r="E179" s="24" t="str">
        <x:v>Mola mola</x:v>
      </x:c>
      <x:c r="F179" s="24" t="str">
        <x:v>Ocean sunfish</x:v>
      </x:c>
      <x:c r="G179" s="24" t="str">
        <x:v>Large pelagics (&gt;=90 cm)</x:v>
      </x:c>
      <x:c r="H179" s="24" t="str">
        <x:v>Other fishes &amp; inverts</x:v>
      </x:c>
      <x:c r="I179" s="31" t="n">
        <x:v>147.2352933677</x:v>
      </x:c>
      <x:c r="J179" s="31" t="n">
        <x:v>143.38768527690002</x:v>
      </x:c>
      <x:c r="K179" s="31" t="n">
        <x:v>3.8476080908</x:v>
      </x:c>
      <x:c r="L179" s="31" t="n">
        <x:v>117.9566504925</x:v>
      </x:c>
      <x:c r="M179" s="31" t="n">
        <x:v>29.2786428752</x:v>
      </x:c>
      <x:c r="N179" s="24" t="str">
        <x:v>mola mola</x:v>
      </x:c>
      <x:c r="O179" s="32" t="n">
        <x:v>3.68</x:v>
      </x:c>
      <x:c r="P179" s="24" t="str">
        <x:v>exact_2020_supplement</x:v>
      </x:c>
      <x:c r="Q179" s="32" t="str">
        <x:v>2020 supplement MeanTL</x:v>
      </x:c>
      <x:c r="R179" s="24" t="str">
        <x:v>high</x:v>
      </x:c>
      <x:c r="S179" s="24" t="str">
        <x:v>Mola mola</x:v>
      </x:c>
      <x:c r="T179" s="32" t="n">
        <x:f>IF(O179="","",(1/'Metadata'!$B$5)^(O179-1))</x:f>
        <x:v>478.6300923226385</x:v>
      </x:c>
      <x:c r="U179" s="31" t="n">
        <x:f>IF(T179="","",I179*T179)</x:f>
        <x:v>70471.24205773302</x:v>
      </x:c>
    </x:row>
    <x:row r="180" ht="18" customHeight="1">
      <x:c r="A180" s="24" t="str">
        <x:v>LME_047</x:v>
      </x:c>
      <x:c r="B180" s="24" t="str">
        <x:v>East China Sea</x:v>
      </x:c>
      <x:c r="C180" s="24" t="str">
        <x:v>LME</x:v>
      </x:c>
      <x:c r="D180" s="30" t="n">
        <x:v>2019</x:v>
      </x:c>
      <x:c r="E180" s="24" t="str">
        <x:v>Rapana</x:v>
      </x:c>
      <x:c r="F180" s="24" t="str">
        <x:v>Rapa whelks</x:v>
      </x:c>
      <x:c r="G180" s="24" t="str">
        <x:v>Other demersal invertebrates</x:v>
      </x:c>
      <x:c r="H180" s="24" t="str">
        <x:v>Molluscs</x:v>
      </x:c>
      <x:c r="I180" s="31" t="n">
        <x:v>127.2875117617</x:v>
      </x:c>
      <x:c r="J180" s="31" t="n">
        <x:v>0</x:v>
      </x:c>
      <x:c r="K180" s="31" t="n">
        <x:v>127.2875117617</x:v>
      </x:c>
      <x:c r="L180" s="31" t="n">
        <x:v>0</x:v>
      </x:c>
      <x:c r="M180" s="31" t="n">
        <x:v>127.2875117617</x:v>
      </x:c>
      <x:c r="N180" s="24" t="str">
        <x:v>rapana</x:v>
      </x:c>
      <x:c r="O180" s="32" t="n">
        <x:v>3</x:v>
      </x:c>
      <x:c r="P180" s="24" t="str">
        <x:v>exact_sea_around_us</x:v>
      </x:c>
      <x:c r="Q180" s="32" t="str">
        <x:v>Sea Around Us exploited organisms</x:v>
      </x:c>
      <x:c r="R180" s="24" t="str">
        <x:v>high</x:v>
      </x:c>
      <x:c r="S180" s="24" t="str">
        <x:v>Rapana</x:v>
      </x:c>
      <x:c r="T180" s="32" t="n">
        <x:f>IF(O180="","",(1/'Metadata'!$B$5)^(O180-1))</x:f>
        <x:v>100</x:v>
      </x:c>
      <x:c r="U180" s="31" t="n">
        <x:f>IF(T180="","",I180*T180)</x:f>
        <x:v>12728.75117617</x:v>
      </x:c>
    </x:row>
    <x:row r="181" ht="18" customHeight="1">
      <x:c r="A181" s="24" t="str">
        <x:v>LME_047</x:v>
      </x:c>
      <x:c r="B181" s="24" t="str">
        <x:v>East China Sea</x:v>
      </x:c>
      <x:c r="C181" s="24" t="str">
        <x:v>LME</x:v>
      </x:c>
      <x:c r="D181" s="30" t="n">
        <x:v>2019</x:v>
      </x:c>
      <x:c r="E181" s="24" t="str">
        <x:v>Batoidea</x:v>
      </x:c>
      <x:c r="F181" s="24" t="str">
        <x:v>Batoids, skates, rays, sawfishes</x:v>
      </x:c>
      <x:c r="G181" s="24" t="str">
        <x:v>Large rays (&gt;=90 cm)</x:v>
      </x:c>
      <x:c r="H181" s="24" t="str">
        <x:v>Sharks &amp; rays</x:v>
      </x:c>
      <x:c r="I181" s="31" t="n">
        <x:v>121.1045357946</x:v>
      </x:c>
      <x:c r="J181" s="31" t="n">
        <x:v>0</x:v>
      </x:c>
      <x:c r="K181" s="31" t="n">
        <x:v>121.1045357946</x:v>
      </x:c>
      <x:c r="L181" s="31" t="n">
        <x:v>0</x:v>
      </x:c>
      <x:c r="M181" s="31" t="n">
        <x:v>121.1045357946</x:v>
      </x:c>
      <x:c r="N181" s="24" t="str">
        <x:v>batoidea</x:v>
      </x:c>
      <x:c r="O181" s="32" t="n">
        <x:v>3.72</x:v>
      </x:c>
      <x:c r="P181" s="24" t="str">
        <x:v>exact_sea_around_us</x:v>
      </x:c>
      <x:c r="Q181" s="32" t="str">
        <x:v>Sea Around Us exploited organisms</x:v>
      </x:c>
      <x:c r="R181" s="24" t="str">
        <x:v>high</x:v>
      </x:c>
      <x:c r="S181" s="24" t="str">
        <x:v>Batoidea</x:v>
      </x:c>
      <x:c r="T181" s="32" t="n">
        <x:f>IF(O181="","",(1/'Metadata'!$B$5)^(O181-1))</x:f>
        <x:v>524.8074602497728</x:v>
      </x:c>
      <x:c r="U181" s="31" t="n">
        <x:f>IF(T181="","",I181*T181)</x:f>
        <x:v>63556.56385509173</x:v>
      </x:c>
    </x:row>
    <x:row r="182" ht="18" customHeight="1">
      <x:c r="A182" s="24" t="str">
        <x:v>LME_047</x:v>
      </x:c>
      <x:c r="B182" s="24" t="str">
        <x:v>East China Sea</x:v>
      </x:c>
      <x:c r="C182" s="24" t="str">
        <x:v>LME</x:v>
      </x:c>
      <x:c r="D182" s="30" t="n">
        <x:v>2019</x:v>
      </x:c>
      <x:c r="E182" s="24" t="str">
        <x:v>Gymnocranius</x:v>
      </x:c>
      <x:c r="F182" s="24" t="str">
        <x:v>Largeeye breams</x:v>
      </x:c>
      <x:c r="G182" s="24" t="str">
        <x:v>Medium reef assoc. fish (30 - 89 cm)</x:v>
      </x:c>
      <x:c r="H182" s="24" t="str">
        <x:v>Perch-likes</x:v>
      </x:c>
      <x:c r="I182" s="31" t="n">
        <x:v>118.45999514409999</x:v>
      </x:c>
      <x:c r="J182" s="31" t="n">
        <x:v>118.45999514409999</x:v>
      </x:c>
      <x:c r="K182" s="31" t="n">
        <x:v>0</x:v>
      </x:c>
      <x:c r="L182" s="31" t="n">
        <x:v>30.4831329649</x:v>
      </x:c>
      <x:c r="M182" s="31" t="n">
        <x:v>87.9768621792</x:v>
      </x:c>
      <x:c r="N182" s="24" t="str">
        <x:v>gymnocranius</x:v>
      </x:c>
      <x:c r="O182" s="32" t="n">
        <x:v>3.4</x:v>
      </x:c>
      <x:c r="P182" s="24" t="str">
        <x:v>exact_sea_around_us</x:v>
      </x:c>
      <x:c r="Q182" s="32" t="str">
        <x:v>Sea Around Us exploited organisms</x:v>
      </x:c>
      <x:c r="R182" s="24" t="str">
        <x:v>high</x:v>
      </x:c>
      <x:c r="S182" s="24" t="str">
        <x:v>Gymnocranius</x:v>
      </x:c>
      <x:c r="T182" s="32" t="n">
        <x:f>IF(O182="","",(1/'Metadata'!$B$5)^(O182-1))</x:f>
        <x:v>251.18864315095797</x:v>
      </x:c>
      <x:c r="U182" s="31" t="n">
        <x:f>IF(T182="","",I182*T182)</x:f>
        <x:v>29755.805447915547</x:v>
      </x:c>
    </x:row>
    <x:row r="183" ht="18" customHeight="1">
      <x:c r="A183" s="24" t="str">
        <x:v>LME_047</x:v>
      </x:c>
      <x:c r="B183" s="24" t="str">
        <x:v>East China Sea</x:v>
      </x:c>
      <x:c r="C183" s="24" t="str">
        <x:v>LME</x:v>
      </x:c>
      <x:c r="D183" s="30" t="n">
        <x:v>2019</x:v>
      </x:c>
      <x:c r="E183" s="24" t="str">
        <x:v>Metapenaeus</x:v>
      </x:c>
      <x:c r="F183" s="24" t="str">
        <x:v>Indo-Pacific prawns</x:v>
      </x:c>
      <x:c r="G183" s="24" t="str">
        <x:v>Shrimps</x:v>
      </x:c>
      <x:c r="H183" s="24" t="str">
        <x:v>Crustaceans</x:v>
      </x:c>
      <x:c r="I183" s="31" t="n">
        <x:v>113.5545316489</x:v>
      </x:c>
      <x:c r="J183" s="31" t="n">
        <x:v>108.9904586741</x:v>
      </x:c>
      <x:c r="K183" s="31" t="n">
        <x:v>4.5640729748</x:v>
      </x:c>
      <x:c r="L183" s="31" t="n">
        <x:v>19.3816233649</x:v>
      </x:c>
      <x:c r="M183" s="31" t="n">
        <x:v>94.172908284</x:v>
      </x:c>
      <x:c r="N183" s="24" t="str">
        <x:v>metapenaeus</x:v>
      </x:c>
      <x:c r="O183" s="32" t="n">
        <x:v>2.7</x:v>
      </x:c>
      <x:c r="P183" s="24" t="str">
        <x:v>exact_sea_around_us</x:v>
      </x:c>
      <x:c r="Q183" s="32" t="str">
        <x:v>Sea Around Us exploited organisms</x:v>
      </x:c>
      <x:c r="R183" s="24" t="str">
        <x:v>high</x:v>
      </x:c>
      <x:c r="S183" s="24" t="str">
        <x:v>Metapenaeus</x:v>
      </x:c>
      <x:c r="T183" s="32" t="n">
        <x:f>IF(O183="","",(1/'Metadata'!$B$5)^(O183-1))</x:f>
        <x:v>50.11872336272725</x:v>
      </x:c>
      <x:c r="U183" s="31" t="n">
        <x:f>IF(T183="","",I183*T183)</x:f>
        <x:v>5691.208158295275</x:v>
      </x:c>
    </x:row>
    <x:row r="184" ht="18" customHeight="1">
      <x:c r="A184" s="24" t="str">
        <x:v>LME_047</x:v>
      </x:c>
      <x:c r="B184" s="24" t="str">
        <x:v>East China Sea</x:v>
      </x:c>
      <x:c r="C184" s="24" t="str">
        <x:v>LME</x:v>
      </x:c>
      <x:c r="D184" s="30" t="n">
        <x:v>2019</x:v>
      </x:c>
      <x:c r="E184" s="24" t="str">
        <x:v>Beryx splendens</x:v>
      </x:c>
      <x:c r="F184" s="24" t="str">
        <x:v>Splendid alfonsino</x:v>
      </x:c>
      <x:c r="G184" s="24" t="str">
        <x:v>Medium benthopelagics (30 - 89 cm)</x:v>
      </x:c>
      <x:c r="H184" s="24" t="str">
        <x:v>Other fishes &amp; inverts</x:v>
      </x:c>
      <x:c r="I184" s="31" t="n">
        <x:v>109.9313039182</x:v>
      </x:c>
      <x:c r="J184" s="31" t="n">
        <x:v>109.9313039182</x:v>
      </x:c>
      <x:c r="K184" s="31" t="n">
        <x:v>0</x:v>
      </x:c>
      <x:c r="L184" s="31" t="n">
        <x:v>0</x:v>
      </x:c>
      <x:c r="M184" s="31" t="n">
        <x:v>109.9313039182</x:v>
      </x:c>
      <x:c r="N184" s="24" t="str">
        <x:v>beryx splendens</x:v>
      </x:c>
      <x:c r="O184" s="32" t="n">
        <x:v>4.27</x:v>
      </x:c>
      <x:c r="P184" s="24" t="str">
        <x:v>exact_2020_supplement</x:v>
      </x:c>
      <x:c r="Q184" s="32" t="str">
        <x:v>2020 supplement MeanTL</x:v>
      </x:c>
      <x:c r="R184" s="24" t="str">
        <x:v>high</x:v>
      </x:c>
      <x:c r="S184" s="24" t="str">
        <x:v>Beryx splendens</x:v>
      </x:c>
      <x:c r="T184" s="32" t="n">
        <x:f>IF(O184="","",(1/'Metadata'!$B$5)^(O184-1))</x:f>
        <x:v>1862.0871366628655</x:v>
      </x:c>
      <x:c r="U184" s="31" t="n">
        <x:f>IF(T184="","",I184*T184)</x:f>
        <x:v>204701.6669426563</x:v>
      </x:c>
    </x:row>
    <x:row r="185" ht="18" customHeight="1">
      <x:c r="A185" s="24" t="str">
        <x:v>LME_047</x:v>
      </x:c>
      <x:c r="B185" s="24" t="str">
        <x:v>East China Sea</x:v>
      </x:c>
      <x:c r="C185" s="24" t="str">
        <x:v>LME</x:v>
      </x:c>
      <x:c r="D185" s="30" t="n">
        <x:v>2019</x:v>
      </x:c>
      <x:c r="E185" s="24" t="str">
        <x:v>Rachycentridae</x:v>
      </x:c>
      <x:c r="F185" s="24" t="str">
        <x:v>Cobias</x:v>
      </x:c>
      <x:c r="G185" s="24" t="str">
        <x:v>Large pelagics (&gt;=90 cm)</x:v>
      </x:c>
      <x:c r="H185" s="24" t="str">
        <x:v>Perch-likes</x:v>
      </x:c>
      <x:c r="I185" s="31" t="n">
        <x:v>101.70119044910001</x:v>
      </x:c>
      <x:c r="J185" s="31" t="n">
        <x:v>101.1219791086</x:v>
      </x:c>
      <x:c r="K185" s="31" t="n">
        <x:v>0.5792113405</x:v>
      </x:c>
      <x:c r="L185" s="31" t="n">
        <x:v>101.11111080100001</x:v>
      </x:c>
      <x:c r="M185" s="31" t="n">
        <x:v>0.5900796481</x:v>
      </x:c>
      <x:c r="N185" s="24" t="str">
        <x:v>rachycentridae</x:v>
      </x:c>
      <x:c r="O185" s="32" t="n">
        <x:v>3.96</x:v>
      </x:c>
      <x:c r="P185" s="24" t="str">
        <x:v>exact_sea_around_us</x:v>
      </x:c>
      <x:c r="Q185" s="32" t="str">
        <x:v>Sea Around Us exploited organisms</x:v>
      </x:c>
      <x:c r="R185" s="24" t="str">
        <x:v>high</x:v>
      </x:c>
      <x:c r="S185" s="24" t="str">
        <x:v>Rachycentridae</x:v>
      </x:c>
      <x:c r="T185" s="32" t="n">
        <x:f>IF(O185="","",(1/'Metadata'!$B$5)^(O185-1))</x:f>
        <x:v>912.0108393559096</x:v>
      </x:c>
      <x:c r="U185" s="31" t="n">
        <x:f>IF(T185="","",I185*T185)</x:f>
        <x:v>92752.58806497892</x:v>
      </x:c>
    </x:row>
    <x:row r="186" ht="18" customHeight="1">
      <x:c r="A186" s="24" t="str">
        <x:v>LME_047</x:v>
      </x:c>
      <x:c r="B186" s="24" t="str">
        <x:v>East China Sea</x:v>
      </x:c>
      <x:c r="C186" s="24" t="str">
        <x:v>LME</x:v>
      </x:c>
      <x:c r="D186" s="30" t="n">
        <x:v>2019</x:v>
      </x:c>
      <x:c r="E186" s="24" t="str">
        <x:v>Ommastrephidae</x:v>
      </x:c>
      <x:c r="F186" s="24" t="str">
        <x:v>Arrow squids</x:v>
      </x:c>
      <x:c r="G186" s="24" t="str">
        <x:v>Cephalopods</x:v>
      </x:c>
      <x:c r="H186" s="24" t="str">
        <x:v>Other fishes &amp; inverts</x:v>
      </x:c>
      <x:c r="I186" s="31" t="n">
        <x:v>98.2371557575</x:v>
      </x:c>
      <x:c r="J186" s="31" t="n">
        <x:v>57.1108255629</x:v>
      </x:c>
      <x:c r="K186" s="31" t="n">
        <x:v>41.1263301946</x:v>
      </x:c>
      <x:c r="L186" s="31" t="n">
        <x:v>0</x:v>
      </x:c>
      <x:c r="M186" s="31" t="n">
        <x:v>98.2371557575</x:v>
      </x:c>
      <x:c r="N186" s="24" t="str">
        <x:v>ommastrephidae</x:v>
      </x:c>
      <x:c r="O186" s="32" t="n">
        <x:v>4.09</x:v>
      </x:c>
      <x:c r="P186" s="24" t="str">
        <x:v>exact_sea_around_us</x:v>
      </x:c>
      <x:c r="Q186" s="32" t="str">
        <x:v>Sea Around Us exploited organisms</x:v>
      </x:c>
      <x:c r="R186" s="24" t="str">
        <x:v>high</x:v>
      </x:c>
      <x:c r="S186" s="24" t="str">
        <x:v>Ommastrephidae</x:v>
      </x:c>
      <x:c r="T186" s="32" t="n">
        <x:f>IF(O186="","",(1/'Metadata'!$B$5)^(O186-1))</x:f>
        <x:v>1230.268770812381</x:v>
      </x:c>
      <x:c r="U186" s="31" t="n">
        <x:f>IF(T186="","",I186*T186)</x:f>
        <x:v>120858.10486188396</x:v>
      </x:c>
    </x:row>
    <x:row r="187" ht="18" customHeight="1">
      <x:c r="A187" s="24" t="str">
        <x:v>LME_047</x:v>
      </x:c>
      <x:c r="B187" s="24" t="str">
        <x:v>East China Sea</x:v>
      </x:c>
      <x:c r="C187" s="24" t="str">
        <x:v>LME</x:v>
      </x:c>
      <x:c r="D187" s="30" t="n">
        <x:v>2019</x:v>
      </x:c>
      <x:c r="E187" s="24" t="str">
        <x:v>Evynnis tumifrons</x:v>
      </x:c>
      <x:c r="F187" s="24" t="str">
        <x:v>Yellowback seabream</x:v>
      </x:c>
      <x:c r="G187" s="24" t="str">
        <x:v>Medium demersals (30 - 89 cm)</x:v>
      </x:c>
      <x:c r="H187" s="24" t="str">
        <x:v>Perch-likes</x:v>
      </x:c>
      <x:c r="I187" s="31" t="n">
        <x:v>97.0330736089</x:v>
      </x:c>
      <x:c r="J187" s="31" t="n">
        <x:v>0</x:v>
      </x:c>
      <x:c r="K187" s="31" t="n">
        <x:v>97.0330736089</x:v>
      </x:c>
      <x:c r="L187" s="31" t="n">
        <x:v>0</x:v>
      </x:c>
      <x:c r="M187" s="31" t="n">
        <x:v>97.0330736089</x:v>
      </x:c>
      <x:c r="N187" s="24" t="str">
        <x:v>evynnis tumifrons</x:v>
      </x:c>
      <x:c r="O187" s="32" t="n">
        <x:v>3.97</x:v>
      </x:c>
      <x:c r="P187" s="24" t="str">
        <x:v>exact_sea_around_us</x:v>
      </x:c>
      <x:c r="Q187" s="32" t="str">
        <x:v>Sea Around Us exploited organisms</x:v>
      </x:c>
      <x:c r="R187" s="24" t="str">
        <x:v>high</x:v>
      </x:c>
      <x:c r="S187" s="24" t="str">
        <x:v>Evynnis tumifrons</x:v>
      </x:c>
      <x:c r="T187" s="32" t="n">
        <x:f>IF(O187="","",(1/'Metadata'!$B$5)^(O187-1))</x:f>
        <x:v>933.2543007969915</x:v>
      </x:c>
      <x:c r="U187" s="31" t="n">
        <x:f>IF(T187="","",I187*T187)</x:f>
        <x:v>90556.53326505698</x:v>
      </x:c>
    </x:row>
    <x:row r="188" ht="18" customHeight="1">
      <x:c r="A188" s="24" t="str">
        <x:v>LME_047</x:v>
      </x:c>
      <x:c r="B188" s="24" t="str">
        <x:v>East China Sea</x:v>
      </x:c>
      <x:c r="C188" s="24" t="str">
        <x:v>LME</x:v>
      </x:c>
      <x:c r="D188" s="30" t="n">
        <x:v>2019</x:v>
      </x:c>
      <x:c r="E188" s="24" t="str">
        <x:v>Meretrix lusoria</x:v>
      </x:c>
      <x:c r="F188" s="24" t="str">
        <x:v>Japanese hard clam</x:v>
      </x:c>
      <x:c r="G188" s="24" t="str">
        <x:v>Other demersal invertebrates</x:v>
      </x:c>
      <x:c r="H188" s="24" t="str">
        <x:v>Molluscs</x:v>
      </x:c>
      <x:c r="I188" s="31" t="n">
        <x:v>96.3991709168</x:v>
      </x:c>
      <x:c r="J188" s="31" t="n">
        <x:v>95.8184091319</x:v>
      </x:c>
      <x:c r="K188" s="31" t="n">
        <x:v>0.5807617849</x:v>
      </x:c>
      <x:c r="L188" s="31" t="n">
        <x:v>95.8184091319</x:v>
      </x:c>
      <x:c r="M188" s="31" t="n">
        <x:v>0.5807617849</x:v>
      </x:c>
      <x:c r="N188" s="24" t="str">
        <x:v>meretrix lusoria</x:v>
      </x:c>
      <x:c r="O188" s="32" t="n">
        <x:v>2</x:v>
      </x:c>
      <x:c r="P188" s="24" t="str">
        <x:v>exact_sea_around_us</x:v>
      </x:c>
      <x:c r="Q188" s="32" t="str">
        <x:v>Sea Around Us exploited organisms</x:v>
      </x:c>
      <x:c r="R188" s="24" t="str">
        <x:v>high</x:v>
      </x:c>
      <x:c r="S188" s="24" t="str">
        <x:v>Meretrix lusoria</x:v>
      </x:c>
      <x:c r="T188" s="32" t="n">
        <x:f>IF(O188="","",(1/'Metadata'!$B$5)^(O188-1))</x:f>
        <x:v>10</x:v>
      </x:c>
      <x:c r="U188" s="31" t="n">
        <x:f>IF(T188="","",I188*T188)</x:f>
        <x:v>963.991709168</x:v>
      </x:c>
    </x:row>
    <x:row r="189" ht="18" customHeight="1">
      <x:c r="A189" s="24" t="str">
        <x:v>LME_047</x:v>
      </x:c>
      <x:c r="B189" s="24" t="str">
        <x:v>East China Sea</x:v>
      </x:c>
      <x:c r="C189" s="24" t="str">
        <x:v>LME</x:v>
      </x:c>
      <x:c r="D189" s="30" t="n">
        <x:v>2019</x:v>
      </x:c>
      <x:c r="E189" s="24" t="str">
        <x:v>Tegillarca granosa</x:v>
      </x:c>
      <x:c r="F189" s="24" t="str">
        <x:v>Granular ark</x:v>
      </x:c>
      <x:c r="G189" s="24" t="str">
        <x:v>Other demersal invertebrates</x:v>
      </x:c>
      <x:c r="H189" s="24" t="str">
        <x:v>Molluscs</x:v>
      </x:c>
      <x:c r="I189" s="31" t="n">
        <x:v>95.06970922869999</x:v>
      </x:c>
      <x:c r="J189" s="31" t="n">
        <x:v>95.06970922869999</x:v>
      </x:c>
      <x:c r="K189" s="31" t="n">
        <x:v>0</x:v>
      </x:c>
      <x:c r="L189" s="31" t="n">
        <x:v>95.06970922869999</x:v>
      </x:c>
      <x:c r="M189" s="31" t="n">
        <x:v>0</x:v>
      </x:c>
      <x:c r="N189" s="24" t="str">
        <x:v>tegillarca granosa</x:v>
      </x:c>
      <x:c r="O189" s="32" t="n">
        <x:v>2</x:v>
      </x:c>
      <x:c r="P189" s="24" t="str">
        <x:v>exact_2020_supplement</x:v>
      </x:c>
      <x:c r="Q189" s="32" t="str">
        <x:v>2020 supplement MeanTL</x:v>
      </x:c>
      <x:c r="R189" s="24" t="str">
        <x:v>high</x:v>
      </x:c>
      <x:c r="S189" s="24" t="str">
        <x:v>Tegillarca granosa</x:v>
      </x:c>
      <x:c r="T189" s="32" t="n">
        <x:f>IF(O189="","",(1/'Metadata'!$B$5)^(O189-1))</x:f>
        <x:v>10</x:v>
      </x:c>
      <x:c r="U189" s="31" t="n">
        <x:f>IF(T189="","",I189*T189)</x:f>
        <x:v>950.6970922869999</x:v>
      </x:c>
    </x:row>
    <x:row r="190" ht="18" customHeight="1">
      <x:c r="A190" s="24" t="str">
        <x:v>LME_047</x:v>
      </x:c>
      <x:c r="B190" s="24" t="str">
        <x:v>East China Sea</x:v>
      </x:c>
      <x:c r="C190" s="24" t="str">
        <x:v>LME</x:v>
      </x:c>
      <x:c r="D190" s="30" t="n">
        <x:v>2019</x:v>
      </x:c>
      <x:c r="E190" s="24" t="str">
        <x:v>Scorpaeniformes</x:v>
      </x:c>
      <x:c r="F190" s="24" t="str">
        <x:v>Scorpionfishes, flatheads</x:v>
      </x:c>
      <x:c r="G190" s="24" t="str">
        <x:v>Medium demersals (30 - 89 cm)</x:v>
      </x:c>
      <x:c r="H190" s="24" t="str">
        <x:v>Scorpionfishes</x:v>
      </x:c>
      <x:c r="I190" s="31" t="n">
        <x:v>93.7068821561</x:v>
      </x:c>
      <x:c r="J190" s="31" t="n">
        <x:v>93.7068821561</x:v>
      </x:c>
      <x:c r="K190" s="31" t="n">
        <x:v>0</x:v>
      </x:c>
      <x:c r="L190" s="31" t="n">
        <x:v>0</x:v>
      </x:c>
      <x:c r="M190" s="31" t="n">
        <x:v>93.7068821561</x:v>
      </x:c>
      <x:c r="N190" s="24" t="str">
        <x:v>scorpaeniformes</x:v>
      </x:c>
      <x:c r="O190" s="32" t="n">
        <x:v>3.78</x:v>
      </x:c>
      <x:c r="P190" s="24" t="str">
        <x:v>exact_sea_around_us</x:v>
      </x:c>
      <x:c r="Q190" s="32" t="str">
        <x:v>Sea Around Us exploited organisms</x:v>
      </x:c>
      <x:c r="R190" s="24" t="str">
        <x:v>high</x:v>
      </x:c>
      <x:c r="S190" s="24" t="str">
        <x:v>Scorpaeniformes</x:v>
      </x:c>
      <x:c r="T190" s="32" t="n">
        <x:f>IF(O190="","",(1/'Metadata'!$B$5)^(O190-1))</x:f>
        <x:v>602.5595860743575</x:v>
      </x:c>
      <x:c r="U190" s="31" t="n">
        <x:f>IF(T190="","",I190*T190)</x:f>
        <x:v>56463.980124298214</x:v>
      </x:c>
    </x:row>
    <x:row r="191" ht="18" customHeight="1">
      <x:c r="A191" s="24" t="str">
        <x:v>LME_047</x:v>
      </x:c>
      <x:c r="B191" s="24" t="str">
        <x:v>East China Sea</x:v>
      </x:c>
      <x:c r="C191" s="24" t="str">
        <x:v>LME</x:v>
      </x:c>
      <x:c r="D191" s="30" t="n">
        <x:v>2019</x:v>
      </x:c>
      <x:c r="E191" s="24" t="str">
        <x:v>Ostreidae</x:v>
      </x:c>
      <x:c r="F191" s="24" t="str">
        <x:v>True oysters</x:v>
      </x:c>
      <x:c r="G191" s="24" t="str">
        <x:v>Other demersal invertebrates</x:v>
      </x:c>
      <x:c r="H191" s="24" t="str">
        <x:v>Molluscs</x:v>
      </x:c>
      <x:c r="I191" s="31" t="n">
        <x:v>89.4165248008</x:v>
      </x:c>
      <x:c r="J191" s="31" t="n">
        <x:v>89.4165248008</x:v>
      </x:c>
      <x:c r="K191" s="31" t="n">
        <x:v>0</x:v>
      </x:c>
      <x:c r="L191" s="31" t="n">
        <x:v>0</x:v>
      </x:c>
      <x:c r="M191" s="31" t="n">
        <x:v>89.4165248008</x:v>
      </x:c>
      <x:c r="N191" s="24" t="str">
        <x:v>ostreidae</x:v>
      </x:c>
      <x:c r="O191" s="32" t="n">
        <x:v>2</x:v>
      </x:c>
      <x:c r="P191" s="24" t="str">
        <x:v>exact_sea_around_us</x:v>
      </x:c>
      <x:c r="Q191" s="32" t="str">
        <x:v>Sea Around Us exploited organisms</x:v>
      </x:c>
      <x:c r="R191" s="24" t="str">
        <x:v>high</x:v>
      </x:c>
      <x:c r="S191" s="24" t="str">
        <x:v>Ostreidae</x:v>
      </x:c>
      <x:c r="T191" s="32" t="n">
        <x:f>IF(O191="","",(1/'Metadata'!$B$5)^(O191-1))</x:f>
        <x:v>10</x:v>
      </x:c>
      <x:c r="U191" s="31" t="n">
        <x:f>IF(T191="","",I191*T191)</x:f>
        <x:v>894.165248008</x:v>
      </x:c>
    </x:row>
    <x:row r="192" ht="18" customHeight="1">
      <x:c r="A192" s="24" t="str">
        <x:v>LME_047</x:v>
      </x:c>
      <x:c r="B192" s="24" t="str">
        <x:v>East China Sea</x:v>
      </x:c>
      <x:c r="C192" s="24" t="str">
        <x:v>LME</x:v>
      </x:c>
      <x:c r="D192" s="30" t="n">
        <x:v>2019</x:v>
      </x:c>
      <x:c r="E192" s="24" t="str">
        <x:v>Sphyraenidae</x:v>
      </x:c>
      <x:c r="F192" s="24" t="str">
        <x:v>Barracudas</x:v>
      </x:c>
      <x:c r="G192" s="24" t="str">
        <x:v>Medium reef assoc. fish (30 - 89 cm)</x:v>
      </x:c>
      <x:c r="H192" s="24" t="str">
        <x:v>Perch-likes</x:v>
      </x:c>
      <x:c r="I192" s="31" t="n">
        <x:v>79.5999662153</x:v>
      </x:c>
      <x:c r="J192" s="31" t="n">
        <x:v>79.52434706860001</x:v>
      </x:c>
      <x:c r="K192" s="31" t="n">
        <x:v>0.0756191467</x:v>
      </x:c>
      <x:c r="L192" s="31" t="n">
        <x:v>77.0593849631</x:v>
      </x:c>
      <x:c r="M192" s="31" t="n">
        <x:v>2.5405812522</x:v>
      </x:c>
      <x:c r="N192" s="24" t="str">
        <x:v>sphyraenidae</x:v>
      </x:c>
      <x:c r="O192" s="32" t="n">
        <x:v>4.4</x:v>
      </x:c>
      <x:c r="P192" s="24" t="str">
        <x:v>exact_sea_around_us</x:v>
      </x:c>
      <x:c r="Q192" s="32" t="str">
        <x:v>Sea Around Us exploited organisms</x:v>
      </x:c>
      <x:c r="R192" s="24" t="str">
        <x:v>high</x:v>
      </x:c>
      <x:c r="S192" s="24" t="str">
        <x:v>Sphyraenidae</x:v>
      </x:c>
      <x:c r="T192" s="32" t="n">
        <x:f>IF(O192="","",(1/'Metadata'!$B$5)^(O192-1))</x:f>
        <x:v>2511.886431509582</x:v>
      </x:c>
      <x:c r="U192" s="31" t="n">
        <x:f>IF(T192="","",I192*T192)</x:f>
        <x:v>199946.0750848332</x:v>
      </x:c>
    </x:row>
    <x:row r="193" ht="18" customHeight="1">
      <x:c r="A193" s="24" t="str">
        <x:v>LME_047</x:v>
      </x:c>
      <x:c r="B193" s="24" t="str">
        <x:v>East China Sea</x:v>
      </x:c>
      <x:c r="C193" s="24" t="str">
        <x:v>LME</x:v>
      </x:c>
      <x:c r="D193" s="30" t="n">
        <x:v>2019</x:v>
      </x:c>
      <x:c r="E193" s="24" t="str">
        <x:v>Pseudopleuronectes herzensteini</x:v>
      </x:c>
      <x:c r="F193" s="24" t="str">
        <x:v>Yellow striped flounder</x:v>
      </x:c>
      <x:c r="G193" s="24" t="str">
        <x:v>Small to medium flatfishes (&lt;90 cm)</x:v>
      </x:c>
      <x:c r="H193" s="24" t="str">
        <x:v>Flatfishes</x:v>
      </x:c>
      <x:c r="I193" s="31" t="n">
        <x:v>70.0118598567</x:v>
      </x:c>
      <x:c r="J193" s="31" t="n">
        <x:v>70.0118598567</x:v>
      </x:c>
      <x:c r="K193" s="31" t="n">
        <x:v>0</x:v>
      </x:c>
      <x:c r="L193" s="31" t="n">
        <x:v>70.0118598567</x:v>
      </x:c>
      <x:c r="M193" s="31" t="n">
        <x:v>0</x:v>
      </x:c>
      <x:c r="N193" s="24" t="str">
        <x:v>pseudopleuronectes herzensteini</x:v>
      </x:c>
      <x:c r="O193" s="32" t="n">
        <x:v>3.15</x:v>
      </x:c>
      <x:c r="P193" s="24" t="str">
        <x:v>exact_sea_around_us</x:v>
      </x:c>
      <x:c r="Q193" s="32" t="str">
        <x:v>Sea Around Us exploited organisms</x:v>
      </x:c>
      <x:c r="R193" s="24" t="str">
        <x:v>high</x:v>
      </x:c>
      <x:c r="S193" s="24" t="str">
        <x:v>Pseudopleuronectes herzensteini</x:v>
      </x:c>
      <x:c r="T193" s="32" t="n">
        <x:f>IF(O193="","",(1/'Metadata'!$B$5)^(O193-1))</x:f>
        <x:v>141.2537544622754</x:v>
      </x:c>
      <x:c r="U193" s="31" t="n">
        <x:f>IF(T193="","",I193*T193)</x:f>
        <x:v>9889.438061645536</x:v>
      </x:c>
    </x:row>
    <x:row r="194" ht="18" customHeight="1">
      <x:c r="A194" s="24" t="str">
        <x:v>LME_047</x:v>
      </x:c>
      <x:c r="B194" s="24" t="str">
        <x:v>East China Sea</x:v>
      </x:c>
      <x:c r="C194" s="24" t="str">
        <x:v>LME</x:v>
      </x:c>
      <x:c r="D194" s="30" t="n">
        <x:v>2019</x:v>
      </x:c>
      <x:c r="E194" s="24" t="str">
        <x:v>Muraenidae</x:v>
      </x:c>
      <x:c r="F194" s="24" t="str">
        <x:v>Moray eels</x:v>
      </x:c>
      <x:c r="G194" s="24" t="str">
        <x:v>Large reef assoc. fish (&gt;=90 cm)</x:v>
      </x:c>
      <x:c r="H194" s="24" t="str">
        <x:v>Other fishes &amp; inverts</x:v>
      </x:c>
      <x:c r="I194" s="31" t="n">
        <x:v>68.0741419688</x:v>
      </x:c>
      <x:c r="J194" s="31" t="n">
        <x:v>0</x:v>
      </x:c>
      <x:c r="K194" s="31" t="n">
        <x:v>68.0741419688</x:v>
      </x:c>
      <x:c r="L194" s="31" t="n">
        <x:v>0</x:v>
      </x:c>
      <x:c r="M194" s="31" t="n">
        <x:v>68.0741419688</x:v>
      </x:c>
      <x:c r="N194" s="24" t="str">
        <x:v>muraenidae</x:v>
      </x:c>
      <x:c r="O194" s="32" t="n">
        <x:v>4.07</x:v>
      </x:c>
      <x:c r="P194" s="24" t="str">
        <x:v>exact_sea_around_us</x:v>
      </x:c>
      <x:c r="Q194" s="32" t="str">
        <x:v>Sea Around Us exploited organisms</x:v>
      </x:c>
      <x:c r="R194" s="24" t="str">
        <x:v>high</x:v>
      </x:c>
      <x:c r="S194" s="24" t="str">
        <x:v>Muraenidae</x:v>
      </x:c>
      <x:c r="T194" s="32" t="n">
        <x:f>IF(O194="","",(1/'Metadata'!$B$5)^(O194-1))</x:f>
        <x:v>1174.8975549395302</x:v>
      </x:c>
      <x:c r="U194" s="31" t="n">
        <x:f>IF(T194="","",I194*T194)</x:f>
        <x:v>79980.14295374959</x:v>
      </x:c>
    </x:row>
    <x:row r="195" ht="18" customHeight="1">
      <x:c r="A195" s="24" t="str">
        <x:v>LME_047</x:v>
      </x:c>
      <x:c r="B195" s="24" t="str">
        <x:v>East China Sea</x:v>
      </x:c>
      <x:c r="C195" s="24" t="str">
        <x:v>LME</x:v>
      </x:c>
      <x:c r="D195" s="30" t="n">
        <x:v>2019</x:v>
      </x:c>
      <x:c r="E195" s="24" t="str">
        <x:v>Penaeus penicillatus</x:v>
      </x:c>
      <x:c r="F195" s="24" t="str">
        <x:v>Redtail prawn</x:v>
      </x:c>
      <x:c r="G195" s="24" t="str">
        <x:v>Shrimps</x:v>
      </x:c>
      <x:c r="H195" s="24" t="str">
        <x:v>Crustaceans</x:v>
      </x:c>
      <x:c r="I195" s="31" t="n">
        <x:v>62.7995185203</x:v>
      </x:c>
      <x:c r="J195" s="31" t="n">
        <x:v>42.5191425597</x:v>
      </x:c>
      <x:c r="K195" s="31" t="n">
        <x:v>20.2803759606</x:v>
      </x:c>
      <x:c r="L195" s="31" t="n">
        <x:v>29.1680938563</x:v>
      </x:c>
      <x:c r="M195" s="31" t="n">
        <x:v>33.631424664</x:v>
      </x:c>
      <x:c r="N195" s="24" t="str">
        <x:v>penaeus penicillatus</x:v>
      </x:c>
      <x:c r="O195" s="32" t="n">
        <x:v>2.7</x:v>
      </x:c>
      <x:c r="P195" s="24" t="str">
        <x:v>exact_sea_around_us</x:v>
      </x:c>
      <x:c r="Q195" s="32" t="str">
        <x:v>Sea Around Us exploited organisms</x:v>
      </x:c>
      <x:c r="R195" s="24" t="str">
        <x:v>high</x:v>
      </x:c>
      <x:c r="S195" s="24" t="str">
        <x:v>Penaeus penicillatus</x:v>
      </x:c>
      <x:c r="T195" s="32" t="n">
        <x:f>IF(O195="","",(1/'Metadata'!$B$5)^(O195-1))</x:f>
        <x:v>50.11872336272725</x:v>
      </x:c>
      <x:c r="U195" s="31" t="n">
        <x:f>IF(T195="","",I195*T195)</x:f>
        <x:v>3147.431696031382</x:v>
      </x:c>
    </x:row>
    <x:row r="196" ht="18" customHeight="1">
      <x:c r="A196" s="24" t="str">
        <x:v>LME_047</x:v>
      </x:c>
      <x:c r="B196" s="24" t="str">
        <x:v>East China Sea</x:v>
      </x:c>
      <x:c r="C196" s="24" t="str">
        <x:v>LME</x:v>
      </x:c>
      <x:c r="D196" s="30" t="n">
        <x:v>2019</x:v>
      </x:c>
      <x:c r="E196" s="24" t="str">
        <x:v>Berycidae</x:v>
      </x:c>
      <x:c r="F196" s="24" t="str">
        <x:v>Alfonsinos, redfishes</x:v>
      </x:c>
      <x:c r="G196" s="24" t="str">
        <x:v>Medium benthopelagics (30 - 89 cm)</x:v>
      </x:c>
      <x:c r="H196" s="24" t="str">
        <x:v>Other fishes &amp; inverts</x:v>
      </x:c>
      <x:c r="I196" s="31" t="n">
        <x:v>56.4625881576</x:v>
      </x:c>
      <x:c r="J196" s="31" t="n">
        <x:v>56.3768185113</x:v>
      </x:c>
      <x:c r="K196" s="31" t="n">
        <x:v>0.0857696463</x:v>
      </x:c>
      <x:c r="L196" s="31" t="n">
        <x:v>56.3768185113</x:v>
      </x:c>
      <x:c r="M196" s="31" t="n">
        <x:v>0.0857696463</x:v>
      </x:c>
      <x:c r="N196" s="24" t="str">
        <x:v>berycidae</x:v>
      </x:c>
      <x:c r="O196" s="32" t="n">
        <x:v>3.99</x:v>
      </x:c>
      <x:c r="P196" s="24" t="str">
        <x:v>exact_sea_around_us</x:v>
      </x:c>
      <x:c r="Q196" s="32" t="str">
        <x:v>Sea Around Us exploited organisms</x:v>
      </x:c>
      <x:c r="R196" s="24" t="str">
        <x:v>high</x:v>
      </x:c>
      <x:c r="S196" s="24" t="str">
        <x:v>Berycidae</x:v>
      </x:c>
      <x:c r="T196" s="32" t="n">
        <x:f>IF(O196="","",(1/'Metadata'!$B$5)^(O196-1))</x:f>
        <x:v>977.2372209558112</x:v>
      </x:c>
      <x:c r="U196" s="31" t="n">
        <x:f>IF(T196="","",I196*T196)</x:f>
        <x:v>55177.34273910552</x:v>
      </x:c>
    </x:row>
    <x:row r="197" ht="18" customHeight="1">
      <x:c r="A197" s="24" t="str">
        <x:v>LME_047</x:v>
      </x:c>
      <x:c r="B197" s="24" t="str">
        <x:v>East China Sea</x:v>
      </x:c>
      <x:c r="C197" s="24" t="str">
        <x:v>LME</x:v>
      </x:c>
      <x:c r="D197" s="30" t="n">
        <x:v>2019</x:v>
      </x:c>
      <x:c r="E197" s="24" t="str">
        <x:v>Zenopsis nebulosa</x:v>
      </x:c>
      <x:c r="F197" s="24" t="str">
        <x:v>Mirror dory</x:v>
      </x:c>
      <x:c r="G197" s="24" t="str">
        <x:v>Medium bathydemersals (30 - 89 cm)</x:v>
      </x:c>
      <x:c r="H197" s="24" t="str">
        <x:v>Other fishes &amp; inverts</x:v>
      </x:c>
      <x:c r="I197" s="31" t="n">
        <x:v>51.0150887386</x:v>
      </x:c>
      <x:c r="J197" s="31" t="n">
        <x:v>51.0150887386</x:v>
      </x:c>
      <x:c r="K197" s="31" t="n">
        <x:v>0</x:v>
      </x:c>
      <x:c r="L197" s="31" t="n">
        <x:v>51.0150887386</x:v>
      </x:c>
      <x:c r="M197" s="31" t="n">
        <x:v>0</x:v>
      </x:c>
      <x:c r="N197" s="24" t="str">
        <x:v>zenopsis nebulosa</x:v>
      </x:c>
      <x:c r="O197" s="32" t="n">
        <x:v>3.98</x:v>
      </x:c>
      <x:c r="P197" s="24" t="str">
        <x:v>exact_2020_supplement</x:v>
      </x:c>
      <x:c r="Q197" s="32" t="str">
        <x:v>2020 supplement MeanTL</x:v>
      </x:c>
      <x:c r="R197" s="24" t="str">
        <x:v>high</x:v>
      </x:c>
      <x:c r="S197" s="24" t="str">
        <x:v>Zenopsis nebulosa</x:v>
      </x:c>
      <x:c r="T197" s="32" t="n">
        <x:f>IF(O197="","",(1/'Metadata'!$B$5)^(O197-1))</x:f>
        <x:v>954.992586021436</x:v>
      </x:c>
      <x:c r="U197" s="31" t="n">
        <x:f>IF(T197="","",I197*T197)</x:f>
        <x:v>48719.03152058865</x:v>
      </x:c>
    </x:row>
    <x:row r="198" ht="18" customHeight="1">
      <x:c r="A198" s="24" t="str">
        <x:v>LME_047</x:v>
      </x:c>
      <x:c r="B198" s="24" t="str">
        <x:v>East China Sea</x:v>
      </x:c>
      <x:c r="C198" s="24" t="str">
        <x:v>LME</x:v>
      </x:c>
      <x:c r="D198" s="30" t="n">
        <x:v>2019</x:v>
      </x:c>
      <x:c r="E198" s="24" t="str">
        <x:v>Isurus</x:v>
      </x:c>
      <x:c r="F198" s="24" t="str">
        <x:v>Mako sharks</x:v>
      </x:c>
      <x:c r="G198" s="24" t="str">
        <x:v>Large sharks (&gt;=90 cm)</x:v>
      </x:c>
      <x:c r="H198" s="24" t="str">
        <x:v>Sharks &amp; rays</x:v>
      </x:c>
      <x:c r="I198" s="31" t="n">
        <x:v>50.872915817899994</x:v>
      </x:c>
      <x:c r="J198" s="31" t="n">
        <x:v>45.9960465188</x:v>
      </x:c>
      <x:c r="K198" s="31" t="n">
        <x:v>4.8768692991</x:v>
      </x:c>
      <x:c r="L198" s="31" t="n">
        <x:v>11.7908576949</x:v>
      </x:c>
      <x:c r="M198" s="31" t="n">
        <x:v>39.082058123</x:v>
      </x:c>
      <x:c r="N198" s="24" t="str">
        <x:v>isurus</x:v>
      </x:c>
      <x:c r="O198" s="32" t="n">
        <x:v>4.5</x:v>
      </x:c>
      <x:c r="P198" s="24" t="str">
        <x:v>exact_sea_around_us</x:v>
      </x:c>
      <x:c r="Q198" s="32" t="str">
        <x:v>Sea Around Us exploited organisms</x:v>
      </x:c>
      <x:c r="R198" s="24" t="str">
        <x:v>high</x:v>
      </x:c>
      <x:c r="S198" s="24" t="str">
        <x:v>Isurus</x:v>
      </x:c>
      <x:c r="T198" s="32" t="n">
        <x:f>IF(O198="","",(1/'Metadata'!$B$5)^(O198-1))</x:f>
        <x:v>3162.2776601683795</x:v>
      </x:c>
      <x:c r="U198" s="31" t="n">
        <x:f>IF(T198="","",I198*T198)</x:f>
        <x:v>160874.28519857174</x:v>
      </x:c>
    </x:row>
    <x:row r="199" ht="18" customHeight="1">
      <x:c r="A199" s="24" t="str">
        <x:v>LME_047</x:v>
      </x:c>
      <x:c r="B199" s="24" t="str">
        <x:v>East China Sea</x:v>
      </x:c>
      <x:c r="C199" s="24" t="str">
        <x:v>LME</x:v>
      </x:c>
      <x:c r="D199" s="30" t="n">
        <x:v>2019</x:v>
      </x:c>
      <x:c r="E199" s="24" t="str">
        <x:v>Veneridae</x:v>
      </x:c>
      <x:c r="F199" s="24" t="str">
        <x:v>Venus clams</x:v>
      </x:c>
      <x:c r="G199" s="24" t="str">
        <x:v>Other demersal invertebrates</x:v>
      </x:c>
      <x:c r="H199" s="24" t="str">
        <x:v>Molluscs</x:v>
      </x:c>
      <x:c r="I199" s="31" t="n">
        <x:v>50.8439434946</x:v>
      </x:c>
      <x:c r="J199" s="31" t="n">
        <x:v>50.8439434946</x:v>
      </x:c>
      <x:c r="K199" s="31" t="n">
        <x:v>0</x:v>
      </x:c>
      <x:c r="L199" s="31" t="n">
        <x:v>0</x:v>
      </x:c>
      <x:c r="M199" s="31" t="n">
        <x:v>50.8439434946</x:v>
      </x:c>
      <x:c r="N199" s="24" t="str">
        <x:v>veneridae</x:v>
      </x:c>
      <x:c r="O199" s="32" t="n">
        <x:v>2</x:v>
      </x:c>
      <x:c r="P199" s="24" t="str">
        <x:v>exact_sea_around_us</x:v>
      </x:c>
      <x:c r="Q199" s="32" t="str">
        <x:v>Sea Around Us exploited organisms</x:v>
      </x:c>
      <x:c r="R199" s="24" t="str">
        <x:v>high</x:v>
      </x:c>
      <x:c r="S199" s="24" t="str">
        <x:v>Veneridae</x:v>
      </x:c>
      <x:c r="T199" s="32" t="n">
        <x:f>IF(O199="","",(1/'Metadata'!$B$5)^(O199-1))</x:f>
        <x:v>10</x:v>
      </x:c>
      <x:c r="U199" s="31" t="n">
        <x:f>IF(T199="","",I199*T199)</x:f>
        <x:v>508.439434946</x:v>
      </x:c>
    </x:row>
    <x:row r="200" ht="18" customHeight="1">
      <x:c r="A200" s="24" t="str">
        <x:v>LME_047</x:v>
      </x:c>
      <x:c r="B200" s="24" t="str">
        <x:v>East China Sea</x:v>
      </x:c>
      <x:c r="C200" s="24" t="str">
        <x:v>LME</x:v>
      </x:c>
      <x:c r="D200" s="30" t="n">
        <x:v>2019</x:v>
      </x:c>
      <x:c r="E200" s="24" t="str">
        <x:v>Haliotis</x:v>
      </x:c>
      <x:c r="F200" s="24" t="str">
        <x:v>Abalones</x:v>
      </x:c>
      <x:c r="G200" s="24" t="str">
        <x:v>Other demersal invertebrates</x:v>
      </x:c>
      <x:c r="H200" s="24" t="str">
        <x:v>Molluscs</x:v>
      </x:c>
      <x:c r="I200" s="31" t="n">
        <x:v>50.6850825314</x:v>
      </x:c>
      <x:c r="J200" s="31" t="n">
        <x:v>50.6850825314</x:v>
      </x:c>
      <x:c r="K200" s="31" t="n">
        <x:v>0</x:v>
      </x:c>
      <x:c r="L200" s="31" t="n">
        <x:v>50.6850825314</x:v>
      </x:c>
      <x:c r="M200" s="31" t="n">
        <x:v>0</x:v>
      </x:c>
      <x:c r="N200" s="24" t="str">
        <x:v>haliotis</x:v>
      </x:c>
      <x:c r="O200" s="32" t="n">
        <x:v>2</x:v>
      </x:c>
      <x:c r="P200" s="24" t="str">
        <x:v>exact_sea_around_us</x:v>
      </x:c>
      <x:c r="Q200" s="32" t="str">
        <x:v>Sea Around Us exploited organisms</x:v>
      </x:c>
      <x:c r="R200" s="24" t="str">
        <x:v>high</x:v>
      </x:c>
      <x:c r="S200" s="24" t="str">
        <x:v>Haliotis</x:v>
      </x:c>
      <x:c r="T200" s="32" t="n">
        <x:f>IF(O200="","",(1/'Metadata'!$B$5)^(O200-1))</x:f>
        <x:v>10</x:v>
      </x:c>
      <x:c r="U200" s="31" t="n">
        <x:f>IF(T200="","",I200*T200)</x:f>
        <x:v>506.85082531399996</x:v>
      </x:c>
    </x:row>
    <x:row r="201" ht="18" customHeight="1">
      <x:c r="A201" s="24" t="str">
        <x:v>LME_047</x:v>
      </x:c>
      <x:c r="B201" s="24" t="str">
        <x:v>East China Sea</x:v>
      </x:c>
      <x:c r="C201" s="24" t="str">
        <x:v>LME</x:v>
      </x:c>
      <x:c r="D201" s="30" t="n">
        <x:v>2019</x:v>
      </x:c>
      <x:c r="E201" s="24" t="str">
        <x:v>Clupanodon thrissa</x:v>
      </x:c>
      <x:c r="F201" s="24" t="str">
        <x:v>Chinese gizzard shad</x:v>
      </x:c>
      <x:c r="G201" s="24" t="str">
        <x:v>Small pelagics (&lt;30 cm)</x:v>
      </x:c>
      <x:c r="H201" s="24" t="str">
        <x:v>Herring-likes</x:v>
      </x:c>
      <x:c r="I201" s="31" t="n">
        <x:v>50.4808993058</x:v>
      </x:c>
      <x:c r="J201" s="31" t="n">
        <x:v>50.2736003434</x:v>
      </x:c>
      <x:c r="K201" s="31" t="n">
        <x:v>0.2072989624</x:v>
      </x:c>
      <x:c r="L201" s="31" t="n">
        <x:v>50.1749516743</x:v>
      </x:c>
      <x:c r="M201" s="31" t="n">
        <x:v>0.3059476315</x:v>
      </x:c>
      <x:c r="N201" s="24" t="str">
        <x:v>clupanodon thrissa</x:v>
      </x:c>
      <x:c r="O201" s="32" t="n">
        <x:v>3.01</x:v>
      </x:c>
      <x:c r="P201" s="24" t="str">
        <x:v>exact_sea_around_us</x:v>
      </x:c>
      <x:c r="Q201" s="32" t="str">
        <x:v>Sea Around Us exploited organisms</x:v>
      </x:c>
      <x:c r="R201" s="24" t="str">
        <x:v>high</x:v>
      </x:c>
      <x:c r="S201" s="24" t="str">
        <x:v>Clupanodon thrissa</x:v>
      </x:c>
      <x:c r="T201" s="32" t="n">
        <x:f>IF(O201="","",(1/'Metadata'!$B$5)^(O201-1))</x:f>
        <x:v>102.32929922807536</x:v>
      </x:c>
      <x:c r="U201" s="31" t="n">
        <x:f>IF(T201="","",I201*T201)</x:f>
        <x:v>5165.67505036555</x:v>
      </x:c>
    </x:row>
    <x:row r="202" ht="18" customHeight="1">
      <x:c r="A202" s="24" t="str">
        <x:v>LME_047</x:v>
      </x:c>
      <x:c r="B202" s="24" t="str">
        <x:v>East China Sea</x:v>
      </x:c>
      <x:c r="C202" s="24" t="str">
        <x:v>LME</x:v>
      </x:c>
      <x:c r="D202" s="30" t="n">
        <x:v>2019</x:v>
      </x:c>
      <x:c r="E202" s="24" t="str">
        <x:v>Saurida</x:v>
      </x:c>
      <x:c r="F202" s="24" t="str">
        <x:v>Lizardfishes</x:v>
      </x:c>
      <x:c r="G202" s="24" t="str">
        <x:v>Medium demersals (30 - 89 cm)</x:v>
      </x:c>
      <x:c r="H202" s="24" t="str">
        <x:v>Other fishes &amp; inverts</x:v>
      </x:c>
      <x:c r="I202" s="31" t="n">
        <x:v>47.7570724079</x:v>
      </x:c>
      <x:c r="J202" s="31" t="n">
        <x:v>0</x:v>
      </x:c>
      <x:c r="K202" s="31" t="n">
        <x:v>47.7570724079</x:v>
      </x:c>
      <x:c r="L202" s="31" t="n">
        <x:v>0</x:v>
      </x:c>
      <x:c r="M202" s="31" t="n">
        <x:v>47.7570724079</x:v>
      </x:c>
      <x:c r="N202" s="24" t="str">
        <x:v>saurida</x:v>
      </x:c>
      <x:c r="O202" s="32" t="n">
        <x:v>4.35</x:v>
      </x:c>
      <x:c r="P202" s="24" t="str">
        <x:v>exact_sea_around_us</x:v>
      </x:c>
      <x:c r="Q202" s="32" t="str">
        <x:v>Sea Around Us exploited organisms</x:v>
      </x:c>
      <x:c r="R202" s="24" t="str">
        <x:v>high</x:v>
      </x:c>
      <x:c r="S202" s="24" t="str">
        <x:v>Saurida</x:v>
      </x:c>
      <x:c r="T202" s="32" t="n">
        <x:f>IF(O202="","",(1/'Metadata'!$B$5)^(O202-1))</x:f>
        <x:v>2238.7211385683377</x:v>
      </x:c>
      <x:c r="U202" s="31" t="n">
        <x:f>IF(T202="","",I202*T202)</x:f>
        <x:v>106914.76751570443</x:v>
      </x:c>
    </x:row>
    <x:row r="203" ht="18" customHeight="1">
      <x:c r="A203" s="24" t="str">
        <x:v>LME_047</x:v>
      </x:c>
      <x:c r="B203" s="24" t="str">
        <x:v>East China Sea</x:v>
      </x:c>
      <x:c r="C203" s="24" t="str">
        <x:v>LME</x:v>
      </x:c>
      <x:c r="D203" s="30" t="n">
        <x:v>2019</x:v>
      </x:c>
      <x:c r="E203" s="24" t="str">
        <x:v>Lates calcarifer</x:v>
      </x:c>
      <x:c r="F203" s="24" t="str">
        <x:v>Barramundi</x:v>
      </x:c>
      <x:c r="G203" s="24" t="str">
        <x:v>Large demersals (&gt;=90 cm)</x:v>
      </x:c>
      <x:c r="H203" s="24" t="str">
        <x:v>Perch-likes</x:v>
      </x:c>
      <x:c r="I203" s="31" t="n">
        <x:v>43.755400060999996</x:v>
      </x:c>
      <x:c r="J203" s="31" t="n">
        <x:v>43.5337436151</x:v>
      </x:c>
      <x:c r="K203" s="31" t="n">
        <x:v>0.2216564459</x:v>
      </x:c>
      <x:c r="L203" s="31" t="n">
        <x:v>43.4780156842</x:v>
      </x:c>
      <x:c r="M203" s="31" t="n">
        <x:v>0.2773843768</x:v>
      </x:c>
      <x:c r="N203" s="24" t="str">
        <x:v>lates calcarifer</x:v>
      </x:c>
      <x:c r="O203" s="32" t="n">
        <x:v>4.35</x:v>
      </x:c>
      <x:c r="P203" s="24" t="str">
        <x:v>exact_2020_supplement</x:v>
      </x:c>
      <x:c r="Q203" s="32" t="str">
        <x:v>2020 supplement MeanTL</x:v>
      </x:c>
      <x:c r="R203" s="24" t="str">
        <x:v>high</x:v>
      </x:c>
      <x:c r="S203" s="24" t="str">
        <x:v>Lates calcarifer</x:v>
      </x:c>
      <x:c r="T203" s="32" t="n">
        <x:f>IF(O203="","",(1/'Metadata'!$B$5)^(O203-1))</x:f>
        <x:v>2238.7211385683377</x:v>
      </x:c>
      <x:c r="U203" s="31" t="n">
        <x:f>IF(T203="","",I203*T203)</x:f>
        <x:v>97956.13904307502</x:v>
      </x:c>
    </x:row>
    <x:row r="204" ht="18" customHeight="1">
      <x:c r="A204" s="24" t="str">
        <x:v>LME_047</x:v>
      </x:c>
      <x:c r="B204" s="24" t="str">
        <x:v>East China Sea</x:v>
      </x:c>
      <x:c r="C204" s="24" t="str">
        <x:v>LME</x:v>
      </x:c>
      <x:c r="D204" s="30" t="n">
        <x:v>2019</x:v>
      </x:c>
      <x:c r="E204" s="24" t="str">
        <x:v>Mizuhopecten yessoensis</x:v>
      </x:c>
      <x:c r="F204" s="24" t="str">
        <x:v>Yesso scallop</x:v>
      </x:c>
      <x:c r="G204" s="24" t="str">
        <x:v>Other demersal invertebrates</x:v>
      </x:c>
      <x:c r="H204" s="24" t="str">
        <x:v>Molluscs</x:v>
      </x:c>
      <x:c r="I204" s="31" t="n">
        <x:v>40.1950497176</x:v>
      </x:c>
      <x:c r="J204" s="31" t="n">
        <x:v>40.025531314</x:v>
      </x:c>
      <x:c r="K204" s="31" t="n">
        <x:v>0.16951840359999998</x:v>
      </x:c>
      <x:c r="L204" s="31" t="n">
        <x:v>39.9640644676</x:v>
      </x:c>
      <x:c r="M204" s="31" t="n">
        <x:v>0.23098524999999998</x:v>
      </x:c>
      <x:c r="N204" s="24" t="str">
        <x:v>mizuhopecten yessoensis</x:v>
      </x:c>
      <x:c r="O204" s="32" t="n">
        <x:v>2.1</x:v>
      </x:c>
      <x:c r="P204" s="24" t="str">
        <x:v>exact_sea_around_us</x:v>
      </x:c>
      <x:c r="Q204" s="32" t="str">
        <x:v>Sea Around Us exploited organisms</x:v>
      </x:c>
      <x:c r="R204" s="24" t="str">
        <x:v>high</x:v>
      </x:c>
      <x:c r="S204" s="24" t="str">
        <x:v>Mizuhopecten yessoensis</x:v>
      </x:c>
      <x:c r="T204" s="32" t="n">
        <x:f>IF(O204="","",(1/'Metadata'!$B$5)^(O204-1))</x:f>
        <x:v>12.589254117941675</x:v>
      </x:c>
      <x:c r="U204" s="31" t="n">
        <x:f>IF(T204="","",I204*T204)</x:f>
        <x:v>506.02569517816613</x:v>
      </x:c>
    </x:row>
    <x:row r="205" ht="18" customHeight="1">
      <x:c r="A205" s="24" t="str">
        <x:v>LME_047</x:v>
      </x:c>
      <x:c r="B205" s="24" t="str">
        <x:v>East China Sea</x:v>
      </x:c>
      <x:c r="C205" s="24" t="str">
        <x:v>LME</x:v>
      </x:c>
      <x:c r="D205" s="30" t="n">
        <x:v>2019</x:v>
      </x:c>
      <x:c r="E205" s="24" t="str">
        <x:v>Nibea mitsukurii</x:v>
      </x:c>
      <x:c r="F205" s="24" t="str">
        <x:v>Honnibe croaker</x:v>
      </x:c>
      <x:c r="G205" s="24" t="str">
        <x:v>Medium benthopelagics (30 - 89 cm)</x:v>
      </x:c>
      <x:c r="H205" s="24" t="str">
        <x:v>Perch-likes</x:v>
      </x:c>
      <x:c r="I205" s="31" t="n">
        <x:v>35.8918203781</x:v>
      </x:c>
      <x:c r="J205" s="31" t="n">
        <x:v>0</x:v>
      </x:c>
      <x:c r="K205" s="31" t="n">
        <x:v>35.8918203781</x:v>
      </x:c>
      <x:c r="L205" s="31" t="n">
        <x:v>0</x:v>
      </x:c>
      <x:c r="M205" s="31" t="n">
        <x:v>35.8918203781</x:v>
      </x:c>
      <x:c r="N205" s="24" t="str">
        <x:v>nibea mitsukurii</x:v>
      </x:c>
      <x:c r="O205" s="32" t="n">
        <x:v>3.5</x:v>
      </x:c>
      <x:c r="P205" s="24" t="str">
        <x:v>exact_2020_supplement</x:v>
      </x:c>
      <x:c r="Q205" s="32" t="str">
        <x:v>2020 supplement MeanTL</x:v>
      </x:c>
      <x:c r="R205" s="24" t="str">
        <x:v>high</x:v>
      </x:c>
      <x:c r="S205" s="24" t="str">
        <x:v>Nibea mitsukurii</x:v>
      </x:c>
      <x:c r="T205" s="32" t="n">
        <x:f>IF(O205="","",(1/'Metadata'!$B$5)^(O205-1))</x:f>
        <x:v>316.22776601683796</x:v>
      </x:c>
      <x:c r="U205" s="31" t="n">
        <x:f>IF(T205="","",I205*T205)</x:f>
        <x:v>11349.990176444184</x:v>
      </x:c>
    </x:row>
    <x:row r="206" ht="18" customHeight="1">
      <x:c r="A206" s="24" t="str">
        <x:v>LME_047</x:v>
      </x:c>
      <x:c r="B206" s="24" t="str">
        <x:v>East China Sea</x:v>
      </x:c>
      <x:c r="C206" s="24" t="str">
        <x:v>LME</x:v>
      </x:c>
      <x:c r="D206" s="30" t="n">
        <x:v>2019</x:v>
      </x:c>
      <x:c r="E206" s="24" t="str">
        <x:v>Nibea albiflora</x:v>
      </x:c>
      <x:c r="F206" s="24" t="str">
        <x:v>Yellow drum</x:v>
      </x:c>
      <x:c r="G206" s="24" t="str">
        <x:v>Medium benthopelagics (30 - 89 cm)</x:v>
      </x:c>
      <x:c r="H206" s="24" t="str">
        <x:v>Perch-likes</x:v>
      </x:c>
      <x:c r="I206" s="31" t="n">
        <x:v>34.9414091964</x:v>
      </x:c>
      <x:c r="J206" s="31" t="n">
        <x:v>34.9414091964</x:v>
      </x:c>
      <x:c r="K206" s="31" t="n">
        <x:v>0</x:v>
      </x:c>
      <x:c r="L206" s="31" t="n">
        <x:v>0</x:v>
      </x:c>
      <x:c r="M206" s="31" t="n">
        <x:v>34.9414091964</x:v>
      </x:c>
      <x:c r="N206" s="24" t="str">
        <x:v>nibea albiflora</x:v>
      </x:c>
      <x:c r="O206" s="32" t="n">
        <x:v>3.5</x:v>
      </x:c>
      <x:c r="P206" s="24" t="str">
        <x:v>exact_2020_supplement</x:v>
      </x:c>
      <x:c r="Q206" s="32" t="str">
        <x:v>2020 supplement MeanTL</x:v>
      </x:c>
      <x:c r="R206" s="24" t="str">
        <x:v>high</x:v>
      </x:c>
      <x:c r="S206" s="24" t="str">
        <x:v>Nibea albiflora</x:v>
      </x:c>
      <x:c r="T206" s="32" t="n">
        <x:f>IF(O206="","",(1/'Metadata'!$B$5)^(O206-1))</x:f>
        <x:v>316.22776601683796</x:v>
      </x:c>
      <x:c r="U206" s="31" t="n">
        <x:f>IF(T206="","",I206*T206)</x:f>
        <x:v>11049.44377165777</x:v>
      </x:c>
    </x:row>
    <x:row r="207" ht="18" customHeight="1">
      <x:c r="A207" s="24" t="str">
        <x:v>LME_047</x:v>
      </x:c>
      <x:c r="B207" s="24" t="str">
        <x:v>East China Sea</x:v>
      </x:c>
      <x:c r="C207" s="24" t="str">
        <x:v>LME</x:v>
      </x:c>
      <x:c r="D207" s="30" t="n">
        <x:v>2019</x:v>
      </x:c>
      <x:c r="E207" s="24" t="str">
        <x:v>Ariomma indica</x:v>
      </x:c>
      <x:c r="F207" s="24" t="str">
        <x:v>Indian driftfish</x:v>
      </x:c>
      <x:c r="G207" s="24" t="str">
        <x:v>Small benthopelagics (&lt;30 cm)</x:v>
      </x:c>
      <x:c r="H207" s="24" t="str">
        <x:v>Perch-likes</x:v>
      </x:c>
      <x:c r="I207" s="31" t="n">
        <x:v>31.547693979599998</x:v>
      </x:c>
      <x:c r="J207" s="31" t="n">
        <x:v>31.547693979599998</x:v>
      </x:c>
      <x:c r="K207" s="31" t="n">
        <x:v>0</x:v>
      </x:c>
      <x:c r="L207" s="31" t="n">
        <x:v>8.1940937666</x:v>
      </x:c>
      <x:c r="M207" s="31" t="n">
        <x:v>23.353600213</x:v>
      </x:c>
      <x:c r="N207" s="24" t="str">
        <x:v>ariomma indica</x:v>
      </x:c>
      <x:c r="O207" s="32" t="n">
        <x:v>3.63</x:v>
      </x:c>
      <x:c r="P207" s="24" t="str">
        <x:v>exact_sea_around_us</x:v>
      </x:c>
      <x:c r="Q207" s="32" t="str">
        <x:v>Sea Around Us exploited organisms</x:v>
      </x:c>
      <x:c r="R207" s="24" t="str">
        <x:v>high</x:v>
      </x:c>
      <x:c r="S207" s="24" t="str">
        <x:v>Ariomma indica</x:v>
      </x:c>
      <x:c r="T207" s="32" t="n">
        <x:f>IF(O207="","",(1/'Metadata'!$B$5)^(O207-1))</x:f>
        <x:v>426.57951880159254</x:v>
      </x:c>
      <x:c r="U207" s="31" t="n">
        <x:f>IF(T207="","",I207*T207)</x:f>
        <x:v>13457.600117117665</x:v>
      </x:c>
    </x:row>
    <x:row r="208" ht="18" customHeight="1">
      <x:c r="A208" s="24" t="str">
        <x:v>LME_047</x:v>
      </x:c>
      <x:c r="B208" s="24" t="str">
        <x:v>East China Sea</x:v>
      </x:c>
      <x:c r="C208" s="24" t="str">
        <x:v>LME</x:v>
      </x:c>
      <x:c r="D208" s="30" t="n">
        <x:v>2019</x:v>
      </x:c>
      <x:c r="E208" s="24" t="str">
        <x:v>Scaridae</x:v>
      </x:c>
      <x:c r="F208" s="24" t="str">
        <x:v>Parrotfishes</x:v>
      </x:c>
      <x:c r="G208" s="24" t="str">
        <x:v>Medium reef assoc. fish (30 - 89 cm)</x:v>
      </x:c>
      <x:c r="H208" s="24" t="str">
        <x:v>Perch-likes</x:v>
      </x:c>
      <x:c r="I208" s="31" t="n">
        <x:v>31.1287847128</x:v>
      </x:c>
      <x:c r="J208" s="31" t="n">
        <x:v>30.0312939602</x:v>
      </x:c>
      <x:c r="K208" s="31" t="n">
        <x:v>1.0974907526</x:v>
      </x:c>
      <x:c r="L208" s="31" t="n">
        <x:v>24.5541449461</x:v>
      </x:c>
      <x:c r="M208" s="31" t="n">
        <x:v>6.5746397667</x:v>
      </x:c>
      <x:c r="N208" s="24" t="str">
        <x:v>scaridae</x:v>
      </x:c>
      <x:c r="O208" s="32" t="n">
        <x:v>2</x:v>
      </x:c>
      <x:c r="P208" s="24" t="str">
        <x:v>exact_sea_around_us</x:v>
      </x:c>
      <x:c r="Q208" s="32" t="str">
        <x:v>Sea Around Us exploited organisms</x:v>
      </x:c>
      <x:c r="R208" s="24" t="str">
        <x:v>high</x:v>
      </x:c>
      <x:c r="S208" s="24" t="str">
        <x:v>Scaridae</x:v>
      </x:c>
      <x:c r="T208" s="32" t="n">
        <x:f>IF(O208="","",(1/'Metadata'!$B$5)^(O208-1))</x:f>
        <x:v>10</x:v>
      </x:c>
      <x:c r="U208" s="31" t="n">
        <x:f>IF(T208="","",I208*T208)</x:f>
        <x:v>311.287847128</x:v>
      </x:c>
    </x:row>
    <x:row r="209" ht="18" customHeight="1">
      <x:c r="A209" s="24" t="str">
        <x:v>LME_047</x:v>
      </x:c>
      <x:c r="B209" s="24" t="str">
        <x:v>East China Sea</x:v>
      </x:c>
      <x:c r="C209" s="24" t="str">
        <x:v>LME</x:v>
      </x:c>
      <x:c r="D209" s="30" t="n">
        <x:v>2019</x:v>
      </x:c>
      <x:c r="E209" s="24" t="str">
        <x:v>Mierspenaeopsis hardwickii</x:v>
      </x:c>
      <x:c r="F209" s="24" t="str">
        <x:v>Spear shrimp</x:v>
      </x:c>
      <x:c r="G209" s="24" t="str">
        <x:v>Shrimps</x:v>
      </x:c>
      <x:c r="H209" s="24" t="str">
        <x:v>Crustaceans</x:v>
      </x:c>
      <x:c r="I209" s="31" t="n">
        <x:v>29.9372671447</x:v>
      </x:c>
      <x:c r="J209" s="31" t="n">
        <x:v>0</x:v>
      </x:c>
      <x:c r="K209" s="31" t="n">
        <x:v>29.9372671447</x:v>
      </x:c>
      <x:c r="L209" s="31" t="n">
        <x:v>0</x:v>
      </x:c>
      <x:c r="M209" s="31" t="n">
        <x:v>29.9372671447</x:v>
      </x:c>
      <x:c r="N209" s="24" t="str">
        <x:v>mierspenaeopsis hardwickii</x:v>
      </x:c>
      <x:c r="O209" s="32" t="n">
        <x:v>2.71</x:v>
      </x:c>
      <x:c r="P209" s="24" t="str">
        <x:v>exact_sea_around_us</x:v>
      </x:c>
      <x:c r="Q209" s="32" t="str">
        <x:v>Sea Around Us exploited organisms</x:v>
      </x:c>
      <x:c r="R209" s="24" t="str">
        <x:v>high</x:v>
      </x:c>
      <x:c r="S209" s="24" t="str">
        <x:v>Mierspenaeopsis hardwickii</x:v>
      </x:c>
      <x:c r="T209" s="32" t="n">
        <x:f>IF(O209="","",(1/'Metadata'!$B$5)^(O209-1))</x:f>
        <x:v>51.28613839913648</x:v>
      </x:c>
      <x:c r="U209" s="31" t="n">
        <x:f>IF(T209="","",I209*T209)</x:f>
        <x:v>1535.3668260750057</x:v>
      </x:c>
    </x:row>
    <x:row r="210" ht="18" customHeight="1">
      <x:c r="A210" s="24" t="str">
        <x:v>LME_047</x:v>
      </x:c>
      <x:c r="B210" s="24" t="str">
        <x:v>East China Sea</x:v>
      </x:c>
      <x:c r="C210" s="24" t="str">
        <x:v>LME</x:v>
      </x:c>
      <x:c r="D210" s="30" t="n">
        <x:v>2019</x:v>
      </x:c>
      <x:c r="E210" s="24" t="str">
        <x:v>Decapterus russelli</x:v>
      </x:c>
      <x:c r="F210" s="24" t="str">
        <x:v>Indian scad</x:v>
      </x:c>
      <x:c r="G210" s="24" t="str">
        <x:v>Medium pelagics (30 - 89 cm)</x:v>
      </x:c>
      <x:c r="H210" s="24" t="str">
        <x:v>Perch-likes</x:v>
      </x:c>
      <x:c r="I210" s="31" t="n">
        <x:v>24.583188015999998</x:v>
      </x:c>
      <x:c r="J210" s="31" t="n">
        <x:v>24.583188015999998</x:v>
      </x:c>
      <x:c r="K210" s="31" t="n">
        <x:v>0</x:v>
      </x:c>
      <x:c r="L210" s="31" t="n">
        <x:v>0</x:v>
      </x:c>
      <x:c r="M210" s="31" t="n">
        <x:v>24.583188015999998</x:v>
      </x:c>
      <x:c r="N210" s="24" t="str">
        <x:v>decapterus russelli</x:v>
      </x:c>
      <x:c r="O210" s="32" t="n">
        <x:v>3.68</x:v>
      </x:c>
      <x:c r="P210" s="24" t="str">
        <x:v>exact_2020_supplement</x:v>
      </x:c>
      <x:c r="Q210" s="32" t="str">
        <x:v>2020 supplement MeanTL</x:v>
      </x:c>
      <x:c r="R210" s="24" t="str">
        <x:v>high</x:v>
      </x:c>
      <x:c r="S210" s="24" t="str">
        <x:v>Decapterus russelli</x:v>
      </x:c>
      <x:c r="T210" s="32" t="n">
        <x:f>IF(O210="","",(1/'Metadata'!$B$5)^(O210-1))</x:f>
        <x:v>478.6300923226385</x:v>
      </x:c>
      <x:c r="U210" s="31" t="n">
        <x:f>IF(T210="","",I210*T210)</x:f>
        <x:v>11766.25354968286</x:v>
      </x:c>
    </x:row>
    <x:row r="211" ht="18" customHeight="1">
      <x:c r="A211" s="24" t="str">
        <x:v>LME_047</x:v>
      </x:c>
      <x:c r="B211" s="24" t="str">
        <x:v>East China Sea</x:v>
      </x:c>
      <x:c r="C211" s="24" t="str">
        <x:v>LME</x:v>
      </x:c>
      <x:c r="D211" s="30" t="n">
        <x:v>2019</x:v>
      </x:c>
      <x:c r="E211" s="24" t="str">
        <x:v>Cardiidae</x:v>
      </x:c>
      <x:c r="F211" s="24" t="str">
        <x:v>Cockles</x:v>
      </x:c>
      <x:c r="G211" s="24" t="str">
        <x:v>Other demersal invertebrates</x:v>
      </x:c>
      <x:c r="H211" s="24" t="str">
        <x:v>Molluscs</x:v>
      </x:c>
      <x:c r="I211" s="31" t="n">
        <x:v>23.2421793874</x:v>
      </x:c>
      <x:c r="J211" s="31" t="n">
        <x:v>23.2421793874</x:v>
      </x:c>
      <x:c r="K211" s="31" t="n">
        <x:v>0</x:v>
      </x:c>
      <x:c r="L211" s="31" t="n">
        <x:v>23.2421793874</x:v>
      </x:c>
      <x:c r="M211" s="31" t="n">
        <x:v>0</x:v>
      </x:c>
      <x:c r="N211" s="24" t="str">
        <x:v>cardiidae</x:v>
      </x:c>
      <x:c r="O211" s="32" t="n">
        <x:v>2</x:v>
      </x:c>
      <x:c r="P211" s="24" t="str">
        <x:v>exact_sea_around_us</x:v>
      </x:c>
      <x:c r="Q211" s="32" t="str">
        <x:v>Sea Around Us exploited organisms</x:v>
      </x:c>
      <x:c r="R211" s="24" t="str">
        <x:v>high</x:v>
      </x:c>
      <x:c r="S211" s="24" t="str">
        <x:v>Cardiidae</x:v>
      </x:c>
      <x:c r="T211" s="32" t="n">
        <x:f>IF(O211="","",(1/'Metadata'!$B$5)^(O211-1))</x:f>
        <x:v>10</x:v>
      </x:c>
      <x:c r="U211" s="31" t="n">
        <x:f>IF(T211="","",I211*T211)</x:f>
        <x:v>232.421793874</x:v>
      </x:c>
    </x:row>
    <x:row r="212" ht="18" customHeight="1">
      <x:c r="A212" s="24" t="str">
        <x:v>LME_047</x:v>
      </x:c>
      <x:c r="B212" s="24" t="str">
        <x:v>East China Sea</x:v>
      </x:c>
      <x:c r="C212" s="24" t="str">
        <x:v>LME</x:v>
      </x:c>
      <x:c r="D212" s="30" t="n">
        <x:v>2019</x:v>
      </x:c>
      <x:c r="E212" s="24" t="str">
        <x:v>Istiophoridae</x:v>
      </x:c>
      <x:c r="F212" s="24" t="str">
        <x:v>Billfishes</x:v>
      </x:c>
      <x:c r="G212" s="24" t="str">
        <x:v>Large pelagics (&gt;=90 cm)</x:v>
      </x:c>
      <x:c r="H212" s="24" t="str">
        <x:v>Tuna &amp; billfishes</x:v>
      </x:c>
      <x:c r="I212" s="31" t="n">
        <x:v>20.2538858176</x:v>
      </x:c>
      <x:c r="J212" s="31" t="n">
        <x:v>20.2088406999</x:v>
      </x:c>
      <x:c r="K212" s="31" t="n">
        <x:v>0.0450451177</x:v>
      </x:c>
      <x:c r="L212" s="31" t="n">
        <x:v>20.2088406999</x:v>
      </x:c>
      <x:c r="M212" s="31" t="n">
        <x:v>0.0450451177</x:v>
      </x:c>
      <x:c r="N212" s="24" t="str">
        <x:v>istiophoridae</x:v>
      </x:c>
      <x:c r="O212" s="32" t="n">
        <x:v>4.48</x:v>
      </x:c>
      <x:c r="P212" s="24" t="str">
        <x:v>exact_sea_around_us</x:v>
      </x:c>
      <x:c r="Q212" s="32" t="str">
        <x:v>Sea Around Us exploited organisms</x:v>
      </x:c>
      <x:c r="R212" s="24" t="str">
        <x:v>high</x:v>
      </x:c>
      <x:c r="S212" s="24" t="str">
        <x:v>Istiophoridae</x:v>
      </x:c>
      <x:c r="T212" s="32" t="n">
        <x:f>IF(O212="","",(1/'Metadata'!$B$5)^(O212-1))</x:f>
        <x:v>3019.951720402019</x:v>
      </x:c>
      <x:c r="U212" s="31" t="n">
        <x:f>IF(T212="","",I212*T212)</x:f>
        <x:v>61165.757319687174</x:v>
      </x:c>
    </x:row>
    <x:row r="213" ht="18" customHeight="1">
      <x:c r="A213" s="24" t="str">
        <x:v>LME_047</x:v>
      </x:c>
      <x:c r="B213" s="24" t="str">
        <x:v>East China Sea</x:v>
      </x:c>
      <x:c r="C213" s="24" t="str">
        <x:v>LME</x:v>
      </x:c>
      <x:c r="D213" s="30" t="n">
        <x:v>2019</x:v>
      </x:c>
      <x:c r="E213" s="24" t="str">
        <x:v>Sphyraena</x:v>
      </x:c>
      <x:c r="F213" s="24" t="str">
        <x:v>Barracudas, sennets</x:v>
      </x:c>
      <x:c r="G213" s="24" t="str">
        <x:v>Large pelagics (&gt;=90 cm)</x:v>
      </x:c>
      <x:c r="H213" s="24" t="str">
        <x:v>Perch-likes</x:v>
      </x:c>
      <x:c r="I213" s="31" t="n">
        <x:v>15.7995005534</x:v>
      </x:c>
      <x:c r="J213" s="31" t="n">
        <x:v>15.7995005534</x:v>
      </x:c>
      <x:c r="K213" s="31" t="n">
        <x:v>0</x:v>
      </x:c>
      <x:c r="L213" s="31" t="n">
        <x:v>12.4883007897</x:v>
      </x:c>
      <x:c r="M213" s="31" t="n">
        <x:v>3.3111997637</x:v>
      </x:c>
      <x:c r="N213" s="24" t="str">
        <x:v>sphyraena</x:v>
      </x:c>
      <x:c r="O213" s="32" t="n">
        <x:v>4.4</x:v>
      </x:c>
      <x:c r="P213" s="24" t="str">
        <x:v>exact_sea_around_us</x:v>
      </x:c>
      <x:c r="Q213" s="32" t="str">
        <x:v>Sea Around Us exploited organisms</x:v>
      </x:c>
      <x:c r="R213" s="24" t="str">
        <x:v>high</x:v>
      </x:c>
      <x:c r="S213" s="24" t="str">
        <x:v>Sphyraena</x:v>
      </x:c>
      <x:c r="T213" s="32" t="n">
        <x:f>IF(O213="","",(1/'Metadata'!$B$5)^(O213-1))</x:f>
        <x:v>2511.886431509582</x:v>
      </x:c>
      <x:c r="U213" s="31" t="n">
        <x:f>IF(T213="","",I213*T213)</x:f>
        <x:v>39686.55106471359</x:v>
      </x:c>
    </x:row>
    <x:row r="214" ht="18" customHeight="1">
      <x:c r="A214" s="24" t="str">
        <x:v>LME_047</x:v>
      </x:c>
      <x:c r="B214" s="24" t="str">
        <x:v>East China Sea</x:v>
      </x:c>
      <x:c r="C214" s="24" t="str">
        <x:v>LME</x:v>
      </x:c>
      <x:c r="D214" s="30" t="n">
        <x:v>2019</x:v>
      </x:c>
      <x:c r="E214" s="24" t="str">
        <x:v>Scylla</x:v>
      </x:c>
      <x:c r="F214" s="24" t="str">
        <x:v>Mud crabs</x:v>
      </x:c>
      <x:c r="G214" s="24" t="str">
        <x:v>Lobsters, crabs</x:v>
      </x:c>
      <x:c r="H214" s="24" t="str">
        <x:v>Crustaceans</x:v>
      </x:c>
      <x:c r="I214" s="31" t="n">
        <x:v>14.816450745800001</x:v>
      </x:c>
      <x:c r="J214" s="31" t="n">
        <x:v>0</x:v>
      </x:c>
      <x:c r="K214" s="31" t="n">
        <x:v>14.816450745800001</x:v>
      </x:c>
      <x:c r="L214" s="31" t="n">
        <x:v>0</x:v>
      </x:c>
      <x:c r="M214" s="31" t="n">
        <x:v>14.816450745800001</x:v>
      </x:c>
      <x:c r="N214" s="24" t="str">
        <x:v>scylla</x:v>
      </x:c>
      <x:c r="O214" s="32" t="n">
        <x:v>3.17</x:v>
      </x:c>
      <x:c r="P214" s="24" t="str">
        <x:v>exact_sea_around_us</x:v>
      </x:c>
      <x:c r="Q214" s="32" t="str">
        <x:v>Sea Around Us exploited organisms</x:v>
      </x:c>
      <x:c r="R214" s="24" t="str">
        <x:v>high</x:v>
      </x:c>
      <x:c r="S214" s="24" t="str">
        <x:v>Scylla</x:v>
      </x:c>
      <x:c r="T214" s="32" t="n">
        <x:f>IF(O214="","",(1/'Metadata'!$B$5)^(O214-1))</x:f>
        <x:v>147.91083881682073</x:v>
      </x:c>
      <x:c r="U214" s="31" t="n">
        <x:f>IF(T214="","",I214*T214)</x:f>
        <x:v>2191.513658099387</x:v>
      </x:c>
    </x:row>
    <x:row r="215" ht="18" customHeight="1">
      <x:c r="A215" s="24" t="str">
        <x:v>LME_047</x:v>
      </x:c>
      <x:c r="B215" s="24" t="str">
        <x:v>East China Sea</x:v>
      </x:c>
      <x:c r="C215" s="24" t="str">
        <x:v>LME</x:v>
      </x:c>
      <x:c r="D215" s="30" t="n">
        <x:v>2019</x:v>
      </x:c>
      <x:c r="E215" s="24" t="str">
        <x:v>Platycaranx malabaricus</x:v>
      </x:c>
      <x:c r="F215" s="24" t="str">
        <x:v>Malabar trevally</x:v>
      </x:c>
      <x:c r="G215" s="24" t="str">
        <x:v>Medium reef assoc. fish (30 - 89 cm)</x:v>
      </x:c>
      <x:c r="H215" s="24" t="str">
        <x:v>Perch-likes</x:v>
      </x:c>
      <x:c r="I215" s="31" t="n">
        <x:v>14.3817194644</x:v>
      </x:c>
      <x:c r="J215" s="31" t="n">
        <x:v>0</x:v>
      </x:c>
      <x:c r="K215" s="31" t="n">
        <x:v>14.3817194644</x:v>
      </x:c>
      <x:c r="L215" s="31" t="n">
        <x:v>0</x:v>
      </x:c>
      <x:c r="M215" s="31" t="n">
        <x:v>14.3817194644</x:v>
      </x:c>
      <x:c r="N215" s="24" t="str">
        <x:v>platycaranx malabaricus</x:v>
      </x:c>
      <x:c r="O215" s="32" t="n">
        <x:v>3.88</x:v>
      </x:c>
      <x:c r="P215" s="24" t="str">
        <x:v>exact_sea_around_us</x:v>
      </x:c>
      <x:c r="Q215" s="32" t="str">
        <x:v>Sea Around Us exploited organisms</x:v>
      </x:c>
      <x:c r="R215" s="24" t="str">
        <x:v>high</x:v>
      </x:c>
      <x:c r="S215" s="24" t="str">
        <x:v>Platycaranx malabaricus</x:v>
      </x:c>
      <x:c r="T215" s="32" t="n">
        <x:f>IF(O215="","",(1/'Metadata'!$B$5)^(O215-1))</x:f>
        <x:v>758.5775750291835</x:v>
      </x:c>
      <x:c r="U215" s="31" t="n">
        <x:f>IF(T215="","",I215*T215)</x:f>
        <x:v>10909.64987605456</x:v>
      </x:c>
    </x:row>
    <x:row r="216" ht="18" customHeight="1">
      <x:c r="A216" s="24" t="str">
        <x:v>LME_047</x:v>
      </x:c>
      <x:c r="B216" s="24" t="str">
        <x:v>East China Sea</x:v>
      </x:c>
      <x:c r="C216" s="24" t="str">
        <x:v>LME</x:v>
      </x:c>
      <x:c r="D216" s="30" t="n">
        <x:v>2019</x:v>
      </x:c>
      <x:c r="E216" s="24" t="str">
        <x:v>Polydactylus sexfilis</x:v>
      </x:c>
      <x:c r="F216" s="24" t="str">
        <x:v>Sixfinger threadfin</x:v>
      </x:c>
      <x:c r="G216" s="24" t="str">
        <x:v>Medium demersals (30 - 89 cm)</x:v>
      </x:c>
      <x:c r="H216" s="24" t="str">
        <x:v>Perch-likes</x:v>
      </x:c>
      <x:c r="I216" s="31" t="n">
        <x:v>13.814894994400001</x:v>
      </x:c>
      <x:c r="J216" s="31" t="n">
        <x:v>0</x:v>
      </x:c>
      <x:c r="K216" s="31" t="n">
        <x:v>13.814894994400001</x:v>
      </x:c>
      <x:c r="L216" s="31" t="n">
        <x:v>0</x:v>
      </x:c>
      <x:c r="M216" s="31" t="n">
        <x:v>13.814894994400001</x:v>
      </x:c>
      <x:c r="N216" s="24" t="str">
        <x:v>polydactylus sexfilis</x:v>
      </x:c>
      <x:c r="O216" s="32" t="n">
        <x:v>3.43</x:v>
      </x:c>
      <x:c r="P216" s="24" t="str">
        <x:v>exact_2020_supplement</x:v>
      </x:c>
      <x:c r="Q216" s="32" t="str">
        <x:v>2020 supplement MeanTL</x:v>
      </x:c>
      <x:c r="R216" s="24" t="str">
        <x:v>high</x:v>
      </x:c>
      <x:c r="S216" s="24" t="str">
        <x:v>Polydactylus sexfilis</x:v>
      </x:c>
      <x:c r="T216" s="32" t="n">
        <x:f>IF(O216="","",(1/'Metadata'!$B$5)^(O216-1))</x:f>
        <x:v>269.1534803926917</x:v>
      </x:c>
      <x:c r="U216" s="31" t="n">
        <x:f>IF(T216="","",I216*T216)</x:f>
        <x:v>3718.327069002335</x:v>
      </x:c>
    </x:row>
    <x:row r="217" ht="18" customHeight="1">
      <x:c r="A217" s="24" t="str">
        <x:v>LME_047</x:v>
      </x:c>
      <x:c r="B217" s="24" t="str">
        <x:v>East China Sea</x:v>
      </x:c>
      <x:c r="C217" s="24" t="str">
        <x:v>LME</x:v>
      </x:c>
      <x:c r="D217" s="30" t="n">
        <x:v>2019</x:v>
      </x:c>
      <x:c r="E217" s="24" t="str">
        <x:v>Cypselurus</x:v>
      </x:c>
      <x:c r="F217" s="24" t="str">
        <x:v>Cypselurid flyingfishes</x:v>
      </x:c>
      <x:c r="G217" s="24" t="str">
        <x:v>Small pelagics (&lt;30 cm)</x:v>
      </x:c>
      <x:c r="H217" s="24" t="str">
        <x:v>Other fishes &amp; inverts</x:v>
      </x:c>
      <x:c r="I217" s="31" t="n">
        <x:v>12.6776216715</x:v>
      </x:c>
      <x:c r="J217" s="31" t="n">
        <x:v>12.6776216715</x:v>
      </x:c>
      <x:c r="K217" s="31" t="n">
        <x:v>0</x:v>
      </x:c>
      <x:c r="L217" s="31" t="n">
        <x:v>5.2295205729</x:v>
      </x:c>
      <x:c r="M217" s="31" t="n">
        <x:v>7.4481010986000005</x:v>
      </x:c>
      <x:c r="N217" s="24" t="str">
        <x:v>cypselurus</x:v>
      </x:c>
      <x:c r="O217" s="32" t="n">
        <x:v>3.4</x:v>
      </x:c>
      <x:c r="P217" s="24" t="str">
        <x:v>exact_sea_around_us</x:v>
      </x:c>
      <x:c r="Q217" s="32" t="str">
        <x:v>Sea Around Us exploited organisms</x:v>
      </x:c>
      <x:c r="R217" s="24" t="str">
        <x:v>high</x:v>
      </x:c>
      <x:c r="S217" s="24" t="str">
        <x:v>Cypselurus</x:v>
      </x:c>
      <x:c r="T217" s="32" t="n">
        <x:f>IF(O217="","",(1/'Metadata'!$B$5)^(O217-1))</x:f>
        <x:v>251.18864315095797</x:v>
      </x:c>
      <x:c r="U217" s="31" t="n">
        <x:f>IF(T217="","",I217*T217)</x:f>
        <x:v>3184.474586045265</x:v>
      </x:c>
    </x:row>
    <x:row r="218" ht="18" customHeight="1">
      <x:c r="A218" s="24" t="str">
        <x:v>LME_047</x:v>
      </x:c>
      <x:c r="B218" s="24" t="str">
        <x:v>East China Sea</x:v>
      </x:c>
      <x:c r="C218" s="24" t="str">
        <x:v>LME</x:v>
      </x:c>
      <x:c r="D218" s="30" t="n">
        <x:v>2019</x:v>
      </x:c>
      <x:c r="E218" s="24" t="str">
        <x:v>Scylla serrata</x:v>
      </x:c>
      <x:c r="F218" s="24" t="str">
        <x:v>Indo-Pacific swamp crab</x:v>
      </x:c>
      <x:c r="G218" s="24" t="str">
        <x:v>Lobsters, crabs</x:v>
      </x:c>
      <x:c r="H218" s="24" t="str">
        <x:v>Crustaceans</x:v>
      </x:c>
      <x:c r="I218" s="31" t="n">
        <x:v>12.5666865218</x:v>
      </x:c>
      <x:c r="J218" s="31" t="n">
        <x:v>12.4669893366</x:v>
      </x:c>
      <x:c r="K218" s="31" t="n">
        <x:v>0.0996971852</x:v>
      </x:c>
      <x:c r="L218" s="31" t="n">
        <x:v>8.6393259929</x:v>
      </x:c>
      <x:c r="M218" s="31" t="n">
        <x:v>3.9273605289</x:v>
      </x:c>
      <x:c r="N218" s="24" t="str">
        <x:v>scylla serrata</x:v>
      </x:c>
      <x:c r="O218" s="32" t="n">
        <x:v>3.17</x:v>
      </x:c>
      <x:c r="P218" s="24" t="str">
        <x:v>exact_2020_supplement</x:v>
      </x:c>
      <x:c r="Q218" s="32" t="str">
        <x:v>2020 supplement MeanTL</x:v>
      </x:c>
      <x:c r="R218" s="24" t="str">
        <x:v>high</x:v>
      </x:c>
      <x:c r="S218" s="24" t="str">
        <x:v>Scylla serrata</x:v>
      </x:c>
      <x:c r="T218" s="32" t="n">
        <x:f>IF(O218="","",(1/'Metadata'!$B$5)^(O218-1))</x:f>
        <x:v>147.91083881682073</x:v>
      </x:c>
      <x:c r="U218" s="31" t="n">
        <x:f>IF(T218="","",I218*T218)</x:f>
        <x:v>1858.7491445874732</x:v>
      </x:c>
    </x:row>
    <x:row r="219" ht="18" customHeight="1">
      <x:c r="A219" s="24" t="str">
        <x:v>LME_047</x:v>
      </x:c>
      <x:c r="B219" s="24" t="str">
        <x:v>East China Sea</x:v>
      </x:c>
      <x:c r="C219" s="24" t="str">
        <x:v>LME</x:v>
      </x:c>
      <x:c r="D219" s="30" t="n">
        <x:v>2019</x:v>
      </x:c>
      <x:c r="E219" s="24" t="str">
        <x:v>Penaeus monodon</x:v>
      </x:c>
      <x:c r="F219" s="24" t="str">
        <x:v>Giant tiger prawn</x:v>
      </x:c>
      <x:c r="G219" s="24" t="str">
        <x:v>Shrimps</x:v>
      </x:c>
      <x:c r="H219" s="24" t="str">
        <x:v>Crustaceans</x:v>
      </x:c>
      <x:c r="I219" s="31" t="n">
        <x:v>10.4857018996</x:v>
      </x:c>
      <x:c r="J219" s="31" t="n">
        <x:v>9.4413128004</x:v>
      </x:c>
      <x:c r="K219" s="31" t="n">
        <x:v>1.0443890992</x:v>
      </x:c>
      <x:c r="L219" s="31" t="n">
        <x:v>6.9015774634</x:v>
      </x:c>
      <x:c r="M219" s="31" t="n">
        <x:v>3.5841244362</x:v>
      </x:c>
      <x:c r="N219" s="24" t="str">
        <x:v>penaeus monodon</x:v>
      </x:c>
      <x:c r="O219" s="32" t="n">
        <x:v>2.6</x:v>
      </x:c>
      <x:c r="P219" s="24" t="str">
        <x:v>exact_sea_around_us</x:v>
      </x:c>
      <x:c r="Q219" s="32" t="str">
        <x:v>Sea Around Us exploited organisms</x:v>
      </x:c>
      <x:c r="R219" s="24" t="str">
        <x:v>high</x:v>
      </x:c>
      <x:c r="S219" s="24" t="str">
        <x:v>Penaeus monodon</x:v>
      </x:c>
      <x:c r="T219" s="32" t="n">
        <x:f>IF(O219="","",(1/'Metadata'!$B$5)^(O219-1))</x:f>
        <x:v>39.810717055349734</x:v>
      </x:c>
      <x:c r="U219" s="31" t="n">
        <x:f>IF(T219="","",I219*T219)</x:f>
        <x:v>417.44331145171884</x:v>
      </x:c>
    </x:row>
    <x:row r="220" ht="18" customHeight="1">
      <x:c r="A220" s="24" t="str">
        <x:v>LME_047</x:v>
      </x:c>
      <x:c r="B220" s="24" t="str">
        <x:v>East China Sea</x:v>
      </x:c>
      <x:c r="C220" s="24" t="str">
        <x:v>LME</x:v>
      </x:c>
      <x:c r="D220" s="30" t="n">
        <x:v>2019</x:v>
      </x:c>
      <x:c r="E220" s="24" t="str">
        <x:v>Platycaranx talamparoides</x:v>
      </x:c>
      <x:c r="F220" s="24" t="str">
        <x:v>Imposter trevally</x:v>
      </x:c>
      <x:c r="G220" s="24" t="str">
        <x:v>Medium pelagics (30 - 89 cm)</x:v>
      </x:c>
      <x:c r="H220" s="24" t="str">
        <x:v>Perch-likes</x:v>
      </x:c>
      <x:c r="I220" s="31" t="n">
        <x:v>8.874925039699999</x:v>
      </x:c>
      <x:c r="J220" s="31" t="n">
        <x:v>8.874925039699999</x:v>
      </x:c>
      <x:c r="K220" s="31" t="n">
        <x:v>0</x:v>
      </x:c>
      <x:c r="L220" s="31" t="n">
        <x:v>2.278447818</x:v>
      </x:c>
      <x:c r="M220" s="31" t="n">
        <x:v>6.5964772217</x:v>
      </x:c>
      <x:c r="N220" s="24" t="str">
        <x:v>platycaranx talamparoides</x:v>
      </x:c>
      <x:c r="O220" s="32" t="n">
        <x:v>4.4</x:v>
      </x:c>
      <x:c r="P220" s="24" t="str">
        <x:v>exact_sea_around_us</x:v>
      </x:c>
      <x:c r="Q220" s="32" t="str">
        <x:v>Sea Around Us exploited organisms</x:v>
      </x:c>
      <x:c r="R220" s="24" t="str">
        <x:v>high</x:v>
      </x:c>
      <x:c r="S220" s="24" t="str">
        <x:v>Platycaranx talamparoides</x:v>
      </x:c>
      <x:c r="T220" s="32" t="n">
        <x:f>IF(O220="","",(1/'Metadata'!$B$5)^(O220-1))</x:f>
        <x:v>2511.886431509582</x:v>
      </x:c>
      <x:c r="U220" s="31" t="n">
        <x:f>IF(T220="","",I220*T220)</x:f>
        <x:v>22292.803787887067</x:v>
      </x:c>
    </x:row>
    <x:row r="221" ht="18" customHeight="1">
      <x:c r="A221" s="24" t="str">
        <x:v>LME_047</x:v>
      </x:c>
      <x:c r="B221" s="24" t="str">
        <x:v>East China Sea</x:v>
      </x:c>
      <x:c r="C221" s="24" t="str">
        <x:v>LME</x:v>
      </x:c>
      <x:c r="D221" s="30" t="n">
        <x:v>2019</x:v>
      </x:c>
      <x:c r="E221" s="24" t="str">
        <x:v>Rachycentron canadum</x:v>
      </x:c>
      <x:c r="F221" s="24" t="str">
        <x:v>Cobia</x:v>
      </x:c>
      <x:c r="G221" s="24" t="str">
        <x:v>Large pelagics (&gt;=90 cm)</x:v>
      </x:c>
      <x:c r="H221" s="24" t="str">
        <x:v>Perch-likes</x:v>
      </x:c>
      <x:c r="I221" s="31" t="n">
        <x:v>7.9199319461</x:v>
      </x:c>
      <x:c r="J221" s="31" t="n">
        <x:v>4.0704521496999995</x:v>
      </x:c>
      <x:c r="K221" s="31" t="n">
        <x:v>3.8494797964000003</x:v>
      </x:c>
      <x:c r="L221" s="31" t="n">
        <x:v>4.0704521496999995</x:v>
      </x:c>
      <x:c r="M221" s="31" t="n">
        <x:v>3.8494797964000003</x:v>
      </x:c>
      <x:c r="N221" s="24" t="str">
        <x:v>rachycentron canadum</x:v>
      </x:c>
      <x:c r="O221" s="32" t="n">
        <x:v>3.96</x:v>
      </x:c>
      <x:c r="P221" s="24" t="str">
        <x:v>exact_2020_supplement</x:v>
      </x:c>
      <x:c r="Q221" s="32" t="str">
        <x:v>2020 supplement MeanTL</x:v>
      </x:c>
      <x:c r="R221" s="24" t="str">
        <x:v>high</x:v>
      </x:c>
      <x:c r="S221" s="24" t="str">
        <x:v>Rachycentron canadum</x:v>
      </x:c>
      <x:c r="T221" s="32" t="n">
        <x:f>IF(O221="","",(1/'Metadata'!$B$5)^(O221-1))</x:f>
        <x:v>912.0108393559096</x:v>
      </x:c>
      <x:c r="U221" s="31" t="n">
        <x:f>IF(T221="","",I221*T221)</x:f>
        <x:v>7223.063781804344</x:v>
      </x:c>
    </x:row>
    <x:row r="222" ht="18" customHeight="1">
      <x:c r="A222" s="24" t="str">
        <x:v>LME_047</x:v>
      </x:c>
      <x:c r="B222" s="24" t="str">
        <x:v>East China Sea</x:v>
      </x:c>
      <x:c r="C222" s="24" t="str">
        <x:v>LME</x:v>
      </x:c>
      <x:c r="D222" s="30" t="n">
        <x:v>2019</x:v>
      </x:c>
      <x:c r="E222" s="24" t="str">
        <x:v>Sergestidae</x:v>
      </x:c>
      <x:c r="F222" s="24" t="str">
        <x:v>Sergestid shrimp</x:v>
      </x:c>
      <x:c r="G222" s="24" t="str">
        <x:v>Shrimps</x:v>
      </x:c>
      <x:c r="H222" s="24" t="str">
        <x:v>Crustaceans</x:v>
      </x:c>
      <x:c r="I222" s="31" t="n">
        <x:v>7.0782484014</x:v>
      </x:c>
      <x:c r="J222" s="31" t="n">
        <x:v>0</x:v>
      </x:c>
      <x:c r="K222" s="31" t="n">
        <x:v>7.0782484014</x:v>
      </x:c>
      <x:c r="L222" s="31" t="n">
        <x:v>0</x:v>
      </x:c>
      <x:c r="M222" s="31" t="n">
        <x:v>7.0782484014</x:v>
      </x:c>
      <x:c r="N222" s="24" t="str">
        <x:v>sergestidae</x:v>
      </x:c>
      <x:c r="O222" s="32" t="n">
        <x:v>2.93</x:v>
      </x:c>
      <x:c r="P222" s="24" t="str">
        <x:v>exact_sea_around_us</x:v>
      </x:c>
      <x:c r="Q222" s="32" t="str">
        <x:v>Sea Around Us exploited organisms</x:v>
      </x:c>
      <x:c r="R222" s="24" t="str">
        <x:v>high</x:v>
      </x:c>
      <x:c r="S222" s="24" t="str">
        <x:v>Sergestidae</x:v>
      </x:c>
      <x:c r="T222" s="32" t="n">
        <x:f>IF(O222="","",(1/'Metadata'!$B$5)^(O222-1))</x:f>
        <x:v>85.11380382023768</x:v>
      </x:c>
      <x:c r="U222" s="31" t="n">
        <x:f>IF(T222="","",I222*T222)</x:f>
        <x:v>602.4566458276705</x:v>
      </x:c>
    </x:row>
    <x:row r="223" ht="18" customHeight="1">
      <x:c r="A223" s="24" t="str">
        <x:v>LME_047</x:v>
      </x:c>
      <x:c r="B223" s="24" t="str">
        <x:v>East China Sea</x:v>
      </x:c>
      <x:c r="C223" s="24" t="str">
        <x:v>LME</x:v>
      </x:c>
      <x:c r="D223" s="30" t="n">
        <x:v>2019</x:v>
      </x:c>
      <x:c r="E223" s="24" t="str">
        <x:v>Psettodes erumei</x:v>
      </x:c>
      <x:c r="F223" s="24" t="str">
        <x:v>Indian halibut</x:v>
      </x:c>
      <x:c r="G223" s="24" t="str">
        <x:v>Small to medium flatfishes (&lt;90 cm)</x:v>
      </x:c>
      <x:c r="H223" s="24" t="str">
        <x:v>Flatfishes</x:v>
      </x:c>
      <x:c r="I223" s="31" t="n">
        <x:v>6.871113315700001</x:v>
      </x:c>
      <x:c r="J223" s="31" t="n">
        <x:v>0</x:v>
      </x:c>
      <x:c r="K223" s="31" t="n">
        <x:v>6.871113315700001</x:v>
      </x:c>
      <x:c r="L223" s="31" t="n">
        <x:v>0</x:v>
      </x:c>
      <x:c r="M223" s="31" t="n">
        <x:v>6.871113315700001</x:v>
      </x:c>
      <x:c r="N223" s="24" t="str">
        <x:v>psettodes erumei</x:v>
      </x:c>
      <x:c r="O223" s="32" t="n">
        <x:v>4.39</x:v>
      </x:c>
      <x:c r="P223" s="24" t="str">
        <x:v>exact_2020_supplement</x:v>
      </x:c>
      <x:c r="Q223" s="32" t="str">
        <x:v>2020 supplement MeanTL</x:v>
      </x:c>
      <x:c r="R223" s="24" t="str">
        <x:v>high</x:v>
      </x:c>
      <x:c r="S223" s="24" t="str">
        <x:v>Psettodes erumei</x:v>
      </x:c>
      <x:c r="T223" s="32" t="n">
        <x:f>IF(O223="","",(1/'Metadata'!$B$5)^(O223-1))</x:f>
        <x:v>2454.7089156850284</x:v>
      </x:c>
      <x:c r="U223" s="31" t="n">
        <x:f>IF(T223="","",I223*T223)</x:f>
        <x:v>16866.583116730908</x:v>
      </x:c>
    </x:row>
    <x:row r="224" ht="18" customHeight="1">
      <x:c r="A224" s="24" t="str">
        <x:v>LME_047</x:v>
      </x:c>
      <x:c r="B224" s="24" t="str">
        <x:v>East China Sea</x:v>
      </x:c>
      <x:c r="C224" s="24" t="str">
        <x:v>LME</x:v>
      </x:c>
      <x:c r="D224" s="30" t="n">
        <x:v>2019</x:v>
      </x:c>
      <x:c r="E224" s="24" t="str">
        <x:v>Istiompax indica</x:v>
      </x:c>
      <x:c r="F224" s="24" t="str">
        <x:v>Black marlin</x:v>
      </x:c>
      <x:c r="G224" s="24" t="str">
        <x:v>Large pelagics (&gt;=90 cm)</x:v>
      </x:c>
      <x:c r="H224" s="24" t="str">
        <x:v>Tuna &amp; billfishes</x:v>
      </x:c>
      <x:c r="I224" s="31" t="n">
        <x:v>6.3813283971</x:v>
      </x:c>
      <x:c r="J224" s="31" t="n">
        <x:v>4.9139577919</x:v>
      </x:c>
      <x:c r="K224" s="31" t="n">
        <x:v>1.4673706052</x:v>
      </x:c>
      <x:c r="L224" s="31" t="n">
        <x:v>4.9139577919</x:v>
      </x:c>
      <x:c r="M224" s="31" t="n">
        <x:v>1.4673706052</x:v>
      </x:c>
      <x:c r="N224" s="24" t="str">
        <x:v>istiompax indica</x:v>
      </x:c>
      <x:c r="O224" s="32" t="n">
        <x:v>4.5</x:v>
      </x:c>
      <x:c r="P224" s="24" t="str">
        <x:v>exact_2020_supplement</x:v>
      </x:c>
      <x:c r="Q224" s="32" t="str">
        <x:v>2020 supplement MeanTL</x:v>
      </x:c>
      <x:c r="R224" s="24" t="str">
        <x:v>high</x:v>
      </x:c>
      <x:c r="S224" s="24" t="str">
        <x:v>Istiompax indica</x:v>
      </x:c>
      <x:c r="T224" s="32" t="n">
        <x:f>IF(O224="","",(1/'Metadata'!$B$5)^(O224-1))</x:f>
        <x:v>3162.2776601683795</x:v>
      </x:c>
      <x:c r="U224" s="31" t="n">
        <x:f>IF(T224="","",I224*T224)</x:f>
        <x:v>20179.532232347425</x:v>
      </x:c>
    </x:row>
    <x:row r="225" ht="18" customHeight="1">
      <x:c r="A225" s="24" t="str">
        <x:v>LME_047</x:v>
      </x:c>
      <x:c r="B225" s="24" t="str">
        <x:v>East China Sea</x:v>
      </x:c>
      <x:c r="C225" s="24" t="str">
        <x:v>LME</x:v>
      </x:c>
      <x:c r="D225" s="30" t="n">
        <x:v>2019</x:v>
      </x:c>
      <x:c r="E225" s="24" t="str">
        <x:v>Sphyraena barracuda</x:v>
      </x:c>
      <x:c r="F225" s="24" t="str">
        <x:v>Great barracuda</x:v>
      </x:c>
      <x:c r="G225" s="24" t="str">
        <x:v>Large pelagics (&gt;=90 cm)</x:v>
      </x:c>
      <x:c r="H225" s="24" t="str">
        <x:v>Perch-likes</x:v>
      </x:c>
      <x:c r="I225" s="31" t="n">
        <x:v>6.223331072800001</x:v>
      </x:c>
      <x:c r="J225" s="31" t="n">
        <x:v>0</x:v>
      </x:c>
      <x:c r="K225" s="31" t="n">
        <x:v>6.223331072800001</x:v>
      </x:c>
      <x:c r="L225" s="31" t="n">
        <x:v>0</x:v>
      </x:c>
      <x:c r="M225" s="31" t="n">
        <x:v>6.223331072800001</x:v>
      </x:c>
      <x:c r="N225" s="24" t="str">
        <x:v>sphyraena barracuda</x:v>
      </x:c>
      <x:c r="O225" s="32" t="n">
        <x:v>4.49</x:v>
      </x:c>
      <x:c r="P225" s="24" t="str">
        <x:v>exact_2020_supplement</x:v>
      </x:c>
      <x:c r="Q225" s="32" t="str">
        <x:v>2020 supplement MeanTL</x:v>
      </x:c>
      <x:c r="R225" s="24" t="str">
        <x:v>high</x:v>
      </x:c>
      <x:c r="S225" s="24" t="str">
        <x:v>Sphyraena barracuda</x:v>
      </x:c>
      <x:c r="T225" s="32" t="n">
        <x:f>IF(O225="","",(1/'Metadata'!$B$5)^(O225-1))</x:f>
        <x:v>3090.295432513592</x:v>
      </x:c>
      <x:c r="U225" s="31" t="n">
        <x:f>IF(T225="","",I225*T225)</x:f>
        <x:v>19231.931589293756</x:v>
      </x:c>
    </x:row>
    <x:row r="226" ht="18" customHeight="1">
      <x:c r="A226" s="24" t="str">
        <x:v>LME_047</x:v>
      </x:c>
      <x:c r="B226" s="24" t="str">
        <x:v>East China Sea</x:v>
      </x:c>
      <x:c r="C226" s="24" t="str">
        <x:v>LME</x:v>
      </x:c>
      <x:c r="D226" s="30" t="n">
        <x:v>2019</x:v>
      </x:c>
      <x:c r="E226" s="24" t="str">
        <x:v>Aluterus</x:v>
      </x:c>
      <x:c r="F226" s="24" t="str">
        <x:v>Aluterid filefishes</x:v>
      </x:c>
      <x:c r="G226" s="24" t="str">
        <x:v>Large reef assoc. fish (&gt;=90 cm)</x:v>
      </x:c>
      <x:c r="H226" s="24" t="str">
        <x:v>Other fishes &amp; inverts</x:v>
      </x:c>
      <x:c r="I226" s="31" t="n">
        <x:v>5.2431525049</x:v>
      </x:c>
      <x:c r="J226" s="31" t="n">
        <x:v>0</x:v>
      </x:c>
      <x:c r="K226" s="31" t="n">
        <x:v>5.2431525049</x:v>
      </x:c>
      <x:c r="L226" s="31" t="n">
        <x:v>0</x:v>
      </x:c>
      <x:c r="M226" s="31" t="n">
        <x:v>5.2431525049</x:v>
      </x:c>
      <x:c r="N226" s="24" t="str">
        <x:v>aluterus</x:v>
      </x:c>
      <x:c r="O226" s="32" t="n">
        <x:v>2.81</x:v>
      </x:c>
      <x:c r="P226" s="24" t="str">
        <x:v>exact_sea_around_us</x:v>
      </x:c>
      <x:c r="Q226" s="32" t="str">
        <x:v>Sea Around Us exploited organisms</x:v>
      </x:c>
      <x:c r="R226" s="24" t="str">
        <x:v>high</x:v>
      </x:c>
      <x:c r="S226" s="24" t="str">
        <x:v>Aluterus</x:v>
      </x:c>
      <x:c r="T226" s="32" t="n">
        <x:f>IF(O226="","",(1/'Metadata'!$B$5)^(O226-1))</x:f>
        <x:v>64.56542290346556</x:v>
      </x:c>
      <x:c r="U226" s="31" t="n">
        <x:f>IF(T226="","",I226*T226)</x:f>
        <x:v>338.5263588262333</x:v>
      </x:c>
    </x:row>
    <x:row r="227" ht="18" customHeight="1">
      <x:c r="A227" s="24" t="str">
        <x:v>LME_047</x:v>
      </x:c>
      <x:c r="B227" s="24" t="str">
        <x:v>East China Sea</x:v>
      </x:c>
      <x:c r="C227" s="24" t="str">
        <x:v>LME</x:v>
      </x:c>
      <x:c r="D227" s="30" t="n">
        <x:v>2019</x:v>
      </x:c>
      <x:c r="E227" s="24" t="str">
        <x:v>Epinephelus malabaricus</x:v>
      </x:c>
      <x:c r="F227" s="24" t="str">
        <x:v>Malabar grouper</x:v>
      </x:c>
      <x:c r="G227" s="24" t="str">
        <x:v>Large reef assoc. fish (&gt;=90 cm)</x:v>
      </x:c>
      <x:c r="H227" s="24" t="str">
        <x:v>Perch-likes</x:v>
      </x:c>
      <x:c r="I227" s="31" t="n">
        <x:v>4.7103308359</x:v>
      </x:c>
      <x:c r="J227" s="31" t="n">
        <x:v>0</x:v>
      </x:c>
      <x:c r="K227" s="31" t="n">
        <x:v>4.7103308359</x:v>
      </x:c>
      <x:c r="L227" s="31" t="n">
        <x:v>0</x:v>
      </x:c>
      <x:c r="M227" s="31" t="n">
        <x:v>4.7103308359</x:v>
      </x:c>
      <x:c r="N227" s="24" t="str">
        <x:v>epinephelus malabaricus</x:v>
      </x:c>
      <x:c r="O227" s="32" t="n">
        <x:v>4.16</x:v>
      </x:c>
      <x:c r="P227" s="24" t="str">
        <x:v>exact_2020_supplement</x:v>
      </x:c>
      <x:c r="Q227" s="32" t="str">
        <x:v>2020 supplement MeanTL</x:v>
      </x:c>
      <x:c r="R227" s="24" t="str">
        <x:v>high</x:v>
      </x:c>
      <x:c r="S227" s="24" t="str">
        <x:v>Epinephelus malabaricus</x:v>
      </x:c>
      <x:c r="T227" s="32" t="n">
        <x:f>IF(O227="","",(1/'Metadata'!$B$5)^(O227-1))</x:f>
        <x:v>1445.439770745928</x:v>
      </x:c>
      <x:c r="U227" s="31" t="n">
        <x:f>IF(T227="","",I227*T227)</x:f>
        <x:v>6808.499523580771</x:v>
      </x:c>
    </x:row>
    <x:row r="228" ht="18" customHeight="1">
      <x:c r="A228" s="24" t="str">
        <x:v>LME_047</x:v>
      </x:c>
      <x:c r="B228" s="24" t="str">
        <x:v>East China Sea</x:v>
      </x:c>
      <x:c r="C228" s="24" t="str">
        <x:v>LME</x:v>
      </x:c>
      <x:c r="D228" s="30" t="n">
        <x:v>2019</x:v>
      </x:c>
      <x:c r="E228" s="24" t="str">
        <x:v>Istiophorus platypterus</x:v>
      </x:c>
      <x:c r="F228" s="24" t="str">
        <x:v>Indo-Pacific sailfish</x:v>
      </x:c>
      <x:c r="G228" s="24" t="str">
        <x:v>Large pelagics (&gt;=90 cm)</x:v>
      </x:c>
      <x:c r="H228" s="24" t="str">
        <x:v>Tuna &amp; billfishes</x:v>
      </x:c>
      <x:c r="I228" s="31" t="n">
        <x:v>4.6362855199</x:v>
      </x:c>
      <x:c r="J228" s="31" t="n">
        <x:v>0</x:v>
      </x:c>
      <x:c r="K228" s="31" t="n">
        <x:v>4.6362855199</x:v>
      </x:c>
      <x:c r="L228" s="31" t="n">
        <x:v>0</x:v>
      </x:c>
      <x:c r="M228" s="31" t="n">
        <x:v>4.6362855199</x:v>
      </x:c>
      <x:c r="N228" s="24" t="str">
        <x:v>istiophorus platypterus</x:v>
      </x:c>
      <x:c r="O228" s="32" t="n">
        <x:v>4.5</x:v>
      </x:c>
      <x:c r="P228" s="24" t="str">
        <x:v>exact_2020_supplement</x:v>
      </x:c>
      <x:c r="Q228" s="32" t="str">
        <x:v>2020 supplement MeanTL</x:v>
      </x:c>
      <x:c r="R228" s="24" t="str">
        <x:v>high</x:v>
      </x:c>
      <x:c r="S228" s="24" t="str">
        <x:v>Istiophorus platypterus</x:v>
      </x:c>
      <x:c r="T228" s="32" t="n">
        <x:f>IF(O228="","",(1/'Metadata'!$B$5)^(O228-1))</x:f>
        <x:v>3162.2776601683795</x:v>
      </x:c>
      <x:c r="U228" s="31" t="n">
        <x:f>IF(T228="","",I228*T228)</x:f>
        <x:v>14661.222125741911</x:v>
      </x:c>
    </x:row>
    <x:row r="229" ht="18" customHeight="1">
      <x:c r="A229" s="24" t="str">
        <x:v>LME_047</x:v>
      </x:c>
      <x:c r="B229" s="24" t="str">
        <x:v>East China Sea</x:v>
      </x:c>
      <x:c r="C229" s="24" t="str">
        <x:v>LME</x:v>
      </x:c>
      <x:c r="D229" s="30" t="n">
        <x:v>2019</x:v>
      </x:c>
      <x:c r="E229" s="24" t="str">
        <x:v>Encrasicholina punctifer</x:v>
      </x:c>
      <x:c r="F229" s="24" t="str">
        <x:v>Buccaneer anchovy</x:v>
      </x:c>
      <x:c r="G229" s="24" t="str">
        <x:v>Small pelagics (&lt;30 cm)</x:v>
      </x:c>
      <x:c r="H229" s="24" t="str">
        <x:v>Anchovies</x:v>
      </x:c>
      <x:c r="I229" s="31" t="n">
        <x:v>4.3974868132</x:v>
      </x:c>
      <x:c r="J229" s="31" t="n">
        <x:v>0</x:v>
      </x:c>
      <x:c r="K229" s="31" t="n">
        <x:v>4.3974868132</x:v>
      </x:c>
      <x:c r="L229" s="31" t="n">
        <x:v>0</x:v>
      </x:c>
      <x:c r="M229" s="31" t="n">
        <x:v>4.3974868132</x:v>
      </x:c>
      <x:c r="N229" s="24" t="str">
        <x:v>encrasicholina punctifer</x:v>
      </x:c>
      <x:c r="O229" s="32" t="n">
        <x:v>3.25</x:v>
      </x:c>
      <x:c r="P229" s="24" t="str">
        <x:v>exact_sea_around_us</x:v>
      </x:c>
      <x:c r="Q229" s="32" t="str">
        <x:v>Sea Around Us exploited organisms</x:v>
      </x:c>
      <x:c r="R229" s="24" t="str">
        <x:v>high</x:v>
      </x:c>
      <x:c r="S229" s="24" t="str">
        <x:v>Encrasicholina punctifer</x:v>
      </x:c>
      <x:c r="T229" s="32" t="n">
        <x:f>IF(O229="","",(1/'Metadata'!$B$5)^(O229-1))</x:f>
        <x:v>177.82794100389228</x:v>
      </x:c>
      <x:c r="U229" s="31" t="n">
        <x:f>IF(T229="","",I229*T229)</x:f>
        <x:v>781.9960255831238</x:v>
      </x:c>
    </x:row>
    <x:row r="230" ht="18" customHeight="1">
      <x:c r="A230" s="24" t="str">
        <x:v>LME_047</x:v>
      </x:c>
      <x:c r="B230" s="24" t="str">
        <x:v>East China Sea</x:v>
      </x:c>
      <x:c r="C230" s="24" t="str">
        <x:v>LME</x:v>
      </x:c>
      <x:c r="D230" s="30" t="n">
        <x:v>2019</x:v>
      </x:c>
      <x:c r="E230" s="24" t="str">
        <x:v>Auxis thazard</x:v>
      </x:c>
      <x:c r="F230" s="24" t="str">
        <x:v>Frigate tuna</x:v>
      </x:c>
      <x:c r="G230" s="24" t="str">
        <x:v>Medium pelagics (30 - 89 cm)</x:v>
      </x:c>
      <x:c r="H230" s="24" t="str">
        <x:v>Tuna &amp; billfishes</x:v>
      </x:c>
      <x:c r="I230" s="31" t="n">
        <x:v>4.3940620954</x:v>
      </x:c>
      <x:c r="J230" s="31" t="n">
        <x:v>0</x:v>
      </x:c>
      <x:c r="K230" s="31" t="n">
        <x:v>4.3940620954</x:v>
      </x:c>
      <x:c r="L230" s="31" t="n">
        <x:v>0</x:v>
      </x:c>
      <x:c r="M230" s="31" t="n">
        <x:v>4.3940620954</x:v>
      </x:c>
      <x:c r="N230" s="24" t="str">
        <x:v>auxis thazard</x:v>
      </x:c>
      <x:c r="O230" s="32" t="n">
        <x:v>4.37</x:v>
      </x:c>
      <x:c r="P230" s="24" t="str">
        <x:v>exact_2020_supplement</x:v>
      </x:c>
      <x:c r="Q230" s="32" t="str">
        <x:v>2020 supplement MeanTL</x:v>
      </x:c>
      <x:c r="R230" s="24" t="str">
        <x:v>high</x:v>
      </x:c>
      <x:c r="S230" s="24" t="str">
        <x:v>Auxis thazard</x:v>
      </x:c>
      <x:c r="T230" s="32" t="n">
        <x:f>IF(O230="","",(1/'Metadata'!$B$5)^(O230-1))</x:f>
        <x:v>2344.228815319923</x:v>
      </x:c>
      <x:c r="U230" s="31" t="n">
        <x:f>IF(T230="","",I230*T230)</x:f>
        <x:v>10300.68698034172</x:v>
      </x:c>
    </x:row>
    <x:row r="231" ht="18" customHeight="1">
      <x:c r="A231" s="24" t="str">
        <x:v>LME_047</x:v>
      </x:c>
      <x:c r="B231" s="24" t="str">
        <x:v>East China Sea</x:v>
      </x:c>
      <x:c r="C231" s="24" t="str">
        <x:v>LME</x:v>
      </x:c>
      <x:c r="D231" s="30" t="n">
        <x:v>2019</x:v>
      </x:c>
      <x:c r="E231" s="24" t="str">
        <x:v>Lethrinus miniatus</x:v>
      </x:c>
      <x:c r="F231" s="24" t="str">
        <x:v>Trumpet emperor</x:v>
      </x:c>
      <x:c r="G231" s="24" t="str">
        <x:v>Medium reef assoc. fish (30 - 89 cm)</x:v>
      </x:c>
      <x:c r="H231" s="24" t="str">
        <x:v>Perch-likes</x:v>
      </x:c>
      <x:c r="I231" s="31" t="n">
        <x:v>4.0413802046</x:v>
      </x:c>
      <x:c r="J231" s="31" t="n">
        <x:v>3.6656188352</x:v>
      </x:c>
      <x:c r="K231" s="31" t="n">
        <x:v>0.3757613694</x:v>
      </x:c>
      <x:c r="L231" s="31" t="n">
        <x:v>2.2559265357</x:v>
      </x:c>
      <x:c r="M231" s="31" t="n">
        <x:v>1.7854536689</x:v>
      </x:c>
      <x:c r="N231" s="24" t="str">
        <x:v>lethrinus miniatus</x:v>
      </x:c>
      <x:c r="O231" s="32" t="n">
        <x:v>4.19</x:v>
      </x:c>
      <x:c r="P231" s="24" t="str">
        <x:v>exact_2020_supplement</x:v>
      </x:c>
      <x:c r="Q231" s="32" t="str">
        <x:v>2020 supplement MeanTL</x:v>
      </x:c>
      <x:c r="R231" s="24" t="str">
        <x:v>high</x:v>
      </x:c>
      <x:c r="S231" s="24" t="str">
        <x:v>Lethrinus miniatus</x:v>
      </x:c>
      <x:c r="T231" s="32" t="n">
        <x:f>IF(O231="","",(1/'Metadata'!$B$5)^(O231-1))</x:f>
        <x:v>1548.8166189124827</x:v>
      </x:c>
      <x:c r="U231" s="31" t="n">
        <x:f>IF(T231="","",I231*T231)</x:f>
        <x:v>6259.35682422841</x:v>
      </x:c>
    </x:row>
    <x:row r="232" ht="18" customHeight="1">
      <x:c r="A232" s="24" t="str">
        <x:v>LME_047</x:v>
      </x:c>
      <x:c r="B232" s="24" t="str">
        <x:v>East China Sea</x:v>
      </x:c>
      <x:c r="C232" s="24" t="str">
        <x:v>LME</x:v>
      </x:c>
      <x:c r="D232" s="30" t="n">
        <x:v>2019</x:v>
      </x:c>
      <x:c r="E232" s="24" t="str">
        <x:v>Acetes</x:v>
      </x:c>
      <x:c r="F232" s="24" t="str">
        <x:v>Acetes shrimps</x:v>
      </x:c>
      <x:c r="G232" s="24" t="str">
        <x:v>Shrimps</x:v>
      </x:c>
      <x:c r="H232" s="24" t="str">
        <x:v>Crustaceans</x:v>
      </x:c>
      <x:c r="I232" s="31" t="n">
        <x:v>3.0226031556</x:v>
      </x:c>
      <x:c r="J232" s="31" t="n">
        <x:v>0</x:v>
      </x:c>
      <x:c r="K232" s="31" t="n">
        <x:v>3.0226031556</x:v>
      </x:c>
      <x:c r="L232" s="31" t="n">
        <x:v>0</x:v>
      </x:c>
      <x:c r="M232" s="31" t="n">
        <x:v>3.0226031556</x:v>
      </x:c>
      <x:c r="N232" s="24" t="str">
        <x:v>acetes</x:v>
      </x:c>
      <x:c r="O232" s="32" t="n">
        <x:v>2.7</x:v>
      </x:c>
      <x:c r="P232" s="24" t="str">
        <x:v>exact_sea_around_us</x:v>
      </x:c>
      <x:c r="Q232" s="32" t="str">
        <x:v>Sea Around Us exploited organisms</x:v>
      </x:c>
      <x:c r="R232" s="24" t="str">
        <x:v>high</x:v>
      </x:c>
      <x:c r="S232" s="24" t="str">
        <x:v>Acetes</x:v>
      </x:c>
      <x:c r="T232" s="32" t="n">
        <x:f>IF(O232="","",(1/'Metadata'!$B$5)^(O232-1))</x:f>
        <x:v>50.11872336272725</x:v>
      </x:c>
      <x:c r="U232" s="31" t="n">
        <x:f>IF(T232="","",I232*T232)</x:f>
        <x:v>151.48901139082284</x:v>
      </x:c>
    </x:row>
    <x:row r="233" ht="18" customHeight="1">
      <x:c r="A233" s="24" t="str">
        <x:v>LME_047</x:v>
      </x:c>
      <x:c r="B233" s="24" t="str">
        <x:v>East China Sea</x:v>
      </x:c>
      <x:c r="C233" s="24" t="str">
        <x:v>LME</x:v>
      </x:c>
      <x:c r="D233" s="30" t="n">
        <x:v>2019</x:v>
      </x:c>
      <x:c r="E233" s="24" t="str">
        <x:v>Ammodytes</x:v>
      </x:c>
      <x:c r="F233" s="24" t="str">
        <x:v>Sand eels</x:v>
      </x:c>
      <x:c r="G233" s="24" t="str">
        <x:v>Large reef assoc. fish (&gt;=90 cm)</x:v>
      </x:c>
      <x:c r="H233" s="24" t="str">
        <x:v>Perch-likes</x:v>
      </x:c>
      <x:c r="I233" s="31" t="n">
        <x:v>2.8460769219</x:v>
      </x:c>
      <x:c r="J233" s="31" t="n">
        <x:v>0</x:v>
      </x:c>
      <x:c r="K233" s="31" t="n">
        <x:v>2.8460769219</x:v>
      </x:c>
      <x:c r="L233" s="31" t="n">
        <x:v>0</x:v>
      </x:c>
      <x:c r="M233" s="31" t="n">
        <x:v>2.8460769219</x:v>
      </x:c>
      <x:c r="N233" s="24" t="str">
        <x:v>ammodytes</x:v>
      </x:c>
      <x:c r="O233" s="32" t="n">
        <x:v>3.11</x:v>
      </x:c>
      <x:c r="P233" s="24" t="str">
        <x:v>exact_sea_around_us</x:v>
      </x:c>
      <x:c r="Q233" s="32" t="str">
        <x:v>Sea Around Us exploited organisms</x:v>
      </x:c>
      <x:c r="R233" s="24" t="str">
        <x:v>high</x:v>
      </x:c>
      <x:c r="S233" s="24" t="str">
        <x:v>Ammodytes</x:v>
      </x:c>
      <x:c r="T233" s="32" t="n">
        <x:f>IF(O233="","",(1/'Metadata'!$B$5)^(O233-1))</x:f>
        <x:v>128.82495516931337</x:v>
      </x:c>
      <x:c r="U233" s="31" t="n">
        <x:f>IF(T233="","",I233*T233)</x:f>
        <x:v>366.64573187218485</x:v>
      </x:c>
    </x:row>
    <x:row r="234" ht="18" customHeight="1">
      <x:c r="A234" s="24" t="str">
        <x:v>LME_047</x:v>
      </x:c>
      <x:c r="B234" s="24" t="str">
        <x:v>East China Sea</x:v>
      </x:c>
      <x:c r="C234" s="24" t="str">
        <x:v>LME</x:v>
      </x:c>
      <x:c r="D234" s="30" t="n">
        <x:v>2019</x:v>
      </x:c>
      <x:c r="E234" s="24" t="str">
        <x:v>Hemitrygon akajei</x:v>
      </x:c>
      <x:c r="F234" s="24" t="str">
        <x:v>Whip stingray</x:v>
      </x:c>
      <x:c r="G234" s="24" t="str">
        <x:v>Large rays (&gt;=90 cm)</x:v>
      </x:c>
      <x:c r="H234" s="24" t="str">
        <x:v>Sharks &amp; rays</x:v>
      </x:c>
      <x:c r="I234" s="31" t="n">
        <x:v>2.4882256703</x:v>
      </x:c>
      <x:c r="J234" s="31" t="n">
        <x:v>0</x:v>
      </x:c>
      <x:c r="K234" s="31" t="n">
        <x:v>2.4882256703</x:v>
      </x:c>
      <x:c r="L234" s="31" t="n">
        <x:v>0</x:v>
      </x:c>
      <x:c r="M234" s="31" t="n">
        <x:v>2.4882256703</x:v>
      </x:c>
      <x:c r="N234" s="24" t="str">
        <x:v>hemitrygon akajei</x:v>
      </x:c>
      <x:c r="O234" s="32" t="n">
        <x:v>3.84</x:v>
      </x:c>
      <x:c r="P234" s="24" t="str">
        <x:v>exact_sea_around_us</x:v>
      </x:c>
      <x:c r="Q234" s="32" t="str">
        <x:v>Sea Around Us exploited organisms</x:v>
      </x:c>
      <x:c r="R234" s="24" t="str">
        <x:v>high</x:v>
      </x:c>
      <x:c r="S234" s="24" t="str">
        <x:v>Hemitrygon akajei</x:v>
      </x:c>
      <x:c r="T234" s="32" t="n">
        <x:f>IF(O234="","",(1/'Metadata'!$B$5)^(O234-1))</x:f>
        <x:v>691.8309709189363</x:v>
      </x:c>
      <x:c r="U234" s="31" t="n">
        <x:f>IF(T234="","",I234*T234)</x:f>
        <x:v>1721.4315813490698</x:v>
      </x:c>
    </x:row>
    <x:row r="235" ht="18" customHeight="1">
      <x:c r="A235" s="24" t="str">
        <x:v>LME_047</x:v>
      </x:c>
      <x:c r="B235" s="24" t="str">
        <x:v>East China Sea</x:v>
      </x:c>
      <x:c r="C235" s="24" t="str">
        <x:v>LME</x:v>
      </x:c>
      <x:c r="D235" s="30" t="n">
        <x:v>2019</x:v>
      </x:c>
      <x:c r="E235" s="24" t="str">
        <x:v>Cheilopogon unicolor</x:v>
      </x:c>
      <x:c r="F235" s="24" t="str">
        <x:v>Limpidwing flyingfish</x:v>
      </x:c>
      <x:c r="G235" s="24" t="str">
        <x:v>Medium pelagics (30 - 89 cm)</x:v>
      </x:c>
      <x:c r="H235" s="24" t="str">
        <x:v>Other fishes &amp; inverts</x:v>
      </x:c>
      <x:c r="I235" s="31" t="n">
        <x:v>2.2531685931</x:v>
      </x:c>
      <x:c r="J235" s="31" t="n">
        <x:v>0</x:v>
      </x:c>
      <x:c r="K235" s="31" t="n">
        <x:v>2.2531685931</x:v>
      </x:c>
      <x:c r="L235" s="31" t="n">
        <x:v>0</x:v>
      </x:c>
      <x:c r="M235" s="31" t="n">
        <x:v>2.2531685931</x:v>
      </x:c>
      <x:c r="N235" s="24" t="str">
        <x:v>cheilopogon unicolor</x:v>
      </x:c>
      <x:c r="O235" s="32" t="n">
        <x:v>3.7</x:v>
      </x:c>
      <x:c r="P235" s="24" t="str">
        <x:v>exact_sea_around_us</x:v>
      </x:c>
      <x:c r="Q235" s="32" t="str">
        <x:v>Sea Around Us exploited organisms</x:v>
      </x:c>
      <x:c r="R235" s="24" t="str">
        <x:v>high</x:v>
      </x:c>
      <x:c r="S235" s="24" t="str">
        <x:v>Cheilopogon unicolor</x:v>
      </x:c>
      <x:c r="T235" s="32" t="n">
        <x:f>IF(O235="","",(1/'Metadata'!$B$5)^(O235-1))</x:f>
        <x:v>501.18723362727246</x:v>
      </x:c>
      <x:c r="U235" s="31" t="n">
        <x:f>IF(T235="","",I235*T235)</x:f>
        <x:v>1129.2593340716423</x:v>
      </x:c>
    </x:row>
    <x:row r="236" ht="18" customHeight="1">
      <x:c r="A236" s="24" t="str">
        <x:v>LME_047</x:v>
      </x:c>
      <x:c r="B236" s="24" t="str">
        <x:v>East China Sea</x:v>
      </x:c>
      <x:c r="C236" s="24" t="str">
        <x:v>LME</x:v>
      </x:c>
      <x:c r="D236" s="30" t="n">
        <x:v>2019</x:v>
      </x:c>
      <x:c r="E236" s="24" t="str">
        <x:v>Metapenaeus ensis</x:v>
      </x:c>
      <x:c r="F236" s="24" t="str">
        <x:v>Greasyback shrimp</x:v>
      </x:c>
      <x:c r="G236" s="24" t="str">
        <x:v>Shrimps</x:v>
      </x:c>
      <x:c r="H236" s="24" t="str">
        <x:v>Crustaceans</x:v>
      </x:c>
      <x:c r="I236" s="31" t="n">
        <x:v>1.2550072316</x:v>
      </x:c>
      <x:c r="J236" s="31" t="n">
        <x:v>0</x:v>
      </x:c>
      <x:c r="K236" s="31" t="n">
        <x:v>1.2550072316</x:v>
      </x:c>
      <x:c r="L236" s="31" t="n">
        <x:v>0</x:v>
      </x:c>
      <x:c r="M236" s="31" t="n">
        <x:v>1.2550072316</x:v>
      </x:c>
      <x:c r="N236" s="24" t="str">
        <x:v>metapenaeus ensis</x:v>
      </x:c>
      <x:c r="O236" s="32" t="n">
        <x:v>2.7</x:v>
      </x:c>
      <x:c r="P236" s="24" t="str">
        <x:v>exact_sea_around_us</x:v>
      </x:c>
      <x:c r="Q236" s="32" t="str">
        <x:v>Sea Around Us exploited organisms</x:v>
      </x:c>
      <x:c r="R236" s="24" t="str">
        <x:v>high</x:v>
      </x:c>
      <x:c r="S236" s="24" t="str">
        <x:v>Metapenaeus ensis</x:v>
      </x:c>
      <x:c r="T236" s="32" t="n">
        <x:f>IF(O236="","",(1/'Metadata'!$B$5)^(O236-1))</x:f>
        <x:v>50.11872336272725</x:v>
      </x:c>
      <x:c r="U236" s="31" t="n">
        <x:f>IF(T236="","",I236*T236)</x:f>
        <x:v>62.89936025878257</x:v>
      </x:c>
    </x:row>
    <x:row r="237" ht="18" customHeight="1">
      <x:c r="A237" s="24" t="str">
        <x:v>LME_047</x:v>
      </x:c>
      <x:c r="B237" s="24" t="str">
        <x:v>East China Sea</x:v>
      </x:c>
      <x:c r="C237" s="24" t="str">
        <x:v>LME</x:v>
      </x:c>
      <x:c r="D237" s="30" t="n">
        <x:v>2019</x:v>
      </x:c>
      <x:c r="E237" s="24" t="str">
        <x:v>Parupeneus barberinus</x:v>
      </x:c>
      <x:c r="F237" s="24" t="str">
        <x:v>Dash-and-dot goatfish</x:v>
      </x:c>
      <x:c r="G237" s="24" t="str">
        <x:v>Medium reef assoc. fish (30 - 89 cm)</x:v>
      </x:c>
      <x:c r="H237" s="24" t="str">
        <x:v>Perch-likes</x:v>
      </x:c>
      <x:c r="I237" s="31" t="n">
        <x:v>1.2409956336</x:v>
      </x:c>
      <x:c r="J237" s="31" t="n">
        <x:v>0</x:v>
      </x:c>
      <x:c r="K237" s="31" t="n">
        <x:v>1.2409956336</x:v>
      </x:c>
      <x:c r="L237" s="31" t="n">
        <x:v>0</x:v>
      </x:c>
      <x:c r="M237" s="31" t="n">
        <x:v>1.2409956336</x:v>
      </x:c>
      <x:c r="N237" s="24" t="str">
        <x:v>parupeneus barberinus</x:v>
      </x:c>
      <x:c r="O237" s="32" t="n">
        <x:v>3.22</x:v>
      </x:c>
      <x:c r="P237" s="24" t="str">
        <x:v>exact_2020_supplement</x:v>
      </x:c>
      <x:c r="Q237" s="32" t="str">
        <x:v>2020 supplement MeanTL</x:v>
      </x:c>
      <x:c r="R237" s="24" t="str">
        <x:v>high</x:v>
      </x:c>
      <x:c r="S237" s="24" t="str">
        <x:v>Parupeneus barberinus</x:v>
      </x:c>
      <x:c r="T237" s="32" t="n">
        <x:f>IF(O237="","",(1/'Metadata'!$B$5)^(O237-1))</x:f>
        <x:v>165.95869074375614</x:v>
      </x:c>
      <x:c r="U237" s="31" t="n">
        <x:f>IF(T237="","",I237*T237)</x:f>
        <x:v>205.9540105709741</x:v>
      </x:c>
    </x:row>
    <x:row r="238" ht="18" customHeight="1">
      <x:c r="A238" s="24" t="str">
        <x:v>LME_047</x:v>
      </x:c>
      <x:c r="B238" s="24" t="str">
        <x:v>East China Sea</x:v>
      </x:c>
      <x:c r="C238" s="24" t="str">
        <x:v>LME</x:v>
      </x:c>
      <x:c r="D238" s="30" t="n">
        <x:v>2019</x:v>
      </x:c>
      <x:c r="E238" s="24" t="str">
        <x:v>Marine pelagic fishes not identified</x:v>
      </x:c>
      <x:c r="F238" s="24" t="str">
        <x:v>Pelagic fishes</x:v>
      </x:c>
      <x:c r="G238" s="24" t="str">
        <x:v>Medium pelagics (30 - 89 cm)</x:v>
      </x:c>
      <x:c r="H238" s="24" t="str">
        <x:v>Other fishes &amp; inverts</x:v>
      </x:c>
      <x:c r="I238" s="31" t="n">
        <x:v>1.1177630006000001</x:v>
      </x:c>
      <x:c r="J238" s="31" t="n">
        <x:v>1.1169655708</x:v>
      </x:c>
      <x:c r="K238" s="31" t="n">
        <x:v>0.0007974297999999999</x:v>
      </x:c>
      <x:c r="L238" s="31" t="n">
        <x:v>1.1169655708</x:v>
      </x:c>
      <x:c r="M238" s="31" t="n">
        <x:v>0.0007974297999999999</x:v>
      </x:c>
      <x:c r="N238" s="24" t="str">
        <x:v>marine pelagic fishes not identified</x:v>
      </x:c>
      <x:c r="O238" s="32" t="n">
        <x:v>3.35</x:v>
      </x:c>
      <x:c r="P238" s="24" t="str">
        <x:v>exact_sea_around_us</x:v>
      </x:c>
      <x:c r="Q238" s="32" t="str">
        <x:v>Sea Around Us exploited organisms</x:v>
      </x:c>
      <x:c r="R238" s="24" t="str">
        <x:v>high</x:v>
      </x:c>
      <x:c r="S238" s="24" t="str">
        <x:v>Marine pelagic fishes not identified</x:v>
      </x:c>
      <x:c r="T238" s="32" t="n">
        <x:f>IF(O238="","",(1/'Metadata'!$B$5)^(O238-1))</x:f>
        <x:v>223.872113856834</x:v>
      </x:c>
      <x:c r="U238" s="31" t="n">
        <x:f>IF(T238="","",I238*T238)</x:f>
        <x:v>250.23596573527965</x:v>
      </x:c>
    </x:row>
    <x:row r="239" ht="18" customHeight="1">
      <x:c r="A239" s="24" t="str">
        <x:v>LME_047</x:v>
      </x:c>
      <x:c r="B239" s="24" t="str">
        <x:v>East China Sea</x:v>
      </x:c>
      <x:c r="C239" s="24" t="str">
        <x:v>LME</x:v>
      </x:c>
      <x:c r="D239" s="30" t="n">
        <x:v>2019</x:v>
      </x:c>
      <x:c r="E239" s="24" t="str">
        <x:v>Saurida undosquamis</x:v>
      </x:c>
      <x:c r="F239" s="24" t="str">
        <x:v>Brushtooth lizardfish</x:v>
      </x:c>
      <x:c r="G239" s="24" t="str">
        <x:v>Medium demersals (30 - 89 cm)</x:v>
      </x:c>
      <x:c r="H239" s="24" t="str">
        <x:v>Other fishes &amp; inverts</x:v>
      </x:c>
      <x:c r="I239" s="31" t="n">
        <x:v>0.9608905728</x:v>
      </x:c>
      <x:c r="J239" s="31" t="n">
        <x:v>0</x:v>
      </x:c>
      <x:c r="K239" s="31" t="n">
        <x:v>0.9608905728</x:v>
      </x:c>
      <x:c r="L239" s="31" t="n">
        <x:v>0</x:v>
      </x:c>
      <x:c r="M239" s="31" t="n">
        <x:v>0.9608905728</x:v>
      </x:c>
      <x:c r="N239" s="24" t="str">
        <x:v>saurida undosquamis</x:v>
      </x:c>
      <x:c r="O239" s="32" t="n">
        <x:v>4.46</x:v>
      </x:c>
      <x:c r="P239" s="24" t="str">
        <x:v>exact_2020_supplement</x:v>
      </x:c>
      <x:c r="Q239" s="32" t="str">
        <x:v>2020 supplement MeanTL</x:v>
      </x:c>
      <x:c r="R239" s="24" t="str">
        <x:v>high</x:v>
      </x:c>
      <x:c r="S239" s="24" t="str">
        <x:v>Saurida undosquamis</x:v>
      </x:c>
      <x:c r="T239" s="32" t="n">
        <x:f>IF(O239="","",(1/'Metadata'!$B$5)^(O239-1))</x:f>
        <x:v>2884.031503126606</x:v>
      </x:c>
      <x:c r="U239" s="31" t="n">
        <x:f>IF(T239="","",I239*T239)</x:f>
        <x:v>2771.2386830125693</x:v>
      </x:c>
    </x:row>
    <x:row r="240" ht="18" customHeight="1">
      <x:c r="A240" s="24" t="str">
        <x:v>LME_047</x:v>
      </x:c>
      <x:c r="B240" s="24" t="str">
        <x:v>East China Sea</x:v>
      </x:c>
      <x:c r="C240" s="24" t="str">
        <x:v>LME</x:v>
      </x:c>
      <x:c r="D240" s="30" t="n">
        <x:v>2019</x:v>
      </x:c>
      <x:c r="E240" s="24" t="str">
        <x:v>Holothuriidae</x:v>
      </x:c>
      <x:c r="F240" s="24" t="str">
        <x:v>Fleshy sea cucumbers</x:v>
      </x:c>
      <x:c r="G240" s="24" t="str">
        <x:v>Other demersal invertebrates</x:v>
      </x:c>
      <x:c r="H240" s="24" t="str">
        <x:v>Other fishes &amp; inverts</x:v>
      </x:c>
      <x:c r="I240" s="31" t="n">
        <x:v>0.734360505</x:v>
      </x:c>
      <x:c r="J240" s="31" t="n">
        <x:v>0.734360505</x:v>
      </x:c>
      <x:c r="K240" s="31" t="n">
        <x:v>0</x:v>
      </x:c>
      <x:c r="L240" s="31" t="n">
        <x:v>0</x:v>
      </x:c>
      <x:c r="M240" s="31" t="n">
        <x:v>0.734360505</x:v>
      </x:c>
      <x:c r="N240" s="24" t="str">
        <x:v>holothuriidae</x:v>
      </x:c>
      <x:c r="O240" s="32" t="n">
        <x:v>2</x:v>
      </x:c>
      <x:c r="P240" s="24" t="str">
        <x:v>exact_sea_around_us</x:v>
      </x:c>
      <x:c r="Q240" s="32" t="str">
        <x:v>Sea Around Us exploited organisms</x:v>
      </x:c>
      <x:c r="R240" s="24" t="str">
        <x:v>high</x:v>
      </x:c>
      <x:c r="S240" s="24" t="str">
        <x:v>Holothuriidae</x:v>
      </x:c>
      <x:c r="T240" s="32" t="n">
        <x:f>IF(O240="","",(1/'Metadata'!$B$5)^(O240-1))</x:f>
        <x:v>10</x:v>
      </x:c>
      <x:c r="U240" s="31" t="n">
        <x:f>IF(T240="","",I240*T240)</x:f>
        <x:v>7.343605050000001</x:v>
      </x:c>
    </x:row>
    <x:row r="241" ht="18" customHeight="1">
      <x:c r="A241" s="24" t="str">
        <x:v>LME_047</x:v>
      </x:c>
      <x:c r="B241" s="24" t="str">
        <x:v>East China Sea</x:v>
      </x:c>
      <x:c r="C241" s="24" t="str">
        <x:v>LME</x:v>
      </x:c>
      <x:c r="D241" s="30" t="n">
        <x:v>2019</x:v>
      </x:c>
      <x:c r="E241" s="24" t="str">
        <x:v>Prionace glauca</x:v>
      </x:c>
      <x:c r="F241" s="24" t="str">
        <x:v>Blue shark</x:v>
      </x:c>
      <x:c r="G241" s="24" t="str">
        <x:v>Large sharks (&gt;=90 cm)</x:v>
      </x:c>
      <x:c r="H241" s="24" t="str">
        <x:v>Sharks &amp; rays</x:v>
      </x:c>
      <x:c r="I241" s="31" t="n">
        <x:v>0.7115400687</x:v>
      </x:c>
      <x:c r="J241" s="31" t="n">
        <x:v>0.5516837066</x:v>
      </x:c>
      <x:c r="K241" s="31" t="n">
        <x:v>0.15985636209999998</x:v>
      </x:c>
      <x:c r="L241" s="31" t="n">
        <x:v>0.5499612957</x:v>
      </x:c>
      <x:c r="M241" s="31" t="n">
        <x:v>0.16157877299999998</x:v>
      </x:c>
      <x:c r="N241" s="24" t="str">
        <x:v>prionace glauca</x:v>
      </x:c>
      <x:c r="O241" s="32" t="n">
        <x:v>4.35</x:v>
      </x:c>
      <x:c r="P241" s="24" t="str">
        <x:v>exact_2020_supplement</x:v>
      </x:c>
      <x:c r="Q241" s="32" t="str">
        <x:v>2020 supplement MeanTL</x:v>
      </x:c>
      <x:c r="R241" s="24" t="str">
        <x:v>high</x:v>
      </x:c>
      <x:c r="S241" s="24" t="str">
        <x:v>Prionace glauca</x:v>
      </x:c>
      <x:c r="T241" s="32" t="n">
        <x:f>IF(O241="","",(1/'Metadata'!$B$5)^(O241-1))</x:f>
        <x:v>2238.7211385683377</x:v>
      </x:c>
      <x:c r="U241" s="31" t="n">
        <x:f>IF(T241="","",I241*T241)</x:f>
        <x:v>1592.9397927370571</x:v>
      </x:c>
    </x:row>
    <x:row r="242" ht="18" customHeight="1">
      <x:c r="A242" s="24" t="str">
        <x:v>LME_047</x:v>
      </x:c>
      <x:c r="B242" s="24" t="str">
        <x:v>East China Sea</x:v>
      </x:c>
      <x:c r="C242" s="24" t="str">
        <x:v>LME</x:v>
      </x:c>
      <x:c r="D242" s="30" t="n">
        <x:v>2019</x:v>
      </x:c>
      <x:c r="E242" s="24" t="str">
        <x:v>Sillago sihama</x:v>
      </x:c>
      <x:c r="F242" s="24" t="str">
        <x:v>Silver sillago</x:v>
      </x:c>
      <x:c r="G242" s="24" t="str">
        <x:v>Medium demersals (30 - 89 cm)</x:v>
      </x:c>
      <x:c r="H242" s="24" t="str">
        <x:v>Perch-likes</x:v>
      </x:c>
      <x:c r="I242" s="31" t="n">
        <x:v>0.6952075637999999</x:v>
      </x:c>
      <x:c r="J242" s="31" t="n">
        <x:v>0</x:v>
      </x:c>
      <x:c r="K242" s="31" t="n">
        <x:v>0.6952075637999999</x:v>
      </x:c>
      <x:c r="L242" s="31" t="n">
        <x:v>0</x:v>
      </x:c>
      <x:c r="M242" s="31" t="n">
        <x:v>0.6952075637999999</x:v>
      </x:c>
      <x:c r="N242" s="24" t="str">
        <x:v>sillago sihama</x:v>
      </x:c>
      <x:c r="O242" s="32" t="n">
        <x:v>3.33</x:v>
      </x:c>
      <x:c r="P242" s="24" t="str">
        <x:v>exact_2020_supplement</x:v>
      </x:c>
      <x:c r="Q242" s="32" t="str">
        <x:v>2020 supplement MeanTL</x:v>
      </x:c>
      <x:c r="R242" s="24" t="str">
        <x:v>high</x:v>
      </x:c>
      <x:c r="S242" s="24" t="str">
        <x:v>Sillago sihama</x:v>
      </x:c>
      <x:c r="T242" s="32" t="n">
        <x:f>IF(O242="","",(1/'Metadata'!$B$5)^(O242-1))</x:f>
        <x:v>213.79620895022325</x:v>
      </x:c>
      <x:c r="U242" s="31" t="n">
        <x:f>IF(T242="","",I242*T242)</x:f>
        <x:v>148.63274157396043</x:v>
      </x:c>
    </x:row>
    <x:row r="243" ht="18" customHeight="1">
      <x:c r="A243" s="24" t="str">
        <x:v>LME_047</x:v>
      </x:c>
      <x:c r="B243" s="24" t="str">
        <x:v>East China Sea</x:v>
      </x:c>
      <x:c r="C243" s="24" t="str">
        <x:v>LME</x:v>
      </x:c>
      <x:c r="D243" s="30" t="n">
        <x:v>2019</x:v>
      </x:c>
      <x:c r="E243" s="24" t="str">
        <x:v>Lutjanus bohar</x:v>
      </x:c>
      <x:c r="F243" s="24" t="str">
        <x:v>Two-spot red snapper</x:v>
      </x:c>
      <x:c r="G243" s="24" t="str">
        <x:v>Medium reef assoc. fish (30 - 89 cm)</x:v>
      </x:c>
      <x:c r="H243" s="24" t="str">
        <x:v>Perch-likes</x:v>
      </x:c>
      <x:c r="I243" s="31" t="n">
        <x:v>0.5816938661</x:v>
      </x:c>
      <x:c r="J243" s="31" t="n">
        <x:v>0</x:v>
      </x:c>
      <x:c r="K243" s="31" t="n">
        <x:v>0.5816938661</x:v>
      </x:c>
      <x:c r="L243" s="31" t="n">
        <x:v>0</x:v>
      </x:c>
      <x:c r="M243" s="31" t="n">
        <x:v>0.5816938661</x:v>
      </x:c>
      <x:c r="N243" s="24" t="str">
        <x:v>lutjanus bohar</x:v>
      </x:c>
      <x:c r="O243" s="32" t="n">
        <x:v>4.27</x:v>
      </x:c>
      <x:c r="P243" s="24" t="str">
        <x:v>exact_2020_supplement</x:v>
      </x:c>
      <x:c r="Q243" s="32" t="str">
        <x:v>2020 supplement MeanTL</x:v>
      </x:c>
      <x:c r="R243" s="24" t="str">
        <x:v>high</x:v>
      </x:c>
      <x:c r="S243" s="24" t="str">
        <x:v>Lutjanus bohar</x:v>
      </x:c>
      <x:c r="T243" s="32" t="n">
        <x:f>IF(O243="","",(1/'Metadata'!$B$5)^(O243-1))</x:f>
        <x:v>1862.0871366628655</x:v>
      </x:c>
      <x:c r="U243" s="31" t="n">
        <x:f>IF(T243="","",I243*T243)</x:f>
        <x:v>1083.1646655405011</x:v>
      </x:c>
    </x:row>
    <x:row r="244" ht="18" customHeight="1">
      <x:c r="A244" s="24" t="str">
        <x:v>LME_047</x:v>
      </x:c>
      <x:c r="B244" s="24" t="str">
        <x:v>East China Sea</x:v>
      </x:c>
      <x:c r="C244" s="24" t="str">
        <x:v>LME</x:v>
      </x:c>
      <x:c r="D244" s="30" t="n">
        <x:v>2019</x:v>
      </x:c>
      <x:c r="E244" s="24" t="str">
        <x:v>Lutjanus</x:v>
      </x:c>
      <x:c r="F244" s="24" t="str">
        <x:v>Snappers</x:v>
      </x:c>
      <x:c r="G244" s="24" t="str">
        <x:v>Medium reef assoc. fish (30 - 89 cm)</x:v>
      </x:c>
      <x:c r="H244" s="24" t="str">
        <x:v>Perch-likes</x:v>
      </x:c>
      <x:c r="I244" s="31" t="n">
        <x:v>0.5425306384</x:v>
      </x:c>
      <x:c r="J244" s="31" t="n">
        <x:v>0</x:v>
      </x:c>
      <x:c r="K244" s="31" t="n">
        <x:v>0.5425306384</x:v>
      </x:c>
      <x:c r="L244" s="31" t="n">
        <x:v>0</x:v>
      </x:c>
      <x:c r="M244" s="31" t="n">
        <x:v>0.5425306384</x:v>
      </x:c>
      <x:c r="N244" s="24" t="str">
        <x:v>lutjanus</x:v>
      </x:c>
      <x:c r="O244" s="32" t="n">
        <x:v>4.02</x:v>
      </x:c>
      <x:c r="P244" s="24" t="str">
        <x:v>exact_sea_around_us</x:v>
      </x:c>
      <x:c r="Q244" s="32" t="str">
        <x:v>Sea Around Us exploited organisms</x:v>
      </x:c>
      <x:c r="R244" s="24" t="str">
        <x:v>high</x:v>
      </x:c>
      <x:c r="S244" s="24" t="str">
        <x:v>Lutjanus</x:v>
      </x:c>
      <x:c r="T244" s="32" t="n">
        <x:f>IF(O244="","",(1/'Metadata'!$B$5)^(O244-1))</x:f>
        <x:v>1047.1285480508984</x:v>
      </x:c>
      <x:c r="U244" s="31" t="n">
        <x:f>IF(T244="","",I244*T244)</x:f>
        <x:v>568.099319660919</x:v>
      </x:c>
    </x:row>
    <x:row r="245" ht="18" customHeight="1">
      <x:c r="A245" s="24" t="str">
        <x:v>LME_047</x:v>
      </x:c>
      <x:c r="B245" s="24" t="str">
        <x:v>East China Sea</x:v>
      </x:c>
      <x:c r="C245" s="24" t="str">
        <x:v>LME</x:v>
      </x:c>
      <x:c r="D245" s="30" t="n">
        <x:v>2019</x:v>
      </x:c>
      <x:c r="E245" s="24" t="str">
        <x:v>Dussumieria elopsoides</x:v>
      </x:c>
      <x:c r="F245" s="24" t="str">
        <x:v>Slender rainbow sardine</x:v>
      </x:c>
      <x:c r="G245" s="24" t="str">
        <x:v>Small pelagics (&lt;30 cm)</x:v>
      </x:c>
      <x:c r="H245" s="24" t="str">
        <x:v>Herring-likes</x:v>
      </x:c>
      <x:c r="I245" s="31" t="n">
        <x:v>0.3884531837</x:v>
      </x:c>
      <x:c r="J245" s="31" t="n">
        <x:v>0.3884531837</x:v>
      </x:c>
      <x:c r="K245" s="31" t="n">
        <x:v>0</x:v>
      </x:c>
      <x:c r="L245" s="31" t="n">
        <x:v>0.0997270744</x:v>
      </x:c>
      <x:c r="M245" s="31" t="n">
        <x:v>0.2887261093</x:v>
      </x:c>
      <x:c r="N245" s="24" t="str">
        <x:v>dussumieria elopsoides</x:v>
      </x:c>
      <x:c r="O245" s="32" t="n">
        <x:v>3.4</x:v>
      </x:c>
      <x:c r="P245" s="24" t="str">
        <x:v>exact_2020_supplement</x:v>
      </x:c>
      <x:c r="Q245" s="32" t="str">
        <x:v>2020 supplement MeanTL</x:v>
      </x:c>
      <x:c r="R245" s="24" t="str">
        <x:v>high</x:v>
      </x:c>
      <x:c r="S245" s="24" t="str">
        <x:v>Dussumieria elopsoides</x:v>
      </x:c>
      <x:c r="T245" s="32" t="n">
        <x:f>IF(O245="","",(1/'Metadata'!$B$5)^(O245-1))</x:f>
        <x:v>251.18864315095797</x:v>
      </x:c>
      <x:c r="U245" s="31" t="n">
        <x:f>IF(T245="","",I245*T245)</x:f>
        <x:v>97.57502814127282</x:v>
      </x:c>
    </x:row>
    <x:row r="246" ht="18" customHeight="1">
      <x:c r="A246" s="24" t="str">
        <x:v>LME_047</x:v>
      </x:c>
      <x:c r="B246" s="24" t="str">
        <x:v>East China Sea</x:v>
      </x:c>
      <x:c r="C246" s="24" t="str">
        <x:v>LME</x:v>
      </x:c>
      <x:c r="D246" s="30" t="n">
        <x:v>2019</x:v>
      </x:c>
      <x:c r="E246" s="24" t="str">
        <x:v>Carcharhinus falciformis</x:v>
      </x:c>
      <x:c r="F246" s="24" t="str">
        <x:v>Silky shark</x:v>
      </x:c>
      <x:c r="G246" s="24" t="str">
        <x:v>Large sharks (&gt;=90 cm)</x:v>
      </x:c>
      <x:c r="H246" s="24" t="str">
        <x:v>Sharks &amp; rays</x:v>
      </x:c>
      <x:c r="I246" s="31" t="n">
        <x:v>0.3550511777</x:v>
      </x:c>
      <x:c r="J246" s="31" t="n">
        <x:v>0.010617517699999999</x:v>
      </x:c>
      <x:c r="K246" s="31" t="n">
        <x:v>0.34443366000000003</x:v>
      </x:c>
      <x:c r="L246" s="31" t="n">
        <x:v>0.010617517699999999</x:v>
      </x:c>
      <x:c r="M246" s="31" t="n">
        <x:v>0.34443366000000003</x:v>
      </x:c>
      <x:c r="N246" s="24" t="str">
        <x:v>carcharhinus falciformis</x:v>
      </x:c>
      <x:c r="O246" s="32" t="n">
        <x:v>4.51</x:v>
      </x:c>
      <x:c r="P246" s="24" t="str">
        <x:v>exact_2020_supplement</x:v>
      </x:c>
      <x:c r="Q246" s="32" t="str">
        <x:v>2020 supplement MeanTL</x:v>
      </x:c>
      <x:c r="R246" s="24" t="str">
        <x:v>high</x:v>
      </x:c>
      <x:c r="S246" s="24" t="str">
        <x:v>Carcharhinus falciformis</x:v>
      </x:c>
      <x:c r="T246" s="32" t="n">
        <x:f>IF(O246="","",(1/'Metadata'!$B$5)^(O246-1))</x:f>
        <x:v>3235.936569296281</x:v>
      </x:c>
      <x:c r="U246" s="31" t="n">
        <x:f>IF(T246="","",I246*T246)</x:f>
        <x:v>1148.9230898911424</x:v>
      </x:c>
    </x:row>
    <x:row r="247" ht="18" customHeight="1">
      <x:c r="A247" s="24" t="str">
        <x:v>LME_047</x:v>
      </x:c>
      <x:c r="B247" s="24" t="str">
        <x:v>East China Sea</x:v>
      </x:c>
      <x:c r="C247" s="24" t="str">
        <x:v>LME</x:v>
      </x:c>
      <x:c r="D247" s="30" t="n">
        <x:v>2019</x:v>
      </x:c>
      <x:c r="E247" s="24" t="str">
        <x:v>Rhopilema hispidum</x:v>
      </x:c>
      <x:c r="F247" s="24" t="str">
        <x:v>Sand jellyfish</x:v>
      </x:c>
      <x:c r="G247" s="24" t="str">
        <x:v>Jellyfish</x:v>
      </x:c>
      <x:c r="H247" s="24" t="str">
        <x:v>Other fishes &amp; inverts</x:v>
      </x:c>
      <x:c r="I247" s="31" t="n">
        <x:v>0.2325580525</x:v>
      </x:c>
      <x:c r="J247" s="31" t="n">
        <x:v>0.2325580525</x:v>
      </x:c>
      <x:c r="K247" s="31" t="n">
        <x:v>0</x:v>
      </x:c>
      <x:c r="L247" s="31" t="n">
        <x:v>0</x:v>
      </x:c>
      <x:c r="M247" s="31" t="n">
        <x:v>0.2325580525</x:v>
      </x:c>
      <x:c r="N247" s="24" t="str">
        <x:v>rhopilema hispidum</x:v>
      </x:c>
      <x:c r="O247" s="32" t="n">
        <x:v>3.46</x:v>
      </x:c>
      <x:c r="P247" s="24" t="str">
        <x:v>exact_sea_around_us</x:v>
      </x:c>
      <x:c r="Q247" s="32" t="str">
        <x:v>Sea Around Us exploited organisms</x:v>
      </x:c>
      <x:c r="R247" s="24" t="str">
        <x:v>high</x:v>
      </x:c>
      <x:c r="S247" s="24" t="str">
        <x:v>Rhopilema hispidum</x:v>
      </x:c>
      <x:c r="T247" s="32" t="n">
        <x:f>IF(O247="","",(1/'Metadata'!$B$5)^(O247-1))</x:f>
        <x:v>288.40315031266056</x:v>
      </x:c>
      <x:c r="U247" s="31" t="n">
        <x:f>IF(T247="","",I247*T247)</x:f>
        <x:v>67.0704749715771</x:v>
      </x:c>
    </x:row>
    <x:row r="248" ht="18" customHeight="1">
      <x:c r="A248" s="24" t="str">
        <x:v>LME_047</x:v>
      </x:c>
      <x:c r="B248" s="24" t="str">
        <x:v>East China Sea</x:v>
      </x:c>
      <x:c r="C248" s="24" t="str">
        <x:v>LME</x:v>
      </x:c>
      <x:c r="D248" s="30" t="n">
        <x:v>2019</x:v>
      </x:c>
      <x:c r="E248" s="24" t="str">
        <x:v>Chionoecetes japonicus</x:v>
      </x:c>
      <x:c r="F248" s="24" t="str">
        <x:v>Red snow crab</x:v>
      </x:c>
      <x:c r="G248" s="24" t="str">
        <x:v>Lobsters, crabs</x:v>
      </x:c>
      <x:c r="H248" s="24" t="str">
        <x:v>Crustaceans</x:v>
      </x:c>
      <x:c r="I248" s="31" t="n">
        <x:v>0.2041989293</x:v>
      </x:c>
      <x:c r="J248" s="31" t="n">
        <x:v>0.2041989293</x:v>
      </x:c>
      <x:c r="K248" s="31" t="n">
        <x:v>0</x:v>
      </x:c>
      <x:c r="L248" s="31" t="n">
        <x:v>0.2041989293</x:v>
      </x:c>
      <x:c r="M248" s="31" t="n">
        <x:v>0</x:v>
      </x:c>
      <x:c r="N248" s="24" t="str">
        <x:v>chionoecetes japonicus</x:v>
      </x:c>
      <x:c r="O248" s="32" t="n">
        <x:v>3.74</x:v>
      </x:c>
      <x:c r="P248" s="24" t="str">
        <x:v>exact_2020_supplement</x:v>
      </x:c>
      <x:c r="Q248" s="32" t="str">
        <x:v>2020 supplement MeanTL</x:v>
      </x:c>
      <x:c r="R248" s="24" t="str">
        <x:v>high</x:v>
      </x:c>
      <x:c r="S248" s="24" t="str">
        <x:v>Chionoecetes japonicus</x:v>
      </x:c>
      <x:c r="T248" s="32" t="n">
        <x:f>IF(O248="","",(1/'Metadata'!$B$5)^(O248-1))</x:f>
        <x:v>549.5408738576248</x:v>
      </x:c>
      <x:c r="U248" s="31" t="n">
        <x:f>IF(T248="","",I248*T248)</x:f>
        <x:v>112.21565804831334</x:v>
      </x:c>
    </x:row>
    <x:row r="249" ht="18" customHeight="1">
      <x:c r="A249" s="24" t="str">
        <x:v>LME_047</x:v>
      </x:c>
      <x:c r="B249" s="24" t="str">
        <x:v>East China Sea</x:v>
      </x:c>
      <x:c r="C249" s="24" t="str">
        <x:v>LME</x:v>
      </x:c>
      <x:c r="D249" s="30" t="n">
        <x:v>2019</x:v>
      </x:c>
      <x:c r="E249" s="24" t="str">
        <x:v>Tripneustes gratilla</x:v>
      </x:c>
      <x:c r="F249" s="24" t="str">
        <x:v>Shortspine urchin</x:v>
      </x:c>
      <x:c r="G249" s="24" t="str">
        <x:v>Other demersal invertebrates</x:v>
      </x:c>
      <x:c r="H249" s="24" t="str">
        <x:v>Other fishes &amp; inverts</x:v>
      </x:c>
      <x:c r="I249" s="31" t="n">
        <x:v>0.0392230694</x:v>
      </x:c>
      <x:c r="J249" s="31" t="n">
        <x:v>0</x:v>
      </x:c>
      <x:c r="K249" s="31" t="n">
        <x:v>0.0392230694</x:v>
      </x:c>
      <x:c r="L249" s="31" t="n">
        <x:v>0</x:v>
      </x:c>
      <x:c r="M249" s="31" t="n">
        <x:v>0.0392230694</x:v>
      </x:c>
      <x:c r="N249" s="24" t="str">
        <x:v>tripneustes gratilla</x:v>
      </x:c>
      <x:c r="O249" s="32" t="n">
        <x:v>2</x:v>
      </x:c>
      <x:c r="P249" s="24" t="str">
        <x:v>exact_sea_around_us</x:v>
      </x:c>
      <x:c r="Q249" s="32" t="str">
        <x:v>Sea Around Us exploited organisms</x:v>
      </x:c>
      <x:c r="R249" s="24" t="str">
        <x:v>high</x:v>
      </x:c>
      <x:c r="S249" s="24" t="str">
        <x:v>Tripneustes gratilla</x:v>
      </x:c>
      <x:c r="T249" s="32" t="n">
        <x:f>IF(O249="","",(1/'Metadata'!$B$5)^(O249-1))</x:f>
        <x:v>10</x:v>
      </x:c>
      <x:c r="U249" s="31" t="n">
        <x:f>IF(T249="","",I249*T249)</x:f>
        <x:v>0.392230694</x:v>
      </x:c>
    </x:row>
    <x:row r="250" ht="18" customHeight="1">
      <x:c r="A250" s="24" t="str">
        <x:v>LME_047</x:v>
      </x:c>
      <x:c r="B250" s="24" t="str">
        <x:v>East China Sea</x:v>
      </x:c>
      <x:c r="C250" s="24" t="str">
        <x:v>LME</x:v>
      </x:c>
      <x:c r="D250" s="30" t="n">
        <x:v>2019</x:v>
      </x:c>
      <x:c r="E250" s="24" t="str">
        <x:v>Acanthocybium solandri</x:v>
      </x:c>
      <x:c r="F250" s="24" t="str">
        <x:v>Wahoo</x:v>
      </x:c>
      <x:c r="G250" s="24" t="str">
        <x:v>Large pelagics (&gt;=90 cm)</x:v>
      </x:c>
      <x:c r="H250" s="24" t="str">
        <x:v>Perch-likes</x:v>
      </x:c>
      <x:c r="I250" s="31" t="n">
        <x:v>0.0251180804</x:v>
      </x:c>
      <x:c r="J250" s="31" t="n">
        <x:v>0</x:v>
      </x:c>
      <x:c r="K250" s="31" t="n">
        <x:v>0.0251180804</x:v>
      </x:c>
      <x:c r="L250" s="31" t="n">
        <x:v>0</x:v>
      </x:c>
      <x:c r="M250" s="31" t="n">
        <x:v>0.0251180804</x:v>
      </x:c>
      <x:c r="N250" s="24" t="str">
        <x:v>acanthocybium solandri</x:v>
      </x:c>
      <x:c r="O250" s="32" t="n">
        <x:v>4.26</x:v>
      </x:c>
      <x:c r="P250" s="24" t="str">
        <x:v>exact_2020_supplement</x:v>
      </x:c>
      <x:c r="Q250" s="32" t="str">
        <x:v>2020 supplement MeanTL</x:v>
      </x:c>
      <x:c r="R250" s="24" t="str">
        <x:v>high</x:v>
      </x:c>
      <x:c r="S250" s="24" t="str">
        <x:v>Acanthocybium solandri</x:v>
      </x:c>
      <x:c r="T250" s="32" t="n">
        <x:f>IF(O250="","",(1/'Metadata'!$B$5)^(O250-1))</x:f>
        <x:v>1819.7008586099826</x:v>
      </x:c>
      <x:c r="U250" s="31" t="n">
        <x:f>IF(T250="","",I250*T250)</x:f>
        <x:v>45.70739247051457</x:v>
      </x:c>
    </x:row>
    <x:row r="251" ht="18" customHeight="1">
      <x:c r="A251" s="24" t="str">
        <x:v>LME_047</x:v>
      </x:c>
      <x:c r="B251" s="24" t="str">
        <x:v>East China Sea</x:v>
      </x:c>
      <x:c r="C251" s="24" t="str">
        <x:v>LME</x:v>
      </x:c>
      <x:c r="D251" s="30" t="n">
        <x:v>2019</x:v>
      </x:c>
      <x:c r="E251" s="24" t="str">
        <x:v>Chionoecetes opilio</x:v>
      </x:c>
      <x:c r="F251" s="24" t="str">
        <x:v>Snow crab</x:v>
      </x:c>
      <x:c r="G251" s="24" t="str">
        <x:v>Lobsters, crabs</x:v>
      </x:c>
      <x:c r="H251" s="24" t="str">
        <x:v>Crustaceans</x:v>
      </x:c>
      <x:c r="I251" s="31" t="n">
        <x:v>0.0095713272</x:v>
      </x:c>
      <x:c r="J251" s="31" t="n">
        <x:v>0.0094261201</x:v>
      </x:c>
      <x:c r="K251" s="31" t="n">
        <x:v>0.0001452071</x:v>
      </x:c>
      <x:c r="L251" s="31" t="n">
        <x:v>0.0094261201</x:v>
      </x:c>
      <x:c r="M251" s="31" t="n">
        <x:v>0.0001452071</x:v>
      </x:c>
      <x:c r="N251" s="24" t="str">
        <x:v>chionoecetes opilio</x:v>
      </x:c>
      <x:c r="O251" s="32" t="n">
        <x:v>3.54</x:v>
      </x:c>
      <x:c r="P251" s="24" t="str">
        <x:v>exact_2020_supplement</x:v>
      </x:c>
      <x:c r="Q251" s="32" t="str">
        <x:v>2020 supplement MeanTL</x:v>
      </x:c>
      <x:c r="R251" s="24" t="str">
        <x:v>high</x:v>
      </x:c>
      <x:c r="S251" s="24" t="str">
        <x:v>Chionoecetes opilio</x:v>
      </x:c>
      <x:c r="T251" s="32" t="n">
        <x:f>IF(O251="","",(1/'Metadata'!$B$5)^(O251-1))</x:f>
        <x:v>346.73685045253166</x:v>
      </x:c>
      <x:c r="U251" s="31" t="n">
        <x:f>IF(T251="","",I251*T251)</x:f>
        <x:v>3.3187318479786487</x:v>
      </x:c>
    </x:row>
    <x:row r="252" ht="18" customHeight="1">
      <x:c r="A252" s="24" t="str">
        <x:v>LME_047</x:v>
      </x:c>
      <x:c r="B252" s="24" t="str">
        <x:v>East China Sea</x:v>
      </x:c>
      <x:c r="C252" s="24" t="str">
        <x:v>LME</x:v>
      </x:c>
      <x:c r="D252" s="30" t="n">
        <x:v>2019</x:v>
      </x:c>
      <x:c r="E252" s="24" t="str">
        <x:v>Carcharhinus longimanus</x:v>
      </x:c>
      <x:c r="F252" s="24" t="str">
        <x:v>Oceanic whitetip shark</x:v>
      </x:c>
      <x:c r="G252" s="24" t="str">
        <x:v>Large sharks (&gt;=90 cm)</x:v>
      </x:c>
      <x:c r="H252" s="24" t="str">
        <x:v>Sharks &amp; rays</x:v>
      </x:c>
      <x:c r="I252" s="31" t="n">
        <x:v>0.006891331</x:v>
      </x:c>
      <x:c r="J252" s="31" t="n">
        <x:v>0.0003459034</x:v>
      </x:c>
      <x:c r="K252" s="31" t="n">
        <x:v>0.0065454276</x:v>
      </x:c>
      <x:c r="L252" s="31" t="n">
        <x:v>0.0003459034</x:v>
      </x:c>
      <x:c r="M252" s="31" t="n">
        <x:v>0.0065454276</x:v>
      </x:c>
      <x:c r="N252" s="24" t="str">
        <x:v>carcharhinus longimanus</x:v>
      </x:c>
      <x:c r="O252" s="32" t="n">
        <x:v>4.16</x:v>
      </x:c>
      <x:c r="P252" s="24" t="str">
        <x:v>exact_2020_supplement</x:v>
      </x:c>
      <x:c r="Q252" s="32" t="str">
        <x:v>2020 supplement MeanTL</x:v>
      </x:c>
      <x:c r="R252" s="24" t="str">
        <x:v>high</x:v>
      </x:c>
      <x:c r="S252" s="24" t="str">
        <x:v>Carcharhinus longimanus</x:v>
      </x:c>
      <x:c r="T252" s="32" t="n">
        <x:f>IF(O252="","",(1/'Metadata'!$B$5)^(O252-1))</x:f>
        <x:v>1445.439770745928</x:v>
      </x:c>
      <x:c r="U252" s="31" t="n">
        <x:f>IF(T252="","",I252*T252)</x:f>
        <x:v>9.961003900774307</x:v>
      </x:c>
    </x:row>
    <x:row r="253" ht="18" customHeight="1">
      <x:c r="A253" s="24" t="str">
        <x:v>LME_047</x:v>
      </x:c>
      <x:c r="B253" s="24" t="str">
        <x:v>East China Sea</x:v>
      </x:c>
      <x:c r="C253" s="24" t="str">
        <x:v>LME</x:v>
      </x:c>
      <x:c r="D253" s="30" t="n">
        <x:v>2019</x:v>
      </x:c>
      <x:c r="E253" s="24" t="str">
        <x:v>Alopias</x:v>
      </x:c>
      <x:c r="F253" s="24" t="str">
        <x:v>Thresher sharks</x:v>
      </x:c>
      <x:c r="G253" s="24" t="str">
        <x:v>Large sharks (&gt;=90 cm)</x:v>
      </x:c>
      <x:c r="H253" s="24" t="str">
        <x:v>Sharks &amp; rays</x:v>
      </x:c>
      <x:c r="I253" s="31" t="n">
        <x:v>0.0050666724000000005</x:v>
      </x:c>
      <x:c r="J253" s="31" t="n">
        <x:v>0.0041683987</x:v>
      </x:c>
      <x:c r="K253" s="31" t="n">
        <x:v>0.0008982737</x:v>
      </x:c>
      <x:c r="L253" s="31" t="n">
        <x:v>0.0041683987</x:v>
      </x:c>
      <x:c r="M253" s="31" t="n">
        <x:v>0.0008982737</x:v>
      </x:c>
      <x:c r="N253" s="24" t="str">
        <x:v>alopias</x:v>
      </x:c>
      <x:c r="O253" s="32" t="n">
        <x:v>4.5</x:v>
      </x:c>
      <x:c r="P253" s="24" t="str">
        <x:v>exact_sea_around_us</x:v>
      </x:c>
      <x:c r="Q253" s="32" t="str">
        <x:v>Sea Around Us exploited organisms</x:v>
      </x:c>
      <x:c r="R253" s="24" t="str">
        <x:v>high</x:v>
      </x:c>
      <x:c r="S253" s="24" t="str">
        <x:v>Alopias</x:v>
      </x:c>
      <x:c r="T253" s="32" t="n">
        <x:f>IF(O253="","",(1/'Metadata'!$B$5)^(O253-1))</x:f>
        <x:v>3162.2776601683795</x:v>
      </x:c>
      <x:c r="U253" s="31" t="n">
        <x:f>IF(T253="","",I253*T253)</x:f>
        <x:v>16.02222494191171</x:v>
      </x:c>
    </x:row>
    <x:row r="254" ht="18" customHeight="1">
      <x:c r="A254" s="24" t="str">
        <x:v>LME_047</x:v>
      </x:c>
      <x:c r="B254" s="24" t="str">
        <x:v>East China Sea</x:v>
      </x:c>
      <x:c r="C254" s="24" t="str">
        <x:v>LME</x:v>
      </x:c>
      <x:c r="D254" s="30" t="n">
        <x:v>2019</x:v>
      </x:c>
      <x:c r="E254" s="24" t="str">
        <x:v>Isurus oxyrinchus</x:v>
      </x:c>
      <x:c r="F254" s="24" t="str">
        <x:v>Shortfin mako</x:v>
      </x:c>
      <x:c r="G254" s="24" t="str">
        <x:v>Large sharks (&gt;=90 cm)</x:v>
      </x:c>
      <x:c r="H254" s="24" t="str">
        <x:v>Sharks &amp; rays</x:v>
      </x:c>
      <x:c r="I254" s="31" t="n">
        <x:v>0.0029469918</x:v>
      </x:c>
      <x:c r="J254" s="31" t="n">
        <x:v>0.0029469918</x:v>
      </x:c>
      <x:c r="K254" s="31" t="n">
        <x:v>0</x:v>
      </x:c>
      <x:c r="L254" s="31" t="n">
        <x:v>0</x:v>
      </x:c>
      <x:c r="M254" s="31" t="n">
        <x:v>0.0029469918</x:v>
      </x:c>
      <x:c r="N254" s="24" t="str">
        <x:v>isurus oxyrinchus</x:v>
      </x:c>
      <x:c r="O254" s="32" t="n">
        <x:v>4.5</x:v>
      </x:c>
      <x:c r="P254" s="24" t="str">
        <x:v>exact_2020_supplement</x:v>
      </x:c>
      <x:c r="Q254" s="32" t="str">
        <x:v>2020 supplement MeanTL</x:v>
      </x:c>
      <x:c r="R254" s="24" t="str">
        <x:v>high</x:v>
      </x:c>
      <x:c r="S254" s="24" t="str">
        <x:v>Isurus oxyrinchus</x:v>
      </x:c>
      <x:c r="T254" s="32" t="n">
        <x:f>IF(O254="","",(1/'Metadata'!$B$5)^(O254-1))</x:f>
        <x:v>3162.2776601683795</x:v>
      </x:c>
      <x:c r="U254" s="31" t="n">
        <x:f>IF(T254="","",I254*T254)</x:f>
        <x:v>9.319206333839402</x:v>
      </x:c>
    </x:row>
    <x:row r="255" ht="18" customHeight="1">
      <x:c r="A255" s="24" t="str">
        <x:v>LME_047</x:v>
      </x:c>
      <x:c r="B255" s="24" t="str">
        <x:v>East China Sea</x:v>
      </x:c>
      <x:c r="C255" s="24" t="str">
        <x:v>LME</x:v>
      </x:c>
      <x:c r="D255" s="30" t="n">
        <x:v>2019</x:v>
      </x:c>
      <x:c r="E255" s="24" t="str">
        <x:v>Sphyrna</x:v>
      </x:c>
      <x:c r="F255" s="24" t="str">
        <x:v>Hammerhead sharks</x:v>
      </x:c>
      <x:c r="G255" s="24" t="str">
        <x:v>Large sharks (&gt;=90 cm)</x:v>
      </x:c>
      <x:c r="H255" s="24" t="str">
        <x:v>Sharks &amp; rays</x:v>
      </x:c>
      <x:c r="I255" s="31" t="n">
        <x:v>0.0021753422</x:v>
      </x:c>
      <x:c r="J255" s="31" t="n">
        <x:v>0.0021753422</x:v>
      </x:c>
      <x:c r="K255" s="31" t="n">
        <x:v>0</x:v>
      </x:c>
      <x:c r="L255" s="31" t="n">
        <x:v>0.0021753422</x:v>
      </x:c>
      <x:c r="M255" s="31" t="n">
        <x:v>0</x:v>
      </x:c>
      <x:c r="N255" s="24" t="str">
        <x:v>sphyrna</x:v>
      </x:c>
      <x:c r="O255" s="32" t="n">
        <x:v>4.2</x:v>
      </x:c>
      <x:c r="P255" s="24" t="str">
        <x:v>exact_sea_around_us</x:v>
      </x:c>
      <x:c r="Q255" s="32" t="str">
        <x:v>Sea Around Us exploited organisms</x:v>
      </x:c>
      <x:c r="R255" s="24" t="str">
        <x:v>high</x:v>
      </x:c>
      <x:c r="S255" s="24" t="str">
        <x:v>Sphyrna</x:v>
      </x:c>
      <x:c r="T255" s="32" t="n">
        <x:f>IF(O255="","",(1/'Metadata'!$B$5)^(O255-1))</x:f>
        <x:v>1584.893192461114</x:v>
      </x:c>
      <x:c r="U255" s="31" t="n">
        <x:f>IF(T255="","",I255*T255)</x:f>
        <x:v>3.447685044053383</x:v>
      </x:c>
    </x:row>
  </x:sheetData>
  <x:conditionalFormatting sqref="R2:R25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bcb77f113a4d48c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454628.9630161339</x:v>
      </x:c>
      <x:c r="C2" s="32" t="n">
        <x:v>3.140059778697121</x:v>
      </x:c>
      <x:c r="D2" s="32" t="n">
        <x:f>IF(C2="","",(1/'Metadata'!$B$5)^(C2-1))</x:f>
        <x:v>138.0574281413255</x:v>
      </x:c>
      <x:c r="E2" s="31" t="n">
        <x:f>IF(B2=0,"",B2*D2)</x:f>
        <x:v>62764905.39256523</x:v>
      </x:c>
    </x:row>
    <x:row r="3" ht="18" customHeight="1">
      <x:c r="A3" s="24" t="str">
        <x:v>Cod-likes</x:v>
      </x:c>
      <x:c r="B3" s="31" t="n">
        <x:v>38524.95924793061</x:v>
      </x:c>
      <x:c r="C3" s="32" t="n">
        <x:v>4.147533967293153</x:v>
      </x:c>
      <x:c r="D3" s="32" t="n">
        <x:f>IF(C3="","",(1/'Metadata'!$B$5)^(C3-1))</x:f>
        <x:v>1404.5395319466575</x:v>
      </x:c>
      <x:c r="E3" s="31" t="n">
        <x:f>IF(B3=0,"",B3*D3)</x:f>
        <x:v>54109828.230352506</x:v>
      </x:c>
    </x:row>
    <x:row r="4" ht="18" customHeight="1">
      <x:c r="A4" s="24" t="str">
        <x:v>Crustaceans</x:v>
      </x:c>
      <x:c r="B4" s="31" t="n">
        <x:v>675289.6548110644</x:v>
      </x:c>
      <x:c r="C4" s="32" t="n">
        <x:v>2.849226881082793</x:v>
      </x:c>
      <x:c r="D4" s="32" t="n">
        <x:f>IF(C4="","",(1/'Metadata'!$B$5)^(C4-1))</x:f>
        <x:v>70.66866401340513</x:v>
      </x:c>
      <x:c r="E4" s="31" t="n">
        <x:f>IF(B4=0,"",B4*D4)</x:f>
        <x:v>47721817.72757144</x:v>
      </x:c>
    </x:row>
    <x:row r="5" ht="18" customHeight="1">
      <x:c r="A5" s="24" t="str">
        <x:v>Flatfishes</x:v>
      </x:c>
      <x:c r="B5" s="31" t="n">
        <x:v>23310.9932568192</x:v>
      </x:c>
      <x:c r="C5" s="32" t="n">
        <x:v>3.7539228886580993</x:v>
      </x:c>
      <x:c r="D5" s="32" t="n">
        <x:f>IF(C5="","",(1/'Metadata'!$B$5)^(C5-1))</x:f>
        <x:v>567.4438437298109</x:v>
      </x:c>
      <x:c r="E5" s="31" t="n">
        <x:f>IF(B5=0,"",B5*D5)</x:f>
        <x:v>13227679.614809189</x:v>
      </x:c>
    </x:row>
    <x:row r="6" ht="18" customHeight="1">
      <x:c r="A6" s="24" t="str">
        <x:v>Herring-likes</x:v>
      </x:c>
      <x:c r="B6" s="31" t="n">
        <x:v>531385.4480865031</x:v>
      </x:c>
      <x:c r="C6" s="32" t="n">
        <x:v>2.9353863811764684</x:v>
      </x:c>
      <x:c r="D6" s="32" t="n">
        <x:f>IF(C6="","",(1/'Metadata'!$B$5)^(C6-1))</x:f>
        <x:v>86.17600981126223</x:v>
      </x:c>
      <x:c r="E6" s="31" t="n">
        <x:f>IF(B6=0,"",B6*D6)</x:f>
        <x:v>45792677.587864466</x:v>
      </x:c>
    </x:row>
    <x:row r="7" ht="18" customHeight="1">
      <x:c r="A7" s="24" t="str">
        <x:v>Molluscs</x:v>
      </x:c>
      <x:c r="B7" s="31" t="n">
        <x:v>237555.4154648459</x:v>
      </x:c>
      <x:c r="C7" s="32" t="n">
        <x:v>2.0462365377571445</x:v>
      </x:c>
      <x:c r="D7" s="32" t="n">
        <x:f>IF(C7="","",(1/'Metadata'!$B$5)^(C7-1))</x:f>
        <x:v>11.12337395014937</x:v>
      </x:c>
      <x:c r="E7" s="31" t="n">
        <x:f>IF(B7=0,"",B7*D7)</x:f>
        <x:v>2642417.7200985774</x:v>
      </x:c>
    </x:row>
    <x:row r="8" ht="18" customHeight="1">
      <x:c r="A8" s="24" t="str">
        <x:v>Other fishes &amp; inverts</x:v>
      </x:c>
      <x:c r="B8" s="31" t="n">
        <x:v>1467729.6398684385</x:v>
      </x:c>
      <x:c r="C8" s="32" t="n">
        <x:v>3.562752273323506</x:v>
      </x:c>
      <x:c r="D8" s="32" t="n">
        <x:f>IF(C8="","",(1/'Metadata'!$B$5)^(C8-1))</x:f>
        <x:v>365.3863115127634</x:v>
      </x:c>
      <x:c r="E8" s="31" t="n">
        <x:f>IF(B8=0,"",B8*D8)</x:f>
        <x:v>536288319.40948534</x:v>
      </x:c>
    </x:row>
    <x:row r="9" ht="18" customHeight="1">
      <x:c r="A9" s="24" t="str">
        <x:v>Perch-likes</x:v>
      </x:c>
      <x:c r="B9" s="31" t="n">
        <x:v>2114850.9149905555</x:v>
      </x:c>
      <x:c r="C9" s="32" t="n">
        <x:v>3.6997918258146196</x:v>
      </x:c>
      <x:c r="D9" s="32" t="n">
        <x:f>IF(C9="","",(1/'Metadata'!$B$5)^(C9-1))</x:f>
        <x:v>500.9470527207667</x:v>
      </x:c>
      <x:c r="E9" s="31" t="n">
        <x:f>IF(B9=0,"",B9*D9)</x:f>
        <x:v>1059428332.8083354</x:v>
      </x:c>
    </x:row>
    <x:row r="10" ht="18" customHeight="1">
      <x:c r="A10" s="24" t="str">
        <x:v>Salmon, smelts, etc</x:v>
      </x:c>
      <x:c r="B10" s="31" t="n">
        <x:v>25523.5132571323</x:v>
      </x:c>
      <x:c r="C10" s="32" t="n">
        <x:v>3.9030115137737282</x:v>
      </x:c>
      <x:c r="D10" s="32" t="n">
        <x:f>IF(C10="","",(1/'Metadata'!$B$5)^(C10-1))</x:f>
        <x:v>799.8554600489769</x:v>
      </x:c>
      <x:c r="E10" s="31" t="n">
        <x:f>IF(B10=0,"",B10*D10)</x:f>
        <x:v>20415121.438349716</x:v>
      </x:c>
    </x:row>
    <x:row r="11" ht="18" customHeight="1">
      <x:c r="A11" s="24" t="str">
        <x:v>Scorpionfishes</x:v>
      </x:c>
      <x:c r="B11" s="31" t="n">
        <x:v>11817.8142094672</x:v>
      </x:c>
      <x:c r="C11" s="32" t="n">
        <x:v>3.702939803774302</x:v>
      </x:c>
      <x:c r="D11" s="32" t="n">
        <x:f>IF(C11="","",(1/'Metadata'!$B$5)^(C11-1))</x:f>
        <x:v>504.5913528569234</x:v>
      </x:c>
      <x:c r="E11" s="31" t="n">
        <x:f>IF(B11=0,"",B11*D11)</x:f>
        <x:v>5963166.859766827</x:v>
      </x:c>
    </x:row>
    <x:row r="12" ht="18" customHeight="1">
      <x:c r="A12" s="24" t="str">
        <x:v>Sharks &amp; rays</x:v>
      </x:c>
      <x:c r="B12" s="31" t="n">
        <x:v>3093.6794243219</x:v>
      </x:c>
      <x:c r="C12" s="32" t="n">
        <x:v>4.039746465292913</x:v>
      </x:c>
      <x:c r="D12" s="32" t="n">
        <x:f>IF(C12="","",(1/'Metadata'!$B$5)^(C12-1))</x:f>
        <x:v>1095.838275165863</x:v>
      </x:c>
      <x:c r="E12" s="31" t="n">
        <x:f>IF(B12=0,"",B12*D12)</x:f>
        <x:v>3390172.324265031</x:v>
      </x:c>
    </x:row>
    <x:row r="13" ht="18" customHeight="1">
      <x:c r="A13" s="24" t="str">
        <x:v>Tuna &amp; billfishes</x:v>
      </x:c>
      <x:c r="B13" s="31" t="n">
        <x:v>66118.98857698057</x:v>
      </x:c>
      <x:c r="C13" s="32" t="n">
        <x:v>4.395223895578804</x:v>
      </x:c>
      <x:c r="D13" s="32" t="n">
        <x:f>IF(C13="","",(1/'Metadata'!$B$5)^(C13-1))</x:f>
        <x:v>2484.413586355626</x:v>
      </x:c>
      <x:c r="E13" s="31" t="n">
        <x:f>IF(B13=0,"",B13*D13)</x:f>
        <x:v>164266913.536743</x:v>
      </x:c>
    </x:row>
  </x:sheetData>
  <x:pageMargins left="0.7" right="0.7" top="0.75" bottom="0.75" header="0.3" footer="0.3"/>
  <x:tableParts count="1">
    <x:tablePart xmlns:r="http://schemas.openxmlformats.org/officeDocument/2006/relationships" r:id="Ree0708f126f247c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244503.22427324337</x:v>
      </x:c>
      <x:c r="C2" s="32" t="n">
        <x:v>3.9132250246698677</x:v>
      </x:c>
      <x:c r="D2" s="32" t="n">
        <x:f>IF(C2="","",(1/'Metadata'!$B$5)^(C2-1))</x:f>
        <x:v>818.8889760963718</x:v>
      </x:c>
      <x:c r="E2" s="31" t="n">
        <x:f>IF(B2=0,"",B2*D2)</x:f>
        <x:v>200220994.97737783</x:v>
      </x:c>
    </x:row>
    <x:row r="3" ht="18" customHeight="1">
      <x:c r="A3" s="24" t="str">
        <x:v>Jellyfish</x:v>
      </x:c>
      <x:c r="B3" s="31" t="n">
        <x:v>162114.0124525696</x:v>
      </x:c>
      <x:c r="C3" s="32" t="n">
        <x:v>3.330054953624773</x:v>
      </x:c>
      <x:c r="D3" s="32" t="n">
        <x:f>IF(C3="","",(1/'Metadata'!$B$5)^(C3-1))</x:f>
        <x:v>213.8232634500842</x:v>
      </x:c>
      <x:c r="E3" s="31" t="n">
        <x:f>IF(B3=0,"",B3*D3)</x:f>
        <x:v>34663747.19359602</x:v>
      </x:c>
    </x:row>
    <x:row r="4" ht="18" customHeight="1">
      <x:c r="A4" s="24" t="str">
        <x:v>Large benthopelagics (&gt;=90 cm)</x:v>
      </x:c>
      <x:c r="B4" s="31" t="n">
        <x:v>476355.10137950536</x:v>
      </x:c>
      <x:c r="C4" s="32" t="n">
        <x:v>4.247357637866828</x:v>
      </x:c>
      <x:c r="D4" s="32" t="n">
        <x:f>IF(C4="","",(1/'Metadata'!$B$5)^(C4-1))</x:f>
        <x:v>1767.4927370070802</x:v>
      </x:c>
      <x:c r="E4" s="31" t="n">
        <x:f>IF(B4=0,"",B4*D4)</x:f>
        <x:v>841954181.9245471</x:v>
      </x:c>
    </x:row>
    <x:row r="5" ht="18" customHeight="1">
      <x:c r="A5" s="24" t="str">
        <x:v>Large demersals (&gt;=90 cm)</x:v>
      </x:c>
      <x:c r="B5" s="31" t="n">
        <x:v>176147.4223718903</x:v>
      </x:c>
      <x:c r="C5" s="32" t="n">
        <x:v>4.252081924391599</x:v>
      </x:c>
      <x:c r="D5" s="32" t="n">
        <x:f>IF(C5="","",(1/'Metadata'!$B$5)^(C5-1))</x:f>
        <x:v>1786.8246058733166</x:v>
      </x:c>
      <x:c r="E5" s="31" t="n">
        <x:f>IF(B5=0,"",B5*D5)</x:f>
        <x:v>314744548.5552535</x:v>
      </x:c>
    </x:row>
    <x:row r="6" ht="18" customHeight="1">
      <x:c r="A6" s="24" t="str">
        <x:v>Large flatfishes (&gt;=90 cm)</x:v>
      </x:c>
      <x:c r="B6" s="31" t="n">
        <x:v>6225.5744773235</x:v>
      </x:c>
      <x:c r="C6" s="32" t="n">
        <x:v>4.25</x:v>
      </x:c>
      <x:c r="D6" s="32" t="n">
        <x:f>IF(C6="","",(1/'Metadata'!$B$5)^(C6-1))</x:f>
        <x:v>1778.2794100389228</x:v>
      </x:c>
      <x:c r="E6" s="31" t="n">
        <x:f>IF(B6=0,"",B6*D6)</x:f>
        <x:v>11070810.90868821</x:v>
      </x:c>
    </x:row>
    <x:row r="7" ht="18" customHeight="1">
      <x:c r="A7" s="24" t="str">
        <x:v>Large pelagics (&gt;=90 cm)</x:v>
      </x:c>
      <x:c r="B7" s="31" t="n">
        <x:v>202034.0561244017</x:v>
      </x:c>
      <x:c r="C7" s="32" t="n">
        <x:v>4.4055812237734795</x:v>
      </x:c>
      <x:c r="D7" s="32" t="n">
        <x:f>IF(C7="","",(1/'Metadata'!$B$5)^(C7-1))</x:f>
        <x:v>2544.3756095915874</x:v>
      </x:c>
      <x:c r="E7" s="31" t="n">
        <x:f>IF(B7=0,"",B7*D7)</x:f>
        <x:v>514050524.7097855</x:v>
      </x:c>
    </x:row>
    <x:row r="8" ht="18" customHeight="1">
      <x:c r="A8" s="24" t="str">
        <x:v>Large rays (&gt;=90 cm)</x:v>
      </x:c>
      <x:c r="B8" s="31" t="n">
        <x:v>123.5927614649</x:v>
      </x:c>
      <x:c r="C8" s="32" t="n">
        <x:v>3.7224158945628933</x:v>
      </x:c>
      <x:c r="D8" s="32" t="n">
        <x:f>IF(C8="","",(1/'Metadata'!$B$5)^(C8-1))</x:f>
        <x:v>527.7349957647268</x:v>
      </x:c>
      <x:c r="E8" s="31" t="n">
        <x:f>IF(B8=0,"",B8*D8)</x:f>
        <x:v>65224.22544822989</x:v>
      </x:c>
    </x:row>
    <x:row r="9" ht="18" customHeight="1">
      <x:c r="A9" s="24" t="str">
        <x:v>Large reef assoc. fish (&gt;=90 cm)</x:v>
      </x:c>
      <x:c r="B9" s="31" t="n">
        <x:v>8538.7138993152</x:v>
      </x:c>
      <x:c r="C9" s="32" t="n">
        <x:v>3.694247164666593</x:v>
      </x:c>
      <x:c r="D9" s="32" t="n">
        <x:f>IF(C9="","",(1/'Metadata'!$B$5)^(C9-1))</x:f>
        <x:v>494.59208800418804</x:v>
      </x:c>
      <x:c r="E9" s="31" t="n">
        <x:f>IF(B9=0,"",B9*D9)</x:f>
        <x:v>4223180.336332687</x:v>
      </x:c>
    </x:row>
    <x:row r="10" ht="18" customHeight="1">
      <x:c r="A10" s="24" t="str">
        <x:v>Large sharks (&gt;=90 cm)</x:v>
      </x:c>
      <x:c r="B10" s="31" t="n">
        <x:v>2970.086662857</x:v>
      </x:c>
      <x:c r="C10" s="32" t="n">
        <x:v>4.052951386894772</x:v>
      </x:c>
      <x:c r="D10" s="32" t="n">
        <x:f>IF(C10="","",(1/'Metadata'!$B$5)^(C10-1))</x:f>
        <x:v>1129.6694571280445</x:v>
      </x:c>
      <x:c r="E10" s="31" t="n">
        <x:f>IF(B10=0,"",B10*D10)</x:f>
        <x:v>3355216.1880529127</x:v>
      </x:c>
    </x:row>
    <x:row r="11" ht="18" customHeight="1">
      <x:c r="A11" s="24" t="str">
        <x:v>Lobsters, crabs</x:v>
      </x:c>
      <x:c r="B11" s="31" t="n">
        <x:v>190068.9074390354</x:v>
      </x:c>
      <x:c r="C11" s="32" t="n">
        <x:v>3.37967391038888</x:v>
      </x:c>
      <x:c r="D11" s="32" t="n">
        <x:f>IF(C11="","",(1/'Metadata'!$B$5)^(C11-1))</x:f>
        <x:v>239.7032433566071</x:v>
      </x:c>
      <x:c r="E11" s="31" t="n">
        <x:f>IF(B11=0,"",B11*D11)</x:f>
        <x:v>45560133.57438353</x:v>
      </x:c>
    </x:row>
    <x:row r="12" ht="18" customHeight="1">
      <x:c r="A12" s="24" t="str">
        <x:v>Medium bathydemersals (30 - 89 cm)</x:v>
      </x:c>
      <x:c r="B12" s="31" t="n">
        <x:v>51.0150887386</x:v>
      </x:c>
      <x:c r="C12" s="32" t="n">
        <x:v>3.98</x:v>
      </x:c>
      <x:c r="D12" s="32" t="n">
        <x:f>IF(C12="","",(1/'Metadata'!$B$5)^(C12-1))</x:f>
        <x:v>954.992586021436</x:v>
      </x:c>
      <x:c r="E12" s="31" t="n">
        <x:f>IF(B12=0,"",B12*D12)</x:f>
        <x:v>48719.03152058865</x:v>
      </x:c>
    </x:row>
    <x:row r="13" ht="18" customHeight="1">
      <x:c r="A13" s="24" t="str">
        <x:v>Medium benthopelagics (30 - 89 cm)</x:v>
      </x:c>
      <x:c r="B13" s="31" t="n">
        <x:v>491914.4929935596</x:v>
      </x:c>
      <x:c r="C13" s="32" t="n">
        <x:v>3.601221167929004</x:v>
      </x:c>
      <x:c r="D13" s="32" t="n">
        <x:f>IF(C13="","",(1/'Metadata'!$B$5)^(C13-1))</x:f>
        <x:v>399.2281607275204</x:v>
      </x:c>
      <x:c r="E13" s="31" t="n">
        <x:f>IF(B13=0,"",B13*D13)</x:f>
        <x:v>196386118.2730295</x:v>
      </x:c>
    </x:row>
    <x:row r="14" ht="18" customHeight="1">
      <x:c r="A14" s="24" t="str">
        <x:v>Medium demersals (30 - 89 cm)</x:v>
      </x:c>
      <x:c r="B14" s="31" t="n">
        <x:v>802517.451637214</x:v>
      </x:c>
      <x:c r="C14" s="32" t="n">
        <x:v>3.2791069818779723</x:v>
      </x:c>
      <x:c r="D14" s="32" t="n">
        <x:f>IF(C14="","",(1/'Metadata'!$B$5)^(C14-1))</x:f>
        <x:v>190.15466394926682</x:v>
      </x:c>
      <x:c r="E14" s="31" t="n">
        <x:f>IF(B14=0,"",B14*D14)</x:f>
        <x:v>152602436.3294964</x:v>
      </x:c>
    </x:row>
    <x:row r="15" ht="18" customHeight="1">
      <x:c r="A15" s="24" t="str">
        <x:v>Medium pelagics (30 - 89 cm)</x:v>
      </x:c>
      <x:c r="B15" s="31" t="n">
        <x:v>1256219.369034917</x:v>
      </x:c>
      <x:c r="C15" s="32" t="n">
        <x:v>3.292741658825281</x:v>
      </x:c>
      <x:c r="D15" s="32" t="n">
        <x:f>IF(C15="","",(1/'Metadata'!$B$5)^(C15-1))</x:f>
        <x:v>196.2192714290926</x:v>
      </x:c>
      <x:c r="E15" s="31" t="n">
        <x:f>IF(B15=0,"",B15*D15)</x:f>
        <x:v>246494449.34714586</x:v>
      </x:c>
    </x:row>
    <x:row r="16" ht="18" customHeight="1">
      <x:c r="A16" s="24" t="str">
        <x:v>Medium reef assoc. fish (30 - 89 cm)</x:v>
      </x:c>
      <x:c r="B16" s="31" t="n">
        <x:v>142021.1774306962</x:v>
      </x:c>
      <x:c r="C16" s="32" t="n">
        <x:v>3.3429902839988848</x:v>
      </x:c>
      <x:c r="D16" s="32" t="n">
        <x:f>IF(C16="","",(1/'Metadata'!$B$5)^(C16-1))</x:f>
        <x:v>220.2877179911613</x:v>
      </x:c>
      <x:c r="E16" s="31" t="n">
        <x:f>IF(B16=0,"",B16*D16)</x:f>
        <x:v>31285521.082625885</x:v>
      </x:c>
    </x:row>
    <x:row r="17" ht="18" customHeight="1">
      <x:c r="A17" s="24" t="str">
        <x:v>Other demersal invertebrates</x:v>
      </x:c>
      <x:c r="B17" s="31" t="n">
        <x:v>267441.1187589663</x:v>
      </x:c>
      <x:c r="C17" s="32" t="n">
        <x:v>2.087358067374111</x:v>
      </x:c>
      <x:c r="D17" s="32" t="n">
        <x:f>IF(C17="","",(1/'Metadata'!$B$5)^(C17-1))</x:f>
        <x:v>12.228074256636802</x:v>
      </x:c>
      <x:c r="E17" s="31" t="n">
        <x:f>IF(B17=0,"",B17*D17)</x:f>
        <x:v>3270289.859462661</x:v>
      </x:c>
    </x:row>
    <x:row r="18" ht="18" customHeight="1">
      <x:c r="A18" s="24" t="str">
        <x:v>Shrimps</x:v>
      </x:c>
      <x:c r="B18" s="31" t="n">
        <x:v>485220.74737202906</x:v>
      </x:c>
      <x:c r="C18" s="32" t="n">
        <x:v>2.641442098876874</x:v>
      </x:c>
      <x:c r="D18" s="32" t="n">
        <x:f>IF(C18="","",(1/'Metadata'!$B$5)^(C18-1))</x:f>
        <x:v>43.79677164307217</x:v>
      </x:c>
      <x:c r="E18" s="31" t="n">
        <x:f>IF(B18=0,"",B18*D18)</x:f>
        <x:v>21251102.269133568</x:v>
      </x:c>
    </x:row>
    <x:row r="19" ht="18" customHeight="1">
      <x:c r="A19" s="24" t="str">
        <x:v>Small bathydemersals (&lt;30 cm)</x:v>
      </x:c>
      <x:c r="B19" s="31" t="n">
        <x:v>821.8729190527</x:v>
      </x:c>
      <x:c r="C19" s="32" t="n">
        <x:v>3.51</x:v>
      </x:c>
      <x:c r="D19" s="32" t="n">
        <x:f>IF(C19="","",(1/'Metadata'!$B$5)^(C19-1))</x:f>
        <x:v>323.5936569296281</x:v>
      </x:c>
      <x:c r="E19" s="31" t="n">
        <x:f>IF(B19=0,"",B19*D19)</x:f>
        <x:v>265952.8634076914</x:v>
      </x:c>
    </x:row>
    <x:row r="20" ht="18" customHeight="1">
      <x:c r="A20" s="24" t="str">
        <x:v>Small bathypelagics (&lt;30 cm)</x:v>
      </x:c>
      <x:c r="B20" s="31" t="n">
        <x:v>1098.2277475731</x:v>
      </x:c>
      <x:c r="C20" s="32" t="n">
        <x:v>3.1</x:v>
      </x:c>
      <x:c r="D20" s="32" t="n">
        <x:f>IF(C20="","",(1/'Metadata'!$B$5)^(C20-1))</x:f>
        <x:v>125.89254117941675</x:v>
      </x:c>
      <x:c r="E20" s="31" t="n">
        <x:f>IF(B20=0,"",B20*D20)</x:f>
        <x:v>138258.6819357246</x:v>
      </x:c>
    </x:row>
    <x:row r="21" ht="18" customHeight="1">
      <x:c r="A21" s="24" t="str">
        <x:v>Small benthopelagics (&lt;30 cm)</x:v>
      </x:c>
      <x:c r="B21" s="31" t="n">
        <x:v>18813.6042749636</x:v>
      </x:c>
      <x:c r="C21" s="32" t="n">
        <x:v>3.80520223130672</x:v>
      </x:c>
      <x:c r="D21" s="32" t="n">
        <x:f>IF(C21="","",(1/'Metadata'!$B$5)^(C21-1))</x:f>
        <x:v>638.5607658510509</x:v>
      </x:c>
      <x:c r="E21" s="31" t="n">
        <x:f>IF(B21=0,"",B21*D21)</x:f>
        <x:v>12013629.55423936</x:v>
      </x:c>
    </x:row>
    <x:row r="22" ht="18" customHeight="1">
      <x:c r="A22" s="24" t="str">
        <x:v>Small demersals (&lt;30 cm)</x:v>
      </x:c>
      <x:c r="B22" s="31" t="n">
        <x:v>147151.0558012176</x:v>
      </x:c>
      <x:c r="C22" s="32" t="n">
        <x:v>3.6277016413314143</x:v>
      </x:c>
      <x:c r="D22" s="32" t="n">
        <x:f>IF(C22="","",(1/'Metadata'!$B$5)^(C22-1))</x:f>
        <x:v>424.3279520894093</x:v>
      </x:c>
      <x:c r="E22" s="31" t="n">
        <x:f>IF(B22=0,"",B22*D22)</x:f>
        <x:v>62440306.15592505</x:v>
      </x:c>
    </x:row>
    <x:row r="23" ht="18" customHeight="1">
      <x:c r="A23" s="24" t="str">
        <x:v>Small pelagics (&lt;30 cm)</x:v>
      </x:c>
      <x:c r="B23" s="31" t="n">
        <x:v>549933.5988958498</x:v>
      </x:c>
      <x:c r="C23" s="32" t="n">
        <x:v>3.172402845796297</x:v>
      </x:c>
      <x:c r="D23" s="32" t="n">
        <x:f>IF(C23="","",(1/'Metadata'!$B$5)^(C23-1))</x:f>
        <x:v>148.73146159234307</x:v>
      </x:c>
      <x:c r="E23" s="31" t="n">
        <x:f>IF(B23=0,"",B23*D23)</x:f>
        <x:v>81792427.94251707</x:v>
      </x:c>
    </x:row>
    <x:row r="24" ht="18" customHeight="1">
      <x:c r="A24" s="24" t="str">
        <x:v>Small reef assoc. fish (&lt;30 cm)</x:v>
      </x:c>
      <x:c r="B24" s="31" t="n">
        <x:v>460.141634313</x:v>
      </x:c>
      <x:c r="C24" s="32" t="n">
        <x:v>3.1100000000000003</x:v>
      </x:c>
      <x:c r="D24" s="32" t="n">
        <x:f>IF(C24="","",(1/'Metadata'!$B$5)^(C24-1))</x:f>
        <x:v>128.82495516931348</x:v>
      </x:c>
      <x:c r="E24" s="31" t="n">
        <x:f>IF(B24=0,"",B24*D24)</x:f>
        <x:v>59277.72541190686</x:v>
      </x:c>
    </x:row>
    <x:row r="25" ht="18" customHeight="1">
      <x:c r="A25" s="24" t="str">
        <x:v>Small to medium flatfishes (&lt;90 cm)</x:v>
      </x:c>
      <x:c r="B25" s="31" t="n">
        <x:v>17085.4187794957</x:v>
      </x:c>
      <x:c r="C25" s="32" t="n">
        <x:v>3.573162613302082</x:v>
      </x:c>
      <x:c r="D25" s="32" t="n">
        <x:f>IF(C25="","",(1/'Metadata'!$B$5)^(C25-1))</x:f>
        <x:v>374.2506930889017</x:v>
      </x:c>
      <x:c r="E25" s="31" t="n">
        <x:f>IF(B25=0,"",B25*D25)</x:f>
        <x:v>6394229.819940402</x:v>
      </x:c>
    </x:row>
  </x:sheetData>
  <x:pageMargins left="0.7" right="0.7" top="0.75" bottom="0.75" header="0.3" footer="0.3"/>
  <x:tableParts count="1">
    <x:tablePart xmlns:r="http://schemas.openxmlformats.org/officeDocument/2006/relationships" r:id="R6f409fad72cf40a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LME_047</x:v>
      </x:c>
      <x:c r="B2" s="24" t="str">
        <x:v>raw_filtered_tonnes</x:v>
      </x:c>
      <x:c r="C2" s="24" t="n">
        <x:v>5649829.984210193</x:v>
      </x:c>
      <x:c r="D2" s="24" t="str">
        <x:v>tonnes</x:v>
      </x:c>
    </x:row>
    <x:row r="3" ht="18" customHeight="1">
      <x:c r="A3" s="24" t="str">
        <x:v>LME_047</x:v>
      </x:c>
      <x:c r="B3" s="24" t="str">
        <x:v>species_catch_tonnes</x:v>
      </x:c>
      <x:c r="C3" s="24" t="n">
        <x:v>5649829.984210193</x:v>
      </x:c>
      <x:c r="D3" s="24" t="str">
        <x:v>tonnes</x:v>
      </x:c>
    </x:row>
    <x:row r="4" ht="18" customHeight="1">
      <x:c r="A4" s="24" t="str">
        <x:v>LME_047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LME_047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LME_047</x:v>
      </x:c>
      <x:c r="B6" s="24" t="str">
        <x:v>matched_catch_tonnes</x:v>
      </x:c>
      <x:c r="C6" s="24" t="n">
        <x:v>5649829.984210193</x:v>
      </x:c>
      <x:c r="D6" s="24" t="str">
        <x:v>tonnes</x:v>
      </x:c>
    </x:row>
    <x:row r="7" ht="18" customHeight="1">
      <x:c r="A7" s="24" t="str">
        <x:v>LME_047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LME_047</x:v>
      </x:c>
      <x:c r="B8" s="24" t="str">
        <x:v>taxa_count</x:v>
      </x:c>
      <x:c r="C8" s="24" t="n">
        <x:v>254</x:v>
      </x:c>
      <x:c r="D8" s="24" t="str">
        <x:v>count</x:v>
      </x:c>
    </x:row>
    <x:row r="9" ht="18" customHeight="1">
      <x:c r="A9" s="24" t="str">
        <x:v>LME_047</x:v>
      </x:c>
      <x:c r="B9" s="24" t="str">
        <x:v>matched_taxa_count</x:v>
      </x:c>
      <x:c r="C9" s="24" t="n">
        <x:v>254</x:v>
      </x:c>
      <x:c r="D9" s="24" t="str">
        <x:v>count</x:v>
      </x:c>
    </x:row>
    <x:row r="10" ht="18" customHeight="1">
      <x:c r="A10" s="24" t="str">
        <x:v>LME_047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LME_047</x:v>
      </x:c>
      <x:c r="B11" s="24" t="str">
        <x:v>species_ppr</x:v>
      </x:c>
      <x:c r="C11" s="24" t="n">
        <x:v>3396644855.5552316</x:v>
      </x:c>
      <x:c r="D11" s="24" t="str">
        <x:v>tonnes_primary_production_equivalent</x:v>
      </x:c>
    </x:row>
    <x:row r="12" ht="18" customHeight="1">
      <x:c r="A12" s="24" t="str">
        <x:v>LME_047</x:v>
      </x:c>
      <x:c r="B12" s="24" t="str">
        <x:v>commercial_ppr</x:v>
      </x:c>
      <x:c r="C12" s="24" t="n">
        <x:v>2016011352.6502066</x:v>
      </x:c>
      <x:c r="D12" s="24" t="str">
        <x:v>tonnes_primary_production_equivalent</x:v>
      </x:c>
    </x:row>
    <x:row r="13" ht="18" customHeight="1">
      <x:c r="A13" s="24" t="str">
        <x:v>LME_047</x:v>
      </x:c>
      <x:c r="B13" s="24" t="str">
        <x:v>functional_ppr</x:v>
      </x:c>
      <x:c r="C13" s="24" t="n">
        <x:v>2784351281.529257</x:v>
      </x:c>
      <x:c r="D13" s="24" t="str">
        <x:v>tonnes_primary_production_equivalent</x:v>
      </x:c>
    </x:row>
    <x:row r="14" ht="18" customHeight="1">
      <x:c r="A14" s="24" t="str">
        <x:v>LME_047</x:v>
      </x:c>
      <x:c r="B14" s="24" t="str">
        <x:v>commercial_ppr_difference</x:v>
      </x:c>
      <x:c r="C14" s="24" t="n">
        <x:v>-1380633502.905025</x:v>
      </x:c>
      <x:c r="D14" s="24" t="str">
        <x:v>tonnes_primary_production_equivalent</x:v>
      </x:c>
    </x:row>
    <x:row r="15" ht="18" customHeight="1">
      <x:c r="A15" s="24" t="str">
        <x:v>LME_047</x:v>
      </x:c>
      <x:c r="B15" s="24" t="str">
        <x:v>functional_ppr_difference</x:v>
      </x:c>
      <x:c r="C15" s="24" t="n">
        <x:v>-612293574.0259748</x:v>
      </x:c>
      <x:c r="D15" s="24" t="str">
        <x:v>tonnes_primary_production_equivalent</x:v>
      </x:c>
    </x:row>
    <x:row r="16" ht="18" customHeight="1">
      <x:c r="A16" s="24" t="str">
        <x:v>LME_047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LME_047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d6b298981f9f45b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LME_047 - East China Sea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LME_047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LME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raw_data/SAU_downloads/LME_047-catch.zip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