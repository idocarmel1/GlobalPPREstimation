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932d7bef9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8fd399a559542ec"/>
    <x:sheet xmlns:r="http://schemas.openxmlformats.org/officeDocument/2006/relationships" name="Commercial" sheetId="2" r:id="R8792483d5c334a27"/>
    <x:sheet xmlns:r="http://schemas.openxmlformats.org/officeDocument/2006/relationships" name="Functional" sheetId="3" r:id="Rfd6d7d993c014ae0"/>
    <x:sheet xmlns:r="http://schemas.openxmlformats.org/officeDocument/2006/relationships" name="Missing TL" sheetId="4" r:id="Rf02b6119390547e3"/>
    <x:sheet xmlns:r="http://schemas.openxmlformats.org/officeDocument/2006/relationships" name="Validation" sheetId="5" r:id="R7b934809cde5408c"/>
    <x:sheet xmlns:r="http://schemas.openxmlformats.org/officeDocument/2006/relationships" name="Metadata" sheetId="6" r:id="R4b5f9362050d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08336044e4021" /><Relationship Type="http://schemas.openxmlformats.org/officeDocument/2006/relationships/theme" Target="/xl/theme/theme1.xml" Id="R489081046db049bb" /><Relationship Type="http://schemas.microsoft.com/office/2022/11/relationships/FeaturePropertyBag" Target="/xl/featurePropertyBag/featurePropertyBag.xml" Id="R5d57e21c82fe4773" /><Relationship Type="http://schemas.openxmlformats.org/officeDocument/2006/relationships/sharedStrings" Target="/xl/sharedStrings.xml" Id="R5e0c4b7c5a1346f1" /><Relationship Type="http://schemas.openxmlformats.org/officeDocument/2006/relationships/worksheet" Target="/xl/worksheets/sheet1.xml" Id="Rf8fd399a559542ec" /><Relationship Type="http://schemas.openxmlformats.org/officeDocument/2006/relationships/worksheet" Target="/xl/worksheets/sheet2.xml" Id="R8792483d5c334a27" /><Relationship Type="http://schemas.openxmlformats.org/officeDocument/2006/relationships/worksheet" Target="/xl/worksheets/sheet3.xml" Id="Rfd6d7d993c014ae0" /><Relationship Type="http://schemas.openxmlformats.org/officeDocument/2006/relationships/worksheet" Target="/xl/worksheets/sheet4.xml" Id="Rf02b6119390547e3" /><Relationship Type="http://schemas.openxmlformats.org/officeDocument/2006/relationships/worksheet" Target="/xl/worksheets/sheet5.xml" Id="R7b934809cde5408c" /><Relationship Type="http://schemas.openxmlformats.org/officeDocument/2006/relationships/worksheet" Target="/xl/worksheets/sheet6.xml" Id="R4b5f9362050d4d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1SpeciesTable" displayName="LME061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1CommercialTable" displayName="LME061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1FunctionalTable" displayName="LME061FunctionalTable" ref="A1:E10" headerRowCount="1" totalsRowCount="0" totalsRowShown="0">
  <x:autoFilter ref="A1:E10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1ValidationTable" displayName="LME06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39feada94346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84f73c0247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5431fb00dd43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7fee5e7b98400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LME_061</x:v>
      </x:c>
      <x:c r="B2" s="24" t="str">
        <x:v>Antarctic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0.1829741856</x:v>
      </x:c>
      <x:c r="J2" s="31" t="n">
        <x:v>0.1829741856</x:v>
      </x:c>
      <x:c r="K2" s="31" t="n">
        <x:v>0</x:v>
      </x:c>
      <x:c r="L2" s="31" t="n">
        <x:v>0.1829741856</x:v>
      </x:c>
      <x:c r="M2" s="31" t="n">
        <x:v>0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34.86501230621163</x:v>
      </x:c>
    </x:row>
    <x:row r="3" ht="18" customHeight="1">
      <x:c r="A3" s="24" t="str">
        <x:v>LME_061</x:v>
      </x:c>
      <x:c r="B3" s="24" t="str">
        <x:v>Antarctic</x:v>
      </x:c>
      <x:c r="C3" s="24" t="str">
        <x:v>LME</x:v>
      </x:c>
      <x:c r="D3" s="30" t="n">
        <x:v>2019</x:v>
      </x:c>
      <x:c r="E3" s="24" t="str">
        <x:v>Rajiformes</x:v>
      </x:c>
      <x:c r="F3" s="24" t="str">
        <x:v>Skates and rays</x:v>
      </x:c>
      <x:c r="G3" s="24" t="str">
        <x:v>Large rays (&gt;=90 cm)</x:v>
      </x:c>
      <x:c r="H3" s="24" t="str">
        <x:v>Sharks &amp; rays</x:v>
      </x:c>
      <x:c r="I3" s="31" t="n">
        <x:v>0.0321891454</x:v>
      </x:c>
      <x:c r="J3" s="31" t="n">
        <x:v>0.0321891454</x:v>
      </x:c>
      <x:c r="K3" s="31" t="n">
        <x:v>0</x:v>
      </x:c>
      <x:c r="L3" s="31" t="n">
        <x:v>0.0321891454</x:v>
      </x:c>
      <x:c r="M3" s="31" t="n">
        <x:v>0</x:v>
      </x:c>
      <x:c r="N3" s="24" t="str">
        <x:v>rajiformes</x:v>
      </x:c>
      <x:c r="O3" s="32" t="n">
        <x:v>3.61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Rajiformes</x:v>
      </x:c>
      <x:c r="T3" s="32" t="n">
        <x:f>IF(O3="","",(1/'Metadata'!$B$5)^(O3-1))</x:f>
        <x:v>407.3802778041126</x:v>
      </x:c>
      <x:c r="U3" s="31" t="n">
        <x:f>IF(T3="","",I3*T3)</x:f>
        <x:v>13.113222995328973</x:v>
      </x:c>
    </x:row>
    <x:row r="4" ht="18" customHeight="1">
      <x:c r="A4" s="24" t="str">
        <x:v>LME_061</x:v>
      </x:c>
      <x:c r="B4" s="24" t="str">
        <x:v>Antarctic</x:v>
      </x:c>
      <x:c r="C4" s="24" t="str">
        <x:v>LME</x:v>
      </x:c>
      <x:c r="D4" s="30" t="n">
        <x:v>2019</x:v>
      </x:c>
      <x:c r="E4" s="24" t="str">
        <x:v>Macrourus whitsoni</x:v>
      </x:c>
      <x:c r="F4" s="24" t="str">
        <x:v>Whitson's grenadier</x:v>
      </x:c>
      <x:c r="G4" s="24" t="str">
        <x:v>Medium bathypelagics (30 - 89 cm)</x:v>
      </x:c>
      <x:c r="H4" s="24" t="str">
        <x:v>Cod-likes</x:v>
      </x:c>
      <x:c r="I4" s="31" t="n">
        <x:v>0.0276479012</x:v>
      </x:c>
      <x:c r="J4" s="31" t="n">
        <x:v>0.0276479012</x:v>
      </x:c>
      <x:c r="K4" s="31" t="n">
        <x:v>0</x:v>
      </x:c>
      <x:c r="L4" s="31" t="n">
        <x:v>0.0276479012</x:v>
      </x:c>
      <x:c r="M4" s="31" t="n">
        <x:v>0</x:v>
      </x:c>
      <x:c r="N4" s="24" t="str">
        <x:v>macrourus whitsoni</x:v>
      </x:c>
      <x:c r="O4" s="32" t="n">
        <x:v>3.47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Macrourus whitsoni</x:v>
      </x:c>
      <x:c r="T4" s="32" t="n">
        <x:f>IF(O4="","",(1/'Metadata'!$B$5)^(O4-1))</x:f>
        <x:v>295.1209226666387</x:v>
      </x:c>
      <x:c r="U4" s="31" t="n">
        <x:f>IF(T4="","",I4*T4)</x:f>
        <x:v>8.159474111940067</x:v>
      </x:c>
    </x:row>
    <x:row r="5" ht="18" customHeight="1">
      <x:c r="A5" s="24" t="str">
        <x:v>LME_061</x:v>
      </x:c>
      <x:c r="B5" s="24" t="str">
        <x:v>Antarctic</x:v>
      </x:c>
      <x:c r="C5" s="24" t="str">
        <x:v>LME</x:v>
      </x:c>
      <x:c r="D5" s="30" t="n">
        <x:v>2019</x:v>
      </x:c>
      <x:c r="E5" s="24" t="str">
        <x:v>Pagetodes antarcticus</x:v>
      </x:c>
      <x:c r="F5" s="24" t="str">
        <x:v>Long-fingered icefish</x:v>
      </x:c>
      <x:c r="G5" s="24" t="str">
        <x:v>Medium bathydemersals (30 - 89 cm)</x:v>
      </x:c>
      <x:c r="H5" s="24" t="str">
        <x:v>Perch-likes</x:v>
      </x:c>
      <x:c r="I5" s="31" t="n">
        <x:v>0.0023521774999999997</x:v>
      </x:c>
      <x:c r="J5" s="31" t="n">
        <x:v>0.0023521774999999997</x:v>
      </x:c>
      <x:c r="K5" s="31" t="n">
        <x:v>0</x:v>
      </x:c>
      <x:c r="L5" s="31" t="n">
        <x:v>0.0023521774999999997</x:v>
      </x:c>
      <x:c r="M5" s="31" t="n">
        <x:v>0</x:v>
      </x:c>
      <x:c r="N5" s="24" t="str">
        <x:v>pagetodes antarcticus</x:v>
      </x:c>
      <x:c r="O5" s="32" t="n">
        <x:v>3.57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Pagetodes antarcticus</x:v>
      </x:c>
      <x:c r="T5" s="32" t="n">
        <x:f>IF(O5="","",(1/'Metadata'!$B$5)^(O5-1))</x:f>
        <x:v>371.5352290971724</x:v>
      </x:c>
      <x:c r="U5" s="31" t="n">
        <x:f>IF(T5="","",I5*T5)</x:f>
        <x:v>0.8739168063397141</x:v>
      </x:c>
    </x:row>
    <x:row r="6" ht="18" customHeight="1">
      <x:c r="A6" s="24" t="str">
        <x:v>LME_061</x:v>
      </x:c>
      <x:c r="B6" s="24" t="str">
        <x:v>Antarctic</x:v>
      </x:c>
      <x:c r="C6" s="24" t="str">
        <x:v>LME</x:v>
      </x:c>
      <x:c r="D6" s="30" t="n">
        <x:v>2019</x:v>
      </x:c>
      <x:c r="E6" s="24" t="str">
        <x:v>Pleuragramma antarcticum</x:v>
      </x:c>
      <x:c r="F6" s="24" t="str">
        <x:v>Antarctic silverfish</x:v>
      </x:c>
      <x:c r="G6" s="24" t="str">
        <x:v>Small pelagics (&lt;30 cm)</x:v>
      </x:c>
      <x:c r="H6" s="24" t="str">
        <x:v>Perch-likes</x:v>
      </x:c>
      <x:c r="I6" s="31" t="n">
        <x:v>0.0022005613000000003</x:v>
      </x:c>
      <x:c r="J6" s="31" t="n">
        <x:v>0.0022005613000000003</x:v>
      </x:c>
      <x:c r="K6" s="31" t="n">
        <x:v>0</x:v>
      </x:c>
      <x:c r="L6" s="31" t="n">
        <x:v>0.0022005613000000003</x:v>
      </x:c>
      <x:c r="M6" s="31" t="n">
        <x:v>0</x:v>
      </x:c>
      <x:c r="N6" s="24" t="str">
        <x:v>pleuragramma antarcticum</x:v>
      </x:c>
      <x:c r="O6" s="32" t="n">
        <x:v>3.23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Pleuragramma antarcticum</x:v>
      </x:c>
      <x:c r="T6" s="32" t="n">
        <x:f>IF(O6="","",(1/'Metadata'!$B$5)^(O6-1))</x:f>
        <x:v>169.82436524617444</x:v>
      </x:c>
      <x:c r="U6" s="31" t="n">
        <x:f>IF(T6="","",I6*T6)</x:f>
        <x:v>0.3737089259577965</x:v>
      </x:c>
    </x:row>
    <x:row r="7" ht="18" customHeight="1">
      <x:c r="A7" s="24" t="str">
        <x:v>LME_061</x:v>
      </x:c>
      <x:c r="B7" s="24" t="str">
        <x:v>Antarctic</x:v>
      </x:c>
      <x:c r="C7" s="24" t="str">
        <x:v>LME</x:v>
      </x:c>
      <x:c r="D7" s="30" t="n">
        <x:v>2019</x:v>
      </x:c>
      <x:c r="E7" s="24" t="str">
        <x:v>Artedidraconidae</x:v>
      </x:c>
      <x:c r="F7" s="24" t="str">
        <x:v>Barbled plunderfishes</x:v>
      </x:c>
      <x:c r="G7" s="24" t="str">
        <x:v>Small demersals (&lt;30 cm)</x:v>
      </x:c>
      <x:c r="H7" s="24" t="str">
        <x:v>Perch-likes</x:v>
      </x:c>
      <x:c r="I7" s="31" t="n">
        <x:v>0.0017045646</x:v>
      </x:c>
      <x:c r="J7" s="31" t="n">
        <x:v>0.0017045646</x:v>
      </x:c>
      <x:c r="K7" s="31" t="n">
        <x:v>0</x:v>
      </x:c>
      <x:c r="L7" s="31" t="n">
        <x:v>0.0017045646</x:v>
      </x:c>
      <x:c r="M7" s="31" t="n">
        <x:v>0</x:v>
      </x:c>
      <x:c r="N7" s="24" t="str">
        <x:v>artedidraconidae</x:v>
      </x:c>
      <x:c r="O7" s="32" t="n">
        <x:v>3.1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Artedidraconidae</x:v>
      </x:c>
      <x:c r="T7" s="32" t="n">
        <x:f>IF(O7="","",(1/'Metadata'!$B$5)^(O7-1))</x:f>
        <x:v>125.89254117941675</x:v>
      </x:c>
      <x:c r="U7" s="31" t="n">
        <x:f>IF(T7="","",I7*T7)</x:f>
        <x:v>0.21459196909847605</x:v>
      </x:c>
    </x:row>
    <x:row r="8" ht="18" customHeight="1">
      <x:c r="A8" s="24" t="str">
        <x:v>LME_061</x:v>
      </x:c>
      <x:c r="B8" s="24" t="str">
        <x:v>Antarctic</x:v>
      </x:c>
      <x:c r="C8" s="24" t="str">
        <x:v>LME</x:v>
      </x:c>
      <x:c r="D8" s="30" t="n">
        <x:v>2019</x:v>
      </x:c>
      <x:c r="E8" s="24" t="str">
        <x:v>Neopagetopsis ionah</x:v>
      </x:c>
      <x:c r="F8" s="24" t="str">
        <x:v>Jonah's icefish</x:v>
      </x:c>
      <x:c r="G8" s="24" t="str">
        <x:v>Medium benthopelagics (30 - 89 cm)</x:v>
      </x:c>
      <x:c r="H8" s="24" t="str">
        <x:v>Perch-likes</x:v>
      </x:c>
      <x:c r="I8" s="31" t="n">
        <x:v>0.0003971103</x:v>
      </x:c>
      <x:c r="J8" s="31" t="n">
        <x:v>0.0003971103</x:v>
      </x:c>
      <x:c r="K8" s="31" t="n">
        <x:v>0</x:v>
      </x:c>
      <x:c r="L8" s="31" t="n">
        <x:v>0.0003971103</x:v>
      </x:c>
      <x:c r="M8" s="31" t="n">
        <x:v>0</x:v>
      </x:c>
      <x:c r="N8" s="24" t="str">
        <x:v>neopagetopsis ionah</x:v>
      </x:c>
      <x:c r="O8" s="32" t="n">
        <x:v>3.42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Neopagetopsis ionah</x:v>
      </x:c>
      <x:c r="T8" s="32" t="n">
        <x:f>IF(O8="","",(1/'Metadata'!$B$5)^(O8-1))</x:f>
        <x:v>263.02679918953817</x:v>
      </x:c>
      <x:c r="U8" s="31" t="n">
        <x:f>IF(T8="","",I8*T8)</x:f>
        <x:v>0.10445065113419726</x:v>
      </x:c>
    </x:row>
    <x:row r="9" ht="18" customHeight="1">
      <x:c r="A9" s="24" t="str">
        <x:v>LME_061</x:v>
      </x:c>
      <x:c r="B9" s="24" t="str">
        <x:v>Antarctic</x:v>
      </x:c>
      <x:c r="C9" s="24" t="str">
        <x:v>LME</x:v>
      </x:c>
      <x:c r="D9" s="30" t="n">
        <x:v>2019</x:v>
      </x:c>
      <x:c r="E9" s="24" t="str">
        <x:v>Pogonophryne permitini</x:v>
      </x:c>
      <x:c r="F9" s="24" t="str">
        <x:v>Plunderfish</x:v>
      </x:c>
      <x:c r="G9" s="24" t="str">
        <x:v>Small bathydemersals (&lt;30 cm)</x:v>
      </x:c>
      <x:c r="H9" s="24" t="str">
        <x:v>Perch-likes</x:v>
      </x:c>
      <x:c r="I9" s="31" t="n">
        <x:v>0.00013419120000000002</x:v>
      </x:c>
      <x:c r="J9" s="31" t="n">
        <x:v>0.00013419120000000002</x:v>
      </x:c>
      <x:c r="K9" s="31" t="n">
        <x:v>0</x:v>
      </x:c>
      <x:c r="L9" s="31" t="n">
        <x:v>0.00013419120000000002</x:v>
      </x:c>
      <x:c r="M9" s="31" t="n">
        <x:v>0</x:v>
      </x:c>
      <x:c r="N9" s="24" t="str">
        <x:v>pogonophryne permitini</x:v>
      </x:c>
      <x:c r="O9" s="32" t="n">
        <x:v>3.29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Pogonophryne permitini</x:v>
      </x:c>
      <x:c r="T9" s="32" t="n">
        <x:f>IF(O9="","",(1/'Metadata'!$B$5)^(O9-1))</x:f>
        <x:v>194.98445997580455</x:v>
      </x:c>
      <x:c r="U9" s="31" t="n">
        <x:f>IF(T9="","",I9*T9)</x:f>
        <x:v>0.026165198665505186</x:v>
      </x:c>
    </x:row>
    <x:row r="10" ht="18" customHeight="1">
      <x:c r="A10" s="24" t="str">
        <x:v>LME_061</x:v>
      </x:c>
      <x:c r="B10" s="24" t="str">
        <x:v>Antarctic</x:v>
      </x:c>
      <x:c r="C10" s="24" t="str">
        <x:v>LME</x:v>
      </x:c>
      <x:c r="D10" s="30" t="n">
        <x:v>2019</x:v>
      </x:c>
      <x:c r="E10" s="24" t="str">
        <x:v>Trematomus eulepidotus</x:v>
      </x:c>
      <x:c r="F10" s="24" t="str">
        <x:v>Blunt scalyhead</x:v>
      </x:c>
      <x:c r="G10" s="24" t="str">
        <x:v>Small demersals (&lt;30 cm)</x:v>
      </x:c>
      <x:c r="H10" s="24" t="str">
        <x:v>Perch-likes</x:v>
      </x:c>
      <x:c r="I10" s="31" t="n">
        <x:v>0.0000095616</x:v>
      </x:c>
      <x:c r="J10" s="31" t="n">
        <x:v>0.0000095616</x:v>
      </x:c>
      <x:c r="K10" s="31" t="n">
        <x:v>0</x:v>
      </x:c>
      <x:c r="L10" s="31" t="n">
        <x:v>0.0000095616</x:v>
      </x:c>
      <x:c r="M10" s="31" t="n">
        <x:v>0</x:v>
      </x:c>
      <x:c r="N10" s="24" t="str">
        <x:v>trematomus eulepidotus</x:v>
      </x:c>
      <x:c r="O10" s="32" t="n">
        <x:v>3.35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Trematomus eulepidotus</x:v>
      </x:c>
      <x:c r="T10" s="32" t="n">
        <x:f>IF(O10="","",(1/'Metadata'!$B$5)^(O10-1))</x:f>
        <x:v>223.872113856834</x:v>
      </x:c>
      <x:c r="U10" s="31" t="n">
        <x:f>IF(T10="","",I10*T10)</x:f>
        <x:v>0.002140575603853504</x:v>
      </x:c>
    </x:row>
    <x:row r="11" ht="18" customHeight="1">
      <x:c r="A11" s="24" t="str">
        <x:v>LME_061</x:v>
      </x:c>
      <x:c r="B11" s="24" t="str">
        <x:v>Antarctic</x:v>
      </x:c>
      <x:c r="C11" s="24" t="str">
        <x:v>LME</x:v>
      </x:c>
      <x:c r="D11" s="30" t="n">
        <x:v>2019</x:v>
      </x:c>
      <x:c r="E11" s="24" t="str">
        <x:v>Mollusca</x:v>
      </x:c>
      <x:c r="F11" s="24" t="str">
        <x:v>Clams, seasnails, squids, octopuses</x:v>
      </x:c>
      <x:c r="G11" s="24" t="str">
        <x:v>Other demersal invertebrates</x:v>
      </x:c>
      <x:c r="H11" s="24" t="str">
        <x:v>Molluscs</x:v>
      </x:c>
      <x:c r="I11" s="31" t="n">
        <x:v>0.0000046147</x:v>
      </x:c>
      <x:c r="J11" s="31" t="n">
        <x:v>0.0000046147</x:v>
      </x:c>
      <x:c r="K11" s="31" t="n">
        <x:v>0</x:v>
      </x:c>
      <x:c r="L11" s="31" t="n">
        <x:v>0.0000046147</x:v>
      </x:c>
      <x:c r="M11" s="31" t="n">
        <x:v>0</x:v>
      </x:c>
      <x:c r="N11" s="24" t="str">
        <x:v>mollusca</x:v>
      </x:c>
      <x:c r="O11" s="32" t="n">
        <x:v>2.1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Mollusca</x:v>
      </x:c>
      <x:c r="T11" s="32" t="n">
        <x:f>IF(O11="","",(1/'Metadata'!$B$5)^(O11-1))</x:f>
        <x:v>12.589254117941675</x:v>
      </x:c>
      <x:c r="U11" s="31" t="n">
        <x:f>IF(T11="","",I11*T11)</x:f>
        <x:v>0.00005809563097806545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b39feada94346d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0.0276479012</x:v>
      </x:c>
      <x:c r="C2" s="32" t="n">
        <x:v>3.47</x:v>
      </x:c>
      <x:c r="D2" s="32" t="n">
        <x:f>IF(C2="","",(1/'Metadata'!$B$5)^(C2-1))</x:f>
        <x:v>295.1209226666387</x:v>
      </x:c>
      <x:c r="E2" s="31" t="n">
        <x:f>IF(B2=0,"",B2*D2)</x:f>
        <x:v>8.159474111940067</x:v>
      </x:c>
    </x:row>
    <x:row r="3" ht="18" customHeight="1">
      <x:c r="A3" s="24" t="str">
        <x:v>Molluscs</x:v>
      </x:c>
      <x:c r="B3" s="31" t="n">
        <x:v>0.0000046147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0.00005809563097806545</x:v>
      </x:c>
    </x:row>
    <x:row r="4" ht="18" customHeight="1">
      <x:c r="A4" s="24" t="str">
        <x:v>Other fishes &amp; inverts</x:v>
      </x:c>
      <x:c r="B4" s="31" t="n">
        <x:v>0.1829741856</x:v>
      </x:c>
      <x:c r="C4" s="32" t="n">
        <x:v>3.2799999999999994</x:v>
      </x:c>
      <x:c r="D4" s="32" t="n">
        <x:f>IF(C4="","",(1/'Metadata'!$B$5)^(C4-1))</x:f>
        <x:v>190.54607179632444</x:v>
      </x:c>
      <x:c r="E4" s="31" t="n">
        <x:f>IF(B4=0,"",B4*D4)</x:f>
        <x:v>34.8650123062116</x:v>
      </x:c>
    </x:row>
    <x:row r="5" ht="18" customHeight="1">
      <x:c r="A5" s="24" t="str">
        <x:v>Perch-likes</x:v>
      </x:c>
      <x:c r="B5" s="31" t="n">
        <x:v>0.006798166499999999</x:v>
      </x:c>
      <x:c r="C5" s="32" t="n">
        <x:v>3.3274964018607074</x:v>
      </x:c>
      <x:c r="D5" s="32" t="n">
        <x:f>IF(C5="","",(1/'Metadata'!$B$5)^(C5-1))</x:f>
        <x:v>212.56727338990044</x:v>
      </x:c>
      <x:c r="E5" s="31" t="n">
        <x:f>IF(B5=0,"",B5*D5)</x:f>
        <x:v>1.4450677169555624</x:v>
      </x:c>
    </x:row>
    <x:row r="6" ht="18" customHeight="1">
      <x:c r="A6" s="24" t="str">
        <x:v>Sharks &amp; rays</x:v>
      </x:c>
      <x:c r="B6" s="31" t="n">
        <x:v>0.0321891454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13.113222995328973</x:v>
      </x:c>
    </x:row>
  </x:sheetData>
  <x:pageMargins left="0.7" right="0.7" top="0.75" bottom="0.75" header="0.3" footer="0.3"/>
  <x:tableParts count="1">
    <x:tablePart xmlns:r="http://schemas.openxmlformats.org/officeDocument/2006/relationships" r:id="R9484f73c02474af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rays (&gt;=90 cm)</x:v>
      </x:c>
      <x:c r="B2" s="31" t="n">
        <x:v>0.0321891454</x:v>
      </x:c>
      <x:c r="C2" s="32" t="n">
        <x:v>3.61</x:v>
      </x:c>
      <x:c r="D2" s="32" t="n">
        <x:f>IF(C2="","",(1/'Metadata'!$B$5)^(C2-1))</x:f>
        <x:v>407.3802778041126</x:v>
      </x:c>
      <x:c r="E2" s="31" t="n">
        <x:f>IF(B2=0,"",B2*D2)</x:f>
        <x:v>13.113222995328973</x:v>
      </x:c>
    </x:row>
    <x:row r="3" ht="18" customHeight="1">
      <x:c r="A3" s="24" t="str">
        <x:v>Medium bathydemersals (30 - 89 cm)</x:v>
      </x:c>
      <x:c r="B3" s="31" t="n">
        <x:v>0.0023521774999999997</x:v>
      </x:c>
      <x:c r="C3" s="32" t="n">
        <x:v>3.57</x:v>
      </x:c>
      <x:c r="D3" s="32" t="n">
        <x:f>IF(C3="","",(1/'Metadata'!$B$5)^(C3-1))</x:f>
        <x:v>371.5352290971724</x:v>
      </x:c>
      <x:c r="E3" s="31" t="n">
        <x:f>IF(B3=0,"",B3*D3)</x:f>
        <x:v>0.8739168063397141</x:v>
      </x:c>
    </x:row>
    <x:row r="4" ht="18" customHeight="1">
      <x:c r="A4" s="24" t="str">
        <x:v>Medium bathypelagics (30 - 89 cm)</x:v>
      </x:c>
      <x:c r="B4" s="31" t="n">
        <x:v>0.0276479012</x:v>
      </x:c>
      <x:c r="C4" s="32" t="n">
        <x:v>3.47</x:v>
      </x:c>
      <x:c r="D4" s="32" t="n">
        <x:f>IF(C4="","",(1/'Metadata'!$B$5)^(C4-1))</x:f>
        <x:v>295.1209226666387</x:v>
      </x:c>
      <x:c r="E4" s="31" t="n">
        <x:f>IF(B4=0,"",B4*D4)</x:f>
        <x:v>8.159474111940067</x:v>
      </x:c>
    </x:row>
    <x:row r="5" ht="18" customHeight="1">
      <x:c r="A5" s="24" t="str">
        <x:v>Medium benthopelagics (30 - 89 cm)</x:v>
      </x:c>
      <x:c r="B5" s="31" t="n">
        <x:v>0.0003971103</x:v>
      </x:c>
      <x:c r="C5" s="32" t="n">
        <x:v>3.42</x:v>
      </x:c>
      <x:c r="D5" s="32" t="n">
        <x:f>IF(C5="","",(1/'Metadata'!$B$5)^(C5-1))</x:f>
        <x:v>263.02679918953817</x:v>
      </x:c>
      <x:c r="E5" s="31" t="n">
        <x:f>IF(B5=0,"",B5*D5)</x:f>
        <x:v>0.10445065113419726</x:v>
      </x:c>
    </x:row>
    <x:row r="6" ht="18" customHeight="1">
      <x:c r="A6" s="24" t="str">
        <x:v>Medium demersals (30 - 89 cm)</x:v>
      </x:c>
      <x:c r="B6" s="31" t="n">
        <x:v>0.1829741856</x:v>
      </x:c>
      <x:c r="C6" s="32" t="n">
        <x:v>3.2799999999999994</x:v>
      </x:c>
      <x:c r="D6" s="32" t="n">
        <x:f>IF(C6="","",(1/'Metadata'!$B$5)^(C6-1))</x:f>
        <x:v>190.54607179632444</x:v>
      </x:c>
      <x:c r="E6" s="31" t="n">
        <x:f>IF(B6=0,"",B6*D6)</x:f>
        <x:v>34.8650123062116</x:v>
      </x:c>
    </x:row>
    <x:row r="7" ht="18" customHeight="1">
      <x:c r="A7" s="24" t="str">
        <x:v>Other demersal invertebrates</x:v>
      </x:c>
      <x:c r="B7" s="31" t="n">
        <x:v>0.0000046147</x:v>
      </x:c>
      <x:c r="C7" s="32" t="n">
        <x:v>2.1</x:v>
      </x:c>
      <x:c r="D7" s="32" t="n">
        <x:f>IF(C7="","",(1/'Metadata'!$B$5)^(C7-1))</x:f>
        <x:v>12.589254117941675</x:v>
      </x:c>
      <x:c r="E7" s="31" t="n">
        <x:f>IF(B7=0,"",B7*D7)</x:f>
        <x:v>0.00005809563097806545</x:v>
      </x:c>
    </x:row>
    <x:row r="8" ht="18" customHeight="1">
      <x:c r="A8" s="24" t="str">
        <x:v>Small bathydemersals (&lt;30 cm)</x:v>
      </x:c>
      <x:c r="B8" s="31" t="n">
        <x:v>0.00013419120000000002</x:v>
      </x:c>
      <x:c r="C8" s="32" t="n">
        <x:v>3.29</x:v>
      </x:c>
      <x:c r="D8" s="32" t="n">
        <x:f>IF(C8="","",(1/'Metadata'!$B$5)^(C8-1))</x:f>
        <x:v>194.98445997580455</x:v>
      </x:c>
      <x:c r="E8" s="31" t="n">
        <x:f>IF(B8=0,"",B8*D8)</x:f>
        <x:v>0.026165198665505186</x:v>
      </x:c>
    </x:row>
    <x:row r="9" ht="18" customHeight="1">
      <x:c r="A9" s="24" t="str">
        <x:v>Small demersals (&lt;30 cm)</x:v>
      </x:c>
      <x:c r="B9" s="31" t="n">
        <x:v>0.0017141262</x:v>
      </x:c>
      <x:c r="C9" s="32" t="n">
        <x:v>3.1013945297609946</x:v>
      </x:c>
      <x:c r="D9" s="32" t="n">
        <x:f>IF(C9="","",(1/'Metadata'!$B$5)^(C9-1))</x:f>
        <x:v>126.29743479353881</x:v>
      </x:c>
      <x:c r="E9" s="31" t="n">
        <x:f>IF(B9=0,"",B9*D9)</x:f>
        <x:v>0.21648974197239645</x:v>
      </x:c>
    </x:row>
    <x:row r="10" ht="18" customHeight="1">
      <x:c r="A10" s="24" t="str">
        <x:v>Small pelagics (&lt;30 cm)</x:v>
      </x:c>
      <x:c r="B10" s="31" t="n">
        <x:v>0.0022005613000000003</x:v>
      </x:c>
      <x:c r="C10" s="32" t="n">
        <x:v>3.23</x:v>
      </x:c>
      <x:c r="D10" s="32" t="n">
        <x:f>IF(C10="","",(1/'Metadata'!$B$5)^(C10-1))</x:f>
        <x:v>169.82436524617444</x:v>
      </x:c>
      <x:c r="E10" s="31" t="n">
        <x:f>IF(B10=0,"",B10*D10)</x:f>
        <x:v>0.3737089259577965</x:v>
      </x:c>
    </x:row>
  </x:sheetData>
  <x:pageMargins left="0.7" right="0.7" top="0.75" bottom="0.75" header="0.3" footer="0.3"/>
  <x:tableParts count="1">
    <x:tablePart xmlns:r="http://schemas.openxmlformats.org/officeDocument/2006/relationships" r:id="Ra45431fb00dd43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LME_061</x:v>
      </x:c>
      <x:c r="B2" s="24" t="str">
        <x:v>raw_filtered_tonnes</x:v>
      </x:c>
      <x:c r="C2" s="24" t="n">
        <x:v>0.2496140134</x:v>
      </x:c>
      <x:c r="D2" s="24" t="str">
        <x:v>tonnes</x:v>
      </x:c>
    </x:row>
    <x:row r="3" ht="18" customHeight="1">
      <x:c r="A3" s="24" t="str">
        <x:v>LME_061</x:v>
      </x:c>
      <x:c r="B3" s="24" t="str">
        <x:v>species_catch_tonnes</x:v>
      </x:c>
      <x:c r="C3" s="24" t="n">
        <x:v>0.2496140134</x:v>
      </x:c>
      <x:c r="D3" s="24" t="str">
        <x:v>tonnes</x:v>
      </x:c>
    </x:row>
    <x:row r="4" ht="18" customHeight="1">
      <x:c r="A4" s="24" t="str">
        <x:v>LME_061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LME_061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LME_061</x:v>
      </x:c>
      <x:c r="B6" s="24" t="str">
        <x:v>matched_catch_tonnes</x:v>
      </x:c>
      <x:c r="C6" s="24" t="n">
        <x:v>0.2496140134</x:v>
      </x:c>
      <x:c r="D6" s="24" t="str">
        <x:v>tonnes</x:v>
      </x:c>
    </x:row>
    <x:row r="7" ht="18" customHeight="1">
      <x:c r="A7" s="24" t="str">
        <x:v>LME_061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LME_061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LME_061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LME_061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LME_061</x:v>
      </x:c>
      <x:c r="B11" s="24" t="str">
        <x:v>species_ppr</x:v>
      </x:c>
      <x:c r="C11" s="24" t="n">
        <x:v>57.73274163591119</x:v>
      </x:c>
      <x:c r="D11" s="24" t="str">
        <x:v>tonnes_primary_production_equivalent</x:v>
      </x:c>
    </x:row>
    <x:row r="12" ht="18" customHeight="1">
      <x:c r="A12" s="24" t="str">
        <x:v>LME_061</x:v>
      </x:c>
      <x:c r="B12" s="24" t="str">
        <x:v>commercial_ppr</x:v>
      </x:c>
      <x:c r="C12" s="24" t="n">
        <x:v>57.58283522606718</x:v>
      </x:c>
      <x:c r="D12" s="24" t="str">
        <x:v>tonnes_primary_production_equivalent</x:v>
      </x:c>
    </x:row>
    <x:row r="13" ht="18" customHeight="1">
      <x:c r="A13" s="24" t="str">
        <x:v>LME_061</x:v>
      </x:c>
      <x:c r="B13" s="24" t="str">
        <x:v>functional_ppr</x:v>
      </x:c>
      <x:c r="C13" s="24" t="n">
        <x:v>57.732498833181225</x:v>
      </x:c>
      <x:c r="D13" s="24" t="str">
        <x:v>tonnes_primary_production_equivalent</x:v>
      </x:c>
    </x:row>
    <x:row r="14" ht="18" customHeight="1">
      <x:c r="A14" s="24" t="str">
        <x:v>LME_061</x:v>
      </x:c>
      <x:c r="B14" s="24" t="str">
        <x:v>commercial_ppr_difference</x:v>
      </x:c>
      <x:c r="C14" s="24" t="n">
        <x:v>-0.14990640984400727</x:v>
      </x:c>
      <x:c r="D14" s="24" t="str">
        <x:v>tonnes_primary_production_equivalent</x:v>
      </x:c>
    </x:row>
    <x:row r="15" ht="18" customHeight="1">
      <x:c r="A15" s="24" t="str">
        <x:v>LME_061</x:v>
      </x:c>
      <x:c r="B15" s="24" t="str">
        <x:v>functional_ppr_difference</x:v>
      </x:c>
      <x:c r="C15" s="24" t="n">
        <x:v>-0.00024280272996435315</x:v>
      </x:c>
      <x:c r="D15" s="24" t="str">
        <x:v>tonnes_primary_production_equivalent</x:v>
      </x:c>
    </x:row>
    <x:row r="16" ht="18" customHeight="1">
      <x:c r="A16" s="24" t="str">
        <x:v>LME_061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LME_061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17fee5e7b9840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LME_061 - Antarctic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