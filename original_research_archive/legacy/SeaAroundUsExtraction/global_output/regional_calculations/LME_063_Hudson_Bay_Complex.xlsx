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cd905bc93945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28db62656a2454e"/>
    <x:sheet xmlns:r="http://schemas.openxmlformats.org/officeDocument/2006/relationships" name="Commercial" sheetId="2" r:id="R8991a9fc4427400d"/>
    <x:sheet xmlns:r="http://schemas.openxmlformats.org/officeDocument/2006/relationships" name="Functional" sheetId="3" r:id="Ra8e30dfc41f3451c"/>
    <x:sheet xmlns:r="http://schemas.openxmlformats.org/officeDocument/2006/relationships" name="Missing TL" sheetId="4" r:id="R0148937b557b4091"/>
    <x:sheet xmlns:r="http://schemas.openxmlformats.org/officeDocument/2006/relationships" name="Validation" sheetId="5" r:id="Ra04a83a5b8644826"/>
    <x:sheet xmlns:r="http://schemas.openxmlformats.org/officeDocument/2006/relationships" name="Metadata" sheetId="6" r:id="R6dfc3cc034b749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200a5760f744d6" /><Relationship Type="http://schemas.openxmlformats.org/officeDocument/2006/relationships/theme" Target="/xl/theme/theme1.xml" Id="Rb737b2c7943e4a93" /><Relationship Type="http://schemas.microsoft.com/office/2022/11/relationships/FeaturePropertyBag" Target="/xl/featurePropertyBag/featurePropertyBag.xml" Id="Rd5a9d01663c34e4b" /><Relationship Type="http://schemas.openxmlformats.org/officeDocument/2006/relationships/sharedStrings" Target="/xl/sharedStrings.xml" Id="R372f0fa615674853" /><Relationship Type="http://schemas.openxmlformats.org/officeDocument/2006/relationships/worksheet" Target="/xl/worksheets/sheet1.xml" Id="R028db62656a2454e" /><Relationship Type="http://schemas.openxmlformats.org/officeDocument/2006/relationships/worksheet" Target="/xl/worksheets/sheet2.xml" Id="R8991a9fc4427400d" /><Relationship Type="http://schemas.openxmlformats.org/officeDocument/2006/relationships/worksheet" Target="/xl/worksheets/sheet3.xml" Id="Ra8e30dfc41f3451c" /><Relationship Type="http://schemas.openxmlformats.org/officeDocument/2006/relationships/worksheet" Target="/xl/worksheets/sheet4.xml" Id="R0148937b557b4091" /><Relationship Type="http://schemas.openxmlformats.org/officeDocument/2006/relationships/worksheet" Target="/xl/worksheets/sheet5.xml" Id="Ra04a83a5b8644826" /><Relationship Type="http://schemas.openxmlformats.org/officeDocument/2006/relationships/worksheet" Target="/xl/worksheets/sheet6.xml" Id="R6dfc3cc034b7497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63SpeciesTable" displayName="LME063SpeciesTable" ref="A1:U45" headerRowCount="1" totalsRowCount="0" totalsRowShown="0">
  <x:autoFilter ref="A1:U4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63CommercialTable" displayName="LME063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63FunctionalTable" displayName="LME063FunctionalTable" ref="A1:E19" headerRowCount="1" totalsRowCount="0" totalsRowShown="0">
  <x:autoFilter ref="A1:E19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63ValidationTable" displayName="LME063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a27157eb234d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5c3e2764b7c46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56aff1a623847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43a89cbf48a429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LME_063</x:v>
      </x:c>
      <x:c r="B2" s="24" t="str">
        <x:v>Hudson Bay Complex</x:v>
      </x:c>
      <x:c r="C2" s="24" t="str">
        <x:v>LME</x:v>
      </x:c>
      <x:c r="D2" s="30" t="n">
        <x:v>2019</x:v>
      </x:c>
      <x:c r="E2" s="24" t="str">
        <x:v>Salvelinus alpinus</x:v>
      </x:c>
      <x:c r="F2" s="24" t="str">
        <x:v>Arctic char</x:v>
      </x:c>
      <x:c r="G2" s="24" t="str">
        <x:v>Medium benthopelagics (30 - 89 cm)</x:v>
      </x:c>
      <x:c r="H2" s="24" t="str">
        <x:v>Salmon, smelts, etc</x:v>
      </x:c>
      <x:c r="I2" s="31" t="n">
        <x:v>774.7423521831</x:v>
      </x:c>
      <x:c r="J2" s="31" t="n">
        <x:v>774.7423521831</x:v>
      </x:c>
      <x:c r="K2" s="31" t="n">
        <x:v>0</x:v>
      </x:c>
      <x:c r="L2" s="31" t="n">
        <x:v>0</x:v>
      </x:c>
      <x:c r="M2" s="31" t="n">
        <x:v>774.7423521831</x:v>
      </x:c>
      <x:c r="N2" s="24" t="str">
        <x:v>salvelinus alpinus</x:v>
      </x:c>
      <x:c r="O2" s="32" t="n">
        <x:v>4.39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Salvelinus alpinus</x:v>
      </x:c>
      <x:c r="T2" s="32" t="n">
        <x:f>IF(O2="","",(1/'Metadata'!$B$5)^(O2-1))</x:f>
        <x:v>2454.7089156850284</x:v>
      </x:c>
      <x:c r="U2" s="31" t="n">
        <x:f>IF(T2="","",I2*T2)</x:f>
        <x:v>1901766.9592626458</x:v>
      </x:c>
    </x:row>
    <x:row r="3" ht="18" customHeight="1">
      <x:c r="A3" s="24" t="str">
        <x:v>LME_063</x:v>
      </x:c>
      <x:c r="B3" s="24" t="str">
        <x:v>Hudson Bay Complex</x:v>
      </x:c>
      <x:c r="C3" s="24" t="str">
        <x:v>LME</x:v>
      </x:c>
      <x:c r="D3" s="30" t="n">
        <x:v>2019</x:v>
      </x:c>
      <x:c r="E3" s="24" t="str">
        <x:v>Reinhardtius hippoglossoides</x:v>
      </x:c>
      <x:c r="F3" s="24" t="str">
        <x:v>Greenland halibut</x:v>
      </x:c>
      <x:c r="G3" s="24" t="str">
        <x:v>Small to medium flatfishes (&lt;90 cm)</x:v>
      </x:c>
      <x:c r="H3" s="24" t="str">
        <x:v>Flatfishes</x:v>
      </x:c>
      <x:c r="I3" s="31" t="n">
        <x:v>330.5375347069</x:v>
      </x:c>
      <x:c r="J3" s="31" t="n">
        <x:v>330.5002938187</x:v>
      </x:c>
      <x:c r="K3" s="31" t="n">
        <x:v>0.0372408882</x:v>
      </x:c>
      <x:c r="L3" s="31" t="n">
        <x:v>307.5580074413</x:v>
      </x:c>
      <x:c r="M3" s="31" t="n">
        <x:v>22.979527265599998</x:v>
      </x:c>
      <x:c r="N3" s="24" t="str">
        <x:v>reinhardtius hippoglossoides</x:v>
      </x:c>
      <x:c r="O3" s="32" t="n">
        <x:v>4.38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Reinhardtius hippoglossoides</x:v>
      </x:c>
      <x:c r="T3" s="32" t="n">
        <x:f>IF(O3="","",(1/'Metadata'!$B$5)^(O3-1))</x:f>
        <x:v>2398.83291901949</x:v>
      </x:c>
      <x:c r="U3" s="31" t="n">
        <x:f>IF(T3="","",I3*T3)</x:f>
        <x:v>792904.3192264588</x:v>
      </x:c>
    </x:row>
    <x:row r="4" ht="18" customHeight="1">
      <x:c r="A4" s="24" t="str">
        <x:v>LME_063</x:v>
      </x:c>
      <x:c r="B4" s="24" t="str">
        <x:v>Hudson Bay Complex</x:v>
      </x:c>
      <x:c r="C4" s="24" t="str">
        <x:v>LME</x:v>
      </x:c>
      <x:c r="D4" s="30" t="n">
        <x:v>2019</x:v>
      </x:c>
      <x:c r="E4" s="24" t="str">
        <x:v>Salmo salar</x:v>
      </x:c>
      <x:c r="F4" s="24" t="str">
        <x:v>Atlantic salmon</x:v>
      </x:c>
      <x:c r="G4" s="24" t="str">
        <x:v>Large benthopelagics (&gt;=90 cm)</x:v>
      </x:c>
      <x:c r="H4" s="24" t="str">
        <x:v>Salmon, smelts, etc</x:v>
      </x:c>
      <x:c r="I4" s="31" t="n">
        <x:v>51.2006763074</x:v>
      </x:c>
      <x:c r="J4" s="31" t="n">
        <x:v>51.2006763074</x:v>
      </x:c>
      <x:c r="K4" s="31" t="n">
        <x:v>0</x:v>
      </x:c>
      <x:c r="L4" s="31" t="n">
        <x:v>0</x:v>
      </x:c>
      <x:c r="M4" s="31" t="n">
        <x:v>51.2006763074</x:v>
      </x:c>
      <x:c r="N4" s="24" t="str">
        <x:v>salmo salar</x:v>
      </x:c>
      <x:c r="O4" s="32" t="n">
        <x:v>4.5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Salmo salar</x:v>
      </x:c>
      <x:c r="T4" s="32" t="n">
        <x:f>IF(O4="","",(1/'Metadata'!$B$5)^(O4-1))</x:f>
        <x:v>3162.2776601683795</x:v>
      </x:c>
      <x:c r="U4" s="31" t="n">
        <x:f>IF(T4="","",I4*T4)</x:f>
        <x:v>161910.75487240346</x:v>
      </x:c>
    </x:row>
    <x:row r="5" ht="18" customHeight="1">
      <x:c r="A5" s="24" t="str">
        <x:v>LME_063</x:v>
      </x:c>
      <x:c r="B5" s="24" t="str">
        <x:v>Hudson Bay Complex</x:v>
      </x:c>
      <x:c r="C5" s="24" t="str">
        <x:v>LME</x:v>
      </x:c>
      <x:c r="D5" s="30" t="n">
        <x:v>2019</x:v>
      </x:c>
      <x:c r="E5" s="24" t="str">
        <x:v>Gadidae</x:v>
      </x:c>
      <x:c r="F5" s="24" t="str">
        <x:v>Cods, haddocks</x:v>
      </x:c>
      <x:c r="G5" s="24" t="str">
        <x:v>Medium demersals (30 - 89 cm)</x:v>
      </x:c>
      <x:c r="H5" s="24" t="str">
        <x:v>Cod-likes</x:v>
      </x:c>
      <x:c r="I5" s="31" t="n">
        <x:v>36.1594068422</x:v>
      </x:c>
      <x:c r="J5" s="31" t="n">
        <x:v>36.1529924501</x:v>
      </x:c>
      <x:c r="K5" s="31" t="n">
        <x:v>0.0064143921</x:v>
      </x:c>
      <x:c r="L5" s="31" t="n">
        <x:v>0</x:v>
      </x:c>
      <x:c r="M5" s="31" t="n">
        <x:v>36.1594068422</x:v>
      </x:c>
      <x:c r="N5" s="24" t="str">
        <x:v>gadidae</x:v>
      </x:c>
      <x:c r="O5" s="32" t="n">
        <x:v>3.84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Gadidae</x:v>
      </x:c>
      <x:c r="T5" s="32" t="n">
        <x:f>IF(O5="","",(1/'Metadata'!$B$5)^(O5-1))</x:f>
        <x:v>691.8309709189363</x:v>
      </x:c>
      <x:c r="U5" s="31" t="n">
        <x:f>IF(T5="","",I5*T5)</x:f>
        <x:v>25016.197543492053</x:v>
      </x:c>
    </x:row>
    <x:row r="6" ht="18" customHeight="1">
      <x:c r="A6" s="24" t="str">
        <x:v>LME_063</x:v>
      </x:c>
      <x:c r="B6" s="24" t="str">
        <x:v>Hudson Bay Complex</x:v>
      </x:c>
      <x:c r="C6" s="24" t="str">
        <x:v>LME</x:v>
      </x:c>
      <x:c r="D6" s="30" t="n">
        <x:v>2019</x:v>
      </x:c>
      <x:c r="E6" s="24" t="str">
        <x:v>Coregonus nasus</x:v>
      </x:c>
      <x:c r="F6" s="24" t="str">
        <x:v>Broad whitefish</x:v>
      </x:c>
      <x:c r="G6" s="24" t="str">
        <x:v>Medium demersals (30 - 89 cm)</x:v>
      </x:c>
      <x:c r="H6" s="24" t="str">
        <x:v>Salmon, smelts, etc</x:v>
      </x:c>
      <x:c r="I6" s="31" t="n">
        <x:v>27.7465127631</x:v>
      </x:c>
      <x:c r="J6" s="31" t="n">
        <x:v>27.7465127631</x:v>
      </x:c>
      <x:c r="K6" s="31" t="n">
        <x:v>0</x:v>
      </x:c>
      <x:c r="L6" s="31" t="n">
        <x:v>0</x:v>
      </x:c>
      <x:c r="M6" s="31" t="n">
        <x:v>27.7465127631</x:v>
      </x:c>
      <x:c r="N6" s="24" t="str">
        <x:v>coregonus nasus</x:v>
      </x:c>
      <x:c r="O6" s="32" t="n">
        <x:v>3.45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Coregonus nasus</x:v>
      </x:c>
      <x:c r="T6" s="32" t="n">
        <x:f>IF(O6="","",(1/'Metadata'!$B$5)^(O6-1))</x:f>
        <x:v>281.8382931264455</x:v>
      </x:c>
      <x:c r="U6" s="31" t="n">
        <x:f>IF(T6="","",I6*T6)</x:f>
        <x:v>7820.029797363239</x:v>
      </x:c>
    </x:row>
    <x:row r="7" ht="18" customHeight="1">
      <x:c r="A7" s="24" t="str">
        <x:v>LME_063</x:v>
      </x:c>
      <x:c r="B7" s="24" t="str">
        <x:v>Hudson Bay Complex</x:v>
      </x:c>
      <x:c r="C7" s="24" t="str">
        <x:v>LME</x:v>
      </x:c>
      <x:c r="D7" s="30" t="n">
        <x:v>2019</x:v>
      </x:c>
      <x:c r="E7" s="24" t="str">
        <x:v>Salmo</x:v>
      </x:c>
      <x:c r="F7" s="24" t="str">
        <x:v>Trouts</x:v>
      </x:c>
      <x:c r="G7" s="24" t="str">
        <x:v>Large benthopelagics (&gt;=90 cm)</x:v>
      </x:c>
      <x:c r="H7" s="24" t="str">
        <x:v>Salmon, smelts, etc</x:v>
      </x:c>
      <x:c r="I7" s="31" t="n">
        <x:v>16.917014877299998</x:v>
      </x:c>
      <x:c r="J7" s="31" t="n">
        <x:v>16.917014877299998</x:v>
      </x:c>
      <x:c r="K7" s="31" t="n">
        <x:v>0</x:v>
      </x:c>
      <x:c r="L7" s="31" t="n">
        <x:v>0</x:v>
      </x:c>
      <x:c r="M7" s="31" t="n">
        <x:v>16.917014877299998</x:v>
      </x:c>
      <x:c r="N7" s="24" t="str">
        <x:v>salmo</x:v>
      </x:c>
      <x:c r="O7" s="32" t="n">
        <x:v>4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Salmo</x:v>
      </x:c>
      <x:c r="T7" s="32" t="n">
        <x:f>IF(O7="","",(1/'Metadata'!$B$5)^(O7-1))</x:f>
        <x:v>1000</x:v>
      </x:c>
      <x:c r="U7" s="31" t="n">
        <x:f>IF(T7="","",I7*T7)</x:f>
        <x:v>16917.014877299996</x:v>
      </x:c>
    </x:row>
    <x:row r="8" ht="18" customHeight="1">
      <x:c r="A8" s="24" t="str">
        <x:v>LME_063</x:v>
      </x:c>
      <x:c r="B8" s="24" t="str">
        <x:v>Hudson Bay Complex</x:v>
      </x:c>
      <x:c r="C8" s="24" t="str">
        <x:v>LME</x:v>
      </x:c>
      <x:c r="D8" s="30" t="n">
        <x:v>2019</x:v>
      </x:c>
      <x:c r="E8" s="24" t="str">
        <x:v>Coregonus</x:v>
      </x:c>
      <x:c r="F8" s="24" t="str">
        <x:v>Whitefishes</x:v>
      </x:c>
      <x:c r="G8" s="24" t="str">
        <x:v>Medium pelagics (30 - 89 cm)</x:v>
      </x:c>
      <x:c r="H8" s="24" t="str">
        <x:v>Salmon, smelts, etc</x:v>
      </x:c>
      <x:c r="I8" s="31" t="n">
        <x:v>14.8108261056</x:v>
      </x:c>
      <x:c r="J8" s="31" t="n">
        <x:v>14.8108261056</x:v>
      </x:c>
      <x:c r="K8" s="31" t="n">
        <x:v>0</x:v>
      </x:c>
      <x:c r="L8" s="31" t="n">
        <x:v>0</x:v>
      </x:c>
      <x:c r="M8" s="31" t="n">
        <x:v>14.8108261056</x:v>
      </x:c>
      <x:c r="N8" s="24" t="str">
        <x:v>coregonus</x:v>
      </x:c>
      <x:c r="O8" s="32" t="n">
        <x:v>3.3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Coregonus</x:v>
      </x:c>
      <x:c r="T8" s="32" t="n">
        <x:f>IF(O8="","",(1/'Metadata'!$B$5)^(O8-1))</x:f>
        <x:v>199.52623149688787</x:v>
      </x:c>
      <x:c r="U8" s="31" t="n">
        <x:f>IF(T8="","",I8*T8)</x:f>
        <x:v>2955.148318206096</x:v>
      </x:c>
    </x:row>
    <x:row r="9" ht="18" customHeight="1">
      <x:c r="A9" s="24" t="str">
        <x:v>LME_063</x:v>
      </x:c>
      <x:c r="B9" s="24" t="str">
        <x:v>Hudson Bay Complex</x:v>
      </x:c>
      <x:c r="C9" s="24" t="str">
        <x:v>LME</x:v>
      </x:c>
      <x:c r="D9" s="30" t="n">
        <x:v>2019</x:v>
      </x:c>
      <x:c r="E9" s="24" t="str">
        <x:v>Marine fishes not identified</x:v>
      </x:c>
      <x:c r="F9" s="24" t="str">
        <x:v>Marine fishes nei</x:v>
      </x:c>
      <x:c r="G9" s="24" t="str">
        <x:v>Medium demersals (30 - 89 cm)</x:v>
      </x:c>
      <x:c r="H9" s="24" t="str">
        <x:v>Other fishes &amp; inverts</x:v>
      </x:c>
      <x:c r="I9" s="31" t="n">
        <x:v>6.945959251400001</x:v>
      </x:c>
      <x:c r="J9" s="31" t="n">
        <x:v>0.1320628475</x:v>
      </x:c>
      <x:c r="K9" s="31" t="n">
        <x:v>6.8138964039</x:v>
      </x:c>
      <x:c r="L9" s="31" t="n">
        <x:v>0</x:v>
      </x:c>
      <x:c r="M9" s="31" t="n">
        <x:v>6.945959251400001</x:v>
      </x:c>
      <x:c r="N9" s="24" t="str">
        <x:v>marine fishes not identified</x:v>
      </x:c>
      <x:c r="O9" s="32" t="n">
        <x:v>3.28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Marine fishes not identified</x:v>
      </x:c>
      <x:c r="T9" s="32" t="n">
        <x:f>IF(O9="","",(1/'Metadata'!$B$5)^(O9-1))</x:f>
        <x:v>190.54607179632464</x:v>
      </x:c>
      <x:c r="U9" s="31" t="n">
        <x:f>IF(T9="","",I9*T9)</x:f>
        <x:v>1323.5252502116098</x:v>
      </x:c>
    </x:row>
    <x:row r="10" ht="18" customHeight="1">
      <x:c r="A10" s="24" t="str">
        <x:v>LME_063</x:v>
      </x:c>
      <x:c r="B10" s="24" t="str">
        <x:v>Hudson Bay Complex</x:v>
      </x:c>
      <x:c r="C10" s="24" t="str">
        <x:v>LME</x:v>
      </x:c>
      <x:c r="D10" s="30" t="n">
        <x:v>2019</x:v>
      </x:c>
      <x:c r="E10" s="24" t="str">
        <x:v>Squalus</x:v>
      </x:c>
      <x:c r="F10" s="24" t="str">
        <x:v>Dogfishes</x:v>
      </x:c>
      <x:c r="G10" s="24" t="str">
        <x:v>Large sharks (&gt;=90 cm)</x:v>
      </x:c>
      <x:c r="H10" s="24" t="str">
        <x:v>Sharks &amp; rays</x:v>
      </x:c>
      <x:c r="I10" s="31" t="n">
        <x:v>2.8917122581</x:v>
      </x:c>
      <x:c r="J10" s="31" t="n">
        <x:v>0</x:v>
      </x:c>
      <x:c r="K10" s="31" t="n">
        <x:v>2.8917122581</x:v>
      </x:c>
      <x:c r="L10" s="31" t="n">
        <x:v>0</x:v>
      </x:c>
      <x:c r="M10" s="31" t="n">
        <x:v>2.8917122581</x:v>
      </x:c>
      <x:c r="N10" s="24" t="str">
        <x:v>squalus</x:v>
      </x:c>
      <x:c r="O10" s="32" t="n">
        <x:v>4.23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Squalus</x:v>
      </x:c>
      <x:c r="T10" s="32" t="n">
        <x:f>IF(O10="","",(1/'Metadata'!$B$5)^(O10-1))</x:f>
        <x:v>1698.243652461746</x:v>
      </x:c>
      <x:c r="U10" s="31" t="n">
        <x:f>IF(T10="","",I10*T10)</x:f>
        <x:v>4910.831987064147</x:v>
      </x:c>
    </x:row>
    <x:row r="11" ht="18" customHeight="1">
      <x:c r="A11" s="24" t="str">
        <x:v>LME_063</x:v>
      </x:c>
      <x:c r="B11" s="24" t="str">
        <x:v>Hudson Bay Complex</x:v>
      </x:c>
      <x:c r="C11" s="24" t="str">
        <x:v>LME</x:v>
      </x:c>
      <x:c r="D11" s="30" t="n">
        <x:v>2019</x:v>
      </x:c>
      <x:c r="E11" s="24" t="str">
        <x:v>Anarhichas</x:v>
      </x:c>
      <x:c r="F11" s="24" t="str">
        <x:v>Wolffishes</x:v>
      </x:c>
      <x:c r="G11" s="24" t="str">
        <x:v>Large demersals (&gt;=90 cm)</x:v>
      </x:c>
      <x:c r="H11" s="24" t="str">
        <x:v>Perch-likes</x:v>
      </x:c>
      <x:c r="I11" s="31" t="n">
        <x:v>1.8947322041</x:v>
      </x:c>
      <x:c r="J11" s="31" t="n">
        <x:v>0</x:v>
      </x:c>
      <x:c r="K11" s="31" t="n">
        <x:v>1.8947322041</x:v>
      </x:c>
      <x:c r="L11" s="31" t="n">
        <x:v>0</x:v>
      </x:c>
      <x:c r="M11" s="31" t="n">
        <x:v>1.8947322041</x:v>
      </x:c>
      <x:c r="N11" s="24" t="str">
        <x:v>anarhichas</x:v>
      </x:c>
      <x:c r="O11" s="32" t="n">
        <x:v>3.35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Anarhichas</x:v>
      </x:c>
      <x:c r="T11" s="32" t="n">
        <x:f>IF(O11="","",(1/'Metadata'!$B$5)^(O11-1))</x:f>
        <x:v>223.872113856834</x:v>
      </x:c>
      <x:c r="U11" s="31" t="n">
        <x:f>IF(T11="","",I11*T11)</x:f>
        <x:v>424.17770372448524</x:v>
      </x:c>
    </x:row>
    <x:row r="12" ht="18" customHeight="1">
      <x:c r="A12" s="24" t="str">
        <x:v>LME_063</x:v>
      </x:c>
      <x:c r="B12" s="24" t="str">
        <x:v>Hudson Bay Complex</x:v>
      </x:c>
      <x:c r="C12" s="24" t="str">
        <x:v>LME</x:v>
      </x:c>
      <x:c r="D12" s="30" t="n">
        <x:v>2019</x:v>
      </x:c>
      <x:c r="E12" s="24" t="str">
        <x:v>Sebastes</x:v>
      </x:c>
      <x:c r="F12" s="24" t="str">
        <x:v>Redfishes</x:v>
      </x:c>
      <x:c r="G12" s="24" t="str">
        <x:v>Large reef assoc. fish (&gt;=90 cm)</x:v>
      </x:c>
      <x:c r="H12" s="24" t="str">
        <x:v>Scorpionfishes</x:v>
      </x:c>
      <x:c r="I12" s="31" t="n">
        <x:v>1.2689321394</x:v>
      </x:c>
      <x:c r="J12" s="31" t="n">
        <x:v>0.0526370234</x:v>
      </x:c>
      <x:c r="K12" s="31" t="n">
        <x:v>1.216295116</x:v>
      </x:c>
      <x:c r="L12" s="31" t="n">
        <x:v>0.0456687605</x:v>
      </x:c>
      <x:c r="M12" s="31" t="n">
        <x:v>1.2232633789</x:v>
      </x:c>
      <x:c r="N12" s="24" t="str">
        <x:v>sebastes</x:v>
      </x:c>
      <x:c r="O12" s="32" t="n">
        <x:v>3.79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Sebastes</x:v>
      </x:c>
      <x:c r="T12" s="32" t="n">
        <x:f>IF(O12="","",(1/'Metadata'!$B$5)^(O12-1))</x:f>
        <x:v>616.5950018614822</x:v>
      </x:c>
      <x:c r="U12" s="31" t="n">
        <x:f>IF(T12="","",I12*T12)</x:f>
        <x:v>782.4172148554375</x:v>
      </x:c>
    </x:row>
    <x:row r="13" ht="18" customHeight="1">
      <x:c r="A13" s="24" t="str">
        <x:v>LME_063</x:v>
      </x:c>
      <x:c r="B13" s="24" t="str">
        <x:v>Hudson Bay Complex</x:v>
      </x:c>
      <x:c r="C13" s="24" t="str">
        <x:v>LME</x:v>
      </x:c>
      <x:c r="D13" s="30" t="n">
        <x:v>2019</x:v>
      </x:c>
      <x:c r="E13" s="24" t="str">
        <x:v>Gadus morhua</x:v>
      </x:c>
      <x:c r="F13" s="24" t="str">
        <x:v>Atlantic cod</x:v>
      </x:c>
      <x:c r="G13" s="24" t="str">
        <x:v>Large benthopelagics (&gt;=90 cm)</x:v>
      </x:c>
      <x:c r="H13" s="24" t="str">
        <x:v>Cod-likes</x:v>
      </x:c>
      <x:c r="I13" s="31" t="n">
        <x:v>1.1097206507000001</x:v>
      </x:c>
      <x:c r="J13" s="31" t="n">
        <x:v>0.0602746554</x:v>
      </x:c>
      <x:c r="K13" s="31" t="n">
        <x:v>1.0494459953</x:v>
      </x:c>
      <x:c r="L13" s="31" t="n">
        <x:v>0</x:v>
      </x:c>
      <x:c r="M13" s="31" t="n">
        <x:v>1.1097206507000001</x:v>
      </x:c>
      <x:c r="N13" s="24" t="str">
        <x:v>gadus morhua</x:v>
      </x:c>
      <x:c r="O13" s="32" t="n">
        <x:v>4.09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Gadus morhua</x:v>
      </x:c>
      <x:c r="T13" s="32" t="n">
        <x:f>IF(O13="","",(1/'Metadata'!$B$5)^(O13-1))</x:f>
        <x:v>1230.268770812381</x:v>
      </x:c>
      <x:c r="U13" s="31" t="n">
        <x:f>IF(T13="","",I13*T13)</x:f>
        <x:v>1365.2546608818047</x:v>
      </x:c>
    </x:row>
    <x:row r="14" ht="18" customHeight="1">
      <x:c r="A14" s="24" t="str">
        <x:v>LME_063</x:v>
      </x:c>
      <x:c r="B14" s="24" t="str">
        <x:v>Hudson Bay Complex</x:v>
      </x:c>
      <x:c r="C14" s="24" t="str">
        <x:v>LME</x:v>
      </x:c>
      <x:c r="D14" s="30" t="n">
        <x:v>2019</x:v>
      </x:c>
      <x:c r="E14" s="24" t="str">
        <x:v>Mollusca</x:v>
      </x:c>
      <x:c r="F14" s="24" t="str">
        <x:v>Clams, seasnails, squids, octopuses</x:v>
      </x:c>
      <x:c r="G14" s="24" t="str">
        <x:v>Other demersal invertebrates</x:v>
      </x:c>
      <x:c r="H14" s="24" t="str">
        <x:v>Molluscs</x:v>
      </x:c>
      <x:c r="I14" s="31" t="n">
        <x:v>0.4925241658</x:v>
      </x:c>
      <x:c r="J14" s="31" t="n">
        <x:v>0</x:v>
      </x:c>
      <x:c r="K14" s="31" t="n">
        <x:v>0.4925241658</x:v>
      </x:c>
      <x:c r="L14" s="31" t="n">
        <x:v>0</x:v>
      </x:c>
      <x:c r="M14" s="31" t="n">
        <x:v>0.4925241658</x:v>
      </x:c>
      <x:c r="N14" s="24" t="str">
        <x:v>mollusca</x:v>
      </x:c>
      <x:c r="O14" s="32" t="n">
        <x:v>2.1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Mollusca</x:v>
      </x:c>
      <x:c r="T14" s="32" t="n">
        <x:f>IF(O14="","",(1/'Metadata'!$B$5)^(O14-1))</x:f>
        <x:v>12.589254117941675</x:v>
      </x:c>
      <x:c r="U14" s="31" t="n">
        <x:f>IF(T14="","",I14*T14)</x:f>
        <x:v>6.200511882483438</x:v>
      </x:c>
    </x:row>
    <x:row r="15" ht="18" customHeight="1">
      <x:c r="A15" s="24" t="str">
        <x:v>LME_063</x:v>
      </x:c>
      <x:c r="B15" s="24" t="str">
        <x:v>Hudson Bay Complex</x:v>
      </x:c>
      <x:c r="C15" s="24" t="str">
        <x:v>LME</x:v>
      </x:c>
      <x:c r="D15" s="30" t="n">
        <x:v>2019</x:v>
      </x:c>
      <x:c r="E15" s="24" t="str">
        <x:v>Cyclopterus lumpus</x:v>
      </x:c>
      <x:c r="F15" s="24" t="str">
        <x:v>Lumpfish</x:v>
      </x:c>
      <x:c r="G15" s="24" t="str">
        <x:v>Medium benthopelagics (30 - 89 cm)</x:v>
      </x:c>
      <x:c r="H15" s="24" t="str">
        <x:v>Scorpionfishes</x:v>
      </x:c>
      <x:c r="I15" s="31" t="n">
        <x:v>0.4897871918</x:v>
      </x:c>
      <x:c r="J15" s="31" t="n">
        <x:v>0</x:v>
      </x:c>
      <x:c r="K15" s="31" t="n">
        <x:v>0.4897871918</x:v>
      </x:c>
      <x:c r="L15" s="31" t="n">
        <x:v>0</x:v>
      </x:c>
      <x:c r="M15" s="31" t="n">
        <x:v>0.4897871918</x:v>
      </x:c>
      <x:c r="N15" s="24" t="str">
        <x:v>cyclopterus lumpus</x:v>
      </x:c>
      <x:c r="O15" s="32" t="n">
        <x:v>3.89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Cyclopterus lumpus</x:v>
      </x:c>
      <x:c r="T15" s="32" t="n">
        <x:f>IF(O15="","",(1/'Metadata'!$B$5)^(O15-1))</x:f>
        <x:v>776.247116628692</x:v>
      </x:c>
      <x:c r="U15" s="31" t="n">
        <x:f>IF(T15="","",I15*T15)</x:f>
        <x:v>380.19589539641413</x:v>
      </x:c>
    </x:row>
    <x:row r="16" ht="18" customHeight="1">
      <x:c r="A16" s="24" t="str">
        <x:v>LME_063</x:v>
      </x:c>
      <x:c r="B16" s="24" t="str">
        <x:v>Hudson Bay Complex</x:v>
      </x:c>
      <x:c r="C16" s="24" t="str">
        <x:v>LME</x:v>
      </x:c>
      <x:c r="D16" s="30" t="n">
        <x:v>2019</x:v>
      </x:c>
      <x:c r="E16" s="24" t="str">
        <x:v>Myoxocephalus</x:v>
      </x:c>
      <x:c r="F16" s="24" t="str">
        <x:v>Grubbies and sculpins</x:v>
      </x:c>
      <x:c r="G16" s="24" t="str">
        <x:v>Large reef assoc. fish (&gt;=90 cm)</x:v>
      </x:c>
      <x:c r="H16" s="24" t="str">
        <x:v>Scorpionfishes</x:v>
      </x:c>
      <x:c r="I16" s="31" t="n">
        <x:v>0.4099498691</x:v>
      </x:c>
      <x:c r="J16" s="31" t="n">
        <x:v>0</x:v>
      </x:c>
      <x:c r="K16" s="31" t="n">
        <x:v>0.4099498691</x:v>
      </x:c>
      <x:c r="L16" s="31" t="n">
        <x:v>0</x:v>
      </x:c>
      <x:c r="M16" s="31" t="n">
        <x:v>0.4099498691</x:v>
      </x:c>
      <x:c r="N16" s="24" t="str">
        <x:v>myoxocephalus</x:v>
      </x:c>
      <x:c r="O16" s="32" t="n">
        <x:v>3.71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Myoxocephalus</x:v>
      </x:c>
      <x:c r="T16" s="32" t="n">
        <x:f>IF(O16="","",(1/'Metadata'!$B$5)^(O16-1))</x:f>
        <x:v>512.8613839913648</x:v>
      </x:c>
      <x:c r="U16" s="31" t="n">
        <x:f>IF(T16="","",I16*T16)</x:f>
        <x:v>210.24745723370484</x:v>
      </x:c>
    </x:row>
    <x:row r="17" ht="18" customHeight="1">
      <x:c r="A17" s="24" t="str">
        <x:v>LME_063</x:v>
      </x:c>
      <x:c r="B17" s="24" t="str">
        <x:v>Hudson Bay Complex</x:v>
      </x:c>
      <x:c r="C17" s="24" t="str">
        <x:v>LME</x:v>
      </x:c>
      <x:c r="D17" s="30" t="n">
        <x:v>2019</x:v>
      </x:c>
      <x:c r="E17" s="24" t="str">
        <x:v>Mallotus villosus</x:v>
      </x:c>
      <x:c r="F17" s="24" t="str">
        <x:v>Capelin</x:v>
      </x:c>
      <x:c r="G17" s="24" t="str">
        <x:v>Small pelagics (&lt;30 cm)</x:v>
      </x:c>
      <x:c r="H17" s="24" t="str">
        <x:v>Salmon, smelts, etc</x:v>
      </x:c>
      <x:c r="I17" s="31" t="n">
        <x:v>0.4057062352</x:v>
      </x:c>
      <x:c r="J17" s="31" t="n">
        <x:v>0</x:v>
      </x:c>
      <x:c r="K17" s="31" t="n">
        <x:v>0.4057062352</x:v>
      </x:c>
      <x:c r="L17" s="31" t="n">
        <x:v>0</x:v>
      </x:c>
      <x:c r="M17" s="31" t="n">
        <x:v>0.4057062352</x:v>
      </x:c>
      <x:c r="N17" s="24" t="str">
        <x:v>mallotus villosus</x:v>
      </x:c>
      <x:c r="O17" s="32" t="n">
        <x:v>3.15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Mallotus villosus</x:v>
      </x:c>
      <x:c r="T17" s="32" t="n">
        <x:f>IF(O17="","",(1/'Metadata'!$B$5)^(O17-1))</x:f>
        <x:v>141.2537544622754</x:v>
      </x:c>
      <x:c r="U17" s="31" t="n">
        <x:f>IF(T17="","",I17*T17)</x:f>
        <x:v>57.30752893075495</x:v>
      </x:c>
    </x:row>
    <x:row r="18" ht="18" customHeight="1">
      <x:c r="A18" s="24" t="str">
        <x:v>LME_063</x:v>
      </x:c>
      <x:c r="B18" s="24" t="str">
        <x:v>Hudson Bay Complex</x:v>
      </x:c>
      <x:c r="C18" s="24" t="str">
        <x:v>LME</x:v>
      </x:c>
      <x:c r="D18" s="30" t="n">
        <x:v>2019</x:v>
      </x:c>
      <x:c r="E18" s="24" t="str">
        <x:v>Anarhichas denticulatus</x:v>
      </x:c>
      <x:c r="F18" s="24" t="str">
        <x:v>Northern wolffish</x:v>
      </x:c>
      <x:c r="G18" s="24" t="str">
        <x:v>Large benthopelagics (&gt;=90 cm)</x:v>
      </x:c>
      <x:c r="H18" s="24" t="str">
        <x:v>Perch-likes</x:v>
      </x:c>
      <x:c r="I18" s="31" t="n">
        <x:v>0.3887187184</x:v>
      </x:c>
      <x:c r="J18" s="31" t="n">
        <x:v>0</x:v>
      </x:c>
      <x:c r="K18" s="31" t="n">
        <x:v>0.3887187184</x:v>
      </x:c>
      <x:c r="L18" s="31" t="n">
        <x:v>0</x:v>
      </x:c>
      <x:c r="M18" s="31" t="n">
        <x:v>0.3887187184</x:v>
      </x:c>
      <x:c r="N18" s="24" t="str">
        <x:v>anarhichas denticulatus</x:v>
      </x:c>
      <x:c r="O18" s="32" t="n">
        <x:v>3.75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Anarhichas denticulatus</x:v>
      </x:c>
      <x:c r="T18" s="32" t="n">
        <x:f>IF(O18="","",(1/'Metadata'!$B$5)^(O18-1))</x:f>
        <x:v>562.341325190349</x:v>
      </x:c>
      <x:c r="U18" s="31" t="n">
        <x:f>IF(T18="","",I18*T18)</x:f>
        <x:v>218.5925992313501</x:v>
      </x:c>
    </x:row>
    <x:row r="19" ht="18" customHeight="1">
      <x:c r="A19" s="24" t="str">
        <x:v>LME_063</x:v>
      </x:c>
      <x:c r="B19" s="24" t="str">
        <x:v>Hudson Bay Complex</x:v>
      </x:c>
      <x:c r="C19" s="24" t="str">
        <x:v>LME</x:v>
      </x:c>
      <x:c r="D19" s="30" t="n">
        <x:v>2019</x:v>
      </x:c>
      <x:c r="E19" s="24" t="str">
        <x:v>Hippoglossus hippoglossus</x:v>
      </x:c>
      <x:c r="F19" s="24" t="str">
        <x:v>Atlantic halibut</x:v>
      </x:c>
      <x:c r="G19" s="24" t="str">
        <x:v>Large flatfishes (&gt;=90 cm)</x:v>
      </x:c>
      <x:c r="H19" s="24" t="str">
        <x:v>Flatfishes</x:v>
      </x:c>
      <x:c r="I19" s="31" t="n">
        <x:v>0.24331082089999997</x:v>
      </x:c>
      <x:c r="J19" s="31" t="n">
        <x:v>0</x:v>
      </x:c>
      <x:c r="K19" s="31" t="n">
        <x:v>0.24331082089999997</x:v>
      </x:c>
      <x:c r="L19" s="31" t="n">
        <x:v>0</x:v>
      </x:c>
      <x:c r="M19" s="31" t="n">
        <x:v>0.24331082089999997</x:v>
      </x:c>
      <x:c r="N19" s="24" t="str">
        <x:v>hippoglossus hippoglossus</x:v>
      </x:c>
      <x:c r="O19" s="32" t="n">
        <x:v>4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Hippoglossus hippoglossus</x:v>
      </x:c>
      <x:c r="T19" s="32" t="n">
        <x:f>IF(O19="","",(1/'Metadata'!$B$5)^(O19-1))</x:f>
        <x:v>1000</x:v>
      </x:c>
      <x:c r="U19" s="31" t="n">
        <x:f>IF(T19="","",I19*T19)</x:f>
        <x:v>243.31082089999998</x:v>
      </x:c>
    </x:row>
    <x:row r="20" ht="18" customHeight="1">
      <x:c r="A20" s="24" t="str">
        <x:v>LME_063</x:v>
      </x:c>
      <x:c r="B20" s="24" t="str">
        <x:v>Hudson Bay Complex</x:v>
      </x:c>
      <x:c r="C20" s="24" t="str">
        <x:v>LME</x:v>
      </x:c>
      <x:c r="D20" s="30" t="n">
        <x:v>2019</x:v>
      </x:c>
      <x:c r="E20" s="24" t="str">
        <x:v>Cottidae</x:v>
      </x:c>
      <x:c r="F20" s="24" t="str">
        <x:v>Sculpins</x:v>
      </x:c>
      <x:c r="G20" s="24" t="str">
        <x:v>Large reef assoc. fish (&gt;=90 cm)</x:v>
      </x:c>
      <x:c r="H20" s="24" t="str">
        <x:v>Scorpionfishes</x:v>
      </x:c>
      <x:c r="I20" s="31" t="n">
        <x:v>0.2150677293</x:v>
      </x:c>
      <x:c r="J20" s="31" t="n">
        <x:v>0.204002269</x:v>
      </x:c>
      <x:c r="K20" s="31" t="n">
        <x:v>0.0110654603</x:v>
      </x:c>
      <x:c r="L20" s="31" t="n">
        <x:v>0</x:v>
      </x:c>
      <x:c r="M20" s="31" t="n">
        <x:v>0.2150677293</x:v>
      </x:c>
      <x:c r="N20" s="24" t="str">
        <x:v>cottidae</x:v>
      </x:c>
      <x:c r="O20" s="32" t="n">
        <x:v>3.81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Cottidae</x:v>
      </x:c>
      <x:c r="T20" s="32" t="n">
        <x:f>IF(O20="","",(1/'Metadata'!$B$5)^(O20-1))</x:f>
        <x:v>645.6542290346556</x:v>
      </x:c>
      <x:c r="U20" s="31" t="n">
        <x:f>IF(T20="","",I20*T20)</x:f>
        <x:v>138.85938895142553</x:v>
      </x:c>
    </x:row>
    <x:row r="21" ht="18" customHeight="1">
      <x:c r="A21" s="24" t="str">
        <x:v>LME_063</x:v>
      </x:c>
      <x:c r="B21" s="24" t="str">
        <x:v>Hudson Bay Complex</x:v>
      </x:c>
      <x:c r="C21" s="24" t="str">
        <x:v>LME</x:v>
      </x:c>
      <x:c r="D21" s="30" t="n">
        <x:v>2019</x:v>
      </x:c>
      <x:c r="E21" s="24" t="str">
        <x:v>Lycodes</x:v>
      </x:c>
      <x:c r="F21" s="24" t="str">
        <x:v>Eelpouts</x:v>
      </x:c>
      <x:c r="G21" s="24" t="str">
        <x:v>Medium bathydemersals (30 - 89 cm)</x:v>
      </x:c>
      <x:c r="H21" s="24" t="str">
        <x:v>Perch-likes</x:v>
      </x:c>
      <x:c r="I21" s="31" t="n">
        <x:v>0.1786781827</x:v>
      </x:c>
      <x:c r="J21" s="31" t="n">
        <x:v>0</x:v>
      </x:c>
      <x:c r="K21" s="31" t="n">
        <x:v>0.1786781827</x:v>
      </x:c>
      <x:c r="L21" s="31" t="n">
        <x:v>0</x:v>
      </x:c>
      <x:c r="M21" s="31" t="n">
        <x:v>0.1786781827</x:v>
      </x:c>
      <x:c r="N21" s="24" t="str">
        <x:v>lycodes</x:v>
      </x:c>
      <x:c r="O21" s="32" t="n">
        <x:v>3.3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Lycodes</x:v>
      </x:c>
      <x:c r="T21" s="32" t="n">
        <x:f>IF(O21="","",(1/'Metadata'!$B$5)^(O21-1))</x:f>
        <x:v>199.52623149688787</x:v>
      </x:c>
      <x:c r="U21" s="31" t="n">
        <x:f>IF(T21="","",I21*T21)</x:f>
        <x:v>35.650984444843424</x:v>
      </x:c>
    </x:row>
    <x:row r="22" ht="18" customHeight="1">
      <x:c r="A22" s="24" t="str">
        <x:v>LME_063</x:v>
      </x:c>
      <x:c r="B22" s="24" t="str">
        <x:v>Hudson Bay Complex</x:v>
      </x:c>
      <x:c r="C22" s="24" t="str">
        <x:v>LME</x:v>
      </x:c>
      <x:c r="D22" s="30" t="n">
        <x:v>2019</x:v>
      </x:c>
      <x:c r="E22" s="24" t="str">
        <x:v>Centroscyllium fabricii</x:v>
      </x:c>
      <x:c r="F22" s="24" t="str">
        <x:v>Black dogfish</x:v>
      </x:c>
      <x:c r="G22" s="24" t="str">
        <x:v>Small to medium sharks (&lt;90 cm)</x:v>
      </x:c>
      <x:c r="H22" s="24" t="str">
        <x:v>Sharks &amp; rays</x:v>
      </x:c>
      <x:c r="I22" s="31" t="n">
        <x:v>0.1762128683</x:v>
      </x:c>
      <x:c r="J22" s="31" t="n">
        <x:v>0</x:v>
      </x:c>
      <x:c r="K22" s="31" t="n">
        <x:v>0.1762128683</x:v>
      </x:c>
      <x:c r="L22" s="31" t="n">
        <x:v>0</x:v>
      </x:c>
      <x:c r="M22" s="31" t="n">
        <x:v>0.1762128683</x:v>
      </x:c>
      <x:c r="N22" s="24" t="str">
        <x:v>centroscyllium fabricii</x:v>
      </x:c>
      <x:c r="O22" s="32" t="n">
        <x:v>3.84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Centroscyllium fabricii</x:v>
      </x:c>
      <x:c r="T22" s="32" t="n">
        <x:f>IF(O22="","",(1/'Metadata'!$B$5)^(O22-1))</x:f>
        <x:v>691.8309709189363</x:v>
      </x:c>
      <x:c r="U22" s="31" t="n">
        <x:f>IF(T22="","",I22*T22)</x:f>
        <x:v>121.90951976439963</x:v>
      </x:c>
    </x:row>
    <x:row r="23" ht="18" customHeight="1">
      <x:c r="A23" s="24" t="str">
        <x:v>LME_063</x:v>
      </x:c>
      <x:c r="B23" s="24" t="str">
        <x:v>Hudson Bay Complex</x:v>
      </x:c>
      <x:c r="C23" s="24" t="str">
        <x:v>LME</x:v>
      </x:c>
      <x:c r="D23" s="30" t="n">
        <x:v>2019</x:v>
      </x:c>
      <x:c r="E23" s="24" t="str">
        <x:v>Glyptocephalus cynoglossus</x:v>
      </x:c>
      <x:c r="F23" s="24" t="str">
        <x:v>Witch flounder</x:v>
      </x:c>
      <x:c r="G23" s="24" t="str">
        <x:v>Small to medium flatfishes (&lt;90 cm)</x:v>
      </x:c>
      <x:c r="H23" s="24" t="str">
        <x:v>Flatfishes</x:v>
      </x:c>
      <x:c r="I23" s="31" t="n">
        <x:v>0.12105058030000002</x:v>
      </x:c>
      <x:c r="J23" s="31" t="n">
        <x:v>0</x:v>
      </x:c>
      <x:c r="K23" s="31" t="n">
        <x:v>0.12105058030000002</x:v>
      </x:c>
      <x:c r="L23" s="31" t="n">
        <x:v>0</x:v>
      </x:c>
      <x:c r="M23" s="31" t="n">
        <x:v>0.12105058030000002</x:v>
      </x:c>
      <x:c r="N23" s="24" t="str">
        <x:v>glyptocephalus cynoglossus</x:v>
      </x:c>
      <x:c r="O23" s="32" t="n">
        <x:v>3.17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Glyptocephalus cynoglossus</x:v>
      </x:c>
      <x:c r="T23" s="32" t="n">
        <x:f>IF(O23="","",(1/'Metadata'!$B$5)^(O23-1))</x:f>
        <x:v>147.91083881682073</x:v>
      </x:c>
      <x:c r="U23" s="31" t="n">
        <x:f>IF(T23="","",I23*T23)</x:f>
        <x:v>17.904692871435916</x:v>
      </x:c>
    </x:row>
    <x:row r="24" ht="18" customHeight="1">
      <x:c r="A24" s="24" t="str">
        <x:v>LME_063</x:v>
      </x:c>
      <x:c r="B24" s="24" t="str">
        <x:v>Hudson Bay Complex</x:v>
      </x:c>
      <x:c r="C24" s="24" t="str">
        <x:v>LME</x:v>
      </x:c>
      <x:c r="D24" s="30" t="n">
        <x:v>2019</x:v>
      </x:c>
      <x:c r="E24" s="24" t="str">
        <x:v>Pollachius virens</x:v>
      </x:c>
      <x:c r="F24" s="24" t="str">
        <x:v>Saithe</x:v>
      </x:c>
      <x:c r="G24" s="24" t="str">
        <x:v>Large demersals (&gt;=90 cm)</x:v>
      </x:c>
      <x:c r="H24" s="24" t="str">
        <x:v>Cod-likes</x:v>
      </x:c>
      <x:c r="I24" s="31" t="n">
        <x:v>0.1019564471</x:v>
      </x:c>
      <x:c r="J24" s="31" t="n">
        <x:v>0</x:v>
      </x:c>
      <x:c r="K24" s="31" t="n">
        <x:v>0.1019564471</x:v>
      </x:c>
      <x:c r="L24" s="31" t="n">
        <x:v>0</x:v>
      </x:c>
      <x:c r="M24" s="31" t="n">
        <x:v>0.1019564471</x:v>
      </x:c>
      <x:c r="N24" s="24" t="str">
        <x:v>pollachius virens</x:v>
      </x:c>
      <x:c r="O24" s="32" t="n">
        <x:v>4.31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Pollachius virens</x:v>
      </x:c>
      <x:c r="T24" s="32" t="n">
        <x:f>IF(O24="","",(1/'Metadata'!$B$5)^(O24-1))</x:f>
        <x:v>2041.7379446695275</x:v>
      </x:c>
      <x:c r="U24" s="31" t="n">
        <x:f>IF(T24="","",I24*T24)</x:f>
        <x:v>208.1683467477614</x:v>
      </x:c>
    </x:row>
    <x:row r="25" ht="18" customHeight="1">
      <x:c r="A25" s="24" t="str">
        <x:v>LME_063</x:v>
      </x:c>
      <x:c r="B25" s="24" t="str">
        <x:v>Hudson Bay Complex</x:v>
      </x:c>
      <x:c r="C25" s="24" t="str">
        <x:v>LME</x:v>
      </x:c>
      <x:c r="D25" s="30" t="n">
        <x:v>2019</x:v>
      </x:c>
      <x:c r="E25" s="24" t="str">
        <x:v>Anarhichas lupus</x:v>
      </x:c>
      <x:c r="F25" s="24" t="str">
        <x:v>Atlantic wolffish</x:v>
      </x:c>
      <x:c r="G25" s="24" t="str">
        <x:v>Large demersals (&gt;=90 cm)</x:v>
      </x:c>
      <x:c r="H25" s="24" t="str">
        <x:v>Perch-likes</x:v>
      </x:c>
      <x:c r="I25" s="31" t="n">
        <x:v>0.072509135</x:v>
      </x:c>
      <x:c r="J25" s="31" t="n">
        <x:v>0</x:v>
      </x:c>
      <x:c r="K25" s="31" t="n">
        <x:v>0.072509135</x:v>
      </x:c>
      <x:c r="L25" s="31" t="n">
        <x:v>0</x:v>
      </x:c>
      <x:c r="M25" s="31" t="n">
        <x:v>0.072509135</x:v>
      </x:c>
      <x:c r="N25" s="24" t="str">
        <x:v>anarhichas lupus</x:v>
      </x:c>
      <x:c r="O25" s="32" t="n">
        <x:v>3.55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Anarhichas lupus</x:v>
      </x:c>
      <x:c r="T25" s="32" t="n">
        <x:f>IF(O25="","",(1/'Metadata'!$B$5)^(O25-1))</x:f>
        <x:v>354.8133892335753</x:v>
      </x:c>
      <x:c r="U25" s="31" t="n">
        <x:f>IF(T25="","",I25*T25)</x:f>
        <x:v>25.727211939744862</x:v>
      </x:c>
    </x:row>
    <x:row r="26" ht="18" customHeight="1">
      <x:c r="A26" s="24" t="str">
        <x:v>LME_063</x:v>
      </x:c>
      <x:c r="B26" s="24" t="str">
        <x:v>Hudson Bay Complex</x:v>
      </x:c>
      <x:c r="C26" s="24" t="str">
        <x:v>LME</x:v>
      </x:c>
      <x:c r="D26" s="30" t="n">
        <x:v>2019</x:v>
      </x:c>
      <x:c r="E26" s="24" t="str">
        <x:v>Osmerus mordax</x:v>
      </x:c>
      <x:c r="F26" s="24" t="str">
        <x:v>Rainbow smelt</x:v>
      </x:c>
      <x:c r="G26" s="24" t="str">
        <x:v>Small pelagics (&lt;30 cm)</x:v>
      </x:c>
      <x:c r="H26" s="24" t="str">
        <x:v>Salmon, smelts, etc</x:v>
      </x:c>
      <x:c r="I26" s="31" t="n">
        <x:v>0.0600788861</x:v>
      </x:c>
      <x:c r="J26" s="31" t="n">
        <x:v>0</x:v>
      </x:c>
      <x:c r="K26" s="31" t="n">
        <x:v>0.0600788861</x:v>
      </x:c>
      <x:c r="L26" s="31" t="n">
        <x:v>0</x:v>
      </x:c>
      <x:c r="M26" s="31" t="n">
        <x:v>0.0600788861</x:v>
      </x:c>
      <x:c r="N26" s="24" t="str">
        <x:v>osmerus mordax</x:v>
      </x:c>
      <x:c r="O26" s="32" t="n">
        <x:v>3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Osmerus mordax</x:v>
      </x:c>
      <x:c r="T26" s="32" t="n">
        <x:f>IF(O26="","",(1/'Metadata'!$B$5)^(O26-1))</x:f>
        <x:v>100</x:v>
      </x:c>
      <x:c r="U26" s="31" t="n">
        <x:f>IF(T26="","",I26*T26)</x:f>
        <x:v>6.00788861</x:v>
      </x:c>
    </x:row>
    <x:row r="27" ht="18" customHeight="1">
      <x:c r="A27" s="24" t="str">
        <x:v>LME_063</x:v>
      </x:c>
      <x:c r="B27" s="24" t="str">
        <x:v>Hudson Bay Complex</x:v>
      </x:c>
      <x:c r="C27" s="24" t="str">
        <x:v>LME</x:v>
      </x:c>
      <x:c r="D27" s="30" t="n">
        <x:v>2019</x:v>
      </x:c>
      <x:c r="E27" s="24" t="str">
        <x:v>Coregonus autumnalis</x:v>
      </x:c>
      <x:c r="F27" s="24" t="str">
        <x:v>Arctic cisco</x:v>
      </x:c>
      <x:c r="G27" s="24" t="str">
        <x:v>Medium pelagics (30 - 89 cm)</x:v>
      </x:c>
      <x:c r="H27" s="24" t="str">
        <x:v>Salmon, smelts, etc</x:v>
      </x:c>
      <x:c r="I27" s="31" t="n">
        <x:v>0.0389177964</x:v>
      </x:c>
      <x:c r="J27" s="31" t="n">
        <x:v>0.0389177964</x:v>
      </x:c>
      <x:c r="K27" s="31" t="n">
        <x:v>0</x:v>
      </x:c>
      <x:c r="L27" s="31" t="n">
        <x:v>0</x:v>
      </x:c>
      <x:c r="M27" s="31" t="n">
        <x:v>0.0389177964</x:v>
      </x:c>
      <x:c r="N27" s="24" t="str">
        <x:v>coregonus autumnalis</x:v>
      </x:c>
      <x:c r="O27" s="32" t="n">
        <x:v>3.67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Coregonus autumnalis</x:v>
      </x:c>
      <x:c r="T27" s="32" t="n">
        <x:f>IF(O27="","",(1/'Metadata'!$B$5)^(O27-1))</x:f>
        <x:v>467.73514128719813</x:v>
      </x:c>
      <x:c r="U27" s="31" t="n">
        <x:f>IF(T27="","",I27*T27)</x:f>
        <x:v>18.203220997740413</x:v>
      </x:c>
    </x:row>
    <x:row r="28" ht="18" customHeight="1">
      <x:c r="A28" s="24" t="str">
        <x:v>LME_063</x:v>
      </x:c>
      <x:c r="B28" s="24" t="str">
        <x:v>Hudson Bay Complex</x:v>
      </x:c>
      <x:c r="C28" s="24" t="str">
        <x:v>LME</x:v>
      </x:c>
      <x:c r="D28" s="30" t="n">
        <x:v>2019</x:v>
      </x:c>
      <x:c r="E28" s="24" t="str">
        <x:v>Brachyura</x:v>
      </x:c>
      <x:c r="F28" s="24" t="str">
        <x:v>Marine crabs</x:v>
      </x:c>
      <x:c r="G28" s="24" t="str">
        <x:v>Lobsters, crabs</x:v>
      </x:c>
      <x:c r="H28" s="24" t="str">
        <x:v>Crustaceans</x:v>
      </x:c>
      <x:c r="I28" s="31" t="n">
        <x:v>0.0348657347</x:v>
      </x:c>
      <x:c r="J28" s="31" t="n">
        <x:v>0</x:v>
      </x:c>
      <x:c r="K28" s="31" t="n">
        <x:v>0.0348657347</x:v>
      </x:c>
      <x:c r="L28" s="31" t="n">
        <x:v>0</x:v>
      </x:c>
      <x:c r="M28" s="31" t="n">
        <x:v>0.0348657347</x:v>
      </x:c>
      <x:c r="N28" s="24" t="str">
        <x:v>brachyura</x:v>
      </x:c>
      <x:c r="O28" s="32" t="n">
        <x:v>2.6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Brachyura</x:v>
      </x:c>
      <x:c r="T28" s="32" t="n">
        <x:f>IF(O28="","",(1/'Metadata'!$B$5)^(O28-1))</x:f>
        <x:v>39.810717055349734</x:v>
      </x:c>
      <x:c r="U28" s="31" t="n">
        <x:f>IF(T28="","",I28*T28)</x:f>
        <x:v>1.3880298990685889</x:v>
      </x:c>
    </x:row>
    <x:row r="29" ht="18" customHeight="1">
      <x:c r="A29" s="24" t="str">
        <x:v>LME_063</x:v>
      </x:c>
      <x:c r="B29" s="24" t="str">
        <x:v>Hudson Bay Complex</x:v>
      </x:c>
      <x:c r="C29" s="24" t="str">
        <x:v>LME</x:v>
      </x:c>
      <x:c r="D29" s="30" t="n">
        <x:v>2019</x:v>
      </x:c>
      <x:c r="E29" s="24" t="str">
        <x:v>Boreogadus saida</x:v>
      </x:c>
      <x:c r="F29" s="24" t="str">
        <x:v>Polar cod</x:v>
      </x:c>
      <x:c r="G29" s="24" t="str">
        <x:v>Medium demersals (30 - 89 cm)</x:v>
      </x:c>
      <x:c r="H29" s="24" t="str">
        <x:v>Cod-likes</x:v>
      </x:c>
      <x:c r="I29" s="31" t="n">
        <x:v>0.0250034456</x:v>
      </x:c>
      <x:c r="J29" s="31" t="n">
        <x:v>0.0250034456</x:v>
      </x:c>
      <x:c r="K29" s="31" t="n">
        <x:v>0</x:v>
      </x:c>
      <x:c r="L29" s="31" t="n">
        <x:v>0</x:v>
      </x:c>
      <x:c r="M29" s="31" t="n">
        <x:v>0.0250034456</x:v>
      </x:c>
      <x:c r="N29" s="24" t="str">
        <x:v>boreogadus saida</x:v>
      </x:c>
      <x:c r="O29" s="32" t="n">
        <x:v>3.12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Boreogadus saida</x:v>
      </x:c>
      <x:c r="T29" s="32" t="n">
        <x:f>IF(O29="","",(1/'Metadata'!$B$5)^(O29-1))</x:f>
        <x:v>131.82567385564073</x:v>
      </x:c>
      <x:c r="U29" s="31" t="n">
        <x:f>IF(T29="","",I29*T29)</x:f>
        <x:v>3.2960960649328555</x:v>
      </x:c>
    </x:row>
    <x:row r="30" ht="18" customHeight="1">
      <x:c r="A30" s="24" t="str">
        <x:v>LME_063</x:v>
      </x:c>
      <x:c r="B30" s="24" t="str">
        <x:v>Hudson Bay Complex</x:v>
      </x:c>
      <x:c r="C30" s="24" t="str">
        <x:v>LME</x:v>
      </x:c>
      <x:c r="D30" s="30" t="n">
        <x:v>2019</x:v>
      </x:c>
      <x:c r="E30" s="24" t="str">
        <x:v>Salvelinus</x:v>
      </x:c>
      <x:c r="F30" s="24" t="str">
        <x:v>Chars</x:v>
      </x:c>
      <x:c r="G30" s="24" t="str">
        <x:v>Large benthopelagics (&gt;=90 cm)</x:v>
      </x:c>
      <x:c r="H30" s="24" t="str">
        <x:v>Salmon, smelts, etc</x:v>
      </x:c>
      <x:c r="I30" s="31" t="n">
        <x:v>0.0217813891</x:v>
      </x:c>
      <x:c r="J30" s="31" t="n">
        <x:v>0.0217813891</x:v>
      </x:c>
      <x:c r="K30" s="31" t="n">
        <x:v>0</x:v>
      </x:c>
      <x:c r="L30" s="31" t="n">
        <x:v>0</x:v>
      </x:c>
      <x:c r="M30" s="31" t="n">
        <x:v>0.0217813891</x:v>
      </x:c>
      <x:c r="N30" s="24" t="str">
        <x:v>salvelinus</x:v>
      </x:c>
      <x:c r="O30" s="32" t="n">
        <x:v>4.1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Salvelinus</x:v>
      </x:c>
      <x:c r="T30" s="32" t="n">
        <x:f>IF(O30="","",(1/'Metadata'!$B$5)^(O30-1))</x:f>
        <x:v>1258.9254117941662</x:v>
      </x:c>
      <x:c r="U30" s="31" t="n">
        <x:f>IF(T30="","",I30*T30)</x:f>
        <x:v>27.421144242166463</x:v>
      </x:c>
    </x:row>
    <x:row r="31" ht="18" customHeight="1">
      <x:c r="A31" s="24" t="str">
        <x:v>LME_063</x:v>
      </x:c>
      <x:c r="B31" s="24" t="str">
        <x:v>Hudson Bay Complex</x:v>
      </x:c>
      <x:c r="C31" s="24" t="str">
        <x:v>LME</x:v>
      </x:c>
      <x:c r="D31" s="30" t="n">
        <x:v>2019</x:v>
      </x:c>
      <x:c r="E31" s="24" t="str">
        <x:v>Coryphaenoides</x:v>
      </x:c>
      <x:c r="F31" s="24" t="str">
        <x:v>Grenadiers</x:v>
      </x:c>
      <x:c r="G31" s="24" t="str">
        <x:v>Large bathypelagics (&gt;=90 cm)</x:v>
      </x:c>
      <x:c r="H31" s="24" t="str">
        <x:v>Cod-likes</x:v>
      </x:c>
      <x:c r="I31" s="31" t="n">
        <x:v>0.0094043514</x:v>
      </x:c>
      <x:c r="J31" s="31" t="n">
        <x:v>0</x:v>
      </x:c>
      <x:c r="K31" s="31" t="n">
        <x:v>0.0094043514</x:v>
      </x:c>
      <x:c r="L31" s="31" t="n">
        <x:v>0</x:v>
      </x:c>
      <x:c r="M31" s="31" t="n">
        <x:v>0.0094043514</x:v>
      </x:c>
      <x:c r="N31" s="24" t="str">
        <x:v>coryphaenoides</x:v>
      </x:c>
      <x:c r="O31" s="32" t="n">
        <x:v>3.97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Coryphaenoides</x:v>
      </x:c>
      <x:c r="T31" s="32" t="n">
        <x:f>IF(O31="","",(1/'Metadata'!$B$5)^(O31-1))</x:f>
        <x:v>933.2543007969915</x:v>
      </x:c>
      <x:c r="U31" s="31" t="n">
        <x:f>IF(T31="","",I31*T31)</x:f>
        <x:v>8.776651390256209</x:v>
      </x:c>
    </x:row>
    <x:row r="32" ht="18" customHeight="1">
      <x:c r="A32" s="24" t="str">
        <x:v>LME_063</x:v>
      </x:c>
      <x:c r="B32" s="24" t="str">
        <x:v>Hudson Bay Complex</x:v>
      </x:c>
      <x:c r="C32" s="24" t="str">
        <x:v>LME</x:v>
      </x:c>
      <x:c r="D32" s="30" t="n">
        <x:v>2019</x:v>
      </x:c>
      <x:c r="E32" s="24" t="str">
        <x:v>Buccinum undatum</x:v>
      </x:c>
      <x:c r="F32" s="24" t="str">
        <x:v>Whelk</x:v>
      </x:c>
      <x:c r="G32" s="24" t="str">
        <x:v>Other demersal invertebrates</x:v>
      </x:c>
      <x:c r="H32" s="24" t="str">
        <x:v>Molluscs</x:v>
      </x:c>
      <x:c r="I32" s="31" t="n">
        <x:v>0.0064214518</x:v>
      </x:c>
      <x:c r="J32" s="31" t="n">
        <x:v>0</x:v>
      </x:c>
      <x:c r="K32" s="31" t="n">
        <x:v>0.0064214518</x:v>
      </x:c>
      <x:c r="L32" s="31" t="n">
        <x:v>0</x:v>
      </x:c>
      <x:c r="M32" s="31" t="n">
        <x:v>0.0064214518</x:v>
      </x:c>
      <x:c r="N32" s="24" t="str">
        <x:v>buccinum undatum</x:v>
      </x:c>
      <x:c r="O32" s="32" t="n">
        <x:v>3.75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Buccinum undatum</x:v>
      </x:c>
      <x:c r="T32" s="32" t="n">
        <x:f>IF(O32="","",(1/'Metadata'!$B$5)^(O32-1))</x:f>
        <x:v>562.341325190349</x:v>
      </x:c>
      <x:c r="U32" s="31" t="n">
        <x:f>IF(T32="","",I32*T32)</x:f>
        <x:v>3.611047714857952</x:v>
      </x:c>
    </x:row>
    <x:row r="33" ht="18" customHeight="1">
      <x:c r="A33" s="24" t="str">
        <x:v>LME_063</x:v>
      </x:c>
      <x:c r="B33" s="24" t="str">
        <x:v>Hudson Bay Complex</x:v>
      </x:c>
      <x:c r="C33" s="24" t="str">
        <x:v>LME</x:v>
      </x:c>
      <x:c r="D33" s="30" t="n">
        <x:v>2019</x:v>
      </x:c>
      <x:c r="E33" s="24" t="str">
        <x:v>Myoxocephalus quadricornis</x:v>
      </x:c>
      <x:c r="F33" s="24" t="str">
        <x:v>Fourhorn sculpin</x:v>
      </x:c>
      <x:c r="G33" s="24" t="str">
        <x:v>Medium demersals (30 - 89 cm)</x:v>
      </x:c>
      <x:c r="H33" s="24" t="str">
        <x:v>Scorpionfishes</x:v>
      </x:c>
      <x:c r="I33" s="31" t="n">
        <x:v>0.0056713629</x:v>
      </x:c>
      <x:c r="J33" s="31" t="n">
        <x:v>0.0056713629</x:v>
      </x:c>
      <x:c r="K33" s="31" t="n">
        <x:v>0</x:v>
      </x:c>
      <x:c r="L33" s="31" t="n">
        <x:v>0</x:v>
      </x:c>
      <x:c r="M33" s="31" t="n">
        <x:v>0.0056713629</x:v>
      </x:c>
      <x:c r="N33" s="24" t="str">
        <x:v>myoxocephalus quadricornis</x:v>
      </x:c>
      <x:c r="O33" s="32" t="n">
        <x:v>3.69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Myoxocephalus quadricornis</x:v>
      </x:c>
      <x:c r="T33" s="32" t="n">
        <x:f>IF(O33="","",(1/'Metadata'!$B$5)^(O33-1))</x:f>
        <x:v>489.77881936844614</x:v>
      </x:c>
      <x:c r="U33" s="31" t="n">
        <x:f>IF(T33="","",I33*T33)</x:f>
        <x:v>2.777713425372007</x:v>
      </x:c>
    </x:row>
    <x:row r="34" ht="18" customHeight="1">
      <x:c r="A34" s="24" t="str">
        <x:v>LME_063</x:v>
      </x:c>
      <x:c r="B34" s="24" t="str">
        <x:v>Hudson Bay Complex</x:v>
      </x:c>
      <x:c r="C34" s="24" t="str">
        <x:v>LME</x:v>
      </x:c>
      <x:c r="D34" s="30" t="n">
        <x:v>2019</x:v>
      </x:c>
      <x:c r="E34" s="24" t="str">
        <x:v>Rajidae</x:v>
      </x:c>
      <x:c r="F34" s="24" t="str">
        <x:v>Stingrays</x:v>
      </x:c>
      <x:c r="G34" s="24" t="str">
        <x:v>Large rays (&gt;=90 cm)</x:v>
      </x:c>
      <x:c r="H34" s="24" t="str">
        <x:v>Sharks &amp; rays</x:v>
      </x:c>
      <x:c r="I34" s="31" t="n">
        <x:v>0.0048500627</x:v>
      </x:c>
      <x:c r="J34" s="31" t="n">
        <x:v>0</x:v>
      </x:c>
      <x:c r="K34" s="31" t="n">
        <x:v>0.0048500627</x:v>
      </x:c>
      <x:c r="L34" s="31" t="n">
        <x:v>0</x:v>
      </x:c>
      <x:c r="M34" s="31" t="n">
        <x:v>0.0048500627</x:v>
      </x:c>
      <x:c r="N34" s="24" t="str">
        <x:v>rajidae</x:v>
      </x:c>
      <x:c r="O34" s="32" t="n">
        <x:v>3.82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Rajidae</x:v>
      </x:c>
      <x:c r="T34" s="32" t="n">
        <x:f>IF(O34="","",(1/'Metadata'!$B$5)^(O34-1))</x:f>
        <x:v>660.6934480075957</x:v>
      </x:c>
      <x:c r="U34" s="31" t="n">
        <x:f>IF(T34="","",I34*T34)</x:f>
        <x:v>3.2044046483160296</x:v>
      </x:c>
    </x:row>
    <x:row r="35" ht="18" customHeight="1">
      <x:c r="A35" s="24" t="str">
        <x:v>LME_063</x:v>
      </x:c>
      <x:c r="B35" s="24" t="str">
        <x:v>Hudson Bay Complex</x:v>
      </x:c>
      <x:c r="C35" s="24" t="str">
        <x:v>LME</x:v>
      </x:c>
      <x:c r="D35" s="30" t="n">
        <x:v>2019</x:v>
      </x:c>
      <x:c r="E35" s="24" t="str">
        <x:v>Chionoecetes</x:v>
      </x:c>
      <x:c r="F35" s="24" t="str">
        <x:v>Tanner, snow crabs</x:v>
      </x:c>
      <x:c r="G35" s="24" t="str">
        <x:v>Lobsters, crabs</x:v>
      </x:c>
      <x:c r="H35" s="24" t="str">
        <x:v>Crustaceans</x:v>
      </x:c>
      <x:c r="I35" s="31" t="n">
        <x:v>0.0046399351</x:v>
      </x:c>
      <x:c r="J35" s="31" t="n">
        <x:v>0</x:v>
      </x:c>
      <x:c r="K35" s="31" t="n">
        <x:v>0.0046399351</x:v>
      </x:c>
      <x:c r="L35" s="31" t="n">
        <x:v>0</x:v>
      </x:c>
      <x:c r="M35" s="31" t="n">
        <x:v>0.0046399351</x:v>
      </x:c>
      <x:c r="N35" s="24" t="str">
        <x:v>chionoecetes</x:v>
      </x:c>
      <x:c r="O35" s="32" t="n">
        <x:v>2.3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Chionoecetes</x:v>
      </x:c>
      <x:c r="T35" s="32" t="n">
        <x:f>IF(O35="","",(1/'Metadata'!$B$5)^(O35-1))</x:f>
        <x:v>19.952623149688787</x:v>
      </x:c>
      <x:c r="U35" s="31" t="n">
        <x:f>IF(T35="","",I35*T35)</x:f>
        <x:v>0.09257887648931355</x:v>
      </x:c>
    </x:row>
    <x:row r="36" ht="18" customHeight="1">
      <x:c r="A36" s="24" t="str">
        <x:v>LME_063</x:v>
      </x:c>
      <x:c r="B36" s="24" t="str">
        <x:v>Hudson Bay Complex</x:v>
      </x:c>
      <x:c r="C36" s="24" t="str">
        <x:v>LME</x:v>
      </x:c>
      <x:c r="D36" s="30" t="n">
        <x:v>2019</x:v>
      </x:c>
      <x:c r="E36" s="24" t="str">
        <x:v>Clupea harengus</x:v>
      </x:c>
      <x:c r="F36" s="24" t="str">
        <x:v>Atlantic herring</x:v>
      </x:c>
      <x:c r="G36" s="24" t="str">
        <x:v>Medium pelagics (30 - 89 cm)</x:v>
      </x:c>
      <x:c r="H36" s="24" t="str">
        <x:v>Herring-likes</x:v>
      </x:c>
      <x:c r="I36" s="31" t="n">
        <x:v>0.0014391964000000001</x:v>
      </x:c>
      <x:c r="J36" s="31" t="n">
        <x:v>0</x:v>
      </x:c>
      <x:c r="K36" s="31" t="n">
        <x:v>0.0014391964000000001</x:v>
      </x:c>
      <x:c r="L36" s="31" t="n">
        <x:v>0</x:v>
      </x:c>
      <x:c r="M36" s="31" t="n">
        <x:v>0.0014391964000000001</x:v>
      </x:c>
      <x:c r="N36" s="24" t="str">
        <x:v>clupea harengus</x:v>
      </x:c>
      <x:c r="O36" s="32" t="n">
        <x:v>3.38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Clupea harengus</x:v>
      </x:c>
      <x:c r="T36" s="32" t="n">
        <x:f>IF(O36="","",(1/'Metadata'!$B$5)^(O36-1))</x:f>
        <x:v>239.88329190194898</x:v>
      </x:c>
      <x:c r="U36" s="31" t="n">
        <x:f>IF(T36="","",I36*T36)</x:f>
        <x:v>0.34523917012543415</x:v>
      </x:c>
    </x:row>
    <x:row r="37" ht="18" customHeight="1">
      <x:c r="A37" s="24" t="str">
        <x:v>LME_063</x:v>
      </x:c>
      <x:c r="B37" s="24" t="str">
        <x:v>Hudson Bay Complex</x:v>
      </x:c>
      <x:c r="C37" s="24" t="str">
        <x:v>LME</x:v>
      </x:c>
      <x:c r="D37" s="30" t="n">
        <x:v>2019</x:v>
      </x:c>
      <x:c r="E37" s="24" t="str">
        <x:v>Teuthida</x:v>
      </x:c>
      <x:c r="F37" s="24" t="str">
        <x:v>Squids</x:v>
      </x:c>
      <x:c r="G37" s="24" t="str">
        <x:v>Cephalopods</x:v>
      </x:c>
      <x:c r="H37" s="24" t="str">
        <x:v>Other fishes &amp; inverts</x:v>
      </x:c>
      <x:c r="I37" s="31" t="n">
        <x:v>0.0005846117</x:v>
      </x:c>
      <x:c r="J37" s="31" t="n">
        <x:v>0</x:v>
      </x:c>
      <x:c r="K37" s="31" t="n">
        <x:v>0.0005846117</x:v>
      </x:c>
      <x:c r="L37" s="31" t="n">
        <x:v>0</x:v>
      </x:c>
      <x:c r="M37" s="31" t="n">
        <x:v>0.0005846117</x:v>
      </x:c>
      <x:c r="N37" s="24" t="str">
        <x:v>teuthida</x:v>
      </x:c>
      <x:c r="O37" s="32" t="n">
        <x:v>4.13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Teuthida</x:v>
      </x:c>
      <x:c r="T37" s="32" t="n">
        <x:f>IF(O37="","",(1/'Metadata'!$B$5)^(O37-1))</x:f>
        <x:v>1348.9628825916532</x:v>
      </x:c>
      <x:c r="U37" s="31" t="n">
        <x:f>IF(T37="","",I37*T37)</x:f>
        <x:v>0.7886194840288068</x:v>
      </x:c>
    </x:row>
    <x:row r="38" ht="18" customHeight="1">
      <x:c r="A38" s="24" t="str">
        <x:v>LME_063</x:v>
      </x:c>
      <x:c r="B38" s="24" t="str">
        <x:v>Hudson Bay Complex</x:v>
      </x:c>
      <x:c r="C38" s="24" t="str">
        <x:v>LME</x:v>
      </x:c>
      <x:c r="D38" s="30" t="n">
        <x:v>2019</x:v>
      </x:c>
      <x:c r="E38" s="24" t="str">
        <x:v>Echinoidea</x:v>
      </x:c>
      <x:c r="F38" s="24" t="str">
        <x:v>Sea urchins, sea hedgehogs</x:v>
      </x:c>
      <x:c r="G38" s="24" t="str">
        <x:v>Other demersal invertebrates</x:v>
      </x:c>
      <x:c r="H38" s="24" t="str">
        <x:v>Other fishes &amp; inverts</x:v>
      </x:c>
      <x:c r="I38" s="31" t="n">
        <x:v>0.0003836158</x:v>
      </x:c>
      <x:c r="J38" s="31" t="n">
        <x:v>0</x:v>
      </x:c>
      <x:c r="K38" s="31" t="n">
        <x:v>0.0003836158</x:v>
      </x:c>
      <x:c r="L38" s="31" t="n">
        <x:v>0</x:v>
      </x:c>
      <x:c r="M38" s="31" t="n">
        <x:v>0.0003836158</x:v>
      </x:c>
      <x:c r="N38" s="24" t="str">
        <x:v>echinoidea</x:v>
      </x:c>
      <x:c r="O38" s="32" t="n">
        <x:v>2.51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Echinoidea</x:v>
      </x:c>
      <x:c r="T38" s="32" t="n">
        <x:f>IF(O38="","",(1/'Metadata'!$B$5)^(O38-1))</x:f>
        <x:v>32.35936569296281</x:v>
      </x:c>
      <x:c r="U38" s="31" t="n">
        <x:f>IF(T38="","",I38*T38)</x:f>
        <x:v>0.012413563957798484</x:v>
      </x:c>
    </x:row>
    <x:row r="39" ht="18" customHeight="1">
      <x:c r="A39" s="24" t="str">
        <x:v>LME_063</x:v>
      </x:c>
      <x:c r="B39" s="24" t="str">
        <x:v>Hudson Bay Complex</x:v>
      </x:c>
      <x:c r="C39" s="24" t="str">
        <x:v>LME</x:v>
      </x:c>
      <x:c r="D39" s="30" t="n">
        <x:v>2019</x:v>
      </x:c>
      <x:c r="E39" s="24" t="str">
        <x:v>Strongylocentrotus droebachiensis</x:v>
      </x:c>
      <x:c r="F39" s="24" t="str">
        <x:v>Green sea urchin</x:v>
      </x:c>
      <x:c r="G39" s="24" t="str">
        <x:v>Other demersal invertebrates</x:v>
      </x:c>
      <x:c r="H39" s="24" t="str">
        <x:v>Other fishes &amp; inverts</x:v>
      </x:c>
      <x:c r="I39" s="31" t="n">
        <x:v>0.0003220758</x:v>
      </x:c>
      <x:c r="J39" s="31" t="n">
        <x:v>0</x:v>
      </x:c>
      <x:c r="K39" s="31" t="n">
        <x:v>0.0003220758</x:v>
      </x:c>
      <x:c r="L39" s="31" t="n">
        <x:v>0</x:v>
      </x:c>
      <x:c r="M39" s="31" t="n">
        <x:v>0.0003220758</x:v>
      </x:c>
      <x:c r="N39" s="24" t="str">
        <x:v>strongylocentrotus droebachiensis</x:v>
      </x:c>
      <x:c r="O39" s="32" t="n">
        <x:v>2.3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Strongylocentrotus droebachiensis</x:v>
      </x:c>
      <x:c r="T39" s="32" t="n">
        <x:f>IF(O39="","",(1/'Metadata'!$B$5)^(O39-1))</x:f>
        <x:v>19.952623149688787</x:v>
      </x:c>
      <x:c r="U39" s="31" t="n">
        <x:f>IF(T39="","",I39*T39)</x:f>
        <x:v>0.006426257063034536</x:v>
      </x:c>
    </x:row>
    <x:row r="40" ht="18" customHeight="1">
      <x:c r="A40" s="24" t="str">
        <x:v>LME_063</x:v>
      </x:c>
      <x:c r="B40" s="24" t="str">
        <x:v>Hudson Bay Complex</x:v>
      </x:c>
      <x:c r="C40" s="24" t="str">
        <x:v>LME</x:v>
      </x:c>
      <x:c r="D40" s="30" t="n">
        <x:v>2019</x:v>
      </x:c>
      <x:c r="E40" s="24" t="str">
        <x:v>Elasmobranchii</x:v>
      </x:c>
      <x:c r="F40" s="24" t="str">
        <x:v>Sharks, rays, skates</x:v>
      </x:c>
      <x:c r="G40" s="24" t="str">
        <x:v>Large sharks (&gt;=90 cm)</x:v>
      </x:c>
      <x:c r="H40" s="24" t="str">
        <x:v>Sharks &amp; rays</x:v>
      </x:c>
      <x:c r="I40" s="31" t="n">
        <x:v>0.0002276519</x:v>
      </x:c>
      <x:c r="J40" s="31" t="n">
        <x:v>0</x:v>
      </x:c>
      <x:c r="K40" s="31" t="n">
        <x:v>0.0002276519</x:v>
      </x:c>
      <x:c r="L40" s="31" t="n">
        <x:v>0</x:v>
      </x:c>
      <x:c r="M40" s="31" t="n">
        <x:v>0.0002276519</x:v>
      </x:c>
      <x:c r="N40" s="24" t="str">
        <x:v>elasmobranchii</x:v>
      </x:c>
      <x:c r="O40" s="32" t="n">
        <x:v>4.05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Elasmobranchii</x:v>
      </x:c>
      <x:c r="T40" s="32" t="n">
        <x:f>IF(O40="","",(1/'Metadata'!$B$5)^(O40-1))</x:f>
        <x:v>1122.018454301963</x:v>
      </x:c>
      <x:c r="U40" s="31" t="n">
        <x:f>IF(T40="","",I40*T40)</x:f>
        <x:v>0.255429632956905</x:v>
      </x:c>
    </x:row>
    <x:row r="41" ht="18" customHeight="1">
      <x:c r="A41" s="24" t="str">
        <x:v>LME_063</x:v>
      </x:c>
      <x:c r="B41" s="24" t="str">
        <x:v>Hudson Bay Complex</x:v>
      </x:c>
      <x:c r="C41" s="24" t="str">
        <x:v>LME</x:v>
      </x:c>
      <x:c r="D41" s="30" t="n">
        <x:v>2019</x:v>
      </x:c>
      <x:c r="E41" s="24" t="str">
        <x:v>Osmeridae</x:v>
      </x:c>
      <x:c r="F41" s="24" t="str">
        <x:v>Smelts</x:v>
      </x:c>
      <x:c r="G41" s="24" t="str">
        <x:v>Small pelagics (&lt;30 cm)</x:v>
      </x:c>
      <x:c r="H41" s="24" t="str">
        <x:v>Salmon, smelts, etc</x:v>
      </x:c>
      <x:c r="I41" s="31" t="n">
        <x:v>0.0001433162</x:v>
      </x:c>
      <x:c r="J41" s="31" t="n">
        <x:v>0.0001433162</x:v>
      </x:c>
      <x:c r="K41" s="31" t="n">
        <x:v>0</x:v>
      </x:c>
      <x:c r="L41" s="31" t="n">
        <x:v>0</x:v>
      </x:c>
      <x:c r="M41" s="31" t="n">
        <x:v>0.0001433162</x:v>
      </x:c>
      <x:c r="N41" s="24" t="str">
        <x:v>osmeridae</x:v>
      </x:c>
      <x:c r="O41" s="32" t="n">
        <x:v>3.46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Osmeridae</x:v>
      </x:c>
      <x:c r="T41" s="32" t="n">
        <x:f>IF(O41="","",(1/'Metadata'!$B$5)^(O41-1))</x:f>
        <x:v>288.40315031266056</x:v>
      </x:c>
      <x:c r="U41" s="31" t="n">
        <x:f>IF(T41="","",I41*T41)</x:f>
        <x:v>0.04133284357083933</x:v>
      </x:c>
    </x:row>
    <x:row r="42" ht="18" customHeight="1">
      <x:c r="A42" s="24" t="str">
        <x:v>LME_063</x:v>
      </x:c>
      <x:c r="B42" s="24" t="str">
        <x:v>Hudson Bay Complex</x:v>
      </x:c>
      <x:c r="C42" s="24" t="str">
        <x:v>LME</x:v>
      </x:c>
      <x:c r="D42" s="30" t="n">
        <x:v>2019</x:v>
      </x:c>
      <x:c r="E42" s="24" t="str">
        <x:v>Scorpaeniformes</x:v>
      </x:c>
      <x:c r="F42" s="24" t="str">
        <x:v>Scorpionfishes, flatheads</x:v>
      </x:c>
      <x:c r="G42" s="24" t="str">
        <x:v>Medium demersals (30 - 89 cm)</x:v>
      </x:c>
      <x:c r="H42" s="24" t="str">
        <x:v>Scorpionfishes</x:v>
      </x:c>
      <x:c r="I42" s="31" t="n">
        <x:v>0.0000178554</x:v>
      </x:c>
      <x:c r="J42" s="31" t="n">
        <x:v>0</x:v>
      </x:c>
      <x:c r="K42" s="31" t="n">
        <x:v>0.0000178554</x:v>
      </x:c>
      <x:c r="L42" s="31" t="n">
        <x:v>0</x:v>
      </x:c>
      <x:c r="M42" s="31" t="n">
        <x:v>0.0000178554</x:v>
      </x:c>
      <x:c r="N42" s="24" t="str">
        <x:v>scorpaeniformes</x:v>
      </x:c>
      <x:c r="O42" s="32" t="n">
        <x:v>3.78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Scorpaeniformes</x:v>
      </x:c>
      <x:c r="T42" s="32" t="n">
        <x:f>IF(O42="","",(1/'Metadata'!$B$5)^(O42-1))</x:f>
        <x:v>602.5595860743575</x:v>
      </x:c>
      <x:c r="U42" s="31" t="n">
        <x:f>IF(T42="","",I42*T42)</x:f>
        <x:v>0.010758942433192082</x:v>
      </x:c>
    </x:row>
    <x:row r="43" ht="18" customHeight="1">
      <x:c r="A43" s="24" t="str">
        <x:v>LME_063</x:v>
      </x:c>
      <x:c r="B43" s="24" t="str">
        <x:v>Hudson Bay Complex</x:v>
      </x:c>
      <x:c r="C43" s="24" t="str">
        <x:v>LME</x:v>
      </x:c>
      <x:c r="D43" s="30" t="n">
        <x:v>2019</x:v>
      </x:c>
      <x:c r="E43" s="24" t="str">
        <x:v>Miscellaneous marine crustaceans</x:v>
      </x:c>
      <x:c r="F43" s="24" t="str">
        <x:v>Marine crabs, shrimps, lobsters nei</x:v>
      </x:c>
      <x:c r="G43" s="24" t="str">
        <x:v>Shrimps</x:v>
      </x:c>
      <x:c r="H43" s="24" t="str">
        <x:v>Crustaceans</x:v>
      </x:c>
      <x:c r="I43" s="31" t="n">
        <x:v>0.000015665</x:v>
      </x:c>
      <x:c r="J43" s="31" t="n">
        <x:v>0</x:v>
      </x:c>
      <x:c r="K43" s="31" t="n">
        <x:v>0.000015665</x:v>
      </x:c>
      <x:c r="L43" s="31" t="n">
        <x:v>0</x:v>
      </x:c>
      <x:c r="M43" s="31" t="n">
        <x:v>0.000015665</x:v>
      </x:c>
      <x:c r="N43" s="24" t="str">
        <x:v>miscellaneous marine crustaceans</x:v>
      </x:c>
      <x:c r="O43" s="32" t="n">
        <x:v>2.7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Miscellaneous marine crustaceans</x:v>
      </x:c>
      <x:c r="T43" s="32" t="n">
        <x:f>IF(O43="","",(1/'Metadata'!$B$5)^(O43-1))</x:f>
        <x:v>50.11872336272725</x:v>
      </x:c>
      <x:c r="U43" s="31" t="n">
        <x:f>IF(T43="","",I43*T43)</x:f>
        <x:v>0.0007851098014771224</x:v>
      </x:c>
    </x:row>
    <x:row r="44" ht="18" customHeight="1">
      <x:c r="A44" s="24" t="str">
        <x:v>LME_063</x:v>
      </x:c>
      <x:c r="B44" s="24" t="str">
        <x:v>Hudson Bay Complex</x:v>
      </x:c>
      <x:c r="C44" s="24" t="str">
        <x:v>LME</x:v>
      </x:c>
      <x:c r="D44" s="30" t="n">
        <x:v>2019</x:v>
      </x:c>
      <x:c r="E44" s="24" t="str">
        <x:v>Miscellaneous aquatic invertebrates</x:v>
      </x:c>
      <x:c r="F44" s="24" t="str">
        <x:v>Aquatic invertebrates</x:v>
      </x:c>
      <x:c r="G44" s="24" t="str">
        <x:v>Other demersal invertebrates</x:v>
      </x:c>
      <x:c r="H44" s="24" t="str">
        <x:v>Other fishes &amp; inverts</x:v>
      </x:c>
      <x:c r="I44" s="31" t="n">
        <x:v>0.0000053902</x:v>
      </x:c>
      <x:c r="J44" s="31" t="n">
        <x:v>0</x:v>
      </x:c>
      <x:c r="K44" s="31" t="n">
        <x:v>0.0000053902</x:v>
      </x:c>
      <x:c r="L44" s="31" t="n">
        <x:v>0</x:v>
      </x:c>
      <x:c r="M44" s="31" t="n">
        <x:v>0.0000053902</x:v>
      </x:c>
      <x:c r="N44" s="24" t="str">
        <x:v>miscellaneous aquatic invertebrates</x:v>
      </x:c>
      <x:c r="O44" s="32" t="n">
        <x:v>2.43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Miscellaneous aquatic invertebrates</x:v>
      </x:c>
      <x:c r="T44" s="32" t="n">
        <x:f>IF(O44="","",(1/'Metadata'!$B$5)^(O44-1))</x:f>
        <x:v>26.915348039269166</x:v>
      </x:c>
      <x:c r="U44" s="31" t="n">
        <x:f>IF(T44="","",I44*T44)</x:f>
        <x:v>0.00014507910900126865</x:v>
      </x:c>
    </x:row>
    <x:row r="45" ht="18" customHeight="1">
      <x:c r="A45" s="24" t="str">
        <x:v>LME_063</x:v>
      </x:c>
      <x:c r="B45" s="24" t="str">
        <x:v>Hudson Bay Complex</x:v>
      </x:c>
      <x:c r="C45" s="24" t="str">
        <x:v>LME</x:v>
      </x:c>
      <x:c r="D45" s="30" t="n">
        <x:v>2019</x:v>
      </x:c>
      <x:c r="E45" s="24" t="str">
        <x:v>Ammodytidae</x:v>
      </x:c>
      <x:c r="F45" s="24" t="str">
        <x:v>Sand lances</x:v>
      </x:c>
      <x:c r="G45" s="24" t="str">
        <x:v>Large reef assoc. fish (&gt;=90 cm)</x:v>
      </x:c>
      <x:c r="H45" s="24" t="str">
        <x:v>Perch-likes</x:v>
      </x:c>
      <x:c r="I45" s="31" t="n">
        <x:v>0.0000045806</x:v>
      </x:c>
      <x:c r="J45" s="31" t="n">
        <x:v>0</x:v>
      </x:c>
      <x:c r="K45" s="31" t="n">
        <x:v>0.0000045806</x:v>
      </x:c>
      <x:c r="L45" s="31" t="n">
        <x:v>0</x:v>
      </x:c>
      <x:c r="M45" s="31" t="n">
        <x:v>0.0000045806</x:v>
      </x:c>
      <x:c r="N45" s="24" t="str">
        <x:v>ammodytidae</x:v>
      </x:c>
      <x:c r="O45" s="32" t="n">
        <x:v>3.11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Ammodytidae</x:v>
      </x:c>
      <x:c r="T45" s="32" t="n">
        <x:f>IF(O45="","",(1/'Metadata'!$B$5)^(O45-1))</x:f>
        <x:v>128.82495516931337</x:v>
      </x:c>
      <x:c r="U45" s="31" t="n">
        <x:f>IF(T45="","",I45*T45)</x:f>
        <x:v>0.0005900955896485568</x:v>
      </x:c>
    </x:row>
  </x:sheetData>
  <x:conditionalFormatting sqref="R2:R4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ba27157eb234d2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37.405491737</x:v>
      </x:c>
      <x:c r="C2" s="32" t="n">
        <x:v>3.8482493175021353</x:v>
      </x:c>
      <x:c r="D2" s="32" t="n">
        <x:f>IF(C2="","",(1/'Metadata'!$B$5)^(C2-1))</x:f>
        <x:v>705.0977316164873</x:v>
      </x:c>
      <x:c r="E2" s="31" t="n">
        <x:f>IF(B2=0,"",B2*D2)</x:f>
        <x:v>26374.52737375796</x:v>
      </x:c>
    </x:row>
    <x:row r="3" ht="18" customHeight="1">
      <x:c r="A3" s="24" t="str">
        <x:v>Crustaceans</x:v>
      </x:c>
      <x:c r="B3" s="31" t="n">
        <x:v>0.039521334799999995</x:v>
      </x:c>
      <x:c r="C3" s="32" t="n">
        <x:v>2.5648186470159406</x:v>
      </x:c>
      <x:c r="D3" s="32" t="n">
        <x:f>IF(C3="","",(1/'Metadata'!$B$5)^(C3-1))</x:f>
        <x:v>36.71289625238641</x:v>
      </x:c>
      <x:c r="E3" s="31" t="n">
        <x:f>IF(B3=0,"",B3*D3)</x:f>
        <x:v>1.4509426642682284</x:v>
      </x:c>
    </x:row>
    <x:row r="4" ht="18" customHeight="1">
      <x:c r="A4" s="24" t="str">
        <x:v>Flatfishes</x:v>
      </x:c>
      <x:c r="B4" s="31" t="n">
        <x:v>330.90189610809995</x:v>
      </x:c>
      <x:c r="C4" s="32" t="n">
        <x:v>4.379277945164669</x:v>
      </x:c>
      <x:c r="D4" s="32" t="n">
        <x:f>IF(C4="","",(1/'Metadata'!$B$5)^(C4-1))</x:f>
        <x:v>2394.847950527138</x:v>
      </x:c>
      <x:c r="E4" s="31" t="n">
        <x:f>IF(B4=0,"",B4*D4)</x:f>
        <x:v>792459.7277200271</x:v>
      </x:c>
    </x:row>
    <x:row r="5" ht="18" customHeight="1">
      <x:c r="A5" s="24" t="str">
        <x:v>Herring-likes</x:v>
      </x:c>
      <x:c r="B5" s="31" t="n">
        <x:v>0.0014391964000000001</x:v>
      </x:c>
      <x:c r="C5" s="32" t="n">
        <x:v>3.38</x:v>
      </x:c>
      <x:c r="D5" s="32" t="n">
        <x:f>IF(C5="","",(1/'Metadata'!$B$5)^(C5-1))</x:f>
        <x:v>239.88329190194898</x:v>
      </x:c>
      <x:c r="E5" s="31" t="n">
        <x:f>IF(B5=0,"",B5*D5)</x:f>
        <x:v>0.34523917012543415</x:v>
      </x:c>
    </x:row>
    <x:row r="6" ht="18" customHeight="1">
      <x:c r="A6" s="24" t="str">
        <x:v>Molluscs</x:v>
      </x:c>
      <x:c r="B6" s="31" t="n">
        <x:v>0.4989456176</x:v>
      </x:c>
      <x:c r="C6" s="32" t="n">
        <x:v>2.121235571766249</x:v>
      </x:c>
      <x:c r="D6" s="32" t="n">
        <x:f>IF(C6="","",(1/'Metadata'!$B$5)^(C6-1))</x:f>
        <x:v>13.220125311124162</x:v>
      </x:c>
      <x:c r="E6" s="31" t="n">
        <x:f>IF(B6=0,"",B6*D6)</x:f>
        <x:v>6.596123588108237</x:v>
      </x:c>
    </x:row>
    <x:row r="7" ht="18" customHeight="1">
      <x:c r="A7" s="24" t="str">
        <x:v>Other fishes &amp; inverts</x:v>
      </x:c>
      <x:c r="B7" s="31" t="n">
        <x:v>6.9472549449</x:v>
      </x:c>
      <x:c r="C7" s="32" t="n">
        <x:v>3.2799829169685086</x:v>
      </x:c>
      <x:c r="D7" s="32" t="n">
        <x:f>IF(C7="","",(1/'Metadata'!$B$5)^(C7-1))</x:f>
        <x:v>190.53857678853268</x:v>
      </x:c>
      <x:c r="E7" s="31" t="n">
        <x:f>IF(B7=0,"",B7*D7)</x:f>
        <x:v>1323.720069788342</x:v>
      </x:c>
    </x:row>
    <x:row r="8" ht="18" customHeight="1">
      <x:c r="A8" s="24" t="str">
        <x:v>Perch-likes</x:v>
      </x:c>
      <x:c r="B8" s="31" t="n">
        <x:v>2.5346428208000007</x:v>
      </x:c>
      <x:c r="C8" s="32" t="n">
        <x:v>3.413541223465231</x:v>
      </x:c>
      <x:c r="D8" s="32" t="n">
        <x:f>IF(C8="","",(1/'Metadata'!$B$5)^(C8-1))</x:f>
        <x:v>259.1440390592954</x:v>
      </x:c>
      <x:c r="E8" s="31" t="n">
        <x:f>IF(B8=0,"",B8*D8)</x:f>
        <x:v>656.837578154758</x:v>
      </x:c>
    </x:row>
    <x:row r="9" ht="18" customHeight="1">
      <x:c r="A9" s="24" t="str">
        <x:v>Salmon, smelts, etc</x:v>
      </x:c>
      <x:c r="B9" s="31" t="n">
        <x:v>885.9440098595002</x:v>
      </x:c>
      <x:c r="C9" s="32" t="n">
        <x:v>4.34054750700178</x:v>
      </x:c>
      <x:c r="D9" s="32" t="n">
        <x:f>IF(C9="","",(1/'Metadata'!$B$5)^(C9-1))</x:f>
        <x:v>2190.5214337240877</x:v>
      </x:c>
      <x:c r="E9" s="31" t="n">
        <x:f>IF(B9=0,"",B9*D9)</x:f>
        <x:v>1940679.3426766996</x:v>
      </x:c>
    </x:row>
    <x:row r="10" ht="18" customHeight="1">
      <x:c r="A10" s="24" t="str">
        <x:v>Scorpionfishes</x:v>
      </x:c>
      <x:c r="B10" s="31" t="n">
        <x:v>2.3894261478999996</x:v>
      </x:c>
      <x:c r="C10" s="32" t="n">
        <x:v>3.798335377685352</x:v>
      </x:c>
      <x:c r="D10" s="32" t="n">
        <x:f>IF(C10="","",(1/'Metadata'!$B$5)^(C10-1))</x:f>
        <x:v>628.5435551926709</x:v>
      </x:c>
      <x:c r="E10" s="31" t="n">
        <x:f>IF(B10=0,"",B10*D10)</x:f>
        <x:v>1501.8584058713943</x:v>
      </x:c>
    </x:row>
    <x:row r="11" ht="18" customHeight="1">
      <x:c r="A11" s="24" t="str">
        <x:v>Sharks &amp; rays</x:v>
      </x:c>
      <x:c r="B11" s="31" t="n">
        <x:v>3.073002841</x:v>
      </x:c>
      <x:c r="C11" s="32" t="n">
        <x:v>4.206976096233294</x:v>
      </x:c>
      <x:c r="D11" s="32" t="n">
        <x:f>IF(C11="","",(1/'Metadata'!$B$5)^(C11-1))</x:f>
        <x:v>1610.5569869462756</x:v>
      </x:c>
      <x:c r="E11" s="31" t="n">
        <x:f>IF(B11=0,"",B11*D11)</x:f>
        <x:v>4949.246196478305</x:v>
      </x:c>
    </x:row>
  </x:sheetData>
  <x:pageMargins left="0.7" right="0.7" top="0.75" bottom="0.75" header="0.3" footer="0.3"/>
  <x:tableParts count="1">
    <x:tablePart xmlns:r="http://schemas.openxmlformats.org/officeDocument/2006/relationships" r:id="Rb5c3e2764b7c461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0.0005846117</x:v>
      </x:c>
      <x:c r="C2" s="32" t="n">
        <x:v>4.13</x:v>
      </x:c>
      <x:c r="D2" s="32" t="n">
        <x:f>IF(C2="","",(1/'Metadata'!$B$5)^(C2-1))</x:f>
        <x:v>1348.9628825916532</x:v>
      </x:c>
      <x:c r="E2" s="31" t="n">
        <x:f>IF(B2=0,"",B2*D2)</x:f>
        <x:v>0.7886194840288068</x:v>
      </x:c>
    </x:row>
    <x:row r="3" ht="18" customHeight="1">
      <x:c r="A3" s="24" t="str">
        <x:v>Large bathypelagics (&gt;=90 cm)</x:v>
      </x:c>
      <x:c r="B3" s="31" t="n">
        <x:v>0.0094043514</x:v>
      </x:c>
      <x:c r="C3" s="32" t="n">
        <x:v>3.97</x:v>
      </x:c>
      <x:c r="D3" s="32" t="n">
        <x:f>IF(C3="","",(1/'Metadata'!$B$5)^(C3-1))</x:f>
        <x:v>933.2543007969915</x:v>
      </x:c>
      <x:c r="E3" s="31" t="n">
        <x:f>IF(B3=0,"",B3*D3)</x:f>
        <x:v>8.776651390256209</x:v>
      </x:c>
    </x:row>
    <x:row r="4" ht="18" customHeight="1">
      <x:c r="A4" s="24" t="str">
        <x:v>Large benthopelagics (&gt;=90 cm)</x:v>
      </x:c>
      <x:c r="B4" s="31" t="n">
        <x:v>69.63791194289999</x:v>
      </x:c>
      <x:c r="C4" s="32" t="n">
        <x:v>4.367690683956293</x:v>
      </x:c>
      <x:c r="D4" s="32" t="n">
        <x:f>IF(C4="","",(1/'Metadata'!$B$5)^(C4-1))</x:f>
        <x:v>2331.7967032883134</x:v>
      </x:c>
      <x:c r="E4" s="31" t="n">
        <x:f>IF(B4=0,"",B4*D4)</x:f>
        <x:v>162381.45349233606</x:v>
      </x:c>
    </x:row>
    <x:row r="5" ht="18" customHeight="1">
      <x:c r="A5" s="24" t="str">
        <x:v>Large demersals (&gt;=90 cm)</x:v>
      </x:c>
      <x:c r="B5" s="31" t="n">
        <x:v>2.0691977862</x:v>
      </x:c>
      <x:c r="C5" s="32" t="n">
        <x:v>3.4043109107140412</x:v>
      </x:c>
      <x:c r="D5" s="32" t="n">
        <x:f>IF(C5="","",(1/'Metadata'!$B$5)^(C5-1))</x:f>
        <x:v>253.69441747609736</x:v>
      </x:c>
      <x:c r="E5" s="31" t="n">
        <x:f>IF(B5=0,"",B5*D5)</x:f>
        <x:v>524.9439270128393</x:v>
      </x:c>
    </x:row>
    <x:row r="6" ht="18" customHeight="1">
      <x:c r="A6" s="24" t="str">
        <x:v>Large flatfishes (&gt;=90 cm)</x:v>
      </x:c>
      <x:c r="B6" s="31" t="n">
        <x:v>0.24331082089999997</x:v>
      </x:c>
      <x:c r="C6" s="32" t="n">
        <x:v>4</x:v>
      </x:c>
      <x:c r="D6" s="32" t="n">
        <x:f>IF(C6="","",(1/'Metadata'!$B$5)^(C6-1))</x:f>
        <x:v>1000</x:v>
      </x:c>
      <x:c r="E6" s="31" t="n">
        <x:f>IF(B6=0,"",B6*D6)</x:f>
        <x:v>243.31082089999998</x:v>
      </x:c>
    </x:row>
    <x:row r="7" ht="18" customHeight="1">
      <x:c r="A7" s="24" t="str">
        <x:v>Large rays (&gt;=90 cm)</x:v>
      </x:c>
      <x:c r="B7" s="31" t="n">
        <x:v>0.0048500627</x:v>
      </x:c>
      <x:c r="C7" s="32" t="n">
        <x:v>3.82</x:v>
      </x:c>
      <x:c r="D7" s="32" t="n">
        <x:f>IF(C7="","",(1/'Metadata'!$B$5)^(C7-1))</x:f>
        <x:v>660.6934480075957</x:v>
      </x:c>
      <x:c r="E7" s="31" t="n">
        <x:f>IF(B7=0,"",B7*D7)</x:f>
        <x:v>3.2044046483160296</x:v>
      </x:c>
    </x:row>
    <x:row r="8" ht="18" customHeight="1">
      <x:c r="A8" s="24" t="str">
        <x:v>Large reef assoc. fish (&gt;=90 cm)</x:v>
      </x:c>
      <x:c r="B8" s="31" t="n">
        <x:v>1.8939543184</x:v>
      </x:c>
      <x:c r="C8" s="32" t="n">
        <x:v>3.774953306701676</x:v>
      </x:c>
      <x:c r="D8" s="32" t="n">
        <x:f>IF(C8="","",(1/'Metadata'!$B$5)^(C8-1))</x:f>
        <x:v>595.5981041819866</x:v>
      </x:c>
      <x:c r="E8" s="31" t="n">
        <x:f>IF(B8=0,"",B8*D8)</x:f>
        <x:v>1128.0356014463266</x:v>
      </x:c>
    </x:row>
    <x:row r="9" ht="18" customHeight="1">
      <x:c r="A9" s="24" t="str">
        <x:v>Large sharks (&gt;=90 cm)</x:v>
      </x:c>
      <x:c r="B9" s="31" t="n">
        <x:v>2.89193991</x:v>
      </x:c>
      <x:c r="C9" s="32" t="n">
        <x:v>4.229985830500192</x:v>
      </x:c>
      <x:c r="D9" s="32" t="n">
        <x:f>IF(C9="","",(1/'Metadata'!$B$5)^(C9-1))</x:f>
        <x:v>1698.1882456546948</x:v>
      </x:c>
      <x:c r="E9" s="31" t="n">
        <x:f>IF(B9=0,"",B9*D9)</x:f>
        <x:v>4911.058362301696</x:v>
      </x:c>
    </x:row>
    <x:row r="10" ht="18" customHeight="1">
      <x:c r="A10" s="24" t="str">
        <x:v>Lobsters, crabs</x:v>
      </x:c>
      <x:c r="B10" s="31" t="n">
        <x:v>0.0395056698</x:v>
      </x:c>
      <x:c r="C10" s="32" t="n">
        <x:v>2.564765044181076</x:v>
      </x:c>
      <x:c r="D10" s="32" t="n">
        <x:f>IF(C10="","",(1/'Metadata'!$B$5)^(C10-1))</x:f>
        <x:v>36.7083652395434</x:v>
      </x:c>
      <x:c r="E10" s="31" t="n">
        <x:f>IF(B10=0,"",B10*D10)</x:f>
        <x:v>1.4501885560511993</x:v>
      </x:c>
    </x:row>
    <x:row r="11" ht="18" customHeight="1">
      <x:c r="A11" s="24" t="str">
        <x:v>Medium bathydemersals (30 - 89 cm)</x:v>
      </x:c>
      <x:c r="B11" s="31" t="n">
        <x:v>0.1786781827</x:v>
      </x:c>
      <x:c r="C11" s="32" t="n">
        <x:v>3.2999999999999994</x:v>
      </x:c>
      <x:c r="D11" s="32" t="n">
        <x:f>IF(C11="","",(1/'Metadata'!$B$5)^(C11-1))</x:f>
        <x:v>199.52623149688768</x:v>
      </x:c>
      <x:c r="E11" s="31" t="n">
        <x:f>IF(B11=0,"",B11*D11)</x:f>
        <x:v>35.65098444484339</x:v>
      </x:c>
    </x:row>
    <x:row r="12" ht="18" customHeight="1">
      <x:c r="A12" s="24" t="str">
        <x:v>Medium benthopelagics (30 - 89 cm)</x:v>
      </x:c>
      <x:c r="B12" s="31" t="n">
        <x:v>775.2321393749</x:v>
      </x:c>
      <x:c r="C12" s="32" t="n">
        <x:v>4.389684102885494</x:v>
      </x:c>
      <x:c r="D12" s="32" t="n">
        <x:f>IF(C12="","",(1/'Metadata'!$B$5)^(C12-1))</x:f>
        <x:v>2452.924058759684</x:v>
      </x:c>
      <x:c r="E12" s="31" t="n">
        <x:f>IF(B12=0,"",B12*D12)</x:f>
        <x:v>1901585.565796433</x:v>
      </x:c>
    </x:row>
    <x:row r="13" ht="18" customHeight="1">
      <x:c r="A13" s="24" t="str">
        <x:v>Medium demersals (30 - 89 cm)</x:v>
      </x:c>
      <x:c r="B13" s="31" t="n">
        <x:v>70.88257152060001</x:v>
      </x:c>
      <x:c r="C13" s="32" t="n">
        <x:v>3.632195301341414</x:v>
      </x:c>
      <x:c r="D13" s="32" t="n">
        <x:f>IF(C13="","",(1/'Metadata'!$B$5)^(C13-1))</x:f>
        <x:v>428.74128113050654</x:v>
      </x:c>
      <x:c r="E13" s="31" t="n">
        <x:f>IF(B13=0,"",B13*D13)</x:f>
        <x:v>30390.284523566806</x:v>
      </x:c>
    </x:row>
    <x:row r="14" ht="18" customHeight="1">
      <x:c r="A14" s="24" t="str">
        <x:v>Medium pelagics (30 - 89 cm)</x:v>
      </x:c>
      <x:c r="B14" s="31" t="n">
        <x:v>14.8511830984</x:v>
      </x:c>
      <x:c r="C14" s="32" t="n">
        <x:v>3.3009773443828565</x:v>
      </x:c>
      <x:c r="D14" s="32" t="n">
        <x:f>IF(C14="","",(1/'Metadata'!$B$5)^(C14-1))</x:f>
        <x:v>199.97575465870128</x:v>
      </x:c>
      <x:c r="E14" s="31" t="n">
        <x:f>IF(B14=0,"",B14*D14)</x:f>
        <x:v>2969.8765476770895</x:v>
      </x:c>
    </x:row>
    <x:row r="15" ht="18" customHeight="1">
      <x:c r="A15" s="24" t="str">
        <x:v>Other demersal invertebrates</x:v>
      </x:c>
      <x:c r="B15" s="31" t="n">
        <x:v>0.4996566994</x:v>
      </x:c>
      <x:c r="C15" s="32" t="n">
        <x:v>2.121652610456323</x:v>
      </x:c>
      <x:c r="D15" s="32" t="n">
        <x:f>IF(C15="","",(1/'Metadata'!$B$5)^(C15-1))</x:f>
        <x:v>13.23282625930966</x:v>
      </x:c>
      <x:c r="E15" s="31" t="n">
        <x:f>IF(B15=0,"",B15*D15)</x:f>
        <x:v>6.611870292460313</x:v>
      </x:c>
    </x:row>
    <x:row r="16" ht="18" customHeight="1">
      <x:c r="A16" s="24" t="str">
        <x:v>Shrimps</x:v>
      </x:c>
      <x:c r="B16" s="31" t="n">
        <x:v>0.000015665</x:v>
      </x:c>
      <x:c r="C16" s="32" t="n">
        <x:v>2.7</x:v>
      </x:c>
      <x:c r="D16" s="32" t="n">
        <x:f>IF(C16="","",(1/'Metadata'!$B$5)^(C16-1))</x:f>
        <x:v>50.11872336272725</x:v>
      </x:c>
      <x:c r="E16" s="31" t="n">
        <x:f>IF(B16=0,"",B16*D16)</x:f>
        <x:v>0.0007851098014771224</x:v>
      </x:c>
    </x:row>
    <x:row r="17" ht="18" customHeight="1">
      <x:c r="A17" s="24" t="str">
        <x:v>Small pelagics (&lt;30 cm)</x:v>
      </x:c>
      <x:c r="B17" s="31" t="n">
        <x:v>0.4659284375</x:v>
      </x:c>
      <x:c r="C17" s="32" t="n">
        <x:v>3.1307536862503693</x:v>
      </x:c>
      <x:c r="D17" s="32" t="n">
        <x:f>IF(C17="","",(1/'Metadata'!$B$5)^(C17-1))</x:f>
        <x:v>135.1305941344333</x:v>
      </x:c>
      <x:c r="E17" s="31" t="n">
        <x:f>IF(B17=0,"",B17*D17)</x:f>
        <x:v>62.96118658350317</x:v>
      </x:c>
    </x:row>
    <x:row r="18" ht="18" customHeight="1">
      <x:c r="A18" s="24" t="str">
        <x:v>Small to medium flatfishes (&lt;90 cm)</x:v>
      </x:c>
      <x:c r="B18" s="31" t="n">
        <x:v>330.65858528719997</x:v>
      </x:c>
      <x:c r="C18" s="32" t="n">
        <x:v>4.379557031909406</x:v>
      </x:c>
      <x:c r="D18" s="32" t="n">
        <x:f>IF(C18="","",(1/'Metadata'!$B$5)^(C18-1))</x:f>
        <x:v>2396.387424655672</x:v>
      </x:c>
      <x:c r="E18" s="31" t="n">
        <x:f>IF(B18=0,"",B18*D18)</x:f>
        <x:v>792386.075636681</x:v>
      </x:c>
    </x:row>
    <x:row r="19" ht="18" customHeight="1">
      <x:c r="A19" s="24" t="str">
        <x:v>Small to medium sharks (&lt;90 cm)</x:v>
      </x:c>
      <x:c r="B19" s="31" t="n">
        <x:v>0.1762128683</x:v>
      </x:c>
      <x:c r="C19" s="32" t="n">
        <x:v>3.8400000000000003</x:v>
      </x:c>
      <x:c r="D19" s="32" t="n">
        <x:f>IF(C19="","",(1/'Metadata'!$B$5)^(C19-1))</x:f>
        <x:v>691.8309709189369</x:v>
      </x:c>
      <x:c r="E19" s="31" t="n">
        <x:f>IF(B19=0,"",B19*D19)</x:f>
        <x:v>121.90951976439976</x:v>
      </x:c>
    </x:row>
  </x:sheetData>
  <x:pageMargins left="0.7" right="0.7" top="0.75" bottom="0.75" header="0.3" footer="0.3"/>
  <x:tableParts count="1">
    <x:tablePart xmlns:r="http://schemas.openxmlformats.org/officeDocument/2006/relationships" r:id="R356aff1a623847c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LME_063</x:v>
      </x:c>
      <x:c r="B2" s="24" t="str">
        <x:v>raw_filtered_tonnes</x:v>
      </x:c>
      <x:c r="C2" s="24" t="n">
        <x:v>1269.735630608</x:v>
      </x:c>
      <x:c r="D2" s="24" t="str">
        <x:v>tonnes</x:v>
      </x:c>
    </x:row>
    <x:row r="3" ht="18" customHeight="1">
      <x:c r="A3" s="24" t="str">
        <x:v>LME_063</x:v>
      </x:c>
      <x:c r="B3" s="24" t="str">
        <x:v>species_catch_tonnes</x:v>
      </x:c>
      <x:c r="C3" s="24" t="n">
        <x:v>1269.735630608</x:v>
      </x:c>
      <x:c r="D3" s="24" t="str">
        <x:v>tonnes</x:v>
      </x:c>
    </x:row>
    <x:row r="4" ht="18" customHeight="1">
      <x:c r="A4" s="24" t="str">
        <x:v>LME_063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LME_063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LME_063</x:v>
      </x:c>
      <x:c r="B6" s="24" t="str">
        <x:v>matched_catch_tonnes</x:v>
      </x:c>
      <x:c r="C6" s="24" t="n">
        <x:v>1269.735630608</x:v>
      </x:c>
      <x:c r="D6" s="24" t="str">
        <x:v>tonnes</x:v>
      </x:c>
    </x:row>
    <x:row r="7" ht="18" customHeight="1">
      <x:c r="A7" s="24" t="str">
        <x:v>LME_063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LME_063</x:v>
      </x:c>
      <x:c r="B8" s="24" t="str">
        <x:v>taxa_count</x:v>
      </x:c>
      <x:c r="C8" s="24" t="n">
        <x:v>44</x:v>
      </x:c>
      <x:c r="D8" s="24" t="str">
        <x:v>count</x:v>
      </x:c>
    </x:row>
    <x:row r="9" ht="18" customHeight="1">
      <x:c r="A9" s="24" t="str">
        <x:v>LME_063</x:v>
      </x:c>
      <x:c r="B9" s="24" t="str">
        <x:v>matched_taxa_count</x:v>
      </x:c>
      <x:c r="C9" s="24" t="n">
        <x:v>44</x:v>
      </x:c>
      <x:c r="D9" s="24" t="str">
        <x:v>count</x:v>
      </x:c>
    </x:row>
    <x:row r="10" ht="18" customHeight="1">
      <x:c r="A10" s="24" t="str">
        <x:v>LME_063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LME_063</x:v>
      </x:c>
      <x:c r="B11" s="24" t="str">
        <x:v>species_ppr</x:v>
      </x:c>
      <x:c r="C11" s="24" t="n">
        <x:v>2919836.9461889495</x:v>
      </x:c>
      <x:c r="D11" s="24" t="str">
        <x:v>tonnes_primary_production_equivalent</x:v>
      </x:c>
    </x:row>
    <x:row r="12" ht="18" customHeight="1">
      <x:c r="A12" s="24" t="str">
        <x:v>LME_063</x:v>
      </x:c>
      <x:c r="B12" s="24" t="str">
        <x:v>commercial_ppr</x:v>
      </x:c>
      <x:c r="C12" s="24" t="n">
        <x:v>2767953.6523261997</x:v>
      </x:c>
      <x:c r="D12" s="24" t="str">
        <x:v>tonnes_primary_production_equivalent</x:v>
      </x:c>
    </x:row>
    <x:row r="13" ht="18" customHeight="1">
      <x:c r="A13" s="24" t="str">
        <x:v>LME_063</x:v>
      </x:c>
      <x:c r="B13" s="24" t="str">
        <x:v>functional_ppr</x:v>
      </x:c>
      <x:c r="C13" s="24" t="n">
        <x:v>2896761.9589186287</x:v>
      </x:c>
      <x:c r="D13" s="24" t="str">
        <x:v>tonnes_primary_production_equivalent</x:v>
      </x:c>
    </x:row>
    <x:row r="14" ht="18" customHeight="1">
      <x:c r="A14" s="24" t="str">
        <x:v>LME_063</x:v>
      </x:c>
      <x:c r="B14" s="24" t="str">
        <x:v>commercial_ppr_difference</x:v>
      </x:c>
      <x:c r="C14" s="24" t="n">
        <x:v>-151883.29386274982</x:v>
      </x:c>
      <x:c r="D14" s="24" t="str">
        <x:v>tonnes_primary_production_equivalent</x:v>
      </x:c>
    </x:row>
    <x:row r="15" ht="18" customHeight="1">
      <x:c r="A15" s="24" t="str">
        <x:v>LME_063</x:v>
      </x:c>
      <x:c r="B15" s="24" t="str">
        <x:v>functional_ppr_difference</x:v>
      </x:c>
      <x:c r="C15" s="24" t="n">
        <x:v>-23074.987270320766</x:v>
      </x:c>
      <x:c r="D15" s="24" t="str">
        <x:v>tonnes_primary_production_equivalent</x:v>
      </x:c>
    </x:row>
    <x:row r="16" ht="18" customHeight="1">
      <x:c r="A16" s="24" t="str">
        <x:v>LME_063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LME_063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e43a89cbf48a42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LME_063 - Hudson Bay Complex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LME_063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raw_data/SAU_downloads/LME_063-catch.zip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