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46b238dcbf4f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5cad133b59ff45ac"/>
    <x:sheet xmlns:r="http://schemas.openxmlformats.org/officeDocument/2006/relationships" name="Commercial" sheetId="2" r:id="Re0d1ed822d2c4f99"/>
    <x:sheet xmlns:r="http://schemas.openxmlformats.org/officeDocument/2006/relationships" name="Functional" sheetId="3" r:id="R7dbaa31ee9a244b0"/>
    <x:sheet xmlns:r="http://schemas.openxmlformats.org/officeDocument/2006/relationships" name="Missing TL" sheetId="4" r:id="R3ec7258ddd594a41"/>
    <x:sheet xmlns:r="http://schemas.openxmlformats.org/officeDocument/2006/relationships" name="Validation" sheetId="5" r:id="Rd954817d8597451b"/>
    <x:sheet xmlns:r="http://schemas.openxmlformats.org/officeDocument/2006/relationships" name="Metadata" sheetId="6" r:id="R601ffbb7ddb744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705ae97d94425c" /><Relationship Type="http://schemas.openxmlformats.org/officeDocument/2006/relationships/theme" Target="/xl/theme/theme1.xml" Id="R946b9990c86644d2" /><Relationship Type="http://schemas.microsoft.com/office/2022/11/relationships/FeaturePropertyBag" Target="/xl/featurePropertyBag/featurePropertyBag.xml" Id="R7667e2ea42664d9d" /><Relationship Type="http://schemas.openxmlformats.org/officeDocument/2006/relationships/sharedStrings" Target="/xl/sharedStrings.xml" Id="R77029c19ace245a9" /><Relationship Type="http://schemas.openxmlformats.org/officeDocument/2006/relationships/worksheet" Target="/xl/worksheets/sheet1.xml" Id="R5cad133b59ff45ac" /><Relationship Type="http://schemas.openxmlformats.org/officeDocument/2006/relationships/worksheet" Target="/xl/worksheets/sheet2.xml" Id="Re0d1ed822d2c4f99" /><Relationship Type="http://schemas.openxmlformats.org/officeDocument/2006/relationships/worksheet" Target="/xl/worksheets/sheet3.xml" Id="R7dbaa31ee9a244b0" /><Relationship Type="http://schemas.openxmlformats.org/officeDocument/2006/relationships/worksheet" Target="/xl/worksheets/sheet4.xml" Id="R3ec7258ddd594a41" /><Relationship Type="http://schemas.openxmlformats.org/officeDocument/2006/relationships/worksheet" Target="/xl/worksheets/sheet5.xml" Id="Rd954817d8597451b" /><Relationship Type="http://schemas.openxmlformats.org/officeDocument/2006/relationships/worksheet" Target="/xl/worksheets/sheet6.xml" Id="R601ffbb7ddb744f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ME033SpeciesTable" displayName="LME033SpeciesTable" ref="A1:U194" headerRowCount="1" totalsRowCount="0" totalsRowShown="0">
  <x:autoFilter ref="A1:U19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33CommercialTable" displayName="LME033CommercialTable" ref="A1:E11" headerRowCount="1" totalsRowCount="0" totalsRowShown="0">
  <x:autoFilter ref="A1:E11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33FunctionalTable" displayName="LME033FunctionalTable" ref="A1:E20" headerRowCount="1" totalsRowCount="0" totalsRowShown="0">
  <x:autoFilter ref="A1:E20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33ValidationTable" displayName="LME033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d06dea51492469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53046f43ec343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7a5f4ea46e647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c32df9e6074451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LME_033</x:v>
      </x:c>
      <x:c r="B2" s="24" t="str">
        <x:v>Red Sea</x:v>
      </x:c>
      <x:c r="C2" s="24" t="str">
        <x:v>LME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11963.1916059676</x:v>
      </x:c>
      <x:c r="J2" s="31" t="n">
        <x:v>8664.3026969886</x:v>
      </x:c>
      <x:c r="K2" s="31" t="n">
        <x:v>3298.888908979</x:v>
      </x:c>
      <x:c r="L2" s="31" t="n">
        <x:v>4083.5651273101</x:v>
      </x:c>
      <x:c r="M2" s="31" t="n">
        <x:v>7879.6264786575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2279539.1666638907</x:v>
      </x:c>
    </x:row>
    <x:row r="3" ht="18" customHeight="1">
      <x:c r="A3" s="24" t="str">
        <x:v>LME_033</x:v>
      </x:c>
      <x:c r="B3" s="24" t="str">
        <x:v>Red Sea</x:v>
      </x:c>
      <x:c r="C3" s="24" t="str">
        <x:v>LME</x:v>
      </x:c>
      <x:c r="D3" s="30" t="n">
        <x:v>2019</x:v>
      </x:c>
      <x:c r="E3" s="24" t="str">
        <x:v>Decapterus</x:v>
      </x:c>
      <x:c r="F3" s="24" t="str">
        <x:v>Scads</x:v>
      </x:c>
      <x:c r="G3" s="24" t="str">
        <x:v>Medium pelagics (30 - 89 cm)</x:v>
      </x:c>
      <x:c r="H3" s="24" t="str">
        <x:v>Perch-likes</x:v>
      </x:c>
      <x:c r="I3" s="31" t="n">
        <x:v>10723.5105948399</x:v>
      </x:c>
      <x:c r="J3" s="31" t="n">
        <x:v>10723.5105948399</x:v>
      </x:c>
      <x:c r="K3" s="31" t="n">
        <x:v>0</x:v>
      </x:c>
      <x:c r="L3" s="31" t="n">
        <x:v>10723.5105948399</x:v>
      </x:c>
      <x:c r="M3" s="31" t="n">
        <x:v>0</x:v>
      </x:c>
      <x:c r="N3" s="24" t="str">
        <x:v>decapterus</x:v>
      </x:c>
      <x:c r="O3" s="32" t="n">
        <x:v>3.63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Decapterus</x:v>
      </x:c>
      <x:c r="T3" s="32" t="n">
        <x:f>IF(O3="","",(1/'Metadata'!$B$5)^(O3-1))</x:f>
        <x:v>426.57951880159254</x:v>
      </x:c>
      <x:c r="U3" s="31" t="n">
        <x:f>IF(T3="","",I3*T3)</x:f>
        <x:v>4574429.989410584</x:v>
      </x:c>
    </x:row>
    <x:row r="4" ht="18" customHeight="1">
      <x:c r="A4" s="24" t="str">
        <x:v>LME_033</x:v>
      </x:c>
      <x:c r="B4" s="24" t="str">
        <x:v>Red Sea</x:v>
      </x:c>
      <x:c r="C4" s="24" t="str">
        <x:v>LME</x:v>
      </x:c>
      <x:c r="D4" s="30" t="n">
        <x:v>2019</x:v>
      </x:c>
      <x:c r="E4" s="24" t="str">
        <x:v>Sardinella</x:v>
      </x:c>
      <x:c r="F4" s="24" t="str">
        <x:v>Sardinellas</x:v>
      </x:c>
      <x:c r="G4" s="24" t="str">
        <x:v>Small pelagics (&lt;30 cm)</x:v>
      </x:c>
      <x:c r="H4" s="24" t="str">
        <x:v>Herring-likes</x:v>
      </x:c>
      <x:c r="I4" s="31" t="n">
        <x:v>8145.5819169469005</x:v>
      </x:c>
      <x:c r="J4" s="31" t="n">
        <x:v>8145.5819169469005</x:v>
      </x:c>
      <x:c r="K4" s="31" t="n">
        <x:v>0</x:v>
      </x:c>
      <x:c r="L4" s="31" t="n">
        <x:v>7927.888819739701</x:v>
      </x:c>
      <x:c r="M4" s="31" t="n">
        <x:v>217.6930972072</x:v>
      </x:c>
      <x:c r="N4" s="24" t="str">
        <x:v>sardinella</x:v>
      </x:c>
      <x:c r="O4" s="32" t="n">
        <x:v>2.77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Sardinella</x:v>
      </x:c>
      <x:c r="T4" s="32" t="n">
        <x:f>IF(O4="","",(1/'Metadata'!$B$5)^(O4-1))</x:f>
        <x:v>58.8843655355589</x:v>
      </x:c>
      <x:c r="U4" s="31" t="n">
        <x:f>IF(T4="","",I4*T4)</x:f>
        <x:v>479647.42309733987</x:v>
      </x:c>
    </x:row>
    <x:row r="5" ht="18" customHeight="1">
      <x:c r="A5" s="24" t="str">
        <x:v>LME_033</x:v>
      </x:c>
      <x:c r="B5" s="24" t="str">
        <x:v>Red Sea</x:v>
      </x:c>
      <x:c r="C5" s="24" t="str">
        <x:v>LME</x:v>
      </x:c>
      <x:c r="D5" s="30" t="n">
        <x:v>2019</x:v>
      </x:c>
      <x:c r="E5" s="24" t="str">
        <x:v>Nemipterus</x:v>
      </x:c>
      <x:c r="F5" s="24" t="str">
        <x:v>Threadfin breams</x:v>
      </x:c>
      <x:c r="G5" s="24" t="str">
        <x:v>Small demersals (&lt;30 cm)</x:v>
      </x:c>
      <x:c r="H5" s="24" t="str">
        <x:v>Perch-likes</x:v>
      </x:c>
      <x:c r="I5" s="31" t="n">
        <x:v>7837.0202365494</x:v>
      </x:c>
      <x:c r="J5" s="31" t="n">
        <x:v>4513.4151178941</x:v>
      </x:c>
      <x:c r="K5" s="31" t="n">
        <x:v>3323.6051186553</x:v>
      </x:c>
      <x:c r="L5" s="31" t="n">
        <x:v>4502.278942647799</x:v>
      </x:c>
      <x:c r="M5" s="31" t="n">
        <x:v>3334.7412939016003</x:v>
      </x:c>
      <x:c r="N5" s="24" t="str">
        <x:v>nemipterus</x:v>
      </x:c>
      <x:c r="O5" s="32" t="n">
        <x:v>3.72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Nemipterus</x:v>
      </x:c>
      <x:c r="T5" s="32" t="n">
        <x:f>IF(O5="","",(1/'Metadata'!$B$5)^(O5-1))</x:f>
        <x:v>524.8074602497728</x:v>
      </x:c>
      <x:c r="U5" s="31" t="n">
        <x:f>IF(T5="","",I5*T5)</x:f>
        <x:v>4112926.686269564</x:v>
      </x:c>
    </x:row>
    <x:row r="6" ht="18" customHeight="1">
      <x:c r="A6" s="24" t="str">
        <x:v>LME_033</x:v>
      </x:c>
      <x:c r="B6" s="24" t="str">
        <x:v>Red Sea</x:v>
      </x:c>
      <x:c r="C6" s="24" t="str">
        <x:v>LME</x:v>
      </x:c>
      <x:c r="D6" s="30" t="n">
        <x:v>2019</x:v>
      </x:c>
      <x:c r="E6" s="24" t="str">
        <x:v>Rastrelliger kanagurta</x:v>
      </x:c>
      <x:c r="F6" s="24" t="str">
        <x:v>Indian mackerel</x:v>
      </x:c>
      <x:c r="G6" s="24" t="str">
        <x:v>Medium pelagics (30 - 89 cm)</x:v>
      </x:c>
      <x:c r="H6" s="24" t="str">
        <x:v>Perch-likes</x:v>
      </x:c>
      <x:c r="I6" s="31" t="n">
        <x:v>7672.2871349404995</x:v>
      </x:c>
      <x:c r="J6" s="31" t="n">
        <x:v>7672.2871349404995</x:v>
      </x:c>
      <x:c r="K6" s="31" t="n">
        <x:v>0</x:v>
      </x:c>
      <x:c r="L6" s="31" t="n">
        <x:v>7201.0311491769</x:v>
      </x:c>
      <x:c r="M6" s="31" t="n">
        <x:v>471.2559857636</x:v>
      </x:c>
      <x:c r="N6" s="24" t="str">
        <x:v>rastrelliger kanagurta</x:v>
      </x:c>
      <x:c r="O6" s="32" t="n">
        <x:v>3.19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Rastrelliger kanagurta</x:v>
      </x:c>
      <x:c r="T6" s="32" t="n">
        <x:f>IF(O6="","",(1/'Metadata'!$B$5)^(O6-1))</x:f>
        <x:v>154.88166189124811</x:v>
      </x:c>
      <x:c r="U6" s="31" t="n">
        <x:f>IF(T6="","",I6*T6)</x:f>
        <x:v>1188296.5819664272</x:v>
      </x:c>
    </x:row>
    <x:row r="7" ht="18" customHeight="1">
      <x:c r="A7" s="24" t="str">
        <x:v>LME_033</x:v>
      </x:c>
      <x:c r="B7" s="24" t="str">
        <x:v>Red Sea</x:v>
      </x:c>
      <x:c r="C7" s="24" t="str">
        <x:v>LME</x:v>
      </x:c>
      <x:c r="D7" s="30" t="n">
        <x:v>2019</x:v>
      </x:c>
      <x:c r="E7" s="24" t="str">
        <x:v>Encrasicholina punctifer</x:v>
      </x:c>
      <x:c r="F7" s="24" t="str">
        <x:v>Buccaneer anchovy</x:v>
      </x:c>
      <x:c r="G7" s="24" t="str">
        <x:v>Small pelagics (&lt;30 cm)</x:v>
      </x:c>
      <x:c r="H7" s="24" t="str">
        <x:v>Anchovies</x:v>
      </x:c>
      <x:c r="I7" s="31" t="n">
        <x:v>6608.894806704</x:v>
      </x:c>
      <x:c r="J7" s="31" t="n">
        <x:v>6608.894806704</x:v>
      </x:c>
      <x:c r="K7" s="31" t="n">
        <x:v>0</x:v>
      </x:c>
      <x:c r="L7" s="31" t="n">
        <x:v>6608.894806704</x:v>
      </x:c>
      <x:c r="M7" s="31" t="n">
        <x:v>0</x:v>
      </x:c>
      <x:c r="N7" s="24" t="str">
        <x:v>encrasicholina punctifer</x:v>
      </x:c>
      <x:c r="O7" s="32" t="n">
        <x:v>3.25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Encrasicholina punctifer</x:v>
      </x:c>
      <x:c r="T7" s="32" t="n">
        <x:f>IF(O7="","",(1/'Metadata'!$B$5)^(O7-1))</x:f>
        <x:v>177.82794100389228</x:v>
      </x:c>
      <x:c r="U7" s="31" t="n">
        <x:f>IF(T7="","",I7*T7)</x:f>
        <x:v>1175246.155787489</x:v>
      </x:c>
    </x:row>
    <x:row r="8" ht="18" customHeight="1">
      <x:c r="A8" s="24" t="str">
        <x:v>LME_033</x:v>
      </x:c>
      <x:c r="B8" s="24" t="str">
        <x:v>Red Sea</x:v>
      </x:c>
      <x:c r="C8" s="24" t="str">
        <x:v>LME</x:v>
      </x:c>
      <x:c r="D8" s="30" t="n">
        <x:v>2019</x:v>
      </x:c>
      <x:c r="E8" s="24" t="str">
        <x:v>Lethrinidae</x:v>
      </x:c>
      <x:c r="F8" s="24" t="str">
        <x:v>Emperors, scavengers</x:v>
      </x:c>
      <x:c r="G8" s="24" t="str">
        <x:v>Medium reef assoc. fish (30 - 89 cm)</x:v>
      </x:c>
      <x:c r="H8" s="24" t="str">
        <x:v>Perch-likes</x:v>
      </x:c>
      <x:c r="I8" s="31" t="n">
        <x:v>6057.8227053472</x:v>
      </x:c>
      <x:c r="J8" s="31" t="n">
        <x:v>5428.4793258998</x:v>
      </x:c>
      <x:c r="K8" s="31" t="n">
        <x:v>629.3433794474</x:v>
      </x:c>
      <x:c r="L8" s="31" t="n">
        <x:v>3893.0951518155002</x:v>
      </x:c>
      <x:c r="M8" s="31" t="n">
        <x:v>2164.7275535317003</x:v>
      </x:c>
      <x:c r="N8" s="24" t="str">
        <x:v>lethrinidae</x:v>
      </x:c>
      <x:c r="O8" s="32" t="n">
        <x:v>3.59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Lethrinidae</x:v>
      </x:c>
      <x:c r="T8" s="32" t="n">
        <x:f>IF(O8="","",(1/'Metadata'!$B$5)^(O8-1))</x:f>
        <x:v>389.04514499428046</x:v>
      </x:c>
      <x:c r="U8" s="31" t="n">
        <x:f>IF(T8="","",I8*T8)</x:f>
        <x:v>2356766.5127514456</x:v>
      </x:c>
    </x:row>
    <x:row r="9" ht="18" customHeight="1">
      <x:c r="A9" s="24" t="str">
        <x:v>LME_033</x:v>
      </x:c>
      <x:c r="B9" s="24" t="str">
        <x:v>Red Sea</x:v>
      </x:c>
      <x:c r="C9" s="24" t="str">
        <x:v>LME</x:v>
      </x:c>
      <x:c r="D9" s="30" t="n">
        <x:v>2019</x:v>
      </x:c>
      <x:c r="E9" s="24" t="str">
        <x:v>Serranidae</x:v>
      </x:c>
      <x:c r="F9" s="24" t="str">
        <x:v>Basses, groupers, hinds</x:v>
      </x:c>
      <x:c r="G9" s="24" t="str">
        <x:v>Medium reef assoc. fish (30 - 89 cm)</x:v>
      </x:c>
      <x:c r="H9" s="24" t="str">
        <x:v>Perch-likes</x:v>
      </x:c>
      <x:c r="I9" s="31" t="n">
        <x:v>6054.2868659377</x:v>
      </x:c>
      <x:c r="J9" s="31" t="n">
        <x:v>6054.2868659377</x:v>
      </x:c>
      <x:c r="K9" s="31" t="n">
        <x:v>0</x:v>
      </x:c>
      <x:c r="L9" s="31" t="n">
        <x:v>4483.6368382209</x:v>
      </x:c>
      <x:c r="M9" s="31" t="n">
        <x:v>1570.6500277168</x:v>
      </x:c>
      <x:c r="N9" s="24" t="str">
        <x:v>serranidae</x:v>
      </x:c>
      <x:c r="O9" s="32" t="n">
        <x:v>3.98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Serranidae</x:v>
      </x:c>
      <x:c r="T9" s="32" t="n">
        <x:f>IF(O9="","",(1/'Metadata'!$B$5)^(O9-1))</x:f>
        <x:v>954.992586021436</x:v>
      </x:c>
      <x:c r="U9" s="31" t="n">
        <x:f>IF(T9="","",I9*T9)</x:f>
        <x:v>5781799.070617459</x:v>
      </x:c>
    </x:row>
    <x:row r="10" ht="18" customHeight="1">
      <x:c r="A10" s="24" t="str">
        <x:v>LME_033</x:v>
      </x:c>
      <x:c r="B10" s="24" t="str">
        <x:v>Red Sea</x:v>
      </x:c>
      <x:c r="C10" s="24" t="str">
        <x:v>LME</x:v>
      </x:c>
      <x:c r="D10" s="30" t="n">
        <x:v>2019</x:v>
      </x:c>
      <x:c r="E10" s="24" t="str">
        <x:v>Leiognathidae</x:v>
      </x:c>
      <x:c r="F10" s="24" t="str">
        <x:v>Slipmouths, ponyfishes</x:v>
      </x:c>
      <x:c r="G10" s="24" t="str">
        <x:v>Small benthopelagics (&lt;30 cm)</x:v>
      </x:c>
      <x:c r="H10" s="24" t="str">
        <x:v>Perch-likes</x:v>
      </x:c>
      <x:c r="I10" s="31" t="n">
        <x:v>4999.0671383649</x:v>
      </x:c>
      <x:c r="J10" s="31" t="n">
        <x:v>0</x:v>
      </x:c>
      <x:c r="K10" s="31" t="n">
        <x:v>4999.0671383649</x:v>
      </x:c>
      <x:c r="L10" s="31" t="n">
        <x:v>0</x:v>
      </x:c>
      <x:c r="M10" s="31" t="n">
        <x:v>4999.0671383649</x:v>
      </x:c>
      <x:c r="N10" s="24" t="str">
        <x:v>leiognathidae</x:v>
      </x:c>
      <x:c r="O10" s="32" t="n">
        <x:v>3.24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Leiognathidae</x:v>
      </x:c>
      <x:c r="T10" s="32" t="n">
        <x:f>IF(O10="","",(1/'Metadata'!$B$5)^(O10-1))</x:f>
        <x:v>173.78008287493762</x:v>
      </x:c>
      <x:c r="U10" s="31" t="n">
        <x:f>IF(T10="","",I10*T10)</x:f>
        <x:v>868738.3016024295</x:v>
      </x:c>
    </x:row>
    <x:row r="11" ht="18" customHeight="1">
      <x:c r="A11" s="24" t="str">
        <x:v>LME_033</x:v>
      </x:c>
      <x:c r="B11" s="24" t="str">
        <x:v>Red Sea</x:v>
      </x:c>
      <x:c r="C11" s="24" t="str">
        <x:v>LME</x:v>
      </x:c>
      <x:c r="D11" s="30" t="n">
        <x:v>2019</x:v>
      </x:c>
      <x:c r="E11" s="24" t="str">
        <x:v>Saurida</x:v>
      </x:c>
      <x:c r="F11" s="24" t="str">
        <x:v>Lizardfishes</x:v>
      </x:c>
      <x:c r="G11" s="24" t="str">
        <x:v>Medium demersals (30 - 89 cm)</x:v>
      </x:c>
      <x:c r="H11" s="24" t="str">
        <x:v>Other fishes &amp; inverts</x:v>
      </x:c>
      <x:c r="I11" s="31" t="n">
        <x:v>3333.6100561742</x:v>
      </x:c>
      <x:c r="J11" s="31" t="n">
        <x:v>3333.6100561742</x:v>
      </x:c>
      <x:c r="K11" s="31" t="n">
        <x:v>0</x:v>
      </x:c>
      <x:c r="L11" s="31" t="n">
        <x:v>3333.6100561742</x:v>
      </x:c>
      <x:c r="M11" s="31" t="n">
        <x:v>0</x:v>
      </x:c>
      <x:c r="N11" s="24" t="str">
        <x:v>saurida</x:v>
      </x:c>
      <x:c r="O11" s="32" t="n">
        <x:v>4.35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Saurida</x:v>
      </x:c>
      <x:c r="T11" s="32" t="n">
        <x:f>IF(O11="","",(1/'Metadata'!$B$5)^(O11-1))</x:f>
        <x:v>2238.7211385683377</x:v>
      </x:c>
      <x:c r="U11" s="31" t="n">
        <x:f>IF(T11="","",I11*T11)</x:f>
        <x:v>7463023.300501165</x:v>
      </x:c>
    </x:row>
    <x:row r="12" ht="18" customHeight="1">
      <x:c r="A12" s="24" t="str">
        <x:v>LME_033</x:v>
      </x:c>
      <x:c r="B12" s="24" t="str">
        <x:v>Red Sea</x:v>
      </x:c>
      <x:c r="C12" s="24" t="str">
        <x:v>LME</x:v>
      </x:c>
      <x:c r="D12" s="30" t="n">
        <x:v>2019</x:v>
      </x:c>
      <x:c r="E12" s="24" t="str">
        <x:v>Scomberomorus commerson</x:v>
      </x:c>
      <x:c r="F12" s="24" t="str">
        <x:v>Narrow-barred Spanish mackerel</x:v>
      </x:c>
      <x:c r="G12" s="24" t="str">
        <x:v>Large pelagics (&gt;=90 cm)</x:v>
      </x:c>
      <x:c r="H12" s="24" t="str">
        <x:v>Perch-likes</x:v>
      </x:c>
      <x:c r="I12" s="31" t="n">
        <x:v>3097.3915866317</x:v>
      </x:c>
      <x:c r="J12" s="31" t="n">
        <x:v>3097.3915866317</x:v>
      </x:c>
      <x:c r="K12" s="31" t="n">
        <x:v>0</x:v>
      </x:c>
      <x:c r="L12" s="31" t="n">
        <x:v>2330.6840222246</x:v>
      </x:c>
      <x:c r="M12" s="31" t="n">
        <x:v>766.7075644071</x:v>
      </x:c>
      <x:c r="N12" s="24" t="str">
        <x:v>scomberomorus commerson</x:v>
      </x:c>
      <x:c r="O12" s="32" t="n">
        <x:v>4.5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Scomberomorus commerson</x:v>
      </x:c>
      <x:c r="T12" s="32" t="n">
        <x:f>IF(O12="","",(1/'Metadata'!$B$5)^(O12-1))</x:f>
        <x:v>3162.2776601683795</x:v>
      </x:c>
      <x:c r="U12" s="31" t="n">
        <x:f>IF(T12="","",I12*T12)</x:f>
        <x:v>9794812.219198918</x:v>
      </x:c>
    </x:row>
    <x:row r="13" ht="18" customHeight="1">
      <x:c r="A13" s="24" t="str">
        <x:v>LME_033</x:v>
      </x:c>
      <x:c r="B13" s="24" t="str">
        <x:v>Red Sea</x:v>
      </x:c>
      <x:c r="C13" s="24" t="str">
        <x:v>LME</x:v>
      </x:c>
      <x:c r="D13" s="30" t="n">
        <x:v>2019</x:v>
      </x:c>
      <x:c r="E13" s="24" t="str">
        <x:v>Synodontidae</x:v>
      </x:c>
      <x:c r="F13" s="24" t="str">
        <x:v>Lizardfishes, sauries</x:v>
      </x:c>
      <x:c r="G13" s="24" t="str">
        <x:v>Medium demersals (30 - 89 cm)</x:v>
      </x:c>
      <x:c r="H13" s="24" t="str">
        <x:v>Other fishes &amp; inverts</x:v>
      </x:c>
      <x:c r="I13" s="31" t="n">
        <x:v>2961.1377999979</x:v>
      </x:c>
      <x:c r="J13" s="31" t="n">
        <x:v>2961.0879142445</x:v>
      </x:c>
      <x:c r="K13" s="31" t="n">
        <x:v>0.0498857534</x:v>
      </x:c>
      <x:c r="L13" s="31" t="n">
        <x:v>2820.5648683565996</x:v>
      </x:c>
      <x:c r="M13" s="31" t="n">
        <x:v>140.57293164130002</x:v>
      </x:c>
      <x:c r="N13" s="24" t="str">
        <x:v>synodontidae</x:v>
      </x:c>
      <x:c r="O13" s="32" t="n">
        <x:v>4.3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Synodontidae</x:v>
      </x:c>
      <x:c r="T13" s="32" t="n">
        <x:f>IF(O13="","",(1/'Metadata'!$B$5)^(O13-1))</x:f>
        <x:v>1995.2623149688789</x:v>
      </x:c>
      <x:c r="U13" s="31" t="n">
        <x:f>IF(T13="","",I13*T13)</x:f>
        <x:v>5908246.661765663</x:v>
      </x:c>
    </x:row>
    <x:row r="14" ht="18" customHeight="1">
      <x:c r="A14" s="24" t="str">
        <x:v>LME_033</x:v>
      </x:c>
      <x:c r="B14" s="24" t="str">
        <x:v>Red Sea</x:v>
      </x:c>
      <x:c r="C14" s="24" t="str">
        <x:v>LME</x:v>
      </x:c>
      <x:c r="D14" s="30" t="n">
        <x:v>2019</x:v>
      </x:c>
      <x:c r="E14" s="24" t="str">
        <x:v>Sepiidae</x:v>
      </x:c>
      <x:c r="F14" s="24" t="str">
        <x:v>Cuttlefishes</x:v>
      </x:c>
      <x:c r="G14" s="24" t="str">
        <x:v>Cephalopods</x:v>
      </x:c>
      <x:c r="H14" s="24" t="str">
        <x:v>Other fishes &amp; inverts</x:v>
      </x:c>
      <x:c r="I14" s="31" t="n">
        <x:v>2937.8224104308</x:v>
      </x:c>
      <x:c r="J14" s="31" t="n">
        <x:v>1458.251384712</x:v>
      </x:c>
      <x:c r="K14" s="31" t="n">
        <x:v>1479.5710257188</x:v>
      </x:c>
      <x:c r="L14" s="31" t="n">
        <x:v>1449.3104713471998</x:v>
      </x:c>
      <x:c r="M14" s="31" t="n">
        <x:v>1488.5119390836</x:v>
      </x:c>
      <x:c r="N14" s="24" t="str">
        <x:v>sepiidae</x:v>
      </x:c>
      <x:c r="O14" s="32" t="n">
        <x:v>3.6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Sepiidae</x:v>
      </x:c>
      <x:c r="T14" s="32" t="n">
        <x:f>IF(O14="","",(1/'Metadata'!$B$5)^(O14-1))</x:f>
        <x:v>398.1071705534973</x:v>
      </x:c>
      <x:c r="U14" s="31" t="n">
        <x:f>IF(T14="","",I14*T14)</x:f>
        <x:v>1169568.1674052612</x:v>
      </x:c>
    </x:row>
    <x:row r="15" ht="18" customHeight="1">
      <x:c r="A15" s="24" t="str">
        <x:v>LME_033</x:v>
      </x:c>
      <x:c r="B15" s="24" t="str">
        <x:v>Red Sea</x:v>
      </x:c>
      <x:c r="C15" s="24" t="str">
        <x:v>LME</x:v>
      </x:c>
      <x:c r="D15" s="30" t="n">
        <x:v>2019</x:v>
      </x:c>
      <x:c r="E15" s="24" t="str">
        <x:v>Thunnus albacares</x:v>
      </x:c>
      <x:c r="F15" s="24" t="str">
        <x:v>Yellowfin tuna</x:v>
      </x:c>
      <x:c r="G15" s="24" t="str">
        <x:v>Large pelagics (&gt;=90 cm)</x:v>
      </x:c>
      <x:c r="H15" s="24" t="str">
        <x:v>Tuna &amp; billfishes</x:v>
      </x:c>
      <x:c r="I15" s="31" t="n">
        <x:v>2853.7931879111998</x:v>
      </x:c>
      <x:c r="J15" s="31" t="n">
        <x:v>2853.7931879111998</x:v>
      </x:c>
      <x:c r="K15" s="31" t="n">
        <x:v>0</x:v>
      </x:c>
      <x:c r="L15" s="31" t="n">
        <x:v>2054.4340696394</x:v>
      </x:c>
      <x:c r="M15" s="31" t="n">
        <x:v>799.3591182718</x:v>
      </x:c>
      <x:c r="N15" s="24" t="str">
        <x:v>thunnus albacares</x:v>
      </x:c>
      <x:c r="O15" s="32" t="n">
        <x:v>4.41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Thunnus albacares</x:v>
      </x:c>
      <x:c r="T15" s="32" t="n">
        <x:f>IF(O15="","",(1/'Metadata'!$B$5)^(O15-1))</x:f>
        <x:v>2570.3957827688646</x:v>
      </x:c>
      <x:c r="U15" s="31" t="n">
        <x:f>IF(T15="","",I15*T15)</x:f>
        <x:v>7335377.975101462</x:v>
      </x:c>
    </x:row>
    <x:row r="16" ht="18" customHeight="1">
      <x:c r="A16" s="24" t="str">
        <x:v>LME_033</x:v>
      </x:c>
      <x:c r="B16" s="24" t="str">
        <x:v>Red Sea</x:v>
      </x:c>
      <x:c r="C16" s="24" t="str">
        <x:v>LME</x:v>
      </x:c>
      <x:c r="D16" s="30" t="n">
        <x:v>2019</x:v>
      </x:c>
      <x:c r="E16" s="24" t="str">
        <x:v>Carangidae</x:v>
      </x:c>
      <x:c r="F16" s="24" t="str">
        <x:v>Jacks, pompanos</x:v>
      </x:c>
      <x:c r="G16" s="24" t="str">
        <x:v>Medium pelagics (30 - 89 cm)</x:v>
      </x:c>
      <x:c r="H16" s="24" t="str">
        <x:v>Perch-likes</x:v>
      </x:c>
      <x:c r="I16" s="31" t="n">
        <x:v>2775.3630247528</x:v>
      </x:c>
      <x:c r="J16" s="31" t="n">
        <x:v>2667.3033122877</x:v>
      </x:c>
      <x:c r="K16" s="31" t="n">
        <x:v>108.05971246509999</x:v>
      </x:c>
      <x:c r="L16" s="31" t="n">
        <x:v>855.587825327</x:v>
      </x:c>
      <x:c r="M16" s="31" t="n">
        <x:v>1919.7751994258</x:v>
      </x:c>
      <x:c r="N16" s="24" t="str">
        <x:v>carangidae</x:v>
      </x:c>
      <x:c r="O16" s="32" t="n">
        <x:v>4.05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Carangidae</x:v>
      </x:c>
      <x:c r="T16" s="32" t="n">
        <x:f>IF(O16="","",(1/'Metadata'!$B$5)^(O16-1))</x:f>
        <x:v>1122.018454301963</x:v>
      </x:c>
      <x:c r="U16" s="31" t="n">
        <x:f>IF(T16="","",I16*T16)</x:f>
        <x:v>3114008.531159957</x:v>
      </x:c>
    </x:row>
    <x:row r="17" ht="18" customHeight="1">
      <x:c r="A17" s="24" t="str">
        <x:v>LME_033</x:v>
      </x:c>
      <x:c r="B17" s="24" t="str">
        <x:v>Red Sea</x:v>
      </x:c>
      <x:c r="C17" s="24" t="str">
        <x:v>LME</x:v>
      </x:c>
      <x:c r="D17" s="30" t="n">
        <x:v>2019</x:v>
      </x:c>
      <x:c r="E17" s="24" t="str">
        <x:v>Caranx</x:v>
      </x:c>
      <x:c r="F17" s="24" t="str">
        <x:v>Jacks</x:v>
      </x:c>
      <x:c r="G17" s="24" t="str">
        <x:v>Medium reef assoc. fish (30 - 89 cm)</x:v>
      </x:c>
      <x:c r="H17" s="24" t="str">
        <x:v>Perch-likes</x:v>
      </x:c>
      <x:c r="I17" s="31" t="n">
        <x:v>2672.9278363615</x:v>
      </x:c>
      <x:c r="J17" s="31" t="n">
        <x:v>2672.9278363615</x:v>
      </x:c>
      <x:c r="K17" s="31" t="n">
        <x:v>0</x:v>
      </x:c>
      <x:c r="L17" s="31" t="n">
        <x:v>2661.065196947</x:v>
      </x:c>
      <x:c r="M17" s="31" t="n">
        <x:v>11.8626394145</x:v>
      </x:c>
      <x:c r="N17" s="24" t="str">
        <x:v>caranx</x:v>
      </x:c>
      <x:c r="O17" s="32" t="n">
        <x:v>4.12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Caranx</x:v>
      </x:c>
      <x:c r="T17" s="32" t="n">
        <x:f>IF(O17="","",(1/'Metadata'!$B$5)^(O17-1))</x:f>
        <x:v>1318.2567385564075</x:v>
      </x:c>
      <x:c r="U17" s="31" t="n">
        <x:f>IF(T17="","",I17*T17)</x:f>
        <x:v>3523605.1319585457</x:v>
      </x:c>
    </x:row>
    <x:row r="18" ht="18" customHeight="1">
      <x:c r="A18" s="24" t="str">
        <x:v>LME_033</x:v>
      </x:c>
      <x:c r="B18" s="24" t="str">
        <x:v>Red Sea</x:v>
      </x:c>
      <x:c r="C18" s="24" t="str">
        <x:v>LME</x:v>
      </x:c>
      <x:c r="D18" s="30" t="n">
        <x:v>2019</x:v>
      </x:c>
      <x:c r="E18" s="24" t="str">
        <x:v>Sardinella longiceps</x:v>
      </x:c>
      <x:c r="F18" s="24" t="str">
        <x:v>Indian oil sardine</x:v>
      </x:c>
      <x:c r="G18" s="24" t="str">
        <x:v>Small pelagics (&lt;30 cm)</x:v>
      </x:c>
      <x:c r="H18" s="24" t="str">
        <x:v>Herring-likes</x:v>
      </x:c>
      <x:c r="I18" s="31" t="n">
        <x:v>2635.2013769869</x:v>
      </x:c>
      <x:c r="J18" s="31" t="n">
        <x:v>2635.2013769869</x:v>
      </x:c>
      <x:c r="K18" s="31" t="n">
        <x:v>0</x:v>
      </x:c>
      <x:c r="L18" s="31" t="n">
        <x:v>2625.6729548563</x:v>
      </x:c>
      <x:c r="M18" s="31" t="n">
        <x:v>9.5284221306</x:v>
      </x:c>
      <x:c r="N18" s="24" t="str">
        <x:v>sardinella longiceps</x:v>
      </x:c>
      <x:c r="O18" s="32" t="n">
        <x:v>2.41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Sardinella longiceps</x:v>
      </x:c>
      <x:c r="T18" s="32" t="n">
        <x:f>IF(O18="","",(1/'Metadata'!$B$5)^(O18-1))</x:f>
        <x:v>25.703957827688647</x:v>
      </x:c>
      <x:c r="U18" s="31" t="n">
        <x:f>IF(T18="","",I18*T18)</x:f>
        <x:v>67735.10506153833</x:v>
      </x:c>
    </x:row>
    <x:row r="19" ht="18" customHeight="1">
      <x:c r="A19" s="24" t="str">
        <x:v>LME_033</x:v>
      </x:c>
      <x:c r="B19" s="24" t="str">
        <x:v>Red Sea</x:v>
      </x:c>
      <x:c r="C19" s="24" t="str">
        <x:v>LME</x:v>
      </x:c>
      <x:c r="D19" s="30" t="n">
        <x:v>2019</x:v>
      </x:c>
      <x:c r="E19" s="24" t="str">
        <x:v>Holothuriidae</x:v>
      </x:c>
      <x:c r="F19" s="24" t="str">
        <x:v>Fleshy sea cucumbers</x:v>
      </x:c>
      <x:c r="G19" s="24" t="str">
        <x:v>Other demersal invertebrates</x:v>
      </x:c>
      <x:c r="H19" s="24" t="str">
        <x:v>Other fishes &amp; inverts</x:v>
      </x:c>
      <x:c r="I19" s="31" t="n">
        <x:v>2334.0759854713</x:v>
      </x:c>
      <x:c r="J19" s="31" t="n">
        <x:v>2334.0759854713</x:v>
      </x:c>
      <x:c r="K19" s="31" t="n">
        <x:v>0</x:v>
      </x:c>
      <x:c r="L19" s="31" t="n">
        <x:v>0</x:v>
      </x:c>
      <x:c r="M19" s="31" t="n">
        <x:v>2334.0759854713</x:v>
      </x:c>
      <x:c r="N19" s="24" t="str">
        <x:v>holothuriidae</x:v>
      </x:c>
      <x:c r="O19" s="32" t="n">
        <x:v>2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Holothuriidae</x:v>
      </x:c>
      <x:c r="T19" s="32" t="n">
        <x:f>IF(O19="","",(1/'Metadata'!$B$5)^(O19-1))</x:f>
        <x:v>10</x:v>
      </x:c>
      <x:c r="U19" s="31" t="n">
        <x:f>IF(T19="","",I19*T19)</x:f>
        <x:v>23340.759854713</x:v>
      </x:c>
    </x:row>
    <x:row r="20" ht="18" customHeight="1">
      <x:c r="A20" s="24" t="str">
        <x:v>LME_033</x:v>
      </x:c>
      <x:c r="B20" s="24" t="str">
        <x:v>Red Sea</x:v>
      </x:c>
      <x:c r="C20" s="24" t="str">
        <x:v>LME</x:v>
      </x:c>
      <x:c r="D20" s="30" t="n">
        <x:v>2019</x:v>
      </x:c>
      <x:c r="E20" s="24" t="str">
        <x:v>Clupeiformes</x:v>
      </x:c>
      <x:c r="F20" s="24" t="str">
        <x:v>Herrings, shads, anchovies</x:v>
      </x:c>
      <x:c r="G20" s="24" t="str">
        <x:v>Small pelagics (&lt;30 cm)</x:v>
      </x:c>
      <x:c r="H20" s="24" t="str">
        <x:v>Other fishes &amp; inverts</x:v>
      </x:c>
      <x:c r="I20" s="31" t="n">
        <x:v>2141.1034537417</x:v>
      </x:c>
      <x:c r="J20" s="31" t="n">
        <x:v>2141.0919936381997</x:v>
      </x:c>
      <x:c r="K20" s="31" t="n">
        <x:v>0.0114601035</x:v>
      </x:c>
      <x:c r="L20" s="31" t="n">
        <x:v>37.7728321303</x:v>
      </x:c>
      <x:c r="M20" s="31" t="n">
        <x:v>2103.3306216113997</x:v>
      </x:c>
      <x:c r="N20" s="24" t="str">
        <x:v>clupeiformes</x:v>
      </x:c>
      <x:c r="O20" s="32" t="n">
        <x:v>3.24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Clupeiformes</x:v>
      </x:c>
      <x:c r="T20" s="32" t="n">
        <x:f>IF(O20="","",(1/'Metadata'!$B$5)^(O20-1))</x:f>
        <x:v>173.78008287493762</x:v>
      </x:c>
      <x:c r="U20" s="31" t="n">
        <x:f>IF(T20="","",I20*T20)</x:f>
        <x:v>372081.1356350478</x:v>
      </x:c>
    </x:row>
    <x:row r="21" ht="18" customHeight="1">
      <x:c r="A21" s="24" t="str">
        <x:v>LME_033</x:v>
      </x:c>
      <x:c r="B21" s="24" t="str">
        <x:v>Red Sea</x:v>
      </x:c>
      <x:c r="C21" s="24" t="str">
        <x:v>LME</x:v>
      </x:c>
      <x:c r="D21" s="30" t="n">
        <x:v>2019</x:v>
      </x:c>
      <x:c r="E21" s="24" t="str">
        <x:v>Euthynnus affinis</x:v>
      </x:c>
      <x:c r="F21" s="24" t="str">
        <x:v>Kawakawa</x:v>
      </x:c>
      <x:c r="G21" s="24" t="str">
        <x:v>Large pelagics (&gt;=90 cm)</x:v>
      </x:c>
      <x:c r="H21" s="24" t="str">
        <x:v>Tuna &amp; billfishes</x:v>
      </x:c>
      <x:c r="I21" s="31" t="n">
        <x:v>2126.4783618653</x:v>
      </x:c>
      <x:c r="J21" s="31" t="n">
        <x:v>2126.4783618653</x:v>
      </x:c>
      <x:c r="K21" s="31" t="n">
        <x:v>0</x:v>
      </x:c>
      <x:c r="L21" s="31" t="n">
        <x:v>1688.6896394941</x:v>
      </x:c>
      <x:c r="M21" s="31" t="n">
        <x:v>437.7887223712</x:v>
      </x:c>
      <x:c r="N21" s="24" t="str">
        <x:v>euthynnus affinis</x:v>
      </x:c>
      <x:c r="O21" s="32" t="n">
        <x:v>4.5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Euthynnus affinis</x:v>
      </x:c>
      <x:c r="T21" s="32" t="n">
        <x:f>IF(O21="","",(1/'Metadata'!$B$5)^(O21-1))</x:f>
        <x:v>3162.2776601683795</x:v>
      </x:c>
      <x:c r="U21" s="31" t="n">
        <x:f>IF(T21="","",I21*T21)</x:f>
        <x:v>6724515.01855809</x:v>
      </x:c>
    </x:row>
    <x:row r="22" ht="18" customHeight="1">
      <x:c r="A22" s="24" t="str">
        <x:v>LME_033</x:v>
      </x:c>
      <x:c r="B22" s="24" t="str">
        <x:v>Red Sea</x:v>
      </x:c>
      <x:c r="C22" s="24" t="str">
        <x:v>LME</x:v>
      </x:c>
      <x:c r="D22" s="30" t="n">
        <x:v>2019</x:v>
      </x:c>
      <x:c r="E22" s="24" t="str">
        <x:v>Lutjanidae</x:v>
      </x:c>
      <x:c r="F22" s="24" t="str">
        <x:v>Snappers</x:v>
      </x:c>
      <x:c r="G22" s="24" t="str">
        <x:v>Medium reef assoc. fish (30 - 89 cm)</x:v>
      </x:c>
      <x:c r="H22" s="24" t="str">
        <x:v>Perch-likes</x:v>
      </x:c>
      <x:c r="I22" s="31" t="n">
        <x:v>2064.8390934105</x:v>
      </x:c>
      <x:c r="J22" s="31" t="n">
        <x:v>1574.9992023769</x:v>
      </x:c>
      <x:c r="K22" s="31" t="n">
        <x:v>489.8398910336</x:v>
      </x:c>
      <x:c r="L22" s="31" t="n">
        <x:v>1261.8125881546</x:v>
      </x:c>
      <x:c r="M22" s="31" t="n">
        <x:v>803.0265052559</x:v>
      </x:c>
      <x:c r="N22" s="24" t="str">
        <x:v>lutjanidae</x:v>
      </x:c>
      <x:c r="O22" s="32" t="n">
        <x:v>4.02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Lutjanidae</x:v>
      </x:c>
      <x:c r="T22" s="32" t="n">
        <x:f>IF(O22="","",(1/'Metadata'!$B$5)^(O22-1))</x:f>
        <x:v>1047.1285480508984</x:v>
      </x:c>
      <x:c r="U22" s="31" t="n">
        <x:f>IF(T22="","",I22*T22)</x:f>
        <x:v>2162151.9618416703</x:v>
      </x:c>
    </x:row>
    <x:row r="23" ht="18" customHeight="1">
      <x:c r="A23" s="24" t="str">
        <x:v>LME_033</x:v>
      </x:c>
      <x:c r="B23" s="24" t="str">
        <x:v>Red Sea</x:v>
      </x:c>
      <x:c r="C23" s="24" t="str">
        <x:v>LME</x:v>
      </x:c>
      <x:c r="D23" s="30" t="n">
        <x:v>2019</x:v>
      </x:c>
      <x:c r="E23" s="24" t="str">
        <x:v>Elasmobranchii</x:v>
      </x:c>
      <x:c r="F23" s="24" t="str">
        <x:v>Sharks, rays, skates</x:v>
      </x:c>
      <x:c r="G23" s="24" t="str">
        <x:v>Large sharks (&gt;=90 cm)</x:v>
      </x:c>
      <x:c r="H23" s="24" t="str">
        <x:v>Sharks &amp; rays</x:v>
      </x:c>
      <x:c r="I23" s="31" t="n">
        <x:v>1943.6885956614</x:v>
      </x:c>
      <x:c r="J23" s="31" t="n">
        <x:v>919.6824747773</x:v>
      </x:c>
      <x:c r="K23" s="31" t="n">
        <x:v>1024.0061208841</x:v>
      </x:c>
      <x:c r="L23" s="31" t="n">
        <x:v>853.1349453831</x:v>
      </x:c>
      <x:c r="M23" s="31" t="n">
        <x:v>1090.5536502783</x:v>
      </x:c>
      <x:c r="N23" s="24" t="str">
        <x:v>elasmobranchii</x:v>
      </x:c>
      <x:c r="O23" s="32" t="n">
        <x:v>4.05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Elasmobranchii</x:v>
      </x:c>
      <x:c r="T23" s="32" t="n">
        <x:f>IF(O23="","",(1/'Metadata'!$B$5)^(O23-1))</x:f>
        <x:v>1122.018454301963</x:v>
      </x:c>
      <x:c r="U23" s="31" t="n">
        <x:f>IF(T23="","",I23*T23)</x:f>
        <x:v>2180854.473748357</x:v>
      </x:c>
    </x:row>
    <x:row r="24" ht="18" customHeight="1">
      <x:c r="A24" s="24" t="str">
        <x:v>LME_033</x:v>
      </x:c>
      <x:c r="B24" s="24" t="str">
        <x:v>Red Sea</x:v>
      </x:c>
      <x:c r="C24" s="24" t="str">
        <x:v>LME</x:v>
      </x:c>
      <x:c r="D24" s="30" t="n">
        <x:v>2019</x:v>
      </x:c>
      <x:c r="E24" s="24" t="str">
        <x:v>Scaridae</x:v>
      </x:c>
      <x:c r="F24" s="24" t="str">
        <x:v>Parrotfishes</x:v>
      </x:c>
      <x:c r="G24" s="24" t="str">
        <x:v>Medium reef assoc. fish (30 - 89 cm)</x:v>
      </x:c>
      <x:c r="H24" s="24" t="str">
        <x:v>Perch-likes</x:v>
      </x:c>
      <x:c r="I24" s="31" t="n">
        <x:v>1506.0686960772</x:v>
      </x:c>
      <x:c r="J24" s="31" t="n">
        <x:v>1506.0686960772</x:v>
      </x:c>
      <x:c r="K24" s="31" t="n">
        <x:v>0</x:v>
      </x:c>
      <x:c r="L24" s="31" t="n">
        <x:v>1348.0007802497</x:v>
      </x:c>
      <x:c r="M24" s="31" t="n">
        <x:v>158.0679158275</x:v>
      </x:c>
      <x:c r="N24" s="24" t="str">
        <x:v>scaridae</x:v>
      </x:c>
      <x:c r="O24" s="32" t="n">
        <x:v>2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Scaridae</x:v>
      </x:c>
      <x:c r="T24" s="32" t="n">
        <x:f>IF(O24="","",(1/'Metadata'!$B$5)^(O24-1))</x:f>
        <x:v>10</x:v>
      </x:c>
      <x:c r="U24" s="31" t="n">
        <x:f>IF(T24="","",I24*T24)</x:f>
        <x:v>15060.686960772</x:v>
      </x:c>
    </x:row>
    <x:row r="25" ht="18" customHeight="1">
      <x:c r="A25" s="24" t="str">
        <x:v>LME_033</x:v>
      </x:c>
      <x:c r="B25" s="24" t="str">
        <x:v>Red Sea</x:v>
      </x:c>
      <x:c r="C25" s="24" t="str">
        <x:v>LME</x:v>
      </x:c>
      <x:c r="D25" s="30" t="n">
        <x:v>2019</x:v>
      </x:c>
      <x:c r="E25" s="24" t="str">
        <x:v>Equulites berbis</x:v>
      </x:c>
      <x:c r="F25" s="24" t="str">
        <x:v>Berbis ponyfish</x:v>
      </x:c>
      <x:c r="G25" s="24" t="str">
        <x:v>Small demersals (&lt;30 cm)</x:v>
      </x:c>
      <x:c r="H25" s="24" t="str">
        <x:v>Perch-likes</x:v>
      </x:c>
      <x:c r="I25" s="31" t="n">
        <x:v>1501.4138391794</x:v>
      </x:c>
      <x:c r="J25" s="31" t="n">
        <x:v>0</x:v>
      </x:c>
      <x:c r="K25" s="31" t="n">
        <x:v>1501.4138391794</x:v>
      </x:c>
      <x:c r="L25" s="31" t="n">
        <x:v>0</x:v>
      </x:c>
      <x:c r="M25" s="31" t="n">
        <x:v>1501.4138391794</x:v>
      </x:c>
      <x:c r="N25" s="24" t="str">
        <x:v>equulites berbis</x:v>
      </x:c>
      <x:c r="O25" s="32" t="n">
        <x:v>3.31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Equulites berbis</x:v>
      </x:c>
      <x:c r="T25" s="32" t="n">
        <x:f>IF(O25="","",(1/'Metadata'!$B$5)^(O25-1))</x:f>
        <x:v>204.17379446695296</x:v>
      </x:c>
      <x:c r="U25" s="31" t="n">
        <x:f>IF(T25="","",I25*T25)</x:f>
        <x:v>306549.3606104536</x:v>
      </x:c>
    </x:row>
    <x:row r="26" ht="18" customHeight="1">
      <x:c r="A26" s="24" t="str">
        <x:v>LME_033</x:v>
      </x:c>
      <x:c r="B26" s="24" t="str">
        <x:v>Red Sea</x:v>
      </x:c>
      <x:c r="C26" s="24" t="str">
        <x:v>LME</x:v>
      </x:c>
      <x:c r="D26" s="30" t="n">
        <x:v>2019</x:v>
      </x:c>
      <x:c r="E26" s="24" t="str">
        <x:v>Sphyraena</x:v>
      </x:c>
      <x:c r="F26" s="24" t="str">
        <x:v>Barracudas, sennets</x:v>
      </x:c>
      <x:c r="G26" s="24" t="str">
        <x:v>Large pelagics (&gt;=90 cm)</x:v>
      </x:c>
      <x:c r="H26" s="24" t="str">
        <x:v>Perch-likes</x:v>
      </x:c>
      <x:c r="I26" s="31" t="n">
        <x:v>1466.8275962526</x:v>
      </x:c>
      <x:c r="J26" s="31" t="n">
        <x:v>1466.8275962526</x:v>
      </x:c>
      <x:c r="K26" s="31" t="n">
        <x:v>0</x:v>
      </x:c>
      <x:c r="L26" s="31" t="n">
        <x:v>1402.3601665132</x:v>
      </x:c>
      <x:c r="M26" s="31" t="n">
        <x:v>64.4674297394</x:v>
      </x:c>
      <x:c r="N26" s="24" t="str">
        <x:v>sphyraena</x:v>
      </x:c>
      <x:c r="O26" s="32" t="n">
        <x:v>4.4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Sphyraena</x:v>
      </x:c>
      <x:c r="T26" s="32" t="n">
        <x:f>IF(O26="","",(1/'Metadata'!$B$5)^(O26-1))</x:f>
        <x:v>2511.886431509582</x:v>
      </x:c>
      <x:c r="U26" s="31" t="n">
        <x:f>IF(T26="","",I26*T26)</x:f>
        <x:v>3684504.336390721</x:v>
      </x:c>
    </x:row>
    <x:row r="27" ht="18" customHeight="1">
      <x:c r="A27" s="24" t="str">
        <x:v>LME_033</x:v>
      </x:c>
      <x:c r="B27" s="24" t="str">
        <x:v>Red Sea</x:v>
      </x:c>
      <x:c r="C27" s="24" t="str">
        <x:v>LME</x:v>
      </x:c>
      <x:c r="D27" s="30" t="n">
        <x:v>2019</x:v>
      </x:c>
      <x:c r="E27" s="24" t="str">
        <x:v>Metapenaeus monoceros</x:v>
      </x:c>
      <x:c r="F27" s="24" t="str">
        <x:v>Speckled shrimp</x:v>
      </x:c>
      <x:c r="G27" s="24" t="str">
        <x:v>Shrimps</x:v>
      </x:c>
      <x:c r="H27" s="24" t="str">
        <x:v>Crustaceans</x:v>
      </x:c>
      <x:c r="I27" s="31" t="n">
        <x:v>1369.9872368867</x:v>
      </x:c>
      <x:c r="J27" s="31" t="n">
        <x:v>1369.9872368867</x:v>
      </x:c>
      <x:c r="K27" s="31" t="n">
        <x:v>0</x:v>
      </x:c>
      <x:c r="L27" s="31" t="n">
        <x:v>1369.9872368867</x:v>
      </x:c>
      <x:c r="M27" s="31" t="n">
        <x:v>0</x:v>
      </x:c>
      <x:c r="N27" s="24" t="str">
        <x:v>metapenaeus monoceros</x:v>
      </x:c>
      <x:c r="O27" s="32" t="n">
        <x:v>2.7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Metapenaeus monoceros</x:v>
      </x:c>
      <x:c r="T27" s="32" t="n">
        <x:f>IF(O27="","",(1/'Metadata'!$B$5)^(O27-1))</x:f>
        <x:v>50.11872336272725</x:v>
      </x:c>
      <x:c r="U27" s="31" t="n">
        <x:f>IF(T27="","",I27*T27)</x:f>
        <x:v>68662.0113359916</x:v>
      </x:c>
    </x:row>
    <x:row r="28" ht="18" customHeight="1">
      <x:c r="A28" s="24" t="str">
        <x:v>LME_033</x:v>
      </x:c>
      <x:c r="B28" s="24" t="str">
        <x:v>Red Sea</x:v>
      </x:c>
      <x:c r="C28" s="24" t="str">
        <x:v>LME</x:v>
      </x:c>
      <x:c r="D28" s="30" t="n">
        <x:v>2019</x:v>
      </x:c>
      <x:c r="E28" s="24" t="str">
        <x:v>Decapterus russelli</x:v>
      </x:c>
      <x:c r="F28" s="24" t="str">
        <x:v>Indian scad</x:v>
      </x:c>
      <x:c r="G28" s="24" t="str">
        <x:v>Medium pelagics (30 - 89 cm)</x:v>
      </x:c>
      <x:c r="H28" s="24" t="str">
        <x:v>Perch-likes</x:v>
      </x:c>
      <x:c r="I28" s="31" t="n">
        <x:v>1335.2128991760999</x:v>
      </x:c>
      <x:c r="J28" s="31" t="n">
        <x:v>1335.2128991760999</x:v>
      </x:c>
      <x:c r="K28" s="31" t="n">
        <x:v>0</x:v>
      </x:c>
      <x:c r="L28" s="31" t="n">
        <x:v>1257.6883684209001</x:v>
      </x:c>
      <x:c r="M28" s="31" t="n">
        <x:v>77.5245307552</x:v>
      </x:c>
      <x:c r="N28" s="24" t="str">
        <x:v>decapterus russelli</x:v>
      </x:c>
      <x:c r="O28" s="32" t="n">
        <x:v>3.68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Decapterus russelli</x:v>
      </x:c>
      <x:c r="T28" s="32" t="n">
        <x:f>IF(O28="","",(1/'Metadata'!$B$5)^(O28-1))</x:f>
        <x:v>478.6300923226385</x:v>
      </x:c>
      <x:c r="U28" s="31" t="n">
        <x:f>IF(T28="","",I28*T28)</x:f>
        <x:v>639073.0732030345</x:v>
      </x:c>
    </x:row>
    <x:row r="29" ht="18" customHeight="1">
      <x:c r="A29" s="24" t="str">
        <x:v>LME_033</x:v>
      </x:c>
      <x:c r="B29" s="24" t="str">
        <x:v>Red Sea</x:v>
      </x:c>
      <x:c r="C29" s="24" t="str">
        <x:v>LME</x:v>
      </x:c>
      <x:c r="D29" s="30" t="n">
        <x:v>2019</x:v>
      </x:c>
      <x:c r="E29" s="24" t="str">
        <x:v>Sphyraena barracuda</x:v>
      </x:c>
      <x:c r="F29" s="24" t="str">
        <x:v>Great barracuda</x:v>
      </x:c>
      <x:c r="G29" s="24" t="str">
        <x:v>Large pelagics (&gt;=90 cm)</x:v>
      </x:c>
      <x:c r="H29" s="24" t="str">
        <x:v>Perch-likes</x:v>
      </x:c>
      <x:c r="I29" s="31" t="n">
        <x:v>1301.7279222899</x:v>
      </x:c>
      <x:c r="J29" s="31" t="n">
        <x:v>1301.7279222899</x:v>
      </x:c>
      <x:c r="K29" s="31" t="n">
        <x:v>0</x:v>
      </x:c>
      <x:c r="L29" s="31" t="n">
        <x:v>1172.5931633493</x:v>
      </x:c>
      <x:c r="M29" s="31" t="n">
        <x:v>129.1347589406</x:v>
      </x:c>
      <x:c r="N29" s="24" t="str">
        <x:v>sphyraena barracuda</x:v>
      </x:c>
      <x:c r="O29" s="32" t="n">
        <x:v>4.49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Sphyraena barracuda</x:v>
      </x:c>
      <x:c r="T29" s="32" t="n">
        <x:f>IF(O29="","",(1/'Metadata'!$B$5)^(O29-1))</x:f>
        <x:v>3090.295432513592</x:v>
      </x:c>
      <x:c r="U29" s="31" t="n">
        <x:f>IF(T29="","",I29*T29)</x:f>
        <x:v>4022723.8526278865</x:v>
      </x:c>
    </x:row>
    <x:row r="30" ht="18" customHeight="1">
      <x:c r="A30" s="24" t="str">
        <x:v>LME_033</x:v>
      </x:c>
      <x:c r="B30" s="24" t="str">
        <x:v>Red Sea</x:v>
      </x:c>
      <x:c r="C30" s="24" t="str">
        <x:v>LME</x:v>
      </x:c>
      <x:c r="D30" s="30" t="n">
        <x:v>2019</x:v>
      </x:c>
      <x:c r="E30" s="24" t="str">
        <x:v>Spratelloides gracilis</x:v>
      </x:c>
      <x:c r="F30" s="24" t="str">
        <x:v>Silver-stripe round herring</x:v>
      </x:c>
      <x:c r="G30" s="24" t="str">
        <x:v>Small pelagics (&lt;30 cm)</x:v>
      </x:c>
      <x:c r="H30" s="24" t="str">
        <x:v>Herring-likes</x:v>
      </x:c>
      <x:c r="I30" s="31" t="n">
        <x:v>1254.9578615157</x:v>
      </x:c>
      <x:c r="J30" s="31" t="n">
        <x:v>1254.9578615157</x:v>
      </x:c>
      <x:c r="K30" s="31" t="n">
        <x:v>0</x:v>
      </x:c>
      <x:c r="L30" s="31" t="n">
        <x:v>0</x:v>
      </x:c>
      <x:c r="M30" s="31" t="n">
        <x:v>1254.9578615157</x:v>
      </x:c>
      <x:c r="N30" s="24" t="str">
        <x:v>spratelloides gracilis</x:v>
      </x:c>
      <x:c r="O30" s="32" t="n">
        <x:v>3.06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Spratelloides gracilis</x:v>
      </x:c>
      <x:c r="T30" s="32" t="n">
        <x:f>IF(O30="","",(1/'Metadata'!$B$5)^(O30-1))</x:f>
        <x:v>114.81536214968828</x:v>
      </x:c>
      <x:c r="U30" s="31" t="n">
        <x:f>IF(T30="","",I30*T30)</x:f>
        <x:v>144088.44135252346</x:v>
      </x:c>
    </x:row>
    <x:row r="31" ht="18" customHeight="1">
      <x:c r="A31" s="24" t="str">
        <x:v>LME_033</x:v>
      </x:c>
      <x:c r="B31" s="24" t="str">
        <x:v>Red Sea</x:v>
      </x:c>
      <x:c r="C31" s="24" t="str">
        <x:v>LME</x:v>
      </x:c>
      <x:c r="D31" s="30" t="n">
        <x:v>2019</x:v>
      </x:c>
      <x:c r="E31" s="24" t="str">
        <x:v>Lethrinus lentjan</x:v>
      </x:c>
      <x:c r="F31" s="24" t="str">
        <x:v>Pink ear emperor</x:v>
      </x:c>
      <x:c r="G31" s="24" t="str">
        <x:v>Medium demersals (30 - 89 cm)</x:v>
      </x:c>
      <x:c r="H31" s="24" t="str">
        <x:v>Perch-likes</x:v>
      </x:c>
      <x:c r="I31" s="31" t="n">
        <x:v>1217.5432364363999</x:v>
      </x:c>
      <x:c r="J31" s="31" t="n">
        <x:v>1217.5432364363999</x:v>
      </x:c>
      <x:c r="K31" s="31" t="n">
        <x:v>0</x:v>
      </x:c>
      <x:c r="L31" s="31" t="n">
        <x:v>1074.6769359708</x:v>
      </x:c>
      <x:c r="M31" s="31" t="n">
        <x:v>142.8663004656</x:v>
      </x:c>
      <x:c r="N31" s="24" t="str">
        <x:v>lethrinus lentjan</x:v>
      </x:c>
      <x:c r="O31" s="32" t="n">
        <x:v>3.94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Lethrinus lentjan</x:v>
      </x:c>
      <x:c r="T31" s="32" t="n">
        <x:f>IF(O31="","",(1/'Metadata'!$B$5)^(O31-1))</x:f>
        <x:v>870.9635899560806</x:v>
      </x:c>
      <x:c r="U31" s="31" t="n">
        <x:f>IF(T31="","",I31*T31)</x:f>
        <x:v>1060435.828133392</x:v>
      </x:c>
    </x:row>
    <x:row r="32" ht="18" customHeight="1">
      <x:c r="A32" s="24" t="str">
        <x:v>LME_033</x:v>
      </x:c>
      <x:c r="B32" s="24" t="str">
        <x:v>Red Sea</x:v>
      </x:c>
      <x:c r="C32" s="24" t="str">
        <x:v>LME</x:v>
      </x:c>
      <x:c r="D32" s="30" t="n">
        <x:v>2019</x:v>
      </x:c>
      <x:c r="E32" s="24" t="str">
        <x:v>Nemipteridae</x:v>
      </x:c>
      <x:c r="F32" s="24" t="str">
        <x:v>Threadfins, whiptail breams</x:v>
      </x:c>
      <x:c r="G32" s="24" t="str">
        <x:v>Small demersals (&lt;30 cm)</x:v>
      </x:c>
      <x:c r="H32" s="24" t="str">
        <x:v>Perch-likes</x:v>
      </x:c>
      <x:c r="I32" s="31" t="n">
        <x:v>1092.5905535693</x:v>
      </x:c>
      <x:c r="J32" s="31" t="n">
        <x:v>1092.5905535693</x:v>
      </x:c>
      <x:c r="K32" s="31" t="n">
        <x:v>0</x:v>
      </x:c>
      <x:c r="L32" s="31" t="n">
        <x:v>924.1226631272001</x:v>
      </x:c>
      <x:c r="M32" s="31" t="n">
        <x:v>168.46789044209999</x:v>
      </x:c>
      <x:c r="N32" s="24" t="str">
        <x:v>nemipteridae</x:v>
      </x:c>
      <x:c r="O32" s="32" t="n">
        <x:v>3.51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Nemipteridae</x:v>
      </x:c>
      <x:c r="T32" s="32" t="n">
        <x:f>IF(O32="","",(1/'Metadata'!$B$5)^(O32-1))</x:f>
        <x:v>323.5936569296281</x:v>
      </x:c>
      <x:c r="U32" s="31" t="n">
        <x:f>IF(T32="","",I32*T32)</x:f>
        <x:v>353555.3727562565</x:v>
      </x:c>
    </x:row>
    <x:row r="33" ht="18" customHeight="1">
      <x:c r="A33" s="24" t="str">
        <x:v>LME_033</x:v>
      </x:c>
      <x:c r="B33" s="24" t="str">
        <x:v>Red Sea</x:v>
      </x:c>
      <x:c r="C33" s="24" t="str">
        <x:v>LME</x:v>
      </x:c>
      <x:c r="D33" s="30" t="n">
        <x:v>2019</x:v>
      </x:c>
      <x:c r="E33" s="24" t="str">
        <x:v>Mugilidae</x:v>
      </x:c>
      <x:c r="F33" s="24" t="str">
        <x:v>Mullets, grey mullets</x:v>
      </x:c>
      <x:c r="G33" s="24" t="str">
        <x:v>Medium reef assoc. fish (30 - 89 cm)</x:v>
      </x:c>
      <x:c r="H33" s="24" t="str">
        <x:v>Perch-likes</x:v>
      </x:c>
      <x:c r="I33" s="31" t="n">
        <x:v>1023.5689114219</x:v>
      </x:c>
      <x:c r="J33" s="31" t="n">
        <x:v>1023.5689114219</x:v>
      </x:c>
      <x:c r="K33" s="31" t="n">
        <x:v>0</x:v>
      </x:c>
      <x:c r="L33" s="31" t="n">
        <x:v>725.9521558615</x:v>
      </x:c>
      <x:c r="M33" s="31" t="n">
        <x:v>297.6167555604</x:v>
      </x:c>
      <x:c r="N33" s="24" t="str">
        <x:v>mugilidae</x:v>
      </x:c>
      <x:c r="O33" s="32" t="n">
        <x:v>2.53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Mugilidae</x:v>
      </x:c>
      <x:c r="T33" s="32" t="n">
        <x:f>IF(O33="","",(1/'Metadata'!$B$5)^(O33-1))</x:f>
        <x:v>33.88441561392024</x:v>
      </x:c>
      <x:c r="U33" s="31" t="n">
        <x:f>IF(T33="","",I33*T33)</x:f>
        <x:v>34683.03440410757</x:v>
      </x:c>
    </x:row>
    <x:row r="34" ht="18" customHeight="1">
      <x:c r="A34" s="24" t="str">
        <x:v>LME_033</x:v>
      </x:c>
      <x:c r="B34" s="24" t="str">
        <x:v>Red Sea</x:v>
      </x:c>
      <x:c r="C34" s="24" t="str">
        <x:v>LME</x:v>
      </x:c>
      <x:c r="D34" s="30" t="n">
        <x:v>2019</x:v>
      </x:c>
      <x:c r="E34" s="24" t="str">
        <x:v>Penaeidae</x:v>
      </x:c>
      <x:c r="F34" s="24" t="str">
        <x:v>Commercial shrimps and prawns</x:v>
      </x:c>
      <x:c r="G34" s="24" t="str">
        <x:v>Shrimps</x:v>
      </x:c>
      <x:c r="H34" s="24" t="str">
        <x:v>Crustaceans</x:v>
      </x:c>
      <x:c r="I34" s="31" t="n">
        <x:v>1005.5672842324</x:v>
      </x:c>
      <x:c r="J34" s="31" t="n">
        <x:v>334.0575246325</x:v>
      </x:c>
      <x:c r="K34" s="31" t="n">
        <x:v>671.5097595999</x:v>
      </x:c>
      <x:c r="L34" s="31" t="n">
        <x:v>279.1015193922</x:v>
      </x:c>
      <x:c r="M34" s="31" t="n">
        <x:v>726.4657648402</x:v>
      </x:c>
      <x:c r="N34" s="24" t="str">
        <x:v>penaeidae</x:v>
      </x:c>
      <x:c r="O34" s="32" t="n">
        <x:v>3.31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Penaeidae</x:v>
      </x:c>
      <x:c r="T34" s="32" t="n">
        <x:f>IF(O34="","",(1/'Metadata'!$B$5)^(O34-1))</x:f>
        <x:v>204.17379446695296</x:v>
      </x:c>
      <x:c r="U34" s="31" t="n">
        <x:f>IF(T34="","",I34*T34)</x:f>
        <x:v>205310.4880135581</x:v>
      </x:c>
    </x:row>
    <x:row r="35" ht="18" customHeight="1">
      <x:c r="A35" s="24" t="str">
        <x:v>LME_033</x:v>
      </x:c>
      <x:c r="B35" s="24" t="str">
        <x:v>Red Sea</x:v>
      </x:c>
      <x:c r="C35" s="24" t="str">
        <x:v>LME</x:v>
      </x:c>
      <x:c r="D35" s="30" t="n">
        <x:v>2019</x:v>
      </x:c>
      <x:c r="E35" s="24" t="str">
        <x:v>Sparidae</x:v>
      </x:c>
      <x:c r="F35" s="24" t="str">
        <x:v>Porgies, seabreams</x:v>
      </x:c>
      <x:c r="G35" s="24" t="str">
        <x:v>Medium benthopelagics (30 - 89 cm)</x:v>
      </x:c>
      <x:c r="H35" s="24" t="str">
        <x:v>Perch-likes</x:v>
      </x:c>
      <x:c r="I35" s="31" t="n">
        <x:v>950.2265484596</x:v>
      </x:c>
      <x:c r="J35" s="31" t="n">
        <x:v>950.2265484596</x:v>
      </x:c>
      <x:c r="K35" s="31" t="n">
        <x:v>0</x:v>
      </x:c>
      <x:c r="L35" s="31" t="n">
        <x:v>185.83798695939998</x:v>
      </x:c>
      <x:c r="M35" s="31" t="n">
        <x:v>764.3885615002</x:v>
      </x:c>
      <x:c r="N35" s="24" t="str">
        <x:v>sparidae</x:v>
      </x:c>
      <x:c r="O35" s="32" t="n">
        <x:v>3.31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Sparidae</x:v>
      </x:c>
      <x:c r="T35" s="32" t="n">
        <x:f>IF(O35="","",(1/'Metadata'!$B$5)^(O35-1))</x:f>
        <x:v>204.17379446695296</x:v>
      </x:c>
      <x:c r="U35" s="31" t="n">
        <x:f>IF(T35="","",I35*T35)</x:f>
        <x:v>194011.36000223248</x:v>
      </x:c>
    </x:row>
    <x:row r="36" ht="18" customHeight="1">
      <x:c r="A36" s="24" t="str">
        <x:v>LME_033</x:v>
      </x:c>
      <x:c r="B36" s="24" t="str">
        <x:v>Red Sea</x:v>
      </x:c>
      <x:c r="C36" s="24" t="str">
        <x:v>LME</x:v>
      </x:c>
      <x:c r="D36" s="30" t="n">
        <x:v>2019</x:v>
      </x:c>
      <x:c r="E36" s="24" t="str">
        <x:v>Scombridae</x:v>
      </x:c>
      <x:c r="F36" s="24" t="str">
        <x:v>Mackerels, tunas, bonitos</x:v>
      </x:c>
      <x:c r="G36" s="24" t="str">
        <x:v>Medium pelagics (30 - 89 cm)</x:v>
      </x:c>
      <x:c r="H36" s="24" t="str">
        <x:v>Perch-likes</x:v>
      </x:c>
      <x:c r="I36" s="31" t="n">
        <x:v>945.6056840638</x:v>
      </x:c>
      <x:c r="J36" s="31" t="n">
        <x:v>945.6056840638</x:v>
      </x:c>
      <x:c r="K36" s="31" t="n">
        <x:v>0</x:v>
      </x:c>
      <x:c r="L36" s="31" t="n">
        <x:v>126.7390164063</x:v>
      </x:c>
      <x:c r="M36" s="31" t="n">
        <x:v>818.8666676575</x:v>
      </x:c>
      <x:c r="N36" s="24" t="str">
        <x:v>scombridae</x:v>
      </x:c>
      <x:c r="O36" s="32" t="n">
        <x:v>4.26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Scombridae</x:v>
      </x:c>
      <x:c r="T36" s="32" t="n">
        <x:f>IF(O36="","",(1/'Metadata'!$B$5)^(O36-1))</x:f>
        <x:v>1819.7008586099826</x:v>
      </x:c>
      <x:c r="U36" s="31" t="n">
        <x:f>IF(T36="","",I36*T36)</x:f>
        <x:v>1720719.475197377</x:v>
      </x:c>
    </x:row>
    <x:row r="37" ht="18" customHeight="1">
      <x:c r="A37" s="24" t="str">
        <x:v>LME_033</x:v>
      </x:c>
      <x:c r="B37" s="24" t="str">
        <x:v>Red Sea</x:v>
      </x:c>
      <x:c r="C37" s="24" t="str">
        <x:v>LME</x:v>
      </x:c>
      <x:c r="D37" s="30" t="n">
        <x:v>2019</x:v>
      </x:c>
      <x:c r="E37" s="24" t="str">
        <x:v>Mullidae</x:v>
      </x:c>
      <x:c r="F37" s="24" t="str">
        <x:v>Goatfishes</x:v>
      </x:c>
      <x:c r="G37" s="24" t="str">
        <x:v>Medium reef assoc. fish (30 - 89 cm)</x:v>
      </x:c>
      <x:c r="H37" s="24" t="str">
        <x:v>Perch-likes</x:v>
      </x:c>
      <x:c r="I37" s="31" t="n">
        <x:v>928.8283655672</x:v>
      </x:c>
      <x:c r="J37" s="31" t="n">
        <x:v>849.7460668281</x:v>
      </x:c>
      <x:c r="K37" s="31" t="n">
        <x:v>79.0822987391</x:v>
      </x:c>
      <x:c r="L37" s="31" t="n">
        <x:v>821.6647455764</x:v>
      </x:c>
      <x:c r="M37" s="31" t="n">
        <x:v>107.1636199908</x:v>
      </x:c>
      <x:c r="N37" s="24" t="str">
        <x:v>mullidae</x:v>
      </x:c>
      <x:c r="O37" s="32" t="n">
        <x:v>3.46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Mullidae</x:v>
      </x:c>
      <x:c r="T37" s="32" t="n">
        <x:f>IF(O37="","",(1/'Metadata'!$B$5)^(O37-1))</x:f>
        <x:v>288.40315031266056</x:v>
      </x:c>
      <x:c r="U37" s="31" t="n">
        <x:f>IF(T37="","",I37*T37)</x:f>
        <x:v>267877.02672934</x:v>
      </x:c>
    </x:row>
    <x:row r="38" ht="18" customHeight="1">
      <x:c r="A38" s="24" t="str">
        <x:v>LME_033</x:v>
      </x:c>
      <x:c r="B38" s="24" t="str">
        <x:v>Red Sea</x:v>
      </x:c>
      <x:c r="C38" s="24" t="str">
        <x:v>LME</x:v>
      </x:c>
      <x:c r="D38" s="30" t="n">
        <x:v>2019</x:v>
      </x:c>
      <x:c r="E38" s="24" t="str">
        <x:v>Decapoda</x:v>
      </x:c>
      <x:c r="F38" s="24" t="str">
        <x:v>Crabs, lobsters, shrimps</x:v>
      </x:c>
      <x:c r="G38" s="24" t="str">
        <x:v>Lobsters, crabs</x:v>
      </x:c>
      <x:c r="H38" s="24" t="str">
        <x:v>Crustaceans</x:v>
      </x:c>
      <x:c r="I38" s="31" t="n">
        <x:v>860.0885851839</x:v>
      </x:c>
      <x:c r="J38" s="31" t="n">
        <x:v>860.0659878818</x:v>
      </x:c>
      <x:c r="K38" s="31" t="n">
        <x:v>0.0225973021</x:v>
      </x:c>
      <x:c r="L38" s="31" t="n">
        <x:v>757.0127031279001</x:v>
      </x:c>
      <x:c r="M38" s="31" t="n">
        <x:v>103.07588205599998</x:v>
      </x:c>
      <x:c r="N38" s="24" t="str">
        <x:v>decapoda</x:v>
      </x:c>
      <x:c r="O38" s="32" t="n">
        <x:v>3.43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Decapoda</x:v>
      </x:c>
      <x:c r="T38" s="32" t="n">
        <x:f>IF(O38="","",(1/'Metadata'!$B$5)^(O38-1))</x:f>
        <x:v>269.1534803926917</x:v>
      </x:c>
      <x:c r="U38" s="31" t="n">
        <x:f>IF(T38="","",I38*T38)</x:f>
        <x:v>231495.83614827276</x:v>
      </x:c>
    </x:row>
    <x:row r="39" ht="18" customHeight="1">
      <x:c r="A39" s="24" t="str">
        <x:v>LME_033</x:v>
      </x:c>
      <x:c r="B39" s="24" t="str">
        <x:v>Red Sea</x:v>
      </x:c>
      <x:c r="C39" s="24" t="str">
        <x:v>LME</x:v>
      </x:c>
      <x:c r="D39" s="30" t="n">
        <x:v>2019</x:v>
      </x:c>
      <x:c r="E39" s="24" t="str">
        <x:v>Atule mate</x:v>
      </x:c>
      <x:c r="F39" s="24" t="str">
        <x:v>Yellowtail scad</x:v>
      </x:c>
      <x:c r="G39" s="24" t="str">
        <x:v>Small pelagics (&lt;30 cm)</x:v>
      </x:c>
      <x:c r="H39" s="24" t="str">
        <x:v>Perch-likes</x:v>
      </x:c>
      <x:c r="I39" s="31" t="n">
        <x:v>837.2259917266</x:v>
      </x:c>
      <x:c r="J39" s="31" t="n">
        <x:v>837.2259917266</x:v>
      </x:c>
      <x:c r="K39" s="31" t="n">
        <x:v>0</x:v>
      </x:c>
      <x:c r="L39" s="31" t="n">
        <x:v>661.9361228435</x:v>
      </x:c>
      <x:c r="M39" s="31" t="n">
        <x:v>175.2898688831</x:v>
      </x:c>
      <x:c r="N39" s="24" t="str">
        <x:v>atule mate</x:v>
      </x:c>
      <x:c r="O39" s="32" t="n">
        <x:v>4.22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Atule mate</x:v>
      </x:c>
      <x:c r="T39" s="32" t="n">
        <x:f>IF(O39="","",(1/'Metadata'!$B$5)^(O39-1))</x:f>
        <x:v>1659.5869074375596</x:v>
      </x:c>
      <x:c r="U39" s="31" t="n">
        <x:f>IF(T39="","",I39*T39)</x:f>
        <x:v>1389449.294435892</x:v>
      </x:c>
    </x:row>
    <x:row r="40" ht="18" customHeight="1">
      <x:c r="A40" s="24" t="str">
        <x:v>LME_033</x:v>
      </x:c>
      <x:c r="B40" s="24" t="str">
        <x:v>Red Sea</x:v>
      </x:c>
      <x:c r="C40" s="24" t="str">
        <x:v>LME</x:v>
      </x:c>
      <x:c r="D40" s="30" t="n">
        <x:v>2019</x:v>
      </x:c>
      <x:c r="E40" s="24" t="str">
        <x:v>Variola louti</x:v>
      </x:c>
      <x:c r="F40" s="24" t="str">
        <x:v>Yellow-edged lyretail</x:v>
      </x:c>
      <x:c r="G40" s="24" t="str">
        <x:v>Medium reef assoc. fish (30 - 89 cm)</x:v>
      </x:c>
      <x:c r="H40" s="24" t="str">
        <x:v>Perch-likes</x:v>
      </x:c>
      <x:c r="I40" s="31" t="n">
        <x:v>780.0467571045999</x:v>
      </x:c>
      <x:c r="J40" s="31" t="n">
        <x:v>780.0467571045999</x:v>
      </x:c>
      <x:c r="K40" s="31" t="n">
        <x:v>0</x:v>
      </x:c>
      <x:c r="L40" s="31" t="n">
        <x:v>736.3160337486</x:v>
      </x:c>
      <x:c r="M40" s="31" t="n">
        <x:v>43.730723356</x:v>
      </x:c>
      <x:c r="N40" s="24" t="str">
        <x:v>variola louti</x:v>
      </x:c>
      <x:c r="O40" s="32" t="n">
        <x:v>4.33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Variola louti</x:v>
      </x:c>
      <x:c r="T40" s="32" t="n">
        <x:f>IF(O40="","",(1/'Metadata'!$B$5)^(O40-1))</x:f>
        <x:v>2137.9620895022326</x:v>
      </x:c>
      <x:c r="U40" s="31" t="n">
        <x:f>IF(T40="","",I40*T40)</x:f>
        <x:v>1667710.394728791</x:v>
      </x:c>
    </x:row>
    <x:row r="41" ht="18" customHeight="1">
      <x:c r="A41" s="24" t="str">
        <x:v>LME_033</x:v>
      </x:c>
      <x:c r="B41" s="24" t="str">
        <x:v>Red Sea</x:v>
      </x:c>
      <x:c r="C41" s="24" t="str">
        <x:v>LME</x:v>
      </x:c>
      <x:c r="D41" s="30" t="n">
        <x:v>2019</x:v>
      </x:c>
      <x:c r="E41" s="24" t="str">
        <x:v>Penaeus semisulcatus</x:v>
      </x:c>
      <x:c r="F41" s="24" t="str">
        <x:v>Green tiger prawn</x:v>
      </x:c>
      <x:c r="G41" s="24" t="str">
        <x:v>Shrimps</x:v>
      </x:c>
      <x:c r="H41" s="24" t="str">
        <x:v>Crustaceans</x:v>
      </x:c>
      <x:c r="I41" s="31" t="n">
        <x:v>761.1547849436</x:v>
      </x:c>
      <x:c r="J41" s="31" t="n">
        <x:v>761.1547849436</x:v>
      </x:c>
      <x:c r="K41" s="31" t="n">
        <x:v>0</x:v>
      </x:c>
      <x:c r="L41" s="31" t="n">
        <x:v>761.1547849436</x:v>
      </x:c>
      <x:c r="M41" s="31" t="n">
        <x:v>0</x:v>
      </x:c>
      <x:c r="N41" s="24" t="str">
        <x:v>penaeus semisulcatus</x:v>
      </x:c>
      <x:c r="O41" s="32" t="n">
        <x:v>2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Penaeus semisulcatus</x:v>
      </x:c>
      <x:c r="T41" s="32" t="n">
        <x:f>IF(O41="","",(1/'Metadata'!$B$5)^(O41-1))</x:f>
        <x:v>10</x:v>
      </x:c>
      <x:c r="U41" s="31" t="n">
        <x:f>IF(T41="","",I41*T41)</x:f>
        <x:v>7611.547849436</x:v>
      </x:c>
    </x:row>
    <x:row r="42" ht="18" customHeight="1">
      <x:c r="A42" s="24" t="str">
        <x:v>LME_033</x:v>
      </x:c>
      <x:c r="B42" s="24" t="str">
        <x:v>Red Sea</x:v>
      </x:c>
      <x:c r="C42" s="24" t="str">
        <x:v>LME</x:v>
      </x:c>
      <x:c r="D42" s="30" t="n">
        <x:v>2019</x:v>
      </x:c>
      <x:c r="E42" s="24" t="str">
        <x:v>Epinephelus tauvina</x:v>
      </x:c>
      <x:c r="F42" s="24" t="str">
        <x:v>Greasy grouper</x:v>
      </x:c>
      <x:c r="G42" s="24" t="str">
        <x:v>Medium reef assoc. fish (30 - 89 cm)</x:v>
      </x:c>
      <x:c r="H42" s="24" t="str">
        <x:v>Perch-likes</x:v>
      </x:c>
      <x:c r="I42" s="31" t="n">
        <x:v>718.7948908003</x:v>
      </x:c>
      <x:c r="J42" s="31" t="n">
        <x:v>718.7948908003</x:v>
      </x:c>
      <x:c r="K42" s="31" t="n">
        <x:v>0</x:v>
      </x:c>
      <x:c r="L42" s="31" t="n">
        <x:v>619.7443169846</x:v>
      </x:c>
      <x:c r="M42" s="31" t="n">
        <x:v>99.0505738157</x:v>
      </x:c>
      <x:c r="N42" s="24" t="str">
        <x:v>epinephelus tauvina</x:v>
      </x:c>
      <x:c r="O42" s="32" t="n">
        <x:v>4.13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Epinephelus tauvina</x:v>
      </x:c>
      <x:c r="T42" s="32" t="n">
        <x:f>IF(O42="","",(1/'Metadata'!$B$5)^(O42-1))</x:f>
        <x:v>1348.9628825916532</x:v>
      </x:c>
      <x:c r="U42" s="31" t="n">
        <x:f>IF(T42="","",I42*T42)</x:f>
        <x:v>969627.6278861252</x:v>
      </x:c>
    </x:row>
    <x:row r="43" ht="18" customHeight="1">
      <x:c r="A43" s="24" t="str">
        <x:v>LME_033</x:v>
      </x:c>
      <x:c r="B43" s="24" t="str">
        <x:v>Red Sea</x:v>
      </x:c>
      <x:c r="C43" s="24" t="str">
        <x:v>LME</x:v>
      </x:c>
      <x:c r="D43" s="30" t="n">
        <x:v>2019</x:v>
      </x:c>
      <x:c r="E43" s="24" t="str">
        <x:v>Thunnus tonggol</x:v>
      </x:c>
      <x:c r="F43" s="24" t="str">
        <x:v>Longtail tuna</x:v>
      </x:c>
      <x:c r="G43" s="24" t="str">
        <x:v>Large pelagics (&gt;=90 cm)</x:v>
      </x:c>
      <x:c r="H43" s="24" t="str">
        <x:v>Tuna &amp; billfishes</x:v>
      </x:c>
      <x:c r="I43" s="31" t="n">
        <x:v>694.8322112954</x:v>
      </x:c>
      <x:c r="J43" s="31" t="n">
        <x:v>694.8322112954</x:v>
      </x:c>
      <x:c r="K43" s="31" t="n">
        <x:v>0</x:v>
      </x:c>
      <x:c r="L43" s="31" t="n">
        <x:v>339.8220930735</x:v>
      </x:c>
      <x:c r="M43" s="31" t="n">
        <x:v>355.01011822190003</x:v>
      </x:c>
      <x:c r="N43" s="24" t="str">
        <x:v>thunnus tonggol</x:v>
      </x:c>
      <x:c r="O43" s="32" t="n">
        <x:v>4.5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Thunnus tonggol</x:v>
      </x:c>
      <x:c r="T43" s="32" t="n">
        <x:f>IF(O43="","",(1/'Metadata'!$B$5)^(O43-1))</x:f>
        <x:v>3162.2776601683795</x:v>
      </x:c>
      <x:c r="U43" s="31" t="n">
        <x:f>IF(T43="","",I43*T43)</x:f>
        <x:v>2197252.3793448387</x:v>
      </x:c>
    </x:row>
    <x:row r="44" ht="18" customHeight="1">
      <x:c r="A44" s="24" t="str">
        <x:v>LME_033</x:v>
      </x:c>
      <x:c r="B44" s="24" t="str">
        <x:v>Red Sea</x:v>
      </x:c>
      <x:c r="C44" s="24" t="str">
        <x:v>LME</x:v>
      </x:c>
      <x:c r="D44" s="30" t="n">
        <x:v>2019</x:v>
      </x:c>
      <x:c r="E44" s="24" t="str">
        <x:v>Lethrinus mahsena</x:v>
      </x:c>
      <x:c r="F44" s="24" t="str">
        <x:v>Sky emperor</x:v>
      </x:c>
      <x:c r="G44" s="24" t="str">
        <x:v>Medium reef assoc. fish (30 - 89 cm)</x:v>
      </x:c>
      <x:c r="H44" s="24" t="str">
        <x:v>Perch-likes</x:v>
      </x:c>
      <x:c r="I44" s="31" t="n">
        <x:v>686.3950033773</x:v>
      </x:c>
      <x:c r="J44" s="31" t="n">
        <x:v>686.3950033773</x:v>
      </x:c>
      <x:c r="K44" s="31" t="n">
        <x:v>0</x:v>
      </x:c>
      <x:c r="L44" s="31" t="n">
        <x:v>660.1543786697999</x:v>
      </x:c>
      <x:c r="M44" s="31" t="n">
        <x:v>26.2406247075</x:v>
      </x:c>
      <x:c r="N44" s="24" t="str">
        <x:v>lethrinus mahsena</x:v>
      </x:c>
      <x:c r="O44" s="32" t="n">
        <x:v>3.43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Lethrinus mahsena</x:v>
      </x:c>
      <x:c r="T44" s="32" t="n">
        <x:f>IF(O44="","",(1/'Metadata'!$B$5)^(O44-1))</x:f>
        <x:v>269.1534803926917</x:v>
      </x:c>
      <x:c r="U44" s="31" t="n">
        <x:f>IF(T44="","",I44*T44)</x:f>
        <x:v>184745.60408315365</x:v>
      </x:c>
    </x:row>
    <x:row r="45" ht="18" customHeight="1">
      <x:c r="A45" s="24" t="str">
        <x:v>LME_033</x:v>
      </x:c>
      <x:c r="B45" s="24" t="str">
        <x:v>Red Sea</x:v>
      </x:c>
      <x:c r="C45" s="24" t="str">
        <x:v>LME</x:v>
      </x:c>
      <x:c r="D45" s="30" t="n">
        <x:v>2019</x:v>
      </x:c>
      <x:c r="E45" s="24" t="str">
        <x:v>Lethrinus nebulosus</x:v>
      </x:c>
      <x:c r="F45" s="24" t="str">
        <x:v>Spangled emperor</x:v>
      </x:c>
      <x:c r="G45" s="24" t="str">
        <x:v>Medium demersals (30 - 89 cm)</x:v>
      </x:c>
      <x:c r="H45" s="24" t="str">
        <x:v>Perch-likes</x:v>
      </x:c>
      <x:c r="I45" s="31" t="n">
        <x:v>639.5790744620999</x:v>
      </x:c>
      <x:c r="J45" s="31" t="n">
        <x:v>639.5790744620999</x:v>
      </x:c>
      <x:c r="K45" s="31" t="n">
        <x:v>0</x:v>
      </x:c>
      <x:c r="L45" s="31" t="n">
        <x:v>85.4885555219</x:v>
      </x:c>
      <x:c r="M45" s="31" t="n">
        <x:v>554.0905189401999</x:v>
      </x:c>
      <x:c r="N45" s="24" t="str">
        <x:v>lethrinus nebulosus</x:v>
      </x:c>
      <x:c r="O45" s="32" t="n">
        <x:v>3.76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Lethrinus nebulosus</x:v>
      </x:c>
      <x:c r="T45" s="32" t="n">
        <x:f>IF(O45="","",(1/'Metadata'!$B$5)^(O45-1))</x:f>
        <x:v>575.4399373371566</x:v>
      </x:c>
      <x:c r="U45" s="31" t="n">
        <x:f>IF(T45="","",I45*T45)</x:f>
        <x:v>368039.3425306274</x:v>
      </x:c>
    </x:row>
    <x:row r="46" ht="18" customHeight="1">
      <x:c r="A46" s="24" t="str">
        <x:v>LME_033</x:v>
      </x:c>
      <x:c r="B46" s="24" t="str">
        <x:v>Red Sea</x:v>
      </x:c>
      <x:c r="C46" s="24" t="str">
        <x:v>LME</x:v>
      </x:c>
      <x:c r="D46" s="30" t="n">
        <x:v>2019</x:v>
      </x:c>
      <x:c r="E46" s="24" t="str">
        <x:v>Leiognathus</x:v>
      </x:c>
      <x:c r="F46" s="24" t="str">
        <x:v>Ponyfishes</x:v>
      </x:c>
      <x:c r="G46" s="24" t="str">
        <x:v>Small benthopelagics (&lt;30 cm)</x:v>
      </x:c>
      <x:c r="H46" s="24" t="str">
        <x:v>Perch-likes</x:v>
      </x:c>
      <x:c r="I46" s="31" t="n">
        <x:v>633.1115036161</x:v>
      </x:c>
      <x:c r="J46" s="31" t="n">
        <x:v>0</x:v>
      </x:c>
      <x:c r="K46" s="31" t="n">
        <x:v>633.1115036161</x:v>
      </x:c>
      <x:c r="L46" s="31" t="n">
        <x:v>0</x:v>
      </x:c>
      <x:c r="M46" s="31" t="n">
        <x:v>633.1115036161</x:v>
      </x:c>
      <x:c r="N46" s="24" t="str">
        <x:v>leiognathus</x:v>
      </x:c>
      <x:c r="O46" s="32" t="n">
        <x:v>3.22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Leiognathus</x:v>
      </x:c>
      <x:c r="T46" s="32" t="n">
        <x:f>IF(O46="","",(1/'Metadata'!$B$5)^(O46-1))</x:f>
        <x:v>165.95869074375614</x:v>
      </x:c>
      <x:c r="U46" s="31" t="n">
        <x:f>IF(T46="","",I46*T46)</x:f>
        <x:v>105070.35623493878</x:v>
      </x:c>
    </x:row>
    <x:row r="47" ht="18" customHeight="1">
      <x:c r="A47" s="24" t="str">
        <x:v>LME_033</x:v>
      </x:c>
      <x:c r="B47" s="24" t="str">
        <x:v>Red Sea</x:v>
      </x:c>
      <x:c r="C47" s="24" t="str">
        <x:v>LME</x:v>
      </x:c>
      <x:c r="D47" s="30" t="n">
        <x:v>2019</x:v>
      </x:c>
      <x:c r="E47" s="24" t="str">
        <x:v>Loligo</x:v>
      </x:c>
      <x:c r="F47" s="24" t="str">
        <x:v>Common squids</x:v>
      </x:c>
      <x:c r="G47" s="24" t="str">
        <x:v>Cephalopods</x:v>
      </x:c>
      <x:c r="H47" s="24" t="str">
        <x:v>Other fishes &amp; inverts</x:v>
      </x:c>
      <x:c r="I47" s="31" t="n">
        <x:v>625.2180618822</x:v>
      </x:c>
      <x:c r="J47" s="31" t="n">
        <x:v>625.2180618822</x:v>
      </x:c>
      <x:c r="K47" s="31" t="n">
        <x:v>0</x:v>
      </x:c>
      <x:c r="L47" s="31" t="n">
        <x:v>625.2180618822</x:v>
      </x:c>
      <x:c r="M47" s="31" t="n">
        <x:v>0</x:v>
      </x:c>
      <x:c r="N47" s="24" t="str">
        <x:v>loligo</x:v>
      </x:c>
      <x:c r="O47" s="32" t="n">
        <x:v>3.99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Loligo</x:v>
      </x:c>
      <x:c r="T47" s="32" t="n">
        <x:f>IF(O47="","",(1/'Metadata'!$B$5)^(O47-1))</x:f>
        <x:v>977.2372209558112</x:v>
      </x:c>
      <x:c r="U47" s="31" t="n">
        <x:f>IF(T47="","",I47*T47)</x:f>
        <x:v>610986.3612851395</x:v>
      </x:c>
    </x:row>
    <x:row r="48" ht="18" customHeight="1">
      <x:c r="A48" s="24" t="str">
        <x:v>LME_033</x:v>
      </x:c>
      <x:c r="B48" s="24" t="str">
        <x:v>Red Sea</x:v>
      </x:c>
      <x:c r="C48" s="24" t="str">
        <x:v>LME</x:v>
      </x:c>
      <x:c r="D48" s="30" t="n">
        <x:v>2019</x:v>
      </x:c>
      <x:c r="E48" s="24" t="str">
        <x:v>Flavocaranx bajad</x:v>
      </x:c>
      <x:c r="F48" s="24" t="str">
        <x:v>Orangespotted trevally</x:v>
      </x:c>
      <x:c r="G48" s="24" t="str">
        <x:v>Medium reef assoc. fish (30 - 89 cm)</x:v>
      </x:c>
      <x:c r="H48" s="24" t="str">
        <x:v>Perch-likes</x:v>
      </x:c>
      <x:c r="I48" s="31" t="n">
        <x:v>617.5955351899</x:v>
      </x:c>
      <x:c r="J48" s="31" t="n">
        <x:v>617.5955351899</x:v>
      </x:c>
      <x:c r="K48" s="31" t="n">
        <x:v>0</x:v>
      </x:c>
      <x:c r="L48" s="31" t="n">
        <x:v>534.8062252643</x:v>
      </x:c>
      <x:c r="M48" s="31" t="n">
        <x:v>82.7893099256</x:v>
      </x:c>
      <x:c r="N48" s="24" t="str">
        <x:v>flavocaranx bajad</x:v>
      </x:c>
      <x:c r="O48" s="32" t="n">
        <x:v>4.3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Flavocaranx bajad</x:v>
      </x:c>
      <x:c r="T48" s="32" t="n">
        <x:f>IF(O48="","",(1/'Metadata'!$B$5)^(O48-1))</x:f>
        <x:v>1995.2623149688789</x:v>
      </x:c>
      <x:c r="U48" s="31" t="n">
        <x:f>IF(T48="","",I48*T48)</x:f>
        <x:v>1232265.0972574437</x:v>
      </x:c>
    </x:row>
    <x:row r="49" ht="18" customHeight="1">
      <x:c r="A49" s="24" t="str">
        <x:v>LME_033</x:v>
      </x:c>
      <x:c r="B49" s="24" t="str">
        <x:v>Red Sea</x:v>
      </x:c>
      <x:c r="C49" s="24" t="str">
        <x:v>LME</x:v>
      </x:c>
      <x:c r="D49" s="30" t="n">
        <x:v>2019</x:v>
      </x:c>
      <x:c r="E49" s="24" t="str">
        <x:v>Lethrinus borbonicus</x:v>
      </x:c>
      <x:c r="F49" s="24" t="str">
        <x:v>Snubnose emperor</x:v>
      </x:c>
      <x:c r="G49" s="24" t="str">
        <x:v>Medium reef assoc. fish (30 - 89 cm)</x:v>
      </x:c>
      <x:c r="H49" s="24" t="str">
        <x:v>Perch-likes</x:v>
      </x:c>
      <x:c r="I49" s="31" t="n">
        <x:v>614.9444082242</x:v>
      </x:c>
      <x:c r="J49" s="31" t="n">
        <x:v>614.9444082242</x:v>
      </x:c>
      <x:c r="K49" s="31" t="n">
        <x:v>0</x:v>
      </x:c>
      <x:c r="L49" s="31" t="n">
        <x:v>579.0821031044</x:v>
      </x:c>
      <x:c r="M49" s="31" t="n">
        <x:v>35.8623051198</x:v>
      </x:c>
      <x:c r="N49" s="24" t="str">
        <x:v>lethrinus borbonicus</x:v>
      </x:c>
      <x:c r="O49" s="32" t="n">
        <x:v>3.47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Lethrinus borbonicus</x:v>
      </x:c>
      <x:c r="T49" s="32" t="n">
        <x:f>IF(O49="","",(1/'Metadata'!$B$5)^(O49-1))</x:f>
        <x:v>295.1209226666387</x:v>
      </x:c>
      <x:c r="U49" s="31" t="n">
        <x:f>IF(T49="","",I49*T49)</x:f>
        <x:v>181482.961143816</x:v>
      </x:c>
    </x:row>
    <x:row r="50" ht="18" customHeight="1">
      <x:c r="A50" s="24" t="str">
        <x:v>LME_033</x:v>
      </x:c>
      <x:c r="B50" s="24" t="str">
        <x:v>Red Sea</x:v>
      </x:c>
      <x:c r="C50" s="24" t="str">
        <x:v>LME</x:v>
      </x:c>
      <x:c r="D50" s="30" t="n">
        <x:v>2019</x:v>
      </x:c>
      <x:c r="E50" s="24" t="str">
        <x:v>Carcharhinidae</x:v>
      </x:c>
      <x:c r="F50" s="24" t="str">
        <x:v>Requiem sharks</x:v>
      </x:c>
      <x:c r="G50" s="24" t="str">
        <x:v>Large sharks (&gt;=90 cm)</x:v>
      </x:c>
      <x:c r="H50" s="24" t="str">
        <x:v>Sharks &amp; rays</x:v>
      </x:c>
      <x:c r="I50" s="31" t="n">
        <x:v>559.1468194906</x:v>
      </x:c>
      <x:c r="J50" s="31" t="n">
        <x:v>559.1468194906</x:v>
      </x:c>
      <x:c r="K50" s="31" t="n">
        <x:v>0</x:v>
      </x:c>
      <x:c r="L50" s="31" t="n">
        <x:v>0.9250819857999999</x:v>
      </x:c>
      <x:c r="M50" s="31" t="n">
        <x:v>558.2217375048</x:v>
      </x:c>
      <x:c r="N50" s="24" t="str">
        <x:v>carcharhinidae</x:v>
      </x:c>
      <x:c r="O50" s="32" t="n">
        <x:v>4.24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Carcharhinidae</x:v>
      </x:c>
      <x:c r="T50" s="32" t="n">
        <x:f>IF(O50="","",(1/'Metadata'!$B$5)^(O50-1))</x:f>
        <x:v>1737.8008287493763</x:v>
      </x:c>
      <x:c r="U50" s="31" t="n">
        <x:f>IF(T50="","",I50*T50)</x:f>
        <x:v>971685.8063033426</x:v>
      </x:c>
    </x:row>
    <x:row r="51" ht="18" customHeight="1">
      <x:c r="A51" s="24" t="str">
        <x:v>LME_033</x:v>
      </x:c>
      <x:c r="B51" s="24" t="str">
        <x:v>Red Sea</x:v>
      </x:c>
      <x:c r="C51" s="24" t="str">
        <x:v>LME</x:v>
      </x:c>
      <x:c r="D51" s="30" t="n">
        <x:v>2019</x:v>
      </x:c>
      <x:c r="E51" s="24" t="str">
        <x:v>Netuma thalassina</x:v>
      </x:c>
      <x:c r="F51" s="24" t="str">
        <x:v>Giant catfish</x:v>
      </x:c>
      <x:c r="G51" s="24" t="str">
        <x:v>Large demersals (&gt;=90 cm)</x:v>
      </x:c>
      <x:c r="H51" s="24" t="str">
        <x:v>Other fishes &amp; inverts</x:v>
      </x:c>
      <x:c r="I51" s="31" t="n">
        <x:v>548.1415821872</x:v>
      </x:c>
      <x:c r="J51" s="31" t="n">
        <x:v>548.1415821872</x:v>
      </x:c>
      <x:c r="K51" s="31" t="n">
        <x:v>0</x:v>
      </x:c>
      <x:c r="L51" s="31" t="n">
        <x:v>527.8838859952</x:v>
      </x:c>
      <x:c r="M51" s="31" t="n">
        <x:v>20.257696192</x:v>
      </x:c>
      <x:c r="N51" s="24" t="str">
        <x:v>netuma thalassina</x:v>
      </x:c>
      <x:c r="O51" s="32" t="n">
        <x:v>3.54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Netuma thalassina</x:v>
      </x:c>
      <x:c r="T51" s="32" t="n">
        <x:f>IF(O51="","",(1/'Metadata'!$B$5)^(O51-1))</x:f>
        <x:v>346.73685045253166</x:v>
      </x:c>
      <x:c r="U51" s="31" t="n">
        <x:f>IF(T51="","",I51*T51)</x:f>
        <x:v>190060.88580965725</x:v>
      </x:c>
    </x:row>
    <x:row r="52" ht="18" customHeight="1">
      <x:c r="A52" s="24" t="str">
        <x:v>LME_033</x:v>
      </x:c>
      <x:c r="B52" s="24" t="str">
        <x:v>Red Sea</x:v>
      </x:c>
      <x:c r="C52" s="24" t="str">
        <x:v>LME</x:v>
      </x:c>
      <x:c r="D52" s="30" t="n">
        <x:v>2019</x:v>
      </x:c>
      <x:c r="E52" s="24" t="str">
        <x:v>Ariidae</x:v>
      </x:c>
      <x:c r="F52" s="24" t="str">
        <x:v>Sea catfishes, coblers</x:v>
      </x:c>
      <x:c r="G52" s="24" t="str">
        <x:v>Medium demersals (30 - 89 cm)</x:v>
      </x:c>
      <x:c r="H52" s="24" t="str">
        <x:v>Other fishes &amp; inverts</x:v>
      </x:c>
      <x:c r="I52" s="31" t="n">
        <x:v>523.1689491146</x:v>
      </x:c>
      <x:c r="J52" s="31" t="n">
        <x:v>523.1616113526001</x:v>
      </x:c>
      <x:c r="K52" s="31" t="n">
        <x:v>0.007337762</x:v>
      </x:c>
      <x:c r="L52" s="31" t="n">
        <x:v>471.2069979731</x:v>
      </x:c>
      <x:c r="M52" s="31" t="n">
        <x:v>51.9619511415</x:v>
      </x:c>
      <x:c r="N52" s="24" t="str">
        <x:v>ariidae</x:v>
      </x:c>
      <x:c r="O52" s="32" t="n">
        <x:v>3.48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Ariidae</x:v>
      </x:c>
      <x:c r="T52" s="32" t="n">
        <x:f>IF(O52="","",(1/'Metadata'!$B$5)^(O52-1))</x:f>
        <x:v>301.9951720402016</x:v>
      </x:c>
      <x:c r="U52" s="31" t="n">
        <x:f>IF(T52="","",I52*T52)</x:f>
        <x:v>157994.4967939551</x:v>
      </x:c>
    </x:row>
    <x:row r="53" ht="18" customHeight="1">
      <x:c r="A53" s="24" t="str">
        <x:v>LME_033</x:v>
      </x:c>
      <x:c r="B53" s="24" t="str">
        <x:v>Red Sea</x:v>
      </x:c>
      <x:c r="C53" s="24" t="str">
        <x:v>LME</x:v>
      </x:c>
      <x:c r="D53" s="30" t="n">
        <x:v>2019</x:v>
      </x:c>
      <x:c r="E53" s="24" t="str">
        <x:v>Portunus pelagicus</x:v>
      </x:c>
      <x:c r="F53" s="24" t="str">
        <x:v>Blue swimming crab</x:v>
      </x:c>
      <x:c r="G53" s="24" t="str">
        <x:v>Lobsters, crabs</x:v>
      </x:c>
      <x:c r="H53" s="24" t="str">
        <x:v>Crustaceans</x:v>
      </x:c>
      <x:c r="I53" s="31" t="n">
        <x:v>510.34004159599993</x:v>
      </x:c>
      <x:c r="J53" s="31" t="n">
        <x:v>510.34004159599993</x:v>
      </x:c>
      <x:c r="K53" s="31" t="n">
        <x:v>0</x:v>
      </x:c>
      <x:c r="L53" s="31" t="n">
        <x:v>510.34004159599993</x:v>
      </x:c>
      <x:c r="M53" s="31" t="n">
        <x:v>0</x:v>
      </x:c>
      <x:c r="N53" s="24" t="str">
        <x:v>portunus pelagicus</x:v>
      </x:c>
      <x:c r="O53" s="32" t="n">
        <x:v>2.48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Portunus pelagicus</x:v>
      </x:c>
      <x:c r="T53" s="32" t="n">
        <x:f>IF(O53="","",(1/'Metadata'!$B$5)^(O53-1))</x:f>
        <x:v>30.19951720402016</x:v>
      </x:c>
      <x:c r="U53" s="31" t="n">
        <x:f>IF(T53="","",I53*T53)</x:f>
        <x:v>15412.022866078765</x:v>
      </x:c>
    </x:row>
    <x:row r="54" ht="18" customHeight="1">
      <x:c r="A54" s="24" t="str">
        <x:v>LME_033</x:v>
      </x:c>
      <x:c r="B54" s="24" t="str">
        <x:v>Red Sea</x:v>
      </x:c>
      <x:c r="C54" s="24" t="str">
        <x:v>LME</x:v>
      </x:c>
      <x:c r="D54" s="30" t="n">
        <x:v>2019</x:v>
      </x:c>
      <x:c r="E54" s="24" t="str">
        <x:v>Sepia pharaonis</x:v>
      </x:c>
      <x:c r="F54" s="24" t="str">
        <x:v>Pharaoh cuttlefish</x:v>
      </x:c>
      <x:c r="G54" s="24" t="str">
        <x:v>Cephalopods</x:v>
      </x:c>
      <x:c r="H54" s="24" t="str">
        <x:v>Other fishes &amp; inverts</x:v>
      </x:c>
      <x:c r="I54" s="31" t="n">
        <x:v>509.8018157643</x:v>
      </x:c>
      <x:c r="J54" s="31" t="n">
        <x:v>509.8018157643</x:v>
      </x:c>
      <x:c r="K54" s="31" t="n">
        <x:v>0</x:v>
      </x:c>
      <x:c r="L54" s="31" t="n">
        <x:v>509.8018157643</x:v>
      </x:c>
      <x:c r="M54" s="31" t="n">
        <x:v>0</x:v>
      </x:c>
      <x:c r="N54" s="24" t="str">
        <x:v>sepia pharaonis</x:v>
      </x:c>
      <x:c r="O54" s="32" t="n">
        <x:v>3.8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Sepia pharaonis</x:v>
      </x:c>
      <x:c r="T54" s="32" t="n">
        <x:f>IF(O54="","",(1/'Metadata'!$B$5)^(O54-1))</x:f>
        <x:v>630.957344480193</x:v>
      </x:c>
      <x:c r="U54" s="31" t="n">
        <x:f>IF(T54="","",I54*T54)</x:f>
        <x:v>321663.1998858233</x:v>
      </x:c>
    </x:row>
    <x:row r="55" ht="18" customHeight="1">
      <x:c r="A55" s="24" t="str">
        <x:v>LME_033</x:v>
      </x:c>
      <x:c r="B55" s="24" t="str">
        <x:v>Red Sea</x:v>
      </x:c>
      <x:c r="C55" s="24" t="str">
        <x:v>LME</x:v>
      </x:c>
      <x:c r="D55" s="30" t="n">
        <x:v>2019</x:v>
      </x:c>
      <x:c r="E55" s="24" t="str">
        <x:v>Sphyraenidae</x:v>
      </x:c>
      <x:c r="F55" s="24" t="str">
        <x:v>Barracudas</x:v>
      </x:c>
      <x:c r="G55" s="24" t="str">
        <x:v>Medium reef assoc. fish (30 - 89 cm)</x:v>
      </x:c>
      <x:c r="H55" s="24" t="str">
        <x:v>Perch-likes</x:v>
      </x:c>
      <x:c r="I55" s="31" t="n">
        <x:v>489.4770007116</x:v>
      </x:c>
      <x:c r="J55" s="31" t="n">
        <x:v>489.4721408138</x:v>
      </x:c>
      <x:c r="K55" s="31" t="n">
        <x:v>0.0048598978</x:v>
      </x:c>
      <x:c r="L55" s="31" t="n">
        <x:v>444.4110896593</x:v>
      </x:c>
      <x:c r="M55" s="31" t="n">
        <x:v>45.0659110523</x:v>
      </x:c>
      <x:c r="N55" s="24" t="str">
        <x:v>sphyraenidae</x:v>
      </x:c>
      <x:c r="O55" s="32" t="n">
        <x:v>4.4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Sphyraenidae</x:v>
      </x:c>
      <x:c r="T55" s="32" t="n">
        <x:f>IF(O55="","",(1/'Metadata'!$B$5)^(O55-1))</x:f>
        <x:v>2511.886431509582</x:v>
      </x:c>
      <x:c r="U55" s="31" t="n">
        <x:f>IF(T55="","",I55*T55)</x:f>
        <x:v>1229510.636623474</x:v>
      </x:c>
    </x:row>
    <x:row r="56" ht="18" customHeight="1">
      <x:c r="A56" s="24" t="str">
        <x:v>LME_033</x:v>
      </x:c>
      <x:c r="B56" s="24" t="str">
        <x:v>Red Sea</x:v>
      </x:c>
      <x:c r="C56" s="24" t="str">
        <x:v>LME</x:v>
      </x:c>
      <x:c r="D56" s="30" t="n">
        <x:v>2019</x:v>
      </x:c>
      <x:c r="E56" s="24" t="str">
        <x:v>Rachycentron canadum</x:v>
      </x:c>
      <x:c r="F56" s="24" t="str">
        <x:v>Cobia</x:v>
      </x:c>
      <x:c r="G56" s="24" t="str">
        <x:v>Large pelagics (&gt;=90 cm)</x:v>
      </x:c>
      <x:c r="H56" s="24" t="str">
        <x:v>Perch-likes</x:v>
      </x:c>
      <x:c r="I56" s="31" t="n">
        <x:v>476.27348202580004</x:v>
      </x:c>
      <x:c r="J56" s="31" t="n">
        <x:v>476.27348202580004</x:v>
      </x:c>
      <x:c r="K56" s="31" t="n">
        <x:v>0</x:v>
      </x:c>
      <x:c r="L56" s="31" t="n">
        <x:v>470.56391550610005</x:v>
      </x:c>
      <x:c r="M56" s="31" t="n">
        <x:v>5.7095665197</x:v>
      </x:c>
      <x:c r="N56" s="24" t="str">
        <x:v>rachycentron canadum</x:v>
      </x:c>
      <x:c r="O56" s="32" t="n">
        <x:v>3.96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Rachycentron canadum</x:v>
      </x:c>
      <x:c r="T56" s="32" t="n">
        <x:f>IF(O56="","",(1/'Metadata'!$B$5)^(O56-1))</x:f>
        <x:v>912.0108393559096</x:v>
      </x:c>
      <x:c r="U56" s="31" t="n">
        <x:f>IF(T56="","",I56*T56)</x:f>
        <x:v>434366.5781053116</x:v>
      </x:c>
    </x:row>
    <x:row r="57" ht="18" customHeight="1">
      <x:c r="A57" s="24" t="str">
        <x:v>LME_033</x:v>
      </x:c>
      <x:c r="B57" s="24" t="str">
        <x:v>Red Sea</x:v>
      </x:c>
      <x:c r="C57" s="24" t="str">
        <x:v>LME</x:v>
      </x:c>
      <x:c r="D57" s="30" t="n">
        <x:v>2019</x:v>
      </x:c>
      <x:c r="E57" s="24" t="str">
        <x:v>Pomadasys stridens</x:v>
      </x:c>
      <x:c r="F57" s="24" t="str">
        <x:v>Striped piggy</x:v>
      </x:c>
      <x:c r="G57" s="24" t="str">
        <x:v>Small reef assoc. fish (&lt;30 cm)</x:v>
      </x:c>
      <x:c r="H57" s="24" t="str">
        <x:v>Perch-likes</x:v>
      </x:c>
      <x:c r="I57" s="31" t="n">
        <x:v>466.3535866384</x:v>
      </x:c>
      <x:c r="J57" s="31" t="n">
        <x:v>466.3535866384</x:v>
      </x:c>
      <x:c r="K57" s="31" t="n">
        <x:v>0</x:v>
      </x:c>
      <x:c r="L57" s="31" t="n">
        <x:v>466.3535866384</x:v>
      </x:c>
      <x:c r="M57" s="31" t="n">
        <x:v>0</x:v>
      </x:c>
      <x:c r="N57" s="24" t="str">
        <x:v>pomadasys stridens</x:v>
      </x:c>
      <x:c r="O57" s="32" t="n">
        <x:v>4.02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Pomadasys stridens</x:v>
      </x:c>
      <x:c r="T57" s="32" t="n">
        <x:f>IF(O57="","",(1/'Metadata'!$B$5)^(O57-1))</x:f>
        <x:v>1047.1285480508984</x:v>
      </x:c>
      <x:c r="U57" s="31" t="n">
        <x:f>IF(T57="","",I57*T57)</x:f>
        <x:v>488332.1540549966</x:v>
      </x:c>
    </x:row>
    <x:row r="58" ht="18" customHeight="1">
      <x:c r="A58" s="24" t="str">
        <x:v>LME_033</x:v>
      </x:c>
      <x:c r="B58" s="24" t="str">
        <x:v>Red Sea</x:v>
      </x:c>
      <x:c r="C58" s="24" t="str">
        <x:v>LME</x:v>
      </x:c>
      <x:c r="D58" s="30" t="n">
        <x:v>2019</x:v>
      </x:c>
      <x:c r="E58" s="24" t="str">
        <x:v>Pseudorhombus arsius</x:v>
      </x:c>
      <x:c r="F58" s="24" t="str">
        <x:v>Largetooth flounder</x:v>
      </x:c>
      <x:c r="G58" s="24" t="str">
        <x:v>Small to medium flatfishes (&lt;90 cm)</x:v>
      </x:c>
      <x:c r="H58" s="24" t="str">
        <x:v>Flatfishes</x:v>
      </x:c>
      <x:c r="I58" s="31" t="n">
        <x:v>462.851158903</x:v>
      </x:c>
      <x:c r="J58" s="31" t="n">
        <x:v>0</x:v>
      </x:c>
      <x:c r="K58" s="31" t="n">
        <x:v>462.851158903</x:v>
      </x:c>
      <x:c r="L58" s="31" t="n">
        <x:v>0</x:v>
      </x:c>
      <x:c r="M58" s="31" t="n">
        <x:v>462.851158903</x:v>
      </x:c>
      <x:c r="N58" s="24" t="str">
        <x:v>pseudorhombus arsius</x:v>
      </x:c>
      <x:c r="O58" s="32" t="n">
        <x:v>4.16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Pseudorhombus arsius</x:v>
      </x:c>
      <x:c r="T58" s="32" t="n">
        <x:f>IF(O58="","",(1/'Metadata'!$B$5)^(O58-1))</x:f>
        <x:v>1445.439770745928</x:v>
      </x:c>
      <x:c r="U58" s="31" t="n">
        <x:f>IF(T58="","",I58*T58)</x:f>
        <x:v>669023.4730142393</x:v>
      </x:c>
    </x:row>
    <x:row r="59" ht="18" customHeight="1">
      <x:c r="A59" s="24" t="str">
        <x:v>LME_033</x:v>
      </x:c>
      <x:c r="B59" s="24" t="str">
        <x:v>Red Sea</x:v>
      </x:c>
      <x:c r="C59" s="24" t="str">
        <x:v>LME</x:v>
      </x:c>
      <x:c r="D59" s="30" t="n">
        <x:v>2019</x:v>
      </x:c>
      <x:c r="E59" s="24" t="str">
        <x:v>Argyrops spinifer</x:v>
      </x:c>
      <x:c r="F59" s="24" t="str">
        <x:v>King soldier bream</x:v>
      </x:c>
      <x:c r="G59" s="24" t="str">
        <x:v>Medium demersals (30 - 89 cm)</x:v>
      </x:c>
      <x:c r="H59" s="24" t="str">
        <x:v>Perch-likes</x:v>
      </x:c>
      <x:c r="I59" s="31" t="n">
        <x:v>460.3750612345</x:v>
      </x:c>
      <x:c r="J59" s="31" t="n">
        <x:v>460.3750612345</x:v>
      </x:c>
      <x:c r="K59" s="31" t="n">
        <x:v>0</x:v>
      </x:c>
      <x:c r="L59" s="31" t="n">
        <x:v>444.11454337329997</x:v>
      </x:c>
      <x:c r="M59" s="31" t="n">
        <x:v>16.2605178612</x:v>
      </x:c>
      <x:c r="N59" s="24" t="str">
        <x:v>argyrops spinifer</x:v>
      </x:c>
      <x:c r="O59" s="32" t="n">
        <x:v>4.49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Argyrops spinifer</x:v>
      </x:c>
      <x:c r="T59" s="32" t="n">
        <x:f>IF(O59="","",(1/'Metadata'!$B$5)^(O59-1))</x:f>
        <x:v>3090.295432513592</x:v>
      </x:c>
      <x:c r="U59" s="31" t="n">
        <x:f>IF(T59="","",I59*T59)</x:f>
        <x:v>1422694.9489761405</x:v>
      </x:c>
    </x:row>
    <x:row r="60" ht="18" customHeight="1">
      <x:c r="A60" s="24" t="str">
        <x:v>LME_033</x:v>
      </x:c>
      <x:c r="B60" s="24" t="str">
        <x:v>Red Sea</x:v>
      </x:c>
      <x:c r="C60" s="24" t="str">
        <x:v>LME</x:v>
      </x:c>
      <x:c r="D60" s="30" t="n">
        <x:v>2019</x:v>
      </x:c>
      <x:c r="E60" s="24" t="str">
        <x:v>Gnathanodon speciosus</x:v>
      </x:c>
      <x:c r="F60" s="24" t="str">
        <x:v>Golden trevally</x:v>
      </x:c>
      <x:c r="G60" s="24" t="str">
        <x:v>Large reef assoc. fish (&gt;=90 cm)</x:v>
      </x:c>
      <x:c r="H60" s="24" t="str">
        <x:v>Perch-likes</x:v>
      </x:c>
      <x:c r="I60" s="31" t="n">
        <x:v>412.2036428725</x:v>
      </x:c>
      <x:c r="J60" s="31" t="n">
        <x:v>412.2036428725</x:v>
      </x:c>
      <x:c r="K60" s="31" t="n">
        <x:v>0</x:v>
      </x:c>
      <x:c r="L60" s="31" t="n">
        <x:v>377.0410842819</x:v>
      </x:c>
      <x:c r="M60" s="31" t="n">
        <x:v>35.1625585906</x:v>
      </x:c>
      <x:c r="N60" s="24" t="str">
        <x:v>gnathanodon speciosus</x:v>
      </x:c>
      <x:c r="O60" s="32" t="n">
        <x:v>3.84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Gnathanodon speciosus</x:v>
      </x:c>
      <x:c r="T60" s="32" t="n">
        <x:f>IF(O60="","",(1/'Metadata'!$B$5)^(O60-1))</x:f>
        <x:v>691.8309709189363</x:v>
      </x:c>
      <x:c r="U60" s="31" t="n">
        <x:f>IF(T60="","",I60*T60)</x:f>
        <x:v>285175.2464648041</x:v>
      </x:c>
    </x:row>
    <x:row r="61" ht="18" customHeight="1">
      <x:c r="A61" s="24" t="str">
        <x:v>LME_033</x:v>
      </x:c>
      <x:c r="B61" s="24" t="str">
        <x:v>Red Sea</x:v>
      </x:c>
      <x:c r="C61" s="24" t="str">
        <x:v>LME</x:v>
      </x:c>
      <x:c r="D61" s="30" t="n">
        <x:v>2019</x:v>
      </x:c>
      <x:c r="E61" s="24" t="str">
        <x:v>Epinephelus areolatus</x:v>
      </x:c>
      <x:c r="F61" s="24" t="str">
        <x:v>Areolate grouper</x:v>
      </x:c>
      <x:c r="G61" s="24" t="str">
        <x:v>Medium reef assoc. fish (30 - 89 cm)</x:v>
      </x:c>
      <x:c r="H61" s="24" t="str">
        <x:v>Perch-likes</x:v>
      </x:c>
      <x:c r="I61" s="31" t="n">
        <x:v>388.9782178381</x:v>
      </x:c>
      <x:c r="J61" s="31" t="n">
        <x:v>388.9782178381</x:v>
      </x:c>
      <x:c r="K61" s="31" t="n">
        <x:v>0</x:v>
      </x:c>
      <x:c r="L61" s="31" t="n">
        <x:v>337.26903764860003</x:v>
      </x:c>
      <x:c r="M61" s="31" t="n">
        <x:v>51.709180189499996</x:v>
      </x:c>
      <x:c r="N61" s="24" t="str">
        <x:v>epinephelus areolatus</x:v>
      </x:c>
      <x:c r="O61" s="32" t="n">
        <x:v>3.74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Epinephelus areolatus</x:v>
      </x:c>
      <x:c r="T61" s="32" t="n">
        <x:f>IF(O61="","",(1/'Metadata'!$B$5)^(O61-1))</x:f>
        <x:v>549.5408738576248</x:v>
      </x:c>
      <x:c r="U61" s="31" t="n">
        <x:f>IF(T61="","",I61*T61)</x:f>
        <x:v>213759.429742331</x:v>
      </x:c>
    </x:row>
    <x:row r="62" ht="18" customHeight="1">
      <x:c r="A62" s="24" t="str">
        <x:v>LME_033</x:v>
      </x:c>
      <x:c r="B62" s="24" t="str">
        <x:v>Red Sea</x:v>
      </x:c>
      <x:c r="C62" s="24" t="str">
        <x:v>LME</x:v>
      </x:c>
      <x:c r="D62" s="30" t="n">
        <x:v>2019</x:v>
      </x:c>
      <x:c r="E62" s="24" t="str">
        <x:v>Gerres oyena</x:v>
      </x:c>
      <x:c r="F62" s="24" t="str">
        <x:v>Common silver-biddy</x:v>
      </x:c>
      <x:c r="G62" s="24" t="str">
        <x:v>Small demersals (&lt;30 cm)</x:v>
      </x:c>
      <x:c r="H62" s="24" t="str">
        <x:v>Perch-likes</x:v>
      </x:c>
      <x:c r="I62" s="31" t="n">
        <x:v>381.64818103309995</x:v>
      </x:c>
      <x:c r="J62" s="31" t="n">
        <x:v>280.0059465024</x:v>
      </x:c>
      <x:c r="K62" s="31" t="n">
        <x:v>101.6422345307</x:v>
      </x:c>
      <x:c r="L62" s="31" t="n">
        <x:v>260.4067586127</x:v>
      </x:c>
      <x:c r="M62" s="31" t="n">
        <x:v>121.2414224204</x:v>
      </x:c>
      <x:c r="N62" s="24" t="str">
        <x:v>gerres oyena</x:v>
      </x:c>
      <x:c r="O62" s="32" t="n">
        <x:v>3.07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Gerres oyena</x:v>
      </x:c>
      <x:c r="T62" s="32" t="n">
        <x:f>IF(O62="","",(1/'Metadata'!$B$5)^(O62-1))</x:f>
        <x:v>117.48975549395291</x:v>
      </x:c>
      <x:c r="U62" s="31" t="n">
        <x:f>IF(T62="","",I62*T62)</x:f>
        <x:v>44839.75147429079</x:v>
      </x:c>
    </x:row>
    <x:row r="63" ht="18" customHeight="1">
      <x:c r="A63" s="24" t="str">
        <x:v>LME_033</x:v>
      </x:c>
      <x:c r="B63" s="24" t="str">
        <x:v>Red Sea</x:v>
      </x:c>
      <x:c r="C63" s="24" t="str">
        <x:v>LME</x:v>
      </x:c>
      <x:c r="D63" s="30" t="n">
        <x:v>2019</x:v>
      </x:c>
      <x:c r="E63" s="24" t="str">
        <x:v>Terapontidae</x:v>
      </x:c>
      <x:c r="F63" s="24" t="str">
        <x:v>Grunters, tigerperches</x:v>
      </x:c>
      <x:c r="G63" s="24" t="str">
        <x:v>Medium demersals (30 - 89 cm)</x:v>
      </x:c>
      <x:c r="H63" s="24" t="str">
        <x:v>Perch-likes</x:v>
      </x:c>
      <x:c r="I63" s="31" t="n">
        <x:v>380.1472293458</x:v>
      </x:c>
      <x:c r="J63" s="31" t="n">
        <x:v>0</x:v>
      </x:c>
      <x:c r="K63" s="31" t="n">
        <x:v>380.1472293458</x:v>
      </x:c>
      <x:c r="L63" s="31" t="n">
        <x:v>0</x:v>
      </x:c>
      <x:c r="M63" s="31" t="n">
        <x:v>380.1472293458</x:v>
      </x:c>
      <x:c r="N63" s="24" t="str">
        <x:v>terapontidae</x:v>
      </x:c>
      <x:c r="O63" s="32" t="n">
        <x:v>3.64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Terapontidae</x:v>
      </x:c>
      <x:c r="T63" s="32" t="n">
        <x:f>IF(O63="","",(1/'Metadata'!$B$5)^(O63-1))</x:f>
        <x:v>436.5158322401661</x:v>
      </x:c>
      <x:c r="U63" s="31" t="n">
        <x:f>IF(T63="","",I63*T63)</x:f>
        <x:v>165940.28419167516</x:v>
      </x:c>
    </x:row>
    <x:row r="64" ht="18" customHeight="1">
      <x:c r="A64" s="24" t="str">
        <x:v>LME_033</x:v>
      </x:c>
      <x:c r="B64" s="24" t="str">
        <x:v>Red Sea</x:v>
      </x:c>
      <x:c r="C64" s="24" t="str">
        <x:v>LME</x:v>
      </x:c>
      <x:c r="D64" s="30" t="n">
        <x:v>2019</x:v>
      </x:c>
      <x:c r="E64" s="24" t="str">
        <x:v>Epinephelus multinotatus</x:v>
      </x:c>
      <x:c r="F64" s="24" t="str">
        <x:v>White-blotched grouper</x:v>
      </x:c>
      <x:c r="G64" s="24" t="str">
        <x:v>Medium reef assoc. fish (30 - 89 cm)</x:v>
      </x:c>
      <x:c r="H64" s="24" t="str">
        <x:v>Perch-likes</x:v>
      </x:c>
      <x:c r="I64" s="31" t="n">
        <x:v>379.9709663745</x:v>
      </x:c>
      <x:c r="J64" s="31" t="n">
        <x:v>379.9709663745</x:v>
      </x:c>
      <x:c r="K64" s="31" t="n">
        <x:v>0</x:v>
      </x:c>
      <x:c r="L64" s="31" t="n">
        <x:v>332.2804399109</x:v>
      </x:c>
      <x:c r="M64" s="31" t="n">
        <x:v>47.6905264636</x:v>
      </x:c>
      <x:c r="N64" s="24" t="str">
        <x:v>epinephelus multinotatus</x:v>
      </x:c>
      <x:c r="O64" s="32" t="n">
        <x:v>3.86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Epinephelus multinotatus</x:v>
      </x:c>
      <x:c r="T64" s="32" t="n">
        <x:f>IF(O64="","",(1/'Metadata'!$B$5)^(O64-1))</x:f>
        <x:v>724.4359600749899</x:v>
      </x:c>
      <x:c r="U64" s="31" t="n">
        <x:f>IF(T64="","",I64*T64)</x:f>
        <x:v>275264.6318261326</x:v>
      </x:c>
    </x:row>
    <x:row r="65" ht="18" customHeight="1">
      <x:c r="A65" s="24" t="str">
        <x:v>LME_033</x:v>
      </x:c>
      <x:c r="B65" s="24" t="str">
        <x:v>Red Sea</x:v>
      </x:c>
      <x:c r="C65" s="24" t="str">
        <x:v>LME</x:v>
      </x:c>
      <x:c r="D65" s="30" t="n">
        <x:v>2019</x:v>
      </x:c>
      <x:c r="E65" s="24" t="str">
        <x:v>Scomberoides commersonnianus</x:v>
      </x:c>
      <x:c r="F65" s="24" t="str">
        <x:v>Talang queenfish</x:v>
      </x:c>
      <x:c r="G65" s="24" t="str">
        <x:v>Large reef assoc. fish (&gt;=90 cm)</x:v>
      </x:c>
      <x:c r="H65" s="24" t="str">
        <x:v>Perch-likes</x:v>
      </x:c>
      <x:c r="I65" s="31" t="n">
        <x:v>339.6103309287</x:v>
      </x:c>
      <x:c r="J65" s="31" t="n">
        <x:v>339.6103309287</x:v>
      </x:c>
      <x:c r="K65" s="31" t="n">
        <x:v>0</x:v>
      </x:c>
      <x:c r="L65" s="31" t="n">
        <x:v>230.4263630865</x:v>
      </x:c>
      <x:c r="M65" s="31" t="n">
        <x:v>109.1839678422</x:v>
      </x:c>
      <x:c r="N65" s="24" t="str">
        <x:v>scomberoides commersonnianus</x:v>
      </x:c>
      <x:c r="O65" s="32" t="n">
        <x:v>4.48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Scomberoides commersonnianus</x:v>
      </x:c>
      <x:c r="T65" s="32" t="n">
        <x:f>IF(O65="","",(1/'Metadata'!$B$5)^(O65-1))</x:f>
        <x:v>3019.951720402019</x:v>
      </x:c>
      <x:c r="U65" s="31" t="n">
        <x:f>IF(T65="","",I65*T65)</x:f>
        <x:v>1025606.8031544266</x:v>
      </x:c>
    </x:row>
    <x:row r="66" ht="18" customHeight="1">
      <x:c r="A66" s="24" t="str">
        <x:v>LME_033</x:v>
      </x:c>
      <x:c r="B66" s="24" t="str">
        <x:v>Red Sea</x:v>
      </x:c>
      <x:c r="C66" s="24" t="str">
        <x:v>LME</x:v>
      </x:c>
      <x:c r="D66" s="30" t="n">
        <x:v>2019</x:v>
      </x:c>
      <x:c r="E66" s="24" t="str">
        <x:v>Lutjanus bohar</x:v>
      </x:c>
      <x:c r="F66" s="24" t="str">
        <x:v>Two-spot red snapper</x:v>
      </x:c>
      <x:c r="G66" s="24" t="str">
        <x:v>Medium reef assoc. fish (30 - 89 cm)</x:v>
      </x:c>
      <x:c r="H66" s="24" t="str">
        <x:v>Perch-likes</x:v>
      </x:c>
      <x:c r="I66" s="31" t="n">
        <x:v>300.92483991070003</x:v>
      </x:c>
      <x:c r="J66" s="31" t="n">
        <x:v>300.92483991070003</x:v>
      </x:c>
      <x:c r="K66" s="31" t="n">
        <x:v>0</x:v>
      </x:c>
      <x:c r="L66" s="31" t="n">
        <x:v>239.8406737521</x:v>
      </x:c>
      <x:c r="M66" s="31" t="n">
        <x:v>61.0841661586</x:v>
      </x:c>
      <x:c r="N66" s="24" t="str">
        <x:v>lutjanus bohar</x:v>
      </x:c>
      <x:c r="O66" s="32" t="n">
        <x:v>4.27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Lutjanus bohar</x:v>
      </x:c>
      <x:c r="T66" s="32" t="n">
        <x:f>IF(O66="","",(1/'Metadata'!$B$5)^(O66-1))</x:f>
        <x:v>1862.0871366628655</x:v>
      </x:c>
      <x:c r="U66" s="31" t="n">
        <x:f>IF(T66="","",I66*T66)</x:f>
        <x:v>560348.2735000466</x:v>
      </x:c>
    </x:row>
    <x:row r="67" ht="18" customHeight="1">
      <x:c r="A67" s="24" t="str">
        <x:v>LME_033</x:v>
      </x:c>
      <x:c r="B67" s="24" t="str">
        <x:v>Red Sea</x:v>
      </x:c>
      <x:c r="C67" s="24" t="str">
        <x:v>LME</x:v>
      </x:c>
      <x:c r="D67" s="30" t="n">
        <x:v>2019</x:v>
      </x:c>
      <x:c r="E67" s="24" t="str">
        <x:v>Scolopsis taeniata</x:v>
      </x:c>
      <x:c r="F67" s="24" t="str">
        <x:v>Black-streaked monocle bream</x:v>
      </x:c>
      <x:c r="G67" s="24" t="str">
        <x:v>Small reef assoc. fish (&lt;30 cm)</x:v>
      </x:c>
      <x:c r="H67" s="24" t="str">
        <x:v>Perch-likes</x:v>
      </x:c>
      <x:c r="I67" s="31" t="n">
        <x:v>297.7427663275</x:v>
      </x:c>
      <x:c r="J67" s="31" t="n">
        <x:v>297.7427663275</x:v>
      </x:c>
      <x:c r="K67" s="31" t="n">
        <x:v>0</x:v>
      </x:c>
      <x:c r="L67" s="31" t="n">
        <x:v>297.7427663275</x:v>
      </x:c>
      <x:c r="M67" s="31" t="n">
        <x:v>0</x:v>
      </x:c>
      <x:c r="N67" s="24" t="str">
        <x:v>scolopsis taeniata</x:v>
      </x:c>
      <x:c r="O67" s="32" t="n">
        <x:v>3.51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Scolopsis taeniata</x:v>
      </x:c>
      <x:c r="T67" s="32" t="n">
        <x:f>IF(O67="","",(1/'Metadata'!$B$5)^(O67-1))</x:f>
        <x:v>323.5936569296281</x:v>
      </x:c>
      <x:c r="U67" s="31" t="n">
        <x:f>IF(T67="","",I67*T67)</x:f>
        <x:v>96347.67058025947</x:v>
      </x:c>
    </x:row>
    <x:row r="68" ht="18" customHeight="1">
      <x:c r="A68" s="24" t="str">
        <x:v>LME_033</x:v>
      </x:c>
      <x:c r="B68" s="24" t="str">
        <x:v>Red Sea</x:v>
      </x:c>
      <x:c r="C68" s="24" t="str">
        <x:v>LME</x:v>
      </x:c>
      <x:c r="D68" s="30" t="n">
        <x:v>2019</x:v>
      </x:c>
      <x:c r="E68" s="24" t="str">
        <x:v>Charybdis hellerii</x:v>
      </x:c>
      <x:c r="F68" s="24" t="str">
        <x:v>Spiny hands</x:v>
      </x:c>
      <x:c r="G68" s="24" t="str">
        <x:v>Lobsters, crabs</x:v>
      </x:c>
      <x:c r="H68" s="24" t="str">
        <x:v>Crustaceans</x:v>
      </x:c>
      <x:c r="I68" s="31" t="n">
        <x:v>289.571953367</x:v>
      </x:c>
      <x:c r="J68" s="31" t="n">
        <x:v>0</x:v>
      </x:c>
      <x:c r="K68" s="31" t="n">
        <x:v>289.571953367</x:v>
      </x:c>
      <x:c r="L68" s="31" t="n">
        <x:v>0</x:v>
      </x:c>
      <x:c r="M68" s="31" t="n">
        <x:v>289.571953367</x:v>
      </x:c>
      <x:c r="N68" s="24" t="str">
        <x:v>charybdis hellerii</x:v>
      </x:c>
      <x:c r="O68" s="32" t="n">
        <x:v>3.33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Charybdis hellerii</x:v>
      </x:c>
      <x:c r="T68" s="32" t="n">
        <x:f>IF(O68="","",(1/'Metadata'!$B$5)^(O68-1))</x:f>
        <x:v>213.79620895022325</x:v>
      </x:c>
      <x:c r="U68" s="31" t="n">
        <x:f>IF(T68="","",I68*T68)</x:f>
        <x:v>61909.38584817543</x:v>
      </x:c>
    </x:row>
    <x:row r="69" ht="18" customHeight="1">
      <x:c r="A69" s="24" t="str">
        <x:v>LME_033</x:v>
      </x:c>
      <x:c r="B69" s="24" t="str">
        <x:v>Red Sea</x:v>
      </x:c>
      <x:c r="C69" s="24" t="str">
        <x:v>LME</x:v>
      </x:c>
      <x:c r="D69" s="30" t="n">
        <x:v>2019</x:v>
      </x:c>
      <x:c r="E69" s="24" t="str">
        <x:v>Plectropomus areolatus</x:v>
      </x:c>
      <x:c r="F69" s="24" t="str">
        <x:v>Squaretail coralgrouper</x:v>
      </x:c>
      <x:c r="G69" s="24" t="str">
        <x:v>Medium reef assoc. fish (30 - 89 cm)</x:v>
      </x:c>
      <x:c r="H69" s="24" t="str">
        <x:v>Perch-likes</x:v>
      </x:c>
      <x:c r="I69" s="31" t="n">
        <x:v>263.6485727682</x:v>
      </x:c>
      <x:c r="J69" s="31" t="n">
        <x:v>263.6485727682</x:v>
      </x:c>
      <x:c r="K69" s="31" t="n">
        <x:v>0</x:v>
      </x:c>
      <x:c r="L69" s="31" t="n">
        <x:v>221.53530693719998</x:v>
      </x:c>
      <x:c r="M69" s="31" t="n">
        <x:v>42.113265831</x:v>
      </x:c>
      <x:c r="N69" s="24" t="str">
        <x:v>plectropomus areolatus</x:v>
      </x:c>
      <x:c r="O69" s="32" t="n">
        <x:v>4.5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Plectropomus areolatus</x:v>
      </x:c>
      <x:c r="T69" s="32" t="n">
        <x:f>IF(O69="","",(1/'Metadata'!$B$5)^(O69-1))</x:f>
        <x:v>3162.2776601683795</x:v>
      </x:c>
      <x:c r="U69" s="31" t="n">
        <x:f>IF(T69="","",I69*T69)</x:f>
        <x:v>833729.9918001562</x:v>
      </x:c>
    </x:row>
    <x:row r="70" ht="18" customHeight="1">
      <x:c r="A70" s="24" t="str">
        <x:v>LME_033</x:v>
      </x:c>
      <x:c r="B70" s="24" t="str">
        <x:v>Red Sea</x:v>
      </x:c>
      <x:c r="C70" s="24" t="str">
        <x:v>LME</x:v>
      </x:c>
      <x:c r="D70" s="30" t="n">
        <x:v>2019</x:v>
      </x:c>
      <x:c r="E70" s="24" t="str">
        <x:v>Siganus</x:v>
      </x:c>
      <x:c r="F70" s="24" t="str">
        <x:v>Spinefoots</x:v>
      </x:c>
      <x:c r="G70" s="24" t="str">
        <x:v>Medium reef assoc. fish (30 - 89 cm)</x:v>
      </x:c>
      <x:c r="H70" s="24" t="str">
        <x:v>Perch-likes</x:v>
      </x:c>
      <x:c r="I70" s="31" t="n">
        <x:v>259.0689960455</x:v>
      </x:c>
      <x:c r="J70" s="31" t="n">
        <x:v>259.0689960455</x:v>
      </x:c>
      <x:c r="K70" s="31" t="n">
        <x:v>0</x:v>
      </x:c>
      <x:c r="L70" s="31" t="n">
        <x:v>220.19715104</x:v>
      </x:c>
      <x:c r="M70" s="31" t="n">
        <x:v>38.8718450055</x:v>
      </x:c>
      <x:c r="N70" s="24" t="str">
        <x:v>siganus</x:v>
      </x:c>
      <x:c r="O70" s="32" t="n">
        <x:v>2.11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Siganus</x:v>
      </x:c>
      <x:c r="T70" s="32" t="n">
        <x:f>IF(O70="","",(1/'Metadata'!$B$5)^(O70-1))</x:f>
        <x:v>12.882495516931336</x:v>
      </x:c>
      <x:c r="U70" s="31" t="n">
        <x:f>IF(T70="","",I70*T70)</x:f>
        <x:v>3337.455180132056</x:v>
      </x:c>
    </x:row>
    <x:row r="71" ht="18" customHeight="1">
      <x:c r="A71" s="24" t="str">
        <x:v>LME_033</x:v>
      </x:c>
      <x:c r="B71" s="24" t="str">
        <x:v>Red Sea</x:v>
      </x:c>
      <x:c r="C71" s="24" t="str">
        <x:v>LME</x:v>
      </x:c>
      <x:c r="D71" s="30" t="n">
        <x:v>2019</x:v>
      </x:c>
      <x:c r="E71" s="24" t="str">
        <x:v>Platycephalidae</x:v>
      </x:c>
      <x:c r="F71" s="24" t="str">
        <x:v>Flatheads</x:v>
      </x:c>
      <x:c r="G71" s="24" t="str">
        <x:v>Medium demersals (30 - 89 cm)</x:v>
      </x:c>
      <x:c r="H71" s="24" t="str">
        <x:v>Scorpionfishes</x:v>
      </x:c>
      <x:c r="I71" s="31" t="n">
        <x:v>250.9686733924</x:v>
      </x:c>
      <x:c r="J71" s="31" t="n">
        <x:v>93.2690710258</x:v>
      </x:c>
      <x:c r="K71" s="31" t="n">
        <x:v>157.6996023666</x:v>
      </x:c>
      <x:c r="L71" s="31" t="n">
        <x:v>93.2690710258</x:v>
      </x:c>
      <x:c r="M71" s="31" t="n">
        <x:v>157.6996023666</x:v>
      </x:c>
      <x:c r="N71" s="24" t="str">
        <x:v>platycephalidae</x:v>
      </x:c>
      <x:c r="O71" s="32" t="n">
        <x:v>3.9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Platycephalidae</x:v>
      </x:c>
      <x:c r="T71" s="32" t="n">
        <x:f>IF(O71="","",(1/'Metadata'!$B$5)^(O71-1))</x:f>
        <x:v>794.3282347242813</x:v>
      </x:c>
      <x:c r="U71" s="31" t="n">
        <x:f>IF(T71="","",I71*T71)</x:f>
        <x:v>199351.5033068798</x:v>
      </x:c>
    </x:row>
    <x:row r="72" ht="18" customHeight="1">
      <x:c r="A72" s="24" t="str">
        <x:v>LME_033</x:v>
      </x:c>
      <x:c r="B72" s="24" t="str">
        <x:v>Red Sea</x:v>
      </x:c>
      <x:c r="C72" s="24" t="str">
        <x:v>LME</x:v>
      </x:c>
      <x:c r="D72" s="30" t="n">
        <x:v>2019</x:v>
      </x:c>
      <x:c r="E72" s="24" t="str">
        <x:v>Haemulidae</x:v>
      </x:c>
      <x:c r="F72" s="24" t="str">
        <x:v>Grunts, sweetlips, bonnetmouths</x:v>
      </x:c>
      <x:c r="G72" s="24" t="str">
        <x:v>Medium demersals (30 - 89 cm)</x:v>
      </x:c>
      <x:c r="H72" s="24" t="str">
        <x:v>Perch-likes</x:v>
      </x:c>
      <x:c r="I72" s="31" t="n">
        <x:v>246.5144711062</x:v>
      </x:c>
      <x:c r="J72" s="31" t="n">
        <x:v>246.4925815497</x:v>
      </x:c>
      <x:c r="K72" s="31" t="n">
        <x:v>0.0218895565</x:v>
      </x:c>
      <x:c r="L72" s="31" t="n">
        <x:v>185.4040253626</x:v>
      </x:c>
      <x:c r="M72" s="31" t="n">
        <x:v>61.1104457436</x:v>
      </x:c>
      <x:c r="N72" s="24" t="str">
        <x:v>haemulidae</x:v>
      </x:c>
      <x:c r="O72" s="32" t="n">
        <x:v>3.36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Haemulidae</x:v>
      </x:c>
      <x:c r="T72" s="32" t="n">
        <x:f>IF(O72="","",(1/'Metadata'!$B$5)^(O72-1))</x:f>
        <x:v>229.08676527677724</x:v>
      </x:c>
      <x:c r="U72" s="31" t="n">
        <x:f>IF(T72="","",I72*T72)</x:f>
        <x:v>56473.20277963493</x:v>
      </x:c>
    </x:row>
    <x:row r="73" ht="18" customHeight="1">
      <x:c r="A73" s="24" t="str">
        <x:v>LME_033</x:v>
      </x:c>
      <x:c r="B73" s="24" t="str">
        <x:v>Red Sea</x:v>
      </x:c>
      <x:c r="C73" s="24" t="str">
        <x:v>LME</x:v>
      </x:c>
      <x:c r="D73" s="30" t="n">
        <x:v>2019</x:v>
      </x:c>
      <x:c r="E73" s="24" t="str">
        <x:v>Lutjanus quinquelineatus</x:v>
      </x:c>
      <x:c r="F73" s="24" t="str">
        <x:v>Five-lined snapper</x:v>
      </x:c>
      <x:c r="G73" s="24" t="str">
        <x:v>Medium reef assoc. fish (30 - 89 cm)</x:v>
      </x:c>
      <x:c r="H73" s="24" t="str">
        <x:v>Perch-likes</x:v>
      </x:c>
      <x:c r="I73" s="31" t="n">
        <x:v>245.3894427262</x:v>
      </x:c>
      <x:c r="J73" s="31" t="n">
        <x:v>245.3894427262</x:v>
      </x:c>
      <x:c r="K73" s="31" t="n">
        <x:v>0</x:v>
      </x:c>
      <x:c r="L73" s="31" t="n">
        <x:v>212.88465592690002</x:v>
      </x:c>
      <x:c r="M73" s="31" t="n">
        <x:v>32.5047867993</x:v>
      </x:c>
      <x:c r="N73" s="24" t="str">
        <x:v>lutjanus quinquelineatus</x:v>
      </x:c>
      <x:c r="O73" s="32" t="n">
        <x:v>3.68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Lutjanus quinquelineatus</x:v>
      </x:c>
      <x:c r="T73" s="32" t="n">
        <x:f>IF(O73="","",(1/'Metadata'!$B$5)^(O73-1))</x:f>
        <x:v>478.6300923226385</x:v>
      </x:c>
      <x:c r="U73" s="31" t="n">
        <x:f>IF(T73="","",I73*T73)</x:f>
        <x:v>117450.77162704192</x:v>
      </x:c>
    </x:row>
    <x:row r="74" ht="18" customHeight="1">
      <x:c r="A74" s="24" t="str">
        <x:v>LME_033</x:v>
      </x:c>
      <x:c r="B74" s="24" t="str">
        <x:v>Red Sea</x:v>
      </x:c>
      <x:c r="C74" s="24" t="str">
        <x:v>LME</x:v>
      </x:c>
      <x:c r="D74" s="30" t="n">
        <x:v>2019</x:v>
      </x:c>
      <x:c r="E74" s="24" t="str">
        <x:v>Pomadasys argenteus</x:v>
      </x:c>
      <x:c r="F74" s="24" t="str">
        <x:v>Silver grunt</x:v>
      </x:c>
      <x:c r="G74" s="24" t="str">
        <x:v>Medium demersals (30 - 89 cm)</x:v>
      </x:c>
      <x:c r="H74" s="24" t="str">
        <x:v>Perch-likes</x:v>
      </x:c>
      <x:c r="I74" s="31" t="n">
        <x:v>242.28630489850002</x:v>
      </x:c>
      <x:c r="J74" s="31" t="n">
        <x:v>242.28630489850002</x:v>
      </x:c>
      <x:c r="K74" s="31" t="n">
        <x:v>0</x:v>
      </x:c>
      <x:c r="L74" s="31" t="n">
        <x:v>214.1512292904</x:v>
      </x:c>
      <x:c r="M74" s="31" t="n">
        <x:v>28.1350756081</x:v>
      </x:c>
      <x:c r="N74" s="24" t="str">
        <x:v>pomadasys argenteus</x:v>
      </x:c>
      <x:c r="O74" s="32" t="n">
        <x:v>3.47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Pomadasys argenteus</x:v>
      </x:c>
      <x:c r="T74" s="32" t="n">
        <x:f>IF(O74="","",(1/'Metadata'!$B$5)^(O74-1))</x:f>
        <x:v>295.1209226666387</x:v>
      </x:c>
      <x:c r="U74" s="31" t="n">
        <x:f>IF(T74="","",I74*T74)</x:f>
        <x:v>71503.75785113587</x:v>
      </x:c>
    </x:row>
    <x:row r="75" ht="18" customHeight="1">
      <x:c r="A75" s="24" t="str">
        <x:v>LME_033</x:v>
      </x:c>
      <x:c r="B75" s="24" t="str">
        <x:v>Red Sea</x:v>
      </x:c>
      <x:c r="C75" s="24" t="str">
        <x:v>LME</x:v>
      </x:c>
      <x:c r="D75" s="30" t="n">
        <x:v>2019</x:v>
      </x:c>
      <x:c r="E75" s="24" t="str">
        <x:v>Katsuwonus pelamis</x:v>
      </x:c>
      <x:c r="F75" s="24" t="str">
        <x:v>Skipjack tuna</x:v>
      </x:c>
      <x:c r="G75" s="24" t="str">
        <x:v>Large pelagics (&gt;=90 cm)</x:v>
      </x:c>
      <x:c r="H75" s="24" t="str">
        <x:v>Tuna &amp; billfishes</x:v>
      </x:c>
      <x:c r="I75" s="31" t="n">
        <x:v>235.69912166400002</x:v>
      </x:c>
      <x:c r="J75" s="31" t="n">
        <x:v>235.69912166400002</x:v>
      </x:c>
      <x:c r="K75" s="31" t="n">
        <x:v>0</x:v>
      </x:c>
      <x:c r="L75" s="31" t="n">
        <x:v>232.716913725</x:v>
      </x:c>
      <x:c r="M75" s="31" t="n">
        <x:v>2.9822079390000003</x:v>
      </x:c>
      <x:c r="N75" s="24" t="str">
        <x:v>katsuwonus pelamis</x:v>
      </x:c>
      <x:c r="O75" s="32" t="n">
        <x:v>4.43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Katsuwonus pelamis</x:v>
      </x:c>
      <x:c r="T75" s="32" t="n">
        <x:f>IF(O75="","",(1/'Metadata'!$B$5)^(O75-1))</x:f>
        <x:v>2691.534803926914</x:v>
      </x:c>
      <x:c r="U75" s="31" t="n">
        <x:f>IF(T75="","",I75*T75)</x:f>
        <x:v>634392.38921366</x:v>
      </x:c>
    </x:row>
    <x:row r="76" ht="18" customHeight="1">
      <x:c r="A76" s="24" t="str">
        <x:v>LME_033</x:v>
      </x:c>
      <x:c r="B76" s="24" t="str">
        <x:v>Red Sea</x:v>
      </x:c>
      <x:c r="C76" s="24" t="str">
        <x:v>LME</x:v>
      </x:c>
      <x:c r="D76" s="30" t="n">
        <x:v>2019</x:v>
      </x:c>
      <x:c r="E76" s="24" t="str">
        <x:v>Naso unicornis</x:v>
      </x:c>
      <x:c r="F76" s="24" t="str">
        <x:v>Bluespine unicornfish</x:v>
      </x:c>
      <x:c r="G76" s="24" t="str">
        <x:v>Medium reef assoc. fish (30 - 89 cm)</x:v>
      </x:c>
      <x:c r="H76" s="24" t="str">
        <x:v>Perch-likes</x:v>
      </x:c>
      <x:c r="I76" s="31" t="n">
        <x:v>233.5770125536</x:v>
      </x:c>
      <x:c r="J76" s="31" t="n">
        <x:v>233.5770125536</x:v>
      </x:c>
      <x:c r="K76" s="31" t="n">
        <x:v>0</x:v>
      </x:c>
      <x:c r="L76" s="31" t="n">
        <x:v>207.1287247629</x:v>
      </x:c>
      <x:c r="M76" s="31" t="n">
        <x:v>26.448287790699997</x:v>
      </x:c>
      <x:c r="N76" s="24" t="str">
        <x:v>naso unicornis</x:v>
      </x:c>
      <x:c r="O76" s="32" t="n">
        <x:v>2.17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Naso unicornis</x:v>
      </x:c>
      <x:c r="T76" s="32" t="n">
        <x:f>IF(O76="","",(1/'Metadata'!$B$5)^(O76-1))</x:f>
        <x:v>14.791083881682072</x:v>
      </x:c>
      <x:c r="U76" s="31" t="n">
        <x:f>IF(T76="","",I76*T76)</x:f>
        <x:v>3454.857185513004</x:v>
      </x:c>
    </x:row>
    <x:row r="77" ht="18" customHeight="1">
      <x:c r="A77" s="24" t="str">
        <x:v>LME_033</x:v>
      </x:c>
      <x:c r="B77" s="24" t="str">
        <x:v>Red Sea</x:v>
      </x:c>
      <x:c r="C77" s="24" t="str">
        <x:v>LME</x:v>
      </x:c>
      <x:c r="D77" s="30" t="n">
        <x:v>2019</x:v>
      </x:c>
      <x:c r="E77" s="24" t="str">
        <x:v>Plectropomus pessuliferus</x:v>
      </x:c>
      <x:c r="F77" s="24" t="str">
        <x:v>Roving coralgrouper</x:v>
      </x:c>
      <x:c r="G77" s="24" t="str">
        <x:v>Large reef assoc. fish (&gt;=90 cm)</x:v>
      </x:c>
      <x:c r="H77" s="24" t="str">
        <x:v>Perch-likes</x:v>
      </x:c>
      <x:c r="I77" s="31" t="n">
        <x:v>231.8113620802</x:v>
      </x:c>
      <x:c r="J77" s="31" t="n">
        <x:v>231.8113620802</x:v>
      </x:c>
      <x:c r="K77" s="31" t="n">
        <x:v>0</x:v>
      </x:c>
      <x:c r="L77" s="31" t="n">
        <x:v>197.1191373871</x:v>
      </x:c>
      <x:c r="M77" s="31" t="n">
        <x:v>34.6922246931</x:v>
      </x:c>
      <x:c r="N77" s="24" t="str">
        <x:v>plectropomus pessuliferus</x:v>
      </x:c>
      <x:c r="O77" s="32" t="n">
        <x:v>4.28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Plectropomus pessuliferus</x:v>
      </x:c>
      <x:c r="T77" s="32" t="n">
        <x:f>IF(O77="","",(1/'Metadata'!$B$5)^(O77-1))</x:f>
        <x:v>1905.4607179632483</x:v>
      </x:c>
      <x:c r="U77" s="31" t="n">
        <x:f>IF(T77="","",I77*T77)</x:f>
        <x:v>441707.4444213764</x:v>
      </x:c>
    </x:row>
    <x:row r="78" ht="18" customHeight="1">
      <x:c r="A78" s="24" t="str">
        <x:v>LME_033</x:v>
      </x:c>
      <x:c r="B78" s="24" t="str">
        <x:v>Red Sea</x:v>
      </x:c>
      <x:c r="C78" s="24" t="str">
        <x:v>LME</x:v>
      </x:c>
      <x:c r="D78" s="30" t="n">
        <x:v>2019</x:v>
      </x:c>
      <x:c r="E78" s="24" t="str">
        <x:v>Aphareus rutilans</x:v>
      </x:c>
      <x:c r="F78" s="24" t="str">
        <x:v>Rusty jobfish</x:v>
      </x:c>
      <x:c r="G78" s="24" t="str">
        <x:v>Medium reef assoc. fish (30 - 89 cm)</x:v>
      </x:c>
      <x:c r="H78" s="24" t="str">
        <x:v>Perch-likes</x:v>
      </x:c>
      <x:c r="I78" s="31" t="n">
        <x:v>227.8177230853</x:v>
      </x:c>
      <x:c r="J78" s="31" t="n">
        <x:v>227.8177230853</x:v>
      </x:c>
      <x:c r="K78" s="31" t="n">
        <x:v>0</x:v>
      </x:c>
      <x:c r="L78" s="31" t="n">
        <x:v>205.8061332151</x:v>
      </x:c>
      <x:c r="M78" s="31" t="n">
        <x:v>22.0115898702</x:v>
      </x:c>
      <x:c r="N78" s="24" t="str">
        <x:v>aphareus rutilans</x:v>
      </x:c>
      <x:c r="O78" s="32" t="n">
        <x:v>4.11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Aphareus rutilans</x:v>
      </x:c>
      <x:c r="T78" s="32" t="n">
        <x:f>IF(O78="","",(1/'Metadata'!$B$5)^(O78-1))</x:f>
        <x:v>1288.249551693135</x:v>
      </x:c>
      <x:c r="U78" s="31" t="n">
        <x:f>IF(T78="","",I78*T78)</x:f>
        <x:v>293486.0796323885</x:v>
      </x:c>
    </x:row>
    <x:row r="79" ht="18" customHeight="1">
      <x:c r="A79" s="24" t="str">
        <x:v>LME_033</x:v>
      </x:c>
      <x:c r="B79" s="24" t="str">
        <x:v>Red Sea</x:v>
      </x:c>
      <x:c r="C79" s="24" t="str">
        <x:v>LME</x:v>
      </x:c>
      <x:c r="D79" s="30" t="n">
        <x:v>2019</x:v>
      </x:c>
      <x:c r="E79" s="24" t="str">
        <x:v>Moolgarda seheli</x:v>
      </x:c>
      <x:c r="F79" s="24" t="str">
        <x:v>Bluespot mullet</x:v>
      </x:c>
      <x:c r="G79" s="24" t="str">
        <x:v>Medium reef assoc. fish (30 - 89 cm)</x:v>
      </x:c>
      <x:c r="H79" s="24" t="str">
        <x:v>Perch-likes</x:v>
      </x:c>
      <x:c r="I79" s="31" t="n">
        <x:v>226.2147582958</x:v>
      </x:c>
      <x:c r="J79" s="31" t="n">
        <x:v>226.2147582958</x:v>
      </x:c>
      <x:c r="K79" s="31" t="n">
        <x:v>0</x:v>
      </x:c>
      <x:c r="L79" s="31" t="n">
        <x:v>189.0403527667</x:v>
      </x:c>
      <x:c r="M79" s="31" t="n">
        <x:v>37.1744055291</x:v>
      </x:c>
      <x:c r="N79" s="24" t="str">
        <x:v>moolgarda seheli</x:v>
      </x:c>
      <x:c r="O79" s="32" t="n">
        <x:v>2.32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Moolgarda seheli</x:v>
      </x:c>
      <x:c r="T79" s="32" t="n">
        <x:f>IF(O79="","",(1/'Metadata'!$B$5)^(O79-1))</x:f>
        <x:v>20.892961308540386</x:v>
      </x:c>
      <x:c r="U79" s="31" t="n">
        <x:f>IF(T79="","",I79*T79)</x:f>
        <x:v>4726.296192494965</x:v>
      </x:c>
    </x:row>
    <x:row r="80" ht="18" customHeight="1">
      <x:c r="A80" s="24" t="str">
        <x:v>LME_033</x:v>
      </x:c>
      <x:c r="B80" s="24" t="str">
        <x:v>Red Sea</x:v>
      </x:c>
      <x:c r="C80" s="24" t="str">
        <x:v>LME</x:v>
      </x:c>
      <x:c r="D80" s="30" t="n">
        <x:v>2019</x:v>
      </x:c>
      <x:c r="E80" s="24" t="str">
        <x:v>Gerreidae</x:v>
      </x:c>
      <x:c r="F80" s="24" t="str">
        <x:v>Mojarras, silverbellies</x:v>
      </x:c>
      <x:c r="G80" s="24" t="str">
        <x:v>Small benthopelagics (&lt;30 cm)</x:v>
      </x:c>
      <x:c r="H80" s="24" t="str">
        <x:v>Perch-likes</x:v>
      </x:c>
      <x:c r="I80" s="31" t="n">
        <x:v>221.4784142006</x:v>
      </x:c>
      <x:c r="J80" s="31" t="n">
        <x:v>0</x:v>
      </x:c>
      <x:c r="K80" s="31" t="n">
        <x:v>221.4784142006</x:v>
      </x:c>
      <x:c r="L80" s="31" t="n">
        <x:v>0</x:v>
      </x:c>
      <x:c r="M80" s="31" t="n">
        <x:v>221.4784142006</x:v>
      </x:c>
      <x:c r="N80" s="24" t="str">
        <x:v>gerreidae</x:v>
      </x:c>
      <x:c r="O80" s="32" t="n">
        <x:v>3.03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Gerreidae</x:v>
      </x:c>
      <x:c r="T80" s="32" t="n">
        <x:f>IF(O80="","",(1/'Metadata'!$B$5)^(O80-1))</x:f>
        <x:v>107.1519305237606</x:v>
      </x:c>
      <x:c r="U80" s="31" t="n">
        <x:f>IF(T80="","",I80*T80)</x:f>
        <x:v>23731.839650935366</x:v>
      </x:c>
    </x:row>
    <x:row r="81" ht="18" customHeight="1">
      <x:c r="A81" s="24" t="str">
        <x:v>LME_033</x:v>
      </x:c>
      <x:c r="B81" s="24" t="str">
        <x:v>Red Sea</x:v>
      </x:c>
      <x:c r="C81" s="24" t="str">
        <x:v>LME</x:v>
      </x:c>
      <x:c r="D81" s="30" t="n">
        <x:v>2019</x:v>
      </x:c>
      <x:c r="E81" s="24" t="str">
        <x:v>Trichiuridae</x:v>
      </x:c>
      <x:c r="F81" s="24" t="str">
        <x:v>Cutlassfishes</x:v>
      </x:c>
      <x:c r="G81" s="24" t="str">
        <x:v>Large benthopelagics (&gt;=90 cm)</x:v>
      </x:c>
      <x:c r="H81" s="24" t="str">
        <x:v>Perch-likes</x:v>
      </x:c>
      <x:c r="I81" s="31" t="n">
        <x:v>221.395785164</x:v>
      </x:c>
      <x:c r="J81" s="31" t="n">
        <x:v>0</x:v>
      </x:c>
      <x:c r="K81" s="31" t="n">
        <x:v>221.395785164</x:v>
      </x:c>
      <x:c r="L81" s="31" t="n">
        <x:v>0</x:v>
      </x:c>
      <x:c r="M81" s="31" t="n">
        <x:v>221.395785164</x:v>
      </x:c>
      <x:c r="N81" s="24" t="str">
        <x:v>trichiuridae</x:v>
      </x:c>
      <x:c r="O81" s="32" t="n">
        <x:v>4.15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Trichiuridae</x:v>
      </x:c>
      <x:c r="T81" s="32" t="n">
        <x:f>IF(O81="","",(1/'Metadata'!$B$5)^(O81-1))</x:f>
        <x:v>1412.5375446227554</x:v>
      </x:c>
      <x:c r="U81" s="31" t="n">
        <x:f>IF(T81="","",I81*T81)</x:f>
        <x:v>312729.8587653836</x:v>
      </x:c>
    </x:row>
    <x:row r="82" ht="18" customHeight="1">
      <x:c r="A82" s="24" t="str">
        <x:v>LME_033</x:v>
      </x:c>
      <x:c r="B82" s="24" t="str">
        <x:v>Red Sea</x:v>
      </x:c>
      <x:c r="C82" s="24" t="str">
        <x:v>LME</x:v>
      </x:c>
      <x:c r="D82" s="30" t="n">
        <x:v>2019</x:v>
      </x:c>
      <x:c r="E82" s="24" t="str">
        <x:v>Belonidae</x:v>
      </x:c>
      <x:c r="F82" s="24" t="str">
        <x:v>Needlefishes, garfishes</x:v>
      </x:c>
      <x:c r="G82" s="24" t="str">
        <x:v>Medium pelagics (30 - 89 cm)</x:v>
      </x:c>
      <x:c r="H82" s="24" t="str">
        <x:v>Other fishes &amp; inverts</x:v>
      </x:c>
      <x:c r="I82" s="31" t="n">
        <x:v>213.4945347197</x:v>
      </x:c>
      <x:c r="J82" s="31" t="n">
        <x:v>213.4945347197</x:v>
      </x:c>
      <x:c r="K82" s="31" t="n">
        <x:v>0</x:v>
      </x:c>
      <x:c r="L82" s="31" t="n">
        <x:v>213.4945347197</x:v>
      </x:c>
      <x:c r="M82" s="31" t="n">
        <x:v>0</x:v>
      </x:c>
      <x:c r="N82" s="24" t="str">
        <x:v>belonidae</x:v>
      </x:c>
      <x:c r="O82" s="32" t="n">
        <x:v>4.38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Belonidae</x:v>
      </x:c>
      <x:c r="T82" s="32" t="n">
        <x:f>IF(O82="","",(1/'Metadata'!$B$5)^(O82-1))</x:f>
        <x:v>2398.83291901949</x:v>
      </x:c>
      <x:c r="U82" s="31" t="n">
        <x:f>IF(T82="","",I82*T82)</x:f>
        <x:v>512137.7179163658</x:v>
      </x:c>
    </x:row>
    <x:row r="83" ht="18" customHeight="1">
      <x:c r="A83" s="24" t="str">
        <x:v>LME_033</x:v>
      </x:c>
      <x:c r="B83" s="24" t="str">
        <x:v>Red Sea</x:v>
      </x:c>
      <x:c r="C83" s="24" t="str">
        <x:v>LME</x:v>
      </x:c>
      <x:c r="D83" s="30" t="n">
        <x:v>2019</x:v>
      </x:c>
      <x:c r="E83" s="24" t="str">
        <x:v>Cephalopholis miniata</x:v>
      </x:c>
      <x:c r="F83" s="24" t="str">
        <x:v>Coral hind</x:v>
      </x:c>
      <x:c r="G83" s="24" t="str">
        <x:v>Medium reef assoc. fish (30 - 89 cm)</x:v>
      </x:c>
      <x:c r="H83" s="24" t="str">
        <x:v>Perch-likes</x:v>
      </x:c>
      <x:c r="I83" s="31" t="n">
        <x:v>211.92441023319998</x:v>
      </x:c>
      <x:c r="J83" s="31" t="n">
        <x:v>211.92441023319998</x:v>
      </x:c>
      <x:c r="K83" s="31" t="n">
        <x:v>0</x:v>
      </x:c>
      <x:c r="L83" s="31" t="n">
        <x:v>185.38673461329998</x:v>
      </x:c>
      <x:c r="M83" s="31" t="n">
        <x:v>26.5376756199</x:v>
      </x:c>
      <x:c r="N83" s="24" t="str">
        <x:v>cephalopholis miniata</x:v>
      </x:c>
      <x:c r="O83" s="32" t="n">
        <x:v>4.29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Cephalopholis miniata</x:v>
      </x:c>
      <x:c r="T83" s="32" t="n">
        <x:f>IF(O83="","",(1/'Metadata'!$B$5)^(O83-1))</x:f>
        <x:v>1949.8445997580454</x:v>
      </x:c>
      <x:c r="U83" s="31" t="n">
        <x:f>IF(T83="","",I83*T83)</x:f>
        <x:v>413219.66685011366</x:v>
      </x:c>
    </x:row>
    <x:row r="84" ht="18" customHeight="1">
      <x:c r="A84" s="24" t="str">
        <x:v>LME_033</x:v>
      </x:c>
      <x:c r="B84" s="24" t="str">
        <x:v>Red Sea</x:v>
      </x:c>
      <x:c r="C84" s="24" t="str">
        <x:v>LME</x:v>
      </x:c>
      <x:c r="D84" s="30" t="n">
        <x:v>2019</x:v>
      </x:c>
      <x:c r="E84" s="24" t="str">
        <x:v>Sepiida</x:v>
      </x:c>
      <x:c r="F84" s="24" t="str">
        <x:v>Cuttlefishes, bobtail squids</x:v>
      </x:c>
      <x:c r="G84" s="24" t="str">
        <x:v>Cephalopods</x:v>
      </x:c>
      <x:c r="H84" s="24" t="str">
        <x:v>Other fishes &amp; inverts</x:v>
      </x:c>
      <x:c r="I84" s="31" t="n">
        <x:v>204.2939080663</x:v>
      </x:c>
      <x:c r="J84" s="31" t="n">
        <x:v>204.2939080663</x:v>
      </x:c>
      <x:c r="K84" s="31" t="n">
        <x:v>0</x:v>
      </x:c>
      <x:c r="L84" s="31" t="n">
        <x:v>186.5819138551</x:v>
      </x:c>
      <x:c r="M84" s="31" t="n">
        <x:v>17.7119942112</x:v>
      </x:c>
      <x:c r="N84" s="24" t="str">
        <x:v>sepiida</x:v>
      </x:c>
      <x:c r="O84" s="32" t="n">
        <x:v>3.7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Sepiida</x:v>
      </x:c>
      <x:c r="T84" s="32" t="n">
        <x:f>IF(O84="","",(1/'Metadata'!$B$5)^(O84-1))</x:f>
        <x:v>501.18723362727246</x:v>
      </x:c>
      <x:c r="U84" s="31" t="n">
        <x:f>IF(T84="","",I84*T84)</x:f>
        <x:v>102389.49863065322</x:v>
      </x:c>
    </x:row>
    <x:row r="85" ht="18" customHeight="1">
      <x:c r="A85" s="24" t="str">
        <x:v>LME_033</x:v>
      </x:c>
      <x:c r="B85" s="24" t="str">
        <x:v>Red Sea</x:v>
      </x:c>
      <x:c r="C85" s="24" t="str">
        <x:v>LME</x:v>
      </x:c>
      <x:c r="D85" s="30" t="n">
        <x:v>2019</x:v>
      </x:c>
      <x:c r="E85" s="24" t="str">
        <x:v>Xiphias gladius</x:v>
      </x:c>
      <x:c r="F85" s="24" t="str">
        <x:v>Swordfish</x:v>
      </x:c>
      <x:c r="G85" s="24" t="str">
        <x:v>Large pelagics (&gt;=90 cm)</x:v>
      </x:c>
      <x:c r="H85" s="24" t="str">
        <x:v>Tuna &amp; billfishes</x:v>
      </x:c>
      <x:c r="I85" s="31" t="n">
        <x:v>203.861119779</x:v>
      </x:c>
      <x:c r="J85" s="31" t="n">
        <x:v>203.861119779</x:v>
      </x:c>
      <x:c r="K85" s="31" t="n">
        <x:v>0</x:v>
      </x:c>
      <x:c r="L85" s="31" t="n">
        <x:v>203.861119779</x:v>
      </x:c>
      <x:c r="M85" s="31" t="n">
        <x:v>0</x:v>
      </x:c>
      <x:c r="N85" s="24" t="str">
        <x:v>xiphias gladius</x:v>
      </x:c>
      <x:c r="O85" s="32" t="n">
        <x:v>4.53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Xiphias gladius</x:v>
      </x:c>
      <x:c r="T85" s="32" t="n">
        <x:f>IF(O85="","",(1/'Metadata'!$B$5)^(O85-1))</x:f>
        <x:v>3388.4415613920273</x:v>
      </x:c>
      <x:c r="U85" s="31" t="n">
        <x:f>IF(T85="","",I85*T85)</x:f>
        <x:v>690771.4910110818</x:v>
      </x:c>
    </x:row>
    <x:row r="86" ht="18" customHeight="1">
      <x:c r="A86" s="24" t="str">
        <x:v>LME_033</x:v>
      </x:c>
      <x:c r="B86" s="24" t="str">
        <x:v>Red Sea</x:v>
      </x:c>
      <x:c r="C86" s="24" t="str">
        <x:v>LME</x:v>
      </x:c>
      <x:c r="D86" s="30" t="n">
        <x:v>2019</x:v>
      </x:c>
      <x:c r="E86" s="24" t="str">
        <x:v>Lutjanus gibbus</x:v>
      </x:c>
      <x:c r="F86" s="24" t="str">
        <x:v>Humpback red snapper</x:v>
      </x:c>
      <x:c r="G86" s="24" t="str">
        <x:v>Medium reef assoc. fish (30 - 89 cm)</x:v>
      </x:c>
      <x:c r="H86" s="24" t="str">
        <x:v>Perch-likes</x:v>
      </x:c>
      <x:c r="I86" s="31" t="n">
        <x:v>202.3413602865</x:v>
      </x:c>
      <x:c r="J86" s="31" t="n">
        <x:v>202.3413602865</x:v>
      </x:c>
      <x:c r="K86" s="31" t="n">
        <x:v>0</x:v>
      </x:c>
      <x:c r="L86" s="31" t="n">
        <x:v>164.1485220603</x:v>
      </x:c>
      <x:c r="M86" s="31" t="n">
        <x:v>38.1928382262</x:v>
      </x:c>
      <x:c r="N86" s="24" t="str">
        <x:v>lutjanus gibbus</x:v>
      </x:c>
      <x:c r="O86" s="32" t="n">
        <x:v>4.12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Lutjanus gibbus</x:v>
      </x:c>
      <x:c r="T86" s="32" t="n">
        <x:f>IF(O86="","",(1/'Metadata'!$B$5)^(O86-1))</x:f>
        <x:v>1318.2567385564075</x:v>
      </x:c>
      <x:c r="U86" s="31" t="n">
        <x:f>IF(T86="","",I86*T86)</x:f>
        <x:v>266737.8616863485</x:v>
      </x:c>
    </x:row>
    <x:row r="87" ht="18" customHeight="1">
      <x:c r="A87" s="24" t="str">
        <x:v>LME_033</x:v>
      </x:c>
      <x:c r="B87" s="24" t="str">
        <x:v>Red Sea</x:v>
      </x:c>
      <x:c r="C87" s="24" t="str">
        <x:v>LME</x:v>
      </x:c>
      <x:c r="D87" s="30" t="n">
        <x:v>2019</x:v>
      </x:c>
      <x:c r="E87" s="24" t="str">
        <x:v>Trichiurus lepturus</x:v>
      </x:c>
      <x:c r="F87" s="24" t="str">
        <x:v>Largehead hairtail</x:v>
      </x:c>
      <x:c r="G87" s="24" t="str">
        <x:v>Large benthopelagics (&gt;=90 cm)</x:v>
      </x:c>
      <x:c r="H87" s="24" t="str">
        <x:v>Perch-likes</x:v>
      </x:c>
      <x:c r="I87" s="31" t="n">
        <x:v>195.7745569792</x:v>
      </x:c>
      <x:c r="J87" s="31" t="n">
        <x:v>195.7745569792</x:v>
      </x:c>
      <x:c r="K87" s="31" t="n">
        <x:v>0</x:v>
      </x:c>
      <x:c r="L87" s="31" t="n">
        <x:v>195.7745569792</x:v>
      </x:c>
      <x:c r="M87" s="31" t="n">
        <x:v>0</x:v>
      </x:c>
      <x:c r="N87" s="24" t="str">
        <x:v>trichiurus lepturus</x:v>
      </x:c>
      <x:c r="O87" s="32" t="n">
        <x:v>4.42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Trichiurus lepturus</x:v>
      </x:c>
      <x:c r="T87" s="32" t="n">
        <x:f>IF(O87="","",(1/'Metadata'!$B$5)^(O87-1))</x:f>
        <x:v>2630.2679918953813</x:v>
      </x:c>
      <x:c r="U87" s="31" t="n">
        <x:f>IF(T87="","",I87*T87)</x:f>
        <x:v>514939.55084988836</x:v>
      </x:c>
    </x:row>
    <x:row r="88" ht="18" customHeight="1">
      <x:c r="A88" s="24" t="str">
        <x:v>LME_033</x:v>
      </x:c>
      <x:c r="B88" s="24" t="str">
        <x:v>Red Sea</x:v>
      </x:c>
      <x:c r="C88" s="24" t="str">
        <x:v>LME</x:v>
      </x:c>
      <x:c r="D88" s="30" t="n">
        <x:v>2019</x:v>
      </x:c>
      <x:c r="E88" s="24" t="str">
        <x:v>Terapon</x:v>
      </x:c>
      <x:c r="F88" s="24" t="str">
        <x:v>Terapons</x:v>
      </x:c>
      <x:c r="G88" s="24" t="str">
        <x:v>Medium demersals (30 - 89 cm)</x:v>
      </x:c>
      <x:c r="H88" s="24" t="str">
        <x:v>Perch-likes</x:v>
      </x:c>
      <x:c r="I88" s="31" t="n">
        <x:v>179.21565973629998</x:v>
      </x:c>
      <x:c r="J88" s="31" t="n">
        <x:v>0.5631352237</x:v>
      </x:c>
      <x:c r="K88" s="31" t="n">
        <x:v>178.6525245126</x:v>
      </x:c>
      <x:c r="L88" s="31" t="n">
        <x:v>0.5631352237</x:v>
      </x:c>
      <x:c r="M88" s="31" t="n">
        <x:v>178.6525245126</x:v>
      </x:c>
      <x:c r="N88" s="24" t="str">
        <x:v>terapon</x:v>
      </x:c>
      <x:c r="O88" s="32" t="n">
        <x:v>3.5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Terapon</x:v>
      </x:c>
      <x:c r="T88" s="32" t="n">
        <x:f>IF(O88="","",(1/'Metadata'!$B$5)^(O88-1))</x:f>
        <x:v>316.22776601683796</x:v>
      </x:c>
      <x:c r="U88" s="31" t="n">
        <x:f>IF(T88="","",I88*T88)</x:f>
        <x:v>56672.96771364392</x:v>
      </x:c>
    </x:row>
    <x:row r="89" ht="18" customHeight="1">
      <x:c r="A89" s="24" t="str">
        <x:v>LME_033</x:v>
      </x:c>
      <x:c r="B89" s="24" t="str">
        <x:v>Red Sea</x:v>
      </x:c>
      <x:c r="C89" s="24" t="str">
        <x:v>LME</x:v>
      </x:c>
      <x:c r="D89" s="30" t="n">
        <x:v>2019</x:v>
      </x:c>
      <x:c r="E89" s="24" t="str">
        <x:v>Mulloidichthys flavolineatus</x:v>
      </x:c>
      <x:c r="F89" s="24" t="str">
        <x:v>Yellowstripe goatfish</x:v>
      </x:c>
      <x:c r="G89" s="24" t="str">
        <x:v>Medium reef assoc. fish (30 - 89 cm)</x:v>
      </x:c>
      <x:c r="H89" s="24" t="str">
        <x:v>Perch-likes</x:v>
      </x:c>
      <x:c r="I89" s="31" t="n">
        <x:v>178.57952429649998</x:v>
      </x:c>
      <x:c r="J89" s="31" t="n">
        <x:v>178.57952429649998</x:v>
      </x:c>
      <x:c r="K89" s="31" t="n">
        <x:v>0</x:v>
      </x:c>
      <x:c r="L89" s="31" t="n">
        <x:v>177.5279740244</x:v>
      </x:c>
      <x:c r="M89" s="31" t="n">
        <x:v>1.0515502721</x:v>
      </x:c>
      <x:c r="N89" s="24" t="str">
        <x:v>mulloidichthys flavolineatus</x:v>
      </x:c>
      <x:c r="O89" s="32" t="n">
        <x:v>3.84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Mulloidichthys flavolineatus</x:v>
      </x:c>
      <x:c r="T89" s="32" t="n">
        <x:f>IF(O89="","",(1/'Metadata'!$B$5)^(O89-1))</x:f>
        <x:v>691.8309709189363</x:v>
      </x:c>
      <x:c r="U89" s="31" t="n">
        <x:f>IF(T89="","",I89*T89)</x:f>
        <x:v>123546.84568028935</x:v>
      </x:c>
    </x:row>
    <x:row r="90" ht="18" customHeight="1">
      <x:c r="A90" s="24" t="str">
        <x:v>LME_033</x:v>
      </x:c>
      <x:c r="B90" s="24" t="str">
        <x:v>Red Sea</x:v>
      </x:c>
      <x:c r="C90" s="24" t="str">
        <x:v>LME</x:v>
      </x:c>
      <x:c r="D90" s="30" t="n">
        <x:v>2019</x:v>
      </x:c>
      <x:c r="E90" s="24" t="str">
        <x:v>Clupeidae</x:v>
      </x:c>
      <x:c r="F90" s="24" t="str">
        <x:v>Herrings, sardines, menhadens</x:v>
      </x:c>
      <x:c r="G90" s="24" t="str">
        <x:v>Small pelagics (&lt;30 cm)</x:v>
      </x:c>
      <x:c r="H90" s="24" t="str">
        <x:v>Herring-likes</x:v>
      </x:c>
      <x:c r="I90" s="31" t="n">
        <x:v>174.31173651580002</x:v>
      </x:c>
      <x:c r="J90" s="31" t="n">
        <x:v>148.8205499146</x:v>
      </x:c>
      <x:c r="K90" s="31" t="n">
        <x:v>25.4911866012</x:v>
      </x:c>
      <x:c r="L90" s="31" t="n">
        <x:v>83.95231257270001</x:v>
      </x:c>
      <x:c r="M90" s="31" t="n">
        <x:v>90.3594239431</x:v>
      </x:c>
      <x:c r="N90" s="24" t="str">
        <x:v>clupeidae</x:v>
      </x:c>
      <x:c r="O90" s="32" t="n">
        <x:v>3.16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Clupeidae</x:v>
      </x:c>
      <x:c r="T90" s="32" t="n">
        <x:f>IF(O90="","",(1/'Metadata'!$B$5)^(O90-1))</x:f>
        <x:v>144.5439770745928</x:v>
      </x:c>
      <x:c r="U90" s="31" t="n">
        <x:f>IF(T90="","",I90*T90)</x:f>
        <x:v>25195.711646772255</x:v>
      </x:c>
    </x:row>
    <x:row r="91" ht="18" customHeight="1">
      <x:c r="A91" s="24" t="str">
        <x:v>LME_033</x:v>
      </x:c>
      <x:c r="B91" s="24" t="str">
        <x:v>Red Sea</x:v>
      </x:c>
      <x:c r="C91" s="24" t="str">
        <x:v>LME</x:v>
      </x:c>
      <x:c r="D91" s="30" t="n">
        <x:v>2019</x:v>
      </x:c>
      <x:c r="E91" s="24" t="str">
        <x:v>Cephalopholis hemistiktos</x:v>
      </x:c>
      <x:c r="F91" s="24" t="str">
        <x:v>Yellowfin hind</x:v>
      </x:c>
      <x:c r="G91" s="24" t="str">
        <x:v>Medium reef assoc. fish (30 - 89 cm)</x:v>
      </x:c>
      <x:c r="H91" s="24" t="str">
        <x:v>Perch-likes</x:v>
      </x:c>
      <x:c r="I91" s="31" t="n">
        <x:v>171.2342193409</x:v>
      </x:c>
      <x:c r="J91" s="31" t="n">
        <x:v>171.2342193409</x:v>
      </x:c>
      <x:c r="K91" s="31" t="n">
        <x:v>0</x:v>
      </x:c>
      <x:c r="L91" s="31" t="n">
        <x:v>147.1011998979</x:v>
      </x:c>
      <x:c r="M91" s="31" t="n">
        <x:v>24.133019443000002</x:v>
      </x:c>
      <x:c r="N91" s="24" t="str">
        <x:v>cephalopholis hemistiktos</x:v>
      </x:c>
      <x:c r="O91" s="32" t="n">
        <x:v>4.14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Cephalopholis hemistiktos</x:v>
      </x:c>
      <x:c r="T91" s="32" t="n">
        <x:f>IF(O91="","",(1/'Metadata'!$B$5)^(O91-1))</x:f>
        <x:v>1380.3842646028838</x:v>
      </x:c>
      <x:c r="U91" s="31" t="n">
        <x:f>IF(T91="","",I91*T91)</x:f>
        <x:v>236369.02193973717</x:v>
      </x:c>
    </x:row>
    <x:row r="92" ht="18" customHeight="1">
      <x:c r="A92" s="24" t="str">
        <x:v>LME_033</x:v>
      </x:c>
      <x:c r="B92" s="24" t="str">
        <x:v>Red Sea</x:v>
      </x:c>
      <x:c r="C92" s="24" t="str">
        <x:v>LME</x:v>
      </x:c>
      <x:c r="D92" s="30" t="n">
        <x:v>2019</x:v>
      </x:c>
      <x:c r="E92" s="24" t="str">
        <x:v>Tetraodontidae</x:v>
      </x:c>
      <x:c r="F92" s="24" t="str">
        <x:v>Puffers, tobies</x:v>
      </x:c>
      <x:c r="G92" s="24" t="str">
        <x:v>Large reef assoc. fish (&gt;=90 cm)</x:v>
      </x:c>
      <x:c r="H92" s="24" t="str">
        <x:v>Other fishes &amp; inverts</x:v>
      </x:c>
      <x:c r="I92" s="31" t="n">
        <x:v>157.9083734394</x:v>
      </x:c>
      <x:c r="J92" s="31" t="n">
        <x:v>0</x:v>
      </x:c>
      <x:c r="K92" s="31" t="n">
        <x:v>157.9083734394</x:v>
      </x:c>
      <x:c r="L92" s="31" t="n">
        <x:v>0</x:v>
      </x:c>
      <x:c r="M92" s="31" t="n">
        <x:v>157.9083734394</x:v>
      </x:c>
      <x:c r="N92" s="24" t="str">
        <x:v>tetraodontidae</x:v>
      </x:c>
      <x:c r="O92" s="32" t="n">
        <x:v>3.5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Tetraodontidae</x:v>
      </x:c>
      <x:c r="T92" s="32" t="n">
        <x:f>IF(O92="","",(1/'Metadata'!$B$5)^(O92-1))</x:f>
        <x:v>316.22776601683796</x:v>
      </x:c>
      <x:c r="U92" s="31" t="n">
        <x:f>IF(T92="","",I92*T92)</x:f>
        <x:v>49935.01216809406</x:v>
      </x:c>
    </x:row>
    <x:row r="93" ht="18" customHeight="1">
      <x:c r="A93" s="24" t="str">
        <x:v>LME_033</x:v>
      </x:c>
      <x:c r="B93" s="24" t="str">
        <x:v>Red Sea</x:v>
      </x:c>
      <x:c r="C93" s="24" t="str">
        <x:v>LME</x:v>
      </x:c>
      <x:c r="D93" s="30" t="n">
        <x:v>2019</x:v>
      </x:c>
      <x:c r="E93" s="24" t="str">
        <x:v>Tylosurus crocodilus</x:v>
      </x:c>
      <x:c r="F93" s="24" t="str">
        <x:v>Hound needlefish</x:v>
      </x:c>
      <x:c r="G93" s="24" t="str">
        <x:v>Large pelagics (&gt;=90 cm)</x:v>
      </x:c>
      <x:c r="H93" s="24" t="str">
        <x:v>Other fishes &amp; inverts</x:v>
      </x:c>
      <x:c r="I93" s="31" t="n">
        <x:v>154.7515524708</x:v>
      </x:c>
      <x:c r="J93" s="31" t="n">
        <x:v>154.7515524708</x:v>
      </x:c>
      <x:c r="K93" s="31" t="n">
        <x:v>0</x:v>
      </x:c>
      <x:c r="L93" s="31" t="n">
        <x:v>135.6401154625</x:v>
      </x:c>
      <x:c r="M93" s="31" t="n">
        <x:v>19.111437008299998</x:v>
      </x:c>
      <x:c r="N93" s="24" t="str">
        <x:v>tylosurus crocodilus</x:v>
      </x:c>
      <x:c r="O93" s="32" t="n">
        <x:v>4.43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Tylosurus crocodilus</x:v>
      </x:c>
      <x:c r="T93" s="32" t="n">
        <x:f>IF(O93="","",(1/'Metadata'!$B$5)^(O93-1))</x:f>
        <x:v>2691.534803926914</x:v>
      </x:c>
      <x:c r="U93" s="31" t="n">
        <x:f>IF(T93="","",I93*T93)</x:f>
        <x:v>416519.1894368802</x:v>
      </x:c>
    </x:row>
    <x:row r="94" ht="18" customHeight="1">
      <x:c r="A94" s="24" t="str">
        <x:v>LME_033</x:v>
      </x:c>
      <x:c r="B94" s="24" t="str">
        <x:v>Red Sea</x:v>
      </x:c>
      <x:c r="C94" s="24" t="str">
        <x:v>LME</x:v>
      </x:c>
      <x:c r="D94" s="30" t="n">
        <x:v>2019</x:v>
      </x:c>
      <x:c r="E94" s="24" t="str">
        <x:v>Plectorhinchus gaterinus</x:v>
      </x:c>
      <x:c r="F94" s="24" t="str">
        <x:v>Blackspotted rubberlip</x:v>
      </x:c>
      <x:c r="G94" s="24" t="str">
        <x:v>Medium reef assoc. fish (30 - 89 cm)</x:v>
      </x:c>
      <x:c r="H94" s="24" t="str">
        <x:v>Perch-likes</x:v>
      </x:c>
      <x:c r="I94" s="31" t="n">
        <x:v>153.2689990947</x:v>
      </x:c>
      <x:c r="J94" s="31" t="n">
        <x:v>153.2689990947</x:v>
      </x:c>
      <x:c r="K94" s="31" t="n">
        <x:v>0</x:v>
      </x:c>
      <x:c r="L94" s="31" t="n">
        <x:v>135.881793146</x:v>
      </x:c>
      <x:c r="M94" s="31" t="n">
        <x:v>17.3872059487</x:v>
      </x:c>
      <x:c r="N94" s="24" t="str">
        <x:v>plectorhinchus gaterinus</x:v>
      </x:c>
      <x:c r="O94" s="32" t="n">
        <x:v>3.99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Plectorhinchus gaterinus</x:v>
      </x:c>
      <x:c r="T94" s="32" t="n">
        <x:f>IF(O94="","",(1/'Metadata'!$B$5)^(O94-1))</x:f>
        <x:v>977.2372209558112</x:v>
      </x:c>
      <x:c r="U94" s="31" t="n">
        <x:f>IF(T94="","",I94*T94)</x:f>
        <x:v>149780.17073398337</x:v>
      </x:c>
    </x:row>
    <x:row r="95" ht="18" customHeight="1">
      <x:c r="A95" s="24" t="str">
        <x:v>LME_033</x:v>
      </x:c>
      <x:c r="B95" s="24" t="str">
        <x:v>Red Sea</x:v>
      </x:c>
      <x:c r="C95" s="24" t="str">
        <x:v>LME</x:v>
      </x:c>
      <x:c r="D95" s="30" t="n">
        <x:v>2019</x:v>
      </x:c>
      <x:c r="E95" s="24" t="str">
        <x:v>Chondrichthyes</x:v>
      </x:c>
      <x:c r="F95" s="24" t="str">
        <x:v>Sharks, rays, chimaeras</x:v>
      </x:c>
      <x:c r="G95" s="24" t="str">
        <x:v>Large sharks (&gt;=90 cm)</x:v>
      </x:c>
      <x:c r="H95" s="24" t="str">
        <x:v>Sharks &amp; rays</x:v>
      </x:c>
      <x:c r="I95" s="31" t="n">
        <x:v>153.2426967127</x:v>
      </x:c>
      <x:c r="J95" s="31" t="n">
        <x:v>153.2426967127</x:v>
      </x:c>
      <x:c r="K95" s="31" t="n">
        <x:v>0</x:v>
      </x:c>
      <x:c r="L95" s="31" t="n">
        <x:v>153.2426967127</x:v>
      </x:c>
      <x:c r="M95" s="31" t="n">
        <x:v>0</x:v>
      </x:c>
      <x:c r="N95" s="24" t="str">
        <x:v>chondrichthyes</x:v>
      </x:c>
      <x:c r="O95" s="32" t="n">
        <x:v>4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Chondrichthyes</x:v>
      </x:c>
      <x:c r="T95" s="32" t="n">
        <x:f>IF(O95="","",(1/'Metadata'!$B$5)^(O95-1))</x:f>
        <x:v>1000</x:v>
      </x:c>
      <x:c r="U95" s="31" t="n">
        <x:f>IF(T95="","",I95*T95)</x:f>
        <x:v>153242.6967127</x:v>
      </x:c>
    </x:row>
    <x:row r="96" ht="18" customHeight="1">
      <x:c r="A96" s="24" t="str">
        <x:v>LME_033</x:v>
      </x:c>
      <x:c r="B96" s="24" t="str">
        <x:v>Red Sea</x:v>
      </x:c>
      <x:c r="C96" s="24" t="str">
        <x:v>LME</x:v>
      </x:c>
      <x:c r="D96" s="30" t="n">
        <x:v>2019</x:v>
      </x:c>
      <x:c r="E96" s="24" t="str">
        <x:v>Perciformes</x:v>
      </x:c>
      <x:c r="F96" s="24" t="str">
        <x:v>Perch-likes</x:v>
      </x:c>
      <x:c r="G96" s="24" t="str">
        <x:v>Medium demersals (30 - 89 cm)</x:v>
      </x:c>
      <x:c r="H96" s="24" t="str">
        <x:v>Perch-likes</x:v>
      </x:c>
      <x:c r="I96" s="31" t="n">
        <x:v>152.1925512027</x:v>
      </x:c>
      <x:c r="J96" s="31" t="n">
        <x:v>101.0382190343</x:v>
      </x:c>
      <x:c r="K96" s="31" t="n">
        <x:v>51.1543321684</x:v>
      </x:c>
      <x:c r="L96" s="31" t="n">
        <x:v>101.0382190343</x:v>
      </x:c>
      <x:c r="M96" s="31" t="n">
        <x:v>51.1543321684</x:v>
      </x:c>
      <x:c r="N96" s="24" t="str">
        <x:v>perciformes</x:v>
      </x:c>
      <x:c r="O96" s="32" t="n">
        <x:v>3.53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Perciformes</x:v>
      </x:c>
      <x:c r="T96" s="32" t="n">
        <x:f>IF(O96="","",(1/'Metadata'!$B$5)^(O96-1))</x:f>
        <x:v>338.84415613920237</x:v>
      </x:c>
      <x:c r="U96" s="31" t="n">
        <x:f>IF(T96="","",I96*T96)</x:f>
        <x:v>51569.556582951234</x:v>
      </x:c>
    </x:row>
    <x:row r="97" ht="18" customHeight="1">
      <x:c r="A97" s="24" t="str">
        <x:v>LME_033</x:v>
      </x:c>
      <x:c r="B97" s="24" t="str">
        <x:v>Red Sea</x:v>
      </x:c>
      <x:c r="C97" s="24" t="str">
        <x:v>LME</x:v>
      </x:c>
      <x:c r="D97" s="30" t="n">
        <x:v>2019</x:v>
      </x:c>
      <x:c r="E97" s="24" t="str">
        <x:v>Caesionidae</x:v>
      </x:c>
      <x:c r="F97" s="24" t="str">
        <x:v>Fusiliers</x:v>
      </x:c>
      <x:c r="G97" s="24" t="str">
        <x:v>Medium reef assoc. fish (30 - 89 cm)</x:v>
      </x:c>
      <x:c r="H97" s="24" t="str">
        <x:v>Perch-likes</x:v>
      </x:c>
      <x:c r="I97" s="31" t="n">
        <x:v>143.52034990229998</x:v>
      </x:c>
      <x:c r="J97" s="31" t="n">
        <x:v>143.52034990229998</x:v>
      </x:c>
      <x:c r="K97" s="31" t="n">
        <x:v>0</x:v>
      </x:c>
      <x:c r="L97" s="31" t="n">
        <x:v>141.5525373999</x:v>
      </x:c>
      <x:c r="M97" s="31" t="n">
        <x:v>1.9678125024000002</x:v>
      </x:c>
      <x:c r="N97" s="24" t="str">
        <x:v>caesionidae</x:v>
      </x:c>
      <x:c r="O97" s="32" t="n">
        <x:v>3.39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Caesionidae</x:v>
      </x:c>
      <x:c r="T97" s="32" t="n">
        <x:f>IF(O97="","",(1/'Metadata'!$B$5)^(O97-1))</x:f>
        <x:v>245.4708915685031</x:v>
      </x:c>
      <x:c r="U97" s="31" t="n">
        <x:f>IF(T97="","",I97*T97)</x:f>
        <x:v>35230.0682487411</x:v>
      </x:c>
    </x:row>
    <x:row r="98" ht="18" customHeight="1">
      <x:c r="A98" s="24" t="str">
        <x:v>LME_033</x:v>
      </x:c>
      <x:c r="B98" s="24" t="str">
        <x:v>Red Sea</x:v>
      </x:c>
      <x:c r="C98" s="24" t="str">
        <x:v>LME</x:v>
      </x:c>
      <x:c r="D98" s="30" t="n">
        <x:v>2019</x:v>
      </x:c>
      <x:c r="E98" s="24" t="str">
        <x:v>Alepes djedaba</x:v>
      </x:c>
      <x:c r="F98" s="24" t="str">
        <x:v>Shrimp scad</x:v>
      </x:c>
      <x:c r="G98" s="24" t="str">
        <x:v>Medium reef assoc. fish (30 - 89 cm)</x:v>
      </x:c>
      <x:c r="H98" s="24" t="str">
        <x:v>Perch-likes</x:v>
      </x:c>
      <x:c r="I98" s="31" t="n">
        <x:v>140.6692550138</x:v>
      </x:c>
      <x:c r="J98" s="31" t="n">
        <x:v>140.6692550138</x:v>
      </x:c>
      <x:c r="K98" s="31" t="n">
        <x:v>0</x:v>
      </x:c>
      <x:c r="L98" s="31" t="n">
        <x:v>126.1786573775</x:v>
      </x:c>
      <x:c r="M98" s="31" t="n">
        <x:v>14.4905976363</x:v>
      </x:c>
      <x:c r="N98" s="24" t="str">
        <x:v>alepes djedaba</x:v>
      </x:c>
      <x:c r="O98" s="32" t="n">
        <x:v>3.32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Alepes djedaba</x:v>
      </x:c>
      <x:c r="T98" s="32" t="n">
        <x:f>IF(O98="","",(1/'Metadata'!$B$5)^(O98-1))</x:f>
        <x:v>208.92961308540387</x:v>
      </x:c>
      <x:c r="U98" s="31" t="n">
        <x:f>IF(T98="","",I98*T98)</x:f>
        <x:v>29389.973023045244</x:v>
      </x:c>
    </x:row>
    <x:row r="99" ht="18" customHeight="1">
      <x:c r="A99" s="24" t="str">
        <x:v>LME_033</x:v>
      </x:c>
      <x:c r="B99" s="24" t="str">
        <x:v>Red Sea</x:v>
      </x:c>
      <x:c r="C99" s="24" t="str">
        <x:v>LME</x:v>
      </x:c>
      <x:c r="D99" s="30" t="n">
        <x:v>2019</x:v>
      </x:c>
      <x:c r="E99" s="24" t="str">
        <x:v>Bolbometopon muricatum</x:v>
      </x:c>
      <x:c r="F99" s="24" t="str">
        <x:v>Green humphead parrotfish</x:v>
      </x:c>
      <x:c r="G99" s="24" t="str">
        <x:v>Large reef assoc. fish (&gt;=90 cm)</x:v>
      </x:c>
      <x:c r="H99" s="24" t="str">
        <x:v>Perch-likes</x:v>
      </x:c>
      <x:c r="I99" s="31" t="n">
        <x:v>136.2282122109</x:v>
      </x:c>
      <x:c r="J99" s="31" t="n">
        <x:v>136.2282122109</x:v>
      </x:c>
      <x:c r="K99" s="31" t="n">
        <x:v>0</x:v>
      </x:c>
      <x:c r="L99" s="31" t="n">
        <x:v>121.08046432530001</x:v>
      </x:c>
      <x:c r="M99" s="31" t="n">
        <x:v>15.1477478856</x:v>
      </x:c>
      <x:c r="N99" s="24" t="str">
        <x:v>bolbometopon muricatum</x:v>
      </x:c>
      <x:c r="O99" s="32" t="n">
        <x:v>2.67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Bolbometopon muricatum</x:v>
      </x:c>
      <x:c r="T99" s="32" t="n">
        <x:f>IF(O99="","",(1/'Metadata'!$B$5)^(O99-1))</x:f>
        <x:v>46.77351412871981</x:v>
      </x:c>
      <x:c r="U99" s="31" t="n">
        <x:f>IF(T99="","",I99*T99)</x:f>
        <x:v>6371.872208576772</x:v>
      </x:c>
    </x:row>
    <x:row r="100" ht="18" customHeight="1">
      <x:c r="A100" s="24" t="str">
        <x:v>LME_033</x:v>
      </x:c>
      <x:c r="B100" s="24" t="str">
        <x:v>Red Sea</x:v>
      </x:c>
      <x:c r="C100" s="24" t="str">
        <x:v>LME</x:v>
      </x:c>
      <x:c r="D100" s="30" t="n">
        <x:v>2019</x:v>
      </x:c>
      <x:c r="E100" s="24" t="str">
        <x:v>Psettodes erumei</x:v>
      </x:c>
      <x:c r="F100" s="24" t="str">
        <x:v>Indian halibut</x:v>
      </x:c>
      <x:c r="G100" s="24" t="str">
        <x:v>Small to medium flatfishes (&lt;90 cm)</x:v>
      </x:c>
      <x:c r="H100" s="24" t="str">
        <x:v>Flatfishes</x:v>
      </x:c>
      <x:c r="I100" s="31" t="n">
        <x:v>135.36771874919998</x:v>
      </x:c>
      <x:c r="J100" s="31" t="n">
        <x:v>135.36771874919998</x:v>
      </x:c>
      <x:c r="K100" s="31" t="n">
        <x:v>0</x:v>
      </x:c>
      <x:c r="L100" s="31" t="n">
        <x:v>135.34559546</x:v>
      </x:c>
      <x:c r="M100" s="31" t="n">
        <x:v>0.0221232892</x:v>
      </x:c>
      <x:c r="N100" s="24" t="str">
        <x:v>psettodes erumei</x:v>
      </x:c>
      <x:c r="O100" s="32" t="n">
        <x:v>4.39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Psettodes erumei</x:v>
      </x:c>
      <x:c r="T100" s="32" t="n">
        <x:f>IF(O100="","",(1/'Metadata'!$B$5)^(O100-1))</x:f>
        <x:v>2454.7089156850284</x:v>
      </x:c>
      <x:c r="U100" s="31" t="n">
        <x:f>IF(T100="","",I100*T100)</x:f>
        <x:v>332288.3461096046</x:v>
      </x:c>
    </x:row>
    <x:row r="101" ht="18" customHeight="1">
      <x:c r="A101" s="24" t="str">
        <x:v>LME_033</x:v>
      </x:c>
      <x:c r="B101" s="24" t="str">
        <x:v>Red Sea</x:v>
      </x:c>
      <x:c r="C101" s="24" t="str">
        <x:v>LME</x:v>
      </x:c>
      <x:c r="D101" s="30" t="n">
        <x:v>2019</x:v>
      </x:c>
      <x:c r="E101" s="24" t="str">
        <x:v>Lethrinus obsoletus</x:v>
      </x:c>
      <x:c r="F101" s="24" t="str">
        <x:v>Orange-striped emperor</x:v>
      </x:c>
      <x:c r="G101" s="24" t="str">
        <x:v>Medium demersals (30 - 89 cm)</x:v>
      </x:c>
      <x:c r="H101" s="24" t="str">
        <x:v>Perch-likes</x:v>
      </x:c>
      <x:c r="I101" s="31" t="n">
        <x:v>133.6837267287</x:v>
      </x:c>
      <x:c r="J101" s="31" t="n">
        <x:v>133.6837267287</x:v>
      </x:c>
      <x:c r="K101" s="31" t="n">
        <x:v>0</x:v>
      </x:c>
      <x:c r="L101" s="31" t="n">
        <x:v>115.81193570919999</x:v>
      </x:c>
      <x:c r="M101" s="31" t="n">
        <x:v>17.8717910195</x:v>
      </x:c>
      <x:c r="N101" s="24" t="str">
        <x:v>lethrinus obsoletus</x:v>
      </x:c>
      <x:c r="O101" s="32" t="n">
        <x:v>3.89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Lethrinus obsoletus</x:v>
      </x:c>
      <x:c r="T101" s="32" t="n">
        <x:f>IF(O101="","",(1/'Metadata'!$B$5)^(O101-1))</x:f>
        <x:v>776.247116628692</x:v>
      </x:c>
      <x:c r="U101" s="31" t="n">
        <x:f>IF(T101="","",I101*T101)</x:f>
        <x:v>103771.60741333138</x:v>
      </x:c>
    </x:row>
    <x:row r="102" ht="18" customHeight="1">
      <x:c r="A102" s="24" t="str">
        <x:v>LME_033</x:v>
      </x:c>
      <x:c r="B102" s="24" t="str">
        <x:v>Red Sea</x:v>
      </x:c>
      <x:c r="C102" s="24" t="str">
        <x:v>LME</x:v>
      </x:c>
      <x:c r="D102" s="30" t="n">
        <x:v>2019</x:v>
      </x:c>
      <x:c r="E102" s="24" t="str">
        <x:v>Lutjanus kasmira</x:v>
      </x:c>
      <x:c r="F102" s="24" t="str">
        <x:v>Common bluestripe snapper</x:v>
      </x:c>
      <x:c r="G102" s="24" t="str">
        <x:v>Medium reef assoc. fish (30 - 89 cm)</x:v>
      </x:c>
      <x:c r="H102" s="24" t="str">
        <x:v>Perch-likes</x:v>
      </x:c>
      <x:c r="I102" s="31" t="n">
        <x:v>127.6733963619</x:v>
      </x:c>
      <x:c r="J102" s="31" t="n">
        <x:v>127.6733963619</x:v>
      </x:c>
      <x:c r="K102" s="31" t="n">
        <x:v>0</x:v>
      </x:c>
      <x:c r="L102" s="31" t="n">
        <x:v>8.7046483984</x:v>
      </x:c>
      <x:c r="M102" s="31" t="n">
        <x:v>118.9687479635</x:v>
      </x:c>
      <x:c r="N102" s="24" t="str">
        <x:v>lutjanus kasmira</x:v>
      </x:c>
      <x:c r="O102" s="32" t="n">
        <x:v>3.87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Lutjanus kasmira</x:v>
      </x:c>
      <x:c r="T102" s="32" t="n">
        <x:f>IF(O102="","",(1/'Metadata'!$B$5)^(O102-1))</x:f>
        <x:v>741.3102413009177</x:v>
      </x:c>
      <x:c r="U102" s="31" t="n">
        <x:f>IF(T102="","",I102*T102)</x:f>
        <x:v>94645.5962647478</x:v>
      </x:c>
    </x:row>
    <x:row r="103" ht="18" customHeight="1">
      <x:c r="A103" s="24" t="str">
        <x:v>LME_033</x:v>
      </x:c>
      <x:c r="B103" s="24" t="str">
        <x:v>Red Sea</x:v>
      </x:c>
      <x:c r="C103" s="24" t="str">
        <x:v>LME</x:v>
      </x:c>
      <x:c r="D103" s="30" t="n">
        <x:v>2019</x:v>
      </x:c>
      <x:c r="E103" s="24" t="str">
        <x:v>Plectorhinchus schotaf</x:v>
      </x:c>
      <x:c r="F103" s="24" t="str">
        <x:v>Minstrel sweetlips</x:v>
      </x:c>
      <x:c r="G103" s="24" t="str">
        <x:v>Medium reef assoc. fish (30 - 89 cm)</x:v>
      </x:c>
      <x:c r="H103" s="24" t="str">
        <x:v>Perch-likes</x:v>
      </x:c>
      <x:c r="I103" s="31" t="n">
        <x:v>125.9477934631</x:v>
      </x:c>
      <x:c r="J103" s="31" t="n">
        <x:v>125.9477934631</x:v>
      </x:c>
      <x:c r="K103" s="31" t="n">
        <x:v>0</x:v>
      </x:c>
      <x:c r="L103" s="31" t="n">
        <x:v>120.49946242729999</x:v>
      </x:c>
      <x:c r="M103" s="31" t="n">
        <x:v>5.4483310358</x:v>
      </x:c>
      <x:c r="N103" s="24" t="str">
        <x:v>plectorhinchus schotaf</x:v>
      </x:c>
      <x:c r="O103" s="32" t="n">
        <x:v>3.82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Plectorhinchus schotaf</x:v>
      </x:c>
      <x:c r="T103" s="32" t="n">
        <x:f>IF(O103="","",(1/'Metadata'!$B$5)^(O103-1))</x:f>
        <x:v>660.6934480075957</x:v>
      </x:c>
      <x:c r="U103" s="31" t="n">
        <x:f>IF(T103="","",I103*T103)</x:f>
        <x:v>83212.88193208407</x:v>
      </x:c>
    </x:row>
    <x:row r="104" ht="18" customHeight="1">
      <x:c r="A104" s="24" t="str">
        <x:v>LME_033</x:v>
      </x:c>
      <x:c r="B104" s="24" t="str">
        <x:v>Red Sea</x:v>
      </x:c>
      <x:c r="C104" s="24" t="str">
        <x:v>LME</x:v>
      </x:c>
      <x:c r="D104" s="30" t="n">
        <x:v>2019</x:v>
      </x:c>
      <x:c r="E104" s="24" t="str">
        <x:v>Sphyraena obtusata</x:v>
      </x:c>
      <x:c r="F104" s="24" t="str">
        <x:v>Obtuse barracuda</x:v>
      </x:c>
      <x:c r="G104" s="24" t="str">
        <x:v>Medium reef assoc. fish (30 - 89 cm)</x:v>
      </x:c>
      <x:c r="H104" s="24" t="str">
        <x:v>Perch-likes</x:v>
      </x:c>
      <x:c r="I104" s="31" t="n">
        <x:v>125.1280885373</x:v>
      </x:c>
      <x:c r="J104" s="31" t="n">
        <x:v>125.1280885373</x:v>
      </x:c>
      <x:c r="K104" s="31" t="n">
        <x:v>0</x:v>
      </x:c>
      <x:c r="L104" s="31" t="n">
        <x:v>110.7381097393</x:v>
      </x:c>
      <x:c r="M104" s="31" t="n">
        <x:v>14.389978798000001</x:v>
      </x:c>
      <x:c r="N104" s="24" t="str">
        <x:v>sphyraena obtusata</x:v>
      </x:c>
      <x:c r="O104" s="32" t="n">
        <x:v>4.5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Sphyraena obtusata</x:v>
      </x:c>
      <x:c r="T104" s="32" t="n">
        <x:f>IF(O104="","",(1/'Metadata'!$B$5)^(O104-1))</x:f>
        <x:v>3162.2776601683795</x:v>
      </x:c>
      <x:c r="U104" s="31" t="n">
        <x:f>IF(T104="","",I104*T104)</x:f>
        <x:v>395689.7590410749</x:v>
      </x:c>
    </x:row>
    <x:row r="105" ht="18" customHeight="1">
      <x:c r="A105" s="24" t="str">
        <x:v>LME_033</x:v>
      </x:c>
      <x:c r="B105" s="24" t="str">
        <x:v>Red Sea</x:v>
      </x:c>
      <x:c r="C105" s="24" t="str">
        <x:v>LME</x:v>
      </x:c>
      <x:c r="D105" s="30" t="n">
        <x:v>2019</x:v>
      </x:c>
      <x:c r="E105" s="24" t="str">
        <x:v>Portunidae</x:v>
      </x:c>
      <x:c r="F105" s="24" t="str">
        <x:v>Swimming crabs</x:v>
      </x:c>
      <x:c r="G105" s="24" t="str">
        <x:v>Lobsters, crabs</x:v>
      </x:c>
      <x:c r="H105" s="24" t="str">
        <x:v>Crustaceans</x:v>
      </x:c>
      <x:c r="I105" s="31" t="n">
        <x:v>108.0078911979</x:v>
      </x:c>
      <x:c r="J105" s="31" t="n">
        <x:v>0</x:v>
      </x:c>
      <x:c r="K105" s="31" t="n">
        <x:v>108.0078911979</x:v>
      </x:c>
      <x:c r="L105" s="31" t="n">
        <x:v>0</x:v>
      </x:c>
      <x:c r="M105" s="31" t="n">
        <x:v>108.0078911979</x:v>
      </x:c>
      <x:c r="N105" s="24" t="str">
        <x:v>portunidae</x:v>
      </x:c>
      <x:c r="O105" s="32" t="n">
        <x:v>3.56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Portunidae</x:v>
      </x:c>
      <x:c r="T105" s="32" t="n">
        <x:f>IF(O105="","",(1/'Metadata'!$B$5)^(O105-1))</x:f>
        <x:v>363.0780547701014</x:v>
      </x:c>
      <x:c r="U105" s="31" t="n">
        <x:f>IF(T105="","",I105*T105)</x:f>
        <x:v>39215.29503595429</x:v>
      </x:c>
    </x:row>
    <x:row r="106" ht="18" customHeight="1">
      <x:c r="A106" s="24" t="str">
        <x:v>LME_033</x:v>
      </x:c>
      <x:c r="B106" s="24" t="str">
        <x:v>Red Sea</x:v>
      </x:c>
      <x:c r="C106" s="24" t="str">
        <x:v>LME</x:v>
      </x:c>
      <x:c r="D106" s="30" t="n">
        <x:v>2019</x:v>
      </x:c>
      <x:c r="E106" s="24" t="str">
        <x:v>Scomberoides tol</x:v>
      </x:c>
      <x:c r="F106" s="24" t="str">
        <x:v>Needlescaled queenfish</x:v>
      </x:c>
      <x:c r="G106" s="24" t="str">
        <x:v>Medium pelagics (30 - 89 cm)</x:v>
      </x:c>
      <x:c r="H106" s="24" t="str">
        <x:v>Perch-likes</x:v>
      </x:c>
      <x:c r="I106" s="31" t="n">
        <x:v>106.8791373253</x:v>
      </x:c>
      <x:c r="J106" s="31" t="n">
        <x:v>106.8791373253</x:v>
      </x:c>
      <x:c r="K106" s="31" t="n">
        <x:v>0</x:v>
      </x:c>
      <x:c r="L106" s="31" t="n">
        <x:v>94.58357168779999</x:v>
      </x:c>
      <x:c r="M106" s="31" t="n">
        <x:v>12.2955656375</x:v>
      </x:c>
      <x:c r="N106" s="24" t="str">
        <x:v>scomberoides tol</x:v>
      </x:c>
      <x:c r="O106" s="32" t="n">
        <x:v>4.11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Scomberoides tol</x:v>
      </x:c>
      <x:c r="T106" s="32" t="n">
        <x:f>IF(O106="","",(1/'Metadata'!$B$5)^(O106-1))</x:f>
        <x:v>1288.249551693135</x:v>
      </x:c>
      <x:c r="U106" s="31" t="n">
        <x:f>IF(T106="","",I106*T106)</x:f>
        <x:v>137687.00074466673</x:v>
      </x:c>
    </x:row>
    <x:row r="107" ht="18" customHeight="1">
      <x:c r="A107" s="24" t="str">
        <x:v>LME_033</x:v>
      </x:c>
      <x:c r="B107" s="24" t="str">
        <x:v>Red Sea</x:v>
      </x:c>
      <x:c r="C107" s="24" t="str">
        <x:v>LME</x:v>
      </x:c>
      <x:c r="D107" s="30" t="n">
        <x:v>2019</x:v>
      </x:c>
      <x:c r="E107" s="24" t="str">
        <x:v>Caranx sexfasciatus</x:v>
      </x:c>
      <x:c r="F107" s="24" t="str">
        <x:v>Bigeye trevally</x:v>
      </x:c>
      <x:c r="G107" s="24" t="str">
        <x:v>Large reef assoc. fish (&gt;=90 cm)</x:v>
      </x:c>
      <x:c r="H107" s="24" t="str">
        <x:v>Perch-likes</x:v>
      </x:c>
      <x:c r="I107" s="31" t="n">
        <x:v>105.81071695930001</x:v>
      </x:c>
      <x:c r="J107" s="31" t="n">
        <x:v>105.81071695930001</x:v>
      </x:c>
      <x:c r="K107" s="31" t="n">
        <x:v>0</x:v>
      </x:c>
      <x:c r="L107" s="31" t="n">
        <x:v>94.9454080282</x:v>
      </x:c>
      <x:c r="M107" s="31" t="n">
        <x:v>10.8653089311</x:v>
      </x:c>
      <x:c r="N107" s="24" t="str">
        <x:v>caranx sexfasciatus</x:v>
      </x:c>
      <x:c r="O107" s="32" t="n">
        <x:v>4.5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Caranx sexfasciatus</x:v>
      </x:c>
      <x:c r="T107" s="32" t="n">
        <x:f>IF(O107="","",(1/'Metadata'!$B$5)^(O107-1))</x:f>
        <x:v>3162.2776601683795</x:v>
      </x:c>
      <x:c r="U107" s="31" t="n">
        <x:f>IF(T107="","",I107*T107)</x:f>
        <x:v>334602.8664467939</x:v>
      </x:c>
    </x:row>
    <x:row r="108" ht="18" customHeight="1">
      <x:c r="A108" s="24" t="str">
        <x:v>LME_033</x:v>
      </x:c>
      <x:c r="B108" s="24" t="str">
        <x:v>Red Sea</x:v>
      </x:c>
      <x:c r="C108" s="24" t="str">
        <x:v>LME</x:v>
      </x:c>
      <x:c r="D108" s="30" t="n">
        <x:v>2019</x:v>
      </x:c>
      <x:c r="E108" s="24" t="str">
        <x:v>Rhabdosargus haffara</x:v>
      </x:c>
      <x:c r="F108" s="24" t="str">
        <x:v>Haffara seabream</x:v>
      </x:c>
      <x:c r="G108" s="24" t="str">
        <x:v>Medium reef assoc. fish (30 - 89 cm)</x:v>
      </x:c>
      <x:c r="H108" s="24" t="str">
        <x:v>Perch-likes</x:v>
      </x:c>
      <x:c r="I108" s="31" t="n">
        <x:v>104.5349771686</x:v>
      </x:c>
      <x:c r="J108" s="31" t="n">
        <x:v>104.5349771686</x:v>
      </x:c>
      <x:c r="K108" s="31" t="n">
        <x:v>0</x:v>
      </x:c>
      <x:c r="L108" s="31" t="n">
        <x:v>92.2294410535</x:v>
      </x:c>
      <x:c r="M108" s="31" t="n">
        <x:v>12.3055361151</x:v>
      </x:c>
      <x:c r="N108" s="24" t="str">
        <x:v>rhabdosargus haffara</x:v>
      </x:c>
      <x:c r="O108" s="32" t="n">
        <x:v>3.5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Rhabdosargus haffara</x:v>
      </x:c>
      <x:c r="T108" s="32" t="n">
        <x:f>IF(O108="","",(1/'Metadata'!$B$5)^(O108-1))</x:f>
        <x:v>316.22776601683796</x:v>
      </x:c>
      <x:c r="U108" s="31" t="n">
        <x:f>IF(T108="","",I108*T108)</x:f>
        <x:v>33056.86230064754</x:v>
      </x:c>
    </x:row>
    <x:row r="109" ht="18" customHeight="1">
      <x:c r="A109" s="24" t="str">
        <x:v>LME_033</x:v>
      </x:c>
      <x:c r="B109" s="24" t="str">
        <x:v>Red Sea</x:v>
      </x:c>
      <x:c r="C109" s="24" t="str">
        <x:v>LME</x:v>
      </x:c>
      <x:c r="D109" s="30" t="n">
        <x:v>2019</x:v>
      </x:c>
      <x:c r="E109" s="24" t="str">
        <x:v>Trichiurus</x:v>
      </x:c>
      <x:c r="F109" s="24" t="str">
        <x:v>Hairtails</x:v>
      </x:c>
      <x:c r="G109" s="24" t="str">
        <x:v>Large benthopelagics (&gt;=90 cm)</x:v>
      </x:c>
      <x:c r="H109" s="24" t="str">
        <x:v>Perch-likes</x:v>
      </x:c>
      <x:c r="I109" s="31" t="n">
        <x:v>101.8322538719</x:v>
      </x:c>
      <x:c r="J109" s="31" t="n">
        <x:v>0</x:v>
      </x:c>
      <x:c r="K109" s="31" t="n">
        <x:v>101.8322538719</x:v>
      </x:c>
      <x:c r="L109" s="31" t="n">
        <x:v>0</x:v>
      </x:c>
      <x:c r="M109" s="31" t="n">
        <x:v>101.8322538719</x:v>
      </x:c>
      <x:c r="N109" s="24" t="str">
        <x:v>trichiurus</x:v>
      </x:c>
      <x:c r="O109" s="32" t="n">
        <x:v>4.42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Trichiurus</x:v>
      </x:c>
      <x:c r="T109" s="32" t="n">
        <x:f>IF(O109="","",(1/'Metadata'!$B$5)^(O109-1))</x:f>
        <x:v>2630.2679918953813</x:v>
      </x:c>
      <x:c r="U109" s="31" t="n">
        <x:f>IF(T109="","",I109*T109)</x:f>
        <x:v>267846.1179018231</x:v>
      </x:c>
    </x:row>
    <x:row r="110" ht="18" customHeight="1">
      <x:c r="A110" s="24" t="str">
        <x:v>LME_033</x:v>
      </x:c>
      <x:c r="B110" s="24" t="str">
        <x:v>Red Sea</x:v>
      </x:c>
      <x:c r="C110" s="24" t="str">
        <x:v>LME</x:v>
      </x:c>
      <x:c r="D110" s="30" t="n">
        <x:v>2019</x:v>
      </x:c>
      <x:c r="E110" s="24" t="str">
        <x:v>Engraulidae</x:v>
      </x:c>
      <x:c r="F110" s="24" t="str">
        <x:v>Anchovies, round herrings</x:v>
      </x:c>
      <x:c r="G110" s="24" t="str">
        <x:v>Small pelagics (&lt;30 cm)</x:v>
      </x:c>
      <x:c r="H110" s="24" t="str">
        <x:v>Anchovies</x:v>
      </x:c>
      <x:c r="I110" s="31" t="n">
        <x:v>100.4297376278</x:v>
      </x:c>
      <x:c r="J110" s="31" t="n">
        <x:v>46.4048243198</x:v>
      </x:c>
      <x:c r="K110" s="31" t="n">
        <x:v>54.024913308</x:v>
      </x:c>
      <x:c r="L110" s="31" t="n">
        <x:v>0</x:v>
      </x:c>
      <x:c r="M110" s="31" t="n">
        <x:v>100.4297376278</x:v>
      </x:c>
      <x:c r="N110" s="24" t="str">
        <x:v>engraulidae</x:v>
      </x:c>
      <x:c r="O110" s="32" t="n">
        <x:v>3.2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Engraulidae</x:v>
      </x:c>
      <x:c r="T110" s="32" t="n">
        <x:f>IF(O110="","",(1/'Metadata'!$B$5)^(O110-1))</x:f>
        <x:v>158.48931924611142</x:v>
      </x:c>
      <x:c r="U110" s="31" t="n">
        <x:f>IF(T110="","",I110*T110)</x:f>
        <x:v>15917.040748695603</x:v>
      </x:c>
    </x:row>
    <x:row r="111" ht="18" customHeight="1">
      <x:c r="A111" s="24" t="str">
        <x:v>LME_033</x:v>
      </x:c>
      <x:c r="B111" s="24" t="str">
        <x:v>Red Sea</x:v>
      </x:c>
      <x:c r="C111" s="24" t="str">
        <x:v>LME</x:v>
      </x:c>
      <x:c r="D111" s="30" t="n">
        <x:v>2019</x:v>
      </x:c>
      <x:c r="E111" s="24" t="str">
        <x:v>Labridae</x:v>
      </x:c>
      <x:c r="F111" s="24" t="str">
        <x:v>Wrasses, gropers, tuskfishes</x:v>
      </x:c>
      <x:c r="G111" s="24" t="str">
        <x:v>Medium reef assoc. fish (30 - 89 cm)</x:v>
      </x:c>
      <x:c r="H111" s="24" t="str">
        <x:v>Perch-likes</x:v>
      </x:c>
      <x:c r="I111" s="31" t="n">
        <x:v>95.5678294953</x:v>
      </x:c>
      <x:c r="J111" s="31" t="n">
        <x:v>95.5678294953</x:v>
      </x:c>
      <x:c r="K111" s="31" t="n">
        <x:v>0</x:v>
      </x:c>
      <x:c r="L111" s="31" t="n">
        <x:v>82.9260815622</x:v>
      </x:c>
      <x:c r="M111" s="31" t="n">
        <x:v>12.6417479331</x:v>
      </x:c>
      <x:c r="N111" s="24" t="str">
        <x:v>labridae</x:v>
      </x:c>
      <x:c r="O111" s="32" t="n">
        <x:v>3.46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Labridae</x:v>
      </x:c>
      <x:c r="T111" s="32" t="n">
        <x:f>IF(O111="","",(1/'Metadata'!$B$5)^(O111-1))</x:f>
        <x:v>288.40315031266056</x:v>
      </x:c>
      <x:c r="U111" s="31" t="n">
        <x:f>IF(T111="","",I111*T111)</x:f>
        <x:v>27562.063094987723</x:v>
      </x:c>
    </x:row>
    <x:row r="112" ht="18" customHeight="1">
      <x:c r="A112" s="24" t="str">
        <x:v>LME_033</x:v>
      </x:c>
      <x:c r="B112" s="24" t="str">
        <x:v>Red Sea</x:v>
      </x:c>
      <x:c r="C112" s="24" t="str">
        <x:v>LME</x:v>
      </x:c>
      <x:c r="D112" s="30" t="n">
        <x:v>2019</x:v>
      </x:c>
      <x:c r="E112" s="24" t="str">
        <x:v>Caranx lugubris</x:v>
      </x:c>
      <x:c r="F112" s="24" t="str">
        <x:v>Black jack</x:v>
      </x:c>
      <x:c r="G112" s="24" t="str">
        <x:v>Large benthopelagics (&gt;=90 cm)</x:v>
      </x:c>
      <x:c r="H112" s="24" t="str">
        <x:v>Perch-likes</x:v>
      </x:c>
      <x:c r="I112" s="31" t="n">
        <x:v>94.1860469189</x:v>
      </x:c>
      <x:c r="J112" s="31" t="n">
        <x:v>94.1860469189</x:v>
      </x:c>
      <x:c r="K112" s="31" t="n">
        <x:v>0</x:v>
      </x:c>
      <x:c r="L112" s="31" t="n">
        <x:v>0</x:v>
      </x:c>
      <x:c r="M112" s="31" t="n">
        <x:v>94.1860469189</x:v>
      </x:c>
      <x:c r="N112" s="24" t="str">
        <x:v>caranx lugubris</x:v>
      </x:c>
      <x:c r="O112" s="32" t="n">
        <x:v>4.5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Caranx lugubris</x:v>
      </x:c>
      <x:c r="T112" s="32" t="n">
        <x:f>IF(O112="","",(1/'Metadata'!$B$5)^(O112-1))</x:f>
        <x:v>3162.2776601683795</x:v>
      </x:c>
      <x:c r="U112" s="31" t="n">
        <x:f>IF(T112="","",I112*T112)</x:f>
        <x:v>297842.4320712083</x:v>
      </x:c>
    </x:row>
    <x:row r="113" ht="18" customHeight="1">
      <x:c r="A113" s="24" t="str">
        <x:v>LME_033</x:v>
      </x:c>
      <x:c r="B113" s="24" t="str">
        <x:v>Red Sea</x:v>
      </x:c>
      <x:c r="C113" s="24" t="str">
        <x:v>LME</x:v>
      </x:c>
      <x:c r="D113" s="30" t="n">
        <x:v>2019</x:v>
      </x:c>
      <x:c r="E113" s="24" t="str">
        <x:v>Gymnosarda unicolor</x:v>
      </x:c>
      <x:c r="F113" s="24" t="str">
        <x:v>Dogtooth tuna</x:v>
      </x:c>
      <x:c r="G113" s="24" t="str">
        <x:v>Large reef assoc. fish (&gt;=90 cm)</x:v>
      </x:c>
      <x:c r="H113" s="24" t="str">
        <x:v>Tuna &amp; billfishes</x:v>
      </x:c>
      <x:c r="I113" s="31" t="n">
        <x:v>91.3552795394</x:v>
      </x:c>
      <x:c r="J113" s="31" t="n">
        <x:v>91.3552795394</x:v>
      </x:c>
      <x:c r="K113" s="31" t="n">
        <x:v>0</x:v>
      </x:c>
      <x:c r="L113" s="31" t="n">
        <x:v>85.76392101</x:v>
      </x:c>
      <x:c r="M113" s="31" t="n">
        <x:v>5.5913585294</x:v>
      </x:c>
      <x:c r="N113" s="24" t="str">
        <x:v>gymnosarda unicolor</x:v>
      </x:c>
      <x:c r="O113" s="32" t="n">
        <x:v>4.5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Gymnosarda unicolor</x:v>
      </x:c>
      <x:c r="T113" s="32" t="n">
        <x:f>IF(O113="","",(1/'Metadata'!$B$5)^(O113-1))</x:f>
        <x:v>3162.2776601683795</x:v>
      </x:c>
      <x:c r="U113" s="31" t="n">
        <x:f>IF(T113="","",I113*T113)</x:f>
        <x:v>288890.7596258821</x:v>
      </x:c>
    </x:row>
    <x:row r="114" ht="18" customHeight="1">
      <x:c r="A114" s="24" t="str">
        <x:v>LME_033</x:v>
      </x:c>
      <x:c r="B114" s="24" t="str">
        <x:v>Red Sea</x:v>
      </x:c>
      <x:c r="C114" s="24" t="str">
        <x:v>LME</x:v>
      </x:c>
      <x:c r="D114" s="30" t="n">
        <x:v>2019</x:v>
      </x:c>
      <x:c r="E114" s="24" t="str">
        <x:v>Sargocentron spiniferum</x:v>
      </x:c>
      <x:c r="F114" s="24" t="str">
        <x:v>Sabre squirrelfish</x:v>
      </x:c>
      <x:c r="G114" s="24" t="str">
        <x:v>Medium reef assoc. fish (30 - 89 cm)</x:v>
      </x:c>
      <x:c r="H114" s="24" t="str">
        <x:v>Other fishes &amp; inverts</x:v>
      </x:c>
      <x:c r="I114" s="31" t="n">
        <x:v>84.5342125122</x:v>
      </x:c>
      <x:c r="J114" s="31" t="n">
        <x:v>84.5342125122</x:v>
      </x:c>
      <x:c r="K114" s="31" t="n">
        <x:v>0</x:v>
      </x:c>
      <x:c r="L114" s="31" t="n">
        <x:v>60.8509331657</x:v>
      </x:c>
      <x:c r="M114" s="31" t="n">
        <x:v>23.6832793465</x:v>
      </x:c>
      <x:c r="N114" s="24" t="str">
        <x:v>sargocentron spiniferum</x:v>
      </x:c>
      <x:c r="O114" s="32" t="n">
        <x:v>3.6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Sargocentron spiniferum</x:v>
      </x:c>
      <x:c r="T114" s="32" t="n">
        <x:f>IF(O114="","",(1/'Metadata'!$B$5)^(O114-1))</x:f>
        <x:v>398.1071705534973</x:v>
      </x:c>
      <x:c r="U114" s="31" t="n">
        <x:f>IF(T114="","",I114*T114)</x:f>
        <x:v>33653.676158199996</x:v>
      </x:c>
    </x:row>
    <x:row r="115" ht="18" customHeight="1">
      <x:c r="A115" s="24" t="str">
        <x:v>LME_033</x:v>
      </x:c>
      <x:c r="B115" s="24" t="str">
        <x:v>Red Sea</x:v>
      </x:c>
      <x:c r="C115" s="24" t="str">
        <x:v>LME</x:v>
      </x:c>
      <x:c r="D115" s="30" t="n">
        <x:v>2019</x:v>
      </x:c>
      <x:c r="E115" s="24" t="str">
        <x:v>Holocentridae</x:v>
      </x:c>
      <x:c r="F115" s="24" t="str">
        <x:v>Squirrel-, soldierfishes</x:v>
      </x:c>
      <x:c r="G115" s="24" t="str">
        <x:v>Small reef assoc. fish (&lt;30 cm)</x:v>
      </x:c>
      <x:c r="H115" s="24" t="str">
        <x:v>Other fishes &amp; inverts</x:v>
      </x:c>
      <x:c r="I115" s="31" t="n">
        <x:v>84.35655614219999</x:v>
      </x:c>
      <x:c r="J115" s="31" t="n">
        <x:v>84.35655614219999</x:v>
      </x:c>
      <x:c r="K115" s="31" t="n">
        <x:v>0</x:v>
      </x:c>
      <x:c r="L115" s="31" t="n">
        <x:v>84.35655614219999</x:v>
      </x:c>
      <x:c r="M115" s="31" t="n">
        <x:v>0</x:v>
      </x:c>
      <x:c r="N115" s="24" t="str">
        <x:v>holocentridae</x:v>
      </x:c>
      <x:c r="O115" s="32" t="n">
        <x:v>3.49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Holocentridae</x:v>
      </x:c>
      <x:c r="T115" s="32" t="n">
        <x:f>IF(O115="","",(1/'Metadata'!$B$5)^(O115-1))</x:f>
        <x:v>309.0295432513592</x:v>
      </x:c>
      <x:c r="U115" s="31" t="n">
        <x:f>IF(T115="","",I115*T115)</x:f>
        <x:v>26068.668014881703</x:v>
      </x:c>
    </x:row>
    <x:row r="116" ht="18" customHeight="1">
      <x:c r="A116" s="24" t="str">
        <x:v>LME_033</x:v>
      </x:c>
      <x:c r="B116" s="24" t="str">
        <x:v>Red Sea</x:v>
      </x:c>
      <x:c r="C116" s="24" t="str">
        <x:v>LME</x:v>
      </x:c>
      <x:c r="D116" s="30" t="n">
        <x:v>2019</x:v>
      </x:c>
      <x:c r="E116" s="24" t="str">
        <x:v>Sphyraena jello</x:v>
      </x:c>
      <x:c r="F116" s="24" t="str">
        <x:v>Pickhandle barracuda</x:v>
      </x:c>
      <x:c r="G116" s="24" t="str">
        <x:v>Large reef assoc. fish (&gt;=90 cm)</x:v>
      </x:c>
      <x:c r="H116" s="24" t="str">
        <x:v>Perch-likes</x:v>
      </x:c>
      <x:c r="I116" s="31" t="n">
        <x:v>82.2397560661</x:v>
      </x:c>
      <x:c r="J116" s="31" t="n">
        <x:v>82.2397560661</x:v>
      </x:c>
      <x:c r="K116" s="31" t="n">
        <x:v>0</x:v>
      </x:c>
      <x:c r="L116" s="31" t="n">
        <x:v>75.3520185152</x:v>
      </x:c>
      <x:c r="M116" s="31" t="n">
        <x:v>6.8877375509</x:v>
      </x:c>
      <x:c r="N116" s="24" t="str">
        <x:v>sphyraena jello</x:v>
      </x:c>
      <x:c r="O116" s="32" t="n">
        <x:v>4.5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Sphyraena jello</x:v>
      </x:c>
      <x:c r="T116" s="32" t="n">
        <x:f>IF(O116="","",(1/'Metadata'!$B$5)^(O116-1))</x:f>
        <x:v>3162.2776601683795</x:v>
      </x:c>
      <x:c r="U116" s="31" t="n">
        <x:f>IF(T116="","",I116*T116)</x:f>
        <x:v>260064.943385525</x:v>
      </x:c>
    </x:row>
    <x:row r="117" ht="18" customHeight="1">
      <x:c r="A117" s="24" t="str">
        <x:v>LME_033</x:v>
      </x:c>
      <x:c r="B117" s="24" t="str">
        <x:v>Red Sea</x:v>
      </x:c>
      <x:c r="C117" s="24" t="str">
        <x:v>LME</x:v>
      </x:c>
      <x:c r="D117" s="30" t="n">
        <x:v>2019</x:v>
      </x:c>
      <x:c r="E117" s="24" t="str">
        <x:v>Chanos chanos</x:v>
      </x:c>
      <x:c r="F117" s="24" t="str">
        <x:v>Milkfish</x:v>
      </x:c>
      <x:c r="G117" s="24" t="str">
        <x:v>Large benthopelagics (&gt;=90 cm)</x:v>
      </x:c>
      <x:c r="H117" s="24" t="str">
        <x:v>Other fishes &amp; inverts</x:v>
      </x:c>
      <x:c r="I117" s="31" t="n">
        <x:v>77.4109508331</x:v>
      </x:c>
      <x:c r="J117" s="31" t="n">
        <x:v>77.4109508331</x:v>
      </x:c>
      <x:c r="K117" s="31" t="n">
        <x:v>0</x:v>
      </x:c>
      <x:c r="L117" s="31" t="n">
        <x:v>50.0357561157</x:v>
      </x:c>
      <x:c r="M117" s="31" t="n">
        <x:v>27.3751947174</x:v>
      </x:c>
      <x:c r="N117" s="24" t="str">
        <x:v>chanos chanos</x:v>
      </x:c>
      <x:c r="O117" s="32" t="n">
        <x:v>2.03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Chanos chanos</x:v>
      </x:c>
      <x:c r="T117" s="32" t="n">
        <x:f>IF(O117="","",(1/'Metadata'!$B$5)^(O117-1))</x:f>
        <x:v>10.71519305237606</x:v>
      </x:c>
      <x:c r="U117" s="31" t="n">
        <x:f>IF(T117="","",I117*T117)</x:f>
        <x:v>829.473282544658</x:v>
      </x:c>
    </x:row>
    <x:row r="118" ht="18" customHeight="1">
      <x:c r="A118" s="24" t="str">
        <x:v>LME_033</x:v>
      </x:c>
      <x:c r="B118" s="24" t="str">
        <x:v>Red Sea</x:v>
      </x:c>
      <x:c r="C118" s="24" t="str">
        <x:v>LME</x:v>
      </x:c>
      <x:c r="D118" s="30" t="n">
        <x:v>2019</x:v>
      </x:c>
      <x:c r="E118" s="24" t="str">
        <x:v>Trachinotus blochii</x:v>
      </x:c>
      <x:c r="F118" s="24" t="str">
        <x:v>Snubnose pompano</x:v>
      </x:c>
      <x:c r="G118" s="24" t="str">
        <x:v>Large reef assoc. fish (&gt;=90 cm)</x:v>
      </x:c>
      <x:c r="H118" s="24" t="str">
        <x:v>Perch-likes</x:v>
      </x:c>
      <x:c r="I118" s="31" t="n">
        <x:v>76.8499599566</x:v>
      </x:c>
      <x:c r="J118" s="31" t="n">
        <x:v>76.8499599566</x:v>
      </x:c>
      <x:c r="K118" s="31" t="n">
        <x:v>0</x:v>
      </x:c>
      <x:c r="L118" s="31" t="n">
        <x:v>70.1843167222</x:v>
      </x:c>
      <x:c r="M118" s="31" t="n">
        <x:v>6.6656432344</x:v>
      </x:c>
      <x:c r="N118" s="24" t="str">
        <x:v>trachinotus blochii</x:v>
      </x:c>
      <x:c r="O118" s="32" t="n">
        <x:v>3.74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Trachinotus blochii</x:v>
      </x:c>
      <x:c r="T118" s="32" t="n">
        <x:f>IF(O118="","",(1/'Metadata'!$B$5)^(O118-1))</x:f>
        <x:v>549.5408738576248</x:v>
      </x:c>
      <x:c r="U118" s="31" t="n">
        <x:f>IF(T118="","",I118*T118)</x:f>
        <x:v>42232.194150473435</x:v>
      </x:c>
    </x:row>
    <x:row r="119" ht="18" customHeight="1">
      <x:c r="A119" s="24" t="str">
        <x:v>LME_033</x:v>
      </x:c>
      <x:c r="B119" s="24" t="str">
        <x:v>Red Sea</x:v>
      </x:c>
      <x:c r="C119" s="24" t="str">
        <x:v>LME</x:v>
      </x:c>
      <x:c r="D119" s="30" t="n">
        <x:v>2019</x:v>
      </x:c>
      <x:c r="E119" s="24" t="str">
        <x:v>Sillago sihama</x:v>
      </x:c>
      <x:c r="F119" s="24" t="str">
        <x:v>Silver sillago</x:v>
      </x:c>
      <x:c r="G119" s="24" t="str">
        <x:v>Medium demersals (30 - 89 cm)</x:v>
      </x:c>
      <x:c r="H119" s="24" t="str">
        <x:v>Perch-likes</x:v>
      </x:c>
      <x:c r="I119" s="31" t="n">
        <x:v>70.6049713887</x:v>
      </x:c>
      <x:c r="J119" s="31" t="n">
        <x:v>70.6049713887</x:v>
      </x:c>
      <x:c r="K119" s="31" t="n">
        <x:v>0</x:v>
      </x:c>
      <x:c r="L119" s="31" t="n">
        <x:v>67.9012493848</x:v>
      </x:c>
      <x:c r="M119" s="31" t="n">
        <x:v>2.7037220039</x:v>
      </x:c>
      <x:c r="N119" s="24" t="str">
        <x:v>sillago sihama</x:v>
      </x:c>
      <x:c r="O119" s="32" t="n">
        <x:v>3.33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Sillago sihama</x:v>
      </x:c>
      <x:c r="T119" s="32" t="n">
        <x:f>IF(O119="","",(1/'Metadata'!$B$5)^(O119-1))</x:f>
        <x:v>213.79620895022325</x:v>
      </x:c>
      <x:c r="U119" s="31" t="n">
        <x:f>IF(T119="","",I119*T119)</x:f>
        <x:v>15095.075215943038</x:v>
      </x:c>
    </x:row>
    <x:row r="120" ht="18" customHeight="1">
      <x:c r="A120" s="24" t="str">
        <x:v>LME_033</x:v>
      </x:c>
      <x:c r="B120" s="24" t="str">
        <x:v>Red Sea</x:v>
      </x:c>
      <x:c r="C120" s="24" t="str">
        <x:v>LME</x:v>
      </x:c>
      <x:c r="D120" s="30" t="n">
        <x:v>2019</x:v>
      </x:c>
      <x:c r="E120" s="24" t="str">
        <x:v>Lethrinus microdon</x:v>
      </x:c>
      <x:c r="F120" s="24" t="str">
        <x:v>Smalltooth emperor</x:v>
      </x:c>
      <x:c r="G120" s="24" t="str">
        <x:v>Medium reef assoc. fish (30 - 89 cm)</x:v>
      </x:c>
      <x:c r="H120" s="24" t="str">
        <x:v>Perch-likes</x:v>
      </x:c>
      <x:c r="I120" s="31" t="n">
        <x:v>62.5226005628</x:v>
      </x:c>
      <x:c r="J120" s="31" t="n">
        <x:v>62.5226005628</x:v>
      </x:c>
      <x:c r="K120" s="31" t="n">
        <x:v>0</x:v>
      </x:c>
      <x:c r="L120" s="31" t="n">
        <x:v>36.729733602</x:v>
      </x:c>
      <x:c r="M120" s="31" t="n">
        <x:v>25.7928669608</x:v>
      </x:c>
      <x:c r="N120" s="24" t="str">
        <x:v>lethrinus microdon</x:v>
      </x:c>
      <x:c r="O120" s="32" t="n">
        <x:v>3.79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Lethrinus microdon</x:v>
      </x:c>
      <x:c r="T120" s="32" t="n">
        <x:f>IF(O120="","",(1/'Metadata'!$B$5)^(O120-1))</x:f>
        <x:v>616.5950018614822</x:v>
      </x:c>
      <x:c r="U120" s="31" t="n">
        <x:f>IF(T120="","",I120*T120)</x:f>
        <x:v>38551.12301040437</x:v>
      </x:c>
    </x:row>
    <x:row r="121" ht="18" customHeight="1">
      <x:c r="A121" s="24" t="str">
        <x:v>LME_033</x:v>
      </x:c>
      <x:c r="B121" s="24" t="str">
        <x:v>Red Sea</x:v>
      </x:c>
      <x:c r="C121" s="24" t="str">
        <x:v>LME</x:v>
      </x:c>
      <x:c r="D121" s="30" t="n">
        <x:v>2019</x:v>
      </x:c>
      <x:c r="E121" s="24" t="str">
        <x:v>Cephalopholis argus</x:v>
      </x:c>
      <x:c r="F121" s="24" t="str">
        <x:v>Peacock hind</x:v>
      </x:c>
      <x:c r="G121" s="24" t="str">
        <x:v>Medium reef assoc. fish (30 - 89 cm)</x:v>
      </x:c>
      <x:c r="H121" s="24" t="str">
        <x:v>Perch-likes</x:v>
      </x:c>
      <x:c r="I121" s="31" t="n">
        <x:v>60.6799275551</x:v>
      </x:c>
      <x:c r="J121" s="31" t="n">
        <x:v>60.6799275551</x:v>
      </x:c>
      <x:c r="K121" s="31" t="n">
        <x:v>0</x:v>
      </x:c>
      <x:c r="L121" s="31" t="n">
        <x:v>54.89051938709999</x:v>
      </x:c>
      <x:c r="M121" s="31" t="n">
        <x:v>5.7894081680000005</x:v>
      </x:c>
      <x:c r="N121" s="24" t="str">
        <x:v>cephalopholis argus</x:v>
      </x:c>
      <x:c r="O121" s="32" t="n">
        <x:v>4.48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Cephalopholis argus</x:v>
      </x:c>
      <x:c r="T121" s="32" t="n">
        <x:f>IF(O121="","",(1/'Metadata'!$B$5)^(O121-1))</x:f>
        <x:v>3019.951720402019</x:v>
      </x:c>
      <x:c r="U121" s="31" t="n">
        <x:f>IF(T121="","",I121*T121)</x:f>
        <x:v>183250.4516138941</x:v>
      </x:c>
    </x:row>
    <x:row r="122" ht="18" customHeight="1">
      <x:c r="A122" s="24" t="str">
        <x:v>LME_033</x:v>
      </x:c>
      <x:c r="B122" s="24" t="str">
        <x:v>Red Sea</x:v>
      </x:c>
      <x:c r="C122" s="24" t="str">
        <x:v>LME</x:v>
      </x:c>
      <x:c r="D122" s="30" t="n">
        <x:v>2019</x:v>
      </x:c>
      <x:c r="E122" s="24" t="str">
        <x:v>Rachycentridae</x:v>
      </x:c>
      <x:c r="F122" s="24" t="str">
        <x:v>Cobias</x:v>
      </x:c>
      <x:c r="G122" s="24" t="str">
        <x:v>Large pelagics (&gt;=90 cm)</x:v>
      </x:c>
      <x:c r="H122" s="24" t="str">
        <x:v>Perch-likes</x:v>
      </x:c>
      <x:c r="I122" s="31" t="n">
        <x:v>60.6205395788</x:v>
      </x:c>
      <x:c r="J122" s="31" t="n">
        <x:v>60.6205395788</x:v>
      </x:c>
      <x:c r="K122" s="31" t="n">
        <x:v>0</x:v>
      </x:c>
      <x:c r="L122" s="31" t="n">
        <x:v>12.9839863305</x:v>
      </x:c>
      <x:c r="M122" s="31" t="n">
        <x:v>47.636553248300004</x:v>
      </x:c>
      <x:c r="N122" s="24" t="str">
        <x:v>rachycentridae</x:v>
      </x:c>
      <x:c r="O122" s="32" t="n">
        <x:v>3.96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Rachycentridae</x:v>
      </x:c>
      <x:c r="T122" s="32" t="n">
        <x:f>IF(O122="","",(1/'Metadata'!$B$5)^(O122-1))</x:f>
        <x:v>912.0108393559096</x:v>
      </x:c>
      <x:c r="U122" s="31" t="n">
        <x:f>IF(T122="","",I122*T122)</x:f>
        <x:v>55286.58918346953</x:v>
      </x:c>
    </x:row>
    <x:row r="123" ht="18" customHeight="1">
      <x:c r="A123" s="24" t="str">
        <x:v>LME_033</x:v>
      </x:c>
      <x:c r="B123" s="24" t="str">
        <x:v>Red Sea</x:v>
      </x:c>
      <x:c r="C123" s="24" t="str">
        <x:v>LME</x:v>
      </x:c>
      <x:c r="D123" s="30" t="n">
        <x:v>2019</x:v>
      </x:c>
      <x:c r="E123" s="24" t="str">
        <x:v>Malacostraca</x:v>
      </x:c>
      <x:c r="F123" s="24" t="str">
        <x:v>Lobsters, crabs, shrimps, krill</x:v>
      </x:c>
      <x:c r="G123" s="24" t="str">
        <x:v>Shrimps</x:v>
      </x:c>
      <x:c r="H123" s="24" t="str">
        <x:v>Crustaceans</x:v>
      </x:c>
      <x:c r="I123" s="31" t="n">
        <x:v>54.0166748472</x:v>
      </x:c>
      <x:c r="J123" s="31" t="n">
        <x:v>0</x:v>
      </x:c>
      <x:c r="K123" s="31" t="n">
        <x:v>54.0166748472</x:v>
      </x:c>
      <x:c r="L123" s="31" t="n">
        <x:v>0</x:v>
      </x:c>
      <x:c r="M123" s="31" t="n">
        <x:v>54.0166748472</x:v>
      </x:c>
      <x:c r="N123" s="24" t="str">
        <x:v>malacostraca</x:v>
      </x:c>
      <x:c r="O123" s="32" t="n">
        <x:v>3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Malacostraca</x:v>
      </x:c>
      <x:c r="T123" s="32" t="n">
        <x:f>IF(O123="","",(1/'Metadata'!$B$5)^(O123-1))</x:f>
        <x:v>100</x:v>
      </x:c>
      <x:c r="U123" s="31" t="n">
        <x:f>IF(T123="","",I123*T123)</x:f>
        <x:v>5401.66748472</x:v>
      </x:c>
    </x:row>
    <x:row r="124" ht="18" customHeight="1">
      <x:c r="A124" s="24" t="str">
        <x:v>LME_033</x:v>
      </x:c>
      <x:c r="B124" s="24" t="str">
        <x:v>Red Sea</x:v>
      </x:c>
      <x:c r="C124" s="24" t="str">
        <x:v>LME</x:v>
      </x:c>
      <x:c r="D124" s="30" t="n">
        <x:v>2019</x:v>
      </x:c>
      <x:c r="E124" s="24" t="str">
        <x:v>Platycaranx malabaricus</x:v>
      </x:c>
      <x:c r="F124" s="24" t="str">
        <x:v>Malabar trevally</x:v>
      </x:c>
      <x:c r="G124" s="24" t="str">
        <x:v>Medium reef assoc. fish (30 - 89 cm)</x:v>
      </x:c>
      <x:c r="H124" s="24" t="str">
        <x:v>Perch-likes</x:v>
      </x:c>
      <x:c r="I124" s="31" t="n">
        <x:v>50.5702765797</x:v>
      </x:c>
      <x:c r="J124" s="31" t="n">
        <x:v>50.521361838</x:v>
      </x:c>
      <x:c r="K124" s="31" t="n">
        <x:v>0.0489147417</x:v>
      </x:c>
      <x:c r="L124" s="31" t="n">
        <x:v>43.4699581083</x:v>
      </x:c>
      <x:c r="M124" s="31" t="n">
        <x:v>7.1003184714</x:v>
      </x:c>
      <x:c r="N124" s="24" t="str">
        <x:v>platycaranx malabaricus</x:v>
      </x:c>
      <x:c r="O124" s="32" t="n">
        <x:v>3.88</x:v>
      </x:c>
      <x:c r="P124" s="24" t="str">
        <x:v>exact_sea_around_us</x:v>
      </x:c>
      <x:c r="Q124" s="32" t="str">
        <x:v>Sea Around Us exploited organisms</x:v>
      </x:c>
      <x:c r="R124" s="24" t="str">
        <x:v>high</x:v>
      </x:c>
      <x:c r="S124" s="24" t="str">
        <x:v>Platycaranx malabaricus</x:v>
      </x:c>
      <x:c r="T124" s="32" t="n">
        <x:f>IF(O124="","",(1/'Metadata'!$B$5)^(O124-1))</x:f>
        <x:v>758.5775750291835</x:v>
      </x:c>
      <x:c r="U124" s="31" t="n">
        <x:f>IF(T124="","",I124*T124)</x:f>
        <x:v>38361.47777638394</x:v>
      </x:c>
    </x:row>
    <x:row r="125" ht="18" customHeight="1">
      <x:c r="A125" s="24" t="str">
        <x:v>LME_033</x:v>
      </x:c>
      <x:c r="B125" s="24" t="str">
        <x:v>Red Sea</x:v>
      </x:c>
      <x:c r="C125" s="24" t="str">
        <x:v>LME</x:v>
      </x:c>
      <x:c r="D125" s="30" t="n">
        <x:v>2019</x:v>
      </x:c>
      <x:c r="E125" s="24" t="str">
        <x:v>Acanthopagrus bifasciatus</x:v>
      </x:c>
      <x:c r="F125" s="24" t="str">
        <x:v>Twobar seabream</x:v>
      </x:c>
      <x:c r="G125" s="24" t="str">
        <x:v>Medium reef assoc. fish (30 - 89 cm)</x:v>
      </x:c>
      <x:c r="H125" s="24" t="str">
        <x:v>Perch-likes</x:v>
      </x:c>
      <x:c r="I125" s="31" t="n">
        <x:v>50.0958657755</x:v>
      </x:c>
      <x:c r="J125" s="31" t="n">
        <x:v>50.0958657755</x:v>
      </x:c>
      <x:c r="K125" s="31" t="n">
        <x:v>0</x:v>
      </x:c>
      <x:c r="L125" s="31" t="n">
        <x:v>44.5709522004</x:v>
      </x:c>
      <x:c r="M125" s="31" t="n">
        <x:v>5.5249135751</x:v>
      </x:c>
      <x:c r="N125" s="24" t="str">
        <x:v>acanthopagrus bifasciatus</x:v>
      </x:c>
      <x:c r="O125" s="32" t="n">
        <x:v>3.39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Acanthopagrus bifasciatus</x:v>
      </x:c>
      <x:c r="T125" s="32" t="n">
        <x:f>IF(O125="","",(1/'Metadata'!$B$5)^(O125-1))</x:f>
        <x:v>245.4708915685031</x:v>
      </x:c>
      <x:c r="U125" s="31" t="n">
        <x:f>IF(T125="","",I125*T125)</x:f>
        <x:v>12297.076835808046</x:v>
      </x:c>
    </x:row>
    <x:row r="126" ht="18" customHeight="1">
      <x:c r="A126" s="24" t="str">
        <x:v>LME_033</x:v>
      </x:c>
      <x:c r="B126" s="24" t="str">
        <x:v>Red Sea</x:v>
      </x:c>
      <x:c r="C126" s="24" t="str">
        <x:v>LME</x:v>
      </x:c>
      <x:c r="D126" s="30" t="n">
        <x:v>2019</x:v>
      </x:c>
      <x:c r="E126" s="24" t="str">
        <x:v>Soleidae</x:v>
      </x:c>
      <x:c r="F126" s="24" t="str">
        <x:v>Soles</x:v>
      </x:c>
      <x:c r="G126" s="24" t="str">
        <x:v>Small to medium flatfishes (&lt;90 cm)</x:v>
      </x:c>
      <x:c r="H126" s="24" t="str">
        <x:v>Flatfishes</x:v>
      </x:c>
      <x:c r="I126" s="31" t="n">
        <x:v>49.763459484200006</x:v>
      </x:c>
      <x:c r="J126" s="31" t="n">
        <x:v>0</x:v>
      </x:c>
      <x:c r="K126" s="31" t="n">
        <x:v>49.763459484200006</x:v>
      </x:c>
      <x:c r="L126" s="31" t="n">
        <x:v>0</x:v>
      </x:c>
      <x:c r="M126" s="31" t="n">
        <x:v>49.763459484200006</x:v>
      </x:c>
      <x:c r="N126" s="24" t="str">
        <x:v>soleidae</x:v>
      </x:c>
      <x:c r="O126" s="32" t="n">
        <x:v>3.15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Soleidae</x:v>
      </x:c>
      <x:c r="T126" s="32" t="n">
        <x:f>IF(O126="","",(1/'Metadata'!$B$5)^(O126-1))</x:f>
        <x:v>141.2537544622754</x:v>
      </x:c>
      <x:c r="U126" s="31" t="n">
        <x:f>IF(T126="","",I126*T126)</x:f>
        <x:v>7029.275487174577</x:v>
      </x:c>
    </x:row>
    <x:row r="127" ht="18" customHeight="1">
      <x:c r="A127" s="24" t="str">
        <x:v>LME_033</x:v>
      </x:c>
      <x:c r="B127" s="24" t="str">
        <x:v>Red Sea</x:v>
      </x:c>
      <x:c r="C127" s="24" t="str">
        <x:v>LME</x:v>
      </x:c>
      <x:c r="D127" s="30" t="n">
        <x:v>2019</x:v>
      </x:c>
      <x:c r="E127" s="24" t="str">
        <x:v>Holothuroidea</x:v>
      </x:c>
      <x:c r="F127" s="24" t="str">
        <x:v>Sea cucumbers</x:v>
      </x:c>
      <x:c r="G127" s="24" t="str">
        <x:v>Other demersal invertebrates</x:v>
      </x:c>
      <x:c r="H127" s="24" t="str">
        <x:v>Other fishes &amp; inverts</x:v>
      </x:c>
      <x:c r="I127" s="31" t="n">
        <x:v>46.1640023311</x:v>
      </x:c>
      <x:c r="J127" s="31" t="n">
        <x:v>46.1640023311</x:v>
      </x:c>
      <x:c r="K127" s="31" t="n">
        <x:v>0</x:v>
      </x:c>
      <x:c r="L127" s="31" t="n">
        <x:v>4.0803582316</x:v>
      </x:c>
      <x:c r="M127" s="31" t="n">
        <x:v>42.0836440995</x:v>
      </x:c>
      <x:c r="N127" s="24" t="str">
        <x:v>holothuroidea</x:v>
      </x:c>
      <x:c r="O127" s="32" t="n">
        <x:v>2</x:v>
      </x:c>
      <x:c r="P127" s="24" t="str">
        <x:v>exact_sea_around_us</x:v>
      </x:c>
      <x:c r="Q127" s="32" t="str">
        <x:v>Sea Around Us exploited organisms</x:v>
      </x:c>
      <x:c r="R127" s="24" t="str">
        <x:v>high</x:v>
      </x:c>
      <x:c r="S127" s="24" t="str">
        <x:v>Holothuroidea</x:v>
      </x:c>
      <x:c r="T127" s="32" t="n">
        <x:f>IF(O127="","",(1/'Metadata'!$B$5)^(O127-1))</x:f>
        <x:v>10</x:v>
      </x:c>
      <x:c r="U127" s="31" t="n">
        <x:f>IF(T127="","",I127*T127)</x:f>
        <x:v>461.640023311</x:v>
      </x:c>
    </x:row>
    <x:row r="128" ht="18" customHeight="1">
      <x:c r="A128" s="24" t="str">
        <x:v>LME_033</x:v>
      </x:c>
      <x:c r="B128" s="24" t="str">
        <x:v>Red Sea</x:v>
      </x:c>
      <x:c r="C128" s="24" t="str">
        <x:v>LME</x:v>
      </x:c>
      <x:c r="D128" s="30" t="n">
        <x:v>2019</x:v>
      </x:c>
      <x:c r="E128" s="24" t="str">
        <x:v>Gastropoda</x:v>
      </x:c>
      <x:c r="F128" s="24" t="str">
        <x:v>Sea snails</x:v>
      </x:c>
      <x:c r="G128" s="24" t="str">
        <x:v>Other demersal invertebrates</x:v>
      </x:c>
      <x:c r="H128" s="24" t="str">
        <x:v>Molluscs</x:v>
      </x:c>
      <x:c r="I128" s="31" t="n">
        <x:v>45.941731881699994</x:v>
      </x:c>
      <x:c r="J128" s="31" t="n">
        <x:v>45.941731881699994</x:v>
      </x:c>
      <x:c r="K128" s="31" t="n">
        <x:v>0</x:v>
      </x:c>
      <x:c r="L128" s="31" t="n">
        <x:v>45.941731881699994</x:v>
      </x:c>
      <x:c r="M128" s="31" t="n">
        <x:v>0</x:v>
      </x:c>
      <x:c r="N128" s="24" t="str">
        <x:v>gastropoda</x:v>
      </x:c>
      <x:c r="O128" s="32" t="n">
        <x:v>3.06</x:v>
      </x:c>
      <x:c r="P128" s="24" t="str">
        <x:v>exact_sea_around_us</x:v>
      </x:c>
      <x:c r="Q128" s="32" t="str">
        <x:v>Sea Around Us exploited organisms</x:v>
      </x:c>
      <x:c r="R128" s="24" t="str">
        <x:v>high</x:v>
      </x:c>
      <x:c r="S128" s="24" t="str">
        <x:v>Gastropoda</x:v>
      </x:c>
      <x:c r="T128" s="32" t="n">
        <x:f>IF(O128="","",(1/'Metadata'!$B$5)^(O128-1))</x:f>
        <x:v>114.81536214968828</x:v>
      </x:c>
      <x:c r="U128" s="31" t="n">
        <x:f>IF(T128="","",I128*T128)</x:f>
        <x:v>5274.816583781265</x:v>
      </x:c>
    </x:row>
    <x:row r="129" ht="18" customHeight="1">
      <x:c r="A129" s="24" t="str">
        <x:v>LME_033</x:v>
      </x:c>
      <x:c r="B129" s="24" t="str">
        <x:v>Red Sea</x:v>
      </x:c>
      <x:c r="C129" s="24" t="str">
        <x:v>LME</x:v>
      </x:c>
      <x:c r="D129" s="30" t="n">
        <x:v>2019</x:v>
      </x:c>
      <x:c r="E129" s="24" t="str">
        <x:v>Acanthurus sohal</x:v>
      </x:c>
      <x:c r="F129" s="24" t="str">
        <x:v>Sohal surgeonfish</x:v>
      </x:c>
      <x:c r="G129" s="24" t="str">
        <x:v>Small reef assoc. fish (&lt;30 cm)</x:v>
      </x:c>
      <x:c r="H129" s="24" t="str">
        <x:v>Perch-likes</x:v>
      </x:c>
      <x:c r="I129" s="31" t="n">
        <x:v>45.833935159</x:v>
      </x:c>
      <x:c r="J129" s="31" t="n">
        <x:v>45.833935159</x:v>
      </x:c>
      <x:c r="K129" s="31" t="n">
        <x:v>0</x:v>
      </x:c>
      <x:c r="L129" s="31" t="n">
        <x:v>39.534240909</x:v>
      </x:c>
      <x:c r="M129" s="31" t="n">
        <x:v>6.29969425</x:v>
      </x:c>
      <x:c r="N129" s="24" t="str">
        <x:v>acanthurus sohal</x:v>
      </x:c>
      <x:c r="O129" s="32" t="n">
        <x:v>2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Acanthurus sohal</x:v>
      </x:c>
      <x:c r="T129" s="32" t="n">
        <x:f>IF(O129="","",(1/'Metadata'!$B$5)^(O129-1))</x:f>
        <x:v>10</x:v>
      </x:c>
      <x:c r="U129" s="31" t="n">
        <x:f>IF(T129="","",I129*T129)</x:f>
        <x:v>458.33935159</x:v>
      </x:c>
    </x:row>
    <x:row r="130" ht="18" customHeight="1">
      <x:c r="A130" s="24" t="str">
        <x:v>LME_033</x:v>
      </x:c>
      <x:c r="B130" s="24" t="str">
        <x:v>Red Sea</x:v>
      </x:c>
      <x:c r="C130" s="24" t="str">
        <x:v>LME</x:v>
      </x:c>
      <x:c r="D130" s="30" t="n">
        <x:v>2019</x:v>
      </x:c>
      <x:c r="E130" s="24" t="str">
        <x:v>Bothus pantherinus</x:v>
      </x:c>
      <x:c r="F130" s="24" t="str">
        <x:v>Leopard flounder</x:v>
      </x:c>
      <x:c r="G130" s="24" t="str">
        <x:v>Small to medium flatfishes (&lt;90 cm)</x:v>
      </x:c>
      <x:c r="H130" s="24" t="str">
        <x:v>Flatfishes</x:v>
      </x:c>
      <x:c r="I130" s="31" t="n">
        <x:v>45.3639518185</x:v>
      </x:c>
      <x:c r="J130" s="31" t="n">
        <x:v>45.3639518185</x:v>
      </x:c>
      <x:c r="K130" s="31" t="n">
        <x:v>0</x:v>
      </x:c>
      <x:c r="L130" s="31" t="n">
        <x:v>45.1845153485</x:v>
      </x:c>
      <x:c r="M130" s="31" t="n">
        <x:v>0.17943647000000001</x:v>
      </x:c>
      <x:c r="N130" s="24" t="str">
        <x:v>bothus pantherinus</x:v>
      </x:c>
      <x:c r="O130" s="32" t="n">
        <x:v>3.5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Bothus pantherinus</x:v>
      </x:c>
      <x:c r="T130" s="32" t="n">
        <x:f>IF(O130="","",(1/'Metadata'!$B$5)^(O130-1))</x:f>
        <x:v>316.22776601683796</x:v>
      </x:c>
      <x:c r="U130" s="31" t="n">
        <x:f>IF(T130="","",I130*T130)</x:f>
        <x:v>14345.341141259729</x:v>
      </x:c>
    </x:row>
    <x:row r="131" ht="18" customHeight="1">
      <x:c r="A131" s="24" t="str">
        <x:v>LME_033</x:v>
      </x:c>
      <x:c r="B131" s="24" t="str">
        <x:v>Red Sea</x:v>
      </x:c>
      <x:c r="C131" s="24" t="str">
        <x:v>LME</x:v>
      </x:c>
      <x:c r="D131" s="30" t="n">
        <x:v>2019</x:v>
      </x:c>
      <x:c r="E131" s="24" t="str">
        <x:v>Caranx ignobilis</x:v>
      </x:c>
      <x:c r="F131" s="24" t="str">
        <x:v>Giant trevally</x:v>
      </x:c>
      <x:c r="G131" s="24" t="str">
        <x:v>Large reef assoc. fish (&gt;=90 cm)</x:v>
      </x:c>
      <x:c r="H131" s="24" t="str">
        <x:v>Perch-likes</x:v>
      </x:c>
      <x:c r="I131" s="31" t="n">
        <x:v>44.6678576588</x:v>
      </x:c>
      <x:c r="J131" s="31" t="n">
        <x:v>44.6678576588</x:v>
      </x:c>
      <x:c r="K131" s="31" t="n">
        <x:v>0</x:v>
      </x:c>
      <x:c r="L131" s="31" t="n">
        <x:v>39.6693569854</x:v>
      </x:c>
      <x:c r="M131" s="31" t="n">
        <x:v>4.9985006734</x:v>
      </x:c>
      <x:c r="N131" s="24" t="str">
        <x:v>caranx ignobilis</x:v>
      </x:c>
      <x:c r="O131" s="32" t="n">
        <x:v>4.22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Caranx ignobilis</x:v>
      </x:c>
      <x:c r="T131" s="32" t="n">
        <x:f>IF(O131="","",(1/'Metadata'!$B$5)^(O131-1))</x:f>
        <x:v>1659.5869074375596</x:v>
      </x:c>
      <x:c r="U131" s="31" t="n">
        <x:f>IF(T131="","",I131*T131)</x:f>
        <x:v>74130.19175382901</x:v>
      </x:c>
    </x:row>
    <x:row r="132" ht="18" customHeight="1">
      <x:c r="A132" s="24" t="str">
        <x:v>LME_033</x:v>
      </x:c>
      <x:c r="B132" s="24" t="str">
        <x:v>Red Sea</x:v>
      </x:c>
      <x:c r="C132" s="24" t="str">
        <x:v>LME</x:v>
      </x:c>
      <x:c r="D132" s="30" t="n">
        <x:v>2019</x:v>
      </x:c>
      <x:c r="E132" s="24" t="str">
        <x:v>Octopodidae</x:v>
      </x:c>
      <x:c r="F132" s="24" t="str">
        <x:v>Octopuses</x:v>
      </x:c>
      <x:c r="G132" s="24" t="str">
        <x:v>Cephalopods</x:v>
      </x:c>
      <x:c r="H132" s="24" t="str">
        <x:v>Other fishes &amp; inverts</x:v>
      </x:c>
      <x:c r="I132" s="31" t="n">
        <x:v>44.6604127649</x:v>
      </x:c>
      <x:c r="J132" s="31" t="n">
        <x:v>44.6604127649</x:v>
      </x:c>
      <x:c r="K132" s="31" t="n">
        <x:v>0</x:v>
      </x:c>
      <x:c r="L132" s="31" t="n">
        <x:v>44.6604127649</x:v>
      </x:c>
      <x:c r="M132" s="31" t="n">
        <x:v>0</x:v>
      </x:c>
      <x:c r="N132" s="24" t="str">
        <x:v>octopodidae</x:v>
      </x:c>
      <x:c r="O132" s="32" t="n">
        <x:v>3.59</x:v>
      </x:c>
      <x:c r="P132" s="24" t="str">
        <x:v>exact_sea_around_us</x:v>
      </x:c>
      <x:c r="Q132" s="32" t="str">
        <x:v>Sea Around Us exploited organisms</x:v>
      </x:c>
      <x:c r="R132" s="24" t="str">
        <x:v>high</x:v>
      </x:c>
      <x:c r="S132" s="24" t="str">
        <x:v>Octopodidae</x:v>
      </x:c>
      <x:c r="T132" s="32" t="n">
        <x:f>IF(O132="","",(1/'Metadata'!$B$5)^(O132-1))</x:f>
        <x:v>389.04514499428046</x:v>
      </x:c>
      <x:c r="U132" s="31" t="n">
        <x:f>IF(T132="","",I132*T132)</x:f>
        <x:v>17374.916759624935</x:v>
      </x:c>
    </x:row>
    <x:row r="133" ht="18" customHeight="1">
      <x:c r="A133" s="24" t="str">
        <x:v>LME_033</x:v>
      </x:c>
      <x:c r="B133" s="24" t="str">
        <x:v>Red Sea</x:v>
      </x:c>
      <x:c r="C133" s="24" t="str">
        <x:v>LME</x:v>
      </x:c>
      <x:c r="D133" s="30" t="n">
        <x:v>2019</x:v>
      </x:c>
      <x:c r="E133" s="24" t="str">
        <x:v>Epinephelus chlorostigma</x:v>
      </x:c>
      <x:c r="F133" s="24" t="str">
        <x:v>Brownspotted grouper</x:v>
      </x:c>
      <x:c r="G133" s="24" t="str">
        <x:v>Medium reef assoc. fish (30 - 89 cm)</x:v>
      </x:c>
      <x:c r="H133" s="24" t="str">
        <x:v>Perch-likes</x:v>
      </x:c>
      <x:c r="I133" s="31" t="n">
        <x:v>43.7379573057</x:v>
      </x:c>
      <x:c r="J133" s="31" t="n">
        <x:v>43.7379573057</x:v>
      </x:c>
      <x:c r="K133" s="31" t="n">
        <x:v>0</x:v>
      </x:c>
      <x:c r="L133" s="31" t="n">
        <x:v>35.8745455497</x:v>
      </x:c>
      <x:c r="M133" s="31" t="n">
        <x:v>7.863411756</x:v>
      </x:c>
      <x:c r="N133" s="24" t="str">
        <x:v>epinephelus chlorostigma</x:v>
      </x:c>
      <x:c r="O133" s="32" t="n">
        <x:v>3.99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Epinephelus chlorostigma</x:v>
      </x:c>
      <x:c r="T133" s="32" t="n">
        <x:f>IF(O133="","",(1/'Metadata'!$B$5)^(O133-1))</x:f>
        <x:v>977.2372209558112</x:v>
      </x:c>
      <x:c r="U133" s="31" t="n">
        <x:f>IF(T133="","",I133*T133)</x:f>
        <x:v>42742.35984770618</x:v>
      </x:c>
    </x:row>
    <x:row r="134" ht="18" customHeight="1">
      <x:c r="A134" s="24" t="str">
        <x:v>LME_033</x:v>
      </x:c>
      <x:c r="B134" s="24" t="str">
        <x:v>Red Sea</x:v>
      </x:c>
      <x:c r="C134" s="24" t="str">
        <x:v>LME</x:v>
      </x:c>
      <x:c r="D134" s="30" t="n">
        <x:v>2019</x:v>
      </x:c>
      <x:c r="E134" s="24" t="str">
        <x:v>Epinephelus coioides</x:v>
      </x:c>
      <x:c r="F134" s="24" t="str">
        <x:v>Orange-spotted grouper</x:v>
      </x:c>
      <x:c r="G134" s="24" t="str">
        <x:v>Large reef assoc. fish (&gt;=90 cm)</x:v>
      </x:c>
      <x:c r="H134" s="24" t="str">
        <x:v>Perch-likes</x:v>
      </x:c>
      <x:c r="I134" s="31" t="n">
        <x:v>43.3228179667</x:v>
      </x:c>
      <x:c r="J134" s="31" t="n">
        <x:v>43.3228179667</x:v>
      </x:c>
      <x:c r="K134" s="31" t="n">
        <x:v>0</x:v>
      </x:c>
      <x:c r="L134" s="31" t="n">
        <x:v>42.7962160684</x:v>
      </x:c>
      <x:c r="M134" s="31" t="n">
        <x:v>0.5266018983</x:v>
      </x:c>
      <x:c r="N134" s="24" t="str">
        <x:v>epinephelus coioides</x:v>
      </x:c>
      <x:c r="O134" s="32" t="n">
        <x:v>4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Epinephelus coioides</x:v>
      </x:c>
      <x:c r="T134" s="32" t="n">
        <x:f>IF(O134="","",(1/'Metadata'!$B$5)^(O134-1))</x:f>
        <x:v>1000</x:v>
      </x:c>
      <x:c r="U134" s="31" t="n">
        <x:f>IF(T134="","",I134*T134)</x:f>
        <x:v>43322.8179667</x:v>
      </x:c>
    </x:row>
    <x:row r="135" ht="18" customHeight="1">
      <x:c r="A135" s="24" t="str">
        <x:v>LME_033</x:v>
      </x:c>
      <x:c r="B135" s="24" t="str">
        <x:v>Red Sea</x:v>
      </x:c>
      <x:c r="C135" s="24" t="str">
        <x:v>LME</x:v>
      </x:c>
      <x:c r="D135" s="30" t="n">
        <x:v>2019</x:v>
      </x:c>
      <x:c r="E135" s="24" t="str">
        <x:v>Epinephelus summana</x:v>
      </x:c>
      <x:c r="F135" s="24" t="str">
        <x:v>Summan grouper</x:v>
      </x:c>
      <x:c r="G135" s="24" t="str">
        <x:v>Medium reef assoc. fish (30 - 89 cm)</x:v>
      </x:c>
      <x:c r="H135" s="24" t="str">
        <x:v>Perch-likes</x:v>
      </x:c>
      <x:c r="I135" s="31" t="n">
        <x:v>36.4605733855</x:v>
      </x:c>
      <x:c r="J135" s="31" t="n">
        <x:v>36.4605733855</x:v>
      </x:c>
      <x:c r="K135" s="31" t="n">
        <x:v>0</x:v>
      </x:c>
      <x:c r="L135" s="31" t="n">
        <x:v>32.7735483875</x:v>
      </x:c>
      <x:c r="M135" s="31" t="n">
        <x:v>3.687024998</x:v>
      </x:c>
      <x:c r="N135" s="24" t="str">
        <x:v>epinephelus summana</x:v>
      </x:c>
      <x:c r="O135" s="32" t="n">
        <x:v>3.8</x:v>
      </x:c>
      <x:c r="P135" s="24" t="str">
        <x:v>exact_sea_around_us</x:v>
      </x:c>
      <x:c r="Q135" s="32" t="str">
        <x:v>Sea Around Us exploited organisms</x:v>
      </x:c>
      <x:c r="R135" s="24" t="str">
        <x:v>high</x:v>
      </x:c>
      <x:c r="S135" s="24" t="str">
        <x:v>Epinephelus summana</x:v>
      </x:c>
      <x:c r="T135" s="32" t="n">
        <x:f>IF(O135="","",(1/'Metadata'!$B$5)^(O135-1))</x:f>
        <x:v>630.957344480193</x:v>
      </x:c>
      <x:c r="U135" s="31" t="n">
        <x:f>IF(T135="","",I135*T135)</x:f>
        <x:v>23005.06656154028</x:v>
      </x:c>
    </x:row>
    <x:row r="136" ht="18" customHeight="1">
      <x:c r="A136" s="24" t="str">
        <x:v>LME_033</x:v>
      </x:c>
      <x:c r="B136" s="24" t="str">
        <x:v>Red Sea</x:v>
      </x:c>
      <x:c r="C136" s="24" t="str">
        <x:v>LME</x:v>
      </x:c>
      <x:c r="D136" s="30" t="n">
        <x:v>2019</x:v>
      </x:c>
      <x:c r="E136" s="24" t="str">
        <x:v>Scomberoides</x:v>
      </x:c>
      <x:c r="F136" s="24" t="str">
        <x:v>Queenfishes</x:v>
      </x:c>
      <x:c r="G136" s="24" t="str">
        <x:v>Medium pelagics (30 - 89 cm)</x:v>
      </x:c>
      <x:c r="H136" s="24" t="str">
        <x:v>Perch-likes</x:v>
      </x:c>
      <x:c r="I136" s="31" t="n">
        <x:v>35.2613708929</x:v>
      </x:c>
      <x:c r="J136" s="31" t="n">
        <x:v>35.2613708929</x:v>
      </x:c>
      <x:c r="K136" s="31" t="n">
        <x:v>0</x:v>
      </x:c>
      <x:c r="L136" s="31" t="n">
        <x:v>0</x:v>
      </x:c>
      <x:c r="M136" s="31" t="n">
        <x:v>35.2613708929</x:v>
      </x:c>
      <x:c r="N136" s="24" t="str">
        <x:v>scomberoides</x:v>
      </x:c>
      <x:c r="O136" s="32" t="n">
        <x:v>4.47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Scomberoides</x:v>
      </x:c>
      <x:c r="T136" s="32" t="n">
        <x:f>IF(O136="","",(1/'Metadata'!$B$5)^(O136-1))</x:f>
        <x:v>2951.209226666384</x:v>
      </x:c>
      <x:c r="U136" s="31" t="n">
        <x:f>IF(T136="","",I136*T136)</x:f>
        <x:v>104063.68312403194</x:v>
      </x:c>
    </x:row>
    <x:row r="137" ht="18" customHeight="1">
      <x:c r="A137" s="24" t="str">
        <x:v>LME_033</x:v>
      </x:c>
      <x:c r="B137" s="24" t="str">
        <x:v>Red Sea</x:v>
      </x:c>
      <x:c r="C137" s="24" t="str">
        <x:v>LME</x:v>
      </x:c>
      <x:c r="D137" s="30" t="n">
        <x:v>2019</x:v>
      </x:c>
      <x:c r="E137" s="24" t="str">
        <x:v>Istiophorus platypterus</x:v>
      </x:c>
      <x:c r="F137" s="24" t="str">
        <x:v>Indo-Pacific sailfish</x:v>
      </x:c>
      <x:c r="G137" s="24" t="str">
        <x:v>Large pelagics (&gt;=90 cm)</x:v>
      </x:c>
      <x:c r="H137" s="24" t="str">
        <x:v>Tuna &amp; billfishes</x:v>
      </x:c>
      <x:c r="I137" s="31" t="n">
        <x:v>31.8187933104</x:v>
      </x:c>
      <x:c r="J137" s="31" t="n">
        <x:v>31.8187933104</x:v>
      </x:c>
      <x:c r="K137" s="31" t="n">
        <x:v>0</x:v>
      </x:c>
      <x:c r="L137" s="31" t="n">
        <x:v>22.7706934897</x:v>
      </x:c>
      <x:c r="M137" s="31" t="n">
        <x:v>9.0480998207</x:v>
      </x:c>
      <x:c r="N137" s="24" t="str">
        <x:v>istiophorus platypterus</x:v>
      </x:c>
      <x:c r="O137" s="32" t="n">
        <x:v>4.5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Istiophorus platypterus</x:v>
      </x:c>
      <x:c r="T137" s="32" t="n">
        <x:f>IF(O137="","",(1/'Metadata'!$B$5)^(O137-1))</x:f>
        <x:v>3162.2776601683795</x:v>
      </x:c>
      <x:c r="U137" s="31" t="n">
        <x:f>IF(T137="","",I137*T137)</x:f>
        <x:v>100619.859258993</x:v>
      </x:c>
    </x:row>
    <x:row r="138" ht="18" customHeight="1">
      <x:c r="A138" s="24" t="str">
        <x:v>LME_033</x:v>
      </x:c>
      <x:c r="B138" s="24" t="str">
        <x:v>Red Sea</x:v>
      </x:c>
      <x:c r="C138" s="24" t="str">
        <x:v>LME</x:v>
      </x:c>
      <x:c r="D138" s="30" t="n">
        <x:v>2019</x:v>
      </x:c>
      <x:c r="E138" s="24" t="str">
        <x:v>Epinephelus fuscoguttatus</x:v>
      </x:c>
      <x:c r="F138" s="24" t="str">
        <x:v>Brown-marbled grouper</x:v>
      </x:c>
      <x:c r="G138" s="24" t="str">
        <x:v>Large reef assoc. fish (&gt;=90 cm)</x:v>
      </x:c>
      <x:c r="H138" s="24" t="str">
        <x:v>Perch-likes</x:v>
      </x:c>
      <x:c r="I138" s="31" t="n">
        <x:v>30.8433788133</x:v>
      </x:c>
      <x:c r="J138" s="31" t="n">
        <x:v>30.8433788133</x:v>
      </x:c>
      <x:c r="K138" s="31" t="n">
        <x:v>0</x:v>
      </x:c>
      <x:c r="L138" s="31" t="n">
        <x:v>25.7885601049</x:v>
      </x:c>
      <x:c r="M138" s="31" t="n">
        <x:v>5.0548187084</x:v>
      </x:c>
      <x:c r="N138" s="24" t="str">
        <x:v>epinephelus fuscoguttatus</x:v>
      </x:c>
      <x:c r="O138" s="32" t="n">
        <x:v>4.14</x:v>
      </x:c>
      <x:c r="P138" s="24" t="str">
        <x:v>exact_2020_supplement</x:v>
      </x:c>
      <x:c r="Q138" s="32" t="str">
        <x:v>2020 supplement MeanTL</x:v>
      </x:c>
      <x:c r="R138" s="24" t="str">
        <x:v>high</x:v>
      </x:c>
      <x:c r="S138" s="24" t="str">
        <x:v>Epinephelus fuscoguttatus</x:v>
      </x:c>
      <x:c r="T138" s="32" t="n">
        <x:f>IF(O138="","",(1/'Metadata'!$B$5)^(O138-1))</x:f>
        <x:v>1380.3842646028838</x:v>
      </x:c>
      <x:c r="U138" s="31" t="n">
        <x:f>IF(T138="","",I138*T138)</x:f>
        <x:v>42575.71478106529</x:v>
      </x:c>
    </x:row>
    <x:row r="139" ht="18" customHeight="1">
      <x:c r="A139" s="24" t="str">
        <x:v>LME_033</x:v>
      </x:c>
      <x:c r="B139" s="24" t="str">
        <x:v>Red Sea</x:v>
      </x:c>
      <x:c r="C139" s="24" t="str">
        <x:v>LME</x:v>
      </x:c>
      <x:c r="D139" s="30" t="n">
        <x:v>2019</x:v>
      </x:c>
      <x:c r="E139" s="24" t="str">
        <x:v>Megalaspis cordyla</x:v>
      </x:c>
      <x:c r="F139" s="24" t="str">
        <x:v>Torpedo scad</x:v>
      </x:c>
      <x:c r="G139" s="24" t="str">
        <x:v>Medium pelagics (30 - 89 cm)</x:v>
      </x:c>
      <x:c r="H139" s="24" t="str">
        <x:v>Perch-likes</x:v>
      </x:c>
      <x:c r="I139" s="31" t="n">
        <x:v>27.1176845463</x:v>
      </x:c>
      <x:c r="J139" s="31" t="n">
        <x:v>27.1176845463</x:v>
      </x:c>
      <x:c r="K139" s="31" t="n">
        <x:v>0</x:v>
      </x:c>
      <x:c r="L139" s="31" t="n">
        <x:v>26.7601462598</x:v>
      </x:c>
      <x:c r="M139" s="31" t="n">
        <x:v>0.35753828649999997</x:v>
      </x:c>
      <x:c r="N139" s="24" t="str">
        <x:v>megalaspis cordyla</x:v>
      </x:c>
      <x:c r="O139" s="32" t="n">
        <x:v>4.24</x:v>
      </x:c>
      <x:c r="P139" s="24" t="str">
        <x:v>exact_2020_supplement</x:v>
      </x:c>
      <x:c r="Q139" s="32" t="str">
        <x:v>2020 supplement MeanTL</x:v>
      </x:c>
      <x:c r="R139" s="24" t="str">
        <x:v>high</x:v>
      </x:c>
      <x:c r="S139" s="24" t="str">
        <x:v>Megalaspis cordyla</x:v>
      </x:c>
      <x:c r="T139" s="32" t="n">
        <x:f>IF(O139="","",(1/'Metadata'!$B$5)^(O139-1))</x:f>
        <x:v>1737.8008287493763</x:v>
      </x:c>
      <x:c r="U139" s="31" t="n">
        <x:f>IF(T139="","",I139*T139)</x:f>
        <x:v>47125.1346783243</x:v>
      </x:c>
    </x:row>
    <x:row r="140" ht="18" customHeight="1">
      <x:c r="A140" s="24" t="str">
        <x:v>LME_033</x:v>
      </x:c>
      <x:c r="B140" s="24" t="str">
        <x:v>Red Sea</x:v>
      </x:c>
      <x:c r="C140" s="24" t="str">
        <x:v>LME</x:v>
      </x:c>
      <x:c r="D140" s="30" t="n">
        <x:v>2019</x:v>
      </x:c>
      <x:c r="E140" s="24" t="str">
        <x:v>Monotaxis grandoculis</x:v>
      </x:c>
      <x:c r="F140" s="24" t="str">
        <x:v>Humpnose big-eye bream</x:v>
      </x:c>
      <x:c r="G140" s="24" t="str">
        <x:v>Medium reef assoc. fish (30 - 89 cm)</x:v>
      </x:c>
      <x:c r="H140" s="24" t="str">
        <x:v>Perch-likes</x:v>
      </x:c>
      <x:c r="I140" s="31" t="n">
        <x:v>23.1912542143</x:v>
      </x:c>
      <x:c r="J140" s="31" t="n">
        <x:v>23.1912542143</x:v>
      </x:c>
      <x:c r="K140" s="31" t="n">
        <x:v>0</x:v>
      </x:c>
      <x:c r="L140" s="31" t="n">
        <x:v>19.767126049999998</x:v>
      </x:c>
      <x:c r="M140" s="31" t="n">
        <x:v>3.4241281643</x:v>
      </x:c>
      <x:c r="N140" s="24" t="str">
        <x:v>monotaxis grandoculis</x:v>
      </x:c>
      <x:c r="O140" s="32" t="n">
        <x:v>3.37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Monotaxis grandoculis</x:v>
      </x:c>
      <x:c r="T140" s="32" t="n">
        <x:f>IF(O140="","",(1/'Metadata'!$B$5)^(O140-1))</x:f>
        <x:v>234.42288153199226</x:v>
      </x:c>
      <x:c r="U140" s="31" t="n">
        <x:f>IF(T140="","",I140*T140)</x:f>
        <x:v>5436.560639257164</x:v>
      </x:c>
    </x:row>
    <x:row r="141" ht="18" customHeight="1">
      <x:c r="A141" s="24" t="str">
        <x:v>LME_033</x:v>
      </x:c>
      <x:c r="B141" s="24" t="str">
        <x:v>Red Sea</x:v>
      </x:c>
      <x:c r="C141" s="24" t="str">
        <x:v>LME</x:v>
      </x:c>
      <x:c r="D141" s="30" t="n">
        <x:v>2019</x:v>
      </x:c>
      <x:c r="E141" s="24" t="str">
        <x:v>Pomacanthus maculosus</x:v>
      </x:c>
      <x:c r="F141" s="24" t="str">
        <x:v>Yellowbar angelfish</x:v>
      </x:c>
      <x:c r="G141" s="24" t="str">
        <x:v>Medium reef assoc. fish (30 - 89 cm)</x:v>
      </x:c>
      <x:c r="H141" s="24" t="str">
        <x:v>Perch-likes</x:v>
      </x:c>
      <x:c r="I141" s="31" t="n">
        <x:v>22.4321914179</x:v>
      </x:c>
      <x:c r="J141" s="31" t="n">
        <x:v>22.4321914179</x:v>
      </x:c>
      <x:c r="K141" s="31" t="n">
        <x:v>0</x:v>
      </x:c>
      <x:c r="L141" s="31" t="n">
        <x:v>19.5732964646</x:v>
      </x:c>
      <x:c r="M141" s="31" t="n">
        <x:v>2.8588949533</x:v>
      </x:c>
      <x:c r="N141" s="24" t="str">
        <x:v>pomacanthus maculosus</x:v>
      </x:c>
      <x:c r="O141" s="32" t="n">
        <x:v>2.67</x:v>
      </x:c>
      <x:c r="P141" s="24" t="str">
        <x:v>exact_2020_supplement</x:v>
      </x:c>
      <x:c r="Q141" s="32" t="str">
        <x:v>2020 supplement MeanTL</x:v>
      </x:c>
      <x:c r="R141" s="24" t="str">
        <x:v>high</x:v>
      </x:c>
      <x:c r="S141" s="24" t="str">
        <x:v>Pomacanthus maculosus</x:v>
      </x:c>
      <x:c r="T141" s="32" t="n">
        <x:f>IF(O141="","",(1/'Metadata'!$B$5)^(O141-1))</x:f>
        <x:v>46.77351412871981</x:v>
      </x:c>
      <x:c r="U141" s="31" t="n">
        <x:f>IF(T141="","",I141*T141)</x:f>
        <x:v>1049.232422223293</x:v>
      </x:c>
    </x:row>
    <x:row r="142" ht="18" customHeight="1">
      <x:c r="A142" s="24" t="str">
        <x:v>LME_033</x:v>
      </x:c>
      <x:c r="B142" s="24" t="str">
        <x:v>Red Sea</x:v>
      </x:c>
      <x:c r="C142" s="24" t="str">
        <x:v>LME</x:v>
      </x:c>
      <x:c r="D142" s="30" t="n">
        <x:v>2019</x:v>
      </x:c>
      <x:c r="E142" s="24" t="str">
        <x:v>Marine groundfishes not identified</x:v>
      </x:c>
      <x:c r="F142" s="24" t="str">
        <x:v>Groundfishes</x:v>
      </x:c>
      <x:c r="G142" s="24" t="str">
        <x:v>Medium demersals (30 - 89 cm)</x:v>
      </x:c>
      <x:c r="H142" s="24" t="str">
        <x:v>Other fishes &amp; inverts</x:v>
      </x:c>
      <x:c r="I142" s="31" t="n">
        <x:v>22.2291617554</x:v>
      </x:c>
      <x:c r="J142" s="31" t="n">
        <x:v>22.2291617554</x:v>
      </x:c>
      <x:c r="K142" s="31" t="n">
        <x:v>0</x:v>
      </x:c>
      <x:c r="L142" s="31" t="n">
        <x:v>13.534963146199999</x:v>
      </x:c>
      <x:c r="M142" s="31" t="n">
        <x:v>8.6941986092</x:v>
      </x:c>
      <x:c r="N142" s="24" t="str">
        <x:v>marine groundfishes not identified</x:v>
      </x:c>
      <x:c r="O142" s="32" t="n">
        <x:v>3.22</x:v>
      </x:c>
      <x:c r="P142" s="24" t="str">
        <x:v>exact_sea_around_us</x:v>
      </x:c>
      <x:c r="Q142" s="32" t="str">
        <x:v>Sea Around Us exploited organisms</x:v>
      </x:c>
      <x:c r="R142" s="24" t="str">
        <x:v>high</x:v>
      </x:c>
      <x:c r="S142" s="24" t="str">
        <x:v>Marine groundfishes not identified</x:v>
      </x:c>
      <x:c r="T142" s="32" t="n">
        <x:f>IF(O142="","",(1/'Metadata'!$B$5)^(O142-1))</x:f>
        <x:v>165.95869074375614</x:v>
      </x:c>
      <x:c r="U142" s="31" t="n">
        <x:f>IF(T142="","",I142*T142)</x:f>
        <x:v>3689.12258125736</x:v>
      </x:c>
    </x:row>
    <x:row r="143" ht="18" customHeight="1">
      <x:c r="A143" s="24" t="str">
        <x:v>LME_033</x:v>
      </x:c>
      <x:c r="B143" s="24" t="str">
        <x:v>Red Sea</x:v>
      </x:c>
      <x:c r="C143" s="24" t="str">
        <x:v>LME</x:v>
      </x:c>
      <x:c r="D143" s="30" t="n">
        <x:v>2019</x:v>
      </x:c>
      <x:c r="E143" s="24" t="str">
        <x:v>Caranx melampygus</x:v>
      </x:c>
      <x:c r="F143" s="24" t="str">
        <x:v>Bluefin trevally</x:v>
      </x:c>
      <x:c r="G143" s="24" t="str">
        <x:v>Large reef assoc. fish (&gt;=90 cm)</x:v>
      </x:c>
      <x:c r="H143" s="24" t="str">
        <x:v>Perch-likes</x:v>
      </x:c>
      <x:c r="I143" s="31" t="n">
        <x:v>21.809866192</x:v>
      </x:c>
      <x:c r="J143" s="31" t="n">
        <x:v>21.809866192</x:v>
      </x:c>
      <x:c r="K143" s="31" t="n">
        <x:v>0</x:v>
      </x:c>
      <x:c r="L143" s="31" t="n">
        <x:v>19.0718346932</x:v>
      </x:c>
      <x:c r="M143" s="31" t="n">
        <x:v>2.7380314988</x:v>
      </x:c>
      <x:c r="N143" s="24" t="str">
        <x:v>caranx melampygus</x:v>
      </x:c>
      <x:c r="O143" s="32" t="n">
        <x:v>4.49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Caranx melampygus</x:v>
      </x:c>
      <x:c r="T143" s="32" t="n">
        <x:f>IF(O143="","",(1/'Metadata'!$B$5)^(O143-1))</x:f>
        <x:v>3090.295432513592</x:v>
      </x:c>
      <x:c r="U143" s="31" t="n">
        <x:f>IF(T143="","",I143*T143)</x:f>
        <x:v>67398.92987687021</x:v>
      </x:c>
    </x:row>
    <x:row r="144" ht="18" customHeight="1">
      <x:c r="A144" s="24" t="str">
        <x:v>LME_033</x:v>
      </x:c>
      <x:c r="B144" s="24" t="str">
        <x:v>Red Sea</x:v>
      </x:c>
      <x:c r="C144" s="24" t="str">
        <x:v>LME</x:v>
      </x:c>
      <x:c r="D144" s="30" t="n">
        <x:v>2019</x:v>
      </x:c>
      <x:c r="E144" s="24" t="str">
        <x:v>Aethaloperca rogaa</x:v>
      </x:c>
      <x:c r="F144" s="24" t="str">
        <x:v>Redmouth grouper</x:v>
      </x:c>
      <x:c r="G144" s="24" t="str">
        <x:v>Medium reef assoc. fish (30 - 89 cm)</x:v>
      </x:c>
      <x:c r="H144" s="24" t="str">
        <x:v>Perch-likes</x:v>
      </x:c>
      <x:c r="I144" s="31" t="n">
        <x:v>21.3427479483</x:v>
      </x:c>
      <x:c r="J144" s="31" t="n">
        <x:v>21.3427479483</x:v>
      </x:c>
      <x:c r="K144" s="31" t="n">
        <x:v>0</x:v>
      </x:c>
      <x:c r="L144" s="31" t="n">
        <x:v>17.5514992105</x:v>
      </x:c>
      <x:c r="M144" s="31" t="n">
        <x:v>3.7912487378</x:v>
      </x:c>
      <x:c r="N144" s="24" t="str">
        <x:v>aethaloperca rogaa</x:v>
      </x:c>
      <x:c r="O144" s="32" t="n">
        <x:v>4.2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Aethaloperca rogaa</x:v>
      </x:c>
      <x:c r="T144" s="32" t="n">
        <x:f>IF(O144="","",(1/'Metadata'!$B$5)^(O144-1))</x:f>
        <x:v>1584.893192461114</x:v>
      </x:c>
      <x:c r="U144" s="31" t="n">
        <x:f>IF(T144="","",I144*T144)</x:f>
        <x:v>33825.97593167408</x:v>
      </x:c>
    </x:row>
    <x:row r="145" ht="18" customHeight="1">
      <x:c r="A145" s="24" t="str">
        <x:v>LME_033</x:v>
      </x:c>
      <x:c r="B145" s="24" t="str">
        <x:v>Red Sea</x:v>
      </x:c>
      <x:c r="C145" s="24" t="str">
        <x:v>LME</x:v>
      </x:c>
      <x:c r="D145" s="30" t="n">
        <x:v>2019</x:v>
      </x:c>
      <x:c r="E145" s="24" t="str">
        <x:v>Elagatis bipinnulata</x:v>
      </x:c>
      <x:c r="F145" s="24" t="str">
        <x:v>Rainbow runner</x:v>
      </x:c>
      <x:c r="G145" s="24" t="str">
        <x:v>Large pelagics (&gt;=90 cm)</x:v>
      </x:c>
      <x:c r="H145" s="24" t="str">
        <x:v>Perch-likes</x:v>
      </x:c>
      <x:c r="I145" s="31" t="n">
        <x:v>21.0505159631</x:v>
      </x:c>
      <x:c r="J145" s="31" t="n">
        <x:v>21.0505159631</x:v>
      </x:c>
      <x:c r="K145" s="31" t="n">
        <x:v>0</x:v>
      </x:c>
      <x:c r="L145" s="31" t="n">
        <x:v>18.8170609879</x:v>
      </x:c>
      <x:c r="M145" s="31" t="n">
        <x:v>2.2334549752</x:v>
      </x:c>
      <x:c r="N145" s="24" t="str">
        <x:v>elagatis bipinnulata</x:v>
      </x:c>
      <x:c r="O145" s="32" t="n">
        <x:v>4.27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Elagatis bipinnulata</x:v>
      </x:c>
      <x:c r="T145" s="32" t="n">
        <x:f>IF(O145="","",(1/'Metadata'!$B$5)^(O145-1))</x:f>
        <x:v>1862.0871366628655</x:v>
      </x:c>
      <x:c r="U145" s="31" t="n">
        <x:f>IF(T145="","",I145*T145)</x:f>
        <x:v>39197.894995004826</x:v>
      </x:c>
    </x:row>
    <x:row r="146" ht="18" customHeight="1">
      <x:c r="A146" s="24" t="str">
        <x:v>LME_033</x:v>
      </x:c>
      <x:c r="B146" s="24" t="str">
        <x:v>Red Sea</x:v>
      </x:c>
      <x:c r="C146" s="24" t="str">
        <x:v>LME</x:v>
      </x:c>
      <x:c r="D146" s="30" t="n">
        <x:v>2019</x:v>
      </x:c>
      <x:c r="E146" s="24" t="str">
        <x:v>Lethrinus harak</x:v>
      </x:c>
      <x:c r="F146" s="24" t="str">
        <x:v>Thumbprint emperor</x:v>
      </x:c>
      <x:c r="G146" s="24" t="str">
        <x:v>Medium reef assoc. fish (30 - 89 cm)</x:v>
      </x:c>
      <x:c r="H146" s="24" t="str">
        <x:v>Perch-likes</x:v>
      </x:c>
      <x:c r="I146" s="31" t="n">
        <x:v>19.6634998836</x:v>
      </x:c>
      <x:c r="J146" s="31" t="n">
        <x:v>19.6634998836</x:v>
      </x:c>
      <x:c r="K146" s="31" t="n">
        <x:v>0</x:v>
      </x:c>
      <x:c r="L146" s="31" t="n">
        <x:v>17.2384809218</x:v>
      </x:c>
      <x:c r="M146" s="31" t="n">
        <x:v>2.4250189618</x:v>
      </x:c>
      <x:c r="N146" s="24" t="str">
        <x:v>lethrinus harak</x:v>
      </x:c>
      <x:c r="O146" s="32" t="n">
        <x:v>3.59</x:v>
      </x:c>
      <x:c r="P146" s="24" t="str">
        <x:v>exact_2020_supplement</x:v>
      </x:c>
      <x:c r="Q146" s="32" t="str">
        <x:v>2020 supplement MeanTL</x:v>
      </x:c>
      <x:c r="R146" s="24" t="str">
        <x:v>high</x:v>
      </x:c>
      <x:c r="S146" s="24" t="str">
        <x:v>Lethrinus harak</x:v>
      </x:c>
      <x:c r="T146" s="32" t="n">
        <x:f>IF(O146="","",(1/'Metadata'!$B$5)^(O146-1))</x:f>
        <x:v>389.04514499428046</x:v>
      </x:c>
      <x:c r="U146" s="31" t="n">
        <x:f>IF(T146="","",I146*T146)</x:f>
        <x:v>7649.989163310179</x:v>
      </x:c>
    </x:row>
    <x:row r="147" ht="18" customHeight="1">
      <x:c r="A147" s="24" t="str">
        <x:v>LME_033</x:v>
      </x:c>
      <x:c r="B147" s="24" t="str">
        <x:v>Red Sea</x:v>
      </x:c>
      <x:c r="C147" s="24" t="str">
        <x:v>LME</x:v>
      </x:c>
      <x:c r="D147" s="30" t="n">
        <x:v>2019</x:v>
      </x:c>
      <x:c r="E147" s="24" t="str">
        <x:v>Acanthuridae</x:v>
      </x:c>
      <x:c r="F147" s="24" t="str">
        <x:v>Surgeons, tangs, unicornfishes</x:v>
      </x:c>
      <x:c r="G147" s="24" t="str">
        <x:v>Small reef assoc. fish (&lt;30 cm)</x:v>
      </x:c>
      <x:c r="H147" s="24" t="str">
        <x:v>Perch-likes</x:v>
      </x:c>
      <x:c r="I147" s="31" t="n">
        <x:v>19.6288239416</x:v>
      </x:c>
      <x:c r="J147" s="31" t="n">
        <x:v>19.6288239416</x:v>
      </x:c>
      <x:c r="K147" s="31" t="n">
        <x:v>0</x:v>
      </x:c>
      <x:c r="L147" s="31" t="n">
        <x:v>17.451973433800003</x:v>
      </x:c>
      <x:c r="M147" s="31" t="n">
        <x:v>2.1768505078000002</x:v>
      </x:c>
      <x:c r="N147" s="24" t="str">
        <x:v>acanthuridae</x:v>
      </x:c>
      <x:c r="O147" s="32" t="n">
        <x:v>2.28</x:v>
      </x:c>
      <x:c r="P147" s="24" t="str">
        <x:v>exact_sea_around_us</x:v>
      </x:c>
      <x:c r="Q147" s="32" t="str">
        <x:v>Sea Around Us exploited organisms</x:v>
      </x:c>
      <x:c r="R147" s="24" t="str">
        <x:v>high</x:v>
      </x:c>
      <x:c r="S147" s="24" t="str">
        <x:v>Acanthuridae</x:v>
      </x:c>
      <x:c r="T147" s="32" t="n">
        <x:f>IF(O147="","",(1/'Metadata'!$B$5)^(O147-1))</x:f>
        <x:v>19.054607179632463</x:v>
      </x:c>
      <x:c r="U147" s="31" t="n">
        <x:f>IF(T147="","",I147*T147)</x:f>
        <x:v>374.01952960535294</x:v>
      </x:c>
    </x:row>
    <x:row r="148" ht="18" customHeight="1">
      <x:c r="A148" s="24" t="str">
        <x:v>LME_033</x:v>
      </x:c>
      <x:c r="B148" s="24" t="str">
        <x:v>Red Sea</x:v>
      </x:c>
      <x:c r="C148" s="24" t="str">
        <x:v>LME</x:v>
      </x:c>
      <x:c r="D148" s="30" t="n">
        <x:v>2019</x:v>
      </x:c>
      <x:c r="E148" s="24" t="str">
        <x:v>Scombroidei</x:v>
      </x:c>
      <x:c r="F148" s="24" t="str">
        <x:v>Tunas, bonitos, billfishes</x:v>
      </x:c>
      <x:c r="G148" s="24" t="str">
        <x:v>Large pelagics (&gt;=90 cm)</x:v>
      </x:c>
      <x:c r="H148" s="24" t="str">
        <x:v>Tuna &amp; billfishes</x:v>
      </x:c>
      <x:c r="I148" s="31" t="n">
        <x:v>18.6751228059</x:v>
      </x:c>
      <x:c r="J148" s="31" t="n">
        <x:v>18.6751228059</x:v>
      </x:c>
      <x:c r="K148" s="31" t="n">
        <x:v>0</x:v>
      </x:c>
      <x:c r="L148" s="31" t="n">
        <x:v>18.6751228059</x:v>
      </x:c>
      <x:c r="M148" s="31" t="n">
        <x:v>0</x:v>
      </x:c>
      <x:c r="N148" s="24" t="str">
        <x:v>scombroidei</x:v>
      </x:c>
      <x:c r="O148" s="32" t="n">
        <x:v>4.2</x:v>
      </x:c>
      <x:c r="P148" s="24" t="str">
        <x:v>exact_sea_around_us</x:v>
      </x:c>
      <x:c r="Q148" s="32" t="str">
        <x:v>Sea Around Us exploited organisms</x:v>
      </x:c>
      <x:c r="R148" s="24" t="str">
        <x:v>high</x:v>
      </x:c>
      <x:c r="S148" s="24" t="str">
        <x:v>Scombroidei</x:v>
      </x:c>
      <x:c r="T148" s="32" t="n">
        <x:f>IF(O148="","",(1/'Metadata'!$B$5)^(O148-1))</x:f>
        <x:v>1584.893192461114</x:v>
      </x:c>
      <x:c r="U148" s="31" t="n">
        <x:f>IF(T148="","",I148*T148)</x:f>
        <x:v>29598.075003446207</x:v>
      </x:c>
    </x:row>
    <x:row r="149" ht="18" customHeight="1">
      <x:c r="A149" s="24" t="str">
        <x:v>LME_033</x:v>
      </x:c>
      <x:c r="B149" s="24" t="str">
        <x:v>Red Sea</x:v>
      </x:c>
      <x:c r="C149" s="24" t="str">
        <x:v>LME</x:v>
      </x:c>
      <x:c r="D149" s="30" t="n">
        <x:v>2019</x:v>
      </x:c>
      <x:c r="E149" s="24" t="str">
        <x:v>Decapterus macarellus</x:v>
      </x:c>
      <x:c r="F149" s="24" t="str">
        <x:v>Mackerel scad</x:v>
      </x:c>
      <x:c r="G149" s="24" t="str">
        <x:v>Medium pelagics (30 - 89 cm)</x:v>
      </x:c>
      <x:c r="H149" s="24" t="str">
        <x:v>Perch-likes</x:v>
      </x:c>
      <x:c r="I149" s="31" t="n">
        <x:v>18.2682456158</x:v>
      </x:c>
      <x:c r="J149" s="31" t="n">
        <x:v>18.2682456158</x:v>
      </x:c>
      <x:c r="K149" s="31" t="n">
        <x:v>0</x:v>
      </x:c>
      <x:c r="L149" s="31" t="n">
        <x:v>0</x:v>
      </x:c>
      <x:c r="M149" s="31" t="n">
        <x:v>18.2682456158</x:v>
      </x:c>
      <x:c r="N149" s="24" t="str">
        <x:v>decapterus macarellus</x:v>
      </x:c>
      <x:c r="O149" s="32" t="n">
        <x:v>3.96</x:v>
      </x:c>
      <x:c r="P149" s="24" t="str">
        <x:v>exact_2020_supplement</x:v>
      </x:c>
      <x:c r="Q149" s="32" t="str">
        <x:v>2020 supplement MeanTL</x:v>
      </x:c>
      <x:c r="R149" s="24" t="str">
        <x:v>high</x:v>
      </x:c>
      <x:c r="S149" s="24" t="str">
        <x:v>Decapterus macarellus</x:v>
      </x:c>
      <x:c r="T149" s="32" t="n">
        <x:f>IF(O149="","",(1/'Metadata'!$B$5)^(O149-1))</x:f>
        <x:v>912.0108393559096</x:v>
      </x:c>
      <x:c r="U149" s="31" t="n">
        <x:f>IF(T149="","",I149*T149)</x:f>
        <x:v>16660.838017625676</x:v>
      </x:c>
    </x:row>
    <x:row r="150" ht="18" customHeight="1">
      <x:c r="A150" s="24" t="str">
        <x:v>LME_033</x:v>
      </x:c>
      <x:c r="B150" s="24" t="str">
        <x:v>Red Sea</x:v>
      </x:c>
      <x:c r="C150" s="24" t="str">
        <x:v>LME</x:v>
      </x:c>
      <x:c r="D150" s="30" t="n">
        <x:v>2019</x:v>
      </x:c>
      <x:c r="E150" s="24" t="str">
        <x:v>Diagramma pictum</x:v>
      </x:c>
      <x:c r="F150" s="24" t="str">
        <x:v>Painted sweetlips</x:v>
      </x:c>
      <x:c r="G150" s="24" t="str">
        <x:v>Large reef assoc. fish (&gt;=90 cm)</x:v>
      </x:c>
      <x:c r="H150" s="24" t="str">
        <x:v>Perch-likes</x:v>
      </x:c>
      <x:c r="I150" s="31" t="n">
        <x:v>16.961964998400003</x:v>
      </x:c>
      <x:c r="J150" s="31" t="n">
        <x:v>16.961964998400003</x:v>
      </x:c>
      <x:c r="K150" s="31" t="n">
        <x:v>0</x:v>
      </x:c>
      <x:c r="L150" s="31" t="n">
        <x:v>14.5846510344</x:v>
      </x:c>
      <x:c r="M150" s="31" t="n">
        <x:v>2.377313964</x:v>
      </x:c>
      <x:c r="N150" s="24" t="str">
        <x:v>diagramma pictum</x:v>
      </x:c>
      <x:c r="O150" s="32" t="n">
        <x:v>3.7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Diagramma pictum</x:v>
      </x:c>
      <x:c r="T150" s="32" t="n">
        <x:f>IF(O150="","",(1/'Metadata'!$B$5)^(O150-1))</x:f>
        <x:v>501.18723362727246</x:v>
      </x:c>
      <x:c r="U150" s="31" t="n">
        <x:f>IF(T150="","",I150*T150)</x:f>
        <x:v>8501.12031443072</x:v>
      </x:c>
    </x:row>
    <x:row r="151" ht="18" customHeight="1">
      <x:c r="A151" s="24" t="str">
        <x:v>LME_033</x:v>
      </x:c>
      <x:c r="B151" s="24" t="str">
        <x:v>Red Sea</x:v>
      </x:c>
      <x:c r="C151" s="24" t="str">
        <x:v>LME</x:v>
      </x:c>
      <x:c r="D151" s="30" t="n">
        <x:v>2019</x:v>
      </x:c>
      <x:c r="E151" s="24" t="str">
        <x:v>Maculabatis gerrardi</x:v>
      </x:c>
      <x:c r="F151" s="24" t="str">
        <x:v>Sharpnose stingray</x:v>
      </x:c>
      <x:c r="G151" s="24" t="str">
        <x:v>Large rays (&gt;=90 cm)</x:v>
      </x:c>
      <x:c r="H151" s="24" t="str">
        <x:v>Sharks &amp; rays</x:v>
      </x:c>
      <x:c r="I151" s="31" t="n">
        <x:v>15.955690853299998</x:v>
      </x:c>
      <x:c r="J151" s="31" t="n">
        <x:v>15.955690853299998</x:v>
      </x:c>
      <x:c r="K151" s="31" t="n">
        <x:v>0</x:v>
      </x:c>
      <x:c r="L151" s="31" t="n">
        <x:v>15.955690853299998</x:v>
      </x:c>
      <x:c r="M151" s="31" t="n">
        <x:v>0</x:v>
      </x:c>
      <x:c r="N151" s="24" t="str">
        <x:v>maculabatis gerrardi</x:v>
      </x:c>
      <x:c r="O151" s="32" t="n">
        <x:v>3.73</x:v>
      </x:c>
      <x:c r="P151" s="24" t="str">
        <x:v>exact_sea_around_us</x:v>
      </x:c>
      <x:c r="Q151" s="32" t="str">
        <x:v>Sea Around Us exploited organisms</x:v>
      </x:c>
      <x:c r="R151" s="24" t="str">
        <x:v>high</x:v>
      </x:c>
      <x:c r="S151" s="24" t="str">
        <x:v>Maculabatis gerrardi</x:v>
      </x:c>
      <x:c r="T151" s="32" t="n">
        <x:f>IF(O151="","",(1/'Metadata'!$B$5)^(O151-1))</x:f>
        <x:v>537.0317963702527</x:v>
      </x:c>
      <x:c r="U151" s="31" t="n">
        <x:f>IF(T151="","",I151*T151)</x:f>
        <x:v>8568.713321276107</x:v>
      </x:c>
    </x:row>
    <x:row r="152" ht="18" customHeight="1">
      <x:c r="A152" s="24" t="str">
        <x:v>LME_033</x:v>
      </x:c>
      <x:c r="B152" s="24" t="str">
        <x:v>Red Sea</x:v>
      </x:c>
      <x:c r="C152" s="24" t="str">
        <x:v>LME</x:v>
      </x:c>
      <x:c r="D152" s="30" t="n">
        <x:v>2019</x:v>
      </x:c>
      <x:c r="E152" s="24" t="str">
        <x:v>Bothidae</x:v>
      </x:c>
      <x:c r="F152" s="24" t="str">
        <x:v>Lefteye flounders</x:v>
      </x:c>
      <x:c r="G152" s="24" t="str">
        <x:v>Small to medium flatfishes (&lt;90 cm)</x:v>
      </x:c>
      <x:c r="H152" s="24" t="str">
        <x:v>Flatfishes</x:v>
      </x:c>
      <x:c r="I152" s="31" t="n">
        <x:v>14.747585577499999</x:v>
      </x:c>
      <x:c r="J152" s="31" t="n">
        <x:v>14.747585577499999</x:v>
      </x:c>
      <x:c r="K152" s="31" t="n">
        <x:v>0</x:v>
      </x:c>
      <x:c r="L152" s="31" t="n">
        <x:v>8.1204354885</x:v>
      </x:c>
      <x:c r="M152" s="31" t="n">
        <x:v>6.627150089000001</x:v>
      </x:c>
      <x:c r="N152" s="24" t="str">
        <x:v>bothidae</x:v>
      </x:c>
      <x:c r="O152" s="32" t="n">
        <x:v>3.77</x:v>
      </x:c>
      <x:c r="P152" s="24" t="str">
        <x:v>exact_sea_around_us</x:v>
      </x:c>
      <x:c r="Q152" s="32" t="str">
        <x:v>Sea Around Us exploited organisms</x:v>
      </x:c>
      <x:c r="R152" s="24" t="str">
        <x:v>high</x:v>
      </x:c>
      <x:c r="S152" s="24" t="str">
        <x:v>Bothidae</x:v>
      </x:c>
      <x:c r="T152" s="32" t="n">
        <x:f>IF(O152="","",(1/'Metadata'!$B$5)^(O152-1))</x:f>
        <x:v>588.843655355589</x:v>
      </x:c>
      <x:c r="U152" s="31" t="n">
        <x:f>IF(T152="","",I152*T152)</x:f>
        <x:v>8684.022199124465</x:v>
      </x:c>
    </x:row>
    <x:row r="153" ht="18" customHeight="1">
      <x:c r="A153" s="24" t="str">
        <x:v>LME_033</x:v>
      </x:c>
      <x:c r="B153" s="24" t="str">
        <x:v>Red Sea</x:v>
      </x:c>
      <x:c r="C153" s="24" t="str">
        <x:v>LME</x:v>
      </x:c>
      <x:c r="D153" s="30" t="n">
        <x:v>2019</x:v>
      </x:c>
      <x:c r="E153" s="24" t="str">
        <x:v>Epinephelus morrhua</x:v>
      </x:c>
      <x:c r="F153" s="24" t="str">
        <x:v>Comet grouper</x:v>
      </x:c>
      <x:c r="G153" s="24" t="str">
        <x:v>Medium demersals (30 - 89 cm)</x:v>
      </x:c>
      <x:c r="H153" s="24" t="str">
        <x:v>Perch-likes</x:v>
      </x:c>
      <x:c r="I153" s="31" t="n">
        <x:v>14.374310347500002</x:v>
      </x:c>
      <x:c r="J153" s="31" t="n">
        <x:v>14.374310347500002</x:v>
      </x:c>
      <x:c r="K153" s="31" t="n">
        <x:v>0</x:v>
      </x:c>
      <x:c r="L153" s="31" t="n">
        <x:v>11.740262084900001</x:v>
      </x:c>
      <x:c r="M153" s="31" t="n">
        <x:v>2.6340482626</x:v>
      </x:c>
      <x:c r="N153" s="24" t="str">
        <x:v>epinephelus morrhua</x:v>
      </x:c>
      <x:c r="O153" s="32" t="n">
        <x:v>3.97</x:v>
      </x:c>
      <x:c r="P153" s="24" t="str">
        <x:v>exact_2020_supplement</x:v>
      </x:c>
      <x:c r="Q153" s="32" t="str">
        <x:v>2020 supplement MeanTL</x:v>
      </x:c>
      <x:c r="R153" s="24" t="str">
        <x:v>high</x:v>
      </x:c>
      <x:c r="S153" s="24" t="str">
        <x:v>Epinephelus morrhua</x:v>
      </x:c>
      <x:c r="T153" s="32" t="n">
        <x:f>IF(O153="","",(1/'Metadata'!$B$5)^(O153-1))</x:f>
        <x:v>933.2543007969915</x:v>
      </x:c>
      <x:c r="U153" s="31" t="n">
        <x:f>IF(T153="","",I153*T153)</x:f>
        <x:v>13414.886952795074</x:v>
      </x:c>
    </x:row>
    <x:row r="154" ht="18" customHeight="1">
      <x:c r="A154" s="24" t="str">
        <x:v>LME_033</x:v>
      </x:c>
      <x:c r="B154" s="24" t="str">
        <x:v>Red Sea</x:v>
      </x:c>
      <x:c r="C154" s="24" t="str">
        <x:v>LME</x:v>
      </x:c>
      <x:c r="D154" s="30" t="n">
        <x:v>2019</x:v>
      </x:c>
      <x:c r="E154" s="24" t="str">
        <x:v>Teuthida</x:v>
      </x:c>
      <x:c r="F154" s="24" t="str">
        <x:v>Squids</x:v>
      </x:c>
      <x:c r="G154" s="24" t="str">
        <x:v>Cephalopods</x:v>
      </x:c>
      <x:c r="H154" s="24" t="str">
        <x:v>Other fishes &amp; inverts</x:v>
      </x:c>
      <x:c r="I154" s="31" t="n">
        <x:v>14.3726726031</x:v>
      </x:c>
      <x:c r="J154" s="31" t="n">
        <x:v>14.3726726031</x:v>
      </x:c>
      <x:c r="K154" s="31" t="n">
        <x:v>0</x:v>
      </x:c>
      <x:c r="L154" s="31" t="n">
        <x:v>14.369751001800001</x:v>
      </x:c>
      <x:c r="M154" s="31" t="n">
        <x:v>0.0029216013</x:v>
      </x:c>
      <x:c r="N154" s="24" t="str">
        <x:v>teuthida</x:v>
      </x:c>
      <x:c r="O154" s="32" t="n">
        <x:v>4.13</x:v>
      </x:c>
      <x:c r="P154" s="24" t="str">
        <x:v>exact_sea_around_us</x:v>
      </x:c>
      <x:c r="Q154" s="32" t="str">
        <x:v>Sea Around Us exploited organisms</x:v>
      </x:c>
      <x:c r="R154" s="24" t="str">
        <x:v>high</x:v>
      </x:c>
      <x:c r="S154" s="24" t="str">
        <x:v>Teuthida</x:v>
      </x:c>
      <x:c r="T154" s="32" t="n">
        <x:f>IF(O154="","",(1/'Metadata'!$B$5)^(O154-1))</x:f>
        <x:v>1348.9628825916532</x:v>
      </x:c>
      <x:c r="U154" s="31" t="n">
        <x:f>IF(T154="","",I154*T154)</x:f>
        <x:v>19388.201865223855</x:v>
      </x:c>
    </x:row>
    <x:row r="155" ht="18" customHeight="1">
      <x:c r="A155" s="24" t="str">
        <x:v>LME_033</x:v>
      </x:c>
      <x:c r="B155" s="24" t="str">
        <x:v>Red Sea</x:v>
      </x:c>
      <x:c r="C155" s="24" t="str">
        <x:v>LME</x:v>
      </x:c>
      <x:c r="D155" s="30" t="n">
        <x:v>2019</x:v>
      </x:c>
      <x:c r="E155" s="24" t="str">
        <x:v>Balistidae</x:v>
      </x:c>
      <x:c r="F155" s="24" t="str">
        <x:v>Triggerfishes</x:v>
      </x:c>
      <x:c r="G155" s="24" t="str">
        <x:v>Medium reef assoc. fish (30 - 89 cm)</x:v>
      </x:c>
      <x:c r="H155" s="24" t="str">
        <x:v>Other fishes &amp; inverts</x:v>
      </x:c>
      <x:c r="I155" s="31" t="n">
        <x:v>14.1629260017</x:v>
      </x:c>
      <x:c r="J155" s="31" t="n">
        <x:v>14.1629260017</x:v>
      </x:c>
      <x:c r="K155" s="31" t="n">
        <x:v>0</x:v>
      </x:c>
      <x:c r="L155" s="31" t="n">
        <x:v>12.9037386446</x:v>
      </x:c>
      <x:c r="M155" s="31" t="n">
        <x:v>1.2591873571</x:v>
      </x:c>
      <x:c r="N155" s="24" t="str">
        <x:v>balistidae</x:v>
      </x:c>
      <x:c r="O155" s="32" t="n">
        <x:v>3.25</x:v>
      </x:c>
      <x:c r="P155" s="24" t="str">
        <x:v>exact_sea_around_us</x:v>
      </x:c>
      <x:c r="Q155" s="32" t="str">
        <x:v>Sea Around Us exploited organisms</x:v>
      </x:c>
      <x:c r="R155" s="24" t="str">
        <x:v>high</x:v>
      </x:c>
      <x:c r="S155" s="24" t="str">
        <x:v>Balistidae</x:v>
      </x:c>
      <x:c r="T155" s="32" t="n">
        <x:f>IF(O155="","",(1/'Metadata'!$B$5)^(O155-1))</x:f>
        <x:v>177.82794100389228</x:v>
      </x:c>
      <x:c r="U155" s="31" t="n">
        <x:f>IF(T155="","",I155*T155)</x:f>
        <x:v>2518.5639694727997</x:v>
      </x:c>
    </x:row>
    <x:row r="156" ht="18" customHeight="1">
      <x:c r="A156" s="24" t="str">
        <x:v>LME_033</x:v>
      </x:c>
      <x:c r="B156" s="24" t="str">
        <x:v>Red Sea</x:v>
      </x:c>
      <x:c r="C156" s="24" t="str">
        <x:v>LME</x:v>
      </x:c>
      <x:c r="D156" s="30" t="n">
        <x:v>2019</x:v>
      </x:c>
      <x:c r="E156" s="24" t="str">
        <x:v>Lethrinus xanthochilus</x:v>
      </x:c>
      <x:c r="F156" s="24" t="str">
        <x:v>Yellowlip emperor</x:v>
      </x:c>
      <x:c r="G156" s="24" t="str">
        <x:v>Medium reef assoc. fish (30 - 89 cm)</x:v>
      </x:c>
      <x:c r="H156" s="24" t="str">
        <x:v>Perch-likes</x:v>
      </x:c>
      <x:c r="I156" s="31" t="n">
        <x:v>13.0363040255</x:v>
      </x:c>
      <x:c r="J156" s="31" t="n">
        <x:v>13.0363040255</x:v>
      </x:c>
      <x:c r="K156" s="31" t="n">
        <x:v>0</x:v>
      </x:c>
      <x:c r="L156" s="31" t="n">
        <x:v>11.017659188</x:v>
      </x:c>
      <x:c r="M156" s="31" t="n">
        <x:v>2.0186448375</x:v>
      </x:c>
      <x:c r="N156" s="24" t="str">
        <x:v>lethrinus xanthochilus</x:v>
      </x:c>
      <x:c r="O156" s="32" t="n">
        <x:v>3.78</x:v>
      </x:c>
      <x:c r="P156" s="24" t="str">
        <x:v>exact_2020_supplement</x:v>
      </x:c>
      <x:c r="Q156" s="32" t="str">
        <x:v>2020 supplement MeanTL</x:v>
      </x:c>
      <x:c r="R156" s="24" t="str">
        <x:v>high</x:v>
      </x:c>
      <x:c r="S156" s="24" t="str">
        <x:v>Lethrinus xanthochilus</x:v>
      </x:c>
      <x:c r="T156" s="32" t="n">
        <x:f>IF(O156="","",(1/'Metadata'!$B$5)^(O156-1))</x:f>
        <x:v>602.5595860743575</x:v>
      </x:c>
      <x:c r="U156" s="31" t="n">
        <x:f>IF(T156="","",I156*T156)</x:f>
        <x:v>7855.149957544761</x:v>
      </x:c>
    </x:row>
    <x:row r="157" ht="18" customHeight="1">
      <x:c r="A157" s="24" t="str">
        <x:v>LME_033</x:v>
      </x:c>
      <x:c r="B157" s="24" t="str">
        <x:v>Red Sea</x:v>
      </x:c>
      <x:c r="C157" s="24" t="str">
        <x:v>LME</x:v>
      </x:c>
      <x:c r="D157" s="30" t="n">
        <x:v>2019</x:v>
      </x:c>
      <x:c r="E157" s="24" t="str">
        <x:v>Lethrinus</x:v>
      </x:c>
      <x:c r="F157" s="24" t="str">
        <x:v>Emperors</x:v>
      </x:c>
      <x:c r="G157" s="24" t="str">
        <x:v>Medium reef assoc. fish (30 - 89 cm)</x:v>
      </x:c>
      <x:c r="H157" s="24" t="str">
        <x:v>Perch-likes</x:v>
      </x:c>
      <x:c r="I157" s="31" t="n">
        <x:v>12.0083004057</x:v>
      </x:c>
      <x:c r="J157" s="31" t="n">
        <x:v>12.0083004057</x:v>
      </x:c>
      <x:c r="K157" s="31" t="n">
        <x:v>0</x:v>
      </x:c>
      <x:c r="L157" s="31" t="n">
        <x:v>12.0083004057</x:v>
      </x:c>
      <x:c r="M157" s="31" t="n">
        <x:v>0</x:v>
      </x:c>
      <x:c r="N157" s="24" t="str">
        <x:v>lethrinus</x:v>
      </x:c>
      <x:c r="O157" s="32" t="n">
        <x:v>3.75</x:v>
      </x:c>
      <x:c r="P157" s="24" t="str">
        <x:v>exact_sea_around_us</x:v>
      </x:c>
      <x:c r="Q157" s="32" t="str">
        <x:v>Sea Around Us exploited organisms</x:v>
      </x:c>
      <x:c r="R157" s="24" t="str">
        <x:v>high</x:v>
      </x:c>
      <x:c r="S157" s="24" t="str">
        <x:v>Lethrinus</x:v>
      </x:c>
      <x:c r="T157" s="32" t="n">
        <x:f>IF(O157="","",(1/'Metadata'!$B$5)^(O157-1))</x:f>
        <x:v>562.341325190349</x:v>
      </x:c>
      <x:c r="U157" s="31" t="n">
        <x:f>IF(T157="","",I157*T157)</x:f>
        <x:v>6752.763563425144</x:v>
      </x:c>
    </x:row>
    <x:row r="158" ht="18" customHeight="1">
      <x:c r="A158" s="24" t="str">
        <x:v>LME_033</x:v>
      </x:c>
      <x:c r="B158" s="24" t="str">
        <x:v>Red Sea</x:v>
      </x:c>
      <x:c r="C158" s="24" t="str">
        <x:v>LME</x:v>
      </x:c>
      <x:c r="D158" s="30" t="n">
        <x:v>2019</x:v>
      </x:c>
      <x:c r="E158" s="24" t="str">
        <x:v>Auxis</x:v>
      </x:c>
      <x:c r="F158" s="24" t="str">
        <x:v>Bullet and frigate tunas</x:v>
      </x:c>
      <x:c r="G158" s="24" t="str">
        <x:v>Medium pelagics (30 - 89 cm)</x:v>
      </x:c>
      <x:c r="H158" s="24" t="str">
        <x:v>Tuna &amp; billfishes</x:v>
      </x:c>
      <x:c r="I158" s="31" t="n">
        <x:v>10.4841232742</x:v>
      </x:c>
      <x:c r="J158" s="31" t="n">
        <x:v>10.4841232742</x:v>
      </x:c>
      <x:c r="K158" s="31" t="n">
        <x:v>0</x:v>
      </x:c>
      <x:c r="L158" s="31" t="n">
        <x:v>10.4841232742</x:v>
      </x:c>
      <x:c r="M158" s="31" t="n">
        <x:v>0</x:v>
      </x:c>
      <x:c r="N158" s="24" t="str">
        <x:v>auxis</x:v>
      </x:c>
      <x:c r="O158" s="32" t="n">
        <x:v>4.24</x:v>
      </x:c>
      <x:c r="P158" s="24" t="str">
        <x:v>exact_sea_around_us</x:v>
      </x:c>
      <x:c r="Q158" s="32" t="str">
        <x:v>Sea Around Us exploited organisms</x:v>
      </x:c>
      <x:c r="R158" s="24" t="str">
        <x:v>high</x:v>
      </x:c>
      <x:c r="S158" s="24" t="str">
        <x:v>Auxis</x:v>
      </x:c>
      <x:c r="T158" s="32" t="n">
        <x:f>IF(O158="","",(1/'Metadata'!$B$5)^(O158-1))</x:f>
        <x:v>1737.8008287493763</x:v>
      </x:c>
      <x:c r="U158" s="31" t="n">
        <x:f>IF(T158="","",I158*T158)</x:f>
        <x:v>18219.318114615384</x:v>
      </x:c>
    </x:row>
    <x:row r="159" ht="18" customHeight="1">
      <x:c r="A159" s="24" t="str">
        <x:v>LME_033</x:v>
      </x:c>
      <x:c r="B159" s="24" t="str">
        <x:v>Red Sea</x:v>
      </x:c>
      <x:c r="C159" s="24" t="str">
        <x:v>LME</x:v>
      </x:c>
      <x:c r="D159" s="30" t="n">
        <x:v>2019</x:v>
      </x:c>
      <x:c r="E159" s="24" t="str">
        <x:v>Loliginidae</x:v>
      </x:c>
      <x:c r="F159" s="24" t="str">
        <x:v>Common pencil squids</x:v>
      </x:c>
      <x:c r="G159" s="24" t="str">
        <x:v>Cephalopods</x:v>
      </x:c>
      <x:c r="H159" s="24" t="str">
        <x:v>Other fishes &amp; inverts</x:v>
      </x:c>
      <x:c r="I159" s="31" t="n">
        <x:v>9.9862942214</x:v>
      </x:c>
      <x:c r="J159" s="31" t="n">
        <x:v>9.9862942214</x:v>
      </x:c>
      <x:c r="K159" s="31" t="n">
        <x:v>0</x:v>
      </x:c>
      <x:c r="L159" s="31" t="n">
        <x:v>9.4592164697</x:v>
      </x:c>
      <x:c r="M159" s="31" t="n">
        <x:v>0.5270777517</x:v>
      </x:c>
      <x:c r="N159" s="24" t="str">
        <x:v>loliginidae</x:v>
      </x:c>
      <x:c r="O159" s="32" t="n">
        <x:v>3.9</x:v>
      </x:c>
      <x:c r="P159" s="24" t="str">
        <x:v>exact_sea_around_us</x:v>
      </x:c>
      <x:c r="Q159" s="32" t="str">
        <x:v>Sea Around Us exploited organisms</x:v>
      </x:c>
      <x:c r="R159" s="24" t="str">
        <x:v>high</x:v>
      </x:c>
      <x:c r="S159" s="24" t="str">
        <x:v>Loliginidae</x:v>
      </x:c>
      <x:c r="T159" s="32" t="n">
        <x:f>IF(O159="","",(1/'Metadata'!$B$5)^(O159-1))</x:f>
        <x:v>794.3282347242813</x:v>
      </x:c>
      <x:c r="U159" s="31" t="n">
        <x:f>IF(T159="","",I159*T159)</x:f>
        <x:v>7932.395460321953</x:v>
      </x:c>
    </x:row>
    <x:row r="160" ht="18" customHeight="1">
      <x:c r="A160" s="24" t="str">
        <x:v>LME_033</x:v>
      </x:c>
      <x:c r="B160" s="24" t="str">
        <x:v>Red Sea</x:v>
      </x:c>
      <x:c r="C160" s="24" t="str">
        <x:v>LME</x:v>
      </x:c>
      <x:c r="D160" s="30" t="n">
        <x:v>2019</x:v>
      </x:c>
      <x:c r="E160" s="24" t="str">
        <x:v>Scomberoides lysan</x:v>
      </x:c>
      <x:c r="F160" s="24" t="str">
        <x:v>Doublespotted queenfish</x:v>
      </x:c>
      <x:c r="G160" s="24" t="str">
        <x:v>Medium reef assoc. fish (30 - 89 cm)</x:v>
      </x:c>
      <x:c r="H160" s="24" t="str">
        <x:v>Perch-likes</x:v>
      </x:c>
      <x:c r="I160" s="31" t="n">
        <x:v>9.042857536</x:v>
      </x:c>
      <x:c r="J160" s="31" t="n">
        <x:v>9.042857536</x:v>
      </x:c>
      <x:c r="K160" s="31" t="n">
        <x:v>0</x:v>
      </x:c>
      <x:c r="L160" s="31" t="n">
        <x:v>7.8228605672</x:v>
      </x:c>
      <x:c r="M160" s="31" t="n">
        <x:v>1.2199969688</x:v>
      </x:c>
      <x:c r="N160" s="24" t="str">
        <x:v>scomberoides lysan</x:v>
      </x:c>
      <x:c r="O160" s="32" t="n">
        <x:v>4.38</x:v>
      </x:c>
      <x:c r="P160" s="24" t="str">
        <x:v>exact_2020_supplement</x:v>
      </x:c>
      <x:c r="Q160" s="32" t="str">
        <x:v>2020 supplement MeanTL</x:v>
      </x:c>
      <x:c r="R160" s="24" t="str">
        <x:v>high</x:v>
      </x:c>
      <x:c r="S160" s="24" t="str">
        <x:v>Scomberoides lysan</x:v>
      </x:c>
      <x:c r="T160" s="32" t="n">
        <x:f>IF(O160="","",(1/'Metadata'!$B$5)^(O160-1))</x:f>
        <x:v>2398.83291901949</x:v>
      </x:c>
      <x:c r="U160" s="31" t="n">
        <x:f>IF(T160="","",I160*T160)</x:f>
        <x:v>21692.30433936027</x:v>
      </x:c>
    </x:row>
    <x:row r="161" ht="18" customHeight="1">
      <x:c r="A161" s="24" t="str">
        <x:v>LME_033</x:v>
      </x:c>
      <x:c r="B161" s="24" t="str">
        <x:v>Red Sea</x:v>
      </x:c>
      <x:c r="C161" s="24" t="str">
        <x:v>LME</x:v>
      </x:c>
      <x:c r="D161" s="30" t="n">
        <x:v>2019</x:v>
      </x:c>
      <x:c r="E161" s="24" t="str">
        <x:v>Gerres</x:v>
      </x:c>
      <x:c r="F161" s="24" t="str">
        <x:v>Silver biddies</x:v>
      </x:c>
      <x:c r="G161" s="24" t="str">
        <x:v>Small benthopelagics (&lt;30 cm)</x:v>
      </x:c>
      <x:c r="H161" s="24" t="str">
        <x:v>Perch-likes</x:v>
      </x:c>
      <x:c r="I161" s="31" t="n">
        <x:v>8.890589704899998</x:v>
      </x:c>
      <x:c r="J161" s="31" t="n">
        <x:v>8.890589704899998</x:v>
      </x:c>
      <x:c r="K161" s="31" t="n">
        <x:v>0</x:v>
      </x:c>
      <x:c r="L161" s="31" t="n">
        <x:v>7.914422760799999</x:v>
      </x:c>
      <x:c r="M161" s="31" t="n">
        <x:v>0.9761669441</x:v>
      </x:c>
      <x:c r="N161" s="24" t="str">
        <x:v>gerres</x:v>
      </x:c>
      <x:c r="O161" s="32" t="n">
        <x:v>3.27</x:v>
      </x:c>
      <x:c r="P161" s="24" t="str">
        <x:v>exact_sea_around_us</x:v>
      </x:c>
      <x:c r="Q161" s="32" t="str">
        <x:v>Sea Around Us exploited organisms</x:v>
      </x:c>
      <x:c r="R161" s="24" t="str">
        <x:v>high</x:v>
      </x:c>
      <x:c r="S161" s="24" t="str">
        <x:v>Gerres</x:v>
      </x:c>
      <x:c r="T161" s="32" t="n">
        <x:f>IF(O161="","",(1/'Metadata'!$B$5)^(O161-1))</x:f>
        <x:v>186.20871366628674</x:v>
      </x:c>
      <x:c r="U161" s="31" t="n">
        <x:f>IF(T161="","",I161*T161)</x:f>
        <x:v>1655.5052726841604</x:v>
      </x:c>
    </x:row>
    <x:row r="162" ht="18" customHeight="1">
      <x:c r="A162" s="24" t="str">
        <x:v>LME_033</x:v>
      </x:c>
      <x:c r="B162" s="24" t="str">
        <x:v>Red Sea</x:v>
      </x:c>
      <x:c r="C162" s="24" t="str">
        <x:v>LME</x:v>
      </x:c>
      <x:c r="D162" s="30" t="n">
        <x:v>2019</x:v>
      </x:c>
      <x:c r="E162" s="24" t="str">
        <x:v>Pristipomoides</x:v>
      </x:c>
      <x:c r="F162" s="24" t="str">
        <x:v>Jobfishes</x:v>
      </x:c>
      <x:c r="G162" s="24" t="str">
        <x:v>Medium demersals (30 - 89 cm)</x:v>
      </x:c>
      <x:c r="H162" s="24" t="str">
        <x:v>Perch-likes</x:v>
      </x:c>
      <x:c r="I162" s="31" t="n">
        <x:v>8.4780828523</x:v>
      </x:c>
      <x:c r="J162" s="31" t="n">
        <x:v>8.4780828523</x:v>
      </x:c>
      <x:c r="K162" s="31" t="n">
        <x:v>0</x:v>
      </x:c>
      <x:c r="L162" s="31" t="n">
        <x:v>8.4780828523</x:v>
      </x:c>
      <x:c r="M162" s="31" t="n">
        <x:v>0</x:v>
      </x:c>
      <x:c r="N162" s="24" t="str">
        <x:v>pristipomoides</x:v>
      </x:c>
      <x:c r="O162" s="32" t="n">
        <x:v>3.91</x:v>
      </x:c>
      <x:c r="P162" s="24" t="str">
        <x:v>exact_sea_around_us</x:v>
      </x:c>
      <x:c r="Q162" s="32" t="str">
        <x:v>Sea Around Us exploited organisms</x:v>
      </x:c>
      <x:c r="R162" s="24" t="str">
        <x:v>high</x:v>
      </x:c>
      <x:c r="S162" s="24" t="str">
        <x:v>Pristipomoides</x:v>
      </x:c>
      <x:c r="T162" s="32" t="n">
        <x:f>IF(O162="","",(1/'Metadata'!$B$5)^(O162-1))</x:f>
        <x:v>812.8305161640995</x:v>
      </x:c>
      <x:c r="U162" s="31" t="n">
        <x:f>IF(T162="","",I162*T162)</x:f>
        <x:v>6891.244460917011</x:v>
      </x:c>
    </x:row>
    <x:row r="163" ht="18" customHeight="1">
      <x:c r="A163" s="24" t="str">
        <x:v>LME_033</x:v>
      </x:c>
      <x:c r="B163" s="24" t="str">
        <x:v>Red Sea</x:v>
      </x:c>
      <x:c r="C163" s="24" t="str">
        <x:v>LME</x:v>
      </x:c>
      <x:c r="D163" s="30" t="n">
        <x:v>2019</x:v>
      </x:c>
      <x:c r="E163" s="24" t="str">
        <x:v>Mollusca</x:v>
      </x:c>
      <x:c r="F163" s="24" t="str">
        <x:v>Clams, seasnails, squids, octopuses</x:v>
      </x:c>
      <x:c r="G163" s="24" t="str">
        <x:v>Other demersal invertebrates</x:v>
      </x:c>
      <x:c r="H163" s="24" t="str">
        <x:v>Molluscs</x:v>
      </x:c>
      <x:c r="I163" s="31" t="n">
        <x:v>7.3070086994</x:v>
      </x:c>
      <x:c r="J163" s="31" t="n">
        <x:v>7.3070086994</x:v>
      </x:c>
      <x:c r="K163" s="31" t="n">
        <x:v>0</x:v>
      </x:c>
      <x:c r="L163" s="31" t="n">
        <x:v>6.3241194863</x:v>
      </x:c>
      <x:c r="M163" s="31" t="n">
        <x:v>0.9828892131</x:v>
      </x:c>
      <x:c r="N163" s="24" t="str">
        <x:v>mollusca</x:v>
      </x:c>
      <x:c r="O163" s="32" t="n">
        <x:v>2.1</x:v>
      </x:c>
      <x:c r="P163" s="24" t="str">
        <x:v>exact_sea_around_us</x:v>
      </x:c>
      <x:c r="Q163" s="32" t="str">
        <x:v>Sea Around Us exploited organisms</x:v>
      </x:c>
      <x:c r="R163" s="24" t="str">
        <x:v>high</x:v>
      </x:c>
      <x:c r="S163" s="24" t="str">
        <x:v>Mollusca</x:v>
      </x:c>
      <x:c r="T163" s="32" t="n">
        <x:f>IF(O163="","",(1/'Metadata'!$B$5)^(O163-1))</x:f>
        <x:v>12.589254117941675</x:v>
      </x:c>
      <x:c r="U163" s="31" t="n">
        <x:f>IF(T163="","",I163*T163)</x:f>
        <x:v>91.9897893587571</x:v>
      </x:c>
    </x:row>
    <x:row r="164" ht="18" customHeight="1">
      <x:c r="A164" s="24" t="str">
        <x:v>LME_033</x:v>
      </x:c>
      <x:c r="B164" s="24" t="str">
        <x:v>Red Sea</x:v>
      </x:c>
      <x:c r="C164" s="24" t="str">
        <x:v>LME</x:v>
      </x:c>
      <x:c r="D164" s="30" t="n">
        <x:v>2019</x:v>
      </x:c>
      <x:c r="E164" s="24" t="str">
        <x:v>Scomberomorus</x:v>
      </x:c>
      <x:c r="F164" s="24" t="str">
        <x:v>Spanish mackerels</x:v>
      </x:c>
      <x:c r="G164" s="24" t="str">
        <x:v>Large pelagics (&gt;=90 cm)</x:v>
      </x:c>
      <x:c r="H164" s="24" t="str">
        <x:v>Perch-likes</x:v>
      </x:c>
      <x:c r="I164" s="31" t="n">
        <x:v>6.493852574400001</x:v>
      </x:c>
      <x:c r="J164" s="31" t="n">
        <x:v>6.493852574400001</x:v>
      </x:c>
      <x:c r="K164" s="31" t="n">
        <x:v>0</x:v>
      </x:c>
      <x:c r="L164" s="31" t="n">
        <x:v>0</x:v>
      </x:c>
      <x:c r="M164" s="31" t="n">
        <x:v>6.493852574400001</x:v>
      </x:c>
      <x:c r="N164" s="24" t="str">
        <x:v>scomberomorus</x:v>
      </x:c>
      <x:c r="O164" s="32" t="n">
        <x:v>4.35</x:v>
      </x:c>
      <x:c r="P164" s="24" t="str">
        <x:v>exact_sea_around_us</x:v>
      </x:c>
      <x:c r="Q164" s="32" t="str">
        <x:v>Sea Around Us exploited organisms</x:v>
      </x:c>
      <x:c r="R164" s="24" t="str">
        <x:v>high</x:v>
      </x:c>
      <x:c r="S164" s="24" t="str">
        <x:v>Scomberomorus</x:v>
      </x:c>
      <x:c r="T164" s="32" t="n">
        <x:f>IF(O164="","",(1/'Metadata'!$B$5)^(O164-1))</x:f>
        <x:v>2238.7211385683377</x:v>
      </x:c>
      <x:c r="U164" s="31" t="n">
        <x:f>IF(T164="","",I164*T164)</x:f>
        <x:v>14537.925029055701</x:v>
      </x:c>
    </x:row>
    <x:row r="165" ht="18" customHeight="1">
      <x:c r="A165" s="24" t="str">
        <x:v>LME_033</x:v>
      </x:c>
      <x:c r="B165" s="24" t="str">
        <x:v>Red Sea</x:v>
      </x:c>
      <x:c r="C165" s="24" t="str">
        <x:v>LME</x:v>
      </x:c>
      <x:c r="D165" s="30" t="n">
        <x:v>2019</x:v>
      </x:c>
      <x:c r="E165" s="24" t="str">
        <x:v>Seriola dumerili</x:v>
      </x:c>
      <x:c r="F165" s="24" t="str">
        <x:v>Greater amberjack</x:v>
      </x:c>
      <x:c r="G165" s="24" t="str">
        <x:v>Large reef assoc. fish (&gt;=90 cm)</x:v>
      </x:c>
      <x:c r="H165" s="24" t="str">
        <x:v>Perch-likes</x:v>
      </x:c>
      <x:c r="I165" s="31" t="n">
        <x:v>6.4394708822</x:v>
      </x:c>
      <x:c r="J165" s="31" t="n">
        <x:v>6.4394708822</x:v>
      </x:c>
      <x:c r="K165" s="31" t="n">
        <x:v>0</x:v>
      </x:c>
      <x:c r="L165" s="31" t="n">
        <x:v>6.4394708822</x:v>
      </x:c>
      <x:c r="M165" s="31" t="n">
        <x:v>0</x:v>
      </x:c>
      <x:c r="N165" s="24" t="str">
        <x:v>seriola dumerili</x:v>
      </x:c>
      <x:c r="O165" s="32" t="n">
        <x:v>4.5</x:v>
      </x:c>
      <x:c r="P165" s="24" t="str">
        <x:v>exact_2020_supplement</x:v>
      </x:c>
      <x:c r="Q165" s="32" t="str">
        <x:v>2020 supplement MeanTL</x:v>
      </x:c>
      <x:c r="R165" s="24" t="str">
        <x:v>high</x:v>
      </x:c>
      <x:c r="S165" s="24" t="str">
        <x:v>Seriola dumerili</x:v>
      </x:c>
      <x:c r="T165" s="32" t="n">
        <x:f>IF(O165="","",(1/'Metadata'!$B$5)^(O165-1))</x:f>
        <x:v>3162.2776601683795</x:v>
      </x:c>
      <x:c r="U165" s="31" t="n">
        <x:f>IF(T165="","",I165*T165)</x:f>
        <x:v>20363.394914085828</x:v>
      </x:c>
    </x:row>
    <x:row r="166" ht="18" customHeight="1">
      <x:c r="A166" s="24" t="str">
        <x:v>LME_033</x:v>
      </x:c>
      <x:c r="B166" s="24" t="str">
        <x:v>Red Sea</x:v>
      </x:c>
      <x:c r="C166" s="24" t="str">
        <x:v>LME</x:v>
      </x:c>
      <x:c r="D166" s="30" t="n">
        <x:v>2019</x:v>
      </x:c>
      <x:c r="E166" s="24" t="str">
        <x:v>Crenidens crenidens</x:v>
      </x:c>
      <x:c r="F166" s="24" t="str">
        <x:v>Karanteen seabream</x:v>
      </x:c>
      <x:c r="G166" s="24" t="str">
        <x:v>Small demersals (&lt;30 cm)</x:v>
      </x:c>
      <x:c r="H166" s="24" t="str">
        <x:v>Perch-likes</x:v>
      </x:c>
      <x:c r="I166" s="31" t="n">
        <x:v>4.4094015216</x:v>
      </x:c>
      <x:c r="J166" s="31" t="n">
        <x:v>4.4094015216</x:v>
      </x:c>
      <x:c r="K166" s="31" t="n">
        <x:v>0</x:v>
      </x:c>
      <x:c r="L166" s="31" t="n">
        <x:v>4.0860389162</x:v>
      </x:c>
      <x:c r="M166" s="31" t="n">
        <x:v>0.3233626054</x:v>
      </x:c>
      <x:c r="N166" s="24" t="str">
        <x:v>crenidens crenidens</x:v>
      </x:c>
      <x:c r="O166" s="32" t="n">
        <x:v>2.8</x:v>
      </x:c>
      <x:c r="P166" s="24" t="str">
        <x:v>exact_2020_supplement</x:v>
      </x:c>
      <x:c r="Q166" s="32" t="str">
        <x:v>2020 supplement MeanTL</x:v>
      </x:c>
      <x:c r="R166" s="24" t="str">
        <x:v>high</x:v>
      </x:c>
      <x:c r="S166" s="24" t="str">
        <x:v>Crenidens crenidens</x:v>
      </x:c>
      <x:c r="T166" s="32" t="n">
        <x:f>IF(O166="","",(1/'Metadata'!$B$5)^(O166-1))</x:f>
        <x:v>63.0957344480193</x:v>
      </x:c>
      <x:c r="U166" s="31" t="n">
        <x:f>IF(T166="","",I166*T166)</x:f>
        <x:v>278.21442748156585</x:v>
      </x:c>
    </x:row>
    <x:row r="167" ht="18" customHeight="1">
      <x:c r="A167" s="24" t="str">
        <x:v>LME_033</x:v>
      </x:c>
      <x:c r="B167" s="24" t="str">
        <x:v>Red Sea</x:v>
      </x:c>
      <x:c r="C167" s="24" t="str">
        <x:v>LME</x:v>
      </x:c>
      <x:c r="D167" s="30" t="n">
        <x:v>2019</x:v>
      </x:c>
      <x:c r="E167" s="24" t="str">
        <x:v>Epinephelus</x:v>
      </x:c>
      <x:c r="F167" s="24" t="str">
        <x:v>Seabasses, hinds</x:v>
      </x:c>
      <x:c r="G167" s="24" t="str">
        <x:v>Medium reef assoc. fish (30 - 89 cm)</x:v>
      </x:c>
      <x:c r="H167" s="24" t="str">
        <x:v>Perch-likes</x:v>
      </x:c>
      <x:c r="I167" s="31" t="n">
        <x:v>3.7866409784</x:v>
      </x:c>
      <x:c r="J167" s="31" t="n">
        <x:v>3.7866409784</x:v>
      </x:c>
      <x:c r="K167" s="31" t="n">
        <x:v>0</x:v>
      </x:c>
      <x:c r="L167" s="31" t="n">
        <x:v>0</x:v>
      </x:c>
      <x:c r="M167" s="31" t="n">
        <x:v>3.7866409784</x:v>
      </x:c>
      <x:c r="N167" s="24" t="str">
        <x:v>epinephelus</x:v>
      </x:c>
      <x:c r="O167" s="32" t="n">
        <x:v>3.84</x:v>
      </x:c>
      <x:c r="P167" s="24" t="str">
        <x:v>exact_sea_around_us</x:v>
      </x:c>
      <x:c r="Q167" s="32" t="str">
        <x:v>Sea Around Us exploited organisms</x:v>
      </x:c>
      <x:c r="R167" s="24" t="str">
        <x:v>high</x:v>
      </x:c>
      <x:c r="S167" s="24" t="str">
        <x:v>Epinephelus</x:v>
      </x:c>
      <x:c r="T167" s="32" t="n">
        <x:f>IF(O167="","",(1/'Metadata'!$B$5)^(O167-1))</x:f>
        <x:v>691.8309709189363</x:v>
      </x:c>
      <x:c r="U167" s="31" t="n">
        <x:f>IF(T167="","",I167*T167)</x:f>
        <x:v>2619.715504607903</x:v>
      </x:c>
    </x:row>
    <x:row r="168" ht="18" customHeight="1">
      <x:c r="A168" s="24" t="str">
        <x:v>LME_033</x:v>
      </x:c>
      <x:c r="B168" s="24" t="str">
        <x:v>Red Sea</x:v>
      </x:c>
      <x:c r="C168" s="24" t="str">
        <x:v>LME</x:v>
      </x:c>
      <x:c r="D168" s="30" t="n">
        <x:v>2019</x:v>
      </x:c>
      <x:c r="E168" s="24" t="str">
        <x:v>Acanthopagrus berda</x:v>
      </x:c>
      <x:c r="F168" s="24" t="str">
        <x:v>Goldsilk seabream</x:v>
      </x:c>
      <x:c r="G168" s="24" t="str">
        <x:v>Medium demersals (30 - 89 cm)</x:v>
      </x:c>
      <x:c r="H168" s="24" t="str">
        <x:v>Perch-likes</x:v>
      </x:c>
      <x:c r="I168" s="31" t="n">
        <x:v>3.491453938</x:v>
      </x:c>
      <x:c r="J168" s="31" t="n">
        <x:v>3.491453938</x:v>
      </x:c>
      <x:c r="K168" s="31" t="n">
        <x:v>0</x:v>
      </x:c>
      <x:c r="L168" s="31" t="n">
        <x:v>3.2500403850999997</x:v>
      </x:c>
      <x:c r="M168" s="31" t="n">
        <x:v>0.2414135529</x:v>
      </x:c>
      <x:c r="N168" s="24" t="str">
        <x:v>acanthopagrus berda</x:v>
      </x:c>
      <x:c r="O168" s="32" t="n">
        <x:v>3.48</x:v>
      </x:c>
      <x:c r="P168" s="24" t="str">
        <x:v>exact_sea_around_us</x:v>
      </x:c>
      <x:c r="Q168" s="32" t="str">
        <x:v>Sea Around Us exploited organisms</x:v>
      </x:c>
      <x:c r="R168" s="24" t="str">
        <x:v>high</x:v>
      </x:c>
      <x:c r="S168" s="24" t="str">
        <x:v>Acanthopagrus berda</x:v>
      </x:c>
      <x:c r="T168" s="32" t="n">
        <x:f>IF(O168="","",(1/'Metadata'!$B$5)^(O168-1))</x:f>
        <x:v>301.9951720402016</x:v>
      </x:c>
      <x:c r="U168" s="31" t="n">
        <x:f>IF(T168="","",I168*T168)</x:f>
        <x:v>1054.4022326767495</x:v>
      </x:c>
    </x:row>
    <x:row r="169" ht="18" customHeight="1">
      <x:c r="A169" s="24" t="str">
        <x:v>LME_033</x:v>
      </x:c>
      <x:c r="B169" s="24" t="str">
        <x:v>Red Sea</x:v>
      </x:c>
      <x:c r="C169" s="24" t="str">
        <x:v>LME</x:v>
      </x:c>
      <x:c r="D169" s="30" t="n">
        <x:v>2019</x:v>
      </x:c>
      <x:c r="E169" s="24" t="str">
        <x:v>Sciaenidae</x:v>
      </x:c>
      <x:c r="F169" s="24" t="str">
        <x:v>Drums, croakers</x:v>
      </x:c>
      <x:c r="G169" s="24" t="str">
        <x:v>Medium demersals (30 - 89 cm)</x:v>
      </x:c>
      <x:c r="H169" s="24" t="str">
        <x:v>Perch-likes</x:v>
      </x:c>
      <x:c r="I169" s="31" t="n">
        <x:v>3.1628151723</x:v>
      </x:c>
      <x:c r="J169" s="31" t="n">
        <x:v>3.1628151723</x:v>
      </x:c>
      <x:c r="K169" s="31" t="n">
        <x:v>0</x:v>
      </x:c>
      <x:c r="L169" s="31" t="n">
        <x:v>0</x:v>
      </x:c>
      <x:c r="M169" s="31" t="n">
        <x:v>3.1628151723</x:v>
      </x:c>
      <x:c r="N169" s="24" t="str">
        <x:v>sciaenidae</x:v>
      </x:c>
      <x:c r="O169" s="32" t="n">
        <x:v>3.76</x:v>
      </x:c>
      <x:c r="P169" s="24" t="str">
        <x:v>exact_sea_around_us</x:v>
      </x:c>
      <x:c r="Q169" s="32" t="str">
        <x:v>Sea Around Us exploited organisms</x:v>
      </x:c>
      <x:c r="R169" s="24" t="str">
        <x:v>high</x:v>
      </x:c>
      <x:c r="S169" s="24" t="str">
        <x:v>Sciaenidae</x:v>
      </x:c>
      <x:c r="T169" s="32" t="n">
        <x:f>IF(O169="","",(1/'Metadata'!$B$5)^(O169-1))</x:f>
        <x:v>575.4399373371566</x:v>
      </x:c>
      <x:c r="U169" s="31" t="n">
        <x:f>IF(T169="","",I169*T169)</x:f>
        <x:v>1820.0101645573202</x:v>
      </x:c>
    </x:row>
    <x:row r="170" ht="18" customHeight="1">
      <x:c r="A170" s="24" t="str">
        <x:v>LME_033</x:v>
      </x:c>
      <x:c r="B170" s="24" t="str">
        <x:v>Red Sea</x:v>
      </x:c>
      <x:c r="C170" s="24" t="str">
        <x:v>LME</x:v>
      </x:c>
      <x:c r="D170" s="30" t="n">
        <x:v>2019</x:v>
      </x:c>
      <x:c r="E170" s="24" t="str">
        <x:v>Istiophoridae</x:v>
      </x:c>
      <x:c r="F170" s="24" t="str">
        <x:v>Billfishes</x:v>
      </x:c>
      <x:c r="G170" s="24" t="str">
        <x:v>Large pelagics (&gt;=90 cm)</x:v>
      </x:c>
      <x:c r="H170" s="24" t="str">
        <x:v>Tuna &amp; billfishes</x:v>
      </x:c>
      <x:c r="I170" s="31" t="n">
        <x:v>2.9787295284999997</x:v>
      </x:c>
      <x:c r="J170" s="31" t="n">
        <x:v>2.9787295284999997</x:v>
      </x:c>
      <x:c r="K170" s="31" t="n">
        <x:v>0</x:v>
      </x:c>
      <x:c r="L170" s="31" t="n">
        <x:v>1.0269250482</x:v>
      </x:c>
      <x:c r="M170" s="31" t="n">
        <x:v>1.9518044802999999</x:v>
      </x:c>
      <x:c r="N170" s="24" t="str">
        <x:v>istiophoridae</x:v>
      </x:c>
      <x:c r="O170" s="32" t="n">
        <x:v>4.48</x:v>
      </x:c>
      <x:c r="P170" s="24" t="str">
        <x:v>exact_sea_around_us</x:v>
      </x:c>
      <x:c r="Q170" s="32" t="str">
        <x:v>Sea Around Us exploited organisms</x:v>
      </x:c>
      <x:c r="R170" s="24" t="str">
        <x:v>high</x:v>
      </x:c>
      <x:c r="S170" s="24" t="str">
        <x:v>Istiophoridae</x:v>
      </x:c>
      <x:c r="T170" s="32" t="n">
        <x:f>IF(O170="","",(1/'Metadata'!$B$5)^(O170-1))</x:f>
        <x:v>3019.951720402019</x:v>
      </x:c>
      <x:c r="U170" s="31" t="n">
        <x:f>IF(T170="","",I170*T170)</x:f>
        <x:v>8995.61936420587</x:v>
      </x:c>
    </x:row>
    <x:row r="171" ht="18" customHeight="1">
      <x:c r="A171" s="24" t="str">
        <x:v>LME_033</x:v>
      </x:c>
      <x:c r="B171" s="24" t="str">
        <x:v>Red Sea</x:v>
      </x:c>
      <x:c r="C171" s="24" t="str">
        <x:v>LME</x:v>
      </x:c>
      <x:c r="D171" s="30" t="n">
        <x:v>2019</x:v>
      </x:c>
      <x:c r="E171" s="24" t="str">
        <x:v>Panulirus</x:v>
      </x:c>
      <x:c r="F171" s="24" t="str">
        <x:v>Spiny lobsters</x:v>
      </x:c>
      <x:c r="G171" s="24" t="str">
        <x:v>Lobsters, crabs</x:v>
      </x:c>
      <x:c r="H171" s="24" t="str">
        <x:v>Crustaceans</x:v>
      </x:c>
      <x:c r="I171" s="31" t="n">
        <x:v>2.9775745799999997</x:v>
      </x:c>
      <x:c r="J171" s="31" t="n">
        <x:v>2.9775745799999997</x:v>
      </x:c>
      <x:c r="K171" s="31" t="n">
        <x:v>0</x:v>
      </x:c>
      <x:c r="L171" s="31" t="n">
        <x:v>2.9775745799999997</x:v>
      </x:c>
      <x:c r="M171" s="31" t="n">
        <x:v>0</x:v>
      </x:c>
      <x:c r="N171" s="24" t="str">
        <x:v>panulirus</x:v>
      </x:c>
      <x:c r="O171" s="32" t="n">
        <x:v>2.6</x:v>
      </x:c>
      <x:c r="P171" s="24" t="str">
        <x:v>exact_sea_around_us</x:v>
      </x:c>
      <x:c r="Q171" s="32" t="str">
        <x:v>Sea Around Us exploited organisms</x:v>
      </x:c>
      <x:c r="R171" s="24" t="str">
        <x:v>high</x:v>
      </x:c>
      <x:c r="S171" s="24" t="str">
        <x:v>Panulirus</x:v>
      </x:c>
      <x:c r="T171" s="32" t="n">
        <x:f>IF(O171="","",(1/'Metadata'!$B$5)^(O171-1))</x:f>
        <x:v>39.810717055349734</x:v>
      </x:c>
      <x:c r="U171" s="31" t="n">
        <x:f>IF(T171="","",I171*T171)</x:f>
        <x:v>118.53937911558181</x:v>
      </x:c>
    </x:row>
    <x:row r="172" ht="18" customHeight="1">
      <x:c r="A172" s="24" t="str">
        <x:v>LME_033</x:v>
      </x:c>
      <x:c r="B172" s="24" t="str">
        <x:v>Red Sea</x:v>
      </x:c>
      <x:c r="C172" s="24" t="str">
        <x:v>LME</x:v>
      </x:c>
      <x:c r="D172" s="30" t="n">
        <x:v>2019</x:v>
      </x:c>
      <x:c r="E172" s="24" t="str">
        <x:v>Epinephelus polyphekadion</x:v>
      </x:c>
      <x:c r="F172" s="24" t="str">
        <x:v>Camouflage grouper</x:v>
      </x:c>
      <x:c r="G172" s="24" t="str">
        <x:v>Large reef assoc. fish (&gt;=90 cm)</x:v>
      </x:c>
      <x:c r="H172" s="24" t="str">
        <x:v>Perch-likes</x:v>
      </x:c>
      <x:c r="I172" s="31" t="n">
        <x:v>2.7455010558</x:v>
      </x:c>
      <x:c r="J172" s="31" t="n">
        <x:v>2.7455010558</x:v>
      </x:c>
      <x:c r="K172" s="31" t="n">
        <x:v>0</x:v>
      </x:c>
      <x:c r="L172" s="31" t="n">
        <x:v>2.7455010558</x:v>
      </x:c>
      <x:c r="M172" s="31" t="n">
        <x:v>0</x:v>
      </x:c>
      <x:c r="N172" s="24" t="str">
        <x:v>epinephelus polyphekadion</x:v>
      </x:c>
      <x:c r="O172" s="32" t="n">
        <x:v>3.99</x:v>
      </x:c>
      <x:c r="P172" s="24" t="str">
        <x:v>exact_2020_supplement</x:v>
      </x:c>
      <x:c r="Q172" s="32" t="str">
        <x:v>2020 supplement MeanTL</x:v>
      </x:c>
      <x:c r="R172" s="24" t="str">
        <x:v>high</x:v>
      </x:c>
      <x:c r="S172" s="24" t="str">
        <x:v>Epinephelus polyphekadion</x:v>
      </x:c>
      <x:c r="T172" s="32" t="n">
        <x:f>IF(O172="","",(1/'Metadata'!$B$5)^(O172-1))</x:f>
        <x:v>977.2372209558112</x:v>
      </x:c>
      <x:c r="U172" s="31" t="n">
        <x:f>IF(T172="","",I172*T172)</x:f>
        <x:v>2683.0058219012376</x:v>
      </x:c>
    </x:row>
    <x:row r="173" ht="18" customHeight="1">
      <x:c r="A173" s="24" t="str">
        <x:v>LME_033</x:v>
      </x:c>
      <x:c r="B173" s="24" t="str">
        <x:v>Red Sea</x:v>
      </x:c>
      <x:c r="C173" s="24" t="str">
        <x:v>LME</x:v>
      </x:c>
      <x:c r="D173" s="30" t="n">
        <x:v>2019</x:v>
      </x:c>
      <x:c r="E173" s="24" t="str">
        <x:v>Auxis thazard</x:v>
      </x:c>
      <x:c r="F173" s="24" t="str">
        <x:v>Frigate tuna</x:v>
      </x:c>
      <x:c r="G173" s="24" t="str">
        <x:v>Medium pelagics (30 - 89 cm)</x:v>
      </x:c>
      <x:c r="H173" s="24" t="str">
        <x:v>Tuna &amp; billfishes</x:v>
      </x:c>
      <x:c r="I173" s="31" t="n">
        <x:v>2.6435526944</x:v>
      </x:c>
      <x:c r="J173" s="31" t="n">
        <x:v>2.6435526944</x:v>
      </x:c>
      <x:c r="K173" s="31" t="n">
        <x:v>0</x:v>
      </x:c>
      <x:c r="L173" s="31" t="n">
        <x:v>0.0693916033</x:v>
      </x:c>
      <x:c r="M173" s="31" t="n">
        <x:v>2.5741610911</x:v>
      </x:c>
      <x:c r="N173" s="24" t="str">
        <x:v>auxis thazard</x:v>
      </x:c>
      <x:c r="O173" s="32" t="n">
        <x:v>4.37</x:v>
      </x:c>
      <x:c r="P173" s="24" t="str">
        <x:v>exact_2020_supplement</x:v>
      </x:c>
      <x:c r="Q173" s="32" t="str">
        <x:v>2020 supplement MeanTL</x:v>
      </x:c>
      <x:c r="R173" s="24" t="str">
        <x:v>high</x:v>
      </x:c>
      <x:c r="S173" s="24" t="str">
        <x:v>Auxis thazard</x:v>
      </x:c>
      <x:c r="T173" s="32" t="n">
        <x:f>IF(O173="","",(1/'Metadata'!$B$5)^(O173-1))</x:f>
        <x:v>2344.228815319923</x:v>
      </x:c>
      <x:c r="U173" s="31" t="n">
        <x:f>IF(T173="","",I173*T173)</x:f>
        <x:v>6197.092401029102</x:v>
      </x:c>
    </x:row>
    <x:row r="174" ht="18" customHeight="1">
      <x:c r="A174" s="24" t="str">
        <x:v>LME_033</x:v>
      </x:c>
      <x:c r="B174" s="24" t="str">
        <x:v>Red Sea</x:v>
      </x:c>
      <x:c r="C174" s="24" t="str">
        <x:v>LME</x:v>
      </x:c>
      <x:c r="D174" s="30" t="n">
        <x:v>2019</x:v>
      </x:c>
      <x:c r="E174" s="24" t="str">
        <x:v>Cephalopoda</x:v>
      </x:c>
      <x:c r="F174" s="24" t="str">
        <x:v>Squids, cuttlefishes, octopuses</x:v>
      </x:c>
      <x:c r="G174" s="24" t="str">
        <x:v>Cephalopods</x:v>
      </x:c>
      <x:c r="H174" s="24" t="str">
        <x:v>Other fishes &amp; inverts</x:v>
      </x:c>
      <x:c r="I174" s="31" t="n">
        <x:v>2.5688707034</x:v>
      </x:c>
      <x:c r="J174" s="31" t="n">
        <x:v>2.5688707034</x:v>
      </x:c>
      <x:c r="K174" s="31" t="n">
        <x:v>0</x:v>
      </x:c>
      <x:c r="L174" s="31" t="n">
        <x:v>2.446543527</x:v>
      </x:c>
      <x:c r="M174" s="31" t="n">
        <x:v>0.1223271764</x:v>
      </x:c>
      <x:c r="N174" s="24" t="str">
        <x:v>cephalopoda</x:v>
      </x:c>
      <x:c r="O174" s="32" t="n">
        <x:v>3.81</x:v>
      </x:c>
      <x:c r="P174" s="24" t="str">
        <x:v>exact_sea_around_us</x:v>
      </x:c>
      <x:c r="Q174" s="32" t="str">
        <x:v>Sea Around Us exploited organisms</x:v>
      </x:c>
      <x:c r="R174" s="24" t="str">
        <x:v>high</x:v>
      </x:c>
      <x:c r="S174" s="24" t="str">
        <x:v>Cephalopoda</x:v>
      </x:c>
      <x:c r="T174" s="32" t="n">
        <x:f>IF(O174="","",(1/'Metadata'!$B$5)^(O174-1))</x:f>
        <x:v>645.6542290346556</x:v>
      </x:c>
      <x:c r="U174" s="31" t="n">
        <x:f>IF(T174="","",I174*T174)</x:f>
        <x:v>1658.6022334934405</x:v>
      </x:c>
    </x:row>
    <x:row r="175" ht="18" customHeight="1">
      <x:c r="A175" s="24" t="str">
        <x:v>LME_033</x:v>
      </x:c>
      <x:c r="B175" s="24" t="str">
        <x:v>Red Sea</x:v>
      </x:c>
      <x:c r="C175" s="24" t="str">
        <x:v>LME</x:v>
      </x:c>
      <x:c r="D175" s="30" t="n">
        <x:v>2019</x:v>
      </x:c>
      <x:c r="E175" s="24" t="str">
        <x:v>Pristipomoides multidens</x:v>
      </x:c>
      <x:c r="F175" s="24" t="str">
        <x:v>Goldbanded jobfish</x:v>
      </x:c>
      <x:c r="G175" s="24" t="str">
        <x:v>Medium demersals (30 - 89 cm)</x:v>
      </x:c>
      <x:c r="H175" s="24" t="str">
        <x:v>Perch-likes</x:v>
      </x:c>
      <x:c r="I175" s="31" t="n">
        <x:v>2.4636271283</x:v>
      </x:c>
      <x:c r="J175" s="31" t="n">
        <x:v>2.4636271283</x:v>
      </x:c>
      <x:c r="K175" s="31" t="n">
        <x:v>0</x:v>
      </x:c>
      <x:c r="L175" s="31" t="n">
        <x:v>0</x:v>
      </x:c>
      <x:c r="M175" s="31" t="n">
        <x:v>2.4636271283</x:v>
      </x:c>
      <x:c r="N175" s="24" t="str">
        <x:v>pristipomoides multidens</x:v>
      </x:c>
      <x:c r="O175" s="32" t="n">
        <x:v>3.84</x:v>
      </x:c>
      <x:c r="P175" s="24" t="str">
        <x:v>exact_2020_supplement</x:v>
      </x:c>
      <x:c r="Q175" s="32" t="str">
        <x:v>2020 supplement MeanTL</x:v>
      </x:c>
      <x:c r="R175" s="24" t="str">
        <x:v>high</x:v>
      </x:c>
      <x:c r="S175" s="24" t="str">
        <x:v>Pristipomoides multidens</x:v>
      </x:c>
      <x:c r="T175" s="32" t="n">
        <x:f>IF(O175="","",(1/'Metadata'!$B$5)^(O175-1))</x:f>
        <x:v>691.8309709189363</x:v>
      </x:c>
      <x:c r="U175" s="31" t="n">
        <x:f>IF(T175="","",I175*T175)</x:f>
        <x:v>1704.41354815402</x:v>
      </x:c>
    </x:row>
    <x:row r="176" ht="18" customHeight="1">
      <x:c r="A176" s="24" t="str">
        <x:v>LME_033</x:v>
      </x:c>
      <x:c r="B176" s="24" t="str">
        <x:v>Red Sea</x:v>
      </x:c>
      <x:c r="C176" s="24" t="str">
        <x:v>LME</x:v>
      </x:c>
      <x:c r="D176" s="30" t="n">
        <x:v>2019</x:v>
      </x:c>
      <x:c r="E176" s="24" t="str">
        <x:v>Hemiramphidae</x:v>
      </x:c>
      <x:c r="F176" s="24" t="str">
        <x:v>Halfbeaks, garfishes</x:v>
      </x:c>
      <x:c r="G176" s="24" t="str">
        <x:v>Medium pelagics (30 - 89 cm)</x:v>
      </x:c>
      <x:c r="H176" s="24" t="str">
        <x:v>Other fishes &amp; inverts</x:v>
      </x:c>
      <x:c r="I176" s="31" t="n">
        <x:v>2.4492393561999997</x:v>
      </x:c>
      <x:c r="J176" s="31" t="n">
        <x:v>2.4492393561999997</x:v>
      </x:c>
      <x:c r="K176" s="31" t="n">
        <x:v>0</x:v>
      </x:c>
      <x:c r="L176" s="31" t="n">
        <x:v>2.4492393561999997</x:v>
      </x:c>
      <x:c r="M176" s="31" t="n">
        <x:v>0</x:v>
      </x:c>
      <x:c r="N176" s="24" t="str">
        <x:v>hemiramphidae</x:v>
      </x:c>
      <x:c r="O176" s="32" t="n">
        <x:v>2.82</x:v>
      </x:c>
      <x:c r="P176" s="24" t="str">
        <x:v>exact_sea_around_us</x:v>
      </x:c>
      <x:c r="Q176" s="32" t="str">
        <x:v>Sea Around Us exploited organisms</x:v>
      </x:c>
      <x:c r="R176" s="24" t="str">
        <x:v>high</x:v>
      </x:c>
      <x:c r="S176" s="24" t="str">
        <x:v>Hemiramphidae</x:v>
      </x:c>
      <x:c r="T176" s="32" t="n">
        <x:f>IF(O176="","",(1/'Metadata'!$B$5)^(O176-1))</x:f>
        <x:v>66.06934480075958</x:v>
      </x:c>
      <x:c r="U176" s="31" t="n">
        <x:f>IF(T176="","",I176*T176)</x:f>
        <x:v>161.8196395243682</x:v>
      </x:c>
    </x:row>
    <x:row r="177" ht="18" customHeight="1">
      <x:c r="A177" s="24" t="str">
        <x:v>LME_033</x:v>
      </x:c>
      <x:c r="B177" s="24" t="str">
        <x:v>Red Sea</x:v>
      </x:c>
      <x:c r="C177" s="24" t="str">
        <x:v>LME</x:v>
      </x:c>
      <x:c r="D177" s="30" t="n">
        <x:v>2019</x:v>
      </x:c>
      <x:c r="E177" s="24" t="str">
        <x:v>Ephippidae</x:v>
      </x:c>
      <x:c r="F177" s="24" t="str">
        <x:v>Spade-, batfishes, scats</x:v>
      </x:c>
      <x:c r="G177" s="24" t="str">
        <x:v>Medium reef assoc. fish (30 - 89 cm)</x:v>
      </x:c>
      <x:c r="H177" s="24" t="str">
        <x:v>Perch-likes</x:v>
      </x:c>
      <x:c r="I177" s="31" t="n">
        <x:v>2.1887401154</x:v>
      </x:c>
      <x:c r="J177" s="31" t="n">
        <x:v>2.1887401154</x:v>
      </x:c>
      <x:c r="K177" s="31" t="n">
        <x:v>0</x:v>
      </x:c>
      <x:c r="L177" s="31" t="n">
        <x:v>1.9237200703000001</x:v>
      </x:c>
      <x:c r="M177" s="31" t="n">
        <x:v>0.2650200451</x:v>
      </x:c>
      <x:c r="N177" s="24" t="str">
        <x:v>ephippidae</x:v>
      </x:c>
      <x:c r="O177" s="32" t="n">
        <x:v>3.57</x:v>
      </x:c>
      <x:c r="P177" s="24" t="str">
        <x:v>exact_sea_around_us</x:v>
      </x:c>
      <x:c r="Q177" s="32" t="str">
        <x:v>Sea Around Us exploited organisms</x:v>
      </x:c>
      <x:c r="R177" s="24" t="str">
        <x:v>high</x:v>
      </x:c>
      <x:c r="S177" s="24" t="str">
        <x:v>Ephippidae</x:v>
      </x:c>
      <x:c r="T177" s="32" t="n">
        <x:f>IF(O177="","",(1/'Metadata'!$B$5)^(O177-1))</x:f>
        <x:v>371.5352290971724</x:v>
      </x:c>
      <x:c r="U177" s="31" t="n">
        <x:f>IF(T177="","",I177*T177)</x:f>
        <x:v>813.1940602093106</x:v>
      </x:c>
    </x:row>
    <x:row r="178" ht="18" customHeight="1">
      <x:c r="A178" s="24" t="str">
        <x:v>LME_033</x:v>
      </x:c>
      <x:c r="B178" s="24" t="str">
        <x:v>Red Sea</x:v>
      </x:c>
      <x:c r="C178" s="24" t="str">
        <x:v>LME</x:v>
      </x:c>
      <x:c r="D178" s="30" t="n">
        <x:v>2019</x:v>
      </x:c>
      <x:c r="E178" s="24" t="str">
        <x:v>Marine pelagic fishes not identified</x:v>
      </x:c>
      <x:c r="F178" s="24" t="str">
        <x:v>Pelagic fishes</x:v>
      </x:c>
      <x:c r="G178" s="24" t="str">
        <x:v>Medium pelagics (30 - 89 cm)</x:v>
      </x:c>
      <x:c r="H178" s="24" t="str">
        <x:v>Other fishes &amp; inverts</x:v>
      </x:c>
      <x:c r="I178" s="31" t="n">
        <x:v>2.1598495089</x:v>
      </x:c>
      <x:c r="J178" s="31" t="n">
        <x:v>2.1598495089</x:v>
      </x:c>
      <x:c r="K178" s="31" t="n">
        <x:v>0</x:v>
      </x:c>
      <x:c r="L178" s="31" t="n">
        <x:v>0</x:v>
      </x:c>
      <x:c r="M178" s="31" t="n">
        <x:v>2.1598495089</x:v>
      </x:c>
      <x:c r="N178" s="24" t="str">
        <x:v>marine pelagic fishes not identified</x:v>
      </x:c>
      <x:c r="O178" s="32" t="n">
        <x:v>3.35</x:v>
      </x:c>
      <x:c r="P178" s="24" t="str">
        <x:v>exact_sea_around_us</x:v>
      </x:c>
      <x:c r="Q178" s="32" t="str">
        <x:v>Sea Around Us exploited organisms</x:v>
      </x:c>
      <x:c r="R178" s="24" t="str">
        <x:v>high</x:v>
      </x:c>
      <x:c r="S178" s="24" t="str">
        <x:v>Marine pelagic fishes not identified</x:v>
      </x:c>
      <x:c r="T178" s="32" t="n">
        <x:f>IF(O178="","",(1/'Metadata'!$B$5)^(O178-1))</x:f>
        <x:v>223.872113856834</x:v>
      </x:c>
      <x:c r="U178" s="31" t="n">
        <x:f>IF(T178="","",I178*T178)</x:f>
        <x:v>483.5300751700878</x:v>
      </x:c>
    </x:row>
    <x:row r="179" ht="18" customHeight="1">
      <x:c r="A179" s="24" t="str">
        <x:v>LME_033</x:v>
      </x:c>
      <x:c r="B179" s="24" t="str">
        <x:v>Red Sea</x:v>
      </x:c>
      <x:c r="C179" s="24" t="str">
        <x:v>LME</x:v>
      </x:c>
      <x:c r="D179" s="30" t="n">
        <x:v>2019</x:v>
      </x:c>
      <x:c r="E179" s="24" t="str">
        <x:v>Octopoda</x:v>
      </x:c>
      <x:c r="F179" s="24" t="str">
        <x:v>Octopuses, argonauts</x:v>
      </x:c>
      <x:c r="G179" s="24" t="str">
        <x:v>Cephalopods</x:v>
      </x:c>
      <x:c r="H179" s="24" t="str">
        <x:v>Other fishes &amp; inverts</x:v>
      </x:c>
      <x:c r="I179" s="31" t="n">
        <x:v>1.7034422239</x:v>
      </x:c>
      <x:c r="J179" s="31" t="n">
        <x:v>1.7034422239</x:v>
      </x:c>
      <x:c r="K179" s="31" t="n">
        <x:v>0</x:v>
      </x:c>
      <x:c r="L179" s="31" t="n">
        <x:v>1.7034422239</x:v>
      </x:c>
      <x:c r="M179" s="31" t="n">
        <x:v>0</x:v>
      </x:c>
      <x:c r="N179" s="24" t="str">
        <x:v>octopoda</x:v>
      </x:c>
      <x:c r="O179" s="32" t="n">
        <x:v>3.58</x:v>
      </x:c>
      <x:c r="P179" s="24" t="str">
        <x:v>exact_sea_around_us</x:v>
      </x:c>
      <x:c r="Q179" s="32" t="str">
        <x:v>Sea Around Us exploited organisms</x:v>
      </x:c>
      <x:c r="R179" s="24" t="str">
        <x:v>high</x:v>
      </x:c>
      <x:c r="S179" s="24" t="str">
        <x:v>Octopoda</x:v>
      </x:c>
      <x:c r="T179" s="32" t="n">
        <x:f>IF(O179="","",(1/'Metadata'!$B$5)^(O179-1))</x:f>
        <x:v>380.1893963205613</x:v>
      </x:c>
      <x:c r="U179" s="31" t="n">
        <x:f>IF(T179="","",I179*T179)</x:f>
        <x:v>647.6306707714954</x:v>
      </x:c>
    </x:row>
    <x:row r="180" ht="18" customHeight="1">
      <x:c r="A180" s="24" t="str">
        <x:v>LME_033</x:v>
      </x:c>
      <x:c r="B180" s="24" t="str">
        <x:v>Red Sea</x:v>
      </x:c>
      <x:c r="C180" s="24" t="str">
        <x:v>LME</x:v>
      </x:c>
      <x:c r="D180" s="30" t="n">
        <x:v>2019</x:v>
      </x:c>
      <x:c r="E180" s="24" t="str">
        <x:v>Lutjanus argentimaculatus</x:v>
      </x:c>
      <x:c r="F180" s="24" t="str">
        <x:v>Mangrove red snapper</x:v>
      </x:c>
      <x:c r="G180" s="24" t="str">
        <x:v>Large reef assoc. fish (&gt;=90 cm)</x:v>
      </x:c>
      <x:c r="H180" s="24" t="str">
        <x:v>Perch-likes</x:v>
      </x:c>
      <x:c r="I180" s="31" t="n">
        <x:v>1.431860489</x:v>
      </x:c>
      <x:c r="J180" s="31" t="n">
        <x:v>1.431860489</x:v>
      </x:c>
      <x:c r="K180" s="31" t="n">
        <x:v>0</x:v>
      </x:c>
      <x:c r="L180" s="31" t="n">
        <x:v>1.431860489</x:v>
      </x:c>
      <x:c r="M180" s="31" t="n">
        <x:v>0</x:v>
      </x:c>
      <x:c r="N180" s="24" t="str">
        <x:v>lutjanus argentimaculatus</x:v>
      </x:c>
      <x:c r="O180" s="32" t="n">
        <x:v>3.58</x:v>
      </x:c>
      <x:c r="P180" s="24" t="str">
        <x:v>exact_2020_supplement</x:v>
      </x:c>
      <x:c r="Q180" s="32" t="str">
        <x:v>2020 supplement MeanTL</x:v>
      </x:c>
      <x:c r="R180" s="24" t="str">
        <x:v>high</x:v>
      </x:c>
      <x:c r="S180" s="24" t="str">
        <x:v>Lutjanus argentimaculatus</x:v>
      </x:c>
      <x:c r="T180" s="32" t="n">
        <x:f>IF(O180="","",(1/'Metadata'!$B$5)^(O180-1))</x:f>
        <x:v>380.1893963205613</x:v>
      </x:c>
      <x:c r="U180" s="31" t="n">
        <x:f>IF(T180="","",I180*T180)</x:f>
        <x:v>544.3781749281736</x:v>
      </x:c>
    </x:row>
    <x:row r="181" ht="18" customHeight="1">
      <x:c r="A181" s="24" t="str">
        <x:v>LME_033</x:v>
      </x:c>
      <x:c r="B181" s="24" t="str">
        <x:v>Red Sea</x:v>
      </x:c>
      <x:c r="C181" s="24" t="str">
        <x:v>LME</x:v>
      </x:c>
      <x:c r="D181" s="30" t="n">
        <x:v>2019</x:v>
      </x:c>
      <x:c r="E181" s="24" t="str">
        <x:v>Portunus</x:v>
      </x:c>
      <x:c r="F181" s="24" t="str">
        <x:v>Swimmer crabs</x:v>
      </x:c>
      <x:c r="G181" s="24" t="str">
        <x:v>Lobsters, crabs</x:v>
      </x:c>
      <x:c r="H181" s="24" t="str">
        <x:v>Crustaceans</x:v>
      </x:c>
      <x:c r="I181" s="31" t="n">
        <x:v>1.3753154539</x:v>
      </x:c>
      <x:c r="J181" s="31" t="n">
        <x:v>1.3753154539</x:v>
      </x:c>
      <x:c r="K181" s="31" t="n">
        <x:v>0</x:v>
      </x:c>
      <x:c r="L181" s="31" t="n">
        <x:v>1.3753154539</x:v>
      </x:c>
      <x:c r="M181" s="31" t="n">
        <x:v>0</x:v>
      </x:c>
      <x:c r="N181" s="24" t="str">
        <x:v>portunus</x:v>
      </x:c>
      <x:c r="O181" s="32" t="n">
        <x:v>3.26</x:v>
      </x:c>
      <x:c r="P181" s="24" t="str">
        <x:v>exact_sea_around_us</x:v>
      </x:c>
      <x:c r="Q181" s="32" t="str">
        <x:v>Sea Around Us exploited organisms</x:v>
      </x:c>
      <x:c r="R181" s="24" t="str">
        <x:v>high</x:v>
      </x:c>
      <x:c r="S181" s="24" t="str">
        <x:v>Portunus</x:v>
      </x:c>
      <x:c r="T181" s="32" t="n">
        <x:f>IF(O181="","",(1/'Metadata'!$B$5)^(O181-1))</x:f>
        <x:v>181.97008586099827</x:v>
      </x:c>
      <x:c r="U181" s="31" t="n">
        <x:f>IF(T181="","",I181*T181)</x:f>
        <x:v>250.2662712321408</x:v>
      </x:c>
    </x:row>
    <x:row r="182" ht="18" customHeight="1">
      <x:c r="A182" s="24" t="str">
        <x:v>LME_033</x:v>
      </x:c>
      <x:c r="B182" s="24" t="str">
        <x:v>Red Sea</x:v>
      </x:c>
      <x:c r="C182" s="24" t="str">
        <x:v>LME</x:v>
      </x:c>
      <x:c r="D182" s="30" t="n">
        <x:v>2019</x:v>
      </x:c>
      <x:c r="E182" s="24" t="str">
        <x:v>Epinephelus malabaricus</x:v>
      </x:c>
      <x:c r="F182" s="24" t="str">
        <x:v>Malabar grouper</x:v>
      </x:c>
      <x:c r="G182" s="24" t="str">
        <x:v>Large reef assoc. fish (&gt;=90 cm)</x:v>
      </x:c>
      <x:c r="H182" s="24" t="str">
        <x:v>Perch-likes</x:v>
      </x:c>
      <x:c r="I182" s="31" t="n">
        <x:v>1.2525924389999998</x:v>
      </x:c>
      <x:c r="J182" s="31" t="n">
        <x:v>1.2525924389999998</x:v>
      </x:c>
      <x:c r="K182" s="31" t="n">
        <x:v>0</x:v>
      </x:c>
      <x:c r="L182" s="31" t="n">
        <x:v>0</x:v>
      </x:c>
      <x:c r="M182" s="31" t="n">
        <x:v>1.2525924389999998</x:v>
      </x:c>
      <x:c r="N182" s="24" t="str">
        <x:v>epinephelus malabaricus</x:v>
      </x:c>
      <x:c r="O182" s="32" t="n">
        <x:v>4.16</x:v>
      </x:c>
      <x:c r="P182" s="24" t="str">
        <x:v>exact_2020_supplement</x:v>
      </x:c>
      <x:c r="Q182" s="32" t="str">
        <x:v>2020 supplement MeanTL</x:v>
      </x:c>
      <x:c r="R182" s="24" t="str">
        <x:v>high</x:v>
      </x:c>
      <x:c r="S182" s="24" t="str">
        <x:v>Epinephelus malabaricus</x:v>
      </x:c>
      <x:c r="T182" s="32" t="n">
        <x:f>IF(O182="","",(1/'Metadata'!$B$5)^(O182-1))</x:f>
        <x:v>1445.439770745928</x:v>
      </x:c>
      <x:c r="U182" s="31" t="n">
        <x:f>IF(T182="","",I182*T182)</x:f>
        <x:v>1810.5469278662424</x:v>
      </x:c>
    </x:row>
    <x:row r="183" ht="18" customHeight="1">
      <x:c r="A183" s="24" t="str">
        <x:v>LME_033</x:v>
      </x:c>
      <x:c r="B183" s="24" t="str">
        <x:v>Red Sea</x:v>
      </x:c>
      <x:c r="C183" s="24" t="str">
        <x:v>LME</x:v>
      </x:c>
      <x:c r="D183" s="30" t="n">
        <x:v>2019</x:v>
      </x:c>
      <x:c r="E183" s="24" t="str">
        <x:v>Hemiramphus</x:v>
      </x:c>
      <x:c r="F183" s="24" t="str">
        <x:v>Halfbeaks</x:v>
      </x:c>
      <x:c r="G183" s="24" t="str">
        <x:v>Medium pelagics (30 - 89 cm)</x:v>
      </x:c>
      <x:c r="H183" s="24" t="str">
        <x:v>Other fishes &amp; inverts</x:v>
      </x:c>
      <x:c r="I183" s="31" t="n">
        <x:v>1.2123138649</x:v>
      </x:c>
      <x:c r="J183" s="31" t="n">
        <x:v>1.2123138649</x:v>
      </x:c>
      <x:c r="K183" s="31" t="n">
        <x:v>0</x:v>
      </x:c>
      <x:c r="L183" s="31" t="n">
        <x:v>0</x:v>
      </x:c>
      <x:c r="M183" s="31" t="n">
        <x:v>1.2123138649</x:v>
      </x:c>
      <x:c r="N183" s="24" t="str">
        <x:v>hemiramphus</x:v>
      </x:c>
      <x:c r="O183" s="32" t="n">
        <x:v>3.05</x:v>
      </x:c>
      <x:c r="P183" s="24" t="str">
        <x:v>exact_sea_around_us</x:v>
      </x:c>
      <x:c r="Q183" s="32" t="str">
        <x:v>Sea Around Us exploited organisms</x:v>
      </x:c>
      <x:c r="R183" s="24" t="str">
        <x:v>high</x:v>
      </x:c>
      <x:c r="S183" s="24" t="str">
        <x:v>Hemiramphus</x:v>
      </x:c>
      <x:c r="T183" s="32" t="n">
        <x:f>IF(O183="","",(1/'Metadata'!$B$5)^(O183-1))</x:f>
        <x:v>112.2018454301963</x:v>
      </x:c>
      <x:c r="U183" s="31" t="n">
        <x:f>IF(T183="","",I183*T183)</x:f>
        <x:v>136.0238528823937</x:v>
      </x:c>
    </x:row>
    <x:row r="184" ht="18" customHeight="1">
      <x:c r="A184" s="24" t="str">
        <x:v>LME_033</x:v>
      </x:c>
      <x:c r="B184" s="24" t="str">
        <x:v>Red Sea</x:v>
      </x:c>
      <x:c r="C184" s="24" t="str">
        <x:v>LME</x:v>
      </x:c>
      <x:c r="D184" s="30" t="n">
        <x:v>2019</x:v>
      </x:c>
      <x:c r="E184" s="24" t="str">
        <x:v>Plectorhinchus pictus</x:v>
      </x:c>
      <x:c r="F184" s="24" t="str">
        <x:v>Trout sweetlips</x:v>
      </x:c>
      <x:c r="G184" s="24" t="str">
        <x:v>Medium reef assoc. fish (30 - 89 cm)</x:v>
      </x:c>
      <x:c r="H184" s="24" t="str">
        <x:v>Perch-likes</x:v>
      </x:c>
      <x:c r="I184" s="31" t="n">
        <x:v>1.0060691514</x:v>
      </x:c>
      <x:c r="J184" s="31" t="n">
        <x:v>1.0060691514</x:v>
      </x:c>
      <x:c r="K184" s="31" t="n">
        <x:v>0</x:v>
      </x:c>
      <x:c r="L184" s="31" t="n">
        <x:v>0.9382025399000001</x:v>
      </x:c>
      <x:c r="M184" s="31" t="n">
        <x:v>0.0678666115</x:v>
      </x:c>
      <x:c r="N184" s="24" t="str">
        <x:v>plectorhinchus pictus</x:v>
      </x:c>
      <x:c r="O184" s="32" t="n">
        <x:v>3.85</x:v>
      </x:c>
      <x:c r="P184" s="24" t="str">
        <x:v>exact_2020_supplement</x:v>
      </x:c>
      <x:c r="Q184" s="32" t="str">
        <x:v>2020 supplement MeanTL</x:v>
      </x:c>
      <x:c r="R184" s="24" t="str">
        <x:v>high</x:v>
      </x:c>
      <x:c r="S184" s="24" t="str">
        <x:v>Plectorhinchus pictus</x:v>
      </x:c>
      <x:c r="T184" s="32" t="n">
        <x:f>IF(O184="","",(1/'Metadata'!$B$5)^(O184-1))</x:f>
        <x:v>707.945784384138</x:v>
      </x:c>
      <x:c r="U184" s="31" t="n">
        <x:f>IF(T184="","",I184*T184)</x:f>
        <x:v>712.2424145325572</x:v>
      </x:c>
    </x:row>
    <x:row r="185" ht="18" customHeight="1">
      <x:c r="A185" s="24" t="str">
        <x:v>LME_033</x:v>
      </x:c>
      <x:c r="B185" s="24" t="str">
        <x:v>Red Sea</x:v>
      </x:c>
      <x:c r="C185" s="24" t="str">
        <x:v>LME</x:v>
      </x:c>
      <x:c r="D185" s="30" t="n">
        <x:v>2019</x:v>
      </x:c>
      <x:c r="E185" s="24" t="str">
        <x:v>Palinuridae</x:v>
      </x:c>
      <x:c r="F185" s="24" t="str">
        <x:v>Spiny lobsters</x:v>
      </x:c>
      <x:c r="G185" s="24" t="str">
        <x:v>Lobsters, crabs</x:v>
      </x:c>
      <x:c r="H185" s="24" t="str">
        <x:v>Crustaceans</x:v>
      </x:c>
      <x:c r="I185" s="31" t="n">
        <x:v>1.0005529326</x:v>
      </x:c>
      <x:c r="J185" s="31" t="n">
        <x:v>1.0005529326</x:v>
      </x:c>
      <x:c r="K185" s="31" t="n">
        <x:v>0</x:v>
      </x:c>
      <x:c r="L185" s="31" t="n">
        <x:v>0</x:v>
      </x:c>
      <x:c r="M185" s="31" t="n">
        <x:v>1.0005529326</x:v>
      </x:c>
      <x:c r="N185" s="24" t="str">
        <x:v>palinuridae</x:v>
      </x:c>
      <x:c r="O185" s="32" t="n">
        <x:v>3.14</x:v>
      </x:c>
      <x:c r="P185" s="24" t="str">
        <x:v>exact_sea_around_us</x:v>
      </x:c>
      <x:c r="Q185" s="32" t="str">
        <x:v>Sea Around Us exploited organisms</x:v>
      </x:c>
      <x:c r="R185" s="24" t="str">
        <x:v>high</x:v>
      </x:c>
      <x:c r="S185" s="24" t="str">
        <x:v>Palinuridae</x:v>
      </x:c>
      <x:c r="T185" s="32" t="n">
        <x:f>IF(O185="","",(1/'Metadata'!$B$5)^(O185-1))</x:f>
        <x:v>138.03842646028852</x:v>
      </x:c>
      <x:c r="U185" s="31" t="n">
        <x:f>IF(T185="","",I185*T185)</x:f>
        <x:v>138.11475240633112</x:v>
      </x:c>
    </x:row>
    <x:row r="186" ht="18" customHeight="1">
      <x:c r="A186" s="24" t="str">
        <x:v>LME_033</x:v>
      </x:c>
      <x:c r="B186" s="24" t="str">
        <x:v>Red Sea</x:v>
      </x:c>
      <x:c r="C186" s="24" t="str">
        <x:v>LME</x:v>
      </x:c>
      <x:c r="D186" s="30" t="n">
        <x:v>2019</x:v>
      </x:c>
      <x:c r="E186" s="24" t="str">
        <x:v>Rapana</x:v>
      </x:c>
      <x:c r="F186" s="24" t="str">
        <x:v>Rapa whelks</x:v>
      </x:c>
      <x:c r="G186" s="24" t="str">
        <x:v>Other demersal invertebrates</x:v>
      </x:c>
      <x:c r="H186" s="24" t="str">
        <x:v>Molluscs</x:v>
      </x:c>
      <x:c r="I186" s="31" t="n">
        <x:v>0.9924552851999999</x:v>
      </x:c>
      <x:c r="J186" s="31" t="n">
        <x:v>0.9924552851999999</x:v>
      </x:c>
      <x:c r="K186" s="31" t="n">
        <x:v>0</x:v>
      </x:c>
      <x:c r="L186" s="31" t="n">
        <x:v>0.9924552851999999</x:v>
      </x:c>
      <x:c r="M186" s="31" t="n">
        <x:v>0</x:v>
      </x:c>
      <x:c r="N186" s="24" t="str">
        <x:v>rapana</x:v>
      </x:c>
      <x:c r="O186" s="32" t="n">
        <x:v>3</x:v>
      </x:c>
      <x:c r="P186" s="24" t="str">
        <x:v>exact_sea_around_us</x:v>
      </x:c>
      <x:c r="Q186" s="32" t="str">
        <x:v>Sea Around Us exploited organisms</x:v>
      </x:c>
      <x:c r="R186" s="24" t="str">
        <x:v>high</x:v>
      </x:c>
      <x:c r="S186" s="24" t="str">
        <x:v>Rapana</x:v>
      </x:c>
      <x:c r="T186" s="32" t="n">
        <x:f>IF(O186="","",(1/'Metadata'!$B$5)^(O186-1))</x:f>
        <x:v>100</x:v>
      </x:c>
      <x:c r="U186" s="31" t="n">
        <x:f>IF(T186="","",I186*T186)</x:f>
        <x:v>99.24552852</x:v>
      </x:c>
    </x:row>
    <x:row r="187" ht="18" customHeight="1">
      <x:c r="A187" s="24" t="str">
        <x:v>LME_033</x:v>
      </x:c>
      <x:c r="B187" s="24" t="str">
        <x:v>Red Sea</x:v>
      </x:c>
      <x:c r="C187" s="24" t="str">
        <x:v>LME</x:v>
      </x:c>
      <x:c r="D187" s="30" t="n">
        <x:v>2019</x:v>
      </x:c>
      <x:c r="E187" s="24" t="str">
        <x:v>Octopus</x:v>
      </x:c>
      <x:c r="F187" s="24" t="str">
        <x:v>Octopuses, pikas</x:v>
      </x:c>
      <x:c r="G187" s="24" t="str">
        <x:v>Cephalopods</x:v>
      </x:c>
      <x:c r="H187" s="24" t="str">
        <x:v>Other fishes &amp; inverts</x:v>
      </x:c>
      <x:c r="I187" s="31" t="n">
        <x:v>0.7348753455</x:v>
      </x:c>
      <x:c r="J187" s="31" t="n">
        <x:v>0.7348753455</x:v>
      </x:c>
      <x:c r="K187" s="31" t="n">
        <x:v>0</x:v>
      </x:c>
      <x:c r="L187" s="31" t="n">
        <x:v>0.1630044515</x:v>
      </x:c>
      <x:c r="M187" s="31" t="n">
        <x:v>0.571870894</x:v>
      </x:c>
      <x:c r="N187" s="24" t="str">
        <x:v>octopus</x:v>
      </x:c>
      <x:c r="O187" s="32" t="n">
        <x:v>3.8</x:v>
      </x:c>
      <x:c r="P187" s="24" t="str">
        <x:v>exact_sea_around_us</x:v>
      </x:c>
      <x:c r="Q187" s="32" t="str">
        <x:v>Sea Around Us exploited organisms</x:v>
      </x:c>
      <x:c r="R187" s="24" t="str">
        <x:v>high</x:v>
      </x:c>
      <x:c r="S187" s="24" t="str">
        <x:v>Octopus</x:v>
      </x:c>
      <x:c r="T187" s="32" t="n">
        <x:f>IF(O187="","",(1/'Metadata'!$B$5)^(O187-1))</x:f>
        <x:v>630.957344480193</x:v>
      </x:c>
      <x:c r="U187" s="31" t="n">
        <x:f>IF(T187="","",I187*T187)</x:f>
        <x:v>463.67499652064436</x:v>
      </x:c>
    </x:row>
    <x:row r="188" ht="18" customHeight="1">
      <x:c r="A188" s="24" t="str">
        <x:v>LME_033</x:v>
      </x:c>
      <x:c r="B188" s="24" t="str">
        <x:v>Red Sea</x:v>
      </x:c>
      <x:c r="C188" s="24" t="str">
        <x:v>LME</x:v>
      </x:c>
      <x:c r="D188" s="30" t="n">
        <x:v>2019</x:v>
      </x:c>
      <x:c r="E188" s="24" t="str">
        <x:v>Pomacanthidae</x:v>
      </x:c>
      <x:c r="F188" s="24" t="str">
        <x:v>Angelfishes</x:v>
      </x:c>
      <x:c r="G188" s="24" t="str">
        <x:v>Medium reef assoc. fish (30 - 89 cm)</x:v>
      </x:c>
      <x:c r="H188" s="24" t="str">
        <x:v>Perch-likes</x:v>
      </x:c>
      <x:c r="I188" s="31" t="n">
        <x:v>0.3256836789</x:v>
      </x:c>
      <x:c r="J188" s="31" t="n">
        <x:v>0.3256836789</x:v>
      </x:c>
      <x:c r="K188" s="31" t="n">
        <x:v>0</x:v>
      </x:c>
      <x:c r="L188" s="31" t="n">
        <x:v>0</x:v>
      </x:c>
      <x:c r="M188" s="31" t="n">
        <x:v>0.3256836789</x:v>
      </x:c>
      <x:c r="N188" s="24" t="str">
        <x:v>pomacanthidae</x:v>
      </x:c>
      <x:c r="O188" s="32" t="n">
        <x:v>2.86</x:v>
      </x:c>
      <x:c r="P188" s="24" t="str">
        <x:v>exact_sea_around_us</x:v>
      </x:c>
      <x:c r="Q188" s="32" t="str">
        <x:v>Sea Around Us exploited organisms</x:v>
      </x:c>
      <x:c r="R188" s="24" t="str">
        <x:v>high</x:v>
      </x:c>
      <x:c r="S188" s="24" t="str">
        <x:v>Pomacanthidae</x:v>
      </x:c>
      <x:c r="T188" s="32" t="n">
        <x:f>IF(O188="","",(1/'Metadata'!$B$5)^(O188-1))</x:f>
        <x:v>72.44359600749898</x:v>
      </x:c>
      <x:c r="U188" s="31" t="n">
        <x:f>IF(T188="","",I188*T188)</x:f>
        <x:v>23.59369686046762</x:v>
      </x:c>
    </x:row>
    <x:row r="189" ht="18" customHeight="1">
      <x:c r="A189" s="24" t="str">
        <x:v>LME_033</x:v>
      </x:c>
      <x:c r="B189" s="24" t="str">
        <x:v>Red Sea</x:v>
      </x:c>
      <x:c r="C189" s="24" t="str">
        <x:v>LME</x:v>
      </x:c>
      <x:c r="D189" s="30" t="n">
        <x:v>2019</x:v>
      </x:c>
      <x:c r="E189" s="24" t="str">
        <x:v>Rhinobatidae</x:v>
      </x:c>
      <x:c r="F189" s="24" t="str">
        <x:v>Guitarfishes, fanrays</x:v>
      </x:c>
      <x:c r="G189" s="24" t="str">
        <x:v>Large rays (&gt;=90 cm)</x:v>
      </x:c>
      <x:c r="H189" s="24" t="str">
        <x:v>Sharks &amp; rays</x:v>
      </x:c>
      <x:c r="I189" s="31" t="n">
        <x:v>0.3198459313</x:v>
      </x:c>
      <x:c r="J189" s="31" t="n">
        <x:v>0.3198459313</x:v>
      </x:c>
      <x:c r="K189" s="31" t="n">
        <x:v>0</x:v>
      </x:c>
      <x:c r="L189" s="31" t="n">
        <x:v>0</x:v>
      </x:c>
      <x:c r="M189" s="31" t="n">
        <x:v>0.3198459313</x:v>
      </x:c>
      <x:c r="N189" s="24" t="str">
        <x:v>rhinobatidae</x:v>
      </x:c>
      <x:c r="O189" s="32" t="n">
        <x:v>3.7</x:v>
      </x:c>
      <x:c r="P189" s="24" t="str">
        <x:v>exact_sea_around_us</x:v>
      </x:c>
      <x:c r="Q189" s="32" t="str">
        <x:v>Sea Around Us exploited organisms</x:v>
      </x:c>
      <x:c r="R189" s="24" t="str">
        <x:v>high</x:v>
      </x:c>
      <x:c r="S189" s="24" t="str">
        <x:v>Rhinobatidae</x:v>
      </x:c>
      <x:c r="T189" s="32" t="n">
        <x:f>IF(O189="","",(1/'Metadata'!$B$5)^(O189-1))</x:f>
        <x:v>501.18723362727246</x:v>
      </x:c>
      <x:c r="U189" s="31" t="n">
        <x:f>IF(T189="","",I189*T189)</x:f>
        <x:v>160.30269749518564</x:v>
      </x:c>
    </x:row>
    <x:row r="190" ht="18" customHeight="1">
      <x:c r="A190" s="24" t="str">
        <x:v>LME_033</x:v>
      </x:c>
      <x:c r="B190" s="24" t="str">
        <x:v>Red Sea</x:v>
      </x:c>
      <x:c r="C190" s="24" t="str">
        <x:v>LME</x:v>
      </x:c>
      <x:c r="D190" s="30" t="n">
        <x:v>2019</x:v>
      </x:c>
      <x:c r="E190" s="24" t="str">
        <x:v>Miscellaneous marine crustaceans</x:v>
      </x:c>
      <x:c r="F190" s="24" t="str">
        <x:v>Marine crabs, shrimps, lobsters nei</x:v>
      </x:c>
      <x:c r="G190" s="24" t="str">
        <x:v>Shrimps</x:v>
      </x:c>
      <x:c r="H190" s="24" t="str">
        <x:v>Crustaceans</x:v>
      </x:c>
      <x:c r="I190" s="31" t="n">
        <x:v>0.2863324996</x:v>
      </x:c>
      <x:c r="J190" s="31" t="n">
        <x:v>0.2863324996</x:v>
      </x:c>
      <x:c r="K190" s="31" t="n">
        <x:v>0</x:v>
      </x:c>
      <x:c r="L190" s="31" t="n">
        <x:v>0</x:v>
      </x:c>
      <x:c r="M190" s="31" t="n">
        <x:v>0.2863324996</x:v>
      </x:c>
      <x:c r="N190" s="24" t="str">
        <x:v>miscellaneous marine crustaceans</x:v>
      </x:c>
      <x:c r="O190" s="32" t="n">
        <x:v>2.7</x:v>
      </x:c>
      <x:c r="P190" s="24" t="str">
        <x:v>exact_sea_around_us</x:v>
      </x:c>
      <x:c r="Q190" s="32" t="str">
        <x:v>Sea Around Us exploited organisms</x:v>
      </x:c>
      <x:c r="R190" s="24" t="str">
        <x:v>high</x:v>
      </x:c>
      <x:c r="S190" s="24" t="str">
        <x:v>Miscellaneous marine crustaceans</x:v>
      </x:c>
      <x:c r="T190" s="32" t="n">
        <x:f>IF(O190="","",(1/'Metadata'!$B$5)^(O190-1))</x:f>
        <x:v>50.11872336272725</x:v>
      </x:c>
      <x:c r="U190" s="31" t="n">
        <x:f>IF(T190="","",I190*T190)</x:f>
        <x:v>14.350619337210611</x:v>
      </x:c>
    </x:row>
    <x:row r="191" ht="18" customHeight="1">
      <x:c r="A191" s="24" t="str">
        <x:v>LME_033</x:v>
      </x:c>
      <x:c r="B191" s="24" t="str">
        <x:v>Red Sea</x:v>
      </x:c>
      <x:c r="C191" s="24" t="str">
        <x:v>LME</x:v>
      </x:c>
      <x:c r="D191" s="30" t="n">
        <x:v>2019</x:v>
      </x:c>
      <x:c r="E191" s="24" t="str">
        <x:v>Parastromateus niger</x:v>
      </x:c>
      <x:c r="F191" s="24" t="str">
        <x:v>Black pomfret</x:v>
      </x:c>
      <x:c r="G191" s="24" t="str">
        <x:v>Medium benthopelagics (30 - 89 cm)</x:v>
      </x:c>
      <x:c r="H191" s="24" t="str">
        <x:v>Perch-likes</x:v>
      </x:c>
      <x:c r="I191" s="31" t="n">
        <x:v>0.1205495443</x:v>
      </x:c>
      <x:c r="J191" s="31" t="n">
        <x:v>0</x:v>
      </x:c>
      <x:c r="K191" s="31" t="n">
        <x:v>0.1205495443</x:v>
      </x:c>
      <x:c r="L191" s="31" t="n">
        <x:v>0</x:v>
      </x:c>
      <x:c r="M191" s="31" t="n">
        <x:v>0.1205495443</x:v>
      </x:c>
      <x:c r="N191" s="24" t="str">
        <x:v>parastromateus niger</x:v>
      </x:c>
      <x:c r="O191" s="32" t="n">
        <x:v>2.93</x:v>
      </x:c>
      <x:c r="P191" s="24" t="str">
        <x:v>exact_2020_supplement</x:v>
      </x:c>
      <x:c r="Q191" s="32" t="str">
        <x:v>2020 supplement MeanTL</x:v>
      </x:c>
      <x:c r="R191" s="24" t="str">
        <x:v>high</x:v>
      </x:c>
      <x:c r="S191" s="24" t="str">
        <x:v>Parastromateus niger</x:v>
      </x:c>
      <x:c r="T191" s="32" t="n">
        <x:f>IF(O191="","",(1/'Metadata'!$B$5)^(O191-1))</x:f>
        <x:v>85.11380382023768</x:v>
      </x:c>
      <x:c r="U191" s="31" t="n">
        <x:f>IF(T191="","",I191*T191)</x:f>
        <x:v>10.260430264169251</x:v>
      </x:c>
    </x:row>
    <x:row r="192" ht="18" customHeight="1">
      <x:c r="A192" s="24" t="str">
        <x:v>LME_033</x:v>
      </x:c>
      <x:c r="B192" s="24" t="str">
        <x:v>Red Sea</x:v>
      </x:c>
      <x:c r="C192" s="24" t="str">
        <x:v>LME</x:v>
      </x:c>
      <x:c r="D192" s="30" t="n">
        <x:v>2019</x:v>
      </x:c>
      <x:c r="E192" s="24" t="str">
        <x:v>Panulirus versicolor</x:v>
      </x:c>
      <x:c r="F192" s="24" t="str">
        <x:v>Painted spiny lobster</x:v>
      </x:c>
      <x:c r="G192" s="24" t="str">
        <x:v>Lobsters, crabs</x:v>
      </x:c>
      <x:c r="H192" s="24" t="str">
        <x:v>Crustaceans</x:v>
      </x:c>
      <x:c r="I192" s="31" t="n">
        <x:v>0.0144956984</x:v>
      </x:c>
      <x:c r="J192" s="31" t="n">
        <x:v>0.0144956984</x:v>
      </x:c>
      <x:c r="K192" s="31" t="n">
        <x:v>0</x:v>
      </x:c>
      <x:c r="L192" s="31" t="n">
        <x:v>0.0144956984</x:v>
      </x:c>
      <x:c r="M192" s="31" t="n">
        <x:v>0</x:v>
      </x:c>
      <x:c r="N192" s="24" t="str">
        <x:v>panulirus versicolor</x:v>
      </x:c>
      <x:c r="O192" s="32" t="n">
        <x:v>3.57</x:v>
      </x:c>
      <x:c r="P192" s="24" t="str">
        <x:v>exact_sea_around_us</x:v>
      </x:c>
      <x:c r="Q192" s="32" t="str">
        <x:v>Sea Around Us exploited organisms</x:v>
      </x:c>
      <x:c r="R192" s="24" t="str">
        <x:v>high</x:v>
      </x:c>
      <x:c r="S192" s="24" t="str">
        <x:v>Panulirus versicolor</x:v>
      </x:c>
      <x:c r="T192" s="32" t="n">
        <x:f>IF(O192="","",(1/'Metadata'!$B$5)^(O192-1))</x:f>
        <x:v>371.5352290971724</x:v>
      </x:c>
      <x:c r="U192" s="31" t="n">
        <x:f>IF(T192="","",I192*T192)</x:f>
        <x:v>5.385662625967516</x:v>
      </x:c>
    </x:row>
    <x:row r="193" ht="18" customHeight="1">
      <x:c r="A193" s="24" t="str">
        <x:v>LME_033</x:v>
      </x:c>
      <x:c r="B193" s="24" t="str">
        <x:v>Red Sea</x:v>
      </x:c>
      <x:c r="C193" s="24" t="str">
        <x:v>LME</x:v>
      </x:c>
      <x:c r="D193" s="30" t="n">
        <x:v>2019</x:v>
      </x:c>
      <x:c r="E193" s="24" t="str">
        <x:v>Rajiformes</x:v>
      </x:c>
      <x:c r="F193" s="24" t="str">
        <x:v>Skates and rays</x:v>
      </x:c>
      <x:c r="G193" s="24" t="str">
        <x:v>Large rays (&gt;=90 cm)</x:v>
      </x:c>
      <x:c r="H193" s="24" t="str">
        <x:v>Sharks &amp; rays</x:v>
      </x:c>
      <x:c r="I193" s="31" t="n">
        <x:v>0.012980504399999999</x:v>
      </x:c>
      <x:c r="J193" s="31" t="n">
        <x:v>0.012980504399999999</x:v>
      </x:c>
      <x:c r="K193" s="31" t="n">
        <x:v>0</x:v>
      </x:c>
      <x:c r="L193" s="31" t="n">
        <x:v>0.012980504399999999</x:v>
      </x:c>
      <x:c r="M193" s="31" t="n">
        <x:v>0</x:v>
      </x:c>
      <x:c r="N193" s="24" t="str">
        <x:v>rajiformes</x:v>
      </x:c>
      <x:c r="O193" s="32" t="n">
        <x:v>3.61</x:v>
      </x:c>
      <x:c r="P193" s="24" t="str">
        <x:v>exact_sea_around_us</x:v>
      </x:c>
      <x:c r="Q193" s="32" t="str">
        <x:v>Sea Around Us exploited organisms</x:v>
      </x:c>
      <x:c r="R193" s="24" t="str">
        <x:v>high</x:v>
      </x:c>
      <x:c r="S193" s="24" t="str">
        <x:v>Rajiformes</x:v>
      </x:c>
      <x:c r="T193" s="32" t="n">
        <x:f>IF(O193="","",(1/'Metadata'!$B$5)^(O193-1))</x:f>
        <x:v>407.3802778041126</x:v>
      </x:c>
      <x:c r="U193" s="31" t="n">
        <x:f>IF(T193="","",I193*T193)</x:f>
        <x:v>5.288001488509505</x:v>
      </x:c>
    </x:row>
    <x:row r="194" ht="18" customHeight="1">
      <x:c r="A194" s="24" t="str">
        <x:v>LME_033</x:v>
      </x:c>
      <x:c r="B194" s="24" t="str">
        <x:v>Red Sea</x:v>
      </x:c>
      <x:c r="C194" s="24" t="str">
        <x:v>LME</x:v>
      </x:c>
      <x:c r="D194" s="30" t="n">
        <x:v>2019</x:v>
      </x:c>
      <x:c r="E194" s="24" t="str">
        <x:v>Siganidae</x:v>
      </x:c>
      <x:c r="F194" s="24" t="str">
        <x:v>Rabbitfishes</x:v>
      </x:c>
      <x:c r="G194" s="24" t="str">
        <x:v>Medium reef assoc. fish (30 - 89 cm)</x:v>
      </x:c>
      <x:c r="H194" s="24" t="str">
        <x:v>Perch-likes</x:v>
      </x:c>
      <x:c r="I194" s="31" t="n">
        <x:v>0.0076411919</x:v>
      </x:c>
      <x:c r="J194" s="31" t="n">
        <x:v>0.0076411919</x:v>
      </x:c>
      <x:c r="K194" s="31" t="n">
        <x:v>0</x:v>
      </x:c>
      <x:c r="L194" s="31" t="n">
        <x:v>0</x:v>
      </x:c>
      <x:c r="M194" s="31" t="n">
        <x:v>0.0076411919</x:v>
      </x:c>
      <x:c r="N194" s="24" t="str">
        <x:v>siganidae</x:v>
      </x:c>
      <x:c r="O194" s="32" t="n">
        <x:v>2.11</x:v>
      </x:c>
      <x:c r="P194" s="24" t="str">
        <x:v>exact_sea_around_us</x:v>
      </x:c>
      <x:c r="Q194" s="32" t="str">
        <x:v>Sea Around Us exploited organisms</x:v>
      </x:c>
      <x:c r="R194" s="24" t="str">
        <x:v>high</x:v>
      </x:c>
      <x:c r="S194" s="24" t="str">
        <x:v>Siganidae</x:v>
      </x:c>
      <x:c r="T194" s="32" t="n">
        <x:f>IF(O194="","",(1/'Metadata'!$B$5)^(O194-1))</x:f>
        <x:v>12.882495516931336</x:v>
      </x:c>
      <x:c r="U194" s="31" t="n">
        <x:f>IF(T194="","",I194*T194)</x:f>
        <x:v>0.09843762039576204</x:v>
      </x:c>
    </x:row>
  </x:sheetData>
  <x:conditionalFormatting sqref="R2:R19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fd06dea51492469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6709.3245443318</x:v>
      </x:c>
      <x:c r="C2" s="32" t="n">
        <x:v>3.249251565958956</x:v>
      </x:c>
      <x:c r="D2" s="32" t="n">
        <x:f>IF(C2="","",(1/'Metadata'!$B$5)^(C2-1))</x:f>
        <x:v>177.52174814502072</x:v>
      </x:c>
      <x:c r="E2" s="31" t="n">
        <x:f>IF(B2=0,"",B2*D2)</x:f>
        <x:v>1191051.0219820756</x:v>
      </x:c>
    </x:row>
    <x:row r="3" ht="18" customHeight="1">
      <x:c r="A3" s="24" t="str">
        <x:v>Crustaceans</x:v>
      </x:c>
      <x:c r="B3" s="31" t="n">
        <x:v>4964.3887234192</x:v>
      </x:c>
      <x:c r="C3" s="32" t="n">
        <x:v>2.8789998718295444</x:v>
      </x:c>
      <x:c r="D3" s="32" t="n">
        <x:f>IF(C3="","",(1/'Metadata'!$B$5)^(C3-1))</x:f>
        <x:v>75.6832671661925</x:v>
      </x:c>
      <x:c r="E3" s="31" t="n">
        <x:f>IF(B3=0,"",B3*D3)</x:f>
        <x:v>375721.1580713686</x:v>
      </x:c>
    </x:row>
    <x:row r="4" ht="18" customHeight="1">
      <x:c r="A4" s="24" t="str">
        <x:v>Flatfishes</x:v>
      </x:c>
      <x:c r="B4" s="31" t="n">
        <x:v>708.0938745324</x:v>
      </x:c>
      <x:c r="C4" s="32" t="n">
        <x:v>4.082583308070047</x:v>
      </x:c>
      <x:c r="D4" s="32" t="n">
        <x:f>IF(C4="","",(1/'Metadata'!$B$5)^(C4-1))</x:f>
        <x:v>1209.4371596703786</x:v>
      </x:c>
      <x:c r="E4" s="31" t="n">
        <x:f>IF(B4=0,"",B4*D4)</x:f>
        <x:v>856395.0443944593</x:v>
      </x:c>
    </x:row>
    <x:row r="5" ht="18" customHeight="1">
      <x:c r="A5" s="24" t="str">
        <x:v>Herring-likes</x:v>
      </x:c>
      <x:c r="B5" s="31" t="n">
        <x:v>12210.0528919653</x:v>
      </x:c>
      <x:c r="C5" s="32" t="n">
        <x:v>2.727678058956271</x:v>
      </x:c>
      <x:c r="D5" s="32" t="n">
        <x:f>IF(C5="","",(1/'Metadata'!$B$5)^(C5-1))</x:f>
        <x:v>53.416823546995936</x:v>
      </x:c>
      <x:c r="E5" s="31" t="n">
        <x:f>IF(B5=0,"",B5*D5)</x:f>
        <x:v>652222.2408295979</x:v>
      </x:c>
    </x:row>
    <x:row r="6" ht="18" customHeight="1">
      <x:c r="A6" s="24" t="str">
        <x:v>Molluscs</x:v>
      </x:c>
      <x:c r="B6" s="31" t="n">
        <x:v>54.2411958663</x:v>
      </x:c>
      <x:c r="C6" s="32" t="n">
        <x:v>2.929577439148401</x:v>
      </x:c>
      <x:c r="D6" s="32" t="n">
        <x:f>IF(C6="","",(1/'Metadata'!$B$5)^(C6-1))</x:f>
        <x:v>85.03102986944737</x:v>
      </x:c>
      <x:c r="E6" s="31" t="n">
        <x:f>IF(B6=0,"",B6*D6)</x:f>
        <x:v>4612.1847458619</x:v>
      </x:c>
    </x:row>
    <x:row r="7" ht="18" customHeight="1">
      <x:c r="A7" s="24" t="str">
        <x:v>Other fishes &amp; inverts</x:v>
      </x:c>
      <x:c r="B7" s="31" t="n">
        <x:v>29016.4258695959</x:v>
      </x:c>
      <x:c r="C7" s="32" t="n">
        <x:v>3.4820950476467667</x:v>
      </x:c>
      <x:c r="D7" s="32" t="n">
        <x:f>IF(C7="","",(1/'Metadata'!$B$5)^(C7-1))</x:f>
        <x:v>303.4555240006493</x:v>
      </x:c>
      <x:c r="E7" s="31" t="n">
        <x:f>IF(B7=0,"",B7*D7)</x:f>
        <x:v>8805194.71688422</x:v>
      </x:c>
    </x:row>
    <x:row r="8" ht="18" customHeight="1">
      <x:c r="A8" s="24" t="str">
        <x:v>Perch-likes</x:v>
      </x:c>
      <x:c r="B8" s="31" t="n">
        <x:v>84241.85977552248</x:v>
      </x:c>
      <x:c r="C8" s="32" t="n">
        <x:v>3.6916363554123293</x:v>
      </x:c>
      <x:c r="D8" s="32" t="n">
        <x:f>IF(C8="","",(1/'Metadata'!$B$5)^(C8-1))</x:f>
        <x:v>491.627712293403</x:v>
      </x:c>
      <x:c r="E8" s="31" t="n">
        <x:f>IF(B8=0,"",B8*D8)</x:f>
        <x:v>41415632.800781764</x:v>
      </x:c>
    </x:row>
    <x:row r="9" ht="18" customHeight="1">
      <x:c r="A9" s="24" t="str">
        <x:v>Scorpionfishes</x:v>
      </x:c>
      <x:c r="B9" s="31" t="n">
        <x:v>250.9686733924</x:v>
      </x:c>
      <x:c r="C9" s="32" t="n">
        <x:v>3.9</x:v>
      </x:c>
      <x:c r="D9" s="32" t="n">
        <x:f>IF(C9="","",(1/'Metadata'!$B$5)^(C9-1))</x:f>
        <x:v>794.3282347242813</x:v>
      </x:c>
      <x:c r="E9" s="31" t="n">
        <x:f>IF(B9=0,"",B9*D9)</x:f>
        <x:v>199351.5033068798</x:v>
      </x:c>
    </x:row>
    <x:row r="10" ht="18" customHeight="1">
      <x:c r="A10" s="24" t="str">
        <x:v>Sharks &amp; rays</x:v>
      </x:c>
      <x:c r="B10" s="31" t="n">
        <x:v>2672.3666291536997</x:v>
      </x:c>
      <x:c r="C10" s="32" t="n">
        <x:v>4.084932438265851</x:v>
      </x:c>
      <x:c r="D10" s="32" t="n">
        <x:f>IF(C10="","",(1/'Metadata'!$B$5)^(C10-1))</x:f>
        <x:v>1215.996817389996</x:v>
      </x:c>
      <x:c r="E10" s="31" t="n">
        <x:f>IF(B10=0,"",B10*D10)</x:f>
        <x:v>3249589.3159501306</x:v>
      </x:c>
    </x:row>
    <x:row r="11" ht="18" customHeight="1">
      <x:c r="A11" s="24" t="str">
        <x:v>Tuna &amp; billfishes</x:v>
      </x:c>
      <x:c r="B11" s="31" t="n">
        <x:v>6272.619603667699</x:v>
      </x:c>
      <x:c r="C11" s="32" t="n">
        <x:v>4.456006237488455</x:v>
      </x:c>
      <x:c r="D11" s="32" t="n">
        <x:f>IF(C11="","",(1/'Metadata'!$B$5)^(C11-1))</x:f>
        <x:v>2857.6315853793135</x:v>
      </x:c>
      <x:c r="E11" s="31" t="n">
        <x:f>IF(B11=0,"",B11*D11)</x:f>
        <x:v>17924835.90251029</x:v>
      </x:c>
    </x:row>
  </x:sheetData>
  <x:pageMargins left="0.7" right="0.7" top="0.75" bottom="0.75" header="0.3" footer="0.3"/>
  <x:tableParts count="1">
    <x:tablePart xmlns:r="http://schemas.openxmlformats.org/officeDocument/2006/relationships" r:id="R853046f43ec343c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4351.1627640057995</x:v>
      </x:c>
      <x:c r="C2" s="32" t="n">
        <x:v>3.686653611513531</x:v>
      </x:c>
      <x:c r="D2" s="32" t="n">
        <x:f>IF(C2="","",(1/'Metadata'!$B$5)^(C2-1))</x:f>
        <x:v>486.0194073439455</x:v>
      </x:c>
      <x:c r="E2" s="31" t="n">
        <x:f>IF(B2=0,"",B2*D2)</x:f>
        <x:v>2114749.547819142</x:v>
      </x:c>
    </x:row>
    <x:row r="3" ht="18" customHeight="1">
      <x:c r="A3" s="24" t="str">
        <x:v>Large benthopelagics (&gt;=90 cm)</x:v>
      </x:c>
      <x:c r="B3" s="31" t="n">
        <x:v>690.5995937671</x:v>
      </x:c>
      <x:c r="C3" s="32" t="n">
        <x:v>4.076451939918329</x:v>
      </x:c>
      <x:c r="D3" s="32" t="n">
        <x:f>IF(C3="","",(1/'Metadata'!$B$5)^(C3-1))</x:f>
        <x:v>1192.4822955681552</x:v>
      </x:c>
      <x:c r="E3" s="31" t="n">
        <x:f>IF(B3=0,"",B3*D3)</x:f>
        <x:v>823527.7888938269</x:v>
      </x:c>
    </x:row>
    <x:row r="4" ht="18" customHeight="1">
      <x:c r="A4" s="24" t="str">
        <x:v>Large demersals (&gt;=90 cm)</x:v>
      </x:c>
      <x:c r="B4" s="31" t="n">
        <x:v>548.1415821872</x:v>
      </x:c>
      <x:c r="C4" s="32" t="n">
        <x:v>3.54</x:v>
      </x:c>
      <x:c r="D4" s="32" t="n">
        <x:f>IF(C4="","",(1/'Metadata'!$B$5)^(C4-1))</x:f>
        <x:v>346.73685045253166</x:v>
      </x:c>
      <x:c r="E4" s="31" t="n">
        <x:f>IF(B4=0,"",B4*D4)</x:f>
        <x:v>190060.88580965725</x:v>
      </x:c>
    </x:row>
    <x:row r="5" ht="18" customHeight="1">
      <x:c r="A5" s="24" t="str">
        <x:v>Large pelagics (&gt;=90 cm)</x:v>
      </x:c>
      <x:c r="B5" s="31" t="n">
        <x:v>12753.2736959468</x:v>
      </x:c>
      <x:c r="C5" s="32" t="n">
        <x:v>4.442041726960848</x:v>
      </x:c>
      <x:c r="D5" s="32" t="n">
        <x:f>IF(C5="","",(1/'Metadata'!$B$5)^(C5-1))</x:f>
        <x:v>2767.2075055990044</x:v>
      </x:c>
      <x:c r="E5" s="31" t="n">
        <x:f>IF(B5=0,"",B5*D5)</x:f>
        <x:v>35290954.69238234</x:v>
      </x:c>
    </x:row>
    <x:row r="6" ht="18" customHeight="1">
      <x:c r="A6" s="24" t="str">
        <x:v>Large rays (&gt;=90 cm)</x:v>
      </x:c>
      <x:c r="B6" s="31" t="n">
        <x:v>16.288517289</x:v>
      </x:c>
      <x:c r="C6" s="32" t="n">
        <x:v>3.7293152821543463</x:v>
      </x:c>
      <x:c r="D6" s="32" t="n">
        <x:f>IF(C6="","",(1/'Metadata'!$B$5)^(C6-1))</x:f>
        <x:v>536.185767814898</x:v>
      </x:c>
      <x:c r="E6" s="31" t="n">
        <x:f>IF(B6=0,"",B6*D6)</x:f>
        <x:v>8733.671149168706</x:v>
      </x:c>
    </x:row>
    <x:row r="7" ht="18" customHeight="1">
      <x:c r="A7" s="24" t="str">
        <x:v>Large reef assoc. fish (&gt;=90 cm)</x:v>
      </x:c>
      <x:c r="B7" s="31" t="n">
        <x:v>1803.4929445482999</x:v>
      </x:c>
      <x:c r="C7" s="32" t="n">
        <x:v>4.024444950397032</x:v>
      </x:c>
      <x:c r="D7" s="32" t="n">
        <x:f>IF(C7="","",(1/'Metadata'!$B$5)^(C7-1))</x:f>
        <x:v>1057.9008118037777</x:v>
      </x:c>
      <x:c r="E7" s="31" t="n">
        <x:f>IF(B7=0,"",B7*D7)</x:f>
        <x:v>1907916.650120032</x:v>
      </x:c>
    </x:row>
    <x:row r="8" ht="18" customHeight="1">
      <x:c r="A8" s="24" t="str">
        <x:v>Large sharks (&gt;=90 cm)</x:v>
      </x:c>
      <x:c r="B8" s="31" t="n">
        <x:v>2656.0781118647</x:v>
      </x:c>
      <x:c r="C8" s="32" t="n">
        <x:v>4.087113276310377</x:v>
      </x:c>
      <x:c r="D8" s="32" t="n">
        <x:f>IF(C8="","",(1/'Metadata'!$B$5)^(C8-1))</x:f>
        <x:v>1222.11838171052</x:v>
      </x:c>
      <x:c r="E8" s="31" t="n">
        <x:f>IF(B8=0,"",B8*D8)</x:f>
        <x:v>3246041.8837688207</x:v>
      </x:c>
    </x:row>
    <x:row r="9" ht="18" customHeight="1">
      <x:c r="A9" s="24" t="str">
        <x:v>Lobsters, crabs</x:v>
      </x:c>
      <x:c r="B9" s="31" t="n">
        <x:v>1773.3764100097</x:v>
      </x:c>
      <x:c r="C9" s="32" t="n">
        <x:v>3.1465110984668705</x:v>
      </x:c>
      <x:c r="D9" s="32" t="n">
        <x:f>IF(C9="","",(1/'Metadata'!$B$5)^(C9-1))</x:f>
        <x:v>140.12353932832585</x:v>
      </x:c>
      <x:c r="E9" s="31" t="n">
        <x:f>IF(B9=0,"",B9*D9)</x:f>
        <x:v>248491.77913191952</x:v>
      </x:c>
    </x:row>
    <x:row r="10" ht="18" customHeight="1">
      <x:c r="A10" s="24" t="str">
        <x:v>Medium benthopelagics (30 - 89 cm)</x:v>
      </x:c>
      <x:c r="B10" s="31" t="n">
        <x:v>950.3470980039001</x:v>
      </x:c>
      <x:c r="C10" s="32" t="n">
        <x:v>3.3099517977937425</x:v>
      </x:c>
      <x:c r="D10" s="32" t="n">
        <x:f>IF(C10="","",(1/'Metadata'!$B$5)^(C10-1))</x:f>
        <x:v>204.15113454005078</x:v>
      </x:c>
      <x:c r="E10" s="31" t="n">
        <x:f>IF(B10=0,"",B10*D10)</x:f>
        <x:v>194014.43826434104</x:v>
      </x:c>
    </x:row>
    <x:row r="11" ht="18" customHeight="1">
      <x:c r="A11" s="24" t="str">
        <x:v>Medium demersals (30 - 89 cm)</x:v>
      </x:c>
      <x:c r="B11" s="31" t="n">
        <x:v>22808.418822380405</x:v>
      </x:c>
      <x:c r="C11" s="32" t="n">
        <x:v>3.6701134629936285</x:v>
      </x:c>
      <x:c r="D11" s="32" t="n">
        <x:f>IF(C11="","",(1/'Metadata'!$B$5)^(C11-1))</x:f>
        <x:v>467.8573568914475</x:v>
      </x:c>
      <x:c r="E11" s="31" t="n">
        <x:f>IF(B11=0,"",B11*D11)</x:f>
        <x:v>10671086.545112038</x:v>
      </x:c>
    </x:row>
    <x:row r="12" ht="18" customHeight="1">
      <x:c r="A12" s="24" t="str">
        <x:v>Medium pelagics (30 - 89 cm)</x:v>
      </x:c>
      <x:c r="B12" s="31" t="n">
        <x:v>23871.9493895717</x:v>
      </x:c>
      <x:c r="C12" s="32" t="n">
        <x:v>3.5764229286579967</x:v>
      </x:c>
      <x:c r="D12" s="32" t="n">
        <x:f>IF(C12="","",(1/'Metadata'!$B$5)^(C12-1))</x:f>
        <x:v>377.0708228321579</x:v>
      </x:c>
      <x:c r="E12" s="31" t="n">
        <x:f>IF(B12=0,"",B12*D12)</x:f>
        <x:v>9001415.59893343</x:v>
      </x:c>
    </x:row>
    <x:row r="13" ht="18" customHeight="1">
      <x:c r="A13" s="24" t="str">
        <x:v>Medium reef assoc. fish (30 - 89 cm)</x:v>
      </x:c>
      <x:c r="B13" s="31" t="n">
        <x:v>29052.373072548602</x:v>
      </x:c>
      <x:c r="C13" s="32" t="n">
        <x:v>3.6954497437199465</x:v>
      </x:c>
      <x:c r="D13" s="32" t="n">
        <x:f>IF(C13="","",(1/'Metadata'!$B$5)^(C13-1))</x:f>
        <x:v>495.9635314920473</x:v>
      </x:c>
      <x:c r="E13" s="31" t="n">
        <x:f>IF(B13=0,"",B13*D13)</x:f>
        <x:v>14408917.547285667</x:v>
      </x:c>
    </x:row>
    <x:row r="14" ht="18" customHeight="1">
      <x:c r="A14" s="24" t="str">
        <x:v>Other demersal invertebrates</x:v>
      </x:c>
      <x:c r="B14" s="31" t="n">
        <x:v>2434.4811836687</x:v>
      </x:c>
      <x:c r="C14" s="32" t="n">
        <x:v>2.0207113500354756</x:v>
      </x:c>
      <x:c r="D14" s="32" t="n">
        <x:f>IF(C14="","",(1/'Metadata'!$B$5)^(C14-1))</x:f>
        <x:v>10.488450913775504</x:v>
      </x:c>
      <x:c r="E14" s="31" t="n">
        <x:f>IF(B14=0,"",B14*D14)</x:f>
        <x:v>25533.936395419245</x:v>
      </x:c>
    </x:row>
    <x:row r="15" ht="18" customHeight="1">
      <x:c r="A15" s="24" t="str">
        <x:v>Shrimps</x:v>
      </x:c>
      <x:c r="B15" s="31" t="n">
        <x:v>3191.0123134095006</x:v>
      </x:c>
      <x:c r="C15" s="32" t="n">
        <x:v>2.7303329122136737</x:v>
      </x:c>
      <x:c r="D15" s="32" t="n">
        <x:f>IF(C15="","",(1/'Metadata'!$B$5)^(C15-1))</x:f>
        <x:v>53.74436205897483</x:v>
      </x:c>
      <x:c r="E15" s="31" t="n">
        <x:f>IF(B15=0,"",B15*D15)</x:f>
        <x:v>171498.92110652706</x:v>
      </x:c>
    </x:row>
    <x:row r="16" ht="18" customHeight="1">
      <x:c r="A16" s="24" t="str">
        <x:v>Small benthopelagics (&lt;30 cm)</x:v>
      </x:c>
      <x:c r="B16" s="31" t="n">
        <x:v>5862.5476458865</x:v>
      </x:c>
      <x:c r="C16" s="32" t="n">
        <x:v>3.2299521534115576</x:v>
      </x:c>
      <x:c r="D16" s="32" t="n">
        <x:f>IF(C16="","",(1/'Metadata'!$B$5)^(C16-1))</x:f>
        <x:v>169.80565658357582</x:v>
      </x:c>
      <x:c r="E16" s="31" t="n">
        <x:f>IF(B16=0,"",B16*D16)</x:f>
        <x:v>995493.7522622539</x:v>
      </x:c>
    </x:row>
    <x:row r="17" ht="18" customHeight="1">
      <x:c r="A17" s="24" t="str">
        <x:v>Small demersals (&lt;30 cm)</x:v>
      </x:c>
      <x:c r="B17" s="31" t="n">
        <x:v>10817.0822118528</x:v>
      </x:c>
      <x:c r="C17" s="32" t="n">
        <x:v>3.6185723103608955</x:v>
      </x:c>
      <x:c r="D17" s="32" t="n">
        <x:f>IF(C17="","",(1/'Metadata'!$B$5)^(C17-1))</x:f>
        <x:v>415.50122675246143</x:v>
      </x:c>
      <x:c r="E17" s="31" t="n">
        <x:f>IF(B17=0,"",B17*D17)</x:f>
        <x:v>4494510.9289070675</x:v>
      </x:c>
    </x:row>
    <x:row r="18" ht="18" customHeight="1">
      <x:c r="A18" s="24" t="str">
        <x:v>Small pelagics (&lt;30 cm)</x:v>
      </x:c>
      <x:c r="B18" s="31" t="n">
        <x:v>21897.7068817654</x:v>
      </x:c>
      <x:c r="C18" s="32" t="n">
        <x:v>2.994635277729542</x:v>
      </x:c>
      <x:c r="D18" s="32" t="n">
        <x:f>IF(C18="","",(1/'Metadata'!$B$5)^(C18-1))</x:f>
        <x:v>98.77232522527994</x:v>
      </x:c>
      <x:c r="E18" s="31" t="n">
        <x:f>IF(B18=0,"",B18*D18)</x:f>
        <x:v>2162887.4258135827</x:v>
      </x:c>
    </x:row>
    <x:row r="19" ht="18" customHeight="1">
      <x:c r="A19" s="24" t="str">
        <x:v>Small reef assoc. fish (&lt;30 cm)</x:v>
      </x:c>
      <x:c r="B19" s="31" t="n">
        <x:v>913.9156682087</x:v>
      </x:c>
      <x:c r="C19" s="32" t="n">
        <x:v>3.666251290454812</x:v>
      </x:c>
      <x:c r="D19" s="32" t="n">
        <x:f>IF(C19="","",(1/'Metadata'!$B$5)^(C19-1))</x:f>
        <x:v>463.71515590193115</x:v>
      </x:c>
      <x:c r="E19" s="31" t="n">
        <x:f>IF(B19=0,"",B19*D19)</x:f>
        <x:v>423796.5465646149</x:v>
      </x:c>
    </x:row>
    <x:row r="20" ht="18" customHeight="1">
      <x:c r="A20" s="24" t="str">
        <x:v>Small to medium flatfishes (&lt;90 cm)</x:v>
      </x:c>
      <x:c r="B20" s="31" t="n">
        <x:v>708.0938745324</x:v>
      </x:c>
      <x:c r="C20" s="32" t="n">
        <x:v>4.082583308070047</x:v>
      </x:c>
      <x:c r="D20" s="32" t="n">
        <x:f>IF(C20="","",(1/'Metadata'!$B$5)^(C20-1))</x:f>
        <x:v>1209.4371596703786</x:v>
      </x:c>
      <x:c r="E20" s="31" t="n">
        <x:f>IF(B20=0,"",B20*D20)</x:f>
        <x:v>856395.0443944593</x:v>
      </x:c>
    </x:row>
  </x:sheetData>
  <x:pageMargins left="0.7" right="0.7" top="0.75" bottom="0.75" header="0.3" footer="0.3"/>
  <x:tableParts count="1">
    <x:tablePart xmlns:r="http://schemas.openxmlformats.org/officeDocument/2006/relationships" r:id="R97a5f4ea46e6470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LME_033</x:v>
      </x:c>
      <x:c r="B2" s="24" t="str">
        <x:v>raw_filtered_tonnes</x:v>
      </x:c>
      <x:c r="C2" s="24" t="n">
        <x:v>147100.3417814472</x:v>
      </x:c>
      <x:c r="D2" s="24" t="str">
        <x:v>tonnes</x:v>
      </x:c>
    </x:row>
    <x:row r="3" ht="18" customHeight="1">
      <x:c r="A3" s="24" t="str">
        <x:v>LME_033</x:v>
      </x:c>
      <x:c r="B3" s="24" t="str">
        <x:v>species_catch_tonnes</x:v>
      </x:c>
      <x:c r="C3" s="24" t="n">
        <x:v>147100.3417814472</x:v>
      </x:c>
      <x:c r="D3" s="24" t="str">
        <x:v>tonnes</x:v>
      </x:c>
    </x:row>
    <x:row r="4" ht="18" customHeight="1">
      <x:c r="A4" s="24" t="str">
        <x:v>LME_033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LME_033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LME_033</x:v>
      </x:c>
      <x:c r="B6" s="24" t="str">
        <x:v>matched_catch_tonnes</x:v>
      </x:c>
      <x:c r="C6" s="24" t="n">
        <x:v>147100.3417814472</x:v>
      </x:c>
      <x:c r="D6" s="24" t="str">
        <x:v>tonnes</x:v>
      </x:c>
    </x:row>
    <x:row r="7" ht="18" customHeight="1">
      <x:c r="A7" s="24" t="str">
        <x:v>LME_033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LME_033</x:v>
      </x:c>
      <x:c r="B8" s="24" t="str">
        <x:v>taxa_count</x:v>
      </x:c>
      <x:c r="C8" s="24" t="n">
        <x:v>193</x:v>
      </x:c>
      <x:c r="D8" s="24" t="str">
        <x:v>count</x:v>
      </x:c>
    </x:row>
    <x:row r="9" ht="18" customHeight="1">
      <x:c r="A9" s="24" t="str">
        <x:v>LME_033</x:v>
      </x:c>
      <x:c r="B9" s="24" t="str">
        <x:v>matched_taxa_count</x:v>
      </x:c>
      <x:c r="C9" s="24" t="n">
        <x:v>193</x:v>
      </x:c>
      <x:c r="D9" s="24" t="str">
        <x:v>count</x:v>
      </x:c>
    </x:row>
    <x:row r="10" ht="18" customHeight="1">
      <x:c r="A10" s="24" t="str">
        <x:v>LME_033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LME_033</x:v>
      </x:c>
      <x:c r="B11" s="24" t="str">
        <x:v>species_ppr</x:v>
      </x:c>
      <x:c r="C11" s="24" t="n">
        <x:v>114071139.38229904</x:v>
      </x:c>
      <x:c r="D11" s="24" t="str">
        <x:v>tonnes_primary_production_equivalent</x:v>
      </x:c>
    </x:row>
    <x:row r="12" ht="18" customHeight="1">
      <x:c r="A12" s="24" t="str">
        <x:v>LME_033</x:v>
      </x:c>
      <x:c r="B12" s="24" t="str">
        <x:v>commercial_ppr</x:v>
      </x:c>
      <x:c r="C12" s="24" t="n">
        <x:v>74674605.88945664</x:v>
      </x:c>
      <x:c r="D12" s="24" t="str">
        <x:v>tonnes_primary_production_equivalent</x:v>
      </x:c>
    </x:row>
    <x:row r="13" ht="18" customHeight="1">
      <x:c r="A13" s="24" t="str">
        <x:v>LME_033</x:v>
      </x:c>
      <x:c r="B13" s="24" t="str">
        <x:v>functional_ppr</x:v>
      </x:c>
      <x:c r="C13" s="24" t="n">
        <x:v>87236027.58411431</x:v>
      </x:c>
      <x:c r="D13" s="24" t="str">
        <x:v>tonnes_primary_production_equivalent</x:v>
      </x:c>
    </x:row>
    <x:row r="14" ht="18" customHeight="1">
      <x:c r="A14" s="24" t="str">
        <x:v>LME_033</x:v>
      </x:c>
      <x:c r="B14" s="24" t="str">
        <x:v>commercial_ppr_difference</x:v>
      </x:c>
      <x:c r="C14" s="24" t="n">
        <x:v>-39396533.49284239</x:v>
      </x:c>
      <x:c r="D14" s="24" t="str">
        <x:v>tonnes_primary_production_equivalent</x:v>
      </x:c>
    </x:row>
    <x:row r="15" ht="18" customHeight="1">
      <x:c r="A15" s="24" t="str">
        <x:v>LME_033</x:v>
      </x:c>
      <x:c r="B15" s="24" t="str">
        <x:v>functional_ppr_difference</x:v>
      </x:c>
      <x:c r="C15" s="24" t="n">
        <x:v>-26835111.798184723</x:v>
      </x:c>
      <x:c r="D15" s="24" t="str">
        <x:v>tonnes_primary_production_equivalent</x:v>
      </x:c>
    </x:row>
    <x:row r="16" ht="18" customHeight="1">
      <x:c r="A16" s="24" t="str">
        <x:v>LME_033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LME_033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7c32df9e6074451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LME_033 - Red Sea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LME_033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LME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raw_data/SAU_downloads/LME_033-catch.zip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