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abf564e78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544fbadee414d8c"/>
    <x:sheet xmlns:r="http://schemas.openxmlformats.org/officeDocument/2006/relationships" name="Commercial" sheetId="2" r:id="R96c3d0e7335645b0"/>
    <x:sheet xmlns:r="http://schemas.openxmlformats.org/officeDocument/2006/relationships" name="Functional" sheetId="3" r:id="Rfc47a25d2911409a"/>
    <x:sheet xmlns:r="http://schemas.openxmlformats.org/officeDocument/2006/relationships" name="Missing TL" sheetId="4" r:id="R100cb937a1924448"/>
    <x:sheet xmlns:r="http://schemas.openxmlformats.org/officeDocument/2006/relationships" name="Validation" sheetId="5" r:id="Ra5614059e8454a89"/>
    <x:sheet xmlns:r="http://schemas.openxmlformats.org/officeDocument/2006/relationships" name="Metadata" sheetId="6" r:id="R06d532b350e5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5329e2f9d433e" /><Relationship Type="http://schemas.openxmlformats.org/officeDocument/2006/relationships/theme" Target="/xl/theme/theme1.xml" Id="Rbefca704e6ab4249" /><Relationship Type="http://schemas.microsoft.com/office/2022/11/relationships/FeaturePropertyBag" Target="/xl/featurePropertyBag/featurePropertyBag.xml" Id="Ra9eff054c37a46f9" /><Relationship Type="http://schemas.openxmlformats.org/officeDocument/2006/relationships/sharedStrings" Target="/xl/sharedStrings.xml" Id="R7b98e82c047748dc" /><Relationship Type="http://schemas.openxmlformats.org/officeDocument/2006/relationships/worksheet" Target="/xl/worksheets/sheet1.xml" Id="R1544fbadee414d8c" /><Relationship Type="http://schemas.openxmlformats.org/officeDocument/2006/relationships/worksheet" Target="/xl/worksheets/sheet2.xml" Id="R96c3d0e7335645b0" /><Relationship Type="http://schemas.openxmlformats.org/officeDocument/2006/relationships/worksheet" Target="/xl/worksheets/sheet3.xml" Id="Rfc47a25d2911409a" /><Relationship Type="http://schemas.openxmlformats.org/officeDocument/2006/relationships/worksheet" Target="/xl/worksheets/sheet4.xml" Id="R100cb937a1924448" /><Relationship Type="http://schemas.openxmlformats.org/officeDocument/2006/relationships/worksheet" Target="/xl/worksheets/sheet5.xml" Id="Ra5614059e8454a89" /><Relationship Type="http://schemas.openxmlformats.org/officeDocument/2006/relationships/worksheet" Target="/xl/worksheets/sheet6.xml" Id="R06d532b350e549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5SpeciesTable" displayName="LME025SpeciesTable" ref="A1:U433" headerRowCount="1" totalsRowCount="0" totalsRowShown="0">
  <x:autoFilter ref="A1:U43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5CommercialTable" displayName="LME025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5FunctionalTable" displayName="LME025FunctionalTable" ref="A1:E28" headerRowCount="1" totalsRowCount="0" totalsRowShown="0">
  <x:autoFilter ref="A1:E2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5ValidationTable" displayName="LME02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d34b043b0c41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25daa7bec7b4f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a2a21c9cea46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48492a37474e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LME_025</x:v>
      </x:c>
      <x:c r="B2" s="24" t="str">
        <x:v>Iberian Coastal</x:v>
      </x:c>
      <x:c r="C2" s="24" t="str">
        <x:v>LME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83043.1982384987</x:v>
      </x:c>
      <x:c r="J2" s="31" t="n">
        <x:v>58941.1638308448</x:v>
      </x:c>
      <x:c r="K2" s="31" t="n">
        <x:v>24102.0344076539</x:v>
      </x:c>
      <x:c r="L2" s="31" t="n">
        <x:v>57862.638541141</x:v>
      </x:c>
      <x:c r="M2" s="31" t="n">
        <x:v>25180.5596973577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15823555.213749394</x:v>
      </x:c>
    </x:row>
    <x:row r="3" ht="18" customHeight="1">
      <x:c r="A3" s="24" t="str">
        <x:v>LME_025</x:v>
      </x:c>
      <x:c r="B3" s="24" t="str">
        <x:v>Iberian Coastal</x:v>
      </x:c>
      <x:c r="C3" s="24" t="str">
        <x:v>LME</x:v>
      </x:c>
      <x:c r="D3" s="30" t="n">
        <x:v>2019</x:v>
      </x:c>
      <x:c r="E3" s="24" t="str">
        <x:v>Merluccius merluccius</x:v>
      </x:c>
      <x:c r="F3" s="24" t="str">
        <x:v>European hake</x:v>
      </x:c>
      <x:c r="G3" s="24" t="str">
        <x:v>Large demersals (&gt;=90 cm)</x:v>
      </x:c>
      <x:c r="H3" s="24" t="str">
        <x:v>Cod-likes</x:v>
      </x:c>
      <x:c r="I3" s="31" t="n">
        <x:v>53807.534041734</x:v>
      </x:c>
      <x:c r="J3" s="31" t="n">
        <x:v>22270.4751584872</x:v>
      </x:c>
      <x:c r="K3" s="31" t="n">
        <x:v>31537.0588832468</x:v>
      </x:c>
      <x:c r="L3" s="31" t="n">
        <x:v>16630.7033756862</x:v>
      </x:c>
      <x:c r="M3" s="31" t="n">
        <x:v>37176.8306660478</x:v>
      </x:c>
      <x:c r="N3" s="24" t="str">
        <x:v>merluccius merluccius</x:v>
      </x:c>
      <x:c r="O3" s="32" t="n">
        <x:v>4.42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Merluccius merluccius</x:v>
      </x:c>
      <x:c r="T3" s="32" t="n">
        <x:f>IF(O3="","",(1/'Metadata'!$B$5)^(O3-1))</x:f>
        <x:v>2630.2679918953813</x:v>
      </x:c>
      <x:c r="U3" s="31" t="n">
        <x:f>IF(T3="","",I3*T3)</x:f>
        <x:v>141528234.51279405</x:v>
      </x:c>
    </x:row>
    <x:row r="4" ht="18" customHeight="1">
      <x:c r="A4" s="24" t="str">
        <x:v>LME_025</x:v>
      </x:c>
      <x:c r="B4" s="24" t="str">
        <x:v>Iberian Coastal</x:v>
      </x:c>
      <x:c r="C4" s="24" t="str">
        <x:v>LME</x:v>
      </x:c>
      <x:c r="D4" s="30" t="n">
        <x:v>2019</x:v>
      </x:c>
      <x:c r="E4" s="24" t="str">
        <x:v>Engraulis encrasicolus</x:v>
      </x:c>
      <x:c r="F4" s="24" t="str">
        <x:v>European anchovy</x:v>
      </x:c>
      <x:c r="G4" s="24" t="str">
        <x:v>Small pelagics (&lt;30 cm)</x:v>
      </x:c>
      <x:c r="H4" s="24" t="str">
        <x:v>Anchovies</x:v>
      </x:c>
      <x:c r="I4" s="31" t="n">
        <x:v>27091.6933762591</x:v>
      </x:c>
      <x:c r="J4" s="31" t="n">
        <x:v>27038.500151609398</x:v>
      </x:c>
      <x:c r="K4" s="31" t="n">
        <x:v>53.1932246497</x:v>
      </x:c>
      <x:c r="L4" s="31" t="n">
        <x:v>21362.8711087333</x:v>
      </x:c>
      <x:c r="M4" s="31" t="n">
        <x:v>5728.822267525799</x:v>
      </x:c>
      <x:c r="N4" s="24" t="str">
        <x:v>engraulis encrasicolus</x:v>
      </x:c>
      <x:c r="O4" s="32" t="n">
        <x:v>3.11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Engraulis encrasicolus</x:v>
      </x:c>
      <x:c r="T4" s="32" t="n">
        <x:f>IF(O4="","",(1/'Metadata'!$B$5)^(O4-1))</x:f>
        <x:v>128.82495516931337</x:v>
      </x:c>
      <x:c r="U4" s="31" t="n">
        <x:f>IF(T4="","",I4*T4)</x:f>
        <x:v>3490086.1846573623</x:v>
      </x:c>
    </x:row>
    <x:row r="5" ht="18" customHeight="1">
      <x:c r="A5" s="24" t="str">
        <x:v>LME_025</x:v>
      </x:c>
      <x:c r="B5" s="24" t="str">
        <x:v>Iberian Coastal</x:v>
      </x:c>
      <x:c r="C5" s="24" t="str">
        <x:v>LME</x:v>
      </x:c>
      <x:c r="D5" s="30" t="n">
        <x:v>2019</x:v>
      </x:c>
      <x:c r="E5" s="24" t="str">
        <x:v>Sardina pilchardus</x:v>
      </x:c>
      <x:c r="F5" s="24" t="str">
        <x:v>European pilchard</x:v>
      </x:c>
      <x:c r="G5" s="24" t="str">
        <x:v>Small pelagics (&lt;30 cm)</x:v>
      </x:c>
      <x:c r="H5" s="24" t="str">
        <x:v>Herring-likes</x:v>
      </x:c>
      <x:c r="I5" s="31" t="n">
        <x:v>24753.3382258493</x:v>
      </x:c>
      <x:c r="J5" s="31" t="n">
        <x:v>18981.7558213689</x:v>
      </x:c>
      <x:c r="K5" s="31" t="n">
        <x:v>5771.5824044804</x:v>
      </x:c>
      <x:c r="L5" s="31" t="n">
        <x:v>18905.6166999641</x:v>
      </x:c>
      <x:c r="M5" s="31" t="n">
        <x:v>5847.7215258852</x:v>
      </x:c>
      <x:c r="N5" s="24" t="str">
        <x:v>sardina pilchardus</x:v>
      </x:c>
      <x:c r="O5" s="32" t="n">
        <x:v>3.06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Sardina pilchardus</x:v>
      </x:c>
      <x:c r="T5" s="32" t="n">
        <x:f>IF(O5="","",(1/'Metadata'!$B$5)^(O5-1))</x:f>
        <x:v>114.81536214968828</x:v>
      </x:c>
      <x:c r="U5" s="31" t="n">
        <x:f>IF(T5="","",I5*T5)</x:f>
        <x:v>2842063.49281461</x:v>
      </x:c>
    </x:row>
    <x:row r="6" ht="18" customHeight="1">
      <x:c r="A6" s="24" t="str">
        <x:v>LME_025</x:v>
      </x:c>
      <x:c r="B6" s="24" t="str">
        <x:v>Iberian Coastal</x:v>
      </x:c>
      <x:c r="C6" s="24" t="str">
        <x:v>LME</x:v>
      </x:c>
      <x:c r="D6" s="30" t="n">
        <x:v>2019</x:v>
      </x:c>
      <x:c r="E6" s="24" t="str">
        <x:v>Trachurus trachurus</x:v>
      </x:c>
      <x:c r="F6" s="24" t="str">
        <x:v>Atlantic horse mackerel</x:v>
      </x:c>
      <x:c r="G6" s="24" t="str">
        <x:v>Medium pelagics (30 - 89 cm)</x:v>
      </x:c>
      <x:c r="H6" s="24" t="str">
        <x:v>Perch-likes</x:v>
      </x:c>
      <x:c r="I6" s="31" t="n">
        <x:v>23753.9125160255</x:v>
      </x:c>
      <x:c r="J6" s="31" t="n">
        <x:v>20911.3658285715</x:v>
      </x:c>
      <x:c r="K6" s="31" t="n">
        <x:v>2842.546687454</x:v>
      </x:c>
      <x:c r="L6" s="31" t="n">
        <x:v>20523.7884424349</x:v>
      </x:c>
      <x:c r="M6" s="31" t="n">
        <x:v>3230.1240735906</x:v>
      </x:c>
      <x:c r="N6" s="24" t="str">
        <x:v>trachurus trachurus</x:v>
      </x:c>
      <x:c r="O6" s="32" t="n">
        <x:v>3.71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Trachurus trachurus</x:v>
      </x:c>
      <x:c r="T6" s="32" t="n">
        <x:f>IF(O6="","",(1/'Metadata'!$B$5)^(O6-1))</x:f>
        <x:v>512.8613839913648</x:v>
      </x:c>
      <x:c r="U6" s="31" t="n">
        <x:f>IF(T6="","",I6*T6)</x:f>
        <x:v>12182464.448178641</x:v>
      </x:c>
    </x:row>
    <x:row r="7" ht="18" customHeight="1">
      <x:c r="A7" s="24" t="str">
        <x:v>LME_025</x:v>
      </x:c>
      <x:c r="B7" s="24" t="str">
        <x:v>Iberian Coastal</x:v>
      </x:c>
      <x:c r="C7" s="24" t="str">
        <x:v>LME</x:v>
      </x:c>
      <x:c r="D7" s="30" t="n">
        <x:v>2019</x:v>
      </x:c>
      <x:c r="E7" s="24" t="str">
        <x:v>Scomber scombrus</x:v>
      </x:c>
      <x:c r="F7" s="24" t="str">
        <x:v>Atlantic mackerel</x:v>
      </x:c>
      <x:c r="G7" s="24" t="str">
        <x:v>Medium pelagics (30 - 89 cm)</x:v>
      </x:c>
      <x:c r="H7" s="24" t="str">
        <x:v>Perch-likes</x:v>
      </x:c>
      <x:c r="I7" s="31" t="n">
        <x:v>22848.898574582498</x:v>
      </x:c>
      <x:c r="J7" s="31" t="n">
        <x:v>21153.4858511776</x:v>
      </x:c>
      <x:c r="K7" s="31" t="n">
        <x:v>1695.4127234049</x:v>
      </x:c>
      <x:c r="L7" s="31" t="n">
        <x:v>16397.8930358144</x:v>
      </x:c>
      <x:c r="M7" s="31" t="n">
        <x:v>6451.0055387680995</x:v>
      </x:c>
      <x:c r="N7" s="24" t="str">
        <x:v>scomber scombrus</x:v>
      </x:c>
      <x:c r="O7" s="32" t="n">
        <x:v>3.63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Scomber scombrus</x:v>
      </x:c>
      <x:c r="T7" s="32" t="n">
        <x:f>IF(O7="","",(1/'Metadata'!$B$5)^(O7-1))</x:f>
        <x:v>426.57951880159254</x:v>
      </x:c>
      <x:c r="U7" s="31" t="n">
        <x:f>IF(T7="","",I7*T7)</x:f>
        <x:v>9746872.159091795</x:v>
      </x:c>
    </x:row>
    <x:row r="8" ht="18" customHeight="1">
      <x:c r="A8" s="24" t="str">
        <x:v>LME_025</x:v>
      </x:c>
      <x:c r="B8" s="24" t="str">
        <x:v>Iberian Coastal</x:v>
      </x:c>
      <x:c r="C8" s="24" t="str">
        <x:v>LME</x:v>
      </x:c>
      <x:c r="D8" s="30" t="n">
        <x:v>2019</x:v>
      </x:c>
      <x:c r="E8" s="24" t="str">
        <x:v>Micromesistius poutassou</x:v>
      </x:c>
      <x:c r="F8" s="24" t="str">
        <x:v>Blue whiting</x:v>
      </x:c>
      <x:c r="G8" s="24" t="str">
        <x:v>Medium benthopelagics (30 - 89 cm)</x:v>
      </x:c>
      <x:c r="H8" s="24" t="str">
        <x:v>Cod-likes</x:v>
      </x:c>
      <x:c r="I8" s="31" t="n">
        <x:v>20159.241900414097</x:v>
      </x:c>
      <x:c r="J8" s="31" t="n">
        <x:v>15504.896714196298</x:v>
      </x:c>
      <x:c r="K8" s="31" t="n">
        <x:v>4654.3451862178</x:v>
      </x:c>
      <x:c r="L8" s="31" t="n">
        <x:v>11350.3474961714</x:v>
      </x:c>
      <x:c r="M8" s="31" t="n">
        <x:v>8808.894404242701</x:v>
      </x:c>
      <x:c r="N8" s="24" t="str">
        <x:v>micromesistius poutassou</x:v>
      </x:c>
      <x:c r="O8" s="32" t="n">
        <x:v>4.13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Micromesistius poutassou</x:v>
      </x:c>
      <x:c r="T8" s="32" t="n">
        <x:f>IF(O8="","",(1/'Metadata'!$B$5)^(O8-1))</x:f>
        <x:v>1348.9628825916532</x:v>
      </x:c>
      <x:c r="U8" s="31" t="n">
        <x:f>IF(T8="","",I8*T8)</x:f>
        <x:v>27194069.064845037</x:v>
      </x:c>
    </x:row>
    <x:row r="9" ht="18" customHeight="1">
      <x:c r="A9" s="24" t="str">
        <x:v>LME_025</x:v>
      </x:c>
      <x:c r="B9" s="24" t="str">
        <x:v>Iberian Coastal</x:v>
      </x:c>
      <x:c r="C9" s="24" t="str">
        <x:v>LME</x:v>
      </x:c>
      <x:c r="D9" s="30" t="n">
        <x:v>2019</x:v>
      </x:c>
      <x:c r="E9" s="24" t="str">
        <x:v>Mollusca</x:v>
      </x:c>
      <x:c r="F9" s="24" t="str">
        <x:v>Clams, seasnails, squids, octopuses</x:v>
      </x:c>
      <x:c r="G9" s="24" t="str">
        <x:v>Other demersal invertebrates</x:v>
      </x:c>
      <x:c r="H9" s="24" t="str">
        <x:v>Molluscs</x:v>
      </x:c>
      <x:c r="I9" s="31" t="n">
        <x:v>16068.0750019755</x:v>
      </x:c>
      <x:c r="J9" s="31" t="n">
        <x:v>16068.0750019755</x:v>
      </x:c>
      <x:c r="K9" s="31" t="n">
        <x:v>0</x:v>
      </x:c>
      <x:c r="L9" s="31" t="n">
        <x:v>13591.0187876492</x:v>
      </x:c>
      <x:c r="M9" s="31" t="n">
        <x:v>2477.0562143263</x:v>
      </x:c>
      <x:c r="N9" s="24" t="str">
        <x:v>mollusca</x:v>
      </x:c>
      <x:c r="O9" s="32" t="n">
        <x:v>2.1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Mollusca</x:v>
      </x:c>
      <x:c r="T9" s="32" t="n">
        <x:f>IF(O9="","",(1/'Metadata'!$B$5)^(O9-1))</x:f>
        <x:v>12.589254117941675</x:v>
      </x:c>
      <x:c r="U9" s="31" t="n">
        <x:f>IF(T9="","",I9*T9)</x:f>
        <x:v>202285.07938601574</x:v>
      </x:c>
    </x:row>
    <x:row r="10" ht="18" customHeight="1">
      <x:c r="A10" s="24" t="str">
        <x:v>LME_025</x:v>
      </x:c>
      <x:c r="B10" s="24" t="str">
        <x:v>Iberian Coastal</x:v>
      </x:c>
      <x:c r="C10" s="24" t="str">
        <x:v>LME</x:v>
      </x:c>
      <x:c r="D10" s="30" t="n">
        <x:v>2019</x:v>
      </x:c>
      <x:c r="E10" s="24" t="str">
        <x:v>Boops boops</x:v>
      </x:c>
      <x:c r="F10" s="24" t="str">
        <x:v>Bogue</x:v>
      </x:c>
      <x:c r="G10" s="24" t="str">
        <x:v>Medium demersals (30 - 89 cm)</x:v>
      </x:c>
      <x:c r="H10" s="24" t="str">
        <x:v>Perch-likes</x:v>
      </x:c>
      <x:c r="I10" s="31" t="n">
        <x:v>12626.2458737627</x:v>
      </x:c>
      <x:c r="J10" s="31" t="n">
        <x:v>6962.8206518741</x:v>
      </x:c>
      <x:c r="K10" s="31" t="n">
        <x:v>5663.4252218886</x:v>
      </x:c>
      <x:c r="L10" s="31" t="n">
        <x:v>3954.6556847909</x:v>
      </x:c>
      <x:c r="M10" s="31" t="n">
        <x:v>8671.5901889718</x:v>
      </x:c>
      <x:c r="N10" s="24" t="str">
        <x:v>boops boops</x:v>
      </x:c>
      <x:c r="O10" s="32" t="n">
        <x:v>2.79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Boops boops</x:v>
      </x:c>
      <x:c r="T10" s="32" t="n">
        <x:f>IF(O10="","",(1/'Metadata'!$B$5)^(O10-1))</x:f>
        <x:v>61.65950018614822</x:v>
      </x:c>
      <x:c r="U10" s="31" t="n">
        <x:f>IF(T10="","",I10*T10)</x:f>
        <x:v>778528.0098036245</x:v>
      </x:c>
    </x:row>
    <x:row r="11" ht="18" customHeight="1">
      <x:c r="A11" s="24" t="str">
        <x:v>LME_025</x:v>
      </x:c>
      <x:c r="B11" s="24" t="str">
        <x:v>Iberian Coastal</x:v>
      </x:c>
      <x:c r="C11" s="24" t="str">
        <x:v>LME</x:v>
      </x:c>
      <x:c r="D11" s="30" t="n">
        <x:v>2019</x:v>
      </x:c>
      <x:c r="E11" s="24" t="str">
        <x:v>Scomber colias</x:v>
      </x:c>
      <x:c r="F11" s="24" t="str">
        <x:v>Atlantic chub mackerel</x:v>
      </x:c>
      <x:c r="G11" s="24" t="str">
        <x:v>Medium pelagics (30 - 89 cm)</x:v>
      </x:c>
      <x:c r="H11" s="24" t="str">
        <x:v>Perch-likes</x:v>
      </x:c>
      <x:c r="I11" s="31" t="n">
        <x:v>12170.3303909946</x:v>
      </x:c>
      <x:c r="J11" s="31" t="n">
        <x:v>12170.3303909946</x:v>
      </x:c>
      <x:c r="K11" s="31" t="n">
        <x:v>0</x:v>
      </x:c>
      <x:c r="L11" s="31" t="n">
        <x:v>7126.614812761401</x:v>
      </x:c>
      <x:c r="M11" s="31" t="n">
        <x:v>5043.715578233201</x:v>
      </x:c>
      <x:c r="N11" s="24" t="str">
        <x:v>scomber colias</x:v>
      </x:c>
      <x:c r="O11" s="32" t="n">
        <x:v>3.91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Scomber colias</x:v>
      </x:c>
      <x:c r="T11" s="32" t="n">
        <x:f>IF(O11="","",(1/'Metadata'!$B$5)^(O11-1))</x:f>
        <x:v>812.8305161640995</x:v>
      </x:c>
      <x:c r="U11" s="31" t="n">
        <x:f>IF(T11="","",I11*T11)</x:f>
        <x:v>9892415.933599768</x:v>
      </x:c>
    </x:row>
    <x:row r="12" ht="18" customHeight="1">
      <x:c r="A12" s="24" t="str">
        <x:v>LME_025</x:v>
      </x:c>
      <x:c r="B12" s="24" t="str">
        <x:v>Iberian Coastal</x:v>
      </x:c>
      <x:c r="C12" s="24" t="str">
        <x:v>LME</x:v>
      </x:c>
      <x:c r="D12" s="30" t="n">
        <x:v>2019</x:v>
      </x:c>
      <x:c r="E12" s="24" t="str">
        <x:v>Octopus vulgaris</x:v>
      </x:c>
      <x:c r="F12" s="24" t="str">
        <x:v>Common octopus</x:v>
      </x:c>
      <x:c r="G12" s="24" t="str">
        <x:v>Cephalopods</x:v>
      </x:c>
      <x:c r="H12" s="24" t="str">
        <x:v>Other fishes &amp; inverts</x:v>
      </x:c>
      <x:c r="I12" s="31" t="n">
        <x:v>8240.1482516584</x:v>
      </x:c>
      <x:c r="J12" s="31" t="n">
        <x:v>8128.8509612691005</x:v>
      </x:c>
      <x:c r="K12" s="31" t="n">
        <x:v>111.2972903893</x:v>
      </x:c>
      <x:c r="L12" s="31" t="n">
        <x:v>7086.0064840484</x:v>
      </x:c>
      <x:c r="M12" s="31" t="n">
        <x:v>1154.14176761</x:v>
      </x:c>
      <x:c r="N12" s="24" t="str">
        <x:v>octopus vulgaris</x:v>
      </x:c>
      <x:c r="O12" s="32" t="n">
        <x:v>3.6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Octopus vulgaris</x:v>
      </x:c>
      <x:c r="T12" s="32" t="n">
        <x:f>IF(O12="","",(1/'Metadata'!$B$5)^(O12-1))</x:f>
        <x:v>398.1071705534973</x:v>
      </x:c>
      <x:c r="U12" s="31" t="n">
        <x:f>IF(T12="","",I12*T12)</x:f>
        <x:v>3280462.1054090736</x:v>
      </x:c>
    </x:row>
    <x:row r="13" ht="18" customHeight="1">
      <x:c r="A13" s="24" t="str">
        <x:v>LME_025</x:v>
      </x:c>
      <x:c r="B13" s="24" t="str">
        <x:v>Iberian Coastal</x:v>
      </x:c>
      <x:c r="C13" s="24" t="str">
        <x:v>LME</x:v>
      </x:c>
      <x:c r="D13" s="30" t="n">
        <x:v>2019</x:v>
      </x:c>
      <x:c r="E13" s="24" t="str">
        <x:v>Scomber</x:v>
      </x:c>
      <x:c r="F13" s="24" t="str">
        <x:v>Chub mackerels</x:v>
      </x:c>
      <x:c r="G13" s="24" t="str">
        <x:v>Medium pelagics (30 - 89 cm)</x:v>
      </x:c>
      <x:c r="H13" s="24" t="str">
        <x:v>Perch-likes</x:v>
      </x:c>
      <x:c r="I13" s="31" t="n">
        <x:v>6254.491863204299</x:v>
      </x:c>
      <x:c r="J13" s="31" t="n">
        <x:v>5408.0549556963</x:v>
      </x:c>
      <x:c r="K13" s="31" t="n">
        <x:v>846.4369075079999</x:v>
      </x:c>
      <x:c r="L13" s="31" t="n">
        <x:v>5305.4606536696</x:v>
      </x:c>
      <x:c r="M13" s="31" t="n">
        <x:v>949.0312095346999</x:v>
      </x:c>
      <x:c r="N13" s="24" t="str">
        <x:v>scomber</x:v>
      </x:c>
      <x:c r="O13" s="32" t="n">
        <x:v>3.65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Scomber</x:v>
      </x:c>
      <x:c r="T13" s="32" t="n">
        <x:f>IF(O13="","",(1/'Metadata'!$B$5)^(O13-1))</x:f>
        <x:v>446.683592150963</x:v>
      </x:c>
      <x:c r="U13" s="31" t="n">
        <x:f>IF(T13="","",I13*T13)</x:f>
        <x:v>2793778.8925350658</x:v>
      </x:c>
    </x:row>
    <x:row r="14" ht="18" customHeight="1">
      <x:c r="A14" s="24" t="str">
        <x:v>LME_025</x:v>
      </x:c>
      <x:c r="B14" s="24" t="str">
        <x:v>Iberian Coastal</x:v>
      </x:c>
      <x:c r="C14" s="24" t="str">
        <x:v>LME</x:v>
      </x:c>
      <x:c r="D14" s="30" t="n">
        <x:v>2019</x:v>
      </x:c>
      <x:c r="E14" s="24" t="str">
        <x:v>Trachurus picturatus</x:v>
      </x:c>
      <x:c r="F14" s="24" t="str">
        <x:v>Blue jack mackerel</x:v>
      </x:c>
      <x:c r="G14" s="24" t="str">
        <x:v>Medium benthopelagics (30 - 89 cm)</x:v>
      </x:c>
      <x:c r="H14" s="24" t="str">
        <x:v>Perch-likes</x:v>
      </x:c>
      <x:c r="I14" s="31" t="n">
        <x:v>5873.6074560062</x:v>
      </x:c>
      <x:c r="J14" s="31" t="n">
        <x:v>1727.2453028436</x:v>
      </x:c>
      <x:c r="K14" s="31" t="n">
        <x:v>4146.3621531626</x:v>
      </x:c>
      <x:c r="L14" s="31" t="n">
        <x:v>1724.3221715748998</x:v>
      </x:c>
      <x:c r="M14" s="31" t="n">
        <x:v>4149.2852844313</x:v>
      </x:c>
      <x:c r="N14" s="24" t="str">
        <x:v>trachurus picturatus</x:v>
      </x:c>
      <x:c r="O14" s="32" t="n">
        <x:v>3.32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Trachurus picturatus</x:v>
      </x:c>
      <x:c r="T14" s="32" t="n">
        <x:f>IF(O14="","",(1/'Metadata'!$B$5)^(O14-1))</x:f>
        <x:v>208.92961308540387</x:v>
      </x:c>
      <x:c r="U14" s="31" t="n">
        <x:f>IF(T14="","",I14*T14)</x:f>
        <x:v>1227170.5331989187</x:v>
      </x:c>
    </x:row>
    <x:row r="15" ht="18" customHeight="1">
      <x:c r="A15" s="24" t="str">
        <x:v>LME_025</x:v>
      </x:c>
      <x:c r="B15" s="24" t="str">
        <x:v>Iberian Coastal</x:v>
      </x:c>
      <x:c r="C15" s="24" t="str">
        <x:v>LME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5436.633245685401</x:v>
      </x:c>
      <x:c r="J15" s="31" t="n">
        <x:v>5436.633245685401</x:v>
      </x:c>
      <x:c r="K15" s="31" t="n">
        <x:v>0</x:v>
      </x:c>
      <x:c r="L15" s="31" t="n">
        <x:v>5436.633245685401</x:v>
      </x:c>
      <x:c r="M15" s="31" t="n">
        <x:v>0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1217110.576975931</x:v>
      </x:c>
    </x:row>
    <x:row r="16" ht="18" customHeight="1">
      <x:c r="A16" s="24" t="str">
        <x:v>LME_025</x:v>
      </x:c>
      <x:c r="B16" s="24" t="str">
        <x:v>Iberian Coastal</x:v>
      </x:c>
      <x:c r="C16" s="24" t="str">
        <x:v>LME</x:v>
      </x:c>
      <x:c r="D16" s="30" t="n">
        <x:v>2019</x:v>
      </x:c>
      <x:c r="E16" s="24" t="str">
        <x:v>Trachurus</x:v>
      </x:c>
      <x:c r="F16" s="24" t="str">
        <x:v>Jacks, horse mackerels</x:v>
      </x:c>
      <x:c r="G16" s="24" t="str">
        <x:v>Medium pelagics (30 - 89 cm)</x:v>
      </x:c>
      <x:c r="H16" s="24" t="str">
        <x:v>Perch-likes</x:v>
      </x:c>
      <x:c r="I16" s="31" t="n">
        <x:v>5198.3013360236</x:v>
      </x:c>
      <x:c r="J16" s="31" t="n">
        <x:v>5035.8636548687</x:v>
      </x:c>
      <x:c r="K16" s="31" t="n">
        <x:v>162.43768115490002</x:v>
      </x:c>
      <x:c r="L16" s="31" t="n">
        <x:v>4244.190713564</x:v>
      </x:c>
      <x:c r="M16" s="31" t="n">
        <x:v>954.1106224596</x:v>
      </x:c>
      <x:c r="N16" s="24" t="str">
        <x:v>trachurus</x:v>
      </x:c>
      <x:c r="O16" s="32" t="n">
        <x:v>3.69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Trachurus</x:v>
      </x:c>
      <x:c r="T16" s="32" t="n">
        <x:f>IF(O16="","",(1/'Metadata'!$B$5)^(O16-1))</x:f>
        <x:v>489.77881936844614</x:v>
      </x:c>
      <x:c r="U16" s="31" t="n">
        <x:f>IF(T16="","",I16*T16)</x:f>
        <x:v>2546017.891079055</x:v>
      </x:c>
    </x:row>
    <x:row r="17" ht="18" customHeight="1">
      <x:c r="A17" s="24" t="str">
        <x:v>LME_025</x:v>
      </x:c>
      <x:c r="B17" s="24" t="str">
        <x:v>Iberian Coastal</x:v>
      </x:c>
      <x:c r="C17" s="24" t="str">
        <x:v>LME</x:v>
      </x:c>
      <x:c r="D17" s="30" t="n">
        <x:v>2019</x:v>
      </x:c>
      <x:c r="E17" s="24" t="str">
        <x:v>Thunnus alalunga</x:v>
      </x:c>
      <x:c r="F17" s="24" t="str">
        <x:v>Albacore</x:v>
      </x:c>
      <x:c r="G17" s="24" t="str">
        <x:v>Large pelagics (&gt;=90 cm)</x:v>
      </x:c>
      <x:c r="H17" s="24" t="str">
        <x:v>Tuna &amp; billfishes</x:v>
      </x:c>
      <x:c r="I17" s="31" t="n">
        <x:v>3465.3166860741003</x:v>
      </x:c>
      <x:c r="J17" s="31" t="n">
        <x:v>3465.3166860741003</x:v>
      </x:c>
      <x:c r="K17" s="31" t="n">
        <x:v>0</x:v>
      </x:c>
      <x:c r="L17" s="31" t="n">
        <x:v>3387.0619630078</x:v>
      </x:c>
      <x:c r="M17" s="31" t="n">
        <x:v>78.2547230663</x:v>
      </x:c>
      <x:c r="N17" s="24" t="str">
        <x:v>thunnus alalunga</x:v>
      </x:c>
      <x:c r="O17" s="32" t="n">
        <x:v>4.3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alalunga</x:v>
      </x:c>
      <x:c r="T17" s="32" t="n">
        <x:f>IF(O17="","",(1/'Metadata'!$B$5)^(O17-1))</x:f>
        <x:v>1995.2623149688789</x:v>
      </x:c>
      <x:c r="U17" s="31" t="n">
        <x:f>IF(T17="","",I17*T17)</x:f>
        <x:v>6914215.7931564925</x:v>
      </x:c>
    </x:row>
    <x:row r="18" ht="18" customHeight="1">
      <x:c r="A18" s="24" t="str">
        <x:v>LME_025</x:v>
      </x:c>
      <x:c r="B18" s="24" t="str">
        <x:v>Iberian Coastal</x:v>
      </x:c>
      <x:c r="C18" s="24" t="str">
        <x:v>LME</x:v>
      </x:c>
      <x:c r="D18" s="30" t="n">
        <x:v>2019</x:v>
      </x:c>
      <x:c r="E18" s="24" t="str">
        <x:v>Conger conger</x:v>
      </x:c>
      <x:c r="F18" s="24" t="str">
        <x:v>European conger</x:v>
      </x:c>
      <x:c r="G18" s="24" t="str">
        <x:v>Large demersals (&gt;=90 cm)</x:v>
      </x:c>
      <x:c r="H18" s="24" t="str">
        <x:v>Other fishes &amp; inverts</x:v>
      </x:c>
      <x:c r="I18" s="31" t="n">
        <x:v>3183.7978761437</x:v>
      </x:c>
      <x:c r="J18" s="31" t="n">
        <x:v>2106.927072951</x:v>
      </x:c>
      <x:c r="K18" s="31" t="n">
        <x:v>1076.8708031927</x:v>
      </x:c>
      <x:c r="L18" s="31" t="n">
        <x:v>1709.9440711400998</x:v>
      </x:c>
      <x:c r="M18" s="31" t="n">
        <x:v>1473.8538050035997</x:v>
      </x:c>
      <x:c r="N18" s="24" t="str">
        <x:v>conger conger</x:v>
      </x:c>
      <x:c r="O18" s="32" t="n">
        <x:v>4.31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Conger conger</x:v>
      </x:c>
      <x:c r="T18" s="32" t="n">
        <x:f>IF(O18="","",(1/'Metadata'!$B$5)^(O18-1))</x:f>
        <x:v>2041.7379446695275</x:v>
      </x:c>
      <x:c r="U18" s="31" t="n">
        <x:f>IF(T18="","",I18*T18)</x:f>
        <x:v>6500480.931880845</x:v>
      </x:c>
    </x:row>
    <x:row r="19" ht="18" customHeight="1">
      <x:c r="A19" s="24" t="str">
        <x:v>LME_025</x:v>
      </x:c>
      <x:c r="B19" s="24" t="str">
        <x:v>Iberian Coastal</x:v>
      </x:c>
      <x:c r="C19" s="24" t="str">
        <x:v>LME</x:v>
      </x:c>
      <x:c r="D19" s="30" t="n">
        <x:v>2019</x:v>
      </x:c>
      <x:c r="E19" s="24" t="str">
        <x:v>Prionace glauca</x:v>
      </x:c>
      <x:c r="F19" s="24" t="str">
        <x:v>Blue shark</x:v>
      </x:c>
      <x:c r="G19" s="24" t="str">
        <x:v>Large sharks (&gt;=90 cm)</x:v>
      </x:c>
      <x:c r="H19" s="24" t="str">
        <x:v>Sharks &amp; rays</x:v>
      </x:c>
      <x:c r="I19" s="31" t="n">
        <x:v>3178.2825734742996</x:v>
      </x:c>
      <x:c r="J19" s="31" t="n">
        <x:v>3176.1888233885998</x:v>
      </x:c>
      <x:c r="K19" s="31" t="n">
        <x:v>2.0937500857</x:v>
      </x:c>
      <x:c r="L19" s="31" t="n">
        <x:v>2936.311302039</x:v>
      </x:c>
      <x:c r="M19" s="31" t="n">
        <x:v>241.9712714353</x:v>
      </x:c>
      <x:c r="N19" s="24" t="str">
        <x:v>prionace glauca</x:v>
      </x:c>
      <x:c r="O19" s="32" t="n">
        <x:v>4.35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Prionace glauca</x:v>
      </x:c>
      <x:c r="T19" s="32" t="n">
        <x:f>IF(O19="","",(1/'Metadata'!$B$5)^(O19-1))</x:f>
        <x:v>2238.7211385683377</x:v>
      </x:c>
      <x:c r="U19" s="31" t="n">
        <x:f>IF(T19="","",I19*T19)</x:f>
        <x:v>7115288.38158029</x:v>
      </x:c>
    </x:row>
    <x:row r="20" ht="18" customHeight="1">
      <x:c r="A20" s="24" t="str">
        <x:v>LME_025</x:v>
      </x:c>
      <x:c r="B20" s="24" t="str">
        <x:v>Iberian Coastal</x:v>
      </x:c>
      <x:c r="C20" s="24" t="str">
        <x:v>LME</x:v>
      </x:c>
      <x:c r="D20" s="30" t="n">
        <x:v>2019</x:v>
      </x:c>
      <x:c r="E20" s="24" t="str">
        <x:v>Lophius</x:v>
      </x:c>
      <x:c r="F20" s="24" t="str">
        <x:v>Frogfishes</x:v>
      </x:c>
      <x:c r="G20" s="24" t="str">
        <x:v>Medium bathydemersals (30 - 89 cm)</x:v>
      </x:c>
      <x:c r="H20" s="24" t="str">
        <x:v>Other fishes &amp; inverts</x:v>
      </x:c>
      <x:c r="I20" s="31" t="n">
        <x:v>2785.3450439064</x:v>
      </x:c>
      <x:c r="J20" s="31" t="n">
        <x:v>2326.241749553</x:v>
      </x:c>
      <x:c r="K20" s="31" t="n">
        <x:v>459.10329435340003</x:v>
      </x:c>
      <x:c r="L20" s="31" t="n">
        <x:v>1620.1776707994</x:v>
      </x:c>
      <x:c r="M20" s="31" t="n">
        <x:v>1165.1673731070002</x:v>
      </x:c>
      <x:c r="N20" s="24" t="str">
        <x:v>lophius</x:v>
      </x:c>
      <x:c r="O20" s="32" t="n">
        <x:v>4.46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Lophius</x:v>
      </x:c>
      <x:c r="T20" s="32" t="n">
        <x:f>IF(O20="","",(1/'Metadata'!$B$5)^(O20-1))</x:f>
        <x:v>2884.031503126606</x:v>
      </x:c>
      <x:c r="U20" s="31" t="n">
        <x:f>IF(T20="","",I20*T20)</x:f>
        <x:v>8033022.853703617</x:v>
      </x:c>
    </x:row>
    <x:row r="21" ht="18" customHeight="1">
      <x:c r="A21" s="24" t="str">
        <x:v>LME_025</x:v>
      </x:c>
      <x:c r="B21" s="24" t="str">
        <x:v>Iberian Coastal</x:v>
      </x:c>
      <x:c r="C21" s="24" t="str">
        <x:v>LME</x:v>
      </x:c>
      <x:c r="D21" s="30" t="n">
        <x:v>2019</x:v>
      </x:c>
      <x:c r="E21" s="24" t="str">
        <x:v>Thunnus thynnus</x:v>
      </x:c>
      <x:c r="F21" s="24" t="str">
        <x:v>Atlantic bluefin tuna</x:v>
      </x:c>
      <x:c r="G21" s="24" t="str">
        <x:v>Large pelagics (&gt;=90 cm)</x:v>
      </x:c>
      <x:c r="H21" s="24" t="str">
        <x:v>Tuna &amp; billfishes</x:v>
      </x:c>
      <x:c r="I21" s="31" t="n">
        <x:v>2779.3307200645</x:v>
      </x:c>
      <x:c r="J21" s="31" t="n">
        <x:v>2779.3307200645</x:v>
      </x:c>
      <x:c r="K21" s="31" t="n">
        <x:v>0</x:v>
      </x:c>
      <x:c r="L21" s="31" t="n">
        <x:v>2185.7482412949</x:v>
      </x:c>
      <x:c r="M21" s="31" t="n">
        <x:v>593.5824787696</x:v>
      </x:c>
      <x:c r="N21" s="24" t="str">
        <x:v>thunnus thynnus</x:v>
      </x:c>
      <x:c r="O21" s="32" t="n">
        <x:v>4.45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Thunnus thynnus</x:v>
      </x:c>
      <x:c r="T21" s="32" t="n">
        <x:f>IF(O21="","",(1/'Metadata'!$B$5)^(O21-1))</x:f>
        <x:v>2818.382931264455</x:v>
      </x:c>
      <x:c r="U21" s="31" t="n">
        <x:f>IF(T21="","",I21*T21)</x:f>
        <x:v>7833218.261768733</x:v>
      </x:c>
    </x:row>
    <x:row r="22" ht="18" customHeight="1">
      <x:c r="A22" s="24" t="str">
        <x:v>LME_025</x:v>
      </x:c>
      <x:c r="B22" s="24" t="str">
        <x:v>Iberian Coastal</x:v>
      </x:c>
      <x:c r="C22" s="24" t="str">
        <x:v>LME</x:v>
      </x:c>
      <x:c r="D22" s="30" t="n">
        <x:v>2019</x:v>
      </x:c>
      <x:c r="E22" s="24" t="str">
        <x:v>Trisopterus luscus</x:v>
      </x:c>
      <x:c r="F22" s="24" t="str">
        <x:v>Pouting</x:v>
      </x:c>
      <x:c r="G22" s="24" t="str">
        <x:v>Medium benthopelagics (30 - 89 cm)</x:v>
      </x:c>
      <x:c r="H22" s="24" t="str">
        <x:v>Cod-likes</x:v>
      </x:c>
      <x:c r="I22" s="31" t="n">
        <x:v>2649.7454266167</x:v>
      </x:c>
      <x:c r="J22" s="31" t="n">
        <x:v>2441.4647995453</x:v>
      </x:c>
      <x:c r="K22" s="31" t="n">
        <x:v>208.2806270714</x:v>
      </x:c>
      <x:c r="L22" s="31" t="n">
        <x:v>2420.4668416211</x:v>
      </x:c>
      <x:c r="M22" s="31" t="n">
        <x:v>229.2785849956</x:v>
      </x:c>
      <x:c r="N22" s="24" t="str">
        <x:v>trisopterus luscus</x:v>
      </x:c>
      <x:c r="O22" s="32" t="n">
        <x:v>3.73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Trisopterus luscus</x:v>
      </x:c>
      <x:c r="T22" s="32" t="n">
        <x:f>IF(O22="","",(1/'Metadata'!$B$5)^(O22-1))</x:f>
        <x:v>537.0317963702527</x:v>
      </x:c>
      <x:c r="U22" s="31" t="n">
        <x:f>IF(T22="","",I22*T22)</x:f>
        <x:v>1422997.546379828</x:v>
      </x:c>
    </x:row>
    <x:row r="23" ht="18" customHeight="1">
      <x:c r="A23" s="24" t="str">
        <x:v>LME_025</x:v>
      </x:c>
      <x:c r="B23" s="24" t="str">
        <x:v>Iberian Coastal</x:v>
      </x:c>
      <x:c r="C23" s="24" t="str">
        <x:v>LME</x:v>
      </x:c>
      <x:c r="D23" s="30" t="n">
        <x:v>2019</x:v>
      </x:c>
      <x:c r="E23" s="24" t="str">
        <x:v>Lepidorhombus</x:v>
      </x:c>
      <x:c r="F23" s="24" t="str">
        <x:v>Megrims</x:v>
      </x:c>
      <x:c r="G23" s="24" t="str">
        <x:v>Small to medium flatfishes (&lt;90 cm)</x:v>
      </x:c>
      <x:c r="H23" s="24" t="str">
        <x:v>Flatfishes</x:v>
      </x:c>
      <x:c r="I23" s="31" t="n">
        <x:v>2432.0594828082</x:v>
      </x:c>
      <x:c r="J23" s="31" t="n">
        <x:v>2418.1749488211</x:v>
      </x:c>
      <x:c r="K23" s="31" t="n">
        <x:v>13.8845339871</x:v>
      </x:c>
      <x:c r="L23" s="31" t="n">
        <x:v>2237.6184268506</x:v>
      </x:c>
      <x:c r="M23" s="31" t="n">
        <x:v>194.4410559576</x:v>
      </x:c>
      <x:c r="N23" s="24" t="str">
        <x:v>lepidorhombus</x:v>
      </x:c>
      <x:c r="O23" s="32" t="n">
        <x:v>3.96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Lepidorhombus</x:v>
      </x:c>
      <x:c r="T23" s="32" t="n">
        <x:f>IF(O23="","",(1/'Metadata'!$B$5)^(O23-1))</x:f>
        <x:v>912.0108393559096</x:v>
      </x:c>
      <x:c r="U23" s="31" t="n">
        <x:f>IF(T23="","",I23*T23)</x:f>
        <x:v>2218064.610279406</x:v>
      </x:c>
    </x:row>
    <x:row r="24" ht="18" customHeight="1">
      <x:c r="A24" s="24" t="str">
        <x:v>LME_025</x:v>
      </x:c>
      <x:c r="B24" s="24" t="str">
        <x:v>Iberian Coastal</x:v>
      </x:c>
      <x:c r="C24" s="24" t="str">
        <x:v>LME</x:v>
      </x:c>
      <x:c r="D24" s="30" t="n">
        <x:v>2019</x:v>
      </x:c>
      <x:c r="E24" s="24" t="str">
        <x:v>Aphanopus carbo</x:v>
      </x:c>
      <x:c r="F24" s="24" t="str">
        <x:v>Black scabbardfish</x:v>
      </x:c>
      <x:c r="G24" s="24" t="str">
        <x:v>Large benthopelagics (&gt;=90 cm)</x:v>
      </x:c>
      <x:c r="H24" s="24" t="str">
        <x:v>Perch-likes</x:v>
      </x:c>
      <x:c r="I24" s="31" t="n">
        <x:v>2410.1932448309</x:v>
      </x:c>
      <x:c r="J24" s="31" t="n">
        <x:v>2410.133362437</x:v>
      </x:c>
      <x:c r="K24" s="31" t="n">
        <x:v>0.0598823939</x:v>
      </x:c>
      <x:c r="L24" s="31" t="n">
        <x:v>2410.133362437</x:v>
      </x:c>
      <x:c r="M24" s="31" t="n">
        <x:v>0.0598823939</x:v>
      </x:c>
      <x:c r="N24" s="24" t="str">
        <x:v>aphanopus carbo</x:v>
      </x:c>
      <x:c r="O24" s="32" t="n">
        <x:v>4.48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Aphanopus carbo</x:v>
      </x:c>
      <x:c r="T24" s="32" t="n">
        <x:f>IF(O24="","",(1/'Metadata'!$B$5)^(O24-1))</x:f>
        <x:v>3019.951720402019</x:v>
      </x:c>
      <x:c r="U24" s="31" t="n">
        <x:f>IF(T24="","",I24*T24)</x:f>
        <x:v>7278667.236228401</x:v>
      </x:c>
    </x:row>
    <x:row r="25" ht="18" customHeight="1">
      <x:c r="A25" s="24" t="str">
        <x:v>LME_025</x:v>
      </x:c>
      <x:c r="B25" s="24" t="str">
        <x:v>Iberian Coastal</x:v>
      </x:c>
      <x:c r="C25" s="24" t="str">
        <x:v>LME</x:v>
      </x:c>
      <x:c r="D25" s="30" t="n">
        <x:v>2019</x:v>
      </x:c>
      <x:c r="E25" s="24" t="str">
        <x:v>Sepia officinalis</x:v>
      </x:c>
      <x:c r="F25" s="24" t="str">
        <x:v>Common cuttlefish</x:v>
      </x:c>
      <x:c r="G25" s="24" t="str">
        <x:v>Cephalopods</x:v>
      </x:c>
      <x:c r="H25" s="24" t="str">
        <x:v>Other fishes &amp; inverts</x:v>
      </x:c>
      <x:c r="I25" s="31" t="n">
        <x:v>2405.607997797</x:v>
      </x:c>
      <x:c r="J25" s="31" t="n">
        <x:v>2121.6030187983</x:v>
      </x:c>
      <x:c r="K25" s="31" t="n">
        <x:v>284.0049789987</x:v>
      </x:c>
      <x:c r="L25" s="31" t="n">
        <x:v>1943.3098954243999</x:v>
      </x:c>
      <x:c r="M25" s="31" t="n">
        <x:v>462.2981023726</x:v>
      </x:c>
      <x:c r="N25" s="24" t="str">
        <x:v>sepia officinalis</x:v>
      </x:c>
      <x:c r="O25" s="32" t="n">
        <x:v>4.27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Sepia officinalis</x:v>
      </x:c>
      <x:c r="T25" s="32" t="n">
        <x:f>IF(O25="","",(1/'Metadata'!$B$5)^(O25-1))</x:f>
        <x:v>1862.0871366628655</x:v>
      </x:c>
      <x:c r="U25" s="31" t="n">
        <x:f>IF(T25="","",I25*T25)</x:f>
        <x:v>4479451.708551104</x:v>
      </x:c>
    </x:row>
    <x:row r="26" ht="18" customHeight="1">
      <x:c r="A26" s="24" t="str">
        <x:v>LME_025</x:v>
      </x:c>
      <x:c r="B26" s="24" t="str">
        <x:v>Iberian Coastal</x:v>
      </x:c>
      <x:c r="C26" s="24" t="str">
        <x:v>LME</x:v>
      </x:c>
      <x:c r="D26" s="30" t="n">
        <x:v>2019</x:v>
      </x:c>
      <x:c r="E26" s="24" t="str">
        <x:v>Cerastoderma edule</x:v>
      </x:c>
      <x:c r="F26" s="24" t="str">
        <x:v>Common cockle</x:v>
      </x:c>
      <x:c r="G26" s="24" t="str">
        <x:v>Other demersal invertebrates</x:v>
      </x:c>
      <x:c r="H26" s="24" t="str">
        <x:v>Molluscs</x:v>
      </x:c>
      <x:c r="I26" s="31" t="n">
        <x:v>2385.8737513979</x:v>
      </x:c>
      <x:c r="J26" s="31" t="n">
        <x:v>2385.8737513979</x:v>
      </x:c>
      <x:c r="K26" s="31" t="n">
        <x:v>0</x:v>
      </x:c>
      <x:c r="L26" s="31" t="n">
        <x:v>2362.9517358380003</x:v>
      </x:c>
      <x:c r="M26" s="31" t="n">
        <x:v>22.9220155599</x:v>
      </x:c>
      <x:c r="N26" s="24" t="str">
        <x:v>cerastoderma edule</x:v>
      </x:c>
      <x:c r="O26" s="32" t="n">
        <x:v>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Cerastoderma edule</x:v>
      </x:c>
      <x:c r="T26" s="32" t="n">
        <x:f>IF(O26="","",(1/'Metadata'!$B$5)^(O26-1))</x:f>
        <x:v>10</x:v>
      </x:c>
      <x:c r="U26" s="31" t="n">
        <x:f>IF(T26="","",I26*T26)</x:f>
        <x:v>23858.737513979</x:v>
      </x:c>
    </x:row>
    <x:row r="27" ht="18" customHeight="1">
      <x:c r="A27" s="24" t="str">
        <x:v>LME_025</x:v>
      </x:c>
      <x:c r="B27" s="24" t="str">
        <x:v>Iberian Coastal</x:v>
      </x:c>
      <x:c r="C27" s="24" t="str">
        <x:v>LME</x:v>
      </x:c>
      <x:c r="D27" s="30" t="n">
        <x:v>2019</x:v>
      </x:c>
      <x:c r="E27" s="24" t="str">
        <x:v>Marine finfishes not identified</x:v>
      </x:c>
      <x:c r="F27" s="24" t="str">
        <x:v>Finfishes</x:v>
      </x:c>
      <x:c r="G27" s="24" t="str">
        <x:v>Medium demersals (30 - 89 cm)</x:v>
      </x:c>
      <x:c r="H27" s="24" t="str">
        <x:v>Other fishes &amp; inverts</x:v>
      </x:c>
      <x:c r="I27" s="31" t="n">
        <x:v>2229.3825244684</x:v>
      </x:c>
      <x:c r="J27" s="31" t="n">
        <x:v>1575.7386479662</x:v>
      </x:c>
      <x:c r="K27" s="31" t="n">
        <x:v>653.6438765022</x:v>
      </x:c>
      <x:c r="L27" s="31" t="n">
        <x:v>1575.7386479662</x:v>
      </x:c>
      <x:c r="M27" s="31" t="n">
        <x:v>653.6438765022</x:v>
      </x:c>
      <x:c r="N27" s="24" t="str">
        <x:v>marine finfishes not identified</x:v>
      </x:c>
      <x:c r="O27" s="32" t="n">
        <x:v>3.23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Marine finfishes not identified</x:v>
      </x:c>
      <x:c r="T27" s="32" t="n">
        <x:f>IF(O27="","",(1/'Metadata'!$B$5)^(O27-1))</x:f>
        <x:v>169.82436524617444</x:v>
      </x:c>
      <x:c r="U27" s="31" t="n">
        <x:f>IF(T27="","",I27*T27)</x:f>
        <x:v>378603.47210876</x:v>
      </x:c>
    </x:row>
    <x:row r="28" ht="18" customHeight="1">
      <x:c r="A28" s="24" t="str">
        <x:v>LME_025</x:v>
      </x:c>
      <x:c r="B28" s="24" t="str">
        <x:v>Iberian Coastal</x:v>
      </x:c>
      <x:c r="C28" s="24" t="str">
        <x:v>LME</x:v>
      </x:c>
      <x:c r="D28" s="30" t="n">
        <x:v>2019</x:v>
      </x:c>
      <x:c r="E28" s="24" t="str">
        <x:v>Perciformes</x:v>
      </x:c>
      <x:c r="F28" s="24" t="str">
        <x:v>Perch-likes</x:v>
      </x:c>
      <x:c r="G28" s="24" t="str">
        <x:v>Medium demersals (30 - 89 cm)</x:v>
      </x:c>
      <x:c r="H28" s="24" t="str">
        <x:v>Perch-likes</x:v>
      </x:c>
      <x:c r="I28" s="31" t="n">
        <x:v>2224.3022182157</x:v>
      </x:c>
      <x:c r="J28" s="31" t="n">
        <x:v>2222.4091942788</x:v>
      </x:c>
      <x:c r="K28" s="31" t="n">
        <x:v>1.8930239369</x:v>
      </x:c>
      <x:c r="L28" s="31" t="n">
        <x:v>2221.7933448194</x:v>
      </x:c>
      <x:c r="M28" s="31" t="n">
        <x:v>2.5088733963</x:v>
      </x:c>
      <x:c r="N28" s="24" t="str">
        <x:v>perciformes</x:v>
      </x:c>
      <x:c r="O28" s="32" t="n">
        <x:v>3.53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Perciformes</x:v>
      </x:c>
      <x:c r="T28" s="32" t="n">
        <x:f>IF(O28="","",(1/'Metadata'!$B$5)^(O28-1))</x:f>
        <x:v>338.84415613920237</x:v>
      </x:c>
      <x:c r="U28" s="31" t="n">
        <x:f>IF(T28="","",I28*T28)</x:f>
        <x:v>753691.8081298548</x:v>
      </x:c>
    </x:row>
    <x:row r="29" ht="18" customHeight="1">
      <x:c r="A29" s="24" t="str">
        <x:v>LME_025</x:v>
      </x:c>
      <x:c r="B29" s="24" t="str">
        <x:v>Iberian Coastal</x:v>
      </x:c>
      <x:c r="C29" s="24" t="str">
        <x:v>LME</x:v>
      </x:c>
      <x:c r="D29" s="30" t="n">
        <x:v>2019</x:v>
      </x:c>
      <x:c r="E29" s="24" t="str">
        <x:v>Bivalvia</x:v>
      </x:c>
      <x:c r="F29" s="24" t="str">
        <x:v>Clams</x:v>
      </x:c>
      <x:c r="G29" s="24" t="str">
        <x:v>Other demersal invertebrates</x:v>
      </x:c>
      <x:c r="H29" s="24" t="str">
        <x:v>Molluscs</x:v>
      </x:c>
      <x:c r="I29" s="31" t="n">
        <x:v>2079.5109404731998</x:v>
      </x:c>
      <x:c r="J29" s="31" t="n">
        <x:v>2062.4322505702</x:v>
      </x:c>
      <x:c r="K29" s="31" t="n">
        <x:v>17.078689903</x:v>
      </x:c>
      <x:c r="L29" s="31" t="n">
        <x:v>2060.5812235561</x:v>
      </x:c>
      <x:c r="M29" s="31" t="n">
        <x:v>18.929716917100002</x:v>
      </x:c>
      <x:c r="N29" s="24" t="str">
        <x:v>bivalvia</x:v>
      </x:c>
      <x:c r="O29" s="32" t="n">
        <x:v>2.23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Bivalvia</x:v>
      </x:c>
      <x:c r="T29" s="32" t="n">
        <x:f>IF(O29="","",(1/'Metadata'!$B$5)^(O29-1))</x:f>
        <x:v>16.982436524617444</x:v>
      </x:c>
      <x:c r="U29" s="31" t="n">
        <x:f>IF(T29="","",I29*T29)</x:f>
        <x:v>35315.16254883364</x:v>
      </x:c>
    </x:row>
    <x:row r="30" ht="18" customHeight="1">
      <x:c r="A30" s="24" t="str">
        <x:v>LME_025</x:v>
      </x:c>
      <x:c r="B30" s="24" t="str">
        <x:v>Iberian Coastal</x:v>
      </x:c>
      <x:c r="C30" s="24" t="str">
        <x:v>LME</x:v>
      </x:c>
      <x:c r="D30" s="30" t="n">
        <x:v>2019</x:v>
      </x:c>
      <x:c r="E30" s="24" t="str">
        <x:v>Miscellaneous marine crustaceans</x:v>
      </x:c>
      <x:c r="F30" s="24" t="str">
        <x:v>Marine crabs, shrimps, lobsters nei</x:v>
      </x:c>
      <x:c r="G30" s="24" t="str">
        <x:v>Shrimps</x:v>
      </x:c>
      <x:c r="H30" s="24" t="str">
        <x:v>Crustaceans</x:v>
      </x:c>
      <x:c r="I30" s="31" t="n">
        <x:v>1791.0563384677</x:v>
      </x:c>
      <x:c r="J30" s="31" t="n">
        <x:v>1749.912284903</x:v>
      </x:c>
      <x:c r="K30" s="31" t="n">
        <x:v>41.1440535647</x:v>
      </x:c>
      <x:c r="L30" s="31" t="n">
        <x:v>1717.1065854366</x:v>
      </x:c>
      <x:c r="M30" s="31" t="n">
        <x:v>73.9497530311</x:v>
      </x:c>
      <x:c r="N30" s="24" t="str">
        <x:v>miscellaneous marine crustaceans</x:v>
      </x:c>
      <x:c r="O30" s="32" t="n">
        <x:v>2.7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Miscellaneous marine crustaceans</x:v>
      </x:c>
      <x:c r="T30" s="32" t="n">
        <x:f>IF(O30="","",(1/'Metadata'!$B$5)^(O30-1))</x:f>
        <x:v>50.11872336272725</x:v>
      </x:c>
      <x:c r="U30" s="31" t="n">
        <x:f>IF(T30="","",I30*T30)</x:f>
        <x:v>89765.45715472185</x:v>
      </x:c>
    </x:row>
    <x:row r="31" ht="18" customHeight="1">
      <x:c r="A31" s="24" t="str">
        <x:v>LME_025</x:v>
      </x:c>
      <x:c r="B31" s="24" t="str">
        <x:v>Iberian Coastal</x:v>
      </x:c>
      <x:c r="C31" s="24" t="str">
        <x:v>LME</x:v>
      </x:c>
      <x:c r="D31" s="30" t="n">
        <x:v>2019</x:v>
      </x:c>
      <x:c r="E31" s="24" t="str">
        <x:v>Parapenaeus longirostris</x:v>
      </x:c>
      <x:c r="F31" s="24" t="str">
        <x:v>Deepwater rose shrimp</x:v>
      </x:c>
      <x:c r="G31" s="24" t="str">
        <x:v>Shrimps</x:v>
      </x:c>
      <x:c r="H31" s="24" t="str">
        <x:v>Crustaceans</x:v>
      </x:c>
      <x:c r="I31" s="31" t="n">
        <x:v>1778.1073755273999</x:v>
      </x:c>
      <x:c r="J31" s="31" t="n">
        <x:v>1423.7838894090999</x:v>
      </x:c>
      <x:c r="K31" s="31" t="n">
        <x:v>354.3234861183</x:v>
      </x:c>
      <x:c r="L31" s="31" t="n">
        <x:v>1295.8791582472</x:v>
      </x:c>
      <x:c r="M31" s="31" t="n">
        <x:v>482.2282172802</x:v>
      </x:c>
      <x:c r="N31" s="24" t="str">
        <x:v>parapenaeus longirostris</x:v>
      </x:c>
      <x:c r="O31" s="32" t="n">
        <x:v>3.3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Parapenaeus longirostris</x:v>
      </x:c>
      <x:c r="T31" s="32" t="n">
        <x:f>IF(O31="","",(1/'Metadata'!$B$5)^(O31-1))</x:f>
        <x:v>199.52623149688787</x:v>
      </x:c>
      <x:c r="U31" s="31" t="n">
        <x:f>IF(T31="","",I31*T31)</x:f>
        <x:v>354779.0638358037</x:v>
      </x:c>
    </x:row>
    <x:row r="32" ht="18" customHeight="1">
      <x:c r="A32" s="24" t="str">
        <x:v>LME_025</x:v>
      </x:c>
      <x:c r="B32" s="24" t="str">
        <x:v>Iberian Coastal</x:v>
      </x:c>
      <x:c r="C32" s="24" t="str">
        <x:v>LME</x:v>
      </x:c>
      <x:c r="D32" s="30" t="n">
        <x:v>2019</x:v>
      </x:c>
      <x:c r="E32" s="24" t="str">
        <x:v>Dicentrarchus labrax</x:v>
      </x:c>
      <x:c r="F32" s="24" t="str">
        <x:v>European seabass</x:v>
      </x:c>
      <x:c r="G32" s="24" t="str">
        <x:v>Large demersals (&gt;=90 cm)</x:v>
      </x:c>
      <x:c r="H32" s="24" t="str">
        <x:v>Perch-likes</x:v>
      </x:c>
      <x:c r="I32" s="31" t="n">
        <x:v>1658.4016027834</x:v>
      </x:c>
      <x:c r="J32" s="31" t="n">
        <x:v>1656.9844888132</x:v>
      </x:c>
      <x:c r="K32" s="31" t="n">
        <x:v>1.4171139702000002</x:v>
      </x:c>
      <x:c r="L32" s="31" t="n">
        <x:v>751.7772967253</x:v>
      </x:c>
      <x:c r="M32" s="31" t="n">
        <x:v>906.6243060581</x:v>
      </x:c>
      <x:c r="N32" s="24" t="str">
        <x:v>dicentrarchus labrax</x:v>
      </x:c>
      <x:c r="O32" s="32" t="n">
        <x:v>3.79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Dicentrarchus labrax</x:v>
      </x:c>
      <x:c r="T32" s="32" t="n">
        <x:f>IF(O32="","",(1/'Metadata'!$B$5)^(O32-1))</x:f>
        <x:v>616.5950018614822</x:v>
      </x:c>
      <x:c r="U32" s="31" t="n">
        <x:f>IF(T32="","",I32*T32)</x:f>
        <x:v>1022562.1393553155</x:v>
      </x:c>
    </x:row>
    <x:row r="33" ht="18" customHeight="1">
      <x:c r="A33" s="24" t="str">
        <x:v>LME_025</x:v>
      </x:c>
      <x:c r="B33" s="24" t="str">
        <x:v>Iberian Coastal</x:v>
      </x:c>
      <x:c r="C33" s="24" t="str">
        <x:v>LME</x:v>
      </x:c>
      <x:c r="D33" s="30" t="n">
        <x:v>2019</x:v>
      </x:c>
      <x:c r="E33" s="24" t="str">
        <x:v>Chelon auratus</x:v>
      </x:c>
      <x:c r="F33" s="24" t="str">
        <x:v>Golden grey mullet</x:v>
      </x:c>
      <x:c r="G33" s="24" t="str">
        <x:v>Medium pelagics (30 - 89 cm)</x:v>
      </x:c>
      <x:c r="H33" s="24" t="str">
        <x:v>Other fishes &amp; inverts</x:v>
      </x:c>
      <x:c r="I33" s="31" t="n">
        <x:v>1582.5596115584</x:v>
      </x:c>
      <x:c r="J33" s="31" t="n">
        <x:v>2.65690577</x:v>
      </x:c>
      <x:c r="K33" s="31" t="n">
        <x:v>1579.9027057884</x:v>
      </x:c>
      <x:c r="L33" s="31" t="n">
        <x:v>2.3683302166</x:v>
      </x:c>
      <x:c r="M33" s="31" t="n">
        <x:v>1580.1912813418</x:v>
      </x:c>
      <x:c r="N33" s="24" t="str">
        <x:v>chelon auratus</x:v>
      </x:c>
      <x:c r="O33" s="32" t="n">
        <x:v>2.8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Chelon auratus</x:v>
      </x:c>
      <x:c r="T33" s="32" t="n">
        <x:f>IF(O33="","",(1/'Metadata'!$B$5)^(O33-1))</x:f>
        <x:v>63.0957344480193</x:v>
      </x:c>
      <x:c r="U33" s="31" t="n">
        <x:f>IF(T33="","",I33*T33)</x:f>
        <x:v>99852.76099904938</x:v>
      </x:c>
    </x:row>
    <x:row r="34" ht="18" customHeight="1">
      <x:c r="A34" s="24" t="str">
        <x:v>LME_025</x:v>
      </x:c>
      <x:c r="B34" s="24" t="str">
        <x:v>Iberian Coastal</x:v>
      </x:c>
      <x:c r="C34" s="24" t="str">
        <x:v>LME</x:v>
      </x:c>
      <x:c r="D34" s="30" t="n">
        <x:v>2019</x:v>
      </x:c>
      <x:c r="E34" s="24" t="str">
        <x:v>Triglidae</x:v>
      </x:c>
      <x:c r="F34" s="24" t="str">
        <x:v>Searobins, gurnards</x:v>
      </x:c>
      <x:c r="G34" s="24" t="str">
        <x:v>Medium demersals (30 - 89 cm)</x:v>
      </x:c>
      <x:c r="H34" s="24" t="str">
        <x:v>Scorpionfishes</x:v>
      </x:c>
      <x:c r="I34" s="31" t="n">
        <x:v>1540.5726748714999</x:v>
      </x:c>
      <x:c r="J34" s="31" t="n">
        <x:v>384.02631419500005</x:v>
      </x:c>
      <x:c r="K34" s="31" t="n">
        <x:v>1156.5463606765</x:v>
      </x:c>
      <x:c r="L34" s="31" t="n">
        <x:v>368.1193307399</x:v>
      </x:c>
      <x:c r="M34" s="31" t="n">
        <x:v>1172.4533441316</x:v>
      </x:c>
      <x:c r="N34" s="24" t="str">
        <x:v>triglidae</x:v>
      </x:c>
      <x:c r="O34" s="32" t="n">
        <x:v>3.74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Triglidae</x:v>
      </x:c>
      <x:c r="T34" s="32" t="n">
        <x:f>IF(O34="","",(1/'Metadata'!$B$5)^(O34-1))</x:f>
        <x:v>549.5408738576248</x:v>
      </x:c>
      <x:c r="U34" s="31" t="n">
        <x:f>IF(T34="","",I34*T34)</x:f>
        <x:v>846607.6539900625</x:v>
      </x:c>
    </x:row>
    <x:row r="35" ht="18" customHeight="1">
      <x:c r="A35" s="24" t="str">
        <x:v>LME_025</x:v>
      </x:c>
      <x:c r="B35" s="24" t="str">
        <x:v>Iberian Coastal</x:v>
      </x:c>
      <x:c r="C35" s="24" t="str">
        <x:v>LME</x:v>
      </x:c>
      <x:c r="D35" s="30" t="n">
        <x:v>2019</x:v>
      </x:c>
      <x:c r="E35" s="24" t="str">
        <x:v>Chondrichthyes</x:v>
      </x:c>
      <x:c r="F35" s="24" t="str">
        <x:v>Sharks, rays, chimaeras</x:v>
      </x:c>
      <x:c r="G35" s="24" t="str">
        <x:v>Large sharks (&gt;=90 cm)</x:v>
      </x:c>
      <x:c r="H35" s="24" t="str">
        <x:v>Sharks &amp; rays</x:v>
      </x:c>
      <x:c r="I35" s="31" t="n">
        <x:v>1385.1827013035</x:v>
      </x:c>
      <x:c r="J35" s="31" t="n">
        <x:v>466.7390800048</x:v>
      </x:c>
      <x:c r="K35" s="31" t="n">
        <x:v>918.4436212987</x:v>
      </x:c>
      <x:c r="L35" s="31" t="n">
        <x:v>224.0732350863</x:v>
      </x:c>
      <x:c r="M35" s="31" t="n">
        <x:v>1161.1094662172</x:v>
      </x:c>
      <x:c r="N35" s="24" t="str">
        <x:v>chondrichthyes</x:v>
      </x:c>
      <x:c r="O35" s="32" t="n">
        <x:v>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Chondrichthyes</x:v>
      </x:c>
      <x:c r="T35" s="32" t="n">
        <x:f>IF(O35="","",(1/'Metadata'!$B$5)^(O35-1))</x:f>
        <x:v>1000</x:v>
      </x:c>
      <x:c r="U35" s="31" t="n">
        <x:f>IF(T35="","",I35*T35)</x:f>
        <x:v>1385182.7013035</x:v>
      </x:c>
    </x:row>
    <x:row r="36" ht="18" customHeight="1">
      <x:c r="A36" s="24" t="str">
        <x:v>LME_025</x:v>
      </x:c>
      <x:c r="B36" s="24" t="str">
        <x:v>Iberian Coastal</x:v>
      </x:c>
      <x:c r="C36" s="24" t="str">
        <x:v>LME</x:v>
      </x:c>
      <x:c r="D36" s="30" t="n">
        <x:v>2019</x:v>
      </x:c>
      <x:c r="E36" s="24" t="str">
        <x:v>Capros aper</x:v>
      </x:c>
      <x:c r="F36" s="24" t="str">
        <x:v>Boarfish</x:v>
      </x:c>
      <x:c r="G36" s="24" t="str">
        <x:v>Small demersals (&lt;30 cm)</x:v>
      </x:c>
      <x:c r="H36" s="24" t="str">
        <x:v>Perch-likes</x:v>
      </x:c>
      <x:c r="I36" s="31" t="n">
        <x:v>1363.8219811914</x:v>
      </x:c>
      <x:c r="J36" s="31" t="n">
        <x:v>0.02078017</x:v>
      </x:c>
      <x:c r="K36" s="31" t="n">
        <x:v>1363.8012010214</x:v>
      </x:c>
      <x:c r="L36" s="31" t="n">
        <x:v>0.02078017</x:v>
      </x:c>
      <x:c r="M36" s="31" t="n">
        <x:v>1363.8012010214</x:v>
      </x:c>
      <x:c r="N36" s="24" t="str">
        <x:v>capros aper</x:v>
      </x:c>
      <x:c r="O36" s="32" t="n">
        <x:v>3.14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Capros aper</x:v>
      </x:c>
      <x:c r="T36" s="32" t="n">
        <x:f>IF(O36="","",(1/'Metadata'!$B$5)^(O36-1))</x:f>
        <x:v>138.03842646028852</x:v>
      </x:c>
      <x:c r="U36" s="31" t="n">
        <x:f>IF(T36="","",I36*T36)</x:f>
        <x:v>188259.84025561408</x:v>
      </x:c>
    </x:row>
    <x:row r="37" ht="18" customHeight="1">
      <x:c r="A37" s="24" t="str">
        <x:v>LME_025</x:v>
      </x:c>
      <x:c r="B37" s="24" t="str">
        <x:v>Iberian Coastal</x:v>
      </x:c>
      <x:c r="C37" s="24" t="str">
        <x:v>LME</x:v>
      </x:c>
      <x:c r="D37" s="30" t="n">
        <x:v>2019</x:v>
      </x:c>
      <x:c r="E37" s="24" t="str">
        <x:v>Belone belone</x:v>
      </x:c>
      <x:c r="F37" s="24" t="str">
        <x:v>Garfish</x:v>
      </x:c>
      <x:c r="G37" s="24" t="str">
        <x:v>Medium pelagics (30 - 89 cm)</x:v>
      </x:c>
      <x:c r="H37" s="24" t="str">
        <x:v>Other fishes &amp; inverts</x:v>
      </x:c>
      <x:c r="I37" s="31" t="n">
        <x:v>1341.9583880464</x:v>
      </x:c>
      <x:c r="J37" s="31" t="n">
        <x:v>66.6116016909</x:v>
      </x:c>
      <x:c r="K37" s="31" t="n">
        <x:v>1275.3467863555</x:v>
      </x:c>
      <x:c r="L37" s="31" t="n">
        <x:v>42.5429148955</x:v>
      </x:c>
      <x:c r="M37" s="31" t="n">
        <x:v>1299.4154731509</x:v>
      </x:c>
      <x:c r="N37" s="24" t="str">
        <x:v>belone belone</x:v>
      </x:c>
      <x:c r="O37" s="32" t="n">
        <x:v>4.16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Belone belone</x:v>
      </x:c>
      <x:c r="T37" s="32" t="n">
        <x:f>IF(O37="","",(1/'Metadata'!$B$5)^(O37-1))</x:f>
        <x:v>1445.439770745928</x:v>
      </x:c>
      <x:c r="U37" s="31" t="n">
        <x:f>IF(T37="","",I37*T37)</x:f>
        <x:v>1939720.0247683632</x:v>
      </x:c>
    </x:row>
    <x:row r="38" ht="18" customHeight="1">
      <x:c r="A38" s="24" t="str">
        <x:v>LME_025</x:v>
      </x:c>
      <x:c r="B38" s="24" t="str">
        <x:v>Iberian Coastal</x:v>
      </x:c>
      <x:c r="C38" s="24" t="str">
        <x:v>LME</x:v>
      </x:c>
      <x:c r="D38" s="30" t="n">
        <x:v>2019</x:v>
      </x:c>
      <x:c r="E38" s="24" t="str">
        <x:v>Nephrops norvegicus</x:v>
      </x:c>
      <x:c r="F38" s="24" t="str">
        <x:v>Norway lobster</x:v>
      </x:c>
      <x:c r="G38" s="24" t="str">
        <x:v>Lobsters, crabs</x:v>
      </x:c>
      <x:c r="H38" s="24" t="str">
        <x:v>Crustaceans</x:v>
      </x:c>
      <x:c r="I38" s="31" t="n">
        <x:v>1270.7410421704</x:v>
      </x:c>
      <x:c r="J38" s="31" t="n">
        <x:v>1261.0897992332</x:v>
      </x:c>
      <x:c r="K38" s="31" t="n">
        <x:v>9.651242937200001</x:v>
      </x:c>
      <x:c r="L38" s="31" t="n">
        <x:v>408.3079420254</x:v>
      </x:c>
      <x:c r="M38" s="31" t="n">
        <x:v>862.4331001449999</x:v>
      </x:c>
      <x:c r="N38" s="24" t="str">
        <x:v>nephrops norvegicus</x:v>
      </x:c>
      <x:c r="O38" s="32" t="n">
        <x:v>2.87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Nephrops norvegicus</x:v>
      </x:c>
      <x:c r="T38" s="32" t="n">
        <x:f>IF(O38="","",(1/'Metadata'!$B$5)^(O38-1))</x:f>
        <x:v>74.13102413009177</x:v>
      </x:c>
      <x:c r="U38" s="31" t="n">
        <x:f>IF(T38="","",I38*T38)</x:f>
        <x:v>94201.3348602319</x:v>
      </x:c>
    </x:row>
    <x:row r="39" ht="18" customHeight="1">
      <x:c r="A39" s="24" t="str">
        <x:v>LME_025</x:v>
      </x:c>
      <x:c r="B39" s="24" t="str">
        <x:v>Iberian Coastal</x:v>
      </x:c>
      <x:c r="C39" s="24" t="str">
        <x:v>LME</x:v>
      </x:c>
      <x:c r="D39" s="30" t="n">
        <x:v>2019</x:v>
      </x:c>
      <x:c r="E39" s="24" t="str">
        <x:v>Scorpaena notata</x:v>
      </x:c>
      <x:c r="F39" s="24" t="str">
        <x:v>Small red scorpionfish</x:v>
      </x:c>
      <x:c r="G39" s="24" t="str">
        <x:v>Large reef assoc. fish (&gt;=90 cm)</x:v>
      </x:c>
      <x:c r="H39" s="24" t="str">
        <x:v>Scorpionfishes</x:v>
      </x:c>
      <x:c r="I39" s="31" t="n">
        <x:v>1270.1719833393001</x:v>
      </x:c>
      <x:c r="J39" s="31" t="n">
        <x:v>4.0924450516</x:v>
      </x:c>
      <x:c r="K39" s="31" t="n">
        <x:v>1266.0795382877002</x:v>
      </x:c>
      <x:c r="L39" s="31" t="n">
        <x:v>4.0924450516</x:v>
      </x:c>
      <x:c r="M39" s="31" t="n">
        <x:v>1266.0795382877002</x:v>
      </x:c>
      <x:c r="N39" s="24" t="str">
        <x:v>scorpaena notata</x:v>
      </x:c>
      <x:c r="O39" s="32" t="n">
        <x:v>3.7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Scorpaena notata</x:v>
      </x:c>
      <x:c r="T39" s="32" t="n">
        <x:f>IF(O39="","",(1/'Metadata'!$B$5)^(O39-1))</x:f>
        <x:v>501.18723362727246</x:v>
      </x:c>
      <x:c r="U39" s="31" t="n">
        <x:f>IF(T39="","",I39*T39)</x:f>
        <x:v>636593.9825606898</x:v>
      </x:c>
    </x:row>
    <x:row r="40" ht="18" customHeight="1">
      <x:c r="A40" s="24" t="str">
        <x:v>LME_025</x:v>
      </x:c>
      <x:c r="B40" s="24" t="str">
        <x:v>Iberian Coastal</x:v>
      </x:c>
      <x:c r="C40" s="24" t="str">
        <x:v>LME</x:v>
      </x:c>
      <x:c r="D40" s="30" t="n">
        <x:v>2019</x:v>
      </x:c>
      <x:c r="E40" s="24" t="str">
        <x:v>Petromyzon marinus</x:v>
      </x:c>
      <x:c r="F40" s="24" t="str">
        <x:v>Sea lamprey</x:v>
      </x:c>
      <x:c r="G40" s="24" t="str">
        <x:v>Large demersals (&gt;=90 cm)</x:v>
      </x:c>
      <x:c r="H40" s="24" t="str">
        <x:v>Other fishes &amp; inverts</x:v>
      </x:c>
      <x:c r="I40" s="31" t="n">
        <x:v>1237.3242023555</x:v>
      </x:c>
      <x:c r="J40" s="31" t="n">
        <x:v>1237.3242023555</x:v>
      </x:c>
      <x:c r="K40" s="31" t="n">
        <x:v>0</x:v>
      </x:c>
      <x:c r="L40" s="31" t="n">
        <x:v>0.15458698459999998</x:v>
      </x:c>
      <x:c r="M40" s="31" t="n">
        <x:v>1237.1696153709</x:v>
      </x:c>
      <x:c r="N40" s="24" t="str">
        <x:v>petromyzon marinus</x:v>
      </x:c>
      <x:c r="O40" s="32" t="n">
        <x:v>4.37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Petromyzon marinus</x:v>
      </x:c>
      <x:c r="T40" s="32" t="n">
        <x:f>IF(O40="","",(1/'Metadata'!$B$5)^(O40-1))</x:f>
        <x:v>2344.228815319923</x:v>
      </x:c>
      <x:c r="U40" s="31" t="n">
        <x:f>IF(T40="","",I40*T40)</x:f>
        <x:v>2900571.049054502</x:v>
      </x:c>
    </x:row>
    <x:row r="41" ht="18" customHeight="1">
      <x:c r="A41" s="24" t="str">
        <x:v>LME_025</x:v>
      </x:c>
      <x:c r="B41" s="24" t="str">
        <x:v>Iberian Coastal</x:v>
      </x:c>
      <x:c r="C41" s="24" t="str">
        <x:v>LME</x:v>
      </x:c>
      <x:c r="D41" s="30" t="n">
        <x:v>2019</x:v>
      </x:c>
      <x:c r="E41" s="24" t="str">
        <x:v>Lophiidae</x:v>
      </x:c>
      <x:c r="F41" s="24" t="str">
        <x:v>Goosefishes</x:v>
      </x:c>
      <x:c r="G41" s="24" t="str">
        <x:v>Medium bathydemersals (30 - 89 cm)</x:v>
      </x:c>
      <x:c r="H41" s="24" t="str">
        <x:v>Other fishes &amp; inverts</x:v>
      </x:c>
      <x:c r="I41" s="31" t="n">
        <x:v>1220.0484637369002</x:v>
      </x:c>
      <x:c r="J41" s="31" t="n">
        <x:v>1220.0484637369002</x:v>
      </x:c>
      <x:c r="K41" s="31" t="n">
        <x:v>0</x:v>
      </x:c>
      <x:c r="L41" s="31" t="n">
        <x:v>1220.0484637369002</x:v>
      </x:c>
      <x:c r="M41" s="31" t="n">
        <x:v>0</x:v>
      </x:c>
      <x:c r="N41" s="24" t="str">
        <x:v>lophiidae</x:v>
      </x:c>
      <x:c r="O41" s="32" t="n">
        <x:v>4.46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Lophiidae</x:v>
      </x:c>
      <x:c r="T41" s="32" t="n">
        <x:f>IF(O41="","",(1/'Metadata'!$B$5)^(O41-1))</x:f>
        <x:v>2884.031503126606</x:v>
      </x:c>
      <x:c r="U41" s="31" t="n">
        <x:f>IF(T41="","",I41*T41)</x:f>
        <x:v>3518658.2047584387</x:v>
      </x:c>
    </x:row>
    <x:row r="42" ht="18" customHeight="1">
      <x:c r="A42" s="24" t="str">
        <x:v>LME_025</x:v>
      </x:c>
      <x:c r="B42" s="24" t="str">
        <x:v>Iberian Coastal</x:v>
      </x:c>
      <x:c r="C42" s="24" t="str">
        <x:v>LME</x:v>
      </x:c>
      <x:c r="D42" s="30" t="n">
        <x:v>2019</x:v>
      </x:c>
      <x:c r="E42" s="24" t="str">
        <x:v>Rajidae</x:v>
      </x:c>
      <x:c r="F42" s="24" t="str">
        <x:v>Stingrays</x:v>
      </x:c>
      <x:c r="G42" s="24" t="str">
        <x:v>Large rays (&gt;=90 cm)</x:v>
      </x:c>
      <x:c r="H42" s="24" t="str">
        <x:v>Sharks &amp; rays</x:v>
      </x:c>
      <x:c r="I42" s="31" t="n">
        <x:v>1196.0612022444</x:v>
      </x:c>
      <x:c r="J42" s="31" t="n">
        <x:v>1135.9748335987001</x:v>
      </x:c>
      <x:c r="K42" s="31" t="n">
        <x:v>60.0863686457</x:v>
      </x:c>
      <x:c r="L42" s="31" t="n">
        <x:v>1131.171472744</x:v>
      </x:c>
      <x:c r="M42" s="31" t="n">
        <x:v>64.8897295004</x:v>
      </x:c>
      <x:c r="N42" s="24" t="str">
        <x:v>rajidae</x:v>
      </x:c>
      <x:c r="O42" s="32" t="n">
        <x:v>3.82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Rajidae</x:v>
      </x:c>
      <x:c r="T42" s="32" t="n">
        <x:f>IF(O42="","",(1/'Metadata'!$B$5)^(O42-1))</x:f>
        <x:v>660.6934480075957</x:v>
      </x:c>
      <x:c r="U42" s="31" t="n">
        <x:f>IF(T42="","",I42*T42)</x:f>
        <x:v>790229.7997389629</x:v>
      </x:c>
    </x:row>
    <x:row r="43" ht="18" customHeight="1">
      <x:c r="A43" s="24" t="str">
        <x:v>LME_025</x:v>
      </x:c>
      <x:c r="B43" s="24" t="str">
        <x:v>Iberian Coastal</x:v>
      </x:c>
      <x:c r="C43" s="24" t="str">
        <x:v>LME</x:v>
      </x:c>
      <x:c r="D43" s="30" t="n">
        <x:v>2019</x:v>
      </x:c>
      <x:c r="E43" s="24" t="str">
        <x:v>Sparus aurata</x:v>
      </x:c>
      <x:c r="F43" s="24" t="str">
        <x:v>Gilthead seabream</x:v>
      </x:c>
      <x:c r="G43" s="24" t="str">
        <x:v>Medium demersals (30 - 89 cm)</x:v>
      </x:c>
      <x:c r="H43" s="24" t="str">
        <x:v>Perch-likes</x:v>
      </x:c>
      <x:c r="I43" s="31" t="n">
        <x:v>1189.134969837</x:v>
      </x:c>
      <x:c r="J43" s="31" t="n">
        <x:v>1180.3503178818</x:v>
      </x:c>
      <x:c r="K43" s="31" t="n">
        <x:v>8.7846519552</x:v>
      </x:c>
      <x:c r="L43" s="31" t="n">
        <x:v>407.7699543829</x:v>
      </x:c>
      <x:c r="M43" s="31" t="n">
        <x:v>781.3650154541001</x:v>
      </x:c>
      <x:c r="N43" s="24" t="str">
        <x:v>sparus aurata</x:v>
      </x:c>
      <x:c r="O43" s="32" t="n">
        <x:v>3.7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Sparus aurata</x:v>
      </x:c>
      <x:c r="T43" s="32" t="n">
        <x:f>IF(O43="","",(1/'Metadata'!$B$5)^(O43-1))</x:f>
        <x:v>501.18723362727246</x:v>
      </x:c>
      <x:c r="U43" s="31" t="n">
        <x:f>IF(T43="","",I43*T43)</x:f>
        <x:v>595979.2659420561</x:v>
      </x:c>
    </x:row>
    <x:row r="44" ht="18" customHeight="1">
      <x:c r="A44" s="24" t="str">
        <x:v>LME_025</x:v>
      </x:c>
      <x:c r="B44" s="24" t="str">
        <x:v>Iberian Coastal</x:v>
      </x:c>
      <x:c r="C44" s="24" t="str">
        <x:v>LME</x:v>
      </x:c>
      <x:c r="D44" s="30" t="n">
        <x:v>2019</x:v>
      </x:c>
      <x:c r="E44" s="24" t="str">
        <x:v>Trachinus draco</x:v>
      </x:c>
      <x:c r="F44" s="24" t="str">
        <x:v>Greater weever</x:v>
      </x:c>
      <x:c r="G44" s="24" t="str">
        <x:v>Medium demersals (30 - 89 cm)</x:v>
      </x:c>
      <x:c r="H44" s="24" t="str">
        <x:v>Perch-likes</x:v>
      </x:c>
      <x:c r="I44" s="31" t="n">
        <x:v>1156.6680724883</x:v>
      </x:c>
      <x:c r="J44" s="31" t="n">
        <x:v>164.9582216148</x:v>
      </x:c>
      <x:c r="K44" s="31" t="n">
        <x:v>991.7098508735</x:v>
      </x:c>
      <x:c r="L44" s="31" t="n">
        <x:v>122.4432209407</x:v>
      </x:c>
      <x:c r="M44" s="31" t="n">
        <x:v>1034.2248515475999</x:v>
      </x:c>
      <x:c r="N44" s="24" t="str">
        <x:v>trachinus draco</x:v>
      </x:c>
      <x:c r="O44" s="32" t="n">
        <x:v>4.18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Trachinus draco</x:v>
      </x:c>
      <x:c r="T44" s="32" t="n">
        <x:f>IF(O44="","",(1/'Metadata'!$B$5)^(O44-1))</x:f>
        <x:v>1513.5612484362073</x:v>
      </x:c>
      <x:c r="U44" s="31" t="n">
        <x:f>IF(T44="","",I44*T44)</x:f>
        <x:v>1750687.9718216928</x:v>
      </x:c>
    </x:row>
    <x:row r="45" ht="18" customHeight="1">
      <x:c r="A45" s="24" t="str">
        <x:v>LME_025</x:v>
      </x:c>
      <x:c r="B45" s="24" t="str">
        <x:v>Iberian Coastal</x:v>
      </x:c>
      <x:c r="C45" s="24" t="str">
        <x:v>LME</x:v>
      </x:c>
      <x:c r="D45" s="30" t="n">
        <x:v>2019</x:v>
      </x:c>
      <x:c r="E45" s="24" t="str">
        <x:v>Chamelea gallina</x:v>
      </x:c>
      <x:c r="F45" s="24" t="str">
        <x:v>Striped venus</x:v>
      </x:c>
      <x:c r="G45" s="24" t="str">
        <x:v>Other demersal invertebrates</x:v>
      </x:c>
      <x:c r="H45" s="24" t="str">
        <x:v>Molluscs</x:v>
      </x:c>
      <x:c r="I45" s="31" t="n">
        <x:v>1150.1308059131</x:v>
      </x:c>
      <x:c r="J45" s="31" t="n">
        <x:v>1150.1308059131</x:v>
      </x:c>
      <x:c r="K45" s="31" t="n">
        <x:v>0</x:v>
      </x:c>
      <x:c r="L45" s="31" t="n">
        <x:v>839.4764447440999</x:v>
      </x:c>
      <x:c r="M45" s="31" t="n">
        <x:v>310.65436116899997</x:v>
      </x:c>
      <x:c r="N45" s="24" t="str">
        <x:v>chamelea gallina</x:v>
      </x:c>
      <x:c r="O45" s="32" t="n">
        <x:v>2.1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Chamelea gallina</x:v>
      </x:c>
      <x:c r="T45" s="32" t="n">
        <x:f>IF(O45="","",(1/'Metadata'!$B$5)^(O45-1))</x:f>
        <x:v>12.589254117941675</x:v>
      </x:c>
      <x:c r="U45" s="31" t="n">
        <x:f>IF(T45="","",I45*T45)</x:f>
        <x:v>14479.28898451307</x:v>
      </x:c>
    </x:row>
    <x:row r="46" ht="18" customHeight="1">
      <x:c r="A46" s="24" t="str">
        <x:v>LME_025</x:v>
      </x:c>
      <x:c r="B46" s="24" t="str">
        <x:v>Iberian Coastal</x:v>
      </x:c>
      <x:c r="C46" s="24" t="str">
        <x:v>LME</x:v>
      </x:c>
      <x:c r="D46" s="30" t="n">
        <x:v>2019</x:v>
      </x:c>
      <x:c r="E46" s="24" t="str">
        <x:v>Macroramphosus scolopax</x:v>
      </x:c>
      <x:c r="F46" s="24" t="str">
        <x:v>Longspine snipefish</x:v>
      </x:c>
      <x:c r="G46" s="24" t="str">
        <x:v>Small demersals (&lt;30 cm)</x:v>
      </x:c>
      <x:c r="H46" s="24" t="str">
        <x:v>Other fishes &amp; inverts</x:v>
      </x:c>
      <x:c r="I46" s="31" t="n">
        <x:v>1140.4891662633001</x:v>
      </x:c>
      <x:c r="J46" s="31" t="n">
        <x:v>0</x:v>
      </x:c>
      <x:c r="K46" s="31" t="n">
        <x:v>1140.4891662633001</x:v>
      </x:c>
      <x:c r="L46" s="31" t="n">
        <x:v>0</x:v>
      </x:c>
      <x:c r="M46" s="31" t="n">
        <x:v>1140.4891662633001</x:v>
      </x:c>
      <x:c r="N46" s="24" t="str">
        <x:v>macroramphosus scolopax</x:v>
      </x:c>
      <x:c r="O46" s="32" t="n">
        <x:v>3.47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Macroramphosus scolopax</x:v>
      </x:c>
      <x:c r="T46" s="32" t="n">
        <x:f>IF(O46="","",(1/'Metadata'!$B$5)^(O46-1))</x:f>
        <x:v>295.1209226666387</x:v>
      </x:c>
      <x:c r="U46" s="31" t="n">
        <x:f>IF(T46="","",I46*T46)</x:f>
        <x:v>336582.21503893065</x:v>
      </x:c>
    </x:row>
    <x:row r="47" ht="18" customHeight="1">
      <x:c r="A47" s="24" t="str">
        <x:v>LME_025</x:v>
      </x:c>
      <x:c r="B47" s="24" t="str">
        <x:v>Iberian Coastal</x:v>
      </x:c>
      <x:c r="C47" s="24" t="str">
        <x:v>LME</x:v>
      </x:c>
      <x:c r="D47" s="30" t="n">
        <x:v>2019</x:v>
      </x:c>
      <x:c r="E47" s="24" t="str">
        <x:v>Xiphias gladius</x:v>
      </x:c>
      <x:c r="F47" s="24" t="str">
        <x:v>Swordfish</x:v>
      </x:c>
      <x:c r="G47" s="24" t="str">
        <x:v>Large pelagics (&gt;=90 cm)</x:v>
      </x:c>
      <x:c r="H47" s="24" t="str">
        <x:v>Tuna &amp; billfishes</x:v>
      </x:c>
      <x:c r="I47" s="31" t="n">
        <x:v>1128.9161171559</x:v>
      </x:c>
      <x:c r="J47" s="31" t="n">
        <x:v>1128.9161171559</x:v>
      </x:c>
      <x:c r="K47" s="31" t="n">
        <x:v>0</x:v>
      </x:c>
      <x:c r="L47" s="31" t="n">
        <x:v>1076.7762194273</x:v>
      </x:c>
      <x:c r="M47" s="31" t="n">
        <x:v>52.139897728600005</x:v>
      </x:c>
      <x:c r="N47" s="24" t="str">
        <x:v>xiphias gladius</x:v>
      </x:c>
      <x:c r="O47" s="32" t="n">
        <x:v>4.53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Xiphias gladius</x:v>
      </x:c>
      <x:c r="T47" s="32" t="n">
        <x:f>IF(O47="","",(1/'Metadata'!$B$5)^(O47-1))</x:f>
        <x:v>3388.4415613920273</x:v>
      </x:c>
      <x:c r="U47" s="31" t="n">
        <x:f>IF(T47="","",I47*T47)</x:f>
        <x:v>3825266.290696363</x:v>
      </x:c>
    </x:row>
    <x:row r="48" ht="18" customHeight="1">
      <x:c r="A48" s="24" t="str">
        <x:v>LME_025</x:v>
      </x:c>
      <x:c r="B48" s="24" t="str">
        <x:v>Iberian Coastal</x:v>
      </x:c>
      <x:c r="C48" s="24" t="str">
        <x:v>LME</x:v>
      </x:c>
      <x:c r="D48" s="30" t="n">
        <x:v>2019</x:v>
      </x:c>
      <x:c r="E48" s="24" t="str">
        <x:v>Sarda sarda</x:v>
      </x:c>
      <x:c r="F48" s="24" t="str">
        <x:v>Atlantic bonito</x:v>
      </x:c>
      <x:c r="G48" s="24" t="str">
        <x:v>Medium pelagics (30 - 89 cm)</x:v>
      </x:c>
      <x:c r="H48" s="24" t="str">
        <x:v>Tuna &amp; billfishes</x:v>
      </x:c>
      <x:c r="I48" s="31" t="n">
        <x:v>1120.8132971513</x:v>
      </x:c>
      <x:c r="J48" s="31" t="n">
        <x:v>1120.2533653089</x:v>
      </x:c>
      <x:c r="K48" s="31" t="n">
        <x:v>0.5599318424</x:v>
      </x:c>
      <x:c r="L48" s="31" t="n">
        <x:v>996.0705185602</x:v>
      </x:c>
      <x:c r="M48" s="31" t="n">
        <x:v>124.7427785911</x:v>
      </x:c>
      <x:c r="N48" s="24" t="str">
        <x:v>sarda sarda</x:v>
      </x:c>
      <x:c r="O48" s="32" t="n">
        <x:v>4.5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Sarda sarda</x:v>
      </x:c>
      <x:c r="T48" s="32" t="n">
        <x:f>IF(O48="","",(1/'Metadata'!$B$5)^(O48-1))</x:f>
        <x:v>3162.2776601683795</x:v>
      </x:c>
      <x:c r="U48" s="31" t="n">
        <x:f>IF(T48="","",I48*T48)</x:f>
        <x:v>3544322.8508012197</x:v>
      </x:c>
    </x:row>
    <x:row r="49" ht="18" customHeight="1">
      <x:c r="A49" s="24" t="str">
        <x:v>LME_025</x:v>
      </x:c>
      <x:c r="B49" s="24" t="str">
        <x:v>Iberian Coastal</x:v>
      </x:c>
      <x:c r="C49" s="24" t="str">
        <x:v>LME</x:v>
      </x:c>
      <x:c r="D49" s="30" t="n">
        <x:v>2019</x:v>
      </x:c>
      <x:c r="E49" s="24" t="str">
        <x:v>Scyliorhinus canicula</x:v>
      </x:c>
      <x:c r="F49" s="24" t="str">
        <x:v>Small-spotted catshark</x:v>
      </x:c>
      <x:c r="G49" s="24" t="str">
        <x:v>Small to medium sharks (&lt;90 cm)</x:v>
      </x:c>
      <x:c r="H49" s="24" t="str">
        <x:v>Sharks &amp; rays</x:v>
      </x:c>
      <x:c r="I49" s="31" t="n">
        <x:v>1065.2797232839</x:v>
      </x:c>
      <x:c r="J49" s="31" t="n">
        <x:v>320.11177128810004</x:v>
      </x:c>
      <x:c r="K49" s="31" t="n">
        <x:v>745.1679519958</x:v>
      </x:c>
      <x:c r="L49" s="31" t="n">
        <x:v>291.45780209820003</x:v>
      </x:c>
      <x:c r="M49" s="31" t="n">
        <x:v>773.8219211857</x:v>
      </x:c>
      <x:c r="N49" s="24" t="str">
        <x:v>scyliorhinus canicula</x:v>
      </x:c>
      <x:c r="O49" s="32" t="n">
        <x:v>3.82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Scyliorhinus canicula</x:v>
      </x:c>
      <x:c r="T49" s="32" t="n">
        <x:f>IF(O49="","",(1/'Metadata'!$B$5)^(O49-1))</x:f>
        <x:v>660.6934480075957</x:v>
      </x:c>
      <x:c r="U49" s="31" t="n">
        <x:f>IF(T49="","",I49*T49)</x:f>
        <x:v>703823.3334690174</x:v>
      </x:c>
    </x:row>
    <x:row r="50" ht="18" customHeight="1">
      <x:c r="A50" s="24" t="str">
        <x:v>LME_025</x:v>
      </x:c>
      <x:c r="B50" s="24" t="str">
        <x:v>Iberian Coastal</x:v>
      </x:c>
      <x:c r="C50" s="24" t="str">
        <x:v>LME</x:v>
      </x:c>
      <x:c r="D50" s="30" t="n">
        <x:v>2019</x:v>
      </x:c>
      <x:c r="E50" s="24" t="str">
        <x:v>Argyrosomus regius</x:v>
      </x:c>
      <x:c r="F50" s="24" t="str">
        <x:v>Meagre</x:v>
      </x:c>
      <x:c r="G50" s="24" t="str">
        <x:v>Large benthopelagics (&gt;=90 cm)</x:v>
      </x:c>
      <x:c r="H50" s="24" t="str">
        <x:v>Perch-likes</x:v>
      </x:c>
      <x:c r="I50" s="31" t="n">
        <x:v>1021.0035831134</x:v>
      </x:c>
      <x:c r="J50" s="31" t="n">
        <x:v>1017.8675480828</x:v>
      </x:c>
      <x:c r="K50" s="31" t="n">
        <x:v>3.1360350306</x:v>
      </x:c>
      <x:c r="L50" s="31" t="n">
        <x:v>716.9458191673</x:v>
      </x:c>
      <x:c r="M50" s="31" t="n">
        <x:v>304.0577639461</x:v>
      </x:c>
      <x:c r="N50" s="24" t="str">
        <x:v>argyrosomus regius</x:v>
      </x:c>
      <x:c r="O50" s="32" t="n">
        <x:v>4.29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Argyrosomus regius</x:v>
      </x:c>
      <x:c r="T50" s="32" t="n">
        <x:f>IF(O50="","",(1/'Metadata'!$B$5)^(O50-1))</x:f>
        <x:v>1949.8445997580454</x:v>
      </x:c>
      <x:c r="U50" s="31" t="n">
        <x:f>IF(T50="","",I50*T50)</x:f>
        <x:v>1990798.3228672778</x:v>
      </x:c>
    </x:row>
    <x:row r="51" ht="18" customHeight="1">
      <x:c r="A51" s="24" t="str">
        <x:v>LME_025</x:v>
      </x:c>
      <x:c r="B51" s="24" t="str">
        <x:v>Iberian Coastal</x:v>
      </x:c>
      <x:c r="C51" s="24" t="str">
        <x:v>LME</x:v>
      </x:c>
      <x:c r="D51" s="30" t="n">
        <x:v>2019</x:v>
      </x:c>
      <x:c r="E51" s="24" t="str">
        <x:v>Microchirus</x:v>
      </x:c>
      <x:c r="F51" s="24" t="str">
        <x:v>Soles</x:v>
      </x:c>
      <x:c r="G51" s="24" t="str">
        <x:v>Small to medium flatfishes (&lt;90 cm)</x:v>
      </x:c>
      <x:c r="H51" s="24" t="str">
        <x:v>Flatfishes</x:v>
      </x:c>
      <x:c r="I51" s="31" t="n">
        <x:v>932.2550285356999</x:v>
      </x:c>
      <x:c r="J51" s="31" t="n">
        <x:v>63.133099748</x:v>
      </x:c>
      <x:c r="K51" s="31" t="n">
        <x:v>869.1219287877</x:v>
      </x:c>
      <x:c r="L51" s="31" t="n">
        <x:v>58.6205878668</x:v>
      </x:c>
      <x:c r="M51" s="31" t="n">
        <x:v>873.6344406689</x:v>
      </x:c>
      <x:c r="N51" s="24" t="str">
        <x:v>microchirus</x:v>
      </x:c>
      <x:c r="O51" s="32" t="n">
        <x:v>3.28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Microchirus</x:v>
      </x:c>
      <x:c r="T51" s="32" t="n">
        <x:f>IF(O51="","",(1/'Metadata'!$B$5)^(O51-1))</x:f>
        <x:v>190.54607179632464</x:v>
      </x:c>
      <x:c r="U51" s="31" t="n">
        <x:f>IF(T51="","",I51*T51)</x:f>
        <x:v>177637.53359984816</x:v>
      </x:c>
    </x:row>
    <x:row r="52" ht="18" customHeight="1">
      <x:c r="A52" s="24" t="str">
        <x:v>LME_025</x:v>
      </x:c>
      <x:c r="B52" s="24" t="str">
        <x:v>Iberian Coastal</x:v>
      </x:c>
      <x:c r="C52" s="24" t="str">
        <x:v>LME</x:v>
      </x:c>
      <x:c r="D52" s="30" t="n">
        <x:v>2019</x:v>
      </x:c>
      <x:c r="E52" s="24" t="str">
        <x:v>Coryphaenoides rupestris</x:v>
      </x:c>
      <x:c r="F52" s="24" t="str">
        <x:v>Roundnose grenadier</x:v>
      </x:c>
      <x:c r="G52" s="24" t="str">
        <x:v>Large bathypelagics (&gt;=90 cm)</x:v>
      </x:c>
      <x:c r="H52" s="24" t="str">
        <x:v>Cod-likes</x:v>
      </x:c>
      <x:c r="I52" s="31" t="n">
        <x:v>917.7263470386999</x:v>
      </x:c>
      <x:c r="J52" s="31" t="n">
        <x:v>917.6666288132999</x:v>
      </x:c>
      <x:c r="K52" s="31" t="n">
        <x:v>0.0597182254</x:v>
      </x:c>
      <x:c r="L52" s="31" t="n">
        <x:v>917.6666288132999</x:v>
      </x:c>
      <x:c r="M52" s="31" t="n">
        <x:v>0.0597182254</x:v>
      </x:c>
      <x:c r="N52" s="24" t="str">
        <x:v>coryphaenoides rupestris</x:v>
      </x:c>
      <x:c r="O52" s="32" t="n">
        <x:v>3.54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Coryphaenoides rupestris</x:v>
      </x:c>
      <x:c r="T52" s="32" t="n">
        <x:f>IF(O52="","",(1/'Metadata'!$B$5)^(O52-1))</x:f>
        <x:v>346.73685045253166</x:v>
      </x:c>
      <x:c r="U52" s="31" t="n">
        <x:f>IF(T52="","",I52*T52)</x:f>
        <x:v>318209.54314950586</x:v>
      </x:c>
    </x:row>
    <x:row r="53" ht="18" customHeight="1">
      <x:c r="A53" s="24" t="str">
        <x:v>LME_025</x:v>
      </x:c>
      <x:c r="B53" s="24" t="str">
        <x:v>Iberian Coastal</x:v>
      </x:c>
      <x:c r="C53" s="24" t="str">
        <x:v>LME</x:v>
      </x:c>
      <x:c r="D53" s="30" t="n">
        <x:v>2019</x:v>
      </x:c>
      <x:c r="E53" s="24" t="str">
        <x:v>Solea solea</x:v>
      </x:c>
      <x:c r="F53" s="24" t="str">
        <x:v>Common sole</x:v>
      </x:c>
      <x:c r="G53" s="24" t="str">
        <x:v>Small to medium flatfishes (&lt;90 cm)</x:v>
      </x:c>
      <x:c r="H53" s="24" t="str">
        <x:v>Flatfishes</x:v>
      </x:c>
      <x:c r="I53" s="31" t="n">
        <x:v>862.3366714229</x:v>
      </x:c>
      <x:c r="J53" s="31" t="n">
        <x:v>858.8882815286</x:v>
      </x:c>
      <x:c r="K53" s="31" t="n">
        <x:v>3.4483898943</x:v>
      </x:c>
      <x:c r="L53" s="31" t="n">
        <x:v>847.5656790024</x:v>
      </x:c>
      <x:c r="M53" s="31" t="n">
        <x:v>14.7709924205</x:v>
      </x:c>
      <x:c r="N53" s="24" t="str">
        <x:v>solea solea</x:v>
      </x:c>
      <x:c r="O53" s="32" t="n">
        <x:v>3.21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Solea solea</x:v>
      </x:c>
      <x:c r="T53" s="32" t="n">
        <x:f>IF(O53="","",(1/'Metadata'!$B$5)^(O53-1))</x:f>
        <x:v>162.18100973589299</x:v>
      </x:c>
      <x:c r="U53" s="31" t="n">
        <x:f>IF(T53="","",I53*T53)</x:f>
        <x:v>139854.6321036549</x:v>
      </x:c>
    </x:row>
    <x:row r="54" ht="18" customHeight="1">
      <x:c r="A54" s="24" t="str">
        <x:v>LME_025</x:v>
      </x:c>
      <x:c r="B54" s="24" t="str">
        <x:v>Iberian Coastal</x:v>
      </x:c>
      <x:c r="C54" s="24" t="str">
        <x:v>LME</x:v>
      </x:c>
      <x:c r="D54" s="30" t="n">
        <x:v>2019</x:v>
      </x:c>
      <x:c r="E54" s="24" t="str">
        <x:v>Diplodus sargus</x:v>
      </x:c>
      <x:c r="F54" s="24" t="str">
        <x:v>White seabream</x:v>
      </x:c>
      <x:c r="G54" s="24" t="str">
        <x:v>Medium demersals (30 - 89 cm)</x:v>
      </x:c>
      <x:c r="H54" s="24" t="str">
        <x:v>Perch-likes</x:v>
      </x:c>
      <x:c r="I54" s="31" t="n">
        <x:v>840.745031602</x:v>
      </x:c>
      <x:c r="J54" s="31" t="n">
        <x:v>837.4596963746001</x:v>
      </x:c>
      <x:c r="K54" s="31" t="n">
        <x:v>3.2853352274</x:v>
      </x:c>
      <x:c r="L54" s="31" t="n">
        <x:v>265.7447294477</x:v>
      </x:c>
      <x:c r="M54" s="31" t="n">
        <x:v>575.0003021543</x:v>
      </x:c>
      <x:c r="N54" s="24" t="str">
        <x:v>diplodus sargus</x:v>
      </x:c>
      <x:c r="O54" s="32" t="n">
        <x:v>3.38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Diplodus sargus</x:v>
      </x:c>
      <x:c r="T54" s="32" t="n">
        <x:f>IF(O54="","",(1/'Metadata'!$B$5)^(O54-1))</x:f>
        <x:v>239.88329190194898</x:v>
      </x:c>
      <x:c r="U54" s="31" t="n">
        <x:f>IF(T54="","",I54*T54)</x:f>
        <x:v>201680.6858308959</x:v>
      </x:c>
    </x:row>
    <x:row r="55" ht="18" customHeight="1">
      <x:c r="A55" s="24" t="str">
        <x:v>LME_025</x:v>
      </x:c>
      <x:c r="B55" s="24" t="str">
        <x:v>Iberian Coastal</x:v>
      </x:c>
      <x:c r="C55" s="24" t="str">
        <x:v>LME</x:v>
      </x:c>
      <x:c r="D55" s="30" t="n">
        <x:v>2019</x:v>
      </x:c>
      <x:c r="E55" s="24" t="str">
        <x:v>Pagellus</x:v>
      </x:c>
      <x:c r="F55" s="24" t="str">
        <x:v>Pandoras</x:v>
      </x:c>
      <x:c r="G55" s="24" t="str">
        <x:v>Medium benthopelagics (30 - 89 cm)</x:v>
      </x:c>
      <x:c r="H55" s="24" t="str">
        <x:v>Perch-likes</x:v>
      </x:c>
      <x:c r="I55" s="31" t="n">
        <x:v>827.6419620364</x:v>
      </x:c>
      <x:c r="J55" s="31" t="n">
        <x:v>688.5326659953</x:v>
      </x:c>
      <x:c r="K55" s="31" t="n">
        <x:v>139.1092960411</x:v>
      </x:c>
      <x:c r="L55" s="31" t="n">
        <x:v>679.9973592698</x:v>
      </x:c>
      <x:c r="M55" s="31" t="n">
        <x:v>147.6446027666</x:v>
      </x:c>
      <x:c r="N55" s="24" t="str">
        <x:v>pagellus</x:v>
      </x:c>
      <x:c r="O55" s="32" t="n">
        <x:v>3.44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Pagellus</x:v>
      </x:c>
      <x:c r="T55" s="32" t="n">
        <x:f>IF(O55="","",(1/'Metadata'!$B$5)^(O55-1))</x:f>
        <x:v>275.4228703338166</x:v>
      </x:c>
      <x:c r="U55" s="31" t="n">
        <x:f>IF(T55="","",I55*T55)</x:f>
        <x:v>227951.52479277694</x:v>
      </x:c>
    </x:row>
    <x:row r="56" ht="18" customHeight="1">
      <x:c r="A56" s="24" t="str">
        <x:v>LME_025</x:v>
      </x:c>
      <x:c r="B56" s="24" t="str">
        <x:v>Iberian Coastal</x:v>
      </x:c>
      <x:c r="C56" s="24" t="str">
        <x:v>LME</x:v>
      </x:c>
      <x:c r="D56" s="30" t="n">
        <x:v>2019</x:v>
      </x:c>
      <x:c r="E56" s="24" t="str">
        <x:v>Pagellus acarne</x:v>
      </x:c>
      <x:c r="F56" s="24" t="str">
        <x:v>Axillary seabream</x:v>
      </x:c>
      <x:c r="G56" s="24" t="str">
        <x:v>Medium benthopelagics (30 - 89 cm)</x:v>
      </x:c>
      <x:c r="H56" s="24" t="str">
        <x:v>Perch-likes</x:v>
      </x:c>
      <x:c r="I56" s="31" t="n">
        <x:v>823.2835346134001</x:v>
      </x:c>
      <x:c r="J56" s="31" t="n">
        <x:v>321.13551841540004</x:v>
      </x:c>
      <x:c r="K56" s="31" t="n">
        <x:v>502.148016198</x:v>
      </x:c>
      <x:c r="L56" s="31" t="n">
        <x:v>296.4084347174</x:v>
      </x:c>
      <x:c r="M56" s="31" t="n">
        <x:v>526.875099896</x:v>
      </x:c>
      <x:c r="N56" s="24" t="str">
        <x:v>pagellus acarne</x:v>
      </x:c>
      <x:c r="O56" s="32" t="n">
        <x:v>3.81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Pagellus acarne</x:v>
      </x:c>
      <x:c r="T56" s="32" t="n">
        <x:f>IF(O56="","",(1/'Metadata'!$B$5)^(O56-1))</x:f>
        <x:v>645.6542290346556</x:v>
      </x:c>
      <x:c r="U56" s="31" t="n">
        <x:f>IF(T56="","",I56*T56)</x:f>
        <x:v>531556.495817741</x:v>
      </x:c>
    </x:row>
    <x:row r="57" ht="18" customHeight="1">
      <x:c r="A57" s="24" t="str">
        <x:v>LME_025</x:v>
      </x:c>
      <x:c r="B57" s="24" t="str">
        <x:v>Iberian Coastal</x:v>
      </x:c>
      <x:c r="C57" s="24" t="str">
        <x:v>LME</x:v>
      </x:c>
      <x:c r="D57" s="30" t="n">
        <x:v>2019</x:v>
      </x:c>
      <x:c r="E57" s="24" t="str">
        <x:v>Scombridae</x:v>
      </x:c>
      <x:c r="F57" s="24" t="str">
        <x:v>Mackerels, tunas, bonitos</x:v>
      </x:c>
      <x:c r="G57" s="24" t="str">
        <x:v>Medium pelagics (30 - 89 cm)</x:v>
      </x:c>
      <x:c r="H57" s="24" t="str">
        <x:v>Perch-likes</x:v>
      </x:c>
      <x:c r="I57" s="31" t="n">
        <x:v>820.0357739598</x:v>
      </x:c>
      <x:c r="J57" s="31" t="n">
        <x:v>788.8884767275</x:v>
      </x:c>
      <x:c r="K57" s="31" t="n">
        <x:v>31.1472972323</x:v>
      </x:c>
      <x:c r="L57" s="31" t="n">
        <x:v>32.1128586679</x:v>
      </x:c>
      <x:c r="M57" s="31" t="n">
        <x:v>787.9229152919</x:v>
      </x:c>
      <x:c r="N57" s="24" t="str">
        <x:v>scombridae</x:v>
      </x:c>
      <x:c r="O57" s="32" t="n">
        <x:v>4.26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Scombridae</x:v>
      </x:c>
      <x:c r="T57" s="32" t="n">
        <x:f>IF(O57="","",(1/'Metadata'!$B$5)^(O57-1))</x:f>
        <x:v>1819.7008586099826</x:v>
      </x:c>
      <x:c r="U57" s="31" t="n">
        <x:f>IF(T57="","",I57*T57)</x:f>
        <x:v>1492219.8019655498</x:v>
      </x:c>
    </x:row>
    <x:row r="58" ht="18" customHeight="1">
      <x:c r="A58" s="24" t="str">
        <x:v>LME_025</x:v>
      </x:c>
      <x:c r="B58" s="24" t="str">
        <x:v>Iberian Coastal</x:v>
      </x:c>
      <x:c r="C58" s="24" t="str">
        <x:v>LME</x:v>
      </x:c>
      <x:c r="D58" s="30" t="n">
        <x:v>2019</x:v>
      </x:c>
      <x:c r="E58" s="24" t="str">
        <x:v>Zeus faber</x:v>
      </x:c>
      <x:c r="F58" s="24" t="str">
        <x:v>John dory</x:v>
      </x:c>
      <x:c r="G58" s="24" t="str">
        <x:v>Medium benthopelagics (30 - 89 cm)</x:v>
      </x:c>
      <x:c r="H58" s="24" t="str">
        <x:v>Other fishes &amp; inverts</x:v>
      </x:c>
      <x:c r="I58" s="31" t="n">
        <x:v>812.5001881976</x:v>
      </x:c>
      <x:c r="J58" s="31" t="n">
        <x:v>737.9786725968</x:v>
      </x:c>
      <x:c r="K58" s="31" t="n">
        <x:v>74.5215156008</x:v>
      </x:c>
      <x:c r="L58" s="31" t="n">
        <x:v>697.1676223860001</x:v>
      </x:c>
      <x:c r="M58" s="31" t="n">
        <x:v>115.3325658116</x:v>
      </x:c>
      <x:c r="N58" s="24" t="str">
        <x:v>zeus faber</x:v>
      </x:c>
      <x:c r="O58" s="32" t="n">
        <x:v>4.5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Zeus faber</x:v>
      </x:c>
      <x:c r="T58" s="32" t="n">
        <x:f>IF(O58="","",(1/'Metadata'!$B$5)^(O58-1))</x:f>
        <x:v>3162.2776601683795</x:v>
      </x:c>
      <x:c r="U58" s="31" t="n">
        <x:f>IF(T58="","",I58*T58)</x:f>
        <x:v>2569351.1940198746</x:v>
      </x:c>
    </x:row>
    <x:row r="59" ht="18" customHeight="1">
      <x:c r="A59" s="24" t="str">
        <x:v>LME_025</x:v>
      </x:c>
      <x:c r="B59" s="24" t="str">
        <x:v>Iberian Coastal</x:v>
      </x:c>
      <x:c r="C59" s="24" t="str">
        <x:v>LME</x:v>
      </x:c>
      <x:c r="D59" s="30" t="n">
        <x:v>2019</x:v>
      </x:c>
      <x:c r="E59" s="24" t="str">
        <x:v>Scomberesox saurus</x:v>
      </x:c>
      <x:c r="F59" s="24" t="str">
        <x:v>Atlantic saury</x:v>
      </x:c>
      <x:c r="G59" s="24" t="str">
        <x:v>Medium pelagics (30 - 89 cm)</x:v>
      </x:c>
      <x:c r="H59" s="24" t="str">
        <x:v>Other fishes &amp; inverts</x:v>
      </x:c>
      <x:c r="I59" s="31" t="n">
        <x:v>772.3584353176</x:v>
      </x:c>
      <x:c r="J59" s="31" t="n">
        <x:v>772.3584353176</x:v>
      </x:c>
      <x:c r="K59" s="31" t="n">
        <x:v>0</x:v>
      </x:c>
      <x:c r="L59" s="31" t="n">
        <x:v>304.7752982229</x:v>
      </x:c>
      <x:c r="M59" s="31" t="n">
        <x:v>467.5831370947</x:v>
      </x:c>
      <x:c r="N59" s="24" t="str">
        <x:v>scomberesox saurus</x:v>
      </x:c>
      <x:c r="O59" s="32" t="n">
        <x:v>3.91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Scomberesox saurus</x:v>
      </x:c>
      <x:c r="T59" s="32" t="n">
        <x:f>IF(O59="","",(1/'Metadata'!$B$5)^(O59-1))</x:f>
        <x:v>812.8305161640995</x:v>
      </x:c>
      <x:c r="U59" s="31" t="n">
        <x:f>IF(T59="","",I59*T59)</x:f>
        <x:v>627796.5056429011</x:v>
      </x:c>
    </x:row>
    <x:row r="60" ht="18" customHeight="1">
      <x:c r="A60" s="24" t="str">
        <x:v>LME_025</x:v>
      </x:c>
      <x:c r="B60" s="24" t="str">
        <x:v>Iberian Coastal</x:v>
      </x:c>
      <x:c r="C60" s="24" t="str">
        <x:v>LME</x:v>
      </x:c>
      <x:c r="D60" s="30" t="n">
        <x:v>2019</x:v>
      </x:c>
      <x:c r="E60" s="24" t="str">
        <x:v>Helicolenus dactylopterus</x:v>
      </x:c>
      <x:c r="F60" s="24" t="str">
        <x:v>Blackbelly rosefish</x:v>
      </x:c>
      <x:c r="G60" s="24" t="str">
        <x:v>Medium bathydemersals (30 - 89 cm)</x:v>
      </x:c>
      <x:c r="H60" s="24" t="str">
        <x:v>Scorpionfishes</x:v>
      </x:c>
      <x:c r="I60" s="31" t="n">
        <x:v>772.279416986</x:v>
      </x:c>
      <x:c r="J60" s="31" t="n">
        <x:v>638.2933127402</x:v>
      </x:c>
      <x:c r="K60" s="31" t="n">
        <x:v>133.9861042458</x:v>
      </x:c>
      <x:c r="L60" s="31" t="n">
        <x:v>451.0642593436</x:v>
      </x:c>
      <x:c r="M60" s="31" t="n">
        <x:v>321.21515764239996</x:v>
      </x:c>
      <x:c r="N60" s="24" t="str">
        <x:v>helicolenus dactylopterus</x:v>
      </x:c>
      <x:c r="O60" s="32" t="n">
        <x:v>3.54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Helicolenus dactylopterus</x:v>
      </x:c>
      <x:c r="T60" s="32" t="n">
        <x:f>IF(O60="","",(1/'Metadata'!$B$5)^(O60-1))</x:f>
        <x:v>346.73685045253166</x:v>
      </x:c>
      <x:c r="U60" s="31" t="n">
        <x:f>IF(T60="","",I60*T60)</x:f>
        <x:v>267777.732715043</x:v>
      </x:c>
    </x:row>
    <x:row r="61" ht="18" customHeight="1">
      <x:c r="A61" s="24" t="str">
        <x:v>LME_025</x:v>
      </x:c>
      <x:c r="B61" s="24" t="str">
        <x:v>Iberian Coastal</x:v>
      </x:c>
      <x:c r="C61" s="24" t="str">
        <x:v>LME</x:v>
      </x:c>
      <x:c r="D61" s="30" t="n">
        <x:v>2019</x:v>
      </x:c>
      <x:c r="E61" s="24" t="str">
        <x:v>Miscellaneous aquatic invertebrates</x:v>
      </x:c>
      <x:c r="F61" s="24" t="str">
        <x:v>Aquatic invertebrates</x:v>
      </x:c>
      <x:c r="G61" s="24" t="str">
        <x:v>Other demersal invertebrates</x:v>
      </x:c>
      <x:c r="H61" s="24" t="str">
        <x:v>Other fishes &amp; inverts</x:v>
      </x:c>
      <x:c r="I61" s="31" t="n">
        <x:v>750.6604764883999</x:v>
      </x:c>
      <x:c r="J61" s="31" t="n">
        <x:v>1.3101799853</x:v>
      </x:c>
      <x:c r="K61" s="31" t="n">
        <x:v>749.3502965030999</x:v>
      </x:c>
      <x:c r="L61" s="31" t="n">
        <x:v>0.6981680457</x:v>
      </x:c>
      <x:c r="M61" s="31" t="n">
        <x:v>749.9623084427</x:v>
      </x:c>
      <x:c r="N61" s="24" t="str">
        <x:v>miscellaneous aquatic invertebrates</x:v>
      </x:c>
      <x:c r="O61" s="32" t="n">
        <x:v>2.43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Miscellaneous aquatic invertebrates</x:v>
      </x:c>
      <x:c r="T61" s="32" t="n">
        <x:f>IF(O61="","",(1/'Metadata'!$B$5)^(O61-1))</x:f>
        <x:v>26.915348039269166</x:v>
      </x:c>
      <x:c r="U61" s="31" t="n">
        <x:f>IF(T61="","",I61*T61)</x:f>
        <x:v>20204.28798400891</x:v>
      </x:c>
    </x:row>
    <x:row r="62" ht="18" customHeight="1">
      <x:c r="A62" s="24" t="str">
        <x:v>LME_025</x:v>
      </x:c>
      <x:c r="B62" s="24" t="str">
        <x:v>Iberian Coastal</x:v>
      </x:c>
      <x:c r="C62" s="24" t="str">
        <x:v>LME</x:v>
      </x:c>
      <x:c r="D62" s="30" t="n">
        <x:v>2019</x:v>
      </x:c>
      <x:c r="E62" s="24" t="str">
        <x:v>Molva molva</x:v>
      </x:c>
      <x:c r="F62" s="24" t="str">
        <x:v>Ling</x:v>
      </x:c>
      <x:c r="G62" s="24" t="str">
        <x:v>Large demersals (&gt;=90 cm)</x:v>
      </x:c>
      <x:c r="H62" s="24" t="str">
        <x:v>Cod-likes</x:v>
      </x:c>
      <x:c r="I62" s="31" t="n">
        <x:v>727.1843066112999</x:v>
      </x:c>
      <x:c r="J62" s="31" t="n">
        <x:v>727.184305045</x:v>
      </x:c>
      <x:c r="K62" s="31" t="n">
        <x:v>0.0000015663</x:v>
      </x:c>
      <x:c r="L62" s="31" t="n">
        <x:v>721.263458015</x:v>
      </x:c>
      <x:c r="M62" s="31" t="n">
        <x:v>5.920848596299999</x:v>
      </x:c>
      <x:c r="N62" s="24" t="str">
        <x:v>molva molva</x:v>
      </x:c>
      <x:c r="O62" s="32" t="n">
        <x:v>4.4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Molva molva</x:v>
      </x:c>
      <x:c r="T62" s="32" t="n">
        <x:f>IF(O62="","",(1/'Metadata'!$B$5)^(O62-1))</x:f>
        <x:v>2511.886431509582</x:v>
      </x:c>
      <x:c r="U62" s="31" t="n">
        <x:f>IF(T62="","",I62*T62)</x:f>
        <x:v>1826604.392983628</x:v>
      </x:c>
    </x:row>
    <x:row r="63" ht="18" customHeight="1">
      <x:c r="A63" s="24" t="str">
        <x:v>LME_025</x:v>
      </x:c>
      <x:c r="B63" s="24" t="str">
        <x:v>Iberian Coastal</x:v>
      </x:c>
      <x:c r="C63" s="24" t="str">
        <x:v>LME</x:v>
      </x:c>
      <x:c r="D63" s="30" t="n">
        <x:v>2019</x:v>
      </x:c>
      <x:c r="E63" s="24" t="str">
        <x:v>Sparidae</x:v>
      </x:c>
      <x:c r="F63" s="24" t="str">
        <x:v>Porgies, seabreams</x:v>
      </x:c>
      <x:c r="G63" s="24" t="str">
        <x:v>Medium benthopelagics (30 - 89 cm)</x:v>
      </x:c>
      <x:c r="H63" s="24" t="str">
        <x:v>Perch-likes</x:v>
      </x:c>
      <x:c r="I63" s="31" t="n">
        <x:v>703.9533062188</x:v>
      </x:c>
      <x:c r="J63" s="31" t="n">
        <x:v>703.9533062188</x:v>
      </x:c>
      <x:c r="K63" s="31" t="n">
        <x:v>0</x:v>
      </x:c>
      <x:c r="L63" s="31" t="n">
        <x:v>683.6190269332</x:v>
      </x:c>
      <x:c r="M63" s="31" t="n">
        <x:v>20.3342792856</x:v>
      </x:c>
      <x:c r="N63" s="24" t="str">
        <x:v>sparidae</x:v>
      </x:c>
      <x:c r="O63" s="32" t="n">
        <x:v>3.31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Sparidae</x:v>
      </x:c>
      <x:c r="T63" s="32" t="n">
        <x:f>IF(O63="","",(1/'Metadata'!$B$5)^(O63-1))</x:f>
        <x:v>204.17379446695296</x:v>
      </x:c>
      <x:c r="U63" s="31" t="n">
        <x:f>IF(T63="","",I63*T63)</x:f>
        <x:v>143728.81765824926</x:v>
      </x:c>
    </x:row>
    <x:row r="64" ht="18" customHeight="1">
      <x:c r="A64" s="24" t="str">
        <x:v>LME_025</x:v>
      </x:c>
      <x:c r="B64" s="24" t="str">
        <x:v>Iberian Coastal</x:v>
      </x:c>
      <x:c r="C64" s="24" t="str">
        <x:v>LME</x:v>
      </x:c>
      <x:c r="D64" s="30" t="n">
        <x:v>2019</x:v>
      </x:c>
      <x:c r="E64" s="24" t="str">
        <x:v>Trachurus mediterraneus</x:v>
      </x:c>
      <x:c r="F64" s="24" t="str">
        <x:v>Mediterranean horse mackerel</x:v>
      </x:c>
      <x:c r="G64" s="24" t="str">
        <x:v>Medium pelagics (30 - 89 cm)</x:v>
      </x:c>
      <x:c r="H64" s="24" t="str">
        <x:v>Perch-likes</x:v>
      </x:c>
      <x:c r="I64" s="31" t="n">
        <x:v>700.0174507249001</x:v>
      </x:c>
      <x:c r="J64" s="31" t="n">
        <x:v>505.036929493</x:v>
      </x:c>
      <x:c r="K64" s="31" t="n">
        <x:v>194.9805212319</x:v>
      </x:c>
      <x:c r="L64" s="31" t="n">
        <x:v>446.8122391824</x:v>
      </x:c>
      <x:c r="M64" s="31" t="n">
        <x:v>253.20521154250002</x:v>
      </x:c>
      <x:c r="N64" s="24" t="str">
        <x:v>trachurus mediterraneus</x:v>
      </x:c>
      <x:c r="O64" s="32" t="n">
        <x:v>3.77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Trachurus mediterraneus</x:v>
      </x:c>
      <x:c r="T64" s="32" t="n">
        <x:f>IF(O64="","",(1/'Metadata'!$B$5)^(O64-1))</x:f>
        <x:v>588.843655355589</x:v>
      </x:c>
      <x:c r="U64" s="31" t="n">
        <x:f>IF(T64="","",I64*T64)</x:f>
        <x:v>412200.8344975511</x:v>
      </x:c>
    </x:row>
    <x:row r="65" ht="18" customHeight="1">
      <x:c r="A65" s="24" t="str">
        <x:v>LME_025</x:v>
      </x:c>
      <x:c r="B65" s="24" t="str">
        <x:v>Iberian Coastal</x:v>
      </x:c>
      <x:c r="C65" s="24" t="str">
        <x:v>LME</x:v>
      </x:c>
      <x:c r="D65" s="30" t="n">
        <x:v>2019</x:v>
      </x:c>
      <x:c r="E65" s="24" t="str">
        <x:v>Lepidopus caudatus</x:v>
      </x:c>
      <x:c r="F65" s="24" t="str">
        <x:v>Silver scabbardfish</x:v>
      </x:c>
      <x:c r="G65" s="24" t="str">
        <x:v>Large bathydemersals (&gt;=90 cm)</x:v>
      </x:c>
      <x:c r="H65" s="24" t="str">
        <x:v>Perch-likes</x:v>
      </x:c>
      <x:c r="I65" s="31" t="n">
        <x:v>660.6871093919</x:v>
      </x:c>
      <x:c r="J65" s="31" t="n">
        <x:v>205.1157210364</x:v>
      </x:c>
      <x:c r="K65" s="31" t="n">
        <x:v>455.5713883555</x:v>
      </x:c>
      <x:c r="L65" s="31" t="n">
        <x:v>203.7197262908</x:v>
      </x:c>
      <x:c r="M65" s="31" t="n">
        <x:v>456.9673831011</x:v>
      </x:c>
      <x:c r="N65" s="24" t="str">
        <x:v>lepidopus caudatus</x:v>
      </x:c>
      <x:c r="O65" s="32" t="n">
        <x:v>3.82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Lepidopus caudatus</x:v>
      </x:c>
      <x:c r="T65" s="32" t="n">
        <x:f>IF(O65="","",(1/'Metadata'!$B$5)^(O65-1))</x:f>
        <x:v>660.6934480075957</x:v>
      </x:c>
      <x:c r="U65" s="31" t="n">
        <x:f>IF(T65="","",I65*T65)</x:f>
        <x:v>436511.644358306</x:v>
      </x:c>
    </x:row>
    <x:row r="66" ht="18" customHeight="1">
      <x:c r="A66" s="24" t="str">
        <x:v>LME_025</x:v>
      </x:c>
      <x:c r="B66" s="24" t="str">
        <x:v>Iberian Coastal</x:v>
      </x:c>
      <x:c r="C66" s="24" t="str">
        <x:v>LME</x:v>
      </x:c>
      <x:c r="D66" s="30" t="n">
        <x:v>2019</x:v>
      </x:c>
      <x:c r="E66" s="24" t="str">
        <x:v>Eledone</x:v>
      </x:c>
      <x:c r="F66" s="24" t="str">
        <x:v>Horned, musky octopuses</x:v>
      </x:c>
      <x:c r="G66" s="24" t="str">
        <x:v>Cephalopods</x:v>
      </x:c>
      <x:c r="H66" s="24" t="str">
        <x:v>Other fishes &amp; inverts</x:v>
      </x:c>
      <x:c r="I66" s="31" t="n">
        <x:v>635.4452729774999</x:v>
      </x:c>
      <x:c r="J66" s="31" t="n">
        <x:v>629.0582269215</x:v>
      </x:c>
      <x:c r="K66" s="31" t="n">
        <x:v>6.387046056</x:v>
      </x:c>
      <x:c r="L66" s="31" t="n">
        <x:v>587.2292187639</x:v>
      </x:c>
      <x:c r="M66" s="31" t="n">
        <x:v>48.216054213599996</x:v>
      </x:c>
      <x:c r="N66" s="24" t="str">
        <x:v>eledone</x:v>
      </x:c>
      <x:c r="O66" s="32" t="n">
        <x:v>3.67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Eledone</x:v>
      </x:c>
      <x:c r="T66" s="32" t="n">
        <x:f>IF(O66="","",(1/'Metadata'!$B$5)^(O66-1))</x:f>
        <x:v>467.73514128719813</x:v>
      </x:c>
      <x:c r="U66" s="31" t="n">
        <x:f>IF(T66="","",I66*T66)</x:f>
        <x:v>297220.08453641314</x:v>
      </x:c>
    </x:row>
    <x:row r="67" ht="18" customHeight="1">
      <x:c r="A67" s="24" t="str">
        <x:v>LME_025</x:v>
      </x:c>
      <x:c r="B67" s="24" t="str">
        <x:v>Iberian Coastal</x:v>
      </x:c>
      <x:c r="C67" s="24" t="str">
        <x:v>LME</x:v>
      </x:c>
      <x:c r="D67" s="30" t="n">
        <x:v>2019</x:v>
      </x:c>
      <x:c r="E67" s="24" t="str">
        <x:v>Dendrobranchiata</x:v>
      </x:c>
      <x:c r="F67" s="24" t="str">
        <x:v>Shrimps and prawns</x:v>
      </x:c>
      <x:c r="G67" s="24" t="str">
        <x:v>Shrimps</x:v>
      </x:c>
      <x:c r="H67" s="24" t="str">
        <x:v>Crustaceans</x:v>
      </x:c>
      <x:c r="I67" s="31" t="n">
        <x:v>594.3960423893</x:v>
      </x:c>
      <x:c r="J67" s="31" t="n">
        <x:v>594.3960423893</x:v>
      </x:c>
      <x:c r="K67" s="31" t="n">
        <x:v>0</x:v>
      </x:c>
      <x:c r="L67" s="31" t="n">
        <x:v>594.3960423893</x:v>
      </x:c>
      <x:c r="M67" s="31" t="n">
        <x:v>0</x:v>
      </x:c>
      <x:c r="N67" s="24" t="str">
        <x:v>dendrobranchiata</x:v>
      </x:c>
      <x:c r="O67" s="32" t="n">
        <x:v>3.24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Dendrobranchiata</x:v>
      </x:c>
      <x:c r="T67" s="32" t="n">
        <x:f>IF(O67="","",(1/'Metadata'!$B$5)^(O67-1))</x:f>
        <x:v>173.78008287493762</x:v>
      </x:c>
      <x:c r="U67" s="31" t="n">
        <x:f>IF(T67="","",I67*T67)</x:f>
        <x:v>103294.19350694749</x:v>
      </x:c>
    </x:row>
    <x:row r="68" ht="18" customHeight="1">
      <x:c r="A68" s="24" t="str">
        <x:v>LME_025</x:v>
      </x:c>
      <x:c r="B68" s="24" t="str">
        <x:v>Iberian Coastal</x:v>
      </x:c>
      <x:c r="C68" s="24" t="str">
        <x:v>LME</x:v>
      </x:c>
      <x:c r="D68" s="30" t="n">
        <x:v>2019</x:v>
      </x:c>
      <x:c r="E68" s="24" t="str">
        <x:v>Octopodidae</x:v>
      </x:c>
      <x:c r="F68" s="24" t="str">
        <x:v>Octopuses</x:v>
      </x:c>
      <x:c r="G68" s="24" t="str">
        <x:v>Cephalopods</x:v>
      </x:c>
      <x:c r="H68" s="24" t="str">
        <x:v>Other fishes &amp; inverts</x:v>
      </x:c>
      <x:c r="I68" s="31" t="n">
        <x:v>591.8716501536</x:v>
      </x:c>
      <x:c r="J68" s="31" t="n">
        <x:v>8.7443120692</x:v>
      </x:c>
      <x:c r="K68" s="31" t="n">
        <x:v>583.1273380844</x:v>
      </x:c>
      <x:c r="L68" s="31" t="n">
        <x:v>8.1380272392</x:v>
      </x:c>
      <x:c r="M68" s="31" t="n">
        <x:v>583.7336229144</x:v>
      </x:c>
      <x:c r="N68" s="24" t="str">
        <x:v>octopodidae</x:v>
      </x:c>
      <x:c r="O68" s="32" t="n">
        <x:v>3.59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Octopodidae</x:v>
      </x:c>
      <x:c r="T68" s="32" t="n">
        <x:f>IF(O68="","",(1/'Metadata'!$B$5)^(O68-1))</x:f>
        <x:v>389.04514499428046</x:v>
      </x:c>
      <x:c r="U68" s="31" t="n">
        <x:f>IF(T68="","",I68*T68)</x:f>
        <x:v>230264.79195201132</x:v>
      </x:c>
    </x:row>
    <x:row r="69" ht="18" customHeight="1">
      <x:c r="A69" s="24" t="str">
        <x:v>LME_025</x:v>
      </x:c>
      <x:c r="B69" s="24" t="str">
        <x:v>Iberian Coastal</x:v>
      </x:c>
      <x:c r="C69" s="24" t="str">
        <x:v>LME</x:v>
      </x:c>
      <x:c r="D69" s="30" t="n">
        <x:v>2019</x:v>
      </x:c>
      <x:c r="E69" s="24" t="str">
        <x:v>Pagrus pagrus</x:v>
      </x:c>
      <x:c r="F69" s="24" t="str">
        <x:v>Red porgy</x:v>
      </x:c>
      <x:c r="G69" s="24" t="str">
        <x:v>Medium benthopelagics (30 - 89 cm)</x:v>
      </x:c>
      <x:c r="H69" s="24" t="str">
        <x:v>Perch-likes</x:v>
      </x:c>
      <x:c r="I69" s="31" t="n">
        <x:v>589.1490443475</x:v>
      </x:c>
      <x:c r="J69" s="31" t="n">
        <x:v>493.61843770380005</x:v>
      </x:c>
      <x:c r="K69" s="31" t="n">
        <x:v>95.5306066437</x:v>
      </x:c>
      <x:c r="L69" s="31" t="n">
        <x:v>59.52053143100001</x:v>
      </x:c>
      <x:c r="M69" s="31" t="n">
        <x:v>529.6285129165</x:v>
      </x:c>
      <x:c r="N69" s="24" t="str">
        <x:v>pagrus pagrus</x:v>
      </x:c>
      <x:c r="O69" s="32" t="n">
        <x:v>3.86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Pagrus pagrus</x:v>
      </x:c>
      <x:c r="T69" s="32" t="n">
        <x:f>IF(O69="","",(1/'Metadata'!$B$5)^(O69-1))</x:f>
        <x:v>724.4359600749899</x:v>
      </x:c>
      <x:c r="U69" s="31" t="n">
        <x:f>IF(T69="","",I69*T69)</x:f>
        <x:v>426800.75356914394</x:v>
      </x:c>
    </x:row>
    <x:row r="70" ht="18" customHeight="1">
      <x:c r="A70" s="24" t="str">
        <x:v>LME_025</x:v>
      </x:c>
      <x:c r="B70" s="24" t="str">
        <x:v>Iberian Coastal</x:v>
      </x:c>
      <x:c r="C70" s="24" t="str">
        <x:v>LME</x:v>
      </x:c>
      <x:c r="D70" s="30" t="n">
        <x:v>2019</x:v>
      </x:c>
      <x:c r="E70" s="24" t="str">
        <x:v>Mugilidae</x:v>
      </x:c>
      <x:c r="F70" s="24" t="str">
        <x:v>Mullets, grey mullets</x:v>
      </x:c>
      <x:c r="G70" s="24" t="str">
        <x:v>Medium reef assoc. fish (30 - 89 cm)</x:v>
      </x:c>
      <x:c r="H70" s="24" t="str">
        <x:v>Perch-likes</x:v>
      </x:c>
      <x:c r="I70" s="31" t="n">
        <x:v>588.2508057291</x:v>
      </x:c>
      <x:c r="J70" s="31" t="n">
        <x:v>582.3523445446</x:v>
      </x:c>
      <x:c r="K70" s="31" t="n">
        <x:v>5.8984611845</x:v>
      </x:c>
      <x:c r="L70" s="31" t="n">
        <x:v>395.0463619011</x:v>
      </x:c>
      <x:c r="M70" s="31" t="n">
        <x:v>193.20444382800002</x:v>
      </x:c>
      <x:c r="N70" s="24" t="str">
        <x:v>mugilidae</x:v>
      </x:c>
      <x:c r="O70" s="32" t="n">
        <x:v>2.53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Mugilidae</x:v>
      </x:c>
      <x:c r="T70" s="32" t="n">
        <x:f>IF(O70="","",(1/'Metadata'!$B$5)^(O70-1))</x:f>
        <x:v>33.88441561392024</x:v>
      </x:c>
      <x:c r="U70" s="31" t="n">
        <x:f>IF(T70="","",I70*T70)</x:f>
        <x:v>19932.534786548276</x:v>
      </x:c>
    </x:row>
    <x:row r="71" ht="18" customHeight="1">
      <x:c r="A71" s="24" t="str">
        <x:v>LME_025</x:v>
      </x:c>
      <x:c r="B71" s="24" t="str">
        <x:v>Iberian Coastal</x:v>
      </x:c>
      <x:c r="C71" s="24" t="str">
        <x:v>LME</x:v>
      </x:c>
      <x:c r="D71" s="30" t="n">
        <x:v>2019</x:v>
      </x:c>
      <x:c r="E71" s="24" t="str">
        <x:v>Serranus cabrilla</x:v>
      </x:c>
      <x:c r="F71" s="24" t="str">
        <x:v>Comber</x:v>
      </x:c>
      <x:c r="G71" s="24" t="str">
        <x:v>Medium bathydemersals (30 - 89 cm)</x:v>
      </x:c>
      <x:c r="H71" s="24" t="str">
        <x:v>Perch-likes</x:v>
      </x:c>
      <x:c r="I71" s="31" t="n">
        <x:v>587.8864444658</x:v>
      </x:c>
      <x:c r="J71" s="31" t="n">
        <x:v>142.5314052418</x:v>
      </x:c>
      <x:c r="K71" s="31" t="n">
        <x:v>445.355039224</x:v>
      </x:c>
      <x:c r="L71" s="31" t="n">
        <x:v>12.8751722594</x:v>
      </x:c>
      <x:c r="M71" s="31" t="n">
        <x:v>575.0112722064</x:v>
      </x:c>
      <x:c r="N71" s="24" t="str">
        <x:v>serranus cabrilla</x:v>
      </x:c>
      <x:c r="O71" s="32" t="n">
        <x:v>3.35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Serranus cabrilla</x:v>
      </x:c>
      <x:c r="T71" s="32" t="n">
        <x:f>IF(O71="","",(1/'Metadata'!$B$5)^(O71-1))</x:f>
        <x:v>223.872113856834</x:v>
      </x:c>
      <x:c r="U71" s="31" t="n">
        <x:f>IF(T71="","",I71*T71)</x:f>
        <x:v>131611.3810303369</x:v>
      </x:c>
    </x:row>
    <x:row r="72" ht="18" customHeight="1">
      <x:c r="A72" s="24" t="str">
        <x:v>LME_025</x:v>
      </x:c>
      <x:c r="B72" s="24" t="str">
        <x:v>Iberian Coastal</x:v>
      </x:c>
      <x:c r="C72" s="24" t="str">
        <x:v>LME</x:v>
      </x:c>
      <x:c r="D72" s="30" t="n">
        <x:v>2019</x:v>
      </x:c>
      <x:c r="E72" s="24" t="str">
        <x:v>Brama brama</x:v>
      </x:c>
      <x:c r="F72" s="24" t="str">
        <x:v>Atlantic pomfret</x:v>
      </x:c>
      <x:c r="G72" s="24" t="str">
        <x:v>Medium bathypelagics (30 - 89 cm)</x:v>
      </x:c>
      <x:c r="H72" s="24" t="str">
        <x:v>Perch-likes</x:v>
      </x:c>
      <x:c r="I72" s="31" t="n">
        <x:v>587.4474501204</x:v>
      </x:c>
      <x:c r="J72" s="31" t="n">
        <x:v>587.2226241376001</x:v>
      </x:c>
      <x:c r="K72" s="31" t="n">
        <x:v>0.2248259828</x:v>
      </x:c>
      <x:c r="L72" s="31" t="n">
        <x:v>577.6720438448</x:v>
      </x:c>
      <x:c r="M72" s="31" t="n">
        <x:v>9.7754062756</x:v>
      </x:c>
      <x:c r="N72" s="24" t="str">
        <x:v>brama brama</x:v>
      </x:c>
      <x:c r="O72" s="32" t="n">
        <x:v>4.08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Brama brama</x:v>
      </x:c>
      <x:c r="T72" s="32" t="n">
        <x:f>IF(O72="","",(1/'Metadata'!$B$5)^(O72-1))</x:f>
        <x:v>1202.2644346174131</x:v>
      </x:c>
      <x:c r="U72" s="31" t="n">
        <x:f>IF(T72="","",I72*T72)</x:f>
        <x:v>706267.1764864437</x:v>
      </x:c>
    </x:row>
    <x:row r="73" ht="18" customHeight="1">
      <x:c r="A73" s="24" t="str">
        <x:v>LME_025</x:v>
      </x:c>
      <x:c r="B73" s="24" t="str">
        <x:v>Iberian Coastal</x:v>
      </x:c>
      <x:c r="C73" s="24" t="str">
        <x:v>LME</x:v>
      </x:c>
      <x:c r="D73" s="30" t="n">
        <x:v>2019</x:v>
      </x:c>
      <x:c r="E73" s="24" t="str">
        <x:v>Sarpa salpa</x:v>
      </x:c>
      <x:c r="F73" s="24" t="str">
        <x:v>Salema</x:v>
      </x:c>
      <x:c r="G73" s="24" t="str">
        <x:v>Medium benthopelagics (30 - 89 cm)</x:v>
      </x:c>
      <x:c r="H73" s="24" t="str">
        <x:v>Perch-likes</x:v>
      </x:c>
      <x:c r="I73" s="31" t="n">
        <x:v>586.7872967741</x:v>
      </x:c>
      <x:c r="J73" s="31" t="n">
        <x:v>470.59272543149996</x:v>
      </x:c>
      <x:c r="K73" s="31" t="n">
        <x:v>116.1945713426</x:v>
      </x:c>
      <x:c r="L73" s="31" t="n">
        <x:v>268.1863247096</x:v>
      </x:c>
      <x:c r="M73" s="31" t="n">
        <x:v>318.6009720645</x:v>
      </x:c>
      <x:c r="N73" s="24" t="str">
        <x:v>sarpa salpa</x:v>
      </x:c>
      <x:c r="O73" s="32" t="n">
        <x:v>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Sarpa salpa</x:v>
      </x:c>
      <x:c r="T73" s="32" t="n">
        <x:f>IF(O73="","",(1/'Metadata'!$B$5)^(O73-1))</x:f>
        <x:v>10</x:v>
      </x:c>
      <x:c r="U73" s="31" t="n">
        <x:f>IF(T73="","",I73*T73)</x:f>
        <x:v>5867.872967741</x:v>
      </x:c>
    </x:row>
    <x:row r="74" ht="18" customHeight="1">
      <x:c r="A74" s="24" t="str">
        <x:v>LME_025</x:v>
      </x:c>
      <x:c r="B74" s="24" t="str">
        <x:v>Iberian Coastal</x:v>
      </x:c>
      <x:c r="C74" s="24" t="str">
        <x:v>LME</x:v>
      </x:c>
      <x:c r="D74" s="30" t="n">
        <x:v>2019</x:v>
      </x:c>
      <x:c r="E74" s="24" t="str">
        <x:v>Pagellus bogaraveo</x:v>
      </x:c>
      <x:c r="F74" s="24" t="str">
        <x:v>Blackspot seabream</x:v>
      </x:c>
      <x:c r="G74" s="24" t="str">
        <x:v>Medium benthopelagics (30 - 89 cm)</x:v>
      </x:c>
      <x:c r="H74" s="24" t="str">
        <x:v>Perch-likes</x:v>
      </x:c>
      <x:c r="I74" s="31" t="n">
        <x:v>569.4347561124999</x:v>
      </x:c>
      <x:c r="J74" s="31" t="n">
        <x:v>567.9094914431</x:v>
      </x:c>
      <x:c r="K74" s="31" t="n">
        <x:v>1.5252646694</x:v>
      </x:c>
      <x:c r="L74" s="31" t="n">
        <x:v>80.0317392182</x:v>
      </x:c>
      <x:c r="M74" s="31" t="n">
        <x:v>489.4030168943</x:v>
      </x:c>
      <x:c r="N74" s="24" t="str">
        <x:v>pagellus bogaraveo</x:v>
      </x:c>
      <x:c r="O74" s="32" t="n">
        <x:v>4.21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Pagellus bogaraveo</x:v>
      </x:c>
      <x:c r="T74" s="32" t="n">
        <x:f>IF(O74="","",(1/'Metadata'!$B$5)^(O74-1))</x:f>
        <x:v>1621.8100973589299</x:v>
      </x:c>
      <x:c r="U74" s="31" t="n">
        <x:f>IF(T74="","",I74*T74)</x:f>
        <x:v>923515.037250372</x:v>
      </x:c>
    </x:row>
    <x:row r="75" ht="18" customHeight="1">
      <x:c r="A75" s="24" t="str">
        <x:v>LME_025</x:v>
      </x:c>
      <x:c r="B75" s="24" t="str">
        <x:v>Iberian Coastal</x:v>
      </x:c>
      <x:c r="C75" s="24" t="str">
        <x:v>LME</x:v>
      </x:c>
      <x:c r="D75" s="30" t="n">
        <x:v>2019</x:v>
      </x:c>
      <x:c r="E75" s="24" t="str">
        <x:v>Diplodus</x:v>
      </x:c>
      <x:c r="F75" s="24" t="str">
        <x:v>Two-toothed seabreams</x:v>
      </x:c>
      <x:c r="G75" s="24" t="str">
        <x:v>Medium benthopelagics (30 - 89 cm)</x:v>
      </x:c>
      <x:c r="H75" s="24" t="str">
        <x:v>Perch-likes</x:v>
      </x:c>
      <x:c r="I75" s="31" t="n">
        <x:v>561.9558353092</x:v>
      </x:c>
      <x:c r="J75" s="31" t="n">
        <x:v>560.9404151889</x:v>
      </x:c>
      <x:c r="K75" s="31" t="n">
        <x:v>1.0154201203</x:v>
      </x:c>
      <x:c r="L75" s="31" t="n">
        <x:v>10.0196517889</x:v>
      </x:c>
      <x:c r="M75" s="31" t="n">
        <x:v>551.9361835203</x:v>
      </x:c>
      <x:c r="N75" s="24" t="str">
        <x:v>diplodus</x:v>
      </x:c>
      <x:c r="O75" s="32" t="n">
        <x:v>2.97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Diplodus</x:v>
      </x:c>
      <x:c r="T75" s="32" t="n">
        <x:f>IF(O75="","",(1/'Metadata'!$B$5)^(O75-1))</x:f>
        <x:v>93.32543007969915</x:v>
      </x:c>
      <x:c r="U75" s="31" t="n">
        <x:f>IF(T75="","",I75*T75)</x:f>
        <x:v>52444.77001602767</x:v>
      </x:c>
    </x:row>
    <x:row r="76" ht="18" customHeight="1">
      <x:c r="A76" s="24" t="str">
        <x:v>LME_025</x:v>
      </x:c>
      <x:c r="B76" s="24" t="str">
        <x:v>Iberian Coastal</x:v>
      </x:c>
      <x:c r="C76" s="24" t="str">
        <x:v>LME</x:v>
      </x:c>
      <x:c r="D76" s="30" t="n">
        <x:v>2019</x:v>
      </x:c>
      <x:c r="E76" s="24" t="str">
        <x:v>Squilla mantis</x:v>
      </x:c>
      <x:c r="F76" s="24" t="str">
        <x:v>Spottail mantis squillid</x:v>
      </x:c>
      <x:c r="G76" s="24" t="str">
        <x:v>Shrimps</x:v>
      </x:c>
      <x:c r="H76" s="24" t="str">
        <x:v>Crustaceans</x:v>
      </x:c>
      <x:c r="I76" s="31" t="n">
        <x:v>550.3107546659</x:v>
      </x:c>
      <x:c r="J76" s="31" t="n">
        <x:v>431.9870532053</x:v>
      </x:c>
      <x:c r="K76" s="31" t="n">
        <x:v>118.3237014606</x:v>
      </x:c>
      <x:c r="L76" s="31" t="n">
        <x:v>383.22414482330004</x:v>
      </x:c>
      <x:c r="M76" s="31" t="n">
        <x:v>167.0866098426</x:v>
      </x:c>
      <x:c r="N76" s="24" t="str">
        <x:v>squilla mantis</x:v>
      </x:c>
      <x:c r="O76" s="32" t="n">
        <x:v>3.62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Squilla mantis</x:v>
      </x:c>
      <x:c r="T76" s="32" t="n">
        <x:f>IF(O76="","",(1/'Metadata'!$B$5)^(O76-1))</x:f>
        <x:v>416.8693834703355</x:v>
      </x:c>
      <x:c r="U76" s="31" t="n">
        <x:f>IF(T76="","",I76*T76)</x:f>
        <x:v>229407.7050146688</x:v>
      </x:c>
    </x:row>
    <x:row r="77" ht="18" customHeight="1">
      <x:c r="A77" s="24" t="str">
        <x:v>LME_025</x:v>
      </x:c>
      <x:c r="B77" s="24" t="str">
        <x:v>Iberian Coastal</x:v>
      </x:c>
      <x:c r="C77" s="24" t="str">
        <x:v>LME</x:v>
      </x:c>
      <x:c r="D77" s="30" t="n">
        <x:v>2019</x:v>
      </x:c>
      <x:c r="E77" s="24" t="str">
        <x:v>Phycis</x:v>
      </x:c>
      <x:c r="F77" s="24" t="str">
        <x:v>Gunnels, forkbeards</x:v>
      </x:c>
      <x:c r="G77" s="24" t="str">
        <x:v>Medium benthopelagics (30 - 89 cm)</x:v>
      </x:c>
      <x:c r="H77" s="24" t="str">
        <x:v>Cod-likes</x:v>
      </x:c>
      <x:c r="I77" s="31" t="n">
        <x:v>541.7961428996</x:v>
      </x:c>
      <x:c r="J77" s="31" t="n">
        <x:v>198.95263906460002</x:v>
      </x:c>
      <x:c r="K77" s="31" t="n">
        <x:v>342.84350383500004</x:v>
      </x:c>
      <x:c r="L77" s="31" t="n">
        <x:v>192.7793800882</x:v>
      </x:c>
      <x:c r="M77" s="31" t="n">
        <x:v>349.01676281140004</x:v>
      </x:c>
      <x:c r="N77" s="24" t="str">
        <x:v>phycis</x:v>
      </x:c>
      <x:c r="O77" s="32" t="n">
        <x:v>3.99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Phycis</x:v>
      </x:c>
      <x:c r="T77" s="32" t="n">
        <x:f>IF(O77="","",(1/'Metadata'!$B$5)^(O77-1))</x:f>
        <x:v>977.2372209558112</x:v>
      </x:c>
      <x:c r="U77" s="31" t="n">
        <x:f>IF(T77="","",I77*T77)</x:f>
        <x:v>529463.3570117826</x:v>
      </x:c>
    </x:row>
    <x:row r="78" ht="18" customHeight="1">
      <x:c r="A78" s="24" t="str">
        <x:v>LME_025</x:v>
      </x:c>
      <x:c r="B78" s="24" t="str">
        <x:v>Iberian Coastal</x:v>
      </x:c>
      <x:c r="C78" s="24" t="str">
        <x:v>LME</x:v>
      </x:c>
      <x:c r="D78" s="30" t="n">
        <x:v>2019</x:v>
      </x:c>
      <x:c r="E78" s="24" t="str">
        <x:v>Thunnus</x:v>
      </x:c>
      <x:c r="F78" s="24" t="str">
        <x:v>Tunas</x:v>
      </x:c>
      <x:c r="G78" s="24" t="str">
        <x:v>Large pelagics (&gt;=90 cm)</x:v>
      </x:c>
      <x:c r="H78" s="24" t="str">
        <x:v>Tuna &amp; billfishes</x:v>
      </x:c>
      <x:c r="I78" s="31" t="n">
        <x:v>499.9695257292</x:v>
      </x:c>
      <x:c r="J78" s="31" t="n">
        <x:v>499.9695257292</x:v>
      </x:c>
      <x:c r="K78" s="31" t="n">
        <x:v>0</x:v>
      </x:c>
      <x:c r="L78" s="31" t="n">
        <x:v>499.8275455291</x:v>
      </x:c>
      <x:c r="M78" s="31" t="n">
        <x:v>0.1419802001</x:v>
      </x:c>
      <x:c r="N78" s="24" t="str">
        <x:v>thunnus</x:v>
      </x:c>
      <x:c r="O78" s="32" t="n">
        <x:v>4.34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Thunnus</x:v>
      </x:c>
      <x:c r="T78" s="32" t="n">
        <x:f>IF(O78="","",(1/'Metadata'!$B$5)^(O78-1))</x:f>
        <x:v>2187.761623949552</x:v>
      </x:c>
      <x:c r="U78" s="31" t="n">
        <x:f>IF(T78="","",I78*T78)</x:f>
        <x:v>1093814.1415346018</x:v>
      </x:c>
    </x:row>
    <x:row r="79" ht="18" customHeight="1">
      <x:c r="A79" s="24" t="str">
        <x:v>LME_025</x:v>
      </x:c>
      <x:c r="B79" s="24" t="str">
        <x:v>Iberian Coastal</x:v>
      </x:c>
      <x:c r="C79" s="24" t="str">
        <x:v>LME</x:v>
      </x:c>
      <x:c r="D79" s="30" t="n">
        <x:v>2019</x:v>
      </x:c>
      <x:c r="E79" s="24" t="str">
        <x:v>Pomatomus saltatrix</x:v>
      </x:c>
      <x:c r="F79" s="24" t="str">
        <x:v>Bluefish</x:v>
      </x:c>
      <x:c r="G79" s="24" t="str">
        <x:v>Large pelagics (&gt;=90 cm)</x:v>
      </x:c>
      <x:c r="H79" s="24" t="str">
        <x:v>Perch-likes</x:v>
      </x:c>
      <x:c r="I79" s="31" t="n">
        <x:v>493.75741601849995</x:v>
      </x:c>
      <x:c r="J79" s="31" t="n">
        <x:v>480.5607506484</x:v>
      </x:c>
      <x:c r="K79" s="31" t="n">
        <x:v>13.1966653701</x:v>
      </x:c>
      <x:c r="L79" s="31" t="n">
        <x:v>227.0349765217</x:v>
      </x:c>
      <x:c r="M79" s="31" t="n">
        <x:v>266.7224394968</x:v>
      </x:c>
      <x:c r="N79" s="24" t="str">
        <x:v>pomatomus saltatrix</x:v>
      </x:c>
      <x:c r="O79" s="32" t="n">
        <x:v>4.53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Pomatomus saltatrix</x:v>
      </x:c>
      <x:c r="T79" s="32" t="n">
        <x:f>IF(O79="","",(1/'Metadata'!$B$5)^(O79-1))</x:f>
        <x:v>3388.4415613920273</x:v>
      </x:c>
      <x:c r="U79" s="31" t="n">
        <x:f>IF(T79="","",I79*T79)</x:f>
        <x:v>1673068.1496826187</x:v>
      </x:c>
    </x:row>
    <x:row r="80" ht="18" customHeight="1">
      <x:c r="A80" s="24" t="str">
        <x:v>LME_025</x:v>
      </x:c>
      <x:c r="B80" s="24" t="str">
        <x:v>Iberian Coastal</x:v>
      </x:c>
      <x:c r="C80" s="24" t="str">
        <x:v>LME</x:v>
      </x:c>
      <x:c r="D80" s="30" t="n">
        <x:v>2019</x:v>
      </x:c>
      <x:c r="E80" s="24" t="str">
        <x:v>Spondyliosoma cantharus</x:v>
      </x:c>
      <x:c r="F80" s="24" t="str">
        <x:v>Black seabream</x:v>
      </x:c>
      <x:c r="G80" s="24" t="str">
        <x:v>Medium benthopelagics (30 - 89 cm)</x:v>
      </x:c>
      <x:c r="H80" s="24" t="str">
        <x:v>Perch-likes</x:v>
      </x:c>
      <x:c r="I80" s="31" t="n">
        <x:v>479.9426579795</x:v>
      </x:c>
      <x:c r="J80" s="31" t="n">
        <x:v>388.5280237467</x:v>
      </x:c>
      <x:c r="K80" s="31" t="n">
        <x:v>91.4146342328</x:v>
      </x:c>
      <x:c r="L80" s="31" t="n">
        <x:v>176.29375125139998</x:v>
      </x:c>
      <x:c r="M80" s="31" t="n">
        <x:v>303.6489067281</x:v>
      </x:c>
      <x:c r="N80" s="24" t="str">
        <x:v>spondyliosoma cantharus</x:v>
      </x:c>
      <x:c r="O80" s="32" t="n">
        <x:v>3.34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Spondyliosoma cantharus</x:v>
      </x:c>
      <x:c r="T80" s="32" t="n">
        <x:f>IF(O80="","",(1/'Metadata'!$B$5)^(O80-1))</x:f>
        <x:v>218.77616239495518</x:v>
      </x:c>
      <x:c r="U80" s="31" t="n">
        <x:f>IF(T80="","",I80*T80)</x:f>
        <x:v>105000.01288238952</x:v>
      </x:c>
    </x:row>
    <x:row r="81" ht="18" customHeight="1">
      <x:c r="A81" s="24" t="str">
        <x:v>LME_025</x:v>
      </x:c>
      <x:c r="B81" s="24" t="str">
        <x:v>Iberian Coastal</x:v>
      </x:c>
      <x:c r="C81" s="24" t="str">
        <x:v>LME</x:v>
      </x:c>
      <x:c r="D81" s="30" t="n">
        <x:v>2019</x:v>
      </x:c>
      <x:c r="E81" s="24" t="str">
        <x:v>Pagellus erythrinus</x:v>
      </x:c>
      <x:c r="F81" s="24" t="str">
        <x:v>Common pandora</x:v>
      </x:c>
      <x:c r="G81" s="24" t="str">
        <x:v>Medium benthopelagics (30 - 89 cm)</x:v>
      </x:c>
      <x:c r="H81" s="24" t="str">
        <x:v>Perch-likes</x:v>
      </x:c>
      <x:c r="I81" s="31" t="n">
        <x:v>446.7923250222</x:v>
      </x:c>
      <x:c r="J81" s="31" t="n">
        <x:v>401.8685691218</x:v>
      </x:c>
      <x:c r="K81" s="31" t="n">
        <x:v>44.9237559004</x:v>
      </x:c>
      <x:c r="L81" s="31" t="n">
        <x:v>249.8876990365</x:v>
      </x:c>
      <x:c r="M81" s="31" t="n">
        <x:v>196.90462598570002</x:v>
      </x:c>
      <x:c r="N81" s="24" t="str">
        <x:v>pagellus erythrinus</x:v>
      </x:c>
      <x:c r="O81" s="32" t="n">
        <x:v>3.48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Pagellus erythrinus</x:v>
      </x:c>
      <x:c r="T81" s="32" t="n">
        <x:f>IF(O81="","",(1/'Metadata'!$B$5)^(O81-1))</x:f>
        <x:v>301.9951720402016</x:v>
      </x:c>
      <x:c r="U81" s="31" t="n">
        <x:f>IF(T81="","",I81*T81)</x:f>
        <x:v>134929.12506132096</x:v>
      </x:c>
    </x:row>
    <x:row r="82" ht="18" customHeight="1">
      <x:c r="A82" s="24" t="str">
        <x:v>LME_025</x:v>
      </x:c>
      <x:c r="B82" s="24" t="str">
        <x:v>Iberian Coastal</x:v>
      </x:c>
      <x:c r="C82" s="24" t="str">
        <x:v>LME</x:v>
      </x:c>
      <x:c r="D82" s="30" t="n">
        <x:v>2019</x:v>
      </x:c>
      <x:c r="E82" s="24" t="str">
        <x:v>Raja</x:v>
      </x:c>
      <x:c r="F82" s="24" t="str">
        <x:v>Stingrays, skates</x:v>
      </x:c>
      <x:c r="G82" s="24" t="str">
        <x:v>Small to medium rays (&lt;90 cm)</x:v>
      </x:c>
      <x:c r="H82" s="24" t="str">
        <x:v>Sharks &amp; rays</x:v>
      </x:c>
      <x:c r="I82" s="31" t="n">
        <x:v>442.4953337545</x:v>
      </x:c>
      <x:c r="J82" s="31" t="n">
        <x:v>419.8671736476</x:v>
      </x:c>
      <x:c r="K82" s="31" t="n">
        <x:v>22.6281601069</x:v>
      </x:c>
      <x:c r="L82" s="31" t="n">
        <x:v>297.36705884360003</x:v>
      </x:c>
      <x:c r="M82" s="31" t="n">
        <x:v>145.12827491090002</x:v>
      </x:c>
      <x:c r="N82" s="24" t="str">
        <x:v>raja</x:v>
      </x:c>
      <x:c r="O82" s="32" t="n">
        <x:v>3.8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Raja</x:v>
      </x:c>
      <x:c r="T82" s="32" t="n">
        <x:f>IF(O82="","",(1/'Metadata'!$B$5)^(O82-1))</x:f>
        <x:v>630.957344480193</x:v>
      </x:c>
      <x:c r="U82" s="31" t="n">
        <x:f>IF(T82="","",I82*T82)</x:f>
        <x:v>279195.68073061603</x:v>
      </x:c>
    </x:row>
    <x:row r="83" ht="18" customHeight="1">
      <x:c r="A83" s="24" t="str">
        <x:v>LME_025</x:v>
      </x:c>
      <x:c r="B83" s="24" t="str">
        <x:v>Iberian Coastal</x:v>
      </x:c>
      <x:c r="C83" s="24" t="str">
        <x:v>LME</x:v>
      </x:c>
      <x:c r="D83" s="30" t="n">
        <x:v>2019</x:v>
      </x:c>
      <x:c r="E83" s="24" t="str">
        <x:v>Phycis blennoides</x:v>
      </x:c>
      <x:c r="F83" s="24" t="str">
        <x:v>Greater forkbeard</x:v>
      </x:c>
      <x:c r="G83" s="24" t="str">
        <x:v>Large benthopelagics (&gt;=90 cm)</x:v>
      </x:c>
      <x:c r="H83" s="24" t="str">
        <x:v>Cod-likes</x:v>
      </x:c>
      <x:c r="I83" s="31" t="n">
        <x:v>429.6202394584</x:v>
      </x:c>
      <x:c r="J83" s="31" t="n">
        <x:v>425.11271569580003</x:v>
      </x:c>
      <x:c r="K83" s="31" t="n">
        <x:v>4.5075237626</x:v>
      </x:c>
      <x:c r="L83" s="31" t="n">
        <x:v>398.21716573659995</x:v>
      </x:c>
      <x:c r="M83" s="31" t="n">
        <x:v>31.403073721800002</x:v>
      </x:c>
      <x:c r="N83" s="24" t="str">
        <x:v>phycis blennoides</x:v>
      </x:c>
      <x:c r="O83" s="32" t="n">
        <x:v>3.87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Phycis blennoides</x:v>
      </x:c>
      <x:c r="T83" s="32" t="n">
        <x:f>IF(O83="","",(1/'Metadata'!$B$5)^(O83-1))</x:f>
        <x:v>741.3102413009177</x:v>
      </x:c>
      <x:c r="U83" s="31" t="n">
        <x:f>IF(T83="","",I83*T83)</x:f>
        <x:v>318481.88338066457</x:v>
      </x:c>
    </x:row>
    <x:row r="84" ht="18" customHeight="1">
      <x:c r="A84" s="24" t="str">
        <x:v>LME_025</x:v>
      </x:c>
      <x:c r="B84" s="24" t="str">
        <x:v>Iberian Coastal</x:v>
      </x:c>
      <x:c r="C84" s="24" t="str">
        <x:v>LME</x:v>
      </x:c>
      <x:c r="D84" s="30" t="n">
        <x:v>2019</x:v>
      </x:c>
      <x:c r="E84" s="24" t="str">
        <x:v>Cephalopoda</x:v>
      </x:c>
      <x:c r="F84" s="24" t="str">
        <x:v>Squids, cuttlefishes, octopuses</x:v>
      </x:c>
      <x:c r="G84" s="24" t="str">
        <x:v>Cephalopods</x:v>
      </x:c>
      <x:c r="H84" s="24" t="str">
        <x:v>Other fishes &amp; inverts</x:v>
      </x:c>
      <x:c r="I84" s="31" t="n">
        <x:v>411.1993144215</x:v>
      </x:c>
      <x:c r="J84" s="31" t="n">
        <x:v>3.0558421963999995</x:v>
      </x:c>
      <x:c r="K84" s="31" t="n">
        <x:v>408.1434722251</x:v>
      </x:c>
      <x:c r="L84" s="31" t="n">
        <x:v>0</x:v>
      </x:c>
      <x:c r="M84" s="31" t="n">
        <x:v>411.1993144215</x:v>
      </x:c>
      <x:c r="N84" s="24" t="str">
        <x:v>cephalopoda</x:v>
      </x:c>
      <x:c r="O84" s="32" t="n">
        <x:v>3.81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Cephalopoda</x:v>
      </x:c>
      <x:c r="T84" s="32" t="n">
        <x:f>IF(O84="","",(1/'Metadata'!$B$5)^(O84-1))</x:f>
        <x:v>645.6542290346556</x:v>
      </x:c>
      <x:c r="U84" s="31" t="n">
        <x:f>IF(T84="","",I84*T84)</x:f>
        <x:v>265492.5763323925</x:v>
      </x:c>
    </x:row>
    <x:row r="85" ht="18" customHeight="1">
      <x:c r="A85" s="24" t="str">
        <x:v>LME_025</x:v>
      </x:c>
      <x:c r="B85" s="24" t="str">
        <x:v>Iberian Coastal</x:v>
      </x:c>
      <x:c r="C85" s="24" t="str">
        <x:v>LME</x:v>
      </x:c>
      <x:c r="D85" s="30" t="n">
        <x:v>2019</x:v>
      </x:c>
      <x:c r="E85" s="24" t="str">
        <x:v>Citharus linguatula</x:v>
      </x:c>
      <x:c r="F85" s="24" t="str">
        <x:v>Spotted flounder</x:v>
      </x:c>
      <x:c r="G85" s="24" t="str">
        <x:v>Small to medium flatfishes (&lt;90 cm)</x:v>
      </x:c>
      <x:c r="H85" s="24" t="str">
        <x:v>Flatfishes</x:v>
      </x:c>
      <x:c r="I85" s="31" t="n">
        <x:v>396.4787763435</x:v>
      </x:c>
      <x:c r="J85" s="31" t="n">
        <x:v>151.90273873459998</x:v>
      </x:c>
      <x:c r="K85" s="31" t="n">
        <x:v>244.5760376089</x:v>
      </x:c>
      <x:c r="L85" s="31" t="n">
        <x:v>132.4465113998</x:v>
      </x:c>
      <x:c r="M85" s="31" t="n">
        <x:v>264.0322649437</x:v>
      </x:c>
      <x:c r="N85" s="24" t="str">
        <x:v>citharus linguatula</x:v>
      </x:c>
      <x:c r="O85" s="32" t="n">
        <x:v>3.97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Citharus linguatula</x:v>
      </x:c>
      <x:c r="T85" s="32" t="n">
        <x:f>IF(O85="","",(1/'Metadata'!$B$5)^(O85-1))</x:f>
        <x:v>933.2543007969915</x:v>
      </x:c>
      <x:c r="U85" s="31" t="n">
        <x:f>IF(T85="","",I85*T85)</x:f>
        <x:v>370015.52319729986</x:v>
      </x:c>
    </x:row>
    <x:row r="86" ht="18" customHeight="1">
      <x:c r="A86" s="24" t="str">
        <x:v>LME_025</x:v>
      </x:c>
      <x:c r="B86" s="24" t="str">
        <x:v>Iberian Coastal</x:v>
      </x:c>
      <x:c r="C86" s="24" t="str">
        <x:v>LME</x:v>
      </x:c>
      <x:c r="D86" s="30" t="n">
        <x:v>2019</x:v>
      </x:c>
      <x:c r="E86" s="24" t="str">
        <x:v>Mullus surmuletus</x:v>
      </x:c>
      <x:c r="F86" s="24" t="str">
        <x:v>Surmullet</x:v>
      </x:c>
      <x:c r="G86" s="24" t="str">
        <x:v>Medium demersals (30 - 89 cm)</x:v>
      </x:c>
      <x:c r="H86" s="24" t="str">
        <x:v>Perch-likes</x:v>
      </x:c>
      <x:c r="I86" s="31" t="n">
        <x:v>395.9573949573</x:v>
      </x:c>
      <x:c r="J86" s="31" t="n">
        <x:v>385.8483559308</x:v>
      </x:c>
      <x:c r="K86" s="31" t="n">
        <x:v>10.109039026500001</x:v>
      </x:c>
      <x:c r="L86" s="31" t="n">
        <x:v>348.9410642805</x:v>
      </x:c>
      <x:c r="M86" s="31" t="n">
        <x:v>47.0163306768</x:v>
      </x:c>
      <x:c r="N86" s="24" t="str">
        <x:v>mullus surmuletus</x:v>
      </x:c>
      <x:c r="O86" s="32" t="n">
        <x:v>3.45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Mullus surmuletus</x:v>
      </x:c>
      <x:c r="T86" s="32" t="n">
        <x:f>IF(O86="","",(1/'Metadata'!$B$5)^(O86-1))</x:f>
        <x:v>281.8382931264455</x:v>
      </x:c>
      <x:c r="U86" s="31" t="n">
        <x:f>IF(T86="","",I86*T86)</x:f>
        <x:v>111595.95634555926</x:v>
      </x:c>
    </x:row>
    <x:row r="87" ht="18" customHeight="1">
      <x:c r="A87" s="24" t="str">
        <x:v>LME_025</x:v>
      </x:c>
      <x:c r="B87" s="24" t="str">
        <x:v>Iberian Coastal</x:v>
      </x:c>
      <x:c r="C87" s="24" t="str">
        <x:v>LME</x:v>
      </x:c>
      <x:c r="D87" s="30" t="n">
        <x:v>2019</x:v>
      </x:c>
      <x:c r="E87" s="24" t="str">
        <x:v>Dentex dentex</x:v>
      </x:c>
      <x:c r="F87" s="24" t="str">
        <x:v>Common dentex</x:v>
      </x:c>
      <x:c r="G87" s="24" t="str">
        <x:v>Large benthopelagics (&gt;=90 cm)</x:v>
      </x:c>
      <x:c r="H87" s="24" t="str">
        <x:v>Perch-likes</x:v>
      </x:c>
      <x:c r="I87" s="31" t="n">
        <x:v>393.71238144539996</x:v>
      </x:c>
      <x:c r="J87" s="31" t="n">
        <x:v>393.2547224911</x:v>
      </x:c>
      <x:c r="K87" s="31" t="n">
        <x:v>0.4576589543</x:v>
      </x:c>
      <x:c r="L87" s="31" t="n">
        <x:v>22.9458125304</x:v>
      </x:c>
      <x:c r="M87" s="31" t="n">
        <x:v>370.766568915</x:v>
      </x:c>
      <x:c r="N87" s="24" t="str">
        <x:v>dentex dentex</x:v>
      </x:c>
      <x:c r="O87" s="32" t="n">
        <x:v>4.53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Dentex dentex</x:v>
      </x:c>
      <x:c r="T87" s="32" t="n">
        <x:f>IF(O87="","",(1/'Metadata'!$B$5)^(O87-1))</x:f>
        <x:v>3388.4415613920273</x:v>
      </x:c>
      <x:c r="U87" s="31" t="n">
        <x:f>IF(T87="","",I87*T87)</x:f>
        <x:v>1334071.3965242244</x:v>
      </x:c>
    </x:row>
    <x:row r="88" ht="18" customHeight="1">
      <x:c r="A88" s="24" t="str">
        <x:v>LME_025</x:v>
      </x:c>
      <x:c r="B88" s="24" t="str">
        <x:v>Iberian Coastal</x:v>
      </x:c>
      <x:c r="C88" s="24" t="str">
        <x:v>LME</x:v>
      </x:c>
      <x:c r="D88" s="30" t="n">
        <x:v>2019</x:v>
      </x:c>
      <x:c r="E88" s="24" t="str">
        <x:v>Halobatrachus didactylus</x:v>
      </x:c>
      <x:c r="F88" s="24" t="str">
        <x:v>Lusitanian toadfish</x:v>
      </x:c>
      <x:c r="G88" s="24" t="str">
        <x:v>Medium demersals (30 - 89 cm)</x:v>
      </x:c>
      <x:c r="H88" s="24" t="str">
        <x:v>Other fishes &amp; inverts</x:v>
      </x:c>
      <x:c r="I88" s="31" t="n">
        <x:v>392.96038333129997</x:v>
      </x:c>
      <x:c r="J88" s="31" t="n">
        <x:v>6.0261268522</x:v>
      </x:c>
      <x:c r="K88" s="31" t="n">
        <x:v>386.9342564791</x:v>
      </x:c>
      <x:c r="L88" s="31" t="n">
        <x:v>5.334988060600001</x:v>
      </x:c>
      <x:c r="M88" s="31" t="n">
        <x:v>387.6253952707</x:v>
      </x:c>
      <x:c r="N88" s="24" t="str">
        <x:v>halobatrachus didactylus</x:v>
      </x:c>
      <x:c r="O88" s="32" t="n">
        <x:v>3.95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Halobatrachus didactylus</x:v>
      </x:c>
      <x:c r="T88" s="32" t="n">
        <x:f>IF(O88="","",(1/'Metadata'!$B$5)^(O88-1))</x:f>
        <x:v>891.2509381337459</x:v>
      </x:c>
      <x:c r="U88" s="31" t="n">
        <x:f>IF(T88="","",I88*T88)</x:f>
        <x:v>350226.3102934175</x:v>
      </x:c>
    </x:row>
    <x:row r="89" ht="18" customHeight="1">
      <x:c r="A89" s="24" t="str">
        <x:v>LME_025</x:v>
      </x:c>
      <x:c r="B89" s="24" t="str">
        <x:v>Iberian Coastal</x:v>
      </x:c>
      <x:c r="C89" s="24" t="str">
        <x:v>LME</x:v>
      </x:c>
      <x:c r="D89" s="30" t="n">
        <x:v>2019</x:v>
      </x:c>
      <x:c r="E89" s="24" t="str">
        <x:v>Salmo salar</x:v>
      </x:c>
      <x:c r="F89" s="24" t="str">
        <x:v>Atlantic salmon</x:v>
      </x:c>
      <x:c r="G89" s="24" t="str">
        <x:v>Large benthopelagics (&gt;=90 cm)</x:v>
      </x:c>
      <x:c r="H89" s="24" t="str">
        <x:v>Salmon, smelts, etc</x:v>
      </x:c>
      <x:c r="I89" s="31" t="n">
        <x:v>379.29224415839997</x:v>
      </x:c>
      <x:c r="J89" s="31" t="n">
        <x:v>379.29224415839997</x:v>
      </x:c>
      <x:c r="K89" s="31" t="n">
        <x:v>0</x:v>
      </x:c>
      <x:c r="L89" s="31" t="n">
        <x:v>0.6961963104</x:v>
      </x:c>
      <x:c r="M89" s="31" t="n">
        <x:v>378.59604784799996</x:v>
      </x:c>
      <x:c r="N89" s="24" t="str">
        <x:v>salmo salar</x:v>
      </x:c>
      <x:c r="O89" s="32" t="n">
        <x:v>4.5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Salmo salar</x:v>
      </x:c>
      <x:c r="T89" s="32" t="n">
        <x:f>IF(O89="","",(1/'Metadata'!$B$5)^(O89-1))</x:f>
        <x:v>3162.2776601683795</x:v>
      </x:c>
      <x:c r="U89" s="31" t="n">
        <x:f>IF(T89="","",I89*T89)</x:f>
        <x:v>1199427.3903772389</x:v>
      </x:c>
    </x:row>
    <x:row r="90" ht="18" customHeight="1">
      <x:c r="A90" s="24" t="str">
        <x:v>LME_025</x:v>
      </x:c>
      <x:c r="B90" s="24" t="str">
        <x:v>Iberian Coastal</x:v>
      </x:c>
      <x:c r="C90" s="24" t="str">
        <x:v>LME</x:v>
      </x:c>
      <x:c r="D90" s="30" t="n">
        <x:v>2019</x:v>
      </x:c>
      <x:c r="E90" s="24" t="str">
        <x:v>Penaeus kerathurus</x:v>
      </x:c>
      <x:c r="F90" s="24" t="str">
        <x:v>Caramote prawn</x:v>
      </x:c>
      <x:c r="G90" s="24" t="str">
        <x:v>Shrimps</x:v>
      </x:c>
      <x:c r="H90" s="24" t="str">
        <x:v>Crustaceans</x:v>
      </x:c>
      <x:c r="I90" s="31" t="n">
        <x:v>345.9115569874</x:v>
      </x:c>
      <x:c r="J90" s="31" t="n">
        <x:v>345.9115569874</x:v>
      </x:c>
      <x:c r="K90" s="31" t="n">
        <x:v>0</x:v>
      </x:c>
      <x:c r="L90" s="31" t="n">
        <x:v>211.17544951259998</x:v>
      </x:c>
      <x:c r="M90" s="31" t="n">
        <x:v>134.7361074748</x:v>
      </x:c>
      <x:c r="N90" s="24" t="str">
        <x:v>penaeus kerathurus</x:v>
      </x:c>
      <x:c r="O90" s="32" t="n">
        <x:v>2.7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Penaeus kerathurus</x:v>
      </x:c>
      <x:c r="T90" s="32" t="n">
        <x:f>IF(O90="","",(1/'Metadata'!$B$5)^(O90-1))</x:f>
        <x:v>50.11872336272725</x:v>
      </x:c>
      <x:c r="U90" s="31" t="n">
        <x:f>IF(T90="","",I90*T90)</x:f>
        <x:v>17336.645632621763</x:v>
      </x:c>
    </x:row>
    <x:row r="91" ht="18" customHeight="1">
      <x:c r="A91" s="24" t="str">
        <x:v>LME_025</x:v>
      </x:c>
      <x:c r="B91" s="24" t="str">
        <x:v>Iberian Coastal</x:v>
      </x:c>
      <x:c r="C91" s="24" t="str">
        <x:v>LME</x:v>
      </x:c>
      <x:c r="D91" s="30" t="n">
        <x:v>2019</x:v>
      </x:c>
      <x:c r="E91" s="24" t="str">
        <x:v>Lepidotrigla cavillone</x:v>
      </x:c>
      <x:c r="F91" s="24" t="str">
        <x:v>Large-scaled gurnard</x:v>
      </x:c>
      <x:c r="G91" s="24" t="str">
        <x:v>Small demersals (&lt;30 cm)</x:v>
      </x:c>
      <x:c r="H91" s="24" t="str">
        <x:v>Scorpionfishes</x:v>
      </x:c>
      <x:c r="I91" s="31" t="n">
        <x:v>334.5433828601</x:v>
      </x:c>
      <x:c r="J91" s="31" t="n">
        <x:v>332.9292819272</x:v>
      </x:c>
      <x:c r="K91" s="31" t="n">
        <x:v>1.6141009329</x:v>
      </x:c>
      <x:c r="L91" s="31" t="n">
        <x:v>332.9292819272</x:v>
      </x:c>
      <x:c r="M91" s="31" t="n">
        <x:v>1.6141009329</x:v>
      </x:c>
      <x:c r="N91" s="24" t="str">
        <x:v>lepidotrigla cavillone</x:v>
      </x:c>
      <x:c r="O91" s="32" t="n">
        <x:v>3.33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Lepidotrigla cavillone</x:v>
      </x:c>
      <x:c r="T91" s="32" t="n">
        <x:f>IF(O91="","",(1/'Metadata'!$B$5)^(O91-1))</x:f>
        <x:v>213.79620895022325</x:v>
      </x:c>
      <x:c r="U91" s="31" t="n">
        <x:f>IF(T91="","",I91*T91)</x:f>
        <x:v>71524.10698487247</x:v>
      </x:c>
    </x:row>
    <x:row r="92" ht="18" customHeight="1">
      <x:c r="A92" s="24" t="str">
        <x:v>LME_025</x:v>
      </x:c>
      <x:c r="B92" s="24" t="str">
        <x:v>Iberian Coastal</x:v>
      </x:c>
      <x:c r="C92" s="24" t="str">
        <x:v>LME</x:v>
      </x:c>
      <x:c r="D92" s="30" t="n">
        <x:v>2019</x:v>
      </x:c>
      <x:c r="E92" s="24" t="str">
        <x:v>Holothuroidea</x:v>
      </x:c>
      <x:c r="F92" s="24" t="str">
        <x:v>Sea cucumbers</x:v>
      </x:c>
      <x:c r="G92" s="24" t="str">
        <x:v>Other demersal invertebrates</x:v>
      </x:c>
      <x:c r="H92" s="24" t="str">
        <x:v>Other fishes &amp; inverts</x:v>
      </x:c>
      <x:c r="I92" s="31" t="n">
        <x:v>319.9404891188</x:v>
      </x:c>
      <x:c r="J92" s="31" t="n">
        <x:v>19.2065889058</x:v>
      </x:c>
      <x:c r="K92" s="31" t="n">
        <x:v>300.73390021299997</x:v>
      </x:c>
      <x:c r="L92" s="31" t="n">
        <x:v>8.9910252291</x:v>
      </x:c>
      <x:c r="M92" s="31" t="n">
        <x:v>310.9494638897</x:v>
      </x:c>
      <x:c r="N92" s="24" t="str">
        <x:v>holothuroidea</x:v>
      </x:c>
      <x:c r="O92" s="32" t="n">
        <x:v>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Holothuroidea</x:v>
      </x:c>
      <x:c r="T92" s="32" t="n">
        <x:f>IF(O92="","",(1/'Metadata'!$B$5)^(O92-1))</x:f>
        <x:v>10</x:v>
      </x:c>
      <x:c r="U92" s="31" t="n">
        <x:f>IF(T92="","",I92*T92)</x:f>
        <x:v>3199.404891188</x:v>
      </x:c>
    </x:row>
    <x:row r="93" ht="18" customHeight="1">
      <x:c r="A93" s="24" t="str">
        <x:v>LME_025</x:v>
      </x:c>
      <x:c r="B93" s="24" t="str">
        <x:v>Iberian Coastal</x:v>
      </x:c>
      <x:c r="C93" s="24" t="str">
        <x:v>LME</x:v>
      </x:c>
      <x:c r="D93" s="30" t="n">
        <x:v>2019</x:v>
      </x:c>
      <x:c r="E93" s="24" t="str">
        <x:v>Coryphaena hippurus</x:v>
      </x:c>
      <x:c r="F93" s="24" t="str">
        <x:v>Common dolphinfish</x:v>
      </x:c>
      <x:c r="G93" s="24" t="str">
        <x:v>Large pelagics (&gt;=90 cm)</x:v>
      </x:c>
      <x:c r="H93" s="24" t="str">
        <x:v>Perch-likes</x:v>
      </x:c>
      <x:c r="I93" s="31" t="n">
        <x:v>318.29854585249996</x:v>
      </x:c>
      <x:c r="J93" s="31" t="n">
        <x:v>318.2432488197</x:v>
      </x:c>
      <x:c r="K93" s="31" t="n">
        <x:v>0.0552970328</x:v>
      </x:c>
      <x:c r="L93" s="31" t="n">
        <x:v>14.4309916008</x:v>
      </x:c>
      <x:c r="M93" s="31" t="n">
        <x:v>303.86755425169997</x:v>
      </x:c>
      <x:c r="N93" s="24" t="str">
        <x:v>coryphaena hippurus</x:v>
      </x:c>
      <x:c r="O93" s="32" t="n">
        <x:v>4.37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Coryphaena hippurus</x:v>
      </x:c>
      <x:c r="T93" s="32" t="n">
        <x:f>IF(O93="","",(1/'Metadata'!$B$5)^(O93-1))</x:f>
        <x:v>2344.228815319923</x:v>
      </x:c>
      <x:c r="U93" s="31" t="n">
        <x:f>IF(T93="","",I93*T93)</x:f>
        <x:v>746164.6230618601</x:v>
      </x:c>
    </x:row>
    <x:row r="94" ht="18" customHeight="1">
      <x:c r="A94" s="24" t="str">
        <x:v>LME_025</x:v>
      </x:c>
      <x:c r="B94" s="24" t="str">
        <x:v>Iberian Coastal</x:v>
      </x:c>
      <x:c r="C94" s="24" t="str">
        <x:v>LME</x:v>
      </x:c>
      <x:c r="D94" s="30" t="n">
        <x:v>2019</x:v>
      </x:c>
      <x:c r="E94" s="24" t="str">
        <x:v>Todarodes sagittatus</x:v>
      </x:c>
      <x:c r="F94" s="24" t="str">
        <x:v>European flying squid</x:v>
      </x:c>
      <x:c r="G94" s="24" t="str">
        <x:v>Cephalopods</x:v>
      </x:c>
      <x:c r="H94" s="24" t="str">
        <x:v>Other fishes &amp; inverts</x:v>
      </x:c>
      <x:c r="I94" s="31" t="n">
        <x:v>297.7048637451</x:v>
      </x:c>
      <x:c r="J94" s="31" t="n">
        <x:v>297.6909546432</x:v>
      </x:c>
      <x:c r="K94" s="31" t="n">
        <x:v>0.0139091019</x:v>
      </x:c>
      <x:c r="L94" s="31" t="n">
        <x:v>297.67655209139997</x:v>
      </x:c>
      <x:c r="M94" s="31" t="n">
        <x:v>0.0283116537</x:v>
      </x:c>
      <x:c r="N94" s="24" t="str">
        <x:v>todarodes sagittatus</x:v>
      </x:c>
      <x:c r="O94" s="32" t="n">
        <x:v>4.01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Todarodes sagittatus</x:v>
      </x:c>
      <x:c r="T94" s="32" t="n">
        <x:f>IF(O94="","",(1/'Metadata'!$B$5)^(O94-1))</x:f>
        <x:v>1023.2929922807537</x:v>
      </x:c>
      <x:c r="U94" s="31" t="n">
        <x:f>IF(T94="","",I94*T94)</x:f>
        <x:v>304639.3008382574</x:v>
      </x:c>
    </x:row>
    <x:row r="95" ht="18" customHeight="1">
      <x:c r="A95" s="24" t="str">
        <x:v>LME_025</x:v>
      </x:c>
      <x:c r="B95" s="24" t="str">
        <x:v>Iberian Coastal</x:v>
      </x:c>
      <x:c r="C95" s="24" t="str">
        <x:v>LME</x:v>
      </x:c>
      <x:c r="D95" s="30" t="n">
        <x:v>2019</x:v>
      </x:c>
      <x:c r="E95" s="24" t="str">
        <x:v>Portunidae</x:v>
      </x:c>
      <x:c r="F95" s="24" t="str">
        <x:v>Swimming crabs</x:v>
      </x:c>
      <x:c r="G95" s="24" t="str">
        <x:v>Lobsters, crabs</x:v>
      </x:c>
      <x:c r="H95" s="24" t="str">
        <x:v>Crustaceans</x:v>
      </x:c>
      <x:c r="I95" s="31" t="n">
        <x:v>295.2099246949</x:v>
      </x:c>
      <x:c r="J95" s="31" t="n">
        <x:v>1.9644785716999997</x:v>
      </x:c>
      <x:c r="K95" s="31" t="n">
        <x:v>293.2454461232</x:v>
      </x:c>
      <x:c r="L95" s="31" t="n">
        <x:v>1.9468513550999997</x:v>
      </x:c>
      <x:c r="M95" s="31" t="n">
        <x:v>293.26307333980003</x:v>
      </x:c>
      <x:c r="N95" s="24" t="str">
        <x:v>portunidae</x:v>
      </x:c>
      <x:c r="O95" s="32" t="n">
        <x:v>3.56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Portunidae</x:v>
      </x:c>
      <x:c r="T95" s="32" t="n">
        <x:f>IF(O95="","",(1/'Metadata'!$B$5)^(O95-1))</x:f>
        <x:v>363.0780547701014</x:v>
      </x:c>
      <x:c r="U95" s="31" t="n">
        <x:f>IF(T95="","",I95*T95)</x:f>
        <x:v>107184.24520705242</x:v>
      </x:c>
    </x:row>
    <x:row r="96" ht="18" customHeight="1">
      <x:c r="A96" s="24" t="str">
        <x:v>LME_025</x:v>
      </x:c>
      <x:c r="B96" s="24" t="str">
        <x:v>Iberian Coastal</x:v>
      </x:c>
      <x:c r="C96" s="24" t="str">
        <x:v>LME</x:v>
      </x:c>
      <x:c r="D96" s="30" t="n">
        <x:v>2019</x:v>
      </x:c>
      <x:c r="E96" s="24" t="str">
        <x:v>Phycis phycis</x:v>
      </x:c>
      <x:c r="F96" s="24" t="str">
        <x:v>Forkbeard</x:v>
      </x:c>
      <x:c r="G96" s="24" t="str">
        <x:v>Medium benthopelagics (30 - 89 cm)</x:v>
      </x:c>
      <x:c r="H96" s="24" t="str">
        <x:v>Cod-likes</x:v>
      </x:c>
      <x:c r="I96" s="31" t="n">
        <x:v>279.52647967869996</x:v>
      </x:c>
      <x:c r="J96" s="31" t="n">
        <x:v>72.409771192</x:v>
      </x:c>
      <x:c r="K96" s="31" t="n">
        <x:v>207.1167084867</x:v>
      </x:c>
      <x:c r="L96" s="31" t="n">
        <x:v>57.303670824799994</x:v>
      </x:c>
      <x:c r="M96" s="31" t="n">
        <x:v>222.22280885389998</x:v>
      </x:c>
      <x:c r="N96" s="24" t="str">
        <x:v>phycis phycis</x:v>
      </x:c>
      <x:c r="O96" s="32" t="n">
        <x:v>4.25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Phycis phycis</x:v>
      </x:c>
      <x:c r="T96" s="32" t="n">
        <x:f>IF(O96="","",(1/'Metadata'!$B$5)^(O96-1))</x:f>
        <x:v>1778.2794100389228</x:v>
      </x:c>
      <x:c r="U96" s="31" t="n">
        <x:f>IF(T96="","",I96*T96)</x:f>
        <x:v>497076.1833732955</x:v>
      </x:c>
    </x:row>
    <x:row r="97" ht="18" customHeight="1">
      <x:c r="A97" s="24" t="str">
        <x:v>LME_025</x:v>
      </x:c>
      <x:c r="B97" s="24" t="str">
        <x:v>Iberian Coastal</x:v>
      </x:c>
      <x:c r="C97" s="24" t="str">
        <x:v>LME</x:v>
      </x:c>
      <x:c r="D97" s="30" t="n">
        <x:v>2019</x:v>
      </x:c>
      <x:c r="E97" s="24" t="str">
        <x:v>Dicologlossa cuneata</x:v>
      </x:c>
      <x:c r="F97" s="24" t="str">
        <x:v>Wedge sole</x:v>
      </x:c>
      <x:c r="G97" s="24" t="str">
        <x:v>Small to medium flatfishes (&lt;90 cm)</x:v>
      </x:c>
      <x:c r="H97" s="24" t="str">
        <x:v>Flatfishes</x:v>
      </x:c>
      <x:c r="I97" s="31" t="n">
        <x:v>277.2822557394</x:v>
      </x:c>
      <x:c r="J97" s="31" t="n">
        <x:v>246.4069699851</x:v>
      </x:c>
      <x:c r="K97" s="31" t="n">
        <x:v>30.875285754300002</x:v>
      </x:c>
      <x:c r="L97" s="31" t="n">
        <x:v>182.1405965092</x:v>
      </x:c>
      <x:c r="M97" s="31" t="n">
        <x:v>95.1416592302</x:v>
      </x:c>
      <x:c r="N97" s="24" t="str">
        <x:v>dicologlossa cuneata</x:v>
      </x:c>
      <x:c r="O97" s="32" t="n">
        <x:v>3.32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Dicologlossa cuneata</x:v>
      </x:c>
      <x:c r="T97" s="32" t="n">
        <x:f>IF(O97="","",(1/'Metadata'!$B$5)^(O97-1))</x:f>
        <x:v>208.92961308540387</x:v>
      </x:c>
      <x:c r="U97" s="31" t="n">
        <x:f>IF(T97="","",I97*T97)</x:f>
        <x:v>57932.47440708085</x:v>
      </x:c>
    </x:row>
    <x:row r="98" ht="18" customHeight="1">
      <x:c r="A98" s="24" t="str">
        <x:v>LME_025</x:v>
      </x:c>
      <x:c r="B98" s="24" t="str">
        <x:v>Iberian Coastal</x:v>
      </x:c>
      <x:c r="C98" s="24" t="str">
        <x:v>LME</x:v>
      </x:c>
      <x:c r="D98" s="30" t="n">
        <x:v>2019</x:v>
      </x:c>
      <x:c r="E98" s="24" t="str">
        <x:v>Scorpaenidae</x:v>
      </x:c>
      <x:c r="F98" s="24" t="str">
        <x:v>Scorpionfishes, rockfishes</x:v>
      </x:c>
      <x:c r="G98" s="24" t="str">
        <x:v>Large reef assoc. fish (&gt;=90 cm)</x:v>
      </x:c>
      <x:c r="H98" s="24" t="str">
        <x:v>Scorpionfishes</x:v>
      </x:c>
      <x:c r="I98" s="31" t="n">
        <x:v>271.26764283069997</x:v>
      </x:c>
      <x:c r="J98" s="31" t="n">
        <x:v>271.26764283069997</x:v>
      </x:c>
      <x:c r="K98" s="31" t="n">
        <x:v>0</x:v>
      </x:c>
      <x:c r="L98" s="31" t="n">
        <x:v>271.26764283069997</x:v>
      </x:c>
      <x:c r="M98" s="31" t="n">
        <x:v>0</x:v>
      </x:c>
      <x:c r="N98" s="24" t="str">
        <x:v>scorpaenidae</x:v>
      </x:c>
      <x:c r="O98" s="32" t="n">
        <x:v>3.92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Scorpaenidae</x:v>
      </x:c>
      <x:c r="T98" s="32" t="n">
        <x:f>IF(O98="","",(1/'Metadata'!$B$5)^(O98-1))</x:f>
        <x:v>831.7637711026708</x:v>
      </x:c>
      <x:c r="U98" s="31" t="n">
        <x:f>IF(T98="","",I98*T98)</x:f>
        <x:v>225630.5975789954</x:v>
      </x:c>
    </x:row>
    <x:row r="99" ht="18" customHeight="1">
      <x:c r="A99" s="24" t="str">
        <x:v>LME_025</x:v>
      </x:c>
      <x:c r="B99" s="24" t="str">
        <x:v>Iberian Coastal</x:v>
      </x:c>
      <x:c r="C99" s="24" t="str">
        <x:v>LME</x:v>
      </x:c>
      <x:c r="D99" s="30" t="n">
        <x:v>2019</x:v>
      </x:c>
      <x:c r="E99" s="24" t="str">
        <x:v>Katsuwonus pelamis</x:v>
      </x:c>
      <x:c r="F99" s="24" t="str">
        <x:v>Skipjack tuna</x:v>
      </x:c>
      <x:c r="G99" s="24" t="str">
        <x:v>Large pelagics (&gt;=90 cm)</x:v>
      </x:c>
      <x:c r="H99" s="24" t="str">
        <x:v>Tuna &amp; billfishes</x:v>
      </x:c>
      <x:c r="I99" s="31" t="n">
        <x:v>271.0719125453</x:v>
      </x:c>
      <x:c r="J99" s="31" t="n">
        <x:v>271.0719125453</x:v>
      </x:c>
      <x:c r="K99" s="31" t="n">
        <x:v>0</x:v>
      </x:c>
      <x:c r="L99" s="31" t="n">
        <x:v>270.7296268521</x:v>
      </x:c>
      <x:c r="M99" s="31" t="n">
        <x:v>0.3422856932</x:v>
      </x:c>
      <x:c r="N99" s="24" t="str">
        <x:v>katsuwonus pelamis</x:v>
      </x:c>
      <x:c r="O99" s="32" t="n">
        <x:v>4.43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Katsuwonus pelamis</x:v>
      </x:c>
      <x:c r="T99" s="32" t="n">
        <x:f>IF(O99="","",(1/'Metadata'!$B$5)^(O99-1))</x:f>
        <x:v>2691.534803926914</x:v>
      </x:c>
      <x:c r="U99" s="31" t="n">
        <x:f>IF(T99="","",I99*T99)</x:f>
        <x:v>729599.4869827075</x:v>
      </x:c>
    </x:row>
    <x:row r="100" ht="18" customHeight="1">
      <x:c r="A100" s="24" t="str">
        <x:v>LME_025</x:v>
      </x:c>
      <x:c r="B100" s="24" t="str">
        <x:v>Iberian Coastal</x:v>
      </x:c>
      <x:c r="C100" s="24" t="str">
        <x:v>LME</x:v>
      </x:c>
      <x:c r="D100" s="30" t="n">
        <x:v>2019</x:v>
      </x:c>
      <x:c r="E100" s="24" t="str">
        <x:v>Scorpaena</x:v>
      </x:c>
      <x:c r="F100" s="24" t="str">
        <x:v>Scorpionfishes</x:v>
      </x:c>
      <x:c r="G100" s="24" t="str">
        <x:v>Large reef assoc. fish (&gt;=90 cm)</x:v>
      </x:c>
      <x:c r="H100" s="24" t="str">
        <x:v>Scorpionfishes</x:v>
      </x:c>
      <x:c r="I100" s="31" t="n">
        <x:v>267.6144015703</x:v>
      </x:c>
      <x:c r="J100" s="31" t="n">
        <x:v>266.558941306</x:v>
      </x:c>
      <x:c r="K100" s="31" t="n">
        <x:v>1.0554602643</x:v>
      </x:c>
      <x:c r="L100" s="31" t="n">
        <x:v>243.04323354779999</x:v>
      </x:c>
      <x:c r="M100" s="31" t="n">
        <x:v>24.5711680225</x:v>
      </x:c>
      <x:c r="N100" s="24" t="str">
        <x:v>scorpaena</x:v>
      </x:c>
      <x:c r="O100" s="32" t="n">
        <x:v>3.87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Scorpaena</x:v>
      </x:c>
      <x:c r="T100" s="32" t="n">
        <x:f>IF(O100="","",(1/'Metadata'!$B$5)^(O100-1))</x:f>
        <x:v>741.3102413009177</x:v>
      </x:c>
      <x:c r="U100" s="31" t="n">
        <x:f>IF(T100="","",I100*T100)</x:f>
        <x:v>198385.29660367977</x:v>
      </x:c>
    </x:row>
    <x:row r="101" ht="18" customHeight="1">
      <x:c r="A101" s="24" t="str">
        <x:v>LME_025</x:v>
      </x:c>
      <x:c r="B101" s="24" t="str">
        <x:v>Iberian Coastal</x:v>
      </x:c>
      <x:c r="C101" s="24" t="str">
        <x:v>LME</x:v>
      </x:c>
      <x:c r="D101" s="30" t="n">
        <x:v>2019</x:v>
      </x:c>
      <x:c r="E101" s="24" t="str">
        <x:v>Auxis rochei</x:v>
      </x:c>
      <x:c r="F101" s="24" t="str">
        <x:v>Bullet tuna</x:v>
      </x:c>
      <x:c r="G101" s="24" t="str">
        <x:v>Medium pelagics (30 - 89 cm)</x:v>
      </x:c>
      <x:c r="H101" s="24" t="str">
        <x:v>Tuna &amp; billfishes</x:v>
      </x:c>
      <x:c r="I101" s="31" t="n">
        <x:v>264.3473487852</x:v>
      </x:c>
      <x:c r="J101" s="31" t="n">
        <x:v>264.3473487852</x:v>
      </x:c>
      <x:c r="K101" s="31" t="n">
        <x:v>0</x:v>
      </x:c>
      <x:c r="L101" s="31" t="n">
        <x:v>230.43486137809998</x:v>
      </x:c>
      <x:c r="M101" s="31" t="n">
        <x:v>33.9124874071</x:v>
      </x:c>
      <x:c r="N101" s="24" t="str">
        <x:v>auxis rochei</x:v>
      </x:c>
      <x:c r="O101" s="32" t="n">
        <x:v>4.13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Auxis rochei</x:v>
      </x:c>
      <x:c r="T101" s="32" t="n">
        <x:f>IF(O101="","",(1/'Metadata'!$B$5)^(O101-1))</x:f>
        <x:v>1348.9628825916532</x:v>
      </x:c>
      <x:c r="U101" s="31" t="n">
        <x:f>IF(T101="","",I101*T101)</x:f>
        <x:v>356594.7616227445</x:v>
      </x:c>
    </x:row>
    <x:row r="102" ht="18" customHeight="1">
      <x:c r="A102" s="24" t="str">
        <x:v>LME_025</x:v>
      </x:c>
      <x:c r="B102" s="24" t="str">
        <x:v>Iberian Coastal</x:v>
      </x:c>
      <x:c r="C102" s="24" t="str">
        <x:v>LME</x:v>
      </x:c>
      <x:c r="D102" s="30" t="n">
        <x:v>2019</x:v>
      </x:c>
      <x:c r="E102" s="24" t="str">
        <x:v>Galeus melastomus</x:v>
      </x:c>
      <x:c r="F102" s="24" t="str">
        <x:v>Blackmouth catshark</x:v>
      </x:c>
      <x:c r="G102" s="24" t="str">
        <x:v>Small to medium sharks (&lt;90 cm)</x:v>
      </x:c>
      <x:c r="H102" s="24" t="str">
        <x:v>Sharks &amp; rays</x:v>
      </x:c>
      <x:c r="I102" s="31" t="n">
        <x:v>263.3449026451</x:v>
      </x:c>
      <x:c r="J102" s="31" t="n">
        <x:v>27.8703856831</x:v>
      </x:c>
      <x:c r="K102" s="31" t="n">
        <x:v>235.474516962</x:v>
      </x:c>
      <x:c r="L102" s="31" t="n">
        <x:v>22.7070045761</x:v>
      </x:c>
      <x:c r="M102" s="31" t="n">
        <x:v>240.637898069</x:v>
      </x:c>
      <x:c r="N102" s="24" t="str">
        <x:v>galeus melastomus</x:v>
      </x:c>
      <x:c r="O102" s="32" t="n">
        <x:v>4.17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Galeus melastomus</x:v>
      </x:c>
      <x:c r="T102" s="32" t="n">
        <x:f>IF(O102="","",(1/'Metadata'!$B$5)^(O102-1))</x:f>
        <x:v>1479.1083881682073</x:v>
      </x:c>
      <x:c r="U102" s="31" t="n">
        <x:f>IF(T102="","",I102*T102)</x:f>
        <x:v>389515.6544837073</x:v>
      </x:c>
    </x:row>
    <x:row r="103" ht="18" customHeight="1">
      <x:c r="A103" s="24" t="str">
        <x:v>LME_025</x:v>
      </x:c>
      <x:c r="B103" s="24" t="str">
        <x:v>Iberian Coastal</x:v>
      </x:c>
      <x:c r="C103" s="24" t="str">
        <x:v>LME</x:v>
      </x:c>
      <x:c r="D103" s="30" t="n">
        <x:v>2019</x:v>
      </x:c>
      <x:c r="E103" s="24" t="str">
        <x:v>Echinodermata</x:v>
      </x:c>
      <x:c r="F103" s="24" t="str">
        <x:v>Sea urchins, stars, cucumbers</x:v>
      </x:c>
      <x:c r="G103" s="24" t="str">
        <x:v>Other demersal invertebrates</x:v>
      </x:c>
      <x:c r="H103" s="24" t="str">
        <x:v>Other fishes &amp; inverts</x:v>
      </x:c>
      <x:c r="I103" s="31" t="n">
        <x:v>261.543026635</x:v>
      </x:c>
      <x:c r="J103" s="31" t="n">
        <x:v>261.543026635</x:v>
      </x:c>
      <x:c r="K103" s="31" t="n">
        <x:v>0</x:v>
      </x:c>
      <x:c r="L103" s="31" t="n">
        <x:v>261.543026635</x:v>
      </x:c>
      <x:c r="M103" s="31" t="n">
        <x:v>0</x:v>
      </x:c>
      <x:c r="N103" s="24" t="str">
        <x:v>echinodermata</x:v>
      </x:c>
      <x:c r="O103" s="32" t="n">
        <x:v>2.3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Echinodermata</x:v>
      </x:c>
      <x:c r="T103" s="32" t="n">
        <x:f>IF(O103="","",(1/'Metadata'!$B$5)^(O103-1))</x:f>
        <x:v>19.952623149688787</x:v>
      </x:c>
      <x:c r="U103" s="31" t="n">
        <x:f>IF(T103="","",I103*T103)</x:f>
        <x:v>5218.469447877172</x:v>
      </x:c>
    </x:row>
    <x:row r="104" ht="18" customHeight="1">
      <x:c r="A104" s="24" t="str">
        <x:v>LME_025</x:v>
      </x:c>
      <x:c r="B104" s="24" t="str">
        <x:v>Iberian Coastal</x:v>
      </x:c>
      <x:c r="C104" s="24" t="str">
        <x:v>LME</x:v>
      </x:c>
      <x:c r="D104" s="30" t="n">
        <x:v>2019</x:v>
      </x:c>
      <x:c r="E104" s="24" t="str">
        <x:v>Moronidae</x:v>
      </x:c>
      <x:c r="F104" s="24" t="str">
        <x:v>Temperate basses</x:v>
      </x:c>
      <x:c r="G104" s="24" t="str">
        <x:v>Medium demersals (30 - 89 cm)</x:v>
      </x:c>
      <x:c r="H104" s="24" t="str">
        <x:v>Perch-likes</x:v>
      </x:c>
      <x:c r="I104" s="31" t="n">
        <x:v>260.3686542538</x:v>
      </x:c>
      <x:c r="J104" s="31" t="n">
        <x:v>260.3686542538</x:v>
      </x:c>
      <x:c r="K104" s="31" t="n">
        <x:v>0</x:v>
      </x:c>
      <x:c r="L104" s="31" t="n">
        <x:v>0</x:v>
      </x:c>
      <x:c r="M104" s="31" t="n">
        <x:v>260.3686542538</x:v>
      </x:c>
      <x:c r="N104" s="24" t="str">
        <x:v>moronidae</x:v>
      </x:c>
      <x:c r="O104" s="32" t="n">
        <x:v>3.87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Moronidae</x:v>
      </x:c>
      <x:c r="T104" s="32" t="n">
        <x:f>IF(O104="","",(1/'Metadata'!$B$5)^(O104-1))</x:f>
        <x:v>741.3102413009177</x:v>
      </x:c>
      <x:c r="U104" s="31" t="n">
        <x:f>IF(T104="","",I104*T104)</x:f>
        <x:v>193013.9499120797</x:v>
      </x:c>
    </x:row>
    <x:row r="105" ht="18" customHeight="1">
      <x:c r="A105" s="24" t="str">
        <x:v>LME_025</x:v>
      </x:c>
      <x:c r="B105" s="24" t="str">
        <x:v>Iberian Coastal</x:v>
      </x:c>
      <x:c r="C105" s="24" t="str">
        <x:v>LME</x:v>
      </x:c>
      <x:c r="D105" s="30" t="n">
        <x:v>2019</x:v>
      </x:c>
      <x:c r="E105" s="24" t="str">
        <x:v>Thunnus albacares</x:v>
      </x:c>
      <x:c r="F105" s="24" t="str">
        <x:v>Yellowfin tuna</x:v>
      </x:c>
      <x:c r="G105" s="24" t="str">
        <x:v>Large pelagics (&gt;=90 cm)</x:v>
      </x:c>
      <x:c r="H105" s="24" t="str">
        <x:v>Tuna &amp; billfishes</x:v>
      </x:c>
      <x:c r="I105" s="31" t="n">
        <x:v>260.2793256787</x:v>
      </x:c>
      <x:c r="J105" s="31" t="n">
        <x:v>260.2793256787</x:v>
      </x:c>
      <x:c r="K105" s="31" t="n">
        <x:v>0</x:v>
      </x:c>
      <x:c r="L105" s="31" t="n">
        <x:v>260.2793256787</x:v>
      </x:c>
      <x:c r="M105" s="31" t="n">
        <x:v>0</x:v>
      </x:c>
      <x:c r="N105" s="24" t="str">
        <x:v>thunnus albacares</x:v>
      </x:c>
      <x:c r="O105" s="32" t="n">
        <x:v>4.41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Thunnus albacares</x:v>
      </x:c>
      <x:c r="T105" s="32" t="n">
        <x:f>IF(O105="","",(1/'Metadata'!$B$5)^(O105-1))</x:f>
        <x:v>2570.3957827688646</x:v>
      </x:c>
      <x:c r="U105" s="31" t="n">
        <x:f>IF(T105="","",I105*T105)</x:f>
        <x:v>669020.8810664543</x:v>
      </x:c>
    </x:row>
    <x:row r="106" ht="18" customHeight="1">
      <x:c r="A106" s="24" t="str">
        <x:v>LME_025</x:v>
      </x:c>
      <x:c r="B106" s="24" t="str">
        <x:v>Iberian Coastal</x:v>
      </x:c>
      <x:c r="C106" s="24" t="str">
        <x:v>LME</x:v>
      </x:c>
      <x:c r="D106" s="30" t="n">
        <x:v>2019</x:v>
      </x:c>
      <x:c r="E106" s="24" t="str">
        <x:v>Clupeiformes</x:v>
      </x:c>
      <x:c r="F106" s="24" t="str">
        <x:v>Herrings, shads, anchovies</x:v>
      </x:c>
      <x:c r="G106" s="24" t="str">
        <x:v>Small pelagics (&lt;30 cm)</x:v>
      </x:c>
      <x:c r="H106" s="24" t="str">
        <x:v>Other fishes &amp; inverts</x:v>
      </x:c>
      <x:c r="I106" s="31" t="n">
        <x:v>258.7033855416</x:v>
      </x:c>
      <x:c r="J106" s="31" t="n">
        <x:v>258.7033855416</x:v>
      </x:c>
      <x:c r="K106" s="31" t="n">
        <x:v>0</x:v>
      </x:c>
      <x:c r="L106" s="31" t="n">
        <x:v>125.1508749214</x:v>
      </x:c>
      <x:c r="M106" s="31" t="n">
        <x:v>133.5525106202</x:v>
      </x:c>
      <x:c r="N106" s="24" t="str">
        <x:v>clupeiformes</x:v>
      </x:c>
      <x:c r="O106" s="32" t="n">
        <x:v>3.24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Clupeiformes</x:v>
      </x:c>
      <x:c r="T106" s="32" t="n">
        <x:f>IF(O106="","",(1/'Metadata'!$B$5)^(O106-1))</x:f>
        <x:v>173.78008287493762</x:v>
      </x:c>
      <x:c r="U106" s="31" t="n">
        <x:f>IF(T106="","",I106*T106)</x:f>
        <x:v>44957.49577944619</x:v>
      </x:c>
    </x:row>
    <x:row r="107" ht="18" customHeight="1">
      <x:c r="A107" s="24" t="str">
        <x:v>LME_025</x:v>
      </x:c>
      <x:c r="B107" s="24" t="str">
        <x:v>Iberian Coastal</x:v>
      </x:c>
      <x:c r="C107" s="24" t="str">
        <x:v>LME</x:v>
      </x:c>
      <x:c r="D107" s="30" t="n">
        <x:v>2019</x:v>
      </x:c>
      <x:c r="E107" s="24" t="str">
        <x:v>Lophius piscatorius</x:v>
      </x:c>
      <x:c r="F107" s="24" t="str">
        <x:v>Angler</x:v>
      </x:c>
      <x:c r="G107" s="24" t="str">
        <x:v>Large bathydemersals (&gt;=90 cm)</x:v>
      </x:c>
      <x:c r="H107" s="24" t="str">
        <x:v>Other fishes &amp; inverts</x:v>
      </x:c>
      <x:c r="I107" s="31" t="n">
        <x:v>251.98500612979998</x:v>
      </x:c>
      <x:c r="J107" s="31" t="n">
        <x:v>251.0369454854</x:v>
      </x:c>
      <x:c r="K107" s="31" t="n">
        <x:v>0.9480606444</x:v>
      </x:c>
      <x:c r="L107" s="31" t="n">
        <x:v>167.31638186520001</x:v>
      </x:c>
      <x:c r="M107" s="31" t="n">
        <x:v>84.66862426459998</x:v>
      </x:c>
      <x:c r="N107" s="24" t="str">
        <x:v>lophius piscatorius</x:v>
      </x:c>
      <x:c r="O107" s="32" t="n">
        <x:v>4.45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Lophius piscatorius</x:v>
      </x:c>
      <x:c r="T107" s="32" t="n">
        <x:f>IF(O107="","",(1/'Metadata'!$B$5)^(O107-1))</x:f>
        <x:v>2818.382931264455</x:v>
      </x:c>
      <x:c r="U107" s="31" t="n">
        <x:f>IF(T107="","",I107*T107)</x:f>
        <x:v>710190.2402107973</x:v>
      </x:c>
    </x:row>
    <x:row r="108" ht="18" customHeight="1">
      <x:c r="A108" s="24" t="str">
        <x:v>LME_025</x:v>
      </x:c>
      <x:c r="B108" s="24" t="str">
        <x:v>Iberian Coastal</x:v>
      </x:c>
      <x:c r="C108" s="24" t="str">
        <x:v>LME</x:v>
      </x:c>
      <x:c r="D108" s="30" t="n">
        <x:v>2019</x:v>
      </x:c>
      <x:c r="E108" s="24" t="str">
        <x:v>Mullus</x:v>
      </x:c>
      <x:c r="F108" s="24" t="str">
        <x:v>Atlantic goatfishes</x:v>
      </x:c>
      <x:c r="G108" s="24" t="str">
        <x:v>Medium demersals (30 - 89 cm)</x:v>
      </x:c>
      <x:c r="H108" s="24" t="str">
        <x:v>Perch-likes</x:v>
      </x:c>
      <x:c r="I108" s="31" t="n">
        <x:v>248.2412200463</x:v>
      </x:c>
      <x:c r="J108" s="31" t="n">
        <x:v>85.1140212772</x:v>
      </x:c>
      <x:c r="K108" s="31" t="n">
        <x:v>163.12719876909998</x:v>
      </x:c>
      <x:c r="L108" s="31" t="n">
        <x:v>81.9335695385</x:v>
      </x:c>
      <x:c r="M108" s="31" t="n">
        <x:v>166.3076505078</x:v>
      </x:c>
      <x:c r="N108" s="24" t="str">
        <x:v>mullus</x:v>
      </x:c>
      <x:c r="O108" s="32" t="n">
        <x:v>3.29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Mullus</x:v>
      </x:c>
      <x:c r="T108" s="32" t="n">
        <x:f>IF(O108="","",(1/'Metadata'!$B$5)^(O108-1))</x:f>
        <x:v>194.98445997580455</x:v>
      </x:c>
      <x:c r="U108" s="31" t="n">
        <x:f>IF(T108="","",I108*T108)</x:f>
        <x:v>48403.18023446267</x:v>
      </x:c>
    </x:row>
    <x:row r="109" ht="18" customHeight="1">
      <x:c r="A109" s="24" t="str">
        <x:v>LME_025</x:v>
      </x:c>
      <x:c r="B109" s="24" t="str">
        <x:v>Iberian Coastal</x:v>
      </x:c>
      <x:c r="C109" s="24" t="str">
        <x:v>LME</x:v>
      </x:c>
      <x:c r="D109" s="30" t="n">
        <x:v>2019</x:v>
      </x:c>
      <x:c r="E109" s="24" t="str">
        <x:v>Loligo</x:v>
      </x:c>
      <x:c r="F109" s="24" t="str">
        <x:v>Common squids</x:v>
      </x:c>
      <x:c r="G109" s="24" t="str">
        <x:v>Cephalopods</x:v>
      </x:c>
      <x:c r="H109" s="24" t="str">
        <x:v>Other fishes &amp; inverts</x:v>
      </x:c>
      <x:c r="I109" s="31" t="n">
        <x:v>246.8729645073</x:v>
      </x:c>
      <x:c r="J109" s="31" t="n">
        <x:v>244.3349039665</x:v>
      </x:c>
      <x:c r="K109" s="31" t="n">
        <x:v>2.5380605408</x:v>
      </x:c>
      <x:c r="L109" s="31" t="n">
        <x:v>226.25104626080002</x:v>
      </x:c>
      <x:c r="M109" s="31" t="n">
        <x:v>20.6219182465</x:v>
      </x:c>
      <x:c r="N109" s="24" t="str">
        <x:v>loligo</x:v>
      </x:c>
      <x:c r="O109" s="32" t="n">
        <x:v>3.99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Loligo</x:v>
      </x:c>
      <x:c r="T109" s="32" t="n">
        <x:f>IF(O109="","",(1/'Metadata'!$B$5)^(O109-1))</x:f>
        <x:v>977.2372209558112</x:v>
      </x:c>
      <x:c r="U109" s="31" t="n">
        <x:f>IF(T109="","",I109*T109)</x:f>
        <x:v>241253.44976423646</x:v>
      </x:c>
    </x:row>
    <x:row r="110" ht="18" customHeight="1">
      <x:c r="A110" s="24" t="str">
        <x:v>LME_025</x:v>
      </x:c>
      <x:c r="B110" s="24" t="str">
        <x:v>Iberian Coastal</x:v>
      </x:c>
      <x:c r="C110" s="24" t="str">
        <x:v>LME</x:v>
      </x:c>
      <x:c r="D110" s="30" t="n">
        <x:v>2019</x:v>
      </x:c>
      <x:c r="E110" s="24" t="str">
        <x:v>Oblada melanurus</x:v>
      </x:c>
      <x:c r="F110" s="24" t="str">
        <x:v>Saddled seabream</x:v>
      </x:c>
      <x:c r="G110" s="24" t="str">
        <x:v>Small benthopelagics (&lt;30 cm)</x:v>
      </x:c>
      <x:c r="H110" s="24" t="str">
        <x:v>Perch-likes</x:v>
      </x:c>
      <x:c r="I110" s="31" t="n">
        <x:v>229.4706231169</x:v>
      </x:c>
      <x:c r="J110" s="31" t="n">
        <x:v>229.4383749697</x:v>
      </x:c>
      <x:c r="K110" s="31" t="n">
        <x:v>0.0322481472</x:v>
      </x:c>
      <x:c r="L110" s="31" t="n">
        <x:v>150.5800108322</x:v>
      </x:c>
      <x:c r="M110" s="31" t="n">
        <x:v>78.8906122847</x:v>
      </x:c>
      <x:c r="N110" s="24" t="str">
        <x:v>oblada melanurus</x:v>
      </x:c>
      <x:c r="O110" s="32" t="n">
        <x:v>3.38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Oblada melanurus</x:v>
      </x:c>
      <x:c r="T110" s="32" t="n">
        <x:f>IF(O110="","",(1/'Metadata'!$B$5)^(O110-1))</x:f>
        <x:v>239.88329190194898</x:v>
      </x:c>
      <x:c r="U110" s="31" t="n">
        <x:f>IF(T110="","",I110*T110)</x:f>
        <x:v>55046.16846807344</x:v>
      </x:c>
    </x:row>
    <x:row r="111" ht="18" customHeight="1">
      <x:c r="A111" s="24" t="str">
        <x:v>LME_025</x:v>
      </x:c>
      <x:c r="B111" s="24" t="str">
        <x:v>Iberian Coastal</x:v>
      </x:c>
      <x:c r="C111" s="24" t="str">
        <x:v>LME</x:v>
      </x:c>
      <x:c r="D111" s="30" t="n">
        <x:v>2019</x:v>
      </x:c>
      <x:c r="E111" s="24" t="str">
        <x:v>Lithognathus mormyrus</x:v>
      </x:c>
      <x:c r="F111" s="24" t="str">
        <x:v>Sand steenbras</x:v>
      </x:c>
      <x:c r="G111" s="24" t="str">
        <x:v>Medium benthopelagics (30 - 89 cm)</x:v>
      </x:c>
      <x:c r="H111" s="24" t="str">
        <x:v>Perch-likes</x:v>
      </x:c>
      <x:c r="I111" s="31" t="n">
        <x:v>229.0652164113</x:v>
      </x:c>
      <x:c r="J111" s="31" t="n">
        <x:v>226.0210916908</x:v>
      </x:c>
      <x:c r="K111" s="31" t="n">
        <x:v>3.0441247205</x:v>
      </x:c>
      <x:c r="L111" s="31" t="n">
        <x:v>54.536605164799994</x:v>
      </x:c>
      <x:c r="M111" s="31" t="n">
        <x:v>174.52861124650002</x:v>
      </x:c>
      <x:c r="N111" s="24" t="str">
        <x:v>lithognathus mormyrus</x:v>
      </x:c>
      <x:c r="O111" s="32" t="n">
        <x:v>3.42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Lithognathus mormyrus</x:v>
      </x:c>
      <x:c r="T111" s="32" t="n">
        <x:f>IF(O111="","",(1/'Metadata'!$B$5)^(O111-1))</x:f>
        <x:v>263.02679918953817</x:v>
      </x:c>
      <x:c r="U111" s="31" t="n">
        <x:f>IF(T111="","",I111*T111)</x:f>
        <x:v>60250.29067832311</x:v>
      </x:c>
    </x:row>
    <x:row r="112" ht="18" customHeight="1">
      <x:c r="A112" s="24" t="str">
        <x:v>LME_025</x:v>
      </x:c>
      <x:c r="B112" s="24" t="str">
        <x:v>Iberian Coastal</x:v>
      </x:c>
      <x:c r="C112" s="24" t="str">
        <x:v>LME</x:v>
      </x:c>
      <x:c r="D112" s="30" t="n">
        <x:v>2019</x:v>
      </x:c>
      <x:c r="E112" s="24" t="str">
        <x:v>Alepocephalus bairdii</x:v>
      </x:c>
      <x:c r="F112" s="24" t="str">
        <x:v>Baird's slickhead</x:v>
      </x:c>
      <x:c r="G112" s="24" t="str">
        <x:v>Large bathydemersals (&gt;=90 cm)</x:v>
      </x:c>
      <x:c r="H112" s="24" t="str">
        <x:v>Salmon, smelts, etc</x:v>
      </x:c>
      <x:c r="I112" s="31" t="n">
        <x:v>227.6431456649</x:v>
      </x:c>
      <x:c r="J112" s="31" t="n">
        <x:v>223.4532228952</x:v>
      </x:c>
      <x:c r="K112" s="31" t="n">
        <x:v>4.1899227697</x:v>
      </x:c>
      <x:c r="L112" s="31" t="n">
        <x:v>223.4532228952</x:v>
      </x:c>
      <x:c r="M112" s="31" t="n">
        <x:v>4.1899227697</x:v>
      </x:c>
      <x:c r="N112" s="24" t="str">
        <x:v>alepocephalus bairdii</x:v>
      </x:c>
      <x:c r="O112" s="32" t="n">
        <x:v>3.69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Alepocephalus bairdii</x:v>
      </x:c>
      <x:c r="T112" s="32" t="n">
        <x:f>IF(O112="","",(1/'Metadata'!$B$5)^(O112-1))</x:f>
        <x:v>489.77881936844614</x:v>
      </x:c>
      <x:c r="U112" s="31" t="n">
        <x:f>IF(T112="","",I112*T112)</x:f>
        <x:v>111494.79112107393</x:v>
      </x:c>
    </x:row>
    <x:row r="113" ht="18" customHeight="1">
      <x:c r="A113" s="24" t="str">
        <x:v>LME_025</x:v>
      </x:c>
      <x:c r="B113" s="24" t="str">
        <x:v>Iberian Coastal</x:v>
      </x:c>
      <x:c r="C113" s="24" t="str">
        <x:v>LME</x:v>
      </x:c>
      <x:c r="D113" s="30" t="n">
        <x:v>2019</x:v>
      </x:c>
      <x:c r="E113" s="24" t="str">
        <x:v>Plectorhinchus mediterraneus</x:v>
      </x:c>
      <x:c r="F113" s="24" t="str">
        <x:v>Rubberlip grunt</x:v>
      </x:c>
      <x:c r="G113" s="24" t="str">
        <x:v>Medium demersals (30 - 89 cm)</x:v>
      </x:c>
      <x:c r="H113" s="24" t="str">
        <x:v>Perch-likes</x:v>
      </x:c>
      <x:c r="I113" s="31" t="n">
        <x:v>220.84561493189997</x:v>
      </x:c>
      <x:c r="J113" s="31" t="n">
        <x:v>183.34322031189998</x:v>
      </x:c>
      <x:c r="K113" s="31" t="n">
        <x:v>37.50239462</x:v>
      </x:c>
      <x:c r="L113" s="31" t="n">
        <x:v>151.80938951099998</x:v>
      </x:c>
      <x:c r="M113" s="31" t="n">
        <x:v>69.0362254209</x:v>
      </x:c>
      <x:c r="N113" s="24" t="str">
        <x:v>plectorhinchus mediterraneus</x:v>
      </x:c>
      <x:c r="O113" s="32" t="n">
        <x:v>3.49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Plectorhinchus mediterraneus</x:v>
      </x:c>
      <x:c r="T113" s="32" t="n">
        <x:f>IF(O113="","",(1/'Metadata'!$B$5)^(O113-1))</x:f>
        <x:v>309.0295432513592</x:v>
      </x:c>
      <x:c r="U113" s="31" t="n">
        <x:f>IF(T113="","",I113*T113)</x:f>
        <x:v>68247.8195114706</x:v>
      </x:c>
    </x:row>
    <x:row r="114" ht="18" customHeight="1">
      <x:c r="A114" s="24" t="str">
        <x:v>LME_025</x:v>
      </x:c>
      <x:c r="B114" s="24" t="str">
        <x:v>Iberian Coastal</x:v>
      </x:c>
      <x:c r="C114" s="24" t="str">
        <x:v>LME</x:v>
      </x:c>
      <x:c r="D114" s="30" t="n">
        <x:v>2019</x:v>
      </x:c>
      <x:c r="E114" s="24" t="str">
        <x:v>Pagrus</x:v>
      </x:c>
      <x:c r="F114" s="24" t="str">
        <x:v>Subtropical seabreams</x:v>
      </x:c>
      <x:c r="G114" s="24" t="str">
        <x:v>Medium benthopelagics (30 - 89 cm)</x:v>
      </x:c>
      <x:c r="H114" s="24" t="str">
        <x:v>Perch-likes</x:v>
      </x:c>
      <x:c r="I114" s="31" t="n">
        <x:v>213.0883643128</x:v>
      </x:c>
      <x:c r="J114" s="31" t="n">
        <x:v>83.6079002636</x:v>
      </x:c>
      <x:c r="K114" s="31" t="n">
        <x:v>129.4804640492</x:v>
      </x:c>
      <x:c r="L114" s="31" t="n">
        <x:v>83.5715911728</x:v>
      </x:c>
      <x:c r="M114" s="31" t="n">
        <x:v>129.51677314</x:v>
      </x:c>
      <x:c r="N114" s="24" t="str">
        <x:v>pagrus</x:v>
      </x:c>
      <x:c r="O114" s="32" t="n">
        <x:v>3.55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Pagrus</x:v>
      </x:c>
      <x:c r="T114" s="32" t="n">
        <x:f>IF(O114="","",(1/'Metadata'!$B$5)^(O114-1))</x:f>
        <x:v>354.8133892335753</x:v>
      </x:c>
      <x:c r="U114" s="31" t="n">
        <x:f>IF(T114="","",I114*T114)</x:f>
        <x:v>75606.6047480634</x:v>
      </x:c>
    </x:row>
    <x:row r="115" ht="18" customHeight="1">
      <x:c r="A115" s="24" t="str">
        <x:v>LME_025</x:v>
      </x:c>
      <x:c r="B115" s="24" t="str">
        <x:v>Iberian Coastal</x:v>
      </x:c>
      <x:c r="C115" s="24" t="str">
        <x:v>LME</x:v>
      </x:c>
      <x:c r="D115" s="30" t="n">
        <x:v>2019</x:v>
      </x:c>
      <x:c r="E115" s="24" t="str">
        <x:v>Scyliorhinidae</x:v>
      </x:c>
      <x:c r="F115" s="24" t="str">
        <x:v>Cat/swellsharks</x:v>
      </x:c>
      <x:c r="G115" s="24" t="str">
        <x:v>Large sharks (&gt;=90 cm)</x:v>
      </x:c>
      <x:c r="H115" s="24" t="str">
        <x:v>Sharks &amp; rays</x:v>
      </x:c>
      <x:c r="I115" s="31" t="n">
        <x:v>204.8785865263</x:v>
      </x:c>
      <x:c r="J115" s="31" t="n">
        <x:v>204.8785865263</x:v>
      </x:c>
      <x:c r="K115" s="31" t="n">
        <x:v>0</x:v>
      </x:c>
      <x:c r="L115" s="31" t="n">
        <x:v>201.3885105903</x:v>
      </x:c>
      <x:c r="M115" s="31" t="n">
        <x:v>3.490075936</x:v>
      </x:c>
      <x:c r="N115" s="24" t="str">
        <x:v>scyliorhinidae</x:v>
      </x:c>
      <x:c r="O115" s="32" t="n">
        <x:v>3.97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Scyliorhinidae</x:v>
      </x:c>
      <x:c r="T115" s="32" t="n">
        <x:f>IF(O115="","",(1/'Metadata'!$B$5)^(O115-1))</x:f>
        <x:v>933.2543007969915</x:v>
      </x:c>
      <x:c r="U115" s="31" t="n">
        <x:f>IF(T115="","",I115*T115)</x:f>
        <x:v>191203.82201687805</x:v>
      </x:c>
    </x:row>
    <x:row r="116" ht="18" customHeight="1">
      <x:c r="A116" s="24" t="str">
        <x:v>LME_025</x:v>
      </x:c>
      <x:c r="B116" s="24" t="str">
        <x:v>Iberian Coastal</x:v>
      </x:c>
      <x:c r="C116" s="24" t="str">
        <x:v>LME</x:v>
      </x:c>
      <x:c r="D116" s="30" t="n">
        <x:v>2019</x:v>
      </x:c>
      <x:c r="E116" s="24" t="str">
        <x:v>Ommastrephidae</x:v>
      </x:c>
      <x:c r="F116" s="24" t="str">
        <x:v>Arrow squids</x:v>
      </x:c>
      <x:c r="G116" s="24" t="str">
        <x:v>Cephalopods</x:v>
      </x:c>
      <x:c r="H116" s="24" t="str">
        <x:v>Other fishes &amp; inverts</x:v>
      </x:c>
      <x:c r="I116" s="31" t="n">
        <x:v>197.1024671579</x:v>
      </x:c>
      <x:c r="J116" s="31" t="n">
        <x:v>196.3676741365</x:v>
      </x:c>
      <x:c r="K116" s="31" t="n">
        <x:v>0.7347930214</x:v>
      </x:c>
      <x:c r="L116" s="31" t="n">
        <x:v>196.3676741365</x:v>
      </x:c>
      <x:c r="M116" s="31" t="n">
        <x:v>0.7347930214</x:v>
      </x:c>
      <x:c r="N116" s="24" t="str">
        <x:v>ommastrephidae</x:v>
      </x:c>
      <x:c r="O116" s="32" t="n">
        <x:v>4.09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Ommastrephidae</x:v>
      </x:c>
      <x:c r="T116" s="32" t="n">
        <x:f>IF(O116="","",(1/'Metadata'!$B$5)^(O116-1))</x:f>
        <x:v>1230.268770812381</x:v>
      </x:c>
      <x:c r="U116" s="31" t="n">
        <x:f>IF(T116="","",I116*T116)</x:f>
        <x:v>242489.00999443734</x:v>
      </x:c>
    </x:row>
    <x:row r="117" ht="18" customHeight="1">
      <x:c r="A117" s="24" t="str">
        <x:v>LME_025</x:v>
      </x:c>
      <x:c r="B117" s="24" t="str">
        <x:v>Iberian Coastal</x:v>
      </x:c>
      <x:c r="C117" s="24" t="str">
        <x:v>LME</x:v>
      </x:c>
      <x:c r="D117" s="30" t="n">
        <x:v>2019</x:v>
      </x:c>
      <x:c r="E117" s="24" t="str">
        <x:v>Maja squinado</x:v>
      </x:c>
      <x:c r="F117" s="24" t="str">
        <x:v>Spinous spider crab</x:v>
      </x:c>
      <x:c r="G117" s="24" t="str">
        <x:v>Lobsters, crabs</x:v>
      </x:c>
      <x:c r="H117" s="24" t="str">
        <x:v>Crustaceans</x:v>
      </x:c>
      <x:c r="I117" s="31" t="n">
        <x:v>196.8601878653</x:v>
      </x:c>
      <x:c r="J117" s="31" t="n">
        <x:v>55.4902420642</x:v>
      </x:c>
      <x:c r="K117" s="31" t="n">
        <x:v>141.36994580110002</x:v>
      </x:c>
      <x:c r="L117" s="31" t="n">
        <x:v>49.2888348304</x:v>
      </x:c>
      <x:c r="M117" s="31" t="n">
        <x:v>147.5713530349</x:v>
      </x:c>
      <x:c r="N117" s="24" t="str">
        <x:v>maja squinado</x:v>
      </x:c>
      <x:c r="O117" s="32" t="n">
        <x:v>2.94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Maja squinado</x:v>
      </x:c>
      <x:c r="T117" s="32" t="n">
        <x:f>IF(O117="","",(1/'Metadata'!$B$5)^(O117-1))</x:f>
        <x:v>87.09635899560806</x:v>
      </x:c>
      <x:c r="U117" s="31" t="n">
        <x:f>IF(T117="","",I117*T117)</x:f>
        <x:v>17145.805594259014</x:v>
      </x:c>
    </x:row>
    <x:row r="118" ht="18" customHeight="1">
      <x:c r="A118" s="24" t="str">
        <x:v>LME_025</x:v>
      </x:c>
      <x:c r="B118" s="24" t="str">
        <x:v>Iberian Coastal</x:v>
      </x:c>
      <x:c r="C118" s="24" t="str">
        <x:v>LME</x:v>
      </x:c>
      <x:c r="D118" s="30" t="n">
        <x:v>2019</x:v>
      </x:c>
      <x:c r="E118" s="24" t="str">
        <x:v>Thunnus obesus</x:v>
      </x:c>
      <x:c r="F118" s="24" t="str">
        <x:v>Bigeye tuna</x:v>
      </x:c>
      <x:c r="G118" s="24" t="str">
        <x:v>Large pelagics (&gt;=90 cm)</x:v>
      </x:c>
      <x:c r="H118" s="24" t="str">
        <x:v>Tuna &amp; billfishes</x:v>
      </x:c>
      <x:c r="I118" s="31" t="n">
        <x:v>196.1843097904</x:v>
      </x:c>
      <x:c r="J118" s="31" t="n">
        <x:v>196.1843097904</x:v>
      </x:c>
      <x:c r="K118" s="31" t="n">
        <x:v>0</x:v>
      </x:c>
      <x:c r="L118" s="31" t="n">
        <x:v>196.1843097904</x:v>
      </x:c>
      <x:c r="M118" s="31" t="n">
        <x:v>0</x:v>
      </x:c>
      <x:c r="N118" s="24" t="str">
        <x:v>thunnus obesus</x:v>
      </x:c>
      <x:c r="O118" s="32" t="n">
        <x:v>4.49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Thunnus obesus</x:v>
      </x:c>
      <x:c r="T118" s="32" t="n">
        <x:f>IF(O118="","",(1/'Metadata'!$B$5)^(O118-1))</x:f>
        <x:v>3090.295432513592</x:v>
      </x:c>
      <x:c r="U118" s="31" t="n">
        <x:f>IF(T118="","",I118*T118)</x:f>
        <x:v>606267.4764761047</x:v>
      </x:c>
    </x:row>
    <x:row r="119" ht="18" customHeight="1">
      <x:c r="A119" s="24" t="str">
        <x:v>LME_025</x:v>
      </x:c>
      <x:c r="B119" s="24" t="str">
        <x:v>Iberian Coastal</x:v>
      </x:c>
      <x:c r="C119" s="24" t="str">
        <x:v>LME</x:v>
      </x:c>
      <x:c r="D119" s="30" t="n">
        <x:v>2019</x:v>
      </x:c>
      <x:c r="E119" s="24" t="str">
        <x:v>Pomadasys incisus</x:v>
      </x:c>
      <x:c r="F119" s="24" t="str">
        <x:v>Bastard grunt</x:v>
      </x:c>
      <x:c r="G119" s="24" t="str">
        <x:v>Medium demersals (30 - 89 cm)</x:v>
      </x:c>
      <x:c r="H119" s="24" t="str">
        <x:v>Perch-likes</x:v>
      </x:c>
      <x:c r="I119" s="31" t="n">
        <x:v>181.2473239552</x:v>
      </x:c>
      <x:c r="J119" s="31" t="n">
        <x:v>176.2070825779</x:v>
      </x:c>
      <x:c r="K119" s="31" t="n">
        <x:v>5.0402413773</x:v>
      </x:c>
      <x:c r="L119" s="31" t="n">
        <x:v>69.36971125119999</x:v>
      </x:c>
      <x:c r="M119" s="31" t="n">
        <x:v>111.877612704</x:v>
      </x:c>
      <x:c r="N119" s="24" t="str">
        <x:v>pomadasys incisus</x:v>
      </x:c>
      <x:c r="O119" s="32" t="n">
        <x:v>3.8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Pomadasys incisus</x:v>
      </x:c>
      <x:c r="T119" s="32" t="n">
        <x:f>IF(O119="","",(1/'Metadata'!$B$5)^(O119-1))</x:f>
        <x:v>630.957344480193</x:v>
      </x:c>
      <x:c r="U119" s="31" t="n">
        <x:f>IF(T119="","",I119*T119)</x:f>
        <x:v>114359.33021691426</x:v>
      </x:c>
    </x:row>
    <x:row r="120" ht="18" customHeight="1">
      <x:c r="A120" s="24" t="str">
        <x:v>LME_025</x:v>
      </x:c>
      <x:c r="B120" s="24" t="str">
        <x:v>Iberian Coastal</x:v>
      </x:c>
      <x:c r="C120" s="24" t="str">
        <x:v>LME</x:v>
      </x:c>
      <x:c r="D120" s="30" t="n">
        <x:v>2019</x:v>
      </x:c>
      <x:c r="E120" s="24" t="str">
        <x:v>Raja clavata</x:v>
      </x:c>
      <x:c r="F120" s="24" t="str">
        <x:v>Thornback ray</x:v>
      </x:c>
      <x:c r="G120" s="24" t="str">
        <x:v>Large rays (&gt;=90 cm)</x:v>
      </x:c>
      <x:c r="H120" s="24" t="str">
        <x:v>Sharks &amp; rays</x:v>
      </x:c>
      <x:c r="I120" s="31" t="n">
        <x:v>165.9323557227</x:v>
      </x:c>
      <x:c r="J120" s="31" t="n">
        <x:v>160.8088079602</x:v>
      </x:c>
      <x:c r="K120" s="31" t="n">
        <x:v>5.1235477625</x:v>
      </x:c>
      <x:c r="L120" s="31" t="n">
        <x:v>160.4011939859</x:v>
      </x:c>
      <x:c r="M120" s="31" t="n">
        <x:v>5.531161736800001</x:v>
      </x:c>
      <x:c r="N120" s="24" t="str">
        <x:v>raja clavata</x:v>
      </x:c>
      <x:c r="O120" s="32" t="n">
        <x:v>3.84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Raja clavata</x:v>
      </x:c>
      <x:c r="T120" s="32" t="n">
        <x:f>IF(O120="","",(1/'Metadata'!$B$5)^(O120-1))</x:f>
        <x:v>691.8309709189363</x:v>
      </x:c>
      <x:c r="U120" s="31" t="n">
        <x:f>IF(T120="","",I120*T120)</x:f>
        <x:v>114797.14276650186</x:v>
      </x:c>
    </x:row>
    <x:row r="121" ht="18" customHeight="1">
      <x:c r="A121" s="24" t="str">
        <x:v>LME_025</x:v>
      </x:c>
      <x:c r="B121" s="24" t="str">
        <x:v>Iberian Coastal</x:v>
      </x:c>
      <x:c r="C121" s="24" t="str">
        <x:v>LME</x:v>
      </x:c>
      <x:c r="D121" s="30" t="n">
        <x:v>2019</x:v>
      </x:c>
      <x:c r="E121" s="24" t="str">
        <x:v>Pollicipes pollicipes</x:v>
      </x:c>
      <x:c r="F121" s="24" t="str">
        <x:v>Atlantic barnacle</x:v>
      </x:c>
      <x:c r="G121" s="24" t="str">
        <x:v>Other demersal invertebrates</x:v>
      </x:c>
      <x:c r="H121" s="24" t="str">
        <x:v>Crustaceans</x:v>
      </x:c>
      <x:c r="I121" s="31" t="n">
        <x:v>165.2496461278</x:v>
      </x:c>
      <x:c r="J121" s="31" t="n">
        <x:v>165.2496461278</x:v>
      </x:c>
      <x:c r="K121" s="31" t="n">
        <x:v>0</x:v>
      </x:c>
      <x:c r="L121" s="31" t="n">
        <x:v>117.7296085422</x:v>
      </x:c>
      <x:c r="M121" s="31" t="n">
        <x:v>47.5200375856</x:v>
      </x:c>
      <x:c r="N121" s="24" t="str">
        <x:v>pollicipes pollicipes</x:v>
      </x:c>
      <x:c r="O121" s="32" t="n">
        <x:v>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Pollicipes pollicipes</x:v>
      </x:c>
      <x:c r="T121" s="32" t="n">
        <x:f>IF(O121="","",(1/'Metadata'!$B$5)^(O121-1))</x:f>
        <x:v>100</x:v>
      </x:c>
      <x:c r="U121" s="31" t="n">
        <x:f>IF(T121="","",I121*T121)</x:f>
        <x:v>16524.96461278</x:v>
      </x:c>
    </x:row>
    <x:row r="122" ht="18" customHeight="1">
      <x:c r="A122" s="24" t="str">
        <x:v>LME_025</x:v>
      </x:c>
      <x:c r="B122" s="24" t="str">
        <x:v>Iberian Coastal</x:v>
      </x:c>
      <x:c r="C122" s="24" t="str">
        <x:v>LME</x:v>
      </x:c>
      <x:c r="D122" s="30" t="n">
        <x:v>2019</x:v>
      </x:c>
      <x:c r="E122" s="24" t="str">
        <x:v>Molva dypterygia</x:v>
      </x:c>
      <x:c r="F122" s="24" t="str">
        <x:v>Blue ling</x:v>
      </x:c>
      <x:c r="G122" s="24" t="str">
        <x:v>Large demersals (&gt;=90 cm)</x:v>
      </x:c>
      <x:c r="H122" s="24" t="str">
        <x:v>Cod-likes</x:v>
      </x:c>
      <x:c r="I122" s="31" t="n">
        <x:v>152.658023073</x:v>
      </x:c>
      <x:c r="J122" s="31" t="n">
        <x:v>152.658023073</x:v>
      </x:c>
      <x:c r="K122" s="31" t="n">
        <x:v>0</x:v>
      </x:c>
      <x:c r="L122" s="31" t="n">
        <x:v>148.51199885190002</x:v>
      </x:c>
      <x:c r="M122" s="31" t="n">
        <x:v>4.1460242211</x:v>
      </x:c>
      <x:c r="N122" s="24" t="str">
        <x:v>molva dypterygia</x:v>
      </x:c>
      <x:c r="O122" s="32" t="n">
        <x:v>4.49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Molva dypterygia</x:v>
      </x:c>
      <x:c r="T122" s="32" t="n">
        <x:f>IF(O122="","",(1/'Metadata'!$B$5)^(O122-1))</x:f>
        <x:v>3090.295432513592</x:v>
      </x:c>
      <x:c r="U122" s="31" t="n">
        <x:f>IF(T122="","",I122*T122)</x:f>
        <x:v>471758.3914390465</x:v>
      </x:c>
    </x:row>
    <x:row r="123" ht="18" customHeight="1">
      <x:c r="A123" s="24" t="str">
        <x:v>LME_025</x:v>
      </x:c>
      <x:c r="B123" s="24" t="str">
        <x:v>Iberian Coastal</x:v>
      </x:c>
      <x:c r="C123" s="24" t="str">
        <x:v>LME</x:v>
      </x:c>
      <x:c r="D123" s="30" t="n">
        <x:v>2019</x:v>
      </x:c>
      <x:c r="E123" s="24" t="str">
        <x:v>Mullus barbatus</x:v>
      </x:c>
      <x:c r="F123" s="24" t="str">
        <x:v>Red mullet</x:v>
      </x:c>
      <x:c r="G123" s="24" t="str">
        <x:v>Medium demersals (30 - 89 cm)</x:v>
      </x:c>
      <x:c r="H123" s="24" t="str">
        <x:v>Perch-likes</x:v>
      </x:c>
      <x:c r="I123" s="31" t="n">
        <x:v>149.1410192296</x:v>
      </x:c>
      <x:c r="J123" s="31" t="n">
        <x:v>147.6850661117</x:v>
      </x:c>
      <x:c r="K123" s="31" t="n">
        <x:v>1.4559531179</x:v>
      </x:c>
      <x:c r="L123" s="31" t="n">
        <x:v>101.28561841460001</x:v>
      </x:c>
      <x:c r="M123" s="31" t="n">
        <x:v>47.855400815</x:v>
      </x:c>
      <x:c r="N123" s="24" t="str">
        <x:v>mullus barbatus</x:v>
      </x:c>
      <x:c r="O123" s="32" t="n">
        <x:v>3.14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Mullus barbatus</x:v>
      </x:c>
      <x:c r="T123" s="32" t="n">
        <x:f>IF(O123="","",(1/'Metadata'!$B$5)^(O123-1))</x:f>
        <x:v>138.03842646028852</x:v>
      </x:c>
      <x:c r="U123" s="31" t="n">
        <x:f>IF(T123="","",I123*T123)</x:f>
        <x:v>20587.191615137617</x:v>
      </x:c>
    </x:row>
    <x:row r="124" ht="18" customHeight="1">
      <x:c r="A124" s="24" t="str">
        <x:v>LME_025</x:v>
      </x:c>
      <x:c r="B124" s="24" t="str">
        <x:v>Iberian Coastal</x:v>
      </x:c>
      <x:c r="C124" s="24" t="str">
        <x:v>LME</x:v>
      </x:c>
      <x:c r="D124" s="30" t="n">
        <x:v>2019</x:v>
      </x:c>
      <x:c r="E124" s="24" t="str">
        <x:v>Sphoeroides pachygaster</x:v>
      </x:c>
      <x:c r="F124" s="24" t="str">
        <x:v>Blunthead puffer</x:v>
      </x:c>
      <x:c r="G124" s="24" t="str">
        <x:v>Medium benthopelagics (30 - 89 cm)</x:v>
      </x:c>
      <x:c r="H124" s="24" t="str">
        <x:v>Other fishes &amp; inverts</x:v>
      </x:c>
      <x:c r="I124" s="31" t="n">
        <x:v>145.3347490012</x:v>
      </x:c>
      <x:c r="J124" s="31" t="n">
        <x:v>0</x:v>
      </x:c>
      <x:c r="K124" s="31" t="n">
        <x:v>145.3347490012</x:v>
      </x:c>
      <x:c r="L124" s="31" t="n">
        <x:v>0</x:v>
      </x:c>
      <x:c r="M124" s="31" t="n">
        <x:v>145.3347490012</x:v>
      </x:c>
      <x:c r="N124" s="24" t="str">
        <x:v>sphoeroides pachygaster</x:v>
      </x:c>
      <x:c r="O124" s="32" t="n">
        <x:v>4.2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Sphoeroides pachygaster</x:v>
      </x:c>
      <x:c r="T124" s="32" t="n">
        <x:f>IF(O124="","",(1/'Metadata'!$B$5)^(O124-1))</x:f>
        <x:v>1584.893192461114</x:v>
      </x:c>
      <x:c r="U124" s="31" t="n">
        <x:f>IF(T124="","",I124*T124)</x:f>
        <x:v>230340.0543200466</x:v>
      </x:c>
    </x:row>
    <x:row r="125" ht="18" customHeight="1">
      <x:c r="A125" s="24" t="str">
        <x:v>LME_025</x:v>
      </x:c>
      <x:c r="B125" s="24" t="str">
        <x:v>Iberian Coastal</x:v>
      </x:c>
      <x:c r="C125" s="24" t="str">
        <x:v>LME</x:v>
      </x:c>
      <x:c r="D125" s="30" t="n">
        <x:v>2019</x:v>
      </x:c>
      <x:c r="E125" s="24" t="str">
        <x:v>Polyprion americanus</x:v>
      </x:c>
      <x:c r="F125" s="24" t="str">
        <x:v>Wreckfish</x:v>
      </x:c>
      <x:c r="G125" s="24" t="str">
        <x:v>Large bathydemersals (&gt;=90 cm)</x:v>
      </x:c>
      <x:c r="H125" s="24" t="str">
        <x:v>Perch-likes</x:v>
      </x:c>
      <x:c r="I125" s="31" t="n">
        <x:v>144.8294768144</x:v>
      </x:c>
      <x:c r="J125" s="31" t="n">
        <x:v>144.7786966937</x:v>
      </x:c>
      <x:c r="K125" s="31" t="n">
        <x:v>0.0507801207</x:v>
      </x:c>
      <x:c r="L125" s="31" t="n">
        <x:v>96.70715293250001</x:v>
      </x:c>
      <x:c r="M125" s="31" t="n">
        <x:v>48.1223238819</x:v>
      </x:c>
      <x:c r="N125" s="24" t="str">
        <x:v>polyprion americanus</x:v>
      </x:c>
      <x:c r="O125" s="32" t="n">
        <x:v>4.14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Polyprion americanus</x:v>
      </x:c>
      <x:c r="T125" s="32" t="n">
        <x:f>IF(O125="","",(1/'Metadata'!$B$5)^(O125-1))</x:f>
        <x:v>1380.3842646028838</x:v>
      </x:c>
      <x:c r="U125" s="31" t="n">
        <x:f>IF(T125="","",I125*T125)</x:f>
        <x:v>199920.33084526597</x:v>
      </x:c>
    </x:row>
    <x:row r="126" ht="18" customHeight="1">
      <x:c r="A126" s="24" t="str">
        <x:v>LME_025</x:v>
      </x:c>
      <x:c r="B126" s="24" t="str">
        <x:v>Iberian Coastal</x:v>
      </x:c>
      <x:c r="C126" s="24" t="str">
        <x:v>LME</x:v>
      </x:c>
      <x:c r="D126" s="30" t="n">
        <x:v>2019</x:v>
      </x:c>
      <x:c r="E126" s="24" t="str">
        <x:v>Alosa fallax</x:v>
      </x:c>
      <x:c r="F126" s="24" t="str">
        <x:v>Twaite shad</x:v>
      </x:c>
      <x:c r="G126" s="24" t="str">
        <x:v>Medium pelagics (30 - 89 cm)</x:v>
      </x:c>
      <x:c r="H126" s="24" t="str">
        <x:v>Herring-likes</x:v>
      </x:c>
      <x:c r="I126" s="31" t="n">
        <x:v>134.36681278769998</x:v>
      </x:c>
      <x:c r="J126" s="31" t="n">
        <x:v>133.8428871479</x:v>
      </x:c>
      <x:c r="K126" s="31" t="n">
        <x:v>0.5239256398</x:v>
      </x:c>
      <x:c r="L126" s="31" t="n">
        <x:v>101.7377831343</x:v>
      </x:c>
      <x:c r="M126" s="31" t="n">
        <x:v>32.6290296534</x:v>
      </x:c>
      <x:c r="N126" s="24" t="str">
        <x:v>alosa fallax</x:v>
      </x:c>
      <x:c r="O126" s="32" t="n">
        <x:v>4.03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Alosa fallax</x:v>
      </x:c>
      <x:c r="T126" s="32" t="n">
        <x:f>IF(O126="","",(1/'Metadata'!$B$5)^(O126-1))</x:f>
        <x:v>1071.519305237607</x:v>
      </x:c>
      <x:c r="U126" s="31" t="n">
        <x:f>IF(T126="","",I126*T126)</x:f>
        <x:v>143976.63388526792</x:v>
      </x:c>
    </x:row>
    <x:row r="127" ht="18" customHeight="1">
      <x:c r="A127" s="24" t="str">
        <x:v>LME_025</x:v>
      </x:c>
      <x:c r="B127" s="24" t="str">
        <x:v>Iberian Coastal</x:v>
      </x:c>
      <x:c r="C127" s="24" t="str">
        <x:v>LME</x:v>
      </x:c>
      <x:c r="D127" s="30" t="n">
        <x:v>2019</x:v>
      </x:c>
      <x:c r="E127" s="24" t="str">
        <x:v>Gadiformes</x:v>
      </x:c>
      <x:c r="F127" s="24" t="str">
        <x:v>Cods</x:v>
      </x:c>
      <x:c r="G127" s="24" t="str">
        <x:v>Medium benthopelagics (30 - 89 cm)</x:v>
      </x:c>
      <x:c r="H127" s="24" t="str">
        <x:v>Cod-likes</x:v>
      </x:c>
      <x:c r="I127" s="31" t="n">
        <x:v>131.2770248844</x:v>
      </x:c>
      <x:c r="J127" s="31" t="n">
        <x:v>128.6142410492</x:v>
      </x:c>
      <x:c r="K127" s="31" t="n">
        <x:v>2.6627838352</x:v>
      </x:c>
      <x:c r="L127" s="31" t="n">
        <x:v>121.8332374976</x:v>
      </x:c>
      <x:c r="M127" s="31" t="n">
        <x:v>9.4437873868</x:v>
      </x:c>
      <x:c r="N127" s="24" t="str">
        <x:v>gadiformes</x:v>
      </x:c>
      <x:c r="O127" s="32" t="n">
        <x:v>3.91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Gadiformes</x:v>
      </x:c>
      <x:c r="T127" s="32" t="n">
        <x:f>IF(O127="","",(1/'Metadata'!$B$5)^(O127-1))</x:f>
        <x:v>812.8305161640995</x:v>
      </x:c>
      <x:c r="U127" s="31" t="n">
        <x:f>IF(T127="","",I127*T127)</x:f>
        <x:v>106705.97189727418</x:v>
      </x:c>
    </x:row>
    <x:row r="128" ht="18" customHeight="1">
      <x:c r="A128" s="24" t="str">
        <x:v>LME_025</x:v>
      </x:c>
      <x:c r="B128" s="24" t="str">
        <x:v>Iberian Coastal</x:v>
      </x:c>
      <x:c r="C128" s="24" t="str">
        <x:v>LME</x:v>
      </x:c>
      <x:c r="D128" s="30" t="n">
        <x:v>2019</x:v>
      </x:c>
      <x:c r="E128" s="24" t="str">
        <x:v>Chelidonichthys cuculus</x:v>
      </x:c>
      <x:c r="F128" s="24" t="str">
        <x:v>Red gurnard</x:v>
      </x:c>
      <x:c r="G128" s="24" t="str">
        <x:v>Medium demersals (30 - 89 cm)</x:v>
      </x:c>
      <x:c r="H128" s="24" t="str">
        <x:v>Scorpionfishes</x:v>
      </x:c>
      <x:c r="I128" s="31" t="n">
        <x:v>128.04380506959998</x:v>
      </x:c>
      <x:c r="J128" s="31" t="n">
        <x:v>127.8749504861</x:v>
      </x:c>
      <x:c r="K128" s="31" t="n">
        <x:v>0.1688545835</x:v>
      </x:c>
      <x:c r="L128" s="31" t="n">
        <x:v>126.9815731717</x:v>
      </x:c>
      <x:c r="M128" s="31" t="n">
        <x:v>1.0622318979</x:v>
      </x:c>
      <x:c r="N128" s="24" t="str">
        <x:v>chelidonichthys cuculus</x:v>
      </x:c>
      <x:c r="O128" s="32" t="n">
        <x:v>3.81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Chelidonichthys cuculus</x:v>
      </x:c>
      <x:c r="T128" s="32" t="n">
        <x:f>IF(O128="","",(1/'Metadata'!$B$5)^(O128-1))</x:f>
        <x:v>645.6542290346556</x:v>
      </x:c>
      <x:c r="U128" s="31" t="n">
        <x:f>IF(T128="","",I128*T128)</x:f>
        <x:v>82672.0242448763</x:v>
      </x:c>
    </x:row>
    <x:row r="129" ht="18" customHeight="1">
      <x:c r="A129" s="24" t="str">
        <x:v>LME_025</x:v>
      </x:c>
      <x:c r="B129" s="24" t="str">
        <x:v>Iberian Coastal</x:v>
      </x:c>
      <x:c r="C129" s="24" t="str">
        <x:v>LME</x:v>
      </x:c>
      <x:c r="D129" s="30" t="n">
        <x:v>2019</x:v>
      </x:c>
      <x:c r="E129" s="24" t="str">
        <x:v>Centrophorus</x:v>
      </x:c>
      <x:c r="F129" s="24" t="str">
        <x:v>Gulper shark dogfishes</x:v>
      </x:c>
      <x:c r="G129" s="24" t="str">
        <x:v>Large sharks (&gt;=90 cm)</x:v>
      </x:c>
      <x:c r="H129" s="24" t="str">
        <x:v>Sharks &amp; rays</x:v>
      </x:c>
      <x:c r="I129" s="31" t="n">
        <x:v>126.26417742</x:v>
      </x:c>
      <x:c r="J129" s="31" t="n">
        <x:v>100.0228189497</x:v>
      </x:c>
      <x:c r="K129" s="31" t="n">
        <x:v>26.2413584703</x:v>
      </x:c>
      <x:c r="L129" s="31" t="n">
        <x:v>90.29108546879999</x:v>
      </x:c>
      <x:c r="M129" s="31" t="n">
        <x:v>35.9730919512</x:v>
      </x:c>
      <x:c r="N129" s="24" t="str">
        <x:v>centrophorus</x:v>
      </x:c>
      <x:c r="O129" s="32" t="n">
        <x:v>4.34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Centrophorus</x:v>
      </x:c>
      <x:c r="T129" s="32" t="n">
        <x:f>IF(O129="","",(1/'Metadata'!$B$5)^(O129-1))</x:f>
        <x:v>2187.761623949552</x:v>
      </x:c>
      <x:c r="U129" s="31" t="n">
        <x:f>IF(T129="","",I129*T129)</x:f>
        <x:v>276235.92183903354</x:v>
      </x:c>
    </x:row>
    <x:row r="130" ht="18" customHeight="1">
      <x:c r="A130" s="24" t="str">
        <x:v>LME_025</x:v>
      </x:c>
      <x:c r="B130" s="24" t="str">
        <x:v>Iberian Coastal</x:v>
      </x:c>
      <x:c r="C130" s="24" t="str">
        <x:v>LME</x:v>
      </x:c>
      <x:c r="D130" s="30" t="n">
        <x:v>2019</x:v>
      </x:c>
      <x:c r="E130" s="24" t="str">
        <x:v>Scophthalmus maximus</x:v>
      </x:c>
      <x:c r="F130" s="24" t="str">
        <x:v>Turbot</x:v>
      </x:c>
      <x:c r="G130" s="24" t="str">
        <x:v>Large flatfishes (&gt;=90 cm)</x:v>
      </x:c>
      <x:c r="H130" s="24" t="str">
        <x:v>Flatfishes</x:v>
      </x:c>
      <x:c r="I130" s="31" t="n">
        <x:v>125.12629515639999</x:v>
      </x:c>
      <x:c r="J130" s="31" t="n">
        <x:v>124.5904005346</x:v>
      </x:c>
      <x:c r="K130" s="31" t="n">
        <x:v>0.5358946218</x:v>
      </x:c>
      <x:c r="L130" s="31" t="n">
        <x:v>113.56899596679999</x:v>
      </x:c>
      <x:c r="M130" s="31" t="n">
        <x:v>11.5572991896</x:v>
      </x:c>
      <x:c r="N130" s="24" t="str">
        <x:v>scophthalmus maximus</x:v>
      </x:c>
      <x:c r="O130" s="32" t="n">
        <x:v>4.36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Scophthalmus maximus</x:v>
      </x:c>
      <x:c r="T130" s="32" t="n">
        <x:f>IF(O130="","",(1/'Metadata'!$B$5)^(O130-1))</x:f>
        <x:v>2290.867652767775</x:v>
      </x:c>
      <x:c r="U130" s="31" t="n">
        <x:f>IF(T130="","",I130*T130)</x:f>
        <x:v>286647.78208446986</x:v>
      </x:c>
    </x:row>
    <x:row r="131" ht="18" customHeight="1">
      <x:c r="A131" s="24" t="str">
        <x:v>LME_025</x:v>
      </x:c>
      <x:c r="B131" s="24" t="str">
        <x:v>Iberian Coastal</x:v>
      </x:c>
      <x:c r="C131" s="24" t="str">
        <x:v>LME</x:v>
      </x:c>
      <x:c r="D131" s="30" t="n">
        <x:v>2019</x:v>
      </x:c>
      <x:c r="E131" s="24" t="str">
        <x:v>Lophius budegassa</x:v>
      </x:c>
      <x:c r="F131" s="24" t="str">
        <x:v>Blackbellied angler</x:v>
      </x:c>
      <x:c r="G131" s="24" t="str">
        <x:v>Large bathydemersals (&gt;=90 cm)</x:v>
      </x:c>
      <x:c r="H131" s="24" t="str">
        <x:v>Other fishes &amp; inverts</x:v>
      </x:c>
      <x:c r="I131" s="31" t="n">
        <x:v>125.1060361397</x:v>
      </x:c>
      <x:c r="J131" s="31" t="n">
        <x:v>120.455623345</x:v>
      </x:c>
      <x:c r="K131" s="31" t="n">
        <x:v>4.6504127947</x:v>
      </x:c>
      <x:c r="L131" s="31" t="n">
        <x:v>86.1684752919</x:v>
      </x:c>
      <x:c r="M131" s="31" t="n">
        <x:v>38.9375608478</x:v>
      </x:c>
      <x:c r="N131" s="24" t="str">
        <x:v>lophius budegassa</x:v>
      </x:c>
      <x:c r="O131" s="32" t="n">
        <x:v>4.41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Lophius budegassa</x:v>
      </x:c>
      <x:c r="T131" s="32" t="n">
        <x:f>IF(O131="","",(1/'Metadata'!$B$5)^(O131-1))</x:f>
        <x:v>2570.3957827688646</x:v>
      </x:c>
      <x:c r="U131" s="31" t="n">
        <x:f>IF(T131="","",I131*T131)</x:f>
        <x:v>321572.027692414</x:v>
      </x:c>
    </x:row>
    <x:row r="132" ht="18" customHeight="1">
      <x:c r="A132" s="24" t="str">
        <x:v>LME_025</x:v>
      </x:c>
      <x:c r="B132" s="24" t="str">
        <x:v>Iberian Coastal</x:v>
      </x:c>
      <x:c r="C132" s="24" t="str">
        <x:v>LME</x:v>
      </x:c>
      <x:c r="D132" s="30" t="n">
        <x:v>2019</x:v>
      </x:c>
      <x:c r="E132" s="24" t="str">
        <x:v>Anguilla anguilla</x:v>
      </x:c>
      <x:c r="F132" s="24" t="str">
        <x:v>European eel</x:v>
      </x:c>
      <x:c r="G132" s="24" t="str">
        <x:v>Large demersals (&gt;=90 cm)</x:v>
      </x:c>
      <x:c r="H132" s="24" t="str">
        <x:v>Other fishes &amp; inverts</x:v>
      </x:c>
      <x:c r="I132" s="31" t="n">
        <x:v>124.8361552066</x:v>
      </x:c>
      <x:c r="J132" s="31" t="n">
        <x:v>124.8361552066</x:v>
      </x:c>
      <x:c r="K132" s="31" t="n">
        <x:v>0</x:v>
      </x:c>
      <x:c r="L132" s="31" t="n">
        <x:v>7.3394936818000005</x:v>
      </x:c>
      <x:c r="M132" s="31" t="n">
        <x:v>117.49666152479999</x:v>
      </x:c>
      <x:c r="N132" s="24" t="str">
        <x:v>anguilla anguilla</x:v>
      </x:c>
      <x:c r="O132" s="32" t="n">
        <x:v>3.55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Anguilla anguilla</x:v>
      </x:c>
      <x:c r="T132" s="32" t="n">
        <x:f>IF(O132="","",(1/'Metadata'!$B$5)^(O132-1))</x:f>
        <x:v>354.8133892335753</x:v>
      </x:c>
      <x:c r="U132" s="31" t="n">
        <x:f>IF(T132="","",I132*T132)</x:f>
        <x:v>44293.53932774239</x:v>
      </x:c>
    </x:row>
    <x:row r="133" ht="18" customHeight="1">
      <x:c r="A133" s="24" t="str">
        <x:v>LME_025</x:v>
      </x:c>
      <x:c r="B133" s="24" t="str">
        <x:v>Iberian Coastal</x:v>
      </x:c>
      <x:c r="C133" s="24" t="str">
        <x:v>LME</x:v>
      </x:c>
      <x:c r="D133" s="30" t="n">
        <x:v>2019</x:v>
      </x:c>
      <x:c r="E133" s="24" t="str">
        <x:v>Squalus blainville</x:v>
      </x:c>
      <x:c r="F133" s="24" t="str">
        <x:v>Longnose spurdog</x:v>
      </x:c>
      <x:c r="G133" s="24" t="str">
        <x:v>Small to medium sharks (&lt;90 cm)</x:v>
      </x:c>
      <x:c r="H133" s="24" t="str">
        <x:v>Sharks &amp; rays</x:v>
      </x:c>
      <x:c r="I133" s="31" t="n">
        <x:v>122.80257721679999</x:v>
      </x:c>
      <x:c r="J133" s="31" t="n">
        <x:v>121.21088220659999</x:v>
      </x:c>
      <x:c r="K133" s="31" t="n">
        <x:v>1.5916950102</x:v>
      </x:c>
      <x:c r="L133" s="31" t="n">
        <x:v>70.2208292192</x:v>
      </x:c>
      <x:c r="M133" s="31" t="n">
        <x:v>52.5817479976</x:v>
      </x:c>
      <x:c r="N133" s="24" t="str">
        <x:v>squalus blainville</x:v>
      </x:c>
      <x:c r="O133" s="32" t="n">
        <x:v>3.97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Squalus blainville</x:v>
      </x:c>
      <x:c r="T133" s="32" t="n">
        <x:f>IF(O133="","",(1/'Metadata'!$B$5)^(O133-1))</x:f>
        <x:v>933.2543007969915</x:v>
      </x:c>
      <x:c r="U133" s="31" t="n">
        <x:f>IF(T133="","",I133*T133)</x:f>
        <x:v>114606.03333653323</x:v>
      </x:c>
    </x:row>
    <x:row r="134" ht="18" customHeight="1">
      <x:c r="A134" s="24" t="str">
        <x:v>LME_025</x:v>
      </x:c>
      <x:c r="B134" s="24" t="str">
        <x:v>Iberian Coastal</x:v>
      </x:c>
      <x:c r="C134" s="24" t="str">
        <x:v>LME</x:v>
      </x:c>
      <x:c r="D134" s="30" t="n">
        <x:v>2019</x:v>
      </x:c>
      <x:c r="E134" s="24" t="str">
        <x:v>Alopias vulpinus</x:v>
      </x:c>
      <x:c r="F134" s="24" t="str">
        <x:v>Thresher</x:v>
      </x:c>
      <x:c r="G134" s="24" t="str">
        <x:v>Large sharks (&gt;=90 cm)</x:v>
      </x:c>
      <x:c r="H134" s="24" t="str">
        <x:v>Sharks &amp; rays</x:v>
      </x:c>
      <x:c r="I134" s="31" t="n">
        <x:v>122.4596829372</x:v>
      </x:c>
      <x:c r="J134" s="31" t="n">
        <x:v>122.4596829372</x:v>
      </x:c>
      <x:c r="K134" s="31" t="n">
        <x:v>0</x:v>
      </x:c>
      <x:c r="L134" s="31" t="n">
        <x:v>11.091222615200001</x:v>
      </x:c>
      <x:c r="M134" s="31" t="n">
        <x:v>111.368460322</x:v>
      </x:c>
      <x:c r="N134" s="24" t="str">
        <x:v>alopias vulpinus</x:v>
      </x:c>
      <x:c r="O134" s="32" t="n">
        <x:v>4.5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Alopias vulpinus</x:v>
      </x:c>
      <x:c r="T134" s="32" t="n">
        <x:f>IF(O134="","",(1/'Metadata'!$B$5)^(O134-1))</x:f>
        <x:v>3162.2776601683795</x:v>
      </x:c>
      <x:c r="U134" s="31" t="n">
        <x:f>IF(T134="","",I134*T134)</x:f>
        <x:v>387251.5196236104</x:v>
      </x:c>
    </x:row>
    <x:row r="135" ht="18" customHeight="1">
      <x:c r="A135" s="24" t="str">
        <x:v>LME_025</x:v>
      </x:c>
      <x:c r="B135" s="24" t="str">
        <x:v>Iberian Coastal</x:v>
      </x:c>
      <x:c r="C135" s="24" t="str">
        <x:v>LME</x:v>
      </x:c>
      <x:c r="D135" s="30" t="n">
        <x:v>2019</x:v>
      </x:c>
      <x:c r="E135" s="24" t="str">
        <x:v>Pollachius pollachius</x:v>
      </x:c>
      <x:c r="F135" s="24" t="str">
        <x:v>Pollack</x:v>
      </x:c>
      <x:c r="G135" s="24" t="str">
        <x:v>Large benthopelagics (&gt;=90 cm)</x:v>
      </x:c>
      <x:c r="H135" s="24" t="str">
        <x:v>Cod-likes</x:v>
      </x:c>
      <x:c r="I135" s="31" t="n">
        <x:v>120.2036487649</x:v>
      </x:c>
      <x:c r="J135" s="31" t="n">
        <x:v>120.2036487649</x:v>
      </x:c>
      <x:c r="K135" s="31" t="n">
        <x:v>0</x:v>
      </x:c>
      <x:c r="L135" s="31" t="n">
        <x:v>104.17028857099999</x:v>
      </x:c>
      <x:c r="M135" s="31" t="n">
        <x:v>16.033360193900002</x:v>
      </x:c>
      <x:c r="N135" s="24" t="str">
        <x:v>pollachius pollachius</x:v>
      </x:c>
      <x:c r="O135" s="32" t="n">
        <x:v>4.32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Pollachius pollachius</x:v>
      </x:c>
      <x:c r="T135" s="32" t="n">
        <x:f>IF(O135="","",(1/'Metadata'!$B$5)^(O135-1))</x:f>
        <x:v>2089.2961308540407</x:v>
      </x:c>
      <x:c r="U135" s="31" t="n">
        <x:f>IF(T135="","",I135*T135)</x:f>
        <x:v>251141.01827904364</x:v>
      </x:c>
    </x:row>
    <x:row r="136" ht="18" customHeight="1">
      <x:c r="A136" s="24" t="str">
        <x:v>LME_025</x:v>
      </x:c>
      <x:c r="B136" s="24" t="str">
        <x:v>Iberian Coastal</x:v>
      </x:c>
      <x:c r="C136" s="24" t="str">
        <x:v>LME</x:v>
      </x:c>
      <x:c r="D136" s="30" t="n">
        <x:v>2019</x:v>
      </x:c>
      <x:c r="E136" s="24" t="str">
        <x:v>Pleuronectiformes</x:v>
      </x:c>
      <x:c r="F136" s="24" t="str">
        <x:v>Flatfishes</x:v>
      </x:c>
      <x:c r="G136" s="24" t="str">
        <x:v>Small to medium flatfishes (&lt;90 cm)</x:v>
      </x:c>
      <x:c r="H136" s="24" t="str">
        <x:v>Flatfishes</x:v>
      </x:c>
      <x:c r="I136" s="31" t="n">
        <x:v>116.7686289134</x:v>
      </x:c>
      <x:c r="J136" s="31" t="n">
        <x:v>116.7272666404</x:v>
      </x:c>
      <x:c r="K136" s="31" t="n">
        <x:v>0.041362273</x:v>
      </x:c>
      <x:c r="L136" s="31" t="n">
        <x:v>116.29137886660001</x:v>
      </x:c>
      <x:c r="M136" s="31" t="n">
        <x:v>0.4772500468</x:v>
      </x:c>
      <x:c r="N136" s="24" t="str">
        <x:v>pleuronectiformes</x:v>
      </x:c>
      <x:c r="O136" s="32" t="n">
        <x:v>3.57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Pleuronectiformes</x:v>
      </x:c>
      <x:c r="T136" s="32" t="n">
        <x:f>IF(O136="","",(1/'Metadata'!$B$5)^(O136-1))</x:f>
        <x:v>371.5352290971724</x:v>
      </x:c>
      <x:c r="U136" s="31" t="n">
        <x:f>IF(T136="","",I136*T136)</x:f>
        <x:v>43383.659294702775</x:v>
      </x:c>
    </x:row>
    <x:row r="137" ht="18" customHeight="1">
      <x:c r="A137" s="24" t="str">
        <x:v>LME_025</x:v>
      </x:c>
      <x:c r="B137" s="24" t="str">
        <x:v>Iberian Coastal</x:v>
      </x:c>
      <x:c r="C137" s="24" t="str">
        <x:v>LME</x:v>
      </x:c>
      <x:c r="D137" s="30" t="n">
        <x:v>2019</x:v>
      </x:c>
      <x:c r="E137" s="24" t="str">
        <x:v>Diplodus vulgaris</x:v>
      </x:c>
      <x:c r="F137" s="24" t="str">
        <x:v>Common two-banded seabream</x:v>
      </x:c>
      <x:c r="G137" s="24" t="str">
        <x:v>Medium benthopelagics (30 - 89 cm)</x:v>
      </x:c>
      <x:c r="H137" s="24" t="str">
        <x:v>Perch-likes</x:v>
      </x:c>
      <x:c r="I137" s="31" t="n">
        <x:v>114.40448314909999</x:v>
      </x:c>
      <x:c r="J137" s="31" t="n">
        <x:v>108.9187560673</x:v>
      </x:c>
      <x:c r="K137" s="31" t="n">
        <x:v>5.4857270818</x:v>
      </x:c>
      <x:c r="L137" s="31" t="n">
        <x:v>36.3887381383</x:v>
      </x:c>
      <x:c r="M137" s="31" t="n">
        <x:v>78.0157450108</x:v>
      </x:c>
      <x:c r="N137" s="24" t="str">
        <x:v>diplodus vulgaris</x:v>
      </x:c>
      <x:c r="O137" s="32" t="n">
        <x:v>3.52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Diplodus vulgaris</x:v>
      </x:c>
      <x:c r="T137" s="32" t="n">
        <x:f>IF(O137="","",(1/'Metadata'!$B$5)^(O137-1))</x:f>
        <x:v>331.1311214825911</x:v>
      </x:c>
      <x:c r="U137" s="31" t="n">
        <x:f>IF(T137="","",I137*T137)</x:f>
        <x:v>37882.88480779767</x:v>
      </x:c>
    </x:row>
    <x:row r="138" ht="18" customHeight="1">
      <x:c r="A138" s="24" t="str">
        <x:v>LME_025</x:v>
      </x:c>
      <x:c r="B138" s="24" t="str">
        <x:v>Iberian Coastal</x:v>
      </x:c>
      <x:c r="C138" s="24" t="str">
        <x:v>LME</x:v>
      </x:c>
      <x:c r="D138" s="30" t="n">
        <x:v>2019</x:v>
      </x:c>
      <x:c r="E138" s="24" t="str">
        <x:v>Pleuronectes platessa</x:v>
      </x:c>
      <x:c r="F138" s="24" t="str">
        <x:v>European plaice</x:v>
      </x:c>
      <x:c r="G138" s="24" t="str">
        <x:v>Large flatfishes (&gt;=90 cm)</x:v>
      </x:c>
      <x:c r="H138" s="24" t="str">
        <x:v>Flatfishes</x:v>
      </x:c>
      <x:c r="I138" s="31" t="n">
        <x:v>108.6619762817</x:v>
      </x:c>
      <x:c r="J138" s="31" t="n">
        <x:v>73.6378634974</x:v>
      </x:c>
      <x:c r="K138" s="31" t="n">
        <x:v>35.0241127843</x:v>
      </x:c>
      <x:c r="L138" s="31" t="n">
        <x:v>73.0139586165</x:v>
      </x:c>
      <x:c r="M138" s="31" t="n">
        <x:v>35.6480176652</x:v>
      </x:c>
      <x:c r="N138" s="24" t="str">
        <x:v>pleuronectes platessa</x:v>
      </x:c>
      <x:c r="O138" s="32" t="n">
        <x:v>3.26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Pleuronectes platessa</x:v>
      </x:c>
      <x:c r="T138" s="32" t="n">
        <x:f>IF(O138="","",(1/'Metadata'!$B$5)^(O138-1))</x:f>
        <x:v>181.97008586099827</x:v>
      </x:c>
      <x:c r="U138" s="31" t="n">
        <x:f>IF(T138="","",I138*T138)</x:f>
        <x:v>19773.229153806707</x:v>
      </x:c>
    </x:row>
    <x:row r="139" ht="18" customHeight="1">
      <x:c r="A139" s="24" t="str">
        <x:v>LME_025</x:v>
      </x:c>
      <x:c r="B139" s="24" t="str">
        <x:v>Iberian Coastal</x:v>
      </x:c>
      <x:c r="C139" s="24" t="str">
        <x:v>LME</x:v>
      </x:c>
      <x:c r="D139" s="30" t="n">
        <x:v>2019</x:v>
      </x:c>
      <x:c r="E139" s="24" t="str">
        <x:v>Zenopsis conchifer</x:v>
      </x:c>
      <x:c r="F139" s="24" t="str">
        <x:v>Silvery John dory</x:v>
      </x:c>
      <x:c r="G139" s="24" t="str">
        <x:v>Medium benthopelagics (30 - 89 cm)</x:v>
      </x:c>
      <x:c r="H139" s="24" t="str">
        <x:v>Other fishes &amp; inverts</x:v>
      </x:c>
      <x:c r="I139" s="31" t="n">
        <x:v>105.3430962482</x:v>
      </x:c>
      <x:c r="J139" s="31" t="n">
        <x:v>82.664042435</x:v>
      </x:c>
      <x:c r="K139" s="31" t="n">
        <x:v>22.6790538132</x:v>
      </x:c>
      <x:c r="L139" s="31" t="n">
        <x:v>71.6174817297</x:v>
      </x:c>
      <x:c r="M139" s="31" t="n">
        <x:v>33.7256145185</x:v>
      </x:c>
      <x:c r="N139" s="24" t="str">
        <x:v>zenopsis conchifer</x:v>
      </x:c>
      <x:c r="O139" s="32" t="n">
        <x:v>4.5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Zenopsis conchifer</x:v>
      </x:c>
      <x:c r="T139" s="32" t="n">
        <x:f>IF(O139="","",(1/'Metadata'!$B$5)^(O139-1))</x:f>
        <x:v>3162.2776601683795</x:v>
      </x:c>
      <x:c r="U139" s="31" t="n">
        <x:f>IF(T139="","",I139*T139)</x:f>
        <x:v>333124.1199186503</x:v>
      </x:c>
    </x:row>
    <x:row r="140" ht="18" customHeight="1">
      <x:c r="A140" s="24" t="str">
        <x:v>LME_025</x:v>
      </x:c>
      <x:c r="B140" s="24" t="str">
        <x:v>Iberian Coastal</x:v>
      </x:c>
      <x:c r="C140" s="24" t="str">
        <x:v>LME</x:v>
      </x:c>
      <x:c r="D140" s="30" t="n">
        <x:v>2019</x:v>
      </x:c>
      <x:c r="E140" s="24" t="str">
        <x:v>Carangidae</x:v>
      </x:c>
      <x:c r="F140" s="24" t="str">
        <x:v>Jacks, pompanos</x:v>
      </x:c>
      <x:c r="G140" s="24" t="str">
        <x:v>Medium pelagics (30 - 89 cm)</x:v>
      </x:c>
      <x:c r="H140" s="24" t="str">
        <x:v>Perch-likes</x:v>
      </x:c>
      <x:c r="I140" s="31" t="n">
        <x:v>102.6015749765</x:v>
      </x:c>
      <x:c r="J140" s="31" t="n">
        <x:v>81.90204125509999</x:v>
      </x:c>
      <x:c r="K140" s="31" t="n">
        <x:v>20.6995337214</x:v>
      </x:c>
      <x:c r="L140" s="31" t="n">
        <x:v>59.0951702328</x:v>
      </x:c>
      <x:c r="M140" s="31" t="n">
        <x:v>43.5064047437</x:v>
      </x:c>
      <x:c r="N140" s="24" t="str">
        <x:v>carangidae</x:v>
      </x:c>
      <x:c r="O140" s="32" t="n">
        <x:v>4.05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Carangidae</x:v>
      </x:c>
      <x:c r="T140" s="32" t="n">
        <x:f>IF(O140="","",(1/'Metadata'!$B$5)^(O140-1))</x:f>
        <x:v>1122.018454301963</x:v>
      </x:c>
      <x:c r="U140" s="31" t="n">
        <x:f>IF(T140="","",I140*T140)</x:f>
        <x:v>115120.8605640795</x:v>
      </x:c>
    </x:row>
    <x:row r="141" ht="18" customHeight="1">
      <x:c r="A141" s="24" t="str">
        <x:v>LME_025</x:v>
      </x:c>
      <x:c r="B141" s="24" t="str">
        <x:v>Iberian Coastal</x:v>
      </x:c>
      <x:c r="C141" s="24" t="str">
        <x:v>LME</x:v>
      </x:c>
      <x:c r="D141" s="30" t="n">
        <x:v>2019</x:v>
      </x:c>
      <x:c r="E141" s="24" t="str">
        <x:v>Isurus oxyrinchus</x:v>
      </x:c>
      <x:c r="F141" s="24" t="str">
        <x:v>Shortfin mako</x:v>
      </x:c>
      <x:c r="G141" s="24" t="str">
        <x:v>Large sharks (&gt;=90 cm)</x:v>
      </x:c>
      <x:c r="H141" s="24" t="str">
        <x:v>Sharks &amp; rays</x:v>
      </x:c>
      <x:c r="I141" s="31" t="n">
        <x:v>101.9982968634</x:v>
      </x:c>
      <x:c r="J141" s="31" t="n">
        <x:v>100.8255076838</x:v>
      </x:c>
      <x:c r="K141" s="31" t="n">
        <x:v>1.1727891796</x:v>
      </x:c>
      <x:c r="L141" s="31" t="n">
        <x:v>99.6003311991</x:v>
      </x:c>
      <x:c r="M141" s="31" t="n">
        <x:v>2.3979656643</x:v>
      </x:c>
      <x:c r="N141" s="24" t="str">
        <x:v>isurus oxyrinchus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Isurus oxyrinchus</x:v>
      </x:c>
      <x:c r="T141" s="32" t="n">
        <x:f>IF(O141="","",(1/'Metadata'!$B$5)^(O141-1))</x:f>
        <x:v>3162.2776601683795</x:v>
      </x:c>
      <x:c r="U141" s="31" t="n">
        <x:f>IF(T141="","",I141*T141)</x:f>
        <x:v>322546.9355463523</x:v>
      </x:c>
    </x:row>
    <x:row r="142" ht="18" customHeight="1">
      <x:c r="A142" s="24" t="str">
        <x:v>LME_025</x:v>
      </x:c>
      <x:c r="B142" s="24" t="str">
        <x:v>Iberian Coastal</x:v>
      </x:c>
      <x:c r="C142" s="24" t="str">
        <x:v>LME</x:v>
      </x:c>
      <x:c r="D142" s="30" t="n">
        <x:v>2019</x:v>
      </x:c>
      <x:c r="E142" s="24" t="str">
        <x:v>Venerupis corrugata</x:v>
      </x:c>
      <x:c r="F142" s="24" t="str">
        <x:v>Corrugated venus</x:v>
      </x:c>
      <x:c r="G142" s="24" t="str">
        <x:v>Other demersal invertebrates</x:v>
      </x:c>
      <x:c r="H142" s="24" t="str">
        <x:v>Molluscs</x:v>
      </x:c>
      <x:c r="I142" s="31" t="n">
        <x:v>101.5980894234</x:v>
      </x:c>
      <x:c r="J142" s="31" t="n">
        <x:v>101.5980894234</x:v>
      </x:c>
      <x:c r="K142" s="31" t="n">
        <x:v>0</x:v>
      </x:c>
      <x:c r="L142" s="31" t="n">
        <x:v>40.7195671932</x:v>
      </x:c>
      <x:c r="M142" s="31" t="n">
        <x:v>60.8785222302</x:v>
      </x:c>
      <x:c r="N142" s="24" t="str">
        <x:v>venerupis corrugata</x:v>
      </x:c>
      <x:c r="O142" s="32" t="n">
        <x:v>2.1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Venerupis corrugata</x:v>
      </x:c>
      <x:c r="T142" s="32" t="n">
        <x:f>IF(O142="","",(1/'Metadata'!$B$5)^(O142-1))</x:f>
        <x:v>12.589254117941675</x:v>
      </x:c>
      <x:c r="U142" s="31" t="n">
        <x:f>IF(T142="","",I142*T142)</x:f>
        <x:v>1279.044165648545</x:v>
      </x:c>
    </x:row>
    <x:row r="143" ht="18" customHeight="1">
      <x:c r="A143" s="24" t="str">
        <x:v>LME_025</x:v>
      </x:c>
      <x:c r="B143" s="24" t="str">
        <x:v>Iberian Coastal</x:v>
      </x:c>
      <x:c r="C143" s="24" t="str">
        <x:v>LME</x:v>
      </x:c>
      <x:c r="D143" s="30" t="n">
        <x:v>2019</x:v>
      </x:c>
      <x:c r="E143" s="24" t="str">
        <x:v>Aristeus antennatus</x:v>
      </x:c>
      <x:c r="F143" s="24" t="str">
        <x:v>Blue and red shrimp</x:v>
      </x:c>
      <x:c r="G143" s="24" t="str">
        <x:v>Shrimps</x:v>
      </x:c>
      <x:c r="H143" s="24" t="str">
        <x:v>Crustaceans</x:v>
      </x:c>
      <x:c r="I143" s="31" t="n">
        <x:v>101.12531075599999</x:v>
      </x:c>
      <x:c r="J143" s="31" t="n">
        <x:v>100.155039885</x:v>
      </x:c>
      <x:c r="K143" s="31" t="n">
        <x:v>0.970270871</x:v>
      </x:c>
      <x:c r="L143" s="31" t="n">
        <x:v>100.155039885</x:v>
      </x:c>
      <x:c r="M143" s="31" t="n">
        <x:v>0.970270871</x:v>
      </x:c>
      <x:c r="N143" s="24" t="str">
        <x:v>aristeus antennatus</x:v>
      </x:c>
      <x:c r="O143" s="32" t="n">
        <x:v>3.3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Aristeus antennatus</x:v>
      </x:c>
      <x:c r="T143" s="32" t="n">
        <x:f>IF(O143="","",(1/'Metadata'!$B$5)^(O143-1))</x:f>
        <x:v>199.52623149688787</x:v>
      </x:c>
      <x:c r="U143" s="31" t="n">
        <x:f>IF(T143="","",I143*T143)</x:f>
        <x:v>20177.15216409638</x:v>
      </x:c>
    </x:row>
    <x:row r="144" ht="18" customHeight="1">
      <x:c r="A144" s="24" t="str">
        <x:v>LME_025</x:v>
      </x:c>
      <x:c r="B144" s="24" t="str">
        <x:v>Iberian Coastal</x:v>
      </x:c>
      <x:c r="C144" s="24" t="str">
        <x:v>LME</x:v>
      </x:c>
      <x:c r="D144" s="30" t="n">
        <x:v>2019</x:v>
      </x:c>
      <x:c r="E144" s="24" t="str">
        <x:v>Alosa alosa</x:v>
      </x:c>
      <x:c r="F144" s="24" t="str">
        <x:v>Allis shad</x:v>
      </x:c>
      <x:c r="G144" s="24" t="str">
        <x:v>Medium pelagics (30 - 89 cm)</x:v>
      </x:c>
      <x:c r="H144" s="24" t="str">
        <x:v>Herring-likes</x:v>
      </x:c>
      <x:c r="I144" s="31" t="n">
        <x:v>101.1089456021</x:v>
      </x:c>
      <x:c r="J144" s="31" t="n">
        <x:v>101.1089456021</x:v>
      </x:c>
      <x:c r="K144" s="31" t="n">
        <x:v>0</x:v>
      </x:c>
      <x:c r="L144" s="31" t="n">
        <x:v>100.4556155527</x:v>
      </x:c>
      <x:c r="M144" s="31" t="n">
        <x:v>0.6533300494</x:v>
      </x:c>
      <x:c r="N144" s="24" t="str">
        <x:v>alosa alosa</x:v>
      </x:c>
      <x:c r="O144" s="32" t="n">
        <x:v>2.95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Alosa alosa</x:v>
      </x:c>
      <x:c r="T144" s="32" t="n">
        <x:f>IF(O144="","",(1/'Metadata'!$B$5)^(O144-1))</x:f>
        <x:v>89.12509381337459</x:v>
      </x:c>
      <x:c r="U144" s="31" t="n">
        <x:f>IF(T144="","",I144*T144)</x:f>
        <x:v>9011.344262158551</x:v>
      </x:c>
    </x:row>
    <x:row r="145" ht="18" customHeight="1">
      <x:c r="A145" s="24" t="str">
        <x:v>LME_025</x:v>
      </x:c>
      <x:c r="B145" s="24" t="str">
        <x:v>Iberian Coastal</x:v>
      </x:c>
      <x:c r="C145" s="24" t="str">
        <x:v>LME</x:v>
      </x:c>
      <x:c r="D145" s="30" t="n">
        <x:v>2019</x:v>
      </x:c>
      <x:c r="E145" s="24" t="str">
        <x:v>Alloteuthis subulata</x:v>
      </x:c>
      <x:c r="F145" s="24" t="str">
        <x:v>European common squid</x:v>
      </x:c>
      <x:c r="G145" s="24" t="str">
        <x:v>Cephalopods</x:v>
      </x:c>
      <x:c r="H145" s="24" t="str">
        <x:v>Other fishes &amp; inverts</x:v>
      </x:c>
      <x:c r="I145" s="31" t="n">
        <x:v>100.5904809848</x:v>
      </x:c>
      <x:c r="J145" s="31" t="n">
        <x:v>80.32052988539999</x:v>
      </x:c>
      <x:c r="K145" s="31" t="n">
        <x:v>20.2699510994</x:v>
      </x:c>
      <x:c r="L145" s="31" t="n">
        <x:v>69.7543897197</x:v>
      </x:c>
      <x:c r="M145" s="31" t="n">
        <x:v>30.836091265100002</x:v>
      </x:c>
      <x:c r="N145" s="24" t="str">
        <x:v>alloteuthis subulata</x:v>
      </x:c>
      <x:c r="O145" s="32" t="n">
        <x:v>4.5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Alloteuthis subulata</x:v>
      </x:c>
      <x:c r="T145" s="32" t="n">
        <x:f>IF(O145="","",(1/'Metadata'!$B$5)^(O145-1))</x:f>
        <x:v>3162.2776601683795</x:v>
      </x:c>
      <x:c r="U145" s="31" t="n">
        <x:f>IF(T145="","",I145*T145)</x:f>
        <x:v>318095.0308438252</x:v>
      </x:c>
    </x:row>
    <x:row r="146" ht="18" customHeight="1">
      <x:c r="A146" s="24" t="str">
        <x:v>LME_025</x:v>
      </x:c>
      <x:c r="B146" s="24" t="str">
        <x:v>Iberian Coastal</x:v>
      </x:c>
      <x:c r="C146" s="24" t="str">
        <x:v>LME</x:v>
      </x:c>
      <x:c r="D146" s="30" t="n">
        <x:v>2019</x:v>
      </x:c>
      <x:c r="E146" s="24" t="str">
        <x:v>Osteichthyes</x:v>
      </x:c>
      <x:c r="F146" s="24" t="str">
        <x:v>Bony fishes</x:v>
      </x:c>
      <x:c r="G146" s="24" t="str">
        <x:v>Medium demersals (30 - 89 cm)</x:v>
      </x:c>
      <x:c r="H146" s="24" t="str">
        <x:v>Other fishes &amp; inverts</x:v>
      </x:c>
      <x:c r="I146" s="31" t="n">
        <x:v>100.5725500228</x:v>
      </x:c>
      <x:c r="J146" s="31" t="n">
        <x:v>100.2095998142</x:v>
      </x:c>
      <x:c r="K146" s="31" t="n">
        <x:v>0.3629502086</x:v>
      </x:c>
      <x:c r="L146" s="31" t="n">
        <x:v>100.0727278833</x:v>
      </x:c>
      <x:c r="M146" s="31" t="n">
        <x:v>0.4998221395</x:v>
      </x:c>
      <x:c r="N146" s="24" t="str">
        <x:v>osteichthyes</x:v>
      </x:c>
      <x:c r="O146" s="32" t="n">
        <x:v>3.79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Osteichthyes</x:v>
      </x:c>
      <x:c r="T146" s="32" t="n">
        <x:f>IF(O146="","",(1/'Metadata'!$B$5)^(O146-1))</x:f>
        <x:v>616.5950018614822</x:v>
      </x:c>
      <x:c r="U146" s="31" t="n">
        <x:f>IF(T146="","",I146*T146)</x:f>
        <x:v>62012.53166852237</x:v>
      </x:c>
    </x:row>
    <x:row r="147" ht="18" customHeight="1">
      <x:c r="A147" s="24" t="str">
        <x:v>LME_025</x:v>
      </x:c>
      <x:c r="B147" s="24" t="str">
        <x:v>Iberian Coastal</x:v>
      </x:c>
      <x:c r="C147" s="24" t="str">
        <x:v>LME</x:v>
      </x:c>
      <x:c r="D147" s="30" t="n">
        <x:v>2019</x:v>
      </x:c>
      <x:c r="E147" s="24" t="str">
        <x:v>Echinoidea</x:v>
      </x:c>
      <x:c r="F147" s="24" t="str">
        <x:v>Sea urchins, sea hedgehogs</x:v>
      </x:c>
      <x:c r="G147" s="24" t="str">
        <x:v>Other demersal invertebrates</x:v>
      </x:c>
      <x:c r="H147" s="24" t="str">
        <x:v>Other fishes &amp; inverts</x:v>
      </x:c>
      <x:c r="I147" s="31" t="n">
        <x:v>100.2414490669</x:v>
      </x:c>
      <x:c r="J147" s="31" t="n">
        <x:v>0.2312902371</x:v>
      </x:c>
      <x:c r="K147" s="31" t="n">
        <x:v>100.0101588298</x:v>
      </x:c>
      <x:c r="L147" s="31" t="n">
        <x:v>0.2203682398</x:v>
      </x:c>
      <x:c r="M147" s="31" t="n">
        <x:v>100.02108082710001</x:v>
      </x:c>
      <x:c r="N147" s="24" t="str">
        <x:v>echinoidea</x:v>
      </x:c>
      <x:c r="O147" s="32" t="n">
        <x:v>2.51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Echinoidea</x:v>
      </x:c>
      <x:c r="T147" s="32" t="n">
        <x:f>IF(O147="","",(1/'Metadata'!$B$5)^(O147-1))</x:f>
        <x:v>32.35936569296281</x:v>
      </x:c>
      <x:c r="U147" s="31" t="n">
        <x:f>IF(T147="","",I147*T147)</x:f>
        <x:v>3243.749707948323</x:v>
      </x:c>
    </x:row>
    <x:row r="148" ht="18" customHeight="1">
      <x:c r="A148" s="24" t="str">
        <x:v>LME_025</x:v>
      </x:c>
      <x:c r="B148" s="24" t="str">
        <x:v>Iberian Coastal</x:v>
      </x:c>
      <x:c r="C148" s="24" t="str">
        <x:v>LME</x:v>
      </x:c>
      <x:c r="D148" s="30" t="n">
        <x:v>2019</x:v>
      </x:c>
      <x:c r="E148" s="24" t="str">
        <x:v>Leucoraja naevus</x:v>
      </x:c>
      <x:c r="F148" s="24" t="str">
        <x:v>Cuckoo ray</x:v>
      </x:c>
      <x:c r="G148" s="24" t="str">
        <x:v>Small to medium rays (&lt;90 cm)</x:v>
      </x:c>
      <x:c r="H148" s="24" t="str">
        <x:v>Sharks &amp; rays</x:v>
      </x:c>
      <x:c r="I148" s="31" t="n">
        <x:v>98.7594821891</x:v>
      </x:c>
      <x:c r="J148" s="31" t="n">
        <x:v>98.7594821891</x:v>
      </x:c>
      <x:c r="K148" s="31" t="n">
        <x:v>0</x:v>
      </x:c>
      <x:c r="L148" s="31" t="n">
        <x:v>91.8292486652</x:v>
      </x:c>
      <x:c r="M148" s="31" t="n">
        <x:v>6.9302335239</x:v>
      </x:c>
      <x:c r="N148" s="24" t="str">
        <x:v>leucoraja naevus</x:v>
      </x:c>
      <x:c r="O148" s="32" t="n">
        <x:v>4.21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Leucoraja naevus</x:v>
      </x:c>
      <x:c r="T148" s="32" t="n">
        <x:f>IF(O148="","",(1/'Metadata'!$B$5)^(O148-1))</x:f>
        <x:v>1621.8100973589299</x:v>
      </x:c>
      <x:c r="U148" s="31" t="n">
        <x:f>IF(T148="","",I148*T148)</x:f>
        <x:v>160169.12542422177</x:v>
      </x:c>
    </x:row>
    <x:row r="149" ht="18" customHeight="1">
      <x:c r="A149" s="24" t="str">
        <x:v>LME_025</x:v>
      </x:c>
      <x:c r="B149" s="24" t="str">
        <x:v>Iberian Coastal</x:v>
      </x:c>
      <x:c r="C149" s="24" t="str">
        <x:v>LME</x:v>
      </x:c>
      <x:c r="D149" s="30" t="n">
        <x:v>2019</x:v>
      </x:c>
      <x:c r="E149" s="24" t="str">
        <x:v>Trachinotus ovatus</x:v>
      </x:c>
      <x:c r="F149" s="24" t="str">
        <x:v>Pompano</x:v>
      </x:c>
      <x:c r="G149" s="24" t="str">
        <x:v>Medium pelagics (30 - 89 cm)</x:v>
      </x:c>
      <x:c r="H149" s="24" t="str">
        <x:v>Perch-likes</x:v>
      </x:c>
      <x:c r="I149" s="31" t="n">
        <x:v>97.7169169769</x:v>
      </x:c>
      <x:c r="J149" s="31" t="n">
        <x:v>96.4300065021</x:v>
      </x:c>
      <x:c r="K149" s="31" t="n">
        <x:v>1.2869104748</x:v>
      </x:c>
      <x:c r="L149" s="31" t="n">
        <x:v>38.5042843233</x:v>
      </x:c>
      <x:c r="M149" s="31" t="n">
        <x:v>59.212632653600004</x:v>
      </x:c>
      <x:c r="N149" s="24" t="str">
        <x:v>trachinotus ovatus</x:v>
      </x:c>
      <x:c r="O149" s="32" t="n">
        <x:v>3.73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Trachinotus ovatus</x:v>
      </x:c>
      <x:c r="T149" s="32" t="n">
        <x:f>IF(O149="","",(1/'Metadata'!$B$5)^(O149-1))</x:f>
        <x:v>537.0317963702527</x:v>
      </x:c>
      <x:c r="U149" s="31" t="n">
        <x:f>IF(T149="","",I149*T149)</x:f>
        <x:v>52477.09145986744</x:v>
      </x:c>
    </x:row>
    <x:row r="150" ht="18" customHeight="1">
      <x:c r="A150" s="24" t="str">
        <x:v>LME_025</x:v>
      </x:c>
      <x:c r="B150" s="24" t="str">
        <x:v>Iberian Coastal</x:v>
      </x:c>
      <x:c r="C150" s="24" t="str">
        <x:v>LME</x:v>
      </x:c>
      <x:c r="D150" s="30" t="n">
        <x:v>2019</x:v>
      </x:c>
      <x:c r="E150" s="24" t="str">
        <x:v>Labridae</x:v>
      </x:c>
      <x:c r="F150" s="24" t="str">
        <x:v>Wrasses, gropers, tuskfishes</x:v>
      </x:c>
      <x:c r="G150" s="24" t="str">
        <x:v>Medium reef assoc. fish (30 - 89 cm)</x:v>
      </x:c>
      <x:c r="H150" s="24" t="str">
        <x:v>Perch-likes</x:v>
      </x:c>
      <x:c r="I150" s="31" t="n">
        <x:v>95.73844084310001</x:v>
      </x:c>
      <x:c r="J150" s="31" t="n">
        <x:v>93.80164834550001</x:v>
      </x:c>
      <x:c r="K150" s="31" t="n">
        <x:v>1.9367924976</x:v>
      </x:c>
      <x:c r="L150" s="31" t="n">
        <x:v>7.493309967400001</x:v>
      </x:c>
      <x:c r="M150" s="31" t="n">
        <x:v>88.2451308757</x:v>
      </x:c>
      <x:c r="N150" s="24" t="str">
        <x:v>labridae</x:v>
      </x:c>
      <x:c r="O150" s="32" t="n">
        <x:v>3.46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Labridae</x:v>
      </x:c>
      <x:c r="T150" s="32" t="n">
        <x:f>IF(O150="","",(1/'Metadata'!$B$5)^(O150-1))</x:f>
        <x:v>288.40315031266056</x:v>
      </x:c>
      <x:c r="U150" s="31" t="n">
        <x:f>IF(T150="","",I150*T150)</x:f>
        <x:v>27611.26794517233</x:v>
      </x:c>
    </x:row>
    <x:row r="151" ht="18" customHeight="1">
      <x:c r="A151" s="24" t="str">
        <x:v>LME_025</x:v>
      </x:c>
      <x:c r="B151" s="24" t="str">
        <x:v>Iberian Coastal</x:v>
      </x:c>
      <x:c r="C151" s="24" t="str">
        <x:v>LME</x:v>
      </x:c>
      <x:c r="D151" s="30" t="n">
        <x:v>2019</x:v>
      </x:c>
      <x:c r="E151" s="24" t="str">
        <x:v>Balistes</x:v>
      </x:c>
      <x:c r="F151" s="24" t="str">
        <x:v>Triggerfish</x:v>
      </x:c>
      <x:c r="G151" s="24" t="str">
        <x:v>Medium reef assoc. fish (30 - 89 cm)</x:v>
      </x:c>
      <x:c r="H151" s="24" t="str">
        <x:v>Other fishes &amp; inverts</x:v>
      </x:c>
      <x:c r="I151" s="31" t="n">
        <x:v>90.8801838931</x:v>
      </x:c>
      <x:c r="J151" s="31" t="n">
        <x:v>90.8801838931</x:v>
      </x:c>
      <x:c r="K151" s="31" t="n">
        <x:v>0</x:v>
      </x:c>
      <x:c r="L151" s="31" t="n">
        <x:v>0</x:v>
      </x:c>
      <x:c r="M151" s="31" t="n">
        <x:v>90.8801838931</x:v>
      </x:c>
      <x:c r="N151" s="24" t="str">
        <x:v>balistes</x:v>
      </x:c>
      <x:c r="O151" s="32" t="n">
        <x:v>3.94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Balistes</x:v>
      </x:c>
      <x:c r="T151" s="32" t="n">
        <x:f>IF(O151="","",(1/'Metadata'!$B$5)^(O151-1))</x:f>
        <x:v>870.9635899560806</x:v>
      </x:c>
      <x:c r="U151" s="31" t="n">
        <x:f>IF(T151="","",I151*T151)</x:f>
        <x:v>79153.33121940315</x:v>
      </x:c>
    </x:row>
    <x:row r="152" ht="18" customHeight="1">
      <x:c r="A152" s="24" t="str">
        <x:v>LME_025</x:v>
      </x:c>
      <x:c r="B152" s="24" t="str">
        <x:v>Iberian Coastal</x:v>
      </x:c>
      <x:c r="C152" s="24" t="str">
        <x:v>LME</x:v>
      </x:c>
      <x:c r="D152" s="30" t="n">
        <x:v>2019</x:v>
      </x:c>
      <x:c r="E152" s="24" t="str">
        <x:v>Veneridae</x:v>
      </x:c>
      <x:c r="F152" s="24" t="str">
        <x:v>Venus clams</x:v>
      </x:c>
      <x:c r="G152" s="24" t="str">
        <x:v>Other demersal invertebrates</x:v>
      </x:c>
      <x:c r="H152" s="24" t="str">
        <x:v>Molluscs</x:v>
      </x:c>
      <x:c r="I152" s="31" t="n">
        <x:v>90.8582263195</x:v>
      </x:c>
      <x:c r="J152" s="31" t="n">
        <x:v>90.8290035943</x:v>
      </x:c>
      <x:c r="K152" s="31" t="n">
        <x:v>0.0292227252</x:v>
      </x:c>
      <x:c r="L152" s="31" t="n">
        <x:v>85.6115790916</x:v>
      </x:c>
      <x:c r="M152" s="31" t="n">
        <x:v>5.2466472279</x:v>
      </x:c>
      <x:c r="N152" s="24" t="str">
        <x:v>veneridae</x:v>
      </x:c>
      <x:c r="O152" s="32" t="n">
        <x:v>2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Veneridae</x:v>
      </x:c>
      <x:c r="T152" s="32" t="n">
        <x:f>IF(O152="","",(1/'Metadata'!$B$5)^(O152-1))</x:f>
        <x:v>10</x:v>
      </x:c>
      <x:c r="U152" s="31" t="n">
        <x:f>IF(T152="","",I152*T152)</x:f>
        <x:v>908.582263195</x:v>
      </x:c>
    </x:row>
    <x:row r="153" ht="18" customHeight="1">
      <x:c r="A153" s="24" t="str">
        <x:v>LME_025</x:v>
      </x:c>
      <x:c r="B153" s="24" t="str">
        <x:v>Iberian Coastal</x:v>
      </x:c>
      <x:c r="C153" s="24" t="str">
        <x:v>LME</x:v>
      </x:c>
      <x:c r="D153" s="30" t="n">
        <x:v>2019</x:v>
      </x:c>
      <x:c r="E153" s="24" t="str">
        <x:v>Spicara maena</x:v>
      </x:c>
      <x:c r="F153" s="24" t="str">
        <x:v>Blotched picarel</x:v>
      </x:c>
      <x:c r="G153" s="24" t="str">
        <x:v>Small demersals (&lt;30 cm)</x:v>
      </x:c>
      <x:c r="H153" s="24" t="str">
        <x:v>Perch-likes</x:v>
      </x:c>
      <x:c r="I153" s="31" t="n">
        <x:v>90.5081751567</x:v>
      </x:c>
      <x:c r="J153" s="31" t="n">
        <x:v>0</x:v>
      </x:c>
      <x:c r="K153" s="31" t="n">
        <x:v>90.5081751567</x:v>
      </x:c>
      <x:c r="L153" s="31" t="n">
        <x:v>0</x:v>
      </x:c>
      <x:c r="M153" s="31" t="n">
        <x:v>90.5081751567</x:v>
      </x:c>
      <x:c r="N153" s="24" t="str">
        <x:v>spicara maena</x:v>
      </x:c>
      <x:c r="O153" s="32" t="n">
        <x:v>4.15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Spicara maena</x:v>
      </x:c>
      <x:c r="T153" s="32" t="n">
        <x:f>IF(O153="","",(1/'Metadata'!$B$5)^(O153-1))</x:f>
        <x:v>1412.5375446227554</x:v>
      </x:c>
      <x:c r="U153" s="31" t="n">
        <x:f>IF(T153="","",I153*T153)</x:f>
        <x:v>127846.19550413129</x:v>
      </x:c>
    </x:row>
    <x:row r="154" ht="18" customHeight="1">
      <x:c r="A154" s="24" t="str">
        <x:v>LME_025</x:v>
      </x:c>
      <x:c r="B154" s="24" t="str">
        <x:v>Iberian Coastal</x:v>
      </x:c>
      <x:c r="C154" s="24" t="str">
        <x:v>LME</x:v>
      </x:c>
      <x:c r="D154" s="30" t="n">
        <x:v>2019</x:v>
      </x:c>
      <x:c r="E154" s="24" t="str">
        <x:v>Soleidae</x:v>
      </x:c>
      <x:c r="F154" s="24" t="str">
        <x:v>Soles</x:v>
      </x:c>
      <x:c r="G154" s="24" t="str">
        <x:v>Small to medium flatfishes (&lt;90 cm)</x:v>
      </x:c>
      <x:c r="H154" s="24" t="str">
        <x:v>Flatfishes</x:v>
      </x:c>
      <x:c r="I154" s="31" t="n">
        <x:v>90.1046761338</x:v>
      </x:c>
      <x:c r="J154" s="31" t="n">
        <x:v>24.3941650073</x:v>
      </x:c>
      <x:c r="K154" s="31" t="n">
        <x:v>65.7105111265</x:v>
      </x:c>
      <x:c r="L154" s="31" t="n">
        <x:v>5.7758513812</x:v>
      </x:c>
      <x:c r="M154" s="31" t="n">
        <x:v>84.3288247526</x:v>
      </x:c>
      <x:c r="N154" s="24" t="str">
        <x:v>soleidae</x:v>
      </x:c>
      <x:c r="O154" s="32" t="n">
        <x:v>3.15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Soleidae</x:v>
      </x:c>
      <x:c r="T154" s="32" t="n">
        <x:f>IF(O154="","",(1/'Metadata'!$B$5)^(O154-1))</x:f>
        <x:v>141.2537544622754</x:v>
      </x:c>
      <x:c r="U154" s="31" t="n">
        <x:f>IF(T154="","",I154*T154)</x:f>
        <x:v>12727.623798506631</x:v>
      </x:c>
    </x:row>
    <x:row r="155" ht="18" customHeight="1">
      <x:c r="A155" s="24" t="str">
        <x:v>LME_025</x:v>
      </x:c>
      <x:c r="B155" s="24" t="str">
        <x:v>Iberian Coastal</x:v>
      </x:c>
      <x:c r="C155" s="24" t="str">
        <x:v>LME</x:v>
      </x:c>
      <x:c r="D155" s="30" t="n">
        <x:v>2019</x:v>
      </x:c>
      <x:c r="E155" s="24" t="str">
        <x:v>Gadidae</x:v>
      </x:c>
      <x:c r="F155" s="24" t="str">
        <x:v>Cods, haddocks</x:v>
      </x:c>
      <x:c r="G155" s="24" t="str">
        <x:v>Medium demersals (30 - 89 cm)</x:v>
      </x:c>
      <x:c r="H155" s="24" t="str">
        <x:v>Cod-likes</x:v>
      </x:c>
      <x:c r="I155" s="31" t="n">
        <x:v>88.44072078479999</x:v>
      </x:c>
      <x:c r="J155" s="31" t="n">
        <x:v>25.3788697996</x:v>
      </x:c>
      <x:c r="K155" s="31" t="n">
        <x:v>63.061850985199996</x:v>
      </x:c>
      <x:c r="L155" s="31" t="n">
        <x:v>0</x:v>
      </x:c>
      <x:c r="M155" s="31" t="n">
        <x:v>88.44072078479999</x:v>
      </x:c>
      <x:c r="N155" s="24" t="str">
        <x:v>gadidae</x:v>
      </x:c>
      <x:c r="O155" s="32" t="n">
        <x:v>3.84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Gadidae</x:v>
      </x:c>
      <x:c r="T155" s="32" t="n">
        <x:f>IF(O155="","",(1/'Metadata'!$B$5)^(O155-1))</x:f>
        <x:v>691.8309709189363</x:v>
      </x:c>
      <x:c r="U155" s="31" t="n">
        <x:f>IF(T155="","",I155*T155)</x:f>
        <x:v>61186.029729318725</x:v>
      </x:c>
    </x:row>
    <x:row r="156" ht="18" customHeight="1">
      <x:c r="A156" s="24" t="str">
        <x:v>LME_025</x:v>
      </x:c>
      <x:c r="B156" s="24" t="str">
        <x:v>Iberian Coastal</x:v>
      </x:c>
      <x:c r="C156" s="24" t="str">
        <x:v>LME</x:v>
      </x:c>
      <x:c r="D156" s="30" t="n">
        <x:v>2019</x:v>
      </x:c>
      <x:c r="E156" s="24" t="str">
        <x:v>Merlangius merlangus</x:v>
      </x:c>
      <x:c r="F156" s="24" t="str">
        <x:v>Whiting</x:v>
      </x:c>
      <x:c r="G156" s="24" t="str">
        <x:v>Medium benthopelagics (30 - 89 cm)</x:v>
      </x:c>
      <x:c r="H156" s="24" t="str">
        <x:v>Cod-likes</x:v>
      </x:c>
      <x:c r="I156" s="31" t="n">
        <x:v>87.809456526</x:v>
      </x:c>
      <x:c r="J156" s="31" t="n">
        <x:v>87.809456526</x:v>
      </x:c>
      <x:c r="K156" s="31" t="n">
        <x:v>0</x:v>
      </x:c>
      <x:c r="L156" s="31" t="n">
        <x:v>86.8278541685</x:v>
      </x:c>
      <x:c r="M156" s="31" t="n">
        <x:v>0.9816023575</x:v>
      </x:c>
      <x:c r="N156" s="24" t="str">
        <x:v>merlangius merlangus</x:v>
      </x:c>
      <x:c r="O156" s="32" t="n">
        <x:v>4.36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Merlangius merlangus</x:v>
      </x:c>
      <x:c r="T156" s="32" t="n">
        <x:f>IF(O156="","",(1/'Metadata'!$B$5)^(O156-1))</x:f>
        <x:v>2290.867652767775</x:v>
      </x:c>
      <x:c r="U156" s="31" t="n">
        <x:f>IF(T156="","",I156*T156)</x:f>
        <x:v>201159.8435625316</x:v>
      </x:c>
    </x:row>
    <x:row r="157" ht="18" customHeight="1">
      <x:c r="A157" s="24" t="str">
        <x:v>LME_025</x:v>
      </x:c>
      <x:c r="B157" s="24" t="str">
        <x:v>Iberian Coastal</x:v>
      </x:c>
      <x:c r="C157" s="24" t="str">
        <x:v>LME</x:v>
      </x:c>
      <x:c r="D157" s="30" t="n">
        <x:v>2019</x:v>
      </x:c>
      <x:c r="E157" s="24" t="str">
        <x:v>Merlucciidae</x:v>
      </x:c>
      <x:c r="F157" s="24" t="str">
        <x:v>Merluccid hakes</x:v>
      </x:c>
      <x:c r="G157" s="24" t="str">
        <x:v>Large bathydemersals (&gt;=90 cm)</x:v>
      </x:c>
      <x:c r="H157" s="24" t="str">
        <x:v>Cod-likes</x:v>
      </x:c>
      <x:c r="I157" s="31" t="n">
        <x:v>85.8943106916</x:v>
      </x:c>
      <x:c r="J157" s="31" t="n">
        <x:v>0</x:v>
      </x:c>
      <x:c r="K157" s="31" t="n">
        <x:v>85.8943106916</x:v>
      </x:c>
      <x:c r="L157" s="31" t="n">
        <x:v>0</x:v>
      </x:c>
      <x:c r="M157" s="31" t="n">
        <x:v>85.8943106916</x:v>
      </x:c>
      <x:c r="N157" s="24" t="str">
        <x:v>merlucciidae</x:v>
      </x:c>
      <x:c r="O157" s="32" t="n">
        <x:v>4.35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Merlucciidae</x:v>
      </x:c>
      <x:c r="T157" s="32" t="n">
        <x:f>IF(O157="","",(1/'Metadata'!$B$5)^(O157-1))</x:f>
        <x:v>2238.7211385683377</x:v>
      </x:c>
      <x:c r="U157" s="31" t="n">
        <x:f>IF(T157="","",I157*T157)</x:f>
        <x:v>192293.4090280413</x:v>
      </x:c>
    </x:row>
    <x:row r="158" ht="18" customHeight="1">
      <x:c r="A158" s="24" t="str">
        <x:v>LME_025</x:v>
      </x:c>
      <x:c r="B158" s="24" t="str">
        <x:v>Iberian Coastal</x:v>
      </x:c>
      <x:c r="C158" s="24" t="str">
        <x:v>LME</x:v>
      </x:c>
      <x:c r="D158" s="30" t="n">
        <x:v>2019</x:v>
      </x:c>
      <x:c r="E158" s="24" t="str">
        <x:v>Solea senegalensis</x:v>
      </x:c>
      <x:c r="F158" s="24" t="str">
        <x:v>Senegalese sole</x:v>
      </x:c>
      <x:c r="G158" s="24" t="str">
        <x:v>Small to medium flatfishes (&lt;90 cm)</x:v>
      </x:c>
      <x:c r="H158" s="24" t="str">
        <x:v>Flatfishes</x:v>
      </x:c>
      <x:c r="I158" s="31" t="n">
        <x:v>85.0077197387</x:v>
      </x:c>
      <x:c r="J158" s="31" t="n">
        <x:v>64.8553119839</x:v>
      </x:c>
      <x:c r="K158" s="31" t="n">
        <x:v>20.1524077548</x:v>
      </x:c>
      <x:c r="L158" s="31" t="n">
        <x:v>54.0217393755</x:v>
      </x:c>
      <x:c r="M158" s="31" t="n">
        <x:v>30.9859803632</x:v>
      </x:c>
      <x:c r="N158" s="24" t="str">
        <x:v>solea senegalensis</x:v>
      </x:c>
      <x:c r="O158" s="32" t="n">
        <x:v>3.13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Solea senegalensis</x:v>
      </x:c>
      <x:c r="T158" s="32" t="n">
        <x:f>IF(O158="","",(1/'Metadata'!$B$5)^(O158-1))</x:f>
        <x:v>134.89628825916532</x:v>
      </x:c>
      <x:c r="U158" s="31" t="n">
        <x:f>IF(T158="","",I158*T158)</x:f>
        <x:v>11467.225866126013</x:v>
      </x:c>
    </x:row>
    <x:row r="159" ht="18" customHeight="1">
      <x:c r="A159" s="24" t="str">
        <x:v>LME_025</x:v>
      </x:c>
      <x:c r="B159" s="24" t="str">
        <x:v>Iberian Coastal</x:v>
      </x:c>
      <x:c r="C159" s="24" t="str">
        <x:v>LME</x:v>
      </x:c>
      <x:c r="D159" s="30" t="n">
        <x:v>2019</x:v>
      </x:c>
      <x:c r="E159" s="24" t="str">
        <x:v>Donax</x:v>
      </x:c>
      <x:c r="F159" s="24" t="str">
        <x:v>Bean clams</x:v>
      </x:c>
      <x:c r="G159" s="24" t="str">
        <x:v>Other demersal invertebrates</x:v>
      </x:c>
      <x:c r="H159" s="24" t="str">
        <x:v>Molluscs</x:v>
      </x:c>
      <x:c r="I159" s="31" t="n">
        <x:v>79.2068387703</x:v>
      </x:c>
      <x:c r="J159" s="31" t="n">
        <x:v>77.2159200931</x:v>
      </x:c>
      <x:c r="K159" s="31" t="n">
        <x:v>1.9909186772</x:v>
      </x:c>
      <x:c r="L159" s="31" t="n">
        <x:v>62.8478827173</x:v>
      </x:c>
      <x:c r="M159" s="31" t="n">
        <x:v>16.358956053</x:v>
      </x:c>
      <x:c r="N159" s="24" t="str">
        <x:v>donax</x:v>
      </x:c>
      <x:c r="O159" s="32" t="n">
        <x:v>2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Donax</x:v>
      </x:c>
      <x:c r="T159" s="32" t="n">
        <x:f>IF(O159="","",(1/'Metadata'!$B$5)^(O159-1))</x:f>
        <x:v>10</x:v>
      </x:c>
      <x:c r="U159" s="31" t="n">
        <x:f>IF(T159="","",I159*T159)</x:f>
        <x:v>792.068387703</x:v>
      </x:c>
    </x:row>
    <x:row r="160" ht="18" customHeight="1">
      <x:c r="A160" s="24" t="str">
        <x:v>LME_025</x:v>
      </x:c>
      <x:c r="B160" s="24" t="str">
        <x:v>Iberian Coastal</x:v>
      </x:c>
      <x:c r="C160" s="24" t="str">
        <x:v>LME</x:v>
      </x:c>
      <x:c r="D160" s="30" t="n">
        <x:v>2019</x:v>
      </x:c>
      <x:c r="E160" s="24" t="str">
        <x:v>Labrus bergylta</x:v>
      </x:c>
      <x:c r="F160" s="24" t="str">
        <x:v>Ballan wrasse</x:v>
      </x:c>
      <x:c r="G160" s="24" t="str">
        <x:v>Medium reef assoc. fish (30 - 89 cm)</x:v>
      </x:c>
      <x:c r="H160" s="24" t="str">
        <x:v>Perch-likes</x:v>
      </x:c>
      <x:c r="I160" s="31" t="n">
        <x:v>76.8748305664</x:v>
      </x:c>
      <x:c r="J160" s="31" t="n">
        <x:v>76.8748305664</x:v>
      </x:c>
      <x:c r="K160" s="31" t="n">
        <x:v>0</x:v>
      </x:c>
      <x:c r="L160" s="31" t="n">
        <x:v>44.4865871775</x:v>
      </x:c>
      <x:c r="M160" s="31" t="n">
        <x:v>32.3882433889</x:v>
      </x:c>
      <x:c r="N160" s="24" t="str">
        <x:v>labrus bergylta</x:v>
      </x:c>
      <x:c r="O160" s="32" t="n">
        <x:v>3.2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Labrus bergylta</x:v>
      </x:c>
      <x:c r="T160" s="32" t="n">
        <x:f>IF(O160="","",(1/'Metadata'!$B$5)^(O160-1))</x:f>
        <x:v>158.48931924611142</x:v>
      </x:c>
      <x:c r="U160" s="31" t="n">
        <x:f>IF(T160="","",I160*T160)</x:f>
        <x:v>12183.839563628893</x:v>
      </x:c>
    </x:row>
    <x:row r="161" ht="18" customHeight="1">
      <x:c r="A161" s="24" t="str">
        <x:v>LME_025</x:v>
      </x:c>
      <x:c r="B161" s="24" t="str">
        <x:v>Iberian Coastal</x:v>
      </x:c>
      <x:c r="C161" s="24" t="str">
        <x:v>LME</x:v>
      </x:c>
      <x:c r="D161" s="30" t="n">
        <x:v>2019</x:v>
      </x:c>
      <x:c r="E161" s="24" t="str">
        <x:v>Epinephelus</x:v>
      </x:c>
      <x:c r="F161" s="24" t="str">
        <x:v>Seabasses, hinds</x:v>
      </x:c>
      <x:c r="G161" s="24" t="str">
        <x:v>Medium reef assoc. fish (30 - 89 cm)</x:v>
      </x:c>
      <x:c r="H161" s="24" t="str">
        <x:v>Perch-likes</x:v>
      </x:c>
      <x:c r="I161" s="31" t="n">
        <x:v>76.8025408125</x:v>
      </x:c>
      <x:c r="J161" s="31" t="n">
        <x:v>76.7962834358</x:v>
      </x:c>
      <x:c r="K161" s="31" t="n">
        <x:v>0.0062573767</x:v>
      </x:c>
      <x:c r="L161" s="31" t="n">
        <x:v>2.2068181608999997</x:v>
      </x:c>
      <x:c r="M161" s="31" t="n">
        <x:v>74.5957226516</x:v>
      </x:c>
      <x:c r="N161" s="24" t="str">
        <x:v>epinephelus</x:v>
      </x:c>
      <x:c r="O161" s="32" t="n">
        <x:v>3.84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Epinephelus</x:v>
      </x:c>
      <x:c r="T161" s="32" t="n">
        <x:f>IF(O161="","",(1/'Metadata'!$B$5)^(O161-1))</x:f>
        <x:v>691.8309709189363</x:v>
      </x:c>
      <x:c r="U161" s="31" t="n">
        <x:f>IF(T161="","",I161*T161)</x:f>
        <x:v>53134.3763793531</x:v>
      </x:c>
    </x:row>
    <x:row r="162" ht="18" customHeight="1">
      <x:c r="A162" s="24" t="str">
        <x:v>LME_025</x:v>
      </x:c>
      <x:c r="B162" s="24" t="str">
        <x:v>Iberian Coastal</x:v>
      </x:c>
      <x:c r="C162" s="24" t="str">
        <x:v>LME</x:v>
      </x:c>
      <x:c r="D162" s="30" t="n">
        <x:v>2019</x:v>
      </x:c>
      <x:c r="E162" s="24" t="str">
        <x:v>Makaira nigricans</x:v>
      </x:c>
      <x:c r="F162" s="24" t="str">
        <x:v>Blue marlin</x:v>
      </x:c>
      <x:c r="G162" s="24" t="str">
        <x:v>Large pelagics (&gt;=90 cm)</x:v>
      </x:c>
      <x:c r="H162" s="24" t="str">
        <x:v>Tuna &amp; billfishes</x:v>
      </x:c>
      <x:c r="I162" s="31" t="n">
        <x:v>76.3746962311</x:v>
      </x:c>
      <x:c r="J162" s="31" t="n">
        <x:v>76.3746962311</x:v>
      </x:c>
      <x:c r="K162" s="31" t="n">
        <x:v>0</x:v>
      </x:c>
      <x:c r="L162" s="31" t="n">
        <x:v>76.3746962311</x:v>
      </x:c>
      <x:c r="M162" s="31" t="n">
        <x:v>0</x:v>
      </x:c>
      <x:c r="N162" s="24" t="str">
        <x:v>makaira nigricans</x:v>
      </x:c>
      <x:c r="O162" s="32" t="n">
        <x:v>4.49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Makaira nigricans</x:v>
      </x:c>
      <x:c r="T162" s="32" t="n">
        <x:f>IF(O162="","",(1/'Metadata'!$B$5)^(O162-1))</x:f>
        <x:v>3090.295432513592</x:v>
      </x:c>
      <x:c r="U162" s="31" t="n">
        <x:f>IF(T162="","",I162*T162)</x:f>
        <x:v>236020.3749225814</x:v>
      </x:c>
    </x:row>
    <x:row r="163" ht="18" customHeight="1">
      <x:c r="A163" s="24" t="str">
        <x:v>LME_025</x:v>
      </x:c>
      <x:c r="B163" s="24" t="str">
        <x:v>Iberian Coastal</x:v>
      </x:c>
      <x:c r="C163" s="24" t="str">
        <x:v>LME</x:v>
      </x:c>
      <x:c r="D163" s="30" t="n">
        <x:v>2019</x:v>
      </x:c>
      <x:c r="E163" s="24" t="str">
        <x:v>Scophthalmus rhombus</x:v>
      </x:c>
      <x:c r="F163" s="24" t="str">
        <x:v>Brill</x:v>
      </x:c>
      <x:c r="G163" s="24" t="str">
        <x:v>Small to medium flatfishes (&lt;90 cm)</x:v>
      </x:c>
      <x:c r="H163" s="24" t="str">
        <x:v>Flatfishes</x:v>
      </x:c>
      <x:c r="I163" s="31" t="n">
        <x:v>75.0001379711</x:v>
      </x:c>
      <x:c r="J163" s="31" t="n">
        <x:v>74.3444430899</x:v>
      </x:c>
      <x:c r="K163" s="31" t="n">
        <x:v>0.6556948812000001</x:v>
      </x:c>
      <x:c r="L163" s="31" t="n">
        <x:v>72.1381882699</x:v>
      </x:c>
      <x:c r="M163" s="31" t="n">
        <x:v>2.8619497012</x:v>
      </x:c>
      <x:c r="N163" s="24" t="str">
        <x:v>scophthalmus rhombus</x:v>
      </x:c>
      <x:c r="O163" s="32" t="n">
        <x:v>4.42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Scophthalmus rhombus</x:v>
      </x:c>
      <x:c r="T163" s="32" t="n">
        <x:f>IF(O163="","",(1/'Metadata'!$B$5)^(O163-1))</x:f>
        <x:v>2630.2679918953813</x:v>
      </x:c>
      <x:c r="U163" s="31" t="n">
        <x:f>IF(T163="","",I163*T163)</x:f>
        <x:v>197270.46229312173</x:v>
      </x:c>
    </x:row>
    <x:row r="164" ht="18" customHeight="1">
      <x:c r="A164" s="24" t="str">
        <x:v>LME_025</x:v>
      </x:c>
      <x:c r="B164" s="24" t="str">
        <x:v>Iberian Coastal</x:v>
      </x:c>
      <x:c r="C164" s="24" t="str">
        <x:v>LME</x:v>
      </x:c>
      <x:c r="D164" s="30" t="n">
        <x:v>2019</x:v>
      </x:c>
      <x:c r="E164" s="24" t="str">
        <x:v>Elasmobranchii</x:v>
      </x:c>
      <x:c r="F164" s="24" t="str">
        <x:v>Sharks, rays, skates</x:v>
      </x:c>
      <x:c r="G164" s="24" t="str">
        <x:v>Large sharks (&gt;=90 cm)</x:v>
      </x:c>
      <x:c r="H164" s="24" t="str">
        <x:v>Sharks &amp; rays</x:v>
      </x:c>
      <x:c r="I164" s="31" t="n">
        <x:v>73.2826223676</x:v>
      </x:c>
      <x:c r="J164" s="31" t="n">
        <x:v>50.465756056</x:v>
      </x:c>
      <x:c r="K164" s="31" t="n">
        <x:v>22.8168663116</x:v>
      </x:c>
      <x:c r="L164" s="31" t="n">
        <x:v>45.5488425912</x:v>
      </x:c>
      <x:c r="M164" s="31" t="n">
        <x:v>27.7337797764</x:v>
      </x:c>
      <x:c r="N164" s="24" t="str">
        <x:v>elasmobranchii</x:v>
      </x:c>
      <x:c r="O164" s="32" t="n">
        <x:v>4.05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Elasmobranchii</x:v>
      </x:c>
      <x:c r="T164" s="32" t="n">
        <x:f>IF(O164="","",(1/'Metadata'!$B$5)^(O164-1))</x:f>
        <x:v>1122.018454301963</x:v>
      </x:c>
      <x:c r="U164" s="31" t="n">
        <x:f>IF(T164="","",I164*T164)</x:f>
        <x:v>82224.45467608901</x:v>
      </x:c>
    </x:row>
    <x:row r="165" ht="18" customHeight="1">
      <x:c r="A165" s="24" t="str">
        <x:v>LME_025</x:v>
      </x:c>
      <x:c r="B165" s="24" t="str">
        <x:v>Iberian Coastal</x:v>
      </x:c>
      <x:c r="C165" s="24" t="str">
        <x:v>LME</x:v>
      </x:c>
      <x:c r="D165" s="30" t="n">
        <x:v>2019</x:v>
      </x:c>
      <x:c r="E165" s="24" t="str">
        <x:v>Dentex maroccanus</x:v>
      </x:c>
      <x:c r="F165" s="24" t="str">
        <x:v>Morocco dentex</x:v>
      </x:c>
      <x:c r="G165" s="24" t="str">
        <x:v>Medium demersals (30 - 89 cm)</x:v>
      </x:c>
      <x:c r="H165" s="24" t="str">
        <x:v>Perch-likes</x:v>
      </x:c>
      <x:c r="I165" s="31" t="n">
        <x:v>73.2239516372</x:v>
      </x:c>
      <x:c r="J165" s="31" t="n">
        <x:v>71.4709516003</x:v>
      </x:c>
      <x:c r="K165" s="31" t="n">
        <x:v>1.7530000369</x:v>
      </x:c>
      <x:c r="L165" s="31" t="n">
        <x:v>61.00839867650001</x:v>
      </x:c>
      <x:c r="M165" s="31" t="n">
        <x:v>12.2155529607</x:v>
      </x:c>
      <x:c r="N165" s="24" t="str">
        <x:v>dentex maroccanus</x:v>
      </x:c>
      <x:c r="O165" s="32" t="n">
        <x:v>3.85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Dentex maroccanus</x:v>
      </x:c>
      <x:c r="T165" s="32" t="n">
        <x:f>IF(O165="","",(1/'Metadata'!$B$5)^(O165-1))</x:f>
        <x:v>707.945784384138</x:v>
      </x:c>
      <x:c r="U165" s="31" t="n">
        <x:f>IF(T165="","",I165*T165)</x:f>
        <x:v>51838.58787750375</x:v>
      </x:c>
    </x:row>
    <x:row r="166" ht="18" customHeight="1">
      <x:c r="A166" s="24" t="str">
        <x:v>LME_025</x:v>
      </x:c>
      <x:c r="B166" s="24" t="str">
        <x:v>Iberian Coastal</x:v>
      </x:c>
      <x:c r="C166" s="24" t="str">
        <x:v>LME</x:v>
      </x:c>
      <x:c r="D166" s="30" t="n">
        <x:v>2019</x:v>
      </x:c>
      <x:c r="E166" s="24" t="str">
        <x:v>Sciaenidae</x:v>
      </x:c>
      <x:c r="F166" s="24" t="str">
        <x:v>Drums, croakers</x:v>
      </x:c>
      <x:c r="G166" s="24" t="str">
        <x:v>Medium demersals (30 - 89 cm)</x:v>
      </x:c>
      <x:c r="H166" s="24" t="str">
        <x:v>Perch-likes</x:v>
      </x:c>
      <x:c r="I166" s="31" t="n">
        <x:v>72.6765081868</x:v>
      </x:c>
      <x:c r="J166" s="31" t="n">
        <x:v>45.6872431236</x:v>
      </x:c>
      <x:c r="K166" s="31" t="n">
        <x:v>26.9892650632</x:v>
      </x:c>
      <x:c r="L166" s="31" t="n">
        <x:v>1.8411088525000001</x:v>
      </x:c>
      <x:c r="M166" s="31" t="n">
        <x:v>70.8353993343</x:v>
      </x:c>
      <x:c r="N166" s="24" t="str">
        <x:v>sciaenidae</x:v>
      </x:c>
      <x:c r="O166" s="32" t="n">
        <x:v>3.76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Sciaenidae</x:v>
      </x:c>
      <x:c r="T166" s="32" t="n">
        <x:f>IF(O166="","",(1/'Metadata'!$B$5)^(O166-1))</x:f>
        <x:v>575.4399373371566</x:v>
      </x:c>
      <x:c r="U166" s="31" t="n">
        <x:f>IF(T166="","",I166*T166)</x:f>
        <x:v>41820.96531689555</x:v>
      </x:c>
    </x:row>
    <x:row r="167" ht="18" customHeight="1">
      <x:c r="A167" s="24" t="str">
        <x:v>LME_025</x:v>
      </x:c>
      <x:c r="B167" s="24" t="str">
        <x:v>Iberian Coastal</x:v>
      </x:c>
      <x:c r="C167" s="24" t="str">
        <x:v>LME</x:v>
      </x:c>
      <x:c r="D167" s="30" t="n">
        <x:v>2019</x:v>
      </x:c>
      <x:c r="E167" s="24" t="str">
        <x:v>Berycidae</x:v>
      </x:c>
      <x:c r="F167" s="24" t="str">
        <x:v>Alfonsinos, redfishes</x:v>
      </x:c>
      <x:c r="G167" s="24" t="str">
        <x:v>Medium benthopelagics (30 - 89 cm)</x:v>
      </x:c>
      <x:c r="H167" s="24" t="str">
        <x:v>Other fishes &amp; inverts</x:v>
      </x:c>
      <x:c r="I167" s="31" t="n">
        <x:v>72.1400161154</x:v>
      </x:c>
      <x:c r="J167" s="31" t="n">
        <x:v>72.1400161154</x:v>
      </x:c>
      <x:c r="K167" s="31" t="n">
        <x:v>0</x:v>
      </x:c>
      <x:c r="L167" s="31" t="n">
        <x:v>51.2530205836</x:v>
      </x:c>
      <x:c r="M167" s="31" t="n">
        <x:v>20.8869955318</x:v>
      </x:c>
      <x:c r="N167" s="24" t="str">
        <x:v>berycidae</x:v>
      </x:c>
      <x:c r="O167" s="32" t="n">
        <x:v>3.99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Berycidae</x:v>
      </x:c>
      <x:c r="T167" s="32" t="n">
        <x:f>IF(O167="","",(1/'Metadata'!$B$5)^(O167-1))</x:f>
        <x:v>977.2372209558112</x:v>
      </x:c>
      <x:c r="U167" s="31" t="n">
        <x:f>IF(T167="","",I167*T167)</x:f>
        <x:v>70497.90886832093</x:v>
      </x:c>
    </x:row>
    <x:row r="168" ht="18" customHeight="1">
      <x:c r="A168" s="24" t="str">
        <x:v>LME_025</x:v>
      </x:c>
      <x:c r="B168" s="24" t="str">
        <x:v>Iberian Coastal</x:v>
      </x:c>
      <x:c r="C168" s="24" t="str">
        <x:v>LME</x:v>
      </x:c>
      <x:c r="D168" s="30" t="n">
        <x:v>2019</x:v>
      </x:c>
      <x:c r="E168" s="24" t="str">
        <x:v>Balistes capriscus</x:v>
      </x:c>
      <x:c r="F168" s="24" t="str">
        <x:v>Grey triggerfish</x:v>
      </x:c>
      <x:c r="G168" s="24" t="str">
        <x:v>Medium benthopelagics (30 - 89 cm)</x:v>
      </x:c>
      <x:c r="H168" s="24" t="str">
        <x:v>Other fishes &amp; inverts</x:v>
      </x:c>
      <x:c r="I168" s="31" t="n">
        <x:v>71.8392240062</x:v>
      </x:c>
      <x:c r="J168" s="31" t="n">
        <x:v>49.9184957636</x:v>
      </x:c>
      <x:c r="K168" s="31" t="n">
        <x:v>21.9207282426</x:v>
      </x:c>
      <x:c r="L168" s="31" t="n">
        <x:v>17.0724135072</x:v>
      </x:c>
      <x:c r="M168" s="31" t="n">
        <x:v>54.766810499</x:v>
      </x:c>
      <x:c r="N168" s="24" t="str">
        <x:v>balistes capriscus</x:v>
      </x:c>
      <x:c r="O168" s="32" t="n">
        <x:v>4.06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Balistes capriscus</x:v>
      </x:c>
      <x:c r="T168" s="32" t="n">
        <x:f>IF(O168="","",(1/'Metadata'!$B$5)^(O168-1))</x:f>
        <x:v>1148.1536214968817</x:v>
      </x:c>
      <x:c r="U168" s="31" t="n">
        <x:f>IF(T168="","",I168*T168)</x:f>
        <x:v>82482.46520824425</x:v>
      </x:c>
    </x:row>
    <x:row r="169" ht="18" customHeight="1">
      <x:c r="A169" s="24" t="str">
        <x:v>LME_025</x:v>
      </x:c>
      <x:c r="B169" s="24" t="str">
        <x:v>Iberian Coastal</x:v>
      </x:c>
      <x:c r="C169" s="24" t="str">
        <x:v>LME</x:v>
      </x:c>
      <x:c r="D169" s="30" t="n">
        <x:v>2019</x:v>
      </x:c>
      <x:c r="E169" s="24" t="str">
        <x:v>Solen marginatus</x:v>
      </x:c>
      <x:c r="F169" s="24" t="str">
        <x:v>Grooved razor clam</x:v>
      </x:c>
      <x:c r="G169" s="24" t="str">
        <x:v>Other demersal invertebrates</x:v>
      </x:c>
      <x:c r="H169" s="24" t="str">
        <x:v>Molluscs</x:v>
      </x:c>
      <x:c r="I169" s="31" t="n">
        <x:v>71.6031276034</x:v>
      </x:c>
      <x:c r="J169" s="31" t="n">
        <x:v>71.6031276034</x:v>
      </x:c>
      <x:c r="K169" s="31" t="n">
        <x:v>0</x:v>
      </x:c>
      <x:c r="L169" s="31" t="n">
        <x:v>59.3574503436</x:v>
      </x:c>
      <x:c r="M169" s="31" t="n">
        <x:v>12.245677259799999</x:v>
      </x:c>
      <x:c r="N169" s="24" t="str">
        <x:v>solen marginatus</x:v>
      </x:c>
      <x:c r="O169" s="32" t="n">
        <x:v>2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Solen marginatus</x:v>
      </x:c>
      <x:c r="T169" s="32" t="n">
        <x:f>IF(O169="","",(1/'Metadata'!$B$5)^(O169-1))</x:f>
        <x:v>10</x:v>
      </x:c>
      <x:c r="U169" s="31" t="n">
        <x:f>IF(T169="","",I169*T169)</x:f>
        <x:v>716.031276034</x:v>
      </x:c>
    </x:row>
    <x:row r="170" ht="18" customHeight="1">
      <x:c r="A170" s="24" t="str">
        <x:v>LME_025</x:v>
      </x:c>
      <x:c r="B170" s="24" t="str">
        <x:v>Iberian Coastal</x:v>
      </x:c>
      <x:c r="C170" s="24" t="str">
        <x:v>LME</x:v>
      </x:c>
      <x:c r="D170" s="30" t="n">
        <x:v>2019</x:v>
      </x:c>
      <x:c r="E170" s="24" t="str">
        <x:v>Pagrus auriga</x:v>
      </x:c>
      <x:c r="F170" s="24" t="str">
        <x:v>Redbanded seabream</x:v>
      </x:c>
      <x:c r="G170" s="24" t="str">
        <x:v>Medium benthopelagics (30 - 89 cm)</x:v>
      </x:c>
      <x:c r="H170" s="24" t="str">
        <x:v>Perch-likes</x:v>
      </x:c>
      <x:c r="I170" s="31" t="n">
        <x:v>71.0368676953</x:v>
      </x:c>
      <x:c r="J170" s="31" t="n">
        <x:v>68.8026577832</x:v>
      </x:c>
      <x:c r="K170" s="31" t="n">
        <x:v>2.2342099121</x:v>
      </x:c>
      <x:c r="L170" s="31" t="n">
        <x:v>38.4372703798</x:v>
      </x:c>
      <x:c r="M170" s="31" t="n">
        <x:v>32.5995973155</x:v>
      </x:c>
      <x:c r="N170" s="24" t="str">
        <x:v>pagrus auriga</x:v>
      </x:c>
      <x:c r="O170" s="32" t="n">
        <x:v>3.84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Pagrus auriga</x:v>
      </x:c>
      <x:c r="T170" s="32" t="n">
        <x:f>IF(O170="","",(1/'Metadata'!$B$5)^(O170-1))</x:f>
        <x:v>691.8309709189363</x:v>
      </x:c>
      <x:c r="U170" s="31" t="n">
        <x:f>IF(T170="","",I170*T170)</x:f>
        <x:v>49145.50514867942</x:v>
      </x:c>
    </x:row>
    <x:row r="171" ht="18" customHeight="1">
      <x:c r="A171" s="24" t="str">
        <x:v>LME_025</x:v>
      </x:c>
      <x:c r="B171" s="24" t="str">
        <x:v>Iberian Coastal</x:v>
      </x:c>
      <x:c r="C171" s="24" t="str">
        <x:v>LME</x:v>
      </x:c>
      <x:c r="D171" s="30" t="n">
        <x:v>2019</x:v>
      </x:c>
      <x:c r="E171" s="24" t="str">
        <x:v>Paracentrotus lividus</x:v>
      </x:c>
      <x:c r="F171" s="24" t="str">
        <x:v>Stony sea urchin</x:v>
      </x:c>
      <x:c r="G171" s="24" t="str">
        <x:v>Other demersal invertebrates</x:v>
      </x:c>
      <x:c r="H171" s="24" t="str">
        <x:v>Other fishes &amp; inverts</x:v>
      </x:c>
      <x:c r="I171" s="31" t="n">
        <x:v>69.3065930324</x:v>
      </x:c>
      <x:c r="J171" s="31" t="n">
        <x:v>69.0864436646</x:v>
      </x:c>
      <x:c r="K171" s="31" t="n">
        <x:v>0.2201493678</x:v>
      </x:c>
      <x:c r="L171" s="31" t="n">
        <x:v>69.0701868821</x:v>
      </x:c>
      <x:c r="M171" s="31" t="n">
        <x:v>0.2364061503</x:v>
      </x:c>
      <x:c r="N171" s="24" t="str">
        <x:v>paracentrotus lividus</x:v>
      </x:c>
      <x:c r="O171" s="32" t="n">
        <x:v>2.3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Paracentrotus lividus</x:v>
      </x:c>
      <x:c r="T171" s="32" t="n">
        <x:f>IF(O171="","",(1/'Metadata'!$B$5)^(O171-1))</x:f>
        <x:v>19.952623149688787</x:v>
      </x:c>
      <x:c r="U171" s="31" t="n">
        <x:f>IF(T171="","",I171*T171)</x:f>
        <x:v>1382.8483325643238</x:v>
      </x:c>
    </x:row>
    <x:row r="172" ht="18" customHeight="1">
      <x:c r="A172" s="24" t="str">
        <x:v>LME_025</x:v>
      </x:c>
      <x:c r="B172" s="24" t="str">
        <x:v>Iberian Coastal</x:v>
      </x:c>
      <x:c r="C172" s="24" t="str">
        <x:v>LME</x:v>
      </x:c>
      <x:c r="D172" s="30" t="n">
        <x:v>2019</x:v>
      </x:c>
      <x:c r="E172" s="24" t="str">
        <x:v>Dicentrarchus punctatus</x:v>
      </x:c>
      <x:c r="F172" s="24" t="str">
        <x:v>Spotted seabass</x:v>
      </x:c>
      <x:c r="G172" s="24" t="str">
        <x:v>Medium pelagics (30 - 89 cm)</x:v>
      </x:c>
      <x:c r="H172" s="24" t="str">
        <x:v>Perch-likes</x:v>
      </x:c>
      <x:c r="I172" s="31" t="n">
        <x:v>66.9367429214</x:v>
      </x:c>
      <x:c r="J172" s="31" t="n">
        <x:v>66.516747069</x:v>
      </x:c>
      <x:c r="K172" s="31" t="n">
        <x:v>0.4199958524</x:v>
      </x:c>
      <x:c r="L172" s="31" t="n">
        <x:v>58.1546965574</x:v>
      </x:c>
      <x:c r="M172" s="31" t="n">
        <x:v>8.782046364000001</x:v>
      </x:c>
      <x:c r="N172" s="24" t="str">
        <x:v>dicentrarchus punctatus</x:v>
      </x:c>
      <x:c r="O172" s="32" t="n">
        <x:v>3.94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Dicentrarchus punctatus</x:v>
      </x:c>
      <x:c r="T172" s="32" t="n">
        <x:f>IF(O172="","",(1/'Metadata'!$B$5)^(O172-1))</x:f>
        <x:v>870.9635899560806</x:v>
      </x:c>
      <x:c r="U172" s="31" t="n">
        <x:f>IF(T172="","",I172*T172)</x:f>
        <x:v>58299.465914789806</x:v>
      </x:c>
    </x:row>
    <x:row r="173" ht="18" customHeight="1">
      <x:c r="A173" s="24" t="str">
        <x:v>LME_025</x:v>
      </x:c>
      <x:c r="B173" s="24" t="str">
        <x:v>Iberian Coastal</x:v>
      </x:c>
      <x:c r="C173" s="24" t="str">
        <x:v>LME</x:v>
      </x:c>
      <x:c r="D173" s="30" t="n">
        <x:v>2019</x:v>
      </x:c>
      <x:c r="E173" s="24" t="str">
        <x:v>Magallana gigas</x:v>
      </x:c>
      <x:c r="F173" s="24" t="str">
        <x:v>Pacific cupped oyster</x:v>
      </x:c>
      <x:c r="G173" s="24" t="str">
        <x:v>Other demersal invertebrates</x:v>
      </x:c>
      <x:c r="H173" s="24" t="str">
        <x:v>Molluscs</x:v>
      </x:c>
      <x:c r="I173" s="31" t="n">
        <x:v>65.3280134608</x:v>
      </x:c>
      <x:c r="J173" s="31" t="n">
        <x:v>65.3280134608</x:v>
      </x:c>
      <x:c r="K173" s="31" t="n">
        <x:v>0</x:v>
      </x:c>
      <x:c r="L173" s="31" t="n">
        <x:v>26.229311860000003</x:v>
      </x:c>
      <x:c r="M173" s="31" t="n">
        <x:v>39.0987016008</x:v>
      </x:c>
      <x:c r="N173" s="24" t="str">
        <x:v>magallana gigas</x:v>
      </x:c>
      <x:c r="O173" s="32" t="n">
        <x:v>2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Magallana gigas</x:v>
      </x:c>
      <x:c r="T173" s="32" t="n">
        <x:f>IF(O173="","",(1/'Metadata'!$B$5)^(O173-1))</x:f>
        <x:v>10</x:v>
      </x:c>
      <x:c r="U173" s="31" t="n">
        <x:f>IF(T173="","",I173*T173)</x:f>
        <x:v>653.2801346079999</x:v>
      </x:c>
    </x:row>
    <x:row r="174" ht="18" customHeight="1">
      <x:c r="A174" s="24" t="str">
        <x:v>LME_025</x:v>
      </x:c>
      <x:c r="B174" s="24" t="str">
        <x:v>Iberian Coastal</x:v>
      </x:c>
      <x:c r="C174" s="24" t="str">
        <x:v>LME</x:v>
      </x:c>
      <x:c r="D174" s="30" t="n">
        <x:v>2019</x:v>
      </x:c>
      <x:c r="E174" s="24" t="str">
        <x:v>Melanogrammus aeglefinus</x:v>
      </x:c>
      <x:c r="F174" s="24" t="str">
        <x:v>Haddock</x:v>
      </x:c>
      <x:c r="G174" s="24" t="str">
        <x:v>Medium demersals (30 - 89 cm)</x:v>
      </x:c>
      <x:c r="H174" s="24" t="str">
        <x:v>Cod-likes</x:v>
      </x:c>
      <x:c r="I174" s="31" t="n">
        <x:v>65.0930640798</x:v>
      </x:c>
      <x:c r="J174" s="31" t="n">
        <x:v>65.0930640798</x:v>
      </x:c>
      <x:c r="K174" s="31" t="n">
        <x:v>0</x:v>
      </x:c>
      <x:c r="L174" s="31" t="n">
        <x:v>65.0930640798</x:v>
      </x:c>
      <x:c r="M174" s="31" t="n">
        <x:v>0</x:v>
      </x:c>
      <x:c r="N174" s="24" t="str">
        <x:v>melanogrammus aeglefinus</x:v>
      </x:c>
      <x:c r="O174" s="32" t="n">
        <x:v>4.03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Melanogrammus aeglefinus</x:v>
      </x:c>
      <x:c r="T174" s="32" t="n">
        <x:f>IF(O174="","",(1/'Metadata'!$B$5)^(O174-1))</x:f>
        <x:v>1071.519305237607</x:v>
      </x:c>
      <x:c r="U174" s="31" t="n">
        <x:f>IF(T174="","",I174*T174)</x:f>
        <x:v>69748.47479857433</x:v>
      </x:c>
    </x:row>
    <x:row r="175" ht="18" customHeight="1">
      <x:c r="A175" s="24" t="str">
        <x:v>LME_025</x:v>
      </x:c>
      <x:c r="B175" s="24" t="str">
        <x:v>Iberian Coastal</x:v>
      </x:c>
      <x:c r="C175" s="24" t="str">
        <x:v>LME</x:v>
      </x:c>
      <x:c r="D175" s="30" t="n">
        <x:v>2019</x:v>
      </x:c>
      <x:c r="E175" s="24" t="str">
        <x:v>Chelon labrosus</x:v>
      </x:c>
      <x:c r="F175" s="24" t="str">
        <x:v>Thicklip grey mullet</x:v>
      </x:c>
      <x:c r="G175" s="24" t="str">
        <x:v>Medium demersals (30 - 89 cm)</x:v>
      </x:c>
      <x:c r="H175" s="24" t="str">
        <x:v>Perch-likes</x:v>
      </x:c>
      <x:c r="I175" s="31" t="n">
        <x:v>63.4279733457</x:v>
      </x:c>
      <x:c r="J175" s="31" t="n">
        <x:v>62.7142920706</x:v>
      </x:c>
      <x:c r="K175" s="31" t="n">
        <x:v>0.7136812751</x:v>
      </x:c>
      <x:c r="L175" s="31" t="n">
        <x:v>57.355327891499996</x:v>
      </x:c>
      <x:c r="M175" s="31" t="n">
        <x:v>6.0726454542</x:v>
      </x:c>
      <x:c r="N175" s="24" t="str">
        <x:v>chelon labrosus</x:v>
      </x:c>
      <x:c r="O175" s="32" t="n">
        <x:v>2.59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Chelon labrosus</x:v>
      </x:c>
      <x:c r="T175" s="32" t="n">
        <x:f>IF(O175="","",(1/'Metadata'!$B$5)^(O175-1))</x:f>
        <x:v>38.904514499428046</x:v>
      </x:c>
      <x:c r="U175" s="31" t="n">
        <x:f>IF(T175="","",I175*T175)</x:f>
        <x:v>2467.6345086971214</x:v>
      </x:c>
    </x:row>
    <x:row r="176" ht="18" customHeight="1">
      <x:c r="A176" s="24" t="str">
        <x:v>LME_025</x:v>
      </x:c>
      <x:c r="B176" s="24" t="str">
        <x:v>Iberian Coastal</x:v>
      </x:c>
      <x:c r="C176" s="24" t="str">
        <x:v>LME</x:v>
      </x:c>
      <x:c r="D176" s="30" t="n">
        <x:v>2019</x:v>
      </x:c>
      <x:c r="E176" s="24" t="str">
        <x:v>Sardinella aurita</x:v>
      </x:c>
      <x:c r="F176" s="24" t="str">
        <x:v>Round sardinella</x:v>
      </x:c>
      <x:c r="G176" s="24" t="str">
        <x:v>Small pelagics (&lt;30 cm)</x:v>
      </x:c>
      <x:c r="H176" s="24" t="str">
        <x:v>Herring-likes</x:v>
      </x:c>
      <x:c r="I176" s="31" t="n">
        <x:v>63.05984979149999</x:v>
      </x:c>
      <x:c r="J176" s="31" t="n">
        <x:v>57.832067610299994</x:v>
      </x:c>
      <x:c r="K176" s="31" t="n">
        <x:v>5.227782181199999</x:v>
      </x:c>
      <x:c r="L176" s="31" t="n">
        <x:v>57.4687441511</x:v>
      </x:c>
      <x:c r="M176" s="31" t="n">
        <x:v>5.5911056403999995</x:v>
      </x:c>
      <x:c r="N176" s="24" t="str">
        <x:v>sardinella aurita</x:v>
      </x:c>
      <x:c r="O176" s="32" t="n">
        <x:v>3.4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Sardinella aurita</x:v>
      </x:c>
      <x:c r="T176" s="32" t="n">
        <x:f>IF(O176="","",(1/'Metadata'!$B$5)^(O176-1))</x:f>
        <x:v>251.18864315095797</x:v>
      </x:c>
      <x:c r="U176" s="31" t="n">
        <x:f>IF(T176="","",I176*T176)</x:f>
        <x:v>15839.918106430103</x:v>
      </x:c>
    </x:row>
    <x:row r="177" ht="18" customHeight="1">
      <x:c r="A177" s="24" t="str">
        <x:v>LME_025</x:v>
      </x:c>
      <x:c r="B177" s="24" t="str">
        <x:v>Iberian Coastal</x:v>
      </x:c>
      <x:c r="C177" s="24" t="str">
        <x:v>LME</x:v>
      </x:c>
      <x:c r="D177" s="30" t="n">
        <x:v>2019</x:v>
      </x:c>
      <x:c r="E177" s="24" t="str">
        <x:v>Squalidae</x:v>
      </x:c>
      <x:c r="F177" s="24" t="str">
        <x:v>Dogfish sharks</x:v>
      </x:c>
      <x:c r="G177" s="24" t="str">
        <x:v>Large sharks (&gt;=90 cm)</x:v>
      </x:c>
      <x:c r="H177" s="24" t="str">
        <x:v>Sharks &amp; rays</x:v>
      </x:c>
      <x:c r="I177" s="31" t="n">
        <x:v>62.780472591000006</x:v>
      </x:c>
      <x:c r="J177" s="31" t="n">
        <x:v>22.255024191300002</x:v>
      </x:c>
      <x:c r="K177" s="31" t="n">
        <x:v>40.5254483997</x:v>
      </x:c>
      <x:c r="L177" s="31" t="n">
        <x:v>1.2742579794</x:v>
      </x:c>
      <x:c r="M177" s="31" t="n">
        <x:v>61.5062146116</x:v>
      </x:c>
      <x:c r="N177" s="24" t="str">
        <x:v>squalidae</x:v>
      </x:c>
      <x:c r="O177" s="32" t="n">
        <x:v>4.23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Squalidae</x:v>
      </x:c>
      <x:c r="T177" s="32" t="n">
        <x:f>IF(O177="","",(1/'Metadata'!$B$5)^(O177-1))</x:f>
        <x:v>1698.243652461746</x:v>
      </x:c>
      <x:c r="U177" s="31" t="n">
        <x:f>IF(T177="","",I177*T177)</x:f>
        <x:v>106616.53907621438</x:v>
      </x:c>
    </x:row>
    <x:row r="178" ht="18" customHeight="1">
      <x:c r="A178" s="24" t="str">
        <x:v>LME_025</x:v>
      </x:c>
      <x:c r="B178" s="24" t="str">
        <x:v>Iberian Coastal</x:v>
      </x:c>
      <x:c r="C178" s="24" t="str">
        <x:v>LME</x:v>
      </x:c>
      <x:c r="D178" s="30" t="n">
        <x:v>2019</x:v>
      </x:c>
      <x:c r="E178" s="24" t="str">
        <x:v>Euthynnus alletteratus</x:v>
      </x:c>
      <x:c r="F178" s="24" t="str">
        <x:v>Little tunny </x:v>
      </x:c>
      <x:c r="G178" s="24" t="str">
        <x:v>Large pelagics (&gt;=90 cm)</x:v>
      </x:c>
      <x:c r="H178" s="24" t="str">
        <x:v>Tuna &amp; billfishes</x:v>
      </x:c>
      <x:c r="I178" s="31" t="n">
        <x:v>62.3209136883</x:v>
      </x:c>
      <x:c r="J178" s="31" t="n">
        <x:v>62.3209136883</x:v>
      </x:c>
      <x:c r="K178" s="31" t="n">
        <x:v>0</x:v>
      </x:c>
      <x:c r="L178" s="31" t="n">
        <x:v>61.8800372651</x:v>
      </x:c>
      <x:c r="M178" s="31" t="n">
        <x:v>0.44087642320000003</x:v>
      </x:c>
      <x:c r="N178" s="24" t="str">
        <x:v>euthynnus alletteratus</x:v>
      </x:c>
      <x:c r="O178" s="32" t="n">
        <x:v>4.49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Euthynnus alletteratus</x:v>
      </x:c>
      <x:c r="T178" s="32" t="n">
        <x:f>IF(O178="","",(1/'Metadata'!$B$5)^(O178-1))</x:f>
        <x:v>3090.295432513592</x:v>
      </x:c>
      <x:c r="U178" s="31" t="n">
        <x:f>IF(T178="","",I178*T178)</x:f>
        <x:v>192590.03492102728</x:v>
      </x:c>
    </x:row>
    <x:row r="179" ht="18" customHeight="1">
      <x:c r="A179" s="24" t="str">
        <x:v>LME_025</x:v>
      </x:c>
      <x:c r="B179" s="24" t="str">
        <x:v>Iberian Coastal</x:v>
      </x:c>
      <x:c r="C179" s="24" t="str">
        <x:v>LME</x:v>
      </x:c>
      <x:c r="D179" s="30" t="n">
        <x:v>2019</x:v>
      </x:c>
      <x:c r="E179" s="24" t="str">
        <x:v>Macrouridae</x:v>
      </x:c>
      <x:c r="F179" s="24" t="str">
        <x:v>Grenadiers, rattails</x:v>
      </x:c>
      <x:c r="G179" s="24" t="str">
        <x:v>Medium benthopelagics (30 - 89 cm)</x:v>
      </x:c>
      <x:c r="H179" s="24" t="str">
        <x:v>Cod-likes</x:v>
      </x:c>
      <x:c r="I179" s="31" t="n">
        <x:v>62.1574920213</x:v>
      </x:c>
      <x:c r="J179" s="31" t="n">
        <x:v>0</x:v>
      </x:c>
      <x:c r="K179" s="31" t="n">
        <x:v>62.1574920213</x:v>
      </x:c>
      <x:c r="L179" s="31" t="n">
        <x:v>0</x:v>
      </x:c>
      <x:c r="M179" s="31" t="n">
        <x:v>62.1574920213</x:v>
      </x:c>
      <x:c r="N179" s="24" t="str">
        <x:v>macrouridae</x:v>
      </x:c>
      <x:c r="O179" s="32" t="n">
        <x:v>3.88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Macrouridae</x:v>
      </x:c>
      <x:c r="T179" s="32" t="n">
        <x:f>IF(O179="","",(1/'Metadata'!$B$5)^(O179-1))</x:f>
        <x:v>758.5775750291835</x:v>
      </x:c>
      <x:c r="U179" s="31" t="n">
        <x:f>IF(T179="","",I179*T179)</x:f>
        <x:v>47151.27956741358</x:v>
      </x:c>
    </x:row>
    <x:row r="180" ht="18" customHeight="1">
      <x:c r="A180" s="24" t="str">
        <x:v>LME_025</x:v>
      </x:c>
      <x:c r="B180" s="24" t="str">
        <x:v>Iberian Coastal</x:v>
      </x:c>
      <x:c r="C180" s="24" t="str">
        <x:v>LME</x:v>
      </x:c>
      <x:c r="D180" s="30" t="n">
        <x:v>2019</x:v>
      </x:c>
      <x:c r="E180" s="24" t="str">
        <x:v>Illex coindetii</x:v>
      </x:c>
      <x:c r="F180" s="24" t="str">
        <x:v>Broadtail shortfin squid</x:v>
      </x:c>
      <x:c r="G180" s="24" t="str">
        <x:v>Cephalopods</x:v>
      </x:c>
      <x:c r="H180" s="24" t="str">
        <x:v>Other fishes &amp; inverts</x:v>
      </x:c>
      <x:c r="I180" s="31" t="n">
        <x:v>56.798127812100006</x:v>
      </x:c>
      <x:c r="J180" s="31" t="n">
        <x:v>54.309176423800004</x:v>
      </x:c>
      <x:c r="K180" s="31" t="n">
        <x:v>2.4889513883</x:v>
      </x:c>
      <x:c r="L180" s="31" t="n">
        <x:v>42.1569672489</x:v>
      </x:c>
      <x:c r="M180" s="31" t="n">
        <x:v>14.641160563200001</x:v>
      </x:c>
      <x:c r="N180" s="24" t="str">
        <x:v>illex coindetii</x:v>
      </x:c>
      <x:c r="O180" s="32" t="n">
        <x:v>4.11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Illex coindetii</x:v>
      </x:c>
      <x:c r="T180" s="32" t="n">
        <x:f>IF(O180="","",(1/'Metadata'!$B$5)^(O180-1))</x:f>
        <x:v>1288.249551693135</x:v>
      </x:c>
      <x:c r="U180" s="31" t="n">
        <x:f>IF(T180="","",I180*T180)</x:f>
        <x:v>73170.16269094721</x:v>
      </x:c>
    </x:row>
    <x:row r="181" ht="18" customHeight="1">
      <x:c r="A181" s="24" t="str">
        <x:v>LME_025</x:v>
      </x:c>
      <x:c r="B181" s="24" t="str">
        <x:v>Iberian Coastal</x:v>
      </x:c>
      <x:c r="C181" s="24" t="str">
        <x:v>LME</x:v>
      </x:c>
      <x:c r="D181" s="30" t="n">
        <x:v>2019</x:v>
      </x:c>
      <x:c r="E181" s="24" t="str">
        <x:v>Dipturus oxyrinchus</x:v>
      </x:c>
      <x:c r="F181" s="24" t="str">
        <x:v>Longnosed skate</x:v>
      </x:c>
      <x:c r="G181" s="24" t="str">
        <x:v>Large rays (&gt;=90 cm)</x:v>
      </x:c>
      <x:c r="H181" s="24" t="str">
        <x:v>Sharks &amp; rays</x:v>
      </x:c>
      <x:c r="I181" s="31" t="n">
        <x:v>56.7226801459</x:v>
      </x:c>
      <x:c r="J181" s="31" t="n">
        <x:v>56.2597870174</x:v>
      </x:c>
      <x:c r="K181" s="31" t="n">
        <x:v>0.4628931285</x:v>
      </x:c>
      <x:c r="L181" s="31" t="n">
        <x:v>54.8982232885</x:v>
      </x:c>
      <x:c r="M181" s="31" t="n">
        <x:v>1.8244568574</x:v>
      </x:c>
      <x:c r="N181" s="24" t="str">
        <x:v>dipturus oxyrinchus</x:v>
      </x:c>
      <x:c r="O181" s="32" t="n">
        <x:v>3.5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Dipturus oxyrinchus</x:v>
      </x:c>
      <x:c r="T181" s="32" t="n">
        <x:f>IF(O181="","",(1/'Metadata'!$B$5)^(O181-1))</x:f>
        <x:v>316.22776601683796</x:v>
      </x:c>
      <x:c r="U181" s="31" t="n">
        <x:f>IF(T181="","",I181*T181)</x:f>
        <x:v>17937.286425025606</x:v>
      </x:c>
    </x:row>
    <x:row r="182" ht="18" customHeight="1">
      <x:c r="A182" s="24" t="str">
        <x:v>LME_025</x:v>
      </x:c>
      <x:c r="B182" s="24" t="str">
        <x:v>Iberian Coastal</x:v>
      </x:c>
      <x:c r="C182" s="24" t="str">
        <x:v>LME</x:v>
      </x:c>
      <x:c r="D182" s="30" t="n">
        <x:v>2019</x:v>
      </x:c>
      <x:c r="E182" s="24" t="str">
        <x:v>Galeorhinus galeus</x:v>
      </x:c>
      <x:c r="F182" s="24" t="str">
        <x:v>Tope shark</x:v>
      </x:c>
      <x:c r="G182" s="24" t="str">
        <x:v>Large sharks (&gt;=90 cm)</x:v>
      </x:c>
      <x:c r="H182" s="24" t="str">
        <x:v>Sharks &amp; rays</x:v>
      </x:c>
      <x:c r="I182" s="31" t="n">
        <x:v>54.6499453622</x:v>
      </x:c>
      <x:c r="J182" s="31" t="n">
        <x:v>47.0957897707</x:v>
      </x:c>
      <x:c r="K182" s="31" t="n">
        <x:v>7.5541555915</x:v>
      </x:c>
      <x:c r="L182" s="31" t="n">
        <x:v>33.1476536638</x:v>
      </x:c>
      <x:c r="M182" s="31" t="n">
        <x:v>21.5022916984</x:v>
      </x:c>
      <x:c r="N182" s="24" t="str">
        <x:v>galeorhinus galeus</x:v>
      </x:c>
      <x:c r="O182" s="32" t="n">
        <x:v>4.34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Galeorhinus galeus</x:v>
      </x:c>
      <x:c r="T182" s="32" t="n">
        <x:f>IF(O182="","",(1/'Metadata'!$B$5)^(O182-1))</x:f>
        <x:v>2187.761623949552</x:v>
      </x:c>
      <x:c r="U182" s="31" t="n">
        <x:f>IF(T182="","",I182*T182)</x:f>
        <x:v>119561.05321436096</x:v>
      </x:c>
    </x:row>
    <x:row r="183" ht="18" customHeight="1">
      <x:c r="A183" s="24" t="str">
        <x:v>LME_025</x:v>
      </x:c>
      <x:c r="B183" s="24" t="str">
        <x:v>Iberian Coastal</x:v>
      </x:c>
      <x:c r="C183" s="24" t="str">
        <x:v>LME</x:v>
      </x:c>
      <x:c r="D183" s="30" t="n">
        <x:v>2019</x:v>
      </x:c>
      <x:c r="E183" s="24" t="str">
        <x:v>Mustelus mustelus</x:v>
      </x:c>
      <x:c r="F183" s="24" t="str">
        <x:v>Smooth-hound</x:v>
      </x:c>
      <x:c r="G183" s="24" t="str">
        <x:v>Large sharks (&gt;=90 cm)</x:v>
      </x:c>
      <x:c r="H183" s="24" t="str">
        <x:v>Sharks &amp; rays</x:v>
      </x:c>
      <x:c r="I183" s="31" t="n">
        <x:v>54.1733412943</x:v>
      </x:c>
      <x:c r="J183" s="31" t="n">
        <x:v>44.759291016</x:v>
      </x:c>
      <x:c r="K183" s="31" t="n">
        <x:v>9.4140502783</x:v>
      </x:c>
      <x:c r="L183" s="31" t="n">
        <x:v>39.669366334399996</x:v>
      </x:c>
      <x:c r="M183" s="31" t="n">
        <x:v>14.503974959899999</x:v>
      </x:c>
      <x:c r="N183" s="24" t="str">
        <x:v>mustelus mustelus</x:v>
      </x:c>
      <x:c r="O183" s="32" t="n">
        <x:v>3.75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Mustelus mustelus</x:v>
      </x:c>
      <x:c r="T183" s="32" t="n">
        <x:f>IF(O183="","",(1/'Metadata'!$B$5)^(O183-1))</x:f>
        <x:v>562.341325190349</x:v>
      </x:c>
      <x:c r="U183" s="31" t="n">
        <x:f>IF(T183="","",I183*T183)</x:f>
        <x:v>30463.90853342572</x:v>
      </x:c>
    </x:row>
    <x:row r="184" ht="18" customHeight="1">
      <x:c r="A184" s="24" t="str">
        <x:v>LME_025</x:v>
      </x:c>
      <x:c r="B184" s="24" t="str">
        <x:v>Iberian Coastal</x:v>
      </x:c>
      <x:c r="C184" s="24" t="str">
        <x:v>LME</x:v>
      </x:c>
      <x:c r="D184" s="30" t="n">
        <x:v>2019</x:v>
      </x:c>
      <x:c r="E184" s="24" t="str">
        <x:v>Cancer pagurus</x:v>
      </x:c>
      <x:c r="F184" s="24" t="str">
        <x:v>Edible crab</x:v>
      </x:c>
      <x:c r="G184" s="24" t="str">
        <x:v>Lobsters, crabs</x:v>
      </x:c>
      <x:c r="H184" s="24" t="str">
        <x:v>Crustaceans</x:v>
      </x:c>
      <x:c r="I184" s="31" t="n">
        <x:v>53.7599191403</x:v>
      </x:c>
      <x:c r="J184" s="31" t="n">
        <x:v>53.7599191403</x:v>
      </x:c>
      <x:c r="K184" s="31" t="n">
        <x:v>0</x:v>
      </x:c>
      <x:c r="L184" s="31" t="n">
        <x:v>47.7109344357</x:v>
      </x:c>
      <x:c r="M184" s="31" t="n">
        <x:v>6.0489847046</x:v>
      </x:c>
      <x:c r="N184" s="24" t="str">
        <x:v>cancer pagurus</x:v>
      </x:c>
      <x:c r="O184" s="32" t="n">
        <x:v>3.1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Cancer pagurus</x:v>
      </x:c>
      <x:c r="T184" s="32" t="n">
        <x:f>IF(O184="","",(1/'Metadata'!$B$5)^(O184-1))</x:f>
        <x:v>125.89254117941675</x:v>
      </x:c>
      <x:c r="U184" s="31" t="n">
        <x:f>IF(T184="","",I184*T184)</x:f>
        <x:v>6767.972834172332</x:v>
      </x:c>
    </x:row>
    <x:row r="185" ht="18" customHeight="1">
      <x:c r="A185" s="24" t="str">
        <x:v>LME_025</x:v>
      </x:c>
      <x:c r="B185" s="24" t="str">
        <x:v>Iberian Coastal</x:v>
      </x:c>
      <x:c r="C185" s="24" t="str">
        <x:v>LME</x:v>
      </x:c>
      <x:c r="D185" s="30" t="n">
        <x:v>2019</x:v>
      </x:c>
      <x:c r="E185" s="24" t="str">
        <x:v>Cnidaria</x:v>
      </x:c>
      <x:c r="F185" s="24" t="str">
        <x:v>Cnidarians, coelenterates</x:v>
      </x:c>
      <x:c r="G185" s="24" t="str">
        <x:v>Jellyfish</x:v>
      </x:c>
      <x:c r="H185" s="24" t="str">
        <x:v>Other fishes &amp; inverts</x:v>
      </x:c>
      <x:c r="I185" s="31" t="n">
        <x:v>53.6033366336</x:v>
      </x:c>
      <x:c r="J185" s="31" t="n">
        <x:v>0</x:v>
      </x:c>
      <x:c r="K185" s="31" t="n">
        <x:v>53.6033366336</x:v>
      </x:c>
      <x:c r="L185" s="31" t="n">
        <x:v>0</x:v>
      </x:c>
      <x:c r="M185" s="31" t="n">
        <x:v>53.6033366336</x:v>
      </x:c>
      <x:c r="N185" s="24" t="str">
        <x:v>cnidaria</x:v>
      </x:c>
      <x:c r="O185" s="32" t="n">
        <x:v>2.5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Cnidaria</x:v>
      </x:c>
      <x:c r="T185" s="32" t="n">
        <x:f>IF(O185="","",(1/'Metadata'!$B$5)^(O185-1))</x:f>
        <x:v>31.622776601683793</x:v>
      </x:c>
      <x:c r="U185" s="31" t="n">
        <x:f>IF(T185="","",I185*T185)</x:f>
        <x:v>1695.0863394691858</x:v>
      </x:c>
    </x:row>
    <x:row r="186" ht="18" customHeight="1">
      <x:c r="A186" s="24" t="str">
        <x:v>LME_025</x:v>
      </x:c>
      <x:c r="B186" s="24" t="str">
        <x:v>Iberian Coastal</x:v>
      </x:c>
      <x:c r="C186" s="24" t="str">
        <x:v>LME</x:v>
      </x:c>
      <x:c r="D186" s="30" t="n">
        <x:v>2019</x:v>
      </x:c>
      <x:c r="E186" s="24" t="str">
        <x:v>Atherinidae</x:v>
      </x:c>
      <x:c r="F186" s="24" t="str">
        <x:v>Silversides</x:v>
      </x:c>
      <x:c r="G186" s="24" t="str">
        <x:v>Small pelagics (&lt;30 cm)</x:v>
      </x:c>
      <x:c r="H186" s="24" t="str">
        <x:v>Other fishes &amp; inverts</x:v>
      </x:c>
      <x:c r="I186" s="31" t="n">
        <x:v>51.2106505685</x:v>
      </x:c>
      <x:c r="J186" s="31" t="n">
        <x:v>51.2106505685</x:v>
      </x:c>
      <x:c r="K186" s="31" t="n">
        <x:v>0</x:v>
      </x:c>
      <x:c r="L186" s="31" t="n">
        <x:v>49.743885229499995</x:v>
      </x:c>
      <x:c r="M186" s="31" t="n">
        <x:v>1.466765339</x:v>
      </x:c>
      <x:c r="N186" s="24" t="str">
        <x:v>atherinidae</x:v>
      </x:c>
      <x:c r="O186" s="32" t="n">
        <x:v>3.2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Atherinidae</x:v>
      </x:c>
      <x:c r="T186" s="32" t="n">
        <x:f>IF(O186="","",(1/'Metadata'!$B$5)^(O186-1))</x:f>
        <x:v>158.48931924611142</x:v>
      </x:c>
      <x:c r="U186" s="31" t="n">
        <x:f>IF(T186="","",I186*T186)</x:f>
        <x:v>8116.341146752054</x:v>
      </x:c>
    </x:row>
    <x:row r="187" ht="18" customHeight="1">
      <x:c r="A187" s="24" t="str">
        <x:v>LME_025</x:v>
      </x:c>
      <x:c r="B187" s="24" t="str">
        <x:v>Iberian Coastal</x:v>
      </x:c>
      <x:c r="C187" s="24" t="str">
        <x:v>LME</x:v>
      </x:c>
      <x:c r="D187" s="30" t="n">
        <x:v>2019</x:v>
      </x:c>
      <x:c r="E187" s="24" t="str">
        <x:v>Ostrea</x:v>
      </x:c>
      <x:c r="F187" s="24" t="str">
        <x:v>Flat oysters</x:v>
      </x:c>
      <x:c r="G187" s="24" t="str">
        <x:v>Other demersal invertebrates</x:v>
      </x:c>
      <x:c r="H187" s="24" t="str">
        <x:v>Molluscs</x:v>
      </x:c>
      <x:c r="I187" s="31" t="n">
        <x:v>50.726354395899996</x:v>
      </x:c>
      <x:c r="J187" s="31" t="n">
        <x:v>50.726354395899996</x:v>
      </x:c>
      <x:c r="K187" s="31" t="n">
        <x:v>0</x:v>
      </x:c>
      <x:c r="L187" s="31" t="n">
        <x:v>50.726354395899996</x:v>
      </x:c>
      <x:c r="M187" s="31" t="n">
        <x:v>0</x:v>
      </x:c>
      <x:c r="N187" s="24" t="str">
        <x:v>ostrea</x:v>
      </x:c>
      <x:c r="O187" s="32" t="n">
        <x:v>2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Ostrea</x:v>
      </x:c>
      <x:c r="T187" s="32" t="n">
        <x:f>IF(O187="","",(1/'Metadata'!$B$5)^(O187-1))</x:f>
        <x:v>10</x:v>
      </x:c>
      <x:c r="U187" s="31" t="n">
        <x:f>IF(T187="","",I187*T187)</x:f>
        <x:v>507.26354395899995</x:v>
      </x:c>
    </x:row>
    <x:row r="188" ht="18" customHeight="1">
      <x:c r="A188" s="24" t="str">
        <x:v>LME_025</x:v>
      </x:c>
      <x:c r="B188" s="24" t="str">
        <x:v>Iberian Coastal</x:v>
      </x:c>
      <x:c r="C188" s="24" t="str">
        <x:v>LME</x:v>
      </x:c>
      <x:c r="D188" s="30" t="n">
        <x:v>2019</x:v>
      </x:c>
      <x:c r="E188" s="24" t="str">
        <x:v>Carcharhinidae</x:v>
      </x:c>
      <x:c r="F188" s="24" t="str">
        <x:v>Requiem sharks</x:v>
      </x:c>
      <x:c r="G188" s="24" t="str">
        <x:v>Large sharks (&gt;=90 cm)</x:v>
      </x:c>
      <x:c r="H188" s="24" t="str">
        <x:v>Sharks &amp; rays</x:v>
      </x:c>
      <x:c r="I188" s="31" t="n">
        <x:v>50.197926682600006</x:v>
      </x:c>
      <x:c r="J188" s="31" t="n">
        <x:v>50.197926682600006</x:v>
      </x:c>
      <x:c r="K188" s="31" t="n">
        <x:v>0</x:v>
      </x:c>
      <x:c r="L188" s="31" t="n">
        <x:v>41.1093233348</x:v>
      </x:c>
      <x:c r="M188" s="31" t="n">
        <x:v>9.088603347800001</x:v>
      </x:c>
      <x:c r="N188" s="24" t="str">
        <x:v>carcharhinidae</x:v>
      </x:c>
      <x:c r="O188" s="32" t="n">
        <x:v>4.24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Carcharhinidae</x:v>
      </x:c>
      <x:c r="T188" s="32" t="n">
        <x:f>IF(O188="","",(1/'Metadata'!$B$5)^(O188-1))</x:f>
        <x:v>1737.8008287493763</x:v>
      </x:c>
      <x:c r="U188" s="31" t="n">
        <x:f>IF(T188="","",I188*T188)</x:f>
        <x:v>87233.99859052272</x:v>
      </x:c>
    </x:row>
    <x:row r="189" ht="18" customHeight="1">
      <x:c r="A189" s="24" t="str">
        <x:v>LME_025</x:v>
      </x:c>
      <x:c r="B189" s="24" t="str">
        <x:v>Iberian Coastal</x:v>
      </x:c>
      <x:c r="C189" s="24" t="str">
        <x:v>LME</x:v>
      </x:c>
      <x:c r="D189" s="30" t="n">
        <x:v>2019</x:v>
      </x:c>
      <x:c r="E189" s="24" t="str">
        <x:v>Scorpaena scrofa</x:v>
      </x:c>
      <x:c r="F189" s="24" t="str">
        <x:v>Red scorpionfish</x:v>
      </x:c>
      <x:c r="G189" s="24" t="str">
        <x:v>Medium demersals (30 - 89 cm)</x:v>
      </x:c>
      <x:c r="H189" s="24" t="str">
        <x:v>Scorpionfishes</x:v>
      </x:c>
      <x:c r="I189" s="31" t="n">
        <x:v>48.8925898094</x:v>
      </x:c>
      <x:c r="J189" s="31" t="n">
        <x:v>48.8925898094</x:v>
      </x:c>
      <x:c r="K189" s="31" t="n">
        <x:v>0</x:v>
      </x:c>
      <x:c r="L189" s="31" t="n">
        <x:v>37.32873283120001</x:v>
      </x:c>
      <x:c r="M189" s="31" t="n">
        <x:v>11.5638569782</x:v>
      </x:c>
      <x:c r="N189" s="24" t="str">
        <x:v>scorpaena scrofa</x:v>
      </x:c>
      <x:c r="O189" s="32" t="n">
        <x:v>4.25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Scorpaena scrofa</x:v>
      </x:c>
      <x:c r="T189" s="32" t="n">
        <x:f>IF(O189="","",(1/'Metadata'!$B$5)^(O189-1))</x:f>
        <x:v>1778.2794100389228</x:v>
      </x:c>
      <x:c r="U189" s="31" t="n">
        <x:f>IF(T189="","",I189*T189)</x:f>
        <x:v>86944.68576153489</x:v>
      </x:c>
    </x:row>
    <x:row r="190" ht="18" customHeight="1">
      <x:c r="A190" s="24" t="str">
        <x:v>LME_025</x:v>
      </x:c>
      <x:c r="B190" s="24" t="str">
        <x:v>Iberian Coastal</x:v>
      </x:c>
      <x:c r="C190" s="24" t="str">
        <x:v>LME</x:v>
      </x:c>
      <x:c r="D190" s="30" t="n">
        <x:v>2019</x:v>
      </x:c>
      <x:c r="E190" s="24" t="str">
        <x:v>Sepiidae</x:v>
      </x:c>
      <x:c r="F190" s="24" t="str">
        <x:v>Cuttlefishes</x:v>
      </x:c>
      <x:c r="G190" s="24" t="str">
        <x:v>Cephalopods</x:v>
      </x:c>
      <x:c r="H190" s="24" t="str">
        <x:v>Other fishes &amp; inverts</x:v>
      </x:c>
      <x:c r="I190" s="31" t="n">
        <x:v>46.5736626419</x:v>
      </x:c>
      <x:c r="J190" s="31" t="n">
        <x:v>46.5736626419</x:v>
      </x:c>
      <x:c r="K190" s="31" t="n">
        <x:v>0</x:v>
      </x:c>
      <x:c r="L190" s="31" t="n">
        <x:v>2.3507962515000003</x:v>
      </x:c>
      <x:c r="M190" s="31" t="n">
        <x:v>44.2228663904</x:v>
      </x:c>
      <x:c r="N190" s="24" t="str">
        <x:v>sepiidae</x:v>
      </x:c>
      <x:c r="O190" s="32" t="n">
        <x:v>3.6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Sepiidae</x:v>
      </x:c>
      <x:c r="T190" s="32" t="n">
        <x:f>IF(O190="","",(1/'Metadata'!$B$5)^(O190-1))</x:f>
        <x:v>398.1071705534973</x:v>
      </x:c>
      <x:c r="U190" s="31" t="n">
        <x:f>IF(T190="","",I190*T190)</x:f>
        <x:v>18541.30905667993</x:v>
      </x:c>
    </x:row>
    <x:row r="191" ht="18" customHeight="1">
      <x:c r="A191" s="24" t="str">
        <x:v>LME_025</x:v>
      </x:c>
      <x:c r="B191" s="24" t="str">
        <x:v>Iberian Coastal</x:v>
      </x:c>
      <x:c r="C191" s="24" t="str">
        <x:v>LME</x:v>
      </x:c>
      <x:c r="D191" s="30" t="n">
        <x:v>2019</x:v>
      </x:c>
      <x:c r="E191" s="24" t="str">
        <x:v>Muraena helena</x:v>
      </x:c>
      <x:c r="F191" s="24" t="str">
        <x:v>Mediterranean moray</x:v>
      </x:c>
      <x:c r="G191" s="24" t="str">
        <x:v>Large reef assoc. fish (&gt;=90 cm)</x:v>
      </x:c>
      <x:c r="H191" s="24" t="str">
        <x:v>Other fishes &amp; inverts</x:v>
      </x:c>
      <x:c r="I191" s="31" t="n">
        <x:v>44.8907854532</x:v>
      </x:c>
      <x:c r="J191" s="31" t="n">
        <x:v>44.343256498</x:v>
      </x:c>
      <x:c r="K191" s="31" t="n">
        <x:v>0.5475289552</x:v>
      </x:c>
      <x:c r="L191" s="31" t="n">
        <x:v>37.6786771533</x:v>
      </x:c>
      <x:c r="M191" s="31" t="n">
        <x:v>7.2121082999</x:v>
      </x:c>
      <x:c r="N191" s="24" t="str">
        <x:v>muraena helena</x:v>
      </x:c>
      <x:c r="O191" s="32" t="n">
        <x:v>4.18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Muraena helena</x:v>
      </x:c>
      <x:c r="T191" s="32" t="n">
        <x:f>IF(O191="","",(1/'Metadata'!$B$5)^(O191-1))</x:f>
        <x:v>1513.5612484362073</x:v>
      </x:c>
      <x:c r="U191" s="31" t="n">
        <x:f>IF(T191="","",I191*T191)</x:f>
        <x:v>67944.95327382733</x:v>
      </x:c>
    </x:row>
    <x:row r="192" ht="18" customHeight="1">
      <x:c r="A192" s="24" t="str">
        <x:v>LME_025</x:v>
      </x:c>
      <x:c r="B192" s="24" t="str">
        <x:v>Iberian Coastal</x:v>
      </x:c>
      <x:c r="C192" s="24" t="str">
        <x:v>LME</x:v>
      </x:c>
      <x:c r="D192" s="30" t="n">
        <x:v>2019</x:v>
      </x:c>
      <x:c r="E192" s="24" t="str">
        <x:v>Umbrina canariensis</x:v>
      </x:c>
      <x:c r="F192" s="24" t="str">
        <x:v>Canary drum</x:v>
      </x:c>
      <x:c r="G192" s="24" t="str">
        <x:v>Medium demersals (30 - 89 cm)</x:v>
      </x:c>
      <x:c r="H192" s="24" t="str">
        <x:v>Perch-likes</x:v>
      </x:c>
      <x:c r="I192" s="31" t="n">
        <x:v>44.6028319629</x:v>
      </x:c>
      <x:c r="J192" s="31" t="n">
        <x:v>44.1604769317</x:v>
      </x:c>
      <x:c r="K192" s="31" t="n">
        <x:v>0.4423550312</x:v>
      </x:c>
      <x:c r="L192" s="31" t="n">
        <x:v>40.1868636272</x:v>
      </x:c>
      <x:c r="M192" s="31" t="n">
        <x:v>4.4159683357</x:v>
      </x:c>
      <x:c r="N192" s="24" t="str">
        <x:v>umbrina canariensis</x:v>
      </x:c>
      <x:c r="O192" s="32" t="n">
        <x:v>3.37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Umbrina canariensis</x:v>
      </x:c>
      <x:c r="T192" s="32" t="n">
        <x:f>IF(O192="","",(1/'Metadata'!$B$5)^(O192-1))</x:f>
        <x:v>234.42288153199226</x:v>
      </x:c>
      <x:c r="U192" s="31" t="n">
        <x:f>IF(T192="","",I192*T192)</x:f>
        <x:v>10455.924393230263</x:v>
      </x:c>
    </x:row>
    <x:row r="193" ht="18" customHeight="1">
      <x:c r="A193" s="24" t="str">
        <x:v>LME_025</x:v>
      </x:c>
      <x:c r="B193" s="24" t="str">
        <x:v>Iberian Coastal</x:v>
      </x:c>
      <x:c r="C193" s="24" t="str">
        <x:v>LME</x:v>
      </x:c>
      <x:c r="D193" s="30" t="n">
        <x:v>2019</x:v>
      </x:c>
      <x:c r="E193" s="24" t="str">
        <x:v>Petromyzontidae</x:v>
      </x:c>
      <x:c r="F193" s="24" t="str">
        <x:v>Lampreys</x:v>
      </x:c>
      <x:c r="G193" s="24" t="str">
        <x:v>Large demersals (&gt;=90 cm)</x:v>
      </x:c>
      <x:c r="H193" s="24" t="str">
        <x:v>Other fishes &amp; inverts</x:v>
      </x:c>
      <x:c r="I193" s="31" t="n">
        <x:v>44.4446642466</x:v>
      </x:c>
      <x:c r="J193" s="31" t="n">
        <x:v>44.4446642466</x:v>
      </x:c>
      <x:c r="K193" s="31" t="n">
        <x:v>0</x:v>
      </x:c>
      <x:c r="L193" s="31" t="n">
        <x:v>44.4446642466</x:v>
      </x:c>
      <x:c r="M193" s="31" t="n">
        <x:v>0</x:v>
      </x:c>
      <x:c r="N193" s="24" t="str">
        <x:v>petromyzontidae</x:v>
      </x:c>
      <x:c r="O193" s="32" t="n">
        <x:v>4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Petromyzontidae</x:v>
      </x:c>
      <x:c r="T193" s="32" t="n">
        <x:f>IF(O193="","",(1/'Metadata'!$B$5)^(O193-1))</x:f>
        <x:v>1000</x:v>
      </x:c>
      <x:c r="U193" s="31" t="n">
        <x:f>IF(T193="","",I193*T193)</x:f>
        <x:v>44444.6642466</x:v>
      </x:c>
    </x:row>
    <x:row r="194" ht="18" customHeight="1">
      <x:c r="A194" s="24" t="str">
        <x:v>LME_025</x:v>
      </x:c>
      <x:c r="B194" s="24" t="str">
        <x:v>Iberian Coastal</x:v>
      </x:c>
      <x:c r="C194" s="24" t="str">
        <x:v>LME</x:v>
      </x:c>
      <x:c r="D194" s="30" t="n">
        <x:v>2019</x:v>
      </x:c>
      <x:c r="E194" s="24" t="str">
        <x:v>Clupeidae</x:v>
      </x:c>
      <x:c r="F194" s="24" t="str">
        <x:v>Herrings, sardines, menhadens</x:v>
      </x:c>
      <x:c r="G194" s="24" t="str">
        <x:v>Small pelagics (&lt;30 cm)</x:v>
      </x:c>
      <x:c r="H194" s="24" t="str">
        <x:v>Herring-likes</x:v>
      </x:c>
      <x:c r="I194" s="31" t="n">
        <x:v>43.9996916412</x:v>
      </x:c>
      <x:c r="J194" s="31" t="n">
        <x:v>24.914708100600002</x:v>
      </x:c>
      <x:c r="K194" s="31" t="n">
        <x:v>19.0849835406</x:v>
      </x:c>
      <x:c r="L194" s="31" t="n">
        <x:v>16.1408973188</x:v>
      </x:c>
      <x:c r="M194" s="31" t="n">
        <x:v>27.8587943224</x:v>
      </x:c>
      <x:c r="N194" s="24" t="str">
        <x:v>clupeidae</x:v>
      </x:c>
      <x:c r="O194" s="32" t="n">
        <x:v>3.16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Clupeidae</x:v>
      </x:c>
      <x:c r="T194" s="32" t="n">
        <x:f>IF(O194="","",(1/'Metadata'!$B$5)^(O194-1))</x:f>
        <x:v>144.5439770745928</x:v>
      </x:c>
      <x:c r="U194" s="31" t="n">
        <x:f>IF(T194="","",I194*T194)</x:f>
        <x:v>6359.890419874765</x:v>
      </x:c>
    </x:row>
    <x:row r="195" ht="18" customHeight="1">
      <x:c r="A195" s="24" t="str">
        <x:v>LME_025</x:v>
      </x:c>
      <x:c r="B195" s="24" t="str">
        <x:v>Iberian Coastal</x:v>
      </x:c>
      <x:c r="C195" s="24" t="str">
        <x:v>LME</x:v>
      </x:c>
      <x:c r="D195" s="30" t="n">
        <x:v>2019</x:v>
      </x:c>
      <x:c r="E195" s="24" t="str">
        <x:v>Pleuronectidae</x:v>
      </x:c>
      <x:c r="F195" s="24" t="str">
        <x:v>Righteye flounders</x:v>
      </x:c>
      <x:c r="G195" s="24" t="str">
        <x:v>Small to medium flatfishes (&lt;90 cm)</x:v>
      </x:c>
      <x:c r="H195" s="24" t="str">
        <x:v>Flatfishes</x:v>
      </x:c>
      <x:c r="I195" s="31" t="n">
        <x:v>41.963291012300004</x:v>
      </x:c>
      <x:c r="J195" s="31" t="n">
        <x:v>0.2317042257</x:v>
      </x:c>
      <x:c r="K195" s="31" t="n">
        <x:v>41.731586786600005</x:v>
      </x:c>
      <x:c r="L195" s="31" t="n">
        <x:v>0.2317042257</x:v>
      </x:c>
      <x:c r="M195" s="31" t="n">
        <x:v>41.731586786600005</x:v>
      </x:c>
      <x:c r="N195" s="24" t="str">
        <x:v>pleuronectidae</x:v>
      </x:c>
      <x:c r="O195" s="32" t="n">
        <x:v>3.49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Pleuronectidae</x:v>
      </x:c>
      <x:c r="T195" s="32" t="n">
        <x:f>IF(O195="","",(1/'Metadata'!$B$5)^(O195-1))</x:f>
        <x:v>309.0295432513592</x:v>
      </x:c>
      <x:c r="U195" s="31" t="n">
        <x:f>IF(T195="","",I195*T195)</x:f>
        <x:v>12967.896654854938</x:v>
      </x:c>
    </x:row>
    <x:row r="196" ht="18" customHeight="1">
      <x:c r="A196" s="24" t="str">
        <x:v>LME_025</x:v>
      </x:c>
      <x:c r="B196" s="24" t="str">
        <x:v>Iberian Coastal</x:v>
      </x:c>
      <x:c r="C196" s="24" t="str">
        <x:v>LME</x:v>
      </x:c>
      <x:c r="D196" s="30" t="n">
        <x:v>2019</x:v>
      </x:c>
      <x:c r="E196" s="24" t="str">
        <x:v>Dentex</x:v>
      </x:c>
      <x:c r="F196" s="24" t="str">
        <x:v>Toothed seabreams</x:v>
      </x:c>
      <x:c r="G196" s="24" t="str">
        <x:v>Large benthopelagics (&gt;=90 cm)</x:v>
      </x:c>
      <x:c r="H196" s="24" t="str">
        <x:v>Perch-likes</x:v>
      </x:c>
      <x:c r="I196" s="31" t="n">
        <x:v>41.638805556600005</x:v>
      </x:c>
      <x:c r="J196" s="31" t="n">
        <x:v>40.760615664</x:v>
      </x:c>
      <x:c r="K196" s="31" t="n">
        <x:v>0.8781898925999999</x:v>
      </x:c>
      <x:c r="L196" s="31" t="n">
        <x:v>31.1350182584</x:v>
      </x:c>
      <x:c r="M196" s="31" t="n">
        <x:v>10.5037872982</x:v>
      </x:c>
      <x:c r="N196" s="24" t="str">
        <x:v>dentex</x:v>
      </x:c>
      <x:c r="O196" s="32" t="n">
        <x:v>3.96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Dentex</x:v>
      </x:c>
      <x:c r="T196" s="32" t="n">
        <x:f>IF(O196="","",(1/'Metadata'!$B$5)^(O196-1))</x:f>
        <x:v>912.0108393559096</x:v>
      </x:c>
      <x:c r="U196" s="31" t="n">
        <x:f>IF(T196="","",I196*T196)</x:f>
        <x:v>37975.042005452284</x:v>
      </x:c>
    </x:row>
    <x:row r="197" ht="18" customHeight="1">
      <x:c r="A197" s="24" t="str">
        <x:v>LME_025</x:v>
      </x:c>
      <x:c r="B197" s="24" t="str">
        <x:v>Iberian Coastal</x:v>
      </x:c>
      <x:c r="C197" s="24" t="str">
        <x:v>LME</x:v>
      </x:c>
      <x:c r="D197" s="30" t="n">
        <x:v>2019</x:v>
      </x:c>
      <x:c r="E197" s="24" t="str">
        <x:v>Dentex gibbosus</x:v>
      </x:c>
      <x:c r="F197" s="24" t="str">
        <x:v>Pink dentex</x:v>
      </x:c>
      <x:c r="G197" s="24" t="str">
        <x:v>Large benthopelagics (&gt;=90 cm)</x:v>
      </x:c>
      <x:c r="H197" s="24" t="str">
        <x:v>Perch-likes</x:v>
      </x:c>
      <x:c r="I197" s="31" t="n">
        <x:v>39.4472918741</x:v>
      </x:c>
      <x:c r="J197" s="31" t="n">
        <x:v>38.8329296557</x:v>
      </x:c>
      <x:c r="K197" s="31" t="n">
        <x:v>0.6143622184</x:v>
      </x:c>
      <x:c r="L197" s="31" t="n">
        <x:v>23.6629845819</x:v>
      </x:c>
      <x:c r="M197" s="31" t="n">
        <x:v>15.784307292200001</x:v>
      </x:c>
      <x:c r="N197" s="24" t="str">
        <x:v>dentex gibbosus</x:v>
      </x:c>
      <x:c r="O197" s="32" t="n">
        <x:v>4.14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Dentex gibbosus</x:v>
      </x:c>
      <x:c r="T197" s="32" t="n">
        <x:f>IF(O197="","",(1/'Metadata'!$B$5)^(O197-1))</x:f>
        <x:v>1380.3842646028838</x:v>
      </x:c>
      <x:c r="U197" s="31" t="n">
        <x:f>IF(T197="","",I197*T197)</x:f>
        <x:v>54452.42098420485</x:v>
      </x:c>
    </x:row>
    <x:row r="198" ht="18" customHeight="1">
      <x:c r="A198" s="24" t="str">
        <x:v>LME_025</x:v>
      </x:c>
      <x:c r="B198" s="24" t="str">
        <x:v>Iberian Coastal</x:v>
      </x:c>
      <x:c r="C198" s="24" t="str">
        <x:v>LME</x:v>
      </x:c>
      <x:c r="D198" s="30" t="n">
        <x:v>2019</x:v>
      </x:c>
      <x:c r="E198" s="24" t="str">
        <x:v>Trigla</x:v>
      </x:c>
      <x:c r="F198" s="24" t="str">
        <x:v>Piper gurnards</x:v>
      </x:c>
      <x:c r="G198" s="24" t="str">
        <x:v>Medium bathydemersals (30 - 89 cm)</x:v>
      </x:c>
      <x:c r="H198" s="24" t="str">
        <x:v>Scorpionfishes</x:v>
      </x:c>
      <x:c r="I198" s="31" t="n">
        <x:v>38.5542566181</x:v>
      </x:c>
      <x:c r="J198" s="31" t="n">
        <x:v>34.8554594736</x:v>
      </x:c>
      <x:c r="K198" s="31" t="n">
        <x:v>3.6987971445</x:v>
      </x:c>
      <x:c r="L198" s="31" t="n">
        <x:v>15.212609458400001</x:v>
      </x:c>
      <x:c r="M198" s="31" t="n">
        <x:v>23.3416471597</x:v>
      </x:c>
      <x:c r="N198" s="24" t="str">
        <x:v>trigla</x:v>
      </x:c>
      <x:c r="O198" s="32" t="n">
        <x:v>3.51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Trigla</x:v>
      </x:c>
      <x:c r="T198" s="32" t="n">
        <x:f>IF(O198="","",(1/'Metadata'!$B$5)^(O198-1))</x:f>
        <x:v>323.5936569296281</x:v>
      </x:c>
      <x:c r="U198" s="31" t="n">
        <x:f>IF(T198="","",I198*T198)</x:f>
        <x:v>12475.912889254294</x:v>
      </x:c>
    </x:row>
    <x:row r="199" ht="18" customHeight="1">
      <x:c r="A199" s="24" t="str">
        <x:v>LME_025</x:v>
      </x:c>
      <x:c r="B199" s="24" t="str">
        <x:v>Iberian Coastal</x:v>
      </x:c>
      <x:c r="C199" s="24" t="str">
        <x:v>LME</x:v>
      </x:c>
      <x:c r="D199" s="30" t="n">
        <x:v>2019</x:v>
      </x:c>
      <x:c r="E199" s="24" t="str">
        <x:v>Ostrea edulis</x:v>
      </x:c>
      <x:c r="F199" s="24" t="str">
        <x:v>European flat oyster</x:v>
      </x:c>
      <x:c r="G199" s="24" t="str">
        <x:v>Other demersal invertebrates</x:v>
      </x:c>
      <x:c r="H199" s="24" t="str">
        <x:v>Molluscs</x:v>
      </x:c>
      <x:c r="I199" s="31" t="n">
        <x:v>38.496892166600006</x:v>
      </x:c>
      <x:c r="J199" s="31" t="n">
        <x:v>38.496892166600006</x:v>
      </x:c>
      <x:c r="K199" s="31" t="n">
        <x:v>0</x:v>
      </x:c>
      <x:c r="L199" s="31" t="n">
        <x:v>15.242276849900001</x:v>
      </x:c>
      <x:c r="M199" s="31" t="n">
        <x:v>23.2546153167</x:v>
      </x:c>
      <x:c r="N199" s="24" t="str">
        <x:v>ostrea edulis</x:v>
      </x:c>
      <x:c r="O199" s="32" t="n">
        <x:v>2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Ostrea edulis</x:v>
      </x:c>
      <x:c r="T199" s="32" t="n">
        <x:f>IF(O199="","",(1/'Metadata'!$B$5)^(O199-1))</x:f>
        <x:v>10</x:v>
      </x:c>
      <x:c r="U199" s="31" t="n">
        <x:f>IF(T199="","",I199*T199)</x:f>
        <x:v>384.968921666</x:v>
      </x:c>
    </x:row>
    <x:row r="200" ht="18" customHeight="1">
      <x:c r="A200" s="24" t="str">
        <x:v>LME_025</x:v>
      </x:c>
      <x:c r="B200" s="24" t="str">
        <x:v>Iberian Coastal</x:v>
      </x:c>
      <x:c r="C200" s="24" t="str">
        <x:v>LME</x:v>
      </x:c>
      <x:c r="D200" s="30" t="n">
        <x:v>2019</x:v>
      </x:c>
      <x:c r="E200" s="24" t="str">
        <x:v>Auxis</x:v>
      </x:c>
      <x:c r="F200" s="24" t="str">
        <x:v>Bullet and frigate tunas</x:v>
      </x:c>
      <x:c r="G200" s="24" t="str">
        <x:v>Medium pelagics (30 - 89 cm)</x:v>
      </x:c>
      <x:c r="H200" s="24" t="str">
        <x:v>Tuna &amp; billfishes</x:v>
      </x:c>
      <x:c r="I200" s="31" t="n">
        <x:v>38.2431058589</x:v>
      </x:c>
      <x:c r="J200" s="31" t="n">
        <x:v>38.2431058589</x:v>
      </x:c>
      <x:c r="K200" s="31" t="n">
        <x:v>0</x:v>
      </x:c>
      <x:c r="L200" s="31" t="n">
        <x:v>31.4600075135</x:v>
      </x:c>
      <x:c r="M200" s="31" t="n">
        <x:v>6.7830983454</x:v>
      </x:c>
      <x:c r="N200" s="24" t="str">
        <x:v>auxis</x:v>
      </x:c>
      <x:c r="O200" s="32" t="n">
        <x:v>4.24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Auxis</x:v>
      </x:c>
      <x:c r="T200" s="32" t="n">
        <x:f>IF(O200="","",(1/'Metadata'!$B$5)^(O200-1))</x:f>
        <x:v>1737.8008287493763</x:v>
      </x:c>
      <x:c r="U200" s="31" t="n">
        <x:f>IF(T200="","",I200*T200)</x:f>
        <x:v>66458.90105554655</x:v>
      </x:c>
    </x:row>
    <x:row r="201" ht="18" customHeight="1">
      <x:c r="A201" s="24" t="str">
        <x:v>LME_025</x:v>
      </x:c>
      <x:c r="B201" s="24" t="str">
        <x:v>Iberian Coastal</x:v>
      </x:c>
      <x:c r="C201" s="24" t="str">
        <x:v>LME</x:v>
      </x:c>
      <x:c r="D201" s="30" t="n">
        <x:v>2019</x:v>
      </x:c>
      <x:c r="E201" s="24" t="str">
        <x:v>Squaliformes</x:v>
      </x:c>
      <x:c r="F201" s="24" t="str">
        <x:v>Bramble, sleeper, dogfish sharks</x:v>
      </x:c>
      <x:c r="G201" s="24" t="str">
        <x:v>Large sharks (&gt;=90 cm)</x:v>
      </x:c>
      <x:c r="H201" s="24" t="str">
        <x:v>Sharks &amp; rays</x:v>
      </x:c>
      <x:c r="I201" s="31" t="n">
        <x:v>37.4081925003</x:v>
      </x:c>
      <x:c r="J201" s="31" t="n">
        <x:v>0</x:v>
      </x:c>
      <x:c r="K201" s="31" t="n">
        <x:v>37.4081925003</x:v>
      </x:c>
      <x:c r="L201" s="31" t="n">
        <x:v>0</x:v>
      </x:c>
      <x:c r="M201" s="31" t="n">
        <x:v>37.4081925003</x:v>
      </x:c>
      <x:c r="N201" s="24" t="str">
        <x:v>squaliformes</x:v>
      </x:c>
      <x:c r="O201" s="32" t="n">
        <x:v>4.19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Squaliformes</x:v>
      </x:c>
      <x:c r="T201" s="32" t="n">
        <x:f>IF(O201="","",(1/'Metadata'!$B$5)^(O201-1))</x:f>
        <x:v>1548.8166189124827</x:v>
      </x:c>
      <x:c r="U201" s="31" t="n">
        <x:f>IF(T201="","",I201*T201)</x:f>
        <x:v>57938.430227941935</x:v>
      </x:c>
    </x:row>
    <x:row r="202" ht="18" customHeight="1">
      <x:c r="A202" s="24" t="str">
        <x:v>LME_025</x:v>
      </x:c>
      <x:c r="B202" s="24" t="str">
        <x:v>Iberian Coastal</x:v>
      </x:c>
      <x:c r="C202" s="24" t="str">
        <x:v>LME</x:v>
      </x:c>
      <x:c r="D202" s="30" t="n">
        <x:v>2019</x:v>
      </x:c>
      <x:c r="E202" s="24" t="str">
        <x:v>Gastropoda</x:v>
      </x:c>
      <x:c r="F202" s="24" t="str">
        <x:v>Sea snails</x:v>
      </x:c>
      <x:c r="G202" s="24" t="str">
        <x:v>Other demersal invertebrates</x:v>
      </x:c>
      <x:c r="H202" s="24" t="str">
        <x:v>Molluscs</x:v>
      </x:c>
      <x:c r="I202" s="31" t="n">
        <x:v>35.2169742455</x:v>
      </x:c>
      <x:c r="J202" s="31" t="n">
        <x:v>9.7779489401</x:v>
      </x:c>
      <x:c r="K202" s="31" t="n">
        <x:v>25.439025305399998</x:v>
      </x:c>
      <x:c r="L202" s="31" t="n">
        <x:v>4.5986929253</x:v>
      </x:c>
      <x:c r="M202" s="31" t="n">
        <x:v>30.618281320199998</x:v>
      </x:c>
      <x:c r="N202" s="24" t="str">
        <x:v>gastropoda</x:v>
      </x:c>
      <x:c r="O202" s="32" t="n">
        <x:v>3.06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Gastropoda</x:v>
      </x:c>
      <x:c r="T202" s="32" t="n">
        <x:f>IF(O202="","",(1/'Metadata'!$B$5)^(O202-1))</x:f>
        <x:v>114.81536214968828</x:v>
      </x:c>
      <x:c r="U202" s="31" t="n">
        <x:f>IF(T202="","",I202*T202)</x:f>
        <x:v>4043.4496518133274</x:v>
      </x:c>
    </x:row>
    <x:row r="203" ht="18" customHeight="1">
      <x:c r="A203" s="24" t="str">
        <x:v>LME_025</x:v>
      </x:c>
      <x:c r="B203" s="24" t="str">
        <x:v>Iberian Coastal</x:v>
      </x:c>
      <x:c r="C203" s="24" t="str">
        <x:v>LME</x:v>
      </x:c>
      <x:c r="D203" s="30" t="n">
        <x:v>2019</x:v>
      </x:c>
      <x:c r="E203" s="24" t="str">
        <x:v>Diplodus bellottii</x:v>
      </x:c>
      <x:c r="F203" s="24" t="str">
        <x:v>Senegal seabream</x:v>
      </x:c>
      <x:c r="G203" s="24" t="str">
        <x:v>Small pelagics (&lt;30 cm)</x:v>
      </x:c>
      <x:c r="H203" s="24" t="str">
        <x:v>Perch-likes</x:v>
      </x:c>
      <x:c r="I203" s="31" t="n">
        <x:v>34.935565323800006</x:v>
      </x:c>
      <x:c r="J203" s="31" t="n">
        <x:v>0</x:v>
      </x:c>
      <x:c r="K203" s="31" t="n">
        <x:v>34.935565323800006</x:v>
      </x:c>
      <x:c r="L203" s="31" t="n">
        <x:v>0</x:v>
      </x:c>
      <x:c r="M203" s="31" t="n">
        <x:v>34.935565323800006</x:v>
      </x:c>
      <x:c r="N203" s="24" t="str">
        <x:v>diplodus bellottii</x:v>
      </x:c>
      <x:c r="O203" s="32" t="n">
        <x:v>3.55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Diplodus bellottii</x:v>
      </x:c>
      <x:c r="T203" s="32" t="n">
        <x:f>IF(O203="","",(1/'Metadata'!$B$5)^(O203-1))</x:f>
        <x:v>354.8133892335753</x:v>
      </x:c>
      <x:c r="U203" s="31" t="n">
        <x:f>IF(T203="","",I203*T203)</x:f>
        <x:v>12395.606337328449</x:v>
      </x:c>
    </x:row>
    <x:row r="204" ht="18" customHeight="1">
      <x:c r="A204" s="24" t="str">
        <x:v>LME_025</x:v>
      </x:c>
      <x:c r="B204" s="24" t="str">
        <x:v>Iberian Coastal</x:v>
      </x:c>
      <x:c r="C204" s="24" t="str">
        <x:v>LME</x:v>
      </x:c>
      <x:c r="D204" s="30" t="n">
        <x:v>2019</x:v>
      </x:c>
      <x:c r="E204" s="24" t="str">
        <x:v>Diplodus annularis</x:v>
      </x:c>
      <x:c r="F204" s="24" t="str">
        <x:v>Annular seabream</x:v>
      </x:c>
      <x:c r="G204" s="24" t="str">
        <x:v>Small benthopelagics (&lt;30 cm)</x:v>
      </x:c>
      <x:c r="H204" s="24" t="str">
        <x:v>Perch-likes</x:v>
      </x:c>
      <x:c r="I204" s="31" t="n">
        <x:v>34.353266386399994</x:v>
      </x:c>
      <x:c r="J204" s="31" t="n">
        <x:v>27.9902856672</x:v>
      </x:c>
      <x:c r="K204" s="31" t="n">
        <x:v>6.3629807192</x:v>
      </x:c>
      <x:c r="L204" s="31" t="n">
        <x:v>26.9484954351</x:v>
      </x:c>
      <x:c r="M204" s="31" t="n">
        <x:v>7.404770951300001</x:v>
      </x:c>
      <x:c r="N204" s="24" t="str">
        <x:v>diplodus annularis</x:v>
      </x:c>
      <x:c r="O204" s="32" t="n">
        <x:v>3.64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Diplodus annularis</x:v>
      </x:c>
      <x:c r="T204" s="32" t="n">
        <x:f>IF(O204="","",(1/'Metadata'!$B$5)^(O204-1))</x:f>
        <x:v>436.5158322401661</x:v>
      </x:c>
      <x:c r="U204" s="31" t="n">
        <x:f>IF(T204="","",I204*T204)</x:f>
        <x:v>14995.744666827517</x:v>
      </x:c>
    </x:row>
    <x:row r="205" ht="18" customHeight="1">
      <x:c r="A205" s="24" t="str">
        <x:v>LME_025</x:v>
      </x:c>
      <x:c r="B205" s="24" t="str">
        <x:v>Iberian Coastal</x:v>
      </x:c>
      <x:c r="C205" s="24" t="str">
        <x:v>LME</x:v>
      </x:c>
      <x:c r="D205" s="30" t="n">
        <x:v>2019</x:v>
      </x:c>
      <x:c r="E205" s="24" t="str">
        <x:v>Decapoda</x:v>
      </x:c>
      <x:c r="F205" s="24" t="str">
        <x:v>Crabs, lobsters, shrimps</x:v>
      </x:c>
      <x:c r="G205" s="24" t="str">
        <x:v>Lobsters, crabs</x:v>
      </x:c>
      <x:c r="H205" s="24" t="str">
        <x:v>Crustaceans</x:v>
      </x:c>
      <x:c r="I205" s="31" t="n">
        <x:v>33.9256583721</x:v>
      </x:c>
      <x:c r="J205" s="31" t="n">
        <x:v>21.1154098754</x:v>
      </x:c>
      <x:c r="K205" s="31" t="n">
        <x:v>12.8102484967</x:v>
      </x:c>
      <x:c r="L205" s="31" t="n">
        <x:v>21.1154098754</x:v>
      </x:c>
      <x:c r="M205" s="31" t="n">
        <x:v>12.8102484967</x:v>
      </x:c>
      <x:c r="N205" s="24" t="str">
        <x:v>decapoda</x:v>
      </x:c>
      <x:c r="O205" s="32" t="n">
        <x:v>3.43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Decapoda</x:v>
      </x:c>
      <x:c r="T205" s="32" t="n">
        <x:f>IF(O205="","",(1/'Metadata'!$B$5)^(O205-1))</x:f>
        <x:v>269.1534803926917</x:v>
      </x:c>
      <x:c r="U205" s="31" t="n">
        <x:f>IF(T205="","",I205*T205)</x:f>
        <x:v>9131.209025464173</x:v>
      </x:c>
    </x:row>
    <x:row r="206" ht="18" customHeight="1">
      <x:c r="A206" s="24" t="str">
        <x:v>LME_025</x:v>
      </x:c>
      <x:c r="B206" s="24" t="str">
        <x:v>Iberian Coastal</x:v>
      </x:c>
      <x:c r="C206" s="24" t="str">
        <x:v>LME</x:v>
      </x:c>
      <x:c r="D206" s="30" t="n">
        <x:v>2019</x:v>
      </x:c>
      <x:c r="E206" s="24" t="str">
        <x:v>Raja montagui</x:v>
      </x:c>
      <x:c r="F206" s="24" t="str">
        <x:v>Spotted ray</x:v>
      </x:c>
      <x:c r="G206" s="24" t="str">
        <x:v>Small to medium rays (&lt;90 cm)</x:v>
      </x:c>
      <x:c r="H206" s="24" t="str">
        <x:v>Sharks &amp; rays</x:v>
      </x:c>
      <x:c r="I206" s="31" t="n">
        <x:v>32.141197835599996</x:v>
      </x:c>
      <x:c r="J206" s="31" t="n">
        <x:v>32.141197835599996</x:v>
      </x:c>
      <x:c r="K206" s="31" t="n">
        <x:v>0</x:v>
      </x:c>
      <x:c r="L206" s="31" t="n">
        <x:v>14.6406523494</x:v>
      </x:c>
      <x:c r="M206" s="31" t="n">
        <x:v>17.5005454862</x:v>
      </x:c>
      <x:c r="N206" s="24" t="str">
        <x:v>raja montagui</x:v>
      </x:c>
      <x:c r="O206" s="32" t="n">
        <x:v>3.88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Raja montagui</x:v>
      </x:c>
      <x:c r="T206" s="32" t="n">
        <x:f>IF(O206="","",(1/'Metadata'!$B$5)^(O206-1))</x:f>
        <x:v>758.5775750291835</x:v>
      </x:c>
      <x:c r="U206" s="31" t="n">
        <x:f>IF(T206="","",I206*T206)</x:f>
        <x:v>24381.591912662687</x:v>
      </x:c>
    </x:row>
    <x:row r="207" ht="18" customHeight="1">
      <x:c r="A207" s="24" t="str">
        <x:v>LME_025</x:v>
      </x:c>
      <x:c r="B207" s="24" t="str">
        <x:v>Iberian Coastal</x:v>
      </x:c>
      <x:c r="C207" s="24" t="str">
        <x:v>LME</x:v>
      </x:c>
      <x:c r="D207" s="30" t="n">
        <x:v>2019</x:v>
      </x:c>
      <x:c r="E207" s="24" t="str">
        <x:v>Balistidae</x:v>
      </x:c>
      <x:c r="F207" s="24" t="str">
        <x:v>Triggerfishes</x:v>
      </x:c>
      <x:c r="G207" s="24" t="str">
        <x:v>Medium reef assoc. fish (30 - 89 cm)</x:v>
      </x:c>
      <x:c r="H207" s="24" t="str">
        <x:v>Other fishes &amp; inverts</x:v>
      </x:c>
      <x:c r="I207" s="31" t="n">
        <x:v>31.0854500667</x:v>
      </x:c>
      <x:c r="J207" s="31" t="n">
        <x:v>2.4822079186</x:v>
      </x:c>
      <x:c r="K207" s="31" t="n">
        <x:v>28.6032421481</x:v>
      </x:c>
      <x:c r="L207" s="31" t="n">
        <x:v>1.6343567399</x:v>
      </x:c>
      <x:c r="M207" s="31" t="n">
        <x:v>29.4510933268</x:v>
      </x:c>
      <x:c r="N207" s="24" t="str">
        <x:v>balistidae</x:v>
      </x:c>
      <x:c r="O207" s="32" t="n">
        <x:v>3.25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Balistidae</x:v>
      </x:c>
      <x:c r="T207" s="32" t="n">
        <x:f>IF(O207="","",(1/'Metadata'!$B$5)^(O207-1))</x:f>
        <x:v>177.82794100389228</x:v>
      </x:c>
      <x:c r="U207" s="31" t="n">
        <x:f>IF(T207="","",I207*T207)</x:f>
        <x:v>5527.861580540567</x:v>
      </x:c>
    </x:row>
    <x:row r="208" ht="18" customHeight="1">
      <x:c r="A208" s="24" t="str">
        <x:v>LME_025</x:v>
      </x:c>
      <x:c r="B208" s="24" t="str">
        <x:v>Iberian Coastal</x:v>
      </x:c>
      <x:c r="C208" s="24" t="str">
        <x:v>LME</x:v>
      </x:c>
      <x:c r="D208" s="30" t="n">
        <x:v>2019</x:v>
      </x:c>
      <x:c r="E208" s="24" t="str">
        <x:v>Chelon ramada</x:v>
      </x:c>
      <x:c r="F208" s="24" t="str">
        <x:v>Thinlip grey mullet</x:v>
      </x:c>
      <x:c r="G208" s="24" t="str">
        <x:v>Medium pelagics (30 - 89 cm)</x:v>
      </x:c>
      <x:c r="H208" s="24" t="str">
        <x:v>Perch-likes</x:v>
      </x:c>
      <x:c r="I208" s="31" t="n">
        <x:v>30.938943265400003</x:v>
      </x:c>
      <x:c r="J208" s="31" t="n">
        <x:v>3.0278889716</x:v>
      </x:c>
      <x:c r="K208" s="31" t="n">
        <x:v>27.9110542938</x:v>
      </x:c>
      <x:c r="L208" s="31" t="n">
        <x:v>2.5423144022</x:v>
      </x:c>
      <x:c r="M208" s="31" t="n">
        <x:v>28.3966288632</x:v>
      </x:c>
      <x:c r="N208" s="24" t="str">
        <x:v>chelon ramada</x:v>
      </x:c>
      <x:c r="O208" s="32" t="n">
        <x:v>2.3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Chelon ramada</x:v>
      </x:c>
      <x:c r="T208" s="32" t="n">
        <x:f>IF(O208="","",(1/'Metadata'!$B$5)^(O208-1))</x:f>
        <x:v>19.952623149688787</x:v>
      </x:c>
      <x:c r="U208" s="31" t="n">
        <x:f>IF(T208="","",I208*T208)</x:f>
        <x:v>617.313075624128</x:v>
      </x:c>
    </x:row>
    <x:row r="209" ht="18" customHeight="1">
      <x:c r="A209" s="24" t="str">
        <x:v>LME_025</x:v>
      </x:c>
      <x:c r="B209" s="24" t="str">
        <x:v>Iberian Coastal</x:v>
      </x:c>
      <x:c r="C209" s="24" t="str">
        <x:v>LME</x:v>
      </x:c>
      <x:c r="D209" s="30" t="n">
        <x:v>2019</x:v>
      </x:c>
      <x:c r="E209" s="24" t="str">
        <x:v>Galeus</x:v>
      </x:c>
      <x:c r="F209" s="24" t="str">
        <x:v>Sawtail catsharks</x:v>
      </x:c>
      <x:c r="G209" s="24" t="str">
        <x:v>Small to medium sharks (&lt;90 cm)</x:v>
      </x:c>
      <x:c r="H209" s="24" t="str">
        <x:v>Sharks &amp; rays</x:v>
      </x:c>
      <x:c r="I209" s="31" t="n">
        <x:v>29.7080751856</x:v>
      </x:c>
      <x:c r="J209" s="31" t="n">
        <x:v>29.7080751856</x:v>
      </x:c>
      <x:c r="K209" s="31" t="n">
        <x:v>0</x:v>
      </x:c>
      <x:c r="L209" s="31" t="n">
        <x:v>16.050124377</x:v>
      </x:c>
      <x:c r="M209" s="31" t="n">
        <x:v>13.6579508086</x:v>
      </x:c>
      <x:c r="N209" s="24" t="str">
        <x:v>galeus</x:v>
      </x:c>
      <x:c r="O209" s="32" t="n">
        <x:v>4.04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Galeus</x:v>
      </x:c>
      <x:c r="T209" s="32" t="n">
        <x:f>IF(O209="","",(1/'Metadata'!$B$5)^(O209-1))</x:f>
        <x:v>1096.4781961431852</x:v>
      </x:c>
      <x:c r="U209" s="31" t="n">
        <x:f>IF(T209="","",I209*T209)</x:f>
        <x:v>32574.25669039281</x:v>
      </x:c>
    </x:row>
    <x:row r="210" ht="18" customHeight="1">
      <x:c r="A210" s="24" t="str">
        <x:v>LME_025</x:v>
      </x:c>
      <x:c r="B210" s="24" t="str">
        <x:v>Iberian Coastal</x:v>
      </x:c>
      <x:c r="C210" s="24" t="str">
        <x:v>LME</x:v>
      </x:c>
      <x:c r="D210" s="30" t="n">
        <x:v>2019</x:v>
      </x:c>
      <x:c r="E210" s="24" t="str">
        <x:v>Istiophorus albicans</x:v>
      </x:c>
      <x:c r="F210" s="24" t="str">
        <x:v>Atlantic sailfish</x:v>
      </x:c>
      <x:c r="G210" s="24" t="str">
        <x:v>Large pelagics (&gt;=90 cm)</x:v>
      </x:c>
      <x:c r="H210" s="24" t="str">
        <x:v>Tuna &amp; billfishes</x:v>
      </x:c>
      <x:c r="I210" s="31" t="n">
        <x:v>29.1461019571</x:v>
      </x:c>
      <x:c r="J210" s="31" t="n">
        <x:v>29.1461019571</x:v>
      </x:c>
      <x:c r="K210" s="31" t="n">
        <x:v>0</x:v>
      </x:c>
      <x:c r="L210" s="31" t="n">
        <x:v>29.1461019571</x:v>
      </x:c>
      <x:c r="M210" s="31" t="n">
        <x:v>0</x:v>
      </x:c>
      <x:c r="N210" s="24" t="str">
        <x:v>istiophorus albicans</x:v>
      </x:c>
      <x:c r="O210" s="32" t="n">
        <x:v>4.5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Istiophorus albicans</x:v>
      </x:c>
      <x:c r="T210" s="32" t="n">
        <x:f>IF(O210="","",(1/'Metadata'!$B$5)^(O210-1))</x:f>
        <x:v>3162.2776601683795</x:v>
      </x:c>
      <x:c r="U210" s="31" t="n">
        <x:f>IF(T210="","",I210*T210)</x:f>
        <x:v>92168.06709992721</x:v>
      </x:c>
    </x:row>
    <x:row r="211" ht="18" customHeight="1">
      <x:c r="A211" s="24" t="str">
        <x:v>LME_025</x:v>
      </x:c>
      <x:c r="B211" s="24" t="str">
        <x:v>Iberian Coastal</x:v>
      </x:c>
      <x:c r="C211" s="24" t="str">
        <x:v>LME</x:v>
      </x:c>
      <x:c r="D211" s="30" t="n">
        <x:v>2019</x:v>
      </x:c>
      <x:c r="E211" s="24" t="str">
        <x:v>Ruditapes decussatus</x:v>
      </x:c>
      <x:c r="F211" s="24" t="str">
        <x:v>Grooved carpet shell</x:v>
      </x:c>
      <x:c r="G211" s="24" t="str">
        <x:v>Other demersal invertebrates</x:v>
      </x:c>
      <x:c r="H211" s="24" t="str">
        <x:v>Molluscs</x:v>
      </x:c>
      <x:c r="I211" s="31" t="n">
        <x:v>28.6106319629</x:v>
      </x:c>
      <x:c r="J211" s="31" t="n">
        <x:v>28.6106319629</x:v>
      </x:c>
      <x:c r="K211" s="31" t="n">
        <x:v>0</x:v>
      </x:c>
      <x:c r="L211" s="31" t="n">
        <x:v>23.5620852322</x:v>
      </x:c>
      <x:c r="M211" s="31" t="n">
        <x:v>5.0485467307</x:v>
      </x:c>
      <x:c r="N211" s="24" t="str">
        <x:v>ruditapes decussatus</x:v>
      </x:c>
      <x:c r="O211" s="32" t="n">
        <x:v>2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Ruditapes decussatus</x:v>
      </x:c>
      <x:c r="T211" s="32" t="n">
        <x:f>IF(O211="","",(1/'Metadata'!$B$5)^(O211-1))</x:f>
        <x:v>10</x:v>
      </x:c>
      <x:c r="U211" s="31" t="n">
        <x:f>IF(T211="","",I211*T211)</x:f>
        <x:v>286.10631962900004</x:v>
      </x:c>
    </x:row>
    <x:row r="212" ht="18" customHeight="1">
      <x:c r="A212" s="24" t="str">
        <x:v>LME_025</x:v>
      </x:c>
      <x:c r="B212" s="24" t="str">
        <x:v>Iberian Coastal</x:v>
      </x:c>
      <x:c r="C212" s="24" t="str">
        <x:v>LME</x:v>
      </x:c>
      <x:c r="D212" s="30" t="n">
        <x:v>2019</x:v>
      </x:c>
      <x:c r="E212" s="24" t="str">
        <x:v>Solea</x:v>
      </x:c>
      <x:c r="F212" s="24" t="str">
        <x:v>Soles</x:v>
      </x:c>
      <x:c r="G212" s="24" t="str">
        <x:v>Small to medium flatfishes (&lt;90 cm)</x:v>
      </x:c>
      <x:c r="H212" s="24" t="str">
        <x:v>Flatfishes</x:v>
      </x:c>
      <x:c r="I212" s="31" t="n">
        <x:v>28.0134405386</x:v>
      </x:c>
      <x:c r="J212" s="31" t="n">
        <x:v>17.4554437604</x:v>
      </x:c>
      <x:c r="K212" s="31" t="n">
        <x:v>10.5579967782</x:v>
      </x:c>
      <x:c r="L212" s="31" t="n">
        <x:v>5.2517616049</x:v>
      </x:c>
      <x:c r="M212" s="31" t="n">
        <x:v>22.7616789337</x:v>
      </x:c>
      <x:c r="N212" s="24" t="str">
        <x:v>solea</x:v>
      </x:c>
      <x:c r="O212" s="32" t="n">
        <x:v>3.13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Solea</x:v>
      </x:c>
      <x:c r="T212" s="32" t="n">
        <x:f>IF(O212="","",(1/'Metadata'!$B$5)^(O212-1))</x:f>
        <x:v>134.89628825916532</x:v>
      </x:c>
      <x:c r="U212" s="31" t="n">
        <x:f>IF(T212="","",I212*T212)</x:f>
        <x:v>3778.909150025973</x:v>
      </x:c>
    </x:row>
    <x:row r="213" ht="18" customHeight="1">
      <x:c r="A213" s="24" t="str">
        <x:v>LME_025</x:v>
      </x:c>
      <x:c r="B213" s="24" t="str">
        <x:v>Iberian Coastal</x:v>
      </x:c>
      <x:c r="C213" s="24" t="str">
        <x:v>LME</x:v>
      </x:c>
      <x:c r="D213" s="30" t="n">
        <x:v>2019</x:v>
      </x:c>
      <x:c r="E213" s="24" t="str">
        <x:v>Lepidocybium flavobrunneum</x:v>
      </x:c>
      <x:c r="F213" s="24" t="str">
        <x:v>Escolar</x:v>
      </x:c>
      <x:c r="G213" s="24" t="str">
        <x:v>Large bathypelagics (&gt;=90 cm)</x:v>
      </x:c>
      <x:c r="H213" s="24" t="str">
        <x:v>Perch-likes</x:v>
      </x:c>
      <x:c r="I213" s="31" t="n">
        <x:v>27.833189400100004</x:v>
      </x:c>
      <x:c r="J213" s="31" t="n">
        <x:v>27.7300388684</x:v>
      </x:c>
      <x:c r="K213" s="31" t="n">
        <x:v>0.1031505317</x:v>
      </x:c>
      <x:c r="L213" s="31" t="n">
        <x:v>26.8222665822</x:v>
      </x:c>
      <x:c r="M213" s="31" t="n">
        <x:v>1.0109228179</x:v>
      </x:c>
      <x:c r="N213" s="24" t="str">
        <x:v>lepidocybium flavobrunneum</x:v>
      </x:c>
      <x:c r="O213" s="32" t="n">
        <x:v>4.34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Lepidocybium flavobrunneum</x:v>
      </x:c>
      <x:c r="T213" s="32" t="n">
        <x:f>IF(O213="","",(1/'Metadata'!$B$5)^(O213-1))</x:f>
        <x:v>2187.761623949552</x:v>
      </x:c>
      <x:c r="U213" s="31" t="n">
        <x:f>IF(T213="","",I213*T213)</x:f>
        <x:v>60892.38364165824</x:v>
      </x:c>
    </x:row>
    <x:row r="214" ht="18" customHeight="1">
      <x:c r="A214" s="24" t="str">
        <x:v>LME_025</x:v>
      </x:c>
      <x:c r="B214" s="24" t="str">
        <x:v>Iberian Coastal</x:v>
      </x:c>
      <x:c r="C214" s="24" t="str">
        <x:v>LME</x:v>
      </x:c>
      <x:c r="D214" s="30" t="n">
        <x:v>2019</x:v>
      </x:c>
      <x:c r="E214" s="24" t="str">
        <x:v>Scyliorhinus</x:v>
      </x:c>
      <x:c r="F214" s="24" t="str">
        <x:v>Catsharks</x:v>
      </x:c>
      <x:c r="G214" s="24" t="str">
        <x:v>Small to medium sharks (&lt;90 cm)</x:v>
      </x:c>
      <x:c r="H214" s="24" t="str">
        <x:v>Sharks &amp; rays</x:v>
      </x:c>
      <x:c r="I214" s="31" t="n">
        <x:v>27.3016825956</x:v>
      </x:c>
      <x:c r="J214" s="31" t="n">
        <x:v>27.3016825956</x:v>
      </x:c>
      <x:c r="K214" s="31" t="n">
        <x:v>0</x:v>
      </x:c>
      <x:c r="L214" s="31" t="n">
        <x:v>23.775092366299997</x:v>
      </x:c>
      <x:c r="M214" s="31" t="n">
        <x:v>3.5265902293</x:v>
      </x:c>
      <x:c r="N214" s="24" t="str">
        <x:v>scyliorhinus</x:v>
      </x:c>
      <x:c r="O214" s="32" t="n">
        <x:v>3.86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Scyliorhinus</x:v>
      </x:c>
      <x:c r="T214" s="32" t="n">
        <x:f>IF(O214="","",(1/'Metadata'!$B$5)^(O214-1))</x:f>
        <x:v>724.4359600749899</x:v>
      </x:c>
      <x:c r="U214" s="31" t="n">
        <x:f>IF(T214="","",I214*T214)</x:f>
        <x:v>19778.320642806128</x:v>
      </x:c>
    </x:row>
    <x:row r="215" ht="18" customHeight="1">
      <x:c r="A215" s="24" t="str">
        <x:v>LME_025</x:v>
      </x:c>
      <x:c r="B215" s="24" t="str">
        <x:v>Iberian Coastal</x:v>
      </x:c>
      <x:c r="C215" s="24" t="str">
        <x:v>LME</x:v>
      </x:c>
      <x:c r="D215" s="30" t="n">
        <x:v>2019</x:v>
      </x:c>
      <x:c r="E215" s="24" t="str">
        <x:v>Spicara</x:v>
      </x:c>
      <x:c r="F215" s="24" t="str">
        <x:v>Picarels</x:v>
      </x:c>
      <x:c r="G215" s="24" t="str">
        <x:v>Small demersals (&lt;30 cm)</x:v>
      </x:c>
      <x:c r="H215" s="24" t="str">
        <x:v>Perch-likes</x:v>
      </x:c>
      <x:c r="I215" s="31" t="n">
        <x:v>27.2594244625</x:v>
      </x:c>
      <x:c r="J215" s="31" t="n">
        <x:v>17.0871937862</x:v>
      </x:c>
      <x:c r="K215" s="31" t="n">
        <x:v>10.1722306763</x:v>
      </x:c>
      <x:c r="L215" s="31" t="n">
        <x:v>14.859220646799999</x:v>
      </x:c>
      <x:c r="M215" s="31" t="n">
        <x:v>12.4002038157</x:v>
      </x:c>
      <x:c r="N215" s="24" t="str">
        <x:v>spicara</x:v>
      </x:c>
      <x:c r="O215" s="32" t="n">
        <x:v>3.58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Spicara</x:v>
      </x:c>
      <x:c r="T215" s="32" t="n">
        <x:f>IF(O215="","",(1/'Metadata'!$B$5)^(O215-1))</x:f>
        <x:v>380.1893963205613</x:v>
      </x:c>
      <x:c r="U215" s="31" t="n">
        <x:f>IF(T215="","",I215*T215)</x:f>
        <x:v>10363.744130443816</x:v>
      </x:c>
    </x:row>
    <x:row r="216" ht="18" customHeight="1">
      <x:c r="A216" s="24" t="str">
        <x:v>LME_025</x:v>
      </x:c>
      <x:c r="B216" s="24" t="str">
        <x:v>Iberian Coastal</x:v>
      </x:c>
      <x:c r="C216" s="24" t="str">
        <x:v>LME</x:v>
      </x:c>
      <x:c r="D216" s="30" t="n">
        <x:v>2019</x:v>
      </x:c>
      <x:c r="E216" s="24" t="str">
        <x:v>Lepidorhombus boscii</x:v>
      </x:c>
      <x:c r="F216" s="24" t="str">
        <x:v>Four-spot megrim</x:v>
      </x:c>
      <x:c r="G216" s="24" t="str">
        <x:v>Small to medium flatfishes (&lt;90 cm)</x:v>
      </x:c>
      <x:c r="H216" s="24" t="str">
        <x:v>Flatfishes</x:v>
      </x:c>
      <x:c r="I216" s="31" t="n">
        <x:v>27.0501958589</x:v>
      </x:c>
      <x:c r="J216" s="31" t="n">
        <x:v>23.333227624</x:v>
      </x:c>
      <x:c r="K216" s="31" t="n">
        <x:v>3.7169682349</x:v>
      </x:c>
      <x:c r="L216" s="31" t="n">
        <x:v>21.3674571212</x:v>
      </x:c>
      <x:c r="M216" s="31" t="n">
        <x:v>5.6827387377</x:v>
      </x:c>
      <x:c r="N216" s="24" t="str">
        <x:v>lepidorhombus boscii</x:v>
      </x:c>
      <x:c r="O216" s="32" t="n">
        <x:v>3.74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Lepidorhombus boscii</x:v>
      </x:c>
      <x:c r="T216" s="32" t="n">
        <x:f>IF(O216="","",(1/'Metadata'!$B$5)^(O216-1))</x:f>
        <x:v>549.5408738576248</x:v>
      </x:c>
      <x:c r="U216" s="31" t="n">
        <x:f>IF(T216="","",I216*T216)</x:f>
        <x:v>14865.18827031981</x:v>
      </x:c>
    </x:row>
    <x:row r="217" ht="18" customHeight="1">
      <x:c r="A217" s="24" t="str">
        <x:v>LME_025</x:v>
      </x:c>
      <x:c r="B217" s="24" t="str">
        <x:v>Iberian Coastal</x:v>
      </x:c>
      <x:c r="C217" s="24" t="str">
        <x:v>LME</x:v>
      </x:c>
      <x:c r="D217" s="30" t="n">
        <x:v>2019</x:v>
      </x:c>
      <x:c r="E217" s="24" t="str">
        <x:v>Trachinus</x:v>
      </x:c>
      <x:c r="F217" s="24" t="str">
        <x:v>Weevers</x:v>
      </x:c>
      <x:c r="G217" s="24" t="str">
        <x:v>Medium demersals (30 - 89 cm)</x:v>
      </x:c>
      <x:c r="H217" s="24" t="str">
        <x:v>Perch-likes</x:v>
      </x:c>
      <x:c r="I217" s="31" t="n">
        <x:v>25.3754031742</x:v>
      </x:c>
      <x:c r="J217" s="31" t="n">
        <x:v>20.7220329174</x:v>
      </x:c>
      <x:c r="K217" s="31" t="n">
        <x:v>4.6533702568</x:v>
      </x:c>
      <x:c r="L217" s="31" t="n">
        <x:v>17.9588790311</x:v>
      </x:c>
      <x:c r="M217" s="31" t="n">
        <x:v>7.4165241431</x:v>
      </x:c>
      <x:c r="N217" s="24" t="str">
        <x:v>trachinus</x:v>
      </x:c>
      <x:c r="O217" s="32" t="n">
        <x:v>3.95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Trachinus</x:v>
      </x:c>
      <x:c r="T217" s="32" t="n">
        <x:f>IF(O217="","",(1/'Metadata'!$B$5)^(O217-1))</x:f>
        <x:v>891.2509381337459</x:v>
      </x:c>
      <x:c r="U217" s="31" t="n">
        <x:f>IF(T217="","",I217*T217)</x:f>
        <x:v>22615.851884527783</x:v>
      </x:c>
    </x:row>
    <x:row r="218" ht="18" customHeight="1">
      <x:c r="A218" s="24" t="str">
        <x:v>LME_025</x:v>
      </x:c>
      <x:c r="B218" s="24" t="str">
        <x:v>Iberian Coastal</x:v>
      </x:c>
      <x:c r="C218" s="24" t="str">
        <x:v>LME</x:v>
      </x:c>
      <x:c r="D218" s="30" t="n">
        <x:v>2019</x:v>
      </x:c>
      <x:c r="E218" s="24" t="str">
        <x:v>Chimaera monstrosa</x:v>
      </x:c>
      <x:c r="F218" s="24" t="str">
        <x:v>Rabbit fish</x:v>
      </x:c>
      <x:c r="G218" s="24" t="str">
        <x:v>Large rays (&gt;=90 cm)</x:v>
      </x:c>
      <x:c r="H218" s="24" t="str">
        <x:v>Sharks &amp; rays</x:v>
      </x:c>
      <x:c r="I218" s="31" t="n">
        <x:v>25.1532031195</x:v>
      </x:c>
      <x:c r="J218" s="31" t="n">
        <x:v>24.157113434499998</x:v>
      </x:c>
      <x:c r="K218" s="31" t="n">
        <x:v>0.9960896850000001</x:v>
      </x:c>
      <x:c r="L218" s="31" t="n">
        <x:v>24.157113434499998</x:v>
      </x:c>
      <x:c r="M218" s="31" t="n">
        <x:v>0.9960896850000001</x:v>
      </x:c>
      <x:c r="N218" s="24" t="str">
        <x:v>chimaera monstrosa</x:v>
      </x:c>
      <x:c r="O218" s="32" t="n">
        <x:v>3.52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Chimaera monstrosa</x:v>
      </x:c>
      <x:c r="T218" s="32" t="n">
        <x:f>IF(O218="","",(1/'Metadata'!$B$5)^(O218-1))</x:f>
        <x:v>331.1311214825911</x:v>
      </x:c>
      <x:c r="U218" s="31" t="n">
        <x:f>IF(T218="","",I218*T218)</x:f>
        <x:v>8329.008357839442</x:v>
      </x:c>
    </x:row>
    <x:row r="219" ht="18" customHeight="1">
      <x:c r="A219" s="24" t="str">
        <x:v>LME_025</x:v>
      </x:c>
      <x:c r="B219" s="24" t="str">
        <x:v>Iberian Coastal</x:v>
      </x:c>
      <x:c r="C219" s="24" t="str">
        <x:v>LME</x:v>
      </x:c>
      <x:c r="D219" s="30" t="n">
        <x:v>2019</x:v>
      </x:c>
      <x:c r="E219" s="24" t="str">
        <x:v>Loliginidae</x:v>
      </x:c>
      <x:c r="F219" s="24" t="str">
        <x:v>Common pencil squids</x:v>
      </x:c>
      <x:c r="G219" s="24" t="str">
        <x:v>Cephalopods</x:v>
      </x:c>
      <x:c r="H219" s="24" t="str">
        <x:v>Other fishes &amp; inverts</x:v>
      </x:c>
      <x:c r="I219" s="31" t="n">
        <x:v>25.1276553053</x:v>
      </x:c>
      <x:c r="J219" s="31" t="n">
        <x:v>25.1276553053</x:v>
      </x:c>
      <x:c r="K219" s="31" t="n">
        <x:v>0</x:v>
      </x:c>
      <x:c r="L219" s="31" t="n">
        <x:v>24.9842218516</x:v>
      </x:c>
      <x:c r="M219" s="31" t="n">
        <x:v>0.1434334537</x:v>
      </x:c>
      <x:c r="N219" s="24" t="str">
        <x:v>loliginidae</x:v>
      </x:c>
      <x:c r="O219" s="32" t="n">
        <x:v>3.9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Loliginidae</x:v>
      </x:c>
      <x:c r="T219" s="32" t="n">
        <x:f>IF(O219="","",(1/'Metadata'!$B$5)^(O219-1))</x:f>
        <x:v>794.3282347242813</x:v>
      </x:c>
      <x:c r="U219" s="31" t="n">
        <x:f>IF(T219="","",I219*T219)</x:f>
        <x:v>19959.60608141917</x:v>
      </x:c>
    </x:row>
    <x:row r="220" ht="18" customHeight="1">
      <x:c r="A220" s="24" t="str">
        <x:v>LME_025</x:v>
      </x:c>
      <x:c r="B220" s="24" t="str">
        <x:v>Iberian Coastal</x:v>
      </x:c>
      <x:c r="C220" s="24" t="str">
        <x:v>LME</x:v>
      </x:c>
      <x:c r="D220" s="30" t="n">
        <x:v>2019</x:v>
      </x:c>
      <x:c r="E220" s="24" t="str">
        <x:v>Schedophilus ovalis</x:v>
      </x:c>
      <x:c r="F220" s="24" t="str">
        <x:v>Imperial blackfish</x:v>
      </x:c>
      <x:c r="G220" s="24" t="str">
        <x:v>Medium demersals (30 - 89 cm)</x:v>
      </x:c>
      <x:c r="H220" s="24" t="str">
        <x:v>Perch-likes</x:v>
      </x:c>
      <x:c r="I220" s="31" t="n">
        <x:v>24.766312764900004</x:v>
      </x:c>
      <x:c r="J220" s="31" t="n">
        <x:v>20.046207431200003</x:v>
      </x:c>
      <x:c r="K220" s="31" t="n">
        <x:v>4.7201053337</x:v>
      </x:c>
      <x:c r="L220" s="31" t="n">
        <x:v>16.2409059193</x:v>
      </x:c>
      <x:c r="M220" s="31" t="n">
        <x:v>8.525406845600001</x:v>
      </x:c>
      <x:c r="N220" s="24" t="str">
        <x:v>schedophilus ovalis</x:v>
      </x:c>
      <x:c r="O220" s="32" t="n">
        <x:v>3.54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Schedophilus ovalis</x:v>
      </x:c>
      <x:c r="T220" s="32" t="n">
        <x:f>IF(O220="","",(1/'Metadata'!$B$5)^(O220-1))</x:f>
        <x:v>346.73685045253166</x:v>
      </x:c>
      <x:c r="U220" s="31" t="n">
        <x:f>IF(T220="","",I220*T220)</x:f>
        <x:v>8587.39328542376</x:v>
      </x:c>
    </x:row>
    <x:row r="221" ht="18" customHeight="1">
      <x:c r="A221" s="24" t="str">
        <x:v>LME_025</x:v>
      </x:c>
      <x:c r="B221" s="24" t="str">
        <x:v>Iberian Coastal</x:v>
      </x:c>
      <x:c r="C221" s="24" t="str">
        <x:v>LME</x:v>
      </x:c>
      <x:c r="D221" s="30" t="n">
        <x:v>2019</x:v>
      </x:c>
      <x:c r="E221" s="24" t="str">
        <x:v>Argentina sphyraena</x:v>
      </x:c>
      <x:c r="F221" s="24" t="str">
        <x:v>European argentine</x:v>
      </x:c>
      <x:c r="G221" s="24" t="str">
        <x:v>Medium pelagics (30 - 89 cm)</x:v>
      </x:c>
      <x:c r="H221" s="24" t="str">
        <x:v>Salmon, smelts, etc</x:v>
      </x:c>
      <x:c r="I221" s="31" t="n">
        <x:v>23.9268636966</x:v>
      </x:c>
      <x:c r="J221" s="31" t="n">
        <x:v>12.9493610181</x:v>
      </x:c>
      <x:c r="K221" s="31" t="n">
        <x:v>10.9775026785</x:v>
      </x:c>
      <x:c r="L221" s="31" t="n">
        <x:v>11.229469799699999</x:v>
      </x:c>
      <x:c r="M221" s="31" t="n">
        <x:v>12.697393896900001</x:v>
      </x:c>
      <x:c r="N221" s="24" t="str">
        <x:v>argentina sphyraena</x:v>
      </x:c>
      <x:c r="O221" s="32" t="n">
        <x:v>3.62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Argentina sphyraena</x:v>
      </x:c>
      <x:c r="T221" s="32" t="n">
        <x:f>IF(O221="","",(1/'Metadata'!$B$5)^(O221-1))</x:f>
        <x:v>416.8693834703355</x:v>
      </x:c>
      <x:c r="U221" s="31" t="n">
        <x:f>IF(T221="","",I221*T221)</x:f>
        <x:v>9974.376917580395</x:v>
      </x:c>
    </x:row>
    <x:row r="222" ht="18" customHeight="1">
      <x:c r="A222" s="24" t="str">
        <x:v>LME_025</x:v>
      </x:c>
      <x:c r="B222" s="24" t="str">
        <x:v>Iberian Coastal</x:v>
      </x:c>
      <x:c r="C222" s="24" t="str">
        <x:v>LME</x:v>
      </x:c>
      <x:c r="D222" s="30" t="n">
        <x:v>2019</x:v>
      </x:c>
      <x:c r="E222" s="24" t="str">
        <x:v>Cepola</x:v>
      </x:c>
      <x:c r="F222" s="24" t="str">
        <x:v>Bandfish</x:v>
      </x:c>
      <x:c r="G222" s="24" t="str">
        <x:v>Medium demersals (30 - 89 cm)</x:v>
      </x:c>
      <x:c r="H222" s="24" t="str">
        <x:v>Perch-likes</x:v>
      </x:c>
      <x:c r="I222" s="31" t="n">
        <x:v>23.6608193854</x:v>
      </x:c>
      <x:c r="J222" s="31" t="n">
        <x:v>18.9093793888</x:v>
      </x:c>
      <x:c r="K222" s="31" t="n">
        <x:v>4.7514399966</x:v>
      </x:c>
      <x:c r="L222" s="31" t="n">
        <x:v>16.3487220113</x:v>
      </x:c>
      <x:c r="M222" s="31" t="n">
        <x:v>7.3120973741</x:v>
      </x:c>
      <x:c r="N222" s="24" t="str">
        <x:v>cepola</x:v>
      </x:c>
      <x:c r="O222" s="32" t="n">
        <x:v>3.26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Cepola</x:v>
      </x:c>
      <x:c r="T222" s="32" t="n">
        <x:f>IF(O222="","",(1/'Metadata'!$B$5)^(O222-1))</x:f>
        <x:v>181.97008586099827</x:v>
      </x:c>
      <x:c r="U222" s="31" t="n">
        <x:f>IF(T222="","",I222*T222)</x:f>
        <x:v>4305.5613351028105</x:v>
      </x:c>
    </x:row>
    <x:row r="223" ht="18" customHeight="1">
      <x:c r="A223" s="24" t="str">
        <x:v>LME_025</x:v>
      </x:c>
      <x:c r="B223" s="24" t="str">
        <x:v>Iberian Coastal</x:v>
      </x:c>
      <x:c r="C223" s="24" t="str">
        <x:v>LME</x:v>
      </x:c>
      <x:c r="D223" s="30" t="n">
        <x:v>2019</x:v>
      </x:c>
      <x:c r="E223" s="24" t="str">
        <x:v>Teuthida</x:v>
      </x:c>
      <x:c r="F223" s="24" t="str">
        <x:v>Squids</x:v>
      </x:c>
      <x:c r="G223" s="24" t="str">
        <x:v>Cephalopods</x:v>
      </x:c>
      <x:c r="H223" s="24" t="str">
        <x:v>Other fishes &amp; inverts</x:v>
      </x:c>
      <x:c r="I223" s="31" t="n">
        <x:v>23.6072909592</x:v>
      </x:c>
      <x:c r="J223" s="31" t="n">
        <x:v>23.6072909592</x:v>
      </x:c>
      <x:c r="K223" s="31" t="n">
        <x:v>0</x:v>
      </x:c>
      <x:c r="L223" s="31" t="n">
        <x:v>22.3867797055</x:v>
      </x:c>
      <x:c r="M223" s="31" t="n">
        <x:v>1.2205112536999998</x:v>
      </x:c>
      <x:c r="N223" s="24" t="str">
        <x:v>teuthida</x:v>
      </x:c>
      <x:c r="O223" s="32" t="n">
        <x:v>4.13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Teuthida</x:v>
      </x:c>
      <x:c r="T223" s="32" t="n">
        <x:f>IF(O223="","",(1/'Metadata'!$B$5)^(O223-1))</x:f>
        <x:v>1348.9628825916532</x:v>
      </x:c>
      <x:c r="U223" s="31" t="n">
        <x:f>IF(T223="","",I223*T223)</x:f>
        <x:v>31845.359262502305</x:v>
      </x:c>
    </x:row>
    <x:row r="224" ht="18" customHeight="1">
      <x:c r="A224" s="24" t="str">
        <x:v>LME_025</x:v>
      </x:c>
      <x:c r="B224" s="24" t="str">
        <x:v>Iberian Coastal</x:v>
      </x:c>
      <x:c r="C224" s="24" t="str">
        <x:v>LME</x:v>
      </x:c>
      <x:c r="D224" s="30" t="n">
        <x:v>2019</x:v>
      </x:c>
      <x:c r="E224" s="24" t="str">
        <x:v>Lichia amia</x:v>
      </x:c>
      <x:c r="F224" s="24" t="str">
        <x:v>Leerfish</x:v>
      </x:c>
      <x:c r="G224" s="24" t="str">
        <x:v>Large pelagics (&gt;=90 cm)</x:v>
      </x:c>
      <x:c r="H224" s="24" t="str">
        <x:v>Perch-likes</x:v>
      </x:c>
      <x:c r="I224" s="31" t="n">
        <x:v>23.5323188872</x:v>
      </x:c>
      <x:c r="J224" s="31" t="n">
        <x:v>23.5323188872</x:v>
      </x:c>
      <x:c r="K224" s="31" t="n">
        <x:v>0</x:v>
      </x:c>
      <x:c r="L224" s="31" t="n">
        <x:v>0</x:v>
      </x:c>
      <x:c r="M224" s="31" t="n">
        <x:v>23.5323188872</x:v>
      </x:c>
      <x:c r="N224" s="24" t="str">
        <x:v>lichia amia</x:v>
      </x:c>
      <x:c r="O224" s="32" t="n">
        <x:v>4.5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Lichia amia</x:v>
      </x:c>
      <x:c r="T224" s="32" t="n">
        <x:f>IF(O224="","",(1/'Metadata'!$B$5)^(O224-1))</x:f>
        <x:v>3162.2776601683795</x:v>
      </x:c>
      <x:c r="U224" s="31" t="n">
        <x:f>IF(T224="","",I224*T224)</x:f>
        <x:v>74415.72630895098</x:v>
      </x:c>
    </x:row>
    <x:row r="225" ht="18" customHeight="1">
      <x:c r="A225" s="24" t="str">
        <x:v>LME_025</x:v>
      </x:c>
      <x:c r="B225" s="24" t="str">
        <x:v>Iberian Coastal</x:v>
      </x:c>
      <x:c r="C225" s="24" t="str">
        <x:v>LME</x:v>
      </x:c>
      <x:c r="D225" s="30" t="n">
        <x:v>2019</x:v>
      </x:c>
      <x:c r="E225" s="24" t="str">
        <x:v>Congridae</x:v>
      </x:c>
      <x:c r="F225" s="24" t="str">
        <x:v>Conger, garden eels</x:v>
      </x:c>
      <x:c r="G225" s="24" t="str">
        <x:v>Large demersals (&gt;=90 cm)</x:v>
      </x:c>
      <x:c r="H225" s="24" t="str">
        <x:v>Other fishes &amp; inverts</x:v>
      </x:c>
      <x:c r="I225" s="31" t="n">
        <x:v>22.1012075158</x:v>
      </x:c>
      <x:c r="J225" s="31" t="n">
        <x:v>0.4531044017</x:v>
      </x:c>
      <x:c r="K225" s="31" t="n">
        <x:v>21.6481031141</x:v>
      </x:c>
      <x:c r="L225" s="31" t="n">
        <x:v>0.2175213513</x:v>
      </x:c>
      <x:c r="M225" s="31" t="n">
        <x:v>21.8836861645</x:v>
      </x:c>
      <x:c r="N225" s="24" t="str">
        <x:v>congridae</x:v>
      </x:c>
      <x:c r="O225" s="32" t="n">
        <x:v>4.18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Congridae</x:v>
      </x:c>
      <x:c r="T225" s="32" t="n">
        <x:f>IF(O225="","",(1/'Metadata'!$B$5)^(O225-1))</x:f>
        <x:v>1513.5612484362073</x:v>
      </x:c>
      <x:c r="U225" s="31" t="n">
        <x:f>IF(T225="","",I225*T225)</x:f>
        <x:v>33451.53123956193</x:v>
      </x:c>
    </x:row>
    <x:row r="226" ht="18" customHeight="1">
      <x:c r="A226" s="24" t="str">
        <x:v>LME_025</x:v>
      </x:c>
      <x:c r="B226" s="24" t="str">
        <x:v>Iberian Coastal</x:v>
      </x:c>
      <x:c r="C226" s="24" t="str">
        <x:v>LME</x:v>
      </x:c>
      <x:c r="D226" s="30" t="n">
        <x:v>2019</x:v>
      </x:c>
      <x:c r="E226" s="24" t="str">
        <x:v>Dentex macrophthalmus</x:v>
      </x:c>
      <x:c r="F226" s="24" t="str">
        <x:v>Large-eye dentex</x:v>
      </x:c>
      <x:c r="G226" s="24" t="str">
        <x:v>Medium benthopelagics (30 - 89 cm)</x:v>
      </x:c>
      <x:c r="H226" s="24" t="str">
        <x:v>Perch-likes</x:v>
      </x:c>
      <x:c r="I226" s="31" t="n">
        <x:v>21.8141576184</x:v>
      </x:c>
      <x:c r="J226" s="31" t="n">
        <x:v>21.3390259544</x:v>
      </x:c>
      <x:c r="K226" s="31" t="n">
        <x:v>0.47513166399999995</x:v>
      </x:c>
      <x:c r="L226" s="31" t="n">
        <x:v>15.5850934374</x:v>
      </x:c>
      <x:c r="M226" s="31" t="n">
        <x:v>6.229064181</x:v>
      </x:c>
      <x:c r="N226" s="24" t="str">
        <x:v>dentex macrophthalmus</x:v>
      </x:c>
      <x:c r="O226" s="32" t="n">
        <x:v>3.52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Dentex macrophthalmus</x:v>
      </x:c>
      <x:c r="T226" s="32" t="n">
        <x:f>IF(O226="","",(1/'Metadata'!$B$5)^(O226-1))</x:f>
        <x:v>331.1311214825911</x:v>
      </x:c>
      <x:c r="U226" s="31" t="n">
        <x:f>IF(T226="","",I226*T226)</x:f>
        <x:v>7223.3464763788</x:v>
      </x:c>
    </x:row>
    <x:row r="227" ht="18" customHeight="1">
      <x:c r="A227" s="24" t="str">
        <x:v>LME_025</x:v>
      </x:c>
      <x:c r="B227" s="24" t="str">
        <x:v>Iberian Coastal</x:v>
      </x:c>
      <x:c r="C227" s="24" t="str">
        <x:v>LME</x:v>
      </x:c>
      <x:c r="D227" s="30" t="n">
        <x:v>2019</x:v>
      </x:c>
      <x:c r="E227" s="24" t="str">
        <x:v>Torpedo marmorata</x:v>
      </x:c>
      <x:c r="F227" s="24" t="str">
        <x:v>Marbled electric ray</x:v>
      </x:c>
      <x:c r="G227" s="24" t="str">
        <x:v>Large rays (&gt;=90 cm)</x:v>
      </x:c>
      <x:c r="H227" s="24" t="str">
        <x:v>Sharks &amp; rays</x:v>
      </x:c>
      <x:c r="I227" s="31" t="n">
        <x:v>21.4460057813</x:v>
      </x:c>
      <x:c r="J227" s="31" t="n">
        <x:v>17.6289145607</x:v>
      </x:c>
      <x:c r="K227" s="31" t="n">
        <x:v>3.8170912206</x:v>
      </x:c>
      <x:c r="L227" s="31" t="n">
        <x:v>15.940975846</x:v>
      </x:c>
      <x:c r="M227" s="31" t="n">
        <x:v>5.5050299353000005</x:v>
      </x:c>
      <x:c r="N227" s="24" t="str">
        <x:v>torpedo marmorata</x:v>
      </x:c>
      <x:c r="O227" s="32" t="n">
        <x:v>4.5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Torpedo marmorata</x:v>
      </x:c>
      <x:c r="T227" s="32" t="n">
        <x:f>IF(O227="","",(1/'Metadata'!$B$5)^(O227-1))</x:f>
        <x:v>3162.2776601683795</x:v>
      </x:c>
      <x:c r="U227" s="31" t="n">
        <x:f>IF(T227="","",I227*T227)</x:f>
        <x:v>67818.2249820469</x:v>
      </x:c>
    </x:row>
    <x:row r="228" ht="18" customHeight="1">
      <x:c r="A228" s="24" t="str">
        <x:v>LME_025</x:v>
      </x:c>
      <x:c r="B228" s="24" t="str">
        <x:v>Iberian Coastal</x:v>
      </x:c>
      <x:c r="C228" s="24" t="str">
        <x:v>LME</x:v>
      </x:c>
      <x:c r="D228" s="30" t="n">
        <x:v>2019</x:v>
      </x:c>
      <x:c r="E228" s="24" t="str">
        <x:v>Beryx decadactylus</x:v>
      </x:c>
      <x:c r="F228" s="24" t="str">
        <x:v>Alfonsino</x:v>
      </x:c>
      <x:c r="G228" s="24" t="str">
        <x:v>Medium bathydemersals (30 - 89 cm)</x:v>
      </x:c>
      <x:c r="H228" s="24" t="str">
        <x:v>Other fishes &amp; inverts</x:v>
      </x:c>
      <x:c r="I228" s="31" t="n">
        <x:v>21.423409436700002</x:v>
      </x:c>
      <x:c r="J228" s="31" t="n">
        <x:v>21.423409436700002</x:v>
      </x:c>
      <x:c r="K228" s="31" t="n">
        <x:v>0</x:v>
      </x:c>
      <x:c r="L228" s="31" t="n">
        <x:v>19.1050981512</x:v>
      </x:c>
      <x:c r="M228" s="31" t="n">
        <x:v>2.3183112854999997</x:v>
      </x:c>
      <x:c r="N228" s="24" t="str">
        <x:v>beryx decadactylus</x:v>
      </x:c>
      <x:c r="O228" s="32" t="n">
        <x:v>4.13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Beryx decadactylus</x:v>
      </x:c>
      <x:c r="T228" s="32" t="n">
        <x:f>IF(O228="","",(1/'Metadata'!$B$5)^(O228-1))</x:f>
        <x:v>1348.9628825916532</x:v>
      </x:c>
      <x:c r="U228" s="31" t="n">
        <x:f>IF(T228="","",I228*T228)</x:f>
        <x:v>28899.38414867206</x:v>
      </x:c>
    </x:row>
    <x:row r="229" ht="18" customHeight="1">
      <x:c r="A229" s="24" t="str">
        <x:v>LME_025</x:v>
      </x:c>
      <x:c r="B229" s="24" t="str">
        <x:v>Iberian Coastal</x:v>
      </x:c>
      <x:c r="C229" s="24" t="str">
        <x:v>LME</x:v>
      </x:c>
      <x:c r="D229" s="30" t="n">
        <x:v>2019</x:v>
      </x:c>
      <x:c r="E229" s="24" t="str">
        <x:v>Venus verrucosa</x:v>
      </x:c>
      <x:c r="F229" s="24" t="str">
        <x:v>Warty venus</x:v>
      </x:c>
      <x:c r="G229" s="24" t="str">
        <x:v>Other demersal invertebrates</x:v>
      </x:c>
      <x:c r="H229" s="24" t="str">
        <x:v>Molluscs</x:v>
      </x:c>
      <x:c r="I229" s="31" t="n">
        <x:v>20.426961282</x:v>
      </x:c>
      <x:c r="J229" s="31" t="n">
        <x:v>20.426961282</x:v>
      </x:c>
      <x:c r="K229" s="31" t="n">
        <x:v>0</x:v>
      </x:c>
      <x:c r="L229" s="31" t="n">
        <x:v>20.426961282</x:v>
      </x:c>
      <x:c r="M229" s="31" t="n">
        <x:v>0</x:v>
      </x:c>
      <x:c r="N229" s="24" t="str">
        <x:v>venus verrucosa</x:v>
      </x:c>
      <x:c r="O229" s="32" t="n">
        <x:v>2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Venus verrucosa</x:v>
      </x:c>
      <x:c r="T229" s="32" t="n">
        <x:f>IF(O229="","",(1/'Metadata'!$B$5)^(O229-1))</x:f>
        <x:v>10</x:v>
      </x:c>
      <x:c r="U229" s="31" t="n">
        <x:f>IF(T229="","",I229*T229)</x:f>
        <x:v>204.26961282000002</x:v>
      </x:c>
    </x:row>
    <x:row r="230" ht="18" customHeight="1">
      <x:c r="A230" s="24" t="str">
        <x:v>LME_025</x:v>
      </x:c>
      <x:c r="B230" s="24" t="str">
        <x:v>Iberian Coastal</x:v>
      </x:c>
      <x:c r="C230" s="24" t="str">
        <x:v>LME</x:v>
      </x:c>
      <x:c r="D230" s="30" t="n">
        <x:v>2019</x:v>
      </x:c>
      <x:c r="E230" s="24" t="str">
        <x:v>Cymbium olla</x:v>
      </x:c>
      <x:c r="F230" s="24" t="str">
        <x:v>Algarve volute</x:v>
      </x:c>
      <x:c r="G230" s="24" t="str">
        <x:v>Other demersal invertebrates</x:v>
      </x:c>
      <x:c r="H230" s="24" t="str">
        <x:v>Molluscs</x:v>
      </x:c>
      <x:c r="I230" s="31" t="n">
        <x:v>19.8026068769</x:v>
      </x:c>
      <x:c r="J230" s="31" t="n">
        <x:v>0</x:v>
      </x:c>
      <x:c r="K230" s="31" t="n">
        <x:v>19.8026068769</x:v>
      </x:c>
      <x:c r="L230" s="31" t="n">
        <x:v>0</x:v>
      </x:c>
      <x:c r="M230" s="31" t="n">
        <x:v>19.8026068769</x:v>
      </x:c>
      <x:c r="N230" s="24" t="str">
        <x:v>cymbium olla</x:v>
      </x:c>
      <x:c r="O230" s="32" t="n">
        <x:v>2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Cymbium olla</x:v>
      </x:c>
      <x:c r="T230" s="32" t="n">
        <x:f>IF(O230="","",(1/'Metadata'!$B$5)^(O230-1))</x:f>
        <x:v>10</x:v>
      </x:c>
      <x:c r="U230" s="31" t="n">
        <x:f>IF(T230="","",I230*T230)</x:f>
        <x:v>198.026068769</x:v>
      </x:c>
    </x:row>
    <x:row r="231" ht="18" customHeight="1">
      <x:c r="A231" s="24" t="str">
        <x:v>LME_025</x:v>
      </x:c>
      <x:c r="B231" s="24" t="str">
        <x:v>Iberian Coastal</x:v>
      </x:c>
      <x:c r="C231" s="24" t="str">
        <x:v>LME</x:v>
      </x:c>
      <x:c r="D231" s="30" t="n">
        <x:v>2019</x:v>
      </x:c>
      <x:c r="E231" s="24" t="str">
        <x:v>Pecten maximus</x:v>
      </x:c>
      <x:c r="F231" s="24" t="str">
        <x:v>Great Atlantic scallop</x:v>
      </x:c>
      <x:c r="G231" s="24" t="str">
        <x:v>Other demersal invertebrates</x:v>
      </x:c>
      <x:c r="H231" s="24" t="str">
        <x:v>Molluscs</x:v>
      </x:c>
      <x:c r="I231" s="31" t="n">
        <x:v>19.7362438412</x:v>
      </x:c>
      <x:c r="J231" s="31" t="n">
        <x:v>19.2357267227</x:v>
      </x:c>
      <x:c r="K231" s="31" t="n">
        <x:v>0.5005171185</x:v>
      </x:c>
      <x:c r="L231" s="31" t="n">
        <x:v>14.4049620804</x:v>
      </x:c>
      <x:c r="M231" s="31" t="n">
        <x:v>5.3312817608</x:v>
      </x:c>
      <x:c r="N231" s="24" t="str">
        <x:v>pecten maximus</x:v>
      </x:c>
      <x:c r="O231" s="32" t="n">
        <x:v>2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Pecten maximus</x:v>
      </x:c>
      <x:c r="T231" s="32" t="n">
        <x:f>IF(O231="","",(1/'Metadata'!$B$5)^(O231-1))</x:f>
        <x:v>10</x:v>
      </x:c>
      <x:c r="U231" s="31" t="n">
        <x:f>IF(T231="","",I231*T231)</x:f>
        <x:v>197.36243841200002</x:v>
      </x:c>
    </x:row>
    <x:row r="232" ht="18" customHeight="1">
      <x:c r="A232" s="24" t="str">
        <x:v>LME_025</x:v>
      </x:c>
      <x:c r="B232" s="24" t="str">
        <x:v>Iberian Coastal</x:v>
      </x:c>
      <x:c r="C232" s="24" t="str">
        <x:v>LME</x:v>
      </x:c>
      <x:c r="D232" s="30" t="n">
        <x:v>2019</x:v>
      </x:c>
      <x:c r="E232" s="24" t="str">
        <x:v>Etmopterus pusillus</x:v>
      </x:c>
      <x:c r="F232" s="24" t="str">
        <x:v>Smooth lanternshark</x:v>
      </x:c>
      <x:c r="G232" s="24" t="str">
        <x:v>Small to medium sharks (&lt;90 cm)</x:v>
      </x:c>
      <x:c r="H232" s="24" t="str">
        <x:v>Sharks &amp; rays</x:v>
      </x:c>
      <x:c r="I232" s="31" t="n">
        <x:v>19.5853256119</x:v>
      </x:c>
      <x:c r="J232" s="31" t="n">
        <x:v>0</x:v>
      </x:c>
      <x:c r="K232" s="31" t="n">
        <x:v>19.5853256119</x:v>
      </x:c>
      <x:c r="L232" s="31" t="n">
        <x:v>0</x:v>
      </x:c>
      <x:c r="M232" s="31" t="n">
        <x:v>19.5853256119</x:v>
      </x:c>
      <x:c r="N232" s="24" t="str">
        <x:v>etmopterus pusillus</x:v>
      </x:c>
      <x:c r="O232" s="32" t="n">
        <x:v>4.22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Etmopterus pusillus</x:v>
      </x:c>
      <x:c r="T232" s="32" t="n">
        <x:f>IF(O232="","",(1/'Metadata'!$B$5)^(O232-1))</x:f>
        <x:v>1659.5869074375596</x:v>
      </x:c>
      <x:c r="U232" s="31" t="n">
        <x:f>IF(T232="","",I232*T232)</x:f>
        <x:v>32503.54996341075</x:v>
      </x:c>
    </x:row>
    <x:row r="233" ht="18" customHeight="1">
      <x:c r="A233" s="24" t="str">
        <x:v>LME_025</x:v>
      </x:c>
      <x:c r="B233" s="24" t="str">
        <x:v>Iberian Coastal</x:v>
      </x:c>
      <x:c r="C233" s="24" t="str">
        <x:v>LME</x:v>
      </x:c>
      <x:c r="D233" s="30" t="n">
        <x:v>2019</x:v>
      </x:c>
      <x:c r="E233" s="24" t="str">
        <x:v>Dosinia exoleta</x:v>
      </x:c>
      <x:c r="F233" s="24" t="str">
        <x:v>Mature dosinia</x:v>
      </x:c>
      <x:c r="G233" s="24" t="str">
        <x:v>Other demersal invertebrates</x:v>
      </x:c>
      <x:c r="H233" s="24" t="str">
        <x:v>Molluscs</x:v>
      </x:c>
      <x:c r="I233" s="31" t="n">
        <x:v>19.0834798125</x:v>
      </x:c>
      <x:c r="J233" s="31" t="n">
        <x:v>0</x:v>
      </x:c>
      <x:c r="K233" s="31" t="n">
        <x:v>19.0834798125</x:v>
      </x:c>
      <x:c r="L233" s="31" t="n">
        <x:v>0</x:v>
      </x:c>
      <x:c r="M233" s="31" t="n">
        <x:v>19.0834798125</x:v>
      </x:c>
      <x:c r="N233" s="24" t="str">
        <x:v>dosinia exoleta</x:v>
      </x:c>
      <x:c r="O233" s="32" t="n">
        <x:v>2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Dosinia exoleta</x:v>
      </x:c>
      <x:c r="T233" s="32" t="n">
        <x:f>IF(O233="","",(1/'Metadata'!$B$5)^(O233-1))</x:f>
        <x:v>10</x:v>
      </x:c>
      <x:c r="U233" s="31" t="n">
        <x:f>IF(T233="","",I233*T233)</x:f>
        <x:v>190.834798125</x:v>
      </x:c>
    </x:row>
    <x:row r="234" ht="18" customHeight="1">
      <x:c r="A234" s="24" t="str">
        <x:v>LME_025</x:v>
      </x:c>
      <x:c r="B234" s="24" t="str">
        <x:v>Iberian Coastal</x:v>
      </x:c>
      <x:c r="C234" s="24" t="str">
        <x:v>LME</x:v>
      </x:c>
      <x:c r="D234" s="30" t="n">
        <x:v>2019</x:v>
      </x:c>
      <x:c r="E234" s="24" t="str">
        <x:v>Coris julis</x:v>
      </x:c>
      <x:c r="F234" s="24" t="str">
        <x:v>Rainbow wrasse</x:v>
      </x:c>
      <x:c r="G234" s="24" t="str">
        <x:v>Medium reef assoc. fish (30 - 89 cm)</x:v>
      </x:c>
      <x:c r="H234" s="24" t="str">
        <x:v>Perch-likes</x:v>
      </x:c>
      <x:c r="I234" s="31" t="n">
        <x:v>19.0048567804</x:v>
      </x:c>
      <x:c r="J234" s="31" t="n">
        <x:v>18.9442036445</x:v>
      </x:c>
      <x:c r="K234" s="31" t="n">
        <x:v>0.0606531359</x:v>
      </x:c>
      <x:c r="L234" s="31" t="n">
        <x:v>1.4085339785000002</x:v>
      </x:c>
      <x:c r="M234" s="31" t="n">
        <x:v>17.5963228019</x:v>
      </x:c>
      <x:c r="N234" s="24" t="str">
        <x:v>coris julis</x:v>
      </x:c>
      <x:c r="O234" s="32" t="n">
        <x:v>3.44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Coris julis</x:v>
      </x:c>
      <x:c r="T234" s="32" t="n">
        <x:f>IF(O234="","",(1/'Metadata'!$B$5)^(O234-1))</x:f>
        <x:v>275.4228703338166</x:v>
      </x:c>
      <x:c r="U234" s="31" t="n">
        <x:f>IF(T234="","",I234*T234)</x:f>
        <x:v>5234.372204740865</x:v>
      </x:c>
    </x:row>
    <x:row r="235" ht="18" customHeight="1">
      <x:c r="A235" s="24" t="str">
        <x:v>LME_025</x:v>
      </x:c>
      <x:c r="B235" s="24" t="str">
        <x:v>Iberian Coastal</x:v>
      </x:c>
      <x:c r="C235" s="24" t="str">
        <x:v>LME</x:v>
      </x:c>
      <x:c r="D235" s="30" t="n">
        <x:v>2019</x:v>
      </x:c>
      <x:c r="E235" s="24" t="str">
        <x:v>Sepiida</x:v>
      </x:c>
      <x:c r="F235" s="24" t="str">
        <x:v>Cuttlefishes, bobtail squids</x:v>
      </x:c>
      <x:c r="G235" s="24" t="str">
        <x:v>Cephalopods</x:v>
      </x:c>
      <x:c r="H235" s="24" t="str">
        <x:v>Other fishes &amp; inverts</x:v>
      </x:c>
      <x:c r="I235" s="31" t="n">
        <x:v>18.9309654294</x:v>
      </x:c>
      <x:c r="J235" s="31" t="n">
        <x:v>18.827817479700002</x:v>
      </x:c>
      <x:c r="K235" s="31" t="n">
        <x:v>0.1031479497</x:v>
      </x:c>
      <x:c r="L235" s="31" t="n">
        <x:v>13.4929627915</x:v>
      </x:c>
      <x:c r="M235" s="31" t="n">
        <x:v>5.4380026378999995</x:v>
      </x:c>
      <x:c r="N235" s="24" t="str">
        <x:v>sepiida</x:v>
      </x:c>
      <x:c r="O235" s="32" t="n">
        <x:v>3.7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Sepiida</x:v>
      </x:c>
      <x:c r="T235" s="32" t="n">
        <x:f>IF(O235="","",(1/'Metadata'!$B$5)^(O235-1))</x:f>
        <x:v>501.18723362727246</x:v>
      </x:c>
      <x:c r="U235" s="31" t="n">
        <x:f>IF(T235="","",I235*T235)</x:f>
        <x:v>9487.958193454517</x:v>
      </x:c>
    </x:row>
    <x:row r="236" ht="18" customHeight="1">
      <x:c r="A236" s="24" t="str">
        <x:v>LME_025</x:v>
      </x:c>
      <x:c r="B236" s="24" t="str">
        <x:v>Iberian Coastal</x:v>
      </x:c>
      <x:c r="C236" s="24" t="str">
        <x:v>LME</x:v>
      </x:c>
      <x:c r="D236" s="30" t="n">
        <x:v>2019</x:v>
      </x:c>
      <x:c r="E236" s="24" t="str">
        <x:v>Microstomus kitt</x:v>
      </x:c>
      <x:c r="F236" s="24" t="str">
        <x:v>Lemon sole</x:v>
      </x:c>
      <x:c r="G236" s="24" t="str">
        <x:v>Small to medium flatfishes (&lt;90 cm)</x:v>
      </x:c>
      <x:c r="H236" s="24" t="str">
        <x:v>Flatfishes</x:v>
      </x:c>
      <x:c r="I236" s="31" t="n">
        <x:v>18.870854038999997</x:v>
      </x:c>
      <x:c r="J236" s="31" t="n">
        <x:v>18.870854038999997</x:v>
      </x:c>
      <x:c r="K236" s="31" t="n">
        <x:v>0</x:v>
      </x:c>
      <x:c r="L236" s="31" t="n">
        <x:v>18.8601041168</x:v>
      </x:c>
      <x:c r="M236" s="31" t="n">
        <x:v>0.0107499222</x:v>
      </x:c>
      <x:c r="N236" s="24" t="str">
        <x:v>microstomus kitt</x:v>
      </x:c>
      <x:c r="O236" s="32" t="n">
        <x:v>3.22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Microstomus kitt</x:v>
      </x:c>
      <x:c r="T236" s="32" t="n">
        <x:f>IF(O236="","",(1/'Metadata'!$B$5)^(O236-1))</x:f>
        <x:v>165.95869074375614</x:v>
      </x:c>
      <x:c r="U236" s="31" t="n">
        <x:f>IF(T236="","",I236*T236)</x:f>
        <x:v>3131.782229528962</x:v>
      </x:c>
    </x:row>
    <x:row r="237" ht="18" customHeight="1">
      <x:c r="A237" s="24" t="str">
        <x:v>LME_025</x:v>
      </x:c>
      <x:c r="B237" s="24" t="str">
        <x:v>Iberian Coastal</x:v>
      </x:c>
      <x:c r="C237" s="24" t="str">
        <x:v>LME</x:v>
      </x:c>
      <x:c r="D237" s="30" t="n">
        <x:v>2019</x:v>
      </x:c>
      <x:c r="E237" s="24" t="str">
        <x:v>Scophthalmidae</x:v>
      </x:c>
      <x:c r="F237" s="24" t="str">
        <x:v>Turbots</x:v>
      </x:c>
      <x:c r="G237" s="24" t="str">
        <x:v>Small to medium flatfishes (&lt;90 cm)</x:v>
      </x:c>
      <x:c r="H237" s="24" t="str">
        <x:v>Flatfishes</x:v>
      </x:c>
      <x:c r="I237" s="31" t="n">
        <x:v>18.3545614491</x:v>
      </x:c>
      <x:c r="J237" s="31" t="n">
        <x:v>0.9981093605000001</x:v>
      </x:c>
      <x:c r="K237" s="31" t="n">
        <x:v>17.356452088599998</x:v>
      </x:c>
      <x:c r="L237" s="31" t="n">
        <x:v>0.5577920622</x:v>
      </x:c>
      <x:c r="M237" s="31" t="n">
        <x:v>17.7967693869</x:v>
      </x:c>
      <x:c r="N237" s="24" t="str">
        <x:v>scophthalmidae</x:v>
      </x:c>
      <x:c r="O237" s="32" t="n">
        <x:v>3.71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Scophthalmidae</x:v>
      </x:c>
      <x:c r="T237" s="32" t="n">
        <x:f>IF(O237="","",(1/'Metadata'!$B$5)^(O237-1))</x:f>
        <x:v>512.8613839913648</x:v>
      </x:c>
      <x:c r="U237" s="31" t="n">
        <x:f>IF(T237="","",I237*T237)</x:f>
        <x:v>9413.345787339977</x:v>
      </x:c>
    </x:row>
    <x:row r="238" ht="18" customHeight="1">
      <x:c r="A238" s="24" t="str">
        <x:v>LME_025</x:v>
      </x:c>
      <x:c r="B238" s="24" t="str">
        <x:v>Iberian Coastal</x:v>
      </x:c>
      <x:c r="C238" s="24" t="str">
        <x:v>LME</x:v>
      </x:c>
      <x:c r="D238" s="30" t="n">
        <x:v>2019</x:v>
      </x:c>
      <x:c r="E238" s="24" t="str">
        <x:v>Rajiformes</x:v>
      </x:c>
      <x:c r="F238" s="24" t="str">
        <x:v>Skates and rays</x:v>
      </x:c>
      <x:c r="G238" s="24" t="str">
        <x:v>Large rays (&gt;=90 cm)</x:v>
      </x:c>
      <x:c r="H238" s="24" t="str">
        <x:v>Sharks &amp; rays</x:v>
      </x:c>
      <x:c r="I238" s="31" t="n">
        <x:v>18.1481950434</x:v>
      </x:c>
      <x:c r="J238" s="31" t="n">
        <x:v>18.0999625056</x:v>
      </x:c>
      <x:c r="K238" s="31" t="n">
        <x:v>0.048232537799999996</x:v>
      </x:c>
      <x:c r="L238" s="31" t="n">
        <x:v>18.0999625056</x:v>
      </x:c>
      <x:c r="M238" s="31" t="n">
        <x:v>0.048232537799999996</x:v>
      </x:c>
      <x:c r="N238" s="24" t="str">
        <x:v>rajiformes</x:v>
      </x:c>
      <x:c r="O238" s="32" t="n">
        <x:v>3.61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Rajiformes</x:v>
      </x:c>
      <x:c r="T238" s="32" t="n">
        <x:f>IF(O238="","",(1/'Metadata'!$B$5)^(O238-1))</x:f>
        <x:v>407.3802778041126</x:v>
      </x:c>
      <x:c r="U238" s="31" t="n">
        <x:f>IF(T238="","",I238*T238)</x:f>
        <x:v>7393.216738423512</x:v>
      </x:c>
    </x:row>
    <x:row r="239" ht="18" customHeight="1">
      <x:c r="A239" s="24" t="str">
        <x:v>LME_025</x:v>
      </x:c>
      <x:c r="B239" s="24" t="str">
        <x:v>Iberian Coastal</x:v>
      </x:c>
      <x:c r="C239" s="24" t="str">
        <x:v>LME</x:v>
      </x:c>
      <x:c r="D239" s="30" t="n">
        <x:v>2019</x:v>
      </x:c>
      <x:c r="E239" s="24" t="str">
        <x:v>Trachinidae</x:v>
      </x:c>
      <x:c r="F239" s="24" t="str">
        <x:v>Weeverfishes</x:v>
      </x:c>
      <x:c r="G239" s="24" t="str">
        <x:v>Medium demersals (30 - 89 cm)</x:v>
      </x:c>
      <x:c r="H239" s="24" t="str">
        <x:v>Perch-likes</x:v>
      </x:c>
      <x:c r="I239" s="31" t="n">
        <x:v>17.9098596833</x:v>
      </x:c>
      <x:c r="J239" s="31" t="n">
        <x:v>17.9098596833</x:v>
      </x:c>
      <x:c r="K239" s="31" t="n">
        <x:v>0</x:v>
      </x:c>
      <x:c r="L239" s="31" t="n">
        <x:v>16.282665054499997</x:v>
      </x:c>
      <x:c r="M239" s="31" t="n">
        <x:v>1.6271946288</x:v>
      </x:c>
      <x:c r="N239" s="24" t="str">
        <x:v>trachinidae</x:v>
      </x:c>
      <x:c r="O239" s="32" t="n">
        <x:v>3.95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Trachinidae</x:v>
      </x:c>
      <x:c r="T239" s="32" t="n">
        <x:f>IF(O239="","",(1/'Metadata'!$B$5)^(O239-1))</x:f>
        <x:v>891.2509381337459</x:v>
      </x:c>
      <x:c r="U239" s="31" t="n">
        <x:f>IF(T239="","",I239*T239)</x:f>
        <x:v>15962.179244584877</x:v>
      </x:c>
    </x:row>
    <x:row r="240" ht="18" customHeight="1">
      <x:c r="A240" s="24" t="str">
        <x:v>LME_025</x:v>
      </x:c>
      <x:c r="B240" s="24" t="str">
        <x:v>Iberian Coastal</x:v>
      </x:c>
      <x:c r="C240" s="24" t="str">
        <x:v>LME</x:v>
      </x:c>
      <x:c r="D240" s="30" t="n">
        <x:v>2019</x:v>
      </x:c>
      <x:c r="E240" s="24" t="str">
        <x:v>Necora puber</x:v>
      </x:c>
      <x:c r="F240" s="24" t="str">
        <x:v>Velvet swimcrab</x:v>
      </x:c>
      <x:c r="G240" s="24" t="str">
        <x:v>Lobsters, crabs</x:v>
      </x:c>
      <x:c r="H240" s="24" t="str">
        <x:v>Crustaceans</x:v>
      </x:c>
      <x:c r="I240" s="31" t="n">
        <x:v>17.1917967141</x:v>
      </x:c>
      <x:c r="J240" s="31" t="n">
        <x:v>17.1917967141</x:v>
      </x:c>
      <x:c r="K240" s="31" t="n">
        <x:v>0</x:v>
      </x:c>
      <x:c r="L240" s="31" t="n">
        <x:v>17.191743592500004</x:v>
      </x:c>
      <x:c r="M240" s="31" t="n">
        <x:v>0.0000531216</x:v>
      </x:c>
      <x:c r="N240" s="24" t="str">
        <x:v>necora puber</x:v>
      </x:c>
      <x:c r="O240" s="32" t="n">
        <x:v>2.6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Necora puber</x:v>
      </x:c>
      <x:c r="T240" s="32" t="n">
        <x:f>IF(O240="","",(1/'Metadata'!$B$5)^(O240-1))</x:f>
        <x:v>39.810717055349734</x:v>
      </x:c>
      <x:c r="U240" s="31" t="n">
        <x:f>IF(T240="","",I240*T240)</x:f>
        <x:v>684.4177546581265</x:v>
      </x:c>
    </x:row>
    <x:row r="241" ht="18" customHeight="1">
      <x:c r="A241" s="24" t="str">
        <x:v>LME_025</x:v>
      </x:c>
      <x:c r="B241" s="24" t="str">
        <x:v>Iberian Coastal</x:v>
      </x:c>
      <x:c r="C241" s="24" t="str">
        <x:v>LME</x:v>
      </x:c>
      <x:c r="D241" s="30" t="n">
        <x:v>2019</x:v>
      </x:c>
      <x:c r="E241" s="24" t="str">
        <x:v>Mora moro</x:v>
      </x:c>
      <x:c r="F241" s="24" t="str">
        <x:v>Common mora</x:v>
      </x:c>
      <x:c r="G241" s="24" t="str">
        <x:v>Medium bathypelagics (30 - 89 cm)</x:v>
      </x:c>
      <x:c r="H241" s="24" t="str">
        <x:v>Cod-likes</x:v>
      </x:c>
      <x:c r="I241" s="31" t="n">
        <x:v>17.087143379799997</x:v>
      </x:c>
      <x:c r="J241" s="31" t="n">
        <x:v>16.659688284799998</x:v>
      </x:c>
      <x:c r="K241" s="31" t="n">
        <x:v>0.427455095</x:v>
      </x:c>
      <x:c r="L241" s="31" t="n">
        <x:v>16.5476235447</x:v>
      </x:c>
      <x:c r="M241" s="31" t="n">
        <x:v>0.5395198351</x:v>
      </x:c>
      <x:c r="N241" s="24" t="str">
        <x:v>mora moro</x:v>
      </x:c>
      <x:c r="O241" s="32" t="n">
        <x:v>3.75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Mora moro</x:v>
      </x:c>
      <x:c r="T241" s="32" t="n">
        <x:f>IF(O241="","",(1/'Metadata'!$B$5)^(O241-1))</x:f>
        <x:v>562.341325190349</x:v>
      </x:c>
      <x:c r="U241" s="31" t="n">
        <x:f>IF(T241="","",I241*T241)</x:f>
        <x:v>9608.80685191423</x:v>
      </x:c>
    </x:row>
    <x:row r="242" ht="18" customHeight="1">
      <x:c r="A242" s="24" t="str">
        <x:v>LME_025</x:v>
      </x:c>
      <x:c r="B242" s="24" t="str">
        <x:v>Iberian Coastal</x:v>
      </x:c>
      <x:c r="C242" s="24" t="str">
        <x:v>LME</x:v>
      </x:c>
      <x:c r="D242" s="30" t="n">
        <x:v>2019</x:v>
      </x:c>
      <x:c r="E242" s="24" t="str">
        <x:v>Tellina</x:v>
      </x:c>
      <x:c r="F242" s="24" t="str">
        <x:v>Tellins</x:v>
      </x:c>
      <x:c r="G242" s="24" t="str">
        <x:v>Other demersal invertebrates</x:v>
      </x:c>
      <x:c r="H242" s="24" t="str">
        <x:v>Molluscs</x:v>
      </x:c>
      <x:c r="I242" s="31" t="n">
        <x:v>16.924777183</x:v>
      </x:c>
      <x:c r="J242" s="31" t="n">
        <x:v>0</x:v>
      </x:c>
      <x:c r="K242" s="31" t="n">
        <x:v>16.924777183</x:v>
      </x:c>
      <x:c r="L242" s="31" t="n">
        <x:v>0</x:v>
      </x:c>
      <x:c r="M242" s="31" t="n">
        <x:v>16.924777183</x:v>
      </x:c>
      <x:c r="N242" s="24" t="str">
        <x:v>tellina</x:v>
      </x:c>
      <x:c r="O242" s="32" t="n">
        <x:v>2</x:v>
      </x:c>
      <x:c r="P242" s="24" t="str">
        <x:v>exact_sea_around_us</x:v>
      </x:c>
      <x:c r="Q242" s="32" t="str">
        <x:v>Sea Around Us exploited organisms</x:v>
      </x:c>
      <x:c r="R242" s="24" t="str">
        <x:v>high</x:v>
      </x:c>
      <x:c r="S242" s="24" t="str">
        <x:v>Tellina</x:v>
      </x:c>
      <x:c r="T242" s="32" t="n">
        <x:f>IF(O242="","",(1/'Metadata'!$B$5)^(O242-1))</x:f>
        <x:v>10</x:v>
      </x:c>
      <x:c r="U242" s="31" t="n">
        <x:f>IF(T242="","",I242*T242)</x:f>
        <x:v>169.24777183</x:v>
      </x:c>
    </x:row>
    <x:row r="243" ht="18" customHeight="1">
      <x:c r="A243" s="24" t="str">
        <x:v>LME_025</x:v>
      </x:c>
      <x:c r="B243" s="24" t="str">
        <x:v>Iberian Coastal</x:v>
      </x:c>
      <x:c r="C243" s="24" t="str">
        <x:v>LME</x:v>
      </x:c>
      <x:c r="D243" s="30" t="n">
        <x:v>2019</x:v>
      </x:c>
      <x:c r="E243" s="24" t="str">
        <x:v>Mytilus edulis</x:v>
      </x:c>
      <x:c r="F243" s="24" t="str">
        <x:v>Blue mussel</x:v>
      </x:c>
      <x:c r="G243" s="24" t="str">
        <x:v>Other demersal invertebrates</x:v>
      </x:c>
      <x:c r="H243" s="24" t="str">
        <x:v>Molluscs</x:v>
      </x:c>
      <x:c r="I243" s="31" t="n">
        <x:v>16.7458320354</x:v>
      </x:c>
      <x:c r="J243" s="31" t="n">
        <x:v>16.7458320354</x:v>
      </x:c>
      <x:c r="K243" s="31" t="n">
        <x:v>0</x:v>
      </x:c>
      <x:c r="L243" s="31" t="n">
        <x:v>4.3292138799</x:v>
      </x:c>
      <x:c r="M243" s="31" t="n">
        <x:v>12.4166181555</x:v>
      </x:c>
      <x:c r="N243" s="24" t="str">
        <x:v>mytilus edulis</x:v>
      </x:c>
      <x:c r="O243" s="32" t="n">
        <x:v>2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Mytilus edulis</x:v>
      </x:c>
      <x:c r="T243" s="32" t="n">
        <x:f>IF(O243="","",(1/'Metadata'!$B$5)^(O243-1))</x:f>
        <x:v>10</x:v>
      </x:c>
      <x:c r="U243" s="31" t="n">
        <x:f>IF(T243="","",I243*T243)</x:f>
        <x:v>167.458320354</x:v>
      </x:c>
    </x:row>
    <x:row r="244" ht="18" customHeight="1">
      <x:c r="A244" s="24" t="str">
        <x:v>LME_025</x:v>
      </x:c>
      <x:c r="B244" s="24" t="str">
        <x:v>Iberian Coastal</x:v>
      </x:c>
      <x:c r="C244" s="24" t="str">
        <x:v>LME</x:v>
      </x:c>
      <x:c r="D244" s="30" t="n">
        <x:v>2019</x:v>
      </x:c>
      <x:c r="E244" s="24" t="str">
        <x:v>Stromateidae</x:v>
      </x:c>
      <x:c r="F244" s="24" t="str">
        <x:v>Butterfishes</x:v>
      </x:c>
      <x:c r="G244" s="24" t="str">
        <x:v>Small benthopelagics (&lt;30 cm)</x:v>
      </x:c>
      <x:c r="H244" s="24" t="str">
        <x:v>Perch-likes</x:v>
      </x:c>
      <x:c r="I244" s="31" t="n">
        <x:v>16.701224515</x:v>
      </x:c>
      <x:c r="J244" s="31" t="n">
        <x:v>13.6309123915</x:v>
      </x:c>
      <x:c r="K244" s="31" t="n">
        <x:v>3.0703121235</x:v>
      </x:c>
      <x:c r="L244" s="31" t="n">
        <x:v>12.676457643200001</x:v>
      </x:c>
      <x:c r="M244" s="31" t="n">
        <x:v>4.0247668718</x:v>
      </x:c>
      <x:c r="N244" s="24" t="str">
        <x:v>stromateidae</x:v>
      </x:c>
      <x:c r="O244" s="32" t="n">
        <x:v>3.62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Stromateidae</x:v>
      </x:c>
      <x:c r="T244" s="32" t="n">
        <x:f>IF(O244="","",(1/'Metadata'!$B$5)^(O244-1))</x:f>
        <x:v>416.8693834703355</x:v>
      </x:c>
      <x:c r="U244" s="31" t="n">
        <x:f>IF(T244="","",I244*T244)</x:f>
        <x:v>6962.229166767703</x:v>
      </x:c>
    </x:row>
    <x:row r="245" ht="18" customHeight="1">
      <x:c r="A245" s="24" t="str">
        <x:v>LME_025</x:v>
      </x:c>
      <x:c r="B245" s="24" t="str">
        <x:v>Iberian Coastal</x:v>
      </x:c>
      <x:c r="C245" s="24" t="str">
        <x:v>LME</x:v>
      </x:c>
      <x:c r="D245" s="30" t="n">
        <x:v>2019</x:v>
      </x:c>
      <x:c r="E245" s="24" t="str">
        <x:v>Callionymus lyra</x:v>
      </x:c>
      <x:c r="F245" s="24" t="str">
        <x:v>Dragonet</x:v>
      </x:c>
      <x:c r="G245" s="24" t="str">
        <x:v>Large reef assoc. fish (&gt;=90 cm)</x:v>
      </x:c>
      <x:c r="H245" s="24" t="str">
        <x:v>Perch-likes</x:v>
      </x:c>
      <x:c r="I245" s="31" t="n">
        <x:v>16.495157654</x:v>
      </x:c>
      <x:c r="J245" s="31" t="n">
        <x:v>0</x:v>
      </x:c>
      <x:c r="K245" s="31" t="n">
        <x:v>16.495157654</x:v>
      </x:c>
      <x:c r="L245" s="31" t="n">
        <x:v>0</x:v>
      </x:c>
      <x:c r="M245" s="31" t="n">
        <x:v>16.495157654</x:v>
      </x:c>
      <x:c r="N245" s="24" t="str">
        <x:v>callionymus lyra</x:v>
      </x:c>
      <x:c r="O245" s="32" t="n">
        <x:v>3.27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Callionymus lyra</x:v>
      </x:c>
      <x:c r="T245" s="32" t="n">
        <x:f>IF(O245="","",(1/'Metadata'!$B$5)^(O245-1))</x:f>
        <x:v>186.20871366628674</x:v>
      </x:c>
      <x:c r="U245" s="31" t="n">
        <x:f>IF(T245="","",I245*T245)</x:f>
        <x:v>3071.542088473944</x:v>
      </x:c>
    </x:row>
    <x:row r="246" ht="18" customHeight="1">
      <x:c r="A246" s="24" t="str">
        <x:v>LME_025</x:v>
      </x:c>
      <x:c r="B246" s="24" t="str">
        <x:v>Iberian Coastal</x:v>
      </x:c>
      <x:c r="C246" s="24" t="str">
        <x:v>LME</x:v>
      </x:c>
      <x:c r="D246" s="30" t="n">
        <x:v>2019</x:v>
      </x:c>
      <x:c r="E246" s="24" t="str">
        <x:v>Palaemon serratus</x:v>
      </x:c>
      <x:c r="F246" s="24" t="str">
        <x:v>Common prawn</x:v>
      </x:c>
      <x:c r="G246" s="24" t="str">
        <x:v>Shrimps</x:v>
      </x:c>
      <x:c r="H246" s="24" t="str">
        <x:v>Crustaceans</x:v>
      </x:c>
      <x:c r="I246" s="31" t="n">
        <x:v>16.3496985081</x:v>
      </x:c>
      <x:c r="J246" s="31" t="n">
        <x:v>16.3496985081</x:v>
      </x:c>
      <x:c r="K246" s="31" t="n">
        <x:v>0</x:v>
      </x:c>
      <x:c r="L246" s="31" t="n">
        <x:v>9.618128699900002</x:v>
      </x:c>
      <x:c r="M246" s="31" t="n">
        <x:v>6.7315698082</x:v>
      </x:c>
      <x:c r="N246" s="24" t="str">
        <x:v>palaemon serratus</x:v>
      </x:c>
      <x:c r="O246" s="32" t="n">
        <x:v>2.69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Palaemon serratus</x:v>
      </x:c>
      <x:c r="T246" s="32" t="n">
        <x:f>IF(O246="","",(1/'Metadata'!$B$5)^(O246-1))</x:f>
        <x:v>48.97788193684461</x:v>
      </x:c>
      <x:c r="U246" s="31" t="n">
        <x:f>IF(T246="","",I246*T246)</x:f>
        <x:v>800.7736032327264</x:v>
      </x:c>
    </x:row>
    <x:row r="247" ht="18" customHeight="1">
      <x:c r="A247" s="24" t="str">
        <x:v>LME_025</x:v>
      </x:c>
      <x:c r="B247" s="24" t="str">
        <x:v>Iberian Coastal</x:v>
      </x:c>
      <x:c r="C247" s="24" t="str">
        <x:v>LME</x:v>
      </x:c>
      <x:c r="D247" s="30" t="n">
        <x:v>2019</x:v>
      </x:c>
      <x:c r="E247" s="24" t="str">
        <x:v>Caranx</x:v>
      </x:c>
      <x:c r="F247" s="24" t="str">
        <x:v>Jacks</x:v>
      </x:c>
      <x:c r="G247" s="24" t="str">
        <x:v>Medium reef assoc. fish (30 - 89 cm)</x:v>
      </x:c>
      <x:c r="H247" s="24" t="str">
        <x:v>Perch-likes</x:v>
      </x:c>
      <x:c r="I247" s="31" t="n">
        <x:v>15.9568991124</x:v>
      </x:c>
      <x:c r="J247" s="31" t="n">
        <x:v>12.9050659371</x:v>
      </x:c>
      <x:c r="K247" s="31" t="n">
        <x:v>3.0518331753</x:v>
      </x:c>
      <x:c r="L247" s="31" t="n">
        <x:v>12.3537959621</x:v>
      </x:c>
      <x:c r="M247" s="31" t="n">
        <x:v>3.6031031503</x:v>
      </x:c>
      <x:c r="N247" s="24" t="str">
        <x:v>caranx</x:v>
      </x:c>
      <x:c r="O247" s="32" t="n">
        <x:v>4.12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Caranx</x:v>
      </x:c>
      <x:c r="T247" s="32" t="n">
        <x:f>IF(O247="","",(1/'Metadata'!$B$5)^(O247-1))</x:f>
        <x:v>1318.2567385564075</x:v>
      </x:c>
      <x:c r="U247" s="31" t="n">
        <x:f>IF(T247="","",I247*T247)</x:f>
        <x:v>21035.289781386058</x:v>
      </x:c>
    </x:row>
    <x:row r="248" ht="18" customHeight="1">
      <x:c r="A248" s="24" t="str">
        <x:v>LME_025</x:v>
      </x:c>
      <x:c r="B248" s="24" t="str">
        <x:v>Iberian Coastal</x:v>
      </x:c>
      <x:c r="C248" s="24" t="str">
        <x:v>LME</x:v>
      </x:c>
      <x:c r="D248" s="30" t="n">
        <x:v>2019</x:v>
      </x:c>
      <x:c r="E248" s="24" t="str">
        <x:v>Chelidonichthys lucerna</x:v>
      </x:c>
      <x:c r="F248" s="24" t="str">
        <x:v>Tub gurnard</x:v>
      </x:c>
      <x:c r="G248" s="24" t="str">
        <x:v>Medium demersals (30 - 89 cm)</x:v>
      </x:c>
      <x:c r="H248" s="24" t="str">
        <x:v>Scorpionfishes</x:v>
      </x:c>
      <x:c r="I248" s="31" t="n">
        <x:v>15.6583783951</x:v>
      </x:c>
      <x:c r="J248" s="31" t="n">
        <x:v>15.6583783951</x:v>
      </x:c>
      <x:c r="K248" s="31" t="n">
        <x:v>0</x:v>
      </x:c>
      <x:c r="L248" s="31" t="n">
        <x:v>15.1065475086</x:v>
      </x:c>
      <x:c r="M248" s="31" t="n">
        <x:v>0.5518308865</x:v>
      </x:c>
      <x:c r="N248" s="24" t="str">
        <x:v>chelidonichthys lucerna</x:v>
      </x:c>
      <x:c r="O248" s="32" t="n">
        <x:v>3.98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Chelidonichthys lucerna</x:v>
      </x:c>
      <x:c r="T248" s="32" t="n">
        <x:f>IF(O248="","",(1/'Metadata'!$B$5)^(O248-1))</x:f>
        <x:v>954.992586021436</x:v>
      </x:c>
      <x:c r="U248" s="31" t="n">
        <x:f>IF(T248="","",I248*T248)</x:f>
        <x:v>14953.63527643873</x:v>
      </x:c>
    </x:row>
    <x:row r="249" ht="18" customHeight="1">
      <x:c r="A249" s="24" t="str">
        <x:v>LME_025</x:v>
      </x:c>
      <x:c r="B249" s="24" t="str">
        <x:v>Iberian Coastal</x:v>
      </x:c>
      <x:c r="C249" s="24" t="str">
        <x:v>LME</x:v>
      </x:c>
      <x:c r="D249" s="30" t="n">
        <x:v>2019</x:v>
      </x:c>
      <x:c r="E249" s="24" t="str">
        <x:v>Auxis thazard</x:v>
      </x:c>
      <x:c r="F249" s="24" t="str">
        <x:v>Frigate tuna</x:v>
      </x:c>
      <x:c r="G249" s="24" t="str">
        <x:v>Medium pelagics (30 - 89 cm)</x:v>
      </x:c>
      <x:c r="H249" s="24" t="str">
        <x:v>Tuna &amp; billfishes</x:v>
      </x:c>
      <x:c r="I249" s="31" t="n">
        <x:v>15.1590910657</x:v>
      </x:c>
      <x:c r="J249" s="31" t="n">
        <x:v>15.1590910657</x:v>
      </x:c>
      <x:c r="K249" s="31" t="n">
        <x:v>0</x:v>
      </x:c>
      <x:c r="L249" s="31" t="n">
        <x:v>13.9709286465</x:v>
      </x:c>
      <x:c r="M249" s="31" t="n">
        <x:v>1.1881624192</x:v>
      </x:c>
      <x:c r="N249" s="24" t="str">
        <x:v>auxis thazard</x:v>
      </x:c>
      <x:c r="O249" s="32" t="n">
        <x:v>4.37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Auxis thazard</x:v>
      </x:c>
      <x:c r="T249" s="32" t="n">
        <x:f>IF(O249="","",(1/'Metadata'!$B$5)^(O249-1))</x:f>
        <x:v>2344.228815319923</x:v>
      </x:c>
      <x:c r="U249" s="31" t="n">
        <x:f>IF(T249="","",I249*T249)</x:f>
        <x:v>35536.37809027274</x:v>
      </x:c>
    </x:row>
    <x:row r="250" ht="18" customHeight="1">
      <x:c r="A250" s="24" t="str">
        <x:v>LME_025</x:v>
      </x:c>
      <x:c r="B250" s="24" t="str">
        <x:v>Iberian Coastal</x:v>
      </x:c>
      <x:c r="C250" s="24" t="str">
        <x:v>LME</x:v>
      </x:c>
      <x:c r="D250" s="30" t="n">
        <x:v>2019</x:v>
      </x:c>
      <x:c r="E250" s="24" t="str">
        <x:v>Mytilus galloprovincialis</x:v>
      </x:c>
      <x:c r="F250" s="24" t="str">
        <x:v>Mediterranean mussel</x:v>
      </x:c>
      <x:c r="G250" s="24" t="str">
        <x:v>Other demersal invertebrates</x:v>
      </x:c>
      <x:c r="H250" s="24" t="str">
        <x:v>Molluscs</x:v>
      </x:c>
      <x:c r="I250" s="31" t="n">
        <x:v>15.1264380977</x:v>
      </x:c>
      <x:c r="J250" s="31" t="n">
        <x:v>15.1264380977</x:v>
      </x:c>
      <x:c r="K250" s="31" t="n">
        <x:v>0</x:v>
      </x:c>
      <x:c r="L250" s="31" t="n">
        <x:v>10.456015430299999</x:v>
      </x:c>
      <x:c r="M250" s="31" t="n">
        <x:v>4.6704226674</x:v>
      </x:c>
      <x:c r="N250" s="24" t="str">
        <x:v>mytilus galloprovincialis</x:v>
      </x:c>
      <x:c r="O250" s="32" t="n">
        <x:v>2.69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Mytilus galloprovincialis</x:v>
      </x:c>
      <x:c r="T250" s="32" t="n">
        <x:f>IF(O250="","",(1/'Metadata'!$B$5)^(O250-1))</x:f>
        <x:v>48.97788193684461</x:v>
      </x:c>
      <x:c r="U250" s="31" t="n">
        <x:f>IF(T250="","",I250*T250)</x:f>
        <x:v>740.860899274139</x:v>
      </x:c>
    </x:row>
    <x:row r="251" ht="18" customHeight="1">
      <x:c r="A251" s="24" t="str">
        <x:v>LME_025</x:v>
      </x:c>
      <x:c r="B251" s="24" t="str">
        <x:v>Iberian Coastal</x:v>
      </x:c>
      <x:c r="C251" s="24" t="str">
        <x:v>LME</x:v>
      </x:c>
      <x:c r="D251" s="30" t="n">
        <x:v>2019</x:v>
      </x:c>
      <x:c r="E251" s="24" t="str">
        <x:v>Polititapes rhomboides</x:v>
      </x:c>
      <x:c r="F251" s="24" t="str">
        <x:v>Banded carpet shell</x:v>
      </x:c>
      <x:c r="G251" s="24" t="str">
        <x:v>Other demersal invertebrates</x:v>
      </x:c>
      <x:c r="H251" s="24" t="str">
        <x:v>Molluscs</x:v>
      </x:c>
      <x:c r="I251" s="31" t="n">
        <x:v>13.8043100496</x:v>
      </x:c>
      <x:c r="J251" s="31" t="n">
        <x:v>13.8043100496</x:v>
      </x:c>
      <x:c r="K251" s="31" t="n">
        <x:v>0</x:v>
      </x:c>
      <x:c r="L251" s="31" t="n">
        <x:v>7.3313890199</x:v>
      </x:c>
      <x:c r="M251" s="31" t="n">
        <x:v>6.472921029699999</x:v>
      </x:c>
      <x:c r="N251" s="24" t="str">
        <x:v>polititapes rhomboides</x:v>
      </x:c>
      <x:c r="O251" s="32" t="n">
        <x:v>2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Polititapes rhomboides</x:v>
      </x:c>
      <x:c r="T251" s="32" t="n">
        <x:f>IF(O251="","",(1/'Metadata'!$B$5)^(O251-1))</x:f>
        <x:v>10</x:v>
      </x:c>
      <x:c r="U251" s="31" t="n">
        <x:f>IF(T251="","",I251*T251)</x:f>
        <x:v>138.043100496</x:v>
      </x:c>
    </x:row>
    <x:row r="252" ht="18" customHeight="1">
      <x:c r="A252" s="24" t="str">
        <x:v>LME_025</x:v>
      </x:c>
      <x:c r="B252" s="24" t="str">
        <x:v>Iberian Coastal</x:v>
      </x:c>
      <x:c r="C252" s="24" t="str">
        <x:v>LME</x:v>
      </x:c>
      <x:c r="D252" s="30" t="n">
        <x:v>2019</x:v>
      </x:c>
      <x:c r="E252" s="24" t="str">
        <x:v>Mullidae</x:v>
      </x:c>
      <x:c r="F252" s="24" t="str">
        <x:v>Goatfishes</x:v>
      </x:c>
      <x:c r="G252" s="24" t="str">
        <x:v>Medium reef assoc. fish (30 - 89 cm)</x:v>
      </x:c>
      <x:c r="H252" s="24" t="str">
        <x:v>Perch-likes</x:v>
      </x:c>
      <x:c r="I252" s="31" t="n">
        <x:v>13.7121045808</x:v>
      </x:c>
      <x:c r="J252" s="31" t="n">
        <x:v>2.0280761086</x:v>
      </x:c>
      <x:c r="K252" s="31" t="n">
        <x:v>11.6840284722</x:v>
      </x:c>
      <x:c r="L252" s="31" t="n">
        <x:v>0.7027091035999999</x:v>
      </x:c>
      <x:c r="M252" s="31" t="n">
        <x:v>13.0093954772</x:v>
      </x:c>
      <x:c r="N252" s="24" t="str">
        <x:v>mullidae</x:v>
      </x:c>
      <x:c r="O252" s="32" t="n">
        <x:v>3.46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Mullidae</x:v>
      </x:c>
      <x:c r="T252" s="32" t="n">
        <x:f>IF(O252="","",(1/'Metadata'!$B$5)^(O252-1))</x:f>
        <x:v>288.40315031266056</x:v>
      </x:c>
      <x:c r="U252" s="31" t="n">
        <x:f>IF(T252="","",I252*T252)</x:f>
        <x:v>3954.6141585193836</x:v>
      </x:c>
    </x:row>
    <x:row r="253" ht="18" customHeight="1">
      <x:c r="A253" s="24" t="str">
        <x:v>LME_025</x:v>
      </x:c>
      <x:c r="B253" s="24" t="str">
        <x:v>Iberian Coastal</x:v>
      </x:c>
      <x:c r="C253" s="24" t="str">
        <x:v>LME</x:v>
      </x:c>
      <x:c r="D253" s="30" t="n">
        <x:v>2019</x:v>
      </x:c>
      <x:c r="E253" s="24" t="str">
        <x:v>Crangonidae</x:v>
      </x:c>
      <x:c r="F253" s="24" t="str">
        <x:v>Brown shrimps</x:v>
      </x:c>
      <x:c r="G253" s="24" t="str">
        <x:v>Shrimps</x:v>
      </x:c>
      <x:c r="H253" s="24" t="str">
        <x:v>Crustaceans</x:v>
      </x:c>
      <x:c r="I253" s="31" t="n">
        <x:v>13.069891104</x:v>
      </x:c>
      <x:c r="J253" s="31" t="n">
        <x:v>0</x:v>
      </x:c>
      <x:c r="K253" s="31" t="n">
        <x:v>13.069891104</x:v>
      </x:c>
      <x:c r="L253" s="31" t="n">
        <x:v>0</x:v>
      </x:c>
      <x:c r="M253" s="31" t="n">
        <x:v>13.069891104</x:v>
      </x:c>
      <x:c r="N253" s="24" t="str">
        <x:v>crangonidae</x:v>
      </x:c>
      <x:c r="O253" s="32" t="n">
        <x:v>3.19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Crangonidae</x:v>
      </x:c>
      <x:c r="T253" s="32" t="n">
        <x:f>IF(O253="","",(1/'Metadata'!$B$5)^(O253-1))</x:f>
        <x:v>154.88166189124811</x:v>
      </x:c>
      <x:c r="U253" s="31" t="n">
        <x:f>IF(T253="","",I253*T253)</x:f>
        <x:v>2024.2864549251594</x:v>
      </x:c>
    </x:row>
    <x:row r="254" ht="18" customHeight="1">
      <x:c r="A254" s="24" t="str">
        <x:v>LME_025</x:v>
      </x:c>
      <x:c r="B254" s="24" t="str">
        <x:v>Iberian Coastal</x:v>
      </x:c>
      <x:c r="C254" s="24" t="str">
        <x:v>LME</x:v>
      </x:c>
      <x:c r="D254" s="30" t="n">
        <x:v>2019</x:v>
      </x:c>
      <x:c r="E254" s="24" t="str">
        <x:v>Argentina</x:v>
      </x:c>
      <x:c r="F254" s="24" t="str">
        <x:v>Argentines</x:v>
      </x:c>
      <x:c r="G254" s="24" t="str">
        <x:v>Medium bathydemersals (30 - 89 cm)</x:v>
      </x:c>
      <x:c r="H254" s="24" t="str">
        <x:v>Salmon, smelts, etc</x:v>
      </x:c>
      <x:c r="I254" s="31" t="n">
        <x:v>13.056145538400001</x:v>
      </x:c>
      <x:c r="J254" s="31" t="n">
        <x:v>13.056145538400001</x:v>
      </x:c>
      <x:c r="K254" s="31" t="n">
        <x:v>0</x:v>
      </x:c>
      <x:c r="L254" s="31" t="n">
        <x:v>13.056145538400001</x:v>
      </x:c>
      <x:c r="M254" s="31" t="n">
        <x:v>0</x:v>
      </x:c>
      <x:c r="N254" s="24" t="str">
        <x:v>argentina</x:v>
      </x:c>
      <x:c r="O254" s="32" t="n">
        <x:v>3.35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Argentina</x:v>
      </x:c>
      <x:c r="T254" s="32" t="n">
        <x:f>IF(O254="","",(1/'Metadata'!$B$5)^(O254-1))</x:f>
        <x:v>223.872113856834</x:v>
      </x:c>
      <x:c r="U254" s="31" t="n">
        <x:f>IF(T254="","",I254*T254)</x:f>
        <x:v>2922.90690050408</x:v>
      </x:c>
    </x:row>
    <x:row r="255" ht="18" customHeight="1">
      <x:c r="A255" s="24" t="str">
        <x:v>LME_025</x:v>
      </x:c>
      <x:c r="B255" s="24" t="str">
        <x:v>Iberian Coastal</x:v>
      </x:c>
      <x:c r="C255" s="24" t="str">
        <x:v>LME</x:v>
      </x:c>
      <x:c r="D255" s="30" t="n">
        <x:v>2019</x:v>
      </x:c>
      <x:c r="E255" s="24" t="str">
        <x:v>Scorpaena porcus</x:v>
      </x:c>
      <x:c r="F255" s="24" t="str">
        <x:v>Black scorpionfish</x:v>
      </x:c>
      <x:c r="G255" s="24" t="str">
        <x:v>Small demersals (&lt;30 cm)</x:v>
      </x:c>
      <x:c r="H255" s="24" t="str">
        <x:v>Scorpionfishes</x:v>
      </x:c>
      <x:c r="I255" s="31" t="n">
        <x:v>12.8610636437</x:v>
      </x:c>
      <x:c r="J255" s="31" t="n">
        <x:v>12.0142331332</x:v>
      </x:c>
      <x:c r="K255" s="31" t="n">
        <x:v>0.8468305105</x:v>
      </x:c>
      <x:c r="L255" s="31" t="n">
        <x:v>5.3149899645</x:v>
      </x:c>
      <x:c r="M255" s="31" t="n">
        <x:v>7.5460736792</x:v>
      </x:c>
      <x:c r="N255" s="24" t="str">
        <x:v>scorpaena porcus</x:v>
      </x:c>
      <x:c r="O255" s="32" t="n">
        <x:v>3.92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Scorpaena porcus</x:v>
      </x:c>
      <x:c r="T255" s="32" t="n">
        <x:f>IF(O255="","",(1/'Metadata'!$B$5)^(O255-1))</x:f>
        <x:v>831.7637711026708</x:v>
      </x:c>
      <x:c r="U255" s="31" t="n">
        <x:f>IF(T255="","",I255*T255)</x:f>
        <x:v>10697.366796675367</x:v>
      </x:c>
    </x:row>
    <x:row r="256" ht="18" customHeight="1">
      <x:c r="A256" s="24" t="str">
        <x:v>LME_025</x:v>
      </x:c>
      <x:c r="B256" s="24" t="str">
        <x:v>Iberian Coastal</x:v>
      </x:c>
      <x:c r="C256" s="24" t="str">
        <x:v>LME</x:v>
      </x:c>
      <x:c r="D256" s="30" t="n">
        <x:v>2019</x:v>
      </x:c>
      <x:c r="E256" s="24" t="str">
        <x:v>Aetomylaeus bovinus</x:v>
      </x:c>
      <x:c r="F256" s="24" t="str">
        <x:v>Bull ray</x:v>
      </x:c>
      <x:c r="G256" s="24" t="str">
        <x:v>Large rays (&gt;=90 cm)</x:v>
      </x:c>
      <x:c r="H256" s="24" t="str">
        <x:v>Sharks &amp; rays</x:v>
      </x:c>
      <x:c r="I256" s="31" t="n">
        <x:v>12.352133937800001</x:v>
      </x:c>
      <x:c r="J256" s="31" t="n">
        <x:v>10.9927869871</x:v>
      </x:c>
      <x:c r="K256" s="31" t="n">
        <x:v>1.3593469507</x:v>
      </x:c>
      <x:c r="L256" s="31" t="n">
        <x:v>10.393848054800001</x:v>
      </x:c>
      <x:c r="M256" s="31" t="n">
        <x:v>1.958285883</x:v>
      </x:c>
      <x:c r="N256" s="24" t="str">
        <x:v>aetomylaeus bovinus</x:v>
      </x:c>
      <x:c r="O256" s="32" t="n">
        <x:v>3.8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Aetomylaeus bovinus</x:v>
      </x:c>
      <x:c r="T256" s="32" t="n">
        <x:f>IF(O256="","",(1/'Metadata'!$B$5)^(O256-1))</x:f>
        <x:v>630.957344480193</x:v>
      </x:c>
      <x:c r="U256" s="31" t="n">
        <x:f>IF(T256="","",I256*T256)</x:f>
        <x:v>7793.669628057958</x:v>
      </x:c>
    </x:row>
    <x:row r="257" ht="18" customHeight="1">
      <x:c r="A257" s="24" t="str">
        <x:v>LME_025</x:v>
      </x:c>
      <x:c r="B257" s="24" t="str">
        <x:v>Iberian Coastal</x:v>
      </x:c>
      <x:c r="C257" s="24" t="str">
        <x:v>LME</x:v>
      </x:c>
      <x:c r="D257" s="30" t="n">
        <x:v>2019</x:v>
      </x:c>
      <x:c r="E257" s="24" t="str">
        <x:v>Homarus gammarus</x:v>
      </x:c>
      <x:c r="F257" s="24" t="str">
        <x:v>European lobster</x:v>
      </x:c>
      <x:c r="G257" s="24" t="str">
        <x:v>Lobsters, crabs</x:v>
      </x:c>
      <x:c r="H257" s="24" t="str">
        <x:v>Crustaceans</x:v>
      </x:c>
      <x:c r="I257" s="31" t="n">
        <x:v>11.7997767063</x:v>
      </x:c>
      <x:c r="J257" s="31" t="n">
        <x:v>11.7997767063</x:v>
      </x:c>
      <x:c r="K257" s="31" t="n">
        <x:v>0</x:v>
      </x:c>
      <x:c r="L257" s="31" t="n">
        <x:v>7.9179912108</x:v>
      </x:c>
      <x:c r="M257" s="31" t="n">
        <x:v>3.8817854955</x:v>
      </x:c>
      <x:c r="N257" s="24" t="str">
        <x:v>homarus gammarus</x:v>
      </x:c>
      <x:c r="O257" s="32" t="n">
        <x:v>3.7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Homarus gammarus</x:v>
      </x:c>
      <x:c r="T257" s="32" t="n">
        <x:f>IF(O257="","",(1/'Metadata'!$B$5)^(O257-1))</x:f>
        <x:v>501.18723362727246</x:v>
      </x:c>
      <x:c r="U257" s="31" t="n">
        <x:f>IF(T257="","",I257*T257)</x:f>
        <x:v>5913.897444850026</x:v>
      </x:c>
    </x:row>
    <x:row r="258" ht="18" customHeight="1">
      <x:c r="A258" s="24" t="str">
        <x:v>LME_025</x:v>
      </x:c>
      <x:c r="B258" s="24" t="str">
        <x:v>Iberian Coastal</x:v>
      </x:c>
      <x:c r="C258" s="24" t="str">
        <x:v>LME</x:v>
      </x:c>
      <x:c r="D258" s="30" t="n">
        <x:v>2019</x:v>
      </x:c>
      <x:c r="E258" s="24" t="str">
        <x:v>Beryx</x:v>
      </x:c>
      <x:c r="F258" s="24" t="str">
        <x:v>Alfonsinos</x:v>
      </x:c>
      <x:c r="G258" s="24" t="str">
        <x:v>Medium benthopelagics (30 - 89 cm)</x:v>
      </x:c>
      <x:c r="H258" s="24" t="str">
        <x:v>Other fishes &amp; inverts</x:v>
      </x:c>
      <x:c r="I258" s="31" t="n">
        <x:v>11.731070693100001</x:v>
      </x:c>
      <x:c r="J258" s="31" t="n">
        <x:v>11.165062695500001</x:v>
      </x:c>
      <x:c r="K258" s="31" t="n">
        <x:v>0.5660079976</x:v>
      </x:c>
      <x:c r="L258" s="31" t="n">
        <x:v>10.894357823300002</x:v>
      </x:c>
      <x:c r="M258" s="31" t="n">
        <x:v>0.8367128697999999</x:v>
      </x:c>
      <x:c r="N258" s="24" t="str">
        <x:v>beryx</x:v>
      </x:c>
      <x:c r="O258" s="32" t="n">
        <x:v>3.97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Beryx</x:v>
      </x:c>
      <x:c r="T258" s="32" t="n">
        <x:f>IF(O258="","",(1/'Metadata'!$B$5)^(O258-1))</x:f>
        <x:v>933.2543007969915</x:v>
      </x:c>
      <x:c r="U258" s="31" t="n">
        <x:f>IF(T258="","",I258*T258)</x:f>
        <x:v>10948.072177289121</x:v>
      </x:c>
    </x:row>
    <x:row r="259" ht="18" customHeight="1">
      <x:c r="A259" s="24" t="str">
        <x:v>LME_025</x:v>
      </x:c>
      <x:c r="B259" s="24" t="str">
        <x:v>Iberian Coastal</x:v>
      </x:c>
      <x:c r="C259" s="24" t="str">
        <x:v>LME</x:v>
      </x:c>
      <x:c r="D259" s="30" t="n">
        <x:v>2019</x:v>
      </x:c>
      <x:c r="E259" s="24" t="str">
        <x:v>Sebastidae</x:v>
      </x:c>
      <x:c r="F259" s="24" t="str">
        <x:v>Rockfishes, rockcods, thornyheads</x:v>
      </x:c>
      <x:c r="G259" s="24" t="str">
        <x:v>Medium demersals (30 - 89 cm)</x:v>
      </x:c>
      <x:c r="H259" s="24" t="str">
        <x:v>Scorpionfishes</x:v>
      </x:c>
      <x:c r="I259" s="31" t="n">
        <x:v>11.674465913399999</x:v>
      </x:c>
      <x:c r="J259" s="31" t="n">
        <x:v>0</x:v>
      </x:c>
      <x:c r="K259" s="31" t="n">
        <x:v>11.674465913399999</x:v>
      </x:c>
      <x:c r="L259" s="31" t="n">
        <x:v>0</x:v>
      </x:c>
      <x:c r="M259" s="31" t="n">
        <x:v>11.674465913399999</x:v>
      </x:c>
      <x:c r="N259" s="24" t="str">
        <x:v>sebastidae</x:v>
      </x:c>
      <x:c r="O259" s="32" t="n">
        <x:v>3.74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Sebastidae</x:v>
      </x:c>
      <x:c r="T259" s="32" t="n">
        <x:f>IF(O259="","",(1/'Metadata'!$B$5)^(O259-1))</x:f>
        <x:v>549.5408738576248</x:v>
      </x:c>
      <x:c r="U259" s="31" t="n">
        <x:f>IF(T259="","",I259*T259)</x:f>
        <x:v>6415.596199870889</x:v>
      </x:c>
    </x:row>
    <x:row r="260" ht="18" customHeight="1">
      <x:c r="A260" s="24" t="str">
        <x:v>LME_025</x:v>
      </x:c>
      <x:c r="B260" s="24" t="str">
        <x:v>Iberian Coastal</x:v>
      </x:c>
      <x:c r="C260" s="24" t="str">
        <x:v>LME</x:v>
      </x:c>
      <x:c r="D260" s="30" t="n">
        <x:v>2019</x:v>
      </x:c>
      <x:c r="E260" s="24" t="str">
        <x:v>Plesionika edwardsii</x:v>
      </x:c>
      <x:c r="F260" s="24" t="str">
        <x:v>Soldier striped shrimp</x:v>
      </x:c>
      <x:c r="G260" s="24" t="str">
        <x:v>Shrimps</x:v>
      </x:c>
      <x:c r="H260" s="24" t="str">
        <x:v>Crustaceans</x:v>
      </x:c>
      <x:c r="I260" s="31" t="n">
        <x:v>11.2783110344</x:v>
      </x:c>
      <x:c r="J260" s="31" t="n">
        <x:v>11.1314718396</x:v>
      </x:c>
      <x:c r="K260" s="31" t="n">
        <x:v>0.1468391948</x:v>
      </x:c>
      <x:c r="L260" s="31" t="n">
        <x:v>10.1048657989</x:v>
      </x:c>
      <x:c r="M260" s="31" t="n">
        <x:v>1.1734452355</x:v>
      </x:c>
      <x:c r="N260" s="24" t="str">
        <x:v>plesionika edwardsii</x:v>
      </x:c>
      <x:c r="O260" s="32" t="n">
        <x:v>3.53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Plesionika edwardsii</x:v>
      </x:c>
      <x:c r="T260" s="32" t="n">
        <x:f>IF(O260="","",(1/'Metadata'!$B$5)^(O260-1))</x:f>
        <x:v>338.84415613920237</x:v>
      </x:c>
      <x:c r="U260" s="31" t="n">
        <x:f>IF(T260="","",I260*T260)</x:f>
        <x:v>3821.5897851267223</x:v>
      </x:c>
    </x:row>
    <x:row r="261" ht="18" customHeight="1">
      <x:c r="A261" s="24" t="str">
        <x:v>LME_025</x:v>
      </x:c>
      <x:c r="B261" s="24" t="str">
        <x:v>Iberian Coastal</x:v>
      </x:c>
      <x:c r="C261" s="24" t="str">
        <x:v>LME</x:v>
      </x:c>
      <x:c r="D261" s="30" t="n">
        <x:v>2019</x:v>
      </x:c>
      <x:c r="E261" s="24" t="str">
        <x:v>Seriola dumerili</x:v>
      </x:c>
      <x:c r="F261" s="24" t="str">
        <x:v>Greater amberjack</x:v>
      </x:c>
      <x:c r="G261" s="24" t="str">
        <x:v>Large reef assoc. fish (&gt;=90 cm)</x:v>
      </x:c>
      <x:c r="H261" s="24" t="str">
        <x:v>Perch-likes</x:v>
      </x:c>
      <x:c r="I261" s="31" t="n">
        <x:v>10.6103068768</x:v>
      </x:c>
      <x:c r="J261" s="31" t="n">
        <x:v>10.2806085907</x:v>
      </x:c>
      <x:c r="K261" s="31" t="n">
        <x:v>0.3296982861</x:v>
      </x:c>
      <x:c r="L261" s="31" t="n">
        <x:v>8.1703312435</x:v>
      </x:c>
      <x:c r="M261" s="31" t="n">
        <x:v>2.4399756333</x:v>
      </x:c>
      <x:c r="N261" s="24" t="str">
        <x:v>seriola dumerili</x:v>
      </x:c>
      <x:c r="O261" s="32" t="n">
        <x:v>4.5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Seriola dumerili</x:v>
      </x:c>
      <x:c r="T261" s="32" t="n">
        <x:f>IF(O261="","",(1/'Metadata'!$B$5)^(O261-1))</x:f>
        <x:v>3162.2776601683795</x:v>
      </x:c>
      <x:c r="U261" s="31" t="n">
        <x:f>IF(T261="","",I261*T261)</x:f>
        <x:v>33552.73640403557</x:v>
      </x:c>
    </x:row>
    <x:row r="262" ht="18" customHeight="1">
      <x:c r="A262" s="24" t="str">
        <x:v>LME_025</x:v>
      </x:c>
      <x:c r="B262" s="24" t="str">
        <x:v>Iberian Coastal</x:v>
      </x:c>
      <x:c r="C262" s="24" t="str">
        <x:v>LME</x:v>
      </x:c>
      <x:c r="D262" s="30" t="n">
        <x:v>2019</x:v>
      </x:c>
      <x:c r="E262" s="24" t="str">
        <x:v>Sciaena umbra</x:v>
      </x:c>
      <x:c r="F262" s="24" t="str">
        <x:v>Brown meagre</x:v>
      </x:c>
      <x:c r="G262" s="24" t="str">
        <x:v>Medium demersals (30 - 89 cm)</x:v>
      </x:c>
      <x:c r="H262" s="24" t="str">
        <x:v>Perch-likes</x:v>
      </x:c>
      <x:c r="I262" s="31" t="n">
        <x:v>10.3515824197</x:v>
      </x:c>
      <x:c r="J262" s="31" t="n">
        <x:v>10.2527499969</x:v>
      </x:c>
      <x:c r="K262" s="31" t="n">
        <x:v>0.0988324228</x:v>
      </x:c>
      <x:c r="L262" s="31" t="n">
        <x:v>7.0161154992</x:v>
      </x:c>
      <x:c r="M262" s="31" t="n">
        <x:v>3.3354669205</x:v>
      </x:c>
      <x:c r="N262" s="24" t="str">
        <x:v>sciaena umbra</x:v>
      </x:c>
      <x:c r="O262" s="32" t="n">
        <x:v>3.75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Sciaena umbra</x:v>
      </x:c>
      <x:c r="T262" s="32" t="n">
        <x:f>IF(O262="","",(1/'Metadata'!$B$5)^(O262-1))</x:f>
        <x:v>562.341325190349</x:v>
      </x:c>
      <x:c r="U262" s="31" t="n">
        <x:f>IF(T262="","",I262*T262)</x:f>
        <x:v>5821.122575711218</x:v>
      </x:c>
    </x:row>
    <x:row r="263" ht="18" customHeight="1">
      <x:c r="A263" s="24" t="str">
        <x:v>LME_025</x:v>
      </x:c>
      <x:c r="B263" s="24" t="str">
        <x:v>Iberian Coastal</x:v>
      </x:c>
      <x:c r="C263" s="24" t="str">
        <x:v>LME</x:v>
      </x:c>
      <x:c r="D263" s="30" t="n">
        <x:v>2019</x:v>
      </x:c>
      <x:c r="E263" s="24" t="str">
        <x:v>Trigla lyra</x:v>
      </x:c>
      <x:c r="F263" s="24" t="str">
        <x:v>Piper gurnard</x:v>
      </x:c>
      <x:c r="G263" s="24" t="str">
        <x:v>Medium bathydemersals (30 - 89 cm)</x:v>
      </x:c>
      <x:c r="H263" s="24" t="str">
        <x:v>Scorpionfishes</x:v>
      </x:c>
      <x:c r="I263" s="31" t="n">
        <x:v>10.3341660581</x:v>
      </x:c>
      <x:c r="J263" s="31" t="n">
        <x:v>10.2039972302</x:v>
      </x:c>
      <x:c r="K263" s="31" t="n">
        <x:v>0.1301688279</x:v>
      </x:c>
      <x:c r="L263" s="31" t="n">
        <x:v>7.292298883700001</x:v>
      </x:c>
      <x:c r="M263" s="31" t="n">
        <x:v>3.0418671744</x:v>
      </x:c>
      <x:c r="N263" s="24" t="str">
        <x:v>trigla lyra</x:v>
      </x:c>
      <x:c r="O263" s="32" t="n">
        <x:v>3.65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Trigla lyra</x:v>
      </x:c>
      <x:c r="T263" s="32" t="n">
        <x:f>IF(O263="","",(1/'Metadata'!$B$5)^(O263-1))</x:f>
        <x:v>446.683592150963</x:v>
      </x:c>
      <x:c r="U263" s="31" t="n">
        <x:f>IF(T263="","",I263*T263)</x:f>
        <x:v>4616.102416716665</x:v>
      </x:c>
    </x:row>
    <x:row r="264" ht="18" customHeight="1">
      <x:c r="A264" s="24" t="str">
        <x:v>LME_025</x:v>
      </x:c>
      <x:c r="B264" s="24" t="str">
        <x:v>Iberian Coastal</x:v>
      </x:c>
      <x:c r="C264" s="24" t="str">
        <x:v>LME</x:v>
      </x:c>
      <x:c r="D264" s="30" t="n">
        <x:v>2019</x:v>
      </x:c>
      <x:c r="E264" s="24" t="str">
        <x:v>Deania calceus</x:v>
      </x:c>
      <x:c r="F264" s="24" t="str">
        <x:v>Birdbeak dogfish</x:v>
      </x:c>
      <x:c r="G264" s="24" t="str">
        <x:v>Large sharks (&gt;=90 cm)</x:v>
      </x:c>
      <x:c r="H264" s="24" t="str">
        <x:v>Sharks &amp; rays</x:v>
      </x:c>
      <x:c r="I264" s="31" t="n">
        <x:v>10.128045588</x:v>
      </x:c>
      <x:c r="J264" s="31" t="n">
        <x:v>0</x:v>
      </x:c>
      <x:c r="K264" s="31" t="n">
        <x:v>10.128045588</x:v>
      </x:c>
      <x:c r="L264" s="31" t="n">
        <x:v>0</x:v>
      </x:c>
      <x:c r="M264" s="31" t="n">
        <x:v>10.128045588</x:v>
      </x:c>
      <x:c r="N264" s="24" t="str">
        <x:v>deania calceus</x:v>
      </x:c>
      <x:c r="O264" s="32" t="n">
        <x:v>4.33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Deania calceus</x:v>
      </x:c>
      <x:c r="T264" s="32" t="n">
        <x:f>IF(O264="","",(1/'Metadata'!$B$5)^(O264-1))</x:f>
        <x:v>2137.9620895022326</x:v>
      </x:c>
      <x:c r="U264" s="31" t="n">
        <x:f>IF(T264="","",I264*T264)</x:f>
        <x:v>21653.37750789435</x:v>
      </x:c>
    </x:row>
    <x:row r="265" ht="18" customHeight="1">
      <x:c r="A265" s="24" t="str">
        <x:v>LME_025</x:v>
      </x:c>
      <x:c r="B265" s="24" t="str">
        <x:v>Iberian Coastal</x:v>
      </x:c>
      <x:c r="C265" s="24" t="str">
        <x:v>LME</x:v>
      </x:c>
      <x:c r="D265" s="30" t="n">
        <x:v>2019</x:v>
      </x:c>
      <x:c r="E265" s="24" t="str">
        <x:v>Lepidorhombus whiffiagonis</x:v>
      </x:c>
      <x:c r="F265" s="24" t="str">
        <x:v>Megrim</x:v>
      </x:c>
      <x:c r="G265" s="24" t="str">
        <x:v>Small to medium flatfishes (&lt;90 cm)</x:v>
      </x:c>
      <x:c r="H265" s="24" t="str">
        <x:v>Flatfishes</x:v>
      </x:c>
      <x:c r="I265" s="31" t="n">
        <x:v>10.116501747500001</x:v>
      </x:c>
      <x:c r="J265" s="31" t="n">
        <x:v>10.116501747500001</x:v>
      </x:c>
      <x:c r="K265" s="31" t="n">
        <x:v>0</x:v>
      </x:c>
      <x:c r="L265" s="31" t="n">
        <x:v>4.308847790400001</x:v>
      </x:c>
      <x:c r="M265" s="31" t="n">
        <x:v>5.8076539571</x:v>
      </x:c>
      <x:c r="N265" s="24" t="str">
        <x:v>lepidorhombus whiffiagonis</x:v>
      </x:c>
      <x:c r="O265" s="32" t="n">
        <x:v>4.34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Lepidorhombus whiffiagonis</x:v>
      </x:c>
      <x:c r="T265" s="32" t="n">
        <x:f>IF(O265="","",(1/'Metadata'!$B$5)^(O265-1))</x:f>
        <x:v>2187.761623949552</x:v>
      </x:c>
      <x:c r="U265" s="31" t="n">
        <x:f>IF(T265="","",I265*T265)</x:f>
        <x:v>22132.49429179908</x:v>
      </x:c>
    </x:row>
    <x:row r="266" ht="18" customHeight="1">
      <x:c r="A266" s="24" t="str">
        <x:v>LME_025</x:v>
      </x:c>
      <x:c r="B266" s="24" t="str">
        <x:v>Iberian Coastal</x:v>
      </x:c>
      <x:c r="C266" s="24" t="str">
        <x:v>LME</x:v>
      </x:c>
      <x:c r="D266" s="30" t="n">
        <x:v>2019</x:v>
      </x:c>
      <x:c r="E266" s="24" t="str">
        <x:v>Raja undulata</x:v>
      </x:c>
      <x:c r="F266" s="24" t="str">
        <x:v>Undulate ray</x:v>
      </x:c>
      <x:c r="G266" s="24" t="str">
        <x:v>Small to medium rays (&lt;90 cm)</x:v>
      </x:c>
      <x:c r="H266" s="24" t="str">
        <x:v>Sharks &amp; rays</x:v>
      </x:c>
      <x:c r="I266" s="31" t="n">
        <x:v>9.9244070422</x:v>
      </x:c>
      <x:c r="J266" s="31" t="n">
        <x:v>6.6570420524000005</x:v>
      </x:c>
      <x:c r="K266" s="31" t="n">
        <x:v>3.2673649898</x:v>
      </x:c>
      <x:c r="L266" s="31" t="n">
        <x:v>2.2272321777</x:v>
      </x:c>
      <x:c r="M266" s="31" t="n">
        <x:v>7.6971748645</x:v>
      </x:c>
      <x:c r="N266" s="24" t="str">
        <x:v>raja undulata</x:v>
      </x:c>
      <x:c r="O266" s="32" t="n">
        <x:v>3.5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Raja undulata</x:v>
      </x:c>
      <x:c r="T266" s="32" t="n">
        <x:f>IF(O266="","",(1/'Metadata'!$B$5)^(O266-1))</x:f>
        <x:v>316.22776601683796</x:v>
      </x:c>
      <x:c r="U266" s="31" t="n">
        <x:f>IF(T266="","",I266*T266)</x:f>
        <x:v>3138.3730679966807</x:v>
      </x:c>
    </x:row>
    <x:row r="267" ht="18" customHeight="1">
      <x:c r="A267" s="24" t="str">
        <x:v>LME_025</x:v>
      </x:c>
      <x:c r="B267" s="24" t="str">
        <x:v>Iberian Coastal</x:v>
      </x:c>
      <x:c r="C267" s="24" t="str">
        <x:v>LME</x:v>
      </x:c>
      <x:c r="D267" s="30" t="n">
        <x:v>2019</x:v>
      </x:c>
      <x:c r="E267" s="24" t="str">
        <x:v>Chelon saliens</x:v>
      </x:c>
      <x:c r="F267" s="24" t="str">
        <x:v>Leaping mullet</x:v>
      </x:c>
      <x:c r="G267" s="24" t="str">
        <x:v>Medium demersals (30 - 89 cm)</x:v>
      </x:c>
      <x:c r="H267" s="24" t="str">
        <x:v>Perch-likes</x:v>
      </x:c>
      <x:c r="I267" s="31" t="n">
        <x:v>9.8976579398</x:v>
      </x:c>
      <x:c r="J267" s="31" t="n">
        <x:v>9.8976579398</x:v>
      </x:c>
      <x:c r="K267" s="31" t="n">
        <x:v>0</x:v>
      </x:c>
      <x:c r="L267" s="31" t="n">
        <x:v>7.3345762861</x:v>
      </x:c>
      <x:c r="M267" s="31" t="n">
        <x:v>2.5630816537</x:v>
      </x:c>
      <x:c r="N267" s="24" t="str">
        <x:v>chelon saliens</x:v>
      </x:c>
      <x:c r="O267" s="32" t="n">
        <x:v>2.9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Chelon saliens</x:v>
      </x:c>
      <x:c r="T267" s="32" t="n">
        <x:f>IF(O267="","",(1/'Metadata'!$B$5)^(O267-1))</x:f>
        <x:v>79.43282347242814</x:v>
      </x:c>
      <x:c r="U267" s="31" t="n">
        <x:f>IF(T267="","",I267*T267)</x:f>
        <x:v>786.1989159226102</x:v>
      </x:c>
    </x:row>
    <x:row r="268" ht="18" customHeight="1">
      <x:c r="A268" s="24" t="str">
        <x:v>LME_025</x:v>
      </x:c>
      <x:c r="B268" s="24" t="str">
        <x:v>Iberian Coastal</x:v>
      </x:c>
      <x:c r="C268" s="24" t="str">
        <x:v>LME</x:v>
      </x:c>
      <x:c r="D268" s="30" t="n">
        <x:v>2019</x:v>
      </x:c>
      <x:c r="E268" s="24" t="str">
        <x:v>Mustelus asterias</x:v>
      </x:c>
      <x:c r="F268" s="24" t="str">
        <x:v>Starry smooth-hound</x:v>
      </x:c>
      <x:c r="G268" s="24" t="str">
        <x:v>Large sharks (&gt;=90 cm)</x:v>
      </x:c>
      <x:c r="H268" s="24" t="str">
        <x:v>Sharks &amp; rays</x:v>
      </x:c>
      <x:c r="I268" s="31" t="n">
        <x:v>9.5834238255</x:v>
      </x:c>
      <x:c r="J268" s="31" t="n">
        <x:v>9.5834238255</x:v>
      </x:c>
      <x:c r="K268" s="31" t="n">
        <x:v>0</x:v>
      </x:c>
      <x:c r="L268" s="31" t="n">
        <x:v>9.5834238255</x:v>
      </x:c>
      <x:c r="M268" s="31" t="n">
        <x:v>0</x:v>
      </x:c>
      <x:c r="N268" s="24" t="str">
        <x:v>mustelus asterias</x:v>
      </x:c>
      <x:c r="O268" s="32" t="n">
        <x:v>3.62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Mustelus asterias</x:v>
      </x:c>
      <x:c r="T268" s="32" t="n">
        <x:f>IF(O268="","",(1/'Metadata'!$B$5)^(O268-1))</x:f>
        <x:v>416.8693834703355</x:v>
      </x:c>
      <x:c r="U268" s="31" t="n">
        <x:f>IF(T268="","",I268*T268)</x:f>
        <x:v>3995.0359816711093</x:v>
      </x:c>
    </x:row>
    <x:row r="269" ht="18" customHeight="1">
      <x:c r="A269" s="24" t="str">
        <x:v>LME_025</x:v>
      </x:c>
      <x:c r="B269" s="24" t="str">
        <x:v>Iberian Coastal</x:v>
      </x:c>
      <x:c r="C269" s="24" t="str">
        <x:v>LME</x:v>
      </x:c>
      <x:c r="D269" s="30" t="n">
        <x:v>2019</x:v>
      </x:c>
      <x:c r="E269" s="24" t="str">
        <x:v>Scomberesocidae</x:v>
      </x:c>
      <x:c r="F269" s="24" t="str">
        <x:v>Sauries</x:v>
      </x:c>
      <x:c r="G269" s="24" t="str">
        <x:v>Medium pelagics (30 - 89 cm)</x:v>
      </x:c>
      <x:c r="H269" s="24" t="str">
        <x:v>Other fishes &amp; inverts</x:v>
      </x:c>
      <x:c r="I269" s="31" t="n">
        <x:v>9.5774529781</x:v>
      </x:c>
      <x:c r="J269" s="31" t="n">
        <x:v>9.5774529781</x:v>
      </x:c>
      <x:c r="K269" s="31" t="n">
        <x:v>0</x:v>
      </x:c>
      <x:c r="L269" s="31" t="n">
        <x:v>9.4299725555</x:v>
      </x:c>
      <x:c r="M269" s="31" t="n">
        <x:v>0.14748042260000002</x:v>
      </x:c>
      <x:c r="N269" s="24" t="str">
        <x:v>scomberesocidae</x:v>
      </x:c>
      <x:c r="O269" s="32" t="n">
        <x:v>4.01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Scomberesocidae</x:v>
      </x:c>
      <x:c r="T269" s="32" t="n">
        <x:f>IF(O269="","",(1/'Metadata'!$B$5)^(O269-1))</x:f>
        <x:v>1023.2929922807537</x:v>
      </x:c>
      <x:c r="U269" s="31" t="n">
        <x:f>IF(T269="","",I269*T269)</x:f>
        <x:v>9800.540516388164</x:v>
      </x:c>
    </x:row>
    <x:row r="270" ht="18" customHeight="1">
      <x:c r="A270" s="24" t="str">
        <x:v>LME_025</x:v>
      </x:c>
      <x:c r="B270" s="24" t="str">
        <x:v>Iberian Coastal</x:v>
      </x:c>
      <x:c r="C270" s="24" t="str">
        <x:v>LME</x:v>
      </x:c>
      <x:c r="D270" s="30" t="n">
        <x:v>2019</x:v>
      </x:c>
      <x:c r="E270" s="24" t="str">
        <x:v>Diplodus cervinus</x:v>
      </x:c>
      <x:c r="F270" s="24" t="str">
        <x:v>Zebra seabream</x:v>
      </x:c>
      <x:c r="G270" s="24" t="str">
        <x:v>Medium benthopelagics (30 - 89 cm)</x:v>
      </x:c>
      <x:c r="H270" s="24" t="str">
        <x:v>Perch-likes</x:v>
      </x:c>
      <x:c r="I270" s="31" t="n">
        <x:v>9.4384442611</x:v>
      </x:c>
      <x:c r="J270" s="31" t="n">
        <x:v>9.2180211358</x:v>
      </x:c>
      <x:c r="K270" s="31" t="n">
        <x:v>0.2204231253</x:v>
      </x:c>
      <x:c r="L270" s="31" t="n">
        <x:v>8.2325706222</x:v>
      </x:c>
      <x:c r="M270" s="31" t="n">
        <x:v>1.2058736389</x:v>
      </x:c>
      <x:c r="N270" s="24" t="str">
        <x:v>diplodus cervinus</x:v>
      </x:c>
      <x:c r="O270" s="32" t="n">
        <x:v>2.99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Diplodus cervinus</x:v>
      </x:c>
      <x:c r="T270" s="32" t="n">
        <x:f>IF(O270="","",(1/'Metadata'!$B$5)^(O270-1))</x:f>
        <x:v>97.72372209558111</x:v>
      </x:c>
      <x:c r="U270" s="31" t="n">
        <x:f>IF(T270="","",I270*T270)</x:f>
        <x:v>922.3599039863689</x:v>
      </x:c>
    </x:row>
    <x:row r="271" ht="18" customHeight="1">
      <x:c r="A271" s="24" t="str">
        <x:v>LME_025</x:v>
      </x:c>
      <x:c r="B271" s="24" t="str">
        <x:v>Iberian Coastal</x:v>
      </x:c>
      <x:c r="C271" s="24" t="str">
        <x:v>LME</x:v>
      </x:c>
      <x:c r="D271" s="30" t="n">
        <x:v>2019</x:v>
      </x:c>
      <x:c r="E271" s="24" t="str">
        <x:v>Caranx hippos</x:v>
      </x:c>
      <x:c r="F271" s="24" t="str">
        <x:v>Crevalle jack</x:v>
      </x:c>
      <x:c r="G271" s="24" t="str">
        <x:v>Large reef assoc. fish (&gt;=90 cm)</x:v>
      </x:c>
      <x:c r="H271" s="24" t="str">
        <x:v>Perch-likes</x:v>
      </x:c>
      <x:c r="I271" s="31" t="n">
        <x:v>9.36407212</x:v>
      </x:c>
      <x:c r="J271" s="31" t="n">
        <x:v>9.36407212</x:v>
      </x:c>
      <x:c r="K271" s="31" t="n">
        <x:v>0</x:v>
      </x:c>
      <x:c r="L271" s="31" t="n">
        <x:v>9.36407212</x:v>
      </x:c>
      <x:c r="M271" s="31" t="n">
        <x:v>0</x:v>
      </x:c>
      <x:c r="N271" s="24" t="str">
        <x:v>caranx hippos</x:v>
      </x:c>
      <x:c r="O271" s="32" t="n">
        <x:v>3.56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Caranx hippos</x:v>
      </x:c>
      <x:c r="T271" s="32" t="n">
        <x:f>IF(O271="","",(1/'Metadata'!$B$5)^(O271-1))</x:f>
        <x:v>363.0780547701014</x:v>
      </x:c>
      <x:c r="U271" s="31" t="n">
        <x:f>IF(T271="","",I271*T271)</x:f>
        <x:v>3399.8890900565393</x:v>
      </x:c>
    </x:row>
    <x:row r="272" ht="18" customHeight="1">
      <x:c r="A272" s="24" t="str">
        <x:v>LME_025</x:v>
      </x:c>
      <x:c r="B272" s="24" t="str">
        <x:v>Iberian Coastal</x:v>
      </x:c>
      <x:c r="C272" s="24" t="str">
        <x:v>LME</x:v>
      </x:c>
      <x:c r="D272" s="30" t="n">
        <x:v>2019</x:v>
      </x:c>
      <x:c r="E272" s="24" t="str">
        <x:v>Centrophorus squamosus</x:v>
      </x:c>
      <x:c r="F272" s="24" t="str">
        <x:v>Leafscale gulper shark</x:v>
      </x:c>
      <x:c r="G272" s="24" t="str">
        <x:v>Large sharks (&gt;=90 cm)</x:v>
      </x:c>
      <x:c r="H272" s="24" t="str">
        <x:v>Sharks &amp; rays</x:v>
      </x:c>
      <x:c r="I272" s="31" t="n">
        <x:v>9.2973937358</x:v>
      </x:c>
      <x:c r="J272" s="31" t="n">
        <x:v>0</x:v>
      </x:c>
      <x:c r="K272" s="31" t="n">
        <x:v>9.2973937358</x:v>
      </x:c>
      <x:c r="L272" s="31" t="n">
        <x:v>0</x:v>
      </x:c>
      <x:c r="M272" s="31" t="n">
        <x:v>9.2973937358</x:v>
      </x:c>
      <x:c r="N272" s="24" t="str">
        <x:v>centrophorus squamosus</x:v>
      </x:c>
      <x:c r="O272" s="32" t="n">
        <x:v>4.47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Centrophorus squamosus</x:v>
      </x:c>
      <x:c r="T272" s="32" t="n">
        <x:f>IF(O272="","",(1/'Metadata'!$B$5)^(O272-1))</x:f>
        <x:v>2951.209226666384</x:v>
      </x:c>
      <x:c r="U272" s="31" t="n">
        <x:f>IF(T272="","",I272*T272)</x:f>
        <x:v>27438.5541770432</x:v>
      </x:c>
    </x:row>
    <x:row r="273" ht="18" customHeight="1">
      <x:c r="A273" s="24" t="str">
        <x:v>LME_025</x:v>
      </x:c>
      <x:c r="B273" s="24" t="str">
        <x:v>Iberian Coastal</x:v>
      </x:c>
      <x:c r="C273" s="24" t="str">
        <x:v>LME</x:v>
      </x:c>
      <x:c r="D273" s="30" t="n">
        <x:v>2019</x:v>
      </x:c>
      <x:c r="E273" s="24" t="str">
        <x:v>Aristaeopsis edwardsiana</x:v>
      </x:c>
      <x:c r="F273" s="24" t="str">
        <x:v>Scarlet shrimp</x:v>
      </x:c>
      <x:c r="G273" s="24" t="str">
        <x:v>Shrimps</x:v>
      </x:c>
      <x:c r="H273" s="24" t="str">
        <x:v>Crustaceans</x:v>
      </x:c>
      <x:c r="I273" s="31" t="n">
        <x:v>9.1158356668</x:v>
      </x:c>
      <x:c r="J273" s="31" t="n">
        <x:v>8.2992344533</x:v>
      </x:c>
      <x:c r="K273" s="31" t="n">
        <x:v>0.8166012135</x:v>
      </x:c>
      <x:c r="L273" s="31" t="n">
        <x:v>7.2045021299</x:v>
      </x:c>
      <x:c r="M273" s="31" t="n">
        <x:v>1.9113335369</x:v>
      </x:c>
      <x:c r="N273" s="24" t="str">
        <x:v>aristaeopsis edwardsiana</x:v>
      </x:c>
      <x:c r="O273" s="32" t="n">
        <x:v>2.3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Aristaeopsis edwardsiana</x:v>
      </x:c>
      <x:c r="T273" s="32" t="n">
        <x:f>IF(O273="","",(1/'Metadata'!$B$5)^(O273-1))</x:f>
        <x:v>19.952623149688787</x:v>
      </x:c>
      <x:c r="U273" s="31" t="n">
        <x:f>IF(T273="","",I273*T273)</x:f>
        <x:v>181.88483375415242</x:v>
      </x:c>
    </x:row>
    <x:row r="274" ht="18" customHeight="1">
      <x:c r="A274" s="24" t="str">
        <x:v>LME_025</x:v>
      </x:c>
      <x:c r="B274" s="24" t="str">
        <x:v>Iberian Coastal</x:v>
      </x:c>
      <x:c r="C274" s="24" t="str">
        <x:v>LME</x:v>
      </x:c>
      <x:c r="D274" s="30" t="n">
        <x:v>2019</x:v>
      </x:c>
      <x:c r="E274" s="24" t="str">
        <x:v>Trisopterus minutus</x:v>
      </x:c>
      <x:c r="F274" s="24" t="str">
        <x:v>Poor cod</x:v>
      </x:c>
      <x:c r="G274" s="24" t="str">
        <x:v>Medium benthopelagics (30 - 89 cm)</x:v>
      </x:c>
      <x:c r="H274" s="24" t="str">
        <x:v>Cod-likes</x:v>
      </x:c>
      <x:c r="I274" s="31" t="n">
        <x:v>8.9508767562</x:v>
      </x:c>
      <x:c r="J274" s="31" t="n">
        <x:v>8.9508767562</x:v>
      </x:c>
      <x:c r="K274" s="31" t="n">
        <x:v>0</x:v>
      </x:c>
      <x:c r="L274" s="31" t="n">
        <x:v>5.7282666051</x:v>
      </x:c>
      <x:c r="M274" s="31" t="n">
        <x:v>3.2226101511</x:v>
      </x:c>
      <x:c r="N274" s="24" t="str">
        <x:v>trisopterus minutus</x:v>
      </x:c>
      <x:c r="O274" s="32" t="n">
        <x:v>3.73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Trisopterus minutus</x:v>
      </x:c>
      <x:c r="T274" s="32" t="n">
        <x:f>IF(O274="","",(1/'Metadata'!$B$5)^(O274-1))</x:f>
        <x:v>537.0317963702527</x:v>
      </x:c>
      <x:c r="U274" s="31" t="n">
        <x:f>IF(T274="","",I274*T274)</x:f>
        <x:v>4806.905423470826</x:v>
      </x:c>
    </x:row>
    <x:row r="275" ht="18" customHeight="1">
      <x:c r="A275" s="24" t="str">
        <x:v>LME_025</x:v>
      </x:c>
      <x:c r="B275" s="24" t="str">
        <x:v>Iberian Coastal</x:v>
      </x:c>
      <x:c r="C275" s="24" t="str">
        <x:v>LME</x:v>
      </x:c>
      <x:c r="D275" s="30" t="n">
        <x:v>2019</x:v>
      </x:c>
      <x:c r="E275" s="24" t="str">
        <x:v>Mugil cephalus</x:v>
      </x:c>
      <x:c r="F275" s="24" t="str">
        <x:v>Flathead grey mullet</x:v>
      </x:c>
      <x:c r="G275" s="24" t="str">
        <x:v>Large benthopelagics (&gt;=90 cm)</x:v>
      </x:c>
      <x:c r="H275" s="24" t="str">
        <x:v>Perch-likes</x:v>
      </x:c>
      <x:c r="I275" s="31" t="n">
        <x:v>8.6706073976</x:v>
      </x:c>
      <x:c r="J275" s="31" t="n">
        <x:v>6.515403749000001</x:v>
      </x:c>
      <x:c r="K275" s="31" t="n">
        <x:v>2.1552036486</x:v>
      </x:c>
      <x:c r="L275" s="31" t="n">
        <x:v>4.0702194586000005</x:v>
      </x:c>
      <x:c r="M275" s="31" t="n">
        <x:v>4.600387939</x:v>
      </x:c>
      <x:c r="N275" s="24" t="str">
        <x:v>mugil cephalus</x:v>
      </x:c>
      <x:c r="O275" s="32" t="n">
        <x:v>2.14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Mugil cephalus</x:v>
      </x:c>
      <x:c r="T275" s="32" t="n">
        <x:f>IF(O275="","",(1/'Metadata'!$B$5)^(O275-1))</x:f>
        <x:v>13.803842646028853</x:v>
      </x:c>
      <x:c r="U275" s="31" t="n">
        <x:f>IF(T275="","",I275*T275)</x:f>
        <x:v>119.68770016196413</x:v>
      </x:c>
    </x:row>
    <x:row r="276" ht="18" customHeight="1">
      <x:c r="A276" s="24" t="str">
        <x:v>LME_025</x:v>
      </x:c>
      <x:c r="B276" s="24" t="str">
        <x:v>Iberian Coastal</x:v>
      </x:c>
      <x:c r="C276" s="24" t="str">
        <x:v>LME</x:v>
      </x:c>
      <x:c r="D276" s="30" t="n">
        <x:v>2019</x:v>
      </x:c>
      <x:c r="E276" s="24" t="str">
        <x:v>Serranus scriba</x:v>
      </x:c>
      <x:c r="F276" s="24" t="str">
        <x:v>Painted comber</x:v>
      </x:c>
      <x:c r="G276" s="24" t="str">
        <x:v>Medium demersals (30 - 89 cm)</x:v>
      </x:c>
      <x:c r="H276" s="24" t="str">
        <x:v>Perch-likes</x:v>
      </x:c>
      <x:c r="I276" s="31" t="n">
        <x:v>8.3667363468</x:v>
      </x:c>
      <x:c r="J276" s="31" t="n">
        <x:v>8.3667363468</x:v>
      </x:c>
      <x:c r="K276" s="31" t="n">
        <x:v>0</x:v>
      </x:c>
      <x:c r="L276" s="31" t="n">
        <x:v>0</x:v>
      </x:c>
      <x:c r="M276" s="31" t="n">
        <x:v>8.3667363468</x:v>
      </x:c>
      <x:c r="N276" s="24" t="str">
        <x:v>serranus scriba</x:v>
      </x:c>
      <x:c r="O276" s="32" t="n">
        <x:v>3.82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Serranus scriba</x:v>
      </x:c>
      <x:c r="T276" s="32" t="n">
        <x:f>IF(O276="","",(1/'Metadata'!$B$5)^(O276-1))</x:f>
        <x:v>660.6934480075957</x:v>
      </x:c>
      <x:c r="U276" s="31" t="n">
        <x:f>IF(T276="","",I276*T276)</x:f>
        <x:v>5527.847885537767</x:v>
      </x:c>
    </x:row>
    <x:row r="277" ht="18" customHeight="1">
      <x:c r="A277" s="24" t="str">
        <x:v>LME_025</x:v>
      </x:c>
      <x:c r="B277" s="24" t="str">
        <x:v>Iberian Coastal</x:v>
      </x:c>
      <x:c r="C277" s="24" t="str">
        <x:v>LME</x:v>
      </x:c>
      <x:c r="D277" s="30" t="n">
        <x:v>2019</x:v>
      </x:c>
      <x:c r="E277" s="24" t="str">
        <x:v>Raja miraletus</x:v>
      </x:c>
      <x:c r="F277" s="24" t="str">
        <x:v>Brown ray</x:v>
      </x:c>
      <x:c r="G277" s="24" t="str">
        <x:v>Small to medium rays (&lt;90 cm)</x:v>
      </x:c>
      <x:c r="H277" s="24" t="str">
        <x:v>Sharks &amp; rays</x:v>
      </x:c>
      <x:c r="I277" s="31" t="n">
        <x:v>7.8109471028</x:v>
      </x:c>
      <x:c r="J277" s="31" t="n">
        <x:v>0</x:v>
      </x:c>
      <x:c r="K277" s="31" t="n">
        <x:v>7.8109471028</x:v>
      </x:c>
      <x:c r="L277" s="31" t="n">
        <x:v>0</x:v>
      </x:c>
      <x:c r="M277" s="31" t="n">
        <x:v>7.8109471028</x:v>
      </x:c>
      <x:c r="N277" s="24" t="str">
        <x:v>raja miraletus</x:v>
      </x:c>
      <x:c r="O277" s="32" t="n">
        <x:v>3.8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Raja miraletus</x:v>
      </x:c>
      <x:c r="T277" s="32" t="n">
        <x:f>IF(O277="","",(1/'Metadata'!$B$5)^(O277-1))</x:f>
        <x:v>630.957344480193</x:v>
      </x:c>
      <x:c r="U277" s="31" t="n">
        <x:f>IF(T277="","",I277*T277)</x:f>
        <x:v>4928.374441857945</x:v>
      </x:c>
    </x:row>
    <x:row r="278" ht="18" customHeight="1">
      <x:c r="A278" s="24" t="str">
        <x:v>LME_025</x:v>
      </x:c>
      <x:c r="B278" s="24" t="str">
        <x:v>Iberian Coastal</x:v>
      </x:c>
      <x:c r="C278" s="24" t="str">
        <x:v>LME</x:v>
      </x:c>
      <x:c r="D278" s="30" t="n">
        <x:v>2019</x:v>
      </x:c>
      <x:c r="E278" s="24" t="str">
        <x:v>Trachichthyidae</x:v>
      </x:c>
      <x:c r="F278" s="24" t="str">
        <x:v>Slimeheads</x:v>
      </x:c>
      <x:c r="G278" s="24" t="str">
        <x:v>Medium bathypelagics (30 - 89 cm)</x:v>
      </x:c>
      <x:c r="H278" s="24" t="str">
        <x:v>Other fishes &amp; inverts</x:v>
      </x:c>
      <x:c r="I278" s="31" t="n">
        <x:v>7.8100793552</x:v>
      </x:c>
      <x:c r="J278" s="31" t="n">
        <x:v>7.8056439619999995</x:v>
      </x:c>
      <x:c r="K278" s="31" t="n">
        <x:v>0.0044353932</x:v>
      </x:c>
      <x:c r="L278" s="31" t="n">
        <x:v>1.4926674143</x:v>
      </x:c>
      <x:c r="M278" s="31" t="n">
        <x:v>6.3174119409</x:v>
      </x:c>
      <x:c r="N278" s="24" t="str">
        <x:v>trachichthyidae</x:v>
      </x:c>
      <x:c r="O278" s="32" t="n">
        <x:v>3.72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Trachichthyidae</x:v>
      </x:c>
      <x:c r="T278" s="32" t="n">
        <x:f>IF(O278="","",(1/'Metadata'!$B$5)^(O278-1))</x:f>
        <x:v>524.8074602497728</x:v>
      </x:c>
      <x:c r="U278" s="31" t="n">
        <x:f>IF(T278="","",I278*T278)</x:f>
        <x:v>4098.787910751696</x:v>
      </x:c>
    </x:row>
    <x:row r="279" ht="18" customHeight="1">
      <x:c r="A279" s="24" t="str">
        <x:v>LME_025</x:v>
      </x:c>
      <x:c r="B279" s="24" t="str">
        <x:v>Iberian Coastal</x:v>
      </x:c>
      <x:c r="C279" s="24" t="str">
        <x:v>LME</x:v>
      </x:c>
      <x:c r="D279" s="30" t="n">
        <x:v>2019</x:v>
      </x:c>
      <x:c r="E279" s="24" t="str">
        <x:v>Squalus</x:v>
      </x:c>
      <x:c r="F279" s="24" t="str">
        <x:v>Dogfishes</x:v>
      </x:c>
      <x:c r="G279" s="24" t="str">
        <x:v>Large sharks (&gt;=90 cm)</x:v>
      </x:c>
      <x:c r="H279" s="24" t="str">
        <x:v>Sharks &amp; rays</x:v>
      </x:c>
      <x:c r="I279" s="31" t="n">
        <x:v>7.742163719</x:v>
      </x:c>
      <x:c r="J279" s="31" t="n">
        <x:v>7.742163719</x:v>
      </x:c>
      <x:c r="K279" s="31" t="n">
        <x:v>0</x:v>
      </x:c>
      <x:c r="L279" s="31" t="n">
        <x:v>0</x:v>
      </x:c>
      <x:c r="M279" s="31" t="n">
        <x:v>7.742163719</x:v>
      </x:c>
      <x:c r="N279" s="24" t="str">
        <x:v>squalus</x:v>
      </x:c>
      <x:c r="O279" s="32" t="n">
        <x:v>4.23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Squalus</x:v>
      </x:c>
      <x:c r="T279" s="32" t="n">
        <x:f>IF(O279="","",(1/'Metadata'!$B$5)^(O279-1))</x:f>
        <x:v>1698.243652461746</x:v>
      </x:c>
      <x:c r="U279" s="31" t="n">
        <x:f>IF(T279="","",I279*T279)</x:f>
        <x:v>13148.080392111375</x:v>
      </x:c>
    </x:row>
    <x:row r="280" ht="18" customHeight="1">
      <x:c r="A280" s="24" t="str">
        <x:v>LME_025</x:v>
      </x:c>
      <x:c r="B280" s="24" t="str">
        <x:v>Iberian Coastal</x:v>
      </x:c>
      <x:c r="C280" s="24" t="str">
        <x:v>LME</x:v>
      </x:c>
      <x:c r="D280" s="30" t="n">
        <x:v>2019</x:v>
      </x:c>
      <x:c r="E280" s="24" t="str">
        <x:v>Anarhichadidae</x:v>
      </x:c>
      <x:c r="F280" s="24" t="str">
        <x:v>Wolffishes, wolfeels</x:v>
      </x:c>
      <x:c r="G280" s="24" t="str">
        <x:v>Large demersals (&gt;=90 cm)</x:v>
      </x:c>
      <x:c r="H280" s="24" t="str">
        <x:v>Perch-likes</x:v>
      </x:c>
      <x:c r="I280" s="31" t="n">
        <x:v>7.5392370031</x:v>
      </x:c>
      <x:c r="J280" s="31" t="n">
        <x:v>7.5392370031</x:v>
      </x:c>
      <x:c r="K280" s="31" t="n">
        <x:v>0</x:v>
      </x:c>
      <x:c r="L280" s="31" t="n">
        <x:v>7.5392370031</x:v>
      </x:c>
      <x:c r="M280" s="31" t="n">
        <x:v>0</x:v>
      </x:c>
      <x:c r="N280" s="24" t="str">
        <x:v>anarhichadidae</x:v>
      </x:c>
      <x:c r="O280" s="32" t="n">
        <x:v>3.47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Anarhichadidae</x:v>
      </x:c>
      <x:c r="T280" s="32" t="n">
        <x:f>IF(O280="","",(1/'Metadata'!$B$5)^(O280-1))</x:f>
        <x:v>295.1209226666387</x:v>
      </x:c>
      <x:c r="U280" s="31" t="n">
        <x:f>IF(T280="","",I280*T280)</x:f>
        <x:v>2224.9865805573363</x:v>
      </x:c>
    </x:row>
    <x:row r="281" ht="18" customHeight="1">
      <x:c r="A281" s="24" t="str">
        <x:v>LME_025</x:v>
      </x:c>
      <x:c r="B281" s="24" t="str">
        <x:v>Iberian Coastal</x:v>
      </x:c>
      <x:c r="C281" s="24" t="str">
        <x:v>LME</x:v>
      </x:c>
      <x:c r="D281" s="30" t="n">
        <x:v>2019</x:v>
      </x:c>
      <x:c r="E281" s="24" t="str">
        <x:v>Anarhichas</x:v>
      </x:c>
      <x:c r="F281" s="24" t="str">
        <x:v>Wolffishes</x:v>
      </x:c>
      <x:c r="G281" s="24" t="str">
        <x:v>Large demersals (&gt;=90 cm)</x:v>
      </x:c>
      <x:c r="H281" s="24" t="str">
        <x:v>Perch-likes</x:v>
      </x:c>
      <x:c r="I281" s="31" t="n">
        <x:v>7.071744435399999</x:v>
      </x:c>
      <x:c r="J281" s="31" t="n">
        <x:v>7.071744435399999</x:v>
      </x:c>
      <x:c r="K281" s="31" t="n">
        <x:v>0</x:v>
      </x:c>
      <x:c r="L281" s="31" t="n">
        <x:v>7.071744435399999</x:v>
      </x:c>
      <x:c r="M281" s="31" t="n">
        <x:v>0</x:v>
      </x:c>
      <x:c r="N281" s="24" t="str">
        <x:v>anarhichas</x:v>
      </x:c>
      <x:c r="O281" s="32" t="n">
        <x:v>3.35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Anarhichas</x:v>
      </x:c>
      <x:c r="T281" s="32" t="n">
        <x:f>IF(O281="","",(1/'Metadata'!$B$5)^(O281-1))</x:f>
        <x:v>223.872113856834</x:v>
      </x:c>
      <x:c r="U281" s="31" t="n">
        <x:f>IF(T281="","",I281*T281)</x:f>
        <x:v>1583.166375408301</x:v>
      </x:c>
    </x:row>
    <x:row r="282" ht="18" customHeight="1">
      <x:c r="A282" s="24" t="str">
        <x:v>LME_025</x:v>
      </x:c>
      <x:c r="B282" s="24" t="str">
        <x:v>Iberian Coastal</x:v>
      </x:c>
      <x:c r="C282" s="24" t="str">
        <x:v>LME</x:v>
      </x:c>
      <x:c r="D282" s="30" t="n">
        <x:v>2019</x:v>
      </x:c>
      <x:c r="E282" s="24" t="str">
        <x:v>Ensis ensis</x:v>
      </x:c>
      <x:c r="F282" s="24" t="str">
        <x:v>Pod razor</x:v>
      </x:c>
      <x:c r="G282" s="24" t="str">
        <x:v>Other demersal invertebrates</x:v>
      </x:c>
      <x:c r="H282" s="24" t="str">
        <x:v>Molluscs</x:v>
      </x:c>
      <x:c r="I282" s="31" t="n">
        <x:v>6.503943807200001</x:v>
      </x:c>
      <x:c r="J282" s="31" t="n">
        <x:v>6.503943807200001</x:v>
      </x:c>
      <x:c r="K282" s="31" t="n">
        <x:v>0</x:v>
      </x:c>
      <x:c r="L282" s="31" t="n">
        <x:v>6.503943807200001</x:v>
      </x:c>
      <x:c r="M282" s="31" t="n">
        <x:v>0</x:v>
      </x:c>
      <x:c r="N282" s="24" t="str">
        <x:v>ensis ensis</x:v>
      </x:c>
      <x:c r="O282" s="32" t="n">
        <x:v>2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Ensis ensis</x:v>
      </x:c>
      <x:c r="T282" s="32" t="n">
        <x:f>IF(O282="","",(1/'Metadata'!$B$5)^(O282-1))</x:f>
        <x:v>10</x:v>
      </x:c>
      <x:c r="U282" s="31" t="n">
        <x:f>IF(T282="","",I282*T282)</x:f>
        <x:v>65.03943807200001</x:v>
      </x:c>
    </x:row>
    <x:row r="283" ht="18" customHeight="1">
      <x:c r="A283" s="24" t="str">
        <x:v>LME_025</x:v>
      </x:c>
      <x:c r="B283" s="24" t="str">
        <x:v>Iberian Coastal</x:v>
      </x:c>
      <x:c r="C283" s="24" t="str">
        <x:v>LME</x:v>
      </x:c>
      <x:c r="D283" s="30" t="n">
        <x:v>2019</x:v>
      </x:c>
      <x:c r="E283" s="24" t="str">
        <x:v>Umbrina ronchus</x:v>
      </x:c>
      <x:c r="F283" s="24" t="str">
        <x:v>Fusca drum</x:v>
      </x:c>
      <x:c r="G283" s="24" t="str">
        <x:v>Large demersals (&gt;=90 cm)</x:v>
      </x:c>
      <x:c r="H283" s="24" t="str">
        <x:v>Perch-likes</x:v>
      </x:c>
      <x:c r="I283" s="31" t="n">
        <x:v>6.3893760859</x:v>
      </x:c>
      <x:c r="J283" s="31" t="n">
        <x:v>6.3099500342</x:v>
      </x:c>
      <x:c r="K283" s="31" t="n">
        <x:v>0.0794260517</x:v>
      </x:c>
      <x:c r="L283" s="31" t="n">
        <x:v>5.465772231</x:v>
      </x:c>
      <x:c r="M283" s="31" t="n">
        <x:v>0.9236038549000001</x:v>
      </x:c>
      <x:c r="N283" s="24" t="str">
        <x:v>umbrina ronchus</x:v>
      </x:c>
      <x:c r="O283" s="32" t="n">
        <x:v>3.38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Umbrina ronchus</x:v>
      </x:c>
      <x:c r="T283" s="32" t="n">
        <x:f>IF(O283="","",(1/'Metadata'!$B$5)^(O283-1))</x:f>
        <x:v>239.88329190194898</x:v>
      </x:c>
      <x:c r="U283" s="31" t="n">
        <x:f>IF(T283="","",I283*T283)</x:f>
        <x:v>1532.704568685282</x:v>
      </x:c>
    </x:row>
    <x:row r="284" ht="18" customHeight="1">
      <x:c r="A284" s="24" t="str">
        <x:v>LME_025</x:v>
      </x:c>
      <x:c r="B284" s="24" t="str">
        <x:v>Iberian Coastal</x:v>
      </x:c>
      <x:c r="C284" s="24" t="str">
        <x:v>LME</x:v>
      </x:c>
      <x:c r="D284" s="30" t="n">
        <x:v>2019</x:v>
      </x:c>
      <x:c r="E284" s="24" t="str">
        <x:v>Mola mola</x:v>
      </x:c>
      <x:c r="F284" s="24" t="str">
        <x:v>Ocean sunfish</x:v>
      </x:c>
      <x:c r="G284" s="24" t="str">
        <x:v>Large pelagics (&gt;=90 cm)</x:v>
      </x:c>
      <x:c r="H284" s="24" t="str">
        <x:v>Other fishes &amp; inverts</x:v>
      </x:c>
      <x:c r="I284" s="31" t="n">
        <x:v>6.383361148</x:v>
      </x:c>
      <x:c r="J284" s="31" t="n">
        <x:v>0</x:v>
      </x:c>
      <x:c r="K284" s="31" t="n">
        <x:v>6.383361148</x:v>
      </x:c>
      <x:c r="L284" s="31" t="n">
        <x:v>0</x:v>
      </x:c>
      <x:c r="M284" s="31" t="n">
        <x:v>6.383361148</x:v>
      </x:c>
      <x:c r="N284" s="24" t="str">
        <x:v>mola mola</x:v>
      </x:c>
      <x:c r="O284" s="32" t="n">
        <x:v>3.68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Mola mola</x:v>
      </x:c>
      <x:c r="T284" s="32" t="n">
        <x:f>IF(O284="","",(1/'Metadata'!$B$5)^(O284-1))</x:f>
        <x:v>478.6300923226385</x:v>
      </x:c>
      <x:c r="U284" s="31" t="n">
        <x:f>IF(T284="","",I284*T284)</x:f>
        <x:v>3055.268735595984</x:v>
      </x:c>
    </x:row>
    <x:row r="285" ht="18" customHeight="1">
      <x:c r="A285" s="24" t="str">
        <x:v>LME_025</x:v>
      </x:c>
      <x:c r="B285" s="24" t="str">
        <x:v>Iberian Coastal</x:v>
      </x:c>
      <x:c r="C285" s="24" t="str">
        <x:v>LME</x:v>
      </x:c>
      <x:c r="D285" s="30" t="n">
        <x:v>2019</x:v>
      </x:c>
      <x:c r="E285" s="24" t="str">
        <x:v>Epinephelus marginatus</x:v>
      </x:c>
      <x:c r="F285" s="24" t="str">
        <x:v>Dusky grouper</x:v>
      </x:c>
      <x:c r="G285" s="24" t="str">
        <x:v>Large reef assoc. fish (&gt;=90 cm)</x:v>
      </x:c>
      <x:c r="H285" s="24" t="str">
        <x:v>Perch-likes</x:v>
      </x:c>
      <x:c r="I285" s="31" t="n">
        <x:v>6.358810656</x:v>
      </x:c>
      <x:c r="J285" s="31" t="n">
        <x:v>6.3089456522</x:v>
      </x:c>
      <x:c r="K285" s="31" t="n">
        <x:v>0.0498650038</x:v>
      </x:c>
      <x:c r="L285" s="31" t="n">
        <x:v>3.0965975325</x:v>
      </x:c>
      <x:c r="M285" s="31" t="n">
        <x:v>3.2622131235</x:v>
      </x:c>
      <x:c r="N285" s="24" t="str">
        <x:v>epinephelus marginatus</x:v>
      </x:c>
      <x:c r="O285" s="32" t="n">
        <x:v>4.43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Epinephelus marginatus</x:v>
      </x:c>
      <x:c r="T285" s="32" t="n">
        <x:f>IF(O285="","",(1/'Metadata'!$B$5)^(O285-1))</x:f>
        <x:v>2691.534803926914</x:v>
      </x:c>
      <x:c r="U285" s="31" t="n">
        <x:f>IF(T285="","",I285*T285)</x:f>
        <x:v>17114.96019220533</x:v>
      </x:c>
    </x:row>
    <x:row r="286" ht="18" customHeight="1">
      <x:c r="A286" s="24" t="str">
        <x:v>LME_025</x:v>
      </x:c>
      <x:c r="B286" s="24" t="str">
        <x:v>Iberian Coastal</x:v>
      </x:c>
      <x:c r="C286" s="24" t="str">
        <x:v>LME</x:v>
      </x:c>
      <x:c r="D286" s="30" t="n">
        <x:v>2019</x:v>
      </x:c>
      <x:c r="E286" s="24" t="str">
        <x:v>Trichiurus lepturus</x:v>
      </x:c>
      <x:c r="F286" s="24" t="str">
        <x:v>Largehead hairtail</x:v>
      </x:c>
      <x:c r="G286" s="24" t="str">
        <x:v>Large benthopelagics (&gt;=90 cm)</x:v>
      </x:c>
      <x:c r="H286" s="24" t="str">
        <x:v>Perch-likes</x:v>
      </x:c>
      <x:c r="I286" s="31" t="n">
        <x:v>6.2858897952</x:v>
      </x:c>
      <x:c r="J286" s="31" t="n">
        <x:v>6.2858897952</x:v>
      </x:c>
      <x:c r="K286" s="31" t="n">
        <x:v>0</x:v>
      </x:c>
      <x:c r="L286" s="31" t="n">
        <x:v>6.2858897952</x:v>
      </x:c>
      <x:c r="M286" s="31" t="n">
        <x:v>0</x:v>
      </x:c>
      <x:c r="N286" s="24" t="str">
        <x:v>trichiurus lepturus</x:v>
      </x:c>
      <x:c r="O286" s="32" t="n">
        <x:v>4.42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Trichiurus lepturus</x:v>
      </x:c>
      <x:c r="T286" s="32" t="n">
        <x:f>IF(O286="","",(1/'Metadata'!$B$5)^(O286-1))</x:f>
        <x:v>2630.2679918953813</x:v>
      </x:c>
      <x:c r="U286" s="31" t="n">
        <x:f>IF(T286="","",I286*T286)</x:f>
        <x:v>16533.574728896376</x:v>
      </x:c>
    </x:row>
    <x:row r="287" ht="18" customHeight="1">
      <x:c r="A287" s="24" t="str">
        <x:v>LME_025</x:v>
      </x:c>
      <x:c r="B287" s="24" t="str">
        <x:v>Iberian Coastal</x:v>
      </x:c>
      <x:c r="C287" s="24" t="str">
        <x:v>LME</x:v>
      </x:c>
      <x:c r="D287" s="30" t="n">
        <x:v>2019</x:v>
      </x:c>
      <x:c r="E287" s="24" t="str">
        <x:v>Diplodus puntazzo</x:v>
      </x:c>
      <x:c r="F287" s="24" t="str">
        <x:v>Sharpsnout seabream</x:v>
      </x:c>
      <x:c r="G287" s="24" t="str">
        <x:v>Medium benthopelagics (30 - 89 cm)</x:v>
      </x:c>
      <x:c r="H287" s="24" t="str">
        <x:v>Perch-likes</x:v>
      </x:c>
      <x:c r="I287" s="31" t="n">
        <x:v>5.8170539603</x:v>
      </x:c>
      <x:c r="J287" s="31" t="n">
        <x:v>5.124971836</x:v>
      </x:c>
      <x:c r="K287" s="31" t="n">
        <x:v>0.6920821243</x:v>
      </x:c>
      <x:c r="L287" s="31" t="n">
        <x:v>4.5430424284</x:v>
      </x:c>
      <x:c r="M287" s="31" t="n">
        <x:v>1.2740115319</x:v>
      </x:c>
      <x:c r="N287" s="24" t="str">
        <x:v>diplodus puntazzo</x:v>
      </x:c>
      <x:c r="O287" s="32" t="n">
        <x:v>3.22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Diplodus puntazzo</x:v>
      </x:c>
      <x:c r="T287" s="32" t="n">
        <x:f>IF(O287="","",(1/'Metadata'!$B$5)^(O287-1))</x:f>
        <x:v>165.95869074375614</x:v>
      </x:c>
      <x:c r="U287" s="31" t="n">
        <x:f>IF(T287="","",I287*T287)</x:f>
        <x:v>965.3906592371695</x:v>
      </x:c>
    </x:row>
    <x:row r="288" ht="18" customHeight="1">
      <x:c r="A288" s="24" t="str">
        <x:v>LME_025</x:v>
      </x:c>
      <x:c r="B288" s="24" t="str">
        <x:v>Iberian Coastal</x:v>
      </x:c>
      <x:c r="C288" s="24" t="str">
        <x:v>LME</x:v>
      </x:c>
      <x:c r="D288" s="30" t="n">
        <x:v>2019</x:v>
      </x:c>
      <x:c r="E288" s="24" t="str">
        <x:v>Torpedo torpedo</x:v>
      </x:c>
      <x:c r="F288" s="24" t="str">
        <x:v>Common torpedo</x:v>
      </x:c>
      <x:c r="G288" s="24" t="str">
        <x:v>Small to medium rays (&lt;90 cm)</x:v>
      </x:c>
      <x:c r="H288" s="24" t="str">
        <x:v>Sharks &amp; rays</x:v>
      </x:c>
      <x:c r="I288" s="31" t="n">
        <x:v>5.7749223746</x:v>
      </x:c>
      <x:c r="J288" s="31" t="n">
        <x:v>0</x:v>
      </x:c>
      <x:c r="K288" s="31" t="n">
        <x:v>5.7749223746</x:v>
      </x:c>
      <x:c r="L288" s="31" t="n">
        <x:v>0</x:v>
      </x:c>
      <x:c r="M288" s="31" t="n">
        <x:v>5.7749223746</x:v>
      </x:c>
      <x:c r="N288" s="24" t="str">
        <x:v>torpedo torpedo</x:v>
      </x:c>
      <x:c r="O288" s="32" t="n">
        <x:v>4.5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Torpedo torpedo</x:v>
      </x:c>
      <x:c r="T288" s="32" t="n">
        <x:f>IF(O288="","",(1/'Metadata'!$B$5)^(O288-1))</x:f>
        <x:v>3162.2776601683795</x:v>
      </x:c>
      <x:c r="U288" s="31" t="n">
        <x:f>IF(T288="","",I288*T288)</x:f>
        <x:v>18261.90801440411</x:v>
      </x:c>
    </x:row>
    <x:row r="289" ht="18" customHeight="1">
      <x:c r="A289" s="24" t="str">
        <x:v>LME_025</x:v>
      </x:c>
      <x:c r="B289" s="24" t="str">
        <x:v>Iberian Coastal</x:v>
      </x:c>
      <x:c r="C289" s="24" t="str">
        <x:v>LME</x:v>
      </x:c>
      <x:c r="D289" s="30" t="n">
        <x:v>2019</x:v>
      </x:c>
      <x:c r="E289" s="24" t="str">
        <x:v>Raja brachyura</x:v>
      </x:c>
      <x:c r="F289" s="24" t="str">
        <x:v>Blonde ray</x:v>
      </x:c>
      <x:c r="G289" s="24" t="str">
        <x:v>Large rays (&gt;=90 cm)</x:v>
      </x:c>
      <x:c r="H289" s="24" t="str">
        <x:v>Sharks &amp; rays</x:v>
      </x:c>
      <x:c r="I289" s="31" t="n">
        <x:v>5.535965529199999</x:v>
      </x:c>
      <x:c r="J289" s="31" t="n">
        <x:v>2.6527445721</x:v>
      </x:c>
      <x:c r="K289" s="31" t="n">
        <x:v>2.8832209571</x:v>
      </x:c>
      <x:c r="L289" s="31" t="n">
        <x:v>0.7776088141</x:v>
      </x:c>
      <x:c r="M289" s="31" t="n">
        <x:v>4.7583567151</x:v>
      </x:c>
      <x:c r="N289" s="24" t="str">
        <x:v>raja brachyura</x:v>
      </x:c>
      <x:c r="O289" s="32" t="n">
        <x:v>3.89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Raja brachyura</x:v>
      </x:c>
      <x:c r="T289" s="32" t="n">
        <x:f>IF(O289="","",(1/'Metadata'!$B$5)^(O289-1))</x:f>
        <x:v>776.247116628692</x:v>
      </x:c>
      <x:c r="U289" s="31" t="n">
        <x:f>IF(T289="","",I289*T289)</x:f>
        <x:v>4297.27727979733</x:v>
      </x:c>
    </x:row>
    <x:row r="290" ht="18" customHeight="1">
      <x:c r="A290" s="24" t="str">
        <x:v>LME_025</x:v>
      </x:c>
      <x:c r="B290" s="24" t="str">
        <x:v>Iberian Coastal</x:v>
      </x:c>
      <x:c r="C290" s="24" t="str">
        <x:v>LME</x:v>
      </x:c>
      <x:c r="D290" s="30" t="n">
        <x:v>2019</x:v>
      </x:c>
      <x:c r="E290" s="24" t="str">
        <x:v>Anarhichas lupus</x:v>
      </x:c>
      <x:c r="F290" s="24" t="str">
        <x:v>Atlantic wolffish</x:v>
      </x:c>
      <x:c r="G290" s="24" t="str">
        <x:v>Large demersals (&gt;=90 cm)</x:v>
      </x:c>
      <x:c r="H290" s="24" t="str">
        <x:v>Perch-likes</x:v>
      </x:c>
      <x:c r="I290" s="31" t="n">
        <x:v>5.4688561744</x:v>
      </x:c>
      <x:c r="J290" s="31" t="n">
        <x:v>5.4688561744</x:v>
      </x:c>
      <x:c r="K290" s="31" t="n">
        <x:v>0</x:v>
      </x:c>
      <x:c r="L290" s="31" t="n">
        <x:v>5.4594232718999995</x:v>
      </x:c>
      <x:c r="M290" s="31" t="n">
        <x:v>0.0094329025</x:v>
      </x:c>
      <x:c r="N290" s="24" t="str">
        <x:v>anarhichas lupus</x:v>
      </x:c>
      <x:c r="O290" s="32" t="n">
        <x:v>3.55</x:v>
      </x:c>
      <x:c r="P290" s="24" t="str">
        <x:v>exact_2020_supplement</x:v>
      </x:c>
      <x:c r="Q290" s="32" t="str">
        <x:v>2020 supplement MeanTL</x:v>
      </x:c>
      <x:c r="R290" s="24" t="str">
        <x:v>high</x:v>
      </x:c>
      <x:c r="S290" s="24" t="str">
        <x:v>Anarhichas lupus</x:v>
      </x:c>
      <x:c r="T290" s="32" t="n">
        <x:f>IF(O290="","",(1/'Metadata'!$B$5)^(O290-1))</x:f>
        <x:v>354.8133892335753</x:v>
      </x:c>
      <x:c r="U290" s="31" t="n">
        <x:f>IF(T290="","",I290*T290)</x:f>
        <x:v>1940.423394469829</x:v>
      </x:c>
    </x:row>
    <x:row r="291" ht="18" customHeight="1">
      <x:c r="A291" s="24" t="str">
        <x:v>LME_025</x:v>
      </x:c>
      <x:c r="B291" s="24" t="str">
        <x:v>Iberian Coastal</x:v>
      </x:c>
      <x:c r="C291" s="24" t="str">
        <x:v>LME</x:v>
      </x:c>
      <x:c r="D291" s="30" t="n">
        <x:v>2019</x:v>
      </x:c>
      <x:c r="E291" s="24" t="str">
        <x:v>Mugil</x:v>
      </x:c>
      <x:c r="F291" s="24" t="str">
        <x:v>Grey mullets</x:v>
      </x:c>
      <x:c r="G291" s="24" t="str">
        <x:v>Medium demersals (30 - 89 cm)</x:v>
      </x:c>
      <x:c r="H291" s="24" t="str">
        <x:v>Perch-likes</x:v>
      </x:c>
      <x:c r="I291" s="31" t="n">
        <x:v>5.3587964101</x:v>
      </x:c>
      <x:c r="J291" s="31" t="n">
        <x:v>5.3587964101</x:v>
      </x:c>
      <x:c r="K291" s="31" t="n">
        <x:v>0</x:v>
      </x:c>
      <x:c r="L291" s="31" t="n">
        <x:v>3.1611698372</x:v>
      </x:c>
      <x:c r="M291" s="31" t="n">
        <x:v>2.1976265729</x:v>
      </x:c>
      <x:c r="N291" s="24" t="str">
        <x:v>mugil</x:v>
      </x:c>
      <x:c r="O291" s="32" t="n">
        <x:v>2.26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Mugil</x:v>
      </x:c>
      <x:c r="T291" s="32" t="n">
        <x:f>IF(O291="","",(1/'Metadata'!$B$5)^(O291-1))</x:f>
        <x:v>18.197008586099827</x:v>
      </x:c>
      <x:c r="U291" s="31" t="n">
        <x:f>IF(T291="","",I291*T291)</x:f>
        <x:v>97.51406428575064</x:v>
      </x:c>
    </x:row>
    <x:row r="292" ht="18" customHeight="1">
      <x:c r="A292" s="24" t="str">
        <x:v>LME_025</x:v>
      </x:c>
      <x:c r="B292" s="24" t="str">
        <x:v>Iberian Coastal</x:v>
      </x:c>
      <x:c r="C292" s="24" t="str">
        <x:v>LME</x:v>
      </x:c>
      <x:c r="D292" s="30" t="n">
        <x:v>2019</x:v>
      </x:c>
      <x:c r="E292" s="24" t="str">
        <x:v>Chelidonichthys lastoviza</x:v>
      </x:c>
      <x:c r="F292" s="24" t="str">
        <x:v>Streaked gurnard</x:v>
      </x:c>
      <x:c r="G292" s="24" t="str">
        <x:v>Medium demersals (30 - 89 cm)</x:v>
      </x:c>
      <x:c r="H292" s="24" t="str">
        <x:v>Scorpionfishes</x:v>
      </x:c>
      <x:c r="I292" s="31" t="n">
        <x:v>5.2602796897</x:v>
      </x:c>
      <x:c r="J292" s="31" t="n">
        <x:v>0.6912930825</x:v>
      </x:c>
      <x:c r="K292" s="31" t="n">
        <x:v>4.5689866072</x:v>
      </x:c>
      <x:c r="L292" s="31" t="n">
        <x:v>0.010873477</x:v>
      </x:c>
      <x:c r="M292" s="31" t="n">
        <x:v>5.2494062127</x:v>
      </x:c>
      <x:c r="N292" s="24" t="str">
        <x:v>chelidonichthys lastoviza</x:v>
      </x:c>
      <x:c r="O292" s="32" t="n">
        <x:v>3.49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Chelidonichthys lastoviza</x:v>
      </x:c>
      <x:c r="T292" s="32" t="n">
        <x:f>IF(O292="","",(1/'Metadata'!$B$5)^(O292-1))</x:f>
        <x:v>309.0295432513592</x:v>
      </x:c>
      <x:c r="U292" s="31" t="n">
        <x:f>IF(T292="","",I292*T292)</x:f>
        <x:v>1625.5818298823924</x:v>
      </x:c>
    </x:row>
    <x:row r="293" ht="18" customHeight="1">
      <x:c r="A293" s="24" t="str">
        <x:v>LME_025</x:v>
      </x:c>
      <x:c r="B293" s="24" t="str">
        <x:v>Iberian Coastal</x:v>
      </x:c>
      <x:c r="C293" s="24" t="str">
        <x:v>LME</x:v>
      </x:c>
      <x:c r="D293" s="30" t="n">
        <x:v>2019</x:v>
      </x:c>
      <x:c r="E293" s="24" t="str">
        <x:v>Illex</x:v>
      </x:c>
      <x:c r="F293" s="24" t="str">
        <x:v>Shortfin squid</x:v>
      </x:c>
      <x:c r="G293" s="24" t="str">
        <x:v>Cephalopods</x:v>
      </x:c>
      <x:c r="H293" s="24" t="str">
        <x:v>Other fishes &amp; inverts</x:v>
      </x:c>
      <x:c r="I293" s="31" t="n">
        <x:v>5.1014796886000005</x:v>
      </x:c>
      <x:c r="J293" s="31" t="n">
        <x:v>5.1014796886000005</x:v>
      </x:c>
      <x:c r="K293" s="31" t="n">
        <x:v>0</x:v>
      </x:c>
      <x:c r="L293" s="31" t="n">
        <x:v>5.1014796886000005</x:v>
      </x:c>
      <x:c r="M293" s="31" t="n">
        <x:v>0</x:v>
      </x:c>
      <x:c r="N293" s="24" t="str">
        <x:v>illex</x:v>
      </x:c>
      <x:c r="O293" s="32" t="n">
        <x:v>3.98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Illex</x:v>
      </x:c>
      <x:c r="T293" s="32" t="n">
        <x:f>IF(O293="","",(1/'Metadata'!$B$5)^(O293-1))</x:f>
        <x:v>954.992586021436</x:v>
      </x:c>
      <x:c r="U293" s="31" t="n">
        <x:f>IF(T293="","",I293*T293)</x:f>
        <x:v>4871.875280351945</x:v>
      </x:c>
    </x:row>
    <x:row r="294" ht="18" customHeight="1">
      <x:c r="A294" s="24" t="str">
        <x:v>LME_025</x:v>
      </x:c>
      <x:c r="B294" s="24" t="str">
        <x:v>Iberian Coastal</x:v>
      </x:c>
      <x:c r="C294" s="24" t="str">
        <x:v>LME</x:v>
      </x:c>
      <x:c r="D294" s="30" t="n">
        <x:v>2019</x:v>
      </x:c>
      <x:c r="E294" s="24" t="str">
        <x:v>Parapristipoma octolineatum</x:v>
      </x:c>
      <x:c r="F294" s="24" t="str">
        <x:v>African striped grunt</x:v>
      </x:c>
      <x:c r="G294" s="24" t="str">
        <x:v>Medium demersals (30 - 89 cm)</x:v>
      </x:c>
      <x:c r="H294" s="24" t="str">
        <x:v>Perch-likes</x:v>
      </x:c>
      <x:c r="I294" s="31" t="n">
        <x:v>4.8802060217</x:v>
      </x:c>
      <x:c r="J294" s="31" t="n">
        <x:v>4.6489505341</x:v>
      </x:c>
      <x:c r="K294" s="31" t="n">
        <x:v>0.2312554876</x:v>
      </x:c>
      <x:c r="L294" s="31" t="n">
        <x:v>3.9785114433000004</x:v>
      </x:c>
      <x:c r="M294" s="31" t="n">
        <x:v>0.9016945784</x:v>
      </x:c>
      <x:c r="N294" s="24" t="str">
        <x:v>parapristipoma octolineatum</x:v>
      </x:c>
      <x:c r="O294" s="32" t="n">
        <x:v>3.55</x:v>
      </x:c>
      <x:c r="P294" s="24" t="str">
        <x:v>exact_2020_supplement</x:v>
      </x:c>
      <x:c r="Q294" s="32" t="str">
        <x:v>2020 supplement MeanTL</x:v>
      </x:c>
      <x:c r="R294" s="24" t="str">
        <x:v>high</x:v>
      </x:c>
      <x:c r="S294" s="24" t="str">
        <x:v>Parapristipoma octolineatum</x:v>
      </x:c>
      <x:c r="T294" s="32" t="n">
        <x:f>IF(O294="","",(1/'Metadata'!$B$5)^(O294-1))</x:f>
        <x:v>354.8133892335753</x:v>
      </x:c>
      <x:c r="U294" s="31" t="n">
        <x:f>IF(T294="","",I294*T294)</x:f>
        <x:v>1731.5624387174803</x:v>
      </x:c>
    </x:row>
    <x:row r="295" ht="18" customHeight="1">
      <x:c r="A295" s="24" t="str">
        <x:v>LME_025</x:v>
      </x:c>
      <x:c r="B295" s="24" t="str">
        <x:v>Iberian Coastal</x:v>
      </x:c>
      <x:c r="C295" s="24" t="str">
        <x:v>LME</x:v>
      </x:c>
      <x:c r="D295" s="30" t="n">
        <x:v>2019</x:v>
      </x:c>
      <x:c r="E295" s="24" t="str">
        <x:v>Ommastrephes</x:v>
      </x:c>
      <x:c r="F295" s="24" t="str">
        <x:v>Flying squids</x:v>
      </x:c>
      <x:c r="G295" s="24" t="str">
        <x:v>Cephalopods</x:v>
      </x:c>
      <x:c r="H295" s="24" t="str">
        <x:v>Other fishes &amp; inverts</x:v>
      </x:c>
      <x:c r="I295" s="31" t="n">
        <x:v>4.877437140800001</x:v>
      </x:c>
      <x:c r="J295" s="31" t="n">
        <x:v>4.877437140800001</x:v>
      </x:c>
      <x:c r="K295" s="31" t="n">
        <x:v>0</x:v>
      </x:c>
      <x:c r="L295" s="31" t="n">
        <x:v>0</x:v>
      </x:c>
      <x:c r="M295" s="31" t="n">
        <x:v>4.877437140800001</x:v>
      </x:c>
      <x:c r="N295" s="24" t="str">
        <x:v>ommastrephes</x:v>
      </x:c>
      <x:c r="O295" s="32" t="n">
        <x:v>4.21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Ommastrephes</x:v>
      </x:c>
      <x:c r="T295" s="32" t="n">
        <x:f>IF(O295="","",(1/'Metadata'!$B$5)^(O295-1))</x:f>
        <x:v>1621.8100973589299</x:v>
      </x:c>
      <x:c r="U295" s="31" t="n">
        <x:f>IF(T295="","",I295*T295)</x:f>
        <x:v>7910.2768041829095</x:v>
      </x:c>
    </x:row>
    <x:row r="296" ht="18" customHeight="1">
      <x:c r="A296" s="24" t="str">
        <x:v>LME_025</x:v>
      </x:c>
      <x:c r="B296" s="24" t="str">
        <x:v>Iberian Coastal</x:v>
      </x:c>
      <x:c r="C296" s="24" t="str">
        <x:v>LME</x:v>
      </x:c>
      <x:c r="D296" s="30" t="n">
        <x:v>2019</x:v>
      </x:c>
      <x:c r="E296" s="24" t="str">
        <x:v>Mustelus</x:v>
      </x:c>
      <x:c r="F296" s="24" t="str">
        <x:v>Smoothhounds</x:v>
      </x:c>
      <x:c r="G296" s="24" t="str">
        <x:v>Large sharks (&gt;=90 cm)</x:v>
      </x:c>
      <x:c r="H296" s="24" t="str">
        <x:v>Sharks &amp; rays</x:v>
      </x:c>
      <x:c r="I296" s="31" t="n">
        <x:v>4.8113929923</x:v>
      </x:c>
      <x:c r="J296" s="31" t="n">
        <x:v>4.8113929923</x:v>
      </x:c>
      <x:c r="K296" s="31" t="n">
        <x:v>0</x:v>
      </x:c>
      <x:c r="L296" s="31" t="n">
        <x:v>4.8113929923</x:v>
      </x:c>
      <x:c r="M296" s="31" t="n">
        <x:v>0</x:v>
      </x:c>
      <x:c r="N296" s="24" t="str">
        <x:v>mustelus</x:v>
      </x:c>
      <x:c r="O296" s="32" t="n">
        <x:v>3.73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Mustelus</x:v>
      </x:c>
      <x:c r="T296" s="32" t="n">
        <x:f>IF(O296="","",(1/'Metadata'!$B$5)^(O296-1))</x:f>
        <x:v>537.0317963702527</x:v>
      </x:c>
      <x:c r="U296" s="31" t="n">
        <x:f>IF(T296="","",I296*T296)</x:f>
        <x:v>2583.8710216981144</x:v>
      </x:c>
    </x:row>
    <x:row r="297" ht="18" customHeight="1">
      <x:c r="A297" s="24" t="str">
        <x:v>LME_025</x:v>
      </x:c>
      <x:c r="B297" s="24" t="str">
        <x:v>Iberian Coastal</x:v>
      </x:c>
      <x:c r="C297" s="24" t="str">
        <x:v>LME</x:v>
      </x:c>
      <x:c r="D297" s="30" t="n">
        <x:v>2019</x:v>
      </x:c>
      <x:c r="E297" s="24" t="str">
        <x:v>Gempylidae</x:v>
      </x:c>
      <x:c r="F297" s="24" t="str">
        <x:v>Snake mackerels</x:v>
      </x:c>
      <x:c r="G297" s="24" t="str">
        <x:v>Large benthopelagics (&gt;=90 cm)</x:v>
      </x:c>
      <x:c r="H297" s="24" t="str">
        <x:v>Perch-likes</x:v>
      </x:c>
      <x:c r="I297" s="31" t="n">
        <x:v>4.4550537636</x:v>
      </x:c>
      <x:c r="J297" s="31" t="n">
        <x:v>4.0361027031</x:v>
      </x:c>
      <x:c r="K297" s="31" t="n">
        <x:v>0.4189510605</x:v>
      </x:c>
      <x:c r="L297" s="31" t="n">
        <x:v>3.7617489153</x:v>
      </x:c>
      <x:c r="M297" s="31" t="n">
        <x:v>0.6933048483</x:v>
      </x:c>
      <x:c r="N297" s="24" t="str">
        <x:v>gempylidae</x:v>
      </x:c>
      <x:c r="O297" s="32" t="n">
        <x:v>4.21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Gempylidae</x:v>
      </x:c>
      <x:c r="T297" s="32" t="n">
        <x:f>IF(O297="","",(1/'Metadata'!$B$5)^(O297-1))</x:f>
        <x:v>1621.8100973589299</x:v>
      </x:c>
      <x:c r="U297" s="31" t="n">
        <x:f>IF(T297="","",I297*T297)</x:f>
        <x:v>7225.251178083382</x:v>
      </x:c>
    </x:row>
    <x:row r="298" ht="18" customHeight="1">
      <x:c r="A298" s="24" t="str">
        <x:v>LME_025</x:v>
      </x:c>
      <x:c r="B298" s="24" t="str">
        <x:v>Iberian Coastal</x:v>
      </x:c>
      <x:c r="C298" s="24" t="str">
        <x:v>LME</x:v>
      </x:c>
      <x:c r="D298" s="30" t="n">
        <x:v>2019</x:v>
      </x:c>
      <x:c r="E298" s="24" t="str">
        <x:v>Ensis siliqua</x:v>
      </x:c>
      <x:c r="F298" s="24" t="str">
        <x:v>Sword razor shell</x:v>
      </x:c>
      <x:c r="G298" s="24" t="str">
        <x:v>Other demersal invertebrates</x:v>
      </x:c>
      <x:c r="H298" s="24" t="str">
        <x:v>Molluscs</x:v>
      </x:c>
      <x:c r="I298" s="31" t="n">
        <x:v>4.0463162408</x:v>
      </x:c>
      <x:c r="J298" s="31" t="n">
        <x:v>3.1350154607</x:v>
      </x:c>
      <x:c r="K298" s="31" t="n">
        <x:v>0.9113007801</x:v>
      </x:c>
      <x:c r="L298" s="31" t="n">
        <x:v>3.1350154607</x:v>
      </x:c>
      <x:c r="M298" s="31" t="n">
        <x:v>0.9113007801</x:v>
      </x:c>
      <x:c r="N298" s="24" t="str">
        <x:v>ensis siliqua</x:v>
      </x:c>
      <x:c r="O298" s="32" t="n">
        <x:v>2</x:v>
      </x:c>
      <x:c r="P298" s="24" t="str">
        <x:v>exact_2020_supplement</x:v>
      </x:c>
      <x:c r="Q298" s="32" t="str">
        <x:v>2020 supplement MeanTL</x:v>
      </x:c>
      <x:c r="R298" s="24" t="str">
        <x:v>high</x:v>
      </x:c>
      <x:c r="S298" s="24" t="str">
        <x:v>Ensis siliqua</x:v>
      </x:c>
      <x:c r="T298" s="32" t="n">
        <x:f>IF(O298="","",(1/'Metadata'!$B$5)^(O298-1))</x:f>
        <x:v>10</x:v>
      </x:c>
      <x:c r="U298" s="31" t="n">
        <x:f>IF(T298="","",I298*T298)</x:f>
        <x:v>40.463162408</x:v>
      </x:c>
    </x:row>
    <x:row r="299" ht="18" customHeight="1">
      <x:c r="A299" s="24" t="str">
        <x:v>LME_025</x:v>
      </x:c>
      <x:c r="B299" s="24" t="str">
        <x:v>Iberian Coastal</x:v>
      </x:c>
      <x:c r="C299" s="24" t="str">
        <x:v>LME</x:v>
      </x:c>
      <x:c r="D299" s="30" t="n">
        <x:v>2019</x:v>
      </x:c>
      <x:c r="E299" s="24" t="str">
        <x:v>Liza</x:v>
      </x:c>
      <x:c r="F299" s="24" t="str">
        <x:v>Mullets</x:v>
      </x:c>
      <x:c r="G299" s="24" t="str">
        <x:v>Medium pelagics (30 - 89 cm)</x:v>
      </x:c>
      <x:c r="H299" s="24" t="str">
        <x:v>Perch-likes</x:v>
      </x:c>
      <x:c r="I299" s="31" t="n">
        <x:v>4.0293153492</x:v>
      </x:c>
      <x:c r="J299" s="31" t="n">
        <x:v>3.2762349674999998</x:v>
      </x:c>
      <x:c r="K299" s="31" t="n">
        <x:v>0.7530803817</x:v>
      </x:c>
      <x:c r="L299" s="31" t="n">
        <x:v>2.8999930474999998</x:v>
      </x:c>
      <x:c r="M299" s="31" t="n">
        <x:v>1.1293223016999998</x:v>
      </x:c>
      <x:c r="N299" s="24" t="str">
        <x:v>liza</x:v>
      </x:c>
      <x:c r="O299" s="32" t="n">
        <x:v>2.57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Liza</x:v>
      </x:c>
      <x:c r="T299" s="32" t="n">
        <x:f>IF(O299="","",(1/'Metadata'!$B$5)^(O299-1))</x:f>
        <x:v>37.15352290971724</x:v>
      </x:c>
      <x:c r="U299" s="31" t="n">
        <x:f>IF(T299="","",I299*T299)</x:f>
        <x:v>149.70326013697752</x:v>
      </x:c>
    </x:row>
    <x:row r="300" ht="18" customHeight="1">
      <x:c r="A300" s="24" t="str">
        <x:v>LME_025</x:v>
      </x:c>
      <x:c r="B300" s="24" t="str">
        <x:v>Iberian Coastal</x:v>
      </x:c>
      <x:c r="C300" s="24" t="str">
        <x:v>LME</x:v>
      </x:c>
      <x:c r="D300" s="30" t="n">
        <x:v>2019</x:v>
      </x:c>
      <x:c r="E300" s="24" t="str">
        <x:v>Myliobatis aquila</x:v>
      </x:c>
      <x:c r="F300" s="24" t="str">
        <x:v>Common eagle ray</x:v>
      </x:c>
      <x:c r="G300" s="24" t="str">
        <x:v>Large rays (&gt;=90 cm)</x:v>
      </x:c>
      <x:c r="H300" s="24" t="str">
        <x:v>Sharks &amp; rays</x:v>
      </x:c>
      <x:c r="I300" s="31" t="n">
        <x:v>3.9239543919</x:v>
      </x:c>
      <x:c r="J300" s="31" t="n">
        <x:v>0.1533654514</x:v>
      </x:c>
      <x:c r="K300" s="31" t="n">
        <x:v>3.7705889405</x:v>
      </x:c>
      <x:c r="L300" s="31" t="n">
        <x:v>0.054982149</x:v>
      </x:c>
      <x:c r="M300" s="31" t="n">
        <x:v>3.8689722429</x:v>
      </x:c>
      <x:c r="N300" s="24" t="str">
        <x:v>myliobatis aquila</x:v>
      </x:c>
      <x:c r="O300" s="32" t="n">
        <x:v>3.61</x:v>
      </x:c>
      <x:c r="P300" s="24" t="str">
        <x:v>exact_2020_supplement</x:v>
      </x:c>
      <x:c r="Q300" s="32" t="str">
        <x:v>2020 supplement MeanTL</x:v>
      </x:c>
      <x:c r="R300" s="24" t="str">
        <x:v>high</x:v>
      </x:c>
      <x:c r="S300" s="24" t="str">
        <x:v>Myliobatis aquila</x:v>
      </x:c>
      <x:c r="T300" s="32" t="n">
        <x:f>IF(O300="","",(1/'Metadata'!$B$5)^(O300-1))</x:f>
        <x:v>407.3802778041126</x:v>
      </x:c>
      <x:c r="U300" s="31" t="n">
        <x:f>IF(T300="","",I300*T300)</x:f>
        <x:v>1598.5416302628898</x:v>
      </x:c>
    </x:row>
    <x:row r="301" ht="18" customHeight="1">
      <x:c r="A301" s="24" t="str">
        <x:v>LME_025</x:v>
      </x:c>
      <x:c r="B301" s="24" t="str">
        <x:v>Iberian Coastal</x:v>
      </x:c>
      <x:c r="C301" s="24" t="str">
        <x:v>LME</x:v>
      </x:c>
      <x:c r="D301" s="30" t="n">
        <x:v>2019</x:v>
      </x:c>
      <x:c r="E301" s="24" t="str">
        <x:v>Calappa granulata</x:v>
      </x:c>
      <x:c r="F301" s="24" t="str">
        <x:v>Shamfaced crab</x:v>
      </x:c>
      <x:c r="G301" s="24" t="str">
        <x:v>Lobsters, crabs</x:v>
      </x:c>
      <x:c r="H301" s="24" t="str">
        <x:v>Crustaceans</x:v>
      </x:c>
      <x:c r="I301" s="31" t="n">
        <x:v>3.9085985164</x:v>
      </x:c>
      <x:c r="J301" s="31" t="n">
        <x:v>3.1536215461</x:v>
      </x:c>
      <x:c r="K301" s="31" t="n">
        <x:v>0.7549769703</x:v>
      </x:c>
      <x:c r="L301" s="31" t="n">
        <x:v>2.7179348288</x:v>
      </x:c>
      <x:c r="M301" s="31" t="n">
        <x:v>1.1906636876</x:v>
      </x:c>
      <x:c r="N301" s="24" t="str">
        <x:v>calappa granulata</x:v>
      </x:c>
      <x:c r="O301" s="32" t="n">
        <x:v>3.94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Calappa granulata</x:v>
      </x:c>
      <x:c r="T301" s="32" t="n">
        <x:f>IF(O301="","",(1/'Metadata'!$B$5)^(O301-1))</x:f>
        <x:v>870.9635899560806</x:v>
      </x:c>
      <x:c r="U301" s="31" t="n">
        <x:f>IF(T301="","",I301*T301)</x:f>
        <x:v>3404.2469955407546</x:v>
      </x:c>
    </x:row>
    <x:row r="302" ht="18" customHeight="1">
      <x:c r="A302" s="24" t="str">
        <x:v>LME_025</x:v>
      </x:c>
      <x:c r="B302" s="24" t="str">
        <x:v>Iberian Coastal</x:v>
      </x:c>
      <x:c r="C302" s="24" t="str">
        <x:v>LME</x:v>
      </x:c>
      <x:c r="D302" s="30" t="n">
        <x:v>2019</x:v>
      </x:c>
      <x:c r="E302" s="24" t="str">
        <x:v>Eutrigla gurnardus</x:v>
      </x:c>
      <x:c r="F302" s="24" t="str">
        <x:v>Grey gurnard</x:v>
      </x:c>
      <x:c r="G302" s="24" t="str">
        <x:v>Medium demersals (30 - 89 cm)</x:v>
      </x:c>
      <x:c r="H302" s="24" t="str">
        <x:v>Scorpionfishes</x:v>
      </x:c>
      <x:c r="I302" s="31" t="n">
        <x:v>3.8403775903999997</x:v>
      </x:c>
      <x:c r="J302" s="31" t="n">
        <x:v>3.8403775903999997</x:v>
      </x:c>
      <x:c r="K302" s="31" t="n">
        <x:v>0</x:v>
      </x:c>
      <x:c r="L302" s="31" t="n">
        <x:v>3.8403775903999997</x:v>
      </x:c>
      <x:c r="M302" s="31" t="n">
        <x:v>0</x:v>
      </x:c>
      <x:c r="N302" s="24" t="str">
        <x:v>eutrigla gurnardus</x:v>
      </x:c>
      <x:c r="O302" s="32" t="n">
        <x:v>3.87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Eutrigla gurnardus</x:v>
      </x:c>
      <x:c r="T302" s="32" t="n">
        <x:f>IF(O302="","",(1/'Metadata'!$B$5)^(O302-1))</x:f>
        <x:v>741.3102413009177</x:v>
      </x:c>
      <x:c r="U302" s="31" t="n">
        <x:f>IF(T302="","",I302*T302)</x:f>
        <x:v>2846.9112382260605</x:v>
      </x:c>
    </x:row>
    <x:row r="303" ht="18" customHeight="1">
      <x:c r="A303" s="24" t="str">
        <x:v>LME_025</x:v>
      </x:c>
      <x:c r="B303" s="24" t="str">
        <x:v>Iberian Coastal</x:v>
      </x:c>
      <x:c r="C303" s="24" t="str">
        <x:v>LME</x:v>
      </x:c>
      <x:c r="D303" s="30" t="n">
        <x:v>2019</x:v>
      </x:c>
      <x:c r="E303" s="24" t="str">
        <x:v>Leucoraja fullonica</x:v>
      </x:c>
      <x:c r="F303" s="24" t="str">
        <x:v>Shagreen ray</x:v>
      </x:c>
      <x:c r="G303" s="24" t="str">
        <x:v>Large rays (&gt;=90 cm)</x:v>
      </x:c>
      <x:c r="H303" s="24" t="str">
        <x:v>Sharks &amp; rays</x:v>
      </x:c>
      <x:c r="I303" s="31" t="n">
        <x:v>3.7967591236</x:v>
      </x:c>
      <x:c r="J303" s="31" t="n">
        <x:v>3.7967591236</x:v>
      </x:c>
      <x:c r="K303" s="31" t="n">
        <x:v>0</x:v>
      </x:c>
      <x:c r="L303" s="31" t="n">
        <x:v>3.7738487205</x:v>
      </x:c>
      <x:c r="M303" s="31" t="n">
        <x:v>0.0229104031</x:v>
      </x:c>
      <x:c r="N303" s="24" t="str">
        <x:v>leucoraja fullonica</x:v>
      </x:c>
      <x:c r="O303" s="32" t="n">
        <x:v>3.5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Leucoraja fullonica</x:v>
      </x:c>
      <x:c r="T303" s="32" t="n">
        <x:f>IF(O303="","",(1/'Metadata'!$B$5)^(O303-1))</x:f>
        <x:v>316.22776601683796</x:v>
      </x:c>
      <x:c r="U303" s="31" t="n">
        <x:f>IF(T303="","",I303*T303)</x:f>
        <x:v>1200.6406557600756</x:v>
      </x:c>
    </x:row>
    <x:row r="304" ht="18" customHeight="1">
      <x:c r="A304" s="24" t="str">
        <x:v>LME_025</x:v>
      </x:c>
      <x:c r="B304" s="24" t="str">
        <x:v>Iberian Coastal</x:v>
      </x:c>
      <x:c r="C304" s="24" t="str">
        <x:v>LME</x:v>
      </x:c>
      <x:c r="D304" s="30" t="n">
        <x:v>2019</x:v>
      </x:c>
      <x:c r="E304" s="24" t="str">
        <x:v>Liocarcinus depurator</x:v>
      </x:c>
      <x:c r="F304" s="24" t="str">
        <x:v>Blueleg swimcrab</x:v>
      </x:c>
      <x:c r="G304" s="24" t="str">
        <x:v>Lobsters, crabs</x:v>
      </x:c>
      <x:c r="H304" s="24" t="str">
        <x:v>Crustaceans</x:v>
      </x:c>
      <x:c r="I304" s="31" t="n">
        <x:v>3.4197606</x:v>
      </x:c>
      <x:c r="J304" s="31" t="n">
        <x:v>0.0029345773</x:v>
      </x:c>
      <x:c r="K304" s="31" t="n">
        <x:v>3.4168260227</x:v>
      </x:c>
      <x:c r="L304" s="31" t="n">
        <x:v>0.00096942</x:v>
      </x:c>
      <x:c r="M304" s="31" t="n">
        <x:v>3.41879118</x:v>
      </x:c>
      <x:c r="N304" s="24" t="str">
        <x:v>liocarcinus depurator</x:v>
      </x:c>
      <x:c r="O304" s="32" t="n">
        <x:v>2.6</x:v>
      </x:c>
      <x:c r="P304" s="24" t="str">
        <x:v>exact_sea_around_us</x:v>
      </x:c>
      <x:c r="Q304" s="32" t="str">
        <x:v>Sea Around Us exploited organisms</x:v>
      </x:c>
      <x:c r="R304" s="24" t="str">
        <x:v>high</x:v>
      </x:c>
      <x:c r="S304" s="24" t="str">
        <x:v>Liocarcinus depurator</x:v>
      </x:c>
      <x:c r="T304" s="32" t="n">
        <x:f>IF(O304="","",(1/'Metadata'!$B$5)^(O304-1))</x:f>
        <x:v>39.810717055349734</x:v>
      </x:c>
      <x:c r="U304" s="31" t="n">
        <x:f>IF(T304="","",I304*T304)</x:f>
        <x:v>136.14312164363304</x:v>
      </x:c>
    </x:row>
    <x:row r="305" ht="18" customHeight="1">
      <x:c r="A305" s="24" t="str">
        <x:v>LME_025</x:v>
      </x:c>
      <x:c r="B305" s="24" t="str">
        <x:v>Iberian Coastal</x:v>
      </x:c>
      <x:c r="C305" s="24" t="str">
        <x:v>LME</x:v>
      </x:c>
      <x:c r="D305" s="30" t="n">
        <x:v>2019</x:v>
      </x:c>
      <x:c r="E305" s="24" t="str">
        <x:v>Beryx splendens</x:v>
      </x:c>
      <x:c r="F305" s="24" t="str">
        <x:v>Splendid alfonsino</x:v>
      </x:c>
      <x:c r="G305" s="24" t="str">
        <x:v>Medium benthopelagics (30 - 89 cm)</x:v>
      </x:c>
      <x:c r="H305" s="24" t="str">
        <x:v>Other fishes &amp; inverts</x:v>
      </x:c>
      <x:c r="I305" s="31" t="n">
        <x:v>3.2492311770999995</x:v>
      </x:c>
      <x:c r="J305" s="31" t="n">
        <x:v>3.2492311770999995</x:v>
      </x:c>
      <x:c r="K305" s="31" t="n">
        <x:v>0</x:v>
      </x:c>
      <x:c r="L305" s="31" t="n">
        <x:v>3.1273945275</x:v>
      </x:c>
      <x:c r="M305" s="31" t="n">
        <x:v>0.1218366496</x:v>
      </x:c>
      <x:c r="N305" s="24" t="str">
        <x:v>beryx splendens</x:v>
      </x:c>
      <x:c r="O305" s="32" t="n">
        <x:v>4.27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Beryx splendens</x:v>
      </x:c>
      <x:c r="T305" s="32" t="n">
        <x:f>IF(O305="","",(1/'Metadata'!$B$5)^(O305-1))</x:f>
        <x:v>1862.0871366628655</x:v>
      </x:c>
      <x:c r="U305" s="31" t="n">
        <x:f>IF(T305="","",I305*T305)</x:f>
        <x:v>6050.35157892185</x:v>
      </x:c>
    </x:row>
    <x:row r="306" ht="18" customHeight="1">
      <x:c r="A306" s="24" t="str">
        <x:v>LME_025</x:v>
      </x:c>
      <x:c r="B306" s="24" t="str">
        <x:v>Iberian Coastal</x:v>
      </x:c>
      <x:c r="C306" s="24" t="str">
        <x:v>LME</x:v>
      </x:c>
      <x:c r="D306" s="30" t="n">
        <x:v>2019</x:v>
      </x:c>
      <x:c r="E306" s="24" t="str">
        <x:v>Etmopterus spinax</x:v>
      </x:c>
      <x:c r="F306" s="24" t="str">
        <x:v>Velvet belly</x:v>
      </x:c>
      <x:c r="G306" s="24" t="str">
        <x:v>Small to medium sharks (&lt;90 cm)</x:v>
      </x:c>
      <x:c r="H306" s="24" t="str">
        <x:v>Sharks &amp; rays</x:v>
      </x:c>
      <x:c r="I306" s="31" t="n">
        <x:v>3.1080901020000002</x:v>
      </x:c>
      <x:c r="J306" s="31" t="n">
        <x:v>0.0087612346</x:v>
      </x:c>
      <x:c r="K306" s="31" t="n">
        <x:v>3.0993288674</x:v>
      </x:c>
      <x:c r="L306" s="31" t="n">
        <x:v>0.0087612346</x:v>
      </x:c>
      <x:c r="M306" s="31" t="n">
        <x:v>3.0993288674</x:v>
      </x:c>
      <x:c r="N306" s="24" t="str">
        <x:v>etmopterus spinax</x:v>
      </x:c>
      <x:c r="O306" s="32" t="n">
        <x:v>4.14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Etmopterus spinax</x:v>
      </x:c>
      <x:c r="T306" s="32" t="n">
        <x:f>IF(O306="","",(1/'Metadata'!$B$5)^(O306-1))</x:f>
        <x:v>1380.3842646028838</x:v>
      </x:c>
      <x:c r="U306" s="31" t="n">
        <x:f>IF(T306="","",I306*T306)</x:f>
        <x:v>4290.358669768772</x:v>
      </x:c>
    </x:row>
    <x:row r="307" ht="18" customHeight="1">
      <x:c r="A307" s="24" t="str">
        <x:v>LME_025</x:v>
      </x:c>
      <x:c r="B307" s="24" t="str">
        <x:v>Iberian Coastal</x:v>
      </x:c>
      <x:c r="C307" s="24" t="str">
        <x:v>LME</x:v>
      </x:c>
      <x:c r="D307" s="30" t="n">
        <x:v>2019</x:v>
      </x:c>
      <x:c r="E307" s="24" t="str">
        <x:v>Aristeidae</x:v>
      </x:c>
      <x:c r="F307" s="24" t="str">
        <x:v>Aristeid shrimps</x:v>
      </x:c>
      <x:c r="G307" s="24" t="str">
        <x:v>Shrimps</x:v>
      </x:c>
      <x:c r="H307" s="24" t="str">
        <x:v>Crustaceans</x:v>
      </x:c>
      <x:c r="I307" s="31" t="n">
        <x:v>3.0667738042</x:v>
      </x:c>
      <x:c r="J307" s="31" t="n">
        <x:v>3.0667738042</x:v>
      </x:c>
      <x:c r="K307" s="31" t="n">
        <x:v>0</x:v>
      </x:c>
      <x:c r="L307" s="31" t="n">
        <x:v>2.6962207500999997</x:v>
      </x:c>
      <x:c r="M307" s="31" t="n">
        <x:v>0.3705530541</x:v>
      </x:c>
      <x:c r="N307" s="24" t="str">
        <x:v>aristeidae</x:v>
      </x:c>
      <x:c r="O307" s="32" t="n">
        <x:v>3.47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Aristeidae</x:v>
      </x:c>
      <x:c r="T307" s="32" t="n">
        <x:f>IF(O307="","",(1/'Metadata'!$B$5)^(O307-1))</x:f>
        <x:v>295.1209226666387</x:v>
      </x:c>
      <x:c r="U307" s="31" t="n">
        <x:f>IF(T307="","",I307*T307)</x:f>
        <x:v>905.0691147053816</x:v>
      </x:c>
    </x:row>
    <x:row r="308" ht="18" customHeight="1">
      <x:c r="A308" s="24" t="str">
        <x:v>LME_025</x:v>
      </x:c>
      <x:c r="B308" s="24" t="str">
        <x:v>Iberian Coastal</x:v>
      </x:c>
      <x:c r="C308" s="24" t="str">
        <x:v>LME</x:v>
      </x:c>
      <x:c r="D308" s="30" t="n">
        <x:v>2019</x:v>
      </x:c>
      <x:c r="E308" s="24" t="str">
        <x:v>Palinurus elephas</x:v>
      </x:c>
      <x:c r="F308" s="24" t="str">
        <x:v>Common spiny lobster</x:v>
      </x:c>
      <x:c r="G308" s="24" t="str">
        <x:v>Lobsters, crabs</x:v>
      </x:c>
      <x:c r="H308" s="24" t="str">
        <x:v>Crustaceans</x:v>
      </x:c>
      <x:c r="I308" s="31" t="n">
        <x:v>2.9721566017</x:v>
      </x:c>
      <x:c r="J308" s="31" t="n">
        <x:v>2.9402744431</x:v>
      </x:c>
      <x:c r="K308" s="31" t="n">
        <x:v>0.0318821586</x:v>
      </x:c>
      <x:c r="L308" s="31" t="n">
        <x:v>2.0879763357</x:v>
      </x:c>
      <x:c r="M308" s="31" t="n">
        <x:v>0.884180266</x:v>
      </x:c>
      <x:c r="N308" s="24" t="str">
        <x:v>palinurus elephas</x:v>
      </x:c>
      <x:c r="O308" s="32" t="n">
        <x:v>3.34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Palinurus elephas</x:v>
      </x:c>
      <x:c r="T308" s="32" t="n">
        <x:f>IF(O308="","",(1/'Metadata'!$B$5)^(O308-1))</x:f>
        <x:v>218.77616239495518</x:v>
      </x:c>
      <x:c r="U308" s="31" t="n">
        <x:f>IF(T308="","",I308*T308)</x:f>
        <x:v>650.2370153567573</x:v>
      </x:c>
    </x:row>
    <x:row r="309" ht="18" customHeight="1">
      <x:c r="A309" s="24" t="str">
        <x:v>LME_025</x:v>
      </x:c>
      <x:c r="B309" s="24" t="str">
        <x:v>Iberian Coastal</x:v>
      </x:c>
      <x:c r="C309" s="24" t="str">
        <x:v>LME</x:v>
      </x:c>
      <x:c r="D309" s="30" t="n">
        <x:v>2019</x:v>
      </x:c>
      <x:c r="E309" s="24" t="str">
        <x:v>Raja microocellata</x:v>
      </x:c>
      <x:c r="F309" s="24" t="str">
        <x:v>Small-eyed ray</x:v>
      </x:c>
      <x:c r="G309" s="24" t="str">
        <x:v>Small to medium rays (&lt;90 cm)</x:v>
      </x:c>
      <x:c r="H309" s="24" t="str">
        <x:v>Sharks &amp; rays</x:v>
      </x:c>
      <x:c r="I309" s="31" t="n">
        <x:v>2.9078972825</x:v>
      </x:c>
      <x:c r="J309" s="31" t="n">
        <x:v>2.9078972825</x:v>
      </x:c>
      <x:c r="K309" s="31" t="n">
        <x:v>0</x:v>
      </x:c>
      <x:c r="L309" s="31" t="n">
        <x:v>2.2922312073</x:v>
      </x:c>
      <x:c r="M309" s="31" t="n">
        <x:v>0.6156660752</x:v>
      </x:c>
      <x:c r="N309" s="24" t="str">
        <x:v>raja microocellata</x:v>
      </x:c>
      <x:c r="O309" s="32" t="n">
        <x:v>3.94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Raja microocellata</x:v>
      </x:c>
      <x:c r="T309" s="32" t="n">
        <x:f>IF(O309="","",(1/'Metadata'!$B$5)^(O309-1))</x:f>
        <x:v>870.9635899560806</x:v>
      </x:c>
      <x:c r="U309" s="31" t="n">
        <x:f>IF(T309="","",I309*T309)</x:f>
        <x:v>2532.672656389731</x:v>
      </x:c>
    </x:row>
    <x:row r="310" ht="18" customHeight="1">
      <x:c r="A310" s="24" t="str">
        <x:v>LME_025</x:v>
      </x:c>
      <x:c r="B310" s="24" t="str">
        <x:v>Iberian Coastal</x:v>
      </x:c>
      <x:c r="C310" s="24" t="str">
        <x:v>LME</x:v>
      </x:c>
      <x:c r="D310" s="30" t="n">
        <x:v>2019</x:v>
      </x:c>
      <x:c r="E310" s="24" t="str">
        <x:v>Dicentrarchus</x:v>
      </x:c>
      <x:c r="F310" s="24" t="str">
        <x:v>Seabasses</x:v>
      </x:c>
      <x:c r="G310" s="24" t="str">
        <x:v>Large demersals (&gt;=90 cm)</x:v>
      </x:c>
      <x:c r="H310" s="24" t="str">
        <x:v>Perch-likes</x:v>
      </x:c>
      <x:c r="I310" s="31" t="n">
        <x:v>2.8843887261</x:v>
      </x:c>
      <x:c r="J310" s="31" t="n">
        <x:v>2.8843887261</x:v>
      </x:c>
      <x:c r="K310" s="31" t="n">
        <x:v>0</x:v>
      </x:c>
      <x:c r="L310" s="31" t="n">
        <x:v>2.8843887261</x:v>
      </x:c>
      <x:c r="M310" s="31" t="n">
        <x:v>0</x:v>
      </x:c>
      <x:c r="N310" s="24" t="str">
        <x:v>dicentrarchus</x:v>
      </x:c>
      <x:c r="O310" s="32" t="n">
        <x:v>3.94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Dicentrarchus</x:v>
      </x:c>
      <x:c r="T310" s="32" t="n">
        <x:f>IF(O310="","",(1/'Metadata'!$B$5)^(O310-1))</x:f>
        <x:v>870.9635899560806</x:v>
      </x:c>
      <x:c r="U310" s="31" t="n">
        <x:f>IF(T310="","",I310*T310)</x:f>
        <x:v>2512.197559712902</x:v>
      </x:c>
    </x:row>
    <x:row r="311" ht="18" customHeight="1">
      <x:c r="A311" s="24" t="str">
        <x:v>LME_025</x:v>
      </x:c>
      <x:c r="B311" s="24" t="str">
        <x:v>Iberian Coastal</x:v>
      </x:c>
      <x:c r="C311" s="24" t="str">
        <x:v>LME</x:v>
      </x:c>
      <x:c r="D311" s="30" t="n">
        <x:v>2019</x:v>
      </x:c>
      <x:c r="E311" s="24" t="str">
        <x:v>Anguilliformes</x:v>
      </x:c>
      <x:c r="F311" s="24" t="str">
        <x:v>Eels, morays</x:v>
      </x:c>
      <x:c r="G311" s="24" t="str">
        <x:v>Large demersals (&gt;=90 cm)</x:v>
      </x:c>
      <x:c r="H311" s="24" t="str">
        <x:v>Other fishes &amp; inverts</x:v>
      </x:c>
      <x:c r="I311" s="31" t="n">
        <x:v>2.8663006887</x:v>
      </x:c>
      <x:c r="J311" s="31" t="n">
        <x:v>0</x:v>
      </x:c>
      <x:c r="K311" s="31" t="n">
        <x:v>2.8663006887</x:v>
      </x:c>
      <x:c r="L311" s="31" t="n">
        <x:v>0</x:v>
      </x:c>
      <x:c r="M311" s="31" t="n">
        <x:v>2.8663006887</x:v>
      </x:c>
      <x:c r="N311" s="24" t="str">
        <x:v>anguilliformes</x:v>
      </x:c>
      <x:c r="O311" s="32" t="n">
        <x:v>3.89</x:v>
      </x:c>
      <x:c r="P311" s="24" t="str">
        <x:v>exact_sea_around_us</x:v>
      </x:c>
      <x:c r="Q311" s="32" t="str">
        <x:v>Sea Around Us exploited organisms</x:v>
      </x:c>
      <x:c r="R311" s="24" t="str">
        <x:v>high</x:v>
      </x:c>
      <x:c r="S311" s="24" t="str">
        <x:v>Anguilliformes</x:v>
      </x:c>
      <x:c r="T311" s="32" t="n">
        <x:f>IF(O311="","",(1/'Metadata'!$B$5)^(O311-1))</x:f>
        <x:v>776.247116628692</x:v>
      </x:c>
      <x:c r="U311" s="31" t="n">
        <x:f>IF(T311="","",I311*T311)</x:f>
        <x:v>2224.957644994209</x:v>
      </x:c>
    </x:row>
    <x:row r="312" ht="18" customHeight="1">
      <x:c r="A312" s="24" t="str">
        <x:v>LME_025</x:v>
      </x:c>
      <x:c r="B312" s="24" t="str">
        <x:v>Iberian Coastal</x:v>
      </x:c>
      <x:c r="C312" s="24" t="str">
        <x:v>LME</x:v>
      </x:c>
      <x:c r="D312" s="30" t="n">
        <x:v>2019</x:v>
      </x:c>
      <x:c r="E312" s="24" t="str">
        <x:v>Crangon crangon</x:v>
      </x:c>
      <x:c r="F312" s="24" t="str">
        <x:v>Common shrimp</x:v>
      </x:c>
      <x:c r="G312" s="24" t="str">
        <x:v>Shrimps</x:v>
      </x:c>
      <x:c r="H312" s="24" t="str">
        <x:v>Crustaceans</x:v>
      </x:c>
      <x:c r="I312" s="31" t="n">
        <x:v>2.716850615</x:v>
      </x:c>
      <x:c r="J312" s="31" t="n">
        <x:v>2.716850615</x:v>
      </x:c>
      <x:c r="K312" s="31" t="n">
        <x:v>0</x:v>
      </x:c>
      <x:c r="L312" s="31" t="n">
        <x:v>2.476808393</x:v>
      </x:c>
      <x:c r="M312" s="31" t="n">
        <x:v>0.240042222</x:v>
      </x:c>
      <x:c r="N312" s="24" t="str">
        <x:v>crangon crangon</x:v>
      </x:c>
      <x:c r="O312" s="32" t="n">
        <x:v>3.19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Crangon crangon</x:v>
      </x:c>
      <x:c r="T312" s="32" t="n">
        <x:f>IF(O312="","",(1/'Metadata'!$B$5)^(O312-1))</x:f>
        <x:v>154.88166189124811</x:v>
      </x:c>
      <x:c r="U312" s="31" t="n">
        <x:f>IF(T312="","",I312*T312)</x:f>
        <x:v>420.7903383614595</x:v>
      </x:c>
    </x:row>
    <x:row r="313" ht="18" customHeight="1">
      <x:c r="A313" s="24" t="str">
        <x:v>LME_025</x:v>
      </x:c>
      <x:c r="B313" s="24" t="str">
        <x:v>Iberian Coastal</x:v>
      </x:c>
      <x:c r="C313" s="24" t="str">
        <x:v>LME</x:v>
      </x:c>
      <x:c r="D313" s="30" t="n">
        <x:v>2019</x:v>
      </x:c>
      <x:c r="E313" s="24" t="str">
        <x:v>Serranidae</x:v>
      </x:c>
      <x:c r="F313" s="24" t="str">
        <x:v>Basses, groupers, hinds</x:v>
      </x:c>
      <x:c r="G313" s="24" t="str">
        <x:v>Medium reef assoc. fish (30 - 89 cm)</x:v>
      </x:c>
      <x:c r="H313" s="24" t="str">
        <x:v>Perch-likes</x:v>
      </x:c>
      <x:c r="I313" s="31" t="n">
        <x:v>2.6661859336</x:v>
      </x:c>
      <x:c r="J313" s="31" t="n">
        <x:v>2.6661859336</x:v>
      </x:c>
      <x:c r="K313" s="31" t="n">
        <x:v>0</x:v>
      </x:c>
      <x:c r="L313" s="31" t="n">
        <x:v>2.6661859336</x:v>
      </x:c>
      <x:c r="M313" s="31" t="n">
        <x:v>0</x:v>
      </x:c>
      <x:c r="N313" s="24" t="str">
        <x:v>serranidae</x:v>
      </x:c>
      <x:c r="O313" s="32" t="n">
        <x:v>3.98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Serranidae</x:v>
      </x:c>
      <x:c r="T313" s="32" t="n">
        <x:f>IF(O313="","",(1/'Metadata'!$B$5)^(O313-1))</x:f>
        <x:v>954.992586021436</x:v>
      </x:c>
      <x:c r="U313" s="31" t="n">
        <x:f>IF(T313="","",I313*T313)</x:f>
        <x:v>2546.1877995426407</x:v>
      </x:c>
    </x:row>
    <x:row r="314" ht="18" customHeight="1">
      <x:c r="A314" s="24" t="str">
        <x:v>LME_025</x:v>
      </x:c>
      <x:c r="B314" s="24" t="str">
        <x:v>Iberian Coastal</x:v>
      </x:c>
      <x:c r="C314" s="24" t="str">
        <x:v>LME</x:v>
      </x:c>
      <x:c r="D314" s="30" t="n">
        <x:v>2019</x:v>
      </x:c>
      <x:c r="E314" s="24" t="str">
        <x:v>Dasyatis pastinaca</x:v>
      </x:c>
      <x:c r="F314" s="24" t="str">
        <x:v>Common stingray</x:v>
      </x:c>
      <x:c r="G314" s="24" t="str">
        <x:v>Large rays (&gt;=90 cm)</x:v>
      </x:c>
      <x:c r="H314" s="24" t="str">
        <x:v>Sharks &amp; rays</x:v>
      </x:c>
      <x:c r="I314" s="31" t="n">
        <x:v>2.647773698</x:v>
      </x:c>
      <x:c r="J314" s="31" t="n">
        <x:v>2.2321403751</x:v>
      </x:c>
      <x:c r="K314" s="31" t="n">
        <x:v>0.4156333229</x:v>
      </x:c>
      <x:c r="L314" s="31" t="n">
        <x:v>1.8965202601</x:v>
      </x:c>
      <x:c r="M314" s="31" t="n">
        <x:v>0.7512534379</x:v>
      </x:c>
      <x:c r="N314" s="24" t="str">
        <x:v>dasyatis pastinaca</x:v>
      </x:c>
      <x:c r="O314" s="32" t="n">
        <x:v>4.05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Dasyatis pastinaca</x:v>
      </x:c>
      <x:c r="T314" s="32" t="n">
        <x:f>IF(O314="","",(1/'Metadata'!$B$5)^(O314-1))</x:f>
        <x:v>1122.018454301963</x:v>
      </x:c>
      <x:c r="U314" s="31" t="n">
        <x:f>IF(T314="","",I314*T314)</x:f>
        <x:v>2970.8509519713525</x:v>
      </x:c>
    </x:row>
    <x:row r="315" ht="18" customHeight="1">
      <x:c r="A315" s="24" t="str">
        <x:v>LME_025</x:v>
      </x:c>
      <x:c r="B315" s="24" t="str">
        <x:v>Iberian Coastal</x:v>
      </x:c>
      <x:c r="C315" s="24" t="str">
        <x:v>LME</x:v>
      </x:c>
      <x:c r="D315" s="30" t="n">
        <x:v>2019</x:v>
      </x:c>
      <x:c r="E315" s="24" t="str">
        <x:v>Cepola macrophthalma</x:v>
      </x:c>
      <x:c r="F315" s="24" t="str">
        <x:v>Red bandfish</x:v>
      </x:c>
      <x:c r="G315" s="24" t="str">
        <x:v>Medium demersals (30 - 89 cm)</x:v>
      </x:c>
      <x:c r="H315" s="24" t="str">
        <x:v>Perch-likes</x:v>
      </x:c>
      <x:c r="I315" s="31" t="n">
        <x:v>2.4585442675</x:v>
      </x:c>
      <x:c r="J315" s="31" t="n">
        <x:v>2.4585442675</x:v>
      </x:c>
      <x:c r="K315" s="31" t="n">
        <x:v>0</x:v>
      </x:c>
      <x:c r="L315" s="31" t="n">
        <x:v>2.4585442675</x:v>
      </x:c>
      <x:c r="M315" s="31" t="n">
        <x:v>0</x:v>
      </x:c>
      <x:c r="N315" s="24" t="str">
        <x:v>cepola macrophthalma</x:v>
      </x:c>
      <x:c r="O315" s="32" t="n">
        <x:v>3.13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Cepola macrophthalma</x:v>
      </x:c>
      <x:c r="T315" s="32" t="n">
        <x:f>IF(O315="","",(1/'Metadata'!$B$5)^(O315-1))</x:f>
        <x:v>134.89628825916532</x:v>
      </x:c>
      <x:c r="U315" s="31" t="n">
        <x:f>IF(T315="","",I315*T315)</x:f>
        <x:v>331.64849620659845</x:v>
      </x:c>
    </x:row>
    <x:row r="316" ht="18" customHeight="1">
      <x:c r="A316" s="24" t="str">
        <x:v>LME_025</x:v>
      </x:c>
      <x:c r="B316" s="24" t="str">
        <x:v>Iberian Coastal</x:v>
      </x:c>
      <x:c r="C316" s="24" t="str">
        <x:v>LME</x:v>
      </x:c>
      <x:c r="D316" s="30" t="n">
        <x:v>2019</x:v>
      </x:c>
      <x:c r="E316" s="24" t="str">
        <x:v>Symphodus</x:v>
      </x:c>
      <x:c r="F316" s="24" t="str">
        <x:v>Eastern Atlantic wrasses</x:v>
      </x:c>
      <x:c r="G316" s="24" t="str">
        <x:v>Small reef assoc. fish (&lt;30 cm)</x:v>
      </x:c>
      <x:c r="H316" s="24" t="str">
        <x:v>Perch-likes</x:v>
      </x:c>
      <x:c r="I316" s="31" t="n">
        <x:v>2.3672410102000003</x:v>
      </x:c>
      <x:c r="J316" s="31" t="n">
        <x:v>2.3380370853000003</x:v>
      </x:c>
      <x:c r="K316" s="31" t="n">
        <x:v>0.0292039249</x:v>
      </x:c>
      <x:c r="L316" s="31" t="n">
        <x:v>2.0096932752</x:v>
      </x:c>
      <x:c r="M316" s="31" t="n">
        <x:v>0.357547735</x:v>
      </x:c>
      <x:c r="N316" s="24" t="str">
        <x:v>symphodus</x:v>
      </x:c>
      <x:c r="O316" s="32" t="n">
        <x:v>3.39</x:v>
      </x:c>
      <x:c r="P316" s="24" t="str">
        <x:v>exact_sea_around_us</x:v>
      </x:c>
      <x:c r="Q316" s="32" t="str">
        <x:v>Sea Around Us exploited organisms</x:v>
      </x:c>
      <x:c r="R316" s="24" t="str">
        <x:v>high</x:v>
      </x:c>
      <x:c r="S316" s="24" t="str">
        <x:v>Symphodus</x:v>
      </x:c>
      <x:c r="T316" s="32" t="n">
        <x:f>IF(O316="","",(1/'Metadata'!$B$5)^(O316-1))</x:f>
        <x:v>245.4708915685031</x:v>
      </x:c>
      <x:c r="U316" s="31" t="n">
        <x:f>IF(T316="","",I316*T316)</x:f>
        <x:v>581.088761331318</x:v>
      </x:c>
    </x:row>
    <x:row r="317" ht="18" customHeight="1">
      <x:c r="A317" s="24" t="str">
        <x:v>LME_025</x:v>
      </x:c>
      <x:c r="B317" s="24" t="str">
        <x:v>Iberian Coastal</x:v>
      </x:c>
      <x:c r="C317" s="24" t="str">
        <x:v>LME</x:v>
      </x:c>
      <x:c r="D317" s="30" t="n">
        <x:v>2019</x:v>
      </x:c>
      <x:c r="E317" s="24" t="str">
        <x:v>Anomura</x:v>
      </x:c>
      <x:c r="F317" s="24" t="str">
        <x:v>Craylets, squat lobsters, hermits</x:v>
      </x:c>
      <x:c r="G317" s="24" t="str">
        <x:v>Lobsters, crabs</x:v>
      </x:c>
      <x:c r="H317" s="24" t="str">
        <x:v>Crustaceans</x:v>
      </x:c>
      <x:c r="I317" s="31" t="n">
        <x:v>2.2605690737999997</x:v>
      </x:c>
      <x:c r="J317" s="31" t="n">
        <x:v>2.2605690737999997</x:v>
      </x:c>
      <x:c r="K317" s="31" t="n">
        <x:v>0</x:v>
      </x:c>
      <x:c r="L317" s="31" t="n">
        <x:v>2.2605690737999997</x:v>
      </x:c>
      <x:c r="M317" s="31" t="n">
        <x:v>0</x:v>
      </x:c>
      <x:c r="N317" s="24" t="str">
        <x:v>anomura</x:v>
      </x:c>
      <x:c r="O317" s="32" t="n">
        <x:v>3.1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Anomura</x:v>
      </x:c>
      <x:c r="T317" s="32" t="n">
        <x:f>IF(O317="","",(1/'Metadata'!$B$5)^(O317-1))</x:f>
        <x:v>125.89254117941675</x:v>
      </x:c>
      <x:c r="U317" s="31" t="n">
        <x:f>IF(T317="","",I317*T317)</x:f>
        <x:v>284.58878521228246</x:v>
      </x:c>
    </x:row>
    <x:row r="318" ht="18" customHeight="1">
      <x:c r="A318" s="24" t="str">
        <x:v>LME_025</x:v>
      </x:c>
      <x:c r="B318" s="24" t="str">
        <x:v>Iberian Coastal</x:v>
      </x:c>
      <x:c r="C318" s="24" t="str">
        <x:v>LME</x:v>
      </x:c>
      <x:c r="D318" s="30" t="n">
        <x:v>2019</x:v>
      </x:c>
      <x:c r="E318" s="24" t="str">
        <x:v>Alosa</x:v>
      </x:c>
      <x:c r="F318" s="24" t="str">
        <x:v>Shads</x:v>
      </x:c>
      <x:c r="G318" s="24" t="str">
        <x:v>Medium pelagics (30 - 89 cm)</x:v>
      </x:c>
      <x:c r="H318" s="24" t="str">
        <x:v>Herring-likes</x:v>
      </x:c>
      <x:c r="I318" s="31" t="n">
        <x:v>2.2183737597</x:v>
      </x:c>
      <x:c r="J318" s="31" t="n">
        <x:v>2.2183737597</x:v>
      </x:c>
      <x:c r="K318" s="31" t="n">
        <x:v>0</x:v>
      </x:c>
      <x:c r="L318" s="31" t="n">
        <x:v>1.5209707583</x:v>
      </x:c>
      <x:c r="M318" s="31" t="n">
        <x:v>0.6974030014</x:v>
      </x:c>
      <x:c r="N318" s="24" t="str">
        <x:v>alosa</x:v>
      </x:c>
      <x:c r="O318" s="32" t="n">
        <x:v>3.89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Alosa</x:v>
      </x:c>
      <x:c r="T318" s="32" t="n">
        <x:f>IF(O318="","",(1/'Metadata'!$B$5)^(O318-1))</x:f>
        <x:v>776.247116628692</x:v>
      </x:c>
      <x:c r="U318" s="31" t="n">
        <x:f>IF(T318="","",I318*T318)</x:f>
        <x:v>1722.0062345718757</x:v>
      </x:c>
    </x:row>
    <x:row r="319" ht="18" customHeight="1">
      <x:c r="A319" s="24" t="str">
        <x:v>LME_025</x:v>
      </x:c>
      <x:c r="B319" s="24" t="str">
        <x:v>Iberian Coastal</x:v>
      </x:c>
      <x:c r="C319" s="24" t="str">
        <x:v>LME</x:v>
      </x:c>
      <x:c r="D319" s="30" t="n">
        <x:v>2019</x:v>
      </x:c>
      <x:c r="E319" s="24" t="str">
        <x:v>Gaidropsarus</x:v>
      </x:c>
      <x:c r="F319" s="24" t="str">
        <x:v>Rocklings</x:v>
      </x:c>
      <x:c r="G319" s="24" t="str">
        <x:v>Medium benthopelagics (30 - 89 cm)</x:v>
      </x:c>
      <x:c r="H319" s="24" t="str">
        <x:v>Cod-likes</x:v>
      </x:c>
      <x:c r="I319" s="31" t="n">
        <x:v>2.2154103558999996</x:v>
      </x:c>
      <x:c r="J319" s="31" t="n">
        <x:v>2.2154103558999996</x:v>
      </x:c>
      <x:c r="K319" s="31" t="n">
        <x:v>0</x:v>
      </x:c>
      <x:c r="L319" s="31" t="n">
        <x:v>2.2111262255999997</x:v>
      </x:c>
      <x:c r="M319" s="31" t="n">
        <x:v>0.0042841303</x:v>
      </x:c>
      <x:c r="N319" s="24" t="str">
        <x:v>gaidropsarus</x:v>
      </x:c>
      <x:c r="O319" s="32" t="n">
        <x:v>3.4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Gaidropsarus</x:v>
      </x:c>
      <x:c r="T319" s="32" t="n">
        <x:f>IF(O319="","",(1/'Metadata'!$B$5)^(O319-1))</x:f>
        <x:v>251.18864315095797</x:v>
      </x:c>
      <x:c r="U319" s="31" t="n">
        <x:f>IF(T319="","",I319*T319)</x:f>
        <x:v>556.4859213211018</x:v>
      </x:c>
    </x:row>
    <x:row r="320" ht="18" customHeight="1">
      <x:c r="A320" s="24" t="str">
        <x:v>LME_025</x:v>
      </x:c>
      <x:c r="B320" s="24" t="str">
        <x:v>Iberian Coastal</x:v>
      </x:c>
      <x:c r="C320" s="24" t="str">
        <x:v>LME</x:v>
      </x:c>
      <x:c r="D320" s="30" t="n">
        <x:v>2019</x:v>
      </x:c>
      <x:c r="E320" s="24" t="str">
        <x:v>Molva macrophthalma</x:v>
      </x:c>
      <x:c r="F320" s="24" t="str">
        <x:v>Spanish ling</x:v>
      </x:c>
      <x:c r="G320" s="24" t="str">
        <x:v>Medium demersals (30 - 89 cm)</x:v>
      </x:c>
      <x:c r="H320" s="24" t="str">
        <x:v>Cod-likes</x:v>
      </x:c>
      <x:c r="I320" s="31" t="n">
        <x:v>1.9376527207999998</x:v>
      </x:c>
      <x:c r="J320" s="31" t="n">
        <x:v>1.9376527207999998</x:v>
      </x:c>
      <x:c r="K320" s="31" t="n">
        <x:v>0</x:v>
      </x:c>
      <x:c r="L320" s="31" t="n">
        <x:v>1.9376527207999998</x:v>
      </x:c>
      <x:c r="M320" s="31" t="n">
        <x:v>0</x:v>
      </x:c>
      <x:c r="N320" s="24" t="str">
        <x:v>molva macrophthalma</x:v>
      </x:c>
      <x:c r="O320" s="32" t="n">
        <x:v>4.5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Molva macrophthalma</x:v>
      </x:c>
      <x:c r="T320" s="32" t="n">
        <x:f>IF(O320="","",(1/'Metadata'!$B$5)^(O320-1))</x:f>
        <x:v>3162.2776601683795</x:v>
      </x:c>
      <x:c r="U320" s="31" t="n">
        <x:f>IF(T320="","",I320*T320)</x:f>
        <x:v>6127.395912150318</x:v>
      </x:c>
    </x:row>
    <x:row r="321" ht="18" customHeight="1">
      <x:c r="A321" s="24" t="str">
        <x:v>LME_025</x:v>
      </x:c>
      <x:c r="B321" s="24" t="str">
        <x:v>Iberian Coastal</x:v>
      </x:c>
      <x:c r="C321" s="24" t="str">
        <x:v>LME</x:v>
      </x:c>
      <x:c r="D321" s="30" t="n">
        <x:v>2019</x:v>
      </x:c>
      <x:c r="E321" s="24" t="str">
        <x:v>Octopus</x:v>
      </x:c>
      <x:c r="F321" s="24" t="str">
        <x:v>Octopuses, pikas</x:v>
      </x:c>
      <x:c r="G321" s="24" t="str">
        <x:v>Cephalopods</x:v>
      </x:c>
      <x:c r="H321" s="24" t="str">
        <x:v>Other fishes &amp; inverts</x:v>
      </x:c>
      <x:c r="I321" s="31" t="n">
        <x:v>1.9130404604</x:v>
      </x:c>
      <x:c r="J321" s="31" t="n">
        <x:v>0.9882263653</x:v>
      </x:c>
      <x:c r="K321" s="31" t="n">
        <x:v>0.9248140951</x:v>
      </x:c>
      <x:c r="L321" s="31" t="n">
        <x:v>0.2342785006</x:v>
      </x:c>
      <x:c r="M321" s="31" t="n">
        <x:v>1.6787619597999999</x:v>
      </x:c>
      <x:c r="N321" s="24" t="str">
        <x:v>octopus</x:v>
      </x:c>
      <x:c r="O321" s="32" t="n">
        <x:v>3.8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Octopus</x:v>
      </x:c>
      <x:c r="T321" s="32" t="n">
        <x:f>IF(O321="","",(1/'Metadata'!$B$5)^(O321-1))</x:f>
        <x:v>630.957344480193</x:v>
      </x:c>
      <x:c r="U321" s="31" t="n">
        <x:f>IF(T321="","",I321*T321)</x:f>
        <x:v>1207.0469287771498</x:v>
      </x:c>
    </x:row>
    <x:row r="322" ht="18" customHeight="1">
      <x:c r="A322" s="24" t="str">
        <x:v>LME_025</x:v>
      </x:c>
      <x:c r="B322" s="24" t="str">
        <x:v>Iberian Coastal</x:v>
      </x:c>
      <x:c r="C322" s="24" t="str">
        <x:v>LME</x:v>
      </x:c>
      <x:c r="D322" s="30" t="n">
        <x:v>2019</x:v>
      </x:c>
      <x:c r="E322" s="24" t="str">
        <x:v>Plesionika heterocarpus</x:v>
      </x:c>
      <x:c r="F322" s="24" t="str">
        <x:v>Arrow shrimp</x:v>
      </x:c>
      <x:c r="G322" s="24" t="str">
        <x:v>Shrimps</x:v>
      </x:c>
      <x:c r="H322" s="24" t="str">
        <x:v>Crustaceans</x:v>
      </x:c>
      <x:c r="I322" s="31" t="n">
        <x:v>1.8707870568000002</x:v>
      </x:c>
      <x:c r="J322" s="31" t="n">
        <x:v>1.7229647527000003</x:v>
      </x:c>
      <x:c r="K322" s="31" t="n">
        <x:v>0.1478223041</x:v>
      </x:c>
      <x:c r="L322" s="31" t="n">
        <x:v>0.5086259656000001</x:v>
      </x:c>
      <x:c r="M322" s="31" t="n">
        <x:v>1.3621610912000002</x:v>
      </x:c>
      <x:c r="N322" s="24" t="str">
        <x:v>plesionika heterocarpus</x:v>
      </x:c>
      <x:c r="O322" s="32" t="n">
        <x:v>3.37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Plesionika heterocarpus</x:v>
      </x:c>
      <x:c r="T322" s="32" t="n">
        <x:f>IF(O322="","",(1/'Metadata'!$B$5)^(O322-1))</x:f>
        <x:v>234.42288153199226</x:v>
      </x:c>
      <x:c r="U322" s="31" t="n">
        <x:f>IF(T322="","",I322*T322)</x:f>
        <x:v>438.5552925878109</x:v>
      </x:c>
    </x:row>
    <x:row r="323" ht="18" customHeight="1">
      <x:c r="A323" s="24" t="str">
        <x:v>LME_025</x:v>
      </x:c>
      <x:c r="B323" s="24" t="str">
        <x:v>Iberian Coastal</x:v>
      </x:c>
      <x:c r="C323" s="24" t="str">
        <x:v>LME</x:v>
      </x:c>
      <x:c r="D323" s="30" t="n">
        <x:v>2019</x:v>
      </x:c>
      <x:c r="E323" s="24" t="str">
        <x:v>Uranoscopus scaber</x:v>
      </x:c>
      <x:c r="F323" s="24" t="str">
        <x:v>Stargazer</x:v>
      </x:c>
      <x:c r="G323" s="24" t="str">
        <x:v>Medium demersals (30 - 89 cm)</x:v>
      </x:c>
      <x:c r="H323" s="24" t="str">
        <x:v>Perch-likes</x:v>
      </x:c>
      <x:c r="I323" s="31" t="n">
        <x:v>1.8439572824000001</x:v>
      </x:c>
      <x:c r="J323" s="31" t="n">
        <x:v>1.4271802298</x:v>
      </x:c>
      <x:c r="K323" s="31" t="n">
        <x:v>0.4167770526</x:v>
      </x:c>
      <x:c r="L323" s="31" t="n">
        <x:v>1.2250080415</x:v>
      </x:c>
      <x:c r="M323" s="31" t="n">
        <x:v>0.6189492409</x:v>
      </x:c>
      <x:c r="N323" s="24" t="str">
        <x:v>uranoscopus scaber</x:v>
      </x:c>
      <x:c r="O323" s="32" t="n">
        <x:v>4.38</x:v>
      </x:c>
      <x:c r="P323" s="24" t="str">
        <x:v>exact_2020_supplement</x:v>
      </x:c>
      <x:c r="Q323" s="32" t="str">
        <x:v>2020 supplement MeanTL</x:v>
      </x:c>
      <x:c r="R323" s="24" t="str">
        <x:v>high</x:v>
      </x:c>
      <x:c r="S323" s="24" t="str">
        <x:v>Uranoscopus scaber</x:v>
      </x:c>
      <x:c r="T323" s="32" t="n">
        <x:f>IF(O323="","",(1/'Metadata'!$B$5)^(O323-1))</x:f>
        <x:v>2398.83291901949</x:v>
      </x:c>
      <x:c r="U323" s="31" t="n">
        <x:f>IF(T323="","",I323*T323)</x:f>
        <x:v>4423.345430286839</x:v>
      </x:c>
    </x:row>
    <x:row r="324" ht="18" customHeight="1">
      <x:c r="A324" s="24" t="str">
        <x:v>LME_025</x:v>
      </x:c>
      <x:c r="B324" s="24" t="str">
        <x:v>Iberian Coastal</x:v>
      </x:c>
      <x:c r="C324" s="24" t="str">
        <x:v>LME</x:v>
      </x:c>
      <x:c r="D324" s="30" t="n">
        <x:v>2019</x:v>
      </x:c>
      <x:c r="E324" s="24" t="str">
        <x:v>Squalus acanthias</x:v>
      </x:c>
      <x:c r="F324" s="24" t="str">
        <x:v>Picked dogfish</x:v>
      </x:c>
      <x:c r="G324" s="24" t="str">
        <x:v>Large sharks (&gt;=90 cm)</x:v>
      </x:c>
      <x:c r="H324" s="24" t="str">
        <x:v>Sharks &amp; rays</x:v>
      </x:c>
      <x:c r="I324" s="31" t="n">
        <x:v>1.8269728211</x:v>
      </x:c>
      <x:c r="J324" s="31" t="n">
        <x:v>1.5171070301</x:v>
      </x:c>
      <x:c r="K324" s="31" t="n">
        <x:v>0.309865791</x:v>
      </x:c>
      <x:c r="L324" s="31" t="n">
        <x:v>1.4215068234000001</x:v>
      </x:c>
      <x:c r="M324" s="31" t="n">
        <x:v>0.4054659977</x:v>
      </x:c>
      <x:c r="N324" s="24" t="str">
        <x:v>squalus acanthias</x:v>
      </x:c>
      <x:c r="O324" s="32" t="n">
        <x:v>4.37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Squalus acanthias</x:v>
      </x:c>
      <x:c r="T324" s="32" t="n">
        <x:f>IF(O324="","",(1/'Metadata'!$B$5)^(O324-1))</x:f>
        <x:v>2344.228815319923</x:v>
      </x:c>
      <x:c r="U324" s="31" t="n">
        <x:f>IF(T324="","",I324*T324)</x:f>
        <x:v>4282.84233202895</x:v>
      </x:c>
    </x:row>
    <x:row r="325" ht="18" customHeight="1">
      <x:c r="A325" s="24" t="str">
        <x:v>LME_025</x:v>
      </x:c>
      <x:c r="B325" s="24" t="str">
        <x:v>Iberian Coastal</x:v>
      </x:c>
      <x:c r="C325" s="24" t="str">
        <x:v>LME</x:v>
      </x:c>
      <x:c r="D325" s="30" t="n">
        <x:v>2019</x:v>
      </x:c>
      <x:c r="E325" s="24" t="str">
        <x:v>Trichiurus</x:v>
      </x:c>
      <x:c r="F325" s="24" t="str">
        <x:v>Hairtails</x:v>
      </x:c>
      <x:c r="G325" s="24" t="str">
        <x:v>Large benthopelagics (&gt;=90 cm)</x:v>
      </x:c>
      <x:c r="H325" s="24" t="str">
        <x:v>Perch-likes</x:v>
      </x:c>
      <x:c r="I325" s="31" t="n">
        <x:v>1.8190333141000001</x:v>
      </x:c>
      <x:c r="J325" s="31" t="n">
        <x:v>1.8190333141000001</x:v>
      </x:c>
      <x:c r="K325" s="31" t="n">
        <x:v>0</x:v>
      </x:c>
      <x:c r="L325" s="31" t="n">
        <x:v>0.7080198815000001</x:v>
      </x:c>
      <x:c r="M325" s="31" t="n">
        <x:v>1.1110134326</x:v>
      </x:c>
      <x:c r="N325" s="24" t="str">
        <x:v>trichiurus</x:v>
      </x:c>
      <x:c r="O325" s="32" t="n">
        <x:v>4.42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Trichiurus</x:v>
      </x:c>
      <x:c r="T325" s="32" t="n">
        <x:f>IF(O325="","",(1/'Metadata'!$B$5)^(O325-1))</x:f>
        <x:v>2630.2679918953813</x:v>
      </x:c>
      <x:c r="U325" s="31" t="n">
        <x:f>IF(T325="","",I325*T325)</x:f>
        <x:v>4784.5451022686075</x:v>
      </x:c>
    </x:row>
    <x:row r="326" ht="18" customHeight="1">
      <x:c r="A326" s="24" t="str">
        <x:v>LME_025</x:v>
      </x:c>
      <x:c r="B326" s="24" t="str">
        <x:v>Iberian Coastal</x:v>
      </x:c>
      <x:c r="C326" s="24" t="str">
        <x:v>LME</x:v>
      </x:c>
      <x:c r="D326" s="30" t="n">
        <x:v>2019</x:v>
      </x:c>
      <x:c r="E326" s="24" t="str">
        <x:v>Ruvettus pretiosus</x:v>
      </x:c>
      <x:c r="F326" s="24" t="str">
        <x:v>Oilfish</x:v>
      </x:c>
      <x:c r="G326" s="24" t="str">
        <x:v>Large benthopelagics (&gt;=90 cm)</x:v>
      </x:c>
      <x:c r="H326" s="24" t="str">
        <x:v>Perch-likes</x:v>
      </x:c>
      <x:c r="I326" s="31" t="n">
        <x:v>1.7954318154</x:v>
      </x:c>
      <x:c r="J326" s="31" t="n">
        <x:v>1.2774658627</x:v>
      </x:c>
      <x:c r="K326" s="31" t="n">
        <x:v>0.5179659527</x:v>
      </x:c>
      <x:c r="L326" s="31" t="n">
        <x:v>1.2644274444</x:v>
      </x:c>
      <x:c r="M326" s="31" t="n">
        <x:v>0.531004371</x:v>
      </x:c>
      <x:c r="N326" s="24" t="str">
        <x:v>ruvettus pretiosus</x:v>
      </x:c>
      <x:c r="O326" s="32" t="n">
        <x:v>4.18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Ruvettus pretiosus</x:v>
      </x:c>
      <x:c r="T326" s="32" t="n">
        <x:f>IF(O326="","",(1/'Metadata'!$B$5)^(O326-1))</x:f>
        <x:v>1513.5612484362073</x:v>
      </x:c>
      <x:c r="U326" s="31" t="n">
        <x:f>IF(T326="","",I326*T326)</x:f>
        <x:v>2717.49601999891</x:v>
      </x:c>
    </x:row>
    <x:row r="327" ht="18" customHeight="1">
      <x:c r="A327" s="24" t="str">
        <x:v>LME_025</x:v>
      </x:c>
      <x:c r="B327" s="24" t="str">
        <x:v>Iberian Coastal</x:v>
      </x:c>
      <x:c r="C327" s="24" t="str">
        <x:v>LME</x:v>
      </x:c>
      <x:c r="D327" s="30" t="n">
        <x:v>2019</x:v>
      </x:c>
      <x:c r="E327" s="24" t="str">
        <x:v>Benthodesmus</x:v>
      </x:c>
      <x:c r="F327" s="24" t="str">
        <x:v>Frostfishes</x:v>
      </x:c>
      <x:c r="G327" s="24" t="str">
        <x:v>Large benthopelagics (&gt;=90 cm)</x:v>
      </x:c>
      <x:c r="H327" s="24" t="str">
        <x:v>Perch-likes</x:v>
      </x:c>
      <x:c r="I327" s="31" t="n">
        <x:v>1.778867307</x:v>
      </x:c>
      <x:c r="J327" s="31" t="n">
        <x:v>0</x:v>
      </x:c>
      <x:c r="K327" s="31" t="n">
        <x:v>1.778867307</x:v>
      </x:c>
      <x:c r="L327" s="31" t="n">
        <x:v>0</x:v>
      </x:c>
      <x:c r="M327" s="31" t="n">
        <x:v>1.778867307</x:v>
      </x:c>
      <x:c r="N327" s="24" t="str">
        <x:v>benthodesmus</x:v>
      </x:c>
      <x:c r="O327" s="32" t="n">
        <x:v>3.73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Benthodesmus</x:v>
      </x:c>
      <x:c r="T327" s="32" t="n">
        <x:f>IF(O327="","",(1/'Metadata'!$B$5)^(O327-1))</x:f>
        <x:v>537.0317963702527</x:v>
      </x:c>
      <x:c r="U327" s="31" t="n">
        <x:f>IF(T327="","",I327*T327)</x:f>
        <x:v>955.3083053825237</x:v>
      </x:c>
    </x:row>
    <x:row r="328" ht="18" customHeight="1">
      <x:c r="A328" s="24" t="str">
        <x:v>LME_025</x:v>
      </x:c>
      <x:c r="B328" s="24" t="str">
        <x:v>Iberian Coastal</x:v>
      </x:c>
      <x:c r="C328" s="24" t="str">
        <x:v>LME</x:v>
      </x:c>
      <x:c r="D328" s="30" t="n">
        <x:v>2019</x:v>
      </x:c>
      <x:c r="E328" s="24" t="str">
        <x:v>Myliobatidae</x:v>
      </x:c>
      <x:c r="F328" s="24" t="str">
        <x:v>Eagle/manta rays</x:v>
      </x:c>
      <x:c r="G328" s="24" t="str">
        <x:v>Large rays (&gt;=90 cm)</x:v>
      </x:c>
      <x:c r="H328" s="24" t="str">
        <x:v>Sharks &amp; rays</x:v>
      </x:c>
      <x:c r="I328" s="31" t="n">
        <x:v>1.7235540494</x:v>
      </x:c>
      <x:c r="J328" s="31" t="n">
        <x:v>1.5394445626</x:v>
      </x:c>
      <x:c r="K328" s="31" t="n">
        <x:v>0.1841094868</x:v>
      </x:c>
      <x:c r="L328" s="31" t="n">
        <x:v>1.4077392307999999</x:v>
      </x:c>
      <x:c r="M328" s="31" t="n">
        <x:v>0.3158148186</x:v>
      </x:c>
      <x:c r="N328" s="24" t="str">
        <x:v>myliobatidae</x:v>
      </x:c>
      <x:c r="O328" s="32" t="n">
        <x:v>3.36</x:v>
      </x:c>
      <x:c r="P328" s="24" t="str">
        <x:v>exact_sea_around_us</x:v>
      </x:c>
      <x:c r="Q328" s="32" t="str">
        <x:v>Sea Around Us exploited organisms</x:v>
      </x:c>
      <x:c r="R328" s="24" t="str">
        <x:v>high</x:v>
      </x:c>
      <x:c r="S328" s="24" t="str">
        <x:v>Myliobatidae</x:v>
      </x:c>
      <x:c r="T328" s="32" t="n">
        <x:f>IF(O328="","",(1/'Metadata'!$B$5)^(O328-1))</x:f>
        <x:v>229.08676527677724</x:v>
      </x:c>
      <x:c r="U328" s="31" t="n">
        <x:f>IF(T328="","",I328*T328)</x:f>
        <x:v>394.84342195673673</x:v>
      </x:c>
    </x:row>
    <x:row r="329" ht="18" customHeight="1">
      <x:c r="A329" s="24" t="str">
        <x:v>LME_025</x:v>
      </x:c>
      <x:c r="B329" s="24" t="str">
        <x:v>Iberian Coastal</x:v>
      </x:c>
      <x:c r="C329" s="24" t="str">
        <x:v>LME</x:v>
      </x:c>
      <x:c r="D329" s="30" t="n">
        <x:v>2019</x:v>
      </x:c>
      <x:c r="E329" s="24" t="str">
        <x:v>Chaceon affinis</x:v>
      </x:c>
      <x:c r="F329" s="24" t="str">
        <x:v>Deepsea red crab</x:v>
      </x:c>
      <x:c r="G329" s="24" t="str">
        <x:v>Lobsters, crabs</x:v>
      </x:c>
      <x:c r="H329" s="24" t="str">
        <x:v>Crustaceans</x:v>
      </x:c>
      <x:c r="I329" s="31" t="n">
        <x:v>1.6933834357</x:v>
      </x:c>
      <x:c r="J329" s="31" t="n">
        <x:v>1.6933834357</x:v>
      </x:c>
      <x:c r="K329" s="31" t="n">
        <x:v>0</x:v>
      </x:c>
      <x:c r="L329" s="31" t="n">
        <x:v>1.6933834357</x:v>
      </x:c>
      <x:c r="M329" s="31" t="n">
        <x:v>0</x:v>
      </x:c>
      <x:c r="N329" s="24" t="str">
        <x:v>chaceon affinis</x:v>
      </x:c>
      <x:c r="O329" s="32" t="n">
        <x:v>3.1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Chaceon affinis</x:v>
      </x:c>
      <x:c r="T329" s="32" t="n">
        <x:f>IF(O329="","",(1/'Metadata'!$B$5)^(O329-1))</x:f>
        <x:v>125.89254117941675</x:v>
      </x:c>
      <x:c r="U329" s="31" t="n">
        <x:f>IF(T329="","",I329*T329)</x:f>
        <x:v>213.18434391140445</x:v>
      </x:c>
    </x:row>
    <x:row r="330" ht="18" customHeight="1">
      <x:c r="A330" s="24" t="str">
        <x:v>LME_025</x:v>
      </x:c>
      <x:c r="B330" s="24" t="str">
        <x:v>Iberian Coastal</x:v>
      </x:c>
      <x:c r="C330" s="24" t="str">
        <x:v>LME</x:v>
      </x:c>
      <x:c r="D330" s="30" t="n">
        <x:v>2019</x:v>
      </x:c>
      <x:c r="E330" s="24" t="str">
        <x:v>Scyliorhinus stellaris</x:v>
      </x:c>
      <x:c r="F330" s="24" t="str">
        <x:v>Nursehound</x:v>
      </x:c>
      <x:c r="G330" s="24" t="str">
        <x:v>Large sharks (&gt;=90 cm)</x:v>
      </x:c>
      <x:c r="H330" s="24" t="str">
        <x:v>Sharks &amp; rays</x:v>
      </x:c>
      <x:c r="I330" s="31" t="n">
        <x:v>1.6269072249</x:v>
      </x:c>
      <x:c r="J330" s="31" t="n">
        <x:v>1.6269072249</x:v>
      </x:c>
      <x:c r="K330" s="31" t="n">
        <x:v>0</x:v>
      </x:c>
      <x:c r="L330" s="31" t="n">
        <x:v>1.6151285869</x:v>
      </x:c>
      <x:c r="M330" s="31" t="n">
        <x:v>0.011778638000000001</x:v>
      </x:c>
      <x:c r="N330" s="24" t="str">
        <x:v>scyliorhinus stellaris</x:v>
      </x:c>
      <x:c r="O330" s="32" t="n">
        <x:v>4.03</x:v>
      </x:c>
      <x:c r="P330" s="24" t="str">
        <x:v>exact_2020_supplement</x:v>
      </x:c>
      <x:c r="Q330" s="32" t="str">
        <x:v>2020 supplement MeanTL</x:v>
      </x:c>
      <x:c r="R330" s="24" t="str">
        <x:v>high</x:v>
      </x:c>
      <x:c r="S330" s="24" t="str">
        <x:v>Scyliorhinus stellaris</x:v>
      </x:c>
      <x:c r="T330" s="32" t="n">
        <x:f>IF(O330="","",(1/'Metadata'!$B$5)^(O330-1))</x:f>
        <x:v>1071.519305237607</x:v>
      </x:c>
      <x:c r="U330" s="31" t="n">
        <x:f>IF(T330="","",I330*T330)</x:f>
        <x:v>1743.2624993108916</x:v>
      </x:c>
    </x:row>
    <x:row r="331" ht="18" customHeight="1">
      <x:c r="A331" s="24" t="str">
        <x:v>LME_025</x:v>
      </x:c>
      <x:c r="B331" s="24" t="str">
        <x:v>Iberian Coastal</x:v>
      </x:c>
      <x:c r="C331" s="24" t="str">
        <x:v>LME</x:v>
      </x:c>
      <x:c r="D331" s="30" t="n">
        <x:v>2019</x:v>
      </x:c>
      <x:c r="E331" s="24" t="str">
        <x:v>Penaeidae</x:v>
      </x:c>
      <x:c r="F331" s="24" t="str">
        <x:v>Commercial shrimps and prawns</x:v>
      </x:c>
      <x:c r="G331" s="24" t="str">
        <x:v>Shrimps</x:v>
      </x:c>
      <x:c r="H331" s="24" t="str">
        <x:v>Crustaceans</x:v>
      </x:c>
      <x:c r="I331" s="31" t="n">
        <x:v>1.581792733</x:v>
      </x:c>
      <x:c r="J331" s="31" t="n">
        <x:v>1.581792733</x:v>
      </x:c>
      <x:c r="K331" s="31" t="n">
        <x:v>0</x:v>
      </x:c>
      <x:c r="L331" s="31" t="n">
        <x:v>0.8595788013</x:v>
      </x:c>
      <x:c r="M331" s="31" t="n">
        <x:v>0.7222139317</x:v>
      </x:c>
      <x:c r="N331" s="24" t="str">
        <x:v>penaeidae</x:v>
      </x:c>
      <x:c r="O331" s="32" t="n">
        <x:v>3.31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Penaeidae</x:v>
      </x:c>
      <x:c r="T331" s="32" t="n">
        <x:f>IF(O331="","",(1/'Metadata'!$B$5)^(O331-1))</x:f>
        <x:v>204.17379446695296</x:v>
      </x:c>
      <x:c r="U331" s="31" t="n">
        <x:f>IF(T331="","",I331*T331)</x:f>
        <x:v>322.9606243568618</x:v>
      </x:c>
    </x:row>
    <x:row r="332" ht="18" customHeight="1">
      <x:c r="A332" s="24" t="str">
        <x:v>LME_025</x:v>
      </x:c>
      <x:c r="B332" s="24" t="str">
        <x:v>Iberian Coastal</x:v>
      </x:c>
      <x:c r="C332" s="24" t="str">
        <x:v>LME</x:v>
      </x:c>
      <x:c r="D332" s="30" t="n">
        <x:v>2019</x:v>
      </x:c>
      <x:c r="E332" s="24" t="str">
        <x:v>Tetrapturus pfluegeri</x:v>
      </x:c>
      <x:c r="F332" s="24" t="str">
        <x:v>Longbill spearfish</x:v>
      </x:c>
      <x:c r="G332" s="24" t="str">
        <x:v>Large pelagics (&gt;=90 cm)</x:v>
      </x:c>
      <x:c r="H332" s="24" t="str">
        <x:v>Tuna &amp; billfishes</x:v>
      </x:c>
      <x:c r="I332" s="31" t="n">
        <x:v>1.565080326</x:v>
      </x:c>
      <x:c r="J332" s="31" t="n">
        <x:v>1.565080326</x:v>
      </x:c>
      <x:c r="K332" s="31" t="n">
        <x:v>0</x:v>
      </x:c>
      <x:c r="L332" s="31" t="n">
        <x:v>1.565080326</x:v>
      </x:c>
      <x:c r="M332" s="31" t="n">
        <x:v>0</x:v>
      </x:c>
      <x:c r="N332" s="24" t="str">
        <x:v>tetrapturus pfluegeri</x:v>
      </x:c>
      <x:c r="O332" s="32" t="n">
        <x:v>4.4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Tetrapturus pfluegeri</x:v>
      </x:c>
      <x:c r="T332" s="32" t="n">
        <x:f>IF(O332="","",(1/'Metadata'!$B$5)^(O332-1))</x:f>
        <x:v>2511.886431509582</x:v>
      </x:c>
      <x:c r="U332" s="31" t="n">
        <x:f>IF(T332="","",I332*T332)</x:f>
        <x:v>3931.304035101993</x:v>
      </x:c>
    </x:row>
    <x:row r="333" ht="18" customHeight="1">
      <x:c r="A333" s="24" t="str">
        <x:v>LME_025</x:v>
      </x:c>
      <x:c r="B333" s="24" t="str">
        <x:v>Iberian Coastal</x:v>
      </x:c>
      <x:c r="C333" s="24" t="str">
        <x:v>LME</x:v>
      </x:c>
      <x:c r="D333" s="30" t="n">
        <x:v>2019</x:v>
      </x:c>
      <x:c r="E333" s="24" t="str">
        <x:v>Dalatias licha</x:v>
      </x:c>
      <x:c r="F333" s="24" t="str">
        <x:v>Kitefin shark</x:v>
      </x:c>
      <x:c r="G333" s="24" t="str">
        <x:v>Large sharks (&gt;=90 cm)</x:v>
      </x:c>
      <x:c r="H333" s="24" t="str">
        <x:v>Sharks &amp; rays</x:v>
      </x:c>
      <x:c r="I333" s="31" t="n">
        <x:v>1.5449775086</x:v>
      </x:c>
      <x:c r="J333" s="31" t="n">
        <x:v>1.1523558403</x:v>
      </x:c>
      <x:c r="K333" s="31" t="n">
        <x:v>0.3926216683</x:v>
      </x:c>
      <x:c r="L333" s="31" t="n">
        <x:v>1.1523558403</x:v>
      </x:c>
      <x:c r="M333" s="31" t="n">
        <x:v>0.3926216683</x:v>
      </x:c>
      <x:c r="N333" s="24" t="str">
        <x:v>dalatias licha</x:v>
      </x:c>
      <x:c r="O333" s="32" t="n">
        <x:v>4.23</x:v>
      </x:c>
      <x:c r="P333" s="24" t="str">
        <x:v>exact_2020_supplement</x:v>
      </x:c>
      <x:c r="Q333" s="32" t="str">
        <x:v>2020 supplement MeanTL</x:v>
      </x:c>
      <x:c r="R333" s="24" t="str">
        <x:v>high</x:v>
      </x:c>
      <x:c r="S333" s="24" t="str">
        <x:v>Dalatias licha</x:v>
      </x:c>
      <x:c r="T333" s="32" t="n">
        <x:f>IF(O333="","",(1/'Metadata'!$B$5)^(O333-1))</x:f>
        <x:v>1698.243652461746</x:v>
      </x:c>
      <x:c r="U333" s="31" t="n">
        <x:f>IF(T333="","",I333*T333)</x:f>
        <x:v>2623.7482471761127</x:v>
      </x:c>
    </x:row>
    <x:row r="334" ht="18" customHeight="1">
      <x:c r="A334" s="24" t="str">
        <x:v>LME_025</x:v>
      </x:c>
      <x:c r="B334" s="24" t="str">
        <x:v>Iberian Coastal</x:v>
      </x:c>
      <x:c r="C334" s="24" t="str">
        <x:v>LME</x:v>
      </x:c>
      <x:c r="D334" s="30" t="n">
        <x:v>2019</x:v>
      </x:c>
      <x:c r="E334" s="24" t="str">
        <x:v>Solen</x:v>
      </x:c>
      <x:c r="F334" s="24" t="str">
        <x:v>Razor clams</x:v>
      </x:c>
      <x:c r="G334" s="24" t="str">
        <x:v>Other demersal invertebrates</x:v>
      </x:c>
      <x:c r="H334" s="24" t="str">
        <x:v>Molluscs</x:v>
      </x:c>
      <x:c r="I334" s="31" t="n">
        <x:v>1.5202260611999998</x:v>
      </x:c>
      <x:c r="J334" s="31" t="n">
        <x:v>1.5202260611999998</x:v>
      </x:c>
      <x:c r="K334" s="31" t="n">
        <x:v>0</x:v>
      </x:c>
      <x:c r="L334" s="31" t="n">
        <x:v>0.8693611996</x:v>
      </x:c>
      <x:c r="M334" s="31" t="n">
        <x:v>0.6508648616</x:v>
      </x:c>
      <x:c r="N334" s="24" t="str">
        <x:v>solen</x:v>
      </x:c>
      <x:c r="O334" s="32" t="n">
        <x:v>2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Solen</x:v>
      </x:c>
      <x:c r="T334" s="32" t="n">
        <x:f>IF(O334="","",(1/'Metadata'!$B$5)^(O334-1))</x:f>
        <x:v>10</x:v>
      </x:c>
      <x:c r="U334" s="31" t="n">
        <x:f>IF(T334="","",I334*T334)</x:f>
        <x:v>15.202260611999998</x:v>
      </x:c>
    </x:row>
    <x:row r="335" ht="18" customHeight="1">
      <x:c r="A335" s="24" t="str">
        <x:v>LME_025</x:v>
      </x:c>
      <x:c r="B335" s="24" t="str">
        <x:v>Iberian Coastal</x:v>
      </x:c>
      <x:c r="C335" s="24" t="str">
        <x:v>LME</x:v>
      </x:c>
      <x:c r="D335" s="30" t="n">
        <x:v>2019</x:v>
      </x:c>
      <x:c r="E335" s="24" t="str">
        <x:v>Atherina boyeri</x:v>
      </x:c>
      <x:c r="F335" s="24" t="str">
        <x:v>Big-scale sand smelt</x:v>
      </x:c>
      <x:c r="G335" s="24" t="str">
        <x:v>Small demersals (&lt;30 cm)</x:v>
      </x:c>
      <x:c r="H335" s="24" t="str">
        <x:v>Other fishes &amp; inverts</x:v>
      </x:c>
      <x:c r="I335" s="31" t="n">
        <x:v>1.5178269506</x:v>
      </x:c>
      <x:c r="J335" s="31" t="n">
        <x:v>1.2325112529</x:v>
      </x:c>
      <x:c r="K335" s="31" t="n">
        <x:v>0.2853156977</x:v>
      </x:c>
      <x:c r="L335" s="31" t="n">
        <x:v>1.1549556321999999</x:v>
      </x:c>
      <x:c r="M335" s="31" t="n">
        <x:v>0.3628713184</x:v>
      </x:c>
      <x:c r="N335" s="24" t="str">
        <x:v>atherina boyeri</x:v>
      </x:c>
      <x:c r="O335" s="32" t="n">
        <x:v>3.22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Atherina boyeri</x:v>
      </x:c>
      <x:c r="T335" s="32" t="n">
        <x:f>IF(O335="","",(1/'Metadata'!$B$5)^(O335-1))</x:f>
        <x:v>165.95869074375614</x:v>
      </x:c>
      <x:c r="U335" s="31" t="n">
        <x:f>IF(T335="","",I335*T335)</x:f>
        <x:v>251.8965734971638</x:v>
      </x:c>
    </x:row>
    <x:row r="336" ht="18" customHeight="1">
      <x:c r="A336" s="24" t="str">
        <x:v>LME_025</x:v>
      </x:c>
      <x:c r="B336" s="24" t="str">
        <x:v>Iberian Coastal</x:v>
      </x:c>
      <x:c r="C336" s="24" t="str">
        <x:v>LME</x:v>
      </x:c>
      <x:c r="D336" s="30" t="n">
        <x:v>2019</x:v>
      </x:c>
      <x:c r="E336" s="24" t="str">
        <x:v>Serranus</x:v>
      </x:c>
      <x:c r="F336" s="24" t="str">
        <x:v>Groupers</x:v>
      </x:c>
      <x:c r="G336" s="24" t="str">
        <x:v>Small reef assoc. fish (&lt;30 cm)</x:v>
      </x:c>
      <x:c r="H336" s="24" t="str">
        <x:v>Perch-likes</x:v>
      </x:c>
      <x:c r="I336" s="31" t="n">
        <x:v>1.5100099166</x:v>
      </x:c>
      <x:c r="J336" s="31" t="n">
        <x:v>1.4992861863</x:v>
      </x:c>
      <x:c r="K336" s="31" t="n">
        <x:v>0.0107237303</x:v>
      </x:c>
      <x:c r="L336" s="31" t="n">
        <x:v>0.8766695559000001</x:v>
      </x:c>
      <x:c r="M336" s="31" t="n">
        <x:v>0.6333403607</x:v>
      </x:c>
      <x:c r="N336" s="24" t="str">
        <x:v>serranus</x:v>
      </x:c>
      <x:c r="O336" s="32" t="n">
        <x:v>3.73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Serranus</x:v>
      </x:c>
      <x:c r="T336" s="32" t="n">
        <x:f>IF(O336="","",(1/'Metadata'!$B$5)^(O336-1))</x:f>
        <x:v>537.0317963702527</x:v>
      </x:c>
      <x:c r="U336" s="31" t="n">
        <x:f>IF(T336="","",I336*T336)</x:f>
        <x:v>810.9233380485935</x:v>
      </x:c>
    </x:row>
    <x:row r="337" ht="18" customHeight="1">
      <x:c r="A337" s="24" t="str">
        <x:v>LME_025</x:v>
      </x:c>
      <x:c r="B337" s="24" t="str">
        <x:v>Iberian Coastal</x:v>
      </x:c>
      <x:c r="C337" s="24" t="str">
        <x:v>LME</x:v>
      </x:c>
      <x:c r="D337" s="30" t="n">
        <x:v>2019</x:v>
      </x:c>
      <x:c r="E337" s="24" t="str">
        <x:v>Leucoraja circularis</x:v>
      </x:c>
      <x:c r="F337" s="24" t="str">
        <x:v>Sandy ray</x:v>
      </x:c>
      <x:c r="G337" s="24" t="str">
        <x:v>Large rays (&gt;=90 cm)</x:v>
      </x:c>
      <x:c r="H337" s="24" t="str">
        <x:v>Sharks &amp; rays</x:v>
      </x:c>
      <x:c r="I337" s="31" t="n">
        <x:v>1.4706471122</x:v>
      </x:c>
      <x:c r="J337" s="31" t="n">
        <x:v>1.4706471122</x:v>
      </x:c>
      <x:c r="K337" s="31" t="n">
        <x:v>0</x:v>
      </x:c>
      <x:c r="L337" s="31" t="n">
        <x:v>1.4706471122</x:v>
      </x:c>
      <x:c r="M337" s="31" t="n">
        <x:v>0</x:v>
      </x:c>
      <x:c r="N337" s="24" t="str">
        <x:v>leucoraja circularis</x:v>
      </x:c>
      <x:c r="O337" s="32" t="n">
        <x:v>3.5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Leucoraja circularis</x:v>
      </x:c>
      <x:c r="T337" s="32" t="n">
        <x:f>IF(O337="","",(1/'Metadata'!$B$5)^(O337-1))</x:f>
        <x:v>316.22776601683796</x:v>
      </x:c>
      <x:c r="U337" s="31" t="n">
        <x:f>IF(T337="","",I337*T337)</x:f>
        <x:v>465.05945089012005</x:v>
      </x:c>
    </x:row>
    <x:row r="338" ht="18" customHeight="1">
      <x:c r="A338" s="24" t="str">
        <x:v>LME_025</x:v>
      </x:c>
      <x:c r="B338" s="24" t="str">
        <x:v>Iberian Coastal</x:v>
      </x:c>
      <x:c r="C338" s="24" t="str">
        <x:v>LME</x:v>
      </x:c>
      <x:c r="D338" s="30" t="n">
        <x:v>2019</x:v>
      </x:c>
      <x:c r="E338" s="24" t="str">
        <x:v>Platichthys flesus</x:v>
      </x:c>
      <x:c r="F338" s="24" t="str">
        <x:v>European flounder</x:v>
      </x:c>
      <x:c r="G338" s="24" t="str">
        <x:v>Small to medium flatfishes (&lt;90 cm)</x:v>
      </x:c>
      <x:c r="H338" s="24" t="str">
        <x:v>Flatfishes</x:v>
      </x:c>
      <x:c r="I338" s="31" t="n">
        <x:v>1.4131066855999999</x:v>
      </x:c>
      <x:c r="J338" s="31" t="n">
        <x:v>1.4131066855999999</x:v>
      </x:c>
      <x:c r="K338" s="31" t="n">
        <x:v>0</x:v>
      </x:c>
      <x:c r="L338" s="31" t="n">
        <x:v>1.3180996269</x:v>
      </x:c>
      <x:c r="M338" s="31" t="n">
        <x:v>0.0950070587</x:v>
      </x:c>
      <x:c r="N338" s="24" t="str">
        <x:v>platichthys flesus</x:v>
      </x:c>
      <x:c r="O338" s="32" t="n">
        <x:v>3.32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Platichthys flesus</x:v>
      </x:c>
      <x:c r="T338" s="32" t="n">
        <x:f>IF(O338="","",(1/'Metadata'!$B$5)^(O338-1))</x:f>
        <x:v>208.92961308540387</x:v>
      </x:c>
      <x:c r="U338" s="31" t="n">
        <x:f>IF(T338="","",I338*T338)</x:f>
        <x:v>295.23983307080545</x:v>
      </x:c>
    </x:row>
    <x:row r="339" ht="18" customHeight="1">
      <x:c r="A339" s="24" t="str">
        <x:v>LME_025</x:v>
      </x:c>
      <x:c r="B339" s="24" t="str">
        <x:v>Iberian Coastal</x:v>
      </x:c>
      <x:c r="C339" s="24" t="str">
        <x:v>LME</x:v>
      </x:c>
      <x:c r="D339" s="30" t="n">
        <x:v>2019</x:v>
      </x:c>
      <x:c r="E339" s="24" t="str">
        <x:v>Eledone cirrhosa</x:v>
      </x:c>
      <x:c r="F339" s="24" t="str">
        <x:v>Horned octopus</x:v>
      </x:c>
      <x:c r="G339" s="24" t="str">
        <x:v>Cephalopods</x:v>
      </x:c>
      <x:c r="H339" s="24" t="str">
        <x:v>Other fishes &amp; inverts</x:v>
      </x:c>
      <x:c r="I339" s="31" t="n">
        <x:v>1.3883373494</x:v>
      </x:c>
      <x:c r="J339" s="31" t="n">
        <x:v>0</x:v>
      </x:c>
      <x:c r="K339" s="31" t="n">
        <x:v>1.3883373494</x:v>
      </x:c>
      <x:c r="L339" s="31" t="n">
        <x:v>0</x:v>
      </x:c>
      <x:c r="M339" s="31" t="n">
        <x:v>1.3883373494</x:v>
      </x:c>
      <x:c r="N339" s="24" t="str">
        <x:v>eledone cirrhosa</x:v>
      </x:c>
      <x:c r="O339" s="32" t="n">
        <x:v>3.7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Eledone cirrhosa</x:v>
      </x:c>
      <x:c r="T339" s="32" t="n">
        <x:f>IF(O339="","",(1/'Metadata'!$B$5)^(O339-1))</x:f>
        <x:v>501.18723362727246</x:v>
      </x:c>
      <x:c r="U339" s="31" t="n">
        <x:f>IF(T339="","",I339*T339)</x:f>
        <x:v>695.816955487206</x:v>
      </x:c>
    </x:row>
    <x:row r="340" ht="18" customHeight="1">
      <x:c r="A340" s="24" t="str">
        <x:v>LME_025</x:v>
      </x:c>
      <x:c r="B340" s="24" t="str">
        <x:v>Iberian Coastal</x:v>
      </x:c>
      <x:c r="C340" s="24" t="str">
        <x:v>LME</x:v>
      </x:c>
      <x:c r="D340" s="30" t="n">
        <x:v>2019</x:v>
      </x:c>
      <x:c r="E340" s="24" t="str">
        <x:v>Trichiuridae</x:v>
      </x:c>
      <x:c r="F340" s="24" t="str">
        <x:v>Cutlassfishes</x:v>
      </x:c>
      <x:c r="G340" s="24" t="str">
        <x:v>Large benthopelagics (&gt;=90 cm)</x:v>
      </x:c>
      <x:c r="H340" s="24" t="str">
        <x:v>Perch-likes</x:v>
      </x:c>
      <x:c r="I340" s="31" t="n">
        <x:v>1.3775856695</x:v>
      </x:c>
      <x:c r="J340" s="31" t="n">
        <x:v>1.3775856695</x:v>
      </x:c>
      <x:c r="K340" s="31" t="n">
        <x:v>0</x:v>
      </x:c>
      <x:c r="L340" s="31" t="n">
        <x:v>0.6972991280999999</x:v>
      </x:c>
      <x:c r="M340" s="31" t="n">
        <x:v>0.6802865414</x:v>
      </x:c>
      <x:c r="N340" s="24" t="str">
        <x:v>trichiuridae</x:v>
      </x:c>
      <x:c r="O340" s="32" t="n">
        <x:v>4.15</x:v>
      </x:c>
      <x:c r="P340" s="24" t="str">
        <x:v>exact_sea_around_us</x:v>
      </x:c>
      <x:c r="Q340" s="32" t="str">
        <x:v>Sea Around Us exploited organisms</x:v>
      </x:c>
      <x:c r="R340" s="24" t="str">
        <x:v>high</x:v>
      </x:c>
      <x:c r="S340" s="24" t="str">
        <x:v>Trichiuridae</x:v>
      </x:c>
      <x:c r="T340" s="32" t="n">
        <x:f>IF(O340="","",(1/'Metadata'!$B$5)^(O340-1))</x:f>
        <x:v>1412.5375446227554</x:v>
      </x:c>
      <x:c r="U340" s="31" t="n">
        <x:f>IF(T340="","",I340*T340)</x:f>
        <x:v>1945.8914791030245</x:v>
      </x:c>
    </x:row>
    <x:row r="341" ht="18" customHeight="1">
      <x:c r="A341" s="24" t="str">
        <x:v>LME_025</x:v>
      </x:c>
      <x:c r="B341" s="24" t="str">
        <x:v>Iberian Coastal</x:v>
      </x:c>
      <x:c r="C341" s="24" t="str">
        <x:v>LME</x:v>
      </x:c>
      <x:c r="D341" s="30" t="n">
        <x:v>2019</x:v>
      </x:c>
      <x:c r="E341" s="24" t="str">
        <x:v>Mimachlamys varia</x:v>
      </x:c>
      <x:c r="F341" s="24" t="str">
        <x:v>Variegated scallop</x:v>
      </x:c>
      <x:c r="G341" s="24" t="str">
        <x:v>Other demersal invertebrates</x:v>
      </x:c>
      <x:c r="H341" s="24" t="str">
        <x:v>Molluscs</x:v>
      </x:c>
      <x:c r="I341" s="31" t="n">
        <x:v>1.3286350502</x:v>
      </x:c>
      <x:c r="J341" s="31" t="n">
        <x:v>1.3286350502</x:v>
      </x:c>
      <x:c r="K341" s="31" t="n">
        <x:v>0</x:v>
      </x:c>
      <x:c r="L341" s="31" t="n">
        <x:v>0.9083824043000001</x:v>
      </x:c>
      <x:c r="M341" s="31" t="n">
        <x:v>0.4202526459</x:v>
      </x:c>
      <x:c r="N341" s="24" t="str">
        <x:v>mimachlamys varia</x:v>
      </x:c>
      <x:c r="O341" s="32" t="n">
        <x:v>2.1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Mimachlamys varia</x:v>
      </x:c>
      <x:c r="T341" s="32" t="n">
        <x:f>IF(O341="","",(1/'Metadata'!$B$5)^(O341-1))</x:f>
        <x:v>12.589254117941675</x:v>
      </x:c>
      <x:c r="U341" s="31" t="n">
        <x:f>IF(T341="","",I341*T341)</x:f>
        <x:v>16.726524276971993</x:v>
      </x:c>
    </x:row>
    <x:row r="342" ht="18" customHeight="1">
      <x:c r="A342" s="24" t="str">
        <x:v>LME_025</x:v>
      </x:c>
      <x:c r="B342" s="24" t="str">
        <x:v>Iberian Coastal</x:v>
      </x:c>
      <x:c r="C342" s="24" t="str">
        <x:v>LME</x:v>
      </x:c>
      <x:c r="D342" s="30" t="n">
        <x:v>2019</x:v>
      </x:c>
      <x:c r="E342" s="24" t="str">
        <x:v>Chelidonichthys</x:v>
      </x:c>
      <x:c r="F342" s="24" t="str">
        <x:v>Smallscaled gurnards</x:v>
      </x:c>
      <x:c r="G342" s="24" t="str">
        <x:v>Medium demersals (30 - 89 cm)</x:v>
      </x:c>
      <x:c r="H342" s="24" t="str">
        <x:v>Scorpionfishes</x:v>
      </x:c>
      <x:c r="I342" s="31" t="n">
        <x:v>1.3269608344</x:v>
      </x:c>
      <x:c r="J342" s="31" t="n">
        <x:v>1.2837544036</x:v>
      </x:c>
      <x:c r="K342" s="31" t="n">
        <x:v>0.0432064308</x:v>
      </x:c>
      <x:c r="L342" s="31" t="n">
        <x:v>1.1659952106</x:v>
      </x:c>
      <x:c r="M342" s="31" t="n">
        <x:v>0.1609656238</x:v>
      </x:c>
      <x:c r="N342" s="24" t="str">
        <x:v>chelidonichthys</x:v>
      </x:c>
      <x:c r="O342" s="32" t="n">
        <x:v>3.72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Chelidonichthys</x:v>
      </x:c>
      <x:c r="T342" s="32" t="n">
        <x:f>IF(O342="","",(1/'Metadata'!$B$5)^(O342-1))</x:f>
        <x:v>524.8074602497728</x:v>
      </x:c>
      <x:c r="U342" s="31" t="n">
        <x:f>IF(T342="","",I342*T342)</x:f>
        <x:v>696.3989453523833</x:v>
      </x:c>
    </x:row>
    <x:row r="343" ht="18" customHeight="1">
      <x:c r="A343" s="24" t="str">
        <x:v>LME_025</x:v>
      </x:c>
      <x:c r="B343" s="24" t="str">
        <x:v>Iberian Coastal</x:v>
      </x:c>
      <x:c r="C343" s="24" t="str">
        <x:v>LME</x:v>
      </x:c>
      <x:c r="D343" s="30" t="n">
        <x:v>2019</x:v>
      </x:c>
      <x:c r="E343" s="24" t="str">
        <x:v>Glycymeris glycymeris</x:v>
      </x:c>
      <x:c r="F343" s="24" t="str">
        <x:v>Dog cockle</x:v>
      </x:c>
      <x:c r="G343" s="24" t="str">
        <x:v>Other demersal invertebrates</x:v>
      </x:c>
      <x:c r="H343" s="24" t="str">
        <x:v>Molluscs</x:v>
      </x:c>
      <x:c r="I343" s="31" t="n">
        <x:v>1.2762124663</x:v>
      </x:c>
      <x:c r="J343" s="31" t="n">
        <x:v>1.2762124663</x:v>
      </x:c>
      <x:c r="K343" s="31" t="n">
        <x:v>0</x:v>
      </x:c>
      <x:c r="L343" s="31" t="n">
        <x:v>0.9681321237</x:v>
      </x:c>
      <x:c r="M343" s="31" t="n">
        <x:v>0.3080803426</x:v>
      </x:c>
      <x:c r="N343" s="24" t="str">
        <x:v>glycymeris glycymeris</x:v>
      </x:c>
      <x:c r="O343" s="32" t="n">
        <x:v>2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Glycymeris glycymeris</x:v>
      </x:c>
      <x:c r="T343" s="32" t="n">
        <x:f>IF(O343="","",(1/'Metadata'!$B$5)^(O343-1))</x:f>
        <x:v>10</x:v>
      </x:c>
      <x:c r="U343" s="31" t="n">
        <x:f>IF(T343="","",I343*T343)</x:f>
        <x:v>12.762124663000002</x:v>
      </x:c>
    </x:row>
    <x:row r="344" ht="18" customHeight="1">
      <x:c r="A344" s="24" t="str">
        <x:v>LME_025</x:v>
      </x:c>
      <x:c r="B344" s="24" t="str">
        <x:v>Iberian Coastal</x:v>
      </x:c>
      <x:c r="C344" s="24" t="str">
        <x:v>LME</x:v>
      </x:c>
      <x:c r="D344" s="30" t="n">
        <x:v>2019</x:v>
      </x:c>
      <x:c r="E344" s="24" t="str">
        <x:v>Littorina littorea</x:v>
      </x:c>
      <x:c r="F344" s="24" t="str">
        <x:v>Common periwinkle</x:v>
      </x:c>
      <x:c r="G344" s="24" t="str">
        <x:v>Other demersal invertebrates</x:v>
      </x:c>
      <x:c r="H344" s="24" t="str">
        <x:v>Molluscs</x:v>
      </x:c>
      <x:c r="I344" s="31" t="n">
        <x:v>1.2111452365</x:v>
      </x:c>
      <x:c r="J344" s="31" t="n">
        <x:v>1.2111452365</x:v>
      </x:c>
      <x:c r="K344" s="31" t="n">
        <x:v>0</x:v>
      </x:c>
      <x:c r="L344" s="31" t="n">
        <x:v>0.8837486057</x:v>
      </x:c>
      <x:c r="M344" s="31" t="n">
        <x:v>0.3273966308</x:v>
      </x:c>
      <x:c r="N344" s="24" t="str">
        <x:v>littorina littorea</x:v>
      </x:c>
      <x:c r="O344" s="32" t="n">
        <x:v>2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Littorina littorea</x:v>
      </x:c>
      <x:c r="T344" s="32" t="n">
        <x:f>IF(O344="","",(1/'Metadata'!$B$5)^(O344-1))</x:f>
        <x:v>10</x:v>
      </x:c>
      <x:c r="U344" s="31" t="n">
        <x:f>IF(T344="","",I344*T344)</x:f>
        <x:v>12.111452365</x:v>
      </x:c>
    </x:row>
    <x:row r="345" ht="18" customHeight="1">
      <x:c r="A345" s="24" t="str">
        <x:v>LME_025</x:v>
      </x:c>
      <x:c r="B345" s="24" t="str">
        <x:v>Iberian Coastal</x:v>
      </x:c>
      <x:c r="C345" s="24" t="str">
        <x:v>LME</x:v>
      </x:c>
      <x:c r="D345" s="30" t="n">
        <x:v>2019</x:v>
      </x:c>
      <x:c r="E345" s="24" t="str">
        <x:v>Echinozoa</x:v>
      </x:c>
      <x:c r="F345" s="24" t="str">
        <x:v>Sea urchins and sea cucumbers</x:v>
      </x:c>
      <x:c r="G345" s="24" t="str">
        <x:v>Other demersal invertebrates</x:v>
      </x:c>
      <x:c r="H345" s="24" t="str">
        <x:v>Other fishes &amp; inverts</x:v>
      </x:c>
      <x:c r="I345" s="31" t="n">
        <x:v>1.1348186162</x:v>
      </x:c>
      <x:c r="J345" s="31" t="n">
        <x:v>1.1348186162</x:v>
      </x:c>
      <x:c r="K345" s="31" t="n">
        <x:v>0</x:v>
      </x:c>
      <x:c r="L345" s="31" t="n">
        <x:v>0</x:v>
      </x:c>
      <x:c r="M345" s="31" t="n">
        <x:v>1.1348186162</x:v>
      </x:c>
      <x:c r="N345" s="24" t="str">
        <x:v>echinozoa</x:v>
      </x:c>
      <x:c r="O345" s="32" t="n">
        <x:v>2.3</x:v>
      </x:c>
      <x:c r="P345" s="24" t="str">
        <x:v>exact_sea_around_us</x:v>
      </x:c>
      <x:c r="Q345" s="32" t="str">
        <x:v>Sea Around Us exploited organisms</x:v>
      </x:c>
      <x:c r="R345" s="24" t="str">
        <x:v>high</x:v>
      </x:c>
      <x:c r="S345" s="24" t="str">
        <x:v>Echinozoa</x:v>
      </x:c>
      <x:c r="T345" s="32" t="n">
        <x:f>IF(O345="","",(1/'Metadata'!$B$5)^(O345-1))</x:f>
        <x:v>19.952623149688787</x:v>
      </x:c>
      <x:c r="U345" s="31" t="n">
        <x:f>IF(T345="","",I345*T345)</x:f>
        <x:v>22.642608192289917</x:v>
      </x:c>
    </x:row>
    <x:row r="346" ht="18" customHeight="1">
      <x:c r="A346" s="24" t="str">
        <x:v>LME_025</x:v>
      </x:c>
      <x:c r="B346" s="24" t="str">
        <x:v>Iberian Coastal</x:v>
      </x:c>
      <x:c r="C346" s="24" t="str">
        <x:v>LME</x:v>
      </x:c>
      <x:c r="D346" s="30" t="n">
        <x:v>2019</x:v>
      </x:c>
      <x:c r="E346" s="24" t="str">
        <x:v>Sphyraena</x:v>
      </x:c>
      <x:c r="F346" s="24" t="str">
        <x:v>Barracudas, sennets</x:v>
      </x:c>
      <x:c r="G346" s="24" t="str">
        <x:v>Large pelagics (&gt;=90 cm)</x:v>
      </x:c>
      <x:c r="H346" s="24" t="str">
        <x:v>Perch-likes</x:v>
      </x:c>
      <x:c r="I346" s="31" t="n">
        <x:v>1.1262976244999998</x:v>
      </x:c>
      <x:c r="J346" s="31" t="n">
        <x:v>1.0483365263</x:v>
      </x:c>
      <x:c r="K346" s="31" t="n">
        <x:v>0.0779610982</x:v>
      </x:c>
      <x:c r="L346" s="31" t="n">
        <x:v>0.31558589340000004</x:v>
      </x:c>
      <x:c r="M346" s="31" t="n">
        <x:v>0.8107117310999999</x:v>
      </x:c>
      <x:c r="N346" s="24" t="str">
        <x:v>sphyraena</x:v>
      </x:c>
      <x:c r="O346" s="32" t="n">
        <x:v>4.4</x:v>
      </x:c>
      <x:c r="P346" s="24" t="str">
        <x:v>exact_sea_around_us</x:v>
      </x:c>
      <x:c r="Q346" s="32" t="str">
        <x:v>Sea Around Us exploited organisms</x:v>
      </x:c>
      <x:c r="R346" s="24" t="str">
        <x:v>high</x:v>
      </x:c>
      <x:c r="S346" s="24" t="str">
        <x:v>Sphyraena</x:v>
      </x:c>
      <x:c r="T346" s="32" t="n">
        <x:f>IF(O346="","",(1/'Metadata'!$B$5)^(O346-1))</x:f>
        <x:v>2511.886431509582</x:v>
      </x:c>
      <x:c r="U346" s="31" t="n">
        <x:f>IF(T346="","",I346*T346)</x:f>
        <x:v>2829.131720823024</x:v>
      </x:c>
    </x:row>
    <x:row r="347" ht="18" customHeight="1">
      <x:c r="A347" s="24" t="str">
        <x:v>LME_025</x:v>
      </x:c>
      <x:c r="B347" s="24" t="str">
        <x:v>Iberian Coastal</x:v>
      </x:c>
      <x:c r="C347" s="24" t="str">
        <x:v>LME</x:v>
      </x:c>
      <x:c r="D347" s="30" t="n">
        <x:v>2019</x:v>
      </x:c>
      <x:c r="E347" s="24" t="str">
        <x:v>Arnoglossus imperialis</x:v>
      </x:c>
      <x:c r="F347" s="24" t="str">
        <x:v>Imperial scaldfish</x:v>
      </x:c>
      <x:c r="G347" s="24" t="str">
        <x:v>Small to medium flatfishes (&lt;90 cm)</x:v>
      </x:c>
      <x:c r="H347" s="24" t="str">
        <x:v>Flatfishes</x:v>
      </x:c>
      <x:c r="I347" s="31" t="n">
        <x:v>1.0784320949</x:v>
      </x:c>
      <x:c r="J347" s="31" t="n">
        <x:v>0</x:v>
      </x:c>
      <x:c r="K347" s="31" t="n">
        <x:v>1.0784320949</x:v>
      </x:c>
      <x:c r="L347" s="31" t="n">
        <x:v>0</x:v>
      </x:c>
      <x:c r="M347" s="31" t="n">
        <x:v>1.0784320949</x:v>
      </x:c>
      <x:c r="N347" s="24" t="str">
        <x:v>arnoglossus imperialis</x:v>
      </x:c>
      <x:c r="O347" s="32" t="n">
        <x:v>3.84</x:v>
      </x:c>
      <x:c r="P347" s="24" t="str">
        <x:v>exact_2020_supplement</x:v>
      </x:c>
      <x:c r="Q347" s="32" t="str">
        <x:v>2020 supplement MeanTL</x:v>
      </x:c>
      <x:c r="R347" s="24" t="str">
        <x:v>high</x:v>
      </x:c>
      <x:c r="S347" s="24" t="str">
        <x:v>Arnoglossus imperialis</x:v>
      </x:c>
      <x:c r="T347" s="32" t="n">
        <x:f>IF(O347="","",(1/'Metadata'!$B$5)^(O347-1))</x:f>
        <x:v>691.8309709189363</x:v>
      </x:c>
      <x:c r="U347" s="31" t="n">
        <x:f>IF(T347="","",I347*T347)</x:f>
        <x:v>746.0927232848094</x:v>
      </x:c>
    </x:row>
    <x:row r="348" ht="18" customHeight="1">
      <x:c r="A348" s="24" t="str">
        <x:v>LME_025</x:v>
      </x:c>
      <x:c r="B348" s="24" t="str">
        <x:v>Iberian Coastal</x:v>
      </x:c>
      <x:c r="C348" s="24" t="str">
        <x:v>LME</x:v>
      </x:c>
      <x:c r="D348" s="30" t="n">
        <x:v>2019</x:v>
      </x:c>
      <x:c r="E348" s="24" t="str">
        <x:v>Ommastrephes bartramii</x:v>
      </x:c>
      <x:c r="F348" s="24" t="str">
        <x:v>Neon flying squid</x:v>
      </x:c>
      <x:c r="G348" s="24" t="str">
        <x:v>Cephalopods</x:v>
      </x:c>
      <x:c r="H348" s="24" t="str">
        <x:v>Other fishes &amp; inverts</x:v>
      </x:c>
      <x:c r="I348" s="31" t="n">
        <x:v>1.0471825389</x:v>
      </x:c>
      <x:c r="J348" s="31" t="n">
        <x:v>1.0471825389</x:v>
      </x:c>
      <x:c r="K348" s="31" t="n">
        <x:v>0</x:v>
      </x:c>
      <x:c r="L348" s="31" t="n">
        <x:v>1.0471825389</x:v>
      </x:c>
      <x:c r="M348" s="31" t="n">
        <x:v>0</x:v>
      </x:c>
      <x:c r="N348" s="24" t="str">
        <x:v>ommastrephes bartramii</x:v>
      </x:c>
      <x:c r="O348" s="32" t="n">
        <x:v>4.37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Ommastrephes bartramii</x:v>
      </x:c>
      <x:c r="T348" s="32" t="n">
        <x:f>IF(O348="","",(1/'Metadata'!$B$5)^(O348-1))</x:f>
        <x:v>2344.228815319923</x:v>
      </x:c>
      <x:c r="U348" s="31" t="n">
        <x:f>IF(T348="","",I348*T348)</x:f>
        <x:v>2454.835482589256</x:v>
      </x:c>
    </x:row>
    <x:row r="349" ht="18" customHeight="1">
      <x:c r="A349" s="24" t="str">
        <x:v>LME_025</x:v>
      </x:c>
      <x:c r="B349" s="24" t="str">
        <x:v>Iberian Coastal</x:v>
      </x:c>
      <x:c r="C349" s="24" t="str">
        <x:v>LME</x:v>
      </x:c>
      <x:c r="D349" s="30" t="n">
        <x:v>2019</x:v>
      </x:c>
      <x:c r="E349" s="24" t="str">
        <x:v>Labrus</x:v>
      </x:c>
      <x:c r="F349" s="24" t="str">
        <x:v>Wrasse</x:v>
      </x:c>
      <x:c r="G349" s="24" t="str">
        <x:v>Medium reef assoc. fish (30 - 89 cm)</x:v>
      </x:c>
      <x:c r="H349" s="24" t="str">
        <x:v>Perch-likes</x:v>
      </x:c>
      <x:c r="I349" s="31" t="n">
        <x:v>0.9494657199</x:v>
      </x:c>
      <x:c r="J349" s="31" t="n">
        <x:v>0.9494657199</x:v>
      </x:c>
      <x:c r="K349" s="31" t="n">
        <x:v>0</x:v>
      </x:c>
      <x:c r="L349" s="31" t="n">
        <x:v>0</x:v>
      </x:c>
      <x:c r="M349" s="31" t="n">
        <x:v>0.9494657199</x:v>
      </x:c>
      <x:c r="N349" s="24" t="str">
        <x:v>labrus</x:v>
      </x:c>
      <x:c r="O349" s="32" t="n">
        <x:v>3.56</x:v>
      </x:c>
      <x:c r="P349" s="24" t="str">
        <x:v>exact_sea_around_us</x:v>
      </x:c>
      <x:c r="Q349" s="32" t="str">
        <x:v>Sea Around Us exploited organisms</x:v>
      </x:c>
      <x:c r="R349" s="24" t="str">
        <x:v>high</x:v>
      </x:c>
      <x:c r="S349" s="24" t="str">
        <x:v>Labrus</x:v>
      </x:c>
      <x:c r="T349" s="32" t="n">
        <x:f>IF(O349="","",(1/'Metadata'!$B$5)^(O349-1))</x:f>
        <x:v>363.0780547701014</x:v>
      </x:c>
      <x:c r="U349" s="31" t="n">
        <x:f>IF(T349="","",I349*T349)</x:f>
        <x:v>344.7301666521859</x:v>
      </x:c>
    </x:row>
    <x:row r="350" ht="18" customHeight="1">
      <x:c r="A350" s="24" t="str">
        <x:v>LME_025</x:v>
      </x:c>
      <x:c r="B350" s="24" t="str">
        <x:v>Iberian Coastal</x:v>
      </x:c>
      <x:c r="C350" s="24" t="str">
        <x:v>LME</x:v>
      </x:c>
      <x:c r="D350" s="30" t="n">
        <x:v>2019</x:v>
      </x:c>
      <x:c r="E350" s="24" t="str">
        <x:v>Dasyatidae</x:v>
      </x:c>
      <x:c r="F350" s="24" t="str">
        <x:v>Whiptail stingrays</x:v>
      </x:c>
      <x:c r="G350" s="24" t="str">
        <x:v>Large rays (&gt;=90 cm)</x:v>
      </x:c>
      <x:c r="H350" s="24" t="str">
        <x:v>Sharks &amp; rays</x:v>
      </x:c>
      <x:c r="I350" s="31" t="n">
        <x:v>0.9119032605</x:v>
      </x:c>
      <x:c r="J350" s="31" t="n">
        <x:v>0.9119032605</x:v>
      </x:c>
      <x:c r="K350" s="31" t="n">
        <x:v>0</x:v>
      </x:c>
      <x:c r="L350" s="31" t="n">
        <x:v>0.9119032605</x:v>
      </x:c>
      <x:c r="M350" s="31" t="n">
        <x:v>0</x:v>
      </x:c>
      <x:c r="N350" s="24" t="str">
        <x:v>dasyatidae</x:v>
      </x:c>
      <x:c r="O350" s="32" t="n">
        <x:v>3.38</x:v>
      </x:c>
      <x:c r="P350" s="24" t="str">
        <x:v>exact_sea_around_us</x:v>
      </x:c>
      <x:c r="Q350" s="32" t="str">
        <x:v>Sea Around Us exploited organisms</x:v>
      </x:c>
      <x:c r="R350" s="24" t="str">
        <x:v>high</x:v>
      </x:c>
      <x:c r="S350" s="24" t="str">
        <x:v>Dasyatidae</x:v>
      </x:c>
      <x:c r="T350" s="32" t="n">
        <x:f>IF(O350="","",(1/'Metadata'!$B$5)^(O350-1))</x:f>
        <x:v>239.88329190194898</x:v>
      </x:c>
      <x:c r="U350" s="31" t="n">
        <x:f>IF(T350="","",I350*T350)</x:f>
        <x:v>218.75035602486054</x:v>
      </x:c>
    </x:row>
    <x:row r="351" ht="18" customHeight="1">
      <x:c r="A351" s="24" t="str">
        <x:v>LME_025</x:v>
      </x:c>
      <x:c r="B351" s="24" t="str">
        <x:v>Iberian Coastal</x:v>
      </x:c>
      <x:c r="C351" s="24" t="str">
        <x:v>LME</x:v>
      </x:c>
      <x:c r="D351" s="30" t="n">
        <x:v>2019</x:v>
      </x:c>
      <x:c r="E351" s="24" t="str">
        <x:v>Spisula solida</x:v>
      </x:c>
      <x:c r="F351" s="24" t="str">
        <x:v>Surf clam</x:v>
      </x:c>
      <x:c r="G351" s="24" t="str">
        <x:v>Other demersal invertebrates</x:v>
      </x:c>
      <x:c r="H351" s="24" t="str">
        <x:v>Molluscs</x:v>
      </x:c>
      <x:c r="I351" s="31" t="n">
        <x:v>0.8828889274999999</x:v>
      </x:c>
      <x:c r="J351" s="31" t="n">
        <x:v>0.7177422274999999</x:v>
      </x:c>
      <x:c r="K351" s="31" t="n">
        <x:v>0.1651467</x:v>
      </x:c>
      <x:c r="L351" s="31" t="n">
        <x:v>0.7177422274999999</x:v>
      </x:c>
      <x:c r="M351" s="31" t="n">
        <x:v>0.1651467</x:v>
      </x:c>
      <x:c r="N351" s="24" t="str">
        <x:v>spisula solida</x:v>
      </x:c>
      <x:c r="O351" s="32" t="n">
        <x:v>2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Spisula solida</x:v>
      </x:c>
      <x:c r="T351" s="32" t="n">
        <x:f>IF(O351="","",(1/'Metadata'!$B$5)^(O351-1))</x:f>
        <x:v>10</x:v>
      </x:c>
      <x:c r="U351" s="31" t="n">
        <x:f>IF(T351="","",I351*T351)</x:f>
        <x:v>8.828889275</x:v>
      </x:c>
    </x:row>
    <x:row r="352" ht="18" customHeight="1">
      <x:c r="A352" s="24" t="str">
        <x:v>LME_025</x:v>
      </x:c>
      <x:c r="B352" s="24" t="str">
        <x:v>Iberian Coastal</x:v>
      </x:c>
      <x:c r="C352" s="24" t="str">
        <x:v>LME</x:v>
      </x:c>
      <x:c r="D352" s="30" t="n">
        <x:v>2019</x:v>
      </x:c>
      <x:c r="E352" s="24" t="str">
        <x:v>Umbrina cirrosa</x:v>
      </x:c>
      <x:c r="F352" s="24" t="str">
        <x:v>Shi drum</x:v>
      </x:c>
      <x:c r="G352" s="24" t="str">
        <x:v>Medium demersals (30 - 89 cm)</x:v>
      </x:c>
      <x:c r="H352" s="24" t="str">
        <x:v>Perch-likes</x:v>
      </x:c>
      <x:c r="I352" s="31" t="n">
        <x:v>0.853756564</x:v>
      </x:c>
      <x:c r="J352" s="31" t="n">
        <x:v>0.8491721608</x:v>
      </x:c>
      <x:c r="K352" s="31" t="n">
        <x:v>0.0045844032</x:v>
      </x:c>
      <x:c r="L352" s="31" t="n">
        <x:v>0.8195299028</x:v>
      </x:c>
      <x:c r="M352" s="31" t="n">
        <x:v>0.0342266612</x:v>
      </x:c>
      <x:c r="N352" s="24" t="str">
        <x:v>umbrina cirrosa</x:v>
      </x:c>
      <x:c r="O352" s="32" t="n">
        <x:v>3.46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Umbrina cirrosa</x:v>
      </x:c>
      <x:c r="T352" s="32" t="n">
        <x:f>IF(O352="","",(1/'Metadata'!$B$5)^(O352-1))</x:f>
        <x:v>288.40315031266056</x:v>
      </x:c>
      <x:c r="U352" s="31" t="n">
        <x:f>IF(T352="","",I352*T352)</x:f>
        <x:v>246.2260826577126</x:v>
      </x:c>
    </x:row>
    <x:row r="353" ht="18" customHeight="1">
      <x:c r="A353" s="24" t="str">
        <x:v>LME_025</x:v>
      </x:c>
      <x:c r="B353" s="24" t="str">
        <x:v>Iberian Coastal</x:v>
      </x:c>
      <x:c r="C353" s="24" t="str">
        <x:v>LME</x:v>
      </x:c>
      <x:c r="D353" s="30" t="n">
        <x:v>2019</x:v>
      </x:c>
      <x:c r="E353" s="24" t="str">
        <x:v>Etmopterus</x:v>
      </x:c>
      <x:c r="F353" s="24" t="str">
        <x:v>Lanternsharks</x:v>
      </x:c>
      <x:c r="G353" s="24" t="str">
        <x:v>Small to medium sharks (&lt;90 cm)</x:v>
      </x:c>
      <x:c r="H353" s="24" t="str">
        <x:v>Sharks &amp; rays</x:v>
      </x:c>
      <x:c r="I353" s="31" t="n">
        <x:v>0.844029256</x:v>
      </x:c>
      <x:c r="J353" s="31" t="n">
        <x:v>0</x:v>
      </x:c>
      <x:c r="K353" s="31" t="n">
        <x:v>0.844029256</x:v>
      </x:c>
      <x:c r="L353" s="31" t="n">
        <x:v>0</x:v>
      </x:c>
      <x:c r="M353" s="31" t="n">
        <x:v>0.844029256</x:v>
      </x:c>
      <x:c r="N353" s="24" t="str">
        <x:v>etmopterus</x:v>
      </x:c>
      <x:c r="O353" s="32" t="n">
        <x:v>4.02</x:v>
      </x:c>
      <x:c r="P353" s="24" t="str">
        <x:v>exact_sea_around_us</x:v>
      </x:c>
      <x:c r="Q353" s="32" t="str">
        <x:v>Sea Around Us exploited organisms</x:v>
      </x:c>
      <x:c r="R353" s="24" t="str">
        <x:v>high</x:v>
      </x:c>
      <x:c r="S353" s="24" t="str">
        <x:v>Etmopterus</x:v>
      </x:c>
      <x:c r="T353" s="32" t="n">
        <x:f>IF(O353="","",(1/'Metadata'!$B$5)^(O353-1))</x:f>
        <x:v>1047.1285480508984</x:v>
      </x:c>
      <x:c r="U353" s="31" t="n">
        <x:f>IF(T353="","",I353*T353)</x:f>
        <x:v>883.80712934776</x:v>
      </x:c>
    </x:row>
    <x:row r="354" ht="18" customHeight="1">
      <x:c r="A354" s="24" t="str">
        <x:v>LME_025</x:v>
      </x:c>
      <x:c r="B354" s="24" t="str">
        <x:v>Iberian Coastal</x:v>
      </x:c>
      <x:c r="C354" s="24" t="str">
        <x:v>LME</x:v>
      </x:c>
      <x:c r="D354" s="30" t="n">
        <x:v>2019</x:v>
      </x:c>
      <x:c r="E354" s="24" t="str">
        <x:v>Murex</x:v>
      </x:c>
      <x:c r="F354" s="24" t="str">
        <x:v>Murex shells</x:v>
      </x:c>
      <x:c r="G354" s="24" t="str">
        <x:v>Other demersal invertebrates</x:v>
      </x:c>
      <x:c r="H354" s="24" t="str">
        <x:v>Molluscs</x:v>
      </x:c>
      <x:c r="I354" s="31" t="n">
        <x:v>0.8329708915</x:v>
      </x:c>
      <x:c r="J354" s="31" t="n">
        <x:v>0.6791460307</x:v>
      </x:c>
      <x:c r="K354" s="31" t="n">
        <x:v>0.1538248608</x:v>
      </x:c>
      <x:c r="L354" s="31" t="n">
        <x:v>0.6791460307</x:v>
      </x:c>
      <x:c r="M354" s="31" t="n">
        <x:v>0.1538248608</x:v>
      </x:c>
      <x:c r="N354" s="24" t="str">
        <x:v>murex</x:v>
      </x:c>
      <x:c r="O354" s="32" t="n">
        <x:v>2</x:v>
      </x:c>
      <x:c r="P354" s="24" t="str">
        <x:v>exact_sea_around_us</x:v>
      </x:c>
      <x:c r="Q354" s="32" t="str">
        <x:v>Sea Around Us exploited organisms</x:v>
      </x:c>
      <x:c r="R354" s="24" t="str">
        <x:v>high</x:v>
      </x:c>
      <x:c r="S354" s="24" t="str">
        <x:v>Murex</x:v>
      </x:c>
      <x:c r="T354" s="32" t="n">
        <x:f>IF(O354="","",(1/'Metadata'!$B$5)^(O354-1))</x:f>
        <x:v>10</x:v>
      </x:c>
      <x:c r="U354" s="31" t="n">
        <x:f>IF(T354="","",I354*T354)</x:f>
        <x:v>8.329708915000001</x:v>
      </x:c>
    </x:row>
    <x:row r="355" ht="18" customHeight="1">
      <x:c r="A355" s="24" t="str">
        <x:v>LME_025</x:v>
      </x:c>
      <x:c r="B355" s="24" t="str">
        <x:v>Iberian Coastal</x:v>
      </x:c>
      <x:c r="C355" s="24" t="str">
        <x:v>LME</x:v>
      </x:c>
      <x:c r="D355" s="30" t="n">
        <x:v>2019</x:v>
      </x:c>
      <x:c r="E355" s="24" t="str">
        <x:v>Todaropsis eblanae</x:v>
      </x:c>
      <x:c r="F355" s="24" t="str">
        <x:v>Lesser flying squid</x:v>
      </x:c>
      <x:c r="G355" s="24" t="str">
        <x:v>Cephalopods</x:v>
      </x:c>
      <x:c r="H355" s="24" t="str">
        <x:v>Other fishes &amp; inverts</x:v>
      </x:c>
      <x:c r="I355" s="31" t="n">
        <x:v>0.818838952</x:v>
      </x:c>
      <x:c r="J355" s="31" t="n">
        <x:v>0.17073613699999998</x:v>
      </x:c>
      <x:c r="K355" s="31" t="n">
        <x:v>0.648102815</x:v>
      </x:c>
      <x:c r="L355" s="31" t="n">
        <x:v>0.15466383479999998</x:v>
      </x:c>
      <x:c r="M355" s="31" t="n">
        <x:v>0.6641751172</x:v>
      </x:c>
      <x:c r="N355" s="24" t="str">
        <x:v>todaropsis eblanae</x:v>
      </x:c>
      <x:c r="O355" s="32" t="n">
        <x:v>4.25</x:v>
      </x:c>
      <x:c r="P355" s="24" t="str">
        <x:v>exact_sea_around_us</x:v>
      </x:c>
      <x:c r="Q355" s="32" t="str">
        <x:v>Sea Around Us exploited organisms</x:v>
      </x:c>
      <x:c r="R355" s="24" t="str">
        <x:v>high</x:v>
      </x:c>
      <x:c r="S355" s="24" t="str">
        <x:v>Todaropsis eblanae</x:v>
      </x:c>
      <x:c r="T355" s="32" t="n">
        <x:f>IF(O355="","",(1/'Metadata'!$B$5)^(O355-1))</x:f>
        <x:v>1778.2794100389228</x:v>
      </x:c>
      <x:c r="U355" s="31" t="n">
        <x:f>IF(T355="","",I355*T355)</x:f>
        <x:v>1456.12444847945</x:v>
      </x:c>
    </x:row>
    <x:row r="356" ht="18" customHeight="1">
      <x:c r="A356" s="24" t="str">
        <x:v>LME_025</x:v>
      </x:c>
      <x:c r="B356" s="24" t="str">
        <x:v>Iberian Coastal</x:v>
      </x:c>
      <x:c r="C356" s="24" t="str">
        <x:v>LME</x:v>
      </x:c>
      <x:c r="D356" s="30" t="n">
        <x:v>2019</x:v>
      </x:c>
      <x:c r="E356" s="24" t="str">
        <x:v>Aequipecten opercularis</x:v>
      </x:c>
      <x:c r="F356" s="24" t="str">
        <x:v>Queen scallop</x:v>
      </x:c>
      <x:c r="G356" s="24" t="str">
        <x:v>Other demersal invertebrates</x:v>
      </x:c>
      <x:c r="H356" s="24" t="str">
        <x:v>Molluscs</x:v>
      </x:c>
      <x:c r="I356" s="31" t="n">
        <x:v>0.8182223442</x:v>
      </x:c>
      <x:c r="J356" s="31" t="n">
        <x:v>0.8182223442</x:v>
      </x:c>
      <x:c r="K356" s="31" t="n">
        <x:v>0</x:v>
      </x:c>
      <x:c r="L356" s="31" t="n">
        <x:v>0.362661782</x:v>
      </x:c>
      <x:c r="M356" s="31" t="n">
        <x:v>0.45556056219999996</x:v>
      </x:c>
      <x:c r="N356" s="24" t="str">
        <x:v>aequipecten opercularis</x:v>
      </x:c>
      <x:c r="O356" s="32" t="n">
        <x:v>2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Aequipecten opercularis</x:v>
      </x:c>
      <x:c r="T356" s="32" t="n">
        <x:f>IF(O356="","",(1/'Metadata'!$B$5)^(O356-1))</x:f>
        <x:v>10</x:v>
      </x:c>
      <x:c r="U356" s="31" t="n">
        <x:f>IF(T356="","",I356*T356)</x:f>
        <x:v>8.182223442</x:v>
      </x:c>
    </x:row>
    <x:row r="357" ht="18" customHeight="1">
      <x:c r="A357" s="24" t="str">
        <x:v>LME_025</x:v>
      </x:c>
      <x:c r="B357" s="24" t="str">
        <x:v>Iberian Coastal</x:v>
      </x:c>
      <x:c r="C357" s="24" t="str">
        <x:v>LME</x:v>
      </x:c>
      <x:c r="D357" s="30" t="n">
        <x:v>2019</x:v>
      </x:c>
      <x:c r="E357" s="24" t="str">
        <x:v>Microchirus variegatus</x:v>
      </x:c>
      <x:c r="F357" s="24" t="str">
        <x:v>Thickback sole</x:v>
      </x:c>
      <x:c r="G357" s="24" t="str">
        <x:v>Small to medium flatfishes (&lt;90 cm)</x:v>
      </x:c>
      <x:c r="H357" s="24" t="str">
        <x:v>Flatfishes</x:v>
      </x:c>
      <x:c r="I357" s="31" t="n">
        <x:v>0.7877016152</x:v>
      </x:c>
      <x:c r="J357" s="31" t="n">
        <x:v>0.4324773038</x:v>
      </x:c>
      <x:c r="K357" s="31" t="n">
        <x:v>0.3552243114</x:v>
      </x:c>
      <x:c r="L357" s="31" t="n">
        <x:v>0.4324773038</x:v>
      </x:c>
      <x:c r="M357" s="31" t="n">
        <x:v>0.3552243114</x:v>
      </x:c>
      <x:c r="N357" s="24" t="str">
        <x:v>microchirus variegatus</x:v>
      </x:c>
      <x:c r="O357" s="32" t="n">
        <x:v>3.28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Microchirus variegatus</x:v>
      </x:c>
      <x:c r="T357" s="32" t="n">
        <x:f>IF(O357="","",(1/'Metadata'!$B$5)^(O357-1))</x:f>
        <x:v>190.54607179632464</x:v>
      </x:c>
      <x:c r="U357" s="31" t="n">
        <x:f>IF(T357="","",I357*T357)</x:f>
        <x:v>150.0934485239801</x:v>
      </x:c>
    </x:row>
    <x:row r="358" ht="18" customHeight="1">
      <x:c r="A358" s="24" t="str">
        <x:v>LME_025</x:v>
      </x:c>
      <x:c r="B358" s="24" t="str">
        <x:v>Iberian Coastal</x:v>
      </x:c>
      <x:c r="C358" s="24" t="str">
        <x:v>LME</x:v>
      </x:c>
      <x:c r="D358" s="30" t="n">
        <x:v>2019</x:v>
      </x:c>
      <x:c r="E358" s="24" t="str">
        <x:v>Synapturichthys kleinii</x:v>
      </x:c>
      <x:c r="F358" s="24" t="str">
        <x:v>Klein's sole</x:v>
      </x:c>
      <x:c r="G358" s="24" t="str">
        <x:v>Small to medium flatfishes (&lt;90 cm)</x:v>
      </x:c>
      <x:c r="H358" s="24" t="str">
        <x:v>Flatfishes</x:v>
      </x:c>
      <x:c r="I358" s="31" t="n">
        <x:v>0.7346749089</x:v>
      </x:c>
      <x:c r="J358" s="31" t="n">
        <x:v>0.716304056</x:v>
      </x:c>
      <x:c r="K358" s="31" t="n">
        <x:v>0.0183708529</x:v>
      </x:c>
      <x:c r="L358" s="31" t="n">
        <x:v>0.6321030415</x:v>
      </x:c>
      <x:c r="M358" s="31" t="n">
        <x:v>0.1025718674</x:v>
      </x:c>
      <x:c r="N358" s="24" t="str">
        <x:v>synapturichthys kleinii</x:v>
      </x:c>
      <x:c r="O358" s="32" t="n">
        <x:v>3.6</x:v>
      </x:c>
      <x:c r="P358" s="24" t="str">
        <x:v>exact_sea_around_us</x:v>
      </x:c>
      <x:c r="Q358" s="32" t="str">
        <x:v>Sea Around Us exploited organisms</x:v>
      </x:c>
      <x:c r="R358" s="24" t="str">
        <x:v>high</x:v>
      </x:c>
      <x:c r="S358" s="24" t="str">
        <x:v>Synapturichthys kleinii</x:v>
      </x:c>
      <x:c r="T358" s="32" t="n">
        <x:f>IF(O358="","",(1/'Metadata'!$B$5)^(O358-1))</x:f>
        <x:v>398.1071705534973</x:v>
      </x:c>
      <x:c r="U358" s="31" t="n">
        <x:f>IF(T358="","",I358*T358)</x:f>
        <x:v>292.4793492588274</x:v>
      </x:c>
    </x:row>
    <x:row r="359" ht="18" customHeight="1">
      <x:c r="A359" s="24" t="str">
        <x:v>LME_025</x:v>
      </x:c>
      <x:c r="B359" s="24" t="str">
        <x:v>Iberian Coastal</x:v>
      </x:c>
      <x:c r="C359" s="24" t="str">
        <x:v>LME</x:v>
      </x:c>
      <x:c r="D359" s="30" t="n">
        <x:v>2019</x:v>
      </x:c>
      <x:c r="E359" s="24" t="str">
        <x:v>Centroselachus crepidater</x:v>
      </x:c>
      <x:c r="F359" s="24" t="str">
        <x:v>Longnose velvet dogfish</x:v>
      </x:c>
      <x:c r="G359" s="24" t="str">
        <x:v>Large sharks (&gt;=90 cm)</x:v>
      </x:c>
      <x:c r="H359" s="24" t="str">
        <x:v>Sharks &amp; rays</x:v>
      </x:c>
      <x:c r="I359" s="31" t="n">
        <x:v>0.7179783097</x:v>
      </x:c>
      <x:c r="J359" s="31" t="n">
        <x:v>0</x:v>
      </x:c>
      <x:c r="K359" s="31" t="n">
        <x:v>0.7179783097</x:v>
      </x:c>
      <x:c r="L359" s="31" t="n">
        <x:v>0</x:v>
      </x:c>
      <x:c r="M359" s="31" t="n">
        <x:v>0.7179783097</x:v>
      </x:c>
      <x:c r="N359" s="24" t="str">
        <x:v>centroselachus crepidater</x:v>
      </x:c>
      <x:c r="O359" s="32" t="n">
        <x:v>4.16</x:v>
      </x:c>
      <x:c r="P359" s="24" t="str">
        <x:v>exact_sea_around_us</x:v>
      </x:c>
      <x:c r="Q359" s="32" t="str">
        <x:v>Sea Around Us exploited organisms</x:v>
      </x:c>
      <x:c r="R359" s="24" t="str">
        <x:v>high</x:v>
      </x:c>
      <x:c r="S359" s="24" t="str">
        <x:v>Centroselachus crepidater</x:v>
      </x:c>
      <x:c r="T359" s="32" t="n">
        <x:f>IF(O359="","",(1/'Metadata'!$B$5)^(O359-1))</x:f>
        <x:v>1445.439770745928</x:v>
      </x:c>
      <x:c r="U359" s="31" t="n">
        <x:f>IF(T359="","",I359*T359)</x:f>
        <x:v>1037.7944033733168</x:v>
      </x:c>
    </x:row>
    <x:row r="360" ht="18" customHeight="1">
      <x:c r="A360" s="24" t="str">
        <x:v>LME_025</x:v>
      </x:c>
      <x:c r="B360" s="24" t="str">
        <x:v>Iberian Coastal</x:v>
      </x:c>
      <x:c r="C360" s="24" t="str">
        <x:v>LME</x:v>
      </x:c>
      <x:c r="D360" s="30" t="n">
        <x:v>2019</x:v>
      </x:c>
      <x:c r="E360" s="24" t="str">
        <x:v>Acipenser sturio</x:v>
      </x:c>
      <x:c r="F360" s="24" t="str">
        <x:v>Sturgeon</x:v>
      </x:c>
      <x:c r="G360" s="24" t="str">
        <x:v>Large demersals (&gt;=90 cm)</x:v>
      </x:c>
      <x:c r="H360" s="24" t="str">
        <x:v>Other fishes &amp; inverts</x:v>
      </x:c>
      <x:c r="I360" s="31" t="n">
        <x:v>0.6849496005</x:v>
      </x:c>
      <x:c r="J360" s="31" t="n">
        <x:v>0.6849496005</x:v>
      </x:c>
      <x:c r="K360" s="31" t="n">
        <x:v>0</x:v>
      </x:c>
      <x:c r="L360" s="31" t="n">
        <x:v>0.2342524069</x:v>
      </x:c>
      <x:c r="M360" s="31" t="n">
        <x:v>0.45069719360000005</x:v>
      </x:c>
      <x:c r="N360" s="24" t="str">
        <x:v>acipenser sturio</x:v>
      </x:c>
      <x:c r="O360" s="32" t="n">
        <x:v>3.51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Acipenser sturio</x:v>
      </x:c>
      <x:c r="T360" s="32" t="n">
        <x:f>IF(O360="","",(1/'Metadata'!$B$5)^(O360-1))</x:f>
        <x:v>323.5936569296281</x:v>
      </x:c>
      <x:c r="U360" s="31" t="n">
        <x:f>IF(T360="","",I360*T360)</x:f>
        <x:v>221.6453460382828</x:v>
      </x:c>
    </x:row>
    <x:row r="361" ht="18" customHeight="1">
      <x:c r="A361" s="24" t="str">
        <x:v>LME_025</x:v>
      </x:c>
      <x:c r="B361" s="24" t="str">
        <x:v>Iberian Coastal</x:v>
      </x:c>
      <x:c r="C361" s="24" t="str">
        <x:v>LME</x:v>
      </x:c>
      <x:c r="D361" s="30" t="n">
        <x:v>2019</x:v>
      </x:c>
      <x:c r="E361" s="24" t="str">
        <x:v>Istiophoridae</x:v>
      </x:c>
      <x:c r="F361" s="24" t="str">
        <x:v>Billfishes</x:v>
      </x:c>
      <x:c r="G361" s="24" t="str">
        <x:v>Large pelagics (&gt;=90 cm)</x:v>
      </x:c>
      <x:c r="H361" s="24" t="str">
        <x:v>Tuna &amp; billfishes</x:v>
      </x:c>
      <x:c r="I361" s="31" t="n">
        <x:v>0.6398937792</x:v>
      </x:c>
      <x:c r="J361" s="31" t="n">
        <x:v>0.6398937792</x:v>
      </x:c>
      <x:c r="K361" s="31" t="n">
        <x:v>0</x:v>
      </x:c>
      <x:c r="L361" s="31" t="n">
        <x:v>0.6398937792</x:v>
      </x:c>
      <x:c r="M361" s="31" t="n">
        <x:v>0</x:v>
      </x:c>
      <x:c r="N361" s="24" t="str">
        <x:v>istiophoridae</x:v>
      </x:c>
      <x:c r="O361" s="32" t="n">
        <x:v>4.48</x:v>
      </x:c>
      <x:c r="P361" s="24" t="str">
        <x:v>exact_sea_around_us</x:v>
      </x:c>
      <x:c r="Q361" s="32" t="str">
        <x:v>Sea Around Us exploited organisms</x:v>
      </x:c>
      <x:c r="R361" s="24" t="str">
        <x:v>high</x:v>
      </x:c>
      <x:c r="S361" s="24" t="str">
        <x:v>Istiophoridae</x:v>
      </x:c>
      <x:c r="T361" s="32" t="n">
        <x:f>IF(O361="","",(1/'Metadata'!$B$5)^(O361-1))</x:f>
        <x:v>3019.951720402019</x:v>
      </x:c>
      <x:c r="U361" s="31" t="n">
        <x:f>IF(T361="","",I361*T361)</x:f>
        <x:v>1932.4483193695896</x:v>
      </x:c>
    </x:row>
    <x:row r="362" ht="18" customHeight="1">
      <x:c r="A362" s="24" t="str">
        <x:v>LME_025</x:v>
      </x:c>
      <x:c r="B362" s="24" t="str">
        <x:v>Iberian Coastal</x:v>
      </x:c>
      <x:c r="C362" s="24" t="str">
        <x:v>LME</x:v>
      </x:c>
      <x:c r="D362" s="30" t="n">
        <x:v>2019</x:v>
      </x:c>
      <x:c r="E362" s="24" t="str">
        <x:v>Peristedion cataphractum</x:v>
      </x:c>
      <x:c r="F362" s="24" t="str">
        <x:v>African armoured searobin</x:v>
      </x:c>
      <x:c r="G362" s="24" t="str">
        <x:v>Medium demersals (30 - 89 cm)</x:v>
      </x:c>
      <x:c r="H362" s="24" t="str">
        <x:v>Scorpionfishes</x:v>
      </x:c>
      <x:c r="I362" s="31" t="n">
        <x:v>0.6331119064</x:v>
      </x:c>
      <x:c r="J362" s="31" t="n">
        <x:v>0.3595622735</x:v>
      </x:c>
      <x:c r="K362" s="31" t="n">
        <x:v>0.2735496329</x:v>
      </x:c>
      <x:c r="L362" s="31" t="n">
        <x:v>0.351204363</x:v>
      </x:c>
      <x:c r="M362" s="31" t="n">
        <x:v>0.2819075434</x:v>
      </x:c>
      <x:c r="N362" s="24" t="str">
        <x:v>peristedion cataphractum</x:v>
      </x:c>
      <x:c r="O362" s="32" t="n">
        <x:v>3.6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Peristedion cataphractum</x:v>
      </x:c>
      <x:c r="T362" s="32" t="n">
        <x:f>IF(O362="","",(1/'Metadata'!$B$5)^(O362-1))</x:f>
        <x:v>398.1071705534973</x:v>
      </x:c>
      <x:c r="U362" s="31" t="n">
        <x:f>IF(T362="","",I362*T362)</x:f>
        <x:v>252.04638970063465</x:v>
      </x:c>
    </x:row>
    <x:row r="363" ht="18" customHeight="1">
      <x:c r="A363" s="24" t="str">
        <x:v>LME_025</x:v>
      </x:c>
      <x:c r="B363" s="24" t="str">
        <x:v>Iberian Coastal</x:v>
      </x:c>
      <x:c r="C363" s="24" t="str">
        <x:v>LME</x:v>
      </x:c>
      <x:c r="D363" s="30" t="n">
        <x:v>2019</x:v>
      </x:c>
      <x:c r="E363" s="24" t="str">
        <x:v>Atherina presbyter</x:v>
      </x:c>
      <x:c r="F363" s="24" t="str">
        <x:v>Sand smelt</x:v>
      </x:c>
      <x:c r="G363" s="24" t="str">
        <x:v>Small pelagics (&lt;30 cm)</x:v>
      </x:c>
      <x:c r="H363" s="24" t="str">
        <x:v>Other fishes &amp; inverts</x:v>
      </x:c>
      <x:c r="I363" s="31" t="n">
        <x:v>0.6273748681</x:v>
      </x:c>
      <x:c r="J363" s="31" t="n">
        <x:v>0.6273748681</x:v>
      </x:c>
      <x:c r="K363" s="31" t="n">
        <x:v>0</x:v>
      </x:c>
      <x:c r="L363" s="31" t="n">
        <x:v>0.6273748681</x:v>
      </x:c>
      <x:c r="M363" s="31" t="n">
        <x:v>0</x:v>
      </x:c>
      <x:c r="N363" s="24" t="str">
        <x:v>atherina presbyter</x:v>
      </x:c>
      <x:c r="O363" s="32" t="n">
        <x:v>3.67</x:v>
      </x:c>
      <x:c r="P363" s="24" t="str">
        <x:v>exact_2020_supplement</x:v>
      </x:c>
      <x:c r="Q363" s="32" t="str">
        <x:v>2020 supplement MeanTL</x:v>
      </x:c>
      <x:c r="R363" s="24" t="str">
        <x:v>high</x:v>
      </x:c>
      <x:c r="S363" s="24" t="str">
        <x:v>Atherina presbyter</x:v>
      </x:c>
      <x:c r="T363" s="32" t="n">
        <x:f>IF(O363="","",(1/'Metadata'!$B$5)^(O363-1))</x:f>
        <x:v>467.73514128719813</x:v>
      </x:c>
      <x:c r="U363" s="31" t="n">
        <x:f>IF(T363="","",I363*T363)</x:f>
        <x:v>293.4452725707908</x:v>
      </x:c>
    </x:row>
    <x:row r="364" ht="18" customHeight="1">
      <x:c r="A364" s="24" t="str">
        <x:v>LME_025</x:v>
      </x:c>
      <x:c r="B364" s="24" t="str">
        <x:v>Iberian Coastal</x:v>
      </x:c>
      <x:c r="C364" s="24" t="str">
        <x:v>LME</x:v>
      </x:c>
      <x:c r="D364" s="30" t="n">
        <x:v>2019</x:v>
      </x:c>
      <x:c r="E364" s="24" t="str">
        <x:v>Haemulidae</x:v>
      </x:c>
      <x:c r="F364" s="24" t="str">
        <x:v>Grunts, sweetlips, bonnetmouths</x:v>
      </x:c>
      <x:c r="G364" s="24" t="str">
        <x:v>Medium demersals (30 - 89 cm)</x:v>
      </x:c>
      <x:c r="H364" s="24" t="str">
        <x:v>Perch-likes</x:v>
      </x:c>
      <x:c r="I364" s="31" t="n">
        <x:v>0.6062213515999999</x:v>
      </x:c>
      <x:c r="J364" s="31" t="n">
        <x:v>0.6062213515999999</x:v>
      </x:c>
      <x:c r="K364" s="31" t="n">
        <x:v>0</x:v>
      </x:c>
      <x:c r="L364" s="31" t="n">
        <x:v>0.23595871829999998</x:v>
      </x:c>
      <x:c r="M364" s="31" t="n">
        <x:v>0.3702626333</x:v>
      </x:c>
      <x:c r="N364" s="24" t="str">
        <x:v>haemulidae</x:v>
      </x:c>
      <x:c r="O364" s="32" t="n">
        <x:v>3.36</x:v>
      </x:c>
      <x:c r="P364" s="24" t="str">
        <x:v>exact_sea_around_us</x:v>
      </x:c>
      <x:c r="Q364" s="32" t="str">
        <x:v>Sea Around Us exploited organisms</x:v>
      </x:c>
      <x:c r="R364" s="24" t="str">
        <x:v>high</x:v>
      </x:c>
      <x:c r="S364" s="24" t="str">
        <x:v>Haemulidae</x:v>
      </x:c>
      <x:c r="T364" s="32" t="n">
        <x:f>IF(O364="","",(1/'Metadata'!$B$5)^(O364-1))</x:f>
        <x:v>229.08676527677724</x:v>
      </x:c>
      <x:c r="U364" s="31" t="n">
        <x:f>IF(T364="","",I364*T364)</x:f>
        <x:v>138.8772884797598</x:v>
      </x:c>
    </x:row>
    <x:row r="365" ht="18" customHeight="1">
      <x:c r="A365" s="24" t="str">
        <x:v>LME_025</x:v>
      </x:c>
      <x:c r="B365" s="24" t="str">
        <x:v>Iberian Coastal</x:v>
      </x:c>
      <x:c r="C365" s="24" t="str">
        <x:v>LME</x:v>
      </x:c>
      <x:c r="D365" s="30" t="n">
        <x:v>2019</x:v>
      </x:c>
      <x:c r="E365" s="24" t="str">
        <x:v>Hexanchus griseus</x:v>
      </x:c>
      <x:c r="F365" s="24" t="str">
        <x:v>Bluntnose sixgill shark</x:v>
      </x:c>
      <x:c r="G365" s="24" t="str">
        <x:v>Large sharks (&gt;=90 cm)</x:v>
      </x:c>
      <x:c r="H365" s="24" t="str">
        <x:v>Sharks &amp; rays</x:v>
      </x:c>
      <x:c r="I365" s="31" t="n">
        <x:v>0.5840649136</x:v>
      </x:c>
      <x:c r="J365" s="31" t="n">
        <x:v>0.0019342489999999999</x:v>
      </x:c>
      <x:c r="K365" s="31" t="n">
        <x:v>0.5821306646</x:v>
      </x:c>
      <x:c r="L365" s="31" t="n">
        <x:v>0</x:v>
      </x:c>
      <x:c r="M365" s="31" t="n">
        <x:v>0.5840649136</x:v>
      </x:c>
      <x:c r="N365" s="24" t="str">
        <x:v>hexanchus griseus</x:v>
      </x:c>
      <x:c r="O365" s="32" t="n">
        <x:v>4.48</x:v>
      </x:c>
      <x:c r="P365" s="24" t="str">
        <x:v>exact_2020_supplement</x:v>
      </x:c>
      <x:c r="Q365" s="32" t="str">
        <x:v>2020 supplement MeanTL</x:v>
      </x:c>
      <x:c r="R365" s="24" t="str">
        <x:v>high</x:v>
      </x:c>
      <x:c r="S365" s="24" t="str">
        <x:v>Hexanchus griseus</x:v>
      </x:c>
      <x:c r="T365" s="32" t="n">
        <x:f>IF(O365="","",(1/'Metadata'!$B$5)^(O365-1))</x:f>
        <x:v>3019.951720402019</x:v>
      </x:c>
      <x:c r="U365" s="31" t="n">
        <x:f>IF(T365="","",I365*T365)</x:f>
        <x:v>1763.8478406527765</x:v>
      </x:c>
    </x:row>
    <x:row r="366" ht="18" customHeight="1">
      <x:c r="A366" s="24" t="str">
        <x:v>LME_025</x:v>
      </x:c>
      <x:c r="B366" s="24" t="str">
        <x:v>Iberian Coastal</x:v>
      </x:c>
      <x:c r="C366" s="24" t="str">
        <x:v>LME</x:v>
      </x:c>
      <x:c r="D366" s="30" t="n">
        <x:v>2019</x:v>
      </x:c>
      <x:c r="E366" s="24" t="str">
        <x:v>Orcynopsis unicolor</x:v>
      </x:c>
      <x:c r="F366" s="24" t="str">
        <x:v>Plain bonito</x:v>
      </x:c>
      <x:c r="G366" s="24" t="str">
        <x:v>Large pelagics (&gt;=90 cm)</x:v>
      </x:c>
      <x:c r="H366" s="24" t="str">
        <x:v>Tuna &amp; billfishes</x:v>
      </x:c>
      <x:c r="I366" s="31" t="n">
        <x:v>0.5568514927</x:v>
      </x:c>
      <x:c r="J366" s="31" t="n">
        <x:v>0.5568514927</x:v>
      </x:c>
      <x:c r="K366" s="31" t="n">
        <x:v>0</x:v>
      </x:c>
      <x:c r="L366" s="31" t="n">
        <x:v>0.5568514927</x:v>
      </x:c>
      <x:c r="M366" s="31" t="n">
        <x:v>0</x:v>
      </x:c>
      <x:c r="N366" s="24" t="str">
        <x:v>orcynopsis unicolor</x:v>
      </x:c>
      <x:c r="O366" s="32" t="n">
        <x:v>4.5</x:v>
      </x:c>
      <x:c r="P366" s="24" t="str">
        <x:v>exact_2020_supplement</x:v>
      </x:c>
      <x:c r="Q366" s="32" t="str">
        <x:v>2020 supplement MeanTL</x:v>
      </x:c>
      <x:c r="R366" s="24" t="str">
        <x:v>high</x:v>
      </x:c>
      <x:c r="S366" s="24" t="str">
        <x:v>Orcynopsis unicolor</x:v>
      </x:c>
      <x:c r="T366" s="32" t="n">
        <x:f>IF(O366="","",(1/'Metadata'!$B$5)^(O366-1))</x:f>
        <x:v>3162.2776601683795</x:v>
      </x:c>
      <x:c r="U366" s="31" t="n">
        <x:f>IF(T366="","",I366*T366)</x:f>
        <x:v>1760.9190353966255</x:v>
      </x:c>
    </x:row>
    <x:row r="367" ht="18" customHeight="1">
      <x:c r="A367" s="24" t="str">
        <x:v>LME_025</x:v>
      </x:c>
      <x:c r="B367" s="24" t="str">
        <x:v>Iberian Coastal</x:v>
      </x:c>
      <x:c r="C367" s="24" t="str">
        <x:v>LME</x:v>
      </x:c>
      <x:c r="D367" s="30" t="n">
        <x:v>2019</x:v>
      </x:c>
      <x:c r="E367" s="24" t="str">
        <x:v>Moridae</x:v>
      </x:c>
      <x:c r="F367" s="24" t="str">
        <x:v>Codlings, moras</x:v>
      </x:c>
      <x:c r="G367" s="24" t="str">
        <x:v>Medium benthopelagics (30 - 89 cm)</x:v>
      </x:c>
      <x:c r="H367" s="24" t="str">
        <x:v>Cod-likes</x:v>
      </x:c>
      <x:c r="I367" s="31" t="n">
        <x:v>0.5369137843</x:v>
      </x:c>
      <x:c r="J367" s="31" t="n">
        <x:v>0</x:v>
      </x:c>
      <x:c r="K367" s="31" t="n">
        <x:v>0.5369137843</x:v>
      </x:c>
      <x:c r="L367" s="31" t="n">
        <x:v>0</x:v>
      </x:c>
      <x:c r="M367" s="31" t="n">
        <x:v>0.5369137843</x:v>
      </x:c>
      <x:c r="N367" s="24" t="str">
        <x:v>moridae</x:v>
      </x:c>
      <x:c r="O367" s="32" t="n">
        <x:v>3.87</x:v>
      </x:c>
      <x:c r="P367" s="24" t="str">
        <x:v>exact_sea_around_us</x:v>
      </x:c>
      <x:c r="Q367" s="32" t="str">
        <x:v>Sea Around Us exploited organisms</x:v>
      </x:c>
      <x:c r="R367" s="24" t="str">
        <x:v>high</x:v>
      </x:c>
      <x:c r="S367" s="24" t="str">
        <x:v>Moridae</x:v>
      </x:c>
      <x:c r="T367" s="32" t="n">
        <x:f>IF(O367="","",(1/'Metadata'!$B$5)^(O367-1))</x:f>
        <x:v>741.3102413009177</x:v>
      </x:c>
      <x:c r="U367" s="31" t="n">
        <x:f>IF(T367="","",I367*T367)</x:f>
        <x:v>398.0196869972219</x:v>
      </x:c>
    </x:row>
    <x:row r="368" ht="18" customHeight="1">
      <x:c r="A368" s="24" t="str">
        <x:v>LME_025</x:v>
      </x:c>
      <x:c r="B368" s="24" t="str">
        <x:v>Iberian Coastal</x:v>
      </x:c>
      <x:c r="C368" s="24" t="str">
        <x:v>LME</x:v>
      </x:c>
      <x:c r="D368" s="30" t="n">
        <x:v>2019</x:v>
      </x:c>
      <x:c r="E368" s="24" t="str">
        <x:v>Palaemon longirostris</x:v>
      </x:c>
      <x:c r="F368" s="24" t="str">
        <x:v>Delta prawn</x:v>
      </x:c>
      <x:c r="G368" s="24" t="str">
        <x:v>Shrimps</x:v>
      </x:c>
      <x:c r="H368" s="24" t="str">
        <x:v>Crustaceans</x:v>
      </x:c>
      <x:c r="I368" s="31" t="n">
        <x:v>0.49677346899999997</x:v>
      </x:c>
      <x:c r="J368" s="31" t="n">
        <x:v>0.49677346899999997</x:v>
      </x:c>
      <x:c r="K368" s="31" t="n">
        <x:v>0</x:v>
      </x:c>
      <x:c r="L368" s="31" t="n">
        <x:v>0.47067604059999996</x:v>
      </x:c>
      <x:c r="M368" s="31" t="n">
        <x:v>0.026097428399999997</x:v>
      </x:c>
      <x:c r="N368" s="24" t="str">
        <x:v>palaemon longirostris</x:v>
      </x:c>
      <x:c r="O368" s="32" t="n">
        <x:v>2.6</x:v>
      </x:c>
      <x:c r="P368" s="24" t="str">
        <x:v>exact_sea_around_us</x:v>
      </x:c>
      <x:c r="Q368" s="32" t="str">
        <x:v>Sea Around Us exploited organisms</x:v>
      </x:c>
      <x:c r="R368" s="24" t="str">
        <x:v>high</x:v>
      </x:c>
      <x:c r="S368" s="24" t="str">
        <x:v>Palaemon longirostris</x:v>
      </x:c>
      <x:c r="T368" s="32" t="n">
        <x:f>IF(O368="","",(1/'Metadata'!$B$5)^(O368-1))</x:f>
        <x:v>39.810717055349734</x:v>
      </x:c>
      <x:c r="U368" s="31" t="n">
        <x:f>IF(T368="","",I368*T368)</x:f>
        <x:v>19.776908014963553</x:v>
      </x:c>
    </x:row>
    <x:row r="369" ht="18" customHeight="1">
      <x:c r="A369" s="24" t="str">
        <x:v>LME_025</x:v>
      </x:c>
      <x:c r="B369" s="24" t="str">
        <x:v>Iberian Coastal</x:v>
      </x:c>
      <x:c r="C369" s="24" t="str">
        <x:v>LME</x:v>
      </x:c>
      <x:c r="D369" s="30" t="n">
        <x:v>2019</x:v>
      </x:c>
      <x:c r="E369" s="24" t="str">
        <x:v>Scyllaridae</x:v>
      </x:c>
      <x:c r="F369" s="24" t="str">
        <x:v>Slipper lobsters</x:v>
      </x:c>
      <x:c r="G369" s="24" t="str">
        <x:v>Lobsters, crabs</x:v>
      </x:c>
      <x:c r="H369" s="24" t="str">
        <x:v>Crustaceans</x:v>
      </x:c>
      <x:c r="I369" s="31" t="n">
        <x:v>0.4936523904</x:v>
      </x:c>
      <x:c r="J369" s="31" t="n">
        <x:v>0.4936523904</x:v>
      </x:c>
      <x:c r="K369" s="31" t="n">
        <x:v>0</x:v>
      </x:c>
      <x:c r="L369" s="31" t="n">
        <x:v>0.4936523904</x:v>
      </x:c>
      <x:c r="M369" s="31" t="n">
        <x:v>0</x:v>
      </x:c>
      <x:c r="N369" s="24" t="str">
        <x:v>scyllaridae</x:v>
      </x:c>
      <x:c r="O369" s="32" t="n">
        <x:v>2.87</x:v>
      </x:c>
      <x:c r="P369" s="24" t="str">
        <x:v>exact_sea_around_us</x:v>
      </x:c>
      <x:c r="Q369" s="32" t="str">
        <x:v>Sea Around Us exploited organisms</x:v>
      </x:c>
      <x:c r="R369" s="24" t="str">
        <x:v>high</x:v>
      </x:c>
      <x:c r="S369" s="24" t="str">
        <x:v>Scyllaridae</x:v>
      </x:c>
      <x:c r="T369" s="32" t="n">
        <x:f>IF(O369="","",(1/'Metadata'!$B$5)^(O369-1))</x:f>
        <x:v>74.13102413009177</x:v>
      </x:c>
      <x:c r="U369" s="31" t="n">
        <x:f>IF(T369="","",I369*T369)</x:f>
        <x:v>36.594957264619886</x:v>
      </x:c>
    </x:row>
    <x:row r="370" ht="18" customHeight="1">
      <x:c r="A370" s="24" t="str">
        <x:v>LME_025</x:v>
      </x:c>
      <x:c r="B370" s="24" t="str">
        <x:v>Iberian Coastal</x:v>
      </x:c>
      <x:c r="C370" s="24" t="str">
        <x:v>LME</x:v>
      </x:c>
      <x:c r="D370" s="30" t="n">
        <x:v>2019</x:v>
      </x:c>
      <x:c r="E370" s="24" t="str">
        <x:v>Molva</x:v>
      </x:c>
      <x:c r="F370" s="24" t="str">
        <x:v>Lings</x:v>
      </x:c>
      <x:c r="G370" s="24" t="str">
        <x:v>Large demersals (&gt;=90 cm)</x:v>
      </x:c>
      <x:c r="H370" s="24" t="str">
        <x:v>Cod-likes</x:v>
      </x:c>
      <x:c r="I370" s="31" t="n">
        <x:v>0.4930922437</x:v>
      </x:c>
      <x:c r="J370" s="31" t="n">
        <x:v>0.4930922437</x:v>
      </x:c>
      <x:c r="K370" s="31" t="n">
        <x:v>0</x:v>
      </x:c>
      <x:c r="L370" s="31" t="n">
        <x:v>0.2479176575</x:v>
      </x:c>
      <x:c r="M370" s="31" t="n">
        <x:v>0.24517458620000002</x:v>
      </x:c>
      <x:c r="N370" s="24" t="str">
        <x:v>molva</x:v>
      </x:c>
      <x:c r="O370" s="32" t="n">
        <x:v>4.19</x:v>
      </x:c>
      <x:c r="P370" s="24" t="str">
        <x:v>exact_sea_around_us</x:v>
      </x:c>
      <x:c r="Q370" s="32" t="str">
        <x:v>Sea Around Us exploited organisms</x:v>
      </x:c>
      <x:c r="R370" s="24" t="str">
        <x:v>high</x:v>
      </x:c>
      <x:c r="S370" s="24" t="str">
        <x:v>Molva</x:v>
      </x:c>
      <x:c r="T370" s="32" t="n">
        <x:f>IF(O370="","",(1/'Metadata'!$B$5)^(O370-1))</x:f>
        <x:v>1548.8166189124827</x:v>
      </x:c>
      <x:c r="U370" s="31" t="n">
        <x:f>IF(T370="","",I370*T370)</x:f>
        <x:v>763.709461699404</x:v>
      </x:c>
    </x:row>
    <x:row r="371" ht="18" customHeight="1">
      <x:c r="A371" s="24" t="str">
        <x:v>LME_025</x:v>
      </x:c>
      <x:c r="B371" s="24" t="str">
        <x:v>Iberian Coastal</x:v>
      </x:c>
      <x:c r="C371" s="24" t="str">
        <x:v>LME</x:v>
      </x:c>
      <x:c r="D371" s="30" t="n">
        <x:v>2019</x:v>
      </x:c>
      <x:c r="E371" s="24" t="str">
        <x:v>Trachyrincus scabrus</x:v>
      </x:c>
      <x:c r="F371" s="24" t="str">
        <x:v>Roughsnout grenadier</x:v>
      </x:c>
      <x:c r="G371" s="24" t="str">
        <x:v>Medium bathypelagics (30 - 89 cm)</x:v>
      </x:c>
      <x:c r="H371" s="24" t="str">
        <x:v>Cod-likes</x:v>
      </x:c>
      <x:c r="I371" s="31" t="n">
        <x:v>0.4791352631</x:v>
      </x:c>
      <x:c r="J371" s="31" t="n">
        <x:v>0</x:v>
      </x:c>
      <x:c r="K371" s="31" t="n">
        <x:v>0.4791352631</x:v>
      </x:c>
      <x:c r="L371" s="31" t="n">
        <x:v>0</x:v>
      </x:c>
      <x:c r="M371" s="31" t="n">
        <x:v>0.4791352631</x:v>
      </x:c>
      <x:c r="N371" s="24" t="str">
        <x:v>trachyrincus scabrus</x:v>
      </x:c>
      <x:c r="O371" s="32" t="n">
        <x:v>3.64</x:v>
      </x:c>
      <x:c r="P371" s="24" t="str">
        <x:v>exact_2020_supplement</x:v>
      </x:c>
      <x:c r="Q371" s="32" t="str">
        <x:v>2020 supplement MeanTL</x:v>
      </x:c>
      <x:c r="R371" s="24" t="str">
        <x:v>high</x:v>
      </x:c>
      <x:c r="S371" s="24" t="str">
        <x:v>Trachyrincus scabrus</x:v>
      </x:c>
      <x:c r="T371" s="32" t="n">
        <x:f>IF(O371="","",(1/'Metadata'!$B$5)^(O371-1))</x:f>
        <x:v>436.5158322401661</x:v>
      </x:c>
      <x:c r="U371" s="31" t="n">
        <x:f>IF(T371="","",I371*T371)</x:f>
        <x:v>209.15012812770743</x:v>
      </x:c>
    </x:row>
    <x:row r="372" ht="18" customHeight="1">
      <x:c r="A372" s="24" t="str">
        <x:v>LME_025</x:v>
      </x:c>
      <x:c r="B372" s="24" t="str">
        <x:v>Iberian Coastal</x:v>
      </x:c>
      <x:c r="C372" s="24" t="str">
        <x:v>LME</x:v>
      </x:c>
      <x:c r="D372" s="30" t="n">
        <x:v>2019</x:v>
      </x:c>
      <x:c r="E372" s="24" t="str">
        <x:v>Carcharhinus</x:v>
      </x:c>
      <x:c r="F372" s="24" t="str">
        <x:v>Sharp-nosed sharks</x:v>
      </x:c>
      <x:c r="G372" s="24" t="str">
        <x:v>Large sharks (&gt;=90 cm)</x:v>
      </x:c>
      <x:c r="H372" s="24" t="str">
        <x:v>Sharks &amp; rays</x:v>
      </x:c>
      <x:c r="I372" s="31" t="n">
        <x:v>0.4768702433</x:v>
      </x:c>
      <x:c r="J372" s="31" t="n">
        <x:v>0.4768702433</x:v>
      </x:c>
      <x:c r="K372" s="31" t="n">
        <x:v>0</x:v>
      </x:c>
      <x:c r="L372" s="31" t="n">
        <x:v>0.4768702433</x:v>
      </x:c>
      <x:c r="M372" s="31" t="n">
        <x:v>0</x:v>
      </x:c>
      <x:c r="N372" s="24" t="str">
        <x:v>carcharhinus</x:v>
      </x:c>
      <x:c r="O372" s="32" t="n">
        <x:v>4.26</x:v>
      </x:c>
      <x:c r="P372" s="24" t="str">
        <x:v>exact_sea_around_us</x:v>
      </x:c>
      <x:c r="Q372" s="32" t="str">
        <x:v>Sea Around Us exploited organisms</x:v>
      </x:c>
      <x:c r="R372" s="24" t="str">
        <x:v>high</x:v>
      </x:c>
      <x:c r="S372" s="24" t="str">
        <x:v>Carcharhinus</x:v>
      </x:c>
      <x:c r="T372" s="32" t="n">
        <x:f>IF(O372="","",(1/'Metadata'!$B$5)^(O372-1))</x:f>
        <x:v>1819.7008586099826</x:v>
      </x:c>
      <x:c r="U372" s="31" t="n">
        <x:f>IF(T372="","",I372*T372)</x:f>
        <x:v>867.7611911785613</x:v>
      </x:c>
    </x:row>
    <x:row r="373" ht="18" customHeight="1">
      <x:c r="A373" s="24" t="str">
        <x:v>LME_025</x:v>
      </x:c>
      <x:c r="B373" s="24" t="str">
        <x:v>Iberian Coastal</x:v>
      </x:c>
      <x:c r="C373" s="24" t="str">
        <x:v>LME</x:v>
      </x:c>
      <x:c r="D373" s="30" t="n">
        <x:v>2019</x:v>
      </x:c>
      <x:c r="E373" s="24" t="str">
        <x:v>Hoplostethus mediterraneus</x:v>
      </x:c>
      <x:c r="F373" s="24" t="str">
        <x:v>Mediterranean slimehead</x:v>
      </x:c>
      <x:c r="G373" s="24" t="str">
        <x:v>Medium benthopelagics (30 - 89 cm)</x:v>
      </x:c>
      <x:c r="H373" s="24" t="str">
        <x:v>Other fishes &amp; inverts</x:v>
      </x:c>
      <x:c r="I373" s="31" t="n">
        <x:v>0.47313773509999996</x:v>
      </x:c>
      <x:c r="J373" s="31" t="n">
        <x:v>0.0099486786</x:v>
      </x:c>
      <x:c r="K373" s="31" t="n">
        <x:v>0.4631890565</x:v>
      </x:c>
      <x:c r="L373" s="31" t="n">
        <x:v>0.0099486786</x:v>
      </x:c>
      <x:c r="M373" s="31" t="n">
        <x:v>0.4631890565</x:v>
      </x:c>
      <x:c r="N373" s="24" t="str">
        <x:v>hoplostethus mediterraneus</x:v>
      </x:c>
      <x:c r="O373" s="32" t="n">
        <x:v>3.49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Hoplostethus mediterraneus</x:v>
      </x:c>
      <x:c r="T373" s="32" t="n">
        <x:f>IF(O373="","",(1/'Metadata'!$B$5)^(O373-1))</x:f>
        <x:v>309.0295432513592</x:v>
      </x:c>
      <x:c r="U373" s="31" t="n">
        <x:f>IF(T373="","",I373*T373)</x:f>
        <x:v>146.21353817293556</x:v>
      </x:c>
    </x:row>
    <x:row r="374" ht="18" customHeight="1">
      <x:c r="A374" s="24" t="str">
        <x:v>LME_025</x:v>
      </x:c>
      <x:c r="B374" s="24" t="str">
        <x:v>Iberian Coastal</x:v>
      </x:c>
      <x:c r="C374" s="24" t="str">
        <x:v>LME</x:v>
      </x:c>
      <x:c r="D374" s="30" t="n">
        <x:v>2019</x:v>
      </x:c>
      <x:c r="E374" s="24" t="str">
        <x:v>Pontinus kuhlii</x:v>
      </x:c>
      <x:c r="F374" s="24" t="str">
        <x:v>Offshore rockfish</x:v>
      </x:c>
      <x:c r="G374" s="24" t="str">
        <x:v>Medium bathydemersals (30 - 89 cm)</x:v>
      </x:c>
      <x:c r="H374" s="24" t="str">
        <x:v>Scorpionfishes</x:v>
      </x:c>
      <x:c r="I374" s="31" t="n">
        <x:v>0.4543133072</x:v>
      </x:c>
      <x:c r="J374" s="31" t="n">
        <x:v>0.356760276</x:v>
      </x:c>
      <x:c r="K374" s="31" t="n">
        <x:v>0.0975530312</x:v>
      </x:c>
      <x:c r="L374" s="31" t="n">
        <x:v>0.3356597979</x:v>
      </x:c>
      <x:c r="M374" s="31" t="n">
        <x:v>0.1186535093</x:v>
      </x:c>
      <x:c r="N374" s="24" t="str">
        <x:v>pontinus kuhlii</x:v>
      </x:c>
      <x:c r="O374" s="32" t="n">
        <x:v>4.05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Pontinus kuhlii</x:v>
      </x:c>
      <x:c r="T374" s="32" t="n">
        <x:f>IF(O374="","",(1/'Metadata'!$B$5)^(O374-1))</x:f>
        <x:v>1122.018454301963</x:v>
      </x:c>
      <x:c r="U374" s="31" t="n">
        <x:f>IF(T374="","",I374*T374)</x:f>
        <x:v>509.74791471335686</x:v>
      </x:c>
    </x:row>
    <x:row r="375" ht="18" customHeight="1">
      <x:c r="A375" s="24" t="str">
        <x:v>LME_025</x:v>
      </x:c>
      <x:c r="B375" s="24" t="str">
        <x:v>Iberian Coastal</x:v>
      </x:c>
      <x:c r="C375" s="24" t="str">
        <x:v>LME</x:v>
      </x:c>
      <x:c r="D375" s="30" t="n">
        <x:v>2019</x:v>
      </x:c>
      <x:c r="E375" s="24" t="str">
        <x:v>Peristediidae</x:v>
      </x:c>
      <x:c r="F375" s="24" t="str">
        <x:v>Armored searobins, gurnards</x:v>
      </x:c>
      <x:c r="G375" s="24" t="str">
        <x:v>Medium bathydemersals (30 - 89 cm)</x:v>
      </x:c>
      <x:c r="H375" s="24" t="str">
        <x:v>Scorpionfishes</x:v>
      </x:c>
      <x:c r="I375" s="31" t="n">
        <x:v>0.4447104356</x:v>
      </x:c>
      <x:c r="J375" s="31" t="n">
        <x:v>0</x:v>
      </x:c>
      <x:c r="K375" s="31" t="n">
        <x:v>0.4447104356</x:v>
      </x:c>
      <x:c r="L375" s="31" t="n">
        <x:v>0</x:v>
      </x:c>
      <x:c r="M375" s="31" t="n">
        <x:v>0.4447104356</x:v>
      </x:c>
      <x:c r="N375" s="24" t="str">
        <x:v>peristediidae</x:v>
      </x:c>
      <x:c r="O375" s="32" t="n">
        <x:v>3.47</x:v>
      </x:c>
      <x:c r="P375" s="24" t="str">
        <x:v>exact_sea_around_us</x:v>
      </x:c>
      <x:c r="Q375" s="32" t="str">
        <x:v>Sea Around Us exploited organisms</x:v>
      </x:c>
      <x:c r="R375" s="24" t="str">
        <x:v>high</x:v>
      </x:c>
      <x:c r="S375" s="24" t="str">
        <x:v>Peristediidae</x:v>
      </x:c>
      <x:c r="T375" s="32" t="n">
        <x:f>IF(O375="","",(1/'Metadata'!$B$5)^(O375-1))</x:f>
        <x:v>295.1209226666387</x:v>
      </x:c>
      <x:c r="U375" s="31" t="n">
        <x:f>IF(T375="","",I375*T375)</x:f>
        <x:v>131.2433540737548</x:v>
      </x:c>
    </x:row>
    <x:row r="376" ht="18" customHeight="1">
      <x:c r="A376" s="24" t="str">
        <x:v>LME_025</x:v>
      </x:c>
      <x:c r="B376" s="24" t="str">
        <x:v>Iberian Coastal</x:v>
      </x:c>
      <x:c r="C376" s="24" t="str">
        <x:v>LME</x:v>
      </x:c>
      <x:c r="D376" s="30" t="n">
        <x:v>2019</x:v>
      </x:c>
      <x:c r="E376" s="24" t="str">
        <x:v>Centrolophus niger</x:v>
      </x:c>
      <x:c r="F376" s="24" t="str">
        <x:v>Rudderfish</x:v>
      </x:c>
      <x:c r="G376" s="24" t="str">
        <x:v>Large bathypelagics (&gt;=90 cm)</x:v>
      </x:c>
      <x:c r="H376" s="24" t="str">
        <x:v>Perch-likes</x:v>
      </x:c>
      <x:c r="I376" s="31" t="n">
        <x:v>0.4093515383</x:v>
      </x:c>
      <x:c r="J376" s="31" t="n">
        <x:v>0.32519093109999997</x:v>
      </x:c>
      <x:c r="K376" s="31" t="n">
        <x:v>0.0841606072</x:v>
      </x:c>
      <x:c r="L376" s="31" t="n">
        <x:v>0.2895792375</x:v>
      </x:c>
      <x:c r="M376" s="31" t="n">
        <x:v>0.11977230080000001</x:v>
      </x:c>
      <x:c r="N376" s="24" t="str">
        <x:v>centrolophus niger</x:v>
      </x:c>
      <x:c r="O376" s="32" t="n">
        <x:v>3.92</x:v>
      </x:c>
      <x:c r="P376" s="24" t="str">
        <x:v>exact_2020_supplement</x:v>
      </x:c>
      <x:c r="Q376" s="32" t="str">
        <x:v>2020 supplement MeanTL</x:v>
      </x:c>
      <x:c r="R376" s="24" t="str">
        <x:v>high</x:v>
      </x:c>
      <x:c r="S376" s="24" t="str">
        <x:v>Centrolophus niger</x:v>
      </x:c>
      <x:c r="T376" s="32" t="n">
        <x:f>IF(O376="","",(1/'Metadata'!$B$5)^(O376-1))</x:f>
        <x:v>831.7637711026708</x:v>
      </x:c>
      <x:c r="U376" s="31" t="n">
        <x:f>IF(T376="","",I376*T376)</x:f>
        <x:v>340.48377920308735</x:v>
      </x:c>
    </x:row>
    <x:row r="377" ht="18" customHeight="1">
      <x:c r="A377" s="24" t="str">
        <x:v>LME_025</x:v>
      </x:c>
      <x:c r="B377" s="24" t="str">
        <x:v>Iberian Coastal</x:v>
      </x:c>
      <x:c r="C377" s="24" t="str">
        <x:v>LME</x:v>
      </x:c>
      <x:c r="D377" s="30" t="n">
        <x:v>2019</x:v>
      </x:c>
      <x:c r="E377" s="24" t="str">
        <x:v>Cardiidae</x:v>
      </x:c>
      <x:c r="F377" s="24" t="str">
        <x:v>Cockles</x:v>
      </x:c>
      <x:c r="G377" s="24" t="str">
        <x:v>Other demersal invertebrates</x:v>
      </x:c>
      <x:c r="H377" s="24" t="str">
        <x:v>Molluscs</x:v>
      </x:c>
      <x:c r="I377" s="31" t="n">
        <x:v>0.4092839541</x:v>
      </x:c>
      <x:c r="J377" s="31" t="n">
        <x:v>0</x:v>
      </x:c>
      <x:c r="K377" s="31" t="n">
        <x:v>0.4092839541</x:v>
      </x:c>
      <x:c r="L377" s="31" t="n">
        <x:v>0</x:v>
      </x:c>
      <x:c r="M377" s="31" t="n">
        <x:v>0.4092839541</x:v>
      </x:c>
      <x:c r="N377" s="24" t="str">
        <x:v>cardiidae</x:v>
      </x:c>
      <x:c r="O377" s="32" t="n">
        <x:v>2</x:v>
      </x:c>
      <x:c r="P377" s="24" t="str">
        <x:v>exact_sea_around_us</x:v>
      </x:c>
      <x:c r="Q377" s="32" t="str">
        <x:v>Sea Around Us exploited organisms</x:v>
      </x:c>
      <x:c r="R377" s="24" t="str">
        <x:v>high</x:v>
      </x:c>
      <x:c r="S377" s="24" t="str">
        <x:v>Cardiidae</x:v>
      </x:c>
      <x:c r="T377" s="32" t="n">
        <x:f>IF(O377="","",(1/'Metadata'!$B$5)^(O377-1))</x:f>
        <x:v>10</x:v>
      </x:c>
      <x:c r="U377" s="31" t="n">
        <x:f>IF(T377="","",I377*T377)</x:f>
        <x:v>4.092839541</x:v>
      </x:c>
    </x:row>
    <x:row r="378" ht="18" customHeight="1">
      <x:c r="A378" s="24" t="str">
        <x:v>LME_025</x:v>
      </x:c>
      <x:c r="B378" s="24" t="str">
        <x:v>Iberian Coastal</x:v>
      </x:c>
      <x:c r="C378" s="24" t="str">
        <x:v>LME</x:v>
      </x:c>
      <x:c r="D378" s="30" t="n">
        <x:v>2019</x:v>
      </x:c>
      <x:c r="E378" s="24" t="str">
        <x:v>Salmo trutta</x:v>
      </x:c>
      <x:c r="F378" s="24" t="str">
        <x:v>Sea trout</x:v>
      </x:c>
      <x:c r="G378" s="24" t="str">
        <x:v>Large pelagics (&gt;=90 cm)</x:v>
      </x:c>
      <x:c r="H378" s="24" t="str">
        <x:v>Salmon, smelts, etc</x:v>
      </x:c>
      <x:c r="I378" s="31" t="n">
        <x:v>0.3534103618</x:v>
      </x:c>
      <x:c r="J378" s="31" t="n">
        <x:v>0.3534103618</x:v>
      </x:c>
      <x:c r="K378" s="31" t="n">
        <x:v>0</x:v>
      </x:c>
      <x:c r="L378" s="31" t="n">
        <x:v>0.3512948155</x:v>
      </x:c>
      <x:c r="M378" s="31" t="n">
        <x:v>0.0021155463</x:v>
      </x:c>
      <x:c r="N378" s="24" t="str">
        <x:v>salmo trutta</x:v>
      </x:c>
      <x:c r="O378" s="32" t="n">
        <x:v>3.36</x:v>
      </x:c>
      <x:c r="P378" s="24" t="str">
        <x:v>exact_2020_supplement</x:v>
      </x:c>
      <x:c r="Q378" s="32" t="str">
        <x:v>2020 supplement MeanTL</x:v>
      </x:c>
      <x:c r="R378" s="24" t="str">
        <x:v>high</x:v>
      </x:c>
      <x:c r="S378" s="24" t="str">
        <x:v>Salmo trutta</x:v>
      </x:c>
      <x:c r="T378" s="32" t="n">
        <x:f>IF(O378="","",(1/'Metadata'!$B$5)^(O378-1))</x:f>
        <x:v>229.08676527677724</x:v>
      </x:c>
      <x:c r="U378" s="31" t="n">
        <x:f>IF(T378="","",I378*T378)</x:f>
        <x:v>80.96163660005753</x:v>
      </x:c>
    </x:row>
    <x:row r="379" ht="18" customHeight="1">
      <x:c r="A379" s="24" t="str">
        <x:v>LME_025</x:v>
      </x:c>
      <x:c r="B379" s="24" t="str">
        <x:v>Iberian Coastal</x:v>
      </x:c>
      <x:c r="C379" s="24" t="str">
        <x:v>LME</x:v>
      </x:c>
      <x:c r="D379" s="30" t="n">
        <x:v>2019</x:v>
      </x:c>
      <x:c r="E379" s="24" t="str">
        <x:v>Solen vagina</x:v>
      </x:c>
      <x:c r="F379" s="24" t="str">
        <x:v>European razor clam</x:v>
      </x:c>
      <x:c r="G379" s="24" t="str">
        <x:v>Other demersal invertebrates</x:v>
      </x:c>
      <x:c r="H379" s="24" t="str">
        <x:v>Molluscs</x:v>
      </x:c>
      <x:c r="I379" s="31" t="n">
        <x:v>0.3208792997</x:v>
      </x:c>
      <x:c r="J379" s="31" t="n">
        <x:v>0.3208792997</x:v>
      </x:c>
      <x:c r="K379" s="31" t="n">
        <x:v>0</x:v>
      </x:c>
      <x:c r="L379" s="31" t="n">
        <x:v>0.2395858828</x:v>
      </x:c>
      <x:c r="M379" s="31" t="n">
        <x:v>0.0812934169</x:v>
      </x:c>
      <x:c r="N379" s="24" t="str">
        <x:v>solen vagina</x:v>
      </x:c>
      <x:c r="O379" s="32" t="n">
        <x:v>2</x:v>
      </x:c>
      <x:c r="P379" s="24" t="str">
        <x:v>exact_sea_around_us</x:v>
      </x:c>
      <x:c r="Q379" s="32" t="str">
        <x:v>Sea Around Us exploited organisms</x:v>
      </x:c>
      <x:c r="R379" s="24" t="str">
        <x:v>high</x:v>
      </x:c>
      <x:c r="S379" s="24" t="str">
        <x:v>Solen vagina</x:v>
      </x:c>
      <x:c r="T379" s="32" t="n">
        <x:f>IF(O379="","",(1/'Metadata'!$B$5)^(O379-1))</x:f>
        <x:v>10</x:v>
      </x:c>
      <x:c r="U379" s="31" t="n">
        <x:f>IF(T379="","",I379*T379)</x:f>
        <x:v>3.208792997</x:v>
      </x:c>
    </x:row>
    <x:row r="380" ht="18" customHeight="1">
      <x:c r="A380" s="24" t="str">
        <x:v>LME_025</x:v>
      </x:c>
      <x:c r="B380" s="24" t="str">
        <x:v>Iberian Coastal</x:v>
      </x:c>
      <x:c r="C380" s="24" t="str">
        <x:v>LME</x:v>
      </x:c>
      <x:c r="D380" s="30" t="n">
        <x:v>2019</x:v>
      </x:c>
      <x:c r="E380" s="24" t="str">
        <x:v>Limanda limanda</x:v>
      </x:c>
      <x:c r="F380" s="24" t="str">
        <x:v>Common dab</x:v>
      </x:c>
      <x:c r="G380" s="24" t="str">
        <x:v>Small to medium flatfishes (&lt;90 cm)</x:v>
      </x:c>
      <x:c r="H380" s="24" t="str">
        <x:v>Flatfishes</x:v>
      </x:c>
      <x:c r="I380" s="31" t="n">
        <x:v>0.2976198993</x:v>
      </x:c>
      <x:c r="J380" s="31" t="n">
        <x:v>0.2976198993</x:v>
      </x:c>
      <x:c r="K380" s="31" t="n">
        <x:v>0</x:v>
      </x:c>
      <x:c r="L380" s="31" t="n">
        <x:v>0.1189645348</x:v>
      </x:c>
      <x:c r="M380" s="31" t="n">
        <x:v>0.1786553645</x:v>
      </x:c>
      <x:c r="N380" s="24" t="str">
        <x:v>limanda limanda</x:v>
      </x:c>
      <x:c r="O380" s="32" t="n">
        <x:v>3.29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Limanda limanda</x:v>
      </x:c>
      <x:c r="T380" s="32" t="n">
        <x:f>IF(O380="","",(1/'Metadata'!$B$5)^(O380-1))</x:f>
        <x:v>194.98445997580455</x:v>
      </x:c>
      <x:c r="U380" s="31" t="n">
        <x:f>IF(T380="","",I380*T380)</x:f>
        <x:v>58.03125534306383</x:v>
      </x:c>
    </x:row>
    <x:row r="381" ht="18" customHeight="1">
      <x:c r="A381" s="24" t="str">
        <x:v>LME_025</x:v>
      </x:c>
      <x:c r="B381" s="24" t="str">
        <x:v>Iberian Coastal</x:v>
      </x:c>
      <x:c r="C381" s="24" t="str">
        <x:v>LME</x:v>
      </x:c>
      <x:c r="D381" s="30" t="n">
        <x:v>2019</x:v>
      </x:c>
      <x:c r="E381" s="24" t="str">
        <x:v>Chimaeriformes</x:v>
      </x:c>
      <x:c r="F381" s="24" t="str">
        <x:v>Chimaeras</x:v>
      </x:c>
      <x:c r="G381" s="24" t="str">
        <x:v>Large rays (&gt;=90 cm)</x:v>
      </x:c>
      <x:c r="H381" s="24" t="str">
        <x:v>Sharks &amp; rays</x:v>
      </x:c>
      <x:c r="I381" s="31" t="n">
        <x:v>0.2489621347</x:v>
      </x:c>
      <x:c r="J381" s="31" t="n">
        <x:v>0.2489621347</x:v>
      </x:c>
      <x:c r="K381" s="31" t="n">
        <x:v>0</x:v>
      </x:c>
      <x:c r="L381" s="31" t="n">
        <x:v>0.2489621347</x:v>
      </x:c>
      <x:c r="M381" s="31" t="n">
        <x:v>0</x:v>
      </x:c>
      <x:c r="N381" s="24" t="str">
        <x:v>chimaeriformes</x:v>
      </x:c>
      <x:c r="O381" s="32" t="n">
        <x:v>3.37</x:v>
      </x:c>
      <x:c r="P381" s="24" t="str">
        <x:v>exact_sea_around_us</x:v>
      </x:c>
      <x:c r="Q381" s="32" t="str">
        <x:v>Sea Around Us exploited organisms</x:v>
      </x:c>
      <x:c r="R381" s="24" t="str">
        <x:v>high</x:v>
      </x:c>
      <x:c r="S381" s="24" t="str">
        <x:v>Chimaeriformes</x:v>
      </x:c>
      <x:c r="T381" s="32" t="n">
        <x:f>IF(O381="","",(1/'Metadata'!$B$5)^(O381-1))</x:f>
        <x:v>234.42288153199226</x:v>
      </x:c>
      <x:c r="U381" s="31" t="n">
        <x:f>IF(T381="","",I381*T381)</x:f>
        <x:v>58.36242100873</x:v>
      </x:c>
    </x:row>
    <x:row r="382" ht="18" customHeight="1">
      <x:c r="A382" s="24" t="str">
        <x:v>LME_025</x:v>
      </x:c>
      <x:c r="B382" s="24" t="str">
        <x:v>Iberian Coastal</x:v>
      </x:c>
      <x:c r="C382" s="24" t="str">
        <x:v>LME</x:v>
      </x:c>
      <x:c r="D382" s="30" t="n">
        <x:v>2019</x:v>
      </x:c>
      <x:c r="E382" s="24" t="str">
        <x:v>Serranus hepatus</x:v>
      </x:c>
      <x:c r="F382" s="24" t="str">
        <x:v>Brown comber</x:v>
      </x:c>
      <x:c r="G382" s="24" t="str">
        <x:v>Small demersals (&lt;30 cm)</x:v>
      </x:c>
      <x:c r="H382" s="24" t="str">
        <x:v>Perch-likes</x:v>
      </x:c>
      <x:c r="I382" s="31" t="n">
        <x:v>0.2461311911</x:v>
      </x:c>
      <x:c r="J382" s="31" t="n">
        <x:v>0</x:v>
      </x:c>
      <x:c r="K382" s="31" t="n">
        <x:v>0.2461311911</x:v>
      </x:c>
      <x:c r="L382" s="31" t="n">
        <x:v>0</x:v>
      </x:c>
      <x:c r="M382" s="31" t="n">
        <x:v>0.2461311911</x:v>
      </x:c>
      <x:c r="N382" s="24" t="str">
        <x:v>serranus hepatus</x:v>
      </x:c>
      <x:c r="O382" s="32" t="n">
        <x:v>3.47</x:v>
      </x:c>
      <x:c r="P382" s="24" t="str">
        <x:v>exact_2020_supplement</x:v>
      </x:c>
      <x:c r="Q382" s="32" t="str">
        <x:v>2020 supplement MeanTL</x:v>
      </x:c>
      <x:c r="R382" s="24" t="str">
        <x:v>high</x:v>
      </x:c>
      <x:c r="S382" s="24" t="str">
        <x:v>Serranus hepatus</x:v>
      </x:c>
      <x:c r="T382" s="32" t="n">
        <x:f>IF(O382="","",(1/'Metadata'!$B$5)^(O382-1))</x:f>
        <x:v>295.1209226666387</x:v>
      </x:c>
      <x:c r="U382" s="31" t="n">
        <x:f>IF(T382="","",I382*T382)</x:f>
        <x:v>72.63846421447077</x:v>
      </x:c>
    </x:row>
    <x:row r="383" ht="18" customHeight="1">
      <x:c r="A383" s="24" t="str">
        <x:v>LME_025</x:v>
      </x:c>
      <x:c r="B383" s="24" t="str">
        <x:v>Iberian Coastal</x:v>
      </x:c>
      <x:c r="C383" s="24" t="str">
        <x:v>LME</x:v>
      </x:c>
      <x:c r="D383" s="30" t="n">
        <x:v>2019</x:v>
      </x:c>
      <x:c r="E383" s="24" t="str">
        <x:v>Lamnidae</x:v>
      </x:c>
      <x:c r="F383" s="24" t="str">
        <x:v>Mackerel/white sharks</x:v>
      </x:c>
      <x:c r="G383" s="24" t="str">
        <x:v>Large sharks (&gt;=90 cm)</x:v>
      </x:c>
      <x:c r="H383" s="24" t="str">
        <x:v>Sharks &amp; rays</x:v>
      </x:c>
      <x:c r="I383" s="31" t="n">
        <x:v>0.237173541</x:v>
      </x:c>
      <x:c r="J383" s="31" t="n">
        <x:v>0.237173541</x:v>
      </x:c>
      <x:c r="K383" s="31" t="n">
        <x:v>0</x:v>
      </x:c>
      <x:c r="L383" s="31" t="n">
        <x:v>0.237173541</x:v>
      </x:c>
      <x:c r="M383" s="31" t="n">
        <x:v>0</x:v>
      </x:c>
      <x:c r="N383" s="24" t="str">
        <x:v>lamnidae</x:v>
      </x:c>
      <x:c r="O383" s="32" t="n">
        <x:v>4.5</x:v>
      </x:c>
      <x:c r="P383" s="24" t="str">
        <x:v>exact_sea_around_us</x:v>
      </x:c>
      <x:c r="Q383" s="32" t="str">
        <x:v>Sea Around Us exploited organisms</x:v>
      </x:c>
      <x:c r="R383" s="24" t="str">
        <x:v>high</x:v>
      </x:c>
      <x:c r="S383" s="24" t="str">
        <x:v>Lamnidae</x:v>
      </x:c>
      <x:c r="T383" s="32" t="n">
        <x:f>IF(O383="","",(1/'Metadata'!$B$5)^(O383-1))</x:f>
        <x:v>3162.2776601683795</x:v>
      </x:c>
      <x:c r="U383" s="31" t="n">
        <x:f>IF(T383="","",I383*T383)</x:f>
        <x:v>750.0085902873292</x:v>
      </x:c>
    </x:row>
    <x:row r="384" ht="18" customHeight="1">
      <x:c r="A384" s="24" t="str">
        <x:v>LME_025</x:v>
      </x:c>
      <x:c r="B384" s="24" t="str">
        <x:v>Iberian Coastal</x:v>
      </x:c>
      <x:c r="C384" s="24" t="str">
        <x:v>LME</x:v>
      </x:c>
      <x:c r="D384" s="30" t="n">
        <x:v>2019</x:v>
      </x:c>
      <x:c r="E384" s="24" t="str">
        <x:v>Scymnodon ringens</x:v>
      </x:c>
      <x:c r="F384" s="24" t="str">
        <x:v>Knifetooth dogfish</x:v>
      </x:c>
      <x:c r="G384" s="24" t="str">
        <x:v>Small to medium sharks (&lt;90 cm)</x:v>
      </x:c>
      <x:c r="H384" s="24" t="str">
        <x:v>Sharks &amp; rays</x:v>
      </x:c>
      <x:c r="I384" s="31" t="n">
        <x:v>0.2321027455</x:v>
      </x:c>
      <x:c r="J384" s="31" t="n">
        <x:v>0</x:v>
      </x:c>
      <x:c r="K384" s="31" t="n">
        <x:v>0.2321027455</x:v>
      </x:c>
      <x:c r="L384" s="31" t="n">
        <x:v>0</x:v>
      </x:c>
      <x:c r="M384" s="31" t="n">
        <x:v>0.2321027455</x:v>
      </x:c>
      <x:c r="N384" s="24" t="str">
        <x:v>scymnodon ringens</x:v>
      </x:c>
      <x:c r="O384" s="32" t="n">
        <x:v>3.88</x:v>
      </x:c>
      <x:c r="P384" s="24" t="str">
        <x:v>exact_2020_supplement</x:v>
      </x:c>
      <x:c r="Q384" s="32" t="str">
        <x:v>2020 supplement MeanTL</x:v>
      </x:c>
      <x:c r="R384" s="24" t="str">
        <x:v>high</x:v>
      </x:c>
      <x:c r="S384" s="24" t="str">
        <x:v>Scymnodon ringens</x:v>
      </x:c>
      <x:c r="T384" s="32" t="n">
        <x:f>IF(O384="","",(1/'Metadata'!$B$5)^(O384-1))</x:f>
        <x:v>758.5775750291835</x:v>
      </x:c>
      <x:c r="U384" s="31" t="n">
        <x:f>IF(T384="","",I384*T384)</x:f>
        <x:v>176.06793783900576</x:v>
      </x:c>
    </x:row>
    <x:row r="385" ht="18" customHeight="1">
      <x:c r="A385" s="24" t="str">
        <x:v>LME_025</x:v>
      </x:c>
      <x:c r="B385" s="24" t="str">
        <x:v>Iberian Coastal</x:v>
      </x:c>
      <x:c r="C385" s="24" t="str">
        <x:v>LME</x:v>
      </x:c>
      <x:c r="D385" s="30" t="n">
        <x:v>2019</x:v>
      </x:c>
      <x:c r="E385" s="24" t="str">
        <x:v>Scyllarus arctus</x:v>
      </x:c>
      <x:c r="F385" s="24" t="str">
        <x:v>Small European locust lobster</x:v>
      </x:c>
      <x:c r="G385" s="24" t="str">
        <x:v>Lobsters, crabs</x:v>
      </x:c>
      <x:c r="H385" s="24" t="str">
        <x:v>Crustaceans</x:v>
      </x:c>
      <x:c r="I385" s="31" t="n">
        <x:v>0.1868206942</x:v>
      </x:c>
      <x:c r="J385" s="31" t="n">
        <x:v>0.1868206942</x:v>
      </x:c>
      <x:c r="K385" s="31" t="n">
        <x:v>0</x:v>
      </x:c>
      <x:c r="L385" s="31" t="n">
        <x:v>0</x:v>
      </x:c>
      <x:c r="M385" s="31" t="n">
        <x:v>0.1868206942</x:v>
      </x:c>
      <x:c r="N385" s="24" t="str">
        <x:v>scyllarus arctus</x:v>
      </x:c>
      <x:c r="O385" s="32" t="n">
        <x:v>2.87</x:v>
      </x:c>
      <x:c r="P385" s="24" t="str">
        <x:v>exact_sea_around_us</x:v>
      </x:c>
      <x:c r="Q385" s="32" t="str">
        <x:v>Sea Around Us exploited organisms</x:v>
      </x:c>
      <x:c r="R385" s="24" t="str">
        <x:v>high</x:v>
      </x:c>
      <x:c r="S385" s="24" t="str">
        <x:v>Scyllarus arctus</x:v>
      </x:c>
      <x:c r="T385" s="32" t="n">
        <x:f>IF(O385="","",(1/'Metadata'!$B$5)^(O385-1))</x:f>
        <x:v>74.13102413009177</x:v>
      </x:c>
      <x:c r="U385" s="31" t="n">
        <x:f>IF(T385="","",I385*T385)</x:f>
        <x:v>13.849209389740697</x:v>
      </x:c>
    </x:row>
    <x:row r="386" ht="18" customHeight="1">
      <x:c r="A386" s="24" t="str">
        <x:v>LME_025</x:v>
      </x:c>
      <x:c r="B386" s="24" t="str">
        <x:v>Iberian Coastal</x:v>
      </x:c>
      <x:c r="C386" s="24" t="str">
        <x:v>LME</x:v>
      </x:c>
      <x:c r="D386" s="30" t="n">
        <x:v>2019</x:v>
      </x:c>
      <x:c r="E386" s="24" t="str">
        <x:v>Spisula</x:v>
      </x:c>
      <x:c r="F386" s="24" t="str">
        <x:v>Surf clams</x:v>
      </x:c>
      <x:c r="G386" s="24" t="str">
        <x:v>Other demersal invertebrates</x:v>
      </x:c>
      <x:c r="H386" s="24" t="str">
        <x:v>Molluscs</x:v>
      </x:c>
      <x:c r="I386" s="31" t="n">
        <x:v>0.1859235981</x:v>
      </x:c>
      <x:c r="J386" s="31" t="n">
        <x:v>0.1859235981</x:v>
      </x:c>
      <x:c r="K386" s="31" t="n">
        <x:v>0</x:v>
      </x:c>
      <x:c r="L386" s="31" t="n">
        <x:v>0.012028022800000001</x:v>
      </x:c>
      <x:c r="M386" s="31" t="n">
        <x:v>0.1738955753</x:v>
      </x:c>
      <x:c r="N386" s="24" t="str">
        <x:v>spisula</x:v>
      </x:c>
      <x:c r="O386" s="32" t="n">
        <x:v>2</x:v>
      </x:c>
      <x:c r="P386" s="24" t="str">
        <x:v>exact_sea_around_us</x:v>
      </x:c>
      <x:c r="Q386" s="32" t="str">
        <x:v>Sea Around Us exploited organisms</x:v>
      </x:c>
      <x:c r="R386" s="24" t="str">
        <x:v>high</x:v>
      </x:c>
      <x:c r="S386" s="24" t="str">
        <x:v>Spisula</x:v>
      </x:c>
      <x:c r="T386" s="32" t="n">
        <x:f>IF(O386="","",(1/'Metadata'!$B$5)^(O386-1))</x:f>
        <x:v>10</x:v>
      </x:c>
      <x:c r="U386" s="31" t="n">
        <x:f>IF(T386="","",I386*T386)</x:f>
        <x:v>1.859235981</x:v>
      </x:c>
    </x:row>
    <x:row r="387" ht="18" customHeight="1">
      <x:c r="A387" s="24" t="str">
        <x:v>LME_025</x:v>
      </x:c>
      <x:c r="B387" s="24" t="str">
        <x:v>Iberian Coastal</x:v>
      </x:c>
      <x:c r="C387" s="24" t="str">
        <x:v>LME</x:v>
      </x:c>
      <x:c r="D387" s="30" t="n">
        <x:v>2019</x:v>
      </x:c>
      <x:c r="E387" s="24" t="str">
        <x:v>Alepisaurus ferox</x:v>
      </x:c>
      <x:c r="F387" s="24" t="str">
        <x:v>Long snouted lancetfish</x:v>
      </x:c>
      <x:c r="G387" s="24" t="str">
        <x:v>Large bathypelagics (&gt;=90 cm)</x:v>
      </x:c>
      <x:c r="H387" s="24" t="str">
        <x:v>Other fishes &amp; inverts</x:v>
      </x:c>
      <x:c r="I387" s="31" t="n">
        <x:v>0.1826656179</x:v>
      </x:c>
      <x:c r="J387" s="31" t="n">
        <x:v>0</x:v>
      </x:c>
      <x:c r="K387" s="31" t="n">
        <x:v>0.1826656179</x:v>
      </x:c>
      <x:c r="L387" s="31" t="n">
        <x:v>0</x:v>
      </x:c>
      <x:c r="M387" s="31" t="n">
        <x:v>0.1826656179</x:v>
      </x:c>
      <x:c r="N387" s="24" t="str">
        <x:v>alepisaurus ferox</x:v>
      </x:c>
      <x:c r="O387" s="32" t="n">
        <x:v>4.03</x:v>
      </x:c>
      <x:c r="P387" s="24" t="str">
        <x:v>exact_2020_supplement</x:v>
      </x:c>
      <x:c r="Q387" s="32" t="str">
        <x:v>2020 supplement MeanTL</x:v>
      </x:c>
      <x:c r="R387" s="24" t="str">
        <x:v>high</x:v>
      </x:c>
      <x:c r="S387" s="24" t="str">
        <x:v>Alepisaurus ferox</x:v>
      </x:c>
      <x:c r="T387" s="32" t="n">
        <x:f>IF(O387="","",(1/'Metadata'!$B$5)^(O387-1))</x:f>
        <x:v>1071.519305237607</x:v>
      </x:c>
      <x:c r="U387" s="31" t="n">
        <x:f>IF(T387="","",I387*T387)</x:f>
        <x:v>195.7297359830062</x:v>
      </x:c>
    </x:row>
    <x:row r="388" ht="18" customHeight="1">
      <x:c r="A388" s="24" t="str">
        <x:v>LME_025</x:v>
      </x:c>
      <x:c r="B388" s="24" t="str">
        <x:v>Iberian Coastal</x:v>
      </x:c>
      <x:c r="C388" s="24" t="str">
        <x:v>LME</x:v>
      </x:c>
      <x:c r="D388" s="30" t="n">
        <x:v>2019</x:v>
      </x:c>
      <x:c r="E388" s="24" t="str">
        <x:v>Palinurus</x:v>
      </x:c>
      <x:c r="F388" s="24" t="str">
        <x:v>Spiny lobsters</x:v>
      </x:c>
      <x:c r="G388" s="24" t="str">
        <x:v>Lobsters, crabs</x:v>
      </x:c>
      <x:c r="H388" s="24" t="str">
        <x:v>Crustaceans</x:v>
      </x:c>
      <x:c r="I388" s="31" t="n">
        <x:v>0.1815575186</x:v>
      </x:c>
      <x:c r="J388" s="31" t="n">
        <x:v>0.1815575186</x:v>
      </x:c>
      <x:c r="K388" s="31" t="n">
        <x:v>0</x:v>
      </x:c>
      <x:c r="L388" s="31" t="n">
        <x:v>0</x:v>
      </x:c>
      <x:c r="M388" s="31" t="n">
        <x:v>0.1815575186</x:v>
      </x:c>
      <x:c r="N388" s="24" t="str">
        <x:v>palinurus</x:v>
      </x:c>
      <x:c r="O388" s="32" t="n">
        <x:v>2.7</x:v>
      </x:c>
      <x:c r="P388" s="24" t="str">
        <x:v>exact_sea_around_us</x:v>
      </x:c>
      <x:c r="Q388" s="32" t="str">
        <x:v>Sea Around Us exploited organisms</x:v>
      </x:c>
      <x:c r="R388" s="24" t="str">
        <x:v>high</x:v>
      </x:c>
      <x:c r="S388" s="24" t="str">
        <x:v>Palinurus</x:v>
      </x:c>
      <x:c r="T388" s="32" t="n">
        <x:f>IF(O388="","",(1/'Metadata'!$B$5)^(O388-1))</x:f>
        <x:v>50.11872336272725</x:v>
      </x:c>
      <x:c r="U388" s="31" t="n">
        <x:f>IF(T388="","",I388*T388)</x:f>
        <x:v>9.099431049136607</x:v>
      </x:c>
    </x:row>
    <x:row r="389" ht="18" customHeight="1">
      <x:c r="A389" s="24" t="str">
        <x:v>LME_025</x:v>
      </x:c>
      <x:c r="B389" s="24" t="str">
        <x:v>Iberian Coastal</x:v>
      </x:c>
      <x:c r="C389" s="24" t="str">
        <x:v>LME</x:v>
      </x:c>
      <x:c r="D389" s="30" t="n">
        <x:v>2019</x:v>
      </x:c>
      <x:c r="E389" s="24" t="str">
        <x:v>Centrophorus granulosus</x:v>
      </x:c>
      <x:c r="F389" s="24" t="str">
        <x:v>Gulper shark</x:v>
      </x:c>
      <x:c r="G389" s="24" t="str">
        <x:v>Large sharks (&gt;=90 cm)</x:v>
      </x:c>
      <x:c r="H389" s="24" t="str">
        <x:v>Sharks &amp; rays</x:v>
      </x:c>
      <x:c r="I389" s="31" t="n">
        <x:v>0.1796446779</x:v>
      </x:c>
      <x:c r="J389" s="31" t="n">
        <x:v>0</x:v>
      </x:c>
      <x:c r="K389" s="31" t="n">
        <x:v>0.1796446779</x:v>
      </x:c>
      <x:c r="L389" s="31" t="n">
        <x:v>0</x:v>
      </x:c>
      <x:c r="M389" s="31" t="n">
        <x:v>0.1796446779</x:v>
      </x:c>
      <x:c r="N389" s="24" t="str">
        <x:v>centrophorus granulosus</x:v>
      </x:c>
      <x:c r="O389" s="32" t="n">
        <x:v>4.11</x:v>
      </x:c>
      <x:c r="P389" s="24" t="str">
        <x:v>exact_2020_supplement</x:v>
      </x:c>
      <x:c r="Q389" s="32" t="str">
        <x:v>2020 supplement MeanTL</x:v>
      </x:c>
      <x:c r="R389" s="24" t="str">
        <x:v>high</x:v>
      </x:c>
      <x:c r="S389" s="24" t="str">
        <x:v>Centrophorus granulosus</x:v>
      </x:c>
      <x:c r="T389" s="32" t="n">
        <x:f>IF(O389="","",(1/'Metadata'!$B$5)^(O389-1))</x:f>
        <x:v>1288.249551693135</x:v>
      </x:c>
      <x:c r="U389" s="31" t="n">
        <x:f>IF(T389="","",I389*T389)</x:f>
        <x:v>231.4271757687326</x:v>
      </x:c>
    </x:row>
    <x:row r="390" ht="18" customHeight="1">
      <x:c r="A390" s="24" t="str">
        <x:v>LME_025</x:v>
      </x:c>
      <x:c r="B390" s="24" t="str">
        <x:v>Iberian Coastal</x:v>
      </x:c>
      <x:c r="C390" s="24" t="str">
        <x:v>LME</x:v>
      </x:c>
      <x:c r="D390" s="30" t="n">
        <x:v>2019</x:v>
      </x:c>
      <x:c r="E390" s="24" t="str">
        <x:v>Centroscymnus coelolepis</x:v>
      </x:c>
      <x:c r="F390" s="24" t="str">
        <x:v>Portuguese dogfish</x:v>
      </x:c>
      <x:c r="G390" s="24" t="str">
        <x:v>Large sharks (&gt;=90 cm)</x:v>
      </x:c>
      <x:c r="H390" s="24" t="str">
        <x:v>Sharks &amp; rays</x:v>
      </x:c>
      <x:c r="I390" s="31" t="n">
        <x:v>0.1794135942</x:v>
      </x:c>
      <x:c r="J390" s="31" t="n">
        <x:v>0</x:v>
      </x:c>
      <x:c r="K390" s="31" t="n">
        <x:v>0.1794135942</x:v>
      </x:c>
      <x:c r="L390" s="31" t="n">
        <x:v>0</x:v>
      </x:c>
      <x:c r="M390" s="31" t="n">
        <x:v>0.1794135942</x:v>
      </x:c>
      <x:c r="N390" s="24" t="str">
        <x:v>centroscymnus coelolepis</x:v>
      </x:c>
      <x:c r="O390" s="32" t="n">
        <x:v>4.48</x:v>
      </x:c>
      <x:c r="P390" s="24" t="str">
        <x:v>exact_2020_supplement</x:v>
      </x:c>
      <x:c r="Q390" s="32" t="str">
        <x:v>2020 supplement MeanTL</x:v>
      </x:c>
      <x:c r="R390" s="24" t="str">
        <x:v>high</x:v>
      </x:c>
      <x:c r="S390" s="24" t="str">
        <x:v>Centroscymnus coelolepis</x:v>
      </x:c>
      <x:c r="T390" s="32" t="n">
        <x:f>IF(O390="","",(1/'Metadata'!$B$5)^(O390-1))</x:f>
        <x:v>3019.951720402019</x:v>
      </x:c>
      <x:c r="U390" s="31" t="n">
        <x:f>IF(T390="","",I390*T390)</x:f>
        <x:v>541.8203924677997</x:v>
      </x:c>
    </x:row>
    <x:row r="391" ht="18" customHeight="1">
      <x:c r="A391" s="24" t="str">
        <x:v>LME_025</x:v>
      </x:c>
      <x:c r="B391" s="24" t="str">
        <x:v>Iberian Coastal</x:v>
      </x:c>
      <x:c r="C391" s="24" t="str">
        <x:v>LME</x:v>
      </x:c>
      <x:c r="D391" s="30" t="n">
        <x:v>2019</x:v>
      </x:c>
      <x:c r="E391" s="24" t="str">
        <x:v>Epigonus telescopus</x:v>
      </x:c>
      <x:c r="F391" s="24" t="str">
        <x:v>Black cardinal fish</x:v>
      </x:c>
      <x:c r="G391" s="24" t="str">
        <x:v>Medium bathydemersals (30 - 89 cm)</x:v>
      </x:c>
      <x:c r="H391" s="24" t="str">
        <x:v>Perch-likes</x:v>
      </x:c>
      <x:c r="I391" s="31" t="n">
        <x:v>0.1586978275</x:v>
      </x:c>
      <x:c r="J391" s="31" t="n">
        <x:v>0.0389528425</x:v>
      </x:c>
      <x:c r="K391" s="31" t="n">
        <x:v>0.119744985</x:v>
      </x:c>
      <x:c r="L391" s="31" t="n">
        <x:v>0.0389528425</x:v>
      </x:c>
      <x:c r="M391" s="31" t="n">
        <x:v>0.119744985</x:v>
      </x:c>
      <x:c r="N391" s="24" t="str">
        <x:v>epigonus telescopus</x:v>
      </x:c>
      <x:c r="O391" s="32" t="n">
        <x:v>3.59</x:v>
      </x:c>
      <x:c r="P391" s="24" t="str">
        <x:v>exact_2020_supplement</x:v>
      </x:c>
      <x:c r="Q391" s="32" t="str">
        <x:v>2020 supplement MeanTL</x:v>
      </x:c>
      <x:c r="R391" s="24" t="str">
        <x:v>high</x:v>
      </x:c>
      <x:c r="S391" s="24" t="str">
        <x:v>Epigonus telescopus</x:v>
      </x:c>
      <x:c r="T391" s="32" t="n">
        <x:f>IF(O391="","",(1/'Metadata'!$B$5)^(O391-1))</x:f>
        <x:v>389.04514499428046</x:v>
      </x:c>
      <x:c r="U391" s="31" t="n">
        <x:f>IF(T391="","",I391*T391)</x:f>
        <x:v>61.74061931001481</x:v>
      </x:c>
    </x:row>
    <x:row r="392" ht="18" customHeight="1">
      <x:c r="A392" s="24" t="str">
        <x:v>LME_025</x:v>
      </x:c>
      <x:c r="B392" s="24" t="str">
        <x:v>Iberian Coastal</x:v>
      </x:c>
      <x:c r="C392" s="24" t="str">
        <x:v>LME</x:v>
      </x:c>
      <x:c r="D392" s="30" t="n">
        <x:v>2019</x:v>
      </x:c>
      <x:c r="E392" s="24" t="str">
        <x:v>Holothuriidae</x:v>
      </x:c>
      <x:c r="F392" s="24" t="str">
        <x:v>Fleshy sea cucumbers</x:v>
      </x:c>
      <x:c r="G392" s="24" t="str">
        <x:v>Other demersal invertebrates</x:v>
      </x:c>
      <x:c r="H392" s="24" t="str">
        <x:v>Other fishes &amp; inverts</x:v>
      </x:c>
      <x:c r="I392" s="31" t="n">
        <x:v>0.15682345109999998</x:v>
      </x:c>
      <x:c r="J392" s="31" t="n">
        <x:v>0.15682345109999998</x:v>
      </x:c>
      <x:c r="K392" s="31" t="n">
        <x:v>0</x:v>
      </x:c>
      <x:c r="L392" s="31" t="n">
        <x:v>0.15682345109999998</x:v>
      </x:c>
      <x:c r="M392" s="31" t="n">
        <x:v>0</x:v>
      </x:c>
      <x:c r="N392" s="24" t="str">
        <x:v>holothuriidae</x:v>
      </x:c>
      <x:c r="O392" s="32" t="n">
        <x:v>2</x:v>
      </x:c>
      <x:c r="P392" s="24" t="str">
        <x:v>exact_sea_around_us</x:v>
      </x:c>
      <x:c r="Q392" s="32" t="str">
        <x:v>Sea Around Us exploited organisms</x:v>
      </x:c>
      <x:c r="R392" s="24" t="str">
        <x:v>high</x:v>
      </x:c>
      <x:c r="S392" s="24" t="str">
        <x:v>Holothuriidae</x:v>
      </x:c>
      <x:c r="T392" s="32" t="n">
        <x:f>IF(O392="","",(1/'Metadata'!$B$5)^(O392-1))</x:f>
        <x:v>10</x:v>
      </x:c>
      <x:c r="U392" s="31" t="n">
        <x:f>IF(T392="","",I392*T392)</x:f>
        <x:v>1.5682345109999998</x:v>
      </x:c>
    </x:row>
    <x:row r="393" ht="18" customHeight="1">
      <x:c r="A393" s="24" t="str">
        <x:v>LME_025</x:v>
      </x:c>
      <x:c r="B393" s="24" t="str">
        <x:v>Iberian Coastal</x:v>
      </x:c>
      <x:c r="C393" s="24" t="str">
        <x:v>LME</x:v>
      </x:c>
      <x:c r="D393" s="30" t="n">
        <x:v>2019</x:v>
      </x:c>
      <x:c r="E393" s="24" t="str">
        <x:v>Sepia orbignyana</x:v>
      </x:c>
      <x:c r="F393" s="24" t="str">
        <x:v>Pink cuttlefish</x:v>
      </x:c>
      <x:c r="G393" s="24" t="str">
        <x:v>Cephalopods</x:v>
      </x:c>
      <x:c r="H393" s="24" t="str">
        <x:v>Other fishes &amp; inverts</x:v>
      </x:c>
      <x:c r="I393" s="31" t="n">
        <x:v>0.1558161023</x:v>
      </x:c>
      <x:c r="J393" s="31" t="n">
        <x:v>0.1558161023</x:v>
      </x:c>
      <x:c r="K393" s="31" t="n">
        <x:v>0</x:v>
      </x:c>
      <x:c r="L393" s="31" t="n">
        <x:v>0.0024943053</x:v>
      </x:c>
      <x:c r="M393" s="31" t="n">
        <x:v>0.153321797</x:v>
      </x:c>
      <x:c r="N393" s="24" t="str">
        <x:v>sepia orbignyana</x:v>
      </x:c>
      <x:c r="O393" s="32" t="n">
        <x:v>4.16</x:v>
      </x:c>
      <x:c r="P393" s="24" t="str">
        <x:v>exact_sea_around_us</x:v>
      </x:c>
      <x:c r="Q393" s="32" t="str">
        <x:v>Sea Around Us exploited organisms</x:v>
      </x:c>
      <x:c r="R393" s="24" t="str">
        <x:v>high</x:v>
      </x:c>
      <x:c r="S393" s="24" t="str">
        <x:v>Sepia orbignyana</x:v>
      </x:c>
      <x:c r="T393" s="32" t="n">
        <x:f>IF(O393="","",(1/'Metadata'!$B$5)^(O393-1))</x:f>
        <x:v>1445.439770745928</x:v>
      </x:c>
      <x:c r="U393" s="31" t="n">
        <x:f>IF(T393="","",I393*T393)</x:f>
        <x:v>225.22279118703608</x:v>
      </x:c>
    </x:row>
    <x:row r="394" ht="18" customHeight="1">
      <x:c r="A394" s="24" t="str">
        <x:v>LME_025</x:v>
      </x:c>
      <x:c r="B394" s="24" t="str">
        <x:v>Iberian Coastal</x:v>
      </x:c>
      <x:c r="C394" s="24" t="str">
        <x:v>LME</x:v>
      </x:c>
      <x:c r="D394" s="30" t="n">
        <x:v>2019</x:v>
      </x:c>
      <x:c r="E394" s="24" t="str">
        <x:v>Palinurus mauritanicus</x:v>
      </x:c>
      <x:c r="F394" s="24" t="str">
        <x:v>Pink spiny lobster</x:v>
      </x:c>
      <x:c r="G394" s="24" t="str">
        <x:v>Lobsters, crabs</x:v>
      </x:c>
      <x:c r="H394" s="24" t="str">
        <x:v>Crustaceans</x:v>
      </x:c>
      <x:c r="I394" s="31" t="n">
        <x:v>0.14130052199999998</x:v>
      </x:c>
      <x:c r="J394" s="31" t="n">
        <x:v>0.14130052199999998</x:v>
      </x:c>
      <x:c r="K394" s="31" t="n">
        <x:v>0</x:v>
      </x:c>
      <x:c r="L394" s="31" t="n">
        <x:v>0.14130052199999998</x:v>
      </x:c>
      <x:c r="M394" s="31" t="n">
        <x:v>0</x:v>
      </x:c>
      <x:c r="N394" s="24" t="str">
        <x:v>palinurus mauritanicus</x:v>
      </x:c>
      <x:c r="O394" s="32" t="n">
        <x:v>3.54</x:v>
      </x:c>
      <x:c r="P394" s="24" t="str">
        <x:v>exact_2020_supplement</x:v>
      </x:c>
      <x:c r="Q394" s="32" t="str">
        <x:v>2020 supplement MeanTL</x:v>
      </x:c>
      <x:c r="R394" s="24" t="str">
        <x:v>high</x:v>
      </x:c>
      <x:c r="S394" s="24" t="str">
        <x:v>Palinurus mauritanicus</x:v>
      </x:c>
      <x:c r="T394" s="32" t="n">
        <x:f>IF(O394="","",(1/'Metadata'!$B$5)^(O394-1))</x:f>
        <x:v>346.73685045253166</x:v>
      </x:c>
      <x:c r="U394" s="31" t="n">
        <x:f>IF(T394="","",I394*T394)</x:f>
        <x:v>48.99409796557865</x:v>
      </x:c>
    </x:row>
    <x:row r="395" ht="18" customHeight="1">
      <x:c r="A395" s="24" t="str">
        <x:v>LME_025</x:v>
      </x:c>
      <x:c r="B395" s="24" t="str">
        <x:v>Iberian Coastal</x:v>
      </x:c>
      <x:c r="C395" s="24" t="str">
        <x:v>LME</x:v>
      </x:c>
      <x:c r="D395" s="30" t="n">
        <x:v>2019</x:v>
      </x:c>
      <x:c r="E395" s="24" t="str">
        <x:v>Gobiidae</x:v>
      </x:c>
      <x:c r="F395" s="24" t="str">
        <x:v>Gobies</x:v>
      </x:c>
      <x:c r="G395" s="24" t="str">
        <x:v>Small reef assoc. fish (&lt;30 cm)</x:v>
      </x:c>
      <x:c r="H395" s="24" t="str">
        <x:v>Perch-likes</x:v>
      </x:c>
      <x:c r="I395" s="31" t="n">
        <x:v>0.1391441961</x:v>
      </x:c>
      <x:c r="J395" s="31" t="n">
        <x:v>0.1391441961</x:v>
      </x:c>
      <x:c r="K395" s="31" t="n">
        <x:v>0</x:v>
      </x:c>
      <x:c r="L395" s="31" t="n">
        <x:v>0.1142371182</x:v>
      </x:c>
      <x:c r="M395" s="31" t="n">
        <x:v>0.024907077899999998</x:v>
      </x:c>
      <x:c r="N395" s="24" t="str">
        <x:v>gobiidae</x:v>
      </x:c>
      <x:c r="O395" s="32" t="n">
        <x:v>3.11</x:v>
      </x:c>
      <x:c r="P395" s="24" t="str">
        <x:v>exact_sea_around_us</x:v>
      </x:c>
      <x:c r="Q395" s="32" t="str">
        <x:v>Sea Around Us exploited organisms</x:v>
      </x:c>
      <x:c r="R395" s="24" t="str">
        <x:v>high</x:v>
      </x:c>
      <x:c r="S395" s="24" t="str">
        <x:v>Gobiidae</x:v>
      </x:c>
      <x:c r="T395" s="32" t="n">
        <x:f>IF(O395="","",(1/'Metadata'!$B$5)^(O395-1))</x:f>
        <x:v>128.82495516931337</x:v>
      </x:c>
      <x:c r="U395" s="31" t="n">
        <x:f>IF(T395="","",I395*T395)</x:f>
        <x:v>17.925244824652648</x:v>
      </x:c>
    </x:row>
    <x:row r="396" ht="18" customHeight="1">
      <x:c r="A396" s="24" t="str">
        <x:v>LME_025</x:v>
      </x:c>
      <x:c r="B396" s="24" t="str">
        <x:v>Iberian Coastal</x:v>
      </x:c>
      <x:c r="C396" s="24" t="str">
        <x:v>LME</x:v>
      </x:c>
      <x:c r="D396" s="30" t="n">
        <x:v>2019</x:v>
      </x:c>
      <x:c r="E396" s="24" t="str">
        <x:v>Mactridae</x:v>
      </x:c>
      <x:c r="F396" s="24" t="str">
        <x:v>Mactra surf clams</x:v>
      </x:c>
      <x:c r="G396" s="24" t="str">
        <x:v>Other demersal invertebrates</x:v>
      </x:c>
      <x:c r="H396" s="24" t="str">
        <x:v>Molluscs</x:v>
      </x:c>
      <x:c r="I396" s="31" t="n">
        <x:v>0.1298736804</x:v>
      </x:c>
      <x:c r="J396" s="31" t="n">
        <x:v>0</x:v>
      </x:c>
      <x:c r="K396" s="31" t="n">
        <x:v>0.1298736804</x:v>
      </x:c>
      <x:c r="L396" s="31" t="n">
        <x:v>0</x:v>
      </x:c>
      <x:c r="M396" s="31" t="n">
        <x:v>0.1298736804</x:v>
      </x:c>
      <x:c r="N396" s="24" t="str">
        <x:v>mactridae</x:v>
      </x:c>
      <x:c r="O396" s="32" t="n">
        <x:v>2</x:v>
      </x:c>
      <x:c r="P396" s="24" t="str">
        <x:v>exact_sea_around_us</x:v>
      </x:c>
      <x:c r="Q396" s="32" t="str">
        <x:v>Sea Around Us exploited organisms</x:v>
      </x:c>
      <x:c r="R396" s="24" t="str">
        <x:v>high</x:v>
      </x:c>
      <x:c r="S396" s="24" t="str">
        <x:v>Mactridae</x:v>
      </x:c>
      <x:c r="T396" s="32" t="n">
        <x:f>IF(O396="","",(1/'Metadata'!$B$5)^(O396-1))</x:f>
        <x:v>10</x:v>
      </x:c>
      <x:c r="U396" s="31" t="n">
        <x:f>IF(T396="","",I396*T396)</x:f>
        <x:v>1.298736804</x:v>
      </x:c>
    </x:row>
    <x:row r="397" ht="18" customHeight="1">
      <x:c r="A397" s="24" t="str">
        <x:v>LME_025</x:v>
      </x:c>
      <x:c r="B397" s="24" t="str">
        <x:v>Iberian Coastal</x:v>
      </x:c>
      <x:c r="C397" s="24" t="str">
        <x:v>LME</x:v>
      </x:c>
      <x:c r="D397" s="30" t="n">
        <x:v>2019</x:v>
      </x:c>
      <x:c r="E397" s="24" t="str">
        <x:v>Donax trunculus</x:v>
      </x:c>
      <x:c r="F397" s="24" t="str">
        <x:v>Truncate donax</x:v>
      </x:c>
      <x:c r="G397" s="24" t="str">
        <x:v>Other demersal invertebrates</x:v>
      </x:c>
      <x:c r="H397" s="24" t="str">
        <x:v>Molluscs</x:v>
      </x:c>
      <x:c r="I397" s="31" t="n">
        <x:v>0.12247198499999999</x:v>
      </x:c>
      <x:c r="J397" s="31" t="n">
        <x:v>0.12247198499999999</x:v>
      </x:c>
      <x:c r="K397" s="31" t="n">
        <x:v>0</x:v>
      </x:c>
      <x:c r="L397" s="31" t="n">
        <x:v>0</x:v>
      </x:c>
      <x:c r="M397" s="31" t="n">
        <x:v>0.12247198499999999</x:v>
      </x:c>
      <x:c r="N397" s="24" t="str">
        <x:v>donax trunculus</x:v>
      </x:c>
      <x:c r="O397" s="32" t="n">
        <x:v>2</x:v>
      </x:c>
      <x:c r="P397" s="24" t="str">
        <x:v>exact_sea_around_us</x:v>
      </x:c>
      <x:c r="Q397" s="32" t="str">
        <x:v>Sea Around Us exploited organisms</x:v>
      </x:c>
      <x:c r="R397" s="24" t="str">
        <x:v>high</x:v>
      </x:c>
      <x:c r="S397" s="24" t="str">
        <x:v>Donax trunculus</x:v>
      </x:c>
      <x:c r="T397" s="32" t="n">
        <x:f>IF(O397="","",(1/'Metadata'!$B$5)^(O397-1))</x:f>
        <x:v>10</x:v>
      </x:c>
      <x:c r="U397" s="31" t="n">
        <x:f>IF(T397="","",I397*T397)</x:f>
        <x:v>1.2247198499999998</x:v>
      </x:c>
    </x:row>
    <x:row r="398" ht="18" customHeight="1">
      <x:c r="A398" s="24" t="str">
        <x:v>LME_025</x:v>
      </x:c>
      <x:c r="B398" s="24" t="str">
        <x:v>Iberian Coastal</x:v>
      </x:c>
      <x:c r="C398" s="24" t="str">
        <x:v>LME</x:v>
      </x:c>
      <x:c r="D398" s="30" t="n">
        <x:v>2019</x:v>
      </x:c>
      <x:c r="E398" s="24" t="str">
        <x:v>Palaemonidae</x:v>
      </x:c>
      <x:c r="F398" s="24" t="str">
        <x:v>Clawed shrimps</x:v>
      </x:c>
      <x:c r="G398" s="24" t="str">
        <x:v>Shrimps</x:v>
      </x:c>
      <x:c r="H398" s="24" t="str">
        <x:v>Crustaceans</x:v>
      </x:c>
      <x:c r="I398" s="31" t="n">
        <x:v>0.1222670095</x:v>
      </x:c>
      <x:c r="J398" s="31" t="n">
        <x:v>0.1201308662</x:v>
      </x:c>
      <x:c r="K398" s="31" t="n">
        <x:v>0.0021361433</x:v>
      </x:c>
      <x:c r="L398" s="31" t="n">
        <x:v>0.0073500271</x:v>
      </x:c>
      <x:c r="M398" s="31" t="n">
        <x:v>0.1149169824</x:v>
      </x:c>
      <x:c r="N398" s="24" t="str">
        <x:v>palaemonidae</x:v>
      </x:c>
      <x:c r="O398" s="32" t="n">
        <x:v>3.14</x:v>
      </x:c>
      <x:c r="P398" s="24" t="str">
        <x:v>exact_sea_around_us</x:v>
      </x:c>
      <x:c r="Q398" s="32" t="str">
        <x:v>Sea Around Us exploited organisms</x:v>
      </x:c>
      <x:c r="R398" s="24" t="str">
        <x:v>high</x:v>
      </x:c>
      <x:c r="S398" s="24" t="str">
        <x:v>Palaemonidae</x:v>
      </x:c>
      <x:c r="T398" s="32" t="n">
        <x:f>IF(O398="","",(1/'Metadata'!$B$5)^(O398-1))</x:f>
        <x:v>138.03842646028852</x:v>
      </x:c>
      <x:c r="U398" s="31" t="n">
        <x:f>IF(T398="","",I398*T398)</x:f>
        <x:v>16.877545599385147</x:v>
      </x:c>
    </x:row>
    <x:row r="399" ht="18" customHeight="1">
      <x:c r="A399" s="24" t="str">
        <x:v>LME_025</x:v>
      </x:c>
      <x:c r="B399" s="24" t="str">
        <x:v>Iberian Coastal</x:v>
      </x:c>
      <x:c r="C399" s="24" t="str">
        <x:v>LME</x:v>
      </x:c>
      <x:c r="D399" s="30" t="n">
        <x:v>2019</x:v>
      </x:c>
      <x:c r="E399" s="24" t="str">
        <x:v>Arnoglossus laterna</x:v>
      </x:c>
      <x:c r="F399" s="24" t="str">
        <x:v>Mediterranean scaldfish</x:v>
      </x:c>
      <x:c r="G399" s="24" t="str">
        <x:v>Small to medium flatfishes (&lt;90 cm)</x:v>
      </x:c>
      <x:c r="H399" s="24" t="str">
        <x:v>Flatfishes</x:v>
      </x:c>
      <x:c r="I399" s="31" t="n">
        <x:v>0.1182620421</x:v>
      </x:c>
      <x:c r="J399" s="31" t="n">
        <x:v>0.0422121235</x:v>
      </x:c>
      <x:c r="K399" s="31" t="n">
        <x:v>0.0760499186</x:v>
      </x:c>
      <x:c r="L399" s="31" t="n">
        <x:v>0</x:v>
      </x:c>
      <x:c r="M399" s="31" t="n">
        <x:v>0.1182620421</x:v>
      </x:c>
      <x:c r="N399" s="24" t="str">
        <x:v>arnoglossus laterna</x:v>
      </x:c>
      <x:c r="O399" s="32" t="n">
        <x:v>3.59</x:v>
      </x:c>
      <x:c r="P399" s="24" t="str">
        <x:v>exact_2020_supplement</x:v>
      </x:c>
      <x:c r="Q399" s="32" t="str">
        <x:v>2020 supplement MeanTL</x:v>
      </x:c>
      <x:c r="R399" s="24" t="str">
        <x:v>high</x:v>
      </x:c>
      <x:c r="S399" s="24" t="str">
        <x:v>Arnoglossus laterna</x:v>
      </x:c>
      <x:c r="T399" s="32" t="n">
        <x:f>IF(O399="","",(1/'Metadata'!$B$5)^(O399-1))</x:f>
        <x:v>389.04514499428046</x:v>
      </x:c>
      <x:c r="U399" s="31" t="n">
        <x:f>IF(T399="","",I399*T399)</x:f>
        <x:v>46.009273316114204</x:v>
      </x:c>
    </x:row>
    <x:row r="400" ht="18" customHeight="1">
      <x:c r="A400" s="24" t="str">
        <x:v>LME_025</x:v>
      </x:c>
      <x:c r="B400" s="24" t="str">
        <x:v>Iberian Coastal</x:v>
      </x:c>
      <x:c r="C400" s="24" t="str">
        <x:v>LME</x:v>
      </x:c>
      <x:c r="D400" s="30" t="n">
        <x:v>2019</x:v>
      </x:c>
      <x:c r="E400" s="24" t="str">
        <x:v>Kajikia albida</x:v>
      </x:c>
      <x:c r="F400" s="24" t="str">
        <x:v>Atlantic white marlin</x:v>
      </x:c>
      <x:c r="G400" s="24" t="str">
        <x:v>Large pelagics (&gt;=90 cm)</x:v>
      </x:c>
      <x:c r="H400" s="24" t="str">
        <x:v>Tuna &amp; billfishes</x:v>
      </x:c>
      <x:c r="I400" s="31" t="n">
        <x:v>0.1045050216</x:v>
      </x:c>
      <x:c r="J400" s="31" t="n">
        <x:v>0.1045050216</x:v>
      </x:c>
      <x:c r="K400" s="31" t="n">
        <x:v>0</x:v>
      </x:c>
      <x:c r="L400" s="31" t="n">
        <x:v>0.1045050216</x:v>
      </x:c>
      <x:c r="M400" s="31" t="n">
        <x:v>0</x:v>
      </x:c>
      <x:c r="N400" s="24" t="str">
        <x:v>kajikia albida</x:v>
      </x:c>
      <x:c r="O400" s="32" t="n">
        <x:v>4.49</x:v>
      </x:c>
      <x:c r="P400" s="24" t="str">
        <x:v>exact_2020_supplement</x:v>
      </x:c>
      <x:c r="Q400" s="32" t="str">
        <x:v>2020 supplement MeanTL</x:v>
      </x:c>
      <x:c r="R400" s="24" t="str">
        <x:v>high</x:v>
      </x:c>
      <x:c r="S400" s="24" t="str">
        <x:v>Kajikia albida</x:v>
      </x:c>
      <x:c r="T400" s="32" t="n">
        <x:f>IF(O400="","",(1/'Metadata'!$B$5)^(O400-1))</x:f>
        <x:v>3090.295432513592</x:v>
      </x:c>
      <x:c r="U400" s="31" t="n">
        <x:f>IF(T400="","",I400*T400)</x:f>
        <x:v>322.95139092521424</x:v>
      </x:c>
    </x:row>
    <x:row r="401" ht="18" customHeight="1">
      <x:c r="A401" s="24" t="str">
        <x:v>LME_025</x:v>
      </x:c>
      <x:c r="B401" s="24" t="str">
        <x:v>Iberian Coastal</x:v>
      </x:c>
      <x:c r="C401" s="24" t="str">
        <x:v>LME</x:v>
      </x:c>
      <x:c r="D401" s="30" t="n">
        <x:v>2019</x:v>
      </x:c>
      <x:c r="E401" s="24" t="str">
        <x:v>Centrolophidae</x:v>
      </x:c>
      <x:c r="F401" s="24" t="str">
        <x:v>Medusafishes</x:v>
      </x:c>
      <x:c r="G401" s="24" t="str">
        <x:v>Medium benthopelagics (30 - 89 cm)</x:v>
      </x:c>
      <x:c r="H401" s="24" t="str">
        <x:v>Perch-likes</x:v>
      </x:c>
      <x:c r="I401" s="31" t="n">
        <x:v>0.07553345</x:v>
      </x:c>
      <x:c r="J401" s="31" t="n">
        <x:v>0</x:v>
      </x:c>
      <x:c r="K401" s="31" t="n">
        <x:v>0.07553345</x:v>
      </x:c>
      <x:c r="L401" s="31" t="n">
        <x:v>0</x:v>
      </x:c>
      <x:c r="M401" s="31" t="n">
        <x:v>0.07553345</x:v>
      </x:c>
      <x:c r="N401" s="24" t="str">
        <x:v>centrolophidae</x:v>
      </x:c>
      <x:c r="O401" s="32" t="n">
        <x:v>3.65</x:v>
      </x:c>
      <x:c r="P401" s="24" t="str">
        <x:v>exact_sea_around_us</x:v>
      </x:c>
      <x:c r="Q401" s="32" t="str">
        <x:v>Sea Around Us exploited organisms</x:v>
      </x:c>
      <x:c r="R401" s="24" t="str">
        <x:v>high</x:v>
      </x:c>
      <x:c r="S401" s="24" t="str">
        <x:v>Centrolophidae</x:v>
      </x:c>
      <x:c r="T401" s="32" t="n">
        <x:f>IF(O401="","",(1/'Metadata'!$B$5)^(O401-1))</x:f>
        <x:v>446.683592150963</x:v>
      </x:c>
      <x:c r="U401" s="31" t="n">
        <x:f>IF(T401="","",I401*T401)</x:f>
        <x:v>33.73955277355516</x:v>
      </x:c>
    </x:row>
    <x:row r="402" ht="18" customHeight="1">
      <x:c r="A402" s="24" t="str">
        <x:v>LME_025</x:v>
      </x:c>
      <x:c r="B402" s="24" t="str">
        <x:v>Iberian Coastal</x:v>
      </x:c>
      <x:c r="C402" s="24" t="str">
        <x:v>LME</x:v>
      </x:c>
      <x:c r="D402" s="30" t="n">
        <x:v>2019</x:v>
      </x:c>
      <x:c r="E402" s="24" t="str">
        <x:v>Ruditapes philippinarum</x:v>
      </x:c>
      <x:c r="F402" s="24" t="str">
        <x:v>Japanese carpet shell</x:v>
      </x:c>
      <x:c r="G402" s="24" t="str">
        <x:v>Other demersal invertebrates</x:v>
      </x:c>
      <x:c r="H402" s="24" t="str">
        <x:v>Molluscs</x:v>
      </x:c>
      <x:c r="I402" s="31" t="n">
        <x:v>0.0727176079</x:v>
      </x:c>
      <x:c r="J402" s="31" t="n">
        <x:v>0.0727176079</x:v>
      </x:c>
      <x:c r="K402" s="31" t="n">
        <x:v>0</x:v>
      </x:c>
      <x:c r="L402" s="31" t="n">
        <x:v>0.0045772015</x:v>
      </x:c>
      <x:c r="M402" s="31" t="n">
        <x:v>0.06814040639999999</x:v>
      </x:c>
      <x:c r="N402" s="24" t="str">
        <x:v>ruditapes philippinarum</x:v>
      </x:c>
      <x:c r="O402" s="32" t="n">
        <x:v>2</x:v>
      </x:c>
      <x:c r="P402" s="24" t="str">
        <x:v>exact_sea_around_us</x:v>
      </x:c>
      <x:c r="Q402" s="32" t="str">
        <x:v>Sea Around Us exploited organisms</x:v>
      </x:c>
      <x:c r="R402" s="24" t="str">
        <x:v>high</x:v>
      </x:c>
      <x:c r="S402" s="24" t="str">
        <x:v>Ruditapes philippinarum</x:v>
      </x:c>
      <x:c r="T402" s="32" t="n">
        <x:f>IF(O402="","",(1/'Metadata'!$B$5)^(O402-1))</x:f>
        <x:v>10</x:v>
      </x:c>
      <x:c r="U402" s="31" t="n">
        <x:f>IF(T402="","",I402*T402)</x:f>
        <x:v>0.7271760789999999</x:v>
      </x:c>
    </x:row>
    <x:row r="403" ht="18" customHeight="1">
      <x:c r="A403" s="24" t="str">
        <x:v>LME_025</x:v>
      </x:c>
      <x:c r="B403" s="24" t="str">
        <x:v>Iberian Coastal</x:v>
      </x:c>
      <x:c r="C403" s="24" t="str">
        <x:v>LME</x:v>
      </x:c>
      <x:c r="D403" s="30" t="n">
        <x:v>2019</x:v>
      </x:c>
      <x:c r="E403" s="24" t="str">
        <x:v>Bothidae</x:v>
      </x:c>
      <x:c r="F403" s="24" t="str">
        <x:v>Lefteye flounders</x:v>
      </x:c>
      <x:c r="G403" s="24" t="str">
        <x:v>Small to medium flatfishes (&lt;90 cm)</x:v>
      </x:c>
      <x:c r="H403" s="24" t="str">
        <x:v>Flatfishes</x:v>
      </x:c>
      <x:c r="I403" s="31" t="n">
        <x:v>0.06796027589999999</x:v>
      </x:c>
      <x:c r="J403" s="31" t="n">
        <x:v>0.007787167</x:v>
      </x:c>
      <x:c r="K403" s="31" t="n">
        <x:v>0.060173108899999994</x:v>
      </x:c>
      <x:c r="L403" s="31" t="n">
        <x:v>0.007787167</x:v>
      </x:c>
      <x:c r="M403" s="31" t="n">
        <x:v>0.060173108899999994</x:v>
      </x:c>
      <x:c r="N403" s="24" t="str">
        <x:v>bothidae</x:v>
      </x:c>
      <x:c r="O403" s="32" t="n">
        <x:v>3.77</x:v>
      </x:c>
      <x:c r="P403" s="24" t="str">
        <x:v>exact_sea_around_us</x:v>
      </x:c>
      <x:c r="Q403" s="32" t="str">
        <x:v>Sea Around Us exploited organisms</x:v>
      </x:c>
      <x:c r="R403" s="24" t="str">
        <x:v>high</x:v>
      </x:c>
      <x:c r="S403" s="24" t="str">
        <x:v>Bothidae</x:v>
      </x:c>
      <x:c r="T403" s="32" t="n">
        <x:f>IF(O403="","",(1/'Metadata'!$B$5)^(O403-1))</x:f>
        <x:v>588.843655355589</x:v>
      </x:c>
      <x:c r="U403" s="31" t="n">
        <x:f>IF(T403="","",I403*T403)</x:f>
        <x:v>40.017977279930335</x:v>
      </x:c>
    </x:row>
    <x:row r="404" ht="18" customHeight="1">
      <x:c r="A404" s="24" t="str">
        <x:v>LME_025</x:v>
      </x:c>
      <x:c r="B404" s="24" t="str">
        <x:v>Iberian Coastal</x:v>
      </x:c>
      <x:c r="C404" s="24" t="str">
        <x:v>LME</x:v>
      </x:c>
      <x:c r="D404" s="30" t="n">
        <x:v>2019</x:v>
      </x:c>
      <x:c r="E404" s="24" t="str">
        <x:v>Ammodytes tobianus</x:v>
      </x:c>
      <x:c r="F404" s="24" t="str">
        <x:v>Small sandeel</x:v>
      </x:c>
      <x:c r="G404" s="24" t="str">
        <x:v>Small demersals (&lt;30 cm)</x:v>
      </x:c>
      <x:c r="H404" s="24" t="str">
        <x:v>Perch-likes</x:v>
      </x:c>
      <x:c r="I404" s="31" t="n">
        <x:v>0.0619183486</x:v>
      </x:c>
      <x:c r="J404" s="31" t="n">
        <x:v>0</x:v>
      </x:c>
      <x:c r="K404" s="31" t="n">
        <x:v>0.0619183486</x:v>
      </x:c>
      <x:c r="L404" s="31" t="n">
        <x:v>0</x:v>
      </x:c>
      <x:c r="M404" s="31" t="n">
        <x:v>0.0619183486</x:v>
      </x:c>
      <x:c r="N404" s="24" t="str">
        <x:v>ammodytes tobianus</x:v>
      </x:c>
      <x:c r="O404" s="32" t="n">
        <x:v>3.08</x:v>
      </x:c>
      <x:c r="P404" s="24" t="str">
        <x:v>exact_2020_supplement</x:v>
      </x:c>
      <x:c r="Q404" s="32" t="str">
        <x:v>2020 supplement MeanTL</x:v>
      </x:c>
      <x:c r="R404" s="24" t="str">
        <x:v>high</x:v>
      </x:c>
      <x:c r="S404" s="24" t="str">
        <x:v>Ammodytes tobianus</x:v>
      </x:c>
      <x:c r="T404" s="32" t="n">
        <x:f>IF(O404="","",(1/'Metadata'!$B$5)^(O404-1))</x:f>
        <x:v>120.22644346174131</x:v>
      </x:c>
      <x:c r="U404" s="31" t="n">
        <x:f>IF(T404="","",I404*T404)</x:f>
        <x:v>7.44422283720229</x:v>
      </x:c>
    </x:row>
    <x:row r="405" ht="18" customHeight="1">
      <x:c r="A405" s="24" t="str">
        <x:v>LME_025</x:v>
      </x:c>
      <x:c r="B405" s="24" t="str">
        <x:v>Iberian Coastal</x:v>
      </x:c>
      <x:c r="C405" s="24" t="str">
        <x:v>LME</x:v>
      </x:c>
      <x:c r="D405" s="30" t="n">
        <x:v>2019</x:v>
      </x:c>
      <x:c r="E405" s="24" t="str">
        <x:v>Lampris guttatus</x:v>
      </x:c>
      <x:c r="F405" s="24" t="str">
        <x:v>Opah</x:v>
      </x:c>
      <x:c r="G405" s="24" t="str">
        <x:v>Large bathypelagics (&gt;=90 cm)</x:v>
      </x:c>
      <x:c r="H405" s="24" t="str">
        <x:v>Other fishes &amp; inverts</x:v>
      </x:c>
      <x:c r="I405" s="31" t="n">
        <x:v>0.0595226536</x:v>
      </x:c>
      <x:c r="J405" s="31" t="n">
        <x:v>0.0595226536</x:v>
      </x:c>
      <x:c r="K405" s="31" t="n">
        <x:v>0</x:v>
      </x:c>
      <x:c r="L405" s="31" t="n">
        <x:v>0.0595226536</x:v>
      </x:c>
      <x:c r="M405" s="31" t="n">
        <x:v>0</x:v>
      </x:c>
      <x:c r="N405" s="24" t="str">
        <x:v>lampris guttatus</x:v>
      </x:c>
      <x:c r="O405" s="32" t="n">
        <x:v>4.22</x:v>
      </x:c>
      <x:c r="P405" s="24" t="str">
        <x:v>exact_2020_supplement</x:v>
      </x:c>
      <x:c r="Q405" s="32" t="str">
        <x:v>2020 supplement MeanTL</x:v>
      </x:c>
      <x:c r="R405" s="24" t="str">
        <x:v>high</x:v>
      </x:c>
      <x:c r="S405" s="24" t="str">
        <x:v>Lampris guttatus</x:v>
      </x:c>
      <x:c r="T405" s="32" t="n">
        <x:f>IF(O405="","",(1/'Metadata'!$B$5)^(O405-1))</x:f>
        <x:v>1659.5869074375596</x:v>
      </x:c>
      <x:c r="U405" s="31" t="n">
        <x:f>IF(T405="","",I405*T405)</x:f>
        <x:v>98.78301661050112</x:v>
      </x:c>
    </x:row>
    <x:row r="406" ht="18" customHeight="1">
      <x:c r="A406" s="24" t="str">
        <x:v>LME_025</x:v>
      </x:c>
      <x:c r="B406" s="24" t="str">
        <x:v>Iberian Coastal</x:v>
      </x:c>
      <x:c r="C406" s="24" t="str">
        <x:v>LME</x:v>
      </x:c>
      <x:c r="D406" s="30" t="n">
        <x:v>2019</x:v>
      </x:c>
      <x:c r="E406" s="24" t="str">
        <x:v>Centrophorus lusitanicus</x:v>
      </x:c>
      <x:c r="F406" s="24" t="str">
        <x:v>Lowfin gulper shark</x:v>
      </x:c>
      <x:c r="G406" s="24" t="str">
        <x:v>Large sharks (&gt;=90 cm)</x:v>
      </x:c>
      <x:c r="H406" s="24" t="str">
        <x:v>Sharks &amp; rays</x:v>
      </x:c>
      <x:c r="I406" s="31" t="n">
        <x:v>0.0594485286</x:v>
      </x:c>
      <x:c r="J406" s="31" t="n">
        <x:v>0</x:v>
      </x:c>
      <x:c r="K406" s="31" t="n">
        <x:v>0.0594485286</x:v>
      </x:c>
      <x:c r="L406" s="31" t="n">
        <x:v>0</x:v>
      </x:c>
      <x:c r="M406" s="31" t="n">
        <x:v>0.0594485286</x:v>
      </x:c>
      <x:c r="N406" s="24" t="str">
        <x:v>centrophorus lusitanicus</x:v>
      </x:c>
      <x:c r="O406" s="32" t="n">
        <x:v>4.43</x:v>
      </x:c>
      <x:c r="P406" s="24" t="str">
        <x:v>exact_2020_supplement</x:v>
      </x:c>
      <x:c r="Q406" s="32" t="str">
        <x:v>2020 supplement MeanTL</x:v>
      </x:c>
      <x:c r="R406" s="24" t="str">
        <x:v>high</x:v>
      </x:c>
      <x:c r="S406" s="24" t="str">
        <x:v>Centrophorus lusitanicus</x:v>
      </x:c>
      <x:c r="T406" s="32" t="n">
        <x:f>IF(O406="","",(1/'Metadata'!$B$5)^(O406-1))</x:f>
        <x:v>2691.534803926914</x:v>
      </x:c>
      <x:c r="U406" s="31" t="n">
        <x:f>IF(T406="","",I406*T406)</x:f>
        <x:v>160.00778376914454</x:v>
      </x:c>
    </x:row>
    <x:row r="407" ht="18" customHeight="1">
      <x:c r="A407" s="24" t="str">
        <x:v>LME_025</x:v>
      </x:c>
      <x:c r="B407" s="24" t="str">
        <x:v>Iberian Coastal</x:v>
      </x:c>
      <x:c r="C407" s="24" t="str">
        <x:v>LME</x:v>
      </x:c>
      <x:c r="D407" s="30" t="n">
        <x:v>2019</x:v>
      </x:c>
      <x:c r="E407" s="24" t="str">
        <x:v>Osmerus eperlanus</x:v>
      </x:c>
      <x:c r="F407" s="24" t="str">
        <x:v>European smelt</x:v>
      </x:c>
      <x:c r="G407" s="24" t="str">
        <x:v>Medium pelagics (30 - 89 cm)</x:v>
      </x:c>
      <x:c r="H407" s="24" t="str">
        <x:v>Salmon, smelts, etc</x:v>
      </x:c>
      <x:c r="I407" s="31" t="n">
        <x:v>0.0593180091</x:v>
      </x:c>
      <x:c r="J407" s="31" t="n">
        <x:v>0.0593180091</x:v>
      </x:c>
      <x:c r="K407" s="31" t="n">
        <x:v>0</x:v>
      </x:c>
      <x:c r="L407" s="31" t="n">
        <x:v>0.0593180091</x:v>
      </x:c>
      <x:c r="M407" s="31" t="n">
        <x:v>0</x:v>
      </x:c>
      <x:c r="N407" s="24" t="str">
        <x:v>osmerus eperlanus</x:v>
      </x:c>
      <x:c r="O407" s="32" t="n">
        <x:v>3.46</x:v>
      </x:c>
      <x:c r="P407" s="24" t="str">
        <x:v>exact_2020_supplement</x:v>
      </x:c>
      <x:c r="Q407" s="32" t="str">
        <x:v>2020 supplement MeanTL</x:v>
      </x:c>
      <x:c r="R407" s="24" t="str">
        <x:v>high</x:v>
      </x:c>
      <x:c r="S407" s="24" t="str">
        <x:v>Osmerus eperlanus</x:v>
      </x:c>
      <x:c r="T407" s="32" t="n">
        <x:f>IF(O407="","",(1/'Metadata'!$B$5)^(O407-1))</x:f>
        <x:v>288.40315031266056</x:v>
      </x:c>
      <x:c r="U407" s="31" t="n">
        <x:f>IF(T407="","",I407*T407)</x:f>
        <x:v>17.107500694715068</x:v>
      </x:c>
    </x:row>
    <x:row r="408" ht="18" customHeight="1">
      <x:c r="A408" s="24" t="str">
        <x:v>LME_025</x:v>
      </x:c>
      <x:c r="B408" s="24" t="str">
        <x:v>Iberian Coastal</x:v>
      </x:c>
      <x:c r="C408" s="24" t="str">
        <x:v>LME</x:v>
      </x:c>
      <x:c r="D408" s="30" t="n">
        <x:v>2019</x:v>
      </x:c>
      <x:c r="E408" s="24" t="str">
        <x:v>Sprattus sprattus</x:v>
      </x:c>
      <x:c r="F408" s="24" t="str">
        <x:v>European sprat</x:v>
      </x:c>
      <x:c r="G408" s="24" t="str">
        <x:v>Small pelagics (&lt;30 cm)</x:v>
      </x:c>
      <x:c r="H408" s="24" t="str">
        <x:v>Herring-likes</x:v>
      </x:c>
      <x:c r="I408" s="31" t="n">
        <x:v>0.0490750038</x:v>
      </x:c>
      <x:c r="J408" s="31" t="n">
        <x:v>0.0490750038</x:v>
      </x:c>
      <x:c r="K408" s="31" t="n">
        <x:v>0</x:v>
      </x:c>
      <x:c r="L408" s="31" t="n">
        <x:v>0.0490750038</x:v>
      </x:c>
      <x:c r="M408" s="31" t="n">
        <x:v>0</x:v>
      </x:c>
      <x:c r="N408" s="24" t="str">
        <x:v>sprattus sprattus</x:v>
      </x:c>
      <x:c r="O408" s="32" t="n">
        <x:v>3.01</x:v>
      </x:c>
      <x:c r="P408" s="24" t="str">
        <x:v>exact_2020_supplement</x:v>
      </x:c>
      <x:c r="Q408" s="32" t="str">
        <x:v>2020 supplement MeanTL</x:v>
      </x:c>
      <x:c r="R408" s="24" t="str">
        <x:v>high</x:v>
      </x:c>
      <x:c r="S408" s="24" t="str">
        <x:v>Sprattus sprattus</x:v>
      </x:c>
      <x:c r="T408" s="32" t="n">
        <x:f>IF(O408="","",(1/'Metadata'!$B$5)^(O408-1))</x:f>
        <x:v>102.32929922807536</x:v>
      </x:c>
      <x:c r="U408" s="31" t="n">
        <x:f>IF(T408="","",I408*T408)</x:f>
        <x:v>5.021810748469136</x:v>
      </x:c>
    </x:row>
    <x:row r="409" ht="18" customHeight="1">
      <x:c r="A409" s="24" t="str">
        <x:v>LME_025</x:v>
      </x:c>
      <x:c r="B409" s="24" t="str">
        <x:v>Iberian Coastal</x:v>
      </x:c>
      <x:c r="C409" s="24" t="str">
        <x:v>LME</x:v>
      </x:c>
      <x:c r="D409" s="30" t="n">
        <x:v>2019</x:v>
      </x:c>
      <x:c r="E409" s="24" t="str">
        <x:v>Carcinus maenas</x:v>
      </x:c>
      <x:c r="F409" s="24" t="str">
        <x:v>Green crab</x:v>
      </x:c>
      <x:c r="G409" s="24" t="str">
        <x:v>Lobsters, crabs</x:v>
      </x:c>
      <x:c r="H409" s="24" t="str">
        <x:v>Crustaceans</x:v>
      </x:c>
      <x:c r="I409" s="31" t="n">
        <x:v>0.0433951769</x:v>
      </x:c>
      <x:c r="J409" s="31" t="n">
        <x:v>0.0259323137</x:v>
      </x:c>
      <x:c r="K409" s="31" t="n">
        <x:v>0.0174628632</x:v>
      </x:c>
      <x:c r="L409" s="31" t="n">
        <x:v>0.0255195223</x:v>
      </x:c>
      <x:c r="M409" s="31" t="n">
        <x:v>0.017875654600000002</x:v>
      </x:c>
      <x:c r="N409" s="24" t="str">
        <x:v>carcinus maenas</x:v>
      </x:c>
      <x:c r="O409" s="32" t="n">
        <x:v>3.5</x:v>
      </x:c>
      <x:c r="P409" s="24" t="str">
        <x:v>exact_2020_supplement</x:v>
      </x:c>
      <x:c r="Q409" s="32" t="str">
        <x:v>2020 supplement MeanTL</x:v>
      </x:c>
      <x:c r="R409" s="24" t="str">
        <x:v>high</x:v>
      </x:c>
      <x:c r="S409" s="24" t="str">
        <x:v>Carcinus maenas</x:v>
      </x:c>
      <x:c r="T409" s="32" t="n">
        <x:f>IF(O409="","",(1/'Metadata'!$B$5)^(O409-1))</x:f>
        <x:v>316.22776601683796</x:v>
      </x:c>
      <x:c r="U409" s="31" t="n">
        <x:f>IF(T409="","",I409*T409)</x:f>
        <x:v>13.722759846992492</x:v>
      </x:c>
    </x:row>
    <x:row r="410" ht="18" customHeight="1">
      <x:c r="A410" s="24" t="str">
        <x:v>LME_025</x:v>
      </x:c>
      <x:c r="B410" s="24" t="str">
        <x:v>Iberian Coastal</x:v>
      </x:c>
      <x:c r="C410" s="24" t="str">
        <x:v>LME</x:v>
      </x:c>
      <x:c r="D410" s="30" t="n">
        <x:v>2019</x:v>
      </x:c>
      <x:c r="E410" s="24" t="str">
        <x:v>Hydrolagus</x:v>
      </x:c>
      <x:c r="F410" s="24" t="str">
        <x:v>Ghostsharks</x:v>
      </x:c>
      <x:c r="G410" s="24" t="str">
        <x:v>Small to medium rays (&lt;90 cm)</x:v>
      </x:c>
      <x:c r="H410" s="24" t="str">
        <x:v>Sharks &amp; rays</x:v>
      </x:c>
      <x:c r="I410" s="31" t="n">
        <x:v>0.0372938379</x:v>
      </x:c>
      <x:c r="J410" s="31" t="n">
        <x:v>0.0372938379</x:v>
      </x:c>
      <x:c r="K410" s="31" t="n">
        <x:v>0</x:v>
      </x:c>
      <x:c r="L410" s="31" t="n">
        <x:v>0.0372938379</x:v>
      </x:c>
      <x:c r="M410" s="31" t="n">
        <x:v>0</x:v>
      </x:c>
      <x:c r="N410" s="24" t="str">
        <x:v>hydrolagus</x:v>
      </x:c>
      <x:c r="O410" s="32" t="n">
        <x:v>3.51</x:v>
      </x:c>
      <x:c r="P410" s="24" t="str">
        <x:v>exact_sea_around_us</x:v>
      </x:c>
      <x:c r="Q410" s="32" t="str">
        <x:v>Sea Around Us exploited organisms</x:v>
      </x:c>
      <x:c r="R410" s="24" t="str">
        <x:v>high</x:v>
      </x:c>
      <x:c r="S410" s="24" t="str">
        <x:v>Hydrolagus</x:v>
      </x:c>
      <x:c r="T410" s="32" t="n">
        <x:f>IF(O410="","",(1/'Metadata'!$B$5)^(O410-1))</x:f>
        <x:v>323.5936569296281</x:v>
      </x:c>
      <x:c r="U410" s="31" t="n">
        <x:f>IF(T410="","",I410*T410)</x:f>
        <x:v>12.068049387001762</x:v>
      </x:c>
    </x:row>
    <x:row r="411" ht="18" customHeight="1">
      <x:c r="A411" s="24" t="str">
        <x:v>LME_025</x:v>
      </x:c>
      <x:c r="B411" s="24" t="str">
        <x:v>Iberian Coastal</x:v>
      </x:c>
      <x:c r="C411" s="24" t="str">
        <x:v>LME</x:v>
      </x:c>
      <x:c r="D411" s="30" t="n">
        <x:v>2019</x:v>
      </x:c>
      <x:c r="E411" s="24" t="str">
        <x:v>Ruditapes</x:v>
      </x:c>
      <x:c r="F411" s="24" t="str">
        <x:v>Carpet shells</x:v>
      </x:c>
      <x:c r="G411" s="24" t="str">
        <x:v>Other demersal invertebrates</x:v>
      </x:c>
      <x:c r="H411" s="24" t="str">
        <x:v>Molluscs</x:v>
      </x:c>
      <x:c r="I411" s="31" t="n">
        <x:v>0.030763389</x:v>
      </x:c>
      <x:c r="J411" s="31" t="n">
        <x:v>0.030763389</x:v>
      </x:c>
      <x:c r="K411" s="31" t="n">
        <x:v>0</x:v>
      </x:c>
      <x:c r="L411" s="31" t="n">
        <x:v>0.0227049809</x:v>
      </x:c>
      <x:c r="M411" s="31" t="n">
        <x:v>0.008058408100000001</x:v>
      </x:c>
      <x:c r="N411" s="24" t="str">
        <x:v>ruditapes</x:v>
      </x:c>
      <x:c r="O411" s="32" t="n">
        <x:v>2</x:v>
      </x:c>
      <x:c r="P411" s="24" t="str">
        <x:v>exact_sea_around_us</x:v>
      </x:c>
      <x:c r="Q411" s="32" t="str">
        <x:v>Sea Around Us exploited organisms</x:v>
      </x:c>
      <x:c r="R411" s="24" t="str">
        <x:v>high</x:v>
      </x:c>
      <x:c r="S411" s="24" t="str">
        <x:v>Ruditapes</x:v>
      </x:c>
      <x:c r="T411" s="32" t="n">
        <x:f>IF(O411="","",(1/'Metadata'!$B$5)^(O411-1))</x:f>
        <x:v>10</x:v>
      </x:c>
      <x:c r="U411" s="31" t="n">
        <x:f>IF(T411="","",I411*T411)</x:f>
        <x:v>0.30763388999999997</x:v>
      </x:c>
    </x:row>
    <x:row r="412" ht="18" customHeight="1">
      <x:c r="A412" s="24" t="str">
        <x:v>LME_025</x:v>
      </x:c>
      <x:c r="B412" s="24" t="str">
        <x:v>Iberian Coastal</x:v>
      </x:c>
      <x:c r="C412" s="24" t="str">
        <x:v>LME</x:v>
      </x:c>
      <x:c r="D412" s="30" t="n">
        <x:v>2019</x:v>
      </x:c>
      <x:c r="E412" s="24" t="str">
        <x:v>Gymnammodytes cicerelus</x:v>
      </x:c>
      <x:c r="F412" s="24" t="str">
        <x:v>Mediterranean sand eel</x:v>
      </x:c>
      <x:c r="G412" s="24" t="str">
        <x:v>Small demersals (&lt;30 cm)</x:v>
      </x:c>
      <x:c r="H412" s="24" t="str">
        <x:v>Perch-likes</x:v>
      </x:c>
      <x:c r="I412" s="31" t="n">
        <x:v>0.0298142677</x:v>
      </x:c>
      <x:c r="J412" s="31" t="n">
        <x:v>0</x:v>
      </x:c>
      <x:c r="K412" s="31" t="n">
        <x:v>0.0298142677</x:v>
      </x:c>
      <x:c r="L412" s="31" t="n">
        <x:v>0</x:v>
      </x:c>
      <x:c r="M412" s="31" t="n">
        <x:v>0.0298142677</x:v>
      </x:c>
      <x:c r="N412" s="24" t="str">
        <x:v>gymnammodytes cicerelus</x:v>
      </x:c>
      <x:c r="O412" s="32" t="n">
        <x:v>3.4</x:v>
      </x:c>
      <x:c r="P412" s="24" t="str">
        <x:v>exact_2020_supplement</x:v>
      </x:c>
      <x:c r="Q412" s="32" t="str">
        <x:v>2020 supplement MeanTL</x:v>
      </x:c>
      <x:c r="R412" s="24" t="str">
        <x:v>high</x:v>
      </x:c>
      <x:c r="S412" s="24" t="str">
        <x:v>Gymnammodytes cicerelus</x:v>
      </x:c>
      <x:c r="T412" s="32" t="n">
        <x:f>IF(O412="","",(1/'Metadata'!$B$5)^(O412-1))</x:f>
        <x:v>251.18864315095797</x:v>
      </x:c>
      <x:c r="U412" s="31" t="n">
        <x:f>IF(T412="","",I412*T412)</x:f>
        <x:v>7.489005450102432</x:v>
      </x:c>
    </x:row>
    <x:row r="413" ht="18" customHeight="1">
      <x:c r="A413" s="24" t="str">
        <x:v>LME_025</x:v>
      </x:c>
      <x:c r="B413" s="24" t="str">
        <x:v>Iberian Coastal</x:v>
      </x:c>
      <x:c r="C413" s="24" t="str">
        <x:v>LME</x:v>
      </x:c>
      <x:c r="D413" s="30" t="n">
        <x:v>2019</x:v>
      </x:c>
      <x:c r="E413" s="24" t="str">
        <x:v>Anguilla</x:v>
      </x:c>
      <x:c r="F413" s="24" t="str">
        <x:v>Eels</x:v>
      </x:c>
      <x:c r="G413" s="24" t="str">
        <x:v>Large demersals (&gt;=90 cm)</x:v>
      </x:c>
      <x:c r="H413" s="24" t="str">
        <x:v>Other fishes &amp; inverts</x:v>
      </x:c>
      <x:c r="I413" s="31" t="n">
        <x:v>0.0237645169</x:v>
      </x:c>
      <x:c r="J413" s="31" t="n">
        <x:v>0.0216282922</x:v>
      </x:c>
      <x:c r="K413" s="31" t="n">
        <x:v>0.0021362247</x:v>
      </x:c>
      <x:c r="L413" s="31" t="n">
        <x:v>0.0185855284</x:v>
      </x:c>
      <x:c r="M413" s="31" t="n">
        <x:v>0.0051789885</x:v>
      </x:c>
      <x:c r="N413" s="24" t="str">
        <x:v>anguilla</x:v>
      </x:c>
      <x:c r="O413" s="32" t="n">
        <x:v>3.63</x:v>
      </x:c>
      <x:c r="P413" s="24" t="str">
        <x:v>exact_sea_around_us</x:v>
      </x:c>
      <x:c r="Q413" s="32" t="str">
        <x:v>Sea Around Us exploited organisms</x:v>
      </x:c>
      <x:c r="R413" s="24" t="str">
        <x:v>high</x:v>
      </x:c>
      <x:c r="S413" s="24" t="str">
        <x:v>Anguilla</x:v>
      </x:c>
      <x:c r="T413" s="32" t="n">
        <x:f>IF(O413="","",(1/'Metadata'!$B$5)^(O413-1))</x:f>
        <x:v>426.57951880159254</x:v>
      </x:c>
      <x:c r="U413" s="31" t="n">
        <x:f>IF(T413="","",I413*T413)</x:f>
        <x:v>10.137456183754313</x:v>
      </x:c>
    </x:row>
    <x:row r="414" ht="18" customHeight="1">
      <x:c r="A414" s="24" t="str">
        <x:v>LME_025</x:v>
      </x:c>
      <x:c r="B414" s="24" t="str">
        <x:v>Iberian Coastal</x:v>
      </x:c>
      <x:c r="C414" s="24" t="str">
        <x:v>LME</x:v>
      </x:c>
      <x:c r="D414" s="30" t="n">
        <x:v>2019</x:v>
      </x:c>
      <x:c r="E414" s="24" t="str">
        <x:v>Rostroraja alba</x:v>
      </x:c>
      <x:c r="F414" s="24" t="str">
        <x:v>White skate</x:v>
      </x:c>
      <x:c r="G414" s="24" t="str">
        <x:v>Large rays (&gt;=90 cm)</x:v>
      </x:c>
      <x:c r="H414" s="24" t="str">
        <x:v>Sharks &amp; rays</x:v>
      </x:c>
      <x:c r="I414" s="31" t="n">
        <x:v>0.0217395871</x:v>
      </x:c>
      <x:c r="J414" s="31" t="n">
        <x:v>0.0217395871</x:v>
      </x:c>
      <x:c r="K414" s="31" t="n">
        <x:v>0</x:v>
      </x:c>
      <x:c r="L414" s="31" t="n">
        <x:v>0.0217395871</x:v>
      </x:c>
      <x:c r="M414" s="31" t="n">
        <x:v>0</x:v>
      </x:c>
      <x:c r="N414" s="24" t="str">
        <x:v>rostroraja alba</x:v>
      </x:c>
      <x:c r="O414" s="32" t="n">
        <x:v>4.41</x:v>
      </x:c>
      <x:c r="P414" s="24" t="str">
        <x:v>exact_2020_supplement</x:v>
      </x:c>
      <x:c r="Q414" s="32" t="str">
        <x:v>2020 supplement MeanTL</x:v>
      </x:c>
      <x:c r="R414" s="24" t="str">
        <x:v>high</x:v>
      </x:c>
      <x:c r="S414" s="24" t="str">
        <x:v>Rostroraja alba</x:v>
      </x:c>
      <x:c r="T414" s="32" t="n">
        <x:f>IF(O414="","",(1/'Metadata'!$B$5)^(O414-1))</x:f>
        <x:v>2570.3957827688646</x:v>
      </x:c>
      <x:c r="U414" s="31" t="n">
        <x:f>IF(T414="","",I414*T414)</x:f>
        <x:v>55.879343000976405</x:v>
      </x:c>
    </x:row>
    <x:row r="415" ht="18" customHeight="1">
      <x:c r="A415" s="24" t="str">
        <x:v>LME_025</x:v>
      </x:c>
      <x:c r="B415" s="24" t="str">
        <x:v>Iberian Coastal</x:v>
      </x:c>
      <x:c r="C415" s="24" t="str">
        <x:v>LME</x:v>
      </x:c>
      <x:c r="D415" s="30" t="n">
        <x:v>2019</x:v>
      </x:c>
      <x:c r="E415" s="24" t="str">
        <x:v>Arnoglossus thori</x:v>
      </x:c>
      <x:c r="F415" s="24" t="str">
        <x:v>Thor's scaldfish</x:v>
      </x:c>
      <x:c r="G415" s="24" t="str">
        <x:v>Small to medium flatfishes (&lt;90 cm)</x:v>
      </x:c>
      <x:c r="H415" s="24" t="str">
        <x:v>Flatfishes</x:v>
      </x:c>
      <x:c r="I415" s="31" t="n">
        <x:v>0.013083494</x:v>
      </x:c>
      <x:c r="J415" s="31" t="n">
        <x:v>0</x:v>
      </x:c>
      <x:c r="K415" s="31" t="n">
        <x:v>0.013083494</x:v>
      </x:c>
      <x:c r="L415" s="31" t="n">
        <x:v>0</x:v>
      </x:c>
      <x:c r="M415" s="31" t="n">
        <x:v>0.013083494</x:v>
      </x:c>
      <x:c r="N415" s="24" t="str">
        <x:v>arnoglossus thori</x:v>
      </x:c>
      <x:c r="O415" s="32" t="n">
        <x:v>3.28</x:v>
      </x:c>
      <x:c r="P415" s="24" t="str">
        <x:v>exact_2020_supplement</x:v>
      </x:c>
      <x:c r="Q415" s="32" t="str">
        <x:v>2020 supplement MeanTL</x:v>
      </x:c>
      <x:c r="R415" s="24" t="str">
        <x:v>high</x:v>
      </x:c>
      <x:c r="S415" s="24" t="str">
        <x:v>Arnoglossus thori</x:v>
      </x:c>
      <x:c r="T415" s="32" t="n">
        <x:f>IF(O415="","",(1/'Metadata'!$B$5)^(O415-1))</x:f>
        <x:v>190.54607179632464</x:v>
      </x:c>
      <x:c r="U415" s="31" t="n">
        <x:f>IF(T415="","",I415*T415)</x:f>
        <x:v>2.4930083870707826</x:v>
      </x:c>
    </x:row>
    <x:row r="416" ht="18" customHeight="1">
      <x:c r="A416" s="24" t="str">
        <x:v>LME_025</x:v>
      </x:c>
      <x:c r="B416" s="24" t="str">
        <x:v>Iberian Coastal</x:v>
      </x:c>
      <x:c r="C416" s="24" t="str">
        <x:v>LME</x:v>
      </x:c>
      <x:c r="D416" s="30" t="n">
        <x:v>2019</x:v>
      </x:c>
      <x:c r="E416" s="24" t="str">
        <x:v>Spisula ovalis</x:v>
      </x:c>
      <x:c r="F416" s="24" t="str">
        <x:v>Venus clam</x:v>
      </x:c>
      <x:c r="G416" s="24" t="str">
        <x:v>Other demersal invertebrates</x:v>
      </x:c>
      <x:c r="H416" s="24" t="str">
        <x:v>Molluscs</x:v>
      </x:c>
      <x:c r="I416" s="31" t="n">
        <x:v>0.0124854634</x:v>
      </x:c>
      <x:c r="J416" s="31" t="n">
        <x:v>0.0124854634</x:v>
      </x:c>
      <x:c r="K416" s="31" t="n">
        <x:v>0</x:v>
      </x:c>
      <x:c r="L416" s="31" t="n">
        <x:v>0.0124854634</x:v>
      </x:c>
      <x:c r="M416" s="31" t="n">
        <x:v>0</x:v>
      </x:c>
      <x:c r="N416" s="24" t="str">
        <x:v>spisula ovalis</x:v>
      </x:c>
      <x:c r="O416" s="32" t="n">
        <x:v>2</x:v>
      </x:c>
      <x:c r="P416" s="24" t="str">
        <x:v>exact_sea_around_us</x:v>
      </x:c>
      <x:c r="Q416" s="32" t="str">
        <x:v>Sea Around Us exploited organisms</x:v>
      </x:c>
      <x:c r="R416" s="24" t="str">
        <x:v>high</x:v>
      </x:c>
      <x:c r="S416" s="24" t="str">
        <x:v>Spisula ovalis</x:v>
      </x:c>
      <x:c r="T416" s="32" t="n">
        <x:f>IF(O416="","",(1/'Metadata'!$B$5)^(O416-1))</x:f>
        <x:v>10</x:v>
      </x:c>
      <x:c r="U416" s="31" t="n">
        <x:f>IF(T416="","",I416*T416)</x:f>
        <x:v>0.124854634</x:v>
      </x:c>
    </x:row>
    <x:row r="417" ht="18" customHeight="1">
      <x:c r="A417" s="24" t="str">
        <x:v>LME_025</x:v>
      </x:c>
      <x:c r="B417" s="24" t="str">
        <x:v>Iberian Coastal</x:v>
      </x:c>
      <x:c r="C417" s="24" t="str">
        <x:v>LME</x:v>
      </x:c>
      <x:c r="D417" s="30" t="n">
        <x:v>2019</x:v>
      </x:c>
      <x:c r="E417" s="24" t="str">
        <x:v>Polybius henslowii</x:v>
      </x:c>
      <x:c r="F417" s="24" t="str">
        <x:v>Henslow's swimming crab</x:v>
      </x:c>
      <x:c r="G417" s="24" t="str">
        <x:v>Lobsters, crabs</x:v>
      </x:c>
      <x:c r="H417" s="24" t="str">
        <x:v>Crustaceans</x:v>
      </x:c>
      <x:c r="I417" s="31" t="n">
        <x:v>0.0071332567</x:v>
      </x:c>
      <x:c r="J417" s="31" t="n">
        <x:v>0</x:v>
      </x:c>
      <x:c r="K417" s="31" t="n">
        <x:v>0.0071332567</x:v>
      </x:c>
      <x:c r="L417" s="31" t="n">
        <x:v>0</x:v>
      </x:c>
      <x:c r="M417" s="31" t="n">
        <x:v>0.0071332567</x:v>
      </x:c>
      <x:c r="N417" s="24" t="str">
        <x:v>polybius henslowii</x:v>
      </x:c>
      <x:c r="O417" s="32" t="n">
        <x:v>3.46</x:v>
      </x:c>
      <x:c r="P417" s="24" t="str">
        <x:v>exact_2020_supplement</x:v>
      </x:c>
      <x:c r="Q417" s="32" t="str">
        <x:v>2020 supplement MeanTL</x:v>
      </x:c>
      <x:c r="R417" s="24" t="str">
        <x:v>high</x:v>
      </x:c>
      <x:c r="S417" s="24" t="str">
        <x:v>Polybius henslowii</x:v>
      </x:c>
      <x:c r="T417" s="32" t="n">
        <x:f>IF(O417="","",(1/'Metadata'!$B$5)^(O417-1))</x:f>
        <x:v>288.40315031266056</x:v>
      </x:c>
      <x:c r="U417" s="31" t="n">
        <x:f>IF(T417="","",I417*T417)</x:f>
        <x:v>2.057253704268893</x:v>
      </x:c>
    </x:row>
    <x:row r="418" ht="18" customHeight="1">
      <x:c r="A418" s="24" t="str">
        <x:v>LME_025</x:v>
      </x:c>
      <x:c r="B418" s="24" t="str">
        <x:v>Iberian Coastal</x:v>
      </x:c>
      <x:c r="C418" s="24" t="str">
        <x:v>LME</x:v>
      </x:c>
      <x:c r="D418" s="30" t="n">
        <x:v>2019</x:v>
      </x:c>
      <x:c r="E418" s="24" t="str">
        <x:v>Tetrapturus</x:v>
      </x:c>
      <x:c r="F418" s="24" t="str">
        <x:v>Spearfishes</x:v>
      </x:c>
      <x:c r="G418" s="24" t="str">
        <x:v>Large pelagics (&gt;=90 cm)</x:v>
      </x:c>
      <x:c r="H418" s="24" t="str">
        <x:v>Tuna &amp; billfishes</x:v>
      </x:c>
      <x:c r="I418" s="31" t="n">
        <x:v>0.006983215300000001</x:v>
      </x:c>
      <x:c r="J418" s="31" t="n">
        <x:v>0.006983215300000001</x:v>
      </x:c>
      <x:c r="K418" s="31" t="n">
        <x:v>0</x:v>
      </x:c>
      <x:c r="L418" s="31" t="n">
        <x:v>0</x:v>
      </x:c>
      <x:c r="M418" s="31" t="n">
        <x:v>0.006983215300000001</x:v>
      </x:c>
      <x:c r="N418" s="24" t="str">
        <x:v>tetrapturus</x:v>
      </x:c>
      <x:c r="O418" s="32" t="n">
        <x:v>4.47</x:v>
      </x:c>
      <x:c r="P418" s="24" t="str">
        <x:v>exact_sea_around_us</x:v>
      </x:c>
      <x:c r="Q418" s="32" t="str">
        <x:v>Sea Around Us exploited organisms</x:v>
      </x:c>
      <x:c r="R418" s="24" t="str">
        <x:v>high</x:v>
      </x:c>
      <x:c r="S418" s="24" t="str">
        <x:v>Tetrapturus</x:v>
      </x:c>
      <x:c r="T418" s="32" t="n">
        <x:f>IF(O418="","",(1/'Metadata'!$B$5)^(O418-1))</x:f>
        <x:v>2951.209226666384</x:v>
      </x:c>
      <x:c r="U418" s="31" t="n">
        <x:f>IF(T418="","",I418*T418)</x:f>
        <x:v>20.60892942515786</x:v>
      </x:c>
    </x:row>
    <x:row r="419" ht="18" customHeight="1">
      <x:c r="A419" s="24" t="str">
        <x:v>LME_025</x:v>
      </x:c>
      <x:c r="B419" s="24" t="str">
        <x:v>Iberian Coastal</x:v>
      </x:c>
      <x:c r="C419" s="24" t="str">
        <x:v>LME</x:v>
      </x:c>
      <x:c r="D419" s="30" t="n">
        <x:v>2019</x:v>
      </x:c>
      <x:c r="E419" s="24" t="str">
        <x:v>Dasyatis</x:v>
      </x:c>
      <x:c r="F419" s="24" t="str">
        <x:v>Rough whip stingrays</x:v>
      </x:c>
      <x:c r="G419" s="24" t="str">
        <x:v>Large rays (&gt;=90 cm)</x:v>
      </x:c>
      <x:c r="H419" s="24" t="str">
        <x:v>Sharks &amp; rays</x:v>
      </x:c>
      <x:c r="I419" s="31" t="n">
        <x:v>0.0069634833</x:v>
      </x:c>
      <x:c r="J419" s="31" t="n">
        <x:v>0</x:v>
      </x:c>
      <x:c r="K419" s="31" t="n">
        <x:v>0.0069634833</x:v>
      </x:c>
      <x:c r="L419" s="31" t="n">
        <x:v>0</x:v>
      </x:c>
      <x:c r="M419" s="31" t="n">
        <x:v>0.0069634833</x:v>
      </x:c>
      <x:c r="N419" s="24" t="str">
        <x:v>dasyatis</x:v>
      </x:c>
      <x:c r="O419" s="32" t="n">
        <x:v>3.28</x:v>
      </x:c>
      <x:c r="P419" s="24" t="str">
        <x:v>exact_sea_around_us</x:v>
      </x:c>
      <x:c r="Q419" s="32" t="str">
        <x:v>Sea Around Us exploited organisms</x:v>
      </x:c>
      <x:c r="R419" s="24" t="str">
        <x:v>high</x:v>
      </x:c>
      <x:c r="S419" s="24" t="str">
        <x:v>Dasyatis</x:v>
      </x:c>
      <x:c r="T419" s="32" t="n">
        <x:f>IF(O419="","",(1/'Metadata'!$B$5)^(O419-1))</x:f>
        <x:v>190.54607179632464</x:v>
      </x:c>
      <x:c r="U419" s="31" t="n">
        <x:f>IF(T419="","",I419*T419)</x:f>
        <x:v>1.3268643888343077</x:v>
      </x:c>
    </x:row>
    <x:row r="420" ht="18" customHeight="1">
      <x:c r="A420" s="24" t="str">
        <x:v>LME_025</x:v>
      </x:c>
      <x:c r="B420" s="24" t="str">
        <x:v>Iberian Coastal</x:v>
      </x:c>
      <x:c r="C420" s="24" t="str">
        <x:v>LME</x:v>
      </x:c>
      <x:c r="D420" s="30" t="n">
        <x:v>2019</x:v>
      </x:c>
      <x:c r="E420" s="24" t="str">
        <x:v>Tetraodontidae</x:v>
      </x:c>
      <x:c r="F420" s="24" t="str">
        <x:v>Puffers, tobies</x:v>
      </x:c>
      <x:c r="G420" s="24" t="str">
        <x:v>Large reef assoc. fish (&gt;=90 cm)</x:v>
      </x:c>
      <x:c r="H420" s="24" t="str">
        <x:v>Other fishes &amp; inverts</x:v>
      </x:c>
      <x:c r="I420" s="31" t="n">
        <x:v>0.0069627108</x:v>
      </x:c>
      <x:c r="J420" s="31" t="n">
        <x:v>0</x:v>
      </x:c>
      <x:c r="K420" s="31" t="n">
        <x:v>0.0069627108</x:v>
      </x:c>
      <x:c r="L420" s="31" t="n">
        <x:v>0</x:v>
      </x:c>
      <x:c r="M420" s="31" t="n">
        <x:v>0.0069627108</x:v>
      </x:c>
      <x:c r="N420" s="24" t="str">
        <x:v>tetraodontidae</x:v>
      </x:c>
      <x:c r="O420" s="32" t="n">
        <x:v>3.5</x:v>
      </x:c>
      <x:c r="P420" s="24" t="str">
        <x:v>exact_sea_around_us</x:v>
      </x:c>
      <x:c r="Q420" s="32" t="str">
        <x:v>Sea Around Us exploited organisms</x:v>
      </x:c>
      <x:c r="R420" s="24" t="str">
        <x:v>high</x:v>
      </x:c>
      <x:c r="S420" s="24" t="str">
        <x:v>Tetraodontidae</x:v>
      </x:c>
      <x:c r="T420" s="32" t="n">
        <x:f>IF(O420="","",(1/'Metadata'!$B$5)^(O420-1))</x:f>
        <x:v>316.22776601683796</x:v>
      </x:c>
      <x:c r="U420" s="31" t="n">
        <x:f>IF(T420="","",I420*T420)</x:f>
        <x:v>2.2018024817053106</x:v>
      </x:c>
    </x:row>
    <x:row r="421" ht="18" customHeight="1">
      <x:c r="A421" s="24" t="str">
        <x:v>LME_025</x:v>
      </x:c>
      <x:c r="B421" s="24" t="str">
        <x:v>Iberian Coastal</x:v>
      </x:c>
      <x:c r="C421" s="24" t="str">
        <x:v>LME</x:v>
      </x:c>
      <x:c r="D421" s="30" t="n">
        <x:v>2019</x:v>
      </x:c>
      <x:c r="E421" s="24" t="str">
        <x:v>Palinuridae</x:v>
      </x:c>
      <x:c r="F421" s="24" t="str">
        <x:v>Spiny lobsters</x:v>
      </x:c>
      <x:c r="G421" s="24" t="str">
        <x:v>Lobsters, crabs</x:v>
      </x:c>
      <x:c r="H421" s="24" t="str">
        <x:v>Crustaceans</x:v>
      </x:c>
      <x:c r="I421" s="31" t="n">
        <x:v>0.0051203504</x:v>
      </x:c>
      <x:c r="J421" s="31" t="n">
        <x:v>0.0051203504</x:v>
      </x:c>
      <x:c r="K421" s="31" t="n">
        <x:v>0</x:v>
      </x:c>
      <x:c r="L421" s="31" t="n">
        <x:v>0.0051203504</x:v>
      </x:c>
      <x:c r="M421" s="31" t="n">
        <x:v>0</x:v>
      </x:c>
      <x:c r="N421" s="24" t="str">
        <x:v>palinuridae</x:v>
      </x:c>
      <x:c r="O421" s="32" t="n">
        <x:v>3.14</x:v>
      </x:c>
      <x:c r="P421" s="24" t="str">
        <x:v>exact_sea_around_us</x:v>
      </x:c>
      <x:c r="Q421" s="32" t="str">
        <x:v>Sea Around Us exploited organisms</x:v>
      </x:c>
      <x:c r="R421" s="24" t="str">
        <x:v>high</x:v>
      </x:c>
      <x:c r="S421" s="24" t="str">
        <x:v>Palinuridae</x:v>
      </x:c>
      <x:c r="T421" s="32" t="n">
        <x:f>IF(O421="","",(1/'Metadata'!$B$5)^(O421-1))</x:f>
        <x:v>138.03842646028852</x:v>
      </x:c>
      <x:c r="U421" s="31" t="n">
        <x:f>IF(T421="","",I421*T421)</x:f>
        <x:v>0.7068051121413089</x:v>
      </x:c>
    </x:row>
    <x:row r="422" ht="18" customHeight="1">
      <x:c r="A422" s="24" t="str">
        <x:v>LME_025</x:v>
      </x:c>
      <x:c r="B422" s="24" t="str">
        <x:v>Iberian Coastal</x:v>
      </x:c>
      <x:c r="C422" s="24" t="str">
        <x:v>LME</x:v>
      </x:c>
      <x:c r="D422" s="30" t="n">
        <x:v>2019</x:v>
      </x:c>
      <x:c r="E422" s="24" t="str">
        <x:v>Crassostrea</x:v>
      </x:c>
      <x:c r="F422" s="24" t="str">
        <x:v>Cupped oysters</x:v>
      </x:c>
      <x:c r="G422" s="24" t="str">
        <x:v>Other demersal invertebrates</x:v>
      </x:c>
      <x:c r="H422" s="24" t="str">
        <x:v>Molluscs</x:v>
      </x:c>
      <x:c r="I422" s="31" t="n">
        <x:v>0.0046994453</x:v>
      </x:c>
      <x:c r="J422" s="31" t="n">
        <x:v>0.0046994453</x:v>
      </x:c>
      <x:c r="K422" s="31" t="n">
        <x:v>0</x:v>
      </x:c>
      <x:c r="L422" s="31" t="n">
        <x:v>0.0046994453</x:v>
      </x:c>
      <x:c r="M422" s="31" t="n">
        <x:v>0</x:v>
      </x:c>
      <x:c r="N422" s="24" t="str">
        <x:v>crassostrea</x:v>
      </x:c>
      <x:c r="O422" s="32" t="n">
        <x:v>2</x:v>
      </x:c>
      <x:c r="P422" s="24" t="str">
        <x:v>exact_sea_around_us</x:v>
      </x:c>
      <x:c r="Q422" s="32" t="str">
        <x:v>Sea Around Us exploited organisms</x:v>
      </x:c>
      <x:c r="R422" s="24" t="str">
        <x:v>high</x:v>
      </x:c>
      <x:c r="S422" s="24" t="str">
        <x:v>Crassostrea</x:v>
      </x:c>
      <x:c r="T422" s="32" t="n">
        <x:f>IF(O422="","",(1/'Metadata'!$B$5)^(O422-1))</x:f>
        <x:v>10</x:v>
      </x:c>
      <x:c r="U422" s="31" t="n">
        <x:f>IF(T422="","",I422*T422)</x:f>
        <x:v>0.046994453</x:v>
      </x:c>
    </x:row>
    <x:row r="423" ht="18" customHeight="1">
      <x:c r="A423" s="24" t="str">
        <x:v>LME_025</x:v>
      </x:c>
      <x:c r="B423" s="24" t="str">
        <x:v>Iberian Coastal</x:v>
      </x:c>
      <x:c r="C423" s="24" t="str">
        <x:v>LME</x:v>
      </x:c>
      <x:c r="D423" s="30" t="n">
        <x:v>2019</x:v>
      </x:c>
      <x:c r="E423" s="24" t="str">
        <x:v>Goneplax rhomboides</x:v>
      </x:c>
      <x:c r="F423" s="24" t="str">
        <x:v>Goneplax rhomboides</x:v>
      </x:c>
      <x:c r="G423" s="24" t="str">
        <x:v>Lobsters, crabs</x:v>
      </x:c>
      <x:c r="H423" s="24" t="str">
        <x:v>Crustaceans</x:v>
      </x:c>
      <x:c r="I423" s="31" t="n">
        <x:v>0.0045919265</x:v>
      </x:c>
      <x:c r="J423" s="31" t="n">
        <x:v>0</x:v>
      </x:c>
      <x:c r="K423" s="31" t="n">
        <x:v>0.0045919265</x:v>
      </x:c>
      <x:c r="L423" s="31" t="n">
        <x:v>0</x:v>
      </x:c>
      <x:c r="M423" s="31" t="n">
        <x:v>0.0045919265</x:v>
      </x:c>
      <x:c r="N423" s="24" t="str">
        <x:v>goneplax rhomboides</x:v>
      </x:c>
      <x:c r="O423" s="32" t="n">
        <x:v>2.82</x:v>
      </x:c>
      <x:c r="P423" s="24" t="str">
        <x:v>exact_sea_around_us</x:v>
      </x:c>
      <x:c r="Q423" s="32" t="str">
        <x:v>Sea Around Us exploited organisms</x:v>
      </x:c>
      <x:c r="R423" s="24" t="str">
        <x:v>high</x:v>
      </x:c>
      <x:c r="S423" s="24" t="str">
        <x:v>Goneplax rhomboides</x:v>
      </x:c>
      <x:c r="T423" s="32" t="n">
        <x:f>IF(O423="","",(1/'Metadata'!$B$5)^(O423-1))</x:f>
        <x:v>66.06934480075958</x:v>
      </x:c>
      <x:c r="U423" s="31" t="n">
        <x:f>IF(T423="","",I423*T423)</x:f>
        <x:v>0.30338557522824516</x:v>
      </x:c>
    </x:row>
    <x:row r="424" ht="18" customHeight="1">
      <x:c r="A424" s="24" t="str">
        <x:v>LME_025</x:v>
      </x:c>
      <x:c r="B424" s="24" t="str">
        <x:v>Iberian Coastal</x:v>
      </x:c>
      <x:c r="C424" s="24" t="str">
        <x:v>LME</x:v>
      </x:c>
      <x:c r="D424" s="30" t="n">
        <x:v>2019</x:v>
      </x:c>
      <x:c r="E424" s="24" t="str">
        <x:v>Naucrates ductor</x:v>
      </x:c>
      <x:c r="F424" s="24" t="str">
        <x:v>Pilotfish</x:v>
      </x:c>
      <x:c r="G424" s="24" t="str">
        <x:v>Medium pelagics (30 - 89 cm)</x:v>
      </x:c>
      <x:c r="H424" s="24" t="str">
        <x:v>Perch-likes</x:v>
      </x:c>
      <x:c r="I424" s="31" t="n">
        <x:v>0.0044461349</x:v>
      </x:c>
      <x:c r="J424" s="31" t="n">
        <x:v>0</x:v>
      </x:c>
      <x:c r="K424" s="31" t="n">
        <x:v>0.0044461349</x:v>
      </x:c>
      <x:c r="L424" s="31" t="n">
        <x:v>0</x:v>
      </x:c>
      <x:c r="M424" s="31" t="n">
        <x:v>0.0044461349</x:v>
      </x:c>
      <x:c r="N424" s="24" t="str">
        <x:v>naucrates ductor</x:v>
      </x:c>
      <x:c r="O424" s="32" t="n">
        <x:v>3.98</x:v>
      </x:c>
      <x:c r="P424" s="24" t="str">
        <x:v>exact_2020_supplement</x:v>
      </x:c>
      <x:c r="Q424" s="32" t="str">
        <x:v>2020 supplement MeanTL</x:v>
      </x:c>
      <x:c r="R424" s="24" t="str">
        <x:v>high</x:v>
      </x:c>
      <x:c r="S424" s="24" t="str">
        <x:v>Naucrates ductor</x:v>
      </x:c>
      <x:c r="T424" s="32" t="n">
        <x:f>IF(O424="","",(1/'Metadata'!$B$5)^(O424-1))</x:f>
        <x:v>954.992586021436</x:v>
      </x:c>
      <x:c r="U424" s="31" t="n">
        <x:f>IF(T424="","",I424*T424)</x:f>
        <x:v>4.246025865951158</x:v>
      </x:c>
    </x:row>
    <x:row r="425" ht="18" customHeight="1">
      <x:c r="A425" s="24" t="str">
        <x:v>LME_025</x:v>
      </x:c>
      <x:c r="B425" s="24" t="str">
        <x:v>Iberian Coastal</x:v>
      </x:c>
      <x:c r="C425" s="24" t="str">
        <x:v>LME</x:v>
      </x:c>
      <x:c r="D425" s="30" t="n">
        <x:v>2019</x:v>
      </x:c>
      <x:c r="E425" s="24" t="str">
        <x:v>Malacostraca</x:v>
      </x:c>
      <x:c r="F425" s="24" t="str">
        <x:v>Lobsters, crabs, shrimps, krill</x:v>
      </x:c>
      <x:c r="G425" s="24" t="str">
        <x:v>Shrimps</x:v>
      </x:c>
      <x:c r="H425" s="24" t="str">
        <x:v>Crustaceans</x:v>
      </x:c>
      <x:c r="I425" s="31" t="n">
        <x:v>0.0042929667</x:v>
      </x:c>
      <x:c r="J425" s="31" t="n">
        <x:v>0.0042929667</x:v>
      </x:c>
      <x:c r="K425" s="31" t="n">
        <x:v>0</x:v>
      </x:c>
      <x:c r="L425" s="31" t="n">
        <x:v>0.0042929667</x:v>
      </x:c>
      <x:c r="M425" s="31" t="n">
        <x:v>0</x:v>
      </x:c>
      <x:c r="N425" s="24" t="str">
        <x:v>malacostraca</x:v>
      </x:c>
      <x:c r="O425" s="32" t="n">
        <x:v>3</x:v>
      </x:c>
      <x:c r="P425" s="24" t="str">
        <x:v>exact_sea_around_us</x:v>
      </x:c>
      <x:c r="Q425" s="32" t="str">
        <x:v>Sea Around Us exploited organisms</x:v>
      </x:c>
      <x:c r="R425" s="24" t="str">
        <x:v>high</x:v>
      </x:c>
      <x:c r="S425" s="24" t="str">
        <x:v>Malacostraca</x:v>
      </x:c>
      <x:c r="T425" s="32" t="n">
        <x:f>IF(O425="","",(1/'Metadata'!$B$5)^(O425-1))</x:f>
        <x:v>100</x:v>
      </x:c>
      <x:c r="U425" s="31" t="n">
        <x:f>IF(T425="","",I425*T425)</x:f>
        <x:v>0.42929667000000005</x:v>
      </x:c>
    </x:row>
    <x:row r="426" ht="18" customHeight="1">
      <x:c r="A426" s="24" t="str">
        <x:v>LME_025</x:v>
      </x:c>
      <x:c r="B426" s="24" t="str">
        <x:v>Iberian Coastal</x:v>
      </x:c>
      <x:c r="C426" s="24" t="str">
        <x:v>LME</x:v>
      </x:c>
      <x:c r="D426" s="30" t="n">
        <x:v>2019</x:v>
      </x:c>
      <x:c r="E426" s="24" t="str">
        <x:v>Cetorhinus maximus</x:v>
      </x:c>
      <x:c r="F426" s="24" t="str">
        <x:v>Basking shark</x:v>
      </x:c>
      <x:c r="G426" s="24" t="str">
        <x:v>Large sharks (&gt;=90 cm)</x:v>
      </x:c>
      <x:c r="H426" s="24" t="str">
        <x:v>Sharks &amp; rays</x:v>
      </x:c>
      <x:c r="I426" s="31" t="n">
        <x:v>0.0027330639</x:v>
      </x:c>
      <x:c r="J426" s="31" t="n">
        <x:v>0.0027330639</x:v>
      </x:c>
      <x:c r="K426" s="31" t="n">
        <x:v>0</x:v>
      </x:c>
      <x:c r="L426" s="31" t="n">
        <x:v>0.0027330639</x:v>
      </x:c>
      <x:c r="M426" s="31" t="n">
        <x:v>0</x:v>
      </x:c>
      <x:c r="N426" s="24" t="str">
        <x:v>cetorhinus maximus</x:v>
      </x:c>
      <x:c r="O426" s="32" t="n">
        <x:v>3.2</x:v>
      </x:c>
      <x:c r="P426" s="24" t="str">
        <x:v>exact_2020_supplement</x:v>
      </x:c>
      <x:c r="Q426" s="32" t="str">
        <x:v>2020 supplement MeanTL</x:v>
      </x:c>
      <x:c r="R426" s="24" t="str">
        <x:v>high</x:v>
      </x:c>
      <x:c r="S426" s="24" t="str">
        <x:v>Cetorhinus maximus</x:v>
      </x:c>
      <x:c r="T426" s="32" t="n">
        <x:f>IF(O426="","",(1/'Metadata'!$B$5)^(O426-1))</x:f>
        <x:v>158.48931924611142</x:v>
      </x:c>
      <x:c r="U426" s="31" t="n">
        <x:f>IF(T426="","",I426*T426)</x:f>
        <x:v>0.43316143696712234</x:v>
      </x:c>
    </x:row>
    <x:row r="427" ht="18" customHeight="1">
      <x:c r="A427" s="24" t="str">
        <x:v>LME_025</x:v>
      </x:c>
      <x:c r="B427" s="24" t="str">
        <x:v>Iberian Coastal</x:v>
      </x:c>
      <x:c r="C427" s="24" t="str">
        <x:v>LME</x:v>
      </x:c>
      <x:c r="D427" s="30" t="n">
        <x:v>2019</x:v>
      </x:c>
      <x:c r="E427" s="24" t="str">
        <x:v>Alopias</x:v>
      </x:c>
      <x:c r="F427" s="24" t="str">
        <x:v>Thresher sharks</x:v>
      </x:c>
      <x:c r="G427" s="24" t="str">
        <x:v>Large sharks (&gt;=90 cm)</x:v>
      </x:c>
      <x:c r="H427" s="24" t="str">
        <x:v>Sharks &amp; rays</x:v>
      </x:c>
      <x:c r="I427" s="31" t="n">
        <x:v>0.0021236929</x:v>
      </x:c>
      <x:c r="J427" s="31" t="n">
        <x:v>0.0021236929</x:v>
      </x:c>
      <x:c r="K427" s="31" t="n">
        <x:v>0</x:v>
      </x:c>
      <x:c r="L427" s="31" t="n">
        <x:v>0</x:v>
      </x:c>
      <x:c r="M427" s="31" t="n">
        <x:v>0.0021236929</x:v>
      </x:c>
      <x:c r="N427" s="24" t="str">
        <x:v>alopias</x:v>
      </x:c>
      <x:c r="O427" s="32" t="n">
        <x:v>4.5</x:v>
      </x:c>
      <x:c r="P427" s="24" t="str">
        <x:v>exact_sea_around_us</x:v>
      </x:c>
      <x:c r="Q427" s="32" t="str">
        <x:v>Sea Around Us exploited organisms</x:v>
      </x:c>
      <x:c r="R427" s="24" t="str">
        <x:v>high</x:v>
      </x:c>
      <x:c r="S427" s="24" t="str">
        <x:v>Alopias</x:v>
      </x:c>
      <x:c r="T427" s="32" t="n">
        <x:f>IF(O427="","",(1/'Metadata'!$B$5)^(O427-1))</x:f>
        <x:v>3162.2776601683795</x:v>
      </x:c>
      <x:c r="U427" s="31" t="n">
        <x:f>IF(T427="","",I427*T427)</x:f>
        <x:v>6.7157066147282</x:v>
      </x:c>
    </x:row>
    <x:row r="428" ht="18" customHeight="1">
      <x:c r="A428" s="24" t="str">
        <x:v>LME_025</x:v>
      </x:c>
      <x:c r="B428" s="24" t="str">
        <x:v>Iberian Coastal</x:v>
      </x:c>
      <x:c r="C428" s="24" t="str">
        <x:v>LME</x:v>
      </x:c>
      <x:c r="D428" s="30" t="n">
        <x:v>2019</x:v>
      </x:c>
      <x:c r="E428" s="24" t="str">
        <x:v>Clupea harengus</x:v>
      </x:c>
      <x:c r="F428" s="24" t="str">
        <x:v>Atlantic herring</x:v>
      </x:c>
      <x:c r="G428" s="24" t="str">
        <x:v>Medium pelagics (30 - 89 cm)</x:v>
      </x:c>
      <x:c r="H428" s="24" t="str">
        <x:v>Herring-likes</x:v>
      </x:c>
      <x:c r="I428" s="31" t="n">
        <x:v>0.0009660795000000001</x:v>
      </x:c>
      <x:c r="J428" s="31" t="n">
        <x:v>0.0009660795000000001</x:v>
      </x:c>
      <x:c r="K428" s="31" t="n">
        <x:v>0</x:v>
      </x:c>
      <x:c r="L428" s="31" t="n">
        <x:v>0.0009660795000000001</x:v>
      </x:c>
      <x:c r="M428" s="31" t="n">
        <x:v>0</x:v>
      </x:c>
      <x:c r="N428" s="24" t="str">
        <x:v>clupea harengus</x:v>
      </x:c>
      <x:c r="O428" s="32" t="n">
        <x:v>3.38</x:v>
      </x:c>
      <x:c r="P428" s="24" t="str">
        <x:v>exact_2020_supplement</x:v>
      </x:c>
      <x:c r="Q428" s="32" t="str">
        <x:v>2020 supplement MeanTL</x:v>
      </x:c>
      <x:c r="R428" s="24" t="str">
        <x:v>high</x:v>
      </x:c>
      <x:c r="S428" s="24" t="str">
        <x:v>Clupea harengus</x:v>
      </x:c>
      <x:c r="T428" s="32" t="n">
        <x:f>IF(O428="","",(1/'Metadata'!$B$5)^(O428-1))</x:f>
        <x:v>239.88329190194898</x:v>
      </x:c>
      <x:c r="U428" s="31" t="n">
        <x:f>IF(T428="","",I428*T428)</x:f>
        <x:v>0.23174633069898892</x:v>
      </x:c>
    </x:row>
    <x:row r="429" ht="18" customHeight="1">
      <x:c r="A429" s="24" t="str">
        <x:v>LME_025</x:v>
      </x:c>
      <x:c r="B429" s="24" t="str">
        <x:v>Iberian Coastal</x:v>
      </x:c>
      <x:c r="C429" s="24" t="str">
        <x:v>LME</x:v>
      </x:c>
      <x:c r="D429" s="30" t="n">
        <x:v>2019</x:v>
      </x:c>
      <x:c r="E429" s="24" t="str">
        <x:v>Venerupis</x:v>
      </x:c>
      <x:c r="F429" s="24" t="str">
        <x:v>Rhomboid carpet shells</x:v>
      </x:c>
      <x:c r="G429" s="24" t="str">
        <x:v>Other demersal invertebrates</x:v>
      </x:c>
      <x:c r="H429" s="24" t="str">
        <x:v>Molluscs</x:v>
      </x:c>
      <x:c r="I429" s="31" t="n">
        <x:v>0.0005634467</x:v>
      </x:c>
      <x:c r="J429" s="31" t="n">
        <x:v>0.0005634467</x:v>
      </x:c>
      <x:c r="K429" s="31" t="n">
        <x:v>0</x:v>
      </x:c>
      <x:c r="L429" s="31" t="n">
        <x:v>0</x:v>
      </x:c>
      <x:c r="M429" s="31" t="n">
        <x:v>0.0005634467</x:v>
      </x:c>
      <x:c r="N429" s="24" t="str">
        <x:v>venerupis</x:v>
      </x:c>
      <x:c r="O429" s="32" t="n">
        <x:v>2</x:v>
      </x:c>
      <x:c r="P429" s="24" t="str">
        <x:v>exact_sea_around_us</x:v>
      </x:c>
      <x:c r="Q429" s="32" t="str">
        <x:v>Sea Around Us exploited organisms</x:v>
      </x:c>
      <x:c r="R429" s="24" t="str">
        <x:v>high</x:v>
      </x:c>
      <x:c r="S429" s="24" t="str">
        <x:v>Venerupis</x:v>
      </x:c>
      <x:c r="T429" s="32" t="n">
        <x:f>IF(O429="","",(1/'Metadata'!$B$5)^(O429-1))</x:f>
        <x:v>10</x:v>
      </x:c>
      <x:c r="U429" s="31" t="n">
        <x:f>IF(T429="","",I429*T429)</x:f>
        <x:v>0.005634467000000001</x:v>
      </x:c>
    </x:row>
    <x:row r="430" ht="18" customHeight="1">
      <x:c r="A430" s="24" t="str">
        <x:v>LME_025</x:v>
      </x:c>
      <x:c r="B430" s="24" t="str">
        <x:v>Iberian Coastal</x:v>
      </x:c>
      <x:c r="C430" s="24" t="str">
        <x:v>LME</x:v>
      </x:c>
      <x:c r="D430" s="30" t="n">
        <x:v>2019</x:v>
      </x:c>
      <x:c r="E430" s="24" t="str">
        <x:v>Sphyrna zygaena</x:v>
      </x:c>
      <x:c r="F430" s="24" t="str">
        <x:v>Smooth hammerhead</x:v>
      </x:c>
      <x:c r="G430" s="24" t="str">
        <x:v>Large sharks (&gt;=90 cm)</x:v>
      </x:c>
      <x:c r="H430" s="24" t="str">
        <x:v>Sharks &amp; rays</x:v>
      </x:c>
      <x:c r="I430" s="31" t="n">
        <x:v>0.0003963439</x:v>
      </x:c>
      <x:c r="J430" s="31" t="n">
        <x:v>0.0003963439</x:v>
      </x:c>
      <x:c r="K430" s="31" t="n">
        <x:v>0</x:v>
      </x:c>
      <x:c r="L430" s="31" t="n">
        <x:v>0</x:v>
      </x:c>
      <x:c r="M430" s="31" t="n">
        <x:v>0.0003963439</x:v>
      </x:c>
      <x:c r="N430" s="24" t="str">
        <x:v>sphyrna zygaena</x:v>
      </x:c>
      <x:c r="O430" s="32" t="n">
        <x:v>4.94</x:v>
      </x:c>
      <x:c r="P430" s="24" t="str">
        <x:v>exact_2020_supplement</x:v>
      </x:c>
      <x:c r="Q430" s="32" t="str">
        <x:v>2020 supplement MeanTL</x:v>
      </x:c>
      <x:c r="R430" s="24" t="str">
        <x:v>high</x:v>
      </x:c>
      <x:c r="S430" s="24" t="str">
        <x:v>Sphyrna zygaena</x:v>
      </x:c>
      <x:c r="T430" s="32" t="n">
        <x:f>IF(O430="","",(1/'Metadata'!$B$5)^(O430-1))</x:f>
        <x:v>8709.635899560813</x:v>
      </x:c>
      <x:c r="U430" s="31" t="n">
        <x:f>IF(T430="","",I430*T430)</x:f>
        <x:v>3.452011060011941</x:v>
      </x:c>
    </x:row>
    <x:row r="431" ht="18" customHeight="1">
      <x:c r="A431" s="24" t="str">
        <x:v>LME_025</x:v>
      </x:c>
      <x:c r="B431" s="24" t="str">
        <x:v>Iberian Coastal</x:v>
      </x:c>
      <x:c r="C431" s="24" t="str">
        <x:v>LME</x:v>
      </x:c>
      <x:c r="D431" s="30" t="n">
        <x:v>2019</x:v>
      </x:c>
      <x:c r="E431" s="24" t="str">
        <x:v>Pollachius virens</x:v>
      </x:c>
      <x:c r="F431" s="24" t="str">
        <x:v>Saithe</x:v>
      </x:c>
      <x:c r="G431" s="24" t="str">
        <x:v>Large demersals (&gt;=90 cm)</x:v>
      </x:c>
      <x:c r="H431" s="24" t="str">
        <x:v>Cod-likes</x:v>
      </x:c>
      <x:c r="I431" s="31" t="n">
        <x:v>0.0000894715</x:v>
      </x:c>
      <x:c r="J431" s="31" t="n">
        <x:v>0.0000894715</x:v>
      </x:c>
      <x:c r="K431" s="31" t="n">
        <x:v>0</x:v>
      </x:c>
      <x:c r="L431" s="31" t="n">
        <x:v>0.0000894715</x:v>
      </x:c>
      <x:c r="M431" s="31" t="n">
        <x:v>0</x:v>
      </x:c>
      <x:c r="N431" s="24" t="str">
        <x:v>pollachius virens</x:v>
      </x:c>
      <x:c r="O431" s="32" t="n">
        <x:v>4.31</x:v>
      </x:c>
      <x:c r="P431" s="24" t="str">
        <x:v>exact_2020_supplement</x:v>
      </x:c>
      <x:c r="Q431" s="32" t="str">
        <x:v>2020 supplement MeanTL</x:v>
      </x:c>
      <x:c r="R431" s="24" t="str">
        <x:v>high</x:v>
      </x:c>
      <x:c r="S431" s="24" t="str">
        <x:v>Pollachius virens</x:v>
      </x:c>
      <x:c r="T431" s="32" t="n">
        <x:f>IF(O431="","",(1/'Metadata'!$B$5)^(O431-1))</x:f>
        <x:v>2041.7379446695275</x:v>
      </x:c>
      <x:c r="U431" s="31" t="n">
        <x:f>IF(T431="","",I431*T431)</x:f>
        <x:v>0.18267735651649963</x:v>
      </x:c>
    </x:row>
    <x:row r="432" ht="18" customHeight="1">
      <x:c r="A432" s="24" t="str">
        <x:v>LME_025</x:v>
      </x:c>
      <x:c r="B432" s="24" t="str">
        <x:v>Iberian Coastal</x:v>
      </x:c>
      <x:c r="C432" s="24" t="str">
        <x:v>LME</x:v>
      </x:c>
      <x:c r="D432" s="30" t="n">
        <x:v>2019</x:v>
      </x:c>
      <x:c r="E432" s="24" t="str">
        <x:v>Sparisoma cretense</x:v>
      </x:c>
      <x:c r="F432" s="24" t="str">
        <x:v>Old parrotfish</x:v>
      </x:c>
      <x:c r="G432" s="24" t="str">
        <x:v>Medium reef assoc. fish (30 - 89 cm)</x:v>
      </x:c>
      <x:c r="H432" s="24" t="str">
        <x:v>Perch-likes</x:v>
      </x:c>
      <x:c r="I432" s="31" t="n">
        <x:v>0.000030249500000000002</x:v>
      </x:c>
      <x:c r="J432" s="31" t="n">
        <x:v>0.000030249500000000002</x:v>
      </x:c>
      <x:c r="K432" s="31" t="n">
        <x:v>0</x:v>
      </x:c>
      <x:c r="L432" s="31" t="n">
        <x:v>0</x:v>
      </x:c>
      <x:c r="M432" s="31" t="n">
        <x:v>0.000030249500000000002</x:v>
      </x:c>
      <x:c r="N432" s="24" t="str">
        <x:v>sparisoma cretense</x:v>
      </x:c>
      <x:c r="O432" s="32" t="n">
        <x:v>2.86</x:v>
      </x:c>
      <x:c r="P432" s="24" t="str">
        <x:v>exact_2020_supplement</x:v>
      </x:c>
      <x:c r="Q432" s="32" t="str">
        <x:v>2020 supplement MeanTL</x:v>
      </x:c>
      <x:c r="R432" s="24" t="str">
        <x:v>high</x:v>
      </x:c>
      <x:c r="S432" s="24" t="str">
        <x:v>Sparisoma cretense</x:v>
      </x:c>
      <x:c r="T432" s="32" t="n">
        <x:f>IF(O432="","",(1/'Metadata'!$B$5)^(O432-1))</x:f>
        <x:v>72.44359600749898</x:v>
      </x:c>
      <x:c r="U432" s="31" t="n">
        <x:f>IF(T432="","",I432*T432)</x:f>
        <x:v>0.0021913825574288405</x:v>
      </x:c>
    </x:row>
    <x:row r="433" ht="18" customHeight="1">
      <x:c r="A433" s="24" t="str">
        <x:v>LME_025</x:v>
      </x:c>
      <x:c r="B433" s="24" t="str">
        <x:v>Iberian Coastal</x:v>
      </x:c>
      <x:c r="C433" s="24" t="str">
        <x:v>LME</x:v>
      </x:c>
      <x:c r="D433" s="30" t="n">
        <x:v>2019</x:v>
      </x:c>
      <x:c r="E433" s="24" t="str">
        <x:v>Mytilus</x:v>
      </x:c>
      <x:c r="F433" s="24" t="str">
        <x:v>Edible sea mussels</x:v>
      </x:c>
      <x:c r="G433" s="24" t="str">
        <x:v>Other demersal invertebrates</x:v>
      </x:c>
      <x:c r="H433" s="24" t="str">
        <x:v>Molluscs</x:v>
      </x:c>
      <x:c r="I433" s="31" t="n">
        <x:v>0.0000256418</x:v>
      </x:c>
      <x:c r="J433" s="31" t="n">
        <x:v>0.0000256418</x:v>
      </x:c>
      <x:c r="K433" s="31" t="n">
        <x:v>0</x:v>
      </x:c>
      <x:c r="L433" s="31" t="n">
        <x:v>0</x:v>
      </x:c>
      <x:c r="M433" s="31" t="n">
        <x:v>0.0000256418</x:v>
      </x:c>
      <x:c r="N433" s="24" t="str">
        <x:v>mytilus</x:v>
      </x:c>
      <x:c r="O433" s="32" t="n">
        <x:v>2.03</x:v>
      </x:c>
      <x:c r="P433" s="24" t="str">
        <x:v>exact_sea_around_us</x:v>
      </x:c>
      <x:c r="Q433" s="32" t="str">
        <x:v>Sea Around Us exploited organisms</x:v>
      </x:c>
      <x:c r="R433" s="24" t="str">
        <x:v>high</x:v>
      </x:c>
      <x:c r="S433" s="24" t="str">
        <x:v>Mytilus</x:v>
      </x:c>
      <x:c r="T433" s="32" t="n">
        <x:f>IF(O433="","",(1/'Metadata'!$B$5)^(O433-1))</x:f>
        <x:v>10.71519305237606</x:v>
      </x:c>
      <x:c r="U433" s="31" t="n">
        <x:f>IF(T433="","",I433*T433)</x:f>
        <x:v>0.00027475683721041647</x:v>
      </x:c>
    </x:row>
  </x:sheetData>
  <x:conditionalFormatting sqref="R2:R43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9d34b043b0c419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27091.6933762591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3490086.1846573623</x:v>
      </x:c>
    </x:row>
    <x:row r="3" ht="18" customHeight="1">
      <x:c r="A3" s="24" t="str">
        <x:v>Cod-likes</x:v>
      </x:c>
      <x:c r="B3" s="31" t="n">
        <x:v>80337.6089392526</x:v>
      </x:c>
      <x:c r="C3" s="32" t="n">
        <x:v>4.305187574987113</x:v>
      </x:c>
      <x:c r="D3" s="32" t="n">
        <x:f>IF(C3="","",(1/'Metadata'!$B$5)^(C3-1))</x:f>
        <x:v>2019.2382992718187</x:v>
      </x:c>
      <x:c r="E3" s="31" t="n">
        <x:f>IF(B3=0,"",B3*D3)</x:f>
        <x:v>162220776.8420609</x:v>
      </x:c>
    </x:row>
    <x:row r="4" ht="18" customHeight="1">
      <x:c r="A4" s="24" t="str">
        <x:v>Crustaceans</x:v>
      </x:c>
      <x:c r="B4" s="31" t="n">
        <x:v>7280.636644615702</x:v>
      </x:c>
      <x:c r="C4" s="32" t="n">
        <x:v>3.057663102746476</x:v>
      </x:c>
      <x:c r="D4" s="32" t="n">
        <x:f>IF(C4="","",(1/'Metadata'!$B$5)^(C4-1))</x:f>
        <x:v>114.1992108311641</x:v>
      </x:c>
      <x:c r="E4" s="31" t="n">
        <x:f>IF(B4=0,"",B4*D4)</x:f>
        <x:v>831442.9591635676</x:v>
      </x:c>
    </x:row>
    <x:row r="5" ht="18" customHeight="1">
      <x:c r="A5" s="24" t="str">
        <x:v>Flatfishes</x:v>
      </x:c>
      <x:c r="B5" s="31" t="n">
        <x:v>5649.9613347060995</x:v>
      </x:c>
      <x:c r="C5" s="32" t="n">
        <x:v>3.6590230411769076</x:v>
      </x:c>
      <x:c r="D5" s="32" t="n">
        <x:f>IF(C5="","",(1/'Metadata'!$B$5)^(C5-1))</x:f>
        <x:v>456.061111299008</x:v>
      </x:c>
      <x:c r="E5" s="31" t="n">
        <x:f>IF(B5=0,"",B5*D5)</x:f>
        <x:v>2576727.64510249</x:v>
      </x:c>
    </x:row>
    <x:row r="6" ht="18" customHeight="1">
      <x:c r="A6" s="24" t="str">
        <x:v>Herring-likes</x:v>
      </x:c>
      <x:c r="B6" s="31" t="n">
        <x:v>25098.1419405148</x:v>
      </x:c>
      <x:c r="C6" s="32" t="n">
        <x:v>3.0658527538988753</x:v>
      </x:c>
      <x:c r="D6" s="32" t="n">
        <x:f>IF(C6="","",(1/'Metadata'!$B$5)^(C6-1))</x:f>
        <x:v>116.37314032502098</x:v>
      </x:c>
      <x:c r="E6" s="31" t="n">
        <x:f>IF(B6=0,"",B6*D6)</x:f>
        <x:v>2920749.5939408233</x:v>
      </x:c>
    </x:row>
    <x:row r="7" ht="18" customHeight="1">
      <x:c r="A7" s="24" t="str">
        <x:v>Molluscs</x:v>
      </x:c>
      <x:c r="B7" s="31" t="n">
        <x:v>22406.596545823097</x:v>
      </x:c>
      <x:c r="C7" s="32" t="n">
        <x:v>2.1007813926887042</x:v>
      </x:c>
      <x:c r="D7" s="32" t="n">
        <x:f>IF(C7="","",(1/'Metadata'!$B$5)^(C7-1))</x:f>
        <x:v>12.611925384695432</x:v>
      </x:c>
      <x:c r="E7" s="31" t="n">
        <x:f>IF(B7=0,"",B7*D7)</x:f>
        <x:v>282590.3237608953</x:v>
      </x:c>
    </x:row>
    <x:row r="8" ht="18" customHeight="1">
      <x:c r="A8" s="24" t="str">
        <x:v>Other fishes &amp; inverts</x:v>
      </x:c>
      <x:c r="B8" s="31" t="n">
        <x:v>121655.11614862122</x:v>
      </x:c>
      <x:c r="C8" s="32" t="n">
        <x:v>3.4283117444337936</x:v>
      </x:c>
      <x:c r="D8" s="32" t="n">
        <x:f>IF(C8="","",(1/'Metadata'!$B$5)^(C8-1))</x:f>
        <x:v>268.1092170701309</x:v>
      </x:c>
      <x:c r="E8" s="31" t="n">
        <x:f>IF(B8=0,"",B8*D8)</x:f>
        <x:v>32616857.943182677</x:v>
      </x:c>
    </x:row>
    <x:row r="9" ht="18" customHeight="1">
      <x:c r="A9" s="24" t="str">
        <x:v>Perch-likes</x:v>
      </x:c>
      <x:c r="B9" s="31" t="n">
        <x:v>115258.7509581911</x:v>
      </x:c>
      <x:c r="C9" s="32" t="n">
        <x:v>3.592529813303126</x:v>
      </x:c>
      <x:c r="D9" s="32" t="n">
        <x:f>IF(C9="","",(1/'Metadata'!$B$5)^(C9-1))</x:f>
        <x:v>391.3179892719866</x:v>
      </x:c>
      <x:c r="E9" s="31" t="n">
        <x:f>IF(B9=0,"",B9*D9)</x:f>
        <x:v>45102822.67096</x:v>
      </x:c>
    </x:row>
    <x:row r="10" ht="18" customHeight="1">
      <x:c r="A10" s="24" t="str">
        <x:v>Salmon, smelts, etc</x:v>
      </x:c>
      <x:c r="B10" s="31" t="n">
        <x:v>644.3311274291999</x:v>
      </x:c>
      <x:c r="C10" s="32" t="n">
        <x:v>4.157123915719983</x:v>
      </x:c>
      <x:c r="D10" s="32" t="n">
        <x:f>IF(C10="","",(1/'Metadata'!$B$5)^(C10-1))</x:f>
        <x:v>1435.8990749525822</x:v>
      </x:c>
      <x:c r="E10" s="31" t="n">
        <x:f>IF(B10=0,"",B10*D10)</x:f>
        <x:v>925194.4698387425</x:v>
      </x:c>
    </x:row>
    <x:row r="11" ht="18" customHeight="1">
      <x:c r="A11" s="24" t="str">
        <x:v>Scorpionfishes</x:v>
      </x:c>
      <x:c r="B11" s="31" t="n">
        <x:v>4734.427981729001</x:v>
      </x:c>
      <x:c r="C11" s="32" t="n">
        <x:v>3.691516002012012</x:v>
      </x:c>
      <x:c r="D11" s="32" t="n">
        <x:f>IF(C11="","",(1/'Metadata'!$B$5)^(C11-1))</x:f>
        <x:v>491.4914893582643</x:v>
      </x:c>
      <x:c r="E11" s="31" t="n">
        <x:f>IF(B11=0,"",B11*D11)</x:f>
        <x:v>2326931.0599994278</x:v>
      </x:c>
    </x:row>
    <x:row r="12" ht="18" customHeight="1">
      <x:c r="A12" s="24" t="str">
        <x:v>Sharks &amp; rays</x:v>
      </x:c>
      <x:c r="B12" s="31" t="n">
        <x:v>9148.7216320734</x:v>
      </x:c>
      <x:c r="C12" s="32" t="n">
        <x:v>4.087283560049473</x:v>
      </x:c>
      <x:c r="D12" s="32" t="n">
        <x:f>IF(C12="","",(1/'Metadata'!$B$5)^(C12-1))</x:f>
        <x:v>1222.5976594823267</x:v>
      </x:c>
      <x:c r="E12" s="31" t="n">
        <x:f>IF(B12=0,"",B12*D12)</x:f>
        <x:v>11185205.654628271</x:v>
      </x:c>
    </x:row>
    <x:row r="13" ht="18" customHeight="1">
      <x:c r="A13" s="24" t="str">
        <x:v>Tuna &amp; billfishes</x:v>
      </x:c>
      <x:c r="B13" s="31" t="n">
        <x:v>10210.346465610499</x:v>
      </x:c>
      <x:c r="C13" s="32" t="n">
        <x:v>4.398749816320576</x:v>
      </x:c>
      <x:c r="D13" s="32" t="n">
        <x:f>IF(C13="","",(1/'Metadata'!$B$5)^(C13-1))</x:f>
        <x:v>2504.665976406188</x:v>
      </x:c>
      <x:c r="E13" s="31" t="n">
        <x:f>IF(B13=0,"",B13*D13)</x:f>
        <x:v>25573507.39973379</x:v>
      </x:c>
    </x:row>
  </x:sheetData>
  <x:pageMargins left="0.7" right="0.7" top="0.75" bottom="0.75" header="0.3" footer="0.3"/>
  <x:tableParts count="1">
    <x:tablePart xmlns:r="http://schemas.openxmlformats.org/officeDocument/2006/relationships" r:id="R425daa7bec7b4f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13312.883097783402</x:v>
      </x:c>
      <x:c r="C2" s="32" t="n">
        <x:v>3.76524550837492</x:v>
      </x:c>
      <x:c r="D2" s="32" t="n">
        <x:f>IF(C2="","",(1/'Metadata'!$B$5)^(C2-1))</x:f>
        <x:v>582.4323760326856</x:v>
      </x:c>
      <x:c r="E2" s="31" t="n">
        <x:f>IF(B2=0,"",B2*D2)</x:f>
        <x:v>7753854.134487367</x:v>
      </x:c>
    </x:row>
    <x:row r="3" ht="18" customHeight="1">
      <x:c r="A3" s="24" t="str">
        <x:v>Jellyfish</x:v>
      </x:c>
      <x:c r="B3" s="31" t="n">
        <x:v>53.6033366336</x:v>
      </x:c>
      <x:c r="C3" s="32" t="n">
        <x:v>2.5</x:v>
      </x:c>
      <x:c r="D3" s="32" t="n">
        <x:f>IF(C3="","",(1/'Metadata'!$B$5)^(C3-1))</x:f>
        <x:v>31.622776601683793</x:v>
      </x:c>
      <x:c r="E3" s="31" t="n">
        <x:f>IF(B3=0,"",B3*D3)</x:f>
        <x:v>1695.0863394691858</x:v>
      </x:c>
    </x:row>
    <x:row r="4" ht="18" customHeight="1">
      <x:c r="A4" s="24" t="str">
        <x:v>Large bathydemersals (&gt;=90 cm)</x:v>
      </x:c>
      <x:c r="B4" s="31" t="n">
        <x:v>1496.1450848323002</x:v>
      </x:c>
      <x:c r="C4" s="32" t="n">
        <x:v>4.0170657301113035</x:v>
      </x:c>
      <x:c r="D4" s="32" t="n">
        <x:f>IF(C4="","",(1/'Metadata'!$B$5)^(C4-1))</x:f>
        <x:v>1040.0775687987539</x:v>
      </x:c>
      <x:c r="E4" s="31" t="n">
        <x:f>IF(B4=0,"",B4*D4)</x:f>
        <x:v>1556106.9424025842</x:v>
      </x:c>
    </x:row>
    <x:row r="5" ht="18" customHeight="1">
      <x:c r="A5" s="24" t="str">
        <x:v>Large bathypelagics (&gt;=90 cm)</x:v>
      </x:c>
      <x:c r="B5" s="31" t="n">
        <x:v>946.2110762486</x:v>
      </x:c>
      <x:c r="C5" s="32" t="n">
        <x:v>3.5638340970930753</x:v>
      </x:c>
      <x:c r="D5" s="32" t="n">
        <x:f>IF(C5="","",(1/'Metadata'!$B$5)^(C5-1))</x:f>
        <x:v>366.29762019018204</x:v>
      </x:c>
      <x:c r="E5" s="31" t="n">
        <x:f>IF(B5=0,"",B5*D5)</x:f>
        <x:v>346594.86542745307</x:v>
      </x:c>
    </x:row>
    <x:row r="6" ht="18" customHeight="1">
      <x:c r="A6" s="24" t="str">
        <x:v>Large benthopelagics (&gt;=90 cm)</x:v>
      </x:c>
      <x:c r="B6" s="31" t="n">
        <x:v>4861.293908264499</x:v>
      </x:c>
      <x:c r="C6" s="32" t="n">
        <x:v>4.375626518593936</x:v>
      </x:c>
      <x:c r="D6" s="32" t="n">
        <x:f>IF(C6="","",(1/'Metadata'!$B$5)^(C6-1))</x:f>
        <x:v>2374.797147470951</x:v>
      </x:c>
      <x:c r="E6" s="31" t="n">
        <x:f>IF(B6=0,"",B6*D6)</x:f>
        <x:v>11544586.906364443</x:v>
      </x:c>
    </x:row>
    <x:row r="7" ht="18" customHeight="1">
      <x:c r="A7" s="24" t="str">
        <x:v>Large demersals (&gt;=90 cm)</x:v>
      </x:c>
      <x:c r="B7" s="31" t="n">
        <x:v>60991.7038786161</x:v>
      </x:c>
      <x:c r="C7" s="32" t="n">
        <x:v>4.393388115855432</x:v>
      </x:c>
      <x:c r="D7" s="32" t="n">
        <x:f>IF(C7="","",(1/'Metadata'!$B$5)^(C7-1))</x:f>
        <x:v>2473.934037506615</x:v>
      </x:c>
      <x:c r="E7" s="31" t="n">
        <x:f>IF(B7=0,"",B7*D7)</x:f>
        <x:v>150889452.23083258</x:v>
      </x:c>
    </x:row>
    <x:row r="8" ht="18" customHeight="1">
      <x:c r="A8" s="24" t="str">
        <x:v>Large flatfishes (&gt;=90 cm)</x:v>
      </x:c>
      <x:c r="B8" s="31" t="n">
        <x:v>233.7882714381</x:v>
      </x:c>
      <x:c r="C8" s="32" t="n">
        <x:v>3.8487332321051984</x:v>
      </x:c>
      <x:c r="D8" s="32" t="n">
        <x:f>IF(C8="","",(1/'Metadata'!$B$5)^(C8-1))</x:f>
        <x:v>705.883827847368</x:v>
      </x:c>
      <x:c r="E8" s="31" t="n">
        <x:f>IF(B8=0,"",B8*D8)</x:f>
        <x:v>165027.35994854552</x:v>
      </x:c>
    </x:row>
    <x:row r="9" ht="18" customHeight="1">
      <x:c r="A9" s="24" t="str">
        <x:v>Large pelagics (&gt;=90 cm)</x:v>
      </x:c>
      <x:c r="B9" s="31" t="n">
        <x:v>9615.234972641902</x:v>
      </x:c>
      <x:c r="C9" s="32" t="n">
        <x:v>4.400533579098274</x:v>
      </x:c>
      <x:c r="D9" s="32" t="n">
        <x:f>IF(C9="","",(1/'Metadata'!$B$5)^(C9-1))</x:f>
        <x:v>2514.974460112367</x:v>
      </x:c>
      <x:c r="E9" s="31" t="n">
        <x:f>IF(B9=0,"",B9*D9)</x:f>
        <x:v>24182070.384173617</x:v>
      </x:c>
    </x:row>
    <x:row r="10" ht="18" customHeight="1">
      <x:c r="A10" s="24" t="str">
        <x:v>Large rays (&gt;=90 cm)</x:v>
      </x:c>
      <x:c r="B10" s="31" t="n">
        <x:v>1516.1039983649002</x:v>
      </x:c>
      <x:c r="C10" s="32" t="n">
        <x:v>3.810328113867381</x:v>
      </x:c>
      <x:c r="D10" s="32" t="n">
        <x:f>IF(C10="","",(1/'Metadata'!$B$5)^(C10-1))</x:f>
        <x:v>646.1422116403752</x:v>
      </x:c>
      <x:c r="E10" s="31" t="n">
        <x:f>IF(B10=0,"",B10*D10)</x:f>
        <x:v>979618.7905803124</x:v>
      </x:c>
    </x:row>
    <x:row r="11" ht="18" customHeight="1">
      <x:c r="A11" s="24" t="str">
        <x:v>Large reef assoc. fish (&gt;=90 cm)</x:v>
      </x:c>
      <x:c r="B11" s="31" t="n">
        <x:v>1896.7801232111</x:v>
      </x:c>
      <x:c r="C11" s="32" t="n">
        <x:v>3.7692994416953582</x:v>
      </x:c>
      <x:c r="D11" s="32" t="n">
        <x:f>IF(C11="","",(1/'Metadata'!$B$5)^(C11-1))</x:f>
        <x:v>587.8945602312979</x:v>
      </x:c>
      <x:c r="E11" s="31" t="n">
        <x:f>IF(B11=0,"",B11*D11)</x:f>
        <x:v>1115106.7163906568</x:v>
      </x:c>
    </x:row>
    <x:row r="12" ht="18" customHeight="1">
      <x:c r="A12" s="24" t="str">
        <x:v>Large sharks (&gt;=90 cm)</x:v>
      </x:c>
      <x:c r="B12" s="31" t="n">
        <x:v>5500.5596436468995</x:v>
      </x:c>
      <x:c r="C12" s="32" t="n">
        <x:v>4.238177268619913</x:v>
      </x:c>
      <x:c r="D12" s="32" t="n">
        <x:f>IF(C12="","",(1/'Metadata'!$B$5)^(C12-1))</x:f>
        <x:v>1730.5225729985934</x:v>
      </x:c>
      <x:c r="E12" s="31" t="n">
        <x:f>IF(B12=0,"",B12*D12)</x:f>
        <x:v>9518842.62745606</x:v>
      </x:c>
    </x:row>
    <x:row r="13" ht="18" customHeight="1">
      <x:c r="A13" s="24" t="str">
        <x:v>Lobsters, crabs</x:v>
      </x:c>
      <x:c r="B13" s="31" t="n">
        <x:v>1894.8063457267</x:v>
      </x:c>
      <x:c r="C13" s="32" t="n">
        <x:v>3.007033494849221</x:v>
      </x:c>
      <x:c r="D13" s="32" t="n">
        <x:f>IF(C13="","",(1/'Metadata'!$B$5)^(C13-1))</x:f>
        <x:v>101.63270738099412</x:v>
      </x:c>
      <x:c r="E13" s="31" t="n">
        <x:f>IF(B13=0,"",B13*D13)</x:f>
        <x:v>192574.2988788925</x:v>
      </x:c>
    </x:row>
    <x:row r="14" ht="18" customHeight="1">
      <x:c r="A14" s="24" t="str">
        <x:v>Medium bathydemersals (30 - 89 cm)</x:v>
      </x:c>
      <x:c r="B14" s="31" t="n">
        <x:v>5449.985068316701</x:v>
      </x:c>
      <x:c r="C14" s="32" t="n">
        <x:v>4.197545174361539</x:v>
      </x:c>
      <x:c r="D14" s="32" t="n">
        <x:f>IF(C14="","",(1/'Metadata'!$B$5)^(C14-1))</x:f>
        <x:v>1575.9599421226465</x:v>
      </x:c>
      <x:c r="E14" s="31" t="n">
        <x:f>IF(B14=0,"",B14*D14)</x:f>
        <x:v>8588958.152833674</x:v>
      </x:c>
    </x:row>
    <x:row r="15" ht="18" customHeight="1">
      <x:c r="A15" s="24" t="str">
        <x:v>Medium bathypelagics (30 - 89 cm)</x:v>
      </x:c>
      <x:c r="B15" s="31" t="n">
        <x:v>612.8238081185</x:v>
      </x:c>
      <x:c r="C15" s="32" t="n">
        <x:v>4.065866728276172</x:v>
      </x:c>
      <x:c r="D15" s="32" t="n">
        <x:f>IF(C15="","",(1/'Metadata'!$B$5)^(C15-1))</x:f>
        <x:v>1163.7688494624472</x:v>
      </x:c>
      <x:c r="E15" s="31" t="n">
        <x:f>IF(B15=0,"",B15*D15)</x:f>
        <x:v>713185.2580972622</x:v>
      </x:c>
    </x:row>
    <x:row r="16" ht="18" customHeight="1">
      <x:c r="A16" s="24" t="str">
        <x:v>Medium benthopelagics (30 - 89 cm)</x:v>
      </x:c>
      <x:c r="B16" s="31" t="n">
        <x:v>37273.156132389195</x:v>
      </x:c>
      <x:c r="C16" s="32" t="n">
        <x:v>3.8601260165867566</x:v>
      </x:c>
      <x:c r="D16" s="32" t="n">
        <x:f>IF(C16="","",(1/'Metadata'!$B$5)^(C16-1))</x:f>
        <x:v>724.646195748634</x:v>
      </x:c>
      <x:c r="E16" s="31" t="n">
        <x:f>IF(B16=0,"",B16*D16)</x:f>
        <x:v>27009850.7948807</x:v>
      </x:c>
    </x:row>
    <x:row r="17" ht="18" customHeight="1">
      <x:c r="A17" s="24" t="str">
        <x:v>Medium demersals (30 - 89 cm)</x:v>
      </x:c>
      <x:c r="B17" s="31" t="n">
        <x:v>107560.64629001029</x:v>
      </x:c>
      <x:c r="C17" s="32" t="n">
        <x:v>3.257318080882605</x:v>
      </x:c>
      <x:c r="D17" s="32" t="n">
        <x:f>IF(C17="","",(1/'Metadata'!$B$5)^(C17-1))</x:f>
        <x:v>180.84982001601878</x:v>
      </x:c>
      <x:c r="E17" s="31" t="n">
        <x:f>IF(B17=0,"",B17*D17)</x:f>
        <x:v>19452323.52235502</x:v>
      </x:c>
    </x:row>
    <x:row r="18" ht="18" customHeight="1">
      <x:c r="A18" s="24" t="str">
        <x:v>Medium pelagics (30 - 89 cm)</x:v>
      </x:c>
      <x:c r="B18" s="31" t="n">
        <x:v>82891.5471015212</x:v>
      </x:c>
      <x:c r="C18" s="32" t="n">
        <x:v>3.69768262964232</x:v>
      </x:c>
      <x:c r="D18" s="32" t="n">
        <x:f>IF(C18="","",(1/'Metadata'!$B$5)^(C18-1))</x:f>
        <x:v>498.52004969507186</x:v>
      </x:c>
      <x:c r="E18" s="31" t="n">
        <x:f>IF(B18=0,"",B18*D18)</x:f>
        <x:v>41323098.180351734</x:v>
      </x:c>
    </x:row>
    <x:row r="19" ht="18" customHeight="1">
      <x:c r="A19" s="24" t="str">
        <x:v>Medium reef assoc. fish (30 - 89 cm)</x:v>
      </x:c>
      <x:c r="B19" s="31" t="n">
        <x:v>1011.9217942874999</x:v>
      </x:c>
      <x:c r="C19" s="32" t="n">
        <x:v>2.9766144287168257</x:v>
      </x:c>
      <x:c r="D19" s="32" t="n">
        <x:f>IF(C19="","",(1/'Metadata'!$B$5)^(C19-1))</x:f>
        <x:v>94.7576820916441</x:v>
      </x:c>
      <x:c r="E19" s="31" t="n">
        <x:f>IF(B19=0,"",B19*D19)</x:f>
        <x:v>95887.36368470099</x:v>
      </x:c>
    </x:row>
    <x:row r="20" ht="18" customHeight="1">
      <x:c r="A20" s="24" t="str">
        <x:v>Other demersal invertebrates</x:v>
      </x:c>
      <x:c r="B20" s="31" t="n">
        <x:v>24074.8298683597</x:v>
      </x:c>
      <x:c r="C20" s="32" t="n">
        <x:v>2.1203298275696745</x:v>
      </x:c>
      <x:c r="D20" s="32" t="n">
        <x:f>IF(C20="","",(1/'Metadata'!$B$5)^(C20-1))</x:f>
        <x:v>13.192582768696422</x:v>
      </x:c>
      <x:c r="E20" s="31" t="n">
        <x:f>IF(B20=0,"",B20*D20)</x:f>
        <x:v>317609.1856806201</x:v>
      </x:c>
    </x:row>
    <x:row r="21" ht="18" customHeight="1">
      <x:c r="A21" s="24" t="str">
        <x:v>Shrimps</x:v>
      </x:c>
      <x:c r="B21" s="31" t="n">
        <x:v>5220.580652761199</x:v>
      </x:c>
      <x:c r="C21" s="32" t="n">
        <x:v>3.077864324921463</x:v>
      </x:c>
      <x:c r="D21" s="32" t="n">
        <x:f>IF(C21="","",(1/'Metadata'!$B$5)^(C21-1))</x:f>
        <x:v>119.6366723872792</x:v>
      </x:c>
      <x:c r="E21" s="31" t="n">
        <x:f>IF(B21=0,"",B21*D21)</x:f>
        <x:v>624572.8972257598</x:v>
      </x:c>
    </x:row>
    <x:row r="22" ht="18" customHeight="1">
      <x:c r="A22" s="24" t="str">
        <x:v>Small benthopelagics (&lt;30 cm)</x:v>
      </x:c>
      <x:c r="B22" s="31" t="n">
        <x:v>280.5251140183</x:v>
      </x:c>
      <x:c r="C22" s="32" t="n">
        <x:v>3.426128287619981</x:v>
      </x:c>
      <x:c r="D22" s="32" t="n">
        <x:f>IF(C22="","",(1/'Metadata'!$B$5)^(C22-1))</x:f>
        <x:v>266.76465526960175</x:v>
      </x:c>
      <x:c r="E22" s="31" t="n">
        <x:f>IF(B22=0,"",B22*D22)</x:f>
        <x:v>74834.18533555751</x:v>
      </x:c>
    </x:row>
    <x:row r="23" ht="18" customHeight="1">
      <x:c r="A23" s="24" t="str">
        <x:v>Small demersals (&lt;30 cm)</x:v>
      </x:c>
      <x:c r="B23" s="31" t="n">
        <x:v>2971.3388843357006</x:v>
      </x:c>
      <x:c r="C23" s="32" t="n">
        <x:v>3.326303349611271</x:v>
      </x:c>
      <x:c r="D23" s="32" t="n">
        <x:f>IF(C23="","",(1/'Metadata'!$B$5)^(C23-1))</x:f>
        <x:v>211.98413025811575</x:v>
      </x:c>
      <x:c r="E23" s="31" t="n">
        <x:f>IF(B23=0,"",B23*D23)</x:f>
        <x:v>629876.6890980235</x:v>
      </x:c>
    </x:row>
    <x:row r="24" ht="18" customHeight="1">
      <x:c r="A24" s="24" t="str">
        <x:v>Small pelagics (&lt;30 cm)</x:v>
      </x:c>
      <x:c r="B24" s="31" t="n">
        <x:v>52297.6171948469</x:v>
      </x:c>
      <x:c r="C24" s="32" t="n">
        <x:v>3.0877576653999887</x:v>
      </x:c>
      <x:c r="D24" s="32" t="n">
        <x:f>IF(C24="","",(1/'Metadata'!$B$5)^(C24-1))</x:f>
        <x:v>122.39330588909334</x:v>
      </x:c>
      <x:c r="E24" s="31" t="n">
        <x:f>IF(B24=0,"",B24*D24)</x:f>
        <x:v>6400878.2585996045</x:v>
      </x:c>
    </x:row>
    <x:row r="25" ht="18" customHeight="1">
      <x:c r="A25" s="24" t="str">
        <x:v>Small reef assoc. fish (&lt;30 cm)</x:v>
      </x:c>
      <x:c r="B25" s="31" t="n">
        <x:v>4.016395122900001</x:v>
      </x:c>
      <x:c r="C25" s="32" t="n">
        <x:v>3.5081265742583194</x:v>
      </x:c>
      <x:c r="D25" s="32" t="n">
        <x:f>IF(C25="","",(1/'Metadata'!$B$5)^(C25-1))</x:f>
        <x:v>322.2007702156888</x:v>
      </x:c>
      <x:c r="E25" s="31" t="n">
        <x:f>IF(B25=0,"",B25*D25)</x:f>
        <x:v>1294.0856020889162</x:v>
      </x:c>
    </x:row>
    <x:row r="26" ht="18" customHeight="1">
      <x:c r="A26" s="24" t="str">
        <x:v>Small to medium flatfishes (&lt;90 cm)</x:v>
      </x:c>
      <x:c r="B26" s="31" t="n">
        <x:v>5416.173063267999</x:v>
      </x:c>
      <x:c r="C26" s="32" t="n">
        <x:v>3.650834230167137</x:v>
      </x:c>
      <x:c r="D26" s="32" t="n">
        <x:f>IF(C26="","",(1/'Metadata'!$B$5)^(C26-1))</x:f>
        <x:v>447.54244500097246</x:v>
      </x:c>
      <x:c r="E26" s="31" t="n">
        <x:f>IF(B26=0,"",B26*D26)</x:f>
        <x:v>2423967.335283367</x:v>
      </x:c>
    </x:row>
    <x:row r="27" ht="18" customHeight="1">
      <x:c r="A27" s="24" t="str">
        <x:v>Small to medium rays (&lt;90 cm)</x:v>
      </x:c>
      <x:c r="B27" s="31" t="n">
        <x:v>599.8514814191999</x:v>
      </x:c>
      <x:c r="C27" s="32" t="n">
        <x:v>3.8742252021703067</x:v>
      </x:c>
      <x:c r="D27" s="32" t="n">
        <x:f>IF(C27="","",(1/'Metadata'!$B$5)^(C27-1))</x:f>
        <x:v>748.5575622865065</x:v>
      </x:c>
      <x:c r="E27" s="31" t="n">
        <x:f>IF(B27=0,"",B27*D27)</x:f>
        <x:v>449023.3626651059</x:v>
      </x:c>
    </x:row>
    <x:row r="28" ht="18" customHeight="1">
      <x:c r="A28" s="24" t="str">
        <x:v>Small to medium sharks (&lt;90 cm)</x:v>
      </x:c>
      <x:c r="B28" s="31" t="n">
        <x:v>1532.2065086424</x:v>
      </x:c>
      <x:c r="C28" s="32" t="n">
        <x:v>3.903037369133109</x:v>
      </x:c>
      <x:c r="D28" s="32" t="n">
        <x:f>IF(C28="","",(1/'Metadata'!$B$5)^(C28-1))</x:f>
        <x:v>799.9030801934772</x:v>
      </x:c>
      <x:c r="E28" s="31" t="n">
        <x:f>IF(B28=0,"",B28*D28)</x:f>
        <x:v>1225616.7057555495</x:v>
      </x:c>
    </x:row>
  </x:sheetData>
  <x:pageMargins left="0.7" right="0.7" top="0.75" bottom="0.75" header="0.3" footer="0.3"/>
  <x:tableParts count="1">
    <x:tablePart xmlns:r="http://schemas.openxmlformats.org/officeDocument/2006/relationships" r:id="R56a2a21c9cea469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LME_025</x:v>
      </x:c>
      <x:c r="B2" s="24" t="str">
        <x:v>raw_filtered_tonnes</x:v>
      </x:c>
      <x:c r="C2" s="24" t="n">
        <x:v>429516.3330948258</x:v>
      </x:c>
      <x:c r="D2" s="24" t="str">
        <x:v>tonnes</x:v>
      </x:c>
    </x:row>
    <x:row r="3" ht="18" customHeight="1">
      <x:c r="A3" s="24" t="str">
        <x:v>LME_025</x:v>
      </x:c>
      <x:c r="B3" s="24" t="str">
        <x:v>species_catch_tonnes</x:v>
      </x:c>
      <x:c r="C3" s="24" t="n">
        <x:v>429516.3330948258</x:v>
      </x:c>
      <x:c r="D3" s="24" t="str">
        <x:v>tonnes</x:v>
      </x:c>
    </x:row>
    <x:row r="4" ht="18" customHeight="1">
      <x:c r="A4" s="24" t="str">
        <x:v>LME_025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LME_025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LME_025</x:v>
      </x:c>
      <x:c r="B6" s="24" t="str">
        <x:v>matched_catch_tonnes</x:v>
      </x:c>
      <x:c r="C6" s="24" t="n">
        <x:v>429516.3330948258</x:v>
      </x:c>
      <x:c r="D6" s="24" t="str">
        <x:v>tonnes</x:v>
      </x:c>
    </x:row>
    <x:row r="7" ht="18" customHeight="1">
      <x:c r="A7" s="24" t="str">
        <x:v>LME_025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LME_025</x:v>
      </x:c>
      <x:c r="B8" s="24" t="str">
        <x:v>taxa_count</x:v>
      </x:c>
      <x:c r="C8" s="24" t="n">
        <x:v>432</x:v>
      </x:c>
      <x:c r="D8" s="24" t="str">
        <x:v>count</x:v>
      </x:c>
    </x:row>
    <x:row r="9" ht="18" customHeight="1">
      <x:c r="A9" s="24" t="str">
        <x:v>LME_025</x:v>
      </x:c>
      <x:c r="B9" s="24" t="str">
        <x:v>matched_taxa_count</x:v>
      </x:c>
      <x:c r="C9" s="24" t="n">
        <x:v>432</x:v>
      </x:c>
      <x:c r="D9" s="24" t="str">
        <x:v>count</x:v>
      </x:c>
    </x:row>
    <x:row r="10" ht="18" customHeight="1">
      <x:c r="A10" s="24" t="str">
        <x:v>LME_025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LME_025</x:v>
      </x:c>
      <x:c r="B11" s="24" t="str">
        <x:v>species_ppr</x:v>
      </x:c>
      <x:c r="C11" s="24" t="n">
        <x:v>350502389.2247894</x:v>
      </x:c>
      <x:c r="D11" s="24" t="str">
        <x:v>tonnes_primary_production_equivalent</x:v>
      </x:c>
    </x:row>
    <x:row r="12" ht="18" customHeight="1">
      <x:c r="A12" s="24" t="str">
        <x:v>LME_025</x:v>
      </x:c>
      <x:c r="B12" s="24" t="str">
        <x:v>commercial_ppr</x:v>
      </x:c>
      <x:c r="C12" s="24" t="n">
        <x:v>290052892.74702895</x:v>
      </x:c>
      <x:c r="D12" s="24" t="str">
        <x:v>tonnes_primary_production_equivalent</x:v>
      </x:c>
    </x:row>
    <x:row r="13" ht="18" customHeight="1">
      <x:c r="A13" s="24" t="str">
        <x:v>LME_025</x:v>
      </x:c>
      <x:c r="B13" s="24" t="str">
        <x:v>functional_ppr</x:v>
      </x:c>
      <x:c r="C13" s="24" t="n">
        <x:v>317576506.32073075</x:v>
      </x:c>
      <x:c r="D13" s="24" t="str">
        <x:v>tonnes_primary_production_equivalent</x:v>
      </x:c>
    </x:row>
    <x:row r="14" ht="18" customHeight="1">
      <x:c r="A14" s="24" t="str">
        <x:v>LME_025</x:v>
      </x:c>
      <x:c r="B14" s="24" t="str">
        <x:v>commercial_ppr_difference</x:v>
      </x:c>
      <x:c r="C14" s="24" t="n">
        <x:v>-60449496.477760434</x:v>
      </x:c>
      <x:c r="D14" s="24" t="str">
        <x:v>tonnes_primary_production_equivalent</x:v>
      </x:c>
    </x:row>
    <x:row r="15" ht="18" customHeight="1">
      <x:c r="A15" s="24" t="str">
        <x:v>LME_025</x:v>
      </x:c>
      <x:c r="B15" s="24" t="str">
        <x:v>functional_ppr_difference</x:v>
      </x:c>
      <x:c r="C15" s="24" t="n">
        <x:v>-32925882.904058635</x:v>
      </x:c>
      <x:c r="D15" s="24" t="str">
        <x:v>tonnes_primary_production_equivalent</x:v>
      </x:c>
    </x:row>
    <x:row r="16" ht="18" customHeight="1">
      <x:c r="A16" s="24" t="str">
        <x:v>LME_025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f48492a37474e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LME_025 - Iberian Coastal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