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1505d8b20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5ff6822b6cc491e"/>
    <x:sheet xmlns:r="http://schemas.openxmlformats.org/officeDocument/2006/relationships" name="Commercial" sheetId="2" r:id="Refe1e83d379746ed"/>
    <x:sheet xmlns:r="http://schemas.openxmlformats.org/officeDocument/2006/relationships" name="Functional" sheetId="3" r:id="R3337454d57c74cee"/>
    <x:sheet xmlns:r="http://schemas.openxmlformats.org/officeDocument/2006/relationships" name="Missing TL" sheetId="4" r:id="Rc4b870d0cedb4f9e"/>
    <x:sheet xmlns:r="http://schemas.openxmlformats.org/officeDocument/2006/relationships" name="Validation" sheetId="5" r:id="R55ec5abd32854a36"/>
    <x:sheet xmlns:r="http://schemas.openxmlformats.org/officeDocument/2006/relationships" name="Metadata" sheetId="6" r:id="R99ee253f465d40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b8441f362411b" /><Relationship Type="http://schemas.openxmlformats.org/officeDocument/2006/relationships/theme" Target="/xl/theme/theme1.xml" Id="R689a608aa3d545f3" /><Relationship Type="http://schemas.microsoft.com/office/2022/11/relationships/FeaturePropertyBag" Target="/xl/featurePropertyBag/featurePropertyBag.xml" Id="R7667aa47d2a946ce" /><Relationship Type="http://schemas.openxmlformats.org/officeDocument/2006/relationships/sharedStrings" Target="/xl/sharedStrings.xml" Id="R7c28f7c22274469a" /><Relationship Type="http://schemas.openxmlformats.org/officeDocument/2006/relationships/worksheet" Target="/xl/worksheets/sheet1.xml" Id="R75ff6822b6cc491e" /><Relationship Type="http://schemas.openxmlformats.org/officeDocument/2006/relationships/worksheet" Target="/xl/worksheets/sheet2.xml" Id="Refe1e83d379746ed" /><Relationship Type="http://schemas.openxmlformats.org/officeDocument/2006/relationships/worksheet" Target="/xl/worksheets/sheet3.xml" Id="R3337454d57c74cee" /><Relationship Type="http://schemas.openxmlformats.org/officeDocument/2006/relationships/worksheet" Target="/xl/worksheets/sheet4.xml" Id="Rc4b870d0cedb4f9e" /><Relationship Type="http://schemas.openxmlformats.org/officeDocument/2006/relationships/worksheet" Target="/xl/worksheets/sheet5.xml" Id="R55ec5abd32854a36" /><Relationship Type="http://schemas.openxmlformats.org/officeDocument/2006/relationships/worksheet" Target="/xl/worksheets/sheet6.xml" Id="R99ee253f465d40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9SpeciesTable" displayName="LME029SpeciesTable" ref="A1:U148" headerRowCount="1" totalsRowCount="0" totalsRowShown="0">
  <x:autoFilter ref="A1:U1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9CommercialTable" displayName="LME029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9FunctionalTable" displayName="LME029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9ValidationTable" displayName="LME02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872989ffc64f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96ea3946dc44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1c2095862c41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fed3fc4d6a481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LME_029</x:v>
      </x:c>
      <x:c r="B2" s="24" t="str">
        <x:v>Benguela Current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335403.74085700896</x:v>
      </x:c>
      <x:c r="J2" s="31" t="n">
        <x:v>326904.86425371567</x:v>
      </x:c>
      <x:c r="K2" s="31" t="n">
        <x:v>8498.8766032933</x:v>
      </x:c>
      <x:c r="L2" s="31" t="n">
        <x:v>58482.711901257004</x:v>
      </x:c>
      <x:c r="M2" s="31" t="n">
        <x:v>276921.028955752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63909865.28609549</x:v>
      </x:c>
    </x:row>
    <x:row r="3" ht="18" customHeight="1">
      <x:c r="A3" s="24" t="str">
        <x:v>LME_029</x:v>
      </x:c>
      <x:c r="B3" s="24" t="str">
        <x:v>Benguela Current</x:v>
      </x:c>
      <x:c r="C3" s="24" t="str">
        <x:v>LME</x:v>
      </x:c>
      <x:c r="D3" s="30" t="n">
        <x:v>2019</x:v>
      </x:c>
      <x:c r="E3" s="24" t="str">
        <x:v>Trachurus capensis</x:v>
      </x:c>
      <x:c r="F3" s="24" t="str">
        <x:v>Cape horse mackerel</x:v>
      </x:c>
      <x:c r="G3" s="24" t="str">
        <x:v>Medium pelagics (30 - 89 cm)</x:v>
      </x:c>
      <x:c r="H3" s="24" t="str">
        <x:v>Perch-likes</x:v>
      </x:c>
      <x:c r="I3" s="31" t="n">
        <x:v>333940.2050737805</x:v>
      </x:c>
      <x:c r="J3" s="31" t="n">
        <x:v>333940.2050737805</x:v>
      </x:c>
      <x:c r="K3" s="31" t="n">
        <x:v>0</x:v>
      </x:c>
      <x:c r="L3" s="31" t="n">
        <x:v>313477.54699592816</x:v>
      </x:c>
      <x:c r="M3" s="31" t="n">
        <x:v>20462.6580778523</x:v>
      </x:c>
      <x:c r="N3" s="24" t="str">
        <x:v>trachurus capensis</x:v>
      </x:c>
      <x:c r="O3" s="32" t="n">
        <x:v>3.47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Trachurus capensis</x:v>
      </x:c>
      <x:c r="T3" s="32" t="n">
        <x:f>IF(O3="","",(1/'Metadata'!$B$5)^(O3-1))</x:f>
        <x:v>295.1209226666387</x:v>
      </x:c>
      <x:c r="U3" s="31" t="n">
        <x:f>IF(T3="","",I3*T3)</x:f>
        <x:v>98552741.43686065</x:v>
      </x:c>
    </x:row>
    <x:row r="4" ht="18" customHeight="1">
      <x:c r="A4" s="24" t="str">
        <x:v>LME_029</x:v>
      </x:c>
      <x:c r="B4" s="24" t="str">
        <x:v>Benguela Current</x:v>
      </x:c>
      <x:c r="C4" s="24" t="str">
        <x:v>LME</x:v>
      </x:c>
      <x:c r="D4" s="30" t="n">
        <x:v>2019</x:v>
      </x:c>
      <x:c r="E4" s="24" t="str">
        <x:v>Merluccius</x:v>
      </x:c>
      <x:c r="F4" s="24" t="str">
        <x:v>Hakes</x:v>
      </x:c>
      <x:c r="G4" s="24" t="str">
        <x:v>Medium bathydemersals (30 - 89 cm)</x:v>
      </x:c>
      <x:c r="H4" s="24" t="str">
        <x:v>Cod-likes</x:v>
      </x:c>
      <x:c r="I4" s="31" t="n">
        <x:v>246394.5906820838</x:v>
      </x:c>
      <x:c r="J4" s="31" t="n">
        <x:v>246394.5906820838</x:v>
      </x:c>
      <x:c r="K4" s="31" t="n">
        <x:v>0</x:v>
      </x:c>
      <x:c r="L4" s="31" t="n">
        <x:v>232589.9163469155</x:v>
      </x:c>
      <x:c r="M4" s="31" t="n">
        <x:v>13804.6743351683</x:v>
      </x:c>
      <x:c r="N4" s="24" t="str">
        <x:v>merluccius</x:v>
      </x:c>
      <x:c r="O4" s="32" t="n">
        <x:v>4.27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Merluccius</x:v>
      </x:c>
      <x:c r="T4" s="32" t="n">
        <x:f>IF(O4="","",(1/'Metadata'!$B$5)^(O4-1))</x:f>
        <x:v>1862.0871366628655</x:v>
      </x:c>
      <x:c r="U4" s="31" t="n">
        <x:f>IF(T4="","",I4*T4)</x:f>
        <x:v>458808197.8524202</x:v>
      </x:c>
    </x:row>
    <x:row r="5" ht="18" customHeight="1">
      <x:c r="A5" s="24" t="str">
        <x:v>LME_029</x:v>
      </x:c>
      <x:c r="B5" s="24" t="str">
        <x:v>Benguela Current</x:v>
      </x:c>
      <x:c r="C5" s="24" t="str">
        <x:v>LME</x:v>
      </x:c>
      <x:c r="D5" s="30" t="n">
        <x:v>2019</x:v>
      </x:c>
      <x:c r="E5" s="24" t="str">
        <x:v>Sardinella</x:v>
      </x:c>
      <x:c r="F5" s="24" t="str">
        <x:v>Sardinellas</x:v>
      </x:c>
      <x:c r="G5" s="24" t="str">
        <x:v>Small pelagics (&lt;30 cm)</x:v>
      </x:c>
      <x:c r="H5" s="24" t="str">
        <x:v>Herring-likes</x:v>
      </x:c>
      <x:c r="I5" s="31" t="n">
        <x:v>168049.8497935815</x:v>
      </x:c>
      <x:c r="J5" s="31" t="n">
        <x:v>165613.383632342</x:v>
      </x:c>
      <x:c r="K5" s="31" t="n">
        <x:v>2436.4661612395003</x:v>
      </x:c>
      <x:c r="L5" s="31" t="n">
        <x:v>164327.9833838192</x:v>
      </x:c>
      <x:c r="M5" s="31" t="n">
        <x:v>3721.8664097623</x:v>
      </x:c>
      <x:c r="N5" s="24" t="str">
        <x:v>sardinella</x:v>
      </x:c>
      <x:c r="O5" s="32" t="n">
        <x:v>2.77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Sardinella</x:v>
      </x:c>
      <x:c r="T5" s="32" t="n">
        <x:f>IF(O5="","",(1/'Metadata'!$B$5)^(O5-1))</x:f>
        <x:v>58.8843655355589</x:v>
      </x:c>
      <x:c r="U5" s="31" t="n">
        <x:f>IF(T5="","",I5*T5)</x:f>
        <x:v>9895508.78344102</x:v>
      </x:c>
    </x:row>
    <x:row r="6" ht="18" customHeight="1">
      <x:c r="A6" s="24" t="str">
        <x:v>LME_029</x:v>
      </x:c>
      <x:c r="B6" s="24" t="str">
        <x:v>Benguela Current</x:v>
      </x:c>
      <x:c r="C6" s="24" t="str">
        <x:v>LME</x:v>
      </x:c>
      <x:c r="D6" s="30" t="n">
        <x:v>2019</x:v>
      </x:c>
      <x:c r="E6" s="24" t="str">
        <x:v>Engraulis capensis</x:v>
      </x:c>
      <x:c r="F6" s="24" t="str">
        <x:v>Southern African anchovy</x:v>
      </x:c>
      <x:c r="G6" s="24" t="str">
        <x:v>Small pelagics (&lt;30 cm)</x:v>
      </x:c>
      <x:c r="H6" s="24" t="str">
        <x:v>Anchovies</x:v>
      </x:c>
      <x:c r="I6" s="31" t="n">
        <x:v>163774.3749582084</x:v>
      </x:c>
      <x:c r="J6" s="31" t="n">
        <x:v>154997.6473518229</x:v>
      </x:c>
      <x:c r="K6" s="31" t="n">
        <x:v>8776.7276063855</x:v>
      </x:c>
      <x:c r="L6" s="31" t="n">
        <x:v>154997.6473518229</x:v>
      </x:c>
      <x:c r="M6" s="31" t="n">
        <x:v>8776.7276063855</x:v>
      </x:c>
      <x:c r="N6" s="24" t="str">
        <x:v>engraulis capensis</x:v>
      </x:c>
      <x:c r="O6" s="32" t="n">
        <x:v>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Engraulis capensis</x:v>
      </x:c>
      <x:c r="T6" s="32" t="n">
        <x:f>IF(O6="","",(1/'Metadata'!$B$5)^(O6-1))</x:f>
        <x:v>100</x:v>
      </x:c>
      <x:c r="U6" s="31" t="n">
        <x:f>IF(T6="","",I6*T6)</x:f>
        <x:v>16377437.49582084</x:v>
      </x:c>
    </x:row>
    <x:row r="7" ht="18" customHeight="1">
      <x:c r="A7" s="24" t="str">
        <x:v>LME_029</x:v>
      </x:c>
      <x:c r="B7" s="24" t="str">
        <x:v>Benguela Current</x:v>
      </x:c>
      <x:c r="C7" s="24" t="str">
        <x:v>LME</x:v>
      </x:c>
      <x:c r="D7" s="30" t="n">
        <x:v>2019</x:v>
      </x:c>
      <x:c r="E7" s="24" t="str">
        <x:v>Trachurus trecae</x:v>
      </x:c>
      <x:c r="F7" s="24" t="str">
        <x:v>Cunene horse mackerel</x:v>
      </x:c>
      <x:c r="G7" s="24" t="str">
        <x:v>Medium benthopelagics (30 - 89 cm)</x:v>
      </x:c>
      <x:c r="H7" s="24" t="str">
        <x:v>Perch-likes</x:v>
      </x:c>
      <x:c r="I7" s="31" t="n">
        <x:v>68274.0452961552</x:v>
      </x:c>
      <x:c r="J7" s="31" t="n">
        <x:v>68274.0452961552</x:v>
      </x:c>
      <x:c r="K7" s="31" t="n">
        <x:v>0</x:v>
      </x:c>
      <x:c r="L7" s="31" t="n">
        <x:v>62572.8454204677</x:v>
      </x:c>
      <x:c r="M7" s="31" t="n">
        <x:v>5701.1998756875</x:v>
      </x:c>
      <x:c r="N7" s="24" t="str">
        <x:v>trachurus trecae</x:v>
      </x:c>
      <x:c r="O7" s="32" t="n">
        <x:v>3.49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trecae</x:v>
      </x:c>
      <x:c r="T7" s="32" t="n">
        <x:f>IF(O7="","",(1/'Metadata'!$B$5)^(O7-1))</x:f>
        <x:v>309.0295432513592</x:v>
      </x:c>
      <x:c r="U7" s="31" t="n">
        <x:f>IF(T7="","",I7*T7)</x:f>
        <x:v>21098697.03379345</x:v>
      </x:c>
    </x:row>
    <x:row r="8" ht="18" customHeight="1">
      <x:c r="A8" s="24" t="str">
        <x:v>LME_029</x:v>
      </x:c>
      <x:c r="B8" s="24" t="str">
        <x:v>Benguela Current</x:v>
      </x:c>
      <x:c r="C8" s="24" t="str">
        <x:v>LME</x:v>
      </x:c>
      <x:c r="D8" s="30" t="n">
        <x:v>2019</x:v>
      </x:c>
      <x:c r="E8" s="24" t="str">
        <x:v>Etrumeus whiteheadi</x:v>
      </x:c>
      <x:c r="F8" s="24" t="str">
        <x:v>Whitehead's round herring</x:v>
      </x:c>
      <x:c r="G8" s="24" t="str">
        <x:v>Small pelagics (&lt;30 cm)</x:v>
      </x:c>
      <x:c r="H8" s="24" t="str">
        <x:v>Herring-likes</x:v>
      </x:c>
      <x:c r="I8" s="31" t="n">
        <x:v>28230.3001662291</x:v>
      </x:c>
      <x:c r="J8" s="31" t="n">
        <x:v>28230.3001662291</x:v>
      </x:c>
      <x:c r="K8" s="31" t="n">
        <x:v>0</x:v>
      </x:c>
      <x:c r="L8" s="31" t="n">
        <x:v>28230.3001662291</x:v>
      </x:c>
      <x:c r="M8" s="31" t="n">
        <x:v>0</x:v>
      </x:c>
      <x:c r="N8" s="24" t="str">
        <x:v>etrumeus whiteheadi</x:v>
      </x:c>
      <x:c r="O8" s="32" t="n">
        <x:v>3.4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Etrumeus whiteheadi</x:v>
      </x:c>
      <x:c r="T8" s="32" t="n">
        <x:f>IF(O8="","",(1/'Metadata'!$B$5)^(O8-1))</x:f>
        <x:v>251.18864315095797</x:v>
      </x:c>
      <x:c r="U8" s="31" t="n">
        <x:f>IF(T8="","",I8*T8)</x:f>
        <x:v>7091130.794499351</x:v>
      </x:c>
    </x:row>
    <x:row r="9" ht="18" customHeight="1">
      <x:c r="A9" s="24" t="str">
        <x:v>LME_029</x:v>
      </x:c>
      <x:c r="B9" s="24" t="str">
        <x:v>Benguela Current</x:v>
      </x:c>
      <x:c r="C9" s="24" t="str">
        <x:v>LME</x:v>
      </x:c>
      <x:c r="D9" s="30" t="n">
        <x:v>2019</x:v>
      </x:c>
      <x:c r="E9" s="24" t="str">
        <x:v>Lophius vomerinus</x:v>
      </x:c>
      <x:c r="F9" s="24" t="str">
        <x:v>Devil anglerfish</x:v>
      </x:c>
      <x:c r="G9" s="24" t="str">
        <x:v>Medium demersals (30 - 89 cm)</x:v>
      </x:c>
      <x:c r="H9" s="24" t="str">
        <x:v>Other fishes &amp; inverts</x:v>
      </x:c>
      <x:c r="I9" s="31" t="n">
        <x:v>23539.7554977603</x:v>
      </x:c>
      <x:c r="J9" s="31" t="n">
        <x:v>9392.0230185655</x:v>
      </x:c>
      <x:c r="K9" s="31" t="n">
        <x:v>14147.7324791948</x:v>
      </x:c>
      <x:c r="L9" s="31" t="n">
        <x:v>6998.6225302887</x:v>
      </x:c>
      <x:c r="M9" s="31" t="n">
        <x:v>16541.1329674716</x:v>
      </x:c>
      <x:c r="N9" s="24" t="str">
        <x:v>lophius vomerinus</x:v>
      </x:c>
      <x:c r="O9" s="32" t="n">
        <x:v>4.46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Lophius vomerinus</x:v>
      </x:c>
      <x:c r="T9" s="32" t="n">
        <x:f>IF(O9="","",(1/'Metadata'!$B$5)^(O9-1))</x:f>
        <x:v>2884.031503126606</x:v>
      </x:c>
      <x:c r="U9" s="31" t="n">
        <x:f>IF(T9="","",I9*T9)</x:f>
        <x:v>67889396.43143842</x:v>
      </x:c>
    </x:row>
    <x:row r="10" ht="18" customHeight="1">
      <x:c r="A10" s="24" t="str">
        <x:v>LME_029</x:v>
      </x:c>
      <x:c r="B10" s="24" t="str">
        <x:v>Benguela Current</x:v>
      </x:c>
      <x:c r="C10" s="24" t="str">
        <x:v>LME</x:v>
      </x:c>
      <x:c r="D10" s="30" t="n">
        <x:v>2019</x:v>
      </x:c>
      <x:c r="E10" s="24" t="str">
        <x:v>Merluccius capensis</x:v>
      </x:c>
      <x:c r="F10" s="24" t="str">
        <x:v>Shallow-water Cape hake</x:v>
      </x:c>
      <x:c r="G10" s="24" t="str">
        <x:v>Large bathydemersals (&gt;=90 cm)</x:v>
      </x:c>
      <x:c r="H10" s="24" t="str">
        <x:v>Cod-likes</x:v>
      </x:c>
      <x:c r="I10" s="31" t="n">
        <x:v>21296.1681022197</x:v>
      </x:c>
      <x:c r="J10" s="31" t="n">
        <x:v>11169.1436655305</x:v>
      </x:c>
      <x:c r="K10" s="31" t="n">
        <x:v>10127.0244366892</x:v>
      </x:c>
      <x:c r="L10" s="31" t="n">
        <x:v>11169.1436655305</x:v>
      </x:c>
      <x:c r="M10" s="31" t="n">
        <x:v>10127.0244366892</x:v>
      </x:c>
      <x:c r="N10" s="24" t="str">
        <x:v>merluccius capensis</x:v>
      </x:c>
      <x:c r="O10" s="32" t="n">
        <x:v>4.46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Merluccius capensis</x:v>
      </x:c>
      <x:c r="T10" s="32" t="n">
        <x:f>IF(O10="","",(1/'Metadata'!$B$5)^(O10-1))</x:f>
        <x:v>2884.031503126606</x:v>
      </x:c>
      <x:c r="U10" s="31" t="n">
        <x:f>IF(T10="","",I10*T10)</x:f>
        <x:v>61418819.702681564</x:v>
      </x:c>
    </x:row>
    <x:row r="11" ht="18" customHeight="1">
      <x:c r="A11" s="24" t="str">
        <x:v>LME_029</x:v>
      </x:c>
      <x:c r="B11" s="24" t="str">
        <x:v>Benguela Current</x:v>
      </x:c>
      <x:c r="C11" s="24" t="str">
        <x:v>LME</x:v>
      </x:c>
      <x:c r="D11" s="30" t="n">
        <x:v>2019</x:v>
      </x:c>
      <x:c r="E11" s="24" t="str">
        <x:v>Clupeidae</x:v>
      </x:c>
      <x:c r="F11" s="24" t="str">
        <x:v>Herrings, sardines, menhadens</x:v>
      </x:c>
      <x:c r="G11" s="24" t="str">
        <x:v>Small pelagics (&lt;30 cm)</x:v>
      </x:c>
      <x:c r="H11" s="24" t="str">
        <x:v>Herring-likes</x:v>
      </x:c>
      <x:c r="I11" s="31" t="n">
        <x:v>15847.9406691375</x:v>
      </x:c>
      <x:c r="J11" s="31" t="n">
        <x:v>0</x:v>
      </x:c>
      <x:c r="K11" s="31" t="n">
        <x:v>15847.9406691375</x:v>
      </x:c>
      <x:c r="L11" s="31" t="n">
        <x:v>0</x:v>
      </x:c>
      <x:c r="M11" s="31" t="n">
        <x:v>15847.9406691375</x:v>
      </x:c>
      <x:c r="N11" s="24" t="str">
        <x:v>clupeidae</x:v>
      </x:c>
      <x:c r="O11" s="32" t="n">
        <x:v>3.16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Clupeidae</x:v>
      </x:c>
      <x:c r="T11" s="32" t="n">
        <x:f>IF(O11="","",(1/'Metadata'!$B$5)^(O11-1))</x:f>
        <x:v>144.5439770745928</x:v>
      </x:c>
      <x:c r="U11" s="31" t="n">
        <x:f>IF(T11="","",I11*T11)</x:f>
        <x:v>2290724.3727593175</x:v>
      </x:c>
    </x:row>
    <x:row r="12" ht="18" customHeight="1">
      <x:c r="A12" s="24" t="str">
        <x:v>LME_029</x:v>
      </x:c>
      <x:c r="B12" s="24" t="str">
        <x:v>Benguela Current</x:v>
      </x:c>
      <x:c r="C12" s="24" t="str">
        <x:v>LME</x:v>
      </x:c>
      <x:c r="D12" s="30" t="n">
        <x:v>2019</x:v>
      </x:c>
      <x:c r="E12" s="24" t="str">
        <x:v>Trichiurus lepturus</x:v>
      </x:c>
      <x:c r="F12" s="24" t="str">
        <x:v>Largehead hairtail</x:v>
      </x:c>
      <x:c r="G12" s="24" t="str">
        <x:v>Large benthopelagics (&gt;=90 cm)</x:v>
      </x:c>
      <x:c r="H12" s="24" t="str">
        <x:v>Perch-likes</x:v>
      </x:c>
      <x:c r="I12" s="31" t="n">
        <x:v>13635.782515516</x:v>
      </x:c>
      <x:c r="J12" s="31" t="n">
        <x:v>13635.782515516</x:v>
      </x:c>
      <x:c r="K12" s="31" t="n">
        <x:v>0</x:v>
      </x:c>
      <x:c r="L12" s="31" t="n">
        <x:v>12123.680827055301</x:v>
      </x:c>
      <x:c r="M12" s="31" t="n">
        <x:v>1512.1016884607</x:v>
      </x:c>
      <x:c r="N12" s="24" t="str">
        <x:v>trichiurus lepturus</x:v>
      </x:c>
      <x:c r="O12" s="32" t="n">
        <x:v>4.42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Trichiurus lepturus</x:v>
      </x:c>
      <x:c r="T12" s="32" t="n">
        <x:f>IF(O12="","",(1/'Metadata'!$B$5)^(O12-1))</x:f>
        <x:v>2630.2679918953813</x:v>
      </x:c>
      <x:c r="U12" s="31" t="n">
        <x:f>IF(T12="","",I12*T12)</x:f>
        <x:v>35865762.29500842</x:v>
      </x:c>
    </x:row>
    <x:row r="13" ht="18" customHeight="1">
      <x:c r="A13" s="24" t="str">
        <x:v>LME_029</x:v>
      </x:c>
      <x:c r="B13" s="24" t="str">
        <x:v>Benguela Current</x:v>
      </x:c>
      <x:c r="C13" s="24" t="str">
        <x:v>LME</x:v>
      </x:c>
      <x:c r="D13" s="30" t="n">
        <x:v>2019</x:v>
      </x:c>
      <x:c r="E13" s="24" t="str">
        <x:v>Pleuronectiformes</x:v>
      </x:c>
      <x:c r="F13" s="24" t="str">
        <x:v>Flatfishes</x:v>
      </x:c>
      <x:c r="G13" s="24" t="str">
        <x:v>Small to medium flatfishes (&lt;90 cm)</x:v>
      </x:c>
      <x:c r="H13" s="24" t="str">
        <x:v>Flatfishes</x:v>
      </x:c>
      <x:c r="I13" s="31" t="n">
        <x:v>11939.788597003</x:v>
      </x:c>
      <x:c r="J13" s="31" t="n">
        <x:v>11939.788597003</x:v>
      </x:c>
      <x:c r="K13" s="31" t="n">
        <x:v>0</x:v>
      </x:c>
      <x:c r="L13" s="31" t="n">
        <x:v>11939.788597003</x:v>
      </x:c>
      <x:c r="M13" s="31" t="n">
        <x:v>0</x:v>
      </x:c>
      <x:c r="N13" s="24" t="str">
        <x:v>pleuronectiformes</x:v>
      </x:c>
      <x:c r="O13" s="32" t="n">
        <x:v>3.57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Pleuronectiformes</x:v>
      </x:c>
      <x:c r="T13" s="32" t="n">
        <x:f>IF(O13="","",(1/'Metadata'!$B$5)^(O13-1))</x:f>
        <x:v>371.5352290971724</x:v>
      </x:c>
      <x:c r="U13" s="31" t="n">
        <x:f>IF(T13="","",I13*T13)</x:f>
        <x:v>4436052.091759317</x:v>
      </x:c>
    </x:row>
    <x:row r="14" ht="18" customHeight="1">
      <x:c r="A14" s="24" t="str">
        <x:v>LME_029</x:v>
      </x:c>
      <x:c r="B14" s="24" t="str">
        <x:v>Benguela Current</x:v>
      </x:c>
      <x:c r="C14" s="24" t="str">
        <x:v>LME</x:v>
      </x:c>
      <x:c r="D14" s="30" t="n">
        <x:v>2019</x:v>
      </x:c>
      <x:c r="E14" s="24" t="str">
        <x:v>Dentex macrophthalmus</x:v>
      </x:c>
      <x:c r="F14" s="24" t="str">
        <x:v>Large-eye dentex</x:v>
      </x:c>
      <x:c r="G14" s="24" t="str">
        <x:v>Medium benthopelagics (30 - 89 cm)</x:v>
      </x:c>
      <x:c r="H14" s="24" t="str">
        <x:v>Perch-likes</x:v>
      </x:c>
      <x:c r="I14" s="31" t="n">
        <x:v>11201.8930530112</x:v>
      </x:c>
      <x:c r="J14" s="31" t="n">
        <x:v>11201.8930530112</x:v>
      </x:c>
      <x:c r="K14" s="31" t="n">
        <x:v>0</x:v>
      </x:c>
      <x:c r="L14" s="31" t="n">
        <x:v>11200.7434808113</x:v>
      </x:c>
      <x:c r="M14" s="31" t="n">
        <x:v>1.1495721999</x:v>
      </x:c>
      <x:c r="N14" s="24" t="str">
        <x:v>dentex macrophthalmus</x:v>
      </x:c>
      <x:c r="O14" s="32" t="n">
        <x:v>3.52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Dentex macrophthalmus</x:v>
      </x:c>
      <x:c r="T14" s="32" t="n">
        <x:f>IF(O14="","",(1/'Metadata'!$B$5)^(O14-1))</x:f>
        <x:v>331.1311214825911</x:v>
      </x:c>
      <x:c r="U14" s="31" t="n">
        <x:f>IF(T14="","",I14*T14)</x:f>
        <x:v>3709295.4093716447</x:v>
      </x:c>
    </x:row>
    <x:row r="15" ht="18" customHeight="1">
      <x:c r="A15" s="24" t="str">
        <x:v>LME_029</x:v>
      </x:c>
      <x:c r="B15" s="24" t="str">
        <x:v>Benguela Current</x:v>
      </x:c>
      <x:c r="C15" s="24" t="str">
        <x:v>LME</x:v>
      </x:c>
      <x:c r="D15" s="30" t="n">
        <x:v>2019</x:v>
      </x:c>
      <x:c r="E15" s="24" t="str">
        <x:v>Sardinops sagax</x:v>
      </x:c>
      <x:c r="F15" s="24" t="str">
        <x:v>South American pilchard</x:v>
      </x:c>
      <x:c r="G15" s="24" t="str">
        <x:v>Medium pelagics (30 - 89 cm)</x:v>
      </x:c>
      <x:c r="H15" s="24" t="str">
        <x:v>Herring-likes</x:v>
      </x:c>
      <x:c r="I15" s="31" t="n">
        <x:v>9878.9009318418</x:v>
      </x:c>
      <x:c r="J15" s="31" t="n">
        <x:v>9878.9009318418</x:v>
      </x:c>
      <x:c r="K15" s="31" t="n">
        <x:v>0</x:v>
      </x:c>
      <x:c r="L15" s="31" t="n">
        <x:v>2936.0216797815</x:v>
      </x:c>
      <x:c r="M15" s="31" t="n">
        <x:v>6942.879252060301</x:v>
      </x:c>
      <x:c r="N15" s="24" t="str">
        <x:v>sardinops sagax</x:v>
      </x:c>
      <x:c r="O15" s="32" t="n">
        <x:v>2.84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Sardinops sagax</x:v>
      </x:c>
      <x:c r="T15" s="32" t="n">
        <x:f>IF(O15="","",(1/'Metadata'!$B$5)^(O15-1))</x:f>
        <x:v>69.18309709189363</x:v>
      </x:c>
      <x:c r="U15" s="31" t="n">
        <x:f>IF(T15="","",I15*T15)</x:f>
        <x:v>683452.9623288097</x:v>
      </x:c>
    </x:row>
    <x:row r="16" ht="18" customHeight="1">
      <x:c r="A16" s="24" t="str">
        <x:v>LME_029</x:v>
      </x:c>
      <x:c r="B16" s="24" t="str">
        <x:v>Benguela Current</x:v>
      </x:c>
      <x:c r="C16" s="24" t="str">
        <x:v>LME</x:v>
      </x:c>
      <x:c r="D16" s="30" t="n">
        <x:v>2019</x:v>
      </x:c>
      <x:c r="E16" s="24" t="str">
        <x:v>Thyrsites atun</x:v>
      </x:c>
      <x:c r="F16" s="24" t="str">
        <x:v>Snoek</x:v>
      </x:c>
      <x:c r="G16" s="24" t="str">
        <x:v>Large benthopelagics (&gt;=90 cm)</x:v>
      </x:c>
      <x:c r="H16" s="24" t="str">
        <x:v>Perch-likes</x:v>
      </x:c>
      <x:c r="I16" s="31" t="n">
        <x:v>8044.3031394647005</x:v>
      </x:c>
      <x:c r="J16" s="31" t="n">
        <x:v>8044.3031394647005</x:v>
      </x:c>
      <x:c r="K16" s="31" t="n">
        <x:v>0</x:v>
      </x:c>
      <x:c r="L16" s="31" t="n">
        <x:v>6140.1514881235</x:v>
      </x:c>
      <x:c r="M16" s="31" t="n">
        <x:v>1904.1516513412</x:v>
      </x:c>
      <x:c r="N16" s="24" t="str">
        <x:v>thyrsites atun</x:v>
      </x:c>
      <x:c r="O16" s="32" t="n">
        <x:v>3.63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Thyrsites atun</x:v>
      </x:c>
      <x:c r="T16" s="32" t="n">
        <x:f>IF(O16="","",(1/'Metadata'!$B$5)^(O16-1))</x:f>
        <x:v>426.57951880159254</x:v>
      </x:c>
      <x:c r="U16" s="31" t="n">
        <x:f>IF(T16="","",I16*T16)</x:f>
        <x:v>3431534.9623269923</x:v>
      </x:c>
    </x:row>
    <x:row r="17" ht="18" customHeight="1">
      <x:c r="A17" s="24" t="str">
        <x:v>LME_029</x:v>
      </x:c>
      <x:c r="B17" s="24" t="str">
        <x:v>Benguela Current</x:v>
      </x:c>
      <x:c r="C17" s="24" t="str">
        <x:v>LME</x:v>
      </x:c>
      <x:c r="D17" s="30" t="n">
        <x:v>2019</x:v>
      </x:c>
      <x:c r="E17" s="24" t="str">
        <x:v>Dentex</x:v>
      </x:c>
      <x:c r="F17" s="24" t="str">
        <x:v>Toothed seabreams</x:v>
      </x:c>
      <x:c r="G17" s="24" t="str">
        <x:v>Large benthopelagics (&gt;=90 cm)</x:v>
      </x:c>
      <x:c r="H17" s="24" t="str">
        <x:v>Perch-likes</x:v>
      </x:c>
      <x:c r="I17" s="31" t="n">
        <x:v>8037.276319979201</x:v>
      </x:c>
      <x:c r="J17" s="31" t="n">
        <x:v>8037.276319979201</x:v>
      </x:c>
      <x:c r="K17" s="31" t="n">
        <x:v>0</x:v>
      </x:c>
      <x:c r="L17" s="31" t="n">
        <x:v>3247.2863171752</x:v>
      </x:c>
      <x:c r="M17" s="31" t="n">
        <x:v>4789.990002804</x:v>
      </x:c>
      <x:c r="N17" s="24" t="str">
        <x:v>dentex</x:v>
      </x:c>
      <x:c r="O17" s="32" t="n">
        <x:v>3.96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Dentex</x:v>
      </x:c>
      <x:c r="T17" s="32" t="n">
        <x:f>IF(O17="","",(1/'Metadata'!$B$5)^(O17-1))</x:f>
        <x:v>912.0108393559096</x:v>
      </x:c>
      <x:c r="U17" s="31" t="n">
        <x:f>IF(T17="","",I17*T17)</x:f>
        <x:v>7330083.122719607</x:v>
      </x:c>
    </x:row>
    <x:row r="18" ht="18" customHeight="1">
      <x:c r="A18" s="24" t="str">
        <x:v>LME_029</x:v>
      </x:c>
      <x:c r="B18" s="24" t="str">
        <x:v>Benguela Current</x:v>
      </x:c>
      <x:c r="C18" s="24" t="str">
        <x:v>LME</x:v>
      </x:c>
      <x:c r="D18" s="30" t="n">
        <x:v>2019</x:v>
      </x:c>
      <x:c r="E18" s="24" t="str">
        <x:v>Ariidae</x:v>
      </x:c>
      <x:c r="F18" s="24" t="str">
        <x:v>Sea catfishes, coblers</x:v>
      </x:c>
      <x:c r="G18" s="24" t="str">
        <x:v>Medium demersals (30 - 89 cm)</x:v>
      </x:c>
      <x:c r="H18" s="24" t="str">
        <x:v>Other fishes &amp; inverts</x:v>
      </x:c>
      <x:c r="I18" s="31" t="n">
        <x:v>5976.3279842092</x:v>
      </x:c>
      <x:c r="J18" s="31" t="n">
        <x:v>3093.0255873715</x:v>
      </x:c>
      <x:c r="K18" s="31" t="n">
        <x:v>2883.3023968377</x:v>
      </x:c>
      <x:c r="L18" s="31" t="n">
        <x:v>1895.9597965399</x:v>
      </x:c>
      <x:c r="M18" s="31" t="n">
        <x:v>4080.3681876693004</x:v>
      </x:c>
      <x:c r="N18" s="24" t="str">
        <x:v>ariidae</x:v>
      </x:c>
      <x:c r="O18" s="32" t="n">
        <x:v>3.48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Ariidae</x:v>
      </x:c>
      <x:c r="T18" s="32" t="n">
        <x:f>IF(O18="","",(1/'Metadata'!$B$5)^(O18-1))</x:f>
        <x:v>301.9951720402016</x:v>
      </x:c>
      <x:c r="U18" s="31" t="n">
        <x:f>IF(T18="","",I18*T18)</x:f>
        <x:v>1804822.1977599286</x:v>
      </x:c>
    </x:row>
    <x:row r="19" ht="18" customHeight="1">
      <x:c r="A19" s="24" t="str">
        <x:v>LME_029</x:v>
      </x:c>
      <x:c r="B19" s="24" t="str">
        <x:v>Benguela Current</x:v>
      </x:c>
      <x:c r="C19" s="24" t="str">
        <x:v>LME</x:v>
      </x:c>
      <x:c r="D19" s="30" t="n">
        <x:v>2019</x:v>
      </x:c>
      <x:c r="E19" s="24" t="str">
        <x:v>Chaceon maritae</x:v>
      </x:c>
      <x:c r="F19" s="24" t="str">
        <x:v>West African geryon</x:v>
      </x:c>
      <x:c r="G19" s="24" t="str">
        <x:v>Lobsters, crabs</x:v>
      </x:c>
      <x:c r="H19" s="24" t="str">
        <x:v>Crustaceans</x:v>
      </x:c>
      <x:c r="I19" s="31" t="n">
        <x:v>5887.772067839001</x:v>
      </x:c>
      <x:c r="J19" s="31" t="n">
        <x:v>5887.772067839001</x:v>
      </x:c>
      <x:c r="K19" s="31" t="n">
        <x:v>0</x:v>
      </x:c>
      <x:c r="L19" s="31" t="n">
        <x:v>4515.5332715036</x:v>
      </x:c>
      <x:c r="M19" s="31" t="n">
        <x:v>1372.2387963354001</x:v>
      </x:c>
      <x:c r="N19" s="24" t="str">
        <x:v>chaceon maritae</x:v>
      </x:c>
      <x:c r="O19" s="32" t="n">
        <x:v>2.85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Chaceon maritae</x:v>
      </x:c>
      <x:c r="T19" s="32" t="n">
        <x:f>IF(O19="","",(1/'Metadata'!$B$5)^(O19-1))</x:f>
        <x:v>70.79457843841381</x:v>
      </x:c>
      <x:c r="U19" s="31" t="n">
        <x:f>IF(T19="","",I19*T19)</x:f>
        <x:v>416822.34148413</x:v>
      </x:c>
    </x:row>
    <x:row r="20" ht="18" customHeight="1">
      <x:c r="A20" s="24" t="str">
        <x:v>LME_029</x:v>
      </x:c>
      <x:c r="B20" s="24" t="str">
        <x:v>Benguela Current</x:v>
      </x:c>
      <x:c r="C20" s="24" t="str">
        <x:v>LME</x:v>
      </x:c>
      <x:c r="D20" s="30" t="n">
        <x:v>2019</x:v>
      </x:c>
      <x:c r="E20" s="24" t="str">
        <x:v>Genypterus capensis</x:v>
      </x:c>
      <x:c r="F20" s="24" t="str">
        <x:v>Kingklip</x:v>
      </x:c>
      <x:c r="G20" s="24" t="str">
        <x:v>Large bathydemersals (&gt;=90 cm)</x:v>
      </x:c>
      <x:c r="H20" s="24" t="str">
        <x:v>Other fishes &amp; inverts</x:v>
      </x:c>
      <x:c r="I20" s="31" t="n">
        <x:v>5742.7644138424</x:v>
      </x:c>
      <x:c r="J20" s="31" t="n">
        <x:v>5742.7644138424</x:v>
      </x:c>
      <x:c r="K20" s="31" t="n">
        <x:v>0</x:v>
      </x:c>
      <x:c r="L20" s="31" t="n">
        <x:v>5135.8067723892</x:v>
      </x:c>
      <x:c r="M20" s="31" t="n">
        <x:v>606.9576414531999</x:v>
      </x:c>
      <x:c r="N20" s="24" t="str">
        <x:v>genypterus capensis</x:v>
      </x:c>
      <x:c r="O20" s="32" t="n">
        <x:v>4.44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Genypterus capensis</x:v>
      </x:c>
      <x:c r="T20" s="32" t="n">
        <x:f>IF(O20="","",(1/'Metadata'!$B$5)^(O20-1))</x:f>
        <x:v>2754.228703338169</x:v>
      </x:c>
      <x:c r="U20" s="31" t="n">
        <x:f>IF(T20="","",I20*T20)</x:f>
        <x:v>15816886.585113734</x:v>
      </x:c>
    </x:row>
    <x:row r="21" ht="18" customHeight="1">
      <x:c r="A21" s="24" t="str">
        <x:v>LME_029</x:v>
      </x:c>
      <x:c r="B21" s="24" t="str">
        <x:v>Benguela Current</x:v>
      </x:c>
      <x:c r="C21" s="24" t="str">
        <x:v>LME</x:v>
      </x:c>
      <x:c r="D21" s="30" t="n">
        <x:v>2019</x:v>
      </x:c>
      <x:c r="E21" s="24" t="str">
        <x:v>Thunnus alalunga</x:v>
      </x:c>
      <x:c r="F21" s="24" t="str">
        <x:v>Albacore</x:v>
      </x:c>
      <x:c r="G21" s="24" t="str">
        <x:v>Large pelagics (&gt;=90 cm)</x:v>
      </x:c>
      <x:c r="H21" s="24" t="str">
        <x:v>Tuna &amp; billfishes</x:v>
      </x:c>
      <x:c r="I21" s="31" t="n">
        <x:v>5520.3771408544</x:v>
      </x:c>
      <x:c r="J21" s="31" t="n">
        <x:v>5520.3771408544</x:v>
      </x:c>
      <x:c r="K21" s="31" t="n">
        <x:v>0</x:v>
      </x:c>
      <x:c r="L21" s="31" t="n">
        <x:v>5342.554901701999</x:v>
      </x:c>
      <x:c r="M21" s="31" t="n">
        <x:v>177.8222391524</x:v>
      </x:c>
      <x:c r="N21" s="24" t="str">
        <x:v>thunnus alalunga</x:v>
      </x:c>
      <x:c r="O21" s="32" t="n">
        <x:v>4.3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alalunga</x:v>
      </x:c>
      <x:c r="T21" s="32" t="n">
        <x:f>IF(O21="","",(1/'Metadata'!$B$5)^(O21-1))</x:f>
        <x:v>1995.2623149688789</x:v>
      </x:c>
      <x:c r="U21" s="31" t="n">
        <x:f>IF(T21="","",I21*T21)</x:f>
        <x:v>11014600.47356243</x:v>
      </x:c>
    </x:row>
    <x:row r="22" ht="18" customHeight="1">
      <x:c r="A22" s="24" t="str">
        <x:v>LME_029</x:v>
      </x:c>
      <x:c r="B22" s="24" t="str">
        <x:v>Benguela Current</x:v>
      </x:c>
      <x:c r="C22" s="24" t="str">
        <x:v>LME</x:v>
      </x:c>
      <x:c r="D22" s="30" t="n">
        <x:v>2019</x:v>
      </x:c>
      <x:c r="E22" s="24" t="str">
        <x:v>Katsuwonus pelamis</x:v>
      </x:c>
      <x:c r="F22" s="24" t="str">
        <x:v>Skipjack tuna</x:v>
      </x:c>
      <x:c r="G22" s="24" t="str">
        <x:v>Large pelagics (&gt;=90 cm)</x:v>
      </x:c>
      <x:c r="H22" s="24" t="str">
        <x:v>Tuna &amp; billfishes</x:v>
      </x:c>
      <x:c r="I22" s="31" t="n">
        <x:v>4889.774122541799</x:v>
      </x:c>
      <x:c r="J22" s="31" t="n">
        <x:v>4889.774122541799</x:v>
      </x:c>
      <x:c r="K22" s="31" t="n">
        <x:v>0</x:v>
      </x:c>
      <x:c r="L22" s="31" t="n">
        <x:v>4888.4144077172</x:v>
      </x:c>
      <x:c r="M22" s="31" t="n">
        <x:v>1.3597148246</x:v>
      </x:c>
      <x:c r="N22" s="24" t="str">
        <x:v>katsuwonus pelamis</x:v>
      </x:c>
      <x:c r="O22" s="32" t="n">
        <x:v>4.43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Katsuwonus pelamis</x:v>
      </x:c>
      <x:c r="T22" s="32" t="n">
        <x:f>IF(O22="","",(1/'Metadata'!$B$5)^(O22-1))</x:f>
        <x:v>2691.534803926914</x:v>
      </x:c>
      <x:c r="U22" s="31" t="n">
        <x:f>IF(T22="","",I22*T22)</x:f>
        <x:v>13160997.234162439</x:v>
      </x:c>
    </x:row>
    <x:row r="23" ht="18" customHeight="1">
      <x:c r="A23" s="24" t="str">
        <x:v>LME_029</x:v>
      </x:c>
      <x:c r="B23" s="24" t="str">
        <x:v>Benguela Current</x:v>
      </x:c>
      <x:c r="C23" s="24" t="str">
        <x:v>LME</x:v>
      </x:c>
      <x:c r="D23" s="30" t="n">
        <x:v>2019</x:v>
      </x:c>
      <x:c r="E23" s="24" t="str">
        <x:v>Pomadasys</x:v>
      </x:c>
      <x:c r="F23" s="24" t="str">
        <x:v>Grunters</x:v>
      </x:c>
      <x:c r="G23" s="24" t="str">
        <x:v>Medium demersals (30 - 89 cm)</x:v>
      </x:c>
      <x:c r="H23" s="24" t="str">
        <x:v>Perch-likes</x:v>
      </x:c>
      <x:c r="I23" s="31" t="n">
        <x:v>4798.5083177713</x:v>
      </x:c>
      <x:c r="J23" s="31" t="n">
        <x:v>1897.6311503313</x:v>
      </x:c>
      <x:c r="K23" s="31" t="n">
        <x:v>2900.87716744</x:v>
      </x:c>
      <x:c r="L23" s="31" t="n">
        <x:v>0</x:v>
      </x:c>
      <x:c r="M23" s="31" t="n">
        <x:v>4798.5083177713</x:v>
      </x:c>
      <x:c r="N23" s="24" t="str">
        <x:v>pomadasys</x:v>
      </x:c>
      <x:c r="O23" s="32" t="n">
        <x:v>3.59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Pomadasys</x:v>
      </x:c>
      <x:c r="T23" s="32" t="n">
        <x:f>IF(O23="","",(1/'Metadata'!$B$5)^(O23-1))</x:f>
        <x:v>389.04514499428046</x:v>
      </x:c>
      <x:c r="U23" s="31" t="n">
        <x:f>IF(T23="","",I23*T23)</x:f>
        <x:v>1866836.3642435963</x:v>
      </x:c>
    </x:row>
    <x:row r="24" ht="18" customHeight="1">
      <x:c r="A24" s="24" t="str">
        <x:v>LME_029</x:v>
      </x:c>
      <x:c r="B24" s="24" t="str">
        <x:v>Benguela Current</x:v>
      </x:c>
      <x:c r="C24" s="24" t="str">
        <x:v>LME</x:v>
      </x:c>
      <x:c r="D24" s="30" t="n">
        <x:v>2019</x:v>
      </x:c>
      <x:c r="E24" s="24" t="str">
        <x:v>Zeus faber</x:v>
      </x:c>
      <x:c r="F24" s="24" t="str">
        <x:v>John dory</x:v>
      </x:c>
      <x:c r="G24" s="24" t="str">
        <x:v>Medium benthopelagics (30 - 89 cm)</x:v>
      </x:c>
      <x:c r="H24" s="24" t="str">
        <x:v>Other fishes &amp; inverts</x:v>
      </x:c>
      <x:c r="I24" s="31" t="n">
        <x:v>4468.899765475599</x:v>
      </x:c>
      <x:c r="J24" s="31" t="n">
        <x:v>4468.899765475599</x:v>
      </x:c>
      <x:c r="K24" s="31" t="n">
        <x:v>0</x:v>
      </x:c>
      <x:c r="L24" s="31" t="n">
        <x:v>4417.8984883682</x:v>
      </x:c>
      <x:c r="M24" s="31" t="n">
        <x:v>51.0012771074</x:v>
      </x:c>
      <x:c r="N24" s="24" t="str">
        <x:v>zeus faber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Zeus faber</x:v>
      </x:c>
      <x:c r="T24" s="32" t="n">
        <x:f>IF(O24="","",(1/'Metadata'!$B$5)^(O24-1))</x:f>
        <x:v>3162.2776601683795</x:v>
      </x:c>
      <x:c r="U24" s="31" t="n">
        <x:f>IF(T24="","",I24*T24)</x:f>
        <x:v>14131901.893895198</x:v>
      </x:c>
    </x:row>
    <x:row r="25" ht="18" customHeight="1">
      <x:c r="A25" s="24" t="str">
        <x:v>LME_029</x:v>
      </x:c>
      <x:c r="B25" s="24" t="str">
        <x:v>Benguela Current</x:v>
      </x:c>
      <x:c r="C25" s="24" t="str">
        <x:v>LME</x:v>
      </x:c>
      <x:c r="D25" s="30" t="n">
        <x:v>2019</x:v>
      </x:c>
      <x:c r="E25" s="24" t="str">
        <x:v>Sciaenidae</x:v>
      </x:c>
      <x:c r="F25" s="24" t="str">
        <x:v>Drums, croakers</x:v>
      </x:c>
      <x:c r="G25" s="24" t="str">
        <x:v>Medium demersals (30 - 89 cm)</x:v>
      </x:c>
      <x:c r="H25" s="24" t="str">
        <x:v>Perch-likes</x:v>
      </x:c>
      <x:c r="I25" s="31" t="n">
        <x:v>4220.248047674199</x:v>
      </x:c>
      <x:c r="J25" s="31" t="n">
        <x:v>592.6983625153</x:v>
      </x:c>
      <x:c r="K25" s="31" t="n">
        <x:v>3627.5496851588996</x:v>
      </x:c>
      <x:c r="L25" s="31" t="n">
        <x:v>301.135522421</x:v>
      </x:c>
      <x:c r="M25" s="31" t="n">
        <x:v>3919.1125252531997</x:v>
      </x:c>
      <x:c r="N25" s="24" t="str">
        <x:v>sciaenidae</x:v>
      </x:c>
      <x:c r="O25" s="32" t="n">
        <x:v>3.76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Sciaenidae</x:v>
      </x:c>
      <x:c r="T25" s="32" t="n">
        <x:f>IF(O25="","",(1/'Metadata'!$B$5)^(O25-1))</x:f>
        <x:v>575.4399373371566</x:v>
      </x:c>
      <x:c r="U25" s="31" t="n">
        <x:f>IF(T25="","",I25*T25)</x:f>
        <x:v>2428499.272100899</x:v>
      </x:c>
    </x:row>
    <x:row r="26" ht="18" customHeight="1">
      <x:c r="A26" s="24" t="str">
        <x:v>LME_029</x:v>
      </x:c>
      <x:c r="B26" s="24" t="str">
        <x:v>Benguela Current</x:v>
      </x:c>
      <x:c r="C26" s="24" t="str">
        <x:v>LME</x:v>
      </x:c>
      <x:c r="D26" s="30" t="n">
        <x:v>2019</x:v>
      </x:c>
      <x:c r="E26" s="24" t="str">
        <x:v>Pseudotolithus</x:v>
      </x:c>
      <x:c r="F26" s="24" t="str">
        <x:v>African croakers</x:v>
      </x:c>
      <x:c r="G26" s="24" t="str">
        <x:v>Large demersals (&gt;=90 cm)</x:v>
      </x:c>
      <x:c r="H26" s="24" t="str">
        <x:v>Perch-likes</x:v>
      </x:c>
      <x:c r="I26" s="31" t="n">
        <x:v>3940.0841741479003</x:v>
      </x:c>
      <x:c r="J26" s="31" t="n">
        <x:v>3940.0841741479003</x:v>
      </x:c>
      <x:c r="K26" s="31" t="n">
        <x:v>0</x:v>
      </x:c>
      <x:c r="L26" s="31" t="n">
        <x:v>3940.0841741479003</x:v>
      </x:c>
      <x:c r="M26" s="31" t="n">
        <x:v>0</x:v>
      </x:c>
      <x:c r="N26" s="24" t="str">
        <x:v>pseudotolithus</x:v>
      </x:c>
      <x:c r="O26" s="32" t="n">
        <x:v>3.79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Pseudotolithus</x:v>
      </x:c>
      <x:c r="T26" s="32" t="n">
        <x:f>IF(O26="","",(1/'Metadata'!$B$5)^(O26-1))</x:f>
        <x:v>616.5950018614822</x:v>
      </x:c>
      <x:c r="U26" s="31" t="n">
        <x:f>IF(T26="","",I26*T26)</x:f>
        <x:v>2429436.208693121</x:v>
      </x:c>
    </x:row>
    <x:row r="27" ht="18" customHeight="1">
      <x:c r="A27" s="24" t="str">
        <x:v>LME_029</x:v>
      </x:c>
      <x:c r="B27" s="24" t="str">
        <x:v>Benguela Current</x:v>
      </x:c>
      <x:c r="C27" s="24" t="str">
        <x:v>LME</x:v>
      </x:c>
      <x:c r="D27" s="30" t="n">
        <x:v>2019</x:v>
      </x:c>
      <x:c r="E27" s="24" t="str">
        <x:v>Loligo</x:v>
      </x:c>
      <x:c r="F27" s="24" t="str">
        <x:v>Common squids</x:v>
      </x:c>
      <x:c r="G27" s="24" t="str">
        <x:v>Cephalopods</x:v>
      </x:c>
      <x:c r="H27" s="24" t="str">
        <x:v>Other fishes &amp; inverts</x:v>
      </x:c>
      <x:c r="I27" s="31" t="n">
        <x:v>3657.5054003148</x:v>
      </x:c>
      <x:c r="J27" s="31" t="n">
        <x:v>3657.5054003148</x:v>
      </x:c>
      <x:c r="K27" s="31" t="n">
        <x:v>0</x:v>
      </x:c>
      <x:c r="L27" s="31" t="n">
        <x:v>3657.5054003148</x:v>
      </x:c>
      <x:c r="M27" s="31" t="n">
        <x:v>0</x:v>
      </x:c>
      <x:c r="N27" s="24" t="str">
        <x:v>loligo</x:v>
      </x:c>
      <x:c r="O27" s="32" t="n">
        <x:v>3.99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Loligo</x:v>
      </x:c>
      <x:c r="T27" s="32" t="n">
        <x:f>IF(O27="","",(1/'Metadata'!$B$5)^(O27-1))</x:f>
        <x:v>977.2372209558112</x:v>
      </x:c>
      <x:c r="U27" s="31" t="n">
        <x:f>IF(T27="","",I27*T27)</x:f>
        <x:v>3574250.413034507</x:v>
      </x:c>
    </x:row>
    <x:row r="28" ht="18" customHeight="1">
      <x:c r="A28" s="24" t="str">
        <x:v>LME_029</x:v>
      </x:c>
      <x:c r="B28" s="24" t="str">
        <x:v>Benguela Current</x:v>
      </x:c>
      <x:c r="C28" s="24" t="str">
        <x:v>LME</x:v>
      </x:c>
      <x:c r="D28" s="30" t="n">
        <x:v>2019</x:v>
      </x:c>
      <x:c r="E28" s="24" t="str">
        <x:v>Cynoglossus</x:v>
      </x:c>
      <x:c r="F28" s="24" t="str">
        <x:v>Tonguesoles</x:v>
      </x:c>
      <x:c r="G28" s="24" t="str">
        <x:v>Small to medium flatfishes (&lt;90 cm)</x:v>
      </x:c>
      <x:c r="H28" s="24" t="str">
        <x:v>Flatfishes</x:v>
      </x:c>
      <x:c r="I28" s="31" t="n">
        <x:v>3648.5309874991</x:v>
      </x:c>
      <x:c r="J28" s="31" t="n">
        <x:v>634.5766425738999</x:v>
      </x:c>
      <x:c r="K28" s="31" t="n">
        <x:v>3013.9543449251996</x:v>
      </x:c>
      <x:c r="L28" s="31" t="n">
        <x:v>0</x:v>
      </x:c>
      <x:c r="M28" s="31" t="n">
        <x:v>3648.5309874991</x:v>
      </x:c>
      <x:c r="N28" s="24" t="str">
        <x:v>cynoglossus</x:v>
      </x:c>
      <x:c r="O28" s="32" t="n">
        <x:v>3.36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Cynoglossus</x:v>
      </x:c>
      <x:c r="T28" s="32" t="n">
        <x:f>IF(O28="","",(1/'Metadata'!$B$5)^(O28-1))</x:f>
        <x:v>229.08676527677724</x:v>
      </x:c>
      <x:c r="U28" s="31" t="n">
        <x:f>IF(T28="","",I28*T28)</x:f>
        <x:v>835830.1619382546</x:v>
      </x:c>
    </x:row>
    <x:row r="29" ht="18" customHeight="1">
      <x:c r="A29" s="24" t="str">
        <x:v>LME_029</x:v>
      </x:c>
      <x:c r="B29" s="24" t="str">
        <x:v>Benguela Current</x:v>
      </x:c>
      <x:c r="C29" s="24" t="str">
        <x:v>LME</x:v>
      </x:c>
      <x:c r="D29" s="30" t="n">
        <x:v>2019</x:v>
      </x:c>
      <x:c r="E29" s="24" t="str">
        <x:v>Sparidae</x:v>
      </x:c>
      <x:c r="F29" s="24" t="str">
        <x:v>Porgies, seabreams</x:v>
      </x:c>
      <x:c r="G29" s="24" t="str">
        <x:v>Medium benthopelagics (30 - 89 cm)</x:v>
      </x:c>
      <x:c r="H29" s="24" t="str">
        <x:v>Perch-likes</x:v>
      </x:c>
      <x:c r="I29" s="31" t="n">
        <x:v>3376.0697916943</x:v>
      </x:c>
      <x:c r="J29" s="31" t="n">
        <x:v>438.6895448816</x:v>
      </x:c>
      <x:c r="K29" s="31" t="n">
        <x:v>2937.3802468127</x:v>
      </x:c>
      <x:c r="L29" s="31" t="n">
        <x:v>0</x:v>
      </x:c>
      <x:c r="M29" s="31" t="n">
        <x:v>3376.0697916943</x:v>
      </x:c>
      <x:c r="N29" s="24" t="str">
        <x:v>sparidae</x:v>
      </x:c>
      <x:c r="O29" s="32" t="n">
        <x:v>3.31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Sparidae</x:v>
      </x:c>
      <x:c r="T29" s="32" t="n">
        <x:f>IF(O29="","",(1/'Metadata'!$B$5)^(O29-1))</x:f>
        <x:v>204.17379446695296</x:v>
      </x:c>
      <x:c r="U29" s="31" t="n">
        <x:f>IF(T29="","",I29*T29)</x:f>
        <x:v>689304.9797554807</x:v>
      </x:c>
    </x:row>
    <x:row r="30" ht="18" customHeight="1">
      <x:c r="A30" s="24" t="str">
        <x:v>LME_029</x:v>
      </x:c>
      <x:c r="B30" s="24" t="str">
        <x:v>Benguela Current</x:v>
      </x:c>
      <x:c r="C30" s="24" t="str">
        <x:v>LME</x:v>
      </x:c>
      <x:c r="D30" s="30" t="n">
        <x:v>2019</x:v>
      </x:c>
      <x:c r="E30" s="24" t="str">
        <x:v>Pterogymnus laniarius</x:v>
      </x:c>
      <x:c r="F30" s="24" t="str">
        <x:v>Panga seabream</x:v>
      </x:c>
      <x:c r="G30" s="24" t="str">
        <x:v>Medium benthopelagics (30 - 89 cm)</x:v>
      </x:c>
      <x:c r="H30" s="24" t="str">
        <x:v>Perch-likes</x:v>
      </x:c>
      <x:c r="I30" s="31" t="n">
        <x:v>2947.7941111727</x:v>
      </x:c>
      <x:c r="J30" s="31" t="n">
        <x:v>2685.4657234547</x:v>
      </x:c>
      <x:c r="K30" s="31" t="n">
        <x:v>262.328387718</x:v>
      </x:c>
      <x:c r="L30" s="31" t="n">
        <x:v>2240.708479764</x:v>
      </x:c>
      <x:c r="M30" s="31" t="n">
        <x:v>707.0856314087</x:v>
      </x:c>
      <x:c r="N30" s="24" t="str">
        <x:v>pterogymnus laniarius</x:v>
      </x:c>
      <x:c r="O30" s="32" t="n">
        <x:v>3.54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Pterogymnus laniarius</x:v>
      </x:c>
      <x:c r="T30" s="32" t="n">
        <x:f>IF(O30="","",(1/'Metadata'!$B$5)^(O30-1))</x:f>
        <x:v>346.73685045253166</x:v>
      </x:c>
      <x:c r="U30" s="31" t="n">
        <x:f>IF(T30="","",I30*T30)</x:f>
        <x:v>1022108.8458905419</x:v>
      </x:c>
    </x:row>
    <x:row r="31" ht="18" customHeight="1">
      <x:c r="A31" s="24" t="str">
        <x:v>LME_029</x:v>
      </x:c>
      <x:c r="B31" s="24" t="str">
        <x:v>Benguela Current</x:v>
      </x:c>
      <x:c r="C31" s="24" t="str">
        <x:v>LME</x:v>
      </x:c>
      <x:c r="D31" s="30" t="n">
        <x:v>2019</x:v>
      </x:c>
      <x:c r="E31" s="24" t="str">
        <x:v>Raja</x:v>
      </x:c>
      <x:c r="F31" s="24" t="str">
        <x:v>Stingrays, skates</x:v>
      </x:c>
      <x:c r="G31" s="24" t="str">
        <x:v>Small to medium rays (&lt;90 cm)</x:v>
      </x:c>
      <x:c r="H31" s="24" t="str">
        <x:v>Sharks &amp; rays</x:v>
      </x:c>
      <x:c r="I31" s="31" t="n">
        <x:v>2544.1076098042</x:v>
      </x:c>
      <x:c r="J31" s="31" t="n">
        <x:v>0</x:v>
      </x:c>
      <x:c r="K31" s="31" t="n">
        <x:v>2544.1076098042</x:v>
      </x:c>
      <x:c r="L31" s="31" t="n">
        <x:v>0</x:v>
      </x:c>
      <x:c r="M31" s="31" t="n">
        <x:v>2544.1076098042</x:v>
      </x:c>
      <x:c r="N31" s="24" t="str">
        <x:v>raja</x:v>
      </x:c>
      <x:c r="O31" s="32" t="n">
        <x:v>3.8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Raja</x:v>
      </x:c>
      <x:c r="T31" s="32" t="n">
        <x:f>IF(O31="","",(1/'Metadata'!$B$5)^(O31-1))</x:f>
        <x:v>630.957344480193</x:v>
      </x:c>
      <x:c r="U31" s="31" t="n">
        <x:f>IF(T31="","",I31*T31)</x:f>
        <x:v>1605223.381553909</x:v>
      </x:c>
    </x:row>
    <x:row r="32" ht="18" customHeight="1">
      <x:c r="A32" s="24" t="str">
        <x:v>LME_029</x:v>
      </x:c>
      <x:c r="B32" s="24" t="str">
        <x:v>Benguela Current</x:v>
      </x:c>
      <x:c r="C32" s="24" t="str">
        <x:v>LME</x:v>
      </x:c>
      <x:c r="D32" s="30" t="n">
        <x:v>2019</x:v>
      </x:c>
      <x:c r="E32" s="24" t="str">
        <x:v>Elasmobranchii</x:v>
      </x:c>
      <x:c r="F32" s="24" t="str">
        <x:v>Sharks, rays, skates</x:v>
      </x:c>
      <x:c r="G32" s="24" t="str">
        <x:v>Large sharks (&gt;=90 cm)</x:v>
      </x:c>
      <x:c r="H32" s="24" t="str">
        <x:v>Sharks &amp; rays</x:v>
      </x:c>
      <x:c r="I32" s="31" t="n">
        <x:v>2537.7965797</x:v>
      </x:c>
      <x:c r="J32" s="31" t="n">
        <x:v>2537.7965797</x:v>
      </x:c>
      <x:c r="K32" s="31" t="n">
        <x:v>0</x:v>
      </x:c>
      <x:c r="L32" s="31" t="n">
        <x:v>2537.7965797</x:v>
      </x:c>
      <x:c r="M32" s="31" t="n">
        <x:v>0</x:v>
      </x:c>
      <x:c r="N32" s="24" t="str">
        <x:v>elasmobranchii</x:v>
      </x:c>
      <x:c r="O32" s="32" t="n">
        <x:v>4.05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Elasmobranchii</x:v>
      </x:c>
      <x:c r="T32" s="32" t="n">
        <x:f>IF(O32="","",(1/'Metadata'!$B$5)^(O32-1))</x:f>
        <x:v>1122.018454301963</x:v>
      </x:c>
      <x:c r="U32" s="31" t="n">
        <x:f>IF(T32="","",I32*T32)</x:f>
        <x:v>2847454.5956878024</x:v>
      </x:c>
    </x:row>
    <x:row r="33" ht="18" customHeight="1">
      <x:c r="A33" s="24" t="str">
        <x:v>LME_029</x:v>
      </x:c>
      <x:c r="B33" s="24" t="str">
        <x:v>Benguela Current</x:v>
      </x:c>
      <x:c r="C33" s="24" t="str">
        <x:v>LME</x:v>
      </x:c>
      <x:c r="D33" s="30" t="n">
        <x:v>2019</x:v>
      </x:c>
      <x:c r="E33" s="24" t="str">
        <x:v>Sardinella maderensis</x:v>
      </x:c>
      <x:c r="F33" s="24" t="str">
        <x:v>Madeiran sardinella</x:v>
      </x:c>
      <x:c r="G33" s="24" t="str">
        <x:v>Medium pelagics (30 - 89 cm)</x:v>
      </x:c>
      <x:c r="H33" s="24" t="str">
        <x:v>Herring-likes</x:v>
      </x:c>
      <x:c r="I33" s="31" t="n">
        <x:v>2477.3328260283997</x:v>
      </x:c>
      <x:c r="J33" s="31" t="n">
        <x:v>2477.3328260283997</x:v>
      </x:c>
      <x:c r="K33" s="31" t="n">
        <x:v>0</x:v>
      </x:c>
      <x:c r="L33" s="31" t="n">
        <x:v>0</x:v>
      </x:c>
      <x:c r="M33" s="31" t="n">
        <x:v>2477.3328260283997</x:v>
      </x:c>
      <x:c r="N33" s="24" t="str">
        <x:v>sardinella maderensis</x:v>
      </x:c>
      <x:c r="O33" s="32" t="n">
        <x:v>3.2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Sardinella maderensis</x:v>
      </x:c>
      <x:c r="T33" s="32" t="n">
        <x:f>IF(O33="","",(1/'Metadata'!$B$5)^(O33-1))</x:f>
        <x:v>158.48931924611142</x:v>
      </x:c>
      <x:c r="U33" s="31" t="n">
        <x:f>IF(T33="","",I33*T33)</x:f>
        <x:v>392630.7931432864</x:v>
      </x:c>
    </x:row>
    <x:row r="34" ht="18" customHeight="1">
      <x:c r="A34" s="24" t="str">
        <x:v>LME_029</x:v>
      </x:c>
      <x:c r="B34" s="24" t="str">
        <x:v>Benguela Current</x:v>
      </x:c>
      <x:c r="C34" s="24" t="str">
        <x:v>LME</x:v>
      </x:c>
      <x:c r="D34" s="30" t="n">
        <x:v>2019</x:v>
      </x:c>
      <x:c r="E34" s="24" t="str">
        <x:v>Sardinella aurita</x:v>
      </x:c>
      <x:c r="F34" s="24" t="str">
        <x:v>Round sardinella</x:v>
      </x:c>
      <x:c r="G34" s="24" t="str">
        <x:v>Small pelagics (&lt;30 cm)</x:v>
      </x:c>
      <x:c r="H34" s="24" t="str">
        <x:v>Herring-likes</x:v>
      </x:c>
      <x:c r="I34" s="31" t="n">
        <x:v>2473.279791514</x:v>
      </x:c>
      <x:c r="J34" s="31" t="n">
        <x:v>2473.279791514</x:v>
      </x:c>
      <x:c r="K34" s="31" t="n">
        <x:v>0</x:v>
      </x:c>
      <x:c r="L34" s="31" t="n">
        <x:v>0</x:v>
      </x:c>
      <x:c r="M34" s="31" t="n">
        <x:v>2473.279791514</x:v>
      </x:c>
      <x:c r="N34" s="24" t="str">
        <x:v>sardinella aurita</x:v>
      </x:c>
      <x:c r="O34" s="32" t="n">
        <x:v>3.4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Sardinella aurita</x:v>
      </x:c>
      <x:c r="T34" s="32" t="n">
        <x:f>IF(O34="","",(1/'Metadata'!$B$5)^(O34-1))</x:f>
        <x:v>251.18864315095797</x:v>
      </x:c>
      <x:c r="U34" s="31" t="n">
        <x:f>IF(T34="","",I34*T34)</x:f>
        <x:v>621259.7949630859</x:v>
      </x:c>
    </x:row>
    <x:row r="35" ht="18" customHeight="1">
      <x:c r="A35" s="24" t="str">
        <x:v>LME_029</x:v>
      </x:c>
      <x:c r="B35" s="24" t="str">
        <x:v>Benguela Current</x:v>
      </x:c>
      <x:c r="C35" s="24" t="str">
        <x:v>LME</x:v>
      </x:c>
      <x:c r="D35" s="30" t="n">
        <x:v>2019</x:v>
      </x:c>
      <x:c r="E35" s="24" t="str">
        <x:v>Ethmalosa fimbriata</x:v>
      </x:c>
      <x:c r="F35" s="24" t="str">
        <x:v>Bonga shad</x:v>
      </x:c>
      <x:c r="G35" s="24" t="str">
        <x:v>Medium pelagics (30 - 89 cm)</x:v>
      </x:c>
      <x:c r="H35" s="24" t="str">
        <x:v>Herring-likes</x:v>
      </x:c>
      <x:c r="I35" s="31" t="n">
        <x:v>2438.1612124599</x:v>
      </x:c>
      <x:c r="J35" s="31" t="n">
        <x:v>0</x:v>
      </x:c>
      <x:c r="K35" s="31" t="n">
        <x:v>2438.1612124599</x:v>
      </x:c>
      <x:c r="L35" s="31" t="n">
        <x:v>0</x:v>
      </x:c>
      <x:c r="M35" s="31" t="n">
        <x:v>2438.1612124599</x:v>
      </x:c>
      <x:c r="N35" s="24" t="str">
        <x:v>ethmalosa fimbriata</x:v>
      </x:c>
      <x:c r="O35" s="32" t="n">
        <x:v>2.5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Ethmalosa fimbriata</x:v>
      </x:c>
      <x:c r="T35" s="32" t="n">
        <x:f>IF(O35="","",(1/'Metadata'!$B$5)^(O35-1))</x:f>
        <x:v>31.622776601683793</x:v>
      </x:c>
      <x:c r="U35" s="31" t="n">
        <x:f>IF(T35="","",I35*T35)</x:f>
        <x:v>77101.42734050991</x:v>
      </x:c>
    </x:row>
    <x:row r="36" ht="18" customHeight="1">
      <x:c r="A36" s="24" t="str">
        <x:v>LME_029</x:v>
      </x:c>
      <x:c r="B36" s="24" t="str">
        <x:v>Benguela Current</x:v>
      </x:c>
      <x:c r="C36" s="24" t="str">
        <x:v>LME</x:v>
      </x:c>
      <x:c r="D36" s="30" t="n">
        <x:v>2019</x:v>
      </x:c>
      <x:c r="E36" s="24" t="str">
        <x:v>Lutjanus</x:v>
      </x:c>
      <x:c r="F36" s="24" t="str">
        <x:v>Snappers</x:v>
      </x:c>
      <x:c r="G36" s="24" t="str">
        <x:v>Medium reef assoc. fish (30 - 89 cm)</x:v>
      </x:c>
      <x:c r="H36" s="24" t="str">
        <x:v>Perch-likes</x:v>
      </x:c>
      <x:c r="I36" s="31" t="n">
        <x:v>2411.1634768699</x:v>
      </x:c>
      <x:c r="J36" s="31" t="n">
        <x:v>0</x:v>
      </x:c>
      <x:c r="K36" s="31" t="n">
        <x:v>2411.1634768699</x:v>
      </x:c>
      <x:c r="L36" s="31" t="n">
        <x:v>0</x:v>
      </x:c>
      <x:c r="M36" s="31" t="n">
        <x:v>2411.1634768699</x:v>
      </x:c>
      <x:c r="N36" s="24" t="str">
        <x:v>lutjanus</x:v>
      </x:c>
      <x:c r="O36" s="32" t="n">
        <x:v>4.02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Lutjanus</x:v>
      </x:c>
      <x:c r="T36" s="32" t="n">
        <x:f>IF(O36="","",(1/'Metadata'!$B$5)^(O36-1))</x:f>
        <x:v>1047.1285480508984</x:v>
      </x:c>
      <x:c r="U36" s="31" t="n">
        <x:f>IF(T36="","",I36*T36)</x:f>
        <x:v>2524798.1106481343</x:v>
      </x:c>
    </x:row>
    <x:row r="37" ht="18" customHeight="1">
      <x:c r="A37" s="24" t="str">
        <x:v>LME_029</x:v>
      </x:c>
      <x:c r="B37" s="24" t="str">
        <x:v>Benguela Current</x:v>
      </x:c>
      <x:c r="C37" s="24" t="str">
        <x:v>LME</x:v>
      </x:c>
      <x:c r="D37" s="30" t="n">
        <x:v>2019</x:v>
      </x:c>
      <x:c r="E37" s="24" t="str">
        <x:v>Teuthida</x:v>
      </x:c>
      <x:c r="F37" s="24" t="str">
        <x:v>Squids</x:v>
      </x:c>
      <x:c r="G37" s="24" t="str">
        <x:v>Cephalopods</x:v>
      </x:c>
      <x:c r="H37" s="24" t="str">
        <x:v>Other fishes &amp; inverts</x:v>
      </x:c>
      <x:c r="I37" s="31" t="n">
        <x:v>2304.6868089314</x:v>
      </x:c>
      <x:c r="J37" s="31" t="n">
        <x:v>2304.6868089314</x:v>
      </x:c>
      <x:c r="K37" s="31" t="n">
        <x:v>0</x:v>
      </x:c>
      <x:c r="L37" s="31" t="n">
        <x:v>2193.5149325193</x:v>
      </x:c>
      <x:c r="M37" s="31" t="n">
        <x:v>111.17187641209999</x:v>
      </x:c>
      <x:c r="N37" s="24" t="str">
        <x:v>teuthida</x:v>
      </x:c>
      <x:c r="O37" s="32" t="n">
        <x:v>4.13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Teuthida</x:v>
      </x:c>
      <x:c r="T37" s="32" t="n">
        <x:f>IF(O37="","",(1/'Metadata'!$B$5)^(O37-1))</x:f>
        <x:v>1348.9628825916532</x:v>
      </x:c>
      <x:c r="U37" s="31" t="n">
        <x:f>IF(T37="","",I37*T37)</x:f>
        <x:v>3108936.9612470595</x:v>
      </x:c>
    </x:row>
    <x:row r="38" ht="18" customHeight="1">
      <x:c r="A38" s="24" t="str">
        <x:v>LME_029</x:v>
      </x:c>
      <x:c r="B38" s="24" t="str">
        <x:v>Benguela Current</x:v>
      </x:c>
      <x:c r="C38" s="24" t="str">
        <x:v>LME</x:v>
      </x:c>
      <x:c r="D38" s="30" t="n">
        <x:v>2019</x:v>
      </x:c>
      <x:c r="E38" s="24" t="str">
        <x:v>Lepidopus caudatus</x:v>
      </x:c>
      <x:c r="F38" s="24" t="str">
        <x:v>Silver scabbardfish</x:v>
      </x:c>
      <x:c r="G38" s="24" t="str">
        <x:v>Large bathydemersals (&gt;=90 cm)</x:v>
      </x:c>
      <x:c r="H38" s="24" t="str">
        <x:v>Perch-likes</x:v>
      </x:c>
      <x:c r="I38" s="31" t="n">
        <x:v>2278.7798222754</x:v>
      </x:c>
      <x:c r="J38" s="31" t="n">
        <x:v>2278.7798222754</x:v>
      </x:c>
      <x:c r="K38" s="31" t="n">
        <x:v>0</x:v>
      </x:c>
      <x:c r="L38" s="31" t="n">
        <x:v>2278.7798222754</x:v>
      </x:c>
      <x:c r="M38" s="31" t="n">
        <x:v>0</x:v>
      </x:c>
      <x:c r="N38" s="24" t="str">
        <x:v>lepidopus caudatus</x:v>
      </x:c>
      <x:c r="O38" s="32" t="n">
        <x:v>3.82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Lepidopus caudatus</x:v>
      </x:c>
      <x:c r="T38" s="32" t="n">
        <x:f>IF(O38="","",(1/'Metadata'!$B$5)^(O38-1))</x:f>
        <x:v>660.6934480075957</x:v>
      </x:c>
      <x:c r="U38" s="31" t="n">
        <x:f>IF(T38="","",I38*T38)</x:f>
        <x:v>1505574.8980292703</x:v>
      </x:c>
    </x:row>
    <x:row r="39" ht="18" customHeight="1">
      <x:c r="A39" s="24" t="str">
        <x:v>LME_029</x:v>
      </x:c>
      <x:c r="B39" s="24" t="str">
        <x:v>Benguela Current</x:v>
      </x:c>
      <x:c r="C39" s="24" t="str">
        <x:v>LME</x:v>
      </x:c>
      <x:c r="D39" s="30" t="n">
        <x:v>2019</x:v>
      </x:c>
      <x:c r="E39" s="24" t="str">
        <x:v>Squalus</x:v>
      </x:c>
      <x:c r="F39" s="24" t="str">
        <x:v>Dogfishes</x:v>
      </x:c>
      <x:c r="G39" s="24" t="str">
        <x:v>Large sharks (&gt;=90 cm)</x:v>
      </x:c>
      <x:c r="H39" s="24" t="str">
        <x:v>Sharks &amp; rays</x:v>
      </x:c>
      <x:c r="I39" s="31" t="n">
        <x:v>2277.7300456151</x:v>
      </x:c>
      <x:c r="J39" s="31" t="n">
        <x:v>0</x:v>
      </x:c>
      <x:c r="K39" s="31" t="n">
        <x:v>2277.7300456151</x:v>
      </x:c>
      <x:c r="L39" s="31" t="n">
        <x:v>0</x:v>
      </x:c>
      <x:c r="M39" s="31" t="n">
        <x:v>2277.7300456151</x:v>
      </x:c>
      <x:c r="N39" s="24" t="str">
        <x:v>squalus</x:v>
      </x:c>
      <x:c r="O39" s="32" t="n">
        <x:v>4.23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Squalus</x:v>
      </x:c>
      <x:c r="T39" s="32" t="n">
        <x:f>IF(O39="","",(1/'Metadata'!$B$5)^(O39-1))</x:f>
        <x:v>1698.243652461746</x:v>
      </x:c>
      <x:c r="U39" s="31" t="n">
        <x:f>IF(T39="","",I39*T39)</x:f>
        <x:v>3868140.591987247</x:v>
      </x:c>
    </x:row>
    <x:row r="40" ht="18" customHeight="1">
      <x:c r="A40" s="24" t="str">
        <x:v>LME_029</x:v>
      </x:c>
      <x:c r="B40" s="24" t="str">
        <x:v>Benguela Current</x:v>
      </x:c>
      <x:c r="C40" s="24" t="str">
        <x:v>LME</x:v>
      </x:c>
      <x:c r="D40" s="30" t="n">
        <x:v>2019</x:v>
      </x:c>
      <x:c r="E40" s="24" t="str">
        <x:v>Chondrichthyes</x:v>
      </x:c>
      <x:c r="F40" s="24" t="str">
        <x:v>Sharks, rays, chimaeras</x:v>
      </x:c>
      <x:c r="G40" s="24" t="str">
        <x:v>Large sharks (&gt;=90 cm)</x:v>
      </x:c>
      <x:c r="H40" s="24" t="str">
        <x:v>Sharks &amp; rays</x:v>
      </x:c>
      <x:c r="I40" s="31" t="n">
        <x:v>2045.4121185921</x:v>
      </x:c>
      <x:c r="J40" s="31" t="n">
        <x:v>2045.4121185921</x:v>
      </x:c>
      <x:c r="K40" s="31" t="n">
        <x:v>0</x:v>
      </x:c>
      <x:c r="L40" s="31" t="n">
        <x:v>500.2380779174</x:v>
      </x:c>
      <x:c r="M40" s="31" t="n">
        <x:v>1545.1740406746999</x:v>
      </x:c>
      <x:c r="N40" s="24" t="str">
        <x:v>chondrichthyes</x:v>
      </x:c>
      <x:c r="O40" s="32" t="n">
        <x:v>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Chondrichthyes</x:v>
      </x:c>
      <x:c r="T40" s="32" t="n">
        <x:f>IF(O40="","",(1/'Metadata'!$B$5)^(O40-1))</x:f>
        <x:v>1000</x:v>
      </x:c>
      <x:c r="U40" s="31" t="n">
        <x:f>IF(T40="","",I40*T40)</x:f>
        <x:v>2045412.1185921</x:v>
      </x:c>
    </x:row>
    <x:row r="41" ht="18" customHeight="1">
      <x:c r="A41" s="24" t="str">
        <x:v>LME_029</x:v>
      </x:c>
      <x:c r="B41" s="24" t="str">
        <x:v>Benguela Current</x:v>
      </x:c>
      <x:c r="C41" s="24" t="str">
        <x:v>LME</x:v>
      </x:c>
      <x:c r="D41" s="30" t="n">
        <x:v>2019</x:v>
      </x:c>
      <x:c r="E41" s="24" t="str">
        <x:v>Epinephelus</x:v>
      </x:c>
      <x:c r="F41" s="24" t="str">
        <x:v>Seabasses, hinds</x:v>
      </x:c>
      <x:c r="G41" s="24" t="str">
        <x:v>Medium reef assoc. fish (30 - 89 cm)</x:v>
      </x:c>
      <x:c r="H41" s="24" t="str">
        <x:v>Perch-likes</x:v>
      </x:c>
      <x:c r="I41" s="31" t="n">
        <x:v>1978.368793116</x:v>
      </x:c>
      <x:c r="J41" s="31" t="n">
        <x:v>1978.368793116</x:v>
      </x:c>
      <x:c r="K41" s="31" t="n">
        <x:v>0</x:v>
      </x:c>
      <x:c r="L41" s="31" t="n">
        <x:v>0</x:v>
      </x:c>
      <x:c r="M41" s="31" t="n">
        <x:v>1978.368793116</x:v>
      </x:c>
      <x:c r="N41" s="24" t="str">
        <x:v>epinephelus</x:v>
      </x:c>
      <x:c r="O41" s="32" t="n">
        <x:v>3.84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Epinephelus</x:v>
      </x:c>
      <x:c r="T41" s="32" t="n">
        <x:f>IF(O41="","",(1/'Metadata'!$B$5)^(O41-1))</x:f>
        <x:v>691.8309709189363</x:v>
      </x:c>
      <x:c r="U41" s="31" t="n">
        <x:f>IF(T41="","",I41*T41)</x:f>
        <x:v>1368696.8029771664</x:v>
      </x:c>
    </x:row>
    <x:row r="42" ht="18" customHeight="1">
      <x:c r="A42" s="24" t="str">
        <x:v>LME_029</x:v>
      </x:c>
      <x:c r="B42" s="24" t="str">
        <x:v>Benguela Current</x:v>
      </x:c>
      <x:c r="C42" s="24" t="str">
        <x:v>LME</x:v>
      </x:c>
      <x:c r="D42" s="30" t="n">
        <x:v>2019</x:v>
      </x:c>
      <x:c r="E42" s="24" t="str">
        <x:v>Zeidae</x:v>
      </x:c>
      <x:c r="F42" s="24" t="str">
        <x:v>Dories</x:v>
      </x:c>
      <x:c r="G42" s="24" t="str">
        <x:v>Medium bathydemersals (30 - 89 cm)</x:v>
      </x:c>
      <x:c r="H42" s="24" t="str">
        <x:v>Other fishes &amp; inverts</x:v>
      </x:c>
      <x:c r="I42" s="31" t="n">
        <x:v>1949.5840858386998</x:v>
      </x:c>
      <x:c r="J42" s="31" t="n">
        <x:v>1611.1438640141998</x:v>
      </x:c>
      <x:c r="K42" s="31" t="n">
        <x:v>338.4402218245</x:v>
      </x:c>
      <x:c r="L42" s="31" t="n">
        <x:v>1611.1438640141998</x:v>
      </x:c>
      <x:c r="M42" s="31" t="n">
        <x:v>338.4402218245</x:v>
      </x:c>
      <x:c r="N42" s="24" t="str">
        <x:v>zeidae</x:v>
      </x:c>
      <x:c r="O42" s="32" t="n">
        <x:v>4.49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Zeidae</x:v>
      </x:c>
      <x:c r="T42" s="32" t="n">
        <x:f>IF(O42="","",(1/'Metadata'!$B$5)^(O42-1))</x:f>
        <x:v>3090.295432513592</x:v>
      </x:c>
      <x:c r="U42" s="31" t="n">
        <x:f>IF(T42="","",I42*T42)</x:f>
        <x:v>6024790.795768521</x:v>
      </x:c>
    </x:row>
    <x:row r="43" ht="18" customHeight="1">
      <x:c r="A43" s="24" t="str">
        <x:v>LME_029</x:v>
      </x:c>
      <x:c r="B43" s="24" t="str">
        <x:v>Benguela Current</x:v>
      </x:c>
      <x:c r="C43" s="24" t="str">
        <x:v>LME</x:v>
      </x:c>
      <x:c r="D43" s="30" t="n">
        <x:v>2019</x:v>
      </x:c>
      <x:c r="E43" s="24" t="str">
        <x:v>Brachydeuterus auritus</x:v>
      </x:c>
      <x:c r="F43" s="24" t="str">
        <x:v>Bigeye grunt</x:v>
      </x:c>
      <x:c r="G43" s="24" t="str">
        <x:v>Small demersals (&lt;30 cm)</x:v>
      </x:c>
      <x:c r="H43" s="24" t="str">
        <x:v>Perch-likes</x:v>
      </x:c>
      <x:c r="I43" s="31" t="n">
        <x:v>1948.9198076175</x:v>
      </x:c>
      <x:c r="J43" s="31" t="n">
        <x:v>1948.9198076175</x:v>
      </x:c>
      <x:c r="K43" s="31" t="n">
        <x:v>0</x:v>
      </x:c>
      <x:c r="L43" s="31" t="n">
        <x:v>1120.7594032764</x:v>
      </x:c>
      <x:c r="M43" s="31" t="n">
        <x:v>828.1604043410999</x:v>
      </x:c>
      <x:c r="N43" s="24" t="str">
        <x:v>brachydeuterus auritus</x:v>
      </x:c>
      <x:c r="O43" s="32" t="n">
        <x:v>3.03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Brachydeuterus auritus</x:v>
      </x:c>
      <x:c r="T43" s="32" t="n">
        <x:f>IF(O43="","",(1/'Metadata'!$B$5)^(O43-1))</x:f>
        <x:v>107.1519305237606</x:v>
      </x:c>
      <x:c r="U43" s="31" t="n">
        <x:f>IF(T43="","",I43*T43)</x:f>
        <x:v>208830.51982221124</x:v>
      </x:c>
    </x:row>
    <x:row r="44" ht="18" customHeight="1">
      <x:c r="A44" s="24" t="str">
        <x:v>LME_029</x:v>
      </x:c>
      <x:c r="B44" s="24" t="str">
        <x:v>Benguela Current</x:v>
      </x:c>
      <x:c r="C44" s="24" t="str">
        <x:v>LME</x:v>
      </x:c>
      <x:c r="D44" s="30" t="n">
        <x:v>2019</x:v>
      </x:c>
      <x:c r="E44" s="24" t="str">
        <x:v>Thunnus albacares</x:v>
      </x:c>
      <x:c r="F44" s="24" t="str">
        <x:v>Yellowfin tuna</x:v>
      </x:c>
      <x:c r="G44" s="24" t="str">
        <x:v>Large pelagics (&gt;=90 cm)</x:v>
      </x:c>
      <x:c r="H44" s="24" t="str">
        <x:v>Tuna &amp; billfishes</x:v>
      </x:c>
      <x:c r="I44" s="31" t="n">
        <x:v>1851.8442720530002</x:v>
      </x:c>
      <x:c r="J44" s="31" t="n">
        <x:v>1851.8442720530002</x:v>
      </x:c>
      <x:c r="K44" s="31" t="n">
        <x:v>0</x:v>
      </x:c>
      <x:c r="L44" s="31" t="n">
        <x:v>1775.1952926026001</x:v>
      </x:c>
      <x:c r="M44" s="31" t="n">
        <x:v>76.6489794504</x:v>
      </x:c>
      <x:c r="N44" s="24" t="str">
        <x:v>thunnus albacares</x:v>
      </x:c>
      <x:c r="O44" s="32" t="n">
        <x:v>4.41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Thunnus albacares</x:v>
      </x:c>
      <x:c r="T44" s="32" t="n">
        <x:f>IF(O44="","",(1/'Metadata'!$B$5)^(O44-1))</x:f>
        <x:v>2570.3957827688646</x:v>
      </x:c>
      <x:c r="U44" s="31" t="n">
        <x:f>IF(T44="","",I44*T44)</x:f>
        <x:v>4759972.707229709</x:v>
      </x:c>
    </x:row>
    <x:row r="45" ht="18" customHeight="1">
      <x:c r="A45" s="24" t="str">
        <x:v>LME_029</x:v>
      </x:c>
      <x:c r="B45" s="24" t="str">
        <x:v>Benguela Current</x:v>
      </x:c>
      <x:c r="C45" s="24" t="str">
        <x:v>LME</x:v>
      </x:c>
      <x:c r="D45" s="30" t="n">
        <x:v>2019</x:v>
      </x:c>
      <x:c r="E45" s="24" t="str">
        <x:v>Triglidae</x:v>
      </x:c>
      <x:c r="F45" s="24" t="str">
        <x:v>Searobins, gurnards</x:v>
      </x:c>
      <x:c r="G45" s="24" t="str">
        <x:v>Medium demersals (30 - 89 cm)</x:v>
      </x:c>
      <x:c r="H45" s="24" t="str">
        <x:v>Scorpionfishes</x:v>
      </x:c>
      <x:c r="I45" s="31" t="n">
        <x:v>1811.3853285236</x:v>
      </x:c>
      <x:c r="J45" s="31" t="n">
        <x:v>0</x:v>
      </x:c>
      <x:c r="K45" s="31" t="n">
        <x:v>1811.3853285236</x:v>
      </x:c>
      <x:c r="L45" s="31" t="n">
        <x:v>0</x:v>
      </x:c>
      <x:c r="M45" s="31" t="n">
        <x:v>1811.3853285236</x:v>
      </x:c>
      <x:c r="N45" s="24" t="str">
        <x:v>triglidae</x:v>
      </x:c>
      <x:c r="O45" s="32" t="n">
        <x:v>3.74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Triglidae</x:v>
      </x:c>
      <x:c r="T45" s="32" t="n">
        <x:f>IF(O45="","",(1/'Metadata'!$B$5)^(O45-1))</x:f>
        <x:v>549.5408738576248</x:v>
      </x:c>
      <x:c r="U45" s="31" t="n">
        <x:f>IF(T45="","",I45*T45)</x:f>
        <x:v>995430.27632974</x:v>
      </x:c>
    </x:row>
    <x:row r="46" ht="18" customHeight="1">
      <x:c r="A46" s="24" t="str">
        <x:v>LME_029</x:v>
      </x:c>
      <x:c r="B46" s="24" t="str">
        <x:v>Benguela Current</x:v>
      </x:c>
      <x:c r="C46" s="24" t="str">
        <x:v>LME</x:v>
      </x:c>
      <x:c r="D46" s="30" t="n">
        <x:v>2019</x:v>
      </x:c>
      <x:c r="E46" s="24" t="str">
        <x:v>Umbrina canariensis</x:v>
      </x:c>
      <x:c r="F46" s="24" t="str">
        <x:v>Canary drum</x:v>
      </x:c>
      <x:c r="G46" s="24" t="str">
        <x:v>Medium demersals (30 - 89 cm)</x:v>
      </x:c>
      <x:c r="H46" s="24" t="str">
        <x:v>Perch-likes</x:v>
      </x:c>
      <x:c r="I46" s="31" t="n">
        <x:v>1599.5878459222</x:v>
      </x:c>
      <x:c r="J46" s="31" t="n">
        <x:v>1599.5878459222</x:v>
      </x:c>
      <x:c r="K46" s="31" t="n">
        <x:v>0</x:v>
      </x:c>
      <x:c r="L46" s="31" t="n">
        <x:v>6.004779886</x:v>
      </x:c>
      <x:c r="M46" s="31" t="n">
        <x:v>1593.5830660361999</x:v>
      </x:c>
      <x:c r="N46" s="24" t="str">
        <x:v>umbrina canariensis</x:v>
      </x:c>
      <x:c r="O46" s="32" t="n">
        <x:v>3.37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Umbrina canariensis</x:v>
      </x:c>
      <x:c r="T46" s="32" t="n">
        <x:f>IF(O46="","",(1/'Metadata'!$B$5)^(O46-1))</x:f>
        <x:v>234.42288153199226</x:v>
      </x:c>
      <x:c r="U46" s="31" t="n">
        <x:f>IF(T46="","",I46*T46)</x:f>
        <x:v>374979.9921046346</x:v>
      </x:c>
    </x:row>
    <x:row r="47" ht="18" customHeight="1">
      <x:c r="A47" s="24" t="str">
        <x:v>LME_029</x:v>
      </x:c>
      <x:c r="B47" s="24" t="str">
        <x:v>Benguela Current</x:v>
      </x:c>
      <x:c r="C47" s="24" t="str">
        <x:v>LME</x:v>
      </x:c>
      <x:c r="D47" s="30" t="n">
        <x:v>2019</x:v>
      </x:c>
      <x:c r="E47" s="24" t="str">
        <x:v>Dasyatidae</x:v>
      </x:c>
      <x:c r="F47" s="24" t="str">
        <x:v>Whiptail stingrays</x:v>
      </x:c>
      <x:c r="G47" s="24" t="str">
        <x:v>Large rays (&gt;=90 cm)</x:v>
      </x:c>
      <x:c r="H47" s="24" t="str">
        <x:v>Sharks &amp; rays</x:v>
      </x:c>
      <x:c r="I47" s="31" t="n">
        <x:v>1594.6433175747</x:v>
      </x:c>
      <x:c r="J47" s="31" t="n">
        <x:v>1594.6433175747</x:v>
      </x:c>
      <x:c r="K47" s="31" t="n">
        <x:v>0</x:v>
      </x:c>
      <x:c r="L47" s="31" t="n">
        <x:v>1594.6433175747</x:v>
      </x:c>
      <x:c r="M47" s="31" t="n">
        <x:v>0</x:v>
      </x:c>
      <x:c r="N47" s="24" t="str">
        <x:v>dasyatidae</x:v>
      </x:c>
      <x:c r="O47" s="32" t="n">
        <x:v>3.38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Dasyatidae</x:v>
      </x:c>
      <x:c r="T47" s="32" t="n">
        <x:f>IF(O47="","",(1/'Metadata'!$B$5)^(O47-1))</x:f>
        <x:v>239.88329190194898</x:v>
      </x:c>
      <x:c r="U47" s="31" t="n">
        <x:f>IF(T47="","",I47*T47)</x:f>
        <x:v>382528.2884292641</x:v>
      </x:c>
    </x:row>
    <x:row r="48" ht="18" customHeight="1">
      <x:c r="A48" s="24" t="str">
        <x:v>LME_029</x:v>
      </x:c>
      <x:c r="B48" s="24" t="str">
        <x:v>Benguela Current</x:v>
      </x:c>
      <x:c r="C48" s="24" t="str">
        <x:v>LME</x:v>
      </x:c>
      <x:c r="D48" s="30" t="n">
        <x:v>2019</x:v>
      </x:c>
      <x:c r="E48" s="24" t="str">
        <x:v>Polynemidae</x:v>
      </x:c>
      <x:c r="F48" s="24" t="str">
        <x:v>Threadfins</x:v>
      </x:c>
      <x:c r="G48" s="24" t="str">
        <x:v>Small demersals (&lt;30 cm)</x:v>
      </x:c>
      <x:c r="H48" s="24" t="str">
        <x:v>Perch-likes</x:v>
      </x:c>
      <x:c r="I48" s="31" t="n">
        <x:v>1559.1131961329</x:v>
      </x:c>
      <x:c r="J48" s="31" t="n">
        <x:v>1559.1131961329</x:v>
      </x:c>
      <x:c r="K48" s="31" t="n">
        <x:v>0</x:v>
      </x:c>
      <x:c r="L48" s="31" t="n">
        <x:v>1559.1131961329</x:v>
      </x:c>
      <x:c r="M48" s="31" t="n">
        <x:v>0</x:v>
      </x:c>
      <x:c r="N48" s="24" t="str">
        <x:v>polynemidae</x:v>
      </x:c>
      <x:c r="O48" s="32" t="n">
        <x:v>3.62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Polynemidae</x:v>
      </x:c>
      <x:c r="T48" s="32" t="n">
        <x:f>IF(O48="","",(1/'Metadata'!$B$5)^(O48-1))</x:f>
        <x:v>416.8693834703355</x:v>
      </x:c>
      <x:c r="U48" s="31" t="n">
        <x:f>IF(T48="","",I48*T48)</x:f>
        <x:v>649946.5568323863</x:v>
      </x:c>
    </x:row>
    <x:row r="49" ht="18" customHeight="1">
      <x:c r="A49" s="24" t="str">
        <x:v>LME_029</x:v>
      </x:c>
      <x:c r="B49" s="24" t="str">
        <x:v>Benguela Current</x:v>
      </x:c>
      <x:c r="C49" s="24" t="str">
        <x:v>LME</x:v>
      </x:c>
      <x:c r="D49" s="30" t="n">
        <x:v>2019</x:v>
      </x:c>
      <x:c r="E49" s="24" t="str">
        <x:v>Lampanyctodes hectoris</x:v>
      </x:c>
      <x:c r="F49" s="24" t="str">
        <x:v>Hector's lanternfish</x:v>
      </x:c>
      <x:c r="G49" s="24" t="str">
        <x:v>Small pelagics (&lt;30 cm)</x:v>
      </x:c>
      <x:c r="H49" s="24" t="str">
        <x:v>Other fishes &amp; inverts</x:v>
      </x:c>
      <x:c r="I49" s="31" t="n">
        <x:v>1491.1971450455</x:v>
      </x:c>
      <x:c r="J49" s="31" t="n">
        <x:v>1491.1971450455</x:v>
      </x:c>
      <x:c r="K49" s="31" t="n">
        <x:v>0</x:v>
      </x:c>
      <x:c r="L49" s="31" t="n">
        <x:v>1481.4915329385</x:v>
      </x:c>
      <x:c r="M49" s="31" t="n">
        <x:v>9.705612107</x:v>
      </x:c>
      <x:c r="N49" s="24" t="str">
        <x:v>lampanyctodes hectoris</x:v>
      </x:c>
      <x:c r="O49" s="32" t="n">
        <x:v>3.17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Lampanyctodes hectoris</x:v>
      </x:c>
      <x:c r="T49" s="32" t="n">
        <x:f>IF(O49="","",(1/'Metadata'!$B$5)^(O49-1))</x:f>
        <x:v>147.91083881682073</x:v>
      </x:c>
      <x:c r="U49" s="31" t="n">
        <x:f>IF(T49="","",I49*T49)</x:f>
        <x:v>220564.2205649282</x:v>
      </x:c>
    </x:row>
    <x:row r="50" ht="18" customHeight="1">
      <x:c r="A50" s="24" t="str">
        <x:v>LME_029</x:v>
      </x:c>
      <x:c r="B50" s="24" t="str">
        <x:v>Benguela Current</x:v>
      </x:c>
      <x:c r="C50" s="24" t="str">
        <x:v>LME</x:v>
      </x:c>
      <x:c r="D50" s="30" t="n">
        <x:v>2019</x:v>
      </x:c>
      <x:c r="E50" s="24" t="str">
        <x:v>Thunnus obesus</x:v>
      </x:c>
      <x:c r="F50" s="24" t="str">
        <x:v>Bigeye tuna</x:v>
      </x:c>
      <x:c r="G50" s="24" t="str">
        <x:v>Large pelagics (&gt;=90 cm)</x:v>
      </x:c>
      <x:c r="H50" s="24" t="str">
        <x:v>Tuna &amp; billfishes</x:v>
      </x:c>
      <x:c r="I50" s="31" t="n">
        <x:v>1381.6068359316</x:v>
      </x:c>
      <x:c r="J50" s="31" t="n">
        <x:v>1381.6068359316</x:v>
      </x:c>
      <x:c r="K50" s="31" t="n">
        <x:v>0</x:v>
      </x:c>
      <x:c r="L50" s="31" t="n">
        <x:v>1381.6068359316</x:v>
      </x:c>
      <x:c r="M50" s="31" t="n">
        <x:v>0</x:v>
      </x:c>
      <x:c r="N50" s="24" t="str">
        <x:v>thunnus obesus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obesus</x:v>
      </x:c>
      <x:c r="T50" s="32" t="n">
        <x:f>IF(O50="","",(1/'Metadata'!$B$5)^(O50-1))</x:f>
        <x:v>3090.295432513592</x:v>
      </x:c>
      <x:c r="U50" s="31" t="n">
        <x:f>IF(T50="","",I50*T50)</x:f>
        <x:v>4269573.2946089795</x:v>
      </x:c>
    </x:row>
    <x:row r="51" ht="18" customHeight="1">
      <x:c r="A51" s="24" t="str">
        <x:v>LME_029</x:v>
      </x:c>
      <x:c r="B51" s="24" t="str">
        <x:v>Benguela Current</x:v>
      </x:c>
      <x:c r="C51" s="24" t="str">
        <x:v>LME</x:v>
      </x:c>
      <x:c r="D51" s="30" t="n">
        <x:v>2019</x:v>
      </x:c>
      <x:c r="E51" s="24" t="str">
        <x:v>Isurus oxyrinchus</x:v>
      </x:c>
      <x:c r="F51" s="24" t="str">
        <x:v>Shortfin mako</x:v>
      </x:c>
      <x:c r="G51" s="24" t="str">
        <x:v>Large sharks (&gt;=90 cm)</x:v>
      </x:c>
      <x:c r="H51" s="24" t="str">
        <x:v>Sharks &amp; rays</x:v>
      </x:c>
      <x:c r="I51" s="31" t="n">
        <x:v>1300.5926170963999</x:v>
      </x:c>
      <x:c r="J51" s="31" t="n">
        <x:v>1300.5926170963999</x:v>
      </x:c>
      <x:c r="K51" s="31" t="n">
        <x:v>0</x:v>
      </x:c>
      <x:c r="L51" s="31" t="n">
        <x:v>1002.6121710975999</x:v>
      </x:c>
      <x:c r="M51" s="31" t="n">
        <x:v>297.9804459988</x:v>
      </x:c>
      <x:c r="N51" s="24" t="str">
        <x:v>isurus oxyrinchus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Isurus oxyrinchus</x:v>
      </x:c>
      <x:c r="T51" s="32" t="n">
        <x:f>IF(O51="","",(1/'Metadata'!$B$5)^(O51-1))</x:f>
        <x:v>3162.2776601683795</x:v>
      </x:c>
      <x:c r="U51" s="31" t="n">
        <x:f>IF(T51="","",I51*T51)</x:f>
        <x:v>4112834.9780238727</x:v>
      </x:c>
    </x:row>
    <x:row r="52" ht="18" customHeight="1">
      <x:c r="A52" s="24" t="str">
        <x:v>LME_029</x:v>
      </x:c>
      <x:c r="B52" s="24" t="str">
        <x:v>Benguela Current</x:v>
      </x:c>
      <x:c r="C52" s="24" t="str">
        <x:v>LME</x:v>
      </x:c>
      <x:c r="D52" s="30" t="n">
        <x:v>2019</x:v>
      </x:c>
      <x:c r="E52" s="24" t="str">
        <x:v>Aristeus varidens</x:v>
      </x:c>
      <x:c r="F52" s="24" t="str">
        <x:v>Striped red shrimp</x:v>
      </x:c>
      <x:c r="G52" s="24" t="str">
        <x:v>Shrimps</x:v>
      </x:c>
      <x:c r="H52" s="24" t="str">
        <x:v>Crustaceans</x:v>
      </x:c>
      <x:c r="I52" s="31" t="n">
        <x:v>1268.3325977759</x:v>
      </x:c>
      <x:c r="J52" s="31" t="n">
        <x:v>1268.3325977759</x:v>
      </x:c>
      <x:c r="K52" s="31" t="n">
        <x:v>0</x:v>
      </x:c>
      <x:c r="L52" s="31" t="n">
        <x:v>1268.3325977759</x:v>
      </x:c>
      <x:c r="M52" s="31" t="n">
        <x:v>0</x:v>
      </x:c>
      <x:c r="N52" s="24" t="str">
        <x:v>aristeus varidens</x:v>
      </x:c>
      <x:c r="O52" s="32" t="n">
        <x:v>3.77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Aristeus varidens</x:v>
      </x:c>
      <x:c r="T52" s="32" t="n">
        <x:f>IF(O52="","",(1/'Metadata'!$B$5)^(O52-1))</x:f>
        <x:v>588.843655355589</x:v>
      </x:c>
      <x:c r="U52" s="31" t="n">
        <x:f>IF(T52="","",I52*T52)</x:f>
        <x:v>746849.603081011</x:v>
      </x:c>
    </x:row>
    <x:row r="53" ht="18" customHeight="1">
      <x:c r="A53" s="24" t="str">
        <x:v>LME_029</x:v>
      </x:c>
      <x:c r="B53" s="24" t="str">
        <x:v>Benguela Current</x:v>
      </x:c>
      <x:c r="C53" s="24" t="str">
        <x:v>LME</x:v>
      </x:c>
      <x:c r="D53" s="30" t="n">
        <x:v>2019</x:v>
      </x:c>
      <x:c r="E53" s="24" t="str">
        <x:v>Plectorhinchus mediterraneus</x:v>
      </x:c>
      <x:c r="F53" s="24" t="str">
        <x:v>Rubberlip grunt</x:v>
      </x:c>
      <x:c r="G53" s="24" t="str">
        <x:v>Medium demersals (30 - 89 cm)</x:v>
      </x:c>
      <x:c r="H53" s="24" t="str">
        <x:v>Perch-likes</x:v>
      </x:c>
      <x:c r="I53" s="31" t="n">
        <x:v>1233.2065857323998</x:v>
      </x:c>
      <x:c r="J53" s="31" t="n">
        <x:v>1233.2065857323998</x:v>
      </x:c>
      <x:c r="K53" s="31" t="n">
        <x:v>0</x:v>
      </x:c>
      <x:c r="L53" s="31" t="n">
        <x:v>0</x:v>
      </x:c>
      <x:c r="M53" s="31" t="n">
        <x:v>1233.2065857323998</x:v>
      </x:c>
      <x:c r="N53" s="24" t="str">
        <x:v>plectorhinchus mediterraneus</x:v>
      </x:c>
      <x:c r="O53" s="32" t="n">
        <x:v>3.49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Plectorhinchus mediterraneus</x:v>
      </x:c>
      <x:c r="T53" s="32" t="n">
        <x:f>IF(O53="","",(1/'Metadata'!$B$5)^(O53-1))</x:f>
        <x:v>309.0295432513592</x:v>
      </x:c>
      <x:c r="U53" s="31" t="n">
        <x:f>IF(T53="","",I53*T53)</x:f>
        <x:v>381097.26792345167</x:v>
      </x:c>
    </x:row>
    <x:row r="54" ht="18" customHeight="1">
      <x:c r="A54" s="24" t="str">
        <x:v>LME_029</x:v>
      </x:c>
      <x:c r="B54" s="24" t="str">
        <x:v>Benguela Current</x:v>
      </x:c>
      <x:c r="C54" s="24" t="str">
        <x:v>LME</x:v>
      </x:c>
      <x:c r="D54" s="30" t="n">
        <x:v>2019</x:v>
      </x:c>
      <x:c r="E54" s="24" t="str">
        <x:v>Euthynnus alletteratus</x:v>
      </x:c>
      <x:c r="F54" s="24" t="str">
        <x:v>Little tunny </x:v>
      </x:c>
      <x:c r="G54" s="24" t="str">
        <x:v>Large pelagics (&gt;=90 cm)</x:v>
      </x:c>
      <x:c r="H54" s="24" t="str">
        <x:v>Tuna &amp; billfishes</x:v>
      </x:c>
      <x:c r="I54" s="31" t="n">
        <x:v>1159.4476745108</x:v>
      </x:c>
      <x:c r="J54" s="31" t="n">
        <x:v>1159.4476745108</x:v>
      </x:c>
      <x:c r="K54" s="31" t="n">
        <x:v>0</x:v>
      </x:c>
      <x:c r="L54" s="31" t="n">
        <x:v>185.3832313258</x:v>
      </x:c>
      <x:c r="M54" s="31" t="n">
        <x:v>974.0644431850001</x:v>
      </x:c>
      <x:c r="N54" s="24" t="str">
        <x:v>euthynnus alletteratus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Euthynnus alletteratus</x:v>
      </x:c>
      <x:c r="T54" s="32" t="n">
        <x:f>IF(O54="","",(1/'Metadata'!$B$5)^(O54-1))</x:f>
        <x:v>3090.295432513592</x:v>
      </x:c>
      <x:c r="U54" s="31" t="n">
        <x:f>IF(T54="","",I54*T54)</x:f>
        <x:v>3583035.852779231</x:v>
      </x:c>
    </x:row>
    <x:row r="55" ht="18" customHeight="1">
      <x:c r="A55" s="24" t="str">
        <x:v>LME_029</x:v>
      </x:c>
      <x:c r="B55" s="24" t="str">
        <x:v>Benguela Current</x:v>
      </x:c>
      <x:c r="C55" s="24" t="str">
        <x:v>LME</x:v>
      </x:c>
      <x:c r="D55" s="30" t="n">
        <x:v>2019</x:v>
      </x:c>
      <x:c r="E55" s="24" t="str">
        <x:v>Pagrus</x:v>
      </x:c>
      <x:c r="F55" s="24" t="str">
        <x:v>Subtropical seabreams</x:v>
      </x:c>
      <x:c r="G55" s="24" t="str">
        <x:v>Medium benthopelagics (30 - 89 cm)</x:v>
      </x:c>
      <x:c r="H55" s="24" t="str">
        <x:v>Perch-likes</x:v>
      </x:c>
      <x:c r="I55" s="31" t="n">
        <x:v>1131.9665947186</x:v>
      </x:c>
      <x:c r="J55" s="31" t="n">
        <x:v>1131.9665947186</x:v>
      </x:c>
      <x:c r="K55" s="31" t="n">
        <x:v>0</x:v>
      </x:c>
      <x:c r="L55" s="31" t="n">
        <x:v>1131.9665947186</x:v>
      </x:c>
      <x:c r="M55" s="31" t="n">
        <x:v>0</x:v>
      </x:c>
      <x:c r="N55" s="24" t="str">
        <x:v>pagrus</x:v>
      </x:c>
      <x:c r="O55" s="32" t="n">
        <x:v>3.55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Pagrus</x:v>
      </x:c>
      <x:c r="T55" s="32" t="n">
        <x:f>IF(O55="","",(1/'Metadata'!$B$5)^(O55-1))</x:f>
        <x:v>354.8133892335753</x:v>
      </x:c>
      <x:c r="U55" s="31" t="n">
        <x:f>IF(T55="","",I55*T55)</x:f>
        <x:v>401636.9039712954</x:v>
      </x:c>
    </x:row>
    <x:row r="56" ht="18" customHeight="1">
      <x:c r="A56" s="24" t="str">
        <x:v>LME_029</x:v>
      </x:c>
      <x:c r="B56" s="24" t="str">
        <x:v>Benguela Current</x:v>
      </x:c>
      <x:c r="C56" s="24" t="str">
        <x:v>LME</x:v>
      </x:c>
      <x:c r="D56" s="30" t="n">
        <x:v>2019</x:v>
      </x:c>
      <x:c r="E56" s="24" t="str">
        <x:v>Jasus lalandii</x:v>
      </x:c>
      <x:c r="F56" s="24" t="str">
        <x:v>Cape rock lobster</x:v>
      </x:c>
      <x:c r="G56" s="24" t="str">
        <x:v>Lobsters, crabs</x:v>
      </x:c>
      <x:c r="H56" s="24" t="str">
        <x:v>Crustaceans</x:v>
      </x:c>
      <x:c r="I56" s="31" t="n">
        <x:v>1083.0226663706999</x:v>
      </x:c>
      <x:c r="J56" s="31" t="n">
        <x:v>1083.0226663706999</x:v>
      </x:c>
      <x:c r="K56" s="31" t="n">
        <x:v>0</x:v>
      </x:c>
      <x:c r="L56" s="31" t="n">
        <x:v>755.4172603471</x:v>
      </x:c>
      <x:c r="M56" s="31" t="n">
        <x:v>327.6054060236</x:v>
      </x:c>
      <x:c r="N56" s="24" t="str">
        <x:v>jasus lalandii</x:v>
      </x:c>
      <x:c r="O56" s="32" t="n">
        <x:v>2.6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Jasus lalandii</x:v>
      </x:c>
      <x:c r="T56" s="32" t="n">
        <x:f>IF(O56="","",(1/'Metadata'!$B$5)^(O56-1))</x:f>
        <x:v>39.810717055349734</x:v>
      </x:c>
      <x:c r="U56" s="31" t="n">
        <x:f>IF(T56="","",I56*T56)</x:f>
        <x:v>43115.908935414365</x:v>
      </x:c>
    </x:row>
    <x:row r="57" ht="18" customHeight="1">
      <x:c r="A57" s="24" t="str">
        <x:v>LME_029</x:v>
      </x:c>
      <x:c r="B57" s="24" t="str">
        <x:v>Benguela Current</x:v>
      </x:c>
      <x:c r="C57" s="24" t="str">
        <x:v>LME</x:v>
      </x:c>
      <x:c r="D57" s="30" t="n">
        <x:v>2019</x:v>
      </x:c>
      <x:c r="E57" s="24" t="str">
        <x:v>Haemulidae</x:v>
      </x:c>
      <x:c r="F57" s="24" t="str">
        <x:v>Grunts, sweetlips, bonnetmouths</x:v>
      </x:c>
      <x:c r="G57" s="24" t="str">
        <x:v>Medium demersals (30 - 89 cm)</x:v>
      </x:c>
      <x:c r="H57" s="24" t="str">
        <x:v>Perch-likes</x:v>
      </x:c>
      <x:c r="I57" s="31" t="n">
        <x:v>988.5483477101</x:v>
      </x:c>
      <x:c r="J57" s="31" t="n">
        <x:v>988.5483477101</x:v>
      </x:c>
      <x:c r="K57" s="31" t="n">
        <x:v>0</x:v>
      </x:c>
      <x:c r="L57" s="31" t="n">
        <x:v>747.3485991991</x:v>
      </x:c>
      <x:c r="M57" s="31" t="n">
        <x:v>241.199748511</x:v>
      </x:c>
      <x:c r="N57" s="24" t="str">
        <x:v>haemulidae</x:v>
      </x:c>
      <x:c r="O57" s="32" t="n">
        <x:v>3.36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Haemulidae</x:v>
      </x:c>
      <x:c r="T57" s="32" t="n">
        <x:f>IF(O57="","",(1/'Metadata'!$B$5)^(O57-1))</x:f>
        <x:v>229.08676527677724</x:v>
      </x:c>
      <x:c r="U57" s="31" t="n">
        <x:f>IF(T57="","",I57*T57)</x:f>
        <x:v>226463.34329660964</x:v>
      </x:c>
    </x:row>
    <x:row r="58" ht="18" customHeight="1">
      <x:c r="A58" s="24" t="str">
        <x:v>LME_029</x:v>
      </x:c>
      <x:c r="B58" s="24" t="str">
        <x:v>Benguela Current</x:v>
      </x:c>
      <x:c r="C58" s="24" t="str">
        <x:v>LME</x:v>
      </x:c>
      <x:c r="D58" s="30" t="n">
        <x:v>2019</x:v>
      </x:c>
      <x:c r="E58" s="24" t="str">
        <x:v>Galeoides decadactylus</x:v>
      </x:c>
      <x:c r="F58" s="24" t="str">
        <x:v>Lesser African threadfin</x:v>
      </x:c>
      <x:c r="G58" s="24" t="str">
        <x:v>Medium demersals (30 - 89 cm)</x:v>
      </x:c>
      <x:c r="H58" s="24" t="str">
        <x:v>Perch-likes</x:v>
      </x:c>
      <x:c r="I58" s="31" t="n">
        <x:v>949.3519485426</x:v>
      </x:c>
      <x:c r="J58" s="31" t="n">
        <x:v>949.3519485426</x:v>
      </x:c>
      <x:c r="K58" s="31" t="n">
        <x:v>0</x:v>
      </x:c>
      <x:c r="L58" s="31" t="n">
        <x:v>0</x:v>
      </x:c>
      <x:c r="M58" s="31" t="n">
        <x:v>949.3519485426</x:v>
      </x:c>
      <x:c r="N58" s="24" t="str">
        <x:v>galeoides decadactylus</x:v>
      </x:c>
      <x:c r="O58" s="32" t="n">
        <x:v>3.57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Galeoides decadactylus</x:v>
      </x:c>
      <x:c r="T58" s="32" t="n">
        <x:f>IF(O58="","",(1/'Metadata'!$B$5)^(O58-1))</x:f>
        <x:v>371.5352290971724</x:v>
      </x:c>
      <x:c r="U58" s="31" t="n">
        <x:f>IF(T58="","",I58*T58)</x:f>
        <x:v>352717.6936956219</x:v>
      </x:c>
    </x:row>
    <x:row r="59" ht="18" customHeight="1">
      <x:c r="A59" s="24" t="str">
        <x:v>LME_029</x:v>
      </x:c>
      <x:c r="B59" s="24" t="str">
        <x:v>Benguela Current</x:v>
      </x:c>
      <x:c r="C59" s="24" t="str">
        <x:v>LME</x:v>
      </x:c>
      <x:c r="D59" s="30" t="n">
        <x:v>2019</x:v>
      </x:c>
      <x:c r="E59" s="24" t="str">
        <x:v>Lithognathus mormyrus</x:v>
      </x:c>
      <x:c r="F59" s="24" t="str">
        <x:v>Sand steenbras</x:v>
      </x:c>
      <x:c r="G59" s="24" t="str">
        <x:v>Medium benthopelagics (30 - 89 cm)</x:v>
      </x:c>
      <x:c r="H59" s="24" t="str">
        <x:v>Perch-likes</x:v>
      </x:c>
      <x:c r="I59" s="31" t="n">
        <x:v>791.1116034309</x:v>
      </x:c>
      <x:c r="J59" s="31" t="n">
        <x:v>791.1116034309</x:v>
      </x:c>
      <x:c r="K59" s="31" t="n">
        <x:v>0</x:v>
      </x:c>
      <x:c r="L59" s="31" t="n">
        <x:v>415.88637051300003</x:v>
      </x:c>
      <x:c r="M59" s="31" t="n">
        <x:v>375.22523291790003</x:v>
      </x:c>
      <x:c r="N59" s="24" t="str">
        <x:v>lithognathus mormyrus</x:v>
      </x:c>
      <x:c r="O59" s="32" t="n">
        <x:v>3.42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Lithognathus mormyrus</x:v>
      </x:c>
      <x:c r="T59" s="32" t="n">
        <x:f>IF(O59="","",(1/'Metadata'!$B$5)^(O59-1))</x:f>
        <x:v>263.02679918953817</x:v>
      </x:c>
      <x:c r="U59" s="31" t="n">
        <x:f>IF(T59="","",I59*T59)</x:f>
        <x:v>208083.55285213288</x:v>
      </x:c>
    </x:row>
    <x:row r="60" ht="18" customHeight="1">
      <x:c r="A60" s="24" t="str">
        <x:v>LME_029</x:v>
      </x:c>
      <x:c r="B60" s="24" t="str">
        <x:v>Benguela Current</x:v>
      </x:c>
      <x:c r="C60" s="24" t="str">
        <x:v>LME</x:v>
      </x:c>
      <x:c r="D60" s="30" t="n">
        <x:v>2019</x:v>
      </x:c>
      <x:c r="E60" s="24" t="str">
        <x:v>Helicolenus dactylopterus</x:v>
      </x:c>
      <x:c r="F60" s="24" t="str">
        <x:v>Blackbelly rosefish</x:v>
      </x:c>
      <x:c r="G60" s="24" t="str">
        <x:v>Medium bathydemersals (30 - 89 cm)</x:v>
      </x:c>
      <x:c r="H60" s="24" t="str">
        <x:v>Scorpionfishes</x:v>
      </x:c>
      <x:c r="I60" s="31" t="n">
        <x:v>777.7155181255999</x:v>
      </x:c>
      <x:c r="J60" s="31" t="n">
        <x:v>777.7155181255999</x:v>
      </x:c>
      <x:c r="K60" s="31" t="n">
        <x:v>0</x:v>
      </x:c>
      <x:c r="L60" s="31" t="n">
        <x:v>777.7155181255999</x:v>
      </x:c>
      <x:c r="M60" s="31" t="n">
        <x:v>0</x:v>
      </x:c>
      <x:c r="N60" s="24" t="str">
        <x:v>helicolenus dactylopterus</x:v>
      </x:c>
      <x:c r="O60" s="32" t="n">
        <x:v>3.54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Helicolenus dactylopterus</x:v>
      </x:c>
      <x:c r="T60" s="32" t="n">
        <x:f>IF(O60="","",(1/'Metadata'!$B$5)^(O60-1))</x:f>
        <x:v>346.73685045253166</x:v>
      </x:c>
      <x:c r="U60" s="31" t="n">
        <x:f>IF(T60="","",I60*T60)</x:f>
        <x:v>269662.62930292933</x:v>
      </x:c>
    </x:row>
    <x:row r="61" ht="18" customHeight="1">
      <x:c r="A61" s="24" t="str">
        <x:v>LME_029</x:v>
      </x:c>
      <x:c r="B61" s="24" t="str">
        <x:v>Benguela Current</x:v>
      </x:c>
      <x:c r="C61" s="24" t="str">
        <x:v>LME</x:v>
      </x:c>
      <x:c r="D61" s="30" t="n">
        <x:v>2019</x:v>
      </x:c>
      <x:c r="E61" s="24" t="str">
        <x:v>Sarda sarda</x:v>
      </x:c>
      <x:c r="F61" s="24" t="str">
        <x:v>Atlantic bonito</x:v>
      </x:c>
      <x:c r="G61" s="24" t="str">
        <x:v>Medium pelagics (30 - 89 cm)</x:v>
      </x:c>
      <x:c r="H61" s="24" t="str">
        <x:v>Tuna &amp; billfishes</x:v>
      </x:c>
      <x:c r="I61" s="31" t="n">
        <x:v>761.9456903248</x:v>
      </x:c>
      <x:c r="J61" s="31" t="n">
        <x:v>761.9456903248</x:v>
      </x:c>
      <x:c r="K61" s="31" t="n">
        <x:v>0</x:v>
      </x:c>
      <x:c r="L61" s="31" t="n">
        <x:v>9.1038135749</x:v>
      </x:c>
      <x:c r="M61" s="31" t="n">
        <x:v>752.8418767498999</x:v>
      </x:c>
      <x:c r="N61" s="24" t="str">
        <x:v>sarda sarda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Sarda sarda</x:v>
      </x:c>
      <x:c r="T61" s="32" t="n">
        <x:f>IF(O61="","",(1/'Metadata'!$B$5)^(O61-1))</x:f>
        <x:v>3162.2776601683795</x:v>
      </x:c>
      <x:c r="U61" s="31" t="n">
        <x:f>IF(T61="","",I61*T61)</x:f>
        <x:v>2409483.834775689</x:v>
      </x:c>
    </x:row>
    <x:row r="62" ht="18" customHeight="1">
      <x:c r="A62" s="24" t="str">
        <x:v>LME_029</x:v>
      </x:c>
      <x:c r="B62" s="24" t="str">
        <x:v>Benguela Current</x:v>
      </x:c>
      <x:c r="C62" s="24" t="str">
        <x:v>LME</x:v>
      </x:c>
      <x:c r="D62" s="30" t="n">
        <x:v>2019</x:v>
      </x:c>
      <x:c r="E62" s="24" t="str">
        <x:v>Callorhinchus capensis</x:v>
      </x:c>
      <x:c r="F62" s="24" t="str">
        <x:v>Cape elephantfish</x:v>
      </x:c>
      <x:c r="G62" s="24" t="str">
        <x:v>Small to medium rays (&lt;90 cm)</x:v>
      </x:c>
      <x:c r="H62" s="24" t="str">
        <x:v>Sharks &amp; rays</x:v>
      </x:c>
      <x:c r="I62" s="31" t="n">
        <x:v>750.3061365562</x:v>
      </x:c>
      <x:c r="J62" s="31" t="n">
        <x:v>750.3061365562</x:v>
      </x:c>
      <x:c r="K62" s="31" t="n">
        <x:v>0</x:v>
      </x:c>
      <x:c r="L62" s="31" t="n">
        <x:v>561.7146017008</x:v>
      </x:c>
      <x:c r="M62" s="31" t="n">
        <x:v>188.5915348554</x:v>
      </x:c>
      <x:c r="N62" s="24" t="str">
        <x:v>callorhinchus capensis</x:v>
      </x:c>
      <x:c r="O62" s="32" t="n">
        <x:v>3.45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Callorhinchus capensis</x:v>
      </x:c>
      <x:c r="T62" s="32" t="n">
        <x:f>IF(O62="","",(1/'Metadata'!$B$5)^(O62-1))</x:f>
        <x:v>281.8382931264455</x:v>
      </x:c>
      <x:c r="U62" s="31" t="n">
        <x:f>IF(T62="","",I62*T62)</x:f>
        <x:v>211465.00084929712</x:v>
      </x:c>
    </x:row>
    <x:row r="63" ht="18" customHeight="1">
      <x:c r="A63" s="24" t="str">
        <x:v>LME_029</x:v>
      </x:c>
      <x:c r="B63" s="24" t="str">
        <x:v>Benguela Current</x:v>
      </x:c>
      <x:c r="C63" s="24" t="str">
        <x:v>LME</x:v>
      </x:c>
      <x:c r="D63" s="30" t="n">
        <x:v>2019</x:v>
      </x:c>
      <x:c r="E63" s="24" t="str">
        <x:v>Prionace glauca</x:v>
      </x:c>
      <x:c r="F63" s="24" t="str">
        <x:v>Blue shark</x:v>
      </x:c>
      <x:c r="G63" s="24" t="str">
        <x:v>Large sharks (&gt;=90 cm)</x:v>
      </x:c>
      <x:c r="H63" s="24" t="str">
        <x:v>Sharks &amp; rays</x:v>
      </x:c>
      <x:c r="I63" s="31" t="n">
        <x:v>716.9665474063</x:v>
      </x:c>
      <x:c r="J63" s="31" t="n">
        <x:v>716.9665474063</x:v>
      </x:c>
      <x:c r="K63" s="31" t="n">
        <x:v>0</x:v>
      </x:c>
      <x:c r="L63" s="31" t="n">
        <x:v>579.9297471419001</x:v>
      </x:c>
      <x:c r="M63" s="31" t="n">
        <x:v>137.0368002644</x:v>
      </x:c>
      <x:c r="N63" s="24" t="str">
        <x:v>prionace glauca</x:v>
      </x:c>
      <x:c r="O63" s="32" t="n">
        <x:v>4.35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Prionace glauca</x:v>
      </x:c>
      <x:c r="T63" s="32" t="n">
        <x:f>IF(O63="","",(1/'Metadata'!$B$5)^(O63-1))</x:f>
        <x:v>2238.7211385683377</x:v>
      </x:c>
      <x:c r="U63" s="31" t="n">
        <x:f>IF(T63="","",I63*T63)</x:f>
        <x:v>1605088.165324842</x:v>
      </x:c>
    </x:row>
    <x:row r="64" ht="18" customHeight="1">
      <x:c r="A64" s="24" t="str">
        <x:v>LME_029</x:v>
      </x:c>
      <x:c r="B64" s="24" t="str">
        <x:v>Benguela Current</x:v>
      </x:c>
      <x:c r="C64" s="24" t="str">
        <x:v>LME</x:v>
      </x:c>
      <x:c r="D64" s="30" t="n">
        <x:v>2019</x:v>
      </x:c>
      <x:c r="E64" s="24" t="str">
        <x:v>Seriola lalandi</x:v>
      </x:c>
      <x:c r="F64" s="24" t="str">
        <x:v>Yellowtail amberjack</x:v>
      </x:c>
      <x:c r="G64" s="24" t="str">
        <x:v>Large benthopelagics (&gt;=90 cm)</x:v>
      </x:c>
      <x:c r="H64" s="24" t="str">
        <x:v>Perch-likes</x:v>
      </x:c>
      <x:c r="I64" s="31" t="n">
        <x:v>699.6128166982</x:v>
      </x:c>
      <x:c r="J64" s="31" t="n">
        <x:v>699.6128166982</x:v>
      </x:c>
      <x:c r="K64" s="31" t="n">
        <x:v>0</x:v>
      </x:c>
      <x:c r="L64" s="31" t="n">
        <x:v>495.074245372</x:v>
      </x:c>
      <x:c r="M64" s="31" t="n">
        <x:v>204.53857132619999</x:v>
      </x:c>
      <x:c r="N64" s="24" t="str">
        <x:v>seriola lalandi</x:v>
      </x:c>
      <x:c r="O64" s="32" t="n">
        <x:v>4.16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Seriola lalandi</x:v>
      </x:c>
      <x:c r="T64" s="32" t="n">
        <x:f>IF(O64="","",(1/'Metadata'!$B$5)^(O64-1))</x:f>
        <x:v>1445.439770745928</x:v>
      </x:c>
      <x:c r="U64" s="31" t="n">
        <x:f>IF(T64="","",I64*T64)</x:f>
        <x:v>1011248.1893791592</x:v>
      </x:c>
    </x:row>
    <x:row r="65" ht="18" customHeight="1">
      <x:c r="A65" s="24" t="str">
        <x:v>LME_029</x:v>
      </x:c>
      <x:c r="B65" s="24" t="str">
        <x:v>Benguela Current</x:v>
      </x:c>
      <x:c r="C65" s="24" t="str">
        <x:v>LME</x:v>
      </x:c>
      <x:c r="D65" s="30" t="n">
        <x:v>2019</x:v>
      </x:c>
      <x:c r="E65" s="24" t="str">
        <x:v>Chelidonichthys capensis</x:v>
      </x:c>
      <x:c r="F65" s="24" t="str">
        <x:v>Cape gurnard</x:v>
      </x:c>
      <x:c r="G65" s="24" t="str">
        <x:v>Medium demersals (30 - 89 cm)</x:v>
      </x:c>
      <x:c r="H65" s="24" t="str">
        <x:v>Scorpionfishes</x:v>
      </x:c>
      <x:c r="I65" s="31" t="n">
        <x:v>682.8115070303</x:v>
      </x:c>
      <x:c r="J65" s="31" t="n">
        <x:v>682.8115070303</x:v>
      </x:c>
      <x:c r="K65" s="31" t="n">
        <x:v>0</x:v>
      </x:c>
      <x:c r="L65" s="31" t="n">
        <x:v>593.7930400101001</x:v>
      </x:c>
      <x:c r="M65" s="31" t="n">
        <x:v>89.0184670202</x:v>
      </x:c>
      <x:c r="N65" s="24" t="str">
        <x:v>chelidonichthys capensis</x:v>
      </x:c>
      <x:c r="O65" s="32" t="n">
        <x:v>4.1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Chelidonichthys capensis</x:v>
      </x:c>
      <x:c r="T65" s="32" t="n">
        <x:f>IF(O65="","",(1/'Metadata'!$B$5)^(O65-1))</x:f>
        <x:v>1258.9254117941662</x:v>
      </x:c>
      <x:c r="U65" s="31" t="n">
        <x:f>IF(T65="","",I65*T65)</x:f>
        <x:v>859608.7576659156</x:v>
      </x:c>
    </x:row>
    <x:row r="66" ht="18" customHeight="1">
      <x:c r="A66" s="24" t="str">
        <x:v>LME_029</x:v>
      </x:c>
      <x:c r="B66" s="24" t="str">
        <x:v>Benguela Current</x:v>
      </x:c>
      <x:c r="C66" s="24" t="str">
        <x:v>LME</x:v>
      </x:c>
      <x:c r="D66" s="30" t="n">
        <x:v>2019</x:v>
      </x:c>
      <x:c r="E66" s="24" t="str">
        <x:v>Selene dorsalis</x:v>
      </x:c>
      <x:c r="F66" s="24" t="str">
        <x:v>African moonfish</x:v>
      </x:c>
      <x:c r="G66" s="24" t="str">
        <x:v>Small demersals (&lt;30 cm)</x:v>
      </x:c>
      <x:c r="H66" s="24" t="str">
        <x:v>Perch-likes</x:v>
      </x:c>
      <x:c r="I66" s="31" t="n">
        <x:v>681.8878248336999</x:v>
      </x:c>
      <x:c r="J66" s="31" t="n">
        <x:v>681.8878248336999</x:v>
      </x:c>
      <x:c r="K66" s="31" t="n">
        <x:v>0</x:v>
      </x:c>
      <x:c r="L66" s="31" t="n">
        <x:v>0</x:v>
      </x:c>
      <x:c r="M66" s="31" t="n">
        <x:v>681.8878248336999</x:v>
      </x:c>
      <x:c r="N66" s="24" t="str">
        <x:v>selene dorsalis</x:v>
      </x:c>
      <x:c r="O66" s="32" t="n">
        <x:v>4.08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Selene dorsalis</x:v>
      </x:c>
      <x:c r="T66" s="32" t="n">
        <x:f>IF(O66="","",(1/'Metadata'!$B$5)^(O66-1))</x:f>
        <x:v>1202.2644346174131</x:v>
      </x:c>
      <x:c r="U66" s="31" t="n">
        <x:f>IF(T66="","",I66*T66)</x:f>
        <x:v>819809.4801961859</x:v>
      </x:c>
    </x:row>
    <x:row r="67" ht="18" customHeight="1">
      <x:c r="A67" s="24" t="str">
        <x:v>LME_029</x:v>
      </x:c>
      <x:c r="B67" s="24" t="str">
        <x:v>Benguela Current</x:v>
      </x:c>
      <x:c r="C67" s="24" t="str">
        <x:v>LME</x:v>
      </x:c>
      <x:c r="D67" s="30" t="n">
        <x:v>2019</x:v>
      </x:c>
      <x:c r="E67" s="24" t="str">
        <x:v>Mugilidae</x:v>
      </x:c>
      <x:c r="F67" s="24" t="str">
        <x:v>Mullets, grey mullets</x:v>
      </x:c>
      <x:c r="G67" s="24" t="str">
        <x:v>Medium reef assoc. fish (30 - 89 cm)</x:v>
      </x:c>
      <x:c r="H67" s="24" t="str">
        <x:v>Perch-likes</x:v>
      </x:c>
      <x:c r="I67" s="31" t="n">
        <x:v>671.6756234327</x:v>
      </x:c>
      <x:c r="J67" s="31" t="n">
        <x:v>671.6756234327</x:v>
      </x:c>
      <x:c r="K67" s="31" t="n">
        <x:v>0</x:v>
      </x:c>
      <x:c r="L67" s="31" t="n">
        <x:v>147.36640005840002</x:v>
      </x:c>
      <x:c r="M67" s="31" t="n">
        <x:v>524.3092233743</x:v>
      </x:c>
      <x:c r="N67" s="24" t="str">
        <x:v>mugilidae</x:v>
      </x:c>
      <x:c r="O67" s="32" t="n">
        <x:v>2.53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Mugilidae</x:v>
      </x:c>
      <x:c r="T67" s="32" t="n">
        <x:f>IF(O67="","",(1/'Metadata'!$B$5)^(O67-1))</x:f>
        <x:v>33.88441561392024</x:v>
      </x:c>
      <x:c r="U67" s="31" t="n">
        <x:f>IF(T67="","",I67*T67)</x:f>
        <x:v>22759.335982132594</x:v>
      </x:c>
    </x:row>
    <x:row r="68" ht="18" customHeight="1">
      <x:c r="A68" s="24" t="str">
        <x:v>LME_029</x:v>
      </x:c>
      <x:c r="B68" s="24" t="str">
        <x:v>Benguela Current</x:v>
      </x:c>
      <x:c r="C68" s="24" t="str">
        <x:v>LME</x:v>
      </x:c>
      <x:c r="D68" s="30" t="n">
        <x:v>2019</x:v>
      </x:c>
      <x:c r="E68" s="24" t="str">
        <x:v>Rajidae</x:v>
      </x:c>
      <x:c r="F68" s="24" t="str">
        <x:v>Stingrays</x:v>
      </x:c>
      <x:c r="G68" s="24" t="str">
        <x:v>Large rays (&gt;=90 cm)</x:v>
      </x:c>
      <x:c r="H68" s="24" t="str">
        <x:v>Sharks &amp; rays</x:v>
      </x:c>
      <x:c r="I68" s="31" t="n">
        <x:v>543.9101919088</x:v>
      </x:c>
      <x:c r="J68" s="31" t="n">
        <x:v>543.9101919088</x:v>
      </x:c>
      <x:c r="K68" s="31" t="n">
        <x:v>0</x:v>
      </x:c>
      <x:c r="L68" s="31" t="n">
        <x:v>0</x:v>
      </x:c>
      <x:c r="M68" s="31" t="n">
        <x:v>543.9101919088</x:v>
      </x:c>
      <x:c r="N68" s="24" t="str">
        <x:v>rajidae</x:v>
      </x:c>
      <x:c r="O68" s="32" t="n">
        <x:v>3.82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Rajidae</x:v>
      </x:c>
      <x:c r="T68" s="32" t="n">
        <x:f>IF(O68="","",(1/'Metadata'!$B$5)^(O68-1))</x:f>
        <x:v>660.6934480075957</x:v>
      </x:c>
      <x:c r="U68" s="31" t="n">
        <x:f>IF(T68="","",I68*T68)</x:f>
        <x:v>359357.9000986982</x:v>
      </x:c>
    </x:row>
    <x:row r="69" ht="18" customHeight="1">
      <x:c r="A69" s="24" t="str">
        <x:v>LME_029</x:v>
      </x:c>
      <x:c r="B69" s="24" t="str">
        <x:v>Benguela Current</x:v>
      </x:c>
      <x:c r="C69" s="24" t="str">
        <x:v>LME</x:v>
      </x:c>
      <x:c r="D69" s="30" t="n">
        <x:v>2019</x:v>
      </x:c>
      <x:c r="E69" s="24" t="str">
        <x:v>Marine pelagic fishes not identified</x:v>
      </x:c>
      <x:c r="F69" s="24" t="str">
        <x:v>Pelagic fishes</x:v>
      </x:c>
      <x:c r="G69" s="24" t="str">
        <x:v>Medium pelagics (30 - 89 cm)</x:v>
      </x:c>
      <x:c r="H69" s="24" t="str">
        <x:v>Other fishes &amp; inverts</x:v>
      </x:c>
      <x:c r="I69" s="31" t="n">
        <x:v>474.9223203543</x:v>
      </x:c>
      <x:c r="J69" s="31" t="n">
        <x:v>474.9223203543</x:v>
      </x:c>
      <x:c r="K69" s="31" t="n">
        <x:v>0</x:v>
      </x:c>
      <x:c r="L69" s="31" t="n">
        <x:v>474.9223203543</x:v>
      </x:c>
      <x:c r="M69" s="31" t="n">
        <x:v>0</x:v>
      </x:c>
      <x:c r="N69" s="24" t="str">
        <x:v>marine pelagic fishes not identified</x:v>
      </x:c>
      <x:c r="O69" s="32" t="n">
        <x:v>3.35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Marine pelagic fishes not identified</x:v>
      </x:c>
      <x:c r="T69" s="32" t="n">
        <x:f>IF(O69="","",(1/'Metadata'!$B$5)^(O69-1))</x:f>
        <x:v>223.872113856834</x:v>
      </x:c>
      <x:c r="U69" s="31" t="n">
        <x:f>IF(T69="","",I69*T69)</x:f>
        <x:v>106321.86377550964</x:v>
      </x:c>
    </x:row>
    <x:row r="70" ht="18" customHeight="1">
      <x:c r="A70" s="24" t="str">
        <x:v>LME_029</x:v>
      </x:c>
      <x:c r="B70" s="24" t="str">
        <x:v>Benguela Current</x:v>
      </x:c>
      <x:c r="C70" s="24" t="str">
        <x:v>LME</x:v>
      </x:c>
      <x:c r="D70" s="30" t="n">
        <x:v>2019</x:v>
      </x:c>
      <x:c r="E70" s="24" t="str">
        <x:v>Brama brama</x:v>
      </x:c>
      <x:c r="F70" s="24" t="str">
        <x:v>Atlantic pomfret</x:v>
      </x:c>
      <x:c r="G70" s="24" t="str">
        <x:v>Medium bathypelagics (30 - 89 cm)</x:v>
      </x:c>
      <x:c r="H70" s="24" t="str">
        <x:v>Perch-likes</x:v>
      </x:c>
      <x:c r="I70" s="31" t="n">
        <x:v>472.9344981246</x:v>
      </x:c>
      <x:c r="J70" s="31" t="n">
        <x:v>472.9344981246</x:v>
      </x:c>
      <x:c r="K70" s="31" t="n">
        <x:v>0</x:v>
      </x:c>
      <x:c r="L70" s="31" t="n">
        <x:v>472.9344981246</x:v>
      </x:c>
      <x:c r="M70" s="31" t="n">
        <x:v>0</x:v>
      </x:c>
      <x:c r="N70" s="24" t="str">
        <x:v>brama brama</x:v>
      </x:c>
      <x:c r="O70" s="32" t="n">
        <x:v>4.08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Brama brama</x:v>
      </x:c>
      <x:c r="T70" s="32" t="n">
        <x:f>IF(O70="","",(1/'Metadata'!$B$5)^(O70-1))</x:f>
        <x:v>1202.2644346174131</x:v>
      </x:c>
      <x:c r="U70" s="31" t="n">
        <x:f>IF(T70="","",I70*T70)</x:f>
        <x:v>568592.3269988423</x:v>
      </x:c>
    </x:row>
    <x:row r="71" ht="18" customHeight="1">
      <x:c r="A71" s="24" t="str">
        <x:v>LME_029</x:v>
      </x:c>
      <x:c r="B71" s="24" t="str">
        <x:v>Benguela Current</x:v>
      </x:c>
      <x:c r="C71" s="24" t="str">
        <x:v>LME</x:v>
      </x:c>
      <x:c r="D71" s="30" t="n">
        <x:v>2019</x:v>
      </x:c>
      <x:c r="E71" s="24" t="str">
        <x:v>Caranx</x:v>
      </x:c>
      <x:c r="F71" s="24" t="str">
        <x:v>Jacks</x:v>
      </x:c>
      <x:c r="G71" s="24" t="str">
        <x:v>Medium reef assoc. fish (30 - 89 cm)</x:v>
      </x:c>
      <x:c r="H71" s="24" t="str">
        <x:v>Perch-likes</x:v>
      </x:c>
      <x:c r="I71" s="31" t="n">
        <x:v>444.45662311210003</x:v>
      </x:c>
      <x:c r="J71" s="31" t="n">
        <x:v>444.45662311210003</x:v>
      </x:c>
      <x:c r="K71" s="31" t="n">
        <x:v>0</x:v>
      </x:c>
      <x:c r="L71" s="31" t="n">
        <x:v>0</x:v>
      </x:c>
      <x:c r="M71" s="31" t="n">
        <x:v>444.45662311210003</x:v>
      </x:c>
      <x:c r="N71" s="24" t="str">
        <x:v>caranx</x:v>
      </x:c>
      <x:c r="O71" s="32" t="n">
        <x:v>4.12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Caranx</x:v>
      </x:c>
      <x:c r="T71" s="32" t="n">
        <x:f>IF(O71="","",(1/'Metadata'!$B$5)^(O71-1))</x:f>
        <x:v>1318.2567385564075</x:v>
      </x:c>
      <x:c r="U71" s="31" t="n">
        <x:f>IF(T71="","",I71*T71)</x:f>
        <x:v>585907.9384135514</x:v>
      </x:c>
    </x:row>
    <x:row r="72" ht="18" customHeight="1">
      <x:c r="A72" s="24" t="str">
        <x:v>LME_029</x:v>
      </x:c>
      <x:c r="B72" s="24" t="str">
        <x:v>Benguela Current</x:v>
      </x:c>
      <x:c r="C72" s="24" t="str">
        <x:v>LME</x:v>
      </x:c>
      <x:c r="D72" s="30" t="n">
        <x:v>2019</x:v>
      </x:c>
      <x:c r="E72" s="24" t="str">
        <x:v>Mollusca</x:v>
      </x:c>
      <x:c r="F72" s="24" t="str">
        <x:v>Clams, seasnails, squids, octopuses</x:v>
      </x:c>
      <x:c r="G72" s="24" t="str">
        <x:v>Other demersal invertebrates</x:v>
      </x:c>
      <x:c r="H72" s="24" t="str">
        <x:v>Molluscs</x:v>
      </x:c>
      <x:c r="I72" s="31" t="n">
        <x:v>389.6874268328</x:v>
      </x:c>
      <x:c r="J72" s="31" t="n">
        <x:v>389.6874268328</x:v>
      </x:c>
      <x:c r="K72" s="31" t="n">
        <x:v>0</x:v>
      </x:c>
      <x:c r="L72" s="31" t="n">
        <x:v>389.6874268328</x:v>
      </x:c>
      <x:c r="M72" s="31" t="n">
        <x:v>0</x:v>
      </x:c>
      <x:c r="N72" s="24" t="str">
        <x:v>mollusca</x:v>
      </x:c>
      <x:c r="O72" s="32" t="n">
        <x:v>2.1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Mollusca</x:v>
      </x:c>
      <x:c r="T72" s="32" t="n">
        <x:f>IF(O72="","",(1/'Metadata'!$B$5)^(O72-1))</x:f>
        <x:v>12.589254117941675</x:v>
      </x:c>
      <x:c r="U72" s="31" t="n">
        <x:f>IF(T72="","",I72*T72)</x:f>
        <x:v>4905.874042964922</x:v>
      </x:c>
    </x:row>
    <x:row r="73" ht="18" customHeight="1">
      <x:c r="A73" s="24" t="str">
        <x:v>LME_029</x:v>
      </x:c>
      <x:c r="B73" s="24" t="str">
        <x:v>Benguela Current</x:v>
      </x:c>
      <x:c r="C73" s="24" t="str">
        <x:v>LME</x:v>
      </x:c>
      <x:c r="D73" s="30" t="n">
        <x:v>2019</x:v>
      </x:c>
      <x:c r="E73" s="24" t="str">
        <x:v>Haliotis midae</x:v>
      </x:c>
      <x:c r="F73" s="24" t="str">
        <x:v>Perlemoen abalone</x:v>
      </x:c>
      <x:c r="G73" s="24" t="str">
        <x:v>Other demersal invertebrates</x:v>
      </x:c>
      <x:c r="H73" s="24" t="str">
        <x:v>Molluscs</x:v>
      </x:c>
      <x:c r="I73" s="31" t="n">
        <x:v>387.5946877448</x:v>
      </x:c>
      <x:c r="J73" s="31" t="n">
        <x:v>387.5946877448</x:v>
      </x:c>
      <x:c r="K73" s="31" t="n">
        <x:v>0</x:v>
      </x:c>
      <x:c r="L73" s="31" t="n">
        <x:v>1.7297774402000001</x:v>
      </x:c>
      <x:c r="M73" s="31" t="n">
        <x:v>385.8649103046</x:v>
      </x:c>
      <x:c r="N73" s="24" t="str">
        <x:v>haliotis midae</x:v>
      </x:c>
      <x:c r="O73" s="32" t="n">
        <x:v>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Haliotis midae</x:v>
      </x:c>
      <x:c r="T73" s="32" t="n">
        <x:f>IF(O73="","",(1/'Metadata'!$B$5)^(O73-1))</x:f>
        <x:v>10</x:v>
      </x:c>
      <x:c r="U73" s="31" t="n">
        <x:f>IF(T73="","",I73*T73)</x:f>
        <x:v>3875.946877448</x:v>
      </x:c>
    </x:row>
    <x:row r="74" ht="18" customHeight="1">
      <x:c r="A74" s="24" t="str">
        <x:v>LME_029</x:v>
      </x:c>
      <x:c r="B74" s="24" t="str">
        <x:v>Benguela Current</x:v>
      </x:c>
      <x:c r="C74" s="24" t="str">
        <x:v>LME</x:v>
      </x:c>
      <x:c r="D74" s="30" t="n">
        <x:v>2019</x:v>
      </x:c>
      <x:c r="E74" s="24" t="str">
        <x:v>Pomatomus saltatrix</x:v>
      </x:c>
      <x:c r="F74" s="24" t="str">
        <x:v>Bluefish</x:v>
      </x:c>
      <x:c r="G74" s="24" t="str">
        <x:v>Large pelagics (&gt;=90 cm)</x:v>
      </x:c>
      <x:c r="H74" s="24" t="str">
        <x:v>Perch-likes</x:v>
      </x:c>
      <x:c r="I74" s="31" t="n">
        <x:v>369.9525657767</x:v>
      </x:c>
      <x:c r="J74" s="31" t="n">
        <x:v>369.9525657767</x:v>
      </x:c>
      <x:c r="K74" s="31" t="n">
        <x:v>0</x:v>
      </x:c>
      <x:c r="L74" s="31" t="n">
        <x:v>5.736800392699999</x:v>
      </x:c>
      <x:c r="M74" s="31" t="n">
        <x:v>364.21576538399995</x:v>
      </x:c>
      <x:c r="N74" s="24" t="str">
        <x:v>pomatomus saltatrix</x:v>
      </x:c>
      <x:c r="O74" s="32" t="n">
        <x:v>4.53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Pomatomus saltatrix</x:v>
      </x:c>
      <x:c r="T74" s="32" t="n">
        <x:f>IF(O74="","",(1/'Metadata'!$B$5)^(O74-1))</x:f>
        <x:v>3388.4415613920273</x:v>
      </x:c>
      <x:c r="U74" s="31" t="n">
        <x:f>IF(T74="","",I74*T74)</x:f>
        <x:v>1253562.649621388</x:v>
      </x:c>
    </x:row>
    <x:row r="75" ht="18" customHeight="1">
      <x:c r="A75" s="24" t="str">
        <x:v>LME_029</x:v>
      </x:c>
      <x:c r="B75" s="24" t="str">
        <x:v>Benguela Current</x:v>
      </x:c>
      <x:c r="C75" s="24" t="str">
        <x:v>LME</x:v>
      </x:c>
      <x:c r="D75" s="30" t="n">
        <x:v>2019</x:v>
      </x:c>
      <x:c r="E75" s="24" t="str">
        <x:v>Xiphias gladius</x:v>
      </x:c>
      <x:c r="F75" s="24" t="str">
        <x:v>Swordfish</x:v>
      </x:c>
      <x:c r="G75" s="24" t="str">
        <x:v>Large pelagics (&gt;=90 cm)</x:v>
      </x:c>
      <x:c r="H75" s="24" t="str">
        <x:v>Tuna &amp; billfishes</x:v>
      </x:c>
      <x:c r="I75" s="31" t="n">
        <x:v>357.3858595075</x:v>
      </x:c>
      <x:c r="J75" s="31" t="n">
        <x:v>357.3858595075</x:v>
      </x:c>
      <x:c r="K75" s="31" t="n">
        <x:v>0</x:v>
      </x:c>
      <x:c r="L75" s="31" t="n">
        <x:v>357.3858595075</x:v>
      </x:c>
      <x:c r="M75" s="31" t="n">
        <x:v>0</x:v>
      </x:c>
      <x:c r="N75" s="24" t="str">
        <x:v>xiphias gladius</x:v>
      </x:c>
      <x:c r="O75" s="32" t="n">
        <x:v>4.53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Xiphias gladius</x:v>
      </x:c>
      <x:c r="T75" s="32" t="n">
        <x:f>IF(O75="","",(1/'Metadata'!$B$5)^(O75-1))</x:f>
        <x:v>3388.4415613920273</x:v>
      </x:c>
      <x:c r="U75" s="31" t="n">
        <x:f>IF(T75="","",I75*T75)</x:f>
        <x:v>1210981.0998090252</x:v>
      </x:c>
    </x:row>
    <x:row r="76" ht="18" customHeight="1">
      <x:c r="A76" s="24" t="str">
        <x:v>LME_029</x:v>
      </x:c>
      <x:c r="B76" s="24" t="str">
        <x:v>Benguela Current</x:v>
      </x:c>
      <x:c r="C76" s="24" t="str">
        <x:v>LME</x:v>
      </x:c>
      <x:c r="D76" s="30" t="n">
        <x:v>2019</x:v>
      </x:c>
      <x:c r="E76" s="24" t="str">
        <x:v>Hoplostethus atlanticus</x:v>
      </x:c>
      <x:c r="F76" s="24" t="str">
        <x:v>Orange roughy</x:v>
      </x:c>
      <x:c r="G76" s="24" t="str">
        <x:v>Medium bathypelagics (30 - 89 cm)</x:v>
      </x:c>
      <x:c r="H76" s="24" t="str">
        <x:v>Other fishes &amp; inverts</x:v>
      </x:c>
      <x:c r="I76" s="31" t="n">
        <x:v>352.4570905635</x:v>
      </x:c>
      <x:c r="J76" s="31" t="n">
        <x:v>352.4570905635</x:v>
      </x:c>
      <x:c r="K76" s="31" t="n">
        <x:v>0</x:v>
      </x:c>
      <x:c r="L76" s="31" t="n">
        <x:v>352.0008243662</x:v>
      </x:c>
      <x:c r="M76" s="31" t="n">
        <x:v>0.4562661973</x:v>
      </x:c>
      <x:c r="N76" s="24" t="str">
        <x:v>hoplostethus atlanticus</x:v>
      </x:c>
      <x:c r="O76" s="32" t="n">
        <x:v>4.25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Hoplostethus atlanticus</x:v>
      </x:c>
      <x:c r="T76" s="32" t="n">
        <x:f>IF(O76="","",(1/'Metadata'!$B$5)^(O76-1))</x:f>
        <x:v>1778.2794100389228</x:v>
      </x:c>
      <x:c r="U76" s="31" t="n">
        <x:f>IF(T76="","",I76*T76)</x:f>
        <x:v>626767.187071296</x:v>
      </x:c>
    </x:row>
    <x:row r="77" ht="18" customHeight="1">
      <x:c r="A77" s="24" t="str">
        <x:v>LME_029</x:v>
      </x:c>
      <x:c r="B77" s="24" t="str">
        <x:v>Benguela Current</x:v>
      </x:c>
      <x:c r="C77" s="24" t="str">
        <x:v>LME</x:v>
      </x:c>
      <x:c r="D77" s="30" t="n">
        <x:v>2019</x:v>
      </x:c>
      <x:c r="E77" s="24" t="str">
        <x:v>Beryx</x:v>
      </x:c>
      <x:c r="F77" s="24" t="str">
        <x:v>Alfonsinos</x:v>
      </x:c>
      <x:c r="G77" s="24" t="str">
        <x:v>Medium benthopelagics (30 - 89 cm)</x:v>
      </x:c>
      <x:c r="H77" s="24" t="str">
        <x:v>Other fishes &amp; inverts</x:v>
      </x:c>
      <x:c r="I77" s="31" t="n">
        <x:v>350.1473627283</x:v>
      </x:c>
      <x:c r="J77" s="31" t="n">
        <x:v>350.1473627283</x:v>
      </x:c>
      <x:c r="K77" s="31" t="n">
        <x:v>0</x:v>
      </x:c>
      <x:c r="L77" s="31" t="n">
        <x:v>349.6918550549</x:v>
      </x:c>
      <x:c r="M77" s="31" t="n">
        <x:v>0.45550767340000003</x:v>
      </x:c>
      <x:c r="N77" s="24" t="str">
        <x:v>beryx</x:v>
      </x:c>
      <x:c r="O77" s="32" t="n">
        <x:v>3.97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Beryx</x:v>
      </x:c>
      <x:c r="T77" s="32" t="n">
        <x:f>IF(O77="","",(1/'Metadata'!$B$5)^(O77-1))</x:f>
        <x:v>933.2543007969915</x:v>
      </x:c>
      <x:c r="U77" s="31" t="n">
        <x:f>IF(T77="","",I77*T77)</x:f>
        <x:v>326776.53217891016</x:v>
      </x:c>
    </x:row>
    <x:row r="78" ht="18" customHeight="1">
      <x:c r="A78" s="24" t="str">
        <x:v>LME_029</x:v>
      </x:c>
      <x:c r="B78" s="24" t="str">
        <x:v>Benguela Current</x:v>
      </x:c>
      <x:c r="C78" s="24" t="str">
        <x:v>LME</x:v>
      </x:c>
      <x:c r="D78" s="30" t="n">
        <x:v>2019</x:v>
      </x:c>
      <x:c r="E78" s="24" t="str">
        <x:v>Sphyraena</x:v>
      </x:c>
      <x:c r="F78" s="24" t="str">
        <x:v>Barracudas, sennets</x:v>
      </x:c>
      <x:c r="G78" s="24" t="str">
        <x:v>Large pelagics (&gt;=90 cm)</x:v>
      </x:c>
      <x:c r="H78" s="24" t="str">
        <x:v>Perch-likes</x:v>
      </x:c>
      <x:c r="I78" s="31" t="n">
        <x:v>347.5478153564</x:v>
      </x:c>
      <x:c r="J78" s="31" t="n">
        <x:v>347.5478153564</x:v>
      </x:c>
      <x:c r="K78" s="31" t="n">
        <x:v>0</x:v>
      </x:c>
      <x:c r="L78" s="31" t="n">
        <x:v>6.3472510706</x:v>
      </x:c>
      <x:c r="M78" s="31" t="n">
        <x:v>341.2005642858</x:v>
      </x:c>
      <x:c r="N78" s="24" t="str">
        <x:v>sphyraena</x:v>
      </x:c>
      <x:c r="O78" s="32" t="n">
        <x:v>4.4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Sphyraena</x:v>
      </x:c>
      <x:c r="T78" s="32" t="n">
        <x:f>IF(O78="","",(1/'Metadata'!$B$5)^(O78-1))</x:f>
        <x:v>2511.886431509582</x:v>
      </x:c>
      <x:c r="U78" s="31" t="n">
        <x:f>IF(T78="","",I78*T78)</x:f>
        <x:v>873000.6416945388</x:v>
      </x:c>
    </x:row>
    <x:row r="79" ht="18" customHeight="1">
      <x:c r="A79" s="24" t="str">
        <x:v>LME_029</x:v>
      </x:c>
      <x:c r="B79" s="24" t="str">
        <x:v>Benguela Current</x:v>
      </x:c>
      <x:c r="C79" s="24" t="str">
        <x:v>LME</x:v>
      </x:c>
      <x:c r="D79" s="30" t="n">
        <x:v>2019</x:v>
      </x:c>
      <x:c r="E79" s="24" t="str">
        <x:v>Cephalopoda</x:v>
      </x:c>
      <x:c r="F79" s="24" t="str">
        <x:v>Squids, cuttlefishes, octopuses</x:v>
      </x:c>
      <x:c r="G79" s="24" t="str">
        <x:v>Cephalopods</x:v>
      </x:c>
      <x:c r="H79" s="24" t="str">
        <x:v>Other fishes &amp; inverts</x:v>
      </x:c>
      <x:c r="I79" s="31" t="n">
        <x:v>338.9560856608</x:v>
      </x:c>
      <x:c r="J79" s="31" t="n">
        <x:v>338.9560856608</x:v>
      </x:c>
      <x:c r="K79" s="31" t="n">
        <x:v>0</x:v>
      </x:c>
      <x:c r="L79" s="31" t="n">
        <x:v>275.2898460068</x:v>
      </x:c>
      <x:c r="M79" s="31" t="n">
        <x:v>63.666239654</x:v>
      </x:c>
      <x:c r="N79" s="24" t="str">
        <x:v>cephalopoda</x:v>
      </x:c>
      <x:c r="O79" s="32" t="n">
        <x:v>3.81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Cephalopoda</x:v>
      </x:c>
      <x:c r="T79" s="32" t="n">
        <x:f>IF(O79="","",(1/'Metadata'!$B$5)^(O79-1))</x:f>
        <x:v>645.6542290346556</x:v>
      </x:c>
      <x:c r="U79" s="31" t="n">
        <x:f>IF(T79="","",I79*T79)</x:f>
        <x:v>218848.4301639285</x:v>
      </x:c>
    </x:row>
    <x:row r="80" ht="18" customHeight="1">
      <x:c r="A80" s="24" t="str">
        <x:v>LME_029</x:v>
      </x:c>
      <x:c r="B80" s="24" t="str">
        <x:v>Benguela Current</x:v>
      </x:c>
      <x:c r="C80" s="24" t="str">
        <x:v>LME</x:v>
      </x:c>
      <x:c r="D80" s="30" t="n">
        <x:v>2019</x:v>
      </x:c>
      <x:c r="E80" s="24" t="str">
        <x:v>Auxis thazard</x:v>
      </x:c>
      <x:c r="F80" s="24" t="str">
        <x:v>Frigate tuna</x:v>
      </x:c>
      <x:c r="G80" s="24" t="str">
        <x:v>Medium pelagics (30 - 89 cm)</x:v>
      </x:c>
      <x:c r="H80" s="24" t="str">
        <x:v>Tuna &amp; billfishes</x:v>
      </x:c>
      <x:c r="I80" s="31" t="n">
        <x:v>300.309937695</x:v>
      </x:c>
      <x:c r="J80" s="31" t="n">
        <x:v>300.309937695</x:v>
      </x:c>
      <x:c r="K80" s="31" t="n">
        <x:v>0</x:v>
      </x:c>
      <x:c r="L80" s="31" t="n">
        <x:v>300.309937695</x:v>
      </x:c>
      <x:c r="M80" s="31" t="n">
        <x:v>0</x:v>
      </x:c>
      <x:c r="N80" s="24" t="str">
        <x:v>auxis thazard</x:v>
      </x:c>
      <x:c r="O80" s="32" t="n">
        <x:v>4.37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Auxis thazard</x:v>
      </x:c>
      <x:c r="T80" s="32" t="n">
        <x:f>IF(O80="","",(1/'Metadata'!$B$5)^(O80-1))</x:f>
        <x:v>2344.228815319923</x:v>
      </x:c>
      <x:c r="U80" s="31" t="n">
        <x:f>IF(T80="","",I80*T80)</x:f>
        <x:v>703995.2094715496</x:v>
      </x:c>
    </x:row>
    <x:row r="81" ht="18" customHeight="1">
      <x:c r="A81" s="24" t="str">
        <x:v>LME_029</x:v>
      </x:c>
      <x:c r="B81" s="24" t="str">
        <x:v>Benguela Current</x:v>
      </x:c>
      <x:c r="C81" s="24" t="str">
        <x:v>LME</x:v>
      </x:c>
      <x:c r="D81" s="30" t="n">
        <x:v>2019</x:v>
      </x:c>
      <x:c r="E81" s="24" t="str">
        <x:v>Marine finfishes not identified</x:v>
      </x:c>
      <x:c r="F81" s="24" t="str">
        <x:v>Finfishes</x:v>
      </x:c>
      <x:c r="G81" s="24" t="str">
        <x:v>Medium demersals (30 - 89 cm)</x:v>
      </x:c>
      <x:c r="H81" s="24" t="str">
        <x:v>Other fishes &amp; inverts</x:v>
      </x:c>
      <x:c r="I81" s="31" t="n">
        <x:v>282.7279134254</x:v>
      </x:c>
      <x:c r="J81" s="31" t="n">
        <x:v>0</x:v>
      </x:c>
      <x:c r="K81" s="31" t="n">
        <x:v>282.7279134254</x:v>
      </x:c>
      <x:c r="L81" s="31" t="n">
        <x:v>0</x:v>
      </x:c>
      <x:c r="M81" s="31" t="n">
        <x:v>282.7279134254</x:v>
      </x:c>
      <x:c r="N81" s="24" t="str">
        <x:v>marine finfishes not identified</x:v>
      </x:c>
      <x:c r="O81" s="32" t="n">
        <x:v>3.23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Marine finfishes not identified</x:v>
      </x:c>
      <x:c r="T81" s="32" t="n">
        <x:f>IF(O81="","",(1/'Metadata'!$B$5)^(O81-1))</x:f>
        <x:v>169.82436524617444</x:v>
      </x:c>
      <x:c r="U81" s="31" t="n">
        <x:f>IF(T81="","",I81*T81)</x:f>
        <x:v>48014.088434843914</x:v>
      </x:c>
    </x:row>
    <x:row r="82" ht="18" customHeight="1">
      <x:c r="A82" s="24" t="str">
        <x:v>LME_029</x:v>
      </x:c>
      <x:c r="B82" s="24" t="str">
        <x:v>Benguela Current</x:v>
      </x:c>
      <x:c r="C82" s="24" t="str">
        <x:v>LME</x:v>
      </x:c>
      <x:c r="D82" s="30" t="n">
        <x:v>2019</x:v>
      </x:c>
      <x:c r="E82" s="24" t="str">
        <x:v>Argyrozona argyrozona</x:v>
      </x:c>
      <x:c r="F82" s="24" t="str">
        <x:v>Carpenter seabream</x:v>
      </x:c>
      <x:c r="G82" s="24" t="str">
        <x:v>Medium benthopelagics (30 - 89 cm)</x:v>
      </x:c>
      <x:c r="H82" s="24" t="str">
        <x:v>Perch-likes</x:v>
      </x:c>
      <x:c r="I82" s="31" t="n">
        <x:v>256.45941134009996</x:v>
      </x:c>
      <x:c r="J82" s="31" t="n">
        <x:v>256.45941134009996</x:v>
      </x:c>
      <x:c r="K82" s="31" t="n">
        <x:v>0</x:v>
      </x:c>
      <x:c r="L82" s="31" t="n">
        <x:v>256.45941134009996</x:v>
      </x:c>
      <x:c r="M82" s="31" t="n">
        <x:v>0</x:v>
      </x:c>
      <x:c r="N82" s="24" t="str">
        <x:v>argyrozona argyrozona</x:v>
      </x:c>
      <x:c r="O82" s="32" t="n">
        <x:v>3.05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Argyrozona argyrozona</x:v>
      </x:c>
      <x:c r="T82" s="32" t="n">
        <x:f>IF(O82="","",(1/'Metadata'!$B$5)^(O82-1))</x:f>
        <x:v>112.2018454301963</x:v>
      </x:c>
      <x:c r="U82" s="31" t="n">
        <x:f>IF(T82="","",I82*T82)</x:f>
        <x:v>28775.219230301027</x:v>
      </x:c>
    </x:row>
    <x:row r="83" ht="18" customHeight="1">
      <x:c r="A83" s="24" t="str">
        <x:v>LME_029</x:v>
      </x:c>
      <x:c r="B83" s="24" t="str">
        <x:v>Benguela Current</x:v>
      </x:c>
      <x:c r="C83" s="24" t="str">
        <x:v>LME</x:v>
      </x:c>
      <x:c r="D83" s="30" t="n">
        <x:v>2019</x:v>
      </x:c>
      <x:c r="E83" s="24" t="str">
        <x:v>Trachinotus</x:v>
      </x:c>
      <x:c r="F83" s="24" t="str">
        <x:v>Pompanos</x:v>
      </x:c>
      <x:c r="G83" s="24" t="str">
        <x:v>Medium pelagics (30 - 89 cm)</x:v>
      </x:c>
      <x:c r="H83" s="24" t="str">
        <x:v>Perch-likes</x:v>
      </x:c>
      <x:c r="I83" s="31" t="n">
        <x:v>209.1072842177</x:v>
      </x:c>
      <x:c r="J83" s="31" t="n">
        <x:v>209.1072842177</x:v>
      </x:c>
      <x:c r="K83" s="31" t="n">
        <x:v>0</x:v>
      </x:c>
      <x:c r="L83" s="31" t="n">
        <x:v>0</x:v>
      </x:c>
      <x:c r="M83" s="31" t="n">
        <x:v>209.1072842177</x:v>
      </x:c>
      <x:c r="N83" s="24" t="str">
        <x:v>trachinotus</x:v>
      </x:c>
      <x:c r="O83" s="32" t="n">
        <x:v>3.69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Trachinotus</x:v>
      </x:c>
      <x:c r="T83" s="32" t="n">
        <x:f>IF(O83="","",(1/'Metadata'!$B$5)^(O83-1))</x:f>
        <x:v>489.77881936844614</x:v>
      </x:c>
      <x:c r="U83" s="31" t="n">
        <x:f>IF(T83="","",I83*T83)</x:f>
        <x:v>102416.31878548721</x:v>
      </x:c>
    </x:row>
    <x:row r="84" ht="18" customHeight="1">
      <x:c r="A84" s="24" t="str">
        <x:v>LME_029</x:v>
      </x:c>
      <x:c r="B84" s="24" t="str">
        <x:v>Benguela Current</x:v>
      </x:c>
      <x:c r="C84" s="24" t="str">
        <x:v>LME</x:v>
      </x:c>
      <x:c r="D84" s="30" t="n">
        <x:v>2019</x:v>
      </x:c>
      <x:c r="E84" s="24" t="str">
        <x:v>Zenopsis conchifer</x:v>
      </x:c>
      <x:c r="F84" s="24" t="str">
        <x:v>Silvery John dory</x:v>
      </x:c>
      <x:c r="G84" s="24" t="str">
        <x:v>Medium benthopelagics (30 - 89 cm)</x:v>
      </x:c>
      <x:c r="H84" s="24" t="str">
        <x:v>Other fishes &amp; inverts</x:v>
      </x:c>
      <x:c r="I84" s="31" t="n">
        <x:v>201.20538748139998</x:v>
      </x:c>
      <x:c r="J84" s="31" t="n">
        <x:v>201.20538748139998</x:v>
      </x:c>
      <x:c r="K84" s="31" t="n">
        <x:v>0</x:v>
      </x:c>
      <x:c r="L84" s="31" t="n">
        <x:v>201.20538748139998</x:v>
      </x:c>
      <x:c r="M84" s="31" t="n">
        <x:v>0</x:v>
      </x:c>
      <x:c r="N84" s="24" t="str">
        <x:v>zenopsis conchifer</x:v>
      </x:c>
      <x:c r="O84" s="32" t="n">
        <x:v>4.5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Zenopsis conchifer</x:v>
      </x:c>
      <x:c r="T84" s="32" t="n">
        <x:f>IF(O84="","",(1/'Metadata'!$B$5)^(O84-1))</x:f>
        <x:v>3162.2776601683795</x:v>
      </x:c>
      <x:c r="U84" s="31" t="n">
        <x:f>IF(T84="","",I84*T84)</x:f>
        <x:v>636267.3019379537</x:v>
      </x:c>
    </x:row>
    <x:row r="85" ht="18" customHeight="1">
      <x:c r="A85" s="24" t="str">
        <x:v>LME_029</x:v>
      </x:c>
      <x:c r="B85" s="24" t="str">
        <x:v>Benguela Current</x:v>
      </x:c>
      <x:c r="C85" s="24" t="str">
        <x:v>LME</x:v>
      </x:c>
      <x:c r="D85" s="30" t="n">
        <x:v>2019</x:v>
      </x:c>
      <x:c r="E85" s="24" t="str">
        <x:v>Xiphiidae</x:v>
      </x:c>
      <x:c r="F85" s="24" t="str">
        <x:v>Swordfishes</x:v>
      </x:c>
      <x:c r="G85" s="24" t="str">
        <x:v>Large pelagics (&gt;=90 cm)</x:v>
      </x:c>
      <x:c r="H85" s="24" t="str">
        <x:v>Tuna &amp; billfishes</x:v>
      </x:c>
      <x:c r="I85" s="31" t="n">
        <x:v>197.9717226921</x:v>
      </x:c>
      <x:c r="J85" s="31" t="n">
        <x:v>197.9717226921</x:v>
      </x:c>
      <x:c r="K85" s="31" t="n">
        <x:v>0</x:v>
      </x:c>
      <x:c r="L85" s="31" t="n">
        <x:v>176.27400094</x:v>
      </x:c>
      <x:c r="M85" s="31" t="n">
        <x:v>21.697721752099998</x:v>
      </x:c>
      <x:c r="N85" s="24" t="str">
        <x:v>xiphiidae</x:v>
      </x:c>
      <x:c r="O85" s="32" t="n">
        <x:v>4.5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Xiphiidae</x:v>
      </x:c>
      <x:c r="T85" s="32" t="n">
        <x:f>IF(O85="","",(1/'Metadata'!$B$5)^(O85-1))</x:f>
        <x:v>3162.2776601683795</x:v>
      </x:c>
      <x:c r="U85" s="31" t="n">
        <x:f>IF(T85="","",I85*T85)</x:f>
        <x:v>626041.5560142773</x:v>
      </x:c>
    </x:row>
    <x:row r="86" ht="18" customHeight="1">
      <x:c r="A86" s="24" t="str">
        <x:v>LME_029</x:v>
      </x:c>
      <x:c r="B86" s="24" t="str">
        <x:v>Benguela Current</x:v>
      </x:c>
      <x:c r="C86" s="24" t="str">
        <x:v>LME</x:v>
      </x:c>
      <x:c r="D86" s="30" t="n">
        <x:v>2019</x:v>
      </x:c>
      <x:c r="E86" s="24" t="str">
        <x:v>Octopodidae</x:v>
      </x:c>
      <x:c r="F86" s="24" t="str">
        <x:v>Octopuses</x:v>
      </x:c>
      <x:c r="G86" s="24" t="str">
        <x:v>Cephalopods</x:v>
      </x:c>
      <x:c r="H86" s="24" t="str">
        <x:v>Other fishes &amp; inverts</x:v>
      </x:c>
      <x:c r="I86" s="31" t="n">
        <x:v>176.9923989009</x:v>
      </x:c>
      <x:c r="J86" s="31" t="n">
        <x:v>176.9923989009</x:v>
      </x:c>
      <x:c r="K86" s="31" t="n">
        <x:v>0</x:v>
      </x:c>
      <x:c r="L86" s="31" t="n">
        <x:v>176.9923989009</x:v>
      </x:c>
      <x:c r="M86" s="31" t="n">
        <x:v>0</x:v>
      </x:c>
      <x:c r="N86" s="24" t="str">
        <x:v>octopodidae</x:v>
      </x:c>
      <x:c r="O86" s="32" t="n">
        <x:v>3.59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Octopodidae</x:v>
      </x:c>
      <x:c r="T86" s="32" t="n">
        <x:f>IF(O86="","",(1/'Metadata'!$B$5)^(O86-1))</x:f>
        <x:v>389.04514499428046</x:v>
      </x:c>
      <x:c r="U86" s="31" t="n">
        <x:f>IF(T86="","",I86*T86)</x:f>
        <x:v>68858.03349328617</x:v>
      </x:c>
    </x:row>
    <x:row r="87" ht="18" customHeight="1">
      <x:c r="A87" s="24" t="str">
        <x:v>LME_029</x:v>
      </x:c>
      <x:c r="B87" s="24" t="str">
        <x:v>Benguela Current</x:v>
      </x:c>
      <x:c r="C87" s="24" t="str">
        <x:v>LME</x:v>
      </x:c>
      <x:c r="D87" s="30" t="n">
        <x:v>2019</x:v>
      </x:c>
      <x:c r="E87" s="24" t="str">
        <x:v>Galeichthys feliceps</x:v>
      </x:c>
      <x:c r="F87" s="24" t="str">
        <x:v>White barbel</x:v>
      </x:c>
      <x:c r="G87" s="24" t="str">
        <x:v>Medium demersals (30 - 89 cm)</x:v>
      </x:c>
      <x:c r="H87" s="24" t="str">
        <x:v>Other fishes &amp; inverts</x:v>
      </x:c>
      <x:c r="I87" s="31" t="n">
        <x:v>148.0311384008</x:v>
      </x:c>
      <x:c r="J87" s="31" t="n">
        <x:v>0</x:v>
      </x:c>
      <x:c r="K87" s="31" t="n">
        <x:v>148.0311384008</x:v>
      </x:c>
      <x:c r="L87" s="31" t="n">
        <x:v>0</x:v>
      </x:c>
      <x:c r="M87" s="31" t="n">
        <x:v>148.0311384008</x:v>
      </x:c>
      <x:c r="N87" s="24" t="str">
        <x:v>galeichthys feliceps</x:v>
      </x:c>
      <x:c r="O87" s="32" t="n">
        <x:v>3.75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Galeichthys feliceps</x:v>
      </x:c>
      <x:c r="T87" s="32" t="n">
        <x:f>IF(O87="","",(1/'Metadata'!$B$5)^(O87-1))</x:f>
        <x:v>562.341325190349</x:v>
      </x:c>
      <x:c r="U87" s="31" t="n">
        <x:f>IF(T87="","",I87*T87)</x:f>
        <x:v>83244.02653774183</x:v>
      </x:c>
    </x:row>
    <x:row r="88" ht="18" customHeight="1">
      <x:c r="A88" s="24" t="str">
        <x:v>LME_029</x:v>
      </x:c>
      <x:c r="B88" s="24" t="str">
        <x:v>Benguela Current</x:v>
      </x:c>
      <x:c r="C88" s="24" t="str">
        <x:v>LME</x:v>
      </x:c>
      <x:c r="D88" s="30" t="n">
        <x:v>2019</x:v>
      </x:c>
      <x:c r="E88" s="24" t="str">
        <x:v>Thunnus maccoyii</x:v>
      </x:c>
      <x:c r="F88" s="24" t="str">
        <x:v>Southern bluefin tuna</x:v>
      </x:c>
      <x:c r="G88" s="24" t="str">
        <x:v>Large pelagics (&gt;=90 cm)</x:v>
      </x:c>
      <x:c r="H88" s="24" t="str">
        <x:v>Tuna &amp; billfishes</x:v>
      </x:c>
      <x:c r="I88" s="31" t="n">
        <x:v>145.6600662847</x:v>
      </x:c>
      <x:c r="J88" s="31" t="n">
        <x:v>145.6600662847</x:v>
      </x:c>
      <x:c r="K88" s="31" t="n">
        <x:v>0</x:v>
      </x:c>
      <x:c r="L88" s="31" t="n">
        <x:v>145.6600662847</x:v>
      </x:c>
      <x:c r="M88" s="31" t="n">
        <x:v>0</x:v>
      </x:c>
      <x:c r="N88" s="24" t="str">
        <x:v>thunnus maccoyii</x:v>
      </x:c>
      <x:c r="O88" s="32" t="n">
        <x:v>3.93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Thunnus maccoyii</x:v>
      </x:c>
      <x:c r="T88" s="32" t="n">
        <x:f>IF(O88="","",(1/'Metadata'!$B$5)^(O88-1))</x:f>
        <x:v>851.1380382023768</x:v>
      </x:c>
      <x:c r="U88" s="31" t="n">
        <x:f>IF(T88="","",I88*T88)</x:f>
        <x:v>123976.82306198774</x:v>
      </x:c>
    </x:row>
    <x:row r="89" ht="18" customHeight="1">
      <x:c r="A89" s="24" t="str">
        <x:v>LME_029</x:v>
      </x:c>
      <x:c r="B89" s="24" t="str">
        <x:v>Benguela Current</x:v>
      </x:c>
      <x:c r="C89" s="24" t="str">
        <x:v>LME</x:v>
      </x:c>
      <x:c r="D89" s="30" t="n">
        <x:v>2019</x:v>
      </x:c>
      <x:c r="E89" s="24" t="str">
        <x:v>Perciformes</x:v>
      </x:c>
      <x:c r="F89" s="24" t="str">
        <x:v>Perch-likes</x:v>
      </x:c>
      <x:c r="G89" s="24" t="str">
        <x:v>Medium demersals (30 - 89 cm)</x:v>
      </x:c>
      <x:c r="H89" s="24" t="str">
        <x:v>Perch-likes</x:v>
      </x:c>
      <x:c r="I89" s="31" t="n">
        <x:v>141.6538826867</x:v>
      </x:c>
      <x:c r="J89" s="31" t="n">
        <x:v>141.6538826867</x:v>
      </x:c>
      <x:c r="K89" s="31" t="n">
        <x:v>0</x:v>
      </x:c>
      <x:c r="L89" s="31" t="n">
        <x:v>0</x:v>
      </x:c>
      <x:c r="M89" s="31" t="n">
        <x:v>141.6538826867</x:v>
      </x:c>
      <x:c r="N89" s="24" t="str">
        <x:v>perciformes</x:v>
      </x:c>
      <x:c r="O89" s="32" t="n">
        <x:v>3.53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Perciformes</x:v>
      </x:c>
      <x:c r="T89" s="32" t="n">
        <x:f>IF(O89="","",(1/'Metadata'!$B$5)^(O89-1))</x:f>
        <x:v>338.84415613920237</x:v>
      </x:c>
      <x:c r="U89" s="31" t="n">
        <x:f>IF(T89="","",I89*T89)</x:f>
        <x:v>47998.59034281643</x:v>
      </x:c>
    </x:row>
    <x:row r="90" ht="18" customHeight="1">
      <x:c r="A90" s="24" t="str">
        <x:v>LME_029</x:v>
      </x:c>
      <x:c r="B90" s="24" t="str">
        <x:v>Benguela Current</x:v>
      </x:c>
      <x:c r="C90" s="24" t="str">
        <x:v>LME</x:v>
      </x:c>
      <x:c r="D90" s="30" t="n">
        <x:v>2019</x:v>
      </x:c>
      <x:c r="E90" s="24" t="str">
        <x:v>Palinurus gilchristi</x:v>
      </x:c>
      <x:c r="F90" s="24" t="str">
        <x:v>Southern spiny lobster</x:v>
      </x:c>
      <x:c r="G90" s="24" t="str">
        <x:v>Lobsters, crabs</x:v>
      </x:c>
      <x:c r="H90" s="24" t="str">
        <x:v>Crustaceans</x:v>
      </x:c>
      <x:c r="I90" s="31" t="n">
        <x:v>137.7170332336</x:v>
      </x:c>
      <x:c r="J90" s="31" t="n">
        <x:v>137.7170332336</x:v>
      </x:c>
      <x:c r="K90" s="31" t="n">
        <x:v>0</x:v>
      </x:c>
      <x:c r="L90" s="31" t="n">
        <x:v>137.7170332336</x:v>
      </x:c>
      <x:c r="M90" s="31" t="n">
        <x:v>0</x:v>
      </x:c>
      <x:c r="N90" s="24" t="str">
        <x:v>palinurus gilchristi</x:v>
      </x:c>
      <x:c r="O90" s="32" t="n">
        <x:v>2.6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Palinurus gilchristi</x:v>
      </x:c>
      <x:c r="T90" s="32" t="n">
        <x:f>IF(O90="","",(1/'Metadata'!$B$5)^(O90-1))</x:f>
        <x:v>39.810717055349734</x:v>
      </x:c>
      <x:c r="U90" s="31" t="n">
        <x:f>IF(T90="","",I90*T90)</x:f>
        <x:v>5482.613843765046</x:v>
      </x:c>
    </x:row>
    <x:row r="91" ht="18" customHeight="1">
      <x:c r="A91" s="24" t="str">
        <x:v>LME_029</x:v>
      </x:c>
      <x:c r="B91" s="24" t="str">
        <x:v>Benguela Current</x:v>
      </x:c>
      <x:c r="C91" s="24" t="str">
        <x:v>LME</x:v>
      </x:c>
      <x:c r="D91" s="30" t="n">
        <x:v>2019</x:v>
      </x:c>
      <x:c r="E91" s="24" t="str">
        <x:v>Scombridae</x:v>
      </x:c>
      <x:c r="F91" s="24" t="str">
        <x:v>Mackerels, tunas, bonitos</x:v>
      </x:c>
      <x:c r="G91" s="24" t="str">
        <x:v>Medium pelagics (30 - 89 cm)</x:v>
      </x:c>
      <x:c r="H91" s="24" t="str">
        <x:v>Perch-likes</x:v>
      </x:c>
      <x:c r="I91" s="31" t="n">
        <x:v>133.0888667522</x:v>
      </x:c>
      <x:c r="J91" s="31" t="n">
        <x:v>133.0888667522</x:v>
      </x:c>
      <x:c r="K91" s="31" t="n">
        <x:v>0</x:v>
      </x:c>
      <x:c r="L91" s="31" t="n">
        <x:v>44.11185132770001</x:v>
      </x:c>
      <x:c r="M91" s="31" t="n">
        <x:v>88.9770154245</x:v>
      </x:c>
      <x:c r="N91" s="24" t="str">
        <x:v>scombridae</x:v>
      </x:c>
      <x:c r="O91" s="32" t="n">
        <x:v>4.26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Scombridae</x:v>
      </x:c>
      <x:c r="T91" s="32" t="n">
        <x:f>IF(O91="","",(1/'Metadata'!$B$5)^(O91-1))</x:f>
        <x:v>1819.7008586099826</x:v>
      </x:c>
      <x:c r="U91" s="31" t="n">
        <x:f>IF(T91="","",I91*T91)</x:f>
        <x:v>242181.9251004079</x:v>
      </x:c>
    </x:row>
    <x:row r="92" ht="18" customHeight="1">
      <x:c r="A92" s="24" t="str">
        <x:v>LME_029</x:v>
      </x:c>
      <x:c r="B92" s="24" t="str">
        <x:v>Benguela Current</x:v>
      </x:c>
      <x:c r="C92" s="24" t="str">
        <x:v>LME</x:v>
      </x:c>
      <x:c r="D92" s="30" t="n">
        <x:v>2019</x:v>
      </x:c>
      <x:c r="E92" s="24" t="str">
        <x:v>Parapenaeus longirostris</x:v>
      </x:c>
      <x:c r="F92" s="24" t="str">
        <x:v>Deepwater rose shrimp</x:v>
      </x:c>
      <x:c r="G92" s="24" t="str">
        <x:v>Shrimps</x:v>
      </x:c>
      <x:c r="H92" s="24" t="str">
        <x:v>Crustaceans</x:v>
      </x:c>
      <x:c r="I92" s="31" t="n">
        <x:v>128.3116972256</x:v>
      </x:c>
      <x:c r="J92" s="31" t="n">
        <x:v>128.3116972256</x:v>
      </x:c>
      <x:c r="K92" s="31" t="n">
        <x:v>0</x:v>
      </x:c>
      <x:c r="L92" s="31" t="n">
        <x:v>128.3116972256</x:v>
      </x:c>
      <x:c r="M92" s="31" t="n">
        <x:v>0</x:v>
      </x:c>
      <x:c r="N92" s="24" t="str">
        <x:v>parapenaeus longirostris</x:v>
      </x:c>
      <x:c r="O92" s="32" t="n">
        <x:v>3.3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Parapenaeus longirostris</x:v>
      </x:c>
      <x:c r="T92" s="32" t="n">
        <x:f>IF(O92="","",(1/'Metadata'!$B$5)^(O92-1))</x:f>
        <x:v>199.52623149688787</x:v>
      </x:c>
      <x:c r="U92" s="31" t="n">
        <x:f>IF(T92="","",I92*T92)</x:f>
        <x:v>25601.549404393652</x:v>
      </x:c>
    </x:row>
    <x:row r="93" ht="18" customHeight="1">
      <x:c r="A93" s="24" t="str">
        <x:v>LME_029</x:v>
      </x:c>
      <x:c r="B93" s="24" t="str">
        <x:v>Benguela Current</x:v>
      </x:c>
      <x:c r="C93" s="24" t="str">
        <x:v>LME</x:v>
      </x:c>
      <x:c r="D93" s="30" t="n">
        <x:v>2019</x:v>
      </x:c>
      <x:c r="E93" s="24" t="str">
        <x:v>Octopoda</x:v>
      </x:c>
      <x:c r="F93" s="24" t="str">
        <x:v>Octopuses, argonauts</x:v>
      </x:c>
      <x:c r="G93" s="24" t="str">
        <x:v>Cephalopods</x:v>
      </x:c>
      <x:c r="H93" s="24" t="str">
        <x:v>Other fishes &amp; inverts</x:v>
      </x:c>
      <x:c r="I93" s="31" t="n">
        <x:v>121.6007348177</x:v>
      </x:c>
      <x:c r="J93" s="31" t="n">
        <x:v>121.6007348177</x:v>
      </x:c>
      <x:c r="K93" s="31" t="n">
        <x:v>0</x:v>
      </x:c>
      <x:c r="L93" s="31" t="n">
        <x:v>121.6007348177</x:v>
      </x:c>
      <x:c r="M93" s="31" t="n">
        <x:v>0</x:v>
      </x:c>
      <x:c r="N93" s="24" t="str">
        <x:v>octopoda</x:v>
      </x:c>
      <x:c r="O93" s="32" t="n">
        <x:v>3.58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Octopoda</x:v>
      </x:c>
      <x:c r="T93" s="32" t="n">
        <x:f>IF(O93="","",(1/'Metadata'!$B$5)^(O93-1))</x:f>
        <x:v>380.1893963205613</x:v>
      </x:c>
      <x:c r="U93" s="31" t="n">
        <x:f>IF(T93="","",I93*T93)</x:f>
        <x:v>46231.30996247802</x:v>
      </x:c>
    </x:row>
    <x:row r="94" ht="18" customHeight="1">
      <x:c r="A94" s="24" t="str">
        <x:v>LME_029</x:v>
      </x:c>
      <x:c r="B94" s="24" t="str">
        <x:v>Benguela Current</x:v>
      </x:c>
      <x:c r="C94" s="24" t="str">
        <x:v>LME</x:v>
      </x:c>
      <x:c r="D94" s="30" t="n">
        <x:v>2019</x:v>
      </x:c>
      <x:c r="E94" s="24" t="str">
        <x:v>Lithognathus</x:v>
      </x:c>
      <x:c r="F94" s="24" t="str">
        <x:v>Steenbrases</x:v>
      </x:c>
      <x:c r="G94" s="24" t="str">
        <x:v>Large benthopelagics (&gt;=90 cm)</x:v>
      </x:c>
      <x:c r="H94" s="24" t="str">
        <x:v>Perch-likes</x:v>
      </x:c>
      <x:c r="I94" s="31" t="n">
        <x:v>121.4082968804</x:v>
      </x:c>
      <x:c r="J94" s="31" t="n">
        <x:v>121.4082968804</x:v>
      </x:c>
      <x:c r="K94" s="31" t="n">
        <x:v>0</x:v>
      </x:c>
      <x:c r="L94" s="31" t="n">
        <x:v>0</x:v>
      </x:c>
      <x:c r="M94" s="31" t="n">
        <x:v>121.4082968804</x:v>
      </x:c>
      <x:c r="N94" s="24" t="str">
        <x:v>lithognathus</x:v>
      </x:c>
      <x:c r="O94" s="32" t="n">
        <x:v>3.2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Lithognathus</x:v>
      </x:c>
      <x:c r="T94" s="32" t="n">
        <x:f>IF(O94="","",(1/'Metadata'!$B$5)^(O94-1))</x:f>
        <x:v>158.48931924611142</x:v>
      </x:c>
      <x:c r="U94" s="31" t="n">
        <x:f>IF(T94="","",I94*T94)</x:f>
        <x:v>19241.91832340439</x:v>
      </x:c>
    </x:row>
    <x:row r="95" ht="18" customHeight="1">
      <x:c r="A95" s="24" t="str">
        <x:v>LME_029</x:v>
      </x:c>
      <x:c r="B95" s="24" t="str">
        <x:v>Benguela Current</x:v>
      </x:c>
      <x:c r="C95" s="24" t="str">
        <x:v>LME</x:v>
      </x:c>
      <x:c r="D95" s="30" t="n">
        <x:v>2019</x:v>
      </x:c>
      <x:c r="E95" s="24" t="str">
        <x:v>Austroglossus microlepis</x:v>
      </x:c>
      <x:c r="F95" s="24" t="str">
        <x:v>West coast sole</x:v>
      </x:c>
      <x:c r="G95" s="24" t="str">
        <x:v>Small to medium flatfishes (&lt;90 cm)</x:v>
      </x:c>
      <x:c r="H95" s="24" t="str">
        <x:v>Flatfishes</x:v>
      </x:c>
      <x:c r="I95" s="31" t="n">
        <x:v>116.6593669511</x:v>
      </x:c>
      <x:c r="J95" s="31" t="n">
        <x:v>116.6593669511</x:v>
      </x:c>
      <x:c r="K95" s="31" t="n">
        <x:v>0</x:v>
      </x:c>
      <x:c r="L95" s="31" t="n">
        <x:v>116.6593669511</x:v>
      </x:c>
      <x:c r="M95" s="31" t="n">
        <x:v>0</x:v>
      </x:c>
      <x:c r="N95" s="24" t="str">
        <x:v>austroglossus microlepis</x:v>
      </x:c>
      <x:c r="O95" s="32" t="n">
        <x:v>3.48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Austroglossus microlepis</x:v>
      </x:c>
      <x:c r="T95" s="32" t="n">
        <x:f>IF(O95="","",(1/'Metadata'!$B$5)^(O95-1))</x:f>
        <x:v>301.9951720402016</x:v>
      </x:c>
      <x:c r="U95" s="31" t="n">
        <x:f>IF(T95="","",I95*T95)</x:f>
        <x:v>35230.56559249845</x:v>
      </x:c>
    </x:row>
    <x:row r="96" ht="18" customHeight="1">
      <x:c r="A96" s="24" t="str">
        <x:v>LME_029</x:v>
      </x:c>
      <x:c r="B96" s="24" t="str">
        <x:v>Benguela Current</x:v>
      </x:c>
      <x:c r="C96" s="24" t="str">
        <x:v>LME</x:v>
      </x:c>
      <x:c r="D96" s="30" t="n">
        <x:v>2019</x:v>
      </x:c>
      <x:c r="E96" s="24" t="str">
        <x:v>Diplodus</x:v>
      </x:c>
      <x:c r="F96" s="24" t="str">
        <x:v>Two-toothed seabreams</x:v>
      </x:c>
      <x:c r="G96" s="24" t="str">
        <x:v>Medium benthopelagics (30 - 89 cm)</x:v>
      </x:c>
      <x:c r="H96" s="24" t="str">
        <x:v>Perch-likes</x:v>
      </x:c>
      <x:c r="I96" s="31" t="n">
        <x:v>115.4931111478</x:v>
      </x:c>
      <x:c r="J96" s="31" t="n">
        <x:v>115.4931111478</x:v>
      </x:c>
      <x:c r="K96" s="31" t="n">
        <x:v>0</x:v>
      </x:c>
      <x:c r="L96" s="31" t="n">
        <x:v>115.4931111478</x:v>
      </x:c>
      <x:c r="M96" s="31" t="n">
        <x:v>0</x:v>
      </x:c>
      <x:c r="N96" s="24" t="str">
        <x:v>diplodus</x:v>
      </x:c>
      <x:c r="O96" s="32" t="n">
        <x:v>2.97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Diplodus</x:v>
      </x:c>
      <x:c r="T96" s="32" t="n">
        <x:f>IF(O96="","",(1/'Metadata'!$B$5)^(O96-1))</x:f>
        <x:v>93.32543007969915</x:v>
      </x:c>
      <x:c r="U96" s="31" t="n">
        <x:f>IF(T96="","",I96*T96)</x:f>
        <x:v>10778.44426911093</x:v>
      </x:c>
    </x:row>
    <x:row r="97" ht="18" customHeight="1">
      <x:c r="A97" s="24" t="str">
        <x:v>LME_029</x:v>
      </x:c>
      <x:c r="B97" s="24" t="str">
        <x:v>Benguela Current</x:v>
      </x:c>
      <x:c r="C97" s="24" t="str">
        <x:v>LME</x:v>
      </x:c>
      <x:c r="D97" s="30" t="n">
        <x:v>2019</x:v>
      </x:c>
      <x:c r="E97" s="24" t="str">
        <x:v>Serranidae</x:v>
      </x:c>
      <x:c r="F97" s="24" t="str">
        <x:v>Basses, groupers, hinds</x:v>
      </x:c>
      <x:c r="G97" s="24" t="str">
        <x:v>Medium reef assoc. fish (30 - 89 cm)</x:v>
      </x:c>
      <x:c r="H97" s="24" t="str">
        <x:v>Perch-likes</x:v>
      </x:c>
      <x:c r="I97" s="31" t="n">
        <x:v>113.28146936609998</x:v>
      </x:c>
      <x:c r="J97" s="31" t="n">
        <x:v>113.28146936609998</x:v>
      </x:c>
      <x:c r="K97" s="31" t="n">
        <x:v>0</x:v>
      </x:c>
      <x:c r="L97" s="31" t="n">
        <x:v>113.28146936609998</x:v>
      </x:c>
      <x:c r="M97" s="31" t="n">
        <x:v>0</x:v>
      </x:c>
      <x:c r="N97" s="24" t="str">
        <x:v>serranidae</x:v>
      </x:c>
      <x:c r="O97" s="32" t="n">
        <x:v>3.98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Serranidae</x:v>
      </x:c>
      <x:c r="T97" s="32" t="n">
        <x:f>IF(O97="","",(1/'Metadata'!$B$5)^(O97-1))</x:f>
        <x:v>954.992586021436</x:v>
      </x:c>
      <x:c r="U97" s="31" t="n">
        <x:f>IF(T97="","",I97*T97)</x:f>
        <x:v>108182.9633782399</x:v>
      </x:c>
    </x:row>
    <x:row r="98" ht="18" customHeight="1">
      <x:c r="A98" s="24" t="str">
        <x:v>LME_029</x:v>
      </x:c>
      <x:c r="B98" s="24" t="str">
        <x:v>Benguela Current</x:v>
      </x:c>
      <x:c r="C98" s="24" t="str">
        <x:v>LME</x:v>
      </x:c>
      <x:c r="D98" s="30" t="n">
        <x:v>2019</x:v>
      </x:c>
      <x:c r="E98" s="24" t="str">
        <x:v>Emmelichthys nitidus</x:v>
      </x:c>
      <x:c r="F98" s="24" t="str">
        <x:v>Cape bonnetmouth</x:v>
      </x:c>
      <x:c r="G98" s="24" t="str">
        <x:v>Medium bathydemersals (30 - 89 cm)</x:v>
      </x:c>
      <x:c r="H98" s="24" t="str">
        <x:v>Perch-likes</x:v>
      </x:c>
      <x:c r="I98" s="31" t="n">
        <x:v>111.72449595709999</x:v>
      </x:c>
      <x:c r="J98" s="31" t="n">
        <x:v>111.72449595709999</x:v>
      </x:c>
      <x:c r="K98" s="31" t="n">
        <x:v>0</x:v>
      </x:c>
      <x:c r="L98" s="31" t="n">
        <x:v>111.72449595709999</x:v>
      </x:c>
      <x:c r="M98" s="31" t="n">
        <x:v>0</x:v>
      </x:c>
      <x:c r="N98" s="24" t="str">
        <x:v>emmelichthys nitidus</x:v>
      </x:c>
      <x:c r="O98" s="32" t="n">
        <x:v>3.61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Emmelichthys nitidus</x:v>
      </x:c>
      <x:c r="T98" s="32" t="n">
        <x:f>IF(O98="","",(1/'Metadata'!$B$5)^(O98-1))</x:f>
        <x:v>407.3802778041126</x:v>
      </x:c>
      <x:c r="U98" s="31" t="n">
        <x:f>IF(T98="","",I98*T98)</x:f>
        <x:v>45514.35620052785</x:v>
      </x:c>
    </x:row>
    <x:row r="99" ht="18" customHeight="1">
      <x:c r="A99" s="24" t="str">
        <x:v>LME_029</x:v>
      </x:c>
      <x:c r="B99" s="24" t="str">
        <x:v>Benguela Current</x:v>
      </x:c>
      <x:c r="C99" s="24" t="str">
        <x:v>LME</x:v>
      </x:c>
      <x:c r="D99" s="30" t="n">
        <x:v>2019</x:v>
      </x:c>
      <x:c r="E99" s="24" t="str">
        <x:v>Austroglossus pectoralis</x:v>
      </x:c>
      <x:c r="F99" s="24" t="str">
        <x:v>Mud sole</x:v>
      </x:c>
      <x:c r="G99" s="24" t="str">
        <x:v>Small to medium flatfishes (&lt;90 cm)</x:v>
      </x:c>
      <x:c r="H99" s="24" t="str">
        <x:v>Flatfishes</x:v>
      </x:c>
      <x:c r="I99" s="31" t="n">
        <x:v>108.7732501569</x:v>
      </x:c>
      <x:c r="J99" s="31" t="n">
        <x:v>108.7732501569</x:v>
      </x:c>
      <x:c r="K99" s="31" t="n">
        <x:v>0</x:v>
      </x:c>
      <x:c r="L99" s="31" t="n">
        <x:v>108.7732501569</x:v>
      </x:c>
      <x:c r="M99" s="31" t="n">
        <x:v>0</x:v>
      </x:c>
      <x:c r="N99" s="24" t="str">
        <x:v>austroglossus pectoralis</x:v>
      </x:c>
      <x:c r="O99" s="32" t="n">
        <x:v>4.03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Austroglossus pectoralis</x:v>
      </x:c>
      <x:c r="T99" s="32" t="n">
        <x:f>IF(O99="","",(1/'Metadata'!$B$5)^(O99-1))</x:f>
        <x:v>1071.519305237607</x:v>
      </x:c>
      <x:c r="U99" s="31" t="n">
        <x:f>IF(T99="","",I99*T99)</x:f>
        <x:v>116552.63743655794</x:v>
      </x:c>
    </x:row>
    <x:row r="100" ht="18" customHeight="1">
      <x:c r="A100" s="24" t="str">
        <x:v>LME_029</x:v>
      </x:c>
      <x:c r="B100" s="24" t="str">
        <x:v>Benguela Current</x:v>
      </x:c>
      <x:c r="C100" s="24" t="str">
        <x:v>LME</x:v>
      </x:c>
      <x:c r="D100" s="30" t="n">
        <x:v>2019</x:v>
      </x:c>
      <x:c r="E100" s="24" t="str">
        <x:v>Scorpaeniformes</x:v>
      </x:c>
      <x:c r="F100" s="24" t="str">
        <x:v>Scorpionfishes, flatheads</x:v>
      </x:c>
      <x:c r="G100" s="24" t="str">
        <x:v>Medium demersals (30 - 89 cm)</x:v>
      </x:c>
      <x:c r="H100" s="24" t="str">
        <x:v>Scorpionfishes</x:v>
      </x:c>
      <x:c r="I100" s="31" t="n">
        <x:v>108.5234968301</x:v>
      </x:c>
      <x:c r="J100" s="31" t="n">
        <x:v>0</x:v>
      </x:c>
      <x:c r="K100" s="31" t="n">
        <x:v>108.5234968301</x:v>
      </x:c>
      <x:c r="L100" s="31" t="n">
        <x:v>0</x:v>
      </x:c>
      <x:c r="M100" s="31" t="n">
        <x:v>108.5234968301</x:v>
      </x:c>
      <x:c r="N100" s="24" t="str">
        <x:v>scorpaeniformes</x:v>
      </x:c>
      <x:c r="O100" s="32" t="n">
        <x:v>3.78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Scorpaeniformes</x:v>
      </x:c>
      <x:c r="T100" s="32" t="n">
        <x:f>IF(O100="","",(1/'Metadata'!$B$5)^(O100-1))</x:f>
        <x:v>602.5595860743575</x:v>
      </x:c>
      <x:c r="U100" s="31" t="n">
        <x:f>IF(T100="","",I100*T100)</x:f>
        <x:v>65391.87332928691</x:v>
      </x:c>
    </x:row>
    <x:row r="101" ht="18" customHeight="1">
      <x:c r="A101" s="24" t="str">
        <x:v>LME_029</x:v>
      </x:c>
      <x:c r="B101" s="24" t="str">
        <x:v>Benguela Current</x:v>
      </x:c>
      <x:c r="C101" s="24" t="str">
        <x:v>LME</x:v>
      </x:c>
      <x:c r="D101" s="30" t="n">
        <x:v>2019</x:v>
      </x:c>
      <x:c r="E101" s="24" t="str">
        <x:v>Mustelus</x:v>
      </x:c>
      <x:c r="F101" s="24" t="str">
        <x:v>Smoothhounds</x:v>
      </x:c>
      <x:c r="G101" s="24" t="str">
        <x:v>Large sharks (&gt;=90 cm)</x:v>
      </x:c>
      <x:c r="H101" s="24" t="str">
        <x:v>Sharks &amp; rays</x:v>
      </x:c>
      <x:c r="I101" s="31" t="n">
        <x:v>100.8713775519</x:v>
      </x:c>
      <x:c r="J101" s="31" t="n">
        <x:v>100.8713775519</x:v>
      </x:c>
      <x:c r="K101" s="31" t="n">
        <x:v>0</x:v>
      </x:c>
      <x:c r="L101" s="31" t="n">
        <x:v>30.862664536500002</x:v>
      </x:c>
      <x:c r="M101" s="31" t="n">
        <x:v>70.0087130154</x:v>
      </x:c>
      <x:c r="N101" s="24" t="str">
        <x:v>mustelus</x:v>
      </x:c>
      <x:c r="O101" s="32" t="n">
        <x:v>3.73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Mustelus</x:v>
      </x:c>
      <x:c r="T101" s="32" t="n">
        <x:f>IF(O101="","",(1/'Metadata'!$B$5)^(O101-1))</x:f>
        <x:v>537.0317963702527</x:v>
      </x:c>
      <x:c r="U101" s="31" t="n">
        <x:f>IF(T101="","",I101*T101)</x:f>
        <x:v>54171.137089038835</x:v>
      </x:c>
    </x:row>
    <x:row r="102" ht="18" customHeight="1">
      <x:c r="A102" s="24" t="str">
        <x:v>LME_029</x:v>
      </x:c>
      <x:c r="B102" s="24" t="str">
        <x:v>Benguela Current</x:v>
      </x:c>
      <x:c r="C102" s="24" t="str">
        <x:v>LME</x:v>
      </x:c>
      <x:c r="D102" s="30" t="n">
        <x:v>2019</x:v>
      </x:c>
      <x:c r="E102" s="24" t="str">
        <x:v>Mustelus mustelus</x:v>
      </x:c>
      <x:c r="F102" s="24" t="str">
        <x:v>Smooth-hound</x:v>
      </x:c>
      <x:c r="G102" s="24" t="str">
        <x:v>Large sharks (&gt;=90 cm)</x:v>
      </x:c>
      <x:c r="H102" s="24" t="str">
        <x:v>Sharks &amp; rays</x:v>
      </x:c>
      <x:c r="I102" s="31" t="n">
        <x:v>93.5384082603</x:v>
      </x:c>
      <x:c r="J102" s="31" t="n">
        <x:v>93.5384082603</x:v>
      </x:c>
      <x:c r="K102" s="31" t="n">
        <x:v>0</x:v>
      </x:c>
      <x:c r="L102" s="31" t="n">
        <x:v>54.559960271399994</x:v>
      </x:c>
      <x:c r="M102" s="31" t="n">
        <x:v>38.9784479889</x:v>
      </x:c>
      <x:c r="N102" s="24" t="str">
        <x:v>mustelus mustelus</x:v>
      </x:c>
      <x:c r="O102" s="32" t="n">
        <x:v>3.75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Mustelus mustelus</x:v>
      </x:c>
      <x:c r="T102" s="32" t="n">
        <x:f>IF(O102="","",(1/'Metadata'!$B$5)^(O102-1))</x:f>
        <x:v>562.341325190349</x:v>
      </x:c>
      <x:c r="U102" s="31" t="n">
        <x:f>IF(T102="","",I102*T102)</x:f>
        <x:v>52600.51245729299</x:v>
      </x:c>
    </x:row>
    <x:row r="103" ht="18" customHeight="1">
      <x:c r="A103" s="24" t="str">
        <x:v>LME_029</x:v>
      </x:c>
      <x:c r="B103" s="24" t="str">
        <x:v>Benguela Current</x:v>
      </x:c>
      <x:c r="C103" s="24" t="str">
        <x:v>LME</x:v>
      </x:c>
      <x:c r="D103" s="30" t="n">
        <x:v>2019</x:v>
      </x:c>
      <x:c r="E103" s="24" t="str">
        <x:v>Galeorhinus galeus</x:v>
      </x:c>
      <x:c r="F103" s="24" t="str">
        <x:v>Tope shark</x:v>
      </x:c>
      <x:c r="G103" s="24" t="str">
        <x:v>Large sharks (&gt;=90 cm)</x:v>
      </x:c>
      <x:c r="H103" s="24" t="str">
        <x:v>Sharks &amp; rays</x:v>
      </x:c>
      <x:c r="I103" s="31" t="n">
        <x:v>80.78404009740001</x:v>
      </x:c>
      <x:c r="J103" s="31" t="n">
        <x:v>80.78404009740001</x:v>
      </x:c>
      <x:c r="K103" s="31" t="n">
        <x:v>0</x:v>
      </x:c>
      <x:c r="L103" s="31" t="n">
        <x:v>63.8664219339</x:v>
      </x:c>
      <x:c r="M103" s="31" t="n">
        <x:v>16.9176181635</x:v>
      </x:c>
      <x:c r="N103" s="24" t="str">
        <x:v>galeorhinus galeus</x:v>
      </x:c>
      <x:c r="O103" s="32" t="n">
        <x:v>4.34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Galeorhinus galeus</x:v>
      </x:c>
      <x:c r="T103" s="32" t="n">
        <x:f>IF(O103="","",(1/'Metadata'!$B$5)^(O103-1))</x:f>
        <x:v>2187.761623949552</x:v>
      </x:c>
      <x:c r="U103" s="31" t="n">
        <x:f>IF(T103="","",I103*T103)</x:f>
        <x:v>176736.22275269357</x:v>
      </x:c>
    </x:row>
    <x:row r="104" ht="18" customHeight="1">
      <x:c r="A104" s="24" t="str">
        <x:v>LME_029</x:v>
      </x:c>
      <x:c r="B104" s="24" t="str">
        <x:v>Benguela Current</x:v>
      </x:c>
      <x:c r="C104" s="24" t="str">
        <x:v>LME</x:v>
      </x:c>
      <x:c r="D104" s="30" t="n">
        <x:v>2019</x:v>
      </x:c>
      <x:c r="E104" s="24" t="str">
        <x:v>Rhabdosargus globiceps</x:v>
      </x:c>
      <x:c r="F104" s="24" t="str">
        <x:v>White stumpnose</x:v>
      </x:c>
      <x:c r="G104" s="24" t="str">
        <x:v>Medium benthopelagics (30 - 89 cm)</x:v>
      </x:c>
      <x:c r="H104" s="24" t="str">
        <x:v>Perch-likes</x:v>
      </x:c>
      <x:c r="I104" s="31" t="n">
        <x:v>76.1967574331</x:v>
      </x:c>
      <x:c r="J104" s="31" t="n">
        <x:v>76.1967574331</x:v>
      </x:c>
      <x:c r="K104" s="31" t="n">
        <x:v>0</x:v>
      </x:c>
      <x:c r="L104" s="31" t="n">
        <x:v>67.2465932754</x:v>
      </x:c>
      <x:c r="M104" s="31" t="n">
        <x:v>8.9501641577</x:v>
      </x:c>
      <x:c r="N104" s="24" t="str">
        <x:v>rhabdosargus globiceps</x:v>
      </x:c>
      <x:c r="O104" s="32" t="n">
        <x:v>3.04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Rhabdosargus globiceps</x:v>
      </x:c>
      <x:c r="T104" s="32" t="n">
        <x:f>IF(O104="","",(1/'Metadata'!$B$5)^(O104-1))</x:f>
        <x:v>109.64781961431851</x:v>
      </x:c>
      <x:c r="U104" s="31" t="n">
        <x:f>IF(T104="","",I104*T104)</x:f>
        <x:v>8354.808314220532</x:v>
      </x:c>
    </x:row>
    <x:row r="105" ht="18" customHeight="1">
      <x:c r="A105" s="24" t="str">
        <x:v>LME_029</x:v>
      </x:c>
      <x:c r="B105" s="24" t="str">
        <x:v>Benguela Current</x:v>
      </x:c>
      <x:c r="C105" s="24" t="str">
        <x:v>LME</x:v>
      </x:c>
      <x:c r="D105" s="30" t="n">
        <x:v>2019</x:v>
      </x:c>
      <x:c r="E105" s="24" t="str">
        <x:v>Pomadasys incisus</x:v>
      </x:c>
      <x:c r="F105" s="24" t="str">
        <x:v>Bastard grunt</x:v>
      </x:c>
      <x:c r="G105" s="24" t="str">
        <x:v>Medium demersals (30 - 89 cm)</x:v>
      </x:c>
      <x:c r="H105" s="24" t="str">
        <x:v>Perch-likes</x:v>
      </x:c>
      <x:c r="I105" s="31" t="n">
        <x:v>69.092259073</x:v>
      </x:c>
      <x:c r="J105" s="31" t="n">
        <x:v>69.092259073</x:v>
      </x:c>
      <x:c r="K105" s="31" t="n">
        <x:v>0</x:v>
      </x:c>
      <x:c r="L105" s="31" t="n">
        <x:v>0</x:v>
      </x:c>
      <x:c r="M105" s="31" t="n">
        <x:v>69.092259073</x:v>
      </x:c>
      <x:c r="N105" s="24" t="str">
        <x:v>pomadasys incisus</x:v>
      </x:c>
      <x:c r="O105" s="32" t="n">
        <x:v>3.8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Pomadasys incisus</x:v>
      </x:c>
      <x:c r="T105" s="32" t="n">
        <x:f>IF(O105="","",(1/'Metadata'!$B$5)^(O105-1))</x:f>
        <x:v>630.957344480193</x:v>
      </x:c>
      <x:c r="U105" s="31" t="n">
        <x:f>IF(T105="","",I105*T105)</x:f>
        <x:v>43594.2683088376</x:v>
      </x:c>
    </x:row>
    <x:row r="106" ht="18" customHeight="1">
      <x:c r="A106" s="24" t="str">
        <x:v>LME_029</x:v>
      </x:c>
      <x:c r="B106" s="24" t="str">
        <x:v>Benguela Current</x:v>
      </x:c>
      <x:c r="C106" s="24" t="str">
        <x:v>LME</x:v>
      </x:c>
      <x:c r="D106" s="30" t="n">
        <x:v>2019</x:v>
      </x:c>
      <x:c r="E106" s="24" t="str">
        <x:v>Scomberomorus tritor</x:v>
      </x:c>
      <x:c r="F106" s="24" t="str">
        <x:v>West African Spanish mackerel</x:v>
      </x:c>
      <x:c r="G106" s="24" t="str">
        <x:v>Medium pelagics (30 - 89 cm)</x:v>
      </x:c>
      <x:c r="H106" s="24" t="str">
        <x:v>Perch-likes</x:v>
      </x:c>
      <x:c r="I106" s="31" t="n">
        <x:v>68.5585154893</x:v>
      </x:c>
      <x:c r="J106" s="31" t="n">
        <x:v>68.5585154893</x:v>
      </x:c>
      <x:c r="K106" s="31" t="n">
        <x:v>0</x:v>
      </x:c>
      <x:c r="L106" s="31" t="n">
        <x:v>68.5585154893</x:v>
      </x:c>
      <x:c r="M106" s="31" t="n">
        <x:v>0</x:v>
      </x:c>
      <x:c r="N106" s="24" t="str">
        <x:v>scomberomorus tritor</x:v>
      </x:c>
      <x:c r="O106" s="32" t="n">
        <x:v>4.26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Scomberomorus tritor</x:v>
      </x:c>
      <x:c r="T106" s="32" t="n">
        <x:f>IF(O106="","",(1/'Metadata'!$B$5)^(O106-1))</x:f>
        <x:v>1819.7008586099826</x:v>
      </x:c>
      <x:c r="U106" s="31" t="n">
        <x:f>IF(T106="","",I106*T106)</x:f>
        <x:v>124755.98950090501</x:v>
      </x:c>
    </x:row>
    <x:row r="107" ht="18" customHeight="1">
      <x:c r="A107" s="24" t="str">
        <x:v>LME_029</x:v>
      </x:c>
      <x:c r="B107" s="24" t="str">
        <x:v>Benguela Current</x:v>
      </x:c>
      <x:c r="C107" s="24" t="str">
        <x:v>LME</x:v>
      </x:c>
      <x:c r="D107" s="30" t="n">
        <x:v>2019</x:v>
      </x:c>
      <x:c r="E107" s="24" t="str">
        <x:v>Ruvettus pretiosus</x:v>
      </x:c>
      <x:c r="F107" s="24" t="str">
        <x:v>Oilfish</x:v>
      </x:c>
      <x:c r="G107" s="24" t="str">
        <x:v>Large benthopelagics (&gt;=90 cm)</x:v>
      </x:c>
      <x:c r="H107" s="24" t="str">
        <x:v>Perch-likes</x:v>
      </x:c>
      <x:c r="I107" s="31" t="n">
        <x:v>67.4412023606</x:v>
      </x:c>
      <x:c r="J107" s="31" t="n">
        <x:v>67.4412023606</x:v>
      </x:c>
      <x:c r="K107" s="31" t="n">
        <x:v>0</x:v>
      </x:c>
      <x:c r="L107" s="31" t="n">
        <x:v>67.4412023606</x:v>
      </x:c>
      <x:c r="M107" s="31" t="n">
        <x:v>0</x:v>
      </x:c>
      <x:c r="N107" s="24" t="str">
        <x:v>ruvettus pretiosus</x:v>
      </x:c>
      <x:c r="O107" s="32" t="n">
        <x:v>4.18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Ruvettus pretiosus</x:v>
      </x:c>
      <x:c r="T107" s="32" t="n">
        <x:f>IF(O107="","",(1/'Metadata'!$B$5)^(O107-1))</x:f>
        <x:v>1513.5612484362073</x:v>
      </x:c>
      <x:c r="U107" s="31" t="n">
        <x:f>IF(T107="","",I107*T107)</x:f>
        <x:v>102076.39044094863</x:v>
      </x:c>
    </x:row>
    <x:row r="108" ht="18" customHeight="1">
      <x:c r="A108" s="24" t="str">
        <x:v>LME_029</x:v>
      </x:c>
      <x:c r="B108" s="24" t="str">
        <x:v>Benguela Current</x:v>
      </x:c>
      <x:c r="C108" s="24" t="str">
        <x:v>LME</x:v>
      </x:c>
      <x:c r="D108" s="30" t="n">
        <x:v>2019</x:v>
      </x:c>
      <x:c r="E108" s="24" t="str">
        <x:v>Bivalvia</x:v>
      </x:c>
      <x:c r="F108" s="24" t="str">
        <x:v>Clams</x:v>
      </x:c>
      <x:c r="G108" s="24" t="str">
        <x:v>Other demersal invertebrates</x:v>
      </x:c>
      <x:c r="H108" s="24" t="str">
        <x:v>Molluscs</x:v>
      </x:c>
      <x:c r="I108" s="31" t="n">
        <x:v>56.4450925301</x:v>
      </x:c>
      <x:c r="J108" s="31" t="n">
        <x:v>56.4450925301</x:v>
      </x:c>
      <x:c r="K108" s="31" t="n">
        <x:v>0</x:v>
      </x:c>
      <x:c r="L108" s="31" t="n">
        <x:v>0</x:v>
      </x:c>
      <x:c r="M108" s="31" t="n">
        <x:v>56.4450925301</x:v>
      </x:c>
      <x:c r="N108" s="24" t="str">
        <x:v>bivalvia</x:v>
      </x:c>
      <x:c r="O108" s="32" t="n">
        <x:v>2.23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Bivalvia</x:v>
      </x:c>
      <x:c r="T108" s="32" t="n">
        <x:f>IF(O108="","",(1/'Metadata'!$B$5)^(O108-1))</x:f>
        <x:v>16.982436524617444</x:v>
      </x:c>
      <x:c r="U108" s="31" t="n">
        <x:f>IF(T108="","",I108*T108)</x:f>
        <x:v>958.5752010185815</x:v>
      </x:c>
    </x:row>
    <x:row r="109" ht="18" customHeight="1">
      <x:c r="A109" s="24" t="str">
        <x:v>LME_029</x:v>
      </x:c>
      <x:c r="B109" s="24" t="str">
        <x:v>Benguela Current</x:v>
      </x:c>
      <x:c r="C109" s="24" t="str">
        <x:v>LME</x:v>
      </x:c>
      <x:c r="D109" s="30" t="n">
        <x:v>2019</x:v>
      </x:c>
      <x:c r="E109" s="24" t="str">
        <x:v>Coryphaena</x:v>
      </x:c>
      <x:c r="F109" s="24" t="str">
        <x:v>Dolphinfishes</x:v>
      </x:c>
      <x:c r="G109" s="24" t="str">
        <x:v>Large pelagics (&gt;=90 cm)</x:v>
      </x:c>
      <x:c r="H109" s="24" t="str">
        <x:v>Perch-likes</x:v>
      </x:c>
      <x:c r="I109" s="31" t="n">
        <x:v>51.3868079421</x:v>
      </x:c>
      <x:c r="J109" s="31" t="n">
        <x:v>51.3868079421</x:v>
      </x:c>
      <x:c r="K109" s="31" t="n">
        <x:v>0</x:v>
      </x:c>
      <x:c r="L109" s="31" t="n">
        <x:v>0</x:v>
      </x:c>
      <x:c r="M109" s="31" t="n">
        <x:v>51.3868079421</x:v>
      </x:c>
      <x:c r="N109" s="24" t="str">
        <x:v>coryphaena</x:v>
      </x:c>
      <x:c r="O109" s="32" t="n">
        <x:v>4.49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Coryphaena</x:v>
      </x:c>
      <x:c r="T109" s="32" t="n">
        <x:f>IF(O109="","",(1/'Metadata'!$B$5)^(O109-1))</x:f>
        <x:v>3090.295432513592</x:v>
      </x:c>
      <x:c r="U109" s="31" t="n">
        <x:f>IF(T109="","",I109*T109)</x:f>
        <x:v>158800.4178749248</x:v>
      </x:c>
    </x:row>
    <x:row r="110" ht="18" customHeight="1">
      <x:c r="A110" s="24" t="str">
        <x:v>LME_029</x:v>
      </x:c>
      <x:c r="B110" s="24" t="str">
        <x:v>Benguela Current</x:v>
      </x:c>
      <x:c r="C110" s="24" t="str">
        <x:v>LME</x:v>
      </x:c>
      <x:c r="D110" s="30" t="n">
        <x:v>2019</x:v>
      </x:c>
      <x:c r="E110" s="24" t="str">
        <x:v>Gempylidae</x:v>
      </x:c>
      <x:c r="F110" s="24" t="str">
        <x:v>Snake mackerels</x:v>
      </x:c>
      <x:c r="G110" s="24" t="str">
        <x:v>Large benthopelagics (&gt;=90 cm)</x:v>
      </x:c>
      <x:c r="H110" s="24" t="str">
        <x:v>Perch-likes</x:v>
      </x:c>
      <x:c r="I110" s="31" t="n">
        <x:v>50.4039096618</x:v>
      </x:c>
      <x:c r="J110" s="31" t="n">
        <x:v>50.4039096618</x:v>
      </x:c>
      <x:c r="K110" s="31" t="n">
        <x:v>0</x:v>
      </x:c>
      <x:c r="L110" s="31" t="n">
        <x:v>0</x:v>
      </x:c>
      <x:c r="M110" s="31" t="n">
        <x:v>50.4039096618</x:v>
      </x:c>
      <x:c r="N110" s="24" t="str">
        <x:v>gempylidae</x:v>
      </x:c>
      <x:c r="O110" s="32" t="n">
        <x:v>4.21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Gempylidae</x:v>
      </x:c>
      <x:c r="T110" s="32" t="n">
        <x:f>IF(O110="","",(1/'Metadata'!$B$5)^(O110-1))</x:f>
        <x:v>1621.8100973589299</x:v>
      </x:c>
      <x:c r="U110" s="31" t="n">
        <x:f>IF(T110="","",I110*T110)</x:f>
        <x:v>81745.56963587456</x:v>
      </x:c>
    </x:row>
    <x:row r="111" ht="18" customHeight="1">
      <x:c r="A111" s="24" t="str">
        <x:v>LME_029</x:v>
      </x:c>
      <x:c r="B111" s="24" t="str">
        <x:v>Benguela Current</x:v>
      </x:c>
      <x:c r="C111" s="24" t="str">
        <x:v>LME</x:v>
      </x:c>
      <x:c r="D111" s="30" t="n">
        <x:v>2019</x:v>
      </x:c>
      <x:c r="E111" s="24" t="str">
        <x:v>Lichia amia</x:v>
      </x:c>
      <x:c r="F111" s="24" t="str">
        <x:v>Leerfish</x:v>
      </x:c>
      <x:c r="G111" s="24" t="str">
        <x:v>Large pelagics (&gt;=90 cm)</x:v>
      </x:c>
      <x:c r="H111" s="24" t="str">
        <x:v>Perch-likes</x:v>
      </x:c>
      <x:c r="I111" s="31" t="n">
        <x:v>49.6570673577</x:v>
      </x:c>
      <x:c r="J111" s="31" t="n">
        <x:v>49.6570673577</x:v>
      </x:c>
      <x:c r="K111" s="31" t="n">
        <x:v>0</x:v>
      </x:c>
      <x:c r="L111" s="31" t="n">
        <x:v>0</x:v>
      </x:c>
      <x:c r="M111" s="31" t="n">
        <x:v>49.6570673577</x:v>
      </x:c>
      <x:c r="N111" s="24" t="str">
        <x:v>lichia amia</x:v>
      </x:c>
      <x:c r="O111" s="32" t="n">
        <x:v>4.5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Lichia amia</x:v>
      </x:c>
      <x:c r="T111" s="32" t="n">
        <x:f>IF(O111="","",(1/'Metadata'!$B$5)^(O111-1))</x:f>
        <x:v>3162.2776601683795</x:v>
      </x:c>
      <x:c r="U111" s="31" t="n">
        <x:f>IF(T111="","",I111*T111)</x:f>
        <x:v>157029.43477473117</x:v>
      </x:c>
    </x:row>
    <x:row r="112" ht="18" customHeight="1">
      <x:c r="A112" s="24" t="str">
        <x:v>LME_029</x:v>
      </x:c>
      <x:c r="B112" s="24" t="str">
        <x:v>Benguela Current</x:v>
      </x:c>
      <x:c r="C112" s="24" t="str">
        <x:v>LME</x:v>
      </x:c>
      <x:c r="D112" s="30" t="n">
        <x:v>2019</x:v>
      </x:c>
      <x:c r="E112" s="24" t="str">
        <x:v>Aristaeopsis edwardsiana</x:v>
      </x:c>
      <x:c r="F112" s="24" t="str">
        <x:v>Scarlet shrimp</x:v>
      </x:c>
      <x:c r="G112" s="24" t="str">
        <x:v>Shrimps</x:v>
      </x:c>
      <x:c r="H112" s="24" t="str">
        <x:v>Crustaceans</x:v>
      </x:c>
      <x:c r="I112" s="31" t="n">
        <x:v>41.4575605235</x:v>
      </x:c>
      <x:c r="J112" s="31" t="n">
        <x:v>41.4575605235</x:v>
      </x:c>
      <x:c r="K112" s="31" t="n">
        <x:v>0</x:v>
      </x:c>
      <x:c r="L112" s="31" t="n">
        <x:v>41.4575605235</x:v>
      </x:c>
      <x:c r="M112" s="31" t="n">
        <x:v>0</x:v>
      </x:c>
      <x:c r="N112" s="24" t="str">
        <x:v>aristaeopsis edwardsiana</x:v>
      </x:c>
      <x:c r="O112" s="32" t="n">
        <x:v>2.3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Aristaeopsis edwardsiana</x:v>
      </x:c>
      <x:c r="T112" s="32" t="n">
        <x:f>IF(O112="","",(1/'Metadata'!$B$5)^(O112-1))</x:f>
        <x:v>19.952623149688787</x:v>
      </x:c>
      <x:c r="U112" s="31" t="n">
        <x:f>IF(T112="","",I112*T112)</x:f>
        <x:v>827.18708183081</x:v>
      </x:c>
    </x:row>
    <x:row r="113" ht="18" customHeight="1">
      <x:c r="A113" s="24" t="str">
        <x:v>LME_029</x:v>
      </x:c>
      <x:c r="B113" s="24" t="str">
        <x:v>Benguela Current</x:v>
      </x:c>
      <x:c r="C113" s="24" t="str">
        <x:v>LME</x:v>
      </x:c>
      <x:c r="D113" s="30" t="n">
        <x:v>2019</x:v>
      </x:c>
      <x:c r="E113" s="24" t="str">
        <x:v>Ophidiidae</x:v>
      </x:c>
      <x:c r="F113" s="24" t="str">
        <x:v>Cuskeels</x:v>
      </x:c>
      <x:c r="G113" s="24" t="str">
        <x:v>Large bathydemersals (&gt;=90 cm)</x:v>
      </x:c>
      <x:c r="H113" s="24" t="str">
        <x:v>Other fishes &amp; inverts</x:v>
      </x:c>
      <x:c r="I113" s="31" t="n">
        <x:v>38.9558087604</x:v>
      </x:c>
      <x:c r="J113" s="31" t="n">
        <x:v>38.9558087604</x:v>
      </x:c>
      <x:c r="K113" s="31" t="n">
        <x:v>0</x:v>
      </x:c>
      <x:c r="L113" s="31" t="n">
        <x:v>38.9558087604</x:v>
      </x:c>
      <x:c r="M113" s="31" t="n">
        <x:v>0</x:v>
      </x:c>
      <x:c r="N113" s="24" t="str">
        <x:v>ophidiidae</x:v>
      </x:c>
      <x:c r="O113" s="32" t="n">
        <x:v>3.67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Ophidiidae</x:v>
      </x:c>
      <x:c r="T113" s="32" t="n">
        <x:f>IF(O113="","",(1/'Metadata'!$B$5)^(O113-1))</x:f>
        <x:v>467.73514128719813</x:v>
      </x:c>
      <x:c r="U113" s="31" t="n">
        <x:f>IF(T113="","",I113*T113)</x:f>
        <x:v>18221.000714502763</x:v>
      </x:c>
    </x:row>
    <x:row r="114" ht="18" customHeight="1">
      <x:c r="A114" s="24" t="str">
        <x:v>LME_029</x:v>
      </x:c>
      <x:c r="B114" s="24" t="str">
        <x:v>Benguela Current</x:v>
      </x:c>
      <x:c r="C114" s="24" t="str">
        <x:v>LME</x:v>
      </x:c>
      <x:c r="D114" s="30" t="n">
        <x:v>2019</x:v>
      </x:c>
      <x:c r="E114" s="24" t="str">
        <x:v>Oreosomatidae</x:v>
      </x:c>
      <x:c r="F114" s="24" t="str">
        <x:v>Oreos</x:v>
      </x:c>
      <x:c r="G114" s="24" t="str">
        <x:v>Medium bathypelagics (30 - 89 cm)</x:v>
      </x:c>
      <x:c r="H114" s="24" t="str">
        <x:v>Other fishes &amp; inverts</x:v>
      </x:c>
      <x:c r="I114" s="31" t="n">
        <x:v>27.8549730287</x:v>
      </x:c>
      <x:c r="J114" s="31" t="n">
        <x:v>27.8549730287</x:v>
      </x:c>
      <x:c r="K114" s="31" t="n">
        <x:v>0</x:v>
      </x:c>
      <x:c r="L114" s="31" t="n">
        <x:v>27.8549730287</x:v>
      </x:c>
      <x:c r="M114" s="31" t="n">
        <x:v>0</x:v>
      </x:c>
      <x:c r="N114" s="24" t="str">
        <x:v>oreosomatidae</x:v>
      </x:c>
      <x:c r="O114" s="32" t="n">
        <x:v>3.69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Oreosomatidae</x:v>
      </x:c>
      <x:c r="T114" s="32" t="n">
        <x:f>IF(O114="","",(1/'Metadata'!$B$5)^(O114-1))</x:f>
        <x:v>489.77881936844614</x:v>
      </x:c>
      <x:c r="U114" s="31" t="n">
        <x:f>IF(T114="","",I114*T114)</x:f>
        <x:v>13642.775803536597</x:v>
      </x:c>
    </x:row>
    <x:row r="115" ht="18" customHeight="1">
      <x:c r="A115" s="24" t="str">
        <x:v>LME_029</x:v>
      </x:c>
      <x:c r="B115" s="24" t="str">
        <x:v>Benguela Current</x:v>
      </x:c>
      <x:c r="C115" s="24" t="str">
        <x:v>LME</x:v>
      </x:c>
      <x:c r="D115" s="30" t="n">
        <x:v>2019</x:v>
      </x:c>
      <x:c r="E115" s="24" t="str">
        <x:v>Carcharhinus brachyurus</x:v>
      </x:c>
      <x:c r="F115" s="24" t="str">
        <x:v>Copper shark</x:v>
      </x:c>
      <x:c r="G115" s="24" t="str">
        <x:v>Large sharks (&gt;=90 cm)</x:v>
      </x:c>
      <x:c r="H115" s="24" t="str">
        <x:v>Sharks &amp; rays</x:v>
      </x:c>
      <x:c r="I115" s="31" t="n">
        <x:v>26.9349076976</x:v>
      </x:c>
      <x:c r="J115" s="31" t="n">
        <x:v>26.9349076976</x:v>
      </x:c>
      <x:c r="K115" s="31" t="n">
        <x:v>0</x:v>
      </x:c>
      <x:c r="L115" s="31" t="n">
        <x:v>3.9052768014</x:v>
      </x:c>
      <x:c r="M115" s="31" t="n">
        <x:v>23.0296308962</x:v>
      </x:c>
      <x:c r="N115" s="24" t="str">
        <x:v>carcharhinus brachyurus</x:v>
      </x:c>
      <x:c r="O115" s="32" t="n">
        <x:v>4.5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Carcharhinus brachyurus</x:v>
      </x:c>
      <x:c r="T115" s="32" t="n">
        <x:f>IF(O115="","",(1/'Metadata'!$B$5)^(O115-1))</x:f>
        <x:v>3162.2776601683795</x:v>
      </x:c>
      <x:c r="U115" s="31" t="n">
        <x:f>IF(T115="","",I115*T115)</x:f>
        <x:v>85175.6568908178</x:v>
      </x:c>
    </x:row>
    <x:row r="116" ht="18" customHeight="1">
      <x:c r="A116" s="24" t="str">
        <x:v>LME_029</x:v>
      </x:c>
      <x:c r="B116" s="24" t="str">
        <x:v>Benguela Current</x:v>
      </x:c>
      <x:c r="C116" s="24" t="str">
        <x:v>LME</x:v>
      </x:c>
      <x:c r="D116" s="30" t="n">
        <x:v>2019</x:v>
      </x:c>
      <x:c r="E116" s="24" t="str">
        <x:v>Lepidocybium flavobrunneum</x:v>
      </x:c>
      <x:c r="F116" s="24" t="str">
        <x:v>Escolar</x:v>
      </x:c>
      <x:c r="G116" s="24" t="str">
        <x:v>Large bathypelagics (&gt;=90 cm)</x:v>
      </x:c>
      <x:c r="H116" s="24" t="str">
        <x:v>Perch-likes</x:v>
      </x:c>
      <x:c r="I116" s="31" t="n">
        <x:v>21.5407564625</x:v>
      </x:c>
      <x:c r="J116" s="31" t="n">
        <x:v>21.5407564625</x:v>
      </x:c>
      <x:c r="K116" s="31" t="n">
        <x:v>0</x:v>
      </x:c>
      <x:c r="L116" s="31" t="n">
        <x:v>21.5407564625</x:v>
      </x:c>
      <x:c r="M116" s="31" t="n">
        <x:v>0</x:v>
      </x:c>
      <x:c r="N116" s="24" t="str">
        <x:v>lepidocybium flavobrunneum</x:v>
      </x:c>
      <x:c r="O116" s="32" t="n">
        <x:v>4.34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Lepidocybium flavobrunneum</x:v>
      </x:c>
      <x:c r="T116" s="32" t="n">
        <x:f>IF(O116="","",(1/'Metadata'!$B$5)^(O116-1))</x:f>
        <x:v>2187.761623949552</x:v>
      </x:c>
      <x:c r="U116" s="31" t="n">
        <x:f>IF(T116="","",I116*T116)</x:f>
        <x:v>47126.0403395008</x:v>
      </x:c>
    </x:row>
    <x:row r="117" ht="18" customHeight="1">
      <x:c r="A117" s="24" t="str">
        <x:v>LME_029</x:v>
      </x:c>
      <x:c r="B117" s="24" t="str">
        <x:v>Benguela Current</x:v>
      </x:c>
      <x:c r="C117" s="24" t="str">
        <x:v>LME</x:v>
      </x:c>
      <x:c r="D117" s="30" t="n">
        <x:v>2019</x:v>
      </x:c>
      <x:c r="E117" s="24" t="str">
        <x:v>Chrysoblephus</x:v>
      </x:c>
      <x:c r="F117" s="24" t="str">
        <x:v>Golden seabreams</x:v>
      </x:c>
      <x:c r="G117" s="24" t="str">
        <x:v>Medium demersals (30 - 89 cm)</x:v>
      </x:c>
      <x:c r="H117" s="24" t="str">
        <x:v>Perch-likes</x:v>
      </x:c>
      <x:c r="I117" s="31" t="n">
        <x:v>21.465800512599998</x:v>
      </x:c>
      <x:c r="J117" s="31" t="n">
        <x:v>21.465800512599998</x:v>
      </x:c>
      <x:c r="K117" s="31" t="n">
        <x:v>0</x:v>
      </x:c>
      <x:c r="L117" s="31" t="n">
        <x:v>0.7467146026</x:v>
      </x:c>
      <x:c r="M117" s="31" t="n">
        <x:v>20.719085909999997</x:v>
      </x:c>
      <x:c r="N117" s="24" t="str">
        <x:v>chrysoblephus</x:v>
      </x:c>
      <x:c r="O117" s="32" t="n">
        <x:v>3.59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Chrysoblephus</x:v>
      </x:c>
      <x:c r="T117" s="32" t="n">
        <x:f>IF(O117="","",(1/'Metadata'!$B$5)^(O117-1))</x:f>
        <x:v>389.04514499428046</x:v>
      </x:c>
      <x:c r="U117" s="31" t="n">
        <x:f>IF(T117="","",I117*T117)</x:f>
        <x:v>8351.165472842766</x:v>
      </x:c>
    </x:row>
    <x:row r="118" ht="18" customHeight="1">
      <x:c r="A118" s="24" t="str">
        <x:v>LME_029</x:v>
      </x:c>
      <x:c r="B118" s="24" t="str">
        <x:v>Benguela Current</x:v>
      </x:c>
      <x:c r="C118" s="24" t="str">
        <x:v>LME</x:v>
      </x:c>
      <x:c r="D118" s="30" t="n">
        <x:v>2019</x:v>
      </x:c>
      <x:c r="E118" s="24" t="str">
        <x:v>Caranx hippos</x:v>
      </x:c>
      <x:c r="F118" s="24" t="str">
        <x:v>Crevalle jack</x:v>
      </x:c>
      <x:c r="G118" s="24" t="str">
        <x:v>Large reef assoc. fish (&gt;=90 cm)</x:v>
      </x:c>
      <x:c r="H118" s="24" t="str">
        <x:v>Perch-likes</x:v>
      </x:c>
      <x:c r="I118" s="31" t="n">
        <x:v>18.8551677983</x:v>
      </x:c>
      <x:c r="J118" s="31" t="n">
        <x:v>18.8551677983</x:v>
      </x:c>
      <x:c r="K118" s="31" t="n">
        <x:v>0</x:v>
      </x:c>
      <x:c r="L118" s="31" t="n">
        <x:v>6.1931377188</x:v>
      </x:c>
      <x:c r="M118" s="31" t="n">
        <x:v>12.6620300795</x:v>
      </x:c>
      <x:c r="N118" s="24" t="str">
        <x:v>caranx hippos</x:v>
      </x:c>
      <x:c r="O118" s="32" t="n">
        <x:v>3.56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Caranx hippos</x:v>
      </x:c>
      <x:c r="T118" s="32" t="n">
        <x:f>IF(O118="","",(1/'Metadata'!$B$5)^(O118-1))</x:f>
        <x:v>363.0780547701014</x:v>
      </x:c>
      <x:c r="U118" s="31" t="n">
        <x:f>IF(T118="","",I118*T118)</x:f>
        <x:v>6845.897646570619</x:v>
      </x:c>
    </x:row>
    <x:row r="119" ht="18" customHeight="1">
      <x:c r="A119" s="24" t="str">
        <x:v>LME_029</x:v>
      </x:c>
      <x:c r="B119" s="24" t="str">
        <x:v>Benguela Current</x:v>
      </x:c>
      <x:c r="C119" s="24" t="str">
        <x:v>LME</x:v>
      </x:c>
      <x:c r="D119" s="30" t="n">
        <x:v>2019</x:v>
      </x:c>
      <x:c r="E119" s="24" t="str">
        <x:v>Carangidae</x:v>
      </x:c>
      <x:c r="F119" s="24" t="str">
        <x:v>Jacks, pompanos</x:v>
      </x:c>
      <x:c r="G119" s="24" t="str">
        <x:v>Medium pelagics (30 - 89 cm)</x:v>
      </x:c>
      <x:c r="H119" s="24" t="str">
        <x:v>Perch-likes</x:v>
      </x:c>
      <x:c r="I119" s="31" t="n">
        <x:v>18.2234745068</x:v>
      </x:c>
      <x:c r="J119" s="31" t="n">
        <x:v>18.2234745068</x:v>
      </x:c>
      <x:c r="K119" s="31" t="n">
        <x:v>0</x:v>
      </x:c>
      <x:c r="L119" s="31" t="n">
        <x:v>0</x:v>
      </x:c>
      <x:c r="M119" s="31" t="n">
        <x:v>18.2234745068</x:v>
      </x:c>
      <x:c r="N119" s="24" t="str">
        <x:v>carangidae</x:v>
      </x:c>
      <x:c r="O119" s="32" t="n">
        <x:v>4.05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Carangidae</x:v>
      </x:c>
      <x:c r="T119" s="32" t="n">
        <x:f>IF(O119="","",(1/'Metadata'!$B$5)^(O119-1))</x:f>
        <x:v>1122.018454301963</x:v>
      </x:c>
      <x:c r="U119" s="31" t="n">
        <x:f>IF(T119="","",I119*T119)</x:f>
        <x:v>20447.07469813096</x:v>
      </x:c>
    </x:row>
    <x:row r="120" ht="18" customHeight="1">
      <x:c r="A120" s="24" t="str">
        <x:v>LME_029</x:v>
      </x:c>
      <x:c r="B120" s="24" t="str">
        <x:v>Benguela Current</x:v>
      </x:c>
      <x:c r="C120" s="24" t="str">
        <x:v>LME</x:v>
      </x:c>
      <x:c r="D120" s="30" t="n">
        <x:v>2019</x:v>
      </x:c>
      <x:c r="E120" s="24" t="str">
        <x:v>Serranus cabrilla</x:v>
      </x:c>
      <x:c r="F120" s="24" t="str">
        <x:v>Comber</x:v>
      </x:c>
      <x:c r="G120" s="24" t="str">
        <x:v>Medium bathydemersals (30 - 89 cm)</x:v>
      </x:c>
      <x:c r="H120" s="24" t="str">
        <x:v>Perch-likes</x:v>
      </x:c>
      <x:c r="I120" s="31" t="n">
        <x:v>18.1153610656</x:v>
      </x:c>
      <x:c r="J120" s="31" t="n">
        <x:v>18.1153610656</x:v>
      </x:c>
      <x:c r="K120" s="31" t="n">
        <x:v>0</x:v>
      </x:c>
      <x:c r="L120" s="31" t="n">
        <x:v>18.1153610656</x:v>
      </x:c>
      <x:c r="M120" s="31" t="n">
        <x:v>0</x:v>
      </x:c>
      <x:c r="N120" s="24" t="str">
        <x:v>serranus cabrilla</x:v>
      </x:c>
      <x:c r="O120" s="32" t="n">
        <x:v>3.35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Serranus cabrilla</x:v>
      </x:c>
      <x:c r="T120" s="32" t="n">
        <x:f>IF(O120="","",(1/'Metadata'!$B$5)^(O120-1))</x:f>
        <x:v>223.872113856834</x:v>
      </x:c>
      <x:c r="U120" s="31" t="n">
        <x:f>IF(T120="","",I120*T120)</x:f>
        <x:v>4055.524175035661</x:v>
      </x:c>
    </x:row>
    <x:row r="121" ht="18" customHeight="1">
      <x:c r="A121" s="24" t="str">
        <x:v>LME_029</x:v>
      </x:c>
      <x:c r="B121" s="24" t="str">
        <x:v>Benguela Current</x:v>
      </x:c>
      <x:c r="C121" s="24" t="str">
        <x:v>LME</x:v>
      </x:c>
      <x:c r="D121" s="30" t="n">
        <x:v>2019</x:v>
      </x:c>
      <x:c r="E121" s="24" t="str">
        <x:v>Scomber</x:v>
      </x:c>
      <x:c r="F121" s="24" t="str">
        <x:v>Chub mackerels</x:v>
      </x:c>
      <x:c r="G121" s="24" t="str">
        <x:v>Medium pelagics (30 - 89 cm)</x:v>
      </x:c>
      <x:c r="H121" s="24" t="str">
        <x:v>Perch-likes</x:v>
      </x:c>
      <x:c r="I121" s="31" t="n">
        <x:v>16.3313071803</x:v>
      </x:c>
      <x:c r="J121" s="31" t="n">
        <x:v>16.3313071803</x:v>
      </x:c>
      <x:c r="K121" s="31" t="n">
        <x:v>0</x:v>
      </x:c>
      <x:c r="L121" s="31" t="n">
        <x:v>16.3313071803</x:v>
      </x:c>
      <x:c r="M121" s="31" t="n">
        <x:v>0</x:v>
      </x:c>
      <x:c r="N121" s="24" t="str">
        <x:v>scomber</x:v>
      </x:c>
      <x:c r="O121" s="32" t="n">
        <x:v>3.65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Scomber</x:v>
      </x:c>
      <x:c r="T121" s="32" t="n">
        <x:f>IF(O121="","",(1/'Metadata'!$B$5)^(O121-1))</x:f>
        <x:v>446.683592150963</x:v>
      </x:c>
      <x:c r="U121" s="31" t="n">
        <x:f>IF(T121="","",I121*T121)</x:f>
        <x:v>7294.92695581722</x:v>
      </x:c>
    </x:row>
    <x:row r="122" ht="18" customHeight="1">
      <x:c r="A122" s="24" t="str">
        <x:v>LME_029</x:v>
      </x:c>
      <x:c r="B122" s="24" t="str">
        <x:v>Benguela Current</x:v>
      </x:c>
      <x:c r="C122" s="24" t="str">
        <x:v>LME</x:v>
      </x:c>
      <x:c r="D122" s="30" t="n">
        <x:v>2019</x:v>
      </x:c>
      <x:c r="E122" s="24" t="str">
        <x:v>Istiophorus albicans</x:v>
      </x:c>
      <x:c r="F122" s="24" t="str">
        <x:v>Atlantic sailfish</x:v>
      </x:c>
      <x:c r="G122" s="24" t="str">
        <x:v>Large pelagics (&gt;=90 cm)</x:v>
      </x:c>
      <x:c r="H122" s="24" t="str">
        <x:v>Tuna &amp; billfishes</x:v>
      </x:c>
      <x:c r="I122" s="31" t="n">
        <x:v>14.4169594746</x:v>
      </x:c>
      <x:c r="J122" s="31" t="n">
        <x:v>14.4169594746</x:v>
      </x:c>
      <x:c r="K122" s="31" t="n">
        <x:v>0</x:v>
      </x:c>
      <x:c r="L122" s="31" t="n">
        <x:v>1.9729805855</x:v>
      </x:c>
      <x:c r="M122" s="31" t="n">
        <x:v>12.4439788891</x:v>
      </x:c>
      <x:c r="N122" s="24" t="str">
        <x:v>istiophorus albicans</x:v>
      </x:c>
      <x:c r="O122" s="32" t="n">
        <x:v>4.5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Istiophorus albicans</x:v>
      </x:c>
      <x:c r="T122" s="32" t="n">
        <x:f>IF(O122="","",(1/'Metadata'!$B$5)^(O122-1))</x:f>
        <x:v>3162.2776601683795</x:v>
      </x:c>
      <x:c r="U122" s="31" t="n">
        <x:f>IF(T122="","",I122*T122)</x:f>
        <x:v>45590.42887408044</x:v>
      </x:c>
    </x:row>
    <x:row r="123" ht="18" customHeight="1">
      <x:c r="A123" s="24" t="str">
        <x:v>LME_029</x:v>
      </x:c>
      <x:c r="B123" s="24" t="str">
        <x:v>Benguela Current</x:v>
      </x:c>
      <x:c r="C123" s="24" t="str">
        <x:v>LME</x:v>
      </x:c>
      <x:c r="D123" s="30" t="n">
        <x:v>2019</x:v>
      </x:c>
      <x:c r="E123" s="24" t="str">
        <x:v>Scomber colias</x:v>
      </x:c>
      <x:c r="F123" s="24" t="str">
        <x:v>Atlantic chub mackerel</x:v>
      </x:c>
      <x:c r="G123" s="24" t="str">
        <x:v>Medium pelagics (30 - 89 cm)</x:v>
      </x:c>
      <x:c r="H123" s="24" t="str">
        <x:v>Perch-likes</x:v>
      </x:c>
      <x:c r="I123" s="31" t="n">
        <x:v>14.316920127300001</x:v>
      </x:c>
      <x:c r="J123" s="31" t="n">
        <x:v>14.316920127300001</x:v>
      </x:c>
      <x:c r="K123" s="31" t="n">
        <x:v>0</x:v>
      </x:c>
      <x:c r="L123" s="31" t="n">
        <x:v>14.316920127300001</x:v>
      </x:c>
      <x:c r="M123" s="31" t="n">
        <x:v>0</x:v>
      </x:c>
      <x:c r="N123" s="24" t="str">
        <x:v>scomber colias</x:v>
      </x:c>
      <x:c r="O123" s="32" t="n">
        <x:v>3.91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Scomber colias</x:v>
      </x:c>
      <x:c r="T123" s="32" t="n">
        <x:f>IF(O123="","",(1/'Metadata'!$B$5)^(O123-1))</x:f>
        <x:v>812.8305161640995</x:v>
      </x:c>
      <x:c r="U123" s="31" t="n">
        <x:f>IF(T123="","",I123*T123)</x:f>
        <x:v>11637.229576953447</x:v>
      </x:c>
    </x:row>
    <x:row r="124" ht="18" customHeight="1">
      <x:c r="A124" s="24" t="str">
        <x:v>LME_029</x:v>
      </x:c>
      <x:c r="B124" s="24" t="str">
        <x:v>Benguela Current</x:v>
      </x:c>
      <x:c r="C124" s="24" t="str">
        <x:v>LME</x:v>
      </x:c>
      <x:c r="D124" s="30" t="n">
        <x:v>2019</x:v>
      </x:c>
      <x:c r="E124" s="24" t="str">
        <x:v>Palinuridae</x:v>
      </x:c>
      <x:c r="F124" s="24" t="str">
        <x:v>Spiny lobsters</x:v>
      </x:c>
      <x:c r="G124" s="24" t="str">
        <x:v>Lobsters, crabs</x:v>
      </x:c>
      <x:c r="H124" s="24" t="str">
        <x:v>Crustaceans</x:v>
      </x:c>
      <x:c r="I124" s="31" t="n">
        <x:v>13.9977724837</x:v>
      </x:c>
      <x:c r="J124" s="31" t="n">
        <x:v>13.9977724837</x:v>
      </x:c>
      <x:c r="K124" s="31" t="n">
        <x:v>0</x:v>
      </x:c>
      <x:c r="L124" s="31" t="n">
        <x:v>0</x:v>
      </x:c>
      <x:c r="M124" s="31" t="n">
        <x:v>13.9977724837</x:v>
      </x:c>
      <x:c r="N124" s="24" t="str">
        <x:v>palinuridae</x:v>
      </x:c>
      <x:c r="O124" s="32" t="n">
        <x:v>3.14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Palinuridae</x:v>
      </x:c>
      <x:c r="T124" s="32" t="n">
        <x:f>IF(O124="","",(1/'Metadata'!$B$5)^(O124-1))</x:f>
        <x:v>138.03842646028852</x:v>
      </x:c>
      <x:c r="U124" s="31" t="n">
        <x:f>IF(T124="","",I124*T124)</x:f>
        <x:v>1932.2304875990726</x:v>
      </x:c>
    </x:row>
    <x:row r="125" ht="18" customHeight="1">
      <x:c r="A125" s="24" t="str">
        <x:v>LME_029</x:v>
      </x:c>
      <x:c r="B125" s="24" t="str">
        <x:v>Benguela Current</x:v>
      </x:c>
      <x:c r="C125" s="24" t="str">
        <x:v>LME</x:v>
      </x:c>
      <x:c r="D125" s="30" t="n">
        <x:v>2019</x:v>
      </x:c>
      <x:c r="E125" s="24" t="str">
        <x:v>Dendrobranchiata</x:v>
      </x:c>
      <x:c r="F125" s="24" t="str">
        <x:v>Shrimps and prawns</x:v>
      </x:c>
      <x:c r="G125" s="24" t="str">
        <x:v>Shrimps</x:v>
      </x:c>
      <x:c r="H125" s="24" t="str">
        <x:v>Crustaceans</x:v>
      </x:c>
      <x:c r="I125" s="31" t="n">
        <x:v>12.0737927363</x:v>
      </x:c>
      <x:c r="J125" s="31" t="n">
        <x:v>12.0737927363</x:v>
      </x:c>
      <x:c r="K125" s="31" t="n">
        <x:v>0</x:v>
      </x:c>
      <x:c r="L125" s="31" t="n">
        <x:v>0</x:v>
      </x:c>
      <x:c r="M125" s="31" t="n">
        <x:v>12.0737927363</x:v>
      </x:c>
      <x:c r="N125" s="24" t="str">
        <x:v>dendrobranchiata</x:v>
      </x:c>
      <x:c r="O125" s="32" t="n">
        <x:v>3.24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Dendrobranchiata</x:v>
      </x:c>
      <x:c r="T125" s="32" t="n">
        <x:f>IF(O125="","",(1/'Metadata'!$B$5)^(O125-1))</x:f>
        <x:v>173.78008287493762</x:v>
      </x:c>
      <x:c r="U125" s="31" t="n">
        <x:f>IF(T125="","",I125*T125)</x:f>
        <x:v>2098.184702329034</x:v>
      </x:c>
    </x:row>
    <x:row r="126" ht="18" customHeight="1">
      <x:c r="A126" s="24" t="str">
        <x:v>LME_029</x:v>
      </x:c>
      <x:c r="B126" s="24" t="str">
        <x:v>Benguela Current</x:v>
      </x:c>
      <x:c r="C126" s="24" t="str">
        <x:v>LME</x:v>
      </x:c>
      <x:c r="D126" s="30" t="n">
        <x:v>2019</x:v>
      </x:c>
      <x:c r="E126" s="24" t="str">
        <x:v>Spondyliosoma cantharus</x:v>
      </x:c>
      <x:c r="F126" s="24" t="str">
        <x:v>Black seabream</x:v>
      </x:c>
      <x:c r="G126" s="24" t="str">
        <x:v>Medium benthopelagics (30 - 89 cm)</x:v>
      </x:c>
      <x:c r="H126" s="24" t="str">
        <x:v>Perch-likes</x:v>
      </x:c>
      <x:c r="I126" s="31" t="n">
        <x:v>11.466935664200001</x:v>
      </x:c>
      <x:c r="J126" s="31" t="n">
        <x:v>11.466935664200001</x:v>
      </x:c>
      <x:c r="K126" s="31" t="n">
        <x:v>0</x:v>
      </x:c>
      <x:c r="L126" s="31" t="n">
        <x:v>11.466935664200001</x:v>
      </x:c>
      <x:c r="M126" s="31" t="n">
        <x:v>0</x:v>
      </x:c>
      <x:c r="N126" s="24" t="str">
        <x:v>spondyliosoma cantharus</x:v>
      </x:c>
      <x:c r="O126" s="32" t="n">
        <x:v>3.34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Spondyliosoma cantharus</x:v>
      </x:c>
      <x:c r="T126" s="32" t="n">
        <x:f>IF(O126="","",(1/'Metadata'!$B$5)^(O126-1))</x:f>
        <x:v>218.77616239495518</x:v>
      </x:c>
      <x:c r="U126" s="31" t="n">
        <x:f>IF(T126="","",I126*T126)</x:f>
        <x:v>2508.6921790435226</x:v>
      </x:c>
    </x:row>
    <x:row r="127" ht="18" customHeight="1">
      <x:c r="A127" s="24" t="str">
        <x:v>LME_029</x:v>
      </x:c>
      <x:c r="B127" s="24" t="str">
        <x:v>Benguela Current</x:v>
      </x:c>
      <x:c r="C127" s="24" t="str">
        <x:v>LME</x:v>
      </x:c>
      <x:c r="D127" s="30" t="n">
        <x:v>2019</x:v>
      </x:c>
      <x:c r="E127" s="24" t="str">
        <x:v>Crassostrea</x:v>
      </x:c>
      <x:c r="F127" s="24" t="str">
        <x:v>Cupped oysters</x:v>
      </x:c>
      <x:c r="G127" s="24" t="str">
        <x:v>Other demersal invertebrates</x:v>
      </x:c>
      <x:c r="H127" s="24" t="str">
        <x:v>Molluscs</x:v>
      </x:c>
      <x:c r="I127" s="31" t="n">
        <x:v>11.0512864689</x:v>
      </x:c>
      <x:c r="J127" s="31" t="n">
        <x:v>11.0512864689</x:v>
      </x:c>
      <x:c r="K127" s="31" t="n">
        <x:v>0</x:v>
      </x:c>
      <x:c r="L127" s="31" t="n">
        <x:v>11.0512864689</x:v>
      </x:c>
      <x:c r="M127" s="31" t="n">
        <x:v>0</x:v>
      </x:c>
      <x:c r="N127" s="24" t="str">
        <x:v>crassostrea</x:v>
      </x:c>
      <x:c r="O127" s="32" t="n">
        <x:v>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Crassostrea</x:v>
      </x:c>
      <x:c r="T127" s="32" t="n">
        <x:f>IF(O127="","",(1/'Metadata'!$B$5)^(O127-1))</x:f>
        <x:v>10</x:v>
      </x:c>
      <x:c r="U127" s="31" t="n">
        <x:f>IF(T127="","",I127*T127)</x:f>
        <x:v>110.51286468900001</x:v>
      </x:c>
    </x:row>
    <x:row r="128" ht="18" customHeight="1">
      <x:c r="A128" s="24" t="str">
        <x:v>LME_029</x:v>
      </x:c>
      <x:c r="B128" s="24" t="str">
        <x:v>Benguela Current</x:v>
      </x:c>
      <x:c r="C128" s="24" t="str">
        <x:v>LME</x:v>
      </x:c>
      <x:c r="D128" s="30" t="n">
        <x:v>2019</x:v>
      </x:c>
      <x:c r="E128" s="24" t="str">
        <x:v>Brotula barbata</x:v>
      </x:c>
      <x:c r="F128" s="24" t="str">
        <x:v>Bearded brotula</x:v>
      </x:c>
      <x:c r="G128" s="24" t="str">
        <x:v>Medium benthopelagics (30 - 89 cm)</x:v>
      </x:c>
      <x:c r="H128" s="24" t="str">
        <x:v>Other fishes &amp; inverts</x:v>
      </x:c>
      <x:c r="I128" s="31" t="n">
        <x:v>10.9549068102</x:v>
      </x:c>
      <x:c r="J128" s="31" t="n">
        <x:v>10.9549068102</x:v>
      </x:c>
      <x:c r="K128" s="31" t="n">
        <x:v>0</x:v>
      </x:c>
      <x:c r="L128" s="31" t="n">
        <x:v>10.9549068102</x:v>
      </x:c>
      <x:c r="M128" s="31" t="n">
        <x:v>0</x:v>
      </x:c>
      <x:c r="N128" s="24" t="str">
        <x:v>brotula barbata</x:v>
      </x:c>
      <x:c r="O128" s="32" t="n">
        <x:v>3.8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Brotula barbata</x:v>
      </x:c>
      <x:c r="T128" s="32" t="n">
        <x:f>IF(O128="","",(1/'Metadata'!$B$5)^(O128-1))</x:f>
        <x:v>630.957344480193</x:v>
      </x:c>
      <x:c r="U128" s="31" t="n">
        <x:f>IF(T128="","",I128*T128)</x:f>
        <x:v>6912.078909991774</x:v>
      </x:c>
    </x:row>
    <x:row r="129" ht="18" customHeight="1">
      <x:c r="A129" s="24" t="str">
        <x:v>LME_029</x:v>
      </x:c>
      <x:c r="B129" s="24" t="str">
        <x:v>Benguela Current</x:v>
      </x:c>
      <x:c r="C129" s="24" t="str">
        <x:v>LME</x:v>
      </x:c>
      <x:c r="D129" s="30" t="n">
        <x:v>2019</x:v>
      </x:c>
      <x:c r="E129" s="24" t="str">
        <x:v>Makaira nigricans</x:v>
      </x:c>
      <x:c r="F129" s="24" t="str">
        <x:v>Blue marlin</x:v>
      </x:c>
      <x:c r="G129" s="24" t="str">
        <x:v>Large pelagics (&gt;=90 cm)</x:v>
      </x:c>
      <x:c r="H129" s="24" t="str">
        <x:v>Tuna &amp; billfishes</x:v>
      </x:c>
      <x:c r="I129" s="31" t="n">
        <x:v>10.682677674599999</x:v>
      </x:c>
      <x:c r="J129" s="31" t="n">
        <x:v>10.682677674599999</x:v>
      </x:c>
      <x:c r="K129" s="31" t="n">
        <x:v>0</x:v>
      </x:c>
      <x:c r="L129" s="31" t="n">
        <x:v>10.370209009599998</x:v>
      </x:c>
      <x:c r="M129" s="31" t="n">
        <x:v>0.31246866500000003</x:v>
      </x:c>
      <x:c r="N129" s="24" t="str">
        <x:v>makaira nigricans</x:v>
      </x:c>
      <x:c r="O129" s="32" t="n">
        <x:v>4.49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Makaira nigricans</x:v>
      </x:c>
      <x:c r="T129" s="32" t="n">
        <x:f>IF(O129="","",(1/'Metadata'!$B$5)^(O129-1))</x:f>
        <x:v>3090.295432513592</x:v>
      </x:c>
      <x:c r="U129" s="31" t="n">
        <x:f>IF(T129="","",I129*T129)</x:f>
        <x:v>33012.6300248313</x:v>
      </x:c>
    </x:row>
    <x:row r="130" ht="18" customHeight="1">
      <x:c r="A130" s="24" t="str">
        <x:v>LME_029</x:v>
      </x:c>
      <x:c r="B130" s="24" t="str">
        <x:v>Benguela Current</x:v>
      </x:c>
      <x:c r="C130" s="24" t="str">
        <x:v>LME</x:v>
      </x:c>
      <x:c r="D130" s="30" t="n">
        <x:v>2019</x:v>
      </x:c>
      <x:c r="E130" s="24" t="str">
        <x:v>Merlucciidae</x:v>
      </x:c>
      <x:c r="F130" s="24" t="str">
        <x:v>Merluccid hakes</x:v>
      </x:c>
      <x:c r="G130" s="24" t="str">
        <x:v>Large bathydemersals (&gt;=90 cm)</x:v>
      </x:c>
      <x:c r="H130" s="24" t="str">
        <x:v>Cod-likes</x:v>
      </x:c>
      <x:c r="I130" s="31" t="n">
        <x:v>9.0256187036</x:v>
      </x:c>
      <x:c r="J130" s="31" t="n">
        <x:v>9.0256187036</x:v>
      </x:c>
      <x:c r="K130" s="31" t="n">
        <x:v>0</x:v>
      </x:c>
      <x:c r="L130" s="31" t="n">
        <x:v>0</x:v>
      </x:c>
      <x:c r="M130" s="31" t="n">
        <x:v>9.0256187036</x:v>
      </x:c>
      <x:c r="N130" s="24" t="str">
        <x:v>merlucciidae</x:v>
      </x:c>
      <x:c r="O130" s="32" t="n">
        <x:v>4.35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Merlucciidae</x:v>
      </x:c>
      <x:c r="T130" s="32" t="n">
        <x:f>IF(O130="","",(1/'Metadata'!$B$5)^(O130-1))</x:f>
        <x:v>2238.7211385683377</x:v>
      </x:c>
      <x:c r="U130" s="31" t="n">
        <x:f>IF(T130="","",I130*T130)</x:f>
        <x:v>20205.843380407074</x:v>
      </x:c>
    </x:row>
    <x:row r="131" ht="18" customHeight="1">
      <x:c r="A131" s="24" t="str">
        <x:v>LME_029</x:v>
      </x:c>
      <x:c r="B131" s="24" t="str">
        <x:v>Benguela Current</x:v>
      </x:c>
      <x:c r="C131" s="24" t="str">
        <x:v>LME</x:v>
      </x:c>
      <x:c r="D131" s="30" t="n">
        <x:v>2019</x:v>
      </x:c>
      <x:c r="E131" s="24" t="str">
        <x:v>Coryphaena hippurus</x:v>
      </x:c>
      <x:c r="F131" s="24" t="str">
        <x:v>Common dolphinfish</x:v>
      </x:c>
      <x:c r="G131" s="24" t="str">
        <x:v>Large pelagics (&gt;=90 cm)</x:v>
      </x:c>
      <x:c r="H131" s="24" t="str">
        <x:v>Perch-likes</x:v>
      </x:c>
      <x:c r="I131" s="31" t="n">
        <x:v>4.4812899823</x:v>
      </x:c>
      <x:c r="J131" s="31" t="n">
        <x:v>4.4812899823</x:v>
      </x:c>
      <x:c r="K131" s="31" t="n">
        <x:v>0</x:v>
      </x:c>
      <x:c r="L131" s="31" t="n">
        <x:v>4.4812899823</x:v>
      </x:c>
      <x:c r="M131" s="31" t="n">
        <x:v>0</x:v>
      </x:c>
      <x:c r="N131" s="24" t="str">
        <x:v>coryphaena hippurus</x:v>
      </x:c>
      <x:c r="O131" s="32" t="n">
        <x:v>4.37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Coryphaena hippurus</x:v>
      </x:c>
      <x:c r="T131" s="32" t="n">
        <x:f>IF(O131="","",(1/'Metadata'!$B$5)^(O131-1))</x:f>
        <x:v>2344.228815319923</x:v>
      </x:c>
      <x:c r="U131" s="31" t="n">
        <x:f>IF(T131="","",I131*T131)</x:f>
        <x:v>10505.169106312167</x:v>
      </x:c>
    </x:row>
    <x:row r="132" ht="18" customHeight="1">
      <x:c r="A132" s="24" t="str">
        <x:v>LME_029</x:v>
      </x:c>
      <x:c r="B132" s="24" t="str">
        <x:v>Benguela Current</x:v>
      </x:c>
      <x:c r="C132" s="24" t="str">
        <x:v>LME</x:v>
      </x:c>
      <x:c r="D132" s="30" t="n">
        <x:v>2019</x:v>
      </x:c>
      <x:c r="E132" s="24" t="str">
        <x:v>Auxis</x:v>
      </x:c>
      <x:c r="F132" s="24" t="str">
        <x:v>Bullet and frigate tunas</x:v>
      </x:c>
      <x:c r="G132" s="24" t="str">
        <x:v>Medium pelagics (30 - 89 cm)</x:v>
      </x:c>
      <x:c r="H132" s="24" t="str">
        <x:v>Tuna &amp; billfishes</x:v>
      </x:c>
      <x:c r="I132" s="31" t="n">
        <x:v>3.5333579121</x:v>
      </x:c>
      <x:c r="J132" s="31" t="n">
        <x:v>3.5333579121</x:v>
      </x:c>
      <x:c r="K132" s="31" t="n">
        <x:v>0</x:v>
      </x:c>
      <x:c r="L132" s="31" t="n">
        <x:v>3.5333579121</x:v>
      </x:c>
      <x:c r="M132" s="31" t="n">
        <x:v>0</x:v>
      </x:c>
      <x:c r="N132" s="24" t="str">
        <x:v>auxis</x:v>
      </x:c>
      <x:c r="O132" s="32" t="n">
        <x:v>4.24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Auxis</x:v>
      </x:c>
      <x:c r="T132" s="32" t="n">
        <x:f>IF(O132="","",(1/'Metadata'!$B$5)^(O132-1))</x:f>
        <x:v>1737.8008287493763</x:v>
      </x:c>
      <x:c r="U132" s="31" t="n">
        <x:f>IF(T132="","",I132*T132)</x:f>
        <x:v>6140.272307915546</x:v>
      </x:c>
    </x:row>
    <x:row r="133" ht="18" customHeight="1">
      <x:c r="A133" s="24" t="str">
        <x:v>LME_029</x:v>
      </x:c>
      <x:c r="B133" s="24" t="str">
        <x:v>Benguela Current</x:v>
      </x:c>
      <x:c r="C133" s="24" t="str">
        <x:v>LME</x:v>
      </x:c>
      <x:c r="D133" s="30" t="n">
        <x:v>2019</x:v>
      </x:c>
      <x:c r="E133" s="24" t="str">
        <x:v>Auxis rochei</x:v>
      </x:c>
      <x:c r="F133" s="24" t="str">
        <x:v>Bullet tuna</x:v>
      </x:c>
      <x:c r="G133" s="24" t="str">
        <x:v>Medium pelagics (30 - 89 cm)</x:v>
      </x:c>
      <x:c r="H133" s="24" t="str">
        <x:v>Tuna &amp; billfishes</x:v>
      </x:c>
      <x:c r="I133" s="31" t="n">
        <x:v>3.1531748295</x:v>
      </x:c>
      <x:c r="J133" s="31" t="n">
        <x:v>3.1531748295</x:v>
      </x:c>
      <x:c r="K133" s="31" t="n">
        <x:v>0</x:v>
      </x:c>
      <x:c r="L133" s="31" t="n">
        <x:v>3.1531748295</x:v>
      </x:c>
      <x:c r="M133" s="31" t="n">
        <x:v>0</x:v>
      </x:c>
      <x:c r="N133" s="24" t="str">
        <x:v>auxis rochei</x:v>
      </x:c>
      <x:c r="O133" s="32" t="n">
        <x:v>4.13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Auxis rochei</x:v>
      </x:c>
      <x:c r="T133" s="32" t="n">
        <x:f>IF(O133="","",(1/'Metadata'!$B$5)^(O133-1))</x:f>
        <x:v>1348.9628825916532</x:v>
      </x:c>
      <x:c r="U133" s="31" t="n">
        <x:f>IF(T133="","",I133*T133)</x:f>
        <x:v>4253.5158073177645</x:v>
      </x:c>
    </x:row>
    <x:row r="134" ht="18" customHeight="1">
      <x:c r="A134" s="24" t="str">
        <x:v>LME_029</x:v>
      </x:c>
      <x:c r="B134" s="24" t="str">
        <x:v>Benguela Current</x:v>
      </x:c>
      <x:c r="C134" s="24" t="str">
        <x:v>LME</x:v>
      </x:c>
      <x:c r="D134" s="30" t="n">
        <x:v>2019</x:v>
      </x:c>
      <x:c r="E134" s="24" t="str">
        <x:v>Kyphosidae</x:v>
      </x:c>
      <x:c r="F134" s="24" t="str">
        <x:v>Sea chubs, knifefishes, niblers</x:v>
      </x:c>
      <x:c r="G134" s="24" t="str">
        <x:v>Medium reef assoc. fish (30 - 89 cm)</x:v>
      </x:c>
      <x:c r="H134" s="24" t="str">
        <x:v>Perch-likes</x:v>
      </x:c>
      <x:c r="I134" s="31" t="n">
        <x:v>2.2917050931</x:v>
      </x:c>
      <x:c r="J134" s="31" t="n">
        <x:v>2.2917050931</x:v>
      </x:c>
      <x:c r="K134" s="31" t="n">
        <x:v>0</x:v>
      </x:c>
      <x:c r="L134" s="31" t="n">
        <x:v>0</x:v>
      </x:c>
      <x:c r="M134" s="31" t="n">
        <x:v>2.2917050931</x:v>
      </x:c>
      <x:c r="N134" s="24" t="str">
        <x:v>kyphosidae</x:v>
      </x:c>
      <x:c r="O134" s="32" t="n">
        <x:v>2.19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Kyphosidae</x:v>
      </x:c>
      <x:c r="T134" s="32" t="n">
        <x:f>IF(O134="","",(1/'Metadata'!$B$5)^(O134-1))</x:f>
        <x:v>15.488166189124811</x:v>
      </x:c>
      <x:c r="U134" s="31" t="n">
        <x:f>IF(T134="","",I134*T134)</x:f>
        <x:v>35.49430933839655</x:v>
      </x:c>
    </x:row>
    <x:row r="135" ht="18" customHeight="1">
      <x:c r="A135" s="24" t="str">
        <x:v>LME_029</x:v>
      </x:c>
      <x:c r="B135" s="24" t="str">
        <x:v>Benguela Current</x:v>
      </x:c>
      <x:c r="C135" s="24" t="str">
        <x:v>LME</x:v>
      </x:c>
      <x:c r="D135" s="30" t="n">
        <x:v>2019</x:v>
      </x:c>
      <x:c r="E135" s="24" t="str">
        <x:v>Donax</x:v>
      </x:c>
      <x:c r="F135" s="24" t="str">
        <x:v>Bean clams</x:v>
      </x:c>
      <x:c r="G135" s="24" t="str">
        <x:v>Other demersal invertebrates</x:v>
      </x:c>
      <x:c r="H135" s="24" t="str">
        <x:v>Molluscs</x:v>
      </x:c>
      <x:c r="I135" s="31" t="n">
        <x:v>2.0341991050000003</x:v>
      </x:c>
      <x:c r="J135" s="31" t="n">
        <x:v>2.0341991050000003</x:v>
      </x:c>
      <x:c r="K135" s="31" t="n">
        <x:v>0</x:v>
      </x:c>
      <x:c r="L135" s="31" t="n">
        <x:v>2.0341991050000003</x:v>
      </x:c>
      <x:c r="M135" s="31" t="n">
        <x:v>0</x:v>
      </x:c>
      <x:c r="N135" s="24" t="str">
        <x:v>donax</x:v>
      </x:c>
      <x:c r="O135" s="32" t="n">
        <x:v>2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Donax</x:v>
      </x:c>
      <x:c r="T135" s="32" t="n">
        <x:f>IF(O135="","",(1/'Metadata'!$B$5)^(O135-1))</x:f>
        <x:v>10</x:v>
      </x:c>
      <x:c r="U135" s="31" t="n">
        <x:f>IF(T135="","",I135*T135)</x:f>
        <x:v>20.341991050000004</x:v>
      </x:c>
    </x:row>
    <x:row r="136" ht="18" customHeight="1">
      <x:c r="A136" s="24" t="str">
        <x:v>LME_029</x:v>
      </x:c>
      <x:c r="B136" s="24" t="str">
        <x:v>Benguela Current</x:v>
      </x:c>
      <x:c r="C136" s="24" t="str">
        <x:v>LME</x:v>
      </x:c>
      <x:c r="D136" s="30" t="n">
        <x:v>2019</x:v>
      </x:c>
      <x:c r="E136" s="24" t="str">
        <x:v>Cymatoceps nasutus</x:v>
      </x:c>
      <x:c r="F136" s="24" t="str">
        <x:v>Black musselcracker</x:v>
      </x:c>
      <x:c r="G136" s="24" t="str">
        <x:v>Large demersals (&gt;=90 cm)</x:v>
      </x:c>
      <x:c r="H136" s="24" t="str">
        <x:v>Perch-likes</x:v>
      </x:c>
      <x:c r="I136" s="31" t="n">
        <x:v>1.2160194971</x:v>
      </x:c>
      <x:c r="J136" s="31" t="n">
        <x:v>1.2160194971</x:v>
      </x:c>
      <x:c r="K136" s="31" t="n">
        <x:v>0</x:v>
      </x:c>
      <x:c r="L136" s="31" t="n">
        <x:v>1.2160194971</x:v>
      </x:c>
      <x:c r="M136" s="31" t="n">
        <x:v>0</x:v>
      </x:c>
      <x:c r="N136" s="24" t="str">
        <x:v>cymatoceps nasutus</x:v>
      </x:c>
      <x:c r="O136" s="32" t="n">
        <x:v>3.56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Cymatoceps nasutus</x:v>
      </x:c>
      <x:c r="T136" s="32" t="n">
        <x:f>IF(O136="","",(1/'Metadata'!$B$5)^(O136-1))</x:f>
        <x:v>363.0780547701014</x:v>
      </x:c>
      <x:c r="U136" s="31" t="n">
        <x:f>IF(T136="","",I136*T136)</x:f>
        <x:v>441.509993569585</x:v>
      </x:c>
    </x:row>
    <x:row r="137" ht="18" customHeight="1">
      <x:c r="A137" s="24" t="str">
        <x:v>LME_029</x:v>
      </x:c>
      <x:c r="B137" s="24" t="str">
        <x:v>Benguela Current</x:v>
      </x:c>
      <x:c r="C137" s="24" t="str">
        <x:v>LME</x:v>
      </x:c>
      <x:c r="D137" s="30" t="n">
        <x:v>2019</x:v>
      </x:c>
      <x:c r="E137" s="24" t="str">
        <x:v>Notorynchus cepedianus</x:v>
      </x:c>
      <x:c r="F137" s="24" t="str">
        <x:v>Broadnose sevengill shark</x:v>
      </x:c>
      <x:c r="G137" s="24" t="str">
        <x:v>Large sharks (&gt;=90 cm)</x:v>
      </x:c>
      <x:c r="H137" s="24" t="str">
        <x:v>Sharks &amp; rays</x:v>
      </x:c>
      <x:c r="I137" s="31" t="n">
        <x:v>1.1769900051</x:v>
      </x:c>
      <x:c r="J137" s="31" t="n">
        <x:v>1.1769900051</x:v>
      </x:c>
      <x:c r="K137" s="31" t="n">
        <x:v>0</x:v>
      </x:c>
      <x:c r="L137" s="31" t="n">
        <x:v>0.8642145054000001</x:v>
      </x:c>
      <x:c r="M137" s="31" t="n">
        <x:v>0.31277549969999996</x:v>
      </x:c>
      <x:c r="N137" s="24" t="str">
        <x:v>notorynchus cepedianus</x:v>
      </x:c>
      <x:c r="O137" s="32" t="n">
        <x:v>4.68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Notorynchus cepedianus</x:v>
      </x:c>
      <x:c r="T137" s="32" t="n">
        <x:f>IF(O137="","",(1/'Metadata'!$B$5)^(O137-1))</x:f>
        <x:v>4786.30092322638</x:v>
      </x:c>
      <x:c r="U137" s="31" t="n">
        <x:f>IF(T137="","",I137*T137)</x:f>
        <x:v>5633.428348038352</x:v>
      </x:c>
    </x:row>
    <x:row r="138" ht="18" customHeight="1">
      <x:c r="A138" s="24" t="str">
        <x:v>LME_029</x:v>
      </x:c>
      <x:c r="B138" s="24" t="str">
        <x:v>Benguela Current</x:v>
      </x:c>
      <x:c r="C138" s="24" t="str">
        <x:v>LME</x:v>
      </x:c>
      <x:c r="D138" s="30" t="n">
        <x:v>2019</x:v>
      </x:c>
      <x:c r="E138" s="24" t="str">
        <x:v>Epigonus telescopus</x:v>
      </x:c>
      <x:c r="F138" s="24" t="str">
        <x:v>Black cardinal fish</x:v>
      </x:c>
      <x:c r="G138" s="24" t="str">
        <x:v>Medium bathydemersals (30 - 89 cm)</x:v>
      </x:c>
      <x:c r="H138" s="24" t="str">
        <x:v>Perch-likes</x:v>
      </x:c>
      <x:c r="I138" s="31" t="n">
        <x:v>0.999999999</x:v>
      </x:c>
      <x:c r="J138" s="31" t="n">
        <x:v>0.999999999</x:v>
      </x:c>
      <x:c r="K138" s="31" t="n">
        <x:v>0</x:v>
      </x:c>
      <x:c r="L138" s="31" t="n">
        <x:v>0.999999999</x:v>
      </x:c>
      <x:c r="M138" s="31" t="n">
        <x:v>0</x:v>
      </x:c>
      <x:c r="N138" s="24" t="str">
        <x:v>epigonus telescopus</x:v>
      </x:c>
      <x:c r="O138" s="32" t="n">
        <x:v>3.59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Epigonus telescopus</x:v>
      </x:c>
      <x:c r="T138" s="32" t="n">
        <x:f>IF(O138="","",(1/'Metadata'!$B$5)^(O138-1))</x:f>
        <x:v>389.04514499428046</x:v>
      </x:c>
      <x:c r="U138" s="31" t="n">
        <x:f>IF(T138="","",I138*T138)</x:f>
        <x:v>389.04514460523535</x:v>
      </x:c>
    </x:row>
    <x:row r="139" ht="18" customHeight="1">
      <x:c r="A139" s="24" t="str">
        <x:v>LME_029</x:v>
      </x:c>
      <x:c r="B139" s="24" t="str">
        <x:v>Benguela Current</x:v>
      </x:c>
      <x:c r="C139" s="24" t="str">
        <x:v>LME</x:v>
      </x:c>
      <x:c r="D139" s="30" t="n">
        <x:v>2019</x:v>
      </x:c>
      <x:c r="E139" s="24" t="str">
        <x:v>Polyprion americanus</x:v>
      </x:c>
      <x:c r="F139" s="24" t="str">
        <x:v>Wreckfish</x:v>
      </x:c>
      <x:c r="G139" s="24" t="str">
        <x:v>Large bathydemersals (&gt;=90 cm)</x:v>
      </x:c>
      <x:c r="H139" s="24" t="str">
        <x:v>Perch-likes</x:v>
      </x:c>
      <x:c r="I139" s="31" t="n">
        <x:v>0.8875827439</x:v>
      </x:c>
      <x:c r="J139" s="31" t="n">
        <x:v>0.8875827439</x:v>
      </x:c>
      <x:c r="K139" s="31" t="n">
        <x:v>0</x:v>
      </x:c>
      <x:c r="L139" s="31" t="n">
        <x:v>0.8875827439</x:v>
      </x:c>
      <x:c r="M139" s="31" t="n">
        <x:v>0</x:v>
      </x:c>
      <x:c r="N139" s="24" t="str">
        <x:v>polyprion americanus</x:v>
      </x:c>
      <x:c r="O139" s="32" t="n">
        <x:v>4.14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Polyprion americanus</x:v>
      </x:c>
      <x:c r="T139" s="32" t="n">
        <x:f>IF(O139="","",(1/'Metadata'!$B$5)^(O139-1))</x:f>
        <x:v>1380.3842646028838</x:v>
      </x:c>
      <x:c r="U139" s="31" t="n">
        <x:f>IF(T139="","",I139*T139)</x:f>
        <x:v>1225.2052532126113</x:v>
      </x:c>
    </x:row>
    <x:row r="140" ht="18" customHeight="1">
      <x:c r="A140" s="24" t="str">
        <x:v>LME_029</x:v>
      </x:c>
      <x:c r="B140" s="24" t="str">
        <x:v>Benguela Current</x:v>
      </x:c>
      <x:c r="C140" s="24" t="str">
        <x:v>LME</x:v>
      </x:c>
      <x:c r="D140" s="30" t="n">
        <x:v>2019</x:v>
      </x:c>
      <x:c r="E140" s="24" t="str">
        <x:v>Decapoda</x:v>
      </x:c>
      <x:c r="F140" s="24" t="str">
        <x:v>Crabs, lobsters, shrimps</x:v>
      </x:c>
      <x:c r="G140" s="24" t="str">
        <x:v>Lobsters, crabs</x:v>
      </x:c>
      <x:c r="H140" s="24" t="str">
        <x:v>Crustaceans</x:v>
      </x:c>
      <x:c r="I140" s="31" t="n">
        <x:v>0.8141659726</x:v>
      </x:c>
      <x:c r="J140" s="31" t="n">
        <x:v>0.8141659726</x:v>
      </x:c>
      <x:c r="K140" s="31" t="n">
        <x:v>0</x:v>
      </x:c>
      <x:c r="L140" s="31" t="n">
        <x:v>0</x:v>
      </x:c>
      <x:c r="M140" s="31" t="n">
        <x:v>0.8141659726</x:v>
      </x:c>
      <x:c r="N140" s="24" t="str">
        <x:v>decapoda</x:v>
      </x:c>
      <x:c r="O140" s="32" t="n">
        <x:v>3.43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Decapoda</x:v>
      </x:c>
      <x:c r="T140" s="32" t="n">
        <x:f>IF(O140="","",(1/'Metadata'!$B$5)^(O140-1))</x:f>
        <x:v>269.1534803926917</x:v>
      </x:c>
      <x:c r="U140" s="31" t="n">
        <x:f>IF(T140="","",I140*T140)</x:f>
        <x:v>219.13560514259086</x:v>
      </x:c>
    </x:row>
    <x:row r="141" ht="18" customHeight="1">
      <x:c r="A141" s="24" t="str">
        <x:v>LME_029</x:v>
      </x:c>
      <x:c r="B141" s="24" t="str">
        <x:v>Benguela Current</x:v>
      </x:c>
      <x:c r="C141" s="24" t="str">
        <x:v>LME</x:v>
      </x:c>
      <x:c r="D141" s="30" t="n">
        <x:v>2019</x:v>
      </x:c>
      <x:c r="E141" s="24" t="str">
        <x:v>Tetrapturus pfluegeri</x:v>
      </x:c>
      <x:c r="F141" s="24" t="str">
        <x:v>Longbill spearfish</x:v>
      </x:c>
      <x:c r="G141" s="24" t="str">
        <x:v>Large pelagics (&gt;=90 cm)</x:v>
      </x:c>
      <x:c r="H141" s="24" t="str">
        <x:v>Tuna &amp; billfishes</x:v>
      </x:c>
      <x:c r="I141" s="31" t="n">
        <x:v>0.5363765402</x:v>
      </x:c>
      <x:c r="J141" s="31" t="n">
        <x:v>0.5363765402</x:v>
      </x:c>
      <x:c r="K141" s="31" t="n">
        <x:v>0</x:v>
      </x:c>
      <x:c r="L141" s="31" t="n">
        <x:v>0.5363765402</x:v>
      </x:c>
      <x:c r="M141" s="31" t="n">
        <x:v>0</x:v>
      </x:c>
      <x:c r="N141" s="24" t="str">
        <x:v>tetrapturus pfluegeri</x:v>
      </x:c>
      <x:c r="O141" s="32" t="n">
        <x:v>4.4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Tetrapturus pfluegeri</x:v>
      </x:c>
      <x:c r="T141" s="32" t="n">
        <x:f>IF(O141="","",(1/'Metadata'!$B$5)^(O141-1))</x:f>
        <x:v>2511.886431509582</x:v>
      </x:c>
      <x:c r="U141" s="31" t="n">
        <x:f>IF(T141="","",I141*T141)</x:f>
        <x:v>1347.316953508434</x:v>
      </x:c>
    </x:row>
    <x:row r="142" ht="18" customHeight="1">
      <x:c r="A142" s="24" t="str">
        <x:v>LME_029</x:v>
      </x:c>
      <x:c r="B142" s="24" t="str">
        <x:v>Benguela Current</x:v>
      </x:c>
      <x:c r="C142" s="24" t="str">
        <x:v>LME</x:v>
      </x:c>
      <x:c r="D142" s="30" t="n">
        <x:v>2019</x:v>
      </x:c>
      <x:c r="E142" s="24" t="str">
        <x:v>Istiompax indica</x:v>
      </x:c>
      <x:c r="F142" s="24" t="str">
        <x:v>Black marlin</x:v>
      </x:c>
      <x:c r="G142" s="24" t="str">
        <x:v>Large pelagics (&gt;=90 cm)</x:v>
      </x:c>
      <x:c r="H142" s="24" t="str">
        <x:v>Tuna &amp; billfishes</x:v>
      </x:c>
      <x:c r="I142" s="31" t="n">
        <x:v>0.4165477877</x:v>
      </x:c>
      <x:c r="J142" s="31" t="n">
        <x:v>0.4165477877</x:v>
      </x:c>
      <x:c r="K142" s="31" t="n">
        <x:v>0</x:v>
      </x:c>
      <x:c r="L142" s="31" t="n">
        <x:v>0.3870063211</x:v>
      </x:c>
      <x:c r="M142" s="31" t="n">
        <x:v>0.0295414666</x:v>
      </x:c>
      <x:c r="N142" s="24" t="str">
        <x:v>istiompax indica</x:v>
      </x:c>
      <x:c r="O142" s="32" t="n">
        <x:v>4.5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Istiompax indica</x:v>
      </x:c>
      <x:c r="T142" s="32" t="n">
        <x:f>IF(O142="","",(1/'Metadata'!$B$5)^(O142-1))</x:f>
        <x:v>3162.2776601683795</x:v>
      </x:c>
      <x:c r="U142" s="31" t="n">
        <x:f>IF(T142="","",I142*T142)</x:f>
        <x:v>1317.239763436271</x:v>
      </x:c>
    </x:row>
    <x:row r="143" ht="18" customHeight="1">
      <x:c r="A143" s="24" t="str">
        <x:v>LME_029</x:v>
      </x:c>
      <x:c r="B143" s="24" t="str">
        <x:v>Benguela Current</x:v>
      </x:c>
      <x:c r="C143" s="24" t="str">
        <x:v>LME</x:v>
      </x:c>
      <x:c r="D143" s="30" t="n">
        <x:v>2019</x:v>
      </x:c>
      <x:c r="E143" s="24" t="str">
        <x:v>Istiophoridae</x:v>
      </x:c>
      <x:c r="F143" s="24" t="str">
        <x:v>Billfishes</x:v>
      </x:c>
      <x:c r="G143" s="24" t="str">
        <x:v>Large pelagics (&gt;=90 cm)</x:v>
      </x:c>
      <x:c r="H143" s="24" t="str">
        <x:v>Tuna &amp; billfishes</x:v>
      </x:c>
      <x:c r="I143" s="31" t="n">
        <x:v>0.3261298044</x:v>
      </x:c>
      <x:c r="J143" s="31" t="n">
        <x:v>0.3261298044</x:v>
      </x:c>
      <x:c r="K143" s="31" t="n">
        <x:v>0</x:v>
      </x:c>
      <x:c r="L143" s="31" t="n">
        <x:v>0.3261298044</x:v>
      </x:c>
      <x:c r="M143" s="31" t="n">
        <x:v>0</x:v>
      </x:c>
      <x:c r="N143" s="24" t="str">
        <x:v>istiophoridae</x:v>
      </x:c>
      <x:c r="O143" s="32" t="n">
        <x:v>4.48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Istiophoridae</x:v>
      </x:c>
      <x:c r="T143" s="32" t="n">
        <x:f>IF(O143="","",(1/'Metadata'!$B$5)^(O143-1))</x:f>
        <x:v>3019.951720402019</x:v>
      </x:c>
      <x:c r="U143" s="31" t="n">
        <x:f>IF(T143="","",I143*T143)</x:f>
        <x:v>984.8962638721539</x:v>
      </x:c>
    </x:row>
    <x:row r="144" ht="18" customHeight="1">
      <x:c r="A144" s="24" t="str">
        <x:v>LME_029</x:v>
      </x:c>
      <x:c r="B144" s="24" t="str">
        <x:v>Benguela Current</x:v>
      </x:c>
      <x:c r="C144" s="24" t="str">
        <x:v>LME</x:v>
      </x:c>
      <x:c r="D144" s="30" t="n">
        <x:v>2019</x:v>
      </x:c>
      <x:c r="E144" s="24" t="str">
        <x:v>Caranx crysos</x:v>
      </x:c>
      <x:c r="F144" s="24" t="str">
        <x:v>Blue runner</x:v>
      </x:c>
      <x:c r="G144" s="24" t="str">
        <x:v>Medium reef assoc. fish (30 - 89 cm)</x:v>
      </x:c>
      <x:c r="H144" s="24" t="str">
        <x:v>Perch-likes</x:v>
      </x:c>
      <x:c r="I144" s="31" t="n">
        <x:v>0.2006887709</x:v>
      </x:c>
      <x:c r="J144" s="31" t="n">
        <x:v>0.2006887709</x:v>
      </x:c>
      <x:c r="K144" s="31" t="n">
        <x:v>0</x:v>
      </x:c>
      <x:c r="L144" s="31" t="n">
        <x:v>0.2006887709</x:v>
      </x:c>
      <x:c r="M144" s="31" t="n">
        <x:v>0</x:v>
      </x:c>
      <x:c r="N144" s="24" t="str">
        <x:v>caranx crysos</x:v>
      </x:c>
      <x:c r="O144" s="32" t="n">
        <x:v>4.13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Caranx crysos</x:v>
      </x:c>
      <x:c r="T144" s="32" t="n">
        <x:f>IF(O144="","",(1/'Metadata'!$B$5)^(O144-1))</x:f>
        <x:v>1348.9628825916532</x:v>
      </x:c>
      <x:c r="U144" s="31" t="n">
        <x:f>IF(T144="","",I144*T144)</x:f>
        <x:v>270.7217028970399</x:v>
      </x:c>
    </x:row>
    <x:row r="145" ht="18" customHeight="1">
      <x:c r="A145" s="24" t="str">
        <x:v>LME_029</x:v>
      </x:c>
      <x:c r="B145" s="24" t="str">
        <x:v>Benguela Current</x:v>
      </x:c>
      <x:c r="C145" s="24" t="str">
        <x:v>LME</x:v>
      </x:c>
      <x:c r="D145" s="30" t="n">
        <x:v>2019</x:v>
      </x:c>
      <x:c r="E145" s="24" t="str">
        <x:v>Alopias vulpinus</x:v>
      </x:c>
      <x:c r="F145" s="24" t="str">
        <x:v>Thresher</x:v>
      </x:c>
      <x:c r="G145" s="24" t="str">
        <x:v>Large sharks (&gt;=90 cm)</x:v>
      </x:c>
      <x:c r="H145" s="24" t="str">
        <x:v>Sharks &amp; rays</x:v>
      </x:c>
      <x:c r="I145" s="31" t="n">
        <x:v>0.1980584689</x:v>
      </x:c>
      <x:c r="J145" s="31" t="n">
        <x:v>0.1980584689</x:v>
      </x:c>
      <x:c r="K145" s="31" t="n">
        <x:v>0</x:v>
      </x:c>
      <x:c r="L145" s="31" t="n">
        <x:v>0.1980584689</x:v>
      </x:c>
      <x:c r="M145" s="31" t="n">
        <x:v>0</x:v>
      </x:c>
      <x:c r="N145" s="24" t="str">
        <x:v>alopias vulpinus</x:v>
      </x:c>
      <x:c r="O145" s="32" t="n">
        <x:v>4.5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Alopias vulpinus</x:v>
      </x:c>
      <x:c r="T145" s="32" t="n">
        <x:f>IF(O145="","",(1/'Metadata'!$B$5)^(O145-1))</x:f>
        <x:v>3162.2776601683795</x:v>
      </x:c>
      <x:c r="U145" s="31" t="n">
        <x:f>IF(T145="","",I145*T145)</x:f>
        <x:v>626.3158716096237</x:v>
      </x:c>
    </x:row>
    <x:row r="146" ht="18" customHeight="1">
      <x:c r="A146" s="24" t="str">
        <x:v>LME_029</x:v>
      </x:c>
      <x:c r="B146" s="24" t="str">
        <x:v>Benguela Current</x:v>
      </x:c>
      <x:c r="C146" s="24" t="str">
        <x:v>LME</x:v>
      </x:c>
      <x:c r="D146" s="30" t="n">
        <x:v>2019</x:v>
      </x:c>
      <x:c r="E146" s="24" t="str">
        <x:v>Pseudocyttus maculatus</x:v>
      </x:c>
      <x:c r="F146" s="24" t="str">
        <x:v>Smooth oreo dory</x:v>
      </x:c>
      <x:c r="G146" s="24" t="str">
        <x:v>Medium benthopelagics (30 - 89 cm)</x:v>
      </x:c>
      <x:c r="H146" s="24" t="str">
        <x:v>Other fishes &amp; inverts</x:v>
      </x:c>
      <x:c r="I146" s="31" t="n">
        <x:v>0.1747091167</x:v>
      </x:c>
      <x:c r="J146" s="31" t="n">
        <x:v>0.1747091167</x:v>
      </x:c>
      <x:c r="K146" s="31" t="n">
        <x:v>0</x:v>
      </x:c>
      <x:c r="L146" s="31" t="n">
        <x:v>0</x:v>
      </x:c>
      <x:c r="M146" s="31" t="n">
        <x:v>0.1747091167</x:v>
      </x:c>
      <x:c r="N146" s="24" t="str">
        <x:v>pseudocyttus maculatus</x:v>
      </x:c>
      <x:c r="O146" s="32" t="n">
        <x:v>3.61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Pseudocyttus maculatus</x:v>
      </x:c>
      <x:c r="T146" s="32" t="n">
        <x:f>IF(O146="","",(1/'Metadata'!$B$5)^(O146-1))</x:f>
        <x:v>407.3802778041126</x:v>
      </x:c>
      <x:c r="U146" s="31" t="n">
        <x:f>IF(T146="","",I146*T146)</x:f>
        <x:v>71.17304849615714</x:v>
      </x:c>
    </x:row>
    <x:row r="147" ht="18" customHeight="1">
      <x:c r="A147" s="24" t="str">
        <x:v>LME_029</x:v>
      </x:c>
      <x:c r="B147" s="24" t="str">
        <x:v>Benguela Current</x:v>
      </x:c>
      <x:c r="C147" s="24" t="str">
        <x:v>LME</x:v>
      </x:c>
      <x:c r="D147" s="30" t="n">
        <x:v>2019</x:v>
      </x:c>
      <x:c r="E147" s="24" t="str">
        <x:v>Kajikia albida</x:v>
      </x:c>
      <x:c r="F147" s="24" t="str">
        <x:v>Atlantic white marlin</x:v>
      </x:c>
      <x:c r="G147" s="24" t="str">
        <x:v>Large pelagics (&gt;=90 cm)</x:v>
      </x:c>
      <x:c r="H147" s="24" t="str">
        <x:v>Tuna &amp; billfishes</x:v>
      </x:c>
      <x:c r="I147" s="31" t="n">
        <x:v>0.0785049349</x:v>
      </x:c>
      <x:c r="J147" s="31" t="n">
        <x:v>0.0785049349</x:v>
      </x:c>
      <x:c r="K147" s="31" t="n">
        <x:v>0</x:v>
      </x:c>
      <x:c r="L147" s="31" t="n">
        <x:v>0.0785049349</x:v>
      </x:c>
      <x:c r="M147" s="31" t="n">
        <x:v>0</x:v>
      </x:c>
      <x:c r="N147" s="24" t="str">
        <x:v>kajikia albida</x:v>
      </x:c>
      <x:c r="O147" s="32" t="n">
        <x:v>4.49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Kajikia albida</x:v>
      </x:c>
      <x:c r="T147" s="32" t="n">
        <x:f>IF(O147="","",(1/'Metadata'!$B$5)^(O147-1))</x:f>
        <x:v>3090.295432513592</x:v>
      </x:c>
      <x:c r="U147" s="31" t="n">
        <x:f>IF(T147="","",I147*T147)</x:f>
        <x:v>242.6034417512469</x:v>
      </x:c>
    </x:row>
    <x:row r="148" ht="18" customHeight="1">
      <x:c r="A148" s="24" t="str">
        <x:v>LME_029</x:v>
      </x:c>
      <x:c r="B148" s="24" t="str">
        <x:v>Benguela Current</x:v>
      </x:c>
      <x:c r="C148" s="24" t="str">
        <x:v>LME</x:v>
      </x:c>
      <x:c r="D148" s="30" t="n">
        <x:v>2019</x:v>
      </x:c>
      <x:c r="E148" s="24" t="str">
        <x:v>Isurus paucus</x:v>
      </x:c>
      <x:c r="F148" s="24" t="str">
        <x:v>Longfin mako</x:v>
      </x:c>
      <x:c r="G148" s="24" t="str">
        <x:v>Large sharks (&gt;=90 cm)</x:v>
      </x:c>
      <x:c r="H148" s="24" t="str">
        <x:v>Sharks &amp; rays</x:v>
      </x:c>
      <x:c r="I148" s="31" t="n">
        <x:v>0.036190108400000004</x:v>
      </x:c>
      <x:c r="J148" s="31" t="n">
        <x:v>0.036190108400000004</x:v>
      </x:c>
      <x:c r="K148" s="31" t="n">
        <x:v>0</x:v>
      </x:c>
      <x:c r="L148" s="31" t="n">
        <x:v>0.036190108400000004</x:v>
      </x:c>
      <x:c r="M148" s="31" t="n">
        <x:v>0</x:v>
      </x:c>
      <x:c r="N148" s="24" t="str">
        <x:v>isurus paucus</x:v>
      </x:c>
      <x:c r="O148" s="32" t="n">
        <x:v>4.51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Isurus paucus</x:v>
      </x:c>
      <x:c r="T148" s="32" t="n">
        <x:f>IF(O148="","",(1/'Metadata'!$B$5)^(O148-1))</x:f>
        <x:v>3235.936569296281</x:v>
      </x:c>
      <x:c r="U148" s="31" t="n">
        <x:f>IF(T148="","",I148*T148)</x:f>
        <x:v>117.10889521835654</x:v>
      </x:c>
    </x:row>
  </x:sheetData>
  <x:conditionalFormatting sqref="R2:R1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0872989ffc64f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163774.3749582084</x:v>
      </x:c>
      <x:c r="C2" s="32" t="n">
        <x:v>3</x:v>
      </x:c>
      <x:c r="D2" s="32" t="n">
        <x:f>IF(C2="","",(1/'Metadata'!$B$5)^(C2-1))</x:f>
        <x:v>100</x:v>
      </x:c>
      <x:c r="E2" s="31" t="n">
        <x:f>IF(B2=0,"",B2*D2)</x:f>
        <x:v>16377437.49582084</x:v>
      </x:c>
    </x:row>
    <x:row r="3" ht="18" customHeight="1">
      <x:c r="A3" s="24" t="str">
        <x:v>Cod-likes</x:v>
      </x:c>
      <x:c r="B3" s="31" t="n">
        <x:v>267699.7844030071</x:v>
      </x:c>
      <x:c r="C3" s="32" t="n">
        <x:v>4.28511765875323</x:v>
      </x:c>
      <x:c r="D3" s="32" t="n">
        <x:f>IF(C3="","",(1/'Metadata'!$B$5)^(C3-1))</x:f>
        <x:v>1928.0471876181955</x:v>
      </x:c>
      <x:c r="E3" s="31" t="n">
        <x:f>IF(B3=0,"",B3*D3)</x:f>
        <x:v>516137816.4442152</x:v>
      </x:c>
    </x:row>
    <x:row r="4" ht="18" customHeight="1">
      <x:c r="A4" s="24" t="str">
        <x:v>Crustaceans</x:v>
      </x:c>
      <x:c r="B4" s="31" t="n">
        <x:v>8573.4993541609</x:v>
      </x:c>
      <x:c r="C4" s="32" t="n">
        <x:v>2.95565814290617</x:v>
      </x:c>
      <x:c r="D4" s="32" t="n">
        <x:f>IF(C4="","",(1/'Metadata'!$B$5)^(C4-1))</x:f>
        <x:v>90.29384413603398</x:v>
      </x:c>
      <x:c r="E4" s="31" t="n">
        <x:f>IF(B4=0,"",B4*D4)</x:f>
        <x:v>774134.2143849924</x:v>
      </x:c>
    </x:row>
    <x:row r="5" ht="18" customHeight="1">
      <x:c r="A5" s="24" t="str">
        <x:v>Flatfishes</x:v>
      </x:c>
      <x:c r="B5" s="31" t="n">
        <x:v>15813.752201610101</x:v>
      </x:c>
      <x:c r="C5" s="32" t="n">
        <x:v>3.524049162648808</x:v>
      </x:c>
      <x:c r="D5" s="32" t="n">
        <x:f>IF(C5="","",(1/'Metadata'!$B$5)^(C5-1))</x:f>
        <x:v>334.2328734411097</x:v>
      </x:c>
      <x:c r="E5" s="31" t="n">
        <x:f>IF(B5=0,"",B5*D5)</x:f>
        <x:v>5285475.838229818</x:v>
      </x:c>
    </x:row>
    <x:row r="6" ht="18" customHeight="1">
      <x:c r="A6" s="24" t="str">
        <x:v>Herring-likes</x:v>
      </x:c>
      <x:c r="B6" s="31" t="n">
        <x:v>229395.76539079222</x:v>
      </x:c>
      <x:c r="C6" s="32" t="n">
        <x:v>2.8860545611731125</x:v>
      </x:c>
      <x:c r="D6" s="32" t="n">
        <x:f>IF(C6="","",(1/'Metadata'!$B$5)^(C6-1))</x:f>
        <x:v>76.92270735550585</x:v>
      </x:c>
      <x:c r="E6" s="31" t="n">
        <x:f>IF(B6=0,"",B6*D6)</x:f>
        <x:v>17645743.329748187</x:v>
      </x:c>
    </x:row>
    <x:row r="7" ht="18" customHeight="1">
      <x:c r="A7" s="24" t="str">
        <x:v>Molluscs</x:v>
      </x:c>
      <x:c r="B7" s="31" t="n">
        <x:v>846.8126926816</x:v>
      </x:c>
      <x:c r="C7" s="32" t="n">
        <x:v>2.061349002458489</x:v>
      </x:c>
      <x:c r="D7" s="32" t="n">
        <x:f>IF(C7="","",(1/'Metadata'!$B$5)^(C7-1))</x:f>
        <x:v>11.517255528650765</x:v>
      </x:c>
      <x:c r="E7" s="31" t="n">
        <x:f>IF(B7=0,"",B7*D7)</x:f>
        <x:v>9752.958166518798</x:v>
      </x:c>
    </x:row>
    <x:row r="8" ht="18" customHeight="1">
      <x:c r="A8" s="24" t="str">
        <x:v>Other fishes &amp; inverts</x:v>
      </x:c>
      <x:c r="B8" s="31" t="n">
        <x:v>387059.4427884759</x:v>
      </x:c>
      <x:c r="C8" s="32" t="n">
        <x:v>3.4067444074649345</x:v>
      </x:c>
      <x:c r="D8" s="32" t="n">
        <x:f>IF(C8="","",(1/'Metadata'!$B$5)^(C8-1))</x:f>
        <x:v>255.11994197901998</x:v>
      </x:c>
      <x:c r="E8" s="31" t="n">
        <x:f>IF(B8=0,"",B8*D8)</x:f>
        <x:v>98746582.58662778</x:v>
      </x:c>
    </x:row>
    <x:row r="9" ht="18" customHeight="1">
      <x:c r="A9" s="24" t="str">
        <x:v>Perch-likes</x:v>
      </x:c>
      <x:c r="B9" s="31" t="n">
        <x:v>484759.74197683966</x:v>
      </x:c>
      <x:c r="C9" s="32" t="n">
        <x:v>3.5253565124155135</x:v>
      </x:c>
      <x:c r="D9" s="32" t="n">
        <x:f>IF(C9="","",(1/'Metadata'!$B$5)^(C9-1))</x:f>
        <x:v>335.2405252385828</x:v>
      </x:c>
      <x:c r="E9" s="31" t="n">
        <x:f>IF(B9=0,"",B9*D9)</x:f>
        <x:v>162511110.5148356</x:v>
      </x:c>
    </x:row>
    <x:row r="10" ht="18" customHeight="1">
      <x:c r="A10" s="24" t="str">
        <x:v>Scorpionfishes</x:v>
      </x:c>
      <x:c r="B10" s="31" t="n">
        <x:v>3380.4358505096</x:v>
      </x:c>
      <x:c r="C10" s="32" t="n">
        <x:v>3.767987508996726</x:v>
      </x:c>
      <x:c r="D10" s="32" t="n">
        <x:f>IF(C10="","",(1/'Metadata'!$B$5)^(C10-1))</x:f>
        <x:v>586.1213064862394</x:v>
      </x:c>
      <x:c r="E10" s="31" t="n">
        <x:f>IF(B10=0,"",B10*D10)</x:f>
        <x:v>1981345.4771936086</x:v>
      </x:c>
    </x:row>
    <x:row r="11" ht="18" customHeight="1">
      <x:c r="A11" s="24" t="str">
        <x:v>Sharks &amp; rays</x:v>
      </x:c>
      <x:c r="B11" s="31" t="n">
        <x:v>14615.0051364434</x:v>
      </x:c>
      <x:c r="C11" s="32" t="n">
        <x:v>3.9681944514094187</x:v>
      </x:c>
      <x:c r="D11" s="32" t="n">
        <x:f>IF(C11="","",(1/'Metadata'!$B$5)^(C11-1))</x:f>
        <x:v>929.3824161712206</x:v>
      </x:c>
      <x:c r="E11" s="31" t="n">
        <x:f>IF(B11=0,"",B11*D11)</x:f>
        <x:v>13582928.786062567</x:v>
      </x:c>
    </x:row>
    <x:row r="12" ht="18" customHeight="1">
      <x:c r="A12" s="24" t="str">
        <x:v>Tuna &amp; billfishes</x:v>
      </x:c>
      <x:c r="B12" s="31" t="n">
        <x:v>16599.467051353702</x:v>
      </x:c>
      <x:c r="C12" s="32" t="n">
        <x:v>4.394452381233963</x:v>
      </x:c>
      <x:c r="D12" s="32" t="n">
        <x:f>IF(C12="","",(1/'Metadata'!$B$5)^(C12-1))</x:f>
        <x:v>2480.0039996193473</x:v>
      </x:c>
      <x:c r="E12" s="31" t="n">
        <x:f>IF(B12=0,"",B12*D12)</x:f>
        <x:v>41166744.67890675</x:v>
      </x:c>
    </x:row>
  </x:sheetData>
  <x:pageMargins left="0.7" right="0.7" top="0.75" bottom="0.75" header="0.3" footer="0.3"/>
  <x:tableParts count="1">
    <x:tablePart xmlns:r="http://schemas.openxmlformats.org/officeDocument/2006/relationships" r:id="Rac96ea3946dc44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6599.7414286256</x:v>
      </x:c>
      <x:c r="C2" s="32" t="n">
        <x:v>4.011363078920684</x:v>
      </x:c>
      <x:c r="D2" s="32" t="n">
        <x:f>IF(C2="","",(1/'Metadata'!$B$5)^(C2-1))</x:f>
        <x:v>1026.509750417135</x:v>
      </x:c>
      <x:c r="E2" s="31" t="n">
        <x:f>IF(B2=0,"",B2*D2)</x:f>
        <x:v>6774698.92671609</x:v>
      </x:c>
    </x:row>
    <x:row r="3" ht="18" customHeight="1">
      <x:c r="A3" s="24" t="str">
        <x:v>Large bathydemersals (&gt;=90 cm)</x:v>
      </x:c>
      <x:c r="B3" s="31" t="n">
        <x:v>29366.5813485454</x:v>
      </x:c>
      <x:c r="C3" s="32" t="n">
        <x:v>4.405334927176712</x:v>
      </x:c>
      <x:c r="D3" s="32" t="n">
        <x:f>IF(C3="","",(1/'Metadata'!$B$5)^(C3-1))</x:f>
        <x:v>2542.9330552540523</x:v>
      </x:c>
      <x:c r="E3" s="31" t="n">
        <x:f>IF(B3=0,"",B3*D3)</x:f>
        <x:v>74677250.43102321</x:v>
      </x:c>
    </x:row>
    <x:row r="4" ht="18" customHeight="1">
      <x:c r="A4" s="24" t="str">
        <x:v>Large bathypelagics (&gt;=90 cm)</x:v>
      </x:c>
      <x:c r="B4" s="31" t="n">
        <x:v>21.5407564625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47126.0403395008</x:v>
      </x:c>
    </x:row>
    <x:row r="5" ht="18" customHeight="1">
      <x:c r="A5" s="24" t="str">
        <x:v>Large benthopelagics (&gt;=90 cm)</x:v>
      </x:c>
      <x:c r="B5" s="31" t="n">
        <x:v>30656.2282005609</x:v>
      </x:c>
      <x:c r="C5" s="32" t="n">
        <x:v>4.080462641281218</x:v>
      </x:c>
      <x:c r="D5" s="32" t="n">
        <x:f>IF(C5="","",(1/'Metadata'!$B$5)^(C5-1))</x:f>
        <x:v>1203.5458543632137</x:v>
      </x:c>
      <x:c r="E5" s="31" t="n">
        <x:f>IF(B5=0,"",B5*D5)</x:f>
        <x:v>36896176.36119772</x:v>
      </x:c>
    </x:row>
    <x:row r="6" ht="18" customHeight="1">
      <x:c r="A6" s="24" t="str">
        <x:v>Large demersals (&gt;=90 cm)</x:v>
      </x:c>
      <x:c r="B6" s="31" t="n">
        <x:v>3941.3001936450005</x:v>
      </x:c>
      <x:c r="C6" s="32" t="n">
        <x:v>3.789929037507779</x:v>
      </x:c>
      <x:c r="D6" s="32" t="n">
        <x:f>IF(C6="","",(1/'Metadata'!$B$5)^(C6-1))</x:f>
        <x:v>616.4942602096548</x:v>
      </x:c>
      <x:c r="E6" s="31" t="n">
        <x:f>IF(B6=0,"",B6*D6)</x:f>
        <x:v>2429788.9471453438</x:v>
      </x:c>
    </x:row>
    <x:row r="7" ht="18" customHeight="1">
      <x:c r="A7" s="24" t="str">
        <x:v>Large pelagics (&gt;=90 cm)</x:v>
      </x:c>
      <x:c r="B7" s="31" t="n">
        <x:v>16353.5504370075</x:v>
      </x:c>
      <x:c r="C7" s="32" t="n">
        <x:v>4.393866397548574</x:v>
      </x:c>
      <x:c r="D7" s="32" t="n">
        <x:f>IF(C7="","",(1/'Metadata'!$B$5)^(C7-1))</x:f>
        <x:v>2476.6600429916416</x:v>
      </x:c>
      <x:c r="E7" s="31" t="n">
        <x:f>IF(B7=0,"",B7*D7)</x:f>
        <x:v>40502184.928384975</x:v>
      </x:c>
    </x:row>
    <x:row r="8" ht="18" customHeight="1">
      <x:c r="A8" s="24" t="str">
        <x:v>Large rays (&gt;=90 cm)</x:v>
      </x:c>
      <x:c r="B8" s="31" t="n">
        <x:v>2138.5535094835</x:v>
      </x:c>
      <x:c r="C8" s="32" t="n">
        <x:v>3.491907643824948</x:v>
      </x:c>
      <x:c r="D8" s="32" t="n">
        <x:f>IF(C8="","",(1/'Metadata'!$B$5)^(C8-1))</x:f>
        <x:v>310.3899449039129</x:v>
      </x:c>
      <x:c r="E8" s="31" t="n">
        <x:f>IF(B8=0,"",B8*D8)</x:f>
        <x:v>663785.5059826531</x:v>
      </x:c>
    </x:row>
    <x:row r="9" ht="18" customHeight="1">
      <x:c r="A9" s="24" t="str">
        <x:v>Large reef assoc. fish (&gt;=90 cm)</x:v>
      </x:c>
      <x:c r="B9" s="31" t="n">
        <x:v>18.8551677983</x:v>
      </x:c>
      <x:c r="C9" s="32" t="n">
        <x:v>3.56</x:v>
      </x:c>
      <x:c r="D9" s="32" t="n">
        <x:f>IF(C9="","",(1/'Metadata'!$B$5)^(C9-1))</x:f>
        <x:v>363.0780547701014</x:v>
      </x:c>
      <x:c r="E9" s="31" t="n">
        <x:f>IF(B9=0,"",B9*D9)</x:f>
        <x:v>6845.897646570619</x:v>
      </x:c>
    </x:row>
    <x:row r="10" ht="18" customHeight="1">
      <x:c r="A10" s="24" t="str">
        <x:v>Large sharks (&gt;=90 cm)</x:v>
      </x:c>
      <x:c r="B10" s="31" t="n">
        <x:v>9182.0378805995</x:v>
      </x:c>
      <x:c r="C10" s="32" t="n">
        <x:v>4.168071004776464</x:v>
      </x:c>
      <x:c r="D10" s="32" t="n">
        <x:f>IF(C10="","",(1/'Metadata'!$B$5)^(C10-1))</x:f>
        <x:v>1472.5532371666425</x:v>
      </x:c>
      <x:c r="E10" s="31" t="n">
        <x:f>IF(B10=0,"",B10*D10)</x:f>
        <x:v>13521039.604863532</x:v>
      </x:c>
    </x:row>
    <x:row r="11" ht="18" customHeight="1">
      <x:c r="A11" s="24" t="str">
        <x:v>Lobsters, crabs</x:v>
      </x:c>
      <x:c r="B11" s="31" t="n">
        <x:v>7123.3237058996</x:v>
      </x:c>
      <x:c r="C11" s="32" t="n">
        <x:v>2.8077931079605873</x:v>
      </x:c>
      <x:c r="D11" s="32" t="n">
        <x:f>IF(C11="","",(1/'Metadata'!$B$5)^(C11-1))</x:f>
        <x:v>64.23816224637065</x:v>
      </x:c>
      <x:c r="E11" s="31" t="n">
        <x:f>IF(B11=0,"",B11*D11)</x:f>
        <x:v>457589.2239529968</x:v>
      </x:c>
    </x:row>
    <x:row r="12" ht="18" customHeight="1">
      <x:c r="A12" s="24" t="str">
        <x:v>Medium bathydemersals (30 - 89 cm)</x:v>
      </x:c>
      <x:c r="B12" s="31" t="n">
        <x:v>249252.7301430698</x:v>
      </x:c>
      <x:c r="C12" s="32" t="n">
        <x:v>4.269077610388754</x:v>
      </x:c>
      <x:c r="D12" s="32" t="n">
        <x:f>IF(C12="","",(1/'Metadata'!$B$5)^(C12-1))</x:f>
        <x:v>1858.1364828194592</x:v>
      </x:c>
      <x:c r="E12" s="31" t="n">
        <x:f>IF(B12=0,"",B12*D12)</x:f>
        <x:v>463145591.32119155</x:v>
      </x:c>
    </x:row>
    <x:row r="13" ht="18" customHeight="1">
      <x:c r="A13" s="24" t="str">
        <x:v>Medium bathypelagics (30 - 89 cm)</x:v>
      </x:c>
      <x:c r="B13" s="31" t="n">
        <x:v>853.2465617168</x:v>
      </x:c>
      <x:c r="C13" s="32" t="n">
        <x:v>4.137491313900991</x:v>
      </x:c>
      <x:c r="D13" s="32" t="n">
        <x:f>IF(C13="","",(1/'Metadata'!$B$5)^(C13-1))</x:f>
        <x:v>1372.4335114011903</x:v>
      </x:c>
      <x:c r="E13" s="31" t="n">
        <x:f>IF(B13=0,"",B13*D13)</x:f>
        <x:v>1171024.1747879803</x:v>
      </x:c>
    </x:row>
    <x:row r="14" ht="18" customHeight="1">
      <x:c r="A14" s="24" t="str">
        <x:v>Medium benthopelagics (30 - 89 cm)</x:v>
      </x:c>
      <x:c r="B14" s="31" t="n">
        <x:v>93213.87879738031</x:v>
      </x:c>
      <x:c r="C14" s="32" t="n">
        <x:v>3.5390021546344617</x:v>
      </x:c>
      <x:c r="D14" s="32" t="n">
        <x:f>IF(C14="","",(1/'Metadata'!$B$5)^(C14-1))</x:f>
        <x:v>345.9410941149194</x:v>
      </x:c>
      <x:c r="E14" s="31" t="n">
        <x:f>IF(B14=0,"",B14*D14)</x:f>
        <x:v>32246511.21786123</x:v>
      </x:c>
    </x:row>
    <x:row r="15" ht="18" customHeight="1">
      <x:c r="A15" s="24" t="str">
        <x:v>Medium demersals (30 - 89 cm)</x:v>
      </x:c>
      <x:c r="B15" s="31" t="n">
        <x:v>381974.9667588137</x:v>
      </x:c>
      <x:c r="C15" s="32" t="n">
        <x:v>3.371167242611052</x:v>
      </x:c>
      <x:c r="D15" s="32" t="n">
        <x:f>IF(C15="","",(1/'Metadata'!$B$5)^(C15-1))</x:f>
        <x:v>235.053781599876</x:v>
      </x:c>
      <x:c r="E15" s="31" t="n">
        <x:f>IF(B15=0,"",B15*D15)</x:f>
        <x:v>89784660.4131461</x:v>
      </x:c>
    </x:row>
    <x:row r="16" ht="18" customHeight="1">
      <x:c r="A16" s="24" t="str">
        <x:v>Medium pelagics (30 - 89 cm)</x:v>
      </x:c>
      <x:c r="B16" s="31" t="n">
        <x:v>350738.0908934999</x:v>
      </x:c>
      <x:c r="C16" s="32" t="n">
        <x:v>3.447106575540853</x:v>
      </x:c>
      <x:c r="D16" s="32" t="n">
        <x:f>IF(C16="","",(1/'Metadata'!$B$5)^(C16-1))</x:f>
        <x:v>279.9668271840903</x:v>
      </x:c>
      <x:c r="E16" s="31" t="n">
        <x:f>IF(B16=0,"",B16*D16)</x:f>
        <x:v>98195030.48005824</x:v>
      </x:c>
    </x:row>
    <x:row r="17" ht="18" customHeight="1">
      <x:c r="A17" s="24" t="str">
        <x:v>Medium reef assoc. fish (30 - 89 cm)</x:v>
      </x:c>
      <x:c r="B17" s="31" t="n">
        <x:v>5621.438379760801</x:v>
      </x:c>
      <x:c r="C17" s="32" t="n">
        <x:v>3.78497822915728</x:v>
      </x:c>
      <x:c r="D17" s="32" t="n">
        <x:f>IF(C17="","",(1/'Metadata'!$B$5)^(C17-1))</x:f>
        <x:v>609.5063423980754</x:v>
      </x:c>
      <x:c r="E17" s="31" t="n">
        <x:f>IF(B17=0,"",B17*D17)</x:f>
        <x:v>3426302.345864169</x:v>
      </x:c>
    </x:row>
    <x:row r="18" ht="18" customHeight="1">
      <x:c r="A18" s="24" t="str">
        <x:v>Other demersal invertebrates</x:v>
      </x:c>
      <x:c r="B18" s="31" t="n">
        <x:v>846.8126926816</x:v>
      </x:c>
      <x:c r="C18" s="32" t="n">
        <x:v>2.061349002458489</x:v>
      </x:c>
      <x:c r="D18" s="32" t="n">
        <x:f>IF(C18="","",(1/'Metadata'!$B$5)^(C18-1))</x:f>
        <x:v>11.517255528650765</x:v>
      </x:c>
      <x:c r="E18" s="31" t="n">
        <x:f>IF(B18=0,"",B18*D18)</x:f>
        <x:v>9752.958166518798</x:v>
      </x:c>
    </x:row>
    <x:row r="19" ht="18" customHeight="1">
      <x:c r="A19" s="24" t="str">
        <x:v>Shrimps</x:v>
      </x:c>
      <x:c r="B19" s="31" t="n">
        <x:v>1450.1756482613</x:v>
      </x:c>
      <x:c r="C19" s="32" t="n">
        <x:v>3.68197740634463</x:v>
      </x:c>
      <x:c r="D19" s="32" t="n">
        <x:f>IF(C19="","",(1/'Metadata'!$B$5)^(C19-1))</x:f>
        <x:v>480.81433400355564</x:v>
      </x:c>
      <x:c r="E19" s="31" t="n">
        <x:f>IF(B19=0,"",B19*D19)</x:f>
        <x:v>697265.2385069316</x:v>
      </x:c>
    </x:row>
    <x:row r="20" ht="18" customHeight="1">
      <x:c r="A20" s="24" t="str">
        <x:v>Small demersals (&lt;30 cm)</x:v>
      </x:c>
      <x:c r="B20" s="31" t="n">
        <x:v>4189.9208285841</x:v>
      </x:c>
      <x:c r="C20" s="32" t="n">
        <x:v>3.4204271867462954</x:v>
      </x:c>
      <x:c r="D20" s="32" t="n">
        <x:f>IF(C20="","",(1/'Metadata'!$B$5)^(C20-1))</x:f>
        <x:v>263.28564853407124</x:v>
      </x:c>
      <x:c r="E20" s="31" t="n">
        <x:f>IF(B20=0,"",B20*D20)</x:f>
        <x:v>1103146.022660178</x:v>
      </x:c>
    </x:row>
    <x:row r="21" ht="18" customHeight="1">
      <x:c r="A21" s="24" t="str">
        <x:v>Small pelagics (&lt;30 cm)</x:v>
      </x:c>
      <x:c r="B21" s="31" t="n">
        <x:v>379866.942523716</x:v>
      </x:c>
      <x:c r="C21" s="32" t="n">
        <x:v>2.9379233705069385</x:v>
      </x:c>
      <x:c r="D21" s="32" t="n">
        <x:f>IF(C21="","",(1/'Metadata'!$B$5)^(C21-1))</x:f>
        <x:v>86.68089173599951</x:v>
      </x:c>
      <x:c r="E21" s="31" t="n">
        <x:f>IF(B21=0,"",B21*D21)</x:f>
        <x:v>32927205.318983376</x:v>
      </x:c>
    </x:row>
    <x:row r="22" ht="18" customHeight="1">
      <x:c r="A22" s="24" t="str">
        <x:v>Small to medium flatfishes (&lt;90 cm)</x:v>
      </x:c>
      <x:c r="B22" s="31" t="n">
        <x:v>15813.752201610101</x:v>
      </x:c>
      <x:c r="C22" s="32" t="n">
        <x:v>3.524049162648808</x:v>
      </x:c>
      <x:c r="D22" s="32" t="n">
        <x:f>IF(C22="","",(1/'Metadata'!$B$5)^(C22-1))</x:f>
        <x:v>334.2328734411097</x:v>
      </x:c>
      <x:c r="E22" s="31" t="n">
        <x:f>IF(B22=0,"",B22*D22)</x:f>
        <x:v>5285475.838229818</x:v>
      </x:c>
    </x:row>
    <x:row r="23" ht="18" customHeight="1">
      <x:c r="A23" s="24" t="str">
        <x:v>Small to medium rays (&lt;90 cm)</x:v>
      </x:c>
      <x:c r="B23" s="31" t="n">
        <x:v>3294.4137463604</x:v>
      </x:c>
      <x:c r="C23" s="32" t="n">
        <x:v>3.7202871381638705</x:v>
      </x:c>
      <x:c r="D23" s="32" t="n">
        <x:f>IF(C23="","",(1/'Metadata'!$B$5)^(C23-1))</x:f>
        <x:v>525.154556709967</x:v>
      </x:c>
      <x:c r="E23" s="31" t="n">
        <x:f>IF(B23=0,"",B23*D23)</x:f>
        <x:v>1730076.3905891175</x:v>
      </x:c>
    </x:row>
  </x:sheetData>
  <x:pageMargins left="0.7" right="0.7" top="0.75" bottom="0.75" header="0.3" footer="0.3"/>
  <x:tableParts count="1">
    <x:tablePart xmlns:r="http://schemas.openxmlformats.org/officeDocument/2006/relationships" r:id="R581c2095862c41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LME_029</x:v>
      </x:c>
      <x:c r="B2" s="24" t="str">
        <x:v>raw_filtered_tonnes</x:v>
      </x:c>
      <x:c r="C2" s="24" t="n">
        <x:v>1592518.0818040827</x:v>
      </x:c>
      <x:c r="D2" s="24" t="str">
        <x:v>tonnes</x:v>
      </x:c>
    </x:row>
    <x:row r="3" ht="18" customHeight="1">
      <x:c r="A3" s="24" t="str">
        <x:v>LME_029</x:v>
      </x:c>
      <x:c r="B3" s="24" t="str">
        <x:v>species_catch_tonnes</x:v>
      </x:c>
      <x:c r="C3" s="24" t="n">
        <x:v>1592518.0818040825</x:v>
      </x:c>
      <x:c r="D3" s="24" t="str">
        <x:v>tonnes</x:v>
      </x:c>
    </x:row>
    <x:row r="4" ht="18" customHeight="1">
      <x:c r="A4" s="24" t="str">
        <x:v>LME_029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LME_029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LME_029</x:v>
      </x:c>
      <x:c r="B6" s="24" t="str">
        <x:v>matched_catch_tonnes</x:v>
      </x:c>
      <x:c r="C6" s="24" t="n">
        <x:v>1592518.0818040825</x:v>
      </x:c>
      <x:c r="D6" s="24" t="str">
        <x:v>tonnes</x:v>
      </x:c>
    </x:row>
    <x:row r="7" ht="18" customHeight="1">
      <x:c r="A7" s="24" t="str">
        <x:v>LME_029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LME_029</x:v>
      </x:c>
      <x:c r="B8" s="24" t="str">
        <x:v>taxa_count</x:v>
      </x:c>
      <x:c r="C8" s="24" t="n">
        <x:v>147</x:v>
      </x:c>
      <x:c r="D8" s="24" t="str">
        <x:v>count</x:v>
      </x:c>
    </x:row>
    <x:row r="9" ht="18" customHeight="1">
      <x:c r="A9" s="24" t="str">
        <x:v>LME_029</x:v>
      </x:c>
      <x:c r="B9" s="24" t="str">
        <x:v>matched_taxa_count</x:v>
      </x:c>
      <x:c r="C9" s="24" t="n">
        <x:v>147</x:v>
      </x:c>
      <x:c r="D9" s="24" t="str">
        <x:v>count</x:v>
      </x:c>
    </x:row>
    <x:row r="10" ht="18" customHeight="1">
      <x:c r="A10" s="24" t="str">
        <x:v>LME_029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LME_029</x:v>
      </x:c>
      <x:c r="B11" s="24" t="str">
        <x:v>species_ppr</x:v>
      </x:c>
      <x:c r="C11" s="24" t="n">
        <x:v>997757338.2466873</x:v>
      </x:c>
      <x:c r="D11" s="24" t="str">
        <x:v>tonnes_primary_production_equivalent</x:v>
      </x:c>
    </x:row>
    <x:row r="12" ht="18" customHeight="1">
      <x:c r="A12" s="24" t="str">
        <x:v>LME_029</x:v>
      </x:c>
      <x:c r="B12" s="24" t="str">
        <x:v>commercial_ppr</x:v>
      </x:c>
      <x:c r="C12" s="24" t="n">
        <x:v>874219072.3241919</x:v>
      </x:c>
      <x:c r="D12" s="24" t="str">
        <x:v>tonnes_primary_production_equivalent</x:v>
      </x:c>
    </x:row>
    <x:row r="13" ht="18" customHeight="1">
      <x:c r="A13" s="24" t="str">
        <x:v>LME_029</x:v>
      </x:c>
      <x:c r="B13" s="24" t="str">
        <x:v>functional_ppr</x:v>
      </x:c>
      <x:c r="C13" s="24" t="n">
        <x:v>905698527.5872977</x:v>
      </x:c>
      <x:c r="D13" s="24" t="str">
        <x:v>tonnes_primary_production_equivalent</x:v>
      </x:c>
    </x:row>
    <x:row r="14" ht="18" customHeight="1">
      <x:c r="A14" s="24" t="str">
        <x:v>LME_029</x:v>
      </x:c>
      <x:c r="B14" s="24" t="str">
        <x:v>commercial_ppr_difference</x:v>
      </x:c>
      <x:c r="C14" s="24" t="n">
        <x:v>-123538265.92249537</x:v>
      </x:c>
      <x:c r="D14" s="24" t="str">
        <x:v>tonnes_primary_production_equivalent</x:v>
      </x:c>
    </x:row>
    <x:row r="15" ht="18" customHeight="1">
      <x:c r="A15" s="24" t="str">
        <x:v>LME_029</x:v>
      </x:c>
      <x:c r="B15" s="24" t="str">
        <x:v>functional_ppr_difference</x:v>
      </x:c>
      <x:c r="C15" s="24" t="n">
        <x:v>-92058810.65938962</x:v>
      </x:c>
      <x:c r="D15" s="24" t="str">
        <x:v>tonnes_primary_production_equivalent</x:v>
      </x:c>
    </x:row>
    <x:row r="16" ht="18" customHeight="1">
      <x:c r="A16" s="24" t="str">
        <x:v>LME_029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7fed3fc4d6a48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LME_029 - Benguela Current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