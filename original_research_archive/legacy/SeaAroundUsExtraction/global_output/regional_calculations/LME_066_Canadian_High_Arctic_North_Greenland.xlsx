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822385910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4cd82dba6d34abc"/>
    <x:sheet xmlns:r="http://schemas.openxmlformats.org/officeDocument/2006/relationships" name="Commercial" sheetId="2" r:id="Rcb0a9ceb5b3d4ce8"/>
    <x:sheet xmlns:r="http://schemas.openxmlformats.org/officeDocument/2006/relationships" name="Functional" sheetId="3" r:id="Rf7438845b5524478"/>
    <x:sheet xmlns:r="http://schemas.openxmlformats.org/officeDocument/2006/relationships" name="Missing TL" sheetId="4" r:id="Rcc93ffa83352438c"/>
    <x:sheet xmlns:r="http://schemas.openxmlformats.org/officeDocument/2006/relationships" name="Validation" sheetId="5" r:id="R7780fde41b6146d7"/>
    <x:sheet xmlns:r="http://schemas.openxmlformats.org/officeDocument/2006/relationships" name="Metadata" sheetId="6" r:id="R12af28e92930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7305e7dee448b" /><Relationship Type="http://schemas.openxmlformats.org/officeDocument/2006/relationships/theme" Target="/xl/theme/theme1.xml" Id="R418bc3bf38c24d01" /><Relationship Type="http://schemas.microsoft.com/office/2022/11/relationships/FeaturePropertyBag" Target="/xl/featurePropertyBag/featurePropertyBag.xml" Id="R80283912291f4836" /><Relationship Type="http://schemas.openxmlformats.org/officeDocument/2006/relationships/sharedStrings" Target="/xl/sharedStrings.xml" Id="Rb57c8ae51235465b" /><Relationship Type="http://schemas.openxmlformats.org/officeDocument/2006/relationships/worksheet" Target="/xl/worksheets/sheet1.xml" Id="R14cd82dba6d34abc" /><Relationship Type="http://schemas.openxmlformats.org/officeDocument/2006/relationships/worksheet" Target="/xl/worksheets/sheet2.xml" Id="Rcb0a9ceb5b3d4ce8" /><Relationship Type="http://schemas.openxmlformats.org/officeDocument/2006/relationships/worksheet" Target="/xl/worksheets/sheet3.xml" Id="Rf7438845b5524478" /><Relationship Type="http://schemas.openxmlformats.org/officeDocument/2006/relationships/worksheet" Target="/xl/worksheets/sheet4.xml" Id="Rcc93ffa83352438c" /><Relationship Type="http://schemas.openxmlformats.org/officeDocument/2006/relationships/worksheet" Target="/xl/worksheets/sheet5.xml" Id="R7780fde41b6146d7" /><Relationship Type="http://schemas.openxmlformats.org/officeDocument/2006/relationships/worksheet" Target="/xl/worksheets/sheet6.xml" Id="R12af28e929304f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6SpeciesTable" displayName="LME06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6CommercialTable" displayName="LME06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6FunctionalTable" displayName="LME066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6ValidationTable" displayName="LME0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3f1fea79d44d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a91a1bf3f6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fd4fa6075d44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60e9dcb47248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LME_066</x:v>
      </x:c>
      <x:c r="B2" s="24" t="str">
        <x:v>Canadian High Arctic - North Greenland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53.2934168243</x:v>
      </x:c>
      <x:c r="J2" s="31" t="n">
        <x:v>49.6927173578</x:v>
      </x:c>
      <x:c r="K2" s="31" t="n">
        <x:v>3.6006994665</x:v>
      </x:c>
      <x:c r="L2" s="31" t="n">
        <x:v>49.623786080100004</x:v>
      </x:c>
      <x:c r="M2" s="31" t="n">
        <x:v>3.6696307442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10154.851228474523</x:v>
      </x:c>
    </x:row>
    <x:row r="3" ht="18" customHeight="1">
      <x:c r="A3" s="24" t="str">
        <x:v>LME_066</x:v>
      </x:c>
      <x:c r="B3" s="24" t="str">
        <x:v>Canadian High Arctic - North Greenland</x:v>
      </x:c>
      <x:c r="C3" s="24" t="str">
        <x:v>LME</x:v>
      </x:c>
      <x:c r="D3" s="30" t="n">
        <x:v>2019</x:v>
      </x:c>
      <x:c r="E3" s="24" t="str">
        <x:v>Salvelinus alpinus</x:v>
      </x:c>
      <x:c r="F3" s="24" t="str">
        <x:v>Arctic char</x:v>
      </x:c>
      <x:c r="G3" s="24" t="str">
        <x:v>Medium benthopelagics (30 - 89 cm)</x:v>
      </x:c>
      <x:c r="H3" s="24" t="str">
        <x:v>Salmon, smelts, etc</x:v>
      </x:c>
      <x:c r="I3" s="31" t="n">
        <x:v>0.1267809772</x:v>
      </x:c>
      <x:c r="J3" s="31" t="n">
        <x:v>0.1260434327</x:v>
      </x:c>
      <x:c r="K3" s="31" t="n">
        <x:v>0.0007375445</x:v>
      </x:c>
      <x:c r="L3" s="31" t="n">
        <x:v>0.0054960635</x:v>
      </x:c>
      <x:c r="M3" s="31" t="n">
        <x:v>0.1212849137</x:v>
      </x:c>
      <x:c r="N3" s="24" t="str">
        <x:v>salvelinus alpinus</x:v>
      </x:c>
      <x:c r="O3" s="32" t="n">
        <x:v>4.39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Salvelinus alpinus</x:v>
      </x:c>
      <x:c r="T3" s="32" t="n">
        <x:f>IF(O3="","",(1/'Metadata'!$B$5)^(O3-1))</x:f>
        <x:v>2454.7089156850284</x:v>
      </x:c>
      <x:c r="U3" s="31" t="n">
        <x:f>IF(T3="","",I3*T3)</x:f>
        <x:v>311.2103950721003</x:v>
      </x:c>
    </x:row>
    <x:row r="4" ht="18" customHeight="1">
      <x:c r="A4" s="24" t="str">
        <x:v>LME_066</x:v>
      </x:c>
      <x:c r="B4" s="24" t="str">
        <x:v>Canadian High Arctic - North Greenland</x:v>
      </x:c>
      <x:c r="C4" s="24" t="str">
        <x:v>LME</x:v>
      </x:c>
      <x:c r="D4" s="30" t="n">
        <x:v>2019</x:v>
      </x:c>
      <x:c r="E4" s="24" t="str">
        <x:v>Anarhichadidae</x:v>
      </x:c>
      <x:c r="F4" s="24" t="str">
        <x:v>Wolffishes, wolfeels</x:v>
      </x:c>
      <x:c r="G4" s="24" t="str">
        <x:v>Large demersals (&gt;=90 cm)</x:v>
      </x:c>
      <x:c r="H4" s="24" t="str">
        <x:v>Perch-likes</x:v>
      </x:c>
      <x:c r="I4" s="31" t="n">
        <x:v>0.0728773236</x:v>
      </x:c>
      <x:c r="J4" s="31" t="n">
        <x:v>0.0728773236</x:v>
      </x:c>
      <x:c r="K4" s="31" t="n">
        <x:v>0</x:v>
      </x:c>
      <x:c r="L4" s="31" t="n">
        <x:v>0.0447753428</x:v>
      </x:c>
      <x:c r="M4" s="31" t="n">
        <x:v>0.0281019808</x:v>
      </x:c>
      <x:c r="N4" s="24" t="str">
        <x:v>anarhichadidae</x:v>
      </x:c>
      <x:c r="O4" s="32" t="n">
        <x:v>3.47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Anarhichadidae</x:v>
      </x:c>
      <x:c r="T4" s="32" t="n">
        <x:f>IF(O4="","",(1/'Metadata'!$B$5)^(O4-1))</x:f>
        <x:v>295.1209226666387</x:v>
      </x:c>
      <x:c r="U4" s="31" t="n">
        <x:f>IF(T4="","",I4*T4)</x:f>
        <x:v>21.507622982307204</x:v>
      </x:c>
    </x:row>
    <x:row r="5" ht="18" customHeight="1">
      <x:c r="A5" s="24" t="str">
        <x:v>LME_066</x:v>
      </x:c>
      <x:c r="B5" s="24" t="str">
        <x:v>Canadian High Arctic - North Greenland</x:v>
      </x:c>
      <x:c r="C5" s="24" t="str">
        <x:v>LME</x:v>
      </x:c>
      <x:c r="D5" s="30" t="n">
        <x:v>2019</x:v>
      </x:c>
      <x:c r="E5" s="24" t="str">
        <x:v>Myoxocephalus</x:v>
      </x:c>
      <x:c r="F5" s="24" t="str">
        <x:v>Grubbies and sculpins</x:v>
      </x:c>
      <x:c r="G5" s="24" t="str">
        <x:v>Large reef assoc. fish (&gt;=90 cm)</x:v>
      </x:c>
      <x:c r="H5" s="24" t="str">
        <x:v>Scorpionfishes</x:v>
      </x:c>
      <x:c r="I5" s="31" t="n">
        <x:v>0.039804677999999996</x:v>
      </x:c>
      <x:c r="J5" s="31" t="n">
        <x:v>0</x:v>
      </x:c>
      <x:c r="K5" s="31" t="n">
        <x:v>0.039804677999999996</x:v>
      </x:c>
      <x:c r="L5" s="31" t="n">
        <x:v>0</x:v>
      </x:c>
      <x:c r="M5" s="31" t="n">
        <x:v>0.039804677999999996</x:v>
      </x:c>
      <x:c r="N5" s="24" t="str">
        <x:v>myoxocephalus</x:v>
      </x:c>
      <x:c r="O5" s="32" t="n">
        <x:v>3.71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Myoxocephalus</x:v>
      </x:c>
      <x:c r="T5" s="32" t="n">
        <x:f>IF(O5="","",(1/'Metadata'!$B$5)^(O5-1))</x:f>
        <x:v>512.8613839913648</x:v>
      </x:c>
      <x:c r="U5" s="31" t="n">
        <x:f>IF(T5="","",I5*T5)</x:f>
        <x:v>20.41428224841063</x:v>
      </x:c>
    </x:row>
    <x:row r="6" ht="18" customHeight="1">
      <x:c r="A6" s="24" t="str">
        <x:v>LME_066</x:v>
      </x:c>
      <x:c r="B6" s="24" t="str">
        <x:v>Canadian High Arctic - North Greenland</x:v>
      </x:c>
      <x:c r="C6" s="24" t="str">
        <x:v>LME</x:v>
      </x:c>
      <x:c r="D6" s="30" t="n">
        <x:v>2019</x:v>
      </x:c>
      <x:c r="E6" s="24" t="str">
        <x:v>Somniosus microcephalus</x:v>
      </x:c>
      <x:c r="F6" s="24" t="str">
        <x:v>Greenland shark</x:v>
      </x:c>
      <x:c r="G6" s="24" t="str">
        <x:v>Large sharks (&gt;=90 cm)</x:v>
      </x:c>
      <x:c r="H6" s="24" t="str">
        <x:v>Sharks &amp; rays</x:v>
      </x:c>
      <x:c r="I6" s="31" t="n">
        <x:v>0.0301222107</x:v>
      </x:c>
      <x:c r="J6" s="31" t="n">
        <x:v>0.0301222107</x:v>
      </x:c>
      <x:c r="K6" s="31" t="n">
        <x:v>0</x:v>
      </x:c>
      <x:c r="L6" s="31" t="n">
        <x:v>0.0301222107</x:v>
      </x:c>
      <x:c r="M6" s="31" t="n">
        <x:v>0</x:v>
      </x:c>
      <x:c r="N6" s="24" t="str">
        <x:v>somniosus microcephalus</x:v>
      </x:c>
      <x:c r="O6" s="32" t="n">
        <x:v>4.22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Somniosus microcephalus</x:v>
      </x:c>
      <x:c r="T6" s="32" t="n">
        <x:f>IF(O6="","",(1/'Metadata'!$B$5)^(O6-1))</x:f>
        <x:v>1659.5869074375596</x:v>
      </x:c>
      <x:c r="U6" s="31" t="n">
        <x:f>IF(T6="","",I6*T6)</x:f>
        <x:v>49.990426500795564</x:v>
      </x:c>
    </x:row>
    <x:row r="7" ht="18" customHeight="1">
      <x:c r="A7" s="24" t="str">
        <x:v>LME_066</x:v>
      </x:c>
      <x:c r="B7" s="24" t="str">
        <x:v>Canadian High Arctic - North Greenland</x:v>
      </x:c>
      <x:c r="C7" s="24" t="str">
        <x:v>LME</x:v>
      </x:c>
      <x:c r="D7" s="30" t="n">
        <x:v>2019</x:v>
      </x:c>
      <x:c r="E7" s="24" t="str">
        <x:v>Anarhichas</x:v>
      </x:c>
      <x:c r="F7" s="24" t="str">
        <x:v>Wolffishes</x:v>
      </x:c>
      <x:c r="G7" s="24" t="str">
        <x:v>Large demersals (&gt;=90 cm)</x:v>
      </x:c>
      <x:c r="H7" s="24" t="str">
        <x:v>Perch-likes</x:v>
      </x:c>
      <x:c r="I7" s="31" t="n">
        <x:v>0.0101709244</x:v>
      </x:c>
      <x:c r="J7" s="31" t="n">
        <x:v>0</x:v>
      </x:c>
      <x:c r="K7" s="31" t="n">
        <x:v>0.0101709244</x:v>
      </x:c>
      <x:c r="L7" s="31" t="n">
        <x:v>0</x:v>
      </x:c>
      <x:c r="M7" s="31" t="n">
        <x:v>0.0101709244</x:v>
      </x:c>
      <x:c r="N7" s="24" t="str">
        <x:v>anarhichas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Anarhichas</x:v>
      </x:c>
      <x:c r="T7" s="32" t="n">
        <x:f>IF(O7="","",(1/'Metadata'!$B$5)^(O7-1))</x:f>
        <x:v>223.872113856834</x:v>
      </x:c>
      <x:c r="U7" s="31" t="n">
        <x:f>IF(T7="","",I7*T7)</x:f>
        <x:v>2.276986345306051</x:v>
      </x:c>
    </x:row>
    <x:row r="8" ht="18" customHeight="1">
      <x:c r="A8" s="24" t="str">
        <x:v>LME_066</x:v>
      </x:c>
      <x:c r="B8" s="24" t="str">
        <x:v>Canadian High Arctic - North Greenland</x:v>
      </x:c>
      <x:c r="C8" s="24" t="str">
        <x:v>LME</x:v>
      </x:c>
      <x:c r="D8" s="30" t="n">
        <x:v>2019</x:v>
      </x:c>
      <x:c r="E8" s="24" t="str">
        <x:v>Sebastes</x:v>
      </x:c>
      <x:c r="F8" s="24" t="str">
        <x:v>Redfishes</x:v>
      </x:c>
      <x:c r="G8" s="24" t="str">
        <x:v>Large reef assoc. fish (&gt;=90 cm)</x:v>
      </x:c>
      <x:c r="H8" s="24" t="str">
        <x:v>Scorpionfishes</x:v>
      </x:c>
      <x:c r="I8" s="31" t="n">
        <x:v>0.0067871958</x:v>
      </x:c>
      <x:c r="J8" s="31" t="n">
        <x:v>0.0054535133</x:v>
      </x:c>
      <x:c r="K8" s="31" t="n">
        <x:v>0.0013336825</x:v>
      </x:c>
      <x:c r="L8" s="31" t="n">
        <x:v>0.0029949846</x:v>
      </x:c>
      <x:c r="M8" s="31" t="n">
        <x:v>0.0037922112000000003</x:v>
      </x:c>
      <x:c r="N8" s="24" t="str">
        <x:v>sebastes</x:v>
      </x:c>
      <x:c r="O8" s="32" t="n">
        <x:v>3.79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Sebastes</x:v>
      </x:c>
      <x:c r="T8" s="32" t="n">
        <x:f>IF(O8="","",(1/'Metadata'!$B$5)^(O8-1))</x:f>
        <x:v>616.5950018614822</x:v>
      </x:c>
      <x:c r="U8" s="31" t="n">
        <x:f>IF(T8="","",I8*T8)</x:f>
        <x:v>4.184951006935243</x:v>
      </x:c>
    </x:row>
    <x:row r="9" ht="18" customHeight="1">
      <x:c r="A9" s="24" t="str">
        <x:v>LME_066</x:v>
      </x:c>
      <x:c r="B9" s="24" t="str">
        <x:v>Canadian High Arctic - North Greenland</x:v>
      </x:c>
      <x:c r="C9" s="24" t="str">
        <x:v>LME</x:v>
      </x:c>
      <x:c r="D9" s="30" t="n">
        <x:v>2019</x:v>
      </x:c>
      <x:c r="E9" s="24" t="str">
        <x:v>Chionoecetes</x:v>
      </x:c>
      <x:c r="F9" s="24" t="str">
        <x:v>Tanner, snow crabs</x:v>
      </x:c>
      <x:c r="G9" s="24" t="str">
        <x:v>Lobsters, crabs</x:v>
      </x:c>
      <x:c r="H9" s="24" t="str">
        <x:v>Crustaceans</x:v>
      </x:c>
      <x:c r="I9" s="31" t="n">
        <x:v>0.0048176757</x:v>
      </x:c>
      <x:c r="J9" s="31" t="n">
        <x:v>0</x:v>
      </x:c>
      <x:c r="K9" s="31" t="n">
        <x:v>0.0048176757</x:v>
      </x:c>
      <x:c r="L9" s="31" t="n">
        <x:v>0</x:v>
      </x:c>
      <x:c r="M9" s="31" t="n">
        <x:v>0.0048176757</x:v>
      </x:c>
      <x:c r="N9" s="24" t="str">
        <x:v>chionoecetes</x:v>
      </x:c>
      <x:c r="O9" s="32" t="n">
        <x:v>2.3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Chionoecetes</x:v>
      </x:c>
      <x:c r="T9" s="32" t="n">
        <x:f>IF(O9="","",(1/'Metadata'!$B$5)^(O9-1))</x:f>
        <x:v>19.952623149688787</x:v>
      </x:c>
      <x:c r="U9" s="31" t="n">
        <x:f>IF(T9="","",I9*T9)</x:f>
        <x:v>0.09612526769951313</x:v>
      </x:c>
    </x:row>
    <x:row r="10" ht="18" customHeight="1">
      <x:c r="A10" s="24" t="str">
        <x:v>LME_066</x:v>
      </x:c>
      <x:c r="B10" s="24" t="str">
        <x:v>Canadian High Arctic - North Greenland</x:v>
      </x:c>
      <x:c r="C10" s="24" t="str">
        <x:v>LME</x:v>
      </x:c>
      <x:c r="D10" s="30" t="n">
        <x:v>2019</x:v>
      </x:c>
      <x:c r="E10" s="24" t="str">
        <x:v>Mollusca</x:v>
      </x:c>
      <x:c r="F10" s="24" t="str">
        <x:v>Clams, seasnails, squids, octopuses</x:v>
      </x:c>
      <x:c r="G10" s="24" t="str">
        <x:v>Other demersal invertebrates</x:v>
      </x:c>
      <x:c r="H10" s="24" t="str">
        <x:v>Molluscs</x:v>
      </x:c>
      <x:c r="I10" s="31" t="n">
        <x:v>0.0032019085</x:v>
      </x:c>
      <x:c r="J10" s="31" t="n">
        <x:v>0</x:v>
      </x:c>
      <x:c r="K10" s="31" t="n">
        <x:v>0.0032019085</x:v>
      </x:c>
      <x:c r="L10" s="31" t="n">
        <x:v>0</x:v>
      </x:c>
      <x:c r="M10" s="31" t="n">
        <x:v>0.0032019085</x:v>
      </x:c>
      <x:c r="N10" s="24" t="str">
        <x:v>mollusca</x:v>
      </x:c>
      <x:c r="O10" s="32" t="n">
        <x:v>2.1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Mollusca</x:v>
      </x:c>
      <x:c r="T10" s="32" t="n">
        <x:f>IF(O10="","",(1/'Metadata'!$B$5)^(O10-1))</x:f>
        <x:v>12.589254117941675</x:v>
      </x:c>
      <x:c r="U10" s="31" t="n">
        <x:f>IF(T10="","",I10*T10)</x:f>
        <x:v>0.040309639768897454</x:v>
      </x:c>
    </x:row>
    <x:row r="11" ht="18" customHeight="1">
      <x:c r="A11" s="24" t="str">
        <x:v>LME_066</x:v>
      </x:c>
      <x:c r="B11" s="24" t="str">
        <x:v>Canadian High Arctic - North Greenland</x:v>
      </x:c>
      <x:c r="C11" s="24" t="str">
        <x:v>LME</x:v>
      </x:c>
      <x:c r="D11" s="30" t="n">
        <x:v>2019</x:v>
      </x:c>
      <x:c r="E11" s="24" t="str">
        <x:v>Cottidae</x:v>
      </x:c>
      <x:c r="F11" s="24" t="str">
        <x:v>Sculpins</x:v>
      </x:c>
      <x:c r="G11" s="24" t="str">
        <x:v>Large reef assoc. fish (&gt;=90 cm)</x:v>
      </x:c>
      <x:c r="H11" s="24" t="str">
        <x:v>Scorpionfishes</x:v>
      </x:c>
      <x:c r="I11" s="31" t="n">
        <x:v>0.0011157579</x:v>
      </x:c>
      <x:c r="J11" s="31" t="n">
        <x:v>0</x:v>
      </x:c>
      <x:c r="K11" s="31" t="n">
        <x:v>0.0011157579</x:v>
      </x:c>
      <x:c r="L11" s="31" t="n">
        <x:v>0</x:v>
      </x:c>
      <x:c r="M11" s="31" t="n">
        <x:v>0.0011157579</x:v>
      </x:c>
      <x:c r="N11" s="24" t="str">
        <x:v>cottidae</x:v>
      </x:c>
      <x:c r="O11" s="32" t="n">
        <x:v>3.81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Cottidae</x:v>
      </x:c>
      <x:c r="T11" s="32" t="n">
        <x:f>IF(O11="","",(1/'Metadata'!$B$5)^(O11-1))</x:f>
        <x:v>645.6542290346556</x:v>
      </x:c>
      <x:c r="U11" s="31" t="n">
        <x:f>IF(T11="","",I11*T11)</x:f>
        <x:v>0.7203938067138264</x:v>
      </x:c>
    </x:row>
    <x:row r="12" ht="18" customHeight="1">
      <x:c r="A12" s="24" t="str">
        <x:v>LME_066</x:v>
      </x:c>
      <x:c r="B12" s="24" t="str">
        <x:v>Canadian High Arctic - North Greenland</x:v>
      </x:c>
      <x:c r="C12" s="24" t="str">
        <x:v>LME</x:v>
      </x:c>
      <x:c r="D12" s="30" t="n">
        <x:v>2019</x:v>
      </x:c>
      <x:c r="E12" s="24" t="str">
        <x:v>Buccinum undatum</x:v>
      </x:c>
      <x:c r="F12" s="24" t="str">
        <x:v>Whelk</x:v>
      </x:c>
      <x:c r="G12" s="24" t="str">
        <x:v>Other demersal invertebrates</x:v>
      </x:c>
      <x:c r="H12" s="24" t="str">
        <x:v>Molluscs</x:v>
      </x:c>
      <x:c r="I12" s="31" t="n">
        <x:v>0.0009827548</x:v>
      </x:c>
      <x:c r="J12" s="31" t="n">
        <x:v>0</x:v>
      </x:c>
      <x:c r="K12" s="31" t="n">
        <x:v>0.0009827548</x:v>
      </x:c>
      <x:c r="L12" s="31" t="n">
        <x:v>0</x:v>
      </x:c>
      <x:c r="M12" s="31" t="n">
        <x:v>0.0009827548</x:v>
      </x:c>
      <x:c r="N12" s="24" t="str">
        <x:v>buccinum undatum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Buccinum undatum</x:v>
      </x:c>
      <x:c r="T12" s="32" t="n">
        <x:f>IF(O12="","",(1/'Metadata'!$B$5)^(O12-1))</x:f>
        <x:v>562.341325190349</x:v>
      </x:c>
      <x:c r="U12" s="31" t="n">
        <x:f>IF(T12="","",I12*T12)</x:f>
        <x:v>0.5526436365691765</x:v>
      </x:c>
    </x:row>
    <x:row r="13" ht="18" customHeight="1">
      <x:c r="A13" s="24" t="str">
        <x:v>LME_066</x:v>
      </x:c>
      <x:c r="B13" s="24" t="str">
        <x:v>Canadian High Arctic - North Greenland</x:v>
      </x:c>
      <x:c r="C13" s="24" t="str">
        <x:v>LME</x:v>
      </x:c>
      <x:c r="D13" s="30" t="n">
        <x:v>2019</x:v>
      </x:c>
      <x:c r="E13" s="24" t="str">
        <x:v>Lycodes</x:v>
      </x:c>
      <x:c r="F13" s="24" t="str">
        <x:v>Eelpouts</x:v>
      </x:c>
      <x:c r="G13" s="24" t="str">
        <x:v>Medium bathydemersals (30 - 89 cm)</x:v>
      </x:c>
      <x:c r="H13" s="24" t="str">
        <x:v>Perch-likes</x:v>
      </x:c>
      <x:c r="I13" s="31" t="n">
        <x:v>0.0005845237</x:v>
      </x:c>
      <x:c r="J13" s="31" t="n">
        <x:v>0</x:v>
      </x:c>
      <x:c r="K13" s="31" t="n">
        <x:v>0.0005845237</x:v>
      </x:c>
      <x:c r="L13" s="31" t="n">
        <x:v>0</x:v>
      </x:c>
      <x:c r="M13" s="31" t="n">
        <x:v>0.0005845237</x:v>
      </x:c>
      <x:c r="N13" s="24" t="str">
        <x:v>lycodes</x:v>
      </x:c>
      <x:c r="O13" s="32" t="n">
        <x:v>3.3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Lycodes</x:v>
      </x:c>
      <x:c r="T13" s="32" t="n">
        <x:f>IF(O13="","",(1/'Metadata'!$B$5)^(O13-1))</x:f>
        <x:v>199.52623149688787</x:v>
      </x:c>
      <x:c r="U13" s="31" t="n">
        <x:f>IF(T13="","",I13*T13)</x:f>
        <x:v>0.11662781108161745</x:v>
      </x:c>
    </x:row>
    <x:row r="14" ht="18" customHeight="1">
      <x:c r="A14" s="24" t="str">
        <x:v>LME_066</x:v>
      </x:c>
      <x:c r="B14" s="24" t="str">
        <x:v>Canadian High Arctic - North Greenland</x:v>
      </x:c>
      <x:c r="C14" s="24" t="str">
        <x:v>LME</x:v>
      </x:c>
      <x:c r="D14" s="30" t="n">
        <x:v>2019</x:v>
      </x:c>
      <x:c r="E14" s="24" t="str">
        <x:v>Brachyura</x:v>
      </x:c>
      <x:c r="F14" s="24" t="str">
        <x:v>Marine crabs</x:v>
      </x:c>
      <x:c r="G14" s="24" t="str">
        <x:v>Lobsters, crabs</x:v>
      </x:c>
      <x:c r="H14" s="24" t="str">
        <x:v>Crustaceans</x:v>
      </x:c>
      <x:c r="I14" s="31" t="n">
        <x:v>0.0004241661</x:v>
      </x:c>
      <x:c r="J14" s="31" t="n">
        <x:v>0</x:v>
      </x:c>
      <x:c r="K14" s="31" t="n">
        <x:v>0.0004241661</x:v>
      </x:c>
      <x:c r="L14" s="31" t="n">
        <x:v>0</x:v>
      </x:c>
      <x:c r="M14" s="31" t="n">
        <x:v>0.0004241661</x:v>
      </x:c>
      <x:c r="N14" s="24" t="str">
        <x:v>brachyura</x:v>
      </x:c>
      <x:c r="O14" s="32" t="n">
        <x:v>2.6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Brachyura</x:v>
      </x:c>
      <x:c r="T14" s="32" t="n">
        <x:f>IF(O14="","",(1/'Metadata'!$B$5)^(O14-1))</x:f>
        <x:v>39.810717055349734</x:v>
      </x:c>
      <x:c r="U14" s="31" t="n">
        <x:f>IF(T14="","",I14*T14)</x:f>
        <x:v>0.01688635659157118</x:v>
      </x:c>
    </x:row>
    <x:row r="15" ht="18" customHeight="1">
      <x:c r="A15" s="24" t="str">
        <x:v>LME_066</x:v>
      </x:c>
      <x:c r="B15" s="24" t="str">
        <x:v>Canadian High Arctic - North Greenland</x:v>
      </x:c>
      <x:c r="C15" s="24" t="str">
        <x:v>LME</x:v>
      </x:c>
      <x:c r="D15" s="30" t="n">
        <x:v>2019</x:v>
      </x:c>
      <x:c r="E15" s="24" t="str">
        <x:v>Strongylocentrotus droebachiensis</x:v>
      </x:c>
      <x:c r="F15" s="24" t="str">
        <x:v>Green sea urchin</x:v>
      </x:c>
      <x:c r="G15" s="24" t="str">
        <x:v>Other demersal invertebrates</x:v>
      </x:c>
      <x:c r="H15" s="24" t="str">
        <x:v>Other fishes &amp; inverts</x:v>
      </x:c>
      <x:c r="I15" s="31" t="n">
        <x:v>0.0003500348</x:v>
      </x:c>
      <x:c r="J15" s="31" t="n">
        <x:v>0</x:v>
      </x:c>
      <x:c r="K15" s="31" t="n">
        <x:v>0.0003500348</x:v>
      </x:c>
      <x:c r="L15" s="31" t="n">
        <x:v>0</x:v>
      </x:c>
      <x:c r="M15" s="31" t="n">
        <x:v>0.0003500348</x:v>
      </x:c>
      <x:c r="N15" s="24" t="str">
        <x:v>strongylocentrotus droebachiensis</x:v>
      </x:c>
      <x:c r="O15" s="32" t="n">
        <x:v>2.3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Strongylocentrotus droebachiensis</x:v>
      </x:c>
      <x:c r="T15" s="32" t="n">
        <x:f>IF(O15="","",(1/'Metadata'!$B$5)^(O15-1))</x:f>
        <x:v>19.952623149688787</x:v>
      </x:c>
      <x:c r="U15" s="31" t="n">
        <x:f>IF(T15="","",I15*T15)</x:f>
        <x:v>0.0069841124536766845</x:v>
      </x:c>
    </x:row>
    <x:row r="16" ht="18" customHeight="1">
      <x:c r="A16" s="24" t="str">
        <x:v>LME_066</x:v>
      </x:c>
      <x:c r="B16" s="24" t="str">
        <x:v>Canadian High Arctic - North Greenland</x:v>
      </x:c>
      <x:c r="C16" s="24" t="str">
        <x:v>LME</x:v>
      </x:c>
      <x:c r="D16" s="30" t="n">
        <x:v>2019</x:v>
      </x:c>
      <x:c r="E16" s="24" t="str">
        <x:v>Miscellaneous aquatic invertebrates</x:v>
      </x:c>
      <x:c r="F16" s="24" t="str">
        <x:v>Aquatic invertebrates</x:v>
      </x:c>
      <x:c r="G16" s="24" t="str">
        <x:v>Other demersal invertebrates</x:v>
      </x:c>
      <x:c r="H16" s="24" t="str">
        <x:v>Other fishes &amp; inverts</x:v>
      </x:c>
      <x:c r="I16" s="31" t="n">
        <x:v>0.000216775</x:v>
      </x:c>
      <x:c r="J16" s="31" t="n">
        <x:v>0</x:v>
      </x:c>
      <x:c r="K16" s="31" t="n">
        <x:v>0.000216775</x:v>
      </x:c>
      <x:c r="L16" s="31" t="n">
        <x:v>0</x:v>
      </x:c>
      <x:c r="M16" s="31" t="n">
        <x:v>0.000216775</x:v>
      </x:c>
      <x:c r="N16" s="24" t="str">
        <x:v>miscellaneous aquatic invertebrates</x:v>
      </x:c>
      <x:c r="O16" s="32" t="n">
        <x:v>2.43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aquatic invertebrates</x:v>
      </x:c>
      <x:c r="T16" s="32" t="n">
        <x:f>IF(O16="","",(1/'Metadata'!$B$5)^(O16-1))</x:f>
        <x:v>26.915348039269166</x:v>
      </x:c>
      <x:c r="U16" s="31" t="n">
        <x:f>IF(T16="","",I16*T16)</x:f>
        <x:v>0.005834574571212573</x:v>
      </x:c>
    </x:row>
    <x:row r="17" ht="18" customHeight="1">
      <x:c r="A17" s="24" t="str">
        <x:v>LME_066</x:v>
      </x:c>
      <x:c r="B17" s="24" t="str">
        <x:v>Canadian High Arctic - North Greenland</x:v>
      </x:c>
      <x:c r="C17" s="24" t="str">
        <x:v>LME</x:v>
      </x:c>
      <x:c r="D17" s="30" t="n">
        <x:v>2019</x:v>
      </x:c>
      <x:c r="E17" s="24" t="str">
        <x:v>Elasmobranchii</x:v>
      </x:c>
      <x:c r="F17" s="24" t="str">
        <x:v>Sharks, rays, skates</x:v>
      </x:c>
      <x:c r="G17" s="24" t="str">
        <x:v>Large sharks (&gt;=90 cm)</x:v>
      </x:c>
      <x:c r="H17" s="24" t="str">
        <x:v>Sharks &amp; rays</x:v>
      </x:c>
      <x:c r="I17" s="31" t="n">
        <x:v>0.0001093427</x:v>
      </x:c>
      <x:c r="J17" s="31" t="n">
        <x:v>0</x:v>
      </x:c>
      <x:c r="K17" s="31" t="n">
        <x:v>0.0001093427</x:v>
      </x:c>
      <x:c r="L17" s="31" t="n">
        <x:v>0</x:v>
      </x:c>
      <x:c r="M17" s="31" t="n">
        <x:v>0.0001093427</x:v>
      </x:c>
      <x:c r="N17" s="24" t="str">
        <x:v>elasmobranchii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Elasmobranchii</x:v>
      </x:c>
      <x:c r="T17" s="32" t="n">
        <x:f>IF(O17="","",(1/'Metadata'!$B$5)^(O17-1))</x:f>
        <x:v>1122.018454301963</x:v>
      </x:c>
      <x:c r="U17" s="31" t="n">
        <x:f>IF(T17="","",I17*T17)</x:f>
        <x:v>0.12268452724320325</x:v>
      </x:c>
    </x:row>
    <x:row r="18" ht="18" customHeight="1">
      <x:c r="A18" s="24" t="str">
        <x:v>LME_066</x:v>
      </x:c>
      <x:c r="B18" s="24" t="str">
        <x:v>Canadian High Arctic - North Greenland</x:v>
      </x:c>
      <x:c r="C18" s="24" t="str">
        <x:v>LME</x:v>
      </x:c>
      <x:c r="D18" s="30" t="n">
        <x:v>2019</x:v>
      </x:c>
      <x:c r="E18" s="24" t="str">
        <x:v>Gadidae</x:v>
      </x:c>
      <x:c r="F18" s="24" t="str">
        <x:v>Cods, haddocks</x:v>
      </x:c>
      <x:c r="G18" s="24" t="str">
        <x:v>Medium demersals (30 - 89 cm)</x:v>
      </x:c>
      <x:c r="H18" s="24" t="str">
        <x:v>Cod-likes</x:v>
      </x:c>
      <x:c r="I18" s="31" t="n">
        <x:v>0.0000800172</x:v>
      </x:c>
      <x:c r="J18" s="31" t="n">
        <x:v>0</x:v>
      </x:c>
      <x:c r="K18" s="31" t="n">
        <x:v>0.0000800172</x:v>
      </x:c>
      <x:c r="L18" s="31" t="n">
        <x:v>0</x:v>
      </x:c>
      <x:c r="M18" s="31" t="n">
        <x:v>0.0000800172</x:v>
      </x:c>
      <x:c r="N18" s="24" t="str">
        <x:v>gadidae</x:v>
      </x:c>
      <x:c r="O18" s="32" t="n">
        <x:v>3.84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Gadidae</x:v>
      </x:c>
      <x:c r="T18" s="32" t="n">
        <x:f>IF(O18="","",(1/'Metadata'!$B$5)^(O18-1))</x:f>
        <x:v>691.8309709189363</x:v>
      </x:c>
      <x:c r="U18" s="31" t="n">
        <x:f>IF(T18="","",I18*T18)</x:f>
        <x:v>0.05535837716621471</x:v>
      </x:c>
    </x:row>
    <x:row r="19" ht="18" customHeight="1">
      <x:c r="A19" s="24" t="str">
        <x:v>LME_066</x:v>
      </x:c>
      <x:c r="B19" s="24" t="str">
        <x:v>Canadian High Arctic - North Greenland</x:v>
      </x:c>
      <x:c r="C19" s="24" t="str">
        <x:v>LME</x:v>
      </x:c>
      <x:c r="D19" s="30" t="n">
        <x:v>2019</x:v>
      </x:c>
      <x:c r="E19" s="24" t="str">
        <x:v>Sebastes mentella</x:v>
      </x:c>
      <x:c r="F19" s="24" t="str">
        <x:v>Beaked redfish</x:v>
      </x:c>
      <x:c r="G19" s="24" t="str">
        <x:v>Medium bathypelagics (30 - 89 cm)</x:v>
      </x:c>
      <x:c r="H19" s="24" t="str">
        <x:v>Scorpionfishes</x:v>
      </x:c>
      <x:c r="I19" s="31" t="n">
        <x:v>0.0000578618</x:v>
      </x:c>
      <x:c r="J19" s="31" t="n">
        <x:v>0</x:v>
      </x:c>
      <x:c r="K19" s="31" t="n">
        <x:v>0.0000578618</x:v>
      </x:c>
      <x:c r="L19" s="31" t="n">
        <x:v>0</x:v>
      </x:c>
      <x:c r="M19" s="31" t="n">
        <x:v>0.0000578618</x:v>
      </x:c>
      <x:c r="N19" s="24" t="str">
        <x:v>sebastes mentella</x:v>
      </x:c>
      <x:c r="O19" s="32" t="n">
        <x:v>3.65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Sebastes mentella</x:v>
      </x:c>
      <x:c r="T19" s="32" t="n">
        <x:f>IF(O19="","",(1/'Metadata'!$B$5)^(O19-1))</x:f>
        <x:v>446.683592150963</x:v>
      </x:c>
      <x:c r="U19" s="31" t="n">
        <x:f>IF(T19="","",I19*T19)</x:f>
        <x:v>0.02584591667232059</x:v>
      </x:c>
    </x:row>
    <x:row r="20" ht="18" customHeight="1">
      <x:c r="A20" s="24" t="str">
        <x:v>LME_066</x:v>
      </x:c>
      <x:c r="B20" s="24" t="str">
        <x:v>Canadian High Arctic - North Greenland</x:v>
      </x:c>
      <x:c r="C20" s="24" t="str">
        <x:v>LME</x:v>
      </x:c>
      <x:c r="D20" s="30" t="n">
        <x:v>2019</x:v>
      </x:c>
      <x:c r="E20" s="24" t="str">
        <x:v>Scorpaeniformes</x:v>
      </x:c>
      <x:c r="F20" s="24" t="str">
        <x:v>Scorpionfishes, flatheads</x:v>
      </x:c>
      <x:c r="G20" s="24" t="str">
        <x:v>Medium demersals (30 - 89 cm)</x:v>
      </x:c>
      <x:c r="H20" s="24" t="str">
        <x:v>Scorpionfishes</x:v>
      </x:c>
      <x:c r="I20" s="31" t="n">
        <x:v>0.0000171512</x:v>
      </x:c>
      <x:c r="J20" s="31" t="n">
        <x:v>0</x:v>
      </x:c>
      <x:c r="K20" s="31" t="n">
        <x:v>0.0000171512</x:v>
      </x:c>
      <x:c r="L20" s="31" t="n">
        <x:v>0</x:v>
      </x:c>
      <x:c r="M20" s="31" t="n">
        <x:v>0.0000171512</x:v>
      </x:c>
      <x:c r="N20" s="24" t="str">
        <x:v>scorpaeniformes</x:v>
      </x:c>
      <x:c r="O20" s="32" t="n">
        <x:v>3.78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Scorpaeniformes</x:v>
      </x:c>
      <x:c r="T20" s="32" t="n">
        <x:f>IF(O20="","",(1/'Metadata'!$B$5)^(O20-1))</x:f>
        <x:v>602.5595860743575</x:v>
      </x:c>
      <x:c r="U20" s="31" t="n">
        <x:f>IF(T20="","",I20*T20)</x:f>
        <x:v>0.01033461997267852</x:v>
      </x:c>
    </x:row>
    <x:row r="21" ht="18" customHeight="1">
      <x:c r="A21" s="24" t="str">
        <x:v>LME_066</x:v>
      </x:c>
      <x:c r="B21" s="24" t="str">
        <x:v>Canadian High Arctic - North Greenland</x:v>
      </x:c>
      <x:c r="C21" s="24" t="str">
        <x:v>LME</x:v>
      </x:c>
      <x:c r="D21" s="30" t="n">
        <x:v>2019</x:v>
      </x:c>
      <x:c r="E21" s="24" t="str">
        <x:v>Echinoidea</x:v>
      </x:c>
      <x:c r="F21" s="24" t="str">
        <x:v>Sea urchins, sea hedgehogs</x:v>
      </x:c>
      <x:c r="G21" s="24" t="str">
        <x:v>Other demersal invertebrates</x:v>
      </x:c>
      <x:c r="H21" s="24" t="str">
        <x:v>Other fishes &amp; inverts</x:v>
      </x:c>
      <x:c r="I21" s="31" t="n">
        <x:v>0.0000149913</x:v>
      </x:c>
      <x:c r="J21" s="31" t="n">
        <x:v>0</x:v>
      </x:c>
      <x:c r="K21" s="31" t="n">
        <x:v>0.0000149913</x:v>
      </x:c>
      <x:c r="L21" s="31" t="n">
        <x:v>0</x:v>
      </x:c>
      <x:c r="M21" s="31" t="n">
        <x:v>0.0000149913</x:v>
      </x:c>
      <x:c r="N21" s="24" t="str">
        <x:v>echinoidea</x:v>
      </x:c>
      <x:c r="O21" s="32" t="n">
        <x:v>2.51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Echinoidea</x:v>
      </x:c>
      <x:c r="T21" s="32" t="n">
        <x:f>IF(O21="","",(1/'Metadata'!$B$5)^(O21-1))</x:f>
        <x:v>32.35936569296281</x:v>
      </x:c>
      <x:c r="U21" s="31" t="n">
        <x:f>IF(T21="","",I21*T21)</x:f>
        <x:v>0.00048510895891291337</x:v>
      </x:c>
    </x:row>
    <x:row r="22" ht="18" customHeight="1">
      <x:c r="A22" s="24" t="str">
        <x:v>LME_066</x:v>
      </x:c>
      <x:c r="B22" s="24" t="str">
        <x:v>Canadian High Arctic - North Greenland</x:v>
      </x:c>
      <x:c r="C22" s="24" t="str">
        <x:v>LME</x:v>
      </x:c>
      <x:c r="D22" s="30" t="n">
        <x:v>2019</x:v>
      </x:c>
      <x:c r="E22" s="24" t="str">
        <x:v>Rajidae</x:v>
      </x:c>
      <x:c r="F22" s="24" t="str">
        <x:v>Stingrays</x:v>
      </x:c>
      <x:c r="G22" s="24" t="str">
        <x:v>Large rays (&gt;=90 cm)</x:v>
      </x:c>
      <x:c r="H22" s="24" t="str">
        <x:v>Sharks &amp; rays</x:v>
      </x:c>
      <x:c r="I22" s="31" t="n">
        <x:v>9.892e-7</x:v>
      </x:c>
      <x:c r="J22" s="31" t="n">
        <x:v>0</x:v>
      </x:c>
      <x:c r="K22" s="31" t="n">
        <x:v>9.892e-7</x:v>
      </x:c>
      <x:c r="L22" s="31" t="n">
        <x:v>0</x:v>
      </x:c>
      <x:c r="M22" s="31" t="n">
        <x:v>9.892e-7</x:v>
      </x:c>
      <x:c r="N22" s="24" t="str">
        <x:v>rajidae</x:v>
      </x:c>
      <x:c r="O22" s="32" t="n">
        <x:v>3.82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Rajidae</x:v>
      </x:c>
      <x:c r="T22" s="32" t="n">
        <x:f>IF(O22="","",(1/'Metadata'!$B$5)^(O22-1))</x:f>
        <x:v>660.6934480075957</x:v>
      </x:c>
      <x:c r="U22" s="31" t="n">
        <x:f>IF(T22="","",I22*T22)</x:f>
        <x:v>0.0006535579587691137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e3f1fea79d44de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0.0000800172</x:v>
      </x:c>
      <x:c r="C2" s="32" t="n">
        <x:v>3.8400000000000003</x:v>
      </x:c>
      <x:c r="D2" s="32" t="n">
        <x:f>IF(C2="","",(1/'Metadata'!$B$5)^(C2-1))</x:f>
        <x:v>691.8309709189369</x:v>
      </x:c>
      <x:c r="E2" s="31" t="n">
        <x:f>IF(B2=0,"",B2*D2)</x:f>
        <x:v>0.055358377166214764</x:v>
      </x:c>
    </x:row>
    <x:row r="3" ht="18" customHeight="1">
      <x:c r="A3" s="24" t="str">
        <x:v>Crustaceans</x:v>
      </x:c>
      <x:c r="B3" s="31" t="n">
        <x:v>0.0052418418</x:v>
      </x:c>
      <x:c r="C3" s="32" t="n">
        <x:v>2.3242757860414636</x:v>
      </x:c>
      <x:c r="D3" s="32" t="n">
        <x:f>IF(C3="","",(1/'Metadata'!$B$5)^(C3-1))</x:f>
        <x:v>21.09967597970546</x:v>
      </x:c>
      <x:c r="E3" s="31" t="n">
        <x:f>IF(B3=0,"",B3*D3)</x:f>
        <x:v>0.11060116351687603</x:v>
      </x:c>
    </x:row>
    <x:row r="4" ht="18" customHeight="1">
      <x:c r="A4" s="24" t="str">
        <x:v>Molluscs</x:v>
      </x:c>
      <x:c r="B4" s="31" t="n">
        <x:v>0.0041846633000000005</x:v>
      </x:c>
      <x:c r="C4" s="32" t="n">
        <x:v>2.4874972258819485</x:v>
      </x:c>
      <x:c r="D4" s="32" t="n">
        <x:f>IF(C4="","",(1/'Metadata'!$B$5)^(C4-1))</x:f>
        <x:v>30.725377389309784</x:v>
      </x:c>
      <x:c r="E4" s="31" t="n">
        <x:f>IF(B4=0,"",B4*D4)</x:f>
        <x:v>0.12857535913969448</x:v>
      </x:c>
    </x:row>
    <x:row r="5" ht="18" customHeight="1">
      <x:c r="A5" s="24" t="str">
        <x:v>Other fishes &amp; inverts</x:v>
      </x:c>
      <x:c r="B5" s="31" t="n">
        <x:v>53.2939986254</x:v>
      </x:c>
      <x:c r="C5" s="32" t="n">
        <x:v>3.27998988936524</x:v>
      </x:c>
      <x:c r="D5" s="32" t="n">
        <x:f>IF(C5="","",(1/'Metadata'!$B$5)^(C5-1))</x:f>
        <x:v>190.54163582167666</x:v>
      </x:c>
      <x:c r="E5" s="31" t="n">
        <x:f>IF(B5=0,"",B5*D5)</x:f>
        <x:v>10154.725677561904</x:v>
      </x:c>
    </x:row>
    <x:row r="6" ht="18" customHeight="1">
      <x:c r="A6" s="24" t="str">
        <x:v>Perch-likes</x:v>
      </x:c>
      <x:c r="B6" s="31" t="n">
        <x:v>0.08363277170000001</x:v>
      </x:c>
      <x:c r="C6" s="32" t="n">
        <x:v>3.4542181488168953</x:v>
      </x:c>
      <x:c r="D6" s="32" t="n">
        <x:f>IF(C6="","",(1/'Metadata'!$B$5)^(C6-1))</x:f>
        <x:v>284.5890256842467</x:v>
      </x:c>
      <x:c r="E6" s="31" t="n">
        <x:f>IF(B6=0,"",B6*D6)</x:f>
        <x:v>23.80096901337604</x:v>
      </x:c>
    </x:row>
    <x:row r="7" ht="18" customHeight="1">
      <x:c r="A7" s="24" t="str">
        <x:v>Salmon, smelts, etc</x:v>
      </x:c>
      <x:c r="B7" s="31" t="n">
        <x:v>0.1267809772</x:v>
      </x:c>
      <x:c r="C7" s="32" t="n">
        <x:v>4.39</x:v>
      </x:c>
      <x:c r="D7" s="32" t="n">
        <x:f>IF(C7="","",(1/'Metadata'!$B$5)^(C7-1))</x:f>
        <x:v>2454.7089156850284</x:v>
      </x:c>
      <x:c r="E7" s="31" t="n">
        <x:f>IF(B7=0,"",B7*D7)</x:f>
        <x:v>311.2103950721003</x:v>
      </x:c>
    </x:row>
    <x:row r="8" ht="18" customHeight="1">
      <x:c r="A8" s="24" t="str">
        <x:v>Scorpionfishes</x:v>
      </x:c>
      <x:c r="B8" s="31" t="n">
        <x:v>0.0477826447</x:v>
      </x:c>
      <x:c r="C8" s="32" t="n">
        <x:v>3.7236509884309514</x:v>
      </x:c>
      <x:c r="D8" s="32" t="n">
        <x:f>IF(C8="","",(1/'Metadata'!$B$5)^(C8-1))</x:f>
        <x:v>529.2379620623118</x:v>
      </x:c>
      <x:c r="E8" s="31" t="n">
        <x:f>IF(B8=0,"",B8*D8)</x:f>
        <x:v>25.288389502975523</x:v>
      </x:c>
    </x:row>
    <x:row r="9" ht="18" customHeight="1">
      <x:c r="A9" s="24" t="str">
        <x:v>Sharks &amp; rays</x:v>
      </x:c>
      <x:c r="B9" s="31" t="n">
        <x:v>0.0302325426</x:v>
      </x:c>
      <x:c r="C9" s="32" t="n">
        <x:v>4.219372069387243</x:v>
      </x:c>
      <x:c r="D9" s="32" t="n">
        <x:f>IF(C9="","",(1/'Metadata'!$B$5)^(C9-1))</x:f>
        <x:v>1657.1891048891134</x:v>
      </x:c>
      <x:c r="E9" s="31" t="n">
        <x:f>IF(B9=0,"",B9*D9)</x:f>
        <x:v>50.101040209815984</x:v>
      </x:c>
    </x:row>
  </x:sheetData>
  <x:pageMargins left="0.7" right="0.7" top="0.75" bottom="0.75" header="0.3" footer="0.3"/>
  <x:tableParts count="1">
    <x:tablePart xmlns:r="http://schemas.openxmlformats.org/officeDocument/2006/relationships" r:id="R7aa91a1bf3f641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demersals (&gt;=90 cm)</x:v>
      </x:c>
      <x:c r="B2" s="31" t="n">
        <x:v>0.083048248</x:v>
      </x:c>
      <x:c r="C2" s="32" t="n">
        <x:v>3.45530359209986</x:v>
      </x:c>
      <x:c r="D2" s="32" t="n">
        <x:f>IF(C2="","",(1/'Metadata'!$B$5)^(C2-1))</x:f>
        <x:v>285.3011959014824</x:v>
      </x:c>
      <x:c r="E2" s="31" t="n">
        <x:f>IF(B2=0,"",B2*D2)</x:f>
        <x:v>23.693764471922897</x:v>
      </x:c>
    </x:row>
    <x:row r="3" ht="18" customHeight="1">
      <x:c r="A3" s="24" t="str">
        <x:v>Large rays (&gt;=90 cm)</x:v>
      </x:c>
      <x:c r="B3" s="31" t="n">
        <x:v>9.892e-7</x:v>
      </x:c>
      <x:c r="C3" s="32" t="n">
        <x:v>3.82</x:v>
      </x:c>
      <x:c r="D3" s="32" t="n">
        <x:f>IF(C3="","",(1/'Metadata'!$B$5)^(C3-1))</x:f>
        <x:v>660.6934480075957</x:v>
      </x:c>
      <x:c r="E3" s="31" t="n">
        <x:f>IF(B3=0,"",B3*D3)</x:f>
        <x:v>0.0006535579587691137</x:v>
      </x:c>
    </x:row>
    <x:row r="4" ht="18" customHeight="1">
      <x:c r="A4" s="24" t="str">
        <x:v>Large reef assoc. fish (&gt;=90 cm)</x:v>
      </x:c>
      <x:c r="B4" s="31" t="n">
        <x:v>0.047707631699999996</x:v>
      </x:c>
      <x:c r="C4" s="32" t="n">
        <x:v>3.723720057581479</x:v>
      </x:c>
      <x:c r="D4" s="32" t="n">
        <x:f>IF(C4="","",(1/'Metadata'!$B$5)^(C4-1))</x:f>
        <x:v>529.3221374890679</x:v>
      </x:c>
      <x:c r="E4" s="31" t="n">
        <x:f>IF(B4=0,"",B4*D4)</x:f>
        <x:v>25.252705585985215</x:v>
      </x:c>
    </x:row>
    <x:row r="5" ht="18" customHeight="1">
      <x:c r="A5" s="24" t="str">
        <x:v>Large sharks (&gt;=90 cm)</x:v>
      </x:c>
      <x:c r="B5" s="31" t="n">
        <x:v>0.0302315534</x:v>
      </x:c>
      <x:c r="C5" s="32" t="n">
        <x:v>4.21938513715276</x:v>
      </x:c>
      <x:c r="D5" s="32" t="n">
        <x:f>IF(C5="","",(1/'Metadata'!$B$5)^(C5-1))</x:f>
        <x:v>1657.2389698663405</x:v>
      </x:c>
      <x:c r="E5" s="31" t="n">
        <x:f>IF(B5=0,"",B5*D5)</x:f>
        <x:v>50.10090841407526</x:v>
      </x:c>
    </x:row>
    <x:row r="6" ht="18" customHeight="1">
      <x:c r="A6" s="24" t="str">
        <x:v>Lobsters, crabs</x:v>
      </x:c>
      <x:c r="B6" s="31" t="n">
        <x:v>0.0052418418</x:v>
      </x:c>
      <x:c r="C6" s="32" t="n">
        <x:v>2.3242757860414636</x:v>
      </x:c>
      <x:c r="D6" s="32" t="n">
        <x:f>IF(C6="","",(1/'Metadata'!$B$5)^(C6-1))</x:f>
        <x:v>21.09967597970546</x:v>
      </x:c>
      <x:c r="E6" s="31" t="n">
        <x:f>IF(B6=0,"",B6*D6)</x:f>
        <x:v>0.11060116351687603</x:v>
      </x:c>
    </x:row>
    <x:row r="7" ht="18" customHeight="1">
      <x:c r="A7" s="24" t="str">
        <x:v>Medium bathydemersals (30 - 89 cm)</x:v>
      </x:c>
      <x:c r="B7" s="31" t="n">
        <x:v>0.0005845237</x:v>
      </x:c>
      <x:c r="C7" s="32" t="n">
        <x:v>3.3</x:v>
      </x:c>
      <x:c r="D7" s="32" t="n">
        <x:f>IF(C7="","",(1/'Metadata'!$B$5)^(C7-1))</x:f>
        <x:v>199.52623149688787</x:v>
      </x:c>
      <x:c r="E7" s="31" t="n">
        <x:f>IF(B7=0,"",B7*D7)</x:f>
        <x:v>0.11662781108161745</x:v>
      </x:c>
    </x:row>
    <x:row r="8" ht="18" customHeight="1">
      <x:c r="A8" s="24" t="str">
        <x:v>Medium bathypelagics (30 - 89 cm)</x:v>
      </x:c>
      <x:c r="B8" s="31" t="n">
        <x:v>0.0000578618</x:v>
      </x:c>
      <x:c r="C8" s="32" t="n">
        <x:v>3.65</x:v>
      </x:c>
      <x:c r="D8" s="32" t="n">
        <x:f>IF(C8="","",(1/'Metadata'!$B$5)^(C8-1))</x:f>
        <x:v>446.683592150963</x:v>
      </x:c>
      <x:c r="E8" s="31" t="n">
        <x:f>IF(B8=0,"",B8*D8)</x:f>
        <x:v>0.02584591667232059</x:v>
      </x:c>
    </x:row>
    <x:row r="9" ht="18" customHeight="1">
      <x:c r="A9" s="24" t="str">
        <x:v>Medium benthopelagics (30 - 89 cm)</x:v>
      </x:c>
      <x:c r="B9" s="31" t="n">
        <x:v>0.1267809772</x:v>
      </x:c>
      <x:c r="C9" s="32" t="n">
        <x:v>4.39</x:v>
      </x:c>
      <x:c r="D9" s="32" t="n">
        <x:f>IF(C9="","",(1/'Metadata'!$B$5)^(C9-1))</x:f>
        <x:v>2454.7089156850284</x:v>
      </x:c>
      <x:c r="E9" s="31" t="n">
        <x:f>IF(B9=0,"",B9*D9)</x:f>
        <x:v>311.2103950721003</x:v>
      </x:c>
    </x:row>
    <x:row r="10" ht="18" customHeight="1">
      <x:c r="A10" s="24" t="str">
        <x:v>Medium demersals (30 - 89 cm)</x:v>
      </x:c>
      <x:c r="B10" s="31" t="n">
        <x:v>53.2935139927</x:v>
      </x:c>
      <x:c r="C10" s="32" t="n">
        <x:v>3.2800010017209975</x:v>
      </x:c>
      <x:c r="D10" s="32" t="n">
        <x:f>IF(C10="","",(1/'Metadata'!$B$5)^(C10-1))</x:f>
        <x:v>190.5465113004612</x:v>
      </x:c>
      <x:c r="E10" s="31" t="n">
        <x:f>IF(B10=0,"",B10*D10)</x:f>
        <x:v>10154.893166251297</x:v>
      </x:c>
    </x:row>
    <x:row r="11" ht="18" customHeight="1">
      <x:c r="A11" s="24" t="str">
        <x:v>Other demersal invertebrates</x:v>
      </x:c>
      <x:c r="B11" s="31" t="n">
        <x:v>0.004766464400000001</x:v>
      </x:c>
      <x:c r="C11" s="32" t="n">
        <x:v>2.471183840794027</x:v>
      </x:c>
      <x:c r="D11" s="32" t="n">
        <x:f>IF(C11="","",(1/'Metadata'!$B$5)^(C11-1))</x:f>
        <x:v>29.59264885124538</x:v>
      </x:c>
      <x:c r="E11" s="31" t="n">
        <x:f>IF(B11=0,"",B11*D11)</x:f>
        <x:v>0.14105230725116202</x:v>
      </x:c>
    </x:row>
  </x:sheetData>
  <x:pageMargins left="0.7" right="0.7" top="0.75" bottom="0.75" header="0.3" footer="0.3"/>
  <x:tableParts count="1">
    <x:tablePart xmlns:r="http://schemas.openxmlformats.org/officeDocument/2006/relationships" r:id="Rb7fd4fa6075d44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LME_066</x:v>
      </x:c>
      <x:c r="B2" s="24" t="str">
        <x:v>raw_filtered_tonnes</x:v>
      </x:c>
      <x:c r="C2" s="24" t="n">
        <x:v>53.591934083899986</x:v>
      </x:c>
      <x:c r="D2" s="24" t="str">
        <x:v>tonnes</x:v>
      </x:c>
    </x:row>
    <x:row r="3" ht="18" customHeight="1">
      <x:c r="A3" s="24" t="str">
        <x:v>LME_066</x:v>
      </x:c>
      <x:c r="B3" s="24" t="str">
        <x:v>species_catch_tonnes</x:v>
      </x:c>
      <x:c r="C3" s="24" t="n">
        <x:v>53.5919340839</x:v>
      </x:c>
      <x:c r="D3" s="24" t="str">
        <x:v>tonnes</x:v>
      </x:c>
    </x:row>
    <x:row r="4" ht="18" customHeight="1">
      <x:c r="A4" s="24" t="str">
        <x:v>LME_066</x:v>
      </x:c>
      <x:c r="B4" s="24" t="str">
        <x:v>catch_difference_tonnes</x:v>
      </x:c>
      <x:c r="C4" s="24" t="n">
        <x:v>1.4210854715202004e-14</x:v>
      </x:c>
      <x:c r="D4" s="24" t="str">
        <x:v>tonnes</x:v>
      </x:c>
    </x:row>
    <x:row r="5" ht="18" customHeight="1">
      <x:c r="A5" s="24" t="str">
        <x:v>LME_066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LME_066</x:v>
      </x:c>
      <x:c r="B6" s="24" t="str">
        <x:v>matched_catch_tonnes</x:v>
      </x:c>
      <x:c r="C6" s="24" t="n">
        <x:v>53.5919340839</x:v>
      </x:c>
      <x:c r="D6" s="24" t="str">
        <x:v>tonnes</x:v>
      </x:c>
    </x:row>
    <x:row r="7" ht="18" customHeight="1">
      <x:c r="A7" s="24" t="str">
        <x:v>LME_066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LME_066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LME_066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LME_066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LME_066</x:v>
      </x:c>
      <x:c r="B11" s="24" t="str">
        <x:v>species_ppr</x:v>
      </x:c>
      <x:c r="C11" s="24" t="n">
        <x:v>10566.207059943801</x:v>
      </x:c>
      <x:c r="D11" s="24" t="str">
        <x:v>tonnes_primary_production_equivalent</x:v>
      </x:c>
    </x:row>
    <x:row r="12" ht="18" customHeight="1">
      <x:c r="A12" s="24" t="str">
        <x:v>LME_066</x:v>
      </x:c>
      <x:c r="B12" s="24" t="str">
        <x:v>commercial_ppr</x:v>
      </x:c>
      <x:c r="C12" s="24" t="n">
        <x:v>10565.421006259996</x:v>
      </x:c>
      <x:c r="D12" s="24" t="str">
        <x:v>tonnes_primary_production_equivalent</x:v>
      </x:c>
    </x:row>
    <x:row r="13" ht="18" customHeight="1">
      <x:c r="A13" s="24" t="str">
        <x:v>LME_066</x:v>
      </x:c>
      <x:c r="B13" s="24" t="str">
        <x:v>functional_ppr</x:v>
      </x:c>
      <x:c r="C13" s="24" t="n">
        <x:v>10565.545720551861</x:v>
      </x:c>
      <x:c r="D13" s="24" t="str">
        <x:v>tonnes_primary_production_equivalent</x:v>
      </x:c>
    </x:row>
    <x:row r="14" ht="18" customHeight="1">
      <x:c r="A14" s="24" t="str">
        <x:v>LME_066</x:v>
      </x:c>
      <x:c r="B14" s="24" t="str">
        <x:v>commercial_ppr_difference</x:v>
      </x:c>
      <x:c r="C14" s="24" t="n">
        <x:v>-0.7860536838052212</x:v>
      </x:c>
      <x:c r="D14" s="24" t="str">
        <x:v>tonnes_primary_production_equivalent</x:v>
      </x:c>
    </x:row>
    <x:row r="15" ht="18" customHeight="1">
      <x:c r="A15" s="24" t="str">
        <x:v>LME_066</x:v>
      </x:c>
      <x:c r="B15" s="24" t="str">
        <x:v>functional_ppr_difference</x:v>
      </x:c>
      <x:c r="C15" s="24" t="n">
        <x:v>-0.6613393919396913</x:v>
      </x:c>
      <x:c r="D15" s="24" t="str">
        <x:v>tonnes_primary_production_equivalent</x:v>
      </x:c>
    </x:row>
    <x:row r="16" ht="18" customHeight="1">
      <x:c r="A16" s="24" t="str">
        <x:v>LME_066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e60e9dcb47248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LME_066 - Canadian High Arctic - North Greenland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