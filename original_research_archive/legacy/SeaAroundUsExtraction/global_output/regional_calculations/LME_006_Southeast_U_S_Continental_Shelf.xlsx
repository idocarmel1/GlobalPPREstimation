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9dbca7814d43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c6d7578fe7b846ed"/>
    <x:sheet xmlns:r="http://schemas.openxmlformats.org/officeDocument/2006/relationships" name="Commercial" sheetId="2" r:id="R33979b8f719c442a"/>
    <x:sheet xmlns:r="http://schemas.openxmlformats.org/officeDocument/2006/relationships" name="Functional" sheetId="3" r:id="R0c2027a7ab1046a5"/>
    <x:sheet xmlns:r="http://schemas.openxmlformats.org/officeDocument/2006/relationships" name="Missing TL" sheetId="4" r:id="R1e89bfe63e04419c"/>
    <x:sheet xmlns:r="http://schemas.openxmlformats.org/officeDocument/2006/relationships" name="Validation" sheetId="5" r:id="R92f5910ac261462a"/>
    <x:sheet xmlns:r="http://schemas.openxmlformats.org/officeDocument/2006/relationships" name="Metadata" sheetId="6" r:id="Rc75f8053e83b4f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0648e90a3743ac" /><Relationship Type="http://schemas.openxmlformats.org/officeDocument/2006/relationships/theme" Target="/xl/theme/theme1.xml" Id="R947a6b3a5db34874" /><Relationship Type="http://schemas.microsoft.com/office/2022/11/relationships/FeaturePropertyBag" Target="/xl/featurePropertyBag/featurePropertyBag.xml" Id="R9398ccd5118c4d23" /><Relationship Type="http://schemas.openxmlformats.org/officeDocument/2006/relationships/sharedStrings" Target="/xl/sharedStrings.xml" Id="R89b09f07643247a3" /><Relationship Type="http://schemas.openxmlformats.org/officeDocument/2006/relationships/worksheet" Target="/xl/worksheets/sheet1.xml" Id="Rc6d7578fe7b846ed" /><Relationship Type="http://schemas.openxmlformats.org/officeDocument/2006/relationships/worksheet" Target="/xl/worksheets/sheet2.xml" Id="R33979b8f719c442a" /><Relationship Type="http://schemas.openxmlformats.org/officeDocument/2006/relationships/worksheet" Target="/xl/worksheets/sheet3.xml" Id="R0c2027a7ab1046a5" /><Relationship Type="http://schemas.openxmlformats.org/officeDocument/2006/relationships/worksheet" Target="/xl/worksheets/sheet4.xml" Id="R1e89bfe63e04419c" /><Relationship Type="http://schemas.openxmlformats.org/officeDocument/2006/relationships/worksheet" Target="/xl/worksheets/sheet5.xml" Id="R92f5910ac261462a" /><Relationship Type="http://schemas.openxmlformats.org/officeDocument/2006/relationships/worksheet" Target="/xl/worksheets/sheet6.xml" Id="Rc75f8053e83b4f8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LME006SpeciesTable" displayName="LME006SpeciesTable" ref="A1:U284" headerRowCount="1" totalsRowCount="0" totalsRowShown="0">
  <x:autoFilter ref="A1:U284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06CommercialTable" displayName="LME006CommercialTable" ref="A1:E12" headerRowCount="1" totalsRowCount="0" totalsRowShown="0">
  <x:autoFilter ref="A1:E12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06FunctionalTable" displayName="LME006FunctionalTable" ref="A1:E25" headerRowCount="1" totalsRowCount="0" totalsRowShown="0">
  <x:autoFilter ref="A1:E25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06ValidationTable" displayName="LME006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b131663c9fd4de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5f5c8c391f7458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26fd897642e4f0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ede93ed7d66405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LME_006</x:v>
      </x:c>
      <x:c r="B2" s="24" t="str">
        <x:v>Southeast U.S. Continental Shelf</x:v>
      </x:c>
      <x:c r="C2" s="24" t="str">
        <x:v>LME</x:v>
      </x:c>
      <x:c r="D2" s="30" t="n">
        <x:v>2019</x:v>
      </x:c>
      <x:c r="E2" s="24" t="str">
        <x:v>Callinectes sapidus</x:v>
      </x:c>
      <x:c r="F2" s="24" t="str">
        <x:v>Blue crab</x:v>
      </x:c>
      <x:c r="G2" s="24" t="str">
        <x:v>Lobsters, crabs</x:v>
      </x:c>
      <x:c r="H2" s="24" t="str">
        <x:v>Crustaceans</x:v>
      </x:c>
      <x:c r="I2" s="31" t="n">
        <x:v>13068.497847545601</x:v>
      </x:c>
      <x:c r="J2" s="31" t="n">
        <x:v>12799.3054948842</x:v>
      </x:c>
      <x:c r="K2" s="31" t="n">
        <x:v>269.1923526614</x:v>
      </x:c>
      <x:c r="L2" s="31" t="n">
        <x:v>12733.397909651201</x:v>
      </x:c>
      <x:c r="M2" s="31" t="n">
        <x:v>335.0999378944</x:v>
      </x:c>
      <x:c r="N2" s="24" t="str">
        <x:v>callinectes sapidus</x:v>
      </x:c>
      <x:c r="O2" s="32" t="n">
        <x:v>4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Callinectes sapidus</x:v>
      </x:c>
      <x:c r="T2" s="32" t="n">
        <x:f>IF(O2="","",(1/'Metadata'!$B$5)^(O2-1))</x:f>
        <x:v>1000</x:v>
      </x:c>
      <x:c r="U2" s="31" t="n">
        <x:f>IF(T2="","",I2*T2)</x:f>
        <x:v>13068497.847545601</x:v>
      </x:c>
    </x:row>
    <x:row r="3" ht="18" customHeight="1">
      <x:c r="A3" s="24" t="str">
        <x:v>LME_006</x:v>
      </x:c>
      <x:c r="B3" s="24" t="str">
        <x:v>Southeast U.S. Continental Shelf</x:v>
      </x:c>
      <x:c r="C3" s="24" t="str">
        <x:v>LME</x:v>
      </x:c>
      <x:c r="D3" s="30" t="n">
        <x:v>2019</x:v>
      </x:c>
      <x:c r="E3" s="24" t="str">
        <x:v>Marine fishes not identified</x:v>
      </x:c>
      <x:c r="F3" s="24" t="str">
        <x:v>Marine fishes nei</x:v>
      </x:c>
      <x:c r="G3" s="24" t="str">
        <x:v>Medium demersals (30 - 89 cm)</x:v>
      </x:c>
      <x:c r="H3" s="24" t="str">
        <x:v>Other fishes &amp; inverts</x:v>
      </x:c>
      <x:c r="I3" s="31" t="n">
        <x:v>12785.2245443912</x:v>
      </x:c>
      <x:c r="J3" s="31" t="n">
        <x:v>4766.9698473431</x:v>
      </x:c>
      <x:c r="K3" s="31" t="n">
        <x:v>8018.2546970481</x:v>
      </x:c>
      <x:c r="L3" s="31" t="n">
        <x:v>1094.9261660216</x:v>
      </x:c>
      <x:c r="M3" s="31" t="n">
        <x:v>11690.2983783696</x:v>
      </x:c>
      <x:c r="N3" s="24" t="str">
        <x:v>marine fishes not identified</x:v>
      </x:c>
      <x:c r="O3" s="32" t="n">
        <x:v>3.28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Marine fishes not identified</x:v>
      </x:c>
      <x:c r="T3" s="32" t="n">
        <x:f>IF(O3="","",(1/'Metadata'!$B$5)^(O3-1))</x:f>
        <x:v>190.54607179632464</x:v>
      </x:c>
      <x:c r="U3" s="31" t="n">
        <x:f>IF(T3="","",I3*T3)</x:f>
        <x:v>2436174.3139676973</x:v>
      </x:c>
    </x:row>
    <x:row r="4" ht="18" customHeight="1">
      <x:c r="A4" s="24" t="str">
        <x:v>LME_006</x:v>
      </x:c>
      <x:c r="B4" s="24" t="str">
        <x:v>Southeast U.S. Continental Shelf</x:v>
      </x:c>
      <x:c r="C4" s="24" t="str">
        <x:v>LME</x:v>
      </x:c>
      <x:c r="D4" s="30" t="n">
        <x:v>2019</x:v>
      </x:c>
      <x:c r="E4" s="24" t="str">
        <x:v>Penaeus setiferus</x:v>
      </x:c>
      <x:c r="F4" s="24" t="str">
        <x:v>Northern white shrimp</x:v>
      </x:c>
      <x:c r="G4" s="24" t="str">
        <x:v>Shrimps</x:v>
      </x:c>
      <x:c r="H4" s="24" t="str">
        <x:v>Crustaceans</x:v>
      </x:c>
      <x:c r="I4" s="31" t="n">
        <x:v>8746.0529295211</x:v>
      </x:c>
      <x:c r="J4" s="31" t="n">
        <x:v>8746.0529295211</x:v>
      </x:c>
      <x:c r="K4" s="31" t="n">
        <x:v>0</x:v>
      </x:c>
      <x:c r="L4" s="31" t="n">
        <x:v>8720.6003652011</x:v>
      </x:c>
      <x:c r="M4" s="31" t="n">
        <x:v>25.45256432</x:v>
      </x:c>
      <x:c r="N4" s="24" t="str">
        <x:v>penaeus setiferus</x:v>
      </x:c>
      <x:c r="O4" s="32" t="n">
        <x:v>2.93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Penaeus setiferus</x:v>
      </x:c>
      <x:c r="T4" s="32" t="n">
        <x:f>IF(O4="","",(1/'Metadata'!$B$5)^(O4-1))</x:f>
        <x:v>85.11380382023768</x:v>
      </x:c>
      <x:c r="U4" s="31" t="n">
        <x:f>IF(T4="","",I4*T4)</x:f>
        <x:v>744409.8332446739</x:v>
      </x:c>
    </x:row>
    <x:row r="5" ht="18" customHeight="1">
      <x:c r="A5" s="24" t="str">
        <x:v>LME_006</x:v>
      </x:c>
      <x:c r="B5" s="24" t="str">
        <x:v>Southeast U.S. Continental Shelf</x:v>
      </x:c>
      <x:c r="C5" s="24" t="str">
        <x:v>LME</x:v>
      </x:c>
      <x:c r="D5" s="30" t="n">
        <x:v>2019</x:v>
      </x:c>
      <x:c r="E5" s="24" t="str">
        <x:v>Micropogonias undulatus</x:v>
      </x:c>
      <x:c r="F5" s="24" t="str">
        <x:v>Atlantic croaker</x:v>
      </x:c>
      <x:c r="G5" s="24" t="str">
        <x:v>Medium demersals (30 - 89 cm)</x:v>
      </x:c>
      <x:c r="H5" s="24" t="str">
        <x:v>Perch-likes</x:v>
      </x:c>
      <x:c r="I5" s="31" t="n">
        <x:v>7844.4374430446005</x:v>
      </x:c>
      <x:c r="J5" s="31" t="n">
        <x:v>819.1641124130999</x:v>
      </x:c>
      <x:c r="K5" s="31" t="n">
        <x:v>7025.2733306315</x:v>
      </x:c>
      <x:c r="L5" s="31" t="n">
        <x:v>509.7559350838</x:v>
      </x:c>
      <x:c r="M5" s="31" t="n">
        <x:v>7334.6815079608</x:v>
      </x:c>
      <x:c r="N5" s="24" t="str">
        <x:v>micropogonias undulatus</x:v>
      </x:c>
      <x:c r="O5" s="32" t="n">
        <x:v>3.31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Micropogonias undulatus</x:v>
      </x:c>
      <x:c r="T5" s="32" t="n">
        <x:f>IF(O5="","",(1/'Metadata'!$B$5)^(O5-1))</x:f>
        <x:v>204.17379446695296</x:v>
      </x:c>
      <x:c r="U5" s="31" t="n">
        <x:f>IF(T5="","",I5*T5)</x:f>
        <x:v>1601628.5582050583</x:v>
      </x:c>
    </x:row>
    <x:row r="6" ht="18" customHeight="1">
      <x:c r="A6" s="24" t="str">
        <x:v>LME_006</x:v>
      </x:c>
      <x:c r="B6" s="24" t="str">
        <x:v>Southeast U.S. Continental Shelf</x:v>
      </x:c>
      <x:c r="C6" s="24" t="str">
        <x:v>LME</x:v>
      </x:c>
      <x:c r="D6" s="30" t="n">
        <x:v>2019</x:v>
      </x:c>
      <x:c r="E6" s="24" t="str">
        <x:v>Dendrobranchiata</x:v>
      </x:c>
      <x:c r="F6" s="24" t="str">
        <x:v>Shrimps and prawns</x:v>
      </x:c>
      <x:c r="G6" s="24" t="str">
        <x:v>Shrimps</x:v>
      </x:c>
      <x:c r="H6" s="24" t="str">
        <x:v>Crustaceans</x:v>
      </x:c>
      <x:c r="I6" s="31" t="n">
        <x:v>6108.7644531479</x:v>
      </x:c>
      <x:c r="J6" s="31" t="n">
        <x:v>6108.7644531479</x:v>
      </x:c>
      <x:c r="K6" s="31" t="n">
        <x:v>0</x:v>
      </x:c>
      <x:c r="L6" s="31" t="n">
        <x:v>6108.7644531479</x:v>
      </x:c>
      <x:c r="M6" s="31" t="n">
        <x:v>0</x:v>
      </x:c>
      <x:c r="N6" s="24" t="str">
        <x:v>dendrobranchiata</x:v>
      </x:c>
      <x:c r="O6" s="32" t="n">
        <x:v>3.24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Dendrobranchiata</x:v>
      </x:c>
      <x:c r="T6" s="32" t="n">
        <x:f>IF(O6="","",(1/'Metadata'!$B$5)^(O6-1))</x:f>
        <x:v>173.78008287493762</x:v>
      </x:c>
      <x:c r="U6" s="31" t="n">
        <x:f>IF(T6="","",I6*T6)</x:f>
        <x:v>1061581.592931515</x:v>
      </x:c>
    </x:row>
    <x:row r="7" ht="18" customHeight="1">
      <x:c r="A7" s="24" t="str">
        <x:v>LME_006</x:v>
      </x:c>
      <x:c r="B7" s="24" t="str">
        <x:v>Southeast U.S. Continental Shelf</x:v>
      </x:c>
      <x:c r="C7" s="24" t="str">
        <x:v>LME</x:v>
      </x:c>
      <x:c r="D7" s="30" t="n">
        <x:v>2019</x:v>
      </x:c>
      <x:c r="E7" s="24" t="str">
        <x:v>Scomberomorus cavalla</x:v>
      </x:c>
      <x:c r="F7" s="24" t="str">
        <x:v>King mackerel</x:v>
      </x:c>
      <x:c r="G7" s="24" t="str">
        <x:v>Large pelagics (&gt;=90 cm)</x:v>
      </x:c>
      <x:c r="H7" s="24" t="str">
        <x:v>Perch-likes</x:v>
      </x:c>
      <x:c r="I7" s="31" t="n">
        <x:v>3951.7115324503</x:v>
      </x:c>
      <x:c r="J7" s="31" t="n">
        <x:v>3931.6173269683004</x:v>
      </x:c>
      <x:c r="K7" s="31" t="n">
        <x:v>20.094205482</x:v>
      </x:c>
      <x:c r="L7" s="31" t="n">
        <x:v>1189.885716475</x:v>
      </x:c>
      <x:c r="M7" s="31" t="n">
        <x:v>2761.8258159753004</x:v>
      </x:c>
      <x:c r="N7" s="24" t="str">
        <x:v>scomberomorus cavalla</x:v>
      </x:c>
      <x:c r="O7" s="32" t="n">
        <x:v>4.42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Scomberomorus cavalla</x:v>
      </x:c>
      <x:c r="T7" s="32" t="n">
        <x:f>IF(O7="","",(1/'Metadata'!$B$5)^(O7-1))</x:f>
        <x:v>2630.2679918953813</x:v>
      </x:c>
      <x:c r="U7" s="31" t="n">
        <x:f>IF(T7="","",I7*T7)</x:f>
        <x:v>10394060.35700787</x:v>
      </x:c>
    </x:row>
    <x:row r="8" ht="18" customHeight="1">
      <x:c r="A8" s="24" t="str">
        <x:v>LME_006</x:v>
      </x:c>
      <x:c r="B8" s="24" t="str">
        <x:v>Southeast U.S. Continental Shelf</x:v>
      </x:c>
      <x:c r="C8" s="24" t="str">
        <x:v>LME</x:v>
      </x:c>
      <x:c r="D8" s="30" t="n">
        <x:v>2019</x:v>
      </x:c>
      <x:c r="E8" s="24" t="str">
        <x:v>Pomatomus saltatrix</x:v>
      </x:c>
      <x:c r="F8" s="24" t="str">
        <x:v>Bluefish</x:v>
      </x:c>
      <x:c r="G8" s="24" t="str">
        <x:v>Large pelagics (&gt;=90 cm)</x:v>
      </x:c>
      <x:c r="H8" s="24" t="str">
        <x:v>Perch-likes</x:v>
      </x:c>
      <x:c r="I8" s="31" t="n">
        <x:v>3818.1650451517</x:v>
      </x:c>
      <x:c r="J8" s="31" t="n">
        <x:v>2870.283064776</x:v>
      </x:c>
      <x:c r="K8" s="31" t="n">
        <x:v>947.8819803757</x:v>
      </x:c>
      <x:c r="L8" s="31" t="n">
        <x:v>511.58743662390003</x:v>
      </x:c>
      <x:c r="M8" s="31" t="n">
        <x:v>3306.5776085278003</x:v>
      </x:c>
      <x:c r="N8" s="24" t="str">
        <x:v>pomatomus saltatrix</x:v>
      </x:c>
      <x:c r="O8" s="32" t="n">
        <x:v>4.53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Pomatomus saltatrix</x:v>
      </x:c>
      <x:c r="T8" s="32" t="n">
        <x:f>IF(O8="","",(1/'Metadata'!$B$5)^(O8-1))</x:f>
        <x:v>3388.4415613920273</x:v>
      </x:c>
      <x:c r="U8" s="31" t="n">
        <x:f>IF(T8="","",I8*T8)</x:f>
        <x:v>12937629.127246287</x:v>
      </x:c>
    </x:row>
    <x:row r="9" ht="18" customHeight="1">
      <x:c r="A9" s="24" t="str">
        <x:v>LME_006</x:v>
      </x:c>
      <x:c r="B9" s="24" t="str">
        <x:v>Southeast U.S. Continental Shelf</x:v>
      </x:c>
      <x:c r="C9" s="24" t="str">
        <x:v>LME</x:v>
      </x:c>
      <x:c r="D9" s="30" t="n">
        <x:v>2019</x:v>
      </x:c>
      <x:c r="E9" s="24" t="str">
        <x:v>Leiostomus xanthurus</x:v>
      </x:c>
      <x:c r="F9" s="24" t="str">
        <x:v>Spot croaker</x:v>
      </x:c>
      <x:c r="G9" s="24" t="str">
        <x:v>Medium demersals (30 - 89 cm)</x:v>
      </x:c>
      <x:c r="H9" s="24" t="str">
        <x:v>Perch-likes</x:v>
      </x:c>
      <x:c r="I9" s="31" t="n">
        <x:v>3178.933173341</x:v>
      </x:c>
      <x:c r="J9" s="31" t="n">
        <x:v>846.6705215741</x:v>
      </x:c>
      <x:c r="K9" s="31" t="n">
        <x:v>2332.2626517669</x:v>
      </x:c>
      <x:c r="L9" s="31" t="n">
        <x:v>210.23530342369997</x:v>
      </x:c>
      <x:c r="M9" s="31" t="n">
        <x:v>2968.6978699173</x:v>
      </x:c>
      <x:c r="N9" s="24" t="str">
        <x:v>leiostomus xanthurus</x:v>
      </x:c>
      <x:c r="O9" s="32" t="n">
        <x:v>3.23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Leiostomus xanthurus</x:v>
      </x:c>
      <x:c r="T9" s="32" t="n">
        <x:f>IF(O9="","",(1/'Metadata'!$B$5)^(O9-1))</x:f>
        <x:v>169.82436524617444</x:v>
      </x:c>
      <x:c r="U9" s="31" t="n">
        <x:f>IF(T9="","",I9*T9)</x:f>
        <x:v>539860.3083226423</x:v>
      </x:c>
    </x:row>
    <x:row r="10" ht="18" customHeight="1">
      <x:c r="A10" s="24" t="str">
        <x:v>LME_006</x:v>
      </x:c>
      <x:c r="B10" s="24" t="str">
        <x:v>Southeast U.S. Continental Shelf</x:v>
      </x:c>
      <x:c r="C10" s="24" t="str">
        <x:v>LME</x:v>
      </x:c>
      <x:c r="D10" s="30" t="n">
        <x:v>2019</x:v>
      </x:c>
      <x:c r="E10" s="24" t="str">
        <x:v>Sciaenops ocellatus</x:v>
      </x:c>
      <x:c r="F10" s="24" t="str">
        <x:v>Red drum</x:v>
      </x:c>
      <x:c r="G10" s="24" t="str">
        <x:v>Large demersals (&gt;=90 cm)</x:v>
      </x:c>
      <x:c r="H10" s="24" t="str">
        <x:v>Perch-likes</x:v>
      </x:c>
      <x:c r="I10" s="31" t="n">
        <x:v>3152.2284197723</x:v>
      </x:c>
      <x:c r="J10" s="31" t="n">
        <x:v>1604.572391754</x:v>
      </x:c>
      <x:c r="K10" s="31" t="n">
        <x:v>1547.6560280183</x:v>
      </x:c>
      <x:c r="L10" s="31" t="n">
        <x:v>20.763764035</x:v>
      </x:c>
      <x:c r="M10" s="31" t="n">
        <x:v>3131.4646557373</x:v>
      </x:c>
      <x:c r="N10" s="24" t="str">
        <x:v>sciaenops ocellatus</x:v>
      </x:c>
      <x:c r="O10" s="32" t="n">
        <x:v>4.07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Sciaenops ocellatus</x:v>
      </x:c>
      <x:c r="T10" s="32" t="n">
        <x:f>IF(O10="","",(1/'Metadata'!$B$5)^(O10-1))</x:f>
        <x:v>1174.8975549395302</x:v>
      </x:c>
      <x:c r="U10" s="31" t="n">
        <x:f>IF(T10="","",I10*T10)</x:f>
        <x:v>3703545.4630013746</x:v>
      </x:c>
    </x:row>
    <x:row r="11" ht="18" customHeight="1">
      <x:c r="A11" s="24" t="str">
        <x:v>LME_006</x:v>
      </x:c>
      <x:c r="B11" s="24" t="str">
        <x:v>Southeast U.S. Continental Shelf</x:v>
      </x:c>
      <x:c r="C11" s="24" t="str">
        <x:v>LME</x:v>
      </x:c>
      <x:c r="D11" s="30" t="n">
        <x:v>2019</x:v>
      </x:c>
      <x:c r="E11" s="24" t="str">
        <x:v>Coryphaena hippurus</x:v>
      </x:c>
      <x:c r="F11" s="24" t="str">
        <x:v>Common dolphinfish</x:v>
      </x:c>
      <x:c r="G11" s="24" t="str">
        <x:v>Large pelagics (&gt;=90 cm)</x:v>
      </x:c>
      <x:c r="H11" s="24" t="str">
        <x:v>Perch-likes</x:v>
      </x:c>
      <x:c r="I11" s="31" t="n">
        <x:v>3090.4187973383</x:v>
      </x:c>
      <x:c r="J11" s="31" t="n">
        <x:v>3087.2690103893</x:v>
      </x:c>
      <x:c r="K11" s="31" t="n">
        <x:v>3.1497869489999997</x:v>
      </x:c>
      <x:c r="L11" s="31" t="n">
        <x:v>159.56554649699999</x:v>
      </x:c>
      <x:c r="M11" s="31" t="n">
        <x:v>2930.8532508413</x:v>
      </x:c>
      <x:c r="N11" s="24" t="str">
        <x:v>coryphaena hippurus</x:v>
      </x:c>
      <x:c r="O11" s="32" t="n">
        <x:v>4.37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Coryphaena hippurus</x:v>
      </x:c>
      <x:c r="T11" s="32" t="n">
        <x:f>IF(O11="","",(1/'Metadata'!$B$5)^(O11-1))</x:f>
        <x:v>2344.228815319923</x:v>
      </x:c>
      <x:c r="U11" s="31" t="n">
        <x:f>IF(T11="","",I11*T11)</x:f>
        <x:v>7244648.796126784</x:v>
      </x:c>
    </x:row>
    <x:row r="12" ht="18" customHeight="1">
      <x:c r="A12" s="24" t="str">
        <x:v>LME_006</x:v>
      </x:c>
      <x:c r="B12" s="24" t="str">
        <x:v>Southeast U.S. Continental Shelf</x:v>
      </x:c>
      <x:c r="C12" s="24" t="str">
        <x:v>LME</x:v>
      </x:c>
      <x:c r="D12" s="30" t="n">
        <x:v>2019</x:v>
      </x:c>
      <x:c r="E12" s="24" t="str">
        <x:v>Gastropoda</x:v>
      </x:c>
      <x:c r="F12" s="24" t="str">
        <x:v>Sea snails</x:v>
      </x:c>
      <x:c r="G12" s="24" t="str">
        <x:v>Other demersal invertebrates</x:v>
      </x:c>
      <x:c r="H12" s="24" t="str">
        <x:v>Molluscs</x:v>
      </x:c>
      <x:c r="I12" s="31" t="n">
        <x:v>3025.3287907033</x:v>
      </x:c>
      <x:c r="J12" s="31" t="n">
        <x:v>3025.3287907033</x:v>
      </x:c>
      <x:c r="K12" s="31" t="n">
        <x:v>0</x:v>
      </x:c>
      <x:c r="L12" s="31" t="n">
        <x:v>3025.3287907033</x:v>
      </x:c>
      <x:c r="M12" s="31" t="n">
        <x:v>0</x:v>
      </x:c>
      <x:c r="N12" s="24" t="str">
        <x:v>gastropoda</x:v>
      </x:c>
      <x:c r="O12" s="32" t="n">
        <x:v>3.06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Gastropoda</x:v>
      </x:c>
      <x:c r="T12" s="32" t="n">
        <x:f>IF(O12="","",(1/'Metadata'!$B$5)^(O12-1))</x:f>
        <x:v>114.81536214968828</x:v>
      </x:c>
      <x:c r="U12" s="31" t="n">
        <x:f>IF(T12="","",I12*T12)</x:f>
        <x:v>347354.2207264779</x:v>
      </x:c>
    </x:row>
    <x:row r="13" ht="18" customHeight="1">
      <x:c r="A13" s="24" t="str">
        <x:v>LME_006</x:v>
      </x:c>
      <x:c r="B13" s="24" t="str">
        <x:v>Southeast U.S. Continental Shelf</x:v>
      </x:c>
      <x:c r="C13" s="24" t="str">
        <x:v>LME</x:v>
      </x:c>
      <x:c r="D13" s="30" t="n">
        <x:v>2019</x:v>
      </x:c>
      <x:c r="E13" s="24" t="str">
        <x:v>Marine finfishes not identified</x:v>
      </x:c>
      <x:c r="F13" s="24" t="str">
        <x:v>Finfishes</x:v>
      </x:c>
      <x:c r="G13" s="24" t="str">
        <x:v>Medium demersals (30 - 89 cm)</x:v>
      </x:c>
      <x:c r="H13" s="24" t="str">
        <x:v>Other fishes &amp; inverts</x:v>
      </x:c>
      <x:c r="I13" s="31" t="n">
        <x:v>2803.1572492594</x:v>
      </x:c>
      <x:c r="J13" s="31" t="n">
        <x:v>19.8574751683</x:v>
      </x:c>
      <x:c r="K13" s="31" t="n">
        <x:v>2783.2997740911</x:v>
      </x:c>
      <x:c r="L13" s="31" t="n">
        <x:v>0</x:v>
      </x:c>
      <x:c r="M13" s="31" t="n">
        <x:v>2803.1572492594</x:v>
      </x:c>
      <x:c r="N13" s="24" t="str">
        <x:v>marine finfishes not identified</x:v>
      </x:c>
      <x:c r="O13" s="32" t="n">
        <x:v>3.23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Marine finfishes not identified</x:v>
      </x:c>
      <x:c r="T13" s="32" t="n">
        <x:f>IF(O13="","",(1/'Metadata'!$B$5)^(O13-1))</x:f>
        <x:v>169.82436524617444</x:v>
      </x:c>
      <x:c r="U13" s="31" t="n">
        <x:f>IF(T13="","",I13*T13)</x:f>
        <x:v>476044.40054069</x:v>
      </x:c>
    </x:row>
    <x:row r="14" ht="18" customHeight="1">
      <x:c r="A14" s="24" t="str">
        <x:v>LME_006</x:v>
      </x:c>
      <x:c r="B14" s="24" t="str">
        <x:v>Southeast U.S. Continental Shelf</x:v>
      </x:c>
      <x:c r="C14" s="24" t="str">
        <x:v>LME</x:v>
      </x:c>
      <x:c r="D14" s="30" t="n">
        <x:v>2019</x:v>
      </x:c>
      <x:c r="E14" s="24" t="str">
        <x:v>Paralichthys</x:v>
      </x:c>
      <x:c r="F14" s="24" t="str">
        <x:v>Paralichthyid flounders</x:v>
      </x:c>
      <x:c r="G14" s="24" t="str">
        <x:v>Small to medium flatfishes (&lt;90 cm)</x:v>
      </x:c>
      <x:c r="H14" s="24" t="str">
        <x:v>Flatfishes</x:v>
      </x:c>
      <x:c r="I14" s="31" t="n">
        <x:v>2764.4280480218</x:v>
      </x:c>
      <x:c r="J14" s="31" t="n">
        <x:v>2704.3394136316</x:v>
      </x:c>
      <x:c r="K14" s="31" t="n">
        <x:v>60.0886343902</x:v>
      </x:c>
      <x:c r="L14" s="31" t="n">
        <x:v>1315.1212412967</x:v>
      </x:c>
      <x:c r="M14" s="31" t="n">
        <x:v>1449.3068067251</x:v>
      </x:c>
      <x:c r="N14" s="24" t="str">
        <x:v>paralichthys</x:v>
      </x:c>
      <x:c r="O14" s="32" t="n">
        <x:v>4.14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Paralichthys</x:v>
      </x:c>
      <x:c r="T14" s="32" t="n">
        <x:f>IF(O14="","",(1/'Metadata'!$B$5)^(O14-1))</x:f>
        <x:v>1380.3842646028838</x:v>
      </x:c>
      <x:c r="U14" s="31" t="n">
        <x:f>IF(T14="","",I14*T14)</x:f>
        <x:v>3815972.978116158</x:v>
      </x:c>
    </x:row>
    <x:row r="15" ht="18" customHeight="1">
      <x:c r="A15" s="24" t="str">
        <x:v>LME_006</x:v>
      </x:c>
      <x:c r="B15" s="24" t="str">
        <x:v>Southeast U.S. Continental Shelf</x:v>
      </x:c>
      <x:c r="C15" s="24" t="str">
        <x:v>LME</x:v>
      </x:c>
      <x:c r="D15" s="30" t="n">
        <x:v>2019</x:v>
      </x:c>
      <x:c r="E15" s="24" t="str">
        <x:v>Stomolophus meleagris</x:v>
      </x:c>
      <x:c r="F15" s="24" t="str">
        <x:v>Cannonball jellyfish</x:v>
      </x:c>
      <x:c r="G15" s="24" t="str">
        <x:v>Jellyfish</x:v>
      </x:c>
      <x:c r="H15" s="24" t="str">
        <x:v>Other fishes &amp; inverts</x:v>
      </x:c>
      <x:c r="I15" s="31" t="n">
        <x:v>2308.6779849649</x:v>
      </x:c>
      <x:c r="J15" s="31" t="n">
        <x:v>2308.6779849649</x:v>
      </x:c>
      <x:c r="K15" s="31" t="n">
        <x:v>0</x:v>
      </x:c>
      <x:c r="L15" s="31" t="n">
        <x:v>0</x:v>
      </x:c>
      <x:c r="M15" s="31" t="n">
        <x:v>2308.6779849649</x:v>
      </x:c>
      <x:c r="N15" s="24" t="str">
        <x:v>stomolophus meleagris</x:v>
      </x:c>
      <x:c r="O15" s="32" t="n">
        <x:v>3.34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Stomolophus meleagris</x:v>
      </x:c>
      <x:c r="T15" s="32" t="n">
        <x:f>IF(O15="","",(1/'Metadata'!$B$5)^(O15-1))</x:f>
        <x:v>218.77616239495518</x:v>
      </x:c>
      <x:c r="U15" s="31" t="n">
        <x:f>IF(T15="","",I15*T15)</x:f>
        <x:v>505083.7097563389</x:v>
      </x:c>
    </x:row>
    <x:row r="16" ht="18" customHeight="1">
      <x:c r="A16" s="24" t="str">
        <x:v>LME_006</x:v>
      </x:c>
      <x:c r="B16" s="24" t="str">
        <x:v>Southeast U.S. Continental Shelf</x:v>
      </x:c>
      <x:c r="C16" s="24" t="str">
        <x:v>LME</x:v>
      </x:c>
      <x:c r="D16" s="30" t="n">
        <x:v>2019</x:v>
      </x:c>
      <x:c r="E16" s="24" t="str">
        <x:v>Sciaenidae</x:v>
      </x:c>
      <x:c r="F16" s="24" t="str">
        <x:v>Drums, croakers</x:v>
      </x:c>
      <x:c r="G16" s="24" t="str">
        <x:v>Medium demersals (30 - 89 cm)</x:v>
      </x:c>
      <x:c r="H16" s="24" t="str">
        <x:v>Perch-likes</x:v>
      </x:c>
      <x:c r="I16" s="31" t="n">
        <x:v>1787.0564688463</x:v>
      </x:c>
      <x:c r="J16" s="31" t="n">
        <x:v>0.0046368167</x:v>
      </x:c>
      <x:c r="K16" s="31" t="n">
        <x:v>1787.0518320296</x:v>
      </x:c>
      <x:c r="L16" s="31" t="n">
        <x:v>0</x:v>
      </x:c>
      <x:c r="M16" s="31" t="n">
        <x:v>1787.0564688463</x:v>
      </x:c>
      <x:c r="N16" s="24" t="str">
        <x:v>sciaenidae</x:v>
      </x:c>
      <x:c r="O16" s="32" t="n">
        <x:v>3.76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Sciaenidae</x:v>
      </x:c>
      <x:c r="T16" s="32" t="n">
        <x:f>IF(O16="","",(1/'Metadata'!$B$5)^(O16-1))</x:f>
        <x:v>575.4399373371566</x:v>
      </x:c>
      <x:c r="U16" s="31" t="n">
        <x:f>IF(T16="","",I16*T16)</x:f>
        <x:v>1028343.6624508753</x:v>
      </x:c>
    </x:row>
    <x:row r="17" ht="18" customHeight="1">
      <x:c r="A17" s="24" t="str">
        <x:v>LME_006</x:v>
      </x:c>
      <x:c r="B17" s="24" t="str">
        <x:v>Southeast U.S. Continental Shelf</x:v>
      </x:c>
      <x:c r="C17" s="24" t="str">
        <x:v>LME</x:v>
      </x:c>
      <x:c r="D17" s="30" t="n">
        <x:v>2019</x:v>
      </x:c>
      <x:c r="E17" s="24" t="str">
        <x:v>Archosargus probatocephalus</x:v>
      </x:c>
      <x:c r="F17" s="24" t="str">
        <x:v>Sheepshead</x:v>
      </x:c>
      <x:c r="G17" s="24" t="str">
        <x:v>Medium demersals (30 - 89 cm)</x:v>
      </x:c>
      <x:c r="H17" s="24" t="str">
        <x:v>Perch-likes</x:v>
      </x:c>
      <x:c r="I17" s="31" t="n">
        <x:v>1645.163587903</x:v>
      </x:c>
      <x:c r="J17" s="31" t="n">
        <x:v>1531.2265820862</x:v>
      </x:c>
      <x:c r="K17" s="31" t="n">
        <x:v>113.9370058168</x:v>
      </x:c>
      <x:c r="L17" s="31" t="n">
        <x:v>76.9524219234</x:v>
      </x:c>
      <x:c r="M17" s="31" t="n">
        <x:v>1568.2111659796</x:v>
      </x:c>
      <x:c r="N17" s="24" t="str">
        <x:v>archosargus probatocephalus</x:v>
      </x:c>
      <x:c r="O17" s="32" t="n">
        <x:v>3.53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Archosargus probatocephalus</x:v>
      </x:c>
      <x:c r="T17" s="32" t="n">
        <x:f>IF(O17="","",(1/'Metadata'!$B$5)^(O17-1))</x:f>
        <x:v>338.84415613920237</x:v>
      </x:c>
      <x:c r="U17" s="31" t="n">
        <x:f>IF(T17="","",I17*T17)</x:f>
        <x:v>557454.0676539345</x:v>
      </x:c>
    </x:row>
    <x:row r="18" ht="18" customHeight="1">
      <x:c r="A18" s="24" t="str">
        <x:v>LME_006</x:v>
      </x:c>
      <x:c r="B18" s="24" t="str">
        <x:v>Southeast U.S. Continental Shelf</x:v>
      </x:c>
      <x:c r="C18" s="24" t="str">
        <x:v>LME</x:v>
      </x:c>
      <x:c r="D18" s="30" t="n">
        <x:v>2019</x:v>
      </x:c>
      <x:c r="E18" s="24" t="str">
        <x:v>Scomberomorus maculatus</x:v>
      </x:c>
      <x:c r="F18" s="24" t="str">
        <x:v>Atlantic Spanish mackerel</x:v>
      </x:c>
      <x:c r="G18" s="24" t="str">
        <x:v>Medium pelagics (30 - 89 cm)</x:v>
      </x:c>
      <x:c r="H18" s="24" t="str">
        <x:v>Perch-likes</x:v>
      </x:c>
      <x:c r="I18" s="31" t="n">
        <x:v>1641.7892864951</x:v>
      </x:c>
      <x:c r="J18" s="31" t="n">
        <x:v>1533.1549510431</x:v>
      </x:c>
      <x:c r="K18" s="31" t="n">
        <x:v>108.634335452</x:v>
      </x:c>
      <x:c r="L18" s="31" t="n">
        <x:v>1521.5137085907</x:v>
      </x:c>
      <x:c r="M18" s="31" t="n">
        <x:v>120.27557790440001</x:v>
      </x:c>
      <x:c r="N18" s="24" t="str">
        <x:v>scomberomorus maculatus</x:v>
      </x:c>
      <x:c r="O18" s="32" t="n">
        <x:v>4.53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Scomberomorus maculatus</x:v>
      </x:c>
      <x:c r="T18" s="32" t="n">
        <x:f>IF(O18="","",(1/'Metadata'!$B$5)^(O18-1))</x:f>
        <x:v>3388.4415613920273</x:v>
      </x:c>
      <x:c r="U18" s="31" t="n">
        <x:f>IF(T18="","",I18*T18)</x:f>
        <x:v>5563107.053408159</x:v>
      </x:c>
    </x:row>
    <x:row r="19" ht="18" customHeight="1">
      <x:c r="A19" s="24" t="str">
        <x:v>LME_006</x:v>
      </x:c>
      <x:c r="B19" s="24" t="str">
        <x:v>Southeast U.S. Continental Shelf</x:v>
      </x:c>
      <x:c r="C19" s="24" t="str">
        <x:v>LME</x:v>
      </x:c>
      <x:c r="D19" s="30" t="n">
        <x:v>2019</x:v>
      </x:c>
      <x:c r="E19" s="24" t="str">
        <x:v>Trachinotus carolinus</x:v>
      </x:c>
      <x:c r="F19" s="24" t="str">
        <x:v>Florida pompano</x:v>
      </x:c>
      <x:c r="G19" s="24" t="str">
        <x:v>Medium benthopelagics (30 - 89 cm)</x:v>
      </x:c>
      <x:c r="H19" s="24" t="str">
        <x:v>Perch-likes</x:v>
      </x:c>
      <x:c r="I19" s="31" t="n">
        <x:v>1524.4248613073999</x:v>
      </x:c>
      <x:c r="J19" s="31" t="n">
        <x:v>1518.6205109259</x:v>
      </x:c>
      <x:c r="K19" s="31" t="n">
        <x:v>5.8043503815</x:v>
      </x:c>
      <x:c r="L19" s="31" t="n">
        <x:v>84.67419048320001</x:v>
      </x:c>
      <x:c r="M19" s="31" t="n">
        <x:v>1439.7506708242</x:v>
      </x:c>
      <x:c r="N19" s="24" t="str">
        <x:v>trachinotus carolinus</x:v>
      </x:c>
      <x:c r="O19" s="32" t="n">
        <x:v>3.5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Trachinotus carolinus</x:v>
      </x:c>
      <x:c r="T19" s="32" t="n">
        <x:f>IF(O19="","",(1/'Metadata'!$B$5)^(O19-1))</x:f>
        <x:v>316.22776601683796</x:v>
      </x:c>
      <x:c r="U19" s="31" t="n">
        <x:f>IF(T19="","",I19*T19)</x:f>
        <x:v>482065.4683517671</x:v>
      </x:c>
    </x:row>
    <x:row r="20" ht="18" customHeight="1">
      <x:c r="A20" s="24" t="str">
        <x:v>LME_006</x:v>
      </x:c>
      <x:c r="B20" s="24" t="str">
        <x:v>Southeast U.S. Continental Shelf</x:v>
      </x:c>
      <x:c r="C20" s="24" t="str">
        <x:v>LME</x:v>
      </x:c>
      <x:c r="D20" s="30" t="n">
        <x:v>2019</x:v>
      </x:c>
      <x:c r="E20" s="24" t="str">
        <x:v>Pogonias courbina</x:v>
      </x:c>
      <x:c r="F20" s="24" t="str">
        <x:v>Black drum</x:v>
      </x:c>
      <x:c r="G20" s="24" t="str">
        <x:v>Large demersals (&gt;=90 cm)</x:v>
      </x:c>
      <x:c r="H20" s="24" t="str">
        <x:v>Perch-likes</x:v>
      </x:c>
      <x:c r="I20" s="31" t="n">
        <x:v>1465.0122332394</x:v>
      </x:c>
      <x:c r="J20" s="31" t="n">
        <x:v>1462.5510486515</x:v>
      </x:c>
      <x:c r="K20" s="31" t="n">
        <x:v>2.4611845879</x:v>
      </x:c>
      <x:c r="L20" s="31" t="n">
        <x:v>37.804472707200006</x:v>
      </x:c>
      <x:c r="M20" s="31" t="n">
        <x:v>1427.2077605322</x:v>
      </x:c>
      <x:c r="N20" s="24" t="str">
        <x:v>pogonias courbina</x:v>
      </x:c>
      <x:c r="O20" s="32" t="n">
        <x:v>3.89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Pogonias courbina</x:v>
      </x:c>
      <x:c r="T20" s="32" t="n">
        <x:f>IF(O20="","",(1/'Metadata'!$B$5)^(O20-1))</x:f>
        <x:v>776.247116628692</x:v>
      </x:c>
      <x:c r="U20" s="31" t="n">
        <x:f>IF(T20="","",I20*T20)</x:f>
        <x:v>1137211.521877845</x:v>
      </x:c>
    </x:row>
    <x:row r="21" ht="18" customHeight="1">
      <x:c r="A21" s="24" t="str">
        <x:v>LME_006</x:v>
      </x:c>
      <x:c r="B21" s="24" t="str">
        <x:v>Southeast U.S. Continental Shelf</x:v>
      </x:c>
      <x:c r="C21" s="24" t="str">
        <x:v>LME</x:v>
      </x:c>
      <x:c r="D21" s="30" t="n">
        <x:v>2019</x:v>
      </x:c>
      <x:c r="E21" s="24" t="str">
        <x:v>Scomberomorus</x:v>
      </x:c>
      <x:c r="F21" s="24" t="str">
        <x:v>Spanish mackerels</x:v>
      </x:c>
      <x:c r="G21" s="24" t="str">
        <x:v>Large pelagics (&gt;=90 cm)</x:v>
      </x:c>
      <x:c r="H21" s="24" t="str">
        <x:v>Perch-likes</x:v>
      </x:c>
      <x:c r="I21" s="31" t="n">
        <x:v>1286.1302774228</x:v>
      </x:c>
      <x:c r="J21" s="31" t="n">
        <x:v>1286.1302774228</x:v>
      </x:c>
      <x:c r="K21" s="31" t="n">
        <x:v>0</x:v>
      </x:c>
      <x:c r="L21" s="31" t="n">
        <x:v>0</x:v>
      </x:c>
      <x:c r="M21" s="31" t="n">
        <x:v>1286.1302774228</x:v>
      </x:c>
      <x:c r="N21" s="24" t="str">
        <x:v>scomberomorus</x:v>
      </x:c>
      <x:c r="O21" s="32" t="n">
        <x:v>4.35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Scomberomorus</x:v>
      </x:c>
      <x:c r="T21" s="32" t="n">
        <x:f>IF(O21="","",(1/'Metadata'!$B$5)^(O21-1))</x:f>
        <x:v>2238.7211385683377</x:v>
      </x:c>
      <x:c r="U21" s="31" t="n">
        <x:f>IF(T21="","",I21*T21)</x:f>
        <x:v>2879287.039019183</x:v>
      </x:c>
    </x:row>
    <x:row r="22" ht="18" customHeight="1">
      <x:c r="A22" s="24" t="str">
        <x:v>LME_006</x:v>
      </x:c>
      <x:c r="B22" s="24" t="str">
        <x:v>Southeast U.S. Continental Shelf</x:v>
      </x:c>
      <x:c r="C22" s="24" t="str">
        <x:v>LME</x:v>
      </x:c>
      <x:c r="D22" s="30" t="n">
        <x:v>2019</x:v>
      </x:c>
      <x:c r="E22" s="24" t="str">
        <x:v>Miscellaneous aquatic invertebrates</x:v>
      </x:c>
      <x:c r="F22" s="24" t="str">
        <x:v>Aquatic invertebrates</x:v>
      </x:c>
      <x:c r="G22" s="24" t="str">
        <x:v>Other demersal invertebrates</x:v>
      </x:c>
      <x:c r="H22" s="24" t="str">
        <x:v>Other fishes &amp; inverts</x:v>
      </x:c>
      <x:c r="I22" s="31" t="n">
        <x:v>1254.8508758019</x:v>
      </x:c>
      <x:c r="J22" s="31" t="n">
        <x:v>0</x:v>
      </x:c>
      <x:c r="K22" s="31" t="n">
        <x:v>1254.8508758019</x:v>
      </x:c>
      <x:c r="L22" s="31" t="n">
        <x:v>0</x:v>
      </x:c>
      <x:c r="M22" s="31" t="n">
        <x:v>1254.8508758019</x:v>
      </x:c>
      <x:c r="N22" s="24" t="str">
        <x:v>miscellaneous aquatic invertebrates</x:v>
      </x:c>
      <x:c r="O22" s="32" t="n">
        <x:v>2.43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Miscellaneous aquatic invertebrates</x:v>
      </x:c>
      <x:c r="T22" s="32" t="n">
        <x:f>IF(O22="","",(1/'Metadata'!$B$5)^(O22-1))</x:f>
        <x:v>26.915348039269166</x:v>
      </x:c>
      <x:c r="U22" s="31" t="n">
        <x:f>IF(T22="","",I22*T22)</x:f>
        <x:v>33774.74805958987</x:v>
      </x:c>
    </x:row>
    <x:row r="23" ht="18" customHeight="1">
      <x:c r="A23" s="24" t="str">
        <x:v>LME_006</x:v>
      </x:c>
      <x:c r="B23" s="24" t="str">
        <x:v>Southeast U.S. Continental Shelf</x:v>
      </x:c>
      <x:c r="C23" s="24" t="str">
        <x:v>LME</x:v>
      </x:c>
      <x:c r="D23" s="30" t="n">
        <x:v>2019</x:v>
      </x:c>
      <x:c r="E23" s="24" t="str">
        <x:v>Cynoscion</x:v>
      </x:c>
      <x:c r="F23" s="24" t="str">
        <x:v>Weakfishes</x:v>
      </x:c>
      <x:c r="G23" s="24" t="str">
        <x:v>Medium demersals (30 - 89 cm)</x:v>
      </x:c>
      <x:c r="H23" s="24" t="str">
        <x:v>Perch-likes</x:v>
      </x:c>
      <x:c r="I23" s="31" t="n">
        <x:v>1239.070625667</x:v>
      </x:c>
      <x:c r="J23" s="31" t="n">
        <x:v>64.8648492222</x:v>
      </x:c>
      <x:c r="K23" s="31" t="n">
        <x:v>1174.2057764448</x:v>
      </x:c>
      <x:c r="L23" s="31" t="n">
        <x:v>0.0384834505</x:v>
      </x:c>
      <x:c r="M23" s="31" t="n">
        <x:v>1239.0321422165</x:v>
      </x:c>
      <x:c r="N23" s="24" t="str">
        <x:v>cynoscion</x:v>
      </x:c>
      <x:c r="O23" s="32" t="n">
        <x:v>4.21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Cynoscion</x:v>
      </x:c>
      <x:c r="T23" s="32" t="n">
        <x:f>IF(O23="","",(1/'Metadata'!$B$5)^(O23-1))</x:f>
        <x:v>1621.8100973589299</x:v>
      </x:c>
      <x:c r="U23" s="31" t="n">
        <x:f>IF(T23="","",I23*T23)</x:f>
        <x:v>2009537.2520475874</x:v>
      </x:c>
    </x:row>
    <x:row r="24" ht="18" customHeight="1">
      <x:c r="A24" s="24" t="str">
        <x:v>LME_006</x:v>
      </x:c>
      <x:c r="B24" s="24" t="str">
        <x:v>Southeast U.S. Continental Shelf</x:v>
      </x:c>
      <x:c r="C24" s="24" t="str">
        <x:v>LME</x:v>
      </x:c>
      <x:c r="D24" s="30" t="n">
        <x:v>2019</x:v>
      </x:c>
      <x:c r="E24" s="24" t="str">
        <x:v>Menticirrhus americanus</x:v>
      </x:c>
      <x:c r="F24" s="24" t="str">
        <x:v>Southern kingcroaker</x:v>
      </x:c>
      <x:c r="G24" s="24" t="str">
        <x:v>Medium demersals (30 - 89 cm)</x:v>
      </x:c>
      <x:c r="H24" s="24" t="str">
        <x:v>Perch-likes</x:v>
      </x:c>
      <x:c r="I24" s="31" t="n">
        <x:v>1181.6207855154</x:v>
      </x:c>
      <x:c r="J24" s="31" t="n">
        <x:v>974.7432148881</x:v>
      </x:c>
      <x:c r="K24" s="31" t="n">
        <x:v>206.8775706273</x:v>
      </x:c>
      <x:c r="L24" s="31" t="n">
        <x:v>0</x:v>
      </x:c>
      <x:c r="M24" s="31" t="n">
        <x:v>1181.6207855154</x:v>
      </x:c>
      <x:c r="N24" s="24" t="str">
        <x:v>menticirrhus americanus</x:v>
      </x:c>
      <x:c r="O24" s="32" t="n">
        <x:v>3.5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Menticirrhus americanus</x:v>
      </x:c>
      <x:c r="T24" s="32" t="n">
        <x:f>IF(O24="","",(1/'Metadata'!$B$5)^(O24-1))</x:f>
        <x:v>316.22776601683796</x:v>
      </x:c>
      <x:c r="U24" s="31" t="n">
        <x:f>IF(T24="","",I24*T24)</x:f>
        <x:v>373661.3012825962</x:v>
      </x:c>
    </x:row>
    <x:row r="25" ht="18" customHeight="1">
      <x:c r="A25" s="24" t="str">
        <x:v>LME_006</x:v>
      </x:c>
      <x:c r="B25" s="24" t="str">
        <x:v>Southeast U.S. Continental Shelf</x:v>
      </x:c>
      <x:c r="C25" s="24" t="str">
        <x:v>LME</x:v>
      </x:c>
      <x:c r="D25" s="30" t="n">
        <x:v>2019</x:v>
      </x:c>
      <x:c r="E25" s="24" t="str">
        <x:v>Mugil cephalus</x:v>
      </x:c>
      <x:c r="F25" s="24" t="str">
        <x:v>Flathead grey mullet</x:v>
      </x:c>
      <x:c r="G25" s="24" t="str">
        <x:v>Large benthopelagics (&gt;=90 cm)</x:v>
      </x:c>
      <x:c r="H25" s="24" t="str">
        <x:v>Perch-likes</x:v>
      </x:c>
      <x:c r="I25" s="31" t="n">
        <x:v>924.4964284229</x:v>
      </x:c>
      <x:c r="J25" s="31" t="n">
        <x:v>924.4964284229</x:v>
      </x:c>
      <x:c r="K25" s="31" t="n">
        <x:v>0</x:v>
      </x:c>
      <x:c r="L25" s="31" t="n">
        <x:v>920.4278592413</x:v>
      </x:c>
      <x:c r="M25" s="31" t="n">
        <x:v>4.0685691816</x:v>
      </x:c>
      <x:c r="N25" s="24" t="str">
        <x:v>mugil cephalus</x:v>
      </x:c>
      <x:c r="O25" s="32" t="n">
        <x:v>2.14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Mugil cephalus</x:v>
      </x:c>
      <x:c r="T25" s="32" t="n">
        <x:f>IF(O25="","",(1/'Metadata'!$B$5)^(O25-1))</x:f>
        <x:v>13.803842646028853</x:v>
      </x:c>
      <x:c r="U25" s="31" t="n">
        <x:f>IF(T25="","",I25*T25)</x:f>
        <x:v>12761.603224765387</x:v>
      </x:c>
    </x:row>
    <x:row r="26" ht="18" customHeight="1">
      <x:c r="A26" s="24" t="str">
        <x:v>LME_006</x:v>
      </x:c>
      <x:c r="B26" s="24" t="str">
        <x:v>Southeast U.S. Continental Shelf</x:v>
      </x:c>
      <x:c r="C26" s="24" t="str">
        <x:v>LME</x:v>
      </x:c>
      <x:c r="D26" s="30" t="n">
        <x:v>2019</x:v>
      </x:c>
      <x:c r="E26" s="24" t="str">
        <x:v>Penaeus aztecus</x:v>
      </x:c>
      <x:c r="F26" s="24" t="str">
        <x:v>Northern brown shrimp</x:v>
      </x:c>
      <x:c r="G26" s="24" t="str">
        <x:v>Shrimps</x:v>
      </x:c>
      <x:c r="H26" s="24" t="str">
        <x:v>Crustaceans</x:v>
      </x:c>
      <x:c r="I26" s="31" t="n">
        <x:v>914.5876302167</x:v>
      </x:c>
      <x:c r="J26" s="31" t="n">
        <x:v>914.5876302167</x:v>
      </x:c>
      <x:c r="K26" s="31" t="n">
        <x:v>0</x:v>
      </x:c>
      <x:c r="L26" s="31" t="n">
        <x:v>914.5876302167</x:v>
      </x:c>
      <x:c r="M26" s="31" t="n">
        <x:v>0</x:v>
      </x:c>
      <x:c r="N26" s="24" t="str">
        <x:v>penaeus aztecus</x:v>
      </x:c>
      <x:c r="O26" s="32" t="n">
        <x:v>2.8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Penaeus aztecus</x:v>
      </x:c>
      <x:c r="T26" s="32" t="n">
        <x:f>IF(O26="","",(1/'Metadata'!$B$5)^(O26-1))</x:f>
        <x:v>63.0957344480193</x:v>
      </x:c>
      <x:c r="U26" s="31" t="n">
        <x:f>IF(T26="","",I26*T26)</x:f>
        <x:v>57706.578245596174</x:v>
      </x:c>
    </x:row>
    <x:row r="27" ht="18" customHeight="1">
      <x:c r="A27" s="24" t="str">
        <x:v>LME_006</x:v>
      </x:c>
      <x:c r="B27" s="24" t="str">
        <x:v>Southeast U.S. Continental Shelf</x:v>
      </x:c>
      <x:c r="C27" s="24" t="str">
        <x:v>LME</x:v>
      </x:c>
      <x:c r="D27" s="30" t="n">
        <x:v>2019</x:v>
      </x:c>
      <x:c r="E27" s="24" t="str">
        <x:v>Caranx crysos</x:v>
      </x:c>
      <x:c r="F27" s="24" t="str">
        <x:v>Blue runner</x:v>
      </x:c>
      <x:c r="G27" s="24" t="str">
        <x:v>Medium reef assoc. fish (30 - 89 cm)</x:v>
      </x:c>
      <x:c r="H27" s="24" t="str">
        <x:v>Perch-likes</x:v>
      </x:c>
      <x:c r="I27" s="31" t="n">
        <x:v>886.5550610048</x:v>
      </x:c>
      <x:c r="J27" s="31" t="n">
        <x:v>886.5550610048</x:v>
      </x:c>
      <x:c r="K27" s="31" t="n">
        <x:v>0</x:v>
      </x:c>
      <x:c r="L27" s="31" t="n">
        <x:v>42.0931608476</x:v>
      </x:c>
      <x:c r="M27" s="31" t="n">
        <x:v>844.4619001572</x:v>
      </x:c>
      <x:c r="N27" s="24" t="str">
        <x:v>caranx crysos</x:v>
      </x:c>
      <x:c r="O27" s="32" t="n">
        <x:v>4.13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Caranx crysos</x:v>
      </x:c>
      <x:c r="T27" s="32" t="n">
        <x:f>IF(O27="","",(1/'Metadata'!$B$5)^(O27-1))</x:f>
        <x:v>1348.9628825916532</x:v>
      </x:c>
      <x:c r="U27" s="31" t="n">
        <x:f>IF(T27="","",I27*T27)</x:f>
        <x:v>1195929.8706692539</x:v>
      </x:c>
    </x:row>
    <x:row r="28" ht="18" customHeight="1">
      <x:c r="A28" s="24" t="str">
        <x:v>LME_006</x:v>
      </x:c>
      <x:c r="B28" s="24" t="str">
        <x:v>Southeast U.S. Continental Shelf</x:v>
      </x:c>
      <x:c r="C28" s="24" t="str">
        <x:v>LME</x:v>
      </x:c>
      <x:c r="D28" s="30" t="n">
        <x:v>2019</x:v>
      </x:c>
      <x:c r="E28" s="24" t="str">
        <x:v>Lutjanidae</x:v>
      </x:c>
      <x:c r="F28" s="24" t="str">
        <x:v>Snappers</x:v>
      </x:c>
      <x:c r="G28" s="24" t="str">
        <x:v>Medium reef assoc. fish (30 - 89 cm)</x:v>
      </x:c>
      <x:c r="H28" s="24" t="str">
        <x:v>Perch-likes</x:v>
      </x:c>
      <x:c r="I28" s="31" t="n">
        <x:v>846.4625351778</x:v>
      </x:c>
      <x:c r="J28" s="31" t="n">
        <x:v>846.4523336507</x:v>
      </x:c>
      <x:c r="K28" s="31" t="n">
        <x:v>0.0102015271</x:v>
      </x:c>
      <x:c r="L28" s="31" t="n">
        <x:v>8.2064290999</x:v>
      </x:c>
      <x:c r="M28" s="31" t="n">
        <x:v>838.2561060779</x:v>
      </x:c>
      <x:c r="N28" s="24" t="str">
        <x:v>lutjanidae</x:v>
      </x:c>
      <x:c r="O28" s="32" t="n">
        <x:v>4.02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Lutjanidae</x:v>
      </x:c>
      <x:c r="T28" s="32" t="n">
        <x:f>IF(O28="","",(1/'Metadata'!$B$5)^(O28-1))</x:f>
        <x:v>1047.1285480508984</x:v>
      </x:c>
      <x:c r="U28" s="31" t="n">
        <x:f>IF(T28="","",I28*T28)</x:f>
        <x:v>886355.0854402122</x:v>
      </x:c>
    </x:row>
    <x:row r="29" ht="18" customHeight="1">
      <x:c r="A29" s="24" t="str">
        <x:v>LME_006</x:v>
      </x:c>
      <x:c r="B29" s="24" t="str">
        <x:v>Southeast U.S. Continental Shelf</x:v>
      </x:c>
      <x:c r="C29" s="24" t="str">
        <x:v>LME</x:v>
      </x:c>
      <x:c r="D29" s="30" t="n">
        <x:v>2019</x:v>
      </x:c>
      <x:c r="E29" s="24" t="str">
        <x:v>Seriola dumerili</x:v>
      </x:c>
      <x:c r="F29" s="24" t="str">
        <x:v>Greater amberjack</x:v>
      </x:c>
      <x:c r="G29" s="24" t="str">
        <x:v>Large reef assoc. fish (&gt;=90 cm)</x:v>
      </x:c>
      <x:c r="H29" s="24" t="str">
        <x:v>Perch-likes</x:v>
      </x:c>
      <x:c r="I29" s="31" t="n">
        <x:v>845.8033981972001</x:v>
      </x:c>
      <x:c r="J29" s="31" t="n">
        <x:v>752.9823638264</x:v>
      </x:c>
      <x:c r="K29" s="31" t="n">
        <x:v>92.8210343708</x:v>
      </x:c>
      <x:c r="L29" s="31" t="n">
        <x:v>118.1093256906</x:v>
      </x:c>
      <x:c r="M29" s="31" t="n">
        <x:v>727.6940725066</x:v>
      </x:c>
      <x:c r="N29" s="24" t="str">
        <x:v>seriola dumerili</x:v>
      </x:c>
      <x:c r="O29" s="32" t="n">
        <x:v>4.5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Seriola dumerili</x:v>
      </x:c>
      <x:c r="T29" s="32" t="n">
        <x:f>IF(O29="","",(1/'Metadata'!$B$5)^(O29-1))</x:f>
        <x:v>3162.2776601683795</x:v>
      </x:c>
      <x:c r="U29" s="31" t="n">
        <x:f>IF(T29="","",I29*T29)</x:f>
        <x:v>2674665.191013506</x:v>
      </x:c>
    </x:row>
    <x:row r="30" ht="18" customHeight="1">
      <x:c r="A30" s="24" t="str">
        <x:v>LME_006</x:v>
      </x:c>
      <x:c r="B30" s="24" t="str">
        <x:v>Southeast U.S. Continental Shelf</x:v>
      </x:c>
      <x:c r="C30" s="24" t="str">
        <x:v>LME</x:v>
      </x:c>
      <x:c r="D30" s="30" t="n">
        <x:v>2019</x:v>
      </x:c>
      <x:c r="E30" s="24" t="str">
        <x:v>Lutjanus griseus</x:v>
      </x:c>
      <x:c r="F30" s="24" t="str">
        <x:v>Grey snapper</x:v>
      </x:c>
      <x:c r="G30" s="24" t="str">
        <x:v>Medium reef assoc. fish (30 - 89 cm)</x:v>
      </x:c>
      <x:c r="H30" s="24" t="str">
        <x:v>Perch-likes</x:v>
      </x:c>
      <x:c r="I30" s="31" t="n">
        <x:v>771.5996973884</x:v>
      </x:c>
      <x:c r="J30" s="31" t="n">
        <x:v>735.6913356738</x:v>
      </x:c>
      <x:c r="K30" s="31" t="n">
        <x:v>35.9083617146</x:v>
      </x:c>
      <x:c r="L30" s="31" t="n">
        <x:v>18.052194451000002</x:v>
      </x:c>
      <x:c r="M30" s="31" t="n">
        <x:v>753.5475029374</x:v>
      </x:c>
      <x:c r="N30" s="24" t="str">
        <x:v>lutjanus griseus</x:v>
      </x:c>
      <x:c r="O30" s="32" t="n">
        <x:v>4.23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Lutjanus griseus</x:v>
      </x:c>
      <x:c r="T30" s="32" t="n">
        <x:f>IF(O30="","",(1/'Metadata'!$B$5)^(O30-1))</x:f>
        <x:v>1698.243652461746</x:v>
      </x:c>
      <x:c r="U30" s="31" t="n">
        <x:f>IF(T30="","",I30*T30)</x:f>
        <x:v>1310364.2883312544</x:v>
      </x:c>
    </x:row>
    <x:row r="31" ht="18" customHeight="1">
      <x:c r="A31" s="24" t="str">
        <x:v>LME_006</x:v>
      </x:c>
      <x:c r="B31" s="24" t="str">
        <x:v>Southeast U.S. Continental Shelf</x:v>
      </x:c>
      <x:c r="C31" s="24" t="str">
        <x:v>LME</x:v>
      </x:c>
      <x:c r="D31" s="30" t="n">
        <x:v>2019</x:v>
      </x:c>
      <x:c r="E31" s="24" t="str">
        <x:v>Xiphias gladius</x:v>
      </x:c>
      <x:c r="F31" s="24" t="str">
        <x:v>Swordfish</x:v>
      </x:c>
      <x:c r="G31" s="24" t="str">
        <x:v>Large pelagics (&gt;=90 cm)</x:v>
      </x:c>
      <x:c r="H31" s="24" t="str">
        <x:v>Tuna &amp; billfishes</x:v>
      </x:c>
      <x:c r="I31" s="31" t="n">
        <x:v>760.7171639769</x:v>
      </x:c>
      <x:c r="J31" s="31" t="n">
        <x:v>760.7171639769</x:v>
      </x:c>
      <x:c r="K31" s="31" t="n">
        <x:v>0</x:v>
      </x:c>
      <x:c r="L31" s="31" t="n">
        <x:v>713.8939121184</x:v>
      </x:c>
      <x:c r="M31" s="31" t="n">
        <x:v>46.8232518585</x:v>
      </x:c>
      <x:c r="N31" s="24" t="str">
        <x:v>xiphias gladius</x:v>
      </x:c>
      <x:c r="O31" s="32" t="n">
        <x:v>4.53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Xiphias gladius</x:v>
      </x:c>
      <x:c r="T31" s="32" t="n">
        <x:f>IF(O31="","",(1/'Metadata'!$B$5)^(O31-1))</x:f>
        <x:v>3388.4415613920273</x:v>
      </x:c>
      <x:c r="U31" s="31" t="n">
        <x:f>IF(T31="","",I31*T31)</x:f>
        <x:v>2577645.6548836017</x:v>
      </x:c>
    </x:row>
    <x:row r="32" ht="18" customHeight="1">
      <x:c r="A32" s="24" t="str">
        <x:v>LME_006</x:v>
      </x:c>
      <x:c r="B32" s="24" t="str">
        <x:v>Southeast U.S. Continental Shelf</x:v>
      </x:c>
      <x:c r="C32" s="24" t="str">
        <x:v>LME</x:v>
      </x:c>
      <x:c r="D32" s="30" t="n">
        <x:v>2019</x:v>
      </x:c>
      <x:c r="E32" s="24" t="str">
        <x:v>Thunnus albacares</x:v>
      </x:c>
      <x:c r="F32" s="24" t="str">
        <x:v>Yellowfin tuna</x:v>
      </x:c>
      <x:c r="G32" s="24" t="str">
        <x:v>Large pelagics (&gt;=90 cm)</x:v>
      </x:c>
      <x:c r="H32" s="24" t="str">
        <x:v>Tuna &amp; billfishes</x:v>
      </x:c>
      <x:c r="I32" s="31" t="n">
        <x:v>694.8913075459</x:v>
      </x:c>
      <x:c r="J32" s="31" t="n">
        <x:v>694.8913075459</x:v>
      </x:c>
      <x:c r="K32" s="31" t="n">
        <x:v>0</x:v>
      </x:c>
      <x:c r="L32" s="31" t="n">
        <x:v>212.0011694803</x:v>
      </x:c>
      <x:c r="M32" s="31" t="n">
        <x:v>482.8901380656</x:v>
      </x:c>
      <x:c r="N32" s="24" t="str">
        <x:v>thunnus albacares</x:v>
      </x:c>
      <x:c r="O32" s="32" t="n">
        <x:v>4.41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Thunnus albacares</x:v>
      </x:c>
      <x:c r="T32" s="32" t="n">
        <x:f>IF(O32="","",(1/'Metadata'!$B$5)^(O32-1))</x:f>
        <x:v>2570.3957827688646</x:v>
      </x:c>
      <x:c r="U32" s="31" t="n">
        <x:f>IF(T32="","",I32*T32)</x:f>
        <x:v>1786145.6863987234</x:v>
      </x:c>
    </x:row>
    <x:row r="33" ht="18" customHeight="1">
      <x:c r="A33" s="24" t="str">
        <x:v>LME_006</x:v>
      </x:c>
      <x:c r="B33" s="24" t="str">
        <x:v>Southeast U.S. Continental Shelf</x:v>
      </x:c>
      <x:c r="C33" s="24" t="str">
        <x:v>LME</x:v>
      </x:c>
      <x:c r="D33" s="30" t="n">
        <x:v>2019</x:v>
      </x:c>
      <x:c r="E33" s="24" t="str">
        <x:v>Menticirrhus littoralis</x:v>
      </x:c>
      <x:c r="F33" s="24" t="str">
        <x:v>Gulf kingcroaker</x:v>
      </x:c>
      <x:c r="G33" s="24" t="str">
        <x:v>Medium demersals (30 - 89 cm)</x:v>
      </x:c>
      <x:c r="H33" s="24" t="str">
        <x:v>Perch-likes</x:v>
      </x:c>
      <x:c r="I33" s="31" t="n">
        <x:v>660.1061041004</x:v>
      </x:c>
      <x:c r="J33" s="31" t="n">
        <x:v>660.1061041004</x:v>
      </x:c>
      <x:c r="K33" s="31" t="n">
        <x:v>0</x:v>
      </x:c>
      <x:c r="L33" s="31" t="n">
        <x:v>0</x:v>
      </x:c>
      <x:c r="M33" s="31" t="n">
        <x:v>660.1061041004</x:v>
      </x:c>
      <x:c r="N33" s="24" t="str">
        <x:v>menticirrhus littoralis</x:v>
      </x:c>
      <x:c r="O33" s="32" t="n">
        <x:v>3.92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Menticirrhus littoralis</x:v>
      </x:c>
      <x:c r="T33" s="32" t="n">
        <x:f>IF(O33="","",(1/'Metadata'!$B$5)^(O33-1))</x:f>
        <x:v>831.7637711026708</x:v>
      </x:c>
      <x:c r="U33" s="31" t="n">
        <x:f>IF(T33="","",I33*T33)</x:f>
        <x:v>549052.3424744409</x:v>
      </x:c>
    </x:row>
    <x:row r="34" ht="18" customHeight="1">
      <x:c r="A34" s="24" t="str">
        <x:v>LME_006</x:v>
      </x:c>
      <x:c r="B34" s="24" t="str">
        <x:v>Southeast U.S. Continental Shelf</x:v>
      </x:c>
      <x:c r="C34" s="24" t="str">
        <x:v>LME</x:v>
      </x:c>
      <x:c r="D34" s="30" t="n">
        <x:v>2019</x:v>
      </x:c>
      <x:c r="E34" s="24" t="str">
        <x:v>Panulirus argus</x:v>
      </x:c>
      <x:c r="F34" s="24" t="str">
        <x:v>Caribbean spiny lobster</x:v>
      </x:c>
      <x:c r="G34" s="24" t="str">
        <x:v>Lobsters, crabs</x:v>
      </x:c>
      <x:c r="H34" s="24" t="str">
        <x:v>Crustaceans</x:v>
      </x:c>
      <x:c r="I34" s="31" t="n">
        <x:v>653.8010659496999</x:v>
      </x:c>
      <x:c r="J34" s="31" t="n">
        <x:v>653.8010659496999</x:v>
      </x:c>
      <x:c r="K34" s="31" t="n">
        <x:v>0</x:v>
      </x:c>
      <x:c r="L34" s="31" t="n">
        <x:v>513.2402812952</x:v>
      </x:c>
      <x:c r="M34" s="31" t="n">
        <x:v>140.5607846545</x:v>
      </x:c>
      <x:c r="N34" s="24" t="str">
        <x:v>panulirus argus</x:v>
      </x:c>
      <x:c r="O34" s="32" t="n">
        <x:v>3.2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Panulirus argus</x:v>
      </x:c>
      <x:c r="T34" s="32" t="n">
        <x:f>IF(O34="","",(1/'Metadata'!$B$5)^(O34-1))</x:f>
        <x:v>158.48931924611142</x:v>
      </x:c>
      <x:c r="U34" s="31" t="n">
        <x:f>IF(T34="","",I34*T34)</x:f>
        <x:v>103620.48586474993</x:v>
      </x:c>
    </x:row>
    <x:row r="35" ht="18" customHeight="1">
      <x:c r="A35" s="24" t="str">
        <x:v>LME_006</x:v>
      </x:c>
      <x:c r="B35" s="24" t="str">
        <x:v>Southeast U.S. Continental Shelf</x:v>
      </x:c>
      <x:c r="C35" s="24" t="str">
        <x:v>LME</x:v>
      </x:c>
      <x:c r="D35" s="30" t="n">
        <x:v>2019</x:v>
      </x:c>
      <x:c r="E35" s="24" t="str">
        <x:v>Mugilidae</x:v>
      </x:c>
      <x:c r="F35" s="24" t="str">
        <x:v>Mullets, grey mullets</x:v>
      </x:c>
      <x:c r="G35" s="24" t="str">
        <x:v>Medium reef assoc. fish (30 - 89 cm)</x:v>
      </x:c>
      <x:c r="H35" s="24" t="str">
        <x:v>Perch-likes</x:v>
      </x:c>
      <x:c r="I35" s="31" t="n">
        <x:v>649.3725077071</x:v>
      </x:c>
      <x:c r="J35" s="31" t="n">
        <x:v>649.3725077071</x:v>
      </x:c>
      <x:c r="K35" s="31" t="n">
        <x:v>0</x:v>
      </x:c>
      <x:c r="L35" s="31" t="n">
        <x:v>2.0064656756</x:v>
      </x:c>
      <x:c r="M35" s="31" t="n">
        <x:v>647.3660420315</x:v>
      </x:c>
      <x:c r="N35" s="24" t="str">
        <x:v>mugilidae</x:v>
      </x:c>
      <x:c r="O35" s="32" t="n">
        <x:v>2.53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Mugilidae</x:v>
      </x:c>
      <x:c r="T35" s="32" t="n">
        <x:f>IF(O35="","",(1/'Metadata'!$B$5)^(O35-1))</x:f>
        <x:v>33.88441561392024</x:v>
      </x:c>
      <x:c r="U35" s="31" t="n">
        <x:f>IF(T35="","",I35*T35)</x:f>
        <x:v>22003.607939401</x:v>
      </x:c>
    </x:row>
    <x:row r="36" ht="18" customHeight="1">
      <x:c r="A36" s="24" t="str">
        <x:v>LME_006</x:v>
      </x:c>
      <x:c r="B36" s="24" t="str">
        <x:v>Southeast U.S. Continental Shelf</x:v>
      </x:c>
      <x:c r="C36" s="24" t="str">
        <x:v>LME</x:v>
      </x:c>
      <x:c r="D36" s="30" t="n">
        <x:v>2019</x:v>
      </x:c>
      <x:c r="E36" s="24" t="str">
        <x:v>Acanthocybium solandri</x:v>
      </x:c>
      <x:c r="F36" s="24" t="str">
        <x:v>Wahoo</x:v>
      </x:c>
      <x:c r="G36" s="24" t="str">
        <x:v>Large pelagics (&gt;=90 cm)</x:v>
      </x:c>
      <x:c r="H36" s="24" t="str">
        <x:v>Perch-likes</x:v>
      </x:c>
      <x:c r="I36" s="31" t="n">
        <x:v>629.079968297</x:v>
      </x:c>
      <x:c r="J36" s="31" t="n">
        <x:v>628.486535701</x:v>
      </x:c>
      <x:c r="K36" s="31" t="n">
        <x:v>0.5934325960000001</x:v>
      </x:c>
      <x:c r="L36" s="31" t="n">
        <x:v>15.023949231700001</x:v>
      </x:c>
      <x:c r="M36" s="31" t="n">
        <x:v>614.0560190653</x:v>
      </x:c>
      <x:c r="N36" s="24" t="str">
        <x:v>acanthocybium solandri</x:v>
      </x:c>
      <x:c r="O36" s="32" t="n">
        <x:v>4.26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Acanthocybium solandri</x:v>
      </x:c>
      <x:c r="T36" s="32" t="n">
        <x:f>IF(O36="","",(1/'Metadata'!$B$5)^(O36-1))</x:f>
        <x:v>1819.7008586099826</x:v>
      </x:c>
      <x:c r="U36" s="31" t="n">
        <x:f>IF(T36="","",I36*T36)</x:f>
        <x:v>1144737.3584443915</x:v>
      </x:c>
    </x:row>
    <x:row r="37" ht="18" customHeight="1">
      <x:c r="A37" s="24" t="str">
        <x:v>LME_006</x:v>
      </x:c>
      <x:c r="B37" s="24" t="str">
        <x:v>Southeast U.S. Continental Shelf</x:v>
      </x:c>
      <x:c r="C37" s="24" t="str">
        <x:v>LME</x:v>
      </x:c>
      <x:c r="D37" s="30" t="n">
        <x:v>2019</x:v>
      </x:c>
      <x:c r="E37" s="24" t="str">
        <x:v>Aliger gigas</x:v>
      </x:c>
      <x:c r="F37" s="24" t="str">
        <x:v>Pink conch</x:v>
      </x:c>
      <x:c r="G37" s="24" t="str">
        <x:v>Other demersal invertebrates</x:v>
      </x:c>
      <x:c r="H37" s="24" t="str">
        <x:v>Molluscs</x:v>
      </x:c>
      <x:c r="I37" s="31" t="n">
        <x:v>607.9516976886999</x:v>
      </x:c>
      <x:c r="J37" s="31" t="n">
        <x:v>607.9516976886999</x:v>
      </x:c>
      <x:c r="K37" s="31" t="n">
        <x:v>0</x:v>
      </x:c>
      <x:c r="L37" s="31" t="n">
        <x:v>443.7205173168</x:v>
      </x:c>
      <x:c r="M37" s="31" t="n">
        <x:v>164.2311803719</x:v>
      </x:c>
      <x:c r="N37" s="24" t="str">
        <x:v>aliger gigas</x:v>
      </x:c>
      <x:c r="O37" s="32" t="n">
        <x:v>2.19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Aliger gigas</x:v>
      </x:c>
      <x:c r="T37" s="32" t="n">
        <x:f>IF(O37="","",(1/'Metadata'!$B$5)^(O37-1))</x:f>
        <x:v>15.488166189124811</x:v>
      </x:c>
      <x:c r="U37" s="31" t="n">
        <x:f>IF(T37="","",I37*T37)</x:f>
        <x:v>9416.056928763152</x:v>
      </x:c>
    </x:row>
    <x:row r="38" ht="18" customHeight="1">
      <x:c r="A38" s="24" t="str">
        <x:v>LME_006</x:v>
      </x:c>
      <x:c r="B38" s="24" t="str">
        <x:v>Southeast U.S. Continental Shelf</x:v>
      </x:c>
      <x:c r="C38" s="24" t="str">
        <x:v>LME</x:v>
      </x:c>
      <x:c r="D38" s="30" t="n">
        <x:v>2019</x:v>
      </x:c>
      <x:c r="E38" s="24" t="str">
        <x:v>Malacostraca</x:v>
      </x:c>
      <x:c r="F38" s="24" t="str">
        <x:v>Lobsters, crabs, shrimps, krill</x:v>
      </x:c>
      <x:c r="G38" s="24" t="str">
        <x:v>Shrimps</x:v>
      </x:c>
      <x:c r="H38" s="24" t="str">
        <x:v>Crustaceans</x:v>
      </x:c>
      <x:c r="I38" s="31" t="n">
        <x:v>602.0806933774</x:v>
      </x:c>
      <x:c r="J38" s="31" t="n">
        <x:v>0</x:v>
      </x:c>
      <x:c r="K38" s="31" t="n">
        <x:v>602.0806933774</x:v>
      </x:c>
      <x:c r="L38" s="31" t="n">
        <x:v>0</x:v>
      </x:c>
      <x:c r="M38" s="31" t="n">
        <x:v>602.0806933774</x:v>
      </x:c>
      <x:c r="N38" s="24" t="str">
        <x:v>malacostraca</x:v>
      </x:c>
      <x:c r="O38" s="32" t="n">
        <x:v>3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Malacostraca</x:v>
      </x:c>
      <x:c r="T38" s="32" t="n">
        <x:f>IF(O38="","",(1/'Metadata'!$B$5)^(O38-1))</x:f>
        <x:v>100</x:v>
      </x:c>
      <x:c r="U38" s="31" t="n">
        <x:f>IF(T38="","",I38*T38)</x:f>
        <x:v>60208.06933774</x:v>
      </x:c>
    </x:row>
    <x:row r="39" ht="18" customHeight="1">
      <x:c r="A39" s="24" t="str">
        <x:v>LME_006</x:v>
      </x:c>
      <x:c r="B39" s="24" t="str">
        <x:v>Southeast U.S. Continental Shelf</x:v>
      </x:c>
      <x:c r="C39" s="24" t="str">
        <x:v>LME</x:v>
      </x:c>
      <x:c r="D39" s="30" t="n">
        <x:v>2019</x:v>
      </x:c>
      <x:c r="E39" s="24" t="str">
        <x:v>Crassostrea virginica</x:v>
      </x:c>
      <x:c r="F39" s="24" t="str">
        <x:v>American cupped oyster</x:v>
      </x:c>
      <x:c r="G39" s="24" t="str">
        <x:v>Other demersal invertebrates</x:v>
      </x:c>
      <x:c r="H39" s="24" t="str">
        <x:v>Molluscs</x:v>
      </x:c>
      <x:c r="I39" s="31" t="n">
        <x:v>584.230468185</x:v>
      </x:c>
      <x:c r="J39" s="31" t="n">
        <x:v>557.0918177941</x:v>
      </x:c>
      <x:c r="K39" s="31" t="n">
        <x:v>27.1386503909</x:v>
      </x:c>
      <x:c r="L39" s="31" t="n">
        <x:v>256.6899894068</x:v>
      </x:c>
      <x:c r="M39" s="31" t="n">
        <x:v>327.54047877820005</x:v>
      </x:c>
      <x:c r="N39" s="24" t="str">
        <x:v>crassostrea virginica</x:v>
      </x:c>
      <x:c r="O39" s="32" t="n">
        <x:v>2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Crassostrea virginica</x:v>
      </x:c>
      <x:c r="T39" s="32" t="n">
        <x:f>IF(O39="","",(1/'Metadata'!$B$5)^(O39-1))</x:f>
        <x:v>10</x:v>
      </x:c>
      <x:c r="U39" s="31" t="n">
        <x:f>IF(T39="","",I39*T39)</x:f>
        <x:v>5842.30468185</x:v>
      </x:c>
    </x:row>
    <x:row r="40" ht="18" customHeight="1">
      <x:c r="A40" s="24" t="str">
        <x:v>LME_006</x:v>
      </x:c>
      <x:c r="B40" s="24" t="str">
        <x:v>Southeast U.S. Continental Shelf</x:v>
      </x:c>
      <x:c r="C40" s="24" t="str">
        <x:v>LME</x:v>
      </x:c>
      <x:c r="D40" s="30" t="n">
        <x:v>2019</x:v>
      </x:c>
      <x:c r="E40" s="24" t="str">
        <x:v>Euthynnus alletteratus</x:v>
      </x:c>
      <x:c r="F40" s="24" t="str">
        <x:v>Little tunny </x:v>
      </x:c>
      <x:c r="G40" s="24" t="str">
        <x:v>Large pelagics (&gt;=90 cm)</x:v>
      </x:c>
      <x:c r="H40" s="24" t="str">
        <x:v>Tuna &amp; billfishes</x:v>
      </x:c>
      <x:c r="I40" s="31" t="n">
        <x:v>580.0291278366</x:v>
      </x:c>
      <x:c r="J40" s="31" t="n">
        <x:v>558.169815403</x:v>
      </x:c>
      <x:c r="K40" s="31" t="n">
        <x:v>21.8593124336</x:v>
      </x:c>
      <x:c r="L40" s="31" t="n">
        <x:v>137.8880240299</x:v>
      </x:c>
      <x:c r="M40" s="31" t="n">
        <x:v>442.1411038067</x:v>
      </x:c>
      <x:c r="N40" s="24" t="str">
        <x:v>euthynnus alletteratus</x:v>
      </x:c>
      <x:c r="O40" s="32" t="n">
        <x:v>4.49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Euthynnus alletteratus</x:v>
      </x:c>
      <x:c r="T40" s="32" t="n">
        <x:f>IF(O40="","",(1/'Metadata'!$B$5)^(O40-1))</x:f>
        <x:v>3090.295432513592</x:v>
      </x:c>
      <x:c r="U40" s="31" t="n">
        <x:f>IF(T40="","",I40*T40)</x:f>
        <x:v>1792461.3644782873</x:v>
      </x:c>
    </x:row>
    <x:row r="41" ht="18" customHeight="1">
      <x:c r="A41" s="24" t="str">
        <x:v>LME_006</x:v>
      </x:c>
      <x:c r="B41" s="24" t="str">
        <x:v>Southeast U.S. Continental Shelf</x:v>
      </x:c>
      <x:c r="C41" s="24" t="str">
        <x:v>LME</x:v>
      </x:c>
      <x:c r="D41" s="30" t="n">
        <x:v>2019</x:v>
      </x:c>
      <x:c r="E41" s="24" t="str">
        <x:v>Centropristis striata</x:v>
      </x:c>
      <x:c r="F41" s="24" t="str">
        <x:v>Black seabass</x:v>
      </x:c>
      <x:c r="G41" s="24" t="str">
        <x:v>Medium reef assoc. fish (30 - 89 cm)</x:v>
      </x:c>
      <x:c r="H41" s="24" t="str">
        <x:v>Perch-likes</x:v>
      </x:c>
      <x:c r="I41" s="31" t="n">
        <x:v>522.3749808967</x:v>
      </x:c>
      <x:c r="J41" s="31" t="n">
        <x:v>463.524938712</x:v>
      </x:c>
      <x:c r="K41" s="31" t="n">
        <x:v>58.8500421847</x:v>
      </x:c>
      <x:c r="L41" s="31" t="n">
        <x:v>214.0710280784</x:v>
      </x:c>
      <x:c r="M41" s="31" t="n">
        <x:v>308.3039528183</x:v>
      </x:c>
      <x:c r="N41" s="24" t="str">
        <x:v>centropristis striata</x:v>
      </x:c>
      <x:c r="O41" s="32" t="n">
        <x:v>3.89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Centropristis striata</x:v>
      </x:c>
      <x:c r="T41" s="32" t="n">
        <x:f>IF(O41="","",(1/'Metadata'!$B$5)^(O41-1))</x:f>
        <x:v>776.247116628692</x:v>
      </x:c>
      <x:c r="U41" s="31" t="n">
        <x:f>IF(T41="","",I41*T41)</x:f>
        <x:v>405492.0727200314</x:v>
      </x:c>
    </x:row>
    <x:row r="42" ht="18" customHeight="1">
      <x:c r="A42" s="24" t="str">
        <x:v>LME_006</x:v>
      </x:c>
      <x:c r="B42" s="24" t="str">
        <x:v>Southeast U.S. Continental Shelf</x:v>
      </x:c>
      <x:c r="C42" s="24" t="str">
        <x:v>LME</x:v>
      </x:c>
      <x:c r="D42" s="30" t="n">
        <x:v>2019</x:v>
      </x:c>
      <x:c r="E42" s="24" t="str">
        <x:v>Opisthonema oglinum</x:v>
      </x:c>
      <x:c r="F42" s="24" t="str">
        <x:v>Atlantic thread herring</x:v>
      </x:c>
      <x:c r="G42" s="24" t="str">
        <x:v>Small pelagics (&lt;30 cm)</x:v>
      </x:c>
      <x:c r="H42" s="24" t="str">
        <x:v>Herring-likes</x:v>
      </x:c>
      <x:c r="I42" s="31" t="n">
        <x:v>504.4881660688</x:v>
      </x:c>
      <x:c r="J42" s="31" t="n">
        <x:v>495.22273954499997</x:v>
      </x:c>
      <x:c r="K42" s="31" t="n">
        <x:v>9.2654265238</x:v>
      </x:c>
      <x:c r="L42" s="31" t="n">
        <x:v>28.587167471</x:v>
      </x:c>
      <x:c r="M42" s="31" t="n">
        <x:v>475.90099859779997</x:v>
      </x:c>
      <x:c r="N42" s="24" t="str">
        <x:v>opisthonema oglinum</x:v>
      </x:c>
      <x:c r="O42" s="32" t="n">
        <x:v>4.5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Opisthonema oglinum</x:v>
      </x:c>
      <x:c r="T42" s="32" t="n">
        <x:f>IF(O42="","",(1/'Metadata'!$B$5)^(O42-1))</x:f>
        <x:v>3162.2776601683795</x:v>
      </x:c>
      <x:c r="U42" s="31" t="n">
        <x:f>IF(T42="","",I42*T42)</x:f>
        <x:v>1595331.6573786817</x:v>
      </x:c>
    </x:row>
    <x:row r="43" ht="18" customHeight="1">
      <x:c r="A43" s="24" t="str">
        <x:v>LME_006</x:v>
      </x:c>
      <x:c r="B43" s="24" t="str">
        <x:v>Southeast U.S. Continental Shelf</x:v>
      </x:c>
      <x:c r="C43" s="24" t="str">
        <x:v>LME</x:v>
      </x:c>
      <x:c r="D43" s="30" t="n">
        <x:v>2019</x:v>
      </x:c>
      <x:c r="E43" s="24" t="str">
        <x:v>Sparidae</x:v>
      </x:c>
      <x:c r="F43" s="24" t="str">
        <x:v>Porgies, seabreams</x:v>
      </x:c>
      <x:c r="G43" s="24" t="str">
        <x:v>Medium benthopelagics (30 - 89 cm)</x:v>
      </x:c>
      <x:c r="H43" s="24" t="str">
        <x:v>Perch-likes</x:v>
      </x:c>
      <x:c r="I43" s="31" t="n">
        <x:v>470.3726032201</x:v>
      </x:c>
      <x:c r="J43" s="31" t="n">
        <x:v>470.3543727622</x:v>
      </x:c>
      <x:c r="K43" s="31" t="n">
        <x:v>0.0182304579</x:v>
      </x:c>
      <x:c r="L43" s="31" t="n">
        <x:v>8.4259736159</x:v>
      </x:c>
      <x:c r="M43" s="31" t="n">
        <x:v>461.94662960420004</x:v>
      </x:c>
      <x:c r="N43" s="24" t="str">
        <x:v>sparidae</x:v>
      </x:c>
      <x:c r="O43" s="32" t="n">
        <x:v>3.31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Sparidae</x:v>
      </x:c>
      <x:c r="T43" s="32" t="n">
        <x:f>IF(O43="","",(1/'Metadata'!$B$5)^(O43-1))</x:f>
        <x:v>204.17379446695296</x:v>
      </x:c>
      <x:c r="U43" s="31" t="n">
        <x:f>IF(T43="","",I43*T43)</x:f>
        <x:v>96037.75921274631</x:v>
      </x:c>
    </x:row>
    <x:row r="44" ht="18" customHeight="1">
      <x:c r="A44" s="24" t="str">
        <x:v>LME_006</x:v>
      </x:c>
      <x:c r="B44" s="24" t="str">
        <x:v>Southeast U.S. Continental Shelf</x:v>
      </x:c>
      <x:c r="C44" s="24" t="str">
        <x:v>LME</x:v>
      </x:c>
      <x:c r="D44" s="30" t="n">
        <x:v>2019</x:v>
      </x:c>
      <x:c r="E44" s="24" t="str">
        <x:v>Squalus acanthias</x:v>
      </x:c>
      <x:c r="F44" s="24" t="str">
        <x:v>Picked dogfish</x:v>
      </x:c>
      <x:c r="G44" s="24" t="str">
        <x:v>Large sharks (&gt;=90 cm)</x:v>
      </x:c>
      <x:c r="H44" s="24" t="str">
        <x:v>Sharks &amp; rays</x:v>
      </x:c>
      <x:c r="I44" s="31" t="n">
        <x:v>457.1367450368</x:v>
      </x:c>
      <x:c r="J44" s="31" t="n">
        <x:v>457.1367450368</x:v>
      </x:c>
      <x:c r="K44" s="31" t="n">
        <x:v>0</x:v>
      </x:c>
      <x:c r="L44" s="31" t="n">
        <x:v>436.90264508079997</x:v>
      </x:c>
      <x:c r="M44" s="31" t="n">
        <x:v>20.234099956</x:v>
      </x:c>
      <x:c r="N44" s="24" t="str">
        <x:v>squalus acanthias</x:v>
      </x:c>
      <x:c r="O44" s="32" t="n">
        <x:v>4.37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Squalus acanthias</x:v>
      </x:c>
      <x:c r="T44" s="32" t="n">
        <x:f>IF(O44="","",(1/'Metadata'!$B$5)^(O44-1))</x:f>
        <x:v>2344.228815319923</x:v>
      </x:c>
      <x:c r="U44" s="31" t="n">
        <x:f>IF(T44="","",I44*T44)</x:f>
        <x:v>1071633.1302568233</x:v>
      </x:c>
    </x:row>
    <x:row r="45" ht="18" customHeight="1">
      <x:c r="A45" s="24" t="str">
        <x:v>LME_006</x:v>
      </x:c>
      <x:c r="B45" s="24" t="str">
        <x:v>Southeast U.S. Continental Shelf</x:v>
      </x:c>
      <x:c r="C45" s="24" t="str">
        <x:v>LME</x:v>
      </x:c>
      <x:c r="D45" s="30" t="n">
        <x:v>2019</x:v>
      </x:c>
      <x:c r="E45" s="24" t="str">
        <x:v>Sphoeroides maculatus</x:v>
      </x:c>
      <x:c r="F45" s="24" t="str">
        <x:v>Northern puffer</x:v>
      </x:c>
      <x:c r="G45" s="24" t="str">
        <x:v>Medium demersals (30 - 89 cm)</x:v>
      </x:c>
      <x:c r="H45" s="24" t="str">
        <x:v>Other fishes &amp; inverts</x:v>
      </x:c>
      <x:c r="I45" s="31" t="n">
        <x:v>454.6954436941</x:v>
      </x:c>
      <x:c r="J45" s="31" t="n">
        <x:v>454.6954436941</x:v>
      </x:c>
      <x:c r="K45" s="31" t="n">
        <x:v>0</x:v>
      </x:c>
      <x:c r="L45" s="31" t="n">
        <x:v>0</x:v>
      </x:c>
      <x:c r="M45" s="31" t="n">
        <x:v>454.6954436941</x:v>
      </x:c>
      <x:c r="N45" s="24" t="str">
        <x:v>sphoeroides maculatus</x:v>
      </x:c>
      <x:c r="O45" s="32" t="n">
        <x:v>4.04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Sphoeroides maculatus</x:v>
      </x:c>
      <x:c r="T45" s="32" t="n">
        <x:f>IF(O45="","",(1/'Metadata'!$B$5)^(O45-1))</x:f>
        <x:v>1096.4781961431852</x:v>
      </x:c>
      <x:c r="U45" s="31" t="n">
        <x:f>IF(T45="","",I45*T45)</x:f>
        <x:v>498563.639896232</x:v>
      </x:c>
    </x:row>
    <x:row r="46" ht="18" customHeight="1">
      <x:c r="A46" s="24" t="str">
        <x:v>LME_006</x:v>
      </x:c>
      <x:c r="B46" s="24" t="str">
        <x:v>Southeast U.S. Continental Shelf</x:v>
      </x:c>
      <x:c r="C46" s="24" t="str">
        <x:v>LME</x:v>
      </x:c>
      <x:c r="D46" s="30" t="n">
        <x:v>2019</x:v>
      </x:c>
      <x:c r="E46" s="24" t="str">
        <x:v>Siluriformes</x:v>
      </x:c>
      <x:c r="F46" s="24" t="str">
        <x:v>Catfishes</x:v>
      </x:c>
      <x:c r="G46" s="24" t="str">
        <x:v>Medium demersals (30 - 89 cm)</x:v>
      </x:c>
      <x:c r="H46" s="24" t="str">
        <x:v>Other fishes &amp; inverts</x:v>
      </x:c>
      <x:c r="I46" s="31" t="n">
        <x:v>442.1609163777</x:v>
      </x:c>
      <x:c r="J46" s="31" t="n">
        <x:v>442.1609163777</x:v>
      </x:c>
      <x:c r="K46" s="31" t="n">
        <x:v>0</x:v>
      </x:c>
      <x:c r="L46" s="31" t="n">
        <x:v>442.1609163777</x:v>
      </x:c>
      <x:c r="M46" s="31" t="n">
        <x:v>0</x:v>
      </x:c>
      <x:c r="N46" s="24" t="str">
        <x:v>siluriformes</x:v>
      </x:c>
      <x:c r="O46" s="32" t="n">
        <x:v>3.48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Siluriformes</x:v>
      </x:c>
      <x:c r="T46" s="32" t="n">
        <x:f>IF(O46="","",(1/'Metadata'!$B$5)^(O46-1))</x:f>
        <x:v>301.9951720402016</x:v>
      </x:c>
      <x:c r="U46" s="31" t="n">
        <x:f>IF(T46="","",I46*T46)</x:f>
        <x:v>133530.46201093672</x:v>
      </x:c>
    </x:row>
    <x:row r="47" ht="18" customHeight="1">
      <x:c r="A47" s="24" t="str">
        <x:v>LME_006</x:v>
      </x:c>
      <x:c r="B47" s="24" t="str">
        <x:v>Southeast U.S. Continental Shelf</x:v>
      </x:c>
      <x:c r="C47" s="24" t="str">
        <x:v>LME</x:v>
      </x:c>
      <x:c r="D47" s="30" t="n">
        <x:v>2019</x:v>
      </x:c>
      <x:c r="E47" s="24" t="str">
        <x:v>Rhomboplites aurorubens</x:v>
      </x:c>
      <x:c r="F47" s="24" t="str">
        <x:v>Vermilion snapper</x:v>
      </x:c>
      <x:c r="G47" s="24" t="str">
        <x:v>Medium demersals (30 - 89 cm)</x:v>
      </x:c>
      <x:c r="H47" s="24" t="str">
        <x:v>Perch-likes</x:v>
      </x:c>
      <x:c r="I47" s="31" t="n">
        <x:v>433.862343258</x:v>
      </x:c>
      <x:c r="J47" s="31" t="n">
        <x:v>414.4030068394</x:v>
      </x:c>
      <x:c r="K47" s="31" t="n">
        <x:v>19.4593364186</x:v>
      </x:c>
      <x:c r="L47" s="31" t="n">
        <x:v>242.4924501603</x:v>
      </x:c>
      <x:c r="M47" s="31" t="n">
        <x:v>191.36989309770001</x:v>
      </x:c>
      <x:c r="N47" s="24" t="str">
        <x:v>rhomboplites aurorubens</x:v>
      </x:c>
      <x:c r="O47" s="32" t="n">
        <x:v>4.36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Rhomboplites aurorubens</x:v>
      </x:c>
      <x:c r="T47" s="32" t="n">
        <x:f>IF(O47="","",(1/'Metadata'!$B$5)^(O47-1))</x:f>
        <x:v>2290.867652767775</x:v>
      </x:c>
      <x:c r="U47" s="31" t="n">
        <x:f>IF(T47="","",I47*T47)</x:f>
        <x:v>993921.2079237811</x:v>
      </x:c>
    </x:row>
    <x:row r="48" ht="18" customHeight="1">
      <x:c r="A48" s="24" t="str">
        <x:v>LME_006</x:v>
      </x:c>
      <x:c r="B48" s="24" t="str">
        <x:v>Southeast U.S. Continental Shelf</x:v>
      </x:c>
      <x:c r="C48" s="24" t="str">
        <x:v>LME</x:v>
      </x:c>
      <x:c r="D48" s="30" t="n">
        <x:v>2019</x:v>
      </x:c>
      <x:c r="E48" s="24" t="str">
        <x:v>Sphyraena barracuda</x:v>
      </x:c>
      <x:c r="F48" s="24" t="str">
        <x:v>Great barracuda</x:v>
      </x:c>
      <x:c r="G48" s="24" t="str">
        <x:v>Large pelagics (&gt;=90 cm)</x:v>
      </x:c>
      <x:c r="H48" s="24" t="str">
        <x:v>Perch-likes</x:v>
      </x:c>
      <x:c r="I48" s="31" t="n">
        <x:v>422.7934978499</x:v>
      </x:c>
      <x:c r="J48" s="31" t="n">
        <x:v>422.7934978499</x:v>
      </x:c>
      <x:c r="K48" s="31" t="n">
        <x:v>0</x:v>
      </x:c>
      <x:c r="L48" s="31" t="n">
        <x:v>10.145272781000001</x:v>
      </x:c>
      <x:c r="M48" s="31" t="n">
        <x:v>412.6482250689</x:v>
      </x:c>
      <x:c r="N48" s="24" t="str">
        <x:v>sphyraena barracuda</x:v>
      </x:c>
      <x:c r="O48" s="32" t="n">
        <x:v>4.49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Sphyraena barracuda</x:v>
      </x:c>
      <x:c r="T48" s="32" t="n">
        <x:f>IF(O48="","",(1/'Metadata'!$B$5)^(O48-1))</x:f>
        <x:v>3090.295432513592</x:v>
      </x:c>
      <x:c r="U48" s="31" t="n">
        <x:f>IF(T48="","",I48*T48)</x:f>
        <x:v>1306556.815301991</x:v>
      </x:c>
    </x:row>
    <x:row r="49" ht="18" customHeight="1">
      <x:c r="A49" s="24" t="str">
        <x:v>LME_006</x:v>
      </x:c>
      <x:c r="B49" s="24" t="str">
        <x:v>Southeast U.S. Continental Shelf</x:v>
      </x:c>
      <x:c r="C49" s="24" t="str">
        <x:v>LME</x:v>
      </x:c>
      <x:c r="D49" s="30" t="n">
        <x:v>2019</x:v>
      </x:c>
      <x:c r="E49" s="24" t="str">
        <x:v>Placopecten magellanicus</x:v>
      </x:c>
      <x:c r="F49" s="24" t="str">
        <x:v>American sea scallop</x:v>
      </x:c>
      <x:c r="G49" s="24" t="str">
        <x:v>Other demersal invertebrates</x:v>
      </x:c>
      <x:c r="H49" s="24" t="str">
        <x:v>Molluscs</x:v>
      </x:c>
      <x:c r="I49" s="31" t="n">
        <x:v>415.81133924010004</x:v>
      </x:c>
      <x:c r="J49" s="31" t="n">
        <x:v>80.43481205670001</x:v>
      </x:c>
      <x:c r="K49" s="31" t="n">
        <x:v>335.3765271834</x:v>
      </x:c>
      <x:c r="L49" s="31" t="n">
        <x:v>75.4946109043</x:v>
      </x:c>
      <x:c r="M49" s="31" t="n">
        <x:v>340.3167283358</x:v>
      </x:c>
      <x:c r="N49" s="24" t="str">
        <x:v>placopecten magellanicus</x:v>
      </x:c>
      <x:c r="O49" s="32" t="n">
        <x:v>2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Placopecten magellanicus</x:v>
      </x:c>
      <x:c r="T49" s="32" t="n">
        <x:f>IF(O49="","",(1/'Metadata'!$B$5)^(O49-1))</x:f>
        <x:v>10</x:v>
      </x:c>
      <x:c r="U49" s="31" t="n">
        <x:f>IF(T49="","",I49*T49)</x:f>
        <x:v>4158.113392401</x:v>
      </x:c>
    </x:row>
    <x:row r="50" ht="18" customHeight="1">
      <x:c r="A50" s="24" t="str">
        <x:v>LME_006</x:v>
      </x:c>
      <x:c r="B50" s="24" t="str">
        <x:v>Southeast U.S. Continental Shelf</x:v>
      </x:c>
      <x:c r="C50" s="24" t="str">
        <x:v>LME</x:v>
      </x:c>
      <x:c r="D50" s="30" t="n">
        <x:v>2019</x:v>
      </x:c>
      <x:c r="E50" s="24" t="str">
        <x:v>Balistes capriscus</x:v>
      </x:c>
      <x:c r="F50" s="24" t="str">
        <x:v>Grey triggerfish</x:v>
      </x:c>
      <x:c r="G50" s="24" t="str">
        <x:v>Medium benthopelagics (30 - 89 cm)</x:v>
      </x:c>
      <x:c r="H50" s="24" t="str">
        <x:v>Other fishes &amp; inverts</x:v>
      </x:c>
      <x:c r="I50" s="31" t="n">
        <x:v>404.82065482950003</x:v>
      </x:c>
      <x:c r="J50" s="31" t="n">
        <x:v>357.0188518863</x:v>
      </x:c>
      <x:c r="K50" s="31" t="n">
        <x:v>47.8018029432</x:v>
      </x:c>
      <x:c r="L50" s="31" t="n">
        <x:v>73.7552204106</x:v>
      </x:c>
      <x:c r="M50" s="31" t="n">
        <x:v>331.06543441890005</x:v>
      </x:c>
      <x:c r="N50" s="24" t="str">
        <x:v>balistes capriscus</x:v>
      </x:c>
      <x:c r="O50" s="32" t="n">
        <x:v>4.06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Balistes capriscus</x:v>
      </x:c>
      <x:c r="T50" s="32" t="n">
        <x:f>IF(O50="","",(1/'Metadata'!$B$5)^(O50-1))</x:f>
        <x:v>1148.1536214968817</x:v>
      </x:c>
      <x:c r="U50" s="31" t="n">
        <x:f>IF(T50="","",I50*T50)</x:f>
        <x:v>464796.30089922954</x:v>
      </x:c>
    </x:row>
    <x:row r="51" ht="18" customHeight="1">
      <x:c r="A51" s="24" t="str">
        <x:v>LME_006</x:v>
      </x:c>
      <x:c r="B51" s="24" t="str">
        <x:v>Southeast U.S. Continental Shelf</x:v>
      </x:c>
      <x:c r="C51" s="24" t="str">
        <x:v>LME</x:v>
      </x:c>
      <x:c r="D51" s="30" t="n">
        <x:v>2019</x:v>
      </x:c>
      <x:c r="E51" s="24" t="str">
        <x:v>Thunnus atlanticus</x:v>
      </x:c>
      <x:c r="F51" s="24" t="str">
        <x:v>Blackfin tuna</x:v>
      </x:c>
      <x:c r="G51" s="24" t="str">
        <x:v>Large pelagics (&gt;=90 cm)</x:v>
      </x:c>
      <x:c r="H51" s="24" t="str">
        <x:v>Tuna &amp; billfishes</x:v>
      </x:c>
      <x:c r="I51" s="31" t="n">
        <x:v>401.47890894759996</x:v>
      </x:c>
      <x:c r="J51" s="31" t="n">
        <x:v>401.47890894759996</x:v>
      </x:c>
      <x:c r="K51" s="31" t="n">
        <x:v>0</x:v>
      </x:c>
      <x:c r="L51" s="31" t="n">
        <x:v>12.053085373399998</x:v>
      </x:c>
      <x:c r="M51" s="31" t="n">
        <x:v>389.42582357419997</x:v>
      </x:c>
      <x:c r="N51" s="24" t="str">
        <x:v>thunnus atlanticus</x:v>
      </x:c>
      <x:c r="O51" s="32" t="n">
        <x:v>4.35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Thunnus atlanticus</x:v>
      </x:c>
      <x:c r="T51" s="32" t="n">
        <x:f>IF(O51="","",(1/'Metadata'!$B$5)^(O51-1))</x:f>
        <x:v>2238.7211385683377</x:v>
      </x:c>
      <x:c r="U51" s="31" t="n">
        <x:f>IF(T51="","",I51*T51)</x:f>
        <x:v>898799.320150345</x:v>
      </x:c>
    </x:row>
    <x:row r="52" ht="18" customHeight="1">
      <x:c r="A52" s="24" t="str">
        <x:v>LME_006</x:v>
      </x:c>
      <x:c r="B52" s="24" t="str">
        <x:v>Southeast U.S. Continental Shelf</x:v>
      </x:c>
      <x:c r="C52" s="24" t="str">
        <x:v>LME</x:v>
      </x:c>
      <x:c r="D52" s="30" t="n">
        <x:v>2019</x:v>
      </x:c>
      <x:c r="E52" s="24" t="str">
        <x:v>Menticirrhus saxatilis</x:v>
      </x:c>
      <x:c r="F52" s="24" t="str">
        <x:v>Northern kingfish</x:v>
      </x:c>
      <x:c r="G52" s="24" t="str">
        <x:v>Medium demersals (30 - 89 cm)</x:v>
      </x:c>
      <x:c r="H52" s="24" t="str">
        <x:v>Perch-likes</x:v>
      </x:c>
      <x:c r="I52" s="31" t="n">
        <x:v>374.2329232564</x:v>
      </x:c>
      <x:c r="J52" s="31" t="n">
        <x:v>9.4847831811</x:v>
      </x:c>
      <x:c r="K52" s="31" t="n">
        <x:v>364.7481400753</x:v>
      </x:c>
      <x:c r="L52" s="31" t="n">
        <x:v>0</x:v>
      </x:c>
      <x:c r="M52" s="31" t="n">
        <x:v>374.2329232564</x:v>
      </x:c>
      <x:c r="N52" s="24" t="str">
        <x:v>menticirrhus saxatilis</x:v>
      </x:c>
      <x:c r="O52" s="32" t="n">
        <x:v>3.56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Menticirrhus saxatilis</x:v>
      </x:c>
      <x:c r="T52" s="32" t="n">
        <x:f>IF(O52="","",(1/'Metadata'!$B$5)^(O52-1))</x:f>
        <x:v>363.0780547701014</x:v>
      </x:c>
      <x:c r="U52" s="31" t="n">
        <x:f>IF(T52="","",I52*T52)</x:f>
        <x:v>135875.76180686234</x:v>
      </x:c>
    </x:row>
    <x:row r="53" ht="18" customHeight="1">
      <x:c r="A53" s="24" t="str">
        <x:v>LME_006</x:v>
      </x:c>
      <x:c r="B53" s="24" t="str">
        <x:v>Southeast U.S. Continental Shelf</x:v>
      </x:c>
      <x:c r="C53" s="24" t="str">
        <x:v>LME</x:v>
      </x:c>
      <x:c r="D53" s="30" t="n">
        <x:v>2019</x:v>
      </x:c>
      <x:c r="E53" s="24" t="str">
        <x:v>Rachycentron canadum</x:v>
      </x:c>
      <x:c r="F53" s="24" t="str">
        <x:v>Cobia</x:v>
      </x:c>
      <x:c r="G53" s="24" t="str">
        <x:v>Large pelagics (&gt;=90 cm)</x:v>
      </x:c>
      <x:c r="H53" s="24" t="str">
        <x:v>Perch-likes</x:v>
      </x:c>
      <x:c r="I53" s="31" t="n">
        <x:v>358.4664044634</x:v>
      </x:c>
      <x:c r="J53" s="31" t="n">
        <x:v>358.4664044634</x:v>
      </x:c>
      <x:c r="K53" s="31" t="n">
        <x:v>0</x:v>
      </x:c>
      <x:c r="L53" s="31" t="n">
        <x:v>19.8129559464</x:v>
      </x:c>
      <x:c r="M53" s="31" t="n">
        <x:v>338.653448517</x:v>
      </x:c>
      <x:c r="N53" s="24" t="str">
        <x:v>rachycentron canadum</x:v>
      </x:c>
      <x:c r="O53" s="32" t="n">
        <x:v>3.96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Rachycentron canadum</x:v>
      </x:c>
      <x:c r="T53" s="32" t="n">
        <x:f>IF(O53="","",(1/'Metadata'!$B$5)^(O53-1))</x:f>
        <x:v>912.0108393559096</x:v>
      </x:c>
      <x:c r="U53" s="31" t="n">
        <x:f>IF(T53="","",I53*T53)</x:f>
        <x:v>326925.2464155604</x:v>
      </x:c>
    </x:row>
    <x:row r="54" ht="18" customHeight="1">
      <x:c r="A54" s="24" t="str">
        <x:v>LME_006</x:v>
      </x:c>
      <x:c r="B54" s="24" t="str">
        <x:v>Southeast U.S. Continental Shelf</x:v>
      </x:c>
      <x:c r="C54" s="24" t="str">
        <x:v>LME</x:v>
      </x:c>
      <x:c r="D54" s="30" t="n">
        <x:v>2019</x:v>
      </x:c>
      <x:c r="E54" s="24" t="str">
        <x:v>Rhizoprionodon terraenovae</x:v>
      </x:c>
      <x:c r="F54" s="24" t="str">
        <x:v>Atlantic sharpnose shark</x:v>
      </x:c>
      <x:c r="G54" s="24" t="str">
        <x:v>Large sharks (&gt;=90 cm)</x:v>
      </x:c>
      <x:c r="H54" s="24" t="str">
        <x:v>Sharks &amp; rays</x:v>
      </x:c>
      <x:c r="I54" s="31" t="n">
        <x:v>356.7270571135</x:v>
      </x:c>
      <x:c r="J54" s="31" t="n">
        <x:v>234.5482689425</x:v>
      </x:c>
      <x:c r="K54" s="31" t="n">
        <x:v>122.178788171</x:v>
      </x:c>
      <x:c r="L54" s="31" t="n">
        <x:v>147.0719147325</x:v>
      </x:c>
      <x:c r="M54" s="31" t="n">
        <x:v>209.655142381</x:v>
      </x:c>
      <x:c r="N54" s="24" t="str">
        <x:v>rhizoprionodon terraenovae</x:v>
      </x:c>
      <x:c r="O54" s="32" t="n">
        <x:v>4.37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Rhizoprionodon terraenovae</x:v>
      </x:c>
      <x:c r="T54" s="32" t="n">
        <x:f>IF(O54="","",(1/'Metadata'!$B$5)^(O54-1))</x:f>
        <x:v>2344.228815319923</x:v>
      </x:c>
      <x:c r="U54" s="31" t="n">
        <x:f>IF(T54="","",I54*T54)</x:f>
        <x:v>836249.8464897425</x:v>
      </x:c>
    </x:row>
    <x:row r="55" ht="18" customHeight="1">
      <x:c r="A55" s="24" t="str">
        <x:v>LME_006</x:v>
      </x:c>
      <x:c r="B55" s="24" t="str">
        <x:v>Southeast U.S. Continental Shelf</x:v>
      </x:c>
      <x:c r="C55" s="24" t="str">
        <x:v>LME</x:v>
      </x:c>
      <x:c r="D55" s="30" t="n">
        <x:v>2019</x:v>
      </x:c>
      <x:c r="E55" s="24" t="str">
        <x:v>Menticirrhus</x:v>
      </x:c>
      <x:c r="F55" s="24" t="str">
        <x:v>Kingcroakers</x:v>
      </x:c>
      <x:c r="G55" s="24" t="str">
        <x:v>Medium demersals (30 - 89 cm)</x:v>
      </x:c>
      <x:c r="H55" s="24" t="str">
        <x:v>Perch-likes</x:v>
      </x:c>
      <x:c r="I55" s="31" t="n">
        <x:v>343.8367820154</x:v>
      </x:c>
      <x:c r="J55" s="31" t="n">
        <x:v>343.8367820154</x:v>
      </x:c>
      <x:c r="K55" s="31" t="n">
        <x:v>0</x:v>
      </x:c>
      <x:c r="L55" s="31" t="n">
        <x:v>343.8367820154</x:v>
      </x:c>
      <x:c r="M55" s="31" t="n">
        <x:v>0</x:v>
      </x:c>
      <x:c r="N55" s="24" t="str">
        <x:v>menticirrhus</x:v>
      </x:c>
      <x:c r="O55" s="32" t="n">
        <x:v>3.67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Menticirrhus</x:v>
      </x:c>
      <x:c r="T55" s="32" t="n">
        <x:f>IF(O55="","",(1/'Metadata'!$B$5)^(O55-1))</x:f>
        <x:v>467.73514128719813</x:v>
      </x:c>
      <x:c r="U55" s="31" t="n">
        <x:f>IF(T55="","",I55*T55)</x:f>
        <x:v>160824.54581570867</x:v>
      </x:c>
    </x:row>
    <x:row r="56" ht="18" customHeight="1">
      <x:c r="A56" s="24" t="str">
        <x:v>LME_006</x:v>
      </x:c>
      <x:c r="B56" s="24" t="str">
        <x:v>Southeast U.S. Continental Shelf</x:v>
      </x:c>
      <x:c r="C56" s="24" t="str">
        <x:v>LME</x:v>
      </x:c>
      <x:c r="D56" s="30" t="n">
        <x:v>2019</x:v>
      </x:c>
      <x:c r="E56" s="24" t="str">
        <x:v>Cynoscion regalis</x:v>
      </x:c>
      <x:c r="F56" s="24" t="str">
        <x:v>Squeteague</x:v>
      </x:c>
      <x:c r="G56" s="24" t="str">
        <x:v>Medium demersals (30 - 89 cm)</x:v>
      </x:c>
      <x:c r="H56" s="24" t="str">
        <x:v>Perch-likes</x:v>
      </x:c>
      <x:c r="I56" s="31" t="n">
        <x:v>343.7811622041</x:v>
      </x:c>
      <x:c r="J56" s="31" t="n">
        <x:v>53.7860421492</x:v>
      </x:c>
      <x:c r="K56" s="31" t="n">
        <x:v>289.9951200549</x:v>
      </x:c>
      <x:c r="L56" s="31" t="n">
        <x:v>53.7860421492</x:v>
      </x:c>
      <x:c r="M56" s="31" t="n">
        <x:v>289.9951200549</x:v>
      </x:c>
      <x:c r="N56" s="24" t="str">
        <x:v>cynoscion regalis</x:v>
      </x:c>
      <x:c r="O56" s="32" t="n">
        <x:v>3.77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Cynoscion regalis</x:v>
      </x:c>
      <x:c r="T56" s="32" t="n">
        <x:f>IF(O56="","",(1/'Metadata'!$B$5)^(O56-1))</x:f>
        <x:v>588.843655355589</x:v>
      </x:c>
      <x:c r="U56" s="31" t="n">
        <x:f>IF(T56="","",I56*T56)</x:f>
        <x:v>202433.3561946549</x:v>
      </x:c>
    </x:row>
    <x:row r="57" ht="18" customHeight="1">
      <x:c r="A57" s="24" t="str">
        <x:v>LME_006</x:v>
      </x:c>
      <x:c r="B57" s="24" t="str">
        <x:v>Southeast U.S. Continental Shelf</x:v>
      </x:c>
      <x:c r="C57" s="24" t="str">
        <x:v>LME</x:v>
      </x:c>
      <x:c r="D57" s="30" t="n">
        <x:v>2019</x:v>
      </x:c>
      <x:c r="E57" s="24" t="str">
        <x:v>Caranx hippos</x:v>
      </x:c>
      <x:c r="F57" s="24" t="str">
        <x:v>Crevalle jack</x:v>
      </x:c>
      <x:c r="G57" s="24" t="str">
        <x:v>Large reef assoc. fish (&gt;=90 cm)</x:v>
      </x:c>
      <x:c r="H57" s="24" t="str">
        <x:v>Perch-likes</x:v>
      </x:c>
      <x:c r="I57" s="31" t="n">
        <x:v>297.8981933269</x:v>
      </x:c>
      <x:c r="J57" s="31" t="n">
        <x:v>242.87600866740001</x:v>
      </x:c>
      <x:c r="K57" s="31" t="n">
        <x:v>55.0221846595</x:v>
      </x:c>
      <x:c r="L57" s="31" t="n">
        <x:v>32.0001636899</x:v>
      </x:c>
      <x:c r="M57" s="31" t="n">
        <x:v>265.898029637</x:v>
      </x:c>
      <x:c r="N57" s="24" t="str">
        <x:v>caranx hippos</x:v>
      </x:c>
      <x:c r="O57" s="32" t="n">
        <x:v>3.56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Caranx hippos</x:v>
      </x:c>
      <x:c r="T57" s="32" t="n">
        <x:f>IF(O57="","",(1/'Metadata'!$B$5)^(O57-1))</x:f>
        <x:v>363.0780547701014</x:v>
      </x:c>
      <x:c r="U57" s="31" t="n">
        <x:f>IF(T57="","",I57*T57)</x:f>
        <x:v>108160.29655265846</x:v>
      </x:c>
    </x:row>
    <x:row r="58" ht="18" customHeight="1">
      <x:c r="A58" s="24" t="str">
        <x:v>LME_006</x:v>
      </x:c>
      <x:c r="B58" s="24" t="str">
        <x:v>Southeast U.S. Continental Shelf</x:v>
      </x:c>
      <x:c r="C58" s="24" t="str">
        <x:v>LME</x:v>
      </x:c>
      <x:c r="D58" s="30" t="n">
        <x:v>2019</x:v>
      </x:c>
      <x:c r="E58" s="24" t="str">
        <x:v>Malacanthidae</x:v>
      </x:c>
      <x:c r="F58" s="24" t="str">
        <x:v>Tilefishes</x:v>
      </x:c>
      <x:c r="G58" s="24" t="str">
        <x:v>Medium demersals (30 - 89 cm)</x:v>
      </x:c>
      <x:c r="H58" s="24" t="str">
        <x:v>Perch-likes</x:v>
      </x:c>
      <x:c r="I58" s="31" t="n">
        <x:v>296.6993574616</x:v>
      </x:c>
      <x:c r="J58" s="31" t="n">
        <x:v>296.6993574616</x:v>
      </x:c>
      <x:c r="K58" s="31" t="n">
        <x:v>0</x:v>
      </x:c>
      <x:c r="L58" s="31" t="n">
        <x:v>31.9230582342</x:v>
      </x:c>
      <x:c r="M58" s="31" t="n">
        <x:v>264.7762992274</x:v>
      </x:c>
      <x:c r="N58" s="24" t="str">
        <x:v>malacanthidae</x:v>
      </x:c>
      <x:c r="O58" s="32" t="n">
        <x:v>3.62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Malacanthidae</x:v>
      </x:c>
      <x:c r="T58" s="32" t="n">
        <x:f>IF(O58="","",(1/'Metadata'!$B$5)^(O58-1))</x:f>
        <x:v>416.8693834703355</x:v>
      </x:c>
      <x:c r="U58" s="31" t="n">
        <x:f>IF(T58="","",I58*T58)</x:f>
        <x:v>123684.87822106188</x:v>
      </x:c>
    </x:row>
    <x:row r="59" ht="18" customHeight="1">
      <x:c r="A59" s="24" t="str">
        <x:v>LME_006</x:v>
      </x:c>
      <x:c r="B59" s="24" t="str">
        <x:v>Southeast U.S. Continental Shelf</x:v>
      </x:c>
      <x:c r="C59" s="24" t="str">
        <x:v>LME</x:v>
      </x:c>
      <x:c r="D59" s="30" t="n">
        <x:v>2019</x:v>
      </x:c>
      <x:c r="E59" s="24" t="str">
        <x:v>Lutjanus campechanus</x:v>
      </x:c>
      <x:c r="F59" s="24" t="str">
        <x:v>Northern red snapper</x:v>
      </x:c>
      <x:c r="G59" s="24" t="str">
        <x:v>Medium reef assoc. fish (30 - 89 cm)</x:v>
      </x:c>
      <x:c r="H59" s="24" t="str">
        <x:v>Perch-likes</x:v>
      </x:c>
      <x:c r="I59" s="31" t="n">
        <x:v>292.8485236898</x:v>
      </x:c>
      <x:c r="J59" s="31" t="n">
        <x:v>58.7319722077</x:v>
      </x:c>
      <x:c r="K59" s="31" t="n">
        <x:v>234.1165514821</x:v>
      </x:c>
      <x:c r="L59" s="31" t="n">
        <x:v>49.4154714381</x:v>
      </x:c>
      <x:c r="M59" s="31" t="n">
        <x:v>243.4330522517</x:v>
      </x:c>
      <x:c r="N59" s="24" t="str">
        <x:v>lutjanus campechanus</x:v>
      </x:c>
      <x:c r="O59" s="32" t="n">
        <x:v>4.01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Lutjanus campechanus</x:v>
      </x:c>
      <x:c r="T59" s="32" t="n">
        <x:f>IF(O59="","",(1/'Metadata'!$B$5)^(O59-1))</x:f>
        <x:v>1023.2929922807537</x:v>
      </x:c>
      <x:c r="U59" s="31" t="n">
        <x:f>IF(T59="","",I59*T59)</x:f>
        <x:v>299669.8420915366</x:v>
      </x:c>
    </x:row>
    <x:row r="60" ht="18" customHeight="1">
      <x:c r="A60" s="24" t="str">
        <x:v>LME_006</x:v>
      </x:c>
      <x:c r="B60" s="24" t="str">
        <x:v>Southeast U.S. Continental Shelf</x:v>
      </x:c>
      <x:c r="C60" s="24" t="str">
        <x:v>LME</x:v>
      </x:c>
      <x:c r="D60" s="30" t="n">
        <x:v>2019</x:v>
      </x:c>
      <x:c r="E60" s="24" t="str">
        <x:v>Brevoortia tyrannus</x:v>
      </x:c>
      <x:c r="F60" s="24" t="str">
        <x:v>Atlantic menhaden</x:v>
      </x:c>
      <x:c r="G60" s="24" t="str">
        <x:v>Medium pelagics (30 - 89 cm)</x:v>
      </x:c>
      <x:c r="H60" s="24" t="str">
        <x:v>Herring-likes</x:v>
      </x:c>
      <x:c r="I60" s="31" t="n">
        <x:v>279.7687909813</x:v>
      </x:c>
      <x:c r="J60" s="31" t="n">
        <x:v>279.7687909813</x:v>
      </x:c>
      <x:c r="K60" s="31" t="n">
        <x:v>0</x:v>
      </x:c>
      <x:c r="L60" s="31" t="n">
        <x:v>207.5602008982</x:v>
      </x:c>
      <x:c r="M60" s="31" t="n">
        <x:v>72.2085900831</x:v>
      </x:c>
      <x:c r="N60" s="24" t="str">
        <x:v>brevoortia tyrannus</x:v>
      </x:c>
      <x:c r="O60" s="32" t="n">
        <x:v>3.23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Brevoortia tyrannus</x:v>
      </x:c>
      <x:c r="T60" s="32" t="n">
        <x:f>IF(O60="","",(1/'Metadata'!$B$5)^(O60-1))</x:f>
        <x:v>169.82436524617444</x:v>
      </x:c>
      <x:c r="U60" s="31" t="n">
        <x:f>IF(T60="","",I60*T60)</x:f>
        <x:v>47511.55734408893</x:v>
      </x:c>
    </x:row>
    <x:row r="61" ht="18" customHeight="1">
      <x:c r="A61" s="24" t="str">
        <x:v>LME_006</x:v>
      </x:c>
      <x:c r="B61" s="24" t="str">
        <x:v>Southeast U.S. Continental Shelf</x:v>
      </x:c>
      <x:c r="C61" s="24" t="str">
        <x:v>LME</x:v>
      </x:c>
      <x:c r="D61" s="30" t="n">
        <x:v>2019</x:v>
      </x:c>
      <x:c r="E61" s="24" t="str">
        <x:v>Clupeidae</x:v>
      </x:c>
      <x:c r="F61" s="24" t="str">
        <x:v>Herrings, sardines, menhadens</x:v>
      </x:c>
      <x:c r="G61" s="24" t="str">
        <x:v>Small pelagics (&lt;30 cm)</x:v>
      </x:c>
      <x:c r="H61" s="24" t="str">
        <x:v>Herring-likes</x:v>
      </x:c>
      <x:c r="I61" s="31" t="n">
        <x:v>247.943906618</x:v>
      </x:c>
      <x:c r="J61" s="31" t="n">
        <x:v>195.2147046685</x:v>
      </x:c>
      <x:c r="K61" s="31" t="n">
        <x:v>52.7292019495</x:v>
      </x:c>
      <x:c r="L61" s="31" t="n">
        <x:v>195.2147046685</x:v>
      </x:c>
      <x:c r="M61" s="31" t="n">
        <x:v>52.7292019495</x:v>
      </x:c>
      <x:c r="N61" s="24" t="str">
        <x:v>clupeidae</x:v>
      </x:c>
      <x:c r="O61" s="32" t="n">
        <x:v>3.16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Clupeidae</x:v>
      </x:c>
      <x:c r="T61" s="32" t="n">
        <x:f>IF(O61="","",(1/'Metadata'!$B$5)^(O61-1))</x:f>
        <x:v>144.5439770745928</x:v>
      </x:c>
      <x:c r="U61" s="31" t="n">
        <x:f>IF(T61="","",I61*T61)</x:f>
        <x:v>35838.79835397717</x:v>
      </x:c>
    </x:row>
    <x:row r="62" ht="18" customHeight="1">
      <x:c r="A62" s="24" t="str">
        <x:v>LME_006</x:v>
      </x:c>
      <x:c r="B62" s="24" t="str">
        <x:v>Southeast U.S. Continental Shelf</x:v>
      </x:c>
      <x:c r="C62" s="24" t="str">
        <x:v>LME</x:v>
      </x:c>
      <x:c r="D62" s="30" t="n">
        <x:v>2019</x:v>
      </x:c>
      <x:c r="E62" s="24" t="str">
        <x:v>Stomolophus</x:v>
      </x:c>
      <x:c r="F62" s="24" t="str">
        <x:v>Cannonball jellies</x:v>
      </x:c>
      <x:c r="G62" s="24" t="str">
        <x:v>Jellyfish</x:v>
      </x:c>
      <x:c r="H62" s="24" t="str">
        <x:v>Other fishes &amp; inverts</x:v>
      </x:c>
      <x:c r="I62" s="31" t="n">
        <x:v>216.1836909435</x:v>
      </x:c>
      <x:c r="J62" s="31" t="n">
        <x:v>0</x:v>
      </x:c>
      <x:c r="K62" s="31" t="n">
        <x:v>216.1836909435</x:v>
      </x:c>
      <x:c r="L62" s="31" t="n">
        <x:v>0</x:v>
      </x:c>
      <x:c r="M62" s="31" t="n">
        <x:v>216.1836909435</x:v>
      </x:c>
      <x:c r="N62" s="24" t="str">
        <x:v>stomolophus</x:v>
      </x:c>
      <x:c r="O62" s="32" t="n">
        <x:v>3.46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Stomolophus</x:v>
      </x:c>
      <x:c r="T62" s="32" t="n">
        <x:f>IF(O62="","",(1/'Metadata'!$B$5)^(O62-1))</x:f>
        <x:v>288.40315031266056</x:v>
      </x:c>
      <x:c r="U62" s="31" t="n">
        <x:f>IF(T62="","",I62*T62)</x:f>
        <x:v>62348.05751432399</x:v>
      </x:c>
    </x:row>
    <x:row r="63" ht="18" customHeight="1">
      <x:c r="A63" s="24" t="str">
        <x:v>LME_006</x:v>
      </x:c>
      <x:c r="B63" s="24" t="str">
        <x:v>Southeast U.S. Continental Shelf</x:v>
      </x:c>
      <x:c r="C63" s="24" t="str">
        <x:v>LME</x:v>
      </x:c>
      <x:c r="D63" s="30" t="n">
        <x:v>2019</x:v>
      </x:c>
      <x:c r="E63" s="24" t="str">
        <x:v>Ariidae</x:v>
      </x:c>
      <x:c r="F63" s="24" t="str">
        <x:v>Sea catfishes, coblers</x:v>
      </x:c>
      <x:c r="G63" s="24" t="str">
        <x:v>Medium demersals (30 - 89 cm)</x:v>
      </x:c>
      <x:c r="H63" s="24" t="str">
        <x:v>Other fishes &amp; inverts</x:v>
      </x:c>
      <x:c r="I63" s="31" t="n">
        <x:v>205.521844329</x:v>
      </x:c>
      <x:c r="J63" s="31" t="n">
        <x:v>205.521844329</x:v>
      </x:c>
      <x:c r="K63" s="31" t="n">
        <x:v>0</x:v>
      </x:c>
      <x:c r="L63" s="31" t="n">
        <x:v>3.9681183516</x:v>
      </x:c>
      <x:c r="M63" s="31" t="n">
        <x:v>201.5537259774</x:v>
      </x:c>
      <x:c r="N63" s="24" t="str">
        <x:v>ariidae</x:v>
      </x:c>
      <x:c r="O63" s="32" t="n">
        <x:v>3.48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Ariidae</x:v>
      </x:c>
      <x:c r="T63" s="32" t="n">
        <x:f>IF(O63="","",(1/'Metadata'!$B$5)^(O63-1))</x:f>
        <x:v>301.9951720402016</x:v>
      </x:c>
      <x:c r="U63" s="31" t="n">
        <x:f>IF(T63="","",I63*T63)</x:f>
        <x:v>62066.604736155896</x:v>
      </x:c>
    </x:row>
    <x:row r="64" ht="18" customHeight="1">
      <x:c r="A64" s="24" t="str">
        <x:v>LME_006</x:v>
      </x:c>
      <x:c r="B64" s="24" t="str">
        <x:v>Southeast U.S. Continental Shelf</x:v>
      </x:c>
      <x:c r="C64" s="24" t="str">
        <x:v>LME</x:v>
      </x:c>
      <x:c r="D64" s="30" t="n">
        <x:v>2019</x:v>
      </x:c>
      <x:c r="E64" s="24" t="str">
        <x:v>Chaetodipterus faber</x:v>
      </x:c>
      <x:c r="F64" s="24" t="str">
        <x:v>Atlantic spadefish</x:v>
      </x:c>
      <x:c r="G64" s="24" t="str">
        <x:v>Medium demersals (30 - 89 cm)</x:v>
      </x:c>
      <x:c r="H64" s="24" t="str">
        <x:v>Perch-likes</x:v>
      </x:c>
      <x:c r="I64" s="31" t="n">
        <x:v>202.27679232109998</x:v>
      </x:c>
      <x:c r="J64" s="31" t="n">
        <x:v>201.8862101517</x:v>
      </x:c>
      <x:c r="K64" s="31" t="n">
        <x:v>0.3905821694</x:v>
      </x:c>
      <x:c r="L64" s="31" t="n">
        <x:v>3.9669476721000003</x:v>
      </x:c>
      <x:c r="M64" s="31" t="n">
        <x:v>198.30984464899998</x:v>
      </x:c>
      <x:c r="N64" s="24" t="str">
        <x:v>chaetodipterus faber</x:v>
      </x:c>
      <x:c r="O64" s="32" t="n">
        <x:v>4.5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Chaetodipterus faber</x:v>
      </x:c>
      <x:c r="T64" s="32" t="n">
        <x:f>IF(O64="","",(1/'Metadata'!$B$5)^(O64-1))</x:f>
        <x:v>3162.2776601683795</x:v>
      </x:c>
      <x:c r="U64" s="31" t="n">
        <x:f>IF(T64="","",I64*T64)</x:f>
        <x:v>639655.3815275333</x:v>
      </x:c>
    </x:row>
    <x:row r="65" ht="18" customHeight="1">
      <x:c r="A65" s="24" t="str">
        <x:v>LME_006</x:v>
      </x:c>
      <x:c r="B65" s="24" t="str">
        <x:v>Southeast U.S. Continental Shelf</x:v>
      </x:c>
      <x:c r="C65" s="24" t="str">
        <x:v>LME</x:v>
      </x:c>
      <x:c r="D65" s="30" t="n">
        <x:v>2019</x:v>
      </x:c>
      <x:c r="E65" s="24" t="str">
        <x:v>Thunnus thynnus</x:v>
      </x:c>
      <x:c r="F65" s="24" t="str">
        <x:v>Atlantic bluefin tuna</x:v>
      </x:c>
      <x:c r="G65" s="24" t="str">
        <x:v>Large pelagics (&gt;=90 cm)</x:v>
      </x:c>
      <x:c r="H65" s="24" t="str">
        <x:v>Tuna &amp; billfishes</x:v>
      </x:c>
      <x:c r="I65" s="31" t="n">
        <x:v>199.1916126099</x:v>
      </x:c>
      <x:c r="J65" s="31" t="n">
        <x:v>199.1916126099</x:v>
      </x:c>
      <x:c r="K65" s="31" t="n">
        <x:v>0</x:v>
      </x:c>
      <x:c r="L65" s="31" t="n">
        <x:v>103.272130092</x:v>
      </x:c>
      <x:c r="M65" s="31" t="n">
        <x:v>95.91948251790001</x:v>
      </x:c>
      <x:c r="N65" s="24" t="str">
        <x:v>thunnus thynnus</x:v>
      </x:c>
      <x:c r="O65" s="32" t="n">
        <x:v>4.45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Thunnus thynnus</x:v>
      </x:c>
      <x:c r="T65" s="32" t="n">
        <x:f>IF(O65="","",(1/'Metadata'!$B$5)^(O65-1))</x:f>
        <x:v>2818.382931264455</x:v>
      </x:c>
      <x:c r="U65" s="31" t="n">
        <x:f>IF(T65="","",I65*T65)</x:f>
        <x:v>561398.2410307837</x:v>
      </x:c>
    </x:row>
    <x:row r="66" ht="18" customHeight="1">
      <x:c r="A66" s="24" t="str">
        <x:v>LME_006</x:v>
      </x:c>
      <x:c r="B66" s="24" t="str">
        <x:v>Southeast U.S. Continental Shelf</x:v>
      </x:c>
      <x:c r="C66" s="24" t="str">
        <x:v>LME</x:v>
      </x:c>
      <x:c r="D66" s="30" t="n">
        <x:v>2019</x:v>
      </x:c>
      <x:c r="E66" s="24" t="str">
        <x:v>Paralichthys dentatus</x:v>
      </x:c>
      <x:c r="F66" s="24" t="str">
        <x:v>Summer flounder</x:v>
      </x:c>
      <x:c r="G66" s="24" t="str">
        <x:v>Small to medium flatfishes (&lt;90 cm)</x:v>
      </x:c>
      <x:c r="H66" s="24" t="str">
        <x:v>Flatfishes</x:v>
      </x:c>
      <x:c r="I66" s="31" t="n">
        <x:v>193.8603919462</x:v>
      </x:c>
      <x:c r="J66" s="31" t="n">
        <x:v>66.7331038298</x:v>
      </x:c>
      <x:c r="K66" s="31" t="n">
        <x:v>127.12728811640001</x:v>
      </x:c>
      <x:c r="L66" s="31" t="n">
        <x:v>0.7689465572</x:v>
      </x:c>
      <x:c r="M66" s="31" t="n">
        <x:v>193.091445389</x:v>
      </x:c>
      <x:c r="N66" s="24" t="str">
        <x:v>paralichthys dentatus</x:v>
      </x:c>
      <x:c r="O66" s="32" t="n">
        <x:v>4.49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Paralichthys dentatus</x:v>
      </x:c>
      <x:c r="T66" s="32" t="n">
        <x:f>IF(O66="","",(1/'Metadata'!$B$5)^(O66-1))</x:f>
        <x:v>3090.295432513592</x:v>
      </x:c>
      <x:c r="U66" s="31" t="n">
        <x:f>IF(T66="","",I66*T66)</x:f>
        <x:v>599085.8837766366</x:v>
      </x:c>
    </x:row>
    <x:row r="67" ht="18" customHeight="1">
      <x:c r="A67" s="24" t="str">
        <x:v>LME_006</x:v>
      </x:c>
      <x:c r="B67" s="24" t="str">
        <x:v>Southeast U.S. Continental Shelf</x:v>
      </x:c>
      <x:c r="C67" s="24" t="str">
        <x:v>LME</x:v>
      </x:c>
      <x:c r="D67" s="30" t="n">
        <x:v>2019</x:v>
      </x:c>
      <x:c r="E67" s="24" t="str">
        <x:v>Thunnus obesus</x:v>
      </x:c>
      <x:c r="F67" s="24" t="str">
        <x:v>Bigeye tuna</x:v>
      </x:c>
      <x:c r="G67" s="24" t="str">
        <x:v>Large pelagics (&gt;=90 cm)</x:v>
      </x:c>
      <x:c r="H67" s="24" t="str">
        <x:v>Tuna &amp; billfishes</x:v>
      </x:c>
      <x:c r="I67" s="31" t="n">
        <x:v>181.0184197396</x:v>
      </x:c>
      <x:c r="J67" s="31" t="n">
        <x:v>181.0184197396</x:v>
      </x:c>
      <x:c r="K67" s="31" t="n">
        <x:v>0</x:v>
      </x:c>
      <x:c r="L67" s="31" t="n">
        <x:v>125.4731321942</x:v>
      </x:c>
      <x:c r="M67" s="31" t="n">
        <x:v>55.5452875454</x:v>
      </x:c>
      <x:c r="N67" s="24" t="str">
        <x:v>thunnus obesus</x:v>
      </x:c>
      <x:c r="O67" s="32" t="n">
        <x:v>4.49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Thunnus obesus</x:v>
      </x:c>
      <x:c r="T67" s="32" t="n">
        <x:f>IF(O67="","",(1/'Metadata'!$B$5)^(O67-1))</x:f>
        <x:v>3090.295432513592</x:v>
      </x:c>
      <x:c r="U67" s="31" t="n">
        <x:f>IF(T67="","",I67*T67)</x:f>
        <x:v>559400.3957221141</x:v>
      </x:c>
    </x:row>
    <x:row r="68" ht="18" customHeight="1">
      <x:c r="A68" s="24" t="str">
        <x:v>LME_006</x:v>
      </x:c>
      <x:c r="B68" s="24" t="str">
        <x:v>Southeast U.S. Continental Shelf</x:v>
      </x:c>
      <x:c r="C68" s="24" t="str">
        <x:v>LME</x:v>
      </x:c>
      <x:c r="D68" s="30" t="n">
        <x:v>2019</x:v>
      </x:c>
      <x:c r="E68" s="24" t="str">
        <x:v>Lutjanus analis</x:v>
      </x:c>
      <x:c r="F68" s="24" t="str">
        <x:v>Mutton snapper</x:v>
      </x:c>
      <x:c r="G68" s="24" t="str">
        <x:v>Medium reef assoc. fish (30 - 89 cm)</x:v>
      </x:c>
      <x:c r="H68" s="24" t="str">
        <x:v>Perch-likes</x:v>
      </x:c>
      <x:c r="I68" s="31" t="n">
        <x:v>176.8773227775</x:v>
      </x:c>
      <x:c r="J68" s="31" t="n">
        <x:v>160.6324411293</x:v>
      </x:c>
      <x:c r="K68" s="31" t="n">
        <x:v>16.2448816482</x:v>
      </x:c>
      <x:c r="L68" s="31" t="n">
        <x:v>14.7037040465</x:v>
      </x:c>
      <x:c r="M68" s="31" t="n">
        <x:v>162.173618731</x:v>
      </x:c>
      <x:c r="N68" s="24" t="str">
        <x:v>lutjanus analis</x:v>
      </x:c>
      <x:c r="O68" s="32" t="n">
        <x:v>3.91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Lutjanus analis</x:v>
      </x:c>
      <x:c r="T68" s="32" t="n">
        <x:f>IF(O68="","",(1/'Metadata'!$B$5)^(O68-1))</x:f>
        <x:v>812.8305161640995</x:v>
      </x:c>
      <x:c r="U68" s="31" t="n">
        <x:f>IF(T68="","",I68*T68)</x:f>
        <x:v>143771.2855709594</x:v>
      </x:c>
    </x:row>
    <x:row r="69" ht="18" customHeight="1">
      <x:c r="A69" s="24" t="str">
        <x:v>LME_006</x:v>
      </x:c>
      <x:c r="B69" s="24" t="str">
        <x:v>Southeast U.S. Continental Shelf</x:v>
      </x:c>
      <x:c r="C69" s="24" t="str">
        <x:v>LME</x:v>
      </x:c>
      <x:c r="D69" s="30" t="n">
        <x:v>2019</x:v>
      </x:c>
      <x:c r="E69" s="24" t="str">
        <x:v>Cynoscion nebulosus</x:v>
      </x:c>
      <x:c r="F69" s="24" t="str">
        <x:v>Spotted weakfish</x:v>
      </x:c>
      <x:c r="G69" s="24" t="str">
        <x:v>Medium demersals (30 - 89 cm)</x:v>
      </x:c>
      <x:c r="H69" s="24" t="str">
        <x:v>Perch-likes</x:v>
      </x:c>
      <x:c r="I69" s="31" t="n">
        <x:v>167.21805689919998</x:v>
      </x:c>
      <x:c r="J69" s="31" t="n">
        <x:v>166.6228308653</x:v>
      </x:c>
      <x:c r="K69" s="31" t="n">
        <x:v>0.5952260339</x:v>
      </x:c>
      <x:c r="L69" s="31" t="n">
        <x:v>165.9652826392</x:v>
      </x:c>
      <x:c r="M69" s="31" t="n">
        <x:v>1.25277426</x:v>
      </x:c>
      <x:c r="N69" s="24" t="str">
        <x:v>cynoscion nebulosus</x:v>
      </x:c>
      <x:c r="O69" s="32" t="n">
        <x:v>3.98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Cynoscion nebulosus</x:v>
      </x:c>
      <x:c r="T69" s="32" t="n">
        <x:f>IF(O69="","",(1/'Metadata'!$B$5)^(O69-1))</x:f>
        <x:v>954.992586021436</x:v>
      </x:c>
      <x:c r="U69" s="31" t="n">
        <x:f>IF(T69="","",I69*T69)</x:f>
        <x:v>159692.0045876466</x:v>
      </x:c>
    </x:row>
    <x:row r="70" ht="18" customHeight="1">
      <x:c r="A70" s="24" t="str">
        <x:v>LME_006</x:v>
      </x:c>
      <x:c r="B70" s="24" t="str">
        <x:v>Southeast U.S. Continental Shelf</x:v>
      </x:c>
      <x:c r="C70" s="24" t="str">
        <x:v>LME</x:v>
      </x:c>
      <x:c r="D70" s="30" t="n">
        <x:v>2019</x:v>
      </x:c>
      <x:c r="E70" s="24" t="str">
        <x:v>Trichiurus lepturus</x:v>
      </x:c>
      <x:c r="F70" s="24" t="str">
        <x:v>Largehead hairtail</x:v>
      </x:c>
      <x:c r="G70" s="24" t="str">
        <x:v>Large benthopelagics (&gt;=90 cm)</x:v>
      </x:c>
      <x:c r="H70" s="24" t="str">
        <x:v>Perch-likes</x:v>
      </x:c>
      <x:c r="I70" s="31" t="n">
        <x:v>165.56444117729998</x:v>
      </x:c>
      <x:c r="J70" s="31" t="n">
        <x:v>110.0789841319</x:v>
      </x:c>
      <x:c r="K70" s="31" t="n">
        <x:v>55.4854570454</x:v>
      </x:c>
      <x:c r="L70" s="31" t="n">
        <x:v>108.349402372</x:v>
      </x:c>
      <x:c r="M70" s="31" t="n">
        <x:v>57.2150388053</x:v>
      </x:c>
      <x:c r="N70" s="24" t="str">
        <x:v>trichiurus lepturus</x:v>
      </x:c>
      <x:c r="O70" s="32" t="n">
        <x:v>4.42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Trichiurus lepturus</x:v>
      </x:c>
      <x:c r="T70" s="32" t="n">
        <x:f>IF(O70="","",(1/'Metadata'!$B$5)^(O70-1))</x:f>
        <x:v>2630.2679918953813</x:v>
      </x:c>
      <x:c r="U70" s="31" t="n">
        <x:f>IF(T70="","",I70*T70)</x:f>
        <x:v>435478.8502246978</x:v>
      </x:c>
    </x:row>
    <x:row r="71" ht="18" customHeight="1">
      <x:c r="A71" s="24" t="str">
        <x:v>LME_006</x:v>
      </x:c>
      <x:c r="B71" s="24" t="str">
        <x:v>Southeast U.S. Continental Shelf</x:v>
      </x:c>
      <x:c r="C71" s="24" t="str">
        <x:v>LME</x:v>
      </x:c>
      <x:c r="D71" s="30" t="n">
        <x:v>2019</x:v>
      </x:c>
      <x:c r="E71" s="24" t="str">
        <x:v>Sphyrna tiburo</x:v>
      </x:c>
      <x:c r="F71" s="24" t="str">
        <x:v>Bonnethead</x:v>
      </x:c>
      <x:c r="G71" s="24" t="str">
        <x:v>Large sharks (&gt;=90 cm)</x:v>
      </x:c>
      <x:c r="H71" s="24" t="str">
        <x:v>Sharks &amp; rays</x:v>
      </x:c>
      <x:c r="I71" s="31" t="n">
        <x:v>157.1207795338</x:v>
      </x:c>
      <x:c r="J71" s="31" t="n">
        <x:v>75.1575142998</x:v>
      </x:c>
      <x:c r="K71" s="31" t="n">
        <x:v>81.963265234</x:v>
      </x:c>
      <x:c r="L71" s="31" t="n">
        <x:v>0.1451578402</x:v>
      </x:c>
      <x:c r="M71" s="31" t="n">
        <x:v>156.9756216936</x:v>
      </x:c>
      <x:c r="N71" s="24" t="str">
        <x:v>sphyrna tiburo</x:v>
      </x:c>
      <x:c r="O71" s="32" t="n">
        <x:v>3.88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Sphyrna tiburo</x:v>
      </x:c>
      <x:c r="T71" s="32" t="n">
        <x:f>IF(O71="","",(1/'Metadata'!$B$5)^(O71-1))</x:f>
        <x:v>758.5775750291835</x:v>
      </x:c>
      <x:c r="U71" s="31" t="n">
        <x:f>IF(T71="","",I71*T71)</x:f>
        <x:v>119188.29992544498</x:v>
      </x:c>
    </x:row>
    <x:row r="72" ht="18" customHeight="1">
      <x:c r="A72" s="24" t="str">
        <x:v>LME_006</x:v>
      </x:c>
      <x:c r="B72" s="24" t="str">
        <x:v>Southeast U.S. Continental Shelf</x:v>
      </x:c>
      <x:c r="C72" s="24" t="str">
        <x:v>LME</x:v>
      </x:c>
      <x:c r="D72" s="30" t="n">
        <x:v>2019</x:v>
      </x:c>
      <x:c r="E72" s="24" t="str">
        <x:v>Dorosoma cepedianum</x:v>
      </x:c>
      <x:c r="F72" s="24" t="str">
        <x:v>American gizzard shad</x:v>
      </x:c>
      <x:c r="G72" s="24" t="str">
        <x:v>Medium pelagics (30 - 89 cm)</x:v>
      </x:c>
      <x:c r="H72" s="24" t="str">
        <x:v>Herring-likes</x:v>
      </x:c>
      <x:c r="I72" s="31" t="n">
        <x:v>151.6995979127</x:v>
      </x:c>
      <x:c r="J72" s="31" t="n">
        <x:v>151.6995979127</x:v>
      </x:c>
      <x:c r="K72" s="31" t="n">
        <x:v>0</x:v>
      </x:c>
      <x:c r="L72" s="31" t="n">
        <x:v>151.0772400105</x:v>
      </x:c>
      <x:c r="M72" s="31" t="n">
        <x:v>0.6223579022</x:v>
      </x:c>
      <x:c r="N72" s="24" t="str">
        <x:v>dorosoma cepedianum</x:v>
      </x:c>
      <x:c r="O72" s="32" t="n">
        <x:v>2.4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Dorosoma cepedianum</x:v>
      </x:c>
      <x:c r="T72" s="32" t="n">
        <x:f>IF(O72="","",(1/'Metadata'!$B$5)^(O72-1))</x:f>
        <x:v>25.118864315095795</x:v>
      </x:c>
      <x:c r="U72" s="31" t="n">
        <x:f>IF(T72="","",I72*T72)</x:f>
        <x:v>3810.5216166237005</x:v>
      </x:c>
    </x:row>
    <x:row r="73" ht="18" customHeight="1">
      <x:c r="A73" s="24" t="str">
        <x:v>LME_006</x:v>
      </x:c>
      <x:c r="B73" s="24" t="str">
        <x:v>Southeast U.S. Continental Shelf</x:v>
      </x:c>
      <x:c r="C73" s="24" t="str">
        <x:v>LME</x:v>
      </x:c>
      <x:c r="D73" s="30" t="n">
        <x:v>2019</x:v>
      </x:c>
      <x:c r="E73" s="24" t="str">
        <x:v>Trachinotus</x:v>
      </x:c>
      <x:c r="F73" s="24" t="str">
        <x:v>Pompanos</x:v>
      </x:c>
      <x:c r="G73" s="24" t="str">
        <x:v>Medium pelagics (30 - 89 cm)</x:v>
      </x:c>
      <x:c r="H73" s="24" t="str">
        <x:v>Perch-likes</x:v>
      </x:c>
      <x:c r="I73" s="31" t="n">
        <x:v>150.7478779421</x:v>
      </x:c>
      <x:c r="J73" s="31" t="n">
        <x:v>150.7478779421</x:v>
      </x:c>
      <x:c r="K73" s="31" t="n">
        <x:v>0</x:v>
      </x:c>
      <x:c r="L73" s="31" t="n">
        <x:v>0.09575924420000001</x:v>
      </x:c>
      <x:c r="M73" s="31" t="n">
        <x:v>150.6521186979</x:v>
      </x:c>
      <x:c r="N73" s="24" t="str">
        <x:v>trachinotus</x:v>
      </x:c>
      <x:c r="O73" s="32" t="n">
        <x:v>3.69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Trachinotus</x:v>
      </x:c>
      <x:c r="T73" s="32" t="n">
        <x:f>IF(O73="","",(1/'Metadata'!$B$5)^(O73-1))</x:f>
        <x:v>489.77881936844614</x:v>
      </x:c>
      <x:c r="U73" s="31" t="n">
        <x:f>IF(T73="","",I73*T73)</x:f>
        <x:v>73833.11768078036</x:v>
      </x:c>
    </x:row>
    <x:row r="74" ht="18" customHeight="1">
      <x:c r="A74" s="24" t="str">
        <x:v>LME_006</x:v>
      </x:c>
      <x:c r="B74" s="24" t="str">
        <x:v>Southeast U.S. Continental Shelf</x:v>
      </x:c>
      <x:c r="C74" s="24" t="str">
        <x:v>LME</x:v>
      </x:c>
      <x:c r="D74" s="30" t="n">
        <x:v>2019</x:v>
      </x:c>
      <x:c r="E74" s="24" t="str">
        <x:v>Veneridae</x:v>
      </x:c>
      <x:c r="F74" s="24" t="str">
        <x:v>Venus clams</x:v>
      </x:c>
      <x:c r="G74" s="24" t="str">
        <x:v>Other demersal invertebrates</x:v>
      </x:c>
      <x:c r="H74" s="24" t="str">
        <x:v>Molluscs</x:v>
      </x:c>
      <x:c r="I74" s="31" t="n">
        <x:v>141.3026495357</x:v>
      </x:c>
      <x:c r="J74" s="31" t="n">
        <x:v>141.3026495357</x:v>
      </x:c>
      <x:c r="K74" s="31" t="n">
        <x:v>0</x:v>
      </x:c>
      <x:c r="L74" s="31" t="n">
        <x:v>141.3026495357</x:v>
      </x:c>
      <x:c r="M74" s="31" t="n">
        <x:v>0</x:v>
      </x:c>
      <x:c r="N74" s="24" t="str">
        <x:v>veneridae</x:v>
      </x:c>
      <x:c r="O74" s="32" t="n">
        <x:v>2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Veneridae</x:v>
      </x:c>
      <x:c r="T74" s="32" t="n">
        <x:f>IF(O74="","",(1/'Metadata'!$B$5)^(O74-1))</x:f>
        <x:v>10</x:v>
      </x:c>
      <x:c r="U74" s="31" t="n">
        <x:f>IF(T74="","",I74*T74)</x:f>
        <x:v>1413.026495357</x:v>
      </x:c>
    </x:row>
    <x:row r="75" ht="18" customHeight="1">
      <x:c r="A75" s="24" t="str">
        <x:v>LME_006</x:v>
      </x:c>
      <x:c r="B75" s="24" t="str">
        <x:v>Southeast U.S. Continental Shelf</x:v>
      </x:c>
      <x:c r="C75" s="24" t="str">
        <x:v>LME</x:v>
      </x:c>
      <x:c r="D75" s="30" t="n">
        <x:v>2019</x:v>
      </x:c>
      <x:c r="E75" s="24" t="str">
        <x:v>Ocyurus chrysurus</x:v>
      </x:c>
      <x:c r="F75" s="24" t="str">
        <x:v>Yellowtail snapper</x:v>
      </x:c>
      <x:c r="G75" s="24" t="str">
        <x:v>Medium reef assoc. fish (30 - 89 cm)</x:v>
      </x:c>
      <x:c r="H75" s="24" t="str">
        <x:v>Perch-likes</x:v>
      </x:c>
      <x:c r="I75" s="31" t="n">
        <x:v>141.2493996861</x:v>
      </x:c>
      <x:c r="J75" s="31" t="n">
        <x:v>129.8014915684</x:v>
      </x:c>
      <x:c r="K75" s="31" t="n">
        <x:v>11.447908117699999</x:v>
      </x:c>
      <x:c r="L75" s="31" t="n">
        <x:v>21.7337017433</x:v>
      </x:c>
      <x:c r="M75" s="31" t="n">
        <x:v>119.51569794279999</x:v>
      </x:c>
      <x:c r="N75" s="24" t="str">
        <x:v>ocyurus chrysurus</x:v>
      </x:c>
      <x:c r="O75" s="32" t="n">
        <x:v>4.03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Ocyurus chrysurus</x:v>
      </x:c>
      <x:c r="T75" s="32" t="n">
        <x:f>IF(O75="","",(1/'Metadata'!$B$5)^(O75-1))</x:f>
        <x:v>1071.519305237607</x:v>
      </x:c>
      <x:c r="U75" s="31" t="n">
        <x:f>IF(T75="","",I75*T75)</x:f>
        <x:v>151351.45861687895</x:v>
      </x:c>
    </x:row>
    <x:row r="76" ht="18" customHeight="1">
      <x:c r="A76" s="24" t="str">
        <x:v>LME_006</x:v>
      </x:c>
      <x:c r="B76" s="24" t="str">
        <x:v>Southeast U.S. Continental Shelf</x:v>
      </x:c>
      <x:c r="C76" s="24" t="str">
        <x:v>LME</x:v>
      </x:c>
      <x:c r="D76" s="30" t="n">
        <x:v>2019</x:v>
      </x:c>
      <x:c r="E76" s="24" t="str">
        <x:v>Morone saxatilis</x:v>
      </x:c>
      <x:c r="F76" s="24" t="str">
        <x:v>Striped bass</x:v>
      </x:c>
      <x:c r="G76" s="24" t="str">
        <x:v>Large demersals (&gt;=90 cm)</x:v>
      </x:c>
      <x:c r="H76" s="24" t="str">
        <x:v>Perch-likes</x:v>
      </x:c>
      <x:c r="I76" s="31" t="n">
        <x:v>130.4061448584</x:v>
      </x:c>
      <x:c r="J76" s="31" t="n">
        <x:v>130.4061448584</x:v>
      </x:c>
      <x:c r="K76" s="31" t="n">
        <x:v>0</x:v>
      </x:c>
      <x:c r="L76" s="31" t="n">
        <x:v>60.114487848799996</x:v>
      </x:c>
      <x:c r="M76" s="31" t="n">
        <x:v>70.2916570096</x:v>
      </x:c>
      <x:c r="N76" s="24" t="str">
        <x:v>morone saxatilis</x:v>
      </x:c>
      <x:c r="O76" s="32" t="n">
        <x:v>4.65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Morone saxatilis</x:v>
      </x:c>
      <x:c r="T76" s="32" t="n">
        <x:f>IF(O76="","",(1/'Metadata'!$B$5)^(O76-1))</x:f>
        <x:v>4466.835921509635</x:v>
      </x:c>
      <x:c r="U76" s="31" t="n">
        <x:f>IF(T76="","",I76*T76)</x:f>
        <x:v>582502.8522390903</x:v>
      </x:c>
    </x:row>
    <x:row r="77" ht="18" customHeight="1">
      <x:c r="A77" s="24" t="str">
        <x:v>LME_006</x:v>
      </x:c>
      <x:c r="B77" s="24" t="str">
        <x:v>Southeast U.S. Continental Shelf</x:v>
      </x:c>
      <x:c r="C77" s="24" t="str">
        <x:v>LME</x:v>
      </x:c>
      <x:c r="D77" s="30" t="n">
        <x:v>2019</x:v>
      </x:c>
      <x:c r="E77" s="24" t="str">
        <x:v>Haemulon plumierii</x:v>
      </x:c>
      <x:c r="F77" s="24" t="str">
        <x:v>White grunt</x:v>
      </x:c>
      <x:c r="G77" s="24" t="str">
        <x:v>Medium reef assoc. fish (30 - 89 cm)</x:v>
      </x:c>
      <x:c r="H77" s="24" t="str">
        <x:v>Perch-likes</x:v>
      </x:c>
      <x:c r="I77" s="31" t="n">
        <x:v>122.7944076722</x:v>
      </x:c>
      <x:c r="J77" s="31" t="n">
        <x:v>116.2487731261</x:v>
      </x:c>
      <x:c r="K77" s="31" t="n">
        <x:v>6.5456345461</x:v>
      </x:c>
      <x:c r="L77" s="31" t="n">
        <x:v>8.6299053336</x:v>
      </x:c>
      <x:c r="M77" s="31" t="n">
        <x:v>114.1645023386</x:v>
      </x:c>
      <x:c r="N77" s="24" t="str">
        <x:v>haemulon plumierii</x:v>
      </x:c>
      <x:c r="O77" s="32" t="n">
        <x:v>3.82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Haemulon plumierii</x:v>
      </x:c>
      <x:c r="T77" s="32" t="n">
        <x:f>IF(O77="","",(1/'Metadata'!$B$5)^(O77-1))</x:f>
        <x:v>660.6934480075957</x:v>
      </x:c>
      <x:c r="U77" s="31" t="n">
        <x:f>IF(T77="","",I77*T77)</x:f>
        <x:v>81129.46060099619</x:v>
      </x:c>
    </x:row>
    <x:row r="78" ht="18" customHeight="1">
      <x:c r="A78" s="24" t="str">
        <x:v>LME_006</x:v>
      </x:c>
      <x:c r="B78" s="24" t="str">
        <x:v>Southeast U.S. Continental Shelf</x:v>
      </x:c>
      <x:c r="C78" s="24" t="str">
        <x:v>LME</x:v>
      </x:c>
      <x:c r="D78" s="30" t="n">
        <x:v>2019</x:v>
      </x:c>
      <x:c r="E78" s="24" t="str">
        <x:v>Gerreidae</x:v>
      </x:c>
      <x:c r="F78" s="24" t="str">
        <x:v>Mojarras, silverbellies</x:v>
      </x:c>
      <x:c r="G78" s="24" t="str">
        <x:v>Small benthopelagics (&lt;30 cm)</x:v>
      </x:c>
      <x:c r="H78" s="24" t="str">
        <x:v>Perch-likes</x:v>
      </x:c>
      <x:c r="I78" s="31" t="n">
        <x:v>98.47042142779999</x:v>
      </x:c>
      <x:c r="J78" s="31" t="n">
        <x:v>98.47042142779999</x:v>
      </x:c>
      <x:c r="K78" s="31" t="n">
        <x:v>0</x:v>
      </x:c>
      <x:c r="L78" s="31" t="n">
        <x:v>96.8062744293</x:v>
      </x:c>
      <x:c r="M78" s="31" t="n">
        <x:v>1.6641469985</x:v>
      </x:c>
      <x:c r="N78" s="24" t="str">
        <x:v>gerreidae</x:v>
      </x:c>
      <x:c r="O78" s="32" t="n">
        <x:v>3.03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Gerreidae</x:v>
      </x:c>
      <x:c r="T78" s="32" t="n">
        <x:f>IF(O78="","",(1/'Metadata'!$B$5)^(O78-1))</x:f>
        <x:v>107.1519305237606</x:v>
      </x:c>
      <x:c r="U78" s="31" t="n">
        <x:f>IF(T78="","",I78*T78)</x:f>
        <x:v>10551.295755477051</x:v>
      </x:c>
    </x:row>
    <x:row r="79" ht="18" customHeight="1">
      <x:c r="A79" s="24" t="str">
        <x:v>LME_006</x:v>
      </x:c>
      <x:c r="B79" s="24" t="str">
        <x:v>Southeast U.S. Continental Shelf</x:v>
      </x:c>
      <x:c r="C79" s="24" t="str">
        <x:v>LME</x:v>
      </x:c>
      <x:c r="D79" s="30" t="n">
        <x:v>2019</x:v>
      </x:c>
      <x:c r="E79" s="24" t="str">
        <x:v>Katsuwonus pelamis</x:v>
      </x:c>
      <x:c r="F79" s="24" t="str">
        <x:v>Skipjack tuna</x:v>
      </x:c>
      <x:c r="G79" s="24" t="str">
        <x:v>Large pelagics (&gt;=90 cm)</x:v>
      </x:c>
      <x:c r="H79" s="24" t="str">
        <x:v>Tuna &amp; billfishes</x:v>
      </x:c>
      <x:c r="I79" s="31" t="n">
        <x:v>97.8648875791</x:v>
      </x:c>
      <x:c r="J79" s="31" t="n">
        <x:v>97.8648875791</x:v>
      </x:c>
      <x:c r="K79" s="31" t="n">
        <x:v>0</x:v>
      </x:c>
      <x:c r="L79" s="31" t="n">
        <x:v>0.2530818606</x:v>
      </x:c>
      <x:c r="M79" s="31" t="n">
        <x:v>97.6118057185</x:v>
      </x:c>
      <x:c r="N79" s="24" t="str">
        <x:v>katsuwonus pelamis</x:v>
      </x:c>
      <x:c r="O79" s="32" t="n">
        <x:v>4.43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Katsuwonus pelamis</x:v>
      </x:c>
      <x:c r="T79" s="32" t="n">
        <x:f>IF(O79="","",(1/'Metadata'!$B$5)^(O79-1))</x:f>
        <x:v>2691.534803926914</x:v>
      </x:c>
      <x:c r="U79" s="31" t="n">
        <x:f>IF(T79="","",I79*T79)</x:f>
        <x:v>263406.7510015424</x:v>
      </x:c>
    </x:row>
    <x:row r="80" ht="18" customHeight="1">
      <x:c r="A80" s="24" t="str">
        <x:v>LME_006</x:v>
      </x:c>
      <x:c r="B80" s="24" t="str">
        <x:v>Southeast U.S. Continental Shelf</x:v>
      </x:c>
      <x:c r="C80" s="24" t="str">
        <x:v>LME</x:v>
      </x:c>
      <x:c r="D80" s="30" t="n">
        <x:v>2019</x:v>
      </x:c>
      <x:c r="E80" s="24" t="str">
        <x:v>Penaeidae</x:v>
      </x:c>
      <x:c r="F80" s="24" t="str">
        <x:v>Commercial shrimps and prawns</x:v>
      </x:c>
      <x:c r="G80" s="24" t="str">
        <x:v>Shrimps</x:v>
      </x:c>
      <x:c r="H80" s="24" t="str">
        <x:v>Crustaceans</x:v>
      </x:c>
      <x:c r="I80" s="31" t="n">
        <x:v>97.62547000779999</x:v>
      </x:c>
      <x:c r="J80" s="31" t="n">
        <x:v>12.726465869</x:v>
      </x:c>
      <x:c r="K80" s="31" t="n">
        <x:v>84.8990041388</x:v>
      </x:c>
      <x:c r="L80" s="31" t="n">
        <x:v>7.5989667588</x:v>
      </x:c>
      <x:c r="M80" s="31" t="n">
        <x:v>90.026503249</x:v>
      </x:c>
      <x:c r="N80" s="24" t="str">
        <x:v>penaeidae</x:v>
      </x:c>
      <x:c r="O80" s="32" t="n">
        <x:v>3.31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Penaeidae</x:v>
      </x:c>
      <x:c r="T80" s="32" t="n">
        <x:f>IF(O80="","",(1/'Metadata'!$B$5)^(O80-1))</x:f>
        <x:v>204.17379446695296</x:v>
      </x:c>
      <x:c r="U80" s="31" t="n">
        <x:f>IF(T80="","",I80*T80)</x:f>
        <x:v>19932.562648112234</x:v>
      </x:c>
    </x:row>
    <x:row r="81" ht="18" customHeight="1">
      <x:c r="A81" s="24" t="str">
        <x:v>LME_006</x:v>
      </x:c>
      <x:c r="B81" s="24" t="str">
        <x:v>Southeast U.S. Continental Shelf</x:v>
      </x:c>
      <x:c r="C81" s="24" t="str">
        <x:v>LME</x:v>
      </x:c>
      <x:c r="D81" s="30" t="n">
        <x:v>2019</x:v>
      </x:c>
      <x:c r="E81" s="24" t="str">
        <x:v>Scyphozoa</x:v>
      </x:c>
      <x:c r="F81" s="24" t="str">
        <x:v>True jellyfishes</x:v>
      </x:c>
      <x:c r="G81" s="24" t="str">
        <x:v>Jellyfish</x:v>
      </x:c>
      <x:c r="H81" s="24" t="str">
        <x:v>Other fishes &amp; inverts</x:v>
      </x:c>
      <x:c r="I81" s="31" t="n">
        <x:v>95.701196313</x:v>
      </x:c>
      <x:c r="J81" s="31" t="n">
        <x:v>0</x:v>
      </x:c>
      <x:c r="K81" s="31" t="n">
        <x:v>95.701196313</x:v>
      </x:c>
      <x:c r="L81" s="31" t="n">
        <x:v>0</x:v>
      </x:c>
      <x:c r="M81" s="31" t="n">
        <x:v>95.701196313</x:v>
      </x:c>
      <x:c r="N81" s="24" t="str">
        <x:v>scyphozoa</x:v>
      </x:c>
      <x:c r="O81" s="32" t="n">
        <x:v>3.46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Scyphozoa</x:v>
      </x:c>
      <x:c r="T81" s="32" t="n">
        <x:f>IF(O81="","",(1/'Metadata'!$B$5)^(O81-1))</x:f>
        <x:v>288.40315031266056</x:v>
      </x:c>
      <x:c r="U81" s="31" t="n">
        <x:f>IF(T81="","",I81*T81)</x:f>
        <x:v>27600.526505359576</x:v>
      </x:c>
    </x:row>
    <x:row r="82" ht="18" customHeight="1">
      <x:c r="A82" s="24" t="str">
        <x:v>LME_006</x:v>
      </x:c>
      <x:c r="B82" s="24" t="str">
        <x:v>Southeast U.S. Continental Shelf</x:v>
      </x:c>
      <x:c r="C82" s="24" t="str">
        <x:v>LME</x:v>
      </x:c>
      <x:c r="D82" s="30" t="n">
        <x:v>2019</x:v>
      </x:c>
      <x:c r="E82" s="24" t="str">
        <x:v>Orthopristis chrysoptera</x:v>
      </x:c>
      <x:c r="F82" s="24" t="str">
        <x:v>Pigfish</x:v>
      </x:c>
      <x:c r="G82" s="24" t="str">
        <x:v>Medium demersals (30 - 89 cm)</x:v>
      </x:c>
      <x:c r="H82" s="24" t="str">
        <x:v>Perch-likes</x:v>
      </x:c>
      <x:c r="I82" s="31" t="n">
        <x:v>95.1220173965</x:v>
      </x:c>
      <x:c r="J82" s="31" t="n">
        <x:v>95.1220173965</x:v>
      </x:c>
      <x:c r="K82" s="31" t="n">
        <x:v>0</x:v>
      </x:c>
      <x:c r="L82" s="31" t="n">
        <x:v>8.0605547549</x:v>
      </x:c>
      <x:c r="M82" s="31" t="n">
        <x:v>87.0614626416</x:v>
      </x:c>
      <x:c r="N82" s="24" t="str">
        <x:v>orthopristis chrysoptera</x:v>
      </x:c>
      <x:c r="O82" s="32" t="n">
        <x:v>3.42</x:v>
      </x:c>
      <x:c r="P82" s="24" t="str">
        <x:v>exact_2020_supplement</x:v>
      </x:c>
      <x:c r="Q82" s="32" t="str">
        <x:v>2020 supplement MeanTL</x:v>
      </x:c>
      <x:c r="R82" s="24" t="str">
        <x:v>high</x:v>
      </x:c>
      <x:c r="S82" s="24" t="str">
        <x:v>Orthopristis chrysoptera</x:v>
      </x:c>
      <x:c r="T82" s="32" t="n">
        <x:f>IF(O82="","",(1/'Metadata'!$B$5)^(O82-1))</x:f>
        <x:v>263.02679918953817</x:v>
      </x:c>
      <x:c r="U82" s="31" t="n">
        <x:f>IF(T82="","",I82*T82)</x:f>
        <x:v>25019.63976825296</x:v>
      </x:c>
    </x:row>
    <x:row r="83" ht="18" customHeight="1">
      <x:c r="A83" s="24" t="str">
        <x:v>LME_006</x:v>
      </x:c>
      <x:c r="B83" s="24" t="str">
        <x:v>Southeast U.S. Continental Shelf</x:v>
      </x:c>
      <x:c r="C83" s="24" t="str">
        <x:v>LME</x:v>
      </x:c>
      <x:c r="D83" s="30" t="n">
        <x:v>2019</x:v>
      </x:c>
      <x:c r="E83" s="24" t="str">
        <x:v>Lopholatilus chamaeleonticeps</x:v>
      </x:c>
      <x:c r="F83" s="24" t="str">
        <x:v>Great northern tilefish</x:v>
      </x:c>
      <x:c r="G83" s="24" t="str">
        <x:v>Large demersals (&gt;=90 cm)</x:v>
      </x:c>
      <x:c r="H83" s="24" t="str">
        <x:v>Perch-likes</x:v>
      </x:c>
      <x:c r="I83" s="31" t="n">
        <x:v>93.26734213130001</x:v>
      </x:c>
      <x:c r="J83" s="31" t="n">
        <x:v>89.77615141950001</x:v>
      </x:c>
      <x:c r="K83" s="31" t="n">
        <x:v>3.4911907118</x:v>
      </x:c>
      <x:c r="L83" s="31" t="n">
        <x:v>83.017764476</x:v>
      </x:c>
      <x:c r="M83" s="31" t="n">
        <x:v>10.2495776553</x:v>
      </x:c>
      <x:c r="N83" s="24" t="str">
        <x:v>lopholatilus chamaeleonticeps</x:v>
      </x:c>
      <x:c r="O83" s="32" t="n">
        <x:v>3.85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Lopholatilus chamaeleonticeps</x:v>
      </x:c>
      <x:c r="T83" s="32" t="n">
        <x:f>IF(O83="","",(1/'Metadata'!$B$5)^(O83-1))</x:f>
        <x:v>707.945784384138</x:v>
      </x:c>
      <x:c r="U83" s="31" t="n">
        <x:f>IF(T83="","",I83*T83)</x:f>
        <x:v>66028.22168256695</x:v>
      </x:c>
    </x:row>
    <x:row r="84" ht="18" customHeight="1">
      <x:c r="A84" s="24" t="str">
        <x:v>LME_006</x:v>
      </x:c>
      <x:c r="B84" s="24" t="str">
        <x:v>Southeast U.S. Continental Shelf</x:v>
      </x:c>
      <x:c r="C84" s="24" t="str">
        <x:v>LME</x:v>
      </x:c>
      <x:c r="D84" s="30" t="n">
        <x:v>2019</x:v>
      </x:c>
      <x:c r="E84" s="24" t="str">
        <x:v>Lutjanus synagris</x:v>
      </x:c>
      <x:c r="F84" s="24" t="str">
        <x:v>Lane snapper</x:v>
      </x:c>
      <x:c r="G84" s="24" t="str">
        <x:v>Medium reef assoc. fish (30 - 89 cm)</x:v>
      </x:c>
      <x:c r="H84" s="24" t="str">
        <x:v>Perch-likes</x:v>
      </x:c>
      <x:c r="I84" s="31" t="n">
        <x:v>89.33089921109999</x:v>
      </x:c>
      <x:c r="J84" s="31" t="n">
        <x:v>89.29780761929999</x:v>
      </x:c>
      <x:c r="K84" s="31" t="n">
        <x:v>0.0330915918</x:v>
      </x:c>
      <x:c r="L84" s="31" t="n">
        <x:v>6.0355998783</x:v>
      </x:c>
      <x:c r="M84" s="31" t="n">
        <x:v>83.2952993328</x:v>
      </x:c>
      <x:c r="N84" s="24" t="str">
        <x:v>lutjanus synagris</x:v>
      </x:c>
      <x:c r="O84" s="32" t="n">
        <x:v>3.82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Lutjanus synagris</x:v>
      </x:c>
      <x:c r="T84" s="32" t="n">
        <x:f>IF(O84="","",(1/'Metadata'!$B$5)^(O84-1))</x:f>
        <x:v>660.6934480075957</x:v>
      </x:c>
      <x:c r="U84" s="31" t="n">
        <x:f>IF(T84="","",I84*T84)</x:f>
        <x:v>59020.339813400664</x:v>
      </x:c>
    </x:row>
    <x:row r="85" ht="18" customHeight="1">
      <x:c r="A85" s="24" t="str">
        <x:v>LME_006</x:v>
      </x:c>
      <x:c r="B85" s="24" t="str">
        <x:v>Southeast U.S. Continental Shelf</x:v>
      </x:c>
      <x:c r="C85" s="24" t="str">
        <x:v>LME</x:v>
      </x:c>
      <x:c r="D85" s="30" t="n">
        <x:v>2019</x:v>
      </x:c>
      <x:c r="E85" s="24" t="str">
        <x:v>Coryphaena</x:v>
      </x:c>
      <x:c r="F85" s="24" t="str">
        <x:v>Dolphinfishes</x:v>
      </x:c>
      <x:c r="G85" s="24" t="str">
        <x:v>Large pelagics (&gt;=90 cm)</x:v>
      </x:c>
      <x:c r="H85" s="24" t="str">
        <x:v>Perch-likes</x:v>
      </x:c>
      <x:c r="I85" s="31" t="n">
        <x:v>85.1432552678</x:v>
      </x:c>
      <x:c r="J85" s="31" t="n">
        <x:v>85.1432552678</x:v>
      </x:c>
      <x:c r="K85" s="31" t="n">
        <x:v>0</x:v>
      </x:c>
      <x:c r="L85" s="31" t="n">
        <x:v>85.1432552678</x:v>
      </x:c>
      <x:c r="M85" s="31" t="n">
        <x:v>0</x:v>
      </x:c>
      <x:c r="N85" s="24" t="str">
        <x:v>coryphaena</x:v>
      </x:c>
      <x:c r="O85" s="32" t="n">
        <x:v>4.49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Coryphaena</x:v>
      </x:c>
      <x:c r="T85" s="32" t="n">
        <x:f>IF(O85="","",(1/'Metadata'!$B$5)^(O85-1))</x:f>
        <x:v>3090.295432513592</x:v>
      </x:c>
      <x:c r="U85" s="31" t="n">
        <x:f>IF(T85="","",I85*T85)</x:f>
        <x:v>263117.81286342116</x:v>
      </x:c>
    </x:row>
    <x:row r="86" ht="18" customHeight="1">
      <x:c r="A86" s="24" t="str">
        <x:v>LME_006</x:v>
      </x:c>
      <x:c r="B86" s="24" t="str">
        <x:v>Southeast U.S. Continental Shelf</x:v>
      </x:c>
      <x:c r="C86" s="24" t="str">
        <x:v>LME</x:v>
      </x:c>
      <x:c r="D86" s="30" t="n">
        <x:v>2019</x:v>
      </x:c>
      <x:c r="E86" s="24" t="str">
        <x:v>Hemiramphus</x:v>
      </x:c>
      <x:c r="F86" s="24" t="str">
        <x:v>Halfbeaks</x:v>
      </x:c>
      <x:c r="G86" s="24" t="str">
        <x:v>Medium pelagics (30 - 89 cm)</x:v>
      </x:c>
      <x:c r="H86" s="24" t="str">
        <x:v>Other fishes &amp; inverts</x:v>
      </x:c>
      <x:c r="I86" s="31" t="n">
        <x:v>83.9285063583</x:v>
      </x:c>
      <x:c r="J86" s="31" t="n">
        <x:v>83.9285063583</x:v>
      </x:c>
      <x:c r="K86" s="31" t="n">
        <x:v>0</x:v>
      </x:c>
      <x:c r="L86" s="31" t="n">
        <x:v>83.9285063583</x:v>
      </x:c>
      <x:c r="M86" s="31" t="n">
        <x:v>0</x:v>
      </x:c>
      <x:c r="N86" s="24" t="str">
        <x:v>hemiramphus</x:v>
      </x:c>
      <x:c r="O86" s="32" t="n">
        <x:v>3.05</x:v>
      </x:c>
      <x:c r="P86" s="24" t="str">
        <x:v>exact_sea_around_us</x:v>
      </x:c>
      <x:c r="Q86" s="32" t="str">
        <x:v>Sea Around Us exploited organisms</x:v>
      </x:c>
      <x:c r="R86" s="24" t="str">
        <x:v>high</x:v>
      </x:c>
      <x:c r="S86" s="24" t="str">
        <x:v>Hemiramphus</x:v>
      </x:c>
      <x:c r="T86" s="32" t="n">
        <x:f>IF(O86="","",(1/'Metadata'!$B$5)^(O86-1))</x:f>
        <x:v>112.2018454301963</x:v>
      </x:c>
      <x:c r="U86" s="31" t="n">
        <x:f>IF(T86="","",I86*T86)</x:f>
        <x:v>9416.933297601225</x:v>
      </x:c>
    </x:row>
    <x:row r="87" ht="18" customHeight="1">
      <x:c r="A87" s="24" t="str">
        <x:v>LME_006</x:v>
      </x:c>
      <x:c r="B87" s="24" t="str">
        <x:v>Southeast U.S. Continental Shelf</x:v>
      </x:c>
      <x:c r="C87" s="24" t="str">
        <x:v>LME</x:v>
      </x:c>
      <x:c r="D87" s="30" t="n">
        <x:v>2019</x:v>
      </x:c>
      <x:c r="E87" s="24" t="str">
        <x:v>Chaceon fenneri</x:v>
      </x:c>
      <x:c r="F87" s="24" t="str">
        <x:v>Golden deepsea crab</x:v>
      </x:c>
      <x:c r="G87" s="24" t="str">
        <x:v>Lobsters, crabs</x:v>
      </x:c>
      <x:c r="H87" s="24" t="str">
        <x:v>Crustaceans</x:v>
      </x:c>
      <x:c r="I87" s="31" t="n">
        <x:v>78.717356485</x:v>
      </x:c>
      <x:c r="J87" s="31" t="n">
        <x:v>78.717356485</x:v>
      </x:c>
      <x:c r="K87" s="31" t="n">
        <x:v>0</x:v>
      </x:c>
      <x:c r="L87" s="31" t="n">
        <x:v>78.717356485</x:v>
      </x:c>
      <x:c r="M87" s="31" t="n">
        <x:v>0</x:v>
      </x:c>
      <x:c r="N87" s="24" t="str">
        <x:v>chaceon fenneri</x:v>
      </x:c>
      <x:c r="O87" s="32" t="n">
        <x:v>3.02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Chaceon fenneri</x:v>
      </x:c>
      <x:c r="T87" s="32" t="n">
        <x:f>IF(O87="","",(1/'Metadata'!$B$5)^(O87-1))</x:f>
        <x:v>104.71285480508996</x:v>
      </x:c>
      <x:c r="U87" s="31" t="n">
        <x:f>IF(T87="","",I87*T87)</x:f>
        <x:v>8242.71912025431</x:v>
      </x:c>
    </x:row>
    <x:row r="88" ht="18" customHeight="1">
      <x:c r="A88" s="24" t="str">
        <x:v>LME_006</x:v>
      </x:c>
      <x:c r="B88" s="24" t="str">
        <x:v>Southeast U.S. Continental Shelf</x:v>
      </x:c>
      <x:c r="C88" s="24" t="str">
        <x:v>LME</x:v>
      </x:c>
      <x:c r="D88" s="30" t="n">
        <x:v>2019</x:v>
      </x:c>
      <x:c r="E88" s="24" t="str">
        <x:v>Mugil curema</x:v>
      </x:c>
      <x:c r="F88" s="24" t="str">
        <x:v>White mullet</x:v>
      </x:c>
      <x:c r="G88" s="24" t="str">
        <x:v>Medium benthopelagics (30 - 89 cm)</x:v>
      </x:c>
      <x:c r="H88" s="24" t="str">
        <x:v>Perch-likes</x:v>
      </x:c>
      <x:c r="I88" s="31" t="n">
        <x:v>77.9284948032</x:v>
      </x:c>
      <x:c r="J88" s="31" t="n">
        <x:v>77.9284948032</x:v>
      </x:c>
      <x:c r="K88" s="31" t="n">
        <x:v>0</x:v>
      </x:c>
      <x:c r="L88" s="31" t="n">
        <x:v>69.9285524473</x:v>
      </x:c>
      <x:c r="M88" s="31" t="n">
        <x:v>7.9999423559</x:v>
      </x:c>
      <x:c r="N88" s="24" t="str">
        <x:v>mugil curema</x:v>
      </x:c>
      <x:c r="O88" s="32" t="n">
        <x:v>2.01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Mugil curema</x:v>
      </x:c>
      <x:c r="T88" s="32" t="n">
        <x:f>IF(O88="","",(1/'Metadata'!$B$5)^(O88-1))</x:f>
        <x:v>10.232929922807536</x:v>
      </x:c>
      <x:c r="U88" s="31" t="n">
        <x:f>IF(T88="","",I88*T88)</x:f>
        <x:v>797.4368263110168</x:v>
      </x:c>
    </x:row>
    <x:row r="89" ht="18" customHeight="1">
      <x:c r="A89" s="24" t="str">
        <x:v>LME_006</x:v>
      </x:c>
      <x:c r="B89" s="24" t="str">
        <x:v>Southeast U.S. Continental Shelf</x:v>
      </x:c>
      <x:c r="C89" s="24" t="str">
        <x:v>LME</x:v>
      </x:c>
      <x:c r="D89" s="30" t="n">
        <x:v>2019</x:v>
      </x:c>
      <x:c r="E89" s="24" t="str">
        <x:v>Penaeus duorarum</x:v>
      </x:c>
      <x:c r="F89" s="24" t="str">
        <x:v>Northern pink shrimp</x:v>
      </x:c>
      <x:c r="G89" s="24" t="str">
        <x:v>Shrimps</x:v>
      </x:c>
      <x:c r="H89" s="24" t="str">
        <x:v>Crustaceans</x:v>
      </x:c>
      <x:c r="I89" s="31" t="n">
        <x:v>73.9568342383</x:v>
      </x:c>
      <x:c r="J89" s="31" t="n">
        <x:v>73.9568342383</x:v>
      </x:c>
      <x:c r="K89" s="31" t="n">
        <x:v>0</x:v>
      </x:c>
      <x:c r="L89" s="31" t="n">
        <x:v>73.9568342383</x:v>
      </x:c>
      <x:c r="M89" s="31" t="n">
        <x:v>0</x:v>
      </x:c>
      <x:c r="N89" s="24" t="str">
        <x:v>penaeus duorarum</x:v>
      </x:c>
      <x:c r="O89" s="32" t="n">
        <x:v>2.15</x:v>
      </x:c>
      <x:c r="P89" s="24" t="str">
        <x:v>exact_sea_around_us</x:v>
      </x:c>
      <x:c r="Q89" s="32" t="str">
        <x:v>Sea Around Us exploited organisms</x:v>
      </x:c>
      <x:c r="R89" s="24" t="str">
        <x:v>high</x:v>
      </x:c>
      <x:c r="S89" s="24" t="str">
        <x:v>Penaeus duorarum</x:v>
      </x:c>
      <x:c r="T89" s="32" t="n">
        <x:f>IF(O89="","",(1/'Metadata'!$B$5)^(O89-1))</x:f>
        <x:v>14.12537544622754</x:v>
      </x:c>
      <x:c r="U89" s="31" t="n">
        <x:f>IF(T89="","",I89*T89)</x:f>
        <x:v>1044.6680504304031</x:v>
      </x:c>
    </x:row>
    <x:row r="90" ht="18" customHeight="1">
      <x:c r="A90" s="24" t="str">
        <x:v>LME_006</x:v>
      </x:c>
      <x:c r="B90" s="24" t="str">
        <x:v>Southeast U.S. Continental Shelf</x:v>
      </x:c>
      <x:c r="C90" s="24" t="str">
        <x:v>LME</x:v>
      </x:c>
      <x:c r="D90" s="30" t="n">
        <x:v>2019</x:v>
      </x:c>
      <x:c r="E90" s="24" t="str">
        <x:v>Thunnus alalunga</x:v>
      </x:c>
      <x:c r="F90" s="24" t="str">
        <x:v>Albacore</x:v>
      </x:c>
      <x:c r="G90" s="24" t="str">
        <x:v>Large pelagics (&gt;=90 cm)</x:v>
      </x:c>
      <x:c r="H90" s="24" t="str">
        <x:v>Tuna &amp; billfishes</x:v>
      </x:c>
      <x:c r="I90" s="31" t="n">
        <x:v>73.06775506299999</x:v>
      </x:c>
      <x:c r="J90" s="31" t="n">
        <x:v>73.06775506299999</x:v>
      </x:c>
      <x:c r="K90" s="31" t="n">
        <x:v>0</x:v>
      </x:c>
      <x:c r="L90" s="31" t="n">
        <x:v>72.3047621235</x:v>
      </x:c>
      <x:c r="M90" s="31" t="n">
        <x:v>0.7629929395</x:v>
      </x:c>
      <x:c r="N90" s="24" t="str">
        <x:v>thunnus alalunga</x:v>
      </x:c>
      <x:c r="O90" s="32" t="n">
        <x:v>4.3</x:v>
      </x:c>
      <x:c r="P90" s="24" t="str">
        <x:v>exact_2020_supplement</x:v>
      </x:c>
      <x:c r="Q90" s="32" t="str">
        <x:v>2020 supplement MeanTL</x:v>
      </x:c>
      <x:c r="R90" s="24" t="str">
        <x:v>high</x:v>
      </x:c>
      <x:c r="S90" s="24" t="str">
        <x:v>Thunnus alalunga</x:v>
      </x:c>
      <x:c r="T90" s="32" t="n">
        <x:f>IF(O90="","",(1/'Metadata'!$B$5)^(O90-1))</x:f>
        <x:v>1995.2623149688789</x:v>
      </x:c>
      <x:c r="U90" s="31" t="n">
        <x:f>IF(T90="","",I90*T90)</x:f>
        <x:v>145789.3381165804</x:v>
      </x:c>
    </x:row>
    <x:row r="91" ht="18" customHeight="1">
      <x:c r="A91" s="24" t="str">
        <x:v>LME_006</x:v>
      </x:c>
      <x:c r="B91" s="24" t="str">
        <x:v>Southeast U.S. Continental Shelf</x:v>
      </x:c>
      <x:c r="C91" s="24" t="str">
        <x:v>LME</x:v>
      </x:c>
      <x:c r="D91" s="30" t="n">
        <x:v>2019</x:v>
      </x:c>
      <x:c r="E91" s="24" t="str">
        <x:v>Caranx</x:v>
      </x:c>
      <x:c r="F91" s="24" t="str">
        <x:v>Jacks</x:v>
      </x:c>
      <x:c r="G91" s="24" t="str">
        <x:v>Medium reef assoc. fish (30 - 89 cm)</x:v>
      </x:c>
      <x:c r="H91" s="24" t="str">
        <x:v>Perch-likes</x:v>
      </x:c>
      <x:c r="I91" s="31" t="n">
        <x:v>71.0855223906</x:v>
      </x:c>
      <x:c r="J91" s="31" t="n">
        <x:v>71.0855223906</x:v>
      </x:c>
      <x:c r="K91" s="31" t="n">
        <x:v>0</x:v>
      </x:c>
      <x:c r="L91" s="31" t="n">
        <x:v>0</x:v>
      </x:c>
      <x:c r="M91" s="31" t="n">
        <x:v>71.0855223906</x:v>
      </x:c>
      <x:c r="N91" s="24" t="str">
        <x:v>caranx</x:v>
      </x:c>
      <x:c r="O91" s="32" t="n">
        <x:v>4.12</x:v>
      </x:c>
      <x:c r="P91" s="24" t="str">
        <x:v>exact_sea_around_us</x:v>
      </x:c>
      <x:c r="Q91" s="32" t="str">
        <x:v>Sea Around Us exploited organisms</x:v>
      </x:c>
      <x:c r="R91" s="24" t="str">
        <x:v>high</x:v>
      </x:c>
      <x:c r="S91" s="24" t="str">
        <x:v>Caranx</x:v>
      </x:c>
      <x:c r="T91" s="32" t="n">
        <x:f>IF(O91="","",(1/'Metadata'!$B$5)^(O91-1))</x:f>
        <x:v>1318.2567385564075</x:v>
      </x:c>
      <x:c r="U91" s="31" t="n">
        <x:f>IF(T91="","",I91*T91)</x:f>
        <x:v>93708.96890521084</x:v>
      </x:c>
    </x:row>
    <x:row r="92" ht="18" customHeight="1">
      <x:c r="A92" s="24" t="str">
        <x:v>LME_006</x:v>
      </x:c>
      <x:c r="B92" s="24" t="str">
        <x:v>Southeast U.S. Continental Shelf</x:v>
      </x:c>
      <x:c r="C92" s="24" t="str">
        <x:v>LME</x:v>
      </x:c>
      <x:c r="D92" s="30" t="n">
        <x:v>2019</x:v>
      </x:c>
      <x:c r="E92" s="24" t="str">
        <x:v>Centropomus undecimalis</x:v>
      </x:c>
      <x:c r="F92" s="24" t="str">
        <x:v>Common snook</x:v>
      </x:c>
      <x:c r="G92" s="24" t="str">
        <x:v>Large benthopelagics (&gt;=90 cm)</x:v>
      </x:c>
      <x:c r="H92" s="24" t="str">
        <x:v>Perch-likes</x:v>
      </x:c>
      <x:c r="I92" s="31" t="n">
        <x:v>69.7647452044</x:v>
      </x:c>
      <x:c r="J92" s="31" t="n">
        <x:v>69.7647452044</x:v>
      </x:c>
      <x:c r="K92" s="31" t="n">
        <x:v>0</x:v>
      </x:c>
      <x:c r="L92" s="31" t="n">
        <x:v>0</x:v>
      </x:c>
      <x:c r="M92" s="31" t="n">
        <x:v>69.7647452044</x:v>
      </x:c>
      <x:c r="N92" s="24" t="str">
        <x:v>centropomus undecimalis</x:v>
      </x:c>
      <x:c r="O92" s="32" t="n">
        <x:v>4.17</x:v>
      </x:c>
      <x:c r="P92" s="24" t="str">
        <x:v>exact_2020_supplement</x:v>
      </x:c>
      <x:c r="Q92" s="32" t="str">
        <x:v>2020 supplement MeanTL</x:v>
      </x:c>
      <x:c r="R92" s="24" t="str">
        <x:v>high</x:v>
      </x:c>
      <x:c r="S92" s="24" t="str">
        <x:v>Centropomus undecimalis</x:v>
      </x:c>
      <x:c r="T92" s="32" t="n">
        <x:f>IF(O92="","",(1/'Metadata'!$B$5)^(O92-1))</x:f>
        <x:v>1479.1083881682073</x:v>
      </x:c>
      <x:c r="U92" s="31" t="n">
        <x:f>IF(T92="","",I92*T92)</x:f>
        <x:v>103189.61983024575</x:v>
      </x:c>
    </x:row>
    <x:row r="93" ht="18" customHeight="1">
      <x:c r="A93" s="24" t="str">
        <x:v>LME_006</x:v>
      </x:c>
      <x:c r="B93" s="24" t="str">
        <x:v>Southeast U.S. Continental Shelf</x:v>
      </x:c>
      <x:c r="C93" s="24" t="str">
        <x:v>LME</x:v>
      </x:c>
      <x:c r="D93" s="30" t="n">
        <x:v>2019</x:v>
      </x:c>
      <x:c r="E93" s="24" t="str">
        <x:v>Mercenaria mercenaria</x:v>
      </x:c>
      <x:c r="F93" s="24" t="str">
        <x:v>Northern quahog</x:v>
      </x:c>
      <x:c r="G93" s="24" t="str">
        <x:v>Other demersal invertebrates</x:v>
      </x:c>
      <x:c r="H93" s="24" t="str">
        <x:v>Molluscs</x:v>
      </x:c>
      <x:c r="I93" s="31" t="n">
        <x:v>67.4768783008</x:v>
      </x:c>
      <x:c r="J93" s="31" t="n">
        <x:v>67.4768783008</x:v>
      </x:c>
      <x:c r="K93" s="31" t="n">
        <x:v>0</x:v>
      </x:c>
      <x:c r="L93" s="31" t="n">
        <x:v>0</x:v>
      </x:c>
      <x:c r="M93" s="31" t="n">
        <x:v>67.4768783008</x:v>
      </x:c>
      <x:c r="N93" s="24" t="str">
        <x:v>mercenaria mercenaria</x:v>
      </x:c>
      <x:c r="O93" s="32" t="n">
        <x:v>2</x:v>
      </x:c>
      <x:c r="P93" s="24" t="str">
        <x:v>exact_sea_around_us</x:v>
      </x:c>
      <x:c r="Q93" s="32" t="str">
        <x:v>Sea Around Us exploited organisms</x:v>
      </x:c>
      <x:c r="R93" s="24" t="str">
        <x:v>high</x:v>
      </x:c>
      <x:c r="S93" s="24" t="str">
        <x:v>Mercenaria mercenaria</x:v>
      </x:c>
      <x:c r="T93" s="32" t="n">
        <x:f>IF(O93="","",(1/'Metadata'!$B$5)^(O93-1))</x:f>
        <x:v>10</x:v>
      </x:c>
      <x:c r="U93" s="31" t="n">
        <x:f>IF(T93="","",I93*T93)</x:f>
        <x:v>674.7687830079999</x:v>
      </x:c>
    </x:row>
    <x:row r="94" ht="18" customHeight="1">
      <x:c r="A94" s="24" t="str">
        <x:v>LME_006</x:v>
      </x:c>
      <x:c r="B94" s="24" t="str">
        <x:v>Southeast U.S. Continental Shelf</x:v>
      </x:c>
      <x:c r="C94" s="24" t="str">
        <x:v>LME</x:v>
      </x:c>
      <x:c r="D94" s="30" t="n">
        <x:v>2019</x:v>
      </x:c>
      <x:c r="E94" s="24" t="str">
        <x:v>Stenotomus chrysops</x:v>
      </x:c>
      <x:c r="F94" s="24" t="str">
        <x:v>Scup</x:v>
      </x:c>
      <x:c r="G94" s="24" t="str">
        <x:v>Medium demersals (30 - 89 cm)</x:v>
      </x:c>
      <x:c r="H94" s="24" t="str">
        <x:v>Perch-likes</x:v>
      </x:c>
      <x:c r="I94" s="31" t="n">
        <x:v>65.0111260114</x:v>
      </x:c>
      <x:c r="J94" s="31" t="n">
        <x:v>64.6984694388</x:v>
      </x:c>
      <x:c r="K94" s="31" t="n">
        <x:v>0.3126565726</x:v>
      </x:c>
      <x:c r="L94" s="31" t="n">
        <x:v>63.1059850818</x:v>
      </x:c>
      <x:c r="M94" s="31" t="n">
        <x:v>1.9051409296</x:v>
      </x:c>
      <x:c r="N94" s="24" t="str">
        <x:v>stenotomus chrysops</x:v>
      </x:c>
      <x:c r="O94" s="32" t="n">
        <x:v>3.82</x:v>
      </x:c>
      <x:c r="P94" s="24" t="str">
        <x:v>exact_2020_supplement</x:v>
      </x:c>
      <x:c r="Q94" s="32" t="str">
        <x:v>2020 supplement MeanTL</x:v>
      </x:c>
      <x:c r="R94" s="24" t="str">
        <x:v>high</x:v>
      </x:c>
      <x:c r="S94" s="24" t="str">
        <x:v>Stenotomus chrysops</x:v>
      </x:c>
      <x:c r="T94" s="32" t="n">
        <x:f>IF(O94="","",(1/'Metadata'!$B$5)^(O94-1))</x:f>
        <x:v>660.6934480075957</x:v>
      </x:c>
      <x:c r="U94" s="31" t="n">
        <x:f>IF(T94="","",I94*T94)</x:f>
        <x:v>42952.42500332816</x:v>
      </x:c>
    </x:row>
    <x:row r="95" ht="18" customHeight="1">
      <x:c r="A95" s="24" t="str">
        <x:v>LME_006</x:v>
      </x:c>
      <x:c r="B95" s="24" t="str">
        <x:v>Southeast U.S. Continental Shelf</x:v>
      </x:c>
      <x:c r="C95" s="24" t="str">
        <x:v>LME</x:v>
      </x:c>
      <x:c r="D95" s="30" t="n">
        <x:v>2019</x:v>
      </x:c>
      <x:c r="E95" s="24" t="str">
        <x:v>Mycteroperca microlepis</x:v>
      </x:c>
      <x:c r="F95" s="24" t="str">
        <x:v>Gag</x:v>
      </x:c>
      <x:c r="G95" s="24" t="str">
        <x:v>Large demersals (&gt;=90 cm)</x:v>
      </x:c>
      <x:c r="H95" s="24" t="str">
        <x:v>Perch-likes</x:v>
      </x:c>
      <x:c r="I95" s="31" t="n">
        <x:v>59.854435643500004</x:v>
      </x:c>
      <x:c r="J95" s="31" t="n">
        <x:v>53.8931565501</x:v>
      </x:c>
      <x:c r="K95" s="31" t="n">
        <x:v>5.9612790934</x:v>
      </x:c>
      <x:c r="L95" s="31" t="n">
        <x:v>53.3153306991</x:v>
      </x:c>
      <x:c r="M95" s="31" t="n">
        <x:v>6.5391049444</x:v>
      </x:c>
      <x:c r="N95" s="24" t="str">
        <x:v>mycteroperca microlepis</x:v>
      </x:c>
      <x:c r="O95" s="32" t="n">
        <x:v>3.65</x:v>
      </x:c>
      <x:c r="P95" s="24" t="str">
        <x:v>exact_2020_supplement</x:v>
      </x:c>
      <x:c r="Q95" s="32" t="str">
        <x:v>2020 supplement MeanTL</x:v>
      </x:c>
      <x:c r="R95" s="24" t="str">
        <x:v>high</x:v>
      </x:c>
      <x:c r="S95" s="24" t="str">
        <x:v>Mycteroperca microlepis</x:v>
      </x:c>
      <x:c r="T95" s="32" t="n">
        <x:f>IF(O95="","",(1/'Metadata'!$B$5)^(O95-1))</x:f>
        <x:v>446.683592150963</x:v>
      </x:c>
      <x:c r="U95" s="31" t="n">
        <x:f>IF(T95="","",I95*T95)</x:f>
        <x:v>26735.99431940722</x:v>
      </x:c>
    </x:row>
    <x:row r="96" ht="18" customHeight="1">
      <x:c r="A96" s="24" t="str">
        <x:v>LME_006</x:v>
      </x:c>
      <x:c r="B96" s="24" t="str">
        <x:v>Southeast U.S. Continental Shelf</x:v>
      </x:c>
      <x:c r="C96" s="24" t="str">
        <x:v>LME</x:v>
      </x:c>
      <x:c r="D96" s="30" t="n">
        <x:v>2019</x:v>
      </x:c>
      <x:c r="E96" s="24" t="str">
        <x:v>Pleoticus robustus</x:v>
      </x:c>
      <x:c r="F96" s="24" t="str">
        <x:v>Royal red shrimp</x:v>
      </x:c>
      <x:c r="G96" s="24" t="str">
        <x:v>Shrimps</x:v>
      </x:c>
      <x:c r="H96" s="24" t="str">
        <x:v>Crustaceans</x:v>
      </x:c>
      <x:c r="I96" s="31" t="n">
        <x:v>58.2165493919</x:v>
      </x:c>
      <x:c r="J96" s="31" t="n">
        <x:v>58.2165493919</x:v>
      </x:c>
      <x:c r="K96" s="31" t="n">
        <x:v>0</x:v>
      </x:c>
      <x:c r="L96" s="31" t="n">
        <x:v>58.2165493919</x:v>
      </x:c>
      <x:c r="M96" s="31" t="n">
        <x:v>0</x:v>
      </x:c>
      <x:c r="N96" s="24" t="str">
        <x:v>pleoticus robustus</x:v>
      </x:c>
      <x:c r="O96" s="32" t="n">
        <x:v>2.2</x:v>
      </x:c>
      <x:c r="P96" s="24" t="str">
        <x:v>exact_sea_around_us</x:v>
      </x:c>
      <x:c r="Q96" s="32" t="str">
        <x:v>Sea Around Us exploited organisms</x:v>
      </x:c>
      <x:c r="R96" s="24" t="str">
        <x:v>high</x:v>
      </x:c>
      <x:c r="S96" s="24" t="str">
        <x:v>Pleoticus robustus</x:v>
      </x:c>
      <x:c r="T96" s="32" t="n">
        <x:f>IF(O96="","",(1/'Metadata'!$B$5)^(O96-1))</x:f>
        <x:v>15.848931924611142</x:v>
      </x:c>
      <x:c r="U96" s="31" t="n">
        <x:f>IF(T96="","",I96*T96)</x:f>
        <x:v>922.6701281979853</x:v>
      </x:c>
    </x:row>
    <x:row r="97" ht="18" customHeight="1">
      <x:c r="A97" s="24" t="str">
        <x:v>LME_006</x:v>
      </x:c>
      <x:c r="B97" s="24" t="str">
        <x:v>Southeast U.S. Continental Shelf</x:v>
      </x:c>
      <x:c r="C97" s="24" t="str">
        <x:v>LME</x:v>
      </x:c>
      <x:c r="D97" s="30" t="n">
        <x:v>2019</x:v>
      </x:c>
      <x:c r="E97" s="24" t="str">
        <x:v>Sarda sarda</x:v>
      </x:c>
      <x:c r="F97" s="24" t="str">
        <x:v>Atlantic bonito</x:v>
      </x:c>
      <x:c r="G97" s="24" t="str">
        <x:v>Medium pelagics (30 - 89 cm)</x:v>
      </x:c>
      <x:c r="H97" s="24" t="str">
        <x:v>Tuna &amp; billfishes</x:v>
      </x:c>
      <x:c r="I97" s="31" t="n">
        <x:v>57.8010549236</x:v>
      </x:c>
      <x:c r="J97" s="31" t="n">
        <x:v>57.8010549236</x:v>
      </x:c>
      <x:c r="K97" s="31" t="n">
        <x:v>0</x:v>
      </x:c>
      <x:c r="L97" s="31" t="n">
        <x:v>7.020859267800001</x:v>
      </x:c>
      <x:c r="M97" s="31" t="n">
        <x:v>50.7801956558</x:v>
      </x:c>
      <x:c r="N97" s="24" t="str">
        <x:v>sarda sarda</x:v>
      </x:c>
      <x:c r="O97" s="32" t="n">
        <x:v>4.5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Sarda sarda</x:v>
      </x:c>
      <x:c r="T97" s="32" t="n">
        <x:f>IF(O97="","",(1/'Metadata'!$B$5)^(O97-1))</x:f>
        <x:v>3162.2776601683795</x:v>
      </x:c>
      <x:c r="U97" s="31" t="n">
        <x:f>IF(T97="","",I97*T97)</x:f>
        <x:v>182782.9847190658</x:v>
      </x:c>
    </x:row>
    <x:row r="98" ht="18" customHeight="1">
      <x:c r="A98" s="24" t="str">
        <x:v>LME_006</x:v>
      </x:c>
      <x:c r="B98" s="24" t="str">
        <x:v>Southeast U.S. Continental Shelf</x:v>
      </x:c>
      <x:c r="C98" s="24" t="str">
        <x:v>LME</x:v>
      </x:c>
      <x:c r="D98" s="30" t="n">
        <x:v>2019</x:v>
      </x:c>
      <x:c r="E98" s="24" t="str">
        <x:v>Seriola rivoliana</x:v>
      </x:c>
      <x:c r="F98" s="24" t="str">
        <x:v>Longfin yellowtail</x:v>
      </x:c>
      <x:c r="G98" s="24" t="str">
        <x:v>Large benthopelagics (&gt;=90 cm)</x:v>
      </x:c>
      <x:c r="H98" s="24" t="str">
        <x:v>Perch-likes</x:v>
      </x:c>
      <x:c r="I98" s="31" t="n">
        <x:v>56.809616478399995</x:v>
      </x:c>
      <x:c r="J98" s="31" t="n">
        <x:v>56.809616478399995</x:v>
      </x:c>
      <x:c r="K98" s="31" t="n">
        <x:v>0</x:v>
      </x:c>
      <x:c r="L98" s="31" t="n">
        <x:v>56.0425700463</x:v>
      </x:c>
      <x:c r="M98" s="31" t="n">
        <x:v>0.7670464321</x:v>
      </x:c>
      <x:c r="N98" s="24" t="str">
        <x:v>seriola rivoliana</x:v>
      </x:c>
      <x:c r="O98" s="32" t="n">
        <x:v>4.45</x:v>
      </x:c>
      <x:c r="P98" s="24" t="str">
        <x:v>exact_2020_supplement</x:v>
      </x:c>
      <x:c r="Q98" s="32" t="str">
        <x:v>2020 supplement MeanTL</x:v>
      </x:c>
      <x:c r="R98" s="24" t="str">
        <x:v>high</x:v>
      </x:c>
      <x:c r="S98" s="24" t="str">
        <x:v>Seriola rivoliana</x:v>
      </x:c>
      <x:c r="T98" s="32" t="n">
        <x:f>IF(O98="","",(1/'Metadata'!$B$5)^(O98-1))</x:f>
        <x:v>2818.382931264455</x:v>
      </x:c>
      <x:c r="U98" s="31" t="n">
        <x:f>IF(T98="","",I98*T98)</x:f>
        <x:v>160111.25341440245</x:v>
      </x:c>
    </x:row>
    <x:row r="99" ht="18" customHeight="1">
      <x:c r="A99" s="24" t="str">
        <x:v>LME_006</x:v>
      </x:c>
      <x:c r="B99" s="24" t="str">
        <x:v>Southeast U.S. Continental Shelf</x:v>
      </x:c>
      <x:c r="C99" s="24" t="str">
        <x:v>LME</x:v>
      </x:c>
      <x:c r="D99" s="30" t="n">
        <x:v>2019</x:v>
      </x:c>
      <x:c r="E99" s="24" t="str">
        <x:v>Carcharhinus limbatus</x:v>
      </x:c>
      <x:c r="F99" s="24" t="str">
        <x:v>Blacktip shark</x:v>
      </x:c>
      <x:c r="G99" s="24" t="str">
        <x:v>Large sharks (&gt;=90 cm)</x:v>
      </x:c>
      <x:c r="H99" s="24" t="str">
        <x:v>Sharks &amp; rays</x:v>
      </x:c>
      <x:c r="I99" s="31" t="n">
        <x:v>56.6059440724</x:v>
      </x:c>
      <x:c r="J99" s="31" t="n">
        <x:v>46.9687152787</x:v>
      </x:c>
      <x:c r="K99" s="31" t="n">
        <x:v>9.6372287937</x:v>
      </x:c>
      <x:c r="L99" s="31" t="n">
        <x:v>39.4867127293</x:v>
      </x:c>
      <x:c r="M99" s="31" t="n">
        <x:v>17.1192313431</x:v>
      </x:c>
      <x:c r="N99" s="24" t="str">
        <x:v>carcharhinus limbatus</x:v>
      </x:c>
      <x:c r="O99" s="32" t="n">
        <x:v>4.37</x:v>
      </x:c>
      <x:c r="P99" s="24" t="str">
        <x:v>exact_2020_supplement</x:v>
      </x:c>
      <x:c r="Q99" s="32" t="str">
        <x:v>2020 supplement MeanTL</x:v>
      </x:c>
      <x:c r="R99" s="24" t="str">
        <x:v>high</x:v>
      </x:c>
      <x:c r="S99" s="24" t="str">
        <x:v>Carcharhinus limbatus</x:v>
      </x:c>
      <x:c r="T99" s="32" t="n">
        <x:f>IF(O99="","",(1/'Metadata'!$B$5)^(O99-1))</x:f>
        <x:v>2344.228815319923</x:v>
      </x:c>
      <x:c r="U99" s="31" t="n">
        <x:f>IF(T99="","",I99*T99)</x:f>
        <x:v>132697.28521290806</x:v>
      </x:c>
    </x:row>
    <x:row r="100" ht="18" customHeight="1">
      <x:c r="A100" s="24" t="str">
        <x:v>LME_006</x:v>
      </x:c>
      <x:c r="B100" s="24" t="str">
        <x:v>Southeast U.S. Continental Shelf</x:v>
      </x:c>
      <x:c r="C100" s="24" t="str">
        <x:v>LME</x:v>
      </x:c>
      <x:c r="D100" s="30" t="n">
        <x:v>2019</x:v>
      </x:c>
      <x:c r="E100" s="24" t="str">
        <x:v>Alosa mediocris</x:v>
      </x:c>
      <x:c r="F100" s="24" t="str">
        <x:v>Hickory shad</x:v>
      </x:c>
      <x:c r="G100" s="24" t="str">
        <x:v>Medium pelagics (30 - 89 cm)</x:v>
      </x:c>
      <x:c r="H100" s="24" t="str">
        <x:v>Herring-likes</x:v>
      </x:c>
      <x:c r="I100" s="31" t="n">
        <x:v>55.642780371</x:v>
      </x:c>
      <x:c r="J100" s="31" t="n">
        <x:v>55.642780371</x:v>
      </x:c>
      <x:c r="K100" s="31" t="n">
        <x:v>0</x:v>
      </x:c>
      <x:c r="L100" s="31" t="n">
        <x:v>55.195880935</x:v>
      </x:c>
      <x:c r="M100" s="31" t="n">
        <x:v>0.446899436</x:v>
      </x:c>
      <x:c r="N100" s="24" t="str">
        <x:v>alosa mediocris</x:v>
      </x:c>
      <x:c r="O100" s="32" t="n">
        <x:v>4.12</x:v>
      </x:c>
      <x:c r="P100" s="24" t="str">
        <x:v>exact_2020_supplement</x:v>
      </x:c>
      <x:c r="Q100" s="32" t="str">
        <x:v>2020 supplement MeanTL</x:v>
      </x:c>
      <x:c r="R100" s="24" t="str">
        <x:v>high</x:v>
      </x:c>
      <x:c r="S100" s="24" t="str">
        <x:v>Alosa mediocris</x:v>
      </x:c>
      <x:c r="T100" s="32" t="n">
        <x:f>IF(O100="","",(1/'Metadata'!$B$5)^(O100-1))</x:f>
        <x:v>1318.2567385564075</x:v>
      </x:c>
      <x:c r="U100" s="31" t="n">
        <x:f>IF(T100="","",I100*T100)</x:f>
        <x:v>73351.47017608496</x:v>
      </x:c>
    </x:row>
    <x:row r="101" ht="18" customHeight="1">
      <x:c r="A101" s="24" t="str">
        <x:v>LME_006</x:v>
      </x:c>
      <x:c r="B101" s="24" t="str">
        <x:v>Southeast U.S. Continental Shelf</x:v>
      </x:c>
      <x:c r="C101" s="24" t="str">
        <x:v>LME</x:v>
      </x:c>
      <x:c r="D101" s="30" t="n">
        <x:v>2019</x:v>
      </x:c>
      <x:c r="E101" s="24" t="str">
        <x:v>Hyporthodus niveatus</x:v>
      </x:c>
      <x:c r="F101" s="24" t="str">
        <x:v>Snowy grouper</x:v>
      </x:c>
      <x:c r="G101" s="24" t="str">
        <x:v>Large demersals (&gt;=90 cm)</x:v>
      </x:c>
      <x:c r="H101" s="24" t="str">
        <x:v>Perch-likes</x:v>
      </x:c>
      <x:c r="I101" s="31" t="n">
        <x:v>55.2322557211</x:v>
      </x:c>
      <x:c r="J101" s="31" t="n">
        <x:v>52.7601160673</x:v>
      </x:c>
      <x:c r="K101" s="31" t="n">
        <x:v>2.4721396538000002</x:v>
      </x:c>
      <x:c r="L101" s="31" t="n">
        <x:v>48.4086221032</x:v>
      </x:c>
      <x:c r="M101" s="31" t="n">
        <x:v>6.823633617900001</x:v>
      </x:c>
      <x:c r="N101" s="24" t="str">
        <x:v>hyporthodus niveatus</x:v>
      </x:c>
      <x:c r="O101" s="32" t="n">
        <x:v>4.04</x:v>
      </x:c>
      <x:c r="P101" s="24" t="str">
        <x:v>exact_2020_supplement</x:v>
      </x:c>
      <x:c r="Q101" s="32" t="str">
        <x:v>2020 supplement MeanTL</x:v>
      </x:c>
      <x:c r="R101" s="24" t="str">
        <x:v>high</x:v>
      </x:c>
      <x:c r="S101" s="24" t="str">
        <x:v>Hyporthodus niveatus</x:v>
      </x:c>
      <x:c r="T101" s="32" t="n">
        <x:f>IF(O101="","",(1/'Metadata'!$B$5)^(O101-1))</x:f>
        <x:v>1096.4781961431852</x:v>
      </x:c>
      <x:c r="U101" s="31" t="n">
        <x:f>IF(T101="","",I101*T101)</x:f>
        <x:v>60560.96412199085</x:v>
      </x:c>
    </x:row>
    <x:row r="102" ht="18" customHeight="1">
      <x:c r="A102" s="24" t="str">
        <x:v>LME_006</x:v>
      </x:c>
      <x:c r="B102" s="24" t="str">
        <x:v>Southeast U.S. Continental Shelf</x:v>
      </x:c>
      <x:c r="C102" s="24" t="str">
        <x:v>LME</x:v>
      </x:c>
      <x:c r="D102" s="30" t="n">
        <x:v>2019</x:v>
      </x:c>
      <x:c r="E102" s="24" t="str">
        <x:v>Morone americana</x:v>
      </x:c>
      <x:c r="F102" s="24" t="str">
        <x:v>White perch</x:v>
      </x:c>
      <x:c r="G102" s="24" t="str">
        <x:v>Medium demersals (30 - 89 cm)</x:v>
      </x:c>
      <x:c r="H102" s="24" t="str">
        <x:v>Perch-likes</x:v>
      </x:c>
      <x:c r="I102" s="31" t="n">
        <x:v>54.1806187626</x:v>
      </x:c>
      <x:c r="J102" s="31" t="n">
        <x:v>54.1806187626</x:v>
      </x:c>
      <x:c r="K102" s="31" t="n">
        <x:v>0</x:v>
      </x:c>
      <x:c r="L102" s="31" t="n">
        <x:v>45.5397704694</x:v>
      </x:c>
      <x:c r="M102" s="31" t="n">
        <x:v>8.6408482932</x:v>
      </x:c>
      <x:c r="N102" s="24" t="str">
        <x:v>morone americana</x:v>
      </x:c>
      <x:c r="O102" s="32" t="n">
        <x:v>3.14</x:v>
      </x:c>
      <x:c r="P102" s="24" t="str">
        <x:v>exact_2020_supplement</x:v>
      </x:c>
      <x:c r="Q102" s="32" t="str">
        <x:v>2020 supplement MeanTL</x:v>
      </x:c>
      <x:c r="R102" s="24" t="str">
        <x:v>high</x:v>
      </x:c>
      <x:c r="S102" s="24" t="str">
        <x:v>Morone americana</x:v>
      </x:c>
      <x:c r="T102" s="32" t="n">
        <x:f>IF(O102="","",(1/'Metadata'!$B$5)^(O102-1))</x:f>
        <x:v>138.03842646028852</x:v>
      </x:c>
      <x:c r="U102" s="31" t="n">
        <x:f>IF(T102="","",I102*T102)</x:f>
        <x:v>7479.007358634089</x:v>
      </x:c>
    </x:row>
    <x:row r="103" ht="18" customHeight="1">
      <x:c r="A103" s="24" t="str">
        <x:v>LME_006</x:v>
      </x:c>
      <x:c r="B103" s="24" t="str">
        <x:v>Southeast U.S. Continental Shelf</x:v>
      </x:c>
      <x:c r="C103" s="24" t="str">
        <x:v>LME</x:v>
      </x:c>
      <x:c r="D103" s="30" t="n">
        <x:v>2019</x:v>
      </x:c>
      <x:c r="E103" s="24" t="str">
        <x:v>Rachycentridae</x:v>
      </x:c>
      <x:c r="F103" s="24" t="str">
        <x:v>Cobias</x:v>
      </x:c>
      <x:c r="G103" s="24" t="str">
        <x:v>Large pelagics (&gt;=90 cm)</x:v>
      </x:c>
      <x:c r="H103" s="24" t="str">
        <x:v>Perch-likes</x:v>
      </x:c>
      <x:c r="I103" s="31" t="n">
        <x:v>53.283236621300006</x:v>
      </x:c>
      <x:c r="J103" s="31" t="n">
        <x:v>0.2552339258</x:v>
      </x:c>
      <x:c r="K103" s="31" t="n">
        <x:v>53.0280026955</x:v>
      </x:c>
      <x:c r="L103" s="31" t="n">
        <x:v>0</x:v>
      </x:c>
      <x:c r="M103" s="31" t="n">
        <x:v>53.283236621300006</x:v>
      </x:c>
      <x:c r="N103" s="24" t="str">
        <x:v>rachycentridae</x:v>
      </x:c>
      <x:c r="O103" s="32" t="n">
        <x:v>3.96</x:v>
      </x:c>
      <x:c r="P103" s="24" t="str">
        <x:v>exact_sea_around_us</x:v>
      </x:c>
      <x:c r="Q103" s="32" t="str">
        <x:v>Sea Around Us exploited organisms</x:v>
      </x:c>
      <x:c r="R103" s="24" t="str">
        <x:v>high</x:v>
      </x:c>
      <x:c r="S103" s="24" t="str">
        <x:v>Rachycentridae</x:v>
      </x:c>
      <x:c r="T103" s="32" t="n">
        <x:f>IF(O103="","",(1/'Metadata'!$B$5)^(O103-1))</x:f>
        <x:v>912.0108393559096</x:v>
      </x:c>
      <x:c r="U103" s="31" t="n">
        <x:f>IF(T103="","",I103*T103)</x:f>
        <x:v>48594.88935459136</x:v>
      </x:c>
    </x:row>
    <x:row r="104" ht="18" customHeight="1">
      <x:c r="A104" s="24" t="str">
        <x:v>LME_006</x:v>
      </x:c>
      <x:c r="B104" s="24" t="str">
        <x:v>Southeast U.S. Continental Shelf</x:v>
      </x:c>
      <x:c r="C104" s="24" t="str">
        <x:v>LME</x:v>
      </x:c>
      <x:c r="D104" s="30" t="n">
        <x:v>2019</x:v>
      </x:c>
      <x:c r="E104" s="24" t="str">
        <x:v>Epinephelus morio</x:v>
      </x:c>
      <x:c r="F104" s="24" t="str">
        <x:v>Red grouper</x:v>
      </x:c>
      <x:c r="G104" s="24" t="str">
        <x:v>Large reef assoc. fish (&gt;=90 cm)</x:v>
      </x:c>
      <x:c r="H104" s="24" t="str">
        <x:v>Perch-likes</x:v>
      </x:c>
      <x:c r="I104" s="31" t="n">
        <x:v>51.605255076700004</x:v>
      </x:c>
      <x:c r="J104" s="31" t="n">
        <x:v>47.2212103412</x:v>
      </x:c>
      <x:c r="K104" s="31" t="n">
        <x:v>4.3840447355</x:v>
      </x:c>
      <x:c r="L104" s="31" t="n">
        <x:v>7.462239483199999</x:v>
      </x:c>
      <x:c r="M104" s="31" t="n">
        <x:v>44.143015593499996</x:v>
      </x:c>
      <x:c r="N104" s="24" t="str">
        <x:v>epinephelus morio</x:v>
      </x:c>
      <x:c r="O104" s="32" t="n">
        <x:v>3.5</x:v>
      </x:c>
      <x:c r="P104" s="24" t="str">
        <x:v>exact_2020_supplement</x:v>
      </x:c>
      <x:c r="Q104" s="32" t="str">
        <x:v>2020 supplement MeanTL</x:v>
      </x:c>
      <x:c r="R104" s="24" t="str">
        <x:v>high</x:v>
      </x:c>
      <x:c r="S104" s="24" t="str">
        <x:v>Epinephelus morio</x:v>
      </x:c>
      <x:c r="T104" s="32" t="n">
        <x:f>IF(O104="","",(1/'Metadata'!$B$5)^(O104-1))</x:f>
        <x:v>316.22776601683796</x:v>
      </x:c>
      <x:c r="U104" s="31" t="n">
        <x:f>IF(T104="","",I104*T104)</x:f>
        <x:v>16319.014527633928</x:v>
      </x:c>
    </x:row>
    <x:row r="105" ht="18" customHeight="1">
      <x:c r="A105" s="24" t="str">
        <x:v>LME_006</x:v>
      </x:c>
      <x:c r="B105" s="24" t="str">
        <x:v>Southeast U.S. Continental Shelf</x:v>
      </x:c>
      <x:c r="C105" s="24" t="str">
        <x:v>LME</x:v>
      </x:c>
      <x:c r="D105" s="30" t="n">
        <x:v>2019</x:v>
      </x:c>
      <x:c r="E105" s="24" t="str">
        <x:v>Alosa sapidissima</x:v>
      </x:c>
      <x:c r="F105" s="24" t="str">
        <x:v>American shad</x:v>
      </x:c>
      <x:c r="G105" s="24" t="str">
        <x:v>Medium pelagics (30 - 89 cm)</x:v>
      </x:c>
      <x:c r="H105" s="24" t="str">
        <x:v>Herring-likes</x:v>
      </x:c>
      <x:c r="I105" s="31" t="n">
        <x:v>50.579448045999996</x:v>
      </x:c>
      <x:c r="J105" s="31" t="n">
        <x:v>50.579448045999996</x:v>
      </x:c>
      <x:c r="K105" s="31" t="n">
        <x:v>0</x:v>
      </x:c>
      <x:c r="L105" s="31" t="n">
        <x:v>49.8749047885</x:v>
      </x:c>
      <x:c r="M105" s="31" t="n">
        <x:v>0.7045432575</x:v>
      </x:c>
      <x:c r="N105" s="24" t="str">
        <x:v>alosa sapidissima</x:v>
      </x:c>
      <x:c r="O105" s="32" t="n">
        <x:v>3.48</x:v>
      </x:c>
      <x:c r="P105" s="24" t="str">
        <x:v>exact_2020_supplement</x:v>
      </x:c>
      <x:c r="Q105" s="32" t="str">
        <x:v>2020 supplement MeanTL</x:v>
      </x:c>
      <x:c r="R105" s="24" t="str">
        <x:v>high</x:v>
      </x:c>
      <x:c r="S105" s="24" t="str">
        <x:v>Alosa sapidissima</x:v>
      </x:c>
      <x:c r="T105" s="32" t="n">
        <x:f>IF(O105="","",(1/'Metadata'!$B$5)^(O105-1))</x:f>
        <x:v>301.9951720402016</x:v>
      </x:c>
      <x:c r="U105" s="31" t="n">
        <x:f>IF(T105="","",I105*T105)</x:f>
        <x:v>15274.749114350208</x:v>
      </x:c>
    </x:row>
    <x:row r="106" ht="18" customHeight="1">
      <x:c r="A106" s="24" t="str">
        <x:v>LME_006</x:v>
      </x:c>
      <x:c r="B106" s="24" t="str">
        <x:v>Southeast U.S. Continental Shelf</x:v>
      </x:c>
      <x:c r="C106" s="24" t="str">
        <x:v>LME</x:v>
      </x:c>
      <x:c r="D106" s="30" t="n">
        <x:v>2019</x:v>
      </x:c>
      <x:c r="E106" s="24" t="str">
        <x:v>Pagrus pagrus</x:v>
      </x:c>
      <x:c r="F106" s="24" t="str">
        <x:v>Red porgy</x:v>
      </x:c>
      <x:c r="G106" s="24" t="str">
        <x:v>Medium benthopelagics (30 - 89 cm)</x:v>
      </x:c>
      <x:c r="H106" s="24" t="str">
        <x:v>Perch-likes</x:v>
      </x:c>
      <x:c r="I106" s="31" t="n">
        <x:v>50.1735147334</x:v>
      </x:c>
      <x:c r="J106" s="31" t="n">
        <x:v>50.1735147334</x:v>
      </x:c>
      <x:c r="K106" s="31" t="n">
        <x:v>0</x:v>
      </x:c>
      <x:c r="L106" s="31" t="n">
        <x:v>34.9353462985</x:v>
      </x:c>
      <x:c r="M106" s="31" t="n">
        <x:v>15.2381684349</x:v>
      </x:c>
      <x:c r="N106" s="24" t="str">
        <x:v>pagrus pagrus</x:v>
      </x:c>
      <x:c r="O106" s="32" t="n">
        <x:v>3.86</x:v>
      </x:c>
      <x:c r="P106" s="24" t="str">
        <x:v>exact_2020_supplement</x:v>
      </x:c>
      <x:c r="Q106" s="32" t="str">
        <x:v>2020 supplement MeanTL</x:v>
      </x:c>
      <x:c r="R106" s="24" t="str">
        <x:v>high</x:v>
      </x:c>
      <x:c r="S106" s="24" t="str">
        <x:v>Pagrus pagrus</x:v>
      </x:c>
      <x:c r="T106" s="32" t="n">
        <x:f>IF(O106="","",(1/'Metadata'!$B$5)^(O106-1))</x:f>
        <x:v>724.4359600749899</x:v>
      </x:c>
      <x:c r="U106" s="31" t="n">
        <x:f>IF(T106="","",I106*T106)</x:f>
        <x:v>36347.49831622728</x:v>
      </x:c>
    </x:row>
    <x:row r="107" ht="18" customHeight="1">
      <x:c r="A107" s="24" t="str">
        <x:v>LME_006</x:v>
      </x:c>
      <x:c r="B107" s="24" t="str">
        <x:v>Southeast U.S. Continental Shelf</x:v>
      </x:c>
      <x:c r="C107" s="24" t="str">
        <x:v>LME</x:v>
      </x:c>
      <x:c r="D107" s="30" t="n">
        <x:v>2019</x:v>
      </x:c>
      <x:c r="E107" s="24" t="str">
        <x:v>Bagre marinus</x:v>
      </x:c>
      <x:c r="F107" s="24" t="str">
        <x:v>Gafftopsail sea catfish</x:v>
      </x:c>
      <x:c r="G107" s="24" t="str">
        <x:v>Large reef assoc. fish (&gt;=90 cm)</x:v>
      </x:c>
      <x:c r="H107" s="24" t="str">
        <x:v>Other fishes &amp; inverts</x:v>
      </x:c>
      <x:c r="I107" s="31" t="n">
        <x:v>49.6782857209</x:v>
      </x:c>
      <x:c r="J107" s="31" t="n">
        <x:v>49.6782857209</x:v>
      </x:c>
      <x:c r="K107" s="31" t="n">
        <x:v>0</x:v>
      </x:c>
      <x:c r="L107" s="31" t="n">
        <x:v>0</x:v>
      </x:c>
      <x:c r="M107" s="31" t="n">
        <x:v>49.6782857209</x:v>
      </x:c>
      <x:c r="N107" s="24" t="str">
        <x:v>bagre marinus</x:v>
      </x:c>
      <x:c r="O107" s="32" t="n">
        <x:v>3.51</x:v>
      </x:c>
      <x:c r="P107" s="24" t="str">
        <x:v>exact_2020_supplement</x:v>
      </x:c>
      <x:c r="Q107" s="32" t="str">
        <x:v>2020 supplement MeanTL</x:v>
      </x:c>
      <x:c r="R107" s="24" t="str">
        <x:v>high</x:v>
      </x:c>
      <x:c r="S107" s="24" t="str">
        <x:v>Bagre marinus</x:v>
      </x:c>
      <x:c r="T107" s="32" t="n">
        <x:f>IF(O107="","",(1/'Metadata'!$B$5)^(O107-1))</x:f>
        <x:v>323.5936569296281</x:v>
      </x:c>
      <x:c r="U107" s="31" t="n">
        <x:f>IF(T107="","",I107*T107)</x:f>
        <x:v>16075.578146420956</x:v>
      </x:c>
    </x:row>
    <x:row r="108" ht="18" customHeight="1">
      <x:c r="A108" s="24" t="str">
        <x:v>LME_006</x:v>
      </x:c>
      <x:c r="B108" s="24" t="str">
        <x:v>Southeast U.S. Continental Shelf</x:v>
      </x:c>
      <x:c r="C108" s="24" t="str">
        <x:v>LME</x:v>
      </x:c>
      <x:c r="D108" s="30" t="n">
        <x:v>2019</x:v>
      </x:c>
      <x:c r="E108" s="24" t="str">
        <x:v>Haemulon aurolineatum</x:v>
      </x:c>
      <x:c r="F108" s="24" t="str">
        <x:v>Tomtate grunt</x:v>
      </x:c>
      <x:c r="G108" s="24" t="str">
        <x:v>Small reef assoc. fish (&lt;30 cm)</x:v>
      </x:c>
      <x:c r="H108" s="24" t="str">
        <x:v>Perch-likes</x:v>
      </x:c>
      <x:c r="I108" s="31" t="n">
        <x:v>48.3348471512</x:v>
      </x:c>
      <x:c r="J108" s="31" t="n">
        <x:v>48.3348471512</x:v>
      </x:c>
      <x:c r="K108" s="31" t="n">
        <x:v>0</x:v>
      </x:c>
      <x:c r="L108" s="31" t="n">
        <x:v>0</x:v>
      </x:c>
      <x:c r="M108" s="31" t="n">
        <x:v>48.3348471512</x:v>
      </x:c>
      <x:c r="N108" s="24" t="str">
        <x:v>haemulon aurolineatum</x:v>
      </x:c>
      <x:c r="O108" s="32" t="n">
        <x:v>4.35</x:v>
      </x:c>
      <x:c r="P108" s="24" t="str">
        <x:v>exact_2020_supplement</x:v>
      </x:c>
      <x:c r="Q108" s="32" t="str">
        <x:v>2020 supplement MeanTL</x:v>
      </x:c>
      <x:c r="R108" s="24" t="str">
        <x:v>high</x:v>
      </x:c>
      <x:c r="S108" s="24" t="str">
        <x:v>Haemulon aurolineatum</x:v>
      </x:c>
      <x:c r="T108" s="32" t="n">
        <x:f>IF(O108="","",(1/'Metadata'!$B$5)^(O108-1))</x:f>
        <x:v>2238.7211385683377</x:v>
      </x:c>
      <x:c r="U108" s="31" t="n">
        <x:f>IF(T108="","",I108*T108)</x:f>
        <x:v>108208.24404686104</x:v>
      </x:c>
    </x:row>
    <x:row r="109" ht="18" customHeight="1">
      <x:c r="A109" s="24" t="str">
        <x:v>LME_006</x:v>
      </x:c>
      <x:c r="B109" s="24" t="str">
        <x:v>Southeast U.S. Continental Shelf</x:v>
      </x:c>
      <x:c r="C109" s="24" t="str">
        <x:v>LME</x:v>
      </x:c>
      <x:c r="D109" s="30" t="n">
        <x:v>2019</x:v>
      </x:c>
      <x:c r="E109" s="24" t="str">
        <x:v>Balistidae</x:v>
      </x:c>
      <x:c r="F109" s="24" t="str">
        <x:v>Triggerfishes</x:v>
      </x:c>
      <x:c r="G109" s="24" t="str">
        <x:v>Medium reef assoc. fish (30 - 89 cm)</x:v>
      </x:c>
      <x:c r="H109" s="24" t="str">
        <x:v>Other fishes &amp; inverts</x:v>
      </x:c>
      <x:c r="I109" s="31" t="n">
        <x:v>47.714683541899994</x:v>
      </x:c>
      <x:c r="J109" s="31" t="n">
        <x:v>47.714683541899994</x:v>
      </x:c>
      <x:c r="K109" s="31" t="n">
        <x:v>0</x:v>
      </x:c>
      <x:c r="L109" s="31" t="n">
        <x:v>47.480269160199995</x:v>
      </x:c>
      <x:c r="M109" s="31" t="n">
        <x:v>0.2344143817</x:v>
      </x:c>
      <x:c r="N109" s="24" t="str">
        <x:v>balistidae</x:v>
      </x:c>
      <x:c r="O109" s="32" t="n">
        <x:v>3.25</x:v>
      </x:c>
      <x:c r="P109" s="24" t="str">
        <x:v>exact_sea_around_us</x:v>
      </x:c>
      <x:c r="Q109" s="32" t="str">
        <x:v>Sea Around Us exploited organisms</x:v>
      </x:c>
      <x:c r="R109" s="24" t="str">
        <x:v>high</x:v>
      </x:c>
      <x:c r="S109" s="24" t="str">
        <x:v>Balistidae</x:v>
      </x:c>
      <x:c r="T109" s="32" t="n">
        <x:f>IF(O109="","",(1/'Metadata'!$B$5)^(O109-1))</x:f>
        <x:v>177.82794100389228</x:v>
      </x:c>
      <x:c r="U109" s="31" t="n">
        <x:f>IF(T109="","",I109*T109)</x:f>
        <x:v>8485.003929908382</x:v>
      </x:c>
    </x:row>
    <x:row r="110" ht="18" customHeight="1">
      <x:c r="A110" s="24" t="str">
        <x:v>LME_006</x:v>
      </x:c>
      <x:c r="B110" s="24" t="str">
        <x:v>Southeast U.S. Continental Shelf</x:v>
      </x:c>
      <x:c r="C110" s="24" t="str">
        <x:v>LME</x:v>
      </x:c>
      <x:c r="D110" s="30" t="n">
        <x:v>2019</x:v>
      </x:c>
      <x:c r="E110" s="24" t="str">
        <x:v>Rajiformes</x:v>
      </x:c>
      <x:c r="F110" s="24" t="str">
        <x:v>Skates and rays</x:v>
      </x:c>
      <x:c r="G110" s="24" t="str">
        <x:v>Large rays (&gt;=90 cm)</x:v>
      </x:c>
      <x:c r="H110" s="24" t="str">
        <x:v>Sharks &amp; rays</x:v>
      </x:c>
      <x:c r="I110" s="31" t="n">
        <x:v>46.2173857086</x:v>
      </x:c>
      <x:c r="J110" s="31" t="n">
        <x:v>46.2173857086</x:v>
      </x:c>
      <x:c r="K110" s="31" t="n">
        <x:v>0</x:v>
      </x:c>
      <x:c r="L110" s="31" t="n">
        <x:v>41.006095572899994</x:v>
      </x:c>
      <x:c r="M110" s="31" t="n">
        <x:v>5.2112901357000005</x:v>
      </x:c>
      <x:c r="N110" s="24" t="str">
        <x:v>rajiformes</x:v>
      </x:c>
      <x:c r="O110" s="32" t="n">
        <x:v>3.61</x:v>
      </x:c>
      <x:c r="P110" s="24" t="str">
        <x:v>exact_sea_around_us</x:v>
      </x:c>
      <x:c r="Q110" s="32" t="str">
        <x:v>Sea Around Us exploited organisms</x:v>
      </x:c>
      <x:c r="R110" s="24" t="str">
        <x:v>high</x:v>
      </x:c>
      <x:c r="S110" s="24" t="str">
        <x:v>Rajiformes</x:v>
      </x:c>
      <x:c r="T110" s="32" t="n">
        <x:f>IF(O110="","",(1/'Metadata'!$B$5)^(O110-1))</x:f>
        <x:v>407.3802778041126</x:v>
      </x:c>
      <x:c r="U110" s="31" t="n">
        <x:f>IF(T110="","",I110*T110)</x:f>
        <x:v>18828.051429349292</x:v>
      </x:c>
    </x:row>
    <x:row r="111" ht="18" customHeight="1">
      <x:c r="A111" s="24" t="str">
        <x:v>LME_006</x:v>
      </x:c>
      <x:c r="B111" s="24" t="str">
        <x:v>Southeast U.S. Continental Shelf</x:v>
      </x:c>
      <x:c r="C111" s="24" t="str">
        <x:v>LME</x:v>
      </x:c>
      <x:c r="D111" s="30" t="n">
        <x:v>2019</x:v>
      </x:c>
      <x:c r="E111" s="24" t="str">
        <x:v>Spongia</x:v>
      </x:c>
      <x:c r="F111" s="24" t="str">
        <x:v>Bathing sponges</x:v>
      </x:c>
      <x:c r="G111" s="24" t="str">
        <x:v>Other demersal invertebrates</x:v>
      </x:c>
      <x:c r="H111" s="24" t="str">
        <x:v>Other fishes &amp; inverts</x:v>
      </x:c>
      <x:c r="I111" s="31" t="n">
        <x:v>44.6370212377</x:v>
      </x:c>
      <x:c r="J111" s="31" t="n">
        <x:v>44.6370212377</x:v>
      </x:c>
      <x:c r="K111" s="31" t="n">
        <x:v>0</x:v>
      </x:c>
      <x:c r="L111" s="31" t="n">
        <x:v>44.6294341439</x:v>
      </x:c>
      <x:c r="M111" s="31" t="n">
        <x:v>0.0075870938</x:v>
      </x:c>
      <x:c r="N111" s="24" t="str">
        <x:v>spongia</x:v>
      </x:c>
      <x:c r="O111" s="32" t="n">
        <x:v>2</x:v>
      </x:c>
      <x:c r="P111" s="24" t="str">
        <x:v>exact_sea_around_us</x:v>
      </x:c>
      <x:c r="Q111" s="32" t="str">
        <x:v>Sea Around Us exploited organisms</x:v>
      </x:c>
      <x:c r="R111" s="24" t="str">
        <x:v>high</x:v>
      </x:c>
      <x:c r="S111" s="24" t="str">
        <x:v>Spongia</x:v>
      </x:c>
      <x:c r="T111" s="32" t="n">
        <x:f>IF(O111="","",(1/'Metadata'!$B$5)^(O111-1))</x:f>
        <x:v>10</x:v>
      </x:c>
      <x:c r="U111" s="31" t="n">
        <x:f>IF(T111="","",I111*T111)</x:f>
        <x:v>446.370212377</x:v>
      </x:c>
    </x:row>
    <x:row r="112" ht="18" customHeight="1">
      <x:c r="A112" s="24" t="str">
        <x:v>LME_006</x:v>
      </x:c>
      <x:c r="B112" s="24" t="str">
        <x:v>Southeast U.S. Continental Shelf</x:v>
      </x:c>
      <x:c r="C112" s="24" t="str">
        <x:v>LME</x:v>
      </x:c>
      <x:c r="D112" s="30" t="n">
        <x:v>2019</x:v>
      </x:c>
      <x:c r="E112" s="24" t="str">
        <x:v>Monacanthidae</x:v>
      </x:c>
      <x:c r="F112" s="24" t="str">
        <x:v>Filefishes</x:v>
      </x:c>
      <x:c r="G112" s="24" t="str">
        <x:v>Medium reef assoc. fish (30 - 89 cm)</x:v>
      </x:c>
      <x:c r="H112" s="24" t="str">
        <x:v>Other fishes &amp; inverts</x:v>
      </x:c>
      <x:c r="I112" s="31" t="n">
        <x:v>43.2907558046</x:v>
      </x:c>
      <x:c r="J112" s="31" t="n">
        <x:v>43.2907558046</x:v>
      </x:c>
      <x:c r="K112" s="31" t="n">
        <x:v>0</x:v>
      </x:c>
      <x:c r="L112" s="31" t="n">
        <x:v>0</x:v>
      </x:c>
      <x:c r="M112" s="31" t="n">
        <x:v>43.2907558046</x:v>
      </x:c>
      <x:c r="N112" s="24" t="str">
        <x:v>monacanthidae</x:v>
      </x:c>
      <x:c r="O112" s="32" t="n">
        <x:v>3</x:v>
      </x:c>
      <x:c r="P112" s="24" t="str">
        <x:v>exact_sea_around_us</x:v>
      </x:c>
      <x:c r="Q112" s="32" t="str">
        <x:v>Sea Around Us exploited organisms</x:v>
      </x:c>
      <x:c r="R112" s="24" t="str">
        <x:v>high</x:v>
      </x:c>
      <x:c r="S112" s="24" t="str">
        <x:v>Monacanthidae</x:v>
      </x:c>
      <x:c r="T112" s="32" t="n">
        <x:f>IF(O112="","",(1/'Metadata'!$B$5)^(O112-1))</x:f>
        <x:v>100</x:v>
      </x:c>
      <x:c r="U112" s="31" t="n">
        <x:f>IF(T112="","",I112*T112)</x:f>
        <x:v>4329.07558046</x:v>
      </x:c>
    </x:row>
    <x:row r="113" ht="18" customHeight="1">
      <x:c r="A113" s="24" t="str">
        <x:v>LME_006</x:v>
      </x:c>
      <x:c r="B113" s="24" t="str">
        <x:v>Southeast U.S. Continental Shelf</x:v>
      </x:c>
      <x:c r="C113" s="24" t="str">
        <x:v>LME</x:v>
      </x:c>
      <x:c r="D113" s="30" t="n">
        <x:v>2019</x:v>
      </x:c>
      <x:c r="E113" s="24" t="str">
        <x:v>Calamus</x:v>
      </x:c>
      <x:c r="F113" s="24" t="str">
        <x:v>Porgies</x:v>
      </x:c>
      <x:c r="G113" s="24" t="str">
        <x:v>Medium reef assoc. fish (30 - 89 cm)</x:v>
      </x:c>
      <x:c r="H113" s="24" t="str">
        <x:v>Perch-likes</x:v>
      </x:c>
      <x:c r="I113" s="31" t="n">
        <x:v>42.015134267499995</x:v>
      </x:c>
      <x:c r="J113" s="31" t="n">
        <x:v>42.015134267499995</x:v>
      </x:c>
      <x:c r="K113" s="31" t="n">
        <x:v>0</x:v>
      </x:c>
      <x:c r="L113" s="31" t="n">
        <x:v>5.4782460754999995</x:v>
      </x:c>
      <x:c r="M113" s="31" t="n">
        <x:v>36.536888192</x:v>
      </x:c>
      <x:c r="N113" s="24" t="str">
        <x:v>calamus</x:v>
      </x:c>
      <x:c r="O113" s="32" t="n">
        <x:v>3.51</x:v>
      </x:c>
      <x:c r="P113" s="24" t="str">
        <x:v>exact_sea_around_us</x:v>
      </x:c>
      <x:c r="Q113" s="32" t="str">
        <x:v>Sea Around Us exploited organisms</x:v>
      </x:c>
      <x:c r="R113" s="24" t="str">
        <x:v>high</x:v>
      </x:c>
      <x:c r="S113" s="24" t="str">
        <x:v>Calamus</x:v>
      </x:c>
      <x:c r="T113" s="32" t="n">
        <x:f>IF(O113="","",(1/'Metadata'!$B$5)^(O113-1))</x:f>
        <x:v>323.5936569296281</x:v>
      </x:c>
      <x:c r="U113" s="31" t="n">
        <x:f>IF(T113="","",I113*T113)</x:f>
        <x:v>13595.830944009655</x:v>
      </x:c>
    </x:row>
    <x:row r="114" ht="18" customHeight="1">
      <x:c r="A114" s="24" t="str">
        <x:v>LME_006</x:v>
      </x:c>
      <x:c r="B114" s="24" t="str">
        <x:v>Southeast U.S. Continental Shelf</x:v>
      </x:c>
      <x:c r="C114" s="24" t="str">
        <x:v>LME</x:v>
      </x:c>
      <x:c r="D114" s="30" t="n">
        <x:v>2019</x:v>
      </x:c>
      <x:c r="E114" s="24" t="str">
        <x:v>Rajidae</x:v>
      </x:c>
      <x:c r="F114" s="24" t="str">
        <x:v>Stingrays</x:v>
      </x:c>
      <x:c r="G114" s="24" t="str">
        <x:v>Large rays (&gt;=90 cm)</x:v>
      </x:c>
      <x:c r="H114" s="24" t="str">
        <x:v>Sharks &amp; rays</x:v>
      </x:c>
      <x:c r="I114" s="31" t="n">
        <x:v>40.8555234163</x:v>
      </x:c>
      <x:c r="J114" s="31" t="n">
        <x:v>29.9005018403</x:v>
      </x:c>
      <x:c r="K114" s="31" t="n">
        <x:v>10.955021576</x:v>
      </x:c>
      <x:c r="L114" s="31" t="n">
        <x:v>29.9005018403</x:v>
      </x:c>
      <x:c r="M114" s="31" t="n">
        <x:v>10.955021576</x:v>
      </x:c>
      <x:c r="N114" s="24" t="str">
        <x:v>rajidae</x:v>
      </x:c>
      <x:c r="O114" s="32" t="n">
        <x:v>3.82</x:v>
      </x:c>
      <x:c r="P114" s="24" t="str">
        <x:v>exact_sea_around_us</x:v>
      </x:c>
      <x:c r="Q114" s="32" t="str">
        <x:v>Sea Around Us exploited organisms</x:v>
      </x:c>
      <x:c r="R114" s="24" t="str">
        <x:v>high</x:v>
      </x:c>
      <x:c r="S114" s="24" t="str">
        <x:v>Rajidae</x:v>
      </x:c>
      <x:c r="T114" s="32" t="n">
        <x:f>IF(O114="","",(1/'Metadata'!$B$5)^(O114-1))</x:f>
        <x:v>660.6934480075957</x:v>
      </x:c>
      <x:c r="U114" s="31" t="n">
        <x:f>IF(T114="","",I114*T114)</x:f>
        <x:v>26992.976636070318</x:v>
      </x:c>
    </x:row>
    <x:row r="115" ht="18" customHeight="1">
      <x:c r="A115" s="24" t="str">
        <x:v>LME_006</x:v>
      </x:c>
      <x:c r="B115" s="24" t="str">
        <x:v>Southeast U.S. Continental Shelf</x:v>
      </x:c>
      <x:c r="C115" s="24" t="str">
        <x:v>LME</x:v>
      </x:c>
      <x:c r="D115" s="30" t="n">
        <x:v>2019</x:v>
      </x:c>
      <x:c r="E115" s="24" t="str">
        <x:v>Elagatis bipinnulata</x:v>
      </x:c>
      <x:c r="F115" s="24" t="str">
        <x:v>Rainbow runner</x:v>
      </x:c>
      <x:c r="G115" s="24" t="str">
        <x:v>Large pelagics (&gt;=90 cm)</x:v>
      </x:c>
      <x:c r="H115" s="24" t="str">
        <x:v>Perch-likes</x:v>
      </x:c>
      <x:c r="I115" s="31" t="n">
        <x:v>40.0565363902</x:v>
      </x:c>
      <x:c r="J115" s="31" t="n">
        <x:v>40.0565363902</x:v>
      </x:c>
      <x:c r="K115" s="31" t="n">
        <x:v>0</x:v>
      </x:c>
      <x:c r="L115" s="31" t="n">
        <x:v>0.012633424</x:v>
      </x:c>
      <x:c r="M115" s="31" t="n">
        <x:v>40.0439029662</x:v>
      </x:c>
      <x:c r="N115" s="24" t="str">
        <x:v>elagatis bipinnulata</x:v>
      </x:c>
      <x:c r="O115" s="32" t="n">
        <x:v>4.27</x:v>
      </x:c>
      <x:c r="P115" s="24" t="str">
        <x:v>exact_2020_supplement</x:v>
      </x:c>
      <x:c r="Q115" s="32" t="str">
        <x:v>2020 supplement MeanTL</x:v>
      </x:c>
      <x:c r="R115" s="24" t="str">
        <x:v>high</x:v>
      </x:c>
      <x:c r="S115" s="24" t="str">
        <x:v>Elagatis bipinnulata</x:v>
      </x:c>
      <x:c r="T115" s="32" t="n">
        <x:f>IF(O115="","",(1/'Metadata'!$B$5)^(O115-1))</x:f>
        <x:v>1862.0871366628655</x:v>
      </x:c>
      <x:c r="U115" s="31" t="n">
        <x:f>IF(T115="","",I115*T115)</x:f>
        <x:v>74588.7611514594</x:v>
      </x:c>
    </x:row>
    <x:row r="116" ht="18" customHeight="1">
      <x:c r="A116" s="24" t="str">
        <x:v>LME_006</x:v>
      </x:c>
      <x:c r="B116" s="24" t="str">
        <x:v>Southeast U.S. Continental Shelf</x:v>
      </x:c>
      <x:c r="C116" s="24" t="str">
        <x:v>LME</x:v>
      </x:c>
      <x:c r="D116" s="30" t="n">
        <x:v>2019</x:v>
      </x:c>
      <x:c r="E116" s="24" t="str">
        <x:v>Decapoda</x:v>
      </x:c>
      <x:c r="F116" s="24" t="str">
        <x:v>Crabs, lobsters, shrimps</x:v>
      </x:c>
      <x:c r="G116" s="24" t="str">
        <x:v>Lobsters, crabs</x:v>
      </x:c>
      <x:c r="H116" s="24" t="str">
        <x:v>Crustaceans</x:v>
      </x:c>
      <x:c r="I116" s="31" t="n">
        <x:v>35.3757384312</x:v>
      </x:c>
      <x:c r="J116" s="31" t="n">
        <x:v>35.3757384312</x:v>
      </x:c>
      <x:c r="K116" s="31" t="n">
        <x:v>0</x:v>
      </x:c>
      <x:c r="L116" s="31" t="n">
        <x:v>0</x:v>
      </x:c>
      <x:c r="M116" s="31" t="n">
        <x:v>35.3757384312</x:v>
      </x:c>
      <x:c r="N116" s="24" t="str">
        <x:v>decapoda</x:v>
      </x:c>
      <x:c r="O116" s="32" t="n">
        <x:v>3.43</x:v>
      </x:c>
      <x:c r="P116" s="24" t="str">
        <x:v>exact_sea_around_us</x:v>
      </x:c>
      <x:c r="Q116" s="32" t="str">
        <x:v>Sea Around Us exploited organisms</x:v>
      </x:c>
      <x:c r="R116" s="24" t="str">
        <x:v>high</x:v>
      </x:c>
      <x:c r="S116" s="24" t="str">
        <x:v>Decapoda</x:v>
      </x:c>
      <x:c r="T116" s="32" t="n">
        <x:f>IF(O116="","",(1/'Metadata'!$B$5)^(O116-1))</x:f>
        <x:v>269.1534803926917</x:v>
      </x:c>
      <x:c r="U116" s="31" t="n">
        <x:f>IF(T116="","",I116*T116)</x:f>
        <x:v>9521.503120218978</x:v>
      </x:c>
    </x:row>
    <x:row r="117" ht="18" customHeight="1">
      <x:c r="A117" s="24" t="str">
        <x:v>LME_006</x:v>
      </x:c>
      <x:c r="B117" s="24" t="str">
        <x:v>Southeast U.S. Continental Shelf</x:v>
      </x:c>
      <x:c r="C117" s="24" t="str">
        <x:v>LME</x:v>
      </x:c>
      <x:c r="D117" s="30" t="n">
        <x:v>2019</x:v>
      </x:c>
      <x:c r="E117" s="24" t="str">
        <x:v>Priacanthidae</x:v>
      </x:c>
      <x:c r="F117" s="24" t="str">
        <x:v>Bigeyes, catalufas</x:v>
      </x:c>
      <x:c r="G117" s="24" t="str">
        <x:v>Medium reef assoc. fish (30 - 89 cm)</x:v>
      </x:c>
      <x:c r="H117" s="24" t="str">
        <x:v>Perch-likes</x:v>
      </x:c>
      <x:c r="I117" s="31" t="n">
        <x:v>31.662732024500002</x:v>
      </x:c>
      <x:c r="J117" s="31" t="n">
        <x:v>31.662732024500002</x:v>
      </x:c>
      <x:c r="K117" s="31" t="n">
        <x:v>0</x:v>
      </x:c>
      <x:c r="L117" s="31" t="n">
        <x:v>0.2817680849</x:v>
      </x:c>
      <x:c r="M117" s="31" t="n">
        <x:v>31.3809639396</x:v>
      </x:c>
      <x:c r="N117" s="24" t="str">
        <x:v>priacanthidae</x:v>
      </x:c>
      <x:c r="O117" s="32" t="n">
        <x:v>3.79</x:v>
      </x:c>
      <x:c r="P117" s="24" t="str">
        <x:v>exact_sea_around_us</x:v>
      </x:c>
      <x:c r="Q117" s="32" t="str">
        <x:v>Sea Around Us exploited organisms</x:v>
      </x:c>
      <x:c r="R117" s="24" t="str">
        <x:v>high</x:v>
      </x:c>
      <x:c r="S117" s="24" t="str">
        <x:v>Priacanthidae</x:v>
      </x:c>
      <x:c r="T117" s="32" t="n">
        <x:f>IF(O117="","",(1/'Metadata'!$B$5)^(O117-1))</x:f>
        <x:v>616.5950018614822</x:v>
      </x:c>
      <x:c r="U117" s="31" t="n">
        <x:f>IF(T117="","",I117*T117)</x:f>
        <x:v>19523.08231158619</x:v>
      </x:c>
    </x:row>
    <x:row r="118" ht="18" customHeight="1">
      <x:c r="A118" s="24" t="str">
        <x:v>LME_006</x:v>
      </x:c>
      <x:c r="B118" s="24" t="str">
        <x:v>Southeast U.S. Continental Shelf</x:v>
      </x:c>
      <x:c r="C118" s="24" t="str">
        <x:v>LME</x:v>
      </x:c>
      <x:c r="D118" s="30" t="n">
        <x:v>2019</x:v>
      </x:c>
      <x:c r="E118" s="24" t="str">
        <x:v>Calamus bajonado</x:v>
      </x:c>
      <x:c r="F118" s="24" t="str">
        <x:v>Jolthead porgy</x:v>
      </x:c>
      <x:c r="G118" s="24" t="str">
        <x:v>Medium reef assoc. fish (30 - 89 cm)</x:v>
      </x:c>
      <x:c r="H118" s="24" t="str">
        <x:v>Perch-likes</x:v>
      </x:c>
      <x:c r="I118" s="31" t="n">
        <x:v>31.0398764352</x:v>
      </x:c>
      <x:c r="J118" s="31" t="n">
        <x:v>31.0398764352</x:v>
      </x:c>
      <x:c r="K118" s="31" t="n">
        <x:v>0</x:v>
      </x:c>
      <x:c r="L118" s="31" t="n">
        <x:v>0.47131395460000003</x:v>
      </x:c>
      <x:c r="M118" s="31" t="n">
        <x:v>30.5685624806</x:v>
      </x:c>
      <x:c r="N118" s="24" t="str">
        <x:v>calamus bajonado</x:v>
      </x:c>
      <x:c r="O118" s="32" t="n">
        <x:v>3.5</x:v>
      </x:c>
      <x:c r="P118" s="24" t="str">
        <x:v>exact_2020_supplement</x:v>
      </x:c>
      <x:c r="Q118" s="32" t="str">
        <x:v>2020 supplement MeanTL</x:v>
      </x:c>
      <x:c r="R118" s="24" t="str">
        <x:v>high</x:v>
      </x:c>
      <x:c r="S118" s="24" t="str">
        <x:v>Calamus bajonado</x:v>
      </x:c>
      <x:c r="T118" s="32" t="n">
        <x:f>IF(O118="","",(1/'Metadata'!$B$5)^(O118-1))</x:f>
        <x:v>316.22776601683796</x:v>
      </x:c>
      <x:c r="U118" s="31" t="n">
        <x:f>IF(T118="","",I118*T118)</x:f>
        <x:v>9815.670782541987</x:v>
      </x:c>
    </x:row>
    <x:row r="119" ht="18" customHeight="1">
      <x:c r="A119" s="24" t="str">
        <x:v>LME_006</x:v>
      </x:c>
      <x:c r="B119" s="24" t="str">
        <x:v>Southeast U.S. Continental Shelf</x:v>
      </x:c>
      <x:c r="C119" s="24" t="str">
        <x:v>LME</x:v>
      </x:c>
      <x:c r="D119" s="30" t="n">
        <x:v>2019</x:v>
      </x:c>
      <x:c r="E119" s="24" t="str">
        <x:v>Scomberomorus regalis</x:v>
      </x:c>
      <x:c r="F119" s="24" t="str">
        <x:v>Cero</x:v>
      </x:c>
      <x:c r="G119" s="24" t="str">
        <x:v>Large reef assoc. fish (&gt;=90 cm)</x:v>
      </x:c>
      <x:c r="H119" s="24" t="str">
        <x:v>Perch-likes</x:v>
      </x:c>
      <x:c r="I119" s="31" t="n">
        <x:v>29.3007694294</x:v>
      </x:c>
      <x:c r="J119" s="31" t="n">
        <x:v>29.3007694294</x:v>
      </x:c>
      <x:c r="K119" s="31" t="n">
        <x:v>0</x:v>
      </x:c>
      <x:c r="L119" s="31" t="n">
        <x:v>0.9474170777</x:v>
      </x:c>
      <x:c r="M119" s="31" t="n">
        <x:v>28.3533523517</x:v>
      </x:c>
      <x:c r="N119" s="24" t="str">
        <x:v>scomberomorus regalis</x:v>
      </x:c>
      <x:c r="O119" s="32" t="n">
        <x:v>4.51</x:v>
      </x:c>
      <x:c r="P119" s="24" t="str">
        <x:v>exact_2020_supplement</x:v>
      </x:c>
      <x:c r="Q119" s="32" t="str">
        <x:v>2020 supplement MeanTL</x:v>
      </x:c>
      <x:c r="R119" s="24" t="str">
        <x:v>high</x:v>
      </x:c>
      <x:c r="S119" s="24" t="str">
        <x:v>Scomberomorus regalis</x:v>
      </x:c>
      <x:c r="T119" s="32" t="n">
        <x:f>IF(O119="","",(1/'Metadata'!$B$5)^(O119-1))</x:f>
        <x:v>3235.936569296281</x:v>
      </x:c>
      <x:c r="U119" s="31" t="n">
        <x:f>IF(T119="","",I119*T119)</x:f>
        <x:v>94815.43130511398</x:v>
      </x:c>
    </x:row>
    <x:row r="120" ht="18" customHeight="1">
      <x:c r="A120" s="24" t="str">
        <x:v>LME_006</x:v>
      </x:c>
      <x:c r="B120" s="24" t="str">
        <x:v>Southeast U.S. Continental Shelf</x:v>
      </x:c>
      <x:c r="C120" s="24" t="str">
        <x:v>LME</x:v>
      </x:c>
      <x:c r="D120" s="30" t="n">
        <x:v>2019</x:v>
      </x:c>
      <x:c r="E120" s="24" t="str">
        <x:v>Peprilus paru</x:v>
      </x:c>
      <x:c r="F120" s="24" t="str">
        <x:v>American harvestfish</x:v>
      </x:c>
      <x:c r="G120" s="24" t="str">
        <x:v>Small benthopelagics (&lt;30 cm)</x:v>
      </x:c>
      <x:c r="H120" s="24" t="str">
        <x:v>Perch-likes</x:v>
      </x:c>
      <x:c r="I120" s="31" t="n">
        <x:v>28.6689912588</x:v>
      </x:c>
      <x:c r="J120" s="31" t="n">
        <x:v>27.6000997353</x:v>
      </x:c>
      <x:c r="K120" s="31" t="n">
        <x:v>1.0688915235</x:v>
      </x:c>
      <x:c r="L120" s="31" t="n">
        <x:v>27.1828756521</x:v>
      </x:c>
      <x:c r="M120" s="31" t="n">
        <x:v>1.4861156067</x:v>
      </x:c>
      <x:c r="N120" s="24" t="str">
        <x:v>peprilus paru</x:v>
      </x:c>
      <x:c r="O120" s="32" t="n">
        <x:v>4.5</x:v>
      </x:c>
      <x:c r="P120" s="24" t="str">
        <x:v>exact_2020_supplement</x:v>
      </x:c>
      <x:c r="Q120" s="32" t="str">
        <x:v>2020 supplement MeanTL</x:v>
      </x:c>
      <x:c r="R120" s="24" t="str">
        <x:v>high</x:v>
      </x:c>
      <x:c r="S120" s="24" t="str">
        <x:v>Peprilus paru</x:v>
      </x:c>
      <x:c r="T120" s="32" t="n">
        <x:f>IF(O120="","",(1/'Metadata'!$B$5)^(O120-1))</x:f>
        <x:v>3162.2776601683795</x:v>
      </x:c>
      <x:c r="U120" s="31" t="n">
        <x:f>IF(T120="","",I120*T120)</x:f>
        <x:v>90659.31059726578</x:v>
      </x:c>
    </x:row>
    <x:row r="121" ht="18" customHeight="1">
      <x:c r="A121" s="24" t="str">
        <x:v>LME_006</x:v>
      </x:c>
      <x:c r="B121" s="24" t="str">
        <x:v>Southeast U.S. Continental Shelf</x:v>
      </x:c>
      <x:c r="C121" s="24" t="str">
        <x:v>LME</x:v>
      </x:c>
      <x:c r="D121" s="30" t="n">
        <x:v>2019</x:v>
      </x:c>
      <x:c r="E121" s="24" t="str">
        <x:v>Haemulidae</x:v>
      </x:c>
      <x:c r="F121" s="24" t="str">
        <x:v>Grunts, sweetlips, bonnetmouths</x:v>
      </x:c>
      <x:c r="G121" s="24" t="str">
        <x:v>Medium demersals (30 - 89 cm)</x:v>
      </x:c>
      <x:c r="H121" s="24" t="str">
        <x:v>Perch-likes</x:v>
      </x:c>
      <x:c r="I121" s="31" t="n">
        <x:v>28.518610504500003</x:v>
      </x:c>
      <x:c r="J121" s="31" t="n">
        <x:v>28.518610504500003</x:v>
      </x:c>
      <x:c r="K121" s="31" t="n">
        <x:v>0</x:v>
      </x:c>
      <x:c r="L121" s="31" t="n">
        <x:v>18.6706469673</x:v>
      </x:c>
      <x:c r="M121" s="31" t="n">
        <x:v>9.8479635372</x:v>
      </x:c>
      <x:c r="N121" s="24" t="str">
        <x:v>haemulidae</x:v>
      </x:c>
      <x:c r="O121" s="32" t="n">
        <x:v>3.36</x:v>
      </x:c>
      <x:c r="P121" s="24" t="str">
        <x:v>exact_sea_around_us</x:v>
      </x:c>
      <x:c r="Q121" s="32" t="str">
        <x:v>Sea Around Us exploited organisms</x:v>
      </x:c>
      <x:c r="R121" s="24" t="str">
        <x:v>high</x:v>
      </x:c>
      <x:c r="S121" s="24" t="str">
        <x:v>Haemulidae</x:v>
      </x:c>
      <x:c r="T121" s="32" t="n">
        <x:f>IF(O121="","",(1/'Metadata'!$B$5)^(O121-1))</x:f>
        <x:v>229.08676527677724</x:v>
      </x:c>
      <x:c r="U121" s="31" t="n">
        <x:f>IF(T121="","",I121*T121)</x:f>
        <x:v>6533.236230664226</x:v>
      </x:c>
    </x:row>
    <x:row r="122" ht="18" customHeight="1">
      <x:c r="A122" s="24" t="str">
        <x:v>LME_006</x:v>
      </x:c>
      <x:c r="B122" s="24" t="str">
        <x:v>Southeast U.S. Continental Shelf</x:v>
      </x:c>
      <x:c r="C122" s="24" t="str">
        <x:v>LME</x:v>
      </x:c>
      <x:c r="D122" s="30" t="n">
        <x:v>2019</x:v>
      </x:c>
      <x:c r="E122" s="24" t="str">
        <x:v>Mycteroperca phenax</x:v>
      </x:c>
      <x:c r="F122" s="24" t="str">
        <x:v>Scamp</x:v>
      </x:c>
      <x:c r="G122" s="24" t="str">
        <x:v>Medium reef assoc. fish (30 - 89 cm)</x:v>
      </x:c>
      <x:c r="H122" s="24" t="str">
        <x:v>Perch-likes</x:v>
      </x:c>
      <x:c r="I122" s="31" t="n">
        <x:v>27.6728537821</x:v>
      </x:c>
      <x:c r="J122" s="31" t="n">
        <x:v>26.4953999231</x:v>
      </x:c>
      <x:c r="K122" s="31" t="n">
        <x:v>1.1774538589999999</x:v>
      </x:c>
      <x:c r="L122" s="31" t="n">
        <x:v>20.0949501522</x:v>
      </x:c>
      <x:c r="M122" s="31" t="n">
        <x:v>7.5779036299</x:v>
      </x:c>
      <x:c r="N122" s="24" t="str">
        <x:v>mycteroperca phenax</x:v>
      </x:c>
      <x:c r="O122" s="32" t="n">
        <x:v>4.47</x:v>
      </x:c>
      <x:c r="P122" s="24" t="str">
        <x:v>exact_2020_supplement</x:v>
      </x:c>
      <x:c r="Q122" s="32" t="str">
        <x:v>2020 supplement MeanTL</x:v>
      </x:c>
      <x:c r="R122" s="24" t="str">
        <x:v>high</x:v>
      </x:c>
      <x:c r="S122" s="24" t="str">
        <x:v>Mycteroperca phenax</x:v>
      </x:c>
      <x:c r="T122" s="32" t="n">
        <x:f>IF(O122="","",(1/'Metadata'!$B$5)^(O122-1))</x:f>
        <x:v>2951.209226666384</x:v>
      </x:c>
      <x:c r="U122" s="31" t="n">
        <x:f>IF(T122="","",I122*T122)</x:f>
        <x:v>81668.38140992325</x:v>
      </x:c>
    </x:row>
    <x:row r="123" ht="18" customHeight="1">
      <x:c r="A123" s="24" t="str">
        <x:v>LME_006</x:v>
      </x:c>
      <x:c r="B123" s="24" t="str">
        <x:v>Southeast U.S. Continental Shelf</x:v>
      </x:c>
      <x:c r="C123" s="24" t="str">
        <x:v>LME</x:v>
      </x:c>
      <x:c r="D123" s="30" t="n">
        <x:v>2019</x:v>
      </x:c>
      <x:c r="E123" s="24" t="str">
        <x:v>Gymnura micrura</x:v>
      </x:c>
      <x:c r="F123" s="24" t="str">
        <x:v>Smooth butterfly ray</x:v>
      </x:c>
      <x:c r="G123" s="24" t="str">
        <x:v>Small to medium rays (&lt;90 cm)</x:v>
      </x:c>
      <x:c r="H123" s="24" t="str">
        <x:v>Sharks &amp; rays</x:v>
      </x:c>
      <x:c r="I123" s="31" t="n">
        <x:v>27.4877987262</x:v>
      </x:c>
      <x:c r="J123" s="31" t="n">
        <x:v>1.1490411869</x:v>
      </x:c>
      <x:c r="K123" s="31" t="n">
        <x:v>26.3387575393</x:v>
      </x:c>
      <x:c r="L123" s="31" t="n">
        <x:v>0</x:v>
      </x:c>
      <x:c r="M123" s="31" t="n">
        <x:v>27.4877987262</x:v>
      </x:c>
      <x:c r="N123" s="24" t="str">
        <x:v>gymnura micrura</x:v>
      </x:c>
      <x:c r="O123" s="32" t="n">
        <x:v>3.56</x:v>
      </x:c>
      <x:c r="P123" s="24" t="str">
        <x:v>exact_2020_supplement</x:v>
      </x:c>
      <x:c r="Q123" s="32" t="str">
        <x:v>2020 supplement MeanTL</x:v>
      </x:c>
      <x:c r="R123" s="24" t="str">
        <x:v>high</x:v>
      </x:c>
      <x:c r="S123" s="24" t="str">
        <x:v>Gymnura micrura</x:v>
      </x:c>
      <x:c r="T123" s="32" t="n">
        <x:f>IF(O123="","",(1/'Metadata'!$B$5)^(O123-1))</x:f>
        <x:v>363.0780547701014</x:v>
      </x:c>
      <x:c r="U123" s="31" t="n">
        <x:f>IF(T123="","",I123*T123)</x:f>
        <x:v>9980.216491420768</x:v>
      </x:c>
    </x:row>
    <x:row r="124" ht="18" customHeight="1">
      <x:c r="A124" s="24" t="str">
        <x:v>LME_006</x:v>
      </x:c>
      <x:c r="B124" s="24" t="str">
        <x:v>Southeast U.S. Continental Shelf</x:v>
      </x:c>
      <x:c r="C124" s="24" t="str">
        <x:v>LME</x:v>
      </x:c>
      <x:c r="D124" s="30" t="n">
        <x:v>2019</x:v>
      </x:c>
      <x:c r="E124" s="24" t="str">
        <x:v>Mollusca</x:v>
      </x:c>
      <x:c r="F124" s="24" t="str">
        <x:v>Clams, seasnails, squids, octopuses</x:v>
      </x:c>
      <x:c r="G124" s="24" t="str">
        <x:v>Other demersal invertebrates</x:v>
      </x:c>
      <x:c r="H124" s="24" t="str">
        <x:v>Molluscs</x:v>
      </x:c>
      <x:c r="I124" s="31" t="n">
        <x:v>27.4491045432</x:v>
      </x:c>
      <x:c r="J124" s="31" t="n">
        <x:v>27.4491045432</x:v>
      </x:c>
      <x:c r="K124" s="31" t="n">
        <x:v>0</x:v>
      </x:c>
      <x:c r="L124" s="31" t="n">
        <x:v>0</x:v>
      </x:c>
      <x:c r="M124" s="31" t="n">
        <x:v>27.4491045432</x:v>
      </x:c>
      <x:c r="N124" s="24" t="str">
        <x:v>mollusca</x:v>
      </x:c>
      <x:c r="O124" s="32" t="n">
        <x:v>2.1</x:v>
      </x:c>
      <x:c r="P124" s="24" t="str">
        <x:v>exact_sea_around_us</x:v>
      </x:c>
      <x:c r="Q124" s="32" t="str">
        <x:v>Sea Around Us exploited organisms</x:v>
      </x:c>
      <x:c r="R124" s="24" t="str">
        <x:v>high</x:v>
      </x:c>
      <x:c r="S124" s="24" t="str">
        <x:v>Mollusca</x:v>
      </x:c>
      <x:c r="T124" s="32" t="n">
        <x:f>IF(O124="","",(1/'Metadata'!$B$5)^(O124-1))</x:f>
        <x:v>12.589254117941675</x:v>
      </x:c>
      <x:c r="U124" s="31" t="n">
        <x:f>IF(T124="","",I124*T124)</x:f>
        <x:v>345.56375240429213</x:v>
      </x:c>
    </x:row>
    <x:row r="125" ht="18" customHeight="1">
      <x:c r="A125" s="24" t="str">
        <x:v>LME_006</x:v>
      </x:c>
      <x:c r="B125" s="24" t="str">
        <x:v>Southeast U.S. Continental Shelf</x:v>
      </x:c>
      <x:c r="C125" s="24" t="str">
        <x:v>LME</x:v>
      </x:c>
      <x:c r="D125" s="30" t="n">
        <x:v>2019</x:v>
      </x:c>
      <x:c r="E125" s="24" t="str">
        <x:v>Selar crumenophthalmus</x:v>
      </x:c>
      <x:c r="F125" s="24" t="str">
        <x:v>Bigeye scad</x:v>
      </x:c>
      <x:c r="G125" s="24" t="str">
        <x:v>Medium pelagics (30 - 89 cm)</x:v>
      </x:c>
      <x:c r="H125" s="24" t="str">
        <x:v>Perch-likes</x:v>
      </x:c>
      <x:c r="I125" s="31" t="n">
        <x:v>26.728643838</x:v>
      </x:c>
      <x:c r="J125" s="31" t="n">
        <x:v>26.728643838</x:v>
      </x:c>
      <x:c r="K125" s="31" t="n">
        <x:v>0</x:v>
      </x:c>
      <x:c r="L125" s="31" t="n">
        <x:v>11.0669422714</x:v>
      </x:c>
      <x:c r="M125" s="31" t="n">
        <x:v>15.661701566600001</x:v>
      </x:c>
      <x:c r="N125" s="24" t="str">
        <x:v>selar crumenophthalmus</x:v>
      </x:c>
      <x:c r="O125" s="32" t="n">
        <x:v>3.81</x:v>
      </x:c>
      <x:c r="P125" s="24" t="str">
        <x:v>exact_2020_supplement</x:v>
      </x:c>
      <x:c r="Q125" s="32" t="str">
        <x:v>2020 supplement MeanTL</x:v>
      </x:c>
      <x:c r="R125" s="24" t="str">
        <x:v>high</x:v>
      </x:c>
      <x:c r="S125" s="24" t="str">
        <x:v>Selar crumenophthalmus</x:v>
      </x:c>
      <x:c r="T125" s="32" t="n">
        <x:f>IF(O125="","",(1/'Metadata'!$B$5)^(O125-1))</x:f>
        <x:v>645.6542290346556</x:v>
      </x:c>
      <x:c r="U125" s="31" t="n">
        <x:f>IF(T125="","",I125*T125)</x:f>
        <x:v>17257.46193036579</x:v>
      </x:c>
    </x:row>
    <x:row r="126" ht="18" customHeight="1">
      <x:c r="A126" s="24" t="str">
        <x:v>LME_006</x:v>
      </x:c>
      <x:c r="B126" s="24" t="str">
        <x:v>Southeast U.S. Continental Shelf</x:v>
      </x:c>
      <x:c r="C126" s="24" t="str">
        <x:v>LME</x:v>
      </x:c>
      <x:c r="D126" s="30" t="n">
        <x:v>2019</x:v>
      </x:c>
      <x:c r="E126" s="24" t="str">
        <x:v>Seriola zonata</x:v>
      </x:c>
      <x:c r="F126" s="24" t="str">
        <x:v>Banded rudderfish</x:v>
      </x:c>
      <x:c r="G126" s="24" t="str">
        <x:v>Medium benthopelagics (30 - 89 cm)</x:v>
      </x:c>
      <x:c r="H126" s="24" t="str">
        <x:v>Perch-likes</x:v>
      </x:c>
      <x:c r="I126" s="31" t="n">
        <x:v>26.1209787898</x:v>
      </x:c>
      <x:c r="J126" s="31" t="n">
        <x:v>26.1209787898</x:v>
      </x:c>
      <x:c r="K126" s="31" t="n">
        <x:v>0</x:v>
      </x:c>
      <x:c r="L126" s="31" t="n">
        <x:v>12.7761986577</x:v>
      </x:c>
      <x:c r="M126" s="31" t="n">
        <x:v>13.3447801321</x:v>
      </x:c>
      <x:c r="N126" s="24" t="str">
        <x:v>seriola zonata</x:v>
      </x:c>
      <x:c r="O126" s="32" t="n">
        <x:v>4.47</x:v>
      </x:c>
      <x:c r="P126" s="24" t="str">
        <x:v>exact_2020_supplement</x:v>
      </x:c>
      <x:c r="Q126" s="32" t="str">
        <x:v>2020 supplement MeanTL</x:v>
      </x:c>
      <x:c r="R126" s="24" t="str">
        <x:v>high</x:v>
      </x:c>
      <x:c r="S126" s="24" t="str">
        <x:v>Seriola zonata</x:v>
      </x:c>
      <x:c r="T126" s="32" t="n">
        <x:f>IF(O126="","",(1/'Metadata'!$B$5)^(O126-1))</x:f>
        <x:v>2951.209226666384</x:v>
      </x:c>
      <x:c r="U126" s="31" t="n">
        <x:f>IF(T126="","",I126*T126)</x:f>
        <x:v>77088.47361401467</x:v>
      </x:c>
    </x:row>
    <x:row r="127" ht="18" customHeight="1">
      <x:c r="A127" s="24" t="str">
        <x:v>LME_006</x:v>
      </x:c>
      <x:c r="B127" s="24" t="str">
        <x:v>Southeast U.S. Continental Shelf</x:v>
      </x:c>
      <x:c r="C127" s="24" t="str">
        <x:v>LME</x:v>
      </x:c>
      <x:c r="D127" s="30" t="n">
        <x:v>2019</x:v>
      </x:c>
      <x:c r="E127" s="24" t="str">
        <x:v>Epinephelus striatus</x:v>
      </x:c>
      <x:c r="F127" s="24" t="str">
        <x:v>Nassau grouper</x:v>
      </x:c>
      <x:c r="G127" s="24" t="str">
        <x:v>Large reef assoc. fish (&gt;=90 cm)</x:v>
      </x:c>
      <x:c r="H127" s="24" t="str">
        <x:v>Perch-likes</x:v>
      </x:c>
      <x:c r="I127" s="31" t="n">
        <x:v>25.636796413300004</x:v>
      </x:c>
      <x:c r="J127" s="31" t="n">
        <x:v>25.636796413300004</x:v>
      </x:c>
      <x:c r="K127" s="31" t="n">
        <x:v>0</x:v>
      </x:c>
      <x:c r="L127" s="31" t="n">
        <x:v>16.0566661504</x:v>
      </x:c>
      <x:c r="M127" s="31" t="n">
        <x:v>9.580130262900001</x:v>
      </x:c>
      <x:c r="N127" s="24" t="str">
        <x:v>epinephelus striatus</x:v>
      </x:c>
      <x:c r="O127" s="32" t="n">
        <x:v>4.06</x:v>
      </x:c>
      <x:c r="P127" s="24" t="str">
        <x:v>exact_2020_supplement</x:v>
      </x:c>
      <x:c r="Q127" s="32" t="str">
        <x:v>2020 supplement MeanTL</x:v>
      </x:c>
      <x:c r="R127" s="24" t="str">
        <x:v>high</x:v>
      </x:c>
      <x:c r="S127" s="24" t="str">
        <x:v>Epinephelus striatus</x:v>
      </x:c>
      <x:c r="T127" s="32" t="n">
        <x:f>IF(O127="","",(1/'Metadata'!$B$5)^(O127-1))</x:f>
        <x:v>1148.1536214968817</x:v>
      </x:c>
      <x:c r="U127" s="31" t="n">
        <x:f>IF(T127="","",I127*T127)</x:f>
        <x:v>29434.980645508665</x:v>
      </x:c>
    </x:row>
    <x:row r="128" ht="18" customHeight="1">
      <x:c r="A128" s="24" t="str">
        <x:v>LME_006</x:v>
      </x:c>
      <x:c r="B128" s="24" t="str">
        <x:v>Southeast U.S. Continental Shelf</x:v>
      </x:c>
      <x:c r="C128" s="24" t="str">
        <x:v>LME</x:v>
      </x:c>
      <x:c r="D128" s="30" t="n">
        <x:v>2019</x:v>
      </x:c>
      <x:c r="E128" s="24" t="str">
        <x:v>Dasyatidae</x:v>
      </x:c>
      <x:c r="F128" s="24" t="str">
        <x:v>Whiptail stingrays</x:v>
      </x:c>
      <x:c r="G128" s="24" t="str">
        <x:v>Large rays (&gt;=90 cm)</x:v>
      </x:c>
      <x:c r="H128" s="24" t="str">
        <x:v>Sharks &amp; rays</x:v>
      </x:c>
      <x:c r="I128" s="31" t="n">
        <x:v>21.5083766514</x:v>
      </x:c>
      <x:c r="J128" s="31" t="n">
        <x:v>14.3347380865</x:v>
      </x:c>
      <x:c r="K128" s="31" t="n">
        <x:v>7.1736385649</x:v>
      </x:c>
      <x:c r="L128" s="31" t="n">
        <x:v>0.1020072947</x:v>
      </x:c>
      <x:c r="M128" s="31" t="n">
        <x:v>21.4063693567</x:v>
      </x:c>
      <x:c r="N128" s="24" t="str">
        <x:v>dasyatidae</x:v>
      </x:c>
      <x:c r="O128" s="32" t="n">
        <x:v>3.38</x:v>
      </x:c>
      <x:c r="P128" s="24" t="str">
        <x:v>exact_sea_around_us</x:v>
      </x:c>
      <x:c r="Q128" s="32" t="str">
        <x:v>Sea Around Us exploited organisms</x:v>
      </x:c>
      <x:c r="R128" s="24" t="str">
        <x:v>high</x:v>
      </x:c>
      <x:c r="S128" s="24" t="str">
        <x:v>Dasyatidae</x:v>
      </x:c>
      <x:c r="T128" s="32" t="n">
        <x:f>IF(O128="","",(1/'Metadata'!$B$5)^(O128-1))</x:f>
        <x:v>239.88329190194898</x:v>
      </x:c>
      <x:c r="U128" s="31" t="n">
        <x:f>IF(T128="","",I128*T128)</x:f>
        <x:v>5159.50019460485</x:v>
      </x:c>
    </x:row>
    <x:row r="129" ht="18" customHeight="1">
      <x:c r="A129" s="24" t="str">
        <x:v>LME_006</x:v>
      </x:c>
      <x:c r="B129" s="24" t="str">
        <x:v>Southeast U.S. Continental Shelf</x:v>
      </x:c>
      <x:c r="C129" s="24" t="str">
        <x:v>LME</x:v>
      </x:c>
      <x:c r="D129" s="30" t="n">
        <x:v>2019</x:v>
      </x:c>
      <x:c r="E129" s="24" t="str">
        <x:v>Mycteroperca bonaci</x:v>
      </x:c>
      <x:c r="F129" s="24" t="str">
        <x:v>Black grouper</x:v>
      </x:c>
      <x:c r="G129" s="24" t="str">
        <x:v>Large reef assoc. fish (&gt;=90 cm)</x:v>
      </x:c>
      <x:c r="H129" s="24" t="str">
        <x:v>Perch-likes</x:v>
      </x:c>
      <x:c r="I129" s="31" t="n">
        <x:v>21.4823893433</x:v>
      </x:c>
      <x:c r="J129" s="31" t="n">
        <x:v>21.2514941994</x:v>
      </x:c>
      <x:c r="K129" s="31" t="n">
        <x:v>0.2308951439</x:v>
      </x:c>
      <x:c r="L129" s="31" t="n">
        <x:v>2.9806262901</x:v>
      </x:c>
      <x:c r="M129" s="31" t="n">
        <x:v>18.5017630532</x:v>
      </x:c>
      <x:c r="N129" s="24" t="str">
        <x:v>mycteroperca bonaci</x:v>
      </x:c>
      <x:c r="O129" s="32" t="n">
        <x:v>4.3</x:v>
      </x:c>
      <x:c r="P129" s="24" t="str">
        <x:v>exact_2020_supplement</x:v>
      </x:c>
      <x:c r="Q129" s="32" t="str">
        <x:v>2020 supplement MeanTL</x:v>
      </x:c>
      <x:c r="R129" s="24" t="str">
        <x:v>high</x:v>
      </x:c>
      <x:c r="S129" s="24" t="str">
        <x:v>Mycteroperca bonaci</x:v>
      </x:c>
      <x:c r="T129" s="32" t="n">
        <x:f>IF(O129="","",(1/'Metadata'!$B$5)^(O129-1))</x:f>
        <x:v>1995.2623149688789</x:v>
      </x:c>
      <x:c r="U129" s="31" t="n">
        <x:f>IF(T129="","",I129*T129)</x:f>
        <x:v>42863.00189217553</x:v>
      </x:c>
    </x:row>
    <x:row r="130" ht="18" customHeight="1">
      <x:c r="A130" s="24" t="str">
        <x:v>LME_006</x:v>
      </x:c>
      <x:c r="B130" s="24" t="str">
        <x:v>Southeast U.S. Continental Shelf</x:v>
      </x:c>
      <x:c r="C130" s="24" t="str">
        <x:v>LME</x:v>
      </x:c>
      <x:c r="D130" s="30" t="n">
        <x:v>2019</x:v>
      </x:c>
      <x:c r="E130" s="24" t="str">
        <x:v>Serranidae</x:v>
      </x:c>
      <x:c r="F130" s="24" t="str">
        <x:v>Basses, groupers, hinds</x:v>
      </x:c>
      <x:c r="G130" s="24" t="str">
        <x:v>Medium reef assoc. fish (30 - 89 cm)</x:v>
      </x:c>
      <x:c r="H130" s="24" t="str">
        <x:v>Perch-likes</x:v>
      </x:c>
      <x:c r="I130" s="31" t="n">
        <x:v>21.2423916607</x:v>
      </x:c>
      <x:c r="J130" s="31" t="n">
        <x:v>10.7481053084</x:v>
      </x:c>
      <x:c r="K130" s="31" t="n">
        <x:v>10.4942863523</x:v>
      </x:c>
      <x:c r="L130" s="31" t="n">
        <x:v>0.13044828479999998</x:v>
      </x:c>
      <x:c r="M130" s="31" t="n">
        <x:v>21.111943375899997</x:v>
      </x:c>
      <x:c r="N130" s="24" t="str">
        <x:v>serranidae</x:v>
      </x:c>
      <x:c r="O130" s="32" t="n">
        <x:v>3.98</x:v>
      </x:c>
      <x:c r="P130" s="24" t="str">
        <x:v>exact_sea_around_us</x:v>
      </x:c>
      <x:c r="Q130" s="32" t="str">
        <x:v>Sea Around Us exploited organisms</x:v>
      </x:c>
      <x:c r="R130" s="24" t="str">
        <x:v>high</x:v>
      </x:c>
      <x:c r="S130" s="24" t="str">
        <x:v>Serranidae</x:v>
      </x:c>
      <x:c r="T130" s="32" t="n">
        <x:f>IF(O130="","",(1/'Metadata'!$B$5)^(O130-1))</x:f>
        <x:v>954.992586021436</x:v>
      </x:c>
      <x:c r="U130" s="31" t="n">
        <x:f>IF(T130="","",I130*T130)</x:f>
        <x:v>20286.32654533208</x:v>
      </x:c>
    </x:row>
    <x:row r="131" ht="18" customHeight="1">
      <x:c r="A131" s="24" t="str">
        <x:v>LME_006</x:v>
      </x:c>
      <x:c r="B131" s="24" t="str">
        <x:v>Southeast U.S. Continental Shelf</x:v>
      </x:c>
      <x:c r="C131" s="24" t="str">
        <x:v>LME</x:v>
      </x:c>
      <x:c r="D131" s="30" t="n">
        <x:v>2019</x:v>
      </x:c>
      <x:c r="E131" s="24" t="str">
        <x:v>Canthidermis sufflamen</x:v>
      </x:c>
      <x:c r="F131" s="24" t="str">
        <x:v>Ocean triggerfish</x:v>
      </x:c>
      <x:c r="G131" s="24" t="str">
        <x:v>Medium reef assoc. fish (30 - 89 cm)</x:v>
      </x:c>
      <x:c r="H131" s="24" t="str">
        <x:v>Other fishes &amp; inverts</x:v>
      </x:c>
      <x:c r="I131" s="31" t="n">
        <x:v>21.035855413799997</x:v>
      </x:c>
      <x:c r="J131" s="31" t="n">
        <x:v>21.035855413799997</x:v>
      </x:c>
      <x:c r="K131" s="31" t="n">
        <x:v>0</x:v>
      </x:c>
      <x:c r="L131" s="31" t="n">
        <x:v>0.2311637051</x:v>
      </x:c>
      <x:c r="M131" s="31" t="n">
        <x:v>20.8046917087</x:v>
      </x:c>
      <x:c r="N131" s="24" t="str">
        <x:v>canthidermis sufflamen</x:v>
      </x:c>
      <x:c r="O131" s="32" t="n">
        <x:v>3.45</x:v>
      </x:c>
      <x:c r="P131" s="24" t="str">
        <x:v>exact_2020_supplement</x:v>
      </x:c>
      <x:c r="Q131" s="32" t="str">
        <x:v>2020 supplement MeanTL</x:v>
      </x:c>
      <x:c r="R131" s="24" t="str">
        <x:v>high</x:v>
      </x:c>
      <x:c r="S131" s="24" t="str">
        <x:v>Canthidermis sufflamen</x:v>
      </x:c>
      <x:c r="T131" s="32" t="n">
        <x:f>IF(O131="","",(1/'Metadata'!$B$5)^(O131-1))</x:f>
        <x:v>281.8382931264455</x:v>
      </x:c>
      <x:c r="U131" s="31" t="n">
        <x:f>IF(T131="","",I131*T131)</x:f>
        <x:v>5928.709584280088</x:v>
      </x:c>
    </x:row>
    <x:row r="132" ht="18" customHeight="1">
      <x:c r="A132" s="24" t="str">
        <x:v>LME_006</x:v>
      </x:c>
      <x:c r="B132" s="24" t="str">
        <x:v>Southeast U.S. Continental Shelf</x:v>
      </x:c>
      <x:c r="C132" s="24" t="str">
        <x:v>LME</x:v>
      </x:c>
      <x:c r="D132" s="30" t="n">
        <x:v>2019</x:v>
      </x:c>
      <x:c r="E132" s="24" t="str">
        <x:v>Menippe mercenaria</x:v>
      </x:c>
      <x:c r="F132" s="24" t="str">
        <x:v>Black stone crab</x:v>
      </x:c>
      <x:c r="G132" s="24" t="str">
        <x:v>Lobsters, crabs</x:v>
      </x:c>
      <x:c r="H132" s="24" t="str">
        <x:v>Crustaceans</x:v>
      </x:c>
      <x:c r="I132" s="31" t="n">
        <x:v>20.2519387392</x:v>
      </x:c>
      <x:c r="J132" s="31" t="n">
        <x:v>20.2519387392</x:v>
      </x:c>
      <x:c r="K132" s="31" t="n">
        <x:v>0</x:v>
      </x:c>
      <x:c r="L132" s="31" t="n">
        <x:v>19.9535166187</x:v>
      </x:c>
      <x:c r="M132" s="31" t="n">
        <x:v>0.2984221205</x:v>
      </x:c>
      <x:c r="N132" s="24" t="str">
        <x:v>menippe mercenaria</x:v>
      </x:c>
      <x:c r="O132" s="32" t="n">
        <x:v>2.6</x:v>
      </x:c>
      <x:c r="P132" s="24" t="str">
        <x:v>exact_sea_around_us</x:v>
      </x:c>
      <x:c r="Q132" s="32" t="str">
        <x:v>Sea Around Us exploited organisms</x:v>
      </x:c>
      <x:c r="R132" s="24" t="str">
        <x:v>high</x:v>
      </x:c>
      <x:c r="S132" s="24" t="str">
        <x:v>Menippe mercenaria</x:v>
      </x:c>
      <x:c r="T132" s="32" t="n">
        <x:f>IF(O132="","",(1/'Metadata'!$B$5)^(O132-1))</x:f>
        <x:v>39.810717055349734</x:v>
      </x:c>
      <x:c r="U132" s="31" t="n">
        <x:f>IF(T132="","",I132*T132)</x:f>
        <x:v>806.2442029685674</x:v>
      </x:c>
    </x:row>
    <x:row r="133" ht="18" customHeight="1">
      <x:c r="A133" s="24" t="str">
        <x:v>LME_006</x:v>
      </x:c>
      <x:c r="B133" s="24" t="str">
        <x:v>Southeast U.S. Continental Shelf</x:v>
      </x:c>
      <x:c r="C133" s="24" t="str">
        <x:v>LME</x:v>
      </x:c>
      <x:c r="D133" s="30" t="n">
        <x:v>2019</x:v>
      </x:c>
      <x:c r="E133" s="24" t="str">
        <x:v>Istiophorus</x:v>
      </x:c>
      <x:c r="F133" s="24" t="str">
        <x:v>Sailfishes</x:v>
      </x:c>
      <x:c r="G133" s="24" t="str">
        <x:v>Large pelagics (&gt;=90 cm)</x:v>
      </x:c>
      <x:c r="H133" s="24" t="str">
        <x:v>Tuna &amp; billfishes</x:v>
      </x:c>
      <x:c r="I133" s="31" t="n">
        <x:v>19.8504035023</x:v>
      </x:c>
      <x:c r="J133" s="31" t="n">
        <x:v>19.8504035023</x:v>
      </x:c>
      <x:c r="K133" s="31" t="n">
        <x:v>0</x:v>
      </x:c>
      <x:c r="L133" s="31" t="n">
        <x:v>0</x:v>
      </x:c>
      <x:c r="M133" s="31" t="n">
        <x:v>19.8504035023</x:v>
      </x:c>
      <x:c r="N133" s="24" t="str">
        <x:v>istiophorus</x:v>
      </x:c>
      <x:c r="O133" s="32" t="n">
        <x:v>4.5</x:v>
      </x:c>
      <x:c r="P133" s="24" t="str">
        <x:v>exact_sea_around_us</x:v>
      </x:c>
      <x:c r="Q133" s="32" t="str">
        <x:v>Sea Around Us exploited organisms</x:v>
      </x:c>
      <x:c r="R133" s="24" t="str">
        <x:v>high</x:v>
      </x:c>
      <x:c r="S133" s="24" t="str">
        <x:v>Istiophorus</x:v>
      </x:c>
      <x:c r="T133" s="32" t="n">
        <x:f>IF(O133="","",(1/'Metadata'!$B$5)^(O133-1))</x:f>
        <x:v>3162.2776601683795</x:v>
      </x:c>
      <x:c r="U133" s="31" t="n">
        <x:f>IF(T133="","",I133*T133)</x:f>
        <x:v>62772.487540651455</x:v>
      </x:c>
    </x:row>
    <x:row r="134" ht="18" customHeight="1">
      <x:c r="A134" s="24" t="str">
        <x:v>LME_006</x:v>
      </x:c>
      <x:c r="B134" s="24" t="str">
        <x:v>Southeast U.S. Continental Shelf</x:v>
      </x:c>
      <x:c r="C134" s="24" t="str">
        <x:v>LME</x:v>
      </x:c>
      <x:c r="D134" s="30" t="n">
        <x:v>2019</x:v>
      </x:c>
      <x:c r="E134" s="24" t="str">
        <x:v>Squalus</x:v>
      </x:c>
      <x:c r="F134" s="24" t="str">
        <x:v>Dogfishes</x:v>
      </x:c>
      <x:c r="G134" s="24" t="str">
        <x:v>Large sharks (&gt;=90 cm)</x:v>
      </x:c>
      <x:c r="H134" s="24" t="str">
        <x:v>Sharks &amp; rays</x:v>
      </x:c>
      <x:c r="I134" s="31" t="n">
        <x:v>19.6911336235</x:v>
      </x:c>
      <x:c r="J134" s="31" t="n">
        <x:v>19.6911336235</x:v>
      </x:c>
      <x:c r="K134" s="31" t="n">
        <x:v>0</x:v>
      </x:c>
      <x:c r="L134" s="31" t="n">
        <x:v>0</x:v>
      </x:c>
      <x:c r="M134" s="31" t="n">
        <x:v>19.6911336235</x:v>
      </x:c>
      <x:c r="N134" s="24" t="str">
        <x:v>squalus</x:v>
      </x:c>
      <x:c r="O134" s="32" t="n">
        <x:v>4.23</x:v>
      </x:c>
      <x:c r="P134" s="24" t="str">
        <x:v>exact_sea_around_us</x:v>
      </x:c>
      <x:c r="Q134" s="32" t="str">
        <x:v>Sea Around Us exploited organisms</x:v>
      </x:c>
      <x:c r="R134" s="24" t="str">
        <x:v>high</x:v>
      </x:c>
      <x:c r="S134" s="24" t="str">
        <x:v>Squalus</x:v>
      </x:c>
      <x:c r="T134" s="32" t="n">
        <x:f>IF(O134="","",(1/'Metadata'!$B$5)^(O134-1))</x:f>
        <x:v>1698.243652461746</x:v>
      </x:c>
      <x:c r="U134" s="31" t="n">
        <x:f>IF(T134="","",I134*T134)</x:f>
        <x:v>33440.342685884934</x:v>
      </x:c>
    </x:row>
    <x:row r="135" ht="18" customHeight="1">
      <x:c r="A135" s="24" t="str">
        <x:v>LME_006</x:v>
      </x:c>
      <x:c r="B135" s="24" t="str">
        <x:v>Southeast U.S. Continental Shelf</x:v>
      </x:c>
      <x:c r="C135" s="24" t="str">
        <x:v>LME</x:v>
      </x:c>
      <x:c r="D135" s="30" t="n">
        <x:v>2019</x:v>
      </x:c>
      <x:c r="E135" s="24" t="str">
        <x:v>Lutjanus vivanus</x:v>
      </x:c>
      <x:c r="F135" s="24" t="str">
        <x:v>Silk snapper</x:v>
      </x:c>
      <x:c r="G135" s="24" t="str">
        <x:v>Medium demersals (30 - 89 cm)</x:v>
      </x:c>
      <x:c r="H135" s="24" t="str">
        <x:v>Perch-likes</x:v>
      </x:c>
      <x:c r="I135" s="31" t="n">
        <x:v>19.3917146611</x:v>
      </x:c>
      <x:c r="J135" s="31" t="n">
        <x:v>19.3006339581</x:v>
      </x:c>
      <x:c r="K135" s="31" t="n">
        <x:v>0.091080703</x:v>
      </x:c>
      <x:c r="L135" s="31" t="n">
        <x:v>8.4138803293</x:v>
      </x:c>
      <x:c r="M135" s="31" t="n">
        <x:v>10.9778343318</x:v>
      </x:c>
      <x:c r="N135" s="24" t="str">
        <x:v>lutjanus vivanus</x:v>
      </x:c>
      <x:c r="O135" s="32" t="n">
        <x:v>3.09</x:v>
      </x:c>
      <x:c r="P135" s="24" t="str">
        <x:v>exact_2020_supplement</x:v>
      </x:c>
      <x:c r="Q135" s="32" t="str">
        <x:v>2020 supplement MeanTL</x:v>
      </x:c>
      <x:c r="R135" s="24" t="str">
        <x:v>high</x:v>
      </x:c>
      <x:c r="S135" s="24" t="str">
        <x:v>Lutjanus vivanus</x:v>
      </x:c>
      <x:c r="T135" s="32" t="n">
        <x:f>IF(O135="","",(1/'Metadata'!$B$5)^(O135-1))</x:f>
        <x:v>123.02687708123811</x:v>
      </x:c>
      <x:c r="U135" s="31" t="n">
        <x:f>IF(T135="","",I135*T135)</x:f>
        <x:v>2385.7020960055925</x:v>
      </x:c>
    </x:row>
    <x:row r="136" ht="18" customHeight="1">
      <x:c r="A136" s="24" t="str">
        <x:v>LME_006</x:v>
      </x:c>
      <x:c r="B136" s="24" t="str">
        <x:v>Southeast U.S. Continental Shelf</x:v>
      </x:c>
      <x:c r="C136" s="24" t="str">
        <x:v>LME</x:v>
      </x:c>
      <x:c r="D136" s="30" t="n">
        <x:v>2019</x:v>
      </x:c>
      <x:c r="E136" s="24" t="str">
        <x:v>Cyprinus carpio</x:v>
      </x:c>
      <x:c r="F136" s="24" t="str">
        <x:v>Common carp</x:v>
      </x:c>
      <x:c r="G136" s="24" t="str">
        <x:v>Large benthopelagics (&gt;=90 cm)</x:v>
      </x:c>
      <x:c r="H136" s="24" t="str">
        <x:v>Other fishes &amp; inverts</x:v>
      </x:c>
      <x:c r="I136" s="31" t="n">
        <x:v>18.9246073462</x:v>
      </x:c>
      <x:c r="J136" s="31" t="n">
        <x:v>18.9246073462</x:v>
      </x:c>
      <x:c r="K136" s="31" t="n">
        <x:v>0</x:v>
      </x:c>
      <x:c r="L136" s="31" t="n">
        <x:v>18.6311950715</x:v>
      </x:c>
      <x:c r="M136" s="31" t="n">
        <x:v>0.2934122747</x:v>
      </x:c>
      <x:c r="N136" s="24" t="str">
        <x:v>cyprinus carpio</x:v>
      </x:c>
      <x:c r="O136" s="32" t="n">
        <x:v>3.06</x:v>
      </x:c>
      <x:c r="P136" s="24" t="str">
        <x:v>exact_2020_supplement</x:v>
      </x:c>
      <x:c r="Q136" s="32" t="str">
        <x:v>2020 supplement MeanTL</x:v>
      </x:c>
      <x:c r="R136" s="24" t="str">
        <x:v>high</x:v>
      </x:c>
      <x:c r="S136" s="24" t="str">
        <x:v>Cyprinus carpio</x:v>
      </x:c>
      <x:c r="T136" s="32" t="n">
        <x:f>IF(O136="","",(1/'Metadata'!$B$5)^(O136-1))</x:f>
        <x:v>114.81536214968828</x:v>
      </x:c>
      <x:c r="U136" s="31" t="n">
        <x:f>IF(T136="","",I136*T136)</x:f>
        <x:v>2172.835645994604</x:v>
      </x:c>
    </x:row>
    <x:row r="137" ht="18" customHeight="1">
      <x:c r="A137" s="24" t="str">
        <x:v>LME_006</x:v>
      </x:c>
      <x:c r="B137" s="24" t="str">
        <x:v>Southeast U.S. Continental Shelf</x:v>
      </x:c>
      <x:c r="C137" s="24" t="str">
        <x:v>LME</x:v>
      </x:c>
      <x:c r="D137" s="30" t="n">
        <x:v>2019</x:v>
      </x:c>
      <x:c r="E137" s="24" t="str">
        <x:v>Lachnolaimus maximus</x:v>
      </x:c>
      <x:c r="F137" s="24" t="str">
        <x:v>Hogfish</x:v>
      </x:c>
      <x:c r="G137" s="24" t="str">
        <x:v>Medium reef assoc. fish (30 - 89 cm)</x:v>
      </x:c>
      <x:c r="H137" s="24" t="str">
        <x:v>Perch-likes</x:v>
      </x:c>
      <x:c r="I137" s="31" t="n">
        <x:v>18.3394305559</x:v>
      </x:c>
      <x:c r="J137" s="31" t="n">
        <x:v>18.3394305559</x:v>
      </x:c>
      <x:c r="K137" s="31" t="n">
        <x:v>0</x:v>
      </x:c>
      <x:c r="L137" s="31" t="n">
        <x:v>14.0414257715</x:v>
      </x:c>
      <x:c r="M137" s="31" t="n">
        <x:v>4.2980047844</x:v>
      </x:c>
      <x:c r="N137" s="24" t="str">
        <x:v>lachnolaimus maximus</x:v>
      </x:c>
      <x:c r="O137" s="32" t="n">
        <x:v>4.17</x:v>
      </x:c>
      <x:c r="P137" s="24" t="str">
        <x:v>exact_2020_supplement</x:v>
      </x:c>
      <x:c r="Q137" s="32" t="str">
        <x:v>2020 supplement MeanTL</x:v>
      </x:c>
      <x:c r="R137" s="24" t="str">
        <x:v>high</x:v>
      </x:c>
      <x:c r="S137" s="24" t="str">
        <x:v>Lachnolaimus maximus</x:v>
      </x:c>
      <x:c r="T137" s="32" t="n">
        <x:f>IF(O137="","",(1/'Metadata'!$B$5)^(O137-1))</x:f>
        <x:v>1479.1083881682073</x:v>
      </x:c>
      <x:c r="U137" s="31" t="n">
        <x:f>IF(T137="","",I137*T137)</x:f>
        <x:v>27126.00556946002</x:v>
      </x:c>
    </x:row>
    <x:row r="138" ht="18" customHeight="1">
      <x:c r="A138" s="24" t="str">
        <x:v>LME_006</x:v>
      </x:c>
      <x:c r="B138" s="24" t="str">
        <x:v>Southeast U.S. Continental Shelf</x:v>
      </x:c>
      <x:c r="C138" s="24" t="str">
        <x:v>LME</x:v>
      </x:c>
      <x:c r="D138" s="30" t="n">
        <x:v>2019</x:v>
      </x:c>
      <x:c r="E138" s="24" t="str">
        <x:v>Limulus polyphemus</x:v>
      </x:c>
      <x:c r="F138" s="24" t="str">
        <x:v>Horseshoe crab</x:v>
      </x:c>
      <x:c r="G138" s="24" t="str">
        <x:v>Lobsters, crabs</x:v>
      </x:c>
      <x:c r="H138" s="24" t="str">
        <x:v>Crustaceans</x:v>
      </x:c>
      <x:c r="I138" s="31" t="n">
        <x:v>16.169645506</x:v>
      </x:c>
      <x:c r="J138" s="31" t="n">
        <x:v>16.169645506</x:v>
      </x:c>
      <x:c r="K138" s="31" t="n">
        <x:v>0</x:v>
      </x:c>
      <x:c r="L138" s="31" t="n">
        <x:v>16.169645506</x:v>
      </x:c>
      <x:c r="M138" s="31" t="n">
        <x:v>0</x:v>
      </x:c>
      <x:c r="N138" s="24" t="str">
        <x:v>limulus polyphemus</x:v>
      </x:c>
      <x:c r="O138" s="32" t="n">
        <x:v>2.95</x:v>
      </x:c>
      <x:c r="P138" s="24" t="str">
        <x:v>exact_2020_supplement</x:v>
      </x:c>
      <x:c r="Q138" s="32" t="str">
        <x:v>2020 supplement MeanTL</x:v>
      </x:c>
      <x:c r="R138" s="24" t="str">
        <x:v>high</x:v>
      </x:c>
      <x:c r="S138" s="24" t="str">
        <x:v>Limulus polyphemus</x:v>
      </x:c>
      <x:c r="T138" s="32" t="n">
        <x:f>IF(O138="","",(1/'Metadata'!$B$5)^(O138-1))</x:f>
        <x:v>89.12509381337459</x:v>
      </x:c>
      <x:c r="U138" s="31" t="n">
        <x:f>IF(T138="","",I138*T138)</x:f>
        <x:v>1441.1211726512606</x:v>
      </x:c>
    </x:row>
    <x:row r="139" ht="18" customHeight="1">
      <x:c r="A139" s="24" t="str">
        <x:v>LME_006</x:v>
      </x:c>
      <x:c r="B139" s="24" t="str">
        <x:v>Southeast U.S. Continental Shelf</x:v>
      </x:c>
      <x:c r="C139" s="24" t="str">
        <x:v>LME</x:v>
      </x:c>
      <x:c r="D139" s="30" t="n">
        <x:v>2019</x:v>
      </x:c>
      <x:c r="E139" s="24" t="str">
        <x:v>Opsanus tau</x:v>
      </x:c>
      <x:c r="F139" s="24" t="str">
        <x:v>Oyster toadfish</x:v>
      </x:c>
      <x:c r="G139" s="24" t="str">
        <x:v>Medium reef assoc. fish (30 - 89 cm)</x:v>
      </x:c>
      <x:c r="H139" s="24" t="str">
        <x:v>Other fishes &amp; inverts</x:v>
      </x:c>
      <x:c r="I139" s="31" t="n">
        <x:v>15.1862909824</x:v>
      </x:c>
      <x:c r="J139" s="31" t="n">
        <x:v>15.1862909824</x:v>
      </x:c>
      <x:c r="K139" s="31" t="n">
        <x:v>0</x:v>
      </x:c>
      <x:c r="L139" s="31" t="n">
        <x:v>0</x:v>
      </x:c>
      <x:c r="M139" s="31" t="n">
        <x:v>15.1862909824</x:v>
      </x:c>
      <x:c r="N139" s="24" t="str">
        <x:v>opsanus tau</x:v>
      </x:c>
      <x:c r="O139" s="32" t="n">
        <x:v>3.84</x:v>
      </x:c>
      <x:c r="P139" s="24" t="str">
        <x:v>exact_2020_supplement</x:v>
      </x:c>
      <x:c r="Q139" s="32" t="str">
        <x:v>2020 supplement MeanTL</x:v>
      </x:c>
      <x:c r="R139" s="24" t="str">
        <x:v>high</x:v>
      </x:c>
      <x:c r="S139" s="24" t="str">
        <x:v>Opsanus tau</x:v>
      </x:c>
      <x:c r="T139" s="32" t="n">
        <x:f>IF(O139="","",(1/'Metadata'!$B$5)^(O139-1))</x:f>
        <x:v>691.8309709189363</x:v>
      </x:c>
      <x:c r="U139" s="31" t="n">
        <x:f>IF(T139="","",I139*T139)</x:f>
        <x:v>10506.346435011277</x:v>
      </x:c>
    </x:row>
    <x:row r="140" ht="18" customHeight="1">
      <x:c r="A140" s="24" t="str">
        <x:v>LME_006</x:v>
      </x:c>
      <x:c r="B140" s="24" t="str">
        <x:v>Southeast U.S. Continental Shelf</x:v>
      </x:c>
      <x:c r="C140" s="24" t="str">
        <x:v>LME</x:v>
      </x:c>
      <x:c r="D140" s="30" t="n">
        <x:v>2019</x:v>
      </x:c>
      <x:c r="E140" s="24" t="str">
        <x:v>Paralichthyidae</x:v>
      </x:c>
      <x:c r="F140" s="24" t="str">
        <x:v>Largetooth flounders</x:v>
      </x:c>
      <x:c r="G140" s="24" t="str">
        <x:v>Small to medium flatfishes (&lt;90 cm)</x:v>
      </x:c>
      <x:c r="H140" s="24" t="str">
        <x:v>Flatfishes</x:v>
      </x:c>
      <x:c r="I140" s="31" t="n">
        <x:v>14.8079542886</x:v>
      </x:c>
      <x:c r="J140" s="31" t="n">
        <x:v>0</x:v>
      </x:c>
      <x:c r="K140" s="31" t="n">
        <x:v>14.8079542886</x:v>
      </x:c>
      <x:c r="L140" s="31" t="n">
        <x:v>0</x:v>
      </x:c>
      <x:c r="M140" s="31" t="n">
        <x:v>14.8079542886</x:v>
      </x:c>
      <x:c r="N140" s="24" t="str">
        <x:v>paralichthyidae</x:v>
      </x:c>
      <x:c r="O140" s="32" t="n">
        <x:v>4.06</x:v>
      </x:c>
      <x:c r="P140" s="24" t="str">
        <x:v>exact_sea_around_us</x:v>
      </x:c>
      <x:c r="Q140" s="32" t="str">
        <x:v>Sea Around Us exploited organisms</x:v>
      </x:c>
      <x:c r="R140" s="24" t="str">
        <x:v>high</x:v>
      </x:c>
      <x:c r="S140" s="24" t="str">
        <x:v>Paralichthyidae</x:v>
      </x:c>
      <x:c r="T140" s="32" t="n">
        <x:f>IF(O140="","",(1/'Metadata'!$B$5)^(O140-1))</x:f>
        <x:v>1148.1536214968817</x:v>
      </x:c>
      <x:c r="U140" s="31" t="n">
        <x:f>IF(T140="","",I140*T140)</x:f>
        <x:v>17001.80634341637</x:v>
      </x:c>
    </x:row>
    <x:row r="141" ht="18" customHeight="1">
      <x:c r="A141" s="24" t="str">
        <x:v>LME_006</x:v>
      </x:c>
      <x:c r="B141" s="24" t="str">
        <x:v>Southeast U.S. Continental Shelf</x:v>
      </x:c>
      <x:c r="C141" s="24" t="str">
        <x:v>LME</x:v>
      </x:c>
      <x:c r="D141" s="30" t="n">
        <x:v>2019</x:v>
      </x:c>
      <x:c r="E141" s="24" t="str">
        <x:v>Dorosoma</x:v>
      </x:c>
      <x:c r="F141" s="24" t="str">
        <x:v>Gizzard shads</x:v>
      </x:c>
      <x:c r="G141" s="24" t="str">
        <x:v>Small pelagics (&lt;30 cm)</x:v>
      </x:c>
      <x:c r="H141" s="24" t="str">
        <x:v>Herring-likes</x:v>
      </x:c>
      <x:c r="I141" s="31" t="n">
        <x:v>14.527514155</x:v>
      </x:c>
      <x:c r="J141" s="31" t="n">
        <x:v>2.1201095942</x:v>
      </x:c>
      <x:c r="K141" s="31" t="n">
        <x:v>12.4074045608</x:v>
      </x:c>
      <x:c r="L141" s="31" t="n">
        <x:v>2.1138891865</x:v>
      </x:c>
      <x:c r="M141" s="31" t="n">
        <x:v>12.4136249685</x:v>
      </x:c>
      <x:c r="N141" s="24" t="str">
        <x:v>dorosoma</x:v>
      </x:c>
      <x:c r="O141" s="32" t="n">
        <x:v>2</x:v>
      </x:c>
      <x:c r="P141" s="24" t="str">
        <x:v>exact_sea_around_us</x:v>
      </x:c>
      <x:c r="Q141" s="32" t="str">
        <x:v>Sea Around Us exploited organisms</x:v>
      </x:c>
      <x:c r="R141" s="24" t="str">
        <x:v>high</x:v>
      </x:c>
      <x:c r="S141" s="24" t="str">
        <x:v>Dorosoma</x:v>
      </x:c>
      <x:c r="T141" s="32" t="n">
        <x:f>IF(O141="","",(1/'Metadata'!$B$5)^(O141-1))</x:f>
        <x:v>10</x:v>
      </x:c>
      <x:c r="U141" s="31" t="n">
        <x:f>IF(T141="","",I141*T141)</x:f>
        <x:v>145.27514155</x:v>
      </x:c>
    </x:row>
    <x:row r="142" ht="18" customHeight="1">
      <x:c r="A142" s="24" t="str">
        <x:v>LME_006</x:v>
      </x:c>
      <x:c r="B142" s="24" t="str">
        <x:v>Southeast U.S. Continental Shelf</x:v>
      </x:c>
      <x:c r="C142" s="24" t="str">
        <x:v>LME</x:v>
      </x:c>
      <x:c r="D142" s="30" t="n">
        <x:v>2019</x:v>
      </x:c>
      <x:c r="E142" s="24" t="str">
        <x:v>Teuthida</x:v>
      </x:c>
      <x:c r="F142" s="24" t="str">
        <x:v>Squids</x:v>
      </x:c>
      <x:c r="G142" s="24" t="str">
        <x:v>Cephalopods</x:v>
      </x:c>
      <x:c r="H142" s="24" t="str">
        <x:v>Other fishes &amp; inverts</x:v>
      </x:c>
      <x:c r="I142" s="31" t="n">
        <x:v>14.283000114499998</x:v>
      </x:c>
      <x:c r="J142" s="31" t="n">
        <x:v>14.283000114499998</x:v>
      </x:c>
      <x:c r="K142" s="31" t="n">
        <x:v>0</x:v>
      </x:c>
      <x:c r="L142" s="31" t="n">
        <x:v>13.5017871195</x:v>
      </x:c>
      <x:c r="M142" s="31" t="n">
        <x:v>0.781212995</x:v>
      </x:c>
      <x:c r="N142" s="24" t="str">
        <x:v>teuthida</x:v>
      </x:c>
      <x:c r="O142" s="32" t="n">
        <x:v>4.13</x:v>
      </x:c>
      <x:c r="P142" s="24" t="str">
        <x:v>exact_sea_around_us</x:v>
      </x:c>
      <x:c r="Q142" s="32" t="str">
        <x:v>Sea Around Us exploited organisms</x:v>
      </x:c>
      <x:c r="R142" s="24" t="str">
        <x:v>high</x:v>
      </x:c>
      <x:c r="S142" s="24" t="str">
        <x:v>Teuthida</x:v>
      </x:c>
      <x:c r="T142" s="32" t="n">
        <x:f>IF(O142="","",(1/'Metadata'!$B$5)^(O142-1))</x:f>
        <x:v>1348.9628825916532</x:v>
      </x:c>
      <x:c r="U142" s="31" t="n">
        <x:f>IF(T142="","",I142*T142)</x:f>
        <x:v>19267.23700651283</x:v>
      </x:c>
    </x:row>
    <x:row r="143" ht="18" customHeight="1">
      <x:c r="A143" s="24" t="str">
        <x:v>LME_006</x:v>
      </x:c>
      <x:c r="B143" s="24" t="str">
        <x:v>Southeast U.S. Continental Shelf</x:v>
      </x:c>
      <x:c r="C143" s="24" t="str">
        <x:v>LME</x:v>
      </x:c>
      <x:c r="D143" s="30" t="n">
        <x:v>2019</x:v>
      </x:c>
      <x:c r="E143" s="24" t="str">
        <x:v>Lobotes surinamensis</x:v>
      </x:c>
      <x:c r="F143" s="24" t="str">
        <x:v>Tripletail</x:v>
      </x:c>
      <x:c r="G143" s="24" t="str">
        <x:v>Large benthopelagics (&gt;=90 cm)</x:v>
      </x:c>
      <x:c r="H143" s="24" t="str">
        <x:v>Perch-likes</x:v>
      </x:c>
      <x:c r="I143" s="31" t="n">
        <x:v>14.2508691985</x:v>
      </x:c>
      <x:c r="J143" s="31" t="n">
        <x:v>14.2508691985</x:v>
      </x:c>
      <x:c r="K143" s="31" t="n">
        <x:v>0</x:v>
      </x:c>
      <x:c r="L143" s="31" t="n">
        <x:v>1.3058777160000001</x:v>
      </x:c>
      <x:c r="M143" s="31" t="n">
        <x:v>12.9449914825</x:v>
      </x:c>
      <x:c r="N143" s="24" t="str">
        <x:v>lobotes surinamensis</x:v>
      </x:c>
      <x:c r="O143" s="32" t="n">
        <x:v>4.04</x:v>
      </x:c>
      <x:c r="P143" s="24" t="str">
        <x:v>exact_2020_supplement</x:v>
      </x:c>
      <x:c r="Q143" s="32" t="str">
        <x:v>2020 supplement MeanTL</x:v>
      </x:c>
      <x:c r="R143" s="24" t="str">
        <x:v>high</x:v>
      </x:c>
      <x:c r="S143" s="24" t="str">
        <x:v>Lobotes surinamensis</x:v>
      </x:c>
      <x:c r="T143" s="32" t="n">
        <x:f>IF(O143="","",(1/'Metadata'!$B$5)^(O143-1))</x:f>
        <x:v>1096.4781961431852</x:v>
      </x:c>
      <x:c r="U143" s="31" t="n">
        <x:f>IF(T143="","",I143*T143)</x:f>
        <x:v>15625.76735224376</x:v>
      </x:c>
    </x:row>
    <x:row r="144" ht="18" customHeight="1">
      <x:c r="A144" s="24" t="str">
        <x:v>LME_006</x:v>
      </x:c>
      <x:c r="B144" s="24" t="str">
        <x:v>Southeast U.S. Continental Shelf</x:v>
      </x:c>
      <x:c r="C144" s="24" t="str">
        <x:v>LME</x:v>
      </x:c>
      <x:c r="D144" s="30" t="n">
        <x:v>2019</x:v>
      </x:c>
      <x:c r="E144" s="24" t="str">
        <x:v>Lutjanus apodus</x:v>
      </x:c>
      <x:c r="F144" s="24" t="str">
        <x:v>Schoolmaster snapper</x:v>
      </x:c>
      <x:c r="G144" s="24" t="str">
        <x:v>Medium reef assoc. fish (30 - 89 cm)</x:v>
      </x:c>
      <x:c r="H144" s="24" t="str">
        <x:v>Perch-likes</x:v>
      </x:c>
      <x:c r="I144" s="31" t="n">
        <x:v>13.6731479821</x:v>
      </x:c>
      <x:c r="J144" s="31" t="n">
        <x:v>13.6731479821</x:v>
      </x:c>
      <x:c r="K144" s="31" t="n">
        <x:v>0</x:v>
      </x:c>
      <x:c r="L144" s="31" t="n">
        <x:v>5.4637517888</x:v>
      </x:c>
      <x:c r="M144" s="31" t="n">
        <x:v>8.2093961933</x:v>
      </x:c>
      <x:c r="N144" s="24" t="str">
        <x:v>lutjanus apodus</x:v>
      </x:c>
      <x:c r="O144" s="32" t="n">
        <x:v>4.25</x:v>
      </x:c>
      <x:c r="P144" s="24" t="str">
        <x:v>exact_2020_supplement</x:v>
      </x:c>
      <x:c r="Q144" s="32" t="str">
        <x:v>2020 supplement MeanTL</x:v>
      </x:c>
      <x:c r="R144" s="24" t="str">
        <x:v>high</x:v>
      </x:c>
      <x:c r="S144" s="24" t="str">
        <x:v>Lutjanus apodus</x:v>
      </x:c>
      <x:c r="T144" s="32" t="n">
        <x:f>IF(O144="","",(1/'Metadata'!$B$5)^(O144-1))</x:f>
        <x:v>1778.2794100389228</x:v>
      </x:c>
      <x:c r="U144" s="31" t="n">
        <x:f>IF(T144="","",I144*T144)</x:f>
        <x:v>24314.677526983676</x:v>
      </x:c>
    </x:row>
    <x:row r="145" ht="18" customHeight="1">
      <x:c r="A145" s="24" t="str">
        <x:v>LME_006</x:v>
      </x:c>
      <x:c r="B145" s="24" t="str">
        <x:v>Southeast U.S. Continental Shelf</x:v>
      </x:c>
      <x:c r="C145" s="24" t="str">
        <x:v>LME</x:v>
      </x:c>
      <x:c r="D145" s="30" t="n">
        <x:v>2019</x:v>
      </x:c>
      <x:c r="E145" s="24" t="str">
        <x:v>Peprilus</x:v>
      </x:c>
      <x:c r="F145" s="24" t="str">
        <x:v>Harvestfishes</x:v>
      </x:c>
      <x:c r="G145" s="24" t="str">
        <x:v>Small benthopelagics (&lt;30 cm)</x:v>
      </x:c>
      <x:c r="H145" s="24" t="str">
        <x:v>Perch-likes</x:v>
      </x:c>
      <x:c r="I145" s="31" t="n">
        <x:v>13.520873336</x:v>
      </x:c>
      <x:c r="J145" s="31" t="n">
        <x:v>13.520873336</x:v>
      </x:c>
      <x:c r="K145" s="31" t="n">
        <x:v>0</x:v>
      </x:c>
      <x:c r="L145" s="31" t="n">
        <x:v>13.361553917199998</x:v>
      </x:c>
      <x:c r="M145" s="31" t="n">
        <x:v>0.1593194188</x:v>
      </x:c>
      <x:c r="N145" s="24" t="str">
        <x:v>peprilus</x:v>
      </x:c>
      <x:c r="O145" s="32" t="n">
        <x:v>3.78</x:v>
      </x:c>
      <x:c r="P145" s="24" t="str">
        <x:v>exact_sea_around_us</x:v>
      </x:c>
      <x:c r="Q145" s="32" t="str">
        <x:v>Sea Around Us exploited organisms</x:v>
      </x:c>
      <x:c r="R145" s="24" t="str">
        <x:v>high</x:v>
      </x:c>
      <x:c r="S145" s="24" t="str">
        <x:v>Peprilus</x:v>
      </x:c>
      <x:c r="T145" s="32" t="n">
        <x:f>IF(O145="","",(1/'Metadata'!$B$5)^(O145-1))</x:f>
        <x:v>602.5595860743575</x:v>
      </x:c>
      <x:c r="U145" s="31" t="n">
        <x:f>IF(T145="","",I145*T145)</x:f>
        <x:v>8147.131840703977</x:v>
      </x:c>
    </x:row>
    <x:row r="146" ht="18" customHeight="1">
      <x:c r="A146" s="24" t="str">
        <x:v>LME_006</x:v>
      </x:c>
      <x:c r="B146" s="24" t="str">
        <x:v>Southeast U.S. Continental Shelf</x:v>
      </x:c>
      <x:c r="C146" s="24" t="str">
        <x:v>LME</x:v>
      </x:c>
      <x:c r="D146" s="30" t="n">
        <x:v>2019</x:v>
      </x:c>
      <x:c r="E146" s="24" t="str">
        <x:v>Elops saurus</x:v>
      </x:c>
      <x:c r="F146" s="24" t="str">
        <x:v>Ladyfish</x:v>
      </x:c>
      <x:c r="G146" s="24" t="str">
        <x:v>Medium pelagics (30 - 89 cm)</x:v>
      </x:c>
      <x:c r="H146" s="24" t="str">
        <x:v>Other fishes &amp; inverts</x:v>
      </x:c>
      <x:c r="I146" s="31" t="n">
        <x:v>13.1058177164</x:v>
      </x:c>
      <x:c r="J146" s="31" t="n">
        <x:v>13.1058177164</x:v>
      </x:c>
      <x:c r="K146" s="31" t="n">
        <x:v>0</x:v>
      </x:c>
      <x:c r="L146" s="31" t="n">
        <x:v>8.8081048627</x:v>
      </x:c>
      <x:c r="M146" s="31" t="n">
        <x:v>4.2977128537</x:v>
      </x:c>
      <x:c r="N146" s="24" t="str">
        <x:v>elops saurus</x:v>
      </x:c>
      <x:c r="O146" s="32" t="n">
        <x:v>3.49</x:v>
      </x:c>
      <x:c r="P146" s="24" t="str">
        <x:v>exact_2020_supplement</x:v>
      </x:c>
      <x:c r="Q146" s="32" t="str">
        <x:v>2020 supplement MeanTL</x:v>
      </x:c>
      <x:c r="R146" s="24" t="str">
        <x:v>high</x:v>
      </x:c>
      <x:c r="S146" s="24" t="str">
        <x:v>Elops saurus</x:v>
      </x:c>
      <x:c r="T146" s="32" t="n">
        <x:f>IF(O146="","",(1/'Metadata'!$B$5)^(O146-1))</x:f>
        <x:v>309.0295432513592</x:v>
      </x:c>
      <x:c r="U146" s="31" t="n">
        <x:f>IF(T146="","",I146*T146)</x:f>
        <x:v>4050.084862834664</x:v>
      </x:c>
    </x:row>
    <x:row r="147" ht="18" customHeight="1">
      <x:c r="A147" s="24" t="str">
        <x:v>LME_006</x:v>
      </x:c>
      <x:c r="B147" s="24" t="str">
        <x:v>Southeast U.S. Continental Shelf</x:v>
      </x:c>
      <x:c r="C147" s="24" t="str">
        <x:v>LME</x:v>
      </x:c>
      <x:c r="D147" s="30" t="n">
        <x:v>2019</x:v>
      </x:c>
      <x:c r="E147" s="24" t="str">
        <x:v>Selene vomer</x:v>
      </x:c>
      <x:c r="F147" s="24" t="str">
        <x:v>Lookdown</x:v>
      </x:c>
      <x:c r="G147" s="24" t="str">
        <x:v>Medium demersals (30 - 89 cm)</x:v>
      </x:c>
      <x:c r="H147" s="24" t="str">
        <x:v>Perch-likes</x:v>
      </x:c>
      <x:c r="I147" s="31" t="n">
        <x:v>12.8690040184</x:v>
      </x:c>
      <x:c r="J147" s="31" t="n">
        <x:v>12.8690040184</x:v>
      </x:c>
      <x:c r="K147" s="31" t="n">
        <x:v>0</x:v>
      </x:c>
      <x:c r="L147" s="31" t="n">
        <x:v>5.034017047</x:v>
      </x:c>
      <x:c r="M147" s="31" t="n">
        <x:v>7.8349869714</x:v>
      </x:c>
      <x:c r="N147" s="24" t="str">
        <x:v>selene vomer</x:v>
      </x:c>
      <x:c r="O147" s="32" t="n">
        <x:v>4.29</x:v>
      </x:c>
      <x:c r="P147" s="24" t="str">
        <x:v>exact_2020_supplement</x:v>
      </x:c>
      <x:c r="Q147" s="32" t="str">
        <x:v>2020 supplement MeanTL</x:v>
      </x:c>
      <x:c r="R147" s="24" t="str">
        <x:v>high</x:v>
      </x:c>
      <x:c r="S147" s="24" t="str">
        <x:v>Selene vomer</x:v>
      </x:c>
      <x:c r="T147" s="32" t="n">
        <x:f>IF(O147="","",(1/'Metadata'!$B$5)^(O147-1))</x:f>
        <x:v>1949.8445997580454</x:v>
      </x:c>
      <x:c r="U147" s="31" t="n">
        <x:f>IF(T147="","",I147*T147)</x:f>
        <x:v>25092.557989541827</x:v>
      </x:c>
    </x:row>
    <x:row r="148" ht="18" customHeight="1">
      <x:c r="A148" s="24" t="str">
        <x:v>LME_006</x:v>
      </x:c>
      <x:c r="B148" s="24" t="str">
        <x:v>Southeast U.S. Continental Shelf</x:v>
      </x:c>
      <x:c r="C148" s="24" t="str">
        <x:v>LME</x:v>
      </x:c>
      <x:c r="D148" s="30" t="n">
        <x:v>2019</x:v>
      </x:c>
      <x:c r="E148" s="24" t="str">
        <x:v>Selene setapinnis</x:v>
      </x:c>
      <x:c r="F148" s="24" t="str">
        <x:v>Atlantic moonfish</x:v>
      </x:c>
      <x:c r="G148" s="24" t="str">
        <x:v>Medium demersals (30 - 89 cm)</x:v>
      </x:c>
      <x:c r="H148" s="24" t="str">
        <x:v>Perch-likes</x:v>
      </x:c>
      <x:c r="I148" s="31" t="n">
        <x:v>12.789174944</x:v>
      </x:c>
      <x:c r="J148" s="31" t="n">
        <x:v>12.4659681533</x:v>
      </x:c>
      <x:c r="K148" s="31" t="n">
        <x:v>0.3232067907</x:v>
      </x:c>
      <x:c r="L148" s="31" t="n">
        <x:v>12.066455682500001</x:v>
      </x:c>
      <x:c r="M148" s="31" t="n">
        <x:v>0.7227192615000001</x:v>
      </x:c>
      <x:c r="N148" s="24" t="str">
        <x:v>selene setapinnis</x:v>
      </x:c>
      <x:c r="O148" s="32" t="n">
        <x:v>3.72</x:v>
      </x:c>
      <x:c r="P148" s="24" t="str">
        <x:v>exact_2020_supplement</x:v>
      </x:c>
      <x:c r="Q148" s="32" t="str">
        <x:v>2020 supplement MeanTL</x:v>
      </x:c>
      <x:c r="R148" s="24" t="str">
        <x:v>high</x:v>
      </x:c>
      <x:c r="S148" s="24" t="str">
        <x:v>Selene setapinnis</x:v>
      </x:c>
      <x:c r="T148" s="32" t="n">
        <x:f>IF(O148="","",(1/'Metadata'!$B$5)^(O148-1))</x:f>
        <x:v>524.8074602497728</x:v>
      </x:c>
      <x:c r="U148" s="31" t="n">
        <x:f>IF(T148="","",I148*T148)</x:f>
        <x:v>6711.854421050671</x:v>
      </x:c>
    </x:row>
    <x:row r="149" ht="18" customHeight="1">
      <x:c r="A149" s="24" t="str">
        <x:v>LME_006</x:v>
      </x:c>
      <x:c r="B149" s="24" t="str">
        <x:v>Southeast U.S. Continental Shelf</x:v>
      </x:c>
      <x:c r="C149" s="24" t="str">
        <x:v>LME</x:v>
      </x:c>
      <x:c r="D149" s="30" t="n">
        <x:v>2019</x:v>
      </x:c>
      <x:c r="E149" s="24" t="str">
        <x:v>Loliginidae</x:v>
      </x:c>
      <x:c r="F149" s="24" t="str">
        <x:v>Common pencil squids</x:v>
      </x:c>
      <x:c r="G149" s="24" t="str">
        <x:v>Cephalopods</x:v>
      </x:c>
      <x:c r="H149" s="24" t="str">
        <x:v>Other fishes &amp; inverts</x:v>
      </x:c>
      <x:c r="I149" s="31" t="n">
        <x:v>12.1541202919</x:v>
      </x:c>
      <x:c r="J149" s="31" t="n">
        <x:v>12.1541202919</x:v>
      </x:c>
      <x:c r="K149" s="31" t="n">
        <x:v>0</x:v>
      </x:c>
      <x:c r="L149" s="31" t="n">
        <x:v>12.1541202919</x:v>
      </x:c>
      <x:c r="M149" s="31" t="n">
        <x:v>0</x:v>
      </x:c>
      <x:c r="N149" s="24" t="str">
        <x:v>loliginidae</x:v>
      </x:c>
      <x:c r="O149" s="32" t="n">
        <x:v>3.9</x:v>
      </x:c>
      <x:c r="P149" s="24" t="str">
        <x:v>exact_sea_around_us</x:v>
      </x:c>
      <x:c r="Q149" s="32" t="str">
        <x:v>Sea Around Us exploited organisms</x:v>
      </x:c>
      <x:c r="R149" s="24" t="str">
        <x:v>high</x:v>
      </x:c>
      <x:c r="S149" s="24" t="str">
        <x:v>Loliginidae</x:v>
      </x:c>
      <x:c r="T149" s="32" t="n">
        <x:f>IF(O149="","",(1/'Metadata'!$B$5)^(O149-1))</x:f>
        <x:v>794.3282347242813</x:v>
      </x:c>
      <x:c r="U149" s="31" t="n">
        <x:f>IF(T149="","",I149*T149)</x:f>
        <x:v>9654.360916091493</x:v>
      </x:c>
    </x:row>
    <x:row r="150" ht="18" customHeight="1">
      <x:c r="A150" s="24" t="str">
        <x:v>LME_006</x:v>
      </x:c>
      <x:c r="B150" s="24" t="str">
        <x:v>Southeast U.S. Continental Shelf</x:v>
      </x:c>
      <x:c r="C150" s="24" t="str">
        <x:v>LME</x:v>
      </x:c>
      <x:c r="D150" s="30" t="n">
        <x:v>2019</x:v>
      </x:c>
      <x:c r="E150" s="24" t="str">
        <x:v>Epinephelus adscensionis</x:v>
      </x:c>
      <x:c r="F150" s="24" t="str">
        <x:v>Rock hind</x:v>
      </x:c>
      <x:c r="G150" s="24" t="str">
        <x:v>Medium reef assoc. fish (30 - 89 cm)</x:v>
      </x:c>
      <x:c r="H150" s="24" t="str">
        <x:v>Perch-likes</x:v>
      </x:c>
      <x:c r="I150" s="31" t="n">
        <x:v>11.8531041861</x:v>
      </x:c>
      <x:c r="J150" s="31" t="n">
        <x:v>11.8531041861</x:v>
      </x:c>
      <x:c r="K150" s="31" t="n">
        <x:v>0</x:v>
      </x:c>
      <x:c r="L150" s="31" t="n">
        <x:v>1.7249823471</x:v>
      </x:c>
      <x:c r="M150" s="31" t="n">
        <x:v>10.128121839</x:v>
      </x:c>
      <x:c r="N150" s="24" t="str">
        <x:v>epinephelus adscensionis</x:v>
      </x:c>
      <x:c r="O150" s="32" t="n">
        <x:v>3.53</x:v>
      </x:c>
      <x:c r="P150" s="24" t="str">
        <x:v>exact_2020_supplement</x:v>
      </x:c>
      <x:c r="Q150" s="32" t="str">
        <x:v>2020 supplement MeanTL</x:v>
      </x:c>
      <x:c r="R150" s="24" t="str">
        <x:v>high</x:v>
      </x:c>
      <x:c r="S150" s="24" t="str">
        <x:v>Epinephelus adscensionis</x:v>
      </x:c>
      <x:c r="T150" s="32" t="n">
        <x:f>IF(O150="","",(1/'Metadata'!$B$5)^(O150-1))</x:f>
        <x:v>338.84415613920237</x:v>
      </x:c>
      <x:c r="U150" s="31" t="n">
        <x:f>IF(T150="","",I150*T150)</x:f>
        <x:v>4016.3550855691014</x:v>
      </x:c>
    </x:row>
    <x:row r="151" ht="18" customHeight="1">
      <x:c r="A151" s="24" t="str">
        <x:v>LME_006</x:v>
      </x:c>
      <x:c r="B151" s="24" t="str">
        <x:v>Southeast U.S. Continental Shelf</x:v>
      </x:c>
      <x:c r="C151" s="24" t="str">
        <x:v>LME</x:v>
      </x:c>
      <x:c r="D151" s="30" t="n">
        <x:v>2019</x:v>
      </x:c>
      <x:c r="E151" s="24" t="str">
        <x:v>Chloroscombrus chrysurus</x:v>
      </x:c>
      <x:c r="F151" s="24" t="str">
        <x:v>Atlantic bumper</x:v>
      </x:c>
      <x:c r="G151" s="24" t="str">
        <x:v>Medium pelagics (30 - 89 cm)</x:v>
      </x:c>
      <x:c r="H151" s="24" t="str">
        <x:v>Perch-likes</x:v>
      </x:c>
      <x:c r="I151" s="31" t="n">
        <x:v>11.8141294157</x:v>
      </x:c>
      <x:c r="J151" s="31" t="n">
        <x:v>5.8069905522</x:v>
      </x:c>
      <x:c r="K151" s="31" t="n">
        <x:v>6.0071388635</x:v>
      </x:c>
      <x:c r="L151" s="31" t="n">
        <x:v>5.703890527</x:v>
      </x:c>
      <x:c r="M151" s="31" t="n">
        <x:v>6.1102388887</x:v>
      </x:c>
      <x:c r="N151" s="24" t="str">
        <x:v>chloroscombrus chrysurus</x:v>
      </x:c>
      <x:c r="O151" s="32" t="n">
        <x:v>3.54</x:v>
      </x:c>
      <x:c r="P151" s="24" t="str">
        <x:v>exact_2020_supplement</x:v>
      </x:c>
      <x:c r="Q151" s="32" t="str">
        <x:v>2020 supplement MeanTL</x:v>
      </x:c>
      <x:c r="R151" s="24" t="str">
        <x:v>high</x:v>
      </x:c>
      <x:c r="S151" s="24" t="str">
        <x:v>Chloroscombrus chrysurus</x:v>
      </x:c>
      <x:c r="T151" s="32" t="n">
        <x:f>IF(O151="","",(1/'Metadata'!$B$5)^(O151-1))</x:f>
        <x:v>346.73685045253166</x:v>
      </x:c>
      <x:c r="U151" s="31" t="n">
        <x:f>IF(T151="","",I151*T151)</x:f>
        <x:v>4096.394024438426</x:v>
      </x:c>
    </x:row>
    <x:row r="152" ht="18" customHeight="1">
      <x:c r="A152" s="24" t="str">
        <x:v>LME_006</x:v>
      </x:c>
      <x:c r="B152" s="24" t="str">
        <x:v>Southeast U.S. Continental Shelf</x:v>
      </x:c>
      <x:c r="C152" s="24" t="str">
        <x:v>LME</x:v>
      </x:c>
      <x:c r="D152" s="30" t="n">
        <x:v>2019</x:v>
      </x:c>
      <x:c r="E152" s="24" t="str">
        <x:v>Carcharhinus brevipinna</x:v>
      </x:c>
      <x:c r="F152" s="24" t="str">
        <x:v>Spinner shark</x:v>
      </x:c>
      <x:c r="G152" s="24" t="str">
        <x:v>Large sharks (&gt;=90 cm)</x:v>
      </x:c>
      <x:c r="H152" s="24" t="str">
        <x:v>Sharks &amp; rays</x:v>
      </x:c>
      <x:c r="I152" s="31" t="n">
        <x:v>11.796356620000001</x:v>
      </x:c>
      <x:c r="J152" s="31" t="n">
        <x:v>11.796356620000001</x:v>
      </x:c>
      <x:c r="K152" s="31" t="n">
        <x:v>0</x:v>
      </x:c>
      <x:c r="L152" s="31" t="n">
        <x:v>11.2777055966</x:v>
      </x:c>
      <x:c r="M152" s="31" t="n">
        <x:v>0.5186510234</x:v>
      </x:c>
      <x:c r="N152" s="24" t="str">
        <x:v>carcharhinus brevipinna</x:v>
      </x:c>
      <x:c r="O152" s="32" t="n">
        <x:v>4.2</x:v>
      </x:c>
      <x:c r="P152" s="24" t="str">
        <x:v>exact_2020_supplement</x:v>
      </x:c>
      <x:c r="Q152" s="32" t="str">
        <x:v>2020 supplement MeanTL</x:v>
      </x:c>
      <x:c r="R152" s="24" t="str">
        <x:v>high</x:v>
      </x:c>
      <x:c r="S152" s="24" t="str">
        <x:v>Carcharhinus brevipinna</x:v>
      </x:c>
      <x:c r="T152" s="32" t="n">
        <x:f>IF(O152="","",(1/'Metadata'!$B$5)^(O152-1))</x:f>
        <x:v>1584.893192461114</x:v>
      </x:c>
      <x:c r="U152" s="31" t="n">
        <x:f>IF(T152="","",I152*T152)</x:f>
        <x:v>18695.9653028816</x:v>
      </x:c>
    </x:row>
    <x:row r="153" ht="18" customHeight="1">
      <x:c r="A153" s="24" t="str">
        <x:v>LME_006</x:v>
      </x:c>
      <x:c r="B153" s="24" t="str">
        <x:v>Southeast U.S. Continental Shelf</x:v>
      </x:c>
      <x:c r="C153" s="24" t="str">
        <x:v>LME</x:v>
      </x:c>
      <x:c r="D153" s="30" t="n">
        <x:v>2019</x:v>
      </x:c>
      <x:c r="E153" s="24" t="str">
        <x:v>Kyphosus sectatrix</x:v>
      </x:c>
      <x:c r="F153" s="24" t="str">
        <x:v>Bermuda sea chub</x:v>
      </x:c>
      <x:c r="G153" s="24" t="str">
        <x:v>Medium reef assoc. fish (30 - 89 cm)</x:v>
      </x:c>
      <x:c r="H153" s="24" t="str">
        <x:v>Perch-likes</x:v>
      </x:c>
      <x:c r="I153" s="31" t="n">
        <x:v>11.5631016312</x:v>
      </x:c>
      <x:c r="J153" s="31" t="n">
        <x:v>11.5631016312</x:v>
      </x:c>
      <x:c r="K153" s="31" t="n">
        <x:v>0</x:v>
      </x:c>
      <x:c r="L153" s="31" t="n">
        <x:v>0.2727280985</x:v>
      </x:c>
      <x:c r="M153" s="31" t="n">
        <x:v>11.2903735327</x:v>
      </x:c>
      <x:c r="N153" s="24" t="str">
        <x:v>kyphosus sectatrix</x:v>
      </x:c>
      <x:c r="O153" s="32" t="n">
        <x:v>2</x:v>
      </x:c>
      <x:c r="P153" s="24" t="str">
        <x:v>exact_2020_supplement</x:v>
      </x:c>
      <x:c r="Q153" s="32" t="str">
        <x:v>2020 supplement MeanTL</x:v>
      </x:c>
      <x:c r="R153" s="24" t="str">
        <x:v>high</x:v>
      </x:c>
      <x:c r="S153" s="24" t="str">
        <x:v>Kyphosus sectatrix</x:v>
      </x:c>
      <x:c r="T153" s="32" t="n">
        <x:f>IF(O153="","",(1/'Metadata'!$B$5)^(O153-1))</x:f>
        <x:v>10</x:v>
      </x:c>
      <x:c r="U153" s="31" t="n">
        <x:f>IF(T153="","",I153*T153)</x:f>
        <x:v>115.631016312</x:v>
      </x:c>
    </x:row>
    <x:row r="154" ht="18" customHeight="1">
      <x:c r="A154" s="24" t="str">
        <x:v>LME_006</x:v>
      </x:c>
      <x:c r="B154" s="24" t="str">
        <x:v>Southeast U.S. Continental Shelf</x:v>
      </x:c>
      <x:c r="C154" s="24" t="str">
        <x:v>LME</x:v>
      </x:c>
      <x:c r="D154" s="30" t="n">
        <x:v>2019</x:v>
      </x:c>
      <x:c r="E154" s="24" t="str">
        <x:v>Helicolenus dactylopterus</x:v>
      </x:c>
      <x:c r="F154" s="24" t="str">
        <x:v>Blackbelly rosefish</x:v>
      </x:c>
      <x:c r="G154" s="24" t="str">
        <x:v>Medium bathydemersals (30 - 89 cm)</x:v>
      </x:c>
      <x:c r="H154" s="24" t="str">
        <x:v>Scorpionfishes</x:v>
      </x:c>
      <x:c r="I154" s="31" t="n">
        <x:v>11.5458457564</x:v>
      </x:c>
      <x:c r="J154" s="31" t="n">
        <x:v>11.5458457564</x:v>
      </x:c>
      <x:c r="K154" s="31" t="n">
        <x:v>0</x:v>
      </x:c>
      <x:c r="L154" s="31" t="n">
        <x:v>2.9589753134</x:v>
      </x:c>
      <x:c r="M154" s="31" t="n">
        <x:v>8.586870443</x:v>
      </x:c>
      <x:c r="N154" s="24" t="str">
        <x:v>helicolenus dactylopterus</x:v>
      </x:c>
      <x:c r="O154" s="32" t="n">
        <x:v>3.54</x:v>
      </x:c>
      <x:c r="P154" s="24" t="str">
        <x:v>exact_2020_supplement</x:v>
      </x:c>
      <x:c r="Q154" s="32" t="str">
        <x:v>2020 supplement MeanTL</x:v>
      </x:c>
      <x:c r="R154" s="24" t="str">
        <x:v>high</x:v>
      </x:c>
      <x:c r="S154" s="24" t="str">
        <x:v>Helicolenus dactylopterus</x:v>
      </x:c>
      <x:c r="T154" s="32" t="n">
        <x:f>IF(O154="","",(1/'Metadata'!$B$5)^(O154-1))</x:f>
        <x:v>346.73685045253166</x:v>
      </x:c>
      <x:c r="U154" s="31" t="n">
        <x:f>IF(T154="","",I154*T154)</x:f>
        <x:v>4003.3701933848643</x:v>
      </x:c>
    </x:row>
    <x:row r="155" ht="18" customHeight="1">
      <x:c r="A155" s="24" t="str">
        <x:v>LME_006</x:v>
      </x:c>
      <x:c r="B155" s="24" t="str">
        <x:v>Southeast U.S. Continental Shelf</x:v>
      </x:c>
      <x:c r="C155" s="24" t="str">
        <x:v>LME</x:v>
      </x:c>
      <x:c r="D155" s="30" t="n">
        <x:v>2019</x:v>
      </x:c>
      <x:c r="E155" s="24" t="str">
        <x:v>Hyporthodus flavolimbatus</x:v>
      </x:c>
      <x:c r="F155" s="24" t="str">
        <x:v>Yellowedge grouper</x:v>
      </x:c>
      <x:c r="G155" s="24" t="str">
        <x:v>Large demersals (&gt;=90 cm)</x:v>
      </x:c>
      <x:c r="H155" s="24" t="str">
        <x:v>Perch-likes</x:v>
      </x:c>
      <x:c r="I155" s="31" t="n">
        <x:v>11.3312493496</x:v>
      </x:c>
      <x:c r="J155" s="31" t="n">
        <x:v>10.8342317045</x:v>
      </x:c>
      <x:c r="K155" s="31" t="n">
        <x:v>0.49701764509999996</x:v>
      </x:c>
      <x:c r="L155" s="31" t="n">
        <x:v>6.7629731910999995</x:v>
      </x:c>
      <x:c r="M155" s="31" t="n">
        <x:v>4.5682761585</x:v>
      </x:c>
      <x:c r="N155" s="24" t="str">
        <x:v>hyporthodus flavolimbatus</x:v>
      </x:c>
      <x:c r="O155" s="32" t="n">
        <x:v>3.82</x:v>
      </x:c>
      <x:c r="P155" s="24" t="str">
        <x:v>exact_2020_supplement</x:v>
      </x:c>
      <x:c r="Q155" s="32" t="str">
        <x:v>2020 supplement MeanTL</x:v>
      </x:c>
      <x:c r="R155" s="24" t="str">
        <x:v>high</x:v>
      </x:c>
      <x:c r="S155" s="24" t="str">
        <x:v>Hyporthodus flavolimbatus</x:v>
      </x:c>
      <x:c r="T155" s="32" t="n">
        <x:f>IF(O155="","",(1/'Metadata'!$B$5)^(O155-1))</x:f>
        <x:v>660.6934480075957</x:v>
      </x:c>
      <x:c r="U155" s="31" t="n">
        <x:f>IF(T155="","",I155*T155)</x:f>
        <x:v>7486.482203021051</x:v>
      </x:c>
    </x:row>
    <x:row r="156" ht="18" customHeight="1">
      <x:c r="A156" s="24" t="str">
        <x:v>LME_006</x:v>
      </x:c>
      <x:c r="B156" s="24" t="str">
        <x:v>Southeast U.S. Continental Shelf</x:v>
      </x:c>
      <x:c r="C156" s="24" t="str">
        <x:v>LME</x:v>
      </x:c>
      <x:c r="D156" s="30" t="n">
        <x:v>2019</x:v>
      </x:c>
      <x:c r="E156" s="24" t="str">
        <x:v>Hyporthodus mystacinus</x:v>
      </x:c>
      <x:c r="F156" s="24" t="str">
        <x:v>Misty grouper</x:v>
      </x:c>
      <x:c r="G156" s="24" t="str">
        <x:v>Large bathydemersals (&gt;=90 cm)</x:v>
      </x:c>
      <x:c r="H156" s="24" t="str">
        <x:v>Perch-likes</x:v>
      </x:c>
      <x:c r="I156" s="31" t="n">
        <x:v>10.5046858231</x:v>
      </x:c>
      <x:c r="J156" s="31" t="n">
        <x:v>10.5046858231</x:v>
      </x:c>
      <x:c r="K156" s="31" t="n">
        <x:v>0</x:v>
      </x:c>
      <x:c r="L156" s="31" t="n">
        <x:v>0.521222628</x:v>
      </x:c>
      <x:c r="M156" s="31" t="n">
        <x:v>9.9834631951</x:v>
      </x:c>
      <x:c r="N156" s="24" t="str">
        <x:v>hyporthodus mystacinus</x:v>
      </x:c>
      <x:c r="O156" s="32" t="n">
        <x:v>4.58</x:v>
      </x:c>
      <x:c r="P156" s="24" t="str">
        <x:v>exact_2020_supplement</x:v>
      </x:c>
      <x:c r="Q156" s="32" t="str">
        <x:v>2020 supplement MeanTL</x:v>
      </x:c>
      <x:c r="R156" s="24" t="str">
        <x:v>high</x:v>
      </x:c>
      <x:c r="S156" s="24" t="str">
        <x:v>Hyporthodus mystacinus</x:v>
      </x:c>
      <x:c r="T156" s="32" t="n">
        <x:f>IF(O156="","",(1/'Metadata'!$B$5)^(O156-1))</x:f>
        <x:v>3801.8939632056126</x:v>
      </x:c>
      <x:c r="U156" s="31" t="n">
        <x:f>IF(T156="","",I156*T156)</x:f>
        <x:v>39937.701616215476</x:v>
      </x:c>
    </x:row>
    <x:row r="157" ht="18" customHeight="1">
      <x:c r="A157" s="24" t="str">
        <x:v>LME_006</x:v>
      </x:c>
      <x:c r="B157" s="24" t="str">
        <x:v>Southeast U.S. Continental Shelf</x:v>
      </x:c>
      <x:c r="C157" s="24" t="str">
        <x:v>LME</x:v>
      </x:c>
      <x:c r="D157" s="30" t="n">
        <x:v>2019</x:v>
      </x:c>
      <x:c r="E157" s="24" t="str">
        <x:v>Mycteroperca venenosa</x:v>
      </x:c>
      <x:c r="F157" s="24" t="str">
        <x:v>Yellowfin grouper</x:v>
      </x:c>
      <x:c r="G157" s="24" t="str">
        <x:v>Medium reef assoc. fish (30 - 89 cm)</x:v>
      </x:c>
      <x:c r="H157" s="24" t="str">
        <x:v>Perch-likes</x:v>
      </x:c>
      <x:c r="I157" s="31" t="n">
        <x:v>9.8092539886</x:v>
      </x:c>
      <x:c r="J157" s="31" t="n">
        <x:v>9.8092539886</x:v>
      </x:c>
      <x:c r="K157" s="31" t="n">
        <x:v>0</x:v>
      </x:c>
      <x:c r="L157" s="31" t="n">
        <x:v>0.718406949</x:v>
      </x:c>
      <x:c r="M157" s="31" t="n">
        <x:v>9.0908470396</x:v>
      </x:c>
      <x:c r="N157" s="24" t="str">
        <x:v>mycteroperca venenosa</x:v>
      </x:c>
      <x:c r="O157" s="32" t="n">
        <x:v>4.48</x:v>
      </x:c>
      <x:c r="P157" s="24" t="str">
        <x:v>exact_2020_supplement</x:v>
      </x:c>
      <x:c r="Q157" s="32" t="str">
        <x:v>2020 supplement MeanTL</x:v>
      </x:c>
      <x:c r="R157" s="24" t="str">
        <x:v>high</x:v>
      </x:c>
      <x:c r="S157" s="24" t="str">
        <x:v>Mycteroperca venenosa</x:v>
      </x:c>
      <x:c r="T157" s="32" t="n">
        <x:f>IF(O157="","",(1/'Metadata'!$B$5)^(O157-1))</x:f>
        <x:v>3019.951720402019</x:v>
      </x:c>
      <x:c r="U157" s="31" t="n">
        <x:f>IF(T157="","",I157*T157)</x:f>
        <x:v>29623.473458732937</x:v>
      </x:c>
    </x:row>
    <x:row r="158" ht="18" customHeight="1">
      <x:c r="A158" s="24" t="str">
        <x:v>LME_006</x:v>
      </x:c>
      <x:c r="B158" s="24" t="str">
        <x:v>Southeast U.S. Continental Shelf</x:v>
      </x:c>
      <x:c r="C158" s="24" t="str">
        <x:v>LME</x:v>
      </x:c>
      <x:c r="D158" s="30" t="n">
        <x:v>2019</x:v>
      </x:c>
      <x:c r="E158" s="24" t="str">
        <x:v>Carangidae</x:v>
      </x:c>
      <x:c r="F158" s="24" t="str">
        <x:v>Jacks, pompanos</x:v>
      </x:c>
      <x:c r="G158" s="24" t="str">
        <x:v>Medium pelagics (30 - 89 cm)</x:v>
      </x:c>
      <x:c r="H158" s="24" t="str">
        <x:v>Perch-likes</x:v>
      </x:c>
      <x:c r="I158" s="31" t="n">
        <x:v>9.3089388897</x:v>
      </x:c>
      <x:c r="J158" s="31" t="n">
        <x:v>9.3089388897</x:v>
      </x:c>
      <x:c r="K158" s="31" t="n">
        <x:v>0</x:v>
      </x:c>
      <x:c r="L158" s="31" t="n">
        <x:v>0.9818867940999999</x:v>
      </x:c>
      <x:c r="M158" s="31" t="n">
        <x:v>8.3270520956</x:v>
      </x:c>
      <x:c r="N158" s="24" t="str">
        <x:v>carangidae</x:v>
      </x:c>
      <x:c r="O158" s="32" t="n">
        <x:v>4.05</x:v>
      </x:c>
      <x:c r="P158" s="24" t="str">
        <x:v>exact_sea_around_us</x:v>
      </x:c>
      <x:c r="Q158" s="32" t="str">
        <x:v>Sea Around Us exploited organisms</x:v>
      </x:c>
      <x:c r="R158" s="24" t="str">
        <x:v>high</x:v>
      </x:c>
      <x:c r="S158" s="24" t="str">
        <x:v>Carangidae</x:v>
      </x:c>
      <x:c r="T158" s="32" t="n">
        <x:f>IF(O158="","",(1/'Metadata'!$B$5)^(O158-1))</x:f>
        <x:v>1122.018454301963</x:v>
      </x:c>
      <x:c r="U158" s="31" t="n">
        <x:f>IF(T158="","",I158*T158)</x:f>
        <x:v>10444.801224212626</x:v>
      </x:c>
    </x:row>
    <x:row r="159" ht="18" customHeight="1">
      <x:c r="A159" s="24" t="str">
        <x:v>LME_006</x:v>
      </x:c>
      <x:c r="B159" s="24" t="str">
        <x:v>Southeast U.S. Continental Shelf</x:v>
      </x:c>
      <x:c r="C159" s="24" t="str">
        <x:v>LME</x:v>
      </x:c>
      <x:c r="D159" s="30" t="n">
        <x:v>2019</x:v>
      </x:c>
      <x:c r="E159" s="24" t="str">
        <x:v>Clibanarius tricolor</x:v>
      </x:c>
      <x:c r="F159" s="24" t="str">
        <x:v>Tricolor hermit</x:v>
      </x:c>
      <x:c r="G159" s="24" t="str">
        <x:v>Lobsters, crabs</x:v>
      </x:c>
      <x:c r="H159" s="24" t="str">
        <x:v>Crustaceans</x:v>
      </x:c>
      <x:c r="I159" s="31" t="n">
        <x:v>9.131632534800001</x:v>
      </x:c>
      <x:c r="J159" s="31" t="n">
        <x:v>9.131632534800001</x:v>
      </x:c>
      <x:c r="K159" s="31" t="n">
        <x:v>0</x:v>
      </x:c>
      <x:c r="L159" s="31" t="n">
        <x:v>9.131632534800001</x:v>
      </x:c>
      <x:c r="M159" s="31" t="n">
        <x:v>0</x:v>
      </x:c>
      <x:c r="N159" s="24" t="str">
        <x:v>clibanarius tricolor</x:v>
      </x:c>
      <x:c r="O159" s="32" t="n">
        <x:v>4</x:v>
      </x:c>
      <x:c r="P159" s="24" t="str">
        <x:v>exact_sea_around_us</x:v>
      </x:c>
      <x:c r="Q159" s="32" t="str">
        <x:v>Sea Around Us exploited organisms</x:v>
      </x:c>
      <x:c r="R159" s="24" t="str">
        <x:v>high</x:v>
      </x:c>
      <x:c r="S159" s="24" t="str">
        <x:v>Clibanarius tricolor</x:v>
      </x:c>
      <x:c r="T159" s="32" t="n">
        <x:f>IF(O159="","",(1/'Metadata'!$B$5)^(O159-1))</x:f>
        <x:v>1000</x:v>
      </x:c>
      <x:c r="U159" s="31" t="n">
        <x:f>IF(T159="","",I159*T159)</x:f>
        <x:v>9131.632534800001</x:v>
      </x:c>
    </x:row>
    <x:row r="160" ht="18" customHeight="1">
      <x:c r="A160" s="24" t="str">
        <x:v>LME_006</x:v>
      </x:c>
      <x:c r="B160" s="24" t="str">
        <x:v>Southeast U.S. Continental Shelf</x:v>
      </x:c>
      <x:c r="C160" s="24" t="str">
        <x:v>LME</x:v>
      </x:c>
      <x:c r="D160" s="30" t="n">
        <x:v>2019</x:v>
      </x:c>
      <x:c r="E160" s="24" t="str">
        <x:v>Centrolophidae</x:v>
      </x:c>
      <x:c r="F160" s="24" t="str">
        <x:v>Medusafishes</x:v>
      </x:c>
      <x:c r="G160" s="24" t="str">
        <x:v>Medium benthopelagics (30 - 89 cm)</x:v>
      </x:c>
      <x:c r="H160" s="24" t="str">
        <x:v>Perch-likes</x:v>
      </x:c>
      <x:c r="I160" s="31" t="n">
        <x:v>8.716600940300001</x:v>
      </x:c>
      <x:c r="J160" s="31" t="n">
        <x:v>8.716600940300001</x:v>
      </x:c>
      <x:c r="K160" s="31" t="n">
        <x:v>0</x:v>
      </x:c>
      <x:c r="L160" s="31" t="n">
        <x:v>8.668259152700001</x:v>
      </x:c>
      <x:c r="M160" s="31" t="n">
        <x:v>0.0483417876</x:v>
      </x:c>
      <x:c r="N160" s="24" t="str">
        <x:v>centrolophidae</x:v>
      </x:c>
      <x:c r="O160" s="32" t="n">
        <x:v>3.65</x:v>
      </x:c>
      <x:c r="P160" s="24" t="str">
        <x:v>exact_sea_around_us</x:v>
      </x:c>
      <x:c r="Q160" s="32" t="str">
        <x:v>Sea Around Us exploited organisms</x:v>
      </x:c>
      <x:c r="R160" s="24" t="str">
        <x:v>high</x:v>
      </x:c>
      <x:c r="S160" s="24" t="str">
        <x:v>Centrolophidae</x:v>
      </x:c>
      <x:c r="T160" s="32" t="n">
        <x:f>IF(O160="","",(1/'Metadata'!$B$5)^(O160-1))</x:f>
        <x:v>446.683592150963</x:v>
      </x:c>
      <x:c r="U160" s="31" t="n">
        <x:f>IF(T160="","",I160*T160)</x:f>
        <x:v>3893.5626193596663</x:v>
      </x:c>
    </x:row>
    <x:row r="161" ht="18" customHeight="1">
      <x:c r="A161" s="24" t="str">
        <x:v>LME_006</x:v>
      </x:c>
      <x:c r="B161" s="24" t="str">
        <x:v>Southeast U.S. Continental Shelf</x:v>
      </x:c>
      <x:c r="C161" s="24" t="str">
        <x:v>LME</x:v>
      </x:c>
      <x:c r="D161" s="30" t="n">
        <x:v>2019</x:v>
      </x:c>
      <x:c r="E161" s="24" t="str">
        <x:v>Bivalvia</x:v>
      </x:c>
      <x:c r="F161" s="24" t="str">
        <x:v>Clams</x:v>
      </x:c>
      <x:c r="G161" s="24" t="str">
        <x:v>Other demersal invertebrates</x:v>
      </x:c>
      <x:c r="H161" s="24" t="str">
        <x:v>Molluscs</x:v>
      </x:c>
      <x:c r="I161" s="31" t="n">
        <x:v>8.5548261312</x:v>
      </x:c>
      <x:c r="J161" s="31" t="n">
        <x:v>1.6044935943</x:v>
      </x:c>
      <x:c r="K161" s="31" t="n">
        <x:v>6.9503325369</x:v>
      </x:c>
      <x:c r="L161" s="31" t="n">
        <x:v>0</x:v>
      </x:c>
      <x:c r="M161" s="31" t="n">
        <x:v>8.5548261312</x:v>
      </x:c>
      <x:c r="N161" s="24" t="str">
        <x:v>bivalvia</x:v>
      </x:c>
      <x:c r="O161" s="32" t="n">
        <x:v>2.23</x:v>
      </x:c>
      <x:c r="P161" s="24" t="str">
        <x:v>exact_sea_around_us</x:v>
      </x:c>
      <x:c r="Q161" s="32" t="str">
        <x:v>Sea Around Us exploited organisms</x:v>
      </x:c>
      <x:c r="R161" s="24" t="str">
        <x:v>high</x:v>
      </x:c>
      <x:c r="S161" s="24" t="str">
        <x:v>Bivalvia</x:v>
      </x:c>
      <x:c r="T161" s="32" t="n">
        <x:f>IF(O161="","",(1/'Metadata'!$B$5)^(O161-1))</x:f>
        <x:v>16.982436524617444</x:v>
      </x:c>
      <x:c r="U161" s="31" t="n">
        <x:f>IF(T161="","",I161*T161)</x:f>
        <x:v>145.28179175224264</x:v>
      </x:c>
    </x:row>
    <x:row r="162" ht="18" customHeight="1">
      <x:c r="A162" s="24" t="str">
        <x:v>LME_006</x:v>
      </x:c>
      <x:c r="B162" s="24" t="str">
        <x:v>Southeast U.S. Continental Shelf</x:v>
      </x:c>
      <x:c r="C162" s="24" t="str">
        <x:v>LME</x:v>
      </x:c>
      <x:c r="D162" s="30" t="n">
        <x:v>2019</x:v>
      </x:c>
      <x:c r="E162" s="24" t="str">
        <x:v>Anomura</x:v>
      </x:c>
      <x:c r="F162" s="24" t="str">
        <x:v>Craylets, squat lobsters, hermits</x:v>
      </x:c>
      <x:c r="G162" s="24" t="str">
        <x:v>Lobsters, crabs</x:v>
      </x:c>
      <x:c r="H162" s="24" t="str">
        <x:v>Crustaceans</x:v>
      </x:c>
      <x:c r="I162" s="31" t="n">
        <x:v>8.1394389302</x:v>
      </x:c>
      <x:c r="J162" s="31" t="n">
        <x:v>8.1394389302</x:v>
      </x:c>
      <x:c r="K162" s="31" t="n">
        <x:v>0</x:v>
      </x:c>
      <x:c r="L162" s="31" t="n">
        <x:v>8.1394389302</x:v>
      </x:c>
      <x:c r="M162" s="31" t="n">
        <x:v>0</x:v>
      </x:c>
      <x:c r="N162" s="24" t="str">
        <x:v>anomura</x:v>
      </x:c>
      <x:c r="O162" s="32" t="n">
        <x:v>3.1</x:v>
      </x:c>
      <x:c r="P162" s="24" t="str">
        <x:v>exact_sea_around_us</x:v>
      </x:c>
      <x:c r="Q162" s="32" t="str">
        <x:v>Sea Around Us exploited organisms</x:v>
      </x:c>
      <x:c r="R162" s="24" t="str">
        <x:v>high</x:v>
      </x:c>
      <x:c r="S162" s="24" t="str">
        <x:v>Anomura</x:v>
      </x:c>
      <x:c r="T162" s="32" t="n">
        <x:f>IF(O162="","",(1/'Metadata'!$B$5)^(O162-1))</x:f>
        <x:v>125.89254117941675</x:v>
      </x:c>
      <x:c r="U162" s="31" t="n">
        <x:f>IF(T162="","",I162*T162)</x:f>
        <x:v>1024.6946506975514</x:v>
      </x:c>
    </x:row>
    <x:row r="163" ht="18" customHeight="1">
      <x:c r="A163" s="24" t="str">
        <x:v>LME_006</x:v>
      </x:c>
      <x:c r="B163" s="24" t="str">
        <x:v>Southeast U.S. Continental Shelf</x:v>
      </x:c>
      <x:c r="C163" s="24" t="str">
        <x:v>LME</x:v>
      </x:c>
      <x:c r="D163" s="30" t="n">
        <x:v>2019</x:v>
      </x:c>
      <x:c r="E163" s="24" t="str">
        <x:v>Caranx bartholomaei</x:v>
      </x:c>
      <x:c r="F163" s="24" t="str">
        <x:v>Yellow jack</x:v>
      </x:c>
      <x:c r="G163" s="24" t="str">
        <x:v>Medium reef assoc. fish (30 - 89 cm)</x:v>
      </x:c>
      <x:c r="H163" s="24" t="str">
        <x:v>Perch-likes</x:v>
      </x:c>
      <x:c r="I163" s="31" t="n">
        <x:v>8.1112151565</x:v>
      </x:c>
      <x:c r="J163" s="31" t="n">
        <x:v>8.1112151565</x:v>
      </x:c>
      <x:c r="K163" s="31" t="n">
        <x:v>0</x:v>
      </x:c>
      <x:c r="L163" s="31" t="n">
        <x:v>0.5420015978</x:v>
      </x:c>
      <x:c r="M163" s="31" t="n">
        <x:v>7.5692135587</x:v>
      </x:c>
      <x:c r="N163" s="24" t="str">
        <x:v>caranx bartholomaei</x:v>
      </x:c>
      <x:c r="O163" s="32" t="n">
        <x:v>4.5</x:v>
      </x:c>
      <x:c r="P163" s="24" t="str">
        <x:v>exact_sea_around_us</x:v>
      </x:c>
      <x:c r="Q163" s="32" t="str">
        <x:v>Sea Around Us exploited organisms</x:v>
      </x:c>
      <x:c r="R163" s="24" t="str">
        <x:v>high</x:v>
      </x:c>
      <x:c r="S163" s="24" t="str">
        <x:v>Caranx bartholomaei</x:v>
      </x:c>
      <x:c r="T163" s="32" t="n">
        <x:f>IF(O163="","",(1/'Metadata'!$B$5)^(O163-1))</x:f>
        <x:v>3162.2776601683795</x:v>
      </x:c>
      <x:c r="U163" s="31" t="n">
        <x:f>IF(T163="","",I163*T163)</x:f>
        <x:v>25649.914486219117</x:v>
      </x:c>
    </x:row>
    <x:row r="164" ht="18" customHeight="1">
      <x:c r="A164" s="24" t="str">
        <x:v>LME_006</x:v>
      </x:c>
      <x:c r="B164" s="24" t="str">
        <x:v>Southeast U.S. Continental Shelf</x:v>
      </x:c>
      <x:c r="C164" s="24" t="str">
        <x:v>LME</x:v>
      </x:c>
      <x:c r="D164" s="30" t="n">
        <x:v>2019</x:v>
      </x:c>
      <x:c r="E164" s="24" t="str">
        <x:v>Carcharhinus leucas</x:v>
      </x:c>
      <x:c r="F164" s="24" t="str">
        <x:v>Bull shark</x:v>
      </x:c>
      <x:c r="G164" s="24" t="str">
        <x:v>Large sharks (&gt;=90 cm)</x:v>
      </x:c>
      <x:c r="H164" s="24" t="str">
        <x:v>Sharks &amp; rays</x:v>
      </x:c>
      <x:c r="I164" s="31" t="n">
        <x:v>7.5122444202</x:v>
      </x:c>
      <x:c r="J164" s="31" t="n">
        <x:v>7.5122444202</x:v>
      </x:c>
      <x:c r="K164" s="31" t="n">
        <x:v>0</x:v>
      </x:c>
      <x:c r="L164" s="31" t="n">
        <x:v>7.1031390532000005</x:v>
      </x:c>
      <x:c r="M164" s="31" t="n">
        <x:v>0.40910536700000005</x:v>
      </x:c>
      <x:c r="N164" s="24" t="str">
        <x:v>carcharhinus leucas</x:v>
      </x:c>
      <x:c r="O164" s="32" t="n">
        <x:v>4.31</x:v>
      </x:c>
      <x:c r="P164" s="24" t="str">
        <x:v>exact_2020_supplement</x:v>
      </x:c>
      <x:c r="Q164" s="32" t="str">
        <x:v>2020 supplement MeanTL</x:v>
      </x:c>
      <x:c r="R164" s="24" t="str">
        <x:v>high</x:v>
      </x:c>
      <x:c r="S164" s="24" t="str">
        <x:v>Carcharhinus leucas</x:v>
      </x:c>
      <x:c r="T164" s="32" t="n">
        <x:f>IF(O164="","",(1/'Metadata'!$B$5)^(O164-1))</x:f>
        <x:v>2041.7379446695275</x:v>
      </x:c>
      <x:c r="U164" s="31" t="n">
        <x:f>IF(T164="","",I164*T164)</x:f>
        <x:v>15338.034482354275</x:v>
      </x:c>
    </x:row>
    <x:row r="165" ht="18" customHeight="1">
      <x:c r="A165" s="24" t="str">
        <x:v>LME_006</x:v>
      </x:c>
      <x:c r="B165" s="24" t="str">
        <x:v>Southeast U.S. Continental Shelf</x:v>
      </x:c>
      <x:c r="C165" s="24" t="str">
        <x:v>LME</x:v>
      </x:c>
      <x:c r="D165" s="30" t="n">
        <x:v>2019</x:v>
      </x:c>
      <x:c r="E165" s="24" t="str">
        <x:v>Myliobatidae</x:v>
      </x:c>
      <x:c r="F165" s="24" t="str">
        <x:v>Eagle/manta rays</x:v>
      </x:c>
      <x:c r="G165" s="24" t="str">
        <x:v>Large rays (&gt;=90 cm)</x:v>
      </x:c>
      <x:c r="H165" s="24" t="str">
        <x:v>Sharks &amp; rays</x:v>
      </x:c>
      <x:c r="I165" s="31" t="n">
        <x:v>7.199703904</x:v>
      </x:c>
      <x:c r="J165" s="31" t="n">
        <x:v>0</x:v>
      </x:c>
      <x:c r="K165" s="31" t="n">
        <x:v>7.199703904</x:v>
      </x:c>
      <x:c r="L165" s="31" t="n">
        <x:v>0</x:v>
      </x:c>
      <x:c r="M165" s="31" t="n">
        <x:v>7.199703904</x:v>
      </x:c>
      <x:c r="N165" s="24" t="str">
        <x:v>myliobatidae</x:v>
      </x:c>
      <x:c r="O165" s="32" t="n">
        <x:v>3.36</x:v>
      </x:c>
      <x:c r="P165" s="24" t="str">
        <x:v>exact_sea_around_us</x:v>
      </x:c>
      <x:c r="Q165" s="32" t="str">
        <x:v>Sea Around Us exploited organisms</x:v>
      </x:c>
      <x:c r="R165" s="24" t="str">
        <x:v>high</x:v>
      </x:c>
      <x:c r="S165" s="24" t="str">
        <x:v>Myliobatidae</x:v>
      </x:c>
      <x:c r="T165" s="32" t="n">
        <x:f>IF(O165="","",(1/'Metadata'!$B$5)^(O165-1))</x:f>
        <x:v>229.08676527677724</x:v>
      </x:c>
      <x:c r="U165" s="31" t="n">
        <x:f>IF(T165="","",I165*T165)</x:f>
        <x:v>1649.3568783179446</x:v>
      </x:c>
    </x:row>
    <x:row r="166" ht="18" customHeight="1">
      <x:c r="A166" s="24" t="str">
        <x:v>LME_006</x:v>
      </x:c>
      <x:c r="B166" s="24" t="str">
        <x:v>Southeast U.S. Continental Shelf</x:v>
      </x:c>
      <x:c r="C166" s="24" t="str">
        <x:v>LME</x:v>
      </x:c>
      <x:c r="D166" s="30" t="n">
        <x:v>2019</x:v>
      </x:c>
      <x:c r="E166" s="24" t="str">
        <x:v>Caranx ruber</x:v>
      </x:c>
      <x:c r="F166" s="24" t="str">
        <x:v>Bar jack</x:v>
      </x:c>
      <x:c r="G166" s="24" t="str">
        <x:v>Medium reef assoc. fish (30 - 89 cm)</x:v>
      </x:c>
      <x:c r="H166" s="24" t="str">
        <x:v>Perch-likes</x:v>
      </x:c>
      <x:c r="I166" s="31" t="n">
        <x:v>6.9811246423</x:v>
      </x:c>
      <x:c r="J166" s="31" t="n">
        <x:v>6.9811246423</x:v>
      </x:c>
      <x:c r="K166" s="31" t="n">
        <x:v>0</x:v>
      </x:c>
      <x:c r="L166" s="31" t="n">
        <x:v>0.20448181</x:v>
      </x:c>
      <x:c r="M166" s="31" t="n">
        <x:v>6.7766428323</x:v>
      </x:c>
      <x:c r="N166" s="24" t="str">
        <x:v>caranx ruber</x:v>
      </x:c>
      <x:c r="O166" s="32" t="n">
        <x:v>4.28</x:v>
      </x:c>
      <x:c r="P166" s="24" t="str">
        <x:v>exact_2020_supplement</x:v>
      </x:c>
      <x:c r="Q166" s="32" t="str">
        <x:v>2020 supplement MeanTL</x:v>
      </x:c>
      <x:c r="R166" s="24" t="str">
        <x:v>high</x:v>
      </x:c>
      <x:c r="S166" s="24" t="str">
        <x:v>Caranx ruber</x:v>
      </x:c>
      <x:c r="T166" s="32" t="n">
        <x:f>IF(O166="","",(1/'Metadata'!$B$5)^(O166-1))</x:f>
        <x:v>1905.4607179632483</x:v>
      </x:c>
      <x:c r="U166" s="31" t="n">
        <x:f>IF(T166="","",I166*T166)</x:f>
        <x:v>13302.258773107884</x:v>
      </x:c>
    </x:row>
    <x:row r="167" ht="18" customHeight="1">
      <x:c r="A167" s="24" t="str">
        <x:v>LME_006</x:v>
      </x:c>
      <x:c r="B167" s="24" t="str">
        <x:v>Southeast U.S. Continental Shelf</x:v>
      </x:c>
      <x:c r="C167" s="24" t="str">
        <x:v>LME</x:v>
      </x:c>
      <x:c r="D167" s="30" t="n">
        <x:v>2019</x:v>
      </x:c>
      <x:c r="E167" s="24" t="str">
        <x:v>Lepidocybium flavobrunneum</x:v>
      </x:c>
      <x:c r="F167" s="24" t="str">
        <x:v>Escolar</x:v>
      </x:c>
      <x:c r="G167" s="24" t="str">
        <x:v>Large bathypelagics (&gt;=90 cm)</x:v>
      </x:c>
      <x:c r="H167" s="24" t="str">
        <x:v>Perch-likes</x:v>
      </x:c>
      <x:c r="I167" s="31" t="n">
        <x:v>6.0252607273</x:v>
      </x:c>
      <x:c r="J167" s="31" t="n">
        <x:v>6.0252607273</x:v>
      </x:c>
      <x:c r="K167" s="31" t="n">
        <x:v>0</x:v>
      </x:c>
      <x:c r="L167" s="31" t="n">
        <x:v>6.0160336637</x:v>
      </x:c>
      <x:c r="M167" s="31" t="n">
        <x:v>0.0092270636</x:v>
      </x:c>
      <x:c r="N167" s="24" t="str">
        <x:v>lepidocybium flavobrunneum</x:v>
      </x:c>
      <x:c r="O167" s="32" t="n">
        <x:v>4.34</x:v>
      </x:c>
      <x:c r="P167" s="24" t="str">
        <x:v>exact_2020_supplement</x:v>
      </x:c>
      <x:c r="Q167" s="32" t="str">
        <x:v>2020 supplement MeanTL</x:v>
      </x:c>
      <x:c r="R167" s="24" t="str">
        <x:v>high</x:v>
      </x:c>
      <x:c r="S167" s="24" t="str">
        <x:v>Lepidocybium flavobrunneum</x:v>
      </x:c>
      <x:c r="T167" s="32" t="n">
        <x:f>IF(O167="","",(1/'Metadata'!$B$5)^(O167-1))</x:f>
        <x:v>2187.761623949552</x:v>
      </x:c>
      <x:c r="U167" s="31" t="n">
        <x:f>IF(T167="","",I167*T167)</x:f>
        <x:v>13181.834193477307</x:v>
      </x:c>
    </x:row>
    <x:row r="168" ht="18" customHeight="1">
      <x:c r="A168" s="24" t="str">
        <x:v>LME_006</x:v>
      </x:c>
      <x:c r="B168" s="24" t="str">
        <x:v>Southeast U.S. Continental Shelf</x:v>
      </x:c>
      <x:c r="C168" s="24" t="str">
        <x:v>LME</x:v>
      </x:c>
      <x:c r="D168" s="30" t="n">
        <x:v>2019</x:v>
      </x:c>
      <x:c r="E168" s="24" t="str">
        <x:v>Actinopterygii</x:v>
      </x:c>
      <x:c r="F168" s="24" t="str">
        <x:v>Ray-finned fishes</x:v>
      </x:c>
      <x:c r="G168" s="24" t="str">
        <x:v>Medium demersals (30 - 89 cm)</x:v>
      </x:c>
      <x:c r="H168" s="24" t="str">
        <x:v>Other fishes &amp; inverts</x:v>
      </x:c>
      <x:c r="I168" s="31" t="n">
        <x:v>5.972669354</x:v>
      </x:c>
      <x:c r="J168" s="31" t="n">
        <x:v>5.972669354</x:v>
      </x:c>
      <x:c r="K168" s="31" t="n">
        <x:v>0</x:v>
      </x:c>
      <x:c r="L168" s="31" t="n">
        <x:v>5.972669354</x:v>
      </x:c>
      <x:c r="M168" s="31" t="n">
        <x:v>0</x:v>
      </x:c>
      <x:c r="N168" s="24" t="str">
        <x:v>actinopterygii</x:v>
      </x:c>
      <x:c r="O168" s="32" t="n">
        <x:v>3.79</x:v>
      </x:c>
      <x:c r="P168" s="24" t="str">
        <x:v>exact_sea_around_us</x:v>
      </x:c>
      <x:c r="Q168" s="32" t="str">
        <x:v>Sea Around Us exploited organisms</x:v>
      </x:c>
      <x:c r="R168" s="24" t="str">
        <x:v>high</x:v>
      </x:c>
      <x:c r="S168" s="24" t="str">
        <x:v>Actinopterygii</x:v>
      </x:c>
      <x:c r="T168" s="32" t="n">
        <x:f>IF(O168="","",(1/'Metadata'!$B$5)^(O168-1))</x:f>
        <x:v>616.5950018614822</x:v>
      </x:c>
      <x:c r="U168" s="31" t="n">
        <x:f>IF(T168="","",I168*T168)</x:f>
        <x:v>3682.718071447647</x:v>
      </x:c>
    </x:row>
    <x:row r="169" ht="18" customHeight="1">
      <x:c r="A169" s="24" t="str">
        <x:v>LME_006</x:v>
      </x:c>
      <x:c r="B169" s="24" t="str">
        <x:v>Southeast U.S. Continental Shelf</x:v>
      </x:c>
      <x:c r="C169" s="24" t="str">
        <x:v>LME</x:v>
      </x:c>
      <x:c r="D169" s="30" t="n">
        <x:v>2019</x:v>
      </x:c>
      <x:c r="E169" s="24" t="str">
        <x:v>Dasyatis</x:v>
      </x:c>
      <x:c r="F169" s="24" t="str">
        <x:v>Rough whip stingrays</x:v>
      </x:c>
      <x:c r="G169" s="24" t="str">
        <x:v>Large rays (&gt;=90 cm)</x:v>
      </x:c>
      <x:c r="H169" s="24" t="str">
        <x:v>Sharks &amp; rays</x:v>
      </x:c>
      <x:c r="I169" s="31" t="n">
        <x:v>5.7942673089</x:v>
      </x:c>
      <x:c r="J169" s="31" t="n">
        <x:v>0</x:v>
      </x:c>
      <x:c r="K169" s="31" t="n">
        <x:v>5.7942673089</x:v>
      </x:c>
      <x:c r="L169" s="31" t="n">
        <x:v>0</x:v>
      </x:c>
      <x:c r="M169" s="31" t="n">
        <x:v>5.7942673089</x:v>
      </x:c>
      <x:c r="N169" s="24" t="str">
        <x:v>dasyatis</x:v>
      </x:c>
      <x:c r="O169" s="32" t="n">
        <x:v>3.28</x:v>
      </x:c>
      <x:c r="P169" s="24" t="str">
        <x:v>exact_sea_around_us</x:v>
      </x:c>
      <x:c r="Q169" s="32" t="str">
        <x:v>Sea Around Us exploited organisms</x:v>
      </x:c>
      <x:c r="R169" s="24" t="str">
        <x:v>high</x:v>
      </x:c>
      <x:c r="S169" s="24" t="str">
        <x:v>Dasyatis</x:v>
      </x:c>
      <x:c r="T169" s="32" t="n">
        <x:f>IF(O169="","",(1/'Metadata'!$B$5)^(O169-1))</x:f>
        <x:v>190.54607179632464</x:v>
      </x:c>
      <x:c r="U169" s="31" t="n">
        <x:f>IF(T169="","",I169*T169)</x:f>
        <x:v>1104.0748746487561</x:v>
      </x:c>
    </x:row>
    <x:row r="170" ht="18" customHeight="1">
      <x:c r="A170" s="24" t="str">
        <x:v>LME_006</x:v>
      </x:c>
      <x:c r="B170" s="24" t="str">
        <x:v>Southeast U.S. Continental Shelf</x:v>
      </x:c>
      <x:c r="C170" s="24" t="str">
        <x:v>LME</x:v>
      </x:c>
      <x:c r="D170" s="30" t="n">
        <x:v>2019</x:v>
      </x:c>
      <x:c r="E170" s="24" t="str">
        <x:v>Elasmobranchii</x:v>
      </x:c>
      <x:c r="F170" s="24" t="str">
        <x:v>Sharks, rays, skates</x:v>
      </x:c>
      <x:c r="G170" s="24" t="str">
        <x:v>Large sharks (&gt;=90 cm)</x:v>
      </x:c>
      <x:c r="H170" s="24" t="str">
        <x:v>Sharks &amp; rays</x:v>
      </x:c>
      <x:c r="I170" s="31" t="n">
        <x:v>5.4829659202</x:v>
      </x:c>
      <x:c r="J170" s="31" t="n">
        <x:v>1.2857312925</x:v>
      </x:c>
      <x:c r="K170" s="31" t="n">
        <x:v>4.1972346277</x:v>
      </x:c>
      <x:c r="L170" s="31" t="n">
        <x:v>0.0755574245</x:v>
      </x:c>
      <x:c r="M170" s="31" t="n">
        <x:v>5.4074084956999995</x:v>
      </x:c>
      <x:c r="N170" s="24" t="str">
        <x:v>elasmobranchii</x:v>
      </x:c>
      <x:c r="O170" s="32" t="n">
        <x:v>4.05</x:v>
      </x:c>
      <x:c r="P170" s="24" t="str">
        <x:v>exact_sea_around_us</x:v>
      </x:c>
      <x:c r="Q170" s="32" t="str">
        <x:v>Sea Around Us exploited organisms</x:v>
      </x:c>
      <x:c r="R170" s="24" t="str">
        <x:v>high</x:v>
      </x:c>
      <x:c r="S170" s="24" t="str">
        <x:v>Elasmobranchii</x:v>
      </x:c>
      <x:c r="T170" s="32" t="n">
        <x:f>IF(O170="","",(1/'Metadata'!$B$5)^(O170-1))</x:f>
        <x:v>1122.018454301963</x:v>
      </x:c>
      <x:c r="U170" s="31" t="n">
        <x:f>IF(T170="","",I170*T170)</x:f>
        <x:v>6151.988946773144</x:v>
      </x:c>
    </x:row>
    <x:row r="171" ht="18" customHeight="1">
      <x:c r="A171" s="24" t="str">
        <x:v>LME_006</x:v>
      </x:c>
      <x:c r="B171" s="24" t="str">
        <x:v>Southeast U.S. Continental Shelf</x:v>
      </x:c>
      <x:c r="C171" s="24" t="str">
        <x:v>LME</x:v>
      </x:c>
      <x:c r="D171" s="30" t="n">
        <x:v>2019</x:v>
      </x:c>
      <x:c r="E171" s="24" t="str">
        <x:v>Carcharhinus</x:v>
      </x:c>
      <x:c r="F171" s="24" t="str">
        <x:v>Sharp-nosed sharks</x:v>
      </x:c>
      <x:c r="G171" s="24" t="str">
        <x:v>Large sharks (&gt;=90 cm)</x:v>
      </x:c>
      <x:c r="H171" s="24" t="str">
        <x:v>Sharks &amp; rays</x:v>
      </x:c>
      <x:c r="I171" s="31" t="n">
        <x:v>5.3187110864</x:v>
      </x:c>
      <x:c r="J171" s="31" t="n">
        <x:v>5.3187110864</x:v>
      </x:c>
      <x:c r="K171" s="31" t="n">
        <x:v>0</x:v>
      </x:c>
      <x:c r="L171" s="31" t="n">
        <x:v>4.5286352999999995</x:v>
      </x:c>
      <x:c r="M171" s="31" t="n">
        <x:v>0.7900757864</x:v>
      </x:c>
      <x:c r="N171" s="24" t="str">
        <x:v>carcharhinus</x:v>
      </x:c>
      <x:c r="O171" s="32" t="n">
        <x:v>4.26</x:v>
      </x:c>
      <x:c r="P171" s="24" t="str">
        <x:v>exact_sea_around_us</x:v>
      </x:c>
      <x:c r="Q171" s="32" t="str">
        <x:v>Sea Around Us exploited organisms</x:v>
      </x:c>
      <x:c r="R171" s="24" t="str">
        <x:v>high</x:v>
      </x:c>
      <x:c r="S171" s="24" t="str">
        <x:v>Carcharhinus</x:v>
      </x:c>
      <x:c r="T171" s="32" t="n">
        <x:f>IF(O171="","",(1/'Metadata'!$B$5)^(O171-1))</x:f>
        <x:v>1819.7008586099826</x:v>
      </x:c>
      <x:c r="U171" s="31" t="n">
        <x:f>IF(T171="","",I171*T171)</x:f>
        <x:v>9678.463130620512</x:v>
      </x:c>
    </x:row>
    <x:row r="172" ht="18" customHeight="1">
      <x:c r="A172" s="24" t="str">
        <x:v>LME_006</x:v>
      </x:c>
      <x:c r="B172" s="24" t="str">
        <x:v>Southeast U.S. Continental Shelf</x:v>
      </x:c>
      <x:c r="C172" s="24" t="str">
        <x:v>LME</x:v>
      </x:c>
      <x:c r="D172" s="30" t="n">
        <x:v>2019</x:v>
      </x:c>
      <x:c r="E172" s="24" t="str">
        <x:v>Scombridae</x:v>
      </x:c>
      <x:c r="F172" s="24" t="str">
        <x:v>Mackerels, tunas, bonitos</x:v>
      </x:c>
      <x:c r="G172" s="24" t="str">
        <x:v>Medium pelagics (30 - 89 cm)</x:v>
      </x:c>
      <x:c r="H172" s="24" t="str">
        <x:v>Perch-likes</x:v>
      </x:c>
      <x:c r="I172" s="31" t="n">
        <x:v>4.9170106508</x:v>
      </x:c>
      <x:c r="J172" s="31" t="n">
        <x:v>4.9170106508</x:v>
      </x:c>
      <x:c r="K172" s="31" t="n">
        <x:v>0</x:v>
      </x:c>
      <x:c r="L172" s="31" t="n">
        <x:v>0</x:v>
      </x:c>
      <x:c r="M172" s="31" t="n">
        <x:v>4.9170106508</x:v>
      </x:c>
      <x:c r="N172" s="24" t="str">
        <x:v>scombridae</x:v>
      </x:c>
      <x:c r="O172" s="32" t="n">
        <x:v>4.26</x:v>
      </x:c>
      <x:c r="P172" s="24" t="str">
        <x:v>exact_sea_around_us</x:v>
      </x:c>
      <x:c r="Q172" s="32" t="str">
        <x:v>Sea Around Us exploited organisms</x:v>
      </x:c>
      <x:c r="R172" s="24" t="str">
        <x:v>high</x:v>
      </x:c>
      <x:c r="S172" s="24" t="str">
        <x:v>Scombridae</x:v>
      </x:c>
      <x:c r="T172" s="32" t="n">
        <x:f>IF(O172="","",(1/'Metadata'!$B$5)^(O172-1))</x:f>
        <x:v>1819.7008586099826</x:v>
      </x:c>
      <x:c r="U172" s="31" t="n">
        <x:f>IF(T172="","",I172*T172)</x:f>
        <x:v>8947.488503055189</x:v>
      </x:c>
    </x:row>
    <x:row r="173" ht="18" customHeight="1">
      <x:c r="A173" s="24" t="str">
        <x:v>LME_006</x:v>
      </x:c>
      <x:c r="B173" s="24" t="str">
        <x:v>Southeast U.S. Continental Shelf</x:v>
      </x:c>
      <x:c r="C173" s="24" t="str">
        <x:v>LME</x:v>
      </x:c>
      <x:c r="D173" s="30" t="n">
        <x:v>2019</x:v>
      </x:c>
      <x:c r="E173" s="24" t="str">
        <x:v>Anchoa hepsetus</x:v>
      </x:c>
      <x:c r="F173" s="24" t="str">
        <x:v>Broad-striped anchovy</x:v>
      </x:c>
      <x:c r="G173" s="24" t="str">
        <x:v>Small pelagics (&lt;30 cm)</x:v>
      </x:c>
      <x:c r="H173" s="24" t="str">
        <x:v>Anchovies</x:v>
      </x:c>
      <x:c r="I173" s="31" t="n">
        <x:v>4.8999111267</x:v>
      </x:c>
      <x:c r="J173" s="31" t="n">
        <x:v>0</x:v>
      </x:c>
      <x:c r="K173" s="31" t="n">
        <x:v>4.8999111267</x:v>
      </x:c>
      <x:c r="L173" s="31" t="n">
        <x:v>0</x:v>
      </x:c>
      <x:c r="M173" s="31" t="n">
        <x:v>4.8999111267</x:v>
      </x:c>
      <x:c r="N173" s="24" t="str">
        <x:v>anchoa hepsetus</x:v>
      </x:c>
      <x:c r="O173" s="32" t="n">
        <x:v>3.34</x:v>
      </x:c>
      <x:c r="P173" s="24" t="str">
        <x:v>exact_2020_supplement</x:v>
      </x:c>
      <x:c r="Q173" s="32" t="str">
        <x:v>2020 supplement MeanTL</x:v>
      </x:c>
      <x:c r="R173" s="24" t="str">
        <x:v>high</x:v>
      </x:c>
      <x:c r="S173" s="24" t="str">
        <x:v>Anchoa hepsetus</x:v>
      </x:c>
      <x:c r="T173" s="32" t="n">
        <x:f>IF(O173="","",(1/'Metadata'!$B$5)^(O173-1))</x:f>
        <x:v>218.77616239495518</x:v>
      </x:c>
      <x:c r="U173" s="31" t="n">
        <x:f>IF(T173="","",I173*T173)</x:f>
        <x:v>1071.9837523757672</x:v>
      </x:c>
    </x:row>
    <x:row r="174" ht="18" customHeight="1">
      <x:c r="A174" s="24" t="str">
        <x:v>LME_006</x:v>
      </x:c>
      <x:c r="B174" s="24" t="str">
        <x:v>Southeast U.S. Continental Shelf</x:v>
      </x:c>
      <x:c r="C174" s="24" t="str">
        <x:v>LME</x:v>
      </x:c>
      <x:c r="D174" s="30" t="n">
        <x:v>2019</x:v>
      </x:c>
      <x:c r="E174" s="24" t="str">
        <x:v>Haemulon album</x:v>
      </x:c>
      <x:c r="F174" s="24" t="str">
        <x:v>White margate</x:v>
      </x:c>
      <x:c r="G174" s="24" t="str">
        <x:v>Medium reef assoc. fish (30 - 89 cm)</x:v>
      </x:c>
      <x:c r="H174" s="24" t="str">
        <x:v>Perch-likes</x:v>
      </x:c>
      <x:c r="I174" s="31" t="n">
        <x:v>4.858720418</x:v>
      </x:c>
      <x:c r="J174" s="31" t="n">
        <x:v>4.858720418</x:v>
      </x:c>
      <x:c r="K174" s="31" t="n">
        <x:v>0</x:v>
      </x:c>
      <x:c r="L174" s="31" t="n">
        <x:v>3.8450091323999995</x:v>
      </x:c>
      <x:c r="M174" s="31" t="n">
        <x:v>1.0137112856</x:v>
      </x:c>
      <x:c r="N174" s="24" t="str">
        <x:v>haemulon album</x:v>
      </x:c>
      <x:c r="O174" s="32" t="n">
        <x:v>3.32</x:v>
      </x:c>
      <x:c r="P174" s="24" t="str">
        <x:v>exact_2020_supplement</x:v>
      </x:c>
      <x:c r="Q174" s="32" t="str">
        <x:v>2020 supplement MeanTL</x:v>
      </x:c>
      <x:c r="R174" s="24" t="str">
        <x:v>high</x:v>
      </x:c>
      <x:c r="S174" s="24" t="str">
        <x:v>Haemulon album</x:v>
      </x:c>
      <x:c r="T174" s="32" t="n">
        <x:f>IF(O174="","",(1/'Metadata'!$B$5)^(O174-1))</x:f>
        <x:v>208.92961308540387</x:v>
      </x:c>
      <x:c r="U174" s="31" t="n">
        <x:f>IF(T174="","",I174*T174)</x:f>
        <x:v>1015.1305770228918</x:v>
      </x:c>
    </x:row>
    <x:row r="175" ht="18" customHeight="1">
      <x:c r="A175" s="24" t="str">
        <x:v>LME_006</x:v>
      </x:c>
      <x:c r="B175" s="24" t="str">
        <x:v>Southeast U.S. Continental Shelf</x:v>
      </x:c>
      <x:c r="C175" s="24" t="str">
        <x:v>LME</x:v>
      </x:c>
      <x:c r="D175" s="30" t="n">
        <x:v>2019</x:v>
      </x:c>
      <x:c r="E175" s="24" t="str">
        <x:v>Lutjanus jocu</x:v>
      </x:c>
      <x:c r="F175" s="24" t="str">
        <x:v>Dog snapper</x:v>
      </x:c>
      <x:c r="G175" s="24" t="str">
        <x:v>Large reef assoc. fish (&gt;=90 cm)</x:v>
      </x:c>
      <x:c r="H175" s="24" t="str">
        <x:v>Perch-likes</x:v>
      </x:c>
      <x:c r="I175" s="31" t="n">
        <x:v>4.3630197974</x:v>
      </x:c>
      <x:c r="J175" s="31" t="n">
        <x:v>4.3630197974</x:v>
      </x:c>
      <x:c r="K175" s="31" t="n">
        <x:v>0</x:v>
      </x:c>
      <x:c r="L175" s="31" t="n">
        <x:v>0</x:v>
      </x:c>
      <x:c r="M175" s="31" t="n">
        <x:v>4.3630197974</x:v>
      </x:c>
      <x:c r="N175" s="24" t="str">
        <x:v>lutjanus jocu</x:v>
      </x:c>
      <x:c r="O175" s="32" t="n">
        <x:v>4.41</x:v>
      </x:c>
      <x:c r="P175" s="24" t="str">
        <x:v>exact_2020_supplement</x:v>
      </x:c>
      <x:c r="Q175" s="32" t="str">
        <x:v>2020 supplement MeanTL</x:v>
      </x:c>
      <x:c r="R175" s="24" t="str">
        <x:v>high</x:v>
      </x:c>
      <x:c r="S175" s="24" t="str">
        <x:v>Lutjanus jocu</x:v>
      </x:c>
      <x:c r="T175" s="32" t="n">
        <x:f>IF(O175="","",(1/'Metadata'!$B$5)^(O175-1))</x:f>
        <x:v>2570.3957827688646</x:v>
      </x:c>
      <x:c r="U175" s="31" t="n">
        <x:f>IF(T175="","",I175*T175)</x:f>
        <x:v>11214.687687374026</x:v>
      </x:c>
    </x:row>
    <x:row r="176" ht="18" customHeight="1">
      <x:c r="A176" s="24" t="str">
        <x:v>LME_006</x:v>
      </x:c>
      <x:c r="B176" s="24" t="str">
        <x:v>Southeast U.S. Continental Shelf</x:v>
      </x:c>
      <x:c r="C176" s="24" t="str">
        <x:v>LME</x:v>
      </x:c>
      <x:c r="D176" s="30" t="n">
        <x:v>2019</x:v>
      </x:c>
      <x:c r="E176" s="24" t="str">
        <x:v>Sphyrna mokarran</x:v>
      </x:c>
      <x:c r="F176" s="24" t="str">
        <x:v>Great hammerhead</x:v>
      </x:c>
      <x:c r="G176" s="24" t="str">
        <x:v>Large sharks (&gt;=90 cm)</x:v>
      </x:c>
      <x:c r="H176" s="24" t="str">
        <x:v>Sharks &amp; rays</x:v>
      </x:c>
      <x:c r="I176" s="31" t="n">
        <x:v>4.2366886505000005</x:v>
      </x:c>
      <x:c r="J176" s="31" t="n">
        <x:v>4.2366886505000005</x:v>
      </x:c>
      <x:c r="K176" s="31" t="n">
        <x:v>0</x:v>
      </x:c>
      <x:c r="L176" s="31" t="n">
        <x:v>4.038929244</x:v>
      </x:c>
      <x:c r="M176" s="31" t="n">
        <x:v>0.19775940649999998</x:v>
      </x:c>
      <x:c r="N176" s="24" t="str">
        <x:v>sphyrna mokarran</x:v>
      </x:c>
      <x:c r="O176" s="32" t="n">
        <x:v>4.32</x:v>
      </x:c>
      <x:c r="P176" s="24" t="str">
        <x:v>exact_2020_supplement</x:v>
      </x:c>
      <x:c r="Q176" s="32" t="str">
        <x:v>2020 supplement MeanTL</x:v>
      </x:c>
      <x:c r="R176" s="24" t="str">
        <x:v>high</x:v>
      </x:c>
      <x:c r="S176" s="24" t="str">
        <x:v>Sphyrna mokarran</x:v>
      </x:c>
      <x:c r="T176" s="32" t="n">
        <x:f>IF(O176="","",(1/'Metadata'!$B$5)^(O176-1))</x:f>
        <x:v>2089.2961308540407</x:v>
      </x:c>
      <x:c r="U176" s="31" t="n">
        <x:f>IF(T176="","",I176*T176)</x:f>
        <x:v>8851.697205122879</x:v>
      </x:c>
    </x:row>
    <x:row r="177" ht="18" customHeight="1">
      <x:c r="A177" s="24" t="str">
        <x:v>LME_006</x:v>
      </x:c>
      <x:c r="B177" s="24" t="str">
        <x:v>Southeast U.S. Continental Shelf</x:v>
      </x:c>
      <x:c r="C177" s="24" t="str">
        <x:v>LME</x:v>
      </x:c>
      <x:c r="D177" s="30" t="n">
        <x:v>2019</x:v>
      </x:c>
      <x:c r="E177" s="24" t="str">
        <x:v>Haemulon</x:v>
      </x:c>
      <x:c r="F177" s="24" t="str">
        <x:v>Grunts</x:v>
      </x:c>
      <x:c r="G177" s="24" t="str">
        <x:v>Small reef assoc. fish (&lt;30 cm)</x:v>
      </x:c>
      <x:c r="H177" s="24" t="str">
        <x:v>Perch-likes</x:v>
      </x:c>
      <x:c r="I177" s="31" t="n">
        <x:v>4.0217402742</x:v>
      </x:c>
      <x:c r="J177" s="31" t="n">
        <x:v>4.0217402742</x:v>
      </x:c>
      <x:c r="K177" s="31" t="n">
        <x:v>0</x:v>
      </x:c>
      <x:c r="L177" s="31" t="n">
        <x:v>1.0441468284</x:v>
      </x:c>
      <x:c r="M177" s="31" t="n">
        <x:v>2.9775934458</x:v>
      </x:c>
      <x:c r="N177" s="24" t="str">
        <x:v>haemulon</x:v>
      </x:c>
      <x:c r="O177" s="32" t="n">
        <x:v>3.25</x:v>
      </x:c>
      <x:c r="P177" s="24" t="str">
        <x:v>exact_sea_around_us</x:v>
      </x:c>
      <x:c r="Q177" s="32" t="str">
        <x:v>Sea Around Us exploited organisms</x:v>
      </x:c>
      <x:c r="R177" s="24" t="str">
        <x:v>high</x:v>
      </x:c>
      <x:c r="S177" s="24" t="str">
        <x:v>Haemulon</x:v>
      </x:c>
      <x:c r="T177" s="32" t="n">
        <x:f>IF(O177="","",(1/'Metadata'!$B$5)^(O177-1))</x:f>
        <x:v>177.82794100389228</x:v>
      </x:c>
      <x:c r="U177" s="31" t="n">
        <x:f>IF(T177="","",I177*T177)</x:f>
        <x:v>715.1777922134152</x:v>
      </x:c>
    </x:row>
    <x:row r="178" ht="18" customHeight="1">
      <x:c r="A178" s="24" t="str">
        <x:v>LME_006</x:v>
      </x:c>
      <x:c r="B178" s="24" t="str">
        <x:v>Southeast U.S. Continental Shelf</x:v>
      </x:c>
      <x:c r="C178" s="24" t="str">
        <x:v>LME</x:v>
      </x:c>
      <x:c r="D178" s="30" t="n">
        <x:v>2019</x:v>
      </x:c>
      <x:c r="E178" s="24" t="str">
        <x:v>Merostomata</x:v>
      </x:c>
      <x:c r="F178" s="24" t="str">
        <x:v>Chelicerates</x:v>
      </x:c>
      <x:c r="G178" s="24" t="str">
        <x:v>Other demersal invertebrates</x:v>
      </x:c>
      <x:c r="H178" s="24" t="str">
        <x:v>Other fishes &amp; inverts</x:v>
      </x:c>
      <x:c r="I178" s="31" t="n">
        <x:v>3.8979070964</x:v>
      </x:c>
      <x:c r="J178" s="31" t="n">
        <x:v>0.8894465304</x:v>
      </x:c>
      <x:c r="K178" s="31" t="n">
        <x:v>3.008460566</x:v>
      </x:c>
      <x:c r="L178" s="31" t="n">
        <x:v>0</x:v>
      </x:c>
      <x:c r="M178" s="31" t="n">
        <x:v>3.8979070964</x:v>
      </x:c>
      <x:c r="N178" s="24" t="str">
        <x:v>merostomata</x:v>
      </x:c>
      <x:c r="O178" s="32" t="n">
        <x:v>2.98</x:v>
      </x:c>
      <x:c r="P178" s="24" t="str">
        <x:v>exact_sea_around_us</x:v>
      </x:c>
      <x:c r="Q178" s="32" t="str">
        <x:v>Sea Around Us exploited organisms</x:v>
      </x:c>
      <x:c r="R178" s="24" t="str">
        <x:v>high</x:v>
      </x:c>
      <x:c r="S178" s="24" t="str">
        <x:v>Merostomata</x:v>
      </x:c>
      <x:c r="T178" s="32" t="n">
        <x:f>IF(O178="","",(1/'Metadata'!$B$5)^(O178-1))</x:f>
        <x:v>95.49925860214358</x:v>
      </x:c>
      <x:c r="U178" s="31" t="n">
        <x:f>IF(T178="","",I178*T178)</x:f>
        <x:v>372.24723780623424</x:v>
      </x:c>
    </x:row>
    <x:row r="179" ht="18" customHeight="1">
      <x:c r="A179" s="24" t="str">
        <x:v>LME_006</x:v>
      </x:c>
      <x:c r="B179" s="24" t="str">
        <x:v>Southeast U.S. Continental Shelf</x:v>
      </x:c>
      <x:c r="C179" s="24" t="str">
        <x:v>LME</x:v>
      </x:c>
      <x:c r="D179" s="30" t="n">
        <x:v>2019</x:v>
      </x:c>
      <x:c r="E179" s="24" t="str">
        <x:v>Makaira nigricans</x:v>
      </x:c>
      <x:c r="F179" s="24" t="str">
        <x:v>Blue marlin</x:v>
      </x:c>
      <x:c r="G179" s="24" t="str">
        <x:v>Large pelagics (&gt;=90 cm)</x:v>
      </x:c>
      <x:c r="H179" s="24" t="str">
        <x:v>Tuna &amp; billfishes</x:v>
      </x:c>
      <x:c r="I179" s="31" t="n">
        <x:v>3.5814569641</x:v>
      </x:c>
      <x:c r="J179" s="31" t="n">
        <x:v>3.5814569641</x:v>
      </x:c>
      <x:c r="K179" s="31" t="n">
        <x:v>0</x:v>
      </x:c>
      <x:c r="L179" s="31" t="n">
        <x:v>0</x:v>
      </x:c>
      <x:c r="M179" s="31" t="n">
        <x:v>3.5814569641</x:v>
      </x:c>
      <x:c r="N179" s="24" t="str">
        <x:v>makaira nigricans</x:v>
      </x:c>
      <x:c r="O179" s="32" t="n">
        <x:v>4.49</x:v>
      </x:c>
      <x:c r="P179" s="24" t="str">
        <x:v>exact_2020_supplement</x:v>
      </x:c>
      <x:c r="Q179" s="32" t="str">
        <x:v>2020 supplement MeanTL</x:v>
      </x:c>
      <x:c r="R179" s="24" t="str">
        <x:v>high</x:v>
      </x:c>
      <x:c r="S179" s="24" t="str">
        <x:v>Makaira nigricans</x:v>
      </x:c>
      <x:c r="T179" s="32" t="n">
        <x:f>IF(O179="","",(1/'Metadata'!$B$5)^(O179-1))</x:f>
        <x:v>3090.295432513592</x:v>
      </x:c>
      <x:c r="U179" s="31" t="n">
        <x:f>IF(T179="","",I179*T179)</x:f>
        <x:v>11067.760097902226</x:v>
      </x:c>
    </x:row>
    <x:row r="180" ht="18" customHeight="1">
      <x:c r="A180" s="24" t="str">
        <x:v>LME_006</x:v>
      </x:c>
      <x:c r="B180" s="24" t="str">
        <x:v>Southeast U.S. Continental Shelf</x:v>
      </x:c>
      <x:c r="C180" s="24" t="str">
        <x:v>LME</x:v>
      </x:c>
      <x:c r="D180" s="30" t="n">
        <x:v>2019</x:v>
      </x:c>
      <x:c r="E180" s="24" t="str">
        <x:v>Anguilla rostrata</x:v>
      </x:c>
      <x:c r="F180" s="24" t="str">
        <x:v>American eel</x:v>
      </x:c>
      <x:c r="G180" s="24" t="str">
        <x:v>Large demersals (&gt;=90 cm)</x:v>
      </x:c>
      <x:c r="H180" s="24" t="str">
        <x:v>Other fishes &amp; inverts</x:v>
      </x:c>
      <x:c r="I180" s="31" t="n">
        <x:v>3.5077615552</x:v>
      </x:c>
      <x:c r="J180" s="31" t="n">
        <x:v>3.5077615552</x:v>
      </x:c>
      <x:c r="K180" s="31" t="n">
        <x:v>0</x:v>
      </x:c>
      <x:c r="L180" s="31" t="n">
        <x:v>3.4003837898</x:v>
      </x:c>
      <x:c r="M180" s="31" t="n">
        <x:v>0.1073777654</x:v>
      </x:c>
      <x:c r="N180" s="24" t="str">
        <x:v>anguilla rostrata</x:v>
      </x:c>
      <x:c r="O180" s="32" t="n">
        <x:v>3.83</x:v>
      </x:c>
      <x:c r="P180" s="24" t="str">
        <x:v>exact_2020_supplement</x:v>
      </x:c>
      <x:c r="Q180" s="32" t="str">
        <x:v>2020 supplement MeanTL</x:v>
      </x:c>
      <x:c r="R180" s="24" t="str">
        <x:v>high</x:v>
      </x:c>
      <x:c r="S180" s="24" t="str">
        <x:v>Anguilla rostrata</x:v>
      </x:c>
      <x:c r="T180" s="32" t="n">
        <x:f>IF(O180="","",(1/'Metadata'!$B$5)^(O180-1))</x:f>
        <x:v>676.0829753919819</x:v>
      </x:c>
      <x:c r="U180" s="31" t="n">
        <x:f>IF(T180="","",I180*T180)</x:f>
        <x:v>2371.537869205222</x:v>
      </x:c>
    </x:row>
    <x:row r="181" ht="18" customHeight="1">
      <x:c r="A181" s="24" t="str">
        <x:v>LME_006</x:v>
      </x:c>
      <x:c r="B181" s="24" t="str">
        <x:v>Southeast U.S. Continental Shelf</x:v>
      </x:c>
      <x:c r="C181" s="24" t="str">
        <x:v>LME</x:v>
      </x:c>
      <x:c r="D181" s="30" t="n">
        <x:v>2019</x:v>
      </x:c>
      <x:c r="E181" s="24" t="str">
        <x:v>Alectis ciliaris</x:v>
      </x:c>
      <x:c r="F181" s="24" t="str">
        <x:v>African pompano</x:v>
      </x:c>
      <x:c r="G181" s="24" t="str">
        <x:v>Large pelagics (&gt;=90 cm)</x:v>
      </x:c>
      <x:c r="H181" s="24" t="str">
        <x:v>Perch-likes</x:v>
      </x:c>
      <x:c r="I181" s="31" t="n">
        <x:v>3.2903647524000004</x:v>
      </x:c>
      <x:c r="J181" s="31" t="n">
        <x:v>3.2903647524000004</x:v>
      </x:c>
      <x:c r="K181" s="31" t="n">
        <x:v>0</x:v>
      </x:c>
      <x:c r="L181" s="31" t="n">
        <x:v>1.9487890586</x:v>
      </x:c>
      <x:c r="M181" s="31" t="n">
        <x:v>1.3415756938</x:v>
      </x:c>
      <x:c r="N181" s="24" t="str">
        <x:v>alectis ciliaris</x:v>
      </x:c>
      <x:c r="O181" s="32" t="n">
        <x:v>3.95</x:v>
      </x:c>
      <x:c r="P181" s="24" t="str">
        <x:v>exact_2020_supplement</x:v>
      </x:c>
      <x:c r="Q181" s="32" t="str">
        <x:v>2020 supplement MeanTL</x:v>
      </x:c>
      <x:c r="R181" s="24" t="str">
        <x:v>high</x:v>
      </x:c>
      <x:c r="S181" s="24" t="str">
        <x:v>Alectis ciliaris</x:v>
      </x:c>
      <x:c r="T181" s="32" t="n">
        <x:f>IF(O181="","",(1/'Metadata'!$B$5)^(O181-1))</x:f>
        <x:v>891.2509381337459</x:v>
      </x:c>
      <x:c r="U181" s="31" t="n">
        <x:f>IF(T181="","",I181*T181)</x:f>
        <x:v>2932.540672378711</x:v>
      </x:c>
    </x:row>
    <x:row r="182" ht="18" customHeight="1">
      <x:c r="A182" s="24" t="str">
        <x:v>LME_006</x:v>
      </x:c>
      <x:c r="B182" s="24" t="str">
        <x:v>Southeast U.S. Continental Shelf</x:v>
      </x:c>
      <x:c r="C182" s="24" t="str">
        <x:v>LME</x:v>
      </x:c>
      <x:c r="D182" s="30" t="n">
        <x:v>2019</x:v>
      </x:c>
      <x:c r="E182" s="24" t="str">
        <x:v>Diplectrum formosum</x:v>
      </x:c>
      <x:c r="F182" s="24" t="str">
        <x:v>Sand perch</x:v>
      </x:c>
      <x:c r="G182" s="24" t="str">
        <x:v>Small demersals (&lt;30 cm)</x:v>
      </x:c>
      <x:c r="H182" s="24" t="str">
        <x:v>Perch-likes</x:v>
      </x:c>
      <x:c r="I182" s="31" t="n">
        <x:v>3.1560096309</x:v>
      </x:c>
      <x:c r="J182" s="31" t="n">
        <x:v>3.1560096309</x:v>
      </x:c>
      <x:c r="K182" s="31" t="n">
        <x:v>0</x:v>
      </x:c>
      <x:c r="L182" s="31" t="n">
        <x:v>0.0427663274</x:v>
      </x:c>
      <x:c r="M182" s="31" t="n">
        <x:v>3.1132433035</x:v>
      </x:c>
      <x:c r="N182" s="24" t="str">
        <x:v>diplectrum formosum</x:v>
      </x:c>
      <x:c r="O182" s="32" t="n">
        <x:v>4.49</x:v>
      </x:c>
      <x:c r="P182" s="24" t="str">
        <x:v>exact_2020_supplement</x:v>
      </x:c>
      <x:c r="Q182" s="32" t="str">
        <x:v>2020 supplement MeanTL</x:v>
      </x:c>
      <x:c r="R182" s="24" t="str">
        <x:v>high</x:v>
      </x:c>
      <x:c r="S182" s="24" t="str">
        <x:v>Diplectrum formosum</x:v>
      </x:c>
      <x:c r="T182" s="32" t="n">
        <x:f>IF(O182="","",(1/'Metadata'!$B$5)^(O182-1))</x:f>
        <x:v>3090.295432513592</x:v>
      </x:c>
      <x:c r="U182" s="31" t="n">
        <x:f>IF(T182="","",I182*T182)</x:f>
        <x:v>9753.002147339177</x:v>
      </x:c>
    </x:row>
    <x:row r="183" ht="18" customHeight="1">
      <x:c r="A183" s="24" t="str">
        <x:v>LME_006</x:v>
      </x:c>
      <x:c r="B183" s="24" t="str">
        <x:v>Southeast U.S. Continental Shelf</x:v>
      </x:c>
      <x:c r="C183" s="24" t="str">
        <x:v>LME</x:v>
      </x:c>
      <x:c r="D183" s="30" t="n">
        <x:v>2019</x:v>
      </x:c>
      <x:c r="E183" s="24" t="str">
        <x:v>Cephalopholis cruentata</x:v>
      </x:c>
      <x:c r="F183" s="24" t="str">
        <x:v>Graysby</x:v>
      </x:c>
      <x:c r="G183" s="24" t="str">
        <x:v>Medium reef assoc. fish (30 - 89 cm)</x:v>
      </x:c>
      <x:c r="H183" s="24" t="str">
        <x:v>Perch-likes</x:v>
      </x:c>
      <x:c r="I183" s="31" t="n">
        <x:v>3.1507214542999997</x:v>
      </x:c>
      <x:c r="J183" s="31" t="n">
        <x:v>3.1507214542999997</x:v>
      </x:c>
      <x:c r="K183" s="31" t="n">
        <x:v>0</x:v>
      </x:c>
      <x:c r="L183" s="31" t="n">
        <x:v>0.1612363439</x:v>
      </x:c>
      <x:c r="M183" s="31" t="n">
        <x:v>2.9894851104</x:v>
      </x:c>
      <x:c r="N183" s="24" t="str">
        <x:v>cephalopholis cruentata</x:v>
      </x:c>
      <x:c r="O183" s="32" t="n">
        <x:v>4.25</x:v>
      </x:c>
      <x:c r="P183" s="24" t="str">
        <x:v>exact_2020_supplement</x:v>
      </x:c>
      <x:c r="Q183" s="32" t="str">
        <x:v>2020 supplement MeanTL</x:v>
      </x:c>
      <x:c r="R183" s="24" t="str">
        <x:v>high</x:v>
      </x:c>
      <x:c r="S183" s="24" t="str">
        <x:v>Cephalopholis cruentata</x:v>
      </x:c>
      <x:c r="T183" s="32" t="n">
        <x:f>IF(O183="","",(1/'Metadata'!$B$5)^(O183-1))</x:f>
        <x:v>1778.2794100389228</x:v>
      </x:c>
      <x:c r="U183" s="31" t="n">
        <x:f>IF(T183="","",I183*T183)</x:f>
        <x:v>5602.863088949581</x:v>
      </x:c>
    </x:row>
    <x:row r="184" ht="18" customHeight="1">
      <x:c r="A184" s="24" t="str">
        <x:v>LME_006</x:v>
      </x:c>
      <x:c r="B184" s="24" t="str">
        <x:v>Southeast U.S. Continental Shelf</x:v>
      </x:c>
      <x:c r="C184" s="24" t="str">
        <x:v>LME</x:v>
      </x:c>
      <x:c r="D184" s="30" t="n">
        <x:v>2019</x:v>
      </x:c>
      <x:c r="E184" s="24" t="str">
        <x:v>Alopias vulpinus</x:v>
      </x:c>
      <x:c r="F184" s="24" t="str">
        <x:v>Thresher</x:v>
      </x:c>
      <x:c r="G184" s="24" t="str">
        <x:v>Large sharks (&gt;=90 cm)</x:v>
      </x:c>
      <x:c r="H184" s="24" t="str">
        <x:v>Sharks &amp; rays</x:v>
      </x:c>
      <x:c r="I184" s="31" t="n">
        <x:v>2.9635268772</x:v>
      </x:c>
      <x:c r="J184" s="31" t="n">
        <x:v>2.9635268772</x:v>
      </x:c>
      <x:c r="K184" s="31" t="n">
        <x:v>0</x:v>
      </x:c>
      <x:c r="L184" s="31" t="n">
        <x:v>2.8760274516</x:v>
      </x:c>
      <x:c r="M184" s="31" t="n">
        <x:v>0.0874994256</x:v>
      </x:c>
      <x:c r="N184" s="24" t="str">
        <x:v>alopias vulpinus</x:v>
      </x:c>
      <x:c r="O184" s="32" t="n">
        <x:v>4.5</x:v>
      </x:c>
      <x:c r="P184" s="24" t="str">
        <x:v>exact_2020_supplement</x:v>
      </x:c>
      <x:c r="Q184" s="32" t="str">
        <x:v>2020 supplement MeanTL</x:v>
      </x:c>
      <x:c r="R184" s="24" t="str">
        <x:v>high</x:v>
      </x:c>
      <x:c r="S184" s="24" t="str">
        <x:v>Alopias vulpinus</x:v>
      </x:c>
      <x:c r="T184" s="32" t="n">
        <x:f>IF(O184="","",(1/'Metadata'!$B$5)^(O184-1))</x:f>
        <x:v>3162.2776601683795</x:v>
      </x:c>
      <x:c r="U184" s="31" t="n">
        <x:f>IF(T184="","",I184*T184)</x:f>
        <x:v>9371.494839078121</x:v>
      </x:c>
    </x:row>
    <x:row r="185" ht="18" customHeight="1">
      <x:c r="A185" s="24" t="str">
        <x:v>LME_006</x:v>
      </x:c>
      <x:c r="B185" s="24" t="str">
        <x:v>Southeast U.S. Continental Shelf</x:v>
      </x:c>
      <x:c r="C185" s="24" t="str">
        <x:v>LME</x:v>
      </x:c>
      <x:c r="D185" s="30" t="n">
        <x:v>2019</x:v>
      </x:c>
      <x:c r="E185" s="24" t="str">
        <x:v>Ephippidae</x:v>
      </x:c>
      <x:c r="F185" s="24" t="str">
        <x:v>Spade-, batfishes, scats</x:v>
      </x:c>
      <x:c r="G185" s="24" t="str">
        <x:v>Medium reef assoc. fish (30 - 89 cm)</x:v>
      </x:c>
      <x:c r="H185" s="24" t="str">
        <x:v>Perch-likes</x:v>
      </x:c>
      <x:c r="I185" s="31" t="n">
        <x:v>2.9341643557999997</x:v>
      </x:c>
      <x:c r="J185" s="31" t="n">
        <x:v>2.9341643557999997</x:v>
      </x:c>
      <x:c r="K185" s="31" t="n">
        <x:v>0</x:v>
      </x:c>
      <x:c r="L185" s="31" t="n">
        <x:v>2.9341643557999997</x:v>
      </x:c>
      <x:c r="M185" s="31" t="n">
        <x:v>0</x:v>
      </x:c>
      <x:c r="N185" s="24" t="str">
        <x:v>ephippidae</x:v>
      </x:c>
      <x:c r="O185" s="32" t="n">
        <x:v>3.57</x:v>
      </x:c>
      <x:c r="P185" s="24" t="str">
        <x:v>exact_sea_around_us</x:v>
      </x:c>
      <x:c r="Q185" s="32" t="str">
        <x:v>Sea Around Us exploited organisms</x:v>
      </x:c>
      <x:c r="R185" s="24" t="str">
        <x:v>high</x:v>
      </x:c>
      <x:c r="S185" s="24" t="str">
        <x:v>Ephippidae</x:v>
      </x:c>
      <x:c r="T185" s="32" t="n">
        <x:f>IF(O185="","",(1/'Metadata'!$B$5)^(O185-1))</x:f>
        <x:v>371.5352290971724</x:v>
      </x:c>
      <x:c r="U185" s="31" t="n">
        <x:f>IF(T185="","",I185*T185)</x:f>
        <x:v>1090.14542614091</x:v>
      </x:c>
    </x:row>
    <x:row r="186" ht="18" customHeight="1">
      <x:c r="A186" s="24" t="str">
        <x:v>LME_006</x:v>
      </x:c>
      <x:c r="B186" s="24" t="str">
        <x:v>Southeast U.S. Continental Shelf</x:v>
      </x:c>
      <x:c r="C186" s="24" t="str">
        <x:v>LME</x:v>
      </x:c>
      <x:c r="D186" s="30" t="n">
        <x:v>2019</x:v>
      </x:c>
      <x:c r="E186" s="24" t="str">
        <x:v>Negaprion brevirostris</x:v>
      </x:c>
      <x:c r="F186" s="24" t="str">
        <x:v>Lemon shark</x:v>
      </x:c>
      <x:c r="G186" s="24" t="str">
        <x:v>Large sharks (&gt;=90 cm)</x:v>
      </x:c>
      <x:c r="H186" s="24" t="str">
        <x:v>Sharks &amp; rays</x:v>
      </x:c>
      <x:c r="I186" s="31" t="n">
        <x:v>2.4780052461</x:v>
      </x:c>
      <x:c r="J186" s="31" t="n">
        <x:v>2.4780052461</x:v>
      </x:c>
      <x:c r="K186" s="31" t="n">
        <x:v>0</x:v>
      </x:c>
      <x:c r="L186" s="31" t="n">
        <x:v>2.310221893</x:v>
      </x:c>
      <x:c r="M186" s="31" t="n">
        <x:v>0.16778335309999998</x:v>
      </x:c>
      <x:c r="N186" s="24" t="str">
        <x:v>negaprion brevirostris</x:v>
      </x:c>
      <x:c r="O186" s="32" t="n">
        <x:v>4.27</x:v>
      </x:c>
      <x:c r="P186" s="24" t="str">
        <x:v>exact_2020_supplement</x:v>
      </x:c>
      <x:c r="Q186" s="32" t="str">
        <x:v>2020 supplement MeanTL</x:v>
      </x:c>
      <x:c r="R186" s="24" t="str">
        <x:v>high</x:v>
      </x:c>
      <x:c r="S186" s="24" t="str">
        <x:v>Negaprion brevirostris</x:v>
      </x:c>
      <x:c r="T186" s="32" t="n">
        <x:f>IF(O186="","",(1/'Metadata'!$B$5)^(O186-1))</x:f>
        <x:v>1862.0871366628655</x:v>
      </x:c>
      <x:c r="U186" s="31" t="n">
        <x:f>IF(T186="","",I186*T186)</x:f>
        <x:v>4614.2616933459085</x:v>
      </x:c>
    </x:row>
    <x:row r="187" ht="18" customHeight="1">
      <x:c r="A187" s="24" t="str">
        <x:v>LME_006</x:v>
      </x:c>
      <x:c r="B187" s="24" t="str">
        <x:v>Southeast U.S. Continental Shelf</x:v>
      </x:c>
      <x:c r="C187" s="24" t="str">
        <x:v>LME</x:v>
      </x:c>
      <x:c r="D187" s="30" t="n">
        <x:v>2019</x:v>
      </x:c>
      <x:c r="E187" s="24" t="str">
        <x:v>Mytilus edulis</x:v>
      </x:c>
      <x:c r="F187" s="24" t="str">
        <x:v>Blue mussel</x:v>
      </x:c>
      <x:c r="G187" s="24" t="str">
        <x:v>Other demersal invertebrates</x:v>
      </x:c>
      <x:c r="H187" s="24" t="str">
        <x:v>Molluscs</x:v>
      </x:c>
      <x:c r="I187" s="31" t="n">
        <x:v>2.4595785752</x:v>
      </x:c>
      <x:c r="J187" s="31" t="n">
        <x:v>2.4595785752</x:v>
      </x:c>
      <x:c r="K187" s="31" t="n">
        <x:v>0</x:v>
      </x:c>
      <x:c r="L187" s="31" t="n">
        <x:v>0</x:v>
      </x:c>
      <x:c r="M187" s="31" t="n">
        <x:v>2.4595785752</x:v>
      </x:c>
      <x:c r="N187" s="24" t="str">
        <x:v>mytilus edulis</x:v>
      </x:c>
      <x:c r="O187" s="32" t="n">
        <x:v>2</x:v>
      </x:c>
      <x:c r="P187" s="24" t="str">
        <x:v>exact_2020_supplement</x:v>
      </x:c>
      <x:c r="Q187" s="32" t="str">
        <x:v>2020 supplement MeanTL</x:v>
      </x:c>
      <x:c r="R187" s="24" t="str">
        <x:v>high</x:v>
      </x:c>
      <x:c r="S187" s="24" t="str">
        <x:v>Mytilus edulis</x:v>
      </x:c>
      <x:c r="T187" s="32" t="n">
        <x:f>IF(O187="","",(1/'Metadata'!$B$5)^(O187-1))</x:f>
        <x:v>10</x:v>
      </x:c>
      <x:c r="U187" s="31" t="n">
        <x:f>IF(T187="","",I187*T187)</x:f>
        <x:v>24.595785752</x:v>
      </x:c>
    </x:row>
    <x:row r="188" ht="18" customHeight="1">
      <x:c r="A188" s="24" t="str">
        <x:v>LME_006</x:v>
      </x:c>
      <x:c r="B188" s="24" t="str">
        <x:v>Southeast U.S. Continental Shelf</x:v>
      </x:c>
      <x:c r="C188" s="24" t="str">
        <x:v>LME</x:v>
      </x:c>
      <x:c r="D188" s="30" t="n">
        <x:v>2019</x:v>
      </x:c>
      <x:c r="E188" s="24" t="str">
        <x:v>Sphoeroides</x:v>
      </x:c>
      <x:c r="F188" s="24" t="str">
        <x:v>Puffers</x:v>
      </x:c>
      <x:c r="G188" s="24" t="str">
        <x:v>Large reef assoc. fish (&gt;=90 cm)</x:v>
      </x:c>
      <x:c r="H188" s="24" t="str">
        <x:v>Other fishes &amp; inverts</x:v>
      </x:c>
      <x:c r="I188" s="31" t="n">
        <x:v>2.4236119382999997</x:v>
      </x:c>
      <x:c r="J188" s="31" t="n">
        <x:v>2.4236119382999997</x:v>
      </x:c>
      <x:c r="K188" s="31" t="n">
        <x:v>0</x:v>
      </x:c>
      <x:c r="L188" s="31" t="n">
        <x:v>2.4236119382999997</x:v>
      </x:c>
      <x:c r="M188" s="31" t="n">
        <x:v>0</x:v>
      </x:c>
      <x:c r="N188" s="24" t="str">
        <x:v>sphoeroides</x:v>
      </x:c>
      <x:c r="O188" s="32" t="n">
        <x:v>4.12</x:v>
      </x:c>
      <x:c r="P188" s="24" t="str">
        <x:v>exact_sea_around_us</x:v>
      </x:c>
      <x:c r="Q188" s="32" t="str">
        <x:v>Sea Around Us exploited organisms</x:v>
      </x:c>
      <x:c r="R188" s="24" t="str">
        <x:v>high</x:v>
      </x:c>
      <x:c r="S188" s="24" t="str">
        <x:v>Sphoeroides</x:v>
      </x:c>
      <x:c r="T188" s="32" t="n">
        <x:f>IF(O188="","",(1/'Metadata'!$B$5)^(O188-1))</x:f>
        <x:v>1318.2567385564075</x:v>
      </x:c>
      <x:c r="U188" s="31" t="n">
        <x:f>IF(T188="","",I188*T188)</x:f>
        <x:v>3194.942769309731</x:v>
      </x:c>
    </x:row>
    <x:row r="189" ht="18" customHeight="1">
      <x:c r="A189" s="24" t="str">
        <x:v>LME_006</x:v>
      </x:c>
      <x:c r="B189" s="24" t="str">
        <x:v>Southeast U.S. Continental Shelf</x:v>
      </x:c>
      <x:c r="C189" s="24" t="str">
        <x:v>LME</x:v>
      </x:c>
      <x:c r="D189" s="30" t="n">
        <x:v>2019</x:v>
      </x:c>
      <x:c r="E189" s="24" t="str">
        <x:v>Sphyrna lewini</x:v>
      </x:c>
      <x:c r="F189" s="24" t="str">
        <x:v>Scalloped hammerhead</x:v>
      </x:c>
      <x:c r="G189" s="24" t="str">
        <x:v>Large sharks (&gt;=90 cm)</x:v>
      </x:c>
      <x:c r="H189" s="24" t="str">
        <x:v>Sharks &amp; rays</x:v>
      </x:c>
      <x:c r="I189" s="31" t="n">
        <x:v>2.4092630164</x:v>
      </x:c>
      <x:c r="J189" s="31" t="n">
        <x:v>1.3966658284</x:v>
      </x:c>
      <x:c r="K189" s="31" t="n">
        <x:v>1.012597188</x:v>
      </x:c>
      <x:c r="L189" s="31" t="n">
        <x:v>1.0240688786</x:v>
      </x:c>
      <x:c r="M189" s="31" t="n">
        <x:v>1.3851941378000001</x:v>
      </x:c>
      <x:c r="N189" s="24" t="str">
        <x:v>sphyrna lewini</x:v>
      </x:c>
      <x:c r="O189" s="32" t="n">
        <x:v>4.08</x:v>
      </x:c>
      <x:c r="P189" s="24" t="str">
        <x:v>exact_2020_supplement</x:v>
      </x:c>
      <x:c r="Q189" s="32" t="str">
        <x:v>2020 supplement MeanTL</x:v>
      </x:c>
      <x:c r="R189" s="24" t="str">
        <x:v>high</x:v>
      </x:c>
      <x:c r="S189" s="24" t="str">
        <x:v>Sphyrna lewini</x:v>
      </x:c>
      <x:c r="T189" s="32" t="n">
        <x:f>IF(O189="","",(1/'Metadata'!$B$5)^(O189-1))</x:f>
        <x:v>1202.2644346174131</x:v>
      </x:c>
      <x:c r="U189" s="31" t="n">
        <x:f>IF(T189="","",I189*T189)</x:f>
        <x:v>2896.5712382567895</x:v>
      </x:c>
    </x:row>
    <x:row r="190" ht="18" customHeight="1">
      <x:c r="A190" s="24" t="str">
        <x:v>LME_006</x:v>
      </x:c>
      <x:c r="B190" s="24" t="str">
        <x:v>Southeast U.S. Continental Shelf</x:v>
      </x:c>
      <x:c r="C190" s="24" t="str">
        <x:v>LME</x:v>
      </x:c>
      <x:c r="D190" s="30" t="n">
        <x:v>2019</x:v>
      </x:c>
      <x:c r="E190" s="24" t="str">
        <x:v>Peprilus burti</x:v>
      </x:c>
      <x:c r="F190" s="24" t="str">
        <x:v>Gulf butterfish</x:v>
      </x:c>
      <x:c r="G190" s="24" t="str">
        <x:v>Small benthopelagics (&lt;30 cm)</x:v>
      </x:c>
      <x:c r="H190" s="24" t="str">
        <x:v>Perch-likes</x:v>
      </x:c>
      <x:c r="I190" s="31" t="n">
        <x:v>2.3629305852</x:v>
      </x:c>
      <x:c r="J190" s="31" t="n">
        <x:v>2.3629305852</x:v>
      </x:c>
      <x:c r="K190" s="31" t="n">
        <x:v>0</x:v>
      </x:c>
      <x:c r="L190" s="31" t="n">
        <x:v>2.3629305852</x:v>
      </x:c>
      <x:c r="M190" s="31" t="n">
        <x:v>0</x:v>
      </x:c>
      <x:c r="N190" s="24" t="str">
        <x:v>peprilus burti</x:v>
      </x:c>
      <x:c r="O190" s="32" t="n">
        <x:v>4</x:v>
      </x:c>
      <x:c r="P190" s="24" t="str">
        <x:v>exact_2020_supplement</x:v>
      </x:c>
      <x:c r="Q190" s="32" t="str">
        <x:v>2020 supplement MeanTL</x:v>
      </x:c>
      <x:c r="R190" s="24" t="str">
        <x:v>high</x:v>
      </x:c>
      <x:c r="S190" s="24" t="str">
        <x:v>Peprilus burti</x:v>
      </x:c>
      <x:c r="T190" s="32" t="n">
        <x:f>IF(O190="","",(1/'Metadata'!$B$5)^(O190-1))</x:f>
        <x:v>1000</x:v>
      </x:c>
      <x:c r="U190" s="31" t="n">
        <x:f>IF(T190="","",I190*T190)</x:f>
        <x:v>2362.9305851999998</x:v>
      </x:c>
    </x:row>
    <x:row r="191" ht="18" customHeight="1">
      <x:c r="A191" s="24" t="str">
        <x:v>LME_006</x:v>
      </x:c>
      <x:c r="B191" s="24" t="str">
        <x:v>Southeast U.S. Continental Shelf</x:v>
      </x:c>
      <x:c r="C191" s="24" t="str">
        <x:v>LME</x:v>
      </x:c>
      <x:c r="D191" s="30" t="n">
        <x:v>2019</x:v>
      </x:c>
      <x:c r="E191" s="24" t="str">
        <x:v>Trichiurus</x:v>
      </x:c>
      <x:c r="F191" s="24" t="str">
        <x:v>Hairtails</x:v>
      </x:c>
      <x:c r="G191" s="24" t="str">
        <x:v>Large benthopelagics (&gt;=90 cm)</x:v>
      </x:c>
      <x:c r="H191" s="24" t="str">
        <x:v>Perch-likes</x:v>
      </x:c>
      <x:c r="I191" s="31" t="n">
        <x:v>2.2968922983</x:v>
      </x:c>
      <x:c r="J191" s="31" t="n">
        <x:v>2.2968922983</x:v>
      </x:c>
      <x:c r="K191" s="31" t="n">
        <x:v>0</x:v>
      </x:c>
      <x:c r="L191" s="31" t="n">
        <x:v>2.2968922983</x:v>
      </x:c>
      <x:c r="M191" s="31" t="n">
        <x:v>0</x:v>
      </x:c>
      <x:c r="N191" s="24" t="str">
        <x:v>trichiurus</x:v>
      </x:c>
      <x:c r="O191" s="32" t="n">
        <x:v>4.42</x:v>
      </x:c>
      <x:c r="P191" s="24" t="str">
        <x:v>exact_sea_around_us</x:v>
      </x:c>
      <x:c r="Q191" s="32" t="str">
        <x:v>Sea Around Us exploited organisms</x:v>
      </x:c>
      <x:c r="R191" s="24" t="str">
        <x:v>high</x:v>
      </x:c>
      <x:c r="S191" s="24" t="str">
        <x:v>Trichiurus</x:v>
      </x:c>
      <x:c r="T191" s="32" t="n">
        <x:f>IF(O191="","",(1/'Metadata'!$B$5)^(O191-1))</x:f>
        <x:v>2630.2679918953813</x:v>
      </x:c>
      <x:c r="U191" s="31" t="n">
        <x:f>IF(T191="","",I191*T191)</x:f>
        <x:v>6041.442293049508</x:v>
      </x:c>
    </x:row>
    <x:row r="192" ht="18" customHeight="1">
      <x:c r="A192" s="24" t="str">
        <x:v>LME_006</x:v>
      </x:c>
      <x:c r="B192" s="24" t="str">
        <x:v>Southeast U.S. Continental Shelf</x:v>
      </x:c>
      <x:c r="C192" s="24" t="str">
        <x:v>LME</x:v>
      </x:c>
      <x:c r="D192" s="30" t="n">
        <x:v>2019</x:v>
      </x:c>
      <x:c r="E192" s="24" t="str">
        <x:v>Mycteroperca interstitialis</x:v>
      </x:c>
      <x:c r="F192" s="24" t="str">
        <x:v>Yellowmouth grouper</x:v>
      </x:c>
      <x:c r="G192" s="24" t="str">
        <x:v>Medium reef assoc. fish (30 - 89 cm)</x:v>
      </x:c>
      <x:c r="H192" s="24" t="str">
        <x:v>Perch-likes</x:v>
      </x:c>
      <x:c r="I192" s="31" t="n">
        <x:v>2.2901202379</x:v>
      </x:c>
      <x:c r="J192" s="31" t="n">
        <x:v>2.2901202379</x:v>
      </x:c>
      <x:c r="K192" s="31" t="n">
        <x:v>0</x:v>
      </x:c>
      <x:c r="L192" s="31" t="n">
        <x:v>2.2901202379</x:v>
      </x:c>
      <x:c r="M192" s="31" t="n">
        <x:v>0</x:v>
      </x:c>
      <x:c r="N192" s="24" t="str">
        <x:v>mycteroperca interstitialis</x:v>
      </x:c>
      <x:c r="O192" s="32" t="n">
        <x:v>4.5</x:v>
      </x:c>
      <x:c r="P192" s="24" t="str">
        <x:v>exact_2020_supplement</x:v>
      </x:c>
      <x:c r="Q192" s="32" t="str">
        <x:v>2020 supplement MeanTL</x:v>
      </x:c>
      <x:c r="R192" s="24" t="str">
        <x:v>high</x:v>
      </x:c>
      <x:c r="S192" s="24" t="str">
        <x:v>Mycteroperca interstitialis</x:v>
      </x:c>
      <x:c r="T192" s="32" t="n">
        <x:f>IF(O192="","",(1/'Metadata'!$B$5)^(O192-1))</x:f>
        <x:v>3162.2776601683795</x:v>
      </x:c>
      <x:c r="U192" s="31" t="n">
        <x:f>IF(T192="","",I192*T192)</x:f>
        <x:v>7241.996067410665</x:v>
      </x:c>
    </x:row>
    <x:row r="193" ht="18" customHeight="1">
      <x:c r="A193" s="24" t="str">
        <x:v>LME_006</x:v>
      </x:c>
      <x:c r="B193" s="24" t="str">
        <x:v>Southeast U.S. Continental Shelf</x:v>
      </x:c>
      <x:c r="C193" s="24" t="str">
        <x:v>LME</x:v>
      </x:c>
      <x:c r="D193" s="30" t="n">
        <x:v>2019</x:v>
      </x:c>
      <x:c r="E193" s="24" t="str">
        <x:v>Haemulon sciurus</x:v>
      </x:c>
      <x:c r="F193" s="24" t="str">
        <x:v>Bluestriped grunt</x:v>
      </x:c>
      <x:c r="G193" s="24" t="str">
        <x:v>Medium reef assoc. fish (30 - 89 cm)</x:v>
      </x:c>
      <x:c r="H193" s="24" t="str">
        <x:v>Perch-likes</x:v>
      </x:c>
      <x:c r="I193" s="31" t="n">
        <x:v>2.2016850181</x:v>
      </x:c>
      <x:c r="J193" s="31" t="n">
        <x:v>2.2016850181</x:v>
      </x:c>
      <x:c r="K193" s="31" t="n">
        <x:v>0</x:v>
      </x:c>
      <x:c r="L193" s="31" t="n">
        <x:v>0.9807793579999999</x:v>
      </x:c>
      <x:c r="M193" s="31" t="n">
        <x:v>1.2209056601000001</x:v>
      </x:c>
      <x:c r="N193" s="24" t="str">
        <x:v>haemulon sciurus</x:v>
      </x:c>
      <x:c r="O193" s="32" t="n">
        <x:v>3.48</x:v>
      </x:c>
      <x:c r="P193" s="24" t="str">
        <x:v>exact_2020_supplement</x:v>
      </x:c>
      <x:c r="Q193" s="32" t="str">
        <x:v>2020 supplement MeanTL</x:v>
      </x:c>
      <x:c r="R193" s="24" t="str">
        <x:v>high</x:v>
      </x:c>
      <x:c r="S193" s="24" t="str">
        <x:v>Haemulon sciurus</x:v>
      </x:c>
      <x:c r="T193" s="32" t="n">
        <x:f>IF(O193="","",(1/'Metadata'!$B$5)^(O193-1))</x:f>
        <x:v>301.9951720402016</x:v>
      </x:c>
      <x:c r="U193" s="31" t="n">
        <x:f>IF(T193="","",I193*T193)</x:f>
        <x:v>664.8982458194439</x:v>
      </x:c>
    </x:row>
    <x:row r="194" ht="18" customHeight="1">
      <x:c r="A194" s="24" t="str">
        <x:v>LME_006</x:v>
      </x:c>
      <x:c r="B194" s="24" t="str">
        <x:v>Southeast U.S. Continental Shelf</x:v>
      </x:c>
      <x:c r="C194" s="24" t="str">
        <x:v>LME</x:v>
      </x:c>
      <x:c r="D194" s="30" t="n">
        <x:v>2019</x:v>
      </x:c>
      <x:c r="E194" s="24" t="str">
        <x:v>Hippospongia lachne</x:v>
      </x:c>
      <x:c r="F194" s="24" t="str">
        <x:v>Sheepswool sponge</x:v>
      </x:c>
      <x:c r="G194" s="24" t="str">
        <x:v>Other demersal invertebrates</x:v>
      </x:c>
      <x:c r="H194" s="24" t="str">
        <x:v>Other fishes &amp; inverts</x:v>
      </x:c>
      <x:c r="I194" s="31" t="n">
        <x:v>2.1118523906999997</x:v>
      </x:c>
      <x:c r="J194" s="31" t="n">
        <x:v>2.1118523906999997</x:v>
      </x:c>
      <x:c r="K194" s="31" t="n">
        <x:v>0</x:v>
      </x:c>
      <x:c r="L194" s="31" t="n">
        <x:v>2.0941127013</x:v>
      </x:c>
      <x:c r="M194" s="31" t="n">
        <x:v>0.0177396894</x:v>
      </x:c>
      <x:c r="N194" s="24" t="str">
        <x:v>hippospongia lachne</x:v>
      </x:c>
      <x:c r="O194" s="32" t="n">
        <x:v>2</x:v>
      </x:c>
      <x:c r="P194" s="24" t="str">
        <x:v>exact_sea_around_us</x:v>
      </x:c>
      <x:c r="Q194" s="32" t="str">
        <x:v>Sea Around Us exploited organisms</x:v>
      </x:c>
      <x:c r="R194" s="24" t="str">
        <x:v>high</x:v>
      </x:c>
      <x:c r="S194" s="24" t="str">
        <x:v>Hippospongia lachne</x:v>
      </x:c>
      <x:c r="T194" s="32" t="n">
        <x:f>IF(O194="","",(1/'Metadata'!$B$5)^(O194-1))</x:f>
        <x:v>10</x:v>
      </x:c>
      <x:c r="U194" s="31" t="n">
        <x:f>IF(T194="","",I194*T194)</x:f>
        <x:v>21.118523906999997</x:v>
      </x:c>
    </x:row>
    <x:row r="195" ht="18" customHeight="1">
      <x:c r="A195" s="24" t="str">
        <x:v>LME_006</x:v>
      </x:c>
      <x:c r="B195" s="24" t="str">
        <x:v>Southeast U.S. Continental Shelf</x:v>
      </x:c>
      <x:c r="C195" s="24" t="str">
        <x:v>LME</x:v>
      </x:c>
      <x:c r="D195" s="30" t="n">
        <x:v>2019</x:v>
      </x:c>
      <x:c r="E195" s="24" t="str">
        <x:v>Harengula jaguana</x:v>
      </x:c>
      <x:c r="F195" s="24" t="str">
        <x:v>Scaled herring</x:v>
      </x:c>
      <x:c r="G195" s="24" t="str">
        <x:v>Small pelagics (&lt;30 cm)</x:v>
      </x:c>
      <x:c r="H195" s="24" t="str">
        <x:v>Herring-likes</x:v>
      </x:c>
      <x:c r="I195" s="31" t="n">
        <x:v>2.1059852888</x:v>
      </x:c>
      <x:c r="J195" s="31" t="n">
        <x:v>2.1059852888</x:v>
      </x:c>
      <x:c r="K195" s="31" t="n">
        <x:v>0</x:v>
      </x:c>
      <x:c r="L195" s="31" t="n">
        <x:v>2.1059852888</x:v>
      </x:c>
      <x:c r="M195" s="31" t="n">
        <x:v>0</x:v>
      </x:c>
      <x:c r="N195" s="24" t="str">
        <x:v>harengula jaguana</x:v>
      </x:c>
      <x:c r="O195" s="32" t="n">
        <x:v>3.42</x:v>
      </x:c>
      <x:c r="P195" s="24" t="str">
        <x:v>exact_2020_supplement</x:v>
      </x:c>
      <x:c r="Q195" s="32" t="str">
        <x:v>2020 supplement MeanTL</x:v>
      </x:c>
      <x:c r="R195" s="24" t="str">
        <x:v>high</x:v>
      </x:c>
      <x:c r="S195" s="24" t="str">
        <x:v>Harengula jaguana</x:v>
      </x:c>
      <x:c r="T195" s="32" t="n">
        <x:f>IF(O195="","",(1/'Metadata'!$B$5)^(O195-1))</x:f>
        <x:v>263.02679918953817</x:v>
      </x:c>
      <x:c r="U195" s="31" t="n">
        <x:f>IF(T195="","",I195*T195)</x:f>
        <x:v>553.9305696533191</x:v>
      </x:c>
    </x:row>
    <x:row r="196" ht="18" customHeight="1">
      <x:c r="A196" s="24" t="str">
        <x:v>LME_006</x:v>
      </x:c>
      <x:c r="B196" s="24" t="str">
        <x:v>Southeast U.S. Continental Shelf</x:v>
      </x:c>
      <x:c r="C196" s="24" t="str">
        <x:v>LME</x:v>
      </x:c>
      <x:c r="D196" s="30" t="n">
        <x:v>2019</x:v>
      </x:c>
      <x:c r="E196" s="24" t="str">
        <x:v>Balistes vetula</x:v>
      </x:c>
      <x:c r="F196" s="24" t="str">
        <x:v>Queen triggerfish</x:v>
      </x:c>
      <x:c r="G196" s="24" t="str">
        <x:v>Medium reef assoc. fish (30 - 89 cm)</x:v>
      </x:c>
      <x:c r="H196" s="24" t="str">
        <x:v>Other fishes &amp; inverts</x:v>
      </x:c>
      <x:c r="I196" s="31" t="n">
        <x:v>2.0020659045</x:v>
      </x:c>
      <x:c r="J196" s="31" t="n">
        <x:v>2.0020659045</x:v>
      </x:c>
      <x:c r="K196" s="31" t="n">
        <x:v>0</x:v>
      </x:c>
      <x:c r="L196" s="31" t="n">
        <x:v>1.6513194364000001</x:v>
      </x:c>
      <x:c r="M196" s="31" t="n">
        <x:v>0.3507464681</x:v>
      </x:c>
      <x:c r="N196" s="24" t="str">
        <x:v>balistes vetula</x:v>
      </x:c>
      <x:c r="O196" s="32" t="n">
        <x:v>3.82</x:v>
      </x:c>
      <x:c r="P196" s="24" t="str">
        <x:v>exact_2020_supplement</x:v>
      </x:c>
      <x:c r="Q196" s="32" t="str">
        <x:v>2020 supplement MeanTL</x:v>
      </x:c>
      <x:c r="R196" s="24" t="str">
        <x:v>high</x:v>
      </x:c>
      <x:c r="S196" s="24" t="str">
        <x:v>Balistes vetula</x:v>
      </x:c>
      <x:c r="T196" s="32" t="n">
        <x:f>IF(O196="","",(1/'Metadata'!$B$5)^(O196-1))</x:f>
        <x:v>660.6934480075957</x:v>
      </x:c>
      <x:c r="U196" s="31" t="n">
        <x:f>IF(T196="","",I196*T196)</x:f>
        <x:v>1322.751825582551</x:v>
      </x:c>
    </x:row>
    <x:row r="197" ht="18" customHeight="1">
      <x:c r="A197" s="24" t="str">
        <x:v>LME_006</x:v>
      </x:c>
      <x:c r="B197" s="24" t="str">
        <x:v>Southeast U.S. Continental Shelf</x:v>
      </x:c>
      <x:c r="C197" s="24" t="str">
        <x:v>LME</x:v>
      </x:c>
      <x:c r="D197" s="30" t="n">
        <x:v>2019</x:v>
      </x:c>
      <x:c r="E197" s="24" t="str">
        <x:v>Sicyonia brevirostris</x:v>
      </x:c>
      <x:c r="F197" s="24" t="str">
        <x:v>Rock shrimp</x:v>
      </x:c>
      <x:c r="G197" s="24" t="str">
        <x:v>Shrimps</x:v>
      </x:c>
      <x:c r="H197" s="24" t="str">
        <x:v>Crustaceans</x:v>
      </x:c>
      <x:c r="I197" s="31" t="n">
        <x:v>1.9451520749000002</x:v>
      </x:c>
      <x:c r="J197" s="31" t="n">
        <x:v>1.3204467082000002</x:v>
      </x:c>
      <x:c r="K197" s="31" t="n">
        <x:v>0.6247053667</x:v>
      </x:c>
      <x:c r="L197" s="31" t="n">
        <x:v>0</x:v>
      </x:c>
      <x:c r="M197" s="31" t="n">
        <x:v>1.9451520749000002</x:v>
      </x:c>
      <x:c r="N197" s="24" t="str">
        <x:v>sicyonia brevirostris</x:v>
      </x:c>
      <x:c r="O197" s="32" t="n">
        <x:v>2.2</x:v>
      </x:c>
      <x:c r="P197" s="24" t="str">
        <x:v>exact_sea_around_us</x:v>
      </x:c>
      <x:c r="Q197" s="32" t="str">
        <x:v>Sea Around Us exploited organisms</x:v>
      </x:c>
      <x:c r="R197" s="24" t="str">
        <x:v>high</x:v>
      </x:c>
      <x:c r="S197" s="24" t="str">
        <x:v>Sicyonia brevirostris</x:v>
      </x:c>
      <x:c r="T197" s="32" t="n">
        <x:f>IF(O197="","",(1/'Metadata'!$B$5)^(O197-1))</x:f>
        <x:v>15.848931924611142</x:v>
      </x:c>
      <x:c r="U197" s="31" t="n">
        <x:f>IF(T197="","",I197*T197)</x:f>
        <x:v>30.828582818106216</x:v>
      </x:c>
    </x:row>
    <x:row r="198" ht="18" customHeight="1">
      <x:c r="A198" s="24" t="str">
        <x:v>LME_006</x:v>
      </x:c>
      <x:c r="B198" s="24" t="str">
        <x:v>Southeast U.S. Continental Shelf</x:v>
      </x:c>
      <x:c r="C198" s="24" t="str">
        <x:v>LME</x:v>
      </x:c>
      <x:c r="D198" s="30" t="n">
        <x:v>2019</x:v>
      </x:c>
      <x:c r="E198" s="24" t="str">
        <x:v>Lutjanus</x:v>
      </x:c>
      <x:c r="F198" s="24" t="str">
        <x:v>Snappers</x:v>
      </x:c>
      <x:c r="G198" s="24" t="str">
        <x:v>Medium reef assoc. fish (30 - 89 cm)</x:v>
      </x:c>
      <x:c r="H198" s="24" t="str">
        <x:v>Perch-likes</x:v>
      </x:c>
      <x:c r="I198" s="31" t="n">
        <x:v>1.7273818282000002</x:v>
      </x:c>
      <x:c r="J198" s="31" t="n">
        <x:v>1.5973057433</x:v>
      </x:c>
      <x:c r="K198" s="31" t="n">
        <x:v>0.1300760849</x:v>
      </x:c>
      <x:c r="L198" s="31" t="n">
        <x:v>1.5315474668</x:v>
      </x:c>
      <x:c r="M198" s="31" t="n">
        <x:v>0.1958343614</x:v>
      </x:c>
      <x:c r="N198" s="24" t="str">
        <x:v>lutjanus</x:v>
      </x:c>
      <x:c r="O198" s="32" t="n">
        <x:v>4.02</x:v>
      </x:c>
      <x:c r="P198" s="24" t="str">
        <x:v>exact_sea_around_us</x:v>
      </x:c>
      <x:c r="Q198" s="32" t="str">
        <x:v>Sea Around Us exploited organisms</x:v>
      </x:c>
      <x:c r="R198" s="24" t="str">
        <x:v>high</x:v>
      </x:c>
      <x:c r="S198" s="24" t="str">
        <x:v>Lutjanus</x:v>
      </x:c>
      <x:c r="T198" s="32" t="n">
        <x:f>IF(O198="","",(1/'Metadata'!$B$5)^(O198-1))</x:f>
        <x:v>1047.1285480508984</x:v>
      </x:c>
      <x:c r="U198" s="31" t="n">
        <x:f>IF(T198="","",I198*T198)</x:f>
        <x:v>1808.7908256925728</x:v>
      </x:c>
    </x:row>
    <x:row r="199" ht="18" customHeight="1">
      <x:c r="A199" s="24" t="str">
        <x:v>LME_006</x:v>
      </x:c>
      <x:c r="B199" s="24" t="str">
        <x:v>Southeast U.S. Continental Shelf</x:v>
      </x:c>
      <x:c r="C199" s="24" t="str">
        <x:v>LME</x:v>
      </x:c>
      <x:c r="D199" s="30" t="n">
        <x:v>2019</x:v>
      </x:c>
      <x:c r="E199" s="24" t="str">
        <x:v>Bothidae</x:v>
      </x:c>
      <x:c r="F199" s="24" t="str">
        <x:v>Lefteye flounders</x:v>
      </x:c>
      <x:c r="G199" s="24" t="str">
        <x:v>Small to medium flatfishes (&lt;90 cm)</x:v>
      </x:c>
      <x:c r="H199" s="24" t="str">
        <x:v>Flatfishes</x:v>
      </x:c>
      <x:c r="I199" s="31" t="n">
        <x:v>1.5557588387</x:v>
      </x:c>
      <x:c r="J199" s="31" t="n">
        <x:v>0.5873585359</x:v>
      </x:c>
      <x:c r="K199" s="31" t="n">
        <x:v>0.9684003028</x:v>
      </x:c>
      <x:c r="L199" s="31" t="n">
        <x:v>0.5873585359</x:v>
      </x:c>
      <x:c r="M199" s="31" t="n">
        <x:v>0.9684003028</x:v>
      </x:c>
      <x:c r="N199" s="24" t="str">
        <x:v>bothidae</x:v>
      </x:c>
      <x:c r="O199" s="32" t="n">
        <x:v>3.77</x:v>
      </x:c>
      <x:c r="P199" s="24" t="str">
        <x:v>exact_sea_around_us</x:v>
      </x:c>
      <x:c r="Q199" s="32" t="str">
        <x:v>Sea Around Us exploited organisms</x:v>
      </x:c>
      <x:c r="R199" s="24" t="str">
        <x:v>high</x:v>
      </x:c>
      <x:c r="S199" s="24" t="str">
        <x:v>Bothidae</x:v>
      </x:c>
      <x:c r="T199" s="32" t="n">
        <x:f>IF(O199="","",(1/'Metadata'!$B$5)^(O199-1))</x:f>
        <x:v>588.843655355589</x:v>
      </x:c>
      <x:c r="U199" s="31" t="n">
        <x:f>IF(T199="","",I199*T199)</x:f>
        <x:v>916.0987214318743</x:v>
      </x:c>
    </x:row>
    <x:row r="200" ht="18" customHeight="1">
      <x:c r="A200" s="24" t="str">
        <x:v>LME_006</x:v>
      </x:c>
      <x:c r="B200" s="24" t="str">
        <x:v>Southeast U.S. Continental Shelf</x:v>
      </x:c>
      <x:c r="C200" s="24" t="str">
        <x:v>LME</x:v>
      </x:c>
      <x:c r="D200" s="30" t="n">
        <x:v>2019</x:v>
      </x:c>
      <x:c r="E200" s="24" t="str">
        <x:v>Geukensia demissa</x:v>
      </x:c>
      <x:c r="F200" s="24" t="str">
        <x:v>Ribbed mussel</x:v>
      </x:c>
      <x:c r="G200" s="24" t="str">
        <x:v>Other demersal invertebrates</x:v>
      </x:c>
      <x:c r="H200" s="24" t="str">
        <x:v>Molluscs</x:v>
      </x:c>
      <x:c r="I200" s="31" t="n">
        <x:v>1.5382027451</x:v>
      </x:c>
      <x:c r="J200" s="31" t="n">
        <x:v>1.5382027451</x:v>
      </x:c>
      <x:c r="K200" s="31" t="n">
        <x:v>0</x:v>
      </x:c>
      <x:c r="L200" s="31" t="n">
        <x:v>1.5382027451</x:v>
      </x:c>
      <x:c r="M200" s="31" t="n">
        <x:v>0</x:v>
      </x:c>
      <x:c r="N200" s="24" t="str">
        <x:v>geukensia demissa</x:v>
      </x:c>
      <x:c r="O200" s="32" t="n">
        <x:v>2</x:v>
      </x:c>
      <x:c r="P200" s="24" t="str">
        <x:v>exact_sea_around_us</x:v>
      </x:c>
      <x:c r="Q200" s="32" t="str">
        <x:v>Sea Around Us exploited organisms</x:v>
      </x:c>
      <x:c r="R200" s="24" t="str">
        <x:v>high</x:v>
      </x:c>
      <x:c r="S200" s="24" t="str">
        <x:v>Geukensia demissa</x:v>
      </x:c>
      <x:c r="T200" s="32" t="n">
        <x:f>IF(O200="","",(1/'Metadata'!$B$5)^(O200-1))</x:f>
        <x:v>10</x:v>
      </x:c>
      <x:c r="U200" s="31" t="n">
        <x:f>IF(T200="","",I200*T200)</x:f>
        <x:v>15.382027450999999</x:v>
      </x:c>
    </x:row>
    <x:row r="201" ht="18" customHeight="1">
      <x:c r="A201" s="24" t="str">
        <x:v>LME_006</x:v>
      </x:c>
      <x:c r="B201" s="24" t="str">
        <x:v>Southeast U.S. Continental Shelf</x:v>
      </x:c>
      <x:c r="C201" s="24" t="str">
        <x:v>LME</x:v>
      </x:c>
      <x:c r="D201" s="30" t="n">
        <x:v>2019</x:v>
      </x:c>
      <x:c r="E201" s="24" t="str">
        <x:v>Galeocerdo cuvier</x:v>
      </x:c>
      <x:c r="F201" s="24" t="str">
        <x:v>Tiger shark</x:v>
      </x:c>
      <x:c r="G201" s="24" t="str">
        <x:v>Large sharks (&gt;=90 cm)</x:v>
      </x:c>
      <x:c r="H201" s="24" t="str">
        <x:v>Sharks &amp; rays</x:v>
      </x:c>
      <x:c r="I201" s="31" t="n">
        <x:v>1.4201812792000001</x:v>
      </x:c>
      <x:c r="J201" s="31" t="n">
        <x:v>1.4201812792000001</x:v>
      </x:c>
      <x:c r="K201" s="31" t="n">
        <x:v>0</x:v>
      </x:c>
      <x:c r="L201" s="31" t="n">
        <x:v>1.0827347589</x:v>
      </x:c>
      <x:c r="M201" s="31" t="n">
        <x:v>0.3374465203</x:v>
      </x:c>
      <x:c r="N201" s="24" t="str">
        <x:v>galeocerdo cuvier</x:v>
      </x:c>
      <x:c r="O201" s="32" t="n">
        <x:v>4.54</x:v>
      </x:c>
      <x:c r="P201" s="24" t="str">
        <x:v>exact_2020_supplement</x:v>
      </x:c>
      <x:c r="Q201" s="32" t="str">
        <x:v>2020 supplement MeanTL</x:v>
      </x:c>
      <x:c r="R201" s="24" t="str">
        <x:v>high</x:v>
      </x:c>
      <x:c r="S201" s="24" t="str">
        <x:v>Galeocerdo cuvier</x:v>
      </x:c>
      <x:c r="T201" s="32" t="n">
        <x:f>IF(O201="","",(1/'Metadata'!$B$5)^(O201-1))</x:f>
        <x:v>3467.368504525317</x:v>
      </x:c>
      <x:c r="U201" s="31" t="n">
        <x:f>IF(T201="","",I201*T201)</x:f>
        <x:v>4924.291838214556</x:v>
      </x:c>
    </x:row>
    <x:row r="202" ht="18" customHeight="1">
      <x:c r="A202" s="24" t="str">
        <x:v>LME_006</x:v>
      </x:c>
      <x:c r="B202" s="24" t="str">
        <x:v>Southeast U.S. Continental Shelf</x:v>
      </x:c>
      <x:c r="C202" s="24" t="str">
        <x:v>LME</x:v>
      </x:c>
      <x:c r="D202" s="30" t="n">
        <x:v>2019</x:v>
      </x:c>
      <x:c r="E202" s="24" t="str">
        <x:v>Polyprion americanus</x:v>
      </x:c>
      <x:c r="F202" s="24" t="str">
        <x:v>Wreckfish</x:v>
      </x:c>
      <x:c r="G202" s="24" t="str">
        <x:v>Large bathydemersals (&gt;=90 cm)</x:v>
      </x:c>
      <x:c r="H202" s="24" t="str">
        <x:v>Perch-likes</x:v>
      </x:c>
      <x:c r="I202" s="31" t="n">
        <x:v>1.2804984717</x:v>
      </x:c>
      <x:c r="J202" s="31" t="n">
        <x:v>1.2804984717</x:v>
      </x:c>
      <x:c r="K202" s="31" t="n">
        <x:v>0</x:v>
      </x:c>
      <x:c r="L202" s="31" t="n">
        <x:v>0</x:v>
      </x:c>
      <x:c r="M202" s="31" t="n">
        <x:v>1.2804984717</x:v>
      </x:c>
      <x:c r="N202" s="24" t="str">
        <x:v>polyprion americanus</x:v>
      </x:c>
      <x:c r="O202" s="32" t="n">
        <x:v>4.14</x:v>
      </x:c>
      <x:c r="P202" s="24" t="str">
        <x:v>exact_2020_supplement</x:v>
      </x:c>
      <x:c r="Q202" s="32" t="str">
        <x:v>2020 supplement MeanTL</x:v>
      </x:c>
      <x:c r="R202" s="24" t="str">
        <x:v>high</x:v>
      </x:c>
      <x:c r="S202" s="24" t="str">
        <x:v>Polyprion americanus</x:v>
      </x:c>
      <x:c r="T202" s="32" t="n">
        <x:f>IF(O202="","",(1/'Metadata'!$B$5)^(O202-1))</x:f>
        <x:v>1380.3842646028838</x:v>
      </x:c>
      <x:c r="U202" s="31" t="n">
        <x:f>IF(T202="","",I202*T202)</x:f>
        <x:v>1767.5799411827213</x:v>
      </x:c>
    </x:row>
    <x:row r="203" ht="18" customHeight="1">
      <x:c r="A203" s="24" t="str">
        <x:v>LME_006</x:v>
      </x:c>
      <x:c r="B203" s="24" t="str">
        <x:v>Southeast U.S. Continental Shelf</x:v>
      </x:c>
      <x:c r="C203" s="24" t="str">
        <x:v>LME</x:v>
      </x:c>
      <x:c r="D203" s="30" t="n">
        <x:v>2019</x:v>
      </x:c>
      <x:c r="E203" s="24" t="str">
        <x:v>Sphyraenidae</x:v>
      </x:c>
      <x:c r="F203" s="24" t="str">
        <x:v>Barracudas</x:v>
      </x:c>
      <x:c r="G203" s="24" t="str">
        <x:v>Medium reef assoc. fish (30 - 89 cm)</x:v>
      </x:c>
      <x:c r="H203" s="24" t="str">
        <x:v>Perch-likes</x:v>
      </x:c>
      <x:c r="I203" s="31" t="n">
        <x:v>1.2229726366</x:v>
      </x:c>
      <x:c r="J203" s="31" t="n">
        <x:v>1.2229726366</x:v>
      </x:c>
      <x:c r="K203" s="31" t="n">
        <x:v>0</x:v>
      </x:c>
      <x:c r="L203" s="31" t="n">
        <x:v>1.2229726366</x:v>
      </x:c>
      <x:c r="M203" s="31" t="n">
        <x:v>0</x:v>
      </x:c>
      <x:c r="N203" s="24" t="str">
        <x:v>sphyraenidae</x:v>
      </x:c>
      <x:c r="O203" s="32" t="n">
        <x:v>4.4</x:v>
      </x:c>
      <x:c r="P203" s="24" t="str">
        <x:v>exact_sea_around_us</x:v>
      </x:c>
      <x:c r="Q203" s="32" t="str">
        <x:v>Sea Around Us exploited organisms</x:v>
      </x:c>
      <x:c r="R203" s="24" t="str">
        <x:v>high</x:v>
      </x:c>
      <x:c r="S203" s="24" t="str">
        <x:v>Sphyraenidae</x:v>
      </x:c>
      <x:c r="T203" s="32" t="n">
        <x:f>IF(O203="","",(1/'Metadata'!$B$5)^(O203-1))</x:f>
        <x:v>2511.886431509582</x:v>
      </x:c>
      <x:c r="U203" s="31" t="n">
        <x:f>IF(T203="","",I203*T203)</x:f>
        <x:v>3071.9683719830387</x:v>
      </x:c>
    </x:row>
    <x:row r="204" ht="18" customHeight="1">
      <x:c r="A204" s="24" t="str">
        <x:v>LME_006</x:v>
      </x:c>
      <x:c r="B204" s="24" t="str">
        <x:v>Southeast U.S. Continental Shelf</x:v>
      </x:c>
      <x:c r="C204" s="24" t="str">
        <x:v>LME</x:v>
      </x:c>
      <x:c r="D204" s="30" t="n">
        <x:v>2019</x:v>
      </x:c>
      <x:c r="E204" s="24" t="str">
        <x:v>Isurus oxyrinchus</x:v>
      </x:c>
      <x:c r="F204" s="24" t="str">
        <x:v>Shortfin mako</x:v>
      </x:c>
      <x:c r="G204" s="24" t="str">
        <x:v>Large sharks (&gt;=90 cm)</x:v>
      </x:c>
      <x:c r="H204" s="24" t="str">
        <x:v>Sharks &amp; rays</x:v>
      </x:c>
      <x:c r="I204" s="31" t="n">
        <x:v>1.145802176</x:v>
      </x:c>
      <x:c r="J204" s="31" t="n">
        <x:v>1.145802176</x:v>
      </x:c>
      <x:c r="K204" s="31" t="n">
        <x:v>0</x:v>
      </x:c>
      <x:c r="L204" s="31" t="n">
        <x:v>1.0278738469</x:v>
      </x:c>
      <x:c r="M204" s="31" t="n">
        <x:v>0.11792832909999999</x:v>
      </x:c>
      <x:c r="N204" s="24" t="str">
        <x:v>isurus oxyrinchus</x:v>
      </x:c>
      <x:c r="O204" s="32" t="n">
        <x:v>4.5</x:v>
      </x:c>
      <x:c r="P204" s="24" t="str">
        <x:v>exact_2020_supplement</x:v>
      </x:c>
      <x:c r="Q204" s="32" t="str">
        <x:v>2020 supplement MeanTL</x:v>
      </x:c>
      <x:c r="R204" s="24" t="str">
        <x:v>high</x:v>
      </x:c>
      <x:c r="S204" s="24" t="str">
        <x:v>Isurus oxyrinchus</x:v>
      </x:c>
      <x:c r="T204" s="32" t="n">
        <x:f>IF(O204="","",(1/'Metadata'!$B$5)^(O204-1))</x:f>
        <x:v>3162.2776601683795</x:v>
      </x:c>
      <x:c r="U204" s="31" t="n">
        <x:f>IF(T204="","",I204*T204)</x:f>
        <x:v>3623.3446241371175</x:v>
      </x:c>
    </x:row>
    <x:row r="205" ht="18" customHeight="1">
      <x:c r="A205" s="24" t="str">
        <x:v>LME_006</x:v>
      </x:c>
      <x:c r="B205" s="24" t="str">
        <x:v>Southeast U.S. Continental Shelf</x:v>
      </x:c>
      <x:c r="C205" s="24" t="str">
        <x:v>LME</x:v>
      </x:c>
      <x:c r="D205" s="30" t="n">
        <x:v>2019</x:v>
      </x:c>
      <x:c r="E205" s="24" t="str">
        <x:v>Xiphiidae</x:v>
      </x:c>
      <x:c r="F205" s="24" t="str">
        <x:v>Swordfishes</x:v>
      </x:c>
      <x:c r="G205" s="24" t="str">
        <x:v>Large pelagics (&gt;=90 cm)</x:v>
      </x:c>
      <x:c r="H205" s="24" t="str">
        <x:v>Tuna &amp; billfishes</x:v>
      </x:c>
      <x:c r="I205" s="31" t="n">
        <x:v>1.1382555059</x:v>
      </x:c>
      <x:c r="J205" s="31" t="n">
        <x:v>1.1382555059</x:v>
      </x:c>
      <x:c r="K205" s="31" t="n">
        <x:v>0</x:v>
      </x:c>
      <x:c r="L205" s="31" t="n">
        <x:v>0</x:v>
      </x:c>
      <x:c r="M205" s="31" t="n">
        <x:v>1.1382555059</x:v>
      </x:c>
      <x:c r="N205" s="24" t="str">
        <x:v>xiphiidae</x:v>
      </x:c>
      <x:c r="O205" s="32" t="n">
        <x:v>4.5</x:v>
      </x:c>
      <x:c r="P205" s="24" t="str">
        <x:v>exact_sea_around_us</x:v>
      </x:c>
      <x:c r="Q205" s="32" t="str">
        <x:v>Sea Around Us exploited organisms</x:v>
      </x:c>
      <x:c r="R205" s="24" t="str">
        <x:v>high</x:v>
      </x:c>
      <x:c r="S205" s="24" t="str">
        <x:v>Xiphiidae</x:v>
      </x:c>
      <x:c r="T205" s="32" t="n">
        <x:f>IF(O205="","",(1/'Metadata'!$B$5)^(O205-1))</x:f>
        <x:v>3162.2776601683795</x:v>
      </x:c>
      <x:c r="U205" s="31" t="n">
        <x:f>IF(T205="","",I205*T205)</x:f>
        <x:v>3599.479957871227</x:v>
      </x:c>
    </x:row>
    <x:row r="206" ht="18" customHeight="1">
      <x:c r="A206" s="24" t="str">
        <x:v>LME_006</x:v>
      </x:c>
      <x:c r="B206" s="24" t="str">
        <x:v>Southeast U.S. Continental Shelf</x:v>
      </x:c>
      <x:c r="C206" s="24" t="str">
        <x:v>LME</x:v>
      </x:c>
      <x:c r="D206" s="30" t="n">
        <x:v>2019</x:v>
      </x:c>
      <x:c r="E206" s="24" t="str">
        <x:v>Lophiidae</x:v>
      </x:c>
      <x:c r="F206" s="24" t="str">
        <x:v>Goosefishes</x:v>
      </x:c>
      <x:c r="G206" s="24" t="str">
        <x:v>Medium bathydemersals (30 - 89 cm)</x:v>
      </x:c>
      <x:c r="H206" s="24" t="str">
        <x:v>Other fishes &amp; inverts</x:v>
      </x:c>
      <x:c r="I206" s="31" t="n">
        <x:v>1.0402312375</x:v>
      </x:c>
      <x:c r="J206" s="31" t="n">
        <x:v>0.1014280907</x:v>
      </x:c>
      <x:c r="K206" s="31" t="n">
        <x:v>0.9388031468</x:v>
      </x:c>
      <x:c r="L206" s="31" t="n">
        <x:v>0</x:v>
      </x:c>
      <x:c r="M206" s="31" t="n">
        <x:v>1.0402312375</x:v>
      </x:c>
      <x:c r="N206" s="24" t="str">
        <x:v>lophiidae</x:v>
      </x:c>
      <x:c r="O206" s="32" t="n">
        <x:v>4.46</x:v>
      </x:c>
      <x:c r="P206" s="24" t="str">
        <x:v>exact_sea_around_us</x:v>
      </x:c>
      <x:c r="Q206" s="32" t="str">
        <x:v>Sea Around Us exploited organisms</x:v>
      </x:c>
      <x:c r="R206" s="24" t="str">
        <x:v>high</x:v>
      </x:c>
      <x:c r="S206" s="24" t="str">
        <x:v>Lophiidae</x:v>
      </x:c>
      <x:c r="T206" s="32" t="n">
        <x:f>IF(O206="","",(1/'Metadata'!$B$5)^(O206-1))</x:f>
        <x:v>2884.031503126606</x:v>
      </x:c>
      <x:c r="U206" s="31" t="n">
        <x:f>IF(T206="","",I206*T206)</x:f>
        <x:v>3000.0596594863746</x:v>
      </x:c>
    </x:row>
    <x:row r="207" ht="18" customHeight="1">
      <x:c r="A207" s="24" t="str">
        <x:v>LME_006</x:v>
      </x:c>
      <x:c r="B207" s="24" t="str">
        <x:v>Southeast U.S. Continental Shelf</x:v>
      </x:c>
      <x:c r="C207" s="24" t="str">
        <x:v>LME</x:v>
      </x:c>
      <x:c r="D207" s="30" t="n">
        <x:v>2019</x:v>
      </x:c>
      <x:c r="E207" s="24" t="str">
        <x:v>Epinephelus guttatus</x:v>
      </x:c>
      <x:c r="F207" s="24" t="str">
        <x:v>Red hind</x:v>
      </x:c>
      <x:c r="G207" s="24" t="str">
        <x:v>Medium reef assoc. fish (30 - 89 cm)</x:v>
      </x:c>
      <x:c r="H207" s="24" t="str">
        <x:v>Perch-likes</x:v>
      </x:c>
      <x:c r="I207" s="31" t="n">
        <x:v>1.0346472516</x:v>
      </x:c>
      <x:c r="J207" s="31" t="n">
        <x:v>1.0346472516</x:v>
      </x:c>
      <x:c r="K207" s="31" t="n">
        <x:v>0</x:v>
      </x:c>
      <x:c r="L207" s="31" t="n">
        <x:v>1.0330794036</x:v>
      </x:c>
      <x:c r="M207" s="31" t="n">
        <x:v>0.001567848</x:v>
      </x:c>
      <x:c r="N207" s="24" t="str">
        <x:v>epinephelus guttatus</x:v>
      </x:c>
      <x:c r="O207" s="32" t="n">
        <x:v>3.84</x:v>
      </x:c>
      <x:c r="P207" s="24" t="str">
        <x:v>exact_2020_supplement</x:v>
      </x:c>
      <x:c r="Q207" s="32" t="str">
        <x:v>2020 supplement MeanTL</x:v>
      </x:c>
      <x:c r="R207" s="24" t="str">
        <x:v>high</x:v>
      </x:c>
      <x:c r="S207" s="24" t="str">
        <x:v>Epinephelus guttatus</x:v>
      </x:c>
      <x:c r="T207" s="32" t="n">
        <x:f>IF(O207="","",(1/'Metadata'!$B$5)^(O207-1))</x:f>
        <x:v>691.8309709189363</x:v>
      </x:c>
      <x:c r="U207" s="31" t="n">
        <x:f>IF(T207="","",I207*T207)</x:f>
        <x:v>715.801012633037</x:v>
      </x:c>
    </x:row>
    <x:row r="208" ht="18" customHeight="1">
      <x:c r="A208" s="24" t="str">
        <x:v>LME_006</x:v>
      </x:c>
      <x:c r="B208" s="24" t="str">
        <x:v>Southeast U.S. Continental Shelf</x:v>
      </x:c>
      <x:c r="C208" s="24" t="str">
        <x:v>LME</x:v>
      </x:c>
      <x:c r="D208" s="30" t="n">
        <x:v>2019</x:v>
      </x:c>
      <x:c r="E208" s="24" t="str">
        <x:v>Carcharhinus plumbeus</x:v>
      </x:c>
      <x:c r="F208" s="24" t="str">
        <x:v>Sandbar shark</x:v>
      </x:c>
      <x:c r="G208" s="24" t="str">
        <x:v>Large sharks (&gt;=90 cm)</x:v>
      </x:c>
      <x:c r="H208" s="24" t="str">
        <x:v>Sharks &amp; rays</x:v>
      </x:c>
      <x:c r="I208" s="31" t="n">
        <x:v>1.0295822806</x:v>
      </x:c>
      <x:c r="J208" s="31" t="n">
        <x:v>1.0295822806</x:v>
      </x:c>
      <x:c r="K208" s="31" t="n">
        <x:v>0</x:v>
      </x:c>
      <x:c r="L208" s="31" t="n">
        <x:v>0</x:v>
      </x:c>
      <x:c r="M208" s="31" t="n">
        <x:v>1.0295822806</x:v>
      </x:c>
      <x:c r="N208" s="24" t="str">
        <x:v>carcharhinus plumbeus</x:v>
      </x:c>
      <x:c r="O208" s="32" t="n">
        <x:v>4.49</x:v>
      </x:c>
      <x:c r="P208" s="24" t="str">
        <x:v>exact_2020_supplement</x:v>
      </x:c>
      <x:c r="Q208" s="32" t="str">
        <x:v>2020 supplement MeanTL</x:v>
      </x:c>
      <x:c r="R208" s="24" t="str">
        <x:v>high</x:v>
      </x:c>
      <x:c r="S208" s="24" t="str">
        <x:v>Carcharhinus plumbeus</x:v>
      </x:c>
      <x:c r="T208" s="32" t="n">
        <x:f>IF(O208="","",(1/'Metadata'!$B$5)^(O208-1))</x:f>
        <x:v>3090.295432513592</x:v>
      </x:c>
      <x:c r="U208" s="31" t="n">
        <x:f>IF(T208="","",I208*T208)</x:f>
        <x:v>3181.713419135107</x:v>
      </x:c>
    </x:row>
    <x:row r="209" ht="18" customHeight="1">
      <x:c r="A209" s="24" t="str">
        <x:v>LME_006</x:v>
      </x:c>
      <x:c r="B209" s="24" t="str">
        <x:v>Southeast U.S. Continental Shelf</x:v>
      </x:c>
      <x:c r="C209" s="24" t="str">
        <x:v>LME</x:v>
      </x:c>
      <x:c r="D209" s="30" t="n">
        <x:v>2019</x:v>
      </x:c>
      <x:c r="E209" s="24" t="str">
        <x:v>Holocentridae</x:v>
      </x:c>
      <x:c r="F209" s="24" t="str">
        <x:v>Squirrel-, soldierfishes</x:v>
      </x:c>
      <x:c r="G209" s="24" t="str">
        <x:v>Small reef assoc. fish (&lt;30 cm)</x:v>
      </x:c>
      <x:c r="H209" s="24" t="str">
        <x:v>Other fishes &amp; inverts</x:v>
      </x:c>
      <x:c r="I209" s="31" t="n">
        <x:v>0.9880608112</x:v>
      </x:c>
      <x:c r="J209" s="31" t="n">
        <x:v>0.9880608112</x:v>
      </x:c>
      <x:c r="K209" s="31" t="n">
        <x:v>0</x:v>
      </x:c>
      <x:c r="L209" s="31" t="n">
        <x:v>0.9603403169</x:v>
      </x:c>
      <x:c r="M209" s="31" t="n">
        <x:v>0.0277204943</x:v>
      </x:c>
      <x:c r="N209" s="24" t="str">
        <x:v>holocentridae</x:v>
      </x:c>
      <x:c r="O209" s="32" t="n">
        <x:v>3.49</x:v>
      </x:c>
      <x:c r="P209" s="24" t="str">
        <x:v>exact_sea_around_us</x:v>
      </x:c>
      <x:c r="Q209" s="32" t="str">
        <x:v>Sea Around Us exploited organisms</x:v>
      </x:c>
      <x:c r="R209" s="24" t="str">
        <x:v>high</x:v>
      </x:c>
      <x:c r="S209" s="24" t="str">
        <x:v>Holocentridae</x:v>
      </x:c>
      <x:c r="T209" s="32" t="n">
        <x:f>IF(O209="","",(1/'Metadata'!$B$5)^(O209-1))</x:f>
        <x:v>309.0295432513592</x:v>
      </x:c>
      <x:c r="U209" s="31" t="n">
        <x:f>IF(T209="","",I209*T209)</x:f>
        <x:v>305.33998118970345</x:v>
      </x:c>
    </x:row>
    <x:row r="210" ht="18" customHeight="1">
      <x:c r="A210" s="24" t="str">
        <x:v>LME_006</x:v>
      </x:c>
      <x:c r="B210" s="24" t="str">
        <x:v>Southeast U.S. Continental Shelf</x:v>
      </x:c>
      <x:c r="C210" s="24" t="str">
        <x:v>LME</x:v>
      </x:c>
      <x:c r="D210" s="30" t="n">
        <x:v>2019</x:v>
      </x:c>
      <x:c r="E210" s="24" t="str">
        <x:v>Busycon</x:v>
      </x:c>
      <x:c r="F210" s="24" t="str">
        <x:v>Whelks</x:v>
      </x:c>
      <x:c r="G210" s="24" t="str">
        <x:v>Other demersal invertebrates</x:v>
      </x:c>
      <x:c r="H210" s="24" t="str">
        <x:v>Molluscs</x:v>
      </x:c>
      <x:c r="I210" s="31" t="n">
        <x:v>0.7781510427</x:v>
      </x:c>
      <x:c r="J210" s="31" t="n">
        <x:v>0.7781510427</x:v>
      </x:c>
      <x:c r="K210" s="31" t="n">
        <x:v>0</x:v>
      </x:c>
      <x:c r="L210" s="31" t="n">
        <x:v>0.7489506563</x:v>
      </x:c>
      <x:c r="M210" s="31" t="n">
        <x:v>0.0292003864</x:v>
      </x:c>
      <x:c r="N210" s="24" t="str">
        <x:v>busycon</x:v>
      </x:c>
      <x:c r="O210" s="32" t="n">
        <x:v>3</x:v>
      </x:c>
      <x:c r="P210" s="24" t="str">
        <x:v>exact_sea_around_us</x:v>
      </x:c>
      <x:c r="Q210" s="32" t="str">
        <x:v>Sea Around Us exploited organisms</x:v>
      </x:c>
      <x:c r="R210" s="24" t="str">
        <x:v>high</x:v>
      </x:c>
      <x:c r="S210" s="24" t="str">
        <x:v>Busycon</x:v>
      </x:c>
      <x:c r="T210" s="32" t="n">
        <x:f>IF(O210="","",(1/'Metadata'!$B$5)^(O210-1))</x:f>
        <x:v>100</x:v>
      </x:c>
      <x:c r="U210" s="31" t="n">
        <x:f>IF(T210="","",I210*T210)</x:f>
        <x:v>77.81510427</x:v>
      </x:c>
    </x:row>
    <x:row r="211" ht="18" customHeight="1">
      <x:c r="A211" s="24" t="str">
        <x:v>LME_006</x:v>
      </x:c>
      <x:c r="B211" s="24" t="str">
        <x:v>Southeast U.S. Continental Shelf</x:v>
      </x:c>
      <x:c r="C211" s="24" t="str">
        <x:v>LME</x:v>
      </x:c>
      <x:c r="D211" s="30" t="n">
        <x:v>2019</x:v>
      </x:c>
      <x:c r="E211" s="24" t="str">
        <x:v>Pleuronectiformes</x:v>
      </x:c>
      <x:c r="F211" s="24" t="str">
        <x:v>Flatfishes</x:v>
      </x:c>
      <x:c r="G211" s="24" t="str">
        <x:v>Small to medium flatfishes (&lt;90 cm)</x:v>
      </x:c>
      <x:c r="H211" s="24" t="str">
        <x:v>Flatfishes</x:v>
      </x:c>
      <x:c r="I211" s="31" t="n">
        <x:v>0.7318736742999999</x:v>
      </x:c>
      <x:c r="J211" s="31" t="n">
        <x:v>0.7318736742999999</x:v>
      </x:c>
      <x:c r="K211" s="31" t="n">
        <x:v>0</x:v>
      </x:c>
      <x:c r="L211" s="31" t="n">
        <x:v>0.2284142135</x:v>
      </x:c>
      <x:c r="M211" s="31" t="n">
        <x:v>0.5034594608</x:v>
      </x:c>
      <x:c r="N211" s="24" t="str">
        <x:v>pleuronectiformes</x:v>
      </x:c>
      <x:c r="O211" s="32" t="n">
        <x:v>3.57</x:v>
      </x:c>
      <x:c r="P211" s="24" t="str">
        <x:v>exact_sea_around_us</x:v>
      </x:c>
      <x:c r="Q211" s="32" t="str">
        <x:v>Sea Around Us exploited organisms</x:v>
      </x:c>
      <x:c r="R211" s="24" t="str">
        <x:v>high</x:v>
      </x:c>
      <x:c r="S211" s="24" t="str">
        <x:v>Pleuronectiformes</x:v>
      </x:c>
      <x:c r="T211" s="32" t="n">
        <x:f>IF(O211="","",(1/'Metadata'!$B$5)^(O211-1))</x:f>
        <x:v>371.5352290971724</x:v>
      </x:c>
      <x:c r="U211" s="31" t="n">
        <x:f>IF(T211="","",I211*T211)</x:f>
        <x:v>271.91685325123984</x:v>
      </x:c>
    </x:row>
    <x:row r="212" ht="18" customHeight="1">
      <x:c r="A212" s="24" t="str">
        <x:v>LME_006</x:v>
      </x:c>
      <x:c r="B212" s="24" t="str">
        <x:v>Southeast U.S. Continental Shelf</x:v>
      </x:c>
      <x:c r="C212" s="24" t="str">
        <x:v>LME</x:v>
      </x:c>
      <x:c r="D212" s="30" t="n">
        <x:v>2019</x:v>
      </x:c>
      <x:c r="E212" s="24" t="str">
        <x:v>Holothuria floridana</x:v>
      </x:c>
      <x:c r="F212" s="24" t="str">
        <x:v>Florida sea cucumber</x:v>
      </x:c>
      <x:c r="G212" s="24" t="str">
        <x:v>Other demersal invertebrates</x:v>
      </x:c>
      <x:c r="H212" s="24" t="str">
        <x:v>Other fishes &amp; inverts</x:v>
      </x:c>
      <x:c r="I212" s="31" t="n">
        <x:v>0.604630169</x:v>
      </x:c>
      <x:c r="J212" s="31" t="n">
        <x:v>0.604630169</x:v>
      </x:c>
      <x:c r="K212" s="31" t="n">
        <x:v>0</x:v>
      </x:c>
      <x:c r="L212" s="31" t="n">
        <x:v>0.604630169</x:v>
      </x:c>
      <x:c r="M212" s="31" t="n">
        <x:v>0</x:v>
      </x:c>
      <x:c r="N212" s="24" t="str">
        <x:v>holothuria floridana</x:v>
      </x:c>
      <x:c r="O212" s="32" t="n">
        <x:v>2</x:v>
      </x:c>
      <x:c r="P212" s="24" t="str">
        <x:v>exact_sea_around_us</x:v>
      </x:c>
      <x:c r="Q212" s="32" t="str">
        <x:v>Sea Around Us exploited organisms</x:v>
      </x:c>
      <x:c r="R212" s="24" t="str">
        <x:v>high</x:v>
      </x:c>
      <x:c r="S212" s="24" t="str">
        <x:v>Holothuria floridana</x:v>
      </x:c>
      <x:c r="T212" s="32" t="n">
        <x:f>IF(O212="","",(1/'Metadata'!$B$5)^(O212-1))</x:f>
        <x:v>10</x:v>
      </x:c>
      <x:c r="U212" s="31" t="n">
        <x:f>IF(T212="","",I212*T212)</x:f>
        <x:v>6.04630169</x:v>
      </x:c>
    </x:row>
    <x:row r="213" ht="18" customHeight="1">
      <x:c r="A213" s="24" t="str">
        <x:v>LME_006</x:v>
      </x:c>
      <x:c r="B213" s="24" t="str">
        <x:v>Southeast U.S. Continental Shelf</x:v>
      </x:c>
      <x:c r="C213" s="24" t="str">
        <x:v>LME</x:v>
      </x:c>
      <x:c r="D213" s="30" t="n">
        <x:v>2019</x:v>
      </x:c>
      <x:c r="E213" s="24" t="str">
        <x:v>Lutjanus buccanella</x:v>
      </x:c>
      <x:c r="F213" s="24" t="str">
        <x:v>Blackfin snapper</x:v>
      </x:c>
      <x:c r="G213" s="24" t="str">
        <x:v>Medium reef assoc. fish (30 - 89 cm)</x:v>
      </x:c>
      <x:c r="H213" s="24" t="str">
        <x:v>Perch-likes</x:v>
      </x:c>
      <x:c r="I213" s="31" t="n">
        <x:v>0.5723271799</x:v>
      </x:c>
      <x:c r="J213" s="31" t="n">
        <x:v>0.5723271799</x:v>
      </x:c>
      <x:c r="K213" s="31" t="n">
        <x:v>0</x:v>
      </x:c>
      <x:c r="L213" s="31" t="n">
        <x:v>0.5723271799</x:v>
      </x:c>
      <x:c r="M213" s="31" t="n">
        <x:v>0</x:v>
      </x:c>
      <x:c r="N213" s="24" t="str">
        <x:v>lutjanus buccanella</x:v>
      </x:c>
      <x:c r="O213" s="32" t="n">
        <x:v>3.9</x:v>
      </x:c>
      <x:c r="P213" s="24" t="str">
        <x:v>exact_2020_supplement</x:v>
      </x:c>
      <x:c r="Q213" s="32" t="str">
        <x:v>2020 supplement MeanTL</x:v>
      </x:c>
      <x:c r="R213" s="24" t="str">
        <x:v>high</x:v>
      </x:c>
      <x:c r="S213" s="24" t="str">
        <x:v>Lutjanus buccanella</x:v>
      </x:c>
      <x:c r="T213" s="32" t="n">
        <x:f>IF(O213="","",(1/'Metadata'!$B$5)^(O213-1))</x:f>
        <x:v>794.3282347242813</x:v>
      </x:c>
      <x:c r="U213" s="31" t="n">
        <x:f>IF(T213="","",I213*T213)</x:f>
        <x:v>454.6156384946932</x:v>
      </x:c>
    </x:row>
    <x:row r="214" ht="18" customHeight="1">
      <x:c r="A214" s="24" t="str">
        <x:v>LME_006</x:v>
      </x:c>
      <x:c r="B214" s="24" t="str">
        <x:v>Southeast U.S. Continental Shelf</x:v>
      </x:c>
      <x:c r="C214" s="24" t="str">
        <x:v>LME</x:v>
      </x:c>
      <x:c r="D214" s="30" t="n">
        <x:v>2019</x:v>
      </x:c>
      <x:c r="E214" s="24" t="str">
        <x:v>Lunarca ovalis</x:v>
      </x:c>
      <x:c r="F214" s="24" t="str">
        <x:v>Oval blood ark</x:v>
      </x:c>
      <x:c r="G214" s="24" t="str">
        <x:v>Other demersal invertebrates</x:v>
      </x:c>
      <x:c r="H214" s="24" t="str">
        <x:v>Molluscs</x:v>
      </x:c>
      <x:c r="I214" s="31" t="n">
        <x:v>0.5486753031</x:v>
      </x:c>
      <x:c r="J214" s="31" t="n">
        <x:v>0.5486753031</x:v>
      </x:c>
      <x:c r="K214" s="31" t="n">
        <x:v>0</x:v>
      </x:c>
      <x:c r="L214" s="31" t="n">
        <x:v>0.4254545743</x:v>
      </x:c>
      <x:c r="M214" s="31" t="n">
        <x:v>0.12322072880000001</x:v>
      </x:c>
      <x:c r="N214" s="24" t="str">
        <x:v>lunarca ovalis</x:v>
      </x:c>
      <x:c r="O214" s="32" t="n">
        <x:v>2</x:v>
      </x:c>
      <x:c r="P214" s="24" t="str">
        <x:v>exact_sea_around_us</x:v>
      </x:c>
      <x:c r="Q214" s="32" t="str">
        <x:v>Sea Around Us exploited organisms</x:v>
      </x:c>
      <x:c r="R214" s="24" t="str">
        <x:v>high</x:v>
      </x:c>
      <x:c r="S214" s="24" t="str">
        <x:v>Lunarca ovalis</x:v>
      </x:c>
      <x:c r="T214" s="32" t="n">
        <x:f>IF(O214="","",(1/'Metadata'!$B$5)^(O214-1))</x:f>
        <x:v>10</x:v>
      </x:c>
      <x:c r="U214" s="31" t="n">
        <x:f>IF(T214="","",I214*T214)</x:f>
        <x:v>5.486753031</x:v>
      </x:c>
    </x:row>
    <x:row r="215" ht="18" customHeight="1">
      <x:c r="A215" s="24" t="str">
        <x:v>LME_006</x:v>
      </x:c>
      <x:c r="B215" s="24" t="str">
        <x:v>Southeast U.S. Continental Shelf</x:v>
      </x:c>
      <x:c r="C215" s="24" t="str">
        <x:v>LME</x:v>
      </x:c>
      <x:c r="D215" s="30" t="n">
        <x:v>2019</x:v>
      </x:c>
      <x:c r="E215" s="24" t="str">
        <x:v>Chondrichthyes</x:v>
      </x:c>
      <x:c r="F215" s="24" t="str">
        <x:v>Sharks, rays, chimaeras</x:v>
      </x:c>
      <x:c r="G215" s="24" t="str">
        <x:v>Large sharks (&gt;=90 cm)</x:v>
      </x:c>
      <x:c r="H215" s="24" t="str">
        <x:v>Sharks &amp; rays</x:v>
      </x:c>
      <x:c r="I215" s="31" t="n">
        <x:v>0.5413006382</x:v>
      </x:c>
      <x:c r="J215" s="31" t="n">
        <x:v>0.5413006382</x:v>
      </x:c>
      <x:c r="K215" s="31" t="n">
        <x:v>0</x:v>
      </x:c>
      <x:c r="L215" s="31" t="n">
        <x:v>0.5413006382</x:v>
      </x:c>
      <x:c r="M215" s="31" t="n">
        <x:v>0</x:v>
      </x:c>
      <x:c r="N215" s="24" t="str">
        <x:v>chondrichthyes</x:v>
      </x:c>
      <x:c r="O215" s="32" t="n">
        <x:v>4</x:v>
      </x:c>
      <x:c r="P215" s="24" t="str">
        <x:v>exact_sea_around_us</x:v>
      </x:c>
      <x:c r="Q215" s="32" t="str">
        <x:v>Sea Around Us exploited organisms</x:v>
      </x:c>
      <x:c r="R215" s="24" t="str">
        <x:v>high</x:v>
      </x:c>
      <x:c r="S215" s="24" t="str">
        <x:v>Chondrichthyes</x:v>
      </x:c>
      <x:c r="T215" s="32" t="n">
        <x:f>IF(O215="","",(1/'Metadata'!$B$5)^(O215-1))</x:f>
        <x:v>1000</x:v>
      </x:c>
      <x:c r="U215" s="31" t="n">
        <x:f>IF(T215="","",I215*T215)</x:f>
        <x:v>541.3006382</x:v>
      </x:c>
    </x:row>
    <x:row r="216" ht="18" customHeight="1">
      <x:c r="A216" s="24" t="str">
        <x:v>LME_006</x:v>
      </x:c>
      <x:c r="B216" s="24" t="str">
        <x:v>Southeast U.S. Continental Shelf</x:v>
      </x:c>
      <x:c r="C216" s="24" t="str">
        <x:v>LME</x:v>
      </x:c>
      <x:c r="D216" s="30" t="n">
        <x:v>2019</x:v>
      </x:c>
      <x:c r="E216" s="24" t="str">
        <x:v>Decapterus</x:v>
      </x:c>
      <x:c r="F216" s="24" t="str">
        <x:v>Scads</x:v>
      </x:c>
      <x:c r="G216" s="24" t="str">
        <x:v>Medium pelagics (30 - 89 cm)</x:v>
      </x:c>
      <x:c r="H216" s="24" t="str">
        <x:v>Perch-likes</x:v>
      </x:c>
      <x:c r="I216" s="31" t="n">
        <x:v>0.524150572</x:v>
      </x:c>
      <x:c r="J216" s="31" t="n">
        <x:v>0.524150572</x:v>
      </x:c>
      <x:c r="K216" s="31" t="n">
        <x:v>0</x:v>
      </x:c>
      <x:c r="L216" s="31" t="n">
        <x:v>0</x:v>
      </x:c>
      <x:c r="M216" s="31" t="n">
        <x:v>0.524150572</x:v>
      </x:c>
      <x:c r="N216" s="24" t="str">
        <x:v>decapterus</x:v>
      </x:c>
      <x:c r="O216" s="32" t="n">
        <x:v>3.63</x:v>
      </x:c>
      <x:c r="P216" s="24" t="str">
        <x:v>exact_sea_around_us</x:v>
      </x:c>
      <x:c r="Q216" s="32" t="str">
        <x:v>Sea Around Us exploited organisms</x:v>
      </x:c>
      <x:c r="R216" s="24" t="str">
        <x:v>high</x:v>
      </x:c>
      <x:c r="S216" s="24" t="str">
        <x:v>Decapterus</x:v>
      </x:c>
      <x:c r="T216" s="32" t="n">
        <x:f>IF(O216="","",(1/'Metadata'!$B$5)^(O216-1))</x:f>
        <x:v>426.57951880159254</x:v>
      </x:c>
      <x:c r="U216" s="31" t="n">
        <x:f>IF(T216="","",I216*T216)</x:f>
        <x:v>223.5918987833395</x:v>
      </x:c>
    </x:row>
    <x:row r="217" ht="18" customHeight="1">
      <x:c r="A217" s="24" t="str">
        <x:v>LME_006</x:v>
      </x:c>
      <x:c r="B217" s="24" t="str">
        <x:v>Southeast U.S. Continental Shelf</x:v>
      </x:c>
      <x:c r="C217" s="24" t="str">
        <x:v>LME</x:v>
      </x:c>
      <x:c r="D217" s="30" t="n">
        <x:v>2019</x:v>
      </x:c>
      <x:c r="E217" s="24" t="str">
        <x:v>Batrachoididae</x:v>
      </x:c>
      <x:c r="F217" s="24" t="str">
        <x:v>Toadfishes</x:v>
      </x:c>
      <x:c r="G217" s="24" t="str">
        <x:v>Large reef assoc. fish (&gt;=90 cm)</x:v>
      </x:c>
      <x:c r="H217" s="24" t="str">
        <x:v>Other fishes &amp; inverts</x:v>
      </x:c>
      <x:c r="I217" s="31" t="n">
        <x:v>0.4714845198</x:v>
      </x:c>
      <x:c r="J217" s="31" t="n">
        <x:v>0.4714845198</x:v>
      </x:c>
      <x:c r="K217" s="31" t="n">
        <x:v>0</x:v>
      </x:c>
      <x:c r="L217" s="31" t="n">
        <x:v>0.4515844112</x:v>
      </x:c>
      <x:c r="M217" s="31" t="n">
        <x:v>0.019900108599999997</x:v>
      </x:c>
      <x:c r="N217" s="24" t="str">
        <x:v>batrachoididae</x:v>
      </x:c>
      <x:c r="O217" s="32" t="n">
        <x:v>3.66</x:v>
      </x:c>
      <x:c r="P217" s="24" t="str">
        <x:v>exact_sea_around_us</x:v>
      </x:c>
      <x:c r="Q217" s="32" t="str">
        <x:v>Sea Around Us exploited organisms</x:v>
      </x:c>
      <x:c r="R217" s="24" t="str">
        <x:v>high</x:v>
      </x:c>
      <x:c r="S217" s="24" t="str">
        <x:v>Batrachoididae</x:v>
      </x:c>
      <x:c r="T217" s="32" t="n">
        <x:f>IF(O217="","",(1/'Metadata'!$B$5)^(O217-1))</x:f>
        <x:v>457.0881896148752</x:v>
      </x:c>
      <x:c r="U217" s="31" t="n">
        <x:f>IF(T217="","",I217*T217)</x:f>
        <x:v>215.5100055868208</x:v>
      </x:c>
    </x:row>
    <x:row r="218" ht="18" customHeight="1">
      <x:c r="A218" s="24" t="str">
        <x:v>LME_006</x:v>
      </x:c>
      <x:c r="B218" s="24" t="str">
        <x:v>Southeast U.S. Continental Shelf</x:v>
      </x:c>
      <x:c r="C218" s="24" t="str">
        <x:v>LME</x:v>
      </x:c>
      <x:c r="D218" s="30" t="n">
        <x:v>2019</x:v>
      </x:c>
      <x:c r="E218" s="24" t="str">
        <x:v>Triglidae</x:v>
      </x:c>
      <x:c r="F218" s="24" t="str">
        <x:v>Searobins, gurnards</x:v>
      </x:c>
      <x:c r="G218" s="24" t="str">
        <x:v>Medium demersals (30 - 89 cm)</x:v>
      </x:c>
      <x:c r="H218" s="24" t="str">
        <x:v>Scorpionfishes</x:v>
      </x:c>
      <x:c r="I218" s="31" t="n">
        <x:v>0.4322053375</x:v>
      </x:c>
      <x:c r="J218" s="31" t="n">
        <x:v>0.4322053375</x:v>
      </x:c>
      <x:c r="K218" s="31" t="n">
        <x:v>0</x:v>
      </x:c>
      <x:c r="L218" s="31" t="n">
        <x:v>0.42822089449999995</x:v>
      </x:c>
      <x:c r="M218" s="31" t="n">
        <x:v>0.003984443</x:v>
      </x:c>
      <x:c r="N218" s="24" t="str">
        <x:v>triglidae</x:v>
      </x:c>
      <x:c r="O218" s="32" t="n">
        <x:v>3.74</x:v>
      </x:c>
      <x:c r="P218" s="24" t="str">
        <x:v>exact_sea_around_us</x:v>
      </x:c>
      <x:c r="Q218" s="32" t="str">
        <x:v>Sea Around Us exploited organisms</x:v>
      </x:c>
      <x:c r="R218" s="24" t="str">
        <x:v>high</x:v>
      </x:c>
      <x:c r="S218" s="24" t="str">
        <x:v>Triglidae</x:v>
      </x:c>
      <x:c r="T218" s="32" t="n">
        <x:f>IF(O218="","",(1/'Metadata'!$B$5)^(O218-1))</x:f>
        <x:v>549.5408738576248</x:v>
      </x:c>
      <x:c r="U218" s="31" t="n">
        <x:f>IF(T218="","",I218*T218)</x:f>
        <x:v>237.51449885567965</x:v>
      </x:c>
    </x:row>
    <x:row r="219" ht="18" customHeight="1">
      <x:c r="A219" s="24" t="str">
        <x:v>LME_006</x:v>
      </x:c>
      <x:c r="B219" s="24" t="str">
        <x:v>Southeast U.S. Continental Shelf</x:v>
      </x:c>
      <x:c r="C219" s="24" t="str">
        <x:v>LME</x:v>
      </x:c>
      <x:c r="D219" s="30" t="n">
        <x:v>2019</x:v>
      </x:c>
      <x:c r="E219" s="24" t="str">
        <x:v>Lamniformes</x:v>
      </x:c>
      <x:c r="F219" s="24" t="str">
        <x:v>Mackerel sharks</x:v>
      </x:c>
      <x:c r="G219" s="24" t="str">
        <x:v>Large sharks (&gt;=90 cm)</x:v>
      </x:c>
      <x:c r="H219" s="24" t="str">
        <x:v>Sharks &amp; rays</x:v>
      </x:c>
      <x:c r="I219" s="31" t="n">
        <x:v>0.42947344179999997</x:v>
      </x:c>
      <x:c r="J219" s="31" t="n">
        <x:v>0.42947344179999997</x:v>
      </x:c>
      <x:c r="K219" s="31" t="n">
        <x:v>0</x:v>
      </x:c>
      <x:c r="L219" s="31" t="n">
        <x:v>0.42947344179999997</x:v>
      </x:c>
      <x:c r="M219" s="31" t="n">
        <x:v>0</x:v>
      </x:c>
      <x:c r="N219" s="24" t="str">
        <x:v>lamniformes</x:v>
      </x:c>
      <x:c r="O219" s="32" t="n">
        <x:v>4.34</x:v>
      </x:c>
      <x:c r="P219" s="24" t="str">
        <x:v>exact_sea_around_us</x:v>
      </x:c>
      <x:c r="Q219" s="32" t="str">
        <x:v>Sea Around Us exploited organisms</x:v>
      </x:c>
      <x:c r="R219" s="24" t="str">
        <x:v>high</x:v>
      </x:c>
      <x:c r="S219" s="24" t="str">
        <x:v>Lamniformes</x:v>
      </x:c>
      <x:c r="T219" s="32" t="n">
        <x:f>IF(O219="","",(1/'Metadata'!$B$5)^(O219-1))</x:f>
        <x:v>2187.761623949552</x:v>
      </x:c>
      <x:c r="U219" s="31" t="n">
        <x:f>IF(T219="","",I219*T219)</x:f>
        <x:v>939.5855144755712</x:v>
      </x:c>
    </x:row>
    <x:row r="220" ht="18" customHeight="1">
      <x:c r="A220" s="24" t="str">
        <x:v>LME_006</x:v>
      </x:c>
      <x:c r="B220" s="24" t="str">
        <x:v>Southeast U.S. Continental Shelf</x:v>
      </x:c>
      <x:c r="C220" s="24" t="str">
        <x:v>LME</x:v>
      </x:c>
      <x:c r="D220" s="30" t="n">
        <x:v>2019</x:v>
      </x:c>
      <x:c r="E220" s="24" t="str">
        <x:v>Conger oceanicus</x:v>
      </x:c>
      <x:c r="F220" s="24" t="str">
        <x:v>American conger</x:v>
      </x:c>
      <x:c r="G220" s="24" t="str">
        <x:v>Large demersals (&gt;=90 cm)</x:v>
      </x:c>
      <x:c r="H220" s="24" t="str">
        <x:v>Other fishes &amp; inverts</x:v>
      </x:c>
      <x:c r="I220" s="31" t="n">
        <x:v>0.4284894168</x:v>
      </x:c>
      <x:c r="J220" s="31" t="n">
        <x:v>0.4284894168</x:v>
      </x:c>
      <x:c r="K220" s="31" t="n">
        <x:v>0</x:v>
      </x:c>
      <x:c r="L220" s="31" t="n">
        <x:v>0.4284894168</x:v>
      </x:c>
      <x:c r="M220" s="31" t="n">
        <x:v>0</x:v>
      </x:c>
      <x:c r="N220" s="24" t="str">
        <x:v>conger oceanicus</x:v>
      </x:c>
      <x:c r="O220" s="32" t="n">
        <x:v>4.5</x:v>
      </x:c>
      <x:c r="P220" s="24" t="str">
        <x:v>exact_2020_supplement</x:v>
      </x:c>
      <x:c r="Q220" s="32" t="str">
        <x:v>2020 supplement MeanTL</x:v>
      </x:c>
      <x:c r="R220" s="24" t="str">
        <x:v>high</x:v>
      </x:c>
      <x:c r="S220" s="24" t="str">
        <x:v>Conger oceanicus</x:v>
      </x:c>
      <x:c r="T220" s="32" t="n">
        <x:f>IF(O220="","",(1/'Metadata'!$B$5)^(O220-1))</x:f>
        <x:v>3162.2776601683795</x:v>
      </x:c>
      <x:c r="U220" s="31" t="n">
        <x:f>IF(T220="","",I220*T220)</x:f>
        <x:v>1355.0025103652176</x:v>
      </x:c>
    </x:row>
    <x:row r="221" ht="18" customHeight="1">
      <x:c r="A221" s="24" t="str">
        <x:v>LME_006</x:v>
      </x:c>
      <x:c r="B221" s="24" t="str">
        <x:v>Southeast U.S. Continental Shelf</x:v>
      </x:c>
      <x:c r="C221" s="24" t="str">
        <x:v>LME</x:v>
      </x:c>
      <x:c r="D221" s="30" t="n">
        <x:v>2019</x:v>
      </x:c>
      <x:c r="E221" s="24" t="str">
        <x:v>Prionotus</x:v>
      </x:c>
      <x:c r="F221" s="24" t="str">
        <x:v>Saw-back searobins</x:v>
      </x:c>
      <x:c r="G221" s="24" t="str">
        <x:v>Large reef assoc. fish (&gt;=90 cm)</x:v>
      </x:c>
      <x:c r="H221" s="24" t="str">
        <x:v>Scorpionfishes</x:v>
      </x:c>
      <x:c r="I221" s="31" t="n">
        <x:v>0.410578363</x:v>
      </x:c>
      <x:c r="J221" s="31" t="n">
        <x:v>0.410578363</x:v>
      </x:c>
      <x:c r="K221" s="31" t="n">
        <x:v>0</x:v>
      </x:c>
      <x:c r="L221" s="31" t="n">
        <x:v>0</x:v>
      </x:c>
      <x:c r="M221" s="31" t="n">
        <x:v>0.410578363</x:v>
      </x:c>
      <x:c r="N221" s="24" t="str">
        <x:v>prionotus</x:v>
      </x:c>
      <x:c r="O221" s="32" t="n">
        <x:v>3.97</x:v>
      </x:c>
      <x:c r="P221" s="24" t="str">
        <x:v>exact_sea_around_us</x:v>
      </x:c>
      <x:c r="Q221" s="32" t="str">
        <x:v>Sea Around Us exploited organisms</x:v>
      </x:c>
      <x:c r="R221" s="24" t="str">
        <x:v>high</x:v>
      </x:c>
      <x:c r="S221" s="24" t="str">
        <x:v>Prionotus</x:v>
      </x:c>
      <x:c r="T221" s="32" t="n">
        <x:f>IF(O221="","",(1/'Metadata'!$B$5)^(O221-1))</x:f>
        <x:v>933.2543007969915</x:v>
      </x:c>
      <x:c r="U221" s="31" t="n">
        <x:f>IF(T221="","",I221*T221)</x:f>
        <x:v>383.1740230839384</x:v>
      </x:c>
    </x:row>
    <x:row r="222" ht="18" customHeight="1">
      <x:c r="A222" s="24" t="str">
        <x:v>LME_006</x:v>
      </x:c>
      <x:c r="B222" s="24" t="str">
        <x:v>Southeast U.S. Continental Shelf</x:v>
      </x:c>
      <x:c r="C222" s="24" t="str">
        <x:v>LME</x:v>
      </x:c>
      <x:c r="D222" s="30" t="n">
        <x:v>2019</x:v>
      </x:c>
      <x:c r="E222" s="24" t="str">
        <x:v>Sphyraena</x:v>
      </x:c>
      <x:c r="F222" s="24" t="str">
        <x:v>Barracudas, sennets</x:v>
      </x:c>
      <x:c r="G222" s="24" t="str">
        <x:v>Large pelagics (&gt;=90 cm)</x:v>
      </x:c>
      <x:c r="H222" s="24" t="str">
        <x:v>Perch-likes</x:v>
      </x:c>
      <x:c r="I222" s="31" t="n">
        <x:v>0.3810036406</x:v>
      </x:c>
      <x:c r="J222" s="31" t="n">
        <x:v>0.3810036406</x:v>
      </x:c>
      <x:c r="K222" s="31" t="n">
        <x:v>0</x:v>
      </x:c>
      <x:c r="L222" s="31" t="n">
        <x:v>0</x:v>
      </x:c>
      <x:c r="M222" s="31" t="n">
        <x:v>0.3810036406</x:v>
      </x:c>
      <x:c r="N222" s="24" t="str">
        <x:v>sphyraena</x:v>
      </x:c>
      <x:c r="O222" s="32" t="n">
        <x:v>4.4</x:v>
      </x:c>
      <x:c r="P222" s="24" t="str">
        <x:v>exact_sea_around_us</x:v>
      </x:c>
      <x:c r="Q222" s="32" t="str">
        <x:v>Sea Around Us exploited organisms</x:v>
      </x:c>
      <x:c r="R222" s="24" t="str">
        <x:v>high</x:v>
      </x:c>
      <x:c r="S222" s="24" t="str">
        <x:v>Sphyraena</x:v>
      </x:c>
      <x:c r="T222" s="32" t="n">
        <x:f>IF(O222="","",(1/'Metadata'!$B$5)^(O222-1))</x:f>
        <x:v>2511.886431509582</x:v>
      </x:c>
      <x:c r="U222" s="31" t="n">
        <x:f>IF(T222="","",I222*T222)</x:f>
        <x:v>957.0378751788934</x:v>
      </x:c>
    </x:row>
    <x:row r="223" ht="18" customHeight="1">
      <x:c r="A223" s="24" t="str">
        <x:v>LME_006</x:v>
      </x:c>
      <x:c r="B223" s="24" t="str">
        <x:v>Southeast U.S. Continental Shelf</x:v>
      </x:c>
      <x:c r="C223" s="24" t="str">
        <x:v>LME</x:v>
      </x:c>
      <x:c r="D223" s="30" t="n">
        <x:v>2019</x:v>
      </x:c>
      <x:c r="E223" s="24" t="str">
        <x:v>Diodontidae</x:v>
      </x:c>
      <x:c r="F223" s="24" t="str">
        <x:v>Porcupine-, burrfishes</x:v>
      </x:c>
      <x:c r="G223" s="24" t="str">
        <x:v>Medium reef assoc. fish (30 - 89 cm)</x:v>
      </x:c>
      <x:c r="H223" s="24" t="str">
        <x:v>Other fishes &amp; inverts</x:v>
      </x:c>
      <x:c r="I223" s="31" t="n">
        <x:v>0.3767117725</x:v>
      </x:c>
      <x:c r="J223" s="31" t="n">
        <x:v>0.3767117725</x:v>
      </x:c>
      <x:c r="K223" s="31" t="n">
        <x:v>0</x:v>
      </x:c>
      <x:c r="L223" s="31" t="n">
        <x:v>0</x:v>
      </x:c>
      <x:c r="M223" s="31" t="n">
        <x:v>0.3767117725</x:v>
      </x:c>
      <x:c r="N223" s="24" t="str">
        <x:v>diodontidae</x:v>
      </x:c>
      <x:c r="O223" s="32" t="n">
        <x:v>3.36</x:v>
      </x:c>
      <x:c r="P223" s="24" t="str">
        <x:v>exact_sea_around_us</x:v>
      </x:c>
      <x:c r="Q223" s="32" t="str">
        <x:v>Sea Around Us exploited organisms</x:v>
      </x:c>
      <x:c r="R223" s="24" t="str">
        <x:v>high</x:v>
      </x:c>
      <x:c r="S223" s="24" t="str">
        <x:v>Diodontidae</x:v>
      </x:c>
      <x:c r="T223" s="32" t="n">
        <x:f>IF(O223="","",(1/'Metadata'!$B$5)^(O223-1))</x:f>
        <x:v>229.08676527677724</x:v>
      </x:c>
      <x:c r="U223" s="31" t="n">
        <x:f>IF(T223="","",I223*T223)</x:f>
        <x:v>86.2996814037062</x:v>
      </x:c>
    </x:row>
    <x:row r="224" ht="18" customHeight="1">
      <x:c r="A224" s="24" t="str">
        <x:v>LME_006</x:v>
      </x:c>
      <x:c r="B224" s="24" t="str">
        <x:v>Southeast U.S. Continental Shelf</x:v>
      </x:c>
      <x:c r="C224" s="24" t="str">
        <x:v>LME</x:v>
      </x:c>
      <x:c r="D224" s="30" t="n">
        <x:v>2019</x:v>
      </x:c>
      <x:c r="E224" s="24" t="str">
        <x:v>Elacatinus oceanops</x:v>
      </x:c>
      <x:c r="F224" s="24" t="str">
        <x:v>Neon goby</x:v>
      </x:c>
      <x:c r="G224" s="24" t="str">
        <x:v>Small reef assoc. fish (&lt;30 cm)</x:v>
      </x:c>
      <x:c r="H224" s="24" t="str">
        <x:v>Perch-likes</x:v>
      </x:c>
      <x:c r="I224" s="31" t="n">
        <x:v>0.3728478461</x:v>
      </x:c>
      <x:c r="J224" s="31" t="n">
        <x:v>0.3728478461</x:v>
      </x:c>
      <x:c r="K224" s="31" t="n">
        <x:v>0</x:v>
      </x:c>
      <x:c r="L224" s="31" t="n">
        <x:v>0.3728478461</x:v>
      </x:c>
      <x:c r="M224" s="31" t="n">
        <x:v>0</x:v>
      </x:c>
      <x:c r="N224" s="24" t="str">
        <x:v>elacatinus oceanops</x:v>
      </x:c>
      <x:c r="O224" s="32" t="n">
        <x:v>3.5</x:v>
      </x:c>
      <x:c r="P224" s="24" t="str">
        <x:v>exact_2020_supplement</x:v>
      </x:c>
      <x:c r="Q224" s="32" t="str">
        <x:v>2020 supplement MeanTL</x:v>
      </x:c>
      <x:c r="R224" s="24" t="str">
        <x:v>high</x:v>
      </x:c>
      <x:c r="S224" s="24" t="str">
        <x:v>Elacatinus oceanops</x:v>
      </x:c>
      <x:c r="T224" s="32" t="n">
        <x:f>IF(O224="","",(1/'Metadata'!$B$5)^(O224-1))</x:f>
        <x:v>316.22776601683796</x:v>
      </x:c>
      <x:c r="U224" s="31" t="n">
        <x:f>IF(T224="","",I224*T224)</x:f>
        <x:v>117.9048414363928</x:v>
      </x:c>
    </x:row>
    <x:row r="225" ht="18" customHeight="1">
      <x:c r="A225" s="24" t="str">
        <x:v>LME_006</x:v>
      </x:c>
      <x:c r="B225" s="24" t="str">
        <x:v>Southeast U.S. Continental Shelf</x:v>
      </x:c>
      <x:c r="C225" s="24" t="str">
        <x:v>LME</x:v>
      </x:c>
      <x:c r="D225" s="30" t="n">
        <x:v>2019</x:v>
      </x:c>
      <x:c r="E225" s="24" t="str">
        <x:v>Scomber scombrus</x:v>
      </x:c>
      <x:c r="F225" s="24" t="str">
        <x:v>Atlantic mackerel</x:v>
      </x:c>
      <x:c r="G225" s="24" t="str">
        <x:v>Medium pelagics (30 - 89 cm)</x:v>
      </x:c>
      <x:c r="H225" s="24" t="str">
        <x:v>Perch-likes</x:v>
      </x:c>
      <x:c r="I225" s="31" t="n">
        <x:v>0.3568747047</x:v>
      </x:c>
      <x:c r="J225" s="31" t="n">
        <x:v>0.3568747047</x:v>
      </x:c>
      <x:c r="K225" s="31" t="n">
        <x:v>0</x:v>
      </x:c>
      <x:c r="L225" s="31" t="n">
        <x:v>0.34935764929999996</x:v>
      </x:c>
      <x:c r="M225" s="31" t="n">
        <x:v>0.0075170554</x:v>
      </x:c>
      <x:c r="N225" s="24" t="str">
        <x:v>scomber scombrus</x:v>
      </x:c>
      <x:c r="O225" s="32" t="n">
        <x:v>3.63</x:v>
      </x:c>
      <x:c r="P225" s="24" t="str">
        <x:v>exact_2020_supplement</x:v>
      </x:c>
      <x:c r="Q225" s="32" t="str">
        <x:v>2020 supplement MeanTL</x:v>
      </x:c>
      <x:c r="R225" s="24" t="str">
        <x:v>high</x:v>
      </x:c>
      <x:c r="S225" s="24" t="str">
        <x:v>Scomber scombrus</x:v>
      </x:c>
      <x:c r="T225" s="32" t="n">
        <x:f>IF(O225="","",(1/'Metadata'!$B$5)^(O225-1))</x:f>
        <x:v>426.57951880159254</x:v>
      </x:c>
      <x:c r="U225" s="31" t="n">
        <x:f>IF(T225="","",I225*T225)</x:f>
        <x:v>152.23543980338644</x:v>
      </x:c>
    </x:row>
    <x:row r="226" ht="18" customHeight="1">
      <x:c r="A226" s="24" t="str">
        <x:v>LME_006</x:v>
      </x:c>
      <x:c r="B226" s="24" t="str">
        <x:v>Southeast U.S. Continental Shelf</x:v>
      </x:c>
      <x:c r="C226" s="24" t="str">
        <x:v>LME</x:v>
      </x:c>
      <x:c r="D226" s="30" t="n">
        <x:v>2019</x:v>
      </x:c>
      <x:c r="E226" s="24" t="str">
        <x:v>Decapterus punctatus</x:v>
      </x:c>
      <x:c r="F226" s="24" t="str">
        <x:v>Round scad</x:v>
      </x:c>
      <x:c r="G226" s="24" t="str">
        <x:v>Medium benthopelagics (30 - 89 cm)</x:v>
      </x:c>
      <x:c r="H226" s="24" t="str">
        <x:v>Perch-likes</x:v>
      </x:c>
      <x:c r="I226" s="31" t="n">
        <x:v>0.3132578833</x:v>
      </x:c>
      <x:c r="J226" s="31" t="n">
        <x:v>0.3132578833</x:v>
      </x:c>
      <x:c r="K226" s="31" t="n">
        <x:v>0</x:v>
      </x:c>
      <x:c r="L226" s="31" t="n">
        <x:v>0</x:v>
      </x:c>
      <x:c r="M226" s="31" t="n">
        <x:v>0.3132578833</x:v>
      </x:c>
      <x:c r="N226" s="24" t="str">
        <x:v>decapterus punctatus</x:v>
      </x:c>
      <x:c r="O226" s="32" t="n">
        <x:v>4.43</x:v>
      </x:c>
      <x:c r="P226" s="24" t="str">
        <x:v>exact_2020_supplement</x:v>
      </x:c>
      <x:c r="Q226" s="32" t="str">
        <x:v>2020 supplement MeanTL</x:v>
      </x:c>
      <x:c r="R226" s="24" t="str">
        <x:v>high</x:v>
      </x:c>
      <x:c r="S226" s="24" t="str">
        <x:v>Decapterus punctatus</x:v>
      </x:c>
      <x:c r="T226" s="32" t="n">
        <x:f>IF(O226="","",(1/'Metadata'!$B$5)^(O226-1))</x:f>
        <x:v>2691.534803926914</x:v>
      </x:c>
      <x:c r="U226" s="31" t="n">
        <x:f>IF(T226="","",I226*T226)</x:f>
        <x:v>843.1444955064255</x:v>
      </x:c>
    </x:row>
    <x:row r="227" ht="18" customHeight="1">
      <x:c r="A227" s="24" t="str">
        <x:v>LME_006</x:v>
      </x:c>
      <x:c r="B227" s="24" t="str">
        <x:v>Southeast U.S. Continental Shelf</x:v>
      </x:c>
      <x:c r="C227" s="24" t="str">
        <x:v>LME</x:v>
      </x:c>
      <x:c r="D227" s="30" t="n">
        <x:v>2019</x:v>
      </x:c>
      <x:c r="E227" s="24" t="str">
        <x:v>Tautoga onitis</x:v>
      </x:c>
      <x:c r="F227" s="24" t="str">
        <x:v>Tautog</x:v>
      </x:c>
      <x:c r="G227" s="24" t="str">
        <x:v>Medium reef assoc. fish (30 - 89 cm)</x:v>
      </x:c>
      <x:c r="H227" s="24" t="str">
        <x:v>Perch-likes</x:v>
      </x:c>
      <x:c r="I227" s="31" t="n">
        <x:v>0.3058591103</x:v>
      </x:c>
      <x:c r="J227" s="31" t="n">
        <x:v>0.3058591103</x:v>
      </x:c>
      <x:c r="K227" s="31" t="n">
        <x:v>0</x:v>
      </x:c>
      <x:c r="L227" s="31" t="n">
        <x:v>0.0135336146</x:v>
      </x:c>
      <x:c r="M227" s="31" t="n">
        <x:v>0.2923254957</x:v>
      </x:c>
      <x:c r="N227" s="24" t="str">
        <x:v>tautoga onitis</x:v>
      </x:c>
      <x:c r="O227" s="32" t="n">
        <x:v>3.32</x:v>
      </x:c>
      <x:c r="P227" s="24" t="str">
        <x:v>exact_2020_supplement</x:v>
      </x:c>
      <x:c r="Q227" s="32" t="str">
        <x:v>2020 supplement MeanTL</x:v>
      </x:c>
      <x:c r="R227" s="24" t="str">
        <x:v>high</x:v>
      </x:c>
      <x:c r="S227" s="24" t="str">
        <x:v>Tautoga onitis</x:v>
      </x:c>
      <x:c r="T227" s="32" t="n">
        <x:f>IF(O227="","",(1/'Metadata'!$B$5)^(O227-1))</x:f>
        <x:v>208.92961308540387</x:v>
      </x:c>
      <x:c r="U227" s="31" t="n">
        <x:f>IF(T227="","",I227*T227)</x:f>
        <x:v>63.903025573624866</x:v>
      </x:c>
    </x:row>
    <x:row r="228" ht="18" customHeight="1">
      <x:c r="A228" s="24" t="str">
        <x:v>LME_006</x:v>
      </x:c>
      <x:c r="B228" s="24" t="str">
        <x:v>Southeast U.S. Continental Shelf</x:v>
      </x:c>
      <x:c r="C228" s="24" t="str">
        <x:v>LME</x:v>
      </x:c>
      <x:c r="D228" s="30" t="n">
        <x:v>2019</x:v>
      </x:c>
      <x:c r="E228" s="24" t="str">
        <x:v>Gadiformes</x:v>
      </x:c>
      <x:c r="F228" s="24" t="str">
        <x:v>Cods</x:v>
      </x:c>
      <x:c r="G228" s="24" t="str">
        <x:v>Medium benthopelagics (30 - 89 cm)</x:v>
      </x:c>
      <x:c r="H228" s="24" t="str">
        <x:v>Cod-likes</x:v>
      </x:c>
      <x:c r="I228" s="31" t="n">
        <x:v>0.3057789508</x:v>
      </x:c>
      <x:c r="J228" s="31" t="n">
        <x:v>0.3057789508</x:v>
      </x:c>
      <x:c r="K228" s="31" t="n">
        <x:v>0</x:v>
      </x:c>
      <x:c r="L228" s="31" t="n">
        <x:v>0.2620861119</x:v>
      </x:c>
      <x:c r="M228" s="31" t="n">
        <x:v>0.043692838899999996</x:v>
      </x:c>
      <x:c r="N228" s="24" t="str">
        <x:v>gadiformes</x:v>
      </x:c>
      <x:c r="O228" s="32" t="n">
        <x:v>3.91</x:v>
      </x:c>
      <x:c r="P228" s="24" t="str">
        <x:v>exact_sea_around_us</x:v>
      </x:c>
      <x:c r="Q228" s="32" t="str">
        <x:v>Sea Around Us exploited organisms</x:v>
      </x:c>
      <x:c r="R228" s="24" t="str">
        <x:v>high</x:v>
      </x:c>
      <x:c r="S228" s="24" t="str">
        <x:v>Gadiformes</x:v>
      </x:c>
      <x:c r="T228" s="32" t="n">
        <x:f>IF(O228="","",(1/'Metadata'!$B$5)^(O228-1))</x:f>
        <x:v>812.8305161640995</x:v>
      </x:c>
      <x:c r="U228" s="31" t="n">
        <x:f>IF(T228="","",I228*T228)</x:f>
        <x:v>248.5464624108808</x:v>
      </x:c>
    </x:row>
    <x:row r="229" ht="18" customHeight="1">
      <x:c r="A229" s="24" t="str">
        <x:v>LME_006</x:v>
      </x:c>
      <x:c r="B229" s="24" t="str">
        <x:v>Southeast U.S. Continental Shelf</x:v>
      </x:c>
      <x:c r="C229" s="24" t="str">
        <x:v>LME</x:v>
      </x:c>
      <x:c r="D229" s="30" t="n">
        <x:v>2019</x:v>
      </x:c>
      <x:c r="E229" s="24" t="str">
        <x:v>Holacanthus ciliaris</x:v>
      </x:c>
      <x:c r="F229" s="24" t="str">
        <x:v>Queen angelfish</x:v>
      </x:c>
      <x:c r="G229" s="24" t="str">
        <x:v>Medium reef assoc. fish (30 - 89 cm)</x:v>
      </x:c>
      <x:c r="H229" s="24" t="str">
        <x:v>Perch-likes</x:v>
      </x:c>
      <x:c r="I229" s="31" t="n">
        <x:v>0.2442476839</x:v>
      </x:c>
      <x:c r="J229" s="31" t="n">
        <x:v>0.2442476839</x:v>
      </x:c>
      <x:c r="K229" s="31" t="n">
        <x:v>0</x:v>
      </x:c>
      <x:c r="L229" s="31" t="n">
        <x:v>0.2442476839</x:v>
      </x:c>
      <x:c r="M229" s="31" t="n">
        <x:v>0</x:v>
      </x:c>
      <x:c r="N229" s="24" t="str">
        <x:v>holacanthus ciliaris</x:v>
      </x:c>
      <x:c r="O229" s="32" t="n">
        <x:v>2.99</x:v>
      </x:c>
      <x:c r="P229" s="24" t="str">
        <x:v>exact_2020_supplement</x:v>
      </x:c>
      <x:c r="Q229" s="32" t="str">
        <x:v>2020 supplement MeanTL</x:v>
      </x:c>
      <x:c r="R229" s="24" t="str">
        <x:v>high</x:v>
      </x:c>
      <x:c r="S229" s="24" t="str">
        <x:v>Holacanthus ciliaris</x:v>
      </x:c>
      <x:c r="T229" s="32" t="n">
        <x:f>IF(O229="","",(1/'Metadata'!$B$5)^(O229-1))</x:f>
        <x:v>97.72372209558111</x:v>
      </x:c>
      <x:c r="U229" s="31" t="n">
        <x:f>IF(T229="","",I229*T229)</x:f>
        <x:v>23.868792783932943</x:v>
      </x:c>
    </x:row>
    <x:row r="230" ht="18" customHeight="1">
      <x:c r="A230" s="24" t="str">
        <x:v>LME_006</x:v>
      </x:c>
      <x:c r="B230" s="24" t="str">
        <x:v>Southeast U.S. Continental Shelf</x:v>
      </x:c>
      <x:c r="C230" s="24" t="str">
        <x:v>LME</x:v>
      </x:c>
      <x:c r="D230" s="30" t="n">
        <x:v>2019</x:v>
      </x:c>
      <x:c r="E230" s="24" t="str">
        <x:v>Labridae</x:v>
      </x:c>
      <x:c r="F230" s="24" t="str">
        <x:v>Wrasses, gropers, tuskfishes</x:v>
      </x:c>
      <x:c r="G230" s="24" t="str">
        <x:v>Medium reef assoc. fish (30 - 89 cm)</x:v>
      </x:c>
      <x:c r="H230" s="24" t="str">
        <x:v>Perch-likes</x:v>
      </x:c>
      <x:c r="I230" s="31" t="n">
        <x:v>0.23672314789999999</x:v>
      </x:c>
      <x:c r="J230" s="31" t="n">
        <x:v>0.23672314789999999</x:v>
      </x:c>
      <x:c r="K230" s="31" t="n">
        <x:v>0</x:v>
      </x:c>
      <x:c r="L230" s="31" t="n">
        <x:v>0.23672314789999999</x:v>
      </x:c>
      <x:c r="M230" s="31" t="n">
        <x:v>0</x:v>
      </x:c>
      <x:c r="N230" s="24" t="str">
        <x:v>labridae</x:v>
      </x:c>
      <x:c r="O230" s="32" t="n">
        <x:v>3.46</x:v>
      </x:c>
      <x:c r="P230" s="24" t="str">
        <x:v>exact_sea_around_us</x:v>
      </x:c>
      <x:c r="Q230" s="32" t="str">
        <x:v>Sea Around Us exploited organisms</x:v>
      </x:c>
      <x:c r="R230" s="24" t="str">
        <x:v>high</x:v>
      </x:c>
      <x:c r="S230" s="24" t="str">
        <x:v>Labridae</x:v>
      </x:c>
      <x:c r="T230" s="32" t="n">
        <x:f>IF(O230="","",(1/'Metadata'!$B$5)^(O230-1))</x:f>
        <x:v>288.40315031266056</x:v>
      </x:c>
      <x:c r="U230" s="31" t="n">
        <x:f>IF(T230="","",I230*T230)</x:f>
        <x:v>68.27170160628987</x:v>
      </x:c>
    </x:row>
    <x:row r="231" ht="18" customHeight="1">
      <x:c r="A231" s="24" t="str">
        <x:v>LME_006</x:v>
      </x:c>
      <x:c r="B231" s="24" t="str">
        <x:v>Southeast U.S. Continental Shelf</x:v>
      </x:c>
      <x:c r="C231" s="24" t="str">
        <x:v>LME</x:v>
      </x:c>
      <x:c r="D231" s="30" t="n">
        <x:v>2019</x:v>
      </x:c>
      <x:c r="E231" s="24" t="str">
        <x:v>Peprilus triacanthus</x:v>
      </x:c>
      <x:c r="F231" s="24" t="str">
        <x:v>Atlantic butterfish</x:v>
      </x:c>
      <x:c r="G231" s="24" t="str">
        <x:v>Small benthopelagics (&lt;30 cm)</x:v>
      </x:c>
      <x:c r="H231" s="24" t="str">
        <x:v>Perch-likes</x:v>
      </x:c>
      <x:c r="I231" s="31" t="n">
        <x:v>0.2193248139</x:v>
      </x:c>
      <x:c r="J231" s="31" t="n">
        <x:v>0.2193248139</x:v>
      </x:c>
      <x:c r="K231" s="31" t="n">
        <x:v>0</x:v>
      </x:c>
      <x:c r="L231" s="31" t="n">
        <x:v>0</x:v>
      </x:c>
      <x:c r="M231" s="31" t="n">
        <x:v>0.2193248139</x:v>
      </x:c>
      <x:c r="N231" s="24" t="str">
        <x:v>peprilus triacanthus</x:v>
      </x:c>
      <x:c r="O231" s="32" t="n">
        <x:v>3.91</x:v>
      </x:c>
      <x:c r="P231" s="24" t="str">
        <x:v>exact_2020_supplement</x:v>
      </x:c>
      <x:c r="Q231" s="32" t="str">
        <x:v>2020 supplement MeanTL</x:v>
      </x:c>
      <x:c r="R231" s="24" t="str">
        <x:v>high</x:v>
      </x:c>
      <x:c r="S231" s="24" t="str">
        <x:v>Peprilus triacanthus</x:v>
      </x:c>
      <x:c r="T231" s="32" t="n">
        <x:f>IF(O231="","",(1/'Metadata'!$B$5)^(O231-1))</x:f>
        <x:v>812.8305161640995</x:v>
      </x:c>
      <x:c r="U231" s="31" t="n">
        <x:f>IF(T231="","",I231*T231)</x:f>
        <x:v>178.27390168993207</x:v>
      </x:c>
    </x:row>
    <x:row r="232" ht="18" customHeight="1">
      <x:c r="A232" s="24" t="str">
        <x:v>LME_006</x:v>
      </x:c>
      <x:c r="B232" s="24" t="str">
        <x:v>Southeast U.S. Continental Shelf</x:v>
      </x:c>
      <x:c r="C232" s="24" t="str">
        <x:v>LME</x:v>
      </x:c>
      <x:c r="D232" s="30" t="n">
        <x:v>2019</x:v>
      </x:c>
      <x:c r="E232" s="24" t="str">
        <x:v>Neomerinthe hemingwayi</x:v>
      </x:c>
      <x:c r="F232" s="24" t="str">
        <x:v>Spinycheek scorpionfish</x:v>
      </x:c>
      <x:c r="G232" s="24" t="str">
        <x:v>Medium demersals (30 - 89 cm)</x:v>
      </x:c>
      <x:c r="H232" s="24" t="str">
        <x:v>Scorpionfishes</x:v>
      </x:c>
      <x:c r="I232" s="31" t="n">
        <x:v>0.2039711701</x:v>
      </x:c>
      <x:c r="J232" s="31" t="n">
        <x:v>0.2039711701</x:v>
      </x:c>
      <x:c r="K232" s="31" t="n">
        <x:v>0</x:v>
      </x:c>
      <x:c r="L232" s="31" t="n">
        <x:v>0</x:v>
      </x:c>
      <x:c r="M232" s="31" t="n">
        <x:v>0.2039711701</x:v>
      </x:c>
      <x:c r="N232" s="24" t="str">
        <x:v>neomerinthe hemingwayi</x:v>
      </x:c>
      <x:c r="O232" s="32" t="n">
        <x:v>4.01</x:v>
      </x:c>
      <x:c r="P232" s="24" t="str">
        <x:v>exact_sea_around_us</x:v>
      </x:c>
      <x:c r="Q232" s="32" t="str">
        <x:v>Sea Around Us exploited organisms</x:v>
      </x:c>
      <x:c r="R232" s="24" t="str">
        <x:v>high</x:v>
      </x:c>
      <x:c r="S232" s="24" t="str">
        <x:v>Neomerinthe hemingwayi</x:v>
      </x:c>
      <x:c r="T232" s="32" t="n">
        <x:f>IF(O232="","",(1/'Metadata'!$B$5)^(O232-1))</x:f>
        <x:v>1023.2929922807537</x:v>
      </x:c>
      <x:c r="U232" s="31" t="n">
        <x:f>IF(T232="","",I232*T232)</x:f>
        <x:v>208.72226899063557</x:v>
      </x:c>
    </x:row>
    <x:row r="233" ht="18" customHeight="1">
      <x:c r="A233" s="24" t="str">
        <x:v>LME_006</x:v>
      </x:c>
      <x:c r="B233" s="24" t="str">
        <x:v>Southeast U.S. Continental Shelf</x:v>
      </x:c>
      <x:c r="C233" s="24" t="str">
        <x:v>LME</x:v>
      </x:c>
      <x:c r="D233" s="30" t="n">
        <x:v>2019</x:v>
      </x:c>
      <x:c r="E233" s="24" t="str">
        <x:v>Stenorhynchus seticornis</x:v>
      </x:c>
      <x:c r="F233" s="24" t="str">
        <x:v>Yellowline arrow crab</x:v>
      </x:c>
      <x:c r="G233" s="24" t="str">
        <x:v>Lobsters, crabs</x:v>
      </x:c>
      <x:c r="H233" s="24" t="str">
        <x:v>Crustaceans</x:v>
      </x:c>
      <x:c r="I233" s="31" t="n">
        <x:v>0.1681991223</x:v>
      </x:c>
      <x:c r="J233" s="31" t="n">
        <x:v>0.1681991223</x:v>
      </x:c>
      <x:c r="K233" s="31" t="n">
        <x:v>0</x:v>
      </x:c>
      <x:c r="L233" s="31" t="n">
        <x:v>0.1681991223</x:v>
      </x:c>
      <x:c r="M233" s="31" t="n">
        <x:v>0</x:v>
      </x:c>
      <x:c r="N233" s="24" t="str">
        <x:v>stenorhynchus seticornis</x:v>
      </x:c>
      <x:c r="O233" s="32" t="n">
        <x:v>2.86</x:v>
      </x:c>
      <x:c r="P233" s="24" t="str">
        <x:v>exact_sea_around_us</x:v>
      </x:c>
      <x:c r="Q233" s="32" t="str">
        <x:v>Sea Around Us exploited organisms</x:v>
      </x:c>
      <x:c r="R233" s="24" t="str">
        <x:v>high</x:v>
      </x:c>
      <x:c r="S233" s="24" t="str">
        <x:v>Stenorhynchus seticornis</x:v>
      </x:c>
      <x:c r="T233" s="32" t="n">
        <x:f>IF(O233="","",(1/'Metadata'!$B$5)^(O233-1))</x:f>
        <x:v>72.44359600749898</x:v>
      </x:c>
      <x:c r="U233" s="31" t="n">
        <x:f>IF(T233="","",I233*T233)</x:f>
        <x:v>12.184949264717114</x:v>
      </x:c>
    </x:row>
    <x:row r="234" ht="18" customHeight="1">
      <x:c r="A234" s="24" t="str">
        <x:v>LME_006</x:v>
      </x:c>
      <x:c r="B234" s="24" t="str">
        <x:v>Southeast U.S. Continental Shelf</x:v>
      </x:c>
      <x:c r="C234" s="24" t="str">
        <x:v>LME</x:v>
      </x:c>
      <x:c r="D234" s="30" t="n">
        <x:v>2019</x:v>
      </x:c>
      <x:c r="E234" s="24" t="str">
        <x:v>Thunnus</x:v>
      </x:c>
      <x:c r="F234" s="24" t="str">
        <x:v>Tunas</x:v>
      </x:c>
      <x:c r="G234" s="24" t="str">
        <x:v>Large pelagics (&gt;=90 cm)</x:v>
      </x:c>
      <x:c r="H234" s="24" t="str">
        <x:v>Tuna &amp; billfishes</x:v>
      </x:c>
      <x:c r="I234" s="31" t="n">
        <x:v>0.1670965881</x:v>
      </x:c>
      <x:c r="J234" s="31" t="n">
        <x:v>0.1670965881</x:v>
      </x:c>
      <x:c r="K234" s="31" t="n">
        <x:v>0</x:v>
      </x:c>
      <x:c r="L234" s="31" t="n">
        <x:v>0</x:v>
      </x:c>
      <x:c r="M234" s="31" t="n">
        <x:v>0.1670965881</x:v>
      </x:c>
      <x:c r="N234" s="24" t="str">
        <x:v>thunnus</x:v>
      </x:c>
      <x:c r="O234" s="32" t="n">
        <x:v>4.34</x:v>
      </x:c>
      <x:c r="P234" s="24" t="str">
        <x:v>exact_sea_around_us</x:v>
      </x:c>
      <x:c r="Q234" s="32" t="str">
        <x:v>Sea Around Us exploited organisms</x:v>
      </x:c>
      <x:c r="R234" s="24" t="str">
        <x:v>high</x:v>
      </x:c>
      <x:c r="S234" s="24" t="str">
        <x:v>Thunnus</x:v>
      </x:c>
      <x:c r="T234" s="32" t="n">
        <x:f>IF(O234="","",(1/'Metadata'!$B$5)^(O234-1))</x:f>
        <x:v>2187.761623949552</x:v>
      </x:c>
      <x:c r="U234" s="31" t="n">
        <x:f>IF(T234="","",I234*T234)</x:f>
        <x:v>365.56750293808534</x:v>
      </x:c>
    </x:row>
    <x:row r="235" ht="18" customHeight="1">
      <x:c r="A235" s="24" t="str">
        <x:v>LME_006</x:v>
      </x:c>
      <x:c r="B235" s="24" t="str">
        <x:v>Southeast U.S. Continental Shelf</x:v>
      </x:c>
      <x:c r="C235" s="24" t="str">
        <x:v>LME</x:v>
      </x:c>
      <x:c r="D235" s="30" t="n">
        <x:v>2019</x:v>
      </x:c>
      <x:c r="E235" s="24" t="str">
        <x:v>Geryon</x:v>
      </x:c>
      <x:c r="F235" s="24" t="str">
        <x:v>Deepsea crabs</x:v>
      </x:c>
      <x:c r="G235" s="24" t="str">
        <x:v>Lobsters, crabs</x:v>
      </x:c>
      <x:c r="H235" s="24" t="str">
        <x:v>Crustaceans</x:v>
      </x:c>
      <x:c r="I235" s="31" t="n">
        <x:v>0.1429543765</x:v>
      </x:c>
      <x:c r="J235" s="31" t="n">
        <x:v>0.1429543765</x:v>
      </x:c>
      <x:c r="K235" s="31" t="n">
        <x:v>0</x:v>
      </x:c>
      <x:c r="L235" s="31" t="n">
        <x:v>0</x:v>
      </x:c>
      <x:c r="M235" s="31" t="n">
        <x:v>0.1429543765</x:v>
      </x:c>
      <x:c r="N235" s="24" t="str">
        <x:v>geryon</x:v>
      </x:c>
      <x:c r="O235" s="32" t="n">
        <x:v>2.6</x:v>
      </x:c>
      <x:c r="P235" s="24" t="str">
        <x:v>exact_sea_around_us</x:v>
      </x:c>
      <x:c r="Q235" s="32" t="str">
        <x:v>Sea Around Us exploited organisms</x:v>
      </x:c>
      <x:c r="R235" s="24" t="str">
        <x:v>high</x:v>
      </x:c>
      <x:c r="S235" s="24" t="str">
        <x:v>Geryon</x:v>
      </x:c>
      <x:c r="T235" s="32" t="n">
        <x:f>IF(O235="","",(1/'Metadata'!$B$5)^(O235-1))</x:f>
        <x:v>39.810717055349734</x:v>
      </x:c>
      <x:c r="U235" s="31" t="n">
        <x:f>IF(T235="","",I235*T235)</x:f>
        <x:v>5.691116234665437</x:v>
      </x:c>
    </x:row>
    <x:row r="236" ht="18" customHeight="1">
      <x:c r="A236" s="24" t="str">
        <x:v>LME_006</x:v>
      </x:c>
      <x:c r="B236" s="24" t="str">
        <x:v>Southeast U.S. Continental Shelf</x:v>
      </x:c>
      <x:c r="C236" s="24" t="str">
        <x:v>LME</x:v>
      </x:c>
      <x:c r="D236" s="30" t="n">
        <x:v>2019</x:v>
      </x:c>
      <x:c r="E236" s="24" t="str">
        <x:v>Carcharhinus falciformis</x:v>
      </x:c>
      <x:c r="F236" s="24" t="str">
        <x:v>Silky shark</x:v>
      </x:c>
      <x:c r="G236" s="24" t="str">
        <x:v>Large sharks (&gt;=90 cm)</x:v>
      </x:c>
      <x:c r="H236" s="24" t="str">
        <x:v>Sharks &amp; rays</x:v>
      </x:c>
      <x:c r="I236" s="31" t="n">
        <x:v>0.12746625890000002</x:v>
      </x:c>
      <x:c r="J236" s="31" t="n">
        <x:v>0.12746625890000002</x:v>
      </x:c>
      <x:c r="K236" s="31" t="n">
        <x:v>0</x:v>
      </x:c>
      <x:c r="L236" s="31" t="n">
        <x:v>0.1159253549</x:v>
      </x:c>
      <x:c r="M236" s="31" t="n">
        <x:v>0.011540904000000001</x:v>
      </x:c>
      <x:c r="N236" s="24" t="str">
        <x:v>carcharhinus falciformis</x:v>
      </x:c>
      <x:c r="O236" s="32" t="n">
        <x:v>4.51</x:v>
      </x:c>
      <x:c r="P236" s="24" t="str">
        <x:v>exact_2020_supplement</x:v>
      </x:c>
      <x:c r="Q236" s="32" t="str">
        <x:v>2020 supplement MeanTL</x:v>
      </x:c>
      <x:c r="R236" s="24" t="str">
        <x:v>high</x:v>
      </x:c>
      <x:c r="S236" s="24" t="str">
        <x:v>Carcharhinus falciformis</x:v>
      </x:c>
      <x:c r="T236" s="32" t="n">
        <x:f>IF(O236="","",(1/'Metadata'!$B$5)^(O236-1))</x:f>
        <x:v>3235.936569296281</x:v>
      </x:c>
      <x:c r="U236" s="31" t="n">
        <x:f>IF(T236="","",I236*T236)</x:f>
        <x:v>412.4727285258976</x:v>
      </x:c>
    </x:row>
    <x:row r="237" ht="18" customHeight="1">
      <x:c r="A237" s="24" t="str">
        <x:v>LME_006</x:v>
      </x:c>
      <x:c r="B237" s="24" t="str">
        <x:v>Southeast U.S. Continental Shelf</x:v>
      </x:c>
      <x:c r="C237" s="24" t="str">
        <x:v>LME</x:v>
      </x:c>
      <x:c r="D237" s="30" t="n">
        <x:v>2019</x:v>
      </x:c>
      <x:c r="E237" s="24" t="str">
        <x:v>Auxis thazard</x:v>
      </x:c>
      <x:c r="F237" s="24" t="str">
        <x:v>Frigate tuna</x:v>
      </x:c>
      <x:c r="G237" s="24" t="str">
        <x:v>Medium pelagics (30 - 89 cm)</x:v>
      </x:c>
      <x:c r="H237" s="24" t="str">
        <x:v>Tuna &amp; billfishes</x:v>
      </x:c>
      <x:c r="I237" s="31" t="n">
        <x:v>0.1141318555</x:v>
      </x:c>
      <x:c r="J237" s="31" t="n">
        <x:v>0.1141318555</x:v>
      </x:c>
      <x:c r="K237" s="31" t="n">
        <x:v>0</x:v>
      </x:c>
      <x:c r="L237" s="31" t="n">
        <x:v>0.1141318555</x:v>
      </x:c>
      <x:c r="M237" s="31" t="n">
        <x:v>0</x:v>
      </x:c>
      <x:c r="N237" s="24" t="str">
        <x:v>auxis thazard</x:v>
      </x:c>
      <x:c r="O237" s="32" t="n">
        <x:v>4.37</x:v>
      </x:c>
      <x:c r="P237" s="24" t="str">
        <x:v>exact_2020_supplement</x:v>
      </x:c>
      <x:c r="Q237" s="32" t="str">
        <x:v>2020 supplement MeanTL</x:v>
      </x:c>
      <x:c r="R237" s="24" t="str">
        <x:v>high</x:v>
      </x:c>
      <x:c r="S237" s="24" t="str">
        <x:v>Auxis thazard</x:v>
      </x:c>
      <x:c r="T237" s="32" t="n">
        <x:f>IF(O237="","",(1/'Metadata'!$B$5)^(O237-1))</x:f>
        <x:v>2344.228815319923</x:v>
      </x:c>
      <x:c r="U237" s="31" t="n">
        <x:f>IF(T237="","",I237*T237)</x:f>
        <x:v>267.55118440902964</x:v>
      </x:c>
    </x:row>
    <x:row r="238" ht="18" customHeight="1">
      <x:c r="A238" s="24" t="str">
        <x:v>LME_006</x:v>
      </x:c>
      <x:c r="B238" s="24" t="str">
        <x:v>Southeast U.S. Continental Shelf</x:v>
      </x:c>
      <x:c r="C238" s="24" t="str">
        <x:v>LME</x:v>
      </x:c>
      <x:c r="D238" s="30" t="n">
        <x:v>2019</x:v>
      </x:c>
      <x:c r="E238" s="24" t="str">
        <x:v>Octopodidae</x:v>
      </x:c>
      <x:c r="F238" s="24" t="str">
        <x:v>Octopuses</x:v>
      </x:c>
      <x:c r="G238" s="24" t="str">
        <x:v>Cephalopods</x:v>
      </x:c>
      <x:c r="H238" s="24" t="str">
        <x:v>Other fishes &amp; inverts</x:v>
      </x:c>
      <x:c r="I238" s="31" t="n">
        <x:v>0.11060842019999999</x:v>
      </x:c>
      <x:c r="J238" s="31" t="n">
        <x:v>0.11060842019999999</x:v>
      </x:c>
      <x:c r="K238" s="31" t="n">
        <x:v>0</x:v>
      </x:c>
      <x:c r="L238" s="31" t="n">
        <x:v>0.11060842019999999</x:v>
      </x:c>
      <x:c r="M238" s="31" t="n">
        <x:v>0</x:v>
      </x:c>
      <x:c r="N238" s="24" t="str">
        <x:v>octopodidae</x:v>
      </x:c>
      <x:c r="O238" s="32" t="n">
        <x:v>3.59</x:v>
      </x:c>
      <x:c r="P238" s="24" t="str">
        <x:v>exact_sea_around_us</x:v>
      </x:c>
      <x:c r="Q238" s="32" t="str">
        <x:v>Sea Around Us exploited organisms</x:v>
      </x:c>
      <x:c r="R238" s="24" t="str">
        <x:v>high</x:v>
      </x:c>
      <x:c r="S238" s="24" t="str">
        <x:v>Octopodidae</x:v>
      </x:c>
      <x:c r="T238" s="32" t="n">
        <x:f>IF(O238="","",(1/'Metadata'!$B$5)^(O238-1))</x:f>
        <x:v>389.04514499428046</x:v>
      </x:c>
      <x:c r="U238" s="31" t="n">
        <x:f>IF(T238="","",I238*T238)</x:f>
        <x:v>43.031668874297296</x:v>
      </x:c>
    </x:row>
    <x:row r="239" ht="18" customHeight="1">
      <x:c r="A239" s="24" t="str">
        <x:v>LME_006</x:v>
      </x:c>
      <x:c r="B239" s="24" t="str">
        <x:v>Southeast U.S. Continental Shelf</x:v>
      </x:c>
      <x:c r="C239" s="24" t="str">
        <x:v>LME</x:v>
      </x:c>
      <x:c r="D239" s="30" t="n">
        <x:v>2019</x:v>
      </x:c>
      <x:c r="E239" s="24" t="str">
        <x:v>Pomacanthus paru</x:v>
      </x:c>
      <x:c r="F239" s="24" t="str">
        <x:v>French angelfish</x:v>
      </x:c>
      <x:c r="G239" s="24" t="str">
        <x:v>Medium reef assoc. fish (30 - 89 cm)</x:v>
      </x:c>
      <x:c r="H239" s="24" t="str">
        <x:v>Perch-likes</x:v>
      </x:c>
      <x:c r="I239" s="31" t="n">
        <x:v>0.11030962700000001</x:v>
      </x:c>
      <x:c r="J239" s="31" t="n">
        <x:v>0.11030962700000001</x:v>
      </x:c>
      <x:c r="K239" s="31" t="n">
        <x:v>0</x:v>
      </x:c>
      <x:c r="L239" s="31" t="n">
        <x:v>0.11030962700000001</x:v>
      </x:c>
      <x:c r="M239" s="31" t="n">
        <x:v>0</x:v>
      </x:c>
      <x:c r="N239" s="24" t="str">
        <x:v>pomacanthus paru</x:v>
      </x:c>
      <x:c r="O239" s="32" t="n">
        <x:v>2.81</x:v>
      </x:c>
      <x:c r="P239" s="24" t="str">
        <x:v>exact_2020_supplement</x:v>
      </x:c>
      <x:c r="Q239" s="32" t="str">
        <x:v>2020 supplement MeanTL</x:v>
      </x:c>
      <x:c r="R239" s="24" t="str">
        <x:v>high</x:v>
      </x:c>
      <x:c r="S239" s="24" t="str">
        <x:v>Pomacanthus paru</x:v>
      </x:c>
      <x:c r="T239" s="32" t="n">
        <x:f>IF(O239="","",(1/'Metadata'!$B$5)^(O239-1))</x:f>
        <x:v>64.56542290346556</x:v>
      </x:c>
      <x:c r="U239" s="31" t="n">
        <x:f>IF(T239="","",I239*T239)</x:f>
        <x:v>7.1221877175785435</x:v>
      </x:c>
    </x:row>
    <x:row r="240" ht="18" customHeight="1">
      <x:c r="A240" s="24" t="str">
        <x:v>LME_006</x:v>
      </x:c>
      <x:c r="B240" s="24" t="str">
        <x:v>Southeast U.S. Continental Shelf</x:v>
      </x:c>
      <x:c r="C240" s="24" t="str">
        <x:v>LME</x:v>
      </x:c>
      <x:c r="D240" s="30" t="n">
        <x:v>2019</x:v>
      </x:c>
      <x:c r="E240" s="24" t="str">
        <x:v>Thalassoma bifasciatum</x:v>
      </x:c>
      <x:c r="F240" s="24" t="str">
        <x:v>Bluehead</x:v>
      </x:c>
      <x:c r="G240" s="24" t="str">
        <x:v>Small reef assoc. fish (&lt;30 cm)</x:v>
      </x:c>
      <x:c r="H240" s="24" t="str">
        <x:v>Perch-likes</x:v>
      </x:c>
      <x:c r="I240" s="31" t="n">
        <x:v>0.1072346031</x:v>
      </x:c>
      <x:c r="J240" s="31" t="n">
        <x:v>0.1072346031</x:v>
      </x:c>
      <x:c r="K240" s="31" t="n">
        <x:v>0</x:v>
      </x:c>
      <x:c r="L240" s="31" t="n">
        <x:v>0.1072346031</x:v>
      </x:c>
      <x:c r="M240" s="31" t="n">
        <x:v>0</x:v>
      </x:c>
      <x:c r="N240" s="24" t="str">
        <x:v>thalassoma bifasciatum</x:v>
      </x:c>
      <x:c r="O240" s="32" t="n">
        <x:v>3.3</x:v>
      </x:c>
      <x:c r="P240" s="24" t="str">
        <x:v>exact_2020_supplement</x:v>
      </x:c>
      <x:c r="Q240" s="32" t="str">
        <x:v>2020 supplement MeanTL</x:v>
      </x:c>
      <x:c r="R240" s="24" t="str">
        <x:v>high</x:v>
      </x:c>
      <x:c r="S240" s="24" t="str">
        <x:v>Thalassoma bifasciatum</x:v>
      </x:c>
      <x:c r="T240" s="32" t="n">
        <x:f>IF(O240="","",(1/'Metadata'!$B$5)^(O240-1))</x:f>
        <x:v>199.52623149688787</x:v>
      </x:c>
      <x:c r="U240" s="31" t="n">
        <x:f>IF(T240="","",I240*T240)</x:f>
        <x:v>21.39611624260749</x:v>
      </x:c>
    </x:row>
    <x:row r="241" ht="18" customHeight="1">
      <x:c r="A241" s="24" t="str">
        <x:v>LME_006</x:v>
      </x:c>
      <x:c r="B241" s="24" t="str">
        <x:v>Southeast U.S. Continental Shelf</x:v>
      </x:c>
      <x:c r="C241" s="24" t="str">
        <x:v>LME</x:v>
      </x:c>
      <x:c r="D241" s="30" t="n">
        <x:v>2019</x:v>
      </x:c>
      <x:c r="E241" s="24" t="str">
        <x:v>Acanthurus coeruleus</x:v>
      </x:c>
      <x:c r="F241" s="24" t="str">
        <x:v>Blue tang surgeonfish</x:v>
      </x:c>
      <x:c r="G241" s="24" t="str">
        <x:v>Medium reef assoc. fish (30 - 89 cm)</x:v>
      </x:c>
      <x:c r="H241" s="24" t="str">
        <x:v>Perch-likes</x:v>
      </x:c>
      <x:c r="I241" s="31" t="n">
        <x:v>0.0905399568</x:v>
      </x:c>
      <x:c r="J241" s="31" t="n">
        <x:v>0.0905399568</x:v>
      </x:c>
      <x:c r="K241" s="31" t="n">
        <x:v>0</x:v>
      </x:c>
      <x:c r="L241" s="31" t="n">
        <x:v>0.0905399568</x:v>
      </x:c>
      <x:c r="M241" s="31" t="n">
        <x:v>0</x:v>
      </x:c>
      <x:c r="N241" s="24" t="str">
        <x:v>acanthurus coeruleus</x:v>
      </x:c>
      <x:c r="O241" s="32" t="n">
        <x:v>2.01</x:v>
      </x:c>
      <x:c r="P241" s="24" t="str">
        <x:v>exact_2020_supplement</x:v>
      </x:c>
      <x:c r="Q241" s="32" t="str">
        <x:v>2020 supplement MeanTL</x:v>
      </x:c>
      <x:c r="R241" s="24" t="str">
        <x:v>high</x:v>
      </x:c>
      <x:c r="S241" s="24" t="str">
        <x:v>Acanthurus coeruleus</x:v>
      </x:c>
      <x:c r="T241" s="32" t="n">
        <x:f>IF(O241="","",(1/'Metadata'!$B$5)^(O241-1))</x:f>
        <x:v>10.232929922807536</x:v>
      </x:c>
      <x:c r="U241" s="31" t="n">
        <x:f>IF(T241="","",I241*T241)</x:f>
        <x:v>0.9264890331484217</x:v>
      </x:c>
    </x:row>
    <x:row r="242" ht="18" customHeight="1">
      <x:c r="A242" s="24" t="str">
        <x:v>LME_006</x:v>
      </x:c>
      <x:c r="B242" s="24" t="str">
        <x:v>Southeast U.S. Continental Shelf</x:v>
      </x:c>
      <x:c r="C242" s="24" t="str">
        <x:v>LME</x:v>
      </x:c>
      <x:c r="D242" s="30" t="n">
        <x:v>2019</x:v>
      </x:c>
      <x:c r="E242" s="24" t="str">
        <x:v>Holacanthus tricolor</x:v>
      </x:c>
      <x:c r="F242" s="24" t="str">
        <x:v>Rock beauty</x:v>
      </x:c>
      <x:c r="G242" s="24" t="str">
        <x:v>Medium reef assoc. fish (30 - 89 cm)</x:v>
      </x:c>
      <x:c r="H242" s="24" t="str">
        <x:v>Perch-likes</x:v>
      </x:c>
      <x:c r="I242" s="31" t="n">
        <x:v>0.0888697279</x:v>
      </x:c>
      <x:c r="J242" s="31" t="n">
        <x:v>0.0888697279</x:v>
      </x:c>
      <x:c r="K242" s="31" t="n">
        <x:v>0</x:v>
      </x:c>
      <x:c r="L242" s="31" t="n">
        <x:v>0.0888697279</x:v>
      </x:c>
      <x:c r="M242" s="31" t="n">
        <x:v>0</x:v>
      </x:c>
      <x:c r="N242" s="24" t="str">
        <x:v>holacanthus tricolor</x:v>
      </x:c>
      <x:c r="O242" s="32" t="n">
        <x:v>3.01</x:v>
      </x:c>
      <x:c r="P242" s="24" t="str">
        <x:v>exact_2020_supplement</x:v>
      </x:c>
      <x:c r="Q242" s="32" t="str">
        <x:v>2020 supplement MeanTL</x:v>
      </x:c>
      <x:c r="R242" s="24" t="str">
        <x:v>high</x:v>
      </x:c>
      <x:c r="S242" s="24" t="str">
        <x:v>Holacanthus tricolor</x:v>
      </x:c>
      <x:c r="T242" s="32" t="n">
        <x:f>IF(O242="","",(1/'Metadata'!$B$5)^(O242-1))</x:f>
        <x:v>102.32929922807536</x:v>
      </x:c>
      <x:c r="U242" s="31" t="n">
        <x:f>IF(T242="","",I242*T242)</x:f>
        <x:v>9.093976978596737</x:v>
      </x:c>
    </x:row>
    <x:row r="243" ht="18" customHeight="1">
      <x:c r="A243" s="24" t="str">
        <x:v>LME_006</x:v>
      </x:c>
      <x:c r="B243" s="24" t="str">
        <x:v>Southeast U.S. Continental Shelf</x:v>
      </x:c>
      <x:c r="C243" s="24" t="str">
        <x:v>LME</x:v>
      </x:c>
      <x:c r="D243" s="30" t="n">
        <x:v>2019</x:v>
      </x:c>
      <x:c r="E243" s="24" t="str">
        <x:v>Paranthias furcifer</x:v>
      </x:c>
      <x:c r="F243" s="24" t="str">
        <x:v>Creole-fish</x:v>
      </x:c>
      <x:c r="G243" s="24" t="str">
        <x:v>Medium benthopelagics (30 - 89 cm)</x:v>
      </x:c>
      <x:c r="H243" s="24" t="str">
        <x:v>Perch-likes</x:v>
      </x:c>
      <x:c r="I243" s="31" t="n">
        <x:v>0.0875326074</x:v>
      </x:c>
      <x:c r="J243" s="31" t="n">
        <x:v>0.0875326074</x:v>
      </x:c>
      <x:c r="K243" s="31" t="n">
        <x:v>0</x:v>
      </x:c>
      <x:c r="L243" s="31" t="n">
        <x:v>0.0833945741</x:v>
      </x:c>
      <x:c r="M243" s="31" t="n">
        <x:v>0.0041380333</x:v>
      </x:c>
      <x:c r="N243" s="24" t="str">
        <x:v>paranthias furcifer</x:v>
      </x:c>
      <x:c r="O243" s="32" t="n">
        <x:v>3.21</x:v>
      </x:c>
      <x:c r="P243" s="24" t="str">
        <x:v>exact_2020_supplement</x:v>
      </x:c>
      <x:c r="Q243" s="32" t="str">
        <x:v>2020 supplement MeanTL</x:v>
      </x:c>
      <x:c r="R243" s="24" t="str">
        <x:v>high</x:v>
      </x:c>
      <x:c r="S243" s="24" t="str">
        <x:v>Paranthias furcifer</x:v>
      </x:c>
      <x:c r="T243" s="32" t="n">
        <x:f>IF(O243="","",(1/'Metadata'!$B$5)^(O243-1))</x:f>
        <x:v>162.18100973589299</x:v>
      </x:c>
      <x:c r="U243" s="31" t="n">
        <x:f>IF(T243="","",I243*T243)</x:f>
        <x:v>14.196126652947498</x:v>
      </x:c>
    </x:row>
    <x:row r="244" ht="18" customHeight="1">
      <x:c r="A244" s="24" t="str">
        <x:v>LME_006</x:v>
      </x:c>
      <x:c r="B244" s="24" t="str">
        <x:v>Southeast U.S. Continental Shelf</x:v>
      </x:c>
      <x:c r="C244" s="24" t="str">
        <x:v>LME</x:v>
      </x:c>
      <x:c r="D244" s="30" t="n">
        <x:v>2019</x:v>
      </x:c>
      <x:c r="E244" s="24" t="str">
        <x:v>Ophioderma squamosissimum</x:v>
      </x:c>
      <x:c r="F244" s="24" t="str">
        <x:v>Scaly brittle star</x:v>
      </x:c>
      <x:c r="G244" s="24" t="str">
        <x:v>Other demersal invertebrates</x:v>
      </x:c>
      <x:c r="H244" s="24" t="str">
        <x:v>Other fishes &amp; inverts</x:v>
      </x:c>
      <x:c r="I244" s="31" t="n">
        <x:v>0.0753320365</x:v>
      </x:c>
      <x:c r="J244" s="31" t="n">
        <x:v>0.0753320365</x:v>
      </x:c>
      <x:c r="K244" s="31" t="n">
        <x:v>0</x:v>
      </x:c>
      <x:c r="L244" s="31" t="n">
        <x:v>0.0753320365</x:v>
      </x:c>
      <x:c r="M244" s="31" t="n">
        <x:v>0</x:v>
      </x:c>
      <x:c r="N244" s="24" t="str">
        <x:v>ophioderma squamosissimum</x:v>
      </x:c>
      <x:c r="O244" s="32" t="n">
        <x:v>2.61</x:v>
      </x:c>
      <x:c r="P244" s="24" t="str">
        <x:v>exact_sea_around_us</x:v>
      </x:c>
      <x:c r="Q244" s="32" t="str">
        <x:v>Sea Around Us exploited organisms</x:v>
      </x:c>
      <x:c r="R244" s="24" t="str">
        <x:v>high</x:v>
      </x:c>
      <x:c r="S244" s="24" t="str">
        <x:v>Ophioderma squamosissimum</x:v>
      </x:c>
      <x:c r="T244" s="32" t="n">
        <x:f>IF(O244="","",(1/'Metadata'!$B$5)^(O244-1))</x:f>
        <x:v>40.73802778041126</x:v>
      </x:c>
      <x:c r="U244" s="31" t="n">
        <x:f>IF(T244="","",I244*T244)</x:f>
        <x:v>3.068878595691955</x:v>
      </x:c>
    </x:row>
    <x:row r="245" ht="18" customHeight="1">
      <x:c r="A245" s="24" t="str">
        <x:v>LME_006</x:v>
      </x:c>
      <x:c r="B245" s="24" t="str">
        <x:v>Southeast U.S. Continental Shelf</x:v>
      </x:c>
      <x:c r="C245" s="24" t="str">
        <x:v>LME</x:v>
      </x:c>
      <x:c r="D245" s="30" t="n">
        <x:v>2019</x:v>
      </x:c>
      <x:c r="E245" s="24" t="str">
        <x:v>Auxis rochei</x:v>
      </x:c>
      <x:c r="F245" s="24" t="str">
        <x:v>Bullet tuna</x:v>
      </x:c>
      <x:c r="G245" s="24" t="str">
        <x:v>Medium pelagics (30 - 89 cm)</x:v>
      </x:c>
      <x:c r="H245" s="24" t="str">
        <x:v>Tuna &amp; billfishes</x:v>
      </x:c>
      <x:c r="I245" s="31" t="n">
        <x:v>0.07255805209999999</x:v>
      </x:c>
      <x:c r="J245" s="31" t="n">
        <x:v>0.07255805209999999</x:v>
      </x:c>
      <x:c r="K245" s="31" t="n">
        <x:v>0</x:v>
      </x:c>
      <x:c r="L245" s="31" t="n">
        <x:v>0.07255805209999999</x:v>
      </x:c>
      <x:c r="M245" s="31" t="n">
        <x:v>0</x:v>
      </x:c>
      <x:c r="N245" s="24" t="str">
        <x:v>auxis rochei</x:v>
      </x:c>
      <x:c r="O245" s="32" t="n">
        <x:v>4.13</x:v>
      </x:c>
      <x:c r="P245" s="24" t="str">
        <x:v>exact_2020_supplement</x:v>
      </x:c>
      <x:c r="Q245" s="32" t="str">
        <x:v>2020 supplement MeanTL</x:v>
      </x:c>
      <x:c r="R245" s="24" t="str">
        <x:v>high</x:v>
      </x:c>
      <x:c r="S245" s="24" t="str">
        <x:v>Auxis rochei</x:v>
      </x:c>
      <x:c r="T245" s="32" t="n">
        <x:f>IF(O245="","",(1/'Metadata'!$B$5)^(O245-1))</x:f>
        <x:v>1348.9628825916532</x:v>
      </x:c>
      <x:c r="U245" s="31" t="n">
        <x:f>IF(T245="","",I245*T245)</x:f>
        <x:v>97.87811911605134</x:v>
      </x:c>
    </x:row>
    <x:row r="246" ht="18" customHeight="1">
      <x:c r="A246" s="24" t="str">
        <x:v>LME_006</x:v>
      </x:c>
      <x:c r="B246" s="24" t="str">
        <x:v>Southeast U.S. Continental Shelf</x:v>
      </x:c>
      <x:c r="C246" s="24" t="str">
        <x:v>LME</x:v>
      </x:c>
      <x:c r="D246" s="30" t="n">
        <x:v>2019</x:v>
      </x:c>
      <x:c r="E246" s="24" t="str">
        <x:v>Pareques acuminatus</x:v>
      </x:c>
      <x:c r="F246" s="24" t="str">
        <x:v>High-hat</x:v>
      </x:c>
      <x:c r="G246" s="24" t="str">
        <x:v>Small reef assoc. fish (&lt;30 cm)</x:v>
      </x:c>
      <x:c r="H246" s="24" t="str">
        <x:v>Perch-likes</x:v>
      </x:c>
      <x:c r="I246" s="31" t="n">
        <x:v>0.0645110999</x:v>
      </x:c>
      <x:c r="J246" s="31" t="n">
        <x:v>0.0645110999</x:v>
      </x:c>
      <x:c r="K246" s="31" t="n">
        <x:v>0</x:v>
      </x:c>
      <x:c r="L246" s="31" t="n">
        <x:v>0.0645110999</x:v>
      </x:c>
      <x:c r="M246" s="31" t="n">
        <x:v>0</x:v>
      </x:c>
      <x:c r="N246" s="24" t="str">
        <x:v>pareques acuminatus</x:v>
      </x:c>
      <x:c r="O246" s="32" t="n">
        <x:v>3.59</x:v>
      </x:c>
      <x:c r="P246" s="24" t="str">
        <x:v>exact_2020_supplement</x:v>
      </x:c>
      <x:c r="Q246" s="32" t="str">
        <x:v>2020 supplement MeanTL</x:v>
      </x:c>
      <x:c r="R246" s="24" t="str">
        <x:v>high</x:v>
      </x:c>
      <x:c r="S246" s="24" t="str">
        <x:v>Pareques acuminatus</x:v>
      </x:c>
      <x:c r="T246" s="32" t="n">
        <x:f>IF(O246="","",(1/'Metadata'!$B$5)^(O246-1))</x:f>
        <x:v>389.04514499428046</x:v>
      </x:c>
      <x:c r="U246" s="31" t="n">
        <x:f>IF(T246="","",I246*T246)</x:f>
        <x:v>25.09773021433601</x:v>
      </x:c>
    </x:row>
    <x:row r="247" ht="18" customHeight="1">
      <x:c r="A247" s="24" t="str">
        <x:v>LME_006</x:v>
      </x:c>
      <x:c r="B247" s="24" t="str">
        <x:v>Southeast U.S. Continental Shelf</x:v>
      </x:c>
      <x:c r="C247" s="24" t="str">
        <x:v>LME</x:v>
      </x:c>
      <x:c r="D247" s="30" t="n">
        <x:v>2019</x:v>
      </x:c>
      <x:c r="E247" s="24" t="str">
        <x:v>Squalidae</x:v>
      </x:c>
      <x:c r="F247" s="24" t="str">
        <x:v>Dogfish sharks</x:v>
      </x:c>
      <x:c r="G247" s="24" t="str">
        <x:v>Large sharks (&gt;=90 cm)</x:v>
      </x:c>
      <x:c r="H247" s="24" t="str">
        <x:v>Sharks &amp; rays</x:v>
      </x:c>
      <x:c r="I247" s="31" t="n">
        <x:v>0.06370447</x:v>
      </x:c>
      <x:c r="J247" s="31" t="n">
        <x:v>0.06370447</x:v>
      </x:c>
      <x:c r="K247" s="31" t="n">
        <x:v>0</x:v>
      </x:c>
      <x:c r="L247" s="31" t="n">
        <x:v>0</x:v>
      </x:c>
      <x:c r="M247" s="31" t="n">
        <x:v>0.06370447</x:v>
      </x:c>
      <x:c r="N247" s="24" t="str">
        <x:v>squalidae</x:v>
      </x:c>
      <x:c r="O247" s="32" t="n">
        <x:v>4.23</x:v>
      </x:c>
      <x:c r="P247" s="24" t="str">
        <x:v>exact_sea_around_us</x:v>
      </x:c>
      <x:c r="Q247" s="32" t="str">
        <x:v>Sea Around Us exploited organisms</x:v>
      </x:c>
      <x:c r="R247" s="24" t="str">
        <x:v>high</x:v>
      </x:c>
      <x:c r="S247" s="24" t="str">
        <x:v>Squalidae</x:v>
      </x:c>
      <x:c r="T247" s="32" t="n">
        <x:f>IF(O247="","",(1/'Metadata'!$B$5)^(O247-1))</x:f>
        <x:v>1698.243652461746</x:v>
      </x:c>
      <x:c r="U247" s="31" t="n">
        <x:f>IF(T247="","",I247*T247)</x:f>
        <x:v>108.18571181093972</x:v>
      </x:c>
    </x:row>
    <x:row r="248" ht="18" customHeight="1">
      <x:c r="A248" s="24" t="str">
        <x:v>LME_006</x:v>
      </x:c>
      <x:c r="B248" s="24" t="str">
        <x:v>Southeast U.S. Continental Shelf</x:v>
      </x:c>
      <x:c r="C248" s="24" t="str">
        <x:v>LME</x:v>
      </x:c>
      <x:c r="D248" s="30" t="n">
        <x:v>2019</x:v>
      </x:c>
      <x:c r="E248" s="24" t="str">
        <x:v>Argopecten irradians</x:v>
      </x:c>
      <x:c r="F248" s="24" t="str">
        <x:v>Atlantic bay scallop</x:v>
      </x:c>
      <x:c r="G248" s="24" t="str">
        <x:v>Other demersal invertebrates</x:v>
      </x:c>
      <x:c r="H248" s="24" t="str">
        <x:v>Molluscs</x:v>
      </x:c>
      <x:c r="I248" s="31" t="n">
        <x:v>0.0628719521</x:v>
      </x:c>
      <x:c r="J248" s="31" t="n">
        <x:v>0.0628719521</x:v>
      </x:c>
      <x:c r="K248" s="31" t="n">
        <x:v>0</x:v>
      </x:c>
      <x:c r="L248" s="31" t="n">
        <x:v>0</x:v>
      </x:c>
      <x:c r="M248" s="31" t="n">
        <x:v>0.0628719521</x:v>
      </x:c>
      <x:c r="N248" s="24" t="str">
        <x:v>argopecten irradians</x:v>
      </x:c>
      <x:c r="O248" s="32" t="n">
        <x:v>2</x:v>
      </x:c>
      <x:c r="P248" s="24" t="str">
        <x:v>exact_sea_around_us</x:v>
      </x:c>
      <x:c r="Q248" s="32" t="str">
        <x:v>Sea Around Us exploited organisms</x:v>
      </x:c>
      <x:c r="R248" s="24" t="str">
        <x:v>high</x:v>
      </x:c>
      <x:c r="S248" s="24" t="str">
        <x:v>Argopecten irradians</x:v>
      </x:c>
      <x:c r="T248" s="32" t="n">
        <x:f>IF(O248="","",(1/'Metadata'!$B$5)^(O248-1))</x:f>
        <x:v>10</x:v>
      </x:c>
      <x:c r="U248" s="31" t="n">
        <x:f>IF(T248="","",I248*T248)</x:f>
        <x:v>0.6287195210000001</x:v>
      </x:c>
    </x:row>
    <x:row r="249" ht="18" customHeight="1">
      <x:c r="A249" s="24" t="str">
        <x:v>LME_006</x:v>
      </x:c>
      <x:c r="B249" s="24" t="str">
        <x:v>Southeast U.S. Continental Shelf</x:v>
      </x:c>
      <x:c r="C249" s="24" t="str">
        <x:v>LME</x:v>
      </x:c>
      <x:c r="D249" s="30" t="n">
        <x:v>2019</x:v>
      </x:c>
      <x:c r="E249" s="24" t="str">
        <x:v>Ophioderma brevispinum</x:v>
      </x:c>
      <x:c r="F249" s="24" t="str">
        <x:v>Short-spined brittle star</x:v>
      </x:c>
      <x:c r="G249" s="24" t="str">
        <x:v>Other demersal invertebrates</x:v>
      </x:c>
      <x:c r="H249" s="24" t="str">
        <x:v>Other fishes &amp; inverts</x:v>
      </x:c>
      <x:c r="I249" s="31" t="n">
        <x:v>0.054014898500000005</x:v>
      </x:c>
      <x:c r="J249" s="31" t="n">
        <x:v>0.054014898500000005</x:v>
      </x:c>
      <x:c r="K249" s="31" t="n">
        <x:v>0</x:v>
      </x:c>
      <x:c r="L249" s="31" t="n">
        <x:v>0.054014898500000005</x:v>
      </x:c>
      <x:c r="M249" s="31" t="n">
        <x:v>0</x:v>
      </x:c>
      <x:c r="N249" s="24" t="str">
        <x:v>ophioderma brevispinum</x:v>
      </x:c>
      <x:c r="O249" s="32" t="n">
        <x:v>3.22</x:v>
      </x:c>
      <x:c r="P249" s="24" t="str">
        <x:v>exact_sea_around_us</x:v>
      </x:c>
      <x:c r="Q249" s="32" t="str">
        <x:v>Sea Around Us exploited organisms</x:v>
      </x:c>
      <x:c r="R249" s="24" t="str">
        <x:v>high</x:v>
      </x:c>
      <x:c r="S249" s="24" t="str">
        <x:v>Ophioderma brevispinum</x:v>
      </x:c>
      <x:c r="T249" s="32" t="n">
        <x:f>IF(O249="","",(1/'Metadata'!$B$5)^(O249-1))</x:f>
        <x:v>165.95869074375614</x:v>
      </x:c>
      <x:c r="U249" s="31" t="n">
        <x:f>IF(T249="","",I249*T249)</x:f>
        <x:v>8.964241835716878</x:v>
      </x:c>
    </x:row>
    <x:row r="250" ht="18" customHeight="1">
      <x:c r="A250" s="24" t="str">
        <x:v>LME_006</x:v>
      </x:c>
      <x:c r="B250" s="24" t="str">
        <x:v>Southeast U.S. Continental Shelf</x:v>
      </x:c>
      <x:c r="C250" s="24" t="str">
        <x:v>LME</x:v>
      </x:c>
      <x:c r="D250" s="30" t="n">
        <x:v>2019</x:v>
      </x:c>
      <x:c r="E250" s="24" t="str">
        <x:v>Ophidiidae</x:v>
      </x:c>
      <x:c r="F250" s="24" t="str">
        <x:v>Cuskeels</x:v>
      </x:c>
      <x:c r="G250" s="24" t="str">
        <x:v>Large bathydemersals (&gt;=90 cm)</x:v>
      </x:c>
      <x:c r="H250" s="24" t="str">
        <x:v>Other fishes &amp; inverts</x:v>
      </x:c>
      <x:c r="I250" s="31" t="n">
        <x:v>0.0491809562</x:v>
      </x:c>
      <x:c r="J250" s="31" t="n">
        <x:v>0.0491809562</x:v>
      </x:c>
      <x:c r="K250" s="31" t="n">
        <x:v>0</x:v>
      </x:c>
      <x:c r="L250" s="31" t="n">
        <x:v>0.0491809562</x:v>
      </x:c>
      <x:c r="M250" s="31" t="n">
        <x:v>0</x:v>
      </x:c>
      <x:c r="N250" s="24" t="str">
        <x:v>ophidiidae</x:v>
      </x:c>
      <x:c r="O250" s="32" t="n">
        <x:v>3.67</x:v>
      </x:c>
      <x:c r="P250" s="24" t="str">
        <x:v>exact_sea_around_us</x:v>
      </x:c>
      <x:c r="Q250" s="32" t="str">
        <x:v>Sea Around Us exploited organisms</x:v>
      </x:c>
      <x:c r="R250" s="24" t="str">
        <x:v>high</x:v>
      </x:c>
      <x:c r="S250" s="24" t="str">
        <x:v>Ophidiidae</x:v>
      </x:c>
      <x:c r="T250" s="32" t="n">
        <x:f>IF(O250="","",(1/'Metadata'!$B$5)^(O250-1))</x:f>
        <x:v>467.73514128719813</x:v>
      </x:c>
      <x:c r="U250" s="31" t="n">
        <x:f>IF(T250="","",I250*T250)</x:f>
        <x:v>23.003661496846505</x:v>
      </x:c>
    </x:row>
    <x:row r="251" ht="18" customHeight="1">
      <x:c r="A251" s="24" t="str">
        <x:v>LME_006</x:v>
      </x:c>
      <x:c r="B251" s="24" t="str">
        <x:v>Southeast U.S. Continental Shelf</x:v>
      </x:c>
      <x:c r="C251" s="24" t="str">
        <x:v>LME</x:v>
      </x:c>
      <x:c r="D251" s="30" t="n">
        <x:v>2019</x:v>
      </x:c>
      <x:c r="E251" s="24" t="str">
        <x:v>Urophycis chuss</x:v>
      </x:c>
      <x:c r="F251" s="24" t="str">
        <x:v>Red hake</x:v>
      </x:c>
      <x:c r="G251" s="24" t="str">
        <x:v>Medium demersals (30 - 89 cm)</x:v>
      </x:c>
      <x:c r="H251" s="24" t="str">
        <x:v>Cod-likes</x:v>
      </x:c>
      <x:c r="I251" s="31" t="n">
        <x:v>0.043998424</x:v>
      </x:c>
      <x:c r="J251" s="31" t="n">
        <x:v>0.043998424</x:v>
      </x:c>
      <x:c r="K251" s="31" t="n">
        <x:v>0</x:v>
      </x:c>
      <x:c r="L251" s="31" t="n">
        <x:v>0</x:v>
      </x:c>
      <x:c r="M251" s="31" t="n">
        <x:v>0.043998424</x:v>
      </x:c>
      <x:c r="N251" s="24" t="str">
        <x:v>urophycis chuss</x:v>
      </x:c>
      <x:c r="O251" s="32" t="n">
        <x:v>3.72</x:v>
      </x:c>
      <x:c r="P251" s="24" t="str">
        <x:v>exact_2020_supplement</x:v>
      </x:c>
      <x:c r="Q251" s="32" t="str">
        <x:v>2020 supplement MeanTL</x:v>
      </x:c>
      <x:c r="R251" s="24" t="str">
        <x:v>high</x:v>
      </x:c>
      <x:c r="S251" s="24" t="str">
        <x:v>Urophycis chuss</x:v>
      </x:c>
      <x:c r="T251" s="32" t="n">
        <x:f>IF(O251="","",(1/'Metadata'!$B$5)^(O251-1))</x:f>
        <x:v>524.8074602497728</x:v>
      </x:c>
      <x:c r="U251" s="31" t="n">
        <x:f>IF(T251="","",I251*T251)</x:f>
        <x:v>23.09070115443265</x:v>
      </x:c>
    </x:row>
    <x:row r="252" ht="18" customHeight="1">
      <x:c r="A252" s="24" t="str">
        <x:v>LME_006</x:v>
      </x:c>
      <x:c r="B252" s="24" t="str">
        <x:v>Southeast U.S. Continental Shelf</x:v>
      </x:c>
      <x:c r="C252" s="24" t="str">
        <x:v>LME</x:v>
      </x:c>
      <x:c r="D252" s="30" t="n">
        <x:v>2019</x:v>
      </x:c>
      <x:c r="E252" s="24" t="str">
        <x:v>Stenopus hispidus</x:v>
      </x:c>
      <x:c r="F252" s="24" t="str">
        <x:v>Banded coral shrimp</x:v>
      </x:c>
      <x:c r="G252" s="24" t="str">
        <x:v>Shrimps</x:v>
      </x:c>
      <x:c r="H252" s="24" t="str">
        <x:v>Crustaceans</x:v>
      </x:c>
      <x:c r="I252" s="31" t="n">
        <x:v>0.0425952388</x:v>
      </x:c>
      <x:c r="J252" s="31" t="n">
        <x:v>0.0425952388</x:v>
      </x:c>
      <x:c r="K252" s="31" t="n">
        <x:v>0</x:v>
      </x:c>
      <x:c r="L252" s="31" t="n">
        <x:v>0.0425952388</x:v>
      </x:c>
      <x:c r="M252" s="31" t="n">
        <x:v>0</x:v>
      </x:c>
      <x:c r="N252" s="24" t="str">
        <x:v>stenopus hispidus</x:v>
      </x:c>
      <x:c r="O252" s="32" t="n">
        <x:v>2.86</x:v>
      </x:c>
      <x:c r="P252" s="24" t="str">
        <x:v>exact_sea_around_us</x:v>
      </x:c>
      <x:c r="Q252" s="32" t="str">
        <x:v>Sea Around Us exploited organisms</x:v>
      </x:c>
      <x:c r="R252" s="24" t="str">
        <x:v>high</x:v>
      </x:c>
      <x:c r="S252" s="24" t="str">
        <x:v>Stenopus hispidus</x:v>
      </x:c>
      <x:c r="T252" s="32" t="n">
        <x:f>IF(O252="","",(1/'Metadata'!$B$5)^(O252-1))</x:f>
        <x:v>72.44359600749898</x:v>
      </x:c>
      <x:c r="U252" s="31" t="n">
        <x:f>IF(T252="","",I252*T252)</x:f>
        <x:v>3.0857522714701457</x:v>
      </x:c>
    </x:row>
    <x:row r="253" ht="18" customHeight="1">
      <x:c r="A253" s="24" t="str">
        <x:v>LME_006</x:v>
      </x:c>
      <x:c r="B253" s="24" t="str">
        <x:v>Southeast U.S. Continental Shelf</x:v>
      </x:c>
      <x:c r="C253" s="24" t="str">
        <x:v>LME</x:v>
      </x:c>
      <x:c r="D253" s="30" t="n">
        <x:v>2019</x:v>
      </x:c>
      <x:c r="E253" s="24" t="str">
        <x:v>Acanthurus bahianus</x:v>
      </x:c>
      <x:c r="F253" s="24" t="str">
        <x:v>Ocean surgeon</x:v>
      </x:c>
      <x:c r="G253" s="24" t="str">
        <x:v>Medium reef assoc. fish (30 - 89 cm)</x:v>
      </x:c>
      <x:c r="H253" s="24" t="str">
        <x:v>Perch-likes</x:v>
      </x:c>
      <x:c r="I253" s="31" t="n">
        <x:v>0.0409574421</x:v>
      </x:c>
      <x:c r="J253" s="31" t="n">
        <x:v>0.0409574421</x:v>
      </x:c>
      <x:c r="K253" s="31" t="n">
        <x:v>0</x:v>
      </x:c>
      <x:c r="L253" s="31" t="n">
        <x:v>0.0409574421</x:v>
      </x:c>
      <x:c r="M253" s="31" t="n">
        <x:v>0</x:v>
      </x:c>
      <x:c r="N253" s="24" t="str">
        <x:v>acanthurus bahianus</x:v>
      </x:c>
      <x:c r="O253" s="32" t="n">
        <x:v>2</x:v>
      </x:c>
      <x:c r="P253" s="24" t="str">
        <x:v>exact_2020_supplement</x:v>
      </x:c>
      <x:c r="Q253" s="32" t="str">
        <x:v>2020 supplement MeanTL</x:v>
      </x:c>
      <x:c r="R253" s="24" t="str">
        <x:v>high</x:v>
      </x:c>
      <x:c r="S253" s="24" t="str">
        <x:v>Acanthurus bahianus</x:v>
      </x:c>
      <x:c r="T253" s="32" t="n">
        <x:f>IF(O253="","",(1/'Metadata'!$B$5)^(O253-1))</x:f>
        <x:v>10</x:v>
      </x:c>
      <x:c r="U253" s="31" t="n">
        <x:f>IF(T253="","",I253*T253)</x:f>
        <x:v>0.40957442099999997</x:v>
      </x:c>
    </x:row>
    <x:row r="254" ht="18" customHeight="1">
      <x:c r="A254" s="24" t="str">
        <x:v>LME_006</x:v>
      </x:c>
      <x:c r="B254" s="24" t="str">
        <x:v>Southeast U.S. Continental Shelf</x:v>
      </x:c>
      <x:c r="C254" s="24" t="str">
        <x:v>LME</x:v>
      </x:c>
      <x:c r="D254" s="30" t="n">
        <x:v>2019</x:v>
      </x:c>
      <x:c r="E254" s="24" t="str">
        <x:v>Alosa pseudoharengus</x:v>
      </x:c>
      <x:c r="F254" s="24" t="str">
        <x:v>Alewife</x:v>
      </x:c>
      <x:c r="G254" s="24" t="str">
        <x:v>Medium pelagics (30 - 89 cm)</x:v>
      </x:c>
      <x:c r="H254" s="24" t="str">
        <x:v>Herring-likes</x:v>
      </x:c>
      <x:c r="I254" s="31" t="n">
        <x:v>0.039732120499999996</x:v>
      </x:c>
      <x:c r="J254" s="31" t="n">
        <x:v>0.039732120499999996</x:v>
      </x:c>
      <x:c r="K254" s="31" t="n">
        <x:v>0</x:v>
      </x:c>
      <x:c r="L254" s="31" t="n">
        <x:v>0</x:v>
      </x:c>
      <x:c r="M254" s="31" t="n">
        <x:v>0.039732120499999996</x:v>
      </x:c>
      <x:c r="N254" s="24" t="str">
        <x:v>alosa pseudoharengus</x:v>
      </x:c>
      <x:c r="O254" s="32" t="n">
        <x:v>3.39</x:v>
      </x:c>
      <x:c r="P254" s="24" t="str">
        <x:v>exact_2020_supplement</x:v>
      </x:c>
      <x:c r="Q254" s="32" t="str">
        <x:v>2020 supplement MeanTL</x:v>
      </x:c>
      <x:c r="R254" s="24" t="str">
        <x:v>high</x:v>
      </x:c>
      <x:c r="S254" s="24" t="str">
        <x:v>Alosa pseudoharengus</x:v>
      </x:c>
      <x:c r="T254" s="32" t="n">
        <x:f>IF(O254="","",(1/'Metadata'!$B$5)^(O254-1))</x:f>
        <x:v>245.4708915685031</x:v>
      </x:c>
      <x:c r="U254" s="31" t="n">
        <x:f>IF(T254="","",I254*T254)</x:f>
        <x:v>9.753079043042199</x:v>
      </x:c>
    </x:row>
    <x:row r="255" ht="18" customHeight="1">
      <x:c r="A255" s="24" t="str">
        <x:v>LME_006</x:v>
      </x:c>
      <x:c r="B255" s="24" t="str">
        <x:v>Southeast U.S. Continental Shelf</x:v>
      </x:c>
      <x:c r="C255" s="24" t="str">
        <x:v>LME</x:v>
      </x:c>
      <x:c r="D255" s="30" t="n">
        <x:v>2019</x:v>
      </x:c>
      <x:c r="E255" s="24" t="str">
        <x:v>Sphyrna</x:v>
      </x:c>
      <x:c r="F255" s="24" t="str">
        <x:v>Hammerhead sharks</x:v>
      </x:c>
      <x:c r="G255" s="24" t="str">
        <x:v>Large sharks (&gt;=90 cm)</x:v>
      </x:c>
      <x:c r="H255" s="24" t="str">
        <x:v>Sharks &amp; rays</x:v>
      </x:c>
      <x:c r="I255" s="31" t="n">
        <x:v>0.035017567299999997</x:v>
      </x:c>
      <x:c r="J255" s="31" t="n">
        <x:v>0.035017567299999997</x:v>
      </x:c>
      <x:c r="K255" s="31" t="n">
        <x:v>0</x:v>
      </x:c>
      <x:c r="L255" s="31" t="n">
        <x:v>0</x:v>
      </x:c>
      <x:c r="M255" s="31" t="n">
        <x:v>0.035017567299999997</x:v>
      </x:c>
      <x:c r="N255" s="24" t="str">
        <x:v>sphyrna</x:v>
      </x:c>
      <x:c r="O255" s="32" t="n">
        <x:v>4.2</x:v>
      </x:c>
      <x:c r="P255" s="24" t="str">
        <x:v>exact_sea_around_us</x:v>
      </x:c>
      <x:c r="Q255" s="32" t="str">
        <x:v>Sea Around Us exploited organisms</x:v>
      </x:c>
      <x:c r="R255" s="24" t="str">
        <x:v>high</x:v>
      </x:c>
      <x:c r="S255" s="24" t="str">
        <x:v>Sphyrna</x:v>
      </x:c>
      <x:c r="T255" s="32" t="n">
        <x:f>IF(O255="","",(1/'Metadata'!$B$5)^(O255-1))</x:f>
        <x:v>1584.893192461114</x:v>
      </x:c>
      <x:c r="U255" s="31" t="n">
        <x:f>IF(T255="","",I255*T255)</x:f>
        <x:v>55.49910403031891</x:v>
      </x:c>
    </x:row>
    <x:row r="256" ht="18" customHeight="1">
      <x:c r="A256" s="24" t="str">
        <x:v>LME_006</x:v>
      </x:c>
      <x:c r="B256" s="24" t="str">
        <x:v>Southeast U.S. Continental Shelf</x:v>
      </x:c>
      <x:c r="C256" s="24" t="str">
        <x:v>LME</x:v>
      </x:c>
      <x:c r="D256" s="30" t="n">
        <x:v>2019</x:v>
      </x:c>
      <x:c r="E256" s="24" t="str">
        <x:v>Epinephelus</x:v>
      </x:c>
      <x:c r="F256" s="24" t="str">
        <x:v>Seabasses, hinds</x:v>
      </x:c>
      <x:c r="G256" s="24" t="str">
        <x:v>Medium reef assoc. fish (30 - 89 cm)</x:v>
      </x:c>
      <x:c r="H256" s="24" t="str">
        <x:v>Perch-likes</x:v>
      </x:c>
      <x:c r="I256" s="31" t="n">
        <x:v>0.034629459200000004</x:v>
      </x:c>
      <x:c r="J256" s="31" t="n">
        <x:v>0.034629459200000004</x:v>
      </x:c>
      <x:c r="K256" s="31" t="n">
        <x:v>0</x:v>
      </x:c>
      <x:c r="L256" s="31" t="n">
        <x:v>0</x:v>
      </x:c>
      <x:c r="M256" s="31" t="n">
        <x:v>0.034629459200000004</x:v>
      </x:c>
      <x:c r="N256" s="24" t="str">
        <x:v>epinephelus</x:v>
      </x:c>
      <x:c r="O256" s="32" t="n">
        <x:v>3.84</x:v>
      </x:c>
      <x:c r="P256" s="24" t="str">
        <x:v>exact_sea_around_us</x:v>
      </x:c>
      <x:c r="Q256" s="32" t="str">
        <x:v>Sea Around Us exploited organisms</x:v>
      </x:c>
      <x:c r="R256" s="24" t="str">
        <x:v>high</x:v>
      </x:c>
      <x:c r="S256" s="24" t="str">
        <x:v>Epinephelus</x:v>
      </x:c>
      <x:c r="T256" s="32" t="n">
        <x:f>IF(O256="","",(1/'Metadata'!$B$5)^(O256-1))</x:f>
        <x:v>691.8309709189363</x:v>
      </x:c>
      <x:c r="U256" s="31" t="n">
        <x:f>IF(T256="","",I256*T256)</x:f>
        <x:v>23.95773238073369</x:v>
      </x:c>
    </x:row>
    <x:row r="257" ht="18" customHeight="1">
      <x:c r="A257" s="24" t="str">
        <x:v>LME_006</x:v>
      </x:c>
      <x:c r="B257" s="24" t="str">
        <x:v>Southeast U.S. Continental Shelf</x:v>
      </x:c>
      <x:c r="C257" s="24" t="str">
        <x:v>LME</x:v>
      </x:c>
      <x:c r="D257" s="30" t="n">
        <x:v>2019</x:v>
      </x:c>
      <x:c r="E257" s="24" t="str">
        <x:v>Isurus</x:v>
      </x:c>
      <x:c r="F257" s="24" t="str">
        <x:v>Mako sharks</x:v>
      </x:c>
      <x:c r="G257" s="24" t="str">
        <x:v>Large sharks (&gt;=90 cm)</x:v>
      </x:c>
      <x:c r="H257" s="24" t="str">
        <x:v>Sharks &amp; rays</x:v>
      </x:c>
      <x:c r="I257" s="31" t="n">
        <x:v>0.0326059216</x:v>
      </x:c>
      <x:c r="J257" s="31" t="n">
        <x:v>0.0326059216</x:v>
      </x:c>
      <x:c r="K257" s="31" t="n">
        <x:v>0</x:v>
      </x:c>
      <x:c r="L257" s="31" t="n">
        <x:v>0</x:v>
      </x:c>
      <x:c r="M257" s="31" t="n">
        <x:v>0.0326059216</x:v>
      </x:c>
      <x:c r="N257" s="24" t="str">
        <x:v>isurus</x:v>
      </x:c>
      <x:c r="O257" s="32" t="n">
        <x:v>4.5</x:v>
      </x:c>
      <x:c r="P257" s="24" t="str">
        <x:v>exact_sea_around_us</x:v>
      </x:c>
      <x:c r="Q257" s="32" t="str">
        <x:v>Sea Around Us exploited organisms</x:v>
      </x:c>
      <x:c r="R257" s="24" t="str">
        <x:v>high</x:v>
      </x:c>
      <x:c r="S257" s="24" t="str">
        <x:v>Isurus</x:v>
      </x:c>
      <x:c r="T257" s="32" t="n">
        <x:f>IF(O257="","",(1/'Metadata'!$B$5)^(O257-1))</x:f>
        <x:v>3162.2776601683795</x:v>
      </x:c>
      <x:c r="U257" s="31" t="n">
        <x:f>IF(T257="","",I257*T257)</x:f>
        <x:v>103.10897746488162</x:v>
      </x:c>
    </x:row>
    <x:row r="258" ht="18" customHeight="1">
      <x:c r="A258" s="24" t="str">
        <x:v>LME_006</x:v>
      </x:c>
      <x:c r="B258" s="24" t="str">
        <x:v>Southeast U.S. Continental Shelf</x:v>
      </x:c>
      <x:c r="C258" s="24" t="str">
        <x:v>LME</x:v>
      </x:c>
      <x:c r="D258" s="30" t="n">
        <x:v>2019</x:v>
      </x:c>
      <x:c r="E258" s="24" t="str">
        <x:v>Lytechinus variegatus</x:v>
      </x:c>
      <x:c r="F258" s="24" t="str">
        <x:v>Green sea urchin</x:v>
      </x:c>
      <x:c r="G258" s="24" t="str">
        <x:v>Other demersal invertebrates</x:v>
      </x:c>
      <x:c r="H258" s="24" t="str">
        <x:v>Other fishes &amp; inverts</x:v>
      </x:c>
      <x:c r="I258" s="31" t="n">
        <x:v>0.0230031701</x:v>
      </x:c>
      <x:c r="J258" s="31" t="n">
        <x:v>0.0230031701</x:v>
      </x:c>
      <x:c r="K258" s="31" t="n">
        <x:v>0</x:v>
      </x:c>
      <x:c r="L258" s="31" t="n">
        <x:v>0.0230031701</x:v>
      </x:c>
      <x:c r="M258" s="31" t="n">
        <x:v>0</x:v>
      </x:c>
      <x:c r="N258" s="24" t="str">
        <x:v>lytechinus variegatus</x:v>
      </x:c>
      <x:c r="O258" s="32" t="n">
        <x:v>2</x:v>
      </x:c>
      <x:c r="P258" s="24" t="str">
        <x:v>exact_sea_around_us</x:v>
      </x:c>
      <x:c r="Q258" s="32" t="str">
        <x:v>Sea Around Us exploited organisms</x:v>
      </x:c>
      <x:c r="R258" s="24" t="str">
        <x:v>high</x:v>
      </x:c>
      <x:c r="S258" s="24" t="str">
        <x:v>Lytechinus variegatus</x:v>
      </x:c>
      <x:c r="T258" s="32" t="n">
        <x:f>IF(O258="","",(1/'Metadata'!$B$5)^(O258-1))</x:f>
        <x:v>10</x:v>
      </x:c>
      <x:c r="U258" s="31" t="n">
        <x:f>IF(T258="","",I258*T258)</x:f>
        <x:v>0.230031701</x:v>
      </x:c>
    </x:row>
    <x:row r="259" ht="18" customHeight="1">
      <x:c r="A259" s="24" t="str">
        <x:v>LME_006</x:v>
      </x:c>
      <x:c r="B259" s="24" t="str">
        <x:v>Southeast U.S. Continental Shelf</x:v>
      </x:c>
      <x:c r="C259" s="24" t="str">
        <x:v>LME</x:v>
      </x:c>
      <x:c r="D259" s="30" t="n">
        <x:v>2019</x:v>
      </x:c>
      <x:c r="E259" s="24" t="str">
        <x:v>Canthigaster rostrata</x:v>
      </x:c>
      <x:c r="F259" s="24" t="str">
        <x:v>Caribbean sharpnose-puffer</x:v>
      </x:c>
      <x:c r="G259" s="24" t="str">
        <x:v>Small reef assoc. fish (&lt;30 cm)</x:v>
      </x:c>
      <x:c r="H259" s="24" t="str">
        <x:v>Other fishes &amp; inverts</x:v>
      </x:c>
      <x:c r="I259" s="31" t="n">
        <x:v>0.0208333601</x:v>
      </x:c>
      <x:c r="J259" s="31" t="n">
        <x:v>0.0208333601</x:v>
      </x:c>
      <x:c r="K259" s="31" t="n">
        <x:v>0</x:v>
      </x:c>
      <x:c r="L259" s="31" t="n">
        <x:v>0.0208333601</x:v>
      </x:c>
      <x:c r="M259" s="31" t="n">
        <x:v>0</x:v>
      </x:c>
      <x:c r="N259" s="24" t="str">
        <x:v>canthigaster rostrata</x:v>
      </x:c>
      <x:c r="O259" s="32" t="n">
        <x:v>3.28</x:v>
      </x:c>
      <x:c r="P259" s="24" t="str">
        <x:v>exact_2020_supplement</x:v>
      </x:c>
      <x:c r="Q259" s="32" t="str">
        <x:v>2020 supplement MeanTL</x:v>
      </x:c>
      <x:c r="R259" s="24" t="str">
        <x:v>high</x:v>
      </x:c>
      <x:c r="S259" s="24" t="str">
        <x:v>Canthigaster rostrata</x:v>
      </x:c>
      <x:c r="T259" s="32" t="n">
        <x:f>IF(O259="","",(1/'Metadata'!$B$5)^(O259-1))</x:f>
        <x:v>190.54607179632464</x:v>
      </x:c>
      <x:c r="U259" s="31" t="n">
        <x:f>IF(T259="","",I259*T259)</x:f>
        <x:v>3.969714929373285</x:v>
      </x:c>
    </x:row>
    <x:row r="260" ht="18" customHeight="1">
      <x:c r="A260" s="24" t="str">
        <x:v>LME_006</x:v>
      </x:c>
      <x:c r="B260" s="24" t="str">
        <x:v>Southeast U.S. Continental Shelf</x:v>
      </x:c>
      <x:c r="C260" s="24" t="str">
        <x:v>LME</x:v>
      </x:c>
      <x:c r="D260" s="30" t="n">
        <x:v>2019</x:v>
      </x:c>
      <x:c r="E260" s="24" t="str">
        <x:v>Cyprinidae</x:v>
      </x:c>
      <x:c r="F260" s="24" t="str">
        <x:v>Carps, barbels, other cyprinids</x:v>
      </x:c>
      <x:c r="G260" s="24" t="str">
        <x:v>Medium demersals (30 - 89 cm)</x:v>
      </x:c>
      <x:c r="H260" s="24" t="str">
        <x:v>Other fishes &amp; inverts</x:v>
      </x:c>
      <x:c r="I260" s="31" t="n">
        <x:v>0.019828456</x:v>
      </x:c>
      <x:c r="J260" s="31" t="n">
        <x:v>0.019828456</x:v>
      </x:c>
      <x:c r="K260" s="31" t="n">
        <x:v>0</x:v>
      </x:c>
      <x:c r="L260" s="31" t="n">
        <x:v>0</x:v>
      </x:c>
      <x:c r="M260" s="31" t="n">
        <x:v>0.019828456</x:v>
      </x:c>
      <x:c r="N260" s="24" t="str">
        <x:v>cyprinidae</x:v>
      </x:c>
      <x:c r="O260" s="32" t="n">
        <x:v>2.8</x:v>
      </x:c>
      <x:c r="P260" s="24" t="str">
        <x:v>exact_sea_around_us</x:v>
      </x:c>
      <x:c r="Q260" s="32" t="str">
        <x:v>Sea Around Us exploited organisms</x:v>
      </x:c>
      <x:c r="R260" s="24" t="str">
        <x:v>high</x:v>
      </x:c>
      <x:c r="S260" s="24" t="str">
        <x:v>Cyprinidae</x:v>
      </x:c>
      <x:c r="T260" s="32" t="n">
        <x:f>IF(O260="","",(1/'Metadata'!$B$5)^(O260-1))</x:f>
        <x:v>63.0957344480193</x:v>
      </x:c>
      <x:c r="U260" s="31" t="n">
        <x:f>IF(T260="","",I260*T260)</x:f>
        <x:v>1.251090994290235</x:v>
      </x:c>
    </x:row>
    <x:row r="261" ht="18" customHeight="1">
      <x:c r="A261" s="24" t="str">
        <x:v>LME_006</x:v>
      </x:c>
      <x:c r="B261" s="24" t="str">
        <x:v>Southeast U.S. Continental Shelf</x:v>
      </x:c>
      <x:c r="C261" s="24" t="str">
        <x:v>LME</x:v>
      </x:c>
      <x:c r="D261" s="30" t="n">
        <x:v>2019</x:v>
      </x:c>
      <x:c r="E261" s="24" t="str">
        <x:v>Tetraodontidae</x:v>
      </x:c>
      <x:c r="F261" s="24" t="str">
        <x:v>Puffers, tobies</x:v>
      </x:c>
      <x:c r="G261" s="24" t="str">
        <x:v>Large reef assoc. fish (&gt;=90 cm)</x:v>
      </x:c>
      <x:c r="H261" s="24" t="str">
        <x:v>Other fishes &amp; inverts</x:v>
      </x:c>
      <x:c r="I261" s="31" t="n">
        <x:v>0.014790477</x:v>
      </x:c>
      <x:c r="J261" s="31" t="n">
        <x:v>0.014790477</x:v>
      </x:c>
      <x:c r="K261" s="31" t="n">
        <x:v>0</x:v>
      </x:c>
      <x:c r="L261" s="31" t="n">
        <x:v>0</x:v>
      </x:c>
      <x:c r="M261" s="31" t="n">
        <x:v>0.014790477</x:v>
      </x:c>
      <x:c r="N261" s="24" t="str">
        <x:v>tetraodontidae</x:v>
      </x:c>
      <x:c r="O261" s="32" t="n">
        <x:v>3.5</x:v>
      </x:c>
      <x:c r="P261" s="24" t="str">
        <x:v>exact_sea_around_us</x:v>
      </x:c>
      <x:c r="Q261" s="32" t="str">
        <x:v>Sea Around Us exploited organisms</x:v>
      </x:c>
      <x:c r="R261" s="24" t="str">
        <x:v>high</x:v>
      </x:c>
      <x:c r="S261" s="24" t="str">
        <x:v>Tetraodontidae</x:v>
      </x:c>
      <x:c r="T261" s="32" t="n">
        <x:f>IF(O261="","",(1/'Metadata'!$B$5)^(O261-1))</x:f>
        <x:v>316.22776601683796</x:v>
      </x:c>
      <x:c r="U261" s="31" t="n">
        <x:f>IF(T261="","",I261*T261)</x:f>
        <x:v>4.677159500033423</x:v>
      </x:c>
    </x:row>
    <x:row r="262" ht="18" customHeight="1">
      <x:c r="A262" s="24" t="str">
        <x:v>LME_006</x:v>
      </x:c>
      <x:c r="B262" s="24" t="str">
        <x:v>Southeast U.S. Continental Shelf</x:v>
      </x:c>
      <x:c r="C262" s="24" t="str">
        <x:v>LME</x:v>
      </x:c>
      <x:c r="D262" s="30" t="n">
        <x:v>2019</x:v>
      </x:c>
      <x:c r="E262" s="24" t="str">
        <x:v>Etelis oculatus</x:v>
      </x:c>
      <x:c r="F262" s="24" t="str">
        <x:v>Queen snapper</x:v>
      </x:c>
      <x:c r="G262" s="24" t="str">
        <x:v>Medium bathydemersals (30 - 89 cm)</x:v>
      </x:c>
      <x:c r="H262" s="24" t="str">
        <x:v>Perch-likes</x:v>
      </x:c>
      <x:c r="I262" s="31" t="n">
        <x:v>0.013923782499999999</x:v>
      </x:c>
      <x:c r="J262" s="31" t="n">
        <x:v>0.013923782499999999</x:v>
      </x:c>
      <x:c r="K262" s="31" t="n">
        <x:v>0</x:v>
      </x:c>
      <x:c r="L262" s="31" t="n">
        <x:v>0.0134295537</x:v>
      </x:c>
      <x:c r="M262" s="31" t="n">
        <x:v>0.0004942288</x:v>
      </x:c>
      <x:c r="N262" s="24" t="str">
        <x:v>etelis oculatus</x:v>
      </x:c>
      <x:c r="O262" s="32" t="n">
        <x:v>4.18</x:v>
      </x:c>
      <x:c r="P262" s="24" t="str">
        <x:v>exact_2020_supplement</x:v>
      </x:c>
      <x:c r="Q262" s="32" t="str">
        <x:v>2020 supplement MeanTL</x:v>
      </x:c>
      <x:c r="R262" s="24" t="str">
        <x:v>high</x:v>
      </x:c>
      <x:c r="S262" s="24" t="str">
        <x:v>Etelis oculatus</x:v>
      </x:c>
      <x:c r="T262" s="32" t="n">
        <x:f>IF(O262="","",(1/'Metadata'!$B$5)^(O262-1))</x:f>
        <x:v>1513.5612484362073</x:v>
      </x:c>
      <x:c r="U262" s="31" t="n">
        <x:f>IF(T262="","",I262*T262)</x:f>
        <x:v>21.074497623654214</x:v>
      </x:c>
    </x:row>
    <x:row r="263" ht="18" customHeight="1">
      <x:c r="A263" s="24" t="str">
        <x:v>LME_006</x:v>
      </x:c>
      <x:c r="B263" s="24" t="str">
        <x:v>Southeast U.S. Continental Shelf</x:v>
      </x:c>
      <x:c r="C263" s="24" t="str">
        <x:v>LME</x:v>
      </x:c>
      <x:c r="D263" s="30" t="n">
        <x:v>2019</x:v>
      </x:c>
      <x:c r="E263" s="24" t="str">
        <x:v>Batoidea</x:v>
      </x:c>
      <x:c r="F263" s="24" t="str">
        <x:v>Batoids, skates, rays, sawfishes</x:v>
      </x:c>
      <x:c r="G263" s="24" t="str">
        <x:v>Large rays (&gt;=90 cm)</x:v>
      </x:c>
      <x:c r="H263" s="24" t="str">
        <x:v>Sharks &amp; rays</x:v>
      </x:c>
      <x:c r="I263" s="31" t="n">
        <x:v>0.0131771825</x:v>
      </x:c>
      <x:c r="J263" s="31" t="n">
        <x:v>0.0131771825</x:v>
      </x:c>
      <x:c r="K263" s="31" t="n">
        <x:v>0</x:v>
      </x:c>
      <x:c r="L263" s="31" t="n">
        <x:v>0</x:v>
      </x:c>
      <x:c r="M263" s="31" t="n">
        <x:v>0.0131771825</x:v>
      </x:c>
      <x:c r="N263" s="24" t="str">
        <x:v>batoidea</x:v>
      </x:c>
      <x:c r="O263" s="32" t="n">
        <x:v>3.72</x:v>
      </x:c>
      <x:c r="P263" s="24" t="str">
        <x:v>exact_sea_around_us</x:v>
      </x:c>
      <x:c r="Q263" s="32" t="str">
        <x:v>Sea Around Us exploited organisms</x:v>
      </x:c>
      <x:c r="R263" s="24" t="str">
        <x:v>high</x:v>
      </x:c>
      <x:c r="S263" s="24" t="str">
        <x:v>Batoidea</x:v>
      </x:c>
      <x:c r="T263" s="32" t="n">
        <x:f>IF(O263="","",(1/'Metadata'!$B$5)^(O263-1))</x:f>
        <x:v>524.8074602497728</x:v>
      </x:c>
      <x:c r="U263" s="31" t="n">
        <x:f>IF(T263="","",I263*T263)</x:f>
        <x:v>6.915483681072752</x:v>
      </x:c>
    </x:row>
    <x:row r="264" ht="18" customHeight="1">
      <x:c r="A264" s="24" t="str">
        <x:v>LME_006</x:v>
      </x:c>
      <x:c r="B264" s="24" t="str">
        <x:v>Southeast U.S. Continental Shelf</x:v>
      </x:c>
      <x:c r="C264" s="24" t="str">
        <x:v>LME</x:v>
      </x:c>
      <x:c r="D264" s="30" t="n">
        <x:v>2019</x:v>
      </x:c>
      <x:c r="E264" s="24" t="str">
        <x:v>Hypoplectrus unicolor</x:v>
      </x:c>
      <x:c r="F264" s="24" t="str">
        <x:v>Butter hamlet</x:v>
      </x:c>
      <x:c r="G264" s="24" t="str">
        <x:v>Small reef assoc. fish (&lt;30 cm)</x:v>
      </x:c>
      <x:c r="H264" s="24" t="str">
        <x:v>Perch-likes</x:v>
      </x:c>
      <x:c r="I264" s="31" t="n">
        <x:v>0.012971314</x:v>
      </x:c>
      <x:c r="J264" s="31" t="n">
        <x:v>0.012971314</x:v>
      </x:c>
      <x:c r="K264" s="31" t="n">
        <x:v>0</x:v>
      </x:c>
      <x:c r="L264" s="31" t="n">
        <x:v>0.012971314</x:v>
      </x:c>
      <x:c r="M264" s="31" t="n">
        <x:v>0</x:v>
      </x:c>
      <x:c r="N264" s="24" t="str">
        <x:v>hypoplectrus unicolor</x:v>
      </x:c>
      <x:c r="O264" s="32" t="n">
        <x:v>3.97</x:v>
      </x:c>
      <x:c r="P264" s="24" t="str">
        <x:v>exact_2020_supplement</x:v>
      </x:c>
      <x:c r="Q264" s="32" t="str">
        <x:v>2020 supplement MeanTL</x:v>
      </x:c>
      <x:c r="R264" s="24" t="str">
        <x:v>high</x:v>
      </x:c>
      <x:c r="S264" s="24" t="str">
        <x:v>Hypoplectrus unicolor</x:v>
      </x:c>
      <x:c r="T264" s="32" t="n">
        <x:f>IF(O264="","",(1/'Metadata'!$B$5)^(O264-1))</x:f>
        <x:v>933.2543007969915</x:v>
      </x:c>
      <x:c r="U264" s="31" t="n">
        <x:f>IF(T264="","",I264*T264)</x:f>
        <x:v>12.105534577488227</x:v>
      </x:c>
    </x:row>
    <x:row r="265" ht="18" customHeight="1">
      <x:c r="A265" s="24" t="str">
        <x:v>LME_006</x:v>
      </x:c>
      <x:c r="B265" s="24" t="str">
        <x:v>Southeast U.S. Continental Shelf</x:v>
      </x:c>
      <x:c r="C265" s="24" t="str">
        <x:v>LME</x:v>
      </x:c>
      <x:c r="D265" s="30" t="n">
        <x:v>2019</x:v>
      </x:c>
      <x:c r="E265" s="24" t="str">
        <x:v>Ruvettus pretiosus</x:v>
      </x:c>
      <x:c r="F265" s="24" t="str">
        <x:v>Oilfish</x:v>
      </x:c>
      <x:c r="G265" s="24" t="str">
        <x:v>Large benthopelagics (&gt;=90 cm)</x:v>
      </x:c>
      <x:c r="H265" s="24" t="str">
        <x:v>Perch-likes</x:v>
      </x:c>
      <x:c r="I265" s="31" t="n">
        <x:v>0.0126814331</x:v>
      </x:c>
      <x:c r="J265" s="31" t="n">
        <x:v>0.0126814331</x:v>
      </x:c>
      <x:c r="K265" s="31" t="n">
        <x:v>0</x:v>
      </x:c>
      <x:c r="L265" s="31" t="n">
        <x:v>0</x:v>
      </x:c>
      <x:c r="M265" s="31" t="n">
        <x:v>0.0126814331</x:v>
      </x:c>
      <x:c r="N265" s="24" t="str">
        <x:v>ruvettus pretiosus</x:v>
      </x:c>
      <x:c r="O265" s="32" t="n">
        <x:v>4.18</x:v>
      </x:c>
      <x:c r="P265" s="24" t="str">
        <x:v>exact_2020_supplement</x:v>
      </x:c>
      <x:c r="Q265" s="32" t="str">
        <x:v>2020 supplement MeanTL</x:v>
      </x:c>
      <x:c r="R265" s="24" t="str">
        <x:v>high</x:v>
      </x:c>
      <x:c r="S265" s="24" t="str">
        <x:v>Ruvettus pretiosus</x:v>
      </x:c>
      <x:c r="T265" s="32" t="n">
        <x:f>IF(O265="","",(1/'Metadata'!$B$5)^(O265-1))</x:f>
        <x:v>1513.5612484362073</x:v>
      </x:c>
      <x:c r="U265" s="31" t="n">
        <x:f>IF(T265="","",I265*T265)</x:f>
        <x:v>19.194125714796243</x:v>
      </x:c>
    </x:row>
    <x:row r="266" ht="18" customHeight="1">
      <x:c r="A266" s="24" t="str">
        <x:v>LME_006</x:v>
      </x:c>
      <x:c r="B266" s="24" t="str">
        <x:v>Southeast U.S. Continental Shelf</x:v>
      </x:c>
      <x:c r="C266" s="24" t="str">
        <x:v>LME</x:v>
      </x:c>
      <x:c r="D266" s="30" t="n">
        <x:v>2019</x:v>
      </x:c>
      <x:c r="E266" s="24" t="str">
        <x:v>Halichoeres garnoti</x:v>
      </x:c>
      <x:c r="F266" s="24" t="str">
        <x:v>Yellowhead wrasse</x:v>
      </x:c>
      <x:c r="G266" s="24" t="str">
        <x:v>Small reef assoc. fish (&lt;30 cm)</x:v>
      </x:c>
      <x:c r="H266" s="24" t="str">
        <x:v>Perch-likes</x:v>
      </x:c>
      <x:c r="I266" s="31" t="n">
        <x:v>0.0093824919</x:v>
      </x:c>
      <x:c r="J266" s="31" t="n">
        <x:v>0.0093824919</x:v>
      </x:c>
      <x:c r="K266" s="31" t="n">
        <x:v>0</x:v>
      </x:c>
      <x:c r="L266" s="31" t="n">
        <x:v>0.0093824919</x:v>
      </x:c>
      <x:c r="M266" s="31" t="n">
        <x:v>0</x:v>
      </x:c>
      <x:c r="N266" s="24" t="str">
        <x:v>halichoeres garnoti</x:v>
      </x:c>
      <x:c r="O266" s="32" t="n">
        <x:v>3.7</x:v>
      </x:c>
      <x:c r="P266" s="24" t="str">
        <x:v>exact_2020_supplement</x:v>
      </x:c>
      <x:c r="Q266" s="32" t="str">
        <x:v>2020 supplement MeanTL</x:v>
      </x:c>
      <x:c r="R266" s="24" t="str">
        <x:v>high</x:v>
      </x:c>
      <x:c r="S266" s="24" t="str">
        <x:v>Halichoeres garnoti</x:v>
      </x:c>
      <x:c r="T266" s="32" t="n">
        <x:f>IF(O266="","",(1/'Metadata'!$B$5)^(O266-1))</x:f>
        <x:v>501.18723362727246</x:v>
      </x:c>
      <x:c r="U266" s="31" t="n">
        <x:f>IF(T266="","",I266*T266)</x:f>
        <x:v>4.702385159891291</x:v>
      </x:c>
    </x:row>
    <x:row r="267" ht="18" customHeight="1">
      <x:c r="A267" s="24" t="str">
        <x:v>LME_006</x:v>
      </x:c>
      <x:c r="B267" s="24" t="str">
        <x:v>Southeast U.S. Continental Shelf</x:v>
      </x:c>
      <x:c r="C267" s="24" t="str">
        <x:v>LME</x:v>
      </x:c>
      <x:c r="D267" s="30" t="n">
        <x:v>2019</x:v>
      </x:c>
      <x:c r="E267" s="24" t="str">
        <x:v>Echinoidea</x:v>
      </x:c>
      <x:c r="F267" s="24" t="str">
        <x:v>Sea urchins, sea hedgehogs</x:v>
      </x:c>
      <x:c r="G267" s="24" t="str">
        <x:v>Other demersal invertebrates</x:v>
      </x:c>
      <x:c r="H267" s="24" t="str">
        <x:v>Other fishes &amp; inverts</x:v>
      </x:c>
      <x:c r="I267" s="31" t="n">
        <x:v>0.0085630021</x:v>
      </x:c>
      <x:c r="J267" s="31" t="n">
        <x:v>0.0085630021</x:v>
      </x:c>
      <x:c r="K267" s="31" t="n">
        <x:v>0</x:v>
      </x:c>
      <x:c r="L267" s="31" t="n">
        <x:v>0</x:v>
      </x:c>
      <x:c r="M267" s="31" t="n">
        <x:v>0.0085630021</x:v>
      </x:c>
      <x:c r="N267" s="24" t="str">
        <x:v>echinoidea</x:v>
      </x:c>
      <x:c r="O267" s="32" t="n">
        <x:v>2.51</x:v>
      </x:c>
      <x:c r="P267" s="24" t="str">
        <x:v>exact_sea_around_us</x:v>
      </x:c>
      <x:c r="Q267" s="32" t="str">
        <x:v>Sea Around Us exploited organisms</x:v>
      </x:c>
      <x:c r="R267" s="24" t="str">
        <x:v>high</x:v>
      </x:c>
      <x:c r="S267" s="24" t="str">
        <x:v>Echinoidea</x:v>
      </x:c>
      <x:c r="T267" s="32" t="n">
        <x:f>IF(O267="","",(1/'Metadata'!$B$5)^(O267-1))</x:f>
        <x:v>32.35936569296281</x:v>
      </x:c>
      <x:c r="U267" s="31" t="n">
        <x:f>IF(T267="","",I267*T267)</x:f>
        <x:v>0.2770933163835085</x:v>
      </x:c>
    </x:row>
    <x:row r="268" ht="18" customHeight="1">
      <x:c r="A268" s="24" t="str">
        <x:v>LME_006</x:v>
      </x:c>
      <x:c r="B268" s="24" t="str">
        <x:v>Southeast U.S. Continental Shelf</x:v>
      </x:c>
      <x:c r="C268" s="24" t="str">
        <x:v>LME</x:v>
      </x:c>
      <x:c r="D268" s="30" t="n">
        <x:v>2019</x:v>
      </x:c>
      <x:c r="E268" s="24" t="str">
        <x:v>Azurina cyanea</x:v>
      </x:c>
      <x:c r="F268" s="24" t="str">
        <x:v>Blue chromis</x:v>
      </x:c>
      <x:c r="G268" s="24" t="str">
        <x:v>Small reef assoc. fish (&lt;30 cm)</x:v>
      </x:c>
      <x:c r="H268" s="24" t="str">
        <x:v>Perch-likes</x:v>
      </x:c>
      <x:c r="I268" s="31" t="n">
        <x:v>0.0081378039</x:v>
      </x:c>
      <x:c r="J268" s="31" t="n">
        <x:v>0.0081378039</x:v>
      </x:c>
      <x:c r="K268" s="31" t="n">
        <x:v>0</x:v>
      </x:c>
      <x:c r="L268" s="31" t="n">
        <x:v>0.0081378039</x:v>
      </x:c>
      <x:c r="M268" s="31" t="n">
        <x:v>0</x:v>
      </x:c>
      <x:c r="N268" s="24" t="str">
        <x:v>azurina cyanea</x:v>
      </x:c>
      <x:c r="O268" s="32" t="n">
        <x:v>3.07</x:v>
      </x:c>
      <x:c r="P268" s="24" t="str">
        <x:v>exact_sea_around_us</x:v>
      </x:c>
      <x:c r="Q268" s="32" t="str">
        <x:v>Sea Around Us exploited organisms</x:v>
      </x:c>
      <x:c r="R268" s="24" t="str">
        <x:v>high</x:v>
      </x:c>
      <x:c r="S268" s="24" t="str">
        <x:v>Azurina cyanea</x:v>
      </x:c>
      <x:c r="T268" s="32" t="n">
        <x:f>IF(O268="","",(1/'Metadata'!$B$5)^(O268-1))</x:f>
        <x:v>117.48975549395291</x:v>
      </x:c>
      <x:c r="U268" s="31" t="n">
        <x:f>IF(T268="","",I268*T268)</x:f>
        <x:v>0.9561085904687365</x:v>
      </x:c>
    </x:row>
    <x:row r="269" ht="18" customHeight="1">
      <x:c r="A269" s="24" t="str">
        <x:v>LME_006</x:v>
      </x:c>
      <x:c r="B269" s="24" t="str">
        <x:v>Southeast U.S. Continental Shelf</x:v>
      </x:c>
      <x:c r="C269" s="24" t="str">
        <x:v>LME</x:v>
      </x:c>
      <x:c r="D269" s="30" t="n">
        <x:v>2019</x:v>
      </x:c>
      <x:c r="E269" s="24" t="str">
        <x:v>Serranus tigrinus</x:v>
      </x:c>
      <x:c r="F269" s="24" t="str">
        <x:v>Harlequin bass</x:v>
      </x:c>
      <x:c r="G269" s="24" t="str">
        <x:v>Small reef assoc. fish (&lt;30 cm)</x:v>
      </x:c>
      <x:c r="H269" s="24" t="str">
        <x:v>Perch-likes</x:v>
      </x:c>
      <x:c r="I269" s="31" t="n">
        <x:v>0.0052372245</x:v>
      </x:c>
      <x:c r="J269" s="31" t="n">
        <x:v>0.0052372245</x:v>
      </x:c>
      <x:c r="K269" s="31" t="n">
        <x:v>0</x:v>
      </x:c>
      <x:c r="L269" s="31" t="n">
        <x:v>0.0052372245</x:v>
      </x:c>
      <x:c r="M269" s="31" t="n">
        <x:v>0</x:v>
      </x:c>
      <x:c r="N269" s="24" t="str">
        <x:v>serranus tigrinus</x:v>
      </x:c>
      <x:c r="O269" s="32" t="n">
        <x:v>3.72</x:v>
      </x:c>
      <x:c r="P269" s="24" t="str">
        <x:v>exact_2020_supplement</x:v>
      </x:c>
      <x:c r="Q269" s="32" t="str">
        <x:v>2020 supplement MeanTL</x:v>
      </x:c>
      <x:c r="R269" s="24" t="str">
        <x:v>high</x:v>
      </x:c>
      <x:c r="S269" s="24" t="str">
        <x:v>Serranus tigrinus</x:v>
      </x:c>
      <x:c r="T269" s="32" t="n">
        <x:f>IF(O269="","",(1/'Metadata'!$B$5)^(O269-1))</x:f>
        <x:v>524.8074602497728</x:v>
      </x:c>
      <x:c r="U269" s="31" t="n">
        <x:f>IF(T269="","",I269*T269)</x:f>
        <x:v>2.7485344886028864</x:v>
      </x:c>
    </x:row>
    <x:row r="270" ht="18" customHeight="1">
      <x:c r="A270" s="24" t="str">
        <x:v>LME_006</x:v>
      </x:c>
      <x:c r="B270" s="24" t="str">
        <x:v>Southeast U.S. Continental Shelf</x:v>
      </x:c>
      <x:c r="C270" s="24" t="str">
        <x:v>LME</x:v>
      </x:c>
      <x:c r="D270" s="30" t="n">
        <x:v>2019</x:v>
      </x:c>
      <x:c r="E270" s="24" t="str">
        <x:v>Urobatis jamaicensis</x:v>
      </x:c>
      <x:c r="F270" s="24" t="str">
        <x:v>Yellow stingray</x:v>
      </x:c>
      <x:c r="G270" s="24" t="str">
        <x:v>Small to medium rays (&lt;90 cm)</x:v>
      </x:c>
      <x:c r="H270" s="24" t="str">
        <x:v>Sharks &amp; rays</x:v>
      </x:c>
      <x:c r="I270" s="31" t="n">
        <x:v>0.004220397</x:v>
      </x:c>
      <x:c r="J270" s="31" t="n">
        <x:v>0.004220397</x:v>
      </x:c>
      <x:c r="K270" s="31" t="n">
        <x:v>0</x:v>
      </x:c>
      <x:c r="L270" s="31" t="n">
        <x:v>0.004220397</x:v>
      </x:c>
      <x:c r="M270" s="31" t="n">
        <x:v>0</x:v>
      </x:c>
      <x:c r="N270" s="24" t="str">
        <x:v>urobatis jamaicensis</x:v>
      </x:c>
      <x:c r="O270" s="32" t="n">
        <x:v>3.55</x:v>
      </x:c>
      <x:c r="P270" s="24" t="str">
        <x:v>exact_2020_supplement</x:v>
      </x:c>
      <x:c r="Q270" s="32" t="str">
        <x:v>2020 supplement MeanTL</x:v>
      </x:c>
      <x:c r="R270" s="24" t="str">
        <x:v>high</x:v>
      </x:c>
      <x:c r="S270" s="24" t="str">
        <x:v>Urobatis jamaicensis</x:v>
      </x:c>
      <x:c r="T270" s="32" t="n">
        <x:f>IF(O270="","",(1/'Metadata'!$B$5)^(O270-1))</x:f>
        <x:v>354.8133892335753</x:v>
      </x:c>
      <x:c r="U270" s="31" t="n">
        <x:f>IF(T270="","",I270*T270)</x:f>
        <x:v>1.4974533634812135</x:v>
      </x:c>
    </x:row>
    <x:row r="271" ht="18" customHeight="1">
      <x:c r="A271" s="24" t="str">
        <x:v>LME_006</x:v>
      </x:c>
      <x:c r="B271" s="24" t="str">
        <x:v>Southeast U.S. Continental Shelf</x:v>
      </x:c>
      <x:c r="C271" s="24" t="str">
        <x:v>LME</x:v>
      </x:c>
      <x:c r="D271" s="30" t="n">
        <x:v>2019</x:v>
      </x:c>
      <x:c r="E271" s="24" t="str">
        <x:v>Zenopsis conchifer</x:v>
      </x:c>
      <x:c r="F271" s="24" t="str">
        <x:v>Silvery John dory</x:v>
      </x:c>
      <x:c r="G271" s="24" t="str">
        <x:v>Medium benthopelagics (30 - 89 cm)</x:v>
      </x:c>
      <x:c r="H271" s="24" t="str">
        <x:v>Other fishes &amp; inverts</x:v>
      </x:c>
      <x:c r="I271" s="31" t="n">
        <x:v>0.0040180534999999995</x:v>
      </x:c>
      <x:c r="J271" s="31" t="n">
        <x:v>0.0040180534999999995</x:v>
      </x:c>
      <x:c r="K271" s="31" t="n">
        <x:v>0</x:v>
      </x:c>
      <x:c r="L271" s="31" t="n">
        <x:v>0</x:v>
      </x:c>
      <x:c r="M271" s="31" t="n">
        <x:v>0.0040180534999999995</x:v>
      </x:c>
      <x:c r="N271" s="24" t="str">
        <x:v>zenopsis conchifer</x:v>
      </x:c>
      <x:c r="O271" s="32" t="n">
        <x:v>4.5</x:v>
      </x:c>
      <x:c r="P271" s="24" t="str">
        <x:v>exact_2020_supplement</x:v>
      </x:c>
      <x:c r="Q271" s="32" t="str">
        <x:v>2020 supplement MeanTL</x:v>
      </x:c>
      <x:c r="R271" s="24" t="str">
        <x:v>high</x:v>
      </x:c>
      <x:c r="S271" s="24" t="str">
        <x:v>Zenopsis conchifer</x:v>
      </x:c>
      <x:c r="T271" s="32" t="n">
        <x:f>IF(O271="","",(1/'Metadata'!$B$5)^(O271-1))</x:f>
        <x:v>3162.2776601683795</x:v>
      </x:c>
      <x:c r="U271" s="31" t="n">
        <x:f>IF(T271="","",I271*T271)</x:f>
        <x:v>12.706200820411366</x:v>
      </x:c>
    </x:row>
    <x:row r="272" ht="18" customHeight="1">
      <x:c r="A272" s="24" t="str">
        <x:v>LME_006</x:v>
      </x:c>
      <x:c r="B272" s="24" t="str">
        <x:v>Southeast U.S. Continental Shelf</x:v>
      </x:c>
      <x:c r="C272" s="24" t="str">
        <x:v>LME</x:v>
      </x:c>
      <x:c r="D272" s="30" t="n">
        <x:v>2019</x:v>
      </x:c>
      <x:c r="E272" s="24" t="str">
        <x:v>Hemanthias leptus</x:v>
      </x:c>
      <x:c r="F272" s="24" t="str">
        <x:v>Longtail bass</x:v>
      </x:c>
      <x:c r="G272" s="24" t="str">
        <x:v>Medium demersals (30 - 89 cm)</x:v>
      </x:c>
      <x:c r="H272" s="24" t="str">
        <x:v>Perch-likes</x:v>
      </x:c>
      <x:c r="I272" s="31" t="n">
        <x:v>0.0034357946999999996</x:v>
      </x:c>
      <x:c r="J272" s="31" t="n">
        <x:v>0.0034357946999999996</x:v>
      </x:c>
      <x:c r="K272" s="31" t="n">
        <x:v>0</x:v>
      </x:c>
      <x:c r="L272" s="31" t="n">
        <x:v>0.0034357946999999996</x:v>
      </x:c>
      <x:c r="M272" s="31" t="n">
        <x:v>0</x:v>
      </x:c>
      <x:c r="N272" s="24" t="str">
        <x:v>hemanthias leptus</x:v>
      </x:c>
      <x:c r="O272" s="32" t="n">
        <x:v>4.03</x:v>
      </x:c>
      <x:c r="P272" s="24" t="str">
        <x:v>exact_sea_around_us</x:v>
      </x:c>
      <x:c r="Q272" s="32" t="str">
        <x:v>Sea Around Us exploited organisms</x:v>
      </x:c>
      <x:c r="R272" s="24" t="str">
        <x:v>high</x:v>
      </x:c>
      <x:c r="S272" s="24" t="str">
        <x:v>Hemanthias leptus</x:v>
      </x:c>
      <x:c r="T272" s="32" t="n">
        <x:f>IF(O272="","",(1/'Metadata'!$B$5)^(O272-1))</x:f>
        <x:v>1071.519305237607</x:v>
      </x:c>
      <x:c r="U272" s="31" t="n">
        <x:f>IF(T272="","",I272*T272)</x:f>
        <x:v>3.681520349883052</x:v>
      </x:c>
    </x:row>
    <x:row r="273" ht="18" customHeight="1">
      <x:c r="A273" s="24" t="str">
        <x:v>LME_006</x:v>
      </x:c>
      <x:c r="B273" s="24" t="str">
        <x:v>Southeast U.S. Continental Shelf</x:v>
      </x:c>
      <x:c r="C273" s="24" t="str">
        <x:v>LME</x:v>
      </x:c>
      <x:c r="D273" s="30" t="n">
        <x:v>2019</x:v>
      </x:c>
      <x:c r="E273" s="24" t="str">
        <x:v>Anchoviella</x:v>
      </x:c>
      <x:c r="F273" s="24" t="str">
        <x:v>Anchovies</x:v>
      </x:c>
      <x:c r="G273" s="24" t="str">
        <x:v>Small pelagics (&lt;30 cm)</x:v>
      </x:c>
      <x:c r="H273" s="24" t="str">
        <x:v>Anchovies</x:v>
      </x:c>
      <x:c r="I273" s="31" t="n">
        <x:v>0.0027497087000000003</x:v>
      </x:c>
      <x:c r="J273" s="31" t="n">
        <x:v>0.0027497087000000003</x:v>
      </x:c>
      <x:c r="K273" s="31" t="n">
        <x:v>0</x:v>
      </x:c>
      <x:c r="L273" s="31" t="n">
        <x:v>0</x:v>
      </x:c>
      <x:c r="M273" s="31" t="n">
        <x:v>0.0027497087000000003</x:v>
      </x:c>
      <x:c r="N273" s="24" t="str">
        <x:v>anchoviella</x:v>
      </x:c>
      <x:c r="O273" s="32" t="n">
        <x:v>3.18</x:v>
      </x:c>
      <x:c r="P273" s="24" t="str">
        <x:v>exact_sea_around_us</x:v>
      </x:c>
      <x:c r="Q273" s="32" t="str">
        <x:v>Sea Around Us exploited organisms</x:v>
      </x:c>
      <x:c r="R273" s="24" t="str">
        <x:v>high</x:v>
      </x:c>
      <x:c r="S273" s="24" t="str">
        <x:v>Anchoviella</x:v>
      </x:c>
      <x:c r="T273" s="32" t="n">
        <x:f>IF(O273="","",(1/'Metadata'!$B$5)^(O273-1))</x:f>
        <x:v>151.35612484362088</x:v>
      </x:c>
      <x:c r="U273" s="31" t="n">
        <x:f>IF(T273="","",I273*T273)</x:f>
        <x:v>0.4161852532807905</x:v>
      </x:c>
    </x:row>
    <x:row r="274" ht="18" customHeight="1">
      <x:c r="A274" s="24" t="str">
        <x:v>LME_006</x:v>
      </x:c>
      <x:c r="B274" s="24" t="str">
        <x:v>Southeast U.S. Continental Shelf</x:v>
      </x:c>
      <x:c r="C274" s="24" t="str">
        <x:v>LME</x:v>
      </x:c>
      <x:c r="D274" s="30" t="n">
        <x:v>2019</x:v>
      </x:c>
      <x:c r="E274" s="24" t="str">
        <x:v>Illex illecebrosus</x:v>
      </x:c>
      <x:c r="F274" s="24" t="str">
        <x:v>Northern shortfin squid</x:v>
      </x:c>
      <x:c r="G274" s="24" t="str">
        <x:v>Cephalopods</x:v>
      </x:c>
      <x:c r="H274" s="24" t="str">
        <x:v>Other fishes &amp; inverts</x:v>
      </x:c>
      <x:c r="I274" s="31" t="n">
        <x:v>0.0025468291999999997</x:v>
      </x:c>
      <x:c r="J274" s="31" t="n">
        <x:v>0.0025468291999999997</x:v>
      </x:c>
      <x:c r="K274" s="31" t="n">
        <x:v>0</x:v>
      </x:c>
      <x:c r="L274" s="31" t="n">
        <x:v>0.0019928556999999998</x:v>
      </x:c>
      <x:c r="M274" s="31" t="n">
        <x:v>0.0005539735000000001</x:v>
      </x:c>
      <x:c r="N274" s="24" t="str">
        <x:v>illex illecebrosus</x:v>
      </x:c>
      <x:c r="O274" s="32" t="n">
        <x:v>3.98</x:v>
      </x:c>
      <x:c r="P274" s="24" t="str">
        <x:v>exact_2020_supplement</x:v>
      </x:c>
      <x:c r="Q274" s="32" t="str">
        <x:v>2020 supplement MeanTL</x:v>
      </x:c>
      <x:c r="R274" s="24" t="str">
        <x:v>high</x:v>
      </x:c>
      <x:c r="S274" s="24" t="str">
        <x:v>Illex illecebrosus</x:v>
      </x:c>
      <x:c r="T274" s="32" t="n">
        <x:f>IF(O274="","",(1/'Metadata'!$B$5)^(O274-1))</x:f>
        <x:v>954.992586021436</x:v>
      </x:c>
      <x:c r="U274" s="31" t="n">
        <x:f>IF(T274="","",I274*T274)</x:f>
        <x:v>2.4322030038629046</x:v>
      </x:c>
    </x:row>
    <x:row r="275" ht="18" customHeight="1">
      <x:c r="A275" s="24" t="str">
        <x:v>LME_006</x:v>
      </x:c>
      <x:c r="B275" s="24" t="str">
        <x:v>Southeast U.S. Continental Shelf</x:v>
      </x:c>
      <x:c r="C275" s="24" t="str">
        <x:v>LME</x:v>
      </x:c>
      <x:c r="D275" s="30" t="n">
        <x:v>2019</x:v>
      </x:c>
      <x:c r="E275" s="24" t="str">
        <x:v>Cephalopholis fulva</x:v>
      </x:c>
      <x:c r="F275" s="24" t="str">
        <x:v>Coney</x:v>
      </x:c>
      <x:c r="G275" s="24" t="str">
        <x:v>Medium reef assoc. fish (30 - 89 cm)</x:v>
      </x:c>
      <x:c r="H275" s="24" t="str">
        <x:v>Perch-likes</x:v>
      </x:c>
      <x:c r="I275" s="31" t="n">
        <x:v>0.0023326477</x:v>
      </x:c>
      <x:c r="J275" s="31" t="n">
        <x:v>0.0023326477</x:v>
      </x:c>
      <x:c r="K275" s="31" t="n">
        <x:v>0</x:v>
      </x:c>
      <x:c r="L275" s="31" t="n">
        <x:v>0</x:v>
      </x:c>
      <x:c r="M275" s="31" t="n">
        <x:v>0.0023326477</x:v>
      </x:c>
      <x:c r="N275" s="24" t="str">
        <x:v>cephalopholis fulva</x:v>
      </x:c>
      <x:c r="O275" s="32" t="n">
        <x:v>4.05</x:v>
      </x:c>
      <x:c r="P275" s="24" t="str">
        <x:v>exact_2020_supplement</x:v>
      </x:c>
      <x:c r="Q275" s="32" t="str">
        <x:v>2020 supplement MeanTL</x:v>
      </x:c>
      <x:c r="R275" s="24" t="str">
        <x:v>high</x:v>
      </x:c>
      <x:c r="S275" s="24" t="str">
        <x:v>Cephalopholis fulva</x:v>
      </x:c>
      <x:c r="T275" s="32" t="n">
        <x:f>IF(O275="","",(1/'Metadata'!$B$5)^(O275-1))</x:f>
        <x:v>1122.018454301963</x:v>
      </x:c>
      <x:c r="U275" s="31" t="n">
        <x:f>IF(T275="","",I275*T275)</x:f>
        <x:v>2.6172737667850288</x:v>
      </x:c>
    </x:row>
    <x:row r="276" ht="18" customHeight="1">
      <x:c r="A276" s="24" t="str">
        <x:v>LME_006</x:v>
      </x:c>
      <x:c r="B276" s="24" t="str">
        <x:v>Southeast U.S. Continental Shelf</x:v>
      </x:c>
      <x:c r="C276" s="24" t="str">
        <x:v>LME</x:v>
      </x:c>
      <x:c r="D276" s="30" t="n">
        <x:v>2019</x:v>
      </x:c>
      <x:c r="E276" s="24" t="str">
        <x:v>Eques punctatus</x:v>
      </x:c>
      <x:c r="F276" s="24" t="str">
        <x:v>Spotted drum</x:v>
      </x:c>
      <x:c r="G276" s="24" t="str">
        <x:v>Small reef assoc. fish (&lt;30 cm)</x:v>
      </x:c>
      <x:c r="H276" s="24" t="str">
        <x:v>Perch-likes</x:v>
      </x:c>
      <x:c r="I276" s="31" t="n">
        <x:v>0.0016227437</x:v>
      </x:c>
      <x:c r="J276" s="31" t="n">
        <x:v>0.0016227437</x:v>
      </x:c>
      <x:c r="K276" s="31" t="n">
        <x:v>0</x:v>
      </x:c>
      <x:c r="L276" s="31" t="n">
        <x:v>0.0016227437</x:v>
      </x:c>
      <x:c r="M276" s="31" t="n">
        <x:v>0</x:v>
      </x:c>
      <x:c r="N276" s="24" t="str">
        <x:v>eques punctatus</x:v>
      </x:c>
      <x:c r="O276" s="32" t="n">
        <x:v>3.5</x:v>
      </x:c>
      <x:c r="P276" s="24" t="str">
        <x:v>exact_sea_around_us</x:v>
      </x:c>
      <x:c r="Q276" s="32" t="str">
        <x:v>Sea Around Us exploited organisms</x:v>
      </x:c>
      <x:c r="R276" s="24" t="str">
        <x:v>high</x:v>
      </x:c>
      <x:c r="S276" s="24" t="str">
        <x:v>Eques punctatus</x:v>
      </x:c>
      <x:c r="T276" s="32" t="n">
        <x:f>IF(O276="","",(1/'Metadata'!$B$5)^(O276-1))</x:f>
        <x:v>316.22776601683796</x:v>
      </x:c>
      <x:c r="U276" s="31" t="n">
        <x:f>IF(T276="","",I276*T276)</x:f>
        <x:v>0.5131566150688979</x:v>
      </x:c>
    </x:row>
    <x:row r="277" ht="18" customHeight="1">
      <x:c r="A277" s="24" t="str">
        <x:v>LME_006</x:v>
      </x:c>
      <x:c r="B277" s="24" t="str">
        <x:v>Southeast U.S. Continental Shelf</x:v>
      </x:c>
      <x:c r="C277" s="24" t="str">
        <x:v>LME</x:v>
      </x:c>
      <x:c r="D277" s="30" t="n">
        <x:v>2019</x:v>
      </x:c>
      <x:c r="E277" s="24" t="str">
        <x:v>Octopus</x:v>
      </x:c>
      <x:c r="F277" s="24" t="str">
        <x:v>Octopuses, pikas</x:v>
      </x:c>
      <x:c r="G277" s="24" t="str">
        <x:v>Cephalopods</x:v>
      </x:c>
      <x:c r="H277" s="24" t="str">
        <x:v>Other fishes &amp; inverts</x:v>
      </x:c>
      <x:c r="I277" s="31" t="n">
        <x:v>0.001371181</x:v>
      </x:c>
      <x:c r="J277" s="31" t="n">
        <x:v>0.001371181</x:v>
      </x:c>
      <x:c r="K277" s="31" t="n">
        <x:v>0</x:v>
      </x:c>
      <x:c r="L277" s="31" t="n">
        <x:v>0</x:v>
      </x:c>
      <x:c r="M277" s="31" t="n">
        <x:v>0.001371181</x:v>
      </x:c>
      <x:c r="N277" s="24" t="str">
        <x:v>octopus</x:v>
      </x:c>
      <x:c r="O277" s="32" t="n">
        <x:v>3.8</x:v>
      </x:c>
      <x:c r="P277" s="24" t="str">
        <x:v>exact_sea_around_us</x:v>
      </x:c>
      <x:c r="Q277" s="32" t="str">
        <x:v>Sea Around Us exploited organisms</x:v>
      </x:c>
      <x:c r="R277" s="24" t="str">
        <x:v>high</x:v>
      </x:c>
      <x:c r="S277" s="24" t="str">
        <x:v>Octopus</x:v>
      </x:c>
      <x:c r="T277" s="32" t="n">
        <x:f>IF(O277="","",(1/'Metadata'!$B$5)^(O277-1))</x:f>
        <x:v>630.957344480193</x:v>
      </x:c>
      <x:c r="U277" s="31" t="n">
        <x:f>IF(T277="","",I277*T277)</x:f>
        <x:v>0.8651567225616955</x:v>
      </x:c>
    </x:row>
    <x:row r="278" ht="18" customHeight="1">
      <x:c r="A278" s="24" t="str">
        <x:v>LME_006</x:v>
      </x:c>
      <x:c r="B278" s="24" t="str">
        <x:v>Southeast U.S. Continental Shelf</x:v>
      </x:c>
      <x:c r="C278" s="24" t="str">
        <x:v>LME</x:v>
      </x:c>
      <x:c r="D278" s="30" t="n">
        <x:v>2019</x:v>
      </x:c>
      <x:c r="E278" s="24" t="str">
        <x:v>Cantherhines macrocerus</x:v>
      </x:c>
      <x:c r="F278" s="24" t="str">
        <x:v>American whitespotted filefish</x:v>
      </x:c>
      <x:c r="G278" s="24" t="str">
        <x:v>Medium reef assoc. fish (30 - 89 cm)</x:v>
      </x:c>
      <x:c r="H278" s="24" t="str">
        <x:v>Other fishes &amp; inverts</x:v>
      </x:c>
      <x:c r="I278" s="31" t="n">
        <x:v>0.0013156844</x:v>
      </x:c>
      <x:c r="J278" s="31" t="n">
        <x:v>0.0013156844</x:v>
      </x:c>
      <x:c r="K278" s="31" t="n">
        <x:v>0</x:v>
      </x:c>
      <x:c r="L278" s="31" t="n">
        <x:v>0.0013156844</x:v>
      </x:c>
      <x:c r="M278" s="31" t="n">
        <x:v>0</x:v>
      </x:c>
      <x:c r="N278" s="24" t="str">
        <x:v>cantherhines macrocerus</x:v>
      </x:c>
      <x:c r="O278" s="32" t="n">
        <x:v>3.06</x:v>
      </x:c>
      <x:c r="P278" s="24" t="str">
        <x:v>exact_2020_supplement</x:v>
      </x:c>
      <x:c r="Q278" s="32" t="str">
        <x:v>2020 supplement MeanTL</x:v>
      </x:c>
      <x:c r="R278" s="24" t="str">
        <x:v>high</x:v>
      </x:c>
      <x:c r="S278" s="24" t="str">
        <x:v>Cantherhines macrocerus</x:v>
      </x:c>
      <x:c r="T278" s="32" t="n">
        <x:f>IF(O278="","",(1/'Metadata'!$B$5)^(O278-1))</x:f>
        <x:v>114.81536214968828</x:v>
      </x:c>
      <x:c r="U278" s="31" t="n">
        <x:f>IF(T278="","",I278*T278)</x:f>
        <x:v>0.15106078086069535</x:v>
      </x:c>
    </x:row>
    <x:row r="279" ht="18" customHeight="1">
      <x:c r="A279" s="24" t="str">
        <x:v>LME_006</x:v>
      </x:c>
      <x:c r="B279" s="24" t="str">
        <x:v>Southeast U.S. Continental Shelf</x:v>
      </x:c>
      <x:c r="C279" s="24" t="str">
        <x:v>LME</x:v>
      </x:c>
      <x:c r="D279" s="30" t="n">
        <x:v>2019</x:v>
      </x:c>
      <x:c r="E279" s="24" t="str">
        <x:v>Chaetodon capistratus</x:v>
      </x:c>
      <x:c r="F279" s="24" t="str">
        <x:v>Foureye butterflyfish</x:v>
      </x:c>
      <x:c r="G279" s="24" t="str">
        <x:v>Small reef assoc. fish (&lt;30 cm)</x:v>
      </x:c>
      <x:c r="H279" s="24" t="str">
        <x:v>Perch-likes</x:v>
      </x:c>
      <x:c r="I279" s="31" t="n">
        <x:v>0.0012917346</x:v>
      </x:c>
      <x:c r="J279" s="31" t="n">
        <x:v>0.0012917346</x:v>
      </x:c>
      <x:c r="K279" s="31" t="n">
        <x:v>0</x:v>
      </x:c>
      <x:c r="L279" s="31" t="n">
        <x:v>0.0012917346</x:v>
      </x:c>
      <x:c r="M279" s="31" t="n">
        <x:v>0</x:v>
      </x:c>
      <x:c r="N279" s="24" t="str">
        <x:v>chaetodon capistratus</x:v>
      </x:c>
      <x:c r="O279" s="32" t="n">
        <x:v>3.43</x:v>
      </x:c>
      <x:c r="P279" s="24" t="str">
        <x:v>exact_2020_supplement</x:v>
      </x:c>
      <x:c r="Q279" s="32" t="str">
        <x:v>2020 supplement MeanTL</x:v>
      </x:c>
      <x:c r="R279" s="24" t="str">
        <x:v>high</x:v>
      </x:c>
      <x:c r="S279" s="24" t="str">
        <x:v>Chaetodon capistratus</x:v>
      </x:c>
      <x:c r="T279" s="32" t="n">
        <x:f>IF(O279="","",(1/'Metadata'!$B$5)^(O279-1))</x:f>
        <x:v>269.1534803926917</x:v>
      </x:c>
      <x:c r="U279" s="31" t="n">
        <x:f>IF(T279="","",I279*T279)</x:f>
        <x:v>0.34767486333366143</x:v>
      </x:c>
    </x:row>
    <x:row r="280" ht="18" customHeight="1">
      <x:c r="A280" s="24" t="str">
        <x:v>LME_006</x:v>
      </x:c>
      <x:c r="B280" s="24" t="str">
        <x:v>Southeast U.S. Continental Shelf</x:v>
      </x:c>
      <x:c r="C280" s="24" t="str">
        <x:v>LME</x:v>
      </x:c>
      <x:c r="D280" s="30" t="n">
        <x:v>2019</x:v>
      </x:c>
      <x:c r="E280" s="24" t="str">
        <x:v>Spondylus americanus</x:v>
      </x:c>
      <x:c r="F280" s="24" t="str">
        <x:v>Atlantic thorny oyster</x:v>
      </x:c>
      <x:c r="G280" s="24" t="str">
        <x:v>Other demersal invertebrates</x:v>
      </x:c>
      <x:c r="H280" s="24" t="str">
        <x:v>Molluscs</x:v>
      </x:c>
      <x:c r="I280" s="31" t="n">
        <x:v>0.001242891</x:v>
      </x:c>
      <x:c r="J280" s="31" t="n">
        <x:v>0.001242891</x:v>
      </x:c>
      <x:c r="K280" s="31" t="n">
        <x:v>0</x:v>
      </x:c>
      <x:c r="L280" s="31" t="n">
        <x:v>0.001242891</x:v>
      </x:c>
      <x:c r="M280" s="31" t="n">
        <x:v>0</x:v>
      </x:c>
      <x:c r="N280" s="24" t="str">
        <x:v>spondylus americanus</x:v>
      </x:c>
      <x:c r="O280" s="32" t="n">
        <x:v>2.02</x:v>
      </x:c>
      <x:c r="P280" s="24" t="str">
        <x:v>exact_sea_around_us</x:v>
      </x:c>
      <x:c r="Q280" s="32" t="str">
        <x:v>Sea Around Us exploited organisms</x:v>
      </x:c>
      <x:c r="R280" s="24" t="str">
        <x:v>high</x:v>
      </x:c>
      <x:c r="S280" s="24" t="str">
        <x:v>Spondylus americanus</x:v>
      </x:c>
      <x:c r="T280" s="32" t="n">
        <x:f>IF(O280="","",(1/'Metadata'!$B$5)^(O280-1))</x:f>
        <x:v>10.471285480508996</x:v>
      </x:c>
      <x:c r="U280" s="31" t="n">
        <x:f>IF(T280="","",I280*T280)</x:f>
        <x:v>0.013014666482155308</x:v>
      </x:c>
    </x:row>
    <x:row r="281" ht="18" customHeight="1">
      <x:c r="A281" s="24" t="str">
        <x:v>LME_006</x:v>
      </x:c>
      <x:c r="B281" s="24" t="str">
        <x:v>Southeast U.S. Continental Shelf</x:v>
      </x:c>
      <x:c r="C281" s="24" t="str">
        <x:v>LME</x:v>
      </x:c>
      <x:c r="D281" s="30" t="n">
        <x:v>2019</x:v>
      </x:c>
      <x:c r="E281" s="24" t="str">
        <x:v>Scyllaridae</x:v>
      </x:c>
      <x:c r="F281" s="24" t="str">
        <x:v>Slipper lobsters</x:v>
      </x:c>
      <x:c r="G281" s="24" t="str">
        <x:v>Lobsters, crabs</x:v>
      </x:c>
      <x:c r="H281" s="24" t="str">
        <x:v>Crustaceans</x:v>
      </x:c>
      <x:c r="I281" s="31" t="n">
        <x:v>0.0006697597</x:v>
      </x:c>
      <x:c r="J281" s="31" t="n">
        <x:v>0.0006697597</x:v>
      </x:c>
      <x:c r="K281" s="31" t="n">
        <x:v>0</x:v>
      </x:c>
      <x:c r="L281" s="31" t="n">
        <x:v>0</x:v>
      </x:c>
      <x:c r="M281" s="31" t="n">
        <x:v>0.0006697597</x:v>
      </x:c>
      <x:c r="N281" s="24" t="str">
        <x:v>scyllaridae</x:v>
      </x:c>
      <x:c r="O281" s="32" t="n">
        <x:v>2.87</x:v>
      </x:c>
      <x:c r="P281" s="24" t="str">
        <x:v>exact_sea_around_us</x:v>
      </x:c>
      <x:c r="Q281" s="32" t="str">
        <x:v>Sea Around Us exploited organisms</x:v>
      </x:c>
      <x:c r="R281" s="24" t="str">
        <x:v>high</x:v>
      </x:c>
      <x:c r="S281" s="24" t="str">
        <x:v>Scyllaridae</x:v>
      </x:c>
      <x:c r="T281" s="32" t="n">
        <x:f>IF(O281="","",(1/'Metadata'!$B$5)^(O281-1))</x:f>
        <x:v>74.13102413009177</x:v>
      </x:c>
      <x:c r="U281" s="31" t="n">
        <x:f>IF(T281="","",I281*T281)</x:f>
        <x:v>0.04964997248206303</x:v>
      </x:c>
    </x:row>
    <x:row r="282" ht="18" customHeight="1">
      <x:c r="A282" s="24" t="str">
        <x:v>LME_006</x:v>
      </x:c>
      <x:c r="B282" s="24" t="str">
        <x:v>Southeast U.S. Continental Shelf</x:v>
      </x:c>
      <x:c r="C282" s="24" t="str">
        <x:v>LME</x:v>
      </x:c>
      <x:c r="D282" s="30" t="n">
        <x:v>2019</x:v>
      </x:c>
      <x:c r="E282" s="24" t="str">
        <x:v>Brotula barbata</x:v>
      </x:c>
      <x:c r="F282" s="24" t="str">
        <x:v>Bearded brotula</x:v>
      </x:c>
      <x:c r="G282" s="24" t="str">
        <x:v>Medium benthopelagics (30 - 89 cm)</x:v>
      </x:c>
      <x:c r="H282" s="24" t="str">
        <x:v>Other fishes &amp; inverts</x:v>
      </x:c>
      <x:c r="I282" s="31" t="n">
        <x:v>0.0003851638</x:v>
      </x:c>
      <x:c r="J282" s="31" t="n">
        <x:v>0.0003851638</x:v>
      </x:c>
      <x:c r="K282" s="31" t="n">
        <x:v>0</x:v>
      </x:c>
      <x:c r="L282" s="31" t="n">
        <x:v>0</x:v>
      </x:c>
      <x:c r="M282" s="31" t="n">
        <x:v>0.0003851638</x:v>
      </x:c>
      <x:c r="N282" s="24" t="str">
        <x:v>brotula barbata</x:v>
      </x:c>
      <x:c r="O282" s="32" t="n">
        <x:v>3.8</x:v>
      </x:c>
      <x:c r="P282" s="24" t="str">
        <x:v>exact_2020_supplement</x:v>
      </x:c>
      <x:c r="Q282" s="32" t="str">
        <x:v>2020 supplement MeanTL</x:v>
      </x:c>
      <x:c r="R282" s="24" t="str">
        <x:v>high</x:v>
      </x:c>
      <x:c r="S282" s="24" t="str">
        <x:v>Brotula barbata</x:v>
      </x:c>
      <x:c r="T282" s="32" t="n">
        <x:f>IF(O282="","",(1/'Metadata'!$B$5)^(O282-1))</x:f>
        <x:v>630.957344480193</x:v>
      </x:c>
      <x:c r="U282" s="31" t="n">
        <x:f>IF(T282="","",I282*T282)</x:f>
        <x:v>0.24302192843790016</x:v>
      </x:c>
    </x:row>
    <x:row r="283" ht="18" customHeight="1">
      <x:c r="A283" s="24" t="str">
        <x:v>LME_006</x:v>
      </x:c>
      <x:c r="B283" s="24" t="str">
        <x:v>Southeast U.S. Continental Shelf</x:v>
      </x:c>
      <x:c r="C283" s="24" t="str">
        <x:v>LME</x:v>
      </x:c>
      <x:c r="D283" s="30" t="n">
        <x:v>2019</x:v>
      </x:c>
      <x:c r="E283" s="24" t="str">
        <x:v>Caranx latus</x:v>
      </x:c>
      <x:c r="F283" s="24" t="str">
        <x:v>Horse-eye jack</x:v>
      </x:c>
      <x:c r="G283" s="24" t="str">
        <x:v>Large reef assoc. fish (&gt;=90 cm)</x:v>
      </x:c>
      <x:c r="H283" s="24" t="str">
        <x:v>Perch-likes</x:v>
      </x:c>
      <x:c r="I283" s="31" t="n">
        <x:v>0.0001669186</x:v>
      </x:c>
      <x:c r="J283" s="31" t="n">
        <x:v>0.0001669186</x:v>
      </x:c>
      <x:c r="K283" s="31" t="n">
        <x:v>0</x:v>
      </x:c>
      <x:c r="L283" s="31" t="n">
        <x:v>0</x:v>
      </x:c>
      <x:c r="M283" s="31" t="n">
        <x:v>0.0001669186</x:v>
      </x:c>
      <x:c r="N283" s="24" t="str">
        <x:v>caranx latus</x:v>
      </x:c>
      <x:c r="O283" s="32" t="n">
        <x:v>4.16</x:v>
      </x:c>
      <x:c r="P283" s="24" t="str">
        <x:v>exact_2020_supplement</x:v>
      </x:c>
      <x:c r="Q283" s="32" t="str">
        <x:v>2020 supplement MeanTL</x:v>
      </x:c>
      <x:c r="R283" s="24" t="str">
        <x:v>high</x:v>
      </x:c>
      <x:c r="S283" s="24" t="str">
        <x:v>Caranx latus</x:v>
      </x:c>
      <x:c r="T283" s="32" t="n">
        <x:f>IF(O283="","",(1/'Metadata'!$B$5)^(O283-1))</x:f>
        <x:v>1445.439770745928</x:v>
      </x:c>
      <x:c r="U283" s="31" t="n">
        <x:f>IF(T283="","",I283*T283)</x:f>
        <x:v>0.24127078291723122</x:v>
      </x:c>
    </x:row>
    <x:row r="284" ht="18" customHeight="1">
      <x:c r="A284" s="24" t="str">
        <x:v>LME_006</x:v>
      </x:c>
      <x:c r="B284" s="24" t="str">
        <x:v>Southeast U.S. Continental Shelf</x:v>
      </x:c>
      <x:c r="C284" s="24" t="str">
        <x:v>LME</x:v>
      </x:c>
      <x:c r="D284" s="30" t="n">
        <x:v>2019</x:v>
      </x:c>
      <x:c r="E284" s="24" t="str">
        <x:v>Chaetodontidae</x:v>
      </x:c>
      <x:c r="F284" s="24" t="str">
        <x:v>Butterflyfishes</x:v>
      </x:c>
      <x:c r="G284" s="24" t="str">
        <x:v>Small reef assoc. fish (&lt;30 cm)</x:v>
      </x:c>
      <x:c r="H284" s="24" t="str">
        <x:v>Perch-likes</x:v>
      </x:c>
      <x:c r="I284" s="31" t="n">
        <x:v>0.0001086479</x:v>
      </x:c>
      <x:c r="J284" s="31" t="n">
        <x:v>0.0001086479</x:v>
      </x:c>
      <x:c r="K284" s="31" t="n">
        <x:v>0</x:v>
      </x:c>
      <x:c r="L284" s="31" t="n">
        <x:v>0</x:v>
      </x:c>
      <x:c r="M284" s="31" t="n">
        <x:v>0.0001086479</x:v>
      </x:c>
      <x:c r="N284" s="24" t="str">
        <x:v>chaetodontidae</x:v>
      </x:c>
      <x:c r="O284" s="32" t="n">
        <x:v>3.24</x:v>
      </x:c>
      <x:c r="P284" s="24" t="str">
        <x:v>exact_sea_around_us</x:v>
      </x:c>
      <x:c r="Q284" s="32" t="str">
        <x:v>Sea Around Us exploited organisms</x:v>
      </x:c>
      <x:c r="R284" s="24" t="str">
        <x:v>high</x:v>
      </x:c>
      <x:c r="S284" s="24" t="str">
        <x:v>Chaetodontidae</x:v>
      </x:c>
      <x:c r="T284" s="32" t="n">
        <x:f>IF(O284="","",(1/'Metadata'!$B$5)^(O284-1))</x:f>
        <x:v>173.78008287493762</x:v>
      </x:c>
      <x:c r="U284" s="31" t="n">
        <x:f>IF(T284="","",I284*T284)</x:f>
        <x:v>0.018880841066187936</x:v>
      </x:c>
    </x:row>
  </x:sheetData>
  <x:conditionalFormatting sqref="R2:R284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bb131663c9fd4de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4.9026608354</x:v>
      </x:c>
      <x:c r="C2" s="32" t="n">
        <x:v>3.339910262323508</x:v>
      </x:c>
      <x:c r="D2" s="32" t="n">
        <x:f>IF(C2="","",(1/'Metadata'!$B$5)^(C2-1))</x:f>
        <x:v>218.73096164493845</x:v>
      </x:c>
      <x:c r="E2" s="31" t="n">
        <x:f>IF(B2=0,"",B2*D2)</x:f>
        <x:v>1072.3637191460193</x:v>
      </x:c>
    </x:row>
    <x:row r="3" ht="18" customHeight="1">
      <x:c r="A3" s="24" t="str">
        <x:v>Cod-likes</x:v>
      </x:c>
      <x:c r="B3" s="31" t="n">
        <x:v>0.3497773748</x:v>
      </x:c>
      <x:c r="C3" s="32" t="n">
        <x:v>3.8860999390976043</x:v>
      </x:c>
      <x:c r="D3" s="32" t="n">
        <x:f>IF(C3="","",(1/'Metadata'!$B$5)^(C3-1))</x:f>
        <x:v>769.3074516238082</x:v>
      </x:c>
      <x:c r="E3" s="31" t="n">
        <x:f>IF(B3=0,"",B3*D3)</x:f>
        <x:v>269.0863408430536</x:v>
      </x:c>
    </x:row>
    <x:row r="4" ht="18" customHeight="1">
      <x:c r="A4" s="24" t="str">
        <x:v>Crustaceans</x:v>
      </x:c>
      <x:c r="B4" s="31" t="n">
        <x:v>30493.668794595003</x:v>
      </x:c>
      <x:c r="C4" s="32" t="n">
        <x:v>3.452789956829892</x:v>
      </x:c>
      <x:c r="D4" s="32" t="n">
        <x:f>IF(C4="","",(1/'Metadata'!$B$5)^(C4-1))</x:f>
        <x:v>283.6546822688923</x:v>
      </x:c>
      <x:c r="E4" s="31" t="n">
        <x:f>IF(B4=0,"",B4*D4)</x:f>
        <x:v>8649671.933143683</x:v>
      </x:c>
    </x:row>
    <x:row r="5" ht="18" customHeight="1">
      <x:c r="A5" s="24" t="str">
        <x:v>Flatfishes</x:v>
      </x:c>
      <x:c r="B5" s="31" t="n">
        <x:v>2975.3840267695996</x:v>
      </x:c>
      <x:c r="C5" s="32" t="n">
        <x:v>4.162072344773832</x:v>
      </x:c>
      <x:c r="D5" s="32" t="n">
        <x:f>IF(C5="","",(1/'Metadata'!$B$5)^(C5-1))</x:f>
        <x:v>1452.353530486144</x:v>
      </x:c>
      <x:c r="E5" s="31" t="n">
        <x:f>IF(B5=0,"",B5*D5)</x:f>
        <x:v>4321309.4958309075</x:v>
      </x:c>
    </x:row>
    <x:row r="6" ht="18" customHeight="1">
      <x:c r="A6" s="24" t="str">
        <x:v>Herring-likes</x:v>
      </x:c>
      <x:c r="B6" s="31" t="n">
        <x:v>1306.7959215621001</x:v>
      </x:c>
      <x:c r="C6" s="32" t="n">
        <x:v>3.644860354785706</x:v>
      </x:c>
      <x:c r="D6" s="32" t="n">
        <x:f>IF(C6="","",(1/'Metadata'!$B$5)^(C6-1))</x:f>
        <x:v>441.4284854135882</x:v>
      </x:c>
      <x:c r="E6" s="31" t="n">
        <x:f>IF(B6=0,"",B6*D6)</x:f>
        <x:v>576856.944399812</x:v>
      </x:c>
    </x:row>
    <x:row r="7" ht="18" customHeight="1">
      <x:c r="A7" s="24" t="str">
        <x:v>Molluscs</x:v>
      </x:c>
      <x:c r="B7" s="31" t="n">
        <x:v>4883.494476837201</x:v>
      </x:c>
      <x:c r="C7" s="32" t="n">
        <x:v>2.6814485104581607</x:v>
      </x:c>
      <x:c r="D7" s="32" t="n">
        <x:f>IF(C7="","",(1/'Metadata'!$B$5)^(C7-1))</x:f>
        <x:v>48.02291413529536</x:v>
      </x:c>
      <x:c r="E7" s="31" t="n">
        <x:f>IF(B7=0,"",B7*D7)</x:f>
        <x:v>234519.635941342</x:v>
      </x:c>
    </x:row>
    <x:row r="8" ht="18" customHeight="1">
      <x:c r="A8" s="24" t="str">
        <x:v>Other fishes &amp; inverts</x:v>
      </x:c>
      <x:c r="B8" s="31" t="n">
        <x:v>21359.144613287295</x:v>
      </x:c>
      <x:c r="C8" s="32" t="n">
        <x:v>3.267644692018786</x:v>
      </x:c>
      <x:c r="D8" s="32" t="n">
        <x:f>IF(C8="","",(1/'Metadata'!$B$5)^(C8-1))</x:f>
        <x:v>185.2015819550524</x:v>
      </x:c>
      <x:c r="E8" s="31" t="n">
        <x:f>IF(B8=0,"",B8*D8)</x:f>
        <x:v>3955747.3715875433</x:v>
      </x:c>
    </x:row>
    <x:row r="9" ht="18" customHeight="1">
      <x:c r="A9" s="24" t="str">
        <x:v>Perch-likes</x:v>
      </x:c>
      <x:c r="B9" s="31" t="n">
        <x:v>50248.8680136869</x:v>
      </x:c>
      <x:c r="C9" s="32" t="n">
        <x:v>3.8684314422101926</x:v>
      </x:c>
      <x:c r="D9" s="32" t="n">
        <x:f>IF(C9="","",(1/'Metadata'!$B$5)^(C9-1))</x:f>
        <x:v>738.6376523430238</x:v>
      </x:c>
      <x:c r="E9" s="31" t="n">
        <x:f>IF(B9=0,"",B9*D9)</x:f>
        <x:v>37115705.90252415</x:v>
      </x:c>
    </x:row>
    <x:row r="10" ht="18" customHeight="1">
      <x:c r="A10" s="24" t="str">
        <x:v>Scorpionfishes</x:v>
      </x:c>
      <x:c r="B10" s="31" t="n">
        <x:v>12.592600627</x:v>
      </x:c>
      <x:c r="C10" s="32" t="n">
        <x:v>3.568497387010557</x:v>
      </x:c>
      <x:c r="D10" s="32" t="n">
        <x:f>IF(C10="","",(1/'Metadata'!$B$5)^(C10-1))</x:f>
        <x:v>370.2519777240771</x:v>
      </x:c>
      <x:c r="E10" s="31" t="n">
        <x:f>IF(B10=0,"",B10*D10)</x:f>
        <x:v>4662.435286836203</x:v>
      </x:c>
    </x:row>
    <x:row r="11" ht="18" customHeight="1">
      <x:c r="A11" s="24" t="str">
        <x:v>Sharks &amp; rays</x:v>
      </x:c>
      <x:c r="B11" s="31" t="n">
        <x:v>1243.3850085454999</x:v>
      </x:c>
      <x:c r="C11" s="32" t="n">
        <x:v>4.2093414897602495</x:v>
      </x:c>
      <x:c r="D11" s="32" t="n">
        <x:f>IF(C11="","",(1/'Metadata'!$B$5)^(C11-1))</x:f>
        <x:v>1619.352849259927</x:v>
      </x:c>
      <x:c r="E11" s="31" t="n">
        <x:f>IF(B11=0,"",B11*D11)</x:f>
        <x:v>2013479.056315234</x:v>
      </x:c>
    </x:row>
    <x:row r="12" ht="18" customHeight="1">
      <x:c r="A12" s="24" t="str">
        <x:v>Tuna &amp; billfishes</x:v>
      </x:c>
      <x:c r="B12" s="31" t="n">
        <x:v>3070.9841406902</x:v>
      </x:c>
      <x:c r="C12" s="32" t="n">
        <x:v>4.4547119374037765</x:v>
      </x:c>
      <x:c r="D12" s="32" t="n">
        <x:f>IF(C12="","",(1/'Metadata'!$B$5)^(C12-1))</x:f>
        <x:v>2849.127846491587</x:v>
      </x:c>
      <x:c r="E12" s="31" t="n">
        <x:f>IF(B12=0,"",B12*D12)</x:f>
        <x:v>8749626.431374487</x:v>
      </x:c>
    </x:row>
  </x:sheetData>
  <x:pageMargins left="0.7" right="0.7" top="0.75" bottom="0.75" header="0.3" footer="0.3"/>
  <x:tableParts count="1">
    <x:tablePart xmlns:r="http://schemas.openxmlformats.org/officeDocument/2006/relationships" r:id="Rd5f5c8c391f7458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26.551646836799996</x:v>
      </x:c>
      <x:c r="C2" s="32" t="n">
        <x:v>4.022435646432423</x:v>
      </x:c>
      <x:c r="D2" s="32" t="n">
        <x:f>IF(C2="","",(1/'Metadata'!$B$5)^(C2-1))</x:f>
        <x:v>1053.0176398722763</x:v>
      </x:c>
      <x:c r="E2" s="31" t="n">
        <x:f>IF(B2=0,"",B2*D2)</x:f>
        <x:v>27959.352486809323</x:v>
      </x:c>
    </x:row>
    <x:row r="3" ht="18" customHeight="1">
      <x:c r="A3" s="24" t="str">
        <x:v>Jellyfish</x:v>
      </x:c>
      <x:c r="B3" s="31" t="n">
        <x:v>2620.5628722214</x:v>
      </x:c>
      <x:c r="C3" s="32" t="n">
        <x:v>3.3542817357551336</x:v>
      </x:c>
      <x:c r="D3" s="32" t="n">
        <x:f>IF(C3="","",(1/'Metadata'!$B$5)^(C3-1))</x:f>
        <x:v>226.09019881678122</x:v>
      </x:c>
      <x:c r="E3" s="31" t="n">
        <x:f>IF(B3=0,"",B3*D3)</x:f>
        <x:v>592483.5807924116</x:v>
      </x:c>
    </x:row>
    <x:row r="4" ht="18" customHeight="1">
      <x:c r="A4" s="24" t="str">
        <x:v>Large bathydemersals (&gt;=90 cm)</x:v>
      </x:c>
      <x:c r="B4" s="31" t="n">
        <x:v>11.834365251000001</x:v>
      </x:c>
      <x:c r="C4" s="32" t="n">
        <x:v>4.528609495753174</x:v>
      </x:c>
      <x:c r="D4" s="32" t="n">
        <x:f>IF(C4="","",(1/'Metadata'!$B$5)^(C4-1))</x:f>
        <x:v>3377.609953208889</x:v>
      </x:c>
      <x:c r="E4" s="31" t="n">
        <x:f>IF(B4=0,"",B4*D4)</x:f>
        <x:v>39971.86986168702</x:v>
      </x:c>
    </x:row>
    <x:row r="5" ht="18" customHeight="1">
      <x:c r="A5" s="24" t="str">
        <x:v>Large bathypelagics (&gt;=90 cm)</x:v>
      </x:c>
      <x:c r="B5" s="31" t="n">
        <x:v>6.0252607273</x:v>
      </x:c>
      <x:c r="C5" s="32" t="n">
        <x:v>4.34</x:v>
      </x:c>
      <x:c r="D5" s="32" t="n">
        <x:f>IF(C5="","",(1/'Metadata'!$B$5)^(C5-1))</x:f>
        <x:v>2187.761623949552</x:v>
      </x:c>
      <x:c r="E5" s="31" t="n">
        <x:f>IF(B5=0,"",B5*D5)</x:f>
        <x:v>13181.834193477307</x:v>
      </x:c>
    </x:row>
    <x:row r="6" ht="18" customHeight="1">
      <x:c r="A6" s="24" t="str">
        <x:v>Large benthopelagics (&gt;=90 cm)</x:v>
      </x:c>
      <x:c r="B6" s="31" t="n">
        <x:v>1252.1202815591</x:v>
      </x:c>
      <x:c r="C6" s="32" t="n">
        <x:v>2.699123318920969</x:v>
      </x:c>
      <x:c r="D6" s="32" t="n">
        <x:f>IF(C6="","",(1/'Metadata'!$B$5)^(C6-1))</x:f>
        <x:v>50.01765410983474</x:v>
      </x:c>
      <x:c r="E6" s="31" t="n">
        <x:f>IF(B6=0,"",B6*D6)</x:f>
        <x:v>62628.119146931946</x:v>
      </x:c>
    </x:row>
    <x:row r="7" ht="18" customHeight="1">
      <x:c r="A7" s="24" t="str">
        <x:v>Large demersals (&gt;=90 cm)</x:v>
      </x:c>
      <x:c r="B7" s="31" t="n">
        <x:v>4971.268331687601</x:v>
      </x:c>
      <x:c r="C7" s="32" t="n">
        <x:v>4.021949544341666</x:v>
      </x:c>
      <x:c r="D7" s="32" t="n">
        <x:f>IF(C7="","",(1/'Metadata'!$B$5)^(C7-1))</x:f>
        <x:v>1051.8396656258126</x:v>
      </x:c>
      <x:c r="E7" s="31" t="n">
        <x:f>IF(B7=0,"",B7*D7)</x:f>
        <x:v>5228977.219738477</x:v>
      </x:c>
    </x:row>
    <x:row r="8" ht="18" customHeight="1">
      <x:c r="A8" s="24" t="str">
        <x:v>Large pelagics (&gt;=90 cm)</x:v>
      </x:c>
      <x:c r="B8" s="31" t="n">
        <x:v>16751.9163155047</x:v>
      </x:c>
      <x:c r="C8" s="32" t="n">
        <x:v>4.42091845849817</x:v>
      </x:c>
      <x:c r="D8" s="32" t="n">
        <x:f>IF(C8="","",(1/'Metadata'!$B$5)^(C8-1))</x:f>
        <x:v>2635.836444605256</x:v>
      </x:c>
      <x:c r="E8" s="31" t="n">
        <x:f>IF(B8=0,"",B8*D8)</x:f>
        <x:v>44155311.54138469</x:v>
      </x:c>
    </x:row>
    <x:row r="9" ht="18" customHeight="1">
      <x:c r="A9" s="24" t="str">
        <x:v>Large rays (&gt;=90 cm)</x:v>
      </x:c>
      <x:c r="B9" s="31" t="n">
        <x:v>121.58843417170002</x:v>
      </x:c>
      <x:c r="C9" s="32" t="n">
        <x:v>3.609359713686656</x:v>
      </x:c>
      <x:c r="D9" s="32" t="n">
        <x:f>IF(C9="","",(1/'Metadata'!$B$5)^(C9-1))</x:f>
        <x:v>406.78011399472354</x:v>
      </x:c>
      <x:c r="E9" s="31" t="n">
        <x:f>IF(B9=0,"",B9*D9)</x:f>
        <x:v>49459.75711280407</x:v>
      </x:c>
    </x:row>
    <x:row r="10" ht="18" customHeight="1">
      <x:c r="A10" s="24" t="str">
        <x:v>Large reef assoc. fish (&gt;=90 cm)</x:v>
      </x:c>
      <x:c r="B10" s="31" t="n">
        <x:v>1329.0887395217997</x:v>
      </x:c>
      <x:c r="C10" s="32" t="n">
        <x:v>4.200518969498025</x:v>
      </x:c>
      <x:c r="D10" s="32" t="n">
        <x:f>IF(C10="","",(1/'Metadata'!$B$5)^(C10-1))</x:f>
        <x:v>1586.7882265758112</x:v>
      </x:c>
      <x:c r="E10" s="31" t="n">
        <x:f>IF(B10=0,"",B10*D10)</x:f>
        <x:v>2108982.363947677</x:v>
      </x:c>
    </x:row>
    <x:row r="11" ht="18" customHeight="1">
      <x:c r="A11" s="24" t="str">
        <x:v>Large sharks (&gt;=90 cm)</x:v>
      </x:c>
      <x:c r="B11" s="31" t="n">
        <x:v>1094.3045552505998</x:v>
      </x:c>
      <x:c r="C11" s="32" t="n">
        <x:v>4.292318934299441</x:v>
      </x:c>
      <x:c r="D11" s="32" t="n">
        <x:f>IF(C11="","",(1/'Metadata'!$B$5)^(C11-1))</x:f>
        <x:v>1960.2837251934607</x:v>
      </x:c>
      <x:c r="E11" s="31" t="n">
        <x:f>IF(B11=0,"",B11*D11)</x:f>
        <x:v>2145147.4100628193</x:v>
      </x:c>
    </x:row>
    <x:row r="12" ht="18" customHeight="1">
      <x:c r="A12" s="24" t="str">
        <x:v>Lobsters, crabs</x:v>
      </x:c>
      <x:c r="B12" s="31" t="n">
        <x:v>13890.3964873802</x:v>
      </x:c>
      <x:c r="C12" s="32" t="n">
        <x:v>3.95152067756734</x:v>
      </x:c>
      <x:c r="D12" s="32" t="n">
        <x:f>IF(C12="","",(1/'Metadata'!$B$5)^(C12-1))</x:f>
        <x:v>894.3771138752749</x:v>
      </x:c>
      <x:c r="E12" s="31" t="n">
        <x:f>IF(B12=0,"",B12*D12)</x:f>
        <x:v>12423252.72096636</x:v>
      </x:c>
    </x:row>
    <x:row r="13" ht="18" customHeight="1">
      <x:c r="A13" s="24" t="str">
        <x:v>Medium bathydemersals (30 - 89 cm)</x:v>
      </x:c>
      <x:c r="B13" s="31" t="n">
        <x:v>12.6000007764</x:v>
      </x:c>
      <x:c r="C13" s="32" t="n">
        <x:v>3.6166606269667216</x:v>
      </x:c>
      <x:c r="D13" s="32" t="n">
        <x:f>IF(C13="","",(1/'Metadata'!$B$5)^(C13-1))</x:f>
        <x:v>413.67628723454936</x:v>
      </x:c>
      <x:c r="E13" s="31" t="n">
        <x:f>IF(B13=0,"",B13*D13)</x:f>
        <x:v>5212.321540333592</x:v>
      </x:c>
    </x:row>
    <x:row r="14" ht="18" customHeight="1">
      <x:c r="A14" s="24" t="str">
        <x:v>Medium benthopelagics (30 - 89 cm)</x:v>
      </x:c>
      <x:c r="B14" s="31" t="n">
        <x:v>2563.2686812825</x:v>
      </x:c>
      <x:c r="C14" s="32" t="n">
        <x:v>3.525872460635581</x:v>
      </x:c>
      <x:c r="D14" s="32" t="n">
        <x:f>IF(C14="","",(1/'Metadata'!$B$5)^(C14-1))</x:f>
        <x:v>335.63903257340394</x:v>
      </x:c>
      <x:c r="E14" s="31" t="n">
        <x:f>IF(B14=0,"",B14*D14)</x:f>
        <x:v>860333.0204113632</x:v>
      </x:c>
    </x:row>
    <x:row r="15" ht="18" customHeight="1">
      <x:c r="A15" s="24" t="str">
        <x:v>Medium demersals (30 - 89 cm)</x:v>
      </x:c>
      <x:c r="B15" s="31" t="n">
        <x:v>36683.613978719695</x:v>
      </x:c>
      <x:c r="C15" s="32" t="n">
        <x:v>3.414044906824188</x:v>
      </x:c>
      <x:c r="D15" s="32" t="n">
        <x:f>IF(C15="","",(1/'Metadata'!$B$5)^(C15-1))</x:f>
        <x:v>259.44476187616084</x:v>
      </x:c>
      <x:c r="E15" s="31" t="n">
        <x:f>IF(B15=0,"",B15*D15)</x:f>
        <x:v>9517371.493465936</x:v>
      </x:c>
    </x:row>
    <x:row r="16" ht="18" customHeight="1">
      <x:c r="A16" s="24" t="str">
        <x:v>Medium pelagics (30 - 89 cm)</x:v>
      </x:c>
      <x:c r="B16" s="31" t="n">
        <x:v>2538.9393308454996</x:v>
      </x:c>
      <x:c r="C16" s="32" t="n">
        <x:v>4.109915122374676</x:v>
      </x:c>
      <x:c r="D16" s="32" t="n">
        <x:f>IF(C16="","",(1/'Metadata'!$B$5)^(C16-1))</x:f>
        <x:v>1287.997803436862</x:v>
      </x:c>
      <x:c r="E16" s="31" t="n">
        <x:f>IF(B16=0,"",B16*D16)</x:f>
        <x:v>3270148.2811884596</x:v>
      </x:c>
    </x:row>
    <x:row r="17" ht="18" customHeight="1">
      <x:c r="A17" s="24" t="str">
        <x:v>Medium reef assoc. fish (30 - 89 cm)</x:v>
      </x:c>
      <x:c r="B17" s="31" t="n">
        <x:v>4955.269112202101</x:v>
      </x:c>
      <x:c r="C17" s="32" t="n">
        <x:v>3.8222826319025724</x:v>
      </x:c>
      <x:c r="D17" s="32" t="n">
        <x:f>IF(C17="","",(1/'Metadata'!$B$5)^(C17-1))</x:f>
        <x:v>664.1751643606678</x:v>
      </x:c>
      <x:c r="E17" s="31" t="n">
        <x:f>IF(B17=0,"",B17*D17)</x:f>
        <x:v>3291166.677048171</x:v>
      </x:c>
    </x:row>
    <x:row r="18" ht="18" customHeight="1">
      <x:c r="A18" s="24" t="str">
        <x:v>Other demersal invertebrates</x:v>
      </x:c>
      <x:c r="B18" s="31" t="n">
        <x:v>6189.757676640102</x:v>
      </x:c>
      <x:c r="C18" s="32" t="n">
        <x:v>2.625448084192466</x:v>
      </x:c>
      <x:c r="D18" s="32" t="n">
        <x:f>IF(C18="","",(1/'Metadata'!$B$5)^(C18-1))</x:f>
        <x:v>42.213181415952654</x:v>
      </x:c>
      <x:c r="E18" s="31" t="n">
        <x:f>IF(B18=0,"",B18*D18)</x:f>
        <x:v>261289.3637247942</x:v>
      </x:c>
    </x:row>
    <x:row r="19" ht="18" customHeight="1">
      <x:c r="A19" s="24" t="str">
        <x:v>Shrimps</x:v>
      </x:c>
      <x:c r="B19" s="31" t="n">
        <x:v>16603.2723072148</x:v>
      </x:c>
      <x:c r="C19" s="32" t="n">
        <x:v>3.0355488658390666</x:v>
      </x:c>
      <x:c r="D19" s="32" t="n">
        <x:f>IF(C19="","",(1/'Metadata'!$B$5)^(C19-1))</x:f>
        <x:v>108.5297658016344</x:v>
      </x:c>
      <x:c r="E19" s="31" t="n">
        <x:f>IF(B19=0,"",B19*D19)</x:f>
        <x:v>1801949.2550427841</x:v>
      </x:c>
    </x:row>
    <x:row r="20" ht="18" customHeight="1">
      <x:c r="A20" s="24" t="str">
        <x:v>Small benthopelagics (&lt;30 cm)</x:v>
      </x:c>
      <x:c r="B20" s="31" t="n">
        <x:v>143.24254142169997</x:v>
      </x:c>
      <x:c r="C20" s="32" t="n">
        <x:v>3.412352338297839</x:v>
      </x:c>
      <x:c r="D20" s="32" t="n">
        <x:f>IF(C20="","",(1/'Metadata'!$B$5)^(C20-1))</x:f>
        <x:v>258.4355999734307</x:v>
      </x:c>
      <x:c r="E20" s="31" t="n">
        <x:f>IF(B20=0,"",B20*D20)</x:f>
        <x:v>37018.972134036034</x:v>
      </x:c>
    </x:row>
    <x:row r="21" ht="18" customHeight="1">
      <x:c r="A21" s="24" t="str">
        <x:v>Small demersals (&lt;30 cm)</x:v>
      </x:c>
      <x:c r="B21" s="31" t="n">
        <x:v>3.1560096309</x:v>
      </x:c>
      <x:c r="C21" s="32" t="n">
        <x:v>4.49</x:v>
      </x:c>
      <x:c r="D21" s="32" t="n">
        <x:f>IF(C21="","",(1/'Metadata'!$B$5)^(C21-1))</x:f>
        <x:v>3090.295432513592</x:v>
      </x:c>
      <x:c r="E21" s="31" t="n">
        <x:f>IF(B21=0,"",B21*D21)</x:f>
        <x:v>9753.002147339177</x:v>
      </x:c>
    </x:row>
    <x:row r="22" ht="18" customHeight="1">
      <x:c r="A22" s="24" t="str">
        <x:v>Small pelagics (&lt;30 cm)</x:v>
      </x:c>
      <x:c r="B22" s="31" t="n">
        <x:v>773.9682329659998</x:v>
      </x:c>
      <x:c r="C22" s="32" t="n">
        <x:v>4.013512835730921</x:v>
      </x:c>
      <x:c r="D22" s="32" t="n">
        <x:f>IF(C22="","",(1/'Metadata'!$B$5)^(C22-1))</x:f>
        <x:v>1031.603568406556</x:v>
      </x:c>
      <x:c r="E22" s="31" t="n">
        <x:f>IF(B22=0,"",B22*D22)</x:f>
        <x:v>798428.390961042</x:v>
      </x:c>
    </x:row>
    <x:row r="23" ht="18" customHeight="1">
      <x:c r="A23" s="24" t="str">
        <x:v>Small reef assoc. fish (&lt;30 cm)</x:v>
      </x:c>
      <x:c r="B23" s="31" t="n">
        <x:v>53.9488271063</x:v>
      </x:c>
      <x:c r="C23" s="32" t="n">
        <x:v>4.242455203741149</x:v>
      </x:c>
      <x:c r="D23" s="32" t="n">
        <x:f>IF(C23="","",(1/'Metadata'!$B$5)^(C23-1))</x:f>
        <x:v>1747.6529876124673</x:v>
      </x:c>
      <x:c r="E23" s="31" t="n">
        <x:f>IF(B23=0,"",B23*D23)</x:f>
        <x:v>94283.82887051365</x:v>
      </x:c>
    </x:row>
    <x:row r="24" ht="18" customHeight="1">
      <x:c r="A24" s="24" t="str">
        <x:v>Small to medium flatfishes (&lt;90 cm)</x:v>
      </x:c>
      <x:c r="B24" s="31" t="n">
        <x:v>2975.3840267695996</x:v>
      </x:c>
      <x:c r="C24" s="32" t="n">
        <x:v>4.162072344773832</x:v>
      </x:c>
      <x:c r="D24" s="32" t="n">
        <x:f>IF(C24="","",(1/'Metadata'!$B$5)^(C24-1))</x:f>
        <x:v>1452.353530486144</x:v>
      </x:c>
      <x:c r="E24" s="31" t="n">
        <x:f>IF(B24=0,"",B24*D24)</x:f>
        <x:v>4321309.4958309075</x:v>
      </x:c>
    </x:row>
    <x:row r="25" ht="18" customHeight="1">
      <x:c r="A25" s="24" t="str">
        <x:v>Small to medium rays (&lt;90 cm)</x:v>
      </x:c>
      <x:c r="B25" s="31" t="n">
        <x:v>27.492019123200002</x:v>
      </x:c>
      <x:c r="C25" s="32" t="n">
        <x:v>3.5599984648646643</x:v>
      </x:c>
      <x:c r="D25" s="32" t="n">
        <x:f>IF(C25="","",(1/'Metadata'!$B$5)^(C25-1))</x:f>
        <x:v>363.0767713714177</x:v>
      </x:c>
      <x:c r="E25" s="31" t="n">
        <x:f>IF(B25=0,"",B25*D25)</x:f>
        <x:v>9981.71354173273</x:v>
      </x:c>
    </x:row>
  </x:sheetData>
  <x:pageMargins left="0.7" right="0.7" top="0.75" bottom="0.75" header="0.3" footer="0.3"/>
  <x:tableParts count="1">
    <x:tablePart xmlns:r="http://schemas.openxmlformats.org/officeDocument/2006/relationships" r:id="Rf26fd897642e4f0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LME_006</x:v>
      </x:c>
      <x:c r="B2" s="24" t="str">
        <x:v>raw_filtered_tonnes</x:v>
      </x:c>
      <x:c r="C2" s="24" t="n">
        <x:v>115599.57003481101</x:v>
      </x:c>
      <x:c r="D2" s="24" t="str">
        <x:v>tonnes</x:v>
      </x:c>
    </x:row>
    <x:row r="3" ht="18" customHeight="1">
      <x:c r="A3" s="24" t="str">
        <x:v>LME_006</x:v>
      </x:c>
      <x:c r="B3" s="24" t="str">
        <x:v>species_catch_tonnes</x:v>
      </x:c>
      <x:c r="C3" s="24" t="n">
        <x:v>115599.570034811</x:v>
      </x:c>
      <x:c r="D3" s="24" t="str">
        <x:v>tonnes</x:v>
      </x:c>
    </x:row>
    <x:row r="4" ht="18" customHeight="1">
      <x:c r="A4" s="24" t="str">
        <x:v>LME_006</x:v>
      </x:c>
      <x:c r="B4" s="24" t="str">
        <x:v>catch_difference_tonnes</x:v>
      </x:c>
      <x:c r="C4" s="24" t="n">
        <x:v>-1.4551915228366852e-11</x:v>
      </x:c>
      <x:c r="D4" s="24" t="str">
        <x:v>tonnes</x:v>
      </x:c>
    </x:row>
    <x:row r="5" ht="18" customHeight="1">
      <x:c r="A5" s="24" t="str">
        <x:v>LME_006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LME_006</x:v>
      </x:c>
      <x:c r="B6" s="24" t="str">
        <x:v>matched_catch_tonnes</x:v>
      </x:c>
      <x:c r="C6" s="24" t="n">
        <x:v>115599.570034811</x:v>
      </x:c>
      <x:c r="D6" s="24" t="str">
        <x:v>tonnes</x:v>
      </x:c>
    </x:row>
    <x:row r="7" ht="18" customHeight="1">
      <x:c r="A7" s="24" t="str">
        <x:v>LME_006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LME_006</x:v>
      </x:c>
      <x:c r="B8" s="24" t="str">
        <x:v>taxa_count</x:v>
      </x:c>
      <x:c r="C8" s="24" t="n">
        <x:v>283</x:v>
      </x:c>
      <x:c r="D8" s="24" t="str">
        <x:v>count</x:v>
      </x:c>
    </x:row>
    <x:row r="9" ht="18" customHeight="1">
      <x:c r="A9" s="24" t="str">
        <x:v>LME_006</x:v>
      </x:c>
      <x:c r="B9" s="24" t="str">
        <x:v>matched_taxa_count</x:v>
      </x:c>
      <x:c r="C9" s="24" t="n">
        <x:v>283</x:v>
      </x:c>
      <x:c r="D9" s="24" t="str">
        <x:v>count</x:v>
      </x:c>
    </x:row>
    <x:row r="10" ht="18" customHeight="1">
      <x:c r="A10" s="24" t="str">
        <x:v>LME_006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LME_006</x:v>
      </x:c>
      <x:c r="B11" s="24" t="str">
        <x:v>species_ppr</x:v>
      </x:c>
      <x:c r="C11" s="24" t="n">
        <x:v>104438774.10426635</x:v>
      </x:c>
      <x:c r="D11" s="24" t="str">
        <x:v>tonnes_primary_production_equivalent</x:v>
      </x:c>
    </x:row>
    <x:row r="12" ht="18" customHeight="1">
      <x:c r="A12" s="24" t="str">
        <x:v>LME_006</x:v>
      </x:c>
      <x:c r="B12" s="24" t="str">
        <x:v>commercial_ppr</x:v>
      </x:c>
      <x:c r="C12" s="24" t="n">
        <x:v>65622920.65646398</x:v>
      </x:c>
      <x:c r="D12" s="24" t="str">
        <x:v>tonnes_primary_production_equivalent</x:v>
      </x:c>
    </x:row>
    <x:row r="13" ht="18" customHeight="1">
      <x:c r="A13" s="24" t="str">
        <x:v>LME_006</x:v>
      </x:c>
      <x:c r="B13" s="24" t="str">
        <x:v>functional_ppr</x:v>
      </x:c>
      <x:c r="C13" s="24" t="n">
        <x:v>91125601.58560155</x:v>
      </x:c>
      <x:c r="D13" s="24" t="str">
        <x:v>tonnes_primary_production_equivalent</x:v>
      </x:c>
    </x:row>
    <x:row r="14" ht="18" customHeight="1">
      <x:c r="A14" s="24" t="str">
        <x:v>LME_006</x:v>
      </x:c>
      <x:c r="B14" s="24" t="str">
        <x:v>commercial_ppr_difference</x:v>
      </x:c>
      <x:c r="C14" s="24" t="n">
        <x:v>-38815853.447802365</x:v>
      </x:c>
      <x:c r="D14" s="24" t="str">
        <x:v>tonnes_primary_production_equivalent</x:v>
      </x:c>
    </x:row>
    <x:row r="15" ht="18" customHeight="1">
      <x:c r="A15" s="24" t="str">
        <x:v>LME_006</x:v>
      </x:c>
      <x:c r="B15" s="24" t="str">
        <x:v>functional_ppr_difference</x:v>
      </x:c>
      <x:c r="C15" s="24" t="n">
        <x:v>-13313172.518664792</x:v>
      </x:c>
      <x:c r="D15" s="24" t="str">
        <x:v>tonnes_primary_production_equivalent</x:v>
      </x:c>
    </x:row>
    <x:row r="16" ht="18" customHeight="1">
      <x:c r="A16" s="24" t="str">
        <x:v>LME_006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LME_006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aede93ed7d66405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LME_006 - Southeast U.S. Continental Shelf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LME_006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84 datasets</x:v>
      </x:c>
    </x:row>
    <x:row r="7">
      <x:c r="A7" s="22" t="str">
        <x:v>Region type</x:v>
      </x:c>
      <x:c r="B7" s="17" t="str">
        <x:v>LME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raw_data/SAU_downloads/LME_006-catch.zip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