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62ff5796d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5574f11801b49f4"/>
    <x:sheet xmlns:r="http://schemas.openxmlformats.org/officeDocument/2006/relationships" name="Commercial" sheetId="2" r:id="R1e9d204213284411"/>
    <x:sheet xmlns:r="http://schemas.openxmlformats.org/officeDocument/2006/relationships" name="Functional" sheetId="3" r:id="R5f16d988f5fd4815"/>
    <x:sheet xmlns:r="http://schemas.openxmlformats.org/officeDocument/2006/relationships" name="Missing TL" sheetId="4" r:id="R238e9fbda5b24b01"/>
    <x:sheet xmlns:r="http://schemas.openxmlformats.org/officeDocument/2006/relationships" name="Validation" sheetId="5" r:id="R31bec20c81ea4c28"/>
    <x:sheet xmlns:r="http://schemas.openxmlformats.org/officeDocument/2006/relationships" name="Metadata" sheetId="6" r:id="R7fab14f029764b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f1a949e9284734" /><Relationship Type="http://schemas.openxmlformats.org/officeDocument/2006/relationships/theme" Target="/xl/theme/theme1.xml" Id="Rd892949260bc48e0" /><Relationship Type="http://schemas.microsoft.com/office/2022/11/relationships/FeaturePropertyBag" Target="/xl/featurePropertyBag/featurePropertyBag.xml" Id="R295372136b0544a2" /><Relationship Type="http://schemas.openxmlformats.org/officeDocument/2006/relationships/sharedStrings" Target="/xl/sharedStrings.xml" Id="R67720739235143a0" /><Relationship Type="http://schemas.openxmlformats.org/officeDocument/2006/relationships/worksheet" Target="/xl/worksheets/sheet1.xml" Id="R35574f11801b49f4" /><Relationship Type="http://schemas.openxmlformats.org/officeDocument/2006/relationships/worksheet" Target="/xl/worksheets/sheet2.xml" Id="R1e9d204213284411" /><Relationship Type="http://schemas.openxmlformats.org/officeDocument/2006/relationships/worksheet" Target="/xl/worksheets/sheet3.xml" Id="R5f16d988f5fd4815" /><Relationship Type="http://schemas.openxmlformats.org/officeDocument/2006/relationships/worksheet" Target="/xl/worksheets/sheet4.xml" Id="R238e9fbda5b24b01" /><Relationship Type="http://schemas.openxmlformats.org/officeDocument/2006/relationships/worksheet" Target="/xl/worksheets/sheet5.xml" Id="R31bec20c81ea4c28" /><Relationship Type="http://schemas.openxmlformats.org/officeDocument/2006/relationships/worksheet" Target="/xl/worksheets/sheet6.xml" Id="R7fab14f029764b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S061SpeciesTable" displayName="HS061SpeciesTable" ref="A1:U22" headerRowCount="1" totalsRowCount="0" totalsRowShown="0">
  <x:autoFilter ref="A1:U2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61CommercialTable" displayName="HS061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61FunctionalTable" displayName="HS061FunctionalTable" ref="A1:E5" headerRowCount="1" totalsRowCount="0" totalsRowShown="0">
  <x:autoFilter ref="A1:E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61ValidationTable" displayName="HS06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b73ffa7bd041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4ec741a77e4a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360757a8de442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2e187576794a0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HS_061</x:v>
      </x:c>
      <x:c r="B2" s="24" t="str">
        <x:v>Pacific, Northwest</x:v>
      </x:c>
      <x:c r="C2" s="24" t="str">
        <x:v>High Seas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72655.3063072491</x:v>
      </x:c>
      <x:c r="J2" s="31" t="n">
        <x:v>72032.706635308</x:v>
      </x:c>
      <x:c r="K2" s="31" t="n">
        <x:v>622.5996719411</x:v>
      </x:c>
      <x:c r="L2" s="31" t="n">
        <x:v>72032.706635308</x:v>
      </x:c>
      <x:c r="M2" s="31" t="n">
        <x:v>622.5996719411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195554285.6159316</x:v>
      </x:c>
    </x:row>
    <x:row r="3" ht="18" customHeight="1">
      <x:c r="A3" s="24" t="str">
        <x:v>HS_061</x:v>
      </x:c>
      <x:c r="B3" s="24" t="str">
        <x:v>Pacific, Northwest</x:v>
      </x:c>
      <x:c r="C3" s="24" t="str">
        <x:v>High Seas</x:v>
      </x:c>
      <x:c r="D3" s="30" t="n">
        <x:v>2019</x:v>
      </x:c>
      <x:c r="E3" s="24" t="str">
        <x:v>Marine pelagic fishes not identified</x:v>
      </x:c>
      <x:c r="F3" s="24" t="str">
        <x:v>Pelagic fishes</x:v>
      </x:c>
      <x:c r="G3" s="24" t="str">
        <x:v>Medium pelagics (30 - 89 cm)</x:v>
      </x:c>
      <x:c r="H3" s="24" t="str">
        <x:v>Other fishes &amp; inverts</x:v>
      </x:c>
      <x:c r="I3" s="31" t="n">
        <x:v>25382.1194237364</x:v>
      </x:c>
      <x:c r="J3" s="31" t="n">
        <x:v>24519.7565405098</x:v>
      </x:c>
      <x:c r="K3" s="31" t="n">
        <x:v>862.3628832265999</x:v>
      </x:c>
      <x:c r="L3" s="31" t="n">
        <x:v>24519.7565405098</x:v>
      </x:c>
      <x:c r="M3" s="31" t="n">
        <x:v>862.3628832265999</x:v>
      </x:c>
      <x:c r="N3" s="24" t="str">
        <x:v>marine pelagic fishes not identified</x:v>
      </x:c>
      <x:c r="O3" s="32" t="n">
        <x:v>3.35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pelagic fishes not identified</x:v>
      </x:c>
      <x:c r="T3" s="32" t="n">
        <x:f>IF(O3="","",(1/'Metadata'!$B$5)^(O3-1))</x:f>
        <x:v>223.872113856834</x:v>
      </x:c>
      <x:c r="U3" s="31" t="n">
        <x:f>IF(T3="","",I3*T3)</x:f>
        <x:v>5682348.729558473</x:v>
      </x:c>
    </x:row>
    <x:row r="4" ht="18" customHeight="1">
      <x:c r="A4" s="24" t="str">
        <x:v>HS_061</x:v>
      </x:c>
      <x:c r="B4" s="24" t="str">
        <x:v>Pacific, Northwest</x:v>
      </x:c>
      <x:c r="C4" s="24" t="str">
        <x:v>High Seas</x:v>
      </x:c>
      <x:c r="D4" s="30" t="n">
        <x:v>2019</x:v>
      </x:c>
      <x:c r="E4" s="24" t="str">
        <x:v>Thunnus albacares</x:v>
      </x:c>
      <x:c r="F4" s="24" t="str">
        <x:v>Yellowfin tuna</x:v>
      </x:c>
      <x:c r="G4" s="24" t="str">
        <x:v>Large pelagics (&gt;=90 cm)</x:v>
      </x:c>
      <x:c r="H4" s="24" t="str">
        <x:v>Tuna &amp; billfishes</x:v>
      </x:c>
      <x:c r="I4" s="31" t="n">
        <x:v>10949.2645311531</x:v>
      </x:c>
      <x:c r="J4" s="31" t="n">
        <x:v>10842.4639836515</x:v>
      </x:c>
      <x:c r="K4" s="31" t="n">
        <x:v>106.8005475016</x:v>
      </x:c>
      <x:c r="L4" s="31" t="n">
        <x:v>10842.4639836515</x:v>
      </x:c>
      <x:c r="M4" s="31" t="n">
        <x:v>106.8005475016</x:v>
      </x:c>
      <x:c r="N4" s="24" t="str">
        <x:v>thunnus albacares</x:v>
      </x:c>
      <x:c r="O4" s="32" t="n">
        <x:v>4.41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albacares</x:v>
      </x:c>
      <x:c r="T4" s="32" t="n">
        <x:f>IF(O4="","",(1/'Metadata'!$B$5)^(O4-1))</x:f>
        <x:v>2570.3957827688646</x:v>
      </x:c>
      <x:c r="U4" s="31" t="n">
        <x:f>IF(T4="","",I4*T4)</x:f>
        <x:v>28143943.375296637</x:v>
      </x:c>
    </x:row>
    <x:row r="5" ht="18" customHeight="1">
      <x:c r="A5" s="24" t="str">
        <x:v>HS_061</x:v>
      </x:c>
      <x:c r="B5" s="24" t="str">
        <x:v>Pacific, Northwest</x:v>
      </x:c>
      <x:c r="C5" s="24" t="str">
        <x:v>High Seas</x:v>
      </x:c>
      <x:c r="D5" s="30" t="n">
        <x:v>2019</x:v>
      </x:c>
      <x:c r="E5" s="24" t="str">
        <x:v>Thunnus alalunga</x:v>
      </x:c>
      <x:c r="F5" s="24" t="str">
        <x:v>Albacore</x:v>
      </x:c>
      <x:c r="G5" s="24" t="str">
        <x:v>Large pelagics (&gt;=90 cm)</x:v>
      </x:c>
      <x:c r="H5" s="24" t="str">
        <x:v>Tuna &amp; billfishes</x:v>
      </x:c>
      <x:c r="I5" s="31" t="n">
        <x:v>10034.4824575577</x:v>
      </x:c>
      <x:c r="J5" s="31" t="n">
        <x:v>9961.3322853683</x:v>
      </x:c>
      <x:c r="K5" s="31" t="n">
        <x:v>73.1501721894</x:v>
      </x:c>
      <x:c r="L5" s="31" t="n">
        <x:v>9961.3322853683</x:v>
      </x:c>
      <x:c r="M5" s="31" t="n">
        <x:v>73.1501721894</x:v>
      </x:c>
      <x:c r="N5" s="24" t="str">
        <x:v>thunnus alalunga</x:v>
      </x:c>
      <x:c r="O5" s="32" t="n">
        <x:v>4.3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alalunga</x:v>
      </x:c>
      <x:c r="T5" s="32" t="n">
        <x:f>IF(O5="","",(1/'Metadata'!$B$5)^(O5-1))</x:f>
        <x:v>1995.2623149688789</x:v>
      </x:c>
      <x:c r="U5" s="31" t="n">
        <x:f>IF(T5="","",I5*T5)</x:f>
        <x:v>20021424.697781183</x:v>
      </x:c>
    </x:row>
    <x:row r="6" ht="18" customHeight="1">
      <x:c r="A6" s="24" t="str">
        <x:v>HS_061</x:v>
      </x:c>
      <x:c r="B6" s="24" t="str">
        <x:v>Pacific, Northwest</x:v>
      </x:c>
      <x:c r="C6" s="24" t="str">
        <x:v>High Seas</x:v>
      </x:c>
      <x:c r="D6" s="30" t="n">
        <x:v>2019</x:v>
      </x:c>
      <x:c r="E6" s="24" t="str">
        <x:v>Prionace glauca</x:v>
      </x:c>
      <x:c r="F6" s="24" t="str">
        <x:v>Blue shark</x:v>
      </x:c>
      <x:c r="G6" s="24" t="str">
        <x:v>Large sharks (&gt;=90 cm)</x:v>
      </x:c>
      <x:c r="H6" s="24" t="str">
        <x:v>Sharks &amp; rays</x:v>
      </x:c>
      <x:c r="I6" s="31" t="n">
        <x:v>5089.5104894907</x:v>
      </x:c>
      <x:c r="J6" s="31" t="n">
        <x:v>2380.333117275</x:v>
      </x:c>
      <x:c r="K6" s="31" t="n">
        <x:v>2709.1773722157</x:v>
      </x:c>
      <x:c r="L6" s="31" t="n">
        <x:v>2380.333117275</x:v>
      </x:c>
      <x:c r="M6" s="31" t="n">
        <x:v>2709.1773722157</x:v>
      </x:c>
      <x:c r="N6" s="24" t="str">
        <x:v>prionace glauca</x:v>
      </x:c>
      <x:c r="O6" s="32" t="n">
        <x:v>4.35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Prionace glauca</x:v>
      </x:c>
      <x:c r="T6" s="32" t="n">
        <x:f>IF(O6="","",(1/'Metadata'!$B$5)^(O6-1))</x:f>
        <x:v>2238.7211385683377</x:v>
      </x:c>
      <x:c r="U6" s="31" t="n">
        <x:f>IF(T6="","",I6*T6)</x:f>
        <x:v>11393994.717788117</x:v>
      </x:c>
    </x:row>
    <x:row r="7" ht="18" customHeight="1">
      <x:c r="A7" s="24" t="str">
        <x:v>HS_061</x:v>
      </x:c>
      <x:c r="B7" s="24" t="str">
        <x:v>Pacific, Northwest</x:v>
      </x:c>
      <x:c r="C7" s="24" t="str">
        <x:v>High Seas</x:v>
      </x:c>
      <x:c r="D7" s="30" t="n">
        <x:v>2019</x:v>
      </x:c>
      <x:c r="E7" s="24" t="str">
        <x:v>Xiphias gladius</x:v>
      </x:c>
      <x:c r="F7" s="24" t="str">
        <x:v>Swordfish</x:v>
      </x:c>
      <x:c r="G7" s="24" t="str">
        <x:v>Large pelagics (&gt;=90 cm)</x:v>
      </x:c>
      <x:c r="H7" s="24" t="str">
        <x:v>Tuna &amp; billfishes</x:v>
      </x:c>
      <x:c r="I7" s="31" t="n">
        <x:v>3151.350691433</x:v>
      </x:c>
      <x:c r="J7" s="31" t="n">
        <x:v>2775.2160249073</x:v>
      </x:c>
      <x:c r="K7" s="31" t="n">
        <x:v>376.1346665257</x:v>
      </x:c>
      <x:c r="L7" s="31" t="n">
        <x:v>2775.2160249073</x:v>
      </x:c>
      <x:c r="M7" s="31" t="n">
        <x:v>376.1346665257</x:v>
      </x:c>
      <x:c r="N7" s="24" t="str">
        <x:v>xiphias gladius</x:v>
      </x:c>
      <x:c r="O7" s="32" t="n">
        <x:v>4.53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Xiphias gladius</x:v>
      </x:c>
      <x:c r="T7" s="32" t="n">
        <x:f>IF(O7="","",(1/'Metadata'!$B$5)^(O7-1))</x:f>
        <x:v>3388.4415613920273</x:v>
      </x:c>
      <x:c r="U7" s="31" t="n">
        <x:f>IF(T7="","",I7*T7)</x:f>
        <x:v>10678167.65737308</x:v>
      </x:c>
    </x:row>
    <x:row r="8" ht="18" customHeight="1">
      <x:c r="A8" s="24" t="str">
        <x:v>HS_061</x:v>
      </x:c>
      <x:c r="B8" s="24" t="str">
        <x:v>Pacific, Northwest</x:v>
      </x:c>
      <x:c r="C8" s="24" t="str">
        <x:v>High Seas</x:v>
      </x:c>
      <x:c r="D8" s="30" t="n">
        <x:v>2019</x:v>
      </x:c>
      <x:c r="E8" s="24" t="str">
        <x:v>Thunnus obesus</x:v>
      </x:c>
      <x:c r="F8" s="24" t="str">
        <x:v>Bigeye tuna</x:v>
      </x:c>
      <x:c r="G8" s="24" t="str">
        <x:v>Large pelagics (&gt;=90 cm)</x:v>
      </x:c>
      <x:c r="H8" s="24" t="str">
        <x:v>Tuna &amp; billfishes</x:v>
      </x:c>
      <x:c r="I8" s="31" t="n">
        <x:v>2649.9175952201</x:v>
      </x:c>
      <x:c r="J8" s="31" t="n">
        <x:v>2612.0326109804</x:v>
      </x:c>
      <x:c r="K8" s="31" t="n">
        <x:v>37.8849842397</x:v>
      </x:c>
      <x:c r="L8" s="31" t="n">
        <x:v>2612.0326109804</x:v>
      </x:c>
      <x:c r="M8" s="31" t="n">
        <x:v>37.8849842397</x:v>
      </x:c>
      <x:c r="N8" s="24" t="str">
        <x:v>thunnus obesus</x:v>
      </x:c>
      <x:c r="O8" s="32" t="n">
        <x:v>4.49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obesus</x:v>
      </x:c>
      <x:c r="T8" s="32" t="n">
        <x:f>IF(O8="","",(1/'Metadata'!$B$5)^(O8-1))</x:f>
        <x:v>3090.295432513592</x:v>
      </x:c>
      <x:c r="U8" s="31" t="n">
        <x:f>IF(T8="","",I8*T8)</x:f>
        <x:v>8189028.241046077</x:v>
      </x:c>
    </x:row>
    <x:row r="9" ht="18" customHeight="1">
      <x:c r="A9" s="24" t="str">
        <x:v>HS_061</x:v>
      </x:c>
      <x:c r="B9" s="24" t="str">
        <x:v>Pacific, Northwest</x:v>
      </x:c>
      <x:c r="C9" s="24" t="str">
        <x:v>High Seas</x:v>
      </x:c>
      <x:c r="D9" s="30" t="n">
        <x:v>2019</x:v>
      </x:c>
      <x:c r="E9" s="24" t="str">
        <x:v>Marine fishes not identified</x:v>
      </x:c>
      <x:c r="F9" s="24" t="str">
        <x:v>Marine fishes nei</x:v>
      </x:c>
      <x:c r="G9" s="24" t="str">
        <x:v>Medium demersals (30 - 89 cm)</x:v>
      </x:c>
      <x:c r="H9" s="24" t="str">
        <x:v>Other fishes &amp; inverts</x:v>
      </x:c>
      <x:c r="I9" s="31" t="n">
        <x:v>1273.5882444248</x:v>
      </x:c>
      <x:c r="J9" s="31" t="n">
        <x:v>0</x:v>
      </x:c>
      <x:c r="K9" s="31" t="n">
        <x:v>1273.5882444248</x:v>
      </x:c>
      <x:c r="L9" s="31" t="n">
        <x:v>0</x:v>
      </x:c>
      <x:c r="M9" s="31" t="n">
        <x:v>1273.5882444248</x:v>
      </x:c>
      <x:c r="N9" s="24" t="str">
        <x:v>marine fishes not identified</x:v>
      </x:c>
      <x:c r="O9" s="32" t="n">
        <x:v>3.28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Marine fishes not identified</x:v>
      </x:c>
      <x:c r="T9" s="32" t="n">
        <x:f>IF(O9="","",(1/'Metadata'!$B$5)^(O9-1))</x:f>
        <x:v>190.54607179632464</x:v>
      </x:c>
      <x:c r="U9" s="31" t="n">
        <x:f>IF(T9="","",I9*T9)</x:f>
        <x:v>242677.23706112299</x:v>
      </x:c>
    </x:row>
    <x:row r="10" ht="18" customHeight="1">
      <x:c r="A10" s="24" t="str">
        <x:v>HS_061</x:v>
      </x:c>
      <x:c r="B10" s="24" t="str">
        <x:v>Pacific, Northwest</x:v>
      </x:c>
      <x:c r="C10" s="24" t="str">
        <x:v>High Seas</x:v>
      </x:c>
      <x:c r="D10" s="30" t="n">
        <x:v>2019</x:v>
      </x:c>
      <x:c r="E10" s="24" t="str">
        <x:v>Isurus</x:v>
      </x:c>
      <x:c r="F10" s="24" t="str">
        <x:v>Mako sharks</x:v>
      </x:c>
      <x:c r="G10" s="24" t="str">
        <x:v>Large sharks (&gt;=90 cm)</x:v>
      </x:c>
      <x:c r="H10" s="24" t="str">
        <x:v>Sharks &amp; rays</x:v>
      </x:c>
      <x:c r="I10" s="31" t="n">
        <x:v>384.2379263961</x:v>
      </x:c>
      <x:c r="J10" s="31" t="n">
        <x:v>97.1261636707</x:v>
      </x:c>
      <x:c r="K10" s="31" t="n">
        <x:v>287.1117627254</x:v>
      </x:c>
      <x:c r="L10" s="31" t="n">
        <x:v>97.1261636707</x:v>
      </x:c>
      <x:c r="M10" s="31" t="n">
        <x:v>287.1117627254</x:v>
      </x:c>
      <x:c r="N10" s="24" t="str">
        <x:v>isurus</x:v>
      </x:c>
      <x:c r="O10" s="32" t="n">
        <x:v>4.5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Isurus</x:v>
      </x:c>
      <x:c r="T10" s="32" t="n">
        <x:f>IF(O10="","",(1/'Metadata'!$B$5)^(O10-1))</x:f>
        <x:v>3162.2776601683795</x:v>
      </x:c>
      <x:c r="U10" s="31" t="n">
        <x:f>IF(T10="","",I10*T10)</x:f>
        <x:v>1215067.0108318091</x:v>
      </x:c>
    </x:row>
    <x:row r="11" ht="18" customHeight="1">
      <x:c r="A11" s="24" t="str">
        <x:v>HS_061</x:v>
      </x:c>
      <x:c r="B11" s="24" t="str">
        <x:v>Pacific, Northwest</x:v>
      </x:c>
      <x:c r="C11" s="24" t="str">
        <x:v>High Seas</x:v>
      </x:c>
      <x:c r="D11" s="30" t="n">
        <x:v>2019</x:v>
      </x:c>
      <x:c r="E11" s="24" t="str">
        <x:v>Kajikia audax</x:v>
      </x:c>
      <x:c r="F11" s="24" t="str">
        <x:v>Striped marlin</x:v>
      </x:c>
      <x:c r="G11" s="24" t="str">
        <x:v>Large pelagics (&gt;=90 cm)</x:v>
      </x:c>
      <x:c r="H11" s="24" t="str">
        <x:v>Tuna &amp; billfishes</x:v>
      </x:c>
      <x:c r="I11" s="31" t="n">
        <x:v>343.3841316011</x:v>
      </x:c>
      <x:c r="J11" s="31" t="n">
        <x:v>343.3841316011</x:v>
      </x:c>
      <x:c r="K11" s="31" t="n">
        <x:v>0</x:v>
      </x:c>
      <x:c r="L11" s="31" t="n">
        <x:v>343.3841316011</x:v>
      </x:c>
      <x:c r="M11" s="31" t="n">
        <x:v>0</x:v>
      </x:c>
      <x:c r="N11" s="24" t="str">
        <x:v>kajikia audax</x:v>
      </x:c>
      <x:c r="O11" s="32" t="n">
        <x:v>4.58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Kajikia audax</x:v>
      </x:c>
      <x:c r="T11" s="32" t="n">
        <x:f>IF(O11="","",(1/'Metadata'!$B$5)^(O11-1))</x:f>
        <x:v>3801.8939632056126</x:v>
      </x:c>
      <x:c r="U11" s="31" t="n">
        <x:f>IF(T11="","",I11*T11)</x:f>
        <x:v>1305510.0569948237</x:v>
      </x:c>
    </x:row>
    <x:row r="12" ht="18" customHeight="1">
      <x:c r="A12" s="24" t="str">
        <x:v>HS_061</x:v>
      </x:c>
      <x:c r="B12" s="24" t="str">
        <x:v>Pacific, Northwest</x:v>
      </x:c>
      <x:c r="C12" s="24" t="str">
        <x:v>High Seas</x:v>
      </x:c>
      <x:c r="D12" s="30" t="n">
        <x:v>2019</x:v>
      </x:c>
      <x:c r="E12" s="24" t="str">
        <x:v>Thunnus orientalis</x:v>
      </x:c>
      <x:c r="F12" s="24" t="str">
        <x:v>Pacific bluefin tuna</x:v>
      </x:c>
      <x:c r="G12" s="24" t="str">
        <x:v>Large pelagics (&gt;=90 cm)</x:v>
      </x:c>
      <x:c r="H12" s="24" t="str">
        <x:v>Tuna &amp; billfishes</x:v>
      </x:c>
      <x:c r="I12" s="31" t="n">
        <x:v>320.0870595899</x:v>
      </x:c>
      <x:c r="J12" s="31" t="n">
        <x:v>318.0411603784</x:v>
      </x:c>
      <x:c r="K12" s="31" t="n">
        <x:v>2.0458992115</x:v>
      </x:c>
      <x:c r="L12" s="31" t="n">
        <x:v>318.0411603784</x:v>
      </x:c>
      <x:c r="M12" s="31" t="n">
        <x:v>2.0458992115</x:v>
      </x:c>
      <x:c r="N12" s="24" t="str">
        <x:v>thunnus orientalis</x:v>
      </x:c>
      <x:c r="O12" s="32" t="n">
        <x:v>4.05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orientalis</x:v>
      </x:c>
      <x:c r="T12" s="32" t="n">
        <x:f>IF(O12="","",(1/'Metadata'!$B$5)^(O12-1))</x:f>
        <x:v>1122.018454301963</x:v>
      </x:c>
      <x:c r="U12" s="31" t="n">
        <x:f>IF(T12="","",I12*T12)</x:f>
        <x:v>359143.58784311987</x:v>
      </x:c>
    </x:row>
    <x:row r="13" ht="18" customHeight="1">
      <x:c r="A13" s="24" t="str">
        <x:v>HS_061</x:v>
      </x:c>
      <x:c r="B13" s="24" t="str">
        <x:v>Pacific, Northwest</x:v>
      </x:c>
      <x:c r="C13" s="24" t="str">
        <x:v>High Seas</x:v>
      </x:c>
      <x:c r="D13" s="30" t="n">
        <x:v>2019</x:v>
      </x:c>
      <x:c r="E13" s="24" t="str">
        <x:v>Scombridae</x:v>
      </x:c>
      <x:c r="F13" s="24" t="str">
        <x:v>Mackerels, tunas, bonitos</x:v>
      </x:c>
      <x:c r="G13" s="24" t="str">
        <x:v>Medium pelagics (30 - 89 cm)</x:v>
      </x:c>
      <x:c r="H13" s="24" t="str">
        <x:v>Perch-likes</x:v>
      </x:c>
      <x:c r="I13" s="31" t="n">
        <x:v>299.99400429310003</x:v>
      </x:c>
      <x:c r="J13" s="31" t="n">
        <x:v>0</x:v>
      </x:c>
      <x:c r="K13" s="31" t="n">
        <x:v>299.99400429310003</x:v>
      </x:c>
      <x:c r="L13" s="31" t="n">
        <x:v>0</x:v>
      </x:c>
      <x:c r="M13" s="31" t="n">
        <x:v>299.99400429310003</x:v>
      </x:c>
      <x:c r="N13" s="24" t="str">
        <x:v>scombridae</x:v>
      </x:c>
      <x:c r="O13" s="32" t="n">
        <x:v>4.26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Scombridae</x:v>
      </x:c>
      <x:c r="T13" s="32" t="n">
        <x:f>IF(O13="","",(1/'Metadata'!$B$5)^(O13-1))</x:f>
        <x:v>1819.7008586099826</x:v>
      </x:c>
      <x:c r="U13" s="31" t="n">
        <x:f>IF(T13="","",I13*T13)</x:f>
        <x:v>545899.3471900009</x:v>
      </x:c>
    </x:row>
    <x:row r="14" ht="18" customHeight="1">
      <x:c r="A14" s="24" t="str">
        <x:v>HS_061</x:v>
      </x:c>
      <x:c r="B14" s="24" t="str">
        <x:v>Pacific, Northwest</x:v>
      </x:c>
      <x:c r="C14" s="24" t="str">
        <x:v>High Seas</x:v>
      </x:c>
      <x:c r="D14" s="30" t="n">
        <x:v>2019</x:v>
      </x:c>
      <x:c r="E14" s="24" t="str">
        <x:v>Coryphaena hippurus</x:v>
      </x:c>
      <x:c r="F14" s="24" t="str">
        <x:v>Common dolphinfish</x:v>
      </x:c>
      <x:c r="G14" s="24" t="str">
        <x:v>Large pelagics (&gt;=90 cm)</x:v>
      </x:c>
      <x:c r="H14" s="24" t="str">
        <x:v>Perch-likes</x:v>
      </x:c>
      <x:c r="I14" s="31" t="n">
        <x:v>105.3560259306</x:v>
      </x:c>
      <x:c r="J14" s="31" t="n">
        <x:v>0</x:v>
      </x:c>
      <x:c r="K14" s="31" t="n">
        <x:v>105.3560259306</x:v>
      </x:c>
      <x:c r="L14" s="31" t="n">
        <x:v>0</x:v>
      </x:c>
      <x:c r="M14" s="31" t="n">
        <x:v>105.3560259306</x:v>
      </x:c>
      <x:c r="N14" s="24" t="str">
        <x:v>coryphaena hippurus</x:v>
      </x:c>
      <x:c r="O14" s="32" t="n">
        <x:v>4.37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Coryphaena hippurus</x:v>
      </x:c>
      <x:c r="T14" s="32" t="n">
        <x:f>IF(O14="","",(1/'Metadata'!$B$5)^(O14-1))</x:f>
        <x:v>2344.228815319923</x:v>
      </x:c>
      <x:c r="U14" s="31" t="n">
        <x:f>IF(T14="","",I14*T14)</x:f>
        <x:v>246978.6318541055</x:v>
      </x:c>
    </x:row>
    <x:row r="15" ht="18" customHeight="1">
      <x:c r="A15" s="24" t="str">
        <x:v>HS_061</x:v>
      </x:c>
      <x:c r="B15" s="24" t="str">
        <x:v>Pacific, Northwest</x:v>
      </x:c>
      <x:c r="C15" s="24" t="str">
        <x:v>High Seas</x:v>
      </x:c>
      <x:c r="D15" s="30" t="n">
        <x:v>2019</x:v>
      </x:c>
      <x:c r="E15" s="24" t="str">
        <x:v>Carcharhinus longimanus</x:v>
      </x:c>
      <x:c r="F15" s="24" t="str">
        <x:v>Oceanic whitetip shark</x:v>
      </x:c>
      <x:c r="G15" s="24" t="str">
        <x:v>Large sharks (&gt;=90 cm)</x:v>
      </x:c>
      <x:c r="H15" s="24" t="str">
        <x:v>Sharks &amp; rays</x:v>
      </x:c>
      <x:c r="I15" s="31" t="n">
        <x:v>98.8679461356</x:v>
      </x:c>
      <x:c r="J15" s="31" t="n">
        <x:v>1.4429922052</x:v>
      </x:c>
      <x:c r="K15" s="31" t="n">
        <x:v>97.4249539304</x:v>
      </x:c>
      <x:c r="L15" s="31" t="n">
        <x:v>1.4429922052</x:v>
      </x:c>
      <x:c r="M15" s="31" t="n">
        <x:v>97.4249539304</x:v>
      </x:c>
      <x:c r="N15" s="24" t="str">
        <x:v>carcharhinus longimanus</x:v>
      </x:c>
      <x:c r="O15" s="32" t="n">
        <x:v>4.16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Carcharhinus longimanus</x:v>
      </x:c>
      <x:c r="T15" s="32" t="n">
        <x:f>IF(O15="","",(1/'Metadata'!$B$5)^(O15-1))</x:f>
        <x:v>1445.439770745928</x:v>
      </x:c>
      <x:c r="U15" s="31" t="n">
        <x:f>IF(T15="","",I15*T15)</x:f>
        <x:v>142907.6613963624</x:v>
      </x:c>
    </x:row>
    <x:row r="16" ht="18" customHeight="1">
      <x:c r="A16" s="24" t="str">
        <x:v>HS_061</x:v>
      </x:c>
      <x:c r="B16" s="24" t="str">
        <x:v>Pacific, Northwest</x:v>
      </x:c>
      <x:c r="C16" s="24" t="str">
        <x:v>High Seas</x:v>
      </x:c>
      <x:c r="D16" s="30" t="n">
        <x:v>2019</x:v>
      </x:c>
      <x:c r="E16" s="24" t="str">
        <x:v>Istiophoridae</x:v>
      </x:c>
      <x:c r="F16" s="24" t="str">
        <x:v>Billfishes</x:v>
      </x:c>
      <x:c r="G16" s="24" t="str">
        <x:v>Large pelagics (&gt;=90 cm)</x:v>
      </x:c>
      <x:c r="H16" s="24" t="str">
        <x:v>Tuna &amp; billfishes</x:v>
      </x:c>
      <x:c r="I16" s="31" t="n">
        <x:v>72.6318530955</x:v>
      </x:c>
      <x:c r="J16" s="31" t="n">
        <x:v>0</x:v>
      </x:c>
      <x:c r="K16" s="31" t="n">
        <x:v>72.6318530955</x:v>
      </x:c>
      <x:c r="L16" s="31" t="n">
        <x:v>0</x:v>
      </x:c>
      <x:c r="M16" s="31" t="n">
        <x:v>72.6318530955</x:v>
      </x:c>
      <x:c r="N16" s="24" t="str">
        <x:v>istiophoridae</x:v>
      </x:c>
      <x:c r="O16" s="32" t="n">
        <x:v>4.48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Istiophoridae</x:v>
      </x:c>
      <x:c r="T16" s="32" t="n">
        <x:f>IF(O16="","",(1/'Metadata'!$B$5)^(O16-1))</x:f>
        <x:v>3019.951720402019</x:v>
      </x:c>
      <x:c r="U16" s="31" t="n">
        <x:f>IF(T16="","",I16*T16)</x:f>
        <x:v>219344.68971174196</x:v>
      </x:c>
    </x:row>
    <x:row r="17" ht="18" customHeight="1">
      <x:c r="A17" s="24" t="str">
        <x:v>HS_061</x:v>
      </x:c>
      <x:c r="B17" s="24" t="str">
        <x:v>Pacific, Northwest</x:v>
      </x:c>
      <x:c r="C17" s="24" t="str">
        <x:v>High Seas</x:v>
      </x:c>
      <x:c r="D17" s="30" t="n">
        <x:v>2019</x:v>
      </x:c>
      <x:c r="E17" s="24" t="str">
        <x:v>Elasmobranchii</x:v>
      </x:c>
      <x:c r="F17" s="24" t="str">
        <x:v>Sharks, rays, skates</x:v>
      </x:c>
      <x:c r="G17" s="24" t="str">
        <x:v>Large sharks (&gt;=90 cm)</x:v>
      </x:c>
      <x:c r="H17" s="24" t="str">
        <x:v>Sharks &amp; rays</x:v>
      </x:c>
      <x:c r="I17" s="31" t="n">
        <x:v>54.164554739900005</x:v>
      </x:c>
      <x:c r="J17" s="31" t="n">
        <x:v>0</x:v>
      </x:c>
      <x:c r="K17" s="31" t="n">
        <x:v>54.164554739900005</x:v>
      </x:c>
      <x:c r="L17" s="31" t="n">
        <x:v>0</x:v>
      </x:c>
      <x:c r="M17" s="31" t="n">
        <x:v>54.164554739900005</x:v>
      </x:c>
      <x:c r="N17" s="24" t="str">
        <x:v>elasmobranchii</x:v>
      </x:c>
      <x:c r="O17" s="32" t="n">
        <x:v>4.05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Elasmobranchii</x:v>
      </x:c>
      <x:c r="T17" s="32" t="n">
        <x:f>IF(O17="","",(1/'Metadata'!$B$5)^(O17-1))</x:f>
        <x:v>1122.018454301963</x:v>
      </x:c>
      <x:c r="U17" s="31" t="n">
        <x:f>IF(T17="","",I17*T17)</x:f>
        <x:v>60773.629987216664</x:v>
      </x:c>
    </x:row>
    <x:row r="18" ht="18" customHeight="1">
      <x:c r="A18" s="24" t="str">
        <x:v>HS_061</x:v>
      </x:c>
      <x:c r="B18" s="24" t="str">
        <x:v>Pacific, Northwest</x:v>
      </x:c>
      <x:c r="C18" s="24" t="str">
        <x:v>High Seas</x:v>
      </x:c>
      <x:c r="D18" s="30" t="n">
        <x:v>2019</x:v>
      </x:c>
      <x:c r="E18" s="24" t="str">
        <x:v>Alopias</x:v>
      </x:c>
      <x:c r="F18" s="24" t="str">
        <x:v>Thresher sharks</x:v>
      </x:c>
      <x:c r="G18" s="24" t="str">
        <x:v>Large sharks (&gt;=90 cm)</x:v>
      </x:c>
      <x:c r="H18" s="24" t="str">
        <x:v>Sharks &amp; rays</x:v>
      </x:c>
      <x:c r="I18" s="31" t="n">
        <x:v>52.9959798476</x:v>
      </x:c>
      <x:c r="J18" s="31" t="n">
        <x:v>25.2921639849</x:v>
      </x:c>
      <x:c r="K18" s="31" t="n">
        <x:v>27.703815862699997</x:v>
      </x:c>
      <x:c r="L18" s="31" t="n">
        <x:v>25.2921639849</x:v>
      </x:c>
      <x:c r="M18" s="31" t="n">
        <x:v>27.703815862699997</x:v>
      </x:c>
      <x:c r="N18" s="24" t="str">
        <x:v>alopias</x:v>
      </x:c>
      <x:c r="O18" s="32" t="n">
        <x:v>4.5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Alopias</x:v>
      </x:c>
      <x:c r="T18" s="32" t="n">
        <x:f>IF(O18="","",(1/'Metadata'!$B$5)^(O18-1))</x:f>
        <x:v>3162.2776601683795</x:v>
      </x:c>
      <x:c r="U18" s="31" t="n">
        <x:f>IF(T18="","",I18*T18)</x:f>
        <x:v>167588.0031507991</x:v>
      </x:c>
    </x:row>
    <x:row r="19" ht="18" customHeight="1">
      <x:c r="A19" s="24" t="str">
        <x:v>HS_061</x:v>
      </x:c>
      <x:c r="B19" s="24" t="str">
        <x:v>Pacific, Northwest</x:v>
      </x:c>
      <x:c r="C19" s="24" t="str">
        <x:v>High Seas</x:v>
      </x:c>
      <x:c r="D19" s="30" t="n">
        <x:v>2019</x:v>
      </x:c>
      <x:c r="E19" s="24" t="str">
        <x:v>Carcharhinus falciformis</x:v>
      </x:c>
      <x:c r="F19" s="24" t="str">
        <x:v>Silky shark</x:v>
      </x:c>
      <x:c r="G19" s="24" t="str">
        <x:v>Large sharks (&gt;=90 cm)</x:v>
      </x:c>
      <x:c r="H19" s="24" t="str">
        <x:v>Sharks &amp; rays</x:v>
      </x:c>
      <x:c r="I19" s="31" t="n">
        <x:v>49.912305248900005</x:v>
      </x:c>
      <x:c r="J19" s="31" t="n">
        <x:v>0.4640219217</x:v>
      </x:c>
      <x:c r="K19" s="31" t="n">
        <x:v>49.4482833272</x:v>
      </x:c>
      <x:c r="L19" s="31" t="n">
        <x:v>0.4640219217</x:v>
      </x:c>
      <x:c r="M19" s="31" t="n">
        <x:v>49.4482833272</x:v>
      </x:c>
      <x:c r="N19" s="24" t="str">
        <x:v>carcharhinus falciformis</x:v>
      </x:c>
      <x:c r="O19" s="32" t="n">
        <x:v>4.51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Carcharhinus falciformis</x:v>
      </x:c>
      <x:c r="T19" s="32" t="n">
        <x:f>IF(O19="","",(1/'Metadata'!$B$5)^(O19-1))</x:f>
        <x:v>3235.936569296281</x:v>
      </x:c>
      <x:c r="U19" s="31" t="n">
        <x:f>IF(T19="","",I19*T19)</x:f>
        <x:v>161513.05381279424</x:v>
      </x:c>
    </x:row>
    <x:row r="20" ht="18" customHeight="1">
      <x:c r="A20" s="24" t="str">
        <x:v>HS_061</x:v>
      </x:c>
      <x:c r="B20" s="24" t="str">
        <x:v>Pacific, Northwest</x:v>
      </x:c>
      <x:c r="C20" s="24" t="str">
        <x:v>High Seas</x:v>
      </x:c>
      <x:c r="D20" s="30" t="n">
        <x:v>2019</x:v>
      </x:c>
      <x:c r="E20" s="24" t="str">
        <x:v>Sphyrna</x:v>
      </x:c>
      <x:c r="F20" s="24" t="str">
        <x:v>Hammerhead sharks</x:v>
      </x:c>
      <x:c r="G20" s="24" t="str">
        <x:v>Large sharks (&gt;=90 cm)</x:v>
      </x:c>
      <x:c r="H20" s="24" t="str">
        <x:v>Sharks &amp; rays</x:v>
      </x:c>
      <x:c r="I20" s="31" t="n">
        <x:v>13.0788354761</x:v>
      </x:c>
      <x:c r="J20" s="31" t="n">
        <x:v>13.0788354761</x:v>
      </x:c>
      <x:c r="K20" s="31" t="n">
        <x:v>0</x:v>
      </x:c>
      <x:c r="L20" s="31" t="n">
        <x:v>13.0788354761</x:v>
      </x:c>
      <x:c r="M20" s="31" t="n">
        <x:v>0</x:v>
      </x:c>
      <x:c r="N20" s="24" t="str">
        <x:v>sphyrna</x:v>
      </x:c>
      <x:c r="O20" s="32" t="n">
        <x:v>4.2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Sphyrna</x:v>
      </x:c>
      <x:c r="T20" s="32" t="n">
        <x:f>IF(O20="","",(1/'Metadata'!$B$5)^(O20-1))</x:f>
        <x:v>1584.893192461114</x:v>
      </x:c>
      <x:c r="U20" s="31" t="n">
        <x:f>IF(T20="","",I20*T20)</x:f>
        <x:v>20728.557311389803</x:v>
      </x:c>
    </x:row>
    <x:row r="21" ht="18" customHeight="1">
      <x:c r="A21" s="24" t="str">
        <x:v>HS_061</x:v>
      </x:c>
      <x:c r="B21" s="24" t="str">
        <x:v>Pacific, Northwest</x:v>
      </x:c>
      <x:c r="C21" s="24" t="str">
        <x:v>High Seas</x:v>
      </x:c>
      <x:c r="D21" s="30" t="n">
        <x:v>2019</x:v>
      </x:c>
      <x:c r="E21" s="24" t="str">
        <x:v>Acanthocybium solandri</x:v>
      </x:c>
      <x:c r="F21" s="24" t="str">
        <x:v>Wahoo</x:v>
      </x:c>
      <x:c r="G21" s="24" t="str">
        <x:v>Large pelagics (&gt;=90 cm)</x:v>
      </x:c>
      <x:c r="H21" s="24" t="str">
        <x:v>Perch-likes</x:v>
      </x:c>
      <x:c r="I21" s="31" t="n">
        <x:v>11.3610936201</x:v>
      </x:c>
      <x:c r="J21" s="31" t="n">
        <x:v>0</x:v>
      </x:c>
      <x:c r="K21" s="31" t="n">
        <x:v>11.3610936201</x:v>
      </x:c>
      <x:c r="L21" s="31" t="n">
        <x:v>0</x:v>
      </x:c>
      <x:c r="M21" s="31" t="n">
        <x:v>11.3610936201</x:v>
      </x:c>
      <x:c r="N21" s="24" t="str">
        <x:v>acanthocybium solandri</x:v>
      </x:c>
      <x:c r="O21" s="32" t="n">
        <x:v>4.26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Acanthocybium solandri</x:v>
      </x:c>
      <x:c r="T21" s="32" t="n">
        <x:f>IF(O21="","",(1/'Metadata'!$B$5)^(O21-1))</x:f>
        <x:v>1819.7008586099826</x:v>
      </x:c>
      <x:c r="U21" s="31" t="n">
        <x:f>IF(T21="","",I21*T21)</x:f>
        <x:v>20673.791815244364</x:v>
      </x:c>
    </x:row>
    <x:row r="22" ht="18" customHeight="1">
      <x:c r="A22" s="24" t="str">
        <x:v>HS_061</x:v>
      </x:c>
      <x:c r="B22" s="24" t="str">
        <x:v>Pacific, Northwest</x:v>
      </x:c>
      <x:c r="C22" s="24" t="str">
        <x:v>High Seas</x:v>
      </x:c>
      <x:c r="D22" s="30" t="n">
        <x:v>2019</x:v>
      </x:c>
      <x:c r="E22" s="24" t="str">
        <x:v>Istiompax indica</x:v>
      </x:c>
      <x:c r="F22" s="24" t="str">
        <x:v>Black marlin</x:v>
      </x:c>
      <x:c r="G22" s="24" t="str">
        <x:v>Large pelagics (&gt;=90 cm)</x:v>
      </x:c>
      <x:c r="H22" s="24" t="str">
        <x:v>Tuna &amp; billfishes</x:v>
      </x:c>
      <x:c r="I22" s="31" t="n">
        <x:v>4.0678810274</x:v>
      </x:c>
      <x:c r="J22" s="31" t="n">
        <x:v>4.0678810274</x:v>
      </x:c>
      <x:c r="K22" s="31" t="n">
        <x:v>0</x:v>
      </x:c>
      <x:c r="L22" s="31" t="n">
        <x:v>4.0678810274</x:v>
      </x:c>
      <x:c r="M22" s="31" t="n">
        <x:v>0</x:v>
      </x:c>
      <x:c r="N22" s="24" t="str">
        <x:v>istiompax indica</x:v>
      </x:c>
      <x:c r="O22" s="32" t="n">
        <x:v>4.5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Istiompax indica</x:v>
      </x:c>
      <x:c r="T22" s="32" t="n">
        <x:f>IF(O22="","",(1/'Metadata'!$B$5)^(O22-1))</x:f>
        <x:v>3162.2776601683795</x:v>
      </x:c>
      <x:c r="U22" s="31" t="n">
        <x:f>IF(T22="","",I22*T22)</x:f>
        <x:v>12863.769297169816</x:v>
      </x:c>
    </x:row>
  </x:sheetData>
  <x:conditionalFormatting sqref="R2:R2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ab73ffa7bd0416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26655.7076681612</x:v>
      </x:c>
      <x:c r="C2" s="32" t="n">
        <x:v>3.346655456376563</x:v>
      </x:c>
      <x:c r="D2" s="32" t="n">
        <x:f>IF(C2="","",(1/'Metadata'!$B$5)^(C2-1))</x:f>
        <x:v>222.15467472139895</x:v>
      </x:c>
      <x:c r="E2" s="31" t="n">
        <x:f>IF(B2=0,"",B2*D2)</x:f>
        <x:v>5921690.066489051</x:v>
      </x:c>
    </x:row>
    <x:row r="3" ht="18" customHeight="1">
      <x:c r="A3" s="24" t="str">
        <x:v>Perch-likes</x:v>
      </x:c>
      <x:c r="B3" s="31" t="n">
        <x:v>416.71112384380007</x:v>
      </x:c>
      <x:c r="C3" s="32" t="n">
        <x:v>4.287811023486644</x:v>
      </x:c>
      <x:c r="D3" s="32" t="n">
        <x:f>IF(C3="","",(1/'Metadata'!$B$5)^(C3-1))</x:f>
        <x:v>1940.041514900862</x:v>
      </x:c>
      <x:c r="E3" s="31" t="n">
        <x:f>IF(B3=0,"",B3*D3)</x:f>
        <x:v>808436.8799779667</x:v>
      </x:c>
    </x:row>
    <x:row r="4" ht="18" customHeight="1">
      <x:c r="A4" s="24" t="str">
        <x:v>Sharks &amp; rays</x:v>
      </x:c>
      <x:c r="B4" s="31" t="n">
        <x:v>5742.7680373349</x:v>
      </x:c>
      <x:c r="C4" s="32" t="n">
        <x:v>4.356368871775674</x:v>
      </x:c>
      <x:c r="D4" s="32" t="n">
        <x:f>IF(C4="","",(1/'Metadata'!$B$5)^(C4-1))</x:f>
        <x:v>2271.7936002179868</x:v>
      </x:c>
      <x:c r="E4" s="31" t="n">
        <x:f>IF(B4=0,"",B4*D4)</x:f>
        <x:v>13046383.674753835</x:v>
      </x:c>
    </x:row>
    <x:row r="5" ht="18" customHeight="1">
      <x:c r="A5" s="24" t="str">
        <x:v>Tuna &amp; billfishes</x:v>
      </x:c>
      <x:c r="B5" s="31" t="n">
        <x:v>100180.4925079269</x:v>
      </x:c>
      <x:c r="C5" s="32" t="n">
        <x:v>4.418864628473072</x:v>
      </x:c>
      <x:c r="D5" s="32" t="n">
        <x:f>IF(C5="","",(1/'Metadata'!$B$5)^(C5-1))</x:f>
        <x:v>2623.4006902315223</x:v>
      </x:c>
      <x:c r="E5" s="31" t="n">
        <x:f>IF(B5=0,"",B5*D5)</x:f>
        <x:v>262813573.19302928</x:v>
      </x:c>
    </x:row>
  </x:sheetData>
  <x:pageMargins left="0.7" right="0.7" top="0.75" bottom="0.75" header="0.3" footer="0.3"/>
  <x:tableParts count="1">
    <x:tablePart xmlns:r="http://schemas.openxmlformats.org/officeDocument/2006/relationships" r:id="R0c4ec741a77e4a9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100297.2096274776</x:v>
      </x:c>
      <x:c r="C2" s="32" t="n">
        <x:v>4.418795303922495</x:v>
      </x:c>
      <x:c r="D2" s="32" t="n">
        <x:f>IF(C2="","",(1/'Metadata'!$B$5)^(C2-1))</x:f>
        <x:v>2622.981961541809</x:v>
      </x:c>
      <x:c r="E2" s="31" t="n">
        <x:f>IF(B2=0,"",B2*D2)</x:f>
        <x:v>263077771.64585122</x:v>
      </x:c>
    </x:row>
    <x:row r="3" ht="18" customHeight="1">
      <x:c r="A3" s="24" t="str">
        <x:v>Large sharks (&gt;=90 cm)</x:v>
      </x:c>
      <x:c r="B3" s="31" t="n">
        <x:v>5742.7680373349</x:v>
      </x:c>
      <x:c r="C3" s="32" t="n">
        <x:v>4.356368871775674</x:v>
      </x:c>
      <x:c r="D3" s="32" t="n">
        <x:f>IF(C3="","",(1/'Metadata'!$B$5)^(C3-1))</x:f>
        <x:v>2271.7936002179868</x:v>
      </x:c>
      <x:c r="E3" s="31" t="n">
        <x:f>IF(B3=0,"",B3*D3)</x:f>
        <x:v>13046383.674753835</x:v>
      </x:c>
    </x:row>
    <x:row r="4" ht="18" customHeight="1">
      <x:c r="A4" s="24" t="str">
        <x:v>Medium demersals (30 - 89 cm)</x:v>
      </x:c>
      <x:c r="B4" s="31" t="n">
        <x:v>1273.5882444248</x:v>
      </x:c>
      <x:c r="C4" s="32" t="n">
        <x:v>3.28</x:v>
      </x:c>
      <x:c r="D4" s="32" t="n">
        <x:f>IF(C4="","",(1/'Metadata'!$B$5)^(C4-1))</x:f>
        <x:v>190.54607179632464</x:v>
      </x:c>
      <x:c r="E4" s="31" t="n">
        <x:f>IF(B4=0,"",B4*D4)</x:f>
        <x:v>242677.23706112299</x:v>
      </x:c>
    </x:row>
    <x:row r="5" ht="18" customHeight="1">
      <x:c r="A5" s="24" t="str">
        <x:v>Medium pelagics (30 - 89 cm)</x:v>
      </x:c>
      <x:c r="B5" s="31" t="n">
        <x:v>25682.1134280295</x:v>
      </x:c>
      <x:c r="C5" s="32" t="n">
        <x:v>3.3606297538429515</x:v>
      </x:c>
      <x:c r="D5" s="32" t="n">
        <x:f>IF(C5="","",(1/'Metadata'!$B$5)^(C5-1))</x:f>
        <x:v>229.41919621097048</x:v>
      </x:c>
      <x:c r="E5" s="31" t="n">
        <x:f>IF(B5=0,"",B5*D5)</x:f>
        <x:v>5891969.8196575</x:v>
      </x:c>
    </x:row>
  </x:sheetData>
  <x:pageMargins left="0.7" right="0.7" top="0.75" bottom="0.75" header="0.3" footer="0.3"/>
  <x:tableParts count="1">
    <x:tablePart xmlns:r="http://schemas.openxmlformats.org/officeDocument/2006/relationships" r:id="R9360757a8de4422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HS_061</x:v>
      </x:c>
      <x:c r="B2" s="24" t="str">
        <x:v>raw_filtered_tonnes</x:v>
      </x:c>
      <x:c r="C2" s="24" t="n">
        <x:v>132995.67933726677</x:v>
      </x:c>
      <x:c r="D2" s="24" t="str">
        <x:v>tonnes</x:v>
      </x:c>
    </x:row>
    <x:row r="3" ht="18" customHeight="1">
      <x:c r="A3" s="24" t="str">
        <x:v>HS_061</x:v>
      </x:c>
      <x:c r="B3" s="24" t="str">
        <x:v>species_catch_tonnes</x:v>
      </x:c>
      <x:c r="C3" s="24" t="n">
        <x:v>132995.67933726683</x:v>
      </x:c>
      <x:c r="D3" s="24" t="str">
        <x:v>tonnes</x:v>
      </x:c>
    </x:row>
    <x:row r="4" ht="18" customHeight="1">
      <x:c r="A4" s="24" t="str">
        <x:v>HS_061</x:v>
      </x:c>
      <x:c r="B4" s="24" t="str">
        <x:v>catch_difference_tonnes</x:v>
      </x:c>
      <x:c r="C4" s="24" t="n">
        <x:v>5.820766091346741e-11</x:v>
      </x:c>
      <x:c r="D4" s="24" t="str">
        <x:v>tonnes</x:v>
      </x:c>
    </x:row>
    <x:row r="5" ht="18" customHeight="1">
      <x:c r="A5" s="24" t="str">
        <x:v>HS_061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HS_061</x:v>
      </x:c>
      <x:c r="B6" s="24" t="str">
        <x:v>matched_catch_tonnes</x:v>
      </x:c>
      <x:c r="C6" s="24" t="n">
        <x:v>132995.67933726683</x:v>
      </x:c>
      <x:c r="D6" s="24" t="str">
        <x:v>tonnes</x:v>
      </x:c>
    </x:row>
    <x:row r="7" ht="18" customHeight="1">
      <x:c r="A7" s="24" t="str">
        <x:v>HS_061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HS_061</x:v>
      </x:c>
      <x:c r="B8" s="24" t="str">
        <x:v>taxa_count</x:v>
      </x:c>
      <x:c r="C8" s="24" t="n">
        <x:v>21</x:v>
      </x:c>
      <x:c r="D8" s="24" t="str">
        <x:v>count</x:v>
      </x:c>
    </x:row>
    <x:row r="9" ht="18" customHeight="1">
      <x:c r="A9" s="24" t="str">
        <x:v>HS_061</x:v>
      </x:c>
      <x:c r="B9" s="24" t="str">
        <x:v>matched_taxa_count</x:v>
      </x:c>
      <x:c r="C9" s="24" t="n">
        <x:v>21</x:v>
      </x:c>
      <x:c r="D9" s="24" t="str">
        <x:v>count</x:v>
      </x:c>
    </x:row>
    <x:row r="10" ht="18" customHeight="1">
      <x:c r="A10" s="24" t="str">
        <x:v>HS_061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HS_061</x:v>
      </x:c>
      <x:c r="B11" s="24" t="str">
        <x:v>species_ppr</x:v>
      </x:c>
      <x:c r="C11" s="24" t="n">
        <x:v>284384862.0630329</x:v>
      </x:c>
      <x:c r="D11" s="24" t="str">
        <x:v>tonnes_primary_production_equivalent</x:v>
      </x:c>
    </x:row>
    <x:row r="12" ht="18" customHeight="1">
      <x:c r="A12" s="24" t="str">
        <x:v>HS_061</x:v>
      </x:c>
      <x:c r="B12" s="24" t="str">
        <x:v>commercial_ppr</x:v>
      </x:c>
      <x:c r="C12" s="24" t="n">
        <x:v>282590083.8142501</x:v>
      </x:c>
      <x:c r="D12" s="24" t="str">
        <x:v>tonnes_primary_production_equivalent</x:v>
      </x:c>
    </x:row>
    <x:row r="13" ht="18" customHeight="1">
      <x:c r="A13" s="24" t="str">
        <x:v>HS_061</x:v>
      </x:c>
      <x:c r="B13" s="24" t="str">
        <x:v>functional_ppr</x:v>
      </x:c>
      <x:c r="C13" s="24" t="n">
        <x:v>282258802.3773237</x:v>
      </x:c>
      <x:c r="D13" s="24" t="str">
        <x:v>tonnes_primary_production_equivalent</x:v>
      </x:c>
    </x:row>
    <x:row r="14" ht="18" customHeight="1">
      <x:c r="A14" s="24" t="str">
        <x:v>HS_061</x:v>
      </x:c>
      <x:c r="B14" s="24" t="str">
        <x:v>commercial_ppr_difference</x:v>
      </x:c>
      <x:c r="C14" s="24" t="n">
        <x:v>-1794778.2487828135</x:v>
      </x:c>
      <x:c r="D14" s="24" t="str">
        <x:v>tonnes_primary_production_equivalent</x:v>
      </x:c>
    </x:row>
    <x:row r="15" ht="18" customHeight="1">
      <x:c r="A15" s="24" t="str">
        <x:v>HS_061</x:v>
      </x:c>
      <x:c r="B15" s="24" t="str">
        <x:v>functional_ppr_difference</x:v>
      </x:c>
      <x:c r="C15" s="24" t="n">
        <x:v>-2126059.685709238</x:v>
      </x:c>
      <x:c r="D15" s="24" t="str">
        <x:v>tonnes_primary_production_equivalent</x:v>
      </x:c>
    </x:row>
    <x:row r="16" ht="18" customHeight="1">
      <x:c r="A16" s="24" t="str">
        <x:v>HS_061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HS_061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7e2e187576794a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HS_061 - Pacific, Northwest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HS_061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High Seas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raw_data/SAU_downloads/HS_061-catch.zip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