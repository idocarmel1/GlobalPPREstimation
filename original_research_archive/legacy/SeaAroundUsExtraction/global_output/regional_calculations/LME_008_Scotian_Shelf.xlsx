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5ddc3a941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8dcabe132594518"/>
    <x:sheet xmlns:r="http://schemas.openxmlformats.org/officeDocument/2006/relationships" name="Commercial" sheetId="2" r:id="R1664746c9baf4861"/>
    <x:sheet xmlns:r="http://schemas.openxmlformats.org/officeDocument/2006/relationships" name="Functional" sheetId="3" r:id="Rf5801e483c964b26"/>
    <x:sheet xmlns:r="http://schemas.openxmlformats.org/officeDocument/2006/relationships" name="Missing TL" sheetId="4" r:id="R9c625efbefb141e3"/>
    <x:sheet xmlns:r="http://schemas.openxmlformats.org/officeDocument/2006/relationships" name="Validation" sheetId="5" r:id="R890e3a3756e94a7c"/>
    <x:sheet xmlns:r="http://schemas.openxmlformats.org/officeDocument/2006/relationships" name="Metadata" sheetId="6" r:id="R5fb98a890e80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8681d23334f4d" /><Relationship Type="http://schemas.openxmlformats.org/officeDocument/2006/relationships/theme" Target="/xl/theme/theme1.xml" Id="R4df0afc8236042a8" /><Relationship Type="http://schemas.microsoft.com/office/2022/11/relationships/FeaturePropertyBag" Target="/xl/featurePropertyBag/featurePropertyBag.xml" Id="R9902be73f8524e7d" /><Relationship Type="http://schemas.openxmlformats.org/officeDocument/2006/relationships/sharedStrings" Target="/xl/sharedStrings.xml" Id="R173c95ce74564ced" /><Relationship Type="http://schemas.openxmlformats.org/officeDocument/2006/relationships/worksheet" Target="/xl/worksheets/sheet1.xml" Id="R08dcabe132594518" /><Relationship Type="http://schemas.openxmlformats.org/officeDocument/2006/relationships/worksheet" Target="/xl/worksheets/sheet2.xml" Id="R1664746c9baf4861" /><Relationship Type="http://schemas.openxmlformats.org/officeDocument/2006/relationships/worksheet" Target="/xl/worksheets/sheet3.xml" Id="Rf5801e483c964b26" /><Relationship Type="http://schemas.openxmlformats.org/officeDocument/2006/relationships/worksheet" Target="/xl/worksheets/sheet4.xml" Id="R9c625efbefb141e3" /><Relationship Type="http://schemas.openxmlformats.org/officeDocument/2006/relationships/worksheet" Target="/xl/worksheets/sheet5.xml" Id="R890e3a3756e94a7c" /><Relationship Type="http://schemas.openxmlformats.org/officeDocument/2006/relationships/worksheet" Target="/xl/worksheets/sheet6.xml" Id="R5fb98a890e8045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08SpeciesTable" displayName="LME008SpeciesTable" ref="A1:U93" headerRowCount="1" totalsRowCount="0" totalsRowShown="0">
  <x:autoFilter ref="A1:U9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8CommercialTable" displayName="LME008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8FunctionalTable" displayName="LME008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8ValidationTable" displayName="LME00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638651b18b43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13015883ec49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5c1e6126b242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d9975b9eea43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LME_008</x:v>
      </x:c>
      <x:c r="B2" s="24" t="str">
        <x:v>Scotian Shelf</x:v>
      </x:c>
      <x:c r="C2" s="24" t="str">
        <x:v>LME</x:v>
      </x:c>
      <x:c r="D2" s="30" t="n">
        <x:v>2019</x:v>
      </x:c>
      <x:c r="E2" s="24" t="str">
        <x:v>Homarus americanus</x:v>
      </x:c>
      <x:c r="F2" s="24" t="str">
        <x:v>American lobster</x:v>
      </x:c>
      <x:c r="G2" s="24" t="str">
        <x:v>Lobsters, crabs</x:v>
      </x:c>
      <x:c r="H2" s="24" t="str">
        <x:v>Crustaceans</x:v>
      </x:c>
      <x:c r="I2" s="31" t="n">
        <x:v>38266.880630886604</x:v>
      </x:c>
      <x:c r="J2" s="31" t="n">
        <x:v>38266.880630886604</x:v>
      </x:c>
      <x:c r="K2" s="31" t="n">
        <x:v>0</x:v>
      </x:c>
      <x:c r="L2" s="31" t="n">
        <x:v>30184.3727461697</x:v>
      </x:c>
      <x:c r="M2" s="31" t="n">
        <x:v>8082.507884716901</x:v>
      </x:c>
      <x:c r="N2" s="24" t="str">
        <x:v>homarus americanus</x:v>
      </x:c>
      <x:c r="O2" s="32" t="n">
        <x:v>3.7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Homarus americanus</x:v>
      </x:c>
      <x:c r="T2" s="32" t="n">
        <x:f>IF(O2="","",(1/'Metadata'!$B$5)^(O2-1))</x:f>
        <x:v>501.18723362727246</x:v>
      </x:c>
      <x:c r="U2" s="31" t="n">
        <x:f>IF(T2="","",I2*T2)</x:f>
        <x:v>19178872.04293911</x:v>
      </x:c>
    </x:row>
    <x:row r="3" ht="18" customHeight="1">
      <x:c r="A3" s="24" t="str">
        <x:v>LME_008</x:v>
      </x:c>
      <x:c r="B3" s="24" t="str">
        <x:v>Scotian Shelf</x:v>
      </x:c>
      <x:c r="C3" s="24" t="str">
        <x:v>LME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38000.6041865206</x:v>
      </x:c>
      <x:c r="J3" s="31" t="n">
        <x:v>37950.1203076714</x:v>
      </x:c>
      <x:c r="K3" s="31" t="n">
        <x:v>50.483878849199996</x:v>
      </x:c>
      <x:c r="L3" s="31" t="n">
        <x:v>34526.853632508</x:v>
      </x:c>
      <x:c r="M3" s="31" t="n">
        <x:v>3473.7505540126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9115710.026525546</x:v>
      </x:c>
    </x:row>
    <x:row r="4" ht="18" customHeight="1">
      <x:c r="A4" s="24" t="str">
        <x:v>LME_008</x:v>
      </x:c>
      <x:c r="B4" s="24" t="str">
        <x:v>Scotian Shelf</x:v>
      </x:c>
      <x:c r="C4" s="24" t="str">
        <x:v>LME</x:v>
      </x:c>
      <x:c r="D4" s="30" t="n">
        <x:v>2019</x:v>
      </x:c>
      <x:c r="E4" s="24" t="str">
        <x:v>Bivalvia</x:v>
      </x:c>
      <x:c r="F4" s="24" t="str">
        <x:v>Clams</x:v>
      </x:c>
      <x:c r="G4" s="24" t="str">
        <x:v>Other demersal invertebrates</x:v>
      </x:c>
      <x:c r="H4" s="24" t="str">
        <x:v>Molluscs</x:v>
      </x:c>
      <x:c r="I4" s="31" t="n">
        <x:v>13126.4958957839</x:v>
      </x:c>
      <x:c r="J4" s="31" t="n">
        <x:v>13126.4958957839</x:v>
      </x:c>
      <x:c r="K4" s="31" t="n">
        <x:v>0</x:v>
      </x:c>
      <x:c r="L4" s="31" t="n">
        <x:v>13124.9929991904</x:v>
      </x:c>
      <x:c r="M4" s="31" t="n">
        <x:v>1.5028965935</x:v>
      </x:c>
      <x:c r="N4" s="24" t="str">
        <x:v>bivalvia</x:v>
      </x:c>
      <x:c r="O4" s="32" t="n">
        <x:v>2.23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Bivalvia</x:v>
      </x:c>
      <x:c r="T4" s="32" t="n">
        <x:f>IF(O4="","",(1/'Metadata'!$B$5)^(O4-1))</x:f>
        <x:v>16.982436524617444</x:v>
      </x:c>
      <x:c r="U4" s="31" t="n">
        <x:f>IF(T4="","",I4*T4)</x:f>
        <x:v>222919.8833408015</x:v>
      </x:c>
    </x:row>
    <x:row r="5" ht="18" customHeight="1">
      <x:c r="A5" s="24" t="str">
        <x:v>LME_008</x:v>
      </x:c>
      <x:c r="B5" s="24" t="str">
        <x:v>Scotian Shelf</x:v>
      </x:c>
      <x:c r="C5" s="24" t="str">
        <x:v>LME</x:v>
      </x:c>
      <x:c r="D5" s="30" t="n">
        <x:v>2019</x:v>
      </x:c>
      <x:c r="E5" s="24" t="str">
        <x:v>Placopecten magellanicus</x:v>
      </x:c>
      <x:c r="F5" s="24" t="str">
        <x:v>American sea scallop</x:v>
      </x:c>
      <x:c r="G5" s="24" t="str">
        <x:v>Other demersal invertebrates</x:v>
      </x:c>
      <x:c r="H5" s="24" t="str">
        <x:v>Molluscs</x:v>
      </x:c>
      <x:c r="I5" s="31" t="n">
        <x:v>10308.0434516347</x:v>
      </x:c>
      <x:c r="J5" s="31" t="n">
        <x:v>10308.0434516347</x:v>
      </x:c>
      <x:c r="K5" s="31" t="n">
        <x:v>0</x:v>
      </x:c>
      <x:c r="L5" s="31" t="n">
        <x:v>10308.0434516347</x:v>
      </x:c>
      <x:c r="M5" s="31" t="n">
        <x:v>0</x:v>
      </x:c>
      <x:c r="N5" s="24" t="str">
        <x:v>placopecten magellanicus</x:v>
      </x:c>
      <x:c r="O5" s="32" t="n">
        <x:v>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Placopecten magellanicus</x:v>
      </x:c>
      <x:c r="T5" s="32" t="n">
        <x:f>IF(O5="","",(1/'Metadata'!$B$5)^(O5-1))</x:f>
        <x:v>10</x:v>
      </x:c>
      <x:c r="U5" s="31" t="n">
        <x:f>IF(T5="","",I5*T5)</x:f>
        <x:v>103080.434516347</x:v>
      </x:c>
    </x:row>
    <x:row r="6" ht="18" customHeight="1">
      <x:c r="A6" s="24" t="str">
        <x:v>LME_008</x:v>
      </x:c>
      <x:c r="B6" s="24" t="str">
        <x:v>Scotian Shelf</x:v>
      </x:c>
      <x:c r="C6" s="24" t="str">
        <x:v>LME</x:v>
      </x:c>
      <x:c r="D6" s="30" t="n">
        <x:v>2019</x:v>
      </x:c>
      <x:c r="E6" s="24" t="str">
        <x:v>Chionoecetes opilio</x:v>
      </x:c>
      <x:c r="F6" s="24" t="str">
        <x:v>Snow crab</x:v>
      </x:c>
      <x:c r="G6" s="24" t="str">
        <x:v>Lobsters, crabs</x:v>
      </x:c>
      <x:c r="H6" s="24" t="str">
        <x:v>Crustaceans</x:v>
      </x:c>
      <x:c r="I6" s="31" t="n">
        <x:v>5088.0633422887</x:v>
      </x:c>
      <x:c r="J6" s="31" t="n">
        <x:v>5088.0633422887</x:v>
      </x:c>
      <x:c r="K6" s="31" t="n">
        <x:v>0</x:v>
      </x:c>
      <x:c r="L6" s="31" t="n">
        <x:v>5088.0633422887</x:v>
      </x:c>
      <x:c r="M6" s="31" t="n">
        <x:v>0</x:v>
      </x:c>
      <x:c r="N6" s="24" t="str">
        <x:v>chionoecetes opilio</x:v>
      </x:c>
      <x:c r="O6" s="32" t="n">
        <x:v>3.54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Chionoecetes opilio</x:v>
      </x:c>
      <x:c r="T6" s="32" t="n">
        <x:f>IF(O6="","",(1/'Metadata'!$B$5)^(O6-1))</x:f>
        <x:v>346.73685045253166</x:v>
      </x:c>
      <x:c r="U6" s="31" t="n">
        <x:f>IF(T6="","",I6*T6)</x:f>
        <x:v>1764219.0582081655</x:v>
      </x:c>
    </x:row>
    <x:row r="7" ht="18" customHeight="1">
      <x:c r="A7" s="24" t="str">
        <x:v>LME_008</x:v>
      </x:c>
      <x:c r="B7" s="24" t="str">
        <x:v>Scotian Shelf</x:v>
      </x:c>
      <x:c r="C7" s="24" t="str">
        <x:v>LME</x:v>
      </x:c>
      <x:c r="D7" s="30" t="n">
        <x:v>2019</x:v>
      </x:c>
      <x:c r="E7" s="24" t="str">
        <x:v>Merluccius bilinearis</x:v>
      </x:c>
      <x:c r="F7" s="24" t="str">
        <x:v>Silver hake</x:v>
      </x:c>
      <x:c r="G7" s="24" t="str">
        <x:v>Medium demersals (30 - 89 cm)</x:v>
      </x:c>
      <x:c r="H7" s="24" t="str">
        <x:v>Cod-likes</x:v>
      </x:c>
      <x:c r="I7" s="31" t="n">
        <x:v>5026.7179176182</x:v>
      </x:c>
      <x:c r="J7" s="31" t="n">
        <x:v>4934.1940082415995</x:v>
      </x:c>
      <x:c r="K7" s="31" t="n">
        <x:v>92.5239093766</x:v>
      </x:c>
      <x:c r="L7" s="31" t="n">
        <x:v>4934.1940082415995</x:v>
      </x:c>
      <x:c r="M7" s="31" t="n">
        <x:v>92.5239093766</x:v>
      </x:c>
      <x:c r="N7" s="24" t="str">
        <x:v>merluccius bilinearis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Merluccius bilinearis</x:v>
      </x:c>
      <x:c r="T7" s="32" t="n">
        <x:f>IF(O7="","",(1/'Metadata'!$B$5)^(O7-1))</x:f>
        <x:v>3090.295432513592</x:v>
      </x:c>
      <x:c r="U7" s="31" t="n">
        <x:f>IF(T7="","",I7*T7)</x:f>
        <x:v>15534043.421349758</x:v>
      </x:c>
    </x:row>
    <x:row r="8" ht="18" customHeight="1">
      <x:c r="A8" s="24" t="str">
        <x:v>LME_008</x:v>
      </x:c>
      <x:c r="B8" s="24" t="str">
        <x:v>Scotian Shelf</x:v>
      </x:c>
      <x:c r="C8" s="24" t="str">
        <x:v>LME</x:v>
      </x:c>
      <x:c r="D8" s="30" t="n">
        <x:v>2019</x:v>
      </x:c>
      <x:c r="E8" s="24" t="str">
        <x:v>Melanogrammus aeglefinus</x:v>
      </x:c>
      <x:c r="F8" s="24" t="str">
        <x:v>Haddock</x:v>
      </x:c>
      <x:c r="G8" s="24" t="str">
        <x:v>Medium demersals (30 - 89 cm)</x:v>
      </x:c>
      <x:c r="H8" s="24" t="str">
        <x:v>Cod-likes</x:v>
      </x:c>
      <x:c r="I8" s="31" t="n">
        <x:v>4712.8444175839</x:v>
      </x:c>
      <x:c r="J8" s="31" t="n">
        <x:v>4696.1776145943</x:v>
      </x:c>
      <x:c r="K8" s="31" t="n">
        <x:v>16.6668029896</x:v>
      </x:c>
      <x:c r="L8" s="31" t="n">
        <x:v>4696.1776145943</x:v>
      </x:c>
      <x:c r="M8" s="31" t="n">
        <x:v>16.6668029896</x:v>
      </x:c>
      <x:c r="N8" s="24" t="str">
        <x:v>melanogrammus aeglefinus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Melanogrammus aeglefinus</x:v>
      </x:c>
      <x:c r="T8" s="32" t="n">
        <x:f>IF(O8="","",(1/'Metadata'!$B$5)^(O8-1))</x:f>
        <x:v>1071.519305237607</x:v>
      </x:c>
      <x:c r="U8" s="31" t="n">
        <x:f>IF(T8="","",I8*T8)</x:f>
        <x:v>5049903.776022436</x:v>
      </x:c>
    </x:row>
    <x:row r="9" ht="18" customHeight="1">
      <x:c r="A9" s="24" t="str">
        <x:v>LME_008</x:v>
      </x:c>
      <x:c r="B9" s="24" t="str">
        <x:v>Scotian Shelf</x:v>
      </x:c>
      <x:c r="C9" s="24" t="str">
        <x:v>LME</x:v>
      </x:c>
      <x:c r="D9" s="30" t="n">
        <x:v>2019</x:v>
      </x:c>
      <x:c r="E9" s="24" t="str">
        <x:v>Gadus morhua</x:v>
      </x:c>
      <x:c r="F9" s="24" t="str">
        <x:v>Atlantic cod</x:v>
      </x:c>
      <x:c r="G9" s="24" t="str">
        <x:v>Large benthopelagics (&gt;=90 cm)</x:v>
      </x:c>
      <x:c r="H9" s="24" t="str">
        <x:v>Cod-likes</x:v>
      </x:c>
      <x:c r="I9" s="31" t="n">
        <x:v>3692.6062588643</x:v>
      </x:c>
      <x:c r="J9" s="31" t="n">
        <x:v>2845.1289369255</x:v>
      </x:c>
      <x:c r="K9" s="31" t="n">
        <x:v>847.4773219388001</x:v>
      </x:c>
      <x:c r="L9" s="31" t="n">
        <x:v>435.8130258681</x:v>
      </x:c>
      <x:c r="M9" s="31" t="n">
        <x:v>3256.7932329962005</x:v>
      </x:c>
      <x:c r="N9" s="24" t="str">
        <x:v>gadus morhua</x:v>
      </x:c>
      <x:c r="O9" s="32" t="n">
        <x:v>4.09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Gadus morhua</x:v>
      </x:c>
      <x:c r="T9" s="32" t="n">
        <x:f>IF(O9="","",(1/'Metadata'!$B$5)^(O9-1))</x:f>
        <x:v>1230.268770812381</x:v>
      </x:c>
      <x:c r="U9" s="31" t="n">
        <x:f>IF(T9="","",I9*T9)</x:f>
        <x:v>4542898.1631870875</x:v>
      </x:c>
    </x:row>
    <x:row r="10" ht="18" customHeight="1">
      <x:c r="A10" s="24" t="str">
        <x:v>LME_008</x:v>
      </x:c>
      <x:c r="B10" s="24" t="str">
        <x:v>Scotian Shelf</x:v>
      </x:c>
      <x:c r="C10" s="24" t="str">
        <x:v>LME</x:v>
      </x:c>
      <x:c r="D10" s="30" t="n">
        <x:v>2019</x:v>
      </x:c>
      <x:c r="E10" s="24" t="str">
        <x:v>Hippoglossus hippoglossus</x:v>
      </x:c>
      <x:c r="F10" s="24" t="str">
        <x:v>Atlantic halibut</x:v>
      </x:c>
      <x:c r="G10" s="24" t="str">
        <x:v>Large flatfishes (&gt;=90 cm)</x:v>
      </x:c>
      <x:c r="H10" s="24" t="str">
        <x:v>Flatfishes</x:v>
      </x:c>
      <x:c r="I10" s="31" t="n">
        <x:v>3289.6729950748</x:v>
      </x:c>
      <x:c r="J10" s="31" t="n">
        <x:v>2770.1439616486</x:v>
      </x:c>
      <x:c r="K10" s="31" t="n">
        <x:v>519.5290334262</x:v>
      </x:c>
      <x:c r="L10" s="31" t="n">
        <x:v>2770.1439616486</x:v>
      </x:c>
      <x:c r="M10" s="31" t="n">
        <x:v>519.5290334262</x:v>
      </x:c>
      <x:c r="N10" s="24" t="str">
        <x:v>hippoglossus hippoglossus</x:v>
      </x:c>
      <x:c r="O10" s="32" t="n">
        <x:v>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Hippoglossus hippoglossus</x:v>
      </x:c>
      <x:c r="T10" s="32" t="n">
        <x:f>IF(O10="","",(1/'Metadata'!$B$5)^(O10-1))</x:f>
        <x:v>1000</x:v>
      </x:c>
      <x:c r="U10" s="31" t="n">
        <x:f>IF(T10="","",I10*T10)</x:f>
        <x:v>3289672.9950747998</x:v>
      </x:c>
    </x:row>
    <x:row r="11" ht="18" customHeight="1">
      <x:c r="A11" s="24" t="str">
        <x:v>LME_008</x:v>
      </x:c>
      <x:c r="B11" s="24" t="str">
        <x:v>Scotian Shelf</x:v>
      </x:c>
      <x:c r="C11" s="24" t="str">
        <x:v>LME</x:v>
      </x:c>
      <x:c r="D11" s="30" t="n">
        <x:v>2019</x:v>
      </x:c>
      <x:c r="E11" s="24" t="str">
        <x:v>Scomber scombrus</x:v>
      </x:c>
      <x:c r="F11" s="24" t="str">
        <x:v>Atlantic mackerel</x:v>
      </x:c>
      <x:c r="G11" s="24" t="str">
        <x:v>Medium pelagics (30 - 89 cm)</x:v>
      </x:c>
      <x:c r="H11" s="24" t="str">
        <x:v>Perch-likes</x:v>
      </x:c>
      <x:c r="I11" s="31" t="n">
        <x:v>3067.2888166394</x:v>
      </x:c>
      <x:c r="J11" s="31" t="n">
        <x:v>3059.1016639419</x:v>
      </x:c>
      <x:c r="K11" s="31" t="n">
        <x:v>8.1871526975</x:v>
      </x:c>
      <x:c r="L11" s="31" t="n">
        <x:v>2664.1675553069</x:v>
      </x:c>
      <x:c r="M11" s="31" t="n">
        <x:v>403.1212613325</x:v>
      </x:c>
      <x:c r="N11" s="24" t="str">
        <x:v>scomber scombrus</x:v>
      </x:c>
      <x:c r="O11" s="32" t="n">
        <x:v>3.63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 scombrus</x:v>
      </x:c>
      <x:c r="T11" s="32" t="n">
        <x:f>IF(O11="","",(1/'Metadata'!$B$5)^(O11-1))</x:f>
        <x:v>426.57951880159254</x:v>
      </x:c>
      <x:c r="U11" s="31" t="n">
        <x:f>IF(T11="","",I11*T11)</x:f>
        <x:v>1308442.5874275414</x:v>
      </x:c>
    </x:row>
    <x:row r="12" ht="18" customHeight="1">
      <x:c r="A12" s="24" t="str">
        <x:v>LME_008</x:v>
      </x:c>
      <x:c r="B12" s="24" t="str">
        <x:v>Scotian Shelf</x:v>
      </x:c>
      <x:c r="C12" s="24" t="str">
        <x:v>LME</x:v>
      </x:c>
      <x:c r="D12" s="30" t="n">
        <x:v>2019</x:v>
      </x:c>
      <x:c r="E12" s="24" t="str">
        <x:v>Pleuronectiformes</x:v>
      </x:c>
      <x:c r="F12" s="24" t="str">
        <x:v>Flatfishes</x:v>
      </x:c>
      <x:c r="G12" s="24" t="str">
        <x:v>Small to medium flatfishes (&lt;90 cm)</x:v>
      </x:c>
      <x:c r="H12" s="24" t="str">
        <x:v>Flatfishes</x:v>
      </x:c>
      <x:c r="I12" s="31" t="n">
        <x:v>2871.8537843721</x:v>
      </x:c>
      <x:c r="J12" s="31" t="n">
        <x:v>2871.8537843721</x:v>
      </x:c>
      <x:c r="K12" s="31" t="n">
        <x:v>0</x:v>
      </x:c>
      <x:c r="L12" s="31" t="n">
        <x:v>2871.8537843721</x:v>
      </x:c>
      <x:c r="M12" s="31" t="n">
        <x:v>0</x:v>
      </x:c>
      <x:c r="N12" s="24" t="str">
        <x:v>pleuronectiformes</x:v>
      </x:c>
      <x:c r="O12" s="32" t="n">
        <x:v>3.57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Pleuronectiformes</x:v>
      </x:c>
      <x:c r="T12" s="32" t="n">
        <x:f>IF(O12="","",(1/'Metadata'!$B$5)^(O12-1))</x:f>
        <x:v>371.5352290971724</x:v>
      </x:c>
      <x:c r="U12" s="31" t="n">
        <x:f>IF(T12="","",I12*T12)</x:f>
        <x:v>1066994.8537102698</x:v>
      </x:c>
    </x:row>
    <x:row r="13" ht="18" customHeight="1">
      <x:c r="A13" s="24" t="str">
        <x:v>LME_008</x:v>
      </x:c>
      <x:c r="B13" s="24" t="str">
        <x:v>Scotian Shelf</x:v>
      </x:c>
      <x:c r="C13" s="24" t="str">
        <x:v>LME</x:v>
      </x:c>
      <x:c r="D13" s="30" t="n">
        <x:v>2019</x:v>
      </x:c>
      <x:c r="E13" s="24" t="str">
        <x:v>Marine fishes not identified</x:v>
      </x:c>
      <x:c r="F13" s="24" t="str">
        <x:v>Marine fishes nei</x:v>
      </x:c>
      <x:c r="G13" s="24" t="str">
        <x:v>Medium demersals (30 - 89 cm)</x:v>
      </x:c>
      <x:c r="H13" s="24" t="str">
        <x:v>Other fishes &amp; inverts</x:v>
      </x:c>
      <x:c r="I13" s="31" t="n">
        <x:v>2745.5217214742</x:v>
      </x:c>
      <x:c r="J13" s="31" t="n">
        <x:v>1764.5537435275</x:v>
      </x:c>
      <x:c r="K13" s="31" t="n">
        <x:v>980.9679779467001</x:v>
      </x:c>
      <x:c r="L13" s="31" t="n">
        <x:v>1066.7859457742</x:v>
      </x:c>
      <x:c r="M13" s="31" t="n">
        <x:v>1678.7357757</x:v>
      </x:c>
      <x:c r="N13" s="24" t="str">
        <x:v>marine fishes not identified</x:v>
      </x:c>
      <x:c r="O13" s="32" t="n">
        <x:v>3.28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fishes not identified</x:v>
      </x:c>
      <x:c r="T13" s="32" t="n">
        <x:f>IF(O13="","",(1/'Metadata'!$B$5)^(O13-1))</x:f>
        <x:v>190.54607179632464</x:v>
      </x:c>
      <x:c r="U13" s="31" t="n">
        <x:f>IF(T13="","",I13*T13)</x:f>
        <x:v>523148.3790583918</x:v>
      </x:c>
    </x:row>
    <x:row r="14" ht="18" customHeight="1">
      <x:c r="A14" s="24" t="str">
        <x:v>LME_008</x:v>
      </x:c>
      <x:c r="B14" s="24" t="str">
        <x:v>Scotian Shelf</x:v>
      </x:c>
      <x:c r="C14" s="24" t="str">
        <x:v>LME</x:v>
      </x:c>
      <x:c r="D14" s="30" t="n">
        <x:v>2019</x:v>
      </x:c>
      <x:c r="E14" s="24" t="str">
        <x:v>Pandalus</x:v>
      </x:c>
      <x:c r="F14" s="24" t="str">
        <x:v>Seabed shrimps</x:v>
      </x:c>
      <x:c r="G14" s="24" t="str">
        <x:v>Shrimps</x:v>
      </x:c>
      <x:c r="H14" s="24" t="str">
        <x:v>Crustaceans</x:v>
      </x:c>
      <x:c r="I14" s="31" t="n">
        <x:v>2543.545260297</x:v>
      </x:c>
      <x:c r="J14" s="31" t="n">
        <x:v>2543.545260297</x:v>
      </x:c>
      <x:c r="K14" s="31" t="n">
        <x:v>0</x:v>
      </x:c>
      <x:c r="L14" s="31" t="n">
        <x:v>2543.545260297</x:v>
      </x:c>
      <x:c r="M14" s="31" t="n">
        <x:v>0</x:v>
      </x:c>
      <x:c r="N14" s="24" t="str">
        <x:v>pandalus</x:v>
      </x:c>
      <x:c r="O14" s="32" t="n">
        <x:v>2.6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Pandalus</x:v>
      </x:c>
      <x:c r="T14" s="32" t="n">
        <x:f>IF(O14="","",(1/'Metadata'!$B$5)^(O14-1))</x:f>
        <x:v>39.810717055349734</x:v>
      </x:c>
      <x:c r="U14" s="31" t="n">
        <x:f>IF(T14="","",I14*T14)</x:f>
        <x:v>101260.36067515975</x:v>
      </x:c>
    </x:row>
    <x:row r="15" ht="18" customHeight="1">
      <x:c r="A15" s="24" t="str">
        <x:v>LME_008</x:v>
      </x:c>
      <x:c r="B15" s="24" t="str">
        <x:v>Scotian Shelf</x:v>
      </x:c>
      <x:c r="C15" s="24" t="str">
        <x:v>LME</x:v>
      </x:c>
      <x:c r="D15" s="30" t="n">
        <x:v>2019</x:v>
      </x:c>
      <x:c r="E15" s="24" t="str">
        <x:v>Marine groundfishes not identified</x:v>
      </x:c>
      <x:c r="F15" s="24" t="str">
        <x:v>Groundfishes</x:v>
      </x:c>
      <x:c r="G15" s="24" t="str">
        <x:v>Medium demersals (30 - 89 cm)</x:v>
      </x:c>
      <x:c r="H15" s="24" t="str">
        <x:v>Other fishes &amp; inverts</x:v>
      </x:c>
      <x:c r="I15" s="31" t="n">
        <x:v>2330.9180925899</x:v>
      </x:c>
      <x:c r="J15" s="31" t="n">
        <x:v>2330.9180925899</x:v>
      </x:c>
      <x:c r="K15" s="31" t="n">
        <x:v>0</x:v>
      </x:c>
      <x:c r="L15" s="31" t="n">
        <x:v>2330.9180925899</x:v>
      </x:c>
      <x:c r="M15" s="31" t="n">
        <x:v>0</x:v>
      </x:c>
      <x:c r="N15" s="24" t="str">
        <x:v>marine groundfishes not identified</x:v>
      </x:c>
      <x:c r="O15" s="32" t="n">
        <x:v>3.22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groundfishes not identified</x:v>
      </x:c>
      <x:c r="T15" s="32" t="n">
        <x:f>IF(O15="","",(1/'Metadata'!$B$5)^(O15-1))</x:f>
        <x:v>165.95869074375614</x:v>
      </x:c>
      <x:c r="U15" s="31" t="n">
        <x:f>IF(T15="","",I15*T15)</x:f>
        <x:v>386836.11487715313</x:v>
      </x:c>
    </x:row>
    <x:row r="16" ht="18" customHeight="1">
      <x:c r="A16" s="24" t="str">
        <x:v>LME_008</x:v>
      </x:c>
      <x:c r="B16" s="24" t="str">
        <x:v>Scotian Shelf</x:v>
      </x:c>
      <x:c r="C16" s="24" t="str">
        <x:v>LME</x:v>
      </x:c>
      <x:c r="D16" s="30" t="n">
        <x:v>2019</x:v>
      </x:c>
      <x:c r="E16" s="24" t="str">
        <x:v>Sebastes</x:v>
      </x:c>
      <x:c r="F16" s="24" t="str">
        <x:v>Redfishes</x:v>
      </x:c>
      <x:c r="G16" s="24" t="str">
        <x:v>Large reef assoc. fish (&gt;=90 cm)</x:v>
      </x:c>
      <x:c r="H16" s="24" t="str">
        <x:v>Scorpionfishes</x:v>
      </x:c>
      <x:c r="I16" s="31" t="n">
        <x:v>1985.3664370230001</x:v>
      </x:c>
      <x:c r="J16" s="31" t="n">
        <x:v>1876.959457246</x:v>
      </x:c>
      <x:c r="K16" s="31" t="n">
        <x:v>108.406979777</x:v>
      </x:c>
      <x:c r="L16" s="31" t="n">
        <x:v>1639.6647893527002</x:v>
      </x:c>
      <x:c r="M16" s="31" t="n">
        <x:v>345.7016476703</x:v>
      </x:c>
      <x:c r="N16" s="24" t="str">
        <x:v>sebastes</x:v>
      </x:c>
      <x:c r="O16" s="32" t="n">
        <x:v>3.79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Sebastes</x:v>
      </x:c>
      <x:c r="T16" s="32" t="n">
        <x:f>IF(O16="","",(1/'Metadata'!$B$5)^(O16-1))</x:f>
        <x:v>616.5950018614822</x:v>
      </x:c>
      <x:c r="U16" s="31" t="n">
        <x:f>IF(T16="","",I16*T16)</x:f>
        <x:v>1224167.021931921</x:v>
      </x:c>
    </x:row>
    <x:row r="17" ht="18" customHeight="1">
      <x:c r="A17" s="24" t="str">
        <x:v>LME_008</x:v>
      </x:c>
      <x:c r="B17" s="24" t="str">
        <x:v>Scotian Shelf</x:v>
      </x:c>
      <x:c r="C17" s="24" t="str">
        <x:v>LME</x:v>
      </x:c>
      <x:c r="D17" s="30" t="n">
        <x:v>2019</x:v>
      </x:c>
      <x:c r="E17" s="24" t="str">
        <x:v>Alosa pseudoharengus</x:v>
      </x:c>
      <x:c r="F17" s="24" t="str">
        <x:v>Alewife</x:v>
      </x:c>
      <x:c r="G17" s="24" t="str">
        <x:v>Medium pelagics (30 - 89 cm)</x:v>
      </x:c>
      <x:c r="H17" s="24" t="str">
        <x:v>Herring-likes</x:v>
      </x:c>
      <x:c r="I17" s="31" t="n">
        <x:v>1256.9372004881</x:v>
      </x:c>
      <x:c r="J17" s="31" t="n">
        <x:v>1256.9372004881</x:v>
      </x:c>
      <x:c r="K17" s="31" t="n">
        <x:v>0</x:v>
      </x:c>
      <x:c r="L17" s="31" t="n">
        <x:v>930.185102167</x:v>
      </x:c>
      <x:c r="M17" s="31" t="n">
        <x:v>326.7520983211</x:v>
      </x:c>
      <x:c r="N17" s="24" t="str">
        <x:v>alosa pseudoharengus</x:v>
      </x:c>
      <x:c r="O17" s="32" t="n">
        <x:v>3.39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Alosa pseudoharengus</x:v>
      </x:c>
      <x:c r="T17" s="32" t="n">
        <x:f>IF(O17="","",(1/'Metadata'!$B$5)^(O17-1))</x:f>
        <x:v>245.4708915685031</x:v>
      </x:c>
      <x:c r="U17" s="31" t="n">
        <x:f>IF(T17="","",I17*T17)</x:f>
        <x:v>308541.4952494322</x:v>
      </x:c>
    </x:row>
    <x:row r="18" ht="18" customHeight="1">
      <x:c r="A18" s="24" t="str">
        <x:v>LME_008</x:v>
      </x:c>
      <x:c r="B18" s="24" t="str">
        <x:v>Scotian Shelf</x:v>
      </x:c>
      <x:c r="C18" s="24" t="str">
        <x:v>LME</x:v>
      </x:c>
      <x:c r="D18" s="30" t="n">
        <x:v>2019</x:v>
      </x:c>
      <x:c r="E18" s="24" t="str">
        <x:v>Brachyura</x:v>
      </x:c>
      <x:c r="F18" s="24" t="str">
        <x:v>Marine crabs</x:v>
      </x:c>
      <x:c r="G18" s="24" t="str">
        <x:v>Lobsters, crabs</x:v>
      </x:c>
      <x:c r="H18" s="24" t="str">
        <x:v>Crustaceans</x:v>
      </x:c>
      <x:c r="I18" s="31" t="n">
        <x:v>1193.2929924188002</x:v>
      </x:c>
      <x:c r="J18" s="31" t="n">
        <x:v>1192.9748257206002</x:v>
      </x:c>
      <x:c r="K18" s="31" t="n">
        <x:v>0.3181666982</x:v>
      </x:c>
      <x:c r="L18" s="31" t="n">
        <x:v>1192.9748257206002</x:v>
      </x:c>
      <x:c r="M18" s="31" t="n">
        <x:v>0.3181666982</x:v>
      </x:c>
      <x:c r="N18" s="24" t="str">
        <x:v>brachyura</x:v>
      </x:c>
      <x:c r="O18" s="32" t="n">
        <x:v>2.6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Brachyura</x:v>
      </x:c>
      <x:c r="T18" s="32" t="n">
        <x:f>IF(O18="","",(1/'Metadata'!$B$5)^(O18-1))</x:f>
        <x:v>39.810717055349734</x:v>
      </x:c>
      <x:c r="U18" s="31" t="n">
        <x:f>IF(T18="","",I18*T18)</x:f>
        <x:v>47505.84968531645</x:v>
      </x:c>
    </x:row>
    <x:row r="19" ht="18" customHeight="1">
      <x:c r="A19" s="24" t="str">
        <x:v>LME_008</x:v>
      </x:c>
      <x:c r="B19" s="24" t="str">
        <x:v>Scotian Shelf</x:v>
      </x:c>
      <x:c r="C19" s="24" t="str">
        <x:v>LME</x:v>
      </x:c>
      <x:c r="D19" s="30" t="n">
        <x:v>2019</x:v>
      </x:c>
      <x:c r="E19" s="24" t="str">
        <x:v>Crassostrea virginica</x:v>
      </x:c>
      <x:c r="F19" s="24" t="str">
        <x:v>American cupped oyster</x:v>
      </x:c>
      <x:c r="G19" s="24" t="str">
        <x:v>Other demersal invertebrates</x:v>
      </x:c>
      <x:c r="H19" s="24" t="str">
        <x:v>Molluscs</x:v>
      </x:c>
      <x:c r="I19" s="31" t="n">
        <x:v>725.2977074127</x:v>
      </x:c>
      <x:c r="J19" s="31" t="n">
        <x:v>725.2977074127</x:v>
      </x:c>
      <x:c r="K19" s="31" t="n">
        <x:v>0</x:v>
      </x:c>
      <x:c r="L19" s="31" t="n">
        <x:v>725.2977074127</x:v>
      </x:c>
      <x:c r="M19" s="31" t="n">
        <x:v>0</x:v>
      </x:c>
      <x:c r="N19" s="24" t="str">
        <x:v>crassostrea virginica</x:v>
      </x:c>
      <x:c r="O19" s="32" t="n">
        <x:v>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Crassostrea virginica</x:v>
      </x:c>
      <x:c r="T19" s="32" t="n">
        <x:f>IF(O19="","",(1/'Metadata'!$B$5)^(O19-1))</x:f>
        <x:v>10</x:v>
      </x:c>
      <x:c r="U19" s="31" t="n">
        <x:f>IF(T19="","",I19*T19)</x:f>
        <x:v>7252.977074127</x:v>
      </x:c>
    </x:row>
    <x:row r="20" ht="18" customHeight="1">
      <x:c r="A20" s="24" t="str">
        <x:v>LME_008</x:v>
      </x:c>
      <x:c r="B20" s="24" t="str">
        <x:v>Scotian Shelf</x:v>
      </x:c>
      <x:c r="C20" s="24" t="str">
        <x:v>LME</x:v>
      </x:c>
      <x:c r="D20" s="30" t="n">
        <x:v>2019</x:v>
      </x:c>
      <x:c r="E20" s="24" t="str">
        <x:v>Myxine glutinosa</x:v>
      </x:c>
      <x:c r="F20" s="24" t="str">
        <x:v>Hagfish</x:v>
      </x:c>
      <x:c r="G20" s="24" t="str">
        <x:v>Medium demersals (30 - 89 cm)</x:v>
      </x:c>
      <x:c r="H20" s="24" t="str">
        <x:v>Other fishes &amp; inverts</x:v>
      </x:c>
      <x:c r="I20" s="31" t="n">
        <x:v>637.9668752996</x:v>
      </x:c>
      <x:c r="J20" s="31" t="n">
        <x:v>637.9668752996</x:v>
      </x:c>
      <x:c r="K20" s="31" t="n">
        <x:v>0</x:v>
      </x:c>
      <x:c r="L20" s="31" t="n">
        <x:v>0</x:v>
      </x:c>
      <x:c r="M20" s="31" t="n">
        <x:v>637.9668752996</x:v>
      </x:c>
      <x:c r="N20" s="24" t="str">
        <x:v>myxine glutinosa</x:v>
      </x:c>
      <x:c r="O20" s="32" t="n">
        <x:v>4.54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Myxine glutinosa</x:v>
      </x:c>
      <x:c r="T20" s="32" t="n">
        <x:f>IF(O20="","",(1/'Metadata'!$B$5)^(O20-1))</x:f>
        <x:v>3467.368504525317</x:v>
      </x:c>
      <x:c r="U20" s="31" t="n">
        <x:f>IF(T20="","",I20*T20)</x:f>
        <x:v>2212066.2503442634</x:v>
      </x:c>
    </x:row>
    <x:row r="21" ht="18" customHeight="1">
      <x:c r="A21" s="24" t="str">
        <x:v>LME_008</x:v>
      </x:c>
      <x:c r="B21" s="24" t="str">
        <x:v>Scotian Shelf</x:v>
      </x:c>
      <x:c r="C21" s="24" t="str">
        <x:v>LME</x:v>
      </x:c>
      <x:c r="D21" s="30" t="n">
        <x:v>2019</x:v>
      </x:c>
      <x:c r="E21" s="24" t="str">
        <x:v>Mallotus villosus</x:v>
      </x:c>
      <x:c r="F21" s="24" t="str">
        <x:v>Capelin</x:v>
      </x:c>
      <x:c r="G21" s="24" t="str">
        <x:v>Small pelagics (&lt;30 cm)</x:v>
      </x:c>
      <x:c r="H21" s="24" t="str">
        <x:v>Salmon, smelts, etc</x:v>
      </x:c>
      <x:c r="I21" s="31" t="n">
        <x:v>513.5983346009</x:v>
      </x:c>
      <x:c r="J21" s="31" t="n">
        <x:v>467.5269982478</x:v>
      </x:c>
      <x:c r="K21" s="31" t="n">
        <x:v>46.0713363531</x:v>
      </x:c>
      <x:c r="L21" s="31" t="n">
        <x:v>83.4672435184</x:v>
      </x:c>
      <x:c r="M21" s="31" t="n">
        <x:v>430.1310910825</x:v>
      </x:c>
      <x:c r="N21" s="24" t="str">
        <x:v>mallotus villosus</x:v>
      </x:c>
      <x:c r="O21" s="32" t="n">
        <x:v>3.15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Mallotus villosus</x:v>
      </x:c>
      <x:c r="T21" s="32" t="n">
        <x:f>IF(O21="","",(1/'Metadata'!$B$5)^(O21-1))</x:f>
        <x:v>141.2537544622754</x:v>
      </x:c>
      <x:c r="U21" s="31" t="n">
        <x:f>IF(T21="","",I21*T21)</x:f>
        <x:v>72547.69304794908</x:v>
      </x:c>
    </x:row>
    <x:row r="22" ht="18" customHeight="1">
      <x:c r="A22" s="24" t="str">
        <x:v>LME_008</x:v>
      </x:c>
      <x:c r="B22" s="24" t="str">
        <x:v>Scotian Shelf</x:v>
      </x:c>
      <x:c r="C22" s="24" t="str">
        <x:v>LME</x:v>
      </x:c>
      <x:c r="D22" s="30" t="n">
        <x:v>2019</x:v>
      </x:c>
      <x:c r="E22" s="24" t="str">
        <x:v>Morone saxatilis</x:v>
      </x:c>
      <x:c r="F22" s="24" t="str">
        <x:v>Striped bass</x:v>
      </x:c>
      <x:c r="G22" s="24" t="str">
        <x:v>Large demersals (&gt;=90 cm)</x:v>
      </x:c>
      <x:c r="H22" s="24" t="str">
        <x:v>Perch-likes</x:v>
      </x:c>
      <x:c r="I22" s="31" t="n">
        <x:v>447.17139312079996</x:v>
      </x:c>
      <x:c r="J22" s="31" t="n">
        <x:v>447.17139312079996</x:v>
      </x:c>
      <x:c r="K22" s="31" t="n">
        <x:v>0</x:v>
      </x:c>
      <x:c r="L22" s="31" t="n">
        <x:v>0</x:v>
      </x:c>
      <x:c r="M22" s="31" t="n">
        <x:v>447.17139312079996</x:v>
      </x:c>
      <x:c r="N22" s="24" t="str">
        <x:v>morone saxatilis</x:v>
      </x:c>
      <x:c r="O22" s="32" t="n">
        <x:v>4.65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Morone saxatilis</x:v>
      </x:c>
      <x:c r="T22" s="32" t="n">
        <x:f>IF(O22="","",(1/'Metadata'!$B$5)^(O22-1))</x:f>
        <x:v>4466.835921509635</x:v>
      </x:c>
      <x:c r="U22" s="31" t="n">
        <x:f>IF(T22="","",I22*T22)</x:f>
        <x:v>1997441.241863496</x:v>
      </x:c>
    </x:row>
    <x:row r="23" ht="18" customHeight="1">
      <x:c r="A23" s="24" t="str">
        <x:v>LME_008</x:v>
      </x:c>
      <x:c r="B23" s="24" t="str">
        <x:v>Scotian Shelf</x:v>
      </x:c>
      <x:c r="C23" s="24" t="str">
        <x:v>LME</x:v>
      </x:c>
      <x:c r="D23" s="30" t="n">
        <x:v>2019</x:v>
      </x:c>
      <x:c r="E23" s="24" t="str">
        <x:v>Pollachius virens</x:v>
      </x:c>
      <x:c r="F23" s="24" t="str">
        <x:v>Saithe</x:v>
      </x:c>
      <x:c r="G23" s="24" t="str">
        <x:v>Large demersals (&gt;=90 cm)</x:v>
      </x:c>
      <x:c r="H23" s="24" t="str">
        <x:v>Cod-likes</x:v>
      </x:c>
      <x:c r="I23" s="31" t="n">
        <x:v>439.2548627268</x:v>
      </x:c>
      <x:c r="J23" s="31" t="n">
        <x:v>186.4420076205</x:v>
      </x:c>
      <x:c r="K23" s="31" t="n">
        <x:v>252.8128551063</x:v>
      </x:c>
      <x:c r="L23" s="31" t="n">
        <x:v>186.4420076205</x:v>
      </x:c>
      <x:c r="M23" s="31" t="n">
        <x:v>252.8128551063</x:v>
      </x:c>
      <x:c r="N23" s="24" t="str">
        <x:v>pollachius virens</x:v>
      </x:c>
      <x:c r="O23" s="32" t="n">
        <x:v>4.31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Pollachius virens</x:v>
      </x:c>
      <x:c r="T23" s="32" t="n">
        <x:f>IF(O23="","",(1/'Metadata'!$B$5)^(O23-1))</x:f>
        <x:v>2041.7379446695275</x:v>
      </x:c>
      <x:c r="U23" s="31" t="n">
        <x:f>IF(T23="","",I23*T23)</x:f>
        <x:v>896843.320609912</x:v>
      </x:c>
    </x:row>
    <x:row r="24" ht="18" customHeight="1">
      <x:c r="A24" s="24" t="str">
        <x:v>LME_008</x:v>
      </x:c>
      <x:c r="B24" s="24" t="str">
        <x:v>Scotian Shelf</x:v>
      </x:c>
      <x:c r="C24" s="24" t="str">
        <x:v>LME</x:v>
      </x:c>
      <x:c r="D24" s="30" t="n">
        <x:v>2019</x:v>
      </x:c>
      <x:c r="E24" s="24" t="str">
        <x:v>Salmo salar</x:v>
      </x:c>
      <x:c r="F24" s="24" t="str">
        <x:v>Atlantic salmon</x:v>
      </x:c>
      <x:c r="G24" s="24" t="str">
        <x:v>Large benthopelagics (&gt;=90 cm)</x:v>
      </x:c>
      <x:c r="H24" s="24" t="str">
        <x:v>Salmon, smelts, etc</x:v>
      </x:c>
      <x:c r="I24" s="31" t="n">
        <x:v>416.8790886435</x:v>
      </x:c>
      <x:c r="J24" s="31" t="n">
        <x:v>416.8790886435</x:v>
      </x:c>
      <x:c r="K24" s="31" t="n">
        <x:v>0</x:v>
      </x:c>
      <x:c r="L24" s="31" t="n">
        <x:v>0</x:v>
      </x:c>
      <x:c r="M24" s="31" t="n">
        <x:v>416.8790886435</x:v>
      </x:c>
      <x:c r="N24" s="24" t="str">
        <x:v>salmo salar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Salmo salar</x:v>
      </x:c>
      <x:c r="T24" s="32" t="n">
        <x:f>IF(O24="","",(1/'Metadata'!$B$5)^(O24-1))</x:f>
        <x:v>3162.2776601683795</x:v>
      </x:c>
      <x:c r="U24" s="31" t="n">
        <x:f>IF(T24="","",I24*T24)</x:f>
        <x:v>1318287.4290086937</x:v>
      </x:c>
    </x:row>
    <x:row r="25" ht="18" customHeight="1">
      <x:c r="A25" s="24" t="str">
        <x:v>LME_008</x:v>
      </x:c>
      <x:c r="B25" s="24" t="str">
        <x:v>Scotian Shelf</x:v>
      </x:c>
      <x:c r="C25" s="24" t="str">
        <x:v>LME</x:v>
      </x:c>
      <x:c r="D25" s="30" t="n">
        <x:v>2019</x:v>
      </x:c>
      <x:c r="E25" s="24" t="str">
        <x:v>Thunnus thynnus</x:v>
      </x:c>
      <x:c r="F25" s="24" t="str">
        <x:v>Atlantic bluefin tuna</x:v>
      </x:c>
      <x:c r="G25" s="24" t="str">
        <x:v>Large pelagics (&gt;=90 cm)</x:v>
      </x:c>
      <x:c r="H25" s="24" t="str">
        <x:v>Tuna &amp; billfishes</x:v>
      </x:c>
      <x:c r="I25" s="31" t="n">
        <x:v>386.33514106039996</x:v>
      </x:c>
      <x:c r="J25" s="31" t="n">
        <x:v>386.33514106039996</x:v>
      </x:c>
      <x:c r="K25" s="31" t="n">
        <x:v>0</x:v>
      </x:c>
      <x:c r="L25" s="31" t="n">
        <x:v>386.33514106039996</x:v>
      </x:c>
      <x:c r="M25" s="31" t="n">
        <x:v>0</x:v>
      </x:c>
      <x:c r="N25" s="24" t="str">
        <x:v>thunnus thynnus</x:v>
      </x:c>
      <x:c r="O25" s="32" t="n">
        <x:v>4.45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thynnus</x:v>
      </x:c>
      <x:c r="T25" s="32" t="n">
        <x:f>IF(O25="","",(1/'Metadata'!$B$5)^(O25-1))</x:f>
        <x:v>2818.382931264455</x:v>
      </x:c>
      <x:c r="U25" s="31" t="n">
        <x:f>IF(T25="","",I25*T25)</x:f>
        <x:v>1088840.3673122767</x:v>
      </x:c>
    </x:row>
    <x:row r="26" ht="18" customHeight="1">
      <x:c r="A26" s="24" t="str">
        <x:v>LME_008</x:v>
      </x:c>
      <x:c r="B26" s="24" t="str">
        <x:v>Scotian Shelf</x:v>
      </x:c>
      <x:c r="C26" s="24" t="str">
        <x:v>LME</x:v>
      </x:c>
      <x:c r="D26" s="30" t="n">
        <x:v>2019</x:v>
      </x:c>
      <x:c r="E26" s="24" t="str">
        <x:v>Strongylocentrotus droebachiensis</x:v>
      </x:c>
      <x:c r="F26" s="24" t="str">
        <x:v>Green sea urchin</x:v>
      </x:c>
      <x:c r="G26" s="24" t="str">
        <x:v>Other demersal invertebrates</x:v>
      </x:c>
      <x:c r="H26" s="24" t="str">
        <x:v>Other fishes &amp; inverts</x:v>
      </x:c>
      <x:c r="I26" s="31" t="n">
        <x:v>379.7370126997</x:v>
      </x:c>
      <x:c r="J26" s="31" t="n">
        <x:v>0</x:v>
      </x:c>
      <x:c r="K26" s="31" t="n">
        <x:v>379.7370126997</x:v>
      </x:c>
      <x:c r="L26" s="31" t="n">
        <x:v>0</x:v>
      </x:c>
      <x:c r="M26" s="31" t="n">
        <x:v>379.7370126997</x:v>
      </x:c>
      <x:c r="N26" s="24" t="str">
        <x:v>strongylocentrotus droebachiensis</x:v>
      </x:c>
      <x:c r="O26" s="32" t="n">
        <x:v>2.3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Strongylocentrotus droebachiensis</x:v>
      </x:c>
      <x:c r="T26" s="32" t="n">
        <x:f>IF(O26="","",(1/'Metadata'!$B$5)^(O26-1))</x:f>
        <x:v>19.952623149688787</x:v>
      </x:c>
      <x:c r="U26" s="31" t="n">
        <x:f>IF(T26="","",I26*T26)</x:f>
        <x:v>7576.749510385699</x:v>
      </x:c>
    </x:row>
    <x:row r="27" ht="18" customHeight="1">
      <x:c r="A27" s="24" t="str">
        <x:v>LME_008</x:v>
      </x:c>
      <x:c r="B27" s="24" t="str">
        <x:v>Scotian Shelf</x:v>
      </x:c>
      <x:c r="C27" s="24" t="str">
        <x:v>LME</x:v>
      </x:c>
      <x:c r="D27" s="30" t="n">
        <x:v>2019</x:v>
      </x:c>
      <x:c r="E27" s="24" t="str">
        <x:v>Rajidae</x:v>
      </x:c>
      <x:c r="F27" s="24" t="str">
        <x:v>Stingrays</x:v>
      </x:c>
      <x:c r="G27" s="24" t="str">
        <x:v>Large rays (&gt;=90 cm)</x:v>
      </x:c>
      <x:c r="H27" s="24" t="str">
        <x:v>Sharks &amp; rays</x:v>
      </x:c>
      <x:c r="I27" s="31" t="n">
        <x:v>362.1165945089</x:v>
      </x:c>
      <x:c r="J27" s="31" t="n">
        <x:v>0</x:v>
      </x:c>
      <x:c r="K27" s="31" t="n">
        <x:v>362.1165945089</x:v>
      </x:c>
      <x:c r="L27" s="31" t="n">
        <x:v>0</x:v>
      </x:c>
      <x:c r="M27" s="31" t="n">
        <x:v>362.1165945089</x:v>
      </x:c>
      <x:c r="N27" s="24" t="str">
        <x:v>rajidae</x:v>
      </x:c>
      <x:c r="O27" s="32" t="n">
        <x:v>3.82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Rajidae</x:v>
      </x:c>
      <x:c r="T27" s="32" t="n">
        <x:f>IF(O27="","",(1/'Metadata'!$B$5)^(O27-1))</x:f>
        <x:v>660.6934480075957</x:v>
      </x:c>
      <x:c r="U27" s="31" t="n">
        <x:f>IF(T27="","",I27*T27)</x:f>
        <x:v>239248.06140685355</x:v>
      </x:c>
    </x:row>
    <x:row r="28" ht="18" customHeight="1">
      <x:c r="A28" s="24" t="str">
        <x:v>LME_008</x:v>
      </x:c>
      <x:c r="B28" s="24" t="str">
        <x:v>Scotian Shelf</x:v>
      </x:c>
      <x:c r="C28" s="24" t="str">
        <x:v>LME</x:v>
      </x:c>
      <x:c r="D28" s="30" t="n">
        <x:v>2019</x:v>
      </x:c>
      <x:c r="E28" s="24" t="str">
        <x:v>Pleuronectidae</x:v>
      </x:c>
      <x:c r="F28" s="24" t="str">
        <x:v>Righteye flounders</x:v>
      </x:c>
      <x:c r="G28" s="24" t="str">
        <x:v>Small to medium flatfishes (&lt;90 cm)</x:v>
      </x:c>
      <x:c r="H28" s="24" t="str">
        <x:v>Flatfishes</x:v>
      </x:c>
      <x:c r="I28" s="31" t="n">
        <x:v>347.9831155947</x:v>
      </x:c>
      <x:c r="J28" s="31" t="n">
        <x:v>347.9831155947</x:v>
      </x:c>
      <x:c r="K28" s="31" t="n">
        <x:v>0</x:v>
      </x:c>
      <x:c r="L28" s="31" t="n">
        <x:v>0</x:v>
      </x:c>
      <x:c r="M28" s="31" t="n">
        <x:v>347.9831155947</x:v>
      </x:c>
      <x:c r="N28" s="24" t="str">
        <x:v>pleuronectidae</x:v>
      </x:c>
      <x:c r="O28" s="32" t="n">
        <x:v>3.49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Pleuronectidae</x:v>
      </x:c>
      <x:c r="T28" s="32" t="n">
        <x:f>IF(O28="","",(1/'Metadata'!$B$5)^(O28-1))</x:f>
        <x:v>309.0295432513592</x:v>
      </x:c>
      <x:c r="U28" s="31" t="n">
        <x:f>IF(T28="","",I28*T28)</x:f>
        <x:v>107537.06327141507</x:v>
      </x:c>
    </x:row>
    <x:row r="29" ht="18" customHeight="1">
      <x:c r="A29" s="24" t="str">
        <x:v>LME_008</x:v>
      </x:c>
      <x:c r="B29" s="24" t="str">
        <x:v>Scotian Shelf</x:v>
      </x:c>
      <x:c r="C29" s="24" t="str">
        <x:v>LME</x:v>
      </x:c>
      <x:c r="D29" s="30" t="n">
        <x:v>2019</x:v>
      </x:c>
      <x:c r="E29" s="24" t="str">
        <x:v>Acipenser oxyrinchus</x:v>
      </x:c>
      <x:c r="F29" s="24" t="str">
        <x:v>Atlantic sturgeon</x:v>
      </x:c>
      <x:c r="G29" s="24" t="str">
        <x:v>Large demersals (&gt;=90 cm)</x:v>
      </x:c>
      <x:c r="H29" s="24" t="str">
        <x:v>Other fishes &amp; inverts</x:v>
      </x:c>
      <x:c r="I29" s="31" t="n">
        <x:v>335.1997947565</x:v>
      </x:c>
      <x:c r="J29" s="31" t="n">
        <x:v>335.1997947565</x:v>
      </x:c>
      <x:c r="K29" s="31" t="n">
        <x:v>0</x:v>
      </x:c>
      <x:c r="L29" s="31" t="n">
        <x:v>0</x:v>
      </x:c>
      <x:c r="M29" s="31" t="n">
        <x:v>335.1997947565</x:v>
      </x:c>
      <x:c r="N29" s="24" t="str">
        <x:v>acipenser oxyrinchus</x:v>
      </x:c>
      <x:c r="O29" s="32" t="n">
        <x:v>3.325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Acipenser oxyrinchus</x:v>
      </x:c>
      <x:c r="T29" s="32" t="n">
        <x:f>IF(O29="","",(1/'Metadata'!$B$5)^(O29-1))</x:f>
        <x:v>211.34890398366477</x:v>
      </x:c>
      <x:c r="U29" s="31" t="n">
        <x:f>IF(T29="","",I29*T29)</x:f>
        <x:v>70844.10923733565</x:v>
      </x:c>
    </x:row>
    <x:row r="30" ht="18" customHeight="1">
      <x:c r="A30" s="24" t="str">
        <x:v>LME_008</x:v>
      </x:c>
      <x:c r="B30" s="24" t="str">
        <x:v>Scotian Shelf</x:v>
      </x:c>
      <x:c r="C30" s="24" t="str">
        <x:v>LME</x:v>
      </x:c>
      <x:c r="D30" s="30" t="n">
        <x:v>2019</x:v>
      </x:c>
      <x:c r="E30" s="24" t="str">
        <x:v>Osmeridae</x:v>
      </x:c>
      <x:c r="F30" s="24" t="str">
        <x:v>Smelts</x:v>
      </x:c>
      <x:c r="G30" s="24" t="str">
        <x:v>Small pelagics (&lt;30 cm)</x:v>
      </x:c>
      <x:c r="H30" s="24" t="str">
        <x:v>Salmon, smelts, etc</x:v>
      </x:c>
      <x:c r="I30" s="31" t="n">
        <x:v>309.14978281189997</x:v>
      </x:c>
      <x:c r="J30" s="31" t="n">
        <x:v>309.14978281189997</x:v>
      </x:c>
      <x:c r="K30" s="31" t="n">
        <x:v>0</x:v>
      </x:c>
      <x:c r="L30" s="31" t="n">
        <x:v>0</x:v>
      </x:c>
      <x:c r="M30" s="31" t="n">
        <x:v>309.14978281189997</x:v>
      </x:c>
      <x:c r="N30" s="24" t="str">
        <x:v>osmeridae</x:v>
      </x:c>
      <x:c r="O30" s="32" t="n">
        <x:v>3.46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Osmeridae</x:v>
      </x:c>
      <x:c r="T30" s="32" t="n">
        <x:f>IF(O30="","",(1/'Metadata'!$B$5)^(O30-1))</x:f>
        <x:v>288.40315031266056</x:v>
      </x:c>
      <x:c r="U30" s="31" t="n">
        <x:f>IF(T30="","",I30*T30)</x:f>
        <x:v>89159.77128142676</x:v>
      </x:c>
    </x:row>
    <x:row r="31" ht="18" customHeight="1">
      <x:c r="A31" s="24" t="str">
        <x:v>LME_008</x:v>
      </x:c>
      <x:c r="B31" s="24" t="str">
        <x:v>Scotian Shelf</x:v>
      </x:c>
      <x:c r="C31" s="24" t="str">
        <x:v>LME</x:v>
      </x:c>
      <x:c r="D31" s="30" t="n">
        <x:v>2019</x:v>
      </x:c>
      <x:c r="E31" s="24" t="str">
        <x:v>Scombroidei</x:v>
      </x:c>
      <x:c r="F31" s="24" t="str">
        <x:v>Tunas, bonitos, billfishes</x:v>
      </x:c>
      <x:c r="G31" s="24" t="str">
        <x:v>Large pelagics (&gt;=90 cm)</x:v>
      </x:c>
      <x:c r="H31" s="24" t="str">
        <x:v>Tuna &amp; billfishes</x:v>
      </x:c>
      <x:c r="I31" s="31" t="n">
        <x:v>306.2361243116</x:v>
      </x:c>
      <x:c r="J31" s="31" t="n">
        <x:v>306.2361243116</x:v>
      </x:c>
      <x:c r="K31" s="31" t="n">
        <x:v>0</x:v>
      </x:c>
      <x:c r="L31" s="31" t="n">
        <x:v>295.728394833</x:v>
      </x:c>
      <x:c r="M31" s="31" t="n">
        <x:v>10.5077294786</x:v>
      </x:c>
      <x:c r="N31" s="24" t="str">
        <x:v>scombroidei</x:v>
      </x:c>
      <x:c r="O31" s="32" t="n">
        <x:v>4.2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Scombroidei</x:v>
      </x:c>
      <x:c r="T31" s="32" t="n">
        <x:f>IF(O31="","",(1/'Metadata'!$B$5)^(O31-1))</x:f>
        <x:v>1584.893192461114</x:v>
      </x:c>
      <x:c r="U31" s="31" t="n">
        <x:f>IF(T31="","",I31*T31)</x:f>
        <x:v>485351.5487071303</x:v>
      </x:c>
    </x:row>
    <x:row r="32" ht="18" customHeight="1">
      <x:c r="A32" s="24" t="str">
        <x:v>LME_008</x:v>
      </x:c>
      <x:c r="B32" s="24" t="str">
        <x:v>Scotian Shelf</x:v>
      </x:c>
      <x:c r="C32" s="24" t="str">
        <x:v>LME</x:v>
      </x:c>
      <x:c r="D32" s="30" t="n">
        <x:v>2019</x:v>
      </x:c>
      <x:c r="E32" s="24" t="str">
        <x:v>Mollusca</x:v>
      </x:c>
      <x:c r="F32" s="24" t="str">
        <x:v>Clams, seasnails, squids, octopuses</x:v>
      </x:c>
      <x:c r="G32" s="24" t="str">
        <x:v>Other demersal invertebrates</x:v>
      </x:c>
      <x:c r="H32" s="24" t="str">
        <x:v>Molluscs</x:v>
      </x:c>
      <x:c r="I32" s="31" t="n">
        <x:v>304.75123544409996</x:v>
      </x:c>
      <x:c r="J32" s="31" t="n">
        <x:v>296.3334816365</x:v>
      </x:c>
      <x:c r="K32" s="31" t="n">
        <x:v>8.4177538076</x:v>
      </x:c>
      <x:c r="L32" s="31" t="n">
        <x:v>0</x:v>
      </x:c>
      <x:c r="M32" s="31" t="n">
        <x:v>304.75123544409996</x:v>
      </x:c>
      <x:c r="N32" s="24" t="str">
        <x:v>mollusca</x:v>
      </x:c>
      <x:c r="O32" s="32" t="n">
        <x:v>2.1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Mollusca</x:v>
      </x:c>
      <x:c r="T32" s="32" t="n">
        <x:f>IF(O32="","",(1/'Metadata'!$B$5)^(O32-1))</x:f>
        <x:v>12.589254117941675</x:v>
      </x:c>
      <x:c r="U32" s="31" t="n">
        <x:f>IF(T32="","",I32*T32)</x:f>
        <x:v>3836.5907457624485</x:v>
      </x:c>
    </x:row>
    <x:row r="33" ht="18" customHeight="1">
      <x:c r="A33" s="24" t="str">
        <x:v>LME_008</x:v>
      </x:c>
      <x:c r="B33" s="24" t="str">
        <x:v>Scotian Shelf</x:v>
      </x:c>
      <x:c r="C33" s="24" t="str">
        <x:v>LME</x:v>
      </x:c>
      <x:c r="D33" s="30" t="n">
        <x:v>2019</x:v>
      </x:c>
      <x:c r="E33" s="24" t="str">
        <x:v>Salmo</x:v>
      </x:c>
      <x:c r="F33" s="24" t="str">
        <x:v>Trouts</x:v>
      </x:c>
      <x:c r="G33" s="24" t="str">
        <x:v>Large benthopelagics (&gt;=90 cm)</x:v>
      </x:c>
      <x:c r="H33" s="24" t="str">
        <x:v>Salmon, smelts, etc</x:v>
      </x:c>
      <x:c r="I33" s="31" t="n">
        <x:v>261.1923725525</x:v>
      </x:c>
      <x:c r="J33" s="31" t="n">
        <x:v>261.1923725525</x:v>
      </x:c>
      <x:c r="K33" s="31" t="n">
        <x:v>0</x:v>
      </x:c>
      <x:c r="L33" s="31" t="n">
        <x:v>0</x:v>
      </x:c>
      <x:c r="M33" s="31" t="n">
        <x:v>261.1923725525</x:v>
      </x:c>
      <x:c r="N33" s="24" t="str">
        <x:v>salmo</x:v>
      </x:c>
      <x:c r="O33" s="32" t="n">
        <x:v>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Salmo</x:v>
      </x:c>
      <x:c r="T33" s="32" t="n">
        <x:f>IF(O33="","",(1/'Metadata'!$B$5)^(O33-1))</x:f>
        <x:v>1000</x:v>
      </x:c>
      <x:c r="U33" s="31" t="n">
        <x:f>IF(T33="","",I33*T33)</x:f>
        <x:v>261192.3725525</x:v>
      </x:c>
    </x:row>
    <x:row r="34" ht="18" customHeight="1">
      <x:c r="A34" s="24" t="str">
        <x:v>LME_008</x:v>
      </x:c>
      <x:c r="B34" s="24" t="str">
        <x:v>Scotian Shelf</x:v>
      </x:c>
      <x:c r="C34" s="24" t="str">
        <x:v>LME</x:v>
      </x:c>
      <x:c r="D34" s="30" t="n">
        <x:v>2019</x:v>
      </x:c>
      <x:c r="E34" s="24" t="str">
        <x:v>Scorpaeniformes</x:v>
      </x:c>
      <x:c r="F34" s="24" t="str">
        <x:v>Scorpionfishes, flatheads</x:v>
      </x:c>
      <x:c r="G34" s="24" t="str">
        <x:v>Medium demersals (30 - 89 cm)</x:v>
      </x:c>
      <x:c r="H34" s="24" t="str">
        <x:v>Scorpionfishes</x:v>
      </x:c>
      <x:c r="I34" s="31" t="n">
        <x:v>254.63979365149999</x:v>
      </x:c>
      <x:c r="J34" s="31" t="n">
        <x:v>82.0323899355</x:v>
      </x:c>
      <x:c r="K34" s="31" t="n">
        <x:v>172.607403716</x:v>
      </x:c>
      <x:c r="L34" s="31" t="n">
        <x:v>82.0323899355</x:v>
      </x:c>
      <x:c r="M34" s="31" t="n">
        <x:v>172.607403716</x:v>
      </x:c>
      <x:c r="N34" s="24" t="str">
        <x:v>scorpaeniformes</x:v>
      </x:c>
      <x:c r="O34" s="32" t="n">
        <x:v>3.78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Scorpaeniformes</x:v>
      </x:c>
      <x:c r="T34" s="32" t="n">
        <x:f>IF(O34="","",(1/'Metadata'!$B$5)^(O34-1))</x:f>
        <x:v>602.5595860743575</x:v>
      </x:c>
      <x:c r="U34" s="31" t="n">
        <x:f>IF(T34="","",I34*T34)</x:f>
        <x:v>153435.64866070764</x:v>
      </x:c>
    </x:row>
    <x:row r="35" ht="18" customHeight="1">
      <x:c r="A35" s="24" t="str">
        <x:v>LME_008</x:v>
      </x:c>
      <x:c r="B35" s="24" t="str">
        <x:v>Scotian Shelf</x:v>
      </x:c>
      <x:c r="C35" s="24" t="str">
        <x:v>LME</x:v>
      </x:c>
      <x:c r="D35" s="30" t="n">
        <x:v>2019</x:v>
      </x:c>
      <x:c r="E35" s="24" t="str">
        <x:v>Cyclopterus lumpus</x:v>
      </x:c>
      <x:c r="F35" s="24" t="str">
        <x:v>Lumpfish</x:v>
      </x:c>
      <x:c r="G35" s="24" t="str">
        <x:v>Medium benthopelagics (30 - 89 cm)</x:v>
      </x:c>
      <x:c r="H35" s="24" t="str">
        <x:v>Scorpionfishes</x:v>
      </x:c>
      <x:c r="I35" s="31" t="n">
        <x:v>207.0805166509</x:v>
      </x:c>
      <x:c r="J35" s="31" t="n">
        <x:v>0.0343527193</x:v>
      </x:c>
      <x:c r="K35" s="31" t="n">
        <x:v>207.0461639316</x:v>
      </x:c>
      <x:c r="L35" s="31" t="n">
        <x:v>0.0343527193</x:v>
      </x:c>
      <x:c r="M35" s="31" t="n">
        <x:v>207.0461639316</x:v>
      </x:c>
      <x:c r="N35" s="24" t="str">
        <x:v>cyclopterus lumpus</x:v>
      </x:c>
      <x:c r="O35" s="32" t="n">
        <x:v>3.89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Cyclopterus lumpus</x:v>
      </x:c>
      <x:c r="T35" s="32" t="n">
        <x:f>IF(O35="","",(1/'Metadata'!$B$5)^(O35-1))</x:f>
        <x:v>776.247116628692</x:v>
      </x:c>
      <x:c r="U35" s="31" t="n">
        <x:f>IF(T35="","",I35*T35)</x:f>
        <x:v>160745.65396024095</x:v>
      </x:c>
    </x:row>
    <x:row r="36" ht="18" customHeight="1">
      <x:c r="A36" s="24" t="str">
        <x:v>LME_008</x:v>
      </x:c>
      <x:c r="B36" s="24" t="str">
        <x:v>Scotian Shelf</x:v>
      </x:c>
      <x:c r="C36" s="24" t="str">
        <x:v>LME</x:v>
      </x:c>
      <x:c r="D36" s="30" t="n">
        <x:v>2019</x:v>
      </x:c>
      <x:c r="E36" s="24" t="str">
        <x:v>Urophycis tenuis</x:v>
      </x:c>
      <x:c r="F36" s="24" t="str">
        <x:v>White hake</x:v>
      </x:c>
      <x:c r="G36" s="24" t="str">
        <x:v>Large demersals (&gt;=90 cm)</x:v>
      </x:c>
      <x:c r="H36" s="24" t="str">
        <x:v>Cod-likes</x:v>
      </x:c>
      <x:c r="I36" s="31" t="n">
        <x:v>204.17630569300002</x:v>
      </x:c>
      <x:c r="J36" s="31" t="n">
        <x:v>0</x:v>
      </x:c>
      <x:c r="K36" s="31" t="n">
        <x:v>204.17630569300002</x:v>
      </x:c>
      <x:c r="L36" s="31" t="n">
        <x:v>0</x:v>
      </x:c>
      <x:c r="M36" s="31" t="n">
        <x:v>204.17630569300002</x:v>
      </x:c>
      <x:c r="N36" s="24" t="str">
        <x:v>urophycis tenuis</x:v>
      </x:c>
      <x:c r="O36" s="32" t="n">
        <x:v>4.27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Urophycis tenuis</x:v>
      </x:c>
      <x:c r="T36" s="32" t="n">
        <x:f>IF(O36="","",(1/'Metadata'!$B$5)^(O36-1))</x:f>
        <x:v>1862.0871366628655</x:v>
      </x:c>
      <x:c r="U36" s="31" t="n">
        <x:f>IF(T36="","",I36*T36)</x:f>
        <x:v>380194.07244228036</x:v>
      </x:c>
    </x:row>
    <x:row r="37" ht="18" customHeight="1">
      <x:c r="A37" s="24" t="str">
        <x:v>LME_008</x:v>
      </x:c>
      <x:c r="B37" s="24" t="str">
        <x:v>Scotian Shelf</x:v>
      </x:c>
      <x:c r="C37" s="24" t="str">
        <x:v>LME</x:v>
      </x:c>
      <x:c r="D37" s="30" t="n">
        <x:v>2019</x:v>
      </x:c>
      <x:c r="E37" s="24" t="str">
        <x:v>Hippoglossoides platessoides</x:v>
      </x:c>
      <x:c r="F37" s="24" t="str">
        <x:v>American plaice</x:v>
      </x:c>
      <x:c r="G37" s="24" t="str">
        <x:v>Small to medium flatfishes (&lt;90 cm)</x:v>
      </x:c>
      <x:c r="H37" s="24" t="str">
        <x:v>Flatfishes</x:v>
      </x:c>
      <x:c r="I37" s="31" t="n">
        <x:v>180.07949562459999</x:v>
      </x:c>
      <x:c r="J37" s="31" t="n">
        <x:v>0</x:v>
      </x:c>
      <x:c r="K37" s="31" t="n">
        <x:v>180.07949562459999</x:v>
      </x:c>
      <x:c r="L37" s="31" t="n">
        <x:v>0</x:v>
      </x:c>
      <x:c r="M37" s="31" t="n">
        <x:v>180.07949562459999</x:v>
      </x:c>
      <x:c r="N37" s="24" t="str">
        <x:v>hippoglossoides platessoides</x:v>
      </x:c>
      <x:c r="O37" s="32" t="n">
        <x:v>4.08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Hippoglossoides platessoides</x:v>
      </x:c>
      <x:c r="T37" s="32" t="n">
        <x:f>IF(O37="","",(1/'Metadata'!$B$5)^(O37-1))</x:f>
        <x:v>1202.2644346174131</x:v>
      </x:c>
      <x:c r="U37" s="31" t="n">
        <x:f>IF(T37="","",I37*T37)</x:f>
        <x:v>216503.17299329862</x:v>
      </x:c>
    </x:row>
    <x:row r="38" ht="18" customHeight="1">
      <x:c r="A38" s="24" t="str">
        <x:v>LME_008</x:v>
      </x:c>
      <x:c r="B38" s="24" t="str">
        <x:v>Scotian Shelf</x:v>
      </x:c>
      <x:c r="C38" s="24" t="str">
        <x:v>LME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144.8452054261</x:v>
      </x:c>
      <x:c r="J38" s="31" t="n">
        <x:v>0.3170414949</x:v>
      </x:c>
      <x:c r="K38" s="31" t="n">
        <x:v>144.52816393120003</x:v>
      </x:c>
      <x:c r="L38" s="31" t="n">
        <x:v>0.3170414949</x:v>
      </x:c>
      <x:c r="M38" s="31" t="n">
        <x:v>144.52816393120003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162518.993505243</x:v>
      </x:c>
    </x:row>
    <x:row r="39" ht="18" customHeight="1">
      <x:c r="A39" s="24" t="str">
        <x:v>LME_008</x:v>
      </x:c>
      <x:c r="B39" s="24" t="str">
        <x:v>Scotian Shelf</x:v>
      </x:c>
      <x:c r="C39" s="24" t="str">
        <x:v>LME</x:v>
      </x:c>
      <x:c r="D39" s="30" t="n">
        <x:v>2019</x:v>
      </x:c>
      <x:c r="E39" s="24" t="str">
        <x:v>Lithodidae</x:v>
      </x:c>
      <x:c r="F39" s="24" t="str">
        <x:v>Stone/king crabs</x:v>
      </x:c>
      <x:c r="G39" s="24" t="str">
        <x:v>Lobsters, crabs</x:v>
      </x:c>
      <x:c r="H39" s="24" t="str">
        <x:v>Crustaceans</x:v>
      </x:c>
      <x:c r="I39" s="31" t="n">
        <x:v>116.7375459443</x:v>
      </x:c>
      <x:c r="J39" s="31" t="n">
        <x:v>0</x:v>
      </x:c>
      <x:c r="K39" s="31" t="n">
        <x:v>116.7375459443</x:v>
      </x:c>
      <x:c r="L39" s="31" t="n">
        <x:v>0</x:v>
      </x:c>
      <x:c r="M39" s="31" t="n">
        <x:v>116.7375459443</x:v>
      </x:c>
      <x:c r="N39" s="24" t="str">
        <x:v>lithodidae</x:v>
      </x:c>
      <x:c r="O39" s="32" t="n">
        <x:v>2.82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Lithodidae</x:v>
      </x:c>
      <x:c r="T39" s="32" t="n">
        <x:f>IF(O39="","",(1/'Metadata'!$B$5)^(O39-1))</x:f>
        <x:v>66.06934480075958</x:v>
      </x:c>
      <x:c r="U39" s="31" t="n">
        <x:f>IF(T39="","",I39*T39)</x:f>
        <x:v>7712.77317418847</x:v>
      </x:c>
    </x:row>
    <x:row r="40" ht="18" customHeight="1">
      <x:c r="A40" s="24" t="str">
        <x:v>LME_008</x:v>
      </x:c>
      <x:c r="B40" s="24" t="str">
        <x:v>Scotian Shelf</x:v>
      </x:c>
      <x:c r="C40" s="24" t="str">
        <x:v>LME</x:v>
      </x:c>
      <x:c r="D40" s="30" t="n">
        <x:v>2019</x:v>
      </x:c>
      <x:c r="E40" s="24" t="str">
        <x:v>Menidia menidia</x:v>
      </x:c>
      <x:c r="F40" s="24" t="str">
        <x:v>Atlantic silverside</x:v>
      </x:c>
      <x:c r="G40" s="24" t="str">
        <x:v>Small pelagics (&lt;30 cm)</x:v>
      </x:c>
      <x:c r="H40" s="24" t="str">
        <x:v>Other fishes &amp; inverts</x:v>
      </x:c>
      <x:c r="I40" s="31" t="n">
        <x:v>108.32488674390001</x:v>
      </x:c>
      <x:c r="J40" s="31" t="n">
        <x:v>108.32488674390001</x:v>
      </x:c>
      <x:c r="K40" s="31" t="n">
        <x:v>0</x:v>
      </x:c>
      <x:c r="L40" s="31" t="n">
        <x:v>108.32488674390001</x:v>
      </x:c>
      <x:c r="M40" s="31" t="n">
        <x:v>0</x:v>
      </x:c>
      <x:c r="N40" s="24" t="str">
        <x:v>menidia menidia</x:v>
      </x:c>
      <x:c r="O40" s="32" t="n">
        <x:v>3.19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Menidia menidia</x:v>
      </x:c>
      <x:c r="T40" s="32" t="n">
        <x:f>IF(O40="","",(1/'Metadata'!$B$5)^(O40-1))</x:f>
        <x:v>154.88166189124811</x:v>
      </x:c>
      <x:c r="U40" s="31" t="n">
        <x:f>IF(T40="","",I40*T40)</x:f>
        <x:v>16777.538483076467</x:v>
      </x:c>
    </x:row>
    <x:row r="41" ht="18" customHeight="1">
      <x:c r="A41" s="24" t="str">
        <x:v>LME_008</x:v>
      </x:c>
      <x:c r="B41" s="24" t="str">
        <x:v>Scotian Shelf</x:v>
      </x:c>
      <x:c r="C41" s="24" t="str">
        <x:v>LME</x:v>
      </x:c>
      <x:c r="D41" s="30" t="n">
        <x:v>2019</x:v>
      </x:c>
      <x:c r="E41" s="24" t="str">
        <x:v>Xiphias gladius</x:v>
      </x:c>
      <x:c r="F41" s="24" t="str">
        <x:v>Swordfish</x:v>
      </x:c>
      <x:c r="G41" s="24" t="str">
        <x:v>Large pelagics (&gt;=90 cm)</x:v>
      </x:c>
      <x:c r="H41" s="24" t="str">
        <x:v>Tuna &amp; billfishes</x:v>
      </x:c>
      <x:c r="I41" s="31" t="n">
        <x:v>103.8389130083</x:v>
      </x:c>
      <x:c r="J41" s="31" t="n">
        <x:v>103.8389130083</x:v>
      </x:c>
      <x:c r="K41" s="31" t="n">
        <x:v>0</x:v>
      </x:c>
      <x:c r="L41" s="31" t="n">
        <x:v>103.8389130083</x:v>
      </x:c>
      <x:c r="M41" s="31" t="n">
        <x:v>0</x:v>
      </x:c>
      <x:c r="N41" s="24" t="str">
        <x:v>xiphias gladius</x:v>
      </x:c>
      <x:c r="O41" s="32" t="n">
        <x:v>4.53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Xiphias gladius</x:v>
      </x:c>
      <x:c r="T41" s="32" t="n">
        <x:f>IF(O41="","",(1/'Metadata'!$B$5)^(O41-1))</x:f>
        <x:v>3388.4415613920273</x:v>
      </x:c>
      <x:c r="U41" s="31" t="n">
        <x:f>IF(T41="","",I41*T41)</x:f>
        <x:v>351852.0885270949</x:v>
      </x:c>
    </x:row>
    <x:row r="42" ht="18" customHeight="1">
      <x:c r="A42" s="24" t="str">
        <x:v>LME_008</x:v>
      </x:c>
      <x:c r="B42" s="24" t="str">
        <x:v>Scotian Shelf</x:v>
      </x:c>
      <x:c r="C42" s="24" t="str">
        <x:v>LME</x:v>
      </x:c>
      <x:c r="D42" s="30" t="n">
        <x:v>2019</x:v>
      </x:c>
      <x:c r="E42" s="24" t="str">
        <x:v>Coryphaenoides</x:v>
      </x:c>
      <x:c r="F42" s="24" t="str">
        <x:v>Grenadiers</x:v>
      </x:c>
      <x:c r="G42" s="24" t="str">
        <x:v>Large bathypelagics (&gt;=90 cm)</x:v>
      </x:c>
      <x:c r="H42" s="24" t="str">
        <x:v>Cod-likes</x:v>
      </x:c>
      <x:c r="I42" s="31" t="n">
        <x:v>103.8183680719</x:v>
      </x:c>
      <x:c r="J42" s="31" t="n">
        <x:v>0</x:v>
      </x:c>
      <x:c r="K42" s="31" t="n">
        <x:v>103.8183680719</x:v>
      </x:c>
      <x:c r="L42" s="31" t="n">
        <x:v>0</x:v>
      </x:c>
      <x:c r="M42" s="31" t="n">
        <x:v>103.8183680719</x:v>
      </x:c>
      <x:c r="N42" s="24" t="str">
        <x:v>coryphaenoides</x:v>
      </x:c>
      <x:c r="O42" s="32" t="n">
        <x:v>3.97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Coryphaenoides</x:v>
      </x:c>
      <x:c r="T42" s="32" t="n">
        <x:f>IF(O42="","",(1/'Metadata'!$B$5)^(O42-1))</x:f>
        <x:v>933.2543007969915</x:v>
      </x:c>
      <x:c r="U42" s="31" t="n">
        <x:f>IF(T42="","",I42*T42)</x:f>
        <x:v>96888.93850482574</x:v>
      </x:c>
    </x:row>
    <x:row r="43" ht="18" customHeight="1">
      <x:c r="A43" s="24" t="str">
        <x:v>LME_008</x:v>
      </x:c>
      <x:c r="B43" s="24" t="str">
        <x:v>Scotian Shelf</x:v>
      </x:c>
      <x:c r="C43" s="24" t="str">
        <x:v>LME</x:v>
      </x:c>
      <x:c r="D43" s="30" t="n">
        <x:v>2019</x:v>
      </x:c>
      <x:c r="E43" s="24" t="str">
        <x:v>Squalus</x:v>
      </x:c>
      <x:c r="F43" s="24" t="str">
        <x:v>Dogfishes</x:v>
      </x:c>
      <x:c r="G43" s="24" t="str">
        <x:v>Large sharks (&gt;=90 cm)</x:v>
      </x:c>
      <x:c r="H43" s="24" t="str">
        <x:v>Sharks &amp; rays</x:v>
      </x:c>
      <x:c r="I43" s="31" t="n">
        <x:v>101.8135063276</x:v>
      </x:c>
      <x:c r="J43" s="31" t="n">
        <x:v>0</x:v>
      </x:c>
      <x:c r="K43" s="31" t="n">
        <x:v>101.8135063276</x:v>
      </x:c>
      <x:c r="L43" s="31" t="n">
        <x:v>0</x:v>
      </x:c>
      <x:c r="M43" s="31" t="n">
        <x:v>101.8135063276</x:v>
      </x:c>
      <x:c r="N43" s="24" t="str">
        <x:v>squalus</x:v>
      </x:c>
      <x:c r="O43" s="32" t="n">
        <x:v>4.23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Squalus</x:v>
      </x:c>
      <x:c r="T43" s="32" t="n">
        <x:f>IF(O43="","",(1/'Metadata'!$B$5)^(O43-1))</x:f>
        <x:v>1698.243652461746</x:v>
      </x:c>
      <x:c r="U43" s="31" t="n">
        <x:f>IF(T43="","",I43*T43)</x:f>
        <x:v>172904.1408557205</x:v>
      </x:c>
    </x:row>
    <x:row r="44" ht="18" customHeight="1">
      <x:c r="A44" s="24" t="str">
        <x:v>LME_008</x:v>
      </x:c>
      <x:c r="B44" s="24" t="str">
        <x:v>Scotian Shelf</x:v>
      </x:c>
      <x:c r="C44" s="24" t="str">
        <x:v>LME</x:v>
      </x:c>
      <x:c r="D44" s="30" t="n">
        <x:v>2019</x:v>
      </x:c>
      <x:c r="E44" s="24" t="str">
        <x:v>Busycon</x:v>
      </x:c>
      <x:c r="F44" s="24" t="str">
        <x:v>Whelks</x:v>
      </x:c>
      <x:c r="G44" s="24" t="str">
        <x:v>Other demersal invertebrates</x:v>
      </x:c>
      <x:c r="H44" s="24" t="str">
        <x:v>Molluscs</x:v>
      </x:c>
      <x:c r="I44" s="31" t="n">
        <x:v>99.59433870890001</x:v>
      </x:c>
      <x:c r="J44" s="31" t="n">
        <x:v>99.59433870890001</x:v>
      </x:c>
      <x:c r="K44" s="31" t="n">
        <x:v>0</x:v>
      </x:c>
      <x:c r="L44" s="31" t="n">
        <x:v>99.59433870890001</x:v>
      </x:c>
      <x:c r="M44" s="31" t="n">
        <x:v>0</x:v>
      </x:c>
      <x:c r="N44" s="24" t="str">
        <x:v>busycon</x:v>
      </x:c>
      <x:c r="O44" s="32" t="n">
        <x:v>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Busycon</x:v>
      </x:c>
      <x:c r="T44" s="32" t="n">
        <x:f>IF(O44="","",(1/'Metadata'!$B$5)^(O44-1))</x:f>
        <x:v>100</x:v>
      </x:c>
      <x:c r="U44" s="31" t="n">
        <x:f>IF(T44="","",I44*T44)</x:f>
        <x:v>9959.433870890001</x:v>
      </x:c>
    </x:row>
    <x:row r="45" ht="18" customHeight="1">
      <x:c r="A45" s="24" t="str">
        <x:v>LME_008</x:v>
      </x:c>
      <x:c r="B45" s="24" t="str">
        <x:v>Scotian Shelf</x:v>
      </x:c>
      <x:c r="C45" s="24" t="str">
        <x:v>LME</x:v>
      </x:c>
      <x:c r="D45" s="30" t="n">
        <x:v>2019</x:v>
      </x:c>
      <x:c r="E45" s="24" t="str">
        <x:v>Myxinidae</x:v>
      </x:c>
      <x:c r="F45" s="24" t="str">
        <x:v>Hagfishes</x:v>
      </x:c>
      <x:c r="G45" s="24" t="str">
        <x:v>Medium bathydemersals (30 - 89 cm)</x:v>
      </x:c>
      <x:c r="H45" s="24" t="str">
        <x:v>Other fishes &amp; inverts</x:v>
      </x:c>
      <x:c r="I45" s="31" t="n">
        <x:v>94.4049529364</x:v>
      </x:c>
      <x:c r="J45" s="31" t="n">
        <x:v>0</x:v>
      </x:c>
      <x:c r="K45" s="31" t="n">
        <x:v>94.4049529364</x:v>
      </x:c>
      <x:c r="L45" s="31" t="n">
        <x:v>0</x:v>
      </x:c>
      <x:c r="M45" s="31" t="n">
        <x:v>94.4049529364</x:v>
      </x:c>
      <x:c r="N45" s="24" t="str">
        <x:v>myxinidae</x:v>
      </x:c>
      <x:c r="O45" s="32" t="n">
        <x:v>3.45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Myxinidae</x:v>
      </x:c>
      <x:c r="T45" s="32" t="n">
        <x:f>IF(O45="","",(1/'Metadata'!$B$5)^(O45-1))</x:f>
        <x:v>281.8382931264455</x:v>
      </x:c>
      <x:c r="U45" s="31" t="n">
        <x:f>IF(T45="","",I45*T45)</x:f>
        <x:v>26606.93079827739</x:v>
      </x:c>
    </x:row>
    <x:row r="46" ht="18" customHeight="1">
      <x:c r="A46" s="24" t="str">
        <x:v>LME_008</x:v>
      </x:c>
      <x:c r="B46" s="24" t="str">
        <x:v>Scotian Shelf</x:v>
      </x:c>
      <x:c r="C46" s="24" t="str">
        <x:v>LME</x:v>
      </x:c>
      <x:c r="D46" s="30" t="n">
        <x:v>2019</x:v>
      </x:c>
      <x:c r="E46" s="24" t="str">
        <x:v>Echinoidea</x:v>
      </x:c>
      <x:c r="F46" s="24" t="str">
        <x:v>Sea urchins, sea hedgehogs</x:v>
      </x:c>
      <x:c r="G46" s="24" t="str">
        <x:v>Other demersal invertebrates</x:v>
      </x:c>
      <x:c r="H46" s="24" t="str">
        <x:v>Other fishes &amp; inverts</x:v>
      </x:c>
      <x:c r="I46" s="31" t="n">
        <x:v>87.5083458933</x:v>
      </x:c>
      <x:c r="J46" s="31" t="n">
        <x:v>0</x:v>
      </x:c>
      <x:c r="K46" s="31" t="n">
        <x:v>87.5083458933</x:v>
      </x:c>
      <x:c r="L46" s="31" t="n">
        <x:v>0</x:v>
      </x:c>
      <x:c r="M46" s="31" t="n">
        <x:v>87.5083458933</x:v>
      </x:c>
      <x:c r="N46" s="24" t="str">
        <x:v>echinoidea</x:v>
      </x:c>
      <x:c r="O46" s="32" t="n">
        <x:v>2.51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Echinoidea</x:v>
      </x:c>
      <x:c r="T46" s="32" t="n">
        <x:f>IF(O46="","",(1/'Metadata'!$B$5)^(O46-1))</x:f>
        <x:v>32.35936569296281</x:v>
      </x:c>
      <x:c r="U46" s="31" t="n">
        <x:f>IF(T46="","",I46*T46)</x:f>
        <x:v>2831.714565947575</x:v>
      </x:c>
    </x:row>
    <x:row r="47" ht="18" customHeight="1">
      <x:c r="A47" s="24" t="str">
        <x:v>LME_008</x:v>
      </x:c>
      <x:c r="B47" s="24" t="str">
        <x:v>Scotian Shelf</x:v>
      </x:c>
      <x:c r="C47" s="24" t="str">
        <x:v>LME</x:v>
      </x:c>
      <x:c r="D47" s="30" t="n">
        <x:v>2019</x:v>
      </x:c>
      <x:c r="E47" s="24" t="str">
        <x:v>Anarhichas</x:v>
      </x:c>
      <x:c r="F47" s="24" t="str">
        <x:v>Wolffishes</x:v>
      </x:c>
      <x:c r="G47" s="24" t="str">
        <x:v>Large demersals (&gt;=90 cm)</x:v>
      </x:c>
      <x:c r="H47" s="24" t="str">
        <x:v>Perch-likes</x:v>
      </x:c>
      <x:c r="I47" s="31" t="n">
        <x:v>78.3709034875</x:v>
      </x:c>
      <x:c r="J47" s="31" t="n">
        <x:v>0</x:v>
      </x:c>
      <x:c r="K47" s="31" t="n">
        <x:v>78.3709034875</x:v>
      </x:c>
      <x:c r="L47" s="31" t="n">
        <x:v>0</x:v>
      </x:c>
      <x:c r="M47" s="31" t="n">
        <x:v>78.3709034875</x:v>
      </x:c>
      <x:c r="N47" s="24" t="str">
        <x:v>anarhichas</x:v>
      </x:c>
      <x:c r="O47" s="32" t="n">
        <x:v>3.35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Anarhichas</x:v>
      </x:c>
      <x:c r="T47" s="32" t="n">
        <x:f>IF(O47="","",(1/'Metadata'!$B$5)^(O47-1))</x:f>
        <x:v>223.872113856834</x:v>
      </x:c>
      <x:c r="U47" s="31" t="n">
        <x:f>IF(T47="","",I47*T47)</x:f>
        <x:v>17545.059828616548</x:v>
      </x:c>
    </x:row>
    <x:row r="48" ht="18" customHeight="1">
      <x:c r="A48" s="24" t="str">
        <x:v>LME_008</x:v>
      </x:c>
      <x:c r="B48" s="24" t="str">
        <x:v>Scotian Shelf</x:v>
      </x:c>
      <x:c r="C48" s="24" t="str">
        <x:v>LME</x:v>
      </x:c>
      <x:c r="D48" s="30" t="n">
        <x:v>2019</x:v>
      </x:c>
      <x:c r="E48" s="24" t="str">
        <x:v>Osmerus mordax</x:v>
      </x:c>
      <x:c r="F48" s="24" t="str">
        <x:v>Rainbow smelt</x:v>
      </x:c>
      <x:c r="G48" s="24" t="str">
        <x:v>Small pelagics (&lt;30 cm)</x:v>
      </x:c>
      <x:c r="H48" s="24" t="str">
        <x:v>Salmon, smelts, etc</x:v>
      </x:c>
      <x:c r="I48" s="31" t="n">
        <x:v>72.8289782537</x:v>
      </x:c>
      <x:c r="J48" s="31" t="n">
        <x:v>3.9160215494</x:v>
      </x:c>
      <x:c r="K48" s="31" t="n">
        <x:v>68.9129567043</x:v>
      </x:c>
      <x:c r="L48" s="31" t="n">
        <x:v>3.9160215494</x:v>
      </x:c>
      <x:c r="M48" s="31" t="n">
        <x:v>68.9129567043</x:v>
      </x:c>
      <x:c r="N48" s="24" t="str">
        <x:v>osmerus mordax</x:v>
      </x:c>
      <x:c r="O48" s="32" t="n">
        <x:v>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Osmerus mordax</x:v>
      </x:c>
      <x:c r="T48" s="32" t="n">
        <x:f>IF(O48="","",(1/'Metadata'!$B$5)^(O48-1))</x:f>
        <x:v>100</x:v>
      </x:c>
      <x:c r="U48" s="31" t="n">
        <x:f>IF(T48="","",I48*T48)</x:f>
        <x:v>7282.89782537</x:v>
      </x:c>
    </x:row>
    <x:row r="49" ht="18" customHeight="1">
      <x:c r="A49" s="24" t="str">
        <x:v>LME_008</x:v>
      </x:c>
      <x:c r="B49" s="24" t="str">
        <x:v>Scotian Shelf</x:v>
      </x:c>
      <x:c r="C49" s="24" t="str">
        <x:v>LME</x:v>
      </x:c>
      <x:c r="D49" s="30" t="n">
        <x:v>2019</x:v>
      </x:c>
      <x:c r="E49" s="24" t="str">
        <x:v>Reinhardtius hippoglossoides</x:v>
      </x:c>
      <x:c r="F49" s="24" t="str">
        <x:v>Greenland halibut</x:v>
      </x:c>
      <x:c r="G49" s="24" t="str">
        <x:v>Small to medium flatfishes (&lt;90 cm)</x:v>
      </x:c>
      <x:c r="H49" s="24" t="str">
        <x:v>Flatfishes</x:v>
      </x:c>
      <x:c r="I49" s="31" t="n">
        <x:v>71.1553694786</x:v>
      </x:c>
      <x:c r="J49" s="31" t="n">
        <x:v>31.051695782</x:v>
      </x:c>
      <x:c r="K49" s="31" t="n">
        <x:v>40.1036736966</x:v>
      </x:c>
      <x:c r="L49" s="31" t="n">
        <x:v>28.9133325573</x:v>
      </x:c>
      <x:c r="M49" s="31" t="n">
        <x:v>42.2420369213</x:v>
      </x:c>
      <x:c r="N49" s="24" t="str">
        <x:v>reinhardtius hippoglossoides</x:v>
      </x:c>
      <x:c r="O49" s="32" t="n">
        <x:v>4.38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Reinhardtius hippoglossoides</x:v>
      </x:c>
      <x:c r="T49" s="32" t="n">
        <x:f>IF(O49="","",(1/'Metadata'!$B$5)^(O49-1))</x:f>
        <x:v>2398.83291901949</x:v>
      </x:c>
      <x:c r="U49" s="31" t="n">
        <x:f>IF(T49="","",I49*T49)</x:f>
        <x:v>170689.84267026035</x:v>
      </x:c>
    </x:row>
    <x:row r="50" ht="18" customHeight="1">
      <x:c r="A50" s="24" t="str">
        <x:v>LME_008</x:v>
      </x:c>
      <x:c r="B50" s="24" t="str">
        <x:v>Scotian Shelf</x:v>
      </x:c>
      <x:c r="C50" s="24" t="str">
        <x:v>LME</x:v>
      </x:c>
      <x:c r="D50" s="30" t="n">
        <x:v>2019</x:v>
      </x:c>
      <x:c r="E50" s="24" t="str">
        <x:v>Myoxocephalus</x:v>
      </x:c>
      <x:c r="F50" s="24" t="str">
        <x:v>Grubbies and sculpins</x:v>
      </x:c>
      <x:c r="G50" s="24" t="str">
        <x:v>Large reef assoc. fish (&gt;=90 cm)</x:v>
      </x:c>
      <x:c r="H50" s="24" t="str">
        <x:v>Scorpionfishes</x:v>
      </x:c>
      <x:c r="I50" s="31" t="n">
        <x:v>68.2467480684</x:v>
      </x:c>
      <x:c r="J50" s="31" t="n">
        <x:v>0</x:v>
      </x:c>
      <x:c r="K50" s="31" t="n">
        <x:v>68.2467480684</x:v>
      </x:c>
      <x:c r="L50" s="31" t="n">
        <x:v>0</x:v>
      </x:c>
      <x:c r="M50" s="31" t="n">
        <x:v>68.2467480684</x:v>
      </x:c>
      <x:c r="N50" s="24" t="str">
        <x:v>myoxocephalus</x:v>
      </x:c>
      <x:c r="O50" s="32" t="n">
        <x:v>3.71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Myoxocephalus</x:v>
      </x:c>
      <x:c r="T50" s="32" t="n">
        <x:f>IF(O50="","",(1/'Metadata'!$B$5)^(O50-1))</x:f>
        <x:v>512.8613839913648</x:v>
      </x:c>
      <x:c r="U50" s="31" t="n">
        <x:f>IF(T50="","",I50*T50)</x:f>
        <x:v>35001.121667269625</x:v>
      </x:c>
    </x:row>
    <x:row r="51" ht="18" customHeight="1">
      <x:c r="A51" s="24" t="str">
        <x:v>LME_008</x:v>
      </x:c>
      <x:c r="B51" s="24" t="str">
        <x:v>Scotian Shelf</x:v>
      </x:c>
      <x:c r="C51" s="24" t="str">
        <x:v>LME</x:v>
      </x:c>
      <x:c r="D51" s="30" t="n">
        <x:v>2019</x:v>
      </x:c>
      <x:c r="E51" s="24" t="str">
        <x:v>Centroscyllium fabricii</x:v>
      </x:c>
      <x:c r="F51" s="24" t="str">
        <x:v>Black dogfish</x:v>
      </x:c>
      <x:c r="G51" s="24" t="str">
        <x:v>Small to medium sharks (&lt;90 cm)</x:v>
      </x:c>
      <x:c r="H51" s="24" t="str">
        <x:v>Sharks &amp; rays</x:v>
      </x:c>
      <x:c r="I51" s="31" t="n">
        <x:v>62.2727141771</x:v>
      </x:c>
      <x:c r="J51" s="31" t="n">
        <x:v>0</x:v>
      </x:c>
      <x:c r="K51" s="31" t="n">
        <x:v>62.2727141771</x:v>
      </x:c>
      <x:c r="L51" s="31" t="n">
        <x:v>0</x:v>
      </x:c>
      <x:c r="M51" s="31" t="n">
        <x:v>62.2727141771</x:v>
      </x:c>
      <x:c r="N51" s="24" t="str">
        <x:v>centroscyllium fabricii</x:v>
      </x:c>
      <x:c r="O51" s="32" t="n">
        <x:v>3.84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Centroscyllium fabricii</x:v>
      </x:c>
      <x:c r="T51" s="32" t="n">
        <x:f>IF(O51="","",(1/'Metadata'!$B$5)^(O51-1))</x:f>
        <x:v>691.8309709189363</x:v>
      </x:c>
      <x:c r="U51" s="31" t="n">
        <x:f>IF(T51="","",I51*T51)</x:f>
        <x:v>43082.1923109005</x:v>
      </x:c>
    </x:row>
    <x:row r="52" ht="18" customHeight="1">
      <x:c r="A52" s="24" t="str">
        <x:v>LME_008</x:v>
      </x:c>
      <x:c r="B52" s="24" t="str">
        <x:v>Scotian Shelf</x:v>
      </x:c>
      <x:c r="C52" s="24" t="str">
        <x:v>LME</x:v>
      </x:c>
      <x:c r="D52" s="30" t="n">
        <x:v>2019</x:v>
      </x:c>
      <x:c r="E52" s="24" t="str">
        <x:v>Chionoecetes</x:v>
      </x:c>
      <x:c r="F52" s="24" t="str">
        <x:v>Tanner, snow crabs</x:v>
      </x:c>
      <x:c r="G52" s="24" t="str">
        <x:v>Lobsters, crabs</x:v>
      </x:c>
      <x:c r="H52" s="24" t="str">
        <x:v>Crustaceans</x:v>
      </x:c>
      <x:c r="I52" s="31" t="n">
        <x:v>59.68803971209999</x:v>
      </x:c>
      <x:c r="J52" s="31" t="n">
        <x:v>0</x:v>
      </x:c>
      <x:c r="K52" s="31" t="n">
        <x:v>59.68803971209999</x:v>
      </x:c>
      <x:c r="L52" s="31" t="n">
        <x:v>0</x:v>
      </x:c>
      <x:c r="M52" s="31" t="n">
        <x:v>59.68803971209999</x:v>
      </x:c>
      <x:c r="N52" s="24" t="str">
        <x:v>chionoecetes</x:v>
      </x:c>
      <x:c r="O52" s="32" t="n">
        <x:v>2.3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Chionoecetes</x:v>
      </x:c>
      <x:c r="T52" s="32" t="n">
        <x:f>IF(O52="","",(1/'Metadata'!$B$5)^(O52-1))</x:f>
        <x:v>19.952623149688787</x:v>
      </x:c>
      <x:c r="U52" s="31" t="n">
        <x:f>IF(T52="","",I52*T52)</x:f>
        <x:v>1190.93296291919</x:v>
      </x:c>
    </x:row>
    <x:row r="53" ht="18" customHeight="1">
      <x:c r="A53" s="24" t="str">
        <x:v>LME_008</x:v>
      </x:c>
      <x:c r="B53" s="24" t="str">
        <x:v>Scotian Shelf</x:v>
      </x:c>
      <x:c r="C53" s="24" t="str">
        <x:v>LME</x:v>
      </x:c>
      <x:c r="D53" s="30" t="n">
        <x:v>2019</x:v>
      </x:c>
      <x:c r="E53" s="24" t="str">
        <x:v>Ammodytidae</x:v>
      </x:c>
      <x:c r="F53" s="24" t="str">
        <x:v>Sand lances</x:v>
      </x:c>
      <x:c r="G53" s="24" t="str">
        <x:v>Large reef assoc. fish (&gt;=90 cm)</x:v>
      </x:c>
      <x:c r="H53" s="24" t="str">
        <x:v>Perch-likes</x:v>
      </x:c>
      <x:c r="I53" s="31" t="n">
        <x:v>57.740067172</x:v>
      </x:c>
      <x:c r="J53" s="31" t="n">
        <x:v>0</x:v>
      </x:c>
      <x:c r="K53" s="31" t="n">
        <x:v>57.740067172</x:v>
      </x:c>
      <x:c r="L53" s="31" t="n">
        <x:v>0</x:v>
      </x:c>
      <x:c r="M53" s="31" t="n">
        <x:v>57.740067172</x:v>
      </x:c>
      <x:c r="N53" s="24" t="str">
        <x:v>ammodytidae</x:v>
      </x:c>
      <x:c r="O53" s="32" t="n">
        <x:v>3.11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Ammodytidae</x:v>
      </x:c>
      <x:c r="T53" s="32" t="n">
        <x:f>IF(O53="","",(1/'Metadata'!$B$5)^(O53-1))</x:f>
        <x:v>128.82495516931337</x:v>
      </x:c>
      <x:c r="U53" s="31" t="n">
        <x:f>IF(T53="","",I53*T53)</x:f>
        <x:v>7438.361564906043</x:v>
      </x:c>
    </x:row>
    <x:row r="54" ht="18" customHeight="1">
      <x:c r="A54" s="24" t="str">
        <x:v>LME_008</x:v>
      </x:c>
      <x:c r="B54" s="24" t="str">
        <x:v>Scotian Shelf</x:v>
      </x:c>
      <x:c r="C54" s="24" t="str">
        <x:v>LME</x:v>
      </x:c>
      <x:c r="D54" s="30" t="n">
        <x:v>2019</x:v>
      </x:c>
      <x:c r="E54" s="24" t="str">
        <x:v>Cancer irroratus</x:v>
      </x:c>
      <x:c r="F54" s="24" t="str">
        <x:v>Atlantic rock crab</x:v>
      </x:c>
      <x:c r="G54" s="24" t="str">
        <x:v>Lobsters, crabs</x:v>
      </x:c>
      <x:c r="H54" s="24" t="str">
        <x:v>Crustaceans</x:v>
      </x:c>
      <x:c r="I54" s="31" t="n">
        <x:v>56.7534439101</x:v>
      </x:c>
      <x:c r="J54" s="31" t="n">
        <x:v>0</x:v>
      </x:c>
      <x:c r="K54" s="31" t="n">
        <x:v>56.7534439101</x:v>
      </x:c>
      <x:c r="L54" s="31" t="n">
        <x:v>0</x:v>
      </x:c>
      <x:c r="M54" s="31" t="n">
        <x:v>56.7534439101</x:v>
      </x:c>
      <x:c r="N54" s="24" t="str">
        <x:v>cancer irroratus</x:v>
      </x:c>
      <x:c r="O54" s="32" t="n">
        <x:v>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Cancer irroratus</x:v>
      </x:c>
      <x:c r="T54" s="32" t="n">
        <x:f>IF(O54="","",(1/'Metadata'!$B$5)^(O54-1))</x:f>
        <x:v>100</x:v>
      </x:c>
      <x:c r="U54" s="31" t="n">
        <x:f>IF(T54="","",I54*T54)</x:f>
        <x:v>5675.34439101</x:v>
      </x:c>
    </x:row>
    <x:row r="55" ht="18" customHeight="1">
      <x:c r="A55" s="24" t="str">
        <x:v>LME_008</x:v>
      </x:c>
      <x:c r="B55" s="24" t="str">
        <x:v>Scotian Shelf</x:v>
      </x:c>
      <x:c r="C55" s="24" t="str">
        <x:v>LME</x:v>
      </x:c>
      <x:c r="D55" s="30" t="n">
        <x:v>2019</x:v>
      </x:c>
      <x:c r="E55" s="24" t="str">
        <x:v>Merluccius</x:v>
      </x:c>
      <x:c r="F55" s="24" t="str">
        <x:v>Hakes</x:v>
      </x:c>
      <x:c r="G55" s="24" t="str">
        <x:v>Medium bathydemersals (30 - 89 cm)</x:v>
      </x:c>
      <x:c r="H55" s="24" t="str">
        <x:v>Cod-likes</x:v>
      </x:c>
      <x:c r="I55" s="31" t="n">
        <x:v>55.3750246045</x:v>
      </x:c>
      <x:c r="J55" s="31" t="n">
        <x:v>0</x:v>
      </x:c>
      <x:c r="K55" s="31" t="n">
        <x:v>55.3750246045</x:v>
      </x:c>
      <x:c r="L55" s="31" t="n">
        <x:v>0</x:v>
      </x:c>
      <x:c r="M55" s="31" t="n">
        <x:v>55.3750246045</x:v>
      </x:c>
      <x:c r="N55" s="24" t="str">
        <x:v>merluccius</x:v>
      </x:c>
      <x:c r="O55" s="32" t="n">
        <x:v>4.27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Merluccius</x:v>
      </x:c>
      <x:c r="T55" s="32" t="n">
        <x:f>IF(O55="","",(1/'Metadata'!$B$5)^(O55-1))</x:f>
        <x:v>1862.0871366628655</x:v>
      </x:c>
      <x:c r="U55" s="31" t="n">
        <x:f>IF(T55="","",I55*T55)</x:f>
        <x:v>103113.12100842912</x:v>
      </x:c>
    </x:row>
    <x:row r="56" ht="18" customHeight="1">
      <x:c r="A56" s="24" t="str">
        <x:v>LME_008</x:v>
      </x:c>
      <x:c r="B56" s="24" t="str">
        <x:v>Scotian Shelf</x:v>
      </x:c>
      <x:c r="C56" s="24" t="str">
        <x:v>LME</x:v>
      </x:c>
      <x:c r="D56" s="30" t="n">
        <x:v>2019</x:v>
      </x:c>
      <x:c r="E56" s="24" t="str">
        <x:v>Tautogolabrus adspersus</x:v>
      </x:c>
      <x:c r="F56" s="24" t="str">
        <x:v>Cunner</x:v>
      </x:c>
      <x:c r="G56" s="24" t="str">
        <x:v>Medium reef assoc. fish (30 - 89 cm)</x:v>
      </x:c>
      <x:c r="H56" s="24" t="str">
        <x:v>Perch-likes</x:v>
      </x:c>
      <x:c r="I56" s="31" t="n">
        <x:v>52.1538728215</x:v>
      </x:c>
      <x:c r="J56" s="31" t="n">
        <x:v>0</x:v>
      </x:c>
      <x:c r="K56" s="31" t="n">
        <x:v>52.1538728215</x:v>
      </x:c>
      <x:c r="L56" s="31" t="n">
        <x:v>0</x:v>
      </x:c>
      <x:c r="M56" s="31" t="n">
        <x:v>52.1538728215</x:v>
      </x:c>
      <x:c r="N56" s="24" t="str">
        <x:v>tautogolabrus adspersus</x:v>
      </x:c>
      <x:c r="O56" s="32" t="n">
        <x:v>3.72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Tautogolabrus adspersus</x:v>
      </x:c>
      <x:c r="T56" s="32" t="n">
        <x:f>IF(O56="","",(1/'Metadata'!$B$5)^(O56-1))</x:f>
        <x:v>524.8074602497728</x:v>
      </x:c>
      <x:c r="U56" s="31" t="n">
        <x:f>IF(T56="","",I56*T56)</x:f>
        <x:v>27370.741537641068</x:v>
      </x:c>
    </x:row>
    <x:row r="57" ht="18" customHeight="1">
      <x:c r="A57" s="24" t="str">
        <x:v>LME_008</x:v>
      </x:c>
      <x:c r="B57" s="24" t="str">
        <x:v>Scotian Shelf</x:v>
      </x:c>
      <x:c r="C57" s="24" t="str">
        <x:v>LME</x:v>
      </x:c>
      <x:c r="D57" s="30" t="n">
        <x:v>2019</x:v>
      </x:c>
      <x:c r="E57" s="24" t="str">
        <x:v>Glyptocephalus cynoglossus</x:v>
      </x:c>
      <x:c r="F57" s="24" t="str">
        <x:v>Witch flounder</x:v>
      </x:c>
      <x:c r="G57" s="24" t="str">
        <x:v>Small to medium flatfishes (&lt;90 cm)</x:v>
      </x:c>
      <x:c r="H57" s="24" t="str">
        <x:v>Flatfishes</x:v>
      </x:c>
      <x:c r="I57" s="31" t="n">
        <x:v>50.096693852</x:v>
      </x:c>
      <x:c r="J57" s="31" t="n">
        <x:v>0.2217018746</x:v>
      </x:c>
      <x:c r="K57" s="31" t="n">
        <x:v>49.8749919774</x:v>
      </x:c>
      <x:c r="L57" s="31" t="n">
        <x:v>0.2217018746</x:v>
      </x:c>
      <x:c r="M57" s="31" t="n">
        <x:v>49.8749919774</x:v>
      </x:c>
      <x:c r="N57" s="24" t="str">
        <x:v>glyptocephalus cynoglossus</x:v>
      </x:c>
      <x:c r="O57" s="32" t="n">
        <x:v>3.17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Glyptocephalus cynoglossus</x:v>
      </x:c>
      <x:c r="T57" s="32" t="n">
        <x:f>IF(O57="","",(1/'Metadata'!$B$5)^(O57-1))</x:f>
        <x:v>147.91083881682073</x:v>
      </x:c>
      <x:c r="U57" s="31" t="n">
        <x:f>IF(T57="","",I57*T57)</x:f>
        <x:v>7409.844009598786</x:v>
      </x:c>
    </x:row>
    <x:row r="58" ht="18" customHeight="1">
      <x:c r="A58" s="24" t="str">
        <x:v>LME_008</x:v>
      </x:c>
      <x:c r="B58" s="24" t="str">
        <x:v>Scotian Shelf</x:v>
      </x:c>
      <x:c r="C58" s="24" t="str">
        <x:v>LME</x:v>
      </x:c>
      <x:c r="D58" s="30" t="n">
        <x:v>2019</x:v>
      </x:c>
      <x:c r="E58" s="24" t="str">
        <x:v>Miscellaneous marine crustaceans</x:v>
      </x:c>
      <x:c r="F58" s="24" t="str">
        <x:v>Marine crabs, shrimps, lobsters nei</x:v>
      </x:c>
      <x:c r="G58" s="24" t="str">
        <x:v>Shrimps</x:v>
      </x:c>
      <x:c r="H58" s="24" t="str">
        <x:v>Crustaceans</x:v>
      </x:c>
      <x:c r="I58" s="31" t="n">
        <x:v>49.4227629555</x:v>
      </x:c>
      <x:c r="J58" s="31" t="n">
        <x:v>0</x:v>
      </x:c>
      <x:c r="K58" s="31" t="n">
        <x:v>49.4227629555</x:v>
      </x:c>
      <x:c r="L58" s="31" t="n">
        <x:v>0</x:v>
      </x:c>
      <x:c r="M58" s="31" t="n">
        <x:v>49.4227629555</x:v>
      </x:c>
      <x:c r="N58" s="24" t="str">
        <x:v>miscellaneous marine crustaceans</x:v>
      </x:c>
      <x:c r="O58" s="32" t="n">
        <x:v>2.7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Miscellaneous marine crustaceans</x:v>
      </x:c>
      <x:c r="T58" s="32" t="n">
        <x:f>IF(O58="","",(1/'Metadata'!$B$5)^(O58-1))</x:f>
        <x:v>50.11872336272725</x:v>
      </x:c>
      <x:c r="U58" s="31" t="n">
        <x:f>IF(T58="","",I58*T58)</x:f>
        <x:v>2477.0057843883487</x:v>
      </x:c>
    </x:row>
    <x:row r="59" ht="18" customHeight="1">
      <x:c r="A59" s="24" t="str">
        <x:v>LME_008</x:v>
      </x:c>
      <x:c r="B59" s="24" t="str">
        <x:v>Scotian Shelf</x:v>
      </x:c>
      <x:c r="C59" s="24" t="str">
        <x:v>LME</x:v>
      </x:c>
      <x:c r="D59" s="30" t="n">
        <x:v>2019</x:v>
      </x:c>
      <x:c r="E59" s="24" t="str">
        <x:v>Anarhichas denticulatus</x:v>
      </x:c>
      <x:c r="F59" s="24" t="str">
        <x:v>Northern wolffish</x:v>
      </x:c>
      <x:c r="G59" s="24" t="str">
        <x:v>Large benthopelagics (&gt;=90 cm)</x:v>
      </x:c>
      <x:c r="H59" s="24" t="str">
        <x:v>Perch-likes</x:v>
      </x:c>
      <x:c r="I59" s="31" t="n">
        <x:v>47.5207222453</x:v>
      </x:c>
      <x:c r="J59" s="31" t="n">
        <x:v>0</x:v>
      </x:c>
      <x:c r="K59" s="31" t="n">
        <x:v>47.5207222453</x:v>
      </x:c>
      <x:c r="L59" s="31" t="n">
        <x:v>0</x:v>
      </x:c>
      <x:c r="M59" s="31" t="n">
        <x:v>47.5207222453</x:v>
      </x:c>
      <x:c r="N59" s="24" t="str">
        <x:v>anarhichas denticulatus</x:v>
      </x:c>
      <x:c r="O59" s="32" t="n">
        <x:v>3.75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Anarhichas denticulatus</x:v>
      </x:c>
      <x:c r="T59" s="32" t="n">
        <x:f>IF(O59="","",(1/'Metadata'!$B$5)^(O59-1))</x:f>
        <x:v>562.341325190349</x:v>
      </x:c>
      <x:c r="U59" s="31" t="n">
        <x:f>IF(T59="","",I59*T59)</x:f>
        <x:v>26722.8659214245</x:v>
      </x:c>
    </x:row>
    <x:row r="60" ht="18" customHeight="1">
      <x:c r="A60" s="24" t="str">
        <x:v>LME_008</x:v>
      </x:c>
      <x:c r="B60" s="24" t="str">
        <x:v>Scotian Shelf</x:v>
      </x:c>
      <x:c r="C60" s="24" t="str">
        <x:v>LME</x:v>
      </x:c>
      <x:c r="D60" s="30" t="n">
        <x:v>2019</x:v>
      </x:c>
      <x:c r="E60" s="24" t="str">
        <x:v>Teuthida</x:v>
      </x:c>
      <x:c r="F60" s="24" t="str">
        <x:v>Squids</x:v>
      </x:c>
      <x:c r="G60" s="24" t="str">
        <x:v>Cephalopods</x:v>
      </x:c>
      <x:c r="H60" s="24" t="str">
        <x:v>Other fishes &amp; inverts</x:v>
      </x:c>
      <x:c r="I60" s="31" t="n">
        <x:v>44.2861912467</x:v>
      </x:c>
      <x:c r="J60" s="31" t="n">
        <x:v>0.7172123093</x:v>
      </x:c>
      <x:c r="K60" s="31" t="n">
        <x:v>43.568978937400004</x:v>
      </x:c>
      <x:c r="L60" s="31" t="n">
        <x:v>0</x:v>
      </x:c>
      <x:c r="M60" s="31" t="n">
        <x:v>44.2861912467</x:v>
      </x:c>
      <x:c r="N60" s="24" t="str">
        <x:v>teuthida</x:v>
      </x:c>
      <x:c r="O60" s="32" t="n">
        <x:v>4.13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Teuthida</x:v>
      </x:c>
      <x:c r="T60" s="32" t="n">
        <x:f>IF(O60="","",(1/'Metadata'!$B$5)^(O60-1))</x:f>
        <x:v>1348.9628825916532</x:v>
      </x:c>
      <x:c r="U60" s="31" t="n">
        <x:f>IF(T60="","",I60*T60)</x:f>
        <x:v>59740.42820315367</x:v>
      </x:c>
    </x:row>
    <x:row r="61" ht="18" customHeight="1">
      <x:c r="A61" s="24" t="str">
        <x:v>LME_008</x:v>
      </x:c>
      <x:c r="B61" s="24" t="str">
        <x:v>Scotian Shelf</x:v>
      </x:c>
      <x:c r="C61" s="24" t="str">
        <x:v>LME</x:v>
      </x:c>
      <x:c r="D61" s="30" t="n">
        <x:v>2019</x:v>
      </x:c>
      <x:c r="E61" s="24" t="str">
        <x:v>Lycodes</x:v>
      </x:c>
      <x:c r="F61" s="24" t="str">
        <x:v>Eelpouts</x:v>
      </x:c>
      <x:c r="G61" s="24" t="str">
        <x:v>Medium bathydemersals (30 - 89 cm)</x:v>
      </x:c>
      <x:c r="H61" s="24" t="str">
        <x:v>Perch-likes</x:v>
      </x:c>
      <x:c r="I61" s="31" t="n">
        <x:v>37.6480791323</x:v>
      </x:c>
      <x:c r="J61" s="31" t="n">
        <x:v>0</x:v>
      </x:c>
      <x:c r="K61" s="31" t="n">
        <x:v>37.6480791323</x:v>
      </x:c>
      <x:c r="L61" s="31" t="n">
        <x:v>0</x:v>
      </x:c>
      <x:c r="M61" s="31" t="n">
        <x:v>37.6480791323</x:v>
      </x:c>
      <x:c r="N61" s="24" t="str">
        <x:v>lycodes</x:v>
      </x:c>
      <x:c r="O61" s="32" t="n">
        <x:v>3.3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Lycodes</x:v>
      </x:c>
      <x:c r="T61" s="32" t="n">
        <x:f>IF(O61="","",(1/'Metadata'!$B$5)^(O61-1))</x:f>
        <x:v>199.52623149688787</x:v>
      </x:c>
      <x:c r="U61" s="31" t="n">
        <x:f>IF(T61="","",I61*T61)</x:f>
        <x:v>7511.779352364443</x:v>
      </x:c>
    </x:row>
    <x:row r="62" ht="18" customHeight="1">
      <x:c r="A62" s="24" t="str">
        <x:v>LME_008</x:v>
      </x:c>
      <x:c r="B62" s="24" t="str">
        <x:v>Scotian Shelf</x:v>
      </x:c>
      <x:c r="C62" s="24" t="str">
        <x:v>LME</x:v>
      </x:c>
      <x:c r="D62" s="30" t="n">
        <x:v>2019</x:v>
      </x:c>
      <x:c r="E62" s="24" t="str">
        <x:v>Brosme brosme</x:v>
      </x:c>
      <x:c r="F62" s="24" t="str">
        <x:v>Tusk</x:v>
      </x:c>
      <x:c r="G62" s="24" t="str">
        <x:v>Large demersals (&gt;=90 cm)</x:v>
      </x:c>
      <x:c r="H62" s="24" t="str">
        <x:v>Cod-likes</x:v>
      </x:c>
      <x:c r="I62" s="31" t="n">
        <x:v>32.5513263748</x:v>
      </x:c>
      <x:c r="J62" s="31" t="n">
        <x:v>22.7229370946</x:v>
      </x:c>
      <x:c r="K62" s="31" t="n">
        <x:v>9.8283892802</x:v>
      </x:c>
      <x:c r="L62" s="31" t="n">
        <x:v>22.7229370946</x:v>
      </x:c>
      <x:c r="M62" s="31" t="n">
        <x:v>9.8283892802</x:v>
      </x:c>
      <x:c r="N62" s="24" t="str">
        <x:v>brosme brosme</x:v>
      </x:c>
      <x:c r="O62" s="32" t="n">
        <x:v>3.9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Brosme brosme</x:v>
      </x:c>
      <x:c r="T62" s="32" t="n">
        <x:f>IF(O62="","",(1/'Metadata'!$B$5)^(O62-1))</x:f>
        <x:v>794.3282347242813</x:v>
      </x:c>
      <x:c r="U62" s="31" t="n">
        <x:f>IF(T62="","",I62*T62)</x:f>
        <x:v>25856.43761722882</x:v>
      </x:c>
    </x:row>
    <x:row r="63" ht="18" customHeight="1">
      <x:c r="A63" s="24" t="str">
        <x:v>LME_008</x:v>
      </x:c>
      <x:c r="B63" s="24" t="str">
        <x:v>Scotian Shelf</x:v>
      </x:c>
      <x:c r="C63" s="24" t="str">
        <x:v>LME</x:v>
      </x:c>
      <x:c r="D63" s="30" t="n">
        <x:v>2019</x:v>
      </x:c>
      <x:c r="E63" s="24" t="str">
        <x:v>Pseudopleuronectes americanus</x:v>
      </x:c>
      <x:c r="F63" s="24" t="str">
        <x:v>Winter flounder</x:v>
      </x:c>
      <x:c r="G63" s="24" t="str">
        <x:v>Small to medium flatfishes (&lt;90 cm)</x:v>
      </x:c>
      <x:c r="H63" s="24" t="str">
        <x:v>Flatfishes</x:v>
      </x:c>
      <x:c r="I63" s="31" t="n">
        <x:v>26.373325734</x:v>
      </x:c>
      <x:c r="J63" s="31" t="n">
        <x:v>0</x:v>
      </x:c>
      <x:c r="K63" s="31" t="n">
        <x:v>26.373325734</x:v>
      </x:c>
      <x:c r="L63" s="31" t="n">
        <x:v>0</x:v>
      </x:c>
      <x:c r="M63" s="31" t="n">
        <x:v>26.373325734</x:v>
      </x:c>
      <x:c r="N63" s="24" t="str">
        <x:v>pseudopleuronectes americanus</x:v>
      </x:c>
      <x:c r="O63" s="32" t="n">
        <x:v>3.62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Pseudopleuronectes americanus</x:v>
      </x:c>
      <x:c r="T63" s="32" t="n">
        <x:f>IF(O63="","",(1/'Metadata'!$B$5)^(O63-1))</x:f>
        <x:v>416.8693834703355</x:v>
      </x:c>
      <x:c r="U63" s="31" t="n">
        <x:f>IF(T63="","",I63*T63)</x:f>
        <x:v>10994.232038794913</x:v>
      </x:c>
    </x:row>
    <x:row r="64" ht="18" customHeight="1">
      <x:c r="A64" s="24" t="str">
        <x:v>LME_008</x:v>
      </x:c>
      <x:c r="B64" s="24" t="str">
        <x:v>Scotian Shelf</x:v>
      </x:c>
      <x:c r="C64" s="24" t="str">
        <x:v>LME</x:v>
      </x:c>
      <x:c r="D64" s="30" t="n">
        <x:v>2019</x:v>
      </x:c>
      <x:c r="E64" s="24" t="str">
        <x:v>Scyphozoa</x:v>
      </x:c>
      <x:c r="F64" s="24" t="str">
        <x:v>True jellyfishes</x:v>
      </x:c>
      <x:c r="G64" s="24" t="str">
        <x:v>Jellyfish</x:v>
      </x:c>
      <x:c r="H64" s="24" t="str">
        <x:v>Other fishes &amp; inverts</x:v>
      </x:c>
      <x:c r="I64" s="31" t="n">
        <x:v>25.3455157838</x:v>
      </x:c>
      <x:c r="J64" s="31" t="n">
        <x:v>0</x:v>
      </x:c>
      <x:c r="K64" s="31" t="n">
        <x:v>25.3455157838</x:v>
      </x:c>
      <x:c r="L64" s="31" t="n">
        <x:v>0</x:v>
      </x:c>
      <x:c r="M64" s="31" t="n">
        <x:v>25.3455157838</x:v>
      </x:c>
      <x:c r="N64" s="24" t="str">
        <x:v>scyphozoa</x:v>
      </x:c>
      <x:c r="O64" s="32" t="n">
        <x:v>3.46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Scyphozoa</x:v>
      </x:c>
      <x:c r="T64" s="32" t="n">
        <x:f>IF(O64="","",(1/'Metadata'!$B$5)^(O64-1))</x:f>
        <x:v>288.40315031266056</x:v>
      </x:c>
      <x:c r="U64" s="31" t="n">
        <x:f>IF(T64="","",I64*T64)</x:f>
        <x:v>7309.726598347182</x:v>
      </x:c>
    </x:row>
    <x:row r="65" ht="18" customHeight="1">
      <x:c r="A65" s="24" t="str">
        <x:v>LME_008</x:v>
      </x:c>
      <x:c r="B65" s="24" t="str">
        <x:v>Scotian Shelf</x:v>
      </x:c>
      <x:c r="C65" s="24" t="str">
        <x:v>LME</x:v>
      </x:c>
      <x:c r="D65" s="30" t="n">
        <x:v>2019</x:v>
      </x:c>
      <x:c r="E65" s="24" t="str">
        <x:v>Anguilla rostrata</x:v>
      </x:c>
      <x:c r="F65" s="24" t="str">
        <x:v>American eel</x:v>
      </x:c>
      <x:c r="G65" s="24" t="str">
        <x:v>Large demersals (&gt;=90 cm)</x:v>
      </x:c>
      <x:c r="H65" s="24" t="str">
        <x:v>Other fishes &amp; inverts</x:v>
      </x:c>
      <x:c r="I65" s="31" t="n">
        <x:v>24.971970354699998</x:v>
      </x:c>
      <x:c r="J65" s="31" t="n">
        <x:v>24.971970354699998</x:v>
      </x:c>
      <x:c r="K65" s="31" t="n">
        <x:v>0</x:v>
      </x:c>
      <x:c r="L65" s="31" t="n">
        <x:v>24.971970354699998</x:v>
      </x:c>
      <x:c r="M65" s="31" t="n">
        <x:v>0</x:v>
      </x:c>
      <x:c r="N65" s="24" t="str">
        <x:v>anguilla rostrata</x:v>
      </x:c>
      <x:c r="O65" s="32" t="n">
        <x:v>3.83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Anguilla rostrata</x:v>
      </x:c>
      <x:c r="T65" s="32" t="n">
        <x:f>IF(O65="","",(1/'Metadata'!$B$5)^(O65-1))</x:f>
        <x:v>676.0829753919819</x:v>
      </x:c>
      <x:c r="U65" s="31" t="n">
        <x:f>IF(T65="","",I65*T65)</x:f>
        <x:v>16883.124018805942</x:v>
      </x:c>
    </x:row>
    <x:row r="66" ht="18" customHeight="1">
      <x:c r="A66" s="24" t="str">
        <x:v>LME_008</x:v>
      </x:c>
      <x:c r="B66" s="24" t="str">
        <x:v>Scotian Shelf</x:v>
      </x:c>
      <x:c r="C66" s="24" t="str">
        <x:v>LME</x:v>
      </x:c>
      <x:c r="D66" s="30" t="n">
        <x:v>2019</x:v>
      </x:c>
      <x:c r="E66" s="24" t="str">
        <x:v>Cottidae</x:v>
      </x:c>
      <x:c r="F66" s="24" t="str">
        <x:v>Sculpins</x:v>
      </x:c>
      <x:c r="G66" s="24" t="str">
        <x:v>Large reef assoc. fish (&gt;=90 cm)</x:v>
      </x:c>
      <x:c r="H66" s="24" t="str">
        <x:v>Scorpionfishes</x:v>
      </x:c>
      <x:c r="I66" s="31" t="n">
        <x:v>24.182577703200003</x:v>
      </x:c>
      <x:c r="J66" s="31" t="n">
        <x:v>0</x:v>
      </x:c>
      <x:c r="K66" s="31" t="n">
        <x:v>24.182577703200003</x:v>
      </x:c>
      <x:c r="L66" s="31" t="n">
        <x:v>0</x:v>
      </x:c>
      <x:c r="M66" s="31" t="n">
        <x:v>24.182577703200003</x:v>
      </x:c>
      <x:c r="N66" s="24" t="str">
        <x:v>cottidae</x:v>
      </x:c>
      <x:c r="O66" s="32" t="n">
        <x:v>3.81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Cottidae</x:v>
      </x:c>
      <x:c r="T66" s="32" t="n">
        <x:f>IF(O66="","",(1/'Metadata'!$B$5)^(O66-1))</x:f>
        <x:v>645.6542290346556</x:v>
      </x:c>
      <x:c r="U66" s="31" t="n">
        <x:f>IF(T66="","",I66*T66)</x:f>
        <x:v>15613.58356303025</x:v>
      </x:c>
    </x:row>
    <x:row r="67" ht="18" customHeight="1">
      <x:c r="A67" s="24" t="str">
        <x:v>LME_008</x:v>
      </x:c>
      <x:c r="B67" s="24" t="str">
        <x:v>Scotian Shelf</x:v>
      </x:c>
      <x:c r="C67" s="24" t="str">
        <x:v>LME</x:v>
      </x:c>
      <x:c r="D67" s="30" t="n">
        <x:v>2019</x:v>
      </x:c>
      <x:c r="E67" s="24" t="str">
        <x:v>Isurus oxyrinchus</x:v>
      </x:c>
      <x:c r="F67" s="24" t="str">
        <x:v>Shortfin mako</x:v>
      </x:c>
      <x:c r="G67" s="24" t="str">
        <x:v>Large sharks (&gt;=90 cm)</x:v>
      </x:c>
      <x:c r="H67" s="24" t="str">
        <x:v>Sharks &amp; rays</x:v>
      </x:c>
      <x:c r="I67" s="31" t="n">
        <x:v>23.220530648199997</x:v>
      </x:c>
      <x:c r="J67" s="31" t="n">
        <x:v>0.4920688026</x:v>
      </x:c>
      <x:c r="K67" s="31" t="n">
        <x:v>22.7284618456</x:v>
      </x:c>
      <x:c r="L67" s="31" t="n">
        <x:v>0.4865340538</x:v>
      </x:c>
      <x:c r="M67" s="31" t="n">
        <x:v>22.733996594399997</x:v>
      </x:c>
      <x:c r="N67" s="24" t="str">
        <x:v>isurus oxyrinchus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Isurus oxyrinchus</x:v>
      </x:c>
      <x:c r="T67" s="32" t="n">
        <x:f>IF(O67="","",(1/'Metadata'!$B$5)^(O67-1))</x:f>
        <x:v>3162.2776601683795</x:v>
      </x:c>
      <x:c r="U67" s="31" t="n">
        <x:f>IF(T67="","",I67*T67)</x:f>
        <x:v>73429.76532605803</x:v>
      </x:c>
    </x:row>
    <x:row r="68" ht="18" customHeight="1">
      <x:c r="A68" s="24" t="str">
        <x:v>LME_008</x:v>
      </x:c>
      <x:c r="B68" s="24" t="str">
        <x:v>Scotian Shelf</x:v>
      </x:c>
      <x:c r="C68" s="24" t="str">
        <x:v>LME</x:v>
      </x:c>
      <x:c r="D68" s="30" t="n">
        <x:v>2019</x:v>
      </x:c>
      <x:c r="E68" s="24" t="str">
        <x:v>Octopoda</x:v>
      </x:c>
      <x:c r="F68" s="24" t="str">
        <x:v>Octopuses, argonauts</x:v>
      </x:c>
      <x:c r="G68" s="24" t="str">
        <x:v>Cephalopods</x:v>
      </x:c>
      <x:c r="H68" s="24" t="str">
        <x:v>Other fishes &amp; inverts</x:v>
      </x:c>
      <x:c r="I68" s="31" t="n">
        <x:v>20.369473872</x:v>
      </x:c>
      <x:c r="J68" s="31" t="n">
        <x:v>0</x:v>
      </x:c>
      <x:c r="K68" s="31" t="n">
        <x:v>20.369473872</x:v>
      </x:c>
      <x:c r="L68" s="31" t="n">
        <x:v>0</x:v>
      </x:c>
      <x:c r="M68" s="31" t="n">
        <x:v>20.369473872</x:v>
      </x:c>
      <x:c r="N68" s="24" t="str">
        <x:v>octopoda</x:v>
      </x:c>
      <x:c r="O68" s="32" t="n">
        <x:v>3.58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Octopoda</x:v>
      </x:c>
      <x:c r="T68" s="32" t="n">
        <x:f>IF(O68="","",(1/'Metadata'!$B$5)^(O68-1))</x:f>
        <x:v>380.1893963205613</x:v>
      </x:c>
      <x:c r="U68" s="31" t="n">
        <x:f>IF(T68="","",I68*T68)</x:f>
        <x:v>7744.257974763126</x:v>
      </x:c>
    </x:row>
    <x:row r="69" ht="18" customHeight="1">
      <x:c r="A69" s="24" t="str">
        <x:v>LME_008</x:v>
      </x:c>
      <x:c r="B69" s="24" t="str">
        <x:v>Scotian Shelf</x:v>
      </x:c>
      <x:c r="C69" s="24" t="str">
        <x:v>LME</x:v>
      </x:c>
      <x:c r="D69" s="30" t="n">
        <x:v>2019</x:v>
      </x:c>
      <x:c r="E69" s="24" t="str">
        <x:v>Buccinum undatum</x:v>
      </x:c>
      <x:c r="F69" s="24" t="str">
        <x:v>Whelk</x:v>
      </x:c>
      <x:c r="G69" s="24" t="str">
        <x:v>Other demersal invertebrates</x:v>
      </x:c>
      <x:c r="H69" s="24" t="str">
        <x:v>Molluscs</x:v>
      </x:c>
      <x:c r="I69" s="31" t="n">
        <x:v>19.6331180086</x:v>
      </x:c>
      <x:c r="J69" s="31" t="n">
        <x:v>0.025031788200000002</x:v>
      </x:c>
      <x:c r="K69" s="31" t="n">
        <x:v>19.6080862204</x:v>
      </x:c>
      <x:c r="L69" s="31" t="n">
        <x:v>0</x:v>
      </x:c>
      <x:c r="M69" s="31" t="n">
        <x:v>19.6331180086</x:v>
      </x:c>
      <x:c r="N69" s="24" t="str">
        <x:v>buccinum undatum</x:v>
      </x:c>
      <x:c r="O69" s="32" t="n">
        <x:v>3.75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Buccinum undatum</x:v>
      </x:c>
      <x:c r="T69" s="32" t="n">
        <x:f>IF(O69="","",(1/'Metadata'!$B$5)^(O69-1))</x:f>
        <x:v>562.341325190349</x:v>
      </x:c>
      <x:c r="U69" s="31" t="n">
        <x:f>IF(T69="","",I69*T69)</x:f>
        <x:v>11040.513598574631</x:v>
      </x:c>
    </x:row>
    <x:row r="70" ht="18" customHeight="1">
      <x:c r="A70" s="24" t="str">
        <x:v>LME_008</x:v>
      </x:c>
      <x:c r="B70" s="24" t="str">
        <x:v>Scotian Shelf</x:v>
      </x:c>
      <x:c r="C70" s="24" t="str">
        <x:v>LME</x:v>
      </x:c>
      <x:c r="D70" s="30" t="n">
        <x:v>2019</x:v>
      </x:c>
      <x:c r="E70" s="24" t="str">
        <x:v>Enchelyopus cimbrius</x:v>
      </x:c>
      <x:c r="F70" s="24" t="str">
        <x:v>Fourbeard rockling</x:v>
      </x:c>
      <x:c r="G70" s="24" t="str">
        <x:v>Medium demersals (30 - 89 cm)</x:v>
      </x:c>
      <x:c r="H70" s="24" t="str">
        <x:v>Cod-likes</x:v>
      </x:c>
      <x:c r="I70" s="31" t="n">
        <x:v>17.0070282087</x:v>
      </x:c>
      <x:c r="J70" s="31" t="n">
        <x:v>0</x:v>
      </x:c>
      <x:c r="K70" s="31" t="n">
        <x:v>17.0070282087</x:v>
      </x:c>
      <x:c r="L70" s="31" t="n">
        <x:v>0</x:v>
      </x:c>
      <x:c r="M70" s="31" t="n">
        <x:v>17.0070282087</x:v>
      </x:c>
      <x:c r="N70" s="24" t="str">
        <x:v>enchelyopus cimbrius</x:v>
      </x:c>
      <x:c r="O70" s="32" t="n">
        <x:v>3.53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Enchelyopus cimbrius</x:v>
      </x:c>
      <x:c r="T70" s="32" t="n">
        <x:f>IF(O70="","",(1/'Metadata'!$B$5)^(O70-1))</x:f>
        <x:v>338.84415613920237</x:v>
      </x:c>
      <x:c r="U70" s="31" t="n">
        <x:f>IF(T70="","",I70*T70)</x:f>
        <x:v>5762.732121812562</x:v>
      </x:c>
    </x:row>
    <x:row r="71" ht="18" customHeight="1">
      <x:c r="A71" s="24" t="str">
        <x:v>LME_008</x:v>
      </x:c>
      <x:c r="B71" s="24" t="str">
        <x:v>Scotian Shelf</x:v>
      </x:c>
      <x:c r="C71" s="24" t="str">
        <x:v>LME</x:v>
      </x:c>
      <x:c r="D71" s="30" t="n">
        <x:v>2019</x:v>
      </x:c>
      <x:c r="E71" s="24" t="str">
        <x:v>Miscellaneous aquatic invertebrates</x:v>
      </x:c>
      <x:c r="F71" s="24" t="str">
        <x:v>Aquatic invertebrates</x:v>
      </x:c>
      <x:c r="G71" s="24" t="str">
        <x:v>Other demersal invertebrates</x:v>
      </x:c>
      <x:c r="H71" s="24" t="str">
        <x:v>Other fishes &amp; inverts</x:v>
      </x:c>
      <x:c r="I71" s="31" t="n">
        <x:v>16.4550752552</x:v>
      </x:c>
      <x:c r="J71" s="31" t="n">
        <x:v>0</x:v>
      </x:c>
      <x:c r="K71" s="31" t="n">
        <x:v>16.4550752552</x:v>
      </x:c>
      <x:c r="L71" s="31" t="n">
        <x:v>0</x:v>
      </x:c>
      <x:c r="M71" s="31" t="n">
        <x:v>16.4550752552</x:v>
      </x:c>
      <x:c r="N71" s="24" t="str">
        <x:v>miscellaneous aquatic invertebrates</x:v>
      </x:c>
      <x:c r="O71" s="32" t="n">
        <x:v>2.43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Miscellaneous aquatic invertebrates</x:v>
      </x:c>
      <x:c r="T71" s="32" t="n">
        <x:f>IF(O71="","",(1/'Metadata'!$B$5)^(O71-1))</x:f>
        <x:v>26.915348039269166</x:v>
      </x:c>
      <x:c r="U71" s="31" t="n">
        <x:f>IF(T71="","",I71*T71)</x:f>
        <x:v>442.8940775060739</x:v>
      </x:c>
    </x:row>
    <x:row r="72" ht="18" customHeight="1">
      <x:c r="A72" s="24" t="str">
        <x:v>LME_008</x:v>
      </x:c>
      <x:c r="B72" s="24" t="str">
        <x:v>Scotian Shelf</x:v>
      </x:c>
      <x:c r="C72" s="24" t="str">
        <x:v>LME</x:v>
      </x:c>
      <x:c r="D72" s="30" t="n">
        <x:v>2019</x:v>
      </x:c>
      <x:c r="E72" s="24" t="str">
        <x:v>Squalus acanthias</x:v>
      </x:c>
      <x:c r="F72" s="24" t="str">
        <x:v>Picked dogfish</x:v>
      </x:c>
      <x:c r="G72" s="24" t="str">
        <x:v>Large sharks (&gt;=90 cm)</x:v>
      </x:c>
      <x:c r="H72" s="24" t="str">
        <x:v>Sharks &amp; rays</x:v>
      </x:c>
      <x:c r="I72" s="31" t="n">
        <x:v>14.518604931099999</x:v>
      </x:c>
      <x:c r="J72" s="31" t="n">
        <x:v>14.518604931099999</x:v>
      </x:c>
      <x:c r="K72" s="31" t="n">
        <x:v>0</x:v>
      </x:c>
      <x:c r="L72" s="31" t="n">
        <x:v>14.518604931099999</x:v>
      </x:c>
      <x:c r="M72" s="31" t="n">
        <x:v>0</x:v>
      </x:c>
      <x:c r="N72" s="24" t="str">
        <x:v>squalus acanthias</x:v>
      </x:c>
      <x:c r="O72" s="32" t="n">
        <x:v>4.37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Squalus acanthias</x:v>
      </x:c>
      <x:c r="T72" s="32" t="n">
        <x:f>IF(O72="","",(1/'Metadata'!$B$5)^(O72-1))</x:f>
        <x:v>2344.228815319923</x:v>
      </x:c>
      <x:c r="U72" s="31" t="n">
        <x:f>IF(T72="","",I72*T72)</x:f>
        <x:v>34034.93203773054</x:v>
      </x:c>
    </x:row>
    <x:row r="73" ht="18" customHeight="1">
      <x:c r="A73" s="24" t="str">
        <x:v>LME_008</x:v>
      </x:c>
      <x:c r="B73" s="24" t="str">
        <x:v>Scotian Shelf</x:v>
      </x:c>
      <x:c r="C73" s="24" t="str">
        <x:v>LME</x:v>
      </x:c>
      <x:c r="D73" s="30" t="n">
        <x:v>2019</x:v>
      </x:c>
      <x:c r="E73" s="24" t="str">
        <x:v>Anguilliformes</x:v>
      </x:c>
      <x:c r="F73" s="24" t="str">
        <x:v>Eels, morays</x:v>
      </x:c>
      <x:c r="G73" s="24" t="str">
        <x:v>Large demersals (&gt;=90 cm)</x:v>
      </x:c>
      <x:c r="H73" s="24" t="str">
        <x:v>Other fishes &amp; inverts</x:v>
      </x:c>
      <x:c r="I73" s="31" t="n">
        <x:v>13.5707128192</x:v>
      </x:c>
      <x:c r="J73" s="31" t="n">
        <x:v>13.5707128192</x:v>
      </x:c>
      <x:c r="K73" s="31" t="n">
        <x:v>0</x:v>
      </x:c>
      <x:c r="L73" s="31" t="n">
        <x:v>0</x:v>
      </x:c>
      <x:c r="M73" s="31" t="n">
        <x:v>13.5707128192</x:v>
      </x:c>
      <x:c r="N73" s="24" t="str">
        <x:v>anguilliformes</x:v>
      </x:c>
      <x:c r="O73" s="32" t="n">
        <x:v>3.89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Anguilliformes</x:v>
      </x:c>
      <x:c r="T73" s="32" t="n">
        <x:f>IF(O73="","",(1/'Metadata'!$B$5)^(O73-1))</x:f>
        <x:v>776.247116628692</x:v>
      </x:c>
      <x:c r="U73" s="31" t="n">
        <x:f>IF(T73="","",I73*T73)</x:f>
        <x:v>10534.226696500027</x:v>
      </x:c>
    </x:row>
    <x:row r="74" ht="18" customHeight="1">
      <x:c r="A74" s="24" t="str">
        <x:v>LME_008</x:v>
      </x:c>
      <x:c r="B74" s="24" t="str">
        <x:v>Scotian Shelf</x:v>
      </x:c>
      <x:c r="C74" s="24" t="str">
        <x:v>LME</x:v>
      </x:c>
      <x:c r="D74" s="30" t="n">
        <x:v>2019</x:v>
      </x:c>
      <x:c r="E74" s="24" t="str">
        <x:v>Zoarces americanus</x:v>
      </x:c>
      <x:c r="F74" s="24" t="str">
        <x:v>Ocean pout</x:v>
      </x:c>
      <x:c r="G74" s="24" t="str">
        <x:v>Large demersals (&gt;=90 cm)</x:v>
      </x:c>
      <x:c r="H74" s="24" t="str">
        <x:v>Perch-likes</x:v>
      </x:c>
      <x:c r="I74" s="31" t="n">
        <x:v>11.7909182138</x:v>
      </x:c>
      <x:c r="J74" s="31" t="n">
        <x:v>0</x:v>
      </x:c>
      <x:c r="K74" s="31" t="n">
        <x:v>11.7909182138</x:v>
      </x:c>
      <x:c r="L74" s="31" t="n">
        <x:v>0</x:v>
      </x:c>
      <x:c r="M74" s="31" t="n">
        <x:v>11.7909182138</x:v>
      </x:c>
      <x:c r="N74" s="24" t="str">
        <x:v>zoarces americanus</x:v>
      </x:c>
      <x:c r="O74" s="32" t="n">
        <x:v>4.24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Zoarces americanus</x:v>
      </x:c>
      <x:c r="T74" s="32" t="n">
        <x:f>IF(O74="","",(1/'Metadata'!$B$5)^(O74-1))</x:f>
        <x:v>1737.8008287493763</x:v>
      </x:c>
      <x:c r="U74" s="31" t="n">
        <x:f>IF(T74="","",I74*T74)</x:f>
        <x:v>20490.267443657754</x:v>
      </x:c>
    </x:row>
    <x:row r="75" ht="18" customHeight="1">
      <x:c r="A75" s="24" t="str">
        <x:v>LME_008</x:v>
      </x:c>
      <x:c r="B75" s="24" t="str">
        <x:v>Scotian Shelf</x:v>
      </x:c>
      <x:c r="C75" s="24" t="str">
        <x:v>LME</x:v>
      </x:c>
      <x:c r="D75" s="30" t="n">
        <x:v>2019</x:v>
      </x:c>
      <x:c r="E75" s="24" t="str">
        <x:v>Myzopsetta ferruginea</x:v>
      </x:c>
      <x:c r="F75" s="24" t="str">
        <x:v>Yellowtail flounder</x:v>
      </x:c>
      <x:c r="G75" s="24" t="str">
        <x:v>Small to medium flatfishes (&lt;90 cm)</x:v>
      </x:c>
      <x:c r="H75" s="24" t="str">
        <x:v>Flatfishes</x:v>
      </x:c>
      <x:c r="I75" s="31" t="n">
        <x:v>11.3975764804</x:v>
      </x:c>
      <x:c r="J75" s="31" t="n">
        <x:v>0</x:v>
      </x:c>
      <x:c r="K75" s="31" t="n">
        <x:v>11.3975764804</x:v>
      </x:c>
      <x:c r="L75" s="31" t="n">
        <x:v>0</x:v>
      </x:c>
      <x:c r="M75" s="31" t="n">
        <x:v>11.3975764804</x:v>
      </x:c>
      <x:c r="N75" s="24" t="str">
        <x:v>myzopsetta ferruginea</x:v>
      </x:c>
      <x:c r="O75" s="32" t="n">
        <x:v>3.28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Myzopsetta ferruginea</x:v>
      </x:c>
      <x:c r="T75" s="32" t="n">
        <x:f>IF(O75="","",(1/'Metadata'!$B$5)^(O75-1))</x:f>
        <x:v>190.54607179632464</x:v>
      </x:c>
      <x:c r="U75" s="31" t="n">
        <x:f>IF(T75="","",I75*T75)</x:f>
        <x:v>2171.7634263383993</x:v>
      </x:c>
    </x:row>
    <x:row r="76" ht="18" customHeight="1">
      <x:c r="A76" s="24" t="str">
        <x:v>LME_008</x:v>
      </x:c>
      <x:c r="B76" s="24" t="str">
        <x:v>Scotian Shelf</x:v>
      </x:c>
      <x:c r="C76" s="24" t="str">
        <x:v>LME</x:v>
      </x:c>
      <x:c r="D76" s="30" t="n">
        <x:v>2019</x:v>
      </x:c>
      <x:c r="E76" s="24" t="str">
        <x:v>Anarhichas lupus</x:v>
      </x:c>
      <x:c r="F76" s="24" t="str">
        <x:v>Atlantic wolffish</x:v>
      </x:c>
      <x:c r="G76" s="24" t="str">
        <x:v>Large demersals (&gt;=90 cm)</x:v>
      </x:c>
      <x:c r="H76" s="24" t="str">
        <x:v>Perch-likes</x:v>
      </x:c>
      <x:c r="I76" s="31" t="n">
        <x:v>8.4460189869</x:v>
      </x:c>
      <x:c r="J76" s="31" t="n">
        <x:v>0</x:v>
      </x:c>
      <x:c r="K76" s="31" t="n">
        <x:v>8.4460189869</x:v>
      </x:c>
      <x:c r="L76" s="31" t="n">
        <x:v>0</x:v>
      </x:c>
      <x:c r="M76" s="31" t="n">
        <x:v>8.4460189869</x:v>
      </x:c>
      <x:c r="N76" s="24" t="str">
        <x:v>anarhichas lupus</x:v>
      </x:c>
      <x:c r="O76" s="32" t="n">
        <x:v>3.55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Anarhichas lupus</x:v>
      </x:c>
      <x:c r="T76" s="32" t="n">
        <x:f>IF(O76="","",(1/'Metadata'!$B$5)^(O76-1))</x:f>
        <x:v>354.8133892335753</x:v>
      </x:c>
      <x:c r="U76" s="31" t="n">
        <x:f>IF(T76="","",I76*T76)</x:f>
        <x:v>2996.7606222731174</x:v>
      </x:c>
    </x:row>
    <x:row r="77" ht="18" customHeight="1">
      <x:c r="A77" s="24" t="str">
        <x:v>LME_008</x:v>
      </x:c>
      <x:c r="B77" s="24" t="str">
        <x:v>Scotian Shelf</x:v>
      </x:c>
      <x:c r="C77" s="24" t="str">
        <x:v>LME</x:v>
      </x:c>
      <x:c r="D77" s="30" t="n">
        <x:v>2019</x:v>
      </x:c>
      <x:c r="E77" s="24" t="str">
        <x:v>Gadidae</x:v>
      </x:c>
      <x:c r="F77" s="24" t="str">
        <x:v>Cods, haddocks</x:v>
      </x:c>
      <x:c r="G77" s="24" t="str">
        <x:v>Medium demersals (30 - 89 cm)</x:v>
      </x:c>
      <x:c r="H77" s="24" t="str">
        <x:v>Cod-likes</x:v>
      </x:c>
      <x:c r="I77" s="31" t="n">
        <x:v>8.0505468265</x:v>
      </x:c>
      <x:c r="J77" s="31" t="n">
        <x:v>0</x:v>
      </x:c>
      <x:c r="K77" s="31" t="n">
        <x:v>8.0505468265</x:v>
      </x:c>
      <x:c r="L77" s="31" t="n">
        <x:v>0</x:v>
      </x:c>
      <x:c r="M77" s="31" t="n">
        <x:v>8.0505468265</x:v>
      </x:c>
      <x:c r="N77" s="24" t="str">
        <x:v>gadidae</x:v>
      </x:c>
      <x:c r="O77" s="32" t="n">
        <x:v>3.84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Gadidae</x:v>
      </x:c>
      <x:c r="T77" s="32" t="n">
        <x:f>IF(O77="","",(1/'Metadata'!$B$5)^(O77-1))</x:f>
        <x:v>691.8309709189363</x:v>
      </x:c>
      <x:c r="U77" s="31" t="n">
        <x:f>IF(T77="","",I77*T77)</x:f>
        <x:v>5569.617627405856</x:v>
      </x:c>
    </x:row>
    <x:row r="78" ht="18" customHeight="1">
      <x:c r="A78" s="24" t="str">
        <x:v>LME_008</x:v>
      </x:c>
      <x:c r="B78" s="24" t="str">
        <x:v>Scotian Shelf</x:v>
      </x:c>
      <x:c r="C78" s="24" t="str">
        <x:v>LME</x:v>
      </x:c>
      <x:c r="D78" s="30" t="n">
        <x:v>2019</x:v>
      </x:c>
      <x:c r="E78" s="24" t="str">
        <x:v>Illex illecebrosus</x:v>
      </x:c>
      <x:c r="F78" s="24" t="str">
        <x:v>Northern shortfin squid</x:v>
      </x:c>
      <x:c r="G78" s="24" t="str">
        <x:v>Cephalopods</x:v>
      </x:c>
      <x:c r="H78" s="24" t="str">
        <x:v>Other fishes &amp; inverts</x:v>
      </x:c>
      <x:c r="I78" s="31" t="n">
        <x:v>6.3932125439</x:v>
      </x:c>
      <x:c r="J78" s="31" t="n">
        <x:v>6.3932125439</x:v>
      </x:c>
      <x:c r="K78" s="31" t="n">
        <x:v>0</x:v>
      </x:c>
      <x:c r="L78" s="31" t="n">
        <x:v>6.3932125439</x:v>
      </x:c>
      <x:c r="M78" s="31" t="n">
        <x:v>0</x:v>
      </x:c>
      <x:c r="N78" s="24" t="str">
        <x:v>illex illecebrosus</x:v>
      </x:c>
      <x:c r="O78" s="32" t="n">
        <x:v>3.98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Illex illecebrosus</x:v>
      </x:c>
      <x:c r="T78" s="32" t="n">
        <x:f>IF(O78="","",(1/'Metadata'!$B$5)^(O78-1))</x:f>
        <x:v>954.992586021436</x:v>
      </x:c>
      <x:c r="U78" s="31" t="n">
        <x:f>IF(T78="","",I78*T78)</x:f>
        <x:v>6105.470580283744</x:v>
      </x:c>
    </x:row>
    <x:row r="79" ht="18" customHeight="1">
      <x:c r="A79" s="24" t="str">
        <x:v>LME_008</x:v>
      </x:c>
      <x:c r="B79" s="24" t="str">
        <x:v>Scotian Shelf</x:v>
      </x:c>
      <x:c r="C79" s="24" t="str">
        <x:v>LME</x:v>
      </x:c>
      <x:c r="D79" s="30" t="n">
        <x:v>2019</x:v>
      </x:c>
      <x:c r="E79" s="24" t="str">
        <x:v>Lamna nasus</x:v>
      </x:c>
      <x:c r="F79" s="24" t="str">
        <x:v>Porbeagle</x:v>
      </x:c>
      <x:c r="G79" s="24" t="str">
        <x:v>Large sharks (&gt;=90 cm)</x:v>
      </x:c>
      <x:c r="H79" s="24" t="str">
        <x:v>Sharks &amp; rays</x:v>
      </x:c>
      <x:c r="I79" s="31" t="n">
        <x:v>5.5620228440999995</x:v>
      </x:c>
      <x:c r="J79" s="31" t="n">
        <x:v>0.0548719603</x:v>
      </x:c>
      <x:c r="K79" s="31" t="n">
        <x:v>5.5071508838</x:v>
      </x:c>
      <x:c r="L79" s="31" t="n">
        <x:v>0.0548719603</x:v>
      </x:c>
      <x:c r="M79" s="31" t="n">
        <x:v>5.5071508838</x:v>
      </x:c>
      <x:c r="N79" s="24" t="str">
        <x:v>lamna nasus</x:v>
      </x:c>
      <x:c r="O79" s="32" t="n">
        <x:v>4.57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Lamna nasus</x:v>
      </x:c>
      <x:c r="T79" s="32" t="n">
        <x:f>IF(O79="","",(1/'Metadata'!$B$5)^(O79-1))</x:f>
        <x:v>3715.3522909717276</x:v>
      </x:c>
      <x:c r="U79" s="31" t="n">
        <x:f>IF(T79="","",I79*T79)</x:f>
        <x:v>20664.874316264017</x:v>
      </x:c>
    </x:row>
    <x:row r="80" ht="18" customHeight="1">
      <x:c r="A80" s="24" t="str">
        <x:v>LME_008</x:v>
      </x:c>
      <x:c r="B80" s="24" t="str">
        <x:v>Scotian Shelf</x:v>
      </x:c>
      <x:c r="C80" s="24" t="str">
        <x:v>LME</x:v>
      </x:c>
      <x:c r="D80" s="30" t="n">
        <x:v>2019</x:v>
      </x:c>
      <x:c r="E80" s="24" t="str">
        <x:v>Thunnus alalunga</x:v>
      </x:c>
      <x:c r="F80" s="24" t="str">
        <x:v>Albacore</x:v>
      </x:c>
      <x:c r="G80" s="24" t="str">
        <x:v>Large pelagics (&gt;=90 cm)</x:v>
      </x:c>
      <x:c r="H80" s="24" t="str">
        <x:v>Tuna &amp; billfishes</x:v>
      </x:c>
      <x:c r="I80" s="31" t="n">
        <x:v>4.8176849667</x:v>
      </x:c>
      <x:c r="J80" s="31" t="n">
        <x:v>4.8176849667</x:v>
      </x:c>
      <x:c r="K80" s="31" t="n">
        <x:v>0</x:v>
      </x:c>
      <x:c r="L80" s="31" t="n">
        <x:v>4.8176849667</x:v>
      </x:c>
      <x:c r="M80" s="31" t="n">
        <x:v>0</x:v>
      </x:c>
      <x:c r="N80" s="24" t="str">
        <x:v>thunnus alalunga</x:v>
      </x:c>
      <x:c r="O80" s="32" t="n">
        <x:v>4.3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Thunnus alalunga</x:v>
      </x:c>
      <x:c r="T80" s="32" t="n">
        <x:f>IF(O80="","",(1/'Metadata'!$B$5)^(O80-1))</x:f>
        <x:v>1995.2623149688789</x:v>
      </x:c>
      <x:c r="U80" s="31" t="n">
        <x:f>IF(T80="","",I80*T80)</x:f>
        <x:v>9612.545259448609</x:v>
      </x:c>
    </x:row>
    <x:row r="81" ht="18" customHeight="1">
      <x:c r="A81" s="24" t="str">
        <x:v>LME_008</x:v>
      </x:c>
      <x:c r="B81" s="24" t="str">
        <x:v>Scotian Shelf</x:v>
      </x:c>
      <x:c r="C81" s="24" t="str">
        <x:v>LME</x:v>
      </x:c>
      <x:c r="D81" s="30" t="n">
        <x:v>2019</x:v>
      </x:c>
      <x:c r="E81" s="24" t="str">
        <x:v>Strongylocentrotus</x:v>
      </x:c>
      <x:c r="F81" s="24" t="str">
        <x:v>Sickle-arched sea urchins</x:v>
      </x:c>
      <x:c r="G81" s="24" t="str">
        <x:v>Other demersal invertebrates</x:v>
      </x:c>
      <x:c r="H81" s="24" t="str">
        <x:v>Other fishes &amp; inverts</x:v>
      </x:c>
      <x:c r="I81" s="31" t="n">
        <x:v>3.4211624117</x:v>
      </x:c>
      <x:c r="J81" s="31" t="n">
        <x:v>3.4211624117</x:v>
      </x:c>
      <x:c r="K81" s="31" t="n">
        <x:v>0</x:v>
      </x:c>
      <x:c r="L81" s="31" t="n">
        <x:v>3.4211624117</x:v>
      </x:c>
      <x:c r="M81" s="31" t="n">
        <x:v>0</x:v>
      </x:c>
      <x:c r="N81" s="24" t="str">
        <x:v>strongylocentrotus</x:v>
      </x:c>
      <x:c r="O81" s="32" t="n">
        <x:v>2.1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Strongylocentrotus</x:v>
      </x:c>
      <x:c r="T81" s="32" t="n">
        <x:f>IF(O81="","",(1/'Metadata'!$B$5)^(O81-1))</x:f>
        <x:v>12.589254117941675</x:v>
      </x:c>
      <x:c r="U81" s="31" t="n">
        <x:f>IF(T81="","",I81*T81)</x:f>
        <x:v>43.0698829796415</x:v>
      </x:c>
    </x:row>
    <x:row r="82" ht="18" customHeight="1">
      <x:c r="A82" s="24" t="str">
        <x:v>LME_008</x:v>
      </x:c>
      <x:c r="B82" s="24" t="str">
        <x:v>Scotian Shelf</x:v>
      </x:c>
      <x:c r="C82" s="24" t="str">
        <x:v>LME</x:v>
      </x:c>
      <x:c r="D82" s="30" t="n">
        <x:v>2019</x:v>
      </x:c>
      <x:c r="E82" s="24" t="str">
        <x:v>Salvelinus</x:v>
      </x:c>
      <x:c r="F82" s="24" t="str">
        <x:v>Chars</x:v>
      </x:c>
      <x:c r="G82" s="24" t="str">
        <x:v>Large benthopelagics (&gt;=90 cm)</x:v>
      </x:c>
      <x:c r="H82" s="24" t="str">
        <x:v>Salmon, smelts, etc</x:v>
      </x:c>
      <x:c r="I82" s="31" t="n">
        <x:v>2.9346164929</x:v>
      </x:c>
      <x:c r="J82" s="31" t="n">
        <x:v>2.9346164929</x:v>
      </x:c>
      <x:c r="K82" s="31" t="n">
        <x:v>0</x:v>
      </x:c>
      <x:c r="L82" s="31" t="n">
        <x:v>0</x:v>
      </x:c>
      <x:c r="M82" s="31" t="n">
        <x:v>2.9346164929</x:v>
      </x:c>
      <x:c r="N82" s="24" t="str">
        <x:v>salvelinus</x:v>
      </x:c>
      <x:c r="O82" s="32" t="n">
        <x:v>4.1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Salvelinus</x:v>
      </x:c>
      <x:c r="T82" s="32" t="n">
        <x:f>IF(O82="","",(1/'Metadata'!$B$5)^(O82-1))</x:f>
        <x:v>1258.9254117941662</x:v>
      </x:c>
      <x:c r="U82" s="31" t="n">
        <x:f>IF(T82="","",I82*T82)</x:f>
        <x:v>3694.4632767820844</x:v>
      </x:c>
    </x:row>
    <x:row r="83" ht="18" customHeight="1">
      <x:c r="A83" s="24" t="str">
        <x:v>LME_008</x:v>
      </x:c>
      <x:c r="B83" s="24" t="str">
        <x:v>Scotian Shelf</x:v>
      </x:c>
      <x:c r="C83" s="24" t="str">
        <x:v>LME</x:v>
      </x:c>
      <x:c r="D83" s="30" t="n">
        <x:v>2019</x:v>
      </x:c>
      <x:c r="E83" s="24" t="str">
        <x:v>Sebastes norvegicus</x:v>
      </x:c>
      <x:c r="F83" s="24" t="str">
        <x:v>Golden redfish</x:v>
      </x:c>
      <x:c r="G83" s="24" t="str">
        <x:v>Medium benthopelagics (30 - 89 cm)</x:v>
      </x:c>
      <x:c r="H83" s="24" t="str">
        <x:v>Scorpionfishes</x:v>
      </x:c>
      <x:c r="I83" s="31" t="n">
        <x:v>2.2506524426</x:v>
      </x:c>
      <x:c r="J83" s="31" t="n">
        <x:v>0</x:v>
      </x:c>
      <x:c r="K83" s="31" t="n">
        <x:v>2.2506524426</x:v>
      </x:c>
      <x:c r="L83" s="31" t="n">
        <x:v>0</x:v>
      </x:c>
      <x:c r="M83" s="31" t="n">
        <x:v>2.2506524426</x:v>
      </x:c>
      <x:c r="N83" s="24" t="str">
        <x:v>sebastes norvegicus</x:v>
      </x:c>
      <x:c r="O83" s="32" t="n">
        <x:v>4.04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Sebastes norvegicus</x:v>
      </x:c>
      <x:c r="T83" s="32" t="n">
        <x:f>IF(O83="","",(1/'Metadata'!$B$5)^(O83-1))</x:f>
        <x:v>1096.4781961431852</x:v>
      </x:c>
      <x:c r="U83" s="31" t="n">
        <x:f>IF(T83="","",I83*T83)</x:f>
        <x:v>2467.7913304073013</x:v>
      </x:c>
    </x:row>
    <x:row r="84" ht="18" customHeight="1">
      <x:c r="A84" s="24" t="str">
        <x:v>LME_008</x:v>
      </x:c>
      <x:c r="B84" s="24" t="str">
        <x:v>Scotian Shelf</x:v>
      </x:c>
      <x:c r="C84" s="24" t="str">
        <x:v>LME</x:v>
      </x:c>
      <x:c r="D84" s="30" t="n">
        <x:v>2019</x:v>
      </x:c>
      <x:c r="E84" s="24" t="str">
        <x:v>Salvelinus alpinus</x:v>
      </x:c>
      <x:c r="F84" s="24" t="str">
        <x:v>Arctic char</x:v>
      </x:c>
      <x:c r="G84" s="24" t="str">
        <x:v>Medium benthopelagics (30 - 89 cm)</x:v>
      </x:c>
      <x:c r="H84" s="24" t="str">
        <x:v>Salmon, smelts, etc</x:v>
      </x:c>
      <x:c r="I84" s="31" t="n">
        <x:v>1.8186357545</x:v>
      </x:c>
      <x:c r="J84" s="31" t="n">
        <x:v>1.8186357545</x:v>
      </x:c>
      <x:c r="K84" s="31" t="n">
        <x:v>0</x:v>
      </x:c>
      <x:c r="L84" s="31" t="n">
        <x:v>0</x:v>
      </x:c>
      <x:c r="M84" s="31" t="n">
        <x:v>1.8186357545</x:v>
      </x:c>
      <x:c r="N84" s="24" t="str">
        <x:v>salvelinus alpinus</x:v>
      </x:c>
      <x:c r="O84" s="32" t="n">
        <x:v>4.39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Salvelinus alpinus</x:v>
      </x:c>
      <x:c r="T84" s="32" t="n">
        <x:f>IF(O84="","",(1/'Metadata'!$B$5)^(O84-1))</x:f>
        <x:v>2454.7089156850284</x:v>
      </x:c>
      <x:c r="U84" s="31" t="n">
        <x:f>IF(T84="","",I84*T84)</x:f>
        <x:v>4464.221400954719</x:v>
      </x:c>
    </x:row>
    <x:row r="85" ht="18" customHeight="1">
      <x:c r="A85" s="24" t="str">
        <x:v>LME_008</x:v>
      </x:c>
      <x:c r="B85" s="24" t="str">
        <x:v>Scotian Shelf</x:v>
      </x:c>
      <x:c r="C85" s="24" t="str">
        <x:v>LME</x:v>
      </x:c>
      <x:c r="D85" s="30" t="n">
        <x:v>2019</x:v>
      </x:c>
      <x:c r="E85" s="24" t="str">
        <x:v>Prionace glauca</x:v>
      </x:c>
      <x:c r="F85" s="24" t="str">
        <x:v>Blue shark</x:v>
      </x:c>
      <x:c r="G85" s="24" t="str">
        <x:v>Large sharks (&gt;=90 cm)</x:v>
      </x:c>
      <x:c r="H85" s="24" t="str">
        <x:v>Sharks &amp; rays</x:v>
      </x:c>
      <x:c r="I85" s="31" t="n">
        <x:v>1.2882076341</x:v>
      </x:c>
      <x:c r="J85" s="31" t="n">
        <x:v>0.8946982353999999</x:v>
      </x:c>
      <x:c r="K85" s="31" t="n">
        <x:v>0.3935093987</x:v>
      </x:c>
      <x:c r="L85" s="31" t="n">
        <x:v>0.8594962791999999</x:v>
      </x:c>
      <x:c r="M85" s="31" t="n">
        <x:v>0.4287113549</x:v>
      </x:c>
      <x:c r="N85" s="24" t="str">
        <x:v>prionace glauca</x:v>
      </x:c>
      <x:c r="O85" s="32" t="n">
        <x:v>4.35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Prionace glauca</x:v>
      </x:c>
      <x:c r="T85" s="32" t="n">
        <x:f>IF(O85="","",(1/'Metadata'!$B$5)^(O85-1))</x:f>
        <x:v>2238.7211385683377</x:v>
      </x:c>
      <x:c r="U85" s="31" t="n">
        <x:f>IF(T85="","",I85*T85)</x:f>
        <x:v>2883.9376613247764</x:v>
      </x:c>
    </x:row>
    <x:row r="86" ht="18" customHeight="1">
      <x:c r="A86" s="24" t="str">
        <x:v>LME_008</x:v>
      </x:c>
      <x:c r="B86" s="24" t="str">
        <x:v>Scotian Shelf</x:v>
      </x:c>
      <x:c r="C86" s="24" t="str">
        <x:v>LME</x:v>
      </x:c>
      <x:c r="D86" s="30" t="n">
        <x:v>2019</x:v>
      </x:c>
      <x:c r="E86" s="24" t="str">
        <x:v>Morone americana</x:v>
      </x:c>
      <x:c r="F86" s="24" t="str">
        <x:v>White perch</x:v>
      </x:c>
      <x:c r="G86" s="24" t="str">
        <x:v>Medium demersals (30 - 89 cm)</x:v>
      </x:c>
      <x:c r="H86" s="24" t="str">
        <x:v>Perch-likes</x:v>
      </x:c>
      <x:c r="I86" s="31" t="n">
        <x:v>0.9339606405</x:v>
      </x:c>
      <x:c r="J86" s="31" t="n">
        <x:v>0.9339606405</x:v>
      </x:c>
      <x:c r="K86" s="31" t="n">
        <x:v>0</x:v>
      </x:c>
      <x:c r="L86" s="31" t="n">
        <x:v>0</x:v>
      </x:c>
      <x:c r="M86" s="31" t="n">
        <x:v>0.9339606405</x:v>
      </x:c>
      <x:c r="N86" s="24" t="str">
        <x:v>morone americana</x:v>
      </x:c>
      <x:c r="O86" s="32" t="n">
        <x:v>3.14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Morone americana</x:v>
      </x:c>
      <x:c r="T86" s="32" t="n">
        <x:f>IF(O86="","",(1/'Metadata'!$B$5)^(O86-1))</x:f>
        <x:v>138.03842646028852</x:v>
      </x:c>
      <x:c r="U86" s="31" t="n">
        <x:f>IF(T86="","",I86*T86)</x:f>
        <x:v>128.92245719046323</x:v>
      </x:c>
    </x:row>
    <x:row r="87" ht="18" customHeight="1">
      <x:c r="A87" s="24" t="str">
        <x:v>LME_008</x:v>
      </x:c>
      <x:c r="B87" s="24" t="str">
        <x:v>Scotian Shelf</x:v>
      </x:c>
      <x:c r="C87" s="24" t="str">
        <x:v>LME</x:v>
      </x:c>
      <x:c r="D87" s="30" t="n">
        <x:v>2019</x:v>
      </x:c>
      <x:c r="E87" s="24" t="str">
        <x:v>Thunnus albacares</x:v>
      </x:c>
      <x:c r="F87" s="24" t="str">
        <x:v>Yellowfin tuna</x:v>
      </x:c>
      <x:c r="G87" s="24" t="str">
        <x:v>Large pelagics (&gt;=90 cm)</x:v>
      </x:c>
      <x:c r="H87" s="24" t="str">
        <x:v>Tuna &amp; billfishes</x:v>
      </x:c>
      <x:c r="I87" s="31" t="n">
        <x:v>0.8811735722</x:v>
      </x:c>
      <x:c r="J87" s="31" t="n">
        <x:v>0.8811735722</x:v>
      </x:c>
      <x:c r="K87" s="31" t="n">
        <x:v>0</x:v>
      </x:c>
      <x:c r="L87" s="31" t="n">
        <x:v>0.8811735722</x:v>
      </x:c>
      <x:c r="M87" s="31" t="n">
        <x:v>0</x:v>
      </x:c>
      <x:c r="N87" s="24" t="str">
        <x:v>thunnus albacares</x:v>
      </x:c>
      <x:c r="O87" s="32" t="n">
        <x:v>4.41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albacares</x:v>
      </x:c>
      <x:c r="T87" s="32" t="n">
        <x:f>IF(O87="","",(1/'Metadata'!$B$5)^(O87-1))</x:f>
        <x:v>2570.3957827688646</x:v>
      </x:c>
      <x:c r="U87" s="31" t="n">
        <x:f>IF(T87="","",I87*T87)</x:f>
        <x:v>2264.964833870256</x:v>
      </x:c>
    </x:row>
    <x:row r="88" ht="18" customHeight="1">
      <x:c r="A88" s="24" t="str">
        <x:v>LME_008</x:v>
      </x:c>
      <x:c r="B88" s="24" t="str">
        <x:v>Scotian Shelf</x:v>
      </x:c>
      <x:c r="C88" s="24" t="str">
        <x:v>LME</x:v>
      </x:c>
      <x:c r="D88" s="30" t="n">
        <x:v>2019</x:v>
      </x:c>
      <x:c r="E88" s="24" t="str">
        <x:v>Marine pelagic fishes not identified</x:v>
      </x:c>
      <x:c r="F88" s="24" t="str">
        <x:v>Pelagic fishes</x:v>
      </x:c>
      <x:c r="G88" s="24" t="str">
        <x:v>Medium pelagics (30 - 89 cm)</x:v>
      </x:c>
      <x:c r="H88" s="24" t="str">
        <x:v>Other fishes &amp; inverts</x:v>
      </x:c>
      <x:c r="I88" s="31" t="n">
        <x:v>0.8116393674</x:v>
      </x:c>
      <x:c r="J88" s="31" t="n">
        <x:v>0.8116393674</x:v>
      </x:c>
      <x:c r="K88" s="31" t="n">
        <x:v>0</x:v>
      </x:c>
      <x:c r="L88" s="31" t="n">
        <x:v>0.8116393674</x:v>
      </x:c>
      <x:c r="M88" s="31" t="n">
        <x:v>0</x:v>
      </x:c>
      <x:c r="N88" s="24" t="str">
        <x:v>marine pelagic fishes not identified</x:v>
      </x:c>
      <x:c r="O88" s="32" t="n">
        <x:v>3.35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Marine pelagic fishes not identified</x:v>
      </x:c>
      <x:c r="T88" s="32" t="n">
        <x:f>IF(O88="","",(1/'Metadata'!$B$5)^(O88-1))</x:f>
        <x:v>223.872113856834</x:v>
      </x:c>
      <x:c r="U88" s="31" t="n">
        <x:f>IF(T88="","",I88*T88)</x:f>
        <x:v>181.70342086926152</x:v>
      </x:c>
    </x:row>
    <x:row r="89" ht="18" customHeight="1">
      <x:c r="A89" s="24" t="str">
        <x:v>LME_008</x:v>
      </x:c>
      <x:c r="B89" s="24" t="str">
        <x:v>Scotian Shelf</x:v>
      </x:c>
      <x:c r="C89" s="24" t="str">
        <x:v>LME</x:v>
      </x:c>
      <x:c r="D89" s="30" t="n">
        <x:v>2019</x:v>
      </x:c>
      <x:c r="E89" s="24" t="str">
        <x:v>Scombridae</x:v>
      </x:c>
      <x:c r="F89" s="24" t="str">
        <x:v>Mackerels, tunas, bonitos</x:v>
      </x:c>
      <x:c r="G89" s="24" t="str">
        <x:v>Medium pelagics (30 - 89 cm)</x:v>
      </x:c>
      <x:c r="H89" s="24" t="str">
        <x:v>Perch-likes</x:v>
      </x:c>
      <x:c r="I89" s="31" t="n">
        <x:v>0.5927426759</x:v>
      </x:c>
      <x:c r="J89" s="31" t="n">
        <x:v>0.5927426759</x:v>
      </x:c>
      <x:c r="K89" s="31" t="n">
        <x:v>0</x:v>
      </x:c>
      <x:c r="L89" s="31" t="n">
        <x:v>0</x:v>
      </x:c>
      <x:c r="M89" s="31" t="n">
        <x:v>0.5927426759</x:v>
      </x:c>
      <x:c r="N89" s="24" t="str">
        <x:v>scombridae</x:v>
      </x:c>
      <x:c r="O89" s="32" t="n">
        <x:v>4.26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Scombridae</x:v>
      </x:c>
      <x:c r="T89" s="32" t="n">
        <x:f>IF(O89="","",(1/'Metadata'!$B$5)^(O89-1))</x:f>
        <x:v>1819.7008586099826</x:v>
      </x:c>
      <x:c r="U89" s="31" t="n">
        <x:f>IF(T89="","",I89*T89)</x:f>
        <x:v>1078.6143562700086</x:v>
      </x:c>
    </x:row>
    <x:row r="90" ht="18" customHeight="1">
      <x:c r="A90" s="24" t="str">
        <x:v>LME_008</x:v>
      </x:c>
      <x:c r="B90" s="24" t="str">
        <x:v>Scotian Shelf</x:v>
      </x:c>
      <x:c r="C90" s="24" t="str">
        <x:v>LME</x:v>
      </x:c>
      <x:c r="D90" s="30" t="n">
        <x:v>2019</x:v>
      </x:c>
      <x:c r="E90" s="24" t="str">
        <x:v>Clupeidae</x:v>
      </x:c>
      <x:c r="F90" s="24" t="str">
        <x:v>Herrings, sardines, menhadens</x:v>
      </x:c>
      <x:c r="G90" s="24" t="str">
        <x:v>Small pelagics (&lt;30 cm)</x:v>
      </x:c>
      <x:c r="H90" s="24" t="str">
        <x:v>Herring-likes</x:v>
      </x:c>
      <x:c r="I90" s="31" t="n">
        <x:v>0.5501976575</x:v>
      </x:c>
      <x:c r="J90" s="31" t="n">
        <x:v>0.5501976575</x:v>
      </x:c>
      <x:c r="K90" s="31" t="n">
        <x:v>0</x:v>
      </x:c>
      <x:c r="L90" s="31" t="n">
        <x:v>0</x:v>
      </x:c>
      <x:c r="M90" s="31" t="n">
        <x:v>0.5501976575</x:v>
      </x:c>
      <x:c r="N90" s="24" t="str">
        <x:v>clupeidae</x:v>
      </x:c>
      <x:c r="O90" s="32" t="n">
        <x:v>3.16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Clupeidae</x:v>
      </x:c>
      <x:c r="T90" s="32" t="n">
        <x:f>IF(O90="","",(1/'Metadata'!$B$5)^(O90-1))</x:f>
        <x:v>144.5439770745928</x:v>
      </x:c>
      <x:c r="U90" s="31" t="n">
        <x:f>IF(T90="","",I90*T90)</x:f>
        <x:v>79.52775759217467</x:v>
      </x:c>
    </x:row>
    <x:row r="91" ht="18" customHeight="1">
      <x:c r="A91" s="24" t="str">
        <x:v>LME_008</x:v>
      </x:c>
      <x:c r="B91" s="24" t="str">
        <x:v>Scotian Shelf</x:v>
      </x:c>
      <x:c r="C91" s="24" t="str">
        <x:v>LME</x:v>
      </x:c>
      <x:c r="D91" s="30" t="n">
        <x:v>2019</x:v>
      </x:c>
      <x:c r="E91" s="24" t="str">
        <x:v>Kajikia albida</x:v>
      </x:c>
      <x:c r="F91" s="24" t="str">
        <x:v>Atlantic white marlin</x:v>
      </x:c>
      <x:c r="G91" s="24" t="str">
        <x:v>Large pelagics (&gt;=90 cm)</x:v>
      </x:c>
      <x:c r="H91" s="24" t="str">
        <x:v>Tuna &amp; billfishes</x:v>
      </x:c>
      <x:c r="I91" s="31" t="n">
        <x:v>0.1525327022</x:v>
      </x:c>
      <x:c r="J91" s="31" t="n">
        <x:v>0.1525327022</x:v>
      </x:c>
      <x:c r="K91" s="31" t="n">
        <x:v>0</x:v>
      </x:c>
      <x:c r="L91" s="31" t="n">
        <x:v>0.1525327022</x:v>
      </x:c>
      <x:c r="M91" s="31" t="n">
        <x:v>0</x:v>
      </x:c>
      <x:c r="N91" s="24" t="str">
        <x:v>kajikia albida</x:v>
      </x:c>
      <x:c r="O91" s="32" t="n">
        <x:v>4.49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Kajikia albida</x:v>
      </x:c>
      <x:c r="T91" s="32" t="n">
        <x:f>IF(O91="","",(1/'Metadata'!$B$5)^(O91-1))</x:f>
        <x:v>3090.295432513592</x:v>
      </x:c>
      <x:c r="U91" s="31" t="n">
        <x:f>IF(T91="","",I91*T91)</x:f>
        <x:v>471.37111291761596</x:v>
      </x:c>
    </x:row>
    <x:row r="92" ht="18" customHeight="1">
      <x:c r="A92" s="24" t="str">
        <x:v>LME_008</x:v>
      </x:c>
      <x:c r="B92" s="24" t="str">
        <x:v>Scotian Shelf</x:v>
      </x:c>
      <x:c r="C92" s="24" t="str">
        <x:v>LME</x:v>
      </x:c>
      <x:c r="D92" s="30" t="n">
        <x:v>2019</x:v>
      </x:c>
      <x:c r="E92" s="24" t="str">
        <x:v>Sphyraena barracuda</x:v>
      </x:c>
      <x:c r="F92" s="24" t="str">
        <x:v>Great barracuda</x:v>
      </x:c>
      <x:c r="G92" s="24" t="str">
        <x:v>Large pelagics (&gt;=90 cm)</x:v>
      </x:c>
      <x:c r="H92" s="24" t="str">
        <x:v>Perch-likes</x:v>
      </x:c>
      <x:c r="I92" s="31" t="n">
        <x:v>0.0211275612</x:v>
      </x:c>
      <x:c r="J92" s="31" t="n">
        <x:v>0</x:v>
      </x:c>
      <x:c r="K92" s="31" t="n">
        <x:v>0.0211275612</x:v>
      </x:c>
      <x:c r="L92" s="31" t="n">
        <x:v>0</x:v>
      </x:c>
      <x:c r="M92" s="31" t="n">
        <x:v>0.0211275612</x:v>
      </x:c>
      <x:c r="N92" s="24" t="str">
        <x:v>sphyraena barracuda</x:v>
      </x:c>
      <x:c r="O92" s="32" t="n">
        <x:v>4.49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Sphyraena barracuda</x:v>
      </x:c>
      <x:c r="T92" s="32" t="n">
        <x:f>IF(O92="","",(1/'Metadata'!$B$5)^(O92-1))</x:f>
        <x:v>3090.295432513592</x:v>
      </x:c>
      <x:c r="U92" s="31" t="n">
        <x:f>IF(T92="","",I92*T92)</x:f>
        <x:v>65.29040587651139</x:v>
      </x:c>
    </x:row>
    <x:row r="93" ht="18" customHeight="1">
      <x:c r="A93" s="24" t="str">
        <x:v>LME_008</x:v>
      </x:c>
      <x:c r="B93" s="24" t="str">
        <x:v>Scotian Shelf</x:v>
      </x:c>
      <x:c r="C93" s="24" t="str">
        <x:v>LME</x:v>
      </x:c>
      <x:c r="D93" s="30" t="n">
        <x:v>2019</x:v>
      </x:c>
      <x:c r="E93" s="24" t="str">
        <x:v>Isurus paucus</x:v>
      </x:c>
      <x:c r="F93" s="24" t="str">
        <x:v>Longfin mako</x:v>
      </x:c>
      <x:c r="G93" s="24" t="str">
        <x:v>Large sharks (&gt;=90 cm)</x:v>
      </x:c>
      <x:c r="H93" s="24" t="str">
        <x:v>Sharks &amp; rays</x:v>
      </x:c>
      <x:c r="I93" s="31" t="n">
        <x:v>0.0022184378999999996</x:v>
      </x:c>
      <x:c r="J93" s="31" t="n">
        <x:v>0.0022184378999999996</x:v>
      </x:c>
      <x:c r="K93" s="31" t="n">
        <x:v>0</x:v>
      </x:c>
      <x:c r="L93" s="31" t="n">
        <x:v>0.0020682898</x:v>
      </x:c>
      <x:c r="M93" s="31" t="n">
        <x:v>0.0001501481</x:v>
      </x:c>
      <x:c r="N93" s="24" t="str">
        <x:v>isurus paucus</x:v>
      </x:c>
      <x:c r="O93" s="32" t="n">
        <x:v>4.51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Isurus paucus</x:v>
      </x:c>
      <x:c r="T93" s="32" t="n">
        <x:f>IF(O93="","",(1/'Metadata'!$B$5)^(O93-1))</x:f>
        <x:v>3235.936569296281</x:v>
      </x:c>
      <x:c r="U93" s="31" t="n">
        <x:f>IF(T93="","",I93*T93)</x:f>
        <x:v>7.178724327322845</x:v>
      </x:c>
    </x:row>
  </x:sheetData>
  <x:conditionalFormatting sqref="R2:R9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e638651b18b43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14292.4020565726</x:v>
      </x:c>
      <x:c r="C2" s="32" t="n">
        <x:v>4.218816155274312</x:v>
      </x:c>
      <x:c r="D2" s="32" t="n">
        <x:f>IF(C2="","",(1/'Metadata'!$B$5)^(C2-1))</x:f>
        <x:v>1655.0691943680963</x:v>
      </x:c>
      <x:c r="E2" s="31" t="n">
        <x:f>IF(B2=0,"",B2*D2)</x:f>
        <x:v>23654914.357356537</x:v>
      </x:c>
    </x:row>
    <x:row r="3" ht="18" customHeight="1">
      <x:c r="A3" s="24" t="str">
        <x:v>Crustaceans</x:v>
      </x:c>
      <x:c r="B3" s="31" t="n">
        <x:v>47374.38401841311</x:v>
      </x:c>
      <x:c r="C3" s="32" t="n">
        <x:v>3.5902348855775528</x:v>
      </x:c>
      <x:c r="D3" s="32" t="n">
        <x:f>IF(C3="","",(1/'Metadata'!$B$5)^(C3-1))</x:f>
        <x:v>389.25561464862795</x:v>
      </x:c>
      <x:c r="E3" s="31" t="n">
        <x:f>IF(B3=0,"",B3*D3)</x:f>
        <x:v>18440744.969687533</x:v>
      </x:c>
    </x:row>
    <x:row r="4" ht="18" customHeight="1">
      <x:c r="A4" s="24" t="str">
        <x:v>Flatfishes</x:v>
      </x:c>
      <x:c r="B4" s="31" t="n">
        <x:v>6848.612356211201</x:v>
      </x:c>
      <x:c r="C4" s="32" t="n">
        <x:v>3.791091769177757</x:v>
      </x:c>
      <x:c r="D4" s="32" t="n">
        <x:f>IF(C4="","",(1/'Metadata'!$B$5)^(C4-1))</x:f>
        <x:v>618.1470047207234</x:v>
      </x:c>
      <x:c r="E4" s="31" t="n">
        <x:f>IF(B4=0,"",B4*D4)</x:f>
        <x:v>4233449.2144852895</x:v>
      </x:c>
    </x:row>
    <x:row r="5" ht="18" customHeight="1">
      <x:c r="A5" s="24" t="str">
        <x:v>Herring-likes</x:v>
      </x:c>
      <x:c r="B5" s="31" t="n">
        <x:v>39258.0915846662</x:v>
      </x:c>
      <x:c r="C5" s="32" t="n">
        <x:v>3.380317089497164</x:v>
      </x:c>
      <x:c r="D5" s="32" t="n">
        <x:f>IF(C5="","",(1/'Metadata'!$B$5)^(C5-1))</x:f>
        <x:v>240.05850077667503</x:v>
      </x:c>
      <x:c r="E5" s="31" t="n">
        <x:f>IF(B5=0,"",B5*D5)</x:f>
        <x:v>9424238.609168371</x:v>
      </x:c>
    </x:row>
    <x:row r="6" ht="18" customHeight="1">
      <x:c r="A6" s="24" t="str">
        <x:v>Molluscs</x:v>
      </x:c>
      <x:c r="B6" s="31" t="n">
        <x:v>24583.8157469929</x:v>
      </x:c>
      <x:c r="C6" s="32" t="n">
        <x:v>2.1294966374448223</x:v>
      </x:c>
      <x:c r="D6" s="32" t="n">
        <x:f>IF(C6="","",(1/'Metadata'!$B$5)^(C6-1))</x:f>
        <x:v>13.474002929637047</x:v>
      </x:c>
      <x:c r="E6" s="31" t="n">
        <x:f>IF(B6=0,"",B6*D6)</x:f>
        <x:v>331242.4053966397</x:v>
      </x:c>
    </x:row>
    <x:row r="7" ht="18" customHeight="1">
      <x:c r="A7" s="24" t="str">
        <x:v>Other fishes &amp; inverts</x:v>
      </x:c>
      <x:c r="B7" s="31" t="n">
        <x:v>6875.2066360481</x:v>
      </x:c>
      <x:c r="C7" s="32" t="n">
        <x:v>3.3240249117617378</x:v>
      </x:c>
      <x:c r="D7" s="32" t="n">
        <x:f>IF(C7="","",(1/'Metadata'!$B$5)^(C7-1))</x:f>
        <x:v>210.87491073731618</x:v>
      </x:c>
      <x:c r="E7" s="31" t="n">
        <x:f>IF(B7=0,"",B7*D7)</x:f>
        <x:v>1449808.585677247</x:v>
      </x:c>
    </x:row>
    <x:row r="8" ht="18" customHeight="1">
      <x:c r="A8" s="24" t="str">
        <x:v>Perch-likes</x:v>
      </x:c>
      <x:c r="B8" s="31" t="n">
        <x:v>3809.6786226971</x:v>
      </x:c>
      <x:c r="C8" s="32" t="n">
        <x:v>3.737245092858726</x:v>
      </x:c>
      <x:c r="D8" s="32" t="n">
        <x:f>IF(C8="","",(1/'Metadata'!$B$5)^(C8-1))</x:f>
        <x:v>546.065944916749</x:v>
      </x:c>
      <x:c r="E8" s="31" t="n">
        <x:f>IF(B8=0,"",B8*D8)</x:f>
        <x:v>2080335.7569322307</x:v>
      </x:c>
    </x:row>
    <x:row r="9" ht="18" customHeight="1">
      <x:c r="A9" s="24" t="str">
        <x:v>Salmon, smelts, etc</x:v>
      </x:c>
      <x:c r="B9" s="31" t="n">
        <x:v>1578.4018091099</x:v>
      </x:c>
      <x:c r="C9" s="32" t="n">
        <x:v>3.7042032207686812</x:v>
      </x:c>
      <x:c r="D9" s="32" t="n">
        <x:f>IF(C9="","",(1/'Metadata'!$B$5)^(C9-1))</x:f>
        <x:v>506.0614094982871</x:v>
      </x:c>
      <x:c r="E9" s="31" t="n">
        <x:f>IF(B9=0,"",B9*D9)</x:f>
        <x:v>798768.2442728023</x:v>
      </x:c>
    </x:row>
    <x:row r="10" ht="18" customHeight="1">
      <x:c r="A10" s="24" t="str">
        <x:v>Scorpionfishes</x:v>
      </x:c>
      <x:c r="B10" s="31" t="n">
        <x:v>2541.7667255396</x:v>
      </x:c>
      <x:c r="C10" s="32" t="n">
        <x:v>3.7954089261652832</x:v>
      </x:c>
      <x:c r="D10" s="32" t="n">
        <x:f>IF(C10="","",(1/'Metadata'!$B$5)^(C10-1))</x:f>
        <x:v>624.3224128615698</x:v>
      </x:c>
      <x:c r="E10" s="31" t="n">
        <x:f>IF(B10=0,"",B10*D10)</x:f>
        <x:v>1586881.9350201346</x:v>
      </x:c>
    </x:row>
    <x:row r="11" ht="18" customHeight="1">
      <x:c r="A11" s="24" t="str">
        <x:v>Sharks &amp; rays</x:v>
      </x:c>
      <x:c r="B11" s="31" t="n">
        <x:v>715.6396049350999</x:v>
      </x:c>
      <x:c r="C11" s="32" t="n">
        <x:v>3.966630203046906</x:v>
      </x:c>
      <x:c r="D11" s="32" t="n">
        <x:f>IF(C11="","",(1/'Metadata'!$B$5)^(C11-1))</x:f>
        <x:v>926.0409739206624</x:v>
      </x:c>
      <x:c r="E11" s="31" t="n">
        <x:f>IF(B11=0,"",B11*D11)</x:f>
        <x:v>662711.596730298</x:v>
      </x:c>
    </x:row>
    <x:row r="12" ht="18" customHeight="1">
      <x:c r="A12" s="24" t="str">
        <x:v>Tuna &amp; billfishes</x:v>
      </x:c>
      <x:c r="B12" s="31" t="n">
        <x:v>802.2615696214</x:v>
      </x:c>
      <x:c r="C12" s="32" t="n">
        <x:v>4.363988505706929</x:v>
      </x:c>
      <x:c r="D12" s="32" t="n">
        <x:f>IF(C12="","",(1/'Metadata'!$B$5)^(C12-1))</x:f>
        <x:v>2312.0035985194113</x:v>
      </x:c>
      <x:c r="E12" s="31" t="n">
        <x:f>IF(B12=0,"",B12*D12)</x:f>
        <x:v>1854831.635918508</x:v>
      </x:c>
    </x:row>
  </x:sheetData>
  <x:pageMargins left="0.7" right="0.7" top="0.75" bottom="0.75" header="0.3" footer="0.3"/>
  <x:tableParts count="1">
    <x:tablePart xmlns:r="http://schemas.openxmlformats.org/officeDocument/2006/relationships" r:id="R3f13015883ec49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71.0488776626</x:v>
      </x:c>
      <x:c r="C2" s="32" t="n">
        <x:v>3.958819357725236</x:v>
      </x:c>
      <x:c r="D2" s="32" t="n">
        <x:f>IF(C2="","",(1/'Metadata'!$B$5)^(C2-1))</x:f>
        <x:v>909.5348781767223</x:v>
      </x:c>
      <x:c r="E2" s="31" t="n">
        <x:f>IF(B2=0,"",B2*D2)</x:f>
        <x:v>64621.43228944574</x:v>
      </x:c>
    </x:row>
    <x:row r="3" ht="18" customHeight="1">
      <x:c r="A3" s="24" t="str">
        <x:v>Jellyfish</x:v>
      </x:c>
      <x:c r="B3" s="31" t="n">
        <x:v>25.3455157838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7309.726598347182</x:v>
      </x:c>
    </x:row>
    <x:row r="4" ht="18" customHeight="1">
      <x:c r="A4" s="24" t="str">
        <x:v>Large bathypelagics (&gt;=90 cm)</x:v>
      </x:c>
      <x:c r="B4" s="31" t="n">
        <x:v>103.8183680719</x:v>
      </x:c>
      <x:c r="C4" s="32" t="n">
        <x:v>3.97</x:v>
      </x:c>
      <x:c r="D4" s="32" t="n">
        <x:f>IF(C4="","",(1/'Metadata'!$B$5)^(C4-1))</x:f>
        <x:v>933.2543007969915</x:v>
      </x:c>
      <x:c r="E4" s="31" t="n">
        <x:f>IF(B4=0,"",B4*D4)</x:f>
        <x:v>96888.93850482574</x:v>
      </x:c>
    </x:row>
    <x:row r="5" ht="18" customHeight="1">
      <x:c r="A5" s="24" t="str">
        <x:v>Large benthopelagics (&gt;=90 cm)</x:v>
      </x:c>
      <x:c r="B5" s="31" t="n">
        <x:v>4421.1330587985</x:v>
      </x:c>
      <x:c r="C5" s="32" t="n">
        <x:v>4.119694969970281</x:v>
      </x:c>
      <x:c r="D5" s="32" t="n">
        <x:f>IF(C5="","",(1/'Metadata'!$B$5)^(C5-1))</x:f>
        <x:v>1317.3311759941905</x:v>
      </x:c>
      <x:c r="E5" s="31" t="n">
        <x:f>IF(B5=0,"",B5*D5)</x:f>
        <x:v>5824096.411573821</x:v>
      </x:c>
    </x:row>
    <x:row r="6" ht="18" customHeight="1">
      <x:c r="A6" s="24" t="str">
        <x:v>Large demersals (&gt;=90 cm)</x:v>
      </x:c>
      <x:c r="B6" s="31" t="n">
        <x:v>1595.504206534</x:v>
      </x:c>
      <x:c r="C6" s="32" t="n">
        <x:v>4.122088698860845</x:v>
      </x:c>
      <x:c r="D6" s="32" t="n">
        <x:f>IF(C6="","",(1/'Metadata'!$B$5)^(C6-1))</x:f>
        <x:v>1324.6120419288013</x:v>
      </x:c>
      <x:c r="E6" s="31" t="n">
        <x:f>IF(B6=0,"",B6*D6)</x:f>
        <x:v>2113424.084922994</x:v>
      </x:c>
    </x:row>
    <x:row r="7" ht="18" customHeight="1">
      <x:c r="A7" s="24" t="str">
        <x:v>Large flatfishes (&gt;=90 cm)</x:v>
      </x:c>
      <x:c r="B7" s="31" t="n">
        <x:v>3289.6729950748</x:v>
      </x:c>
      <x:c r="C7" s="32" t="n">
        <x:v>4</x:v>
      </x:c>
      <x:c r="D7" s="32" t="n">
        <x:f>IF(C7="","",(1/'Metadata'!$B$5)^(C7-1))</x:f>
        <x:v>1000</x:v>
      </x:c>
      <x:c r="E7" s="31" t="n">
        <x:f>IF(B7=0,"",B7*D7)</x:f>
        <x:v>3289672.9950747998</x:v>
      </x:c>
    </x:row>
    <x:row r="8" ht="18" customHeight="1">
      <x:c r="A8" s="24" t="str">
        <x:v>Large pelagics (&gt;=90 cm)</x:v>
      </x:c>
      <x:c r="B8" s="31" t="n">
        <x:v>802.2826971826</x:v>
      </x:c>
      <x:c r="C8" s="32" t="n">
        <x:v>4.363991824132674</x:v>
      </x:c>
      <x:c r="D8" s="32" t="n">
        <x:f>IF(C8="","",(1/'Metadata'!$B$5)^(C8-1))</x:f>
        <x:v>2312.021264508492</x:v>
      </x:c>
      <x:c r="E8" s="31" t="n">
        <x:f>IF(B8=0,"",B8*D8)</x:f>
        <x:v>1854894.6560333986</x:v>
      </x:c>
    </x:row>
    <x:row r="9" ht="18" customHeight="1">
      <x:c r="A9" s="24" t="str">
        <x:v>Large rays (&gt;=90 cm)</x:v>
      </x:c>
      <x:c r="B9" s="31" t="n">
        <x:v>362.1165945089</x:v>
      </x:c>
      <x:c r="C9" s="32" t="n">
        <x:v>3.8199999999999994</x:v>
      </x:c>
      <x:c r="D9" s="32" t="n">
        <x:f>IF(C9="","",(1/'Metadata'!$B$5)^(C9-1))</x:f>
        <x:v>660.6934480075951</x:v>
      </x:c>
      <x:c r="E9" s="31" t="n">
        <x:f>IF(B9=0,"",B9*D9)</x:f>
        <x:v>239248.0614068533</x:v>
      </x:c>
    </x:row>
    <x:row r="10" ht="18" customHeight="1">
      <x:c r="A10" s="24" t="str">
        <x:v>Large reef assoc. fish (&gt;=90 cm)</x:v>
      </x:c>
      <x:c r="B10" s="31" t="n">
        <x:v>2135.5358299666004</x:v>
      </x:c>
      <x:c r="C10" s="32" t="n">
        <x:v>3.76928419961511</x:v>
      </x:c>
      <x:c r="D10" s="32" t="n">
        <x:f>IF(C10="","",(1/'Metadata'!$B$5)^(C10-1))</x:f>
        <x:v>587.8739277360766</x:v>
      </x:c>
      <x:c r="E10" s="31" t="n">
        <x:f>IF(B10=0,"",B10*D10)</x:f>
        <x:v>1255425.8361835876</x:v>
      </x:c>
    </x:row>
    <x:row r="11" ht="18" customHeight="1">
      <x:c r="A11" s="24" t="str">
        <x:v>Large sharks (&gt;=90 cm)</x:v>
      </x:c>
      <x:c r="B11" s="31" t="n">
        <x:v>291.2502962491</x:v>
      </x:c>
      <x:c r="C11" s="32" t="n">
        <x:v>4.176013118722517</x:v>
      </x:c>
      <x:c r="D11" s="32" t="n">
        <x:f>IF(C11="","",(1/'Metadata'!$B$5)^(C11-1))</x:f>
        <x:v>1499.7301371287779</x:v>
      </x:c>
      <x:c r="E11" s="31" t="n">
        <x:f>IF(B11=0,"",B11*D11)</x:f>
        <x:v>436796.84673245996</x:v>
      </x:c>
    </x:row>
    <x:row r="12" ht="18" customHeight="1">
      <x:c r="A12" s="24" t="str">
        <x:v>Lobsters, crabs</x:v>
      </x:c>
      <x:c r="B12" s="31" t="n">
        <x:v>44781.415995160605</x:v>
      </x:c>
      <x:c r="C12" s="32" t="n">
        <x:v>3.647461863790861</x:v>
      </x:c>
      <x:c r="D12" s="32" t="n">
        <x:f>IF(C12="","",(1/'Metadata'!$B$5)^(C12-1))</x:f>
        <x:v>444.0806641013372</x:v>
      </x:c>
      <x:c r="E12" s="31" t="n">
        <x:f>IF(B12=0,"",B12*D12)</x:f>
        <x:v>19886560.954529166</x:v>
      </x:c>
    </x:row>
    <x:row r="13" ht="18" customHeight="1">
      <x:c r="A13" s="24" t="str">
        <x:v>Medium bathydemersals (30 - 89 cm)</x:v>
      </x:c>
      <x:c r="B13" s="31" t="n">
        <x:v>187.4280566732</x:v>
      </x:c>
      <x:c r="C13" s="32" t="n">
        <x:v>3.662136373879024</x:v>
      </x:c>
      <x:c r="D13" s="32" t="n">
        <x:f>IF(C13="","",(1/'Metadata'!$B$5)^(C13-1))</x:f>
        <x:v>459.3422293766368</x:v>
      </x:c>
      <x:c r="E13" s="31" t="n">
        <x:f>IF(B13=0,"",B13*D13)</x:f>
        <x:v>86093.62139999832</x:v>
      </x:c>
    </x:row>
    <x:row r="14" ht="18" customHeight="1">
      <x:c r="A14" s="24" t="str">
        <x:v>Medium benthopelagics (30 - 89 cm)</x:v>
      </x:c>
      <x:c r="B14" s="31" t="n">
        <x:v>211.149804848</x:v>
      </x:c>
      <x:c r="C14" s="32" t="n">
        <x:v>3.895905360625541</x:v>
      </x:c>
      <x:c r="D14" s="32" t="n">
        <x:f>IF(C14="","",(1/'Metadata'!$B$5)^(C14-1))</x:f>
        <x:v>786.8742991302028</x:v>
      </x:c>
      <x:c r="E14" s="31" t="n">
        <x:f>IF(B14=0,"",B14*D14)</x:f>
        <x:v>166148.3547012491</x:v>
      </x:c>
    </x:row>
    <x:row r="15" ht="18" customHeight="1">
      <x:c r="A15" s="24" t="str">
        <x:v>Medium demersals (30 - 89 cm)</x:v>
      </x:c>
      <x:c r="B15" s="31" t="n">
        <x:v>15734.600353893</x:v>
      </x:c>
      <x:c r="C15" s="32" t="n">
        <x:v>3.942037429750279</x:v>
      </x:c>
      <x:c r="D15" s="32" t="n">
        <x:f>IF(C15="","",(1/'Metadata'!$B$5)^(C15-1))</x:f>
        <x:v>875.0591891157327</x:v>
      </x:c>
      <x:c r="E15" s="31" t="n">
        <x:f>IF(B15=0,"",B15*D15)</x:f>
        <x:v>13768706.626737729</x:v>
      </x:c>
    </x:row>
    <x:row r="16" ht="18" customHeight="1">
      <x:c r="A16" s="24" t="str">
        <x:v>Medium pelagics (30 - 89 cm)</x:v>
      </x:c>
      <x:c r="B16" s="31" t="n">
        <x:v>42326.234585691396</x:v>
      </x:c>
      <x:c r="C16" s="32" t="n">
        <x:v>3.3984256607792407</x:v>
      </x:c>
      <x:c r="D16" s="32" t="n">
        <x:f>IF(C16="","",(1/'Metadata'!$B$5)^(C16-1))</x:f>
        <x:v>250.27972019575373</x:v>
      </x:c>
      <x:c r="E16" s="31" t="n">
        <x:f>IF(B16=0,"",B16*D16)</x:f>
        <x:v>10593398.149046676</x:v>
      </x:c>
    </x:row>
    <x:row r="17" ht="18" customHeight="1">
      <x:c r="A17" s="24" t="str">
        <x:v>Medium reef assoc. fish (30 - 89 cm)</x:v>
      </x:c>
      <x:c r="B17" s="31" t="n">
        <x:v>52.1538728215</x:v>
      </x:c>
      <x:c r="C17" s="32" t="n">
        <x:v>3.72</x:v>
      </x:c>
      <x:c r="D17" s="32" t="n">
        <x:f>IF(C17="","",(1/'Metadata'!$B$5)^(C17-1))</x:f>
        <x:v>524.8074602497728</x:v>
      </x:c>
      <x:c r="E17" s="31" t="n">
        <x:f>IF(B17=0,"",B17*D17)</x:f>
        <x:v>27370.741537641068</x:v>
      </x:c>
    </x:row>
    <x:row r="18" ht="18" customHeight="1">
      <x:c r="A18" s="24" t="str">
        <x:v>Other demersal invertebrates</x:v>
      </x:c>
      <x:c r="B18" s="31" t="n">
        <x:v>25070.937343252797</x:v>
      </x:c>
      <x:c r="C18" s="32" t="n">
        <x:v>2.1336004947783294</x:v>
      </x:c>
      <x:c r="D18" s="32" t="n">
        <x:f>IF(C18="","",(1/'Metadata'!$B$5)^(C18-1))</x:f>
        <x:v>13.60192872480641</x:v>
      </x:c>
      <x:c r="E18" s="31" t="n">
        <x:f>IF(B18=0,"",B18*D18)</x:f>
        <x:v>341013.1028070119</x:v>
      </x:c>
    </x:row>
    <x:row r="19" ht="18" customHeight="1">
      <x:c r="A19" s="24" t="str">
        <x:v>Shrimps</x:v>
      </x:c>
      <x:c r="B19" s="31" t="n">
        <x:v>2592.9680232524997</x:v>
      </x:c>
      <x:c r="C19" s="32" t="n">
        <x:v>2.601906030560821</x:v>
      </x:c>
      <x:c r="D19" s="32" t="n">
        <x:f>IF(C19="","",(1/'Metadata'!$B$5)^(C19-1))</x:f>
        <x:v>39.98582220252512</x:v>
      </x:c>
      <x:c r="E19" s="31" t="n">
        <x:f>IF(B19=0,"",B19*D19)</x:f>
        <x:v>103681.95835460747</x:v>
      </x:c>
    </x:row>
    <x:row r="20" ht="18" customHeight="1">
      <x:c r="A20" s="24" t="str">
        <x:v>Small pelagics (&lt;30 cm)</x:v>
      </x:c>
      <x:c r="B20" s="31" t="n">
        <x:v>1004.4521800679</x:v>
      </x:c>
      <x:c r="C20" s="32" t="n">
        <x:v>3.2388549849868733</x:v>
      </x:c>
      <x:c r="D20" s="32" t="n">
        <x:f>IF(C20="","",(1/'Metadata'!$B$5)^(C20-1))</x:f>
        <x:v>173.32251609334594</x:v>
      </x:c>
      <x:c r="E20" s="31" t="n">
        <x:f>IF(B20=0,"",B20*D20)</x:f>
        <x:v>174094.17914481502</x:v>
      </x:c>
    </x:row>
    <x:row r="21" ht="18" customHeight="1">
      <x:c r="A21" s="24" t="str">
        <x:v>Small to medium flatfishes (&lt;90 cm)</x:v>
      </x:c>
      <x:c r="B21" s="31" t="n">
        <x:v>3558.9393611364</x:v>
      </x:c>
      <x:c r="C21" s="32" t="n">
        <x:v>3.597989359822476</x:v>
      </x:c>
      <x:c r="D21" s="32" t="n">
        <x:f>IF(C21="","",(1/'Metadata'!$B$5)^(C21-1))</x:f>
        <x:v>396.2683255965503</x:v>
      </x:c>
      <x:c r="E21" s="31" t="n">
        <x:f>IF(B21=0,"",B21*D21)</x:f>
        <x:v>1410294.9415371777</x:v>
      </x:c>
    </x:row>
    <x:row r="22" ht="18" customHeight="1">
      <x:c r="A22" s="24" t="str">
        <x:v>Small to medium sharks (&lt;90 cm)</x:v>
      </x:c>
      <x:c r="B22" s="31" t="n">
        <x:v>62.2727141771</x:v>
      </x:c>
      <x:c r="C22" s="32" t="n">
        <x:v>3.8399999999999994</x:v>
      </x:c>
      <x:c r="D22" s="32" t="n">
        <x:f>IF(C22="","",(1/'Metadata'!$B$5)^(C22-1))</x:f>
        <x:v>691.8309709189356</x:v>
      </x:c>
      <x:c r="E22" s="31" t="n">
        <x:f>IF(B22=0,"",B22*D22)</x:f>
        <x:v>43082.19231090046</x:v>
      </x:c>
    </x:row>
  </x:sheetData>
  <x:pageMargins left="0.7" right="0.7" top="0.75" bottom="0.75" header="0.3" footer="0.3"/>
  <x:tableParts count="1">
    <x:tablePart xmlns:r="http://schemas.openxmlformats.org/officeDocument/2006/relationships" r:id="R295c1e6126b242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LME_008</x:v>
      </x:c>
      <x:c r="B2" s="24" t="str">
        <x:v>raw_filtered_tonnes</x:v>
      </x:c>
      <x:c r="C2" s="24" t="n">
        <x:v>148680.2607308072</x:v>
      </x:c>
      <x:c r="D2" s="24" t="str">
        <x:v>tonnes</x:v>
      </x:c>
    </x:row>
    <x:row r="3" ht="18" customHeight="1">
      <x:c r="A3" s="24" t="str">
        <x:v>LME_008</x:v>
      </x:c>
      <x:c r="B3" s="24" t="str">
        <x:v>species_catch_tonnes</x:v>
      </x:c>
      <x:c r="C3" s="24" t="n">
        <x:v>148680.26073080715</x:v>
      </x:c>
      <x:c r="D3" s="24" t="str">
        <x:v>tonnes</x:v>
      </x:c>
    </x:row>
    <x:row r="4" ht="18" customHeight="1">
      <x:c r="A4" s="24" t="str">
        <x:v>LME_008</x:v>
      </x:c>
      <x:c r="B4" s="24" t="str">
        <x:v>catch_difference_tonnes</x:v>
      </x:c>
      <x:c r="C4" s="24" t="n">
        <x:v>-5.820766091346741e-11</x:v>
      </x:c>
      <x:c r="D4" s="24" t="str">
        <x:v>tonnes</x:v>
      </x:c>
    </x:row>
    <x:row r="5" ht="18" customHeight="1">
      <x:c r="A5" s="24" t="str">
        <x:v>LME_008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LME_008</x:v>
      </x:c>
      <x:c r="B6" s="24" t="str">
        <x:v>matched_catch_tonnes</x:v>
      </x:c>
      <x:c r="C6" s="24" t="n">
        <x:v>148680.26073080715</x:v>
      </x:c>
      <x:c r="D6" s="24" t="str">
        <x:v>tonnes</x:v>
      </x:c>
    </x:row>
    <x:row r="7" ht="18" customHeight="1">
      <x:c r="A7" s="24" t="str">
        <x:v>LME_008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LME_008</x:v>
      </x:c>
      <x:c r="B8" s="24" t="str">
        <x:v>taxa_count</x:v>
      </x:c>
      <x:c r="C8" s="24" t="n">
        <x:v>92</x:v>
      </x:c>
      <x:c r="D8" s="24" t="str">
        <x:v>count</x:v>
      </x:c>
    </x:row>
    <x:row r="9" ht="18" customHeight="1">
      <x:c r="A9" s="24" t="str">
        <x:v>LME_008</x:v>
      </x:c>
      <x:c r="B9" s="24" t="str">
        <x:v>matched_taxa_count</x:v>
      </x:c>
      <x:c r="C9" s="24" t="n">
        <x:v>92</x:v>
      </x:c>
      <x:c r="D9" s="24" t="str">
        <x:v>count</x:v>
      </x:c>
    </x:row>
    <x:row r="10" ht="18" customHeight="1">
      <x:c r="A10" s="24" t="str">
        <x:v>LME_008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LME_008</x:v>
      </x:c>
      <x:c r="B11" s="24" t="str">
        <x:v>species_ppr</x:v>
      </x:c>
      <x:c r="C11" s="24" t="n">
        <x:v>75212513.43069898</x:v>
      </x:c>
      <x:c r="D11" s="24" t="str">
        <x:v>tonnes_primary_production_equivalent</x:v>
      </x:c>
    </x:row>
    <x:row r="12" ht="18" customHeight="1">
      <x:c r="A12" s="24" t="str">
        <x:v>LME_008</x:v>
      </x:c>
      <x:c r="B12" s="24" t="str">
        <x:v>commercial_ppr</x:v>
      </x:c>
      <x:c r="C12" s="24" t="n">
        <x:v>64517927.31064559</x:v>
      </x:c>
      <x:c r="D12" s="24" t="str">
        <x:v>tonnes_primary_production_equivalent</x:v>
      </x:c>
    </x:row>
    <x:row r="13" ht="18" customHeight="1">
      <x:c r="A13" s="24" t="str">
        <x:v>LME_008</x:v>
      </x:c>
      <x:c r="B13" s="24" t="str">
        <x:v>functional_ppr</x:v>
      </x:c>
      <x:c r="C13" s="24" t="n">
        <x:v>61782823.81142751</x:v>
      </x:c>
      <x:c r="D13" s="24" t="str">
        <x:v>tonnes_primary_production_equivalent</x:v>
      </x:c>
    </x:row>
    <x:row r="14" ht="18" customHeight="1">
      <x:c r="A14" s="24" t="str">
        <x:v>LME_008</x:v>
      </x:c>
      <x:c r="B14" s="24" t="str">
        <x:v>commercial_ppr_difference</x:v>
      </x:c>
      <x:c r="C14" s="24" t="n">
        <x:v>-10694586.120053388</x:v>
      </x:c>
      <x:c r="D14" s="24" t="str">
        <x:v>tonnes_primary_production_equivalent</x:v>
      </x:c>
    </x:row>
    <x:row r="15" ht="18" customHeight="1">
      <x:c r="A15" s="24" t="str">
        <x:v>LME_008</x:v>
      </x:c>
      <x:c r="B15" s="24" t="str">
        <x:v>functional_ppr_difference</x:v>
      </x:c>
      <x:c r="C15" s="24" t="n">
        <x:v>-13429689.619271465</x:v>
      </x:c>
      <x:c r="D15" s="24" t="str">
        <x:v>tonnes_primary_production_equivalent</x:v>
      </x:c>
    </x:row>
    <x:row r="16" ht="18" customHeight="1">
      <x:c r="A16" s="24" t="str">
        <x:v>LME_008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LME_008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0d9975b9eea43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LME_008 - Scotian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LME_008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