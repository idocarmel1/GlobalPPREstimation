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ca3496849b4d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267738d62eac4f04"/>
    <x:sheet xmlns:r="http://schemas.openxmlformats.org/officeDocument/2006/relationships" name="Commercial" sheetId="2" r:id="R4a789892157246ce"/>
    <x:sheet xmlns:r="http://schemas.openxmlformats.org/officeDocument/2006/relationships" name="Functional" sheetId="3" r:id="R2a647a8756354561"/>
    <x:sheet xmlns:r="http://schemas.openxmlformats.org/officeDocument/2006/relationships" name="Missing TL" sheetId="4" r:id="Rb3d1f56b96cd40d2"/>
    <x:sheet xmlns:r="http://schemas.openxmlformats.org/officeDocument/2006/relationships" name="Validation" sheetId="5" r:id="Rc976f723c89e4f77"/>
    <x:sheet xmlns:r="http://schemas.openxmlformats.org/officeDocument/2006/relationships" name="Metadata" sheetId="6" r:id="R2e41c3513ba741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102d4e4edf4a4c" /><Relationship Type="http://schemas.openxmlformats.org/officeDocument/2006/relationships/theme" Target="/xl/theme/theme1.xml" Id="Rf73caddc0dba470d" /><Relationship Type="http://schemas.microsoft.com/office/2022/11/relationships/FeaturePropertyBag" Target="/xl/featurePropertyBag/featurePropertyBag.xml" Id="R3e0da4cad8364036" /><Relationship Type="http://schemas.openxmlformats.org/officeDocument/2006/relationships/sharedStrings" Target="/xl/sharedStrings.xml" Id="R290ce95a6e94409a" /><Relationship Type="http://schemas.openxmlformats.org/officeDocument/2006/relationships/worksheet" Target="/xl/worksheets/sheet1.xml" Id="R267738d62eac4f04" /><Relationship Type="http://schemas.openxmlformats.org/officeDocument/2006/relationships/worksheet" Target="/xl/worksheets/sheet2.xml" Id="R4a789892157246ce" /><Relationship Type="http://schemas.openxmlformats.org/officeDocument/2006/relationships/worksheet" Target="/xl/worksheets/sheet3.xml" Id="R2a647a8756354561" /><Relationship Type="http://schemas.openxmlformats.org/officeDocument/2006/relationships/worksheet" Target="/xl/worksheets/sheet4.xml" Id="Rb3d1f56b96cd40d2" /><Relationship Type="http://schemas.openxmlformats.org/officeDocument/2006/relationships/worksheet" Target="/xl/worksheets/sheet5.xml" Id="Rc976f723c89e4f77" /><Relationship Type="http://schemas.openxmlformats.org/officeDocument/2006/relationships/worksheet" Target="/xl/worksheets/sheet6.xml" Id="R2e41c3513ba7413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850SpeciesTable" displayName="EEZ850SpeciesTable" ref="A1:U22" headerRowCount="1" totalsRowCount="0" totalsRowShown="0">
  <x:autoFilter ref="A1:U22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850CommercialTable" displayName="EEZ850CommercialTable" ref="A1:E6" headerRowCount="1" totalsRowCount="0" totalsRowShown="0">
  <x:autoFilter ref="A1:E6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850FunctionalTable" displayName="EEZ850FunctionalTable" ref="A1:E9" headerRowCount="1" totalsRowCount="0" totalsRowShown="0">
  <x:autoFilter ref="A1:E9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850ValidationTable" displayName="EEZ850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5d267c5484484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3b223972cc149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713c7c502c7497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c57a6384c1a46e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EEZ_850</x:v>
      </x:c>
      <x:c r="B2" s="24" t="str">
        <x:v>US Virgin Isl.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115.93352999899999</x:v>
      </x:c>
      <x:c r="J2" s="31" t="n">
        <x:v>115.93352999899999</x:v>
      </x:c>
      <x:c r="K2" s="31" t="n">
        <x:v>0</x:v>
      </x:c>
      <x:c r="L2" s="31" t="n">
        <x:v>115.93352999899999</x:v>
      </x:c>
      <x:c r="M2" s="31" t="n">
        <x:v>0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22090.67873079081</x:v>
      </x:c>
    </x:row>
    <x:row r="3" ht="18" customHeight="1">
      <x:c r="A3" s="24" t="str">
        <x:v>EEZ_850</x:v>
      </x:c>
      <x:c r="B3" s="24" t="str">
        <x:v>US Virgin Isl.</x:v>
      </x:c>
      <x:c r="C3" s="24" t="str">
        <x:v>EEZ</x:v>
      </x:c>
      <x:c r="D3" s="30" t="n">
        <x:v>2019</x:v>
      </x:c>
      <x:c r="E3" s="24" t="str">
        <x:v>Panulirus argus</x:v>
      </x:c>
      <x:c r="F3" s="24" t="str">
        <x:v>Caribbean spiny lobster</x:v>
      </x:c>
      <x:c r="G3" s="24" t="str">
        <x:v>Lobsters, crabs</x:v>
      </x:c>
      <x:c r="H3" s="24" t="str">
        <x:v>Crustaceans</x:v>
      </x:c>
      <x:c r="I3" s="31" t="n">
        <x:v>45.140000002</x:v>
      </x:c>
      <x:c r="J3" s="31" t="n">
        <x:v>45.140000002</x:v>
      </x:c>
      <x:c r="K3" s="31" t="n">
        <x:v>0</x:v>
      </x:c>
      <x:c r="L3" s="31" t="n">
        <x:v>45.140000002</x:v>
      </x:c>
      <x:c r="M3" s="31" t="n">
        <x:v>0</x:v>
      </x:c>
      <x:c r="N3" s="24" t="str">
        <x:v>panulirus argus</x:v>
      </x:c>
      <x:c r="O3" s="32" t="n">
        <x:v>3.2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Panulirus argus</x:v>
      </x:c>
      <x:c r="T3" s="32" t="n">
        <x:f>IF(O3="","",(1/'Metadata'!$B$5)^(O3-1))</x:f>
        <x:v>158.48931924611142</x:v>
      </x:c>
      <x:c r="U3" s="31" t="n">
        <x:f>IF(T3="","",I3*T3)</x:f>
        <x:v>7154.207871086448</x:v>
      </x:c>
    </x:row>
    <x:row r="4" ht="18" customHeight="1">
      <x:c r="A4" s="24" t="str">
        <x:v>EEZ_850</x:v>
      </x:c>
      <x:c r="B4" s="24" t="str">
        <x:v>US Virgin Isl.</x:v>
      </x:c>
      <x:c r="C4" s="24" t="str">
        <x:v>EEZ</x:v>
      </x:c>
      <x:c r="D4" s="30" t="n">
        <x:v>2019</x:v>
      </x:c>
      <x:c r="E4" s="24" t="str">
        <x:v>Coryphaena hippurus</x:v>
      </x:c>
      <x:c r="F4" s="24" t="str">
        <x:v>Common dolphinfish</x:v>
      </x:c>
      <x:c r="G4" s="24" t="str">
        <x:v>Large pelagics (&gt;=90 cm)</x:v>
      </x:c>
      <x:c r="H4" s="24" t="str">
        <x:v>Perch-likes</x:v>
      </x:c>
      <x:c r="I4" s="31" t="n">
        <x:v>32.7281</x:v>
      </x:c>
      <x:c r="J4" s="31" t="n">
        <x:v>32.7281</x:v>
      </x:c>
      <x:c r="K4" s="31" t="n">
        <x:v>0</x:v>
      </x:c>
      <x:c r="L4" s="31" t="n">
        <x:v>9</x:v>
      </x:c>
      <x:c r="M4" s="31" t="n">
        <x:v>23.7281</x:v>
      </x:c>
      <x:c r="N4" s="24" t="str">
        <x:v>coryphaena hippurus</x:v>
      </x:c>
      <x:c r="O4" s="32" t="n">
        <x:v>4.37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Coryphaena hippurus</x:v>
      </x:c>
      <x:c r="T4" s="32" t="n">
        <x:f>IF(O4="","",(1/'Metadata'!$B$5)^(O4-1))</x:f>
        <x:v>2344.228815319923</x:v>
      </x:c>
      <x:c r="U4" s="31" t="n">
        <x:f>IF(T4="","",I4*T4)</x:f>
        <x:v>76722.15509067196</x:v>
      </x:c>
    </x:row>
    <x:row r="5" ht="18" customHeight="1">
      <x:c r="A5" s="24" t="str">
        <x:v>EEZ_850</x:v>
      </x:c>
      <x:c r="B5" s="24" t="str">
        <x:v>US Virgin Isl.</x:v>
      </x:c>
      <x:c r="C5" s="24" t="str">
        <x:v>EEZ</x:v>
      </x:c>
      <x:c r="D5" s="30" t="n">
        <x:v>2019</x:v>
      </x:c>
      <x:c r="E5" s="24" t="str">
        <x:v>Acanthocybium solandri</x:v>
      </x:c>
      <x:c r="F5" s="24" t="str">
        <x:v>Wahoo</x:v>
      </x:c>
      <x:c r="G5" s="24" t="str">
        <x:v>Large pelagics (&gt;=90 cm)</x:v>
      </x:c>
      <x:c r="H5" s="24" t="str">
        <x:v>Perch-likes</x:v>
      </x:c>
      <x:c r="I5" s="31" t="n">
        <x:v>27.7281</x:v>
      </x:c>
      <x:c r="J5" s="31" t="n">
        <x:v>27.7281</x:v>
      </x:c>
      <x:c r="K5" s="31" t="n">
        <x:v>0</x:v>
      </x:c>
      <x:c r="L5" s="31" t="n">
        <x:v>4</x:v>
      </x:c>
      <x:c r="M5" s="31" t="n">
        <x:v>23.7281</x:v>
      </x:c>
      <x:c r="N5" s="24" t="str">
        <x:v>acanthocybium solandri</x:v>
      </x:c>
      <x:c r="O5" s="32" t="n">
        <x:v>4.26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Acanthocybium solandri</x:v>
      </x:c>
      <x:c r="T5" s="32" t="n">
        <x:f>IF(O5="","",(1/'Metadata'!$B$5)^(O5-1))</x:f>
        <x:v>1819.7008586099826</x:v>
      </x:c>
      <x:c r="U5" s="31" t="n">
        <x:f>IF(T5="","",I5*T5)</x:f>
        <x:v>50456.84737762346</x:v>
      </x:c>
    </x:row>
    <x:row r="6" ht="18" customHeight="1">
      <x:c r="A6" s="24" t="str">
        <x:v>EEZ_850</x:v>
      </x:c>
      <x:c r="B6" s="24" t="str">
        <x:v>US Virgin Isl.</x:v>
      </x:c>
      <x:c r="C6" s="24" t="str">
        <x:v>EEZ</x:v>
      </x:c>
      <x:c r="D6" s="30" t="n">
        <x:v>2019</x:v>
      </x:c>
      <x:c r="E6" s="24" t="str">
        <x:v>Balistidae</x:v>
      </x:c>
      <x:c r="F6" s="24" t="str">
        <x:v>Triggerfishes</x:v>
      </x:c>
      <x:c r="G6" s="24" t="str">
        <x:v>Medium reef assoc. fish (30 - 89 cm)</x:v>
      </x:c>
      <x:c r="H6" s="24" t="str">
        <x:v>Other fishes &amp; inverts</x:v>
      </x:c>
      <x:c r="I6" s="31" t="n">
        <x:v>23.871375000999997</x:v>
      </x:c>
      <x:c r="J6" s="31" t="n">
        <x:v>23.871375000999997</x:v>
      </x:c>
      <x:c r="K6" s="31" t="n">
        <x:v>0</x:v>
      </x:c>
      <x:c r="L6" s="31" t="n">
        <x:v>23.871375000999997</x:v>
      </x:c>
      <x:c r="M6" s="31" t="n">
        <x:v>0</x:v>
      </x:c>
      <x:c r="N6" s="24" t="str">
        <x:v>balistidae</x:v>
      </x:c>
      <x:c r="O6" s="32" t="n">
        <x:v>3.25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Balistidae</x:v>
      </x:c>
      <x:c r="T6" s="32" t="n">
        <x:f>IF(O6="","",(1/'Metadata'!$B$5)^(O6-1))</x:f>
        <x:v>177.82794100389228</x:v>
      </x:c>
      <x:c r="U6" s="31" t="n">
        <x:f>IF(T6="","",I6*T6)</x:f>
        <x:v>4244.997465359616</x:v>
      </x:c>
    </x:row>
    <x:row r="7" ht="18" customHeight="1">
      <x:c r="A7" s="24" t="str">
        <x:v>EEZ_850</x:v>
      </x:c>
      <x:c r="B7" s="24" t="str">
        <x:v>US Virgin Isl.</x:v>
      </x:c>
      <x:c r="C7" s="24" t="str">
        <x:v>EEZ</x:v>
      </x:c>
      <x:c r="D7" s="30" t="n">
        <x:v>2019</x:v>
      </x:c>
      <x:c r="E7" s="24" t="str">
        <x:v>Makaira nigricans</x:v>
      </x:c>
      <x:c r="F7" s="24" t="str">
        <x:v>Blue marlin</x:v>
      </x:c>
      <x:c r="G7" s="24" t="str">
        <x:v>Large pelagics (&gt;=90 cm)</x:v>
      </x:c>
      <x:c r="H7" s="24" t="str">
        <x:v>Tuna &amp; billfishes</x:v>
      </x:c>
      <x:c r="I7" s="31" t="n">
        <x:v>23.7281</x:v>
      </x:c>
      <x:c r="J7" s="31" t="n">
        <x:v>23.7281</x:v>
      </x:c>
      <x:c r="K7" s="31" t="n">
        <x:v>0</x:v>
      </x:c>
      <x:c r="L7" s="31" t="n">
        <x:v>0</x:v>
      </x:c>
      <x:c r="M7" s="31" t="n">
        <x:v>23.7281</x:v>
      </x:c>
      <x:c r="N7" s="24" t="str">
        <x:v>makaira nigricans</x:v>
      </x:c>
      <x:c r="O7" s="32" t="n">
        <x:v>4.49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Makaira nigricans</x:v>
      </x:c>
      <x:c r="T7" s="32" t="n">
        <x:f>IF(O7="","",(1/'Metadata'!$B$5)^(O7-1))</x:f>
        <x:v>3090.295432513592</x:v>
      </x:c>
      <x:c r="U7" s="31" t="n">
        <x:f>IF(T7="","",I7*T7)</x:f>
        <x:v>73326.83905222577</x:v>
      </x:c>
    </x:row>
    <x:row r="8" ht="18" customHeight="1">
      <x:c r="A8" s="24" t="str">
        <x:v>EEZ_850</x:v>
      </x:c>
      <x:c r="B8" s="24" t="str">
        <x:v>US Virgin Isl.</x:v>
      </x:c>
      <x:c r="C8" s="24" t="str">
        <x:v>EEZ</x:v>
      </x:c>
      <x:c r="D8" s="30" t="n">
        <x:v>2019</x:v>
      </x:c>
      <x:c r="E8" s="24" t="str">
        <x:v>Thunnus</x:v>
      </x:c>
      <x:c r="F8" s="24" t="str">
        <x:v>Tunas</x:v>
      </x:c>
      <x:c r="G8" s="24" t="str">
        <x:v>Large pelagics (&gt;=90 cm)</x:v>
      </x:c>
      <x:c r="H8" s="24" t="str">
        <x:v>Tuna &amp; billfishes</x:v>
      </x:c>
      <x:c r="I8" s="31" t="n">
        <x:v>23.7281</x:v>
      </x:c>
      <x:c r="J8" s="31" t="n">
        <x:v>23.7281</x:v>
      </x:c>
      <x:c r="K8" s="31" t="n">
        <x:v>0</x:v>
      </x:c>
      <x:c r="L8" s="31" t="n">
        <x:v>0</x:v>
      </x:c>
      <x:c r="M8" s="31" t="n">
        <x:v>23.7281</x:v>
      </x:c>
      <x:c r="N8" s="24" t="str">
        <x:v>thunnus</x:v>
      </x:c>
      <x:c r="O8" s="32" t="n">
        <x:v>4.34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Thunnus</x:v>
      </x:c>
      <x:c r="T8" s="32" t="n">
        <x:f>IF(O8="","",(1/'Metadata'!$B$5)^(O8-1))</x:f>
        <x:v>2187.761623949552</x:v>
      </x:c>
      <x:c r="U8" s="31" t="n">
        <x:f>IF(T8="","",I8*T8)</x:f>
        <x:v>51911.426589237366</x:v>
      </x:c>
    </x:row>
    <x:row r="9" ht="18" customHeight="1">
      <x:c r="A9" s="24" t="str">
        <x:v>EEZ_850</x:v>
      </x:c>
      <x:c r="B9" s="24" t="str">
        <x:v>US Virgin Isl.</x:v>
      </x:c>
      <x:c r="C9" s="24" t="str">
        <x:v>EEZ</x:v>
      </x:c>
      <x:c r="D9" s="30" t="n">
        <x:v>2019</x:v>
      </x:c>
      <x:c r="E9" s="24" t="str">
        <x:v>Epinephelus</x:v>
      </x:c>
      <x:c r="F9" s="24" t="str">
        <x:v>Seabasses, hinds</x:v>
      </x:c>
      <x:c r="G9" s="24" t="str">
        <x:v>Medium reef assoc. fish (30 - 89 cm)</x:v>
      </x:c>
      <x:c r="H9" s="24" t="str">
        <x:v>Perch-likes</x:v>
      </x:c>
      <x:c r="I9" s="31" t="n">
        <x:v>16.387095</x:v>
      </x:c>
      <x:c r="J9" s="31" t="n">
        <x:v>16.387095</x:v>
      </x:c>
      <x:c r="K9" s="31" t="n">
        <x:v>0</x:v>
      </x:c>
      <x:c r="L9" s="31" t="n">
        <x:v>16.387095</x:v>
      </x:c>
      <x:c r="M9" s="31" t="n">
        <x:v>0</x:v>
      </x:c>
      <x:c r="N9" s="24" t="str">
        <x:v>epinephelus</x:v>
      </x:c>
      <x:c r="O9" s="32" t="n">
        <x:v>3.84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Epinephelus</x:v>
      </x:c>
      <x:c r="T9" s="32" t="n">
        <x:f>IF(O9="","",(1/'Metadata'!$B$5)^(O9-1))</x:f>
        <x:v>691.8309709189363</x:v>
      </x:c>
      <x:c r="U9" s="31" t="n">
        <x:f>IF(T9="","",I9*T9)</x:f>
        <x:v>11337.099844390845</x:v>
      </x:c>
    </x:row>
    <x:row r="10" ht="18" customHeight="1">
      <x:c r="A10" s="24" t="str">
        <x:v>EEZ_850</x:v>
      </x:c>
      <x:c r="B10" s="24" t="str">
        <x:v>US Virgin Isl.</x:v>
      </x:c>
      <x:c r="C10" s="24" t="str">
        <x:v>EEZ</x:v>
      </x:c>
      <x:c r="D10" s="30" t="n">
        <x:v>2019</x:v>
      </x:c>
      <x:c r="E10" s="24" t="str">
        <x:v>Haemulidae</x:v>
      </x:c>
      <x:c r="F10" s="24" t="str">
        <x:v>Grunts, sweetlips, bonnetmouths</x:v>
      </x:c>
      <x:c r="G10" s="24" t="str">
        <x:v>Medium demersals (30 - 89 cm)</x:v>
      </x:c>
      <x:c r="H10" s="24" t="str">
        <x:v>Perch-likes</x:v>
      </x:c>
      <x:c r="I10" s="31" t="n">
        <x:v>14.235255</x:v>
      </x:c>
      <x:c r="J10" s="31" t="n">
        <x:v>14.235255</x:v>
      </x:c>
      <x:c r="K10" s="31" t="n">
        <x:v>0</x:v>
      </x:c>
      <x:c r="L10" s="31" t="n">
        <x:v>14.235255</x:v>
      </x:c>
      <x:c r="M10" s="31" t="n">
        <x:v>0</x:v>
      </x:c>
      <x:c r="N10" s="24" t="str">
        <x:v>haemulidae</x:v>
      </x:c>
      <x:c r="O10" s="32" t="n">
        <x:v>3.36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Haemulidae</x:v>
      </x:c>
      <x:c r="T10" s="32" t="n">
        <x:f>IF(O10="","",(1/'Metadata'!$B$5)^(O10-1))</x:f>
        <x:v>229.08676527677724</x:v>
      </x:c>
      <x:c r="U10" s="31" t="n">
        <x:f>IF(T10="","",I10*T10)</x:f>
        <x:v>3261.1085208400696</x:v>
      </x:c>
    </x:row>
    <x:row r="11" ht="18" customHeight="1">
      <x:c r="A11" s="24" t="str">
        <x:v>EEZ_850</x:v>
      </x:c>
      <x:c r="B11" s="24" t="str">
        <x:v>US Virgin Isl.</x:v>
      </x:c>
      <x:c r="C11" s="24" t="str">
        <x:v>EEZ</x:v>
      </x:c>
      <x:c r="D11" s="30" t="n">
        <x:v>2019</x:v>
      </x:c>
      <x:c r="E11" s="24" t="str">
        <x:v>Lutjanidae</x:v>
      </x:c>
      <x:c r="F11" s="24" t="str">
        <x:v>Snappers</x:v>
      </x:c>
      <x:c r="G11" s="24" t="str">
        <x:v>Medium reef assoc. fish (30 - 89 cm)</x:v>
      </x:c>
      <x:c r="H11" s="24" t="str">
        <x:v>Perch-likes</x:v>
      </x:c>
      <x:c r="I11" s="31" t="n">
        <x:v>12.500305</x:v>
      </x:c>
      <x:c r="J11" s="31" t="n">
        <x:v>12.500305</x:v>
      </x:c>
      <x:c r="K11" s="31" t="n">
        <x:v>0</x:v>
      </x:c>
      <x:c r="L11" s="31" t="n">
        <x:v>12.500305</x:v>
      </x:c>
      <x:c r="M11" s="31" t="n">
        <x:v>0</x:v>
      </x:c>
      <x:c r="N11" s="24" t="str">
        <x:v>lutjanidae</x:v>
      </x:c>
      <x:c r="O11" s="32" t="n">
        <x:v>4.02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Lutjanidae</x:v>
      </x:c>
      <x:c r="T11" s="32" t="n">
        <x:f>IF(O11="","",(1/'Metadata'!$B$5)^(O11-1))</x:f>
        <x:v>1047.1285480508984</x:v>
      </x:c>
      <x:c r="U11" s="31" t="n">
        <x:f>IF(T11="","",I11*T11)</x:f>
        <x:v>13089.426224843386</x:v>
      </x:c>
    </x:row>
    <x:row r="12" ht="18" customHeight="1">
      <x:c r="A12" s="24" t="str">
        <x:v>EEZ_850</x:v>
      </x:c>
      <x:c r="B12" s="24" t="str">
        <x:v>US Virgin Isl.</x:v>
      </x:c>
      <x:c r="C12" s="24" t="str">
        <x:v>EEZ</x:v>
      </x:c>
      <x:c r="D12" s="30" t="n">
        <x:v>2019</x:v>
      </x:c>
      <x:c r="E12" s="24" t="str">
        <x:v>Ocyurus chrysurus</x:v>
      </x:c>
      <x:c r="F12" s="24" t="str">
        <x:v>Yellowtail snapper</x:v>
      </x:c>
      <x:c r="G12" s="24" t="str">
        <x:v>Medium reef assoc. fish (30 - 89 cm)</x:v>
      </x:c>
      <x:c r="H12" s="24" t="str">
        <x:v>Perch-likes</x:v>
      </x:c>
      <x:c r="I12" s="31" t="n">
        <x:v>11.000000001</x:v>
      </x:c>
      <x:c r="J12" s="31" t="n">
        <x:v>11.000000001</x:v>
      </x:c>
      <x:c r="K12" s="31" t="n">
        <x:v>0</x:v>
      </x:c>
      <x:c r="L12" s="31" t="n">
        <x:v>11.000000001</x:v>
      </x:c>
      <x:c r="M12" s="31" t="n">
        <x:v>0</x:v>
      </x:c>
      <x:c r="N12" s="24" t="str">
        <x:v>ocyurus chrysurus</x:v>
      </x:c>
      <x:c r="O12" s="32" t="n">
        <x:v>4.03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Ocyurus chrysurus</x:v>
      </x:c>
      <x:c r="T12" s="32" t="n">
        <x:f>IF(O12="","",(1/'Metadata'!$B$5)^(O12-1))</x:f>
        <x:v>1071.519305237607</x:v>
      </x:c>
      <x:c r="U12" s="31" t="n">
        <x:f>IF(T12="","",I12*T12)</x:f>
        <x:v>11786.712358685198</x:v>
      </x:c>
    </x:row>
    <x:row r="13" ht="18" customHeight="1">
      <x:c r="A13" s="24" t="str">
        <x:v>EEZ_850</x:v>
      </x:c>
      <x:c r="B13" s="24" t="str">
        <x:v>US Virgin Isl.</x:v>
      </x:c>
      <x:c r="C13" s="24" t="str">
        <x:v>EEZ</x:v>
      </x:c>
      <x:c r="D13" s="30" t="n">
        <x:v>2019</x:v>
      </x:c>
      <x:c r="E13" s="24" t="str">
        <x:v>Carangidae</x:v>
      </x:c>
      <x:c r="F13" s="24" t="str">
        <x:v>Jacks, pompanos</x:v>
      </x:c>
      <x:c r="G13" s="24" t="str">
        <x:v>Medium pelagics (30 - 89 cm)</x:v>
      </x:c>
      <x:c r="H13" s="24" t="str">
        <x:v>Perch-likes</x:v>
      </x:c>
      <x:c r="I13" s="31" t="n">
        <x:v>10.000000001</x:v>
      </x:c>
      <x:c r="J13" s="31" t="n">
        <x:v>10.000000001</x:v>
      </x:c>
      <x:c r="K13" s="31" t="n">
        <x:v>0</x:v>
      </x:c>
      <x:c r="L13" s="31" t="n">
        <x:v>10.000000001</x:v>
      </x:c>
      <x:c r="M13" s="31" t="n">
        <x:v>0</x:v>
      </x:c>
      <x:c r="N13" s="24" t="str">
        <x:v>carangidae</x:v>
      </x:c>
      <x:c r="O13" s="32" t="n">
        <x:v>4.05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Carangidae</x:v>
      </x:c>
      <x:c r="T13" s="32" t="n">
        <x:f>IF(O13="","",(1/'Metadata'!$B$5)^(O13-1))</x:f>
        <x:v>1122.018454301963</x:v>
      </x:c>
      <x:c r="U13" s="31" t="n">
        <x:f>IF(T13="","",I13*T13)</x:f>
        <x:v>11220.184544141648</x:v>
      </x:c>
    </x:row>
    <x:row r="14" ht="18" customHeight="1">
      <x:c r="A14" s="24" t="str">
        <x:v>EEZ_850</x:v>
      </x:c>
      <x:c r="B14" s="24" t="str">
        <x:v>US Virgin Isl.</x:v>
      </x:c>
      <x:c r="C14" s="24" t="str">
        <x:v>EEZ</x:v>
      </x:c>
      <x:c r="D14" s="30" t="n">
        <x:v>2019</x:v>
      </x:c>
      <x:c r="E14" s="24" t="str">
        <x:v>Acanthurus</x:v>
      </x:c>
      <x:c r="F14" s="24" t="str">
        <x:v>Surgeonfishes</x:v>
      </x:c>
      <x:c r="G14" s="24" t="str">
        <x:v>Small reef assoc. fish (&lt;30 cm)</x:v>
      </x:c>
      <x:c r="H14" s="24" t="str">
        <x:v>Perch-likes</x:v>
      </x:c>
      <x:c r="I14" s="31" t="n">
        <x:v>8.332439999</x:v>
      </x:c>
      <x:c r="J14" s="31" t="n">
        <x:v>8.332439999</x:v>
      </x:c>
      <x:c r="K14" s="31" t="n">
        <x:v>0</x:v>
      </x:c>
      <x:c r="L14" s="31" t="n">
        <x:v>8.332439999</x:v>
      </x:c>
      <x:c r="M14" s="31" t="n">
        <x:v>0</x:v>
      </x:c>
      <x:c r="N14" s="24" t="str">
        <x:v>acanthurus</x:v>
      </x:c>
      <x:c r="O14" s="32" t="n">
        <x:v>2.03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Acanthurus</x:v>
      </x:c>
      <x:c r="T14" s="32" t="n">
        <x:f>IF(O14="","",(1/'Metadata'!$B$5)^(O14-1))</x:f>
        <x:v>10.71519305237606</x:v>
      </x:c>
      <x:c r="U14" s="31" t="n">
        <x:f>IF(T14="","",I14*T14)</x:f>
        <x:v>89.28370318662519</x:v>
      </x:c>
    </x:row>
    <x:row r="15" ht="18" customHeight="1">
      <x:c r="A15" s="24" t="str">
        <x:v>EEZ_850</x:v>
      </x:c>
      <x:c r="B15" s="24" t="str">
        <x:v>US Virgin Isl.</x:v>
      </x:c>
      <x:c r="C15" s="24" t="str">
        <x:v>EEZ</x:v>
      </x:c>
      <x:c r="D15" s="30" t="n">
        <x:v>2019</x:v>
      </x:c>
      <x:c r="E15" s="24" t="str">
        <x:v>Scombridae</x:v>
      </x:c>
      <x:c r="F15" s="24" t="str">
        <x:v>Mackerels, tunas, bonitos</x:v>
      </x:c>
      <x:c r="G15" s="24" t="str">
        <x:v>Medium pelagics (30 - 89 cm)</x:v>
      </x:c>
      <x:c r="H15" s="24" t="str">
        <x:v>Perch-likes</x:v>
      </x:c>
      <x:c r="I15" s="31" t="n">
        <x:v>4.166666667</x:v>
      </x:c>
      <x:c r="J15" s="31" t="n">
        <x:v>4.166666667</x:v>
      </x:c>
      <x:c r="K15" s="31" t="n">
        <x:v>0</x:v>
      </x:c>
      <x:c r="L15" s="31" t="n">
        <x:v>4.166666667</x:v>
      </x:c>
      <x:c r="M15" s="31" t="n">
        <x:v>0</x:v>
      </x:c>
      <x:c r="N15" s="24" t="str">
        <x:v>scombridae</x:v>
      </x:c>
      <x:c r="O15" s="32" t="n">
        <x:v>4.26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Scombridae</x:v>
      </x:c>
      <x:c r="T15" s="32" t="n">
        <x:f>IF(O15="","",(1/'Metadata'!$B$5)^(O15-1))</x:f>
        <x:v>1819.7008586099826</x:v>
      </x:c>
      <x:c r="U15" s="31" t="n">
        <x:f>IF(T15="","",I15*T15)</x:f>
        <x:v>7582.086911481495</x:v>
      </x:c>
    </x:row>
    <x:row r="16" ht="18" customHeight="1">
      <x:c r="A16" s="24" t="str">
        <x:v>EEZ_850</x:v>
      </x:c>
      <x:c r="B16" s="24" t="str">
        <x:v>US Virgin Isl.</x:v>
      </x:c>
      <x:c r="C16" s="24" t="str">
        <x:v>EEZ</x:v>
      </x:c>
      <x:c r="D16" s="30" t="n">
        <x:v>2019</x:v>
      </x:c>
      <x:c r="E16" s="24" t="str">
        <x:v>Euthynnus alletteratus</x:v>
      </x:c>
      <x:c r="F16" s="24" t="str">
        <x:v>Little tunny </x:v>
      </x:c>
      <x:c r="G16" s="24" t="str">
        <x:v>Large pelagics (&gt;=90 cm)</x:v>
      </x:c>
      <x:c r="H16" s="24" t="str">
        <x:v>Tuna &amp; billfishes</x:v>
      </x:c>
      <x:c r="I16" s="31" t="n">
        <x:v>4</x:v>
      </x:c>
      <x:c r="J16" s="31" t="n">
        <x:v>4</x:v>
      </x:c>
      <x:c r="K16" s="31" t="n">
        <x:v>0</x:v>
      </x:c>
      <x:c r="L16" s="31" t="n">
        <x:v>4</x:v>
      </x:c>
      <x:c r="M16" s="31" t="n">
        <x:v>0</x:v>
      </x:c>
      <x:c r="N16" s="24" t="str">
        <x:v>euthynnus alletteratus</x:v>
      </x:c>
      <x:c r="O16" s="32" t="n">
        <x:v>4.49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Euthynnus alletteratus</x:v>
      </x:c>
      <x:c r="T16" s="32" t="n">
        <x:f>IF(O16="","",(1/'Metadata'!$B$5)^(O16-1))</x:f>
        <x:v>3090.295432513592</x:v>
      </x:c>
      <x:c r="U16" s="31" t="n">
        <x:f>IF(T16="","",I16*T16)</x:f>
        <x:v>12361.181730054368</x:v>
      </x:c>
    </x:row>
    <x:row r="17" ht="18" customHeight="1">
      <x:c r="A17" s="24" t="str">
        <x:v>EEZ_850</x:v>
      </x:c>
      <x:c r="B17" s="24" t="str">
        <x:v>US Virgin Isl.</x:v>
      </x:c>
      <x:c r="C17" s="24" t="str">
        <x:v>EEZ</x:v>
      </x:c>
      <x:c r="D17" s="30" t="n">
        <x:v>2019</x:v>
      </x:c>
      <x:c r="E17" s="24" t="str">
        <x:v>Ostraciidae</x:v>
      </x:c>
      <x:c r="F17" s="24" t="str">
        <x:v>Box-, cow-, trunkfishes</x:v>
      </x:c>
      <x:c r="G17" s="24" t="str">
        <x:v>Medium reef assoc. fish (30 - 89 cm)</x:v>
      </x:c>
      <x:c r="H17" s="24" t="str">
        <x:v>Other fishes &amp; inverts</x:v>
      </x:c>
      <x:c r="I17" s="31" t="n">
        <x:v>3.000000001</x:v>
      </x:c>
      <x:c r="J17" s="31" t="n">
        <x:v>3.000000001</x:v>
      </x:c>
      <x:c r="K17" s="31" t="n">
        <x:v>0</x:v>
      </x:c>
      <x:c r="L17" s="31" t="n">
        <x:v>3.000000001</x:v>
      </x:c>
      <x:c r="M17" s="31" t="n">
        <x:v>0</x:v>
      </x:c>
      <x:c r="N17" s="24" t="str">
        <x:v>ostraciidae</x:v>
      </x:c>
      <x:c r="O17" s="32" t="n">
        <x:v>2.83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Ostraciidae</x:v>
      </x:c>
      <x:c r="T17" s="32" t="n">
        <x:f>IF(O17="","",(1/'Metadata'!$B$5)^(O17-1))</x:f>
        <x:v>67.60829753919819</x:v>
      </x:c>
      <x:c r="U17" s="31" t="n">
        <x:f>IF(T17="","",I17*T17)</x:f>
        <x:v>202.82489268520288</x:v>
      </x:c>
    </x:row>
    <x:row r="18" ht="18" customHeight="1">
      <x:c r="A18" s="24" t="str">
        <x:v>EEZ_850</x:v>
      </x:c>
      <x:c r="B18" s="24" t="str">
        <x:v>US Virgin Isl.</x:v>
      </x:c>
      <x:c r="C18" s="24" t="str">
        <x:v>EEZ</x:v>
      </x:c>
      <x:c r="D18" s="30" t="n">
        <x:v>2019</x:v>
      </x:c>
      <x:c r="E18" s="24" t="str">
        <x:v>Clupeiformes</x:v>
      </x:c>
      <x:c r="F18" s="24" t="str">
        <x:v>Herrings, shads, anchovies</x:v>
      </x:c>
      <x:c r="G18" s="24" t="str">
        <x:v>Small pelagics (&lt;30 cm)</x:v>
      </x:c>
      <x:c r="H18" s="24" t="str">
        <x:v>Other fishes &amp; inverts</x:v>
      </x:c>
      <x:c r="I18" s="31" t="n">
        <x:v>3</x:v>
      </x:c>
      <x:c r="J18" s="31" t="n">
        <x:v>3</x:v>
      </x:c>
      <x:c r="K18" s="31" t="n">
        <x:v>0</x:v>
      </x:c>
      <x:c r="L18" s="31" t="n">
        <x:v>3</x:v>
      </x:c>
      <x:c r="M18" s="31" t="n">
        <x:v>0</x:v>
      </x:c>
      <x:c r="N18" s="24" t="str">
        <x:v>clupeiformes</x:v>
      </x:c>
      <x:c r="O18" s="32" t="n">
        <x:v>3.24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Clupeiformes</x:v>
      </x:c>
      <x:c r="T18" s="32" t="n">
        <x:f>IF(O18="","",(1/'Metadata'!$B$5)^(O18-1))</x:f>
        <x:v>173.78008287493762</x:v>
      </x:c>
      <x:c r="U18" s="31" t="n">
        <x:f>IF(T18="","",I18*T18)</x:f>
        <x:v>521.3402486248128</x:v>
      </x:c>
    </x:row>
    <x:row r="19" ht="18" customHeight="1">
      <x:c r="A19" s="24" t="str">
        <x:v>EEZ_850</x:v>
      </x:c>
      <x:c r="B19" s="24" t="str">
        <x:v>US Virgin Isl.</x:v>
      </x:c>
      <x:c r="C19" s="24" t="str">
        <x:v>EEZ</x:v>
      </x:c>
      <x:c r="D19" s="30" t="n">
        <x:v>2019</x:v>
      </x:c>
      <x:c r="E19" s="24" t="str">
        <x:v>Holocentridae</x:v>
      </x:c>
      <x:c r="F19" s="24" t="str">
        <x:v>Squirrel-, soldierfishes</x:v>
      </x:c>
      <x:c r="G19" s="24" t="str">
        <x:v>Small reef assoc. fish (&lt;30 cm)</x:v>
      </x:c>
      <x:c r="H19" s="24" t="str">
        <x:v>Other fishes &amp; inverts</x:v>
      </x:c>
      <x:c r="I19" s="31" t="n">
        <x:v>2.999999999</x:v>
      </x:c>
      <x:c r="J19" s="31" t="n">
        <x:v>2.999999999</x:v>
      </x:c>
      <x:c r="K19" s="31" t="n">
        <x:v>0</x:v>
      </x:c>
      <x:c r="L19" s="31" t="n">
        <x:v>2.999999999</x:v>
      </x:c>
      <x:c r="M19" s="31" t="n">
        <x:v>0</x:v>
      </x:c>
      <x:c r="N19" s="24" t="str">
        <x:v>holocentridae</x:v>
      </x:c>
      <x:c r="O19" s="32" t="n">
        <x:v>3.49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Holocentridae</x:v>
      </x:c>
      <x:c r="T19" s="32" t="n">
        <x:f>IF(O19="","",(1/'Metadata'!$B$5)^(O19-1))</x:f>
        <x:v>309.0295432513592</x:v>
      </x:c>
      <x:c r="U19" s="31" t="n">
        <x:f>IF(T19="","",I19*T19)</x:f>
        <x:v>927.088629445048</x:v>
      </x:c>
    </x:row>
    <x:row r="20" ht="18" customHeight="1">
      <x:c r="A20" s="24" t="str">
        <x:v>EEZ_850</x:v>
      </x:c>
      <x:c r="B20" s="24" t="str">
        <x:v>US Virgin Isl.</x:v>
      </x:c>
      <x:c r="C20" s="24" t="str">
        <x:v>EEZ</x:v>
      </x:c>
      <x:c r="D20" s="30" t="n">
        <x:v>2019</x:v>
      </x:c>
      <x:c r="E20" s="24" t="str">
        <x:v>Lachnolaimus maximus</x:v>
      </x:c>
      <x:c r="F20" s="24" t="str">
        <x:v>Hogfish</x:v>
      </x:c>
      <x:c r="G20" s="24" t="str">
        <x:v>Medium reef assoc. fish (30 - 89 cm)</x:v>
      </x:c>
      <x:c r="H20" s="24" t="str">
        <x:v>Perch-likes</x:v>
      </x:c>
      <x:c r="I20" s="31" t="n">
        <x:v>1</x:v>
      </x:c>
      <x:c r="J20" s="31" t="n">
        <x:v>1</x:v>
      </x:c>
      <x:c r="K20" s="31" t="n">
        <x:v>0</x:v>
      </x:c>
      <x:c r="L20" s="31" t="n">
        <x:v>1</x:v>
      </x:c>
      <x:c r="M20" s="31" t="n">
        <x:v>0</x:v>
      </x:c>
      <x:c r="N20" s="24" t="str">
        <x:v>lachnolaimus maximus</x:v>
      </x:c>
      <x:c r="O20" s="32" t="n">
        <x:v>4.17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Lachnolaimus maximus</x:v>
      </x:c>
      <x:c r="T20" s="32" t="n">
        <x:f>IF(O20="","",(1/'Metadata'!$B$5)^(O20-1))</x:f>
        <x:v>1479.1083881682073</x:v>
      </x:c>
      <x:c r="U20" s="31" t="n">
        <x:f>IF(T20="","",I20*T20)</x:f>
        <x:v>1479.1083881682073</x:v>
      </x:c>
    </x:row>
    <x:row r="21" ht="18" customHeight="1">
      <x:c r="A21" s="24" t="str">
        <x:v>EEZ_850</x:v>
      </x:c>
      <x:c r="B21" s="24" t="str">
        <x:v>US Virgin Isl.</x:v>
      </x:c>
      <x:c r="C21" s="24" t="str">
        <x:v>EEZ</x:v>
      </x:c>
      <x:c r="D21" s="30" t="n">
        <x:v>2019</x:v>
      </x:c>
      <x:c r="E21" s="24" t="str">
        <x:v>Mollusca</x:v>
      </x:c>
      <x:c r="F21" s="24" t="str">
        <x:v>Clams, seasnails, squids, octopuses</x:v>
      </x:c>
      <x:c r="G21" s="24" t="str">
        <x:v>Other demersal invertebrates</x:v>
      </x:c>
      <x:c r="H21" s="24" t="str">
        <x:v>Molluscs</x:v>
      </x:c>
      <x:c r="I21" s="31" t="n">
        <x:v>1</x:v>
      </x:c>
      <x:c r="J21" s="31" t="n">
        <x:v>1</x:v>
      </x:c>
      <x:c r="K21" s="31" t="n">
        <x:v>0</x:v>
      </x:c>
      <x:c r="L21" s="31" t="n">
        <x:v>1</x:v>
      </x:c>
      <x:c r="M21" s="31" t="n">
        <x:v>0</x:v>
      </x:c>
      <x:c r="N21" s="24" t="str">
        <x:v>mollusca</x:v>
      </x:c>
      <x:c r="O21" s="32" t="n">
        <x:v>2.1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Mollusca</x:v>
      </x:c>
      <x:c r="T21" s="32" t="n">
        <x:f>IF(O21="","",(1/'Metadata'!$B$5)^(O21-1))</x:f>
        <x:v>12.589254117941675</x:v>
      </x:c>
      <x:c r="U21" s="31" t="n">
        <x:f>IF(T21="","",I21*T21)</x:f>
        <x:v>12.589254117941675</x:v>
      </x:c>
    </x:row>
    <x:row r="22" ht="18" customHeight="1">
      <x:c r="A22" s="24" t="str">
        <x:v>EEZ_850</x:v>
      </x:c>
      <x:c r="B22" s="24" t="str">
        <x:v>US Virgin Isl.</x:v>
      </x:c>
      <x:c r="C22" s="24" t="str">
        <x:v>EEZ</x:v>
      </x:c>
      <x:c r="D22" s="30" t="n">
        <x:v>2019</x:v>
      </x:c>
      <x:c r="E22" s="24" t="str">
        <x:v>Hemiramphus brasiliensis</x:v>
      </x:c>
      <x:c r="F22" s="24" t="str">
        <x:v>Ballyhoo halfbeak</x:v>
      </x:c>
      <x:c r="G22" s="24" t="str">
        <x:v>Medium pelagics (30 - 89 cm)</x:v>
      </x:c>
      <x:c r="H22" s="24" t="str">
        <x:v>Other fishes &amp; inverts</x:v>
      </x:c>
      <x:c r="I22" s="31" t="n">
        <x:v>0.9999999989999999</x:v>
      </x:c>
      <x:c r="J22" s="31" t="n">
        <x:v>0.9999999989999999</x:v>
      </x:c>
      <x:c r="K22" s="31" t="n">
        <x:v>0</x:v>
      </x:c>
      <x:c r="L22" s="31" t="n">
        <x:v>0.9999999989999999</x:v>
      </x:c>
      <x:c r="M22" s="31" t="n">
        <x:v>0</x:v>
      </x:c>
      <x:c r="N22" s="24" t="str">
        <x:v>hemiramphus brasiliensis</x:v>
      </x:c>
      <x:c r="O22" s="32" t="n">
        <x:v>2.28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Hemiramphus brasiliensis</x:v>
      </x:c>
      <x:c r="T22" s="32" t="n">
        <x:f>IF(O22="","",(1/'Metadata'!$B$5)^(O22-1))</x:f>
        <x:v>19.054607179632463</x:v>
      </x:c>
      <x:c r="U22" s="31" t="n">
        <x:f>IF(T22="","",I22*T22)</x:f>
        <x:v>19.054607160577852</x:v>
      </x:c>
    </x:row>
  </x:sheetData>
  <x:conditionalFormatting sqref="R2:R22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ea5d267c5484484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45.140000002</x:v>
      </x:c>
      <x:c r="C2" s="32" t="n">
        <x:v>3.2</x:v>
      </x:c>
      <x:c r="D2" s="32" t="n">
        <x:f>IF(C2="","",(1/'Metadata'!$B$5)^(C2-1))</x:f>
        <x:v>158.48931924611142</x:v>
      </x:c>
      <x:c r="E2" s="31" t="n">
        <x:f>IF(B2=0,"",B2*D2)</x:f>
        <x:v>7154.207871086448</x:v>
      </x:c>
    </x:row>
    <x:row r="3" ht="18" customHeight="1">
      <x:c r="A3" s="24" t="str">
        <x:v>Molluscs</x:v>
      </x:c>
      <x:c r="B3" s="31" t="n">
        <x:v>1</x:v>
      </x:c>
      <x:c r="C3" s="32" t="n">
        <x:v>2.1</x:v>
      </x:c>
      <x:c r="D3" s="32" t="n">
        <x:f>IF(C3="","",(1/'Metadata'!$B$5)^(C3-1))</x:f>
        <x:v>12.589254117941675</x:v>
      </x:c>
      <x:c r="E3" s="31" t="n">
        <x:f>IF(B3=0,"",B3*D3)</x:f>
        <x:v>12.589254117941675</x:v>
      </x:c>
    </x:row>
    <x:row r="4" ht="18" customHeight="1">
      <x:c r="A4" s="24" t="str">
        <x:v>Other fishes &amp; inverts</x:v>
      </x:c>
      <x:c r="B4" s="31" t="n">
        <x:v>149.804904999</x:v>
      </x:c>
      <x:c r="C4" s="32" t="n">
        <x:v>3.262936865453724</x:v>
      </x:c>
      <x:c r="D4" s="32" t="n">
        <x:f>IF(C4="","",(1/'Metadata'!$B$5)^(C4-1))</x:f>
        <x:v>183.2048073300722</x:v>
      </x:c>
      <x:c r="E4" s="31" t="n">
        <x:f>IF(B4=0,"",B4*D4)</x:f>
        <x:v>27444.978757441568</x:v>
      </x:c>
    </x:row>
    <x:row r="5" ht="18" customHeight="1">
      <x:c r="A5" s="24" t="str">
        <x:v>Perch-likes</x:v>
      </x:c>
      <x:c r="B5" s="31" t="n">
        <x:v>138.07796166799997</x:v>
      </x:c>
      <x:c r="C5" s="32" t="n">
        <x:v>3.952958729357928</x:v>
      </x:c>
      <x:c r="D5" s="32" t="n">
        <x:f>IF(C5="","",(1/'Metadata'!$B$5)^(C5-1))</x:f>
        <x:v>897.3435166435747</x:v>
      </x:c>
      <x:c r="E5" s="31" t="n">
        <x:f>IF(B5=0,"",B5*D5)</x:f>
        <x:v>123903.3636941398</x:v>
      </x:c>
    </x:row>
    <x:row r="6" ht="18" customHeight="1">
      <x:c r="A6" s="24" t="str">
        <x:v>Tuna &amp; billfishes</x:v>
      </x:c>
      <x:c r="B6" s="31" t="n">
        <x:v>51.4562</x:v>
      </x:c>
      <x:c r="C6" s="32" t="n">
        <x:v>4.420830201219679</x:v>
      </x:c>
      <x:c r="D6" s="32" t="n">
        <x:f>IF(C6="","",(1/'Metadata'!$B$5)^(C6-1))</x:f>
        <x:v>2635.3008446270346</x:v>
      </x:c>
      <x:c r="E6" s="31" t="n">
        <x:f>IF(B6=0,"",B6*D6)</x:f>
        <x:v>135602.56732129763</x:v>
      </x:c>
    </x:row>
  </x:sheetData>
  <x:pageMargins left="0.7" right="0.7" top="0.75" bottom="0.75" header="0.3" footer="0.3"/>
  <x:tableParts count="1">
    <x:tablePart xmlns:r="http://schemas.openxmlformats.org/officeDocument/2006/relationships" r:id="R43b223972cc1490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pelagics (&gt;=90 cm)</x:v>
      </x:c>
      <x:c r="B2" s="31" t="n">
        <x:v>111.91239999999999</x:v>
      </x:c>
      <x:c r="C2" s="32" t="n">
        <x:v>4.366116945039156</x:v>
      </x:c>
      <x:c r="D2" s="32" t="n">
        <x:f>IF(C2="","",(1/'Metadata'!$B$5)^(C2-1))</x:f>
        <x:v>2323.3623376251917</x:v>
      </x:c>
      <x:c r="E2" s="31" t="n">
        <x:f>IF(B2=0,"",B2*D2)</x:f>
        <x:v>260013.05527324547</x:v>
      </x:c>
    </x:row>
    <x:row r="3" ht="18" customHeight="1">
      <x:c r="A3" s="24" t="str">
        <x:v>Lobsters, crabs</x:v>
      </x:c>
      <x:c r="B3" s="31" t="n">
        <x:v>45.140000002</x:v>
      </x:c>
      <x:c r="C3" s="32" t="n">
        <x:v>3.2</x:v>
      </x:c>
      <x:c r="D3" s="32" t="n">
        <x:f>IF(C3="","",(1/'Metadata'!$B$5)^(C3-1))</x:f>
        <x:v>158.48931924611142</x:v>
      </x:c>
      <x:c r="E3" s="31" t="n">
        <x:f>IF(B3=0,"",B3*D3)</x:f>
        <x:v>7154.207871086448</x:v>
      </x:c>
    </x:row>
    <x:row r="4" ht="18" customHeight="1">
      <x:c r="A4" s="24" t="str">
        <x:v>Medium demersals (30 - 89 cm)</x:v>
      </x:c>
      <x:c r="B4" s="31" t="n">
        <x:v>130.168784999</x:v>
      </x:c>
      <x:c r="C4" s="32" t="n">
        <x:v>3.288748797954968</x:v>
      </x:c>
      <x:c r="D4" s="32" t="n">
        <x:f>IF(C4="","",(1/'Metadata'!$B$5)^(C4-1))</x:f>
        <x:v>194.4235183312447</x:v>
      </x:c>
      <x:c r="E4" s="31" t="n">
        <x:f>IF(B4=0,"",B4*D4)</x:f>
        <x:v>25307.87315640893</x:v>
      </x:c>
    </x:row>
    <x:row r="5" ht="18" customHeight="1">
      <x:c r="A5" s="24" t="str">
        <x:v>Medium pelagics (30 - 89 cm)</x:v>
      </x:c>
      <x:c r="B5" s="31" t="n">
        <x:v>15.166666667000001</x:v>
      </x:c>
      <x:c r="C5" s="32" t="n">
        <x:v>3.990989011111626</x:v>
      </x:c>
      <x:c r="D5" s="32" t="n">
        <x:f>IF(C5="","",(1/'Metadata'!$B$5)^(C5-1))</x:f>
        <x:v>979.4652018335238</x:v>
      </x:c>
      <x:c r="E5" s="31" t="n">
        <x:f>IF(B5=0,"",B5*D5)</x:f>
        <x:v>14855.222228134933</x:v>
      </x:c>
    </x:row>
    <x:row r="6" ht="18" customHeight="1">
      <x:c r="A6" s="24" t="str">
        <x:v>Medium reef assoc. fish (30 - 89 cm)</x:v>
      </x:c>
      <x:c r="B6" s="31" t="n">
        <x:v>67.758775003</x:v>
      </x:c>
      <x:c r="C6" s="32" t="n">
        <x:v>3.6563476782031694</x:v>
      </x:c>
      <x:c r="D6" s="32" t="n">
        <x:f>IF(C6="","",(1/'Metadata'!$B$5)^(C6-1))</x:f>
        <x:v>453.26029614621024</x:v>
      </x:c>
      <x:c r="E6" s="31" t="n">
        <x:f>IF(B6=0,"",B6*D6)</x:f>
        <x:v>30712.362424364204</x:v>
      </x:c>
    </x:row>
    <x:row r="7" ht="18" customHeight="1">
      <x:c r="A7" s="24" t="str">
        <x:v>Other demersal invertebrates</x:v>
      </x:c>
      <x:c r="B7" s="31" t="n">
        <x:v>1</x:v>
      </x:c>
      <x:c r="C7" s="32" t="n">
        <x:v>2.1</x:v>
      </x:c>
      <x:c r="D7" s="32" t="n">
        <x:f>IF(C7="","",(1/'Metadata'!$B$5)^(C7-1))</x:f>
        <x:v>12.589254117941675</x:v>
      </x:c>
      <x:c r="E7" s="31" t="n">
        <x:f>IF(B7=0,"",B7*D7)</x:f>
        <x:v>12.589254117941675</x:v>
      </x:c>
    </x:row>
    <x:row r="8" ht="18" customHeight="1">
      <x:c r="A8" s="24" t="str">
        <x:v>Small pelagics (&lt;30 cm)</x:v>
      </x:c>
      <x:c r="B8" s="31" t="n">
        <x:v>3</x:v>
      </x:c>
      <x:c r="C8" s="32" t="n">
        <x:v>3.24</x:v>
      </x:c>
      <x:c r="D8" s="32" t="n">
        <x:f>IF(C8="","",(1/'Metadata'!$B$5)^(C8-1))</x:f>
        <x:v>173.78008287493762</x:v>
      </x:c>
      <x:c r="E8" s="31" t="n">
        <x:f>IF(B8=0,"",B8*D8)</x:f>
        <x:v>521.3402486248128</x:v>
      </x:c>
    </x:row>
    <x:row r="9" ht="18" customHeight="1">
      <x:c r="A9" s="24" t="str">
        <x:v>Small reef assoc. fish (&lt;30 cm)</x:v>
      </x:c>
      <x:c r="B9" s="31" t="n">
        <x:v>11.332439998</x:v>
      </x:c>
      <x:c r="C9" s="32" t="n">
        <x:v>2.4165010535518383</x:v>
      </x:c>
      <x:c r="D9" s="32" t="n">
        <x:f>IF(C9="","",(1/'Metadata'!$B$5)^(C9-1))</x:f>
        <x:v>26.091620525537845</x:v>
      </x:c>
      <x:c r="E9" s="31" t="n">
        <x:f>IF(B9=0,"",B9*D9)</x:f>
        <x:v>295.68172405624284</x:v>
      </x:c>
    </x:row>
  </x:sheetData>
  <x:pageMargins left="0.7" right="0.7" top="0.75" bottom="0.75" header="0.3" footer="0.3"/>
  <x:tableParts count="1">
    <x:tablePart xmlns:r="http://schemas.openxmlformats.org/officeDocument/2006/relationships" r:id="Rf713c7c502c7497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EEZ_850</x:v>
      </x:c>
      <x:c r="B2" s="24" t="str">
        <x:v>raw_filtered_tonnes</x:v>
      </x:c>
      <x:c r="C2" s="24" t="n">
        <x:v>385.479066669</x:v>
      </x:c>
      <x:c r="D2" s="24" t="str">
        <x:v>tonnes</x:v>
      </x:c>
    </x:row>
    <x:row r="3" ht="18" customHeight="1">
      <x:c r="A3" s="24" t="str">
        <x:v>EEZ_850</x:v>
      </x:c>
      <x:c r="B3" s="24" t="str">
        <x:v>species_catch_tonnes</x:v>
      </x:c>
      <x:c r="C3" s="24" t="n">
        <x:v>385.4790666690001</x:v>
      </x:c>
      <x:c r="D3" s="24" t="str">
        <x:v>tonnes</x:v>
      </x:c>
    </x:row>
    <x:row r="4" ht="18" customHeight="1">
      <x:c r="A4" s="24" t="str">
        <x:v>EEZ_850</x:v>
      </x:c>
      <x:c r="B4" s="24" t="str">
        <x:v>catch_difference_tonnes</x:v>
      </x:c>
      <x:c r="C4" s="24" t="n">
        <x:v>5.684341886080802e-14</x:v>
      </x:c>
      <x:c r="D4" s="24" t="str">
        <x:v>tonnes</x:v>
      </x:c>
    </x:row>
    <x:row r="5" ht="18" customHeight="1">
      <x:c r="A5" s="24" t="str">
        <x:v>EEZ_850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EEZ_850</x:v>
      </x:c>
      <x:c r="B6" s="24" t="str">
        <x:v>matched_catch_tonnes</x:v>
      </x:c>
      <x:c r="C6" s="24" t="n">
        <x:v>385.4790666690001</x:v>
      </x:c>
      <x:c r="D6" s="24" t="str">
        <x:v>tonnes</x:v>
      </x:c>
    </x:row>
    <x:row r="7" ht="18" customHeight="1">
      <x:c r="A7" s="24" t="str">
        <x:v>EEZ_850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EEZ_850</x:v>
      </x:c>
      <x:c r="B8" s="24" t="str">
        <x:v>taxa_count</x:v>
      </x:c>
      <x:c r="C8" s="24" t="n">
        <x:v>21</x:v>
      </x:c>
      <x:c r="D8" s="24" t="str">
        <x:v>count</x:v>
      </x:c>
    </x:row>
    <x:row r="9" ht="18" customHeight="1">
      <x:c r="A9" s="24" t="str">
        <x:v>EEZ_850</x:v>
      </x:c>
      <x:c r="B9" s="24" t="str">
        <x:v>matched_taxa_count</x:v>
      </x:c>
      <x:c r="C9" s="24" t="n">
        <x:v>21</x:v>
      </x:c>
      <x:c r="D9" s="24" t="str">
        <x:v>count</x:v>
      </x:c>
    </x:row>
    <x:row r="10" ht="18" customHeight="1">
      <x:c r="A10" s="24" t="str">
        <x:v>EEZ_850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EEZ_850</x:v>
      </x:c>
      <x:c r="B11" s="24" t="str">
        <x:v>species_ppr</x:v>
      </x:c>
      <x:c r="C11" s="24" t="n">
        <x:v>359796.24203482084</x:v>
      </x:c>
      <x:c r="D11" s="24" t="str">
        <x:v>tonnes_primary_production_equivalent</x:v>
      </x:c>
    </x:row>
    <x:row r="12" ht="18" customHeight="1">
      <x:c r="A12" s="24" t="str">
        <x:v>EEZ_850</x:v>
      </x:c>
      <x:c r="B12" s="24" t="str">
        <x:v>commercial_ppr</x:v>
      </x:c>
      <x:c r="C12" s="24" t="n">
        <x:v>294117.7068980834</x:v>
      </x:c>
      <x:c r="D12" s="24" t="str">
        <x:v>tonnes_primary_production_equivalent</x:v>
      </x:c>
    </x:row>
    <x:row r="13" ht="18" customHeight="1">
      <x:c r="A13" s="24" t="str">
        <x:v>EEZ_850</x:v>
      </x:c>
      <x:c r="B13" s="24" t="str">
        <x:v>functional_ppr</x:v>
      </x:c>
      <x:c r="C13" s="24" t="n">
        <x:v>338872.332180039</x:v>
      </x:c>
      <x:c r="D13" s="24" t="str">
        <x:v>tonnes_primary_production_equivalent</x:v>
      </x:c>
    </x:row>
    <x:row r="14" ht="18" customHeight="1">
      <x:c r="A14" s="24" t="str">
        <x:v>EEZ_850</x:v>
      </x:c>
      <x:c r="B14" s="24" t="str">
        <x:v>commercial_ppr_difference</x:v>
      </x:c>
      <x:c r="C14" s="24" t="n">
        <x:v>-65678.53513673745</x:v>
      </x:c>
      <x:c r="D14" s="24" t="str">
        <x:v>tonnes_primary_production_equivalent</x:v>
      </x:c>
    </x:row>
    <x:row r="15" ht="18" customHeight="1">
      <x:c r="A15" s="24" t="str">
        <x:v>EEZ_850</x:v>
      </x:c>
      <x:c r="B15" s="24" t="str">
        <x:v>functional_ppr_difference</x:v>
      </x:c>
      <x:c r="C15" s="24" t="n">
        <x:v>-20923.909854781814</x:v>
      </x:c>
      <x:c r="D15" s="24" t="str">
        <x:v>tonnes_primary_production_equivalent</x:v>
      </x:c>
    </x:row>
    <x:row r="16" ht="18" customHeight="1">
      <x:c r="A16" s="24" t="str">
        <x:v>EEZ_850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EEZ_850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5c57a6384c1a46e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EEZ_850 - US Virgin Isl.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EEZ_850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raw_data/SAU_downloads/EEZ_850-catch.zip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