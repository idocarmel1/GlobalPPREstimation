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f7a0d09f632412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pecies" sheetId="1" r:id="Rc301f70f9216480d"/>
    <x:sheet xmlns:r="http://schemas.openxmlformats.org/officeDocument/2006/relationships" name="Commercial" sheetId="2" r:id="Re26c724ca2a64720"/>
    <x:sheet xmlns:r="http://schemas.openxmlformats.org/officeDocument/2006/relationships" name="Functional" sheetId="3" r:id="Rbe77e298c5ef43c0"/>
    <x:sheet xmlns:r="http://schemas.openxmlformats.org/officeDocument/2006/relationships" name="Missing TL" sheetId="4" r:id="R6728a048f9554b16"/>
    <x:sheet xmlns:r="http://schemas.openxmlformats.org/officeDocument/2006/relationships" name="Validation" sheetId="5" r:id="R5eb06793c9e148cc"/>
    <x:sheet xmlns:r="http://schemas.openxmlformats.org/officeDocument/2006/relationships" name="Metadata" sheetId="6" r:id="R1d7b9f01ba0a427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"/>
    <x:numFmt numFmtId="201" formatCode="#,##0.00"/>
    <x:numFmt numFmtId="202" formatCode="0.0000"/>
    <x:numFmt numFmtId="203" formatCode="0.00"/>
  </x:numFmts>
  <x:fonts count="7">
    <x:font>
      <x:sz val="11"/>
      <x:name val="Carlito"/>
    </x:font>
    <x:font>
      <x:b/>
      <x:sz val="16"/>
      <x:color rgb="FFFFFFFF"/>
      <x:name val="Aptos Display"/>
    </x:font>
    <x:font>
      <x:sz val="10"/>
      <x:name val="Aptos"/>
    </x:font>
    <x:font>
      <x:b/>
      <x:sz val="10"/>
      <x:color rgb="FFFFFFFF"/>
      <x:name val="Aptos"/>
    </x:font>
    <x:font>
      <x:b/>
      <x:sz val="10"/>
      <x:color rgb="FF17324D"/>
      <x:name val="Aptos"/>
    </x:font>
    <x:font>
      <x:sz val="9"/>
      <x:color rgb="FF1D2939"/>
      <x:name val="Aptos"/>
    </x:font>
    <x:font>
      <x:b/>
      <x:sz val="10"/>
      <x:color rgb="FFFFFFFF"/>
      <x:name val="Aptos Display"/>
    </x:font>
  </x:fonts>
  <x:fills count="4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147D92"/>
      </x:patternFill>
    </x:fill>
  </x:fills>
  <x:borders count="11">
    <x:border/>
    <x:border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bottom style="thin">
        <x:color rgb="FFD0D5DD"/>
      </x:bottom>
    </x:border>
    <x:border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top style="thin">
        <x:color rgb="FFD0D5DD"/>
      </x:top>
      <x:bottom style="thin">
        <x:color rgb="FFD0D5DD"/>
      </x:bottom>
    </x:border>
    <x:border>
      <x:right style="thin">
        <x:color rgb="FFD0D5DD"/>
      </x:right>
      <x:top style="thin">
        <x:color rgb="FFD0D5DD"/>
      </x:top>
    </x:border>
    <x:border>
      <x:left style="thin">
        <x:color rgb="FFD0D5DD"/>
      </x:left>
      <x:right style="thin">
        <x:color rgb="FFD0D5DD"/>
      </x:right>
      <x:top style="thin">
        <x:color rgb="FFD0D5DD"/>
      </x:top>
    </x:border>
    <x:border>
      <x:left style="thin">
        <x:color rgb="FFD0D5DD"/>
      </x:left>
      <x:top style="thin">
        <x:color rgb="FFD0D5DD"/>
      </x:top>
    </x:border>
    <x:border>
      <x:bottom style="medium">
        <x:color rgb="FF147D92"/>
      </x:bottom>
    </x:border>
  </x:borders>
  <x:cellStyleXfs count="1">
    <x:xf numFmtId="0" fontId="0" fillId="0" borderId="0"/>
  </x:cellStyleXfs>
  <x:cellXfs count="35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0" borderId="0" xfId="0" applyNumberFormat="1" applyFont="1" applyFill="1" applyBorder="1"/>
    <x:xf numFmtId="0" fontId="2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3" fillId="3" borderId="2" xfId="0" applyNumberFormat="1" applyFont="1" applyFill="1" applyBorder="1"/>
    <x:xf numFmtId="0" fontId="3" fillId="3" borderId="3" xfId="0" applyNumberFormat="1" applyFont="1" applyFill="1" applyBorder="1"/>
    <x:xf numFmtId="0" fontId="2" fillId="0" borderId="4" xfId="0" applyNumberFormat="1" applyFont="1" applyFill="1" applyBorder="1"/>
    <x:xf numFmtId="0" fontId="2" fillId="0" borderId="5" xfId="0" applyNumberFormat="1" applyFont="1" applyFill="1" applyBorder="1"/>
    <x:xf numFmtId="0" fontId="2" fillId="0" borderId="6" xfId="0" applyNumberFormat="1" applyFont="1" applyFill="1" applyBorder="1"/>
    <x:xf numFmtId="0" fontId="2" fillId="0" borderId="7" xfId="0" applyNumberFormat="1" applyFont="1" applyFill="1" applyBorder="1"/>
    <x:xf numFmtId="0" fontId="2" fillId="0" borderId="8" xfId="0" applyNumberFormat="1" applyFont="1" applyFill="1" applyBorder="1"/>
    <x:xf numFmtId="0" fontId="2" fillId="0" borderId="9" xfId="0" applyNumberFormat="1" applyFont="1" applyFill="1" applyBorder="1"/>
    <x:xf numFmtId="0" fontId="2" fillId="0" borderId="4" xfId="0" applyNumberFormat="1" applyFont="1" applyFill="1" applyBorder="1" applyAlignment="1">
      <x:alignment wrapText="1"/>
    </x:xf>
    <x:xf numFmtId="0" fontId="2" fillId="0" borderId="5" xfId="0" applyNumberFormat="1" applyFont="1" applyFill="1" applyBorder="1" applyAlignment="1">
      <x:alignment wrapText="1"/>
    </x:xf>
    <x:xf numFmtId="0" fontId="2" fillId="0" borderId="6" xfId="0" applyNumberFormat="1" applyFont="1" applyFill="1" applyBorder="1" applyAlignment="1">
      <x:alignment wrapText="1"/>
    </x:xf>
    <x:xf numFmtId="0" fontId="2" fillId="0" borderId="7" xfId="0" applyNumberFormat="1" applyFont="1" applyFill="1" applyBorder="1" applyAlignment="1">
      <x:alignment wrapText="1"/>
    </x:xf>
    <x:xf numFmtId="0" fontId="2" fillId="0" borderId="8" xfId="0" applyNumberFormat="1" applyFont="1" applyFill="1" applyBorder="1" applyAlignment="1">
      <x:alignment wrapText="1"/>
    </x:xf>
    <x:xf numFmtId="0" fontId="2" fillId="0" borderId="9" xfId="0" applyNumberFormat="1" applyFont="1" applyFill="1" applyBorder="1" applyAlignment="1">
      <x:alignment wrapText="1"/>
    </x:xf>
    <x:xf numFmtId="0" fontId="4" fillId="0" borderId="4" xfId="0" applyNumberFormat="1" applyFont="1" applyFill="1" applyBorder="1" applyAlignment="1">
      <x:alignment wrapText="1"/>
    </x:xf>
    <x:xf numFmtId="0" fontId="4" fillId="0" borderId="7" xfId="0" applyNumberFormat="1" applyFont="1" applyFill="1" applyBorder="1" applyAlignment="1">
      <x:alignment wrapText="1"/>
    </x:xf>
    <x:xf numFmtId="0" fontId="5" fillId="0" borderId="0" xfId="0" applyNumberFormat="1" applyFont="1" applyFill="1" applyBorder="1"/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6" fillId="2" borderId="10" xfId="0" applyNumberFormat="1" applyFont="1" applyFill="1" applyBorder="1"/>
    <x:xf numFmtId="0" fontId="6" fillId="2" borderId="10" xfId="0" applyNumberFormat="1" applyFont="1" applyFill="1" applyBorder="1" applyAlignment="1">
      <x:alignment wrapText="1"/>
    </x:xf>
    <x:xf numFmtId="0" fontId="6" fillId="2" borderId="10" xfId="0" applyNumberFormat="1" applyFont="1" applyFill="1" applyBorder="1" applyAlignment="1">
      <x:alignment vertical="center" wrapText="1"/>
    </x:xf>
    <x:xf numFmtId="200" fontId="5" fillId="0" borderId="0" xfId="0" applyNumberFormat="1" applyFont="1" applyFill="1" applyBorder="1"/>
    <x:xf numFmtId="201" fontId="5" fillId="0" borderId="0" xfId="0" applyNumberFormat="1" applyFont="1" applyFill="1" applyBorder="1"/>
    <x:xf numFmtId="202" fontId="5" fillId="0" borderId="0" xfId="0" applyNumberFormat="1" applyFont="1" applyFill="1" applyBorder="1"/>
    <x:xf numFmtId="0" fontId="5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2" fillId="0" borderId="5" xfId="0" applyNumberFormat="1" applyFont="1" applyFill="1" applyBorder="1" applyAlignment="1">
      <x:alignment wrapText="1"/>
    </x:xf>
  </x:cellXfs>
  <x:cellStyles count="1">
    <x:cellStyle name="Normal" xfId="0"/>
  </x:cellStyles>
  <x:dxfs count="1">
    <x:dxf>
      <x:font>
        <x:color rgb="FF9A3412"/>
      </x:font>
      <x:fill>
        <x:patternFill patternType="solid">
          <x:bgColor rgb="FFFCEAD8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bba07bcfbd24127" /><Relationship Type="http://schemas.openxmlformats.org/officeDocument/2006/relationships/theme" Target="/xl/theme/theme1.xml" Id="Rf5a3b846479f48b9" /><Relationship Type="http://schemas.microsoft.com/office/2022/11/relationships/FeaturePropertyBag" Target="/xl/featurePropertyBag/featurePropertyBag.xml" Id="R7b5ecd033d444d5b" /><Relationship Type="http://schemas.openxmlformats.org/officeDocument/2006/relationships/sharedStrings" Target="/xl/sharedStrings.xml" Id="Rd6f3a456f9324214" /><Relationship Type="http://schemas.openxmlformats.org/officeDocument/2006/relationships/worksheet" Target="/xl/worksheets/sheet1.xml" Id="Rc301f70f9216480d" /><Relationship Type="http://schemas.openxmlformats.org/officeDocument/2006/relationships/worksheet" Target="/xl/worksheets/sheet2.xml" Id="Re26c724ca2a64720" /><Relationship Type="http://schemas.openxmlformats.org/officeDocument/2006/relationships/worksheet" Target="/xl/worksheets/sheet3.xml" Id="Rbe77e298c5ef43c0" /><Relationship Type="http://schemas.openxmlformats.org/officeDocument/2006/relationships/worksheet" Target="/xl/worksheets/sheet4.xml" Id="R6728a048f9554b16" /><Relationship Type="http://schemas.openxmlformats.org/officeDocument/2006/relationships/worksheet" Target="/xl/worksheets/sheet5.xml" Id="R5eb06793c9e148cc" /><Relationship Type="http://schemas.openxmlformats.org/officeDocument/2006/relationships/worksheet" Target="/xl/worksheets/sheet6.xml" Id="R1d7b9f01ba0a4279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EEZ901SpeciesTable" displayName="EEZ901SpeciesTable" ref="A1:U153" headerRowCount="1" totalsRowCount="0" totalsRowShown="0">
  <x:autoFilter ref="A1:U153"/>
  <x:tableColumns count="21">
    <x:tableColumn id="1" name="unit_id"/>
    <x:tableColumn id="2" name="region_name"/>
    <x:tableColumn id="3" name="region_type"/>
    <x:tableColumn id="4" name="year"/>
    <x:tableColumn id="5" name="taxon"/>
    <x:tableColumn id="6" name="common_name"/>
    <x:tableColumn id="7" name="functional_group"/>
    <x:tableColumn id="8" name="commercial_group"/>
    <x:tableColumn id="9" name="catch_tonnes"/>
    <x:tableColumn id="10" name="landings_tonnes"/>
    <x:tableColumn id="11" name="discards_tonnes"/>
    <x:tableColumn id="12" name="reported_tonnes"/>
    <x:tableColumn id="13" name="unreported_tonnes"/>
    <x:tableColumn id="14" name="taxon_key"/>
    <x:tableColumn id="15" name="tl"/>
    <x:tableColumn id="16" name="match_method"/>
    <x:tableColumn id="17" name="tl_source"/>
    <x:tableColumn id="18" name="match_confidence"/>
    <x:tableColumn id="19" name="reference_taxon"/>
    <x:tableColumn id="20" name="sppr"/>
    <x:tableColumn id="21" name="ppr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EEZ901CommercialTable" displayName="EEZ901CommercialTable" ref="A1:E13" headerRowCount="1" totalsRowCount="0" totalsRowShown="0">
  <x:autoFilter ref="A1:E13"/>
  <x:tableColumns count="5">
    <x:tableColumn id="1" name="commercial_group"/>
    <x:tableColumn id="2" name="catch_tonnes_matched"/>
    <x:tableColumn id="3" name="tl_weighted"/>
    <x:tableColumn id="4" name="sppr"/>
    <x:tableColumn id="5" name="ppr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EEZ901FunctionalTable" displayName="EEZ901FunctionalTable" ref="A1:E26" headerRowCount="1" totalsRowCount="0" totalsRowShown="0">
  <x:autoFilter ref="A1:E26"/>
  <x:tableColumns count="5">
    <x:tableColumn id="1" name="functional_group"/>
    <x:tableColumn id="2" name="catch_tonnes_matched"/>
    <x:tableColumn id="3" name="tl_weighted"/>
    <x:tableColumn id="4" name="sppr"/>
    <x:tableColumn id="5" name="ppr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EEZ901ValidationTable" displayName="EEZ901ValidationTable" ref="A1:D17" headerRowCount="1" totalsRowCount="0" totalsRowShown="0">
  <x:autoFilter ref="A1:D17"/>
  <x:tableColumns count="4">
    <x:tableColumn id="1" name="unit_id"/>
    <x:tableColumn id="2" name="check"/>
    <x:tableColumn id="3" name="value"/>
    <x:tableColumn id="4" name="uni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88943ad22cd94446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fc59ce63f3104975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64a4aa069ce54ca8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ace0e345f8b4410c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3" hidden="0" customWidth="1"/>
    <x:col min="7" max="7" width="30" hidden="0" customWidth="1"/>
    <x:col min="8" max="8" width="24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40" hidden="0" customWidth="1"/>
    <x:col min="18" max="18" width="22" hidden="0" customWidth="1"/>
    <x:col min="19" max="19" width="25" hidden="0" customWidth="1"/>
    <x:col min="20" max="20" width="18" hidden="0" customWidth="1"/>
    <x:col min="21" max="21" width="18" hidden="0" customWidth="1"/>
  </x:cols>
  <x:sheetData>
    <x:row r="1" ht="32" customHeight="1">
      <x:c r="A1" s="29" t="str">
        <x:v>unit_id</x:v>
      </x:c>
      <x:c r="B1" s="29" t="str">
        <x:v>region_name</x:v>
      </x:c>
      <x:c r="C1" s="29" t="str">
        <x:v>region_type</x:v>
      </x:c>
      <x:c r="D1" s="29" t="str">
        <x:v>year</x:v>
      </x:c>
      <x:c r="E1" s="29" t="str">
        <x:v>taxon</x:v>
      </x:c>
      <x:c r="F1" s="29" t="str">
        <x:v>common_name</x:v>
      </x:c>
      <x:c r="G1" s="29" t="str">
        <x:v>functional_group</x:v>
      </x:c>
      <x:c r="H1" s="29" t="str">
        <x:v>commercial_group</x:v>
      </x:c>
      <x:c r="I1" s="29" t="str">
        <x:v>catch_tonnes</x:v>
      </x:c>
      <x:c r="J1" s="29" t="str">
        <x:v>landings_tonnes</x:v>
      </x:c>
      <x:c r="K1" s="29" t="str">
        <x:v>discards_tonnes</x:v>
      </x:c>
      <x:c r="L1" s="29" t="str">
        <x:v>reported_tonnes</x:v>
      </x:c>
      <x:c r="M1" s="29" t="str">
        <x:v>unreported_tonnes</x:v>
      </x:c>
      <x:c r="N1" s="29" t="str">
        <x:v>taxon_key</x:v>
      </x:c>
      <x:c r="O1" s="29" t="str">
        <x:v>tl</x:v>
      </x:c>
      <x:c r="P1" s="29" t="str">
        <x:v>match_method</x:v>
      </x:c>
      <x:c r="Q1" s="29" t="str">
        <x:v>tl_source</x:v>
      </x:c>
      <x:c r="R1" s="29" t="str">
        <x:v>match_confidence</x:v>
      </x:c>
      <x:c r="S1" s="29" t="str">
        <x:v>reference_taxon</x:v>
      </x:c>
      <x:c r="T1" s="29" t="str">
        <x:v>sppr</x:v>
      </x:c>
      <x:c r="U1" s="29" t="str">
        <x:v>ppr</x:v>
      </x:c>
    </x:row>
    <x:row r="2" ht="18" customHeight="1">
      <x:c r="A2" s="24" t="str">
        <x:v>EEZ_901</x:v>
      </x:c>
      <x:c r="B2" s="24" t="str">
        <x:v>Sicily (Italy)</x:v>
      </x:c>
      <x:c r="C2" s="24" t="str">
        <x:v>EEZ</x:v>
      </x:c>
      <x:c r="D2" s="30" t="n">
        <x:v>2019</x:v>
      </x:c>
      <x:c r="E2" s="24" t="str">
        <x:v>Parapenaeus longirostris</x:v>
      </x:c>
      <x:c r="F2" s="24" t="str">
        <x:v>Deepwater rose shrimp</x:v>
      </x:c>
      <x:c r="G2" s="24" t="str">
        <x:v>Shrimps</x:v>
      </x:c>
      <x:c r="H2" s="24" t="str">
        <x:v>Crustaceans</x:v>
      </x:c>
      <x:c r="I2" s="31" t="n">
        <x:v>5326.8174768380995</x:v>
      </x:c>
      <x:c r="J2" s="31" t="n">
        <x:v>5316.1564009381</x:v>
      </x:c>
      <x:c r="K2" s="31" t="n">
        <x:v>10.6610759</x:v>
      </x:c>
      <x:c r="L2" s="31" t="n">
        <x:v>4357.6616168911</x:v>
      </x:c>
      <x:c r="M2" s="31" t="n">
        <x:v>969.155859947</x:v>
      </x:c>
      <x:c r="N2" s="24" t="str">
        <x:v>parapenaeus longirostris</x:v>
      </x:c>
      <x:c r="O2" s="32" t="n">
        <x:v>3.3</x:v>
      </x:c>
      <x:c r="P2" s="24" t="str">
        <x:v>exact_2020_supplement</x:v>
      </x:c>
      <x:c r="Q2" s="32" t="str">
        <x:v>2020 supplement MeanTL</x:v>
      </x:c>
      <x:c r="R2" s="24" t="str">
        <x:v>high</x:v>
      </x:c>
      <x:c r="S2" s="24" t="str">
        <x:v>Parapenaeus longirostris</x:v>
      </x:c>
      <x:c r="T2" s="32" t="n">
        <x:f>IF(O2="","",(1/'Metadata'!$B$5)^(O2-1))</x:f>
        <x:v>199.52623149688787</x:v>
      </x:c>
      <x:c r="U2" s="31" t="n">
        <x:f>IF(T2="","",I2*T2)</x:f>
        <x:v>1062839.8170252668</x:v>
      </x:c>
    </x:row>
    <x:row r="3" ht="18" customHeight="1">
      <x:c r="A3" s="24" t="str">
        <x:v>EEZ_901</x:v>
      </x:c>
      <x:c r="B3" s="24" t="str">
        <x:v>Sicily (Italy)</x:v>
      </x:c>
      <x:c r="C3" s="24" t="str">
        <x:v>EEZ</x:v>
      </x:c>
      <x:c r="D3" s="30" t="n">
        <x:v>2019</x:v>
      </x:c>
      <x:c r="E3" s="24" t="str">
        <x:v>Marine fishes not identified</x:v>
      </x:c>
      <x:c r="F3" s="24" t="str">
        <x:v>Marine fishes nei</x:v>
      </x:c>
      <x:c r="G3" s="24" t="str">
        <x:v>Medium demersals (30 - 89 cm)</x:v>
      </x:c>
      <x:c r="H3" s="24" t="str">
        <x:v>Other fishes &amp; inverts</x:v>
      </x:c>
      <x:c r="I3" s="31" t="n">
        <x:v>5062.644379816</x:v>
      </x:c>
      <x:c r="J3" s="31" t="n">
        <x:v>4980.7287402236</x:v>
      </x:c>
      <x:c r="K3" s="31" t="n">
        <x:v>81.9156395924</x:v>
      </x:c>
      <x:c r="L3" s="31" t="n">
        <x:v>4106.4422697856</x:v>
      </x:c>
      <x:c r="M3" s="31" t="n">
        <x:v>956.2021100304</x:v>
      </x:c>
      <x:c r="N3" s="24" t="str">
        <x:v>marine fishes not identified</x:v>
      </x:c>
      <x:c r="O3" s="32" t="n">
        <x:v>3.28</x:v>
      </x:c>
      <x:c r="P3" s="24" t="str">
        <x:v>exact_sea_around_us</x:v>
      </x:c>
      <x:c r="Q3" s="32" t="str">
        <x:v>Sea Around Us exploited organisms</x:v>
      </x:c>
      <x:c r="R3" s="24" t="str">
        <x:v>high</x:v>
      </x:c>
      <x:c r="S3" s="24" t="str">
        <x:v>Marine fishes not identified</x:v>
      </x:c>
      <x:c r="T3" s="32" t="n">
        <x:f>IF(O3="","",(1/'Metadata'!$B$5)^(O3-1))</x:f>
        <x:v>190.54607179632464</x:v>
      </x:c>
      <x:c r="U3" s="31" t="n">
        <x:f>IF(T3="","",I3*T3)</x:f>
        <x:v>964666.9994756789</x:v>
      </x:c>
    </x:row>
    <x:row r="4" ht="18" customHeight="1">
      <x:c r="A4" s="24" t="str">
        <x:v>EEZ_901</x:v>
      </x:c>
      <x:c r="B4" s="24" t="str">
        <x:v>Sicily (Italy)</x:v>
      </x:c>
      <x:c r="C4" s="24" t="str">
        <x:v>EEZ</x:v>
      </x:c>
      <x:c r="D4" s="30" t="n">
        <x:v>2019</x:v>
      </x:c>
      <x:c r="E4" s="24" t="str">
        <x:v>Engraulis encrasicolus</x:v>
      </x:c>
      <x:c r="F4" s="24" t="str">
        <x:v>European anchovy</x:v>
      </x:c>
      <x:c r="G4" s="24" t="str">
        <x:v>Small pelagics (&lt;30 cm)</x:v>
      </x:c>
      <x:c r="H4" s="24" t="str">
        <x:v>Anchovies</x:v>
      </x:c>
      <x:c r="I4" s="31" t="n">
        <x:v>3656.648435608</x:v>
      </x:c>
      <x:c r="J4" s="31" t="n">
        <x:v>3656.648435608</x:v>
      </x:c>
      <x:c r="K4" s="31" t="n">
        <x:v>0</x:v>
      </x:c>
      <x:c r="L4" s="31" t="n">
        <x:v>3159.054005064</x:v>
      </x:c>
      <x:c r="M4" s="31" t="n">
        <x:v>497.594430544</x:v>
      </x:c>
      <x:c r="N4" s="24" t="str">
        <x:v>engraulis encrasicolus</x:v>
      </x:c>
      <x:c r="O4" s="32" t="n">
        <x:v>3.11</x:v>
      </x:c>
      <x:c r="P4" s="24" t="str">
        <x:v>exact_2020_supplement</x:v>
      </x:c>
      <x:c r="Q4" s="32" t="str">
        <x:v>2020 supplement MeanTL</x:v>
      </x:c>
      <x:c r="R4" s="24" t="str">
        <x:v>high</x:v>
      </x:c>
      <x:c r="S4" s="24" t="str">
        <x:v>Engraulis encrasicolus</x:v>
      </x:c>
      <x:c r="T4" s="32" t="n">
        <x:f>IF(O4="","",(1/'Metadata'!$B$5)^(O4-1))</x:f>
        <x:v>128.82495516931337</x:v>
      </x:c>
      <x:c r="U4" s="31" t="n">
        <x:f>IF(T4="","",I4*T4)</x:f>
        <x:v>471067.57078714046</x:v>
      </x:c>
    </x:row>
    <x:row r="5" ht="18" customHeight="1">
      <x:c r="A5" s="24" t="str">
        <x:v>EEZ_901</x:v>
      </x:c>
      <x:c r="B5" s="24" t="str">
        <x:v>Sicily (Italy)</x:v>
      </x:c>
      <x:c r="C5" s="24" t="str">
        <x:v>EEZ</x:v>
      </x:c>
      <x:c r="D5" s="30" t="n">
        <x:v>2019</x:v>
      </x:c>
      <x:c r="E5" s="24" t="str">
        <x:v>Boops boops</x:v>
      </x:c>
      <x:c r="F5" s="24" t="str">
        <x:v>Bogue</x:v>
      </x:c>
      <x:c r="G5" s="24" t="str">
        <x:v>Medium demersals (30 - 89 cm)</x:v>
      </x:c>
      <x:c r="H5" s="24" t="str">
        <x:v>Perch-likes</x:v>
      </x:c>
      <x:c r="I5" s="31" t="n">
        <x:v>2279.02206675</x:v>
      </x:c>
      <x:c r="J5" s="31" t="n">
        <x:v>2240.72527161</x:v>
      </x:c>
      <x:c r="K5" s="31" t="n">
        <x:v>38.29679514</x:v>
      </x:c>
      <x:c r="L5" s="31" t="n">
        <x:v>878.508028946</x:v>
      </x:c>
      <x:c r="M5" s="31" t="n">
        <x:v>1400.5140378039998</x:v>
      </x:c>
      <x:c r="N5" s="24" t="str">
        <x:v>boops boops</x:v>
      </x:c>
      <x:c r="O5" s="32" t="n">
        <x:v>2.79</x:v>
      </x:c>
      <x:c r="P5" s="24" t="str">
        <x:v>exact_2020_supplement</x:v>
      </x:c>
      <x:c r="Q5" s="32" t="str">
        <x:v>2020 supplement MeanTL</x:v>
      </x:c>
      <x:c r="R5" s="24" t="str">
        <x:v>high</x:v>
      </x:c>
      <x:c r="S5" s="24" t="str">
        <x:v>Boops boops</x:v>
      </x:c>
      <x:c r="T5" s="32" t="n">
        <x:f>IF(O5="","",(1/'Metadata'!$B$5)^(O5-1))</x:f>
        <x:v>61.65950018614822</x:v>
      </x:c>
      <x:c r="U5" s="31" t="n">
        <x:f>IF(T5="","",I5*T5)</x:f>
        <x:v>140523.36154900753</x:v>
      </x:c>
    </x:row>
    <x:row r="6" ht="18" customHeight="1">
      <x:c r="A6" s="24" t="str">
        <x:v>EEZ_901</x:v>
      </x:c>
      <x:c r="B6" s="24" t="str">
        <x:v>Sicily (Italy)</x:v>
      </x:c>
      <x:c r="C6" s="24" t="str">
        <x:v>EEZ</x:v>
      </x:c>
      <x:c r="D6" s="30" t="n">
        <x:v>2019</x:v>
      </x:c>
      <x:c r="E6" s="24" t="str">
        <x:v>Xiphias gladius</x:v>
      </x:c>
      <x:c r="F6" s="24" t="str">
        <x:v>Swordfish</x:v>
      </x:c>
      <x:c r="G6" s="24" t="str">
        <x:v>Large pelagics (&gt;=90 cm)</x:v>
      </x:c>
      <x:c r="H6" s="24" t="str">
        <x:v>Tuna &amp; billfishes</x:v>
      </x:c>
      <x:c r="I6" s="31" t="n">
        <x:v>1867.8524353472</x:v>
      </x:c>
      <x:c r="J6" s="31" t="n">
        <x:v>1867.8524353472</x:v>
      </x:c>
      <x:c r="K6" s="31" t="n">
        <x:v>0</x:v>
      </x:c>
      <x:c r="L6" s="31" t="n">
        <x:v>1370.5332980902</x:v>
      </x:c>
      <x:c r="M6" s="31" t="n">
        <x:v>497.31913725699997</x:v>
      </x:c>
      <x:c r="N6" s="24" t="str">
        <x:v>xiphias gladius</x:v>
      </x:c>
      <x:c r="O6" s="32" t="n">
        <x:v>4.53</x:v>
      </x:c>
      <x:c r="P6" s="24" t="str">
        <x:v>exact_2020_supplement</x:v>
      </x:c>
      <x:c r="Q6" s="32" t="str">
        <x:v>2020 supplement MeanTL</x:v>
      </x:c>
      <x:c r="R6" s="24" t="str">
        <x:v>high</x:v>
      </x:c>
      <x:c r="S6" s="24" t="str">
        <x:v>Xiphias gladius</x:v>
      </x:c>
      <x:c r="T6" s="32" t="n">
        <x:f>IF(O6="","",(1/'Metadata'!$B$5)^(O6-1))</x:f>
        <x:v>3388.4415613920273</x:v>
      </x:c>
      <x:c r="U6" s="31" t="n">
        <x:f>IF(T6="","",I6*T6)</x:f>
        <x:v>6329108.822477767</x:v>
      </x:c>
    </x:row>
    <x:row r="7" ht="18" customHeight="1">
      <x:c r="A7" s="24" t="str">
        <x:v>EEZ_901</x:v>
      </x:c>
      <x:c r="B7" s="24" t="str">
        <x:v>Sicily (Italy)</x:v>
      </x:c>
      <x:c r="C7" s="24" t="str">
        <x:v>EEZ</x:v>
      </x:c>
      <x:c r="D7" s="30" t="n">
        <x:v>2019</x:v>
      </x:c>
      <x:c r="E7" s="24" t="str">
        <x:v>Marine pelagic fishes not identified</x:v>
      </x:c>
      <x:c r="F7" s="24" t="str">
        <x:v>Pelagic fishes</x:v>
      </x:c>
      <x:c r="G7" s="24" t="str">
        <x:v>Medium pelagics (30 - 89 cm)</x:v>
      </x:c>
      <x:c r="H7" s="24" t="str">
        <x:v>Other fishes &amp; inverts</x:v>
      </x:c>
      <x:c r="I7" s="31" t="n">
        <x:v>1142.4645852669</x:v>
      </x:c>
      <x:c r="J7" s="31" t="n">
        <x:v>1142.4645852669</x:v>
      </x:c>
      <x:c r="K7" s="31" t="n">
        <x:v>0</x:v>
      </x:c>
      <x:c r="L7" s="31" t="n">
        <x:v>1142.4645852669</x:v>
      </x:c>
      <x:c r="M7" s="31" t="n">
        <x:v>0</x:v>
      </x:c>
      <x:c r="N7" s="24" t="str">
        <x:v>marine pelagic fishes not identified</x:v>
      </x:c>
      <x:c r="O7" s="32" t="n">
        <x:v>3.35</x:v>
      </x:c>
      <x:c r="P7" s="24" t="str">
        <x:v>exact_sea_around_us</x:v>
      </x:c>
      <x:c r="Q7" s="32" t="str">
        <x:v>Sea Around Us exploited organisms</x:v>
      </x:c>
      <x:c r="R7" s="24" t="str">
        <x:v>high</x:v>
      </x:c>
      <x:c r="S7" s="24" t="str">
        <x:v>Marine pelagic fishes not identified</x:v>
      </x:c>
      <x:c r="T7" s="32" t="n">
        <x:f>IF(O7="","",(1/'Metadata'!$B$5)^(O7-1))</x:f>
        <x:v>223.872113856834</x:v>
      </x:c>
      <x:c r="U7" s="31" t="n">
        <x:f>IF(T7="","",I7*T7)</x:f>
        <x:v>255765.9617102721</x:v>
      </x:c>
    </x:row>
    <x:row r="8" ht="18" customHeight="1">
      <x:c r="A8" s="24" t="str">
        <x:v>EEZ_901</x:v>
      </x:c>
      <x:c r="B8" s="24" t="str">
        <x:v>Sicily (Italy)</x:v>
      </x:c>
      <x:c r="C8" s="24" t="str">
        <x:v>EEZ</x:v>
      </x:c>
      <x:c r="D8" s="30" t="n">
        <x:v>2019</x:v>
      </x:c>
      <x:c r="E8" s="24" t="str">
        <x:v>Diplodus</x:v>
      </x:c>
      <x:c r="F8" s="24" t="str">
        <x:v>Two-toothed seabreams</x:v>
      </x:c>
      <x:c r="G8" s="24" t="str">
        <x:v>Medium benthopelagics (30 - 89 cm)</x:v>
      </x:c>
      <x:c r="H8" s="24" t="str">
        <x:v>Perch-likes</x:v>
      </x:c>
      <x:c r="I8" s="31" t="n">
        <x:v>1089.06239902</x:v>
      </x:c>
      <x:c r="J8" s="31" t="n">
        <x:v>1089.06239902</x:v>
      </x:c>
      <x:c r="K8" s="31" t="n">
        <x:v>0</x:v>
      </x:c>
      <x:c r="L8" s="31" t="n">
        <x:v>124.48980282000001</x:v>
      </x:c>
      <x:c r="M8" s="31" t="n">
        <x:v>964.5725962</x:v>
      </x:c>
      <x:c r="N8" s="24" t="str">
        <x:v>diplodus</x:v>
      </x:c>
      <x:c r="O8" s="32" t="n">
        <x:v>2.97</x:v>
      </x:c>
      <x:c r="P8" s="24" t="str">
        <x:v>exact_sea_around_us</x:v>
      </x:c>
      <x:c r="Q8" s="32" t="str">
        <x:v>Sea Around Us exploited organisms</x:v>
      </x:c>
      <x:c r="R8" s="24" t="str">
        <x:v>high</x:v>
      </x:c>
      <x:c r="S8" s="24" t="str">
        <x:v>Diplodus</x:v>
      </x:c>
      <x:c r="T8" s="32" t="n">
        <x:f>IF(O8="","",(1/'Metadata'!$B$5)^(O8-1))</x:f>
        <x:v>93.32543007969915</x:v>
      </x:c>
      <x:c r="U8" s="31" t="n">
        <x:f>IF(T8="","",I8*T8)</x:f>
        <x:v>101637.21677217042</x:v>
      </x:c>
    </x:row>
    <x:row r="9" ht="18" customHeight="1">
      <x:c r="A9" s="24" t="str">
        <x:v>EEZ_901</x:v>
      </x:c>
      <x:c r="B9" s="24" t="str">
        <x:v>Sicily (Italy)</x:v>
      </x:c>
      <x:c r="C9" s="24" t="str">
        <x:v>EEZ</x:v>
      </x:c>
      <x:c r="D9" s="30" t="n">
        <x:v>2019</x:v>
      </x:c>
      <x:c r="E9" s="24" t="str">
        <x:v>Trachurus trachurus</x:v>
      </x:c>
      <x:c r="F9" s="24" t="str">
        <x:v>Atlantic horse mackerel</x:v>
      </x:c>
      <x:c r="G9" s="24" t="str">
        <x:v>Medium pelagics (30 - 89 cm)</x:v>
      </x:c>
      <x:c r="H9" s="24" t="str">
        <x:v>Perch-likes</x:v>
      </x:c>
      <x:c r="I9" s="31" t="n">
        <x:v>1050.9746745901</x:v>
      </x:c>
      <x:c r="J9" s="31" t="n">
        <x:v>386.7413246301</x:v>
      </x:c>
      <x:c r="K9" s="31" t="n">
        <x:v>664.23334996</x:v>
      </x:c>
      <x:c r="L9" s="31" t="n">
        <x:v>960.7956858461</x:v>
      </x:c>
      <x:c r="M9" s="31" t="n">
        <x:v>90.17898874400001</x:v>
      </x:c>
      <x:c r="N9" s="24" t="str">
        <x:v>trachurus trachurus</x:v>
      </x:c>
      <x:c r="O9" s="32" t="n">
        <x:v>3.71</x:v>
      </x:c>
      <x:c r="P9" s="24" t="str">
        <x:v>exact_2020_supplement</x:v>
      </x:c>
      <x:c r="Q9" s="32" t="str">
        <x:v>2020 supplement MeanTL</x:v>
      </x:c>
      <x:c r="R9" s="24" t="str">
        <x:v>high</x:v>
      </x:c>
      <x:c r="S9" s="24" t="str">
        <x:v>Trachurus trachurus</x:v>
      </x:c>
      <x:c r="T9" s="32" t="n">
        <x:f>IF(O9="","",(1/'Metadata'!$B$5)^(O9-1))</x:f>
        <x:v>512.8613839913648</x:v>
      </x:c>
      <x:c r="U9" s="31" t="n">
        <x:f>IF(T9="","",I9*T9)</x:f>
        <x:v>539004.326150153</x:v>
      </x:c>
    </x:row>
    <x:row r="10" ht="18" customHeight="1">
      <x:c r="A10" s="24" t="str">
        <x:v>EEZ_901</x:v>
      </x:c>
      <x:c r="B10" s="24" t="str">
        <x:v>Sicily (Italy)</x:v>
      </x:c>
      <x:c r="C10" s="24" t="str">
        <x:v>EEZ</x:v>
      </x:c>
      <x:c r="D10" s="30" t="n">
        <x:v>2019</x:v>
      </x:c>
      <x:c r="E10" s="24" t="str">
        <x:v>Mullus surmuletus</x:v>
      </x:c>
      <x:c r="F10" s="24" t="str">
        <x:v>Surmullet</x:v>
      </x:c>
      <x:c r="G10" s="24" t="str">
        <x:v>Medium demersals (30 - 89 cm)</x:v>
      </x:c>
      <x:c r="H10" s="24" t="str">
        <x:v>Perch-likes</x:v>
      </x:c>
      <x:c r="I10" s="31" t="n">
        <x:v>1035.8273811621</x:v>
      </x:c>
      <x:c r="J10" s="31" t="n">
        <x:v>1011.1747118721</x:v>
      </x:c>
      <x:c r="K10" s="31" t="n">
        <x:v>24.65266929</x:v>
      </x:c>
      <x:c r="L10" s="31" t="n">
        <x:v>843.155910085</x:v>
      </x:c>
      <x:c r="M10" s="31" t="n">
        <x:v>192.6714710771</x:v>
      </x:c>
      <x:c r="N10" s="24" t="str">
        <x:v>mullus surmuletus</x:v>
      </x:c>
      <x:c r="O10" s="32" t="n">
        <x:v>3.45</x:v>
      </x:c>
      <x:c r="P10" s="24" t="str">
        <x:v>exact_2020_supplement</x:v>
      </x:c>
      <x:c r="Q10" s="32" t="str">
        <x:v>2020 supplement MeanTL</x:v>
      </x:c>
      <x:c r="R10" s="24" t="str">
        <x:v>high</x:v>
      </x:c>
      <x:c r="S10" s="24" t="str">
        <x:v>Mullus surmuletus</x:v>
      </x:c>
      <x:c r="T10" s="32" t="n">
        <x:f>IF(O10="","",(1/'Metadata'!$B$5)^(O10-1))</x:f>
        <x:v>281.8382931264455</x:v>
      </x:c>
      <x:c r="U10" s="31" t="n">
        <x:f>IF(T10="","",I10*T10)</x:f>
        <x:v>291935.8210803623</x:v>
      </x:c>
    </x:row>
    <x:row r="11" ht="18" customHeight="1">
      <x:c r="A11" s="24" t="str">
        <x:v>EEZ_901</x:v>
      </x:c>
      <x:c r="B11" s="24" t="str">
        <x:v>Sicily (Italy)</x:v>
      </x:c>
      <x:c r="C11" s="24" t="str">
        <x:v>EEZ</x:v>
      </x:c>
      <x:c r="D11" s="30" t="n">
        <x:v>2019</x:v>
      </x:c>
      <x:c r="E11" s="24" t="str">
        <x:v>Pagellus erythrinus</x:v>
      </x:c>
      <x:c r="F11" s="24" t="str">
        <x:v>Common pandora</x:v>
      </x:c>
      <x:c r="G11" s="24" t="str">
        <x:v>Medium benthopelagics (30 - 89 cm)</x:v>
      </x:c>
      <x:c r="H11" s="24" t="str">
        <x:v>Perch-likes</x:v>
      </x:c>
      <x:c r="I11" s="31" t="n">
        <x:v>978.224615394</x:v>
      </x:c>
      <x:c r="J11" s="31" t="n">
        <x:v>896.5640338110001</x:v>
      </x:c>
      <x:c r="K11" s="31" t="n">
        <x:v>81.660581583</x:v>
      </x:c>
      <x:c r="L11" s="31" t="n">
        <x:v>119.592633978</x:v>
      </x:c>
      <x:c r="M11" s="31" t="n">
        <x:v>858.631981416</x:v>
      </x:c>
      <x:c r="N11" s="24" t="str">
        <x:v>pagellus erythrinus</x:v>
      </x:c>
      <x:c r="O11" s="32" t="n">
        <x:v>3.48</x:v>
      </x:c>
      <x:c r="P11" s="24" t="str">
        <x:v>exact_2020_supplement</x:v>
      </x:c>
      <x:c r="Q11" s="32" t="str">
        <x:v>2020 supplement MeanTL</x:v>
      </x:c>
      <x:c r="R11" s="24" t="str">
        <x:v>high</x:v>
      </x:c>
      <x:c r="S11" s="24" t="str">
        <x:v>Pagellus erythrinus</x:v>
      </x:c>
      <x:c r="T11" s="32" t="n">
        <x:f>IF(O11="","",(1/'Metadata'!$B$5)^(O11-1))</x:f>
        <x:v>301.9951720402016</x:v>
      </x:c>
      <x:c r="U11" s="31" t="n">
        <x:f>IF(T11="","",I11*T11)</x:f>
        <x:v>295419.1110198711</x:v>
      </x:c>
    </x:row>
    <x:row r="12" ht="18" customHeight="1">
      <x:c r="A12" s="24" t="str">
        <x:v>EEZ_901</x:v>
      </x:c>
      <x:c r="B12" s="24" t="str">
        <x:v>Sicily (Italy)</x:v>
      </x:c>
      <x:c r="C12" s="24" t="str">
        <x:v>EEZ</x:v>
      </x:c>
      <x:c r="D12" s="30" t="n">
        <x:v>2019</x:v>
      </x:c>
      <x:c r="E12" s="24" t="str">
        <x:v>Sepiida</x:v>
      </x:c>
      <x:c r="F12" s="24" t="str">
        <x:v>Cuttlefishes, bobtail squids</x:v>
      </x:c>
      <x:c r="G12" s="24" t="str">
        <x:v>Cephalopods</x:v>
      </x:c>
      <x:c r="H12" s="24" t="str">
        <x:v>Other fishes &amp; inverts</x:v>
      </x:c>
      <x:c r="I12" s="31" t="n">
        <x:v>748.516355473</x:v>
      </x:c>
      <x:c r="J12" s="31" t="n">
        <x:v>748.516355473</x:v>
      </x:c>
      <x:c r="K12" s="31" t="n">
        <x:v>0</x:v>
      </x:c>
      <x:c r="L12" s="31" t="n">
        <x:v>608.162493843</x:v>
      </x:c>
      <x:c r="M12" s="31" t="n">
        <x:v>140.35386163</x:v>
      </x:c>
      <x:c r="N12" s="24" t="str">
        <x:v>sepiida</x:v>
      </x:c>
      <x:c r="O12" s="32" t="n">
        <x:v>3.7</x:v>
      </x:c>
      <x:c r="P12" s="24" t="str">
        <x:v>exact_sea_around_us</x:v>
      </x:c>
      <x:c r="Q12" s="32" t="str">
        <x:v>Sea Around Us exploited organisms</x:v>
      </x:c>
      <x:c r="R12" s="24" t="str">
        <x:v>high</x:v>
      </x:c>
      <x:c r="S12" s="24" t="str">
        <x:v>Sepiida</x:v>
      </x:c>
      <x:c r="T12" s="32" t="n">
        <x:f>IF(O12="","",(1/'Metadata'!$B$5)^(O12-1))</x:f>
        <x:v>501.18723362727246</x:v>
      </x:c>
      <x:c r="U12" s="31" t="n">
        <x:f>IF(T12="","",I12*T12)</x:f>
        <x:v>375146.84152428096</x:v>
      </x:c>
    </x:row>
    <x:row r="13" ht="18" customHeight="1">
      <x:c r="A13" s="24" t="str">
        <x:v>EEZ_901</x:v>
      </x:c>
      <x:c r="B13" s="24" t="str">
        <x:v>Sicily (Italy)</x:v>
      </x:c>
      <x:c r="C13" s="24" t="str">
        <x:v>EEZ</x:v>
      </x:c>
      <x:c r="D13" s="30" t="n">
        <x:v>2019</x:v>
      </x:c>
      <x:c r="E13" s="24" t="str">
        <x:v>Octopus vulgaris</x:v>
      </x:c>
      <x:c r="F13" s="24" t="str">
        <x:v>Common octopus</x:v>
      </x:c>
      <x:c r="G13" s="24" t="str">
        <x:v>Cephalopods</x:v>
      </x:c>
      <x:c r="H13" s="24" t="str">
        <x:v>Other fishes &amp; inverts</x:v>
      </x:c>
      <x:c r="I13" s="31" t="n">
        <x:v>678.6951358722</x:v>
      </x:c>
      <x:c r="J13" s="31" t="n">
        <x:v>678.6951358722</x:v>
      </x:c>
      <x:c r="K13" s="31" t="n">
        <x:v>0</x:v>
      </x:c>
      <x:c r="L13" s="31" t="n">
        <x:v>581.3406144341</x:v>
      </x:c>
      <x:c r="M13" s="31" t="n">
        <x:v>97.3545214381</x:v>
      </x:c>
      <x:c r="N13" s="24" t="str">
        <x:v>octopus vulgaris</x:v>
      </x:c>
      <x:c r="O13" s="32" t="n">
        <x:v>3.6</x:v>
      </x:c>
      <x:c r="P13" s="24" t="str">
        <x:v>exact_2020_supplement</x:v>
      </x:c>
      <x:c r="Q13" s="32" t="str">
        <x:v>2020 supplement MeanTL</x:v>
      </x:c>
      <x:c r="R13" s="24" t="str">
        <x:v>high</x:v>
      </x:c>
      <x:c r="S13" s="24" t="str">
        <x:v>Octopus vulgaris</x:v>
      </x:c>
      <x:c r="T13" s="32" t="n">
        <x:f>IF(O13="","",(1/'Metadata'!$B$5)^(O13-1))</x:f>
        <x:v>398.1071705534973</x:v>
      </x:c>
      <x:c r="U13" s="31" t="n">
        <x:f>IF(T13="","",I13*T13)</x:f>
        <x:v>270193.40021050296</x:v>
      </x:c>
    </x:row>
    <x:row r="14" ht="18" customHeight="1">
      <x:c r="A14" s="24" t="str">
        <x:v>EEZ_901</x:v>
      </x:c>
      <x:c r="B14" s="24" t="str">
        <x:v>Sicily (Italy)</x:v>
      </x:c>
      <x:c r="C14" s="24" t="str">
        <x:v>EEZ</x:v>
      </x:c>
      <x:c r="D14" s="30" t="n">
        <x:v>2019</x:v>
      </x:c>
      <x:c r="E14" s="24" t="str">
        <x:v>Thunnus thynnus</x:v>
      </x:c>
      <x:c r="F14" s="24" t="str">
        <x:v>Atlantic bluefin tuna</x:v>
      </x:c>
      <x:c r="G14" s="24" t="str">
        <x:v>Large pelagics (&gt;=90 cm)</x:v>
      </x:c>
      <x:c r="H14" s="24" t="str">
        <x:v>Tuna &amp; billfishes</x:v>
      </x:c>
      <x:c r="I14" s="31" t="n">
        <x:v>669.6060033637</x:v>
      </x:c>
      <x:c r="J14" s="31" t="n">
        <x:v>669.6060033637</x:v>
      </x:c>
      <x:c r="K14" s="31" t="n">
        <x:v>0</x:v>
      </x:c>
      <x:c r="L14" s="31" t="n">
        <x:v>658.5868358747</x:v>
      </x:c>
      <x:c r="M14" s="31" t="n">
        <x:v>11.019167488999999</x:v>
      </x:c>
      <x:c r="N14" s="24" t="str">
        <x:v>thunnus thynnus</x:v>
      </x:c>
      <x:c r="O14" s="32" t="n">
        <x:v>4.45</x:v>
      </x:c>
      <x:c r="P14" s="24" t="str">
        <x:v>exact_2020_supplement</x:v>
      </x:c>
      <x:c r="Q14" s="32" t="str">
        <x:v>2020 supplement MeanTL</x:v>
      </x:c>
      <x:c r="R14" s="24" t="str">
        <x:v>high</x:v>
      </x:c>
      <x:c r="S14" s="24" t="str">
        <x:v>Thunnus thynnus</x:v>
      </x:c>
      <x:c r="T14" s="32" t="n">
        <x:f>IF(O14="","",(1/'Metadata'!$B$5)^(O14-1))</x:f>
        <x:v>2818.382931264455</x:v>
      </x:c>
      <x:c r="U14" s="31" t="n">
        <x:f>IF(T14="","",I14*T14)</x:f>
        <x:v>1887206.1305524611</x:v>
      </x:c>
    </x:row>
    <x:row r="15" ht="18" customHeight="1">
      <x:c r="A15" s="24" t="str">
        <x:v>EEZ_901</x:v>
      </x:c>
      <x:c r="B15" s="24" t="str">
        <x:v>Sicily (Italy)</x:v>
      </x:c>
      <x:c r="C15" s="24" t="str">
        <x:v>EEZ</x:v>
      </x:c>
      <x:c r="D15" s="30" t="n">
        <x:v>2019</x:v>
      </x:c>
      <x:c r="E15" s="24" t="str">
        <x:v>Trachurus</x:v>
      </x:c>
      <x:c r="F15" s="24" t="str">
        <x:v>Jacks, horse mackerels</x:v>
      </x:c>
      <x:c r="G15" s="24" t="str">
        <x:v>Medium pelagics (30 - 89 cm)</x:v>
      </x:c>
      <x:c r="H15" s="24" t="str">
        <x:v>Perch-likes</x:v>
      </x:c>
      <x:c r="I15" s="31" t="n">
        <x:v>663.1436599</x:v>
      </x:c>
      <x:c r="J15" s="31" t="n">
        <x:v>663.1436599</x:v>
      </x:c>
      <x:c r="K15" s="31" t="n">
        <x:v>0</x:v>
      </x:c>
      <x:c r="L15" s="31" t="n">
        <x:v>0</x:v>
      </x:c>
      <x:c r="M15" s="31" t="n">
        <x:v>663.1436599</x:v>
      </x:c>
      <x:c r="N15" s="24" t="str">
        <x:v>trachurus</x:v>
      </x:c>
      <x:c r="O15" s="32" t="n">
        <x:v>3.69</x:v>
      </x:c>
      <x:c r="P15" s="24" t="str">
        <x:v>exact_sea_around_us</x:v>
      </x:c>
      <x:c r="Q15" s="32" t="str">
        <x:v>Sea Around Us exploited organisms</x:v>
      </x:c>
      <x:c r="R15" s="24" t="str">
        <x:v>high</x:v>
      </x:c>
      <x:c r="S15" s="24" t="str">
        <x:v>Trachurus</x:v>
      </x:c>
      <x:c r="T15" s="32" t="n">
        <x:f>IF(O15="","",(1/'Metadata'!$B$5)^(O15-1))</x:f>
        <x:v>489.77881936844614</x:v>
      </x:c>
      <x:c r="U15" s="31" t="n">
        <x:f>IF(T15="","",I15*T15)</x:f>
        <x:v>324793.71881749236</x:v>
      </x:c>
    </x:row>
    <x:row r="16" ht="18" customHeight="1">
      <x:c r="A16" s="24" t="str">
        <x:v>EEZ_901</x:v>
      </x:c>
      <x:c r="B16" s="24" t="str">
        <x:v>Sicily (Italy)</x:v>
      </x:c>
      <x:c r="C16" s="24" t="str">
        <x:v>EEZ</x:v>
      </x:c>
      <x:c r="D16" s="30" t="n">
        <x:v>2019</x:v>
      </x:c>
      <x:c r="E16" s="24" t="str">
        <x:v>Thunnus alalunga</x:v>
      </x:c>
      <x:c r="F16" s="24" t="str">
        <x:v>Albacore</x:v>
      </x:c>
      <x:c r="G16" s="24" t="str">
        <x:v>Large pelagics (&gt;=90 cm)</x:v>
      </x:c>
      <x:c r="H16" s="24" t="str">
        <x:v>Tuna &amp; billfishes</x:v>
      </x:c>
      <x:c r="I16" s="31" t="n">
        <x:v>563.2847816204</x:v>
      </x:c>
      <x:c r="J16" s="31" t="n">
        <x:v>563.2847816204</x:v>
      </x:c>
      <x:c r="K16" s="31" t="n">
        <x:v>0</x:v>
      </x:c>
      <x:c r="L16" s="31" t="n">
        <x:v>455.1299843513</x:v>
      </x:c>
      <x:c r="M16" s="31" t="n">
        <x:v>108.1547972691</x:v>
      </x:c>
      <x:c r="N16" s="24" t="str">
        <x:v>thunnus alalunga</x:v>
      </x:c>
      <x:c r="O16" s="32" t="n">
        <x:v>4.3</x:v>
      </x:c>
      <x:c r="P16" s="24" t="str">
        <x:v>exact_2020_supplement</x:v>
      </x:c>
      <x:c r="Q16" s="32" t="str">
        <x:v>2020 supplement MeanTL</x:v>
      </x:c>
      <x:c r="R16" s="24" t="str">
        <x:v>high</x:v>
      </x:c>
      <x:c r="S16" s="24" t="str">
        <x:v>Thunnus alalunga</x:v>
      </x:c>
      <x:c r="T16" s="32" t="n">
        <x:f>IF(O16="","",(1/'Metadata'!$B$5)^(O16-1))</x:f>
        <x:v>1995.2623149688789</x:v>
      </x:c>
      <x:c r="U16" s="31" t="n">
        <x:f>IF(T16="","",I16*T16)</x:f>
        <x:v>1123900.8973626588</x:v>
      </x:c>
    </x:row>
    <x:row r="17" ht="18" customHeight="1">
      <x:c r="A17" s="24" t="str">
        <x:v>EEZ_901</x:v>
      </x:c>
      <x:c r="B17" s="24" t="str">
        <x:v>Sicily (Italy)</x:v>
      </x:c>
      <x:c r="C17" s="24" t="str">
        <x:v>EEZ</x:v>
      </x:c>
      <x:c r="D17" s="30" t="n">
        <x:v>2019</x:v>
      </x:c>
      <x:c r="E17" s="24" t="str">
        <x:v>Lepidopus caudatus</x:v>
      </x:c>
      <x:c r="F17" s="24" t="str">
        <x:v>Silver scabbardfish</x:v>
      </x:c>
      <x:c r="G17" s="24" t="str">
        <x:v>Large bathydemersals (&gt;=90 cm)</x:v>
      </x:c>
      <x:c r="H17" s="24" t="str">
        <x:v>Perch-likes</x:v>
      </x:c>
      <x:c r="I17" s="31" t="n">
        <x:v>531.9902223818</x:v>
      </x:c>
      <x:c r="J17" s="31" t="n">
        <x:v>531.9902223818</x:v>
      </x:c>
      <x:c r="K17" s="31" t="n">
        <x:v>0</x:v>
      </x:c>
      <x:c r="L17" s="31" t="n">
        <x:v>510.33173699179997</x:v>
      </x:c>
      <x:c r="M17" s="31" t="n">
        <x:v>21.65848539</x:v>
      </x:c>
      <x:c r="N17" s="24" t="str">
        <x:v>lepidopus caudatus</x:v>
      </x:c>
      <x:c r="O17" s="32" t="n">
        <x:v>3.82</x:v>
      </x:c>
      <x:c r="P17" s="24" t="str">
        <x:v>exact_2020_supplement</x:v>
      </x:c>
      <x:c r="Q17" s="32" t="str">
        <x:v>2020 supplement MeanTL</x:v>
      </x:c>
      <x:c r="R17" s="24" t="str">
        <x:v>high</x:v>
      </x:c>
      <x:c r="S17" s="24" t="str">
        <x:v>Lepidopus caudatus</x:v>
      </x:c>
      <x:c r="T17" s="32" t="n">
        <x:f>IF(O17="","",(1/'Metadata'!$B$5)^(O17-1))</x:f>
        <x:v>660.6934480075957</x:v>
      </x:c>
      <x:c r="U17" s="31" t="n">
        <x:f>IF(T17="","",I17*T17)</x:f>
        <x:v>351482.4543317591</x:v>
      </x:c>
    </x:row>
    <x:row r="18" ht="18" customHeight="1">
      <x:c r="A18" s="24" t="str">
        <x:v>EEZ_901</x:v>
      </x:c>
      <x:c r="B18" s="24" t="str">
        <x:v>Sicily (Italy)</x:v>
      </x:c>
      <x:c r="C18" s="24" t="str">
        <x:v>EEZ</x:v>
      </x:c>
      <x:c r="D18" s="30" t="n">
        <x:v>2019</x:v>
      </x:c>
      <x:c r="E18" s="24" t="str">
        <x:v>Todarodes sagittatus</x:v>
      </x:c>
      <x:c r="F18" s="24" t="str">
        <x:v>European flying squid</x:v>
      </x:c>
      <x:c r="G18" s="24" t="str">
        <x:v>Cephalopods</x:v>
      </x:c>
      <x:c r="H18" s="24" t="str">
        <x:v>Other fishes &amp; inverts</x:v>
      </x:c>
      <x:c r="I18" s="31" t="n">
        <x:v>495.643119054</x:v>
      </x:c>
      <x:c r="J18" s="31" t="n">
        <x:v>495.643119054</x:v>
      </x:c>
      <x:c r="K18" s="31" t="n">
        <x:v>0</x:v>
      </x:c>
      <x:c r="L18" s="31" t="n">
        <x:v>421.563229692</x:v>
      </x:c>
      <x:c r="M18" s="31" t="n">
        <x:v>74.079889362</x:v>
      </x:c>
      <x:c r="N18" s="24" t="str">
        <x:v>todarodes sagittatus</x:v>
      </x:c>
      <x:c r="O18" s="32" t="n">
        <x:v>4.01</x:v>
      </x:c>
      <x:c r="P18" s="24" t="str">
        <x:v>exact_2020_supplement</x:v>
      </x:c>
      <x:c r="Q18" s="32" t="str">
        <x:v>2020 supplement MeanTL</x:v>
      </x:c>
      <x:c r="R18" s="24" t="str">
        <x:v>high</x:v>
      </x:c>
      <x:c r="S18" s="24" t="str">
        <x:v>Todarodes sagittatus</x:v>
      </x:c>
      <x:c r="T18" s="32" t="n">
        <x:f>IF(O18="","",(1/'Metadata'!$B$5)^(O18-1))</x:f>
        <x:v>1023.2929922807537</x:v>
      </x:c>
      <x:c r="U18" s="31" t="n">
        <x:f>IF(T18="","",I18*T18)</x:f>
        <x:v>507188.1304001335</x:v>
      </x:c>
    </x:row>
    <x:row r="19" ht="18" customHeight="1">
      <x:c r="A19" s="24" t="str">
        <x:v>EEZ_901</x:v>
      </x:c>
      <x:c r="B19" s="24" t="str">
        <x:v>Sicily (Italy)</x:v>
      </x:c>
      <x:c r="C19" s="24" t="str">
        <x:v>EEZ</x:v>
      </x:c>
      <x:c r="D19" s="30" t="n">
        <x:v>2019</x:v>
      </x:c>
      <x:c r="E19" s="24" t="str">
        <x:v>Sarda sarda</x:v>
      </x:c>
      <x:c r="F19" s="24" t="str">
        <x:v>Atlantic bonito</x:v>
      </x:c>
      <x:c r="G19" s="24" t="str">
        <x:v>Medium pelagics (30 - 89 cm)</x:v>
      </x:c>
      <x:c r="H19" s="24" t="str">
        <x:v>Tuna &amp; billfishes</x:v>
      </x:c>
      <x:c r="I19" s="31" t="n">
        <x:v>491.82647245680005</x:v>
      </x:c>
      <x:c r="J19" s="31" t="n">
        <x:v>491.82647245680005</x:v>
      </x:c>
      <x:c r="K19" s="31" t="n">
        <x:v>0</x:v>
      </x:c>
      <x:c r="L19" s="31" t="n">
        <x:v>305.3040749718</x:v>
      </x:c>
      <x:c r="M19" s="31" t="n">
        <x:v>186.522397485</x:v>
      </x:c>
      <x:c r="N19" s="24" t="str">
        <x:v>sarda sarda</x:v>
      </x:c>
      <x:c r="O19" s="32" t="n">
        <x:v>4.5</x:v>
      </x:c>
      <x:c r="P19" s="24" t="str">
        <x:v>exact_2020_supplement</x:v>
      </x:c>
      <x:c r="Q19" s="32" t="str">
        <x:v>2020 supplement MeanTL</x:v>
      </x:c>
      <x:c r="R19" s="24" t="str">
        <x:v>high</x:v>
      </x:c>
      <x:c r="S19" s="24" t="str">
        <x:v>Sarda sarda</x:v>
      </x:c>
      <x:c r="T19" s="32" t="n">
        <x:f>IF(O19="","",(1/'Metadata'!$B$5)^(O19-1))</x:f>
        <x:v>3162.2776601683795</x:v>
      </x:c>
      <x:c r="U19" s="31" t="n">
        <x:f>IF(T19="","",I19*T19)</x:f>
        <x:v>1555291.8665295576</x:v>
      </x:c>
    </x:row>
    <x:row r="20" ht="18" customHeight="1">
      <x:c r="A20" s="24" t="str">
        <x:v>EEZ_901</x:v>
      </x:c>
      <x:c r="B20" s="24" t="str">
        <x:v>Sicily (Italy)</x:v>
      </x:c>
      <x:c r="C20" s="24" t="str">
        <x:v>EEZ</x:v>
      </x:c>
      <x:c r="D20" s="30" t="n">
        <x:v>2019</x:v>
      </x:c>
      <x:c r="E20" s="24" t="str">
        <x:v>Scomber scombrus</x:v>
      </x:c>
      <x:c r="F20" s="24" t="str">
        <x:v>Atlantic mackerel</x:v>
      </x:c>
      <x:c r="G20" s="24" t="str">
        <x:v>Medium pelagics (30 - 89 cm)</x:v>
      </x:c>
      <x:c r="H20" s="24" t="str">
        <x:v>Perch-likes</x:v>
      </x:c>
      <x:c r="I20" s="31" t="n">
        <x:v>488.6664843082</x:v>
      </x:c>
      <x:c r="J20" s="31" t="n">
        <x:v>488.6664843082</x:v>
      </x:c>
      <x:c r="K20" s="31" t="n">
        <x:v>0</x:v>
      </x:c>
      <x:c r="L20" s="31" t="n">
        <x:v>393.8179811731</x:v>
      </x:c>
      <x:c r="M20" s="31" t="n">
        <x:v>94.8485031351</x:v>
      </x:c>
      <x:c r="N20" s="24" t="str">
        <x:v>scomber scombrus</x:v>
      </x:c>
      <x:c r="O20" s="32" t="n">
        <x:v>3.63</x:v>
      </x:c>
      <x:c r="P20" s="24" t="str">
        <x:v>exact_2020_supplement</x:v>
      </x:c>
      <x:c r="Q20" s="32" t="str">
        <x:v>2020 supplement MeanTL</x:v>
      </x:c>
      <x:c r="R20" s="24" t="str">
        <x:v>high</x:v>
      </x:c>
      <x:c r="S20" s="24" t="str">
        <x:v>Scomber scombrus</x:v>
      </x:c>
      <x:c r="T20" s="32" t="n">
        <x:f>IF(O20="","",(1/'Metadata'!$B$5)^(O20-1))</x:f>
        <x:v>426.57951880159254</x:v>
      </x:c>
      <x:c r="U20" s="31" t="n">
        <x:f>IF(T20="","",I20*T20)</x:f>
        <x:v>208455.11373065793</x:v>
      </x:c>
    </x:row>
    <x:row r="21" ht="18" customHeight="1">
      <x:c r="A21" s="24" t="str">
        <x:v>EEZ_901</x:v>
      </x:c>
      <x:c r="B21" s="24" t="str">
        <x:v>Sicily (Italy)</x:v>
      </x:c>
      <x:c r="C21" s="24" t="str">
        <x:v>EEZ</x:v>
      </x:c>
      <x:c r="D21" s="30" t="n">
        <x:v>2019</x:v>
      </x:c>
      <x:c r="E21" s="24" t="str">
        <x:v>Coryphaena hippurus</x:v>
      </x:c>
      <x:c r="F21" s="24" t="str">
        <x:v>Common dolphinfish</x:v>
      </x:c>
      <x:c r="G21" s="24" t="str">
        <x:v>Large pelagics (&gt;=90 cm)</x:v>
      </x:c>
      <x:c r="H21" s="24" t="str">
        <x:v>Perch-likes</x:v>
      </x:c>
      <x:c r="I21" s="31" t="n">
        <x:v>465.675398131</x:v>
      </x:c>
      <x:c r="J21" s="31" t="n">
        <x:v>465.675398131</x:v>
      </x:c>
      <x:c r="K21" s="31" t="n">
        <x:v>0</x:v>
      </x:c>
      <x:c r="L21" s="31" t="n">
        <x:v>308.126988167</x:v>
      </x:c>
      <x:c r="M21" s="31" t="n">
        <x:v>157.548409964</x:v>
      </x:c>
      <x:c r="N21" s="24" t="str">
        <x:v>coryphaena hippurus</x:v>
      </x:c>
      <x:c r="O21" s="32" t="n">
        <x:v>4.37</x:v>
      </x:c>
      <x:c r="P21" s="24" t="str">
        <x:v>exact_2020_supplement</x:v>
      </x:c>
      <x:c r="Q21" s="32" t="str">
        <x:v>2020 supplement MeanTL</x:v>
      </x:c>
      <x:c r="R21" s="24" t="str">
        <x:v>high</x:v>
      </x:c>
      <x:c r="S21" s="24" t="str">
        <x:v>Coryphaena hippurus</x:v>
      </x:c>
      <x:c r="T21" s="32" t="n">
        <x:f>IF(O21="","",(1/'Metadata'!$B$5)^(O21-1))</x:f>
        <x:v>2344.228815319923</x:v>
      </x:c>
      <x:c r="U21" s="31" t="n">
        <x:f>IF(T21="","",I21*T21)</x:f>
        <x:v>1091649.6868842675</x:v>
      </x:c>
    </x:row>
    <x:row r="22" ht="18" customHeight="1">
      <x:c r="A22" s="24" t="str">
        <x:v>EEZ_901</x:v>
      </x:c>
      <x:c r="B22" s="24" t="str">
        <x:v>Sicily (Italy)</x:v>
      </x:c>
      <x:c r="C22" s="24" t="str">
        <x:v>EEZ</x:v>
      </x:c>
      <x:c r="D22" s="30" t="n">
        <x:v>2019</x:v>
      </x:c>
      <x:c r="E22" s="24" t="str">
        <x:v>Aristeus antennatus</x:v>
      </x:c>
      <x:c r="F22" s="24" t="str">
        <x:v>Blue and red shrimp</x:v>
      </x:c>
      <x:c r="G22" s="24" t="str">
        <x:v>Shrimps</x:v>
      </x:c>
      <x:c r="H22" s="24" t="str">
        <x:v>Crustaceans</x:v>
      </x:c>
      <x:c r="I22" s="31" t="n">
        <x:v>464.7158339031</x:v>
      </x:c>
      <x:c r="J22" s="31" t="n">
        <x:v>464.7158339031</x:v>
      </x:c>
      <x:c r="K22" s="31" t="n">
        <x:v>0</x:v>
      </x:c>
      <x:c r="L22" s="31" t="n">
        <x:v>357.667541452</x:v>
      </x:c>
      <x:c r="M22" s="31" t="n">
        <x:v>107.0482924511</x:v>
      </x:c>
      <x:c r="N22" s="24" t="str">
        <x:v>aristeus antennatus</x:v>
      </x:c>
      <x:c r="O22" s="32" t="n">
        <x:v>3.3</x:v>
      </x:c>
      <x:c r="P22" s="24" t="str">
        <x:v>exact_2020_supplement</x:v>
      </x:c>
      <x:c r="Q22" s="32" t="str">
        <x:v>2020 supplement MeanTL</x:v>
      </x:c>
      <x:c r="R22" s="24" t="str">
        <x:v>high</x:v>
      </x:c>
      <x:c r="S22" s="24" t="str">
        <x:v>Aristeus antennatus</x:v>
      </x:c>
      <x:c r="T22" s="32" t="n">
        <x:f>IF(O22="","",(1/'Metadata'!$B$5)^(O22-1))</x:f>
        <x:v>199.52623149688787</x:v>
      </x:c>
      <x:c r="U22" s="31" t="n">
        <x:f>IF(T22="","",I22*T22)</x:f>
        <x:v>92722.99905561924</x:v>
      </x:c>
    </x:row>
    <x:row r="23" ht="18" customHeight="1">
      <x:c r="A23" s="24" t="str">
        <x:v>EEZ_901</x:v>
      </x:c>
      <x:c r="B23" s="24" t="str">
        <x:v>Sicily (Italy)</x:v>
      </x:c>
      <x:c r="C23" s="24" t="str">
        <x:v>EEZ</x:v>
      </x:c>
      <x:c r="D23" s="30" t="n">
        <x:v>2019</x:v>
      </x:c>
      <x:c r="E23" s="24" t="str">
        <x:v>Scomber colias</x:v>
      </x:c>
      <x:c r="F23" s="24" t="str">
        <x:v>Atlantic chub mackerel</x:v>
      </x:c>
      <x:c r="G23" s="24" t="str">
        <x:v>Medium pelagics (30 - 89 cm)</x:v>
      </x:c>
      <x:c r="H23" s="24" t="str">
        <x:v>Perch-likes</x:v>
      </x:c>
      <x:c r="I23" s="31" t="n">
        <x:v>418.85035369999997</x:v>
      </x:c>
      <x:c r="J23" s="31" t="n">
        <x:v>418.85035369999997</x:v>
      </x:c>
      <x:c r="K23" s="31" t="n">
        <x:v>0</x:v>
      </x:c>
      <x:c r="L23" s="31" t="n">
        <x:v>308.9212587</x:v>
      </x:c>
      <x:c r="M23" s="31" t="n">
        <x:v>109.929095</x:v>
      </x:c>
      <x:c r="N23" s="24" t="str">
        <x:v>scomber colias</x:v>
      </x:c>
      <x:c r="O23" s="32" t="n">
        <x:v>3.91</x:v>
      </x:c>
      <x:c r="P23" s="24" t="str">
        <x:v>exact_2020_supplement</x:v>
      </x:c>
      <x:c r="Q23" s="32" t="str">
        <x:v>2020 supplement MeanTL</x:v>
      </x:c>
      <x:c r="R23" s="24" t="str">
        <x:v>high</x:v>
      </x:c>
      <x:c r="S23" s="24" t="str">
        <x:v>Scomber colias</x:v>
      </x:c>
      <x:c r="T23" s="32" t="n">
        <x:f>IF(O23="","",(1/'Metadata'!$B$5)^(O23-1))</x:f>
        <x:v>812.8305161640995</x:v>
      </x:c>
      <x:c r="U23" s="31" t="n">
        <x:f>IF(T23="","",I23*T23)</x:f>
        <x:v>340454.3491934866</x:v>
      </x:c>
    </x:row>
    <x:row r="24" ht="18" customHeight="1">
      <x:c r="A24" s="24" t="str">
        <x:v>EEZ_901</x:v>
      </x:c>
      <x:c r="B24" s="24" t="str">
        <x:v>Sicily (Italy)</x:v>
      </x:c>
      <x:c r="C24" s="24" t="str">
        <x:v>EEZ</x:v>
      </x:c>
      <x:c r="D24" s="30" t="n">
        <x:v>2019</x:v>
      </x:c>
      <x:c r="E24" s="24" t="str">
        <x:v>Spicara smaris</x:v>
      </x:c>
      <x:c r="F24" s="24" t="str">
        <x:v>Picarel</x:v>
      </x:c>
      <x:c r="G24" s="24" t="str">
        <x:v>Small demersals (&lt;30 cm)</x:v>
      </x:c>
      <x:c r="H24" s="24" t="str">
        <x:v>Perch-likes</x:v>
      </x:c>
      <x:c r="I24" s="31" t="n">
        <x:v>410.19225717620003</x:v>
      </x:c>
      <x:c r="J24" s="31" t="n">
        <x:v>410.19225717620003</x:v>
      </x:c>
      <x:c r="K24" s="31" t="n">
        <x:v>0</x:v>
      </x:c>
      <x:c r="L24" s="31" t="n">
        <x:v>273.09943572</x:v>
      </x:c>
      <x:c r="M24" s="31" t="n">
        <x:v>137.0928214562</x:v>
      </x:c>
      <x:c r="N24" s="24" t="str">
        <x:v>spicara smaris</x:v>
      </x:c>
      <x:c r="O24" s="32" t="n">
        <x:v>3</x:v>
      </x:c>
      <x:c r="P24" s="24" t="str">
        <x:v>exact_2020_supplement</x:v>
      </x:c>
      <x:c r="Q24" s="32" t="str">
        <x:v>2020 supplement MeanTL</x:v>
      </x:c>
      <x:c r="R24" s="24" t="str">
        <x:v>high</x:v>
      </x:c>
      <x:c r="S24" s="24" t="str">
        <x:v>Spicara smaris</x:v>
      </x:c>
      <x:c r="T24" s="32" t="n">
        <x:f>IF(O24="","",(1/'Metadata'!$B$5)^(O24-1))</x:f>
        <x:v>100</x:v>
      </x:c>
      <x:c r="U24" s="31" t="n">
        <x:f>IF(T24="","",I24*T24)</x:f>
        <x:v>41019.22571762</x:v>
      </x:c>
    </x:row>
    <x:row r="25" ht="18" customHeight="1">
      <x:c r="A25" s="24" t="str">
        <x:v>EEZ_901</x:v>
      </x:c>
      <x:c r="B25" s="24" t="str">
        <x:v>Sicily (Italy)</x:v>
      </x:c>
      <x:c r="C25" s="24" t="str">
        <x:v>EEZ</x:v>
      </x:c>
      <x:c r="D25" s="30" t="n">
        <x:v>2019</x:v>
      </x:c>
      <x:c r="E25" s="24" t="str">
        <x:v>Lithognathus mormyrus</x:v>
      </x:c>
      <x:c r="F25" s="24" t="str">
        <x:v>Sand steenbras</x:v>
      </x:c>
      <x:c r="G25" s="24" t="str">
        <x:v>Medium benthopelagics (30 - 89 cm)</x:v>
      </x:c>
      <x:c r="H25" s="24" t="str">
        <x:v>Perch-likes</x:v>
      </x:c>
      <x:c r="I25" s="31" t="n">
        <x:v>410.180984621</x:v>
      </x:c>
      <x:c r="J25" s="31" t="n">
        <x:v>410.180984621</x:v>
      </x:c>
      <x:c r="K25" s="31" t="n">
        <x:v>0</x:v>
      </x:c>
      <x:c r="L25" s="31" t="n">
        <x:v>156.09676193</x:v>
      </x:c>
      <x:c r="M25" s="31" t="n">
        <x:v>254.08422269099998</x:v>
      </x:c>
      <x:c r="N25" s="24" t="str">
        <x:v>lithognathus mormyrus</x:v>
      </x:c>
      <x:c r="O25" s="32" t="n">
        <x:v>3.42</x:v>
      </x:c>
      <x:c r="P25" s="24" t="str">
        <x:v>exact_2020_supplement</x:v>
      </x:c>
      <x:c r="Q25" s="32" t="str">
        <x:v>2020 supplement MeanTL</x:v>
      </x:c>
      <x:c r="R25" s="24" t="str">
        <x:v>high</x:v>
      </x:c>
      <x:c r="S25" s="24" t="str">
        <x:v>Lithognathus mormyrus</x:v>
      </x:c>
      <x:c r="T25" s="32" t="n">
        <x:f>IF(O25="","",(1/'Metadata'!$B$5)^(O25-1))</x:f>
        <x:v>263.02679918953817</x:v>
      </x:c>
      <x:c r="U25" s="31" t="n">
        <x:f>IF(T25="","",I25*T25)</x:f>
        <x:v>107888.5914732748</x:v>
      </x:c>
    </x:row>
    <x:row r="26" ht="18" customHeight="1">
      <x:c r="A26" s="24" t="str">
        <x:v>EEZ_901</x:v>
      </x:c>
      <x:c r="B26" s="24" t="str">
        <x:v>Sicily (Italy)</x:v>
      </x:c>
      <x:c r="C26" s="24" t="str">
        <x:v>EEZ</x:v>
      </x:c>
      <x:c r="D26" s="30" t="n">
        <x:v>2019</x:v>
      </x:c>
      <x:c r="E26" s="24" t="str">
        <x:v>Chelon ramada</x:v>
      </x:c>
      <x:c r="F26" s="24" t="str">
        <x:v>Thinlip grey mullet</x:v>
      </x:c>
      <x:c r="G26" s="24" t="str">
        <x:v>Medium pelagics (30 - 89 cm)</x:v>
      </x:c>
      <x:c r="H26" s="24" t="str">
        <x:v>Perch-likes</x:v>
      </x:c>
      <x:c r="I26" s="31" t="n">
        <x:v>381.595769774</x:v>
      </x:c>
      <x:c r="J26" s="31" t="n">
        <x:v>381.595769774</x:v>
      </x:c>
      <x:c r="K26" s="31" t="n">
        <x:v>0</x:v>
      </x:c>
      <x:c r="L26" s="31" t="n">
        <x:v>315.7686888</x:v>
      </x:c>
      <x:c r="M26" s="31" t="n">
        <x:v>65.827080974</x:v>
      </x:c>
      <x:c r="N26" s="24" t="str">
        <x:v>chelon ramada</x:v>
      </x:c>
      <x:c r="O26" s="32" t="n">
        <x:v>2.3</x:v>
      </x:c>
      <x:c r="P26" s="24" t="str">
        <x:v>exact_sea_around_us</x:v>
      </x:c>
      <x:c r="Q26" s="32" t="str">
        <x:v>Sea Around Us exploited organisms</x:v>
      </x:c>
      <x:c r="R26" s="24" t="str">
        <x:v>high</x:v>
      </x:c>
      <x:c r="S26" s="24" t="str">
        <x:v>Chelon ramada</x:v>
      </x:c>
      <x:c r="T26" s="32" t="n">
        <x:f>IF(O26="","",(1/'Metadata'!$B$5)^(O26-1))</x:f>
        <x:v>19.952623149688787</x:v>
      </x:c>
      <x:c r="U26" s="31" t="n">
        <x:f>IF(T26="","",I26*T26)</x:f>
        <x:v>7613.8365898160255</x:v>
      </x:c>
    </x:row>
    <x:row r="27" ht="18" customHeight="1">
      <x:c r="A27" s="24" t="str">
        <x:v>EEZ_901</x:v>
      </x:c>
      <x:c r="B27" s="24" t="str">
        <x:v>Sicily (Italy)</x:v>
      </x:c>
      <x:c r="C27" s="24" t="str">
        <x:v>EEZ</x:v>
      </x:c>
      <x:c r="D27" s="30" t="n">
        <x:v>2019</x:v>
      </x:c>
      <x:c r="E27" s="24" t="str">
        <x:v>Loligo</x:v>
      </x:c>
      <x:c r="F27" s="24" t="str">
        <x:v>Common squids</x:v>
      </x:c>
      <x:c r="G27" s="24" t="str">
        <x:v>Cephalopods</x:v>
      </x:c>
      <x:c r="H27" s="24" t="str">
        <x:v>Other fishes &amp; inverts</x:v>
      </x:c>
      <x:c r="I27" s="31" t="n">
        <x:v>357.743038728</x:v>
      </x:c>
      <x:c r="J27" s="31" t="n">
        <x:v>357.743038728</x:v>
      </x:c>
      <x:c r="K27" s="31" t="n">
        <x:v>0</x:v>
      </x:c>
      <x:c r="L27" s="31" t="n">
        <x:v>289.605470599</x:v>
      </x:c>
      <x:c r="M27" s="31" t="n">
        <x:v>68.137568129</x:v>
      </x:c>
      <x:c r="N27" s="24" t="str">
        <x:v>loligo</x:v>
      </x:c>
      <x:c r="O27" s="32" t="n">
        <x:v>3.99</x:v>
      </x:c>
      <x:c r="P27" s="24" t="str">
        <x:v>exact_sea_around_us</x:v>
      </x:c>
      <x:c r="Q27" s="32" t="str">
        <x:v>Sea Around Us exploited organisms</x:v>
      </x:c>
      <x:c r="R27" s="24" t="str">
        <x:v>high</x:v>
      </x:c>
      <x:c r="S27" s="24" t="str">
        <x:v>Loligo</x:v>
      </x:c>
      <x:c r="T27" s="32" t="n">
        <x:f>IF(O27="","",(1/'Metadata'!$B$5)^(O27-1))</x:f>
        <x:v>977.2372209558112</x:v>
      </x:c>
      <x:c r="U27" s="31" t="n">
        <x:f>IF(T27="","",I27*T27)</x:f>
        <x:v>349599.81298283784</x:v>
      </x:c>
    </x:row>
    <x:row r="28" ht="18" customHeight="1">
      <x:c r="A28" s="24" t="str">
        <x:v>EEZ_901</x:v>
      </x:c>
      <x:c r="B28" s="24" t="str">
        <x:v>Sicily (Italy)</x:v>
      </x:c>
      <x:c r="C28" s="24" t="str">
        <x:v>EEZ</x:v>
      </x:c>
      <x:c r="D28" s="30" t="n">
        <x:v>2019</x:v>
      </x:c>
      <x:c r="E28" s="24" t="str">
        <x:v>Oblada melanurus</x:v>
      </x:c>
      <x:c r="F28" s="24" t="str">
        <x:v>Saddled seabream</x:v>
      </x:c>
      <x:c r="G28" s="24" t="str">
        <x:v>Small benthopelagics (&lt;30 cm)</x:v>
      </x:c>
      <x:c r="H28" s="24" t="str">
        <x:v>Perch-likes</x:v>
      </x:c>
      <x:c r="I28" s="31" t="n">
        <x:v>354.62903628609996</x:v>
      </x:c>
      <x:c r="J28" s="31" t="n">
        <x:v>354.62903628609996</x:v>
      </x:c>
      <x:c r="K28" s="31" t="n">
        <x:v>0</x:v>
      </x:c>
      <x:c r="L28" s="31" t="n">
        <x:v>42.799075099999996</x:v>
      </x:c>
      <x:c r="M28" s="31" t="n">
        <x:v>311.8299611861</x:v>
      </x:c>
      <x:c r="N28" s="24" t="str">
        <x:v>oblada melanurus</x:v>
      </x:c>
      <x:c r="O28" s="32" t="n">
        <x:v>3.38</x:v>
      </x:c>
      <x:c r="P28" s="24" t="str">
        <x:v>exact_sea_around_us</x:v>
      </x:c>
      <x:c r="Q28" s="32" t="str">
        <x:v>Sea Around Us exploited organisms</x:v>
      </x:c>
      <x:c r="R28" s="24" t="str">
        <x:v>high</x:v>
      </x:c>
      <x:c r="S28" s="24" t="str">
        <x:v>Oblada melanurus</x:v>
      </x:c>
      <x:c r="T28" s="32" t="n">
        <x:f>IF(O28="","",(1/'Metadata'!$B$5)^(O28-1))</x:f>
        <x:v>239.88329190194898</x:v>
      </x:c>
      <x:c r="U28" s="31" t="n">
        <x:f>IF(T28="","",I28*T28)</x:f>
        <x:v>85069.58062832538</x:v>
      </x:c>
    </x:row>
    <x:row r="29" ht="18" customHeight="1">
      <x:c r="A29" s="24" t="str">
        <x:v>EEZ_901</x:v>
      </x:c>
      <x:c r="B29" s="24" t="str">
        <x:v>Sicily (Italy)</x:v>
      </x:c>
      <x:c r="C29" s="24" t="str">
        <x:v>EEZ</x:v>
      </x:c>
      <x:c r="D29" s="30" t="n">
        <x:v>2019</x:v>
      </x:c>
      <x:c r="E29" s="24" t="str">
        <x:v>Eledone</x:v>
      </x:c>
      <x:c r="F29" s="24" t="str">
        <x:v>Horned, musky octopuses</x:v>
      </x:c>
      <x:c r="G29" s="24" t="str">
        <x:v>Cephalopods</x:v>
      </x:c>
      <x:c r="H29" s="24" t="str">
        <x:v>Other fishes &amp; inverts</x:v>
      </x:c>
      <x:c r="I29" s="31" t="n">
        <x:v>308.084281942</x:v>
      </x:c>
      <x:c r="J29" s="31" t="n">
        <x:v>308.084281942</x:v>
      </x:c>
      <x:c r="K29" s="31" t="n">
        <x:v>0</x:v>
      </x:c>
      <x:c r="L29" s="31" t="n">
        <x:v>308.084281942</x:v>
      </x:c>
      <x:c r="M29" s="31" t="n">
        <x:v>0</x:v>
      </x:c>
      <x:c r="N29" s="24" t="str">
        <x:v>eledone</x:v>
      </x:c>
      <x:c r="O29" s="32" t="n">
        <x:v>3.67</x:v>
      </x:c>
      <x:c r="P29" s="24" t="str">
        <x:v>exact_sea_around_us</x:v>
      </x:c>
      <x:c r="Q29" s="32" t="str">
        <x:v>Sea Around Us exploited organisms</x:v>
      </x:c>
      <x:c r="R29" s="24" t="str">
        <x:v>high</x:v>
      </x:c>
      <x:c r="S29" s="24" t="str">
        <x:v>Eledone</x:v>
      </x:c>
      <x:c r="T29" s="32" t="n">
        <x:f>IF(O29="","",(1/'Metadata'!$B$5)^(O29-1))</x:f>
        <x:v>467.73514128719813</x:v>
      </x:c>
      <x:c r="U29" s="31" t="n">
        <x:f>IF(T29="","",I29*T29)</x:f>
        <x:v>144101.84514250635</x:v>
      </x:c>
    </x:row>
    <x:row r="30" ht="18" customHeight="1">
      <x:c r="A30" s="24" t="str">
        <x:v>EEZ_901</x:v>
      </x:c>
      <x:c r="B30" s="24" t="str">
        <x:v>Sicily (Italy)</x:v>
      </x:c>
      <x:c r="C30" s="24" t="str">
        <x:v>EEZ</x:v>
      </x:c>
      <x:c r="D30" s="30" t="n">
        <x:v>2019</x:v>
      </x:c>
      <x:c r="E30" s="24" t="str">
        <x:v>Nephrops norvegicus</x:v>
      </x:c>
      <x:c r="F30" s="24" t="str">
        <x:v>Norway lobster</x:v>
      </x:c>
      <x:c r="G30" s="24" t="str">
        <x:v>Lobsters, crabs</x:v>
      </x:c>
      <x:c r="H30" s="24" t="str">
        <x:v>Crustaceans</x:v>
      </x:c>
      <x:c r="I30" s="31" t="n">
        <x:v>304.432637205</x:v>
      </x:c>
      <x:c r="J30" s="31" t="n">
        <x:v>304.432637205</x:v>
      </x:c>
      <x:c r="K30" s="31" t="n">
        <x:v>0</x:v>
      </x:c>
      <x:c r="L30" s="31" t="n">
        <x:v>273.9126426</x:v>
      </x:c>
      <x:c r="M30" s="31" t="n">
        <x:v>30.519994605</x:v>
      </x:c>
      <x:c r="N30" s="24" t="str">
        <x:v>nephrops norvegicus</x:v>
      </x:c>
      <x:c r="O30" s="32" t="n">
        <x:v>2.87</x:v>
      </x:c>
      <x:c r="P30" s="24" t="str">
        <x:v>exact_2020_supplement</x:v>
      </x:c>
      <x:c r="Q30" s="32" t="str">
        <x:v>2020 supplement MeanTL</x:v>
      </x:c>
      <x:c r="R30" s="24" t="str">
        <x:v>high</x:v>
      </x:c>
      <x:c r="S30" s="24" t="str">
        <x:v>Nephrops norvegicus</x:v>
      </x:c>
      <x:c r="T30" s="32" t="n">
        <x:f>IF(O30="","",(1/'Metadata'!$B$5)^(O30-1))</x:f>
        <x:v>74.13102413009177</x:v>
      </x:c>
      <x:c r="U30" s="31" t="n">
        <x:f>IF(T30="","",I30*T30)</x:f>
        <x:v>22567.90317463133</x:v>
      </x:c>
    </x:row>
    <x:row r="31" ht="18" customHeight="1">
      <x:c r="A31" s="24" t="str">
        <x:v>EEZ_901</x:v>
      </x:c>
      <x:c r="B31" s="24" t="str">
        <x:v>Sicily (Italy)</x:v>
      </x:c>
      <x:c r="C31" s="24" t="str">
        <x:v>EEZ</x:v>
      </x:c>
      <x:c r="D31" s="30" t="n">
        <x:v>2019</x:v>
      </x:c>
      <x:c r="E31" s="24" t="str">
        <x:v>Spicara maena</x:v>
      </x:c>
      <x:c r="F31" s="24" t="str">
        <x:v>Blotched picarel</x:v>
      </x:c>
      <x:c r="G31" s="24" t="str">
        <x:v>Small demersals (&lt;30 cm)</x:v>
      </x:c>
      <x:c r="H31" s="24" t="str">
        <x:v>Perch-likes</x:v>
      </x:c>
      <x:c r="I31" s="31" t="n">
        <x:v>259.502096867</x:v>
      </x:c>
      <x:c r="J31" s="31" t="n">
        <x:v>259.502096867</x:v>
      </x:c>
      <x:c r="K31" s="31" t="n">
        <x:v>0</x:v>
      </x:c>
      <x:c r="L31" s="31" t="n">
        <x:v>124.748783553</x:v>
      </x:c>
      <x:c r="M31" s="31" t="n">
        <x:v>134.753313314</x:v>
      </x:c>
      <x:c r="N31" s="24" t="str">
        <x:v>spicara maena</x:v>
      </x:c>
      <x:c r="O31" s="32" t="n">
        <x:v>4.15</x:v>
      </x:c>
      <x:c r="P31" s="24" t="str">
        <x:v>exact_2020_supplement</x:v>
      </x:c>
      <x:c r="Q31" s="32" t="str">
        <x:v>2020 supplement MeanTL</x:v>
      </x:c>
      <x:c r="R31" s="24" t="str">
        <x:v>high</x:v>
      </x:c>
      <x:c r="S31" s="24" t="str">
        <x:v>Spicara maena</x:v>
      </x:c>
      <x:c r="T31" s="32" t="n">
        <x:f>IF(O31="","",(1/'Metadata'!$B$5)^(O31-1))</x:f>
        <x:v>1412.5375446227554</x:v>
      </x:c>
      <x:c r="U31" s="31" t="n">
        <x:f>IF(T31="","",I31*T31)</x:f>
        <x:v>366556.4547329686</x:v>
      </x:c>
    </x:row>
    <x:row r="32" ht="18" customHeight="1">
      <x:c r="A32" s="24" t="str">
        <x:v>EEZ_901</x:v>
      </x:c>
      <x:c r="B32" s="24" t="str">
        <x:v>Sicily (Italy)</x:v>
      </x:c>
      <x:c r="C32" s="24" t="str">
        <x:v>EEZ</x:v>
      </x:c>
      <x:c r="D32" s="30" t="n">
        <x:v>2019</x:v>
      </x:c>
      <x:c r="E32" s="24" t="str">
        <x:v>Illex coindetii</x:v>
      </x:c>
      <x:c r="F32" s="24" t="str">
        <x:v>Broadtail shortfin squid</x:v>
      </x:c>
      <x:c r="G32" s="24" t="str">
        <x:v>Cephalopods</x:v>
      </x:c>
      <x:c r="H32" s="24" t="str">
        <x:v>Other fishes &amp; inverts</x:v>
      </x:c>
      <x:c r="I32" s="31" t="n">
        <x:v>253.409647615</x:v>
      </x:c>
      <x:c r="J32" s="31" t="n">
        <x:v>140.469476877</x:v>
      </x:c>
      <x:c r="K32" s="31" t="n">
        <x:v>112.94017073799999</x:v>
      </x:c>
      <x:c r="L32" s="31" t="n">
        <x:v>227.726331865</x:v>
      </x:c>
      <x:c r="M32" s="31" t="n">
        <x:v>25.683315750000002</x:v>
      </x:c>
      <x:c r="N32" s="24" t="str">
        <x:v>illex coindetii</x:v>
      </x:c>
      <x:c r="O32" s="32" t="n">
        <x:v>4.11</x:v>
      </x:c>
      <x:c r="P32" s="24" t="str">
        <x:v>exact_2020_supplement</x:v>
      </x:c>
      <x:c r="Q32" s="32" t="str">
        <x:v>2020 supplement MeanTL</x:v>
      </x:c>
      <x:c r="R32" s="24" t="str">
        <x:v>high</x:v>
      </x:c>
      <x:c r="S32" s="24" t="str">
        <x:v>Illex coindetii</x:v>
      </x:c>
      <x:c r="T32" s="32" t="n">
        <x:f>IF(O32="","",(1/'Metadata'!$B$5)^(O32-1))</x:f>
        <x:v>1288.249551693135</x:v>
      </x:c>
      <x:c r="U32" s="31" t="n">
        <x:f>IF(T32="","",I32*T32)</x:f>
        <x:v>326454.8649347391</x:v>
      </x:c>
    </x:row>
    <x:row r="33" ht="18" customHeight="1">
      <x:c r="A33" s="24" t="str">
        <x:v>EEZ_901</x:v>
      </x:c>
      <x:c r="B33" s="24" t="str">
        <x:v>Sicily (Italy)</x:v>
      </x:c>
      <x:c r="C33" s="24" t="str">
        <x:v>EEZ</x:v>
      </x:c>
      <x:c r="D33" s="30" t="n">
        <x:v>2019</x:v>
      </x:c>
      <x:c r="E33" s="24" t="str">
        <x:v>Scomber</x:v>
      </x:c>
      <x:c r="F33" s="24" t="str">
        <x:v>Chub mackerels</x:v>
      </x:c>
      <x:c r="G33" s="24" t="str">
        <x:v>Medium pelagics (30 - 89 cm)</x:v>
      </x:c>
      <x:c r="H33" s="24" t="str">
        <x:v>Perch-likes</x:v>
      </x:c>
      <x:c r="I33" s="31" t="n">
        <x:v>241.1431491</x:v>
      </x:c>
      <x:c r="J33" s="31" t="n">
        <x:v>241.1431491</x:v>
      </x:c>
      <x:c r="K33" s="31" t="n">
        <x:v>0</x:v>
      </x:c>
      <x:c r="L33" s="31" t="n">
        <x:v>0</x:v>
      </x:c>
      <x:c r="M33" s="31" t="n">
        <x:v>241.1431491</x:v>
      </x:c>
      <x:c r="N33" s="24" t="str">
        <x:v>scomber</x:v>
      </x:c>
      <x:c r="O33" s="32" t="n">
        <x:v>3.65</x:v>
      </x:c>
      <x:c r="P33" s="24" t="str">
        <x:v>exact_sea_around_us</x:v>
      </x:c>
      <x:c r="Q33" s="32" t="str">
        <x:v>Sea Around Us exploited organisms</x:v>
      </x:c>
      <x:c r="R33" s="24" t="str">
        <x:v>high</x:v>
      </x:c>
      <x:c r="S33" s="24" t="str">
        <x:v>Scomber</x:v>
      </x:c>
      <x:c r="T33" s="32" t="n">
        <x:f>IF(O33="","",(1/'Metadata'!$B$5)^(O33-1))</x:f>
        <x:v>446.683592150963</x:v>
      </x:c>
      <x:c r="U33" s="31" t="n">
        <x:f>IF(T33="","",I33*T33)</x:f>
        <x:v>107714.68806258326</x:v>
      </x:c>
    </x:row>
    <x:row r="34" ht="18" customHeight="1">
      <x:c r="A34" s="24" t="str">
        <x:v>EEZ_901</x:v>
      </x:c>
      <x:c r="B34" s="24" t="str">
        <x:v>Sicily (Italy)</x:v>
      </x:c>
      <x:c r="C34" s="24" t="str">
        <x:v>EEZ</x:v>
      </x:c>
      <x:c r="D34" s="30" t="n">
        <x:v>2019</x:v>
      </x:c>
      <x:c r="E34" s="24" t="str">
        <x:v>Chelidonichthys lucerna</x:v>
      </x:c>
      <x:c r="F34" s="24" t="str">
        <x:v>Tub gurnard</x:v>
      </x:c>
      <x:c r="G34" s="24" t="str">
        <x:v>Medium demersals (30 - 89 cm)</x:v>
      </x:c>
      <x:c r="H34" s="24" t="str">
        <x:v>Scorpionfishes</x:v>
      </x:c>
      <x:c r="I34" s="31" t="n">
        <x:v>237.068559038</x:v>
      </x:c>
      <x:c r="J34" s="31" t="n">
        <x:v>237.068559038</x:v>
      </x:c>
      <x:c r="K34" s="31" t="n">
        <x:v>0</x:v>
      </x:c>
      <x:c r="L34" s="31" t="n">
        <x:v>202.14223178</x:v>
      </x:c>
      <x:c r="M34" s="31" t="n">
        <x:v>34.926327258</x:v>
      </x:c>
      <x:c r="N34" s="24" t="str">
        <x:v>chelidonichthys lucerna</x:v>
      </x:c>
      <x:c r="O34" s="32" t="n">
        <x:v>3.98</x:v>
      </x:c>
      <x:c r="P34" s="24" t="str">
        <x:v>exact_2020_supplement</x:v>
      </x:c>
      <x:c r="Q34" s="32" t="str">
        <x:v>2020 supplement MeanTL</x:v>
      </x:c>
      <x:c r="R34" s="24" t="str">
        <x:v>high</x:v>
      </x:c>
      <x:c r="S34" s="24" t="str">
        <x:v>Chelidonichthys lucerna</x:v>
      </x:c>
      <x:c r="T34" s="32" t="n">
        <x:f>IF(O34="","",(1/'Metadata'!$B$5)^(O34-1))</x:f>
        <x:v>954.992586021436</x:v>
      </x:c>
      <x:c r="U34" s="31" t="n">
        <x:f>IF(T34="","",I34*T34)</x:f>
        <x:v>226398.71626007507</x:v>
      </x:c>
    </x:row>
    <x:row r="35" ht="18" customHeight="1">
      <x:c r="A35" s="24" t="str">
        <x:v>EEZ_901</x:v>
      </x:c>
      <x:c r="B35" s="24" t="str">
        <x:v>Sicily (Italy)</x:v>
      </x:c>
      <x:c r="C35" s="24" t="str">
        <x:v>EEZ</x:v>
      </x:c>
      <x:c r="D35" s="30" t="n">
        <x:v>2019</x:v>
      </x:c>
      <x:c r="E35" s="24" t="str">
        <x:v>Sparus aurata</x:v>
      </x:c>
      <x:c r="F35" s="24" t="str">
        <x:v>Gilthead seabream</x:v>
      </x:c>
      <x:c r="G35" s="24" t="str">
        <x:v>Medium demersals (30 - 89 cm)</x:v>
      </x:c>
      <x:c r="H35" s="24" t="str">
        <x:v>Perch-likes</x:v>
      </x:c>
      <x:c r="I35" s="31" t="n">
        <x:v>224.036341949</x:v>
      </x:c>
      <x:c r="J35" s="31" t="n">
        <x:v>224.036341949</x:v>
      </x:c>
      <x:c r="K35" s="31" t="n">
        <x:v>0</x:v>
      </x:c>
      <x:c r="L35" s="31" t="n">
        <x:v>181.67553296999998</x:v>
      </x:c>
      <x:c r="M35" s="31" t="n">
        <x:v>42.360808979</x:v>
      </x:c>
      <x:c r="N35" s="24" t="str">
        <x:v>sparus aurata</x:v>
      </x:c>
      <x:c r="O35" s="32" t="n">
        <x:v>3.7</x:v>
      </x:c>
      <x:c r="P35" s="24" t="str">
        <x:v>exact_2020_supplement</x:v>
      </x:c>
      <x:c r="Q35" s="32" t="str">
        <x:v>2020 supplement MeanTL</x:v>
      </x:c>
      <x:c r="R35" s="24" t="str">
        <x:v>high</x:v>
      </x:c>
      <x:c r="S35" s="24" t="str">
        <x:v>Sparus aurata</x:v>
      </x:c>
      <x:c r="T35" s="32" t="n">
        <x:f>IF(O35="","",(1/'Metadata'!$B$5)^(O35-1))</x:f>
        <x:v>501.18723362727246</x:v>
      </x:c>
      <x:c r="U35" s="31" t="n">
        <x:f>IF(T35="","",I35*T35)</x:f>
        <x:v>112284.15445339296</x:v>
      </x:c>
    </x:row>
    <x:row r="36" ht="18" customHeight="1">
      <x:c r="A36" s="24" t="str">
        <x:v>EEZ_901</x:v>
      </x:c>
      <x:c r="B36" s="24" t="str">
        <x:v>Sicily (Italy)</x:v>
      </x:c>
      <x:c r="C36" s="24" t="str">
        <x:v>EEZ</x:v>
      </x:c>
      <x:c r="D36" s="30" t="n">
        <x:v>2019</x:v>
      </x:c>
      <x:c r="E36" s="24" t="str">
        <x:v>Triglidae</x:v>
      </x:c>
      <x:c r="F36" s="24" t="str">
        <x:v>Searobins, gurnards</x:v>
      </x:c>
      <x:c r="G36" s="24" t="str">
        <x:v>Medium demersals (30 - 89 cm)</x:v>
      </x:c>
      <x:c r="H36" s="24" t="str">
        <x:v>Scorpionfishes</x:v>
      </x:c>
      <x:c r="I36" s="31" t="n">
        <x:v>223.81527789999998</x:v>
      </x:c>
      <x:c r="J36" s="31" t="n">
        <x:v>223.81527789999998</x:v>
      </x:c>
      <x:c r="K36" s="31" t="n">
        <x:v>0</x:v>
      </x:c>
      <x:c r="L36" s="31" t="n">
        <x:v>223.81527789999998</x:v>
      </x:c>
      <x:c r="M36" s="31" t="n">
        <x:v>0</x:v>
      </x:c>
      <x:c r="N36" s="24" t="str">
        <x:v>triglidae</x:v>
      </x:c>
      <x:c r="O36" s="32" t="n">
        <x:v>3.74</x:v>
      </x:c>
      <x:c r="P36" s="24" t="str">
        <x:v>exact_sea_around_us</x:v>
      </x:c>
      <x:c r="Q36" s="32" t="str">
        <x:v>Sea Around Us exploited organisms</x:v>
      </x:c>
      <x:c r="R36" s="24" t="str">
        <x:v>high</x:v>
      </x:c>
      <x:c r="S36" s="24" t="str">
        <x:v>Triglidae</x:v>
      </x:c>
      <x:c r="T36" s="32" t="n">
        <x:f>IF(O36="","",(1/'Metadata'!$B$5)^(O36-1))</x:f>
        <x:v>549.5408738576248</x:v>
      </x:c>
      <x:c r="U36" s="31" t="n">
        <x:f>IF(T36="","",I36*T36)</x:f>
        <x:v>122995.64339985313</x:v>
      </x:c>
    </x:row>
    <x:row r="37" ht="18" customHeight="1">
      <x:c r="A37" s="24" t="str">
        <x:v>EEZ_901</x:v>
      </x:c>
      <x:c r="B37" s="24" t="str">
        <x:v>Sicily (Italy)</x:v>
      </x:c>
      <x:c r="C37" s="24" t="str">
        <x:v>EEZ</x:v>
      </x:c>
      <x:c r="D37" s="30" t="n">
        <x:v>2019</x:v>
      </x:c>
      <x:c r="E37" s="24" t="str">
        <x:v>Squilla mantis</x:v>
      </x:c>
      <x:c r="F37" s="24" t="str">
        <x:v>Spottail mantis squillid</x:v>
      </x:c>
      <x:c r="G37" s="24" t="str">
        <x:v>Shrimps</x:v>
      </x:c>
      <x:c r="H37" s="24" t="str">
        <x:v>Crustaceans</x:v>
      </x:c>
      <x:c r="I37" s="31" t="n">
        <x:v>218.596594397</x:v>
      </x:c>
      <x:c r="J37" s="31" t="n">
        <x:v>162.18188741699998</x:v>
      </x:c>
      <x:c r="K37" s="31" t="n">
        <x:v>56.41470698</x:v>
      </x:c>
      <x:c r="L37" s="31" t="n">
        <x:v>183.971939967</x:v>
      </x:c>
      <x:c r="M37" s="31" t="n">
        <x:v>34.62465443</x:v>
      </x:c>
      <x:c r="N37" s="24" t="str">
        <x:v>squilla mantis</x:v>
      </x:c>
      <x:c r="O37" s="32" t="n">
        <x:v>3.62</x:v>
      </x:c>
      <x:c r="P37" s="24" t="str">
        <x:v>exact_sea_around_us</x:v>
      </x:c>
      <x:c r="Q37" s="32" t="str">
        <x:v>Sea Around Us exploited organisms</x:v>
      </x:c>
      <x:c r="R37" s="24" t="str">
        <x:v>high</x:v>
      </x:c>
      <x:c r="S37" s="24" t="str">
        <x:v>Squilla mantis</x:v>
      </x:c>
      <x:c r="T37" s="32" t="n">
        <x:f>IF(O37="","",(1/'Metadata'!$B$5)^(O37-1))</x:f>
        <x:v>416.8693834703355</x:v>
      </x:c>
      <x:c r="U37" s="31" t="n">
        <x:f>IF(T37="","",I37*T37)</x:f>
        <x:v>91126.22753499237</x:v>
      </x:c>
    </x:row>
    <x:row r="38" ht="18" customHeight="1">
      <x:c r="A38" s="24" t="str">
        <x:v>EEZ_901</x:v>
      </x:c>
      <x:c r="B38" s="24" t="str">
        <x:v>Sicily (Italy)</x:v>
      </x:c>
      <x:c r="C38" s="24" t="str">
        <x:v>EEZ</x:v>
      </x:c>
      <x:c r="D38" s="30" t="n">
        <x:v>2019</x:v>
      </x:c>
      <x:c r="E38" s="24" t="str">
        <x:v>Seriola dumerili</x:v>
      </x:c>
      <x:c r="F38" s="24" t="str">
        <x:v>Greater amberjack</x:v>
      </x:c>
      <x:c r="G38" s="24" t="str">
        <x:v>Large reef assoc. fish (&gt;=90 cm)</x:v>
      </x:c>
      <x:c r="H38" s="24" t="str">
        <x:v>Perch-likes</x:v>
      </x:c>
      <x:c r="I38" s="31" t="n">
        <x:v>217.5172374197</x:v>
      </x:c>
      <x:c r="J38" s="31" t="n">
        <x:v>217.5172374197</x:v>
      </x:c>
      <x:c r="K38" s="31" t="n">
        <x:v>0</x:v>
      </x:c>
      <x:c r="L38" s="31" t="n">
        <x:v>167.7690295317</x:v>
      </x:c>
      <x:c r="M38" s="31" t="n">
        <x:v>49.748207888</x:v>
      </x:c>
      <x:c r="N38" s="24" t="str">
        <x:v>seriola dumerili</x:v>
      </x:c>
      <x:c r="O38" s="32" t="n">
        <x:v>4.5</x:v>
      </x:c>
      <x:c r="P38" s="24" t="str">
        <x:v>exact_2020_supplement</x:v>
      </x:c>
      <x:c r="Q38" s="32" t="str">
        <x:v>2020 supplement MeanTL</x:v>
      </x:c>
      <x:c r="R38" s="24" t="str">
        <x:v>high</x:v>
      </x:c>
      <x:c r="S38" s="24" t="str">
        <x:v>Seriola dumerili</x:v>
      </x:c>
      <x:c r="T38" s="32" t="n">
        <x:f>IF(O38="","",(1/'Metadata'!$B$5)^(O38-1))</x:f>
        <x:v>3162.2776601683795</x:v>
      </x:c>
      <x:c r="U38" s="31" t="n">
        <x:f>IF(T38="","",I38*T38)</x:f>
        <x:v>687849.9005938588</x:v>
      </x:c>
    </x:row>
    <x:row r="39" ht="18" customHeight="1">
      <x:c r="A39" s="24" t="str">
        <x:v>EEZ_901</x:v>
      </x:c>
      <x:c r="B39" s="24" t="str">
        <x:v>Sicily (Italy)</x:v>
      </x:c>
      <x:c r="C39" s="24" t="str">
        <x:v>EEZ</x:v>
      </x:c>
      <x:c r="D39" s="30" t="n">
        <x:v>2019</x:v>
      </x:c>
      <x:c r="E39" s="24" t="str">
        <x:v>Teuthida</x:v>
      </x:c>
      <x:c r="F39" s="24" t="str">
        <x:v>Squids</x:v>
      </x:c>
      <x:c r="G39" s="24" t="str">
        <x:v>Cephalopods</x:v>
      </x:c>
      <x:c r="H39" s="24" t="str">
        <x:v>Other fishes &amp; inverts</x:v>
      </x:c>
      <x:c r="I39" s="31" t="n">
        <x:v>201.324666</x:v>
      </x:c>
      <x:c r="J39" s="31" t="n">
        <x:v>201.324666</x:v>
      </x:c>
      <x:c r="K39" s="31" t="n">
        <x:v>0</x:v>
      </x:c>
      <x:c r="L39" s="31" t="n">
        <x:v>20.4673042</x:v>
      </x:c>
      <x:c r="M39" s="31" t="n">
        <x:v>180.8573618</x:v>
      </x:c>
      <x:c r="N39" s="24" t="str">
        <x:v>teuthida</x:v>
      </x:c>
      <x:c r="O39" s="32" t="n">
        <x:v>4.13</x:v>
      </x:c>
      <x:c r="P39" s="24" t="str">
        <x:v>exact_sea_around_us</x:v>
      </x:c>
      <x:c r="Q39" s="32" t="str">
        <x:v>Sea Around Us exploited organisms</x:v>
      </x:c>
      <x:c r="R39" s="24" t="str">
        <x:v>high</x:v>
      </x:c>
      <x:c r="S39" s="24" t="str">
        <x:v>Teuthida</x:v>
      </x:c>
      <x:c r="T39" s="32" t="n">
        <x:f>IF(O39="","",(1/'Metadata'!$B$5)^(O39-1))</x:f>
        <x:v>1348.9628825916532</x:v>
      </x:c>
      <x:c r="U39" s="31" t="n">
        <x:f>IF(T39="","",I39*T39)</x:f>
        <x:v>271579.5017841618</x:v>
      </x:c>
    </x:row>
    <x:row r="40" ht="18" customHeight="1">
      <x:c r="A40" s="24" t="str">
        <x:v>EEZ_901</x:v>
      </x:c>
      <x:c r="B40" s="24" t="str">
        <x:v>Sicily (Italy)</x:v>
      </x:c>
      <x:c r="C40" s="24" t="str">
        <x:v>EEZ</x:v>
      </x:c>
      <x:c r="D40" s="30" t="n">
        <x:v>2019</x:v>
      </x:c>
      <x:c r="E40" s="24" t="str">
        <x:v>Lophius</x:v>
      </x:c>
      <x:c r="F40" s="24" t="str">
        <x:v>Frogfishes</x:v>
      </x:c>
      <x:c r="G40" s="24" t="str">
        <x:v>Medium bathydemersals (30 - 89 cm)</x:v>
      </x:c>
      <x:c r="H40" s="24" t="str">
        <x:v>Other fishes &amp; inverts</x:v>
      </x:c>
      <x:c r="I40" s="31" t="n">
        <x:v>195.557168066</x:v>
      </x:c>
      <x:c r="J40" s="31" t="n">
        <x:v>195.557168066</x:v>
      </x:c>
      <x:c r="K40" s="31" t="n">
        <x:v>0</x:v>
      </x:c>
      <x:c r="L40" s="31" t="n">
        <x:v>166.366303445</x:v>
      </x:c>
      <x:c r="M40" s="31" t="n">
        <x:v>29.190864621</x:v>
      </x:c>
      <x:c r="N40" s="24" t="str">
        <x:v>lophius</x:v>
      </x:c>
      <x:c r="O40" s="32" t="n">
        <x:v>4.46</x:v>
      </x:c>
      <x:c r="P40" s="24" t="str">
        <x:v>exact_sea_around_us</x:v>
      </x:c>
      <x:c r="Q40" s="32" t="str">
        <x:v>Sea Around Us exploited organisms</x:v>
      </x:c>
      <x:c r="R40" s="24" t="str">
        <x:v>high</x:v>
      </x:c>
      <x:c r="S40" s="24" t="str">
        <x:v>Lophius</x:v>
      </x:c>
      <x:c r="T40" s="32" t="n">
        <x:f>IF(O40="","",(1/'Metadata'!$B$5)^(O40-1))</x:f>
        <x:v>2884.031503126606</x:v>
      </x:c>
      <x:c r="U40" s="31" t="n">
        <x:f>IF(T40="","",I40*T40)</x:f>
        <x:v>563993.0333645683</x:v>
      </x:c>
    </x:row>
    <x:row r="41" ht="18" customHeight="1">
      <x:c r="A41" s="24" t="str">
        <x:v>EEZ_901</x:v>
      </x:c>
      <x:c r="B41" s="24" t="str">
        <x:v>Sicily (Italy)</x:v>
      </x:c>
      <x:c r="C41" s="24" t="str">
        <x:v>EEZ</x:v>
      </x:c>
      <x:c r="D41" s="30" t="n">
        <x:v>2019</x:v>
      </x:c>
      <x:c r="E41" s="24" t="str">
        <x:v>Carangidae</x:v>
      </x:c>
      <x:c r="F41" s="24" t="str">
        <x:v>Jacks, pompanos</x:v>
      </x:c>
      <x:c r="G41" s="24" t="str">
        <x:v>Medium pelagics (30 - 89 cm)</x:v>
      </x:c>
      <x:c r="H41" s="24" t="str">
        <x:v>Perch-likes</x:v>
      </x:c>
      <x:c r="I41" s="31" t="n">
        <x:v>180.8573618</x:v>
      </x:c>
      <x:c r="J41" s="31" t="n">
        <x:v>180.8573618</x:v>
      </x:c>
      <x:c r="K41" s="31" t="n">
        <x:v>0</x:v>
      </x:c>
      <x:c r="L41" s="31" t="n">
        <x:v>0</x:v>
      </x:c>
      <x:c r="M41" s="31" t="n">
        <x:v>180.8573618</x:v>
      </x:c>
      <x:c r="N41" s="24" t="str">
        <x:v>carangidae</x:v>
      </x:c>
      <x:c r="O41" s="32" t="n">
        <x:v>4.05</x:v>
      </x:c>
      <x:c r="P41" s="24" t="str">
        <x:v>exact_sea_around_us</x:v>
      </x:c>
      <x:c r="Q41" s="32" t="str">
        <x:v>Sea Around Us exploited organisms</x:v>
      </x:c>
      <x:c r="R41" s="24" t="str">
        <x:v>high</x:v>
      </x:c>
      <x:c r="S41" s="24" t="str">
        <x:v>Carangidae</x:v>
      </x:c>
      <x:c r="T41" s="32" t="n">
        <x:f>IF(O41="","",(1/'Metadata'!$B$5)^(O41-1))</x:f>
        <x:v>1122.018454301963</x:v>
      </x:c>
      <x:c r="U41" s="31" t="n">
        <x:f>IF(T41="","",I41*T41)</x:f>
        <x:v>202925.29753596688</x:v>
      </x:c>
    </x:row>
    <x:row r="42" ht="18" customHeight="1">
      <x:c r="A42" s="24" t="str">
        <x:v>EEZ_901</x:v>
      </x:c>
      <x:c r="B42" s="24" t="str">
        <x:v>Sicily (Italy)</x:v>
      </x:c>
      <x:c r="C42" s="24" t="str">
        <x:v>EEZ</x:v>
      </x:c>
      <x:c r="D42" s="30" t="n">
        <x:v>2019</x:v>
      </x:c>
      <x:c r="E42" s="24" t="str">
        <x:v>Auxis</x:v>
      </x:c>
      <x:c r="F42" s="24" t="str">
        <x:v>Bullet and frigate tunas</x:v>
      </x:c>
      <x:c r="G42" s="24" t="str">
        <x:v>Medium pelagics (30 - 89 cm)</x:v>
      </x:c>
      <x:c r="H42" s="24" t="str">
        <x:v>Tuna &amp; billfishes</x:v>
      </x:c>
      <x:c r="I42" s="31" t="n">
        <x:v>162.6320734979</x:v>
      </x:c>
      <x:c r="J42" s="31" t="n">
        <x:v>162.6320734979</x:v>
      </x:c>
      <x:c r="K42" s="31" t="n">
        <x:v>0</x:v>
      </x:c>
      <x:c r="L42" s="31" t="n">
        <x:v>148.8515627799</x:v>
      </x:c>
      <x:c r="M42" s="31" t="n">
        <x:v>13.780510718</x:v>
      </x:c>
      <x:c r="N42" s="24" t="str">
        <x:v>auxis</x:v>
      </x:c>
      <x:c r="O42" s="32" t="n">
        <x:v>4.24</x:v>
      </x:c>
      <x:c r="P42" s="24" t="str">
        <x:v>exact_sea_around_us</x:v>
      </x:c>
      <x:c r="Q42" s="32" t="str">
        <x:v>Sea Around Us exploited organisms</x:v>
      </x:c>
      <x:c r="R42" s="24" t="str">
        <x:v>high</x:v>
      </x:c>
      <x:c r="S42" s="24" t="str">
        <x:v>Auxis</x:v>
      </x:c>
      <x:c r="T42" s="32" t="n">
        <x:f>IF(O42="","",(1/'Metadata'!$B$5)^(O42-1))</x:f>
        <x:v>1737.8008287493763</x:v>
      </x:c>
      <x:c r="U42" s="31" t="n">
        <x:f>IF(T42="","",I42*T42)</x:f>
        <x:v>282622.1521058801</x:v>
      </x:c>
    </x:row>
    <x:row r="43" ht="18" customHeight="1">
      <x:c r="A43" s="24" t="str">
        <x:v>EEZ_901</x:v>
      </x:c>
      <x:c r="B43" s="24" t="str">
        <x:v>Sicily (Italy)</x:v>
      </x:c>
      <x:c r="C43" s="24" t="str">
        <x:v>EEZ</x:v>
      </x:c>
      <x:c r="D43" s="30" t="n">
        <x:v>2019</x:v>
      </x:c>
      <x:c r="E43" s="24" t="str">
        <x:v>Sardinella aurita</x:v>
      </x:c>
      <x:c r="F43" s="24" t="str">
        <x:v>Round sardinella</x:v>
      </x:c>
      <x:c r="G43" s="24" t="str">
        <x:v>Small pelagics (&lt;30 cm)</x:v>
      </x:c>
      <x:c r="H43" s="24" t="str">
        <x:v>Herring-likes</x:v>
      </x:c>
      <x:c r="I43" s="31" t="n">
        <x:v>149.2970081131</x:v>
      </x:c>
      <x:c r="J43" s="31" t="n">
        <x:v>149.2970081131</x:v>
      </x:c>
      <x:c r="K43" s="31" t="n">
        <x:v>0</x:v>
      </x:c>
      <x:c r="L43" s="31" t="n">
        <x:v>126.81834433009999</x:v>
      </x:c>
      <x:c r="M43" s="31" t="n">
        <x:v>22.478663783000002</x:v>
      </x:c>
      <x:c r="N43" s="24" t="str">
        <x:v>sardinella aurita</x:v>
      </x:c>
      <x:c r="O43" s="32" t="n">
        <x:v>3.4</x:v>
      </x:c>
      <x:c r="P43" s="24" t="str">
        <x:v>exact_2020_supplement</x:v>
      </x:c>
      <x:c r="Q43" s="32" t="str">
        <x:v>2020 supplement MeanTL</x:v>
      </x:c>
      <x:c r="R43" s="24" t="str">
        <x:v>high</x:v>
      </x:c>
      <x:c r="S43" s="24" t="str">
        <x:v>Sardinella aurita</x:v>
      </x:c>
      <x:c r="T43" s="32" t="n">
        <x:f>IF(O43="","",(1/'Metadata'!$B$5)^(O43-1))</x:f>
        <x:v>251.18864315095797</x:v>
      </x:c>
      <x:c r="U43" s="31" t="n">
        <x:f>IF(T43="","",I43*T43)</x:f>
        <x:v>37501.71289442715</x:v>
      </x:c>
    </x:row>
    <x:row r="44" ht="18" customHeight="1">
      <x:c r="A44" s="24" t="str">
        <x:v>EEZ_901</x:v>
      </x:c>
      <x:c r="B44" s="24" t="str">
        <x:v>Sicily (Italy)</x:v>
      </x:c>
      <x:c r="C44" s="24" t="str">
        <x:v>EEZ</x:v>
      </x:c>
      <x:c r="D44" s="30" t="n">
        <x:v>2019</x:v>
      </x:c>
      <x:c r="E44" s="24" t="str">
        <x:v>Conger conger</x:v>
      </x:c>
      <x:c r="F44" s="24" t="str">
        <x:v>European conger</x:v>
      </x:c>
      <x:c r="G44" s="24" t="str">
        <x:v>Large demersals (&gt;=90 cm)</x:v>
      </x:c>
      <x:c r="H44" s="24" t="str">
        <x:v>Other fishes &amp; inverts</x:v>
      </x:c>
      <x:c r="I44" s="31" t="n">
        <x:v>147.54685611300002</x:v>
      </x:c>
      <x:c r="J44" s="31" t="n">
        <x:v>147.54685611300002</x:v>
      </x:c>
      <x:c r="K44" s="31" t="n">
        <x:v>0</x:v>
      </x:c>
      <x:c r="L44" s="31" t="n">
        <x:v>132.88433686000002</x:v>
      </x:c>
      <x:c r="M44" s="31" t="n">
        <x:v>14.662519253</x:v>
      </x:c>
      <x:c r="N44" s="24" t="str">
        <x:v>conger conger</x:v>
      </x:c>
      <x:c r="O44" s="32" t="n">
        <x:v>4.31</x:v>
      </x:c>
      <x:c r="P44" s="24" t="str">
        <x:v>exact_2020_supplement</x:v>
      </x:c>
      <x:c r="Q44" s="32" t="str">
        <x:v>2020 supplement MeanTL</x:v>
      </x:c>
      <x:c r="R44" s="24" t="str">
        <x:v>high</x:v>
      </x:c>
      <x:c r="S44" s="24" t="str">
        <x:v>Conger conger</x:v>
      </x:c>
      <x:c r="T44" s="32" t="n">
        <x:f>IF(O44="","",(1/'Metadata'!$B$5)^(O44-1))</x:f>
        <x:v>2041.7379446695275</x:v>
      </x:c>
      <x:c r="U44" s="31" t="n">
        <x:f>IF(T44="","",I44*T44)</x:f>
        <x:v>301252.01474260713</x:v>
      </x:c>
    </x:row>
    <x:row r="45" ht="18" customHeight="1">
      <x:c r="A45" s="24" t="str">
        <x:v>EEZ_901</x:v>
      </x:c>
      <x:c r="B45" s="24" t="str">
        <x:v>Sicily (Italy)</x:v>
      </x:c>
      <x:c r="C45" s="24" t="str">
        <x:v>EEZ</x:v>
      </x:c>
      <x:c r="D45" s="30" t="n">
        <x:v>2019</x:v>
      </x:c>
      <x:c r="E45" s="24" t="str">
        <x:v>Lichia amia</x:v>
      </x:c>
      <x:c r="F45" s="24" t="str">
        <x:v>Leerfish</x:v>
      </x:c>
      <x:c r="G45" s="24" t="str">
        <x:v>Large pelagics (&gt;=90 cm)</x:v>
      </x:c>
      <x:c r="H45" s="24" t="str">
        <x:v>Perch-likes</x:v>
      </x:c>
      <x:c r="I45" s="31" t="n">
        <x:v>146.497841939</x:v>
      </x:c>
      <x:c r="J45" s="31" t="n">
        <x:v>146.497841939</x:v>
      </x:c>
      <x:c r="K45" s="31" t="n">
        <x:v>0</x:v>
      </x:c>
      <x:c r="L45" s="31" t="n">
        <x:v>100.56316293</x:v>
      </x:c>
      <x:c r="M45" s="31" t="n">
        <x:v>45.93467900899999</x:v>
      </x:c>
      <x:c r="N45" s="24" t="str">
        <x:v>lichia amia</x:v>
      </x:c>
      <x:c r="O45" s="32" t="n">
        <x:v>4.5</x:v>
      </x:c>
      <x:c r="P45" s="24" t="str">
        <x:v>exact_2020_supplement</x:v>
      </x:c>
      <x:c r="Q45" s="32" t="str">
        <x:v>2020 supplement MeanTL</x:v>
      </x:c>
      <x:c r="R45" s="24" t="str">
        <x:v>high</x:v>
      </x:c>
      <x:c r="S45" s="24" t="str">
        <x:v>Lichia amia</x:v>
      </x:c>
      <x:c r="T45" s="32" t="n">
        <x:f>IF(O45="","",(1/'Metadata'!$B$5)^(O45-1))</x:f>
        <x:v>3162.2776601683795</x:v>
      </x:c>
      <x:c r="U45" s="31" t="n">
        <x:f>IF(T45="","",I45*T45)</x:f>
        <x:v>463266.8528265781</x:v>
      </x:c>
    </x:row>
    <x:row r="46" ht="18" customHeight="1">
      <x:c r="A46" s="24" t="str">
        <x:v>EEZ_901</x:v>
      </x:c>
      <x:c r="B46" s="24" t="str">
        <x:v>Sicily (Italy)</x:v>
      </x:c>
      <x:c r="C46" s="24" t="str">
        <x:v>EEZ</x:v>
      </x:c>
      <x:c r="D46" s="30" t="n">
        <x:v>2019</x:v>
      </x:c>
      <x:c r="E46" s="24" t="str">
        <x:v>Dicentrarchus labrax</x:v>
      </x:c>
      <x:c r="F46" s="24" t="str">
        <x:v>European seabass</x:v>
      </x:c>
      <x:c r="G46" s="24" t="str">
        <x:v>Large demersals (&gt;=90 cm)</x:v>
      </x:c>
      <x:c r="H46" s="24" t="str">
        <x:v>Perch-likes</x:v>
      </x:c>
      <x:c r="I46" s="31" t="n">
        <x:v>138.549184314</x:v>
      </x:c>
      <x:c r="J46" s="31" t="n">
        <x:v>138.549184314</x:v>
      </x:c>
      <x:c r="K46" s="31" t="n">
        <x:v>0</x:v>
      </x:c>
      <x:c r="L46" s="31" t="n">
        <x:v>58.35845345999999</x:v>
      </x:c>
      <x:c r="M46" s="31" t="n">
        <x:v>80.190730854</x:v>
      </x:c>
      <x:c r="N46" s="24" t="str">
        <x:v>dicentrarchus labrax</x:v>
      </x:c>
      <x:c r="O46" s="32" t="n">
        <x:v>3.79</x:v>
      </x:c>
      <x:c r="P46" s="24" t="str">
        <x:v>exact_2020_supplement</x:v>
      </x:c>
      <x:c r="Q46" s="32" t="str">
        <x:v>2020 supplement MeanTL</x:v>
      </x:c>
      <x:c r="R46" s="24" t="str">
        <x:v>high</x:v>
      </x:c>
      <x:c r="S46" s="24" t="str">
        <x:v>Dicentrarchus labrax</x:v>
      </x:c>
      <x:c r="T46" s="32" t="n">
        <x:f>IF(O46="","",(1/'Metadata'!$B$5)^(O46-1))</x:f>
        <x:v>616.5950018614822</x:v>
      </x:c>
      <x:c r="U46" s="31" t="n">
        <x:f>IF(T46="","",I46*T46)</x:f>
        <x:v>85428.73455999767</x:v>
      </x:c>
    </x:row>
    <x:row r="47" ht="18" customHeight="1">
      <x:c r="A47" s="24" t="str">
        <x:v>EEZ_901</x:v>
      </x:c>
      <x:c r="B47" s="24" t="str">
        <x:v>Sicily (Italy)</x:v>
      </x:c>
      <x:c r="C47" s="24" t="str">
        <x:v>EEZ</x:v>
      </x:c>
      <x:c r="D47" s="30" t="n">
        <x:v>2019</x:v>
      </x:c>
      <x:c r="E47" s="24" t="str">
        <x:v>Belone belone</x:v>
      </x:c>
      <x:c r="F47" s="24" t="str">
        <x:v>Garfish</x:v>
      </x:c>
      <x:c r="G47" s="24" t="str">
        <x:v>Medium pelagics (30 - 89 cm)</x:v>
      </x:c>
      <x:c r="H47" s="24" t="str">
        <x:v>Other fishes &amp; inverts</x:v>
      </x:c>
      <x:c r="I47" s="31" t="n">
        <x:v>137.89396034199999</x:v>
      </x:c>
      <x:c r="J47" s="31" t="n">
        <x:v>137.89396034199999</x:v>
      </x:c>
      <x:c r="K47" s="31" t="n">
        <x:v>0</x:v>
      </x:c>
      <x:c r="L47" s="31" t="n">
        <x:v>12.501478568</x:v>
      </x:c>
      <x:c r="M47" s="31" t="n">
        <x:v>125.392481774</x:v>
      </x:c>
      <x:c r="N47" s="24" t="str">
        <x:v>belone belone</x:v>
      </x:c>
      <x:c r="O47" s="32" t="n">
        <x:v>4.16</x:v>
      </x:c>
      <x:c r="P47" s="24" t="str">
        <x:v>exact_2020_supplement</x:v>
      </x:c>
      <x:c r="Q47" s="32" t="str">
        <x:v>2020 supplement MeanTL</x:v>
      </x:c>
      <x:c r="R47" s="24" t="str">
        <x:v>high</x:v>
      </x:c>
      <x:c r="S47" s="24" t="str">
        <x:v>Belone belone</x:v>
      </x:c>
      <x:c r="T47" s="32" t="n">
        <x:f>IF(O47="","",(1/'Metadata'!$B$5)^(O47-1))</x:f>
        <x:v>1445.439770745928</x:v>
      </x:c>
      <x:c r="U47" s="31" t="n">
        <x:f>IF(T47="","",I47*T47)</x:f>
        <x:v>199317.41442398855</x:v>
      </x:c>
    </x:row>
    <x:row r="48" ht="18" customHeight="1">
      <x:c r="A48" s="24" t="str">
        <x:v>EEZ_901</x:v>
      </x:c>
      <x:c r="B48" s="24" t="str">
        <x:v>Sicily (Italy)</x:v>
      </x:c>
      <x:c r="C48" s="24" t="str">
        <x:v>EEZ</x:v>
      </x:c>
      <x:c r="D48" s="30" t="n">
        <x:v>2019</x:v>
      </x:c>
      <x:c r="E48" s="24" t="str">
        <x:v>Scophthalmidae</x:v>
      </x:c>
      <x:c r="F48" s="24" t="str">
        <x:v>Turbots</x:v>
      </x:c>
      <x:c r="G48" s="24" t="str">
        <x:v>Small to medium flatfishes (&lt;90 cm)</x:v>
      </x:c>
      <x:c r="H48" s="24" t="str">
        <x:v>Flatfishes</x:v>
      </x:c>
      <x:c r="I48" s="31" t="n">
        <x:v>121.2947444</x:v>
      </x:c>
      <x:c r="J48" s="31" t="n">
        <x:v>121.2947444</x:v>
      </x:c>
      <x:c r="K48" s="31" t="n">
        <x:v>0</x:v>
      </x:c>
      <x:c r="L48" s="31" t="n">
        <x:v>121.2947444</x:v>
      </x:c>
      <x:c r="M48" s="31" t="n">
        <x:v>0</x:v>
      </x:c>
      <x:c r="N48" s="24" t="str">
        <x:v>scophthalmidae</x:v>
      </x:c>
      <x:c r="O48" s="32" t="n">
        <x:v>3.71</x:v>
      </x:c>
      <x:c r="P48" s="24" t="str">
        <x:v>exact_sea_around_us</x:v>
      </x:c>
      <x:c r="Q48" s="32" t="str">
        <x:v>Sea Around Us exploited organisms</x:v>
      </x:c>
      <x:c r="R48" s="24" t="str">
        <x:v>high</x:v>
      </x:c>
      <x:c r="S48" s="24" t="str">
        <x:v>Scophthalmidae</x:v>
      </x:c>
      <x:c r="T48" s="32" t="n">
        <x:f>IF(O48="","",(1/'Metadata'!$B$5)^(O48-1))</x:f>
        <x:v>512.8613839913648</x:v>
      </x:c>
      <x:c r="U48" s="31" t="n">
        <x:f>IF(T48="","",I48*T48)</x:f>
        <x:v>62207.39048386285</x:v>
      </x:c>
    </x:row>
    <x:row r="49" ht="18" customHeight="1">
      <x:c r="A49" s="24" t="str">
        <x:v>EEZ_901</x:v>
      </x:c>
      <x:c r="B49" s="24" t="str">
        <x:v>Sicily (Italy)</x:v>
      </x:c>
      <x:c r="C49" s="24" t="str">
        <x:v>EEZ</x:v>
      </x:c>
      <x:c r="D49" s="30" t="n">
        <x:v>2019</x:v>
      </x:c>
      <x:c r="E49" s="24" t="str">
        <x:v>Serranus</x:v>
      </x:c>
      <x:c r="F49" s="24" t="str">
        <x:v>Groupers</x:v>
      </x:c>
      <x:c r="G49" s="24" t="str">
        <x:v>Small reef assoc. fish (&lt;30 cm)</x:v>
      </x:c>
      <x:c r="H49" s="24" t="str">
        <x:v>Perch-likes</x:v>
      </x:c>
      <x:c r="I49" s="31" t="n">
        <x:v>120.5715745</x:v>
      </x:c>
      <x:c r="J49" s="31" t="n">
        <x:v>120.5715745</x:v>
      </x:c>
      <x:c r="K49" s="31" t="n">
        <x:v>0</x:v>
      </x:c>
      <x:c r="L49" s="31" t="n">
        <x:v>0</x:v>
      </x:c>
      <x:c r="M49" s="31" t="n">
        <x:v>120.5715745</x:v>
      </x:c>
      <x:c r="N49" s="24" t="str">
        <x:v>serranus</x:v>
      </x:c>
      <x:c r="O49" s="32" t="n">
        <x:v>3.73</x:v>
      </x:c>
      <x:c r="P49" s="24" t="str">
        <x:v>exact_sea_around_us</x:v>
      </x:c>
      <x:c r="Q49" s="32" t="str">
        <x:v>Sea Around Us exploited organisms</x:v>
      </x:c>
      <x:c r="R49" s="24" t="str">
        <x:v>high</x:v>
      </x:c>
      <x:c r="S49" s="24" t="str">
        <x:v>Serranus</x:v>
      </x:c>
      <x:c r="T49" s="32" t="n">
        <x:f>IF(O49="","",(1/'Metadata'!$B$5)^(O49-1))</x:f>
        <x:v>537.0317963702527</x:v>
      </x:c>
      <x:c r="U49" s="31" t="n">
        <x:f>IF(T49="","",I49*T49)</x:f>
        <x:v>64750.76924492475</x:v>
      </x:c>
    </x:row>
    <x:row r="50" ht="18" customHeight="1">
      <x:c r="A50" s="24" t="str">
        <x:v>EEZ_901</x:v>
      </x:c>
      <x:c r="B50" s="24" t="str">
        <x:v>Sicily (Italy)</x:v>
      </x:c>
      <x:c r="C50" s="24" t="str">
        <x:v>EEZ</x:v>
      </x:c>
      <x:c r="D50" s="30" t="n">
        <x:v>2019</x:v>
      </x:c>
      <x:c r="E50" s="24" t="str">
        <x:v>Scorpaenidae</x:v>
      </x:c>
      <x:c r="F50" s="24" t="str">
        <x:v>Scorpionfishes, rockfishes</x:v>
      </x:c>
      <x:c r="G50" s="24" t="str">
        <x:v>Large reef assoc. fish (&gt;=90 cm)</x:v>
      </x:c>
      <x:c r="H50" s="24" t="str">
        <x:v>Scorpionfishes</x:v>
      </x:c>
      <x:c r="I50" s="31" t="n">
        <x:v>120.5715745</x:v>
      </x:c>
      <x:c r="J50" s="31" t="n">
        <x:v>120.5715745</x:v>
      </x:c>
      <x:c r="K50" s="31" t="n">
        <x:v>0</x:v>
      </x:c>
      <x:c r="L50" s="31" t="n">
        <x:v>0</x:v>
      </x:c>
      <x:c r="M50" s="31" t="n">
        <x:v>120.5715745</x:v>
      </x:c>
      <x:c r="N50" s="24" t="str">
        <x:v>scorpaenidae</x:v>
      </x:c>
      <x:c r="O50" s="32" t="n">
        <x:v>3.92</x:v>
      </x:c>
      <x:c r="P50" s="24" t="str">
        <x:v>exact_sea_around_us</x:v>
      </x:c>
      <x:c r="Q50" s="32" t="str">
        <x:v>Sea Around Us exploited organisms</x:v>
      </x:c>
      <x:c r="R50" s="24" t="str">
        <x:v>high</x:v>
      </x:c>
      <x:c r="S50" s="24" t="str">
        <x:v>Scorpaenidae</x:v>
      </x:c>
      <x:c r="T50" s="32" t="n">
        <x:f>IF(O50="","",(1/'Metadata'!$B$5)^(O50-1))</x:f>
        <x:v>831.7637711026708</x:v>
      </x:c>
      <x:c r="U50" s="31" t="n">
        <x:f>IF(T50="","",I50*T50)</x:f>
        <x:v>100287.06749390662</x:v>
      </x:c>
    </x:row>
    <x:row r="51" ht="18" customHeight="1">
      <x:c r="A51" s="24" t="str">
        <x:v>EEZ_901</x:v>
      </x:c>
      <x:c r="B51" s="24" t="str">
        <x:v>Sicily (Italy)</x:v>
      </x:c>
      <x:c r="C51" s="24" t="str">
        <x:v>EEZ</x:v>
      </x:c>
      <x:c r="D51" s="30" t="n">
        <x:v>2019</x:v>
      </x:c>
      <x:c r="E51" s="24" t="str">
        <x:v>Phycis phycis</x:v>
      </x:c>
      <x:c r="F51" s="24" t="str">
        <x:v>Forkbeard</x:v>
      </x:c>
      <x:c r="G51" s="24" t="str">
        <x:v>Medium benthopelagics (30 - 89 cm)</x:v>
      </x:c>
      <x:c r="H51" s="24" t="str">
        <x:v>Cod-likes</x:v>
      </x:c>
      <x:c r="I51" s="31" t="n">
        <x:v>120.38374182</x:v>
      </x:c>
      <x:c r="J51" s="31" t="n">
        <x:v>120.38374182</x:v>
      </x:c>
      <x:c r="K51" s="31" t="n">
        <x:v>0</x:v>
      </x:c>
      <x:c r="L51" s="31" t="n">
        <x:v>106.76755187</x:v>
      </x:c>
      <x:c r="M51" s="31" t="n">
        <x:v>13.61618995</x:v>
      </x:c>
      <x:c r="N51" s="24" t="str">
        <x:v>phycis phycis</x:v>
      </x:c>
      <x:c r="O51" s="32" t="n">
        <x:v>4.25</x:v>
      </x:c>
      <x:c r="P51" s="24" t="str">
        <x:v>exact_2020_supplement</x:v>
      </x:c>
      <x:c r="Q51" s="32" t="str">
        <x:v>2020 supplement MeanTL</x:v>
      </x:c>
      <x:c r="R51" s="24" t="str">
        <x:v>high</x:v>
      </x:c>
      <x:c r="S51" s="24" t="str">
        <x:v>Phycis phycis</x:v>
      </x:c>
      <x:c r="T51" s="32" t="n">
        <x:f>IF(O51="","",(1/'Metadata'!$B$5)^(O51-1))</x:f>
        <x:v>1778.2794100389228</x:v>
      </x:c>
      <x:c r="U51" s="31" t="n">
        <x:f>IF(T51="","",I51*T51)</x:f>
        <x:v>214075.9293819476</x:v>
      </x:c>
    </x:row>
    <x:row r="52" ht="18" customHeight="1">
      <x:c r="A52" s="24" t="str">
        <x:v>EEZ_901</x:v>
      </x:c>
      <x:c r="B52" s="24" t="str">
        <x:v>Sicily (Italy)</x:v>
      </x:c>
      <x:c r="C52" s="24" t="str">
        <x:v>EEZ</x:v>
      </x:c>
      <x:c r="D52" s="30" t="n">
        <x:v>2019</x:v>
      </x:c>
      <x:c r="E52" s="24" t="str">
        <x:v>Scorpaena scrofa</x:v>
      </x:c>
      <x:c r="F52" s="24" t="str">
        <x:v>Red scorpionfish</x:v>
      </x:c>
      <x:c r="G52" s="24" t="str">
        <x:v>Medium demersals (30 - 89 cm)</x:v>
      </x:c>
      <x:c r="H52" s="24" t="str">
        <x:v>Scorpionfishes</x:v>
      </x:c>
      <x:c r="I52" s="31" t="n">
        <x:v>120.207012015</x:v>
      </x:c>
      <x:c r="J52" s="31" t="n">
        <x:v>120.207012015</x:v>
      </x:c>
      <x:c r="K52" s="31" t="n">
        <x:v>0</x:v>
      </x:c>
      <x:c r="L52" s="31" t="n">
        <x:v>101.646386341</x:v>
      </x:c>
      <x:c r="M52" s="31" t="n">
        <x:v>18.560625674</x:v>
      </x:c>
      <x:c r="N52" s="24" t="str">
        <x:v>scorpaena scrofa</x:v>
      </x:c>
      <x:c r="O52" s="32" t="n">
        <x:v>4.25</x:v>
      </x:c>
      <x:c r="P52" s="24" t="str">
        <x:v>exact_2020_supplement</x:v>
      </x:c>
      <x:c r="Q52" s="32" t="str">
        <x:v>2020 supplement MeanTL</x:v>
      </x:c>
      <x:c r="R52" s="24" t="str">
        <x:v>high</x:v>
      </x:c>
      <x:c r="S52" s="24" t="str">
        <x:v>Scorpaena scrofa</x:v>
      </x:c>
      <x:c r="T52" s="32" t="n">
        <x:f>IF(O52="","",(1/'Metadata'!$B$5)^(O52-1))</x:f>
        <x:v>1778.2794100389228</x:v>
      </x:c>
      <x:c r="U52" s="31" t="n">
        <x:f>IF(T52="","",I52*T52)</x:f>
        <x:v>213761.6544085759</x:v>
      </x:c>
    </x:row>
    <x:row r="53" ht="18" customHeight="1">
      <x:c r="A53" s="24" t="str">
        <x:v>EEZ_901</x:v>
      </x:c>
      <x:c r="B53" s="24" t="str">
        <x:v>Sicily (Italy)</x:v>
      </x:c>
      <x:c r="C53" s="24" t="str">
        <x:v>EEZ</x:v>
      </x:c>
      <x:c r="D53" s="30" t="n">
        <x:v>2019</x:v>
      </x:c>
      <x:c r="E53" s="24" t="str">
        <x:v>Mullus barbatus</x:v>
      </x:c>
      <x:c r="F53" s="24" t="str">
        <x:v>Red mullet</x:v>
      </x:c>
      <x:c r="G53" s="24" t="str">
        <x:v>Medium demersals (30 - 89 cm)</x:v>
      </x:c>
      <x:c r="H53" s="24" t="str">
        <x:v>Perch-likes</x:v>
      </x:c>
      <x:c r="I53" s="31" t="n">
        <x:v>120.059846799</x:v>
      </x:c>
      <x:c r="J53" s="31" t="n">
        <x:v>71.348568238</x:v>
      </x:c>
      <x:c r="K53" s="31" t="n">
        <x:v>48.711278561</x:v>
      </x:c>
      <x:c r="L53" s="31" t="n">
        <x:v>111.997711721</x:v>
      </x:c>
      <x:c r="M53" s="31" t="n">
        <x:v>8.062135077999999</x:v>
      </x:c>
      <x:c r="N53" s="24" t="str">
        <x:v>mullus barbatus</x:v>
      </x:c>
      <x:c r="O53" s="32" t="n">
        <x:v>3.14</x:v>
      </x:c>
      <x:c r="P53" s="24" t="str">
        <x:v>exact_2020_supplement</x:v>
      </x:c>
      <x:c r="Q53" s="32" t="str">
        <x:v>2020 supplement MeanTL</x:v>
      </x:c>
      <x:c r="R53" s="24" t="str">
        <x:v>high</x:v>
      </x:c>
      <x:c r="S53" s="24" t="str">
        <x:v>Mullus barbatus</x:v>
      </x:c>
      <x:c r="T53" s="32" t="n">
        <x:f>IF(O53="","",(1/'Metadata'!$B$5)^(O53-1))</x:f>
        <x:v>138.03842646028852</x:v>
      </x:c>
      <x:c r="U53" s="31" t="n">
        <x:f>IF(T53="","",I53*T53)</x:f>
        <x:v>16572.87233319727</x:v>
      </x:c>
    </x:row>
    <x:row r="54" ht="18" customHeight="1">
      <x:c r="A54" s="24" t="str">
        <x:v>EEZ_901</x:v>
      </x:c>
      <x:c r="B54" s="24" t="str">
        <x:v>Sicily (Italy)</x:v>
      </x:c>
      <x:c r="C54" s="24" t="str">
        <x:v>EEZ</x:v>
      </x:c>
      <x:c r="D54" s="30" t="n">
        <x:v>2019</x:v>
      </x:c>
      <x:c r="E54" s="24" t="str">
        <x:v>Dentex dentex</x:v>
      </x:c>
      <x:c r="F54" s="24" t="str">
        <x:v>Common dentex</x:v>
      </x:c>
      <x:c r="G54" s="24" t="str">
        <x:v>Large benthopelagics (&gt;=90 cm)</x:v>
      </x:c>
      <x:c r="H54" s="24" t="str">
        <x:v>Perch-likes</x:v>
      </x:c>
      <x:c r="I54" s="31" t="n">
        <x:v>113.777962096</x:v>
      </x:c>
      <x:c r="J54" s="31" t="n">
        <x:v>113.777962096</x:v>
      </x:c>
      <x:c r="K54" s="31" t="n">
        <x:v>0</x:v>
      </x:c>
      <x:c r="L54" s="31" t="n">
        <x:v>46.07697218</x:v>
      </x:c>
      <x:c r="M54" s="31" t="n">
        <x:v>67.700989916</x:v>
      </x:c>
      <x:c r="N54" s="24" t="str">
        <x:v>dentex dentex</x:v>
      </x:c>
      <x:c r="O54" s="32" t="n">
        <x:v>4.53</x:v>
      </x:c>
      <x:c r="P54" s="24" t="str">
        <x:v>exact_2020_supplement</x:v>
      </x:c>
      <x:c r="Q54" s="32" t="str">
        <x:v>2020 supplement MeanTL</x:v>
      </x:c>
      <x:c r="R54" s="24" t="str">
        <x:v>high</x:v>
      </x:c>
      <x:c r="S54" s="24" t="str">
        <x:v>Dentex dentex</x:v>
      </x:c>
      <x:c r="T54" s="32" t="n">
        <x:f>IF(O54="","",(1/'Metadata'!$B$5)^(O54-1))</x:f>
        <x:v>3388.4415613920273</x:v>
      </x:c>
      <x:c r="U54" s="31" t="n">
        <x:f>IF(T54="","",I54*T54)</x:f>
        <x:v>385529.97553657315</x:v>
      </x:c>
    </x:row>
    <x:row r="55" ht="18" customHeight="1">
      <x:c r="A55" s="24" t="str">
        <x:v>EEZ_901</x:v>
      </x:c>
      <x:c r="B55" s="24" t="str">
        <x:v>Sicily (Italy)</x:v>
      </x:c>
      <x:c r="C55" s="24" t="str">
        <x:v>EEZ</x:v>
      </x:c>
      <x:c r="D55" s="30" t="n">
        <x:v>2019</x:v>
      </x:c>
      <x:c r="E55" s="24" t="str">
        <x:v>Arnoglossus laterna</x:v>
      </x:c>
      <x:c r="F55" s="24" t="str">
        <x:v>Mediterranean scaldfish</x:v>
      </x:c>
      <x:c r="G55" s="24" t="str">
        <x:v>Small to medium flatfishes (&lt;90 cm)</x:v>
      </x:c>
      <x:c r="H55" s="24" t="str">
        <x:v>Flatfishes</x:v>
      </x:c>
      <x:c r="I55" s="31" t="n">
        <x:v>107.83012568</x:v>
      </x:c>
      <x:c r="J55" s="31" t="n">
        <x:v>107.83012568</x:v>
      </x:c>
      <x:c r="K55" s="31" t="n">
        <x:v>0</x:v>
      </x:c>
      <x:c r="L55" s="31" t="n">
        <x:v>85.17778367</x:v>
      </x:c>
      <x:c r="M55" s="31" t="n">
        <x:v>22.65234201</x:v>
      </x:c>
      <x:c r="N55" s="24" t="str">
        <x:v>arnoglossus laterna</x:v>
      </x:c>
      <x:c r="O55" s="32" t="n">
        <x:v>3.59</x:v>
      </x:c>
      <x:c r="P55" s="24" t="str">
        <x:v>exact_2020_supplement</x:v>
      </x:c>
      <x:c r="Q55" s="32" t="str">
        <x:v>2020 supplement MeanTL</x:v>
      </x:c>
      <x:c r="R55" s="24" t="str">
        <x:v>high</x:v>
      </x:c>
      <x:c r="S55" s="24" t="str">
        <x:v>Arnoglossus laterna</x:v>
      </x:c>
      <x:c r="T55" s="32" t="n">
        <x:f>IF(O55="","",(1/'Metadata'!$B$5)^(O55-1))</x:f>
        <x:v>389.04514499428046</x:v>
      </x:c>
      <x:c r="U55" s="31" t="n">
        <x:f>IF(T55="","",I55*T55)</x:f>
        <x:v>41950.78687992708</x:v>
      </x:c>
    </x:row>
    <x:row r="56" ht="18" customHeight="1">
      <x:c r="A56" s="24" t="str">
        <x:v>EEZ_901</x:v>
      </x:c>
      <x:c r="B56" s="24" t="str">
        <x:v>Sicily (Italy)</x:v>
      </x:c>
      <x:c r="C56" s="24" t="str">
        <x:v>EEZ</x:v>
      </x:c>
      <x:c r="D56" s="30" t="n">
        <x:v>2019</x:v>
      </x:c>
      <x:c r="E56" s="24" t="str">
        <x:v>Atherinidae</x:v>
      </x:c>
      <x:c r="F56" s="24" t="str">
        <x:v>Silversides</x:v>
      </x:c>
      <x:c r="G56" s="24" t="str">
        <x:v>Small pelagics (&lt;30 cm)</x:v>
      </x:c>
      <x:c r="H56" s="24" t="str">
        <x:v>Other fishes &amp; inverts</x:v>
      </x:c>
      <x:c r="I56" s="31" t="n">
        <x:v>105.142959788</x:v>
      </x:c>
      <x:c r="J56" s="31" t="n">
        <x:v>105.142959788</x:v>
      </x:c>
      <x:c r="K56" s="31" t="n">
        <x:v>0</x:v>
      </x:c>
      <x:c r="L56" s="31" t="n">
        <x:v>101.34457173</x:v>
      </x:c>
      <x:c r="M56" s="31" t="n">
        <x:v>3.798388058</x:v>
      </x:c>
      <x:c r="N56" s="24" t="str">
        <x:v>atherinidae</x:v>
      </x:c>
      <x:c r="O56" s="32" t="n">
        <x:v>3.2</x:v>
      </x:c>
      <x:c r="P56" s="24" t="str">
        <x:v>exact_sea_around_us</x:v>
      </x:c>
      <x:c r="Q56" s="32" t="str">
        <x:v>Sea Around Us exploited organisms</x:v>
      </x:c>
      <x:c r="R56" s="24" t="str">
        <x:v>high</x:v>
      </x:c>
      <x:c r="S56" s="24" t="str">
        <x:v>Atherinidae</x:v>
      </x:c>
      <x:c r="T56" s="32" t="n">
        <x:f>IF(O56="","",(1/'Metadata'!$B$5)^(O56-1))</x:f>
        <x:v>158.48931924611142</x:v>
      </x:c>
      <x:c r="U56" s="31" t="n">
        <x:f>IF(T56="","",I56*T56)</x:f>
        <x:v>16664.036120321387</x:v>
      </x:c>
    </x:row>
    <x:row r="57" ht="18" customHeight="1">
      <x:c r="A57" s="24" t="str">
        <x:v>EEZ_901</x:v>
      </x:c>
      <x:c r="B57" s="24" t="str">
        <x:v>Sicily (Italy)</x:v>
      </x:c>
      <x:c r="C57" s="24" t="str">
        <x:v>EEZ</x:v>
      </x:c>
      <x:c r="D57" s="30" t="n">
        <x:v>2019</x:v>
      </x:c>
      <x:c r="E57" s="24" t="str">
        <x:v>Eledone cirrhosa</x:v>
      </x:c>
      <x:c r="F57" s="24" t="str">
        <x:v>Horned octopus</x:v>
      </x:c>
      <x:c r="G57" s="24" t="str">
        <x:v>Cephalopods</x:v>
      </x:c>
      <x:c r="H57" s="24" t="str">
        <x:v>Other fishes &amp; inverts</x:v>
      </x:c>
      <x:c r="I57" s="31" t="n">
        <x:v>104.9787898871</x:v>
      </x:c>
      <x:c r="J57" s="31" t="n">
        <x:v>104.9787898871</x:v>
      </x:c>
      <x:c r="K57" s="31" t="n">
        <x:v>0</x:v>
      </x:c>
      <x:c r="L57" s="31" t="n">
        <x:v>88.1423910661</x:v>
      </x:c>
      <x:c r="M57" s="31" t="n">
        <x:v>16.836398821</x:v>
      </x:c>
      <x:c r="N57" s="24" t="str">
        <x:v>eledone cirrhosa</x:v>
      </x:c>
      <x:c r="O57" s="32" t="n">
        <x:v>3.7</x:v>
      </x:c>
      <x:c r="P57" s="24" t="str">
        <x:v>exact_2020_supplement</x:v>
      </x:c>
      <x:c r="Q57" s="32" t="str">
        <x:v>2020 supplement MeanTL</x:v>
      </x:c>
      <x:c r="R57" s="24" t="str">
        <x:v>high</x:v>
      </x:c>
      <x:c r="S57" s="24" t="str">
        <x:v>Eledone cirrhosa</x:v>
      </x:c>
      <x:c r="T57" s="32" t="n">
        <x:f>IF(O57="","",(1/'Metadata'!$B$5)^(O57-1))</x:f>
        <x:v>501.18723362727246</x:v>
      </x:c>
      <x:c r="U57" s="31" t="n">
        <x:f>IF(T57="","",I57*T57)</x:f>
        <x:v>52614.02929305434</x:v>
      </x:c>
    </x:row>
    <x:row r="58" ht="18" customHeight="1">
      <x:c r="A58" s="24" t="str">
        <x:v>EEZ_901</x:v>
      </x:c>
      <x:c r="B58" s="24" t="str">
        <x:v>Sicily (Italy)</x:v>
      </x:c>
      <x:c r="C58" s="24" t="str">
        <x:v>EEZ</x:v>
      </x:c>
      <x:c r="D58" s="30" t="n">
        <x:v>2019</x:v>
      </x:c>
      <x:c r="E58" s="24" t="str">
        <x:v>Euthynnus alletteratus</x:v>
      </x:c>
      <x:c r="F58" s="24" t="str">
        <x:v>Little tunny </x:v>
      </x:c>
      <x:c r="G58" s="24" t="str">
        <x:v>Large pelagics (&gt;=90 cm)</x:v>
      </x:c>
      <x:c r="H58" s="24" t="str">
        <x:v>Tuna &amp; billfishes</x:v>
      </x:c>
      <x:c r="I58" s="31" t="n">
        <x:v>104.2770951938</x:v>
      </x:c>
      <x:c r="J58" s="31" t="n">
        <x:v>104.2770951938</x:v>
      </x:c>
      <x:c r="K58" s="31" t="n">
        <x:v>0</x:v>
      </x:c>
      <x:c r="L58" s="31" t="n">
        <x:v>83.3508981148</x:v>
      </x:c>
      <x:c r="M58" s="31" t="n">
        <x:v>20.926197079</x:v>
      </x:c>
      <x:c r="N58" s="24" t="str">
        <x:v>euthynnus alletteratus</x:v>
      </x:c>
      <x:c r="O58" s="32" t="n">
        <x:v>4.49</x:v>
      </x:c>
      <x:c r="P58" s="24" t="str">
        <x:v>exact_2020_supplement</x:v>
      </x:c>
      <x:c r="Q58" s="32" t="str">
        <x:v>2020 supplement MeanTL</x:v>
      </x:c>
      <x:c r="R58" s="24" t="str">
        <x:v>high</x:v>
      </x:c>
      <x:c r="S58" s="24" t="str">
        <x:v>Euthynnus alletteratus</x:v>
      </x:c>
      <x:c r="T58" s="32" t="n">
        <x:f>IF(O58="","",(1/'Metadata'!$B$5)^(O58-1))</x:f>
        <x:v>3090.295432513592</x:v>
      </x:c>
      <x:c r="U58" s="31" t="n">
        <x:f>IF(T58="","",I58*T58)</x:f>
        <x:v>322247.0309931852</x:v>
      </x:c>
    </x:row>
    <x:row r="59" ht="18" customHeight="1">
      <x:c r="A59" s="24" t="str">
        <x:v>EEZ_901</x:v>
      </x:c>
      <x:c r="B59" s="24" t="str">
        <x:v>Sicily (Italy)</x:v>
      </x:c>
      <x:c r="C59" s="24" t="str">
        <x:v>EEZ</x:v>
      </x:c>
      <x:c r="D59" s="30" t="n">
        <x:v>2019</x:v>
      </x:c>
      <x:c r="E59" s="24" t="str">
        <x:v>Raja clavata</x:v>
      </x:c>
      <x:c r="F59" s="24" t="str">
        <x:v>Thornback ray</x:v>
      </x:c>
      <x:c r="G59" s="24" t="str">
        <x:v>Large rays (&gt;=90 cm)</x:v>
      </x:c>
      <x:c r="H59" s="24" t="str">
        <x:v>Sharks &amp; rays</x:v>
      </x:c>
      <x:c r="I59" s="31" t="n">
        <x:v>96.850174484</x:v>
      </x:c>
      <x:c r="J59" s="31" t="n">
        <x:v>96.850174484</x:v>
      </x:c>
      <x:c r="K59" s="31" t="n">
        <x:v>0</x:v>
      </x:c>
      <x:c r="L59" s="31" t="n">
        <x:v>79.67100855</x:v>
      </x:c>
      <x:c r="M59" s="31" t="n">
        <x:v>17.179165934</x:v>
      </x:c>
      <x:c r="N59" s="24" t="str">
        <x:v>raja clavata</x:v>
      </x:c>
      <x:c r="O59" s="32" t="n">
        <x:v>3.84</x:v>
      </x:c>
      <x:c r="P59" s="24" t="str">
        <x:v>exact_2020_supplement</x:v>
      </x:c>
      <x:c r="Q59" s="32" t="str">
        <x:v>2020 supplement MeanTL</x:v>
      </x:c>
      <x:c r="R59" s="24" t="str">
        <x:v>high</x:v>
      </x:c>
      <x:c r="S59" s="24" t="str">
        <x:v>Raja clavata</x:v>
      </x:c>
      <x:c r="T59" s="32" t="n">
        <x:f>IF(O59="","",(1/'Metadata'!$B$5)^(O59-1))</x:f>
        <x:v>691.8309709189363</x:v>
      </x:c>
      <x:c r="U59" s="31" t="n">
        <x:f>IF(T59="","",I59*T59)</x:f>
        <x:v>67003.9502469341</x:v>
      </x:c>
    </x:row>
    <x:row r="60" ht="18" customHeight="1">
      <x:c r="A60" s="24" t="str">
        <x:v>EEZ_901</x:v>
      </x:c>
      <x:c r="B60" s="24" t="str">
        <x:v>Sicily (Italy)</x:v>
      </x:c>
      <x:c r="C60" s="24" t="str">
        <x:v>EEZ</x:v>
      </x:c>
      <x:c r="D60" s="30" t="n">
        <x:v>2019</x:v>
      </x:c>
      <x:c r="E60" s="24" t="str">
        <x:v>Gobiidae</x:v>
      </x:c>
      <x:c r="F60" s="24" t="str">
        <x:v>Gobies</x:v>
      </x:c>
      <x:c r="G60" s="24" t="str">
        <x:v>Small reef assoc. fish (&lt;30 cm)</x:v>
      </x:c>
      <x:c r="H60" s="24" t="str">
        <x:v>Perch-likes</x:v>
      </x:c>
      <x:c r="I60" s="31" t="n">
        <x:v>95.211308203</x:v>
      </x:c>
      <x:c r="J60" s="31" t="n">
        <x:v>95.211308203</x:v>
      </x:c>
      <x:c r="K60" s="31" t="n">
        <x:v>0</x:v>
      </x:c>
      <x:c r="L60" s="31" t="n">
        <x:v>87.08390207</x:v>
      </x:c>
      <x:c r="M60" s="31" t="n">
        <x:v>8.127406133</x:v>
      </x:c>
      <x:c r="N60" s="24" t="str">
        <x:v>gobiidae</x:v>
      </x:c>
      <x:c r="O60" s="32" t="n">
        <x:v>3.11</x:v>
      </x:c>
      <x:c r="P60" s="24" t="str">
        <x:v>exact_sea_around_us</x:v>
      </x:c>
      <x:c r="Q60" s="32" t="str">
        <x:v>Sea Around Us exploited organisms</x:v>
      </x:c>
      <x:c r="R60" s="24" t="str">
        <x:v>high</x:v>
      </x:c>
      <x:c r="S60" s="24" t="str">
        <x:v>Gobiidae</x:v>
      </x:c>
      <x:c r="T60" s="32" t="n">
        <x:f>IF(O60="","",(1/'Metadata'!$B$5)^(O60-1))</x:f>
        <x:v>128.82495516931337</x:v>
      </x:c>
      <x:c r="U60" s="31" t="n">
        <x:f>IF(T60="","",I60*T60)</x:f>
        <x:v>12265.592510863153</x:v>
      </x:c>
    </x:row>
    <x:row r="61" ht="18" customHeight="1">
      <x:c r="A61" s="24" t="str">
        <x:v>EEZ_901</x:v>
      </x:c>
      <x:c r="B61" s="24" t="str">
        <x:v>Sicily (Italy)</x:v>
      </x:c>
      <x:c r="C61" s="24" t="str">
        <x:v>EEZ</x:v>
      </x:c>
      <x:c r="D61" s="30" t="n">
        <x:v>2019</x:v>
      </x:c>
      <x:c r="E61" s="24" t="str">
        <x:v>Chlorophthalmidae</x:v>
      </x:c>
      <x:c r="F61" s="24" t="str">
        <x:v>Greeneyes</x:v>
      </x:c>
      <x:c r="G61" s="24" t="str">
        <x:v>Small demersals (&lt;30 cm)</x:v>
      </x:c>
      <x:c r="H61" s="24" t="str">
        <x:v>Other fishes &amp; inverts</x:v>
      </x:c>
      <x:c r="I61" s="31" t="n">
        <x:v>91.16729193900001</x:v>
      </x:c>
      <x:c r="J61" s="31" t="n">
        <x:v>91.16729193900001</x:v>
      </x:c>
      <x:c r="K61" s="31" t="n">
        <x:v>0</x:v>
      </x:c>
      <x:c r="L61" s="31" t="n">
        <x:v>83.09405251000001</x:v>
      </x:c>
      <x:c r="M61" s="31" t="n">
        <x:v>8.073239429</x:v>
      </x:c>
      <x:c r="N61" s="24" t="str">
        <x:v>chlorophthalmidae</x:v>
      </x:c>
      <x:c r="O61" s="32" t="n">
        <x:v>3.62</x:v>
      </x:c>
      <x:c r="P61" s="24" t="str">
        <x:v>exact_sea_around_us</x:v>
      </x:c>
      <x:c r="Q61" s="32" t="str">
        <x:v>Sea Around Us exploited organisms</x:v>
      </x:c>
      <x:c r="R61" s="24" t="str">
        <x:v>high</x:v>
      </x:c>
      <x:c r="S61" s="24" t="str">
        <x:v>Chlorophthalmidae</x:v>
      </x:c>
      <x:c r="T61" s="32" t="n">
        <x:f>IF(O61="","",(1/'Metadata'!$B$5)^(O61-1))</x:f>
        <x:v>416.8693834703355</x:v>
      </x:c>
      <x:c r="U61" s="31" t="n">
        <x:f>IF(T61="","",I61*T61)</x:f>
        <x:v>38004.85278327102</x:v>
      </x:c>
    </x:row>
    <x:row r="62" ht="18" customHeight="1">
      <x:c r="A62" s="24" t="str">
        <x:v>EEZ_901</x:v>
      </x:c>
      <x:c r="B62" s="24" t="str">
        <x:v>Sicily (Italy)</x:v>
      </x:c>
      <x:c r="C62" s="24" t="str">
        <x:v>EEZ</x:v>
      </x:c>
      <x:c r="D62" s="30" t="n">
        <x:v>2019</x:v>
      </x:c>
      <x:c r="E62" s="24" t="str">
        <x:v>Thunnus</x:v>
      </x:c>
      <x:c r="F62" s="24" t="str">
        <x:v>Tunas</x:v>
      </x:c>
      <x:c r="G62" s="24" t="str">
        <x:v>Large pelagics (&gt;=90 cm)</x:v>
      </x:c>
      <x:c r="H62" s="24" t="str">
        <x:v>Tuna &amp; billfishes</x:v>
      </x:c>
      <x:c r="I62" s="31" t="n">
        <x:v>80.69561069400001</x:v>
      </x:c>
      <x:c r="J62" s="31" t="n">
        <x:v>80.69561069400001</x:v>
      </x:c>
      <x:c r="K62" s="31" t="n">
        <x:v>0</x:v>
      </x:c>
      <x:c r="L62" s="31" t="n">
        <x:v>0</x:v>
      </x:c>
      <x:c r="M62" s="31" t="n">
        <x:v>80.69561069400001</x:v>
      </x:c>
      <x:c r="N62" s="24" t="str">
        <x:v>thunnus</x:v>
      </x:c>
      <x:c r="O62" s="32" t="n">
        <x:v>4.34</x:v>
      </x:c>
      <x:c r="P62" s="24" t="str">
        <x:v>exact_sea_around_us</x:v>
      </x:c>
      <x:c r="Q62" s="32" t="str">
        <x:v>Sea Around Us exploited organisms</x:v>
      </x:c>
      <x:c r="R62" s="24" t="str">
        <x:v>high</x:v>
      </x:c>
      <x:c r="S62" s="24" t="str">
        <x:v>Thunnus</x:v>
      </x:c>
      <x:c r="T62" s="32" t="n">
        <x:f>IF(O62="","",(1/'Metadata'!$B$5)^(O62-1))</x:f>
        <x:v>2187.761623949552</x:v>
      </x:c>
      <x:c r="U62" s="31" t="n">
        <x:f>IF(T62="","",I62*T62)</x:f>
        <x:v>176542.7602975063</x:v>
      </x:c>
    </x:row>
    <x:row r="63" ht="18" customHeight="1">
      <x:c r="A63" s="24" t="str">
        <x:v>EEZ_901</x:v>
      </x:c>
      <x:c r="B63" s="24" t="str">
        <x:v>Sicily (Italy)</x:v>
      </x:c>
      <x:c r="C63" s="24" t="str">
        <x:v>EEZ</x:v>
      </x:c>
      <x:c r="D63" s="30" t="n">
        <x:v>2019</x:v>
      </x:c>
      <x:c r="E63" s="24" t="str">
        <x:v>Sarpa salpa</x:v>
      </x:c>
      <x:c r="F63" s="24" t="str">
        <x:v>Salema</x:v>
      </x:c>
      <x:c r="G63" s="24" t="str">
        <x:v>Medium benthopelagics (30 - 89 cm)</x:v>
      </x:c>
      <x:c r="H63" s="24" t="str">
        <x:v>Perch-likes</x:v>
      </x:c>
      <x:c r="I63" s="31" t="n">
        <x:v>80.599717208</x:v>
      </x:c>
      <x:c r="J63" s="31" t="n">
        <x:v>80.599717208</x:v>
      </x:c>
      <x:c r="K63" s="31" t="n">
        <x:v>0</x:v>
      </x:c>
      <x:c r="L63" s="31" t="n">
        <x:v>62.076371890000004</x:v>
      </x:c>
      <x:c r="M63" s="31" t="n">
        <x:v>18.523345318</x:v>
      </x:c>
      <x:c r="N63" s="24" t="str">
        <x:v>sarpa salpa</x:v>
      </x:c>
      <x:c r="O63" s="32" t="n">
        <x:v>2</x:v>
      </x:c>
      <x:c r="P63" s="24" t="str">
        <x:v>exact_2020_supplement</x:v>
      </x:c>
      <x:c r="Q63" s="32" t="str">
        <x:v>2020 supplement MeanTL</x:v>
      </x:c>
      <x:c r="R63" s="24" t="str">
        <x:v>high</x:v>
      </x:c>
      <x:c r="S63" s="24" t="str">
        <x:v>Sarpa salpa</x:v>
      </x:c>
      <x:c r="T63" s="32" t="n">
        <x:f>IF(O63="","",(1/'Metadata'!$B$5)^(O63-1))</x:f>
        <x:v>10</x:v>
      </x:c>
      <x:c r="U63" s="31" t="n">
        <x:f>IF(T63="","",I63*T63)</x:f>
        <x:v>805.99717208</x:v>
      </x:c>
    </x:row>
    <x:row r="64" ht="18" customHeight="1">
      <x:c r="A64" s="24" t="str">
        <x:v>EEZ_901</x:v>
      </x:c>
      <x:c r="B64" s="24" t="str">
        <x:v>Sicily (Italy)</x:v>
      </x:c>
      <x:c r="C64" s="24" t="str">
        <x:v>EEZ</x:v>
      </x:c>
      <x:c r="D64" s="30" t="n">
        <x:v>2019</x:v>
      </x:c>
      <x:c r="E64" s="24" t="str">
        <x:v>Eledone moschata</x:v>
      </x:c>
      <x:c r="F64" s="24" t="str">
        <x:v>Musky octopus</x:v>
      </x:c>
      <x:c r="G64" s="24" t="str">
        <x:v>Cephalopods</x:v>
      </x:c>
      <x:c r="H64" s="24" t="str">
        <x:v>Other fishes &amp; inverts</x:v>
      </x:c>
      <x:c r="I64" s="31" t="n">
        <x:v>78.832784912</x:v>
      </x:c>
      <x:c r="J64" s="31" t="n">
        <x:v>78.832784912</x:v>
      </x:c>
      <x:c r="K64" s="31" t="n">
        <x:v>0</x:v>
      </x:c>
      <x:c r="L64" s="31" t="n">
        <x:v>0</x:v>
      </x:c>
      <x:c r="M64" s="31" t="n">
        <x:v>78.832784912</x:v>
      </x:c>
      <x:c r="N64" s="24" t="str">
        <x:v>eledone moschata</x:v>
      </x:c>
      <x:c r="O64" s="32" t="n">
        <x:v>3.65</x:v>
      </x:c>
      <x:c r="P64" s="24" t="str">
        <x:v>exact_2020_supplement</x:v>
      </x:c>
      <x:c r="Q64" s="32" t="str">
        <x:v>2020 supplement MeanTL</x:v>
      </x:c>
      <x:c r="R64" s="24" t="str">
        <x:v>high</x:v>
      </x:c>
      <x:c r="S64" s="24" t="str">
        <x:v>Eledone moschata</x:v>
      </x:c>
      <x:c r="T64" s="32" t="n">
        <x:f>IF(O64="","",(1/'Metadata'!$B$5)^(O64-1))</x:f>
        <x:v>446.683592150963</x:v>
      </x:c>
      <x:c r="U64" s="31" t="n">
        <x:f>IF(T64="","",I64*T64)</x:f>
        <x:v>35213.3115437564</x:v>
      </x:c>
    </x:row>
    <x:row r="65" ht="18" customHeight="1">
      <x:c r="A65" s="24" t="str">
        <x:v>EEZ_901</x:v>
      </x:c>
      <x:c r="B65" s="24" t="str">
        <x:v>Sicily (Italy)</x:v>
      </x:c>
      <x:c r="C65" s="24" t="str">
        <x:v>EEZ</x:v>
      </x:c>
      <x:c r="D65" s="30" t="n">
        <x:v>2019</x:v>
      </x:c>
      <x:c r="E65" s="24" t="str">
        <x:v>Palinurus elephas</x:v>
      </x:c>
      <x:c r="F65" s="24" t="str">
        <x:v>Common spiny lobster</x:v>
      </x:c>
      <x:c r="G65" s="24" t="str">
        <x:v>Lobsters, crabs</x:v>
      </x:c>
      <x:c r="H65" s="24" t="str">
        <x:v>Crustaceans</x:v>
      </x:c>
      <x:c r="I65" s="31" t="n">
        <x:v>74.148949457</x:v>
      </x:c>
      <x:c r="J65" s="31" t="n">
        <x:v>74.148949457</x:v>
      </x:c>
      <x:c r="K65" s="31" t="n">
        <x:v>0</x:v>
      </x:c>
      <x:c r="L65" s="31" t="n">
        <x:v>58.541666</x:v>
      </x:c>
      <x:c r="M65" s="31" t="n">
        <x:v>15.607283457000001</x:v>
      </x:c>
      <x:c r="N65" s="24" t="str">
        <x:v>palinurus elephas</x:v>
      </x:c>
      <x:c r="O65" s="32" t="n">
        <x:v>3.34</x:v>
      </x:c>
      <x:c r="P65" s="24" t="str">
        <x:v>exact_2020_supplement</x:v>
      </x:c>
      <x:c r="Q65" s="32" t="str">
        <x:v>2020 supplement MeanTL</x:v>
      </x:c>
      <x:c r="R65" s="24" t="str">
        <x:v>high</x:v>
      </x:c>
      <x:c r="S65" s="24" t="str">
        <x:v>Palinurus elephas</x:v>
      </x:c>
      <x:c r="T65" s="32" t="n">
        <x:f>IF(O65="","",(1/'Metadata'!$B$5)^(O65-1))</x:f>
        <x:v>218.77616239495518</x:v>
      </x:c>
      <x:c r="U65" s="31" t="n">
        <x:f>IF(T65="","",I65*T65)</x:f>
        <x:v>16222.022607819956</x:v>
      </x:c>
    </x:row>
    <x:row r="66" ht="18" customHeight="1">
      <x:c r="A66" s="24" t="str">
        <x:v>EEZ_901</x:v>
      </x:c>
      <x:c r="B66" s="24" t="str">
        <x:v>Sicily (Italy)</x:v>
      </x:c>
      <x:c r="C66" s="24" t="str">
        <x:v>EEZ</x:v>
      </x:c>
      <x:c r="D66" s="30" t="n">
        <x:v>2019</x:v>
      </x:c>
      <x:c r="E66" s="24" t="str">
        <x:v>Trachinotus ovatus</x:v>
      </x:c>
      <x:c r="F66" s="24" t="str">
        <x:v>Pompano</x:v>
      </x:c>
      <x:c r="G66" s="24" t="str">
        <x:v>Medium pelagics (30 - 89 cm)</x:v>
      </x:c>
      <x:c r="H66" s="24" t="str">
        <x:v>Perch-likes</x:v>
      </x:c>
      <x:c r="I66" s="31" t="n">
        <x:v>73.601135708</x:v>
      </x:c>
      <x:c r="J66" s="31" t="n">
        <x:v>73.601135708</x:v>
      </x:c>
      <x:c r="K66" s="31" t="n">
        <x:v>0</x:v>
      </x:c>
      <x:c r="L66" s="31" t="n">
        <x:v>10.812207532</x:v>
      </x:c>
      <x:c r="M66" s="31" t="n">
        <x:v>62.788928176</x:v>
      </x:c>
      <x:c r="N66" s="24" t="str">
        <x:v>trachinotus ovatus</x:v>
      </x:c>
      <x:c r="O66" s="32" t="n">
        <x:v>3.73</x:v>
      </x:c>
      <x:c r="P66" s="24" t="str">
        <x:v>exact_2020_supplement</x:v>
      </x:c>
      <x:c r="Q66" s="32" t="str">
        <x:v>2020 supplement MeanTL</x:v>
      </x:c>
      <x:c r="R66" s="24" t="str">
        <x:v>high</x:v>
      </x:c>
      <x:c r="S66" s="24" t="str">
        <x:v>Trachinotus ovatus</x:v>
      </x:c>
      <x:c r="T66" s="32" t="n">
        <x:f>IF(O66="","",(1/'Metadata'!$B$5)^(O66-1))</x:f>
        <x:v>537.0317963702527</x:v>
      </x:c>
      <x:c r="U66" s="31" t="n">
        <x:f>IF(T66="","",I66*T66)</x:f>
        <x:v>39526.15012415799</x:v>
      </x:c>
    </x:row>
    <x:row r="67" ht="18" customHeight="1">
      <x:c r="A67" s="24" t="str">
        <x:v>EEZ_901</x:v>
      </x:c>
      <x:c r="B67" s="24" t="str">
        <x:v>Sicily (Italy)</x:v>
      </x:c>
      <x:c r="C67" s="24" t="str">
        <x:v>EEZ</x:v>
      </x:c>
      <x:c r="D67" s="30" t="n">
        <x:v>2019</x:v>
      </x:c>
      <x:c r="E67" s="24" t="str">
        <x:v>Sciaenidae</x:v>
      </x:c>
      <x:c r="F67" s="24" t="str">
        <x:v>Drums, croakers</x:v>
      </x:c>
      <x:c r="G67" s="24" t="str">
        <x:v>Medium demersals (30 - 89 cm)</x:v>
      </x:c>
      <x:c r="H67" s="24" t="str">
        <x:v>Perch-likes</x:v>
      </x:c>
      <x:c r="I67" s="31" t="n">
        <x:v>60.28578726</x:v>
      </x:c>
      <x:c r="J67" s="31" t="n">
        <x:v>60.28578726</x:v>
      </x:c>
      <x:c r="K67" s="31" t="n">
        <x:v>0</x:v>
      </x:c>
      <x:c r="L67" s="31" t="n">
        <x:v>0</x:v>
      </x:c>
      <x:c r="M67" s="31" t="n">
        <x:v>60.28578726</x:v>
      </x:c>
      <x:c r="N67" s="24" t="str">
        <x:v>sciaenidae</x:v>
      </x:c>
      <x:c r="O67" s="32" t="n">
        <x:v>3.76</x:v>
      </x:c>
      <x:c r="P67" s="24" t="str">
        <x:v>exact_sea_around_us</x:v>
      </x:c>
      <x:c r="Q67" s="32" t="str">
        <x:v>Sea Around Us exploited organisms</x:v>
      </x:c>
      <x:c r="R67" s="24" t="str">
        <x:v>high</x:v>
      </x:c>
      <x:c r="S67" s="24" t="str">
        <x:v>Sciaenidae</x:v>
      </x:c>
      <x:c r="T67" s="32" t="n">
        <x:f>IF(O67="","",(1/'Metadata'!$B$5)^(O67-1))</x:f>
        <x:v>575.4399373371566</x:v>
      </x:c>
      <x:c r="U67" s="31" t="n">
        <x:f>IF(T67="","",I67*T67)</x:f>
        <x:v>34690.84964321555</x:v>
      </x:c>
    </x:row>
    <x:row r="68" ht="18" customHeight="1">
      <x:c r="A68" s="24" t="str">
        <x:v>EEZ_901</x:v>
      </x:c>
      <x:c r="B68" s="24" t="str">
        <x:v>Sicily (Italy)</x:v>
      </x:c>
      <x:c r="C68" s="24" t="str">
        <x:v>EEZ</x:v>
      </x:c>
      <x:c r="D68" s="30" t="n">
        <x:v>2019</x:v>
      </x:c>
      <x:c r="E68" s="24" t="str">
        <x:v>Chelon auratus</x:v>
      </x:c>
      <x:c r="F68" s="24" t="str">
        <x:v>Golden grey mullet</x:v>
      </x:c>
      <x:c r="G68" s="24" t="str">
        <x:v>Medium pelagics (30 - 89 cm)</x:v>
      </x:c>
      <x:c r="H68" s="24" t="str">
        <x:v>Other fishes &amp; inverts</x:v>
      </x:c>
      <x:c r="I68" s="31" t="n">
        <x:v>59.295115225</x:v>
      </x:c>
      <x:c r="J68" s="31" t="n">
        <x:v>59.295115225</x:v>
      </x:c>
      <x:c r="K68" s="31" t="n">
        <x:v>0</x:v>
      </x:c>
      <x:c r="L68" s="31" t="n">
        <x:v>54.86724818</x:v>
      </x:c>
      <x:c r="M68" s="31" t="n">
        <x:v>4.427867045</x:v>
      </x:c>
      <x:c r="N68" s="24" t="str">
        <x:v>chelon auratus</x:v>
      </x:c>
      <x:c r="O68" s="32" t="n">
        <x:v>2.8</x:v>
      </x:c>
      <x:c r="P68" s="24" t="str">
        <x:v>exact_sea_around_us</x:v>
      </x:c>
      <x:c r="Q68" s="32" t="str">
        <x:v>Sea Around Us exploited organisms</x:v>
      </x:c>
      <x:c r="R68" s="24" t="str">
        <x:v>high</x:v>
      </x:c>
      <x:c r="S68" s="24" t="str">
        <x:v>Chelon auratus</x:v>
      </x:c>
      <x:c r="T68" s="32" t="n">
        <x:f>IF(O68="","",(1/'Metadata'!$B$5)^(O68-1))</x:f>
        <x:v>63.0957344480193</x:v>
      </x:c>
      <x:c r="U68" s="31" t="n">
        <x:f>IF(T68="","",I68*T68)</x:f>
        <x:v>3741.268844301306</x:v>
      </x:c>
    </x:row>
    <x:row r="69" ht="18" customHeight="1">
      <x:c r="A69" s="24" t="str">
        <x:v>EEZ_901</x:v>
      </x:c>
      <x:c r="B69" s="24" t="str">
        <x:v>Sicily (Italy)</x:v>
      </x:c>
      <x:c r="C69" s="24" t="str">
        <x:v>EEZ</x:v>
      </x:c>
      <x:c r="D69" s="30" t="n">
        <x:v>2019</x:v>
      </x:c>
      <x:c r="E69" s="24" t="str">
        <x:v>Pagellus acarne</x:v>
      </x:c>
      <x:c r="F69" s="24" t="str">
        <x:v>Axillary seabream</x:v>
      </x:c>
      <x:c r="G69" s="24" t="str">
        <x:v>Medium benthopelagics (30 - 89 cm)</x:v>
      </x:c>
      <x:c r="H69" s="24" t="str">
        <x:v>Perch-likes</x:v>
      </x:c>
      <x:c r="I69" s="31" t="n">
        <x:v>58.7391155511</x:v>
      </x:c>
      <x:c r="J69" s="31" t="n">
        <x:v>58.7391155511</x:v>
      </x:c>
      <x:c r="K69" s="31" t="n">
        <x:v>0</x:v>
      </x:c>
      <x:c r="L69" s="31" t="n">
        <x:v>53.216238580100004</x:v>
      </x:c>
      <x:c r="M69" s="31" t="n">
        <x:v>5.522876971</x:v>
      </x:c>
      <x:c r="N69" s="24" t="str">
        <x:v>pagellus acarne</x:v>
      </x:c>
      <x:c r="O69" s="32" t="n">
        <x:v>3.81</x:v>
      </x:c>
      <x:c r="P69" s="24" t="str">
        <x:v>exact_2020_supplement</x:v>
      </x:c>
      <x:c r="Q69" s="32" t="str">
        <x:v>2020 supplement MeanTL</x:v>
      </x:c>
      <x:c r="R69" s="24" t="str">
        <x:v>high</x:v>
      </x:c>
      <x:c r="S69" s="24" t="str">
        <x:v>Pagellus acarne</x:v>
      </x:c>
      <x:c r="T69" s="32" t="n">
        <x:f>IF(O69="","",(1/'Metadata'!$B$5)^(O69-1))</x:f>
        <x:v>645.6542290346556</x:v>
      </x:c>
      <x:c r="U69" s="31" t="n">
        <x:f>IF(T69="","",I69*T69)</x:f>
        <x:v>37925.15836532302</x:v>
      </x:c>
    </x:row>
    <x:row r="70" ht="18" customHeight="1">
      <x:c r="A70" s="24" t="str">
        <x:v>EEZ_901</x:v>
      </x:c>
      <x:c r="B70" s="24" t="str">
        <x:v>Sicily (Italy)</x:v>
      </x:c>
      <x:c r="C70" s="24" t="str">
        <x:v>EEZ</x:v>
      </x:c>
      <x:c r="D70" s="30" t="n">
        <x:v>2019</x:v>
      </x:c>
      <x:c r="E70" s="24" t="str">
        <x:v>Trachinidae</x:v>
      </x:c>
      <x:c r="F70" s="24" t="str">
        <x:v>Weeverfishes</x:v>
      </x:c>
      <x:c r="G70" s="24" t="str">
        <x:v>Medium demersals (30 - 89 cm)</x:v>
      </x:c>
      <x:c r="H70" s="24" t="str">
        <x:v>Perch-likes</x:v>
      </x:c>
      <x:c r="I70" s="31" t="n">
        <x:v>55.354179036</x:v>
      </x:c>
      <x:c r="J70" s="31" t="n">
        <x:v>55.354179036</x:v>
      </x:c>
      <x:c r="K70" s="31" t="n">
        <x:v>0</x:v>
      </x:c>
      <x:c r="L70" s="31" t="n">
        <x:v>47.495978429999994</x:v>
      </x:c>
      <x:c r="M70" s="31" t="n">
        <x:v>7.858200606</x:v>
      </x:c>
      <x:c r="N70" s="24" t="str">
        <x:v>trachinidae</x:v>
      </x:c>
      <x:c r="O70" s="32" t="n">
        <x:v>3.95</x:v>
      </x:c>
      <x:c r="P70" s="24" t="str">
        <x:v>exact_sea_around_us</x:v>
      </x:c>
      <x:c r="Q70" s="32" t="str">
        <x:v>Sea Around Us exploited organisms</x:v>
      </x:c>
      <x:c r="R70" s="24" t="str">
        <x:v>high</x:v>
      </x:c>
      <x:c r="S70" s="24" t="str">
        <x:v>Trachinidae</x:v>
      </x:c>
      <x:c r="T70" s="32" t="n">
        <x:f>IF(O70="","",(1/'Metadata'!$B$5)^(O70-1))</x:f>
        <x:v>891.2509381337459</x:v>
      </x:c>
      <x:c r="U70" s="31" t="n">
        <x:f>IF(T70="","",I70*T70)</x:f>
        <x:v>49334.463995458325</x:v>
      </x:c>
    </x:row>
    <x:row r="71" ht="18" customHeight="1">
      <x:c r="A71" s="24" t="str">
        <x:v>EEZ_901</x:v>
      </x:c>
      <x:c r="B71" s="24" t="str">
        <x:v>Sicily (Italy)</x:v>
      </x:c>
      <x:c r="C71" s="24" t="str">
        <x:v>EEZ</x:v>
      </x:c>
      <x:c r="D71" s="30" t="n">
        <x:v>2019</x:v>
      </x:c>
      <x:c r="E71" s="24" t="str">
        <x:v>Scorpaena porcus</x:v>
      </x:c>
      <x:c r="F71" s="24" t="str">
        <x:v>Black scorpionfish</x:v>
      </x:c>
      <x:c r="G71" s="24" t="str">
        <x:v>Small demersals (&lt;30 cm)</x:v>
      </x:c>
      <x:c r="H71" s="24" t="str">
        <x:v>Scorpionfishes</x:v>
      </x:c>
      <x:c r="I71" s="31" t="n">
        <x:v>54.0108207331</x:v>
      </x:c>
      <x:c r="J71" s="31" t="n">
        <x:v>54.0108207331</x:v>
      </x:c>
      <x:c r="K71" s="31" t="n">
        <x:v>0</x:v>
      </x:c>
      <x:c r="L71" s="31" t="n">
        <x:v>45.5165391221</x:v>
      </x:c>
      <x:c r="M71" s="31" t="n">
        <x:v>8.494281611</x:v>
      </x:c>
      <x:c r="N71" s="24" t="str">
        <x:v>scorpaena porcus</x:v>
      </x:c>
      <x:c r="O71" s="32" t="n">
        <x:v>3.92</x:v>
      </x:c>
      <x:c r="P71" s="24" t="str">
        <x:v>exact_2020_supplement</x:v>
      </x:c>
      <x:c r="Q71" s="32" t="str">
        <x:v>2020 supplement MeanTL</x:v>
      </x:c>
      <x:c r="R71" s="24" t="str">
        <x:v>high</x:v>
      </x:c>
      <x:c r="S71" s="24" t="str">
        <x:v>Scorpaena porcus</x:v>
      </x:c>
      <x:c r="T71" s="32" t="n">
        <x:f>IF(O71="","",(1/'Metadata'!$B$5)^(O71-1))</x:f>
        <x:v>831.7637711026708</x:v>
      </x:c>
      <x:c r="U71" s="31" t="n">
        <x:f>IF(T71="","",I71*T71)</x:f>
        <x:v>44924.24393331358</x:v>
      </x:c>
    </x:row>
    <x:row r="72" ht="18" customHeight="1">
      <x:c r="A72" s="24" t="str">
        <x:v>EEZ_901</x:v>
      </x:c>
      <x:c r="B72" s="24" t="str">
        <x:v>Sicily (Italy)</x:v>
      </x:c>
      <x:c r="C72" s="24" t="str">
        <x:v>EEZ</x:v>
      </x:c>
      <x:c r="D72" s="30" t="n">
        <x:v>2019</x:v>
      </x:c>
      <x:c r="E72" s="24" t="str">
        <x:v>Labridae</x:v>
      </x:c>
      <x:c r="F72" s="24" t="str">
        <x:v>Wrasses, gropers, tuskfishes</x:v>
      </x:c>
      <x:c r="G72" s="24" t="str">
        <x:v>Medium reef assoc. fish (30 - 89 cm)</x:v>
      </x:c>
      <x:c r="H72" s="24" t="str">
        <x:v>Perch-likes</x:v>
      </x:c>
      <x:c r="I72" s="31" t="n">
        <x:v>49.798424341</x:v>
      </x:c>
      <x:c r="J72" s="31" t="n">
        <x:v>49.798424341</x:v>
      </x:c>
      <x:c r="K72" s="31" t="n">
        <x:v>0</x:v>
      </x:c>
      <x:c r="L72" s="31" t="n">
        <x:v>45.279969776</x:v>
      </x:c>
      <x:c r="M72" s="31" t="n">
        <x:v>4.518454565</x:v>
      </x:c>
      <x:c r="N72" s="24" t="str">
        <x:v>labridae</x:v>
      </x:c>
      <x:c r="O72" s="32" t="n">
        <x:v>3.46</x:v>
      </x:c>
      <x:c r="P72" s="24" t="str">
        <x:v>exact_sea_around_us</x:v>
      </x:c>
      <x:c r="Q72" s="32" t="str">
        <x:v>Sea Around Us exploited organisms</x:v>
      </x:c>
      <x:c r="R72" s="24" t="str">
        <x:v>high</x:v>
      </x:c>
      <x:c r="S72" s="24" t="str">
        <x:v>Labridae</x:v>
      </x:c>
      <x:c r="T72" s="32" t="n">
        <x:f>IF(O72="","",(1/'Metadata'!$B$5)^(O72-1))</x:f>
        <x:v>288.40315031266056</x:v>
      </x:c>
      <x:c r="U72" s="31" t="n">
        <x:f>IF(T72="","",I72*T72)</x:f>
        <x:v>14362.022460551078</x:v>
      </x:c>
    </x:row>
    <x:row r="73" ht="18" customHeight="1">
      <x:c r="A73" s="24" t="str">
        <x:v>EEZ_901</x:v>
      </x:c>
      <x:c r="B73" s="24" t="str">
        <x:v>Sicily (Italy)</x:v>
      </x:c>
      <x:c r="C73" s="24" t="str">
        <x:v>EEZ</x:v>
      </x:c>
      <x:c r="D73" s="30" t="n">
        <x:v>2019</x:v>
      </x:c>
      <x:c r="E73" s="24" t="str">
        <x:v>Serranidae</x:v>
      </x:c>
      <x:c r="F73" s="24" t="str">
        <x:v>Basses, groupers, hinds</x:v>
      </x:c>
      <x:c r="G73" s="24" t="str">
        <x:v>Medium reef assoc. fish (30 - 89 cm)</x:v>
      </x:c>
      <x:c r="H73" s="24" t="str">
        <x:v>Perch-likes</x:v>
      </x:c>
      <x:c r="I73" s="31" t="n">
        <x:v>49.695170509200004</x:v>
      </x:c>
      <x:c r="J73" s="31" t="n">
        <x:v>49.695170509200004</x:v>
      </x:c>
      <x:c r="K73" s="31" t="n">
        <x:v>0</x:v>
      </x:c>
      <x:c r="L73" s="31" t="n">
        <x:v>41.5913816002</x:v>
      </x:c>
      <x:c r="M73" s="31" t="n">
        <x:v>8.103788909</x:v>
      </x:c>
      <x:c r="N73" s="24" t="str">
        <x:v>serranidae</x:v>
      </x:c>
      <x:c r="O73" s="32" t="n">
        <x:v>3.98</x:v>
      </x:c>
      <x:c r="P73" s="24" t="str">
        <x:v>exact_sea_around_us</x:v>
      </x:c>
      <x:c r="Q73" s="32" t="str">
        <x:v>Sea Around Us exploited organisms</x:v>
      </x:c>
      <x:c r="R73" s="24" t="str">
        <x:v>high</x:v>
      </x:c>
      <x:c r="S73" s="24" t="str">
        <x:v>Serranidae</x:v>
      </x:c>
      <x:c r="T73" s="32" t="n">
        <x:f>IF(O73="","",(1/'Metadata'!$B$5)^(O73-1))</x:f>
        <x:v>954.992586021436</x:v>
      </x:c>
      <x:c r="U73" s="31" t="n">
        <x:f>IF(T73="","",I73*T73)</x:f>
        <x:v>47458.519397357115</x:v>
      </x:c>
    </x:row>
    <x:row r="74" ht="18" customHeight="1">
      <x:c r="A74" s="24" t="str">
        <x:v>EEZ_901</x:v>
      </x:c>
      <x:c r="B74" s="24" t="str">
        <x:v>Sicily (Italy)</x:v>
      </x:c>
      <x:c r="C74" s="24" t="str">
        <x:v>EEZ</x:v>
      </x:c>
      <x:c r="D74" s="30" t="n">
        <x:v>2019</x:v>
      </x:c>
      <x:c r="E74" s="24" t="str">
        <x:v>Helicolenus dactylopterus</x:v>
      </x:c>
      <x:c r="F74" s="24" t="str">
        <x:v>Blackbelly rosefish</x:v>
      </x:c>
      <x:c r="G74" s="24" t="str">
        <x:v>Medium bathydemersals (30 - 89 cm)</x:v>
      </x:c>
      <x:c r="H74" s="24" t="str">
        <x:v>Scorpionfishes</x:v>
      </x:c>
      <x:c r="I74" s="31" t="n">
        <x:v>48.548200034000004</x:v>
      </x:c>
      <x:c r="J74" s="31" t="n">
        <x:v>48.548200034000004</x:v>
      </x:c>
      <x:c r="K74" s="31" t="n">
        <x:v>0</x:v>
      </x:c>
      <x:c r="L74" s="31" t="n">
        <x:v>43.101711</x:v>
      </x:c>
      <x:c r="M74" s="31" t="n">
        <x:v>5.446489034</x:v>
      </x:c>
      <x:c r="N74" s="24" t="str">
        <x:v>helicolenus dactylopterus</x:v>
      </x:c>
      <x:c r="O74" s="32" t="n">
        <x:v>3.54</x:v>
      </x:c>
      <x:c r="P74" s="24" t="str">
        <x:v>exact_2020_supplement</x:v>
      </x:c>
      <x:c r="Q74" s="32" t="str">
        <x:v>2020 supplement MeanTL</x:v>
      </x:c>
      <x:c r="R74" s="24" t="str">
        <x:v>high</x:v>
      </x:c>
      <x:c r="S74" s="24" t="str">
        <x:v>Helicolenus dactylopterus</x:v>
      </x:c>
      <x:c r="T74" s="32" t="n">
        <x:f>IF(O74="","",(1/'Metadata'!$B$5)^(O74-1))</x:f>
        <x:v>346.73685045253166</x:v>
      </x:c>
      <x:c r="U74" s="31" t="n">
        <x:f>IF(T74="","",I74*T74)</x:f>
        <x:v>16833.44997492865</x:v>
      </x:c>
    </x:row>
    <x:row r="75" ht="18" customHeight="1">
      <x:c r="A75" s="24" t="str">
        <x:v>EEZ_901</x:v>
      </x:c>
      <x:c r="B75" s="24" t="str">
        <x:v>Sicily (Italy)</x:v>
      </x:c>
      <x:c r="C75" s="24" t="str">
        <x:v>EEZ</x:v>
      </x:c>
      <x:c r="D75" s="30" t="n">
        <x:v>2019</x:v>
      </x:c>
      <x:c r="E75" s="24" t="str">
        <x:v>Uranoscopus scaber</x:v>
      </x:c>
      <x:c r="F75" s="24" t="str">
        <x:v>Stargazer</x:v>
      </x:c>
      <x:c r="G75" s="24" t="str">
        <x:v>Medium demersals (30 - 89 cm)</x:v>
      </x:c>
      <x:c r="H75" s="24" t="str">
        <x:v>Perch-likes</x:v>
      </x:c>
      <x:c r="I75" s="31" t="n">
        <x:v>46.477593309</x:v>
      </x:c>
      <x:c r="J75" s="31" t="n">
        <x:v>46.477593309</x:v>
      </x:c>
      <x:c r="K75" s="31" t="n">
        <x:v>0</x:v>
      </x:c>
      <x:c r="L75" s="31" t="n">
        <x:v>38.42359931</x:v>
      </x:c>
      <x:c r="M75" s="31" t="n">
        <x:v>8.053993999</x:v>
      </x:c>
      <x:c r="N75" s="24" t="str">
        <x:v>uranoscopus scaber</x:v>
      </x:c>
      <x:c r="O75" s="32" t="n">
        <x:v>4.38</x:v>
      </x:c>
      <x:c r="P75" s="24" t="str">
        <x:v>exact_2020_supplement</x:v>
      </x:c>
      <x:c r="Q75" s="32" t="str">
        <x:v>2020 supplement MeanTL</x:v>
      </x:c>
      <x:c r="R75" s="24" t="str">
        <x:v>high</x:v>
      </x:c>
      <x:c r="S75" s="24" t="str">
        <x:v>Uranoscopus scaber</x:v>
      </x:c>
      <x:c r="T75" s="32" t="n">
        <x:f>IF(O75="","",(1/'Metadata'!$B$5)^(O75-1))</x:f>
        <x:v>2398.83291901949</x:v>
      </x:c>
      <x:c r="U75" s="31" t="n">
        <x:f>IF(T75="","",I75*T75)</x:f>
        <x:v>111491.98082642918</x:v>
      </x:c>
    </x:row>
    <x:row r="76" ht="18" customHeight="1">
      <x:c r="A76" s="24" t="str">
        <x:v>EEZ_901</x:v>
      </x:c>
      <x:c r="B76" s="24" t="str">
        <x:v>Sicily (Italy)</x:v>
      </x:c>
      <x:c r="C76" s="24" t="str">
        <x:v>EEZ</x:v>
      </x:c>
      <x:c r="D76" s="30" t="n">
        <x:v>2019</x:v>
      </x:c>
      <x:c r="E76" s="24" t="str">
        <x:v>Penaeus kerathurus</x:v>
      </x:c>
      <x:c r="F76" s="24" t="str">
        <x:v>Caramote prawn</x:v>
      </x:c>
      <x:c r="G76" s="24" t="str">
        <x:v>Shrimps</x:v>
      </x:c>
      <x:c r="H76" s="24" t="str">
        <x:v>Crustaceans</x:v>
      </x:c>
      <x:c r="I76" s="31" t="n">
        <x:v>44.227640851</x:v>
      </x:c>
      <x:c r="J76" s="31" t="n">
        <x:v>44.227640851</x:v>
      </x:c>
      <x:c r="K76" s="31" t="n">
        <x:v>0</x:v>
      </x:c>
      <x:c r="L76" s="31" t="n">
        <x:v>33.846205667</x:v>
      </x:c>
      <x:c r="M76" s="31" t="n">
        <x:v>10.381435183999999</x:v>
      </x:c>
      <x:c r="N76" s="24" t="str">
        <x:v>penaeus kerathurus</x:v>
      </x:c>
      <x:c r="O76" s="32" t="n">
        <x:v>2.7</x:v>
      </x:c>
      <x:c r="P76" s="24" t="str">
        <x:v>exact_sea_around_us</x:v>
      </x:c>
      <x:c r="Q76" s="32" t="str">
        <x:v>Sea Around Us exploited organisms</x:v>
      </x:c>
      <x:c r="R76" s="24" t="str">
        <x:v>high</x:v>
      </x:c>
      <x:c r="S76" s="24" t="str">
        <x:v>Penaeus kerathurus</x:v>
      </x:c>
      <x:c r="T76" s="32" t="n">
        <x:f>IF(O76="","",(1/'Metadata'!$B$5)^(O76-1))</x:f>
        <x:v>50.11872336272725</x:v>
      </x:c>
      <x:c r="U76" s="31" t="n">
        <x:f>IF(T76="","",I76*T76)</x:f>
        <x:v>2216.6328967973236</x:v>
      </x:c>
    </x:row>
    <x:row r="77" ht="18" customHeight="1">
      <x:c r="A77" s="24" t="str">
        <x:v>EEZ_901</x:v>
      </x:c>
      <x:c r="B77" s="24" t="str">
        <x:v>Sicily (Italy)</x:v>
      </x:c>
      <x:c r="C77" s="24" t="str">
        <x:v>EEZ</x:v>
      </x:c>
      <x:c r="D77" s="30" t="n">
        <x:v>2019</x:v>
      </x:c>
      <x:c r="E77" s="24" t="str">
        <x:v>Diplodus sargus</x:v>
      </x:c>
      <x:c r="F77" s="24" t="str">
        <x:v>White seabream</x:v>
      </x:c>
      <x:c r="G77" s="24" t="str">
        <x:v>Medium demersals (30 - 89 cm)</x:v>
      </x:c>
      <x:c r="H77" s="24" t="str">
        <x:v>Perch-likes</x:v>
      </x:c>
      <x:c r="I77" s="31" t="n">
        <x:v>43.865526239000005</x:v>
      </x:c>
      <x:c r="J77" s="31" t="n">
        <x:v>43.865526239000005</x:v>
      </x:c>
      <x:c r="K77" s="31" t="n">
        <x:v>0</x:v>
      </x:c>
      <x:c r="L77" s="31" t="n">
        <x:v>38.11431142000001</x:v>
      </x:c>
      <x:c r="M77" s="31" t="n">
        <x:v>5.751214819</x:v>
      </x:c>
      <x:c r="N77" s="24" t="str">
        <x:v>diplodus sargus</x:v>
      </x:c>
      <x:c r="O77" s="32" t="n">
        <x:v>3.38</x:v>
      </x:c>
      <x:c r="P77" s="24" t="str">
        <x:v>exact_sea_around_us</x:v>
      </x:c>
      <x:c r="Q77" s="32" t="str">
        <x:v>Sea Around Us exploited organisms</x:v>
      </x:c>
      <x:c r="R77" s="24" t="str">
        <x:v>high</x:v>
      </x:c>
      <x:c r="S77" s="24" t="str">
        <x:v>Diplodus sargus</x:v>
      </x:c>
      <x:c r="T77" s="32" t="n">
        <x:f>IF(O77="","",(1/'Metadata'!$B$5)^(O77-1))</x:f>
        <x:v>239.88329190194898</x:v>
      </x:c>
      <x:c r="U77" s="31" t="n">
        <x:f>IF(T77="","",I77*T77)</x:f>
        <x:v>10522.606835222641</x:v>
      </x:c>
    </x:row>
    <x:row r="78" ht="18" customHeight="1">
      <x:c r="A78" s="24" t="str">
        <x:v>EEZ_901</x:v>
      </x:c>
      <x:c r="B78" s="24" t="str">
        <x:v>Sicily (Italy)</x:v>
      </x:c>
      <x:c r="C78" s="24" t="str">
        <x:v>EEZ</x:v>
      </x:c>
      <x:c r="D78" s="30" t="n">
        <x:v>2019</x:v>
      </x:c>
      <x:c r="E78" s="24" t="str">
        <x:v>Diplodus vulgaris</x:v>
      </x:c>
      <x:c r="F78" s="24" t="str">
        <x:v>Common two-banded seabream</x:v>
      </x:c>
      <x:c r="G78" s="24" t="str">
        <x:v>Medium benthopelagics (30 - 89 cm)</x:v>
      </x:c>
      <x:c r="H78" s="24" t="str">
        <x:v>Perch-likes</x:v>
      </x:c>
      <x:c r="I78" s="31" t="n">
        <x:v>43.801497331</x:v>
      </x:c>
      <x:c r="J78" s="31" t="n">
        <x:v>43.801497331</x:v>
      </x:c>
      <x:c r="K78" s="31" t="n">
        <x:v>0</x:v>
      </x:c>
      <x:c r="L78" s="31" t="n">
        <x:v>35.290044019999996</x:v>
      </x:c>
      <x:c r="M78" s="31" t="n">
        <x:v>8.511453311</x:v>
      </x:c>
      <x:c r="N78" s="24" t="str">
        <x:v>diplodus vulgaris</x:v>
      </x:c>
      <x:c r="O78" s="32" t="n">
        <x:v>3.52</x:v>
      </x:c>
      <x:c r="P78" s="24" t="str">
        <x:v>exact_2020_supplement</x:v>
      </x:c>
      <x:c r="Q78" s="32" t="str">
        <x:v>2020 supplement MeanTL</x:v>
      </x:c>
      <x:c r="R78" s="24" t="str">
        <x:v>high</x:v>
      </x:c>
      <x:c r="S78" s="24" t="str">
        <x:v>Diplodus vulgaris</x:v>
      </x:c>
      <x:c r="T78" s="32" t="n">
        <x:f>IF(O78="","",(1/'Metadata'!$B$5)^(O78-1))</x:f>
        <x:v>331.1311214825911</x:v>
      </x:c>
      <x:c r="U78" s="31" t="n">
        <x:f>IF(T78="","",I78*T78)</x:f>
        <x:v>14504.03893383075</x:v>
      </x:c>
    </x:row>
    <x:row r="79" ht="18" customHeight="1">
      <x:c r="A79" s="24" t="str">
        <x:v>EEZ_901</x:v>
      </x:c>
      <x:c r="B79" s="24" t="str">
        <x:v>Sicily (Italy)</x:v>
      </x:c>
      <x:c r="C79" s="24" t="str">
        <x:v>EEZ</x:v>
      </x:c>
      <x:c r="D79" s="30" t="n">
        <x:v>2019</x:v>
      </x:c>
      <x:c r="E79" s="24" t="str">
        <x:v>Mugil cephalus</x:v>
      </x:c>
      <x:c r="F79" s="24" t="str">
        <x:v>Flathead grey mullet</x:v>
      </x:c>
      <x:c r="G79" s="24" t="str">
        <x:v>Large benthopelagics (&gt;=90 cm)</x:v>
      </x:c>
      <x:c r="H79" s="24" t="str">
        <x:v>Perch-likes</x:v>
      </x:c>
      <x:c r="I79" s="31" t="n">
        <x:v>42.319777146</x:v>
      </x:c>
      <x:c r="J79" s="31" t="n">
        <x:v>42.319777146</x:v>
      </x:c>
      <x:c r="K79" s="31" t="n">
        <x:v>0</x:v>
      </x:c>
      <x:c r="L79" s="31" t="n">
        <x:v>38.046562402</x:v>
      </x:c>
      <x:c r="M79" s="31" t="n">
        <x:v>4.273214744</x:v>
      </x:c>
      <x:c r="N79" s="24" t="str">
        <x:v>mugil cephalus</x:v>
      </x:c>
      <x:c r="O79" s="32" t="n">
        <x:v>2.14</x:v>
      </x:c>
      <x:c r="P79" s="24" t="str">
        <x:v>exact_2020_supplement</x:v>
      </x:c>
      <x:c r="Q79" s="32" t="str">
        <x:v>2020 supplement MeanTL</x:v>
      </x:c>
      <x:c r="R79" s="24" t="str">
        <x:v>high</x:v>
      </x:c>
      <x:c r="S79" s="24" t="str">
        <x:v>Mugil cephalus</x:v>
      </x:c>
      <x:c r="T79" s="32" t="n">
        <x:f>IF(O79="","",(1/'Metadata'!$B$5)^(O79-1))</x:f>
        <x:v>13.803842646028853</x:v>
      </x:c>
      <x:c r="U79" s="31" t="n">
        <x:f>IF(T79="","",I79*T79)</x:f>
        <x:v>584.175544538392</x:v>
      </x:c>
    </x:row>
    <x:row r="80" ht="18" customHeight="1">
      <x:c r="A80" s="24" t="str">
        <x:v>EEZ_901</x:v>
      </x:c>
      <x:c r="B80" s="24" t="str">
        <x:v>Sicily (Italy)</x:v>
      </x:c>
      <x:c r="C80" s="24" t="str">
        <x:v>EEZ</x:v>
      </x:c>
      <x:c r="D80" s="30" t="n">
        <x:v>2019</x:v>
      </x:c>
      <x:c r="E80" s="24" t="str">
        <x:v>Mustelus</x:v>
      </x:c>
      <x:c r="F80" s="24" t="str">
        <x:v>Smoothhounds</x:v>
      </x:c>
      <x:c r="G80" s="24" t="str">
        <x:v>Large sharks (&gt;=90 cm)</x:v>
      </x:c>
      <x:c r="H80" s="24" t="str">
        <x:v>Sharks &amp; rays</x:v>
      </x:c>
      <x:c r="I80" s="31" t="n">
        <x:v>41.671760688</x:v>
      </x:c>
      <x:c r="J80" s="31" t="n">
        <x:v>41.671760688</x:v>
      </x:c>
      <x:c r="K80" s="31" t="n">
        <x:v>0</x:v>
      </x:c>
      <x:c r="L80" s="31" t="n">
        <x:v>30.981107888</x:v>
      </x:c>
      <x:c r="M80" s="31" t="n">
        <x:v>10.690652799999999</x:v>
      </x:c>
      <x:c r="N80" s="24" t="str">
        <x:v>mustelus</x:v>
      </x:c>
      <x:c r="O80" s="32" t="n">
        <x:v>3.73</x:v>
      </x:c>
      <x:c r="P80" s="24" t="str">
        <x:v>exact_sea_around_us</x:v>
      </x:c>
      <x:c r="Q80" s="32" t="str">
        <x:v>Sea Around Us exploited organisms</x:v>
      </x:c>
      <x:c r="R80" s="24" t="str">
        <x:v>high</x:v>
      </x:c>
      <x:c r="S80" s="24" t="str">
        <x:v>Mustelus</x:v>
      </x:c>
      <x:c r="T80" s="32" t="n">
        <x:f>IF(O80="","",(1/'Metadata'!$B$5)^(O80-1))</x:f>
        <x:v>537.0317963702527</x:v>
      </x:c>
      <x:c r="U80" s="31" t="n">
        <x:f>IF(T80="","",I80*T80)</x:f>
        <x:v>22379.060500187916</x:v>
      </x:c>
    </x:row>
    <x:row r="81" ht="18" customHeight="1">
      <x:c r="A81" s="24" t="str">
        <x:v>EEZ_901</x:v>
      </x:c>
      <x:c r="B81" s="24" t="str">
        <x:v>Sicily (Italy)</x:v>
      </x:c>
      <x:c r="C81" s="24" t="str">
        <x:v>EEZ</x:v>
      </x:c>
      <x:c r="D81" s="30" t="n">
        <x:v>2019</x:v>
      </x:c>
      <x:c r="E81" s="24" t="str">
        <x:v>Solea solea</x:v>
      </x:c>
      <x:c r="F81" s="24" t="str">
        <x:v>Common sole</x:v>
      </x:c>
      <x:c r="G81" s="24" t="str">
        <x:v>Small to medium flatfishes (&lt;90 cm)</x:v>
      </x:c>
      <x:c r="H81" s="24" t="str">
        <x:v>Flatfishes</x:v>
      </x:c>
      <x:c r="I81" s="31" t="n">
        <x:v>40.941764260999996</x:v>
      </x:c>
      <x:c r="J81" s="31" t="n">
        <x:v>40.941764260999996</x:v>
      </x:c>
      <x:c r="K81" s="31" t="n">
        <x:v>0</x:v>
      </x:c>
      <x:c r="L81" s="31" t="n">
        <x:v>32.246327425</x:v>
      </x:c>
      <x:c r="M81" s="31" t="n">
        <x:v>8.695436835999999</x:v>
      </x:c>
      <x:c r="N81" s="24" t="str">
        <x:v>solea solea</x:v>
      </x:c>
      <x:c r="O81" s="32" t="n">
        <x:v>3.21</x:v>
      </x:c>
      <x:c r="P81" s="24" t="str">
        <x:v>exact_2020_supplement</x:v>
      </x:c>
      <x:c r="Q81" s="32" t="str">
        <x:v>2020 supplement MeanTL</x:v>
      </x:c>
      <x:c r="R81" s="24" t="str">
        <x:v>high</x:v>
      </x:c>
      <x:c r="S81" s="24" t="str">
        <x:v>Solea solea</x:v>
      </x:c>
      <x:c r="T81" s="32" t="n">
        <x:f>IF(O81="","",(1/'Metadata'!$B$5)^(O81-1))</x:f>
        <x:v>162.18100973589299</x:v>
      </x:c>
      <x:c r="U81" s="31" t="n">
        <x:f>IF(T81="","",I81*T81)</x:f>
        <x:v>6639.976668217876</x:v>
      </x:c>
    </x:row>
    <x:row r="82" ht="18" customHeight="1">
      <x:c r="A82" s="24" t="str">
        <x:v>EEZ_901</x:v>
      </x:c>
      <x:c r="B82" s="24" t="str">
        <x:v>Sicily (Italy)</x:v>
      </x:c>
      <x:c r="C82" s="24" t="str">
        <x:v>EEZ</x:v>
      </x:c>
      <x:c r="D82" s="30" t="n">
        <x:v>2019</x:v>
      </x:c>
      <x:c r="E82" s="24" t="str">
        <x:v>Diplodus annularis</x:v>
      </x:c>
      <x:c r="F82" s="24" t="str">
        <x:v>Annular seabream</x:v>
      </x:c>
      <x:c r="G82" s="24" t="str">
        <x:v>Small benthopelagics (&lt;30 cm)</x:v>
      </x:c>
      <x:c r="H82" s="24" t="str">
        <x:v>Perch-likes</x:v>
      </x:c>
      <x:c r="I82" s="31" t="n">
        <x:v>36.157629555</x:v>
      </x:c>
      <x:c r="J82" s="31" t="n">
        <x:v>36.157629555</x:v>
      </x:c>
      <x:c r="K82" s="31" t="n">
        <x:v>0</x:v>
      </x:c>
      <x:c r="L82" s="31" t="n">
        <x:v>29.202937509999998</x:v>
      </x:c>
      <x:c r="M82" s="31" t="n">
        <x:v>6.954692045</x:v>
      </x:c>
      <x:c r="N82" s="24" t="str">
        <x:v>diplodus annularis</x:v>
      </x:c>
      <x:c r="O82" s="32" t="n">
        <x:v>3.64</x:v>
      </x:c>
      <x:c r="P82" s="24" t="str">
        <x:v>exact_2020_supplement</x:v>
      </x:c>
      <x:c r="Q82" s="32" t="str">
        <x:v>2020 supplement MeanTL</x:v>
      </x:c>
      <x:c r="R82" s="24" t="str">
        <x:v>high</x:v>
      </x:c>
      <x:c r="S82" s="24" t="str">
        <x:v>Diplodus annularis</x:v>
      </x:c>
      <x:c r="T82" s="32" t="n">
        <x:f>IF(O82="","",(1/'Metadata'!$B$5)^(O82-1))</x:f>
        <x:v>436.5158322401661</x:v>
      </x:c>
      <x:c r="U82" s="31" t="n">
        <x:f>IF(T82="","",I82*T82)</x:f>
        <x:v>15783.377757032451</x:v>
      </x:c>
    </x:row>
    <x:row r="83" ht="18" customHeight="1">
      <x:c r="A83" s="24" t="str">
        <x:v>EEZ_901</x:v>
      </x:c>
      <x:c r="B83" s="24" t="str">
        <x:v>Sicily (Italy)</x:v>
      </x:c>
      <x:c r="C83" s="24" t="str">
        <x:v>EEZ</x:v>
      </x:c>
      <x:c r="D83" s="30" t="n">
        <x:v>2019</x:v>
      </x:c>
      <x:c r="E83" s="24" t="str">
        <x:v>Hippospongia communis</x:v>
      </x:c>
      <x:c r="F83" s="24" t="str">
        <x:v>Honey comb</x:v>
      </x:c>
      <x:c r="G83" s="24" t="str">
        <x:v>Other demersal invertebrates</x:v>
      </x:c>
      <x:c r="H83" s="24" t="str">
        <x:v>Other fishes &amp; inverts</x:v>
      </x:c>
      <x:c r="I83" s="31" t="n">
        <x:v>35.625</x:v>
      </x:c>
      <x:c r="J83" s="31" t="n">
        <x:v>35.625</x:v>
      </x:c>
      <x:c r="K83" s="31" t="n">
        <x:v>0</x:v>
      </x:c>
      <x:c r="L83" s="31" t="n">
        <x:v>0</x:v>
      </x:c>
      <x:c r="M83" s="31" t="n">
        <x:v>35.625</x:v>
      </x:c>
      <x:c r="N83" s="24" t="str">
        <x:v>hippospongia communis</x:v>
      </x:c>
      <x:c r="O83" s="32" t="n">
        <x:v>2</x:v>
      </x:c>
      <x:c r="P83" s="24" t="str">
        <x:v>exact_sea_around_us</x:v>
      </x:c>
      <x:c r="Q83" s="32" t="str">
        <x:v>Sea Around Us exploited organisms</x:v>
      </x:c>
      <x:c r="R83" s="24" t="str">
        <x:v>high</x:v>
      </x:c>
      <x:c r="S83" s="24" t="str">
        <x:v>Hippospongia communis</x:v>
      </x:c>
      <x:c r="T83" s="32" t="n">
        <x:f>IF(O83="","",(1/'Metadata'!$B$5)^(O83-1))</x:f>
        <x:v>10</x:v>
      </x:c>
      <x:c r="U83" s="31" t="n">
        <x:f>IF(T83="","",I83*T83)</x:f>
        <x:v>356.25</x:v>
      </x:c>
    </x:row>
    <x:row r="84" ht="18" customHeight="1">
      <x:c r="A84" s="24" t="str">
        <x:v>EEZ_901</x:v>
      </x:c>
      <x:c r="B84" s="24" t="str">
        <x:v>Sicily (Italy)</x:v>
      </x:c>
      <x:c r="C84" s="24" t="str">
        <x:v>EEZ</x:v>
      </x:c>
      <x:c r="D84" s="30" t="n">
        <x:v>2019</x:v>
      </x:c>
      <x:c r="E84" s="24" t="str">
        <x:v>Sphyraena</x:v>
      </x:c>
      <x:c r="F84" s="24" t="str">
        <x:v>Barracudas, sennets</x:v>
      </x:c>
      <x:c r="G84" s="24" t="str">
        <x:v>Large pelagics (&gt;=90 cm)</x:v>
      </x:c>
      <x:c r="H84" s="24" t="str">
        <x:v>Perch-likes</x:v>
      </x:c>
      <x:c r="I84" s="31" t="n">
        <x:v>34.36193432</x:v>
      </x:c>
      <x:c r="J84" s="31" t="n">
        <x:v>34.36193432</x:v>
      </x:c>
      <x:c r="K84" s="31" t="n">
        <x:v>0</x:v>
      </x:c>
      <x:c r="L84" s="31" t="n">
        <x:v>34.36193432</x:v>
      </x:c>
      <x:c r="M84" s="31" t="n">
        <x:v>0</x:v>
      </x:c>
      <x:c r="N84" s="24" t="str">
        <x:v>sphyraena</x:v>
      </x:c>
      <x:c r="O84" s="32" t="n">
        <x:v>4.4</x:v>
      </x:c>
      <x:c r="P84" s="24" t="str">
        <x:v>exact_sea_around_us</x:v>
      </x:c>
      <x:c r="Q84" s="32" t="str">
        <x:v>Sea Around Us exploited organisms</x:v>
      </x:c>
      <x:c r="R84" s="24" t="str">
        <x:v>high</x:v>
      </x:c>
      <x:c r="S84" s="24" t="str">
        <x:v>Sphyraena</x:v>
      </x:c>
      <x:c r="T84" s="32" t="n">
        <x:f>IF(O84="","",(1/'Metadata'!$B$5)^(O84-1))</x:f>
        <x:v>2511.886431509582</x:v>
      </x:c>
      <x:c r="U84" s="31" t="n">
        <x:f>IF(T84="","",I84*T84)</x:f>
        <x:v>86313.27657883144</x:v>
      </x:c>
    </x:row>
    <x:row r="85" ht="18" customHeight="1">
      <x:c r="A85" s="24" t="str">
        <x:v>EEZ_901</x:v>
      </x:c>
      <x:c r="B85" s="24" t="str">
        <x:v>Sicily (Italy)</x:v>
      </x:c>
      <x:c r="C85" s="24" t="str">
        <x:v>EEZ</x:v>
      </x:c>
      <x:c r="D85" s="30" t="n">
        <x:v>2019</x:v>
      </x:c>
      <x:c r="E85" s="24" t="str">
        <x:v>Pagellus bogaraveo</x:v>
      </x:c>
      <x:c r="F85" s="24" t="str">
        <x:v>Blackspot seabream</x:v>
      </x:c>
      <x:c r="G85" s="24" t="str">
        <x:v>Medium benthopelagics (30 - 89 cm)</x:v>
      </x:c>
      <x:c r="H85" s="24" t="str">
        <x:v>Perch-likes</x:v>
      </x:c>
      <x:c r="I85" s="31" t="n">
        <x:v>34.284506748</x:v>
      </x:c>
      <x:c r="J85" s="31" t="n">
        <x:v>34.284506748</x:v>
      </x:c>
      <x:c r="K85" s="31" t="n">
        <x:v>0</x:v>
      </x:c>
      <x:c r="L85" s="31" t="n">
        <x:v>30.812318249999997</x:v>
      </x:c>
      <x:c r="M85" s="31" t="n">
        <x:v>3.472188498</x:v>
      </x:c>
      <x:c r="N85" s="24" t="str">
        <x:v>pagellus bogaraveo</x:v>
      </x:c>
      <x:c r="O85" s="32" t="n">
        <x:v>4.21</x:v>
      </x:c>
      <x:c r="P85" s="24" t="str">
        <x:v>exact_2020_supplement</x:v>
      </x:c>
      <x:c r="Q85" s="32" t="str">
        <x:v>2020 supplement MeanTL</x:v>
      </x:c>
      <x:c r="R85" s="24" t="str">
        <x:v>high</x:v>
      </x:c>
      <x:c r="S85" s="24" t="str">
        <x:v>Pagellus bogaraveo</x:v>
      </x:c>
      <x:c r="T85" s="32" t="n">
        <x:f>IF(O85="","",(1/'Metadata'!$B$5)^(O85-1))</x:f>
        <x:v>1621.8100973589299</x:v>
      </x:c>
      <x:c r="U85" s="31" t="n">
        <x:f>IF(T85="","",I85*T85)</x:f>
        <x:v>55602.95922687677</x:v>
      </x:c>
    </x:row>
    <x:row r="86" ht="18" customHeight="1">
      <x:c r="A86" s="24" t="str">
        <x:v>EEZ_901</x:v>
      </x:c>
      <x:c r="B86" s="24" t="str">
        <x:v>Sicily (Italy)</x:v>
      </x:c>
      <x:c r="C86" s="24" t="str">
        <x:v>EEZ</x:v>
      </x:c>
      <x:c r="D86" s="30" t="n">
        <x:v>2019</x:v>
      </x:c>
      <x:c r="E86" s="24" t="str">
        <x:v>Scophthalmus maximus</x:v>
      </x:c>
      <x:c r="F86" s="24" t="str">
        <x:v>Turbot</x:v>
      </x:c>
      <x:c r="G86" s="24" t="str">
        <x:v>Large flatfishes (&gt;=90 cm)</x:v>
      </x:c>
      <x:c r="H86" s="24" t="str">
        <x:v>Flatfishes</x:v>
      </x:c>
      <x:c r="I86" s="31" t="n">
        <x:v>32.874466262</x:v>
      </x:c>
      <x:c r="J86" s="31" t="n">
        <x:v>32.874466262</x:v>
      </x:c>
      <x:c r="K86" s="31" t="n">
        <x:v>0</x:v>
      </x:c>
      <x:c r="L86" s="31" t="n">
        <x:v>26.796749910000003</x:v>
      </x:c>
      <x:c r="M86" s="31" t="n">
        <x:v>6.0777163519999995</x:v>
      </x:c>
      <x:c r="N86" s="24" t="str">
        <x:v>scophthalmus maximus</x:v>
      </x:c>
      <x:c r="O86" s="32" t="n">
        <x:v>4.36</x:v>
      </x:c>
      <x:c r="P86" s="24" t="str">
        <x:v>exact_2020_supplement</x:v>
      </x:c>
      <x:c r="Q86" s="32" t="str">
        <x:v>2020 supplement MeanTL</x:v>
      </x:c>
      <x:c r="R86" s="24" t="str">
        <x:v>high</x:v>
      </x:c>
      <x:c r="S86" s="24" t="str">
        <x:v>Scophthalmus maximus</x:v>
      </x:c>
      <x:c r="T86" s="32" t="n">
        <x:f>IF(O86="","",(1/'Metadata'!$B$5)^(O86-1))</x:f>
        <x:v>2290.867652767775</x:v>
      </x:c>
      <x:c r="U86" s="31" t="n">
        <x:f>IF(T86="","",I86*T86)</x:f>
        <x:v>75311.05136162134</x:v>
      </x:c>
    </x:row>
    <x:row r="87" ht="18" customHeight="1">
      <x:c r="A87" s="24" t="str">
        <x:v>EEZ_901</x:v>
      </x:c>
      <x:c r="B87" s="24" t="str">
        <x:v>Sicily (Italy)</x:v>
      </x:c>
      <x:c r="C87" s="24" t="str">
        <x:v>EEZ</x:v>
      </x:c>
      <x:c r="D87" s="30" t="n">
        <x:v>2019</x:v>
      </x:c>
      <x:c r="E87" s="24" t="str">
        <x:v>Mollusca</x:v>
      </x:c>
      <x:c r="F87" s="24" t="str">
        <x:v>Clams, seasnails, squids, octopuses</x:v>
      </x:c>
      <x:c r="G87" s="24" t="str">
        <x:v>Other demersal invertebrates</x:v>
      </x:c>
      <x:c r="H87" s="24" t="str">
        <x:v>Molluscs</x:v>
      </x:c>
      <x:c r="I87" s="31" t="n">
        <x:v>31.732684425999995</x:v>
      </x:c>
      <x:c r="J87" s="31" t="n">
        <x:v>31.732684425999995</x:v>
      </x:c>
      <x:c r="K87" s="31" t="n">
        <x:v>0</x:v>
      </x:c>
      <x:c r="L87" s="31" t="n">
        <x:v>28.56567145</x:v>
      </x:c>
      <x:c r="M87" s="31" t="n">
        <x:v>3.167012976</x:v>
      </x:c>
      <x:c r="N87" s="24" t="str">
        <x:v>mollusca</x:v>
      </x:c>
      <x:c r="O87" s="32" t="n">
        <x:v>2.1</x:v>
      </x:c>
      <x:c r="P87" s="24" t="str">
        <x:v>exact_sea_around_us</x:v>
      </x:c>
      <x:c r="Q87" s="32" t="str">
        <x:v>Sea Around Us exploited organisms</x:v>
      </x:c>
      <x:c r="R87" s="24" t="str">
        <x:v>high</x:v>
      </x:c>
      <x:c r="S87" s="24" t="str">
        <x:v>Mollusca</x:v>
      </x:c>
      <x:c r="T87" s="32" t="n">
        <x:f>IF(O87="","",(1/'Metadata'!$B$5)^(O87-1))</x:f>
        <x:v>12.589254117941675</x:v>
      </x:c>
      <x:c r="U87" s="31" t="n">
        <x:f>IF(T87="","",I87*T87)</x:f>
        <x:v>399.4908280833641</x:v>
      </x:c>
    </x:row>
    <x:row r="88" ht="18" customHeight="1">
      <x:c r="A88" s="24" t="str">
        <x:v>EEZ_901</x:v>
      </x:c>
      <x:c r="B88" s="24" t="str">
        <x:v>Sicily (Italy)</x:v>
      </x:c>
      <x:c r="C88" s="24" t="str">
        <x:v>EEZ</x:v>
      </x:c>
      <x:c r="D88" s="30" t="n">
        <x:v>2019</x:v>
      </x:c>
      <x:c r="E88" s="24" t="str">
        <x:v>Pomatomus saltatrix</x:v>
      </x:c>
      <x:c r="F88" s="24" t="str">
        <x:v>Bluefish</x:v>
      </x:c>
      <x:c r="G88" s="24" t="str">
        <x:v>Large pelagics (&gt;=90 cm)</x:v>
      </x:c>
      <x:c r="H88" s="24" t="str">
        <x:v>Perch-likes</x:v>
      </x:c>
      <x:c r="I88" s="31" t="n">
        <x:v>30.277524107</x:v>
      </x:c>
      <x:c r="J88" s="31" t="n">
        <x:v>30.277524107</x:v>
      </x:c>
      <x:c r="K88" s="31" t="n">
        <x:v>0</x:v>
      </x:c>
      <x:c r="L88" s="31" t="n">
        <x:v>25.03749562</x:v>
      </x:c>
      <x:c r="M88" s="31" t="n">
        <x:v>5.240028487</x:v>
      </x:c>
      <x:c r="N88" s="24" t="str">
        <x:v>pomatomus saltatrix</x:v>
      </x:c>
      <x:c r="O88" s="32" t="n">
        <x:v>4.53</x:v>
      </x:c>
      <x:c r="P88" s="24" t="str">
        <x:v>exact_2020_supplement</x:v>
      </x:c>
      <x:c r="Q88" s="32" t="str">
        <x:v>2020 supplement MeanTL</x:v>
      </x:c>
      <x:c r="R88" s="24" t="str">
        <x:v>high</x:v>
      </x:c>
      <x:c r="S88" s="24" t="str">
        <x:v>Pomatomus saltatrix</x:v>
      </x:c>
      <x:c r="T88" s="32" t="n">
        <x:f>IF(O88="","",(1/'Metadata'!$B$5)^(O88-1))</x:f>
        <x:v>3388.4415613920273</x:v>
      </x:c>
      <x:c r="U88" s="31" t="n">
        <x:f>IF(T88="","",I88*T88)</x:f>
        <x:v>102593.62106020784</x:v>
      </x:c>
    </x:row>
    <x:row r="89" ht="18" customHeight="1">
      <x:c r="A89" s="24" t="str">
        <x:v>EEZ_901</x:v>
      </x:c>
      <x:c r="B89" s="24" t="str">
        <x:v>Sicily (Italy)</x:v>
      </x:c>
      <x:c r="C89" s="24" t="str">
        <x:v>EEZ</x:v>
      </x:c>
      <x:c r="D89" s="30" t="n">
        <x:v>2019</x:v>
      </x:c>
      <x:c r="E89" s="24" t="str">
        <x:v>Umbrina cirrosa</x:v>
      </x:c>
      <x:c r="F89" s="24" t="str">
        <x:v>Shi drum</x:v>
      </x:c>
      <x:c r="G89" s="24" t="str">
        <x:v>Medium demersals (30 - 89 cm)</x:v>
      </x:c>
      <x:c r="H89" s="24" t="str">
        <x:v>Perch-likes</x:v>
      </x:c>
      <x:c r="I89" s="31" t="n">
        <x:v>26.998225504</x:v>
      </x:c>
      <x:c r="J89" s="31" t="n">
        <x:v>26.998225504</x:v>
      </x:c>
      <x:c r="K89" s="31" t="n">
        <x:v>0</x:v>
      </x:c>
      <x:c r="L89" s="31" t="n">
        <x:v>22.579737018</x:v>
      </x:c>
      <x:c r="M89" s="31" t="n">
        <x:v>4.418488485999999</x:v>
      </x:c>
      <x:c r="N89" s="24" t="str">
        <x:v>umbrina cirrosa</x:v>
      </x:c>
      <x:c r="O89" s="32" t="n">
        <x:v>3.46</x:v>
      </x:c>
      <x:c r="P89" s="24" t="str">
        <x:v>exact_2020_supplement</x:v>
      </x:c>
      <x:c r="Q89" s="32" t="str">
        <x:v>2020 supplement MeanTL</x:v>
      </x:c>
      <x:c r="R89" s="24" t="str">
        <x:v>high</x:v>
      </x:c>
      <x:c r="S89" s="24" t="str">
        <x:v>Umbrina cirrosa</x:v>
      </x:c>
      <x:c r="T89" s="32" t="n">
        <x:f>IF(O89="","",(1/'Metadata'!$B$5)^(O89-1))</x:f>
        <x:v>288.40315031266056</x:v>
      </x:c>
      <x:c r="U89" s="31" t="n">
        <x:f>IF(T89="","",I89*T89)</x:f>
        <x:v>7786.373288205218</x:v>
      </x:c>
    </x:row>
    <x:row r="90" ht="18" customHeight="1">
      <x:c r="A90" s="24" t="str">
        <x:v>EEZ_901</x:v>
      </x:c>
      <x:c r="B90" s="24" t="str">
        <x:v>Sicily (Italy)</x:v>
      </x:c>
      <x:c r="C90" s="24" t="str">
        <x:v>EEZ</x:v>
      </x:c>
      <x:c r="D90" s="30" t="n">
        <x:v>2019</x:v>
      </x:c>
      <x:c r="E90" s="24" t="str">
        <x:v>Pagrus pagrus</x:v>
      </x:c>
      <x:c r="F90" s="24" t="str">
        <x:v>Red porgy</x:v>
      </x:c>
      <x:c r="G90" s="24" t="str">
        <x:v>Medium benthopelagics (30 - 89 cm)</x:v>
      </x:c>
      <x:c r="H90" s="24" t="str">
        <x:v>Perch-likes</x:v>
      </x:c>
      <x:c r="I90" s="31" t="n">
        <x:v>25.461814018000002</x:v>
      </x:c>
      <x:c r="J90" s="31" t="n">
        <x:v>25.461814018000002</x:v>
      </x:c>
      <x:c r="K90" s="31" t="n">
        <x:v>0</x:v>
      </x:c>
      <x:c r="L90" s="31" t="n">
        <x:v>22.292775257</x:v>
      </x:c>
      <x:c r="M90" s="31" t="n">
        <x:v>3.169038761</x:v>
      </x:c>
      <x:c r="N90" s="24" t="str">
        <x:v>pagrus pagrus</x:v>
      </x:c>
      <x:c r="O90" s="32" t="n">
        <x:v>3.86</x:v>
      </x:c>
      <x:c r="P90" s="24" t="str">
        <x:v>exact_2020_supplement</x:v>
      </x:c>
      <x:c r="Q90" s="32" t="str">
        <x:v>2020 supplement MeanTL</x:v>
      </x:c>
      <x:c r="R90" s="24" t="str">
        <x:v>high</x:v>
      </x:c>
      <x:c r="S90" s="24" t="str">
        <x:v>Pagrus pagrus</x:v>
      </x:c>
      <x:c r="T90" s="32" t="n">
        <x:f>IF(O90="","",(1/'Metadata'!$B$5)^(O90-1))</x:f>
        <x:v>724.4359600749899</x:v>
      </x:c>
      <x:c r="U90" s="31" t="n">
        <x:f>IF(T90="","",I90*T90)</x:f>
        <x:v>18445.453683380667</x:v>
      </x:c>
    </x:row>
    <x:row r="91" ht="18" customHeight="1">
      <x:c r="A91" s="24" t="str">
        <x:v>EEZ_901</x:v>
      </x:c>
      <x:c r="B91" s="24" t="str">
        <x:v>Sicily (Italy)</x:v>
      </x:c>
      <x:c r="C91" s="24" t="str">
        <x:v>EEZ</x:v>
      </x:c>
      <x:c r="D91" s="30" t="n">
        <x:v>2019</x:v>
      </x:c>
      <x:c r="E91" s="24" t="str">
        <x:v>Sprattus sprattus</x:v>
      </x:c>
      <x:c r="F91" s="24" t="str">
        <x:v>European sprat</x:v>
      </x:c>
      <x:c r="G91" s="24" t="str">
        <x:v>Small pelagics (&lt;30 cm)</x:v>
      </x:c>
      <x:c r="H91" s="24" t="str">
        <x:v>Herring-likes</x:v>
      </x:c>
      <x:c r="I91" s="31" t="n">
        <x:v>25.387427868</x:v>
      </x:c>
      <x:c r="J91" s="31" t="n">
        <x:v>25.387427868</x:v>
      </x:c>
      <x:c r="K91" s="31" t="n">
        <x:v>0</x:v>
      </x:c>
      <x:c r="L91" s="31" t="n">
        <x:v>21.407688668</x:v>
      </x:c>
      <x:c r="M91" s="31" t="n">
        <x:v>3.9797392</x:v>
      </x:c>
      <x:c r="N91" s="24" t="str">
        <x:v>sprattus sprattus</x:v>
      </x:c>
      <x:c r="O91" s="32" t="n">
        <x:v>3.01</x:v>
      </x:c>
      <x:c r="P91" s="24" t="str">
        <x:v>exact_2020_supplement</x:v>
      </x:c>
      <x:c r="Q91" s="32" t="str">
        <x:v>2020 supplement MeanTL</x:v>
      </x:c>
      <x:c r="R91" s="24" t="str">
        <x:v>high</x:v>
      </x:c>
      <x:c r="S91" s="24" t="str">
        <x:v>Sprattus sprattus</x:v>
      </x:c>
      <x:c r="T91" s="32" t="n">
        <x:f>IF(O91="","",(1/'Metadata'!$B$5)^(O91-1))</x:f>
        <x:v>102.32929922807536</x:v>
      </x:c>
      <x:c r="U91" s="31" t="n">
        <x:f>IF(T91="","",I91*T91)</x:f>
        <x:v>2597.877702935751</x:v>
      </x:c>
    </x:row>
    <x:row r="92" ht="18" customHeight="1">
      <x:c r="A92" s="24" t="str">
        <x:v>EEZ_901</x:v>
      </x:c>
      <x:c r="B92" s="24" t="str">
        <x:v>Sicily (Italy)</x:v>
      </x:c>
      <x:c r="C92" s="24" t="str">
        <x:v>EEZ</x:v>
      </x:c>
      <x:c r="D92" s="30" t="n">
        <x:v>2019</x:v>
      </x:c>
      <x:c r="E92" s="24" t="str">
        <x:v>Naucrates ductor</x:v>
      </x:c>
      <x:c r="F92" s="24" t="str">
        <x:v>Pilotfish</x:v>
      </x:c>
      <x:c r="G92" s="24" t="str">
        <x:v>Medium pelagics (30 - 89 cm)</x:v>
      </x:c>
      <x:c r="H92" s="24" t="str">
        <x:v>Perch-likes</x:v>
      </x:c>
      <x:c r="I92" s="31" t="n">
        <x:v>25.272778116999998</x:v>
      </x:c>
      <x:c r="J92" s="31" t="n">
        <x:v>25.272778116999998</x:v>
      </x:c>
      <x:c r="K92" s="31" t="n">
        <x:v>0</x:v>
      </x:c>
      <x:c r="L92" s="31" t="n">
        <x:v>16.195804138</x:v>
      </x:c>
      <x:c r="M92" s="31" t="n">
        <x:v>9.076973979</x:v>
      </x:c>
      <x:c r="N92" s="24" t="str">
        <x:v>naucrates ductor</x:v>
      </x:c>
      <x:c r="O92" s="32" t="n">
        <x:v>3.98</x:v>
      </x:c>
      <x:c r="P92" s="24" t="str">
        <x:v>exact_2020_supplement</x:v>
      </x:c>
      <x:c r="Q92" s="32" t="str">
        <x:v>2020 supplement MeanTL</x:v>
      </x:c>
      <x:c r="R92" s="24" t="str">
        <x:v>high</x:v>
      </x:c>
      <x:c r="S92" s="24" t="str">
        <x:v>Naucrates ductor</x:v>
      </x:c>
      <x:c r="T92" s="32" t="n">
        <x:f>IF(O92="","",(1/'Metadata'!$B$5)^(O92-1))</x:f>
        <x:v>954.992586021436</x:v>
      </x:c>
      <x:c r="U92" s="31" t="n">
        <x:f>IF(T92="","",I92*T92)</x:f>
        <x:v>24135.315729899783</x:v>
      </x:c>
    </x:row>
    <x:row r="93" ht="18" customHeight="1">
      <x:c r="A93" s="24" t="str">
        <x:v>EEZ_901</x:v>
      </x:c>
      <x:c r="B93" s="24" t="str">
        <x:v>Sicily (Italy)</x:v>
      </x:c>
      <x:c r="C93" s="24" t="str">
        <x:v>EEZ</x:v>
      </x:c>
      <x:c r="D93" s="30" t="n">
        <x:v>2019</x:v>
      </x:c>
      <x:c r="E93" s="24" t="str">
        <x:v>Muraena helena</x:v>
      </x:c>
      <x:c r="F93" s="24" t="str">
        <x:v>Mediterranean moray</x:v>
      </x:c>
      <x:c r="G93" s="24" t="str">
        <x:v>Large reef assoc. fish (&gt;=90 cm)</x:v>
      </x:c>
      <x:c r="H93" s="24" t="str">
        <x:v>Other fishes &amp; inverts</x:v>
      </x:c>
      <x:c r="I93" s="31" t="n">
        <x:v>21.897564287</x:v>
      </x:c>
      <x:c r="J93" s="31" t="n">
        <x:v>21.897564287</x:v>
      </x:c>
      <x:c r="K93" s="31" t="n">
        <x:v>0</x:v>
      </x:c>
      <x:c r="L93" s="31" t="n">
        <x:v>18.941735383</x:v>
      </x:c>
      <x:c r="M93" s="31" t="n">
        <x:v>2.955828904</x:v>
      </x:c>
      <x:c r="N93" s="24" t="str">
        <x:v>muraena helena</x:v>
      </x:c>
      <x:c r="O93" s="32" t="n">
        <x:v>4.18</x:v>
      </x:c>
      <x:c r="P93" s="24" t="str">
        <x:v>exact_2020_supplement</x:v>
      </x:c>
      <x:c r="Q93" s="32" t="str">
        <x:v>2020 supplement MeanTL</x:v>
      </x:c>
      <x:c r="R93" s="24" t="str">
        <x:v>high</x:v>
      </x:c>
      <x:c r="S93" s="24" t="str">
        <x:v>Muraena helena</x:v>
      </x:c>
      <x:c r="T93" s="32" t="n">
        <x:f>IF(O93="","",(1/'Metadata'!$B$5)^(O93-1))</x:f>
        <x:v>1513.5612484362073</x:v>
      </x:c>
      <x:c r="U93" s="31" t="n">
        <x:f>IF(T93="","",I93*T93)</x:f>
        <x:v>33143.30473994383</x:v>
      </x:c>
    </x:row>
    <x:row r="94" ht="18" customHeight="1">
      <x:c r="A94" s="24" t="str">
        <x:v>EEZ_901</x:v>
      </x:c>
      <x:c r="B94" s="24" t="str">
        <x:v>Sicily (Italy)</x:v>
      </x:c>
      <x:c r="C94" s="24" t="str">
        <x:v>EEZ</x:v>
      </x:c>
      <x:c r="D94" s="30" t="n">
        <x:v>2019</x:v>
      </x:c>
      <x:c r="E94" s="24" t="str">
        <x:v>Aphia minuta</x:v>
      </x:c>
      <x:c r="F94" s="24" t="str">
        <x:v>Transparent goby</x:v>
      </x:c>
      <x:c r="G94" s="24" t="str">
        <x:v>Small demersals (&lt;30 cm)</x:v>
      </x:c>
      <x:c r="H94" s="24" t="str">
        <x:v>Perch-likes</x:v>
      </x:c>
      <x:c r="I94" s="31" t="n">
        <x:v>19.817655455</x:v>
      </x:c>
      <x:c r="J94" s="31" t="n">
        <x:v>19.817655455</x:v>
      </x:c>
      <x:c r="K94" s="31" t="n">
        <x:v>0</x:v>
      </x:c>
      <x:c r="L94" s="31" t="n">
        <x:v>15.27352025</x:v>
      </x:c>
      <x:c r="M94" s="31" t="n">
        <x:v>4.544135205</x:v>
      </x:c>
      <x:c r="N94" s="24" t="str">
        <x:v>aphia minuta</x:v>
      </x:c>
      <x:c r="O94" s="32" t="n">
        <x:v>3.1</x:v>
      </x:c>
      <x:c r="P94" s="24" t="str">
        <x:v>exact_2020_supplement</x:v>
      </x:c>
      <x:c r="Q94" s="32" t="str">
        <x:v>2020 supplement MeanTL</x:v>
      </x:c>
      <x:c r="R94" s="24" t="str">
        <x:v>high</x:v>
      </x:c>
      <x:c r="S94" s="24" t="str">
        <x:v>Aphia minuta</x:v>
      </x:c>
      <x:c r="T94" s="32" t="n">
        <x:f>IF(O94="","",(1/'Metadata'!$B$5)^(O94-1))</x:f>
        <x:v>125.89254117941675</x:v>
      </x:c>
      <x:c r="U94" s="31" t="n">
        <x:f>IF(T94="","",I94*T94)</x:f>
        <x:v>2494.8950054480806</x:v>
      </x:c>
    </x:row>
    <x:row r="95" ht="18" customHeight="1">
      <x:c r="A95" s="24" t="str">
        <x:v>EEZ_901</x:v>
      </x:c>
      <x:c r="B95" s="24" t="str">
        <x:v>Sicily (Italy)</x:v>
      </x:c>
      <x:c r="C95" s="24" t="str">
        <x:v>EEZ</x:v>
      </x:c>
      <x:c r="D95" s="30" t="n">
        <x:v>2019</x:v>
      </x:c>
      <x:c r="E95" s="24" t="str">
        <x:v>Scophthalmus rhombus</x:v>
      </x:c>
      <x:c r="F95" s="24" t="str">
        <x:v>Brill</x:v>
      </x:c>
      <x:c r="G95" s="24" t="str">
        <x:v>Small to medium flatfishes (&lt;90 cm)</x:v>
      </x:c>
      <x:c r="H95" s="24" t="str">
        <x:v>Flatfishes</x:v>
      </x:c>
      <x:c r="I95" s="31" t="n">
        <x:v>19.752794265</x:v>
      </x:c>
      <x:c r="J95" s="31" t="n">
        <x:v>19.752794265</x:v>
      </x:c>
      <x:c r="K95" s="31" t="n">
        <x:v>0</x:v>
      </x:c>
      <x:c r="L95" s="31" t="n">
        <x:v>16.005078396000002</x:v>
      </x:c>
      <x:c r="M95" s="31" t="n">
        <x:v>3.747715869</x:v>
      </x:c>
      <x:c r="N95" s="24" t="str">
        <x:v>scophthalmus rhombus</x:v>
      </x:c>
      <x:c r="O95" s="32" t="n">
        <x:v>4.42</x:v>
      </x:c>
      <x:c r="P95" s="24" t="str">
        <x:v>exact_2020_supplement</x:v>
      </x:c>
      <x:c r="Q95" s="32" t="str">
        <x:v>2020 supplement MeanTL</x:v>
      </x:c>
      <x:c r="R95" s="24" t="str">
        <x:v>high</x:v>
      </x:c>
      <x:c r="S95" s="24" t="str">
        <x:v>Scophthalmus rhombus</x:v>
      </x:c>
      <x:c r="T95" s="32" t="n">
        <x:f>IF(O95="","",(1/'Metadata'!$B$5)^(O95-1))</x:f>
        <x:v>2630.2679918953813</x:v>
      </x:c>
      <x:c r="U95" s="31" t="n">
        <x:f>IF(T95="","",I95*T95)</x:f>
        <x:v>51955.14250572415</x:v>
      </x:c>
    </x:row>
    <x:row r="96" ht="18" customHeight="1">
      <x:c r="A96" s="24" t="str">
        <x:v>EEZ_901</x:v>
      </x:c>
      <x:c r="B96" s="24" t="str">
        <x:v>Sicily (Italy)</x:v>
      </x:c>
      <x:c r="C96" s="24" t="str">
        <x:v>EEZ</x:v>
      </x:c>
      <x:c r="D96" s="30" t="n">
        <x:v>2019</x:v>
      </x:c>
      <x:c r="E96" s="24" t="str">
        <x:v>Trachurus mediterraneus</x:v>
      </x:c>
      <x:c r="F96" s="24" t="str">
        <x:v>Mediterranean horse mackerel</x:v>
      </x:c>
      <x:c r="G96" s="24" t="str">
        <x:v>Medium pelagics (30 - 89 cm)</x:v>
      </x:c>
      <x:c r="H96" s="24" t="str">
        <x:v>Perch-likes</x:v>
      </x:c>
      <x:c r="I96" s="31" t="n">
        <x:v>19.346139459</x:v>
      </x:c>
      <x:c r="J96" s="31" t="n">
        <x:v>16.911952405</x:v>
      </x:c>
      <x:c r="K96" s="31" t="n">
        <x:v>2.434187054</x:v>
      </x:c>
      <x:c r="L96" s="31" t="n">
        <x:v>2.434187054</x:v>
      </x:c>
      <x:c r="M96" s="31" t="n">
        <x:v>16.911952405</x:v>
      </x:c>
      <x:c r="N96" s="24" t="str">
        <x:v>trachurus mediterraneus</x:v>
      </x:c>
      <x:c r="O96" s="32" t="n">
        <x:v>3.77</x:v>
      </x:c>
      <x:c r="P96" s="24" t="str">
        <x:v>exact_2020_supplement</x:v>
      </x:c>
      <x:c r="Q96" s="32" t="str">
        <x:v>2020 supplement MeanTL</x:v>
      </x:c>
      <x:c r="R96" s="24" t="str">
        <x:v>high</x:v>
      </x:c>
      <x:c r="S96" s="24" t="str">
        <x:v>Trachurus mediterraneus</x:v>
      </x:c>
      <x:c r="T96" s="32" t="n">
        <x:f>IF(O96="","",(1/'Metadata'!$B$5)^(O96-1))</x:f>
        <x:v>588.843655355589</x:v>
      </x:c>
      <x:c r="U96" s="31" t="n">
        <x:f>IF(T96="","",I96*T96)</x:f>
        <x:v>11391.851476056558</x:v>
      </x:c>
    </x:row>
    <x:row r="97" ht="18" customHeight="1">
      <x:c r="A97" s="24" t="str">
        <x:v>EEZ_901</x:v>
      </x:c>
      <x:c r="B97" s="24" t="str">
        <x:v>Sicily (Italy)</x:v>
      </x:c>
      <x:c r="C97" s="24" t="str">
        <x:v>EEZ</x:v>
      </x:c>
      <x:c r="D97" s="30" t="n">
        <x:v>2019</x:v>
      </x:c>
      <x:c r="E97" s="24" t="str">
        <x:v>Zeus faber</x:v>
      </x:c>
      <x:c r="F97" s="24" t="str">
        <x:v>John dory</x:v>
      </x:c>
      <x:c r="G97" s="24" t="str">
        <x:v>Medium benthopelagics (30 - 89 cm)</x:v>
      </x:c>
      <x:c r="H97" s="24" t="str">
        <x:v>Other fishes &amp; inverts</x:v>
      </x:c>
      <x:c r="I97" s="31" t="n">
        <x:v>19.0708999111</x:v>
      </x:c>
      <x:c r="J97" s="31" t="n">
        <x:v>19.0708999111</x:v>
      </x:c>
      <x:c r="K97" s="31" t="n">
        <x:v>0</x:v>
      </x:c>
      <x:c r="L97" s="31" t="n">
        <x:v>9.012636831</x:v>
      </x:c>
      <x:c r="M97" s="31" t="n">
        <x:v>10.0582630801</x:v>
      </x:c>
      <x:c r="N97" s="24" t="str">
        <x:v>zeus faber</x:v>
      </x:c>
      <x:c r="O97" s="32" t="n">
        <x:v>4.5</x:v>
      </x:c>
      <x:c r="P97" s="24" t="str">
        <x:v>exact_2020_supplement</x:v>
      </x:c>
      <x:c r="Q97" s="32" t="str">
        <x:v>2020 supplement MeanTL</x:v>
      </x:c>
      <x:c r="R97" s="24" t="str">
        <x:v>high</x:v>
      </x:c>
      <x:c r="S97" s="24" t="str">
        <x:v>Zeus faber</x:v>
      </x:c>
      <x:c r="T97" s="32" t="n">
        <x:f>IF(O97="","",(1/'Metadata'!$B$5)^(O97-1))</x:f>
        <x:v>3162.2776601683795</x:v>
      </x:c>
      <x:c r="U97" s="31" t="n">
        <x:f>IF(T97="","",I97*T97)</x:f>
        <x:v>60307.48074817866</x:v>
      </x:c>
    </x:row>
    <x:row r="98" ht="18" customHeight="1">
      <x:c r="A98" s="24" t="str">
        <x:v>EEZ_901</x:v>
      </x:c>
      <x:c r="B98" s="24" t="str">
        <x:v>Sicily (Italy)</x:v>
      </x:c>
      <x:c r="C98" s="24" t="str">
        <x:v>EEZ</x:v>
      </x:c>
      <x:c r="D98" s="30" t="n">
        <x:v>2019</x:v>
      </x:c>
      <x:c r="E98" s="24" t="str">
        <x:v>Epinephelus marginatus</x:v>
      </x:c>
      <x:c r="F98" s="24" t="str">
        <x:v>Dusky grouper</x:v>
      </x:c>
      <x:c r="G98" s="24" t="str">
        <x:v>Large reef assoc. fish (&gt;=90 cm)</x:v>
      </x:c>
      <x:c r="H98" s="24" t="str">
        <x:v>Perch-likes</x:v>
      </x:c>
      <x:c r="I98" s="31" t="n">
        <x:v>18.361322045</x:v>
      </x:c>
      <x:c r="J98" s="31" t="n">
        <x:v>18.361322045</x:v>
      </x:c>
      <x:c r="K98" s="31" t="n">
        <x:v>0</x:v>
      </x:c>
      <x:c r="L98" s="31" t="n">
        <x:v>15.419113424999999</x:v>
      </x:c>
      <x:c r="M98" s="31" t="n">
        <x:v>2.94220862</x:v>
      </x:c>
      <x:c r="N98" s="24" t="str">
        <x:v>epinephelus marginatus</x:v>
      </x:c>
      <x:c r="O98" s="32" t="n">
        <x:v>4.43</x:v>
      </x:c>
      <x:c r="P98" s="24" t="str">
        <x:v>exact_2020_supplement</x:v>
      </x:c>
      <x:c r="Q98" s="32" t="str">
        <x:v>2020 supplement MeanTL</x:v>
      </x:c>
      <x:c r="R98" s="24" t="str">
        <x:v>high</x:v>
      </x:c>
      <x:c r="S98" s="24" t="str">
        <x:v>Epinephelus marginatus</x:v>
      </x:c>
      <x:c r="T98" s="32" t="n">
        <x:f>IF(O98="","",(1/'Metadata'!$B$5)^(O98-1))</x:f>
        <x:v>2691.534803926914</x:v>
      </x:c>
      <x:c r="U98" s="31" t="n">
        <x:f>IF(T98="","",I98*T98)</x:f>
        <x:v>49420.137330228</x:v>
      </x:c>
    </x:row>
    <x:row r="99" ht="18" customHeight="1">
      <x:c r="A99" s="24" t="str">
        <x:v>EEZ_901</x:v>
      </x:c>
      <x:c r="B99" s="24" t="str">
        <x:v>Sicily (Italy)</x:v>
      </x:c>
      <x:c r="C99" s="24" t="str">
        <x:v>EEZ</x:v>
      </x:c>
      <x:c r="D99" s="30" t="n">
        <x:v>2019</x:v>
      </x:c>
      <x:c r="E99" s="24" t="str">
        <x:v>Diplodus puntazzo</x:v>
      </x:c>
      <x:c r="F99" s="24" t="str">
        <x:v>Sharpsnout seabream</x:v>
      </x:c>
      <x:c r="G99" s="24" t="str">
        <x:v>Medium benthopelagics (30 - 89 cm)</x:v>
      </x:c>
      <x:c r="H99" s="24" t="str">
        <x:v>Perch-likes</x:v>
      </x:c>
      <x:c r="I99" s="31" t="n">
        <x:v>18.196350951</x:v>
      </x:c>
      <x:c r="J99" s="31" t="n">
        <x:v>18.196350951</x:v>
      </x:c>
      <x:c r="K99" s="31" t="n">
        <x:v>0</x:v>
      </x:c>
      <x:c r="L99" s="31" t="n">
        <x:v>15.883936318</x:v>
      </x:c>
      <x:c r="M99" s="31" t="n">
        <x:v>2.312414633</x:v>
      </x:c>
      <x:c r="N99" s="24" t="str">
        <x:v>diplodus puntazzo</x:v>
      </x:c>
      <x:c r="O99" s="32" t="n">
        <x:v>3.22</x:v>
      </x:c>
      <x:c r="P99" s="24" t="str">
        <x:v>exact_2020_supplement</x:v>
      </x:c>
      <x:c r="Q99" s="32" t="str">
        <x:v>2020 supplement MeanTL</x:v>
      </x:c>
      <x:c r="R99" s="24" t="str">
        <x:v>high</x:v>
      </x:c>
      <x:c r="S99" s="24" t="str">
        <x:v>Diplodus puntazzo</x:v>
      </x:c>
      <x:c r="T99" s="32" t="n">
        <x:f>IF(O99="","",(1/'Metadata'!$B$5)^(O99-1))</x:f>
        <x:v>165.95869074375614</x:v>
      </x:c>
      <x:c r="U99" s="31" t="n">
        <x:f>IF(T99="","",I99*T99)</x:f>
        <x:v>3019.8425801418616</x:v>
      </x:c>
    </x:row>
    <x:row r="100" ht="18" customHeight="1">
      <x:c r="A100" s="24" t="str">
        <x:v>EEZ_901</x:v>
      </x:c>
      <x:c r="B100" s="24" t="str">
        <x:v>Sicily (Italy)</x:v>
      </x:c>
      <x:c r="C100" s="24" t="str">
        <x:v>EEZ</x:v>
      </x:c>
      <x:c r="D100" s="30" t="n">
        <x:v>2019</x:v>
      </x:c>
      <x:c r="E100" s="24" t="str">
        <x:v>Cepola macrophthalma</x:v>
      </x:c>
      <x:c r="F100" s="24" t="str">
        <x:v>Red bandfish</x:v>
      </x:c>
      <x:c r="G100" s="24" t="str">
        <x:v>Medium demersals (30 - 89 cm)</x:v>
      </x:c>
      <x:c r="H100" s="24" t="str">
        <x:v>Perch-likes</x:v>
      </x:c>
      <x:c r="I100" s="31" t="n">
        <x:v>18.007361067</x:v>
      </x:c>
      <x:c r="J100" s="31" t="n">
        <x:v>18.007361067</x:v>
      </x:c>
      <x:c r="K100" s="31" t="n">
        <x:v>0</x:v>
      </x:c>
      <x:c r="L100" s="31" t="n">
        <x:v>14.026333306</x:v>
      </x:c>
      <x:c r="M100" s="31" t="n">
        <x:v>3.9810277610000004</x:v>
      </x:c>
      <x:c r="N100" s="24" t="str">
        <x:v>cepola macrophthalma</x:v>
      </x:c>
      <x:c r="O100" s="32" t="n">
        <x:v>3.13</x:v>
      </x:c>
      <x:c r="P100" s="24" t="str">
        <x:v>exact_2020_supplement</x:v>
      </x:c>
      <x:c r="Q100" s="32" t="str">
        <x:v>2020 supplement MeanTL</x:v>
      </x:c>
      <x:c r="R100" s="24" t="str">
        <x:v>high</x:v>
      </x:c>
      <x:c r="S100" s="24" t="str">
        <x:v>Cepola macrophthalma</x:v>
      </x:c>
      <x:c r="T100" s="32" t="n">
        <x:f>IF(O100="","",(1/'Metadata'!$B$5)^(O100-1))</x:f>
        <x:v>134.89628825916532</x:v>
      </x:c>
      <x:c r="U100" s="31" t="n">
        <x:f>IF(T100="","",I100*T100)</x:f>
        <x:v>2429.126169280903</x:v>
      </x:c>
    </x:row>
    <x:row r="101" ht="18" customHeight="1">
      <x:c r="A101" s="24" t="str">
        <x:v>EEZ_901</x:v>
      </x:c>
      <x:c r="B101" s="24" t="str">
        <x:v>Sicily (Italy)</x:v>
      </x:c>
      <x:c r="C101" s="24" t="str">
        <x:v>EEZ</x:v>
      </x:c>
      <x:c r="D101" s="30" t="n">
        <x:v>2019</x:v>
      </x:c>
      <x:c r="E101" s="24" t="str">
        <x:v>Raja asterias</x:v>
      </x:c>
      <x:c r="F101" s="24" t="str">
        <x:v>Mediterranean starry ray</x:v>
      </x:c>
      <x:c r="G101" s="24" t="str">
        <x:v>Small to medium rays (&lt;90 cm)</x:v>
      </x:c>
      <x:c r="H101" s="24" t="str">
        <x:v>Sharks &amp; rays</x:v>
      </x:c>
      <x:c r="I101" s="31" t="n">
        <x:v>17.981823009</x:v>
      </x:c>
      <x:c r="J101" s="31" t="n">
        <x:v>17.981823009</x:v>
      </x:c>
      <x:c r="K101" s="31" t="n">
        <x:v>0</x:v>
      </x:c>
      <x:c r="L101" s="31" t="n">
        <x:v>14.468002814</x:v>
      </x:c>
      <x:c r="M101" s="31" t="n">
        <x:v>3.513820195</x:v>
      </x:c>
      <x:c r="N101" s="24" t="str">
        <x:v>raja asterias</x:v>
      </x:c>
      <x:c r="O101" s="32" t="n">
        <x:v>3.5</x:v>
      </x:c>
      <x:c r="P101" s="24" t="str">
        <x:v>exact_2020_supplement</x:v>
      </x:c>
      <x:c r="Q101" s="32" t="str">
        <x:v>2020 supplement MeanTL</x:v>
      </x:c>
      <x:c r="R101" s="24" t="str">
        <x:v>high</x:v>
      </x:c>
      <x:c r="S101" s="24" t="str">
        <x:v>Raja asterias</x:v>
      </x:c>
      <x:c r="T101" s="32" t="n">
        <x:f>IF(O101="","",(1/'Metadata'!$B$5)^(O101-1))</x:f>
        <x:v>316.22776601683796</x:v>
      </x:c>
      <x:c r="U101" s="31" t="n">
        <x:f>IF(T101="","",I101*T101)</x:f>
        <x:v>5686.351719046245</x:v>
      </x:c>
    </x:row>
    <x:row r="102" ht="18" customHeight="1">
      <x:c r="A102" s="24" t="str">
        <x:v>EEZ_901</x:v>
      </x:c>
      <x:c r="B102" s="24" t="str">
        <x:v>Sicily (Italy)</x:v>
      </x:c>
      <x:c r="C102" s="24" t="str">
        <x:v>EEZ</x:v>
      </x:c>
      <x:c r="D102" s="30" t="n">
        <x:v>2019</x:v>
      </x:c>
      <x:c r="E102" s="24" t="str">
        <x:v>Citharus linguatula</x:v>
      </x:c>
      <x:c r="F102" s="24" t="str">
        <x:v>Spotted flounder</x:v>
      </x:c>
      <x:c r="G102" s="24" t="str">
        <x:v>Small to medium flatfishes (&lt;90 cm)</x:v>
      </x:c>
      <x:c r="H102" s="24" t="str">
        <x:v>Flatfishes</x:v>
      </x:c>
      <x:c r="I102" s="31" t="n">
        <x:v>17.460144939</x:v>
      </x:c>
      <x:c r="J102" s="31" t="n">
        <x:v>17.460144939</x:v>
      </x:c>
      <x:c r="K102" s="31" t="n">
        <x:v>0</x:v>
      </x:c>
      <x:c r="L102" s="31" t="n">
        <x:v>7.45698342</x:v>
      </x:c>
      <x:c r="M102" s="31" t="n">
        <x:v>10.003161518999999</x:v>
      </x:c>
      <x:c r="N102" s="24" t="str">
        <x:v>citharus linguatula</x:v>
      </x:c>
      <x:c r="O102" s="32" t="n">
        <x:v>3.97</x:v>
      </x:c>
      <x:c r="P102" s="24" t="str">
        <x:v>exact_2020_supplement</x:v>
      </x:c>
      <x:c r="Q102" s="32" t="str">
        <x:v>2020 supplement MeanTL</x:v>
      </x:c>
      <x:c r="R102" s="24" t="str">
        <x:v>high</x:v>
      </x:c>
      <x:c r="S102" s="24" t="str">
        <x:v>Citharus linguatula</x:v>
      </x:c>
      <x:c r="T102" s="32" t="n">
        <x:f>IF(O102="","",(1/'Metadata'!$B$5)^(O102-1))</x:f>
        <x:v>933.2543007969915</x:v>
      </x:c>
      <x:c r="U102" s="31" t="n">
        <x:f>IF(T102="","",I102*T102)</x:f>
        <x:v>16294.755356860574</x:v>
      </x:c>
    </x:row>
    <x:row r="103" ht="18" customHeight="1">
      <x:c r="A103" s="24" t="str">
        <x:v>EEZ_901</x:v>
      </x:c>
      <x:c r="B103" s="24" t="str">
        <x:v>Sicily (Italy)</x:v>
      </x:c>
      <x:c r="C103" s="24" t="str">
        <x:v>EEZ</x:v>
      </x:c>
      <x:c r="D103" s="30" t="n">
        <x:v>2019</x:v>
      </x:c>
      <x:c r="E103" s="24" t="str">
        <x:v>Spondyliosoma cantharus</x:v>
      </x:c>
      <x:c r="F103" s="24" t="str">
        <x:v>Black seabream</x:v>
      </x:c>
      <x:c r="G103" s="24" t="str">
        <x:v>Medium benthopelagics (30 - 89 cm)</x:v>
      </x:c>
      <x:c r="H103" s="24" t="str">
        <x:v>Perch-likes</x:v>
      </x:c>
      <x:c r="I103" s="31" t="n">
        <x:v>16.871389695</x:v>
      </x:c>
      <x:c r="J103" s="31" t="n">
        <x:v>16.871389695</x:v>
      </x:c>
      <x:c r="K103" s="31" t="n">
        <x:v>0</x:v>
      </x:c>
      <x:c r="L103" s="31" t="n">
        <x:v>15.689386643</x:v>
      </x:c>
      <x:c r="M103" s="31" t="n">
        <x:v>1.182003052</x:v>
      </x:c>
      <x:c r="N103" s="24" t="str">
        <x:v>spondyliosoma cantharus</x:v>
      </x:c>
      <x:c r="O103" s="32" t="n">
        <x:v>3.34</x:v>
      </x:c>
      <x:c r="P103" s="24" t="str">
        <x:v>exact_2020_supplement</x:v>
      </x:c>
      <x:c r="Q103" s="32" t="str">
        <x:v>2020 supplement MeanTL</x:v>
      </x:c>
      <x:c r="R103" s="24" t="str">
        <x:v>high</x:v>
      </x:c>
      <x:c r="S103" s="24" t="str">
        <x:v>Spondyliosoma cantharus</x:v>
      </x:c>
      <x:c r="T103" s="32" t="n">
        <x:f>IF(O103="","",(1/'Metadata'!$B$5)^(O103-1))</x:f>
        <x:v>218.77616239495518</x:v>
      </x:c>
      <x:c r="U103" s="31" t="n">
        <x:f>IF(T103="","",I103*T103)</x:f>
        <x:v>3691.0578917418934</x:v>
      </x:c>
    </x:row>
    <x:row r="104" ht="18" customHeight="1">
      <x:c r="A104" s="24" t="str">
        <x:v>EEZ_901</x:v>
      </x:c>
      <x:c r="B104" s="24" t="str">
        <x:v>Sicily (Italy)</x:v>
      </x:c>
      <x:c r="C104" s="24" t="str">
        <x:v>EEZ</x:v>
      </x:c>
      <x:c r="D104" s="30" t="n">
        <x:v>2019</x:v>
      </x:c>
      <x:c r="E104" s="24" t="str">
        <x:v>Spongia</x:v>
      </x:c>
      <x:c r="F104" s="24" t="str">
        <x:v>Bathing sponges</x:v>
      </x:c>
      <x:c r="G104" s="24" t="str">
        <x:v>Other demersal invertebrates</x:v>
      </x:c>
      <x:c r="H104" s="24" t="str">
        <x:v>Other fishes &amp; inverts</x:v>
      </x:c>
      <x:c r="I104" s="31" t="n">
        <x:v>15.625</x:v>
      </x:c>
      <x:c r="J104" s="31" t="n">
        <x:v>15.625</x:v>
      </x:c>
      <x:c r="K104" s="31" t="n">
        <x:v>0</x:v>
      </x:c>
      <x:c r="L104" s="31" t="n">
        <x:v>0</x:v>
      </x:c>
      <x:c r="M104" s="31" t="n">
        <x:v>15.625</x:v>
      </x:c>
      <x:c r="N104" s="24" t="str">
        <x:v>spongia</x:v>
      </x:c>
      <x:c r="O104" s="32" t="n">
        <x:v>2</x:v>
      </x:c>
      <x:c r="P104" s="24" t="str">
        <x:v>exact_sea_around_us</x:v>
      </x:c>
      <x:c r="Q104" s="32" t="str">
        <x:v>Sea Around Us exploited organisms</x:v>
      </x:c>
      <x:c r="R104" s="24" t="str">
        <x:v>high</x:v>
      </x:c>
      <x:c r="S104" s="24" t="str">
        <x:v>Spongia</x:v>
      </x:c>
      <x:c r="T104" s="32" t="n">
        <x:f>IF(O104="","",(1/'Metadata'!$B$5)^(O104-1))</x:f>
        <x:v>10</x:v>
      </x:c>
      <x:c r="U104" s="31" t="n">
        <x:f>IF(T104="","",I104*T104)</x:f>
        <x:v>156.25</x:v>
      </x:c>
    </x:row>
    <x:row r="105" ht="18" customHeight="1">
      <x:c r="A105" s="24" t="str">
        <x:v>EEZ_901</x:v>
      </x:c>
      <x:c r="B105" s="24" t="str">
        <x:v>Sicily (Italy)</x:v>
      </x:c>
      <x:c r="C105" s="24" t="str">
        <x:v>EEZ</x:v>
      </x:c>
      <x:c r="D105" s="30" t="n">
        <x:v>2019</x:v>
      </x:c>
      <x:c r="E105" s="24" t="str">
        <x:v>Trisopterus minutus</x:v>
      </x:c>
      <x:c r="F105" s="24" t="str">
        <x:v>Poor cod</x:v>
      </x:c>
      <x:c r="G105" s="24" t="str">
        <x:v>Medium benthopelagics (30 - 89 cm)</x:v>
      </x:c>
      <x:c r="H105" s="24" t="str">
        <x:v>Cod-likes</x:v>
      </x:c>
      <x:c r="I105" s="31" t="n">
        <x:v>15.451206198000001</x:v>
      </x:c>
      <x:c r="J105" s="31" t="n">
        <x:v>15.451206198000001</x:v>
      </x:c>
      <x:c r="K105" s="31" t="n">
        <x:v>0</x:v>
      </x:c>
      <x:c r="L105" s="31" t="n">
        <x:v>11.750222325000001</x:v>
      </x:c>
      <x:c r="M105" s="31" t="n">
        <x:v>3.7009838729999998</x:v>
      </x:c>
      <x:c r="N105" s="24" t="str">
        <x:v>trisopterus minutus</x:v>
      </x:c>
      <x:c r="O105" s="32" t="n">
        <x:v>3.73</x:v>
      </x:c>
      <x:c r="P105" s="24" t="str">
        <x:v>exact_2020_supplement</x:v>
      </x:c>
      <x:c r="Q105" s="32" t="str">
        <x:v>2020 supplement MeanTL</x:v>
      </x:c>
      <x:c r="R105" s="24" t="str">
        <x:v>high</x:v>
      </x:c>
      <x:c r="S105" s="24" t="str">
        <x:v>Trisopterus minutus</x:v>
      </x:c>
      <x:c r="T105" s="32" t="n">
        <x:f>IF(O105="","",(1/'Metadata'!$B$5)^(O105-1))</x:f>
        <x:v>537.0317963702527</x:v>
      </x:c>
      <x:c r="U105" s="31" t="n">
        <x:f>IF(T105="","",I105*T105)</x:f>
        <x:v>8297.789020599123</x:v>
      </x:c>
    </x:row>
    <x:row r="106" ht="18" customHeight="1">
      <x:c r="A106" s="24" t="str">
        <x:v>EEZ_901</x:v>
      </x:c>
      <x:c r="B106" s="24" t="str">
        <x:v>Sicily (Italy)</x:v>
      </x:c>
      <x:c r="C106" s="24" t="str">
        <x:v>EEZ</x:v>
      </x:c>
      <x:c r="D106" s="30" t="n">
        <x:v>2019</x:v>
      </x:c>
      <x:c r="E106" s="24" t="str">
        <x:v>Sciaena umbra</x:v>
      </x:c>
      <x:c r="F106" s="24" t="str">
        <x:v>Brown meagre</x:v>
      </x:c>
      <x:c r="G106" s="24" t="str">
        <x:v>Medium demersals (30 - 89 cm)</x:v>
      </x:c>
      <x:c r="H106" s="24" t="str">
        <x:v>Perch-likes</x:v>
      </x:c>
      <x:c r="I106" s="31" t="n">
        <x:v>14.92136897</x:v>
      </x:c>
      <x:c r="J106" s="31" t="n">
        <x:v>14.92136897</x:v>
      </x:c>
      <x:c r="K106" s="31" t="n">
        <x:v>0</x:v>
      </x:c>
      <x:c r="L106" s="31" t="n">
        <x:v>14.92136897</x:v>
      </x:c>
      <x:c r="M106" s="31" t="n">
        <x:v>0</x:v>
      </x:c>
      <x:c r="N106" s="24" t="str">
        <x:v>sciaena umbra</x:v>
      </x:c>
      <x:c r="O106" s="32" t="n">
        <x:v>3.75</x:v>
      </x:c>
      <x:c r="P106" s="24" t="str">
        <x:v>exact_2020_supplement</x:v>
      </x:c>
      <x:c r="Q106" s="32" t="str">
        <x:v>2020 supplement MeanTL</x:v>
      </x:c>
      <x:c r="R106" s="24" t="str">
        <x:v>high</x:v>
      </x:c>
      <x:c r="S106" s="24" t="str">
        <x:v>Sciaena umbra</x:v>
      </x:c>
      <x:c r="T106" s="32" t="n">
        <x:f>IF(O106="","",(1/'Metadata'!$B$5)^(O106-1))</x:f>
        <x:v>562.341325190349</x:v>
      </x:c>
      <x:c r="U106" s="31" t="n">
        <x:f>IF(T106="","",I106*T106)</x:f>
        <x:v>8390.902400243953</x:v>
      </x:c>
    </x:row>
    <x:row r="107" ht="18" customHeight="1">
      <x:c r="A107" s="24" t="str">
        <x:v>EEZ_901</x:v>
      </x:c>
      <x:c r="B107" s="24" t="str">
        <x:v>Sicily (Italy)</x:v>
      </x:c>
      <x:c r="C107" s="24" t="str">
        <x:v>EEZ</x:v>
      </x:c>
      <x:c r="D107" s="30" t="n">
        <x:v>2019</x:v>
      </x:c>
      <x:c r="E107" s="24" t="str">
        <x:v>Scomberesox saurus</x:v>
      </x:c>
      <x:c r="F107" s="24" t="str">
        <x:v>Atlantic saury</x:v>
      </x:c>
      <x:c r="G107" s="24" t="str">
        <x:v>Medium pelagics (30 - 89 cm)</x:v>
      </x:c>
      <x:c r="H107" s="24" t="str">
        <x:v>Other fishes &amp; inverts</x:v>
      </x:c>
      <x:c r="I107" s="31" t="n">
        <x:v>14.6394868265</x:v>
      </x:c>
      <x:c r="J107" s="31" t="n">
        <x:v>14.6394868265</x:v>
      </x:c>
      <x:c r="K107" s="31" t="n">
        <x:v>0</x:v>
      </x:c>
      <x:c r="L107" s="31" t="n">
        <x:v>11.8414542745</x:v>
      </x:c>
      <x:c r="M107" s="31" t="n">
        <x:v>2.798032552</x:v>
      </x:c>
      <x:c r="N107" s="24" t="str">
        <x:v>scomberesox saurus</x:v>
      </x:c>
      <x:c r="O107" s="32" t="n">
        <x:v>3.91</x:v>
      </x:c>
      <x:c r="P107" s="24" t="str">
        <x:v>exact_2020_supplement</x:v>
      </x:c>
      <x:c r="Q107" s="32" t="str">
        <x:v>2020 supplement MeanTL</x:v>
      </x:c>
      <x:c r="R107" s="24" t="str">
        <x:v>high</x:v>
      </x:c>
      <x:c r="S107" s="24" t="str">
        <x:v>Scomberesox saurus</x:v>
      </x:c>
      <x:c r="T107" s="32" t="n">
        <x:f>IF(O107="","",(1/'Metadata'!$B$5)^(O107-1))</x:f>
        <x:v>812.8305161640995</x:v>
      </x:c>
      <x:c r="U107" s="31" t="n">
        <x:f>IF(T107="","",I107*T107)</x:f>
        <x:v>11899.421633561531</x:v>
      </x:c>
    </x:row>
    <x:row r="108" ht="18" customHeight="1">
      <x:c r="A108" s="24" t="str">
        <x:v>EEZ_901</x:v>
      </x:c>
      <x:c r="B108" s="24" t="str">
        <x:v>Sicily (Italy)</x:v>
      </x:c>
      <x:c r="C108" s="24" t="str">
        <x:v>EEZ</x:v>
      </x:c>
      <x:c r="D108" s="30" t="n">
        <x:v>2019</x:v>
      </x:c>
      <x:c r="E108" s="24" t="str">
        <x:v>Brama brama</x:v>
      </x:c>
      <x:c r="F108" s="24" t="str">
        <x:v>Atlantic pomfret</x:v>
      </x:c>
      <x:c r="G108" s="24" t="str">
        <x:v>Medium bathypelagics (30 - 89 cm)</x:v>
      </x:c>
      <x:c r="H108" s="24" t="str">
        <x:v>Perch-likes</x:v>
      </x:c>
      <x:c r="I108" s="31" t="n">
        <x:v>13.9281939904</x:v>
      </x:c>
      <x:c r="J108" s="31" t="n">
        <x:v>13.9281939904</x:v>
      </x:c>
      <x:c r="K108" s="31" t="n">
        <x:v>0</x:v>
      </x:c>
      <x:c r="L108" s="31" t="n">
        <x:v>11.656625978400001</x:v>
      </x:c>
      <x:c r="M108" s="31" t="n">
        <x:v>2.271568012</x:v>
      </x:c>
      <x:c r="N108" s="24" t="str">
        <x:v>brama brama</x:v>
      </x:c>
      <x:c r="O108" s="32" t="n">
        <x:v>4.08</x:v>
      </x:c>
      <x:c r="P108" s="24" t="str">
        <x:v>exact_2020_supplement</x:v>
      </x:c>
      <x:c r="Q108" s="32" t="str">
        <x:v>2020 supplement MeanTL</x:v>
      </x:c>
      <x:c r="R108" s="24" t="str">
        <x:v>high</x:v>
      </x:c>
      <x:c r="S108" s="24" t="str">
        <x:v>Brama brama</x:v>
      </x:c>
      <x:c r="T108" s="32" t="n">
        <x:f>IF(O108="","",(1/'Metadata'!$B$5)^(O108-1))</x:f>
        <x:v>1202.2644346174131</x:v>
      </x:c>
      <x:c r="U108" s="31" t="n">
        <x:f>IF(T108="","",I108*T108)</x:f>
        <x:v>16745.372273109908</x:v>
      </x:c>
    </x:row>
    <x:row r="109" ht="18" customHeight="1">
      <x:c r="A109" s="24" t="str">
        <x:v>EEZ_901</x:v>
      </x:c>
      <x:c r="B109" s="24" t="str">
        <x:v>Sicily (Italy)</x:v>
      </x:c>
      <x:c r="C109" s="24" t="str">
        <x:v>EEZ</x:v>
      </x:c>
      <x:c r="D109" s="30" t="n">
        <x:v>2019</x:v>
      </x:c>
      <x:c r="E109" s="24" t="str">
        <x:v>Anguilla anguilla</x:v>
      </x:c>
      <x:c r="F109" s="24" t="str">
        <x:v>European eel</x:v>
      </x:c>
      <x:c r="G109" s="24" t="str">
        <x:v>Large demersals (&gt;=90 cm)</x:v>
      </x:c>
      <x:c r="H109" s="24" t="str">
        <x:v>Other fishes &amp; inverts</x:v>
      </x:c>
      <x:c r="I109" s="31" t="n">
        <x:v>13.789351576</x:v>
      </x:c>
      <x:c r="J109" s="31" t="n">
        <x:v>13.789351576</x:v>
      </x:c>
      <x:c r="K109" s="31" t="n">
        <x:v>0</x:v>
      </x:c>
      <x:c r="L109" s="31" t="n">
        <x:v>8.124432785</x:v>
      </x:c>
      <x:c r="M109" s="31" t="n">
        <x:v>5.664918791000001</x:v>
      </x:c>
      <x:c r="N109" s="24" t="str">
        <x:v>anguilla anguilla</x:v>
      </x:c>
      <x:c r="O109" s="32" t="n">
        <x:v>3.55</x:v>
      </x:c>
      <x:c r="P109" s="24" t="str">
        <x:v>exact_2020_supplement</x:v>
      </x:c>
      <x:c r="Q109" s="32" t="str">
        <x:v>2020 supplement MeanTL</x:v>
      </x:c>
      <x:c r="R109" s="24" t="str">
        <x:v>high</x:v>
      </x:c>
      <x:c r="S109" s="24" t="str">
        <x:v>Anguilla anguilla</x:v>
      </x:c>
      <x:c r="T109" s="32" t="n">
        <x:f>IF(O109="","",(1/'Metadata'!$B$5)^(O109-1))</x:f>
        <x:v>354.8133892335753</x:v>
      </x:c>
      <x:c r="U109" s="31" t="n">
        <x:f>IF(T109="","",I109*T109)</x:f>
        <x:v>4892.646568013904</x:v>
      </x:c>
    </x:row>
    <x:row r="110" ht="18" customHeight="1">
      <x:c r="A110" s="24" t="str">
        <x:v>EEZ_901</x:v>
      </x:c>
      <x:c r="B110" s="24" t="str">
        <x:v>Sicily (Italy)</x:v>
      </x:c>
      <x:c r="C110" s="24" t="str">
        <x:v>EEZ</x:v>
      </x:c>
      <x:c r="D110" s="30" t="n">
        <x:v>2019</x:v>
      </x:c>
      <x:c r="E110" s="24" t="str">
        <x:v>Rostroraja alba</x:v>
      </x:c>
      <x:c r="F110" s="24" t="str">
        <x:v>White skate</x:v>
      </x:c>
      <x:c r="G110" s="24" t="str">
        <x:v>Large rays (&gt;=90 cm)</x:v>
      </x:c>
      <x:c r="H110" s="24" t="str">
        <x:v>Sharks &amp; rays</x:v>
      </x:c>
      <x:c r="I110" s="31" t="n">
        <x:v>13.640481182</x:v>
      </x:c>
      <x:c r="J110" s="31" t="n">
        <x:v>13.640481182</x:v>
      </x:c>
      <x:c r="K110" s="31" t="n">
        <x:v>0</x:v>
      </x:c>
      <x:c r="L110" s="31" t="n">
        <x:v>10.975000713</x:v>
      </x:c>
      <x:c r="M110" s="31" t="n">
        <x:v>2.665480469</x:v>
      </x:c>
      <x:c r="N110" s="24" t="str">
        <x:v>rostroraja alba</x:v>
      </x:c>
      <x:c r="O110" s="32" t="n">
        <x:v>4.41</x:v>
      </x:c>
      <x:c r="P110" s="24" t="str">
        <x:v>exact_2020_supplement</x:v>
      </x:c>
      <x:c r="Q110" s="32" t="str">
        <x:v>2020 supplement MeanTL</x:v>
      </x:c>
      <x:c r="R110" s="24" t="str">
        <x:v>high</x:v>
      </x:c>
      <x:c r="S110" s="24" t="str">
        <x:v>Rostroraja alba</x:v>
      </x:c>
      <x:c r="T110" s="32" t="n">
        <x:f>IF(O110="","",(1/'Metadata'!$B$5)^(O110-1))</x:f>
        <x:v>2570.3957827688646</x:v>
      </x:c>
      <x:c r="U110" s="31" t="n">
        <x:f>IF(T110="","",I110*T110)</x:f>
        <x:v>35061.43530515086</x:v>
      </x:c>
    </x:row>
    <x:row r="111" ht="18" customHeight="1">
      <x:c r="A111" s="24" t="str">
        <x:v>EEZ_901</x:v>
      </x:c>
      <x:c r="B111" s="24" t="str">
        <x:v>Sicily (Italy)</x:v>
      </x:c>
      <x:c r="C111" s="24" t="str">
        <x:v>EEZ</x:v>
      </x:c>
      <x:c r="D111" s="30" t="n">
        <x:v>2019</x:v>
      </x:c>
      <x:c r="E111" s="24" t="str">
        <x:v>Chelon saliens</x:v>
      </x:c>
      <x:c r="F111" s="24" t="str">
        <x:v>Leaping mullet</x:v>
      </x:c>
      <x:c r="G111" s="24" t="str">
        <x:v>Medium demersals (30 - 89 cm)</x:v>
      </x:c>
      <x:c r="H111" s="24" t="str">
        <x:v>Perch-likes</x:v>
      </x:c>
      <x:c r="I111" s="31" t="n">
        <x:v>13.073248862</x:v>
      </x:c>
      <x:c r="J111" s="31" t="n">
        <x:v>13.073248862</x:v>
      </x:c>
      <x:c r="K111" s="31" t="n">
        <x:v>0</x:v>
      </x:c>
      <x:c r="L111" s="31" t="n">
        <x:v>13.073248862</x:v>
      </x:c>
      <x:c r="M111" s="31" t="n">
        <x:v>0</x:v>
      </x:c>
      <x:c r="N111" s="24" t="str">
        <x:v>chelon saliens</x:v>
      </x:c>
      <x:c r="O111" s="32" t="n">
        <x:v>2.9</x:v>
      </x:c>
      <x:c r="P111" s="24" t="str">
        <x:v>exact_sea_around_us</x:v>
      </x:c>
      <x:c r="Q111" s="32" t="str">
        <x:v>Sea Around Us exploited organisms</x:v>
      </x:c>
      <x:c r="R111" s="24" t="str">
        <x:v>high</x:v>
      </x:c>
      <x:c r="S111" s="24" t="str">
        <x:v>Chelon saliens</x:v>
      </x:c>
      <x:c r="T111" s="32" t="n">
        <x:f>IF(O111="","",(1/'Metadata'!$B$5)^(O111-1))</x:f>
        <x:v>79.43282347242814</x:v>
      </x:c>
      <x:c r="U111" s="31" t="n">
        <x:f>IF(T111="","",I111*T111)</x:f>
        <x:v>1038.445069066368</x:v>
      </x:c>
    </x:row>
    <x:row r="112" ht="18" customHeight="1">
      <x:c r="A112" s="24" t="str">
        <x:v>EEZ_901</x:v>
      </x:c>
      <x:c r="B112" s="24" t="str">
        <x:v>Sicily (Italy)</x:v>
      </x:c>
      <x:c r="C112" s="24" t="str">
        <x:v>EEZ</x:v>
      </x:c>
      <x:c r="D112" s="30" t="n">
        <x:v>2019</x:v>
      </x:c>
      <x:c r="E112" s="24" t="str">
        <x:v>Eutrigla gurnardus</x:v>
      </x:c>
      <x:c r="F112" s="24" t="str">
        <x:v>Grey gurnard</x:v>
      </x:c>
      <x:c r="G112" s="24" t="str">
        <x:v>Medium demersals (30 - 89 cm)</x:v>
      </x:c>
      <x:c r="H112" s="24" t="str">
        <x:v>Scorpionfishes</x:v>
      </x:c>
      <x:c r="I112" s="31" t="n">
        <x:v>12.995396993</x:v>
      </x:c>
      <x:c r="J112" s="31" t="n">
        <x:v>12.995396993</x:v>
      </x:c>
      <x:c r="K112" s="31" t="n">
        <x:v>0</x:v>
      </x:c>
      <x:c r="L112" s="31" t="n">
        <x:v>11.587232871</x:v>
      </x:c>
      <x:c r="M112" s="31" t="n">
        <x:v>1.408164122</x:v>
      </x:c>
      <x:c r="N112" s="24" t="str">
        <x:v>eutrigla gurnardus</x:v>
      </x:c>
      <x:c r="O112" s="32" t="n">
        <x:v>3.87</x:v>
      </x:c>
      <x:c r="P112" s="24" t="str">
        <x:v>exact_2020_supplement</x:v>
      </x:c>
      <x:c r="Q112" s="32" t="str">
        <x:v>2020 supplement MeanTL</x:v>
      </x:c>
      <x:c r="R112" s="24" t="str">
        <x:v>high</x:v>
      </x:c>
      <x:c r="S112" s="24" t="str">
        <x:v>Eutrigla gurnardus</x:v>
      </x:c>
      <x:c r="T112" s="32" t="n">
        <x:f>IF(O112="","",(1/'Metadata'!$B$5)^(O112-1))</x:f>
        <x:v>741.3102413009177</x:v>
      </x:c>
      <x:c r="U112" s="31" t="n">
        <x:f>IF(T112="","",I112*T112)</x:f>
        <x:v>9633.62088068205</x:v>
      </x:c>
    </x:row>
    <x:row r="113" ht="18" customHeight="1">
      <x:c r="A113" s="24" t="str">
        <x:v>EEZ_901</x:v>
      </x:c>
      <x:c r="B113" s="24" t="str">
        <x:v>Sicily (Italy)</x:v>
      </x:c>
      <x:c r="C113" s="24" t="str">
        <x:v>EEZ</x:v>
      </x:c>
      <x:c r="D113" s="30" t="n">
        <x:v>2019</x:v>
      </x:c>
      <x:c r="E113" s="24" t="str">
        <x:v>Argentina</x:v>
      </x:c>
      <x:c r="F113" s="24" t="str">
        <x:v>Argentines</x:v>
      </x:c>
      <x:c r="G113" s="24" t="str">
        <x:v>Medium bathydemersals (30 - 89 cm)</x:v>
      </x:c>
      <x:c r="H113" s="24" t="str">
        <x:v>Salmon, smelts, etc</x:v>
      </x:c>
      <x:c r="I113" s="31" t="n">
        <x:v>12.945473633</x:v>
      </x:c>
      <x:c r="J113" s="31" t="n">
        <x:v>12.945473633</x:v>
      </x:c>
      <x:c r="K113" s="31" t="n">
        <x:v>0</x:v>
      </x:c>
      <x:c r="L113" s="31" t="n">
        <x:v>10.746237484</x:v>
      </x:c>
      <x:c r="M113" s="31" t="n">
        <x:v>2.1992361490000003</x:v>
      </x:c>
      <x:c r="N113" s="24" t="str">
        <x:v>argentina</x:v>
      </x:c>
      <x:c r="O113" s="32" t="n">
        <x:v>3.35</x:v>
      </x:c>
      <x:c r="P113" s="24" t="str">
        <x:v>exact_sea_around_us</x:v>
      </x:c>
      <x:c r="Q113" s="32" t="str">
        <x:v>Sea Around Us exploited organisms</x:v>
      </x:c>
      <x:c r="R113" s="24" t="str">
        <x:v>high</x:v>
      </x:c>
      <x:c r="S113" s="24" t="str">
        <x:v>Argentina</x:v>
      </x:c>
      <x:c r="T113" s="32" t="n">
        <x:f>IF(O113="","",(1/'Metadata'!$B$5)^(O113-1))</x:f>
        <x:v>223.872113856834</x:v>
      </x:c>
      <x:c r="U113" s="31" t="n">
        <x:f>IF(T113="","",I113*T113)</x:f>
        <x:v>2898.1305470976185</x:v>
      </x:c>
    </x:row>
    <x:row r="114" ht="18" customHeight="1">
      <x:c r="A114" s="24" t="str">
        <x:v>EEZ_901</x:v>
      </x:c>
      <x:c r="B114" s="24" t="str">
        <x:v>Sicily (Italy)</x:v>
      </x:c>
      <x:c r="C114" s="24" t="str">
        <x:v>EEZ</x:v>
      </x:c>
      <x:c r="D114" s="30" t="n">
        <x:v>2019</x:v>
      </x:c>
      <x:c r="E114" s="24" t="str">
        <x:v>Micromesistius poutassou</x:v>
      </x:c>
      <x:c r="F114" s="24" t="str">
        <x:v>Blue whiting</x:v>
      </x:c>
      <x:c r="G114" s="24" t="str">
        <x:v>Medium benthopelagics (30 - 89 cm)</x:v>
      </x:c>
      <x:c r="H114" s="24" t="str">
        <x:v>Cod-likes</x:v>
      </x:c>
      <x:c r="I114" s="31" t="n">
        <x:v>12.0261540811</x:v>
      </x:c>
      <x:c r="J114" s="31" t="n">
        <x:v>12.0261540811</x:v>
      </x:c>
      <x:c r="K114" s="31" t="n">
        <x:v>0</x:v>
      </x:c>
      <x:c r="L114" s="31" t="n">
        <x:v>10.694724602099999</x:v>
      </x:c>
      <x:c r="M114" s="31" t="n">
        <x:v>1.331429479</x:v>
      </x:c>
      <x:c r="N114" s="24" t="str">
        <x:v>micromesistius poutassou</x:v>
      </x:c>
      <x:c r="O114" s="32" t="n">
        <x:v>4.13</x:v>
      </x:c>
      <x:c r="P114" s="24" t="str">
        <x:v>exact_2020_supplement</x:v>
      </x:c>
      <x:c r="Q114" s="32" t="str">
        <x:v>2020 supplement MeanTL</x:v>
      </x:c>
      <x:c r="R114" s="24" t="str">
        <x:v>high</x:v>
      </x:c>
      <x:c r="S114" s="24" t="str">
        <x:v>Micromesistius poutassou</x:v>
      </x:c>
      <x:c r="T114" s="32" t="n">
        <x:f>IF(O114="","",(1/'Metadata'!$B$5)^(O114-1))</x:f>
        <x:v>1348.9628825916532</x:v>
      </x:c>
      <x:c r="U114" s="31" t="n">
        <x:f>IF(T114="","",I114*T114)</x:f>
        <x:v>16222.835475732028</x:v>
      </x:c>
    </x:row>
    <x:row r="115" ht="18" customHeight="1">
      <x:c r="A115" s="24" t="str">
        <x:v>EEZ_901</x:v>
      </x:c>
      <x:c r="B115" s="24" t="str">
        <x:v>Sicily (Italy)</x:v>
      </x:c>
      <x:c r="C115" s="24" t="str">
        <x:v>EEZ</x:v>
      </x:c>
      <x:c r="D115" s="30" t="n">
        <x:v>2019</x:v>
      </x:c>
      <x:c r="E115" s="24" t="str">
        <x:v>Scyliorhinus canicula</x:v>
      </x:c>
      <x:c r="F115" s="24" t="str">
        <x:v>Small-spotted catshark</x:v>
      </x:c>
      <x:c r="G115" s="24" t="str">
        <x:v>Small to medium sharks (&lt;90 cm)</x:v>
      </x:c>
      <x:c r="H115" s="24" t="str">
        <x:v>Sharks &amp; rays</x:v>
      </x:c>
      <x:c r="I115" s="31" t="n">
        <x:v>11.887019879</x:v>
      </x:c>
      <x:c r="J115" s="31" t="n">
        <x:v>8.162111849</x:v>
      </x:c>
      <x:c r="K115" s="31" t="n">
        <x:v>3.72490803</x:v>
      </x:c>
      <x:c r="L115" s="31" t="n">
        <x:v>9.095277625</x:v>
      </x:c>
      <x:c r="M115" s="31" t="n">
        <x:v>2.7917422540000003</x:v>
      </x:c>
      <x:c r="N115" s="24" t="str">
        <x:v>scyliorhinus canicula</x:v>
      </x:c>
      <x:c r="O115" s="32" t="n">
        <x:v>3.82</x:v>
      </x:c>
      <x:c r="P115" s="24" t="str">
        <x:v>exact_2020_supplement</x:v>
      </x:c>
      <x:c r="Q115" s="32" t="str">
        <x:v>2020 supplement MeanTL</x:v>
      </x:c>
      <x:c r="R115" s="24" t="str">
        <x:v>high</x:v>
      </x:c>
      <x:c r="S115" s="24" t="str">
        <x:v>Scyliorhinus canicula</x:v>
      </x:c>
      <x:c r="T115" s="32" t="n">
        <x:f>IF(O115="","",(1/'Metadata'!$B$5)^(O115-1))</x:f>
        <x:v>660.6934480075957</x:v>
      </x:c>
      <x:c r="U115" s="31" t="n">
        <x:f>IF(T115="","",I115*T115)</x:f>
        <x:v>7853.676150391344</x:v>
      </x:c>
    </x:row>
    <x:row r="116" ht="18" customHeight="1">
      <x:c r="A116" s="24" t="str">
        <x:v>EEZ_901</x:v>
      </x:c>
      <x:c r="B116" s="24" t="str">
        <x:v>Sicily (Italy)</x:v>
      </x:c>
      <x:c r="C116" s="24" t="str">
        <x:v>EEZ</x:v>
      </x:c>
      <x:c r="D116" s="30" t="n">
        <x:v>2019</x:v>
      </x:c>
      <x:c r="E116" s="24" t="str">
        <x:v>Platichthys flesus</x:v>
      </x:c>
      <x:c r="F116" s="24" t="str">
        <x:v>European flounder</x:v>
      </x:c>
      <x:c r="G116" s="24" t="str">
        <x:v>Small to medium flatfishes (&lt;90 cm)</x:v>
      </x:c>
      <x:c r="H116" s="24" t="str">
        <x:v>Flatfishes</x:v>
      </x:c>
      <x:c r="I116" s="31" t="n">
        <x:v>11.384142924</x:v>
      </x:c>
      <x:c r="J116" s="31" t="n">
        <x:v>11.384142924</x:v>
      </x:c>
      <x:c r="K116" s="31" t="n">
        <x:v>0</x:v>
      </x:c>
      <x:c r="L116" s="31" t="n">
        <x:v>11.384142924</x:v>
      </x:c>
      <x:c r="M116" s="31" t="n">
        <x:v>0</x:v>
      </x:c>
      <x:c r="N116" s="24" t="str">
        <x:v>platichthys flesus</x:v>
      </x:c>
      <x:c r="O116" s="32" t="n">
        <x:v>3.32</x:v>
      </x:c>
      <x:c r="P116" s="24" t="str">
        <x:v>exact_2020_supplement</x:v>
      </x:c>
      <x:c r="Q116" s="32" t="str">
        <x:v>2020 supplement MeanTL</x:v>
      </x:c>
      <x:c r="R116" s="24" t="str">
        <x:v>high</x:v>
      </x:c>
      <x:c r="S116" s="24" t="str">
        <x:v>Platichthys flesus</x:v>
      </x:c>
      <x:c r="T116" s="32" t="n">
        <x:f>IF(O116="","",(1/'Metadata'!$B$5)^(O116-1))</x:f>
        <x:v>208.92961308540387</x:v>
      </x:c>
      <x:c r="U116" s="31" t="n">
        <x:f>IF(T116="","",I116*T116)</x:f>
        <x:v>2378.4845764202582</x:v>
      </x:c>
    </x:row>
    <x:row r="117" ht="18" customHeight="1">
      <x:c r="A117" s="24" t="str">
        <x:v>EEZ_901</x:v>
      </x:c>
      <x:c r="B117" s="24" t="str">
        <x:v>Sicily (Italy)</x:v>
      </x:c>
      <x:c r="C117" s="24" t="str">
        <x:v>EEZ</x:v>
      </x:c>
      <x:c r="D117" s="30" t="n">
        <x:v>2019</x:v>
      </x:c>
      <x:c r="E117" s="24" t="str">
        <x:v>Sparidae</x:v>
      </x:c>
      <x:c r="F117" s="24" t="str">
        <x:v>Porgies, seabreams</x:v>
      </x:c>
      <x:c r="G117" s="24" t="str">
        <x:v>Medium benthopelagics (30 - 89 cm)</x:v>
      </x:c>
      <x:c r="H117" s="24" t="str">
        <x:v>Perch-likes</x:v>
      </x:c>
      <x:c r="I117" s="31" t="n">
        <x:v>10.357342964</x:v>
      </x:c>
      <x:c r="J117" s="31" t="n">
        <x:v>10.357342964</x:v>
      </x:c>
      <x:c r="K117" s="31" t="n">
        <x:v>0</x:v>
      </x:c>
      <x:c r="L117" s="31" t="n">
        <x:v>10.357342964</x:v>
      </x:c>
      <x:c r="M117" s="31" t="n">
        <x:v>0</x:v>
      </x:c>
      <x:c r="N117" s="24" t="str">
        <x:v>sparidae</x:v>
      </x:c>
      <x:c r="O117" s="32" t="n">
        <x:v>3.31</x:v>
      </x:c>
      <x:c r="P117" s="24" t="str">
        <x:v>exact_sea_around_us</x:v>
      </x:c>
      <x:c r="Q117" s="32" t="str">
        <x:v>Sea Around Us exploited organisms</x:v>
      </x:c>
      <x:c r="R117" s="24" t="str">
        <x:v>high</x:v>
      </x:c>
      <x:c r="S117" s="24" t="str">
        <x:v>Sparidae</x:v>
      </x:c>
      <x:c r="T117" s="32" t="n">
        <x:f>IF(O117="","",(1/'Metadata'!$B$5)^(O117-1))</x:f>
        <x:v>204.17379446695296</x:v>
      </x:c>
      <x:c r="U117" s="31" t="n">
        <x:f>IF(T117="","",I117*T117)</x:f>
        <x:v>2114.6980135554777</x:v>
      </x:c>
    </x:row>
    <x:row r="118" ht="18" customHeight="1">
      <x:c r="A118" s="24" t="str">
        <x:v>EEZ_901</x:v>
      </x:c>
      <x:c r="B118" s="24" t="str">
        <x:v>Sicily (Italy)</x:v>
      </x:c>
      <x:c r="C118" s="24" t="str">
        <x:v>EEZ</x:v>
      </x:c>
      <x:c r="D118" s="30" t="n">
        <x:v>2019</x:v>
      </x:c>
      <x:c r="E118" s="24" t="str">
        <x:v>Rajiformes</x:v>
      </x:c>
      <x:c r="F118" s="24" t="str">
        <x:v>Skates and rays</x:v>
      </x:c>
      <x:c r="G118" s="24" t="str">
        <x:v>Large rays (&gt;=90 cm)</x:v>
      </x:c>
      <x:c r="H118" s="24" t="str">
        <x:v>Sharks &amp; rays</x:v>
      </x:c>
      <x:c r="I118" s="31" t="n">
        <x:v>9.16516016</x:v>
      </x:c>
      <x:c r="J118" s="31" t="n">
        <x:v>9.16516016</x:v>
      </x:c>
      <x:c r="K118" s="31" t="n">
        <x:v>0</x:v>
      </x:c>
      <x:c r="L118" s="31" t="n">
        <x:v>7.374200256999999</x:v>
      </x:c>
      <x:c r="M118" s="31" t="n">
        <x:v>1.790959903</x:v>
      </x:c>
      <x:c r="N118" s="24" t="str">
        <x:v>rajiformes</x:v>
      </x:c>
      <x:c r="O118" s="32" t="n">
        <x:v>3.61</x:v>
      </x:c>
      <x:c r="P118" s="24" t="str">
        <x:v>exact_sea_around_us</x:v>
      </x:c>
      <x:c r="Q118" s="32" t="str">
        <x:v>Sea Around Us exploited organisms</x:v>
      </x:c>
      <x:c r="R118" s="24" t="str">
        <x:v>high</x:v>
      </x:c>
      <x:c r="S118" s="24" t="str">
        <x:v>Rajiformes</x:v>
      </x:c>
      <x:c r="T118" s="32" t="n">
        <x:f>IF(O118="","",(1/'Metadata'!$B$5)^(O118-1))</x:f>
        <x:v>407.3802778041126</x:v>
      </x:c>
      <x:c r="U118" s="31" t="n">
        <x:f>IF(T118="","",I118*T118)</x:f>
        <x:v>3733.705492099985</x:v>
      </x:c>
    </x:row>
    <x:row r="119" ht="18" customHeight="1">
      <x:c r="A119" s="24" t="str">
        <x:v>EEZ_901</x:v>
      </x:c>
      <x:c r="B119" s="24" t="str">
        <x:v>Sicily (Italy)</x:v>
      </x:c>
      <x:c r="C119" s="24" t="str">
        <x:v>EEZ</x:v>
      </x:c>
      <x:c r="D119" s="30" t="n">
        <x:v>2019</x:v>
      </x:c>
      <x:c r="E119" s="24" t="str">
        <x:v>Scorpaena notata</x:v>
      </x:c>
      <x:c r="F119" s="24" t="str">
        <x:v>Small red scorpionfish</x:v>
      </x:c>
      <x:c r="G119" s="24" t="str">
        <x:v>Large reef assoc. fish (&gt;=90 cm)</x:v>
      </x:c>
      <x:c r="H119" s="24" t="str">
        <x:v>Scorpionfishes</x:v>
      </x:c>
      <x:c r="I119" s="31" t="n">
        <x:v>8.853378376</x:v>
      </x:c>
      <x:c r="J119" s="31" t="n">
        <x:v>8.853378376</x:v>
      </x:c>
      <x:c r="K119" s="31" t="n">
        <x:v>0</x:v>
      </x:c>
      <x:c r="L119" s="31" t="n">
        <x:v>7.758217868</x:v>
      </x:c>
      <x:c r="M119" s="31" t="n">
        <x:v>1.095160508</x:v>
      </x:c>
      <x:c r="N119" s="24" t="str">
        <x:v>scorpaena notata</x:v>
      </x:c>
      <x:c r="O119" s="32" t="n">
        <x:v>3.7</x:v>
      </x:c>
      <x:c r="P119" s="24" t="str">
        <x:v>exact_2020_supplement</x:v>
      </x:c>
      <x:c r="Q119" s="32" t="str">
        <x:v>2020 supplement MeanTL</x:v>
      </x:c>
      <x:c r="R119" s="24" t="str">
        <x:v>high</x:v>
      </x:c>
      <x:c r="S119" s="24" t="str">
        <x:v>Scorpaena notata</x:v>
      </x:c>
      <x:c r="T119" s="32" t="n">
        <x:f>IF(O119="","",(1/'Metadata'!$B$5)^(O119-1))</x:f>
        <x:v>501.18723362727246</x:v>
      </x:c>
      <x:c r="U119" s="31" t="n">
        <x:f>IF(T119="","",I119*T119)</x:f>
        <x:v>4437.200216522954</x:v>
      </x:c>
    </x:row>
    <x:row r="120" ht="18" customHeight="1">
      <x:c r="A120" s="24" t="str">
        <x:v>EEZ_901</x:v>
      </x:c>
      <x:c r="B120" s="24" t="str">
        <x:v>Sicily (Italy)</x:v>
      </x:c>
      <x:c r="C120" s="24" t="str">
        <x:v>EEZ</x:v>
      </x:c>
      <x:c r="D120" s="30" t="n">
        <x:v>2019</x:v>
      </x:c>
      <x:c r="E120" s="24" t="str">
        <x:v>Tetrapturus belone</x:v>
      </x:c>
      <x:c r="F120" s="24" t="str">
        <x:v>Mediterranean spearfish</x:v>
      </x:c>
      <x:c r="G120" s="24" t="str">
        <x:v>Large pelagics (&gt;=90 cm)</x:v>
      </x:c>
      <x:c r="H120" s="24" t="str">
        <x:v>Tuna &amp; billfishes</x:v>
      </x:c>
      <x:c r="I120" s="31" t="n">
        <x:v>8.8503043776</x:v>
      </x:c>
      <x:c r="J120" s="31" t="n">
        <x:v>8.8503043776</x:v>
      </x:c>
      <x:c r="K120" s="31" t="n">
        <x:v>0</x:v>
      </x:c>
      <x:c r="L120" s="31" t="n">
        <x:v>8.8503043776</x:v>
      </x:c>
      <x:c r="M120" s="31" t="n">
        <x:v>0</x:v>
      </x:c>
      <x:c r="N120" s="24" t="str">
        <x:v>tetrapturus belone</x:v>
      </x:c>
      <x:c r="O120" s="32" t="n">
        <x:v>4.5</x:v>
      </x:c>
      <x:c r="P120" s="24" t="str">
        <x:v>exact_2020_supplement</x:v>
      </x:c>
      <x:c r="Q120" s="32" t="str">
        <x:v>2020 supplement MeanTL</x:v>
      </x:c>
      <x:c r="R120" s="24" t="str">
        <x:v>high</x:v>
      </x:c>
      <x:c r="S120" s="24" t="str">
        <x:v>Tetrapturus belone</x:v>
      </x:c>
      <x:c r="T120" s="32" t="n">
        <x:f>IF(O120="","",(1/'Metadata'!$B$5)^(O120-1))</x:f>
        <x:v>3162.2776601683795</x:v>
      </x:c>
      <x:c r="U120" s="31" t="n">
        <x:f>IF(T120="","",I120*T120)</x:f>
        <x:v>27987.119818974897</x:v>
      </x:c>
    </x:row>
    <x:row r="121" ht="18" customHeight="1">
      <x:c r="A121" s="24" t="str">
        <x:v>EEZ_901</x:v>
      </x:c>
      <x:c r="B121" s="24" t="str">
        <x:v>Sicily (Italy)</x:v>
      </x:c>
      <x:c r="C121" s="24" t="str">
        <x:v>EEZ</x:v>
      </x:c>
      <x:c r="D121" s="30" t="n">
        <x:v>2019</x:v>
      </x:c>
      <x:c r="E121" s="24" t="str">
        <x:v>Katsuwonus pelamis</x:v>
      </x:c>
      <x:c r="F121" s="24" t="str">
        <x:v>Skipjack tuna</x:v>
      </x:c>
      <x:c r="G121" s="24" t="str">
        <x:v>Large pelagics (&gt;=90 cm)</x:v>
      </x:c>
      <x:c r="H121" s="24" t="str">
        <x:v>Tuna &amp; billfishes</x:v>
      </x:c>
      <x:c r="I121" s="31" t="n">
        <x:v>8.7935273303</x:v>
      </x:c>
      <x:c r="J121" s="31" t="n">
        <x:v>8.7935273303</x:v>
      </x:c>
      <x:c r="K121" s="31" t="n">
        <x:v>0</x:v>
      </x:c>
      <x:c r="L121" s="31" t="n">
        <x:v>8.165594885299999</x:v>
      </x:c>
      <x:c r="M121" s="31" t="n">
        <x:v>0.627932445</x:v>
      </x:c>
      <x:c r="N121" s="24" t="str">
        <x:v>katsuwonus pelamis</x:v>
      </x:c>
      <x:c r="O121" s="32" t="n">
        <x:v>4.43</x:v>
      </x:c>
      <x:c r="P121" s="24" t="str">
        <x:v>exact_2020_supplement</x:v>
      </x:c>
      <x:c r="Q121" s="32" t="str">
        <x:v>2020 supplement MeanTL</x:v>
      </x:c>
      <x:c r="R121" s="24" t="str">
        <x:v>high</x:v>
      </x:c>
      <x:c r="S121" s="24" t="str">
        <x:v>Katsuwonus pelamis</x:v>
      </x:c>
      <x:c r="T121" s="32" t="n">
        <x:f>IF(O121="","",(1/'Metadata'!$B$5)^(O121-1))</x:f>
        <x:v>2691.534803926914</x:v>
      </x:c>
      <x:c r="U121" s="31" t="n">
        <x:f>IF(T121="","",I121*T121)</x:f>
        <x:v>23668.08485878497</x:v>
      </x:c>
    </x:row>
    <x:row r="122" ht="18" customHeight="1">
      <x:c r="A122" s="24" t="str">
        <x:v>EEZ_901</x:v>
      </x:c>
      <x:c r="B122" s="24" t="str">
        <x:v>Sicily (Italy)</x:v>
      </x:c>
      <x:c r="C122" s="24" t="str">
        <x:v>EEZ</x:v>
      </x:c>
      <x:c r="D122" s="30" t="n">
        <x:v>2019</x:v>
      </x:c>
      <x:c r="E122" s="24" t="str">
        <x:v>Scorpaena</x:v>
      </x:c>
      <x:c r="F122" s="24" t="str">
        <x:v>Scorpionfishes</x:v>
      </x:c>
      <x:c r="G122" s="24" t="str">
        <x:v>Large reef assoc. fish (&gt;=90 cm)</x:v>
      </x:c>
      <x:c r="H122" s="24" t="str">
        <x:v>Scorpionfishes</x:v>
      </x:c>
      <x:c r="I122" s="31" t="n">
        <x:v>7.732771185</x:v>
      </x:c>
      <x:c r="J122" s="31" t="n">
        <x:v>7.732771185</x:v>
      </x:c>
      <x:c r="K122" s="31" t="n">
        <x:v>0</x:v>
      </x:c>
      <x:c r="L122" s="31" t="n">
        <x:v>6.425287924</x:v>
      </x:c>
      <x:c r="M122" s="31" t="n">
        <x:v>1.307483261</x:v>
      </x:c>
      <x:c r="N122" s="24" t="str">
        <x:v>scorpaena</x:v>
      </x:c>
      <x:c r="O122" s="32" t="n">
        <x:v>3.87</x:v>
      </x:c>
      <x:c r="P122" s="24" t="str">
        <x:v>exact_sea_around_us</x:v>
      </x:c>
      <x:c r="Q122" s="32" t="str">
        <x:v>Sea Around Us exploited organisms</x:v>
      </x:c>
      <x:c r="R122" s="24" t="str">
        <x:v>high</x:v>
      </x:c>
      <x:c r="S122" s="24" t="str">
        <x:v>Scorpaena</x:v>
      </x:c>
      <x:c r="T122" s="32" t="n">
        <x:f>IF(O122="","",(1/'Metadata'!$B$5)^(O122-1))</x:f>
        <x:v>741.3102413009177</x:v>
      </x:c>
      <x:c r="U122" s="31" t="n">
        <x:f>IF(T122="","",I122*T122)</x:f>
        <x:v>5732.382473077133</x:v>
      </x:c>
    </x:row>
    <x:row r="123" ht="18" customHeight="1">
      <x:c r="A123" s="24" t="str">
        <x:v>EEZ_901</x:v>
      </x:c>
      <x:c r="B123" s="24" t="str">
        <x:v>Sicily (Italy)</x:v>
      </x:c>
      <x:c r="C123" s="24" t="str">
        <x:v>EEZ</x:v>
      </x:c>
      <x:c r="D123" s="30" t="n">
        <x:v>2019</x:v>
      </x:c>
      <x:c r="E123" s="24" t="str">
        <x:v>Acanthocybium solandri</x:v>
      </x:c>
      <x:c r="F123" s="24" t="str">
        <x:v>Wahoo</x:v>
      </x:c>
      <x:c r="G123" s="24" t="str">
        <x:v>Large pelagics (&gt;=90 cm)</x:v>
      </x:c>
      <x:c r="H123" s="24" t="str">
        <x:v>Perch-likes</x:v>
      </x:c>
      <x:c r="I123" s="31" t="n">
        <x:v>7.4407801604</x:v>
      </x:c>
      <x:c r="J123" s="31" t="n">
        <x:v>7.4407801604</x:v>
      </x:c>
      <x:c r="K123" s="31" t="n">
        <x:v>0</x:v>
      </x:c>
      <x:c r="L123" s="31" t="n">
        <x:v>7.4407801604</x:v>
      </x:c>
      <x:c r="M123" s="31" t="n">
        <x:v>0</x:v>
      </x:c>
      <x:c r="N123" s="24" t="str">
        <x:v>acanthocybium solandri</x:v>
      </x:c>
      <x:c r="O123" s="32" t="n">
        <x:v>4.26</x:v>
      </x:c>
      <x:c r="P123" s="24" t="str">
        <x:v>exact_2020_supplement</x:v>
      </x:c>
      <x:c r="Q123" s="32" t="str">
        <x:v>2020 supplement MeanTL</x:v>
      </x:c>
      <x:c r="R123" s="24" t="str">
        <x:v>high</x:v>
      </x:c>
      <x:c r="S123" s="24" t="str">
        <x:v>Acanthocybium solandri</x:v>
      </x:c>
      <x:c r="T123" s="32" t="n">
        <x:f>IF(O123="","",(1/'Metadata'!$B$5)^(O123-1))</x:f>
        <x:v>1819.7008586099826</x:v>
      </x:c>
      <x:c r="U123" s="31" t="n">
        <x:f>IF(T123="","",I123*T123)</x:f>
        <x:v>13539.994046608004</x:v>
      </x:c>
    </x:row>
    <x:row r="124" ht="18" customHeight="1">
      <x:c r="A124" s="24" t="str">
        <x:v>EEZ_901</x:v>
      </x:c>
      <x:c r="B124" s="24" t="str">
        <x:v>Sicily (Italy)</x:v>
      </x:c>
      <x:c r="C124" s="24" t="str">
        <x:v>EEZ</x:v>
      </x:c>
      <x:c r="D124" s="30" t="n">
        <x:v>2019</x:v>
      </x:c>
      <x:c r="E124" s="24" t="str">
        <x:v>Orcynopsis unicolor</x:v>
      </x:c>
      <x:c r="F124" s="24" t="str">
        <x:v>Plain bonito</x:v>
      </x:c>
      <x:c r="G124" s="24" t="str">
        <x:v>Large pelagics (&gt;=90 cm)</x:v>
      </x:c>
      <x:c r="H124" s="24" t="str">
        <x:v>Tuna &amp; billfishes</x:v>
      </x:c>
      <x:c r="I124" s="31" t="n">
        <x:v>7.032487451</x:v>
      </x:c>
      <x:c r="J124" s="31" t="n">
        <x:v>7.032487451</x:v>
      </x:c>
      <x:c r="K124" s="31" t="n">
        <x:v>0</x:v>
      </x:c>
      <x:c r="L124" s="31" t="n">
        <x:v>7.032487451</x:v>
      </x:c>
      <x:c r="M124" s="31" t="n">
        <x:v>0</x:v>
      </x:c>
      <x:c r="N124" s="24" t="str">
        <x:v>orcynopsis unicolor</x:v>
      </x:c>
      <x:c r="O124" s="32" t="n">
        <x:v>4.5</x:v>
      </x:c>
      <x:c r="P124" s="24" t="str">
        <x:v>exact_2020_supplement</x:v>
      </x:c>
      <x:c r="Q124" s="32" t="str">
        <x:v>2020 supplement MeanTL</x:v>
      </x:c>
      <x:c r="R124" s="24" t="str">
        <x:v>high</x:v>
      </x:c>
      <x:c r="S124" s="24" t="str">
        <x:v>Orcynopsis unicolor</x:v>
      </x:c>
      <x:c r="T124" s="32" t="n">
        <x:f>IF(O124="","",(1/'Metadata'!$B$5)^(O124-1))</x:f>
        <x:v>3162.2776601683795</x:v>
      </x:c>
      <x:c r="U124" s="31" t="n">
        <x:f>IF(T124="","",I124*T124)</x:f>
        <x:v>22238.67796171177</x:v>
      </x:c>
    </x:row>
    <x:row r="125" ht="18" customHeight="1">
      <x:c r="A125" s="24" t="str">
        <x:v>EEZ_901</x:v>
      </x:c>
      <x:c r="B125" s="24" t="str">
        <x:v>Sicily (Italy)</x:v>
      </x:c>
      <x:c r="C125" s="24" t="str">
        <x:v>EEZ</x:v>
      </x:c>
      <x:c r="D125" s="30" t="n">
        <x:v>2019</x:v>
      </x:c>
      <x:c r="E125" s="24" t="str">
        <x:v>Trigla lyra</x:v>
      </x:c>
      <x:c r="F125" s="24" t="str">
        <x:v>Piper gurnard</x:v>
      </x:c>
      <x:c r="G125" s="24" t="str">
        <x:v>Medium bathydemersals (30 - 89 cm)</x:v>
      </x:c>
      <x:c r="H125" s="24" t="str">
        <x:v>Scorpionfishes</x:v>
      </x:c>
      <x:c r="I125" s="31" t="n">
        <x:v>6.526790913</x:v>
      </x:c>
      <x:c r="J125" s="31" t="n">
        <x:v>6.526790913</x:v>
      </x:c>
      <x:c r="K125" s="31" t="n">
        <x:v>0</x:v>
      </x:c>
      <x:c r="L125" s="31" t="n">
        <x:v>5.296708294999999</x:v>
      </x:c>
      <x:c r="M125" s="31" t="n">
        <x:v>1.230082618</x:v>
      </x:c>
      <x:c r="N125" s="24" t="str">
        <x:v>trigla lyra</x:v>
      </x:c>
      <x:c r="O125" s="32" t="n">
        <x:v>3.65</x:v>
      </x:c>
      <x:c r="P125" s="24" t="str">
        <x:v>exact_2020_supplement</x:v>
      </x:c>
      <x:c r="Q125" s="32" t="str">
        <x:v>2020 supplement MeanTL</x:v>
      </x:c>
      <x:c r="R125" s="24" t="str">
        <x:v>high</x:v>
      </x:c>
      <x:c r="S125" s="24" t="str">
        <x:v>Trigla lyra</x:v>
      </x:c>
      <x:c r="T125" s="32" t="n">
        <x:f>IF(O125="","",(1/'Metadata'!$B$5)^(O125-1))</x:f>
        <x:v>446.683592150963</x:v>
      </x:c>
      <x:c r="U125" s="31" t="n">
        <x:f>IF(T125="","",I125*T125)</x:f>
        <x:v>2915.410410237104</x:v>
      </x:c>
    </x:row>
    <x:row r="126" ht="18" customHeight="1">
      <x:c r="A126" s="24" t="str">
        <x:v>EEZ_901</x:v>
      </x:c>
      <x:c r="B126" s="24" t="str">
        <x:v>Sicily (Italy)</x:v>
      </x:c>
      <x:c r="C126" s="24" t="str">
        <x:v>EEZ</x:v>
      </x:c>
      <x:c r="D126" s="30" t="n">
        <x:v>2019</x:v>
      </x:c>
      <x:c r="E126" s="24" t="str">
        <x:v>Auxis rochei</x:v>
      </x:c>
      <x:c r="F126" s="24" t="str">
        <x:v>Bullet tuna</x:v>
      </x:c>
      <x:c r="G126" s="24" t="str">
        <x:v>Medium pelagics (30 - 89 cm)</x:v>
      </x:c>
      <x:c r="H126" s="24" t="str">
        <x:v>Tuna &amp; billfishes</x:v>
      </x:c>
      <x:c r="I126" s="31" t="n">
        <x:v>6.1321332898</x:v>
      </x:c>
      <x:c r="J126" s="31" t="n">
        <x:v>6.1321332898</x:v>
      </x:c>
      <x:c r="K126" s="31" t="n">
        <x:v>0</x:v>
      </x:c>
      <x:c r="L126" s="31" t="n">
        <x:v>6.1321332898</x:v>
      </x:c>
      <x:c r="M126" s="31" t="n">
        <x:v>0</x:v>
      </x:c>
      <x:c r="N126" s="24" t="str">
        <x:v>auxis rochei</x:v>
      </x:c>
      <x:c r="O126" s="32" t="n">
        <x:v>4.13</x:v>
      </x:c>
      <x:c r="P126" s="24" t="str">
        <x:v>exact_2020_supplement</x:v>
      </x:c>
      <x:c r="Q126" s="32" t="str">
        <x:v>2020 supplement MeanTL</x:v>
      </x:c>
      <x:c r="R126" s="24" t="str">
        <x:v>high</x:v>
      </x:c>
      <x:c r="S126" s="24" t="str">
        <x:v>Auxis rochei</x:v>
      </x:c>
      <x:c r="T126" s="32" t="n">
        <x:f>IF(O126="","",(1/'Metadata'!$B$5)^(O126-1))</x:f>
        <x:v>1348.9628825916532</x:v>
      </x:c>
      <x:c r="U126" s="31" t="n">
        <x:f>IF(T126="","",I126*T126)</x:f>
        <x:v>8272.020199044844</x:v>
      </x:c>
    </x:row>
    <x:row r="127" ht="18" customHeight="1">
      <x:c r="A127" s="24" t="str">
        <x:v>EEZ_901</x:v>
      </x:c>
      <x:c r="B127" s="24" t="str">
        <x:v>Sicily (Italy)</x:v>
      </x:c>
      <x:c r="C127" s="24" t="str">
        <x:v>EEZ</x:v>
      </x:c>
      <x:c r="D127" s="30" t="n">
        <x:v>2019</x:v>
      </x:c>
      <x:c r="E127" s="24" t="str">
        <x:v>Prionace glauca</x:v>
      </x:c>
      <x:c r="F127" s="24" t="str">
        <x:v>Blue shark</x:v>
      </x:c>
      <x:c r="G127" s="24" t="str">
        <x:v>Large sharks (&gt;=90 cm)</x:v>
      </x:c>
      <x:c r="H127" s="24" t="str">
        <x:v>Sharks &amp; rays</x:v>
      </x:c>
      <x:c r="I127" s="31" t="n">
        <x:v>6.0451521032999995</x:v>
      </x:c>
      <x:c r="J127" s="31" t="n">
        <x:v>6.0451521032999995</x:v>
      </x:c>
      <x:c r="K127" s="31" t="n">
        <x:v>0</x:v>
      </x:c>
      <x:c r="L127" s="31" t="n">
        <x:v>4.4944782073</x:v>
      </x:c>
      <x:c r="M127" s="31" t="n">
        <x:v>1.550673896</x:v>
      </x:c>
      <x:c r="N127" s="24" t="str">
        <x:v>prionace glauca</x:v>
      </x:c>
      <x:c r="O127" s="32" t="n">
        <x:v>4.35</x:v>
      </x:c>
      <x:c r="P127" s="24" t="str">
        <x:v>exact_2020_supplement</x:v>
      </x:c>
      <x:c r="Q127" s="32" t="str">
        <x:v>2020 supplement MeanTL</x:v>
      </x:c>
      <x:c r="R127" s="24" t="str">
        <x:v>high</x:v>
      </x:c>
      <x:c r="S127" s="24" t="str">
        <x:v>Prionace glauca</x:v>
      </x:c>
      <x:c r="T127" s="32" t="n">
        <x:f>IF(O127="","",(1/'Metadata'!$B$5)^(O127-1))</x:f>
        <x:v>2238.7211385683377</x:v>
      </x:c>
      <x:c r="U127" s="31" t="n">
        <x:f>IF(T127="","",I127*T127)</x:f>
        <x:v>13533.409799518557</x:v>
      </x:c>
    </x:row>
    <x:row r="128" ht="18" customHeight="1">
      <x:c r="A128" s="24" t="str">
        <x:v>EEZ_901</x:v>
      </x:c>
      <x:c r="B128" s="24" t="str">
        <x:v>Sicily (Italy)</x:v>
      </x:c>
      <x:c r="C128" s="24" t="str">
        <x:v>EEZ</x:v>
      </x:c>
      <x:c r="D128" s="30" t="n">
        <x:v>2019</x:v>
      </x:c>
      <x:c r="E128" s="24" t="str">
        <x:v>Lophius budegassa</x:v>
      </x:c>
      <x:c r="F128" s="24" t="str">
        <x:v>Blackbellied angler</x:v>
      </x:c>
      <x:c r="G128" s="24" t="str">
        <x:v>Large bathydemersals (&gt;=90 cm)</x:v>
      </x:c>
      <x:c r="H128" s="24" t="str">
        <x:v>Other fishes &amp; inverts</x:v>
      </x:c>
      <x:c r="I128" s="31" t="n">
        <x:v>5.807107865</x:v>
      </x:c>
      <x:c r="J128" s="31" t="n">
        <x:v>0</x:v>
      </x:c>
      <x:c r="K128" s="31" t="n">
        <x:v>5.807107865</x:v>
      </x:c>
      <x:c r="L128" s="31" t="n">
        <x:v>5.807107865</x:v>
      </x:c>
      <x:c r="M128" s="31" t="n">
        <x:v>0</x:v>
      </x:c>
      <x:c r="N128" s="24" t="str">
        <x:v>lophius budegassa</x:v>
      </x:c>
      <x:c r="O128" s="32" t="n">
        <x:v>4.41</x:v>
      </x:c>
      <x:c r="P128" s="24" t="str">
        <x:v>exact_2020_supplement</x:v>
      </x:c>
      <x:c r="Q128" s="32" t="str">
        <x:v>2020 supplement MeanTL</x:v>
      </x:c>
      <x:c r="R128" s="24" t="str">
        <x:v>high</x:v>
      </x:c>
      <x:c r="S128" s="24" t="str">
        <x:v>Lophius budegassa</x:v>
      </x:c>
      <x:c r="T128" s="32" t="n">
        <x:f>IF(O128="","",(1/'Metadata'!$B$5)^(O128-1))</x:f>
        <x:v>2570.3957827688646</x:v>
      </x:c>
      <x:c r="U128" s="31" t="n">
        <x:f>IF(T128="","",I128*T128)</x:f>
        <x:v>14926.565566279905</x:v>
      </x:c>
    </x:row>
    <x:row r="129" ht="18" customHeight="1">
      <x:c r="A129" s="24" t="str">
        <x:v>EEZ_901</x:v>
      </x:c>
      <x:c r="B129" s="24" t="str">
        <x:v>Sicily (Italy)</x:v>
      </x:c>
      <x:c r="C129" s="24" t="str">
        <x:v>EEZ</x:v>
      </x:c>
      <x:c r="D129" s="30" t="n">
        <x:v>2019</x:v>
      </x:c>
      <x:c r="E129" s="24" t="str">
        <x:v>Miscellaneous marine crustaceans</x:v>
      </x:c>
      <x:c r="F129" s="24" t="str">
        <x:v>Marine crabs, shrimps, lobsters nei</x:v>
      </x:c>
      <x:c r="G129" s="24" t="str">
        <x:v>Shrimps</x:v>
      </x:c>
      <x:c r="H129" s="24" t="str">
        <x:v>Crustaceans</x:v>
      </x:c>
      <x:c r="I129" s="31" t="n">
        <x:v>5.386225643</x:v>
      </x:c>
      <x:c r="J129" s="31" t="n">
        <x:v>5.386225643</x:v>
      </x:c>
      <x:c r="K129" s="31" t="n">
        <x:v>0</x:v>
      </x:c>
      <x:c r="L129" s="31" t="n">
        <x:v>4.557879454</x:v>
      </x:c>
      <x:c r="M129" s="31" t="n">
        <x:v>0.828346189</x:v>
      </x:c>
      <x:c r="N129" s="24" t="str">
        <x:v>miscellaneous marine crustaceans</x:v>
      </x:c>
      <x:c r="O129" s="32" t="n">
        <x:v>2.7</x:v>
      </x:c>
      <x:c r="P129" s="24" t="str">
        <x:v>exact_sea_around_us</x:v>
      </x:c>
      <x:c r="Q129" s="32" t="str">
        <x:v>Sea Around Us exploited organisms</x:v>
      </x:c>
      <x:c r="R129" s="24" t="str">
        <x:v>high</x:v>
      </x:c>
      <x:c r="S129" s="24" t="str">
        <x:v>Miscellaneous marine crustaceans</x:v>
      </x:c>
      <x:c r="T129" s="32" t="n">
        <x:f>IF(O129="","",(1/'Metadata'!$B$5)^(O129-1))</x:f>
        <x:v>50.11872336272725</x:v>
      </x:c>
      <x:c r="U129" s="31" t="n">
        <x:f>IF(T129="","",I129*T129)</x:f>
        <x:v>269.95075297074476</x:v>
      </x:c>
    </x:row>
    <x:row r="130" ht="18" customHeight="1">
      <x:c r="A130" s="24" t="str">
        <x:v>EEZ_901</x:v>
      </x:c>
      <x:c r="B130" s="24" t="str">
        <x:v>Sicily (Italy)</x:v>
      </x:c>
      <x:c r="C130" s="24" t="str">
        <x:v>EEZ</x:v>
      </x:c>
      <x:c r="D130" s="30" t="n">
        <x:v>2019</x:v>
      </x:c>
      <x:c r="E130" s="24" t="str">
        <x:v>Chelidonichthys cuculus</x:v>
      </x:c>
      <x:c r="F130" s="24" t="str">
        <x:v>Red gurnard</x:v>
      </x:c>
      <x:c r="G130" s="24" t="str">
        <x:v>Medium demersals (30 - 89 cm)</x:v>
      </x:c>
      <x:c r="H130" s="24" t="str">
        <x:v>Scorpionfishes</x:v>
      </x:c>
      <x:c r="I130" s="31" t="n">
        <x:v>5.245366865</x:v>
      </x:c>
      <x:c r="J130" s="31" t="n">
        <x:v>5.245366865</x:v>
      </x:c>
      <x:c r="K130" s="31" t="n">
        <x:v>0</x:v>
      </x:c>
      <x:c r="L130" s="31" t="n">
        <x:v>0</x:v>
      </x:c>
      <x:c r="M130" s="31" t="n">
        <x:v>5.245366865</x:v>
      </x:c>
      <x:c r="N130" s="24" t="str">
        <x:v>chelidonichthys cuculus</x:v>
      </x:c>
      <x:c r="O130" s="32" t="n">
        <x:v>3.81</x:v>
      </x:c>
      <x:c r="P130" s="24" t="str">
        <x:v>exact_2020_supplement</x:v>
      </x:c>
      <x:c r="Q130" s="32" t="str">
        <x:v>2020 supplement MeanTL</x:v>
      </x:c>
      <x:c r="R130" s="24" t="str">
        <x:v>high</x:v>
      </x:c>
      <x:c r="S130" s="24" t="str">
        <x:v>Chelidonichthys cuculus</x:v>
      </x:c>
      <x:c r="T130" s="32" t="n">
        <x:f>IF(O130="","",(1/'Metadata'!$B$5)^(O130-1))</x:f>
        <x:v>645.6542290346556</x:v>
      </x:c>
      <x:c r="U130" s="31" t="n">
        <x:f>IF(T130="","",I130*T130)</x:f>
        <x:v>3386.693299225504</x:v>
      </x:c>
    </x:row>
    <x:row r="131" ht="18" customHeight="1">
      <x:c r="A131" s="24" t="str">
        <x:v>EEZ_901</x:v>
      </x:c>
      <x:c r="B131" s="24" t="str">
        <x:v>Sicily (Italy)</x:v>
      </x:c>
      <x:c r="C131" s="24" t="str">
        <x:v>EEZ</x:v>
      </x:c>
      <x:c r="D131" s="30" t="n">
        <x:v>2019</x:v>
      </x:c>
      <x:c r="E131" s="24" t="str">
        <x:v>Squalidae</x:v>
      </x:c>
      <x:c r="F131" s="24" t="str">
        <x:v>Dogfish sharks</x:v>
      </x:c>
      <x:c r="G131" s="24" t="str">
        <x:v>Large sharks (&gt;=90 cm)</x:v>
      </x:c>
      <x:c r="H131" s="24" t="str">
        <x:v>Sharks &amp; rays</x:v>
      </x:c>
      <x:c r="I131" s="31" t="n">
        <x:v>4.621026929</x:v>
      </x:c>
      <x:c r="J131" s="31" t="n">
        <x:v>4.621026929</x:v>
      </x:c>
      <x:c r="K131" s="31" t="n">
        <x:v>0</x:v>
      </x:c>
      <x:c r="L131" s="31" t="n">
        <x:v>3.435528795</x:v>
      </x:c>
      <x:c r="M131" s="31" t="n">
        <x:v>1.185498134</x:v>
      </x:c>
      <x:c r="N131" s="24" t="str">
        <x:v>squalidae</x:v>
      </x:c>
      <x:c r="O131" s="32" t="n">
        <x:v>4.23</x:v>
      </x:c>
      <x:c r="P131" s="24" t="str">
        <x:v>exact_sea_around_us</x:v>
      </x:c>
      <x:c r="Q131" s="32" t="str">
        <x:v>Sea Around Us exploited organisms</x:v>
      </x:c>
      <x:c r="R131" s="24" t="str">
        <x:v>high</x:v>
      </x:c>
      <x:c r="S131" s="24" t="str">
        <x:v>Squalidae</x:v>
      </x:c>
      <x:c r="T131" s="32" t="n">
        <x:f>IF(O131="","",(1/'Metadata'!$B$5)^(O131-1))</x:f>
        <x:v>1698.243652461746</x:v>
      </x:c>
      <x:c r="U131" s="31" t="n">
        <x:f>IF(T131="","",I131*T131)</x:f>
        <x:v>7847.6296500290455</x:v>
      </x:c>
    </x:row>
    <x:row r="132" ht="18" customHeight="1">
      <x:c r="A132" s="24" t="str">
        <x:v>EEZ_901</x:v>
      </x:c>
      <x:c r="B132" s="24" t="str">
        <x:v>Sicily (Italy)</x:v>
      </x:c>
      <x:c r="C132" s="24" t="str">
        <x:v>EEZ</x:v>
      </x:c>
      <x:c r="D132" s="30" t="n">
        <x:v>2019</x:v>
      </x:c>
      <x:c r="E132" s="24" t="str">
        <x:v>Homarus gammarus</x:v>
      </x:c>
      <x:c r="F132" s="24" t="str">
        <x:v>European lobster</x:v>
      </x:c>
      <x:c r="G132" s="24" t="str">
        <x:v>Lobsters, crabs</x:v>
      </x:c>
      <x:c r="H132" s="24" t="str">
        <x:v>Crustaceans</x:v>
      </x:c>
      <x:c r="I132" s="31" t="n">
        <x:v>4.612687369</x:v>
      </x:c>
      <x:c r="J132" s="31" t="n">
        <x:v>4.612687369</x:v>
      </x:c>
      <x:c r="K132" s="31" t="n">
        <x:v>0</x:v>
      </x:c>
      <x:c r="L132" s="31" t="n">
        <x:v>3.641783267</x:v>
      </x:c>
      <x:c r="M132" s="31" t="n">
        <x:v>0.9709041019999999</x:v>
      </x:c>
      <x:c r="N132" s="24" t="str">
        <x:v>homarus gammarus</x:v>
      </x:c>
      <x:c r="O132" s="32" t="n">
        <x:v>3.7</x:v>
      </x:c>
      <x:c r="P132" s="24" t="str">
        <x:v>exact_2020_supplement</x:v>
      </x:c>
      <x:c r="Q132" s="32" t="str">
        <x:v>2020 supplement MeanTL</x:v>
      </x:c>
      <x:c r="R132" s="24" t="str">
        <x:v>high</x:v>
      </x:c>
      <x:c r="S132" s="24" t="str">
        <x:v>Homarus gammarus</x:v>
      </x:c>
      <x:c r="T132" s="32" t="n">
        <x:f>IF(O132="","",(1/'Metadata'!$B$5)^(O132-1))</x:f>
        <x:v>501.18723362727246</x:v>
      </x:c>
      <x:c r="U132" s="31" t="n">
        <x:f>IF(T132="","",I132*T132)</x:f>
        <x:v>2311.8200220565714</x:v>
      </x:c>
    </x:row>
    <x:row r="133" ht="18" customHeight="1">
      <x:c r="A133" s="24" t="str">
        <x:v>EEZ_901</x:v>
      </x:c>
      <x:c r="B133" s="24" t="str">
        <x:v>Sicily (Italy)</x:v>
      </x:c>
      <x:c r="C133" s="24" t="str">
        <x:v>EEZ</x:v>
      </x:c>
      <x:c r="D133" s="30" t="n">
        <x:v>2019</x:v>
      </x:c>
      <x:c r="E133" s="24" t="str">
        <x:v>Raja montagui</x:v>
      </x:c>
      <x:c r="F133" s="24" t="str">
        <x:v>Spotted ray</x:v>
      </x:c>
      <x:c r="G133" s="24" t="str">
        <x:v>Small to medium rays (&lt;90 cm)</x:v>
      </x:c>
      <x:c r="H133" s="24" t="str">
        <x:v>Sharks &amp; rays</x:v>
      </x:c>
      <x:c r="I133" s="31" t="n">
        <x:v>4.223470496</x:v>
      </x:c>
      <x:c r="J133" s="31" t="n">
        <x:v>4.223470496</x:v>
      </x:c>
      <x:c r="K133" s="31" t="n">
        <x:v>0</x:v>
      </x:c>
      <x:c r="L133" s="31" t="n">
        <x:v>3.398163946</x:v>
      </x:c>
      <x:c r="M133" s="31" t="n">
        <x:v>0.8253065500000001</x:v>
      </x:c>
      <x:c r="N133" s="24" t="str">
        <x:v>raja montagui</x:v>
      </x:c>
      <x:c r="O133" s="32" t="n">
        <x:v>3.88</x:v>
      </x:c>
      <x:c r="P133" s="24" t="str">
        <x:v>exact_2020_supplement</x:v>
      </x:c>
      <x:c r="Q133" s="32" t="str">
        <x:v>2020 supplement MeanTL</x:v>
      </x:c>
      <x:c r="R133" s="24" t="str">
        <x:v>high</x:v>
      </x:c>
      <x:c r="S133" s="24" t="str">
        <x:v>Raja montagui</x:v>
      </x:c>
      <x:c r="T133" s="32" t="n">
        <x:f>IF(O133="","",(1/'Metadata'!$B$5)^(O133-1))</x:f>
        <x:v>758.5775750291835</x:v>
      </x:c>
      <x:c r="U133" s="31" t="n">
        <x:f>IF(T133="","",I133*T133)</x:f>
        <x:v>3203.830007062983</x:v>
      </x:c>
    </x:row>
    <x:row r="134" ht="18" customHeight="1">
      <x:c r="A134" s="24" t="str">
        <x:v>EEZ_901</x:v>
      </x:c>
      <x:c r="B134" s="24" t="str">
        <x:v>Sicily (Italy)</x:v>
      </x:c>
      <x:c r="C134" s="24" t="str">
        <x:v>EEZ</x:v>
      </x:c>
      <x:c r="D134" s="30" t="n">
        <x:v>2019</x:v>
      </x:c>
      <x:c r="E134" s="24" t="str">
        <x:v>Gymnothorax unicolor</x:v>
      </x:c>
      <x:c r="F134" s="24" t="str">
        <x:v>Brown moray</x:v>
      </x:c>
      <x:c r="G134" s="24" t="str">
        <x:v>Medium demersals (30 - 89 cm)</x:v>
      </x:c>
      <x:c r="H134" s="24" t="str">
        <x:v>Other fishes &amp; inverts</x:v>
      </x:c>
      <x:c r="I134" s="31" t="n">
        <x:v>3.850166092</x:v>
      </x:c>
      <x:c r="J134" s="31" t="n">
        <x:v>3.850166092</x:v>
      </x:c>
      <x:c r="K134" s="31" t="n">
        <x:v>0</x:v>
      </x:c>
      <x:c r="L134" s="31" t="n">
        <x:v>3.2203820270000003</x:v>
      </x:c>
      <x:c r="M134" s="31" t="n">
        <x:v>0.6297840650000001</x:v>
      </x:c>
      <x:c r="N134" s="24" t="str">
        <x:v>gymnothorax unicolor</x:v>
      </x:c>
      <x:c r="O134" s="32" t="n">
        <x:v>3.44</x:v>
      </x:c>
      <x:c r="P134" s="24" t="str">
        <x:v>exact_2020_supplement</x:v>
      </x:c>
      <x:c r="Q134" s="32" t="str">
        <x:v>2020 supplement MeanTL</x:v>
      </x:c>
      <x:c r="R134" s="24" t="str">
        <x:v>high</x:v>
      </x:c>
      <x:c r="S134" s="24" t="str">
        <x:v>Gymnothorax unicolor</x:v>
      </x:c>
      <x:c r="T134" s="32" t="n">
        <x:f>IF(O134="","",(1/'Metadata'!$B$5)^(O134-1))</x:f>
        <x:v>275.4228703338166</x:v>
      </x:c>
      <x:c r="U134" s="31" t="n">
        <x:f>IF(T134="","",I134*T134)</x:f>
        <x:v>1060.4237963205733</x:v>
      </x:c>
    </x:row>
    <x:row r="135" ht="18" customHeight="1">
      <x:c r="A135" s="24" t="str">
        <x:v>EEZ_901</x:v>
      </x:c>
      <x:c r="B135" s="24" t="str">
        <x:v>Sicily (Italy)</x:v>
      </x:c>
      <x:c r="C135" s="24" t="str">
        <x:v>EEZ</x:v>
      </x:c>
      <x:c r="D135" s="30" t="n">
        <x:v>2019</x:v>
      </x:c>
      <x:c r="E135" s="24" t="str">
        <x:v>Gastropoda</x:v>
      </x:c>
      <x:c r="F135" s="24" t="str">
        <x:v>Sea snails</x:v>
      </x:c>
      <x:c r="G135" s="24" t="str">
        <x:v>Other demersal invertebrates</x:v>
      </x:c>
      <x:c r="H135" s="24" t="str">
        <x:v>Molluscs</x:v>
      </x:c>
      <x:c r="I135" s="31" t="n">
        <x:v>3.7217630030000004</x:v>
      </x:c>
      <x:c r="J135" s="31" t="n">
        <x:v>3.7217630030000004</x:v>
      </x:c>
      <x:c r="K135" s="31" t="n">
        <x:v>0</x:v>
      </x:c>
      <x:c r="L135" s="31" t="n">
        <x:v>0</x:v>
      </x:c>
      <x:c r="M135" s="31" t="n">
        <x:v>3.7217630030000004</x:v>
      </x:c>
      <x:c r="N135" s="24" t="str">
        <x:v>gastropoda</x:v>
      </x:c>
      <x:c r="O135" s="32" t="n">
        <x:v>3.06</x:v>
      </x:c>
      <x:c r="P135" s="24" t="str">
        <x:v>exact_sea_around_us</x:v>
      </x:c>
      <x:c r="Q135" s="32" t="str">
        <x:v>Sea Around Us exploited organisms</x:v>
      </x:c>
      <x:c r="R135" s="24" t="str">
        <x:v>high</x:v>
      </x:c>
      <x:c r="S135" s="24" t="str">
        <x:v>Gastropoda</x:v>
      </x:c>
      <x:c r="T135" s="32" t="n">
        <x:f>IF(O135="","",(1/'Metadata'!$B$5)^(O135-1))</x:f>
        <x:v>114.81536214968828</x:v>
      </x:c>
      <x:c r="U135" s="31" t="n">
        <x:f>IF(T135="","",I135*T135)</x:f>
        <x:v>427.31556702475643</x:v>
      </x:c>
    </x:row>
    <x:row r="136" ht="18" customHeight="1">
      <x:c r="A136" s="24" t="str">
        <x:v>EEZ_901</x:v>
      </x:c>
      <x:c r="B136" s="24" t="str">
        <x:v>Sicily (Italy)</x:v>
      </x:c>
      <x:c r="C136" s="24" t="str">
        <x:v>EEZ</x:v>
      </x:c>
      <x:c r="D136" s="30" t="n">
        <x:v>2019</x:v>
      </x:c>
      <x:c r="E136" s="24" t="str">
        <x:v>Phycis blennoides</x:v>
      </x:c>
      <x:c r="F136" s="24" t="str">
        <x:v>Greater forkbeard</x:v>
      </x:c>
      <x:c r="G136" s="24" t="str">
        <x:v>Large benthopelagics (&gt;=90 cm)</x:v>
      </x:c>
      <x:c r="H136" s="24" t="str">
        <x:v>Cod-likes</x:v>
      </x:c>
      <x:c r="I136" s="31" t="n">
        <x:v>3.322414679</x:v>
      </x:c>
      <x:c r="J136" s="31" t="n">
        <x:v>3.322414679</x:v>
      </x:c>
      <x:c r="K136" s="31" t="n">
        <x:v>0</x:v>
      </x:c>
      <x:c r="L136" s="31" t="n">
        <x:v>0</x:v>
      </x:c>
      <x:c r="M136" s="31" t="n">
        <x:v>3.322414679</x:v>
      </x:c>
      <x:c r="N136" s="24" t="str">
        <x:v>phycis blennoides</x:v>
      </x:c>
      <x:c r="O136" s="32" t="n">
        <x:v>3.87</x:v>
      </x:c>
      <x:c r="P136" s="24" t="str">
        <x:v>exact_2020_supplement</x:v>
      </x:c>
      <x:c r="Q136" s="32" t="str">
        <x:v>2020 supplement MeanTL</x:v>
      </x:c>
      <x:c r="R136" s="24" t="str">
        <x:v>high</x:v>
      </x:c>
      <x:c r="S136" s="24" t="str">
        <x:v>Phycis blennoides</x:v>
      </x:c>
      <x:c r="T136" s="32" t="n">
        <x:f>IF(O136="","",(1/'Metadata'!$B$5)^(O136-1))</x:f>
        <x:v>741.3102413009177</x:v>
      </x:c>
      <x:c r="U136" s="31" t="n">
        <x:f>IF(T136="","",I136*T136)</x:f>
        <x:v>2462.940027391201</x:v>
      </x:c>
    </x:row>
    <x:row r="137" ht="18" customHeight="1">
      <x:c r="A137" s="24" t="str">
        <x:v>EEZ_901</x:v>
      </x:c>
      <x:c r="B137" s="24" t="str">
        <x:v>Sicily (Italy)</x:v>
      </x:c>
      <x:c r="C137" s="24" t="str">
        <x:v>EEZ</x:v>
      </x:c>
      <x:c r="D137" s="30" t="n">
        <x:v>2019</x:v>
      </x:c>
      <x:c r="E137" s="24" t="str">
        <x:v>Alloteuthis</x:v>
      </x:c>
      <x:c r="F137" s="24" t="str">
        <x:v>Atlantic common squids</x:v>
      </x:c>
      <x:c r="G137" s="24" t="str">
        <x:v>Cephalopods</x:v>
      </x:c>
      <x:c r="H137" s="24" t="str">
        <x:v>Other fishes &amp; inverts</x:v>
      </x:c>
      <x:c r="I137" s="31" t="n">
        <x:v>3.317771921</x:v>
      </x:c>
      <x:c r="J137" s="31" t="n">
        <x:v>3.317771921</x:v>
      </x:c>
      <x:c r="K137" s="31" t="n">
        <x:v>0</x:v>
      </x:c>
      <x:c r="L137" s="31" t="n">
        <x:v>0</x:v>
      </x:c>
      <x:c r="M137" s="31" t="n">
        <x:v>3.317771921</x:v>
      </x:c>
      <x:c r="N137" s="24" t="str">
        <x:v>alloteuthis</x:v>
      </x:c>
      <x:c r="O137" s="32" t="n">
        <x:v>3.98</x:v>
      </x:c>
      <x:c r="P137" s="24" t="str">
        <x:v>exact_sea_around_us</x:v>
      </x:c>
      <x:c r="Q137" s="32" t="str">
        <x:v>Sea Around Us exploited organisms</x:v>
      </x:c>
      <x:c r="R137" s="24" t="str">
        <x:v>high</x:v>
      </x:c>
      <x:c r="S137" s="24" t="str">
        <x:v>Alloteuthis</x:v>
      </x:c>
      <x:c r="T137" s="32" t="n">
        <x:f>IF(O137="","",(1/'Metadata'!$B$5)^(O137-1))</x:f>
        <x:v>954.992586021436</x:v>
      </x:c>
      <x:c r="U137" s="31" t="n">
        <x:f>IF(T137="","",I137*T137)</x:f>
        <x:v>3168.4475866650973</x:v>
      </x:c>
    </x:row>
    <x:row r="138" ht="18" customHeight="1">
      <x:c r="A138" s="24" t="str">
        <x:v>EEZ_901</x:v>
      </x:c>
      <x:c r="B138" s="24" t="str">
        <x:v>Sicily (Italy)</x:v>
      </x:c>
      <x:c r="C138" s="24" t="str">
        <x:v>EEZ</x:v>
      </x:c>
      <x:c r="D138" s="30" t="n">
        <x:v>2019</x:v>
      </x:c>
      <x:c r="E138" s="24" t="str">
        <x:v>Ommastrephidae</x:v>
      </x:c>
      <x:c r="F138" s="24" t="str">
        <x:v>Arrow squids</x:v>
      </x:c>
      <x:c r="G138" s="24" t="str">
        <x:v>Cephalopods</x:v>
      </x:c>
      <x:c r="H138" s="24" t="str">
        <x:v>Other fishes &amp; inverts</x:v>
      </x:c>
      <x:c r="I138" s="31" t="n">
        <x:v>2.764984119</x:v>
      </x:c>
      <x:c r="J138" s="31" t="n">
        <x:v>2.764984119</x:v>
      </x:c>
      <x:c r="K138" s="31" t="n">
        <x:v>0</x:v>
      </x:c>
      <x:c r="L138" s="31" t="n">
        <x:v>2.764984119</x:v>
      </x:c>
      <x:c r="M138" s="31" t="n">
        <x:v>0</x:v>
      </x:c>
      <x:c r="N138" s="24" t="str">
        <x:v>ommastrephidae</x:v>
      </x:c>
      <x:c r="O138" s="32" t="n">
        <x:v>4.09</x:v>
      </x:c>
      <x:c r="P138" s="24" t="str">
        <x:v>exact_sea_around_us</x:v>
      </x:c>
      <x:c r="Q138" s="32" t="str">
        <x:v>Sea Around Us exploited organisms</x:v>
      </x:c>
      <x:c r="R138" s="24" t="str">
        <x:v>high</x:v>
      </x:c>
      <x:c r="S138" s="24" t="str">
        <x:v>Ommastrephidae</x:v>
      </x:c>
      <x:c r="T138" s="32" t="n">
        <x:f>IF(O138="","",(1/'Metadata'!$B$5)^(O138-1))</x:f>
        <x:v>1230.268770812381</x:v>
      </x:c>
      <x:c r="U138" s="31" t="n">
        <x:f>IF(T138="","",I138*T138)</x:f>
        <x:v>3401.6736133978843</x:v>
      </x:c>
    </x:row>
    <x:row r="139" ht="18" customHeight="1">
      <x:c r="A139" s="24" t="str">
        <x:v>EEZ_901</x:v>
      </x:c>
      <x:c r="B139" s="24" t="str">
        <x:v>Sicily (Italy)</x:v>
      </x:c>
      <x:c r="C139" s="24" t="str">
        <x:v>EEZ</x:v>
      </x:c>
      <x:c r="D139" s="30" t="n">
        <x:v>2019</x:v>
      </x:c>
      <x:c r="E139" s="24" t="str">
        <x:v>Dendrobranchiata</x:v>
      </x:c>
      <x:c r="F139" s="24" t="str">
        <x:v>Shrimps and prawns</x:v>
      </x:c>
      <x:c r="G139" s="24" t="str">
        <x:v>Shrimps</x:v>
      </x:c>
      <x:c r="H139" s="24" t="str">
        <x:v>Crustaceans</x:v>
      </x:c>
      <x:c r="I139" s="31" t="n">
        <x:v>2.5106893874000002</x:v>
      </x:c>
      <x:c r="J139" s="31" t="n">
        <x:v>2.5106893874000002</x:v>
      </x:c>
      <x:c r="K139" s="31" t="n">
        <x:v>0</x:v>
      </x:c>
      <x:c r="L139" s="31" t="n">
        <x:v>2.5106893874000002</x:v>
      </x:c>
      <x:c r="M139" s="31" t="n">
        <x:v>0</x:v>
      </x:c>
      <x:c r="N139" s="24" t="str">
        <x:v>dendrobranchiata</x:v>
      </x:c>
      <x:c r="O139" s="32" t="n">
        <x:v>3.24</x:v>
      </x:c>
      <x:c r="P139" s="24" t="str">
        <x:v>exact_sea_around_us</x:v>
      </x:c>
      <x:c r="Q139" s="32" t="str">
        <x:v>Sea Around Us exploited organisms</x:v>
      </x:c>
      <x:c r="R139" s="24" t="str">
        <x:v>high</x:v>
      </x:c>
      <x:c r="S139" s="24" t="str">
        <x:v>Dendrobranchiata</x:v>
      </x:c>
      <x:c r="T139" s="32" t="n">
        <x:f>IF(O139="","",(1/'Metadata'!$B$5)^(O139-1))</x:f>
        <x:v>173.78008287493762</x:v>
      </x:c>
      <x:c r="U139" s="31" t="n">
        <x:f>IF(T139="","",I139*T139)</x:f>
        <x:v>436.30780981559843</x:v>
      </x:c>
    </x:row>
    <x:row r="140" ht="18" customHeight="1">
      <x:c r="A140" s="24" t="str">
        <x:v>EEZ_901</x:v>
      </x:c>
      <x:c r="B140" s="24" t="str">
        <x:v>Sicily (Italy)</x:v>
      </x:c>
      <x:c r="C140" s="24" t="str">
        <x:v>EEZ</x:v>
      </x:c>
      <x:c r="D140" s="30" t="n">
        <x:v>2019</x:v>
      </x:c>
      <x:c r="E140" s="24" t="str">
        <x:v>Maja squinado</x:v>
      </x:c>
      <x:c r="F140" s="24" t="str">
        <x:v>Spinous spider crab</x:v>
      </x:c>
      <x:c r="G140" s="24" t="str">
        <x:v>Lobsters, crabs</x:v>
      </x:c>
      <x:c r="H140" s="24" t="str">
        <x:v>Crustaceans</x:v>
      </x:c>
      <x:c r="I140" s="31" t="n">
        <x:v>2.076902711</x:v>
      </x:c>
      <x:c r="J140" s="31" t="n">
        <x:v>2.076902711</x:v>
      </x:c>
      <x:c r="K140" s="31" t="n">
        <x:v>0</x:v>
      </x:c>
      <x:c r="L140" s="31" t="n">
        <x:v>1.2373873839999998</x:v>
      </x:c>
      <x:c r="M140" s="31" t="n">
        <x:v>0.8395153269999999</x:v>
      </x:c>
      <x:c r="N140" s="24" t="str">
        <x:v>maja squinado</x:v>
      </x:c>
      <x:c r="O140" s="32" t="n">
        <x:v>2.94</x:v>
      </x:c>
      <x:c r="P140" s="24" t="str">
        <x:v>exact_2020_supplement</x:v>
      </x:c>
      <x:c r="Q140" s="32" t="str">
        <x:v>2020 supplement MeanTL</x:v>
      </x:c>
      <x:c r="R140" s="24" t="str">
        <x:v>high</x:v>
      </x:c>
      <x:c r="S140" s="24" t="str">
        <x:v>Maja squinado</x:v>
      </x:c>
      <x:c r="T140" s="32" t="n">
        <x:f>IF(O140="","",(1/'Metadata'!$B$5)^(O140-1))</x:f>
        <x:v>87.09635899560806</x:v>
      </x:c>
      <x:c r="U140" s="31" t="n">
        <x:f>IF(T140="","",I140*T140)</x:f>
        <x:v>180.8906641162076</x:v>
      </x:c>
    </x:row>
    <x:row r="141" ht="18" customHeight="1">
      <x:c r="A141" s="24" t="str">
        <x:v>EEZ_901</x:v>
      </x:c>
      <x:c r="B141" s="24" t="str">
        <x:v>Sicily (Italy)</x:v>
      </x:c>
      <x:c r="C141" s="24" t="str">
        <x:v>EEZ</x:v>
      </x:c>
      <x:c r="D141" s="30" t="n">
        <x:v>2019</x:v>
      </x:c>
      <x:c r="E141" s="24" t="str">
        <x:v>Paracentrotus lividus</x:v>
      </x:c>
      <x:c r="F141" s="24" t="str">
        <x:v>Stony sea urchin</x:v>
      </x:c>
      <x:c r="G141" s="24" t="str">
        <x:v>Other demersal invertebrates</x:v>
      </x:c>
      <x:c r="H141" s="24" t="str">
        <x:v>Other fishes &amp; inverts</x:v>
      </x:c>
      <x:c r="I141" s="31" t="n">
        <x:v>1.6262729201000001</x:v>
      </x:c>
      <x:c r="J141" s="31" t="n">
        <x:v>1.6262729201000001</x:v>
      </x:c>
      <x:c r="K141" s="31" t="n">
        <x:v>0</x:v>
      </x:c>
      <x:c r="L141" s="31" t="n">
        <x:v>0.6631442640999999</x:v>
      </x:c>
      <x:c r="M141" s="31" t="n">
        <x:v>0.963128656</x:v>
      </x:c>
      <x:c r="N141" s="24" t="str">
        <x:v>paracentrotus lividus</x:v>
      </x:c>
      <x:c r="O141" s="32" t="n">
        <x:v>2.3</x:v>
      </x:c>
      <x:c r="P141" s="24" t="str">
        <x:v>exact_sea_around_us</x:v>
      </x:c>
      <x:c r="Q141" s="32" t="str">
        <x:v>Sea Around Us exploited organisms</x:v>
      </x:c>
      <x:c r="R141" s="24" t="str">
        <x:v>high</x:v>
      </x:c>
      <x:c r="S141" s="24" t="str">
        <x:v>Paracentrotus lividus</x:v>
      </x:c>
      <x:c r="T141" s="32" t="n">
        <x:f>IF(O141="","",(1/'Metadata'!$B$5)^(O141-1))</x:f>
        <x:v>19.952623149688787</x:v>
      </x:c>
      <x:c r="U141" s="31" t="n">
        <x:f>IF(T141="","",I141*T141)</x:f>
        <x:v>32.448410713299246</x:v>
      </x:c>
    </x:row>
    <x:row r="142" ht="18" customHeight="1">
      <x:c r="A142" s="24" t="str">
        <x:v>EEZ_901</x:v>
      </x:c>
      <x:c r="B142" s="24" t="str">
        <x:v>Sicily (Italy)</x:v>
      </x:c>
      <x:c r="C142" s="24" t="str">
        <x:v>EEZ</x:v>
      </x:c>
      <x:c r="D142" s="30" t="n">
        <x:v>2019</x:v>
      </x:c>
      <x:c r="E142" s="24" t="str">
        <x:v>Lophius piscatorius</x:v>
      </x:c>
      <x:c r="F142" s="24" t="str">
        <x:v>Angler</x:v>
      </x:c>
      <x:c r="G142" s="24" t="str">
        <x:v>Large bathydemersals (&gt;=90 cm)</x:v>
      </x:c>
      <x:c r="H142" s="24" t="str">
        <x:v>Other fishes &amp; inverts</x:v>
      </x:c>
      <x:c r="I142" s="31" t="n">
        <x:v>1.325827516</x:v>
      </x:c>
      <x:c r="J142" s="31" t="n">
        <x:v>0</x:v>
      </x:c>
      <x:c r="K142" s="31" t="n">
        <x:v>1.325827516</x:v>
      </x:c>
      <x:c r="L142" s="31" t="n">
        <x:v>1.325827516</x:v>
      </x:c>
      <x:c r="M142" s="31" t="n">
        <x:v>0</x:v>
      </x:c>
      <x:c r="N142" s="24" t="str">
        <x:v>lophius piscatorius</x:v>
      </x:c>
      <x:c r="O142" s="32" t="n">
        <x:v>4.45</x:v>
      </x:c>
      <x:c r="P142" s="24" t="str">
        <x:v>exact_2020_supplement</x:v>
      </x:c>
      <x:c r="Q142" s="32" t="str">
        <x:v>2020 supplement MeanTL</x:v>
      </x:c>
      <x:c r="R142" s="24" t="str">
        <x:v>high</x:v>
      </x:c>
      <x:c r="S142" s="24" t="str">
        <x:v>Lophius piscatorius</x:v>
      </x:c>
      <x:c r="T142" s="32" t="n">
        <x:f>IF(O142="","",(1/'Metadata'!$B$5)^(O142-1))</x:f>
        <x:v>2818.382931264455</x:v>
      </x:c>
      <x:c r="U142" s="31" t="n">
        <x:f>IF(T142="","",I142*T142)</x:f>
        <x:v>3736.6896408951507</x:v>
      </x:c>
    </x:row>
    <x:row r="143" ht="18" customHeight="1">
      <x:c r="A143" s="24" t="str">
        <x:v>EEZ_901</x:v>
      </x:c>
      <x:c r="B143" s="24" t="str">
        <x:v>Sicily (Italy)</x:v>
      </x:c>
      <x:c r="C143" s="24" t="str">
        <x:v>EEZ</x:v>
      </x:c>
      <x:c r="D143" s="30" t="n">
        <x:v>2019</x:v>
      </x:c>
      <x:c r="E143" s="24" t="str">
        <x:v>Galeus melastomus</x:v>
      </x:c>
      <x:c r="F143" s="24" t="str">
        <x:v>Blackmouth catshark</x:v>
      </x:c>
      <x:c r="G143" s="24" t="str">
        <x:v>Small to medium sharks (&lt;90 cm)</x:v>
      </x:c>
      <x:c r="H143" s="24" t="str">
        <x:v>Sharks &amp; rays</x:v>
      </x:c>
      <x:c r="I143" s="31" t="n">
        <x:v>1.229660447</x:v>
      </x:c>
      <x:c r="J143" s="31" t="n">
        <x:v>1.229660447</x:v>
      </x:c>
      <x:c r="K143" s="31" t="n">
        <x:v>0</x:v>
      </x:c>
      <x:c r="L143" s="31" t="n">
        <x:v>0.991502338</x:v>
      </x:c>
      <x:c r="M143" s="31" t="n">
        <x:v>0.23815810899999998</x:v>
      </x:c>
      <x:c r="N143" s="24" t="str">
        <x:v>galeus melastomus</x:v>
      </x:c>
      <x:c r="O143" s="32" t="n">
        <x:v>4.17</x:v>
      </x:c>
      <x:c r="P143" s="24" t="str">
        <x:v>exact_2020_supplement</x:v>
      </x:c>
      <x:c r="Q143" s="32" t="str">
        <x:v>2020 supplement MeanTL</x:v>
      </x:c>
      <x:c r="R143" s="24" t="str">
        <x:v>high</x:v>
      </x:c>
      <x:c r="S143" s="24" t="str">
        <x:v>Galeus melastomus</x:v>
      </x:c>
      <x:c r="T143" s="32" t="n">
        <x:f>IF(O143="","",(1/'Metadata'!$B$5)^(O143-1))</x:f>
        <x:v>1479.1083881682073</x:v>
      </x:c>
      <x:c r="U143" s="31" t="n">
        <x:f>IF(T143="","",I143*T143)</x:f>
        <x:v>1818.8010817563675</x:v>
      </x:c>
    </x:row>
    <x:row r="144" ht="18" customHeight="1">
      <x:c r="A144" s="24" t="str">
        <x:v>EEZ_901</x:v>
      </x:c>
      <x:c r="B144" s="24" t="str">
        <x:v>Sicily (Italy)</x:v>
      </x:c>
      <x:c r="C144" s="24" t="str">
        <x:v>EEZ</x:v>
      </x:c>
      <x:c r="D144" s="30" t="n">
        <x:v>2019</x:v>
      </x:c>
      <x:c r="E144" s="24" t="str">
        <x:v>Centracanthus cirrus</x:v>
      </x:c>
      <x:c r="F144" s="24" t="str">
        <x:v>Curled picarel</x:v>
      </x:c>
      <x:c r="G144" s="24" t="str">
        <x:v>Medium benthopelagics (30 - 89 cm)</x:v>
      </x:c>
      <x:c r="H144" s="24" t="str">
        <x:v>Perch-likes</x:v>
      </x:c>
      <x:c r="I144" s="31" t="n">
        <x:v>0.9492044319999999</x:v>
      </x:c>
      <x:c r="J144" s="31" t="n">
        <x:v>0.9492044319999999</x:v>
      </x:c>
      <x:c r="K144" s="31" t="n">
        <x:v>0</x:v>
      </x:c>
      <x:c r="L144" s="31" t="n">
        <x:v>0</x:v>
      </x:c>
      <x:c r="M144" s="31" t="n">
        <x:v>0.9492044319999999</x:v>
      </x:c>
      <x:c r="N144" s="24" t="str">
        <x:v>centracanthus cirrus</x:v>
      </x:c>
      <x:c r="O144" s="32" t="n">
        <x:v>3.4</x:v>
      </x:c>
      <x:c r="P144" s="24" t="str">
        <x:v>exact_2020_supplement</x:v>
      </x:c>
      <x:c r="Q144" s="32" t="str">
        <x:v>2020 supplement MeanTL</x:v>
      </x:c>
      <x:c r="R144" s="24" t="str">
        <x:v>high</x:v>
      </x:c>
      <x:c r="S144" s="24" t="str">
        <x:v>Centracanthus cirrus</x:v>
      </x:c>
      <x:c r="T144" s="32" t="n">
        <x:f>IF(O144="","",(1/'Metadata'!$B$5)^(O144-1))</x:f>
        <x:v>251.18864315095797</x:v>
      </x:c>
      <x:c r="U144" s="31" t="n">
        <x:f>IF(T144="","",I144*T144)</x:f>
        <x:v>238.42937334695574</x:v>
      </x:c>
    </x:row>
    <x:row r="145" ht="18" customHeight="1">
      <x:c r="A145" s="24" t="str">
        <x:v>EEZ_901</x:v>
      </x:c>
      <x:c r="B145" s="24" t="str">
        <x:v>Sicily (Italy)</x:v>
      </x:c>
      <x:c r="C145" s="24" t="str">
        <x:v>EEZ</x:v>
      </x:c>
      <x:c r="D145" s="30" t="n">
        <x:v>2019</x:v>
      </x:c>
      <x:c r="E145" s="24" t="str">
        <x:v>Crangon crangon</x:v>
      </x:c>
      <x:c r="F145" s="24" t="str">
        <x:v>Common shrimp</x:v>
      </x:c>
      <x:c r="G145" s="24" t="str">
        <x:v>Shrimps</x:v>
      </x:c>
      <x:c r="H145" s="24" t="str">
        <x:v>Crustaceans</x:v>
      </x:c>
      <x:c r="I145" s="31" t="n">
        <x:v>0.584615421</x:v>
      </x:c>
      <x:c r="J145" s="31" t="n">
        <x:v>0.584615421</x:v>
      </x:c>
      <x:c r="K145" s="31" t="n">
        <x:v>0</x:v>
      </x:c>
      <x:c r="L145" s="31" t="n">
        <x:v>0.5844336419999999</x:v>
      </x:c>
      <x:c r="M145" s="31" t="n">
        <x:v>0.000181779</x:v>
      </x:c>
      <x:c r="N145" s="24" t="str">
        <x:v>crangon crangon</x:v>
      </x:c>
      <x:c r="O145" s="32" t="n">
        <x:v>3.19</x:v>
      </x:c>
      <x:c r="P145" s="24" t="str">
        <x:v>exact_2020_supplement</x:v>
      </x:c>
      <x:c r="Q145" s="32" t="str">
        <x:v>2020 supplement MeanTL</x:v>
      </x:c>
      <x:c r="R145" s="24" t="str">
        <x:v>high</x:v>
      </x:c>
      <x:c r="S145" s="24" t="str">
        <x:v>Crangon crangon</x:v>
      </x:c>
      <x:c r="T145" s="32" t="n">
        <x:f>IF(O145="","",(1/'Metadata'!$B$5)^(O145-1))</x:f>
        <x:v>154.88166189124811</x:v>
      </x:c>
      <x:c r="U145" s="31" t="n">
        <x:f>IF(T145="","",I145*T145)</x:f>
        <x:v>90.54620797173166</x:v>
      </x:c>
    </x:row>
    <x:row r="146" ht="18" customHeight="1">
      <x:c r="A146" s="24" t="str">
        <x:v>EEZ_901</x:v>
      </x:c>
      <x:c r="B146" s="24" t="str">
        <x:v>Sicily (Italy)</x:v>
      </x:c>
      <x:c r="C146" s="24" t="str">
        <x:v>EEZ</x:v>
      </x:c>
      <x:c r="D146" s="30" t="n">
        <x:v>2019</x:v>
      </x:c>
      <x:c r="E146" s="24" t="str">
        <x:v>Sepia officinalis</x:v>
      </x:c>
      <x:c r="F146" s="24" t="str">
        <x:v>Common cuttlefish</x:v>
      </x:c>
      <x:c r="G146" s="24" t="str">
        <x:v>Cephalopods</x:v>
      </x:c>
      <x:c r="H146" s="24" t="str">
        <x:v>Other fishes &amp; inverts</x:v>
      </x:c>
      <x:c r="I146" s="31" t="n">
        <x:v>0.483276276</x:v>
      </x:c>
      <x:c r="J146" s="31" t="n">
        <x:v>0</x:v>
      </x:c>
      <x:c r="K146" s="31" t="n">
        <x:v>0.483276276</x:v>
      </x:c>
      <x:c r="L146" s="31" t="n">
        <x:v>0.483276276</x:v>
      </x:c>
      <x:c r="M146" s="31" t="n">
        <x:v>0</x:v>
      </x:c>
      <x:c r="N146" s="24" t="str">
        <x:v>sepia officinalis</x:v>
      </x:c>
      <x:c r="O146" s="32" t="n">
        <x:v>4.27</x:v>
      </x:c>
      <x:c r="P146" s="24" t="str">
        <x:v>exact_2020_supplement</x:v>
      </x:c>
      <x:c r="Q146" s="32" t="str">
        <x:v>2020 supplement MeanTL</x:v>
      </x:c>
      <x:c r="R146" s="24" t="str">
        <x:v>high</x:v>
      </x:c>
      <x:c r="S146" s="24" t="str">
        <x:v>Sepia officinalis</x:v>
      </x:c>
      <x:c r="T146" s="32" t="n">
        <x:f>IF(O146="","",(1/'Metadata'!$B$5)^(O146-1))</x:f>
        <x:v>1862.0871366628655</x:v>
      </x:c>
      <x:c r="U146" s="31" t="n">
        <x:f>IF(T146="","",I146*T146)</x:f>
        <x:v>899.9025369939327</x:v>
      </x:c>
    </x:row>
    <x:row r="147" ht="18" customHeight="1">
      <x:c r="A147" s="24" t="str">
        <x:v>EEZ_901</x:v>
      </x:c>
      <x:c r="B147" s="24" t="str">
        <x:v>Sicily (Italy)</x:v>
      </x:c>
      <x:c r="C147" s="24" t="str">
        <x:v>EEZ</x:v>
      </x:c>
      <x:c r="D147" s="30" t="n">
        <x:v>2019</x:v>
      </x:c>
      <x:c r="E147" s="24" t="str">
        <x:v>Alopias vulpinus</x:v>
      </x:c>
      <x:c r="F147" s="24" t="str">
        <x:v>Thresher</x:v>
      </x:c>
      <x:c r="G147" s="24" t="str">
        <x:v>Large sharks (&gt;=90 cm)</x:v>
      </x:c>
      <x:c r="H147" s="24" t="str">
        <x:v>Sharks &amp; rays</x:v>
      </x:c>
      <x:c r="I147" s="31" t="n">
        <x:v>0.31634815039999997</x:v>
      </x:c>
      <x:c r="J147" s="31" t="n">
        <x:v>0.31634815039999997</x:v>
      </x:c>
      <x:c r="K147" s="31" t="n">
        <x:v>0</x:v>
      </x:c>
      <x:c r="L147" s="31" t="n">
        <x:v>0.2475469384</x:v>
      </x:c>
      <x:c r="M147" s="31" t="n">
        <x:v>0.068801212</x:v>
      </x:c>
      <x:c r="N147" s="24" t="str">
        <x:v>alopias vulpinus</x:v>
      </x:c>
      <x:c r="O147" s="32" t="n">
        <x:v>4.5</x:v>
      </x:c>
      <x:c r="P147" s="24" t="str">
        <x:v>exact_2020_supplement</x:v>
      </x:c>
      <x:c r="Q147" s="32" t="str">
        <x:v>2020 supplement MeanTL</x:v>
      </x:c>
      <x:c r="R147" s="24" t="str">
        <x:v>high</x:v>
      </x:c>
      <x:c r="S147" s="24" t="str">
        <x:v>Alopias vulpinus</x:v>
      </x:c>
      <x:c r="T147" s="32" t="n">
        <x:f>IF(O147="","",(1/'Metadata'!$B$5)^(O147-1))</x:f>
        <x:v>3162.2776601683795</x:v>
      </x:c>
      <x:c r="U147" s="31" t="n">
        <x:f>IF(T147="","",I147*T147)</x:f>
        <x:v>1000.3806888455065</x:v>
      </x:c>
    </x:row>
    <x:row r="148" ht="18" customHeight="1">
      <x:c r="A148" s="24" t="str">
        <x:v>EEZ_901</x:v>
      </x:c>
      <x:c r="B148" s="24" t="str">
        <x:v>Sicily (Italy)</x:v>
      </x:c>
      <x:c r="C148" s="24" t="str">
        <x:v>EEZ</x:v>
      </x:c>
      <x:c r="D148" s="30" t="n">
        <x:v>2019</x:v>
      </x:c>
      <x:c r="E148" s="24" t="str">
        <x:v>Todaropsis eblanae</x:v>
      </x:c>
      <x:c r="F148" s="24" t="str">
        <x:v>Lesser flying squid</x:v>
      </x:c>
      <x:c r="G148" s="24" t="str">
        <x:v>Cephalopods</x:v>
      </x:c>
      <x:c r="H148" s="24" t="str">
        <x:v>Other fishes &amp; inverts</x:v>
      </x:c>
      <x:c r="I148" s="31" t="n">
        <x:v>0.304447859</x:v>
      </x:c>
      <x:c r="J148" s="31" t="n">
        <x:v>0.304447859</x:v>
      </x:c>
      <x:c r="K148" s="31" t="n">
        <x:v>0</x:v>
      </x:c>
      <x:c r="L148" s="31" t="n">
        <x:v>0</x:v>
      </x:c>
      <x:c r="M148" s="31" t="n">
        <x:v>0.304447859</x:v>
      </x:c>
      <x:c r="N148" s="24" t="str">
        <x:v>todaropsis eblanae</x:v>
      </x:c>
      <x:c r="O148" s="32" t="n">
        <x:v>4.25</x:v>
      </x:c>
      <x:c r="P148" s="24" t="str">
        <x:v>exact_sea_around_us</x:v>
      </x:c>
      <x:c r="Q148" s="32" t="str">
        <x:v>Sea Around Us exploited organisms</x:v>
      </x:c>
      <x:c r="R148" s="24" t="str">
        <x:v>high</x:v>
      </x:c>
      <x:c r="S148" s="24" t="str">
        <x:v>Todaropsis eblanae</x:v>
      </x:c>
      <x:c r="T148" s="32" t="n">
        <x:f>IF(O148="","",(1/'Metadata'!$B$5)^(O148-1))</x:f>
        <x:v>1778.2794100389228</x:v>
      </x:c>
      <x:c r="U148" s="31" t="n">
        <x:f>IF(T148="","",I148*T148)</x:f>
        <x:v>541.3933590901331</x:v>
      </x:c>
    </x:row>
    <x:row r="149" ht="18" customHeight="1">
      <x:c r="A149" s="24" t="str">
        <x:v>EEZ_901</x:v>
      </x:c>
      <x:c r="B149" s="24" t="str">
        <x:v>Sicily (Italy)</x:v>
      </x:c>
      <x:c r="C149" s="24" t="str">
        <x:v>EEZ</x:v>
      </x:c>
      <x:c r="D149" s="30" t="n">
        <x:v>2019</x:v>
      </x:c>
      <x:c r="E149" s="24" t="str">
        <x:v>Elasmobranchii</x:v>
      </x:c>
      <x:c r="F149" s="24" t="str">
        <x:v>Sharks, rays, skates</x:v>
      </x:c>
      <x:c r="G149" s="24" t="str">
        <x:v>Large sharks (&gt;=90 cm)</x:v>
      </x:c>
      <x:c r="H149" s="24" t="str">
        <x:v>Sharks &amp; rays</x:v>
      </x:c>
      <x:c r="I149" s="31" t="n">
        <x:v>0.206295867</x:v>
      </x:c>
      <x:c r="J149" s="31" t="n">
        <x:v>0.206295867</x:v>
      </x:c>
      <x:c r="K149" s="31" t="n">
        <x:v>0</x:v>
      </x:c>
      <x:c r="L149" s="31" t="n">
        <x:v>0.15337182</x:v>
      </x:c>
      <x:c r="M149" s="31" t="n">
        <x:v>0.052924047</x:v>
      </x:c>
      <x:c r="N149" s="24" t="str">
        <x:v>elasmobranchii</x:v>
      </x:c>
      <x:c r="O149" s="32" t="n">
        <x:v>4.05</x:v>
      </x:c>
      <x:c r="P149" s="24" t="str">
        <x:v>exact_sea_around_us</x:v>
      </x:c>
      <x:c r="Q149" s="32" t="str">
        <x:v>Sea Around Us exploited organisms</x:v>
      </x:c>
      <x:c r="R149" s="24" t="str">
        <x:v>high</x:v>
      </x:c>
      <x:c r="S149" s="24" t="str">
        <x:v>Elasmobranchii</x:v>
      </x:c>
      <x:c r="T149" s="32" t="n">
        <x:f>IF(O149="","",(1/'Metadata'!$B$5)^(O149-1))</x:f>
        <x:v>1122.018454301963</x:v>
      </x:c>
      <x:c r="U149" s="31" t="n">
        <x:f>IF(T149="","",I149*T149)</x:f>
        <x:v>231.4677698202233</x:v>
      </x:c>
    </x:row>
    <x:row r="150" ht="18" customHeight="1">
      <x:c r="A150" s="24" t="str">
        <x:v>EEZ_901</x:v>
      </x:c>
      <x:c r="B150" s="24" t="str">
        <x:v>Sicily (Italy)</x:v>
      </x:c>
      <x:c r="C150" s="24" t="str">
        <x:v>EEZ</x:v>
      </x:c>
      <x:c r="D150" s="30" t="n">
        <x:v>2019</x:v>
      </x:c>
      <x:c r="E150" s="24" t="str">
        <x:v>Auxis thazard</x:v>
      </x:c>
      <x:c r="F150" s="24" t="str">
        <x:v>Frigate tuna</x:v>
      </x:c>
      <x:c r="G150" s="24" t="str">
        <x:v>Medium pelagics (30 - 89 cm)</x:v>
      </x:c>
      <x:c r="H150" s="24" t="str">
        <x:v>Tuna &amp; billfishes</x:v>
      </x:c>
      <x:c r="I150" s="31" t="n">
        <x:v>0.0715260602</x:v>
      </x:c>
      <x:c r="J150" s="31" t="n">
        <x:v>0.0715260602</x:v>
      </x:c>
      <x:c r="K150" s="31" t="n">
        <x:v>0</x:v>
      </x:c>
      <x:c r="L150" s="31" t="n">
        <x:v>0.0715260602</x:v>
      </x:c>
      <x:c r="M150" s="31" t="n">
        <x:v>0</x:v>
      </x:c>
      <x:c r="N150" s="24" t="str">
        <x:v>auxis thazard</x:v>
      </x:c>
      <x:c r="O150" s="32" t="n">
        <x:v>4.37</x:v>
      </x:c>
      <x:c r="P150" s="24" t="str">
        <x:v>exact_2020_supplement</x:v>
      </x:c>
      <x:c r="Q150" s="32" t="str">
        <x:v>2020 supplement MeanTL</x:v>
      </x:c>
      <x:c r="R150" s="24" t="str">
        <x:v>high</x:v>
      </x:c>
      <x:c r="S150" s="24" t="str">
        <x:v>Auxis thazard</x:v>
      </x:c>
      <x:c r="T150" s="32" t="n">
        <x:f>IF(O150="","",(1/'Metadata'!$B$5)^(O150-1))</x:f>
        <x:v>2344.228815319923</x:v>
      </x:c>
      <x:c r="U150" s="31" t="n">
        <x:f>IF(T150="","",I150*T150)</x:f>
        <x:v>167.6734513671475</x:v>
      </x:c>
    </x:row>
    <x:row r="151" ht="18" customHeight="1">
      <x:c r="A151" s="24" t="str">
        <x:v>EEZ_901</x:v>
      </x:c>
      <x:c r="B151" s="24" t="str">
        <x:v>Sicily (Italy)</x:v>
      </x:c>
      <x:c r="C151" s="24" t="str">
        <x:v>EEZ</x:v>
      </x:c>
      <x:c r="D151" s="30" t="n">
        <x:v>2019</x:v>
      </x:c>
      <x:c r="E151" s="24" t="str">
        <x:v>Lamna nasus</x:v>
      </x:c>
      <x:c r="F151" s="24" t="str">
        <x:v>Porbeagle</x:v>
      </x:c>
      <x:c r="G151" s="24" t="str">
        <x:v>Large sharks (&gt;=90 cm)</x:v>
      </x:c>
      <x:c r="H151" s="24" t="str">
        <x:v>Sharks &amp; rays</x:v>
      </x:c>
      <x:c r="I151" s="31" t="n">
        <x:v>0.0657807544</x:v>
      </x:c>
      <x:c r="J151" s="31" t="n">
        <x:v>0.0657807544</x:v>
      </x:c>
      <x:c r="K151" s="31" t="n">
        <x:v>0</x:v>
      </x:c>
      <x:c r="L151" s="31" t="n">
        <x:v>0.049903589400000004</x:v>
      </x:c>
      <x:c r="M151" s="31" t="n">
        <x:v>0.015877165</x:v>
      </x:c>
      <x:c r="N151" s="24" t="str">
        <x:v>lamna nasus</x:v>
      </x:c>
      <x:c r="O151" s="32" t="n">
        <x:v>4.57</x:v>
      </x:c>
      <x:c r="P151" s="24" t="str">
        <x:v>exact_2020_supplement</x:v>
      </x:c>
      <x:c r="Q151" s="32" t="str">
        <x:v>2020 supplement MeanTL</x:v>
      </x:c>
      <x:c r="R151" s="24" t="str">
        <x:v>high</x:v>
      </x:c>
      <x:c r="S151" s="24" t="str">
        <x:v>Lamna nasus</x:v>
      </x:c>
      <x:c r="T151" s="32" t="n">
        <x:f>IF(O151="","",(1/'Metadata'!$B$5)^(O151-1))</x:f>
        <x:v>3715.3522909717276</x:v>
      </x:c>
      <x:c r="U151" s="31" t="n">
        <x:f>IF(T151="","",I151*T151)</x:f>
        <x:v>244.39867656188855</x:v>
      </x:c>
    </x:row>
    <x:row r="152" ht="18" customHeight="1">
      <x:c r="A152" s="24" t="str">
        <x:v>EEZ_901</x:v>
      </x:c>
      <x:c r="B152" s="24" t="str">
        <x:v>Sicily (Italy)</x:v>
      </x:c>
      <x:c r="C152" s="24" t="str">
        <x:v>EEZ</x:v>
      </x:c>
      <x:c r="D152" s="30" t="n">
        <x:v>2019</x:v>
      </x:c>
      <x:c r="E152" s="24" t="str">
        <x:v>Dasyatidae</x:v>
      </x:c>
      <x:c r="F152" s="24" t="str">
        <x:v>Whiptail stingrays</x:v>
      </x:c>
      <x:c r="G152" s="24" t="str">
        <x:v>Large rays (&gt;=90 cm)</x:v>
      </x:c>
      <x:c r="H152" s="24" t="str">
        <x:v>Sharks &amp; rays</x:v>
      </x:c>
      <x:c r="I152" s="31" t="n">
        <x:v>0.0075926169</x:v>
      </x:c>
      <x:c r="J152" s="31" t="n">
        <x:v>0.0075926169</x:v>
      </x:c>
      <x:c r="K152" s="31" t="n">
        <x:v>0</x:v>
      </x:c>
      <x:c r="L152" s="31" t="n">
        <x:v>0.0075926169</x:v>
      </x:c>
      <x:c r="M152" s="31" t="n">
        <x:v>0</x:v>
      </x:c>
      <x:c r="N152" s="24" t="str">
        <x:v>dasyatidae</x:v>
      </x:c>
      <x:c r="O152" s="32" t="n">
        <x:v>3.38</x:v>
      </x:c>
      <x:c r="P152" s="24" t="str">
        <x:v>exact_sea_around_us</x:v>
      </x:c>
      <x:c r="Q152" s="32" t="str">
        <x:v>Sea Around Us exploited organisms</x:v>
      </x:c>
      <x:c r="R152" s="24" t="str">
        <x:v>high</x:v>
      </x:c>
      <x:c r="S152" s="24" t="str">
        <x:v>Dasyatidae</x:v>
      </x:c>
      <x:c r="T152" s="32" t="n">
        <x:f>IF(O152="","",(1/'Metadata'!$B$5)^(O152-1))</x:f>
        <x:v>239.88329190194898</x:v>
      </x:c>
      <x:c r="U152" s="31" t="n">
        <x:f>IF(T152="","",I152*T152)</x:f>
        <x:v>1.8213419361223708</x:v>
      </x:c>
    </x:row>
    <x:row r="153" ht="18" customHeight="1">
      <x:c r="A153" s="24" t="str">
        <x:v>EEZ_901</x:v>
      </x:c>
      <x:c r="B153" s="24" t="str">
        <x:v>Sicily (Italy)</x:v>
      </x:c>
      <x:c r="C153" s="24" t="str">
        <x:v>EEZ</x:v>
      </x:c>
      <x:c r="D153" s="30" t="n">
        <x:v>2019</x:v>
      </x:c>
      <x:c r="E153" s="24" t="str">
        <x:v>Isurus oxyrinchus</x:v>
      </x:c>
      <x:c r="F153" s="24" t="str">
        <x:v>Shortfin mako</x:v>
      </x:c>
      <x:c r="G153" s="24" t="str">
        <x:v>Large sharks (&gt;=90 cm)</x:v>
      </x:c>
      <x:c r="H153" s="24" t="str">
        <x:v>Sharks &amp; rays</x:v>
      </x:c>
      <x:c r="I153" s="31" t="n">
        <x:v>0.0002618561</x:v>
      </x:c>
      <x:c r="J153" s="31" t="n">
        <x:v>0.0002618561</x:v>
      </x:c>
      <x:c r="K153" s="31" t="n">
        <x:v>0</x:v>
      </x:c>
      <x:c r="L153" s="31" t="n">
        <x:v>0.0002618561</x:v>
      </x:c>
      <x:c r="M153" s="31" t="n">
        <x:v>0</x:v>
      </x:c>
      <x:c r="N153" s="24" t="str">
        <x:v>isurus oxyrinchus</x:v>
      </x:c>
      <x:c r="O153" s="32" t="n">
        <x:v>4.5</x:v>
      </x:c>
      <x:c r="P153" s="24" t="str">
        <x:v>exact_2020_supplement</x:v>
      </x:c>
      <x:c r="Q153" s="32" t="str">
        <x:v>2020 supplement MeanTL</x:v>
      </x:c>
      <x:c r="R153" s="24" t="str">
        <x:v>high</x:v>
      </x:c>
      <x:c r="S153" s="24" t="str">
        <x:v>Isurus oxyrinchus</x:v>
      </x:c>
      <x:c r="T153" s="32" t="n">
        <x:f>IF(O153="","",(1/'Metadata'!$B$5)^(O153-1))</x:f>
        <x:v>3162.2776601683795</x:v>
      </x:c>
      <x:c r="U153" s="31" t="n">
        <x:f>IF(T153="","",I153*T153)</x:f>
        <x:v>0.8280616952088172</x:v>
      </x:c>
    </x:row>
  </x:sheetData>
  <x:conditionalFormatting sqref="R2:R153">
    <x:cfRule type="containsText" dxfId="0" priority="1" operator="containsText" text="low"/>
  </x:conditionalFormatting>
  <x:pageMargins left="0.7" right="0.7" top="0.75" bottom="0.75" header="0.3" footer="0.3"/>
  <x:tableParts count="1">
    <x:tablePart xmlns:r="http://schemas.openxmlformats.org/officeDocument/2006/relationships" r:id="R88943ad22cd94446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6" hidden="0" customWidth="1"/>
    <x:col min="2" max="2" width="18" hidden="0" customWidth="1"/>
    <x:col min="3" max="3" width="15" hidden="0" customWidth="1"/>
    <x:col min="4" max="4" width="18" hidden="0" customWidth="1"/>
    <x:col min="5" max="5" width="18" hidden="0" customWidth="1"/>
  </x:cols>
  <x:sheetData>
    <x:row r="1" ht="32" customHeight="1">
      <x:c r="A1" s="29" t="str">
        <x:v>commercial_group</x:v>
      </x:c>
      <x:c r="B1" s="29" t="str">
        <x:v>catch_tonnes_matched</x:v>
      </x:c>
      <x:c r="C1" s="29" t="str">
        <x:v>tl_weighted</x:v>
      </x:c>
      <x:c r="D1" s="29" t="str">
        <x:v>sppr</x:v>
      </x:c>
      <x:c r="E1" s="29" t="str">
        <x:v>ppr</x:v>
      </x:c>
    </x:row>
    <x:row r="2" ht="18" customHeight="1">
      <x:c r="A2" s="24" t="str">
        <x:v>Anchovies</x:v>
      </x:c>
      <x:c r="B2" s="31" t="n">
        <x:v>3656.648435608</x:v>
      </x:c>
      <x:c r="C2" s="32" t="n">
        <x:v>3.11</x:v>
      </x:c>
      <x:c r="D2" s="32" t="n">
        <x:f>IF(C2="","",(1/'Metadata'!$B$5)^(C2-1))</x:f>
        <x:v>128.82495516931337</x:v>
      </x:c>
      <x:c r="E2" s="31" t="n">
        <x:f>IF(B2=0,"",B2*D2)</x:f>
        <x:v>471067.57078714046</x:v>
      </x:c>
    </x:row>
    <x:row r="3" ht="18" customHeight="1">
      <x:c r="A3" s="24" t="str">
        <x:v>Cod-likes</x:v>
      </x:c>
      <x:c r="B3" s="31" t="n">
        <x:v>151.1835167781</x:v>
      </x:c>
      <x:c r="C3" s="32" t="n">
        <x:v>4.178958635705795</x:v>
      </x:c>
      <x:c r="D3" s="32" t="n">
        <x:f>IF(C3="","",(1/'Metadata'!$B$5)^(C3-1))</x:f>
        <x:v>1509.9363337201653</x:v>
      </x:c>
      <x:c r="E3" s="31" t="n">
        <x:f>IF(B3=0,"",B3*D3)</x:f>
        <x:v>228277.48504284542</x:v>
      </x:c>
    </x:row>
    <x:row r="4" ht="18" customHeight="1">
      <x:c r="A4" s="24" t="str">
        <x:v>Crustaceans</x:v>
      </x:c>
      <x:c r="B4" s="31" t="n">
        <x:v>6448.110253182599</x:v>
      </x:c>
      <x:c r="C4" s="32" t="n">
        <x:v>3.286527053448835</x:v>
      </x:c>
      <x:c r="D4" s="32" t="n">
        <x:f>IF(C4="","",(1/'Metadata'!$B$5)^(C4-1))</x:f>
        <x:v>193.43143488548054</x:v>
      </x:c>
      <x:c r="E4" s="31" t="n">
        <x:f>IF(B4=0,"",B4*D4)</x:f>
        <x:v>1247267.2185728895</x:v>
      </x:c>
    </x:row>
    <x:row r="5" ht="18" customHeight="1">
      <x:c r="A5" s="24" t="str">
        <x:v>Flatfishes</x:v>
      </x:c>
      <x:c r="B5" s="31" t="n">
        <x:v>351.53818273099995</x:v>
      </x:c>
      <x:c r="C5" s="32" t="n">
        <x:v>3.7159231452866774</x:v>
      </x:c>
      <x:c r="D5" s="32" t="n">
        <x:f>IF(C5="","",(1/'Metadata'!$B$5)^(C5-1))</x:f>
        <x:v>519.9039838347632</x:v>
      </x:c>
      <x:c r="E5" s="31" t="n">
        <x:f>IF(B5=0,"",B5*D5)</x:f>
        <x:v>182766.10167187982</x:v>
      </x:c>
    </x:row>
    <x:row r="6" ht="18" customHeight="1">
      <x:c r="A6" s="24" t="str">
        <x:v>Herring-likes</x:v>
      </x:c>
      <x:c r="B6" s="31" t="n">
        <x:v>174.6844359811</x:v>
      </x:c>
      <x:c r="C6" s="32" t="n">
        <x:v>3.343320097105896</x:v>
      </x:c>
      <x:c r="D6" s="32" t="n">
        <x:f>IF(C6="","",(1/'Metadata'!$B$5)^(C6-1))</x:f>
        <x:v>220.45507303292612</x:v>
      </x:c>
      <x:c r="E6" s="31" t="n">
        <x:f>IF(B6=0,"",B6*D6)</x:f>
        <x:v>38510.07009192891</x:v>
      </x:c>
    </x:row>
    <x:row r="7" ht="18" customHeight="1">
      <x:c r="A7" s="24" t="str">
        <x:v>Molluscs</x:v>
      </x:c>
      <x:c r="B7" s="31" t="n">
        <x:v>35.454447429</x:v>
      </x:c>
      <x:c r="C7" s="32" t="n">
        <x:v>2.2007741691655176</x:v>
      </x:c>
      <x:c r="D7" s="32" t="n">
        <x:f>IF(C7="","",(1/'Metadata'!$B$5)^(C7-1))</x:f>
        <x:v>15.877209274170587</x:v>
      </x:c>
      <x:c r="E7" s="31" t="n">
        <x:f>IF(B7=0,"",B7*D7)</x:f>
        <x:v>562.9176815303123</x:v>
      </x:c>
    </x:row>
    <x:row r="8" ht="18" customHeight="1">
      <x:c r="A8" s="24" t="str">
        <x:v>Other fishes &amp; inverts</x:v>
      </x:c>
      <x:c r="B8" s="31" t="n">
        <x:v>10309.0672932079</x:v>
      </x:c>
      <x:c r="C8" s="32" t="n">
        <x:v>3.5034159243280247</x:v>
      </x:c>
      <x:c r="D8" s="32" t="n">
        <x:f>IF(C8="","",(1/'Metadata'!$B$5)^(C8-1))</x:f>
        <x:v>318.72484921042025</x:v>
      </x:c>
      <x:c r="E8" s="31" t="n">
        <x:f>IF(B8=0,"",B8*D8)</x:f>
        <x:v>3285755.918527763</x:v>
      </x:c>
    </x:row>
    <x:row r="9" ht="18" customHeight="1">
      <x:c r="A9" s="24" t="str">
        <x:v>Perch-likes</x:v>
      </x:c>
      <x:c r="B9" s="31" t="n">
        <x:v>13404.381902239296</x:v>
      </x:c>
      <x:c r="C9" s="32" t="n">
        <x:v>3.4287562713821718</x:v>
      </x:c>
      <x:c r="D9" s="32" t="n">
        <x:f>IF(C9="","",(1/'Metadata'!$B$5)^(C9-1))</x:f>
        <x:v>268.3837837358275</x:v>
      </x:c>
      <x:c r="E9" s="31" t="n">
        <x:f>IF(B9=0,"",B9*D9)</x:f>
        <x:v>3597518.733563031</x:v>
      </x:c>
    </x:row>
    <x:row r="10" ht="18" customHeight="1">
      <x:c r="A10" s="24" t="str">
        <x:v>Salmon, smelts, etc</x:v>
      </x:c>
      <x:c r="B10" s="31" t="n">
        <x:v>12.945473633</x:v>
      </x:c>
      <x:c r="C10" s="32" t="n">
        <x:v>3.35</x:v>
      </x:c>
      <x:c r="D10" s="32" t="n">
        <x:f>IF(C10="","",(1/'Metadata'!$B$5)^(C10-1))</x:f>
        <x:v>223.872113856834</x:v>
      </x:c>
      <x:c r="E10" s="31" t="n">
        <x:f>IF(B10=0,"",B10*D10)</x:f>
        <x:v>2898.1305470976185</x:v>
      </x:c>
    </x:row>
    <x:row r="11" ht="18" customHeight="1">
      <x:c r="A11" s="24" t="str">
        <x:v>Scorpionfishes</x:v>
      </x:c>
      <x:c r="B11" s="31" t="n">
        <x:v>845.5751485521001</x:v>
      </x:c>
      <x:c r="C11" s="32" t="n">
        <x:v>3.907977397279973</x:v>
      </x:c>
      <x:c r="D11" s="32" t="n">
        <x:f>IF(C11="","",(1/'Metadata'!$B$5)^(C11-1))</x:f>
        <x:v>809.0537911319675</x:v>
      </x:c>
      <x:c r="E11" s="31" t="n">
        <x:f>IF(B11=0,"",B11*D11)</x:f>
        <x:v>684115.7796230532</x:v>
      </x:c>
    </x:row>
    <x:row r="12" ht="18" customHeight="1">
      <x:c r="A12" s="24" t="str">
        <x:v>Sharks &amp; rays</x:v>
      </x:c>
      <x:c r="B12" s="31" t="n">
        <x:v>207.9120086221</x:v>
      </x:c>
      <x:c r="C12" s="32" t="n">
        <x:v>3.8423490729058787</x:v>
      </x:c>
      <x:c r="D12" s="32" t="n">
        <x:f>IF(C12="","",(1/'Metadata'!$B$5)^(C12-1))</x:f>
        <x:v>695.5831819019269</x:v>
      </x:c>
      <x:c r="E12" s="31" t="n">
        <x:f>IF(B12=0,"",B12*D12)</x:f>
        <x:v>144620.09651298117</x:v>
      </x:c>
    </x:row>
    <x:row r="13" ht="18" customHeight="1">
      <x:c r="A13" s="24" t="str">
        <x:v>Tuna &amp; billfishes</x:v>
      </x:c>
      <x:c r="B13" s="31" t="n">
        <x:v>3971.0544506827005</x:v>
      </x:c>
      <x:c r="C13" s="32" t="n">
        <x:v>4.462419597193688</x:v>
      </x:c>
      <x:c r="D13" s="32" t="n">
        <x:f>IF(C13="","",(1/'Metadata'!$B$5)^(C13-1))</x:f>
        <x:v>2900.1442328074227</x:v>
      </x:c>
      <x:c r="E13" s="31" t="n">
        <x:f>IF(B13=0,"",B13*D13)</x:f>
        <x:v>11516630.66331168</x:v>
      </x:c>
    </x:row>
  </x:sheetData>
  <x:pageMargins left="0.7" right="0.7" top="0.75" bottom="0.75" header="0.3" footer="0.3"/>
  <x:tableParts count="1">
    <x:tablePart xmlns:r="http://schemas.openxmlformats.org/officeDocument/2006/relationships" r:id="Rfc59ce63f3104975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4" hidden="0" customWidth="1"/>
    <x:col min="2" max="2" width="18" hidden="0" customWidth="1"/>
    <x:col min="3" max="3" width="15" hidden="0" customWidth="1"/>
    <x:col min="4" max="4" width="18" hidden="0" customWidth="1"/>
    <x:col min="5" max="5" width="18" hidden="0" customWidth="1"/>
  </x:cols>
  <x:sheetData>
    <x:row r="1" ht="32" customHeight="1">
      <x:c r="A1" s="29" t="str">
        <x:v>functional_group</x:v>
      </x:c>
      <x:c r="B1" s="29" t="str">
        <x:v>catch_tonnes_matched</x:v>
      </x:c>
      <x:c r="C1" s="29" t="str">
        <x:v>tl_weighted</x:v>
      </x:c>
      <x:c r="D1" s="29" t="str">
        <x:v>sppr</x:v>
      </x:c>
      <x:c r="E1" s="29" t="str">
        <x:v>ppr</x:v>
      </x:c>
    </x:row>
    <x:row r="2" ht="18" customHeight="1">
      <x:c r="A2" s="24" t="str">
        <x:v>Cephalopods</x:v>
      </x:c>
      <x:c r="B2" s="31" t="n">
        <x:v>3234.0982996583</x:v>
      </x:c>
      <x:c r="C2" s="32" t="n">
        <x:v>3.814176790028926</x:v>
      </x:c>
      <x:c r="D2" s="32" t="n">
        <x:f>IF(C2="","",(1/'Metadata'!$B$5)^(C2-1))</x:f>
        <x:v>651.893709091015</x:v>
      </x:c>
      <x:c r="E2" s="31" t="n">
        <x:f>IF(B2=0,"",B2*D2)</x:f>
        <x:v>2108288.336129194</x:v>
      </x:c>
    </x:row>
    <x:row r="3" ht="18" customHeight="1">
      <x:c r="A3" s="24" t="str">
        <x:v>Large bathydemersals (&gt;=90 cm)</x:v>
      </x:c>
      <x:c r="B3" s="31" t="n">
        <x:v>539.1231577628</x:v>
      </x:c>
      <x:c r="C3" s="32" t="n">
        <x:v>3.827904436888064</x:v>
      </x:c>
      <x:c r="D3" s="32" t="n">
        <x:f>IF(C3="","",(1/'Metadata'!$B$5)^(C3-1))</x:f>
        <x:v>672.8285893134384</x:v>
      </x:c>
      <x:c r="E3" s="31" t="n">
        <x:f>IF(B3=0,"",B3*D3)</x:f>
        <x:v>362737.47370375105</x:v>
      </x:c>
    </x:row>
    <x:row r="4" ht="18" customHeight="1">
      <x:c r="A4" s="24" t="str">
        <x:v>Large benthopelagics (&gt;=90 cm)</x:v>
      </x:c>
      <x:c r="B4" s="31" t="n">
        <x:v>159.42015392099998</x:v>
      </x:c>
      <x:c r="C4" s="32" t="n">
        <x:v>3.8817942460506707</x:v>
      </x:c>
      <x:c r="D4" s="32" t="n">
        <x:f>IF(C4="","",(1/'Metadata'!$B$5)^(C4-1))</x:f>
        <x:v>761.7180484314315</x:v>
      </x:c>
      <x:c r="E4" s="31" t="n">
        <x:f>IF(B4=0,"",B4*D4)</x:f>
        <x:v>121433.20852534253</x:v>
      </x:c>
    </x:row>
    <x:row r="5" ht="18" customHeight="1">
      <x:c r="A5" s="24" t="str">
        <x:v>Large demersals (&gt;=90 cm)</x:v>
      </x:c>
      <x:c r="B5" s="31" t="n">
        <x:v>299.88539200300005</x:v>
      </x:c>
      <x:c r="C5" s="32" t="n">
        <x:v>4.034809926586171</x:v>
      </x:c>
      <x:c r="D5" s="32" t="n">
        <x:f>IF(C5="","",(1/'Metadata'!$B$5)^(C5-1))</x:f>
        <x:v>1083.4526261372325</x:v>
      </x:c>
      <x:c r="E5" s="31" t="n">
        <x:f>IF(B5=0,"",B5*D5)</x:f>
        <x:v>324911.61550584383</x:v>
      </x:c>
    </x:row>
    <x:row r="6" ht="18" customHeight="1">
      <x:c r="A6" s="24" t="str">
        <x:v>Large flatfishes (&gt;=90 cm)</x:v>
      </x:c>
      <x:c r="B6" s="31" t="n">
        <x:v>32.874466262</x:v>
      </x:c>
      <x:c r="C6" s="32" t="n">
        <x:v>4.36</x:v>
      </x:c>
      <x:c r="D6" s="32" t="n">
        <x:f>IF(C6="","",(1/'Metadata'!$B$5)^(C6-1))</x:f>
        <x:v>2290.867652767775</x:v>
      </x:c>
      <x:c r="E6" s="31" t="n">
        <x:f>IF(B6=0,"",B6*D6)</x:f>
        <x:v>75311.05136162134</x:v>
      </x:c>
    </x:row>
    <x:row r="7" ht="18" customHeight="1">
      <x:c r="A7" s="24" t="str">
        <x:v>Large pelagics (&gt;=90 cm)</x:v>
      </x:c>
      <x:c r="B7" s="31" t="n">
        <x:v>3994.6457240354002</x:v>
      </x:c>
      <x:c r="C7" s="32" t="n">
        <x:v>4.457562505557812</x:v>
      </x:c>
      <x:c r="D7" s="32" t="n">
        <x:f>IF(C7="","",(1/'Metadata'!$B$5)^(C7-1))</x:f>
        <x:v>2867.890105143811</x:v>
      </x:c>
      <x:c r="E7" s="31" t="n">
        <x:f>IF(B7=0,"",B7*D7)</x:f>
        <x:v>11456204.94551616</x:v>
      </x:c>
    </x:row>
    <x:row r="8" ht="18" customHeight="1">
      <x:c r="A8" s="24" t="str">
        <x:v>Large rays (&gt;=90 cm)</x:v>
      </x:c>
      <x:c r="B8" s="31" t="n">
        <x:v>119.66340844289999</x:v>
      </x:c>
      <x:c r="C8" s="32" t="n">
        <x:v>3.887329379188363</x:v>
      </x:c>
      <x:c r="D8" s="32" t="n">
        <x:f>IF(C8="","",(1/'Metadata'!$B$5)^(C8-1))</x:f>
        <x:v>771.4883622260356</x:v>
      </x:c>
      <x:c r="E8" s="31" t="n">
        <x:f>IF(B8=0,"",B8*D8)</x:f>
        <x:v>92318.92699799807</x:v>
      </x:c>
    </x:row>
    <x:row r="9" ht="18" customHeight="1">
      <x:c r="A9" s="24" t="str">
        <x:v>Large reef assoc. fish (&gt;=90 cm)</x:v>
      </x:c>
      <x:c r="B9" s="31" t="n">
        <x:v>394.93384781270004</x:v>
      </x:c>
      <x:c r="C9" s="32" t="n">
        <x:v>4.271662076138108</x:v>
      </x:c>
      <x:c r="D9" s="32" t="n">
        <x:f>IF(C9="","",(1/'Metadata'!$B$5)^(C9-1))</x:f>
        <x:v>1869.2271316410527</x:v>
      </x:c>
      <x:c r="E9" s="31" t="n">
        <x:f>IF(B9=0,"",B9*D9)</x:f>
        <x:v>738221.0635348973</x:v>
      </x:c>
    </x:row>
    <x:row r="10" ht="18" customHeight="1">
      <x:c r="A10" s="24" t="str">
        <x:v>Large sharks (&gt;=90 cm)</x:v>
      </x:c>
      <x:c r="B10" s="31" t="n">
        <x:v>52.92662634820001</x:v>
      </x:c>
      <x:c r="C10" s="32" t="n">
        <x:v>3.8513674180256046</x:v>
      </x:c>
      <x:c r="D10" s="32" t="n">
        <x:f>IF(C10="","",(1/'Metadata'!$B$5)^(C10-1))</x:f>
        <x:v>710.1783327575437</x:v>
      </x:c>
      <x:c r="E10" s="31" t="n">
        <x:f>IF(B10=0,"",B10*D10)</x:f>
        <x:v>37587.34325844616</x:v>
      </x:c>
    </x:row>
    <x:row r="11" ht="18" customHeight="1">
      <x:c r="A11" s="24" t="str">
        <x:v>Lobsters, crabs</x:v>
      </x:c>
      <x:c r="B11" s="31" t="n">
        <x:v>385.271176742</x:v>
      </x:c>
      <x:c r="C11" s="32" t="n">
        <x:v>2.970770372388456</x:v>
      </x:c>
      <x:c r="D11" s="32" t="n">
        <x:f>IF(C11="","",(1/'Metadata'!$B$5)^(C11-1))</x:f>
        <x:v>93.49112211791228</x:v>
      </x:c>
      <x:c r="E11" s="31" t="n">
        <x:f>IF(B11=0,"",B11*D11)</x:f>
        <x:v>36019.43463329809</x:v>
      </x:c>
    </x:row>
    <x:row r="12" ht="18" customHeight="1">
      <x:c r="A12" s="24" t="str">
        <x:v>Medium bathydemersals (30 - 89 cm)</x:v>
      </x:c>
      <x:c r="B12" s="31" t="n">
        <x:v>263.57763264600004</x:v>
      </x:c>
      <x:c r="C12" s="32" t="n">
        <x:v>4.2159712493137596</x:v>
      </x:c>
      <x:c r="D12" s="32" t="n">
        <x:f>IF(C12="","",(1/'Metadata'!$B$5)^(C12-1))</x:f>
        <x:v>1644.2628679275692</x:v>
      </x:c>
      <x:c r="E12" s="31" t="n">
        <x:f>IF(B12=0,"",B12*D12)</x:f>
        <x:v>433390.91417607135</x:v>
      </x:c>
    </x:row>
    <x:row r="13" ht="18" customHeight="1">
      <x:c r="A13" s="24" t="str">
        <x:v>Medium bathypelagics (30 - 89 cm)</x:v>
      </x:c>
      <x:c r="B13" s="31" t="n">
        <x:v>13.9281939904</x:v>
      </x:c>
      <x:c r="C13" s="32" t="n">
        <x:v>4.08</x:v>
      </x:c>
      <x:c r="D13" s="32" t="n">
        <x:f>IF(C13="","",(1/'Metadata'!$B$5)^(C13-1))</x:f>
        <x:v>1202.2644346174131</x:v>
      </x:c>
      <x:c r="E13" s="31" t="n">
        <x:f>IF(B13=0,"",B13*D13)</x:f>
        <x:v>16745.372273109908</x:v>
      </x:c>
    </x:row>
    <x:row r="14" ht="18" customHeight="1">
      <x:c r="A14" s="24" t="str">
        <x:v>Medium benthopelagics (30 - 89 cm)</x:v>
      </x:c>
      <x:c r="B14" s="31" t="n">
        <x:v>2933.6609399433</x:v>
      </x:c>
      <x:c r="C14" s="32" t="n">
        <x:v>3.299821289086122</x:v>
      </x:c>
      <x:c r="D14" s="32" t="n">
        <x:f>IF(C14="","",(1/'Metadata'!$B$5)^(C14-1))</x:f>
        <x:v>199.44414392455303</x:v>
      </x:c>
      <x:c r="E14" s="31" t="n">
        <x:f>IF(B14=0,"",B14*D14)</x:f>
        <x:v>585101.4947318911</x:v>
      </x:c>
    </x:row>
    <x:row r="15" ht="18" customHeight="1">
      <x:c r="A15" s="24" t="str">
        <x:v>Medium demersals (30 - 89 cm)</x:v>
      </x:c>
      <x:c r="B15" s="31" t="n">
        <x:v>9603.755085626097</x:v>
      </x:c>
      <x:c r="C15" s="32" t="n">
        <x:v>3.244489314297725</x:v>
      </x:c>
      <x:c r="D15" s="32" t="n">
        <x:f>IF(C15="","",(1/'Metadata'!$B$5)^(C15-1))</x:f>
        <x:v>175.5857691247843</x:v>
      </x:c>
      <x:c r="E15" s="31" t="n">
        <x:f>IF(B15=0,"",B15*D15)</x:f>
        <x:v>1686282.7231957167</x:v>
      </x:c>
    </x:row>
    <x:row r="16" ht="18" customHeight="1">
      <x:c r="A16" s="24" t="str">
        <x:v>Medium pelagics (30 - 89 cm)</x:v>
      </x:c>
      <x:c r="B16" s="31" t="n">
        <x:v>5558.4068594214</x:v>
      </x:c>
      <x:c r="C16" s="32" t="n">
        <x:v>3.6428833204485924</x:v>
      </x:c>
      <x:c r="D16" s="32" t="n">
        <x:f>IF(C16="","",(1/'Metadata'!$B$5)^(C16-1))</x:f>
        <x:v>439.42354202918966</x:v>
      </x:c>
      <x:c r="E16" s="31" t="n">
        <x:f>IF(B16=0,"",B16*D16)</x:f>
        <x:v>2442494.830206296</x:v>
      </x:c>
    </x:row>
    <x:row r="17" ht="18" customHeight="1">
      <x:c r="A17" s="24" t="str">
        <x:v>Medium reef assoc. fish (30 - 89 cm)</x:v>
      </x:c>
      <x:c r="B17" s="31" t="n">
        <x:v>99.4935948502</x:v>
      </x:c>
      <x:c r="C17" s="32" t="n">
        <x:v>3.71973017362265</x:v>
      </x:c>
      <x:c r="D17" s="32" t="n">
        <x:f>IF(C17="","",(1/'Metadata'!$B$5)^(C17-1))</x:f>
        <x:v>524.4814995922949</x:v>
      </x:c>
      <x:c r="E17" s="31" t="n">
        <x:f>IF(B17=0,"",B17*D17)</x:f>
        <x:v>52182.54982686112</x:v>
      </x:c>
    </x:row>
    <x:row r="18" ht="18" customHeight="1">
      <x:c r="A18" s="24" t="str">
        <x:v>Other demersal invertebrates</x:v>
      </x:c>
      <x:c r="B18" s="31" t="n">
        <x:v>88.3307203491</x:v>
      </x:c>
      <x:c r="C18" s="32" t="n">
        <x:v>2.0861106880114724</x:v>
      </x:c>
      <x:c r="D18" s="32" t="n">
        <x:f>IF(C18="","",(1/'Metadata'!$B$5)^(C18-1))</x:f>
        <x:v>12.193003206498435</x:v>
      </x:c>
      <x:c r="E18" s="31" t="n">
        <x:f>IF(B18=0,"",B18*D18)</x:f>
        <x:v>1077.016756448893</x:v>
      </x:c>
    </x:row>
    <x:row r="19" ht="18" customHeight="1">
      <x:c r="A19" s="24" t="str">
        <x:v>Shrimps</x:v>
      </x:c>
      <x:c r="B19" s="31" t="n">
        <x:v>6062.8390764405995</x:v>
      </x:c>
      <x:c r="C19" s="32" t="n">
        <x:v>3.306592231914318</x:v>
      </x:c>
      <x:c r="D19" s="32" t="n">
        <x:f>IF(C19="","",(1/'Metadata'!$B$5)^(C19-1))</x:f>
        <x:v>202.57797797060877</x:v>
      </x:c>
      <x:c r="E19" s="31" t="n">
        <x:f>IF(B19=0,"",B19*D19)</x:f>
        <x:v>1228197.6808665297</x:v>
      </x:c>
    </x:row>
    <x:row r="20" ht="18" customHeight="1">
      <x:c r="A20" s="24" t="str">
        <x:v>Small benthopelagics (&lt;30 cm)</x:v>
      </x:c>
      <x:c r="B20" s="31" t="n">
        <x:v>390.7866658411</x:v>
      </x:c>
      <x:c r="C20" s="32" t="n">
        <x:v>3.404056562073493</x:v>
      </x:c>
      <x:c r="D20" s="32" t="n">
        <x:f>IF(C20="","",(1/'Metadata'!$B$5)^(C20-1))</x:f>
        <x:v>253.54588245849058</x:v>
      </x:c>
      <x:c r="E20" s="31" t="n">
        <x:f>IF(B20=0,"",B20*D20)</x:f>
        <x:v>99082.35004369298</x:v>
      </x:c>
    </x:row>
    <x:row r="21" ht="18" customHeight="1">
      <x:c r="A21" s="24" t="str">
        <x:v>Small demersals (&lt;30 cm)</x:v>
      </x:c>
      <x:c r="B21" s="31" t="n">
        <x:v>834.6901221703001</x:v>
      </x:c>
      <x:c r="C21" s="32" t="n">
        <x:v>3.4871542650605605</x:v>
      </x:c>
      <x:c r="D21" s="32" t="n">
        <x:f>IF(C21="","",(1/'Metadata'!$B$5)^(C21-1))</x:f>
        <x:v>307.01123245064815</x:v>
      </x:c>
      <x:c r="E21" s="31" t="n">
        <x:f>IF(B21=0,"",B21*D21)</x:f>
        <x:v>256259.24312188593</x:v>
      </x:c>
    </x:row>
    <x:row r="22" ht="18" customHeight="1">
      <x:c r="A22" s="24" t="str">
        <x:v>Small pelagics (&lt;30 cm)</x:v>
      </x:c>
      <x:c r="B22" s="31" t="n">
        <x:v>3936.4758313771</x:v>
      </x:c>
      <x:c r="C22" s="32" t="n">
        <x:v>3.1227576690669916</x:v>
      </x:c>
      <x:c r="D22" s="32" t="n">
        <x:f>IF(C22="","",(1/'Metadata'!$B$5)^(C22-1))</x:f>
        <x:v>132.66539946938985</x:v>
      </x:c>
      <x:c r="E22" s="31" t="n">
        <x:f>IF(B22=0,"",B22*D22)</x:f>
        <x:v>522234.13867124147</x:v>
      </x:c>
    </x:row>
    <x:row r="23" ht="18" customHeight="1">
      <x:c r="A23" s="24" t="str">
        <x:v>Small reef assoc. fish (&lt;30 cm)</x:v>
      </x:c>
      <x:c r="B23" s="31" t="n">
        <x:v>215.78288270299998</x:v>
      </x:c>
      <x:c r="C23" s="32" t="n">
        <x:v>3.4564333002395315</x:v>
      </x:c>
      <x:c r="D23" s="32" t="n">
        <x:f>IF(C23="","",(1/'Metadata'!$B$5)^(C23-1))</x:f>
        <x:v>286.04430146911574</x:v>
      </x:c>
      <x:c r="E23" s="31" t="n">
        <x:f>IF(B23=0,"",B23*D23)</x:f>
        <x:v>61723.463951771766</x:v>
      </x:c>
    </x:row>
    <x:row r="24" ht="18" customHeight="1">
      <x:c r="A24" s="24" t="str">
        <x:v>Small to medium flatfishes (&lt;90 cm)</x:v>
      </x:c>
      <x:c r="B24" s="31" t="n">
        <x:v>318.66371646899995</x:v>
      </x:c>
      <x:c r="C24" s="32" t="n">
        <x:v>3.649477918748098</x:v>
      </x:c>
      <x:c r="D24" s="32" t="n">
        <x:f>IF(C24="","",(1/'Metadata'!$B$5)^(C24-1))</x:f>
        <x:v>446.14694012645447</x:v>
      </x:c>
      <x:c r="E24" s="31" t="n">
        <x:f>IF(B24=0,"",B24*D24)</x:f>
        <x:v>142170.84203196838</x:v>
      </x:c>
    </x:row>
    <x:row r="25" ht="18" customHeight="1">
      <x:c r="A25" s="24" t="str">
        <x:v>Small to medium rays (&lt;90 cm)</x:v>
      </x:c>
      <x:c r="B25" s="31" t="n">
        <x:v>22.205293505</x:v>
      </x:c>
      <x:c r="C25" s="32" t="n">
        <x:v>3.5722764050886613</x:v>
      </x:c>
      <x:c r="D25" s="32" t="n">
        <x:f>IF(C25="","",(1/'Metadata'!$B$5)^(C25-1))</x:f>
        <x:v>373.4877870651328</x:v>
      </x:c>
      <x:c r="E25" s="31" t="n">
        <x:f>IF(B25=0,"",B25*D25)</x:f>
        <x:v>8293.405932314217</x:v>
      </x:c>
    </x:row>
    <x:row r="26" ht="18" customHeight="1">
      <x:c r="A26" s="24" t="str">
        <x:v>Small to medium sharks (&lt;90 cm)</x:v>
      </x:c>
      <x:c r="B26" s="31" t="n">
        <x:v>13.116680326000001</x:v>
      </x:c>
      <x:c r="C26" s="32" t="n">
        <x:v>3.852811743959094</x:v>
      </x:c>
      <x:c r="D26" s="32" t="n">
        <x:f>IF(C26="","",(1/'Metadata'!$B$5)^(C26-1))</x:f>
        <x:v>712.5440927279947</x:v>
      </x:c>
      <x:c r="E26" s="31" t="n">
        <x:f>IF(B26=0,"",B26*D26)</x:f>
        <x:v>9346.213082492808</x:v>
      </x:c>
    </x:row>
  </x:sheetData>
  <x:pageMargins left="0.7" right="0.7" top="0.75" bottom="0.75" header="0.3" footer="0.3"/>
  <x:tableParts count="1">
    <x:tablePart xmlns:r="http://schemas.openxmlformats.org/officeDocument/2006/relationships" r:id="R64a4aa069ce54ca8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2" hidden="0" customWidth="1"/>
    <x:col min="7" max="7" width="22" hidden="0" customWidth="1"/>
    <x:col min="8" max="8" width="22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36" hidden="0" customWidth="1"/>
    <x:col min="18" max="18" width="22" hidden="0" customWidth="1"/>
    <x:col min="19" max="19" width="22" hidden="0" customWidth="1"/>
    <x:col min="20" max="20" width="18" hidden="0" customWidth="1"/>
    <x:col min="21" max="21" width="18" hidden="0" customWidth="1"/>
  </x:cols>
  <x:sheetData>
    <x:row r="1" ht="32" customHeight="1">
      <x:c r="A1" s="29" t="str">
        <x:v>unit_id</x:v>
      </x:c>
      <x:c r="B1" s="29" t="str">
        <x:v>region_name</x:v>
      </x:c>
      <x:c r="C1" s="29" t="str">
        <x:v>region_type</x:v>
      </x:c>
      <x:c r="D1" s="29" t="str">
        <x:v>year</x:v>
      </x:c>
      <x:c r="E1" s="29" t="str">
        <x:v>taxon</x:v>
      </x:c>
      <x:c r="F1" s="29" t="str">
        <x:v>common_name</x:v>
      </x:c>
      <x:c r="G1" s="29" t="str">
        <x:v>functional_group</x:v>
      </x:c>
      <x:c r="H1" s="29" t="str">
        <x:v>commercial_group</x:v>
      </x:c>
      <x:c r="I1" s="29" t="str">
        <x:v>catch_tonnes</x:v>
      </x:c>
      <x:c r="J1" s="29" t="str">
        <x:v>landings_tonnes</x:v>
      </x:c>
      <x:c r="K1" s="29" t="str">
        <x:v>discards_tonnes</x:v>
      </x:c>
      <x:c r="L1" s="29" t="str">
        <x:v>reported_tonnes</x:v>
      </x:c>
      <x:c r="M1" s="29" t="str">
        <x:v>unreported_tonnes</x:v>
      </x:c>
      <x:c r="N1" s="29" t="str">
        <x:v>taxon_key</x:v>
      </x:c>
      <x:c r="O1" s="29" t="str">
        <x:v>tl</x:v>
      </x:c>
      <x:c r="P1" s="29" t="str">
        <x:v>match_method</x:v>
      </x:c>
      <x:c r="Q1" s="29" t="str">
        <x:v>tl_source</x:v>
      </x:c>
      <x:c r="R1" s="29" t="str">
        <x:v>match_confidence</x:v>
      </x:c>
      <x:c r="S1" s="29" t="str">
        <x:v>reference_taxon</x:v>
      </x:c>
      <x:c r="T1" s="29" t="str">
        <x:v>sppr</x:v>
      </x:c>
      <x:c r="U1" s="29" t="str">
        <x:v>ppr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34" hidden="0" customWidth="1"/>
    <x:col min="3" max="3" width="15" hidden="0" customWidth="1"/>
    <x:col min="4" max="4" width="34" hidden="0" customWidth="1"/>
  </x:cols>
  <x:sheetData>
    <x:row r="1" ht="32" customHeight="1">
      <x:c r="A1" s="29" t="str">
        <x:v>unit_id</x:v>
      </x:c>
      <x:c r="B1" s="29" t="str">
        <x:v>check</x:v>
      </x:c>
      <x:c r="C1" s="29" t="str">
        <x:v>value</x:v>
      </x:c>
      <x:c r="D1" s="29" t="str">
        <x:v>unit</x:v>
      </x:c>
    </x:row>
    <x:row r="2" ht="18" customHeight="1">
      <x:c r="A2" s="24" t="str">
        <x:v>EEZ_901</x:v>
      </x:c>
      <x:c r="B2" s="24" t="str">
        <x:v>raw_filtered_tonnes</x:v>
      </x:c>
      <x:c r="C2" s="24" t="n">
        <x:v>39568.555548646895</x:v>
      </x:c>
      <x:c r="D2" s="24" t="str">
        <x:v>tonnes</x:v>
      </x:c>
    </x:row>
    <x:row r="3" ht="18" customHeight="1">
      <x:c r="A3" s="24" t="str">
        <x:v>EEZ_901</x:v>
      </x:c>
      <x:c r="B3" s="24" t="str">
        <x:v>species_catch_tonnes</x:v>
      </x:c>
      <x:c r="C3" s="24" t="n">
        <x:v>39568.555548646895</x:v>
      </x:c>
      <x:c r="D3" s="24" t="str">
        <x:v>tonnes</x:v>
      </x:c>
    </x:row>
    <x:row r="4" ht="18" customHeight="1">
      <x:c r="A4" s="24" t="str">
        <x:v>EEZ_901</x:v>
      </x:c>
      <x:c r="B4" s="24" t="str">
        <x:v>catch_difference_tonnes</x:v>
      </x:c>
      <x:c r="C4" s="24" t="n">
        <x:v>0</x:v>
      </x:c>
      <x:c r="D4" s="24" t="str">
        <x:v>tonnes</x:v>
      </x:c>
    </x:row>
    <x:row r="5" ht="18" customHeight="1">
      <x:c r="A5" s="24" t="str">
        <x:v>EEZ_901</x:v>
      </x:c>
      <x:c r="B5" s="24" t="str">
        <x:v>catch_reconciled</x:v>
      </x:c>
      <x:c r="C5" s="33" t="b">
        <x:v>1</x:v>
      </x:c>
      <x:c r="D5" s="24" t="str">
        <x:v>boolean</x:v>
      </x:c>
    </x:row>
    <x:row r="6" ht="18" customHeight="1">
      <x:c r="A6" s="24" t="str">
        <x:v>EEZ_901</x:v>
      </x:c>
      <x:c r="B6" s="24" t="str">
        <x:v>matched_catch_tonnes</x:v>
      </x:c>
      <x:c r="C6" s="24" t="n">
        <x:v>39568.555548646895</x:v>
      </x:c>
      <x:c r="D6" s="24" t="str">
        <x:v>tonnes</x:v>
      </x:c>
    </x:row>
    <x:row r="7" ht="18" customHeight="1">
      <x:c r="A7" s="24" t="str">
        <x:v>EEZ_901</x:v>
      </x:c>
      <x:c r="B7" s="24" t="str">
        <x:v>catch_coverage_fraction</x:v>
      </x:c>
      <x:c r="C7" s="24" t="n">
        <x:v>1</x:v>
      </x:c>
      <x:c r="D7" s="24" t="str">
        <x:v>fraction</x:v>
      </x:c>
    </x:row>
    <x:row r="8" ht="18" customHeight="1">
      <x:c r="A8" s="24" t="str">
        <x:v>EEZ_901</x:v>
      </x:c>
      <x:c r="B8" s="24" t="str">
        <x:v>taxa_count</x:v>
      </x:c>
      <x:c r="C8" s="24" t="n">
        <x:v>152</x:v>
      </x:c>
      <x:c r="D8" s="24" t="str">
        <x:v>count</x:v>
      </x:c>
    </x:row>
    <x:row r="9" ht="18" customHeight="1">
      <x:c r="A9" s="24" t="str">
        <x:v>EEZ_901</x:v>
      </x:c>
      <x:c r="B9" s="24" t="str">
        <x:v>matched_taxa_count</x:v>
      </x:c>
      <x:c r="C9" s="24" t="n">
        <x:v>152</x:v>
      </x:c>
      <x:c r="D9" s="24" t="str">
        <x:v>count</x:v>
      </x:c>
    </x:row>
    <x:row r="10" ht="18" customHeight="1">
      <x:c r="A10" s="24" t="str">
        <x:v>EEZ_901</x:v>
      </x:c>
      <x:c r="B10" s="24" t="str">
        <x:v>unmatched_taxa_count</x:v>
      </x:c>
      <x:c r="C10" s="24" t="n">
        <x:v>0</x:v>
      </x:c>
      <x:c r="D10" s="24" t="str">
        <x:v>count</x:v>
      </x:c>
    </x:row>
    <x:row r="11" ht="18" customHeight="1">
      <x:c r="A11" s="24" t="str">
        <x:v>EEZ_901</x:v>
      </x:c>
      <x:c r="B11" s="24" t="str">
        <x:v>species_ppr</x:v>
      </x:c>
      <x:c r="C11" s="24" t="n">
        <x:v>27016327.359729037</x:v>
      </x:c>
      <x:c r="D11" s="24" t="str">
        <x:v>tonnes_primary_production_equivalent</x:v>
      </x:c>
    </x:row>
    <x:row r="12" ht="18" customHeight="1">
      <x:c r="A12" s="24" t="str">
        <x:v>EEZ_901</x:v>
      </x:c>
      <x:c r="B12" s="24" t="str">
        <x:v>commercial_ppr</x:v>
      </x:c>
      <x:c r="C12" s="24" t="n">
        <x:v>21399990.68593382</x:v>
      </x:c>
      <x:c r="D12" s="24" t="str">
        <x:v>tonnes_primary_production_equivalent</x:v>
      </x:c>
    </x:row>
    <x:row r="13" ht="18" customHeight="1">
      <x:c r="A13" s="24" t="str">
        <x:v>EEZ_901</x:v>
      </x:c>
      <x:c r="B13" s="24" t="str">
        <x:v>functional_ppr</x:v>
      </x:c>
      <x:c r="C13" s="24" t="n">
        <x:v>22897615.638034843</x:v>
      </x:c>
      <x:c r="D13" s="24" t="str">
        <x:v>tonnes_primary_production_equivalent</x:v>
      </x:c>
    </x:row>
    <x:row r="14" ht="18" customHeight="1">
      <x:c r="A14" s="24" t="str">
        <x:v>EEZ_901</x:v>
      </x:c>
      <x:c r="B14" s="24" t="str">
        <x:v>commercial_ppr_difference</x:v>
      </x:c>
      <x:c r="C14" s="24" t="n">
        <x:v>-5616336.673795216</x:v>
      </x:c>
      <x:c r="D14" s="24" t="str">
        <x:v>tonnes_primary_production_equivalent</x:v>
      </x:c>
    </x:row>
    <x:row r="15" ht="18" customHeight="1">
      <x:c r="A15" s="24" t="str">
        <x:v>EEZ_901</x:v>
      </x:c>
      <x:c r="B15" s="24" t="str">
        <x:v>functional_ppr_difference</x:v>
      </x:c>
      <x:c r="C15" s="24" t="n">
        <x:v>-4118711.721694194</x:v>
      </x:c>
      <x:c r="D15" s="24" t="str">
        <x:v>tonnes_primary_production_equivalent</x:v>
      </x:c>
    </x:row>
    <x:row r="16" ht="18" customHeight="1">
      <x:c r="A16" s="24" t="str">
        <x:v>EEZ_901</x:v>
      </x:c>
      <x:c r="B16" s="24" t="str">
        <x:v>tl_coverage_complete</x:v>
      </x:c>
      <x:c r="C16" s="33" t="b">
        <x:v>1</x:v>
      </x:c>
      <x:c r="D16" s="24" t="str">
        <x:v>boolean</x:v>
      </x:c>
    </x:row>
    <x:row r="17" ht="18" customHeight="1">
      <x:c r="A17" s="24" t="str">
        <x:v>EEZ_901</x:v>
      </x:c>
      <x:c r="B17" s="24" t="str">
        <x:v>group_ppr_within_convexity_bound</x:v>
      </x:c>
      <x:c r="C17" s="33" t="b">
        <x:v>1</x:v>
      </x:c>
      <x:c r="D17" s="24" t="str">
        <x:v>boolean</x:v>
      </x:c>
    </x:row>
  </x:sheetData>
  <x:pageMargins left="0.7" right="0.7" top="0.75" bottom="0.75" header="0.3" footer="0.3"/>
  <x:tableParts count="1">
    <x:tablePart xmlns:r="http://schemas.openxmlformats.org/officeDocument/2006/relationships" r:id="Race0e345f8b4410c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28" hidden="0" customWidth="1"/>
    <x:col min="3" max="3" width="68" hidden="0" customWidth="1"/>
  </x:cols>
  <x:sheetData>
    <x:row r="1" ht="30" customHeight="1">
      <x:c r="A1" s="3" t="str">
        <x:v>EEZ_901 - Sicily (Italy)</x:v>
      </x:c>
      <x:c r="B1" s="3"/>
      <x:c r="C1" s="3"/>
    </x:row>
    <x:row r="3">
      <x:c r="A3" s="7" t="str">
        <x:v>Field</x:v>
      </x:c>
      <x:c r="B3" s="8" t="str">
        <x:v>Value</x:v>
      </x:c>
      <x:c r="C3" s="9" t="str">
        <x:v>Notes / source</x:v>
      </x:c>
    </x:row>
    <x:row r="4">
      <x:c r="A4" s="22" t="str">
        <x:v>Unit ID</x:v>
      </x:c>
      <x:c r="B4" s="17" t="str">
        <x:v>EEZ_901</x:v>
      </x:c>
      <x:c r="C4" s="18" t="str">
        <x:v>Sea Around Us region identifier</x:v>
      </x:c>
    </x:row>
    <x:row r="5">
      <x:c r="A5" s="22" t="str">
        <x:v>Transfer efficiency</x:v>
      </x:c>
      <x:c r="B5" s="34" t="n">
        <x:v>0.1</x:v>
      </x:c>
      <x:c r="C5" s="18" t="str">
        <x:v>Used by every SPPR formula</x:v>
      </x:c>
    </x:row>
    <x:row r="6">
      <x:c r="A6" s="22" t="str">
        <x:v>Year</x:v>
      </x:c>
      <x:c r="B6" s="17" t="n">
        <x:v>2019</x:v>
      </x:c>
      <x:c r="C6" s="18" t="str">
        <x:v>Latest year common to all 282 datasets</x:v>
      </x:c>
    </x:row>
    <x:row r="7">
      <x:c r="A7" s="22" t="str">
        <x:v>Region type</x:v>
      </x:c>
      <x:c r="B7" s="17" t="str">
        <x:v>EEZ</x:v>
      </x:c>
      <x:c r="C7" s="18" t="str">
        <x:v>Sea Around Us spatial classification</x:v>
      </x:c>
    </x:row>
    <x:row r="8">
      <x:c r="A8" s="22" t="str">
        <x:v>Catch scope</x:v>
      </x:c>
      <x:c r="B8" s="17" t="str">
        <x:v>Landings + Discards</x:v>
      </x:c>
      <x:c r="C8" s="18" t="str">
        <x:v>Reported + unreported; all sectors, gears, entities, and end uses</x:v>
      </x:c>
    </x:row>
    <x:row r="9">
      <x:c r="A9" s="22" t="str">
        <x:v>SPPR formula</x:v>
      </x:c>
      <x:c r="B9" s="17" t="str">
        <x:v>(1 / TE)^(TL - 1)</x:v>
      </x:c>
      <x:c r="C9" s="18" t="str">
        <x:v>TE is the Metadata!B5 value</x:v>
      </x:c>
    </x:row>
    <x:row r="10">
      <x:c r="A10" s="22" t="str">
        <x:v>PPR formula</x:v>
      </x:c>
      <x:c r="B10" s="17" t="str">
        <x:v>Catch tonnes × SPPR</x:v>
      </x:c>
      <x:c r="C10" s="18" t="str">
        <x:v>Unit: tonnes primary-production equivalent</x:v>
      </x:c>
    </x:row>
    <x:row r="11">
      <x:c r="A11" s="22" t="str">
        <x:v>Wet-weight/carbon divisor</x:v>
      </x:c>
      <x:c r="B11" s="17" t="str">
        <x:v>Not applied</x:v>
      </x:c>
      <x:c r="C11" s="18" t="str">
        <x:v>The paper's /9 conversion is intentionally omitted</x:v>
      </x:c>
    </x:row>
    <x:row r="12">
      <x:c r="A12" s="22" t="str">
        <x:v>Primary TL source</x:v>
      </x:c>
      <x:c r="B12" s="17" t="str">
        <x:v>2020 supplement MeanTL</x:v>
      </x:c>
      <x:c r="C12" s="18" t="str">
        <x:v>No SPPR regression from the supplement is used</x:v>
      </x:c>
    </x:row>
    <x:row r="13">
      <x:c r="A13" s="22" t="str">
        <x:v>Secondary TL source</x:v>
      </x:c>
      <x:c r="B13" s="17" t="str">
        <x:v>Sea Around Us exploited organisms</x:v>
      </x:c>
      <x:c r="C13" s="18" t="str">
        <x:v>Exact taxon matches, followed by documented fallbacks</x:v>
      </x:c>
    </x:row>
    <x:row r="14">
      <x:c r="A14" s="22" t="str">
        <x:v>Catch data URL</x:v>
      </x:c>
      <x:c r="B14" s="17" t="str">
        <x:v>https://www.seaaroundus.org/data/</x:v>
      </x:c>
      <x:c r="C14" s="18" t="str">
        <x:v>Frozen archive: raw_data/SAU_downloads/EEZ_901-catch.zip</x:v>
      </x:c>
    </x:row>
    <x:row r="15">
      <x:c r="A15" s="23" t="str">
        <x:v>Method source</x:v>
      </x:c>
      <x:c r="B15" s="20" t="str">
        <x:v>Pauly &amp; Christensen (1995)</x:v>
      </x:c>
      <x:c r="C15" s="21" t="str">
        <x:v>Nature 374:255-257</x:v>
      </x:c>
    </x:row>
  </x:sheetData>
  <x:mergeCells>
    <x:mergeCell ref="A1:C1"/>
  </x:mergeCells>
  <x:pageMargins left="0.7" right="0.7" top="0.75" bottom="0.75" header="0.3" footer="0.3"/>
</x:worksheet>
</file>