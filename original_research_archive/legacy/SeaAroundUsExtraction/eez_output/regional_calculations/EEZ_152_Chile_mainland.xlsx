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c1605f634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fc1da844d4c4a2c"/>
    <x:sheet xmlns:r="http://schemas.openxmlformats.org/officeDocument/2006/relationships" name="Commercial" sheetId="2" r:id="Rdb8867c6a8d847cb"/>
    <x:sheet xmlns:r="http://schemas.openxmlformats.org/officeDocument/2006/relationships" name="Functional" sheetId="3" r:id="R4d62dc7de7ea42b9"/>
    <x:sheet xmlns:r="http://schemas.openxmlformats.org/officeDocument/2006/relationships" name="Missing TL" sheetId="4" r:id="Re5d792e39b1d4d30"/>
    <x:sheet xmlns:r="http://schemas.openxmlformats.org/officeDocument/2006/relationships" name="Validation" sheetId="5" r:id="Rc717629aa7b34436"/>
    <x:sheet xmlns:r="http://schemas.openxmlformats.org/officeDocument/2006/relationships" name="Metadata" sheetId="6" r:id="R1b17556f3478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47c8916ce412c" /><Relationship Type="http://schemas.openxmlformats.org/officeDocument/2006/relationships/theme" Target="/xl/theme/theme1.xml" Id="R6600cd024e7e46a6" /><Relationship Type="http://schemas.microsoft.com/office/2022/11/relationships/FeaturePropertyBag" Target="/xl/featurePropertyBag/featurePropertyBag.xml" Id="R390418d9bd8d495c" /><Relationship Type="http://schemas.openxmlformats.org/officeDocument/2006/relationships/sharedStrings" Target="/xl/sharedStrings.xml" Id="R2a12e062bbcf43fd" /><Relationship Type="http://schemas.openxmlformats.org/officeDocument/2006/relationships/worksheet" Target="/xl/worksheets/sheet1.xml" Id="R3fc1da844d4c4a2c" /><Relationship Type="http://schemas.openxmlformats.org/officeDocument/2006/relationships/worksheet" Target="/xl/worksheets/sheet2.xml" Id="Rdb8867c6a8d847cb" /><Relationship Type="http://schemas.openxmlformats.org/officeDocument/2006/relationships/worksheet" Target="/xl/worksheets/sheet3.xml" Id="R4d62dc7de7ea42b9" /><Relationship Type="http://schemas.openxmlformats.org/officeDocument/2006/relationships/worksheet" Target="/xl/worksheets/sheet4.xml" Id="Re5d792e39b1d4d30" /><Relationship Type="http://schemas.openxmlformats.org/officeDocument/2006/relationships/worksheet" Target="/xl/worksheets/sheet5.xml" Id="Rc717629aa7b34436" /><Relationship Type="http://schemas.openxmlformats.org/officeDocument/2006/relationships/worksheet" Target="/xl/worksheets/sheet6.xml" Id="R1b17556f347846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52SpeciesTable" displayName="EEZ152SpeciesTable" ref="A1:U130" headerRowCount="1" totalsRowCount="0" totalsRowShown="0">
  <x:autoFilter ref="A1:U1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52CommercialTable" displayName="EEZ152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52FunctionalTable" displayName="EEZ152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52ValidationTable" displayName="EEZ15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2eb66da4324a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68ff2a54c444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4d908d591541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59d42765d844d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EEZ_152</x:v>
      </x:c>
      <x:c r="B2" s="24" t="str">
        <x:v>Chile (mainland)</x:v>
      </x:c>
      <x:c r="C2" s="24" t="str">
        <x:v>EEZ</x:v>
      </x:c>
      <x:c r="D2" s="30" t="n">
        <x:v>2019</x:v>
      </x:c>
      <x:c r="E2" s="24" t="str">
        <x:v>Engraulis ringens</x:v>
      </x:c>
      <x:c r="F2" s="24" t="str">
        <x:v>Anchoveta</x:v>
      </x:c>
      <x:c r="G2" s="24" t="str">
        <x:v>Small pelagics (&lt;30 cm)</x:v>
      </x:c>
      <x:c r="H2" s="24" t="str">
        <x:v>Anchovies</x:v>
      </x:c>
      <x:c r="I2" s="31" t="n">
        <x:v>656453.6225315363</x:v>
      </x:c>
      <x:c r="J2" s="31" t="n">
        <x:v>656453.6225315363</x:v>
      </x:c>
      <x:c r="K2" s="31" t="n">
        <x:v>0</x:v>
      </x:c>
      <x:c r="L2" s="31" t="n">
        <x:v>638134.532349095</x:v>
      </x:c>
      <x:c r="M2" s="31" t="n">
        <x:v>18319.0901824413</x:v>
      </x:c>
      <x:c r="N2" s="24" t="str">
        <x:v>engraulis ringens</x:v>
      </x:c>
      <x:c r="O2" s="32" t="n">
        <x:v>2.7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ringens</x:v>
      </x:c>
      <x:c r="T2" s="32" t="n">
        <x:f>IF(O2="","",(1/'Metadata'!$B$5)^(O2-1))</x:f>
        <x:v>50.11872336272725</x:v>
      </x:c>
      <x:c r="U2" s="31" t="n">
        <x:f>IF(T2="","",I2*T2)</x:f>
        <x:v>32900617.508118242</x:v>
      </x:c>
    </x:row>
    <x:row r="3" ht="18" customHeight="1">
      <x:c r="A3" s="24" t="str">
        <x:v>EEZ_152</x:v>
      </x:c>
      <x:c r="B3" s="24" t="str">
        <x:v>Chile (mainland)</x:v>
      </x:c>
      <x:c r="C3" s="24" t="str">
        <x:v>EEZ</x:v>
      </x:c>
      <x:c r="D3" s="30" t="n">
        <x:v>2019</x:v>
      </x:c>
      <x:c r="E3" s="24" t="str">
        <x:v>Strangomera bentincki</x:v>
      </x:c>
      <x:c r="F3" s="24" t="str">
        <x:v>Araucanian herring</x:v>
      </x:c>
      <x:c r="G3" s="24" t="str">
        <x:v>Small pelagics (&lt;30 cm)</x:v>
      </x:c>
      <x:c r="H3" s="24" t="str">
        <x:v>Herring-likes</x:v>
      </x:c>
      <x:c r="I3" s="31" t="n">
        <x:v>316605</x:v>
      </x:c>
      <x:c r="J3" s="31" t="n">
        <x:v>316605</x:v>
      </x:c>
      <x:c r="K3" s="31" t="n">
        <x:v>0</x:v>
      </x:c>
      <x:c r="L3" s="31" t="n">
        <x:v>316605</x:v>
      </x:c>
      <x:c r="M3" s="31" t="n">
        <x:v>0</x:v>
      </x:c>
      <x:c r="N3" s="24" t="str">
        <x:v>strangomera bentincki</x:v>
      </x:c>
      <x:c r="O3" s="32" t="n">
        <x:v>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Strangomera bentincki</x:v>
      </x:c>
      <x:c r="T3" s="32" t="n">
        <x:f>IF(O3="","",(1/'Metadata'!$B$5)^(O3-1))</x:f>
        <x:v>10</x:v>
      </x:c>
      <x:c r="U3" s="31" t="n">
        <x:f>IF(T3="","",I3*T3)</x:f>
        <x:v>3166050</x:v>
      </x:c>
    </x:row>
    <x:row r="4" ht="18" customHeight="1">
      <x:c r="A4" s="24" t="str">
        <x:v>EEZ_152</x:v>
      </x:c>
      <x:c r="B4" s="24" t="str">
        <x:v>Chile (mainland)</x:v>
      </x:c>
      <x:c r="C4" s="24" t="str">
        <x:v>EEZ</x:v>
      </x:c>
      <x:c r="D4" s="30" t="n">
        <x:v>2019</x:v>
      </x:c>
      <x:c r="E4" s="24" t="str">
        <x:v>Trachurus murphyi</x:v>
      </x:c>
      <x:c r="F4" s="24" t="str">
        <x:v>Chilean jack mackerel</x:v>
      </x:c>
      <x:c r="G4" s="24" t="str">
        <x:v>Medium pelagics (30 - 89 cm)</x:v>
      </x:c>
      <x:c r="H4" s="24" t="str">
        <x:v>Perch-likes</x:v>
      </x:c>
      <x:c r="I4" s="31" t="n">
        <x:v>309533.0639407109</x:v>
      </x:c>
      <x:c r="J4" s="31" t="n">
        <x:v>309533.0639407109</x:v>
      </x:c>
      <x:c r="K4" s="31" t="n">
        <x:v>0</x:v>
      </x:c>
      <x:c r="L4" s="31" t="n">
        <x:v>305572.5444237618</x:v>
      </x:c>
      <x:c r="M4" s="31" t="n">
        <x:v>3960.5195169491</x:v>
      </x:c>
      <x:c r="N4" s="24" t="str">
        <x:v>trachurus murphyi</x:v>
      </x:c>
      <x:c r="O4" s="32" t="n">
        <x:v>3.33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murphyi</x:v>
      </x:c>
      <x:c r="T4" s="32" t="n">
        <x:f>IF(O4="","",(1/'Metadata'!$B$5)^(O4-1))</x:f>
        <x:v>213.79620895022325</x:v>
      </x:c>
      <x:c r="U4" s="31" t="n">
        <x:f>IF(T4="","",I4*T4)</x:f>
        <x:v>66176995.61527104</x:v>
      </x:c>
    </x:row>
    <x:row r="5" ht="18" customHeight="1">
      <x:c r="A5" s="24" t="str">
        <x:v>EEZ_152</x:v>
      </x:c>
      <x:c r="B5" s="24" t="str">
        <x:v>Chile (mainland)</x:v>
      </x:c>
      <x:c r="C5" s="24" t="str">
        <x:v>EEZ</x:v>
      </x:c>
      <x:c r="D5" s="30" t="n">
        <x:v>2019</x:v>
      </x:c>
      <x:c r="E5" s="24" t="str">
        <x:v>Scomber japonicus</x:v>
      </x:c>
      <x:c r="F5" s="24" t="str">
        <x:v>Pacific chub mackerel</x:v>
      </x:c>
      <x:c r="G5" s="24" t="str">
        <x:v>Medium pelagics (30 - 89 cm)</x:v>
      </x:c>
      <x:c r="H5" s="24" t="str">
        <x:v>Perch-likes</x:v>
      </x:c>
      <x:c r="I5" s="31" t="n">
        <x:v>65536.7885298162</x:v>
      </x:c>
      <x:c r="J5" s="31" t="n">
        <x:v>65536.7885298162</x:v>
      </x:c>
      <x:c r="K5" s="31" t="n">
        <x:v>0</x:v>
      </x:c>
      <x:c r="L5" s="31" t="n">
        <x:v>63380.37105447809</x:v>
      </x:c>
      <x:c r="M5" s="31" t="n">
        <x:v>2156.4174753381</x:v>
      </x:c>
      <x:c r="N5" s="24" t="str">
        <x:v>scomber japonicus</x:v>
      </x:c>
      <x:c r="O5" s="32" t="n">
        <x:v>3.38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japonicus</x:v>
      </x:c>
      <x:c r="T5" s="32" t="n">
        <x:f>IF(O5="","",(1/'Metadata'!$B$5)^(O5-1))</x:f>
        <x:v>239.88329190194898</x:v>
      </x:c>
      <x:c r="U5" s="31" t="n">
        <x:f>IF(T5="","",I5*T5)</x:f>
        <x:v>15721180.573214201</x:v>
      </x:c>
    </x:row>
    <x:row r="6" ht="18" customHeight="1">
      <x:c r="A6" s="24" t="str">
        <x:v>EEZ_152</x:v>
      </x:c>
      <x:c r="B6" s="24" t="str">
        <x:v>Chile (mainland)</x:v>
      </x:c>
      <x:c r="C6" s="24" t="str">
        <x:v>EEZ</x:v>
      </x:c>
      <x:c r="D6" s="30" t="n">
        <x:v>2019</x:v>
      </x:c>
      <x:c r="E6" s="24" t="str">
        <x:v>Brama australis</x:v>
      </x:c>
      <x:c r="F6" s="24" t="str">
        <x:v>Southern rays bream</x:v>
      </x:c>
      <x:c r="G6" s="24" t="str">
        <x:v>Medium pelagics (30 - 89 cm)</x:v>
      </x:c>
      <x:c r="H6" s="24" t="str">
        <x:v>Perch-likes</x:v>
      </x:c>
      <x:c r="I6" s="31" t="n">
        <x:v>41095.4898128013</x:v>
      </x:c>
      <x:c r="J6" s="31" t="n">
        <x:v>40567.996267203496</x:v>
      </x:c>
      <x:c r="K6" s="31" t="n">
        <x:v>527.4935455978</x:v>
      </x:c>
      <x:c r="L6" s="31" t="n">
        <x:v>38516.999999999694</x:v>
      </x:c>
      <x:c r="M6" s="31" t="n">
        <x:v>2578.4898128016002</x:v>
      </x:c>
      <x:c r="N6" s="24" t="str">
        <x:v>brama australis</x:v>
      </x:c>
      <x:c r="O6" s="32" t="n">
        <x:v>4.2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Brama australis</x:v>
      </x:c>
      <x:c r="T6" s="32" t="n">
        <x:f>IF(O6="","",(1/'Metadata'!$B$5)^(O6-1))</x:f>
        <x:v>1584.893192461114</x:v>
      </x:c>
      <x:c r="U6" s="31" t="n">
        <x:f>IF(T6="","",I6*T6)</x:f>
        <x:v>65131962.04516384</x:v>
      </x:c>
    </x:row>
    <x:row r="7" ht="18" customHeight="1">
      <x:c r="A7" s="24" t="str">
        <x:v>EEZ_152</x:v>
      </x:c>
      <x:c r="B7" s="24" t="str">
        <x:v>Chile (mainland)</x:v>
      </x:c>
      <x:c r="C7" s="24" t="str">
        <x:v>EEZ</x:v>
      </x:c>
      <x:c r="D7" s="30" t="n">
        <x:v>2019</x:v>
      </x:c>
      <x:c r="E7" s="24" t="str">
        <x:v>Loxechinus albus</x:v>
      </x:c>
      <x:c r="F7" s="24" t="str">
        <x:v>Chilean sea urchin</x:v>
      </x:c>
      <x:c r="G7" s="24" t="str">
        <x:v>Other demersal invertebrates</x:v>
      </x:c>
      <x:c r="H7" s="24" t="str">
        <x:v>Other fishes &amp; inverts</x:v>
      </x:c>
      <x:c r="I7" s="31" t="n">
        <x:v>35402.2110971156</x:v>
      </x:c>
      <x:c r="J7" s="31" t="n">
        <x:v>35402.2110971156</x:v>
      </x:c>
      <x:c r="K7" s="31" t="n">
        <x:v>0</x:v>
      </x:c>
      <x:c r="L7" s="31" t="n">
        <x:v>33016</x:v>
      </x:c>
      <x:c r="M7" s="31" t="n">
        <x:v>2386.2110971156</x:v>
      </x:c>
      <x:c r="N7" s="24" t="str">
        <x:v>loxechinus albus</x:v>
      </x:c>
      <x:c r="O7" s="32" t="n">
        <x:v>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Loxechinus albus</x:v>
      </x:c>
      <x:c r="T7" s="32" t="n">
        <x:f>IF(O7="","",(1/'Metadata'!$B$5)^(O7-1))</x:f>
        <x:v>10</x:v>
      </x:c>
      <x:c r="U7" s="31" t="n">
        <x:f>IF(T7="","",I7*T7)</x:f>
        <x:v>354022.110971156</x:v>
      </x:c>
    </x:row>
    <x:row r="8" ht="18" customHeight="1">
      <x:c r="A8" s="24" t="str">
        <x:v>EEZ_152</x:v>
      </x:c>
      <x:c r="B8" s="24" t="str">
        <x:v>Chile (mainland)</x:v>
      </x:c>
      <x:c r="C8" s="24" t="str">
        <x:v>EEZ</x:v>
      </x:c>
      <x:c r="D8" s="30" t="n">
        <x:v>2019</x:v>
      </x:c>
      <x:c r="E8" s="24" t="str">
        <x:v>Dosidicus gigas</x:v>
      </x:c>
      <x:c r="F8" s="24" t="str">
        <x:v>Jumbo flying squid</x:v>
      </x:c>
      <x:c r="G8" s="24" t="str">
        <x:v>Cephalopods</x:v>
      </x:c>
      <x:c r="H8" s="24" t="str">
        <x:v>Other fishes &amp; inverts</x:v>
      </x:c>
      <x:c r="I8" s="31" t="n">
        <x:v>34549.3839689579</x:v>
      </x:c>
      <x:c r="J8" s="31" t="n">
        <x:v>34549.3839689579</x:v>
      </x:c>
      <x:c r="K8" s="31" t="n">
        <x:v>0</x:v>
      </x:c>
      <x:c r="L8" s="31" t="n">
        <x:v>22928.7026309819</x:v>
      </x:c>
      <x:c r="M8" s="31" t="n">
        <x:v>11620.681337975999</x:v>
      </x:c>
      <x:c r="N8" s="24" t="str">
        <x:v>dosidicus gigas</x:v>
      </x:c>
      <x:c r="O8" s="32" t="n">
        <x:v>4.14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Dosidicus gigas</x:v>
      </x:c>
      <x:c r="T8" s="32" t="n">
        <x:f>IF(O8="","",(1/'Metadata'!$B$5)^(O8-1))</x:f>
        <x:v>1380.3842646028838</x:v>
      </x:c>
      <x:c r="U8" s="31" t="n">
        <x:f>IF(T8="","",I8*T8)</x:f>
        <x:v>47691425.98247262</x:v>
      </x:c>
    </x:row>
    <x:row r="9" ht="18" customHeight="1">
      <x:c r="A9" s="24" t="str">
        <x:v>EEZ_152</x:v>
      </x:c>
      <x:c r="B9" s="24" t="str">
        <x:v>Chile (mainland)</x:v>
      </x:c>
      <x:c r="C9" s="24" t="str">
        <x:v>EEZ</x:v>
      </x:c>
      <x:c r="D9" s="30" t="n">
        <x:v>2019</x:v>
      </x:c>
      <x:c r="E9" s="24" t="str">
        <x:v>Merluccius gayi</x:v>
      </x:c>
      <x:c r="F9" s="24" t="str">
        <x:v>South Pacific hake</x:v>
      </x:c>
      <x:c r="G9" s="24" t="str">
        <x:v>Medium bathydemersals (30 - 89 cm)</x:v>
      </x:c>
      <x:c r="H9" s="24" t="str">
        <x:v>Cod-likes</x:v>
      </x:c>
      <x:c r="I9" s="31" t="n">
        <x:v>22593.536074159398</x:v>
      </x:c>
      <x:c r="J9" s="31" t="n">
        <x:v>21274.8022101647</x:v>
      </x:c>
      <x:c r="K9" s="31" t="n">
        <x:v>1318.7338639947</x:v>
      </x:c>
      <x:c r="L9" s="31" t="n">
        <x:v>20664.9999999997</x:v>
      </x:c>
      <x:c r="M9" s="31" t="n">
        <x:v>1928.5360741596999</x:v>
      </x:c>
      <x:c r="N9" s="24" t="str">
        <x:v>merluccius gayi</x:v>
      </x:c>
      <x:c r="O9" s="32" t="n">
        <x:v>4.26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Merluccius gayi</x:v>
      </x:c>
      <x:c r="T9" s="32" t="n">
        <x:f>IF(O9="","",(1/'Metadata'!$B$5)^(O9-1))</x:f>
        <x:v>1819.7008586099826</x:v>
      </x:c>
      <x:c r="U9" s="31" t="n">
        <x:f>IF(T9="","",I9*T9)</x:f>
        <x:v>41113476.99318347</x:v>
      </x:c>
    </x:row>
    <x:row r="10" ht="18" customHeight="1">
      <x:c r="A10" s="24" t="str">
        <x:v>EEZ_152</x:v>
      </x:c>
      <x:c r="B10" s="24" t="str">
        <x:v>Chile (mainland)</x:v>
      </x:c>
      <x:c r="C10" s="24" t="str">
        <x:v>EEZ</x:v>
      </x:c>
      <x:c r="D10" s="30" t="n">
        <x:v>2019</x:v>
      </x:c>
      <x:c r="E10" s="24" t="str">
        <x:v>Clupeidae</x:v>
      </x:c>
      <x:c r="F10" s="24" t="str">
        <x:v>Herrings, sardines, menhadens</x:v>
      </x:c>
      <x:c r="G10" s="24" t="str">
        <x:v>Small pelagics (&lt;30 cm)</x:v>
      </x:c>
      <x:c r="H10" s="24" t="str">
        <x:v>Herring-likes</x:v>
      </x:c>
      <x:c r="I10" s="31" t="n">
        <x:v>17859.2294717593</x:v>
      </x:c>
      <x:c r="J10" s="31" t="n">
        <x:v>17859.2294717593</x:v>
      </x:c>
      <x:c r="K10" s="31" t="n">
        <x:v>0</x:v>
      </x:c>
      <x:c r="L10" s="31" t="n">
        <x:v>0</x:v>
      </x:c>
      <x:c r="M10" s="31" t="n">
        <x:v>17859.2294717593</x:v>
      </x:c>
      <x:c r="N10" s="24" t="str">
        <x:v>clupeidae</x:v>
      </x:c>
      <x:c r="O10" s="32" t="n">
        <x:v>3.16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Clupeidae</x:v>
      </x:c>
      <x:c r="T10" s="32" t="n">
        <x:f>IF(O10="","",(1/'Metadata'!$B$5)^(O10-1))</x:f>
        <x:v>144.5439770745928</x:v>
      </x:c>
      <x:c r="U10" s="31" t="n">
        <x:f>IF(T10="","",I10*T10)</x:f>
        <x:v>2581444.055335868</x:v>
      </x:c>
    </x:row>
    <x:row r="11" ht="18" customHeight="1">
      <x:c r="A11" s="24" t="str">
        <x:v>EEZ_152</x:v>
      </x:c>
      <x:c r="B11" s="24" t="str">
        <x:v>Chile (mainland)</x:v>
      </x:c>
      <x:c r="C11" s="24" t="str">
        <x:v>EEZ</x:v>
      </x:c>
      <x:c r="D11" s="30" t="n">
        <x:v>2019</x:v>
      </x:c>
      <x:c r="E11" s="24" t="str">
        <x:v>Ethmidium maculatum</x:v>
      </x:c>
      <x:c r="F11" s="24" t="str">
        <x:v>Pacific menhaden</x:v>
      </x:c>
      <x:c r="G11" s="24" t="str">
        <x:v>Small pelagics (&lt;30 cm)</x:v>
      </x:c>
      <x:c r="H11" s="24" t="str">
        <x:v>Herring-likes</x:v>
      </x:c>
      <x:c r="I11" s="31" t="n">
        <x:v>16079.0956416352</x:v>
      </x:c>
      <x:c r="J11" s="31" t="n">
        <x:v>16079.0956416352</x:v>
      </x:c>
      <x:c r="K11" s="31" t="n">
        <x:v>0</x:v>
      </x:c>
      <x:c r="L11" s="31" t="n">
        <x:v>14596.35</x:v>
      </x:c>
      <x:c r="M11" s="31" t="n">
        <x:v>1482.7456416352</x:v>
      </x:c>
      <x:c r="N11" s="24" t="str">
        <x:v>ethmidium maculatum</x:v>
      </x:c>
      <x:c r="O11" s="32" t="n">
        <x:v>2.07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Ethmidium maculatum</x:v>
      </x:c>
      <x:c r="T11" s="32" t="n">
        <x:f>IF(O11="","",(1/'Metadata'!$B$5)^(O11-1))</x:f>
        <x:v>11.748975549395292</x:v>
      </x:c>
      <x:c r="U11" s="31" t="n">
        <x:f>IF(T11="","",I11*T11)</x:f>
        <x:v>188912.90154996037</x:v>
      </x:c>
    </x:row>
    <x:row r="12" ht="18" customHeight="1">
      <x:c r="A12" s="24" t="str">
        <x:v>EEZ_152</x:v>
      </x:c>
      <x:c r="B12" s="24" t="str">
        <x:v>Chile (mainland)</x:v>
      </x:c>
      <x:c r="C12" s="24" t="str">
        <x:v>EEZ</x:v>
      </x:c>
      <x:c r="D12" s="30" t="n">
        <x:v>2019</x:v>
      </x:c>
      <x:c r="E12" s="24" t="str">
        <x:v>Sprattus fuegensis</x:v>
      </x:c>
      <x:c r="F12" s="24" t="str">
        <x:v>Falkland sprat</x:v>
      </x:c>
      <x:c r="G12" s="24" t="str">
        <x:v>Small pelagics (&lt;30 cm)</x:v>
      </x:c>
      <x:c r="H12" s="24" t="str">
        <x:v>Herring-likes</x:v>
      </x:c>
      <x:c r="I12" s="31" t="n">
        <x:v>14526.6526680282</x:v>
      </x:c>
      <x:c r="J12" s="31" t="n">
        <x:v>14526.6526680282</x:v>
      </x:c>
      <x:c r="K12" s="31" t="n">
        <x:v>0</x:v>
      </x:c>
      <x:c r="L12" s="31" t="n">
        <x:v>12586</x:v>
      </x:c>
      <x:c r="M12" s="31" t="n">
        <x:v>1940.6526680282</x:v>
      </x:c>
      <x:c r="N12" s="24" t="str">
        <x:v>sprattus fuegensis</x:v>
      </x:c>
      <x:c r="O12" s="32" t="n">
        <x:v>3.4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Sprattus fuegensis</x:v>
      </x:c>
      <x:c r="T12" s="32" t="n">
        <x:f>IF(O12="","",(1/'Metadata'!$B$5)^(O12-1))</x:f>
        <x:v>251.18864315095797</x:v>
      </x:c>
      <x:c r="U12" s="31" t="n">
        <x:f>IF(T12="","",I12*T12)</x:f>
        <x:v>3648930.173207247</x:v>
      </x:c>
    </x:row>
    <x:row r="13" ht="18" customHeight="1">
      <x:c r="A13" s="24" t="str">
        <x:v>EEZ_152</x:v>
      </x:c>
      <x:c r="B13" s="24" t="str">
        <x:v>Chile (mainland)</x:v>
      </x:c>
      <x:c r="C13" s="24" t="str">
        <x:v>EEZ</x:v>
      </x:c>
      <x:c r="D13" s="30" t="n">
        <x:v>2019</x:v>
      </x:c>
      <x:c r="E13" s="24" t="str">
        <x:v>Ameghinomya antiqua</x:v>
      </x:c>
      <x:c r="F13" s="24" t="str">
        <x:v>Cancellated clam</x:v>
      </x:c>
      <x:c r="G13" s="24" t="str">
        <x:v>Other demersal invertebrates</x:v>
      </x:c>
      <x:c r="H13" s="24" t="str">
        <x:v>Molluscs</x:v>
      </x:c>
      <x:c r="I13" s="31" t="n">
        <x:v>12037</x:v>
      </x:c>
      <x:c r="J13" s="31" t="n">
        <x:v>12037</x:v>
      </x:c>
      <x:c r="K13" s="31" t="n">
        <x:v>0</x:v>
      </x:c>
      <x:c r="L13" s="31" t="n">
        <x:v>12037</x:v>
      </x:c>
      <x:c r="M13" s="31" t="n">
        <x:v>0</x:v>
      </x:c>
      <x:c r="N13" s="24" t="str">
        <x:v>ameghinomya antiqua</x:v>
      </x:c>
      <x:c r="O13" s="32" t="n">
        <x:v>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Ameghinomya antiqua</x:v>
      </x:c>
      <x:c r="T13" s="32" t="n">
        <x:f>IF(O13="","",(1/'Metadata'!$B$5)^(O13-1))</x:f>
        <x:v>10</x:v>
      </x:c>
      <x:c r="U13" s="31" t="n">
        <x:f>IF(T13="","",I13*T13)</x:f>
        <x:v>120370</x:v>
      </x:c>
    </x:row>
    <x:row r="14" ht="18" customHeight="1">
      <x:c r="A14" s="24" t="str">
        <x:v>EEZ_152</x:v>
      </x:c>
      <x:c r="B14" s="24" t="str">
        <x:v>Chile (mainland)</x:v>
      </x:c>
      <x:c r="C14" s="24" t="str">
        <x:v>EEZ</x:v>
      </x:c>
      <x:c r="D14" s="30" t="n">
        <x:v>2019</x:v>
      </x:c>
      <x:c r="E14" s="24" t="str">
        <x:v>Normanichthys crockeri</x:v>
      </x:c>
      <x:c r="F14" s="24" t="str">
        <x:v>Mote sculpin</x:v>
      </x:c>
      <x:c r="G14" s="24" t="str">
        <x:v>Small demersals (&lt;30 cm)</x:v>
      </x:c>
      <x:c r="H14" s="24" t="str">
        <x:v>Scorpionfishes</x:v>
      </x:c>
      <x:c r="I14" s="31" t="n">
        <x:v>11984.666206761001</x:v>
      </x:c>
      <x:c r="J14" s="31" t="n">
        <x:v>11984.666206761001</x:v>
      </x:c>
      <x:c r="K14" s="31" t="n">
        <x:v>0</x:v>
      </x:c>
      <x:c r="L14" s="31" t="n">
        <x:v>10362</x:v>
      </x:c>
      <x:c r="M14" s="31" t="n">
        <x:v>1622.666206761</x:v>
      </x:c>
      <x:c r="N14" s="24" t="str">
        <x:v>normanichthys crockeri</x:v>
      </x:c>
      <x:c r="O14" s="32" t="n">
        <x:v>2.75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Normanichthys crockeri</x:v>
      </x:c>
      <x:c r="T14" s="32" t="n">
        <x:f>IF(O14="","",(1/'Metadata'!$B$5)^(O14-1))</x:f>
        <x:v>56.23413251903491</x:v>
      </x:c>
      <x:c r="U14" s="31" t="n">
        <x:f>IF(T14="","",I14*T14)</x:f>
        <x:v>673947.3076673975</x:v>
      </x:c>
    </x:row>
    <x:row r="15" ht="18" customHeight="1">
      <x:c r="A15" s="24" t="str">
        <x:v>EEZ_152</x:v>
      </x:c>
      <x:c r="B15" s="24" t="str">
        <x:v>Chile (mainland)</x:v>
      </x:c>
      <x:c r="C15" s="24" t="str">
        <x:v>EEZ</x:v>
      </x:c>
      <x:c r="D15" s="30" t="n">
        <x:v>2019</x:v>
      </x:c>
      <x:c r="E15" s="24" t="str">
        <x:v>Merluccius australis</x:v>
      </x:c>
      <x:c r="F15" s="24" t="str">
        <x:v>Southern hake</x:v>
      </x:c>
      <x:c r="G15" s="24" t="str">
        <x:v>Large benthopelagics (&gt;=90 cm)</x:v>
      </x:c>
      <x:c r="H15" s="24" t="str">
        <x:v>Cod-likes</x:v>
      </x:c>
      <x:c r="I15" s="31" t="n">
        <x:v>8893.9554300936</x:v>
      </x:c>
      <x:c r="J15" s="31" t="n">
        <x:v>8102.715111696801</x:v>
      </x:c>
      <x:c r="K15" s="31" t="n">
        <x:v>791.2403183968</x:v>
      </x:c>
      <x:c r="L15" s="31" t="n">
        <x:v>7548.699999999901</x:v>
      </x:c>
      <x:c r="M15" s="31" t="n">
        <x:v>1345.2554300937002</x:v>
      </x:c>
      <x:c r="N15" s="24" t="str">
        <x:v>merluccius australis</x:v>
      </x:c>
      <x:c r="O15" s="32" t="n">
        <x:v>4.45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Merluccius australis</x:v>
      </x:c>
      <x:c r="T15" s="32" t="n">
        <x:f>IF(O15="","",(1/'Metadata'!$B$5)^(O15-1))</x:f>
        <x:v>2818.382931264455</x:v>
      </x:c>
      <x:c r="U15" s="31" t="n">
        <x:f>IF(T15="","",I15*T15)</x:f>
        <x:v>25066572.175602615</x:v>
      </x:c>
    </x:row>
    <x:row r="16" ht="18" customHeight="1">
      <x:c r="A16" s="24" t="str">
        <x:v>EEZ_152</x:v>
      </x:c>
      <x:c r="B16" s="24" t="str">
        <x:v>Chile (mainland)</x:v>
      </x:c>
      <x:c r="C16" s="24" t="str">
        <x:v>EEZ</x:v>
      </x:c>
      <x:c r="D16" s="30" t="n">
        <x:v>2019</x:v>
      </x:c>
      <x:c r="E16" s="24" t="str">
        <x:v>Xiphias gladius</x:v>
      </x:c>
      <x:c r="F16" s="24" t="str">
        <x:v>Swordfish</x:v>
      </x:c>
      <x:c r="G16" s="24" t="str">
        <x:v>Large pelagics (&gt;=90 cm)</x:v>
      </x:c>
      <x:c r="H16" s="24" t="str">
        <x:v>Tuna &amp; billfishes</x:v>
      </x:c>
      <x:c r="I16" s="31" t="n">
        <x:v>6403.3039273597</x:v>
      </x:c>
      <x:c r="J16" s="31" t="n">
        <x:v>6403.3039159812</x:v>
      </x:c>
      <x:c r="K16" s="31" t="n">
        <x:v>0.0000113785</x:v>
      </x:c>
      <x:c r="L16" s="31" t="n">
        <x:v>5857.246669800999</x:v>
      </x:c>
      <x:c r="M16" s="31" t="n">
        <x:v>546.0572575587</x:v>
      </x:c>
      <x:c r="N16" s="24" t="str">
        <x:v>xiphias gladius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Xiphias gladius</x:v>
      </x:c>
      <x:c r="T16" s="32" t="n">
        <x:f>IF(O16="","",(1/'Metadata'!$B$5)^(O16-1))</x:f>
        <x:v>3388.4415613920273</x:v>
      </x:c>
      <x:c r="U16" s="31" t="n">
        <x:f>IF(T16="","",I16*T16)</x:f>
        <x:v>21697221.157690402</x:v>
      </x:c>
    </x:row>
    <x:row r="17" ht="18" customHeight="1">
      <x:c r="A17" s="24" t="str">
        <x:v>EEZ_152</x:v>
      </x:c>
      <x:c r="B17" s="24" t="str">
        <x:v>Chile (mainland)</x:v>
      </x:c>
      <x:c r="C17" s="24" t="str">
        <x:v>EEZ</x:v>
      </x:c>
      <x:c r="D17" s="30" t="n">
        <x:v>2019</x:v>
      </x:c>
      <x:c r="E17" s="24" t="str">
        <x:v>Aulacomya atra</x:v>
      </x:c>
      <x:c r="F17" s="24" t="str">
        <x:v>Chilean ribbed mussel</x:v>
      </x:c>
      <x:c r="G17" s="24" t="str">
        <x:v>Other demersal invertebrates</x:v>
      </x:c>
      <x:c r="H17" s="24" t="str">
        <x:v>Molluscs</x:v>
      </x:c>
      <x:c r="I17" s="31" t="n">
        <x:v>6328.1503222514</x:v>
      </x:c>
      <x:c r="J17" s="31" t="n">
        <x:v>6328.1503222514</x:v>
      </x:c>
      <x:c r="K17" s="31" t="n">
        <x:v>0</x:v>
      </x:c>
      <x:c r="L17" s="31" t="n">
        <x:v>5714</x:v>
      </x:c>
      <x:c r="M17" s="31" t="n">
        <x:v>614.1503222514</x:v>
      </x:c>
      <x:c r="N17" s="24" t="str">
        <x:v>aulacomya atra</x:v>
      </x:c>
      <x:c r="O17" s="32" t="n">
        <x:v>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Aulacomya atra</x:v>
      </x:c>
      <x:c r="T17" s="32" t="n">
        <x:f>IF(O17="","",(1/'Metadata'!$B$5)^(O17-1))</x:f>
        <x:v>10</x:v>
      </x:c>
      <x:c r="U17" s="31" t="n">
        <x:f>IF(T17="","",I17*T17)</x:f>
        <x:v>63281.503222514</x:v>
      </x:c>
    </x:row>
    <x:row r="18" ht="18" customHeight="1">
      <x:c r="A18" s="24" t="str">
        <x:v>EEZ_152</x:v>
      </x:c>
      <x:c r="B18" s="24" t="str">
        <x:v>Chile (mainland)</x:v>
      </x:c>
      <x:c r="C18" s="24" t="str">
        <x:v>EEZ</x:v>
      </x:c>
      <x:c r="D18" s="30" t="n">
        <x:v>2019</x:v>
      </x:c>
      <x:c r="E18" s="24" t="str">
        <x:v>Marine fishes not identified</x:v>
      </x:c>
      <x:c r="F18" s="24" t="str">
        <x:v>Marine fishes nei</x:v>
      </x:c>
      <x:c r="G18" s="24" t="str">
        <x:v>Medium demersals (30 - 89 cm)</x:v>
      </x:c>
      <x:c r="H18" s="24" t="str">
        <x:v>Other fishes &amp; inverts</x:v>
      </x:c>
      <x:c r="I18" s="31" t="n">
        <x:v>5829.90035102</x:v>
      </x:c>
      <x:c r="J18" s="31" t="n">
        <x:v>5829.807487094799</x:v>
      </x:c>
      <x:c r="K18" s="31" t="n">
        <x:v>0.0928639252</x:v>
      </x:c>
      <x:c r="L18" s="31" t="n">
        <x:v>4402.9704039265</x:v>
      </x:c>
      <x:c r="M18" s="31" t="n">
        <x:v>1426.9299470935</x:v>
      </x:c>
      <x:c r="N18" s="24" t="str">
        <x:v>marine fishes not identified</x:v>
      </x:c>
      <x:c r="O18" s="32" t="n">
        <x:v>3.28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fishes not identified</x:v>
      </x:c>
      <x:c r="T18" s="32" t="n">
        <x:f>IF(O18="","",(1/'Metadata'!$B$5)^(O18-1))</x:f>
        <x:v>190.54607179632464</x:v>
      </x:c>
      <x:c r="U18" s="31" t="n">
        <x:f>IF(T18="","",I18*T18)</x:f>
        <x:v>1110864.610850875</x:v>
      </x:c>
    </x:row>
    <x:row r="19" ht="18" customHeight="1">
      <x:c r="A19" s="24" t="str">
        <x:v>EEZ_152</x:v>
      </x:c>
      <x:c r="B19" s="24" t="str">
        <x:v>Chile (mainland)</x:v>
      </x:c>
      <x:c r="C19" s="24" t="str">
        <x:v>EEZ</x:v>
      </x:c>
      <x:c r="D19" s="30" t="n">
        <x:v>2019</x:v>
      </x:c>
      <x:c r="E19" s="24" t="str">
        <x:v>Lithodes santolla</x:v>
      </x:c>
      <x:c r="F19" s="24" t="str">
        <x:v>Southern king crab</x:v>
      </x:c>
      <x:c r="G19" s="24" t="str">
        <x:v>Lobsters, crabs</x:v>
      </x:c>
      <x:c r="H19" s="24" t="str">
        <x:v>Crustaceans</x:v>
      </x:c>
      <x:c r="I19" s="31" t="n">
        <x:v>5628.6493307221</x:v>
      </x:c>
      <x:c r="J19" s="31" t="n">
        <x:v>5628.6493307221</x:v>
      </x:c>
      <x:c r="K19" s="31" t="n">
        <x:v>0</x:v>
      </x:c>
      <x:c r="L19" s="31" t="n">
        <x:v>5173</x:v>
      </x:c>
      <x:c r="M19" s="31" t="n">
        <x:v>455.6493307221</x:v>
      </x:c>
      <x:c r="N19" s="24" t="str">
        <x:v>lithodes santolla</x:v>
      </x:c>
      <x:c r="O19" s="32" t="n">
        <x:v>2.5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Lithodes santolla</x:v>
      </x:c>
      <x:c r="T19" s="32" t="n">
        <x:f>IF(O19="","",(1/'Metadata'!$B$5)^(O19-1))</x:f>
        <x:v>31.622776601683793</x:v>
      </x:c>
      <x:c r="U19" s="31" t="n">
        <x:f>IF(T19="","",I19*T19)</x:f>
        <x:v>177993.52035464195</x:v>
      </x:c>
    </x:row>
    <x:row r="20" ht="18" customHeight="1">
      <x:c r="A20" s="24" t="str">
        <x:v>EEZ_152</x:v>
      </x:c>
      <x:c r="B20" s="24" t="str">
        <x:v>Chile (mainland)</x:v>
      </x:c>
      <x:c r="C20" s="24" t="str">
        <x:v>EEZ</x:v>
      </x:c>
      <x:c r="D20" s="30" t="n">
        <x:v>2019</x:v>
      </x:c>
      <x:c r="E20" s="24" t="str">
        <x:v>Paralomis granulosa</x:v>
      </x:c>
      <x:c r="F20" s="24" t="str">
        <x:v>Softshell red crab</x:v>
      </x:c>
      <x:c r="G20" s="24" t="str">
        <x:v>Lobsters, crabs</x:v>
      </x:c>
      <x:c r="H20" s="24" t="str">
        <x:v>Crustaceans</x:v>
      </x:c>
      <x:c r="I20" s="31" t="n">
        <x:v>5105.3004131904</x:v>
      </x:c>
      <x:c r="J20" s="31" t="n">
        <x:v>5105.3004131904</x:v>
      </x:c>
      <x:c r="K20" s="31" t="n">
        <x:v>0</x:v>
      </x:c>
      <x:c r="L20" s="31" t="n">
        <x:v>4808.808392803399</x:v>
      </x:c>
      <x:c r="M20" s="31" t="n">
        <x:v>296.492020387</x:v>
      </x:c>
      <x:c r="N20" s="24" t="str">
        <x:v>paralomis granulosa</x:v>
      </x:c>
      <x:c r="O20" s="32" t="n">
        <x:v>2.3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Paralomis granulosa</x:v>
      </x:c>
      <x:c r="T20" s="32" t="n">
        <x:f>IF(O20="","",(1/'Metadata'!$B$5)^(O20-1))</x:f>
        <x:v>19.952623149688787</x:v>
      </x:c>
      <x:c r="U20" s="31" t="n">
        <x:f>IF(T20="","",I20*T20)</x:f>
        <x:v>101864.1352103385</x:v>
      </x:c>
    </x:row>
    <x:row r="21" ht="18" customHeight="1">
      <x:c r="A21" s="24" t="str">
        <x:v>EEZ_152</x:v>
      </x:c>
      <x:c r="B21" s="24" t="str">
        <x:v>Chile (mainland)</x:v>
      </x:c>
      <x:c r="C21" s="24" t="str">
        <x:v>EEZ</x:v>
      </x:c>
      <x:c r="D21" s="30" t="n">
        <x:v>2019</x:v>
      </x:c>
      <x:c r="E21" s="24" t="str">
        <x:v>Tagelus dombeii</x:v>
      </x:c>
      <x:c r="F21" s="24" t="str">
        <x:v>Hard razor clam</x:v>
      </x:c>
      <x:c r="G21" s="24" t="str">
        <x:v>Other demersal invertebrates</x:v>
      </x:c>
      <x:c r="H21" s="24" t="str">
        <x:v>Molluscs</x:v>
      </x:c>
      <x:c r="I21" s="31" t="n">
        <x:v>4773.7890541873</x:v>
      </x:c>
      <x:c r="J21" s="31" t="n">
        <x:v>4773.7890541873</x:v>
      </x:c>
      <x:c r="K21" s="31" t="n">
        <x:v>0</x:v>
      </x:c>
      <x:c r="L21" s="31" t="n">
        <x:v>4364</x:v>
      </x:c>
      <x:c r="M21" s="31" t="n">
        <x:v>409.7890541873</x:v>
      </x:c>
      <x:c r="N21" s="24" t="str">
        <x:v>tagelus dombeii</x:v>
      </x:c>
      <x:c r="O21" s="32" t="n">
        <x:v>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Tagelus dombeii</x:v>
      </x:c>
      <x:c r="T21" s="32" t="n">
        <x:f>IF(O21="","",(1/'Metadata'!$B$5)^(O21-1))</x:f>
        <x:v>10</x:v>
      </x:c>
      <x:c r="U21" s="31" t="n">
        <x:f>IF(T21="","",I21*T21)</x:f>
        <x:v>47737.890541873</x:v>
      </x:c>
    </x:row>
    <x:row r="22" ht="18" customHeight="1">
      <x:c r="A22" s="24" t="str">
        <x:v>EEZ_152</x:v>
      </x:c>
      <x:c r="B22" s="24" t="str">
        <x:v>Chile (mainland)</x:v>
      </x:c>
      <x:c r="C22" s="24" t="str">
        <x:v>EEZ</x:v>
      </x:c>
      <x:c r="D22" s="30" t="n">
        <x:v>2019</x:v>
      </x:c>
      <x:c r="E22" s="24" t="str">
        <x:v>Decapoda</x:v>
      </x:c>
      <x:c r="F22" s="24" t="str">
        <x:v>Crabs, lobsters, shrimps</x:v>
      </x:c>
      <x:c r="G22" s="24" t="str">
        <x:v>Lobsters, crabs</x:v>
      </x:c>
      <x:c r="H22" s="24" t="str">
        <x:v>Crustaceans</x:v>
      </x:c>
      <x:c r="I22" s="31" t="n">
        <x:v>3928</x:v>
      </x:c>
      <x:c r="J22" s="31" t="n">
        <x:v>3928</x:v>
      </x:c>
      <x:c r="K22" s="31" t="n">
        <x:v>0</x:v>
      </x:c>
      <x:c r="L22" s="31" t="n">
        <x:v>3928</x:v>
      </x:c>
      <x:c r="M22" s="31" t="n">
        <x:v>0</x:v>
      </x:c>
      <x:c r="N22" s="24" t="str">
        <x:v>decapoda</x:v>
      </x:c>
      <x:c r="O22" s="32" t="n">
        <x:v>3.43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Decapoda</x:v>
      </x:c>
      <x:c r="T22" s="32" t="n">
        <x:f>IF(O22="","",(1/'Metadata'!$B$5)^(O22-1))</x:f>
        <x:v>269.1534803926917</x:v>
      </x:c>
      <x:c r="U22" s="31" t="n">
        <x:f>IF(T22="","",I22*T22)</x:f>
        <x:v>1057234.8709824928</x:v>
      </x:c>
    </x:row>
    <x:row r="23" ht="18" customHeight="1">
      <x:c r="A23" s="24" t="str">
        <x:v>EEZ_152</x:v>
      </x:c>
      <x:c r="B23" s="24" t="str">
        <x:v>Chile (mainland)</x:v>
      </x:c>
      <x:c r="C23" s="24" t="str">
        <x:v>EEZ</x:v>
      </x:c>
      <x:c r="D23" s="30" t="n">
        <x:v>2019</x:v>
      </x:c>
      <x:c r="E23" s="24" t="str">
        <x:v>Thyrsites atun</x:v>
      </x:c>
      <x:c r="F23" s="24" t="str">
        <x:v>Snoek</x:v>
      </x:c>
      <x:c r="G23" s="24" t="str">
        <x:v>Large benthopelagics (&gt;=90 cm)</x:v>
      </x:c>
      <x:c r="H23" s="24" t="str">
        <x:v>Perch-likes</x:v>
      </x:c>
      <x:c r="I23" s="31" t="n">
        <x:v>3407.6812454725</x:v>
      </x:c>
      <x:c r="J23" s="31" t="n">
        <x:v>3407.6812454725</x:v>
      </x:c>
      <x:c r="K23" s="31" t="n">
        <x:v>0</x:v>
      </x:c>
      <x:c r="L23" s="31" t="n">
        <x:v>3039.9786346882</x:v>
      </x:c>
      <x:c r="M23" s="31" t="n">
        <x:v>367.7026107843</x:v>
      </x:c>
      <x:c r="N23" s="24" t="str">
        <x:v>thyrsites atun</x:v>
      </x:c>
      <x:c r="O23" s="32" t="n">
        <x:v>3.63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Thyrsites atun</x:v>
      </x:c>
      <x:c r="T23" s="32" t="n">
        <x:f>IF(O23="","",(1/'Metadata'!$B$5)^(O23-1))</x:f>
        <x:v>426.57951880159254</x:v>
      </x:c>
      <x:c r="U23" s="31" t="n">
        <x:f>IF(T23="","",I23*T23)</x:f>
        <x:v>1453647.0259228705</x:v>
      </x:c>
    </x:row>
    <x:row r="24" ht="18" customHeight="1">
      <x:c r="A24" s="24" t="str">
        <x:v>EEZ_152</x:v>
      </x:c>
      <x:c r="B24" s="24" t="str">
        <x:v>Chile (mainland)</x:v>
      </x:c>
      <x:c r="C24" s="24" t="str">
        <x:v>EEZ</x:v>
      </x:c>
      <x:c r="D24" s="30" t="n">
        <x:v>2019</x:v>
      </x:c>
      <x:c r="E24" s="24" t="str">
        <x:v>Sardinops sagax</x:v>
      </x:c>
      <x:c r="F24" s="24" t="str">
        <x:v>South American pilchard</x:v>
      </x:c>
      <x:c r="G24" s="24" t="str">
        <x:v>Medium pelagics (30 - 89 cm)</x:v>
      </x:c>
      <x:c r="H24" s="24" t="str">
        <x:v>Herring-likes</x:v>
      </x:c>
      <x:c r="I24" s="31" t="n">
        <x:v>3317.9008846545</x:v>
      </x:c>
      <x:c r="J24" s="31" t="n">
        <x:v>3317.9008846545</x:v>
      </x:c>
      <x:c r="K24" s="31" t="n">
        <x:v>0</x:v>
      </x:c>
      <x:c r="L24" s="31" t="n">
        <x:v>1533.90245</x:v>
      </x:c>
      <x:c r="M24" s="31" t="n">
        <x:v>1783.9984346545</x:v>
      </x:c>
      <x:c r="N24" s="24" t="str">
        <x:v>sardinops sagax</x:v>
      </x:c>
      <x:c r="O24" s="32" t="n">
        <x:v>2.84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Sardinops sagax</x:v>
      </x:c>
      <x:c r="T24" s="32" t="n">
        <x:f>IF(O24="","",(1/'Metadata'!$B$5)^(O24-1))</x:f>
        <x:v>69.18309709189363</x:v>
      </x:c>
      <x:c r="U24" s="31" t="n">
        <x:f>IF(T24="","",I24*T24)</x:f>
        <x:v>229542.65904433202</x:v>
      </x:c>
    </x:row>
    <x:row r="25" ht="18" customHeight="1">
      <x:c r="A25" s="24" t="str">
        <x:v>EEZ_152</x:v>
      </x:c>
      <x:c r="B25" s="24" t="str">
        <x:v>Chile (mainland)</x:v>
      </x:c>
      <x:c r="C25" s="24" t="str">
        <x:v>EEZ</x:v>
      </x:c>
      <x:c r="D25" s="30" t="n">
        <x:v>2019</x:v>
      </x:c>
      <x:c r="E25" s="24" t="str">
        <x:v>Stromateus stellatus</x:v>
      </x:c>
      <x:c r="F25" s="24" t="str">
        <x:v>Starry butterfish</x:v>
      </x:c>
      <x:c r="G25" s="24" t="str">
        <x:v>Small benthopelagics (&lt;30 cm)</x:v>
      </x:c>
      <x:c r="H25" s="24" t="str">
        <x:v>Perch-likes</x:v>
      </x:c>
      <x:c r="I25" s="31" t="n">
        <x:v>3132</x:v>
      </x:c>
      <x:c r="J25" s="31" t="n">
        <x:v>3132</x:v>
      </x:c>
      <x:c r="K25" s="31" t="n">
        <x:v>0</x:v>
      </x:c>
      <x:c r="L25" s="31" t="n">
        <x:v>3132</x:v>
      </x:c>
      <x:c r="M25" s="31" t="n">
        <x:v>0</x:v>
      </x:c>
      <x:c r="N25" s="24" t="str">
        <x:v>stromateus stellatus</x:v>
      </x:c>
      <x:c r="O25" s="32" t="n">
        <x:v>3.59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Stromateus stellatus</x:v>
      </x:c>
      <x:c r="T25" s="32" t="n">
        <x:f>IF(O25="","",(1/'Metadata'!$B$5)^(O25-1))</x:f>
        <x:v>389.04514499428046</x:v>
      </x:c>
      <x:c r="U25" s="31" t="n">
        <x:f>IF(T25="","",I25*T25)</x:f>
        <x:v>1218489.3941220865</x:v>
      </x:c>
    </x:row>
    <x:row r="26" ht="18" customHeight="1">
      <x:c r="A26" s="24" t="str">
        <x:v>EEZ_152</x:v>
      </x:c>
      <x:c r="B26" s="24" t="str">
        <x:v>Chile (mainland)</x:v>
      </x:c>
      <x:c r="C26" s="24" t="str">
        <x:v>EEZ</x:v>
      </x:c>
      <x:c r="D26" s="30" t="n">
        <x:v>2019</x:v>
      </x:c>
      <x:c r="E26" s="24" t="str">
        <x:v>Tawera gayi</x:v>
      </x:c>
      <x:c r="F26" s="24" t="str">
        <x:v>Gay's little venus</x:v>
      </x:c>
      <x:c r="G26" s="24" t="str">
        <x:v>Other demersal invertebrates</x:v>
      </x:c>
      <x:c r="H26" s="24" t="str">
        <x:v>Molluscs</x:v>
      </x:c>
      <x:c r="I26" s="31" t="n">
        <x:v>2851.8623416126</x:v>
      </x:c>
      <x:c r="J26" s="31" t="n">
        <x:v>2851.8623416126</x:v>
      </x:c>
      <x:c r="K26" s="31" t="n">
        <x:v>0</x:v>
      </x:c>
      <x:c r="L26" s="31" t="n">
        <x:v>2600</x:v>
      </x:c>
      <x:c r="M26" s="31" t="n">
        <x:v>251.8623416126</x:v>
      </x:c>
      <x:c r="N26" s="24" t="str">
        <x:v>tawera gayi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Tawera gayi</x:v>
      </x:c>
      <x:c r="T26" s="32" t="n">
        <x:f>IF(O26="","",(1/'Metadata'!$B$5)^(O26-1))</x:f>
        <x:v>10</x:v>
      </x:c>
      <x:c r="U26" s="31" t="n">
        <x:f>IF(T26="","",I26*T26)</x:f>
        <x:v>28518.623416126</x:v>
      </x:c>
    </x:row>
    <x:row r="27" ht="18" customHeight="1">
      <x:c r="A27" s="24" t="str">
        <x:v>EEZ_152</x:v>
      </x:c>
      <x:c r="B27" s="24" t="str">
        <x:v>Chile (mainland)</x:v>
      </x:c>
      <x:c r="C27" s="24" t="str">
        <x:v>EEZ</x:v>
      </x:c>
      <x:c r="D27" s="30" t="n">
        <x:v>2019</x:v>
      </x:c>
      <x:c r="E27" s="24" t="str">
        <x:v>Cancer porteri</x:v>
      </x:c>
      <x:c r="F27" s="24" t="str">
        <x:v>Boco</x:v>
      </x:c>
      <x:c r="G27" s="24" t="str">
        <x:v>Lobsters, crabs</x:v>
      </x:c>
      <x:c r="H27" s="24" t="str">
        <x:v>Crustaceans</x:v>
      </x:c>
      <x:c r="I27" s="31" t="n">
        <x:v>2788.090792276</x:v>
      </x:c>
      <x:c r="J27" s="31" t="n">
        <x:v>2788.090792276</x:v>
      </x:c>
      <x:c r="K27" s="31" t="n">
        <x:v>0</x:v>
      </x:c>
      <x:c r="L27" s="31" t="n">
        <x:v>2630</x:v>
      </x:c>
      <x:c r="M27" s="31" t="n">
        <x:v>158.090792276</x:v>
      </x:c>
      <x:c r="N27" s="24" t="str">
        <x:v>cancer porteri</x:v>
      </x:c>
      <x:c r="O27" s="32" t="n">
        <x:v>2.97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Cancer porteri</x:v>
      </x:c>
      <x:c r="T27" s="32" t="n">
        <x:f>IF(O27="","",(1/'Metadata'!$B$5)^(O27-1))</x:f>
        <x:v>93.32543007969915</x:v>
      </x:c>
      <x:c r="U27" s="31" t="n">
        <x:f>IF(T27="","",I27*T27)</x:f>
        <x:v>260199.7722904068</x:v>
      </x:c>
    </x:row>
    <x:row r="28" ht="18" customHeight="1">
      <x:c r="A28" s="24" t="str">
        <x:v>EEZ_152</x:v>
      </x:c>
      <x:c r="B28" s="24" t="str">
        <x:v>Chile (mainland)</x:v>
      </x:c>
      <x:c r="C28" s="24" t="str">
        <x:v>EEZ</x:v>
      </x:c>
      <x:c r="D28" s="30" t="n">
        <x:v>2019</x:v>
      </x:c>
      <x:c r="E28" s="24" t="str">
        <x:v>Pyura chilensis</x:v>
      </x:c>
      <x:c r="F28" s="24" t="str">
        <x:v>Red sea squirt</x:v>
      </x:c>
      <x:c r="G28" s="24" t="str">
        <x:v>Other demersal invertebrates</x:v>
      </x:c>
      <x:c r="H28" s="24" t="str">
        <x:v>Other fishes &amp; inverts</x:v>
      </x:c>
      <x:c r="I28" s="31" t="n">
        <x:v>2708.9244834588003</x:v>
      </x:c>
      <x:c r="J28" s="31" t="n">
        <x:v>2708.9244834588003</x:v>
      </x:c>
      <x:c r="K28" s="31" t="n">
        <x:v>0</x:v>
      </x:c>
      <x:c r="L28" s="31" t="n">
        <x:v>2535</x:v>
      </x:c>
      <x:c r="M28" s="31" t="n">
        <x:v>173.92448345879998</x:v>
      </x:c>
      <x:c r="N28" s="24" t="str">
        <x:v>pyura chilensis</x:v>
      </x:c>
      <x:c r="O28" s="32" t="n">
        <x:v>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Pyura chilensis</x:v>
      </x:c>
      <x:c r="T28" s="32" t="n">
        <x:f>IF(O28="","",(1/'Metadata'!$B$5)^(O28-1))</x:f>
        <x:v>100</x:v>
      </x:c>
      <x:c r="U28" s="31" t="n">
        <x:f>IF(T28="","",I28*T28)</x:f>
        <x:v>270892.44834588</x:v>
      </x:c>
    </x:row>
    <x:row r="29" ht="18" customHeight="1">
      <x:c r="A29" s="24" t="str">
        <x:v>EEZ_152</x:v>
      </x:c>
      <x:c r="B29" s="24" t="str">
        <x:v>Chile (mainland)</x:v>
      </x:c>
      <x:c r="C29" s="24" t="str">
        <x:v>EEZ</x:v>
      </x:c>
      <x:c r="D29" s="30" t="n">
        <x:v>2019</x:v>
      </x:c>
      <x:c r="E29" s="24" t="str">
        <x:v>Choromytilus chorus</x:v>
      </x:c>
      <x:c r="F29" s="24" t="str">
        <x:v>Choro mussel</x:v>
      </x:c>
      <x:c r="G29" s="24" t="str">
        <x:v>Other demersal invertebrates</x:v>
      </x:c>
      <x:c r="H29" s="24" t="str">
        <x:v>Molluscs</x:v>
      </x:c>
      <x:c r="I29" s="31" t="n">
        <x:v>2427.2016739341</x:v>
      </x:c>
      <x:c r="J29" s="31" t="n">
        <x:v>2427.2016739341</x:v>
      </x:c>
      <x:c r="K29" s="31" t="n">
        <x:v>0</x:v>
      </x:c>
      <x:c r="L29" s="31" t="n">
        <x:v>2292</x:v>
      </x:c>
      <x:c r="M29" s="31" t="n">
        <x:v>135.2016739341</x:v>
      </x:c>
      <x:c r="N29" s="24" t="str">
        <x:v>choromytilus chorus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Choromytilus chorus</x:v>
      </x:c>
      <x:c r="T29" s="32" t="n">
        <x:f>IF(O29="","",(1/'Metadata'!$B$5)^(O29-1))</x:f>
        <x:v>10</x:v>
      </x:c>
      <x:c r="U29" s="31" t="n">
        <x:f>IF(T29="","",I29*T29)</x:f>
        <x:v>24272.016739341</x:v>
      </x:c>
    </x:row>
    <x:row r="30" ht="18" customHeight="1">
      <x:c r="A30" s="24" t="str">
        <x:v>EEZ_152</x:v>
      </x:c>
      <x:c r="B30" s="24" t="str">
        <x:v>Chile (mainland)</x:v>
      </x:c>
      <x:c r="C30" s="24" t="str">
        <x:v>EEZ</x:v>
      </x:c>
      <x:c r="D30" s="30" t="n">
        <x:v>2019</x:v>
      </x:c>
      <x:c r="E30" s="24" t="str">
        <x:v>Concholepas concholepas</x:v>
      </x:c>
      <x:c r="F30" s="24" t="str">
        <x:v>False abalone</x:v>
      </x:c>
      <x:c r="G30" s="24" t="str">
        <x:v>Other demersal invertebrates</x:v>
      </x:c>
      <x:c r="H30" s="24" t="str">
        <x:v>Molluscs</x:v>
      </x:c>
      <x:c r="I30" s="31" t="n">
        <x:v>2373.6960874746</x:v>
      </x:c>
      <x:c r="J30" s="31" t="n">
        <x:v>2373.6960874746</x:v>
      </x:c>
      <x:c r="K30" s="31" t="n">
        <x:v>0</x:v>
      </x:c>
      <x:c r="L30" s="31" t="n">
        <x:v>2180</x:v>
      </x:c>
      <x:c r="M30" s="31" t="n">
        <x:v>193.6960874746</x:v>
      </x:c>
      <x:c r="N30" s="24" t="str">
        <x:v>concholepas concholepas</x:v>
      </x:c>
      <x:c r="O30" s="32" t="n">
        <x:v>3.18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Concholepas concholepas</x:v>
      </x:c>
      <x:c r="T30" s="32" t="n">
        <x:f>IF(O30="","",(1/'Metadata'!$B$5)^(O30-1))</x:f>
        <x:v>151.35612484362088</x:v>
      </x:c>
      <x:c r="U30" s="31" t="n">
        <x:f>IF(T30="","",I30*T30)</x:f>
        <x:v>359273.44135662</x:v>
      </x:c>
    </x:row>
    <x:row r="31" ht="18" customHeight="1">
      <x:c r="A31" s="24" t="str">
        <x:v>EEZ_152</x:v>
      </x:c>
      <x:c r="B31" s="24" t="str">
        <x:v>Chile (mainland)</x:v>
      </x:c>
      <x:c r="C31" s="24" t="str">
        <x:v>EEZ</x:v>
      </x:c>
      <x:c r="D31" s="30" t="n">
        <x:v>2019</x:v>
      </x:c>
      <x:c r="E31" s="24" t="str">
        <x:v>Macruronus magellanicus</x:v>
      </x:c>
      <x:c r="F31" s="24" t="str">
        <x:v>Patagonian grenadier</x:v>
      </x:c>
      <x:c r="G31" s="24" t="str">
        <x:v>Large benthopelagics (&gt;=90 cm)</x:v>
      </x:c>
      <x:c r="H31" s="24" t="str">
        <x:v>Cod-likes</x:v>
      </x:c>
      <x:c r="I31" s="31" t="n">
        <x:v>2303.9464134754</x:v>
      </x:c>
      <x:c r="J31" s="31" t="n">
        <x:v>2303.9464134754</x:v>
      </x:c>
      <x:c r="K31" s="31" t="n">
        <x:v>0</x:v>
      </x:c>
      <x:c r="L31" s="31" t="n">
        <x:v>2301.0750187013</x:v>
      </x:c>
      <x:c r="M31" s="31" t="n">
        <x:v>2.8713947741</x:v>
      </x:c>
      <x:c r="N31" s="24" t="str">
        <x:v>macruronus magellanicus</x:v>
      </x:c>
      <x:c r="O31" s="32" t="n">
        <x:v>3.93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Macruronus magellanicus</x:v>
      </x:c>
      <x:c r="T31" s="32" t="n">
        <x:f>IF(O31="","",(1/'Metadata'!$B$5)^(O31-1))</x:f>
        <x:v>851.1380382023768</x:v>
      </x:c>
      <x:c r="U31" s="31" t="n">
        <x:f>IF(T31="","",I31*T31)</x:f>
        <x:v>1960976.430488854</x:v>
      </x:c>
    </x:row>
    <x:row r="32" ht="18" customHeight="1">
      <x:c r="A32" s="24" t="str">
        <x:v>EEZ_152</x:v>
      </x:c>
      <x:c r="B32" s="24" t="str">
        <x:v>Chile (mainland)</x:v>
      </x:c>
      <x:c r="C32" s="24" t="str">
        <x:v>EEZ</x:v>
      </x:c>
      <x:c r="D32" s="30" t="n">
        <x:v>2019</x:v>
      </x:c>
      <x:c r="E32" s="24" t="str">
        <x:v>Mesodesma donacium</x:v>
      </x:c>
      <x:c r="F32" s="24" t="str">
        <x:v>Macha clam</x:v>
      </x:c>
      <x:c r="G32" s="24" t="str">
        <x:v>Other demersal invertebrates</x:v>
      </x:c>
      <x:c r="H32" s="24" t="str">
        <x:v>Molluscs</x:v>
      </x:c>
      <x:c r="I32" s="31" t="n">
        <x:v>2143.2859702401997</x:v>
      </x:c>
      <x:c r="J32" s="31" t="n">
        <x:v>2143.2859702401997</x:v>
      </x:c>
      <x:c r="K32" s="31" t="n">
        <x:v>0</x:v>
      </x:c>
      <x:c r="L32" s="31" t="n">
        <x:v>2061</x:v>
      </x:c>
      <x:c r="M32" s="31" t="n">
        <x:v>82.2859702402</x:v>
      </x:c>
      <x:c r="N32" s="24" t="str">
        <x:v>mesodesma donacium</x:v>
      </x:c>
      <x:c r="O32" s="32" t="n">
        <x:v>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Mesodesma donacium</x:v>
      </x:c>
      <x:c r="T32" s="32" t="n">
        <x:f>IF(O32="","",(1/'Metadata'!$B$5)^(O32-1))</x:f>
        <x:v>10</x:v>
      </x:c>
      <x:c r="U32" s="31" t="n">
        <x:f>IF(T32="","",I32*T32)</x:f>
        <x:v>21432.859702402</x:v>
      </x:c>
    </x:row>
    <x:row r="33" ht="18" customHeight="1">
      <x:c r="A33" s="24" t="str">
        <x:v>EEZ_152</x:v>
      </x:c>
      <x:c r="B33" s="24" t="str">
        <x:v>Chile (mainland)</x:v>
      </x:c>
      <x:c r="C33" s="24" t="str">
        <x:v>EEZ</x:v>
      </x:c>
      <x:c r="D33" s="30" t="n">
        <x:v>2019</x:v>
      </x:c>
      <x:c r="E33" s="24" t="str">
        <x:v>Cervimunida johni</x:v>
      </x:c>
      <x:c r="F33" s="24" t="str">
        <x:v>Carrot squat lobster</x:v>
      </x:c>
      <x:c r="G33" s="24" t="str">
        <x:v>Lobsters, crabs</x:v>
      </x:c>
      <x:c r="H33" s="24" t="str">
        <x:v>Crustaceans</x:v>
      </x:c>
      <x:c r="I33" s="31" t="n">
        <x:v>2113.5763896218</x:v>
      </x:c>
      <x:c r="J33" s="31" t="n">
        <x:v>794.8425256271</x:v>
      </x:c>
      <x:c r="K33" s="31" t="n">
        <x:v>1318.7338639947</x:v>
      </x:c>
      <x:c r="L33" s="31" t="n">
        <x:v>732</x:v>
      </x:c>
      <x:c r="M33" s="31" t="n">
        <x:v>1381.5763896218</x:v>
      </x:c>
      <x:c r="N33" s="24" t="str">
        <x:v>cervimunida johni</x:v>
      </x:c>
      <x:c r="O33" s="32" t="n">
        <x:v>2.6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Cervimunida johni</x:v>
      </x:c>
      <x:c r="T33" s="32" t="n">
        <x:f>IF(O33="","",(1/'Metadata'!$B$5)^(O33-1))</x:f>
        <x:v>39.810717055349734</x:v>
      </x:c>
      <x:c r="U33" s="31" t="n">
        <x:f>IF(T33="","",I33*T33)</x:f>
        <x:v>84142.99162210111</x:v>
      </x:c>
    </x:row>
    <x:row r="34" ht="18" customHeight="1">
      <x:c r="A34" s="24" t="str">
        <x:v>EEZ_152</x:v>
      </x:c>
      <x:c r="B34" s="24" t="str">
        <x:v>Chile (mainland)</x:v>
      </x:c>
      <x:c r="C34" s="24" t="str">
        <x:v>EEZ</x:v>
      </x:c>
      <x:c r="D34" s="30" t="n">
        <x:v>2019</x:v>
      </x:c>
      <x:c r="E34" s="24" t="str">
        <x:v>Ensis macha</x:v>
      </x:c>
      <x:c r="F34" s="24" t="str">
        <x:v>Razor clam</x:v>
      </x:c>
      <x:c r="G34" s="24" t="str">
        <x:v>Other demersal invertebrates</x:v>
      </x:c>
      <x:c r="H34" s="24" t="str">
        <x:v>Molluscs</x:v>
      </x:c>
      <x:c r="I34" s="31" t="n">
        <x:v>2056.618478516</x:v>
      </x:c>
      <x:c r="J34" s="31" t="n">
        <x:v>2056.618478516</x:v>
      </x:c>
      <x:c r="K34" s="31" t="n">
        <x:v>0</x:v>
      </x:c>
      <x:c r="L34" s="31" t="n">
        <x:v>1858</x:v>
      </x:c>
      <x:c r="M34" s="31" t="n">
        <x:v>198.618478516</x:v>
      </x:c>
      <x:c r="N34" s="24" t="str">
        <x:v>ensis macha</x:v>
      </x:c>
      <x:c r="O34" s="32" t="n">
        <x:v>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Ensis macha</x:v>
      </x:c>
      <x:c r="T34" s="32" t="n">
        <x:f>IF(O34="","",(1/'Metadata'!$B$5)^(O34-1))</x:f>
        <x:v>10</x:v>
      </x:c>
      <x:c r="U34" s="31" t="n">
        <x:f>IF(T34="","",I34*T34)</x:f>
        <x:v>20566.18478516</x:v>
      </x:c>
    </x:row>
    <x:row r="35" ht="18" customHeight="1">
      <x:c r="A35" s="24" t="str">
        <x:v>EEZ_152</x:v>
      </x:c>
      <x:c r="B35" s="24" t="str">
        <x:v>Chile (mainland)</x:v>
      </x:c>
      <x:c r="C35" s="24" t="str">
        <x:v>EEZ</x:v>
      </x:c>
      <x:c r="D35" s="30" t="n">
        <x:v>2019</x:v>
      </x:c>
      <x:c r="E35" s="24" t="str">
        <x:v>Grimothea monodon</x:v>
      </x:c>
      <x:c r="F35" s="24" t="str">
        <x:v>Squat Lobster</x:v>
      </x:c>
      <x:c r="G35" s="24" t="str">
        <x:v>Lobsters, crabs</x:v>
      </x:c>
      <x:c r="H35" s="24" t="str">
        <x:v>Crustaceans</x:v>
      </x:c>
      <x:c r="I35" s="31" t="n">
        <x:v>2018.0007768336</x:v>
      </x:c>
      <x:c r="J35" s="31" t="n">
        <x:v>1226.7604584368</x:v>
      </x:c>
      <x:c r="K35" s="31" t="n">
        <x:v>791.2403183968</x:v>
      </x:c>
      <x:c r="L35" s="31" t="n">
        <x:v>1127</x:v>
      </x:c>
      <x:c r="M35" s="31" t="n">
        <x:v>891.0007768336001</x:v>
      </x:c>
      <x:c r="N35" s="24" t="str">
        <x:v>grimothea monodon</x:v>
      </x:c>
      <x:c r="O35" s="32" t="n">
        <x:v>2.74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Grimothea monodon</x:v>
      </x:c>
      <x:c r="T35" s="32" t="n">
        <x:f>IF(O35="","",(1/'Metadata'!$B$5)^(O35-1))</x:f>
        <x:v>54.954087385762485</x:v>
      </x:c>
      <x:c r="U35" s="31" t="n">
        <x:f>IF(T35="","",I35*T35)</x:f>
        <x:v>110897.39103465022</x:v>
      </x:c>
    </x:row>
    <x:row r="36" ht="18" customHeight="1">
      <x:c r="A36" s="24" t="str">
        <x:v>EEZ_152</x:v>
      </x:c>
      <x:c r="B36" s="24" t="str">
        <x:v>Chile (mainland)</x:v>
      </x:c>
      <x:c r="C36" s="24" t="str">
        <x:v>EEZ</x:v>
      </x:c>
      <x:c r="D36" s="30" t="n">
        <x:v>2019</x:v>
      </x:c>
      <x:c r="E36" s="24" t="str">
        <x:v>Mulinia edulis</x:v>
      </x:c>
      <x:c r="F36" s="24" t="str">
        <x:v>taquilla clam</x:v>
      </x:c>
      <x:c r="G36" s="24" t="str">
        <x:v>Other demersal invertebrates</x:v>
      </x:c>
      <x:c r="H36" s="24" t="str">
        <x:v>Molluscs</x:v>
      </x:c>
      <x:c r="I36" s="31" t="n">
        <x:v>1912</x:v>
      </x:c>
      <x:c r="J36" s="31" t="n">
        <x:v>1912</x:v>
      </x:c>
      <x:c r="K36" s="31" t="n">
        <x:v>0</x:v>
      </x:c>
      <x:c r="L36" s="31" t="n">
        <x:v>1912</x:v>
      </x:c>
      <x:c r="M36" s="31" t="n">
        <x:v>0</x:v>
      </x:c>
      <x:c r="N36" s="24" t="str">
        <x:v>mulinia edulis</x:v>
      </x:c>
      <x:c r="O36" s="32" t="n">
        <x:v>2.03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Mulinia edulis</x:v>
      </x:c>
      <x:c r="T36" s="32" t="n">
        <x:f>IF(O36="","",(1/'Metadata'!$B$5)^(O36-1))</x:f>
        <x:v>10.71519305237606</x:v>
      </x:c>
      <x:c r="U36" s="31" t="n">
        <x:f>IF(T36="","",I36*T36)</x:f>
        <x:v>20487.449116143027</x:v>
      </x:c>
    </x:row>
    <x:row r="37" ht="18" customHeight="1">
      <x:c r="A37" s="24" t="str">
        <x:v>EEZ_152</x:v>
      </x:c>
      <x:c r="B37" s="24" t="str">
        <x:v>Chile (mainland)</x:v>
      </x:c>
      <x:c r="C37" s="24" t="str">
        <x:v>EEZ</x:v>
      </x:c>
      <x:c r="D37" s="30" t="n">
        <x:v>2019</x:v>
      </x:c>
      <x:c r="E37" s="24" t="str">
        <x:v>Dissostichus eleginoides</x:v>
      </x:c>
      <x:c r="F37" s="24" t="str">
        <x:v>Patagonian toothfish</x:v>
      </x:c>
      <x:c r="G37" s="24" t="str">
        <x:v>Large bathydemersals (&gt;=90 cm)</x:v>
      </x:c>
      <x:c r="H37" s="24" t="str">
        <x:v>Perch-likes</x:v>
      </x:c>
      <x:c r="I37" s="31" t="n">
        <x:v>1730.1906164558</x:v>
      </x:c>
      <x:c r="J37" s="31" t="n">
        <x:v>1730.1906164558</x:v>
      </x:c>
      <x:c r="K37" s="31" t="n">
        <x:v>0</x:v>
      </x:c>
      <x:c r="L37" s="31" t="n">
        <x:v>1589.0000334214</x:v>
      </x:c>
      <x:c r="M37" s="31" t="n">
        <x:v>141.1905830344</x:v>
      </x:c>
      <x:c r="N37" s="24" t="str">
        <x:v>dissostichus eleginoides</x:v>
      </x:c>
      <x:c r="O37" s="32" t="n">
        <x:v>3.96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Dissostichus eleginoides</x:v>
      </x:c>
      <x:c r="T37" s="32" t="n">
        <x:f>IF(O37="","",(1/'Metadata'!$B$5)^(O37-1))</x:f>
        <x:v>912.0108393559096</x:v>
      </x:c>
      <x:c r="U37" s="31" t="n">
        <x:f>IF(T37="","",I37*T37)</x:f>
        <x:v>1577952.5963595728</x:v>
      </x:c>
    </x:row>
    <x:row r="38" ht="18" customHeight="1">
      <x:c r="A38" s="24" t="str">
        <x:v>EEZ_152</x:v>
      </x:c>
      <x:c r="B38" s="24" t="str">
        <x:v>Chile (mainland)</x:v>
      </x:c>
      <x:c r="C38" s="24" t="str">
        <x:v>EEZ</x:v>
      </x:c>
      <x:c r="D38" s="30" t="n">
        <x:v>2019</x:v>
      </x:c>
      <x:c r="E38" s="24" t="str">
        <x:v>Mytilus chilensis</x:v>
      </x:c>
      <x:c r="F38" s="24" t="str">
        <x:v>Chilean mussel</x:v>
      </x:c>
      <x:c r="G38" s="24" t="str">
        <x:v>Other demersal invertebrates</x:v>
      </x:c>
      <x:c r="H38" s="24" t="str">
        <x:v>Molluscs</x:v>
      </x:c>
      <x:c r="I38" s="31" t="n">
        <x:v>1574.6628421152</x:v>
      </x:c>
      <x:c r="J38" s="31" t="n">
        <x:v>1574.6628421152</x:v>
      </x:c>
      <x:c r="K38" s="31" t="n">
        <x:v>0</x:v>
      </x:c>
      <x:c r="L38" s="31" t="n">
        <x:v>1400</x:v>
      </x:c>
      <x:c r="M38" s="31" t="n">
        <x:v>174.6628421152</x:v>
      </x:c>
      <x:c r="N38" s="24" t="str">
        <x:v>mytilus chilensis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Mytilus chilensis</x:v>
      </x:c>
      <x:c r="T38" s="32" t="n">
        <x:f>IF(O38="","",(1/'Metadata'!$B$5)^(O38-1))</x:f>
        <x:v>10</x:v>
      </x:c>
      <x:c r="U38" s="31" t="n">
        <x:f>IF(T38="","",I38*T38)</x:f>
        <x:v>15746.628421152</x:v>
      </x:c>
    </x:row>
    <x:row r="39" ht="18" customHeight="1">
      <x:c r="A39" s="24" t="str">
        <x:v>EEZ_152</x:v>
      </x:c>
      <x:c r="B39" s="24" t="str">
        <x:v>Chile (mainland)</x:v>
      </x:c>
      <x:c r="C39" s="24" t="str">
        <x:v>EEZ</x:v>
      </x:c>
      <x:c r="D39" s="30" t="n">
        <x:v>2019</x:v>
      </x:c>
      <x:c r="E39" s="24" t="str">
        <x:v>Gari solida</x:v>
      </x:c>
      <x:c r="F39" s="24" t="str">
        <x:v>Pacific clam</x:v>
      </x:c>
      <x:c r="G39" s="24" t="str">
        <x:v>Other demersal invertebrates</x:v>
      </x:c>
      <x:c r="H39" s="24" t="str">
        <x:v>Molluscs</x:v>
      </x:c>
      <x:c r="I39" s="31" t="n">
        <x:v>1356.2726502246</x:v>
      </x:c>
      <x:c r="J39" s="31" t="n">
        <x:v>1356.2726502246</x:v>
      </x:c>
      <x:c r="K39" s="31" t="n">
        <x:v>0</x:v>
      </x:c>
      <x:c r="L39" s="31" t="n">
        <x:v>1252</x:v>
      </x:c>
      <x:c r="M39" s="31" t="n">
        <x:v>104.2726502246</x:v>
      </x:c>
      <x:c r="N39" s="24" t="str">
        <x:v>gari solida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Gari solida</x:v>
      </x:c>
      <x:c r="T39" s="32" t="n">
        <x:f>IF(O39="","",(1/'Metadata'!$B$5)^(O39-1))</x:f>
        <x:v>10</x:v>
      </x:c>
      <x:c r="U39" s="31" t="n">
        <x:f>IF(T39="","",I39*T39)</x:f>
        <x:v>13562.726502246001</x:v>
      </x:c>
    </x:row>
    <x:row r="40" ht="18" customHeight="1">
      <x:c r="A40" s="24" t="str">
        <x:v>EEZ_152</x:v>
      </x:c>
      <x:c r="B40" s="24" t="str">
        <x:v>Chile (mainland)</x:v>
      </x:c>
      <x:c r="C40" s="24" t="str">
        <x:v>EEZ</x:v>
      </x:c>
      <x:c r="D40" s="30" t="n">
        <x:v>2019</x:v>
      </x:c>
      <x:c r="E40" s="24" t="str">
        <x:v>Heterocarpus reedi</x:v>
      </x:c>
      <x:c r="F40" s="24" t="str">
        <x:v>Chilean nylon shrimp</x:v>
      </x:c>
      <x:c r="G40" s="24" t="str">
        <x:v>Shrimps</x:v>
      </x:c>
      <x:c r="H40" s="24" t="str">
        <x:v>Crustaceans</x:v>
      </x:c>
      <x:c r="I40" s="31" t="n">
        <x:v>1188.9156763543</x:v>
      </x:c>
      <x:c r="J40" s="31" t="n">
        <x:v>1188.9156763543</x:v>
      </x:c>
      <x:c r="K40" s="31" t="n">
        <x:v>0</x:v>
      </x:c>
      <x:c r="L40" s="31" t="n">
        <x:v>1099</x:v>
      </x:c>
      <x:c r="M40" s="31" t="n">
        <x:v>89.9156763543</x:v>
      </x:c>
      <x:c r="N40" s="24" t="str">
        <x:v>heterocarpus reedi</x:v>
      </x:c>
      <x:c r="O40" s="32" t="n">
        <x:v>2.3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Heterocarpus reedi</x:v>
      </x:c>
      <x:c r="T40" s="32" t="n">
        <x:f>IF(O40="","",(1/'Metadata'!$B$5)^(O40-1))</x:f>
        <x:v>19.952623149688787</x:v>
      </x:c>
      <x:c r="U40" s="31" t="n">
        <x:f>IF(T40="","",I40*T40)</x:f>
        <x:v>23721.98644705471</x:v>
      </x:c>
    </x:row>
    <x:row r="41" ht="18" customHeight="1">
      <x:c r="A41" s="24" t="str">
        <x:v>EEZ_152</x:v>
      </x:c>
      <x:c r="B41" s="24" t="str">
        <x:v>Chile (mainland)</x:v>
      </x:c>
      <x:c r="C41" s="24" t="str">
        <x:v>EEZ</x:v>
      </x:c>
      <x:c r="D41" s="30" t="n">
        <x:v>2019</x:v>
      </x:c>
      <x:c r="E41" s="24" t="str">
        <x:v>Leukoma thaca</x:v>
      </x:c>
      <x:c r="F41" s="24" t="str">
        <x:v>Taca clam</x:v>
      </x:c>
      <x:c r="G41" s="24" t="str">
        <x:v>Other demersal invertebrates</x:v>
      </x:c>
      <x:c r="H41" s="24" t="str">
        <x:v>Molluscs</x:v>
      </x:c>
      <x:c r="I41" s="31" t="n">
        <x:v>1136.8417327774</x:v>
      </x:c>
      <x:c r="J41" s="31" t="n">
        <x:v>1136.8417327774</x:v>
      </x:c>
      <x:c r="K41" s="31" t="n">
        <x:v>0</x:v>
      </x:c>
      <x:c r="L41" s="31" t="n">
        <x:v>1</x:v>
      </x:c>
      <x:c r="M41" s="31" t="n">
        <x:v>1135.8417327774</x:v>
      </x:c>
      <x:c r="N41" s="24" t="str">
        <x:v>leukoma thaca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Leukoma thaca</x:v>
      </x:c>
      <x:c r="T41" s="32" t="n">
        <x:f>IF(O41="","",(1/'Metadata'!$B$5)^(O41-1))</x:f>
        <x:v>10</x:v>
      </x:c>
      <x:c r="U41" s="31" t="n">
        <x:f>IF(T41="","",I41*T41)</x:f>
        <x:v>11368.417327774001</x:v>
      </x:c>
    </x:row>
    <x:row r="42" ht="18" customHeight="1">
      <x:c r="A42" s="24" t="str">
        <x:v>EEZ_152</x:v>
      </x:c>
      <x:c r="B42" s="24" t="str">
        <x:v>Chile (mainland)</x:v>
      </x:c>
      <x:c r="C42" s="24" t="str">
        <x:v>EEZ</x:v>
      </x:c>
      <x:c r="D42" s="30" t="n">
        <x:v>2019</x:v>
      </x:c>
      <x:c r="E42" s="24" t="str">
        <x:v>Cilus gilberti</x:v>
      </x:c>
      <x:c r="F42" s="24" t="str">
        <x:v>Corvina drum</x:v>
      </x:c>
      <x:c r="G42" s="24" t="str">
        <x:v>Medium demersals (30 - 89 cm)</x:v>
      </x:c>
      <x:c r="H42" s="24" t="str">
        <x:v>Perch-likes</x:v>
      </x:c>
      <x:c r="I42" s="31" t="n">
        <x:v>990.8482575999</x:v>
      </x:c>
      <x:c r="J42" s="31" t="n">
        <x:v>990.8482575999</x:v>
      </x:c>
      <x:c r="K42" s="31" t="n">
        <x:v>0</x:v>
      </x:c>
      <x:c r="L42" s="31" t="n">
        <x:v>853.8417069507</x:v>
      </x:c>
      <x:c r="M42" s="31" t="n">
        <x:v>137.0065506492</x:v>
      </x:c>
      <x:c r="N42" s="24" t="str">
        <x:v>cilus gilberti</x:v>
      </x:c>
      <x:c r="O42" s="32" t="n">
        <x:v>3.67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Cilus gilberti</x:v>
      </x:c>
      <x:c r="T42" s="32" t="n">
        <x:f>IF(O42="","",(1/'Metadata'!$B$5)^(O42-1))</x:f>
        <x:v>467.73514128719813</x:v>
      </x:c>
      <x:c r="U42" s="31" t="n">
        <x:f>IF(T42="","",I42*T42)</x:f>
        <x:v>463454.5497626633</x:v>
      </x:c>
    </x:row>
    <x:row r="43" ht="18" customHeight="1">
      <x:c r="A43" s="24" t="str">
        <x:v>EEZ_152</x:v>
      </x:c>
      <x:c r="B43" s="24" t="str">
        <x:v>Chile (mainland)</x:v>
      </x:c>
      <x:c r="C43" s="24" t="str">
        <x:v>EEZ</x:v>
      </x:c>
      <x:c r="D43" s="30" t="n">
        <x:v>2019</x:v>
      </x:c>
      <x:c r="E43" s="24" t="str">
        <x:v>Enteroctopus megalocyathus</x:v>
      </x:c>
      <x:c r="F43" s="24" t="str">
        <x:v>Patagonian giant octopus</x:v>
      </x:c>
      <x:c r="G43" s="24" t="str">
        <x:v>Cephalopods</x:v>
      </x:c>
      <x:c r="H43" s="24" t="str">
        <x:v>Other fishes &amp; inverts</x:v>
      </x:c>
      <x:c r="I43" s="31" t="n">
        <x:v>825</x:v>
      </x:c>
      <x:c r="J43" s="31" t="n">
        <x:v>825</x:v>
      </x:c>
      <x:c r="K43" s="31" t="n">
        <x:v>0</x:v>
      </x:c>
      <x:c r="L43" s="31" t="n">
        <x:v>825</x:v>
      </x:c>
      <x:c r="M43" s="31" t="n">
        <x:v>0</x:v>
      </x:c>
      <x:c r="N43" s="24" t="str">
        <x:v>enteroctopus megalocyathus</x:v>
      </x:c>
      <x:c r="O43" s="32" t="n">
        <x:v>3.68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Enteroctopus megalocyathus</x:v>
      </x:c>
      <x:c r="T43" s="32" t="n">
        <x:f>IF(O43="","",(1/'Metadata'!$B$5)^(O43-1))</x:f>
        <x:v>478.6300923226385</x:v>
      </x:c>
      <x:c r="U43" s="31" t="n">
        <x:f>IF(T43="","",I43*T43)</x:f>
        <x:v>394869.82616617676</x:v>
      </x:c>
    </x:row>
    <x:row r="44" ht="18" customHeight="1">
      <x:c r="A44" s="24" t="str">
        <x:v>EEZ_152</x:v>
      </x:c>
      <x:c r="B44" s="24" t="str">
        <x:v>Chile (mainland)</x:v>
      </x:c>
      <x:c r="C44" s="24" t="str">
        <x:v>EEZ</x:v>
      </x:c>
      <x:c r="D44" s="30" t="n">
        <x:v>2019</x:v>
      </x:c>
      <x:c r="E44" s="24" t="str">
        <x:v>Genypterus blacodes</x:v>
      </x:c>
      <x:c r="F44" s="24" t="str">
        <x:v>Pink cusk-eel</x:v>
      </x:c>
      <x:c r="G44" s="24" t="str">
        <x:v>Large bathydemersals (&gt;=90 cm)</x:v>
      </x:c>
      <x:c r="H44" s="24" t="str">
        <x:v>Other fishes &amp; inverts</x:v>
      </x:c>
      <x:c r="I44" s="31" t="n">
        <x:v>745.5051278217</x:v>
      </x:c>
      <x:c r="J44" s="31" t="n">
        <x:v>745.5051278217</x:v>
      </x:c>
      <x:c r="K44" s="31" t="n">
        <x:v>0</x:v>
      </x:c>
      <x:c r="L44" s="31" t="n">
        <x:v>692.8355436800999</x:v>
      </x:c>
      <x:c r="M44" s="31" t="n">
        <x:v>52.6695841416</x:v>
      </x:c>
      <x:c r="N44" s="24" t="str">
        <x:v>genypterus blacodes</x:v>
      </x:c>
      <x:c r="O44" s="32" t="n">
        <x:v>4.22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Genypterus blacodes</x:v>
      </x:c>
      <x:c r="T44" s="32" t="n">
        <x:f>IF(O44="","",(1/'Metadata'!$B$5)^(O44-1))</x:f>
        <x:v>1659.5869074375596</x:v>
      </x:c>
      <x:c r="U44" s="31" t="n">
        <x:f>IF(T44="","",I44*T44)</x:f>
        <x:v>1237230.5495604575</x:v>
      </x:c>
    </x:row>
    <x:row r="45" ht="18" customHeight="1">
      <x:c r="A45" s="24" t="str">
        <x:v>EEZ_152</x:v>
      </x:c>
      <x:c r="B45" s="24" t="str">
        <x:v>Chile (mainland)</x:v>
      </x:c>
      <x:c r="C45" s="24" t="str">
        <x:v>EEZ</x:v>
      </x:c>
      <x:c r="D45" s="30" t="n">
        <x:v>2019</x:v>
      </x:c>
      <x:c r="E45" s="24" t="str">
        <x:v>Callorhinchus callorynchus</x:v>
      </x:c>
      <x:c r="F45" s="24" t="str">
        <x:v>Plownose chimaera</x:v>
      </x:c>
      <x:c r="G45" s="24" t="str">
        <x:v>Small to medium rays (&lt;90 cm)</x:v>
      </x:c>
      <x:c r="H45" s="24" t="str">
        <x:v>Sharks &amp; rays</x:v>
      </x:c>
      <x:c r="I45" s="31" t="n">
        <x:v>658.1108269787001</x:v>
      </x:c>
      <x:c r="J45" s="31" t="n">
        <x:v>658.1108269787001</x:v>
      </x:c>
      <x:c r="K45" s="31" t="n">
        <x:v>0</x:v>
      </x:c>
      <x:c r="L45" s="31" t="n">
        <x:v>607</x:v>
      </x:c>
      <x:c r="M45" s="31" t="n">
        <x:v>51.110826978700004</x:v>
      </x:c>
      <x:c r="N45" s="24" t="str">
        <x:v>callorhinchus callorynchus</x:v>
      </x:c>
      <x:c r="O45" s="32" t="n">
        <x:v>3.35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Callorhinchus callorynchus</x:v>
      </x:c>
      <x:c r="T45" s="32" t="n">
        <x:f>IF(O45="","",(1/'Metadata'!$B$5)^(O45-1))</x:f>
        <x:v>223.872113856834</x:v>
      </x:c>
      <x:c r="U45" s="31" t="n">
        <x:f>IF(T45="","",I45*T45)</x:f>
        <x:v>147332.66198779072</x:v>
      </x:c>
    </x:row>
    <x:row r="46" ht="18" customHeight="1">
      <x:c r="A46" s="24" t="str">
        <x:v>EEZ_152</x:v>
      </x:c>
      <x:c r="B46" s="24" t="str">
        <x:v>Chile (mainland)</x:v>
      </x:c>
      <x:c r="C46" s="24" t="str">
        <x:v>EEZ</x:v>
      </x:c>
      <x:c r="D46" s="30" t="n">
        <x:v>2019</x:v>
      </x:c>
      <x:c r="E46" s="24" t="str">
        <x:v>Gastropoda</x:v>
      </x:c>
      <x:c r="F46" s="24" t="str">
        <x:v>Sea snails</x:v>
      </x:c>
      <x:c r="G46" s="24" t="str">
        <x:v>Other demersal invertebrates</x:v>
      </x:c>
      <x:c r="H46" s="24" t="str">
        <x:v>Molluscs</x:v>
      </x:c>
      <x:c r="I46" s="31" t="n">
        <x:v>657.4523063969999</x:v>
      </x:c>
      <x:c r="J46" s="31" t="n">
        <x:v>657.4523063969999</x:v>
      </x:c>
      <x:c r="K46" s="31" t="n">
        <x:v>0</x:v>
      </x:c>
      <x:c r="L46" s="31" t="n">
        <x:v>628</x:v>
      </x:c>
      <x:c r="M46" s="31" t="n">
        <x:v>29.452306397</x:v>
      </x:c>
      <x:c r="N46" s="24" t="str">
        <x:v>gastropoda</x:v>
      </x:c>
      <x:c r="O46" s="32" t="n">
        <x:v>3.06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Gastropoda</x:v>
      </x:c>
      <x:c r="T46" s="32" t="n">
        <x:f>IF(O46="","",(1/'Metadata'!$B$5)^(O46-1))</x:f>
        <x:v>114.81536214968828</x:v>
      </x:c>
      <x:c r="U46" s="31" t="n">
        <x:f>IF(T46="","",I46*T46)</x:f>
        <x:v>75485.62465511936</x:v>
      </x:c>
    </x:row>
    <x:row r="47" ht="18" customHeight="1">
      <x:c r="A47" s="24" t="str">
        <x:v>EEZ_152</x:v>
      </x:c>
      <x:c r="B47" s="24" t="str">
        <x:v>Chile (mainland)</x:v>
      </x:c>
      <x:c r="C47" s="24" t="str">
        <x:v>EEZ</x:v>
      </x:c>
      <x:c r="D47" s="30" t="n">
        <x:v>2019</x:v>
      </x:c>
      <x:c r="E47" s="24" t="str">
        <x:v>Zearaja chilensis</x:v>
      </x:c>
      <x:c r="F47" s="24" t="str">
        <x:v>Yellownose skate</x:v>
      </x:c>
      <x:c r="G47" s="24" t="str">
        <x:v>Small to medium rays (&lt;90 cm)</x:v>
      </x:c>
      <x:c r="H47" s="24" t="str">
        <x:v>Sharks &amp; rays</x:v>
      </x:c>
      <x:c r="I47" s="31" t="n">
        <x:v>548.2239104129</x:v>
      </x:c>
      <x:c r="J47" s="31" t="n">
        <x:v>548.2239104129</x:v>
      </x:c>
      <x:c r="K47" s="31" t="n">
        <x:v>0</x:v>
      </x:c>
      <x:c r="L47" s="31" t="n">
        <x:v>499</x:v>
      </x:c>
      <x:c r="M47" s="31" t="n">
        <x:v>49.223910412900004</x:v>
      </x:c>
      <x:c r="N47" s="24" t="str">
        <x:v>zearaja chilensis</x:v>
      </x:c>
      <x:c r="O47" s="32" t="n">
        <x:v>4.46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Zearaja chilensis</x:v>
      </x:c>
      <x:c r="T47" s="32" t="n">
        <x:f>IF(O47="","",(1/'Metadata'!$B$5)^(O47-1))</x:f>
        <x:v>2884.031503126606</x:v>
      </x:c>
      <x:c r="U47" s="31" t="n">
        <x:f>IF(T47="","",I47*T47)</x:f>
        <x:v>1581095.0283980616</x:v>
      </x:c>
    </x:row>
    <x:row r="48" ht="18" customHeight="1">
      <x:c r="A48" s="24" t="str">
        <x:v>EEZ_152</x:v>
      </x:c>
      <x:c r="B48" s="24" t="str">
        <x:v>Chile (mainland)</x:v>
      </x:c>
      <x:c r="C48" s="24" t="str">
        <x:v>EEZ</x:v>
      </x:c>
      <x:c r="D48" s="30" t="n">
        <x:v>2019</x:v>
      </x:c>
      <x:c r="E48" s="24" t="str">
        <x:v>Semele solida</x:v>
      </x:c>
      <x:c r="F48" s="24" t="str">
        <x:v>Chilean semele</x:v>
      </x:c>
      <x:c r="G48" s="24" t="str">
        <x:v>Other demersal invertebrates</x:v>
      </x:c>
      <x:c r="H48" s="24" t="str">
        <x:v>Molluscs</x:v>
      </x:c>
      <x:c r="I48" s="31" t="n">
        <x:v>465.5498680394</x:v>
      </x:c>
      <x:c r="J48" s="31" t="n">
        <x:v>465.5498680394</x:v>
      </x:c>
      <x:c r="K48" s="31" t="n">
        <x:v>0</x:v>
      </x:c>
      <x:c r="L48" s="31" t="n">
        <x:v>437</x:v>
      </x:c>
      <x:c r="M48" s="31" t="n">
        <x:v>28.5498680394</x:v>
      </x:c>
      <x:c r="N48" s="24" t="str">
        <x:v>semele solida</x:v>
      </x:c>
      <x:c r="O48" s="32" t="n">
        <x:v>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Semele solida</x:v>
      </x:c>
      <x:c r="T48" s="32" t="n">
        <x:f>IF(O48="","",(1/'Metadata'!$B$5)^(O48-1))</x:f>
        <x:v>10</x:v>
      </x:c>
      <x:c r="U48" s="31" t="n">
        <x:f>IF(T48="","",I48*T48)</x:f>
        <x:v>4655.498680394</x:v>
      </x:c>
    </x:row>
    <x:row r="49" ht="18" customHeight="1">
      <x:c r="A49" s="24" t="str">
        <x:v>EEZ_152</x:v>
      </x:c>
      <x:c r="B49" s="24" t="str">
        <x:v>Chile (mainland)</x:v>
      </x:c>
      <x:c r="C49" s="24" t="str">
        <x:v>EEZ</x:v>
      </x:c>
      <x:c r="D49" s="30" t="n">
        <x:v>2019</x:v>
      </x:c>
      <x:c r="E49" s="24" t="str">
        <x:v>Seriola lalandi</x:v>
      </x:c>
      <x:c r="F49" s="24" t="str">
        <x:v>Yellowtail amberjack</x:v>
      </x:c>
      <x:c r="G49" s="24" t="str">
        <x:v>Large benthopelagics (&gt;=90 cm)</x:v>
      </x:c>
      <x:c r="H49" s="24" t="str">
        <x:v>Perch-likes</x:v>
      </x:c>
      <x:c r="I49" s="31" t="n">
        <x:v>423.9299026827</x:v>
      </x:c>
      <x:c r="J49" s="31" t="n">
        <x:v>423.9299026827</x:v>
      </x:c>
      <x:c r="K49" s="31" t="n">
        <x:v>0</x:v>
      </x:c>
      <x:c r="L49" s="31" t="n">
        <x:v>370.2758403326</x:v>
      </x:c>
      <x:c r="M49" s="31" t="n">
        <x:v>53.6540623501</x:v>
      </x:c>
      <x:c r="N49" s="24" t="str">
        <x:v>seriola lalandi</x:v>
      </x:c>
      <x:c r="O49" s="32" t="n">
        <x:v>4.16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Seriola lalandi</x:v>
      </x:c>
      <x:c r="T49" s="32" t="n">
        <x:f>IF(O49="","",(1/'Metadata'!$B$5)^(O49-1))</x:f>
        <x:v>1445.439770745928</x:v>
      </x:c>
      <x:c r="U49" s="31" t="n">
        <x:f>IF(T49="","",I49*T49)</x:f>
        <x:v>612765.1413460254</x:v>
      </x:c>
    </x:row>
    <x:row r="50" ht="18" customHeight="1">
      <x:c r="A50" s="24" t="str">
        <x:v>EEZ_152</x:v>
      </x:c>
      <x:c r="B50" s="24" t="str">
        <x:v>Chile (mainland)</x:v>
      </x:c>
      <x:c r="C50" s="24" t="str">
        <x:v>EEZ</x:v>
      </x:c>
      <x:c r="D50" s="30" t="n">
        <x:v>2019</x:v>
      </x:c>
      <x:c r="E50" s="24" t="str">
        <x:v>Odontesthes regia</x:v>
      </x:c>
      <x:c r="F50" s="24" t="str">
        <x:v>Chilean silverside</x:v>
      </x:c>
      <x:c r="G50" s="24" t="str">
        <x:v>Small pelagics (&lt;30 cm)</x:v>
      </x:c>
      <x:c r="H50" s="24" t="str">
        <x:v>Other fishes &amp; inverts</x:v>
      </x:c>
      <x:c r="I50" s="31" t="n">
        <x:v>387.92013458580004</x:v>
      </x:c>
      <x:c r="J50" s="31" t="n">
        <x:v>387.92013458580004</x:v>
      </x:c>
      <x:c r="K50" s="31" t="n">
        <x:v>0</x:v>
      </x:c>
      <x:c r="L50" s="31" t="n">
        <x:v>330</x:v>
      </x:c>
      <x:c r="M50" s="31" t="n">
        <x:v>57.92013458580001</x:v>
      </x:c>
      <x:c r="N50" s="24" t="str">
        <x:v>odontesthes regia</x:v>
      </x:c>
      <x:c r="O50" s="32" t="n">
        <x:v>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Odontesthes regia</x:v>
      </x:c>
      <x:c r="T50" s="32" t="n">
        <x:f>IF(O50="","",(1/'Metadata'!$B$5)^(O50-1))</x:f>
        <x:v>1000</x:v>
      </x:c>
      <x:c r="U50" s="31" t="n">
        <x:f>IF(T50="","",I50*T50)</x:f>
        <x:v>387920.13458580006</x:v>
      </x:c>
    </x:row>
    <x:row r="51" ht="18" customHeight="1">
      <x:c r="A51" s="24" t="str">
        <x:v>EEZ_152</x:v>
      </x:c>
      <x:c r="B51" s="24" t="str">
        <x:v>Chile (mainland)</x:v>
      </x:c>
      <x:c r="C51" s="24" t="str">
        <x:v>EEZ</x:v>
      </x:c>
      <x:c r="D51" s="30" t="n">
        <x:v>2019</x:v>
      </x:c>
      <x:c r="E51" s="24" t="str">
        <x:v>Austromegabalanus psittacus</x:v>
      </x:c>
      <x:c r="F51" s="24" t="str">
        <x:v>Giant barnacle</x:v>
      </x:c>
      <x:c r="G51" s="24" t="str">
        <x:v>Other demersal invertebrates</x:v>
      </x:c>
      <x:c r="H51" s="24" t="str">
        <x:v>Crustaceans</x:v>
      </x:c>
      <x:c r="I51" s="31" t="n">
        <x:v>304.3813574461</x:v>
      </x:c>
      <x:c r="J51" s="31" t="n">
        <x:v>304.3813574461</x:v>
      </x:c>
      <x:c r="K51" s="31" t="n">
        <x:v>0</x:v>
      </x:c>
      <x:c r="L51" s="31" t="n">
        <x:v>281</x:v>
      </x:c>
      <x:c r="M51" s="31" t="n">
        <x:v>23.3813574461</x:v>
      </x:c>
      <x:c r="N51" s="24" t="str">
        <x:v>austromegabalanus psittacus</x:v>
      </x:c>
      <x:c r="O51" s="32" t="n">
        <x:v>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Austromegabalanus psittacus</x:v>
      </x:c>
      <x:c r="T51" s="32" t="n">
        <x:f>IF(O51="","",(1/'Metadata'!$B$5)^(O51-1))</x:f>
        <x:v>10</x:v>
      </x:c>
      <x:c r="U51" s="31" t="n">
        <x:f>IF(T51="","",I51*T51)</x:f>
        <x:v>3043.8135744610004</x:v>
      </x:c>
    </x:row>
    <x:row r="52" ht="18" customHeight="1">
      <x:c r="A52" s="24" t="str">
        <x:v>EEZ_152</x:v>
      </x:c>
      <x:c r="B52" s="24" t="str">
        <x:v>Chile (mainland)</x:v>
      </x:c>
      <x:c r="C52" s="24" t="str">
        <x:v>EEZ</x:v>
      </x:c>
      <x:c r="D52" s="30" t="n">
        <x:v>2019</x:v>
      </x:c>
      <x:c r="E52" s="24" t="str">
        <x:v>Galatheidae</x:v>
      </x:c>
      <x:c r="F52" s="24" t="str">
        <x:v>Squat lobsters</x:v>
      </x:c>
      <x:c r="G52" s="24" t="str">
        <x:v>Lobsters, crabs</x:v>
      </x:c>
      <x:c r="H52" s="24" t="str">
        <x:v>Crustaceans</x:v>
      </x:c>
      <x:c r="I52" s="31" t="n">
        <x:v>279</x:v>
      </x:c>
      <x:c r="J52" s="31" t="n">
        <x:v>279</x:v>
      </x:c>
      <x:c r="K52" s="31" t="n">
        <x:v>0</x:v>
      </x:c>
      <x:c r="L52" s="31" t="n">
        <x:v>279</x:v>
      </x:c>
      <x:c r="M52" s="31" t="n">
        <x:v>0</x:v>
      </x:c>
      <x:c r="N52" s="24" t="str">
        <x:v>galatheidae</x:v>
      </x:c>
      <x:c r="O52" s="32" t="n">
        <x:v>3.1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Galatheidae</x:v>
      </x:c>
      <x:c r="T52" s="32" t="n">
        <x:f>IF(O52="","",(1/'Metadata'!$B$5)^(O52-1))</x:f>
        <x:v>125.89254117941675</x:v>
      </x:c>
      <x:c r="U52" s="31" t="n">
        <x:f>IF(T52="","",I52*T52)</x:f>
        <x:v>35124.01898905727</x:v>
      </x:c>
    </x:row>
    <x:row r="53" ht="18" customHeight="1">
      <x:c r="A53" s="24" t="str">
        <x:v>EEZ_152</x:v>
      </x:c>
      <x:c r="B53" s="24" t="str">
        <x:v>Chile (mainland)</x:v>
      </x:c>
      <x:c r="C53" s="24" t="str">
        <x:v>EEZ</x:v>
      </x:c>
      <x:c r="D53" s="30" t="n">
        <x:v>2019</x:v>
      </x:c>
      <x:c r="E53" s="24" t="str">
        <x:v>Fissurella latimarginata</x:v>
      </x:c>
      <x:c r="F53" s="24" t="str">
        <x:v> </x:v>
      </x:c>
      <x:c r="G53" s="24" t="str">
        <x:v>Other demersal invertebrates</x:v>
      </x:c>
      <x:c r="H53" s="24" t="str">
        <x:v>Molluscs</x:v>
      </x:c>
      <x:c r="I53" s="31" t="n">
        <x:v>278.2793375721</x:v>
      </x:c>
      <x:c r="J53" s="31" t="n">
        <x:v>278.2793375721</x:v>
      </x:c>
      <x:c r="K53" s="31" t="n">
        <x:v>0</x:v>
      </x:c>
      <x:c r="L53" s="31" t="n">
        <x:v>222</x:v>
      </x:c>
      <x:c r="M53" s="31" t="n">
        <x:v>56.279337572100005</x:v>
      </x:c>
      <x:c r="N53" s="24" t="str">
        <x:v>fissurella latimarginata</x:v>
      </x:c>
      <x:c r="O53" s="32" t="n">
        <x:v>2.19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Fissurella latimarginata</x:v>
      </x:c>
      <x:c r="T53" s="32" t="n">
        <x:f>IF(O53="","",(1/'Metadata'!$B$5)^(O53-1))</x:f>
        <x:v>15.488166189124811</x:v>
      </x:c>
      <x:c r="U53" s="31" t="n">
        <x:f>IF(T53="","",I53*T53)</x:f>
        <x:v>4310.036627316249</x:v>
      </x:c>
    </x:row>
    <x:row r="54" ht="18" customHeight="1">
      <x:c r="A54" s="24" t="str">
        <x:v>EEZ_152</x:v>
      </x:c>
      <x:c r="B54" s="24" t="str">
        <x:v>Chile (mainland)</x:v>
      </x:c>
      <x:c r="C54" s="24" t="str">
        <x:v>EEZ</x:v>
      </x:c>
      <x:c r="D54" s="30" t="n">
        <x:v>2019</x:v>
      </x:c>
      <x:c r="E54" s="24" t="str">
        <x:v>Hippoglossina macrops</x:v>
      </x:c>
      <x:c r="F54" s="24" t="str">
        <x:v>Bigeye flounder</x:v>
      </x:c>
      <x:c r="G54" s="24" t="str">
        <x:v>Small to medium flatfishes (&lt;90 cm)</x:v>
      </x:c>
      <x:c r="H54" s="24" t="str">
        <x:v>Flatfishes</x:v>
      </x:c>
      <x:c r="I54" s="31" t="n">
        <x:v>260.2544321008</x:v>
      </x:c>
      <x:c r="J54" s="31" t="n">
        <x:v>0</x:v>
      </x:c>
      <x:c r="K54" s="31" t="n">
        <x:v>260.2544321008</x:v>
      </x:c>
      <x:c r="L54" s="31" t="n">
        <x:v>0</x:v>
      </x:c>
      <x:c r="M54" s="31" t="n">
        <x:v>260.2544321008</x:v>
      </x:c>
      <x:c r="N54" s="24" t="str">
        <x:v>hippoglossina macrops</x:v>
      </x:c>
      <x:c r="O54" s="32" t="n">
        <x:v>3.73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Hippoglossina macrops</x:v>
      </x:c>
      <x:c r="T54" s="32" t="n">
        <x:f>IF(O54="","",(1/'Metadata'!$B$5)^(O54-1))</x:f>
        <x:v>537.0317963702527</x:v>
      </x:c>
      <x:c r="U54" s="31" t="n">
        <x:f>IF(T54="","",I54*T54)</x:f>
        <x:v>139764.90518441258</x:v>
      </x:c>
    </x:row>
    <x:row r="55" ht="18" customHeight="1">
      <x:c r="A55" s="24" t="str">
        <x:v>EEZ_152</x:v>
      </x:c>
      <x:c r="B55" s="24" t="str">
        <x:v>Chile (mainland)</x:v>
      </x:c>
      <x:c r="C55" s="24" t="str">
        <x:v>EEZ</x:v>
      </x:c>
      <x:c r="D55" s="30" t="n">
        <x:v>2019</x:v>
      </x:c>
      <x:c r="E55" s="24" t="str">
        <x:v>Athyonidium chilensis</x:v>
      </x:c>
      <x:c r="F55" s="24" t="str">
        <x:v>Burrowing shaggy sea cucumber</x:v>
      </x:c>
      <x:c r="G55" s="24" t="str">
        <x:v>Other demersal invertebrates</x:v>
      </x:c>
      <x:c r="H55" s="24" t="str">
        <x:v>Other fishes &amp; inverts</x:v>
      </x:c>
      <x:c r="I55" s="31" t="n">
        <x:v>249.81816939109999</x:v>
      </x:c>
      <x:c r="J55" s="31" t="n">
        <x:v>249.81816939109999</x:v>
      </x:c>
      <x:c r="K55" s="31" t="n">
        <x:v>0</x:v>
      </x:c>
      <x:c r="L55" s="31" t="n">
        <x:v>233</x:v>
      </x:c>
      <x:c r="M55" s="31" t="n">
        <x:v>16.8181693911</x:v>
      </x:c>
      <x:c r="N55" s="24" t="str">
        <x:v>athyonidium chilensis</x:v>
      </x:c>
      <x:c r="O55" s="32" t="n">
        <x:v>2.86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Athyonidium chilensis</x:v>
      </x:c>
      <x:c r="T55" s="32" t="n">
        <x:f>IF(O55="","",(1/'Metadata'!$B$5)^(O55-1))</x:f>
        <x:v>72.44359600749898</x:v>
      </x:c>
      <x:c r="U55" s="31" t="n">
        <x:f>IF(T55="","",I55*T55)</x:f>
        <x:v>18097.726538701794</x:v>
      </x:c>
    </x:row>
    <x:row r="56" ht="18" customHeight="1">
      <x:c r="A56" s="24" t="str">
        <x:v>EEZ_152</x:v>
      </x:c>
      <x:c r="B56" s="24" t="str">
        <x:v>Chile (mainland)</x:v>
      </x:c>
      <x:c r="C56" s="24" t="str">
        <x:v>EEZ</x:v>
      </x:c>
      <x:c r="D56" s="30" t="n">
        <x:v>2019</x:v>
      </x:c>
      <x:c r="E56" s="24" t="str">
        <x:v>Isurus oxyrinchus</x:v>
      </x:c>
      <x:c r="F56" s="24" t="str">
        <x:v>Shortfin mako</x:v>
      </x:c>
      <x:c r="G56" s="24" t="str">
        <x:v>Large sharks (&gt;=90 cm)</x:v>
      </x:c>
      <x:c r="H56" s="24" t="str">
        <x:v>Sharks &amp; rays</x:v>
      </x:c>
      <x:c r="I56" s="31" t="n">
        <x:v>234.00768333119998</x:v>
      </x:c>
      <x:c r="J56" s="31" t="n">
        <x:v>234.00768333119998</x:v>
      </x:c>
      <x:c r="K56" s="31" t="n">
        <x:v>0</x:v>
      </x:c>
      <x:c r="L56" s="31" t="n">
        <x:v>206.2782137985</x:v>
      </x:c>
      <x:c r="M56" s="31" t="n">
        <x:v>27.7294695327</x:v>
      </x:c>
      <x:c r="N56" s="24" t="str">
        <x:v>isurus oxyrinchus</x:v>
      </x:c>
      <x:c r="O56" s="32" t="n">
        <x:v>4.5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Isurus oxyrinchus</x:v>
      </x:c>
      <x:c r="T56" s="32" t="n">
        <x:f>IF(O56="","",(1/'Metadata'!$B$5)^(O56-1))</x:f>
        <x:v>3162.2776601683795</x:v>
      </x:c>
      <x:c r="U56" s="31" t="n">
        <x:f>IF(T56="","",I56*T56)</x:f>
        <x:v>739997.2693060102</x:v>
      </x:c>
    </x:row>
    <x:row r="57" ht="18" customHeight="1">
      <x:c r="A57" s="24" t="str">
        <x:v>EEZ_152</x:v>
      </x:c>
      <x:c r="B57" s="24" t="str">
        <x:v>Chile (mainland)</x:v>
      </x:c>
      <x:c r="C57" s="24" t="str">
        <x:v>EEZ</x:v>
      </x:c>
      <x:c r="D57" s="30" t="n">
        <x:v>2019</x:v>
      </x:c>
      <x:c r="E57" s="24" t="str">
        <x:v>Pseudograpsus setosus</x:v>
      </x:c>
      <x:c r="F57" s="24" t="str">
        <x:v>Jaiba peluda</x:v>
      </x:c>
      <x:c r="G57" s="24" t="str">
        <x:v>Lobsters, crabs</x:v>
      </x:c>
      <x:c r="H57" s="24" t="str">
        <x:v>Crustaceans</x:v>
      </x:c>
      <x:c r="I57" s="31" t="n">
        <x:v>216</x:v>
      </x:c>
      <x:c r="J57" s="31" t="n">
        <x:v>216</x:v>
      </x:c>
      <x:c r="K57" s="31" t="n">
        <x:v>0</x:v>
      </x:c>
      <x:c r="L57" s="31" t="n">
        <x:v>216</x:v>
      </x:c>
      <x:c r="M57" s="31" t="n">
        <x:v>0</x:v>
      </x:c>
      <x:c r="N57" s="24" t="str">
        <x:v>pseudograpsus setosus</x:v>
      </x:c>
      <x:c r="O57" s="32" t="n">
        <x:v>3.37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Pseudograpsus setosus</x:v>
      </x:c>
      <x:c r="T57" s="32" t="n">
        <x:f>IF(O57="","",(1/'Metadata'!$B$5)^(O57-1))</x:f>
        <x:v>234.42288153199226</x:v>
      </x:c>
      <x:c r="U57" s="31" t="n">
        <x:f>IF(T57="","",I57*T57)</x:f>
        <x:v>50635.34241091033</x:v>
      </x:c>
    </x:row>
    <x:row r="58" ht="18" customHeight="1">
      <x:c r="A58" s="24" t="str">
        <x:v>EEZ_152</x:v>
      </x:c>
      <x:c r="B58" s="24" t="str">
        <x:v>Chile (mainland)</x:v>
      </x:c>
      <x:c r="C58" s="24" t="str">
        <x:v>EEZ</x:v>
      </x:c>
      <x:c r="D58" s="30" t="n">
        <x:v>2019</x:v>
      </x:c>
      <x:c r="E58" s="24" t="str">
        <x:v>Paralichthyidae</x:v>
      </x:c>
      <x:c r="F58" s="24" t="str">
        <x:v>Largetooth flounders</x:v>
      </x:c>
      <x:c r="G58" s="24" t="str">
        <x:v>Small to medium flatfishes (&lt;90 cm)</x:v>
      </x:c>
      <x:c r="H58" s="24" t="str">
        <x:v>Flatfishes</x:v>
      </x:c>
      <x:c r="I58" s="31" t="n">
        <x:v>197.3922995348</x:v>
      </x:c>
      <x:c r="J58" s="31" t="n">
        <x:v>0</x:v>
      </x:c>
      <x:c r="K58" s="31" t="n">
        <x:v>197.3922995348</x:v>
      </x:c>
      <x:c r="L58" s="31" t="n">
        <x:v>0</x:v>
      </x:c>
      <x:c r="M58" s="31" t="n">
        <x:v>197.3922995348</x:v>
      </x:c>
      <x:c r="N58" s="24" t="str">
        <x:v>paralichthyidae</x:v>
      </x:c>
      <x:c r="O58" s="32" t="n">
        <x:v>4.06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Paralichthyidae</x:v>
      </x:c>
      <x:c r="T58" s="32" t="n">
        <x:f>IF(O58="","",(1/'Metadata'!$B$5)^(O58-1))</x:f>
        <x:v>1148.1536214968817</x:v>
      </x:c>
      <x:c r="U58" s="31" t="n">
        <x:f>IF(T58="","",I58*T58)</x:f>
        <x:v>226636.68356647785</x:v>
      </x:c>
    </x:row>
    <x:row r="59" ht="18" customHeight="1">
      <x:c r="A59" s="24" t="str">
        <x:v>EEZ_152</x:v>
      </x:c>
      <x:c r="B59" s="24" t="str">
        <x:v>Chile (mainland)</x:v>
      </x:c>
      <x:c r="C59" s="24" t="str">
        <x:v>EEZ</x:v>
      </x:c>
      <x:c r="D59" s="30" t="n">
        <x:v>2019</x:v>
      </x:c>
      <x:c r="E59" s="24" t="str">
        <x:v>Genypterus maculatus</x:v>
      </x:c>
      <x:c r="F59" s="24" t="str">
        <x:v>Black cusk-eel</x:v>
      </x:c>
      <x:c r="G59" s="24" t="str">
        <x:v>Medium demersals (30 - 89 cm)</x:v>
      </x:c>
      <x:c r="H59" s="24" t="str">
        <x:v>Other fishes &amp; inverts</x:v>
      </x:c>
      <x:c r="I59" s="31" t="n">
        <x:v>196.77023647849998</x:v>
      </x:c>
      <x:c r="J59" s="31" t="n">
        <x:v>196.77023647849998</x:v>
      </x:c>
      <x:c r="K59" s="31" t="n">
        <x:v>0</x:v>
      </x:c>
      <x:c r="L59" s="31" t="n">
        <x:v>184.87445812869998</x:v>
      </x:c>
      <x:c r="M59" s="31" t="n">
        <x:v>11.895778349799999</x:v>
      </x:c>
      <x:c r="N59" s="24" t="str">
        <x:v>genypterus maculatus</x:v>
      </x:c>
      <x:c r="O59" s="32" t="n">
        <x:v>3.48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Genypterus maculatus</x:v>
      </x:c>
      <x:c r="T59" s="32" t="n">
        <x:f>IF(O59="","",(1/'Metadata'!$B$5)^(O59-1))</x:f>
        <x:v>301.9951720402016</x:v>
      </x:c>
      <x:c r="U59" s="31" t="n">
        <x:f>IF(T59="","",I59*T59)</x:f>
        <x:v>59423.66141771576</x:v>
      </x:c>
    </x:row>
    <x:row r="60" ht="18" customHeight="1">
      <x:c r="A60" s="24" t="str">
        <x:v>EEZ_152</x:v>
      </x:c>
      <x:c r="B60" s="24" t="str">
        <x:v>Chile (mainland)</x:v>
      </x:c>
      <x:c r="C60" s="24" t="str">
        <x:v>EEZ</x:v>
      </x:c>
      <x:c r="D60" s="30" t="n">
        <x:v>2019</x:v>
      </x:c>
      <x:c r="E60" s="24" t="str">
        <x:v>Sarda chiliensis</x:v>
      </x:c>
      <x:c r="F60" s="24" t="str">
        <x:v>Eastern Pacific bonito</x:v>
      </x:c>
      <x:c r="G60" s="24" t="str">
        <x:v>Medium pelagics (30 - 89 cm)</x:v>
      </x:c>
      <x:c r="H60" s="24" t="str">
        <x:v>Tuna &amp; billfishes</x:v>
      </x:c>
      <x:c r="I60" s="31" t="n">
        <x:v>194.29729649979998</x:v>
      </x:c>
      <x:c r="J60" s="31" t="n">
        <x:v>194.29729649979998</x:v>
      </x:c>
      <x:c r="K60" s="31" t="n">
        <x:v>0</x:v>
      </x:c>
      <x:c r="L60" s="31" t="n">
        <x:v>173.9565</x:v>
      </x:c>
      <x:c r="M60" s="31" t="n">
        <x:v>20.3407964998</x:v>
      </x:c>
      <x:c r="N60" s="24" t="str">
        <x:v>sarda chiliensis</x:v>
      </x:c>
      <x:c r="O60" s="32" t="n">
        <x:v>4.49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Sarda chiliensis</x:v>
      </x:c>
      <x:c r="T60" s="32" t="n">
        <x:f>IF(O60="","",(1/'Metadata'!$B$5)^(O60-1))</x:f>
        <x:v>3090.295432513592</x:v>
      </x:c>
      <x:c r="U60" s="31" t="n">
        <x:f>IF(T60="","",I60*T60)</x:f>
        <x:v>600436.047923071</x:v>
      </x:c>
    </x:row>
    <x:row r="61" ht="18" customHeight="1">
      <x:c r="A61" s="24" t="str">
        <x:v>EEZ_152</x:v>
      </x:c>
      <x:c r="B61" s="24" t="str">
        <x:v>Chile (mainland)</x:v>
      </x:c>
      <x:c r="C61" s="24" t="str">
        <x:v>EEZ</x:v>
      </x:c>
      <x:c r="D61" s="30" t="n">
        <x:v>2019</x:v>
      </x:c>
      <x:c r="E61" s="24" t="str">
        <x:v>Lamna nasus</x:v>
      </x:c>
      <x:c r="F61" s="24" t="str">
        <x:v>Porbeagle</x:v>
      </x:c>
      <x:c r="G61" s="24" t="str">
        <x:v>Large sharks (&gt;=90 cm)</x:v>
      </x:c>
      <x:c r="H61" s="24" t="str">
        <x:v>Sharks &amp; rays</x:v>
      </x:c>
      <x:c r="I61" s="31" t="n">
        <x:v>190</x:v>
      </x:c>
      <x:c r="J61" s="31" t="n">
        <x:v>190</x:v>
      </x:c>
      <x:c r="K61" s="31" t="n">
        <x:v>0</x:v>
      </x:c>
      <x:c r="L61" s="31" t="n">
        <x:v>190</x:v>
      </x:c>
      <x:c r="M61" s="31" t="n">
        <x:v>0</x:v>
      </x:c>
      <x:c r="N61" s="24" t="str">
        <x:v>lamna nasus</x:v>
      </x:c>
      <x:c r="O61" s="32" t="n">
        <x:v>4.57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Lamna nasus</x:v>
      </x:c>
      <x:c r="T61" s="32" t="n">
        <x:f>IF(O61="","",(1/'Metadata'!$B$5)^(O61-1))</x:f>
        <x:v>3715.3522909717276</x:v>
      </x:c>
      <x:c r="U61" s="31" t="n">
        <x:f>IF(T61="","",I61*T61)</x:f>
        <x:v>705916.9352846283</x:v>
      </x:c>
    </x:row>
    <x:row r="62" ht="18" customHeight="1">
      <x:c r="A62" s="24" t="str">
        <x:v>EEZ_152</x:v>
      </x:c>
      <x:c r="B62" s="24" t="str">
        <x:v>Chile (mainland)</x:v>
      </x:c>
      <x:c r="C62" s="24" t="str">
        <x:v>EEZ</x:v>
      </x:c>
      <x:c r="D62" s="30" t="n">
        <x:v>2019</x:v>
      </x:c>
      <x:c r="E62" s="24" t="str">
        <x:v>Ovalipes trimaculatus</x:v>
      </x:c>
      <x:c r="F62" s="24" t="str">
        <x:v>Rowing crab</x:v>
      </x:c>
      <x:c r="G62" s="24" t="str">
        <x:v>Lobsters, crabs</x:v>
      </x:c>
      <x:c r="H62" s="24" t="str">
        <x:v>Crustaceans</x:v>
      </x:c>
      <x:c r="I62" s="31" t="n">
        <x:v>169.9293311768</x:v>
      </x:c>
      <x:c r="J62" s="31" t="n">
        <x:v>169.9293311768</x:v>
      </x:c>
      <x:c r="K62" s="31" t="n">
        <x:v>0</x:v>
      </x:c>
      <x:c r="L62" s="31" t="n">
        <x:v>154.99807835160001</x:v>
      </x:c>
      <x:c r="M62" s="31" t="n">
        <x:v>14.9312528252</x:v>
      </x:c>
      <x:c r="N62" s="24" t="str">
        <x:v>ovalipes trimaculatus</x:v>
      </x:c>
      <x:c r="O62" s="32" t="n">
        <x:v>4.41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Ovalipes trimaculatus</x:v>
      </x:c>
      <x:c r="T62" s="32" t="n">
        <x:f>IF(O62="","",(1/'Metadata'!$B$5)^(O62-1))</x:f>
        <x:v>2570.3957827688646</x:v>
      </x:c>
      <x:c r="U62" s="31" t="n">
        <x:f>IF(T62="","",I62*T62)</x:f>
        <x:v>436785.6362255804</x:v>
      </x:c>
    </x:row>
    <x:row r="63" ht="18" customHeight="1">
      <x:c r="A63" s="24" t="str">
        <x:v>EEZ_152</x:v>
      </x:c>
      <x:c r="B63" s="24" t="str">
        <x:v>Chile (mainland)</x:v>
      </x:c>
      <x:c r="C63" s="24" t="str">
        <x:v>EEZ</x:v>
      </x:c>
      <x:c r="D63" s="30" t="n">
        <x:v>2019</x:v>
      </x:c>
      <x:c r="E63" s="24" t="str">
        <x:v>Ostrea chilensis</x:v>
      </x:c>
      <x:c r="F63" s="24" t="str">
        <x:v>Chilean flat oyster</x:v>
      </x:c>
      <x:c r="G63" s="24" t="str">
        <x:v>Other demersal invertebrates</x:v>
      </x:c>
      <x:c r="H63" s="24" t="str">
        <x:v>Molluscs</x:v>
      </x:c>
      <x:c r="I63" s="31" t="n">
        <x:v>164.9423437251</x:v>
      </x:c>
      <x:c r="J63" s="31" t="n">
        <x:v>164.9423437251</x:v>
      </x:c>
      <x:c r="K63" s="31" t="n">
        <x:v>0</x:v>
      </x:c>
      <x:c r="L63" s="31" t="n">
        <x:v>156</x:v>
      </x:c>
      <x:c r="M63" s="31" t="n">
        <x:v>8.942343725099999</x:v>
      </x:c>
      <x:c r="N63" s="24" t="str">
        <x:v>ostrea chilensis</x:v>
      </x:c>
      <x:c r="O63" s="32" t="n">
        <x:v>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Ostrea chilensis</x:v>
      </x:c>
      <x:c r="T63" s="32" t="n">
        <x:f>IF(O63="","",(1/'Metadata'!$B$5)^(O63-1))</x:f>
        <x:v>10</x:v>
      </x:c>
      <x:c r="U63" s="31" t="n">
        <x:f>IF(T63="","",I63*T63)</x:f>
        <x:v>1649.423437251</x:v>
      </x:c>
    </x:row>
    <x:row r="64" ht="18" customHeight="1">
      <x:c r="A64" s="24" t="str">
        <x:v>EEZ_152</x:v>
      </x:c>
      <x:c r="B64" s="24" t="str">
        <x:v>Chile (mainland)</x:v>
      </x:c>
      <x:c r="C64" s="24" t="str">
        <x:v>EEZ</x:v>
      </x:c>
      <x:c r="D64" s="30" t="n">
        <x:v>2019</x:v>
      </x:c>
      <x:c r="E64" s="24" t="str">
        <x:v>Chorus giganteus</x:v>
      </x:c>
      <x:c r="F64" s="24" t="str">
        <x:v>Top shell whelk</x:v>
      </x:c>
      <x:c r="G64" s="24" t="str">
        <x:v>Other demersal invertebrates</x:v>
      </x:c>
      <x:c r="H64" s="24" t="str">
        <x:v>Molluscs</x:v>
      </x:c>
      <x:c r="I64" s="31" t="n">
        <x:v>154.0997634186</x:v>
      </x:c>
      <x:c r="J64" s="31" t="n">
        <x:v>154.0997634186</x:v>
      </x:c>
      <x:c r="K64" s="31" t="n">
        <x:v>0</x:v>
      </x:c>
      <x:c r="L64" s="31" t="n">
        <x:v>134</x:v>
      </x:c>
      <x:c r="M64" s="31" t="n">
        <x:v>20.0997634186</x:v>
      </x:c>
      <x:c r="N64" s="24" t="str">
        <x:v>chorus giganteus</x:v>
      </x:c>
      <x:c r="O64" s="32" t="n">
        <x:v>3.23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Chorus giganteus</x:v>
      </x:c>
      <x:c r="T64" s="32" t="n">
        <x:f>IF(O64="","",(1/'Metadata'!$B$5)^(O64-1))</x:f>
        <x:v>169.82436524617444</x:v>
      </x:c>
      <x:c r="U64" s="31" t="n">
        <x:f>IF(T64="","",I64*T64)</x:f>
        <x:v>26169.894507149394</x:v>
      </x:c>
    </x:row>
    <x:row r="65" ht="18" customHeight="1">
      <x:c r="A65" s="24" t="str">
        <x:v>EEZ_152</x:v>
      </x:c>
      <x:c r="B65" s="24" t="str">
        <x:v>Chile (mainland)</x:v>
      </x:c>
      <x:c r="C65" s="24" t="str">
        <x:v>EEZ</x:v>
      </x:c>
      <x:c r="D65" s="30" t="n">
        <x:v>2019</x:v>
      </x:c>
      <x:c r="E65" s="24" t="str">
        <x:v>Homalaspis plana</x:v>
      </x:c>
      <x:c r="F65" s="24" t="str">
        <x:v>Blackberry crab</x:v>
      </x:c>
      <x:c r="G65" s="24" t="str">
        <x:v>Lobsters, crabs</x:v>
      </x:c>
      <x:c r="H65" s="24" t="str">
        <x:v>Crustaceans</x:v>
      </x:c>
      <x:c r="I65" s="31" t="n">
        <x:v>138.4190610374</x:v>
      </x:c>
      <x:c r="J65" s="31" t="n">
        <x:v>138.4190610374</x:v>
      </x:c>
      <x:c r="K65" s="31" t="n">
        <x:v>0</x:v>
      </x:c>
      <x:c r="L65" s="31" t="n">
        <x:v>128</x:v>
      </x:c>
      <x:c r="M65" s="31" t="n">
        <x:v>10.4190610374</x:v>
      </x:c>
      <x:c r="N65" s="24" t="str">
        <x:v>homalaspis plana</x:v>
      </x:c>
      <x:c r="O65" s="32" t="n">
        <x:v>3.59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Homalaspis plana</x:v>
      </x:c>
      <x:c r="T65" s="32" t="n">
        <x:f>IF(O65="","",(1/'Metadata'!$B$5)^(O65-1))</x:f>
        <x:v>389.04514499428046</x:v>
      </x:c>
      <x:c r="U65" s="31" t="n">
        <x:f>IF(T65="","",I65*T65)</x:f>
        <x:v>53851.26367126744</x:v>
      </x:c>
    </x:row>
    <x:row r="66" ht="18" customHeight="1">
      <x:c r="A66" s="24" t="str">
        <x:v>EEZ_152</x:v>
      </x:c>
      <x:c r="B66" s="24" t="str">
        <x:v>Chile (mainland)</x:v>
      </x:c>
      <x:c r="C66" s="24" t="str">
        <x:v>EEZ</x:v>
      </x:c>
      <x:c r="D66" s="30" t="n">
        <x:v>2019</x:v>
      </x:c>
      <x:c r="E66" s="24" t="str">
        <x:v>Seriolella punctata</x:v>
      </x:c>
      <x:c r="F66" s="24" t="str">
        <x:v>Silver warehou</x:v>
      </x:c>
      <x:c r="G66" s="24" t="str">
        <x:v>Medium benthopelagics (30 - 89 cm)</x:v>
      </x:c>
      <x:c r="H66" s="24" t="str">
        <x:v>Perch-likes</x:v>
      </x:c>
      <x:c r="I66" s="31" t="n">
        <x:v>116.2</x:v>
      </x:c>
      <x:c r="J66" s="31" t="n">
        <x:v>116.2</x:v>
      </x:c>
      <x:c r="K66" s="31" t="n">
        <x:v>0</x:v>
      </x:c>
      <x:c r="L66" s="31" t="n">
        <x:v>116.2</x:v>
      </x:c>
      <x:c r="M66" s="31" t="n">
        <x:v>0</x:v>
      </x:c>
      <x:c r="N66" s="24" t="str">
        <x:v>seriolella punctata</x:v>
      </x:c>
      <x:c r="O66" s="32" t="n">
        <x:v>3.4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Seriolella punctata</x:v>
      </x:c>
      <x:c r="T66" s="32" t="n">
        <x:f>IF(O66="","",(1/'Metadata'!$B$5)^(O66-1))</x:f>
        <x:v>251.18864315095797</x:v>
      </x:c>
      <x:c r="U66" s="31" t="n">
        <x:f>IF(T66="","",I66*T66)</x:f>
        <x:v>29188.120334141317</x:v>
      </x:c>
    </x:row>
    <x:row r="67" ht="18" customHeight="1">
      <x:c r="A67" s="24" t="str">
        <x:v>EEZ_152</x:v>
      </x:c>
      <x:c r="B67" s="24" t="str">
        <x:v>Chile (mainland)</x:v>
      </x:c>
      <x:c r="C67" s="24" t="str">
        <x:v>EEZ</x:v>
      </x:c>
      <x:c r="D67" s="30" t="n">
        <x:v>2019</x:v>
      </x:c>
      <x:c r="E67" s="24" t="str">
        <x:v>Mugil cephalus</x:v>
      </x:c>
      <x:c r="F67" s="24" t="str">
        <x:v>Flathead grey mullet</x:v>
      </x:c>
      <x:c r="G67" s="24" t="str">
        <x:v>Large benthopelagics (&gt;=90 cm)</x:v>
      </x:c>
      <x:c r="H67" s="24" t="str">
        <x:v>Perch-likes</x:v>
      </x:c>
      <x:c r="I67" s="31" t="n">
        <x:v>114.51219178790001</x:v>
      </x:c>
      <x:c r="J67" s="31" t="n">
        <x:v>114.51219178790001</x:v>
      </x:c>
      <x:c r="K67" s="31" t="n">
        <x:v>0</x:v>
      </x:c>
      <x:c r="L67" s="31" t="n">
        <x:v>110</x:v>
      </x:c>
      <x:c r="M67" s="31" t="n">
        <x:v>4.5121917879</x:v>
      </x:c>
      <x:c r="N67" s="24" t="str">
        <x:v>mugil cephalus</x:v>
      </x:c>
      <x:c r="O67" s="32" t="n">
        <x:v>2.14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Mugil cephalus</x:v>
      </x:c>
      <x:c r="T67" s="32" t="n">
        <x:f>IF(O67="","",(1/'Metadata'!$B$5)^(O67-1))</x:f>
        <x:v>13.803842646028853</x:v>
      </x:c>
      <x:c r="U67" s="31" t="n">
        <x:f>IF(T67="","",I67*T67)</x:f>
        <x:v>1580.7082764920492</x:v>
      </x:c>
    </x:row>
    <x:row r="68" ht="18" customHeight="1">
      <x:c r="A68" s="24" t="str">
        <x:v>EEZ_152</x:v>
      </x:c>
      <x:c r="B68" s="24" t="str">
        <x:v>Chile (mainland)</x:v>
      </x:c>
      <x:c r="C68" s="24" t="str">
        <x:v>EEZ</x:v>
      </x:c>
      <x:c r="D68" s="30" t="n">
        <x:v>2019</x:v>
      </x:c>
      <x:c r="E68" s="24" t="str">
        <x:v>Cancer plebejus</x:v>
      </x:c>
      <x:c r="F68" s="24" t="str">
        <x:v>Chilean crab</x:v>
      </x:c>
      <x:c r="G68" s="24" t="str">
        <x:v>Lobsters, crabs</x:v>
      </x:c>
      <x:c r="H68" s="24" t="str">
        <x:v>Crustaceans</x:v>
      </x:c>
      <x:c r="I68" s="31" t="n">
        <x:v>110.3370211867</x:v>
      </x:c>
      <x:c r="J68" s="31" t="n">
        <x:v>110.3370211867</x:v>
      </x:c>
      <x:c r="K68" s="31" t="n">
        <x:v>0</x:v>
      </x:c>
      <x:c r="L68" s="31" t="n">
        <x:v>100</x:v>
      </x:c>
      <x:c r="M68" s="31" t="n">
        <x:v>10.3370211867</x:v>
      </x:c>
      <x:c r="N68" s="24" t="str">
        <x:v>cancer plebejus</x:v>
      </x:c>
      <x:c r="O68" s="32" t="n">
        <x:v>2.97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Cancer plebejus</x:v>
      </x:c>
      <x:c r="T68" s="32" t="n">
        <x:f>IF(O68="","",(1/'Metadata'!$B$5)^(O68-1))</x:f>
        <x:v>93.32543007969915</x:v>
      </x:c>
      <x:c r="U68" s="31" t="n">
        <x:f>IF(T68="","",I68*T68)</x:f>
        <x:v>10297.249955961654</x:v>
      </x:c>
    </x:row>
    <x:row r="69" ht="18" customHeight="1">
      <x:c r="A69" s="24" t="str">
        <x:v>EEZ_152</x:v>
      </x:c>
      <x:c r="B69" s="24" t="str">
        <x:v>Chile (mainland)</x:v>
      </x:c>
      <x:c r="C69" s="24" t="str">
        <x:v>EEZ</x:v>
      </x:c>
      <x:c r="D69" s="30" t="n">
        <x:v>2019</x:v>
      </x:c>
      <x:c r="E69" s="24" t="str">
        <x:v>Mulinia</x:v>
      </x:c>
      <x:c r="F69" s="24" t="str">
        <x:v>Taquilla clams</x:v>
      </x:c>
      <x:c r="G69" s="24" t="str">
        <x:v>Other demersal invertebrates</x:v>
      </x:c>
      <x:c r="H69" s="24" t="str">
        <x:v>Molluscs</x:v>
      </x:c>
      <x:c r="I69" s="31" t="n">
        <x:v>101.23717574919999</x:v>
      </x:c>
      <x:c r="J69" s="31" t="n">
        <x:v>101.23717574919999</x:v>
      </x:c>
      <x:c r="K69" s="31" t="n">
        <x:v>0</x:v>
      </x:c>
      <x:c r="L69" s="31" t="n">
        <x:v>0</x:v>
      </x:c>
      <x:c r="M69" s="31" t="n">
        <x:v>101.23717574919999</x:v>
      </x:c>
      <x:c r="N69" s="24" t="str">
        <x:v>mulinia</x:v>
      </x:c>
      <x:c r="O69" s="32" t="n">
        <x:v>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Mulinia</x:v>
      </x:c>
      <x:c r="T69" s="32" t="n">
        <x:f>IF(O69="","",(1/'Metadata'!$B$5)^(O69-1))</x:f>
        <x:v>10</x:v>
      </x:c>
      <x:c r="U69" s="31" t="n">
        <x:f>IF(T69="","",I69*T69)</x:f>
        <x:v>1012.3717574919999</x:v>
      </x:c>
    </x:row>
    <x:row r="70" ht="18" customHeight="1">
      <x:c r="A70" s="24" t="str">
        <x:v>EEZ_152</x:v>
      </x:c>
      <x:c r="B70" s="24" t="str">
        <x:v>Chile (mainland)</x:v>
      </x:c>
      <x:c r="C70" s="24" t="str">
        <x:v>EEZ</x:v>
      </x:c>
      <x:c r="D70" s="30" t="n">
        <x:v>2019</x:v>
      </x:c>
      <x:c r="E70" s="24" t="str">
        <x:v>Brama brama</x:v>
      </x:c>
      <x:c r="F70" s="24" t="str">
        <x:v>Atlantic pomfret</x:v>
      </x:c>
      <x:c r="G70" s="24" t="str">
        <x:v>Medium bathypelagics (30 - 89 cm)</x:v>
      </x:c>
      <x:c r="H70" s="24" t="str">
        <x:v>Perch-likes</x:v>
      </x:c>
      <x:c r="I70" s="31" t="n">
        <x:v>101</x:v>
      </x:c>
      <x:c r="J70" s="31" t="n">
        <x:v>101</x:v>
      </x:c>
      <x:c r="K70" s="31" t="n">
        <x:v>0</x:v>
      </x:c>
      <x:c r="L70" s="31" t="n">
        <x:v>101</x:v>
      </x:c>
      <x:c r="M70" s="31" t="n">
        <x:v>0</x:v>
      </x:c>
      <x:c r="N70" s="24" t="str">
        <x:v>brama brama</x:v>
      </x:c>
      <x:c r="O70" s="32" t="n">
        <x:v>4.08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Brama brama</x:v>
      </x:c>
      <x:c r="T70" s="32" t="n">
        <x:f>IF(O70="","",(1/'Metadata'!$B$5)^(O70-1))</x:f>
        <x:v>1202.2644346174131</x:v>
      </x:c>
      <x:c r="U70" s="31" t="n">
        <x:f>IF(T70="","",I70*T70)</x:f>
        <x:v>121428.70789635873</x:v>
      </x:c>
    </x:row>
    <x:row r="71" ht="18" customHeight="1">
      <x:c r="A71" s="24" t="str">
        <x:v>EEZ_152</x:v>
      </x:c>
      <x:c r="B71" s="24" t="str">
        <x:v>Chile (mainland)</x:v>
      </x:c>
      <x:c r="C71" s="24" t="str">
        <x:v>EEZ</x:v>
      </x:c>
      <x:c r="D71" s="30" t="n">
        <x:v>2019</x:v>
      </x:c>
      <x:c r="E71" s="24" t="str">
        <x:v>Lampris guttatus</x:v>
      </x:c>
      <x:c r="F71" s="24" t="str">
        <x:v>Opah</x:v>
      </x:c>
      <x:c r="G71" s="24" t="str">
        <x:v>Large bathypelagics (&gt;=90 cm)</x:v>
      </x:c>
      <x:c r="H71" s="24" t="str">
        <x:v>Other fishes &amp; inverts</x:v>
      </x:c>
      <x:c r="I71" s="31" t="n">
        <x:v>88.6407970137</x:v>
      </x:c>
      <x:c r="J71" s="31" t="n">
        <x:v>88.6407970137</x:v>
      </x:c>
      <x:c r="K71" s="31" t="n">
        <x:v>0</x:v>
      </x:c>
      <x:c r="L71" s="31" t="n">
        <x:v>87</x:v>
      </x:c>
      <x:c r="M71" s="31" t="n">
        <x:v>1.6407970137</x:v>
      </x:c>
      <x:c r="N71" s="24" t="str">
        <x:v>lampris guttatus</x:v>
      </x:c>
      <x:c r="O71" s="32" t="n">
        <x:v>4.22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Lampris guttatus</x:v>
      </x:c>
      <x:c r="T71" s="32" t="n">
        <x:f>IF(O71="","",(1/'Metadata'!$B$5)^(O71-1))</x:f>
        <x:v>1659.5869074375596</x:v>
      </x:c>
      <x:c r="U71" s="31" t="n">
        <x:f>IF(T71="","",I71*T71)</x:f>
        <x:v>147107.10618876683</x:v>
      </x:c>
    </x:row>
    <x:row r="72" ht="18" customHeight="1">
      <x:c r="A72" s="24" t="str">
        <x:v>EEZ_152</x:v>
      </x:c>
      <x:c r="B72" s="24" t="str">
        <x:v>Chile (mainland)</x:v>
      </x:c>
      <x:c r="C72" s="24" t="str">
        <x:v>EEZ</x:v>
      </x:c>
      <x:c r="D72" s="30" t="n">
        <x:v>2019</x:v>
      </x:c>
      <x:c r="E72" s="24" t="str">
        <x:v>Micromesistius australis</x:v>
      </x:c>
      <x:c r="F72" s="24" t="str">
        <x:v>Southern blue whiting</x:v>
      </x:c>
      <x:c r="G72" s="24" t="str">
        <x:v>Medium benthopelagics (30 - 89 cm)</x:v>
      </x:c>
      <x:c r="H72" s="24" t="str">
        <x:v>Cod-likes</x:v>
      </x:c>
      <x:c r="I72" s="31" t="n">
        <x:v>86</x:v>
      </x:c>
      <x:c r="J72" s="31" t="n">
        <x:v>86</x:v>
      </x:c>
      <x:c r="K72" s="31" t="n">
        <x:v>0</x:v>
      </x:c>
      <x:c r="L72" s="31" t="n">
        <x:v>86</x:v>
      </x:c>
      <x:c r="M72" s="31" t="n">
        <x:v>0</x:v>
      </x:c>
      <x:c r="N72" s="24" t="str">
        <x:v>micromesistius australis</x:v>
      </x:c>
      <x:c r="O72" s="32" t="n">
        <x:v>3.76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Micromesistius australis</x:v>
      </x:c>
      <x:c r="T72" s="32" t="n">
        <x:f>IF(O72="","",(1/'Metadata'!$B$5)^(O72-1))</x:f>
        <x:v>575.4399373371566</x:v>
      </x:c>
      <x:c r="U72" s="31" t="n">
        <x:f>IF(T72="","",I72*T72)</x:f>
        <x:v>49487.834610995465</x:v>
      </x:c>
    </x:row>
    <x:row r="73" ht="18" customHeight="1">
      <x:c r="A73" s="24" t="str">
        <x:v>EEZ_152</x:v>
      </x:c>
      <x:c r="B73" s="24" t="str">
        <x:v>Chile (mainland)</x:v>
      </x:c>
      <x:c r="C73" s="24" t="str">
        <x:v>EEZ</x:v>
      </x:c>
      <x:c r="D73" s="30" t="n">
        <x:v>2019</x:v>
      </x:c>
      <x:c r="E73" s="24" t="str">
        <x:v>Bivalvia</x:v>
      </x:c>
      <x:c r="F73" s="24" t="str">
        <x:v>Clams</x:v>
      </x:c>
      <x:c r="G73" s="24" t="str">
        <x:v>Other demersal invertebrates</x:v>
      </x:c>
      <x:c r="H73" s="24" t="str">
        <x:v>Molluscs</x:v>
      </x:c>
      <x:c r="I73" s="31" t="n">
        <x:v>83.68064770199999</x:v>
      </x:c>
      <x:c r="J73" s="31" t="n">
        <x:v>83.68064770199999</x:v>
      </x:c>
      <x:c r="K73" s="31" t="n">
        <x:v>0</x:v>
      </x:c>
      <x:c r="L73" s="31" t="n">
        <x:v>0</x:v>
      </x:c>
      <x:c r="M73" s="31" t="n">
        <x:v>83.68064770199999</x:v>
      </x:c>
      <x:c r="N73" s="24" t="str">
        <x:v>bivalvia</x:v>
      </x:c>
      <x:c r="O73" s="32" t="n">
        <x:v>2.23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Bivalvia</x:v>
      </x:c>
      <x:c r="T73" s="32" t="n">
        <x:f>IF(O73="","",(1/'Metadata'!$B$5)^(O73-1))</x:f>
        <x:v>16.982436524617444</x:v>
      </x:c>
      <x:c r="U73" s="31" t="n">
        <x:f>IF(T73="","",I73*T73)</x:f>
        <x:v>1421.1012879380894</x:v>
      </x:c>
    </x:row>
    <x:row r="74" ht="18" customHeight="1">
      <x:c r="A74" s="24" t="str">
        <x:v>EEZ_152</x:v>
      </x:c>
      <x:c r="B74" s="24" t="str">
        <x:v>Chile (mainland)</x:v>
      </x:c>
      <x:c r="C74" s="24" t="str">
        <x:v>EEZ</x:v>
      </x:c>
      <x:c r="D74" s="30" t="n">
        <x:v>2019</x:v>
      </x:c>
      <x:c r="E74" s="24" t="str">
        <x:v>Paralabrax humeralis</x:v>
      </x:c>
      <x:c r="F74" s="24" t="str">
        <x:v>Peruvian rock seabass</x:v>
      </x:c>
      <x:c r="G74" s="24" t="str">
        <x:v>Medium benthopelagics (30 - 89 cm)</x:v>
      </x:c>
      <x:c r="H74" s="24" t="str">
        <x:v>Perch-likes</x:v>
      </x:c>
      <x:c r="I74" s="31" t="n">
        <x:v>67.9812662071</x:v>
      </x:c>
      <x:c r="J74" s="31" t="n">
        <x:v>67.9812662071</x:v>
      </x:c>
      <x:c r="K74" s="31" t="n">
        <x:v>0</x:v>
      </x:c>
      <x:c r="L74" s="31" t="n">
        <x:v>61.9923571068</x:v>
      </x:c>
      <x:c r="M74" s="31" t="n">
        <x:v>5.9889091003</x:v>
      </x:c>
      <x:c r="N74" s="24" t="str">
        <x:v>paralabrax humeralis</x:v>
      </x:c>
      <x:c r="O74" s="32" t="n">
        <x:v>4.12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Paralabrax humeralis</x:v>
      </x:c>
      <x:c r="T74" s="32" t="n">
        <x:f>IF(O74="","",(1/'Metadata'!$B$5)^(O74-1))</x:f>
        <x:v>1318.2567385564075</x:v>
      </x:c>
      <x:c r="U74" s="31" t="n">
        <x:f>IF(T74="","",I74*T74)</x:f>
        <x:v>89616.76227310658</x:v>
      </x:c>
    </x:row>
    <x:row r="75" ht="18" customHeight="1">
      <x:c r="A75" s="24" t="str">
        <x:v>EEZ_152</x:v>
      </x:c>
      <x:c r="B75" s="24" t="str">
        <x:v>Chile (mainland)</x:v>
      </x:c>
      <x:c r="C75" s="24" t="str">
        <x:v>EEZ</x:v>
      </x:c>
      <x:c r="D75" s="30" t="n">
        <x:v>2019</x:v>
      </x:c>
      <x:c r="E75" s="24" t="str">
        <x:v>Dipturus trachyderma</x:v>
      </x:c>
      <x:c r="F75" s="24" t="str">
        <x:v>Ray</x:v>
      </x:c>
      <x:c r="G75" s="24" t="str">
        <x:v>Large rays (&gt;=90 cm)</x:v>
      </x:c>
      <x:c r="H75" s="24" t="str">
        <x:v>Sharks &amp; rays</x:v>
      </x:c>
      <x:c r="I75" s="31" t="n">
        <x:v>62.543235371399994</x:v>
      </x:c>
      <x:c r="J75" s="31" t="n">
        <x:v>62.543235371399994</x:v>
      </x:c>
      <x:c r="K75" s="31" t="n">
        <x:v>0</x:v>
      </x:c>
      <x:c r="L75" s="31" t="n">
        <x:v>60</x:v>
      </x:c>
      <x:c r="M75" s="31" t="n">
        <x:v>2.5432353714000002</x:v>
      </x:c>
      <x:c r="N75" s="24" t="str">
        <x:v>dipturus trachyderma</x:v>
      </x:c>
      <x:c r="O75" s="32" t="n">
        <x:v>4.14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Dipturus trachyderma</x:v>
      </x:c>
      <x:c r="T75" s="32" t="n">
        <x:f>IF(O75="","",(1/'Metadata'!$B$5)^(O75-1))</x:f>
        <x:v>1380.3842646028838</x:v>
      </x:c>
      <x:c r="U75" s="31" t="n">
        <x:f>IF(T75="","",I75*T75)</x:f>
        <x:v>86333.69796403505</x:v>
      </x:c>
    </x:row>
    <x:row r="76" ht="18" customHeight="1">
      <x:c r="A76" s="24" t="str">
        <x:v>EEZ_152</x:v>
      </x:c>
      <x:c r="B76" s="24" t="str">
        <x:v>Chile (mainland)</x:v>
      </x:c>
      <x:c r="C76" s="24" t="str">
        <x:v>EEZ</x:v>
      </x:c>
      <x:c r="D76" s="30" t="n">
        <x:v>2019</x:v>
      </x:c>
      <x:c r="E76" s="24" t="str">
        <x:v>Taliepus marginatus</x:v>
      </x:c>
      <x:c r="F76" s="24" t="str">
        <x:v>Spider crabs</x:v>
      </x:c>
      <x:c r="G76" s="24" t="str">
        <x:v>Lobsters, crabs</x:v>
      </x:c>
      <x:c r="H76" s="24" t="str">
        <x:v>Crustaceans</x:v>
      </x:c>
      <x:c r="I76" s="31" t="n">
        <x:v>60</x:v>
      </x:c>
      <x:c r="J76" s="31" t="n">
        <x:v>60</x:v>
      </x:c>
      <x:c r="K76" s="31" t="n">
        <x:v>0</x:v>
      </x:c>
      <x:c r="L76" s="31" t="n">
        <x:v>60</x:v>
      </x:c>
      <x:c r="M76" s="31" t="n">
        <x:v>0</x:v>
      </x:c>
      <x:c r="N76" s="24" t="str">
        <x:v>taliepus marginatus</x:v>
      </x:c>
      <x:c r="O76" s="32" t="n">
        <x:v>2.86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Taliepus marginatus</x:v>
      </x:c>
      <x:c r="T76" s="32" t="n">
        <x:f>IF(O76="","",(1/'Metadata'!$B$5)^(O76-1))</x:f>
        <x:v>72.44359600749898</x:v>
      </x:c>
      <x:c r="U76" s="31" t="n">
        <x:f>IF(T76="","",I76*T76)</x:f>
        <x:v>4346.6157604499385</x:v>
      </x:c>
    </x:row>
    <x:row r="77" ht="18" customHeight="1">
      <x:c r="A77" s="24" t="str">
        <x:v>EEZ_152</x:v>
      </x:c>
      <x:c r="B77" s="24" t="str">
        <x:v>Chile (mainland)</x:v>
      </x:c>
      <x:c r="C77" s="24" t="str">
        <x:v>EEZ</x:v>
      </x:c>
      <x:c r="D77" s="30" t="n">
        <x:v>2019</x:v>
      </x:c>
      <x:c r="E77" s="24" t="str">
        <x:v>Prionace glauca</x:v>
      </x:c>
      <x:c r="F77" s="24" t="str">
        <x:v>Blue shark</x:v>
      </x:c>
      <x:c r="G77" s="24" t="str">
        <x:v>Large sharks (&gt;=90 cm)</x:v>
      </x:c>
      <x:c r="H77" s="24" t="str">
        <x:v>Sharks &amp; rays</x:v>
      </x:c>
      <x:c r="I77" s="31" t="n">
        <x:v>53.0872989257</x:v>
      </x:c>
      <x:c r="J77" s="31" t="n">
        <x:v>53.008861784</x:v>
      </x:c>
      <x:c r="K77" s="31" t="n">
        <x:v>0.0784371417</x:v>
      </x:c>
      <x:c r="L77" s="31" t="n">
        <x:v>43</x:v>
      </x:c>
      <x:c r="M77" s="31" t="n">
        <x:v>10.087298925699999</x:v>
      </x:c>
      <x:c r="N77" s="24" t="str">
        <x:v>prionace glauca</x:v>
      </x:c>
      <x:c r="O77" s="32" t="n">
        <x:v>4.35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Prionace glauca</x:v>
      </x:c>
      <x:c r="T77" s="32" t="n">
        <x:f>IF(O77="","",(1/'Metadata'!$B$5)^(O77-1))</x:f>
        <x:v>2238.7211385683377</x:v>
      </x:c>
      <x:c r="U77" s="31" t="n">
        <x:f>IF(T77="","",I77*T77)</x:f>
        <x:v>118847.65829446078</x:v>
      </x:c>
    </x:row>
    <x:row r="78" ht="18" customHeight="1">
      <x:c r="A78" s="24" t="str">
        <x:v>EEZ_152</x:v>
      </x:c>
      <x:c r="B78" s="24" t="str">
        <x:v>Chile (mainland)</x:v>
      </x:c>
      <x:c r="C78" s="24" t="str">
        <x:v>EEZ</x:v>
      </x:c>
      <x:c r="D78" s="30" t="n">
        <x:v>2019</x:v>
      </x:c>
      <x:c r="E78" s="24" t="str">
        <x:v>Seriolella violacea</x:v>
      </x:c>
      <x:c r="F78" s="24" t="str">
        <x:v>Palm ruff</x:v>
      </x:c>
      <x:c r="G78" s="24" t="str">
        <x:v>Medium pelagics (30 - 89 cm)</x:v>
      </x:c>
      <x:c r="H78" s="24" t="str">
        <x:v>Perch-likes</x:v>
      </x:c>
      <x:c r="I78" s="31" t="n">
        <x:v>49.4744881966</x:v>
      </x:c>
      <x:c r="J78" s="31" t="n">
        <x:v>49.4744881966</x:v>
      </x:c>
      <x:c r="K78" s="31" t="n">
        <x:v>0</x:v>
      </x:c>
      <x:c r="L78" s="31" t="n">
        <x:v>32</x:v>
      </x:c>
      <x:c r="M78" s="31" t="n">
        <x:v>17.474488196600003</x:v>
      </x:c>
      <x:c r="N78" s="24" t="str">
        <x:v>seriolella violacea</x:v>
      </x:c>
      <x:c r="O78" s="32" t="n">
        <x:v>3.53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Seriolella violacea</x:v>
      </x:c>
      <x:c r="T78" s="32" t="n">
        <x:f>IF(O78="","",(1/'Metadata'!$B$5)^(O78-1))</x:f>
        <x:v>338.84415613920237</x:v>
      </x:c>
      <x:c r="U78" s="31" t="n">
        <x:f>IF(T78="","",I78*T78)</x:f>
        <x:v>16764.141203395855</x:v>
      </x:c>
    </x:row>
    <x:row r="79" ht="18" customHeight="1">
      <x:c r="A79" s="24" t="str">
        <x:v>EEZ_152</x:v>
      </x:c>
      <x:c r="B79" s="24" t="str">
        <x:v>Chile (mainland)</x:v>
      </x:c>
      <x:c r="C79" s="24" t="str">
        <x:v>EEZ</x:v>
      </x:c>
      <x:c r="D79" s="30" t="n">
        <x:v>2019</x:v>
      </x:c>
      <x:c r="E79" s="24" t="str">
        <x:v>Sciaenidae</x:v>
      </x:c>
      <x:c r="F79" s="24" t="str">
        <x:v>Drums, croakers</x:v>
      </x:c>
      <x:c r="G79" s="24" t="str">
        <x:v>Medium demersals (30 - 89 cm)</x:v>
      </x:c>
      <x:c r="H79" s="24" t="str">
        <x:v>Perch-likes</x:v>
      </x:c>
      <x:c r="I79" s="31" t="n">
        <x:v>41.0850586934</x:v>
      </x:c>
      <x:c r="J79" s="31" t="n">
        <x:v>41.0850586934</x:v>
      </x:c>
      <x:c r="K79" s="31" t="n">
        <x:v>0</x:v>
      </x:c>
      <x:c r="L79" s="31" t="n">
        <x:v>25.9935</x:v>
      </x:c>
      <x:c r="M79" s="31" t="n">
        <x:v>15.0915586934</x:v>
      </x:c>
      <x:c r="N79" s="24" t="str">
        <x:v>sciaenidae</x:v>
      </x:c>
      <x:c r="O79" s="32" t="n">
        <x:v>3.76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Sciaenidae</x:v>
      </x:c>
      <x:c r="T79" s="32" t="n">
        <x:f>IF(O79="","",(1/'Metadata'!$B$5)^(O79-1))</x:f>
        <x:v>575.4399373371566</x:v>
      </x:c>
      <x:c r="U79" s="31" t="n">
        <x:f>IF(T79="","",I79*T79)</x:f>
        <x:v>23641.983600023497</x:v>
      </x:c>
    </x:row>
    <x:row r="80" ht="18" customHeight="1">
      <x:c r="A80" s="24" t="str">
        <x:v>EEZ_152</x:v>
      </x:c>
      <x:c r="B80" s="24" t="str">
        <x:v>Chile (mainland)</x:v>
      </x:c>
      <x:c r="C80" s="24" t="str">
        <x:v>EEZ</x:v>
      </x:c>
      <x:c r="D80" s="30" t="n">
        <x:v>2019</x:v>
      </x:c>
      <x:c r="E80" s="24" t="str">
        <x:v>Malacostraca</x:v>
      </x:c>
      <x:c r="F80" s="24" t="str">
        <x:v>Lobsters, crabs, shrimps, krill</x:v>
      </x:c>
      <x:c r="G80" s="24" t="str">
        <x:v>Shrimps</x:v>
      </x:c>
      <x:c r="H80" s="24" t="str">
        <x:v>Crustaceans</x:v>
      </x:c>
      <x:c r="I80" s="31" t="n">
        <x:v>39.1473856952</x:v>
      </x:c>
      <x:c r="J80" s="31" t="n">
        <x:v>39.1473856952</x:v>
      </x:c>
      <x:c r="K80" s="31" t="n">
        <x:v>0</x:v>
      </x:c>
      <x:c r="L80" s="31" t="n">
        <x:v>1.9833333333999998</x:v>
      </x:c>
      <x:c r="M80" s="31" t="n">
        <x:v>37.1640523618</x:v>
      </x:c>
      <x:c r="N80" s="24" t="str">
        <x:v>malacostraca</x:v>
      </x:c>
      <x:c r="O80" s="32" t="n">
        <x:v>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Malacostraca</x:v>
      </x:c>
      <x:c r="T80" s="32" t="n">
        <x:f>IF(O80="","",(1/'Metadata'!$B$5)^(O80-1))</x:f>
        <x:v>100</x:v>
      </x:c>
      <x:c r="U80" s="31" t="n">
        <x:f>IF(T80="","",I80*T80)</x:f>
        <x:v>3914.73856952</x:v>
      </x:c>
    </x:row>
    <x:row r="81" ht="18" customHeight="1">
      <x:c r="A81" s="24" t="str">
        <x:v>EEZ_152</x:v>
      </x:c>
      <x:c r="B81" s="24" t="str">
        <x:v>Chile (mainland)</x:v>
      </x:c>
      <x:c r="C81" s="24" t="str">
        <x:v>EEZ</x:v>
      </x:c>
      <x:c r="D81" s="30" t="n">
        <x:v>2019</x:v>
      </x:c>
      <x:c r="E81" s="24" t="str">
        <x:v>Mustelus mento</x:v>
      </x:c>
      <x:c r="F81" s="24" t="str">
        <x:v>Speckled smooth-hound</x:v>
      </x:c>
      <x:c r="G81" s="24" t="str">
        <x:v>Large sharks (&gt;=90 cm)</x:v>
      </x:c>
      <x:c r="H81" s="24" t="str">
        <x:v>Sharks &amp; rays</x:v>
      </x:c>
      <x:c r="I81" s="31" t="n">
        <x:v>37.804876715199995</x:v>
      </x:c>
      <x:c r="J81" s="31" t="n">
        <x:v>37.804876715199995</x:v>
      </x:c>
      <x:c r="K81" s="31" t="n">
        <x:v>0</x:v>
      </x:c>
      <x:c r="L81" s="31" t="n">
        <x:v>36</x:v>
      </x:c>
      <x:c r="M81" s="31" t="n">
        <x:v>1.8048767152</x:v>
      </x:c>
      <x:c r="N81" s="24" t="str">
        <x:v>mustelus mento</x:v>
      </x:c>
      <x:c r="O81" s="32" t="n">
        <x:v>3.66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Mustelus mento</x:v>
      </x:c>
      <x:c r="T81" s="32" t="n">
        <x:f>IF(O81="","",(1/'Metadata'!$B$5)^(O81-1))</x:f>
        <x:v>457.0881896148752</x:v>
      </x:c>
      <x:c r="U81" s="31" t="n">
        <x:f>IF(T81="","",I81*T81)</x:f>
        <x:v>17280.162656364315</x:v>
      </x:c>
    </x:row>
    <x:row r="82" ht="18" customHeight="1">
      <x:c r="A82" s="24" t="str">
        <x:v>EEZ_152</x:v>
      </x:c>
      <x:c r="B82" s="24" t="str">
        <x:v>Chile (mainland)</x:v>
      </x:c>
      <x:c r="C82" s="24" t="str">
        <x:v>EEZ</x:v>
      </x:c>
      <x:c r="D82" s="30" t="n">
        <x:v>2019</x:v>
      </x:c>
      <x:c r="E82" s="24" t="str">
        <x:v>Alopias vulpinus</x:v>
      </x:c>
      <x:c r="F82" s="24" t="str">
        <x:v>Thresher</x:v>
      </x:c>
      <x:c r="G82" s="24" t="str">
        <x:v>Large sharks (&gt;=90 cm)</x:v>
      </x:c>
      <x:c r="H82" s="24" t="str">
        <x:v>Sharks &amp; rays</x:v>
      </x:c>
      <x:c r="I82" s="31" t="n">
        <x:v>31.2305977604</x:v>
      </x:c>
      <x:c r="J82" s="31" t="n">
        <x:v>31.2305977604</x:v>
      </x:c>
      <x:c r="K82" s="31" t="n">
        <x:v>0</x:v>
      </x:c>
      <x:c r="L82" s="31" t="n">
        <x:v>30</x:v>
      </x:c>
      <x:c r="M82" s="31" t="n">
        <x:v>1.2305977604</x:v>
      </x:c>
      <x:c r="N82" s="24" t="str">
        <x:v>alopias vulpinus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Alopias vulpinus</x:v>
      </x:c>
      <x:c r="T82" s="32" t="n">
        <x:f>IF(O82="","",(1/'Metadata'!$B$5)^(O82-1))</x:f>
        <x:v>3162.2776601683795</x:v>
      </x:c>
      <x:c r="U82" s="31" t="n">
        <x:f>IF(T82="","",I82*T82)</x:f>
        <x:v>98759.82161141754</x:v>
      </x:c>
    </x:row>
    <x:row r="83" ht="18" customHeight="1">
      <x:c r="A83" s="24" t="str">
        <x:v>EEZ_152</x:v>
      </x:c>
      <x:c r="B83" s="24" t="str">
        <x:v>Chile (mainland)</x:v>
      </x:c>
      <x:c r="C83" s="24" t="str">
        <x:v>EEZ</x:v>
      </x:c>
      <x:c r="D83" s="30" t="n">
        <x:v>2019</x:v>
      </x:c>
      <x:c r="E83" s="24" t="str">
        <x:v>Stellifer minor</x:v>
      </x:c>
      <x:c r="F83" s="24" t="str">
        <x:v>Minor stardrum</x:v>
      </x:c>
      <x:c r="G83" s="24" t="str">
        <x:v>Medium demersals (30 - 89 cm)</x:v>
      </x:c>
      <x:c r="H83" s="24" t="str">
        <x:v>Perch-likes</x:v>
      </x:c>
      <x:c r="I83" s="31" t="n">
        <x:v>31</x:v>
      </x:c>
      <x:c r="J83" s="31" t="n">
        <x:v>31</x:v>
      </x:c>
      <x:c r="K83" s="31" t="n">
        <x:v>0</x:v>
      </x:c>
      <x:c r="L83" s="31" t="n">
        <x:v>31</x:v>
      </x:c>
      <x:c r="M83" s="31" t="n">
        <x:v>0</x:v>
      </x:c>
      <x:c r="N83" s="24" t="str">
        <x:v>stellifer minor</x:v>
      </x:c>
      <x:c r="O83" s="32" t="n">
        <x:v>3.45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Stellifer minor</x:v>
      </x:c>
      <x:c r="T83" s="32" t="n">
        <x:f>IF(O83="","",(1/'Metadata'!$B$5)^(O83-1))</x:f>
        <x:v>281.8382931264455</x:v>
      </x:c>
      <x:c r="U83" s="31" t="n">
        <x:f>IF(T83="","",I83*T83)</x:f>
        <x:v>8736.98708691981</x:v>
      </x:c>
    </x:row>
    <x:row r="84" ht="18" customHeight="1">
      <x:c r="A84" s="24" t="str">
        <x:v>EEZ_152</x:v>
      </x:c>
      <x:c r="B84" s="24" t="str">
        <x:v>Chile (mainland)</x:v>
      </x:c>
      <x:c r="C84" s="24" t="str">
        <x:v>EEZ</x:v>
      </x:c>
      <x:c r="D84" s="30" t="n">
        <x:v>2019</x:v>
      </x:c>
      <x:c r="E84" s="24" t="str">
        <x:v>Prolatilus jugularis</x:v>
      </x:c>
      <x:c r="F84" s="24" t="str">
        <x:v>Pacific sandperch</x:v>
      </x:c>
      <x:c r="G84" s="24" t="str">
        <x:v>Medium demersals (30 - 89 cm)</x:v>
      </x:c>
      <x:c r="H84" s="24" t="str">
        <x:v>Perch-likes</x:v>
      </x:c>
      <x:c r="I84" s="31" t="n">
        <x:v>30.886916565900002</x:v>
      </x:c>
      <x:c r="J84" s="31" t="n">
        <x:v>30.886916565900002</x:v>
      </x:c>
      <x:c r="K84" s="31" t="n">
        <x:v>0</x:v>
      </x:c>
      <x:c r="L84" s="31" t="n">
        <x:v>29</x:v>
      </x:c>
      <x:c r="M84" s="31" t="n">
        <x:v>1.8869165659</x:v>
      </x:c>
      <x:c r="N84" s="24" t="str">
        <x:v>prolatilus jugularis</x:v>
      </x:c>
      <x:c r="O84" s="32" t="n">
        <x:v>3.7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Prolatilus jugularis</x:v>
      </x:c>
      <x:c r="T84" s="32" t="n">
        <x:f>IF(O84="","",(1/'Metadata'!$B$5)^(O84-1))</x:f>
        <x:v>501.18723362727246</x:v>
      </x:c>
      <x:c r="U84" s="31" t="n">
        <x:f>IF(T84="","",I84*T84)</x:f>
        <x:v>15480.128268939796</x:v>
      </x:c>
    </x:row>
    <x:row r="85" ht="18" customHeight="1">
      <x:c r="A85" s="24" t="str">
        <x:v>EEZ_152</x:v>
      </x:c>
      <x:c r="B85" s="24" t="str">
        <x:v>Chile (mainland)</x:v>
      </x:c>
      <x:c r="C85" s="24" t="str">
        <x:v>EEZ</x:v>
      </x:c>
      <x:c r="D85" s="30" t="n">
        <x:v>2019</x:v>
      </x:c>
      <x:c r="E85" s="24" t="str">
        <x:v>Thunnus albacares</x:v>
      </x:c>
      <x:c r="F85" s="24" t="str">
        <x:v>Yellowfin tuna</x:v>
      </x:c>
      <x:c r="G85" s="24" t="str">
        <x:v>Large pelagics (&gt;=90 cm)</x:v>
      </x:c>
      <x:c r="H85" s="24" t="str">
        <x:v>Tuna &amp; billfishes</x:v>
      </x:c>
      <x:c r="I85" s="31" t="n">
        <x:v>28.049727450899997</x:v>
      </x:c>
      <x:c r="J85" s="31" t="n">
        <x:v>27.9546348798</x:v>
      </x:c>
      <x:c r="K85" s="31" t="n">
        <x:v>0.0950925711</x:v>
      </x:c>
      <x:c r="L85" s="31" t="n">
        <x:v>25.5754792099</x:v>
      </x:c>
      <x:c r="M85" s="31" t="n">
        <x:v>2.4742482409999997</x:v>
      </x:c>
      <x:c r="N85" s="24" t="str">
        <x:v>thunnus albacares</x:v>
      </x:c>
      <x:c r="O85" s="32" t="n">
        <x:v>4.41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Thunnus albacares</x:v>
      </x:c>
      <x:c r="T85" s="32" t="n">
        <x:f>IF(O85="","",(1/'Metadata'!$B$5)^(O85-1))</x:f>
        <x:v>2570.3957827688646</x:v>
      </x:c>
      <x:c r="U85" s="31" t="n">
        <x:f>IF(T85="","",I85*T85)</x:f>
        <x:v>72098.9011476094</x:v>
      </x:c>
    </x:row>
    <x:row r="86" ht="18" customHeight="1">
      <x:c r="A86" s="24" t="str">
        <x:v>EEZ_152</x:v>
      </x:c>
      <x:c r="B86" s="24" t="str">
        <x:v>Chile (mainland)</x:v>
      </x:c>
      <x:c r="C86" s="24" t="str">
        <x:v>EEZ</x:v>
      </x:c>
      <x:c r="D86" s="30" t="n">
        <x:v>2019</x:v>
      </x:c>
      <x:c r="E86" s="24" t="str">
        <x:v>Pinguipes chilensis</x:v>
      </x:c>
      <x:c r="F86" s="24" t="str">
        <x:v>Chilean sandperch</x:v>
      </x:c>
      <x:c r="G86" s="24" t="str">
        <x:v>Medium demersals (30 - 89 cm)</x:v>
      </x:c>
      <x:c r="H86" s="24" t="str">
        <x:v>Perch-likes</x:v>
      </x:c>
      <x:c r="I86" s="31" t="n">
        <x:v>27.0509962671</x:v>
      </x:c>
      <x:c r="J86" s="31" t="n">
        <x:v>27.0509962671</x:v>
      </x:c>
      <x:c r="K86" s="31" t="n">
        <x:v>0</x:v>
      </x:c>
      <x:c r="L86" s="31" t="n">
        <x:v>25</x:v>
      </x:c>
      <x:c r="M86" s="31" t="n">
        <x:v>2.0509962671</x:v>
      </x:c>
      <x:c r="N86" s="24" t="str">
        <x:v>pinguipes chilensis</x:v>
      </x:c>
      <x:c r="O86" s="32" t="n">
        <x:v>3.53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Pinguipes chilensis</x:v>
      </x:c>
      <x:c r="T86" s="32" t="n">
        <x:f>IF(O86="","",(1/'Metadata'!$B$5)^(O86-1))</x:f>
        <x:v>338.84415613920237</x:v>
      </x:c>
      <x:c r="U86" s="31" t="n">
        <x:f>IF(T86="","",I86*T86)</x:f>
        <x:v>9166.072002850213</x:v>
      </x:c>
    </x:row>
    <x:row r="87" ht="18" customHeight="1">
      <x:c r="A87" s="24" t="str">
        <x:v>EEZ_152</x:v>
      </x:c>
      <x:c r="B87" s="24" t="str">
        <x:v>Chile (mainland)</x:v>
      </x:c>
      <x:c r="C87" s="24" t="str">
        <x:v>EEZ</x:v>
      </x:c>
      <x:c r="D87" s="30" t="n">
        <x:v>2019</x:v>
      </x:c>
      <x:c r="E87" s="24" t="str">
        <x:v>Tegula atra</x:v>
      </x:c>
      <x:c r="F87" s="24" t="str">
        <x:v>Smooth black trochid</x:v>
      </x:c>
      <x:c r="G87" s="24" t="str">
        <x:v>Other demersal invertebrates</x:v>
      </x:c>
      <x:c r="H87" s="24" t="str">
        <x:v>Molluscs</x:v>
      </x:c>
      <x:c r="I87" s="31" t="n">
        <x:v>24.9223910412</x:v>
      </x:c>
      <x:c r="J87" s="31" t="n">
        <x:v>24.9223910412</x:v>
      </x:c>
      <x:c r="K87" s="31" t="n">
        <x:v>0</x:v>
      </x:c>
      <x:c r="L87" s="31" t="n">
        <x:v>20</x:v>
      </x:c>
      <x:c r="M87" s="31" t="n">
        <x:v>4.9223910412</x:v>
      </x:c>
      <x:c r="N87" s="24" t="str">
        <x:v>tegula atra</x:v>
      </x:c>
      <x:c r="O87" s="32" t="n">
        <x:v>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Tegula atra</x:v>
      </x:c>
      <x:c r="T87" s="32" t="n">
        <x:f>IF(O87="","",(1/'Metadata'!$B$5)^(O87-1))</x:f>
        <x:v>10</x:v>
      </x:c>
      <x:c r="U87" s="31" t="n">
        <x:f>IF(T87="","",I87*T87)</x:f>
        <x:v>249.223910412</x:v>
      </x:c>
    </x:row>
    <x:row r="88" ht="18" customHeight="1">
      <x:c r="A88" s="24" t="str">
        <x:v>EEZ_152</x:v>
      </x:c>
      <x:c r="B88" s="24" t="str">
        <x:v>Chile (mainland)</x:v>
      </x:c>
      <x:c r="C88" s="24" t="str">
        <x:v>EEZ</x:v>
      </x:c>
      <x:c r="D88" s="30" t="n">
        <x:v>2019</x:v>
      </x:c>
      <x:c r="E88" s="24" t="str">
        <x:v>Taliepus dentatus</x:v>
      </x:c>
      <x:c r="F88" s="24" t="str">
        <x:v>Spider crabs</x:v>
      </x:c>
      <x:c r="G88" s="24" t="str">
        <x:v>Lobsters, crabs</x:v>
      </x:c>
      <x:c r="H88" s="24" t="str">
        <x:v>Crustaceans</x:v>
      </x:c>
      <x:c r="I88" s="31" t="n">
        <x:v>21.3946774616</x:v>
      </x:c>
      <x:c r="J88" s="31" t="n">
        <x:v>21.3946774616</x:v>
      </x:c>
      <x:c r="K88" s="31" t="n">
        <x:v>0</x:v>
      </x:c>
      <x:c r="L88" s="31" t="n">
        <x:v>20</x:v>
      </x:c>
      <x:c r="M88" s="31" t="n">
        <x:v>1.3946774616</x:v>
      </x:c>
      <x:c r="N88" s="24" t="str">
        <x:v>taliepus dentatus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Taliepus dentatus</x:v>
      </x:c>
      <x:c r="T88" s="32" t="n">
        <x:f>IF(O88="","",(1/'Metadata'!$B$5)^(O88-1))</x:f>
        <x:v>10</x:v>
      </x:c>
      <x:c r="U88" s="31" t="n">
        <x:f>IF(T88="","",I88*T88)</x:f>
        <x:v>213.946774616</x:v>
      </x:c>
    </x:row>
    <x:row r="89" ht="18" customHeight="1">
      <x:c r="A89" s="24" t="str">
        <x:v>EEZ_152</x:v>
      </x:c>
      <x:c r="B89" s="24" t="str">
        <x:v>Chile (mainland)</x:v>
      </x:c>
      <x:c r="C89" s="24" t="str">
        <x:v>EEZ</x:v>
      </x:c>
      <x:c r="D89" s="30" t="n">
        <x:v>2019</x:v>
      </x:c>
      <x:c r="E89" s="24" t="str">
        <x:v>Scombridae</x:v>
      </x:c>
      <x:c r="F89" s="24" t="str">
        <x:v>Mackerels, tunas, bonitos</x:v>
      </x:c>
      <x:c r="G89" s="24" t="str">
        <x:v>Medium pelagics (30 - 89 cm)</x:v>
      </x:c>
      <x:c r="H89" s="24" t="str">
        <x:v>Perch-likes</x:v>
      </x:c>
      <x:c r="I89" s="31" t="n">
        <x:v>18.7629701184</x:v>
      </x:c>
      <x:c r="J89" s="31" t="n">
        <x:v>18.7383586561</x:v>
      </x:c>
      <x:c r="K89" s="31" t="n">
        <x:v>0.0246114623</x:v>
      </x:c>
      <x:c r="L89" s="31" t="n">
        <x:v>18</x:v>
      </x:c>
      <x:c r="M89" s="31" t="n">
        <x:v>0.7629701184000001</x:v>
      </x:c>
      <x:c r="N89" s="24" t="str">
        <x:v>scombridae</x:v>
      </x:c>
      <x:c r="O89" s="32" t="n">
        <x:v>4.26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Scombridae</x:v>
      </x:c>
      <x:c r="T89" s="32" t="n">
        <x:f>IF(O89="","",(1/'Metadata'!$B$5)^(O89-1))</x:f>
        <x:v>1819.7008586099826</x:v>
      </x:c>
      <x:c r="U89" s="31" t="n">
        <x:f>IF(T89="","",I89*T89)</x:f>
        <x:v>34142.992834525925</x:v>
      </x:c>
    </x:row>
    <x:row r="90" ht="18" customHeight="1">
      <x:c r="A90" s="24" t="str">
        <x:v>EEZ_152</x:v>
      </x:c>
      <x:c r="B90" s="24" t="str">
        <x:v>Chile (mainland)</x:v>
      </x:c>
      <x:c r="C90" s="24" t="str">
        <x:v>EEZ</x:v>
      </x:c>
      <x:c r="D90" s="30" t="n">
        <x:v>2019</x:v>
      </x:c>
      <x:c r="E90" s="24" t="str">
        <x:v>Fissurella cumingi</x:v>
      </x:c>
      <x:c r="F90" s="24" t="str">
        <x:v>keyhole limpet</x:v>
      </x:c>
      <x:c r="G90" s="24" t="str">
        <x:v>Other demersal invertebrates</x:v>
      </x:c>
      <x:c r="H90" s="24" t="str">
        <x:v>Molluscs</x:v>
      </x:c>
      <x:c r="I90" s="31" t="n">
        <x:v>16.2305977604</x:v>
      </x:c>
      <x:c r="J90" s="31" t="n">
        <x:v>16.2305977604</x:v>
      </x:c>
      <x:c r="K90" s="31" t="n">
        <x:v>0</x:v>
      </x:c>
      <x:c r="L90" s="31" t="n">
        <x:v>15</x:v>
      </x:c>
      <x:c r="M90" s="31" t="n">
        <x:v>1.2305977604</x:v>
      </x:c>
      <x:c r="N90" s="24" t="str">
        <x:v>fissurella cumingi</x:v>
      </x:c>
      <x:c r="O90" s="32" t="n">
        <x:v>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Fissurella cumingi</x:v>
      </x:c>
      <x:c r="T90" s="32" t="n">
        <x:f>IF(O90="","",(1/'Metadata'!$B$5)^(O90-1))</x:f>
        <x:v>10</x:v>
      </x:c>
      <x:c r="U90" s="31" t="n">
        <x:f>IF(T90="","",I90*T90)</x:f>
        <x:v>162.305977604</x:v>
      </x:c>
    </x:row>
    <x:row r="91" ht="18" customHeight="1">
      <x:c r="A91" s="24" t="str">
        <x:v>EEZ_152</x:v>
      </x:c>
      <x:c r="B91" s="24" t="str">
        <x:v>Chile (mainland)</x:v>
      </x:c>
      <x:c r="C91" s="24" t="str">
        <x:v>EEZ</x:v>
      </x:c>
      <x:c r="D91" s="30" t="n">
        <x:v>2019</x:v>
      </x:c>
      <x:c r="E91" s="24" t="str">
        <x:v>Isacia conceptionis</x:v>
      </x:c>
      <x:c r="F91" s="24" t="str">
        <x:v>Cabinza grunt</x:v>
      </x:c>
      <x:c r="G91" s="24" t="str">
        <x:v>Medium benthopelagics (30 - 89 cm)</x:v>
      </x:c>
      <x:c r="H91" s="24" t="str">
        <x:v>Perch-likes</x:v>
      </x:c>
      <x:c r="I91" s="31" t="n">
        <x:v>15.605850991899999</x:v>
      </x:c>
      <x:c r="J91" s="31" t="n">
        <x:v>15.605850991899999</x:v>
      </x:c>
      <x:c r="K91" s="31" t="n">
        <x:v>0</x:v>
      </x:c>
      <x:c r="L91" s="31" t="n">
        <x:v>11.997</x:v>
      </x:c>
      <x:c r="M91" s="31" t="n">
        <x:v>3.6088509919</x:v>
      </x:c>
      <x:c r="N91" s="24" t="str">
        <x:v>isacia conceptionis</x:v>
      </x:c>
      <x:c r="O91" s="32" t="n">
        <x:v>2.91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Isacia conceptionis</x:v>
      </x:c>
      <x:c r="T91" s="32" t="n">
        <x:f>IF(O91="","",(1/'Metadata'!$B$5)^(O91-1))</x:f>
        <x:v>81.28305161640995</x:v>
      </x:c>
      <x:c r="U91" s="31" t="n">
        <x:f>IF(T91="","",I91*T91)</x:f>
        <x:v>1268.49119169261</x:v>
      </x:c>
    </x:row>
    <x:row r="92" ht="18" customHeight="1">
      <x:c r="A92" s="24" t="str">
        <x:v>EEZ_152</x:v>
      </x:c>
      <x:c r="B92" s="24" t="str">
        <x:v>Chile (mainland)</x:v>
      </x:c>
      <x:c r="C92" s="24" t="str">
        <x:v>EEZ</x:v>
      </x:c>
      <x:c r="D92" s="30" t="n">
        <x:v>2019</x:v>
      </x:c>
      <x:c r="E92" s="24" t="str">
        <x:v>Seriolella caerulea</x:v>
      </x:c>
      <x:c r="F92" s="24" t="str">
        <x:v>White warehou</x:v>
      </x:c>
      <x:c r="G92" s="24" t="str">
        <x:v>Medium bathypelagics (30 - 89 cm)</x:v>
      </x:c>
      <x:c r="H92" s="24" t="str">
        <x:v>Perch-likes</x:v>
      </x:c>
      <x:c r="I92" s="31" t="n">
        <x:v>15.148557909700001</x:v>
      </x:c>
      <x:c r="J92" s="31" t="n">
        <x:v>15.148557909700001</x:v>
      </x:c>
      <x:c r="K92" s="31" t="n">
        <x:v>0</x:v>
      </x:c>
      <x:c r="L92" s="31" t="n">
        <x:v>14</x:v>
      </x:c>
      <x:c r="M92" s="31" t="n">
        <x:v>1.1485579096999998</x:v>
      </x:c>
      <x:c r="N92" s="24" t="str">
        <x:v>seriolella caerulea</x:v>
      </x:c>
      <x:c r="O92" s="32" t="n">
        <x:v>3.42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Seriolella caerulea</x:v>
      </x:c>
      <x:c r="T92" s="32" t="n">
        <x:f>IF(O92="","",(1/'Metadata'!$B$5)^(O92-1))</x:f>
        <x:v>263.02679918953817</x:v>
      </x:c>
      <x:c r="U92" s="31" t="n">
        <x:f>IF(T92="","",I92*T92)</x:f>
        <x:v>3984.476699325752</x:v>
      </x:c>
    </x:row>
    <x:row r="93" ht="18" customHeight="1">
      <x:c r="A93" s="24" t="str">
        <x:v>EEZ_152</x:v>
      </x:c>
      <x:c r="B93" s="24" t="str">
        <x:v>Chile (mainland)</x:v>
      </x:c>
      <x:c r="C93" s="24" t="str">
        <x:v>EEZ</x:v>
      </x:c>
      <x:c r="D93" s="30" t="n">
        <x:v>2019</x:v>
      </x:c>
      <x:c r="E93" s="24" t="str">
        <x:v>Fissurella maxima</x:v>
      </x:c>
      <x:c r="F93" s="24" t="str">
        <x:v>giant keyhole limpet</x:v>
      </x:c>
      <x:c r="G93" s="24" t="str">
        <x:v>Other demersal invertebrates</x:v>
      </x:c>
      <x:c r="H93" s="24" t="str">
        <x:v>Molluscs</x:v>
      </x:c>
      <x:c r="I93" s="31" t="n">
        <x:v>13.2971158192</x:v>
      </x:c>
      <x:c r="J93" s="31" t="n">
        <x:v>13.2971158192</x:v>
      </x:c>
      <x:c r="K93" s="31" t="n">
        <x:v>0</x:v>
      </x:c>
      <x:c r="L93" s="31" t="n">
        <x:v>11</x:v>
      </x:c>
      <x:c r="M93" s="31" t="n">
        <x:v>2.2971158191999996</x:v>
      </x:c>
      <x:c r="N93" s="24" t="str">
        <x:v>fissurella maxima</x:v>
      </x:c>
      <x:c r="O93" s="32" t="n">
        <x:v>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Fissurella maxima</x:v>
      </x:c>
      <x:c r="T93" s="32" t="n">
        <x:f>IF(O93="","",(1/'Metadata'!$B$5)^(O93-1))</x:f>
        <x:v>10</x:v>
      </x:c>
      <x:c r="U93" s="31" t="n">
        <x:f>IF(T93="","",I93*T93)</x:f>
        <x:v>132.971158192</x:v>
      </x:c>
    </x:row>
    <x:row r="94" ht="18" customHeight="1">
      <x:c r="A94" s="24" t="str">
        <x:v>EEZ_152</x:v>
      </x:c>
      <x:c r="B94" s="24" t="str">
        <x:v>Chile (mainland)</x:v>
      </x:c>
      <x:c r="C94" s="24" t="str">
        <x:v>EEZ</x:v>
      </x:c>
      <x:c r="D94" s="30" t="n">
        <x:v>2019</x:v>
      </x:c>
      <x:c r="E94" s="24" t="str">
        <x:v>Haliporoides diomedeae</x:v>
      </x:c>
      <x:c r="F94" s="24" t="str">
        <x:v>Chilean knife shrimp</x:v>
      </x:c>
      <x:c r="G94" s="24" t="str">
        <x:v>Shrimps</x:v>
      </x:c>
      <x:c r="H94" s="24" t="str">
        <x:v>Crustaceans</x:v>
      </x:c>
      <x:c r="I94" s="31" t="n">
        <x:v>13</x:v>
      </x:c>
      <x:c r="J94" s="31" t="n">
        <x:v>13</x:v>
      </x:c>
      <x:c r="K94" s="31" t="n">
        <x:v>0</x:v>
      </x:c>
      <x:c r="L94" s="31" t="n">
        <x:v>13</x:v>
      </x:c>
      <x:c r="M94" s="31" t="n">
        <x:v>0</x:v>
      </x:c>
      <x:c r="N94" s="24" t="str">
        <x:v>haliporoides diomedeae</x:v>
      </x:c>
      <x:c r="O94" s="32" t="n">
        <x:v>2.6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Haliporoides diomedeae</x:v>
      </x:c>
      <x:c r="T94" s="32" t="n">
        <x:f>IF(O94="","",(1/'Metadata'!$B$5)^(O94-1))</x:f>
        <x:v>39.810717055349734</x:v>
      </x:c>
      <x:c r="U94" s="31" t="n">
        <x:f>IF(T94="","",I94*T94)</x:f>
        <x:v>517.5393217195466</x:v>
      </x:c>
    </x:row>
    <x:row r="95" ht="18" customHeight="1">
      <x:c r="A95" s="24" t="str">
        <x:v>EEZ_152</x:v>
      </x:c>
      <x:c r="B95" s="24" t="str">
        <x:v>Chile (mainland)</x:v>
      </x:c>
      <x:c r="C95" s="24" t="str">
        <x:v>EEZ</x:v>
      </x:c>
      <x:c r="D95" s="30" t="n">
        <x:v>2019</x:v>
      </x:c>
      <x:c r="E95" s="24" t="str">
        <x:v>Perciformes</x:v>
      </x:c>
      <x:c r="F95" s="24" t="str">
        <x:v>Perch-likes</x:v>
      </x:c>
      <x:c r="G95" s="24" t="str">
        <x:v>Medium demersals (30 - 89 cm)</x:v>
      </x:c>
      <x:c r="H95" s="24" t="str">
        <x:v>Perch-likes</x:v>
      </x:c>
      <x:c r="I95" s="31" t="n">
        <x:v>12.557389791899999</x:v>
      </x:c>
      <x:c r="J95" s="31" t="n">
        <x:v>12.557389791899999</x:v>
      </x:c>
      <x:c r="K95" s="31" t="n">
        <x:v>0</x:v>
      </x:c>
      <x:c r="L95" s="31" t="n">
        <x:v>10.2602739727</x:v>
      </x:c>
      <x:c r="M95" s="31" t="n">
        <x:v>2.2971158191999996</x:v>
      </x:c>
      <x:c r="N95" s="24" t="str">
        <x:v>perciformes</x:v>
      </x:c>
      <x:c r="O95" s="32" t="n">
        <x:v>3.53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Perciformes</x:v>
      </x:c>
      <x:c r="T95" s="32" t="n">
        <x:f>IF(O95="","",(1/'Metadata'!$B$5)^(O95-1))</x:f>
        <x:v>338.84415613920237</x:v>
      </x:c>
      <x:c r="U95" s="31" t="n">
        <x:f>IF(T95="","",I95*T95)</x:f>
        <x:v>4254.998147347389</x:v>
      </x:c>
    </x:row>
    <x:row r="96" ht="18" customHeight="1">
      <x:c r="A96" s="24" t="str">
        <x:v>EEZ_152</x:v>
      </x:c>
      <x:c r="B96" s="24" t="str">
        <x:v>Chile (mainland)</x:v>
      </x:c>
      <x:c r="C96" s="24" t="str">
        <x:v>EEZ</x:v>
      </x:c>
      <x:c r="D96" s="30" t="n">
        <x:v>2019</x:v>
      </x:c>
      <x:c r="E96" s="24" t="str">
        <x:v>Argobuccinum pustulosum</x:v>
      </x:c>
      <x:c r="F96" s="24" t="str">
        <x:v>Swollen trumpet</x:v>
      </x:c>
      <x:c r="G96" s="24" t="str">
        <x:v>Other demersal invertebrates</x:v>
      </x:c>
      <x:c r="H96" s="24" t="str">
        <x:v>Molluscs</x:v>
      </x:c>
      <x:c r="I96" s="31" t="n">
        <x:v>11.321499395</x:v>
      </x:c>
      <x:c r="J96" s="31" t="n">
        <x:v>11.321499395</x:v>
      </x:c>
      <x:c r="K96" s="31" t="n">
        <x:v>0</x:v>
      </x:c>
      <x:c r="L96" s="31" t="n">
        <x:v>0</x:v>
      </x:c>
      <x:c r="M96" s="31" t="n">
        <x:v>11.321499395</x:v>
      </x:c>
      <x:c r="N96" s="24" t="str">
        <x:v>argobuccinum pustulosum</x:v>
      </x:c>
      <x:c r="O96" s="32" t="n">
        <x:v>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Argobuccinum pustulosum</x:v>
      </x:c>
      <x:c r="T96" s="32" t="n">
        <x:f>IF(O96="","",(1/'Metadata'!$B$5)^(O96-1))</x:f>
        <x:v>100</x:v>
      </x:c>
      <x:c r="U96" s="31" t="n">
        <x:f>IF(T96="","",I96*T96)</x:f>
        <x:v>1132.1499395</x:v>
      </x:c>
    </x:row>
    <x:row r="97" ht="18" customHeight="1">
      <x:c r="A97" s="24" t="str">
        <x:v>EEZ_152</x:v>
      </x:c>
      <x:c r="B97" s="24" t="str">
        <x:v>Chile (mainland)</x:v>
      </x:c>
      <x:c r="C97" s="24" t="str">
        <x:v>EEZ</x:v>
      </x:c>
      <x:c r="D97" s="30" t="n">
        <x:v>2019</x:v>
      </x:c>
      <x:c r="E97" s="24" t="str">
        <x:v>Ophichthus</x:v>
      </x:c>
      <x:c r="F97" s="24" t="str">
        <x:v>Snake eel</x:v>
      </x:c>
      <x:c r="G97" s="24" t="str">
        <x:v>Medium demersals (30 - 89 cm)</x:v>
      </x:c>
      <x:c r="H97" s="24" t="str">
        <x:v>Other fishes &amp; inverts</x:v>
      </x:c>
      <x:c r="I97" s="31" t="n">
        <x:v>11</x:v>
      </x:c>
      <x:c r="J97" s="31" t="n">
        <x:v>11</x:v>
      </x:c>
      <x:c r="K97" s="31" t="n">
        <x:v>0</x:v>
      </x:c>
      <x:c r="L97" s="31" t="n">
        <x:v>11</x:v>
      </x:c>
      <x:c r="M97" s="31" t="n">
        <x:v>0</x:v>
      </x:c>
      <x:c r="N97" s="24" t="str">
        <x:v>ophichthus</x:v>
      </x:c>
      <x:c r="O97" s="32" t="n">
        <x:v>4.05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Ophichthus</x:v>
      </x:c>
      <x:c r="T97" s="32" t="n">
        <x:f>IF(O97="","",(1/'Metadata'!$B$5)^(O97-1))</x:f>
        <x:v>1122.018454301963</x:v>
      </x:c>
      <x:c r="U97" s="31" t="n">
        <x:f>IF(T97="","",I97*T97)</x:f>
        <x:v>12342.202997321592</x:v>
      </x:c>
    </x:row>
    <x:row r="98" ht="18" customHeight="1">
      <x:c r="A98" s="24" t="str">
        <x:v>EEZ_152</x:v>
      </x:c>
      <x:c r="B98" s="24" t="str">
        <x:v>Chile (mainland)</x:v>
      </x:c>
      <x:c r="C98" s="24" t="str">
        <x:v>EEZ</x:v>
      </x:c>
      <x:c r="D98" s="30" t="n">
        <x:v>2019</x:v>
      </x:c>
      <x:c r="E98" s="24" t="str">
        <x:v>Xanthochorus cassidiformis</x:v>
      </x:c>
      <x:c r="F98" s="24" t="str">
        <x:v>Orange whelk</x:v>
      </x:c>
      <x:c r="G98" s="24" t="str">
        <x:v>Other demersal invertebrates</x:v>
      </x:c>
      <x:c r="H98" s="24" t="str">
        <x:v>Molluscs</x:v>
      </x:c>
      <x:c r="I98" s="31" t="n">
        <x:v>11</x:v>
      </x:c>
      <x:c r="J98" s="31" t="n">
        <x:v>11</x:v>
      </x:c>
      <x:c r="K98" s="31" t="n">
        <x:v>0</x:v>
      </x:c>
      <x:c r="L98" s="31" t="n">
        <x:v>11</x:v>
      </x:c>
      <x:c r="M98" s="31" t="n">
        <x:v>0</x:v>
      </x:c>
      <x:c r="N98" s="24" t="str">
        <x:v>xanthochorus cassidiformis</x:v>
      </x:c>
      <x:c r="O98" s="32" t="n">
        <x:v>3.1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Xanthochorus cassidiformis</x:v>
      </x:c>
      <x:c r="T98" s="32" t="n">
        <x:f>IF(O98="","",(1/'Metadata'!$B$5)^(O98-1))</x:f>
        <x:v>125.89254117941675</x:v>
      </x:c>
      <x:c r="U98" s="31" t="n">
        <x:f>IF(T98="","",I98*T98)</x:f>
        <x:v>1384.8179529735844</x:v>
      </x:c>
    </x:row>
    <x:row r="99" ht="18" customHeight="1">
      <x:c r="A99" s="24" t="str">
        <x:v>EEZ_152</x:v>
      </x:c>
      <x:c r="B99" s="24" t="str">
        <x:v>Chile (mainland)</x:v>
      </x:c>
      <x:c r="C99" s="24" t="str">
        <x:v>EEZ</x:v>
      </x:c>
      <x:c r="D99" s="30" t="n">
        <x:v>2019</x:v>
      </x:c>
      <x:c r="E99" s="24" t="str">
        <x:v>Thunnus alalunga</x:v>
      </x:c>
      <x:c r="F99" s="24" t="str">
        <x:v>Albacore</x:v>
      </x:c>
      <x:c r="G99" s="24" t="str">
        <x:v>Large pelagics (&gt;=90 cm)</x:v>
      </x:c>
      <x:c r="H99" s="24" t="str">
        <x:v>Tuna &amp; billfishes</x:v>
      </x:c>
      <x:c r="I99" s="31" t="n">
        <x:v>9.315300545</x:v>
      </x:c>
      <x:c r="J99" s="31" t="n">
        <x:v>9.3152472572</x:v>
      </x:c>
      <x:c r="K99" s="31" t="n">
        <x:v>0.0000532878</x:v>
      </x:c>
      <x:c r="L99" s="31" t="n">
        <x:v>8.9870878545</x:v>
      </x:c>
      <x:c r="M99" s="31" t="n">
        <x:v>0.3282126905</x:v>
      </x:c>
      <x:c r="N99" s="24" t="str">
        <x:v>thunnus alalunga</x:v>
      </x:c>
      <x:c r="O99" s="32" t="n">
        <x:v>4.3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Thunnus alalunga</x:v>
      </x:c>
      <x:c r="T99" s="32" t="n">
        <x:f>IF(O99="","",(1/'Metadata'!$B$5)^(O99-1))</x:f>
        <x:v>1995.2623149688789</x:v>
      </x:c>
      <x:c r="U99" s="31" t="n">
        <x:f>IF(T99="","",I99*T99)</x:f>
        <x:v>18586.468130047557</x:v>
      </x:c>
    </x:row>
    <x:row r="100" ht="18" customHeight="1">
      <x:c r="A100" s="24" t="str">
        <x:v>EEZ_152</x:v>
      </x:c>
      <x:c r="B100" s="24" t="str">
        <x:v>Chile (mainland)</x:v>
      </x:c>
      <x:c r="C100" s="24" t="str">
        <x:v>EEZ</x:v>
      </x:c>
      <x:c r="D100" s="30" t="n">
        <x:v>2019</x:v>
      </x:c>
      <x:c r="E100" s="24" t="str">
        <x:v>Kajikia audax</x:v>
      </x:c>
      <x:c r="F100" s="24" t="str">
        <x:v>Striped marlin</x:v>
      </x:c>
      <x:c r="G100" s="24" t="str">
        <x:v>Large pelagics (&gt;=90 cm)</x:v>
      </x:c>
      <x:c r="H100" s="24" t="str">
        <x:v>Tuna &amp; billfishes</x:v>
      </x:c>
      <x:c r="I100" s="31" t="n">
        <x:v>8</x:v>
      </x:c>
      <x:c r="J100" s="31" t="n">
        <x:v>8</x:v>
      </x:c>
      <x:c r="K100" s="31" t="n">
        <x:v>0</x:v>
      </x:c>
      <x:c r="L100" s="31" t="n">
        <x:v>8</x:v>
      </x:c>
      <x:c r="M100" s="31" t="n">
        <x:v>0</x:v>
      </x:c>
      <x:c r="N100" s="24" t="str">
        <x:v>kajikia audax</x:v>
      </x:c>
      <x:c r="O100" s="32" t="n">
        <x:v>4.58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Kajikia audax</x:v>
      </x:c>
      <x:c r="T100" s="32" t="n">
        <x:f>IF(O100="","",(1/'Metadata'!$B$5)^(O100-1))</x:f>
        <x:v>3801.8939632056126</x:v>
      </x:c>
      <x:c r="U100" s="31" t="n">
        <x:f>IF(T100="","",I100*T100)</x:f>
        <x:v>30415.1517056449</x:v>
      </x:c>
    </x:row>
    <x:row r="101" ht="18" customHeight="1">
      <x:c r="A101" s="24" t="str">
        <x:v>EEZ_152</x:v>
      </x:c>
      <x:c r="B101" s="24" t="str">
        <x:v>Chile (mainland)</x:v>
      </x:c>
      <x:c r="C101" s="24" t="str">
        <x:v>EEZ</x:v>
      </x:c>
      <x:c r="D101" s="30" t="n">
        <x:v>2019</x:v>
      </x:c>
      <x:c r="E101" s="24" t="str">
        <x:v>Haemulidae</x:v>
      </x:c>
      <x:c r="F101" s="24" t="str">
        <x:v>Grunts, sweetlips, bonnetmouths</x:v>
      </x:c>
      <x:c r="G101" s="24" t="str">
        <x:v>Medium demersals (30 - 89 cm)</x:v>
      </x:c>
      <x:c r="H101" s="24" t="str">
        <x:v>Perch-likes</x:v>
      </x:c>
      <x:c r="I101" s="31" t="n">
        <x:v>4.4922391042</x:v>
      </x:c>
      <x:c r="J101" s="31" t="n">
        <x:v>4.4922391042</x:v>
      </x:c>
      <x:c r="K101" s="31" t="n">
        <x:v>0</x:v>
      </x:c>
      <x:c r="L101" s="31" t="n">
        <x:v>4</x:v>
      </x:c>
      <x:c r="M101" s="31" t="n">
        <x:v>0.4922391042</x:v>
      </x:c>
      <x:c r="N101" s="24" t="str">
        <x:v>haemulidae</x:v>
      </x:c>
      <x:c r="O101" s="32" t="n">
        <x:v>3.36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Haemulidae</x:v>
      </x:c>
      <x:c r="T101" s="32" t="n">
        <x:f>IF(O101="","",(1/'Metadata'!$B$5)^(O101-1))</x:f>
        <x:v>229.08676527677724</x:v>
      </x:c>
      <x:c r="U101" s="31" t="n">
        <x:f>IF(T101="","",I101*T101)</x:f>
        <x:v>1029.1125252310255</x:v>
      </x:c>
    </x:row>
    <x:row r="102" ht="18" customHeight="1">
      <x:c r="A102" s="24" t="str">
        <x:v>EEZ_152</x:v>
      </x:c>
      <x:c r="B102" s="24" t="str">
        <x:v>Chile (mainland)</x:v>
      </x:c>
      <x:c r="C102" s="24" t="str">
        <x:v>EEZ</x:v>
      </x:c>
      <x:c r="D102" s="30" t="n">
        <x:v>2019</x:v>
      </x:c>
      <x:c r="E102" s="24" t="str">
        <x:v>Hexanchus griseus</x:v>
      </x:c>
      <x:c r="F102" s="24" t="str">
        <x:v>Bluntnose sixgill shark</x:v>
      </x:c>
      <x:c r="G102" s="24" t="str">
        <x:v>Large sharks (&gt;=90 cm)</x:v>
      </x:c>
      <x:c r="H102" s="24" t="str">
        <x:v>Sharks &amp; rays</x:v>
      </x:c>
      <x:c r="I102" s="31" t="n">
        <x:v>4</x:v>
      </x:c>
      <x:c r="J102" s="31" t="n">
        <x:v>4</x:v>
      </x:c>
      <x:c r="K102" s="31" t="n">
        <x:v>0</x:v>
      </x:c>
      <x:c r="L102" s="31" t="n">
        <x:v>4</x:v>
      </x:c>
      <x:c r="M102" s="31" t="n">
        <x:v>0</x:v>
      </x:c>
      <x:c r="N102" s="24" t="str">
        <x:v>hexanchus griseus</x:v>
      </x:c>
      <x:c r="O102" s="32" t="n">
        <x:v>4.48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Hexanchus griseus</x:v>
      </x:c>
      <x:c r="T102" s="32" t="n">
        <x:f>IF(O102="","",(1/'Metadata'!$B$5)^(O102-1))</x:f>
        <x:v>3019.951720402019</x:v>
      </x:c>
      <x:c r="U102" s="31" t="n">
        <x:f>IF(T102="","",I102*T102)</x:f>
        <x:v>12079.806881608076</x:v>
      </x:c>
    </x:row>
    <x:row r="103" ht="18" customHeight="1">
      <x:c r="A103" s="24" t="str">
        <x:v>EEZ_152</x:v>
      </x:c>
      <x:c r="B103" s="24" t="str">
        <x:v>Chile (mainland)</x:v>
      </x:c>
      <x:c r="C103" s="24" t="str">
        <x:v>EEZ</x:v>
      </x:c>
      <x:c r="D103" s="30" t="n">
        <x:v>2019</x:v>
      </x:c>
      <x:c r="E103" s="24" t="str">
        <x:v>Graus nigra</x:v>
      </x:c>
      <x:c r="F103" s="24" t="str">
        <x:v>Mulata</x:v>
      </x:c>
      <x:c r="G103" s="24" t="str">
        <x:v>Medium demersals (30 - 89 cm)</x:v>
      </x:c>
      <x:c r="H103" s="24" t="str">
        <x:v>Other fishes &amp; inverts</x:v>
      </x:c>
      <x:c r="I103" s="31" t="n">
        <x:v>3.328159403</x:v>
      </x:c>
      <x:c r="J103" s="31" t="n">
        <x:v>3.328159403</x:v>
      </x:c>
      <x:c r="K103" s="31" t="n">
        <x:v>0</x:v>
      </x:c>
      <x:c r="L103" s="31" t="n">
        <x:v>3</x:v>
      </x:c>
      <x:c r="M103" s="31" t="n">
        <x:v>0.328159403</x:v>
      </x:c>
      <x:c r="N103" s="24" t="str">
        <x:v>graus nigra</x:v>
      </x:c>
      <x:c r="O103" s="32" t="n">
        <x:v>3.35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Graus nigra</x:v>
      </x:c>
      <x:c r="T103" s="32" t="n">
        <x:f>IF(O103="","",(1/'Metadata'!$B$5)^(O103-1))</x:f>
        <x:v>223.872113856834</x:v>
      </x:c>
      <x:c r="U103" s="31" t="n">
        <x:f>IF(T103="","",I103*T103)</x:f>
        <x:v>745.0820808021086</x:v>
      </x:c>
    </x:row>
    <x:row r="104" ht="18" customHeight="1">
      <x:c r="A104" s="24" t="str">
        <x:v>EEZ_152</x:v>
      </x:c>
      <x:c r="B104" s="24" t="str">
        <x:v>Chile (mainland)</x:v>
      </x:c>
      <x:c r="C104" s="24" t="str">
        <x:v>EEZ</x:v>
      </x:c>
      <x:c r="D104" s="30" t="n">
        <x:v>2019</x:v>
      </x:c>
      <x:c r="E104" s="24" t="str">
        <x:v>Paralichthys</x:v>
      </x:c>
      <x:c r="F104" s="24" t="str">
        <x:v>Paralichthyid flounders</x:v>
      </x:c>
      <x:c r="G104" s="24" t="str">
        <x:v>Small to medium flatfishes (&lt;90 cm)</x:v>
      </x:c>
      <x:c r="H104" s="24" t="str">
        <x:v>Flatfishes</x:v>
      </x:c>
      <x:c r="I104" s="31" t="n">
        <x:v>3</x:v>
      </x:c>
      <x:c r="J104" s="31" t="n">
        <x:v>3</x:v>
      </x:c>
      <x:c r="K104" s="31" t="n">
        <x:v>0</x:v>
      </x:c>
      <x:c r="L104" s="31" t="n">
        <x:v>3</x:v>
      </x:c>
      <x:c r="M104" s="31" t="n">
        <x:v>0</x:v>
      </x:c>
      <x:c r="N104" s="24" t="str">
        <x:v>paralichthys</x:v>
      </x:c>
      <x:c r="O104" s="32" t="n">
        <x:v>4.14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Paralichthys</x:v>
      </x:c>
      <x:c r="T104" s="32" t="n">
        <x:f>IF(O104="","",(1/'Metadata'!$B$5)^(O104-1))</x:f>
        <x:v>1380.3842646028838</x:v>
      </x:c>
      <x:c r="U104" s="31" t="n">
        <x:f>IF(T104="","",I104*T104)</x:f>
        <x:v>4141.152793808651</x:v>
      </x:c>
    </x:row>
    <x:row r="105" ht="18" customHeight="1">
      <x:c r="A105" s="24" t="str">
        <x:v>EEZ_152</x:v>
      </x:c>
      <x:c r="B105" s="24" t="str">
        <x:v>Chile (mainland)</x:v>
      </x:c>
      <x:c r="C105" s="24" t="str">
        <x:v>EEZ</x:v>
      </x:c>
      <x:c r="D105" s="30" t="n">
        <x:v>2019</x:v>
      </x:c>
      <x:c r="E105" s="24" t="str">
        <x:v>Sebastidae</x:v>
      </x:c>
      <x:c r="F105" s="24" t="str">
        <x:v>Rockfishes, rockcods, thornyheads</x:v>
      </x:c>
      <x:c r="G105" s="24" t="str">
        <x:v>Medium demersals (30 - 89 cm)</x:v>
      </x:c>
      <x:c r="H105" s="24" t="str">
        <x:v>Scorpionfishes</x:v>
      </x:c>
      <x:c r="I105" s="31" t="n">
        <x:v>2.9983808743</x:v>
      </x:c>
      <x:c r="J105" s="31" t="n">
        <x:v>2.9983808743</x:v>
      </x:c>
      <x:c r="K105" s="31" t="n">
        <x:v>0</x:v>
      </x:c>
      <x:c r="L105" s="31" t="n">
        <x:v>2.9983808743</x:v>
      </x:c>
      <x:c r="M105" s="31" t="n">
        <x:v>0</x:v>
      </x:c>
      <x:c r="N105" s="24" t="str">
        <x:v>sebastidae</x:v>
      </x:c>
      <x:c r="O105" s="32" t="n">
        <x:v>3.74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Sebastidae</x:v>
      </x:c>
      <x:c r="T105" s="32" t="n">
        <x:f>IF(O105="","",(1/'Metadata'!$B$5)^(O105-1))</x:f>
        <x:v>549.5408738576248</x:v>
      </x:c>
      <x:c r="U105" s="31" t="n">
        <x:f>IF(T105="","",I105*T105)</x:f>
        <x:v>1647.732845820811</x:v>
      </x:c>
    </x:row>
    <x:row r="106" ht="18" customHeight="1">
      <x:c r="A106" s="24" t="str">
        <x:v>EEZ_152</x:v>
      </x:c>
      <x:c r="B106" s="24" t="str">
        <x:v>Chile (mainland)</x:v>
      </x:c>
      <x:c r="C106" s="24" t="str">
        <x:v>EEZ</x:v>
      </x:c>
      <x:c r="D106" s="30" t="n">
        <x:v>2019</x:v>
      </x:c>
      <x:c r="E106" s="24" t="str">
        <x:v>Katsuwonus pelamis</x:v>
      </x:c>
      <x:c r="F106" s="24" t="str">
        <x:v>Skipjack tuna</x:v>
      </x:c>
      <x:c r="G106" s="24" t="str">
        <x:v>Large pelagics (&gt;=90 cm)</x:v>
      </x:c>
      <x:c r="H106" s="24" t="str">
        <x:v>Tuna &amp; billfishes</x:v>
      </x:c>
      <x:c r="I106" s="31" t="n">
        <x:v>2.1389481706</x:v>
      </x:c>
      <x:c r="J106" s="31" t="n">
        <x:v>2.1389281466</x:v>
      </x:c>
      <x:c r="K106" s="31" t="n">
        <x:v>0.000020024</x:v>
      </x:c>
      <x:c r="L106" s="31" t="n">
        <x:v>2.1389281466</x:v>
      </x:c>
      <x:c r="M106" s="31" t="n">
        <x:v>0.000020024</x:v>
      </x:c>
      <x:c r="N106" s="24" t="str">
        <x:v>katsuwonus pelamis</x:v>
      </x:c>
      <x:c r="O106" s="32" t="n">
        <x:v>4.43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Katsuwonus pelamis</x:v>
      </x:c>
      <x:c r="T106" s="32" t="n">
        <x:f>IF(O106="","",(1/'Metadata'!$B$5)^(O106-1))</x:f>
        <x:v>2691.534803926914</x:v>
      </x:c>
      <x:c r="U106" s="31" t="n">
        <x:f>IF(T106="","",I106*T106)</x:f>
        <x:v>5757.053444965702</x:v>
      </x:c>
    </x:row>
    <x:row r="107" ht="18" customHeight="1">
      <x:c r="A107" s="24" t="str">
        <x:v>EEZ_152</x:v>
      </x:c>
      <x:c r="B107" s="24" t="str">
        <x:v>Chile (mainland)</x:v>
      </x:c>
      <x:c r="C107" s="24" t="str">
        <x:v>EEZ</x:v>
      </x:c>
      <x:c r="D107" s="30" t="n">
        <x:v>2019</x:v>
      </x:c>
      <x:c r="E107" s="24" t="str">
        <x:v>Paralichthys microps</x:v>
      </x:c>
      <x:c r="F107" s="24" t="str">
        <x:v>Paralichthys microps</x:v>
      </x:c>
      <x:c r="G107" s="24" t="str">
        <x:v>Small to medium flatfishes (&lt;90 cm)</x:v>
      </x:c>
      <x:c r="H107" s="24" t="str">
        <x:v>Flatfishes</x:v>
      </x:c>
      <x:c r="I107" s="31" t="n">
        <x:v>1.9844782081999999</x:v>
      </x:c>
      <x:c r="J107" s="31" t="n">
        <x:v>1.9844782081999999</x:v>
      </x:c>
      <x:c r="K107" s="31" t="n">
        <x:v>0</x:v>
      </x:c>
      <x:c r="L107" s="31" t="n">
        <x:v>1</x:v>
      </x:c>
      <x:c r="M107" s="31" t="n">
        <x:v>0.9844782082</x:v>
      </x:c>
      <x:c r="N107" s="24" t="str">
        <x:v>paralichthys microps</x:v>
      </x:c>
      <x:c r="O107" s="32" t="n">
        <x:v>4.04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Paralichthys microps</x:v>
      </x:c>
      <x:c r="T107" s="32" t="n">
        <x:f>IF(O107="","",(1/'Metadata'!$B$5)^(O107-1))</x:f>
        <x:v>1096.4781961431852</x:v>
      </x:c>
      <x:c r="U107" s="31" t="n">
        <x:f>IF(T107="","",I107*T107)</x:f>
        <x:v>2175.937086012596</x:v>
      </x:c>
    </x:row>
    <x:row r="108" ht="18" customHeight="1">
      <x:c r="A108" s="24" t="str">
        <x:v>EEZ_152</x:v>
      </x:c>
      <x:c r="B108" s="24" t="str">
        <x:v>Chile (mainland)</x:v>
      </x:c>
      <x:c r="C108" s="24" t="str">
        <x:v>EEZ</x:v>
      </x:c>
      <x:c r="D108" s="30" t="n">
        <x:v>2019</x:v>
      </x:c>
      <x:c r="E108" s="24" t="str">
        <x:v>Odontocymbiola magellanica</x:v>
      </x:c>
      <x:c r="F108" s="24" t="str">
        <x:v>Magellanic volute</x:v>
      </x:c>
      <x:c r="G108" s="24" t="str">
        <x:v>Other demersal invertebrates</x:v>
      </x:c>
      <x:c r="H108" s="24" t="str">
        <x:v>Molluscs</x:v>
      </x:c>
      <x:c r="I108" s="31" t="n">
        <x:v>1.5742789549</x:v>
      </x:c>
      <x:c r="J108" s="31" t="n">
        <x:v>1.5742789549</x:v>
      </x:c>
      <x:c r="K108" s="31" t="n">
        <x:v>0</x:v>
      </x:c>
      <x:c r="L108" s="31" t="n">
        <x:v>1</x:v>
      </x:c>
      <x:c r="M108" s="31" t="n">
        <x:v>0.5742789548999999</x:v>
      </x:c>
      <x:c r="N108" s="24" t="str">
        <x:v>odontocymbiola magellanica</x:v>
      </x:c>
      <x:c r="O108" s="32" t="n">
        <x:v>3.22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Odontocymbiola magellanica</x:v>
      </x:c>
      <x:c r="T108" s="32" t="n">
        <x:f>IF(O108="","",(1/'Metadata'!$B$5)^(O108-1))</x:f>
        <x:v>165.95869074375614</x:v>
      </x:c>
      <x:c r="U108" s="31" t="n">
        <x:f>IF(T108="","",I108*T108)</x:f>
        <x:v>261.2652742206527</x:v>
      </x:c>
    </x:row>
    <x:row r="109" ht="18" customHeight="1">
      <x:c r="A109" s="24" t="str">
        <x:v>EEZ_152</x:v>
      </x:c>
      <x:c r="B109" s="24" t="str">
        <x:v>Chile (mainland)</x:v>
      </x:c>
      <x:c r="C109" s="24" t="str">
        <x:v>EEZ</x:v>
      </x:c>
      <x:c r="D109" s="30" t="n">
        <x:v>2019</x:v>
      </x:c>
      <x:c r="E109" s="24" t="str">
        <x:v>Aplodactylus punctatus</x:v>
      </x:c>
      <x:c r="F109" s="24" t="str">
        <x:v>Aplodactylus punctatus</x:v>
      </x:c>
      <x:c r="G109" s="24" t="str">
        <x:v>Medium demersals (30 - 89 cm)</x:v>
      </x:c>
      <x:c r="H109" s="24" t="str">
        <x:v>Perch-likes</x:v>
      </x:c>
      <x:c r="I109" s="31" t="n">
        <x:v>1.2461195521</x:v>
      </x:c>
      <x:c r="J109" s="31" t="n">
        <x:v>1.2461195521</x:v>
      </x:c>
      <x:c r="K109" s="31" t="n">
        <x:v>0</x:v>
      </x:c>
      <x:c r="L109" s="31" t="n">
        <x:v>1</x:v>
      </x:c>
      <x:c r="M109" s="31" t="n">
        <x:v>0.2461195521</x:v>
      </x:c>
      <x:c r="N109" s="24" t="str">
        <x:v>aplodactylus punctatus</x:v>
      </x:c>
      <x:c r="O109" s="32" t="n">
        <x:v>2.04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Aplodactylus punctatus</x:v>
      </x:c>
      <x:c r="T109" s="32" t="n">
        <x:f>IF(O109="","",(1/'Metadata'!$B$5)^(O109-1))</x:f>
        <x:v>10.964781961431852</x:v>
      </x:c>
      <x:c r="U109" s="31" t="n">
        <x:f>IF(T109="","",I109*T109)</x:f>
        <x:v>13.663429186653618</x:v>
      </x:c>
    </x:row>
    <x:row r="110" ht="18" customHeight="1">
      <x:c r="A110" s="24" t="str">
        <x:v>EEZ_152</x:v>
      </x:c>
      <x:c r="B110" s="24" t="str">
        <x:v>Chile (mainland)</x:v>
      </x:c>
      <x:c r="C110" s="24" t="str">
        <x:v>EEZ</x:v>
      </x:c>
      <x:c r="D110" s="30" t="n">
        <x:v>2019</x:v>
      </x:c>
      <x:c r="E110" s="24" t="str">
        <x:v>Thunnus obesus</x:v>
      </x:c>
      <x:c r="F110" s="24" t="str">
        <x:v>Bigeye tuna</x:v>
      </x:c>
      <x:c r="G110" s="24" t="str">
        <x:v>Large pelagics (&gt;=90 cm)</x:v>
      </x:c>
      <x:c r="H110" s="24" t="str">
        <x:v>Tuna &amp; billfishes</x:v>
      </x:c>
      <x:c r="I110" s="31" t="n">
        <x:v>1.1781761714999999</x:v>
      </x:c>
      <x:c r="J110" s="31" t="n">
        <x:v>1.1781746564</x:v>
      </x:c>
      <x:c r="K110" s="31" t="n">
        <x:v>0.0000015151</x:v>
      </x:c>
      <x:c r="L110" s="31" t="n">
        <x:v>0.9320551042999999</x:v>
      </x:c>
      <x:c r="M110" s="31" t="n">
        <x:v>0.2461210672</x:v>
      </x:c>
      <x:c r="N110" s="24" t="str">
        <x:v>thunnus obesus</x:v>
      </x:c>
      <x:c r="O110" s="32" t="n">
        <x:v>4.49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Thunnus obesus</x:v>
      </x:c>
      <x:c r="T110" s="32" t="n">
        <x:f>IF(O110="","",(1/'Metadata'!$B$5)^(O110-1))</x:f>
        <x:v>3090.295432513592</x:v>
      </x:c>
      <x:c r="U110" s="31" t="n">
        <x:f>IF(T110="","",I110*T110)</x:f>
        <x:v>3640.9124414828</x:v>
      </x:c>
    </x:row>
    <x:row r="111" ht="18" customHeight="1">
      <x:c r="A111" s="24" t="str">
        <x:v>EEZ_152</x:v>
      </x:c>
      <x:c r="B111" s="24" t="str">
        <x:v>Chile (mainland)</x:v>
      </x:c>
      <x:c r="C111" s="24" t="str">
        <x:v>EEZ</x:v>
      </x:c>
      <x:c r="D111" s="30" t="n">
        <x:v>2019</x:v>
      </x:c>
      <x:c r="E111" s="24" t="str">
        <x:v>Loliginidae</x:v>
      </x:c>
      <x:c r="F111" s="24" t="str">
        <x:v>Common pencil squids</x:v>
      </x:c>
      <x:c r="G111" s="24" t="str">
        <x:v>Cephalopods</x:v>
      </x:c>
      <x:c r="H111" s="24" t="str">
        <x:v>Other fishes &amp; inverts</x:v>
      </x:c>
      <x:c r="I111" s="31" t="n">
        <x:v>1.0096267367</x:v>
      </x:c>
      <x:c r="J111" s="31" t="n">
        <x:v>1.0096267367</x:v>
      </x:c>
      <x:c r="K111" s="31" t="n">
        <x:v>0</x:v>
      </x:c>
      <x:c r="L111" s="31" t="n">
        <x:v>1.0096267367</x:v>
      </x:c>
      <x:c r="M111" s="31" t="n">
        <x:v>0</x:v>
      </x:c>
      <x:c r="N111" s="24" t="str">
        <x:v>loliginidae</x:v>
      </x:c>
      <x:c r="O111" s="32" t="n">
        <x:v>3.9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Loliginidae</x:v>
      </x:c>
      <x:c r="T111" s="32" t="n">
        <x:f>IF(O111="","",(1/'Metadata'!$B$5)^(O111-1))</x:f>
        <x:v>794.3282347242813</x:v>
      </x:c>
      <x:c r="U111" s="31" t="n">
        <x:f>IF(T111="","",I111*T111)</x:f>
        <x:v>801.9750234933477</x:v>
      </x:c>
    </x:row>
    <x:row r="112" ht="18" customHeight="1">
      <x:c r="A112" s="24" t="str">
        <x:v>EEZ_152</x:v>
      </x:c>
      <x:c r="B112" s="24" t="str">
        <x:v>Chile (mainland)</x:v>
      </x:c>
      <x:c r="C112" s="24" t="str">
        <x:v>EEZ</x:v>
      </x:c>
      <x:c r="D112" s="30" t="n">
        <x:v>2019</x:v>
      </x:c>
      <x:c r="E112" s="24" t="str">
        <x:v>Allothunnus fallai</x:v>
      </x:c>
      <x:c r="F112" s="24" t="str">
        <x:v>Slender tuna</x:v>
      </x:c>
      <x:c r="G112" s="24" t="str">
        <x:v>Large pelagics (&gt;=90 cm)</x:v>
      </x:c>
      <x:c r="H112" s="24" t="str">
        <x:v>Tuna &amp; billfishes</x:v>
      </x:c>
      <x:c r="I112" s="31" t="n">
        <x:v>1</x:v>
      </x:c>
      <x:c r="J112" s="31" t="n">
        <x:v>1</x:v>
      </x:c>
      <x:c r="K112" s="31" t="n">
        <x:v>0</x:v>
      </x:c>
      <x:c r="L112" s="31" t="n">
        <x:v>1</x:v>
      </x:c>
      <x:c r="M112" s="31" t="n">
        <x:v>0</x:v>
      </x:c>
      <x:c r="N112" s="24" t="str">
        <x:v>allothunnus fallai</x:v>
      </x:c>
      <x:c r="O112" s="32" t="n">
        <x:v>3.7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Allothunnus fallai</x:v>
      </x:c>
      <x:c r="T112" s="32" t="n">
        <x:f>IF(O112="","",(1/'Metadata'!$B$5)^(O112-1))</x:f>
        <x:v>501.18723362727246</x:v>
      </x:c>
      <x:c r="U112" s="31" t="n">
        <x:f>IF(T112="","",I112*T112)</x:f>
        <x:v>501.18723362727246</x:v>
      </x:c>
    </x:row>
    <x:row r="113" ht="18" customHeight="1">
      <x:c r="A113" s="24" t="str">
        <x:v>EEZ_152</x:v>
      </x:c>
      <x:c r="B113" s="24" t="str">
        <x:v>Chile (mainland)</x:v>
      </x:c>
      <x:c r="C113" s="24" t="str">
        <x:v>EEZ</x:v>
      </x:c>
      <x:c r="D113" s="30" t="n">
        <x:v>2019</x:v>
      </x:c>
      <x:c r="E113" s="24" t="str">
        <x:v>Chirodactylus variegatus</x:v>
      </x:c>
      <x:c r="F113" s="24" t="str">
        <x:v>Peruvian morwong</x:v>
      </x:c>
      <x:c r="G113" s="24" t="str">
        <x:v>Medium benthopelagics (30 - 89 cm)</x:v>
      </x:c>
      <x:c r="H113" s="24" t="str">
        <x:v>Perch-likes</x:v>
      </x:c>
      <x:c r="I113" s="31" t="n">
        <x:v>1</x:v>
      </x:c>
      <x:c r="J113" s="31" t="n">
        <x:v>1</x:v>
      </x:c>
      <x:c r="K113" s="31" t="n">
        <x:v>0</x:v>
      </x:c>
      <x:c r="L113" s="31" t="n">
        <x:v>1</x:v>
      </x:c>
      <x:c r="M113" s="31" t="n">
        <x:v>0</x:v>
      </x:c>
      <x:c r="N113" s="24" t="str">
        <x:v>chirodactylus variegatus</x:v>
      </x:c>
      <x:c r="O113" s="32" t="n">
        <x:v>3.65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Chirodactylus variegatus</x:v>
      </x:c>
      <x:c r="T113" s="32" t="n">
        <x:f>IF(O113="","",(1/'Metadata'!$B$5)^(O113-1))</x:f>
        <x:v>446.683592150963</x:v>
      </x:c>
      <x:c r="U113" s="31" t="n">
        <x:f>IF(T113="","",I113*T113)</x:f>
        <x:v>446.683592150963</x:v>
      </x:c>
    </x:row>
    <x:row r="114" ht="18" customHeight="1">
      <x:c r="A114" s="24" t="str">
        <x:v>EEZ_152</x:v>
      </x:c>
      <x:c r="B114" s="24" t="str">
        <x:v>Chile (mainland)</x:v>
      </x:c>
      <x:c r="C114" s="24" t="str">
        <x:v>EEZ</x:v>
      </x:c>
      <x:c r="D114" s="30" t="n">
        <x:v>2019</x:v>
      </x:c>
      <x:c r="E114" s="24" t="str">
        <x:v>Fissurella picta</x:v>
      </x:c>
      <x:c r="F114" s="24" t="str">
        <x:v>Large banded keyhole limpet</x:v>
      </x:c>
      <x:c r="G114" s="24" t="str">
        <x:v>Other demersal invertebrates</x:v>
      </x:c>
      <x:c r="H114" s="24" t="str">
        <x:v>Molluscs</x:v>
      </x:c>
      <x:c r="I114" s="31" t="n">
        <x:v>1</x:v>
      </x:c>
      <x:c r="J114" s="31" t="n">
        <x:v>1</x:v>
      </x:c>
      <x:c r="K114" s="31" t="n">
        <x:v>0</x:v>
      </x:c>
      <x:c r="L114" s="31" t="n">
        <x:v>1</x:v>
      </x:c>
      <x:c r="M114" s="31" t="n">
        <x:v>0</x:v>
      </x:c>
      <x:c r="N114" s="24" t="str">
        <x:v>fissurella picta</x:v>
      </x:c>
      <x:c r="O114" s="32" t="n">
        <x:v>2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Fissurella picta</x:v>
      </x:c>
      <x:c r="T114" s="32" t="n">
        <x:f>IF(O114="","",(1/'Metadata'!$B$5)^(O114-1))</x:f>
        <x:v>10</x:v>
      </x:c>
      <x:c r="U114" s="31" t="n">
        <x:f>IF(T114="","",I114*T114)</x:f>
        <x:v>10</x:v>
      </x:c>
    </x:row>
    <x:row r="115" ht="18" customHeight="1">
      <x:c r="A115" s="24" t="str">
        <x:v>EEZ_152</x:v>
      </x:c>
      <x:c r="B115" s="24" t="str">
        <x:v>Chile (mainland)</x:v>
      </x:c>
      <x:c r="C115" s="24" t="str">
        <x:v>EEZ</x:v>
      </x:c>
      <x:c r="D115" s="30" t="n">
        <x:v>2019</x:v>
      </x:c>
      <x:c r="E115" s="24" t="str">
        <x:v>Rhynchocinetes typus</x:v>
      </x:c>
      <x:c r="F115" s="24" t="str">
        <x:v>Rabbitnose shrimp</x:v>
      </x:c>
      <x:c r="G115" s="24" t="str">
        <x:v>Shrimps</x:v>
      </x:c>
      <x:c r="H115" s="24" t="str">
        <x:v>Crustaceans</x:v>
      </x:c>
      <x:c r="I115" s="31" t="n">
        <x:v>1</x:v>
      </x:c>
      <x:c r="J115" s="31" t="n">
        <x:v>1</x:v>
      </x:c>
      <x:c r="K115" s="31" t="n">
        <x:v>0</x:v>
      </x:c>
      <x:c r="L115" s="31" t="n">
        <x:v>1</x:v>
      </x:c>
      <x:c r="M115" s="31" t="n">
        <x:v>0</x:v>
      </x:c>
      <x:c r="N115" s="24" t="str">
        <x:v>rhynchocinetes typus</x:v>
      </x:c>
      <x:c r="O115" s="32" t="n">
        <x:v>2.88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Rhynchocinetes typus</x:v>
      </x:c>
      <x:c r="T115" s="32" t="n">
        <x:f>IF(O115="","",(1/'Metadata'!$B$5)^(O115-1))</x:f>
        <x:v>75.85775750291836</x:v>
      </x:c>
      <x:c r="U115" s="31" t="n">
        <x:f>IF(T115="","",I115*T115)</x:f>
        <x:v>75.85775750291836</x:v>
      </x:c>
    </x:row>
    <x:row r="116" ht="18" customHeight="1">
      <x:c r="A116" s="24" t="str">
        <x:v>EEZ_152</x:v>
      </x:c>
      <x:c r="B116" s="24" t="str">
        <x:v>Chile (mainland)</x:v>
      </x:c>
      <x:c r="C116" s="24" t="str">
        <x:v>EEZ</x:v>
      </x:c>
      <x:c r="D116" s="30" t="n">
        <x:v>2019</x:v>
      </x:c>
      <x:c r="E116" s="24" t="str">
        <x:v>Galaxias maculatus</x:v>
      </x:c>
      <x:c r="F116" s="24" t="str">
        <x:v>Inanga</x:v>
      </x:c>
      <x:c r="G116" s="24" t="str">
        <x:v>Large reef assoc. fish (&gt;=90 cm)</x:v>
      </x:c>
      <x:c r="H116" s="24" t="str">
        <x:v>Salmon, smelts, etc</x:v>
      </x:c>
      <x:c r="I116" s="31" t="n">
        <x:v>1</x:v>
      </x:c>
      <x:c r="J116" s="31" t="n">
        <x:v>1</x:v>
      </x:c>
      <x:c r="K116" s="31" t="n">
        <x:v>0</x:v>
      </x:c>
      <x:c r="L116" s="31" t="n">
        <x:v>1</x:v>
      </x:c>
      <x:c r="M116" s="31" t="n">
        <x:v>0</x:v>
      </x:c>
      <x:c r="N116" s="24" t="str">
        <x:v>galaxias maculatus</x:v>
      </x:c>
      <x:c r="O116" s="32" t="n">
        <x:v>3.16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Galaxias maculatus</x:v>
      </x:c>
      <x:c r="T116" s="32" t="n">
        <x:f>IF(O116="","",(1/'Metadata'!$B$5)^(O116-1))</x:f>
        <x:v>144.5439770745928</x:v>
      </x:c>
      <x:c r="U116" s="31" t="n">
        <x:f>IF(T116="","",I116*T116)</x:f>
        <x:v>144.5439770745928</x:v>
      </x:c>
    </x:row>
    <x:row r="117" ht="18" customHeight="1">
      <x:c r="A117" s="24" t="str">
        <x:v>EEZ_152</x:v>
      </x:c>
      <x:c r="B117" s="24" t="str">
        <x:v>Chile (mainland)</x:v>
      </x:c>
      <x:c r="C117" s="24" t="str">
        <x:v>EEZ</x:v>
      </x:c>
      <x:c r="D117" s="30" t="n">
        <x:v>2019</x:v>
      </x:c>
      <x:c r="E117" s="24" t="str">
        <x:v>Rajiformes</x:v>
      </x:c>
      <x:c r="F117" s="24" t="str">
        <x:v>Skates and rays</x:v>
      </x:c>
      <x:c r="G117" s="24" t="str">
        <x:v>Large rays (&gt;=90 cm)</x:v>
      </x:c>
      <x:c r="H117" s="24" t="str">
        <x:v>Sharks &amp; rays</x:v>
      </x:c>
      <x:c r="I117" s="31" t="n">
        <x:v>0.7314843146000001</x:v>
      </x:c>
      <x:c r="J117" s="31" t="n">
        <x:v>0.7314843146000001</x:v>
      </x:c>
      <x:c r="K117" s="31" t="n">
        <x:v>0</x:v>
      </x:c>
      <x:c r="L117" s="31" t="n">
        <x:v>0.7314843146000001</x:v>
      </x:c>
      <x:c r="M117" s="31" t="n">
        <x:v>0</x:v>
      </x:c>
      <x:c r="N117" s="24" t="str">
        <x:v>rajiformes</x:v>
      </x:c>
      <x:c r="O117" s="32" t="n">
        <x:v>3.61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Rajiformes</x:v>
      </x:c>
      <x:c r="T117" s="32" t="n">
        <x:f>IF(O117="","",(1/'Metadata'!$B$5)^(O117-1))</x:f>
        <x:v>407.3802778041126</x:v>
      </x:c>
      <x:c r="U117" s="31" t="n">
        <x:f>IF(T117="","",I117*T117)</x:f>
        <x:v>297.99228329109894</x:v>
      </x:c>
    </x:row>
    <x:row r="118" ht="18" customHeight="1">
      <x:c r="A118" s="24" t="str">
        <x:v>EEZ_152</x:v>
      </x:c>
      <x:c r="B118" s="24" t="str">
        <x:v>Chile (mainland)</x:v>
      </x:c>
      <x:c r="C118" s="24" t="str">
        <x:v>EEZ</x:v>
      </x:c>
      <x:c r="D118" s="30" t="n">
        <x:v>2019</x:v>
      </x:c>
      <x:c r="E118" s="24" t="str">
        <x:v>Serranidae</x:v>
      </x:c>
      <x:c r="F118" s="24" t="str">
        <x:v>Basses, groupers, hinds</x:v>
      </x:c>
      <x:c r="G118" s="24" t="str">
        <x:v>Medium reef assoc. fish (30 - 89 cm)</x:v>
      </x:c>
      <x:c r="H118" s="24" t="str">
        <x:v>Perch-likes</x:v>
      </x:c>
      <x:c r="I118" s="31" t="n">
        <x:v>0.32815940270000005</x:v>
      </x:c>
      <x:c r="J118" s="31" t="n">
        <x:v>0.32815940270000005</x:v>
      </x:c>
      <x:c r="K118" s="31" t="n">
        <x:v>0</x:v>
      </x:c>
      <x:c r="L118" s="31" t="n">
        <x:v>0</x:v>
      </x:c>
      <x:c r="M118" s="31" t="n">
        <x:v>0.32815940270000005</x:v>
      </x:c>
      <x:c r="N118" s="24" t="str">
        <x:v>serranidae</x:v>
      </x:c>
      <x:c r="O118" s="32" t="n">
        <x:v>3.98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Serranidae</x:v>
      </x:c>
      <x:c r="T118" s="32" t="n">
        <x:f>IF(O118="","",(1/'Metadata'!$B$5)^(O118-1))</x:f>
        <x:v>954.992586021436</x:v>
      </x:c>
      <x:c r="U118" s="31" t="n">
        <x:f>IF(T118="","",I118*T118)</x:f>
        <x:v>313.38979661172283</x:v>
      </x:c>
    </x:row>
    <x:row r="119" ht="18" customHeight="1">
      <x:c r="A119" s="24" t="str">
        <x:v>EEZ_152</x:v>
      </x:c>
      <x:c r="B119" s="24" t="str">
        <x:v>Chile (mainland)</x:v>
      </x:c>
      <x:c r="C119" s="24" t="str">
        <x:v>EEZ</x:v>
      </x:c>
      <x:c r="D119" s="30" t="n">
        <x:v>2019</x:v>
      </x:c>
      <x:c r="E119" s="24" t="str">
        <x:v>Merluccius hubbsi</x:v>
      </x:c>
      <x:c r="F119" s="24" t="str">
        <x:v>Argentine hake</x:v>
      </x:c>
      <x:c r="G119" s="24" t="str">
        <x:v>Medium benthopelagics (30 - 89 cm)</x:v>
      </x:c>
      <x:c r="H119" s="24" t="str">
        <x:v>Cod-likes</x:v>
      </x:c>
      <x:c r="I119" s="31" t="n">
        <x:v>0.3259300718</x:v>
      </x:c>
      <x:c r="J119" s="31" t="n">
        <x:v>0.3259300718</x:v>
      </x:c>
      <x:c r="K119" s="31" t="n">
        <x:v>0</x:v>
      </x:c>
      <x:c r="L119" s="31" t="n">
        <x:v>0.3259300718</x:v>
      </x:c>
      <x:c r="M119" s="31" t="n">
        <x:v>0</x:v>
      </x:c>
      <x:c r="N119" s="24" t="str">
        <x:v>merluccius hubbsi</x:v>
      </x:c>
      <x:c r="O119" s="32" t="n">
        <x:v>4.23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Merluccius hubbsi</x:v>
      </x:c>
      <x:c r="T119" s="32" t="n">
        <x:f>IF(O119="","",(1/'Metadata'!$B$5)^(O119-1))</x:f>
        <x:v>1698.243652461746</x:v>
      </x:c>
      <x:c r="U119" s="31" t="n">
        <x:f>IF(T119="","",I119*T119)</x:f>
        <x:v>553.5086755807512</x:v>
      </x:c>
    </x:row>
    <x:row r="120" ht="18" customHeight="1">
      <x:c r="A120" s="24" t="str">
        <x:v>EEZ_152</x:v>
      </x:c>
      <x:c r="B120" s="24" t="str">
        <x:v>Chile (mainland)</x:v>
      </x:c>
      <x:c r="C120" s="24" t="str">
        <x:v>EEZ</x:v>
      </x:c>
      <x:c r="D120" s="30" t="n">
        <x:v>2019</x:v>
      </x:c>
      <x:c r="E120" s="24" t="str">
        <x:v>Merluccius</x:v>
      </x:c>
      <x:c r="F120" s="24" t="str">
        <x:v>Hakes</x:v>
      </x:c>
      <x:c r="G120" s="24" t="str">
        <x:v>Medium bathydemersals (30 - 89 cm)</x:v>
      </x:c>
      <x:c r="H120" s="24" t="str">
        <x:v>Cod-likes</x:v>
      </x:c>
      <x:c r="I120" s="31" t="n">
        <x:v>0.3157193139</x:v>
      </x:c>
      <x:c r="J120" s="31" t="n">
        <x:v>0.3157193139</x:v>
      </x:c>
      <x:c r="K120" s="31" t="n">
        <x:v>0</x:v>
      </x:c>
      <x:c r="L120" s="31" t="n">
        <x:v>0.3157193139</x:v>
      </x:c>
      <x:c r="M120" s="31" t="n">
        <x:v>0</x:v>
      </x:c>
      <x:c r="N120" s="24" t="str">
        <x:v>merluccius</x:v>
      </x:c>
      <x:c r="O120" s="32" t="n">
        <x:v>4.27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Merluccius</x:v>
      </x:c>
      <x:c r="T120" s="32" t="n">
        <x:f>IF(O120="","",(1/'Metadata'!$B$5)^(O120-1))</x:f>
        <x:v>1862.0871366628655</x:v>
      </x:c>
      <x:c r="U120" s="31" t="n">
        <x:f>IF(T120="","",I120*T120)</x:f>
        <x:v>587.8968732092155</x:v>
      </x:c>
    </x:row>
    <x:row r="121" ht="18" customHeight="1">
      <x:c r="A121" s="24" t="str">
        <x:v>EEZ_152</x:v>
      </x:c>
      <x:c r="B121" s="24" t="str">
        <x:v>Chile (mainland)</x:v>
      </x:c>
      <x:c r="C121" s="24" t="str">
        <x:v>EEZ</x:v>
      </x:c>
      <x:c r="D121" s="30" t="n">
        <x:v>2019</x:v>
      </x:c>
      <x:c r="E121" s="24" t="str">
        <x:v>Marine pelagic fishes not identified</x:v>
      </x:c>
      <x:c r="F121" s="24" t="str">
        <x:v>Pelagic fishes</x:v>
      </x:c>
      <x:c r="G121" s="24" t="str">
        <x:v>Medium pelagics (30 - 89 cm)</x:v>
      </x:c>
      <x:c r="H121" s="24" t="str">
        <x:v>Other fishes &amp; inverts</x:v>
      </x:c>
      <x:c r="I121" s="31" t="n">
        <x:v>0.22347178550000002</x:v>
      </x:c>
      <x:c r="J121" s="31" t="n">
        <x:v>0.1853647978</x:v>
      </x:c>
      <x:c r="K121" s="31" t="n">
        <x:v>0.0381069877</x:v>
      </x:c>
      <x:c r="L121" s="31" t="n">
        <x:v>0.1853647978</x:v>
      </x:c>
      <x:c r="M121" s="31" t="n">
        <x:v>0.0381069877</x:v>
      </x:c>
      <x:c r="N121" s="24" t="str">
        <x:v>marine pelagic fishes not identified</x:v>
      </x:c>
      <x:c r="O121" s="32" t="n">
        <x:v>3.35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Marine pelagic fishes not identified</x:v>
      </x:c>
      <x:c r="T121" s="32" t="n">
        <x:f>IF(O121="","",(1/'Metadata'!$B$5)^(O121-1))</x:f>
        <x:v>223.872113856834</x:v>
      </x:c>
      <x:c r="U121" s="31" t="n">
        <x:f>IF(T121="","",I121*T121)</x:f>
        <x:v>50.02910100724599</x:v>
      </x:c>
    </x:row>
    <x:row r="122" ht="18" customHeight="1">
      <x:c r="A122" s="24" t="str">
        <x:v>EEZ_152</x:v>
      </x:c>
      <x:c r="B122" s="24" t="str">
        <x:v>Chile (mainland)</x:v>
      </x:c>
      <x:c r="C122" s="24" t="str">
        <x:v>EEZ</x:v>
      </x:c>
      <x:c r="D122" s="30" t="n">
        <x:v>2019</x:v>
      </x:c>
      <x:c r="E122" s="24" t="str">
        <x:v>Elasmobranchii</x:v>
      </x:c>
      <x:c r="F122" s="24" t="str">
        <x:v>Sharks, rays, skates</x:v>
      </x:c>
      <x:c r="G122" s="24" t="str">
        <x:v>Large sharks (&gt;=90 cm)</x:v>
      </x:c>
      <x:c r="H122" s="24" t="str">
        <x:v>Sharks &amp; rays</x:v>
      </x:c>
      <x:c r="I122" s="31" t="n">
        <x:v>0.18653338679999998</x:v>
      </x:c>
      <x:c r="J122" s="31" t="n">
        <x:v>0.0368909833</x:v>
      </x:c>
      <x:c r="K122" s="31" t="n">
        <x:v>0.1496424035</x:v>
      </x:c>
      <x:c r="L122" s="31" t="n">
        <x:v>0.0368909833</x:v>
      </x:c>
      <x:c r="M122" s="31" t="n">
        <x:v>0.1496424035</x:v>
      </x:c>
      <x:c r="N122" s="24" t="str">
        <x:v>elasmobranchii</x:v>
      </x:c>
      <x:c r="O122" s="32" t="n">
        <x:v>4.05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Elasmobranchii</x:v>
      </x:c>
      <x:c r="T122" s="32" t="n">
        <x:f>IF(O122="","",(1/'Metadata'!$B$5)^(O122-1))</x:f>
        <x:v>1122.018454301963</x:v>
      </x:c>
      <x:c r="U122" s="31" t="n">
        <x:f>IF(T122="","",I122*T122)</x:f>
        <x:v>209.29390233304616</x:v>
      </x:c>
    </x:row>
    <x:row r="123" ht="18" customHeight="1">
      <x:c r="A123" s="24" t="str">
        <x:v>EEZ_152</x:v>
      </x:c>
      <x:c r="B123" s="24" t="str">
        <x:v>Chile (mainland)</x:v>
      </x:c>
      <x:c r="C123" s="24" t="str">
        <x:v>EEZ</x:v>
      </x:c>
      <x:c r="D123" s="30" t="n">
        <x:v>2019</x:v>
      </x:c>
      <x:c r="E123" s="24" t="str">
        <x:v>Istiophoridae</x:v>
      </x:c>
      <x:c r="F123" s="24" t="str">
        <x:v>Billfishes</x:v>
      </x:c>
      <x:c r="G123" s="24" t="str">
        <x:v>Large pelagics (&gt;=90 cm)</x:v>
      </x:c>
      <x:c r="H123" s="24" t="str">
        <x:v>Tuna &amp; billfishes</x:v>
      </x:c>
      <x:c r="I123" s="31" t="n">
        <x:v>0.1310796444</x:v>
      </x:c>
      <x:c r="J123" s="31" t="n">
        <x:v>0.1310796444</x:v>
      </x:c>
      <x:c r="K123" s="31" t="n">
        <x:v>0</x:v>
      </x:c>
      <x:c r="L123" s="31" t="n">
        <x:v>0.1310796444</x:v>
      </x:c>
      <x:c r="M123" s="31" t="n">
        <x:v>0</x:v>
      </x:c>
      <x:c r="N123" s="24" t="str">
        <x:v>istiophoridae</x:v>
      </x:c>
      <x:c r="O123" s="32" t="n">
        <x:v>4.48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Istiophoridae</x:v>
      </x:c>
      <x:c r="T123" s="32" t="n">
        <x:f>IF(O123="","",(1/'Metadata'!$B$5)^(O123-1))</x:f>
        <x:v>3019.951720402019</x:v>
      </x:c>
      <x:c r="U123" s="31" t="n">
        <x:f>IF(T123="","",I123*T123)</x:f>
        <x:v>395.8541976154649</x:v>
      </x:c>
    </x:row>
    <x:row r="124" ht="18" customHeight="1">
      <x:c r="A124" s="24" t="str">
        <x:v>EEZ_152</x:v>
      </x:c>
      <x:c r="B124" s="24" t="str">
        <x:v>Chile (mainland)</x:v>
      </x:c>
      <x:c r="C124" s="24" t="str">
        <x:v>EEZ</x:v>
      </x:c>
      <x:c r="D124" s="30" t="n">
        <x:v>2019</x:v>
      </x:c>
      <x:c r="E124" s="24" t="str">
        <x:v>Illex argentinus</x:v>
      </x:c>
      <x:c r="F124" s="24" t="str">
        <x:v>Argentine shortfin squid</x:v>
      </x:c>
      <x:c r="G124" s="24" t="str">
        <x:v>Cephalopods</x:v>
      </x:c>
      <x:c r="H124" s="24" t="str">
        <x:v>Other fishes &amp; inverts</x:v>
      </x:c>
      <x:c r="I124" s="31" t="n">
        <x:v>0.11458559239999999</x:v>
      </x:c>
      <x:c r="J124" s="31" t="n">
        <x:v>0.11458559239999999</x:v>
      </x:c>
      <x:c r="K124" s="31" t="n">
        <x:v>0</x:v>
      </x:c>
      <x:c r="L124" s="31" t="n">
        <x:v>0.11458559239999999</x:v>
      </x:c>
      <x:c r="M124" s="31" t="n">
        <x:v>0</x:v>
      </x:c>
      <x:c r="N124" s="24" t="str">
        <x:v>illex argentinus</x:v>
      </x:c>
      <x:c r="O124" s="32" t="n">
        <x:v>3.82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Illex argentinus</x:v>
      </x:c>
      <x:c r="T124" s="32" t="n">
        <x:f>IF(O124="","",(1/'Metadata'!$B$5)^(O124-1))</x:f>
        <x:v>660.6934480075957</x:v>
      </x:c>
      <x:c r="U124" s="31" t="n">
        <x:f>IF(T124="","",I124*T124)</x:f>
        <x:v>75.70595013474895</x:v>
      </x:c>
    </x:row>
    <x:row r="125" ht="18" customHeight="1">
      <x:c r="A125" s="24" t="str">
        <x:v>EEZ_152</x:v>
      </x:c>
      <x:c r="B125" s="24" t="str">
        <x:v>Chile (mainland)</x:v>
      </x:c>
      <x:c r="C125" s="24" t="str">
        <x:v>EEZ</x:v>
      </x:c>
      <x:c r="D125" s="30" t="n">
        <x:v>2019</x:v>
      </x:c>
      <x:c r="E125" s="24" t="str">
        <x:v>Monacanthidae</x:v>
      </x:c>
      <x:c r="F125" s="24" t="str">
        <x:v>Filefishes</x:v>
      </x:c>
      <x:c r="G125" s="24" t="str">
        <x:v>Medium reef assoc. fish (30 - 89 cm)</x:v>
      </x:c>
      <x:c r="H125" s="24" t="str">
        <x:v>Other fishes &amp; inverts</x:v>
      </x:c>
      <x:c r="I125" s="31" t="n">
        <x:v>0.0820398506</x:v>
      </x:c>
      <x:c r="J125" s="31" t="n">
        <x:v>0.0820398506</x:v>
      </x:c>
      <x:c r="K125" s="31" t="n">
        <x:v>0</x:v>
      </x:c>
      <x:c r="L125" s="31" t="n">
        <x:v>0</x:v>
      </x:c>
      <x:c r="M125" s="31" t="n">
        <x:v>0.0820398506</x:v>
      </x:c>
      <x:c r="N125" s="24" t="str">
        <x:v>monacanthidae</x:v>
      </x:c>
      <x:c r="O125" s="32" t="n">
        <x:v>3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Monacanthidae</x:v>
      </x:c>
      <x:c r="T125" s="32" t="n">
        <x:f>IF(O125="","",(1/'Metadata'!$B$5)^(O125-1))</x:f>
        <x:v>100</x:v>
      </x:c>
      <x:c r="U125" s="31" t="n">
        <x:f>IF(T125="","",I125*T125)</x:f>
        <x:v>8.20398506</x:v>
      </x:c>
    </x:row>
    <x:row r="126" ht="18" customHeight="1">
      <x:c r="A126" s="24" t="str">
        <x:v>EEZ_152</x:v>
      </x:c>
      <x:c r="B126" s="24" t="str">
        <x:v>Chile (mainland)</x:v>
      </x:c>
      <x:c r="C126" s="24" t="str">
        <x:v>EEZ</x:v>
      </x:c>
      <x:c r="D126" s="30" t="n">
        <x:v>2019</x:v>
      </x:c>
      <x:c r="E126" s="24" t="str">
        <x:v>Teuthida</x:v>
      </x:c>
      <x:c r="F126" s="24" t="str">
        <x:v>Squids</x:v>
      </x:c>
      <x:c r="G126" s="24" t="str">
        <x:v>Cephalopods</x:v>
      </x:c>
      <x:c r="H126" s="24" t="str">
        <x:v>Other fishes &amp; inverts</x:v>
      </x:c>
      <x:c r="I126" s="31" t="n">
        <x:v>0.041626056700000004</x:v>
      </x:c>
      <x:c r="J126" s="31" t="n">
        <x:v>0.041626056700000004</x:v>
      </x:c>
      <x:c r="K126" s="31" t="n">
        <x:v>0</x:v>
      </x:c>
      <x:c r="L126" s="31" t="n">
        <x:v>0.041626056700000004</x:v>
      </x:c>
      <x:c r="M126" s="31" t="n">
        <x:v>0</x:v>
      </x:c>
      <x:c r="N126" s="24" t="str">
        <x:v>teuthida</x:v>
      </x:c>
      <x:c r="O126" s="32" t="n">
        <x:v>4.13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Teuthida</x:v>
      </x:c>
      <x:c r="T126" s="32" t="n">
        <x:f>IF(O126="","",(1/'Metadata'!$B$5)^(O126-1))</x:f>
        <x:v>1348.9628825916532</x:v>
      </x:c>
      <x:c r="U126" s="31" t="n">
        <x:f>IF(T126="","",I126*T126)</x:f>
        <x:v>56.152005436955605</x:v>
      </x:c>
    </x:row>
    <x:row r="127" ht="18" customHeight="1">
      <x:c r="A127" s="24" t="str">
        <x:v>EEZ_152</x:v>
      </x:c>
      <x:c r="B127" s="24" t="str">
        <x:v>Chile (mainland)</x:v>
      </x:c>
      <x:c r="C127" s="24" t="str">
        <x:v>EEZ</x:v>
      </x:c>
      <x:c r="D127" s="30" t="n">
        <x:v>2019</x:v>
      </x:c>
      <x:c r="E127" s="24" t="str">
        <x:v>Gadidae</x:v>
      </x:c>
      <x:c r="F127" s="24" t="str">
        <x:v>Cods, haddocks</x:v>
      </x:c>
      <x:c r="G127" s="24" t="str">
        <x:v>Medium demersals (30 - 89 cm)</x:v>
      </x:c>
      <x:c r="H127" s="24" t="str">
        <x:v>Cod-likes</x:v>
      </x:c>
      <x:c r="I127" s="31" t="n">
        <x:v>0.013001702300000001</x:v>
      </x:c>
      <x:c r="J127" s="31" t="n">
        <x:v>0.013001702300000001</x:v>
      </x:c>
      <x:c r="K127" s="31" t="n">
        <x:v>0</x:v>
      </x:c>
      <x:c r="L127" s="31" t="n">
        <x:v>0.013001702300000001</x:v>
      </x:c>
      <x:c r="M127" s="31" t="n">
        <x:v>0</x:v>
      </x:c>
      <x:c r="N127" s="24" t="str">
        <x:v>gadidae</x:v>
      </x:c>
      <x:c r="O127" s="32" t="n">
        <x:v>3.84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Gadidae</x:v>
      </x:c>
      <x:c r="T127" s="32" t="n">
        <x:f>IF(O127="","",(1/'Metadata'!$B$5)^(O127-1))</x:f>
        <x:v>691.8309709189363</x:v>
      </x:c>
      <x:c r="U127" s="31" t="n">
        <x:f>IF(T127="","",I127*T127)</x:f>
        <x:v>8.994980325807967</x:v>
      </x:c>
    </x:row>
    <x:row r="128" ht="18" customHeight="1">
      <x:c r="A128" s="24" t="str">
        <x:v>EEZ_152</x:v>
      </x:c>
      <x:c r="B128" s="24" t="str">
        <x:v>Chile (mainland)</x:v>
      </x:c>
      <x:c r="C128" s="24" t="str">
        <x:v>EEZ</x:v>
      </x:c>
      <x:c r="D128" s="30" t="n">
        <x:v>2019</x:v>
      </x:c>
      <x:c r="E128" s="24" t="str">
        <x:v>Isurus</x:v>
      </x:c>
      <x:c r="F128" s="24" t="str">
        <x:v>Mako sharks</x:v>
      </x:c>
      <x:c r="G128" s="24" t="str">
        <x:v>Large sharks (&gt;=90 cm)</x:v>
      </x:c>
      <x:c r="H128" s="24" t="str">
        <x:v>Sharks &amp; rays</x:v>
      </x:c>
      <x:c r="I128" s="31" t="n">
        <x:v>0.0003331573</x:v>
      </x:c>
      <x:c r="J128" s="31" t="n">
        <x:v>0</x:v>
      </x:c>
      <x:c r="K128" s="31" t="n">
        <x:v>0.0003331573</x:v>
      </x:c>
      <x:c r="L128" s="31" t="n">
        <x:v>0</x:v>
      </x:c>
      <x:c r="M128" s="31" t="n">
        <x:v>0.0003331573</x:v>
      </x:c>
      <x:c r="N128" s="24" t="str">
        <x:v>isurus</x:v>
      </x:c>
      <x:c r="O128" s="32" t="n">
        <x:v>4.5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Isurus</x:v>
      </x:c>
      <x:c r="T128" s="32" t="n">
        <x:f>IF(O128="","",(1/'Metadata'!$B$5)^(O128-1))</x:f>
        <x:v>3162.2776601683795</x:v>
      </x:c>
      <x:c r="U128" s="31" t="n">
        <x:f>IF(T128="","",I128*T128)</x:f>
        <x:v>1.0535358871120148</x:v>
      </x:c>
    </x:row>
    <x:row r="129" ht="18" customHeight="1">
      <x:c r="A129" s="24" t="str">
        <x:v>EEZ_152</x:v>
      </x:c>
      <x:c r="B129" s="24" t="str">
        <x:v>Chile (mainland)</x:v>
      </x:c>
      <x:c r="C129" s="24" t="str">
        <x:v>EEZ</x:v>
      </x:c>
      <x:c r="D129" s="30" t="n">
        <x:v>2019</x:v>
      </x:c>
      <x:c r="E129" s="24" t="str">
        <x:v>Carangidae</x:v>
      </x:c>
      <x:c r="F129" s="24" t="str">
        <x:v>Jacks, pompanos</x:v>
      </x:c>
      <x:c r="G129" s="24" t="str">
        <x:v>Medium pelagics (30 - 89 cm)</x:v>
      </x:c>
      <x:c r="H129" s="24" t="str">
        <x:v>Perch-likes</x:v>
      </x:c>
      <x:c r="I129" s="31" t="n">
        <x:v>0.00023602659999999998</x:v>
      </x:c>
      <x:c r="J129" s="31" t="n">
        <x:v>0.00023602659999999998</x:v>
      </x:c>
      <x:c r="K129" s="31" t="n">
        <x:v>0</x:v>
      </x:c>
      <x:c r="L129" s="31" t="n">
        <x:v>0.00023602659999999998</x:v>
      </x:c>
      <x:c r="M129" s="31" t="n">
        <x:v>0</x:v>
      </x:c>
      <x:c r="N129" s="24" t="str">
        <x:v>carangidae</x:v>
      </x:c>
      <x:c r="O129" s="32" t="n">
        <x:v>4.05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Carangidae</x:v>
      </x:c>
      <x:c r="T129" s="32" t="n">
        <x:f>IF(O129="","",(1/'Metadata'!$B$5)^(O129-1))</x:f>
        <x:v>1122.018454301963</x:v>
      </x:c>
      <x:c r="U129" s="31" t="n">
        <x:f>IF(T129="","",I129*T129)</x:f>
        <x:v>0.26482620090614767</x:v>
      </x:c>
    </x:row>
    <x:row r="130" ht="18" customHeight="1">
      <x:c r="A130" s="24" t="str">
        <x:v>EEZ_152</x:v>
      </x:c>
      <x:c r="B130" s="24" t="str">
        <x:v>Chile (mainland)</x:v>
      </x:c>
      <x:c r="C130" s="24" t="str">
        <x:v>EEZ</x:v>
      </x:c>
      <x:c r="D130" s="30" t="n">
        <x:v>2019</x:v>
      </x:c>
      <x:c r="E130" s="24" t="str">
        <x:v>Carcharhinus longimanus</x:v>
      </x:c>
      <x:c r="F130" s="24" t="str">
        <x:v>Oceanic whitetip shark</x:v>
      </x:c>
      <x:c r="G130" s="24" t="str">
        <x:v>Large sharks (&gt;=90 cm)</x:v>
      </x:c>
      <x:c r="H130" s="24" t="str">
        <x:v>Sharks &amp; rays</x:v>
      </x:c>
      <x:c r="I130" s="31" t="n">
        <x:v>0.0000129509</x:v>
      </x:c>
      <x:c r="J130" s="31" t="n">
        <x:v>0</x:v>
      </x:c>
      <x:c r="K130" s="31" t="n">
        <x:v>0.0000129509</x:v>
      </x:c>
      <x:c r="L130" s="31" t="n">
        <x:v>0</x:v>
      </x:c>
      <x:c r="M130" s="31" t="n">
        <x:v>0.0000129509</x:v>
      </x:c>
      <x:c r="N130" s="24" t="str">
        <x:v>carcharhinus longimanus</x:v>
      </x:c>
      <x:c r="O130" s="32" t="n">
        <x:v>4.16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Carcharhinus longimanus</x:v>
      </x:c>
      <x:c r="T130" s="32" t="n">
        <x:f>IF(O130="","",(1/'Metadata'!$B$5)^(O130-1))</x:f>
        <x:v>1445.439770745928</x:v>
      </x:c>
      <x:c r="U130" s="31" t="n">
        <x:f>IF(T130="","",I130*T130)</x:f>
        <x:v>0.018719745926953437</x:v>
      </x:c>
    </x:row>
  </x:sheetData>
  <x:conditionalFormatting sqref="R2:R1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92eb66da4324aa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656453.6225315363</x:v>
      </x:c>
      <x:c r="C2" s="32" t="n">
        <x:v>2.7</x:v>
      </x:c>
      <x:c r="D2" s="32" t="n">
        <x:f>IF(C2="","",(1/'Metadata'!$B$5)^(C2-1))</x:f>
        <x:v>50.11872336272725</x:v>
      </x:c>
      <x:c r="E2" s="31" t="n">
        <x:f>IF(B2=0,"",B2*D2)</x:f>
        <x:v>32900617.508118242</x:v>
      </x:c>
    </x:row>
    <x:row r="3" ht="18" customHeight="1">
      <x:c r="A3" s="24" t="str">
        <x:v>Cod-likes</x:v>
      </x:c>
      <x:c r="B3" s="31" t="n">
        <x:v>33878.09256881639</x:v>
      </x:c>
      <x:c r="C3" s="32" t="n">
        <x:v>4.286168448889089</x:v>
      </x:c>
      <x:c r="D3" s="32" t="n">
        <x:f>IF(C3="","",(1/'Metadata'!$B$5)^(C3-1))</x:f>
        <x:v>1932.7178108556495</x:v>
      </x:c>
      <x:c r="E3" s="31" t="n">
        <x:f>IF(B3=0,"",B3*D3)</x:f>
        <x:v>65476792.90556786</x:v>
      </x:c>
    </x:row>
    <x:row r="4" ht="18" customHeight="1">
      <x:c r="A4" s="24" t="str">
        <x:v>Crustaceans</x:v>
      </x:c>
      <x:c r="B4" s="31" t="n">
        <x:v>24123.142213002</x:v>
      </x:c>
      <x:c r="C4" s="32" t="n">
        <x:v>2.714021171400725</x:v>
      </x:c>
      <x:c r="D4" s="32" t="n">
        <x:f>IF(C4="","",(1/'Metadata'!$B$5)^(C4-1))</x:f>
        <x:v>51.76320653560677</x:v>
      </x:c>
      <x:c r="E4" s="31" t="n">
        <x:f>IF(B4=0,"",B4*D4)</x:f>
        <x:v>1248691.1926594367</x:v>
      </x:c>
    </x:row>
    <x:row r="5" ht="18" customHeight="1">
      <x:c r="A5" s="24" t="str">
        <x:v>Flatfishes</x:v>
      </x:c>
      <x:c r="B5" s="31" t="n">
        <x:v>462.6312098438</x:v>
      </x:c>
      <x:c r="C5" s="32" t="n">
        <x:v>3.8747905927350694</x:v>
      </x:c>
      <x:c r="D5" s="32" t="n">
        <x:f>IF(C5="","",(1/'Metadata'!$B$5)^(C5-1))</x:f>
        <x:v>749.5327139670163</x:v>
      </x:c>
      <x:c r="E5" s="31" t="n">
        <x:f>IF(B5=0,"",B5*D5)</x:f>
        <x:v>346757.22628006764</x:v>
      </x:c>
    </x:row>
    <x:row r="6" ht="18" customHeight="1">
      <x:c r="A6" s="24" t="str">
        <x:v>Herring-likes</x:v>
      </x:c>
      <x:c r="B6" s="31" t="n">
        <x:v>368387.87866607716</x:v>
      </x:c>
      <x:c r="C6" s="32" t="n">
        <x:v>2.1220631729885557</x:v>
      </x:c>
      <x:c r="D6" s="32" t="n">
        <x:f>IF(C6="","",(1/'Metadata'!$B$5)^(C6-1))</x:f>
        <x:v>13.245341894909071</x:v>
      </x:c>
      <x:c r="E6" s="31" t="n">
        <x:f>IF(B6=0,"",B6*D6)</x:f>
        <x:v>4879423.402872471</x:v>
      </x:c>
    </x:row>
    <x:row r="7" ht="18" customHeight="1">
      <x:c r="A7" s="24" t="str">
        <x:v>Molluscs</x:v>
      </x:c>
      <x:c r="B7" s="31" t="n">
        <x:v>42955.968478907496</x:v>
      </x:c>
      <x:c r="C7" s="32" t="n">
        <x:v>2.089445667642728</x:v>
      </x:c>
      <x:c r="D7" s="32" t="n">
        <x:f>IF(C7="","",(1/'Metadata'!$B$5)^(C7-1))</x:f>
        <x:v>12.286994606692046</x:v>
      </x:c>
      <x:c r="E7" s="31" t="n">
        <x:f>IF(B7=0,"",B7*D7)</x:f>
        <x:v>527799.75302557</x:v>
      </x:c>
    </x:row>
    <x:row r="8" ht="18" customHeight="1">
      <x:c r="A8" s="24" t="str">
        <x:v>Other fishes &amp; inverts</x:v>
      </x:c>
      <x:c r="B8" s="31" t="n">
        <x:v>80999.87387526801</x:v>
      </x:c>
      <x:c r="C8" s="32" t="n">
        <x:v>3.0945230458365995</x:v>
      </x:c>
      <x:c r="D8" s="32" t="n">
        <x:f>IF(C8="","",(1/'Metadata'!$B$5)^(C8-1))</x:f>
        <x:v>124.31486017746823</x:v>
      </x:c>
      <x:c r="E8" s="31" t="n">
        <x:f>IF(B8=0,"",B8*D8)</x:f>
        <x:v>10069487.995196505</x:v>
      </x:c>
    </x:row>
    <x:row r="9" ht="18" customHeight="1">
      <x:c r="A9" s="24" t="str">
        <x:v>Perch-likes</x:v>
      </x:c>
      <x:c r="B9" s="31" t="n">
        <x:v>426498.32474615483</x:v>
      </x:c>
      <x:c r="C9" s="32" t="n">
        <x:v>3.4301377449739543</x:v>
      </x:c>
      <x:c r="D9" s="32" t="n">
        <x:f>IF(C9="","",(1/'Metadata'!$B$5)^(C9-1))</x:f>
        <x:v>269.238861213241</x:v>
      </x:c>
      <x:c r="E9" s="31" t="n">
        <x:f>IF(B9=0,"",B9*D9)</x:f>
        <x:v>114829923.26400977</x:v>
      </x:c>
    </x:row>
    <x:row r="10" ht="18" customHeight="1">
      <x:c r="A10" s="24" t="str">
        <x:v>Salmon, smelts, etc</x:v>
      </x:c>
      <x:c r="B10" s="31" t="n">
        <x:v>1</x:v>
      </x:c>
      <x:c r="C10" s="32" t="n">
        <x:v>3.16</x:v>
      </x:c>
      <x:c r="D10" s="32" t="n">
        <x:f>IF(C10="","",(1/'Metadata'!$B$5)^(C10-1))</x:f>
        <x:v>144.5439770745928</x:v>
      </x:c>
      <x:c r="E10" s="31" t="n">
        <x:f>IF(B10=0,"",B10*D10)</x:f>
        <x:v>144.5439770745928</x:v>
      </x:c>
    </x:row>
    <x:row r="11" ht="18" customHeight="1">
      <x:c r="A11" s="24" t="str">
        <x:v>Scorpionfishes</x:v>
      </x:c>
      <x:c r="B11" s="31" t="n">
        <x:v>11987.664587635301</x:v>
      </x:c>
      <x:c r="C11" s="32" t="n">
        <x:v>2.7502476209643554</x:v>
      </x:c>
      <x:c r="D11" s="32" t="n">
        <x:f>IF(C11="","",(1/'Metadata'!$B$5)^(C11-1))</x:f>
        <x:v>56.26620458346324</x:v>
      </x:c>
      <x:c r="E11" s="31" t="n">
        <x:f>IF(B11=0,"",B11*D11)</x:f>
        <x:v>674500.3881658254</x:v>
      </x:c>
    </x:row>
    <x:row r="12" ht="18" customHeight="1">
      <x:c r="A12" s="24" t="str">
        <x:v>Sharks &amp; rays</x:v>
      </x:c>
      <x:c r="B12" s="31" t="n">
        <x:v>1819.9267933051</x:v>
      </x:c>
      <x:c r="C12" s="32" t="n">
        <x:v>4.0447585408542235</x:v>
      </x:c>
      <x:c r="D12" s="32" t="n">
        <x:f>IF(C12="","",(1/'Metadata'!$B$5)^(C12-1))</x:f>
        <x:v>1108.5583073928838</x:v>
      </x:c>
      <x:c r="E12" s="31" t="n">
        <x:f>IF(B12=0,"",B12*D12)</x:f>
        <x:v>2017494.9655652603</x:v>
      </x:c>
    </x:row>
    <x:row r="13" ht="18" customHeight="1">
      <x:c r="A13" s="24" t="str">
        <x:v>Tuna &amp; billfishes</x:v>
      </x:c>
      <x:c r="B13" s="31" t="n">
        <x:v>6647.4144558419</x:v>
      </x:c>
      <x:c r="C13" s="32" t="n">
        <x:v>4.527897234448304</x:v>
      </x:c>
      <x:c r="D13" s="32" t="n">
        <x:f>IF(C13="","",(1/'Metadata'!$B$5)^(C13-1))</x:f>
        <x:v>3372.0750700997237</x:v>
      </x:c>
      <x:c r="E13" s="31" t="n">
        <x:f>IF(B13=0,"",B13*D13)</x:f>
        <x:v>22415580.56716499</x:v>
      </x:c>
    </x:row>
  </x:sheetData>
  <x:pageMargins left="0.7" right="0.7" top="0.75" bottom="0.75" header="0.3" footer="0.3"/>
  <x:tableParts count="1">
    <x:tablePart xmlns:r="http://schemas.openxmlformats.org/officeDocument/2006/relationships" r:id="R7e68ff2a54c444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35375.5498073437</x:v>
      </x:c>
      <x:c r="C2" s="32" t="n">
        <x:v>4.129264353596334</x:v>
      </x:c>
      <x:c r="D2" s="32" t="n">
        <x:f>IF(C2="","",(1/'Metadata'!$B$5)^(C2-1))</x:f>
        <x:v>1346.679824124136</x:v>
      </x:c>
      <x:c r="E2" s="31" t="n">
        <x:f>IF(B2=0,"",B2*D2)</x:f>
        <x:v>47639539.19284823</x:v>
      </x:c>
    </x:row>
    <x:row r="3" ht="18" customHeight="1">
      <x:c r="A3" s="24" t="str">
        <x:v>Large bathydemersals (&gt;=90 cm)</x:v>
      </x:c>
      <x:c r="B3" s="31" t="n">
        <x:v>2475.6957442775</x:v>
      </x:c>
      <x:c r="C3" s="32" t="n">
        <x:v>4.038293681152733</x:v>
      </x:c>
      <x:c r="D3" s="32" t="n">
        <x:f>IF(C3="","",(1/'Metadata'!$B$5)^(C3-1))</x:f>
        <x:v>1092.1786462157957</x:v>
      </x:c>
      <x:c r="E3" s="31" t="n">
        <x:f>IF(B3=0,"",B3*D3)</x:f>
        <x:v>2703902.0264272066</x:v>
      </x:c>
    </x:row>
    <x:row r="4" ht="18" customHeight="1">
      <x:c r="A4" s="24" t="str">
        <x:v>Large bathypelagics (&gt;=90 cm)</x:v>
      </x:c>
      <x:c r="B4" s="31" t="n">
        <x:v>88.6407970137</x:v>
      </x:c>
      <x:c r="C4" s="32" t="n">
        <x:v>4.22</x:v>
      </x:c>
      <x:c r="D4" s="32" t="n">
        <x:f>IF(C4="","",(1/'Metadata'!$B$5)^(C4-1))</x:f>
        <x:v>1659.5869074375596</x:v>
      </x:c>
      <x:c r="E4" s="31" t="n">
        <x:f>IF(B4=0,"",B4*D4)</x:f>
        <x:v>147107.10618876683</x:v>
      </x:c>
    </x:row>
    <x:row r="5" ht="18" customHeight="1">
      <x:c r="A5" s="24" t="str">
        <x:v>Large benthopelagics (&gt;=90 cm)</x:v>
      </x:c>
      <x:c r="B5" s="31" t="n">
        <x:v>15144.0251835121</x:v>
      </x:c>
      <x:c r="C5" s="32" t="n">
        <x:v>4.160789335197939</x:v>
      </x:c>
      <x:c r="D5" s="32" t="n">
        <x:f>IF(C5="","",(1/'Metadata'!$B$5)^(C5-1))</x:f>
        <x:v>1448.0692629364662</x:v>
      </x:c>
      <x:c r="E5" s="31" t="n">
        <x:f>IF(B5=0,"",B5*D5)</x:f>
        <x:v>21929597.38537965</x:v>
      </x:c>
    </x:row>
    <x:row r="6" ht="18" customHeight="1">
      <x:c r="A6" s="24" t="str">
        <x:v>Large pelagics (&gt;=90 cm)</x:v>
      </x:c>
      <x:c r="B6" s="31" t="n">
        <x:v>6453.1171593420995</x:v>
      </x:c>
      <x:c r="C6" s="32" t="n">
        <x:v>4.52903828458211</x:v>
      </x:c>
      <x:c r="D6" s="32" t="n">
        <x:f>IF(C6="","",(1/'Metadata'!$B$5)^(C6-1))</x:f>
        <x:v>3380.9463912084047</x:v>
      </x:c>
      <x:c r="E6" s="31" t="n">
        <x:f>IF(B6=0,"",B6*D6)</x:f>
        <x:v>21817643.171922702</x:v>
      </x:c>
    </x:row>
    <x:row r="7" ht="18" customHeight="1">
      <x:c r="A7" s="24" t="str">
        <x:v>Large rays (&gt;=90 cm)</x:v>
      </x:c>
      <x:c r="B7" s="31" t="n">
        <x:v>63.274719686</x:v>
      </x:c>
      <x:c r="C7" s="32" t="n">
        <x:v>4.133872960818129</x:v>
      </x:c>
      <x:c r="D7" s="32" t="n">
        <x:f>IF(C7="","",(1/'Metadata'!$B$5)^(C7-1))</x:f>
        <x:v>1361.0464929154073</x:v>
      </x:c>
      <x:c r="E7" s="31" t="n">
        <x:f>IF(B7=0,"",B7*D7)</x:f>
        <x:v>86119.83531883577</x:v>
      </x:c>
    </x:row>
    <x:row r="8" ht="18" customHeight="1">
      <x:c r="A8" s="24" t="str">
        <x:v>Large reef assoc. fish (&gt;=90 cm)</x:v>
      </x:c>
      <x:c r="B8" s="31" t="n">
        <x:v>1</x:v>
      </x:c>
      <x:c r="C8" s="32" t="n">
        <x:v>3.16</x:v>
      </x:c>
      <x:c r="D8" s="32" t="n">
        <x:f>IF(C8="","",(1/'Metadata'!$B$5)^(C8-1))</x:f>
        <x:v>144.5439770745928</x:v>
      </x:c>
      <x:c r="E8" s="31" t="n">
        <x:f>IF(B8=0,"",B8*D8)</x:f>
        <x:v>144.5439770745928</x:v>
      </x:c>
    </x:row>
    <x:row r="9" ht="18" customHeight="1">
      <x:c r="A9" s="24" t="str">
        <x:v>Large sharks (&gt;=90 cm)</x:v>
      </x:c>
      <x:c r="B9" s="31" t="n">
        <x:v>550.3173362274999</x:v>
      </x:c>
      <x:c r="C9" s="32" t="n">
        <x:v>4.451694896822223</x:v>
      </x:c>
      <x:c r="D9" s="32" t="n">
        <x:f>IF(C9="","",(1/'Metadata'!$B$5)^(C9-1))</x:f>
        <x:v>2829.4035677671086</x:v>
      </x:c>
      <x:c r="E9" s="31" t="n">
        <x:f>IF(B9=0,"",B9*D9)</x:f>
        <x:v>1557069.8345261798</x:v>
      </x:c>
    </x:row>
    <x:row r="10" ht="18" customHeight="1">
      <x:c r="A10" s="24" t="str">
        <x:v>Lobsters, crabs</x:v>
      </x:c>
      <x:c r="B10" s="31" t="n">
        <x:v>22576.6977935064</x:v>
      </x:c>
      <x:c r="C10" s="32" t="n">
        <x:v>2.7450129476876066</x:v>
      </x:c>
      <x:c r="D10" s="32" t="n">
        <x:f>IF(C10="","",(1/'Metadata'!$B$5)^(C10-1))</x:f>
        <x:v>55.59208307758383</x:v>
      </x:c>
      <x:c r="E10" s="31" t="n">
        <x:f>IF(B10=0,"",B10*D10)</x:f>
        <x:v>1255085.6593541112</x:v>
      </x:c>
    </x:row>
    <x:row r="11" ht="18" customHeight="1">
      <x:c r="A11" s="24" t="str">
        <x:v>Medium bathydemersals (30 - 89 cm)</x:v>
      </x:c>
      <x:c r="B11" s="31" t="n">
        <x:v>22593.8517934733</x:v>
      </x:c>
      <x:c r="C11" s="32" t="n">
        <x:v>4.2600001397368255</x:v>
      </x:c>
      <x:c r="D11" s="32" t="n">
        <x:f>IF(C11="","",(1/'Metadata'!$B$5)^(C11-1))</x:f>
        <x:v>1819.701444109622</x:v>
      </x:c>
      <x:c r="E11" s="31" t="n">
        <x:f>IF(B11=0,"",B11*D11)</x:f>
        <x:v>41114064.73658213</x:v>
      </x:c>
    </x:row>
    <x:row r="12" ht="18" customHeight="1">
      <x:c r="A12" s="24" t="str">
        <x:v>Medium bathypelagics (30 - 89 cm)</x:v>
      </x:c>
      <x:c r="B12" s="31" t="n">
        <x:v>116.1485579097</x:v>
      </x:c>
      <x:c r="C12" s="32" t="n">
        <x:v>3.9939201691322332</x:v>
      </x:c>
      <x:c r="D12" s="32" t="n">
        <x:f>IF(C12="","",(1/'Metadata'!$B$5)^(C12-1))</x:f>
        <x:v>986.0982069955336</x:v>
      </x:c>
      <x:c r="E12" s="31" t="n">
        <x:f>IF(B12=0,"",B12*D12)</x:f>
        <x:v>114533.88469987207</x:v>
      </x:c>
    </x:row>
    <x:row r="13" ht="18" customHeight="1">
      <x:c r="A13" s="24" t="str">
        <x:v>Medium benthopelagics (30 - 89 cm)</x:v>
      </x:c>
      <x:c r="B13" s="31" t="n">
        <x:v>287.1130472708</x:v>
      </x:c>
      <x:c r="C13" s="32" t="n">
        <x:v>3.653489583056217</x:v>
      </x:c>
      <x:c r="D13" s="32" t="n">
        <x:f>IF(C13="","",(1/'Metadata'!$B$5)^(C13-1))</x:f>
        <x:v>450.2871806155112</x:v>
      </x:c>
      <x:c r="E13" s="31" t="n">
        <x:f>IF(B13=0,"",B13*D13)</x:f>
        <x:v>129283.32457349652</x:v>
      </x:c>
    </x:row>
    <x:row r="14" ht="18" customHeight="1">
      <x:c r="A14" s="24" t="str">
        <x:v>Medium demersals (30 - 89 cm)</x:v>
      </x:c>
      <x:c r="B14" s="31" t="n">
        <x:v>7183.177107052601</x:v>
      </x:c>
      <x:c r="C14" s="32" t="n">
        <x:v>3.34717835136329</x:v>
      </x:c>
      <x:c r="D14" s="32" t="n">
        <x:f>IF(C14="","",(1/'Metadata'!$B$5)^(C14-1))</x:f>
        <x:v>222.42231230296306</x:v>
      </x:c>
      <x:c r="E14" s="31" t="n">
        <x:f>IF(B14=0,"",B14*D14)</x:f>
        <x:v>1597698.8618323484</x:v>
      </x:c>
    </x:row>
    <x:row r="15" ht="18" customHeight="1">
      <x:c r="A15" s="24" t="str">
        <x:v>Medium pelagics (30 - 89 cm)</x:v>
      </x:c>
      <x:c r="B15" s="31" t="n">
        <x:v>419746.0016306098</x:v>
      </x:c>
      <x:c r="C15" s="32" t="n">
        <x:v>3.4197134885073917</x:v>
      </x:c>
      <x:c r="D15" s="32" t="n">
        <x:f>IF(C15="","",(1/'Metadata'!$B$5)^(C15-1))</x:f>
        <x:v>262.85333314004816</x:v>
      </x:c>
      <x:c r="E15" s="31" t="n">
        <x:f>IF(B15=0,"",B15*D15)</x:f>
        <x:v>110331635.60081388</x:v>
      </x:c>
    </x:row>
    <x:row r="16" ht="18" customHeight="1">
      <x:c r="A16" s="24" t="str">
        <x:v>Medium reef assoc. fish (30 - 89 cm)</x:v>
      </x:c>
      <x:c r="B16" s="31" t="n">
        <x:v>0.41019925330000007</x:v>
      </x:c>
      <x:c r="C16" s="32" t="n">
        <x:v>3.784000000143345</x:v>
      </x:c>
      <x:c r="D16" s="32" t="n">
        <x:f>IF(C16="","",(1/'Metadata'!$B$5)^(C16-1))</x:f>
        <x:v>608.1350014794416</x:v>
      </x:c>
      <x:c r="E16" s="31" t="n">
        <x:f>IF(B16=0,"",B16*D16)</x:f>
        <x:v>249.4565235124614</x:v>
      </x:c>
    </x:row>
    <x:row r="17" ht="18" customHeight="1">
      <x:c r="A17" s="24" t="str">
        <x:v>Other demersal invertebrates</x:v>
      </x:c>
      <x:c r="B17" s="31" t="n">
        <x:v>81621.30358631909</x:v>
      </x:c>
      <x:c r="C17" s="32" t="n">
        <x:v>2.0828949439874553</x:v>
      </x:c>
      <x:c r="D17" s="32" t="n">
        <x:f>IF(C17="","",(1/'Metadata'!$B$5)^(C17-1))</x:f>
        <x:v>12.103053247842583</x:v>
      </x:c>
      <x:c r="E17" s="31" t="n">
        <x:f>IF(B17=0,"",B17*D17)</x:f>
        <x:v>987866.9834635447</x:v>
      </x:c>
    </x:row>
    <x:row r="18" ht="18" customHeight="1">
      <x:c r="A18" s="24" t="str">
        <x:v>Shrimps</x:v>
      </x:c>
      <x:c r="B18" s="31" t="n">
        <x:v>1242.0630620495</x:v>
      </x:c>
      <x:c r="C18" s="32" t="n">
        <x:v>2.3256695259369766</x:v>
      </x:c>
      <x:c r="D18" s="32" t="n">
        <x:f>IF(C18="","",(1/'Metadata'!$B$5)^(C18-1))</x:f>
        <x:v>21.167497928224066</x:v>
      </x:c>
      <x:c r="E18" s="31" t="n">
        <x:f>IF(B18=0,"",B18*D18)</x:f>
        <x:v>26291.367292656432</x:v>
      </x:c>
    </x:row>
    <x:row r="19" ht="18" customHeight="1">
      <x:c r="A19" s="24" t="str">
        <x:v>Small benthopelagics (&lt;30 cm)</x:v>
      </x:c>
      <x:c r="B19" s="31" t="n">
        <x:v>3132</x:v>
      </x:c>
      <x:c r="C19" s="32" t="n">
        <x:v>3.59</x:v>
      </x:c>
      <x:c r="D19" s="32" t="n">
        <x:f>IF(C19="","",(1/'Metadata'!$B$5)^(C19-1))</x:f>
        <x:v>389.04514499428046</x:v>
      </x:c>
      <x:c r="E19" s="31" t="n">
        <x:f>IF(B19=0,"",B19*D19)</x:f>
        <x:v>1218489.3941220865</x:v>
      </x:c>
    </x:row>
    <x:row r="20" ht="18" customHeight="1">
      <x:c r="A20" s="24" t="str">
        <x:v>Small demersals (&lt;30 cm)</x:v>
      </x:c>
      <x:c r="B20" s="31" t="n">
        <x:v>11984.666206761001</x:v>
      </x:c>
      <x:c r="C20" s="32" t="n">
        <x:v>2.75</x:v>
      </x:c>
      <x:c r="D20" s="32" t="n">
        <x:f>IF(C20="","",(1/'Metadata'!$B$5)^(C20-1))</x:f>
        <x:v>56.23413251903491</x:v>
      </x:c>
      <x:c r="E20" s="31" t="n">
        <x:f>IF(B20=0,"",B20*D20)</x:f>
        <x:v>673947.3076673975</x:v>
      </x:c>
    </x:row>
    <x:row r="21" ht="18" customHeight="1">
      <x:c r="A21" s="24" t="str">
        <x:v>Small pelagics (&lt;30 cm)</x:v>
      </x:c>
      <x:c r="B21" s="31" t="n">
        <x:v>1021911.5204475449</x:v>
      </x:c>
      <x:c r="C21" s="32" t="n">
        <x:v>2.491699058680329</x:v>
      </x:c>
      <x:c r="D21" s="32" t="n">
        <x:f>IF(C21="","",(1/'Metadata'!$B$5)^(C21-1))</x:f>
        <x:v>31.024090504904702</x:v>
      </x:c>
      <x:c r="E21" s="31" t="n">
        <x:f>IF(B21=0,"",B21*D21)</x:f>
        <x:v>31703875.498369403</x:v>
      </x:c>
    </x:row>
    <x:row r="22" ht="18" customHeight="1">
      <x:c r="A22" s="24" t="str">
        <x:v>Small to medium flatfishes (&lt;90 cm)</x:v>
      </x:c>
      <x:c r="B22" s="31" t="n">
        <x:v>462.6312098438</x:v>
      </x:c>
      <x:c r="C22" s="32" t="n">
        <x:v>3.8747905927350694</x:v>
      </x:c>
      <x:c r="D22" s="32" t="n">
        <x:f>IF(C22="","",(1/'Metadata'!$B$5)^(C22-1))</x:f>
        <x:v>749.5327139670163</x:v>
      </x:c>
      <x:c r="E22" s="31" t="n">
        <x:f>IF(B22=0,"",B22*D22)</x:f>
        <x:v>346757.22628006764</x:v>
      </x:c>
    </x:row>
    <x:row r="23" ht="18" customHeight="1">
      <x:c r="A23" s="24" t="str">
        <x:v>Small to medium rays (&lt;90 cm)</x:v>
      </x:c>
      <x:c r="B23" s="31" t="n">
        <x:v>1206.3347373916</x:v>
      </x:c>
      <x:c r="C23" s="32" t="n">
        <x:v>3.854444182610634</x:v>
      </x:c>
      <x:c r="D23" s="32" t="n">
        <x:f>IF(C23="","",(1/'Metadata'!$B$5)^(C23-1))</x:f>
        <x:v>715.2274640667782</x:v>
      </x:c>
      <x:c r="E23" s="31" t="n">
        <x:f>IF(B23=0,"",B23*D23)</x:f>
        <x:v>862803.7350402569</x:v>
      </x:c>
    </x:row>
  </x:sheetData>
  <x:pageMargins left="0.7" right="0.7" top="0.75" bottom="0.75" header="0.3" footer="0.3"/>
  <x:tableParts count="1">
    <x:tablePart xmlns:r="http://schemas.openxmlformats.org/officeDocument/2006/relationships" r:id="R2b4d908d591541e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EEZ_152</x:v>
      </x:c>
      <x:c r="B2" s="24" t="str">
        <x:v>raw_filtered_tonnes</x:v>
      </x:c>
      <x:c r="C2" s="24" t="n">
        <x:v>1654215.5401263882</x:v>
      </x:c>
      <x:c r="D2" s="24" t="str">
        <x:v>tonnes</x:v>
      </x:c>
    </x:row>
    <x:row r="3" ht="18" customHeight="1">
      <x:c r="A3" s="24" t="str">
        <x:v>EEZ_152</x:v>
      </x:c>
      <x:c r="B3" s="24" t="str">
        <x:v>species_catch_tonnes</x:v>
      </x:c>
      <x:c r="C3" s="24" t="n">
        <x:v>1654215.540126388</x:v>
      </x:c>
      <x:c r="D3" s="24" t="str">
        <x:v>tonnes</x:v>
      </x:c>
    </x:row>
    <x:row r="4" ht="18" customHeight="1">
      <x:c r="A4" s="24" t="str">
        <x:v>EEZ_152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EEZ_152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EEZ_152</x:v>
      </x:c>
      <x:c r="B6" s="24" t="str">
        <x:v>matched_catch_tonnes</x:v>
      </x:c>
      <x:c r="C6" s="24" t="n">
        <x:v>1654215.540126388</x:v>
      </x:c>
      <x:c r="D6" s="24" t="str">
        <x:v>tonnes</x:v>
      </x:c>
    </x:row>
    <x:row r="7" ht="18" customHeight="1">
      <x:c r="A7" s="24" t="str">
        <x:v>EEZ_152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EEZ_152</x:v>
      </x:c>
      <x:c r="B8" s="24" t="str">
        <x:v>taxa_count</x:v>
      </x:c>
      <x:c r="C8" s="24" t="n">
        <x:v>129</x:v>
      </x:c>
      <x:c r="D8" s="24" t="str">
        <x:v>count</x:v>
      </x:c>
    </x:row>
    <x:row r="9" ht="18" customHeight="1">
      <x:c r="A9" s="24" t="str">
        <x:v>EEZ_152</x:v>
      </x:c>
      <x:c r="B9" s="24" t="str">
        <x:v>matched_taxa_count</x:v>
      </x:c>
      <x:c r="C9" s="24" t="n">
        <x:v>129</x:v>
      </x:c>
      <x:c r="D9" s="24" t="str">
        <x:v>count</x:v>
      </x:c>
    </x:row>
    <x:row r="10" ht="18" customHeight="1">
      <x:c r="A10" s="24" t="str">
        <x:v>EEZ_152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EEZ_152</x:v>
      </x:c>
      <x:c r="B11" s="24" t="str">
        <x:v>species_ppr</x:v>
      </x:c>
      <x:c r="C11" s="24" t="n">
        <x:v>345575776.78016967</x:v>
      </x:c>
      <x:c r="D11" s="24" t="str">
        <x:v>tonnes_primary_production_equivalent</x:v>
      </x:c>
    </x:row>
    <x:row r="12" ht="18" customHeight="1">
      <x:c r="A12" s="24" t="str">
        <x:v>EEZ_152</x:v>
      </x:c>
      <x:c r="B12" s="24" t="str">
        <x:v>commercial_ppr</x:v>
      </x:c>
      <x:c r="C12" s="24" t="n">
        <x:v>255387213.71260306</x:v>
      </x:c>
      <x:c r="D12" s="24" t="str">
        <x:v>tonnes_primary_production_equivalent</x:v>
      </x:c>
    </x:row>
    <x:row r="13" ht="18" customHeight="1">
      <x:c r="A13" s="24" t="str">
        <x:v>EEZ_152</x:v>
      </x:c>
      <x:c r="B13" s="24" t="str">
        <x:v>functional_ppr</x:v>
      </x:c>
      <x:c r="C13" s="24" t="n">
        <x:v>286243706.13320345</x:v>
      </x:c>
      <x:c r="D13" s="24" t="str">
        <x:v>tonnes_primary_production_equivalent</x:v>
      </x:c>
    </x:row>
    <x:row r="14" ht="18" customHeight="1">
      <x:c r="A14" s="24" t="str">
        <x:v>EEZ_152</x:v>
      </x:c>
      <x:c r="B14" s="24" t="str">
        <x:v>commercial_ppr_difference</x:v>
      </x:c>
      <x:c r="C14" s="24" t="n">
        <x:v>-90188563.0675666</x:v>
      </x:c>
      <x:c r="D14" s="24" t="str">
        <x:v>tonnes_primary_production_equivalent</x:v>
      </x:c>
    </x:row>
    <x:row r="15" ht="18" customHeight="1">
      <x:c r="A15" s="24" t="str">
        <x:v>EEZ_152</x:v>
      </x:c>
      <x:c r="B15" s="24" t="str">
        <x:v>functional_ppr_difference</x:v>
      </x:c>
      <x:c r="C15" s="24" t="n">
        <x:v>-59332070.64696622</x:v>
      </x:c>
      <x:c r="D15" s="24" t="str">
        <x:v>tonnes_primary_production_equivalent</x:v>
      </x:c>
    </x:row>
    <x:row r="16" ht="18" customHeight="1">
      <x:c r="A16" s="24" t="str">
        <x:v>EEZ_152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EEZ_152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859d42765d844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EEZ_152 - Chile (mainland)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EEZ_152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raw_data/SAU_downloads/EEZ_152-catch.zip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