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6ce8930c0043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e8df41cc63864708"/>
    <x:sheet xmlns:r="http://schemas.openxmlformats.org/officeDocument/2006/relationships" name="Commercial" sheetId="2" r:id="R9acf7cbc42634ddd"/>
    <x:sheet xmlns:r="http://schemas.openxmlformats.org/officeDocument/2006/relationships" name="Functional" sheetId="3" r:id="Redd3ac2f78e3453d"/>
    <x:sheet xmlns:r="http://schemas.openxmlformats.org/officeDocument/2006/relationships" name="Missing TL" sheetId="4" r:id="R261ff52693ef4349"/>
    <x:sheet xmlns:r="http://schemas.openxmlformats.org/officeDocument/2006/relationships" name="Validation" sheetId="5" r:id="R51d1d7b8b0334cbb"/>
    <x:sheet xmlns:r="http://schemas.openxmlformats.org/officeDocument/2006/relationships" name="Metadata" sheetId="6" r:id="Rf445896605c24f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cc4d58c6194a57" /><Relationship Type="http://schemas.openxmlformats.org/officeDocument/2006/relationships/theme" Target="/xl/theme/theme1.xml" Id="R95714603b8b54e33" /><Relationship Type="http://schemas.microsoft.com/office/2022/11/relationships/FeaturePropertyBag" Target="/xl/featurePropertyBag/featurePropertyBag.xml" Id="R0a72ef94c38e4acd" /><Relationship Type="http://schemas.openxmlformats.org/officeDocument/2006/relationships/sharedStrings" Target="/xl/sharedStrings.xml" Id="R963f8108c5be4865" /><Relationship Type="http://schemas.openxmlformats.org/officeDocument/2006/relationships/worksheet" Target="/xl/worksheets/sheet1.xml" Id="Re8df41cc63864708" /><Relationship Type="http://schemas.openxmlformats.org/officeDocument/2006/relationships/worksheet" Target="/xl/worksheets/sheet2.xml" Id="R9acf7cbc42634ddd" /><Relationship Type="http://schemas.openxmlformats.org/officeDocument/2006/relationships/worksheet" Target="/xl/worksheets/sheet3.xml" Id="Redd3ac2f78e3453d" /><Relationship Type="http://schemas.openxmlformats.org/officeDocument/2006/relationships/worksheet" Target="/xl/worksheets/sheet4.xml" Id="R261ff52693ef4349" /><Relationship Type="http://schemas.openxmlformats.org/officeDocument/2006/relationships/worksheet" Target="/xl/worksheets/sheet5.xml" Id="R51d1d7b8b0334cbb" /><Relationship Type="http://schemas.openxmlformats.org/officeDocument/2006/relationships/worksheet" Target="/xl/worksheets/sheet6.xml" Id="Rf445896605c24ff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776SpeciesTable" displayName="EEZ776SpeciesTable" ref="A1:U87" headerRowCount="1" totalsRowCount="0" totalsRowShown="0">
  <x:autoFilter ref="A1:U8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776CommercialTable" displayName="EEZ776CommercialTable" ref="A1:E9" headerRowCount="1" totalsRowCount="0" totalsRowShown="0">
  <x:autoFilter ref="A1:E9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776FunctionalTable" displayName="EEZ776FunctionalTable" ref="A1:E17" headerRowCount="1" totalsRowCount="0" totalsRowShown="0">
  <x:autoFilter ref="A1:E17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776ValidationTable" displayName="EEZ776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d8004010d874d6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471b29348c742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80372a76c01472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d878026db2a481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EEZ_776</x:v>
      </x:c>
      <x:c r="B2" s="24" t="str">
        <x:v>Tonga</x:v>
      </x:c>
      <x:c r="C2" s="24" t="str">
        <x:v>EEZ</x:v>
      </x:c>
      <x:c r="D2" s="30" t="n">
        <x:v>2019</x:v>
      </x:c>
      <x:c r="E2" s="24" t="str">
        <x:v>Elasmobranchii</x:v>
      </x:c>
      <x:c r="F2" s="24" t="str">
        <x:v>Sharks, rays, skates</x:v>
      </x:c>
      <x:c r="G2" s="24" t="str">
        <x:v>Large sharks (&gt;=90 cm)</x:v>
      </x:c>
      <x:c r="H2" s="24" t="str">
        <x:v>Sharks &amp; rays</x:v>
      </x:c>
      <x:c r="I2" s="31" t="n">
        <x:v>1896.2718085012</x:v>
      </x:c>
      <x:c r="J2" s="31" t="n">
        <x:v>1895.2756148336</x:v>
      </x:c>
      <x:c r="K2" s="31" t="n">
        <x:v>0.9961936676</x:v>
      </x:c>
      <x:c r="L2" s="31" t="n">
        <x:v>1895.2756148336</x:v>
      </x:c>
      <x:c r="M2" s="31" t="n">
        <x:v>0.9961936676</x:v>
      </x:c>
      <x:c r="N2" s="24" t="str">
        <x:v>elasmobranchii</x:v>
      </x:c>
      <x:c r="O2" s="32" t="n">
        <x:v>4.05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Elasmobranchii</x:v>
      </x:c>
      <x:c r="T2" s="32" t="n">
        <x:f>IF(O2="","",(1/'Metadata'!$B$5)^(O2-1))</x:f>
        <x:v>1122.018454301963</x:v>
      </x:c>
      <x:c r="U2" s="31" t="n">
        <x:f>IF(T2="","",I2*T2)</x:f>
        <x:v>2127651.9635109045</x:v>
      </x:c>
    </x:row>
    <x:row r="3" ht="18" customHeight="1">
      <x:c r="A3" s="24" t="str">
        <x:v>EEZ_776</x:v>
      </x:c>
      <x:c r="B3" s="24" t="str">
        <x:v>Tonga</x:v>
      </x:c>
      <x:c r="C3" s="24" t="str">
        <x:v>EEZ</x:v>
      </x:c>
      <x:c r="D3" s="30" t="n">
        <x:v>2019</x:v>
      </x:c>
      <x:c r="E3" s="24" t="str">
        <x:v>Thunnus alalunga</x:v>
      </x:c>
      <x:c r="F3" s="24" t="str">
        <x:v>Albacore</x:v>
      </x:c>
      <x:c r="G3" s="24" t="str">
        <x:v>Large pelagics (&gt;=90 cm)</x:v>
      </x:c>
      <x:c r="H3" s="24" t="str">
        <x:v>Tuna &amp; billfishes</x:v>
      </x:c>
      <x:c r="I3" s="31" t="n">
        <x:v>1696.6644575987</x:v>
      </x:c>
      <x:c r="J3" s="31" t="n">
        <x:v>1696.6637394023999</x:v>
      </x:c>
      <x:c r="K3" s="31" t="n">
        <x:v>0.0007181963</x:v>
      </x:c>
      <x:c r="L3" s="31" t="n">
        <x:v>1696.6637394023999</x:v>
      </x:c>
      <x:c r="M3" s="31" t="n">
        <x:v>0.0007181963</x:v>
      </x:c>
      <x:c r="N3" s="24" t="str">
        <x:v>thunnus alalunga</x:v>
      </x:c>
      <x:c r="O3" s="32" t="n">
        <x:v>4.3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Thunnus alalunga</x:v>
      </x:c>
      <x:c r="T3" s="32" t="n">
        <x:f>IF(O3="","",(1/'Metadata'!$B$5)^(O3-1))</x:f>
        <x:v>1995.2623149688789</x:v>
      </x:c>
      <x:c r="U3" s="31" t="n">
        <x:f>IF(T3="","",I3*T3)</x:f>
        <x:v>3385290.6533937994</x:v>
      </x:c>
    </x:row>
    <x:row r="4" ht="18" customHeight="1">
      <x:c r="A4" s="24" t="str">
        <x:v>EEZ_776</x:v>
      </x:c>
      <x:c r="B4" s="24" t="str">
        <x:v>Tonga</x:v>
      </x:c>
      <x:c r="C4" s="24" t="str">
        <x:v>EEZ</x:v>
      </x:c>
      <x:c r="D4" s="30" t="n">
        <x:v>2019</x:v>
      </x:c>
      <x:c r="E4" s="24" t="str">
        <x:v>Prionace glauca</x:v>
      </x:c>
      <x:c r="F4" s="24" t="str">
        <x:v>Blue shark</x:v>
      </x:c>
      <x:c r="G4" s="24" t="str">
        <x:v>Large sharks (&gt;=90 cm)</x:v>
      </x:c>
      <x:c r="H4" s="24" t="str">
        <x:v>Sharks &amp; rays</x:v>
      </x:c>
      <x:c r="I4" s="31" t="n">
        <x:v>1588.5488281004</x:v>
      </x:c>
      <x:c r="J4" s="31" t="n">
        <x:v>934.0486087105</x:v>
      </x:c>
      <x:c r="K4" s="31" t="n">
        <x:v>654.5002193899</x:v>
      </x:c>
      <x:c r="L4" s="31" t="n">
        <x:v>934.0486087105</x:v>
      </x:c>
      <x:c r="M4" s="31" t="n">
        <x:v>654.5002193899</x:v>
      </x:c>
      <x:c r="N4" s="24" t="str">
        <x:v>prionace glauca</x:v>
      </x:c>
      <x:c r="O4" s="32" t="n">
        <x:v>4.35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Prionace glauca</x:v>
      </x:c>
      <x:c r="T4" s="32" t="n">
        <x:f>IF(O4="","",(1/'Metadata'!$B$5)^(O4-1))</x:f>
        <x:v>2238.7211385683377</x:v>
      </x:c>
      <x:c r="U4" s="31" t="n">
        <x:f>IF(T4="","",I4*T4)</x:f>
        <x:v>3556317.841116326</x:v>
      </x:c>
    </x:row>
    <x:row r="5" ht="18" customHeight="1">
      <x:c r="A5" s="24" t="str">
        <x:v>EEZ_776</x:v>
      </x:c>
      <x:c r="B5" s="24" t="str">
        <x:v>Tonga</x:v>
      </x:c>
      <x:c r="C5" s="24" t="str">
        <x:v>EEZ</x:v>
      </x:c>
      <x:c r="D5" s="30" t="n">
        <x:v>2019</x:v>
      </x:c>
      <x:c r="E5" s="24" t="str">
        <x:v>Mollusca</x:v>
      </x:c>
      <x:c r="F5" s="24" t="str">
        <x:v>Clams, seasnails, squids, octopuses</x:v>
      </x:c>
      <x:c r="G5" s="24" t="str">
        <x:v>Other demersal invertebrates</x:v>
      </x:c>
      <x:c r="H5" s="24" t="str">
        <x:v>Molluscs</x:v>
      </x:c>
      <x:c r="I5" s="31" t="n">
        <x:v>1180.8186686616</x:v>
      </x:c>
      <x:c r="J5" s="31" t="n">
        <x:v>1180.8186686616</x:v>
      </x:c>
      <x:c r="K5" s="31" t="n">
        <x:v>0</x:v>
      </x:c>
      <x:c r="L5" s="31" t="n">
        <x:v>3</x:v>
      </x:c>
      <x:c r="M5" s="31" t="n">
        <x:v>1177.8186686616</x:v>
      </x:c>
      <x:c r="N5" s="24" t="str">
        <x:v>mollusca</x:v>
      </x:c>
      <x:c r="O5" s="32" t="n">
        <x:v>2.1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Mollusca</x:v>
      </x:c>
      <x:c r="T5" s="32" t="n">
        <x:f>IF(O5="","",(1/'Metadata'!$B$5)^(O5-1))</x:f>
        <x:v>12.589254117941675</x:v>
      </x:c>
      <x:c r="U5" s="31" t="n">
        <x:f>IF(T5="","",I5*T5)</x:f>
        <x:v>14865.626286990453</x:v>
      </x:c>
    </x:row>
    <x:row r="6" ht="18" customHeight="1">
      <x:c r="A6" s="24" t="str">
        <x:v>EEZ_776</x:v>
      </x:c>
      <x:c r="B6" s="24" t="str">
        <x:v>Tonga</x:v>
      </x:c>
      <x:c r="C6" s="24" t="str">
        <x:v>EEZ</x:v>
      </x:c>
      <x:c r="D6" s="30" t="n">
        <x:v>2019</x:v>
      </x:c>
      <x:c r="E6" s="24" t="str">
        <x:v>Marine fishes not identified</x:v>
      </x:c>
      <x:c r="F6" s="24" t="str">
        <x:v>Marine fishes nei</x:v>
      </x:c>
      <x:c r="G6" s="24" t="str">
        <x:v>Medium demersals (30 - 89 cm)</x:v>
      </x:c>
      <x:c r="H6" s="24" t="str">
        <x:v>Other fishes &amp; inverts</x:v>
      </x:c>
      <x:c r="I6" s="31" t="n">
        <x:v>1054.2813902374</x:v>
      </x:c>
      <x:c r="J6" s="31" t="n">
        <x:v>726.0883537536</x:v>
      </x:c>
      <x:c r="K6" s="31" t="n">
        <x:v>328.1930364838</x:v>
      </x:c>
      <x:c r="L6" s="31" t="n">
        <x:v>528.0951173684999</x:v>
      </x:c>
      <x:c r="M6" s="31" t="n">
        <x:v>526.1862728689</x:v>
      </x:c>
      <x:c r="N6" s="24" t="str">
        <x:v>marine fishes not identified</x:v>
      </x:c>
      <x:c r="O6" s="32" t="n">
        <x:v>3.28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Marine fishes not identified</x:v>
      </x:c>
      <x:c r="T6" s="32" t="n">
        <x:f>IF(O6="","",(1/'Metadata'!$B$5)^(O6-1))</x:f>
        <x:v>190.54607179632464</x:v>
      </x:c>
      <x:c r="U6" s="31" t="n">
        <x:f>IF(T6="","",I6*T6)</x:f>
        <x:v>200889.1774777046</x:v>
      </x:c>
    </x:row>
    <x:row r="7" ht="18" customHeight="1">
      <x:c r="A7" s="24" t="str">
        <x:v>EEZ_776</x:v>
      </x:c>
      <x:c r="B7" s="24" t="str">
        <x:v>Tonga</x:v>
      </x:c>
      <x:c r="C7" s="24" t="str">
        <x:v>EEZ</x:v>
      </x:c>
      <x:c r="D7" s="30" t="n">
        <x:v>2019</x:v>
      </x:c>
      <x:c r="E7" s="24" t="str">
        <x:v>Thunnus albacares</x:v>
      </x:c>
      <x:c r="F7" s="24" t="str">
        <x:v>Yellowfin tuna</x:v>
      </x:c>
      <x:c r="G7" s="24" t="str">
        <x:v>Large pelagics (&gt;=90 cm)</x:v>
      </x:c>
      <x:c r="H7" s="24" t="str">
        <x:v>Tuna &amp; billfishes</x:v>
      </x:c>
      <x:c r="I7" s="31" t="n">
        <x:v>966.7141064768</x:v>
      </x:c>
      <x:c r="J7" s="31" t="n">
        <x:v>958.1949203581</x:v>
      </x:c>
      <x:c r="K7" s="31" t="n">
        <x:v>8.5191861187</x:v>
      </x:c>
      <x:c r="L7" s="31" t="n">
        <x:v>858.6443178851</x:v>
      </x:c>
      <x:c r="M7" s="31" t="n">
        <x:v>108.0697885917</x:v>
      </x:c>
      <x:c r="N7" s="24" t="str">
        <x:v>thunnus albacares</x:v>
      </x:c>
      <x:c r="O7" s="32" t="n">
        <x:v>4.41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Thunnus albacares</x:v>
      </x:c>
      <x:c r="T7" s="32" t="n">
        <x:f>IF(O7="","",(1/'Metadata'!$B$5)^(O7-1))</x:f>
        <x:v>2570.3957827688646</x:v>
      </x:c>
      <x:c r="U7" s="31" t="n">
        <x:f>IF(T7="","",I7*T7)</x:f>
        <x:v>2484837.862431138</x:v>
      </x:c>
    </x:row>
    <x:row r="8" ht="18" customHeight="1">
      <x:c r="A8" s="24" t="str">
        <x:v>EEZ_776</x:v>
      </x:c>
      <x:c r="B8" s="24" t="str">
        <x:v>Tonga</x:v>
      </x:c>
      <x:c r="C8" s="24" t="str">
        <x:v>EEZ</x:v>
      </x:c>
      <x:c r="D8" s="30" t="n">
        <x:v>2019</x:v>
      </x:c>
      <x:c r="E8" s="24" t="str">
        <x:v>Scarus</x:v>
      </x:c>
      <x:c r="F8" s="24" t="str">
        <x:v>Parrots</x:v>
      </x:c>
      <x:c r="G8" s="24" t="str">
        <x:v>Medium reef assoc. fish (30 - 89 cm)</x:v>
      </x:c>
      <x:c r="H8" s="24" t="str">
        <x:v>Perch-likes</x:v>
      </x:c>
      <x:c r="I8" s="31" t="n">
        <x:v>690.3189962015</x:v>
      </x:c>
      <x:c r="J8" s="31" t="n">
        <x:v>690.3189962015</x:v>
      </x:c>
      <x:c r="K8" s="31" t="n">
        <x:v>0</x:v>
      </x:c>
      <x:c r="L8" s="31" t="n">
        <x:v>89.6048415488</x:v>
      </x:c>
      <x:c r="M8" s="31" t="n">
        <x:v>600.7141546527</x:v>
      </x:c>
      <x:c r="N8" s="24" t="str">
        <x:v>scarus</x:v>
      </x:c>
      <x:c r="O8" s="32" t="n">
        <x:v>2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Scarus</x:v>
      </x:c>
      <x:c r="T8" s="32" t="n">
        <x:f>IF(O8="","",(1/'Metadata'!$B$5)^(O8-1))</x:f>
        <x:v>10</x:v>
      </x:c>
      <x:c r="U8" s="31" t="n">
        <x:f>IF(T8="","",I8*T8)</x:f>
        <x:v>6903.189962015</x:v>
      </x:c>
    </x:row>
    <x:row r="9" ht="18" customHeight="1">
      <x:c r="A9" s="24" t="str">
        <x:v>EEZ_776</x:v>
      </x:c>
      <x:c r="B9" s="24" t="str">
        <x:v>Tonga</x:v>
      </x:c>
      <x:c r="C9" s="24" t="str">
        <x:v>EEZ</x:v>
      </x:c>
      <x:c r="D9" s="30" t="n">
        <x:v>2019</x:v>
      </x:c>
      <x:c r="E9" s="24" t="str">
        <x:v>Katsuwonus pelamis</x:v>
      </x:c>
      <x:c r="F9" s="24" t="str">
        <x:v>Skipjack tuna</x:v>
      </x:c>
      <x:c r="G9" s="24" t="str">
        <x:v>Large pelagics (&gt;=90 cm)</x:v>
      </x:c>
      <x:c r="H9" s="24" t="str">
        <x:v>Tuna &amp; billfishes</x:v>
      </x:c>
      <x:c r="I9" s="31" t="n">
        <x:v>554.6991365397</x:v>
      </x:c>
      <x:c r="J9" s="31" t="n">
        <x:v>554.3254859719</x:v>
      </x:c>
      <x:c r="K9" s="31" t="n">
        <x:v>0.3736505678</x:v>
      </x:c>
      <x:c r="L9" s="31" t="n">
        <x:v>189.4537697093</x:v>
      </x:c>
      <x:c r="M9" s="31" t="n">
        <x:v>365.2453668304</x:v>
      </x:c>
      <x:c r="N9" s="24" t="str">
        <x:v>katsuwonus pelamis</x:v>
      </x:c>
      <x:c r="O9" s="32" t="n">
        <x:v>4.43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Katsuwonus pelamis</x:v>
      </x:c>
      <x:c r="T9" s="32" t="n">
        <x:f>IF(O9="","",(1/'Metadata'!$B$5)^(O9-1))</x:f>
        <x:v>2691.534803926914</x:v>
      </x:c>
      <x:c r="U9" s="31" t="n">
        <x:f>IF(T9="","",I9*T9)</x:f>
        <x:v>1492992.03170481</x:v>
      </x:c>
    </x:row>
    <x:row r="10" ht="18" customHeight="1">
      <x:c r="A10" s="24" t="str">
        <x:v>EEZ_776</x:v>
      </x:c>
      <x:c r="B10" s="24" t="str">
        <x:v>Tonga</x:v>
      </x:c>
      <x:c r="C10" s="24" t="str">
        <x:v>EEZ</x:v>
      </x:c>
      <x:c r="D10" s="30" t="n">
        <x:v>2019</x:v>
      </x:c>
      <x:c r="E10" s="24" t="str">
        <x:v>Lethrinus harak</x:v>
      </x:c>
      <x:c r="F10" s="24" t="str">
        <x:v>Thumbprint emperor</x:v>
      </x:c>
      <x:c r="G10" s="24" t="str">
        <x:v>Medium reef assoc. fish (30 - 89 cm)</x:v>
      </x:c>
      <x:c r="H10" s="24" t="str">
        <x:v>Perch-likes</x:v>
      </x:c>
      <x:c r="I10" s="31" t="n">
        <x:v>434.6633380198</x:v>
      </x:c>
      <x:c r="J10" s="31" t="n">
        <x:v>434.6633380198</x:v>
      </x:c>
      <x:c r="K10" s="31" t="n">
        <x:v>0</x:v>
      </x:c>
      <x:c r="L10" s="31" t="n">
        <x:v>56.420205355</x:v>
      </x:c>
      <x:c r="M10" s="31" t="n">
        <x:v>378.2431326648</x:v>
      </x:c>
      <x:c r="N10" s="24" t="str">
        <x:v>lethrinus harak</x:v>
      </x:c>
      <x:c r="O10" s="32" t="n">
        <x:v>3.59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Lethrinus harak</x:v>
      </x:c>
      <x:c r="T10" s="32" t="n">
        <x:f>IF(O10="","",(1/'Metadata'!$B$5)^(O10-1))</x:f>
        <x:v>389.04514499428046</x:v>
      </x:c>
      <x:c r="U10" s="31" t="n">
        <x:f>IF(T10="","",I10*T10)</x:f>
        <x:v>169103.66136361103</x:v>
      </x:c>
    </x:row>
    <x:row r="11" ht="18" customHeight="1">
      <x:c r="A11" s="24" t="str">
        <x:v>EEZ_776</x:v>
      </x:c>
      <x:c r="B11" s="24" t="str">
        <x:v>Tonga</x:v>
      </x:c>
      <x:c r="C11" s="24" t="str">
        <x:v>EEZ</x:v>
      </x:c>
      <x:c r="D11" s="30" t="n">
        <x:v>2019</x:v>
      </x:c>
      <x:c r="E11" s="24" t="str">
        <x:v>Chondrichthyes</x:v>
      </x:c>
      <x:c r="F11" s="24" t="str">
        <x:v>Sharks, rays, chimaeras</x:v>
      </x:c>
      <x:c r="G11" s="24" t="str">
        <x:v>Large sharks (&gt;=90 cm)</x:v>
      </x:c>
      <x:c r="H11" s="24" t="str">
        <x:v>Sharks &amp; rays</x:v>
      </x:c>
      <x:c r="I11" s="31" t="n">
        <x:v>398.192039783</x:v>
      </x:c>
      <x:c r="J11" s="31" t="n">
        <x:v>398.192039783</x:v>
      </x:c>
      <x:c r="K11" s="31" t="n">
        <x:v>0</x:v>
      </x:c>
      <x:c r="L11" s="31" t="n">
        <x:v>398.192039783</x:v>
      </x:c>
      <x:c r="M11" s="31" t="n">
        <x:v>0</x:v>
      </x:c>
      <x:c r="N11" s="24" t="str">
        <x:v>chondrichthyes</x:v>
      </x:c>
      <x:c r="O11" s="32" t="n">
        <x:v>4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Chondrichthyes</x:v>
      </x:c>
      <x:c r="T11" s="32" t="n">
        <x:f>IF(O11="","",(1/'Metadata'!$B$5)^(O11-1))</x:f>
        <x:v>1000</x:v>
      </x:c>
      <x:c r="U11" s="31" t="n">
        <x:f>IF(T11="","",I11*T11)</x:f>
        <x:v>398192.03978299996</x:v>
      </x:c>
    </x:row>
    <x:row r="12" ht="18" customHeight="1">
      <x:c r="A12" s="24" t="str">
        <x:v>EEZ_776</x:v>
      </x:c>
      <x:c r="B12" s="24" t="str">
        <x:v>Tonga</x:v>
      </x:c>
      <x:c r="C12" s="24" t="str">
        <x:v>EEZ</x:v>
      </x:c>
      <x:c r="D12" s="30" t="n">
        <x:v>2019</x:v>
      </x:c>
      <x:c r="E12" s="24" t="str">
        <x:v>Naso unicornis</x:v>
      </x:c>
      <x:c r="F12" s="24" t="str">
        <x:v>Bluespine unicornfish</x:v>
      </x:c>
      <x:c r="G12" s="24" t="str">
        <x:v>Medium reef assoc. fish (30 - 89 cm)</x:v>
      </x:c>
      <x:c r="H12" s="24" t="str">
        <x:v>Perch-likes</x:v>
      </x:c>
      <x:c r="I12" s="31" t="n">
        <x:v>335.4954065453</x:v>
      </x:c>
      <x:c r="J12" s="31" t="n">
        <x:v>335.4954065453</x:v>
      </x:c>
      <x:c r="K12" s="31" t="n">
        <x:v>0</x:v>
      </x:c>
      <x:c r="L12" s="31" t="n">
        <x:v>43.5480015847</x:v>
      </x:c>
      <x:c r="M12" s="31" t="n">
        <x:v>291.9474049606</x:v>
      </x:c>
      <x:c r="N12" s="24" t="str">
        <x:v>naso unicornis</x:v>
      </x:c>
      <x:c r="O12" s="32" t="n">
        <x:v>2.17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Naso unicornis</x:v>
      </x:c>
      <x:c r="T12" s="32" t="n">
        <x:f>IF(O12="","",(1/'Metadata'!$B$5)^(O12-1))</x:f>
        <x:v>14.791083881682072</x:v>
      </x:c>
      <x:c r="U12" s="31" t="n">
        <x:f>IF(T12="","",I12*T12)</x:f>
        <x:v>4962.34070013056</x:v>
      </x:c>
    </x:row>
    <x:row r="13" ht="18" customHeight="1">
      <x:c r="A13" s="24" t="str">
        <x:v>EEZ_776</x:v>
      </x:c>
      <x:c r="B13" s="24" t="str">
        <x:v>Tonga</x:v>
      </x:c>
      <x:c r="C13" s="24" t="str">
        <x:v>EEZ</x:v>
      </x:c>
      <x:c r="D13" s="30" t="n">
        <x:v>2019</x:v>
      </x:c>
      <x:c r="E13" s="24" t="str">
        <x:v>Acanthurus</x:v>
      </x:c>
      <x:c r="F13" s="24" t="str">
        <x:v>Surgeonfishes</x:v>
      </x:c>
      <x:c r="G13" s="24" t="str">
        <x:v>Small reef assoc. fish (&lt;30 cm)</x:v>
      </x:c>
      <x:c r="H13" s="24" t="str">
        <x:v>Perch-likes</x:v>
      </x:c>
      <x:c r="I13" s="31" t="n">
        <x:v>328.37735469</x:v>
      </x:c>
      <x:c r="J13" s="31" t="n">
        <x:v>328.37735469</x:v>
      </x:c>
      <x:c r="K13" s="31" t="n">
        <x:v>0</x:v>
      </x:c>
      <x:c r="L13" s="31" t="n">
        <x:v>42.6240636519</x:v>
      </x:c>
      <x:c r="M13" s="31" t="n">
        <x:v>285.7532910381</x:v>
      </x:c>
      <x:c r="N13" s="24" t="str">
        <x:v>acanthurus</x:v>
      </x:c>
      <x:c r="O13" s="32" t="n">
        <x:v>2.03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Acanthurus</x:v>
      </x:c>
      <x:c r="T13" s="32" t="n">
        <x:f>IF(O13="","",(1/'Metadata'!$B$5)^(O13-1))</x:f>
        <x:v>10.71519305237606</x:v>
      </x:c>
      <x:c r="U13" s="31" t="n">
        <x:f>IF(T13="","",I13*T13)</x:f>
        <x:v>3518.626749531917</x:v>
      </x:c>
    </x:row>
    <x:row r="14" ht="18" customHeight="1">
      <x:c r="A14" s="24" t="str">
        <x:v>EEZ_776</x:v>
      </x:c>
      <x:c r="B14" s="24" t="str">
        <x:v>Tonga</x:v>
      </x:c>
      <x:c r="C14" s="24" t="str">
        <x:v>EEZ</x:v>
      </x:c>
      <x:c r="D14" s="30" t="n">
        <x:v>2019</x:v>
      </x:c>
      <x:c r="E14" s="24" t="str">
        <x:v>Miscellaneous marine crustaceans</x:v>
      </x:c>
      <x:c r="F14" s="24" t="str">
        <x:v>Marine crabs, shrimps, lobsters nei</x:v>
      </x:c>
      <x:c r="G14" s="24" t="str">
        <x:v>Shrimps</x:v>
      </x:c>
      <x:c r="H14" s="24" t="str">
        <x:v>Crustaceans</x:v>
      </x:c>
      <x:c r="I14" s="31" t="n">
        <x:v>296.4546671654</x:v>
      </x:c>
      <x:c r="J14" s="31" t="n">
        <x:v>296.4546671654</x:v>
      </x:c>
      <x:c r="K14" s="31" t="n">
        <x:v>0</x:v>
      </x:c>
      <x:c r="L14" s="31" t="n">
        <x:v>2</x:v>
      </x:c>
      <x:c r="M14" s="31" t="n">
        <x:v>294.4546671654</x:v>
      </x:c>
      <x:c r="N14" s="24" t="str">
        <x:v>miscellaneous marine crustaceans</x:v>
      </x:c>
      <x:c r="O14" s="32" t="n">
        <x:v>2.7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Miscellaneous marine crustaceans</x:v>
      </x:c>
      <x:c r="T14" s="32" t="n">
        <x:f>IF(O14="","",(1/'Metadata'!$B$5)^(O14-1))</x:f>
        <x:v>50.11872336272725</x:v>
      </x:c>
      <x:c r="U14" s="31" t="n">
        <x:f>IF(T14="","",I14*T14)</x:f>
        <x:v>14857.929453252063</x:v>
      </x:c>
    </x:row>
    <x:row r="15" ht="18" customHeight="1">
      <x:c r="A15" s="24" t="str">
        <x:v>EEZ_776</x:v>
      </x:c>
      <x:c r="B15" s="24" t="str">
        <x:v>Tonga</x:v>
      </x:c>
      <x:c r="C15" s="24" t="str">
        <x:v>EEZ</x:v>
      </x:c>
      <x:c r="D15" s="30" t="n">
        <x:v>2019</x:v>
      </x:c>
      <x:c r="E15" s="24" t="str">
        <x:v>Leptoscarus vaigiensis</x:v>
      </x:c>
      <x:c r="F15" s="24" t="str">
        <x:v>Marbled parrotfish</x:v>
      </x:c>
      <x:c r="G15" s="24" t="str">
        <x:v>Small demersals (&lt;30 cm)</x:v>
      </x:c>
      <x:c r="H15" s="24" t="str">
        <x:v>Perch-likes</x:v>
      </x:c>
      <x:c r="I15" s="31" t="n">
        <x:v>288.9968326134</x:v>
      </x:c>
      <x:c r="J15" s="31" t="n">
        <x:v>288.9968326134</x:v>
      </x:c>
      <x:c r="K15" s="31" t="n">
        <x:v>0</x:v>
      </x:c>
      <x:c r="L15" s="31" t="n">
        <x:v>37.5123899795</x:v>
      </x:c>
      <x:c r="M15" s="31" t="n">
        <x:v>251.4844426339</x:v>
      </x:c>
      <x:c r="N15" s="24" t="str">
        <x:v>leptoscarus vaigiensis</x:v>
      </x:c>
      <x:c r="O15" s="32" t="n">
        <x:v>2.27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Leptoscarus vaigiensis</x:v>
      </x:c>
      <x:c r="T15" s="32" t="n">
        <x:f>IF(O15="","",(1/'Metadata'!$B$5)^(O15-1))</x:f>
        <x:v>18.620871366628677</x:v>
      </x:c>
      <x:c r="U15" s="31" t="n">
        <x:f>IF(T15="","",I15*T15)</x:f>
        <x:v>5381.37284545724</x:v>
      </x:c>
    </x:row>
    <x:row r="16" ht="18" customHeight="1">
      <x:c r="A16" s="24" t="str">
        <x:v>EEZ_776</x:v>
      </x:c>
      <x:c r="B16" s="24" t="str">
        <x:v>Tonga</x:v>
      </x:c>
      <x:c r="C16" s="24" t="str">
        <x:v>EEZ</x:v>
      </x:c>
      <x:c r="D16" s="30" t="n">
        <x:v>2019</x:v>
      </x:c>
      <x:c r="E16" s="24" t="str">
        <x:v>Siganus</x:v>
      </x:c>
      <x:c r="F16" s="24" t="str">
        <x:v>Spinefoots</x:v>
      </x:c>
      <x:c r="G16" s="24" t="str">
        <x:v>Medium reef assoc. fish (30 - 89 cm)</x:v>
      </x:c>
      <x:c r="H16" s="24" t="str">
        <x:v>Perch-likes</x:v>
      </x:c>
      <x:c r="I16" s="31" t="n">
        <x:v>230.4989340008</x:v>
      </x:c>
      <x:c r="J16" s="31" t="n">
        <x:v>230.4989340008</x:v>
      </x:c>
      <x:c r="K16" s="31" t="n">
        <x:v>0</x:v>
      </x:c>
      <x:c r="L16" s="31" t="n">
        <x:v>29.9192410615</x:v>
      </x:c>
      <x:c r="M16" s="31" t="n">
        <x:v>200.5796929393</x:v>
      </x:c>
      <x:c r="N16" s="24" t="str">
        <x:v>siganus</x:v>
      </x:c>
      <x:c r="O16" s="32" t="n">
        <x:v>2.11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Siganus</x:v>
      </x:c>
      <x:c r="T16" s="32" t="n">
        <x:f>IF(O16="","",(1/'Metadata'!$B$5)^(O16-1))</x:f>
        <x:v>12.882495516931336</x:v>
      </x:c>
      <x:c r="U16" s="31" t="n">
        <x:f>IF(T16="","",I16*T16)</x:f>
        <x:v>2969.401483922758</x:v>
      </x:c>
    </x:row>
    <x:row r="17" ht="18" customHeight="1">
      <x:c r="A17" s="24" t="str">
        <x:v>EEZ_776</x:v>
      </x:c>
      <x:c r="B17" s="24" t="str">
        <x:v>Tonga</x:v>
      </x:c>
      <x:c r="C17" s="24" t="str">
        <x:v>EEZ</x:v>
      </x:c>
      <x:c r="D17" s="30" t="n">
        <x:v>2019</x:v>
      </x:c>
      <x:c r="E17" s="24" t="str">
        <x:v>Epinephelus</x:v>
      </x:c>
      <x:c r="F17" s="24" t="str">
        <x:v>Seabasses, hinds</x:v>
      </x:c>
      <x:c r="G17" s="24" t="str">
        <x:v>Medium reef assoc. fish (30 - 89 cm)</x:v>
      </x:c>
      <x:c r="H17" s="24" t="str">
        <x:v>Perch-likes</x:v>
      </x:c>
      <x:c r="I17" s="31" t="n">
        <x:v>220.0614261048</x:v>
      </x:c>
      <x:c r="J17" s="31" t="n">
        <x:v>220.0614261048</x:v>
      </x:c>
      <x:c r="K17" s="31" t="n">
        <x:v>0</x:v>
      </x:c>
      <x:c r="L17" s="31" t="n">
        <x:v>28.564430827400002</x:v>
      </x:c>
      <x:c r="M17" s="31" t="n">
        <x:v>191.4969952774</x:v>
      </x:c>
      <x:c r="N17" s="24" t="str">
        <x:v>epinephelus</x:v>
      </x:c>
      <x:c r="O17" s="32" t="n">
        <x:v>3.84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Epinephelus</x:v>
      </x:c>
      <x:c r="T17" s="32" t="n">
        <x:f>IF(O17="","",(1/'Metadata'!$B$5)^(O17-1))</x:f>
        <x:v>691.8309709189363</x:v>
      </x:c>
      <x:c r="U17" s="31" t="n">
        <x:f>IF(T17="","",I17*T17)</x:f>
        <x:v>152245.31008388955</x:v>
      </x:c>
    </x:row>
    <x:row r="18" ht="18" customHeight="1">
      <x:c r="A18" s="24" t="str">
        <x:v>EEZ_776</x:v>
      </x:c>
      <x:c r="B18" s="24" t="str">
        <x:v>Tonga</x:v>
      </x:c>
      <x:c r="C18" s="24" t="str">
        <x:v>EEZ</x:v>
      </x:c>
      <x:c r="D18" s="30" t="n">
        <x:v>2019</x:v>
      </x:c>
      <x:c r="E18" s="24" t="str">
        <x:v>Siganus spinus</x:v>
      </x:c>
      <x:c r="F18" s="24" t="str">
        <x:v>Little spinefoot</x:v>
      </x:c>
      <x:c r="G18" s="24" t="str">
        <x:v>Small reef assoc. fish (&lt;30 cm)</x:v>
      </x:c>
      <x:c r="H18" s="24" t="str">
        <x:v>Perch-likes</x:v>
      </x:c>
      <x:c r="I18" s="31" t="n">
        <x:v>162.5488886745</x:v>
      </x:c>
      <x:c r="J18" s="31" t="n">
        <x:v>162.5488886745</x:v>
      </x:c>
      <x:c r="K18" s="31" t="n">
        <x:v>0</x:v>
      </x:c>
      <x:c r="L18" s="31" t="n">
        <x:v>21.0991838449</x:v>
      </x:c>
      <x:c r="M18" s="31" t="n">
        <x:v>141.4497048296</x:v>
      </x:c>
      <x:c r="N18" s="24" t="str">
        <x:v>siganus spinus</x:v>
      </x:c>
      <x:c r="O18" s="32" t="n">
        <x:v>2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Siganus spinus</x:v>
      </x:c>
      <x:c r="T18" s="32" t="n">
        <x:f>IF(O18="","",(1/'Metadata'!$B$5)^(O18-1))</x:f>
        <x:v>10</x:v>
      </x:c>
      <x:c r="U18" s="31" t="n">
        <x:f>IF(T18="","",I18*T18)</x:f>
        <x:v>1625.488886745</x:v>
      </x:c>
    </x:row>
    <x:row r="19" ht="18" customHeight="1">
      <x:c r="A19" s="24" t="str">
        <x:v>EEZ_776</x:v>
      </x:c>
      <x:c r="B19" s="24" t="str">
        <x:v>Tonga</x:v>
      </x:c>
      <x:c r="C19" s="24" t="str">
        <x:v>EEZ</x:v>
      </x:c>
      <x:c r="D19" s="30" t="n">
        <x:v>2019</x:v>
      </x:c>
      <x:c r="E19" s="24" t="str">
        <x:v>Marine pelagic fishes not identified</x:v>
      </x:c>
      <x:c r="F19" s="24" t="str">
        <x:v>Pelagic fishes</x:v>
      </x:c>
      <x:c r="G19" s="24" t="str">
        <x:v>Medium pelagics (30 - 89 cm)</x:v>
      </x:c>
      <x:c r="H19" s="24" t="str">
        <x:v>Other fishes &amp; inverts</x:v>
      </x:c>
      <x:c r="I19" s="31" t="n">
        <x:v>148.5399111584</x:v>
      </x:c>
      <x:c r="J19" s="31" t="n">
        <x:v>101.5861798201</x:v>
      </x:c>
      <x:c r="K19" s="31" t="n">
        <x:v>46.9537313383</x:v>
      </x:c>
      <x:c r="L19" s="31" t="n">
        <x:v>101.5861798201</x:v>
      </x:c>
      <x:c r="M19" s="31" t="n">
        <x:v>46.9537313383</x:v>
      </x:c>
      <x:c r="N19" s="24" t="str">
        <x:v>marine pelagic fishes not identified</x:v>
      </x:c>
      <x:c r="O19" s="32" t="n">
        <x:v>3.35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Marine pelagic fishes not identified</x:v>
      </x:c>
      <x:c r="T19" s="32" t="n">
        <x:f>IF(O19="","",(1/'Metadata'!$B$5)^(O19-1))</x:f>
        <x:v>223.872113856834</x:v>
      </x:c>
      <x:c r="U19" s="31" t="n">
        <x:f>IF(T19="","",I19*T19)</x:f>
        <x:v>33253.94390313733</x:v>
      </x:c>
    </x:row>
    <x:row r="20" ht="18" customHeight="1">
      <x:c r="A20" s="24" t="str">
        <x:v>EEZ_776</x:v>
      </x:c>
      <x:c r="B20" s="24" t="str">
        <x:v>Tonga</x:v>
      </x:c>
      <x:c r="C20" s="24" t="str">
        <x:v>EEZ</x:v>
      </x:c>
      <x:c r="D20" s="30" t="n">
        <x:v>2019</x:v>
      </x:c>
      <x:c r="E20" s="24" t="str">
        <x:v>Parupeneus</x:v>
      </x:c>
      <x:c r="F20" s="24" t="str">
        <x:v>Parupeneid goatfishes</x:v>
      </x:c>
      <x:c r="G20" s="24" t="str">
        <x:v>Medium reef assoc. fish (30 - 89 cm)</x:v>
      </x:c>
      <x:c r="H20" s="24" t="str">
        <x:v>Perch-likes</x:v>
      </x:c>
      <x:c r="I20" s="31" t="n">
        <x:v>144.12075900640002</x:v>
      </x:c>
      <x:c r="J20" s="31" t="n">
        <x:v>144.12075900640002</x:v>
      </x:c>
      <x:c r="K20" s="31" t="n">
        <x:v>0</x:v>
      </x:c>
      <x:c r="L20" s="31" t="n">
        <x:v>18.7071742842</x:v>
      </x:c>
      <x:c r="M20" s="31" t="n">
        <x:v>125.4135847222</x:v>
      </x:c>
      <x:c r="N20" s="24" t="str">
        <x:v>parupeneus</x:v>
      </x:c>
      <x:c r="O20" s="32" t="n">
        <x:v>3.51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Parupeneus</x:v>
      </x:c>
      <x:c r="T20" s="32" t="n">
        <x:f>IF(O20="","",(1/'Metadata'!$B$5)^(O20-1))</x:f>
        <x:v>323.5936569296281</x:v>
      </x:c>
      <x:c r="U20" s="31" t="n">
        <x:f>IF(T20="","",I20*T20)</x:f>
        <x:v>46636.563446354616</x:v>
      </x:c>
    </x:row>
    <x:row r="21" ht="18" customHeight="1">
      <x:c r="A21" s="24" t="str">
        <x:v>EEZ_776</x:v>
      </x:c>
      <x:c r="B21" s="24" t="str">
        <x:v>Tonga</x:v>
      </x:c>
      <x:c r="C21" s="24" t="str">
        <x:v>EEZ</x:v>
      </x:c>
      <x:c r="D21" s="30" t="n">
        <x:v>2019</x:v>
      </x:c>
      <x:c r="E21" s="24" t="str">
        <x:v>Xiphias gladius</x:v>
      </x:c>
      <x:c r="F21" s="24" t="str">
        <x:v>Swordfish</x:v>
      </x:c>
      <x:c r="G21" s="24" t="str">
        <x:v>Large pelagics (&gt;=90 cm)</x:v>
      </x:c>
      <x:c r="H21" s="24" t="str">
        <x:v>Tuna &amp; billfishes</x:v>
      </x:c>
      <x:c r="I21" s="31" t="n">
        <x:v>138.13448756670002</x:v>
      </x:c>
      <x:c r="J21" s="31" t="n">
        <x:v>42.4642384316</x:v>
      </x:c>
      <x:c r="K21" s="31" t="n">
        <x:v>95.6702491351</x:v>
      </x:c>
      <x:c r="L21" s="31" t="n">
        <x:v>42.4642384316</x:v>
      </x:c>
      <x:c r="M21" s="31" t="n">
        <x:v>95.6702491351</x:v>
      </x:c>
      <x:c r="N21" s="24" t="str">
        <x:v>xiphias gladius</x:v>
      </x:c>
      <x:c r="O21" s="32" t="n">
        <x:v>4.53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Xiphias gladius</x:v>
      </x:c>
      <x:c r="T21" s="32" t="n">
        <x:f>IF(O21="","",(1/'Metadata'!$B$5)^(O21-1))</x:f>
        <x:v>3388.4415613920273</x:v>
      </x:c>
      <x:c r="U21" s="31" t="n">
        <x:f>IF(T21="","",I21*T21)</x:f>
        <x:v>468060.6387325966</x:v>
      </x:c>
    </x:row>
    <x:row r="22" ht="18" customHeight="1">
      <x:c r="A22" s="24" t="str">
        <x:v>EEZ_776</x:v>
      </x:c>
      <x:c r="B22" s="24" t="str">
        <x:v>Tonga</x:v>
      </x:c>
      <x:c r="C22" s="24" t="str">
        <x:v>EEZ</x:v>
      </x:c>
      <x:c r="D22" s="30" t="n">
        <x:v>2019</x:v>
      </x:c>
      <x:c r="E22" s="24" t="str">
        <x:v>Isurus</x:v>
      </x:c>
      <x:c r="F22" s="24" t="str">
        <x:v>Mako sharks</x:v>
      </x:c>
      <x:c r="G22" s="24" t="str">
        <x:v>Large sharks (&gt;=90 cm)</x:v>
      </x:c>
      <x:c r="H22" s="24" t="str">
        <x:v>Sharks &amp; rays</x:v>
      </x:c>
      <x:c r="I22" s="31" t="n">
        <x:v>126.83533493350001</x:v>
      </x:c>
      <x:c r="J22" s="31" t="n">
        <x:v>49.3063998722</x:v>
      </x:c>
      <x:c r="K22" s="31" t="n">
        <x:v>77.5289350613</x:v>
      </x:c>
      <x:c r="L22" s="31" t="n">
        <x:v>49.3063998722</x:v>
      </x:c>
      <x:c r="M22" s="31" t="n">
        <x:v>77.5289350613</x:v>
      </x:c>
      <x:c r="N22" s="24" t="str">
        <x:v>isurus</x:v>
      </x:c>
      <x:c r="O22" s="32" t="n">
        <x:v>4.5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Isurus</x:v>
      </x:c>
      <x:c r="T22" s="32" t="n">
        <x:f>IF(O22="","",(1/'Metadata'!$B$5)^(O22-1))</x:f>
        <x:v>3162.2776601683795</x:v>
      </x:c>
      <x:c r="U22" s="31" t="n">
        <x:f>IF(T22="","",I22*T22)</x:f>
        <x:v>401088.54618018115</x:v>
      </x:c>
    </x:row>
    <x:row r="23" ht="18" customHeight="1">
      <x:c r="A23" s="24" t="str">
        <x:v>EEZ_776</x:v>
      </x:c>
      <x:c r="B23" s="24" t="str">
        <x:v>Tonga</x:v>
      </x:c>
      <x:c r="C23" s="24" t="str">
        <x:v>EEZ</x:v>
      </x:c>
      <x:c r="D23" s="30" t="n">
        <x:v>2019</x:v>
      </x:c>
      <x:c r="E23" s="24" t="str">
        <x:v>Thunnus obesus</x:v>
      </x:c>
      <x:c r="F23" s="24" t="str">
        <x:v>Bigeye tuna</x:v>
      </x:c>
      <x:c r="G23" s="24" t="str">
        <x:v>Large pelagics (&gt;=90 cm)</x:v>
      </x:c>
      <x:c r="H23" s="24" t="str">
        <x:v>Tuna &amp; billfishes</x:v>
      </x:c>
      <x:c r="I23" s="31" t="n">
        <x:v>118.91122141090001</x:v>
      </x:c>
      <x:c r="J23" s="31" t="n">
        <x:v>111.6075488933</x:v>
      </x:c>
      <x:c r="K23" s="31" t="n">
        <x:v>7.3036725176</x:v>
      </x:c>
      <x:c r="L23" s="31" t="n">
        <x:v>111.6075488933</x:v>
      </x:c>
      <x:c r="M23" s="31" t="n">
        <x:v>7.3036725176</x:v>
      </x:c>
      <x:c r="N23" s="24" t="str">
        <x:v>thunnus obesus</x:v>
      </x:c>
      <x:c r="O23" s="32" t="n">
        <x:v>4.49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Thunnus obesus</x:v>
      </x:c>
      <x:c r="T23" s="32" t="n">
        <x:f>IF(O23="","",(1/'Metadata'!$B$5)^(O23-1))</x:f>
        <x:v>3090.295432513592</x:v>
      </x:c>
      <x:c r="U23" s="31" t="n">
        <x:f>IF(T23="","",I23*T23)</x:f>
        <x:v>367470.80440071673</x:v>
      </x:c>
    </x:row>
    <x:row r="24" ht="18" customHeight="1">
      <x:c r="A24" s="24" t="str">
        <x:v>EEZ_776</x:v>
      </x:c>
      <x:c r="B24" s="24" t="str">
        <x:v>Tonga</x:v>
      </x:c>
      <x:c r="C24" s="24" t="str">
        <x:v>EEZ</x:v>
      </x:c>
      <x:c r="D24" s="30" t="n">
        <x:v>2019</x:v>
      </x:c>
      <x:c r="E24" s="24" t="str">
        <x:v>Lethrinus nebulosus</x:v>
      </x:c>
      <x:c r="F24" s="24" t="str">
        <x:v>Spangled emperor</x:v>
      </x:c>
      <x:c r="G24" s="24" t="str">
        <x:v>Medium demersals (30 - 89 cm)</x:v>
      </x:c>
      <x:c r="H24" s="24" t="str">
        <x:v>Perch-likes</x:v>
      </x:c>
      <x:c r="I24" s="31" t="n">
        <x:v>97.1716152356</x:v>
      </x:c>
      <x:c r="J24" s="31" t="n">
        <x:v>97.1716152356</x:v>
      </x:c>
      <x:c r="K24" s="31" t="n">
        <x:v>0</x:v>
      </x:c>
      <x:c r="L24" s="31" t="n">
        <x:v>12.613077771</x:v>
      </x:c>
      <x:c r="M24" s="31" t="n">
        <x:v>84.5585374646</x:v>
      </x:c>
      <x:c r="N24" s="24" t="str">
        <x:v>lethrinus nebulosus</x:v>
      </x:c>
      <x:c r="O24" s="32" t="n">
        <x:v>3.76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Lethrinus nebulosus</x:v>
      </x:c>
      <x:c r="T24" s="32" t="n">
        <x:f>IF(O24="","",(1/'Metadata'!$B$5)^(O24-1))</x:f>
        <x:v>575.4399373371566</x:v>
      </x:c>
      <x:c r="U24" s="31" t="n">
        <x:f>IF(T24="","",I24*T24)</x:f>
        <x:v>55916.42818212396</x:v>
      </x:c>
    </x:row>
    <x:row r="25" ht="18" customHeight="1">
      <x:c r="A25" s="24" t="str">
        <x:v>EEZ_776</x:v>
      </x:c>
      <x:c r="B25" s="24" t="str">
        <x:v>Tonga</x:v>
      </x:c>
      <x:c r="C25" s="24" t="str">
        <x:v>EEZ</x:v>
      </x:c>
      <x:c r="D25" s="30" t="n">
        <x:v>2019</x:v>
      </x:c>
      <x:c r="E25" s="24" t="str">
        <x:v>Holocentridae</x:v>
      </x:c>
      <x:c r="F25" s="24" t="str">
        <x:v>Squirrel-, soldierfishes</x:v>
      </x:c>
      <x:c r="G25" s="24" t="str">
        <x:v>Small reef assoc. fish (&lt;30 cm)</x:v>
      </x:c>
      <x:c r="H25" s="24" t="str">
        <x:v>Other fishes &amp; inverts</x:v>
      </x:c>
      <x:c r="I25" s="31" t="n">
        <x:v>90.50175247300001</x:v>
      </x:c>
      <x:c r="J25" s="31" t="n">
        <x:v>90.50175247300001</x:v>
      </x:c>
      <x:c r="K25" s="31" t="n">
        <x:v>0</x:v>
      </x:c>
      <x:c r="L25" s="31" t="n">
        <x:v>11.747315711</x:v>
      </x:c>
      <x:c r="M25" s="31" t="n">
        <x:v>78.75443676200001</x:v>
      </x:c>
      <x:c r="N25" s="24" t="str">
        <x:v>holocentridae</x:v>
      </x:c>
      <x:c r="O25" s="32" t="n">
        <x:v>3.49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Holocentridae</x:v>
      </x:c>
      <x:c r="T25" s="32" t="n">
        <x:f>IF(O25="","",(1/'Metadata'!$B$5)^(O25-1))</x:f>
        <x:v>309.0295432513592</x:v>
      </x:c>
      <x:c r="U25" s="31" t="n">
        <x:f>IF(T25="","",I25*T25)</x:f>
        <x:v>27967.71523017876</x:v>
      </x:c>
    </x:row>
    <x:row r="26" ht="18" customHeight="1">
      <x:c r="A26" s="24" t="str">
        <x:v>EEZ_776</x:v>
      </x:c>
      <x:c r="B26" s="24" t="str">
        <x:v>Tonga</x:v>
      </x:c>
      <x:c r="C26" s="24" t="str">
        <x:v>EEZ</x:v>
      </x:c>
      <x:c r="D26" s="30" t="n">
        <x:v>2019</x:v>
      </x:c>
      <x:c r="E26" s="24" t="str">
        <x:v>Scombridae</x:v>
      </x:c>
      <x:c r="F26" s="24" t="str">
        <x:v>Mackerels, tunas, bonitos</x:v>
      </x:c>
      <x:c r="G26" s="24" t="str">
        <x:v>Medium pelagics (30 - 89 cm)</x:v>
      </x:c>
      <x:c r="H26" s="24" t="str">
        <x:v>Perch-likes</x:v>
      </x:c>
      <x:c r="I26" s="31" t="n">
        <x:v>87.61231344730001</x:v>
      </x:c>
      <x:c r="J26" s="31" t="n">
        <x:v>0</x:v>
      </x:c>
      <x:c r="K26" s="31" t="n">
        <x:v>87.61231344730001</x:v>
      </x:c>
      <x:c r="L26" s="31" t="n">
        <x:v>0</x:v>
      </x:c>
      <x:c r="M26" s="31" t="n">
        <x:v>87.61231344730001</x:v>
      </x:c>
      <x:c r="N26" s="24" t="str">
        <x:v>scombridae</x:v>
      </x:c>
      <x:c r="O26" s="32" t="n">
        <x:v>4.26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Scombridae</x:v>
      </x:c>
      <x:c r="T26" s="32" t="n">
        <x:f>IF(O26="","",(1/'Metadata'!$B$5)^(O26-1))</x:f>
        <x:v>1819.7008586099826</x:v>
      </x:c>
      <x:c r="U26" s="31" t="n">
        <x:f>IF(T26="","",I26*T26)</x:f>
        <x:v>159428.20200485876</x:v>
      </x:c>
    </x:row>
    <x:row r="27" ht="18" customHeight="1">
      <x:c r="A27" s="24" t="str">
        <x:v>EEZ_776</x:v>
      </x:c>
      <x:c r="B27" s="24" t="str">
        <x:v>Tonga</x:v>
      </x:c>
      <x:c r="C27" s="24" t="str">
        <x:v>EEZ</x:v>
      </x:c>
      <x:c r="D27" s="30" t="n">
        <x:v>2019</x:v>
      </x:c>
      <x:c r="E27" s="24" t="str">
        <x:v>Gerres</x:v>
      </x:c>
      <x:c r="F27" s="24" t="str">
        <x:v>Silver biddies</x:v>
      </x:c>
      <x:c r="G27" s="24" t="str">
        <x:v>Small benthopelagics (&lt;30 cm)</x:v>
      </x:c>
      <x:c r="H27" s="24" t="str">
        <x:v>Perch-likes</x:v>
      </x:c>
      <x:c r="I27" s="31" t="n">
        <x:v>75.6877051428</x:v>
      </x:c>
      <x:c r="J27" s="31" t="n">
        <x:v>75.6877051428</x:v>
      </x:c>
      <x:c r="K27" s="31" t="n">
        <x:v>0</x:v>
      </x:c>
      <x:c r="L27" s="31" t="n">
        <x:v>9.8244215552</x:v>
      </x:c>
      <x:c r="M27" s="31" t="n">
        <x:v>65.8632835876</x:v>
      </x:c>
      <x:c r="N27" s="24" t="str">
        <x:v>gerres</x:v>
      </x:c>
      <x:c r="O27" s="32" t="n">
        <x:v>3.27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Gerres</x:v>
      </x:c>
      <x:c r="T27" s="32" t="n">
        <x:f>IF(O27="","",(1/'Metadata'!$B$5)^(O27-1))</x:f>
        <x:v>186.20871366628674</x:v>
      </x:c>
      <x:c r="U27" s="31" t="n">
        <x:f>IF(T27="","",I27*T27)</x:f>
        <x:v>14093.710214993984</x:v>
      </x:c>
    </x:row>
    <x:row r="28" ht="18" customHeight="1">
      <x:c r="A28" s="24" t="str">
        <x:v>EEZ_776</x:v>
      </x:c>
      <x:c r="B28" s="24" t="str">
        <x:v>Tonga</x:v>
      </x:c>
      <x:c r="C28" s="24" t="str">
        <x:v>EEZ</x:v>
      </x:c>
      <x:c r="D28" s="30" t="n">
        <x:v>2019</x:v>
      </x:c>
      <x:c r="E28" s="24" t="str">
        <x:v>Carcharhinus falciformis</x:v>
      </x:c>
      <x:c r="F28" s="24" t="str">
        <x:v>Silky shark</x:v>
      </x:c>
      <x:c r="G28" s="24" t="str">
        <x:v>Large sharks (&gt;=90 cm)</x:v>
      </x:c>
      <x:c r="H28" s="24" t="str">
        <x:v>Sharks &amp; rays</x:v>
      </x:c>
      <x:c r="I28" s="31" t="n">
        <x:v>72.4068738126</x:v>
      </x:c>
      <x:c r="J28" s="31" t="n">
        <x:v>1.6970229298000001</x:v>
      </x:c>
      <x:c r="K28" s="31" t="n">
        <x:v>70.7098508828</x:v>
      </x:c>
      <x:c r="L28" s="31" t="n">
        <x:v>1.6970229298000001</x:v>
      </x:c>
      <x:c r="M28" s="31" t="n">
        <x:v>70.7098508828</x:v>
      </x:c>
      <x:c r="N28" s="24" t="str">
        <x:v>carcharhinus falciformis</x:v>
      </x:c>
      <x:c r="O28" s="32" t="n">
        <x:v>4.51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Carcharhinus falciformis</x:v>
      </x:c>
      <x:c r="T28" s="32" t="n">
        <x:f>IF(O28="","",(1/'Metadata'!$B$5)^(O28-1))</x:f>
        <x:v>3235.936569296281</x:v>
      </x:c>
      <x:c r="U28" s="31" t="n">
        <x:f>IF(T28="","",I28*T28)</x:f>
        <x:v>234304.05083861356</x:v>
      </x:c>
    </x:row>
    <x:row r="29" ht="18" customHeight="1">
      <x:c r="A29" s="24" t="str">
        <x:v>EEZ_776</x:v>
      </x:c>
      <x:c r="B29" s="24" t="str">
        <x:v>Tonga</x:v>
      </x:c>
      <x:c r="C29" s="24" t="str">
        <x:v>EEZ</x:v>
      </x:c>
      <x:c r="D29" s="30" t="n">
        <x:v>2019</x:v>
      </x:c>
      <x:c r="E29" s="24" t="str">
        <x:v>Lethrinus atkinsoni</x:v>
      </x:c>
      <x:c r="F29" s="24" t="str">
        <x:v>Pacific yellowtail emperor</x:v>
      </x:c>
      <x:c r="G29" s="24" t="str">
        <x:v>Medium reef assoc. fish (30 - 89 cm)</x:v>
      </x:c>
      <x:c r="H29" s="24" t="str">
        <x:v>Perch-likes</x:v>
      </x:c>
      <x:c r="I29" s="31" t="n">
        <x:v>67.1822313861</x:v>
      </x:c>
      <x:c r="J29" s="31" t="n">
        <x:v>67.1822313861</x:v>
      </x:c>
      <x:c r="K29" s="31" t="n">
        <x:v>0</x:v>
      </x:c>
      <x:c r="L29" s="31" t="n">
        <x:v>8.7203933706</x:v>
      </x:c>
      <x:c r="M29" s="31" t="n">
        <x:v>58.4618380155</x:v>
      </x:c>
      <x:c r="N29" s="24" t="str">
        <x:v>lethrinus atkinsoni</x:v>
      </x:c>
      <x:c r="O29" s="32" t="n">
        <x:v>3.79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Lethrinus atkinsoni</x:v>
      </x:c>
      <x:c r="T29" s="32" t="n">
        <x:f>IF(O29="","",(1/'Metadata'!$B$5)^(O29-1))</x:f>
        <x:v>616.5950018614822</x:v>
      </x:c>
      <x:c r="U29" s="31" t="n">
        <x:f>IF(T29="","",I29*T29)</x:f>
        <x:v>41424.22808657085</x:v>
      </x:c>
    </x:row>
    <x:row r="30" ht="18" customHeight="1">
      <x:c r="A30" s="24" t="str">
        <x:v>EEZ_776</x:v>
      </x:c>
      <x:c r="B30" s="24" t="str">
        <x:v>Tonga</x:v>
      </x:c>
      <x:c r="C30" s="24" t="str">
        <x:v>EEZ</x:v>
      </x:c>
      <x:c r="D30" s="30" t="n">
        <x:v>2019</x:v>
      </x:c>
      <x:c r="E30" s="24" t="str">
        <x:v>Balistidae</x:v>
      </x:c>
      <x:c r="F30" s="24" t="str">
        <x:v>Triggerfishes</x:v>
      </x:c>
      <x:c r="G30" s="24" t="str">
        <x:v>Medium reef assoc. fish (30 - 89 cm)</x:v>
      </x:c>
      <x:c r="H30" s="24" t="str">
        <x:v>Other fishes &amp; inverts</x:v>
      </x:c>
      <x:c r="I30" s="31" t="n">
        <x:v>57.538428829000004</x:v>
      </x:c>
      <x:c r="J30" s="31" t="n">
        <x:v>57.538428829000004</x:v>
      </x:c>
      <x:c r="K30" s="31" t="n">
        <x:v>0</x:v>
      </x:c>
      <x:c r="L30" s="31" t="n">
        <x:v>7.4686077401</x:v>
      </x:c>
      <x:c r="M30" s="31" t="n">
        <x:v>50.0698210889</x:v>
      </x:c>
      <x:c r="N30" s="24" t="str">
        <x:v>balistidae</x:v>
      </x:c>
      <x:c r="O30" s="32" t="n">
        <x:v>3.25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Balistidae</x:v>
      </x:c>
      <x:c r="T30" s="32" t="n">
        <x:f>IF(O30="","",(1/'Metadata'!$B$5)^(O30-1))</x:f>
        <x:v>177.82794100389228</x:v>
      </x:c>
      <x:c r="U30" s="31" t="n">
        <x:f>IF(T30="","",I30*T30)</x:f>
        <x:v>10231.940327260067</x:v>
      </x:c>
    </x:row>
    <x:row r="31" ht="18" customHeight="1">
      <x:c r="A31" s="24" t="str">
        <x:v>EEZ_776</x:v>
      </x:c>
      <x:c r="B31" s="24" t="str">
        <x:v>Tonga</x:v>
      </x:c>
      <x:c r="C31" s="24" t="str">
        <x:v>EEZ</x:v>
      </x:c>
      <x:c r="D31" s="30" t="n">
        <x:v>2019</x:v>
      </x:c>
      <x:c r="E31" s="24" t="str">
        <x:v>Encrasicholina devisi</x:v>
      </x:c>
      <x:c r="F31" s="24" t="str">
        <x:v>Devis' anchovy</x:v>
      </x:c>
      <x:c r="G31" s="24" t="str">
        <x:v>Small pelagics (&lt;30 cm)</x:v>
      </x:c>
      <x:c r="H31" s="24" t="str">
        <x:v>Anchovies</x:v>
      </x:c>
      <x:c r="I31" s="31" t="n">
        <x:v>54.16481898319999</x:v>
      </x:c>
      <x:c r="J31" s="31" t="n">
        <x:v>54.16481898319999</x:v>
      </x:c>
      <x:c r="K31" s="31" t="n">
        <x:v>0</x:v>
      </x:c>
      <x:c r="L31" s="31" t="n">
        <x:v>11.5353037806</x:v>
      </x:c>
      <x:c r="M31" s="31" t="n">
        <x:v>42.6295152026</x:v>
      </x:c>
      <x:c r="N31" s="24" t="str">
        <x:v>encrasicholina devisi</x:v>
      </x:c>
      <x:c r="O31" s="32" t="n">
        <x:v>3.31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Encrasicholina devisi</x:v>
      </x:c>
      <x:c r="T31" s="32" t="n">
        <x:f>IF(O31="","",(1/'Metadata'!$B$5)^(O31-1))</x:f>
        <x:v>204.17379446695296</x:v>
      </x:c>
      <x:c r="U31" s="31" t="n">
        <x:f>IF(T31="","",I31*T31)</x:f>
        <x:v>11059.036618415586</x:v>
      </x:c>
    </x:row>
    <x:row r="32" ht="18" customHeight="1">
      <x:c r="A32" s="24" t="str">
        <x:v>EEZ_776</x:v>
      </x:c>
      <x:c r="B32" s="24" t="str">
        <x:v>Tonga</x:v>
      </x:c>
      <x:c r="C32" s="24" t="str">
        <x:v>EEZ</x:v>
      </x:c>
      <x:c r="D32" s="30" t="n">
        <x:v>2019</x:v>
      </x:c>
      <x:c r="E32" s="24" t="str">
        <x:v>Mulloidichthys</x:v>
      </x:c>
      <x:c r="F32" s="24" t="str">
        <x:v>Soft goatfishes</x:v>
      </x:c>
      <x:c r="G32" s="24" t="str">
        <x:v>Medium reef assoc. fish (30 - 89 cm)</x:v>
      </x:c>
      <x:c r="H32" s="24" t="str">
        <x:v>Perch-likes</x:v>
      </x:c>
      <x:c r="I32" s="31" t="n">
        <x:v>52.7583406773</x:v>
      </x:c>
      <x:c r="J32" s="31" t="n">
        <x:v>52.7583406773</x:v>
      </x:c>
      <x:c r="K32" s="31" t="n">
        <x:v>0</x:v>
      </x:c>
      <x:c r="L32" s="31" t="n">
        <x:v>6.8481423551</x:v>
      </x:c>
      <x:c r="M32" s="31" t="n">
        <x:v>45.9101983222</x:v>
      </x:c>
      <x:c r="N32" s="24" t="str">
        <x:v>mulloidichthys</x:v>
      </x:c>
      <x:c r="O32" s="32" t="n">
        <x:v>3.22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Mulloidichthys</x:v>
      </x:c>
      <x:c r="T32" s="32" t="n">
        <x:f>IF(O32="","",(1/'Metadata'!$B$5)^(O32-1))</x:f>
        <x:v>165.95869074375614</x:v>
      </x:c>
      <x:c r="U32" s="31" t="n">
        <x:f>IF(T32="","",I32*T32)</x:f>
        <x:v>8755.70514461776</x:v>
      </x:c>
    </x:row>
    <x:row r="33" ht="18" customHeight="1">
      <x:c r="A33" s="24" t="str">
        <x:v>EEZ_776</x:v>
      </x:c>
      <x:c r="B33" s="24" t="str">
        <x:v>Tonga</x:v>
      </x:c>
      <x:c r="C33" s="24" t="str">
        <x:v>EEZ</x:v>
      </x:c>
      <x:c r="D33" s="30" t="n">
        <x:v>2019</x:v>
      </x:c>
      <x:c r="E33" s="24" t="str">
        <x:v>Lethrinus</x:v>
      </x:c>
      <x:c r="F33" s="24" t="str">
        <x:v>Emperors</x:v>
      </x:c>
      <x:c r="G33" s="24" t="str">
        <x:v>Medium reef assoc. fish (30 - 89 cm)</x:v>
      </x:c>
      <x:c r="H33" s="24" t="str">
        <x:v>Perch-likes</x:v>
      </x:c>
      <x:c r="I33" s="31" t="n">
        <x:v>50.2754446811</x:v>
      </x:c>
      <x:c r="J33" s="31" t="n">
        <x:v>50.2754446811</x:v>
      </x:c>
      <x:c r="K33" s="31" t="n">
        <x:v>0</x:v>
      </x:c>
      <x:c r="L33" s="31" t="n">
        <x:v>6.5258572906</x:v>
      </x:c>
      <x:c r="M33" s="31" t="n">
        <x:v>43.7495873905</x:v>
      </x:c>
      <x:c r="N33" s="24" t="str">
        <x:v>lethrinus</x:v>
      </x:c>
      <x:c r="O33" s="32" t="n">
        <x:v>3.75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Lethrinus</x:v>
      </x:c>
      <x:c r="T33" s="32" t="n">
        <x:f>IF(O33="","",(1/'Metadata'!$B$5)^(O33-1))</x:f>
        <x:v>562.341325190349</x:v>
      </x:c>
      <x:c r="U33" s="31" t="n">
        <x:f>IF(T33="","",I33*T33)</x:f>
        <x:v>28271.960186503857</x:v>
      </x:c>
    </x:row>
    <x:row r="34" ht="18" customHeight="1">
      <x:c r="A34" s="24" t="str">
        <x:v>EEZ_776</x:v>
      </x:c>
      <x:c r="B34" s="24" t="str">
        <x:v>Tonga</x:v>
      </x:c>
      <x:c r="C34" s="24" t="str">
        <x:v>EEZ</x:v>
      </x:c>
      <x:c r="D34" s="30" t="n">
        <x:v>2019</x:v>
      </x:c>
      <x:c r="E34" s="24" t="str">
        <x:v>Gymnocranius</x:v>
      </x:c>
      <x:c r="F34" s="24" t="str">
        <x:v>Largeeye breams</x:v>
      </x:c>
      <x:c r="G34" s="24" t="str">
        <x:v>Medium reef assoc. fish (30 - 89 cm)</x:v>
      </x:c>
      <x:c r="H34" s="24" t="str">
        <x:v>Perch-likes</x:v>
      </x:c>
      <x:c r="I34" s="31" t="n">
        <x:v>46.2191253175</x:v>
      </x:c>
      <x:c r="J34" s="31" t="n">
        <x:v>46.2191253175</x:v>
      </x:c>
      <x:c r="K34" s="31" t="n">
        <x:v>0</x:v>
      </x:c>
      <x:c r="L34" s="31" t="n">
        <x:v>5.9993386007</x:v>
      </x:c>
      <x:c r="M34" s="31" t="n">
        <x:v>40.2197867168</x:v>
      </x:c>
      <x:c r="N34" s="24" t="str">
        <x:v>gymnocranius</x:v>
      </x:c>
      <x:c r="O34" s="32" t="n">
        <x:v>3.4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Gymnocranius</x:v>
      </x:c>
      <x:c r="T34" s="32" t="n">
        <x:f>IF(O34="","",(1/'Metadata'!$B$5)^(O34-1))</x:f>
        <x:v>251.18864315095797</x:v>
      </x:c>
      <x:c r="U34" s="31" t="n">
        <x:f>IF(T34="","",I34*T34)</x:f>
        <x:v>11609.719376126915</x:v>
      </x:c>
    </x:row>
    <x:row r="35" ht="18" customHeight="1">
      <x:c r="A35" s="24" t="str">
        <x:v>EEZ_776</x:v>
      </x:c>
      <x:c r="B35" s="24" t="str">
        <x:v>Tonga</x:v>
      </x:c>
      <x:c r="C35" s="24" t="str">
        <x:v>EEZ</x:v>
      </x:c>
      <x:c r="D35" s="30" t="n">
        <x:v>2019</x:v>
      </x:c>
      <x:c r="E35" s="24" t="str">
        <x:v>Lutjanus kasmira</x:v>
      </x:c>
      <x:c r="F35" s="24" t="str">
        <x:v>Common bluestripe snapper</x:v>
      </x:c>
      <x:c r="G35" s="24" t="str">
        <x:v>Medium reef assoc. fish (30 - 89 cm)</x:v>
      </x:c>
      <x:c r="H35" s="24" t="str">
        <x:v>Perch-likes</x:v>
      </x:c>
      <x:c r="I35" s="31" t="n">
        <x:v>45.7117133987</x:v>
      </x:c>
      <x:c r="J35" s="31" t="n">
        <x:v>45.7117133987</x:v>
      </x:c>
      <x:c r="K35" s="31" t="n">
        <x:v>0</x:v>
      </x:c>
      <x:c r="L35" s="31" t="n">
        <x:v>5.9334754778</x:v>
      </x:c>
      <x:c r="M35" s="31" t="n">
        <x:v>39.7782379209</x:v>
      </x:c>
      <x:c r="N35" s="24" t="str">
        <x:v>lutjanus kasmira</x:v>
      </x:c>
      <x:c r="O35" s="32" t="n">
        <x:v>3.87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Lutjanus kasmira</x:v>
      </x:c>
      <x:c r="T35" s="32" t="n">
        <x:f>IF(O35="","",(1/'Metadata'!$B$5)^(O35-1))</x:f>
        <x:v>741.3102413009177</x:v>
      </x:c>
      <x:c r="U35" s="31" t="n">
        <x:f>IF(T35="","",I35*T35)</x:f>
        <x:v>33886.56128986869</x:v>
      </x:c>
    </x:row>
    <x:row r="36" ht="18" customHeight="1">
      <x:c r="A36" s="24" t="str">
        <x:v>EEZ_776</x:v>
      </x:c>
      <x:c r="B36" s="24" t="str">
        <x:v>Tonga</x:v>
      </x:c>
      <x:c r="C36" s="24" t="str">
        <x:v>EEZ</x:v>
      </x:c>
      <x:c r="D36" s="30" t="n">
        <x:v>2019</x:v>
      </x:c>
      <x:c r="E36" s="24" t="str">
        <x:v>Alopias</x:v>
      </x:c>
      <x:c r="F36" s="24" t="str">
        <x:v>Thresher sharks</x:v>
      </x:c>
      <x:c r="G36" s="24" t="str">
        <x:v>Large sharks (&gt;=90 cm)</x:v>
      </x:c>
      <x:c r="H36" s="24" t="str">
        <x:v>Sharks &amp; rays</x:v>
      </x:c>
      <x:c r="I36" s="31" t="n">
        <x:v>41.8648039311</x:v>
      </x:c>
      <x:c r="J36" s="31" t="n">
        <x:v>36.361890896599995</x:v>
      </x:c>
      <x:c r="K36" s="31" t="n">
        <x:v>5.502913034500001</x:v>
      </x:c>
      <x:c r="L36" s="31" t="n">
        <x:v>36.361890896599995</x:v>
      </x:c>
      <x:c r="M36" s="31" t="n">
        <x:v>5.502913034500001</x:v>
      </x:c>
      <x:c r="N36" s="24" t="str">
        <x:v>alopias</x:v>
      </x:c>
      <x:c r="O36" s="32" t="n">
        <x:v>4.5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Alopias</x:v>
      </x:c>
      <x:c r="T36" s="32" t="n">
        <x:f>IF(O36="","",(1/'Metadata'!$B$5)^(O36-1))</x:f>
        <x:v>3162.2776601683795</x:v>
      </x:c>
      <x:c r="U36" s="31" t="n">
        <x:f>IF(T36="","",I36*T36)</x:f>
        <x:v>132388.13421864688</x:v>
      </x:c>
    </x:row>
    <x:row r="37" ht="18" customHeight="1">
      <x:c r="A37" s="24" t="str">
        <x:v>EEZ_776</x:v>
      </x:c>
      <x:c r="B37" s="24" t="str">
        <x:v>Tonga</x:v>
      </x:c>
      <x:c r="C37" s="24" t="str">
        <x:v>EEZ</x:v>
      </x:c>
      <x:c r="D37" s="30" t="n">
        <x:v>2019</x:v>
      </x:c>
      <x:c r="E37" s="24" t="str">
        <x:v>Kajikia audax</x:v>
      </x:c>
      <x:c r="F37" s="24" t="str">
        <x:v>Striped marlin</x:v>
      </x:c>
      <x:c r="G37" s="24" t="str">
        <x:v>Large pelagics (&gt;=90 cm)</x:v>
      </x:c>
      <x:c r="H37" s="24" t="str">
        <x:v>Tuna &amp; billfishes</x:v>
      </x:c>
      <x:c r="I37" s="31" t="n">
        <x:v>40.7211313241</x:v>
      </x:c>
      <x:c r="J37" s="31" t="n">
        <x:v>40.7211313241</x:v>
      </x:c>
      <x:c r="K37" s="31" t="n">
        <x:v>0</x:v>
      </x:c>
      <x:c r="L37" s="31" t="n">
        <x:v>38.6542457385</x:v>
      </x:c>
      <x:c r="M37" s="31" t="n">
        <x:v>2.0668855856</x:v>
      </x:c>
      <x:c r="N37" s="24" t="str">
        <x:v>kajikia audax</x:v>
      </x:c>
      <x:c r="O37" s="32" t="n">
        <x:v>4.58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Kajikia audax</x:v>
      </x:c>
      <x:c r="T37" s="32" t="n">
        <x:f>IF(O37="","",(1/'Metadata'!$B$5)^(O37-1))</x:f>
        <x:v>3801.8939632056126</x:v>
      </x:c>
      <x:c r="U37" s="31" t="n">
        <x:f>IF(T37="","",I37*T37)</x:f>
        <x:v>154817.42335599876</x:v>
      </x:c>
    </x:row>
    <x:row r="38" ht="18" customHeight="1">
      <x:c r="A38" s="24" t="str">
        <x:v>EEZ_776</x:v>
      </x:c>
      <x:c r="B38" s="24" t="str">
        <x:v>Tonga</x:v>
      </x:c>
      <x:c r="C38" s="24" t="str">
        <x:v>EEZ</x:v>
      </x:c>
      <x:c r="D38" s="30" t="n">
        <x:v>2019</x:v>
      </x:c>
      <x:c r="E38" s="24" t="str">
        <x:v>Etelis coruscans</x:v>
      </x:c>
      <x:c r="F38" s="24" t="str">
        <x:v>Deepwater longtail red snapper</x:v>
      </x:c>
      <x:c r="G38" s="24" t="str">
        <x:v>Large bathydemersals (&gt;=90 cm)</x:v>
      </x:c>
      <x:c r="H38" s="24" t="str">
        <x:v>Perch-likes</x:v>
      </x:c>
      <x:c r="I38" s="31" t="n">
        <x:v>40.704</x:v>
      </x:c>
      <x:c r="J38" s="31" t="n">
        <x:v>40.704</x:v>
      </x:c>
      <x:c r="K38" s="31" t="n">
        <x:v>0</x:v>
      </x:c>
      <x:c r="L38" s="31" t="n">
        <x:v>40.704</x:v>
      </x:c>
      <x:c r="M38" s="31" t="n">
        <x:v>0</x:v>
      </x:c>
      <x:c r="N38" s="24" t="str">
        <x:v>etelis coruscans</x:v>
      </x:c>
      <x:c r="O38" s="32" t="n">
        <x:v>4.42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Etelis coruscans</x:v>
      </x:c>
      <x:c r="T38" s="32" t="n">
        <x:f>IF(O38="","",(1/'Metadata'!$B$5)^(O38-1))</x:f>
        <x:v>2630.2679918953813</x:v>
      </x:c>
      <x:c r="U38" s="31" t="n">
        <x:f>IF(T38="","",I38*T38)</x:f>
        <x:v>107062.4283421096</x:v>
      </x:c>
    </x:row>
    <x:row r="39" ht="18" customHeight="1">
      <x:c r="A39" s="24" t="str">
        <x:v>EEZ_776</x:v>
      </x:c>
      <x:c r="B39" s="24" t="str">
        <x:v>Tonga</x:v>
      </x:c>
      <x:c r="C39" s="24" t="str">
        <x:v>EEZ</x:v>
      </x:c>
      <x:c r="D39" s="30" t="n">
        <x:v>2019</x:v>
      </x:c>
      <x:c r="E39" s="24" t="str">
        <x:v>Plectorhinchus</x:v>
      </x:c>
      <x:c r="F39" s="24" t="str">
        <x:v>Sweetlips</x:v>
      </x:c>
      <x:c r="G39" s="24" t="str">
        <x:v>Medium reef assoc. fish (30 - 89 cm)</x:v>
      </x:c>
      <x:c r="H39" s="24" t="str">
        <x:v>Perch-likes</x:v>
      </x:c>
      <x:c r="I39" s="31" t="n">
        <x:v>36.5009221869</x:v>
      </x:c>
      <x:c r="J39" s="31" t="n">
        <x:v>36.5009221869</x:v>
      </x:c>
      <x:c r="K39" s="31" t="n">
        <x:v>0</x:v>
      </x:c>
      <x:c r="L39" s="31" t="n">
        <x:v>4.7378956208</x:v>
      </x:c>
      <x:c r="M39" s="31" t="n">
        <x:v>31.7630265661</x:v>
      </x:c>
      <x:c r="N39" s="24" t="str">
        <x:v>plectorhinchus</x:v>
      </x:c>
      <x:c r="O39" s="32" t="n">
        <x:v>3.43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Plectorhinchus</x:v>
      </x:c>
      <x:c r="T39" s="32" t="n">
        <x:f>IF(O39="","",(1/'Metadata'!$B$5)^(O39-1))</x:f>
        <x:v>269.1534803926917</x:v>
      </x:c>
      <x:c r="U39" s="31" t="n">
        <x:f>IF(T39="","",I39*T39)</x:f>
        <x:v>9824.350244146954</x:v>
      </x:c>
    </x:row>
    <x:row r="40" ht="18" customHeight="1">
      <x:c r="A40" s="24" t="str">
        <x:v>EEZ_776</x:v>
      </x:c>
      <x:c r="B40" s="24" t="str">
        <x:v>Tonga</x:v>
      </x:c>
      <x:c r="C40" s="24" t="str">
        <x:v>EEZ</x:v>
      </x:c>
      <x:c r="D40" s="30" t="n">
        <x:v>2019</x:v>
      </x:c>
      <x:c r="E40" s="24" t="str">
        <x:v>Pristipomoides filamentosus</x:v>
      </x:c>
      <x:c r="F40" s="24" t="str">
        <x:v>Crimson jobfish</x:v>
      </x:c>
      <x:c r="G40" s="24" t="str">
        <x:v>Medium demersals (30 - 89 cm)</x:v>
      </x:c>
      <x:c r="H40" s="24" t="str">
        <x:v>Perch-likes</x:v>
      </x:c>
      <x:c r="I40" s="31" t="n">
        <x:v>35.76</x:v>
      </x:c>
      <x:c r="J40" s="31" t="n">
        <x:v>35.76</x:v>
      </x:c>
      <x:c r="K40" s="31" t="n">
        <x:v>0</x:v>
      </x:c>
      <x:c r="L40" s="31" t="n">
        <x:v>35.76</x:v>
      </x:c>
      <x:c r="M40" s="31" t="n">
        <x:v>0</x:v>
      </x:c>
      <x:c r="N40" s="24" t="str">
        <x:v>pristipomoides filamentosus</x:v>
      </x:c>
      <x:c r="O40" s="32" t="n">
        <x:v>4.19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Pristipomoides filamentosus</x:v>
      </x:c>
      <x:c r="T40" s="32" t="n">
        <x:f>IF(O40="","",(1/'Metadata'!$B$5)^(O40-1))</x:f>
        <x:v>1548.8166189124827</x:v>
      </x:c>
      <x:c r="U40" s="31" t="n">
        <x:f>IF(T40="","",I40*T40)</x:f>
        <x:v>55385.682292310375</x:v>
      </x:c>
    </x:row>
    <x:row r="41" ht="18" customHeight="1">
      <x:c r="A41" s="24" t="str">
        <x:v>EEZ_776</x:v>
      </x:c>
      <x:c r="B41" s="24" t="str">
        <x:v>Tonga</x:v>
      </x:c>
      <x:c r="C41" s="24" t="str">
        <x:v>EEZ</x:v>
      </x:c>
      <x:c r="D41" s="30" t="n">
        <x:v>2019</x:v>
      </x:c>
      <x:c r="E41" s="24" t="str">
        <x:v>Spratelloides delicatulus</x:v>
      </x:c>
      <x:c r="F41" s="24" t="str">
        <x:v>Delicate round herring</x:v>
      </x:c>
      <x:c r="G41" s="24" t="str">
        <x:v>Small reef assoc. fish (&lt;30 cm)</x:v>
      </x:c>
      <x:c r="H41" s="24" t="str">
        <x:v>Herring-likes</x:v>
      </x:c>
      <x:c r="I41" s="31" t="n">
        <x:v>35.4064401146</x:v>
      </x:c>
      <x:c r="J41" s="31" t="n">
        <x:v>35.4064401146</x:v>
      </x:c>
      <x:c r="K41" s="31" t="n">
        <x:v>0</x:v>
      </x:c>
      <x:c r="L41" s="31" t="n">
        <x:v>7.5403933804</x:v>
      </x:c>
      <x:c r="M41" s="31" t="n">
        <x:v>27.8660467342</x:v>
      </x:c>
      <x:c r="N41" s="24" t="str">
        <x:v>spratelloides delicatulus</x:v>
      </x:c>
      <x:c r="O41" s="32" t="n">
        <x:v>3.13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Spratelloides delicatulus</x:v>
      </x:c>
      <x:c r="T41" s="32" t="n">
        <x:f>IF(O41="","",(1/'Metadata'!$B$5)^(O41-1))</x:f>
        <x:v>134.89628825916532</x:v>
      </x:c>
      <x:c r="U41" s="31" t="n">
        <x:f>IF(T41="","",I41*T41)</x:f>
        <x:v>4776.197351929956</x:v>
      </x:c>
    </x:row>
    <x:row r="42" ht="18" customHeight="1">
      <x:c r="A42" s="24" t="str">
        <x:v>EEZ_776</x:v>
      </x:c>
      <x:c r="B42" s="24" t="str">
        <x:v>Tonga</x:v>
      </x:c>
      <x:c r="C42" s="24" t="str">
        <x:v>EEZ</x:v>
      </x:c>
      <x:c r="D42" s="30" t="n">
        <x:v>2019</x:v>
      </x:c>
      <x:c r="E42" s="24" t="str">
        <x:v>Labridae</x:v>
      </x:c>
      <x:c r="F42" s="24" t="str">
        <x:v>Wrasses, gropers, tuskfishes</x:v>
      </x:c>
      <x:c r="G42" s="24" t="str">
        <x:v>Medium reef assoc. fish (30 - 89 cm)</x:v>
      </x:c>
      <x:c r="H42" s="24" t="str">
        <x:v>Perch-likes</x:v>
      </x:c>
      <x:c r="I42" s="31" t="n">
        <x:v>32.8210697415</x:v>
      </x:c>
      <x:c r="J42" s="31" t="n">
        <x:v>32.8210697415</x:v>
      </x:c>
      <x:c r="K42" s="31" t="n">
        <x:v>0</x:v>
      </x:c>
      <x:c r="L42" s="31" t="n">
        <x:v>4.2602431189</x:v>
      </x:c>
      <x:c r="M42" s="31" t="n">
        <x:v>28.560826622599997</x:v>
      </x:c>
      <x:c r="N42" s="24" t="str">
        <x:v>labridae</x:v>
      </x:c>
      <x:c r="O42" s="32" t="n">
        <x:v>3.46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Labridae</x:v>
      </x:c>
      <x:c r="T42" s="32" t="n">
        <x:f>IF(O42="","",(1/'Metadata'!$B$5)^(O42-1))</x:f>
        <x:v>288.40315031266056</x:v>
      </x:c>
      <x:c r="U42" s="31" t="n">
        <x:f>IF(T42="","",I42*T42)</x:f>
        <x:v>9465.699910080139</x:v>
      </x:c>
    </x:row>
    <x:row r="43" ht="18" customHeight="1">
      <x:c r="A43" s="24" t="str">
        <x:v>EEZ_776</x:v>
      </x:c>
      <x:c r="B43" s="24" t="str">
        <x:v>Tonga</x:v>
      </x:c>
      <x:c r="C43" s="24" t="str">
        <x:v>EEZ</x:v>
      </x:c>
      <x:c r="D43" s="30" t="n">
        <x:v>2019</x:v>
      </x:c>
      <x:c r="E43" s="24" t="str">
        <x:v>Carcharhinus longimanus</x:v>
      </x:c>
      <x:c r="F43" s="24" t="str">
        <x:v>Oceanic whitetip shark</x:v>
      </x:c>
      <x:c r="G43" s="24" t="str">
        <x:v>Large sharks (&gt;=90 cm)</x:v>
      </x:c>
      <x:c r="H43" s="24" t="str">
        <x:v>Sharks &amp; rays</x:v>
      </x:c>
      <x:c r="I43" s="31" t="n">
        <x:v>31.058579796900002</x:v>
      </x:c>
      <x:c r="J43" s="31" t="n">
        <x:v>9.3257607207</x:v>
      </x:c>
      <x:c r="K43" s="31" t="n">
        <x:v>21.732819076200002</x:v>
      </x:c>
      <x:c r="L43" s="31" t="n">
        <x:v>9.3257607207</x:v>
      </x:c>
      <x:c r="M43" s="31" t="n">
        <x:v>21.732819076200002</x:v>
      </x:c>
      <x:c r="N43" s="24" t="str">
        <x:v>carcharhinus longimanus</x:v>
      </x:c>
      <x:c r="O43" s="32" t="n">
        <x:v>4.16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Carcharhinus longimanus</x:v>
      </x:c>
      <x:c r="T43" s="32" t="n">
        <x:f>IF(O43="","",(1/'Metadata'!$B$5)^(O43-1))</x:f>
        <x:v>1445.439770745928</x:v>
      </x:c>
      <x:c r="U43" s="31" t="n">
        <x:f>IF(T43="","",I43*T43)</x:f>
        <x:v>44893.30646132525</x:v>
      </x:c>
    </x:row>
    <x:row r="44" ht="18" customHeight="1">
      <x:c r="A44" s="24" t="str">
        <x:v>EEZ_776</x:v>
      </x:c>
      <x:c r="B44" s="24" t="str">
        <x:v>Tonga</x:v>
      </x:c>
      <x:c r="C44" s="24" t="str">
        <x:v>EEZ</x:v>
      </x:c>
      <x:c r="D44" s="30" t="n">
        <x:v>2019</x:v>
      </x:c>
      <x:c r="E44" s="24" t="str">
        <x:v>Selar crumenophthalmus</x:v>
      </x:c>
      <x:c r="F44" s="24" t="str">
        <x:v>Bigeye scad</x:v>
      </x:c>
      <x:c r="G44" s="24" t="str">
        <x:v>Medium pelagics (30 - 89 cm)</x:v>
      </x:c>
      <x:c r="H44" s="24" t="str">
        <x:v>Perch-likes</x:v>
      </x:c>
      <x:c r="I44" s="31" t="n">
        <x:v>30.0134061898</x:v>
      </x:c>
      <x:c r="J44" s="31" t="n">
        <x:v>30.0134061898</x:v>
      </x:c>
      <x:c r="K44" s="31" t="n">
        <x:v>0</x:v>
      </x:c>
      <x:c r="L44" s="31" t="n">
        <x:v>6.3918566403</x:v>
      </x:c>
      <x:c r="M44" s="31" t="n">
        <x:v>23.6215495495</x:v>
      </x:c>
      <x:c r="N44" s="24" t="str">
        <x:v>selar crumenophthalmus</x:v>
      </x:c>
      <x:c r="O44" s="32" t="n">
        <x:v>3.81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Selar crumenophthalmus</x:v>
      </x:c>
      <x:c r="T44" s="32" t="n">
        <x:f>IF(O44="","",(1/'Metadata'!$B$5)^(O44-1))</x:f>
        <x:v>645.6542290346556</x:v>
      </x:c>
      <x:c r="U44" s="31" t="n">
        <x:f>IF(T44="","",I44*T44)</x:f>
        <x:v>19378.28263417928</x:v>
      </x:c>
    </x:row>
    <x:row r="45" ht="18" customHeight="1">
      <x:c r="A45" s="24" t="str">
        <x:v>EEZ_776</x:v>
      </x:c>
      <x:c r="B45" s="24" t="str">
        <x:v>Tonga</x:v>
      </x:c>
      <x:c r="C45" s="24" t="str">
        <x:v>EEZ</x:v>
      </x:c>
      <x:c r="D45" s="30" t="n">
        <x:v>2019</x:v>
      </x:c>
      <x:c r="E45" s="24" t="str">
        <x:v>Atule mate</x:v>
      </x:c>
      <x:c r="F45" s="24" t="str">
        <x:v>Yellowtail scad</x:v>
      </x:c>
      <x:c r="G45" s="24" t="str">
        <x:v>Small pelagics (&lt;30 cm)</x:v>
      </x:c>
      <x:c r="H45" s="24" t="str">
        <x:v>Perch-likes</x:v>
      </x:c>
      <x:c r="I45" s="31" t="n">
        <x:v>28.8410075105</x:v>
      </x:c>
      <x:c r="J45" s="31" t="n">
        <x:v>28.8410075105</x:v>
      </x:c>
      <x:c r="K45" s="31" t="n">
        <x:v>0</x:v>
      </x:c>
      <x:c r="L45" s="31" t="n">
        <x:v>6.1421747403</x:v>
      </x:c>
      <x:c r="M45" s="31" t="n">
        <x:v>22.6988327702</x:v>
      </x:c>
      <x:c r="N45" s="24" t="str">
        <x:v>atule mate</x:v>
      </x:c>
      <x:c r="O45" s="32" t="n">
        <x:v>4.22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Atule mate</x:v>
      </x:c>
      <x:c r="T45" s="32" t="n">
        <x:f>IF(O45="","",(1/'Metadata'!$B$5)^(O45-1))</x:f>
        <x:v>1659.5869074375596</x:v>
      </x:c>
      <x:c r="U45" s="31" t="n">
        <x:f>IF(T45="","",I45*T45)</x:f>
        <x:v>47864.15846173412</x:v>
      </x:c>
    </x:row>
    <x:row r="46" ht="18" customHeight="1">
      <x:c r="A46" s="24" t="str">
        <x:v>EEZ_776</x:v>
      </x:c>
      <x:c r="B46" s="24" t="str">
        <x:v>Tonga</x:v>
      </x:c>
      <x:c r="C46" s="24" t="str">
        <x:v>EEZ</x:v>
      </x:c>
      <x:c r="D46" s="30" t="n">
        <x:v>2019</x:v>
      </x:c>
      <x:c r="E46" s="24" t="str">
        <x:v>Coryphaena hippurus</x:v>
      </x:c>
      <x:c r="F46" s="24" t="str">
        <x:v>Common dolphinfish</x:v>
      </x:c>
      <x:c r="G46" s="24" t="str">
        <x:v>Large pelagics (&gt;=90 cm)</x:v>
      </x:c>
      <x:c r="H46" s="24" t="str">
        <x:v>Perch-likes</x:v>
      </x:c>
      <x:c r="I46" s="31" t="n">
        <x:v>27.8658518766</x:v>
      </x:c>
      <x:c r="J46" s="31" t="n">
        <x:v>5.5149633874</x:v>
      </x:c>
      <x:c r="K46" s="31" t="n">
        <x:v>22.3508884892</x:v>
      </x:c>
      <x:c r="L46" s="31" t="n">
        <x:v>1.1745036577</x:v>
      </x:c>
      <x:c r="M46" s="31" t="n">
        <x:v>26.6913482189</x:v>
      </x:c>
      <x:c r="N46" s="24" t="str">
        <x:v>coryphaena hippurus</x:v>
      </x:c>
      <x:c r="O46" s="32" t="n">
        <x:v>4.37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Coryphaena hippurus</x:v>
      </x:c>
      <x:c r="T46" s="32" t="n">
        <x:f>IF(O46="","",(1/'Metadata'!$B$5)^(O46-1))</x:f>
        <x:v>2344.228815319923</x:v>
      </x:c>
      <x:c r="U46" s="31" t="n">
        <x:f>IF(T46="","",I46*T46)</x:f>
        <x:v>65323.93293256247</x:v>
      </x:c>
    </x:row>
    <x:row r="47" ht="18" customHeight="1">
      <x:c r="A47" s="24" t="str">
        <x:v>EEZ_776</x:v>
      </x:c>
      <x:c r="B47" s="24" t="str">
        <x:v>Tonga</x:v>
      </x:c>
      <x:c r="C47" s="24" t="str">
        <x:v>EEZ</x:v>
      </x:c>
      <x:c r="D47" s="30" t="n">
        <x:v>2019</x:v>
      </x:c>
      <x:c r="E47" s="24" t="str">
        <x:v>Myripristis</x:v>
      </x:c>
      <x:c r="F47" s="24" t="str">
        <x:v>Soldierfishes</x:v>
      </x:c>
      <x:c r="G47" s="24" t="str">
        <x:v>Small reef assoc. fish (&lt;30 cm)</x:v>
      </x:c>
      <x:c r="H47" s="24" t="str">
        <x:v>Other fishes &amp; inverts</x:v>
      </x:c>
      <x:c r="I47" s="31" t="n">
        <x:v>26.553565286599998</x:v>
      </x:c>
      <x:c r="J47" s="31" t="n">
        <x:v>26.553565286599998</x:v>
      </x:c>
      <x:c r="K47" s="31" t="n">
        <x:v>0</x:v>
      </x:c>
      <x:c r="L47" s="31" t="n">
        <x:v>3.4467080046</x:v>
      </x:c>
      <x:c r="M47" s="31" t="n">
        <x:v>23.106857282</x:v>
      </x:c>
      <x:c r="N47" s="24" t="str">
        <x:v>myripristis</x:v>
      </x:c>
      <x:c r="O47" s="32" t="n">
        <x:v>3.42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Myripristis</x:v>
      </x:c>
      <x:c r="T47" s="32" t="n">
        <x:f>IF(O47="","",(1/'Metadata'!$B$5)^(O47-1))</x:f>
        <x:v>263.02679918953817</x:v>
      </x:c>
      <x:c r="U47" s="31" t="n">
        <x:f>IF(T47="","",I47*T47)</x:f>
        <x:v>6984.299284404829</x:v>
      </x:c>
    </x:row>
    <x:row r="48" ht="18" customHeight="1">
      <x:c r="A48" s="24" t="str">
        <x:v>EEZ_776</x:v>
      </x:c>
      <x:c r="B48" s="24" t="str">
        <x:v>Tonga</x:v>
      </x:c>
      <x:c r="C48" s="24" t="str">
        <x:v>EEZ</x:v>
      </x:c>
      <x:c r="D48" s="30" t="n">
        <x:v>2019</x:v>
      </x:c>
      <x:c r="E48" s="24" t="str">
        <x:v>Abudefduf vaigiensis</x:v>
      </x:c>
      <x:c r="F48" s="24" t="str">
        <x:v>Indo-Pacific sergeant</x:v>
      </x:c>
      <x:c r="G48" s="24" t="str">
        <x:v>Small reef assoc. fish (&lt;30 cm)</x:v>
      </x:c>
      <x:c r="H48" s="24" t="str">
        <x:v>Perch-likes</x:v>
      </x:c>
      <x:c r="I48" s="31" t="n">
        <x:v>25.678614522700002</x:v>
      </x:c>
      <x:c r="J48" s="31" t="n">
        <x:v>25.678614522700002</x:v>
      </x:c>
      <x:c r="K48" s="31" t="n">
        <x:v>0</x:v>
      </x:c>
      <x:c r="L48" s="31" t="n">
        <x:v>3.3331375755</x:v>
      </x:c>
      <x:c r="M48" s="31" t="n">
        <x:v>22.345476947199998</x:v>
      </x:c>
      <x:c r="N48" s="24" t="str">
        <x:v>abudefduf vaigiensis</x:v>
      </x:c>
      <x:c r="O48" s="32" t="n">
        <x:v>2.57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Abudefduf vaigiensis</x:v>
      </x:c>
      <x:c r="T48" s="32" t="n">
        <x:f>IF(O48="","",(1/'Metadata'!$B$5)^(O48-1))</x:f>
        <x:v>37.15352290971724</x:v>
      </x:c>
      <x:c r="U48" s="31" t="n">
        <x:f>IF(T48="","",I48*T48)</x:f>
        <x:v>954.0509929589323</x:v>
      </x:c>
    </x:row>
    <x:row r="49" ht="18" customHeight="1">
      <x:c r="A49" s="24" t="str">
        <x:v>EEZ_776</x:v>
      </x:c>
      <x:c r="B49" s="24" t="str">
        <x:v>Tonga</x:v>
      </x:c>
      <x:c r="C49" s="24" t="str">
        <x:v>EEZ</x:v>
      </x:c>
      <x:c r="D49" s="30" t="n">
        <x:v>2019</x:v>
      </x:c>
      <x:c r="E49" s="24" t="str">
        <x:v>Cheilinus</x:v>
      </x:c>
      <x:c r="F49" s="24" t="str">
        <x:v>Wrasses</x:v>
      </x:c>
      <x:c r="G49" s="24" t="str">
        <x:v>Medium reef assoc. fish (30 - 89 cm)</x:v>
      </x:c>
      <x:c r="H49" s="24" t="str">
        <x:v>Perch-likes</x:v>
      </x:c>
      <x:c r="I49" s="31" t="n">
        <x:v>25.3881546777</x:v>
      </x:c>
      <x:c r="J49" s="31" t="n">
        <x:v>25.3881546777</x:v>
      </x:c>
      <x:c r="K49" s="31" t="n">
        <x:v>0</x:v>
      </x:c>
      <x:c r="L49" s="31" t="n">
        <x:v>3.2954352834</x:v>
      </x:c>
      <x:c r="M49" s="31" t="n">
        <x:v>22.092719394299998</x:v>
      </x:c>
      <x:c r="N49" s="24" t="str">
        <x:v>cheilinus</x:v>
      </x:c>
      <x:c r="O49" s="32" t="n">
        <x:v>3.44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Cheilinus</x:v>
      </x:c>
      <x:c r="T49" s="32" t="n">
        <x:f>IF(O49="","",(1/'Metadata'!$B$5)^(O49-1))</x:f>
        <x:v>275.4228703338166</x:v>
      </x:c>
      <x:c r="U49" s="31" t="n">
        <x:f>IF(T49="","",I49*T49)</x:f>
        <x:v>6992.478433811047</x:v>
      </x:c>
    </x:row>
    <x:row r="50" ht="18" customHeight="1">
      <x:c r="A50" s="24" t="str">
        <x:v>EEZ_776</x:v>
      </x:c>
      <x:c r="B50" s="24" t="str">
        <x:v>Tonga</x:v>
      </x:c>
      <x:c r="C50" s="24" t="str">
        <x:v>EEZ</x:v>
      </x:c>
      <x:c r="D50" s="30" t="n">
        <x:v>2019</x:v>
      </x:c>
      <x:c r="E50" s="24" t="str">
        <x:v>Istiompax indica</x:v>
      </x:c>
      <x:c r="F50" s="24" t="str">
        <x:v>Black marlin</x:v>
      </x:c>
      <x:c r="G50" s="24" t="str">
        <x:v>Large pelagics (&gt;=90 cm)</x:v>
      </x:c>
      <x:c r="H50" s="24" t="str">
        <x:v>Tuna &amp; billfishes</x:v>
      </x:c>
      <x:c r="I50" s="31" t="n">
        <x:v>24.425035184899997</x:v>
      </x:c>
      <x:c r="J50" s="31" t="n">
        <x:v>24.425035184899997</x:v>
      </x:c>
      <x:c r="K50" s="31" t="n">
        <x:v>0</x:v>
      </x:c>
      <x:c r="L50" s="31" t="n">
        <x:v>22.3581495993</x:v>
      </x:c>
      <x:c r="M50" s="31" t="n">
        <x:v>2.0668855856</x:v>
      </x:c>
      <x:c r="N50" s="24" t="str">
        <x:v>istiompax indica</x:v>
      </x:c>
      <x:c r="O50" s="32" t="n">
        <x:v>4.5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Istiompax indica</x:v>
      </x:c>
      <x:c r="T50" s="32" t="n">
        <x:f>IF(O50="","",(1/'Metadata'!$B$5)^(O50-1))</x:f>
        <x:v>3162.2776601683795</x:v>
      </x:c>
      <x:c r="U50" s="31" t="n">
        <x:f>IF(T50="","",I50*T50)</x:f>
        <x:v>77238.74311403591</x:v>
      </x:c>
    </x:row>
    <x:row r="51" ht="18" customHeight="1">
      <x:c r="A51" s="24" t="str">
        <x:v>EEZ_776</x:v>
      </x:c>
      <x:c r="B51" s="24" t="str">
        <x:v>Tonga</x:v>
      </x:c>
      <x:c r="C51" s="24" t="str">
        <x:v>EEZ</x:v>
      </x:c>
      <x:c r="D51" s="30" t="n">
        <x:v>2019</x:v>
      </x:c>
      <x:c r="E51" s="24" t="str">
        <x:v>Sphyraena</x:v>
      </x:c>
      <x:c r="F51" s="24" t="str">
        <x:v>Barracudas, sennets</x:v>
      </x:c>
      <x:c r="G51" s="24" t="str">
        <x:v>Large pelagics (&gt;=90 cm)</x:v>
      </x:c>
      <x:c r="H51" s="24" t="str">
        <x:v>Perch-likes</x:v>
      </x:c>
      <x:c r="I51" s="31" t="n">
        <x:v>23.3747712835</x:v>
      </x:c>
      <x:c r="J51" s="31" t="n">
        <x:v>23.3747712835</x:v>
      </x:c>
      <x:c r="K51" s="31" t="n">
        <x:v>0</x:v>
      </x:c>
      <x:c r="L51" s="31" t="n">
        <x:v>3.5582652902</x:v>
      </x:c>
      <x:c r="M51" s="31" t="n">
        <x:v>19.816505993299998</x:v>
      </x:c>
      <x:c r="N51" s="24" t="str">
        <x:v>sphyraena</x:v>
      </x:c>
      <x:c r="O51" s="32" t="n">
        <x:v>4.4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Sphyraena</x:v>
      </x:c>
      <x:c r="T51" s="32" t="n">
        <x:f>IF(O51="","",(1/'Metadata'!$B$5)^(O51-1))</x:f>
        <x:v>2511.886431509582</x:v>
      </x:c>
      <x:c r="U51" s="31" t="n">
        <x:f>IF(T51="","",I51*T51)</x:f>
        <x:v>58714.770826663465</x:v>
      </x:c>
    </x:row>
    <x:row r="52" ht="18" customHeight="1">
      <x:c r="A52" s="24" t="str">
        <x:v>EEZ_776</x:v>
      </x:c>
      <x:c r="B52" s="24" t="str">
        <x:v>Tonga</x:v>
      </x:c>
      <x:c r="C52" s="24" t="str">
        <x:v>EEZ</x:v>
      </x:c>
      <x:c r="D52" s="30" t="n">
        <x:v>2019</x:v>
      </x:c>
      <x:c r="E52" s="24" t="str">
        <x:v>Naso</x:v>
      </x:c>
      <x:c r="F52" s="24" t="str">
        <x:v>Unicornfishes</x:v>
      </x:c>
      <x:c r="G52" s="24" t="str">
        <x:v>Medium reef assoc. fish (30 - 89 cm)</x:v>
      </x:c>
      <x:c r="H52" s="24" t="str">
        <x:v>Perch-likes</x:v>
      </x:c>
      <x:c r="I52" s="31" t="n">
        <x:v>20.222076338</x:v>
      </x:c>
      <x:c r="J52" s="31" t="n">
        <x:v>20.222076338</x:v>
      </x:c>
      <x:c r="K52" s="31" t="n">
        <x:v>0</x:v>
      </x:c>
      <x:c r="L52" s="31" t="n">
        <x:v>2.6248675698</x:v>
      </x:c>
      <x:c r="M52" s="31" t="n">
        <x:v>17.597208768199998</x:v>
      </x:c>
      <x:c r="N52" s="24" t="str">
        <x:v>naso</x:v>
      </x:c>
      <x:c r="O52" s="32" t="n">
        <x:v>3.28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Naso</x:v>
      </x:c>
      <x:c r="T52" s="32" t="n">
        <x:f>IF(O52="","",(1/'Metadata'!$B$5)^(O52-1))</x:f>
        <x:v>190.54607179632464</x:v>
      </x:c>
      <x:c r="U52" s="31" t="n">
        <x:f>IF(T52="","",I52*T52)</x:f>
        <x:v>3853.237209771306</x:v>
      </x:c>
    </x:row>
    <x:row r="53" ht="18" customHeight="1">
      <x:c r="A53" s="24" t="str">
        <x:v>EEZ_776</x:v>
      </x:c>
      <x:c r="B53" s="24" t="str">
        <x:v>Tonga</x:v>
      </x:c>
      <x:c r="C53" s="24" t="str">
        <x:v>EEZ</x:v>
      </x:c>
      <x:c r="D53" s="30" t="n">
        <x:v>2019</x:v>
      </x:c>
      <x:c r="E53" s="24" t="str">
        <x:v>Kyphosus cinerascens</x:v>
      </x:c>
      <x:c r="F53" s="24" t="str">
        <x:v>Blue sea chub</x:v>
      </x:c>
      <x:c r="G53" s="24" t="str">
        <x:v>Medium reef assoc. fish (30 - 89 cm)</x:v>
      </x:c>
      <x:c r="H53" s="24" t="str">
        <x:v>Perch-likes</x:v>
      </x:c>
      <x:c r="I53" s="31" t="n">
        <x:v>18.847153708</x:v>
      </x:c>
      <x:c r="J53" s="31" t="n">
        <x:v>18.847153708</x:v>
      </x:c>
      <x:c r="K53" s="31" t="n">
        <x:v>0</x:v>
      </x:c>
      <x:c r="L53" s="31" t="n">
        <x:v>2.4463997527</x:v>
      </x:c>
      <x:c r="M53" s="31" t="n">
        <x:v>16.4007539553</x:v>
      </x:c>
      <x:c r="N53" s="24" t="str">
        <x:v>kyphosus cinerascens</x:v>
      </x:c>
      <x:c r="O53" s="32" t="n">
        <x:v>2.85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Kyphosus cinerascens</x:v>
      </x:c>
      <x:c r="T53" s="32" t="n">
        <x:f>IF(O53="","",(1/'Metadata'!$B$5)^(O53-1))</x:f>
        <x:v>70.79457843841381</x:v>
      </x:c>
      <x:c r="U53" s="31" t="n">
        <x:f>IF(T53="","",I53*T53)</x:f>
        <x:v>1334.2763015218477</x:v>
      </x:c>
    </x:row>
    <x:row r="54" ht="18" customHeight="1">
      <x:c r="A54" s="24" t="str">
        <x:v>EEZ_776</x:v>
      </x:c>
      <x:c r="B54" s="24" t="str">
        <x:v>Tonga</x:v>
      </x:c>
      <x:c r="C54" s="24" t="str">
        <x:v>EEZ</x:v>
      </x:c>
      <x:c r="D54" s="30" t="n">
        <x:v>2019</x:v>
      </x:c>
      <x:c r="E54" s="24" t="str">
        <x:v>Acanthurus lineatus</x:v>
      </x:c>
      <x:c r="F54" s="24" t="str">
        <x:v>Lined surgeonfish</x:v>
      </x:c>
      <x:c r="G54" s="24" t="str">
        <x:v>Small reef assoc. fish (&lt;30 cm)</x:v>
      </x:c>
      <x:c r="H54" s="24" t="str">
        <x:v>Perch-likes</x:v>
      </x:c>
      <x:c r="I54" s="31" t="n">
        <x:v>18.8441776854</x:v>
      </x:c>
      <x:c r="J54" s="31" t="n">
        <x:v>18.8441776854</x:v>
      </x:c>
      <x:c r="K54" s="31" t="n">
        <x:v>0</x:v>
      </x:c>
      <x:c r="L54" s="31" t="n">
        <x:v>2.4460134587</x:v>
      </x:c>
      <x:c r="M54" s="31" t="n">
        <x:v>16.3981642267</x:v>
      </x:c>
      <x:c r="N54" s="24" t="str">
        <x:v>acanthurus lineatus</x:v>
      </x:c>
      <x:c r="O54" s="32" t="n">
        <x:v>2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Acanthurus lineatus</x:v>
      </x:c>
      <x:c r="T54" s="32" t="n">
        <x:f>IF(O54="","",(1/'Metadata'!$B$5)^(O54-1))</x:f>
        <x:v>10</x:v>
      </x:c>
      <x:c r="U54" s="31" t="n">
        <x:f>IF(T54="","",I54*T54)</x:f>
        <x:v>188.44177685399998</x:v>
      </x:c>
    </x:row>
    <x:row r="55" ht="18" customHeight="1">
      <x:c r="A55" s="24" t="str">
        <x:v>EEZ_776</x:v>
      </x:c>
      <x:c r="B55" s="24" t="str">
        <x:v>Tonga</x:v>
      </x:c>
      <x:c r="C55" s="24" t="str">
        <x:v>EEZ</x:v>
      </x:c>
      <x:c r="D55" s="30" t="n">
        <x:v>2019</x:v>
      </x:c>
      <x:c r="E55" s="24" t="str">
        <x:v>Istiophoridae</x:v>
      </x:c>
      <x:c r="F55" s="24" t="str">
        <x:v>Billfishes</x:v>
      </x:c>
      <x:c r="G55" s="24" t="str">
        <x:v>Large pelagics (&gt;=90 cm)</x:v>
      </x:c>
      <x:c r="H55" s="24" t="str">
        <x:v>Tuna &amp; billfishes</x:v>
      </x:c>
      <x:c r="I55" s="31" t="n">
        <x:v>17.2328298089</x:v>
      </x:c>
      <x:c r="J55" s="31" t="n">
        <x:v>0</x:v>
      </x:c>
      <x:c r="K55" s="31" t="n">
        <x:v>17.2328298089</x:v>
      </x:c>
      <x:c r="L55" s="31" t="n">
        <x:v>0</x:v>
      </x:c>
      <x:c r="M55" s="31" t="n">
        <x:v>17.2328298089</x:v>
      </x:c>
      <x:c r="N55" s="24" t="str">
        <x:v>istiophoridae</x:v>
      </x:c>
      <x:c r="O55" s="32" t="n">
        <x:v>4.48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Istiophoridae</x:v>
      </x:c>
      <x:c r="T55" s="32" t="n">
        <x:f>IF(O55="","",(1/'Metadata'!$B$5)^(O55-1))</x:f>
        <x:v>3019.951720402019</x:v>
      </x:c>
      <x:c r="U55" s="31" t="n">
        <x:f>IF(T55="","",I55*T55)</x:f>
        <x:v>52042.31402878275</x:v>
      </x:c>
    </x:row>
    <x:row r="56" ht="18" customHeight="1">
      <x:c r="A56" s="24" t="str">
        <x:v>EEZ_776</x:v>
      </x:c>
      <x:c r="B56" s="24" t="str">
        <x:v>Tonga</x:v>
      </x:c>
      <x:c r="C56" s="24" t="str">
        <x:v>EEZ</x:v>
      </x:c>
      <x:c r="D56" s="30" t="n">
        <x:v>2019</x:v>
      </x:c>
      <x:c r="E56" s="24" t="str">
        <x:v>Clupeidae</x:v>
      </x:c>
      <x:c r="F56" s="24" t="str">
        <x:v>Herrings, sardines, menhadens</x:v>
      </x:c>
      <x:c r="G56" s="24" t="str">
        <x:v>Small pelagics (&lt;30 cm)</x:v>
      </x:c>
      <x:c r="H56" s="24" t="str">
        <x:v>Herring-likes</x:v>
      </x:c>
      <x:c r="I56" s="31" t="n">
        <x:v>16.882540981800002</x:v>
      </x:c>
      <x:c r="J56" s="31" t="n">
        <x:v>16.882540981800002</x:v>
      </x:c>
      <x:c r="K56" s="31" t="n">
        <x:v>0</x:v>
      </x:c>
      <x:c r="L56" s="31" t="n">
        <x:v>3.5954193602</x:v>
      </x:c>
      <x:c r="M56" s="31" t="n">
        <x:v>13.2871216216</x:v>
      </x:c>
      <x:c r="N56" s="24" t="str">
        <x:v>clupeidae</x:v>
      </x:c>
      <x:c r="O56" s="32" t="n">
        <x:v>3.16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Clupeidae</x:v>
      </x:c>
      <x:c r="T56" s="32" t="n">
        <x:f>IF(O56="","",(1/'Metadata'!$B$5)^(O56-1))</x:f>
        <x:v>144.5439770745928</x:v>
      </x:c>
      <x:c r="U56" s="31" t="n">
        <x:f>IF(T56="","",I56*T56)</x:f>
        <x:v>2440.2696166341725</x:v>
      </x:c>
    </x:row>
    <x:row r="57" ht="18" customHeight="1">
      <x:c r="A57" s="24" t="str">
        <x:v>EEZ_776</x:v>
      </x:c>
      <x:c r="B57" s="24" t="str">
        <x:v>Tonga</x:v>
      </x:c>
      <x:c r="C57" s="24" t="str">
        <x:v>EEZ</x:v>
      </x:c>
      <x:c r="D57" s="30" t="n">
        <x:v>2019</x:v>
      </x:c>
      <x:c r="E57" s="24" t="str">
        <x:v>Caranx</x:v>
      </x:c>
      <x:c r="F57" s="24" t="str">
        <x:v>Jacks</x:v>
      </x:c>
      <x:c r="G57" s="24" t="str">
        <x:v>Medium reef assoc. fish (30 - 89 cm)</x:v>
      </x:c>
      <x:c r="H57" s="24" t="str">
        <x:v>Perch-likes</x:v>
      </x:c>
      <x:c r="I57" s="31" t="n">
        <x:v>12.5736972079</x:v>
      </x:c>
      <x:c r="J57" s="31" t="n">
        <x:v>12.5736972079</x:v>
      </x:c>
      <x:c r="K57" s="31" t="n">
        <x:v>0</x:v>
      </x:c>
      <x:c r="L57" s="31" t="n">
        <x:v>1.6320920504</x:v>
      </x:c>
      <x:c r="M57" s="31" t="n">
        <x:v>10.9416051575</x:v>
      </x:c>
      <x:c r="N57" s="24" t="str">
        <x:v>caranx</x:v>
      </x:c>
      <x:c r="O57" s="32" t="n">
        <x:v>4.12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Caranx</x:v>
      </x:c>
      <x:c r="T57" s="32" t="n">
        <x:f>IF(O57="","",(1/'Metadata'!$B$5)^(O57-1))</x:f>
        <x:v>1318.2567385564075</x:v>
      </x:c>
      <x:c r="U57" s="31" t="n">
        <x:f>IF(T57="","",I57*T57)</x:f>
        <x:v>16575.36107288206</x:v>
      </x:c>
    </x:row>
    <x:row r="58" ht="18" customHeight="1">
      <x:c r="A58" s="24" t="str">
        <x:v>EEZ_776</x:v>
      </x:c>
      <x:c r="B58" s="24" t="str">
        <x:v>Tonga</x:v>
      </x:c>
      <x:c r="C58" s="24" t="str">
        <x:v>EEZ</x:v>
      </x:c>
      <x:c r="D58" s="30" t="n">
        <x:v>2019</x:v>
      </x:c>
      <x:c r="E58" s="24" t="str">
        <x:v>Isurus oxyrinchus</x:v>
      </x:c>
      <x:c r="F58" s="24" t="str">
        <x:v>Shortfin mako</x:v>
      </x:c>
      <x:c r="G58" s="24" t="str">
        <x:v>Large sharks (&gt;=90 cm)</x:v>
      </x:c>
      <x:c r="H58" s="24" t="str">
        <x:v>Sharks &amp; rays</x:v>
      </x:c>
      <x:c r="I58" s="31" t="n">
        <x:v>12.1641358151</x:v>
      </x:c>
      <x:c r="J58" s="31" t="n">
        <x:v>12.1641358151</x:v>
      </x:c>
      <x:c r="K58" s="31" t="n">
        <x:v>0</x:v>
      </x:c>
      <x:c r="L58" s="31" t="n">
        <x:v>12.034955466</x:v>
      </x:c>
      <x:c r="M58" s="31" t="n">
        <x:v>0.1291803491</x:v>
      </x:c>
      <x:c r="N58" s="24" t="str">
        <x:v>isurus oxyrinchus</x:v>
      </x:c>
      <x:c r="O58" s="32" t="n">
        <x:v>4.5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Isurus oxyrinchus</x:v>
      </x:c>
      <x:c r="T58" s="32" t="n">
        <x:f>IF(O58="","",(1/'Metadata'!$B$5)^(O58-1))</x:f>
        <x:v>3162.2776601683795</x:v>
      </x:c>
      <x:c r="U58" s="31" t="n">
        <x:f>IF(T58="","",I58*T58)</x:f>
        <x:v>38466.37494334481</x:v>
      </x:c>
    </x:row>
    <x:row r="59" ht="18" customHeight="1">
      <x:c r="A59" s="24" t="str">
        <x:v>EEZ_776</x:v>
      </x:c>
      <x:c r="B59" s="24" t="str">
        <x:v>Tonga</x:v>
      </x:c>
      <x:c r="C59" s="24" t="str">
        <x:v>EEZ</x:v>
      </x:c>
      <x:c r="D59" s="30" t="n">
        <x:v>2019</x:v>
      </x:c>
      <x:c r="E59" s="24" t="str">
        <x:v>Diodon</x:v>
      </x:c>
      <x:c r="F59" s="24" t="str">
        <x:v>Porcupinefishes</x:v>
      </x:c>
      <x:c r="G59" s="24" t="str">
        <x:v>Medium reef assoc. fish (30 - 89 cm)</x:v>
      </x:c>
      <x:c r="H59" s="24" t="str">
        <x:v>Other fishes &amp; inverts</x:v>
      </x:c>
      <x:c r="I59" s="31" t="n">
        <x:v>12.035037043700001</x:v>
      </x:c>
      <x:c r="J59" s="31" t="n">
        <x:v>12.035037043700001</x:v>
      </x:c>
      <x:c r="K59" s="31" t="n">
        <x:v>0</x:v>
      </x:c>
      <x:c r="L59" s="31" t="n">
        <x:v>1.5621728406</x:v>
      </x:c>
      <x:c r="M59" s="31" t="n">
        <x:v>10.4728642031</x:v>
      </x:c>
      <x:c r="N59" s="24" t="str">
        <x:v>diodon</x:v>
      </x:c>
      <x:c r="O59" s="32" t="n">
        <x:v>3.36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Diodon</x:v>
      </x:c>
      <x:c r="T59" s="32" t="n">
        <x:f>IF(O59="","",(1/'Metadata'!$B$5)^(O59-1))</x:f>
        <x:v>229.08676527677724</x:v>
      </x:c>
      <x:c r="U59" s="31" t="n">
        <x:f>IF(T59="","",I59*T59)</x:f>
        <x:v>2757.067706327421</x:v>
      </x:c>
    </x:row>
    <x:row r="60" ht="18" customHeight="1">
      <x:c r="A60" s="24" t="str">
        <x:v>EEZ_776</x:v>
      </x:c>
      <x:c r="B60" s="24" t="str">
        <x:v>Tonga</x:v>
      </x:c>
      <x:c r="C60" s="24" t="str">
        <x:v>EEZ</x:v>
      </x:c>
      <x:c r="D60" s="30" t="n">
        <x:v>2019</x:v>
      </x:c>
      <x:c r="E60" s="24" t="str">
        <x:v>Terapon jarbua</x:v>
      </x:c>
      <x:c r="F60" s="24" t="str">
        <x:v>Jarbua terapon</x:v>
      </x:c>
      <x:c r="G60" s="24" t="str">
        <x:v>Medium demersals (30 - 89 cm)</x:v>
      </x:c>
      <x:c r="H60" s="24" t="str">
        <x:v>Perch-likes</x:v>
      </x:c>
      <x:c r="I60" s="31" t="n">
        <x:v>10.355072055499999</x:v>
      </x:c>
      <x:c r="J60" s="31" t="n">
        <x:v>10.355072055499999</x:v>
      </x:c>
      <x:c r="K60" s="31" t="n">
        <x:v>0</x:v>
      </x:c>
      <x:c r="L60" s="31" t="n">
        <x:v>1.3441098909</x:v>
      </x:c>
      <x:c r="M60" s="31" t="n">
        <x:v>9.010962164599999</x:v>
      </x:c>
      <x:c r="N60" s="24" t="str">
        <x:v>terapon jarbua</x:v>
      </x:c>
      <x:c r="O60" s="32" t="n">
        <x:v>3.93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Terapon jarbua</x:v>
      </x:c>
      <x:c r="T60" s="32" t="n">
        <x:f>IF(O60="","",(1/'Metadata'!$B$5)^(O60-1))</x:f>
        <x:v>851.1380382023768</x:v>
      </x:c>
      <x:c r="U60" s="31" t="n">
        <x:f>IF(T60="","",I60*T60)</x:f>
        <x:v>8813.595714762523</x:v>
      </x:c>
    </x:row>
    <x:row r="61" ht="18" customHeight="1">
      <x:c r="A61" s="24" t="str">
        <x:v>EEZ_776</x:v>
      </x:c>
      <x:c r="B61" s="24" t="str">
        <x:v>Tonga</x:v>
      </x:c>
      <x:c r="C61" s="24" t="str">
        <x:v>EEZ</x:v>
      </x:c>
      <x:c r="D61" s="30" t="n">
        <x:v>2019</x:v>
      </x:c>
      <x:c r="E61" s="24" t="str">
        <x:v>Etelis carbunculus</x:v>
      </x:c>
      <x:c r="F61" s="24" t="str">
        <x:v>Deep-water red snapper</x:v>
      </x:c>
      <x:c r="G61" s="24" t="str">
        <x:v>Large demersals (&gt;=90 cm)</x:v>
      </x:c>
      <x:c r="H61" s="24" t="str">
        <x:v>Perch-likes</x:v>
      </x:c>
      <x:c r="I61" s="31" t="n">
        <x:v>9.712</x:v>
      </x:c>
      <x:c r="J61" s="31" t="n">
        <x:v>9.712</x:v>
      </x:c>
      <x:c r="K61" s="31" t="n">
        <x:v>0</x:v>
      </x:c>
      <x:c r="L61" s="31" t="n">
        <x:v>9.712</x:v>
      </x:c>
      <x:c r="M61" s="31" t="n">
        <x:v>0</x:v>
      </x:c>
      <x:c r="N61" s="24" t="str">
        <x:v>etelis carbunculus</x:v>
      </x:c>
      <x:c r="O61" s="32" t="n">
        <x:v>4.49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Etelis carbunculus</x:v>
      </x:c>
      <x:c r="T61" s="32" t="n">
        <x:f>IF(O61="","",(1/'Metadata'!$B$5)^(O61-1))</x:f>
        <x:v>3090.295432513592</x:v>
      </x:c>
      <x:c r="U61" s="31" t="n">
        <x:f>IF(T61="","",I61*T61)</x:f>
        <x:v>30012.949240572005</x:v>
      </x:c>
    </x:row>
    <x:row r="62" ht="18" customHeight="1">
      <x:c r="A62" s="24" t="str">
        <x:v>EEZ_776</x:v>
      </x:c>
      <x:c r="B62" s="24" t="str">
        <x:v>Tonga</x:v>
      </x:c>
      <x:c r="C62" s="24" t="str">
        <x:v>EEZ</x:v>
      </x:c>
      <x:c r="D62" s="30" t="n">
        <x:v>2019</x:v>
      </x:c>
      <x:c r="E62" s="24" t="str">
        <x:v>Acanthurus triostegus</x:v>
      </x:c>
      <x:c r="F62" s="24" t="str">
        <x:v>Convict surgeonfish</x:v>
      </x:c>
      <x:c r="G62" s="24" t="str">
        <x:v>Small reef assoc. fish (&lt;30 cm)</x:v>
      </x:c>
      <x:c r="H62" s="24" t="str">
        <x:v>Perch-likes</x:v>
      </x:c>
      <x:c r="I62" s="31" t="n">
        <x:v>9.2524555315</x:v>
      </x:c>
      <x:c r="J62" s="31" t="n">
        <x:v>9.2524555315</x:v>
      </x:c>
      <x:c r="K62" s="31" t="n">
        <x:v>0</x:v>
      </x:c>
      <x:c r="L62" s="31" t="n">
        <x:v>1.2009879727</x:v>
      </x:c>
      <x:c r="M62" s="31" t="n">
        <x:v>8.0514675588</x:v>
      </x:c>
      <x:c r="N62" s="24" t="str">
        <x:v>acanthurus triostegus</x:v>
      </x:c>
      <x:c r="O62" s="32" t="n">
        <x:v>2.78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Acanthurus triostegus</x:v>
      </x:c>
      <x:c r="T62" s="32" t="n">
        <x:f>IF(O62="","",(1/'Metadata'!$B$5)^(O62-1))</x:f>
        <x:v>60.255958607435744</x:v>
      </x:c>
      <x:c r="U62" s="31" t="n">
        <x:f>IF(T62="","",I62*T62)</x:f>
        <x:v>557.5155775232039</x:v>
      </x:c>
    </x:row>
    <x:row r="63" ht="18" customHeight="1">
      <x:c r="A63" s="24" t="str">
        <x:v>EEZ_776</x:v>
      </x:c>
      <x:c r="B63" s="24" t="str">
        <x:v>Tonga</x:v>
      </x:c>
      <x:c r="C63" s="24" t="str">
        <x:v>EEZ</x:v>
      </x:c>
      <x:c r="D63" s="30" t="n">
        <x:v>2019</x:v>
      </x:c>
      <x:c r="E63" s="24" t="str">
        <x:v>Thunnus orientalis</x:v>
      </x:c>
      <x:c r="F63" s="24" t="str">
        <x:v>Pacific bluefin tuna</x:v>
      </x:c>
      <x:c r="G63" s="24" t="str">
        <x:v>Large pelagics (&gt;=90 cm)</x:v>
      </x:c>
      <x:c r="H63" s="24" t="str">
        <x:v>Tuna &amp; billfishes</x:v>
      </x:c>
      <x:c r="I63" s="31" t="n">
        <x:v>9.015480099100001</x:v>
      </x:c>
      <x:c r="J63" s="31" t="n">
        <x:v>8.9637887629</x:v>
      </x:c>
      <x:c r="K63" s="31" t="n">
        <x:v>0.0516913362</x:v>
      </x:c>
      <x:c r="L63" s="31" t="n">
        <x:v>8.9637887629</x:v>
      </x:c>
      <x:c r="M63" s="31" t="n">
        <x:v>0.0516913362</x:v>
      </x:c>
      <x:c r="N63" s="24" t="str">
        <x:v>thunnus orientalis</x:v>
      </x:c>
      <x:c r="O63" s="32" t="n">
        <x:v>4.05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Thunnus orientalis</x:v>
      </x:c>
      <x:c r="T63" s="32" t="n">
        <x:f>IF(O63="","",(1/'Metadata'!$B$5)^(O63-1))</x:f>
        <x:v>1122.018454301963</x:v>
      </x:c>
      <x:c r="U63" s="31" t="n">
        <x:f>IF(T63="","",I63*T63)</x:f>
        <x:v>10115.535045582292</x:v>
      </x:c>
    </x:row>
    <x:row r="64" ht="18" customHeight="1">
      <x:c r="A64" s="24" t="str">
        <x:v>EEZ_776</x:v>
      </x:c>
      <x:c r="B64" s="24" t="str">
        <x:v>Tonga</x:v>
      </x:c>
      <x:c r="C64" s="24" t="str">
        <x:v>EEZ</x:v>
      </x:c>
      <x:c r="D64" s="30" t="n">
        <x:v>2019</x:v>
      </x:c>
      <x:c r="E64" s="24" t="str">
        <x:v>Bolbometopon muricatum</x:v>
      </x:c>
      <x:c r="F64" s="24" t="str">
        <x:v>Green humphead parrotfish</x:v>
      </x:c>
      <x:c r="G64" s="24" t="str">
        <x:v>Large reef assoc. fish (&gt;=90 cm)</x:v>
      </x:c>
      <x:c r="H64" s="24" t="str">
        <x:v>Perch-likes</x:v>
      </x:c>
      <x:c r="I64" s="31" t="n">
        <x:v>8.129006845900001</x:v>
      </x:c>
      <x:c r="J64" s="31" t="n">
        <x:v>8.129006845900001</x:v>
      </x:c>
      <x:c r="K64" s="31" t="n">
        <x:v>0</x:v>
      </x:c>
      <x:c r="L64" s="31" t="n">
        <x:v>1.0551619966</x:v>
      </x:c>
      <x:c r="M64" s="31" t="n">
        <x:v>7.0738448493</x:v>
      </x:c>
      <x:c r="N64" s="24" t="str">
        <x:v>bolbometopon muricatum</x:v>
      </x:c>
      <x:c r="O64" s="32" t="n">
        <x:v>2.67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Bolbometopon muricatum</x:v>
      </x:c>
      <x:c r="T64" s="32" t="n">
        <x:f>IF(O64="","",(1/'Metadata'!$B$5)^(O64-1))</x:f>
        <x:v>46.77351412871981</x:v>
      </x:c>
      <x:c r="U64" s="31" t="n">
        <x:f>IF(T64="","",I64*T64)</x:f>
        <x:v>380.22221655916377</x:v>
      </x:c>
    </x:row>
    <x:row r="65" ht="18" customHeight="1">
      <x:c r="A65" s="24" t="str">
        <x:v>EEZ_776</x:v>
      </x:c>
      <x:c r="B65" s="24" t="str">
        <x:v>Tonga</x:v>
      </x:c>
      <x:c r="C65" s="24" t="str">
        <x:v>EEZ</x:v>
      </x:c>
      <x:c r="D65" s="30" t="n">
        <x:v>2019</x:v>
      </x:c>
      <x:c r="E65" s="24" t="str">
        <x:v>Sargocentron</x:v>
      </x:c>
      <x:c r="F65" s="24" t="str">
        <x:v>Squirrelfishes</x:v>
      </x:c>
      <x:c r="G65" s="24" t="str">
        <x:v>Small reef assoc. fish (&lt;30 cm)</x:v>
      </x:c>
      <x:c r="H65" s="24" t="str">
        <x:v>Other fishes &amp; inverts</x:v>
      </x:c>
      <x:c r="I65" s="31" t="n">
        <x:v>7.3016724495</x:v>
      </x:c>
      <x:c r="J65" s="31" t="n">
        <x:v>7.3016724495</x:v>
      </x:c>
      <x:c r="K65" s="31" t="n">
        <x:v>0</x:v>
      </x:c>
      <x:c r="L65" s="31" t="n">
        <x:v>0.9477722711</x:v>
      </x:c>
      <x:c r="M65" s="31" t="n">
        <x:v>6.3539001784</x:v>
      </x:c>
      <x:c r="N65" s="24" t="str">
        <x:v>sargocentron</x:v>
      </x:c>
      <x:c r="O65" s="32" t="n">
        <x:v>3.49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Sargocentron</x:v>
      </x:c>
      <x:c r="T65" s="32" t="n">
        <x:f>IF(O65="","",(1/'Metadata'!$B$5)^(O65-1))</x:f>
        <x:v>309.0295432513592</x:v>
      </x:c>
      <x:c r="U65" s="31" t="n">
        <x:f>IF(T65="","",I65*T65)</x:f>
        <x:v>2256.432502040018</x:v>
      </x:c>
    </x:row>
    <x:row r="66" ht="18" customHeight="1">
      <x:c r="A66" s="24" t="str">
        <x:v>EEZ_776</x:v>
      </x:c>
      <x:c r="B66" s="24" t="str">
        <x:v>Tonga</x:v>
      </x:c>
      <x:c r="C66" s="24" t="str">
        <x:v>EEZ</x:v>
      </x:c>
      <x:c r="D66" s="30" t="n">
        <x:v>2019</x:v>
      </x:c>
      <x:c r="E66" s="24" t="str">
        <x:v>Sphyrna</x:v>
      </x:c>
      <x:c r="F66" s="24" t="str">
        <x:v>Hammerhead sharks</x:v>
      </x:c>
      <x:c r="G66" s="24" t="str">
        <x:v>Large sharks (&gt;=90 cm)</x:v>
      </x:c>
      <x:c r="H66" s="24" t="str">
        <x:v>Sharks &amp; rays</x:v>
      </x:c>
      <x:c r="I66" s="31" t="n">
        <x:v>6.3329763556</x:v>
      </x:c>
      <x:c r="J66" s="31" t="n">
        <x:v>6.3329763556</x:v>
      </x:c>
      <x:c r="K66" s="31" t="n">
        <x:v>0</x:v>
      </x:c>
      <x:c r="L66" s="31" t="n">
        <x:v>6.3329763556</x:v>
      </x:c>
      <x:c r="M66" s="31" t="n">
        <x:v>0</x:v>
      </x:c>
      <x:c r="N66" s="24" t="str">
        <x:v>sphyrna</x:v>
      </x:c>
      <x:c r="O66" s="32" t="n">
        <x:v>4.2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Sphyrna</x:v>
      </x:c>
      <x:c r="T66" s="32" t="n">
        <x:f>IF(O66="","",(1/'Metadata'!$B$5)^(O66-1))</x:f>
        <x:v>1584.893192461114</x:v>
      </x:c>
      <x:c r="U66" s="31" t="n">
        <x:f>IF(T66="","",I66*T66)</x:f>
        <x:v>10037.091114007635</x:v>
      </x:c>
    </x:row>
    <x:row r="67" ht="18" customHeight="1">
      <x:c r="A67" s="24" t="str">
        <x:v>EEZ_776</x:v>
      </x:c>
      <x:c r="B67" s="24" t="str">
        <x:v>Tonga</x:v>
      </x:c>
      <x:c r="C67" s="24" t="str">
        <x:v>EEZ</x:v>
      </x:c>
      <x:c r="D67" s="30" t="n">
        <x:v>2019</x:v>
      </x:c>
      <x:c r="E67" s="24" t="str">
        <x:v>Pristipomoides flavipinnis</x:v>
      </x:c>
      <x:c r="F67" s="24" t="str">
        <x:v>Golden eye jobfish</x:v>
      </x:c>
      <x:c r="G67" s="24" t="str">
        <x:v>Medium demersals (30 - 89 cm)</x:v>
      </x:c>
      <x:c r="H67" s="24" t="str">
        <x:v>Perch-likes</x:v>
      </x:c>
      <x:c r="I67" s="31" t="n">
        <x:v>6.24</x:v>
      </x:c>
      <x:c r="J67" s="31" t="n">
        <x:v>6.24</x:v>
      </x:c>
      <x:c r="K67" s="31" t="n">
        <x:v>0</x:v>
      </x:c>
      <x:c r="L67" s="31" t="n">
        <x:v>6.24</x:v>
      </x:c>
      <x:c r="M67" s="31" t="n">
        <x:v>0</x:v>
      </x:c>
      <x:c r="N67" s="24" t="str">
        <x:v>pristipomoides flavipinnis</x:v>
      </x:c>
      <x:c r="O67" s="32" t="n">
        <x:v>3.6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Pristipomoides flavipinnis</x:v>
      </x:c>
      <x:c r="T67" s="32" t="n">
        <x:f>IF(O67="","",(1/'Metadata'!$B$5)^(O67-1))</x:f>
        <x:v>398.1071705534973</x:v>
      </x:c>
      <x:c r="U67" s="31" t="n">
        <x:f>IF(T67="","",I67*T67)</x:f>
        <x:v>2484.188744253823</x:v>
      </x:c>
    </x:row>
    <x:row r="68" ht="18" customHeight="1">
      <x:c r="A68" s="24" t="str">
        <x:v>EEZ_776</x:v>
      </x:c>
      <x:c r="B68" s="24" t="str">
        <x:v>Tonga</x:v>
      </x:c>
      <x:c r="C68" s="24" t="str">
        <x:v>EEZ</x:v>
      </x:c>
      <x:c r="D68" s="30" t="n">
        <x:v>2019</x:v>
      </x:c>
      <x:c r="E68" s="24" t="str">
        <x:v>Epinephelus morrhua</x:v>
      </x:c>
      <x:c r="F68" s="24" t="str">
        <x:v>Comet grouper</x:v>
      </x:c>
      <x:c r="G68" s="24" t="str">
        <x:v>Medium demersals (30 - 89 cm)</x:v>
      </x:c>
      <x:c r="H68" s="24" t="str">
        <x:v>Perch-likes</x:v>
      </x:c>
      <x:c r="I68" s="31" t="n">
        <x:v>5.936</x:v>
      </x:c>
      <x:c r="J68" s="31" t="n">
        <x:v>5.936</x:v>
      </x:c>
      <x:c r="K68" s="31" t="n">
        <x:v>0</x:v>
      </x:c>
      <x:c r="L68" s="31" t="n">
        <x:v>5.936</x:v>
      </x:c>
      <x:c r="M68" s="31" t="n">
        <x:v>0</x:v>
      </x:c>
      <x:c r="N68" s="24" t="str">
        <x:v>epinephelus morrhua</x:v>
      </x:c>
      <x:c r="O68" s="32" t="n">
        <x:v>3.97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Epinephelus morrhua</x:v>
      </x:c>
      <x:c r="T68" s="32" t="n">
        <x:f>IF(O68="","",(1/'Metadata'!$B$5)^(O68-1))</x:f>
        <x:v>933.2543007969915</x:v>
      </x:c>
      <x:c r="U68" s="31" t="n">
        <x:f>IF(T68="","",I68*T68)</x:f>
        <x:v>5539.797529530942</x:v>
      </x:c>
    </x:row>
    <x:row r="69" ht="18" customHeight="1">
      <x:c r="A69" s="24" t="str">
        <x:v>EEZ_776</x:v>
      </x:c>
      <x:c r="B69" s="24" t="str">
        <x:v>Tonga</x:v>
      </x:c>
      <x:c r="C69" s="24" t="str">
        <x:v>EEZ</x:v>
      </x:c>
      <x:c r="D69" s="30" t="n">
        <x:v>2019</x:v>
      </x:c>
      <x:c r="E69" s="24" t="str">
        <x:v>Sphyraena barracuda</x:v>
      </x:c>
      <x:c r="F69" s="24" t="str">
        <x:v>Great barracuda</x:v>
      </x:c>
      <x:c r="G69" s="24" t="str">
        <x:v>Large pelagics (&gt;=90 cm)</x:v>
      </x:c>
      <x:c r="H69" s="24" t="str">
        <x:v>Perch-likes</x:v>
      </x:c>
      <x:c r="I69" s="31" t="n">
        <x:v>5.4669542655</x:v>
      </x:c>
      <x:c r="J69" s="31" t="n">
        <x:v>5.4669542655</x:v>
      </x:c>
      <x:c r="K69" s="31" t="n">
        <x:v>0</x:v>
      </x:c>
      <x:c r="L69" s="31" t="n">
        <x:v>0.7096220347</x:v>
      </x:c>
      <x:c r="M69" s="31" t="n">
        <x:v>4.7573322307999995</x:v>
      </x:c>
      <x:c r="N69" s="24" t="str">
        <x:v>sphyraena barracuda</x:v>
      </x:c>
      <x:c r="O69" s="32" t="n">
        <x:v>4.49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Sphyraena barracuda</x:v>
      </x:c>
      <x:c r="T69" s="32" t="n">
        <x:f>IF(O69="","",(1/'Metadata'!$B$5)^(O69-1))</x:f>
        <x:v>3090.295432513592</x:v>
      </x:c>
      <x:c r="U69" s="31" t="n">
        <x:f>IF(T69="","",I69*T69)</x:f>
        <x:v>16894.50379643535</x:v>
      </x:c>
    </x:row>
    <x:row r="70" ht="18" customHeight="1">
      <x:c r="A70" s="24" t="str">
        <x:v>EEZ_776</x:v>
      </x:c>
      <x:c r="B70" s="24" t="str">
        <x:v>Tonga</x:v>
      </x:c>
      <x:c r="C70" s="24" t="str">
        <x:v>EEZ</x:v>
      </x:c>
      <x:c r="D70" s="30" t="n">
        <x:v>2019</x:v>
      </x:c>
      <x:c r="E70" s="24" t="str">
        <x:v>Spratelloides gracilis</x:v>
      </x:c>
      <x:c r="F70" s="24" t="str">
        <x:v>Silver-stripe round herring</x:v>
      </x:c>
      <x:c r="G70" s="24" t="str">
        <x:v>Small pelagics (&lt;30 cm)</x:v>
      </x:c>
      <x:c r="H70" s="24" t="str">
        <x:v>Herring-likes</x:v>
      </x:c>
      <x:c r="I70" s="31" t="n">
        <x:v>5.3930339248</x:v>
      </x:c>
      <x:c r="J70" s="31" t="n">
        <x:v>5.3930339248</x:v>
      </x:c>
      <x:c r="K70" s="31" t="n">
        <x:v>0</x:v>
      </x:c>
      <x:c r="L70" s="31" t="n">
        <x:v>1.1485367401</x:v>
      </x:c>
      <x:c r="M70" s="31" t="n">
        <x:v>4.2444971847</x:v>
      </x:c>
      <x:c r="N70" s="24" t="str">
        <x:v>spratelloides gracilis</x:v>
      </x:c>
      <x:c r="O70" s="32" t="n">
        <x:v>3.06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Spratelloides gracilis</x:v>
      </x:c>
      <x:c r="T70" s="32" t="n">
        <x:f>IF(O70="","",(1/'Metadata'!$B$5)^(O70-1))</x:f>
        <x:v>114.81536214968828</x:v>
      </x:c>
      <x:c r="U70" s="31" t="n">
        <x:f>IF(T70="","",I70*T70)</x:f>
        <x:v>619.2031431614668</x:v>
      </x:c>
    </x:row>
    <x:row r="71" ht="18" customHeight="1">
      <x:c r="A71" s="24" t="str">
        <x:v>EEZ_776</x:v>
      </x:c>
      <x:c r="B71" s="24" t="str">
        <x:v>Tonga</x:v>
      </x:c>
      <x:c r="C71" s="24" t="str">
        <x:v>EEZ</x:v>
      </x:c>
      <x:c r="D71" s="30" t="n">
        <x:v>2019</x:v>
      </x:c>
      <x:c r="E71" s="24" t="str">
        <x:v>Gymnothorax</x:v>
      </x:c>
      <x:c r="F71" s="24" t="str">
        <x:v>Morays</x:v>
      </x:c>
      <x:c r="G71" s="24" t="str">
        <x:v>Large reef assoc. fish (&gt;=90 cm)</x:v>
      </x:c>
      <x:c r="H71" s="24" t="str">
        <x:v>Other fishes &amp; inverts</x:v>
      </x:c>
      <x:c r="I71" s="31" t="n">
        <x:v>5.2824408391999995</x:v>
      </x:c>
      <x:c r="J71" s="31" t="n">
        <x:v>5.2824408391999995</x:v>
      </x:c>
      <x:c r="K71" s="31" t="n">
        <x:v>0</x:v>
      </x:c>
      <x:c r="L71" s="31" t="n">
        <x:v>0.6856718081</x:v>
      </x:c>
      <x:c r="M71" s="31" t="n">
        <x:v>4.5967690311</x:v>
      </x:c>
      <x:c r="N71" s="24" t="str">
        <x:v>gymnothorax</x:v>
      </x:c>
      <x:c r="O71" s="32" t="n">
        <x:v>4.22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Gymnothorax</x:v>
      </x:c>
      <x:c r="T71" s="32" t="n">
        <x:f>IF(O71="","",(1/'Metadata'!$B$5)^(O71-1))</x:f>
        <x:v>1659.5869074375596</x:v>
      </x:c>
      <x:c r="U71" s="31" t="n">
        <x:f>IF(T71="","",I71*T71)</x:f>
        <x:v>8766.669656049795</x:v>
      </x:c>
    </x:row>
    <x:row r="72" ht="18" customHeight="1">
      <x:c r="A72" s="24" t="str">
        <x:v>EEZ_776</x:v>
      </x:c>
      <x:c r="B72" s="24" t="str">
        <x:v>Tonga</x:v>
      </x:c>
      <x:c r="C72" s="24" t="str">
        <x:v>EEZ</x:v>
      </x:c>
      <x:c r="D72" s="30" t="n">
        <x:v>2019</x:v>
      </x:c>
      <x:c r="E72" s="24" t="str">
        <x:v>Cheilinus undulatus</x:v>
      </x:c>
      <x:c r="F72" s="24" t="str">
        <x:v>Humphead wrasse</x:v>
      </x:c>
      <x:c r="G72" s="24" t="str">
        <x:v>Large reef assoc. fish (&gt;=90 cm)</x:v>
      </x:c>
      <x:c r="H72" s="24" t="str">
        <x:v>Perch-likes</x:v>
      </x:c>
      <x:c r="I72" s="31" t="n">
        <x:v>5.0294788834999995</x:v>
      </x:c>
      <x:c r="J72" s="31" t="n">
        <x:v>5.0294788834999995</x:v>
      </x:c>
      <x:c r="K72" s="31" t="n">
        <x:v>0</x:v>
      </x:c>
      <x:c r="L72" s="31" t="n">
        <x:v>0.6528368201</x:v>
      </x:c>
      <x:c r="M72" s="31" t="n">
        <x:v>4.3766420634</x:v>
      </x:c>
      <x:c r="N72" s="24" t="str">
        <x:v>cheilinus undulatus</x:v>
      </x:c>
      <x:c r="O72" s="32" t="n">
        <x:v>3.99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Cheilinus undulatus</x:v>
      </x:c>
      <x:c r="T72" s="32" t="n">
        <x:f>IF(O72="","",(1/'Metadata'!$B$5)^(O72-1))</x:f>
        <x:v>977.2372209558112</x:v>
      </x:c>
      <x:c r="U72" s="31" t="n">
        <x:f>IF(T72="","",I72*T72)</x:f>
        <x:v>4914.993966967475</x:v>
      </x:c>
    </x:row>
    <x:row r="73" ht="18" customHeight="1">
      <x:c r="A73" s="24" t="str">
        <x:v>EEZ_776</x:v>
      </x:c>
      <x:c r="B73" s="24" t="str">
        <x:v>Tonga</x:v>
      </x:c>
      <x:c r="C73" s="24" t="str">
        <x:v>EEZ</x:v>
      </x:c>
      <x:c r="D73" s="30" t="n">
        <x:v>2019</x:v>
      </x:c>
      <x:c r="E73" s="24" t="str">
        <x:v>Platax</x:v>
      </x:c>
      <x:c r="F73" s="24" t="str">
        <x:v>Spadefishes</x:v>
      </x:c>
      <x:c r="G73" s="24" t="str">
        <x:v>Medium reef assoc. fish (30 - 89 cm)</x:v>
      </x:c>
      <x:c r="H73" s="24" t="str">
        <x:v>Perch-likes</x:v>
      </x:c>
      <x:c r="I73" s="31" t="n">
        <x:v>2.792997593</x:v>
      </x:c>
      <x:c r="J73" s="31" t="n">
        <x:v>2.792997593</x:v>
      </x:c>
      <x:c r="K73" s="31" t="n">
        <x:v>0</x:v>
      </x:c>
      <x:c r="L73" s="31" t="n">
        <x:v>0.3625368969</x:v>
      </x:c>
      <x:c r="M73" s="31" t="n">
        <x:v>2.4304606961</x:v>
      </x:c>
      <x:c r="N73" s="24" t="str">
        <x:v>platax</x:v>
      </x:c>
      <x:c r="O73" s="32" t="n">
        <x:v>3.53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Platax</x:v>
      </x:c>
      <x:c r="T73" s="32" t="n">
        <x:f>IF(O73="","",(1/'Metadata'!$B$5)^(O73-1))</x:f>
        <x:v>338.84415613920237</x:v>
      </x:c>
      <x:c r="U73" s="31" t="n">
        <x:f>IF(T73="","",I73*T73)</x:f>
        <x:v>946.3909124989084</x:v>
      </x:c>
    </x:row>
    <x:row r="74" ht="18" customHeight="1">
      <x:c r="A74" s="24" t="str">
        <x:v>EEZ_776</x:v>
      </x:c>
      <x:c r="B74" s="24" t="str">
        <x:v>Tonga</x:v>
      </x:c>
      <x:c r="C74" s="24" t="str">
        <x:v>EEZ</x:v>
      </x:c>
      <x:c r="D74" s="30" t="n">
        <x:v>2019</x:v>
      </x:c>
      <x:c r="E74" s="24" t="str">
        <x:v>Lutjanus bohar</x:v>
      </x:c>
      <x:c r="F74" s="24" t="str">
        <x:v>Two-spot red snapper</x:v>
      </x:c>
      <x:c r="G74" s="24" t="str">
        <x:v>Medium reef assoc. fish (30 - 89 cm)</x:v>
      </x:c>
      <x:c r="H74" s="24" t="str">
        <x:v>Perch-likes</x:v>
      </x:c>
      <x:c r="I74" s="31" t="n">
        <x:v>2.5534277408</x:v>
      </x:c>
      <x:c r="J74" s="31" t="n">
        <x:v>2.5534277408</x:v>
      </x:c>
      <x:c r="K74" s="31" t="n">
        <x:v>0</x:v>
      </x:c>
      <x:c r="L74" s="31" t="n">
        <x:v>0.3314402318</x:v>
      </x:c>
      <x:c r="M74" s="31" t="n">
        <x:v>2.221987509</x:v>
      </x:c>
      <x:c r="N74" s="24" t="str">
        <x:v>lutjanus bohar</x:v>
      </x:c>
      <x:c r="O74" s="32" t="n">
        <x:v>4.27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Lutjanus bohar</x:v>
      </x:c>
      <x:c r="T74" s="32" t="n">
        <x:f>IF(O74="","",(1/'Metadata'!$B$5)^(O74-1))</x:f>
        <x:v>1862.0871366628655</x:v>
      </x:c>
      <x:c r="U74" s="31" t="n">
        <x:f>IF(T74="","",I74*T74)</x:f>
        <x:v>4754.704950541802</x:v>
      </x:c>
    </x:row>
    <x:row r="75" ht="18" customHeight="1">
      <x:c r="A75" s="24" t="str">
        <x:v>EEZ_776</x:v>
      </x:c>
      <x:c r="B75" s="24" t="str">
        <x:v>Tonga</x:v>
      </x:c>
      <x:c r="C75" s="24" t="str">
        <x:v>EEZ</x:v>
      </x:c>
      <x:c r="D75" s="30" t="n">
        <x:v>2019</x:v>
      </x:c>
      <x:c r="E75" s="24" t="str">
        <x:v>Tylosurus</x:v>
      </x:c>
      <x:c r="F75" s="24" t="str">
        <x:v>Needlefishes</x:v>
      </x:c>
      <x:c r="G75" s="24" t="str">
        <x:v>Large pelagics (&gt;=90 cm)</x:v>
      </x:c>
      <x:c r="H75" s="24" t="str">
        <x:v>Other fishes &amp; inverts</x:v>
      </x:c>
      <x:c r="I75" s="31" t="n">
        <x:v>2.1953270539</x:v>
      </x:c>
      <x:c r="J75" s="31" t="n">
        <x:v>2.1953270539</x:v>
      </x:c>
      <x:c r="K75" s="31" t="n">
        <x:v>0</x:v>
      </x:c>
      <x:c r="L75" s="31" t="n">
        <x:v>0.4675315997</x:v>
      </x:c>
      <x:c r="M75" s="31" t="n">
        <x:v>1.7277954542</x:v>
      </x:c>
      <x:c r="N75" s="24" t="str">
        <x:v>tylosurus</x:v>
      </x:c>
      <x:c r="O75" s="32" t="n">
        <x:v>4.47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Tylosurus</x:v>
      </x:c>
      <x:c r="T75" s="32" t="n">
        <x:f>IF(O75="","",(1/'Metadata'!$B$5)^(O75-1))</x:f>
        <x:v>2951.209226666384</x:v>
      </x:c>
      <x:c r="U75" s="31" t="n">
        <x:f>IF(T75="","",I75*T75)</x:f>
        <x:v>6478.86945702001</x:v>
      </x:c>
    </x:row>
    <x:row r="76" ht="18" customHeight="1">
      <x:c r="A76" s="24" t="str">
        <x:v>EEZ_776</x:v>
      </x:c>
      <x:c r="B76" s="24" t="str">
        <x:v>Tonga</x:v>
      </x:c>
      <x:c r="C76" s="24" t="str">
        <x:v>EEZ</x:v>
      </x:c>
      <x:c r="D76" s="30" t="n">
        <x:v>2019</x:v>
      </x:c>
      <x:c r="E76" s="24" t="str">
        <x:v>Aluterus</x:v>
      </x:c>
      <x:c r="F76" s="24" t="str">
        <x:v>Aluterid filefishes</x:v>
      </x:c>
      <x:c r="G76" s="24" t="str">
        <x:v>Large reef assoc. fish (&gt;=90 cm)</x:v>
      </x:c>
      <x:c r="H76" s="24" t="str">
        <x:v>Other fishes &amp; inverts</x:v>
      </x:c>
      <x:c r="I76" s="31" t="n">
        <x:v>1.7558535748</x:v>
      </x:c>
      <x:c r="J76" s="31" t="n">
        <x:v>1.7558535748</x:v>
      </x:c>
      <x:c r="K76" s="31" t="n">
        <x:v>0</x:v>
      </x:c>
      <x:c r="L76" s="31" t="n">
        <x:v>0.2279134461</x:v>
      </x:c>
      <x:c r="M76" s="31" t="n">
        <x:v>1.5279401287</x:v>
      </x:c>
      <x:c r="N76" s="24" t="str">
        <x:v>aluterus</x:v>
      </x:c>
      <x:c r="O76" s="32" t="n">
        <x:v>2.81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Aluterus</x:v>
      </x:c>
      <x:c r="T76" s="32" t="n">
        <x:f>IF(O76="","",(1/'Metadata'!$B$5)^(O76-1))</x:f>
        <x:v>64.56542290346556</x:v>
      </x:c>
      <x:c r="U76" s="31" t="n">
        <x:f>IF(T76="","",I76*T76)</x:f>
        <x:v>113.3674286135238</x:v>
      </x:c>
    </x:row>
    <x:row r="77" ht="18" customHeight="1">
      <x:c r="A77" s="24" t="str">
        <x:v>EEZ_776</x:v>
      </x:c>
      <x:c r="B77" s="24" t="str">
        <x:v>Tonga</x:v>
      </x:c>
      <x:c r="C77" s="24" t="str">
        <x:v>EEZ</x:v>
      </x:c>
      <x:c r="D77" s="30" t="n">
        <x:v>2019</x:v>
      </x:c>
      <x:c r="E77" s="24" t="str">
        <x:v>Batoidea</x:v>
      </x:c>
      <x:c r="F77" s="24" t="str">
        <x:v>Batoids, skates, rays, sawfishes</x:v>
      </x:c>
      <x:c r="G77" s="24" t="str">
        <x:v>Large rays (&gt;=90 cm)</x:v>
      </x:c>
      <x:c r="H77" s="24" t="str">
        <x:v>Sharks &amp; rays</x:v>
      </x:c>
      <x:c r="I77" s="31" t="n">
        <x:v>1.641358151</x:v>
      </x:c>
      <x:c r="J77" s="31" t="n">
        <x:v>1.641358151</x:v>
      </x:c>
      <x:c r="K77" s="31" t="n">
        <x:v>0</x:v>
      </x:c>
      <x:c r="L77" s="31" t="n">
        <x:v>0.34955466</x:v>
      </x:c>
      <x:c r="M77" s="31" t="n">
        <x:v>1.291803491</x:v>
      </x:c>
      <x:c r="N77" s="24" t="str">
        <x:v>batoidea</x:v>
      </x:c>
      <x:c r="O77" s="32" t="n">
        <x:v>3.72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Batoidea</x:v>
      </x:c>
      <x:c r="T77" s="32" t="n">
        <x:f>IF(O77="","",(1/'Metadata'!$B$5)^(O77-1))</x:f>
        <x:v>524.8074602497728</x:v>
      </x:c>
      <x:c r="U77" s="31" t="n">
        <x:f>IF(T77="","",I77*T77)</x:f>
        <x:v>861.3970025865731</x:v>
      </x:c>
    </x:row>
    <x:row r="78" ht="18" customHeight="1">
      <x:c r="A78" s="24" t="str">
        <x:v>EEZ_776</x:v>
      </x:c>
      <x:c r="B78" s="24" t="str">
        <x:v>Tonga</x:v>
      </x:c>
      <x:c r="C78" s="24" t="str">
        <x:v>EEZ</x:v>
      </x:c>
      <x:c r="D78" s="30" t="n">
        <x:v>2019</x:v>
      </x:c>
      <x:c r="E78" s="24" t="str">
        <x:v>Gazza minuta</x:v>
      </x:c>
      <x:c r="F78" s="24" t="str">
        <x:v>Toothpony</x:v>
      </x:c>
      <x:c r="G78" s="24" t="str">
        <x:v>Small demersals (&lt;30 cm)</x:v>
      </x:c>
      <x:c r="H78" s="24" t="str">
        <x:v>Perch-likes</x:v>
      </x:c>
      <x:c r="I78" s="31" t="n">
        <x:v>0.9379189434</x:v>
      </x:c>
      <x:c r="J78" s="31" t="n">
        <x:v>0.9379189434</x:v>
      </x:c>
      <x:c r="K78" s="31" t="n">
        <x:v>0</x:v>
      </x:c>
      <x:c r="L78" s="31" t="n">
        <x:v>0.19974552</x:v>
      </x:c>
      <x:c r="M78" s="31" t="n">
        <x:v>0.7381734234</x:v>
      </x:c>
      <x:c r="N78" s="24" t="str">
        <x:v>gazza minuta</x:v>
      </x:c>
      <x:c r="O78" s="32" t="n">
        <x:v>4.19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Gazza minuta</x:v>
      </x:c>
      <x:c r="T78" s="32" t="n">
        <x:f>IF(O78="","",(1/'Metadata'!$B$5)^(O78-1))</x:f>
        <x:v>1548.8166189124827</x:v>
      </x:c>
      <x:c r="U78" s="31" t="n">
        <x:f>IF(T78="","",I78*T78)</x:f>
        <x:v>1452.6644467307563</x:v>
      </x:c>
    </x:row>
    <x:row r="79" ht="18" customHeight="1">
      <x:c r="A79" s="24" t="str">
        <x:v>EEZ_776</x:v>
      </x:c>
      <x:c r="B79" s="24" t="str">
        <x:v>Tonga</x:v>
      </x:c>
      <x:c r="C79" s="24" t="str">
        <x:v>EEZ</x:v>
      </x:c>
      <x:c r="D79" s="30" t="n">
        <x:v>2019</x:v>
      </x:c>
      <x:c r="E79" s="24" t="str">
        <x:v>Carcharhinus amblyrhynchos</x:v>
      </x:c>
      <x:c r="F79" s="24" t="str">
        <x:v>Blacktail reef shark</x:v>
      </x:c>
      <x:c r="G79" s="24" t="str">
        <x:v>Large sharks (&gt;=90 cm)</x:v>
      </x:c>
      <x:c r="H79" s="24" t="str">
        <x:v>Sharks &amp; rays</x:v>
      </x:c>
      <x:c r="I79" s="31" t="n">
        <x:v>0.6565432604</x:v>
      </x:c>
      <x:c r="J79" s="31" t="n">
        <x:v>0.6565432604</x:v>
      </x:c>
      <x:c r="K79" s="31" t="n">
        <x:v>0</x:v>
      </x:c>
      <x:c r="L79" s="31" t="n">
        <x:v>0.139821864</x:v>
      </x:c>
      <x:c r="M79" s="31" t="n">
        <x:v>0.5167213964</x:v>
      </x:c>
      <x:c r="N79" s="24" t="str">
        <x:v>carcharhinus amblyrhynchos</x:v>
      </x:c>
      <x:c r="O79" s="32" t="n">
        <x:v>4.11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Carcharhinus amblyrhynchos</x:v>
      </x:c>
      <x:c r="T79" s="32" t="n">
        <x:f>IF(O79="","",(1/'Metadata'!$B$5)^(O79-1))</x:f>
        <x:v>1288.249551693135</x:v>
      </x:c>
      <x:c r="U79" s="31" t="n">
        <x:f>IF(T79="","",I79*T79)</x:f>
        <x:v>845.7915608774491</x:v>
      </x:c>
    </x:row>
    <x:row r="80" ht="18" customHeight="1">
      <x:c r="A80" s="24" t="str">
        <x:v>EEZ_776</x:v>
      </x:c>
      <x:c r="B80" s="24" t="str">
        <x:v>Tonga</x:v>
      </x:c>
      <x:c r="C80" s="24" t="str">
        <x:v>EEZ</x:v>
      </x:c>
      <x:c r="D80" s="30" t="n">
        <x:v>2019</x:v>
      </x:c>
      <x:c r="E80" s="24" t="str">
        <x:v>Carcharhinus albimarginatus</x:v>
      </x:c>
      <x:c r="F80" s="24" t="str">
        <x:v>Silvertip shark</x:v>
      </x:c>
      <x:c r="G80" s="24" t="str">
        <x:v>Large sharks (&gt;=90 cm)</x:v>
      </x:c>
      <x:c r="H80" s="24" t="str">
        <x:v>Sharks &amp; rays</x:v>
      </x:c>
      <x:c r="I80" s="31" t="n">
        <x:v>0.6565432604</x:v>
      </x:c>
      <x:c r="J80" s="31" t="n">
        <x:v>0.6565432604</x:v>
      </x:c>
      <x:c r="K80" s="31" t="n">
        <x:v>0</x:v>
      </x:c>
      <x:c r="L80" s="31" t="n">
        <x:v>0.139821864</x:v>
      </x:c>
      <x:c r="M80" s="31" t="n">
        <x:v>0.5167213964</x:v>
      </x:c>
      <x:c r="N80" s="24" t="str">
        <x:v>carcharhinus albimarginatus</x:v>
      </x:c>
      <x:c r="O80" s="32" t="n">
        <x:v>4.21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Carcharhinus albimarginatus</x:v>
      </x:c>
      <x:c r="T80" s="32" t="n">
        <x:f>IF(O80="","",(1/'Metadata'!$B$5)^(O80-1))</x:f>
        <x:v>1621.8100973589299</x:v>
      </x:c>
      <x:c r="U80" s="31" t="n">
        <x:f>IF(T80="","",I80*T80)</x:f>
        <x:v>1064.7884890696732</x:v>
      </x:c>
    </x:row>
    <x:row r="81" ht="18" customHeight="1">
      <x:c r="A81" s="24" t="str">
        <x:v>EEZ_776</x:v>
      </x:c>
      <x:c r="B81" s="24" t="str">
        <x:v>Tonga</x:v>
      </x:c>
      <x:c r="C81" s="24" t="str">
        <x:v>EEZ</x:v>
      </x:c>
      <x:c r="D81" s="30" t="n">
        <x:v>2019</x:v>
      </x:c>
      <x:c r="E81" s="24" t="str">
        <x:v>Carcharhinus melanopterus</x:v>
      </x:c>
      <x:c r="F81" s="24" t="str">
        <x:v>Blacktip reef shark</x:v>
      </x:c>
      <x:c r="G81" s="24" t="str">
        <x:v>Large sharks (&gt;=90 cm)</x:v>
      </x:c>
      <x:c r="H81" s="24" t="str">
        <x:v>Sharks &amp; rays</x:v>
      </x:c>
      <x:c r="I81" s="31" t="n">
        <x:v>0.6565432604</x:v>
      </x:c>
      <x:c r="J81" s="31" t="n">
        <x:v>0.6565432604</x:v>
      </x:c>
      <x:c r="K81" s="31" t="n">
        <x:v>0</x:v>
      </x:c>
      <x:c r="L81" s="31" t="n">
        <x:v>0.139821864</x:v>
      </x:c>
      <x:c r="M81" s="31" t="n">
        <x:v>0.5167213964</x:v>
      </x:c>
      <x:c r="N81" s="24" t="str">
        <x:v>carcharhinus melanopterus</x:v>
      </x:c>
      <x:c r="O81" s="32" t="n">
        <x:v>3.94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Carcharhinus melanopterus</x:v>
      </x:c>
      <x:c r="T81" s="32" t="n">
        <x:f>IF(O81="","",(1/'Metadata'!$B$5)^(O81-1))</x:f>
        <x:v>870.9635899560806</x:v>
      </x:c>
      <x:c r="U81" s="31" t="n">
        <x:f>IF(T81="","",I81*T81)</x:f>
        <x:v>571.8252750394538</x:v>
      </x:c>
    </x:row>
    <x:row r="82" ht="18" customHeight="1">
      <x:c r="A82" s="24" t="str">
        <x:v>EEZ_776</x:v>
      </x:c>
      <x:c r="B82" s="24" t="str">
        <x:v>Tonga</x:v>
      </x:c>
      <x:c r="C82" s="24" t="str">
        <x:v>EEZ</x:v>
      </x:c>
      <x:c r="D82" s="30" t="n">
        <x:v>2019</x:v>
      </x:c>
      <x:c r="E82" s="24" t="str">
        <x:v>Sphyrna lewini</x:v>
      </x:c>
      <x:c r="F82" s="24" t="str">
        <x:v>Scalloped hammerhead</x:v>
      </x:c>
      <x:c r="G82" s="24" t="str">
        <x:v>Large sharks (&gt;=90 cm)</x:v>
      </x:c>
      <x:c r="H82" s="24" t="str">
        <x:v>Sharks &amp; rays</x:v>
      </x:c>
      <x:c r="I82" s="31" t="n">
        <x:v>0.6565432604</x:v>
      </x:c>
      <x:c r="J82" s="31" t="n">
        <x:v>0.6565432604</x:v>
      </x:c>
      <x:c r="K82" s="31" t="n">
        <x:v>0</x:v>
      </x:c>
      <x:c r="L82" s="31" t="n">
        <x:v>0.139821864</x:v>
      </x:c>
      <x:c r="M82" s="31" t="n">
        <x:v>0.5167213964</x:v>
      </x:c>
      <x:c r="N82" s="24" t="str">
        <x:v>sphyrna lewini</x:v>
      </x:c>
      <x:c r="O82" s="32" t="n">
        <x:v>4.08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Sphyrna lewini</x:v>
      </x:c>
      <x:c r="T82" s="32" t="n">
        <x:f>IF(O82="","",(1/'Metadata'!$B$5)^(O82-1))</x:f>
        <x:v>1202.2644346174131</x:v>
      </x:c>
      <x:c r="U82" s="31" t="n">
        <x:f>IF(T82="","",I82*T82)</x:f>
        <x:v>789.338611766679</x:v>
      </x:c>
    </x:row>
    <x:row r="83" ht="18" customHeight="1">
      <x:c r="A83" s="24" t="str">
        <x:v>EEZ_776</x:v>
      </x:c>
      <x:c r="B83" s="24" t="str">
        <x:v>Tonga</x:v>
      </x:c>
      <x:c r="C83" s="24" t="str">
        <x:v>EEZ</x:v>
      </x:c>
      <x:c r="D83" s="30" t="n">
        <x:v>2019</x:v>
      </x:c>
      <x:c r="E83" s="24" t="str">
        <x:v>Moolgarda seheli</x:v>
      </x:c>
      <x:c r="F83" s="24" t="str">
        <x:v>Bluespot mullet</x:v>
      </x:c>
      <x:c r="G83" s="24" t="str">
        <x:v>Medium reef assoc. fish (30 - 89 cm)</x:v>
      </x:c>
      <x:c r="H83" s="24" t="str">
        <x:v>Perch-likes</x:v>
      </x:c>
      <x:c r="I83" s="31" t="n">
        <x:v>0.6188966538</x:v>
      </x:c>
      <x:c r="J83" s="31" t="n">
        <x:v>0.6188966538</x:v>
      </x:c>
      <x:c r="K83" s="31" t="n">
        <x:v>0</x:v>
      </x:c>
      <x:c r="L83" s="31" t="n">
        <x:v>0.6188966538</x:v>
      </x:c>
      <x:c r="M83" s="31" t="n">
        <x:v>0</x:v>
      </x:c>
      <x:c r="N83" s="24" t="str">
        <x:v>moolgarda seheli</x:v>
      </x:c>
      <x:c r="O83" s="32" t="n">
        <x:v>2.32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Moolgarda seheli</x:v>
      </x:c>
      <x:c r="T83" s="32" t="n">
        <x:f>IF(O83="","",(1/'Metadata'!$B$5)^(O83-1))</x:f>
        <x:v>20.892961308540386</x:v>
      </x:c>
      <x:c r="U83" s="31" t="n">
        <x:f>IF(T83="","",I83*T83)</x:f>
        <x:v>12.930583841828515</x:v>
      </x:c>
    </x:row>
    <x:row r="84" ht="18" customHeight="1">
      <x:c r="A84" s="24" t="str">
        <x:v>EEZ_776</x:v>
      </x:c>
      <x:c r="B84" s="24" t="str">
        <x:v>Tonga</x:v>
      </x:c>
      <x:c r="C84" s="24" t="str">
        <x:v>EEZ</x:v>
      </x:c>
      <x:c r="D84" s="30" t="n">
        <x:v>2019</x:v>
      </x:c>
      <x:c r="E84" s="24" t="str">
        <x:v>Galeocerdo cuvier</x:v>
      </x:c>
      <x:c r="F84" s="24" t="str">
        <x:v>Tiger shark</x:v>
      </x:c>
      <x:c r="G84" s="24" t="str">
        <x:v>Large sharks (&gt;=90 cm)</x:v>
      </x:c>
      <x:c r="H84" s="24" t="str">
        <x:v>Sharks &amp; rays</x:v>
      </x:c>
      <x:c r="I84" s="31" t="n">
        <x:v>0.3282716302</x:v>
      </x:c>
      <x:c r="J84" s="31" t="n">
        <x:v>0.3282716302</x:v>
      </x:c>
      <x:c r="K84" s="31" t="n">
        <x:v>0</x:v>
      </x:c>
      <x:c r="L84" s="31" t="n">
        <x:v>0.069910932</x:v>
      </x:c>
      <x:c r="M84" s="31" t="n">
        <x:v>0.2583606982</x:v>
      </x:c>
      <x:c r="N84" s="24" t="str">
        <x:v>galeocerdo cuvier</x:v>
      </x:c>
      <x:c r="O84" s="32" t="n">
        <x:v>4.54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Galeocerdo cuvier</x:v>
      </x:c>
      <x:c r="T84" s="32" t="n">
        <x:f>IF(O84="","",(1/'Metadata'!$B$5)^(O84-1))</x:f>
        <x:v>3467.368504525317</x:v>
      </x:c>
      <x:c r="U84" s="31" t="n">
        <x:f>IF(T84="","",I84*T84)</x:f>
        <x:v>1138.2387114846617</x:v>
      </x:c>
    </x:row>
    <x:row r="85" ht="18" customHeight="1">
      <x:c r="A85" s="24" t="str">
        <x:v>EEZ_776</x:v>
      </x:c>
      <x:c r="B85" s="24" t="str">
        <x:v>Tonga</x:v>
      </x:c>
      <x:c r="C85" s="24" t="str">
        <x:v>EEZ</x:v>
      </x:c>
      <x:c r="D85" s="30" t="n">
        <x:v>2019</x:v>
      </x:c>
      <x:c r="E85" s="24" t="str">
        <x:v>Carcharodon carcharias</x:v>
      </x:c>
      <x:c r="F85" s="24" t="str">
        <x:v>Great white shark</x:v>
      </x:c>
      <x:c r="G85" s="24" t="str">
        <x:v>Large sharks (&gt;=90 cm)</x:v>
      </x:c>
      <x:c r="H85" s="24" t="str">
        <x:v>Sharks &amp; rays</x:v>
      </x:c>
      <x:c r="I85" s="31" t="n">
        <x:v>0.1641358151</x:v>
      </x:c>
      <x:c r="J85" s="31" t="n">
        <x:v>0.1641358151</x:v>
      </x:c>
      <x:c r="K85" s="31" t="n">
        <x:v>0</x:v>
      </x:c>
      <x:c r="L85" s="31" t="n">
        <x:v>0.034955466</x:v>
      </x:c>
      <x:c r="M85" s="31" t="n">
        <x:v>0.1291803491</x:v>
      </x:c>
      <x:c r="N85" s="24" t="str">
        <x:v>carcharodon carcharias</x:v>
      </x:c>
      <x:c r="O85" s="32" t="n">
        <x:v>4.53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Carcharodon carcharias</x:v>
      </x:c>
      <x:c r="T85" s="32" t="n">
        <x:f>IF(O85="","",(1/'Metadata'!$B$5)^(O85-1))</x:f>
        <x:v>3388.4415613920273</x:v>
      </x:c>
      <x:c r="U85" s="31" t="n">
        <x:f>IF(T85="","",I85*T85)</x:f>
        <x:v>556.1646175977971</x:v>
      </x:c>
    </x:row>
    <x:row r="86" ht="18" customHeight="1">
      <x:c r="A86" s="24" t="str">
        <x:v>EEZ_776</x:v>
      </x:c>
      <x:c r="B86" s="24" t="str">
        <x:v>Tonga</x:v>
      </x:c>
      <x:c r="C86" s="24" t="str">
        <x:v>EEZ</x:v>
      </x:c>
      <x:c r="D86" s="30" t="n">
        <x:v>2019</x:v>
      </x:c>
      <x:c r="E86" s="24" t="str">
        <x:v>Mugil cephalus</x:v>
      </x:c>
      <x:c r="F86" s="24" t="str">
        <x:v>Flathead grey mullet</x:v>
      </x:c>
      <x:c r="G86" s="24" t="str">
        <x:v>Large benthopelagics (&gt;=90 cm)</x:v>
      </x:c>
      <x:c r="H86" s="24" t="str">
        <x:v>Perch-likes</x:v>
      </x:c>
      <x:c r="I86" s="31" t="n">
        <x:v>0.13262071150000002</x:v>
      </x:c>
      <x:c r="J86" s="31" t="n">
        <x:v>0.13262071150000002</x:v>
      </x:c>
      <x:c r="K86" s="31" t="n">
        <x:v>0</x:v>
      </x:c>
      <x:c r="L86" s="31" t="n">
        <x:v>0.13262071150000002</x:v>
      </x:c>
      <x:c r="M86" s="31" t="n">
        <x:v>0</x:v>
      </x:c>
      <x:c r="N86" s="24" t="str">
        <x:v>mugil cephalus</x:v>
      </x:c>
      <x:c r="O86" s="32" t="n">
        <x:v>2.14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Mugil cephalus</x:v>
      </x:c>
      <x:c r="T86" s="32" t="n">
        <x:f>IF(O86="","",(1/'Metadata'!$B$5)^(O86-1))</x:f>
        <x:v>13.803842646028853</x:v>
      </x:c>
      <x:c r="U86" s="31" t="n">
        <x:f>IF(T86="","",I86*T86)</x:f>
        <x:v>1.8306754331503894</x:v>
      </x:c>
    </x:row>
    <x:row r="87" ht="18" customHeight="1">
      <x:c r="A87" s="24" t="str">
        <x:v>EEZ_776</x:v>
      </x:c>
      <x:c r="B87" s="24" t="str">
        <x:v>Tonga</x:v>
      </x:c>
      <x:c r="C87" s="24" t="str">
        <x:v>EEZ</x:v>
      </x:c>
      <x:c r="D87" s="30" t="n">
        <x:v>2019</x:v>
      </x:c>
      <x:c r="E87" s="24" t="str">
        <x:v>Thunnus maccoyii</x:v>
      </x:c>
      <x:c r="F87" s="24" t="str">
        <x:v>Southern bluefin tuna</x:v>
      </x:c>
      <x:c r="G87" s="24" t="str">
        <x:v>Large pelagics (&gt;=90 cm)</x:v>
      </x:c>
      <x:c r="H87" s="24" t="str">
        <x:v>Tuna &amp; billfishes</x:v>
      </x:c>
      <x:c r="I87" s="31" t="n">
        <x:v>0.0612889836</x:v>
      </x:c>
      <x:c r="J87" s="31" t="n">
        <x:v>0</x:v>
      </x:c>
      <x:c r="K87" s="31" t="n">
        <x:v>0.0612889836</x:v>
      </x:c>
      <x:c r="L87" s="31" t="n">
        <x:v>0</x:v>
      </x:c>
      <x:c r="M87" s="31" t="n">
        <x:v>0.0612889836</x:v>
      </x:c>
      <x:c r="N87" s="24" t="str">
        <x:v>thunnus maccoyii</x:v>
      </x:c>
      <x:c r="O87" s="32" t="n">
        <x:v>3.93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Thunnus maccoyii</x:v>
      </x:c>
      <x:c r="T87" s="32" t="n">
        <x:f>IF(O87="","",(1/'Metadata'!$B$5)^(O87-1))</x:f>
        <x:v>851.1380382023768</x:v>
      </x:c>
      <x:c r="U87" s="31" t="n">
        <x:f>IF(T87="","",I87*T87)</x:f>
        <x:v>52.16538526472165</x:v>
      </x:c>
    </x:row>
  </x:sheetData>
  <x:conditionalFormatting sqref="R2:R8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5d8004010d874d6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54.16481898319999</x:v>
      </x:c>
      <x:c r="C2" s="32" t="n">
        <x:v>3.31</x:v>
      </x:c>
      <x:c r="D2" s="32" t="n">
        <x:f>IF(C2="","",(1/'Metadata'!$B$5)^(C2-1))</x:f>
        <x:v>204.17379446695296</x:v>
      </x:c>
      <x:c r="E2" s="31" t="n">
        <x:f>IF(B2=0,"",B2*D2)</x:f>
        <x:v>11059.036618415586</x:v>
      </x:c>
    </x:row>
    <x:row r="3" ht="18" customHeight="1">
      <x:c r="A3" s="24" t="str">
        <x:v>Crustaceans</x:v>
      </x:c>
      <x:c r="B3" s="31" t="n">
        <x:v>296.4546671654</x:v>
      </x:c>
      <x:c r="C3" s="32" t="n">
        <x:v>2.7</x:v>
      </x:c>
      <x:c r="D3" s="32" t="n">
        <x:f>IF(C3="","",(1/'Metadata'!$B$5)^(C3-1))</x:f>
        <x:v>50.11872336272725</x:v>
      </x:c>
      <x:c r="E3" s="31" t="n">
        <x:f>IF(B3=0,"",B3*D3)</x:f>
        <x:v>14857.929453252063</x:v>
      </x:c>
    </x:row>
    <x:row r="4" ht="18" customHeight="1">
      <x:c r="A4" s="24" t="str">
        <x:v>Herring-likes</x:v>
      </x:c>
      <x:c r="B4" s="31" t="n">
        <x:v>57.68201502120001</x:v>
      </x:c>
      <x:c r="C4" s="32" t="n">
        <x:v>3.132235772357651</x:v>
      </x:c>
      <x:c r="D4" s="32" t="n">
        <x:f>IF(C4="","",(1/'Metadata'!$B$5)^(C4-1))</x:f>
        <x:v>135.59253253369278</x:v>
      </x:c>
      <x:c r="E4" s="31" t="n">
        <x:f>IF(B4=0,"",B4*D4)</x:f>
        <x:v>7821.250498371018</x:v>
      </x:c>
    </x:row>
    <x:row r="5" ht="18" customHeight="1">
      <x:c r="A5" s="24" t="str">
        <x:v>Molluscs</x:v>
      </x:c>
      <x:c r="B5" s="31" t="n">
        <x:v>1180.8186686616</x:v>
      </x:c>
      <x:c r="C5" s="32" t="n">
        <x:v>2.1</x:v>
      </x:c>
      <x:c r="D5" s="32" t="n">
        <x:f>IF(C5="","",(1/'Metadata'!$B$5)^(C5-1))</x:f>
        <x:v>12.589254117941675</x:v>
      </x:c>
      <x:c r="E5" s="31" t="n">
        <x:f>IF(B5=0,"",B5*D5)</x:f>
        <x:v>14865.626286990453</x:v>
      </x:c>
    </x:row>
    <x:row r="6" ht="18" customHeight="1">
      <x:c r="A6" s="24" t="str">
        <x:v>Other fishes &amp; inverts</x:v>
      </x:c>
      <x:c r="B6" s="31" t="n">
        <x:v>1405.9853789455</x:v>
      </x:c>
      <x:c r="C6" s="32" t="n">
        <x:v>3.3089073736221066</x:v>
      </x:c>
      <x:c r="D6" s="32" t="n">
        <x:f>IF(C6="","",(1/'Metadata'!$B$5)^(C6-1))</x:f>
        <x:v>203.66076634607495</x:v>
      </x:c>
      <x:c r="E6" s="31" t="n">
        <x:f>IF(B6=0,"",B6*D6)</x:f>
        <x:v>286344.05974741717</x:v>
      </x:c>
    </x:row>
    <x:row r="7" ht="18" customHeight="1">
      <x:c r="A7" s="24" t="str">
        <x:v>Perch-likes</x:v>
      </x:c>
      <x:c r="B7" s="31" t="n">
        <x:v>3802.2921572958003</x:v>
      </x:c>
      <x:c r="C7" s="32" t="n">
        <x:v>2.8214816756548244</x:v>
      </x:c>
      <x:c r="D7" s="32" t="n">
        <x:f>IF(C7="","",(1/'Metadata'!$B$5)^(C7-1))</x:f>
        <x:v>66.29513749318367</x:v>
      </x:c>
      <x:c r="E7" s="31" t="n">
        <x:f>IF(B7=0,"",B7*D7)</x:f>
        <x:v>252073.48135717906</x:v>
      </x:c>
    </x:row>
    <x:row r="8" ht="18" customHeight="1">
      <x:c r="A8" s="24" t="str">
        <x:v>Sharks &amp; rays</x:v>
      </x:c>
      <x:c r="B8" s="31" t="n">
        <x:v>4178.4353196673</x:v>
      </x:c>
      <x:c r="C8" s="32" t="n">
        <x:v>4.187732759839423</x:v>
      </x:c>
      <x:c r="D8" s="32" t="n">
        <x:f>IF(C8="","",(1/'Metadata'!$B$5)^(C8-1))</x:f>
        <x:v>1540.7520698644632</x:v>
      </x:c>
      <x:c r="E8" s="31" t="n">
        <x:f>IF(B8=0,"",B8*D8)</x:f>
        <x:v>6437932.867572173</x:v>
      </x:c>
    </x:row>
    <x:row r="9" ht="18" customHeight="1">
      <x:c r="A9" s="24" t="str">
        <x:v>Tuna &amp; billfishes</x:v>
      </x:c>
      <x:c r="B9" s="31" t="n">
        <x:v>3566.5791749934006</x:v>
      </x:c>
      <x:c r="C9" s="32" t="n">
        <x:v>4.37007437032324</x:v>
      </x:c>
      <x:c r="D9" s="32" t="n">
        <x:f>IF(C9="","",(1/'Metadata'!$B$5)^(C9-1))</x:f>
        <x:v>2344.630284807313</x:v>
      </x:c>
      <x:c r="E9" s="31" t="n">
        <x:f>IF(B9=0,"",B9*D9)</x:f>
        <x:v>8362309.546852607</x:v>
      </x:c>
    </x:row>
  </x:sheetData>
  <x:pageMargins left="0.7" right="0.7" top="0.75" bottom="0.75" header="0.3" footer="0.3"/>
  <x:tableParts count="1">
    <x:tablePart xmlns:r="http://schemas.openxmlformats.org/officeDocument/2006/relationships" r:id="Rd471b29348c7424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bathydemersals (&gt;=90 cm)</x:v>
      </x:c>
      <x:c r="B2" s="31" t="n">
        <x:v>40.704</x:v>
      </x:c>
      <x:c r="C2" s="32" t="n">
        <x:v>4.42</x:v>
      </x:c>
      <x:c r="D2" s="32" t="n">
        <x:f>IF(C2="","",(1/'Metadata'!$B$5)^(C2-1))</x:f>
        <x:v>2630.2679918953813</x:v>
      </x:c>
      <x:c r="E2" s="31" t="n">
        <x:f>IF(B2=0,"",B2*D2)</x:f>
        <x:v>107062.4283421096</x:v>
      </x:c>
    </x:row>
    <x:row r="3" ht="18" customHeight="1">
      <x:c r="A3" s="24" t="str">
        <x:v>Large benthopelagics (&gt;=90 cm)</x:v>
      </x:c>
      <x:c r="B3" s="31" t="n">
        <x:v>0.13262071150000002</x:v>
      </x:c>
      <x:c r="C3" s="32" t="n">
        <x:v>2.14</x:v>
      </x:c>
      <x:c r="D3" s="32" t="n">
        <x:f>IF(C3="","",(1/'Metadata'!$B$5)^(C3-1))</x:f>
        <x:v>13.803842646028853</x:v>
      </x:c>
      <x:c r="E3" s="31" t="n">
        <x:f>IF(B3=0,"",B3*D3)</x:f>
        <x:v>1.8306754331503894</x:v>
      </x:c>
    </x:row>
    <x:row r="4" ht="18" customHeight="1">
      <x:c r="A4" s="24" t="str">
        <x:v>Large demersals (&gt;=90 cm)</x:v>
      </x:c>
      <x:c r="B4" s="31" t="n">
        <x:v>9.712</x:v>
      </x:c>
      <x:c r="C4" s="32" t="n">
        <x:v>4.49</x:v>
      </x:c>
      <x:c r="D4" s="32" t="n">
        <x:f>IF(C4="","",(1/'Metadata'!$B$5)^(C4-1))</x:f>
        <x:v>3090.295432513592</x:v>
      </x:c>
      <x:c r="E4" s="31" t="n">
        <x:f>IF(B4=0,"",B4*D4)</x:f>
        <x:v>30012.949240572005</x:v>
      </x:c>
    </x:row>
    <x:row r="5" ht="18" customHeight="1">
      <x:c r="A5" s="24" t="str">
        <x:v>Large pelagics (&gt;=90 cm)</x:v>
      </x:c>
      <x:c r="B5" s="31" t="n">
        <x:v>3625.482079472901</x:v>
      </x:c>
      <x:c r="C5" s="32" t="n">
        <x:v>4.370508086362442</x:v>
      </x:c>
      <x:c r="D5" s="32" t="n">
        <x:f>IF(C5="","",(1/'Metadata'!$B$5)^(C5-1))</x:f>
        <x:v>2346.9729618309784</x:v>
      </x:c>
      <x:c r="E5" s="31" t="n">
        <x:f>IF(B5=0,"",B5*D5)</x:f>
        <x:v>8508908.41412565</x:v>
      </x:c>
    </x:row>
    <x:row r="6" ht="18" customHeight="1">
      <x:c r="A6" s="24" t="str">
        <x:v>Large rays (&gt;=90 cm)</x:v>
      </x:c>
      <x:c r="B6" s="31" t="n">
        <x:v>1.641358151</x:v>
      </x:c>
      <x:c r="C6" s="32" t="n">
        <x:v>3.7200000000000006</x:v>
      </x:c>
      <x:c r="D6" s="32" t="n">
        <x:f>IF(C6="","",(1/'Metadata'!$B$5)^(C6-1))</x:f>
        <x:v>524.8074602497734</x:v>
      </x:c>
      <x:c r="E6" s="31" t="n">
        <x:f>IF(B6=0,"",B6*D6)</x:f>
        <x:v>861.397002586574</x:v>
      </x:c>
    </x:row>
    <x:row r="7" ht="18" customHeight="1">
      <x:c r="A7" s="24" t="str">
        <x:v>Large reef assoc. fish (&gt;=90 cm)</x:v>
      </x:c>
      <x:c r="B7" s="31" t="n">
        <x:v>20.196780143399998</x:v>
      </x:c>
      <x:c r="C7" s="32" t="n">
        <x:v>3.416283061974979</x:v>
      </x:c>
      <x:c r="D7" s="32" t="n">
        <x:f>IF(C7="","",(1/'Metadata'!$B$5)^(C7-1))</x:f>
        <x:v>260.7852727542849</x:v>
      </x:c>
      <x:c r="E7" s="31" t="n">
        <x:f>IF(B7=0,"",B7*D7)</x:f>
        <x:v>5267.022818454894</x:v>
      </x:c>
    </x:row>
    <x:row r="8" ht="18" customHeight="1">
      <x:c r="A8" s="24" t="str">
        <x:v>Large sharks (&gt;=90 cm)</x:v>
      </x:c>
      <x:c r="B8" s="31" t="n">
        <x:v>4176.793961516301</x:v>
      </x:c>
      <x:c r="C8" s="32" t="n">
        <x:v>4.1879165651659305</x:v>
      </x:c>
      <x:c r="D8" s="32" t="n">
        <x:f>IF(C8="","",(1/'Metadata'!$B$5)^(C8-1))</x:f>
        <x:v>1541.4042963748082</x:v>
      </x:c>
      <x:c r="E8" s="31" t="n">
        <x:f>IF(B8=0,"",B8*D8)</x:f>
        <x:v>6438128.157353582</x:v>
      </x:c>
    </x:row>
    <x:row r="9" ht="18" customHeight="1">
      <x:c r="A9" s="24" t="str">
        <x:v>Medium demersals (30 - 89 cm)</x:v>
      </x:c>
      <x:c r="B9" s="31" t="n">
        <x:v>1209.7440775285</x:v>
      </x:c>
      <x:c r="C9" s="32" t="n">
        <x:v>3.3560552697535284</x:v>
      </x:c>
      <x:c r="D9" s="32" t="n">
        <x:f>IF(C9="","",(1/'Metadata'!$B$5)^(C9-1))</x:f>
        <x:v>227.01537407815033</x:v>
      </x:c>
      <x:c r="E9" s="31" t="n">
        <x:f>IF(B9=0,"",B9*D9)</x:f>
        <x:v>274630.50429895933</x:v>
      </x:c>
    </x:row>
    <x:row r="10" ht="18" customHeight="1">
      <x:c r="A10" s="24" t="str">
        <x:v>Medium pelagics (30 - 89 cm)</x:v>
      </x:c>
      <x:c r="B10" s="31" t="n">
        <x:v>266.1656307955</x:v>
      </x:c>
      <x:c r="C10" s="32" t="n">
        <x:v>3.7014104048851233</x:v>
      </x:c>
      <x:c r="D10" s="32" t="n">
        <x:f>IF(C10="","",(1/'Metadata'!$B$5)^(C10-1))</x:f>
        <x:v>502.81752370563197</x:v>
      </x:c>
      <x:c r="E10" s="31" t="n">
        <x:f>IF(B10=0,"",B10*D10)</x:f>
        <x:v>133832.74337214083</x:v>
      </x:c>
    </x:row>
    <x:row r="11" ht="18" customHeight="1">
      <x:c r="A11" s="24" t="str">
        <x:v>Medium reef assoc. fish (30 - 89 cm)</x:v>
      </x:c>
      <x:c r="B11" s="31" t="n">
        <x:v>2539.1975770596</x:v>
      </x:c>
      <x:c r="C11" s="32" t="n">
        <x:v>2.8359424947777905</x:v>
      </x:c>
      <x:c r="D11" s="32" t="n">
        <x:f>IF(C11="","",(1/'Metadata'!$B$5)^(C11-1))</x:f>
        <x:v>68.53974665080074</x:v>
      </x:c>
      <x:c r="E11" s="31" t="n">
        <x:f>IF(B11=0,"",B11*D11)</x:f>
        <x:v>174035.95862799208</x:v>
      </x:c>
    </x:row>
    <x:row r="12" ht="18" customHeight="1">
      <x:c r="A12" s="24" t="str">
        <x:v>Other demersal invertebrates</x:v>
      </x:c>
      <x:c r="B12" s="31" t="n">
        <x:v>1180.8186686616</x:v>
      </x:c>
      <x:c r="C12" s="32" t="n">
        <x:v>2.1</x:v>
      </x:c>
      <x:c r="D12" s="32" t="n">
        <x:f>IF(C12="","",(1/'Metadata'!$B$5)^(C12-1))</x:f>
        <x:v>12.589254117941675</x:v>
      </x:c>
      <x:c r="E12" s="31" t="n">
        <x:f>IF(B12=0,"",B12*D12)</x:f>
        <x:v>14865.626286990453</x:v>
      </x:c>
    </x:row>
    <x:row r="13" ht="18" customHeight="1">
      <x:c r="A13" s="24" t="str">
        <x:v>Shrimps</x:v>
      </x:c>
      <x:c r="B13" s="31" t="n">
        <x:v>296.4546671654</x:v>
      </x:c>
      <x:c r="C13" s="32" t="n">
        <x:v>2.7</x:v>
      </x:c>
      <x:c r="D13" s="32" t="n">
        <x:f>IF(C13="","",(1/'Metadata'!$B$5)^(C13-1))</x:f>
        <x:v>50.11872336272725</x:v>
      </x:c>
      <x:c r="E13" s="31" t="n">
        <x:f>IF(B13=0,"",B13*D13)</x:f>
        <x:v>14857.929453252063</x:v>
      </x:c>
    </x:row>
    <x:row r="14" ht="18" customHeight="1">
      <x:c r="A14" s="24" t="str">
        <x:v>Small benthopelagics (&lt;30 cm)</x:v>
      </x:c>
      <x:c r="B14" s="31" t="n">
        <x:v>75.6877051428</x:v>
      </x:c>
      <x:c r="C14" s="32" t="n">
        <x:v>3.27</x:v>
      </x:c>
      <x:c r="D14" s="32" t="n">
        <x:f>IF(C14="","",(1/'Metadata'!$B$5)^(C14-1))</x:f>
        <x:v>186.20871366628674</x:v>
      </x:c>
      <x:c r="E14" s="31" t="n">
        <x:f>IF(B14=0,"",B14*D14)</x:f>
        <x:v>14093.710214993984</x:v>
      </x:c>
    </x:row>
    <x:row r="15" ht="18" customHeight="1">
      <x:c r="A15" s="24" t="str">
        <x:v>Small demersals (&lt;30 cm)</x:v>
      </x:c>
      <x:c r="B15" s="31" t="n">
        <x:v>289.9347515568</x:v>
      </x:c>
      <x:c r="C15" s="32" t="n">
        <x:v>2.276211067702849</x:v>
      </x:c>
      <x:c r="D15" s="32" t="n">
        <x:f>IF(C15="","",(1/'Metadata'!$B$5)^(C15-1))</x:f>
        <x:v>18.88909138438918</x:v>
      </x:c>
      <x:c r="E15" s="31" t="n">
        <x:f>IF(B15=0,"",B15*D15)</x:f>
        <x:v>5476.604017666567</x:v>
      </x:c>
    </x:row>
    <x:row r="16" ht="18" customHeight="1">
      <x:c r="A16" s="24" t="str">
        <x:v>Small pelagics (&lt;30 cm)</x:v>
      </x:c>
      <x:c r="B16" s="31" t="n">
        <x:v>105.2814014003</x:v>
      </x:c>
      <x:c r="C16" s="32" t="n">
        <x:v>3.522427616925902</x:v>
      </x:c>
      <x:c r="D16" s="32" t="n">
        <x:f>IF(C16="","",(1/'Metadata'!$B$5)^(C16-1))</x:f>
        <x:v>332.98725930064586</x:v>
      </x:c>
      <x:c r="E16" s="31" t="n">
        <x:f>IF(B16=0,"",B16*D16)</x:f>
        <x:v>35057.365307617074</x:v>
      </x:c>
    </x:row>
    <x:row r="17" ht="18" customHeight="1">
      <x:c r="A17" s="24" t="str">
        <x:v>Small reef assoc. fish (&lt;30 cm)</x:v>
      </x:c>
      <x:c r="B17" s="31" t="n">
        <x:v>704.4649214277999</x:v>
      </x:c>
      <x:c r="C17" s="32" t="n">
        <x:v>2.36218622339218</x:v>
      </x:c>
      <x:c r="D17" s="32" t="n">
        <x:f>IF(C17="","",(1/'Metadata'!$B$5)^(C17-1))</x:f>
        <x:v>23.024288762364677</x:v>
      </x:c>
      <x:c r="E17" s="31" t="n">
        <x:f>IF(B17=0,"",B17*D17)</x:f>
        <x:v>16219.80377391021</x:v>
      </x:c>
    </x:row>
  </x:sheetData>
  <x:pageMargins left="0.7" right="0.7" top="0.75" bottom="0.75" header="0.3" footer="0.3"/>
  <x:tableParts count="1">
    <x:tablePart xmlns:r="http://schemas.openxmlformats.org/officeDocument/2006/relationships" r:id="Rc80372a76c01472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EEZ_776</x:v>
      </x:c>
      <x:c r="B2" s="24" t="str">
        <x:v>raw_filtered_tonnes</x:v>
      </x:c>
      <x:c r="C2" s="24" t="n">
        <x:v>14542.412200733399</x:v>
      </x:c>
      <x:c r="D2" s="24" t="str">
        <x:v>tonnes</x:v>
      </x:c>
    </x:row>
    <x:row r="3" ht="18" customHeight="1">
      <x:c r="A3" s="24" t="str">
        <x:v>EEZ_776</x:v>
      </x:c>
      <x:c r="B3" s="24" t="str">
        <x:v>species_catch_tonnes</x:v>
      </x:c>
      <x:c r="C3" s="24" t="n">
        <x:v>14542.412200733399</x:v>
      </x:c>
      <x:c r="D3" s="24" t="str">
        <x:v>tonnes</x:v>
      </x:c>
    </x:row>
    <x:row r="4" ht="18" customHeight="1">
      <x:c r="A4" s="24" t="str">
        <x:v>EEZ_776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EEZ_776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EEZ_776</x:v>
      </x:c>
      <x:c r="B6" s="24" t="str">
        <x:v>matched_catch_tonnes</x:v>
      </x:c>
      <x:c r="C6" s="24" t="n">
        <x:v>14542.412200733399</x:v>
      </x:c>
      <x:c r="D6" s="24" t="str">
        <x:v>tonnes</x:v>
      </x:c>
    </x:row>
    <x:row r="7" ht="18" customHeight="1">
      <x:c r="A7" s="24" t="str">
        <x:v>EEZ_776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EEZ_776</x:v>
      </x:c>
      <x:c r="B8" s="24" t="str">
        <x:v>taxa_count</x:v>
      </x:c>
      <x:c r="C8" s="24" t="n">
        <x:v>86</x:v>
      </x:c>
      <x:c r="D8" s="24" t="str">
        <x:v>count</x:v>
      </x:c>
    </x:row>
    <x:row r="9" ht="18" customHeight="1">
      <x:c r="A9" s="24" t="str">
        <x:v>EEZ_776</x:v>
      </x:c>
      <x:c r="B9" s="24" t="str">
        <x:v>matched_taxa_count</x:v>
      </x:c>
      <x:c r="C9" s="24" t="n">
        <x:v>86</x:v>
      </x:c>
      <x:c r="D9" s="24" t="str">
        <x:v>count</x:v>
      </x:c>
    </x:row>
    <x:row r="10" ht="18" customHeight="1">
      <x:c r="A10" s="24" t="str">
        <x:v>EEZ_776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EEZ_776</x:v>
      </x:c>
      <x:c r="B11" s="24" t="str">
        <x:v>species_ppr</x:v>
      </x:c>
      <x:c r="C11" s="24" t="n">
        <x:v>17016818.719265178</x:v>
      </x:c>
      <x:c r="D11" s="24" t="str">
        <x:v>tonnes_primary_production_equivalent</x:v>
      </x:c>
    </x:row>
    <x:row r="12" ht="18" customHeight="1">
      <x:c r="A12" s="24" t="str">
        <x:v>EEZ_776</x:v>
      </x:c>
      <x:c r="B12" s="24" t="str">
        <x:v>commercial_ppr</x:v>
      </x:c>
      <x:c r="C12" s="24" t="n">
        <x:v>15387263.798386406</x:v>
      </x:c>
      <x:c r="D12" s="24" t="str">
        <x:v>tonnes_primary_production_equivalent</x:v>
      </x:c>
    </x:row>
    <x:row r="13" ht="18" customHeight="1">
      <x:c r="A13" s="24" t="str">
        <x:v>EEZ_776</x:v>
      </x:c>
      <x:c r="B13" s="24" t="str">
        <x:v>functional_ppr</x:v>
      </x:c>
      <x:c r="C13" s="24" t="n">
        <x:v>15773312.444911908</x:v>
      </x:c>
      <x:c r="D13" s="24" t="str">
        <x:v>tonnes_primary_production_equivalent</x:v>
      </x:c>
    </x:row>
    <x:row r="14" ht="18" customHeight="1">
      <x:c r="A14" s="24" t="str">
        <x:v>EEZ_776</x:v>
      </x:c>
      <x:c r="B14" s="24" t="str">
        <x:v>commercial_ppr_difference</x:v>
      </x:c>
      <x:c r="C14" s="24" t="n">
        <x:v>-1629554.9208787717</x:v>
      </x:c>
      <x:c r="D14" s="24" t="str">
        <x:v>tonnes_primary_production_equivalent</x:v>
      </x:c>
    </x:row>
    <x:row r="15" ht="18" customHeight="1">
      <x:c r="A15" s="24" t="str">
        <x:v>EEZ_776</x:v>
      </x:c>
      <x:c r="B15" s="24" t="str">
        <x:v>functional_ppr_difference</x:v>
      </x:c>
      <x:c r="C15" s="24" t="n">
        <x:v>-1243506.2743532695</x:v>
      </x:c>
      <x:c r="D15" s="24" t="str">
        <x:v>tonnes_primary_production_equivalent</x:v>
      </x:c>
    </x:row>
    <x:row r="16" ht="18" customHeight="1">
      <x:c r="A16" s="24" t="str">
        <x:v>EEZ_776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EEZ_776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8d878026db2a481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EEZ_776 - Tonga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EEZ_776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raw_data/SAU_downloads/EEZ_776-catch.zip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