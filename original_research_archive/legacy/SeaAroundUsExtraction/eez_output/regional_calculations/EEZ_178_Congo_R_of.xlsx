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78382eafb34f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33f28ead165d4093"/>
    <x:sheet xmlns:r="http://schemas.openxmlformats.org/officeDocument/2006/relationships" name="Commercial" sheetId="2" r:id="R8c6228b3694b4298"/>
    <x:sheet xmlns:r="http://schemas.openxmlformats.org/officeDocument/2006/relationships" name="Functional" sheetId="3" r:id="R134329a468f74bba"/>
    <x:sheet xmlns:r="http://schemas.openxmlformats.org/officeDocument/2006/relationships" name="Missing TL" sheetId="4" r:id="R33e2490645344a0c"/>
    <x:sheet xmlns:r="http://schemas.openxmlformats.org/officeDocument/2006/relationships" name="Validation" sheetId="5" r:id="Rc4910c91c6c54642"/>
    <x:sheet xmlns:r="http://schemas.openxmlformats.org/officeDocument/2006/relationships" name="Metadata" sheetId="6" r:id="R5bac6d2b555645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df2a2cb3d649d4" /><Relationship Type="http://schemas.openxmlformats.org/officeDocument/2006/relationships/theme" Target="/xl/theme/theme1.xml" Id="Rc648fefe7a77454e" /><Relationship Type="http://schemas.microsoft.com/office/2022/11/relationships/FeaturePropertyBag" Target="/xl/featurePropertyBag/featurePropertyBag.xml" Id="R630285699867463a" /><Relationship Type="http://schemas.openxmlformats.org/officeDocument/2006/relationships/sharedStrings" Target="/xl/sharedStrings.xml" Id="Rb2b1e3e39f01411b" /><Relationship Type="http://schemas.openxmlformats.org/officeDocument/2006/relationships/worksheet" Target="/xl/worksheets/sheet1.xml" Id="R33f28ead165d4093" /><Relationship Type="http://schemas.openxmlformats.org/officeDocument/2006/relationships/worksheet" Target="/xl/worksheets/sheet2.xml" Id="R8c6228b3694b4298" /><Relationship Type="http://schemas.openxmlformats.org/officeDocument/2006/relationships/worksheet" Target="/xl/worksheets/sheet3.xml" Id="R134329a468f74bba" /><Relationship Type="http://schemas.openxmlformats.org/officeDocument/2006/relationships/worksheet" Target="/xl/worksheets/sheet4.xml" Id="R33e2490645344a0c" /><Relationship Type="http://schemas.openxmlformats.org/officeDocument/2006/relationships/worksheet" Target="/xl/worksheets/sheet5.xml" Id="Rc4910c91c6c54642" /><Relationship Type="http://schemas.openxmlformats.org/officeDocument/2006/relationships/worksheet" Target="/xl/worksheets/sheet6.xml" Id="R5bac6d2b5556458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178SpeciesTable" displayName="EEZ178SpeciesTable" ref="A1:U57" headerRowCount="1" totalsRowCount="0" totalsRowShown="0">
  <x:autoFilter ref="A1:U57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178CommercialTable" displayName="EEZ178CommercialTable" ref="A1:E8" headerRowCount="1" totalsRowCount="0" totalsRowShown="0">
  <x:autoFilter ref="A1:E8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178FunctionalTable" displayName="EEZ178FunctionalTable" ref="A1:E17" headerRowCount="1" totalsRowCount="0" totalsRowShown="0">
  <x:autoFilter ref="A1:E17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178ValidationTable" displayName="EEZ178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f556037eab142e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6ec4936c0af4ff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fd8c6e8b460418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e0175c1f8ad4ca9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EEZ_178</x:v>
      </x:c>
      <x:c r="B2" s="24" t="str">
        <x:v>Congo, R. of</x:v>
      </x:c>
      <x:c r="C2" s="24" t="str">
        <x:v>EEZ</x:v>
      </x:c>
      <x:c r="D2" s="30" t="n">
        <x:v>2019</x:v>
      </x:c>
      <x:c r="E2" s="24" t="str">
        <x:v>Sardinella aurita</x:v>
      </x:c>
      <x:c r="F2" s="24" t="str">
        <x:v>Round sardinella</x:v>
      </x:c>
      <x:c r="G2" s="24" t="str">
        <x:v>Small pelagics (&lt;30 cm)</x:v>
      </x:c>
      <x:c r="H2" s="24" t="str">
        <x:v>Herring-likes</x:v>
      </x:c>
      <x:c r="I2" s="31" t="n">
        <x:v>14267.489033014299</x:v>
      </x:c>
      <x:c r="J2" s="31" t="n">
        <x:v>14267.489033014299</x:v>
      </x:c>
      <x:c r="K2" s="31" t="n">
        <x:v>0</x:v>
      </x:c>
      <x:c r="L2" s="31" t="n">
        <x:v>11665.049545834</x:v>
      </x:c>
      <x:c r="M2" s="31" t="n">
        <x:v>2602.4394871803</x:v>
      </x:c>
      <x:c r="N2" s="24" t="str">
        <x:v>sardinella aurita</x:v>
      </x:c>
      <x:c r="O2" s="32" t="n">
        <x:v>3.4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Sardinella aurita</x:v>
      </x:c>
      <x:c r="T2" s="32" t="n">
        <x:f>IF(O2="","",(1/'Metadata'!$B$5)^(O2-1))</x:f>
        <x:v>251.18864315095797</x:v>
      </x:c>
      <x:c r="U2" s="31" t="n">
        <x:f>IF(T2="","",I2*T2)</x:f>
        <x:v>3583831.211374035</x:v>
      </x:c>
    </x:row>
    <x:row r="3" ht="18" customHeight="1">
      <x:c r="A3" s="24" t="str">
        <x:v>EEZ_178</x:v>
      </x:c>
      <x:c r="B3" s="24" t="str">
        <x:v>Congo, R. of</x:v>
      </x:c>
      <x:c r="C3" s="24" t="str">
        <x:v>EEZ</x:v>
      </x:c>
      <x:c r="D3" s="30" t="n">
        <x:v>2019</x:v>
      </x:c>
      <x:c r="E3" s="24" t="str">
        <x:v>Sardinella maderensis</x:v>
      </x:c>
      <x:c r="F3" s="24" t="str">
        <x:v>Madeiran sardinella</x:v>
      </x:c>
      <x:c r="G3" s="24" t="str">
        <x:v>Medium pelagics (30 - 89 cm)</x:v>
      </x:c>
      <x:c r="H3" s="24" t="str">
        <x:v>Herring-likes</x:v>
      </x:c>
      <x:c r="I3" s="31" t="n">
        <x:v>8708.1560369658</x:v>
      </x:c>
      <x:c r="J3" s="31" t="n">
        <x:v>8708.1560369658</x:v>
      </x:c>
      <x:c r="K3" s="31" t="n">
        <x:v>0</x:v>
      </x:c>
      <x:c r="L3" s="31" t="n">
        <x:v>3251.4280799745998</x:v>
      </x:c>
      <x:c r="M3" s="31" t="n">
        <x:v>5456.7279569912</x:v>
      </x:c>
      <x:c r="N3" s="24" t="str">
        <x:v>sardinella maderensis</x:v>
      </x:c>
      <x:c r="O3" s="32" t="n">
        <x:v>3.2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Sardinella maderensis</x:v>
      </x:c>
      <x:c r="T3" s="32" t="n">
        <x:f>IF(O3="","",(1/'Metadata'!$B$5)^(O3-1))</x:f>
        <x:v>158.48931924611142</x:v>
      </x:c>
      <x:c r="U3" s="31" t="n">
        <x:f>IF(T3="","",I3*T3)</x:f>
        <x:v>1380149.722187625</x:v>
      </x:c>
    </x:row>
    <x:row r="4" ht="18" customHeight="1">
      <x:c r="A4" s="24" t="str">
        <x:v>EEZ_178</x:v>
      </x:c>
      <x:c r="B4" s="24" t="str">
        <x:v>Congo, R. of</x:v>
      </x:c>
      <x:c r="C4" s="24" t="str">
        <x:v>EEZ</x:v>
      </x:c>
      <x:c r="D4" s="30" t="n">
        <x:v>2019</x:v>
      </x:c>
      <x:c r="E4" s="24" t="str">
        <x:v>Marine fishes not identified</x:v>
      </x:c>
      <x:c r="F4" s="24" t="str">
        <x:v>Marine fishes nei</x:v>
      </x:c>
      <x:c r="G4" s="24" t="str">
        <x:v>Medium demersals (30 - 89 cm)</x:v>
      </x:c>
      <x:c r="H4" s="24" t="str">
        <x:v>Other fishes &amp; inverts</x:v>
      </x:c>
      <x:c r="I4" s="31" t="n">
        <x:v>3719.4352289035</x:v>
      </x:c>
      <x:c r="J4" s="31" t="n">
        <x:v>3594.7772585943</x:v>
      </x:c>
      <x:c r="K4" s="31" t="n">
        <x:v>124.6579703092</x:v>
      </x:c>
      <x:c r="L4" s="31" t="n">
        <x:v>2771.4707655920997</x:v>
      </x:c>
      <x:c r="M4" s="31" t="n">
        <x:v>947.9644633114</x:v>
      </x:c>
      <x:c r="N4" s="24" t="str">
        <x:v>marine fishes not identified</x:v>
      </x:c>
      <x:c r="O4" s="32" t="n">
        <x:v>3.28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Marine fishes not identified</x:v>
      </x:c>
      <x:c r="T4" s="32" t="n">
        <x:f>IF(O4="","",(1/'Metadata'!$B$5)^(O4-1))</x:f>
        <x:v>190.54607179632464</x:v>
      </x:c>
      <x:c r="U4" s="31" t="n">
        <x:f>IF(T4="","",I4*T4)</x:f>
        <x:v>708723.7721684255</x:v>
      </x:c>
    </x:row>
    <x:row r="5" ht="18" customHeight="1">
      <x:c r="A5" s="24" t="str">
        <x:v>EEZ_178</x:v>
      </x:c>
      <x:c r="B5" s="24" t="str">
        <x:v>Congo, R. of</x:v>
      </x:c>
      <x:c r="C5" s="24" t="str">
        <x:v>EEZ</x:v>
      </x:c>
      <x:c r="D5" s="30" t="n">
        <x:v>2019</x:v>
      </x:c>
      <x:c r="E5" s="24" t="str">
        <x:v>Trichiurus lepturus</x:v>
      </x:c>
      <x:c r="F5" s="24" t="str">
        <x:v>Largehead hairtail</x:v>
      </x:c>
      <x:c r="G5" s="24" t="str">
        <x:v>Large benthopelagics (&gt;=90 cm)</x:v>
      </x:c>
      <x:c r="H5" s="24" t="str">
        <x:v>Perch-likes</x:v>
      </x:c>
      <x:c r="I5" s="31" t="n">
        <x:v>2489</x:v>
      </x:c>
      <x:c r="J5" s="31" t="n">
        <x:v>2489</x:v>
      </x:c>
      <x:c r="K5" s="31" t="n">
        <x:v>0</x:v>
      </x:c>
      <x:c r="L5" s="31" t="n">
        <x:v>2489</x:v>
      </x:c>
      <x:c r="M5" s="31" t="n">
        <x:v>0</x:v>
      </x:c>
      <x:c r="N5" s="24" t="str">
        <x:v>trichiurus lepturus</x:v>
      </x:c>
      <x:c r="O5" s="32" t="n">
        <x:v>4.42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Trichiurus lepturus</x:v>
      </x:c>
      <x:c r="T5" s="32" t="n">
        <x:f>IF(O5="","",(1/'Metadata'!$B$5)^(O5-1))</x:f>
        <x:v>2630.2679918953813</x:v>
      </x:c>
      <x:c r="U5" s="31" t="n">
        <x:f>IF(T5="","",I5*T5)</x:f>
        <x:v>6546737.031827604</x:v>
      </x:c>
    </x:row>
    <x:row r="6" ht="18" customHeight="1">
      <x:c r="A6" s="24" t="str">
        <x:v>EEZ_178</x:v>
      </x:c>
      <x:c r="B6" s="24" t="str">
        <x:v>Congo, R. of</x:v>
      </x:c>
      <x:c r="C6" s="24" t="str">
        <x:v>EEZ</x:v>
      </x:c>
      <x:c r="D6" s="30" t="n">
        <x:v>2019</x:v>
      </x:c>
      <x:c r="E6" s="24" t="str">
        <x:v>Nematocarcinus africanus</x:v>
      </x:c>
      <x:c r="F6" s="24" t="str">
        <x:v>African spider shrimp</x:v>
      </x:c>
      <x:c r="G6" s="24" t="str">
        <x:v>Shrimps</x:v>
      </x:c>
      <x:c r="H6" s="24" t="str">
        <x:v>Crustaceans</x:v>
      </x:c>
      <x:c r="I6" s="31" t="n">
        <x:v>1833.9758178737</x:v>
      </x:c>
      <x:c r="J6" s="31" t="n">
        <x:v>0</x:v>
      </x:c>
      <x:c r="K6" s="31" t="n">
        <x:v>1833.9758178737</x:v>
      </x:c>
      <x:c r="L6" s="31" t="n">
        <x:v>0</x:v>
      </x:c>
      <x:c r="M6" s="31" t="n">
        <x:v>1833.9758178737</x:v>
      </x:c>
      <x:c r="N6" s="24" t="str">
        <x:v>nematocarcinus africanus</x:v>
      </x:c>
      <x:c r="O6" s="32" t="n">
        <x:v>3.29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Nematocarcinus africanus</x:v>
      </x:c>
      <x:c r="T6" s="32" t="n">
        <x:f>IF(O6="","",(1/'Metadata'!$B$5)^(O6-1))</x:f>
        <x:v>194.98445997580455</x:v>
      </x:c>
      <x:c r="U6" s="31" t="n">
        <x:f>IF(T6="","",I6*T6)</x:f>
        <x:v>357596.78445678786</x:v>
      </x:c>
    </x:row>
    <x:row r="7" ht="18" customHeight="1">
      <x:c r="A7" s="24" t="str">
        <x:v>EEZ_178</x:v>
      </x:c>
      <x:c r="B7" s="24" t="str">
        <x:v>Congo, R. of</x:v>
      </x:c>
      <x:c r="C7" s="24" t="str">
        <x:v>EEZ</x:v>
      </x:c>
      <x:c r="D7" s="30" t="n">
        <x:v>2019</x:v>
      </x:c>
      <x:c r="E7" s="24" t="str">
        <x:v>Pseudotolithus</x:v>
      </x:c>
      <x:c r="F7" s="24" t="str">
        <x:v>African croakers</x:v>
      </x:c>
      <x:c r="G7" s="24" t="str">
        <x:v>Large demersals (&gt;=90 cm)</x:v>
      </x:c>
      <x:c r="H7" s="24" t="str">
        <x:v>Perch-likes</x:v>
      </x:c>
      <x:c r="I7" s="31" t="n">
        <x:v>1403.830504502</x:v>
      </x:c>
      <x:c r="J7" s="31" t="n">
        <x:v>1403.830504502</x:v>
      </x:c>
      <x:c r="K7" s="31" t="n">
        <x:v>0</x:v>
      </x:c>
      <x:c r="L7" s="31" t="n">
        <x:v>1060.6447321443</x:v>
      </x:c>
      <x:c r="M7" s="31" t="n">
        <x:v>343.1857723577</x:v>
      </x:c>
      <x:c r="N7" s="24" t="str">
        <x:v>pseudotolithus</x:v>
      </x:c>
      <x:c r="O7" s="32" t="n">
        <x:v>3.79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Pseudotolithus</x:v>
      </x:c>
      <x:c r="T7" s="32" t="n">
        <x:f>IF(O7="","",(1/'Metadata'!$B$5)^(O7-1))</x:f>
        <x:v>616.5950018614822</x:v>
      </x:c>
      <x:c r="U7" s="31" t="n">
        <x:f>IF(T7="","",I7*T7)</x:f>
        <x:v>865594.872536616</x:v>
      </x:c>
    </x:row>
    <x:row r="8" ht="18" customHeight="1">
      <x:c r="A8" s="24" t="str">
        <x:v>EEZ_178</x:v>
      </x:c>
      <x:c r="B8" s="24" t="str">
        <x:v>Congo, R. of</x:v>
      </x:c>
      <x:c r="C8" s="24" t="str">
        <x:v>EEZ</x:v>
      </x:c>
      <x:c r="D8" s="30" t="n">
        <x:v>2019</x:v>
      </x:c>
      <x:c r="E8" s="24" t="str">
        <x:v>Ethmalosa fimbriata</x:v>
      </x:c>
      <x:c r="F8" s="24" t="str">
        <x:v>Bonga shad</x:v>
      </x:c>
      <x:c r="G8" s="24" t="str">
        <x:v>Medium pelagics (30 - 89 cm)</x:v>
      </x:c>
      <x:c r="H8" s="24" t="str">
        <x:v>Herring-likes</x:v>
      </x:c>
      <x:c r="I8" s="31" t="n">
        <x:v>1210.7948033479</x:v>
      </x:c>
      <x:c r="J8" s="31" t="n">
        <x:v>1210.7948033479</x:v>
      </x:c>
      <x:c r="K8" s="31" t="n">
        <x:v>0</x:v>
      </x:c>
      <x:c r="L8" s="31" t="n">
        <x:v>1182.3296627688</x:v>
      </x:c>
      <x:c r="M8" s="31" t="n">
        <x:v>28.4651405791</x:v>
      </x:c>
      <x:c r="N8" s="24" t="str">
        <x:v>ethmalosa fimbriata</x:v>
      </x:c>
      <x:c r="O8" s="32" t="n">
        <x:v>2.5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Ethmalosa fimbriata</x:v>
      </x:c>
      <x:c r="T8" s="32" t="n">
        <x:f>IF(O8="","",(1/'Metadata'!$B$5)^(O8-1))</x:f>
        <x:v>31.622776601683793</x:v>
      </x:c>
      <x:c r="U8" s="31" t="n">
        <x:f>IF(T8="","",I8*T8)</x:f>
        <x:v>38288.6935767503</x:v>
      </x:c>
    </x:row>
    <x:row r="9" ht="18" customHeight="1">
      <x:c r="A9" s="24" t="str">
        <x:v>EEZ_178</x:v>
      </x:c>
      <x:c r="B9" s="24" t="str">
        <x:v>Congo, R. of</x:v>
      </x:c>
      <x:c r="C9" s="24" t="str">
        <x:v>EEZ</x:v>
      </x:c>
      <x:c r="D9" s="30" t="n">
        <x:v>2019</x:v>
      </x:c>
      <x:c r="E9" s="24" t="str">
        <x:v>Parapenaeus longirostris</x:v>
      </x:c>
      <x:c r="F9" s="24" t="str">
        <x:v>Deepwater rose shrimp</x:v>
      </x:c>
      <x:c r="G9" s="24" t="str">
        <x:v>Shrimps</x:v>
      </x:c>
      <x:c r="H9" s="24" t="str">
        <x:v>Crustaceans</x:v>
      </x:c>
      <x:c r="I9" s="31" t="n">
        <x:v>859.4827182163</x:v>
      </x:c>
      <x:c r="J9" s="31" t="n">
        <x:v>859.4827182163</x:v>
      </x:c>
      <x:c r="K9" s="31" t="n">
        <x:v>0</x:v>
      </x:c>
      <x:c r="L9" s="31" t="n">
        <x:v>364</x:v>
      </x:c>
      <x:c r="M9" s="31" t="n">
        <x:v>495.4827182163</x:v>
      </x:c>
      <x:c r="N9" s="24" t="str">
        <x:v>parapenaeus longirostris</x:v>
      </x:c>
      <x:c r="O9" s="32" t="n">
        <x:v>3.3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Parapenaeus longirostris</x:v>
      </x:c>
      <x:c r="T9" s="32" t="n">
        <x:f>IF(O9="","",(1/'Metadata'!$B$5)^(O9-1))</x:f>
        <x:v>199.52623149688787</x:v>
      </x:c>
      <x:c r="U9" s="31" t="n">
        <x:f>IF(T9="","",I9*T9)</x:f>
        <x:v>171489.34780239992</x:v>
      </x:c>
    </x:row>
    <x:row r="10" ht="18" customHeight="1">
      <x:c r="A10" s="24" t="str">
        <x:v>EEZ_178</x:v>
      </x:c>
      <x:c r="B10" s="24" t="str">
        <x:v>Congo, R. of</x:v>
      </x:c>
      <x:c r="C10" s="24" t="str">
        <x:v>EEZ</x:v>
      </x:c>
      <x:c r="D10" s="30" t="n">
        <x:v>2019</x:v>
      </x:c>
      <x:c r="E10" s="24" t="str">
        <x:v>Brachydeuterus auritus</x:v>
      </x:c>
      <x:c r="F10" s="24" t="str">
        <x:v>Bigeye grunt</x:v>
      </x:c>
      <x:c r="G10" s="24" t="str">
        <x:v>Small demersals (&lt;30 cm)</x:v>
      </x:c>
      <x:c r="H10" s="24" t="str">
        <x:v>Perch-likes</x:v>
      </x:c>
      <x:c r="I10" s="31" t="n">
        <x:v>777.9604578643999</x:v>
      </x:c>
      <x:c r="J10" s="31" t="n">
        <x:v>777.9604578643999</x:v>
      </x:c>
      <x:c r="K10" s="31" t="n">
        <x:v>0</x:v>
      </x:c>
      <x:c r="L10" s="31" t="n">
        <x:v>774.6171614053999</x:v>
      </x:c>
      <x:c r="M10" s="31" t="n">
        <x:v>3.343296459</x:v>
      </x:c>
      <x:c r="N10" s="24" t="str">
        <x:v>brachydeuterus auritus</x:v>
      </x:c>
      <x:c r="O10" s="32" t="n">
        <x:v>3.03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Brachydeuterus auritus</x:v>
      </x:c>
      <x:c r="T10" s="32" t="n">
        <x:f>IF(O10="","",(1/'Metadata'!$B$5)^(O10-1))</x:f>
        <x:v>107.1519305237606</x:v>
      </x:c>
      <x:c r="U10" s="31" t="n">
        <x:f>IF(T10="","",I10*T10)</x:f>
        <x:v>83359.96493131916</x:v>
      </x:c>
    </x:row>
    <x:row r="11" ht="18" customHeight="1">
      <x:c r="A11" s="24" t="str">
        <x:v>EEZ_178</x:v>
      </x:c>
      <x:c r="B11" s="24" t="str">
        <x:v>Congo, R. of</x:v>
      </x:c>
      <x:c r="C11" s="24" t="str">
        <x:v>EEZ</x:v>
      </x:c>
      <x:c r="D11" s="30" t="n">
        <x:v>2019</x:v>
      </x:c>
      <x:c r="E11" s="24" t="str">
        <x:v>Pteroscion peli</x:v>
      </x:c>
      <x:c r="F11" s="24" t="str">
        <x:v>Boe drum</x:v>
      </x:c>
      <x:c r="G11" s="24" t="str">
        <x:v>Medium benthopelagics (30 - 89 cm)</x:v>
      </x:c>
      <x:c r="H11" s="24" t="str">
        <x:v>Perch-likes</x:v>
      </x:c>
      <x:c r="I11" s="31" t="n">
        <x:v>724.9999999997999</x:v>
      </x:c>
      <x:c r="J11" s="31" t="n">
        <x:v>724.9999999997999</x:v>
      </x:c>
      <x:c r="K11" s="31" t="n">
        <x:v>0</x:v>
      </x:c>
      <x:c r="L11" s="31" t="n">
        <x:v>724.9999999997999</x:v>
      </x:c>
      <x:c r="M11" s="31" t="n">
        <x:v>0</x:v>
      </x:c>
      <x:c r="N11" s="24" t="str">
        <x:v>pteroscion peli</x:v>
      </x:c>
      <x:c r="O11" s="32" t="n">
        <x:v>3.56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Pteroscion peli</x:v>
      </x:c>
      <x:c r="T11" s="32" t="n">
        <x:f>IF(O11="","",(1/'Metadata'!$B$5)^(O11-1))</x:f>
        <x:v>363.0780547701014</x:v>
      </x:c>
      <x:c r="U11" s="31" t="n">
        <x:f>IF(T11="","",I11*T11)</x:f>
        <x:v>263231.5897082509</x:v>
      </x:c>
    </x:row>
    <x:row r="12" ht="18" customHeight="1">
      <x:c r="A12" s="24" t="str">
        <x:v>EEZ_178</x:v>
      </x:c>
      <x:c r="B12" s="24" t="str">
        <x:v>Congo, R. of</x:v>
      </x:c>
      <x:c r="C12" s="24" t="str">
        <x:v>EEZ</x:v>
      </x:c>
      <x:c r="D12" s="30" t="n">
        <x:v>2019</x:v>
      </x:c>
      <x:c r="E12" s="24" t="str">
        <x:v>Dentex</x:v>
      </x:c>
      <x:c r="F12" s="24" t="str">
        <x:v>Toothed seabreams</x:v>
      </x:c>
      <x:c r="G12" s="24" t="str">
        <x:v>Large benthopelagics (&gt;=90 cm)</x:v>
      </x:c>
      <x:c r="H12" s="24" t="str">
        <x:v>Perch-likes</x:v>
      </x:c>
      <x:c r="I12" s="31" t="n">
        <x:v>710.4262736542</x:v>
      </x:c>
      <x:c r="J12" s="31" t="n">
        <x:v>706.5984837455001</x:v>
      </x:c>
      <x:c r="K12" s="31" t="n">
        <x:v>3.8277899087</x:v>
      </x:c>
      <x:c r="L12" s="31" t="n">
        <x:v>696.8074012585</x:v>
      </x:c>
      <x:c r="M12" s="31" t="n">
        <x:v>13.6188723957</x:v>
      </x:c>
      <x:c r="N12" s="24" t="str">
        <x:v>dentex</x:v>
      </x:c>
      <x:c r="O12" s="32" t="n">
        <x:v>3.96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Dentex</x:v>
      </x:c>
      <x:c r="T12" s="32" t="n">
        <x:f>IF(O12="","",(1/'Metadata'!$B$5)^(O12-1))</x:f>
        <x:v>912.0108393559096</x:v>
      </x:c>
      <x:c r="U12" s="31" t="n">
        <x:f>IF(T12="","",I12*T12)</x:f>
        <x:v>647916.4621358581</x:v>
      </x:c>
    </x:row>
    <x:row r="13" ht="18" customHeight="1">
      <x:c r="A13" s="24" t="str">
        <x:v>EEZ_178</x:v>
      </x:c>
      <x:c r="B13" s="24" t="str">
        <x:v>Congo, R. of</x:v>
      </x:c>
      <x:c r="C13" s="24" t="str">
        <x:v>EEZ</x:v>
      </x:c>
      <x:c r="D13" s="30" t="n">
        <x:v>2019</x:v>
      </x:c>
      <x:c r="E13" s="24" t="str">
        <x:v>Brotula barbata</x:v>
      </x:c>
      <x:c r="F13" s="24" t="str">
        <x:v>Bearded brotula</x:v>
      </x:c>
      <x:c r="G13" s="24" t="str">
        <x:v>Medium benthopelagics (30 - 89 cm)</x:v>
      </x:c>
      <x:c r="H13" s="24" t="str">
        <x:v>Other fishes &amp; inverts</x:v>
      </x:c>
      <x:c r="I13" s="31" t="n">
        <x:v>668.9802289323</x:v>
      </x:c>
      <x:c r="J13" s="31" t="n">
        <x:v>668.9802289323</x:v>
      </x:c>
      <x:c r="K13" s="31" t="n">
        <x:v>0</x:v>
      </x:c>
      <x:c r="L13" s="31" t="n">
        <x:v>667.3085807028</x:v>
      </x:c>
      <x:c r="M13" s="31" t="n">
        <x:v>1.6716482295</x:v>
      </x:c>
      <x:c r="N13" s="24" t="str">
        <x:v>brotula barbata</x:v>
      </x:c>
      <x:c r="O13" s="32" t="n">
        <x:v>3.8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Brotula barbata</x:v>
      </x:c>
      <x:c r="T13" s="32" t="n">
        <x:f>IF(O13="","",(1/'Metadata'!$B$5)^(O13-1))</x:f>
        <x:v>630.957344480193</x:v>
      </x:c>
      <x:c r="U13" s="31" t="n">
        <x:f>IF(T13="","",I13*T13)</x:f>
        <x:v>422097.98875687557</x:v>
      </x:c>
    </x:row>
    <x:row r="14" ht="18" customHeight="1">
      <x:c r="A14" s="24" t="str">
        <x:v>EEZ_178</x:v>
      </x:c>
      <x:c r="B14" s="24" t="str">
        <x:v>Congo, R. of</x:v>
      </x:c>
      <x:c r="C14" s="24" t="str">
        <x:v>EEZ</x:v>
      </x:c>
      <x:c r="D14" s="30" t="n">
        <x:v>2019</x:v>
      </x:c>
      <x:c r="E14" s="24" t="str">
        <x:v>Galeoides decadactylus</x:v>
      </x:c>
      <x:c r="F14" s="24" t="str">
        <x:v>Lesser African threadfin</x:v>
      </x:c>
      <x:c r="G14" s="24" t="str">
        <x:v>Medium demersals (30 - 89 cm)</x:v>
      </x:c>
      <x:c r="H14" s="24" t="str">
        <x:v>Perch-likes</x:v>
      </x:c>
      <x:c r="I14" s="31" t="n">
        <x:v>594.9140776438</x:v>
      </x:c>
      <x:c r="J14" s="31" t="n">
        <x:v>594.9140776438</x:v>
      </x:c>
      <x:c r="K14" s="31" t="n">
        <x:v>0</x:v>
      </x:c>
      <x:c r="L14" s="31" t="n">
        <x:v>575.5707195594</x:v>
      </x:c>
      <x:c r="M14" s="31" t="n">
        <x:v>19.3433580844</x:v>
      </x:c>
      <x:c r="N14" s="24" t="str">
        <x:v>galeoides decadactylus</x:v>
      </x:c>
      <x:c r="O14" s="32" t="n">
        <x:v>3.57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Galeoides decadactylus</x:v>
      </x:c>
      <x:c r="T14" s="32" t="n">
        <x:f>IF(O14="","",(1/'Metadata'!$B$5)^(O14-1))</x:f>
        <x:v>371.5352290971724</x:v>
      </x:c>
      <x:c r="U14" s="31" t="n">
        <x:f>IF(T14="","",I14*T14)</x:f>
        <x:v>221031.53813052227</x:v>
      </x:c>
    </x:row>
    <x:row r="15" ht="18" customHeight="1">
      <x:c r="A15" s="24" t="str">
        <x:v>EEZ_178</x:v>
      </x:c>
      <x:c r="B15" s="24" t="str">
        <x:v>Congo, R. of</x:v>
      </x:c>
      <x:c r="C15" s="24" t="str">
        <x:v>EEZ</x:v>
      </x:c>
      <x:c r="D15" s="30" t="n">
        <x:v>2019</x:v>
      </x:c>
      <x:c r="E15" s="24" t="str">
        <x:v>Sphyrna</x:v>
      </x:c>
      <x:c r="F15" s="24" t="str">
        <x:v>Hammerhead sharks</x:v>
      </x:c>
      <x:c r="G15" s="24" t="str">
        <x:v>Large sharks (&gt;=90 cm)</x:v>
      </x:c>
      <x:c r="H15" s="24" t="str">
        <x:v>Sharks &amp; rays</x:v>
      </x:c>
      <x:c r="I15" s="31" t="n">
        <x:v>534</x:v>
      </x:c>
      <x:c r="J15" s="31" t="n">
        <x:v>534</x:v>
      </x:c>
      <x:c r="K15" s="31" t="n">
        <x:v>0</x:v>
      </x:c>
      <x:c r="L15" s="31" t="n">
        <x:v>534</x:v>
      </x:c>
      <x:c r="M15" s="31" t="n">
        <x:v>0</x:v>
      </x:c>
      <x:c r="N15" s="24" t="str">
        <x:v>sphyrna</x:v>
      </x:c>
      <x:c r="O15" s="32" t="n">
        <x:v>4.2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Sphyrna</x:v>
      </x:c>
      <x:c r="T15" s="32" t="n">
        <x:f>IF(O15="","",(1/'Metadata'!$B$5)^(O15-1))</x:f>
        <x:v>1584.893192461114</x:v>
      </x:c>
      <x:c r="U15" s="31" t="n">
        <x:f>IF(T15="","",I15*T15)</x:f>
        <x:v>846332.9647742349</x:v>
      </x:c>
    </x:row>
    <x:row r="16" ht="18" customHeight="1">
      <x:c r="A16" s="24" t="str">
        <x:v>EEZ_178</x:v>
      </x:c>
      <x:c r="B16" s="24" t="str">
        <x:v>Congo, R. of</x:v>
      </x:c>
      <x:c r="C16" s="24" t="str">
        <x:v>EEZ</x:v>
      </x:c>
      <x:c r="D16" s="30" t="n">
        <x:v>2019</x:v>
      </x:c>
      <x:c r="E16" s="24" t="str">
        <x:v>Sardinella</x:v>
      </x:c>
      <x:c r="F16" s="24" t="str">
        <x:v>Sardinellas</x:v>
      </x:c>
      <x:c r="G16" s="24" t="str">
        <x:v>Small pelagics (&lt;30 cm)</x:v>
      </x:c>
      <x:c r="H16" s="24" t="str">
        <x:v>Herring-likes</x:v>
      </x:c>
      <x:c r="I16" s="31" t="n">
        <x:v>474.9999999998</x:v>
      </x:c>
      <x:c r="J16" s="31" t="n">
        <x:v>474.9999999998</x:v>
      </x:c>
      <x:c r="K16" s="31" t="n">
        <x:v>0</x:v>
      </x:c>
      <x:c r="L16" s="31" t="n">
        <x:v>474.9999999998</x:v>
      </x:c>
      <x:c r="M16" s="31" t="n">
        <x:v>0</x:v>
      </x:c>
      <x:c r="N16" s="24" t="str">
        <x:v>sardinella</x:v>
      </x:c>
      <x:c r="O16" s="32" t="n">
        <x:v>2.77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Sardinella</x:v>
      </x:c>
      <x:c r="T16" s="32" t="n">
        <x:f>IF(O16="","",(1/'Metadata'!$B$5)^(O16-1))</x:f>
        <x:v>58.8843655355589</x:v>
      </x:c>
      <x:c r="U16" s="31" t="n">
        <x:f>IF(T16="","",I16*T16)</x:f>
        <x:v>27970.0736293787</x:v>
      </x:c>
    </x:row>
    <x:row r="17" ht="18" customHeight="1">
      <x:c r="A17" s="24" t="str">
        <x:v>EEZ_178</x:v>
      </x:c>
      <x:c r="B17" s="24" t="str">
        <x:v>Congo, R. of</x:v>
      </x:c>
      <x:c r="C17" s="24" t="str">
        <x:v>EEZ</x:v>
      </x:c>
      <x:c r="D17" s="30" t="n">
        <x:v>2019</x:v>
      </x:c>
      <x:c r="E17" s="24" t="str">
        <x:v>Pentanemus quinquarius</x:v>
      </x:c>
      <x:c r="F17" s="24" t="str">
        <x:v>Royal threadfin</x:v>
      </x:c>
      <x:c r="G17" s="24" t="str">
        <x:v>Small demersals (&lt;30 cm)</x:v>
      </x:c>
      <x:c r="H17" s="24" t="str">
        <x:v>Perch-likes</x:v>
      </x:c>
      <x:c r="I17" s="31" t="n">
        <x:v>429.44715328809997</x:v>
      </x:c>
      <x:c r="J17" s="31" t="n">
        <x:v>429.44715328809997</x:v>
      </x:c>
      <x:c r="K17" s="31" t="n">
        <x:v>0</x:v>
      </x:c>
      <x:c r="L17" s="31" t="n">
        <x:v>418.9396501311</x:v>
      </x:c>
      <x:c r="M17" s="31" t="n">
        <x:v>10.507503157</x:v>
      </x:c>
      <x:c r="N17" s="24" t="str">
        <x:v>pentanemus quinquarius</x:v>
      </x:c>
      <x:c r="O17" s="32" t="n">
        <x:v>3.56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Pentanemus quinquarius</x:v>
      </x:c>
      <x:c r="T17" s="32" t="n">
        <x:f>IF(O17="","",(1/'Metadata'!$B$5)^(O17-1))</x:f>
        <x:v>363.0780547701014</x:v>
      </x:c>
      <x:c r="U17" s="31" t="n">
        <x:f>IF(T17="","",I17*T17)</x:f>
        <x:v>155922.8370424009</x:v>
      </x:c>
    </x:row>
    <x:row r="18" ht="18" customHeight="1">
      <x:c r="A18" s="24" t="str">
        <x:v>EEZ_178</x:v>
      </x:c>
      <x:c r="B18" s="24" t="str">
        <x:v>Congo, R. of</x:v>
      </x:c>
      <x:c r="C18" s="24" t="str">
        <x:v>EEZ</x:v>
      </x:c>
      <x:c r="D18" s="30" t="n">
        <x:v>2019</x:v>
      </x:c>
      <x:c r="E18" s="24" t="str">
        <x:v>Trachurus trecae</x:v>
      </x:c>
      <x:c r="F18" s="24" t="str">
        <x:v>Cunene horse mackerel</x:v>
      </x:c>
      <x:c r="G18" s="24" t="str">
        <x:v>Medium benthopelagics (30 - 89 cm)</x:v>
      </x:c>
      <x:c r="H18" s="24" t="str">
        <x:v>Perch-likes</x:v>
      </x:c>
      <x:c r="I18" s="31" t="n">
        <x:v>403.9999999996</x:v>
      </x:c>
      <x:c r="J18" s="31" t="n">
        <x:v>403.9999999996</x:v>
      </x:c>
      <x:c r="K18" s="31" t="n">
        <x:v>0</x:v>
      </x:c>
      <x:c r="L18" s="31" t="n">
        <x:v>403.9999999996</x:v>
      </x:c>
      <x:c r="M18" s="31" t="n">
        <x:v>0</x:v>
      </x:c>
      <x:c r="N18" s="24" t="str">
        <x:v>trachurus trecae</x:v>
      </x:c>
      <x:c r="O18" s="32" t="n">
        <x:v>3.49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Trachurus trecae</x:v>
      </x:c>
      <x:c r="T18" s="32" t="n">
        <x:f>IF(O18="","",(1/'Metadata'!$B$5)^(O18-1))</x:f>
        <x:v>309.0295432513592</x:v>
      </x:c>
      <x:c r="U18" s="31" t="n">
        <x:f>IF(T18="","",I18*T18)</x:f>
        <x:v>124847.9354734255</x:v>
      </x:c>
    </x:row>
    <x:row r="19" ht="18" customHeight="1">
      <x:c r="A19" s="24" t="str">
        <x:v>EEZ_178</x:v>
      </x:c>
      <x:c r="B19" s="24" t="str">
        <x:v>Congo, R. of</x:v>
      </x:c>
      <x:c r="C19" s="24" t="str">
        <x:v>EEZ</x:v>
      </x:c>
      <x:c r="D19" s="30" t="n">
        <x:v>2019</x:v>
      </x:c>
      <x:c r="E19" s="24" t="str">
        <x:v>Dasyatidae</x:v>
      </x:c>
      <x:c r="F19" s="24" t="str">
        <x:v>Whiptail stingrays</x:v>
      </x:c>
      <x:c r="G19" s="24" t="str">
        <x:v>Large rays (&gt;=90 cm)</x:v>
      </x:c>
      <x:c r="H19" s="24" t="str">
        <x:v>Sharks &amp; rays</x:v>
      </x:c>
      <x:c r="I19" s="31" t="n">
        <x:v>398</x:v>
      </x:c>
      <x:c r="J19" s="31" t="n">
        <x:v>398</x:v>
      </x:c>
      <x:c r="K19" s="31" t="n">
        <x:v>0</x:v>
      </x:c>
      <x:c r="L19" s="31" t="n">
        <x:v>398</x:v>
      </x:c>
      <x:c r="M19" s="31" t="n">
        <x:v>0</x:v>
      </x:c>
      <x:c r="N19" s="24" t="str">
        <x:v>dasyatidae</x:v>
      </x:c>
      <x:c r="O19" s="32" t="n">
        <x:v>3.38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Dasyatidae</x:v>
      </x:c>
      <x:c r="T19" s="32" t="n">
        <x:f>IF(O19="","",(1/'Metadata'!$B$5)^(O19-1))</x:f>
        <x:v>239.88329190194898</x:v>
      </x:c>
      <x:c r="U19" s="31" t="n">
        <x:f>IF(T19="","",I19*T19)</x:f>
        <x:v>95473.5501769757</x:v>
      </x:c>
    </x:row>
    <x:row r="20" ht="18" customHeight="1">
      <x:c r="A20" s="24" t="str">
        <x:v>EEZ_178</x:v>
      </x:c>
      <x:c r="B20" s="24" t="str">
        <x:v>Congo, R. of</x:v>
      </x:c>
      <x:c r="C20" s="24" t="str">
        <x:v>EEZ</x:v>
      </x:c>
      <x:c r="D20" s="30" t="n">
        <x:v>2019</x:v>
      </x:c>
      <x:c r="E20" s="24" t="str">
        <x:v>Selene dorsalis</x:v>
      </x:c>
      <x:c r="F20" s="24" t="str">
        <x:v>African moonfish</x:v>
      </x:c>
      <x:c r="G20" s="24" t="str">
        <x:v>Small demersals (&lt;30 cm)</x:v>
      </x:c>
      <x:c r="H20" s="24" t="str">
        <x:v>Perch-likes</x:v>
      </x:c>
      <x:c r="I20" s="31" t="n">
        <x:v>369.01</x:v>
      </x:c>
      <x:c r="J20" s="31" t="n">
        <x:v>369.01</x:v>
      </x:c>
      <x:c r="K20" s="31" t="n">
        <x:v>0</x:v>
      </x:c>
      <x:c r="L20" s="31" t="n">
        <x:v>369.01</x:v>
      </x:c>
      <x:c r="M20" s="31" t="n">
        <x:v>0</x:v>
      </x:c>
      <x:c r="N20" s="24" t="str">
        <x:v>selene dorsalis</x:v>
      </x:c>
      <x:c r="O20" s="32" t="n">
        <x:v>4.08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Selene dorsalis</x:v>
      </x:c>
      <x:c r="T20" s="32" t="n">
        <x:f>IF(O20="","",(1/'Metadata'!$B$5)^(O20-1))</x:f>
        <x:v>1202.2644346174131</x:v>
      </x:c>
      <x:c r="U20" s="31" t="n">
        <x:f>IF(T20="","",I20*T20)</x:f>
        <x:v>443647.5990181716</x:v>
      </x:c>
    </x:row>
    <x:row r="21" ht="18" customHeight="1">
      <x:c r="A21" s="24" t="str">
        <x:v>EEZ_178</x:v>
      </x:c>
      <x:c r="B21" s="24" t="str">
        <x:v>Congo, R. of</x:v>
      </x:c>
      <x:c r="C21" s="24" t="str">
        <x:v>EEZ</x:v>
      </x:c>
      <x:c r="D21" s="30" t="n">
        <x:v>2019</x:v>
      </x:c>
      <x:c r="E21" s="24" t="str">
        <x:v>Caranx</x:v>
      </x:c>
      <x:c r="F21" s="24" t="str">
        <x:v>Jacks</x:v>
      </x:c>
      <x:c r="G21" s="24" t="str">
        <x:v>Medium reef assoc. fish (30 - 89 cm)</x:v>
      </x:c>
      <x:c r="H21" s="24" t="str">
        <x:v>Perch-likes</x:v>
      </x:c>
      <x:c r="I21" s="31" t="n">
        <x:v>361.0000000001</x:v>
      </x:c>
      <x:c r="J21" s="31" t="n">
        <x:v>361.0000000001</x:v>
      </x:c>
      <x:c r="K21" s="31" t="n">
        <x:v>0</x:v>
      </x:c>
      <x:c r="L21" s="31" t="n">
        <x:v>361.0000000001</x:v>
      </x:c>
      <x:c r="M21" s="31" t="n">
        <x:v>0</x:v>
      </x:c>
      <x:c r="N21" s="24" t="str">
        <x:v>caranx</x:v>
      </x:c>
      <x:c r="O21" s="32" t="n">
        <x:v>4.12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Caranx</x:v>
      </x:c>
      <x:c r="T21" s="32" t="n">
        <x:f>IF(O21="","",(1/'Metadata'!$B$5)^(O21-1))</x:f>
        <x:v>1318.2567385564075</x:v>
      </x:c>
      <x:c r="U21" s="31" t="n">
        <x:f>IF(T21="","",I21*T21)</x:f>
        <x:v>475890.6826189949</x:v>
      </x:c>
    </x:row>
    <x:row r="22" ht="18" customHeight="1">
      <x:c r="A22" s="24" t="str">
        <x:v>EEZ_178</x:v>
      </x:c>
      <x:c r="B22" s="24" t="str">
        <x:v>Congo, R. of</x:v>
      </x:c>
      <x:c r="C22" s="24" t="str">
        <x:v>EEZ</x:v>
      </x:c>
      <x:c r="D22" s="30" t="n">
        <x:v>2019</x:v>
      </x:c>
      <x:c r="E22" s="24" t="str">
        <x:v>Carcharhinus</x:v>
      </x:c>
      <x:c r="F22" s="24" t="str">
        <x:v>Sharp-nosed sharks</x:v>
      </x:c>
      <x:c r="G22" s="24" t="str">
        <x:v>Large sharks (&gt;=90 cm)</x:v>
      </x:c>
      <x:c r="H22" s="24" t="str">
        <x:v>Sharks &amp; rays</x:v>
      </x:c>
      <x:c r="I22" s="31" t="n">
        <x:v>320</x:v>
      </x:c>
      <x:c r="J22" s="31" t="n">
        <x:v>320</x:v>
      </x:c>
      <x:c r="K22" s="31" t="n">
        <x:v>0</x:v>
      </x:c>
      <x:c r="L22" s="31" t="n">
        <x:v>320</x:v>
      </x:c>
      <x:c r="M22" s="31" t="n">
        <x:v>0</x:v>
      </x:c>
      <x:c r="N22" s="24" t="str">
        <x:v>carcharhinus</x:v>
      </x:c>
      <x:c r="O22" s="32" t="n">
        <x:v>4.26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Carcharhinus</x:v>
      </x:c>
      <x:c r="T22" s="32" t="n">
        <x:f>IF(O22="","",(1/'Metadata'!$B$5)^(O22-1))</x:f>
        <x:v>1819.7008586099826</x:v>
      </x:c>
      <x:c r="U22" s="31" t="n">
        <x:f>IF(T22="","",I22*T22)</x:f>
        <x:v>582304.2747551944</x:v>
      </x:c>
    </x:row>
    <x:row r="23" ht="18" customHeight="1">
      <x:c r="A23" s="24" t="str">
        <x:v>EEZ_178</x:v>
      </x:c>
      <x:c r="B23" s="24" t="str">
        <x:v>Congo, R. of</x:v>
      </x:c>
      <x:c r="C23" s="24" t="str">
        <x:v>EEZ</x:v>
      </x:c>
      <x:c r="D23" s="30" t="n">
        <x:v>2019</x:v>
      </x:c>
      <x:c r="E23" s="24" t="str">
        <x:v>Pagellus bellottii</x:v>
      </x:c>
      <x:c r="F23" s="24" t="str">
        <x:v>Red pandora</x:v>
      </x:c>
      <x:c r="G23" s="24" t="str">
        <x:v>Medium demersals (30 - 89 cm)</x:v>
      </x:c>
      <x:c r="H23" s="24" t="str">
        <x:v>Perch-likes</x:v>
      </x:c>
      <x:c r="I23" s="31" t="n">
        <x:v>234.56577969479997</x:v>
      </x:c>
      <x:c r="J23" s="31" t="n">
        <x:v>234.56577969479997</x:v>
      </x:c>
      <x:c r="K23" s="31" t="n">
        <x:v>0</x:v>
      </x:c>
      <x:c r="L23" s="31" t="n">
        <x:v>234.088165915</x:v>
      </x:c>
      <x:c r="M23" s="31" t="n">
        <x:v>0.4776137798</x:v>
      </x:c>
      <x:c r="N23" s="24" t="str">
        <x:v>pagellus bellottii</x:v>
      </x:c>
      <x:c r="O23" s="32" t="n">
        <x:v>3.6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Pagellus bellottii</x:v>
      </x:c>
      <x:c r="T23" s="32" t="n">
        <x:f>IF(O23="","",(1/'Metadata'!$B$5)^(O23-1))</x:f>
        <x:v>398.1071705534973</x:v>
      </x:c>
      <x:c r="U23" s="31" t="n">
        <x:f>IF(T23="","",I23*T23)</x:f>
        <x:v>93382.3188629718</x:v>
      </x:c>
    </x:row>
    <x:row r="24" ht="18" customHeight="1">
      <x:c r="A24" s="24" t="str">
        <x:v>EEZ_178</x:v>
      </x:c>
      <x:c r="B24" s="24" t="str">
        <x:v>Congo, R. of</x:v>
      </x:c>
      <x:c r="C24" s="24" t="str">
        <x:v>EEZ</x:v>
      </x:c>
      <x:c r="D24" s="30" t="n">
        <x:v>2019</x:v>
      </x:c>
      <x:c r="E24" s="24" t="str">
        <x:v>Umbrina canariensis</x:v>
      </x:c>
      <x:c r="F24" s="24" t="str">
        <x:v>Canary drum</x:v>
      </x:c>
      <x:c r="G24" s="24" t="str">
        <x:v>Medium demersals (30 - 89 cm)</x:v>
      </x:c>
      <x:c r="H24" s="24" t="str">
        <x:v>Perch-likes</x:v>
      </x:c>
      <x:c r="I24" s="31" t="n">
        <x:v>233.2828898477</x:v>
      </x:c>
      <x:c r="J24" s="31" t="n">
        <x:v>233.2828898477</x:v>
      </x:c>
      <x:c r="K24" s="31" t="n">
        <x:v>0</x:v>
      </x:c>
      <x:c r="L24" s="31" t="n">
        <x:v>233.0440829576</x:v>
      </x:c>
      <x:c r="M24" s="31" t="n">
        <x:v>0.2388068901</x:v>
      </x:c>
      <x:c r="N24" s="24" t="str">
        <x:v>umbrina canariensis</x:v>
      </x:c>
      <x:c r="O24" s="32" t="n">
        <x:v>3.37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Umbrina canariensis</x:v>
      </x:c>
      <x:c r="T24" s="32" t="n">
        <x:f>IF(O24="","",(1/'Metadata'!$B$5)^(O24-1))</x:f>
        <x:v>234.42288153199226</x:v>
      </x:c>
      <x:c r="U24" s="31" t="n">
        <x:f>IF(T24="","",I24*T24)</x:f>
        <x:v>54686.84725020818</x:v>
      </x:c>
    </x:row>
    <x:row r="25" ht="18" customHeight="1">
      <x:c r="A25" s="24" t="str">
        <x:v>EEZ_178</x:v>
      </x:c>
      <x:c r="B25" s="24" t="str">
        <x:v>Congo, R. of</x:v>
      </x:c>
      <x:c r="C25" s="24" t="str">
        <x:v>EEZ</x:v>
      </x:c>
      <x:c r="D25" s="30" t="n">
        <x:v>2019</x:v>
      </x:c>
      <x:c r="E25" s="24" t="str">
        <x:v>Ilisha africana</x:v>
      </x:c>
      <x:c r="F25" s="24" t="str">
        <x:v>West African ilisha</x:v>
      </x:c>
      <x:c r="G25" s="24" t="str">
        <x:v>Medium pelagics (30 - 89 cm)</x:v>
      </x:c>
      <x:c r="H25" s="24" t="str">
        <x:v>Herring-likes</x:v>
      </x:c>
      <x:c r="I25" s="31" t="n">
        <x:v>182</x:v>
      </x:c>
      <x:c r="J25" s="31" t="n">
        <x:v>182</x:v>
      </x:c>
      <x:c r="K25" s="31" t="n">
        <x:v>0</x:v>
      </x:c>
      <x:c r="L25" s="31" t="n">
        <x:v>182</x:v>
      </x:c>
      <x:c r="M25" s="31" t="n">
        <x:v>0</x:v>
      </x:c>
      <x:c r="N25" s="24" t="str">
        <x:v>ilisha africana</x:v>
      </x:c>
      <x:c r="O25" s="32" t="n">
        <x:v>3.59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Ilisha africana</x:v>
      </x:c>
      <x:c r="T25" s="32" t="n">
        <x:f>IF(O25="","",(1/'Metadata'!$B$5)^(O25-1))</x:f>
        <x:v>389.04514499428046</x:v>
      </x:c>
      <x:c r="U25" s="31" t="n">
        <x:f>IF(T25="","",I25*T25)</x:f>
        <x:v>70806.21638895904</x:v>
      </x:c>
    </x:row>
    <x:row r="26" ht="18" customHeight="1">
      <x:c r="A26" s="24" t="str">
        <x:v>EEZ_178</x:v>
      </x:c>
      <x:c r="B26" s="24" t="str">
        <x:v>Congo, R. of</x:v>
      </x:c>
      <x:c r="C26" s="24" t="str">
        <x:v>EEZ</x:v>
      </x:c>
      <x:c r="D26" s="30" t="n">
        <x:v>2019</x:v>
      </x:c>
      <x:c r="E26" s="24" t="str">
        <x:v>Chloroscombrus chrysurus</x:v>
      </x:c>
      <x:c r="F26" s="24" t="str">
        <x:v>Atlantic bumper</x:v>
      </x:c>
      <x:c r="G26" s="24" t="str">
        <x:v>Medium pelagics (30 - 89 cm)</x:v>
      </x:c>
      <x:c r="H26" s="24" t="str">
        <x:v>Perch-likes</x:v>
      </x:c>
      <x:c r="I26" s="31" t="n">
        <x:v>173.7948033481</x:v>
      </x:c>
      <x:c r="J26" s="31" t="n">
        <x:v>173.7948033481</x:v>
      </x:c>
      <x:c r="K26" s="31" t="n">
        <x:v>0</x:v>
      </x:c>
      <x:c r="L26" s="31" t="n">
        <x:v>145.329662769</x:v>
      </x:c>
      <x:c r="M26" s="31" t="n">
        <x:v>28.4651405791</x:v>
      </x:c>
      <x:c r="N26" s="24" t="str">
        <x:v>chloroscombrus chrysurus</x:v>
      </x:c>
      <x:c r="O26" s="32" t="n">
        <x:v>3.54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Chloroscombrus chrysurus</x:v>
      </x:c>
      <x:c r="T26" s="32" t="n">
        <x:f>IF(O26="","",(1/'Metadata'!$B$5)^(O26-1))</x:f>
        <x:v>346.73685045253166</x:v>
      </x:c>
      <x:c r="U26" s="31" t="n">
        <x:f>IF(T26="","",I26*T26)</x:f>
        <x:v>60261.062737937296</x:v>
      </x:c>
    </x:row>
    <x:row r="27" ht="18" customHeight="1">
      <x:c r="A27" s="24" t="str">
        <x:v>EEZ_178</x:v>
      </x:c>
      <x:c r="B27" s="24" t="str">
        <x:v>Congo, R. of</x:v>
      </x:c>
      <x:c r="C27" s="24" t="str">
        <x:v>EEZ</x:v>
      </x:c>
      <x:c r="D27" s="30" t="n">
        <x:v>2019</x:v>
      </x:c>
      <x:c r="E27" s="24" t="str">
        <x:v>Mugilidae</x:v>
      </x:c>
      <x:c r="F27" s="24" t="str">
        <x:v>Mullets, grey mullets</x:v>
      </x:c>
      <x:c r="G27" s="24" t="str">
        <x:v>Medium reef assoc. fish (30 - 89 cm)</x:v>
      </x:c>
      <x:c r="H27" s="24" t="str">
        <x:v>Perch-likes</x:v>
      </x:c>
      <x:c r="I27" s="31" t="n">
        <x:v>170</x:v>
      </x:c>
      <x:c r="J27" s="31" t="n">
        <x:v>170</x:v>
      </x:c>
      <x:c r="K27" s="31" t="n">
        <x:v>0</x:v>
      </x:c>
      <x:c r="L27" s="31" t="n">
        <x:v>170</x:v>
      </x:c>
      <x:c r="M27" s="31" t="n">
        <x:v>0</x:v>
      </x:c>
      <x:c r="N27" s="24" t="str">
        <x:v>mugilidae</x:v>
      </x:c>
      <x:c r="O27" s="32" t="n">
        <x:v>2.53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Mugilidae</x:v>
      </x:c>
      <x:c r="T27" s="32" t="n">
        <x:f>IF(O27="","",(1/'Metadata'!$B$5)^(O27-1))</x:f>
        <x:v>33.88441561392024</x:v>
      </x:c>
      <x:c r="U27" s="31" t="n">
        <x:f>IF(T27="","",I27*T27)</x:f>
        <x:v>5760.350654366441</x:v>
      </x:c>
    </x:row>
    <x:row r="28" ht="18" customHeight="1">
      <x:c r="A28" s="24" t="str">
        <x:v>EEZ_178</x:v>
      </x:c>
      <x:c r="B28" s="24" t="str">
        <x:v>Congo, R. of</x:v>
      </x:c>
      <x:c r="C28" s="24" t="str">
        <x:v>EEZ</x:v>
      </x:c>
      <x:c r="D28" s="30" t="n">
        <x:v>2019</x:v>
      </x:c>
      <x:c r="E28" s="24" t="str">
        <x:v>Sphyraena</x:v>
      </x:c>
      <x:c r="F28" s="24" t="str">
        <x:v>Barracudas, sennets</x:v>
      </x:c>
      <x:c r="G28" s="24" t="str">
        <x:v>Large pelagics (&gt;=90 cm)</x:v>
      </x:c>
      <x:c r="H28" s="24" t="str">
        <x:v>Perch-likes</x:v>
      </x:c>
      <x:c r="I28" s="31" t="n">
        <x:v>127.2828898478</x:v>
      </x:c>
      <x:c r="J28" s="31" t="n">
        <x:v>127.2828898478</x:v>
      </x:c>
      <x:c r="K28" s="31" t="n">
        <x:v>0</x:v>
      </x:c>
      <x:c r="L28" s="31" t="n">
        <x:v>127.0440829577</x:v>
      </x:c>
      <x:c r="M28" s="31" t="n">
        <x:v>0.2388068901</x:v>
      </x:c>
      <x:c r="N28" s="24" t="str">
        <x:v>sphyraena</x:v>
      </x:c>
      <x:c r="O28" s="32" t="n">
        <x:v>4.4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Sphyraena</x:v>
      </x:c>
      <x:c r="T28" s="32" t="n">
        <x:f>IF(O28="","",(1/'Metadata'!$B$5)^(O28-1))</x:f>
        <x:v>2511.886431509582</x:v>
      </x:c>
      <x:c r="U28" s="31" t="n">
        <x:f>IF(T28="","",I28*T28)</x:f>
        <x:v>319720.1639720176</x:v>
      </x:c>
    </x:row>
    <x:row r="29" ht="18" customHeight="1">
      <x:c r="A29" s="24" t="str">
        <x:v>EEZ_178</x:v>
      </x:c>
      <x:c r="B29" s="24" t="str">
        <x:v>Congo, R. of</x:v>
      </x:c>
      <x:c r="C29" s="24" t="str">
        <x:v>EEZ</x:v>
      </x:c>
      <x:c r="D29" s="30" t="n">
        <x:v>2019</x:v>
      </x:c>
      <x:c r="E29" s="24" t="str">
        <x:v>Stromateus fiatola</x:v>
      </x:c>
      <x:c r="F29" s="24" t="str">
        <x:v>Blue butterfish</x:v>
      </x:c>
      <x:c r="G29" s="24" t="str">
        <x:v>Medium benthopelagics (30 - 89 cm)</x:v>
      </x:c>
      <x:c r="H29" s="24" t="str">
        <x:v>Perch-likes</x:v>
      </x:c>
      <x:c r="I29" s="31" t="n">
        <x:v>125</x:v>
      </x:c>
      <x:c r="J29" s="31" t="n">
        <x:v>125</x:v>
      </x:c>
      <x:c r="K29" s="31" t="n">
        <x:v>0</x:v>
      </x:c>
      <x:c r="L29" s="31" t="n">
        <x:v>125</x:v>
      </x:c>
      <x:c r="M29" s="31" t="n">
        <x:v>0</x:v>
      </x:c>
      <x:c r="N29" s="24" t="str">
        <x:v>stromateus fiatola</x:v>
      </x:c>
      <x:c r="O29" s="32" t="n">
        <x:v>4.03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Stromateus fiatola</x:v>
      </x:c>
      <x:c r="T29" s="32" t="n">
        <x:f>IF(O29="","",(1/'Metadata'!$B$5)^(O29-1))</x:f>
        <x:v>1071.519305237607</x:v>
      </x:c>
      <x:c r="U29" s="31" t="n">
        <x:f>IF(T29="","",I29*T29)</x:f>
        <x:v>133939.9131547009</x:v>
      </x:c>
    </x:row>
    <x:row r="30" ht="18" customHeight="1">
      <x:c r="A30" s="24" t="str">
        <x:v>EEZ_178</x:v>
      </x:c>
      <x:c r="B30" s="24" t="str">
        <x:v>Congo, R. of</x:v>
      </x:c>
      <x:c r="C30" s="24" t="str">
        <x:v>EEZ</x:v>
      </x:c>
      <x:c r="D30" s="30" t="n">
        <x:v>2019</x:v>
      </x:c>
      <x:c r="E30" s="24" t="str">
        <x:v>Epinephelus</x:v>
      </x:c>
      <x:c r="F30" s="24" t="str">
        <x:v>Seabasses, hinds</x:v>
      </x:c>
      <x:c r="G30" s="24" t="str">
        <x:v>Medium reef assoc. fish (30 - 89 cm)</x:v>
      </x:c>
      <x:c r="H30" s="24" t="str">
        <x:v>Perch-likes</x:v>
      </x:c>
      <x:c r="I30" s="31" t="n">
        <x:v>118.2828898476</x:v>
      </x:c>
      <x:c r="J30" s="31" t="n">
        <x:v>118.2828898476</x:v>
      </x:c>
      <x:c r="K30" s="31" t="n">
        <x:v>0</x:v>
      </x:c>
      <x:c r="L30" s="31" t="n">
        <x:v>118.0440829575</x:v>
      </x:c>
      <x:c r="M30" s="31" t="n">
        <x:v>0.2388068901</x:v>
      </x:c>
      <x:c r="N30" s="24" t="str">
        <x:v>epinephelus</x:v>
      </x:c>
      <x:c r="O30" s="32" t="n">
        <x:v>3.84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Epinephelus</x:v>
      </x:c>
      <x:c r="T30" s="32" t="n">
        <x:f>IF(O30="","",(1/'Metadata'!$B$5)^(O30-1))</x:f>
        <x:v>691.8309709189363</x:v>
      </x:c>
      <x:c r="U30" s="31" t="n">
        <x:f>IF(T30="","",I30*T30)</x:f>
        <x:v>81831.7665263627</x:v>
      </x:c>
    </x:row>
    <x:row r="31" ht="18" customHeight="1">
      <x:c r="A31" s="24" t="str">
        <x:v>EEZ_178</x:v>
      </x:c>
      <x:c r="B31" s="24" t="str">
        <x:v>Congo, R. of</x:v>
      </x:c>
      <x:c r="C31" s="24" t="str">
        <x:v>EEZ</x:v>
      </x:c>
      <x:c r="D31" s="30" t="n">
        <x:v>2019</x:v>
      </x:c>
      <x:c r="E31" s="24" t="str">
        <x:v>Lutjanidae</x:v>
      </x:c>
      <x:c r="F31" s="24" t="str">
        <x:v>Snappers</x:v>
      </x:c>
      <x:c r="G31" s="24" t="str">
        <x:v>Medium reef assoc. fish (30 - 89 cm)</x:v>
      </x:c>
      <x:c r="H31" s="24" t="str">
        <x:v>Perch-likes</x:v>
      </x:c>
      <x:c r="I31" s="31" t="n">
        <x:v>111.9999999998</x:v>
      </x:c>
      <x:c r="J31" s="31" t="n">
        <x:v>111.9999999998</x:v>
      </x:c>
      <x:c r="K31" s="31" t="n">
        <x:v>0</x:v>
      </x:c>
      <x:c r="L31" s="31" t="n">
        <x:v>111.9999999998</x:v>
      </x:c>
      <x:c r="M31" s="31" t="n">
        <x:v>0</x:v>
      </x:c>
      <x:c r="N31" s="24" t="str">
        <x:v>lutjanidae</x:v>
      </x:c>
      <x:c r="O31" s="32" t="n">
        <x:v>4.02</x:v>
      </x:c>
      <x:c r="P31" s="24" t="str">
        <x:v>exact_sea_around_us</x:v>
      </x:c>
      <x:c r="Q31" s="32" t="str">
        <x:v>Sea Around Us exploited organisms</x:v>
      </x:c>
      <x:c r="R31" s="24" t="str">
        <x:v>high</x:v>
      </x:c>
      <x:c r="S31" s="24" t="str">
        <x:v>Lutjanidae</x:v>
      </x:c>
      <x:c r="T31" s="32" t="n">
        <x:f>IF(O31="","",(1/'Metadata'!$B$5)^(O31-1))</x:f>
        <x:v>1047.1285480508984</x:v>
      </x:c>
      <x:c r="U31" s="31" t="n">
        <x:f>IF(T31="","",I31*T31)</x:f>
        <x:v>117278.39738149119</x:v>
      </x:c>
    </x:row>
    <x:row r="32" ht="18" customHeight="1">
      <x:c r="A32" s="24" t="str">
        <x:v>EEZ_178</x:v>
      </x:c>
      <x:c r="B32" s="24" t="str">
        <x:v>Congo, R. of</x:v>
      </x:c>
      <x:c r="C32" s="24" t="str">
        <x:v>EEZ</x:v>
      </x:c>
      <x:c r="D32" s="30" t="n">
        <x:v>2019</x:v>
      </x:c>
      <x:c r="E32" s="24" t="str">
        <x:v>Sarda sarda</x:v>
      </x:c>
      <x:c r="F32" s="24" t="str">
        <x:v>Atlantic bonito</x:v>
      </x:c>
      <x:c r="G32" s="24" t="str">
        <x:v>Medium pelagics (30 - 89 cm)</x:v>
      </x:c>
      <x:c r="H32" s="24" t="str">
        <x:v>Tuna &amp; billfishes</x:v>
      </x:c>
      <x:c r="I32" s="31" t="n">
        <x:v>98</x:v>
      </x:c>
      <x:c r="J32" s="31" t="n">
        <x:v>98</x:v>
      </x:c>
      <x:c r="K32" s="31" t="n">
        <x:v>0</x:v>
      </x:c>
      <x:c r="L32" s="31" t="n">
        <x:v>98</x:v>
      </x:c>
      <x:c r="M32" s="31" t="n">
        <x:v>0</x:v>
      </x:c>
      <x:c r="N32" s="24" t="str">
        <x:v>sarda sarda</x:v>
      </x:c>
      <x:c r="O32" s="32" t="n">
        <x:v>4.5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Sarda sarda</x:v>
      </x:c>
      <x:c r="T32" s="32" t="n">
        <x:f>IF(O32="","",(1/'Metadata'!$B$5)^(O32-1))</x:f>
        <x:v>3162.2776601683795</x:v>
      </x:c>
      <x:c r="U32" s="31" t="n">
        <x:f>IF(T32="","",I32*T32)</x:f>
        <x:v>309903.2106965012</x:v>
      </x:c>
    </x:row>
    <x:row r="33" ht="18" customHeight="1">
      <x:c r="A33" s="24" t="str">
        <x:v>EEZ_178</x:v>
      </x:c>
      <x:c r="B33" s="24" t="str">
        <x:v>Congo, R. of</x:v>
      </x:c>
      <x:c r="C33" s="24" t="str">
        <x:v>EEZ</x:v>
      </x:c>
      <x:c r="D33" s="30" t="n">
        <x:v>2019</x:v>
      </x:c>
      <x:c r="E33" s="24" t="str">
        <x:v>Scomber colias</x:v>
      </x:c>
      <x:c r="F33" s="24" t="str">
        <x:v>Atlantic chub mackerel</x:v>
      </x:c>
      <x:c r="G33" s="24" t="str">
        <x:v>Medium pelagics (30 - 89 cm)</x:v>
      </x:c>
      <x:c r="H33" s="24" t="str">
        <x:v>Perch-likes</x:v>
      </x:c>
      <x:c r="I33" s="31" t="n">
        <x:v>89</x:v>
      </x:c>
      <x:c r="J33" s="31" t="n">
        <x:v>89</x:v>
      </x:c>
      <x:c r="K33" s="31" t="n">
        <x:v>0</x:v>
      </x:c>
      <x:c r="L33" s="31" t="n">
        <x:v>89</x:v>
      </x:c>
      <x:c r="M33" s="31" t="n">
        <x:v>0</x:v>
      </x:c>
      <x:c r="N33" s="24" t="str">
        <x:v>scomber colias</x:v>
      </x:c>
      <x:c r="O33" s="32" t="n">
        <x:v>3.91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Scomber colias</x:v>
      </x:c>
      <x:c r="T33" s="32" t="n">
        <x:f>IF(O33="","",(1/'Metadata'!$B$5)^(O33-1))</x:f>
        <x:v>812.8305161640995</x:v>
      </x:c>
      <x:c r="U33" s="31" t="n">
        <x:f>IF(T33="","",I33*T33)</x:f>
        <x:v>72341.91593860486</x:v>
      </x:c>
    </x:row>
    <x:row r="34" ht="18" customHeight="1">
      <x:c r="A34" s="24" t="str">
        <x:v>EEZ_178</x:v>
      </x:c>
      <x:c r="B34" s="24" t="str">
        <x:v>Congo, R. of</x:v>
      </x:c>
      <x:c r="C34" s="24" t="str">
        <x:v>EEZ</x:v>
      </x:c>
      <x:c r="D34" s="30" t="n">
        <x:v>2019</x:v>
      </x:c>
      <x:c r="E34" s="24" t="str">
        <x:v>Scombridae</x:v>
      </x:c>
      <x:c r="F34" s="24" t="str">
        <x:v>Mackerels, tunas, bonitos</x:v>
      </x:c>
      <x:c r="G34" s="24" t="str">
        <x:v>Medium pelagics (30 - 89 cm)</x:v>
      </x:c>
      <x:c r="H34" s="24" t="str">
        <x:v>Perch-likes</x:v>
      </x:c>
      <x:c r="I34" s="31" t="n">
        <x:v>87.0000047365</x:v>
      </x:c>
      <x:c r="J34" s="31" t="n">
        <x:v>87.0000047365</x:v>
      </x:c>
      <x:c r="K34" s="31" t="n">
        <x:v>0</x:v>
      </x:c>
      <x:c r="L34" s="31" t="n">
        <x:v>87.0000047365</x:v>
      </x:c>
      <x:c r="M34" s="31" t="n">
        <x:v>0</x:v>
      </x:c>
      <x:c r="N34" s="24" t="str">
        <x:v>scombridae</x:v>
      </x:c>
      <x:c r="O34" s="32" t="n">
        <x:v>4.26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Scombridae</x:v>
      </x:c>
      <x:c r="T34" s="32" t="n">
        <x:f>IF(O34="","",(1/'Metadata'!$B$5)^(O34-1))</x:f>
        <x:v>1819.7008586099826</x:v>
      </x:c>
      <x:c r="U34" s="31" t="n">
        <x:f>IF(T34="","",I34*T34)</x:f>
        <x:v>158313.9833180816</x:v>
      </x:c>
    </x:row>
    <x:row r="35" ht="18" customHeight="1">
      <x:c r="A35" s="24" t="str">
        <x:v>EEZ_178</x:v>
      </x:c>
      <x:c r="B35" s="24" t="str">
        <x:v>Congo, R. of</x:v>
      </x:c>
      <x:c r="C35" s="24" t="str">
        <x:v>EEZ</x:v>
      </x:c>
      <x:c r="D35" s="30" t="n">
        <x:v>2019</x:v>
      </x:c>
      <x:c r="E35" s="24" t="str">
        <x:v>Auxis thazard</x:v>
      </x:c>
      <x:c r="F35" s="24" t="str">
        <x:v>Frigate tuna</x:v>
      </x:c>
      <x:c r="G35" s="24" t="str">
        <x:v>Medium pelagics (30 - 89 cm)</x:v>
      </x:c>
      <x:c r="H35" s="24" t="str">
        <x:v>Tuna &amp; billfishes</x:v>
      </x:c>
      <x:c r="I35" s="31" t="n">
        <x:v>83.0375016615</x:v>
      </x:c>
      <x:c r="J35" s="31" t="n">
        <x:v>83.0375016615</x:v>
      </x:c>
      <x:c r="K35" s="31" t="n">
        <x:v>0</x:v>
      </x:c>
      <x:c r="L35" s="31" t="n">
        <x:v>83.0375016615</x:v>
      </x:c>
      <x:c r="M35" s="31" t="n">
        <x:v>0</x:v>
      </x:c>
      <x:c r="N35" s="24" t="str">
        <x:v>auxis thazard</x:v>
      </x:c>
      <x:c r="O35" s="32" t="n">
        <x:v>4.37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Auxis thazard</x:v>
      </x:c>
      <x:c r="T35" s="32" t="n">
        <x:f>IF(O35="","",(1/'Metadata'!$B$5)^(O35-1))</x:f>
        <x:v>2344.228815319923</x:v>
      </x:c>
      <x:c r="U35" s="31" t="n">
        <x:f>IF(T35="","",I35*T35)</x:f>
        <x:v>194658.90414706428</x:v>
      </x:c>
    </x:row>
    <x:row r="36" ht="18" customHeight="1">
      <x:c r="A36" s="24" t="str">
        <x:v>EEZ_178</x:v>
      </x:c>
      <x:c r="B36" s="24" t="str">
        <x:v>Congo, R. of</x:v>
      </x:c>
      <x:c r="C36" s="24" t="str">
        <x:v>EEZ</x:v>
      </x:c>
      <x:c r="D36" s="30" t="n">
        <x:v>2019</x:v>
      </x:c>
      <x:c r="E36" s="24" t="str">
        <x:v>Aristaeopsis edwardsiana</x:v>
      </x:c>
      <x:c r="F36" s="24" t="str">
        <x:v>Scarlet shrimp</x:v>
      </x:c>
      <x:c r="G36" s="24" t="str">
        <x:v>Shrimps</x:v>
      </x:c>
      <x:c r="H36" s="24" t="str">
        <x:v>Crustaceans</x:v>
      </x:c>
      <x:c r="I36" s="31" t="n">
        <x:v>66.0643624287</x:v>
      </x:c>
      <x:c r="J36" s="31" t="n">
        <x:v>66.0643624287</x:v>
      </x:c>
      <x:c r="K36" s="31" t="n">
        <x:v>0</x:v>
      </x:c>
      <x:c r="L36" s="31" t="n">
        <x:v>0</x:v>
      </x:c>
      <x:c r="M36" s="31" t="n">
        <x:v>66.0643624287</x:v>
      </x:c>
      <x:c r="N36" s="24" t="str">
        <x:v>aristaeopsis edwardsiana</x:v>
      </x:c>
      <x:c r="O36" s="32" t="n">
        <x:v>2.3</x:v>
      </x:c>
      <x:c r="P36" s="24" t="str">
        <x:v>exact_sea_around_us</x:v>
      </x:c>
      <x:c r="Q36" s="32" t="str">
        <x:v>Sea Around Us exploited organisms</x:v>
      </x:c>
      <x:c r="R36" s="24" t="str">
        <x:v>high</x:v>
      </x:c>
      <x:c r="S36" s="24" t="str">
        <x:v>Aristaeopsis edwardsiana</x:v>
      </x:c>
      <x:c r="T36" s="32" t="n">
        <x:f>IF(O36="","",(1/'Metadata'!$B$5)^(O36-1))</x:f>
        <x:v>19.952623149688787</x:v>
      </x:c>
      <x:c r="U36" s="31" t="n">
        <x:f>IF(T36="","",I36*T36)</x:f>
        <x:v>1318.1573271643097</x:v>
      </x:c>
    </x:row>
    <x:row r="37" ht="18" customHeight="1">
      <x:c r="A37" s="24" t="str">
        <x:v>EEZ_178</x:v>
      </x:c>
      <x:c r="B37" s="24" t="str">
        <x:v>Congo, R. of</x:v>
      </x:c>
      <x:c r="C37" s="24" t="str">
        <x:v>EEZ</x:v>
      </x:c>
      <x:c r="D37" s="30" t="n">
        <x:v>2019</x:v>
      </x:c>
      <x:c r="E37" s="24" t="str">
        <x:v>Cephalopoda</x:v>
      </x:c>
      <x:c r="F37" s="24" t="str">
        <x:v>Squids, cuttlefishes, octopuses</x:v>
      </x:c>
      <x:c r="G37" s="24" t="str">
        <x:v>Cephalopods</x:v>
      </x:c>
      <x:c r="H37" s="24" t="str">
        <x:v>Other fishes &amp; inverts</x:v>
      </x:c>
      <x:c r="I37" s="31" t="n">
        <x:v>59</x:v>
      </x:c>
      <x:c r="J37" s="31" t="n">
        <x:v>59</x:v>
      </x:c>
      <x:c r="K37" s="31" t="n">
        <x:v>0</x:v>
      </x:c>
      <x:c r="L37" s="31" t="n">
        <x:v>59</x:v>
      </x:c>
      <x:c r="M37" s="31" t="n">
        <x:v>0</x:v>
      </x:c>
      <x:c r="N37" s="24" t="str">
        <x:v>cephalopoda</x:v>
      </x:c>
      <x:c r="O37" s="32" t="n">
        <x:v>3.81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Cephalopoda</x:v>
      </x:c>
      <x:c r="T37" s="32" t="n">
        <x:f>IF(O37="","",(1/'Metadata'!$B$5)^(O37-1))</x:f>
        <x:v>645.6542290346556</x:v>
      </x:c>
      <x:c r="U37" s="31" t="n">
        <x:f>IF(T37="","",I37*T37)</x:f>
        <x:v>38093.59951304468</x:v>
      </x:c>
    </x:row>
    <x:row r="38" ht="18" customHeight="1">
      <x:c r="A38" s="24" t="str">
        <x:v>EEZ_178</x:v>
      </x:c>
      <x:c r="B38" s="24" t="str">
        <x:v>Congo, R. of</x:v>
      </x:c>
      <x:c r="C38" s="24" t="str">
        <x:v>EEZ</x:v>
      </x:c>
      <x:c r="D38" s="30" t="n">
        <x:v>2019</x:v>
      </x:c>
      <x:c r="E38" s="24" t="str">
        <x:v>Polydactylus quadrifilis</x:v>
      </x:c>
      <x:c r="F38" s="24" t="str">
        <x:v>Giant African threadfin</x:v>
      </x:c>
      <x:c r="G38" s="24" t="str">
        <x:v>Large demersals (&gt;=90 cm)</x:v>
      </x:c>
      <x:c r="H38" s="24" t="str">
        <x:v>Perch-likes</x:v>
      </x:c>
      <x:c r="I38" s="31" t="n">
        <x:v>57</x:v>
      </x:c>
      <x:c r="J38" s="31" t="n">
        <x:v>57</x:v>
      </x:c>
      <x:c r="K38" s="31" t="n">
        <x:v>0</x:v>
      </x:c>
      <x:c r="L38" s="31" t="n">
        <x:v>57</x:v>
      </x:c>
      <x:c r="M38" s="31" t="n">
        <x:v>0</x:v>
      </x:c>
      <x:c r="N38" s="24" t="str">
        <x:v>polydactylus quadrifilis</x:v>
      </x:c>
      <x:c r="O38" s="32" t="n">
        <x:v>4.01</x:v>
      </x:c>
      <x:c r="P38" s="24" t="str">
        <x:v>exact_2020_supplement</x:v>
      </x:c>
      <x:c r="Q38" s="32" t="str">
        <x:v>2020 supplement MeanTL</x:v>
      </x:c>
      <x:c r="R38" s="24" t="str">
        <x:v>high</x:v>
      </x:c>
      <x:c r="S38" s="24" t="str">
        <x:v>Polydactylus quadrifilis</x:v>
      </x:c>
      <x:c r="T38" s="32" t="n">
        <x:f>IF(O38="","",(1/'Metadata'!$B$5)^(O38-1))</x:f>
        <x:v>1023.2929922807537</x:v>
      </x:c>
      <x:c r="U38" s="31" t="n">
        <x:f>IF(T38="","",I38*T38)</x:f>
        <x:v>58327.70056000296</x:v>
      </x:c>
    </x:row>
    <x:row r="39" ht="18" customHeight="1">
      <x:c r="A39" s="24" t="str">
        <x:v>EEZ_178</x:v>
      </x:c>
      <x:c r="B39" s="24" t="str">
        <x:v>Congo, R. of</x:v>
      </x:c>
      <x:c r="C39" s="24" t="str">
        <x:v>EEZ</x:v>
      </x:c>
      <x:c r="D39" s="30" t="n">
        <x:v>2019</x:v>
      </x:c>
      <x:c r="E39" s="24" t="str">
        <x:v>Pomadasys jubelini</x:v>
      </x:c>
      <x:c r="F39" s="24" t="str">
        <x:v>Sompat grunt</x:v>
      </x:c>
      <x:c r="G39" s="24" t="str">
        <x:v>Medium demersals (30 - 89 cm)</x:v>
      </x:c>
      <x:c r="H39" s="24" t="str">
        <x:v>Perch-likes</x:v>
      </x:c>
      <x:c r="I39" s="31" t="n">
        <x:v>50.2433477119</x:v>
      </x:c>
      <x:c r="J39" s="31" t="n">
        <x:v>50.2433477119</x:v>
      </x:c>
      <x:c r="K39" s="31" t="n">
        <x:v>0</x:v>
      </x:c>
      <x:c r="L39" s="31" t="n">
        <x:v>46.6612443629</x:v>
      </x:c>
      <x:c r="M39" s="31" t="n">
        <x:v>3.582103349</x:v>
      </x:c>
      <x:c r="N39" s="24" t="str">
        <x:v>pomadasys jubelini</x:v>
      </x:c>
      <x:c r="O39" s="32" t="n">
        <x:v>3.33</x:v>
      </x:c>
      <x:c r="P39" s="24" t="str">
        <x:v>exact_2020_supplement</x:v>
      </x:c>
      <x:c r="Q39" s="32" t="str">
        <x:v>2020 supplement MeanTL</x:v>
      </x:c>
      <x:c r="R39" s="24" t="str">
        <x:v>high</x:v>
      </x:c>
      <x:c r="S39" s="24" t="str">
        <x:v>Pomadasys jubelini</x:v>
      </x:c>
      <x:c r="T39" s="32" t="n">
        <x:f>IF(O39="","",(1/'Metadata'!$B$5)^(O39-1))</x:f>
        <x:v>213.79620895022325</x:v>
      </x:c>
      <x:c r="U39" s="31" t="n">
        <x:f>IF(T39="","",I39*T39)</x:f>
        <x:v>10741.837265772094</x:v>
      </x:c>
    </x:row>
    <x:row r="40" ht="18" customHeight="1">
      <x:c r="A40" s="24" t="str">
        <x:v>EEZ_178</x:v>
      </x:c>
      <x:c r="B40" s="24" t="str">
        <x:v>Congo, R. of</x:v>
      </x:c>
      <x:c r="C40" s="24" t="str">
        <x:v>EEZ</x:v>
      </x:c>
      <x:c r="D40" s="30" t="n">
        <x:v>2019</x:v>
      </x:c>
      <x:c r="E40" s="24" t="str">
        <x:v>Katsuwonus pelamis</x:v>
      </x:c>
      <x:c r="F40" s="24" t="str">
        <x:v>Skipjack tuna</x:v>
      </x:c>
      <x:c r="G40" s="24" t="str">
        <x:v>Large pelagics (&gt;=90 cm)</x:v>
      </x:c>
      <x:c r="H40" s="24" t="str">
        <x:v>Tuna &amp; billfishes</x:v>
      </x:c>
      <x:c r="I40" s="31" t="n">
        <x:v>41.3666578736</x:v>
      </x:c>
      <x:c r="J40" s="31" t="n">
        <x:v>41.3666578736</x:v>
      </x:c>
      <x:c r="K40" s="31" t="n">
        <x:v>0</x:v>
      </x:c>
      <x:c r="L40" s="31" t="n">
        <x:v>41.3666578736</x:v>
      </x:c>
      <x:c r="M40" s="31" t="n">
        <x:v>0</x:v>
      </x:c>
      <x:c r="N40" s="24" t="str">
        <x:v>katsuwonus pelamis</x:v>
      </x:c>
      <x:c r="O40" s="32" t="n">
        <x:v>4.43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Katsuwonus pelamis</x:v>
      </x:c>
      <x:c r="T40" s="32" t="n">
        <x:f>IF(O40="","",(1/'Metadata'!$B$5)^(O40-1))</x:f>
        <x:v>2691.534803926914</x:v>
      </x:c>
      <x:c r="U40" s="31" t="n">
        <x:f>IF(T40="","",I40*T40)</x:f>
        <x:v>111339.7993889317</x:v>
      </x:c>
    </x:row>
    <x:row r="41" ht="18" customHeight="1">
      <x:c r="A41" s="24" t="str">
        <x:v>EEZ_178</x:v>
      </x:c>
      <x:c r="B41" s="24" t="str">
        <x:v>Congo, R. of</x:v>
      </x:c>
      <x:c r="C41" s="24" t="str">
        <x:v>EEZ</x:v>
      </x:c>
      <x:c r="D41" s="30" t="n">
        <x:v>2019</x:v>
      </x:c>
      <x:c r="E41" s="24" t="str">
        <x:v>Cynoglossus</x:v>
      </x:c>
      <x:c r="F41" s="24" t="str">
        <x:v>Tonguesoles</x:v>
      </x:c>
      <x:c r="G41" s="24" t="str">
        <x:v>Small to medium flatfishes (&lt;90 cm)</x:v>
      </x:c>
      <x:c r="H41" s="24" t="str">
        <x:v>Flatfishes</x:v>
      </x:c>
      <x:c r="I41" s="31" t="n">
        <x:v>25.3274183154</x:v>
      </x:c>
      <x:c r="J41" s="31" t="n">
        <x:v>21.4996284067</x:v>
      </x:c>
      <x:c r="K41" s="31" t="n">
        <x:v>3.8277899087</x:v>
      </x:c>
      <x:c r="L41" s="31" t="n">
        <x:v>3.3503047718</x:v>
      </x:c>
      <x:c r="M41" s="31" t="n">
        <x:v>21.977113543599998</x:v>
      </x:c>
      <x:c r="N41" s="24" t="str">
        <x:v>cynoglossus</x:v>
      </x:c>
      <x:c r="O41" s="32" t="n">
        <x:v>3.36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Cynoglossus</x:v>
      </x:c>
      <x:c r="T41" s="32" t="n">
        <x:f>IF(O41="","",(1/'Metadata'!$B$5)^(O41-1))</x:f>
        <x:v>229.08676527677724</x:v>
      </x:c>
      <x:c r="U41" s="31" t="n">
        <x:f>IF(T41="","",I41*T41)</x:f>
        <x:v>5802.176334686788</x:v>
      </x:c>
    </x:row>
    <x:row r="42" ht="18" customHeight="1">
      <x:c r="A42" s="24" t="str">
        <x:v>EEZ_178</x:v>
      </x:c>
      <x:c r="B42" s="24" t="str">
        <x:v>Congo, R. of</x:v>
      </x:c>
      <x:c r="C42" s="24" t="str">
        <x:v>EEZ</x:v>
      </x:c>
      <x:c r="D42" s="30" t="n">
        <x:v>2019</x:v>
      </x:c>
      <x:c r="E42" s="24" t="str">
        <x:v>Octopus vulgaris</x:v>
      </x:c>
      <x:c r="F42" s="24" t="str">
        <x:v>Common octopus</x:v>
      </x:c>
      <x:c r="G42" s="24" t="str">
        <x:v>Cephalopods</x:v>
      </x:c>
      <x:c r="H42" s="24" t="str">
        <x:v>Other fishes &amp; inverts</x:v>
      </x:c>
      <x:c r="I42" s="31" t="n">
        <x:v>16</x:v>
      </x:c>
      <x:c r="J42" s="31" t="n">
        <x:v>16</x:v>
      </x:c>
      <x:c r="K42" s="31" t="n">
        <x:v>0</x:v>
      </x:c>
      <x:c r="L42" s="31" t="n">
        <x:v>16</x:v>
      </x:c>
      <x:c r="M42" s="31" t="n">
        <x:v>0</x:v>
      </x:c>
      <x:c r="N42" s="24" t="str">
        <x:v>octopus vulgaris</x:v>
      </x:c>
      <x:c r="O42" s="32" t="n">
        <x:v>3.6</x:v>
      </x:c>
      <x:c r="P42" s="24" t="str">
        <x:v>exact_2020_supplement</x:v>
      </x:c>
      <x:c r="Q42" s="32" t="str">
        <x:v>2020 supplement MeanTL</x:v>
      </x:c>
      <x:c r="R42" s="24" t="str">
        <x:v>high</x:v>
      </x:c>
      <x:c r="S42" s="24" t="str">
        <x:v>Octopus vulgaris</x:v>
      </x:c>
      <x:c r="T42" s="32" t="n">
        <x:f>IF(O42="","",(1/'Metadata'!$B$5)^(O42-1))</x:f>
        <x:v>398.1071705534973</x:v>
      </x:c>
      <x:c r="U42" s="31" t="n">
        <x:f>IF(T42="","",I42*T42)</x:f>
        <x:v>6369.714728855957</x:v>
      </x:c>
    </x:row>
    <x:row r="43" ht="18" customHeight="1">
      <x:c r="A43" s="24" t="str">
        <x:v>EEZ_178</x:v>
      </x:c>
      <x:c r="B43" s="24" t="str">
        <x:v>Congo, R. of</x:v>
      </x:c>
      <x:c r="C43" s="24" t="str">
        <x:v>EEZ</x:v>
      </x:c>
      <x:c r="D43" s="30" t="n">
        <x:v>2019</x:v>
      </x:c>
      <x:c r="E43" s="24" t="str">
        <x:v>Auxis</x:v>
      </x:c>
      <x:c r="F43" s="24" t="str">
        <x:v>Bullet and frigate tunas</x:v>
      </x:c>
      <x:c r="G43" s="24" t="str">
        <x:v>Medium pelagics (30 - 89 cm)</x:v>
      </x:c>
      <x:c r="H43" s="24" t="str">
        <x:v>Tuna &amp; billfishes</x:v>
      </x:c>
      <x:c r="I43" s="31" t="n">
        <x:v>8.1066325271</x:v>
      </x:c>
      <x:c r="J43" s="31" t="n">
        <x:v>8.1066325271</x:v>
      </x:c>
      <x:c r="K43" s="31" t="n">
        <x:v>0</x:v>
      </x:c>
      <x:c r="L43" s="31" t="n">
        <x:v>8.1066325271</x:v>
      </x:c>
      <x:c r="M43" s="31" t="n">
        <x:v>0</x:v>
      </x:c>
      <x:c r="N43" s="24" t="str">
        <x:v>auxis</x:v>
      </x:c>
      <x:c r="O43" s="32" t="n">
        <x:v>4.24</x:v>
      </x:c>
      <x:c r="P43" s="24" t="str">
        <x:v>exact_sea_around_us</x:v>
      </x:c>
      <x:c r="Q43" s="32" t="str">
        <x:v>Sea Around Us exploited organisms</x:v>
      </x:c>
      <x:c r="R43" s="24" t="str">
        <x:v>high</x:v>
      </x:c>
      <x:c r="S43" s="24" t="str">
        <x:v>Auxis</x:v>
      </x:c>
      <x:c r="T43" s="32" t="n">
        <x:f>IF(O43="","",(1/'Metadata'!$B$5)^(O43-1))</x:f>
        <x:v>1737.8008287493763</x:v>
      </x:c>
      <x:c r="U43" s="31" t="n">
        <x:f>IF(T43="","",I43*T43)</x:f>
        <x:v>14087.71272396103</x:v>
      </x:c>
    </x:row>
    <x:row r="44" ht="18" customHeight="1">
      <x:c r="A44" s="24" t="str">
        <x:v>EEZ_178</x:v>
      </x:c>
      <x:c r="B44" s="24" t="str">
        <x:v>Congo, R. of</x:v>
      </x:c>
      <x:c r="C44" s="24" t="str">
        <x:v>EEZ</x:v>
      </x:c>
      <x:c r="D44" s="30" t="n">
        <x:v>2019</x:v>
      </x:c>
      <x:c r="E44" s="24" t="str">
        <x:v>Thunnus albacares</x:v>
      </x:c>
      <x:c r="F44" s="24" t="str">
        <x:v>Yellowfin tuna</x:v>
      </x:c>
      <x:c r="G44" s="24" t="str">
        <x:v>Large pelagics (&gt;=90 cm)</x:v>
      </x:c>
      <x:c r="H44" s="24" t="str">
        <x:v>Tuna &amp; billfishes</x:v>
      </x:c>
      <x:c r="I44" s="31" t="n">
        <x:v>4.0358691288</x:v>
      </x:c>
      <x:c r="J44" s="31" t="n">
        <x:v>4.0358691288</x:v>
      </x:c>
      <x:c r="K44" s="31" t="n">
        <x:v>0</x:v>
      </x:c>
      <x:c r="L44" s="31" t="n">
        <x:v>4.0358691288</x:v>
      </x:c>
      <x:c r="M44" s="31" t="n">
        <x:v>0</x:v>
      </x:c>
      <x:c r="N44" s="24" t="str">
        <x:v>thunnus albacares</x:v>
      </x:c>
      <x:c r="O44" s="32" t="n">
        <x:v>4.41</x:v>
      </x:c>
      <x:c r="P44" s="24" t="str">
        <x:v>exact_2020_supplement</x:v>
      </x:c>
      <x:c r="Q44" s="32" t="str">
        <x:v>2020 supplement MeanTL</x:v>
      </x:c>
      <x:c r="R44" s="24" t="str">
        <x:v>high</x:v>
      </x:c>
      <x:c r="S44" s="24" t="str">
        <x:v>Thunnus albacares</x:v>
      </x:c>
      <x:c r="T44" s="32" t="n">
        <x:f>IF(O44="","",(1/'Metadata'!$B$5)^(O44-1))</x:f>
        <x:v>2570.3957827688646</x:v>
      </x:c>
      <x:c r="U44" s="31" t="n">
        <x:f>IF(T44="","",I44*T44)</x:f>
        <x:v>10373.780988474571</x:v>
      </x:c>
    </x:row>
    <x:row r="45" ht="18" customHeight="1">
      <x:c r="A45" s="24" t="str">
        <x:v>EEZ_178</x:v>
      </x:c>
      <x:c r="B45" s="24" t="str">
        <x:v>Congo, R. of</x:v>
      </x:c>
      <x:c r="C45" s="24" t="str">
        <x:v>EEZ</x:v>
      </x:c>
      <x:c r="D45" s="30" t="n">
        <x:v>2019</x:v>
      </x:c>
      <x:c r="E45" s="24" t="str">
        <x:v>Pagellus</x:v>
      </x:c>
      <x:c r="F45" s="24" t="str">
        <x:v>Pandoras</x:v>
      </x:c>
      <x:c r="G45" s="24" t="str">
        <x:v>Medium benthopelagics (30 - 89 cm)</x:v>
      </x:c>
      <x:c r="H45" s="24" t="str">
        <x:v>Perch-likes</x:v>
      </x:c>
      <x:c r="I45" s="31" t="n">
        <x:v>3.8277899087</x:v>
      </x:c>
      <x:c r="J45" s="31" t="n">
        <x:v>0</x:v>
      </x:c>
      <x:c r="K45" s="31" t="n">
        <x:v>3.8277899087</x:v>
      </x:c>
      <x:c r="L45" s="31" t="n">
        <x:v>0</x:v>
      </x:c>
      <x:c r="M45" s="31" t="n">
        <x:v>3.8277899087</x:v>
      </x:c>
      <x:c r="N45" s="24" t="str">
        <x:v>pagellus</x:v>
      </x:c>
      <x:c r="O45" s="32" t="n">
        <x:v>3.44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Pagellus</x:v>
      </x:c>
      <x:c r="T45" s="32" t="n">
        <x:f>IF(O45="","",(1/'Metadata'!$B$5)^(O45-1))</x:f>
        <x:v>275.4228703338166</x:v>
      </x:c>
      <x:c r="U45" s="31" t="n">
        <x:f>IF(T45="","",I45*T45)</x:f>
        <x:v>1054.2608836889717</x:v>
      </x:c>
    </x:row>
    <x:row r="46" ht="18" customHeight="1">
      <x:c r="A46" s="24" t="str">
        <x:v>EEZ_178</x:v>
      </x:c>
      <x:c r="B46" s="24" t="str">
        <x:v>Congo, R. of</x:v>
      </x:c>
      <x:c r="C46" s="24" t="str">
        <x:v>EEZ</x:v>
      </x:c>
      <x:c r="D46" s="30" t="n">
        <x:v>2019</x:v>
      </x:c>
      <x:c r="E46" s="24" t="str">
        <x:v>Pagrus</x:v>
      </x:c>
      <x:c r="F46" s="24" t="str">
        <x:v>Subtropical seabreams</x:v>
      </x:c>
      <x:c r="G46" s="24" t="str">
        <x:v>Medium benthopelagics (30 - 89 cm)</x:v>
      </x:c>
      <x:c r="H46" s="24" t="str">
        <x:v>Perch-likes</x:v>
      </x:c>
      <x:c r="I46" s="31" t="n">
        <x:v>3.8277899087</x:v>
      </x:c>
      <x:c r="J46" s="31" t="n">
        <x:v>0</x:v>
      </x:c>
      <x:c r="K46" s="31" t="n">
        <x:v>3.8277899087</x:v>
      </x:c>
      <x:c r="L46" s="31" t="n">
        <x:v>0</x:v>
      </x:c>
      <x:c r="M46" s="31" t="n">
        <x:v>3.8277899087</x:v>
      </x:c>
      <x:c r="N46" s="24" t="str">
        <x:v>pagrus</x:v>
      </x:c>
      <x:c r="O46" s="32" t="n">
        <x:v>3.55</x:v>
      </x:c>
      <x:c r="P46" s="24" t="str">
        <x:v>exact_sea_around_us</x:v>
      </x:c>
      <x:c r="Q46" s="32" t="str">
        <x:v>Sea Around Us exploited organisms</x:v>
      </x:c>
      <x:c r="R46" s="24" t="str">
        <x:v>high</x:v>
      </x:c>
      <x:c r="S46" s="24" t="str">
        <x:v>Pagrus</x:v>
      </x:c>
      <x:c r="T46" s="32" t="n">
        <x:f>IF(O46="","",(1/'Metadata'!$B$5)^(O46-1))</x:f>
        <x:v>354.8133892335753</x:v>
      </x:c>
      <x:c r="U46" s="31" t="n">
        <x:f>IF(T46="","",I46*T46)</x:f>
        <x:v>1358.1511107799247</x:v>
      </x:c>
    </x:row>
    <x:row r="47" ht="18" customHeight="1">
      <x:c r="A47" s="24" t="str">
        <x:v>EEZ_178</x:v>
      </x:c>
      <x:c r="B47" s="24" t="str">
        <x:v>Congo, R. of</x:v>
      </x:c>
      <x:c r="C47" s="24" t="str">
        <x:v>EEZ</x:v>
      </x:c>
      <x:c r="D47" s="30" t="n">
        <x:v>2019</x:v>
      </x:c>
      <x:c r="E47" s="24" t="str">
        <x:v>Raja miraletus</x:v>
      </x:c>
      <x:c r="F47" s="24" t="str">
        <x:v>Brown ray</x:v>
      </x:c>
      <x:c r="G47" s="24" t="str">
        <x:v>Small to medium rays (&lt;90 cm)</x:v>
      </x:c>
      <x:c r="H47" s="24" t="str">
        <x:v>Sharks &amp; rays</x:v>
      </x:c>
      <x:c r="I47" s="31" t="n">
        <x:v>3.3946781693999997</x:v>
      </x:c>
      <x:c r="J47" s="31" t="n">
        <x:v>3.3946781693999997</x:v>
      </x:c>
      <x:c r="K47" s="31" t="n">
        <x:v>0</x:v>
      </x:c>
      <x:c r="L47" s="31" t="n">
        <x:v>0.5289954903</x:v>
      </x:c>
      <x:c r="M47" s="31" t="n">
        <x:v>2.8656826791</x:v>
      </x:c>
      <x:c r="N47" s="24" t="str">
        <x:v>raja miraletus</x:v>
      </x:c>
      <x:c r="O47" s="32" t="n">
        <x:v>3.8</x:v>
      </x:c>
      <x:c r="P47" s="24" t="str">
        <x:v>exact_2020_supplement</x:v>
      </x:c>
      <x:c r="Q47" s="32" t="str">
        <x:v>2020 supplement MeanTL</x:v>
      </x:c>
      <x:c r="R47" s="24" t="str">
        <x:v>high</x:v>
      </x:c>
      <x:c r="S47" s="24" t="str">
        <x:v>Raja miraletus</x:v>
      </x:c>
      <x:c r="T47" s="32" t="n">
        <x:f>IF(O47="","",(1/'Metadata'!$B$5)^(O47-1))</x:f>
        <x:v>630.957344480193</x:v>
      </x:c>
      <x:c r="U47" s="31" t="n">
        <x:f>IF(T47="","",I47*T47)</x:f>
        <x:v>2141.897123129507</x:v>
      </x:c>
    </x:row>
    <x:row r="48" ht="18" customHeight="1">
      <x:c r="A48" s="24" t="str">
        <x:v>EEZ_178</x:v>
      </x:c>
      <x:c r="B48" s="24" t="str">
        <x:v>Congo, R. of</x:v>
      </x:c>
      <x:c r="C48" s="24" t="str">
        <x:v>EEZ</x:v>
      </x:c>
      <x:c r="D48" s="30" t="n">
        <x:v>2019</x:v>
      </x:c>
      <x:c r="E48" s="24" t="str">
        <x:v>Lutjanus</x:v>
      </x:c>
      <x:c r="F48" s="24" t="str">
        <x:v>Snappers</x:v>
      </x:c>
      <x:c r="G48" s="24" t="str">
        <x:v>Medium reef assoc. fish (30 - 89 cm)</x:v>
      </x:c>
      <x:c r="H48" s="24" t="str">
        <x:v>Perch-likes</x:v>
      </x:c>
      <x:c r="I48" s="31" t="n">
        <x:v>3.3946781693999997</x:v>
      </x:c>
      <x:c r="J48" s="31" t="n">
        <x:v>3.3946781693999997</x:v>
      </x:c>
      <x:c r="K48" s="31" t="n">
        <x:v>0</x:v>
      </x:c>
      <x:c r="L48" s="31" t="n">
        <x:v>0.5289954903</x:v>
      </x:c>
      <x:c r="M48" s="31" t="n">
        <x:v>2.8656826791</x:v>
      </x:c>
      <x:c r="N48" s="24" t="str">
        <x:v>lutjanus</x:v>
      </x:c>
      <x:c r="O48" s="32" t="n">
        <x:v>4.02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Lutjanus</x:v>
      </x:c>
      <x:c r="T48" s="32" t="n">
        <x:f>IF(O48="","",(1/'Metadata'!$B$5)^(O48-1))</x:f>
        <x:v>1047.1285480508984</x:v>
      </x:c>
      <x:c r="U48" s="31" t="n">
        <x:f>IF(T48="","",I48*T48)</x:f>
        <x:v>3554.6644226239036</x:v>
      </x:c>
    </x:row>
    <x:row r="49" ht="18" customHeight="1">
      <x:c r="A49" s="24" t="str">
        <x:v>EEZ_178</x:v>
      </x:c>
      <x:c r="B49" s="24" t="str">
        <x:v>Congo, R. of</x:v>
      </x:c>
      <x:c r="C49" s="24" t="str">
        <x:v>EEZ</x:v>
      </x:c>
      <x:c r="D49" s="30" t="n">
        <x:v>2019</x:v>
      </x:c>
      <x:c r="E49" s="24" t="str">
        <x:v>Solenocera africana</x:v>
      </x:c>
      <x:c r="F49" s="24" t="str">
        <x:v>African mud shrimp</x:v>
      </x:c>
      <x:c r="G49" s="24" t="str">
        <x:v>Shrimps</x:v>
      </x:c>
      <x:c r="H49" s="24" t="str">
        <x:v>Crustaceans</x:v>
      </x:c>
      <x:c r="I49" s="31" t="n">
        <x:v>3.0566263601</x:v>
      </x:c>
      <x:c r="J49" s="31" t="n">
        <x:v>0</x:v>
      </x:c>
      <x:c r="K49" s="31" t="n">
        <x:v>3.0566263601</x:v>
      </x:c>
      <x:c r="L49" s="31" t="n">
        <x:v>0</x:v>
      </x:c>
      <x:c r="M49" s="31" t="n">
        <x:v>3.0566263601</x:v>
      </x:c>
      <x:c r="N49" s="24" t="str">
        <x:v>solenocera africana</x:v>
      </x:c>
      <x:c r="O49" s="32" t="n">
        <x:v>3.41</x:v>
      </x:c>
      <x:c r="P49" s="24" t="str">
        <x:v>exact_sea_around_us</x:v>
      </x:c>
      <x:c r="Q49" s="32" t="str">
        <x:v>Sea Around Us exploited organisms</x:v>
      </x:c>
      <x:c r="R49" s="24" t="str">
        <x:v>high</x:v>
      </x:c>
      <x:c r="S49" s="24" t="str">
        <x:v>Solenocera africana</x:v>
      </x:c>
      <x:c r="T49" s="32" t="n">
        <x:f>IF(O49="","",(1/'Metadata'!$B$5)^(O49-1))</x:f>
        <x:v>257.03957827688646</x:v>
      </x:c>
      <x:c r="U49" s="31" t="n">
        <x:f>IF(T49="","",I49*T49)</x:f>
        <x:v>785.6739505501185</x:v>
      </x:c>
    </x:row>
    <x:row r="50" ht="18" customHeight="1">
      <x:c r="A50" s="24" t="str">
        <x:v>EEZ_178</x:v>
      </x:c>
      <x:c r="B50" s="24" t="str">
        <x:v>Congo, R. of</x:v>
      </x:c>
      <x:c r="C50" s="24" t="str">
        <x:v>EEZ</x:v>
      </x:c>
      <x:c r="D50" s="30" t="n">
        <x:v>2019</x:v>
      </x:c>
      <x:c r="E50" s="24" t="str">
        <x:v>Marine pelagic fishes not identified</x:v>
      </x:c>
      <x:c r="F50" s="24" t="str">
        <x:v>Pelagic fishes</x:v>
      </x:c>
      <x:c r="G50" s="24" t="str">
        <x:v>Medium pelagics (30 - 89 cm)</x:v>
      </x:c>
      <x:c r="H50" s="24" t="str">
        <x:v>Other fishes &amp; inverts</x:v>
      </x:c>
      <x:c r="I50" s="31" t="n">
        <x:v>2.9460349284</x:v>
      </x:c>
      <x:c r="J50" s="31" t="n">
        <x:v>2.9460349284</x:v>
      </x:c>
      <x:c r="K50" s="31" t="n">
        <x:v>0</x:v>
      </x:c>
      <x:c r="L50" s="31" t="n">
        <x:v>2.9460349284</x:v>
      </x:c>
      <x:c r="M50" s="31" t="n">
        <x:v>0</x:v>
      </x:c>
      <x:c r="N50" s="24" t="str">
        <x:v>marine pelagic fishes not identified</x:v>
      </x:c>
      <x:c r="O50" s="32" t="n">
        <x:v>3.35</x:v>
      </x:c>
      <x:c r="P50" s="24" t="str">
        <x:v>exact_sea_around_us</x:v>
      </x:c>
      <x:c r="Q50" s="32" t="str">
        <x:v>Sea Around Us exploited organisms</x:v>
      </x:c>
      <x:c r="R50" s="24" t="str">
        <x:v>high</x:v>
      </x:c>
      <x:c r="S50" s="24" t="str">
        <x:v>Marine pelagic fishes not identified</x:v>
      </x:c>
      <x:c r="T50" s="32" t="n">
        <x:f>IF(O50="","",(1/'Metadata'!$B$5)^(O50-1))</x:f>
        <x:v>223.872113856834</x:v>
      </x:c>
      <x:c r="U50" s="31" t="n">
        <x:f>IF(T50="","",I50*T50)</x:f>
        <x:v>659.5350669169746</x:v>
      </x:c>
    </x:row>
    <x:row r="51" ht="18" customHeight="1">
      <x:c r="A51" s="24" t="str">
        <x:v>EEZ_178</x:v>
      </x:c>
      <x:c r="B51" s="24" t="str">
        <x:v>Congo, R. of</x:v>
      </x:c>
      <x:c r="C51" s="24" t="str">
        <x:v>EEZ</x:v>
      </x:c>
      <x:c r="D51" s="30" t="n">
        <x:v>2019</x:v>
      </x:c>
      <x:c r="E51" s="24" t="str">
        <x:v>Thunnus obesus</x:v>
      </x:c>
      <x:c r="F51" s="24" t="str">
        <x:v>Bigeye tuna</x:v>
      </x:c>
      <x:c r="G51" s="24" t="str">
        <x:v>Large pelagics (&gt;=90 cm)</x:v>
      </x:c>
      <x:c r="H51" s="24" t="str">
        <x:v>Tuna &amp; billfishes</x:v>
      </x:c>
      <x:c r="I51" s="31" t="n">
        <x:v>2.9385756819999997</x:v>
      </x:c>
      <x:c r="J51" s="31" t="n">
        <x:v>2.9385756819999997</x:v>
      </x:c>
      <x:c r="K51" s="31" t="n">
        <x:v>0</x:v>
      </x:c>
      <x:c r="L51" s="31" t="n">
        <x:v>2.9385756819999997</x:v>
      </x:c>
      <x:c r="M51" s="31" t="n">
        <x:v>0</x:v>
      </x:c>
      <x:c r="N51" s="24" t="str">
        <x:v>thunnus obesus</x:v>
      </x:c>
      <x:c r="O51" s="32" t="n">
        <x:v>4.49</x:v>
      </x:c>
      <x:c r="P51" s="24" t="str">
        <x:v>exact_2020_supplement</x:v>
      </x:c>
      <x:c r="Q51" s="32" t="str">
        <x:v>2020 supplement MeanTL</x:v>
      </x:c>
      <x:c r="R51" s="24" t="str">
        <x:v>high</x:v>
      </x:c>
      <x:c r="S51" s="24" t="str">
        <x:v>Thunnus obesus</x:v>
      </x:c>
      <x:c r="T51" s="32" t="n">
        <x:f>IF(O51="","",(1/'Metadata'!$B$5)^(O51-1))</x:f>
        <x:v>3090.295432513592</x:v>
      </x:c>
      <x:c r="U51" s="31" t="n">
        <x:f>IF(T51="","",I51*T51)</x:f>
        <x:v>9081.067008180113</x:v>
      </x:c>
    </x:row>
    <x:row r="52" ht="18" customHeight="1">
      <x:c r="A52" s="24" t="str">
        <x:v>EEZ_178</x:v>
      </x:c>
      <x:c r="B52" s="24" t="str">
        <x:v>Congo, R. of</x:v>
      </x:c>
      <x:c r="C52" s="24" t="str">
        <x:v>EEZ</x:v>
      </x:c>
      <x:c r="D52" s="30" t="n">
        <x:v>2019</x:v>
      </x:c>
      <x:c r="E52" s="24" t="str">
        <x:v>Prionace glauca</x:v>
      </x:c>
      <x:c r="F52" s="24" t="str">
        <x:v>Blue shark</x:v>
      </x:c>
      <x:c r="G52" s="24" t="str">
        <x:v>Large sharks (&gt;=90 cm)</x:v>
      </x:c>
      <x:c r="H52" s="24" t="str">
        <x:v>Sharks &amp; rays</x:v>
      </x:c>
      <x:c r="I52" s="31" t="n">
        <x:v>0.3857779786</x:v>
      </x:c>
      <x:c r="J52" s="31" t="n">
        <x:v>0.3857779786</x:v>
      </x:c>
      <x:c r="K52" s="31" t="n">
        <x:v>0</x:v>
      </x:c>
      <x:c r="L52" s="31" t="n">
        <x:v>0.3857779786</x:v>
      </x:c>
      <x:c r="M52" s="31" t="n">
        <x:v>0</x:v>
      </x:c>
      <x:c r="N52" s="24" t="str">
        <x:v>prionace glauca</x:v>
      </x:c>
      <x:c r="O52" s="32" t="n">
        <x:v>4.35</x:v>
      </x:c>
      <x:c r="P52" s="24" t="str">
        <x:v>exact_2020_supplement</x:v>
      </x:c>
      <x:c r="Q52" s="32" t="str">
        <x:v>2020 supplement MeanTL</x:v>
      </x:c>
      <x:c r="R52" s="24" t="str">
        <x:v>high</x:v>
      </x:c>
      <x:c r="S52" s="24" t="str">
        <x:v>Prionace glauca</x:v>
      </x:c>
      <x:c r="T52" s="32" t="n">
        <x:f>IF(O52="","",(1/'Metadata'!$B$5)^(O52-1))</x:f>
        <x:v>2238.7211385683377</x:v>
      </x:c>
      <x:c r="U52" s="31" t="n">
        <x:f>IF(T52="","",I52*T52)</x:f>
        <x:v>863.6493154859838</x:v>
      </x:c>
    </x:row>
    <x:row r="53" ht="18" customHeight="1">
      <x:c r="A53" s="24" t="str">
        <x:v>EEZ_178</x:v>
      </x:c>
      <x:c r="B53" s="24" t="str">
        <x:v>Congo, R. of</x:v>
      </x:c>
      <x:c r="C53" s="24" t="str">
        <x:v>EEZ</x:v>
      </x:c>
      <x:c r="D53" s="30" t="n">
        <x:v>2019</x:v>
      </x:c>
      <x:c r="E53" s="24" t="str">
        <x:v>Pseudotolithus elongatus</x:v>
      </x:c>
      <x:c r="F53" s="24" t="str">
        <x:v>Bobo croaker</x:v>
      </x:c>
      <x:c r="G53" s="24" t="str">
        <x:v>Medium demersals (30 - 89 cm)</x:v>
      </x:c>
      <x:c r="H53" s="24" t="str">
        <x:v>Perch-likes</x:v>
      </x:c>
      <x:c r="I53" s="31" t="n">
        <x:v>0.2828898476</x:v>
      </x:c>
      <x:c r="J53" s="31" t="n">
        <x:v>0.2828898476</x:v>
      </x:c>
      <x:c r="K53" s="31" t="n">
        <x:v>0</x:v>
      </x:c>
      <x:c r="L53" s="31" t="n">
        <x:v>0.0440829575</x:v>
      </x:c>
      <x:c r="M53" s="31" t="n">
        <x:v>0.2388068901</x:v>
      </x:c>
      <x:c r="N53" s="24" t="str">
        <x:v>pseudotolithus elongatus</x:v>
      </x:c>
      <x:c r="O53" s="32" t="n">
        <x:v>4.06</x:v>
      </x:c>
      <x:c r="P53" s="24" t="str">
        <x:v>exact_2020_supplement</x:v>
      </x:c>
      <x:c r="Q53" s="32" t="str">
        <x:v>2020 supplement MeanTL</x:v>
      </x:c>
      <x:c r="R53" s="24" t="str">
        <x:v>high</x:v>
      </x:c>
      <x:c r="S53" s="24" t="str">
        <x:v>Pseudotolithus elongatus</x:v>
      </x:c>
      <x:c r="T53" s="32" t="n">
        <x:f>IF(O53="","",(1/'Metadata'!$B$5)^(O53-1))</x:f>
        <x:v>1148.1536214968817</x:v>
      </x:c>
      <x:c r="U53" s="31" t="n">
        <x:f>IF(T53="","",I53*T53)</x:f>
        <x:v>324.80100300664094</x:v>
      </x:c>
    </x:row>
    <x:row r="54" ht="18" customHeight="1">
      <x:c r="A54" s="24" t="str">
        <x:v>EEZ_178</x:v>
      </x:c>
      <x:c r="B54" s="24" t="str">
        <x:v>Congo, R. of</x:v>
      </x:c>
      <x:c r="C54" s="24" t="str">
        <x:v>EEZ</x:v>
      </x:c>
      <x:c r="D54" s="30" t="n">
        <x:v>2019</x:v>
      </x:c>
      <x:c r="E54" s="24" t="str">
        <x:v>Auxis rochei</x:v>
      </x:c>
      <x:c r="F54" s="24" t="str">
        <x:v>Bullet tuna</x:v>
      </x:c>
      <x:c r="G54" s="24" t="str">
        <x:v>Medium pelagics (30 - 89 cm)</x:v>
      </x:c>
      <x:c r="H54" s="24" t="str">
        <x:v>Tuna &amp; billfishes</x:v>
      </x:c>
      <x:c r="I54" s="31" t="n">
        <x:v>0.0257408049</x:v>
      </x:c>
      <x:c r="J54" s="31" t="n">
        <x:v>0.0257408049</x:v>
      </x:c>
      <x:c r="K54" s="31" t="n">
        <x:v>0</x:v>
      </x:c>
      <x:c r="L54" s="31" t="n">
        <x:v>0.0257408049</x:v>
      </x:c>
      <x:c r="M54" s="31" t="n">
        <x:v>0</x:v>
      </x:c>
      <x:c r="N54" s="24" t="str">
        <x:v>auxis rochei</x:v>
      </x:c>
      <x:c r="O54" s="32" t="n">
        <x:v>4.13</x:v>
      </x:c>
      <x:c r="P54" s="24" t="str">
        <x:v>exact_2020_supplement</x:v>
      </x:c>
      <x:c r="Q54" s="32" t="str">
        <x:v>2020 supplement MeanTL</x:v>
      </x:c>
      <x:c r="R54" s="24" t="str">
        <x:v>high</x:v>
      </x:c>
      <x:c r="S54" s="24" t="str">
        <x:v>Auxis rochei</x:v>
      </x:c>
      <x:c r="T54" s="32" t="n">
        <x:f>IF(O54="","",(1/'Metadata'!$B$5)^(O54-1))</x:f>
        <x:v>1348.9628825916532</x:v>
      </x:c>
      <x:c r="U54" s="31" t="n">
        <x:f>IF(T54="","",I54*T54)</x:f>
        <x:v>34.72339037813335</x:v>
      </x:c>
    </x:row>
    <x:row r="55" ht="18" customHeight="1">
      <x:c r="A55" s="24" t="str">
        <x:v>EEZ_178</x:v>
      </x:c>
      <x:c r="B55" s="24" t="str">
        <x:v>Congo, R. of</x:v>
      </x:c>
      <x:c r="C55" s="24" t="str">
        <x:v>EEZ</x:v>
      </x:c>
      <x:c r="D55" s="30" t="n">
        <x:v>2019</x:v>
      </x:c>
      <x:c r="E55" s="24" t="str">
        <x:v>Xiphias gladius</x:v>
      </x:c>
      <x:c r="F55" s="24" t="str">
        <x:v>Swordfish</x:v>
      </x:c>
      <x:c r="G55" s="24" t="str">
        <x:v>Large pelagics (&gt;=90 cm)</x:v>
      </x:c>
      <x:c r="H55" s="24" t="str">
        <x:v>Tuna &amp; billfishes</x:v>
      </x:c>
      <x:c r="I55" s="31" t="n">
        <x:v>0.0069390533</x:v>
      </x:c>
      <x:c r="J55" s="31" t="n">
        <x:v>0.0069390533</x:v>
      </x:c>
      <x:c r="K55" s="31" t="n">
        <x:v>0</x:v>
      </x:c>
      <x:c r="L55" s="31" t="n">
        <x:v>0.0069390533</x:v>
      </x:c>
      <x:c r="M55" s="31" t="n">
        <x:v>0</x:v>
      </x:c>
      <x:c r="N55" s="24" t="str">
        <x:v>xiphias gladius</x:v>
      </x:c>
      <x:c r="O55" s="32" t="n">
        <x:v>4.53</x:v>
      </x:c>
      <x:c r="P55" s="24" t="str">
        <x:v>exact_2020_supplement</x:v>
      </x:c>
      <x:c r="Q55" s="32" t="str">
        <x:v>2020 supplement MeanTL</x:v>
      </x:c>
      <x:c r="R55" s="24" t="str">
        <x:v>high</x:v>
      </x:c>
      <x:c r="S55" s="24" t="str">
        <x:v>Xiphias gladius</x:v>
      </x:c>
      <x:c r="T55" s="32" t="n">
        <x:f>IF(O55="","",(1/'Metadata'!$B$5)^(O55-1))</x:f>
        <x:v>3388.4415613920273</x:v>
      </x:c>
      <x:c r="U55" s="31" t="n">
        <x:f>IF(T55="","",I55*T55)</x:f>
        <x:v>23.5125765984345</x:v>
      </x:c>
    </x:row>
    <x:row r="56" ht="18" customHeight="1">
      <x:c r="A56" s="24" t="str">
        <x:v>EEZ_178</x:v>
      </x:c>
      <x:c r="B56" s="24" t="str">
        <x:v>Congo, R. of</x:v>
      </x:c>
      <x:c r="C56" s="24" t="str">
        <x:v>EEZ</x:v>
      </x:c>
      <x:c r="D56" s="30" t="n">
        <x:v>2019</x:v>
      </x:c>
      <x:c r="E56" s="24" t="str">
        <x:v>Scomberomorus tritor</x:v>
      </x:c>
      <x:c r="F56" s="24" t="str">
        <x:v>West African Spanish mackerel</x:v>
      </x:c>
      <x:c r="G56" s="24" t="str">
        <x:v>Medium pelagics (30 - 89 cm)</x:v>
      </x:c>
      <x:c r="H56" s="24" t="str">
        <x:v>Perch-likes</x:v>
      </x:c>
      <x:c r="I56" s="31" t="n">
        <x:v>0.0001014736</x:v>
      </x:c>
      <x:c r="J56" s="31" t="n">
        <x:v>0.0001014736</x:v>
      </x:c>
      <x:c r="K56" s="31" t="n">
        <x:v>0</x:v>
      </x:c>
      <x:c r="L56" s="31" t="n">
        <x:v>0.0001014736</x:v>
      </x:c>
      <x:c r="M56" s="31" t="n">
        <x:v>0</x:v>
      </x:c>
      <x:c r="N56" s="24" t="str">
        <x:v>scomberomorus tritor</x:v>
      </x:c>
      <x:c r="O56" s="32" t="n">
        <x:v>4.26</x:v>
      </x:c>
      <x:c r="P56" s="24" t="str">
        <x:v>exact_2020_supplement</x:v>
      </x:c>
      <x:c r="Q56" s="32" t="str">
        <x:v>2020 supplement MeanTL</x:v>
      </x:c>
      <x:c r="R56" s="24" t="str">
        <x:v>high</x:v>
      </x:c>
      <x:c r="S56" s="24" t="str">
        <x:v>Scomberomorus tritor</x:v>
      </x:c>
      <x:c r="T56" s="32" t="n">
        <x:f>IF(O56="","",(1/'Metadata'!$B$5)^(O56-1))</x:f>
        <x:v>1819.7008586099826</x:v>
      </x:c>
      <x:c r="U56" s="31" t="n">
        <x:f>IF(T56="","",I56*T56)</x:f>
        <x:v>0.18465159704624592</x:v>
      </x:c>
    </x:row>
    <x:row r="57" ht="18" customHeight="1">
      <x:c r="A57" s="24" t="str">
        <x:v>EEZ_178</x:v>
      </x:c>
      <x:c r="B57" s="24" t="str">
        <x:v>Congo, R. of</x:v>
      </x:c>
      <x:c r="C57" s="24" t="str">
        <x:v>EEZ</x:v>
      </x:c>
      <x:c r="D57" s="30" t="n">
        <x:v>2019</x:v>
      </x:c>
      <x:c r="E57" s="24" t="str">
        <x:v>Brama brama</x:v>
      </x:c>
      <x:c r="F57" s="24" t="str">
        <x:v>Atlantic pomfret</x:v>
      </x:c>
      <x:c r="G57" s="24" t="str">
        <x:v>Medium bathypelagics (30 - 89 cm)</x:v>
      </x:c>
      <x:c r="H57" s="24" t="str">
        <x:v>Perch-likes</x:v>
      </x:c>
      <x:c r="I57" s="31" t="n">
        <x:v>6.899000000000001e-7</x:v>
      </x:c>
      <x:c r="J57" s="31" t="n">
        <x:v>6.899000000000001e-7</x:v>
      </x:c>
      <x:c r="K57" s="31" t="n">
        <x:v>0</x:v>
      </x:c>
      <x:c r="L57" s="31" t="n">
        <x:v>6.899000000000001e-7</x:v>
      </x:c>
      <x:c r="M57" s="31" t="n">
        <x:v>0</x:v>
      </x:c>
      <x:c r="N57" s="24" t="str">
        <x:v>brama brama</x:v>
      </x:c>
      <x:c r="O57" s="32" t="n">
        <x:v>4.08</x:v>
      </x:c>
      <x:c r="P57" s="24" t="str">
        <x:v>exact_2020_supplement</x:v>
      </x:c>
      <x:c r="Q57" s="32" t="str">
        <x:v>2020 supplement MeanTL</x:v>
      </x:c>
      <x:c r="R57" s="24" t="str">
        <x:v>high</x:v>
      </x:c>
      <x:c r="S57" s="24" t="str">
        <x:v>Brama brama</x:v>
      </x:c>
      <x:c r="T57" s="32" t="n">
        <x:f>IF(O57="","",(1/'Metadata'!$B$5)^(O57-1))</x:f>
        <x:v>1202.2644346174131</x:v>
      </x:c>
      <x:c r="U57" s="31" t="n">
        <x:f>IF(T57="","",I57*T57)</x:f>
        <x:v>0.0008294422334425534</x:v>
      </x:c>
    </x:row>
  </x:sheetData>
  <x:conditionalFormatting sqref="R2:R57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1f556037eab142e4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Crustaceans</x:v>
      </x:c>
      <x:c r="B2" s="31" t="n">
        <x:v>2762.5795248788</x:v>
      </x:c>
      <x:c r="C2" s="32" t="n">
        <x:v>3.2695690600213534</x:v>
      </x:c>
      <x:c r="D2" s="32" t="n">
        <x:f>IF(C2="","",(1/'Metadata'!$B$5)^(C2-1))</x:f>
        <x:v>186.02403487547713</x:v>
      </x:c>
      <x:c r="E2" s="31" t="n">
        <x:f>IF(B2=0,"",B2*D2)</x:f>
        <x:v>513906.1898823329</x:v>
      </x:c>
    </x:row>
    <x:row r="3" ht="18" customHeight="1">
      <x:c r="A3" s="24" t="str">
        <x:v>Flatfishes</x:v>
      </x:c>
      <x:c r="B3" s="31" t="n">
        <x:v>25.3274183154</x:v>
      </x:c>
      <x:c r="C3" s="32" t="n">
        <x:v>3.36</x:v>
      </x:c>
      <x:c r="D3" s="32" t="n">
        <x:f>IF(C3="","",(1/'Metadata'!$B$5)^(C3-1))</x:f>
        <x:v>229.08676527677724</x:v>
      </x:c>
      <x:c r="E3" s="31" t="n">
        <x:f>IF(B3=0,"",B3*D3)</x:f>
        <x:v>5802.176334686788</x:v>
      </x:c>
    </x:row>
    <x:row r="4" ht="18" customHeight="1">
      <x:c r="A4" s="24" t="str">
        <x:v>Herring-likes</x:v>
      </x:c>
      <x:c r="B4" s="31" t="n">
        <x:v>24843.4398733278</x:v>
      </x:c>
      <x:c r="C4" s="32" t="n">
        <x:v>3.2753789110448404</x:v>
      </x:c>
      <x:c r="D4" s="32" t="n">
        <x:f>IF(C4="","",(1/'Metadata'!$B$5)^(C4-1))</x:f>
        <x:v>188.52932432220587</x:v>
      </x:c>
      <x:c r="E4" s="31" t="n">
        <x:f>IF(B4=0,"",B4*D4)</x:f>
        <x:v>4683716.933157838</x:v>
      </x:c>
    </x:row>
    <x:row r="5" ht="18" customHeight="1">
      <x:c r="A5" s="24" t="str">
        <x:v>Other fishes &amp; inverts</x:v>
      </x:c>
      <x:c r="B5" s="31" t="n">
        <x:v>4466.3614927642</x:v>
      </x:c>
      <x:c r="C5" s="32" t="n">
        <x:v>3.366080345738392</x:v>
      </x:c>
      <x:c r="D5" s="32" t="n">
        <x:f>IF(C5="","",(1/'Metadata'!$B$5)^(C5-1))</x:f>
        <x:v>232.31665491507547</x:v>
      </x:c>
      <x:c r="E5" s="31" t="n">
        <x:f>IF(B5=0,"",B5*D5)</x:f>
        <x:v>1037610.161640482</x:v>
      </x:c>
    </x:row>
    <x:row r="6" ht="18" customHeight="1">
      <x:c r="A6" s="24" t="str">
        <x:v>Perch-likes</x:v>
      </x:c>
      <x:c r="B6" s="31" t="n">
        <x:v>9853.3743219841</x:v>
      </x:c>
      <x:c r="C6" s="32" t="n">
        <x:v>3.8493553053038028</x:v>
      </x:c>
      <x:c r="D6" s="32" t="n">
        <x:f>IF(C6="","",(1/'Metadata'!$B$5)^(C6-1))</x:f>
        <x:v>706.8956437132789</x:v>
      </x:c>
      <x:c r="E6" s="31" t="n">
        <x:f>IF(B6=0,"",B6*D6)</x:f>
        <x:v>6965307.384086844</x:v>
      </x:c>
    </x:row>
    <x:row r="7" ht="18" customHeight="1">
      <x:c r="A7" s="24" t="str">
        <x:v>Sharks &amp; rays</x:v>
      </x:c>
      <x:c r="B7" s="31" t="n">
        <x:v>1255.780456148</x:v>
      </x:c>
      <x:c r="C7" s="32" t="n">
        <x:v>3.9543678888608085</x:v>
      </x:c>
      <x:c r="D7" s="32" t="n">
        <x:f>IF(C7="","",(1/'Metadata'!$B$5)^(C7-1))</x:f>
        <x:v>900.2598646174239</x:v>
      </x:c>
      <x:c r="E7" s="31" t="n">
        <x:f>IF(B7=0,"",B7*D7)</x:f>
        <x:v>1130528.7434410052</x:v>
      </x:c>
    </x:row>
    <x:row r="8" ht="18" customHeight="1">
      <x:c r="A8" s="24" t="str">
        <x:v>Tuna &amp; billfishes</x:v>
      </x:c>
      <x:c r="B8" s="31" t="n">
        <x:v>237.51791673120002</x:v>
      </x:c>
      <x:c r="C8" s="32" t="n">
        <x:v>4.4317937953828</x:v>
      </x:c>
      <x:c r="D8" s="32" t="n">
        <x:f>IF(C8="","",(1/'Metadata'!$B$5)^(C8-1))</x:f>
        <x:v>2702.6748194732672</x:v>
      </x:c>
      <x:c r="E8" s="31" t="n">
        <x:f>IF(B8=0,"",B8*D8)</x:f>
        <x:v>641933.6927231625</x:v>
      </x:c>
    </x:row>
  </x:sheetData>
  <x:pageMargins left="0.7" right="0.7" top="0.75" bottom="0.75" header="0.3" footer="0.3"/>
  <x:tableParts count="1">
    <x:tablePart xmlns:r="http://schemas.openxmlformats.org/officeDocument/2006/relationships" r:id="R36ec4936c0af4fff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75</x:v>
      </x:c>
      <x:c r="C2" s="32" t="n">
        <x:v>3.7651999999999997</x:v>
      </x:c>
      <x:c r="D2" s="32" t="n">
        <x:f>IF(C2="","",(1/'Metadata'!$B$5)^(C2-1))</x:f>
        <x:v>582.3713479437508</x:v>
      </x:c>
      <x:c r="E2" s="31" t="n">
        <x:f>IF(B2=0,"",B2*D2)</x:f>
        <x:v>43677.85109578131</x:v>
      </x:c>
    </x:row>
    <x:row r="3" ht="18" customHeight="1">
      <x:c r="A3" s="24" t="str">
        <x:v>Large benthopelagics (&gt;=90 cm)</x:v>
      </x:c>
      <x:c r="B3" s="31" t="n">
        <x:v>3199.4262736542</x:v>
      </x:c>
      <x:c r="C3" s="32" t="n">
        <x:v>4.317857910159722</x:v>
      </x:c>
      <x:c r="D3" s="32" t="n">
        <x:f>IF(C3="","",(1/'Metadata'!$B$5)^(C3-1))</x:f>
        <x:v>2079.0163758238778</x:v>
      </x:c>
      <x:c r="E3" s="31" t="n">
        <x:f>IF(B3=0,"",B3*D3)</x:f>
        <x:v>6651659.616168249</x:v>
      </x:c>
    </x:row>
    <x:row r="4" ht="18" customHeight="1">
      <x:c r="A4" s="24" t="str">
        <x:v>Large demersals (&gt;=90 cm)</x:v>
      </x:c>
      <x:c r="B4" s="31" t="n">
        <x:v>1460.830504502</x:v>
      </x:c>
      <x:c r="C4" s="32" t="n">
        <x:v>3.798584158094559</x:v>
      </x:c>
      <x:c r="D4" s="32" t="n">
        <x:f>IF(C4="","",(1/'Metadata'!$B$5)^(C4-1))</x:f>
        <x:v>628.9037120104201</x:v>
      </x:c>
      <x:c r="E4" s="31" t="n">
        <x:f>IF(B4=0,"",B4*D4)</x:f>
        <x:v>918721.7268993625</x:v>
      </x:c>
    </x:row>
    <x:row r="5" ht="18" customHeight="1">
      <x:c r="A5" s="24" t="str">
        <x:v>Large pelagics (&gt;=90 cm)</x:v>
      </x:c>
      <x:c r="B5" s="31" t="n">
        <x:v>175.63093158549998</x:v>
      </x:c>
      <x:c r="C5" s="32" t="n">
        <x:v>4.408806719305319</x:v>
      </x:c>
      <x:c r="D5" s="32" t="n">
        <x:f>IF(C5="","",(1/'Metadata'!$B$5)^(C5-1))</x:f>
        <x:v>2563.3429790179002</x:v>
      </x:c>
      <x:c r="E5" s="31" t="n">
        <x:f>IF(B5=0,"",B5*D5)</x:f>
        <x:v>450202.3153780645</x:v>
      </x:c>
    </x:row>
    <x:row r="6" ht="18" customHeight="1">
      <x:c r="A6" s="24" t="str">
        <x:v>Large rays (&gt;=90 cm)</x:v>
      </x:c>
      <x:c r="B6" s="31" t="n">
        <x:v>398</x:v>
      </x:c>
      <x:c r="C6" s="32" t="n">
        <x:v>3.38</x:v>
      </x:c>
      <x:c r="D6" s="32" t="n">
        <x:f>IF(C6="","",(1/'Metadata'!$B$5)^(C6-1))</x:f>
        <x:v>239.88329190194898</x:v>
      </x:c>
      <x:c r="E6" s="31" t="n">
        <x:f>IF(B6=0,"",B6*D6)</x:f>
        <x:v>95473.5501769757</x:v>
      </x:c>
    </x:row>
    <x:row r="7" ht="18" customHeight="1">
      <x:c r="A7" s="24" t="str">
        <x:v>Large sharks (&gt;=90 cm)</x:v>
      </x:c>
      <x:c r="B7" s="31" t="n">
        <x:v>854.3857779786</x:v>
      </x:c>
      <x:c r="C7" s="32" t="n">
        <x:v>4.2225400131804065</x:v>
      </x:c>
      <x:c r="D7" s="32" t="n">
        <x:f>IF(C7="","",(1/'Metadata'!$B$5)^(C7-1))</x:f>
        <x:v>1669.3216009897578</x:v>
      </x:c>
      <x:c r="E7" s="31" t="n">
        <x:f>IF(B7=0,"",B7*D7)</x:f>
        <x:v>1426244.6347581164</x:v>
      </x:c>
    </x:row>
    <x:row r="8" ht="18" customHeight="1">
      <x:c r="A8" s="24" t="str">
        <x:v>Medium bathypelagics (30 - 89 cm)</x:v>
      </x:c>
      <x:c r="B8" s="31" t="n">
        <x:v>6.899000000000001e-7</x:v>
      </x:c>
      <x:c r="C8" s="32" t="n">
        <x:v>4.08</x:v>
      </x:c>
      <x:c r="D8" s="32" t="n">
        <x:f>IF(C8="","",(1/'Metadata'!$B$5)^(C8-1))</x:f>
        <x:v>1202.2644346174131</x:v>
      </x:c>
      <x:c r="E8" s="31" t="n">
        <x:f>IF(B8=0,"",B8*D8)</x:f>
        <x:v>0.0008294422334425534</x:v>
      </x:c>
    </x:row>
    <x:row r="9" ht="18" customHeight="1">
      <x:c r="A9" s="24" t="str">
        <x:v>Medium benthopelagics (30 - 89 cm)</x:v>
      </x:c>
      <x:c r="B9" s="31" t="n">
        <x:v>1930.6358087490999</x:v>
      </x:c>
      <x:c r="C9" s="32" t="n">
        <x:v>3.6586864748867867</x:v>
      </x:c>
      <x:c r="D9" s="32" t="n">
        <x:f>IF(C9="","",(1/'Metadata'!$B$5)^(C9-1))</x:f>
        <x:v>455.7078133849692</x:v>
      </x:c>
      <x:c r="E9" s="31" t="n">
        <x:f>IF(B9=0,"",B9*D9)</x:f>
        <x:v>879805.8228477739</x:v>
      </x:c>
    </x:row>
    <x:row r="10" ht="18" customHeight="1">
      <x:c r="A10" s="24" t="str">
        <x:v>Medium demersals (30 - 89 cm)</x:v>
      </x:c>
      <x:c r="B10" s="31" t="n">
        <x:v>4832.7242136493005</x:v>
      </x:c>
      <x:c r="C10" s="32" t="n">
        <x:v>3.3361410917688548</x:v>
      </x:c>
      <x:c r="D10" s="32" t="n">
        <x:f>IF(C10="","",(1/'Metadata'!$B$5)^(C10-1))</x:f>
        <x:v>216.84084538397337</x:v>
      </x:c>
      <x:c r="E10" s="31" t="n">
        <x:f>IF(B10=0,"",B10*D10)</x:f>
        <x:v>1047932.0039953123</x:v>
      </x:c>
    </x:row>
    <x:row r="11" ht="18" customHeight="1">
      <x:c r="A11" s="24" t="str">
        <x:v>Medium pelagics (30 - 89 cm)</x:v>
      </x:c>
      <x:c r="B11" s="31" t="n">
        <x:v>10642.861659793802</x:v>
      </x:c>
      <x:c r="C11" s="32" t="n">
        <x:v>3.169122458961955</x:v>
      </x:c>
      <x:c r="D11" s="32" t="n">
        <x:f>IF(C11="","",(1/'Metadata'!$B$5)^(C11-1))</x:f>
        <x:v>147.61227001355476</x:v>
      </x:c>
      <x:c r="E11" s="31" t="n">
        <x:f>IF(B11=0,"",B11*D11)</x:f>
        <x:v>1571016.9690423922</x:v>
      </x:c>
    </x:row>
    <x:row r="12" ht="18" customHeight="1">
      <x:c r="A12" s="24" t="str">
        <x:v>Medium reef assoc. fish (30 - 89 cm)</x:v>
      </x:c>
      <x:c r="B12" s="31" t="n">
        <x:v>764.6775680169001</x:v>
      </x:c>
      <x:c r="C12" s="32" t="n">
        <x:v>3.7081157102711195</x:v>
      </x:c>
      <x:c r="D12" s="32" t="n">
        <x:f>IF(C12="","",(1/'Metadata'!$B$5)^(C12-1))</x:f>
        <x:v>510.64103334515045</x:v>
      </x:c>
      <x:c r="E12" s="31" t="n">
        <x:f>IF(B12=0,"",B12*D12)</x:f>
        <x:v>390475.7435080064</x:v>
      </x:c>
    </x:row>
    <x:row r="13" ht="18" customHeight="1">
      <x:c r="A13" s="24" t="str">
        <x:v>Shrimps</x:v>
      </x:c>
      <x:c r="B13" s="31" t="n">
        <x:v>2762.5795248788</x:v>
      </x:c>
      <x:c r="C13" s="32" t="n">
        <x:v>3.2695690600213534</x:v>
      </x:c>
      <x:c r="D13" s="32" t="n">
        <x:f>IF(C13="","",(1/'Metadata'!$B$5)^(C13-1))</x:f>
        <x:v>186.02403487547713</x:v>
      </x:c>
      <x:c r="E13" s="31" t="n">
        <x:f>IF(B13=0,"",B13*D13)</x:f>
        <x:v>513906.1898823329</x:v>
      </x:c>
    </x:row>
    <x:row r="14" ht="18" customHeight="1">
      <x:c r="A14" s="24" t="str">
        <x:v>Small demersals (&lt;30 cm)</x:v>
      </x:c>
      <x:c r="B14" s="31" t="n">
        <x:v>1576.4176111524998</x:v>
      </x:c>
      <x:c r="C14" s="32" t="n">
        <x:v>3.4201678634464283</x:v>
      </x:c>
      <x:c r="D14" s="32" t="n">
        <x:f>IF(C14="","",(1/'Metadata'!$B$5)^(C14-1))</x:f>
        <x:v>263.12848392393</x:v>
      </x:c>
      <x:c r="E14" s="31" t="n">
        <x:f>IF(B14=0,"",B14*D14)</x:f>
        <x:v>414800.3760535407</x:v>
      </x:c>
    </x:row>
    <x:row r="15" ht="18" customHeight="1">
      <x:c r="A15" s="24" t="str">
        <x:v>Small pelagics (&lt;30 cm)</x:v>
      </x:c>
      <x:c r="B15" s="31" t="n">
        <x:v>14742.489033014099</x:v>
      </x:c>
      <x:c r="C15" s="32" t="n">
        <x:v>3.3797015280574576</x:v>
      </x:c>
      <x:c r="D15" s="32" t="n">
        <x:f>IF(C15="","",(1/'Metadata'!$B$5)^(C15-1))</x:f>
        <x:v>239.71848705760564</x:v>
      </x:c>
      <x:c r="E15" s="31" t="n">
        <x:f>IF(B15=0,"",B15*D15)</x:f>
        <x:v>3534047.1664574835</x:v>
      </x:c>
    </x:row>
    <x:row r="16" ht="18" customHeight="1">
      <x:c r="A16" s="24" t="str">
        <x:v>Small to medium flatfishes (&lt;90 cm)</x:v>
      </x:c>
      <x:c r="B16" s="31" t="n">
        <x:v>25.3274183154</x:v>
      </x:c>
      <x:c r="C16" s="32" t="n">
        <x:v>3.36</x:v>
      </x:c>
      <x:c r="D16" s="32" t="n">
        <x:f>IF(C16="","",(1/'Metadata'!$B$5)^(C16-1))</x:f>
        <x:v>229.08676527677724</x:v>
      </x:c>
      <x:c r="E16" s="31" t="n">
        <x:f>IF(B16=0,"",B16*D16)</x:f>
        <x:v>5802.176334686788</x:v>
      </x:c>
    </x:row>
    <x:row r="17" ht="18" customHeight="1">
      <x:c r="A17" s="24" t="str">
        <x:v>Small to medium rays (&lt;90 cm)</x:v>
      </x:c>
      <x:c r="B17" s="31" t="n">
        <x:v>3.3946781693999997</x:v>
      </x:c>
      <x:c r="C17" s="32" t="n">
        <x:v>3.8</x:v>
      </x:c>
      <x:c r="D17" s="32" t="n">
        <x:f>IF(C17="","",(1/'Metadata'!$B$5)^(C17-1))</x:f>
        <x:v>630.957344480193</x:v>
      </x:c>
      <x:c r="E17" s="31" t="n">
        <x:f>IF(B17=0,"",B17*D17)</x:f>
        <x:v>2141.897123129507</x:v>
      </x:c>
    </x:row>
  </x:sheetData>
  <x:pageMargins left="0.7" right="0.7" top="0.75" bottom="0.75" header="0.3" footer="0.3"/>
  <x:tableParts count="1">
    <x:tablePart xmlns:r="http://schemas.openxmlformats.org/officeDocument/2006/relationships" r:id="Rcfd8c6e8b460418f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EEZ_178</x:v>
      </x:c>
      <x:c r="B2" s="24" t="str">
        <x:v>raw_filtered_tonnes</x:v>
      </x:c>
      <x:c r="C2" s="24" t="n">
        <x:v>43444.3810041495</x:v>
      </x:c>
      <x:c r="D2" s="24" t="str">
        <x:v>tonnes</x:v>
      </x:c>
    </x:row>
    <x:row r="3" ht="18" customHeight="1">
      <x:c r="A3" s="24" t="str">
        <x:v>EEZ_178</x:v>
      </x:c>
      <x:c r="B3" s="24" t="str">
        <x:v>species_catch_tonnes</x:v>
      </x:c>
      <x:c r="C3" s="24" t="n">
        <x:v>43444.3810041495</x:v>
      </x:c>
      <x:c r="D3" s="24" t="str">
        <x:v>tonnes</x:v>
      </x:c>
    </x:row>
    <x:row r="4" ht="18" customHeight="1">
      <x:c r="A4" s="24" t="str">
        <x:v>EEZ_178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EEZ_178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EEZ_178</x:v>
      </x:c>
      <x:c r="B6" s="24" t="str">
        <x:v>matched_catch_tonnes</x:v>
      </x:c>
      <x:c r="C6" s="24" t="n">
        <x:v>43444.3810041495</x:v>
      </x:c>
      <x:c r="D6" s="24" t="str">
        <x:v>tonnes</x:v>
      </x:c>
    </x:row>
    <x:row r="7" ht="18" customHeight="1">
      <x:c r="A7" s="24" t="str">
        <x:v>EEZ_178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EEZ_178</x:v>
      </x:c>
      <x:c r="B8" s="24" t="str">
        <x:v>taxa_count</x:v>
      </x:c>
      <x:c r="C8" s="24" t="n">
        <x:v>56</x:v>
      </x:c>
      <x:c r="D8" s="24" t="str">
        <x:v>count</x:v>
      </x:c>
    </x:row>
    <x:row r="9" ht="18" customHeight="1">
      <x:c r="A9" s="24" t="str">
        <x:v>EEZ_178</x:v>
      </x:c>
      <x:c r="B9" s="24" t="str">
        <x:v>matched_taxa_count</x:v>
      </x:c>
      <x:c r="C9" s="24" t="n">
        <x:v>56</x:v>
      </x:c>
      <x:c r="D9" s="24" t="str">
        <x:v>count</x:v>
      </x:c>
    </x:row>
    <x:row r="10" ht="18" customHeight="1">
      <x:c r="A10" s="24" t="str">
        <x:v>EEZ_178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EEZ_178</x:v>
      </x:c>
      <x:c r="B11" s="24" t="str">
        <x:v>species_ppr</x:v>
      </x:c>
      <x:c r="C11" s="24" t="n">
        <x:v>19991660.548274387</x:v>
      </x:c>
      <x:c r="D11" s="24" t="str">
        <x:v>tonnes_primary_production_equivalent</x:v>
      </x:c>
    </x:row>
    <x:row r="12" ht="18" customHeight="1">
      <x:c r="A12" s="24" t="str">
        <x:v>EEZ_178</x:v>
      </x:c>
      <x:c r="B12" s="24" t="str">
        <x:v>commercial_ppr</x:v>
      </x:c>
      <x:c r="C12" s="24" t="n">
        <x:v>14978805.28126635</x:v>
      </x:c>
      <x:c r="D12" s="24" t="str">
        <x:v>tonnes_primary_production_equivalent</x:v>
      </x:c>
    </x:row>
    <x:row r="13" ht="18" customHeight="1">
      <x:c r="A13" s="24" t="str">
        <x:v>EEZ_178</x:v>
      </x:c>
      <x:c r="B13" s="24" t="str">
        <x:v>functional_ppr</x:v>
      </x:c>
      <x:c r="C13" s="24" t="n">
        <x:v>17945908.04055065</x:v>
      </x:c>
      <x:c r="D13" s="24" t="str">
        <x:v>tonnes_primary_production_equivalent</x:v>
      </x:c>
    </x:row>
    <x:row r="14" ht="18" customHeight="1">
      <x:c r="A14" s="24" t="str">
        <x:v>EEZ_178</x:v>
      </x:c>
      <x:c r="B14" s="24" t="str">
        <x:v>commercial_ppr_difference</x:v>
      </x:c>
      <x:c r="C14" s="24" t="n">
        <x:v>-5012855.267008036</x:v>
      </x:c>
      <x:c r="D14" s="24" t="str">
        <x:v>tonnes_primary_production_equivalent</x:v>
      </x:c>
    </x:row>
    <x:row r="15" ht="18" customHeight="1">
      <x:c r="A15" s="24" t="str">
        <x:v>EEZ_178</x:v>
      </x:c>
      <x:c r="B15" s="24" t="str">
        <x:v>functional_ppr_difference</x:v>
      </x:c>
      <x:c r="C15" s="24" t="n">
        <x:v>-2045752.5077237375</x:v>
      </x:c>
      <x:c r="D15" s="24" t="str">
        <x:v>tonnes_primary_production_equivalent</x:v>
      </x:c>
    </x:row>
    <x:row r="16" ht="18" customHeight="1">
      <x:c r="A16" s="24" t="str">
        <x:v>EEZ_178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EEZ_178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7e0175c1f8ad4ca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EEZ_178 - Congo, R. of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EEZ_178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raw_data/SAU_downloads/EEZ_178-catch.zip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