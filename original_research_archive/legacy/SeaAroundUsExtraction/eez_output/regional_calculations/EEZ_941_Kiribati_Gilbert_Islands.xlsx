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3ff4f24ca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0500fe8c28f4978"/>
    <x:sheet xmlns:r="http://schemas.openxmlformats.org/officeDocument/2006/relationships" name="Commercial" sheetId="2" r:id="R4261144a16614bbd"/>
    <x:sheet xmlns:r="http://schemas.openxmlformats.org/officeDocument/2006/relationships" name="Functional" sheetId="3" r:id="R3abcc4b1b96f426e"/>
    <x:sheet xmlns:r="http://schemas.openxmlformats.org/officeDocument/2006/relationships" name="Missing TL" sheetId="4" r:id="Re45644fcb06f47bc"/>
    <x:sheet xmlns:r="http://schemas.openxmlformats.org/officeDocument/2006/relationships" name="Validation" sheetId="5" r:id="R20648d26d16e4a18"/>
    <x:sheet xmlns:r="http://schemas.openxmlformats.org/officeDocument/2006/relationships" name="Metadata" sheetId="6" r:id="R39693df5d6f04b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717bf39914aee" /><Relationship Type="http://schemas.openxmlformats.org/officeDocument/2006/relationships/theme" Target="/xl/theme/theme1.xml" Id="R5c95f3907e7f40c5" /><Relationship Type="http://schemas.microsoft.com/office/2022/11/relationships/FeaturePropertyBag" Target="/xl/featurePropertyBag/featurePropertyBag.xml" Id="R47b619532b204fa5" /><Relationship Type="http://schemas.openxmlformats.org/officeDocument/2006/relationships/sharedStrings" Target="/xl/sharedStrings.xml" Id="Re804ce0b0b0e4e7a" /><Relationship Type="http://schemas.openxmlformats.org/officeDocument/2006/relationships/worksheet" Target="/xl/worksheets/sheet1.xml" Id="R80500fe8c28f4978" /><Relationship Type="http://schemas.openxmlformats.org/officeDocument/2006/relationships/worksheet" Target="/xl/worksheets/sheet2.xml" Id="R4261144a16614bbd" /><Relationship Type="http://schemas.openxmlformats.org/officeDocument/2006/relationships/worksheet" Target="/xl/worksheets/sheet3.xml" Id="R3abcc4b1b96f426e" /><Relationship Type="http://schemas.openxmlformats.org/officeDocument/2006/relationships/worksheet" Target="/xl/worksheets/sheet4.xml" Id="Re45644fcb06f47bc" /><Relationship Type="http://schemas.openxmlformats.org/officeDocument/2006/relationships/worksheet" Target="/xl/worksheets/sheet5.xml" Id="R20648d26d16e4a18" /><Relationship Type="http://schemas.openxmlformats.org/officeDocument/2006/relationships/worksheet" Target="/xl/worksheets/sheet6.xml" Id="R39693df5d6f04b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1SpeciesTable" displayName="EEZ941SpeciesTable" ref="A1:U39" headerRowCount="1" totalsRowCount="0" totalsRowShown="0">
  <x:autoFilter ref="A1:U3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1CommercialTable" displayName="EEZ941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1FunctionalTable" displayName="EEZ941FunctionalTable" ref="A1:E13" headerRowCount="1" totalsRowCount="0" totalsRowShown="0">
  <x:autoFilter ref="A1:E1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1ValidationTable" displayName="EEZ94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694975e0044a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b59df99b9749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a53c67374024a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e71e18e161411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EEZ_941</x:v>
      </x:c>
      <x:c r="B2" s="24" t="str">
        <x:v>Kiribati (Gilbert Islands)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472428.8358922717</x:v>
      </x:c>
      <x:c r="J2" s="31" t="n">
        <x:v>470806.4899947712</x:v>
      </x:c>
      <x:c r="K2" s="31" t="n">
        <x:v>1622.3458975005</x:v>
      </x:c>
      <x:c r="L2" s="31" t="n">
        <x:v>470806.4899947712</x:v>
      </x:c>
      <x:c r="M2" s="31" t="n">
        <x:v>1622.3458975005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1271558654.1827257</x:v>
      </x:c>
    </x:row>
    <x:row r="3" ht="18" customHeight="1">
      <x:c r="A3" s="24" t="str">
        <x:v>EEZ_941</x:v>
      </x:c>
      <x:c r="B3" s="24" t="str">
        <x:v>Kiribati (Gilbert Islands)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70211.0645555602</x:v>
      </x:c>
      <x:c r="J3" s="31" t="n">
        <x:v>70030.1077425086</x:v>
      </x:c>
      <x:c r="K3" s="31" t="n">
        <x:v>180.9568130516</x:v>
      </x:c>
      <x:c r="L3" s="31" t="n">
        <x:v>70030.1077425086</x:v>
      </x:c>
      <x:c r="M3" s="31" t="n">
        <x:v>180.9568130516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180470224.23732442</x:v>
      </x:c>
    </x:row>
    <x:row r="4" ht="18" customHeight="1">
      <x:c r="A4" s="24" t="str">
        <x:v>EEZ_941</x:v>
      </x:c>
      <x:c r="B4" s="24" t="str">
        <x:v>Kiribati (Gilbert Islands)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15004.7438241187</x:v>
      </x:c>
      <x:c r="J4" s="31" t="n">
        <x:v>14684.1800032137</x:v>
      </x:c>
      <x:c r="K4" s="31" t="n">
        <x:v>320.563820905</x:v>
      </x:c>
      <x:c r="L4" s="31" t="n">
        <x:v>14684.1800032137</x:v>
      </x:c>
      <x:c r="M4" s="31" t="n">
        <x:v>320.563820905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46369091.30571055</x:v>
      </x:c>
    </x:row>
    <x:row r="5" ht="18" customHeight="1">
      <x:c r="A5" s="24" t="str">
        <x:v>EEZ_941</x:v>
      </x:c>
      <x:c r="B5" s="24" t="str">
        <x:v>Kiribati (Gilbert Islands)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10436.3212517498</x:v>
      </x:c>
      <x:c r="J5" s="31" t="n">
        <x:v>577.643581014</x:v>
      </x:c>
      <x:c r="K5" s="31" t="n">
        <x:v>9858.6776707358</x:v>
      </x:c>
      <x:c r="L5" s="31" t="n">
        <x:v>290.1738278225</x:v>
      </x:c>
      <x:c r="M5" s="31" t="n">
        <x:v>10146.1474239273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1988600.018525426</x:v>
      </x:c>
    </x:row>
    <x:row r="6" ht="18" customHeight="1">
      <x:c r="A6" s="24" t="str">
        <x:v>EEZ_941</x:v>
      </x:c>
      <x:c r="B6" s="24" t="str">
        <x:v>Kiribati (Gilbert Islands)</x:v>
      </x:c>
      <x:c r="C6" s="24" t="str">
        <x:v>EEZ</x:v>
      </x:c>
      <x:c r="D6" s="30" t="n">
        <x:v>2019</x:v>
      </x:c>
      <x:c r="E6" s="24" t="str">
        <x:v>Scombridae</x:v>
      </x:c>
      <x:c r="F6" s="24" t="str">
        <x:v>Mackerels, tunas, bonitos</x:v>
      </x:c>
      <x:c r="G6" s="24" t="str">
        <x:v>Medium pelagics (30 - 89 cm)</x:v>
      </x:c>
      <x:c r="H6" s="24" t="str">
        <x:v>Perch-likes</x:v>
      </x:c>
      <x:c r="I6" s="31" t="n">
        <x:v>5715.814609235999</x:v>
      </x:c>
      <x:c r="J6" s="31" t="n">
        <x:v>0.4089906643</x:v>
      </x:c>
      <x:c r="K6" s="31" t="n">
        <x:v>5715.4056185717</x:v>
      </x:c>
      <x:c r="L6" s="31" t="n">
        <x:v>0.4089906643</x:v>
      </x:c>
      <x:c r="M6" s="31" t="n">
        <x:v>5715.4056185717</x:v>
      </x:c>
      <x:c r="N6" s="24" t="str">
        <x:v>scombridae</x:v>
      </x:c>
      <x:c r="O6" s="32" t="n">
        <x:v>4.26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Scombridae</x:v>
      </x:c>
      <x:c r="T6" s="32" t="n">
        <x:f>IF(O6="","",(1/'Metadata'!$B$5)^(O6-1))</x:f>
        <x:v>1819.7008586099826</x:v>
      </x:c>
      <x:c r="U6" s="31" t="n">
        <x:f>IF(T6="","",I6*T6)</x:f>
        <x:v>10401072.75208223</x:v>
      </x:c>
    </x:row>
    <x:row r="7" ht="18" customHeight="1">
      <x:c r="A7" s="24" t="str">
        <x:v>EEZ_941</x:v>
      </x:c>
      <x:c r="B7" s="24" t="str">
        <x:v>Kiribati (Gilbert Islands)</x:v>
      </x:c>
      <x:c r="C7" s="24" t="str">
        <x:v>EEZ</x:v>
      </x:c>
      <x:c r="D7" s="30" t="n">
        <x:v>2019</x:v>
      </x:c>
      <x:c r="E7" s="24" t="str">
        <x:v>Coryphaena hippurus</x:v>
      </x:c>
      <x:c r="F7" s="24" t="str">
        <x:v>Common dolphinfish</x:v>
      </x:c>
      <x:c r="G7" s="24" t="str">
        <x:v>Large pelagics (&gt;=90 cm)</x:v>
      </x:c>
      <x:c r="H7" s="24" t="str">
        <x:v>Perch-likes</x:v>
      </x:c>
      <x:c r="I7" s="31" t="n">
        <x:v>5379.2766783511</x:v>
      </x:c>
      <x:c r="J7" s="31" t="n">
        <x:v>0</x:v>
      </x:c>
      <x:c r="K7" s="31" t="n">
        <x:v>5379.2766783511</x:v>
      </x:c>
      <x:c r="L7" s="31" t="n">
        <x:v>0</x:v>
      </x:c>
      <x:c r="M7" s="31" t="n">
        <x:v>5379.2766783511</x:v>
      </x:c>
      <x:c r="N7" s="24" t="str">
        <x:v>coryphaena hippurus</x:v>
      </x:c>
      <x:c r="O7" s="32" t="n">
        <x:v>4.37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Coryphaena hippurus</x:v>
      </x:c>
      <x:c r="T7" s="32" t="n">
        <x:f>IF(O7="","",(1/'Metadata'!$B$5)^(O7-1))</x:f>
        <x:v>2344.228815319923</x:v>
      </x:c>
      <x:c r="U7" s="31" t="n">
        <x:f>IF(T7="","",I7*T7)</x:f>
        <x:v>12610255.394969089</x:v>
      </x:c>
    </x:row>
    <x:row r="8" ht="18" customHeight="1">
      <x:c r="A8" s="24" t="str">
        <x:v>EEZ_941</x:v>
      </x:c>
      <x:c r="B8" s="24" t="str">
        <x:v>Kiribati (Gilbert Islands)</x:v>
      </x:c>
      <x:c r="C8" s="24" t="str">
        <x:v>EEZ</x:v>
      </x:c>
      <x:c r="D8" s="30" t="n">
        <x:v>2019</x:v>
      </x:c>
      <x:c r="E8" s="24" t="str">
        <x:v>Elasmobranchii</x:v>
      </x:c>
      <x:c r="F8" s="24" t="str">
        <x:v>Sharks, rays, skates</x:v>
      </x:c>
      <x:c r="G8" s="24" t="str">
        <x:v>Large sharks (&gt;=90 cm)</x:v>
      </x:c>
      <x:c r="H8" s="24" t="str">
        <x:v>Sharks &amp; rays</x:v>
      </x:c>
      <x:c r="I8" s="31" t="n">
        <x:v>4463.0884623461</x:v>
      </x:c>
      <x:c r="J8" s="31" t="n">
        <x:v>155.1020989644</x:v>
      </x:c>
      <x:c r="K8" s="31" t="n">
        <x:v>4307.986363381699</x:v>
      </x:c>
      <x:c r="L8" s="31" t="n">
        <x:v>30.085275303499998</x:v>
      </x:c>
      <x:c r="M8" s="31" t="n">
        <x:v>4433.0031870426</x:v>
      </x:c>
      <x:c r="N8" s="24" t="str">
        <x:v>elasmobranchii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Elasmobranchii</x:v>
      </x:c>
      <x:c r="T8" s="32" t="n">
        <x:f>IF(O8="","",(1/'Metadata'!$B$5)^(O8-1))</x:f>
        <x:v>1122.018454301963</x:v>
      </x:c>
      <x:c r="U8" s="31" t="n">
        <x:f>IF(T8="","",I8*T8)</x:f>
        <x:v>5007667.617934495</x:v>
      </x:c>
    </x:row>
    <x:row r="9" ht="18" customHeight="1">
      <x:c r="A9" s="24" t="str">
        <x:v>EEZ_941</x:v>
      </x:c>
      <x:c r="B9" s="24" t="str">
        <x:v>Kiribati (Gilbert Islands)</x:v>
      </x:c>
      <x:c r="C9" s="24" t="str">
        <x:v>EEZ</x:v>
      </x:c>
      <x:c r="D9" s="30" t="n">
        <x:v>2019</x:v>
      </x:c>
      <x:c r="E9" s="24" t="str">
        <x:v>Prionace glauca</x:v>
      </x:c>
      <x:c r="F9" s="24" t="str">
        <x:v>Blue shark</x:v>
      </x:c>
      <x:c r="G9" s="24" t="str">
        <x:v>Large sharks (&gt;=90 cm)</x:v>
      </x:c>
      <x:c r="H9" s="24" t="str">
        <x:v>Sharks &amp; rays</x:v>
      </x:c>
      <x:c r="I9" s="31" t="n">
        <x:v>3068.0262507137</x:v>
      </x:c>
      <x:c r="J9" s="31" t="n">
        <x:v>1533.2348595814</x:v>
      </x:c>
      <x:c r="K9" s="31" t="n">
        <x:v>1534.7913911323</x:v>
      </x:c>
      <x:c r="L9" s="31" t="n">
        <x:v>1533.2348595814</x:v>
      </x:c>
      <x:c r="M9" s="31" t="n">
        <x:v>1534.7913911323</x:v>
      </x:c>
      <x:c r="N9" s="24" t="str">
        <x:v>prionace glauca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Prionace glauca</x:v>
      </x:c>
      <x:c r="T9" s="32" t="n">
        <x:f>IF(O9="","",(1/'Metadata'!$B$5)^(O9-1))</x:f>
        <x:v>2238.7211385683377</x:v>
      </x:c>
      <x:c r="U9" s="31" t="n">
        <x:f>IF(T9="","",I9*T9)</x:f>
        <x:v>6868455.221155322</x:v>
      </x:c>
    </x:row>
    <x:row r="10" ht="18" customHeight="1">
      <x:c r="A10" s="24" t="str">
        <x:v>EEZ_941</x:v>
      </x:c>
      <x:c r="B10" s="24" t="str">
        <x:v>Kiribati (Gilbert Islands)</x:v>
      </x:c>
      <x:c r="C10" s="24" t="str">
        <x:v>EEZ</x:v>
      </x:c>
      <x:c r="D10" s="30" t="n">
        <x:v>2019</x:v>
      </x:c>
      <x:c r="E10" s="24" t="str">
        <x:v>Carangidae</x:v>
      </x:c>
      <x:c r="F10" s="24" t="str">
        <x:v>Jacks, pompanos</x:v>
      </x:c>
      <x:c r="G10" s="24" t="str">
        <x:v>Medium pelagics (30 - 89 cm)</x:v>
      </x:c>
      <x:c r="H10" s="24" t="str">
        <x:v>Perch-likes</x:v>
      </x:c>
      <x:c r="I10" s="31" t="n">
        <x:v>2471.5178068842</x:v>
      </x:c>
      <x:c r="J10" s="31" t="n">
        <x:v>393.0013914879</x:v>
      </x:c>
      <x:c r="K10" s="31" t="n">
        <x:v>2078.5164153963</x:v>
      </x:c>
      <x:c r="L10" s="31" t="n">
        <x:v>262.3551970627</x:v>
      </x:c>
      <x:c r="M10" s="31" t="n">
        <x:v>2209.1626098215</x:v>
      </x:c>
      <x:c r="N10" s="24" t="str">
        <x:v>carangidae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Carangidae</x:v>
      </x:c>
      <x:c r="T10" s="32" t="n">
        <x:f>IF(O10="","",(1/'Metadata'!$B$5)^(O10-1))</x:f>
        <x:v>1122.018454301963</x:v>
      </x:c>
      <x:c r="U10" s="31" t="n">
        <x:f>IF(T10="","",I10*T10)</x:f>
        <x:v>2773088.5894599874</x:v>
      </x:c>
    </x:row>
    <x:row r="11" ht="18" customHeight="1">
      <x:c r="A11" s="24" t="str">
        <x:v>EEZ_941</x:v>
      </x:c>
      <x:c r="B11" s="24" t="str">
        <x:v>Kiribati (Gilbert Islands)</x:v>
      </x:c>
      <x:c r="C11" s="24" t="str">
        <x:v>EEZ</x:v>
      </x:c>
      <x:c r="D11" s="30" t="n">
        <x:v>2019</x:v>
      </x:c>
      <x:c r="E11" s="24" t="str">
        <x:v>Thunnus orientalis</x:v>
      </x:c>
      <x:c r="F11" s="24" t="str">
        <x:v>Pacific bluefin tuna</x:v>
      </x:c>
      <x:c r="G11" s="24" t="str">
        <x:v>Large pelagics (&gt;=90 cm)</x:v>
      </x:c>
      <x:c r="H11" s="24" t="str">
        <x:v>Tuna &amp; billfishes</x:v>
      </x:c>
      <x:c r="I11" s="31" t="n">
        <x:v>2383.3537660536</x:v>
      </x:c>
      <x:c r="J11" s="31" t="n">
        <x:v>2381.3570194823</x:v>
      </x:c>
      <x:c r="K11" s="31" t="n">
        <x:v>1.9967465712999999</x:v>
      </x:c>
      <x:c r="L11" s="31" t="n">
        <x:v>2381.3570194823</x:v>
      </x:c>
      <x:c r="M11" s="31" t="n">
        <x:v>1.9967465712999999</x:v>
      </x:c>
      <x:c r="N11" s="24" t="str">
        <x:v>thunnus orientalis</x:v>
      </x:c>
      <x:c r="O11" s="32" t="n">
        <x:v>4.05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Thunnus orientalis</x:v>
      </x:c>
      <x:c r="T11" s="32" t="n">
        <x:f>IF(O11="","",(1/'Metadata'!$B$5)^(O11-1))</x:f>
        <x:v>1122.018454301963</x:v>
      </x:c>
      <x:c r="U11" s="31" t="n">
        <x:f>IF(T11="","",I11*T11)</x:f>
        <x:v>2674166.908642222</x:v>
      </x:c>
    </x:row>
    <x:row r="12" ht="18" customHeight="1">
      <x:c r="A12" s="24" t="str">
        <x:v>EEZ_941</x:v>
      </x:c>
      <x:c r="B12" s="24" t="str">
        <x:v>Kiribati (Gilbert Islands)</x:v>
      </x:c>
      <x:c r="C12" s="24" t="str">
        <x:v>EEZ</x:v>
      </x:c>
      <x:c r="D12" s="30" t="n">
        <x:v>2019</x:v>
      </x:c>
      <x:c r="E12" s="24" t="str">
        <x:v>Istiophoridae</x:v>
      </x:c>
      <x:c r="F12" s="24" t="str">
        <x:v>Billfishes</x:v>
      </x:c>
      <x:c r="G12" s="24" t="str">
        <x:v>Large pelagics (&gt;=90 cm)</x:v>
      </x:c>
      <x:c r="H12" s="24" t="str">
        <x:v>Tuna &amp; billfishes</x:v>
      </x:c>
      <x:c r="I12" s="31" t="n">
        <x:v>1195.6656404066</x:v>
      </x:c>
      <x:c r="J12" s="31" t="n">
        <x:v>0</x:v>
      </x:c>
      <x:c r="K12" s="31" t="n">
        <x:v>1195.6656404066</x:v>
      </x:c>
      <x:c r="L12" s="31" t="n">
        <x:v>0</x:v>
      </x:c>
      <x:c r="M12" s="31" t="n">
        <x:v>1195.6656404066</x:v>
      </x:c>
      <x:c r="N12" s="24" t="str">
        <x:v>istiophoridae</x:v>
      </x:c>
      <x:c r="O12" s="32" t="n">
        <x:v>4.48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Istiophoridae</x:v>
      </x:c>
      <x:c r="T12" s="32" t="n">
        <x:f>IF(O12="","",(1/'Metadata'!$B$5)^(O12-1))</x:f>
        <x:v>3019.951720402019</x:v>
      </x:c>
      <x:c r="U12" s="31" t="n">
        <x:f>IF(T12="","",I12*T12)</x:f>
        <x:v>3610852.5077714934</x:v>
      </x:c>
    </x:row>
    <x:row r="13" ht="18" customHeight="1">
      <x:c r="A13" s="24" t="str">
        <x:v>EEZ_941</x:v>
      </x:c>
      <x:c r="B13" s="24" t="str">
        <x:v>Kiribati (Gilbert Islands)</x:v>
      </x:c>
      <x:c r="C13" s="24" t="str">
        <x:v>EEZ</x:v>
      </x:c>
      <x:c r="D13" s="30" t="n">
        <x:v>2019</x:v>
      </x:c>
      <x:c r="E13" s="24" t="str">
        <x:v>Lutjanidae</x:v>
      </x:c>
      <x:c r="F13" s="24" t="str">
        <x:v>Snappers</x:v>
      </x:c>
      <x:c r="G13" s="24" t="str">
        <x:v>Medium reef assoc. fish (30 - 89 cm)</x:v>
      </x:c>
      <x:c r="H13" s="24" t="str">
        <x:v>Perch-likes</x:v>
      </x:c>
      <x:c r="I13" s="31" t="n">
        <x:v>1057.3552894198</x:v>
      </x:c>
      <x:c r="J13" s="31" t="n">
        <x:v>1057.3552894198</x:v>
      </x:c>
      <x:c r="K13" s="31" t="n">
        <x:v>0</x:v>
      </x:c>
      <x:c r="L13" s="31" t="n">
        <x:v>725.8285749138</x:v>
      </x:c>
      <x:c r="M13" s="31" t="n">
        <x:v>331.526714506</x:v>
      </x:c>
      <x:c r="N13" s="24" t="str">
        <x:v>lutjanidae</x:v>
      </x:c>
      <x:c r="O13" s="32" t="n">
        <x:v>4.02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Lutjanidae</x:v>
      </x:c>
      <x:c r="T13" s="32" t="n">
        <x:f>IF(O13="","",(1/'Metadata'!$B$5)^(O13-1))</x:f>
        <x:v>1047.1285480508984</x:v>
      </x:c>
      <x:c r="U13" s="31" t="n">
        <x:f>IF(T13="","",I13*T13)</x:f>
        <x:v>1107186.9089840928</x:v>
      </x:c>
    </x:row>
    <x:row r="14" ht="18" customHeight="1">
      <x:c r="A14" s="24" t="str">
        <x:v>EEZ_941</x:v>
      </x:c>
      <x:c r="B14" s="24" t="str">
        <x:v>Kiribati (Gilbert Islands)</x:v>
      </x:c>
      <x:c r="C14" s="24" t="str">
        <x:v>EEZ</x:v>
      </x:c>
      <x:c r="D14" s="30" t="n">
        <x:v>2019</x:v>
      </x:c>
      <x:c r="E14" s="24" t="str">
        <x:v>Thunnus alalunga</x:v>
      </x:c>
      <x:c r="F14" s="24" t="str">
        <x:v>Albacore</x:v>
      </x:c>
      <x:c r="G14" s="24" t="str">
        <x:v>Large pelagics (&gt;=90 cm)</x:v>
      </x:c>
      <x:c r="H14" s="24" t="str">
        <x:v>Tuna &amp; billfishes</x:v>
      </x:c>
      <x:c r="I14" s="31" t="n">
        <x:v>979.5102009847001</x:v>
      </x:c>
      <x:c r="J14" s="31" t="n">
        <x:v>979.4503660558</x:v>
      </x:c>
      <x:c r="K14" s="31" t="n">
        <x:v>0.0598349289</x:v>
      </x:c>
      <x:c r="L14" s="31" t="n">
        <x:v>979.4503660558</x:v>
      </x:c>
      <x:c r="M14" s="31" t="n">
        <x:v>0.0598349289</x:v>
      </x:c>
      <x:c r="N14" s="24" t="str">
        <x:v>thunnus alalunga</x:v>
      </x:c>
      <x:c r="O14" s="32" t="n">
        <x:v>4.3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alalunga</x:v>
      </x:c>
      <x:c r="T14" s="32" t="n">
        <x:f>IF(O14="","",(1/'Metadata'!$B$5)^(O14-1))</x:f>
        <x:v>1995.2623149688789</x:v>
      </x:c>
      <x:c r="U14" s="31" t="n">
        <x:f>IF(T14="","",I14*T14)</x:f>
        <x:v>1954379.7911523646</x:v>
      </x:c>
    </x:row>
    <x:row r="15" ht="18" customHeight="1">
      <x:c r="A15" s="24" t="str">
        <x:v>EEZ_941</x:v>
      </x:c>
      <x:c r="B15" s="24" t="str">
        <x:v>Kiribati (Gilbert Islands)</x:v>
      </x:c>
      <x:c r="C15" s="24" t="str">
        <x:v>EEZ</x:v>
      </x:c>
      <x:c r="D15" s="30" t="n">
        <x:v>2019</x:v>
      </x:c>
      <x:c r="E15" s="24" t="str">
        <x:v>Marine pelagic fishes not identified</x:v>
      </x:c>
      <x:c r="F15" s="24" t="str">
        <x:v>Pelagic fishes</x:v>
      </x:c>
      <x:c r="G15" s="24" t="str">
        <x:v>Medium pelagics (30 - 89 cm)</x:v>
      </x:c>
      <x:c r="H15" s="24" t="str">
        <x:v>Other fishes &amp; inverts</x:v>
      </x:c>
      <x:c r="I15" s="31" t="n">
        <x:v>787.2493325096</x:v>
      </x:c>
      <x:c r="J15" s="31" t="n">
        <x:v>720.9245003468</x:v>
      </x:c>
      <x:c r="K15" s="31" t="n">
        <x:v>66.3248321628</x:v>
      </x:c>
      <x:c r="L15" s="31" t="n">
        <x:v>720.9245003468</x:v>
      </x:c>
      <x:c r="M15" s="31" t="n">
        <x:v>66.3248321628</x:v>
      </x:c>
      <x:c r="N15" s="24" t="str">
        <x:v>marine pelagic fishes not identified</x:v>
      </x:c>
      <x:c r="O15" s="32" t="n">
        <x:v>3.35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pelagic fishes not identified</x:v>
      </x:c>
      <x:c r="T15" s="32" t="n">
        <x:f>IF(O15="","",(1/'Metadata'!$B$5)^(O15-1))</x:f>
        <x:v>223.872113856834</x:v>
      </x:c>
      <x:c r="U15" s="31" t="n">
        <x:f>IF(T15="","",I15*T15)</x:f>
        <x:v>176243.17220130574</x:v>
      </x:c>
    </x:row>
    <x:row r="16" ht="18" customHeight="1">
      <x:c r="A16" s="24" t="str">
        <x:v>EEZ_941</x:v>
      </x:c>
      <x:c r="B16" s="24" t="str">
        <x:v>Kiribati (Gilbert Islands)</x:v>
      </x:c>
      <x:c r="C16" s="24" t="str">
        <x:v>EEZ</x:v>
      </x:c>
      <x:c r="D16" s="30" t="n">
        <x:v>2019</x:v>
      </x:c>
      <x:c r="E16" s="24" t="str">
        <x:v>Lethrinidae</x:v>
      </x:c>
      <x:c r="F16" s="24" t="str">
        <x:v>Emperors, scavengers</x:v>
      </x:c>
      <x:c r="G16" s="24" t="str">
        <x:v>Medium reef assoc. fish (30 - 89 cm)</x:v>
      </x:c>
      <x:c r="H16" s="24" t="str">
        <x:v>Perch-likes</x:v>
      </x:c>
      <x:c r="I16" s="31" t="n">
        <x:v>757.6524755647</x:v>
      </x:c>
      <x:c r="J16" s="31" t="n">
        <x:v>757.6524755647</x:v>
      </x:c>
      <x:c r="K16" s="31" t="n">
        <x:v>0</x:v>
      </x:c>
      <x:c r="L16" s="31" t="n">
        <x:v>575.2187190673</x:v>
      </x:c>
      <x:c r="M16" s="31" t="n">
        <x:v>182.4337564974</x:v>
      </x:c>
      <x:c r="N16" s="24" t="str">
        <x:v>lethrinidae</x:v>
      </x:c>
      <x:c r="O16" s="32" t="n">
        <x:v>3.59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Lethrinidae</x:v>
      </x:c>
      <x:c r="T16" s="32" t="n">
        <x:f>IF(O16="","",(1/'Metadata'!$B$5)^(O16-1))</x:f>
        <x:v>389.04514499428046</x:v>
      </x:c>
      <x:c r="U16" s="31" t="n">
        <x:f>IF(T16="","",I16*T16)</x:f>
        <x:v>294761.01721134427</x:v>
      </x:c>
    </x:row>
    <x:row r="17" ht="18" customHeight="1">
      <x:c r="A17" s="24" t="str">
        <x:v>EEZ_941</x:v>
      </x:c>
      <x:c r="B17" s="24" t="str">
        <x:v>Kiribati (Gilbert Islands)</x:v>
      </x:c>
      <x:c r="C17" s="24" t="str">
        <x:v>EEZ</x:v>
      </x:c>
      <x:c r="D17" s="30" t="n">
        <x:v>2019</x:v>
      </x:c>
      <x:c r="E17" s="24" t="str">
        <x:v>Mollusca</x:v>
      </x:c>
      <x:c r="F17" s="24" t="str">
        <x:v>Clams, seasnails, squids, octopuses</x:v>
      </x:c>
      <x:c r="G17" s="24" t="str">
        <x:v>Other demersal invertebrates</x:v>
      </x:c>
      <x:c r="H17" s="24" t="str">
        <x:v>Molluscs</x:v>
      </x:c>
      <x:c r="I17" s="31" t="n">
        <x:v>605.291710545</x:v>
      </x:c>
      <x:c r="J17" s="31" t="n">
        <x:v>605.291710545</x:v>
      </x:c>
      <x:c r="K17" s="31" t="n">
        <x:v>0</x:v>
      </x:c>
      <x:c r="L17" s="31" t="n">
        <x:v>91.0817782477</x:v>
      </x:c>
      <x:c r="M17" s="31" t="n">
        <x:v>514.2099322972999</x:v>
      </x:c>
      <x:c r="N17" s="24" t="str">
        <x:v>mollusca</x:v>
      </x:c>
      <x:c r="O17" s="32" t="n">
        <x:v>2.1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Mollusca</x:v>
      </x:c>
      <x:c r="T17" s="32" t="n">
        <x:f>IF(O17="","",(1/'Metadata'!$B$5)^(O17-1))</x:f>
        <x:v>12.589254117941675</x:v>
      </x:c>
      <x:c r="U17" s="31" t="n">
        <x:f>IF(T17="","",I17*T17)</x:f>
        <x:v>7620.171159534601</x:v>
      </x:c>
    </x:row>
    <x:row r="18" ht="18" customHeight="1">
      <x:c r="A18" s="24" t="str">
        <x:v>EEZ_941</x:v>
      </x:c>
      <x:c r="B18" s="24" t="str">
        <x:v>Kiribati (Gilbert Islands)</x:v>
      </x:c>
      <x:c r="C18" s="24" t="str">
        <x:v>EEZ</x:v>
      </x:c>
      <x:c r="D18" s="30" t="n">
        <x:v>2019</x:v>
      </x:c>
      <x:c r="E18" s="24" t="str">
        <x:v>Exocoetidae</x:v>
      </x:c>
      <x:c r="F18" s="24" t="str">
        <x:v>Flyingfishes</x:v>
      </x:c>
      <x:c r="G18" s="24" t="str">
        <x:v>Small pelagics (&lt;30 cm)</x:v>
      </x:c>
      <x:c r="H18" s="24" t="str">
        <x:v>Other fishes &amp; inverts</x:v>
      </x:c>
      <x:c r="I18" s="31" t="n">
        <x:v>604.8550942732</x:v>
      </x:c>
      <x:c r="J18" s="31" t="n">
        <x:v>604.8550942732</x:v>
      </x:c>
      <x:c r="K18" s="31" t="n">
        <x:v>0</x:v>
      </x:c>
      <x:c r="L18" s="31" t="n">
        <x:v>468.8066485026</x:v>
      </x:c>
      <x:c r="M18" s="31" t="n">
        <x:v>136.0484457706</x:v>
      </x:c>
      <x:c r="N18" s="24" t="str">
        <x:v>exocoetidae</x:v>
      </x:c>
      <x:c r="O18" s="32" t="n">
        <x:v>3.57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Exocoetidae</x:v>
      </x:c>
      <x:c r="T18" s="32" t="n">
        <x:f>IF(O18="","",(1/'Metadata'!$B$5)^(O18-1))</x:f>
        <x:v>371.5352290971724</x:v>
      </x:c>
      <x:c r="U18" s="31" t="n">
        <x:f>IF(T18="","",I18*T18)</x:f>
        <x:v>224724.9760213852</x:v>
      </x:c>
    </x:row>
    <x:row r="19" ht="18" customHeight="1">
      <x:c r="A19" s="24" t="str">
        <x:v>EEZ_941</x:v>
      </x:c>
      <x:c r="B19" s="24" t="str">
        <x:v>Kiribati (Gilbert Islands)</x:v>
      </x:c>
      <x:c r="C19" s="24" t="str">
        <x:v>EEZ</x:v>
      </x:c>
      <x:c r="D19" s="30" t="n">
        <x:v>2019</x:v>
      </x:c>
      <x:c r="E19" s="24" t="str">
        <x:v>Alopias</x:v>
      </x:c>
      <x:c r="F19" s="24" t="str">
        <x:v>Thresher sharks</x:v>
      </x:c>
      <x:c r="G19" s="24" t="str">
        <x:v>Large sharks (&gt;=90 cm)</x:v>
      </x:c>
      <x:c r="H19" s="24" t="str">
        <x:v>Sharks &amp; rays</x:v>
      </x:c>
      <x:c r="I19" s="31" t="n">
        <x:v>324.7278138418</x:v>
      </x:c>
      <x:c r="J19" s="31" t="n">
        <x:v>310.9664107941</x:v>
      </x:c>
      <x:c r="K19" s="31" t="n">
        <x:v>13.7614030477</x:v>
      </x:c>
      <x:c r="L19" s="31" t="n">
        <x:v>310.9664107941</x:v>
      </x:c>
      <x:c r="M19" s="31" t="n">
        <x:v>13.7614030477</x:v>
      </x:c>
      <x:c r="N19" s="24" t="str">
        <x:v>alopias</x:v>
      </x:c>
      <x:c r="O19" s="32" t="n">
        <x:v>4.5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Alopias</x:v>
      </x:c>
      <x:c r="T19" s="32" t="n">
        <x:f>IF(O19="","",(1/'Metadata'!$B$5)^(O19-1))</x:f>
        <x:v>3162.2776601683795</x:v>
      </x:c>
      <x:c r="U19" s="31" t="n">
        <x:f>IF(T19="","",I19*T19)</x:f>
        <x:v>1026879.5113472404</x:v>
      </x:c>
    </x:row>
    <x:row r="20" ht="18" customHeight="1">
      <x:c r="A20" s="24" t="str">
        <x:v>EEZ_941</x:v>
      </x:c>
      <x:c r="B20" s="24" t="str">
        <x:v>Kiribati (Gilbert Islands)</x:v>
      </x:c>
      <x:c r="C20" s="24" t="str">
        <x:v>EEZ</x:v>
      </x:c>
      <x:c r="D20" s="30" t="n">
        <x:v>2019</x:v>
      </x:c>
      <x:c r="E20" s="24" t="str">
        <x:v>Xiphias gladius</x:v>
      </x:c>
      <x:c r="F20" s="24" t="str">
        <x:v>Swordfish</x:v>
      </x:c>
      <x:c r="G20" s="24" t="str">
        <x:v>Large pelagics (&gt;=90 cm)</x:v>
      </x:c>
      <x:c r="H20" s="24" t="str">
        <x:v>Tuna &amp; billfishes</x:v>
      </x:c>
      <x:c r="I20" s="31" t="n">
        <x:v>321.2211673636</x:v>
      </x:c>
      <x:c r="J20" s="31" t="n">
        <x:v>130.7429158521</x:v>
      </x:c>
      <x:c r="K20" s="31" t="n">
        <x:v>190.4782515115</x:v>
      </x:c>
      <x:c r="L20" s="31" t="n">
        <x:v>130.7429158521</x:v>
      </x:c>
      <x:c r="M20" s="31" t="n">
        <x:v>190.4782515115</x:v>
      </x:c>
      <x:c r="N20" s="24" t="str">
        <x:v>xiphias gladius</x:v>
      </x:c>
      <x:c r="O20" s="32" t="n">
        <x:v>4.53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Xiphias gladius</x:v>
      </x:c>
      <x:c r="T20" s="32" t="n">
        <x:f>IF(O20="","",(1/'Metadata'!$B$5)^(O20-1))</x:f>
        <x:v>3388.4415613920273</x:v>
      </x:c>
      <x:c r="U20" s="31" t="n">
        <x:f>IF(T20="","",I20*T20)</x:f>
        <x:v>1088439.1538936864</x:v>
      </x:c>
    </x:row>
    <x:row r="21" ht="18" customHeight="1">
      <x:c r="A21" s="24" t="str">
        <x:v>EEZ_941</x:v>
      </x:c>
      <x:c r="B21" s="24" t="str">
        <x:v>Kiribati (Gilbert Islands)</x:v>
      </x:c>
      <x:c r="C21" s="24" t="str">
        <x:v>EEZ</x:v>
      </x:c>
      <x:c r="D21" s="30" t="n">
        <x:v>2019</x:v>
      </x:c>
      <x:c r="E21" s="24" t="str">
        <x:v>Mugilidae</x:v>
      </x:c>
      <x:c r="F21" s="24" t="str">
        <x:v>Mullets, grey mullets</x:v>
      </x:c>
      <x:c r="G21" s="24" t="str">
        <x:v>Medium reef assoc. fish (30 - 89 cm)</x:v>
      </x:c>
      <x:c r="H21" s="24" t="str">
        <x:v>Perch-likes</x:v>
      </x:c>
      <x:c r="I21" s="31" t="n">
        <x:v>313.6645642854</x:v>
      </x:c>
      <x:c r="J21" s="31" t="n">
        <x:v>313.6645642854</x:v>
      </x:c>
      <x:c r="K21" s="31" t="n">
        <x:v>0</x:v>
      </x:c>
      <x:c r="L21" s="31" t="n">
        <x:v>130.3416339571</x:v>
      </x:c>
      <x:c r="M21" s="31" t="n">
        <x:v>183.3229303283</x:v>
      </x:c>
      <x:c r="N21" s="24" t="str">
        <x:v>mugilidae</x:v>
      </x:c>
      <x:c r="O21" s="32" t="n">
        <x:v>2.53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Mugilidae</x:v>
      </x:c>
      <x:c r="T21" s="32" t="n">
        <x:f>IF(O21="","",(1/'Metadata'!$B$5)^(O21-1))</x:f>
        <x:v>33.88441561392024</x:v>
      </x:c>
      <x:c r="U21" s="31" t="n">
        <x:f>IF(T21="","",I21*T21)</x:f>
        <x:v>10628.340459605697</x:v>
      </x:c>
    </x:row>
    <x:row r="22" ht="18" customHeight="1">
      <x:c r="A22" s="24" t="str">
        <x:v>EEZ_941</x:v>
      </x:c>
      <x:c r="B22" s="24" t="str">
        <x:v>Kiribati (Gilbert Islands)</x:v>
      </x:c>
      <x:c r="C22" s="24" t="str">
        <x:v>EEZ</x:v>
      </x:c>
      <x:c r="D22" s="30" t="n">
        <x:v>2019</x:v>
      </x:c>
      <x:c r="E22" s="24" t="str">
        <x:v>Gerreidae</x:v>
      </x:c>
      <x:c r="F22" s="24" t="str">
        <x:v>Mojarras, silverbellies</x:v>
      </x:c>
      <x:c r="G22" s="24" t="str">
        <x:v>Small benthopelagics (&lt;30 cm)</x:v>
      </x:c>
      <x:c r="H22" s="24" t="str">
        <x:v>Perch-likes</x:v>
      </x:c>
      <x:c r="I22" s="31" t="n">
        <x:v>274.280487973</x:v>
      </x:c>
      <x:c r="J22" s="31" t="n">
        <x:v>274.280487973</x:v>
      </x:c>
      <x:c r="K22" s="31" t="n">
        <x:v>0</x:v>
      </x:c>
      <x:c r="L22" s="31" t="n">
        <x:v>129.9513319703</x:v>
      </x:c>
      <x:c r="M22" s="31" t="n">
        <x:v>144.3291560027</x:v>
      </x:c>
      <x:c r="N22" s="24" t="str">
        <x:v>gerreidae</x:v>
      </x:c>
      <x:c r="O22" s="32" t="n">
        <x:v>3.03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Gerreidae</x:v>
      </x:c>
      <x:c r="T22" s="32" t="n">
        <x:f>IF(O22="","",(1/'Metadata'!$B$5)^(O22-1))</x:f>
        <x:v>107.1519305237606</x:v>
      </x:c>
      <x:c r="U22" s="31" t="n">
        <x:f>IF(T22="","",I22*T22)</x:f>
        <x:v>29389.683791306048</x:v>
      </x:c>
    </x:row>
    <x:row r="23" ht="18" customHeight="1">
      <x:c r="A23" s="24" t="str">
        <x:v>EEZ_941</x:v>
      </x:c>
      <x:c r="B23" s="24" t="str">
        <x:v>Kiribati (Gilbert Islands)</x:v>
      </x:c>
      <x:c r="C23" s="24" t="str">
        <x:v>EEZ</x:v>
      </x:c>
      <x:c r="D23" s="30" t="n">
        <x:v>2019</x:v>
      </x:c>
      <x:c r="E23" s="24" t="str">
        <x:v>Serranidae</x:v>
      </x:c>
      <x:c r="F23" s="24" t="str">
        <x:v>Basses, groupers, hinds</x:v>
      </x:c>
      <x:c r="G23" s="24" t="str">
        <x:v>Medium reef assoc. fish (30 - 89 cm)</x:v>
      </x:c>
      <x:c r="H23" s="24" t="str">
        <x:v>Perch-likes</x:v>
      </x:c>
      <x:c r="I23" s="31" t="n">
        <x:v>218.044343004</x:v>
      </x:c>
      <x:c r="J23" s="31" t="n">
        <x:v>218.044343004</x:v>
      </x:c>
      <x:c r="K23" s="31" t="n">
        <x:v>0</x:v>
      </x:c>
      <x:c r="L23" s="31" t="n">
        <x:v>137.1784866598</x:v>
      </x:c>
      <x:c r="M23" s="31" t="n">
        <x:v>80.8658563442</x:v>
      </x:c>
      <x:c r="N23" s="24" t="str">
        <x:v>serranidae</x:v>
      </x:c>
      <x:c r="O23" s="32" t="n">
        <x:v>3.98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Serranidae</x:v>
      </x:c>
      <x:c r="T23" s="32" t="n">
        <x:f>IF(O23="","",(1/'Metadata'!$B$5)^(O23-1))</x:f>
        <x:v>954.992586021436</x:v>
      </x:c>
      <x:c r="U23" s="31" t="n">
        <x:f>IF(T23="","",I23*T23)</x:f>
        <x:v>208230.73099273496</x:v>
      </x:c>
    </x:row>
    <x:row r="24" ht="18" customHeight="1">
      <x:c r="A24" s="24" t="str">
        <x:v>EEZ_941</x:v>
      </x:c>
      <x:c r="B24" s="24" t="str">
        <x:v>Kiribati (Gilbert Islands)</x:v>
      </x:c>
      <x:c r="C24" s="24" t="str">
        <x:v>EEZ</x:v>
      </x:c>
      <x:c r="D24" s="30" t="n">
        <x:v>2019</x:v>
      </x:c>
      <x:c r="E24" s="24" t="str">
        <x:v>Isurus</x:v>
      </x:c>
      <x:c r="F24" s="24" t="str">
        <x:v>Mako sharks</x:v>
      </x:c>
      <x:c r="G24" s="24" t="str">
        <x:v>Large sharks (&gt;=90 cm)</x:v>
      </x:c>
      <x:c r="H24" s="24" t="str">
        <x:v>Sharks &amp; rays</x:v>
      </x:c>
      <x:c r="I24" s="31" t="n">
        <x:v>207.7803438075</x:v>
      </x:c>
      <x:c r="J24" s="31" t="n">
        <x:v>65.8886328432</x:v>
      </x:c>
      <x:c r="K24" s="31" t="n">
        <x:v>141.8917109643</x:v>
      </x:c>
      <x:c r="L24" s="31" t="n">
        <x:v>65.8886328432</x:v>
      </x:c>
      <x:c r="M24" s="31" t="n">
        <x:v>141.8917109643</x:v>
      </x:c>
      <x:c r="N24" s="24" t="str">
        <x:v>isurus</x:v>
      </x:c>
      <x:c r="O24" s="32" t="n">
        <x:v>4.5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Isurus</x:v>
      </x:c>
      <x:c r="T24" s="32" t="n">
        <x:f>IF(O24="","",(1/'Metadata'!$B$5)^(O24-1))</x:f>
        <x:v>3162.2776601683795</x:v>
      </x:c>
      <x:c r="U24" s="31" t="n">
        <x:f>IF(T24="","",I24*T24)</x:f>
        <x:v>657059.1394445626</x:v>
      </x:c>
    </x:row>
    <x:row r="25" ht="18" customHeight="1">
      <x:c r="A25" s="24" t="str">
        <x:v>EEZ_941</x:v>
      </x:c>
      <x:c r="B25" s="24" t="str">
        <x:v>Kiribati (Gilbert Islands)</x:v>
      </x:c>
      <x:c r="C25" s="24" t="str">
        <x:v>EEZ</x:v>
      </x:c>
      <x:c r="D25" s="30" t="n">
        <x:v>2019</x:v>
      </x:c>
      <x:c r="E25" s="24" t="str">
        <x:v>Mullidae</x:v>
      </x:c>
      <x:c r="F25" s="24" t="str">
        <x:v>Goatfishes</x:v>
      </x:c>
      <x:c r="G25" s="24" t="str">
        <x:v>Medium reef assoc. fish (30 - 89 cm)</x:v>
      </x:c>
      <x:c r="H25" s="24" t="str">
        <x:v>Perch-likes</x:v>
      </x:c>
      <x:c r="I25" s="31" t="n">
        <x:v>160.1445623918</x:v>
      </x:c>
      <x:c r="J25" s="31" t="n">
        <x:v>160.1445623918</x:v>
      </x:c>
      <x:c r="K25" s="31" t="n">
        <x:v>0</x:v>
      </x:c>
      <x:c r="L25" s="31" t="n">
        <x:v>58.9839333154</x:v>
      </x:c>
      <x:c r="M25" s="31" t="n">
        <x:v>101.1606290764</x:v>
      </x:c>
      <x:c r="N25" s="24" t="str">
        <x:v>mullidae</x:v>
      </x:c>
      <x:c r="O25" s="32" t="n">
        <x:v>3.46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Mullidae</x:v>
      </x:c>
      <x:c r="T25" s="32" t="n">
        <x:f>IF(O25="","",(1/'Metadata'!$B$5)^(O25-1))</x:f>
        <x:v>288.40315031266056</x:v>
      </x:c>
      <x:c r="U25" s="31" t="n">
        <x:f>IF(T25="","",I25*T25)</x:f>
        <x:v>46186.19629923754</x:v>
      </x:c>
    </x:row>
    <x:row r="26" ht="18" customHeight="1">
      <x:c r="A26" s="24" t="str">
        <x:v>EEZ_941</x:v>
      </x:c>
      <x:c r="B26" s="24" t="str">
        <x:v>Kiribati (Gilbert Islands)</x:v>
      </x:c>
      <x:c r="C26" s="24" t="str">
        <x:v>EEZ</x:v>
      </x:c>
      <x:c r="D26" s="30" t="n">
        <x:v>2019</x:v>
      </x:c>
      <x:c r="E26" s="24" t="str">
        <x:v>Istiompax indica</x:v>
      </x:c>
      <x:c r="F26" s="24" t="str">
        <x:v>Black marlin</x:v>
      </x:c>
      <x:c r="G26" s="24" t="str">
        <x:v>Large pelagics (&gt;=90 cm)</x:v>
      </x:c>
      <x:c r="H26" s="24" t="str">
        <x:v>Tuna &amp; billfishes</x:v>
      </x:c>
      <x:c r="I26" s="31" t="n">
        <x:v>144.671015266</x:v>
      </x:c>
      <x:c r="J26" s="31" t="n">
        <x:v>144.671015266</x:v>
      </x:c>
      <x:c r="K26" s="31" t="n">
        <x:v>0</x:v>
      </x:c>
      <x:c r="L26" s="31" t="n">
        <x:v>144.671015266</x:v>
      </x:c>
      <x:c r="M26" s="31" t="n">
        <x:v>0</x:v>
      </x:c>
      <x:c r="N26" s="24" t="str">
        <x:v>istiompax indica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Istiompax indica</x:v>
      </x:c>
      <x:c r="T26" s="32" t="n">
        <x:f>IF(O26="","",(1/'Metadata'!$B$5)^(O26-1))</x:f>
        <x:v>3162.2776601683795</x:v>
      </x:c>
      <x:c r="U26" s="31" t="n">
        <x:f>IF(T26="","",I26*T26)</x:f>
        <x:v>457489.9196495504</x:v>
      </x:c>
    </x:row>
    <x:row r="27" ht="18" customHeight="1">
      <x:c r="A27" s="24" t="str">
        <x:v>EEZ_941</x:v>
      </x:c>
      <x:c r="B27" s="24" t="str">
        <x:v>Kiribati (Gilbert Islands)</x:v>
      </x:c>
      <x:c r="C27" s="24" t="str">
        <x:v>EEZ</x:v>
      </x:c>
      <x:c r="D27" s="30" t="n">
        <x:v>2019</x:v>
      </x:c>
      <x:c r="E27" s="24" t="str">
        <x:v>Carcharhinus falciformis</x:v>
      </x:c>
      <x:c r="F27" s="24" t="str">
        <x:v>Silky shark</x:v>
      </x:c>
      <x:c r="G27" s="24" t="str">
        <x:v>Large sharks (&gt;=90 cm)</x:v>
      </x:c>
      <x:c r="H27" s="24" t="str">
        <x:v>Sharks &amp; rays</x:v>
      </x:c>
      <x:c r="I27" s="31" t="n">
        <x:v>141.0387436318</x:v>
      </x:c>
      <x:c r="J27" s="31" t="n">
        <x:v>2.8597537425999997</x:v>
      </x:c>
      <x:c r="K27" s="31" t="n">
        <x:v>138.1789898892</x:v>
      </x:c>
      <x:c r="L27" s="31" t="n">
        <x:v>2.8597537425999997</x:v>
      </x:c>
      <x:c r="M27" s="31" t="n">
        <x:v>138.1789898892</x:v>
      </x:c>
      <x:c r="N27" s="24" t="str">
        <x:v>carcharhinus falciformis</x:v>
      </x:c>
      <x:c r="O27" s="32" t="n">
        <x:v>4.51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Carcharhinus falciformis</x:v>
      </x:c>
      <x:c r="T27" s="32" t="n">
        <x:f>IF(O27="","",(1/'Metadata'!$B$5)^(O27-1))</x:f>
        <x:v>3235.936569296281</x:v>
      </x:c>
      <x:c r="U27" s="31" t="n">
        <x:f>IF(T27="","",I27*T27)</x:f>
        <x:v>456392.4282057446</x:v>
      </x:c>
    </x:row>
    <x:row r="28" ht="18" customHeight="1">
      <x:c r="A28" s="24" t="str">
        <x:v>EEZ_941</x:v>
      </x:c>
      <x:c r="B28" s="24" t="str">
        <x:v>Kiribati (Gilbert Islands)</x:v>
      </x:c>
      <x:c r="C28" s="24" t="str">
        <x:v>EEZ</x:v>
      </x:c>
      <x:c r="D28" s="30" t="n">
        <x:v>2019</x:v>
      </x:c>
      <x:c r="E28" s="24" t="str">
        <x:v>Miscellaneous marine crustaceans</x:v>
      </x:c>
      <x:c r="F28" s="24" t="str">
        <x:v>Marine crabs, shrimps, lobsters nei</x:v>
      </x:c>
      <x:c r="G28" s="24" t="str">
        <x:v>Shrimps</x:v>
      </x:c>
      <x:c r="H28" s="24" t="str">
        <x:v>Crustaceans</x:v>
      </x:c>
      <x:c r="I28" s="31" t="n">
        <x:v>82.6292002697</x:v>
      </x:c>
      <x:c r="J28" s="31" t="n">
        <x:v>82.6292002697</x:v>
      </x:c>
      <x:c r="K28" s="31" t="n">
        <x:v>0</x:v>
      </x:c>
      <x:c r="L28" s="31" t="n">
        <x:v>27.6061130633</x:v>
      </x:c>
      <x:c r="M28" s="31" t="n">
        <x:v>55.0230872064</x:v>
      </x:c>
      <x:c r="N28" s="24" t="str">
        <x:v>miscellaneous marine crustaceans</x:v>
      </x:c>
      <x:c r="O28" s="32" t="n">
        <x:v>2.7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Miscellaneous marine crustaceans</x:v>
      </x:c>
      <x:c r="T28" s="32" t="n">
        <x:f>IF(O28="","",(1/'Metadata'!$B$5)^(O28-1))</x:f>
        <x:v>50.11872336272725</x:v>
      </x:c>
      <x:c r="U28" s="31" t="n">
        <x:f>IF(T28="","",I28*T28)</x:f>
        <x:v>4141.270030000482</x:v>
      </x:c>
    </x:row>
    <x:row r="29" ht="18" customHeight="1">
      <x:c r="A29" s="24" t="str">
        <x:v>EEZ_941</x:v>
      </x:c>
      <x:c r="B29" s="24" t="str">
        <x:v>Kiribati (Gilbert Islands)</x:v>
      </x:c>
      <x:c r="C29" s="24" t="str">
        <x:v>EEZ</x:v>
      </x:c>
      <x:c r="D29" s="30" t="n">
        <x:v>2019</x:v>
      </x:c>
      <x:c r="E29" s="24" t="str">
        <x:v>Carcharhinus longimanus</x:v>
      </x:c>
      <x:c r="F29" s="24" t="str">
        <x:v>Oceanic whitetip shark</x:v>
      </x:c>
      <x:c r="G29" s="24" t="str">
        <x:v>Large sharks (&gt;=90 cm)</x:v>
      </x:c>
      <x:c r="H29" s="24" t="str">
        <x:v>Sharks &amp; rays</x:v>
      </x:c>
      <x:c r="I29" s="31" t="n">
        <x:v>63.8622757319</x:v>
      </x:c>
      <x:c r="J29" s="31" t="n">
        <x:v>7.9340145444</x:v>
      </x:c>
      <x:c r="K29" s="31" t="n">
        <x:v>55.9282611875</x:v>
      </x:c>
      <x:c r="L29" s="31" t="n">
        <x:v>7.9340145444</x:v>
      </x:c>
      <x:c r="M29" s="31" t="n">
        <x:v>55.9282611875</x:v>
      </x:c>
      <x:c r="N29" s="24" t="str">
        <x:v>carcharhinus longimanus</x:v>
      </x:c>
      <x:c r="O29" s="32" t="n">
        <x:v>4.16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Carcharhinus longimanus</x:v>
      </x:c>
      <x:c r="T29" s="32" t="n">
        <x:f>IF(O29="","",(1/'Metadata'!$B$5)^(O29-1))</x:f>
        <x:v>1445.439770745928</x:v>
      </x:c>
      <x:c r="U29" s="31" t="n">
        <x:f>IF(T29="","",I29*T29)</x:f>
        <x:v>92309.07319323077</x:v>
      </x:c>
    </x:row>
    <x:row r="30" ht="18" customHeight="1">
      <x:c r="A30" s="24" t="str">
        <x:v>EEZ_941</x:v>
      </x:c>
      <x:c r="B30" s="24" t="str">
        <x:v>Kiribati (Gilbert Islands)</x:v>
      </x:c>
      <x:c r="C30" s="24" t="str">
        <x:v>EEZ</x:v>
      </x:c>
      <x:c r="D30" s="30" t="n">
        <x:v>2019</x:v>
      </x:c>
      <x:c r="E30" s="24" t="str">
        <x:v>Acanthocybium solandri</x:v>
      </x:c>
      <x:c r="F30" s="24" t="str">
        <x:v>Wahoo</x:v>
      </x:c>
      <x:c r="G30" s="24" t="str">
        <x:v>Large pelagics (&gt;=90 cm)</x:v>
      </x:c>
      <x:c r="H30" s="24" t="str">
        <x:v>Perch-likes</x:v>
      </x:c>
      <x:c r="I30" s="31" t="n">
        <x:v>37.2493450183</x:v>
      </x:c>
      <x:c r="J30" s="31" t="n">
        <x:v>0</x:v>
      </x:c>
      <x:c r="K30" s="31" t="n">
        <x:v>37.2493450183</x:v>
      </x:c>
      <x:c r="L30" s="31" t="n">
        <x:v>0</x:v>
      </x:c>
      <x:c r="M30" s="31" t="n">
        <x:v>37.2493450183</x:v>
      </x:c>
      <x:c r="N30" s="24" t="str">
        <x:v>acanthocybium solandri</x:v>
      </x:c>
      <x:c r="O30" s="32" t="n">
        <x:v>4.26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Acanthocybium solandri</x:v>
      </x:c>
      <x:c r="T30" s="32" t="n">
        <x:f>IF(O30="","",(1/'Metadata'!$B$5)^(O30-1))</x:f>
        <x:v>1819.7008586099826</x:v>
      </x:c>
      <x:c r="U30" s="31" t="n">
        <x:f>IF(T30="","",I30*T30)</x:f>
        <x:v>67782.66511245999</x:v>
      </x:c>
    </x:row>
    <x:row r="31" ht="18" customHeight="1">
      <x:c r="A31" s="24" t="str">
        <x:v>EEZ_941</x:v>
      </x:c>
      <x:c r="B31" s="24" t="str">
        <x:v>Kiribati (Gilbert Islands)</x:v>
      </x:c>
      <x:c r="C31" s="24" t="str">
        <x:v>EEZ</x:v>
      </x:c>
      <x:c r="D31" s="30" t="n">
        <x:v>2019</x:v>
      </x:c>
      <x:c r="E31" s="24" t="str">
        <x:v>Kajikia audax</x:v>
      </x:c>
      <x:c r="F31" s="24" t="str">
        <x:v>Striped marlin</x:v>
      </x:c>
      <x:c r="G31" s="24" t="str">
        <x:v>Large pelagics (&gt;=90 cm)</x:v>
      </x:c>
      <x:c r="H31" s="24" t="str">
        <x:v>Tuna &amp; billfishes</x:v>
      </x:c>
      <x:c r="I31" s="31" t="n">
        <x:v>33.1785339255</x:v>
      </x:c>
      <x:c r="J31" s="31" t="n">
        <x:v>33.1785339255</x:v>
      </x:c>
      <x:c r="K31" s="31" t="n">
        <x:v>0</x:v>
      </x:c>
      <x:c r="L31" s="31" t="n">
        <x:v>33.1785339255</x:v>
      </x:c>
      <x:c r="M31" s="31" t="n">
        <x:v>0</x:v>
      </x:c>
      <x:c r="N31" s="24" t="str">
        <x:v>kajikia audax</x:v>
      </x:c>
      <x:c r="O31" s="32" t="n">
        <x:v>4.58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Kajikia audax</x:v>
      </x:c>
      <x:c r="T31" s="32" t="n">
        <x:f>IF(O31="","",(1/'Metadata'!$B$5)^(O31-1))</x:f>
        <x:v>3801.8939632056126</x:v>
      </x:c>
      <x:c r="U31" s="31" t="n">
        <x:f>IF(T31="","",I31*T31)</x:f>
        <x:v>126141.26783937107</x:v>
      </x:c>
    </x:row>
    <x:row r="32" ht="18" customHeight="1">
      <x:c r="A32" s="24" t="str">
        <x:v>EEZ_941</x:v>
      </x:c>
      <x:c r="B32" s="24" t="str">
        <x:v>Kiribati (Gilbert Islands)</x:v>
      </x:c>
      <x:c r="C32" s="24" t="str">
        <x:v>EEZ</x:v>
      </x:c>
      <x:c r="D32" s="30" t="n">
        <x:v>2019</x:v>
      </x:c>
      <x:c r="E32" s="24" t="str">
        <x:v>Holocentridae</x:v>
      </x:c>
      <x:c r="F32" s="24" t="str">
        <x:v>Squirrel-, soldierfishes</x:v>
      </x:c>
      <x:c r="G32" s="24" t="str">
        <x:v>Small reef assoc. fish (&lt;30 cm)</x:v>
      </x:c>
      <x:c r="H32" s="24" t="str">
        <x:v>Other fishes &amp; inverts</x:v>
      </x:c>
      <x:c r="I32" s="31" t="n">
        <x:v>32.40355179</x:v>
      </x:c>
      <x:c r="J32" s="31" t="n">
        <x:v>32.40355179</x:v>
      </x:c>
      <x:c r="K32" s="31" t="n">
        <x:v>0</x:v>
      </x:c>
      <x:c r="L32" s="31" t="n">
        <x:v>10.9637321451</x:v>
      </x:c>
      <x:c r="M32" s="31" t="n">
        <x:v>21.4398196449</x:v>
      </x:c>
      <x:c r="N32" s="24" t="str">
        <x:v>holocentridae</x:v>
      </x:c>
      <x:c r="O32" s="32" t="n">
        <x:v>3.49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Holocentridae</x:v>
      </x:c>
      <x:c r="T32" s="32" t="n">
        <x:f>IF(O32="","",(1/'Metadata'!$B$5)^(O32-1))</x:f>
        <x:v>309.0295432513592</x:v>
      </x:c>
      <x:c r="U32" s="31" t="n">
        <x:f>IF(T32="","",I32*T32)</x:f>
        <x:v>10013.654809385464</x:v>
      </x:c>
    </x:row>
    <x:row r="33" ht="18" customHeight="1">
      <x:c r="A33" s="24" t="str">
        <x:v>EEZ_941</x:v>
      </x:c>
      <x:c r="B33" s="24" t="str">
        <x:v>Kiribati (Gilbert Islands)</x:v>
      </x:c>
      <x:c r="C33" s="24" t="str">
        <x:v>EEZ</x:v>
      </x:c>
      <x:c r="D33" s="30" t="n">
        <x:v>2019</x:v>
      </x:c>
      <x:c r="E33" s="24" t="str">
        <x:v>Clupeidae</x:v>
      </x:c>
      <x:c r="F33" s="24" t="str">
        <x:v>Herrings, sardines, menhadens</x:v>
      </x:c>
      <x:c r="G33" s="24" t="str">
        <x:v>Small pelagics (&lt;30 cm)</x:v>
      </x:c>
      <x:c r="H33" s="24" t="str">
        <x:v>Herring-likes</x:v>
      </x:c>
      <x:c r="I33" s="31" t="n">
        <x:v>21.9950002171</x:v>
      </x:c>
      <x:c r="J33" s="31" t="n">
        <x:v>21.9950002171</x:v>
      </x:c>
      <x:c r="K33" s="31" t="n">
        <x:v>0</x:v>
      </x:c>
      <x:c r="L33" s="31" t="n">
        <x:v>18.485179807599998</x:v>
      </x:c>
      <x:c r="M33" s="31" t="n">
        <x:v>3.5098204095</x:v>
      </x:c>
      <x:c r="N33" s="24" t="str">
        <x:v>clupeidae</x:v>
      </x:c>
      <x:c r="O33" s="32" t="n">
        <x:v>3.16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Clupeidae</x:v>
      </x:c>
      <x:c r="T33" s="32" t="n">
        <x:f>IF(O33="","",(1/'Metadata'!$B$5)^(O33-1))</x:f>
        <x:v>144.5439770745928</x:v>
      </x:c>
      <x:c r="U33" s="31" t="n">
        <x:f>IF(T33="","",I33*T33)</x:f>
        <x:v>3179.244807136166</x:v>
      </x:c>
    </x:row>
    <x:row r="34" ht="18" customHeight="1">
      <x:c r="A34" s="24" t="str">
        <x:v>EEZ_941</x:v>
      </x:c>
      <x:c r="B34" s="24" t="str">
        <x:v>Kiribati (Gilbert Islands)</x:v>
      </x:c>
      <x:c r="C34" s="24" t="str">
        <x:v>EEZ</x:v>
      </x:c>
      <x:c r="D34" s="30" t="n">
        <x:v>2019</x:v>
      </x:c>
      <x:c r="E34" s="24" t="str">
        <x:v>Sphyraena</x:v>
      </x:c>
      <x:c r="F34" s="24" t="str">
        <x:v>Barracudas, sennets</x:v>
      </x:c>
      <x:c r="G34" s="24" t="str">
        <x:v>Large pelagics (&gt;=90 cm)</x:v>
      </x:c>
      <x:c r="H34" s="24" t="str">
        <x:v>Perch-likes</x:v>
      </x:c>
      <x:c r="I34" s="31" t="n">
        <x:v>19.7600526158</x:v>
      </x:c>
      <x:c r="J34" s="31" t="n">
        <x:v>19.7600526158</x:v>
      </x:c>
      <x:c r="K34" s="31" t="n">
        <x:v>0</x:v>
      </x:c>
      <x:c r="L34" s="31" t="n">
        <x:v>6.7925604755</x:v>
      </x:c>
      <x:c r="M34" s="31" t="n">
        <x:v>12.9674921403</x:v>
      </x:c>
      <x:c r="N34" s="24" t="str">
        <x:v>sphyraena</x:v>
      </x:c>
      <x:c r="O34" s="32" t="n">
        <x:v>4.4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Sphyraena</x:v>
      </x:c>
      <x:c r="T34" s="32" t="n">
        <x:f>IF(O34="","",(1/'Metadata'!$B$5)^(O34-1))</x:f>
        <x:v>2511.886431509582</x:v>
      </x:c>
      <x:c r="U34" s="31" t="n">
        <x:f>IF(T34="","",I34*T34)</x:f>
        <x:v>49635.008051543446</x:v>
      </x:c>
    </x:row>
    <x:row r="35" ht="18" customHeight="1">
      <x:c r="A35" s="24" t="str">
        <x:v>EEZ_941</x:v>
      </x:c>
      <x:c r="B35" s="24" t="str">
        <x:v>Kiribati (Gilbert Islands)</x:v>
      </x:c>
      <x:c r="C35" s="24" t="str">
        <x:v>EEZ</x:v>
      </x:c>
      <x:c r="D35" s="30" t="n">
        <x:v>2019</x:v>
      </x:c>
      <x:c r="E35" s="24" t="str">
        <x:v>Sphyrna</x:v>
      </x:c>
      <x:c r="F35" s="24" t="str">
        <x:v>Hammerhead sharks</x:v>
      </x:c>
      <x:c r="G35" s="24" t="str">
        <x:v>Large sharks (&gt;=90 cm)</x:v>
      </x:c>
      <x:c r="H35" s="24" t="str">
        <x:v>Sharks &amp; rays</x:v>
      </x:c>
      <x:c r="I35" s="31" t="n">
        <x:v>7.9159244519000005</x:v>
      </x:c>
      <x:c r="J35" s="31" t="n">
        <x:v>7.9159244519000005</x:v>
      </x:c>
      <x:c r="K35" s="31" t="n">
        <x:v>0</x:v>
      </x:c>
      <x:c r="L35" s="31" t="n">
        <x:v>7.9159244519000005</x:v>
      </x:c>
      <x:c r="M35" s="31" t="n">
        <x:v>0</x:v>
      </x:c>
      <x:c r="N35" s="24" t="str">
        <x:v>sphyrna</x:v>
      </x:c>
      <x:c r="O35" s="32" t="n">
        <x:v>4.2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Sphyrna</x:v>
      </x:c>
      <x:c r="T35" s="32" t="n">
        <x:f>IF(O35="","",(1/'Metadata'!$B$5)^(O35-1))</x:f>
        <x:v>1584.893192461114</x:v>
      </x:c>
      <x:c r="U35" s="31" t="n">
        <x:f>IF(T35="","",I35*T35)</x:f>
        <x:v>12545.894775852787</x:v>
      </x:c>
    </x:row>
    <x:row r="36" ht="18" customHeight="1">
      <x:c r="A36" s="24" t="str">
        <x:v>EEZ_941</x:v>
      </x:c>
      <x:c r="B36" s="24" t="str">
        <x:v>Kiribati (Gilbert Islands)</x:v>
      </x:c>
      <x:c r="C36" s="24" t="str">
        <x:v>EEZ</x:v>
      </x:c>
      <x:c r="D36" s="30" t="n">
        <x:v>2019</x:v>
      </x:c>
      <x:c r="E36" s="24" t="str">
        <x:v>Chanos chanos</x:v>
      </x:c>
      <x:c r="F36" s="24" t="str">
        <x:v>Milkfish</x:v>
      </x:c>
      <x:c r="G36" s="24" t="str">
        <x:v>Large benthopelagics (&gt;=90 cm)</x:v>
      </x:c>
      <x:c r="H36" s="24" t="str">
        <x:v>Other fishes &amp; inverts</x:v>
      </x:c>
      <x:c r="I36" s="31" t="n">
        <x:v>6.2755831456</x:v>
      </x:c>
      <x:c r="J36" s="31" t="n">
        <x:v>6.2755831456</x:v>
      </x:c>
      <x:c r="K36" s="31" t="n">
        <x:v>0</x:v>
      </x:c>
      <x:c r="L36" s="31" t="n">
        <x:v>2.5192556935</x:v>
      </x:c>
      <x:c r="M36" s="31" t="n">
        <x:v>3.7563274521</x:v>
      </x:c>
      <x:c r="N36" s="24" t="str">
        <x:v>chanos chanos</x:v>
      </x:c>
      <x:c r="O36" s="32" t="n">
        <x:v>2.03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Chanos chanos</x:v>
      </x:c>
      <x:c r="T36" s="32" t="n">
        <x:f>IF(O36="","",(1/'Metadata'!$B$5)^(O36-1))</x:f>
        <x:v>10.71519305237606</x:v>
      </x:c>
      <x:c r="U36" s="31" t="n">
        <x:f>IF(T36="","",I36*T36)</x:f>
        <x:v>67.24408492134141</x:v>
      </x:c>
    </x:row>
    <x:row r="37" ht="18" customHeight="1">
      <x:c r="A37" s="24" t="str">
        <x:v>EEZ_941</x:v>
      </x:c>
      <x:c r="B37" s="24" t="str">
        <x:v>Kiribati (Gilbert Islands)</x:v>
      </x:c>
      <x:c r="C37" s="24" t="str">
        <x:v>EEZ</x:v>
      </x:c>
      <x:c r="D37" s="30" t="n">
        <x:v>2019</x:v>
      </x:c>
      <x:c r="E37" s="24" t="str">
        <x:v>Octopodidae</x:v>
      </x:c>
      <x:c r="F37" s="24" t="str">
        <x:v>Octopuses</x:v>
      </x:c>
      <x:c r="G37" s="24" t="str">
        <x:v>Cephalopods</x:v>
      </x:c>
      <x:c r="H37" s="24" t="str">
        <x:v>Other fishes &amp; inverts</x:v>
      </x:c>
      <x:c r="I37" s="31" t="n">
        <x:v>1.8570815315</x:v>
      </x:c>
      <x:c r="J37" s="31" t="n">
        <x:v>1.8570815315</x:v>
      </x:c>
      <x:c r="K37" s="31" t="n">
        <x:v>0</x:v>
      </x:c>
      <x:c r="L37" s="31" t="n">
        <x:v>1.0204493155</x:v>
      </x:c>
      <x:c r="M37" s="31" t="n">
        <x:v>0.836632216</x:v>
      </x:c>
      <x:c r="N37" s="24" t="str">
        <x:v>octopodidae</x:v>
      </x:c>
      <x:c r="O37" s="32" t="n">
        <x:v>3.59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Octopodidae</x:v>
      </x:c>
      <x:c r="T37" s="32" t="n">
        <x:f>IF(O37="","",(1/'Metadata'!$B$5)^(O37-1))</x:f>
        <x:v>389.04514499428046</x:v>
      </x:c>
      <x:c r="U37" s="31" t="n">
        <x:f>IF(T37="","",I37*T37)</x:f>
        <x:v>722.4885536886179</x:v>
      </x:c>
    </x:row>
    <x:row r="38" ht="18" customHeight="1">
      <x:c r="A38" s="24" t="str">
        <x:v>EEZ_941</x:v>
      </x:c>
      <x:c r="B38" s="24" t="str">
        <x:v>Kiribati (Gilbert Islands)</x:v>
      </x:c>
      <x:c r="C38" s="24" t="str">
        <x:v>EEZ</x:v>
      </x:c>
      <x:c r="D38" s="30" t="n">
        <x:v>2019</x:v>
      </x:c>
      <x:c r="E38" s="24" t="str">
        <x:v>Isurus oxyrinchus</x:v>
      </x:c>
      <x:c r="F38" s="24" t="str">
        <x:v>Shortfin mako</x:v>
      </x:c>
      <x:c r="G38" s="24" t="str">
        <x:v>Large sharks (&gt;=90 cm)</x:v>
      </x:c>
      <x:c r="H38" s="24" t="str">
        <x:v>Sharks &amp; rays</x:v>
      </x:c>
      <x:c r="I38" s="31" t="n">
        <x:v>0.47569672609999997</x:v>
      </x:c>
      <x:c r="J38" s="31" t="n">
        <x:v>0.47569672609999997</x:v>
      </x:c>
      <x:c r="K38" s="31" t="n">
        <x:v>0</x:v>
      </x:c>
      <x:c r="L38" s="31" t="n">
        <x:v>0.47569672609999997</x:v>
      </x:c>
      <x:c r="M38" s="31" t="n">
        <x:v>0</x:v>
      </x:c>
      <x:c r="N38" s="24" t="str">
        <x:v>isurus oxyrinchus</x:v>
      </x:c>
      <x:c r="O38" s="32" t="n">
        <x:v>4.5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Isurus oxyrinchus</x:v>
      </x:c>
      <x:c r="T38" s="32" t="n">
        <x:f>IF(O38="","",(1/'Metadata'!$B$5)^(O38-1))</x:f>
        <x:v>3162.2776601683795</x:v>
      </x:c>
      <x:c r="U38" s="31" t="n">
        <x:f>IF(T38="","",I38*T38)</x:f>
        <x:v>1504.2851299612664</x:v>
      </x:c>
    </x:row>
    <x:row r="39" ht="18" customHeight="1">
      <x:c r="A39" s="24" t="str">
        <x:v>EEZ_941</x:v>
      </x:c>
      <x:c r="B39" s="24" t="str">
        <x:v>Kiribati (Gilbert Islands)</x:v>
      </x:c>
      <x:c r="C39" s="24" t="str">
        <x:v>EEZ</x:v>
      </x:c>
      <x:c r="D39" s="30" t="n">
        <x:v>2019</x:v>
      </x:c>
      <x:c r="E39" s="24" t="str">
        <x:v>Scomberomorus</x:v>
      </x:c>
      <x:c r="F39" s="24" t="str">
        <x:v>Spanish mackerels</x:v>
      </x:c>
      <x:c r="G39" s="24" t="str">
        <x:v>Large pelagics (&gt;=90 cm)</x:v>
      </x:c>
      <x:c r="H39" s="24" t="str">
        <x:v>Perch-likes</x:v>
      </x:c>
      <x:c r="I39" s="31" t="n">
        <x:v>0.0011463636999999999</x:v>
      </x:c>
      <x:c r="J39" s="31" t="n">
        <x:v>0.0011463636999999999</x:v>
      </x:c>
      <x:c r="K39" s="31" t="n">
        <x:v>0</x:v>
      </x:c>
      <x:c r="L39" s="31" t="n">
        <x:v>0.0011463636999999999</x:v>
      </x:c>
      <x:c r="M39" s="31" t="n">
        <x:v>0</x:v>
      </x:c>
      <x:c r="N39" s="24" t="str">
        <x:v>scomberomorus</x:v>
      </x:c>
      <x:c r="O39" s="32" t="n">
        <x:v>4.35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Scomberomorus</x:v>
      </x:c>
      <x:c r="T39" s="32" t="n">
        <x:f>IF(O39="","",(1/'Metadata'!$B$5)^(O39-1))</x:f>
        <x:v>2238.7211385683377</x:v>
      </x:c>
      <x:c r="U39" s="31" t="n">
        <x:f>IF(T39="","",I39*T39)</x:f>
        <x:v>2.566388647677412</x:v>
      </x:c>
    </x:row>
  </x:sheetData>
  <x:conditionalFormatting sqref="R2:R3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a694975e0044a6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82.6292002697</x:v>
      </x:c>
      <x:c r="C2" s="32" t="n">
        <x:v>2.7</x:v>
      </x:c>
      <x:c r="D2" s="32" t="n">
        <x:f>IF(C2="","",(1/'Metadata'!$B$5)^(C2-1))</x:f>
        <x:v>50.11872336272725</x:v>
      </x:c>
      <x:c r="E2" s="31" t="n">
        <x:f>IF(B2=0,"",B2*D2)</x:f>
        <x:v>4141.270030000482</x:v>
      </x:c>
    </x:row>
    <x:row r="3" ht="18" customHeight="1">
      <x:c r="A3" s="24" t="str">
        <x:v>Herring-likes</x:v>
      </x:c>
      <x:c r="B3" s="31" t="n">
        <x:v>21.9950002171</x:v>
      </x:c>
      <x:c r="C3" s="32" t="n">
        <x:v>3.16</x:v>
      </x:c>
      <x:c r="D3" s="32" t="n">
        <x:f>IF(C3="","",(1/'Metadata'!$B$5)^(C3-1))</x:f>
        <x:v>144.5439770745928</x:v>
      </x:c>
      <x:c r="E3" s="31" t="n">
        <x:f>IF(B3=0,"",B3*D3)</x:f>
        <x:v>3179.244807136166</x:v>
      </x:c>
    </x:row>
    <x:row r="4" ht="18" customHeight="1">
      <x:c r="A4" s="24" t="str">
        <x:v>Molluscs</x:v>
      </x:c>
      <x:c r="B4" s="31" t="n">
        <x:v>605.291710545</x:v>
      </x:c>
      <x:c r="C4" s="32" t="n">
        <x:v>2.1</x:v>
      </x:c>
      <x:c r="D4" s="32" t="n">
        <x:f>IF(C4="","",(1/'Metadata'!$B$5)^(C4-1))</x:f>
        <x:v>12.589254117941675</x:v>
      </x:c>
      <x:c r="E4" s="31" t="n">
        <x:f>IF(B4=0,"",B4*D4)</x:f>
        <x:v>7620.171159534601</x:v>
      </x:c>
    </x:row>
    <x:row r="5" ht="18" customHeight="1">
      <x:c r="A5" s="24" t="str">
        <x:v>Other fishes &amp; inverts</x:v>
      </x:c>
      <x:c r="B5" s="31" t="n">
        <x:v>11868.961894999698</x:v>
      </x:c>
      <x:c r="C5" s="32" t="n">
        <x:v>3.299382604381811</x:v>
      </x:c>
      <x:c r="D5" s="32" t="n">
        <x:f>IF(C5="","",(1/'Metadata'!$B$5)^(C5-1))</x:f>
        <x:v>199.24278534173112</x:v>
      </x:c>
      <x:c r="E5" s="31" t="n">
        <x:f>IF(B5=0,"",B5*D5)</x:f>
        <x:v>2364805.0270746113</x:v>
      </x:c>
    </x:row>
    <x:row r="6" ht="18" customHeight="1">
      <x:c r="A6" s="24" t="str">
        <x:v>Perch-likes</x:v>
      </x:c>
      <x:c r="B6" s="31" t="n">
        <x:v>16404.761361107798</x:v>
      </x:c>
      <x:c r="C6" s="32" t="n">
        <x:v>4.153012952391171</x:v>
      </x:c>
      <x:c r="D6" s="32" t="n">
        <x:f>IF(C6="","",(1/'Metadata'!$B$5)^(C6-1))</x:f>
        <x:v>1422.3712072647088</x:v>
      </x:c>
      <x:c r="E6" s="31" t="n">
        <x:f>IF(B6=0,"",B6*D6)</x:f>
        <x:v>23333660.222088344</x:v>
      </x:c>
    </x:row>
    <x:row r="7" ht="18" customHeight="1">
      <x:c r="A7" s="24" t="str">
        <x:v>Sharks &amp; rays</x:v>
      </x:c>
      <x:c r="B7" s="31" t="n">
        <x:v>8276.9155112508</x:v>
      </x:c>
      <x:c r="C7" s="32" t="n">
        <x:v>4.199009696797736</x:v>
      </x:c>
      <x:c r="D7" s="32" t="n">
        <x:f>IF(C7="","",(1/'Metadata'!$B$5)^(C7-1))</x:f>
        <x:v>1581.2833452994107</x:v>
      </x:c>
      <x:c r="E7" s="31" t="n">
        <x:f>IF(B7=0,"",B7*D7)</x:f>
        <x:v>13088148.648391247</x:v>
      </x:c>
    </x:row>
    <x:row r="8" ht="18" customHeight="1">
      <x:c r="A8" s="24" t="str">
        <x:v>Tuna &amp; billfishes</x:v>
      </x:c>
      <x:c r="B8" s="31" t="n">
        <x:v>562702.2445959506</x:v>
      </x:c>
      <x:c r="C8" s="32" t="n">
        <x:v>4.427458801199549</x:v>
      </x:c>
      <x:c r="D8" s="32" t="n">
        <x:f>IF(C8="","",(1/'Metadata'!$B$5)^(C8-1))</x:f>
        <x:v>2675.8317417421586</x:v>
      </x:c>
      <x:c r="E8" s="31" t="n">
        <x:f>IF(B8=0,"",B8*D8)</x:f>
        <x:v>1505696527.2394047</x:v>
      </x:c>
    </x:row>
  </x:sheetData>
  <x:pageMargins left="0.7" right="0.7" top="0.75" bottom="0.75" header="0.3" footer="0.3"/>
  <x:tableParts count="1">
    <x:tablePart xmlns:r="http://schemas.openxmlformats.org/officeDocument/2006/relationships" r:id="Rb0b59df99b97493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1.8570815315</x:v>
      </x:c>
      <x:c r="C2" s="32" t="n">
        <x:v>3.59</x:v>
      </x:c>
      <x:c r="D2" s="32" t="n">
        <x:f>IF(C2="","",(1/'Metadata'!$B$5)^(C2-1))</x:f>
        <x:v>389.04514499428046</x:v>
      </x:c>
      <x:c r="E2" s="31" t="n">
        <x:f>IF(B2=0,"",B2*D2)</x:f>
        <x:v>722.4885536886179</x:v>
      </x:c>
    </x:row>
    <x:row r="3" ht="18" customHeight="1">
      <x:c r="A3" s="24" t="str">
        <x:v>Large benthopelagics (&gt;=90 cm)</x:v>
      </x:c>
      <x:c r="B3" s="31" t="n">
        <x:v>6.2755831456</x:v>
      </x:c>
      <x:c r="C3" s="32" t="n">
        <x:v>2.03</x:v>
      </x:c>
      <x:c r="D3" s="32" t="n">
        <x:f>IF(C3="","",(1/'Metadata'!$B$5)^(C3-1))</x:f>
        <x:v>10.71519305237606</x:v>
      </x:c>
      <x:c r="E3" s="31" t="n">
        <x:f>IF(B3=0,"",B3*D3)</x:f>
        <x:v>67.24408492134141</x:v>
      </x:c>
    </x:row>
    <x:row r="4" ht="18" customHeight="1">
      <x:c r="A4" s="24" t="str">
        <x:v>Large pelagics (&gt;=90 cm)</x:v>
      </x:c>
      <x:c r="B4" s="31" t="n">
        <x:v>568138.5318182994</x:v>
      </x:c>
      <x:c r="C4" s="32" t="n">
        <x:v>4.426902832578547</x:v>
      </x:c>
      <x:c r="D4" s="32" t="n">
        <x:f>IF(C4="","",(1/'Metadata'!$B$5)^(C4-1))</x:f>
        <x:v>2672.408427114308</x:v>
      </x:c>
      <x:c r="E4" s="31" t="n">
        <x:f>IF(B4=0,"",B4*D4)</x:f>
        <x:v>1518298200.1995738</x:v>
      </x:c>
    </x:row>
    <x:row r="5" ht="18" customHeight="1">
      <x:c r="A5" s="24" t="str">
        <x:v>Large sharks (&gt;=90 cm)</x:v>
      </x:c>
      <x:c r="B5" s="31" t="n">
        <x:v>8276.9155112508</x:v>
      </x:c>
      <x:c r="C5" s="32" t="n">
        <x:v>4.199009696797736</x:v>
      </x:c>
      <x:c r="D5" s="32" t="n">
        <x:f>IF(C5="","",(1/'Metadata'!$B$5)^(C5-1))</x:f>
        <x:v>1581.2833452994107</x:v>
      </x:c>
      <x:c r="E5" s="31" t="n">
        <x:f>IF(B5=0,"",B5*D5)</x:f>
        <x:v>13088148.648391247</x:v>
      </x:c>
    </x:row>
    <x:row r="6" ht="18" customHeight="1">
      <x:c r="A6" s="24" t="str">
        <x:v>Medium demersals (30 - 89 cm)</x:v>
      </x:c>
      <x:c r="B6" s="31" t="n">
        <x:v>10436.3212517498</x:v>
      </x:c>
      <x:c r="C6" s="32" t="n">
        <x:v>3.28</x:v>
      </x:c>
      <x:c r="D6" s="32" t="n">
        <x:f>IF(C6="","",(1/'Metadata'!$B$5)^(C6-1))</x:f>
        <x:v>190.54607179632464</x:v>
      </x:c>
      <x:c r="E6" s="31" t="n">
        <x:f>IF(B6=0,"",B6*D6)</x:f>
        <x:v>1988600.018525426</x:v>
      </x:c>
    </x:row>
    <x:row r="7" ht="18" customHeight="1">
      <x:c r="A7" s="24" t="str">
        <x:v>Medium pelagics (30 - 89 cm)</x:v>
      </x:c>
      <x:c r="B7" s="31" t="n">
        <x:v>8974.5817486298</x:v>
      </x:c>
      <x:c r="C7" s="32" t="n">
        <x:v>4.122342818124305</x:v>
      </x:c>
      <x:c r="D7" s="32" t="n">
        <x:f>IF(C7="","",(1/'Metadata'!$B$5)^(C7-1))</x:f>
        <x:v>1325.387340602978</x:v>
      </x:c>
      <x:c r="E7" s="31" t="n">
        <x:f>IF(B7=0,"",B7*D7)</x:f>
        <x:v>11894797.036840474</x:v>
      </x:c>
    </x:row>
    <x:row r="8" ht="18" customHeight="1">
      <x:c r="A8" s="24" t="str">
        <x:v>Medium reef assoc. fish (30 - 89 cm)</x:v>
      </x:c>
      <x:c r="B8" s="31" t="n">
        <x:v>2506.8612346657</x:v>
      </x:c>
      <x:c r="C8" s="32" t="n">
        <x:v>3.6643546688548443</x:v>
      </x:c>
      <x:c r="D8" s="32" t="n">
        <x:f>IF(C8="","",(1/'Metadata'!$B$5)^(C8-1))</x:f>
        <x:v>461.6944658390198</x:v>
      </x:c>
      <x:c r="E8" s="31" t="n">
        <x:f>IF(B8=0,"",B8*D8)</x:f>
        <x:v>1157403.958671526</x:v>
      </x:c>
    </x:row>
    <x:row r="9" ht="18" customHeight="1">
      <x:c r="A9" s="24" t="str">
        <x:v>Other demersal invertebrates</x:v>
      </x:c>
      <x:c r="B9" s="31" t="n">
        <x:v>605.291710545</x:v>
      </x:c>
      <x:c r="C9" s="32" t="n">
        <x:v>2.1</x:v>
      </x:c>
      <x:c r="D9" s="32" t="n">
        <x:f>IF(C9="","",(1/'Metadata'!$B$5)^(C9-1))</x:f>
        <x:v>12.589254117941675</x:v>
      </x:c>
      <x:c r="E9" s="31" t="n">
        <x:f>IF(B9=0,"",B9*D9)</x:f>
        <x:v>7620.171159534601</x:v>
      </x:c>
    </x:row>
    <x:row r="10" ht="18" customHeight="1">
      <x:c r="A10" s="24" t="str">
        <x:v>Shrimps</x:v>
      </x:c>
      <x:c r="B10" s="31" t="n">
        <x:v>82.6292002697</x:v>
      </x:c>
      <x:c r="C10" s="32" t="n">
        <x:v>2.7</x:v>
      </x:c>
      <x:c r="D10" s="32" t="n">
        <x:f>IF(C10="","",(1/'Metadata'!$B$5)^(C10-1))</x:f>
        <x:v>50.11872336272725</x:v>
      </x:c>
      <x:c r="E10" s="31" t="n">
        <x:f>IF(B10=0,"",B10*D10)</x:f>
        <x:v>4141.270030000482</x:v>
      </x:c>
    </x:row>
    <x:row r="11" ht="18" customHeight="1">
      <x:c r="A11" s="24" t="str">
        <x:v>Small benthopelagics (&lt;30 cm)</x:v>
      </x:c>
      <x:c r="B11" s="31" t="n">
        <x:v>274.280487973</x:v>
      </x:c>
      <x:c r="C11" s="32" t="n">
        <x:v>3.03</x:v>
      </x:c>
      <x:c r="D11" s="32" t="n">
        <x:f>IF(C11="","",(1/'Metadata'!$B$5)^(C11-1))</x:f>
        <x:v>107.1519305237606</x:v>
      </x:c>
      <x:c r="E11" s="31" t="n">
        <x:f>IF(B11=0,"",B11*D11)</x:f>
        <x:v>29389.683791306048</x:v>
      </x:c>
    </x:row>
    <x:row r="12" ht="18" customHeight="1">
      <x:c r="A12" s="24" t="str">
        <x:v>Small pelagics (&lt;30 cm)</x:v>
      </x:c>
      <x:c r="B12" s="31" t="n">
        <x:v>626.8500944903001</x:v>
      </x:c>
      <x:c r="C12" s="32" t="n">
        <x:v>3.555613864992165</x:v>
      </x:c>
      <x:c r="D12" s="32" t="n">
        <x:f>IF(C12="","",(1/'Metadata'!$B$5)^(C12-1))</x:f>
        <x:v>359.4296210387519</x:v>
      </x:c>
      <x:c r="E12" s="31" t="n">
        <x:f>IF(B12=0,"",B12*D12)</x:f>
        <x:v>225308.49191075438</x:v>
      </x:c>
    </x:row>
    <x:row r="13" ht="18" customHeight="1">
      <x:c r="A13" s="24" t="str">
        <x:v>Small reef assoc. fish (&lt;30 cm)</x:v>
      </x:c>
      <x:c r="B13" s="31" t="n">
        <x:v>32.40355179</x:v>
      </x:c>
      <x:c r="C13" s="32" t="n">
        <x:v>3.49</x:v>
      </x:c>
      <x:c r="D13" s="32" t="n">
        <x:f>IF(C13="","",(1/'Metadata'!$B$5)^(C13-1))</x:f>
        <x:v>309.0295432513592</x:v>
      </x:c>
      <x:c r="E13" s="31" t="n">
        <x:f>IF(B13=0,"",B13*D13)</x:f>
        <x:v>10013.654809385464</x:v>
      </x:c>
    </x:row>
  </x:sheetData>
  <x:pageMargins left="0.7" right="0.7" top="0.75" bottom="0.75" header="0.3" footer="0.3"/>
  <x:tableParts count="1">
    <x:tablePart xmlns:r="http://schemas.openxmlformats.org/officeDocument/2006/relationships" r:id="R9a53c67374024ac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EEZ_941</x:v>
      </x:c>
      <x:c r="B2" s="24" t="str">
        <x:v>raw_filtered_tonnes</x:v>
      </x:c>
      <x:c r="C2" s="24" t="n">
        <x:v>599962.7992743407</x:v>
      </x:c>
      <x:c r="D2" s="24" t="str">
        <x:v>tonnes</x:v>
      </x:c>
    </x:row>
    <x:row r="3" ht="18" customHeight="1">
      <x:c r="A3" s="24" t="str">
        <x:v>EEZ_941</x:v>
      </x:c>
      <x:c r="B3" s="24" t="str">
        <x:v>species_catch_tonnes</x:v>
      </x:c>
      <x:c r="C3" s="24" t="n">
        <x:v>599962.7992743407</x:v>
      </x:c>
      <x:c r="D3" s="24" t="str">
        <x:v>tonnes</x:v>
      </x:c>
    </x:row>
    <x:row r="4" ht="18" customHeight="1">
      <x:c r="A4" s="24" t="str">
        <x:v>EEZ_941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EEZ_941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EEZ_941</x:v>
      </x:c>
      <x:c r="B6" s="24" t="str">
        <x:v>matched_catch_tonnes</x:v>
      </x:c>
      <x:c r="C6" s="24" t="n">
        <x:v>599962.7992743407</x:v>
      </x:c>
      <x:c r="D6" s="24" t="str">
        <x:v>tonnes</x:v>
      </x:c>
    </x:row>
    <x:row r="7" ht="18" customHeight="1">
      <x:c r="A7" s="24" t="str">
        <x:v>EEZ_941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EEZ_941</x:v>
      </x:c>
      <x:c r="B8" s="24" t="str">
        <x:v>taxa_count</x:v>
      </x:c>
      <x:c r="C8" s="24" t="n">
        <x:v>38</x:v>
      </x:c>
      <x:c r="D8" s="24" t="str">
        <x:v>count</x:v>
      </x:c>
    </x:row>
    <x:row r="9" ht="18" customHeight="1">
      <x:c r="A9" s="24" t="str">
        <x:v>EEZ_941</x:v>
      </x:c>
      <x:c r="B9" s="24" t="str">
        <x:v>matched_taxa_count</x:v>
      </x:c>
      <x:c r="C9" s="24" t="n">
        <x:v>38</x:v>
      </x:c>
      <x:c r="D9" s="24" t="str">
        <x:v>count</x:v>
      </x:c>
    </x:row>
    <x:row r="10" ht="18" customHeight="1">
      <x:c r="A10" s="24" t="str">
        <x:v>EEZ_941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EEZ_941</x:v>
      </x:c>
      <x:c r="B11" s="24" t="str">
        <x:v>species_ppr</x:v>
      </x:c>
      <x:c r="C11" s="24" t="n">
        <x:v>1552445784.5398905</x:v>
      </x:c>
      <x:c r="D11" s="24" t="str">
        <x:v>tonnes_primary_production_equivalent</x:v>
      </x:c>
    </x:row>
    <x:row r="12" ht="18" customHeight="1">
      <x:c r="A12" s="24" t="str">
        <x:v>EEZ_941</x:v>
      </x:c>
      <x:c r="B12" s="24" t="str">
        <x:v>commercial_ppr</x:v>
      </x:c>
      <x:c r="C12" s="24" t="n">
        <x:v>1544498081.8229556</x:v>
      </x:c>
      <x:c r="D12" s="24" t="str">
        <x:v>tonnes_primary_production_equivalent</x:v>
      </x:c>
    </x:row>
    <x:row r="13" ht="18" customHeight="1">
      <x:c r="A13" s="24" t="str">
        <x:v>EEZ_941</x:v>
      </x:c>
      <x:c r="B13" s="24" t="str">
        <x:v>functional_ppr</x:v>
      </x:c>
      <x:c r="C13" s="24" t="n">
        <x:v>1546704412.866342</x:v>
      </x:c>
      <x:c r="D13" s="24" t="str">
        <x:v>tonnes_primary_production_equivalent</x:v>
      </x:c>
    </x:row>
    <x:row r="14" ht="18" customHeight="1">
      <x:c r="A14" s="24" t="str">
        <x:v>EEZ_941</x:v>
      </x:c>
      <x:c r="B14" s="24" t="str">
        <x:v>commercial_ppr_difference</x:v>
      </x:c>
      <x:c r="C14" s="24" t="n">
        <x:v>-7947702.716934919</x:v>
      </x:c>
      <x:c r="D14" s="24" t="str">
        <x:v>tonnes_primary_production_equivalent</x:v>
      </x:c>
    </x:row>
    <x:row r="15" ht="18" customHeight="1">
      <x:c r="A15" s="24" t="str">
        <x:v>EEZ_941</x:v>
      </x:c>
      <x:c r="B15" s="24" t="str">
        <x:v>functional_ppr_difference</x:v>
      </x:c>
      <x:c r="C15" s="24" t="n">
        <x:v>-5741371.67354846</x:v>
      </x:c>
      <x:c r="D15" s="24" t="str">
        <x:v>tonnes_primary_production_equivalent</x:v>
      </x:c>
    </x:row>
    <x:row r="16" ht="18" customHeight="1">
      <x:c r="A16" s="24" t="str">
        <x:v>EEZ_941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EEZ_941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fe71e18e16141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EEZ_941 - Kiribati (Gilbert Islands)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