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b75deadf4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3a4dd45d9124ccd"/>
    <x:sheet xmlns:r="http://schemas.openxmlformats.org/officeDocument/2006/relationships" name="Commercial" sheetId="2" r:id="Rd42fde22e744471f"/>
    <x:sheet xmlns:r="http://schemas.openxmlformats.org/officeDocument/2006/relationships" name="Functional" sheetId="3" r:id="Ra5baea77b5c34e77"/>
    <x:sheet xmlns:r="http://schemas.openxmlformats.org/officeDocument/2006/relationships" name="Missing TL" sheetId="4" r:id="R2f0916bae30840eb"/>
    <x:sheet xmlns:r="http://schemas.openxmlformats.org/officeDocument/2006/relationships" name="Validation" sheetId="5" r:id="Rea55670ee3ba4e05"/>
    <x:sheet xmlns:r="http://schemas.openxmlformats.org/officeDocument/2006/relationships" name="Metadata" sheetId="6" r:id="Rc70b229c4533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6af193d074617" /><Relationship Type="http://schemas.openxmlformats.org/officeDocument/2006/relationships/theme" Target="/xl/theme/theme1.xml" Id="Rc7ab707f6fbe4179" /><Relationship Type="http://schemas.microsoft.com/office/2022/11/relationships/FeaturePropertyBag" Target="/xl/featurePropertyBag/featurePropertyBag.xml" Id="Rb3feb4dfc5174df7" /><Relationship Type="http://schemas.openxmlformats.org/officeDocument/2006/relationships/sharedStrings" Target="/xl/sharedStrings.xml" Id="R1d5bdaed3a0f4bc6" /><Relationship Type="http://schemas.openxmlformats.org/officeDocument/2006/relationships/worksheet" Target="/xl/worksheets/sheet1.xml" Id="R53a4dd45d9124ccd" /><Relationship Type="http://schemas.openxmlformats.org/officeDocument/2006/relationships/worksheet" Target="/xl/worksheets/sheet2.xml" Id="Rd42fde22e744471f" /><Relationship Type="http://schemas.openxmlformats.org/officeDocument/2006/relationships/worksheet" Target="/xl/worksheets/sheet3.xml" Id="Ra5baea77b5c34e77" /><Relationship Type="http://schemas.openxmlformats.org/officeDocument/2006/relationships/worksheet" Target="/xl/worksheets/sheet4.xml" Id="R2f0916bae30840eb" /><Relationship Type="http://schemas.openxmlformats.org/officeDocument/2006/relationships/worksheet" Target="/xl/worksheets/sheet5.xml" Id="Rea55670ee3ba4e05" /><Relationship Type="http://schemas.openxmlformats.org/officeDocument/2006/relationships/worksheet" Target="/xl/worksheets/sheet6.xml" Id="Rc70b229c453341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96SpeciesTable" displayName="EEZ396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96CommercialTable" displayName="EEZ396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96FunctionalTable" displayName="EEZ396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96ValidationTable" displayName="EEZ39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54262920d4e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b86a7f10245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7cb7885ef341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f94a65e6954f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EEZ_396</x:v>
      </x:c>
      <x:c r="B2" s="24" t="str">
        <x:v>Johnston Atoll (USA)</x:v>
      </x:c>
      <x:c r="C2" s="24" t="str">
        <x:v>EEZ</x:v>
      </x:c>
      <x:c r="D2" s="30" t="n">
        <x:v>2019</x:v>
      </x:c>
      <x:c r="E2" s="24" t="str">
        <x:v>Thunnus obesus</x:v>
      </x:c>
      <x:c r="F2" s="24" t="str">
        <x:v>Bigeye tuna</x:v>
      </x:c>
      <x:c r="G2" s="24" t="str">
        <x:v>Large pelagics (&gt;=90 cm)</x:v>
      </x:c>
      <x:c r="H2" s="24" t="str">
        <x:v>Tuna &amp; billfishes</x:v>
      </x:c>
      <x:c r="I2" s="31" t="n">
        <x:v>126.995017413</x:v>
      </x:c>
      <x:c r="J2" s="31" t="n">
        <x:v>125.89830188929999</x:v>
      </x:c>
      <x:c r="K2" s="31" t="n">
        <x:v>1.0967155237000001</x:v>
      </x:c>
      <x:c r="L2" s="31" t="n">
        <x:v>125.89830188929999</x:v>
      </x:c>
      <x:c r="M2" s="31" t="n">
        <x:v>1.0967155237000001</x:v>
      </x:c>
      <x:c r="N2" s="24" t="str">
        <x:v>thunnus obesus</x:v>
      </x:c>
      <x:c r="O2" s="32" t="n">
        <x:v>4.49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obesus</x:v>
      </x:c>
      <x:c r="T2" s="32" t="n">
        <x:f>IF(O2="","",(1/'Metadata'!$B$5)^(O2-1))</x:f>
        <x:v>3090.295432513592</x:v>
      </x:c>
      <x:c r="U2" s="31" t="n">
        <x:f>IF(T2="","",I2*T2)</x:f>
        <x:v>392452.122263378</x:v>
      </x:c>
    </x:row>
    <x:row r="3" ht="18" customHeight="1">
      <x:c r="A3" s="24" t="str">
        <x:v>EEZ_396</x:v>
      </x:c>
      <x:c r="B3" s="24" t="str">
        <x:v>Johnston Atoll (USA)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46.878323108800004</x:v>
      </x:c>
      <x:c r="J3" s="31" t="n">
        <x:v>0.0274347135</x:v>
      </x:c>
      <x:c r="K3" s="31" t="n">
        <x:v>46.850888395300004</x:v>
      </x:c>
      <x:c r="L3" s="31" t="n">
        <x:v>0.0274347135</x:v>
      </x:c>
      <x:c r="M3" s="31" t="n">
        <x:v>46.850888395300004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104947.49288430715</x:v>
      </x:c>
    </x:row>
    <x:row r="4" ht="18" customHeight="1">
      <x:c r="A4" s="24" t="str">
        <x:v>EEZ_396</x:v>
      </x:c>
      <x:c r="B4" s="24" t="str">
        <x:v>Johnston Atoll (USA)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32.3054183764</x:v>
      </x:c>
      <x:c r="J4" s="31" t="n">
        <x:v>11.893328667099999</x:v>
      </x:c>
      <x:c r="K4" s="31" t="n">
        <x:v>20.412089709299998</x:v>
      </x:c>
      <x:c r="L4" s="31" t="n">
        <x:v>11.893328667099999</x:v>
      </x:c>
      <x:c r="M4" s="31" t="n">
        <x:v>20.412089709299998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6155.67056935982</x:v>
      </x:c>
    </x:row>
    <x:row r="5" ht="18" customHeight="1">
      <x:c r="A5" s="24" t="str">
        <x:v>EEZ_396</x:v>
      </x:c>
      <x:c r="B5" s="24" t="str">
        <x:v>Johnston Atoll (USA)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29.009930177</x:v>
      </x:c>
      <x:c r="J5" s="31" t="n">
        <x:v>28.7877666361</x:v>
      </x:c>
      <x:c r="K5" s="31" t="n">
        <x:v>0.22216354089999998</x:v>
      </x:c>
      <x:c r="L5" s="31" t="n">
        <x:v>28.7877666361</x:v>
      </x:c>
      <x:c r="M5" s="31" t="n">
        <x:v>0.22216354089999998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74567.00218538003</x:v>
      </x:c>
    </x:row>
    <x:row r="6" ht="18" customHeight="1">
      <x:c r="A6" s="24" t="str">
        <x:v>EEZ_396</x:v>
      </x:c>
      <x:c r="B6" s="24" t="str">
        <x:v>Johnston Atoll (USA)</x:v>
      </x:c>
      <x:c r="C6" s="24" t="str">
        <x:v>EEZ</x:v>
      </x:c>
      <x:c r="D6" s="30" t="n">
        <x:v>2019</x:v>
      </x:c>
      <x:c r="E6" s="24" t="str">
        <x:v>Acanthocybium solandri</x:v>
      </x:c>
      <x:c r="F6" s="24" t="str">
        <x:v>Wahoo</x:v>
      </x:c>
      <x:c r="G6" s="24" t="str">
        <x:v>Large pelagics (&gt;=90 cm)</x:v>
      </x:c>
      <x:c r="H6" s="24" t="str">
        <x:v>Perch-likes</x:v>
      </x:c>
      <x:c r="I6" s="31" t="n">
        <x:v>18.9846875402</x:v>
      </x:c>
      <x:c r="J6" s="31" t="n">
        <x:v>18.2238374949</x:v>
      </x:c>
      <x:c r="K6" s="31" t="n">
        <x:v>0.7608500453</x:v>
      </x:c>
      <x:c r="L6" s="31" t="n">
        <x:v>18.2238374949</x:v>
      </x:c>
      <x:c r="M6" s="31" t="n">
        <x:v>0.7608500453</x:v>
      </x:c>
      <x:c r="N6" s="24" t="str">
        <x:v>acanthocybium solandri</x:v>
      </x:c>
      <x:c r="O6" s="32" t="n">
        <x:v>4.26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Acanthocybium solandri</x:v>
      </x:c>
      <x:c r="T6" s="32" t="n">
        <x:f>IF(O6="","",(1/'Metadata'!$B$5)^(O6-1))</x:f>
        <x:v>1819.7008586099826</x:v>
      </x:c>
      <x:c r="U6" s="31" t="n">
        <x:f>IF(T6="","",I6*T6)</x:f>
        <x:v>34546.45221734418</x:v>
      </x:c>
    </x:row>
    <x:row r="7" ht="18" customHeight="1">
      <x:c r="A7" s="24" t="str">
        <x:v>EEZ_396</x:v>
      </x:c>
      <x:c r="B7" s="24" t="str">
        <x:v>Johnston Atoll (USA)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18.1013877619</x:v>
      </x:c>
      <x:c r="J7" s="31" t="n">
        <x:v>14.463942568699999</x:v>
      </x:c>
      <x:c r="K7" s="31" t="n">
        <x:v>3.6374451932</x:v>
      </x:c>
      <x:c r="L7" s="31" t="n">
        <x:v>14.463942568699999</x:v>
      </x:c>
      <x:c r="M7" s="31" t="n">
        <x:v>3.6374451932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4052.3959419987787</x:v>
      </x:c>
    </x:row>
    <x:row r="8" ht="18" customHeight="1">
      <x:c r="A8" s="24" t="str">
        <x:v>EEZ_396</x:v>
      </x:c>
      <x:c r="B8" s="24" t="str">
        <x:v>Johnston Atoll (USA)</x:v>
      </x:c>
      <x:c r="C8" s="24" t="str">
        <x:v>EEZ</x:v>
      </x:c>
      <x:c r="D8" s="30" t="n">
        <x:v>2019</x:v>
      </x:c>
      <x:c r="E8" s="24" t="str">
        <x:v>Xiphias gladius</x:v>
      </x:c>
      <x:c r="F8" s="24" t="str">
        <x:v>Swordfish</x:v>
      </x:c>
      <x:c r="G8" s="24" t="str">
        <x:v>Large pelagics (&gt;=90 cm)</x:v>
      </x:c>
      <x:c r="H8" s="24" t="str">
        <x:v>Tuna &amp; billfishes</x:v>
      </x:c>
      <x:c r="I8" s="31" t="n">
        <x:v>7.4493485971</x:v>
      </x:c>
      <x:c r="J8" s="31" t="n">
        <x:v>4.1222392081</x:v>
      </x:c>
      <x:c r="K8" s="31" t="n">
        <x:v>3.327109389</x:v>
      </x:c>
      <x:c r="L8" s="31" t="n">
        <x:v>4.1222392081</x:v>
      </x:c>
      <x:c r="M8" s="31" t="n">
        <x:v>3.327109389</x:v>
      </x:c>
      <x:c r="N8" s="24" t="str">
        <x:v>xiphias gladius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Xiphias gladius</x:v>
      </x:c>
      <x:c r="T8" s="32" t="n">
        <x:f>IF(O8="","",(1/'Metadata'!$B$5)^(O8-1))</x:f>
        <x:v>3388.4415613920273</x:v>
      </x:c>
      <x:c r="U8" s="31" t="n">
        <x:f>IF(T8="","",I8*T8)</x:f>
        <x:v>25241.682391711034</x:v>
      </x:c>
    </x:row>
    <x:row r="9" ht="18" customHeight="1">
      <x:c r="A9" s="24" t="str">
        <x:v>EEZ_396</x:v>
      </x:c>
      <x:c r="B9" s="24" t="str">
        <x:v>Johnston Atoll (USA)</x:v>
      </x:c>
      <x:c r="C9" s="24" t="str">
        <x:v>EEZ</x:v>
      </x:c>
      <x:c r="D9" s="30" t="n">
        <x:v>2019</x:v>
      </x:c>
      <x:c r="E9" s="24" t="str">
        <x:v>Thunnus alalunga</x:v>
      </x:c>
      <x:c r="F9" s="24" t="str">
        <x:v>Albacore</x:v>
      </x:c>
      <x:c r="G9" s="24" t="str">
        <x:v>Large pelagics (&gt;=90 cm)</x:v>
      </x:c>
      <x:c r="H9" s="24" t="str">
        <x:v>Tuna &amp; billfishes</x:v>
      </x:c>
      <x:c r="I9" s="31" t="n">
        <x:v>4.9683301703</x:v>
      </x:c>
      <x:c r="J9" s="31" t="n">
        <x:v>4.9683301703</x:v>
      </x:c>
      <x:c r="K9" s="31" t="n">
        <x:v>0</x:v>
      </x:c>
      <x:c r="L9" s="31" t="n">
        <x:v>4.9683301703</x:v>
      </x:c>
      <x:c r="M9" s="31" t="n">
        <x:v>0</x:v>
      </x:c>
      <x:c r="N9" s="24" t="str">
        <x:v>thunnus alalunga</x:v>
      </x:c>
      <x:c r="O9" s="32" t="n">
        <x:v>4.3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alalunga</x:v>
      </x:c>
      <x:c r="T9" s="32" t="n">
        <x:f>IF(O9="","",(1/'Metadata'!$B$5)^(O9-1))</x:f>
        <x:v>1995.2623149688789</x:v>
      </x:c>
      <x:c r="U9" s="31" t="n">
        <x:f>IF(T9="","",I9*T9)</x:f>
        <x:v>9913.121957122501</x:v>
      </x:c>
    </x:row>
    <x:row r="10" ht="18" customHeight="1">
      <x:c r="A10" s="24" t="str">
        <x:v>EEZ_396</x:v>
      </x:c>
      <x:c r="B10" s="24" t="str">
        <x:v>Johnston Atoll (USA)</x:v>
      </x:c>
      <x:c r="C10" s="24" t="str">
        <x:v>EEZ</x:v>
      </x:c>
      <x:c r="D10" s="30" t="n">
        <x:v>2019</x:v>
      </x:c>
      <x:c r="E10" s="24" t="str">
        <x:v>Elasmobranchii</x:v>
      </x:c>
      <x:c r="F10" s="24" t="str">
        <x:v>Sharks, rays, skates</x:v>
      </x:c>
      <x:c r="G10" s="24" t="str">
        <x:v>Large sharks (&gt;=90 cm)</x:v>
      </x:c>
      <x:c r="H10" s="24" t="str">
        <x:v>Sharks &amp; rays</x:v>
      </x:c>
      <x:c r="I10" s="31" t="n">
        <x:v>3.9989878498</x:v>
      </x:c>
      <x:c r="J10" s="31" t="n">
        <x:v>3.9989878498</x:v>
      </x:c>
      <x:c r="K10" s="31" t="n">
        <x:v>0</x:v>
      </x:c>
      <x:c r="L10" s="31" t="n">
        <x:v>3.9989878498</x:v>
      </x:c>
      <x:c r="M10" s="31" t="n">
        <x:v>0</x:v>
      </x:c>
      <x:c r="N10" s="24" t="str">
        <x:v>elasmobranchii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Elasmobranchii</x:v>
      </x:c>
      <x:c r="T10" s="32" t="n">
        <x:f>IF(O10="","",(1/'Metadata'!$B$5)^(O10-1))</x:f>
        <x:v>1122.018454301963</x:v>
      </x:c>
      <x:c r="U10" s="31" t="n">
        <x:f>IF(T10="","",I10*T10)</x:f>
        <x:v>4486.938166004927</x:v>
      </x:c>
    </x:row>
    <x:row r="11" ht="18" customHeight="1">
      <x:c r="A11" s="24" t="str">
        <x:v>EEZ_396</x:v>
      </x:c>
      <x:c r="B11" s="24" t="str">
        <x:v>Johnston Atoll (USA)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3.9053144482</x:v>
      </x:c>
      <x:c r="J11" s="31" t="n">
        <x:v>0.5674262596</x:v>
      </x:c>
      <x:c r="K11" s="31" t="n">
        <x:v>3.3378881886</x:v>
      </x:c>
      <x:c r="L11" s="31" t="n">
        <x:v>0.5674262596</x:v>
      </x:c>
      <x:c r="M11" s="31" t="n">
        <x:v>3.3378881886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7106.5040545315105</x:v>
      </x:c>
    </x:row>
    <x:row r="12" ht="18" customHeight="1">
      <x:c r="A12" s="24" t="str">
        <x:v>EEZ_396</x:v>
      </x:c>
      <x:c r="B12" s="24" t="str">
        <x:v>Johnston Atoll (USA)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3.4094515655</x:v>
      </x:c>
      <x:c r="J12" s="31" t="n">
        <x:v>0.1073676027</x:v>
      </x:c>
      <x:c r="K12" s="31" t="n">
        <x:v>3.3020839628000003</x:v>
      </x:c>
      <x:c r="L12" s="31" t="n">
        <x:v>0.1073676027</x:v>
      </x:c>
      <x:c r="M12" s="31" t="n">
        <x:v>3.3020839628000003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10781.632519006758</x:v>
      </x:c>
    </x:row>
    <x:row r="13" ht="18" customHeight="1">
      <x:c r="A13" s="24" t="str">
        <x:v>EEZ_396</x:v>
      </x:c>
      <x:c r="B13" s="24" t="str">
        <x:v>Johnston Atoll (USA)</x:v>
      </x:c>
      <x:c r="C13" s="24" t="str">
        <x:v>EEZ</x:v>
      </x:c>
      <x:c r="D13" s="30" t="n">
        <x:v>2019</x:v>
      </x:c>
      <x:c r="E13" s="24" t="str">
        <x:v>Kajikia audax</x:v>
      </x:c>
      <x:c r="F13" s="24" t="str">
        <x:v>Striped marlin</x:v>
      </x:c>
      <x:c r="G13" s="24" t="str">
        <x:v>Large pelagics (&gt;=90 cm)</x:v>
      </x:c>
      <x:c r="H13" s="24" t="str">
        <x:v>Tuna &amp; billfishes</x:v>
      </x:c>
      <x:c r="I13" s="31" t="n">
        <x:v>3.2003372559</x:v>
      </x:c>
      <x:c r="J13" s="31" t="n">
        <x:v>3.2003372559</x:v>
      </x:c>
      <x:c r="K13" s="31" t="n">
        <x:v>0</x:v>
      </x:c>
      <x:c r="L13" s="31" t="n">
        <x:v>3.2003372559</x:v>
      </x:c>
      <x:c r="M13" s="31" t="n">
        <x:v>0</x:v>
      </x:c>
      <x:c r="N13" s="24" t="str">
        <x:v>kajikia audax</x:v>
      </x:c>
      <x:c r="O13" s="32" t="n">
        <x:v>4.58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audax</x:v>
      </x:c>
      <x:c r="T13" s="32" t="n">
        <x:f>IF(O13="","",(1/'Metadata'!$B$5)^(O13-1))</x:f>
        <x:v>3801.8939632056126</x:v>
      </x:c>
      <x:c r="U13" s="31" t="n">
        <x:f>IF(T13="","",I13*T13)</x:f>
        <x:v>12167.342893428226</x:v>
      </x:c>
    </x:row>
    <x:row r="14" ht="18" customHeight="1">
      <x:c r="A14" s="24" t="str">
        <x:v>EEZ_396</x:v>
      </x:c>
      <x:c r="B14" s="24" t="str">
        <x:v>Johnston Atoll (USA)</x:v>
      </x:c>
      <x:c r="C14" s="24" t="str">
        <x:v>EEZ</x:v>
      </x:c>
      <x:c r="D14" s="30" t="n">
        <x:v>2019</x:v>
      </x:c>
      <x:c r="E14" s="24" t="str">
        <x:v>Katsuwonus pelamis</x:v>
      </x:c>
      <x:c r="F14" s="24" t="str">
        <x:v>Skipjack tuna</x:v>
      </x:c>
      <x:c r="G14" s="24" t="str">
        <x:v>Large pelagics (&gt;=90 cm)</x:v>
      </x:c>
      <x:c r="H14" s="24" t="str">
        <x:v>Tuna &amp; billfishes</x:v>
      </x:c>
      <x:c r="I14" s="31" t="n">
        <x:v>2.9607476688</x:v>
      </x:c>
      <x:c r="J14" s="31" t="n">
        <x:v>2.9607476688</x:v>
      </x:c>
      <x:c r="K14" s="31" t="n">
        <x:v>0</x:v>
      </x:c>
      <x:c r="L14" s="31" t="n">
        <x:v>2.9607476688</x:v>
      </x:c>
      <x:c r="M14" s="31" t="n">
        <x:v>0</x:v>
      </x:c>
      <x:c r="N14" s="24" t="str">
        <x:v>katsuwonus pelamis</x:v>
      </x:c>
      <x:c r="O14" s="32" t="n">
        <x:v>4.43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Katsuwonus pelamis</x:v>
      </x:c>
      <x:c r="T14" s="32" t="n">
        <x:f>IF(O14="","",(1/'Metadata'!$B$5)^(O14-1))</x:f>
        <x:v>2691.534803926914</x:v>
      </x:c>
      <x:c r="U14" s="31" t="n">
        <x:f>IF(T14="","",I14*T14)</x:f>
        <x:v>7968.955396220675</x:v>
      </x:c>
    </x:row>
    <x:row r="15" ht="18" customHeight="1">
      <x:c r="A15" s="24" t="str">
        <x:v>EEZ_396</x:v>
      </x:c>
      <x:c r="B15" s="24" t="str">
        <x:v>Johnston Atoll (USA)</x:v>
      </x:c>
      <x:c r="C15" s="24" t="str">
        <x:v>EEZ</x:v>
      </x:c>
      <x:c r="D15" s="30" t="n">
        <x:v>2019</x:v>
      </x:c>
      <x:c r="E15" s="24" t="str">
        <x:v>Coryphaena hippurus</x:v>
      </x:c>
      <x:c r="F15" s="24" t="str">
        <x:v>Common dolphinfish</x:v>
      </x:c>
      <x:c r="G15" s="24" t="str">
        <x:v>Large pelagics (&gt;=90 cm)</x:v>
      </x:c>
      <x:c r="H15" s="24" t="str">
        <x:v>Perch-likes</x:v>
      </x:c>
      <x:c r="I15" s="31" t="n">
        <x:v>2.8641783226</x:v>
      </x:c>
      <x:c r="J15" s="31" t="n">
        <x:v>1.6254838673</x:v>
      </x:c>
      <x:c r="K15" s="31" t="n">
        <x:v>1.2386944553</x:v>
      </x:c>
      <x:c r="L15" s="31" t="n">
        <x:v>1.6254838673</x:v>
      </x:c>
      <x:c r="M15" s="31" t="n">
        <x:v>1.2386944553</x:v>
      </x:c>
      <x:c r="N15" s="24" t="str">
        <x:v>coryphaena hippurus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Coryphaena hippurus</x:v>
      </x:c>
      <x:c r="T15" s="32" t="n">
        <x:f>IF(O15="","",(1/'Metadata'!$B$5)^(O15-1))</x:f>
        <x:v>2344.228815319923</x:v>
      </x:c>
      <x:c r="U15" s="31" t="n">
        <x:f>IF(T15="","",I15*T15)</x:f>
        <x:v>6714.289356053602</x:v>
      </x:c>
    </x:row>
    <x:row r="16" ht="18" customHeight="1">
      <x:c r="A16" s="24" t="str">
        <x:v>EEZ_396</x:v>
      </x:c>
      <x:c r="B16" s="24" t="str">
        <x:v>Johnston Atoll (USA)</x:v>
      </x:c>
      <x:c r="C16" s="24" t="str">
        <x:v>EEZ</x:v>
      </x:c>
      <x:c r="D16" s="30" t="n">
        <x:v>2019</x:v>
      </x:c>
      <x:c r="E16" s="24" t="str">
        <x:v>Carcharhinus longimanus</x:v>
      </x:c>
      <x:c r="F16" s="24" t="str">
        <x:v>Oceanic whitetip shark</x:v>
      </x:c>
      <x:c r="G16" s="24" t="str">
        <x:v>Large sharks (&gt;=90 cm)</x:v>
      </x:c>
      <x:c r="H16" s="24" t="str">
        <x:v>Sharks &amp; rays</x:v>
      </x:c>
      <x:c r="I16" s="31" t="n">
        <x:v>1.3139030706000001</x:v>
      </x:c>
      <x:c r="J16" s="31" t="n">
        <x:v>0</x:v>
      </x:c>
      <x:c r="K16" s="31" t="n">
        <x:v>1.3139030706000001</x:v>
      </x:c>
      <x:c r="L16" s="31" t="n">
        <x:v>0</x:v>
      </x:c>
      <x:c r="M16" s="31" t="n">
        <x:v>1.3139030706000001</x:v>
      </x:c>
      <x:c r="N16" s="24" t="str">
        <x:v>carcharhinus longimanus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longimanus</x:v>
      </x:c>
      <x:c r="T16" s="32" t="n">
        <x:f>IF(O16="","",(1/'Metadata'!$B$5)^(O16-1))</x:f>
        <x:v>1445.439770745928</x:v>
      </x:c>
      <x:c r="U16" s="31" t="n">
        <x:f>IF(T16="","",I16*T16)</x:f>
        <x:v>1899.167753150435</x:v>
      </x:c>
    </x:row>
    <x:row r="17" ht="18" customHeight="1">
      <x:c r="A17" s="24" t="str">
        <x:v>EEZ_396</x:v>
      </x:c>
      <x:c r="B17" s="24" t="str">
        <x:v>Johnston Atoll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0.8567223715</x:v>
      </x:c>
      <x:c r="J17" s="31" t="n">
        <x:v>0.8567223715</x:v>
      </x:c>
      <x:c r="K17" s="31" t="n">
        <x:v>0</x:v>
      </x:c>
      <x:c r="L17" s="31" t="n">
        <x:v>0.8567223715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2709.194016360925</x:v>
      </x:c>
    </x:row>
    <x:row r="18" ht="18" customHeight="1">
      <x:c r="A18" s="24" t="str">
        <x:v>EEZ_396</x:v>
      </x:c>
      <x:c r="B18" s="24" t="str">
        <x:v>Johnston Atoll (USA)</x:v>
      </x:c>
      <x:c r="C18" s="24" t="str">
        <x:v>EEZ</x:v>
      </x:c>
      <x:c r="D18" s="30" t="n">
        <x:v>2019</x:v>
      </x:c>
      <x:c r="E18" s="24" t="str">
        <x:v>Istiophoridae</x:v>
      </x:c>
      <x:c r="F18" s="24" t="str">
        <x:v>Billfishes</x:v>
      </x:c>
      <x:c r="G18" s="24" t="str">
        <x:v>Large pelagics (&gt;=90 cm)</x:v>
      </x:c>
      <x:c r="H18" s="24" t="str">
        <x:v>Tuna &amp; billfishes</x:v>
      </x:c>
      <x:c r="I18" s="31" t="n">
        <x:v>0.6703290217</x:v>
      </x:c>
      <x:c r="J18" s="31" t="n">
        <x:v>0</x:v>
      </x:c>
      <x:c r="K18" s="31" t="n">
        <x:v>0.6703290217</x:v>
      </x:c>
      <x:c r="L18" s="31" t="n">
        <x:v>0</x:v>
      </x:c>
      <x:c r="M18" s="31" t="n">
        <x:v>0.6703290217</x:v>
      </x:c>
      <x:c r="N18" s="24" t="str">
        <x:v>istiophoridae</x:v>
      </x:c>
      <x:c r="O18" s="32" t="n">
        <x:v>4.48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Istiophoridae</x:v>
      </x:c>
      <x:c r="T18" s="32" t="n">
        <x:f>IF(O18="","",(1/'Metadata'!$B$5)^(O18-1))</x:f>
        <x:v>3019.951720402019</x:v>
      </x:c>
      <x:c r="U18" s="31" t="n">
        <x:f>IF(T18="","",I18*T18)</x:f>
        <x:v>2024.3612823183173</x:v>
      </x:c>
    </x:row>
    <x:row r="19" ht="18" customHeight="1">
      <x:c r="A19" s="24" t="str">
        <x:v>EEZ_396</x:v>
      </x:c>
      <x:c r="B19" s="24" t="str">
        <x:v>Johnston Atoll (USA)</x:v>
      </x:c>
      <x:c r="C19" s="24" t="str">
        <x:v>EEZ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0.2809233203</x:v>
      </x:c>
      <x:c r="J19" s="31" t="n">
        <x:v>0.0157147769</x:v>
      </x:c>
      <x:c r="K19" s="31" t="n">
        <x:v>0.2652085434</x:v>
      </x:c>
      <x:c r="L19" s="31" t="n">
        <x:v>0.0157147769</x:v>
      </x:c>
      <x:c r="M19" s="31" t="n">
        <x:v>0.2652085434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888.3575400050162</x:v>
      </x:c>
    </x:row>
    <x:row r="20" ht="18" customHeight="1">
      <x:c r="A20" s="24" t="str">
        <x:v>EEZ_396</x:v>
      </x:c>
      <x:c r="B20" s="24" t="str">
        <x:v>Johnston Atoll (USA)</x:v>
      </x:c>
      <x:c r="C20" s="24" t="str">
        <x:v>EEZ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0.1446098821</x:v>
      </x:c>
      <x:c r="J20" s="31" t="n">
        <x:v>0</x:v>
      </x:c>
      <x:c r="K20" s="31" t="n">
        <x:v>0.1446098821</x:v>
      </x:c>
      <x:c r="L20" s="31" t="n">
        <x:v>0</x:v>
      </x:c>
      <x:c r="M20" s="31" t="n">
        <x:v>0.1446098821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467.9484057690137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5054262920d4e4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50.4068061383</x:v>
      </x:c>
      <x:c r="C2" s="32" t="n">
        <x:v>3.3051374217175455</x:v>
      </x:c>
      <x:c r="D2" s="32" t="n">
        <x:f>IF(C2="","",(1/'Metadata'!$B$5)^(C2-1))</x:f>
        <x:v>201.90051267134083</x:v>
      </x:c>
      <x:c r="E2" s="31" t="n">
        <x:f>IF(B2=0,"",B2*D2)</x:f>
        <x:v>10177.160001447659</x:v>
      </x:c>
    </x:row>
    <x:row r="3" ht="18" customHeight="1">
      <x:c r="A3" s="24" t="str">
        <x:v>Perch-likes</x:v>
      </x:c>
      <x:c r="B3" s="31" t="n">
        <x:v>25.754180311</x:v>
      </x:c>
      <x:c r="C3" s="32" t="n">
        <x:v>4.272233338886403</x:v>
      </x:c>
      <x:c r="D3" s="32" t="n">
        <x:f>IF(C3="","",(1/'Metadata'!$B$5)^(C3-1))</x:f>
        <x:v>1871.6874954632224</x:v>
      </x:c>
      <x:c r="E3" s="31" t="n">
        <x:f>IF(B3=0,"",B3*D3)</x:f>
        <x:v>48203.777244003824</x:v>
      </x:c>
    </x:row>
    <x:row r="4" ht="18" customHeight="1">
      <x:c r="A4" s="24" t="str">
        <x:v>Sharks &amp; rays</x:v>
      </x:c>
      <x:c r="B4" s="31" t="n">
        <x:v>56.0261987971</x:v>
      </x:c>
      <x:c r="C4" s="32" t="n">
        <x:v>4.3344243560497775</x:v>
      </x:c>
      <x:c r="D4" s="32" t="n">
        <x:f>IF(C4="","",(1/'Metadata'!$B$5)^(C4-1))</x:f>
        <x:v>2159.8538059486864</x:v>
      </x:c>
      <x:c r="E4" s="31" t="n">
        <x:f>IF(B4=0,"",B4*D4)</x:f>
        <x:v>121008.39870475416</x:v>
      </x:c>
    </x:row>
    <x:row r="5" ht="18" customHeight="1">
      <x:c r="A5" s="24" t="str">
        <x:v>Tuna &amp; billfishes</x:v>
      </x:c>
      <x:c r="B5" s="31" t="n">
        <x:v>176.11076267529998</x:v>
      </x:c>
      <x:c r="C5" s="32" t="n">
        <x:v>4.473791145226627</x:v>
      </x:c>
      <x:c r="D5" s="32" t="n">
        <x:f>IF(C5="","",(1/'Metadata'!$B$5)^(C5-1))</x:f>
        <x:v>2977.084387707703</x:v>
      </x:c>
      <x:c r="E5" s="31" t="n">
        <x:f>IF(B5=0,"",B5*D5)</x:f>
        <x:v>524296.602067932</x:v>
      </x:c>
    </x:row>
  </x:sheetData>
  <x:pageMargins left="0.7" right="0.7" top="0.75" bottom="0.75" header="0.3" footer="0.3"/>
  <x:tableParts count="1">
    <x:tablePart xmlns:r="http://schemas.openxmlformats.org/officeDocument/2006/relationships" r:id="Rcc9b86a7f10245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197.95962853810005</x:v>
      </x:c>
      <x:c r="C2" s="32" t="n">
        <x:v>4.451786484622878</x:v>
      </x:c>
      <x:c r="D2" s="32" t="n">
        <x:f>IF(C2="","",(1/'Metadata'!$B$5)^(C2-1))</x:f>
        <x:v>2830.0003199419225</x:v>
      </x:c>
      <x:c r="E2" s="31" t="n">
        <x:f>IF(B2=0,"",B2*D2)</x:f>
        <x:v>560225.8120984073</x:v>
      </x:c>
    </x:row>
    <x:row r="3" ht="18" customHeight="1">
      <x:c r="A3" s="24" t="str">
        <x:v>Large sharks (&gt;=90 cm)</x:v>
      </x:c>
      <x:c r="B3" s="31" t="n">
        <x:v>56.0261987971</x:v>
      </x:c>
      <x:c r="C3" s="32" t="n">
        <x:v>4.3344243560497775</x:v>
      </x:c>
      <x:c r="D3" s="32" t="n">
        <x:f>IF(C3="","",(1/'Metadata'!$B$5)^(C3-1))</x:f>
        <x:v>2159.8538059486864</x:v>
      </x:c>
      <x:c r="E3" s="31" t="n">
        <x:f>IF(B3=0,"",B3*D3)</x:f>
        <x:v>121008.39870475416</x:v>
      </x:c>
    </x:row>
    <x:row r="4" ht="18" customHeight="1">
      <x:c r="A4" s="24" t="str">
        <x:v>Medium demersals (30 - 89 cm)</x:v>
      </x:c>
      <x:c r="B4" s="31" t="n">
        <x:v>32.3054183764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6155.67056935982</x:v>
      </x:c>
    </x:row>
    <x:row r="5" ht="18" customHeight="1">
      <x:c r="A5" s="24" t="str">
        <x:v>Medium pelagics (30 - 89 cm)</x:v>
      </x:c>
      <x:c r="B5" s="31" t="n">
        <x:v>22.0067022101</x:v>
      </x:c>
      <x:c r="C5" s="32" t="n">
        <x:v>3.5114888098149923</x:v>
      </x:c>
      <x:c r="D5" s="32" t="n">
        <x:f>IF(C5="","",(1/'Metadata'!$B$5)^(C5-1))</x:f>
        <x:v>324.7048755995088</x:v>
      </x:c>
      <x:c r="E5" s="31" t="n">
        <x:f>IF(B5=0,"",B5*D5)</x:f>
        <x:v>7145.683503485955</x:v>
      </x:c>
    </x:row>
  </x:sheetData>
  <x:pageMargins left="0.7" right="0.7" top="0.75" bottom="0.75" header="0.3" footer="0.3"/>
  <x:tableParts count="1">
    <x:tablePart xmlns:r="http://schemas.openxmlformats.org/officeDocument/2006/relationships" r:id="Rbf7cb7885ef341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EEZ_396</x:v>
      </x:c>
      <x:c r="B2" s="24" t="str">
        <x:v>raw_filtered_tonnes</x:v>
      </x:c>
      <x:c r="C2" s="24" t="n">
        <x:v>308.2979479216999</x:v>
      </x:c>
      <x:c r="D2" s="24" t="str">
        <x:v>tonnes</x:v>
      </x:c>
    </x:row>
    <x:row r="3" ht="18" customHeight="1">
      <x:c r="A3" s="24" t="str">
        <x:v>EEZ_396</x:v>
      </x:c>
      <x:c r="B3" s="24" t="str">
        <x:v>species_catch_tonnes</x:v>
      </x:c>
      <x:c r="C3" s="24" t="n">
        <x:v>308.29794792170003</x:v>
      </x:c>
      <x:c r="D3" s="24" t="str">
        <x:v>tonnes</x:v>
      </x:c>
    </x:row>
    <x:row r="4" ht="18" customHeight="1">
      <x:c r="A4" s="24" t="str">
        <x:v>EEZ_396</x:v>
      </x:c>
      <x:c r="B4" s="24" t="str">
        <x:v>catch_difference_tonnes</x:v>
      </x:c>
      <x:c r="C4" s="24" t="n">
        <x:v>1.1368683772161603e-13</x:v>
      </x:c>
      <x:c r="D4" s="24" t="str">
        <x:v>tonnes</x:v>
      </x:c>
    </x:row>
    <x:row r="5" ht="18" customHeight="1">
      <x:c r="A5" s="24" t="str">
        <x:v>EEZ_396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EEZ_396</x:v>
      </x:c>
      <x:c r="B6" s="24" t="str">
        <x:v>matched_catch_tonnes</x:v>
      </x:c>
      <x:c r="C6" s="24" t="n">
        <x:v>308.29794792170003</x:v>
      </x:c>
      <x:c r="D6" s="24" t="str">
        <x:v>tonnes</x:v>
      </x:c>
    </x:row>
    <x:row r="7" ht="18" customHeight="1">
      <x:c r="A7" s="24" t="str">
        <x:v>EEZ_396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EEZ_396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EEZ_396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EEZ_396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EEZ_396</x:v>
      </x:c>
      <x:c r="B11" s="24" t="str">
        <x:v>species_ppr</x:v>
      </x:c>
      <x:c r="C11" s="24" t="n">
        <x:v>709090.631793451</x:v>
      </x:c>
      <x:c r="D11" s="24" t="str">
        <x:v>tonnes_primary_production_equivalent</x:v>
      </x:c>
    </x:row>
    <x:row r="12" ht="18" customHeight="1">
      <x:c r="A12" s="24" t="str">
        <x:v>EEZ_396</x:v>
      </x:c>
      <x:c r="B12" s="24" t="str">
        <x:v>commercial_ppr</x:v>
      </x:c>
      <x:c r="C12" s="24" t="n">
        <x:v>703685.9380181376</x:v>
      </x:c>
      <x:c r="D12" s="24" t="str">
        <x:v>tonnes_primary_production_equivalent</x:v>
      </x:c>
    </x:row>
    <x:row r="13" ht="18" customHeight="1">
      <x:c r="A13" s="24" t="str">
        <x:v>EEZ_396</x:v>
      </x:c>
      <x:c r="B13" s="24" t="str">
        <x:v>functional_ppr</x:v>
      </x:c>
      <x:c r="C13" s="24" t="n">
        <x:v>694535.5648760073</x:v>
      </x:c>
      <x:c r="D13" s="24" t="str">
        <x:v>tonnes_primary_production_equivalent</x:v>
      </x:c>
    </x:row>
    <x:row r="14" ht="18" customHeight="1">
      <x:c r="A14" s="24" t="str">
        <x:v>EEZ_396</x:v>
      </x:c>
      <x:c r="B14" s="24" t="str">
        <x:v>commercial_ppr_difference</x:v>
      </x:c>
      <x:c r="C14" s="24" t="n">
        <x:v>-5404.693775313441</x:v>
      </x:c>
      <x:c r="D14" s="24" t="str">
        <x:v>tonnes_primary_production_equivalent</x:v>
      </x:c>
    </x:row>
    <x:row r="15" ht="18" customHeight="1">
      <x:c r="A15" s="24" t="str">
        <x:v>EEZ_396</x:v>
      </x:c>
      <x:c r="B15" s="24" t="str">
        <x:v>functional_ppr_difference</x:v>
      </x:c>
      <x:c r="C15" s="24" t="n">
        <x:v>-14555.066917443764</x:v>
      </x:c>
      <x:c r="D15" s="24" t="str">
        <x:v>tonnes_primary_production_equivalent</x:v>
      </x:c>
    </x:row>
    <x:row r="16" ht="18" customHeight="1">
      <x:c r="A16" s="24" t="str">
        <x:v>EEZ_396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EEZ_396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0f94a65e6954f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EEZ_396 - Johnston Atoll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EEZ_396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raw_data/SAU_downloads/EEZ_396-catch.zip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