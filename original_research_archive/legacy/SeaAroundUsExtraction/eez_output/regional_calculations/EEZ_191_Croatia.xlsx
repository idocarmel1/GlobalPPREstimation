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44944c640f4a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237fb157d0f4427"/>
    <x:sheet xmlns:r="http://schemas.openxmlformats.org/officeDocument/2006/relationships" name="Commercial" sheetId="2" r:id="Rb85bd52650eb46d5"/>
    <x:sheet xmlns:r="http://schemas.openxmlformats.org/officeDocument/2006/relationships" name="Functional" sheetId="3" r:id="R1a0f50da72494f1a"/>
    <x:sheet xmlns:r="http://schemas.openxmlformats.org/officeDocument/2006/relationships" name="Missing TL" sheetId="4" r:id="R2e18ec7e46d943a4"/>
    <x:sheet xmlns:r="http://schemas.openxmlformats.org/officeDocument/2006/relationships" name="Validation" sheetId="5" r:id="R549eded1bbc24ad4"/>
    <x:sheet xmlns:r="http://schemas.openxmlformats.org/officeDocument/2006/relationships" name="Metadata" sheetId="6" r:id="R786ef27533fb41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b3d6e06d8741c3" /><Relationship Type="http://schemas.openxmlformats.org/officeDocument/2006/relationships/theme" Target="/xl/theme/theme1.xml" Id="R8c24af065f7144ac" /><Relationship Type="http://schemas.microsoft.com/office/2022/11/relationships/FeaturePropertyBag" Target="/xl/featurePropertyBag/featurePropertyBag.xml" Id="R2776caa62e8944c5" /><Relationship Type="http://schemas.openxmlformats.org/officeDocument/2006/relationships/sharedStrings" Target="/xl/sharedStrings.xml" Id="R0fda5437d88f4818" /><Relationship Type="http://schemas.openxmlformats.org/officeDocument/2006/relationships/worksheet" Target="/xl/worksheets/sheet1.xml" Id="R8237fb157d0f4427" /><Relationship Type="http://schemas.openxmlformats.org/officeDocument/2006/relationships/worksheet" Target="/xl/worksheets/sheet2.xml" Id="Rb85bd52650eb46d5" /><Relationship Type="http://schemas.openxmlformats.org/officeDocument/2006/relationships/worksheet" Target="/xl/worksheets/sheet3.xml" Id="R1a0f50da72494f1a" /><Relationship Type="http://schemas.openxmlformats.org/officeDocument/2006/relationships/worksheet" Target="/xl/worksheets/sheet4.xml" Id="R2e18ec7e46d943a4" /><Relationship Type="http://schemas.openxmlformats.org/officeDocument/2006/relationships/worksheet" Target="/xl/worksheets/sheet5.xml" Id="R549eded1bbc24ad4" /><Relationship Type="http://schemas.openxmlformats.org/officeDocument/2006/relationships/worksheet" Target="/xl/worksheets/sheet6.xml" Id="R786ef27533fb41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91SpeciesTable" displayName="EEZ191SpeciesTable" ref="A1:U46" headerRowCount="1" totalsRowCount="0" totalsRowShown="0">
  <x:autoFilter ref="A1:U4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91CommercialTable" displayName="EEZ191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91FunctionalTable" displayName="EEZ191FunctionalTable" ref="A1:E17" headerRowCount="1" totalsRowCount="0" totalsRowShown="0">
  <x:autoFilter ref="A1:E1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91ValidationTable" displayName="EEZ19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0dfef9ff1344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84e51b9f1904e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1c412446f04b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3fb7361227408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EEZ_191</x:v>
      </x:c>
      <x:c r="B2" s="24" t="str">
        <x:v>Croatia</x:v>
      </x:c>
      <x:c r="C2" s="24" t="str">
        <x:v>EEZ</x:v>
      </x:c>
      <x:c r="D2" s="30" t="n">
        <x:v>2019</x:v>
      </x:c>
      <x:c r="E2" s="24" t="str">
        <x:v>Sardina pilchardus</x:v>
      </x:c>
      <x:c r="F2" s="24" t="str">
        <x:v>European pilchard</x:v>
      </x:c>
      <x:c r="G2" s="24" t="str">
        <x:v>Small pelagics (&lt;30 cm)</x:v>
      </x:c>
      <x:c r="H2" s="24" t="str">
        <x:v>Herring-likes</x:v>
      </x:c>
      <x:c r="I2" s="31" t="n">
        <x:v>48078.2791010458</x:v>
      </x:c>
      <x:c r="J2" s="31" t="n">
        <x:v>48078.2791010458</x:v>
      </x:c>
      <x:c r="K2" s="31" t="n">
        <x:v>0</x:v>
      </x:c>
      <x:c r="L2" s="31" t="n">
        <x:v>38358.419624999995</x:v>
      </x:c>
      <x:c r="M2" s="31" t="n">
        <x:v>9719.8594760458</x:v>
      </x:c>
      <x:c r="N2" s="24" t="str">
        <x:v>sardina pilchardus</x:v>
      </x:c>
      <x:c r="O2" s="32" t="n">
        <x:v>3.06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Sardina pilchardus</x:v>
      </x:c>
      <x:c r="T2" s="32" t="n">
        <x:f>IF(O2="","",(1/'Metadata'!$B$5)^(O2-1))</x:f>
        <x:v>114.81536214968828</x:v>
      </x:c>
      <x:c r="U2" s="31" t="n">
        <x:f>IF(T2="","",I2*T2)</x:f>
        <x:v>5520125.026520363</x:v>
      </x:c>
    </x:row>
    <x:row r="3" ht="18" customHeight="1">
      <x:c r="A3" s="24" t="str">
        <x:v>EEZ_191</x:v>
      </x:c>
      <x:c r="B3" s="24" t="str">
        <x:v>Croatia</x:v>
      </x:c>
      <x:c r="C3" s="24" t="str">
        <x:v>EEZ</x:v>
      </x:c>
      <x:c r="D3" s="30" t="n">
        <x:v>2019</x:v>
      </x:c>
      <x:c r="E3" s="24" t="str">
        <x:v>Engraulis encrasicolus</x:v>
      </x:c>
      <x:c r="F3" s="24" t="str">
        <x:v>European anchovy</x:v>
      </x:c>
      <x:c r="G3" s="24" t="str">
        <x:v>Small pelagics (&lt;30 cm)</x:v>
      </x:c>
      <x:c r="H3" s="24" t="str">
        <x:v>Anchovies</x:v>
      </x:c>
      <x:c r="I3" s="31" t="n">
        <x:v>9155.6800273604</x:v>
      </x:c>
      <x:c r="J3" s="31" t="n">
        <x:v>9155.6800273604</x:v>
      </x:c>
      <x:c r="K3" s="31" t="n">
        <x:v>0</x:v>
      </x:c>
      <x:c r="L3" s="31" t="n">
        <x:v>6799.9983</x:v>
      </x:c>
      <x:c r="M3" s="31" t="n">
        <x:v>2355.6817273603997</x:v>
      </x:c>
      <x:c r="N3" s="24" t="str">
        <x:v>engraulis encrasicolus</x:v>
      </x:c>
      <x:c r="O3" s="32" t="n">
        <x:v>3.11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Engraulis encrasicolus</x:v>
      </x:c>
      <x:c r="T3" s="32" t="n">
        <x:f>IF(O3="","",(1/'Metadata'!$B$5)^(O3-1))</x:f>
        <x:v>128.82495516931337</x:v>
      </x:c>
      <x:c r="U3" s="31" t="n">
        <x:f>IF(T3="","",I3*T3)</x:f>
        <x:v>1179480.0690692815</x:v>
      </x:c>
    </x:row>
    <x:row r="4" ht="18" customHeight="1">
      <x:c r="A4" s="24" t="str">
        <x:v>EEZ_191</x:v>
      </x:c>
      <x:c r="B4" s="24" t="str">
        <x:v>Croatia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7252.0680301879</x:v>
      </x:c>
      <x:c r="J4" s="31" t="n">
        <x:v>7030.9849086701</x:v>
      </x:c>
      <x:c r="K4" s="31" t="n">
        <x:v>221.08312151779998</x:v>
      </x:c>
      <x:c r="L4" s="31" t="n">
        <x:v>4234.5621187371</x:v>
      </x:c>
      <x:c r="M4" s="31" t="n">
        <x:v>3017.5059114508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1381853.0755520142</x:v>
      </x:c>
    </x:row>
    <x:row r="5" ht="18" customHeight="1">
      <x:c r="A5" s="24" t="str">
        <x:v>EEZ_191</x:v>
      </x:c>
      <x:c r="B5" s="24" t="str">
        <x:v>Croatia</x:v>
      </x:c>
      <x:c r="C5" s="24" t="str">
        <x:v>EEZ</x:v>
      </x:c>
      <x:c r="D5" s="30" t="n">
        <x:v>2019</x:v>
      </x:c>
      <x:c r="E5" s="24" t="str">
        <x:v>Cephalopoda</x:v>
      </x:c>
      <x:c r="F5" s="24" t="str">
        <x:v>Squids, cuttlefishes, octopuses</x:v>
      </x:c>
      <x:c r="G5" s="24" t="str">
        <x:v>Cephalopods</x:v>
      </x:c>
      <x:c r="H5" s="24" t="str">
        <x:v>Other fishes &amp; inverts</x:v>
      </x:c>
      <x:c r="I5" s="31" t="n">
        <x:v>1758.0752609207</x:v>
      </x:c>
      <x:c r="J5" s="31" t="n">
        <x:v>1291.3254318401</x:v>
      </x:c>
      <x:c r="K5" s="31" t="n">
        <x:v>466.74982908059997</x:v>
      </x:c>
      <x:c r="L5" s="31" t="n">
        <x:v>663.0000000002</x:v>
      </x:c>
      <x:c r="M5" s="31" t="n">
        <x:v>1095.0752609205</x:v>
      </x:c>
      <x:c r="N5" s="24" t="str">
        <x:v>cephalopoda</x:v>
      </x:c>
      <x:c r="O5" s="32" t="n">
        <x:v>3.81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Cephalopoda</x:v>
      </x:c>
      <x:c r="T5" s="32" t="n">
        <x:f>IF(O5="","",(1/'Metadata'!$B$5)^(O5-1))</x:f>
        <x:v>645.6542290346556</x:v>
      </x:c>
      <x:c r="U5" s="31" t="n">
        <x:f>IF(T5="","",I5*T5)</x:f>
        <x:v>1135108.7271746555</x:v>
      </x:c>
    </x:row>
    <x:row r="6" ht="18" customHeight="1">
      <x:c r="A6" s="24" t="str">
        <x:v>EEZ_191</x:v>
      </x:c>
      <x:c r="B6" s="24" t="str">
        <x:v>Croatia</x:v>
      </x:c>
      <x:c r="C6" s="24" t="str">
        <x:v>EEZ</x:v>
      </x:c>
      <x:c r="D6" s="30" t="n">
        <x:v>2019</x:v>
      </x:c>
      <x:c r="E6" s="24" t="str">
        <x:v>Thunnus thynnus</x:v>
      </x:c>
      <x:c r="F6" s="24" t="str">
        <x:v>Atlantic bluefin tuna</x:v>
      </x:c>
      <x:c r="G6" s="24" t="str">
        <x:v>Large pelagics (&gt;=90 cm)</x:v>
      </x:c>
      <x:c r="H6" s="24" t="str">
        <x:v>Tuna &amp; billfishes</x:v>
      </x:c>
      <x:c r="I6" s="31" t="n">
        <x:v>1630.1920126524</x:v>
      </x:c>
      <x:c r="J6" s="31" t="n">
        <x:v>1630.1920126524</x:v>
      </x:c>
      <x:c r="K6" s="31" t="n">
        <x:v>0</x:v>
      </x:c>
      <x:c r="L6" s="31" t="n">
        <x:v>1613.9738048813</x:v>
      </x:c>
      <x:c r="M6" s="31" t="n">
        <x:v>16.2182077711</x:v>
      </x:c>
      <x:c r="N6" s="24" t="str">
        <x:v>thunnus thynnus</x:v>
      </x:c>
      <x:c r="O6" s="32" t="n">
        <x:v>4.45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thynnus</x:v>
      </x:c>
      <x:c r="T6" s="32" t="n">
        <x:f>IF(O6="","",(1/'Metadata'!$B$5)^(O6-1))</x:f>
        <x:v>2818.382931264455</x:v>
      </x:c>
      <x:c r="U6" s="31" t="n">
        <x:f>IF(T6="","",I6*T6)</x:f>
        <x:v>4594505.343143173</x:v>
      </x:c>
    </x:row>
    <x:row r="7" ht="18" customHeight="1">
      <x:c r="A7" s="24" t="str">
        <x:v>EEZ_191</x:v>
      </x:c>
      <x:c r="B7" s="24" t="str">
        <x:v>Croatia</x:v>
      </x:c>
      <x:c r="C7" s="24" t="str">
        <x:v>EEZ</x:v>
      </x:c>
      <x:c r="D7" s="30" t="n">
        <x:v>2019</x:v>
      </x:c>
      <x:c r="E7" s="24" t="str">
        <x:v>Trachurus</x:v>
      </x:c>
      <x:c r="F7" s="24" t="str">
        <x:v>Jacks, horse mackerels</x:v>
      </x:c>
      <x:c r="G7" s="24" t="str">
        <x:v>Medium pelagics (30 - 89 cm)</x:v>
      </x:c>
      <x:c r="H7" s="24" t="str">
        <x:v>Perch-likes</x:v>
      </x:c>
      <x:c r="I7" s="31" t="n">
        <x:v>1498.022933485</x:v>
      </x:c>
      <x:c r="J7" s="31" t="n">
        <x:v>1498.022933485</x:v>
      </x:c>
      <x:c r="K7" s="31" t="n">
        <x:v>0</x:v>
      </x:c>
      <x:c r="L7" s="31" t="n">
        <x:v>1348.1000000000001</x:v>
      </x:c>
      <x:c r="M7" s="31" t="n">
        <x:v>149.92293348500002</x:v>
      </x:c>
      <x:c r="N7" s="24" t="str">
        <x:v>trachurus</x:v>
      </x:c>
      <x:c r="O7" s="32" t="n">
        <x:v>3.69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Trachurus</x:v>
      </x:c>
      <x:c r="T7" s="32" t="n">
        <x:f>IF(O7="","",(1/'Metadata'!$B$5)^(O7-1))</x:f>
        <x:v>489.77881936844614</x:v>
      </x:c>
      <x:c r="U7" s="31" t="n">
        <x:f>IF(T7="","",I7*T7)</x:f>
        <x:v>733699.9037491396</x:v>
      </x:c>
    </x:row>
    <x:row r="8" ht="18" customHeight="1">
      <x:c r="A8" s="24" t="str">
        <x:v>EEZ_191</x:v>
      </x:c>
      <x:c r="B8" s="24" t="str">
        <x:v>Croatia</x:v>
      </x:c>
      <x:c r="C8" s="24" t="str">
        <x:v>EEZ</x:v>
      </x:c>
      <x:c r="D8" s="30" t="n">
        <x:v>2019</x:v>
      </x:c>
      <x:c r="E8" s="24" t="str">
        <x:v>Merluccius merluccius</x:v>
      </x:c>
      <x:c r="F8" s="24" t="str">
        <x:v>European hake</x:v>
      </x:c>
      <x:c r="G8" s="24" t="str">
        <x:v>Large demersals (&gt;=90 cm)</x:v>
      </x:c>
      <x:c r="H8" s="24" t="str">
        <x:v>Cod-likes</x:v>
      </x:c>
      <x:c r="I8" s="31" t="n">
        <x:v>1227.9086414615</x:v>
      </x:c>
      <x:c r="J8" s="31" t="n">
        <x:v>1227.9086414615</x:v>
      </x:c>
      <x:c r="K8" s="31" t="n">
        <x:v>0</x:v>
      </x:c>
      <x:c r="L8" s="31" t="n">
        <x:v>967.3000000001</x:v>
      </x:c>
      <x:c r="M8" s="31" t="n">
        <x:v>260.6086414614</x:v>
      </x:c>
      <x:c r="N8" s="24" t="str">
        <x:v>merluccius merluccius</x:v>
      </x:c>
      <x:c r="O8" s="32" t="n">
        <x:v>4.42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Merluccius merluccius</x:v>
      </x:c>
      <x:c r="T8" s="32" t="n">
        <x:f>IF(O8="","",(1/'Metadata'!$B$5)^(O8-1))</x:f>
        <x:v>2630.2679918953813</x:v>
      </x:c>
      <x:c r="U8" s="31" t="n">
        <x:f>IF(T8="","",I8*T8)</x:f>
        <x:v>3229728.7966079256</x:v>
      </x:c>
    </x:row>
    <x:row r="9" ht="18" customHeight="1">
      <x:c r="A9" s="24" t="str">
        <x:v>EEZ_191</x:v>
      </x:c>
      <x:c r="B9" s="24" t="str">
        <x:v>Croatia</x:v>
      </x:c>
      <x:c r="C9" s="24" t="str">
        <x:v>EEZ</x:v>
      </x:c>
      <x:c r="D9" s="30" t="n">
        <x:v>2019</x:v>
      </x:c>
      <x:c r="E9" s="24" t="str">
        <x:v>Engraulidae</x:v>
      </x:c>
      <x:c r="F9" s="24" t="str">
        <x:v>Anchovies, round herrings</x:v>
      </x:c>
      <x:c r="G9" s="24" t="str">
        <x:v>Small pelagics (&lt;30 cm)</x:v>
      </x:c>
      <x:c r="H9" s="24" t="str">
        <x:v>Anchovies</x:v>
      </x:c>
      <x:c r="I9" s="31" t="n">
        <x:v>998.3882541078</x:v>
      </x:c>
      <x:c r="J9" s="31" t="n">
        <x:v>998.3882541078</x:v>
      </x:c>
      <x:c r="K9" s="31" t="n">
        <x:v>0</x:v>
      </x:c>
      <x:c r="L9" s="31" t="n">
        <x:v>0</x:v>
      </x:c>
      <x:c r="M9" s="31" t="n">
        <x:v>998.3882541078</x:v>
      </x:c>
      <x:c r="N9" s="24" t="str">
        <x:v>engraulidae</x:v>
      </x:c>
      <x:c r="O9" s="32" t="n">
        <x:v>3.2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Engraulidae</x:v>
      </x:c>
      <x:c r="T9" s="32" t="n">
        <x:f>IF(O9="","",(1/'Metadata'!$B$5)^(O9-1))</x:f>
        <x:v>158.48931924611142</x:v>
      </x:c>
      <x:c r="U9" s="31" t="n">
        <x:f>IF(T9="","",I9*T9)</x:f>
        <x:v>158233.8747368589</x:v>
      </x:c>
    </x:row>
    <x:row r="10" ht="18" customHeight="1">
      <x:c r="A10" s="24" t="str">
        <x:v>EEZ_191</x:v>
      </x:c>
      <x:c r="B10" s="24" t="str">
        <x:v>Croatia</x:v>
      </x:c>
      <x:c r="C10" s="24" t="str">
        <x:v>EEZ</x:v>
      </x:c>
      <x:c r="D10" s="30" t="n">
        <x:v>2019</x:v>
      </x:c>
      <x:c r="E10" s="24" t="str">
        <x:v>Mullus barbatus</x:v>
      </x:c>
      <x:c r="F10" s="24" t="str">
        <x:v>Red mullet</x:v>
      </x:c>
      <x:c r="G10" s="24" t="str">
        <x:v>Medium demersals (30 - 89 cm)</x:v>
      </x:c>
      <x:c r="H10" s="24" t="str">
        <x:v>Perch-likes</x:v>
      </x:c>
      <x:c r="I10" s="31" t="n">
        <x:v>813.5294749758001</x:v>
      </x:c>
      <x:c r="J10" s="31" t="n">
        <x:v>813.5294749758001</x:v>
      </x:c>
      <x:c r="K10" s="31" t="n">
        <x:v>0</x:v>
      </x:c>
      <x:c r="L10" s="31" t="n">
        <x:v>635.8000000000001</x:v>
      </x:c>
      <x:c r="M10" s="31" t="n">
        <x:v>177.7294749758</x:v>
      </x:c>
      <x:c r="N10" s="24" t="str">
        <x:v>mullus barbatus</x:v>
      </x:c>
      <x:c r="O10" s="32" t="n">
        <x:v>3.14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Mullus barbatus</x:v>
      </x:c>
      <x:c r="T10" s="32" t="n">
        <x:f>IF(O10="","",(1/'Metadata'!$B$5)^(O10-1))</x:f>
        <x:v>138.03842646028852</x:v>
      </x:c>
      <x:c r="U10" s="31" t="n">
        <x:f>IF(T10="","",I10*T10)</x:f>
        <x:v>112298.32860472411</x:v>
      </x:c>
    </x:row>
    <x:row r="11" ht="18" customHeight="1">
      <x:c r="A11" s="24" t="str">
        <x:v>EEZ_191</x:v>
      </x:c>
      <x:c r="B11" s="24" t="str">
        <x:v>Croatia</x:v>
      </x:c>
      <x:c r="C11" s="24" t="str">
        <x:v>EEZ</x:v>
      </x:c>
      <x:c r="D11" s="30" t="n">
        <x:v>2019</x:v>
      </x:c>
      <x:c r="E11" s="24" t="str">
        <x:v>Soleidae</x:v>
      </x:c>
      <x:c r="F11" s="24" t="str">
        <x:v>Soles</x:v>
      </x:c>
      <x:c r="G11" s="24" t="str">
        <x:v>Small to medium flatfishes (&lt;90 cm)</x:v>
      </x:c>
      <x:c r="H11" s="24" t="str">
        <x:v>Flatfishes</x:v>
      </x:c>
      <x:c r="I11" s="31" t="n">
        <x:v>709.3718302606</x:v>
      </x:c>
      <x:c r="J11" s="31" t="n">
        <x:v>501.1414264093</x:v>
      </x:c>
      <x:c r="K11" s="31" t="n">
        <x:v>208.2304038513</x:v>
      </x:c>
      <x:c r="L11" s="31" t="n">
        <x:v>168.3</x:v>
      </x:c>
      <x:c r="M11" s="31" t="n">
        <x:v>541.0718302606</x:v>
      </x:c>
      <x:c r="N11" s="24" t="str">
        <x:v>soleidae</x:v>
      </x:c>
      <x:c r="O11" s="32" t="n">
        <x:v>3.15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Soleidae</x:v>
      </x:c>
      <x:c r="T11" s="32" t="n">
        <x:f>IF(O11="","",(1/'Metadata'!$B$5)^(O11-1))</x:f>
        <x:v>141.2537544622754</x:v>
      </x:c>
      <x:c r="U11" s="31" t="n">
        <x:f>IF(T11="","",I11*T11)</x:f>
        <x:v>100201.43433408569</x:v>
      </x:c>
    </x:row>
    <x:row r="12" ht="18" customHeight="1">
      <x:c r="A12" s="24" t="str">
        <x:v>EEZ_191</x:v>
      </x:c>
      <x:c r="B12" s="24" t="str">
        <x:v>Croatia</x:v>
      </x:c>
      <x:c r="C12" s="24" t="str">
        <x:v>EEZ</x:v>
      </x:c>
      <x:c r="D12" s="30" t="n">
        <x:v>2019</x:v>
      </x:c>
      <x:c r="E12" s="24" t="str">
        <x:v>Gadiformes</x:v>
      </x:c>
      <x:c r="F12" s="24" t="str">
        <x:v>Cods</x:v>
      </x:c>
      <x:c r="G12" s="24" t="str">
        <x:v>Medium benthopelagics (30 - 89 cm)</x:v>
      </x:c>
      <x:c r="H12" s="24" t="str">
        <x:v>Cod-likes</x:v>
      </x:c>
      <x:c r="I12" s="31" t="n">
        <x:v>555.7474480453</x:v>
      </x:c>
      <x:c r="J12" s="31" t="n">
        <x:v>98.2594941411</x:v>
      </x:c>
      <x:c r="K12" s="31" t="n">
        <x:v>457.48795390419997</x:v>
      </x:c>
      <x:c r="L12" s="31" t="n">
        <x:v>0</x:v>
      </x:c>
      <x:c r="M12" s="31" t="n">
        <x:v>555.7474480453</x:v>
      </x:c>
      <x:c r="N12" s="24" t="str">
        <x:v>gadiformes</x:v>
      </x:c>
      <x:c r="O12" s="32" t="n">
        <x:v>3.91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Gadiformes</x:v>
      </x:c>
      <x:c r="T12" s="32" t="n">
        <x:f>IF(O12="","",(1/'Metadata'!$B$5)^(O12-1))</x:f>
        <x:v>812.8305161640995</x:v>
      </x:c>
      <x:c r="U12" s="31" t="n">
        <x:f>IF(T12="","",I12*T12)</x:f>
        <x:v>451728.4850515423</x:v>
      </x:c>
    </x:row>
    <x:row r="13" ht="18" customHeight="1">
      <x:c r="A13" s="24" t="str">
        <x:v>EEZ_191</x:v>
      </x:c>
      <x:c r="B13" s="24" t="str">
        <x:v>Croatia</x:v>
      </x:c>
      <x:c r="C13" s="24" t="str">
        <x:v>EEZ</x:v>
      </x:c>
      <x:c r="D13" s="30" t="n">
        <x:v>2019</x:v>
      </x:c>
      <x:c r="E13" s="24" t="str">
        <x:v>Mullidae</x:v>
      </x:c>
      <x:c r="F13" s="24" t="str">
        <x:v>Goatfishes</x:v>
      </x:c>
      <x:c r="G13" s="24" t="str">
        <x:v>Medium reef assoc. fish (30 - 89 cm)</x:v>
      </x:c>
      <x:c r="H13" s="24" t="str">
        <x:v>Perch-likes</x:v>
      </x:c>
      <x:c r="I13" s="31" t="n">
        <x:v>463.7795750719</x:v>
      </x:c>
      <x:c r="J13" s="31" t="n">
        <x:v>68.1786138048</x:v>
      </x:c>
      <x:c r="K13" s="31" t="n">
        <x:v>395.6009612671</x:v>
      </x:c>
      <x:c r="L13" s="31" t="n">
        <x:v>0</x:v>
      </x:c>
      <x:c r="M13" s="31" t="n">
        <x:v>463.7795750719</x:v>
      </x:c>
      <x:c r="N13" s="24" t="str">
        <x:v>mullidae</x:v>
      </x:c>
      <x:c r="O13" s="32" t="n">
        <x:v>3.46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Mullidae</x:v>
      </x:c>
      <x:c r="T13" s="32" t="n">
        <x:f>IF(O13="","",(1/'Metadata'!$B$5)^(O13-1))</x:f>
        <x:v>288.40315031266056</x:v>
      </x:c>
      <x:c r="U13" s="31" t="n">
        <x:f>IF(T13="","",I13*T13)</x:f>
        <x:v>133755.49050140302</x:v>
      </x:c>
    </x:row>
    <x:row r="14" ht="18" customHeight="1">
      <x:c r="A14" s="24" t="str">
        <x:v>EEZ_191</x:v>
      </x:c>
      <x:c r="B14" s="24" t="str">
        <x:v>Croatia</x:v>
      </x:c>
      <x:c r="C14" s="24" t="str">
        <x:v>EEZ</x:v>
      </x:c>
      <x:c r="D14" s="30" t="n">
        <x:v>2019</x:v>
      </x:c>
      <x:c r="E14" s="24" t="str">
        <x:v>Thunnus alalunga</x:v>
      </x:c>
      <x:c r="F14" s="24" t="str">
        <x:v>Albacore</x:v>
      </x:c>
      <x:c r="G14" s="24" t="str">
        <x:v>Large pelagics (&gt;=90 cm)</x:v>
      </x:c>
      <x:c r="H14" s="24" t="str">
        <x:v>Tuna &amp; billfishes</x:v>
      </x:c>
      <x:c r="I14" s="31" t="n">
        <x:v>426.352567438</x:v>
      </x:c>
      <x:c r="J14" s="31" t="n">
        <x:v>426.352567438</x:v>
      </x:c>
      <x:c r="K14" s="31" t="n">
        <x:v>0</x:v>
      </x:c>
      <x:c r="L14" s="31" t="n">
        <x:v>426.352567438</x:v>
      </x:c>
      <x:c r="M14" s="31" t="n">
        <x:v>0</x:v>
      </x:c>
      <x:c r="N14" s="24" t="str">
        <x:v>thunnus alalunga</x:v>
      </x:c>
      <x:c r="O14" s="32" t="n">
        <x:v>4.3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alalunga</x:v>
      </x:c>
      <x:c r="T14" s="32" t="n">
        <x:f>IF(O14="","",(1/'Metadata'!$B$5)^(O14-1))</x:f>
        <x:v>1995.2623149688789</x:v>
      </x:c>
      <x:c r="U14" s="31" t="n">
        <x:f>IF(T14="","",I14*T14)</x:f>
        <x:v>850685.2106992688</x:v>
      </x:c>
    </x:row>
    <x:row r="15" ht="18" customHeight="1">
      <x:c r="A15" s="24" t="str">
        <x:v>EEZ_191</x:v>
      </x:c>
      <x:c r="B15" s="24" t="str">
        <x:v>Croatia</x:v>
      </x:c>
      <x:c r="C15" s="24" t="str">
        <x:v>EEZ</x:v>
      </x:c>
      <x:c r="D15" s="30" t="n">
        <x:v>2019</x:v>
      </x:c>
      <x:c r="E15" s="24" t="str">
        <x:v>Nephrops norvegicus</x:v>
      </x:c>
      <x:c r="F15" s="24" t="str">
        <x:v>Norway lobster</x:v>
      </x:c>
      <x:c r="G15" s="24" t="str">
        <x:v>Lobsters, crabs</x:v>
      </x:c>
      <x:c r="H15" s="24" t="str">
        <x:v>Crustaceans</x:v>
      </x:c>
      <x:c r="I15" s="31" t="n">
        <x:v>318.18777027370004</x:v>
      </x:c>
      <x:c r="J15" s="31" t="n">
        <x:v>318.18777027370004</x:v>
      </x:c>
      <x:c r="K15" s="31" t="n">
        <x:v>0</x:v>
      </x:c>
      <x:c r="L15" s="31" t="n">
        <x:v>226.10000000000002</x:v>
      </x:c>
      <x:c r="M15" s="31" t="n">
        <x:v>92.0877702737</x:v>
      </x:c>
      <x:c r="N15" s="24" t="str">
        <x:v>nephrops norvegicus</x:v>
      </x:c>
      <x:c r="O15" s="32" t="n">
        <x:v>2.87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Nephrops norvegicus</x:v>
      </x:c>
      <x:c r="T15" s="32" t="n">
        <x:f>IF(O15="","",(1/'Metadata'!$B$5)^(O15-1))</x:f>
        <x:v>74.13102413009177</x:v>
      </x:c>
      <x:c r="U15" s="31" t="n">
        <x:f>IF(T15="","",I15*T15)</x:f>
        <x:v>23587.585276059755</x:v>
      </x:c>
    </x:row>
    <x:row r="16" ht="18" customHeight="1">
      <x:c r="A16" s="24" t="str">
        <x:v>EEZ_191</x:v>
      </x:c>
      <x:c r="B16" s="24" t="str">
        <x:v>Croatia</x:v>
      </x:c>
      <x:c r="C16" s="24" t="str">
        <x:v>EEZ</x:v>
      </x:c>
      <x:c r="D16" s="30" t="n">
        <x:v>2019</x:v>
      </x:c>
      <x:c r="E16" s="24" t="str">
        <x:v>Spicara</x:v>
      </x:c>
      <x:c r="F16" s="24" t="str">
        <x:v>Picarels</x:v>
      </x:c>
      <x:c r="G16" s="24" t="str">
        <x:v>Small demersals (&lt;30 cm)</x:v>
      </x:c>
      <x:c r="H16" s="24" t="str">
        <x:v>Perch-likes</x:v>
      </x:c>
      <x:c r="I16" s="31" t="n">
        <x:v>317.901477114</x:v>
      </x:c>
      <x:c r="J16" s="31" t="n">
        <x:v>317.901477114</x:v>
      </x:c>
      <x:c r="K16" s="31" t="n">
        <x:v>0</x:v>
      </x:c>
      <x:c r="L16" s="31" t="n">
        <x:v>68</x:v>
      </x:c>
      <x:c r="M16" s="31" t="n">
        <x:v>249.901477114</x:v>
      </x:c>
      <x:c r="N16" s="24" t="str">
        <x:v>spicara</x:v>
      </x:c>
      <x:c r="O16" s="32" t="n">
        <x:v>3.58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Spicara</x:v>
      </x:c>
      <x:c r="T16" s="32" t="n">
        <x:f>IF(O16="","",(1/'Metadata'!$B$5)^(O16-1))</x:f>
        <x:v>380.1893963205613</x:v>
      </x:c>
      <x:c r="U16" s="31" t="n">
        <x:f>IF(T16="","",I16*T16)</x:f>
        <x:v>120862.77067338639</x:v>
      </x:c>
    </x:row>
    <x:row r="17" ht="18" customHeight="1">
      <x:c r="A17" s="24" t="str">
        <x:v>EEZ_191</x:v>
      </x:c>
      <x:c r="B17" s="24" t="str">
        <x:v>Croatia</x:v>
      </x:c>
      <x:c r="C17" s="24" t="str">
        <x:v>EEZ</x:v>
      </x:c>
      <x:c r="D17" s="30" t="n">
        <x:v>2019</x:v>
      </x:c>
      <x:c r="E17" s="24" t="str">
        <x:v>Mugilidae</x:v>
      </x:c>
      <x:c r="F17" s="24" t="str">
        <x:v>Mullets, grey mullets</x:v>
      </x:c>
      <x:c r="G17" s="24" t="str">
        <x:v>Medium reef assoc. fish (30 - 89 cm)</x:v>
      </x:c>
      <x:c r="H17" s="24" t="str">
        <x:v>Perch-likes</x:v>
      </x:c>
      <x:c r="I17" s="31" t="n">
        <x:v>239.9829203888</x:v>
      </x:c>
      <x:c r="J17" s="31" t="n">
        <x:v>145.3273760619</x:v>
      </x:c>
      <x:c r="K17" s="31" t="n">
        <x:v>94.65554432690001</x:v>
      </x:c>
      <x:c r="L17" s="31" t="n">
        <x:v>93.5</x:v>
      </x:c>
      <x:c r="M17" s="31" t="n">
        <x:v>146.4829203888</x:v>
      </x:c>
      <x:c r="N17" s="24" t="str">
        <x:v>mugilidae</x:v>
      </x:c>
      <x:c r="O17" s="32" t="n">
        <x:v>2.53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Mugilidae</x:v>
      </x:c>
      <x:c r="T17" s="32" t="n">
        <x:f>IF(O17="","",(1/'Metadata'!$B$5)^(O17-1))</x:f>
        <x:v>33.88441561392024</x:v>
      </x:c>
      <x:c r="U17" s="31" t="n">
        <x:f>IF(T17="","",I17*T17)</x:f>
        <x:v>8131.681014696433</x:v>
      </x:c>
    </x:row>
    <x:row r="18" ht="18" customHeight="1">
      <x:c r="A18" s="24" t="str">
        <x:v>EEZ_191</x:v>
      </x:c>
      <x:c r="B18" s="24" t="str">
        <x:v>Croatia</x:v>
      </x:c>
      <x:c r="C18" s="24" t="str">
        <x:v>EEZ</x:v>
      </x:c>
      <x:c r="D18" s="30" t="n">
        <x:v>2019</x:v>
      </x:c>
      <x:c r="E18" s="24" t="str">
        <x:v>Clupeidae</x:v>
      </x:c>
      <x:c r="F18" s="24" t="str">
        <x:v>Herrings, sardines, menhadens</x:v>
      </x:c>
      <x:c r="G18" s="24" t="str">
        <x:v>Small pelagics (&lt;30 cm)</x:v>
      </x:c>
      <x:c r="H18" s="24" t="str">
        <x:v>Herring-likes</x:v>
      </x:c>
      <x:c r="I18" s="31" t="n">
        <x:v>216.4595612107</x:v>
      </x:c>
      <x:c r="J18" s="31" t="n">
        <x:v>216.4595612107</x:v>
      </x:c>
      <x:c r="K18" s="31" t="n">
        <x:v>0</x:v>
      </x:c>
      <x:c r="L18" s="31" t="n">
        <x:v>0</x:v>
      </x:c>
      <x:c r="M18" s="31" t="n">
        <x:v>216.4595612107</x:v>
      </x:c>
      <x:c r="N18" s="24" t="str">
        <x:v>clupeidae</x:v>
      </x:c>
      <x:c r="O18" s="32" t="n">
        <x:v>3.16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Clupeidae</x:v>
      </x:c>
      <x:c r="T18" s="32" t="n">
        <x:f>IF(O18="","",(1/'Metadata'!$B$5)^(O18-1))</x:f>
        <x:v>144.5439770745928</x:v>
      </x:c>
      <x:c r="U18" s="31" t="n">
        <x:f>IF(T18="","",I18*T18)</x:f>
        <x:v>31287.925853215835</x:v>
      </x:c>
    </x:row>
    <x:row r="19" ht="18" customHeight="1">
      <x:c r="A19" s="24" t="str">
        <x:v>EEZ_191</x:v>
      </x:c>
      <x:c r="B19" s="24" t="str">
        <x:v>Croatia</x:v>
      </x:c>
      <x:c r="C19" s="24" t="str">
        <x:v>EEZ</x:v>
      </x:c>
      <x:c r="D19" s="30" t="n">
        <x:v>2019</x:v>
      </x:c>
      <x:c r="E19" s="24" t="str">
        <x:v>Lepidopus caudatus</x:v>
      </x:c>
      <x:c r="F19" s="24" t="str">
        <x:v>Silver scabbardfish</x:v>
      </x:c>
      <x:c r="G19" s="24" t="str">
        <x:v>Large bathydemersals (&gt;=90 cm)</x:v>
      </x:c>
      <x:c r="H19" s="24" t="str">
        <x:v>Perch-likes</x:v>
      </x:c>
      <x:c r="I19" s="31" t="n">
        <x:v>212.4615969882</x:v>
      </x:c>
      <x:c r="J19" s="31" t="n">
        <x:v>212.4615969882</x:v>
      </x:c>
      <x:c r="K19" s="31" t="n">
        <x:v>0</x:v>
      </x:c>
      <x:c r="L19" s="31" t="n">
        <x:v>212.4615969882</x:v>
      </x:c>
      <x:c r="M19" s="31" t="n">
        <x:v>0</x:v>
      </x:c>
      <x:c r="N19" s="24" t="str">
        <x:v>lepidopus caudatus</x:v>
      </x:c>
      <x:c r="O19" s="32" t="n">
        <x:v>3.82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Lepidopus caudatus</x:v>
      </x:c>
      <x:c r="T19" s="32" t="n">
        <x:f>IF(O19="","",(1/'Metadata'!$B$5)^(O19-1))</x:f>
        <x:v>660.6934480075957</x:v>
      </x:c>
      <x:c r="U19" s="31" t="n">
        <x:f>IF(T19="","",I19*T19)</x:f>
        <x:v>140371.9850833341</x:v>
      </x:c>
    </x:row>
    <x:row r="20" ht="18" customHeight="1">
      <x:c r="A20" s="24" t="str">
        <x:v>EEZ_191</x:v>
      </x:c>
      <x:c r="B20" s="24" t="str">
        <x:v>Croatia</x:v>
      </x:c>
      <x:c r="C20" s="24" t="str">
        <x:v>EEZ</x:v>
      </x:c>
      <x:c r="D20" s="30" t="n">
        <x:v>2019</x:v>
      </x:c>
      <x:c r="E20" s="24" t="str">
        <x:v>Sparidae</x:v>
      </x:c>
      <x:c r="F20" s="24" t="str">
        <x:v>Porgies, seabreams</x:v>
      </x:c>
      <x:c r="G20" s="24" t="str">
        <x:v>Medium benthopelagics (30 - 89 cm)</x:v>
      </x:c>
      <x:c r="H20" s="24" t="str">
        <x:v>Perch-likes</x:v>
      </x:c>
      <x:c r="I20" s="31" t="n">
        <x:v>176.3962858796</x:v>
      </x:c>
      <x:c r="J20" s="31" t="n">
        <x:v>32.9370415972</x:v>
      </x:c>
      <x:c r="K20" s="31" t="n">
        <x:v>143.4592442824</x:v>
      </x:c>
      <x:c r="L20" s="31" t="n">
        <x:v>0</x:v>
      </x:c>
      <x:c r="M20" s="31" t="n">
        <x:v>176.3962858796</x:v>
      </x:c>
      <x:c r="N20" s="24" t="str">
        <x:v>sparidae</x:v>
      </x:c>
      <x:c r="O20" s="32" t="n">
        <x:v>3.31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Sparidae</x:v>
      </x:c>
      <x:c r="T20" s="32" t="n">
        <x:f>IF(O20="","",(1/'Metadata'!$B$5)^(O20-1))</x:f>
        <x:v>204.17379446695296</x:v>
      </x:c>
      <x:c r="U20" s="31" t="n">
        <x:f>IF(T20="","",I20*T20)</x:f>
        <x:v>36015.499017915325</x:v>
      </x:c>
    </x:row>
    <x:row r="21" ht="18" customHeight="1">
      <x:c r="A21" s="24" t="str">
        <x:v>EEZ_191</x:v>
      </x:c>
      <x:c r="B21" s="24" t="str">
        <x:v>Croatia</x:v>
      </x:c>
      <x:c r="C21" s="24" t="str">
        <x:v>EEZ</x:v>
      </x:c>
      <x:c r="D21" s="30" t="n">
        <x:v>2019</x:v>
      </x:c>
      <x:c r="E21" s="24" t="str">
        <x:v>Scombridae</x:v>
      </x:c>
      <x:c r="F21" s="24" t="str">
        <x:v>Mackerels, tunas, bonitos</x:v>
      </x:c>
      <x:c r="G21" s="24" t="str">
        <x:v>Medium pelagics (30 - 89 cm)</x:v>
      </x:c>
      <x:c r="H21" s="24" t="str">
        <x:v>Perch-likes</x:v>
      </x:c>
      <x:c r="I21" s="31" t="n">
        <x:v>138.1558153949</x:v>
      </x:c>
      <x:c r="J21" s="31" t="n">
        <x:v>138.1558153949</x:v>
      </x:c>
      <x:c r="K21" s="31" t="n">
        <x:v>0</x:v>
      </x:c>
      <x:c r="L21" s="31" t="n">
        <x:v>0</x:v>
      </x:c>
      <x:c r="M21" s="31" t="n">
        <x:v>138.1558153949</x:v>
      </x:c>
      <x:c r="N21" s="24" t="str">
        <x:v>scombridae</x:v>
      </x:c>
      <x:c r="O21" s="32" t="n">
        <x:v>4.26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Scombridae</x:v>
      </x:c>
      <x:c r="T21" s="32" t="n">
        <x:f>IF(O21="","",(1/'Metadata'!$B$5)^(O21-1))</x:f>
        <x:v>1819.7008586099826</x:v>
      </x:c>
      <x:c r="U21" s="31" t="n">
        <x:f>IF(T21="","",I21*T21)</x:f>
        <x:v>251402.25589606178</x:v>
      </x:c>
    </x:row>
    <x:row r="22" ht="18" customHeight="1">
      <x:c r="A22" s="24" t="str">
        <x:v>EEZ_191</x:v>
      </x:c>
      <x:c r="B22" s="24" t="str">
        <x:v>Croatia</x:v>
      </x:c>
      <x:c r="C22" s="24" t="str">
        <x:v>EEZ</x:v>
      </x:c>
      <x:c r="D22" s="30" t="n">
        <x:v>2019</x:v>
      </x:c>
      <x:c r="E22" s="24" t="str">
        <x:v>Nephropidae</x:v>
      </x:c>
      <x:c r="F22" s="24" t="str">
        <x:v>Clawed lobsters</x:v>
      </x:c>
      <x:c r="G22" s="24" t="str">
        <x:v>Lobsters, crabs</x:v>
      </x:c>
      <x:c r="H22" s="24" t="str">
        <x:v>Crustaceans</x:v>
      </x:c>
      <x:c r="I22" s="31" t="n">
        <x:v>135.1064991754</x:v>
      </x:c>
      <x:c r="J22" s="31" t="n">
        <x:v>7.5891287607999995</x:v>
      </x:c>
      <x:c r="K22" s="31" t="n">
        <x:v>127.5173704146</x:v>
      </x:c>
      <x:c r="L22" s="31" t="n">
        <x:v>0</x:v>
      </x:c>
      <x:c r="M22" s="31" t="n">
        <x:v>135.1064991754</x:v>
      </x:c>
      <x:c r="N22" s="24" t="str">
        <x:v>nephropidae</x:v>
      </x:c>
      <x:c r="O22" s="32" t="n">
        <x:v>2.88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Nephropidae</x:v>
      </x:c>
      <x:c r="T22" s="32" t="n">
        <x:f>IF(O22="","",(1/'Metadata'!$B$5)^(O22-1))</x:f>
        <x:v>75.85775750291836</x:v>
      </x:c>
      <x:c r="U22" s="31" t="n">
        <x:f>IF(T22="","",I22*T22)</x:f>
        <x:v>10248.876051515732</x:v>
      </x:c>
    </x:row>
    <x:row r="23" ht="18" customHeight="1">
      <x:c r="A23" s="24" t="str">
        <x:v>EEZ_191</x:v>
      </x:c>
      <x:c r="B23" s="24" t="str">
        <x:v>Croatia</x:v>
      </x:c>
      <x:c r="C23" s="24" t="str">
        <x:v>EEZ</x:v>
      </x:c>
      <x:c r="D23" s="30" t="n">
        <x:v>2019</x:v>
      </x:c>
      <x:c r="E23" s="24" t="str">
        <x:v>Marine pelagic fishes not identified</x:v>
      </x:c>
      <x:c r="F23" s="24" t="str">
        <x:v>Pelagic fishes</x:v>
      </x:c>
      <x:c r="G23" s="24" t="str">
        <x:v>Medium pelagics (30 - 89 cm)</x:v>
      </x:c>
      <x:c r="H23" s="24" t="str">
        <x:v>Other fishes &amp; inverts</x:v>
      </x:c>
      <x:c r="I23" s="31" t="n">
        <x:v>126.4854180882</x:v>
      </x:c>
      <x:c r="J23" s="31" t="n">
        <x:v>126.4854180882</x:v>
      </x:c>
      <x:c r="K23" s="31" t="n">
        <x:v>0</x:v>
      </x:c>
      <x:c r="L23" s="31" t="n">
        <x:v>126.4854180882</x:v>
      </x:c>
      <x:c r="M23" s="31" t="n">
        <x:v>0</x:v>
      </x:c>
      <x:c r="N23" s="24" t="str">
        <x:v>marine pelagic fishes not identified</x:v>
      </x:c>
      <x:c r="O23" s="32" t="n">
        <x:v>3.35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Marine pelagic fishes not identified</x:v>
      </x:c>
      <x:c r="T23" s="32" t="n">
        <x:f>IF(O23="","",(1/'Metadata'!$B$5)^(O23-1))</x:f>
        <x:v>223.872113856834</x:v>
      </x:c>
      <x:c r="U23" s="31" t="n">
        <x:f>IF(T23="","",I23*T23)</x:f>
        <x:v>28316.557919470764</x:v>
      </x:c>
    </x:row>
    <x:row r="24" ht="18" customHeight="1">
      <x:c r="A24" s="24" t="str">
        <x:v>EEZ_191</x:v>
      </x:c>
      <x:c r="B24" s="24" t="str">
        <x:v>Croatia</x:v>
      </x:c>
      <x:c r="C24" s="24" t="str">
        <x:v>EEZ</x:v>
      </x:c>
      <x:c r="D24" s="30" t="n">
        <x:v>2019</x:v>
      </x:c>
      <x:c r="E24" s="24" t="str">
        <x:v>Sarda sarda</x:v>
      </x:c>
      <x:c r="F24" s="24" t="str">
        <x:v>Atlantic bonito</x:v>
      </x:c>
      <x:c r="G24" s="24" t="str">
        <x:v>Medium pelagics (30 - 89 cm)</x:v>
      </x:c>
      <x:c r="H24" s="24" t="str">
        <x:v>Tuna &amp; billfishes</x:v>
      </x:c>
      <x:c r="I24" s="31" t="n">
        <x:v>120.7117168222</x:v>
      </x:c>
      <x:c r="J24" s="31" t="n">
        <x:v>120.7117168222</x:v>
      </x:c>
      <x:c r="K24" s="31" t="n">
        <x:v>0</x:v>
      </x:c>
      <x:c r="L24" s="31" t="n">
        <x:v>36.5936315157</x:v>
      </x:c>
      <x:c r="M24" s="31" t="n">
        <x:v>84.11808530649999</x:v>
      </x:c>
      <x:c r="N24" s="24" t="str">
        <x:v>sarda sarda</x:v>
      </x:c>
      <x:c r="O24" s="32" t="n">
        <x:v>4.5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Sarda sarda</x:v>
      </x:c>
      <x:c r="T24" s="32" t="n">
        <x:f>IF(O24="","",(1/'Metadata'!$B$5)^(O24-1))</x:f>
        <x:v>3162.2776601683795</x:v>
      </x:c>
      <x:c r="U24" s="31" t="n">
        <x:f>IF(T24="","",I24*T24)</x:f>
        <x:v>381723.96542741463</x:v>
      </x:c>
    </x:row>
    <x:row r="25" ht="18" customHeight="1">
      <x:c r="A25" s="24" t="str">
        <x:v>EEZ_191</x:v>
      </x:c>
      <x:c r="B25" s="24" t="str">
        <x:v>Croatia</x:v>
      </x:c>
      <x:c r="C25" s="24" t="str">
        <x:v>EEZ</x:v>
      </x:c>
      <x:c r="D25" s="30" t="n">
        <x:v>2019</x:v>
      </x:c>
      <x:c r="E25" s="24" t="str">
        <x:v>Boops boops</x:v>
      </x:c>
      <x:c r="F25" s="24" t="str">
        <x:v>Bogue</x:v>
      </x:c>
      <x:c r="G25" s="24" t="str">
        <x:v>Medium demersals (30 - 89 cm)</x:v>
      </x:c>
      <x:c r="H25" s="24" t="str">
        <x:v>Perch-likes</x:v>
      </x:c>
      <x:c r="I25" s="31" t="n">
        <x:v>85.6540190651</x:v>
      </x:c>
      <x:c r="J25" s="31" t="n">
        <x:v>85.6540190651</x:v>
      </x:c>
      <x:c r="K25" s="31" t="n">
        <x:v>0</x:v>
      </x:c>
      <x:c r="L25" s="31" t="n">
        <x:v>78.2</x:v>
      </x:c>
      <x:c r="M25" s="31" t="n">
        <x:v>7.4540190651</x:v>
      </x:c>
      <x:c r="N25" s="24" t="str">
        <x:v>boops boops</x:v>
      </x:c>
      <x:c r="O25" s="32" t="n">
        <x:v>2.79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Boops boops</x:v>
      </x:c>
      <x:c r="T25" s="32" t="n">
        <x:f>IF(O25="","",(1/'Metadata'!$B$5)^(O25-1))</x:f>
        <x:v>61.65950018614822</x:v>
      </x:c>
      <x:c r="U25" s="31" t="n">
        <x:f>IF(T25="","",I25*T25)</x:f>
        <x:v>5281.384004488877</x:v>
      </x:c>
    </x:row>
    <x:row r="26" ht="18" customHeight="1">
      <x:c r="A26" s="24" t="str">
        <x:v>EEZ_191</x:v>
      </x:c>
      <x:c r="B26" s="24" t="str">
        <x:v>Croatia</x:v>
      </x:c>
      <x:c r="C26" s="24" t="str">
        <x:v>EEZ</x:v>
      </x:c>
      <x:c r="D26" s="30" t="n">
        <x:v>2019</x:v>
      </x:c>
      <x:c r="E26" s="24" t="str">
        <x:v>Sprattus sprattus</x:v>
      </x:c>
      <x:c r="F26" s="24" t="str">
        <x:v>European sprat</x:v>
      </x:c>
      <x:c r="G26" s="24" t="str">
        <x:v>Small pelagics (&lt;30 cm)</x:v>
      </x:c>
      <x:c r="H26" s="24" t="str">
        <x:v>Herring-likes</x:v>
      </x:c>
      <x:c r="I26" s="31" t="n">
        <x:v>58.6728932218</x:v>
      </x:c>
      <x:c r="J26" s="31" t="n">
        <x:v>58.6728932218</x:v>
      </x:c>
      <x:c r="K26" s="31" t="n">
        <x:v>0</x:v>
      </x:c>
      <x:c r="L26" s="31" t="n">
        <x:v>57.800000000000004</x:v>
      </x:c>
      <x:c r="M26" s="31" t="n">
        <x:v>0.8728932218000001</x:v>
      </x:c>
      <x:c r="N26" s="24" t="str">
        <x:v>sprattus sprattus</x:v>
      </x:c>
      <x:c r="O26" s="32" t="n">
        <x:v>3.01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Sprattus sprattus</x:v>
      </x:c>
      <x:c r="T26" s="32" t="n">
        <x:f>IF(O26="","",(1/'Metadata'!$B$5)^(O26-1))</x:f>
        <x:v>102.32929922807536</x:v>
      </x:c>
      <x:c r="U26" s="31" t="n">
        <x:f>IF(T26="","",I26*T26)</x:f>
        <x:v>6003.956047070486</x:v>
      </x:c>
    </x:row>
    <x:row r="27" ht="18" customHeight="1">
      <x:c r="A27" s="24" t="str">
        <x:v>EEZ_191</x:v>
      </x:c>
      <x:c r="B27" s="24" t="str">
        <x:v>Croatia</x:v>
      </x:c>
      <x:c r="C27" s="24" t="str">
        <x:v>EEZ</x:v>
      </x:c>
      <x:c r="D27" s="30" t="n">
        <x:v>2019</x:v>
      </x:c>
      <x:c r="E27" s="24" t="str">
        <x:v>Scorpaena scrofa</x:v>
      </x:c>
      <x:c r="F27" s="24" t="str">
        <x:v>Red scorpionfish</x:v>
      </x:c>
      <x:c r="G27" s="24" t="str">
        <x:v>Medium demersals (30 - 89 cm)</x:v>
      </x:c>
      <x:c r="H27" s="24" t="str">
        <x:v>Scorpionfishes</x:v>
      </x:c>
      <x:c r="I27" s="31" t="n">
        <x:v>56.374034288800004</x:v>
      </x:c>
      <x:c r="J27" s="31" t="n">
        <x:v>56.374034288800004</x:v>
      </x:c>
      <x:c r="K27" s="31" t="n">
        <x:v>0</x:v>
      </x:c>
      <x:c r="L27" s="31" t="n">
        <x:v>37.4</x:v>
      </x:c>
      <x:c r="M27" s="31" t="n">
        <x:v>18.9740342888</x:v>
      </x:c>
      <x:c r="N27" s="24" t="str">
        <x:v>scorpaena scrofa</x:v>
      </x:c>
      <x:c r="O27" s="32" t="n">
        <x:v>4.25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Scorpaena scrofa</x:v>
      </x:c>
      <x:c r="T27" s="32" t="n">
        <x:f>IF(O27="","",(1/'Metadata'!$B$5)^(O27-1))</x:f>
        <x:v>1778.2794100389228</x:v>
      </x:c>
      <x:c r="U27" s="31" t="n">
        <x:f>IF(T27="","",I27*T27)</x:f>
        <x:v>100248.78443660127</x:v>
      </x:c>
    </x:row>
    <x:row r="28" ht="18" customHeight="1">
      <x:c r="A28" s="24" t="str">
        <x:v>EEZ_191</x:v>
      </x:c>
      <x:c r="B28" s="24" t="str">
        <x:v>Croatia</x:v>
      </x:c>
      <x:c r="C28" s="24" t="str">
        <x:v>EEZ</x:v>
      </x:c>
      <x:c r="D28" s="30" t="n">
        <x:v>2019</x:v>
      </x:c>
      <x:c r="E28" s="24" t="str">
        <x:v>Spongia</x:v>
      </x:c>
      <x:c r="F28" s="24" t="str">
        <x:v>Bathing sponges</x:v>
      </x:c>
      <x:c r="G28" s="24" t="str">
        <x:v>Other demersal invertebrates</x:v>
      </x:c>
      <x:c r="H28" s="24" t="str">
        <x:v>Other fishes &amp; inverts</x:v>
      </x:c>
      <x:c r="I28" s="31" t="n">
        <x:v>45</x:v>
      </x:c>
      <x:c r="J28" s="31" t="n">
        <x:v>45</x:v>
      </x:c>
      <x:c r="K28" s="31" t="n">
        <x:v>0</x:v>
      </x:c>
      <x:c r="L28" s="31" t="n">
        <x:v>0</x:v>
      </x:c>
      <x:c r="M28" s="31" t="n">
        <x:v>45</x:v>
      </x:c>
      <x:c r="N28" s="24" t="str">
        <x:v>spongia</x:v>
      </x:c>
      <x:c r="O28" s="32" t="n">
        <x:v>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Spongia</x:v>
      </x:c>
      <x:c r="T28" s="32" t="n">
        <x:f>IF(O28="","",(1/'Metadata'!$B$5)^(O28-1))</x:f>
        <x:v>10</x:v>
      </x:c>
      <x:c r="U28" s="31" t="n">
        <x:f>IF(T28="","",I28*T28)</x:f>
        <x:v>450</x:v>
      </x:c>
    </x:row>
    <x:row r="29" ht="18" customHeight="1">
      <x:c r="A29" s="24" t="str">
        <x:v>EEZ_191</x:v>
      </x:c>
      <x:c r="B29" s="24" t="str">
        <x:v>Croatia</x:v>
      </x:c>
      <x:c r="C29" s="24" t="str">
        <x:v>EEZ</x:v>
      </x:c>
      <x:c r="D29" s="30" t="n">
        <x:v>2019</x:v>
      </x:c>
      <x:c r="E29" s="24" t="str">
        <x:v>Scomber scombrus</x:v>
      </x:c>
      <x:c r="F29" s="24" t="str">
        <x:v>Atlantic mackerel</x:v>
      </x:c>
      <x:c r="G29" s="24" t="str">
        <x:v>Medium pelagics (30 - 89 cm)</x:v>
      </x:c>
      <x:c r="H29" s="24" t="str">
        <x:v>Perch-likes</x:v>
      </x:c>
      <x:c r="I29" s="31" t="n">
        <x:v>42.4967713882</x:v>
      </x:c>
      <x:c r="J29" s="31" t="n">
        <x:v>42.4967713882</x:v>
      </x:c>
      <x:c r="K29" s="31" t="n">
        <x:v>0</x:v>
      </x:c>
      <x:c r="L29" s="31" t="n">
        <x:v>33.15</x:v>
      </x:c>
      <x:c r="M29" s="31" t="n">
        <x:v>9.346771388199999</x:v>
      </x:c>
      <x:c r="N29" s="24" t="str">
        <x:v>scomber scombrus</x:v>
      </x:c>
      <x:c r="O29" s="32" t="n">
        <x:v>3.63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Scomber scombrus</x:v>
      </x:c>
      <x:c r="T29" s="32" t="n">
        <x:f>IF(O29="","",(1/'Metadata'!$B$5)^(O29-1))</x:f>
        <x:v>426.57951880159254</x:v>
      </x:c>
      <x:c r="U29" s="31" t="n">
        <x:f>IF(T29="","",I29*T29)</x:f>
        <x:v>18128.252289399643</x:v>
      </x:c>
    </x:row>
    <x:row r="30" ht="18" customHeight="1">
      <x:c r="A30" s="24" t="str">
        <x:v>EEZ_191</x:v>
      </x:c>
      <x:c r="B30" s="24" t="str">
        <x:v>Croatia</x:v>
      </x:c>
      <x:c r="C30" s="24" t="str">
        <x:v>EEZ</x:v>
      </x:c>
      <x:c r="D30" s="30" t="n">
        <x:v>2019</x:v>
      </x:c>
      <x:c r="E30" s="24" t="str">
        <x:v>Seriola dumerili</x:v>
      </x:c>
      <x:c r="F30" s="24" t="str">
        <x:v>Greater amberjack</x:v>
      </x:c>
      <x:c r="G30" s="24" t="str">
        <x:v>Large reef assoc. fish (&gt;=90 cm)</x:v>
      </x:c>
      <x:c r="H30" s="24" t="str">
        <x:v>Perch-likes</x:v>
      </x:c>
      <x:c r="I30" s="31" t="n">
        <x:v>40.9591349553</x:v>
      </x:c>
      <x:c r="J30" s="31" t="n">
        <x:v>40.9591349553</x:v>
      </x:c>
      <x:c r="K30" s="31" t="n">
        <x:v>0</x:v>
      </x:c>
      <x:c r="L30" s="31" t="n">
        <x:v>40.9591349553</x:v>
      </x:c>
      <x:c r="M30" s="31" t="n">
        <x:v>0</x:v>
      </x:c>
      <x:c r="N30" s="24" t="str">
        <x:v>seriola dumerili</x:v>
      </x:c>
      <x:c r="O30" s="32" t="n">
        <x:v>4.5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Seriola dumerili</x:v>
      </x:c>
      <x:c r="T30" s="32" t="n">
        <x:f>IF(O30="","",(1/'Metadata'!$B$5)^(O30-1))</x:f>
        <x:v>3162.2776601683795</x:v>
      </x:c>
      <x:c r="U30" s="31" t="n">
        <x:f>IF(T30="","",I30*T30)</x:f>
        <x:v>129524.15744896697</x:v>
      </x:c>
    </x:row>
    <x:row r="31" ht="18" customHeight="1">
      <x:c r="A31" s="24" t="str">
        <x:v>EEZ_191</x:v>
      </x:c>
      <x:c r="B31" s="24" t="str">
        <x:v>Croatia</x:v>
      </x:c>
      <x:c r="C31" s="24" t="str">
        <x:v>EEZ</x:v>
      </x:c>
      <x:c r="D31" s="30" t="n">
        <x:v>2019</x:v>
      </x:c>
      <x:c r="E31" s="24" t="str">
        <x:v>Katsuwonus pelamis</x:v>
      </x:c>
      <x:c r="F31" s="24" t="str">
        <x:v>Skipjack tuna</x:v>
      </x:c>
      <x:c r="G31" s="24" t="str">
        <x:v>Large pelagics (&gt;=90 cm)</x:v>
      </x:c>
      <x:c r="H31" s="24" t="str">
        <x:v>Tuna &amp; billfishes</x:v>
      </x:c>
      <x:c r="I31" s="31" t="n">
        <x:v>39.1485910048</x:v>
      </x:c>
      <x:c r="J31" s="31" t="n">
        <x:v>39.1485910048</x:v>
      </x:c>
      <x:c r="K31" s="31" t="n">
        <x:v>0</x:v>
      </x:c>
      <x:c r="L31" s="31" t="n">
        <x:v>39.1485910048</x:v>
      </x:c>
      <x:c r="M31" s="31" t="n">
        <x:v>0</x:v>
      </x:c>
      <x:c r="N31" s="24" t="str">
        <x:v>katsuwonus pelamis</x:v>
      </x:c>
      <x:c r="O31" s="32" t="n">
        <x:v>4.43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Katsuwonus pelamis</x:v>
      </x:c>
      <x:c r="T31" s="32" t="n">
        <x:f>IF(O31="","",(1/'Metadata'!$B$5)^(O31-1))</x:f>
        <x:v>2691.534803926914</x:v>
      </x:c>
      <x:c r="U31" s="31" t="n">
        <x:f>IF(T31="","",I31*T31)</x:f>
        <x:v>105369.7952141193</x:v>
      </x:c>
    </x:row>
    <x:row r="32" ht="18" customHeight="1">
      <x:c r="A32" s="24" t="str">
        <x:v>EEZ_191</x:v>
      </x:c>
      <x:c r="B32" s="24" t="str">
        <x:v>Croatia</x:v>
      </x:c>
      <x:c r="C32" s="24" t="str">
        <x:v>EEZ</x:v>
      </x:c>
      <x:c r="D32" s="30" t="n">
        <x:v>2019</x:v>
      </x:c>
      <x:c r="E32" s="24" t="str">
        <x:v>Mullus surmuletus</x:v>
      </x:c>
      <x:c r="F32" s="24" t="str">
        <x:v>Surmullet</x:v>
      </x:c>
      <x:c r="G32" s="24" t="str">
        <x:v>Medium demersals (30 - 89 cm)</x:v>
      </x:c>
      <x:c r="H32" s="24" t="str">
        <x:v>Perch-likes</x:v>
      </x:c>
      <x:c r="I32" s="31" t="n">
        <x:v>32.1817691231</x:v>
      </x:c>
      <x:c r="J32" s="31" t="n">
        <x:v>32.1817691231</x:v>
      </x:c>
      <x:c r="K32" s="31" t="n">
        <x:v>0</x:v>
      </x:c>
      <x:c r="L32" s="31" t="n">
        <x:v>17.85</x:v>
      </x:c>
      <x:c r="M32" s="31" t="n">
        <x:v>14.331769123099999</x:v>
      </x:c>
      <x:c r="N32" s="24" t="str">
        <x:v>mullus surmuletus</x:v>
      </x:c>
      <x:c r="O32" s="32" t="n">
        <x:v>3.45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Mullus surmuletus</x:v>
      </x:c>
      <x:c r="T32" s="32" t="n">
        <x:f>IF(O32="","",(1/'Metadata'!$B$5)^(O32-1))</x:f>
        <x:v>281.8382931264455</x:v>
      </x:c>
      <x:c r="U32" s="31" t="n">
        <x:f>IF(T32="","",I32*T32)</x:f>
        <x:v>9070.05487944385</x:v>
      </x:c>
    </x:row>
    <x:row r="33" ht="18" customHeight="1">
      <x:c r="A33" s="24" t="str">
        <x:v>EEZ_191</x:v>
      </x:c>
      <x:c r="B33" s="24" t="str">
        <x:v>Croatia</x:v>
      </x:c>
      <x:c r="C33" s="24" t="str">
        <x:v>EEZ</x:v>
      </x:c>
      <x:c r="D33" s="30" t="n">
        <x:v>2019</x:v>
      </x:c>
      <x:c r="E33" s="24" t="str">
        <x:v>Scorpaenidae</x:v>
      </x:c>
      <x:c r="F33" s="24" t="str">
        <x:v>Scorpionfishes, rockfishes</x:v>
      </x:c>
      <x:c r="G33" s="24" t="str">
        <x:v>Large reef assoc. fish (&gt;=90 cm)</x:v>
      </x:c>
      <x:c r="H33" s="24" t="str">
        <x:v>Scorpionfishes</x:v>
      </x:c>
      <x:c r="I33" s="31" t="n">
        <x:v>28.4771619052</x:v>
      </x:c>
      <x:c r="J33" s="31" t="n">
        <x:v>4.8373371267</x:v>
      </x:c>
      <x:c r="K33" s="31" t="n">
        <x:v>23.6398247785</x:v>
      </x:c>
      <x:c r="L33" s="31" t="n">
        <x:v>0</x:v>
      </x:c>
      <x:c r="M33" s="31" t="n">
        <x:v>28.4771619052</x:v>
      </x:c>
      <x:c r="N33" s="24" t="str">
        <x:v>scorpaenidae</x:v>
      </x:c>
      <x:c r="O33" s="32" t="n">
        <x:v>3.92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Scorpaenidae</x:v>
      </x:c>
      <x:c r="T33" s="32" t="n">
        <x:f>IF(O33="","",(1/'Metadata'!$B$5)^(O33-1))</x:f>
        <x:v>831.7637711026708</x:v>
      </x:c>
      <x:c r="U33" s="31" t="n">
        <x:f>IF(T33="","",I33*T33)</x:f>
        <x:v>23686.27157657047</x:v>
      </x:c>
    </x:row>
    <x:row r="34" ht="18" customHeight="1">
      <x:c r="A34" s="24" t="str">
        <x:v>EEZ_191</x:v>
      </x:c>
      <x:c r="B34" s="24" t="str">
        <x:v>Croatia</x:v>
      </x:c>
      <x:c r="C34" s="24" t="str">
        <x:v>EEZ</x:v>
      </x:c>
      <x:c r="D34" s="30" t="n">
        <x:v>2019</x:v>
      </x:c>
      <x:c r="E34" s="24" t="str">
        <x:v>Palinurus elephas</x:v>
      </x:c>
      <x:c r="F34" s="24" t="str">
        <x:v>Common spiny lobster</x:v>
      </x:c>
      <x:c r="G34" s="24" t="str">
        <x:v>Lobsters, crabs</x:v>
      </x:c>
      <x:c r="H34" s="24" t="str">
        <x:v>Crustaceans</x:v>
      </x:c>
      <x:c r="I34" s="31" t="n">
        <x:v>18.8606664944</x:v>
      </x:c>
      <x:c r="J34" s="31" t="n">
        <x:v>18.8606664944</x:v>
      </x:c>
      <x:c r="K34" s="31" t="n">
        <x:v>0</x:v>
      </x:c>
      <x:c r="L34" s="31" t="n">
        <x:v>6.8</x:v>
      </x:c>
      <x:c r="M34" s="31" t="n">
        <x:v>12.060666494400001</x:v>
      </x:c>
      <x:c r="N34" s="24" t="str">
        <x:v>palinurus elephas</x:v>
      </x:c>
      <x:c r="O34" s="32" t="n">
        <x:v>3.34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Palinurus elephas</x:v>
      </x:c>
      <x:c r="T34" s="32" t="n">
        <x:f>IF(O34="","",(1/'Metadata'!$B$5)^(O34-1))</x:f>
        <x:v>218.77616239495518</x:v>
      </x:c>
      <x:c r="U34" s="31" t="n">
        <x:f>IF(T34="","",I34*T34)</x:f>
        <x:v>4126.264235855944</x:v>
      </x:c>
    </x:row>
    <x:row r="35" ht="18" customHeight="1">
      <x:c r="A35" s="24" t="str">
        <x:v>EEZ_191</x:v>
      </x:c>
      <x:c r="B35" s="24" t="str">
        <x:v>Croatia</x:v>
      </x:c>
      <x:c r="C35" s="24" t="str">
        <x:v>EEZ</x:v>
      </x:c>
      <x:c r="D35" s="30" t="n">
        <x:v>2019</x:v>
      </x:c>
      <x:c r="E35" s="24" t="str">
        <x:v>Carangidae</x:v>
      </x:c>
      <x:c r="F35" s="24" t="str">
        <x:v>Jacks, pompanos</x:v>
      </x:c>
      <x:c r="G35" s="24" t="str">
        <x:v>Medium pelagics (30 - 89 cm)</x:v>
      </x:c>
      <x:c r="H35" s="24" t="str">
        <x:v>Perch-likes</x:v>
      </x:c>
      <x:c r="I35" s="31" t="n">
        <x:v>18.4717194268</x:v>
      </x:c>
      <x:c r="J35" s="31" t="n">
        <x:v>18.4717194268</x:v>
      </x:c>
      <x:c r="K35" s="31" t="n">
        <x:v>0</x:v>
      </x:c>
      <x:c r="L35" s="31" t="n">
        <x:v>0</x:v>
      </x:c>
      <x:c r="M35" s="31" t="n">
        <x:v>18.4717194268</x:v>
      </x:c>
      <x:c r="N35" s="24" t="str">
        <x:v>carangidae</x:v>
      </x:c>
      <x:c r="O35" s="32" t="n">
        <x:v>4.05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Carangidae</x:v>
      </x:c>
      <x:c r="T35" s="32" t="n">
        <x:f>IF(O35="","",(1/'Metadata'!$B$5)^(O35-1))</x:f>
        <x:v>1122.018454301963</x:v>
      </x:c>
      <x:c r="U35" s="31" t="n">
        <x:f>IF(T35="","",I35*T35)</x:f>
        <x:v>20725.61007955768</x:v>
      </x:c>
    </x:row>
    <x:row r="36" ht="18" customHeight="1">
      <x:c r="A36" s="24" t="str">
        <x:v>EEZ_191</x:v>
      </x:c>
      <x:c r="B36" s="24" t="str">
        <x:v>Croatia</x:v>
      </x:c>
      <x:c r="C36" s="24" t="str">
        <x:v>EEZ</x:v>
      </x:c>
      <x:c r="D36" s="30" t="n">
        <x:v>2019</x:v>
      </x:c>
      <x:c r="E36" s="24" t="str">
        <x:v>Xiphias gladius</x:v>
      </x:c>
      <x:c r="F36" s="24" t="str">
        <x:v>Swordfish</x:v>
      </x:c>
      <x:c r="G36" s="24" t="str">
        <x:v>Large pelagics (&gt;=90 cm)</x:v>
      </x:c>
      <x:c r="H36" s="24" t="str">
        <x:v>Tuna &amp; billfishes</x:v>
      </x:c>
      <x:c r="I36" s="31" t="n">
        <x:v>13.246665850500001</x:v>
      </x:c>
      <x:c r="J36" s="31" t="n">
        <x:v>13.246665850500001</x:v>
      </x:c>
      <x:c r="K36" s="31" t="n">
        <x:v>0</x:v>
      </x:c>
      <x:c r="L36" s="31" t="n">
        <x:v>13.246665850500001</x:v>
      </x:c>
      <x:c r="M36" s="31" t="n">
        <x:v>0</x:v>
      </x:c>
      <x:c r="N36" s="24" t="str">
        <x:v>xiphias gladius</x:v>
      </x:c>
      <x:c r="O36" s="32" t="n">
        <x:v>4.53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Xiphias gladius</x:v>
      </x:c>
      <x:c r="T36" s="32" t="n">
        <x:f>IF(O36="","",(1/'Metadata'!$B$5)^(O36-1))</x:f>
        <x:v>3388.4415613920273</x:v>
      </x:c>
      <x:c r="U36" s="31" t="n">
        <x:f>IF(T36="","",I36*T36)</x:f>
        <x:v>44885.55311770667</x:v>
      </x:c>
    </x:row>
    <x:row r="37" ht="18" customHeight="1">
      <x:c r="A37" s="24" t="str">
        <x:v>EEZ_191</x:v>
      </x:c>
      <x:c r="B37" s="24" t="str">
        <x:v>Croatia</x:v>
      </x:c>
      <x:c r="C37" s="24" t="str">
        <x:v>EEZ</x:v>
      </x:c>
      <x:c r="D37" s="30" t="n">
        <x:v>2019</x:v>
      </x:c>
      <x:c r="E37" s="24" t="str">
        <x:v>Palinuridae</x:v>
      </x:c>
      <x:c r="F37" s="24" t="str">
        <x:v>Spiny lobsters</x:v>
      </x:c>
      <x:c r="G37" s="24" t="str">
        <x:v>Lobsters, crabs</x:v>
      </x:c>
      <x:c r="H37" s="24" t="str">
        <x:v>Crustaceans</x:v>
      </x:c>
      <x:c r="I37" s="31" t="n">
        <x:v>11.4985562423</x:v>
      </x:c>
      <x:c r="J37" s="31" t="n">
        <x:v>1.9612958655000001</x:v>
      </x:c>
      <x:c r="K37" s="31" t="n">
        <x:v>9.537260376799999</x:v>
      </x:c>
      <x:c r="L37" s="31" t="n">
        <x:v>0</x:v>
      </x:c>
      <x:c r="M37" s="31" t="n">
        <x:v>11.4985562423</x:v>
      </x:c>
      <x:c r="N37" s="24" t="str">
        <x:v>palinuridae</x:v>
      </x:c>
      <x:c r="O37" s="32" t="n">
        <x:v>3.14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Palinuridae</x:v>
      </x:c>
      <x:c r="T37" s="32" t="n">
        <x:f>IF(O37="","",(1/'Metadata'!$B$5)^(O37-1))</x:f>
        <x:v>138.03842646028852</x:v>
      </x:c>
      <x:c r="U37" s="31" t="n">
        <x:f>IF(T37="","",I37*T37)</x:f>
        <x:v>1587.24261025222</x:v>
      </x:c>
    </x:row>
    <x:row r="38" ht="18" customHeight="1">
      <x:c r="A38" s="24" t="str">
        <x:v>EEZ_191</x:v>
      </x:c>
      <x:c r="B38" s="24" t="str">
        <x:v>Croatia</x:v>
      </x:c>
      <x:c r="C38" s="24" t="str">
        <x:v>EEZ</x:v>
      </x:c>
      <x:c r="D38" s="30" t="n">
        <x:v>2019</x:v>
      </x:c>
      <x:c r="E38" s="24" t="str">
        <x:v>Euthynnus alletteratus</x:v>
      </x:c>
      <x:c r="F38" s="24" t="str">
        <x:v>Little tunny </x:v>
      </x:c>
      <x:c r="G38" s="24" t="str">
        <x:v>Large pelagics (&gt;=90 cm)</x:v>
      </x:c>
      <x:c r="H38" s="24" t="str">
        <x:v>Tuna &amp; billfishes</x:v>
      </x:c>
      <x:c r="I38" s="31" t="n">
        <x:v>5.7989712494</x:v>
      </x:c>
      <x:c r="J38" s="31" t="n">
        <x:v>5.7989712494</x:v>
      </x:c>
      <x:c r="K38" s="31" t="n">
        <x:v>0</x:v>
      </x:c>
      <x:c r="L38" s="31" t="n">
        <x:v>5.7989712494</x:v>
      </x:c>
      <x:c r="M38" s="31" t="n">
        <x:v>0</x:v>
      </x:c>
      <x:c r="N38" s="24" t="str">
        <x:v>euthynnus alletteratus</x:v>
      </x:c>
      <x:c r="O38" s="32" t="n">
        <x:v>4.49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Euthynnus alletteratus</x:v>
      </x:c>
      <x:c r="T38" s="32" t="n">
        <x:f>IF(O38="","",(1/'Metadata'!$B$5)^(O38-1))</x:f>
        <x:v>3090.295432513592</x:v>
      </x:c>
      <x:c r="U38" s="31" t="n">
        <x:f>IF(T38="","",I38*T38)</x:f>
        <x:v>17920.53436529846</x:v>
      </x:c>
    </x:row>
    <x:row r="39" ht="18" customHeight="1">
      <x:c r="A39" s="24" t="str">
        <x:v>EEZ_191</x:v>
      </x:c>
      <x:c r="B39" s="24" t="str">
        <x:v>Croatia</x:v>
      </x:c>
      <x:c r="C39" s="24" t="str">
        <x:v>EEZ</x:v>
      </x:c>
      <x:c r="D39" s="30" t="n">
        <x:v>2019</x:v>
      </x:c>
      <x:c r="E39" s="24" t="str">
        <x:v>Auxis rochei</x:v>
      </x:c>
      <x:c r="F39" s="24" t="str">
        <x:v>Bullet tuna</x:v>
      </x:c>
      <x:c r="G39" s="24" t="str">
        <x:v>Medium pelagics (30 - 89 cm)</x:v>
      </x:c>
      <x:c r="H39" s="24" t="str">
        <x:v>Tuna &amp; billfishes</x:v>
      </x:c>
      <x:c r="I39" s="31" t="n">
        <x:v>2.9135893154</x:v>
      </x:c>
      <x:c r="J39" s="31" t="n">
        <x:v>2.9135893154</x:v>
      </x:c>
      <x:c r="K39" s="31" t="n">
        <x:v>0</x:v>
      </x:c>
      <x:c r="L39" s="31" t="n">
        <x:v>2.7921068818</x:v>
      </x:c>
      <x:c r="M39" s="31" t="n">
        <x:v>0.1214824336</x:v>
      </x:c>
      <x:c r="N39" s="24" t="str">
        <x:v>auxis rochei</x:v>
      </x:c>
      <x:c r="O39" s="32" t="n">
        <x:v>4.13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Auxis rochei</x:v>
      </x:c>
      <x:c r="T39" s="32" t="n">
        <x:f>IF(O39="","",(1/'Metadata'!$B$5)^(O39-1))</x:f>
        <x:v>1348.9628825916532</x:v>
      </x:c>
      <x:c r="U39" s="31" t="n">
        <x:f>IF(T39="","",I39*T39)</x:f>
        <x:v>3930.323841590225</x:v>
      </x:c>
    </x:row>
    <x:row r="40" ht="18" customHeight="1">
      <x:c r="A40" s="24" t="str">
        <x:v>EEZ_191</x:v>
      </x:c>
      <x:c r="B40" s="24" t="str">
        <x:v>Croatia</x:v>
      </x:c>
      <x:c r="C40" s="24" t="str">
        <x:v>EEZ</x:v>
      </x:c>
      <x:c r="D40" s="30" t="n">
        <x:v>2019</x:v>
      </x:c>
      <x:c r="E40" s="24" t="str">
        <x:v>Belone belone</x:v>
      </x:c>
      <x:c r="F40" s="24" t="str">
        <x:v>Garfish</x:v>
      </x:c>
      <x:c r="G40" s="24" t="str">
        <x:v>Medium pelagics (30 - 89 cm)</x:v>
      </x:c>
      <x:c r="H40" s="24" t="str">
        <x:v>Other fishes &amp; inverts</x:v>
      </x:c>
      <x:c r="I40" s="31" t="n">
        <x:v>2.791322871</x:v>
      </x:c>
      <x:c r="J40" s="31" t="n">
        <x:v>2.791322871</x:v>
      </x:c>
      <x:c r="K40" s="31" t="n">
        <x:v>0</x:v>
      </x:c>
      <x:c r="L40" s="31" t="n">
        <x:v>0.85</x:v>
      </x:c>
      <x:c r="M40" s="31" t="n">
        <x:v>1.9413228710000001</x:v>
      </x:c>
      <x:c r="N40" s="24" t="str">
        <x:v>belone belone</x:v>
      </x:c>
      <x:c r="O40" s="32" t="n">
        <x:v>4.16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Belone belone</x:v>
      </x:c>
      <x:c r="T40" s="32" t="n">
        <x:f>IF(O40="","",(1/'Metadata'!$B$5)^(O40-1))</x:f>
        <x:v>1445.439770745928</x:v>
      </x:c>
      <x:c r="U40" s="31" t="n">
        <x:f>IF(T40="","",I40*T40)</x:f>
        <x:v>4034.6890907361058</x:v>
      </x:c>
    </x:row>
    <x:row r="41" ht="18" customHeight="1">
      <x:c r="A41" s="24" t="str">
        <x:v>EEZ_191</x:v>
      </x:c>
      <x:c r="B41" s="24" t="str">
        <x:v>Croatia</x:v>
      </x:c>
      <x:c r="C41" s="24" t="str">
        <x:v>EEZ</x:v>
      </x:c>
      <x:c r="D41" s="30" t="n">
        <x:v>2019</x:v>
      </x:c>
      <x:c r="E41" s="24" t="str">
        <x:v>Belonidae</x:v>
      </x:c>
      <x:c r="F41" s="24" t="str">
        <x:v>Needlefishes, garfishes</x:v>
      </x:c>
      <x:c r="G41" s="24" t="str">
        <x:v>Medium pelagics (30 - 89 cm)</x:v>
      </x:c>
      <x:c r="H41" s="24" t="str">
        <x:v>Other fishes &amp; inverts</x:v>
      </x:c>
      <x:c r="I41" s="31" t="n">
        <x:v>0.4147522425</x:v>
      </x:c>
      <x:c r="J41" s="31" t="n">
        <x:v>0.4147522425</x:v>
      </x:c>
      <x:c r="K41" s="31" t="n">
        <x:v>0</x:v>
      </x:c>
      <x:c r="L41" s="31" t="n">
        <x:v>0</x:v>
      </x:c>
      <x:c r="M41" s="31" t="n">
        <x:v>0.4147522425</x:v>
      </x:c>
      <x:c r="N41" s="24" t="str">
        <x:v>belonidae</x:v>
      </x:c>
      <x:c r="O41" s="32" t="n">
        <x:v>4.38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Belonidae</x:v>
      </x:c>
      <x:c r="T41" s="32" t="n">
        <x:f>IF(O41="","",(1/'Metadata'!$B$5)^(O41-1))</x:f>
        <x:v>2398.83291901949</x:v>
      </x:c>
      <x:c r="U41" s="31" t="n">
        <x:f>IF(T41="","",I41*T41)</x:f>
        <x:v>994.9213325461543</x:v>
      </x:c>
    </x:row>
    <x:row r="42" ht="18" customHeight="1">
      <x:c r="A42" s="24" t="str">
        <x:v>EEZ_191</x:v>
      </x:c>
      <x:c r="B42" s="24" t="str">
        <x:v>Croatia</x:v>
      </x:c>
      <x:c r="C42" s="24" t="str">
        <x:v>EEZ</x:v>
      </x:c>
      <x:c r="D42" s="30" t="n">
        <x:v>2019</x:v>
      </x:c>
      <x:c r="E42" s="24" t="str">
        <x:v>Scomberesox saurus</x:v>
      </x:c>
      <x:c r="F42" s="24" t="str">
        <x:v>Atlantic saury</x:v>
      </x:c>
      <x:c r="G42" s="24" t="str">
        <x:v>Medium pelagics (30 - 89 cm)</x:v>
      </x:c>
      <x:c r="H42" s="24" t="str">
        <x:v>Other fishes &amp; inverts</x:v>
      </x:c>
      <x:c r="I42" s="31" t="n">
        <x:v>0.4017784418</x:v>
      </x:c>
      <x:c r="J42" s="31" t="n">
        <x:v>0.4017784418</x:v>
      </x:c>
      <x:c r="K42" s="31" t="n">
        <x:v>0</x:v>
      </x:c>
      <x:c r="L42" s="31" t="n">
        <x:v>0.4017784418</x:v>
      </x:c>
      <x:c r="M42" s="31" t="n">
        <x:v>0</x:v>
      </x:c>
      <x:c r="N42" s="24" t="str">
        <x:v>scomberesox saurus</x:v>
      </x:c>
      <x:c r="O42" s="32" t="n">
        <x:v>3.91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Scomberesox saurus</x:v>
      </x:c>
      <x:c r="T42" s="32" t="n">
        <x:f>IF(O42="","",(1/'Metadata'!$B$5)^(O42-1))</x:f>
        <x:v>812.8305161640995</x:v>
      </x:c>
      <x:c r="U42" s="31" t="n">
        <x:f>IF(T42="","",I42*T42)</x:f>
        <x:v>326.5777782319016</x:v>
      </x:c>
    </x:row>
    <x:row r="43" ht="18" customHeight="1">
      <x:c r="A43" s="24" t="str">
        <x:v>EEZ_191</x:v>
      </x:c>
      <x:c r="B43" s="24" t="str">
        <x:v>Croatia</x:v>
      </x:c>
      <x:c r="C43" s="24" t="str">
        <x:v>EEZ</x:v>
      </x:c>
      <x:c r="D43" s="30" t="n">
        <x:v>2019</x:v>
      </x:c>
      <x:c r="E43" s="24" t="str">
        <x:v>Alopias vulpinus</x:v>
      </x:c>
      <x:c r="F43" s="24" t="str">
        <x:v>Thresher</x:v>
      </x:c>
      <x:c r="G43" s="24" t="str">
        <x:v>Large sharks (&gt;=90 cm)</x:v>
      </x:c>
      <x:c r="H43" s="24" t="str">
        <x:v>Sharks &amp; rays</x:v>
      </x:c>
      <x:c r="I43" s="31" t="n">
        <x:v>0.3162190633</x:v>
      </x:c>
      <x:c r="J43" s="31" t="n">
        <x:v>0.3162190633</x:v>
      </x:c>
      <x:c r="K43" s="31" t="n">
        <x:v>0</x:v>
      </x:c>
      <x:c r="L43" s="31" t="n">
        <x:v>0.3162190633</x:v>
      </x:c>
      <x:c r="M43" s="31" t="n">
        <x:v>0</x:v>
      </x:c>
      <x:c r="N43" s="24" t="str">
        <x:v>alopias vulpinus</x:v>
      </x:c>
      <x:c r="O43" s="32" t="n">
        <x:v>4.5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Alopias vulpinus</x:v>
      </x:c>
      <x:c r="T43" s="32" t="n">
        <x:f>IF(O43="","",(1/'Metadata'!$B$5)^(O43-1))</x:f>
        <x:v>3162.2776601683795</x:v>
      </x:c>
      <x:c r="U43" s="31" t="n">
        <x:f>IF(T43="","",I43*T43)</x:f>
        <x:v>999.9724795929607</x:v>
      </x:c>
    </x:row>
    <x:row r="44" ht="18" customHeight="1">
      <x:c r="A44" s="24" t="str">
        <x:v>EEZ_191</x:v>
      </x:c>
      <x:c r="B44" s="24" t="str">
        <x:v>Croatia</x:v>
      </x:c>
      <x:c r="C44" s="24" t="str">
        <x:v>EEZ</x:v>
      </x:c>
      <x:c r="D44" s="30" t="n">
        <x:v>2019</x:v>
      </x:c>
      <x:c r="E44" s="24" t="str">
        <x:v>Lamna nasus</x:v>
      </x:c>
      <x:c r="F44" s="24" t="str">
        <x:v>Porbeagle</x:v>
      </x:c>
      <x:c r="G44" s="24" t="str">
        <x:v>Large sharks (&gt;=90 cm)</x:v>
      </x:c>
      <x:c r="H44" s="24" t="str">
        <x:v>Sharks &amp; rays</x:v>
      </x:c>
      <x:c r="I44" s="31" t="n">
        <x:v>0.027471775200000003</x:v>
      </x:c>
      <x:c r="J44" s="31" t="n">
        <x:v>0.027471775200000003</x:v>
      </x:c>
      <x:c r="K44" s="31" t="n">
        <x:v>0</x:v>
      </x:c>
      <x:c r="L44" s="31" t="n">
        <x:v>0.027471775200000003</x:v>
      </x:c>
      <x:c r="M44" s="31" t="n">
        <x:v>0</x:v>
      </x:c>
      <x:c r="N44" s="24" t="str">
        <x:v>lamna nasus</x:v>
      </x:c>
      <x:c r="O44" s="32" t="n">
        <x:v>4.57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Lamna nasus</x:v>
      </x:c>
      <x:c r="T44" s="32" t="n">
        <x:f>IF(O44="","",(1/'Metadata'!$B$5)^(O44-1))</x:f>
        <x:v>3715.3522909717276</x:v>
      </x:c>
      <x:c r="U44" s="31" t="n">
        <x:f>IF(T44="","",I44*T44)</x:f>
        <x:v>102.0673229263803</x:v>
      </x:c>
    </x:row>
    <x:row r="45" ht="18" customHeight="1">
      <x:c r="A45" s="24" t="str">
        <x:v>EEZ_191</x:v>
      </x:c>
      <x:c r="B45" s="24" t="str">
        <x:v>Croatia</x:v>
      </x:c>
      <x:c r="C45" s="24" t="str">
        <x:v>EEZ</x:v>
      </x:c>
      <x:c r="D45" s="30" t="n">
        <x:v>2019</x:v>
      </x:c>
      <x:c r="E45" s="24" t="str">
        <x:v>Dasyatidae</x:v>
      </x:c>
      <x:c r="F45" s="24" t="str">
        <x:v>Whiptail stingrays</x:v>
      </x:c>
      <x:c r="G45" s="24" t="str">
        <x:v>Large rays (&gt;=90 cm)</x:v>
      </x:c>
      <x:c r="H45" s="24" t="str">
        <x:v>Sharks &amp; rays</x:v>
      </x:c>
      <x:c r="I45" s="31" t="n">
        <x:v>0.0212331963</x:v>
      </x:c>
      <x:c r="J45" s="31" t="n">
        <x:v>0.0212331963</x:v>
      </x:c>
      <x:c r="K45" s="31" t="n">
        <x:v>0</x:v>
      </x:c>
      <x:c r="L45" s="31" t="n">
        <x:v>0.0212331963</x:v>
      </x:c>
      <x:c r="M45" s="31" t="n">
        <x:v>0</x:v>
      </x:c>
      <x:c r="N45" s="24" t="str">
        <x:v>dasyatidae</x:v>
      </x:c>
      <x:c r="O45" s="32" t="n">
        <x:v>3.38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Dasyatidae</x:v>
      </x:c>
      <x:c r="T45" s="32" t="n">
        <x:f>IF(O45="","",(1/'Metadata'!$B$5)^(O45-1))</x:f>
        <x:v>239.88329190194898</x:v>
      </x:c>
      <x:c r="U45" s="31" t="n">
        <x:f>IF(T45="","",I45*T45)</x:f>
        <x:v>5.093489026044283</x:v>
      </x:c>
    </x:row>
    <x:row r="46" ht="18" customHeight="1">
      <x:c r="A46" s="24" t="str">
        <x:v>EEZ_191</x:v>
      </x:c>
      <x:c r="B46" s="24" t="str">
        <x:v>Croatia</x:v>
      </x:c>
      <x:c r="C46" s="24" t="str">
        <x:v>EEZ</x:v>
      </x:c>
      <x:c r="D46" s="30" t="n">
        <x:v>2019</x:v>
      </x:c>
      <x:c r="E46" s="24" t="str">
        <x:v>Isurus oxyrinchus</x:v>
      </x:c>
      <x:c r="F46" s="24" t="str">
        <x:v>Shortfin mako</x:v>
      </x:c>
      <x:c r="G46" s="24" t="str">
        <x:v>Large sharks (&gt;=90 cm)</x:v>
      </x:c>
      <x:c r="H46" s="24" t="str">
        <x:v>Sharks &amp; rays</x:v>
      </x:c>
      <x:c r="I46" s="31" t="n">
        <x:v>0.0018482367</x:v>
      </x:c>
      <x:c r="J46" s="31" t="n">
        <x:v>0.0018482367</x:v>
      </x:c>
      <x:c r="K46" s="31" t="n">
        <x:v>0</x:v>
      </x:c>
      <x:c r="L46" s="31" t="n">
        <x:v>0.0018482367</x:v>
      </x:c>
      <x:c r="M46" s="31" t="n">
        <x:v>0</x:v>
      </x:c>
      <x:c r="N46" s="24" t="str">
        <x:v>isurus oxyrinchus</x:v>
      </x:c>
      <x:c r="O46" s="32" t="n">
        <x:v>4.5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Isurus oxyrinchus</x:v>
      </x:c>
      <x:c r="T46" s="32" t="n">
        <x:f>IF(O46="","",(1/'Metadata'!$B$5)^(O46-1))</x:f>
        <x:v>3162.2776601683795</x:v>
      </x:c>
      <x:c r="U46" s="31" t="n">
        <x:f>IF(T46="","",I46*T46)</x:f>
        <x:v>5.844637627113327</x:v>
      </x:c>
    </x:row>
  </x:sheetData>
  <x:conditionalFormatting sqref="R2:R4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60dfef9ff13444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10154.0682814682</x:v>
      </x:c>
      <x:c r="C2" s="32" t="n">
        <x:v>3.118849156848166</x:v>
      </x:c>
      <x:c r="D2" s="32" t="n">
        <x:f>IF(C2="","",(1/'Metadata'!$B$5)^(C2-1))</x:f>
        <x:v>131.476809553651</x:v>
      </x:c>
      <x:c r="E2" s="31" t="n">
        <x:f>IF(B2=0,"",B2*D2)</x:f>
        <x:v>1335024.5016373629</x:v>
      </x:c>
    </x:row>
    <x:row r="3" ht="18" customHeight="1">
      <x:c r="A3" s="24" t="str">
        <x:v>Cod-likes</x:v>
      </x:c>
      <x:c r="B3" s="31" t="n">
        <x:v>1783.6560895068</x:v>
      </x:c>
      <x:c r="C3" s="32" t="n">
        <x:v>4.261095376978488</x:v>
      </x:c>
      <x:c r="D3" s="32" t="n">
        <x:f>IF(C3="","",(1/'Metadata'!$B$5)^(C3-1))</x:f>
        <x:v>1824.2962986236357</x:v>
      </x:c>
      <x:c r="E3" s="31" t="n">
        <x:f>IF(B3=0,"",B3*D3)</x:f>
        <x:v>3253917.2021047636</x:v>
      </x:c>
    </x:row>
    <x:row r="4" ht="18" customHeight="1">
      <x:c r="A4" s="24" t="str">
        <x:v>Crustaceans</x:v>
      </x:c>
      <x:c r="B4" s="31" t="n">
        <x:v>483.6534921858001</x:v>
      </x:c>
      <x:c r="C4" s="32" t="n">
        <x:v>2.8975407676048075</x:v>
      </x:c>
      <x:c r="D4" s="32" t="n">
        <x:f>IF(C4="","",(1/'Metadata'!$B$5)^(C4-1))</x:f>
        <x:v>78.98429891757985</x:v>
      </x:c>
      <x:c r="E4" s="31" t="n">
        <x:f>IF(B4=0,"",B4*D4)</x:f>
        <x:v>38201.031999334606</x:v>
      </x:c>
    </x:row>
    <x:row r="5" ht="18" customHeight="1">
      <x:c r="A5" s="24" t="str">
        <x:v>Flatfishes</x:v>
      </x:c>
      <x:c r="B5" s="31" t="n">
        <x:v>709.3718302606</x:v>
      </x:c>
      <x:c r="C5" s="32" t="n">
        <x:v>3.1499999999999995</x:v>
      </x:c>
      <x:c r="D5" s="32" t="n">
        <x:f>IF(C5="","",(1/'Metadata'!$B$5)^(C5-1))</x:f>
        <x:v>141.25375446227525</x:v>
      </x:c>
      <x:c r="E5" s="31" t="n">
        <x:f>IF(B5=0,"",B5*D5)</x:f>
        <x:v>100201.43433408558</x:v>
      </x:c>
    </x:row>
    <x:row r="6" ht="18" customHeight="1">
      <x:c r="A6" s="24" t="str">
        <x:v>Herring-likes</x:v>
      </x:c>
      <x:c r="B6" s="31" t="n">
        <x:v>48353.411555478306</x:v>
      </x:c>
      <x:c r="C6" s="32" t="n">
        <x:v>3.0603869905112795</x:v>
      </x:c>
      <x:c r="D6" s="32" t="n">
        <x:f>IF(C6="","",(1/'Metadata'!$B$5)^(C6-1))</x:f>
        <x:v>114.91771725627959</x:v>
      </x:c>
      <x:c r="E6" s="31" t="n">
        <x:f>IF(B6=0,"",B6*D6)</x:f>
        <x:v>5556663.677508978</x:v>
      </x:c>
    </x:row>
    <x:row r="7" ht="18" customHeight="1">
      <x:c r="A7" s="24" t="str">
        <x:v>Other fishes &amp; inverts</x:v>
      </x:c>
      <x:c r="B7" s="31" t="n">
        <x:v>9185.236562752098</x:v>
      </x:c>
      <x:c r="C7" s="32" t="n">
        <x:v>3.376480866171637</x:v>
      </x:c>
      <x:c r="D7" s="32" t="n">
        <x:f>IF(C7="","",(1/'Metadata'!$B$5)^(C7-1))</x:f>
        <x:v>237.94734655469566</x:v>
      </x:c>
      <x:c r="E7" s="31" t="n">
        <x:f>IF(B7=0,"",B7*D7)</x:f>
        <x:v>2185602.667584035</x:v>
      </x:c>
    </x:row>
    <x:row r="8" ht="18" customHeight="1">
      <x:c r="A8" s="24" t="str">
        <x:v>Perch-likes</x:v>
      </x:c>
      <x:c r="B8" s="31" t="n">
        <x:v>4079.9934932567007</x:v>
      </x:c>
      <x:c r="C8" s="32" t="n">
        <x:v>3.475377853896406</x:v>
      </x:c>
      <x:c r="D8" s="32" t="n">
        <x:f>IF(C8="","",(1/'Metadata'!$B$5)^(C8-1))</x:f>
        <x:v>298.798115370001</x:v>
      </x:c>
      <x:c r="E8" s="31" t="n">
        <x:f>IF(B8=0,"",B8*D8)</x:f>
        <x:v>1219094.366506969</x:v>
      </x:c>
    </x:row>
    <x:row r="9" ht="18" customHeight="1">
      <x:c r="A9" s="24" t="str">
        <x:v>Scorpionfishes</x:v>
      </x:c>
      <x:c r="B9" s="31" t="n">
        <x:v>84.85119619400001</x:v>
      </x:c>
      <x:c r="C9" s="32" t="n">
        <x:v>4.139247720123708</x:v>
      </x:c>
      <x:c r="D9" s="32" t="n">
        <x:f>IF(C9="","",(1/'Metadata'!$B$5)^(C9-1))</x:f>
        <x:v>1377.9952486625252</x:v>
      </x:c>
      <x:c r="E9" s="31" t="n">
        <x:f>IF(B9=0,"",B9*D9)</x:f>
        <x:v>116924.54519866376</x:v>
      </x:c>
    </x:row>
    <x:row r="10" ht="18" customHeight="1">
      <x:c r="A10" s="24" t="str">
        <x:v>Sharks &amp; rays</x:v>
      </x:c>
      <x:c r="B10" s="31" t="n">
        <x:v>0.36677227149999997</x:v>
      </x:c>
      <x:c r="C10" s="32" t="n">
        <x:v>4.440404012815347</x:v>
      </x:c>
      <x:c r="D10" s="32" t="n">
        <x:f>IF(C10="","",(1/'Metadata'!$B$5)^(C10-1))</x:f>
        <x:v>2756.792082514434</x:v>
      </x:c>
      <x:c r="E10" s="31" t="n">
        <x:f>IF(B10=0,"",B10*D10)</x:f>
        <x:v>1011.1148941570342</x:v>
      </x:c>
    </x:row>
    <x:row r="11" ht="18" customHeight="1">
      <x:c r="A11" s="24" t="str">
        <x:v>Tuna &amp; billfishes</x:v>
      </x:c>
      <x:c r="B11" s="31" t="n">
        <x:v>2238.3641143326995</x:v>
      </x:c>
      <x:c r="C11" s="32" t="n">
        <x:v>4.4239359082894385</x:v>
      </x:c>
      <x:c r="D11" s="32" t="n">
        <x:f>IF(C11="","",(1/'Metadata'!$B$5)^(C11-1))</x:f>
        <x:v>2654.213833172092</x:v>
      </x:c>
      <x:c r="E11" s="31" t="n">
        <x:f>IF(B11=0,"",B11*D11)</x:f>
        <x:v>5941096.995937849</x:v>
      </x:c>
    </x:row>
  </x:sheetData>
  <x:pageMargins left="0.7" right="0.7" top="0.75" bottom="0.75" header="0.3" footer="0.3"/>
  <x:tableParts count="1">
    <x:tablePart xmlns:r="http://schemas.openxmlformats.org/officeDocument/2006/relationships" r:id="R084e51b9f1904ed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1758.0752609207</x:v>
      </x:c>
      <x:c r="C2" s="32" t="n">
        <x:v>3.8100000000000005</x:v>
      </x:c>
      <x:c r="D2" s="32" t="n">
        <x:f>IF(C2="","",(1/'Metadata'!$B$5)^(C2-1))</x:f>
        <x:v>645.6542290346563</x:v>
      </x:c>
      <x:c r="E2" s="31" t="n">
        <x:f>IF(B2=0,"",B2*D2)</x:f>
        <x:v>1135108.7271746567</x:v>
      </x:c>
    </x:row>
    <x:row r="3" ht="18" customHeight="1">
      <x:c r="A3" s="24" t="str">
        <x:v>Large bathydemersals (&gt;=90 cm)</x:v>
      </x:c>
      <x:c r="B3" s="31" t="n">
        <x:v>212.4615969882</x:v>
      </x:c>
      <x:c r="C3" s="32" t="n">
        <x:v>3.82</x:v>
      </x:c>
      <x:c r="D3" s="32" t="n">
        <x:f>IF(C3="","",(1/'Metadata'!$B$5)^(C3-1))</x:f>
        <x:v>660.6934480075957</x:v>
      </x:c>
      <x:c r="E3" s="31" t="n">
        <x:f>IF(B3=0,"",B3*D3)</x:f>
        <x:v>140371.9850833341</x:v>
      </x:c>
    </x:row>
    <x:row r="4" ht="18" customHeight="1">
      <x:c r="A4" s="24" t="str">
        <x:v>Large demersals (&gt;=90 cm)</x:v>
      </x:c>
      <x:c r="B4" s="31" t="n">
        <x:v>1227.9086414615</x:v>
      </x:c>
      <x:c r="C4" s="32" t="n">
        <x:v>4.42</x:v>
      </x:c>
      <x:c r="D4" s="32" t="n">
        <x:f>IF(C4="","",(1/'Metadata'!$B$5)^(C4-1))</x:f>
        <x:v>2630.2679918953813</x:v>
      </x:c>
      <x:c r="E4" s="31" t="n">
        <x:f>IF(B4=0,"",B4*D4)</x:f>
        <x:v>3229728.7966079256</x:v>
      </x:c>
    </x:row>
    <x:row r="5" ht="18" customHeight="1">
      <x:c r="A5" s="24" t="str">
        <x:v>Large pelagics (&gt;=90 cm)</x:v>
      </x:c>
      <x:c r="B5" s="31" t="n">
        <x:v>2114.7388081951</x:v>
      </x:c>
      <x:c r="C5" s="32" t="n">
        <x:v>4.419999053986279</x:v>
      </x:c>
      <x:c r="D5" s="32" t="n">
        <x:f>IF(C5="","",(1/'Metadata'!$B$5)^(C5-1))</x:f>
        <x:v>2630.2622624491114</x:v>
      </x:c>
      <x:c r="E5" s="31" t="n">
        <x:f>IF(B5=0,"",B5*D5)</x:f>
        <x:v>5562317.682132181</x:v>
      </x:c>
    </x:row>
    <x:row r="6" ht="18" customHeight="1">
      <x:c r="A6" s="24" t="str">
        <x:v>Large rays (&gt;=90 cm)</x:v>
      </x:c>
      <x:c r="B6" s="31" t="n">
        <x:v>0.0212331963</x:v>
      </x:c>
      <x:c r="C6" s="32" t="n">
        <x:v>3.38</x:v>
      </x:c>
      <x:c r="D6" s="32" t="n">
        <x:f>IF(C6="","",(1/'Metadata'!$B$5)^(C6-1))</x:f>
        <x:v>239.88329190194898</x:v>
      </x:c>
      <x:c r="E6" s="31" t="n">
        <x:f>IF(B6=0,"",B6*D6)</x:f>
        <x:v>5.093489026044283</x:v>
      </x:c>
    </x:row>
    <x:row r="7" ht="18" customHeight="1">
      <x:c r="A7" s="24" t="str">
        <x:v>Large reef assoc. fish (&gt;=90 cm)</x:v>
      </x:c>
      <x:c r="B7" s="31" t="n">
        <x:v>69.4362968605</x:v>
      </x:c>
      <x:c r="C7" s="32" t="n">
        <x:v>4.262130835718404</x:v>
      </x:c>
      <x:c r="D7" s="32" t="n">
        <x:f>IF(C7="","",(1/'Metadata'!$B$5)^(C7-1))</x:f>
        <x:v>1828.651033264601</x:v>
      </x:c>
      <x:c r="E7" s="31" t="n">
        <x:f>IF(B7=0,"",B7*D7)</x:f>
        <x:v>126974.75600002088</x:v>
      </x:c>
    </x:row>
    <x:row r="8" ht="18" customHeight="1">
      <x:c r="A8" s="24" t="str">
        <x:v>Large sharks (&gt;=90 cm)</x:v>
      </x:c>
      <x:c r="B8" s="31" t="n">
        <x:v>0.3455390752</x:v>
      </x:c>
      <x:c r="C8" s="32" t="n">
        <x:v>4.505565287407472</x:v>
      </x:c>
      <x:c r="D8" s="32" t="n">
        <x:f>IF(C8="","",(1/'Metadata'!$B$5)^(C8-1))</x:f>
        <x:v>3203.0615740794733</x:v>
      </x:c>
      <x:c r="E8" s="31" t="n">
        <x:f>IF(B8=0,"",B8*D8)</x:f>
        <x:v>1106.7829341160775</x:v>
      </x:c>
    </x:row>
    <x:row r="9" ht="18" customHeight="1">
      <x:c r="A9" s="24" t="str">
        <x:v>Lobsters, crabs</x:v>
      </x:c>
      <x:c r="B9" s="31" t="n">
        <x:v>483.6534921858001</x:v>
      </x:c>
      <x:c r="C9" s="32" t="n">
        <x:v>2.8975407676048075</x:v>
      </x:c>
      <x:c r="D9" s="32" t="n">
        <x:f>IF(C9="","",(1/'Metadata'!$B$5)^(C9-1))</x:f>
        <x:v>78.98429891757985</x:v>
      </x:c>
      <x:c r="E9" s="31" t="n">
        <x:f>IF(B9=0,"",B9*D9)</x:f>
        <x:v>38201.031999334606</x:v>
      </x:c>
    </x:row>
    <x:row r="10" ht="18" customHeight="1">
      <x:c r="A10" s="24" t="str">
        <x:v>Medium benthopelagics (30 - 89 cm)</x:v>
      </x:c>
      <x:c r="B10" s="31" t="n">
        <x:v>732.1437339249</x:v>
      </x:c>
      <x:c r="C10" s="32" t="n">
        <x:v>3.765441265664624</x:v>
      </x:c>
      <x:c r="D10" s="32" t="n">
        <x:f>IF(C10="","",(1/'Metadata'!$B$5)^(C10-1))</x:f>
        <x:v>582.6949653311314</x:v>
      </x:c>
      <x:c r="E10" s="31" t="n">
        <x:f>IF(B10=0,"",B10*D10)</x:f>
        <x:v>426616.4676567746</x:v>
      </x:c>
    </x:row>
    <x:row r="11" ht="18" customHeight="1">
      <x:c r="A11" s="24" t="str">
        <x:v>Medium demersals (30 - 89 cm)</x:v>
      </x:c>
      <x:c r="B11" s="31" t="n">
        <x:v>8239.807327640701</x:v>
      </x:c>
      <x:c r="C11" s="32" t="n">
        <x:v>3.26838433011578</x:v>
      </x:c>
      <x:c r="D11" s="32" t="n">
        <x:f>IF(C11="","",(1/'Metadata'!$B$5)^(C11-1))</x:f>
        <x:v>185.51726374091487</x:v>
      </x:c>
      <x:c r="E11" s="31" t="n">
        <x:f>IF(B11=0,"",B11*D11)</x:f>
        <x:v>1528626.5091762429</x:v>
      </x:c>
    </x:row>
    <x:row r="12" ht="18" customHeight="1">
      <x:c r="A12" s="24" t="str">
        <x:v>Medium pelagics (30 - 89 cm)</x:v>
      </x:c>
      <x:c r="B12" s="31" t="n">
        <x:v>1950.865817476</x:v>
      </x:c>
      <x:c r="C12" s="32" t="n">
        <x:v>3.762064796079108</x:v>
      </x:c>
      <x:c r="D12" s="32" t="n">
        <x:f>IF(C12="","",(1/'Metadata'!$B$5)^(C12-1))</x:f>
        <x:v>578.1823048952438</x:v>
      </x:c>
      <x:c r="E12" s="31" t="n">
        <x:f>IF(B12=0,"",B12*D12)</x:f>
        <x:v>1127956.0948896175</x:v>
      </x:c>
    </x:row>
    <x:row r="13" ht="18" customHeight="1">
      <x:c r="A13" s="24" t="str">
        <x:v>Medium reef assoc. fish (30 - 89 cm)</x:v>
      </x:c>
      <x:c r="B13" s="31" t="n">
        <x:v>703.7624954607</x:v>
      </x:c>
      <x:c r="C13" s="32" t="n">
        <x:v>3.1428701196765507</x:v>
      </x:c>
      <x:c r="D13" s="32" t="n">
        <x:f>IF(C13="","",(1/'Metadata'!$B$5)^(C13-1))</x:f>
        <x:v>138.95370134396725</x:v>
      </x:c>
      <x:c r="E13" s="31" t="n">
        <x:f>IF(B13=0,"",B13*D13)</x:f>
        <x:v>97790.40361133122</x:v>
      </x:c>
    </x:row>
    <x:row r="14" ht="18" customHeight="1">
      <x:c r="A14" s="24" t="str">
        <x:v>Other demersal invertebrates</x:v>
      </x:c>
      <x:c r="B14" s="31" t="n">
        <x:v>45</x:v>
      </x:c>
      <x:c r="C14" s="32" t="n">
        <x:v>2</x:v>
      </x:c>
      <x:c r="D14" s="32" t="n">
        <x:f>IF(C14="","",(1/'Metadata'!$B$5)^(C14-1))</x:f>
        <x:v>10</x:v>
      </x:c>
      <x:c r="E14" s="31" t="n">
        <x:f>IF(B14=0,"",B14*D14)</x:f>
        <x:v>450</x:v>
      </x:c>
    </x:row>
    <x:row r="15" ht="18" customHeight="1">
      <x:c r="A15" s="24" t="str">
        <x:v>Small demersals (&lt;30 cm)</x:v>
      </x:c>
      <x:c r="B15" s="31" t="n">
        <x:v>317.901477114</x:v>
      </x:c>
      <x:c r="C15" s="32" t="n">
        <x:v>3.58</x:v>
      </x:c>
      <x:c r="D15" s="32" t="n">
        <x:f>IF(C15="","",(1/'Metadata'!$B$5)^(C15-1))</x:f>
        <x:v>380.1893963205613</x:v>
      </x:c>
      <x:c r="E15" s="31" t="n">
        <x:f>IF(B15=0,"",B15*D15)</x:f>
        <x:v>120862.77067338639</x:v>
      </x:c>
    </x:row>
    <x:row r="16" ht="18" customHeight="1">
      <x:c r="A16" s="24" t="str">
        <x:v>Small pelagics (&lt;30 cm)</x:v>
      </x:c>
      <x:c r="B16" s="31" t="n">
        <x:v>58507.479836946506</x:v>
      </x:c>
      <x:c r="C16" s="32" t="n">
        <x:v>3.070533194561115</x:v>
      </x:c>
      <x:c r="D16" s="32" t="n">
        <x:f>IF(C16="","",(1/'Metadata'!$B$5)^(C16-1))</x:f>
        <x:v>117.63408928669291</x:v>
      </x:c>
      <x:c r="E16" s="31" t="n">
        <x:f>IF(B16=0,"",B16*D16)</x:f>
        <x:v>6882474.107078751</x:v>
      </x:c>
    </x:row>
    <x:row r="17" ht="18" customHeight="1">
      <x:c r="A17" s="24" t="str">
        <x:v>Small to medium flatfishes (&lt;90 cm)</x:v>
      </x:c>
      <x:c r="B17" s="31" t="n">
        <x:v>709.3718302606</x:v>
      </x:c>
      <x:c r="C17" s="32" t="n">
        <x:v>3.1499999999999995</x:v>
      </x:c>
      <x:c r="D17" s="32" t="n">
        <x:f>IF(C17="","",(1/'Metadata'!$B$5)^(C17-1))</x:f>
        <x:v>141.25375446227525</x:v>
      </x:c>
      <x:c r="E17" s="31" t="n">
        <x:f>IF(B17=0,"",B17*D17)</x:f>
        <x:v>100201.43433408558</x:v>
      </x:c>
    </x:row>
  </x:sheetData>
  <x:pageMargins left="0.7" right="0.7" top="0.75" bottom="0.75" header="0.3" footer="0.3"/>
  <x:tableParts count="1">
    <x:tablePart xmlns:r="http://schemas.openxmlformats.org/officeDocument/2006/relationships" r:id="R0c1c412446f04b8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EEZ_191</x:v>
      </x:c>
      <x:c r="B2" s="24" t="str">
        <x:v>raw_filtered_tonnes</x:v>
      </x:c>
      <x:c r="C2" s="24" t="n">
        <x:v>77072.9733877067</x:v>
      </x:c>
      <x:c r="D2" s="24" t="str">
        <x:v>tonnes</x:v>
      </x:c>
    </x:row>
    <x:row r="3" ht="18" customHeight="1">
      <x:c r="A3" s="24" t="str">
        <x:v>EEZ_191</x:v>
      </x:c>
      <x:c r="B3" s="24" t="str">
        <x:v>species_catch_tonnes</x:v>
      </x:c>
      <x:c r="C3" s="24" t="n">
        <x:v>77072.9733877067</x:v>
      </x:c>
      <x:c r="D3" s="24" t="str">
        <x:v>tonnes</x:v>
      </x:c>
    </x:row>
    <x:row r="4" ht="18" customHeight="1">
      <x:c r="A4" s="24" t="str">
        <x:v>EEZ_191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EEZ_191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EEZ_191</x:v>
      </x:c>
      <x:c r="B6" s="24" t="str">
        <x:v>matched_catch_tonnes</x:v>
      </x:c>
      <x:c r="C6" s="24" t="n">
        <x:v>77072.9733877067</x:v>
      </x:c>
      <x:c r="D6" s="24" t="str">
        <x:v>tonnes</x:v>
      </x:c>
    </x:row>
    <x:row r="7" ht="18" customHeight="1">
      <x:c r="A7" s="24" t="str">
        <x:v>EEZ_191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EEZ_191</x:v>
      </x:c>
      <x:c r="B8" s="24" t="str">
        <x:v>taxa_count</x:v>
      </x:c>
      <x:c r="C8" s="24" t="n">
        <x:v>45</x:v>
      </x:c>
      <x:c r="D8" s="24" t="str">
        <x:v>count</x:v>
      </x:c>
    </x:row>
    <x:row r="9" ht="18" customHeight="1">
      <x:c r="A9" s="24" t="str">
        <x:v>EEZ_191</x:v>
      </x:c>
      <x:c r="B9" s="24" t="str">
        <x:v>matched_taxa_count</x:v>
      </x:c>
      <x:c r="C9" s="24" t="n">
        <x:v>45</x:v>
      </x:c>
      <x:c r="D9" s="24" t="str">
        <x:v>count</x:v>
      </x:c>
    </x:row>
    <x:row r="10" ht="18" customHeight="1">
      <x:c r="A10" s="24" t="str">
        <x:v>EEZ_191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EEZ_191</x:v>
      </x:c>
      <x:c r="B11" s="24" t="str">
        <x:v>species_ppr</x:v>
      </x:c>
      <x:c r="C11" s="24" t="n">
        <x:v>21110760.218235113</x:v>
      </x:c>
      <x:c r="D11" s="24" t="str">
        <x:v>tonnes_primary_production_equivalent</x:v>
      </x:c>
    </x:row>
    <x:row r="12" ht="18" customHeight="1">
      <x:c r="A12" s="24" t="str">
        <x:v>EEZ_191</x:v>
      </x:c>
      <x:c r="B12" s="24" t="str">
        <x:v>commercial_ppr</x:v>
      </x:c>
      <x:c r="C12" s="24" t="n">
        <x:v>19747737.5377062</x:v>
      </x:c>
      <x:c r="D12" s="24" t="str">
        <x:v>tonnes_primary_production_equivalent</x:v>
      </x:c>
    </x:row>
    <x:row r="13" ht="18" customHeight="1">
      <x:c r="A13" s="24" t="str">
        <x:v>EEZ_191</x:v>
      </x:c>
      <x:c r="B13" s="24" t="str">
        <x:v>functional_ppr</x:v>
      </x:c>
      <x:c r="C13" s="24" t="n">
        <x:v>20518792.64284078</x:v>
      </x:c>
      <x:c r="D13" s="24" t="str">
        <x:v>tonnes_primary_production_equivalent</x:v>
      </x:c>
    </x:row>
    <x:row r="14" ht="18" customHeight="1">
      <x:c r="A14" s="24" t="str">
        <x:v>EEZ_191</x:v>
      </x:c>
      <x:c r="B14" s="24" t="str">
        <x:v>commercial_ppr_difference</x:v>
      </x:c>
      <x:c r="C14" s="24" t="n">
        <x:v>-1363022.6805289127</x:v>
      </x:c>
      <x:c r="D14" s="24" t="str">
        <x:v>tonnes_primary_production_equivalent</x:v>
      </x:c>
    </x:row>
    <x:row r="15" ht="18" customHeight="1">
      <x:c r="A15" s="24" t="str">
        <x:v>EEZ_191</x:v>
      </x:c>
      <x:c r="B15" s="24" t="str">
        <x:v>functional_ppr_difference</x:v>
      </x:c>
      <x:c r="C15" s="24" t="n">
        <x:v>-591967.5753943324</x:v>
      </x:c>
      <x:c r="D15" s="24" t="str">
        <x:v>tonnes_primary_production_equivalent</x:v>
      </x:c>
    </x:row>
    <x:row r="16" ht="18" customHeight="1">
      <x:c r="A16" s="24" t="str">
        <x:v>EEZ_191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EEZ_191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9d3fb736122740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EEZ_191 - Croatia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EEZ_191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raw_data/SAU_downloads/EEZ_191-catch.zip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