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37aac97b1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5efd072f86f4655"/>
    <x:sheet xmlns:r="http://schemas.openxmlformats.org/officeDocument/2006/relationships" name="Commercial" sheetId="2" r:id="Rf7096ccdb50a420b"/>
    <x:sheet xmlns:r="http://schemas.openxmlformats.org/officeDocument/2006/relationships" name="Functional" sheetId="3" r:id="R3cc09d680e7e43ca"/>
    <x:sheet xmlns:r="http://schemas.openxmlformats.org/officeDocument/2006/relationships" name="Missing TL" sheetId="4" r:id="R8ad7b13cbda24e5f"/>
    <x:sheet xmlns:r="http://schemas.openxmlformats.org/officeDocument/2006/relationships" name="Validation" sheetId="5" r:id="Re93528ccc10e4c05"/>
    <x:sheet xmlns:r="http://schemas.openxmlformats.org/officeDocument/2006/relationships" name="Metadata" sheetId="6" r:id="Rf7ef2a17a8fb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94051a4884f4e" /><Relationship Type="http://schemas.openxmlformats.org/officeDocument/2006/relationships/theme" Target="/xl/theme/theme1.xml" Id="Rf27b7aa3b23648db" /><Relationship Type="http://schemas.microsoft.com/office/2022/11/relationships/FeaturePropertyBag" Target="/xl/featurePropertyBag/featurePropertyBag.xml" Id="Rcbacfc37490a4f7b" /><Relationship Type="http://schemas.openxmlformats.org/officeDocument/2006/relationships/sharedStrings" Target="/xl/sharedStrings.xml" Id="Rca6497be0ce844f1" /><Relationship Type="http://schemas.openxmlformats.org/officeDocument/2006/relationships/worksheet" Target="/xl/worksheets/sheet1.xml" Id="Rf5efd072f86f4655" /><Relationship Type="http://schemas.openxmlformats.org/officeDocument/2006/relationships/worksheet" Target="/xl/worksheets/sheet2.xml" Id="Rf7096ccdb50a420b" /><Relationship Type="http://schemas.openxmlformats.org/officeDocument/2006/relationships/worksheet" Target="/xl/worksheets/sheet3.xml" Id="R3cc09d680e7e43ca" /><Relationship Type="http://schemas.openxmlformats.org/officeDocument/2006/relationships/worksheet" Target="/xl/worksheets/sheet4.xml" Id="R8ad7b13cbda24e5f" /><Relationship Type="http://schemas.openxmlformats.org/officeDocument/2006/relationships/worksheet" Target="/xl/worksheets/sheet5.xml" Id="Re93528ccc10e4c05" /><Relationship Type="http://schemas.openxmlformats.org/officeDocument/2006/relationships/worksheet" Target="/xl/worksheets/sheet6.xml" Id="Rf7ef2a17a8fb4c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04SpeciesTable" displayName="EEZ204SpeciesTable" ref="A1:U97" headerRowCount="1" totalsRowCount="0" totalsRowShown="0">
  <x:autoFilter ref="A1:U9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04CommercialTable" displayName="EEZ204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04FunctionalTable" displayName="EEZ204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04ValidationTable" displayName="EEZ2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0745a576cf43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6d4f2631844a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fd13fc384946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1b0e793be043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EEZ_204</x:v>
      </x:c>
      <x:c r="B2" s="24" t="str">
        <x:v>Benin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23444.5327363102</x:v>
      </x:c>
      <x:c r="J2" s="31" t="n">
        <x:v>23003.27573613</x:v>
      </x:c>
      <x:c r="K2" s="31" t="n">
        <x:v>441.25700018019995</x:v>
      </x:c>
      <x:c r="L2" s="31" t="n">
        <x:v>8047.7417464715</x:v>
      </x:c>
      <x:c r="M2" s="31" t="n">
        <x:v>15396.790989838699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4467263.618004247</x:v>
      </x:c>
    </x:row>
    <x:row r="3" ht="18" customHeight="1">
      <x:c r="A3" s="24" t="str">
        <x:v>EEZ_204</x:v>
      </x:c>
      <x:c r="B3" s="24" t="str">
        <x:v>Benin</x:v>
      </x:c>
      <x:c r="C3" s="24" t="str">
        <x:v>EEZ</x:v>
      </x:c>
      <x:c r="D3" s="30" t="n">
        <x:v>2019</x:v>
      </x:c>
      <x:c r="E3" s="24" t="str">
        <x:v>Sphyraena guachancho</x:v>
      </x:c>
      <x:c r="F3" s="24" t="str">
        <x:v>Guachanche barracuda</x:v>
      </x:c>
      <x:c r="G3" s="24" t="str">
        <x:v>Large pelagics (&gt;=90 cm)</x:v>
      </x:c>
      <x:c r="H3" s="24" t="str">
        <x:v>Perch-likes</x:v>
      </x:c>
      <x:c r="I3" s="31" t="n">
        <x:v>6004.200000000201</x:v>
      </x:c>
      <x:c r="J3" s="31" t="n">
        <x:v>6004.200000000201</x:v>
      </x:c>
      <x:c r="K3" s="31" t="n">
        <x:v>0</x:v>
      </x:c>
      <x:c r="L3" s="31" t="n">
        <x:v>6004.200000000201</x:v>
      </x:c>
      <x:c r="M3" s="31" t="n">
        <x:v>0</x:v>
      </x:c>
      <x:c r="N3" s="24" t="str">
        <x:v>sphyraena guachancho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Sphyraena guachancho</x:v>
      </x:c>
      <x:c r="T3" s="32" t="n">
        <x:f>IF(O3="","",(1/'Metadata'!$B$5)^(O3-1))</x:f>
        <x:v>2238.7211385683377</x:v>
      </x:c>
      <x:c r="U3" s="31" t="n">
        <x:f>IF(T3="","",I3*T3)</x:f>
        <x:v>13441729.460192462</x:v>
      </x:c>
    </x:row>
    <x:row r="4" ht="18" customHeight="1">
      <x:c r="A4" s="24" t="str">
        <x:v>EEZ_204</x:v>
      </x:c>
      <x:c r="B4" s="24" t="str">
        <x:v>Benin</x:v>
      </x:c>
      <x:c r="C4" s="24" t="str">
        <x:v>EEZ</x:v>
      </x:c>
      <x:c r="D4" s="30" t="n">
        <x:v>2019</x:v>
      </x:c>
      <x:c r="E4" s="24" t="str">
        <x:v>Katsuwonus pelamis</x:v>
      </x:c>
      <x:c r="F4" s="24" t="str">
        <x:v>Skipjack tuna</x:v>
      </x:c>
      <x:c r="G4" s="24" t="str">
        <x:v>Large pelagics (&gt;=90 cm)</x:v>
      </x:c>
      <x:c r="H4" s="24" t="str">
        <x:v>Tuna &amp; billfishes</x:v>
      </x:c>
      <x:c r="I4" s="31" t="n">
        <x:v>5724.947110155799</x:v>
      </x:c>
      <x:c r="J4" s="31" t="n">
        <x:v>5724.947110155799</x:v>
      </x:c>
      <x:c r="K4" s="31" t="n">
        <x:v>0</x:v>
      </x:c>
      <x:c r="L4" s="31" t="n">
        <x:v>5724.947110155799</x:v>
      </x:c>
      <x:c r="M4" s="31" t="n">
        <x:v>0</x:v>
      </x:c>
      <x:c r="N4" s="24" t="str">
        <x:v>katsuwonus pelamis</x:v>
      </x:c>
      <x:c r="O4" s="32" t="n">
        <x:v>4.43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Katsuwonus pelamis</x:v>
      </x:c>
      <x:c r="T4" s="32" t="n">
        <x:f>IF(O4="","",(1/'Metadata'!$B$5)^(O4-1))</x:f>
        <x:v>2691.534803926914</x:v>
      </x:c>
      <x:c r="U4" s="31" t="n">
        <x:f>IF(T4="","",I4*T4)</x:f>
        <x:v>15408894.39762514</x:v>
      </x:c>
    </x:row>
    <x:row r="5" ht="18" customHeight="1">
      <x:c r="A5" s="24" t="str">
        <x:v>EEZ_204</x:v>
      </x:c>
      <x:c r="B5" s="24" t="str">
        <x:v>Benin</x:v>
      </x:c>
      <x:c r="C5" s="24" t="str">
        <x:v>EEZ</x:v>
      </x:c>
      <x:c r="D5" s="30" t="n">
        <x:v>2019</x:v>
      </x:c>
      <x:c r="E5" s="24" t="str">
        <x:v>Scomberomorus tritor</x:v>
      </x:c>
      <x:c r="F5" s="24" t="str">
        <x:v>West African Spanish mackerel</x:v>
      </x:c>
      <x:c r="G5" s="24" t="str">
        <x:v>Medium pelagics (30 - 89 cm)</x:v>
      </x:c>
      <x:c r="H5" s="24" t="str">
        <x:v>Perch-likes</x:v>
      </x:c>
      <x:c r="I5" s="31" t="n">
        <x:v>5464.131926345</x:v>
      </x:c>
      <x:c r="J5" s="31" t="n">
        <x:v>5464.131926345</x:v>
      </x:c>
      <x:c r="K5" s="31" t="n">
        <x:v>0</x:v>
      </x:c>
      <x:c r="L5" s="31" t="n">
        <x:v>5214.1577953217</x:v>
      </x:c>
      <x:c r="M5" s="31" t="n">
        <x:v>249.9741310233</x:v>
      </x:c>
      <x:c r="N5" s="24" t="str">
        <x:v>scomberomorus tritor</x:v>
      </x:c>
      <x:c r="O5" s="32" t="n">
        <x:v>4.26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tritor</x:v>
      </x:c>
      <x:c r="T5" s="32" t="n">
        <x:f>IF(O5="","",(1/'Metadata'!$B$5)^(O5-1))</x:f>
        <x:v>1819.7008586099826</x:v>
      </x:c>
      <x:c r="U5" s="31" t="n">
        <x:f>IF(T5="","",I5*T5)</x:f>
        <x:v>9943085.557928214</x:v>
      </x:c>
    </x:row>
    <x:row r="6" ht="18" customHeight="1">
      <x:c r="A6" s="24" t="str">
        <x:v>EEZ_204</x:v>
      </x:c>
      <x:c r="B6" s="24" t="str">
        <x:v>Benin</x:v>
      </x:c>
      <x:c r="C6" s="24" t="str">
        <x:v>EEZ</x:v>
      </x:c>
      <x:c r="D6" s="30" t="n">
        <x:v>2019</x:v>
      </x:c>
      <x:c r="E6" s="24" t="str">
        <x:v>Sarotherodon galilaeus</x:v>
      </x:c>
      <x:c r="F6" s="24" t="str">
        <x:v>Mango tilapia</x:v>
      </x:c>
      <x:c r="G6" s="24" t="str">
        <x:v>Large reef assoc. fish (&gt;=90 cm)</x:v>
      </x:c>
      <x:c r="H6" s="24" t="str">
        <x:v>Perch-likes</x:v>
      </x:c>
      <x:c r="I6" s="31" t="n">
        <x:v>4369.9679038123</x:v>
      </x:c>
      <x:c r="J6" s="31" t="n">
        <x:v>4369.9679038123</x:v>
      </x:c>
      <x:c r="K6" s="31" t="n">
        <x:v>0</x:v>
      </x:c>
      <x:c r="L6" s="31" t="n">
        <x:v>0</x:v>
      </x:c>
      <x:c r="M6" s="31" t="n">
        <x:v>4369.9679038123</x:v>
      </x:c>
      <x:c r="N6" s="24" t="str">
        <x:v>sarotherodon galilaeus</x:v>
      </x:c>
      <x:c r="O6" s="32" t="n">
        <x:v>2.29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Sarotherodon galilaeus</x:v>
      </x:c>
      <x:c r="T6" s="32" t="n">
        <x:f>IF(O6="","",(1/'Metadata'!$B$5)^(O6-1))</x:f>
        <x:v>19.498445997580454</x:v>
      </x:c>
      <x:c r="U6" s="31" t="n">
        <x:f>IF(T6="","",I6*T6)</x:f>
        <x:v>85207.58318364399</x:v>
      </x:c>
    </x:row>
    <x:row r="7" ht="18" customHeight="1">
      <x:c r="A7" s="24" t="str">
        <x:v>EEZ_204</x:v>
      </x:c>
      <x:c r="B7" s="24" t="str">
        <x:v>Benin</x:v>
      </x:c>
      <x:c r="C7" s="24" t="str">
        <x:v>EEZ</x:v>
      </x:c>
      <x:c r="D7" s="30" t="n">
        <x:v>2019</x:v>
      </x:c>
      <x:c r="E7" s="24" t="str">
        <x:v>Pseudotolithus</x:v>
      </x:c>
      <x:c r="F7" s="24" t="str">
        <x:v>African croakers</x:v>
      </x:c>
      <x:c r="G7" s="24" t="str">
        <x:v>Large demersals (&gt;=90 cm)</x:v>
      </x:c>
      <x:c r="H7" s="24" t="str">
        <x:v>Perch-likes</x:v>
      </x:c>
      <x:c r="I7" s="31" t="n">
        <x:v>4161.8069944444</x:v>
      </x:c>
      <x:c r="J7" s="31" t="n">
        <x:v>4159.7046322198</x:v>
      </x:c>
      <x:c r="K7" s="31" t="n">
        <x:v>2.1023622246</x:v>
      </x:c>
      <x:c r="L7" s="31" t="n">
        <x:v>2441.6802586682998</x:v>
      </x:c>
      <x:c r="M7" s="31" t="n">
        <x:v>1720.1267357761</x:v>
      </x:c>
      <x:c r="N7" s="24" t="str">
        <x:v>pseudotolithus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Pseudotolithus</x:v>
      </x:c>
      <x:c r="T7" s="32" t="n">
        <x:f>IF(O7="","",(1/'Metadata'!$B$5)^(O7-1))</x:f>
        <x:v>616.5950018614822</x:v>
      </x:c>
      <x:c r="U7" s="31" t="n">
        <x:f>IF(T7="","",I7*T7)</x:f>
        <x:v>2566149.391486574</x:v>
      </x:c>
    </x:row>
    <x:row r="8" ht="18" customHeight="1">
      <x:c r="A8" s="24" t="str">
        <x:v>EEZ_204</x:v>
      </x:c>
      <x:c r="B8" s="24" t="str">
        <x:v>Benin</x:v>
      </x:c>
      <x:c r="C8" s="24" t="str">
        <x:v>EEZ</x:v>
      </x:c>
      <x:c r="D8" s="30" t="n">
        <x:v>2019</x:v>
      </x:c>
      <x:c r="E8" s="24" t="str">
        <x:v>Galeoides decadactylus</x:v>
      </x:c>
      <x:c r="F8" s="24" t="str">
        <x:v>Lesser African threadfin</x:v>
      </x:c>
      <x:c r="G8" s="24" t="str">
        <x:v>Medium demersals (30 - 89 cm)</x:v>
      </x:c>
      <x:c r="H8" s="24" t="str">
        <x:v>Perch-likes</x:v>
      </x:c>
      <x:c r="I8" s="31" t="n">
        <x:v>3664.8392649484</x:v>
      </x:c>
      <x:c r="J8" s="31" t="n">
        <x:v>3661.9465843669</x:v>
      </x:c>
      <x:c r="K8" s="31" t="n">
        <x:v>2.8926805815</x:v>
      </x:c>
      <x:c r="L8" s="31" t="n">
        <x:v>2717.7819807045</x:v>
      </x:c>
      <x:c r="M8" s="31" t="n">
        <x:v>947.0572842439</x:v>
      </x:c>
      <x:c r="N8" s="24" t="str">
        <x:v>galeoides decadactylus</x:v>
      </x:c>
      <x:c r="O8" s="32" t="n">
        <x:v>3.57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Galeoides decadactylus</x:v>
      </x:c>
      <x:c r="T8" s="32" t="n">
        <x:f>IF(O8="","",(1/'Metadata'!$B$5)^(O8-1))</x:f>
        <x:v>371.5352290971724</x:v>
      </x:c>
      <x:c r="U8" s="31" t="n">
        <x:f>IF(T8="","",I8*T8)</x:f>
        <x:v>1361616.8959069168</x:v>
      </x:c>
    </x:row>
    <x:row r="9" ht="18" customHeight="1">
      <x:c r="A9" s="24" t="str">
        <x:v>EEZ_204</x:v>
      </x:c>
      <x:c r="B9" s="24" t="str">
        <x:v>Benin</x:v>
      </x:c>
      <x:c r="C9" s="24" t="str">
        <x:v>EEZ</x:v>
      </x:c>
      <x:c r="D9" s="30" t="n">
        <x:v>2019</x:v>
      </x:c>
      <x:c r="E9" s="24" t="str">
        <x:v>Ethmalosa fimbriata</x:v>
      </x:c>
      <x:c r="F9" s="24" t="str">
        <x:v>Bonga shad</x:v>
      </x:c>
      <x:c r="G9" s="24" t="str">
        <x:v>Medium pelagics (30 - 89 cm)</x:v>
      </x:c>
      <x:c r="H9" s="24" t="str">
        <x:v>Herring-likes</x:v>
      </x:c>
      <x:c r="I9" s="31" t="n">
        <x:v>3535.1674642152</x:v>
      </x:c>
      <x:c r="J9" s="31" t="n">
        <x:v>3535.1674642152</x:v>
      </x:c>
      <x:c r="K9" s="31" t="n">
        <x:v>0</x:v>
      </x:c>
      <x:c r="L9" s="31" t="n">
        <x:v>0</x:v>
      </x:c>
      <x:c r="M9" s="31" t="n">
        <x:v>3535.1674642152</x:v>
      </x:c>
      <x:c r="N9" s="24" t="str">
        <x:v>ethmalosa fimbriata</x:v>
      </x:c>
      <x:c r="O9" s="32" t="n">
        <x:v>2.5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Ethmalosa fimbriata</x:v>
      </x:c>
      <x:c r="T9" s="32" t="n">
        <x:f>IF(O9="","",(1/'Metadata'!$B$5)^(O9-1))</x:f>
        <x:v>31.622776601683793</x:v>
      </x:c>
      <x:c r="U9" s="31" t="n">
        <x:f>IF(T9="","",I9*T9)</x:f>
        <x:v>111791.81097041826</x:v>
      </x:c>
    </x:row>
    <x:row r="10" ht="18" customHeight="1">
      <x:c r="A10" s="24" t="str">
        <x:v>EEZ_204</x:v>
      </x:c>
      <x:c r="B10" s="24" t="str">
        <x:v>Benin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3490.3550355705</x:v>
      </x:c>
      <x:c r="J10" s="31" t="n">
        <x:v>3490.3550355705</x:v>
      </x:c>
      <x:c r="K10" s="31" t="n">
        <x:v>0</x:v>
      </x:c>
      <x:c r="L10" s="31" t="n">
        <x:v>3490.3550355705</x:v>
      </x:c>
      <x:c r="M10" s="31" t="n">
        <x:v>0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8971593.863796484</x:v>
      </x:c>
    </x:row>
    <x:row r="11" ht="18" customHeight="1">
      <x:c r="A11" s="24" t="str">
        <x:v>EEZ_204</x:v>
      </x:c>
      <x:c r="B11" s="24" t="str">
        <x:v>Benin</x:v>
      </x:c>
      <x:c r="C11" s="24" t="str">
        <x:v>EEZ</x:v>
      </x:c>
      <x:c r="D11" s="30" t="n">
        <x:v>2019</x:v>
      </x:c>
      <x:c r="E11" s="24" t="str">
        <x:v>Sarotherodon melanotheron</x:v>
      </x:c>
      <x:c r="F11" s="24" t="str">
        <x:v>Blackchin tilapia</x:v>
      </x:c>
      <x:c r="G11" s="24" t="str">
        <x:v>Small demersals (&lt;30 cm)</x:v>
      </x:c>
      <x:c r="H11" s="24" t="str">
        <x:v>Perch-likes</x:v>
      </x:c>
      <x:c r="I11" s="31" t="n">
        <x:v>2729.0504169747</x:v>
      </x:c>
      <x:c r="J11" s="31" t="n">
        <x:v>2729.0504169747</x:v>
      </x:c>
      <x:c r="K11" s="31" t="n">
        <x:v>0</x:v>
      </x:c>
      <x:c r="L11" s="31" t="n">
        <x:v>0</x:v>
      </x:c>
      <x:c r="M11" s="31" t="n">
        <x:v>2729.0504169747</x:v>
      </x:c>
      <x:c r="N11" s="24" t="str">
        <x:v>sarotherodon melanotheron</x:v>
      </x:c>
      <x:c r="O11" s="32" t="n">
        <x:v>2.23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Sarotherodon melanotheron</x:v>
      </x:c>
      <x:c r="T11" s="32" t="n">
        <x:f>IF(O11="","",(1/'Metadata'!$B$5)^(O11-1))</x:f>
        <x:v>16.982436524617444</x:v>
      </x:c>
      <x:c r="U11" s="31" t="n">
        <x:f>IF(T11="","",I11*T11)</x:f>
        <x:v>46345.92547875361</x:v>
      </x:c>
    </x:row>
    <x:row r="12" ht="18" customHeight="1">
      <x:c r="A12" s="24" t="str">
        <x:v>EEZ_204</x:v>
      </x:c>
      <x:c r="B12" s="24" t="str">
        <x:v>Benin</x:v>
      </x:c>
      <x:c r="C12" s="24" t="str">
        <x:v>EEZ</x:v>
      </x:c>
      <x:c r="D12" s="30" t="n">
        <x:v>2019</x:v>
      </x:c>
      <x:c r="E12" s="24" t="str">
        <x:v>Ilisha africana</x:v>
      </x:c>
      <x:c r="F12" s="24" t="str">
        <x:v>West African ilisha</x:v>
      </x:c>
      <x:c r="G12" s="24" t="str">
        <x:v>Medium pelagics (30 - 89 cm)</x:v>
      </x:c>
      <x:c r="H12" s="24" t="str">
        <x:v>Herring-likes</x:v>
      </x:c>
      <x:c r="I12" s="31" t="n">
        <x:v>2126.9662025235</x:v>
      </x:c>
      <x:c r="J12" s="31" t="n">
        <x:v>2126.9662025235</x:v>
      </x:c>
      <x:c r="K12" s="31" t="n">
        <x:v>0</x:v>
      </x:c>
      <x:c r="L12" s="31" t="n">
        <x:v>1089.0165886473</x:v>
      </x:c>
      <x:c r="M12" s="31" t="n">
        <x:v>1037.9496138762001</x:v>
      </x:c>
      <x:c r="N12" s="24" t="str">
        <x:v>ilisha africana</x:v>
      </x:c>
      <x:c r="O12" s="32" t="n">
        <x:v>3.59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Ilisha africana</x:v>
      </x:c>
      <x:c r="T12" s="32" t="n">
        <x:f>IF(O12="","",(1/'Metadata'!$B$5)^(O12-1))</x:f>
        <x:v>389.04514499428046</x:v>
      </x:c>
      <x:c r="U12" s="31" t="n">
        <x:f>IF(T12="","",I12*T12)</x:f>
        <x:v>827485.8746586893</x:v>
      </x:c>
    </x:row>
    <x:row r="13" ht="18" customHeight="1">
      <x:c r="A13" s="24" t="str">
        <x:v>EEZ_204</x:v>
      </x:c>
      <x:c r="B13" s="24" t="str">
        <x:v>Benin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1510.6019685501</x:v>
      </x:c>
      <x:c r="J13" s="31" t="n">
        <x:v>1510.6019685501</x:v>
      </x:c>
      <x:c r="K13" s="31" t="n">
        <x:v>0</x:v>
      </x:c>
      <x:c r="L13" s="31" t="n">
        <x:v>1510.6019685501</x:v>
      </x:c>
      <x:c r="M13" s="31" t="n">
        <x:v>0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1694923.2858180858</x:v>
      </x:c>
    </x:row>
    <x:row r="14" ht="18" customHeight="1">
      <x:c r="A14" s="24" t="str">
        <x:v>EEZ_204</x:v>
      </x:c>
      <x:c r="B14" s="24" t="str">
        <x:v>Benin</x:v>
      </x:c>
      <x:c r="C14" s="24" t="str">
        <x:v>EEZ</x:v>
      </x:c>
      <x:c r="D14" s="30" t="n">
        <x:v>2019</x:v>
      </x:c>
      <x:c r="E14" s="24" t="str">
        <x:v>Perciformes</x:v>
      </x:c>
      <x:c r="F14" s="24" t="str">
        <x:v>Perch-likes</x:v>
      </x:c>
      <x:c r="G14" s="24" t="str">
        <x:v>Medium demersals (30 - 89 cm)</x:v>
      </x:c>
      <x:c r="H14" s="24" t="str">
        <x:v>Perch-likes</x:v>
      </x:c>
      <x:c r="I14" s="31" t="n">
        <x:v>1282.1400205214</x:v>
      </x:c>
      <x:c r="J14" s="31" t="n">
        <x:v>1282.1400205214</x:v>
      </x:c>
      <x:c r="K14" s="31" t="n">
        <x:v>0</x:v>
      </x:c>
      <x:c r="L14" s="31" t="n">
        <x:v>0</x:v>
      </x:c>
      <x:c r="M14" s="31" t="n">
        <x:v>1282.1400205214</x:v>
      </x:c>
      <x:c r="N14" s="24" t="str">
        <x:v>perciformes</x:v>
      </x:c>
      <x:c r="O14" s="32" t="n">
        <x:v>3.53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Perciformes</x:v>
      </x:c>
      <x:c r="T14" s="32" t="n">
        <x:f>IF(O14="","",(1/'Metadata'!$B$5)^(O14-1))</x:f>
        <x:v>338.84415613920237</x:v>
      </x:c>
      <x:c r="U14" s="31" t="n">
        <x:f>IF(T14="","",I14*T14)</x:f>
        <x:v>434445.6533058734</x:v>
      </x:c>
    </x:row>
    <x:row r="15" ht="18" customHeight="1">
      <x:c r="A15" s="24" t="str">
        <x:v>EEZ_204</x:v>
      </x:c>
      <x:c r="B15" s="24" t="str">
        <x:v>Benin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1271.0001104996</x:v>
      </x:c>
      <x:c r="J15" s="31" t="n">
        <x:v>1271.0001104996</x:v>
      </x:c>
      <x:c r="K15" s="31" t="n">
        <x:v>0</x:v>
      </x:c>
      <x:c r="L15" s="31" t="n">
        <x:v>1114.5908161103</x:v>
      </x:c>
      <x:c r="M15" s="31" t="n">
        <x:v>156.4092943893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3192607.9320111247</x:v>
      </x:c>
    </x:row>
    <x:row r="16" ht="18" customHeight="1">
      <x:c r="A16" s="24" t="str">
        <x:v>EEZ_204</x:v>
      </x:c>
      <x:c r="B16" s="24" t="str">
        <x:v>Benin</x:v>
      </x:c>
      <x:c r="C16" s="24" t="str">
        <x:v>EEZ</x:v>
      </x:c>
      <x:c r="D16" s="30" t="n">
        <x:v>2019</x:v>
      </x:c>
      <x:c r="E16" s="24" t="str">
        <x:v>Carcharhinidae</x:v>
      </x:c>
      <x:c r="F16" s="24" t="str">
        <x:v>Requiem sharks</x:v>
      </x:c>
      <x:c r="G16" s="24" t="str">
        <x:v>Large sharks (&gt;=90 cm)</x:v>
      </x:c>
      <x:c r="H16" s="24" t="str">
        <x:v>Sharks &amp; rays</x:v>
      </x:c>
      <x:c r="I16" s="31" t="n">
        <x:v>1039.9999999999</x:v>
      </x:c>
      <x:c r="J16" s="31" t="n">
        <x:v>1039.9999999999</x:v>
      </x:c>
      <x:c r="K16" s="31" t="n">
        <x:v>0</x:v>
      </x:c>
      <x:c r="L16" s="31" t="n">
        <x:v>1039.9999999999</x:v>
      </x:c>
      <x:c r="M16" s="31" t="n">
        <x:v>0</x:v>
      </x:c>
      <x:c r="N16" s="24" t="str">
        <x:v>carcharhinidae</x:v>
      </x:c>
      <x:c r="O16" s="32" t="n">
        <x:v>4.24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Carcharhinidae</x:v>
      </x:c>
      <x:c r="T16" s="32" t="n">
        <x:f>IF(O16="","",(1/'Metadata'!$B$5)^(O16-1))</x:f>
        <x:v>1737.8008287493763</x:v>
      </x:c>
      <x:c r="U16" s="31" t="n">
        <x:f>IF(T16="","",I16*T16)</x:f>
        <x:v>1807312.8618991775</x:v>
      </x:c>
    </x:row>
    <x:row r="17" ht="18" customHeight="1">
      <x:c r="A17" s="24" t="str">
        <x:v>EEZ_204</x:v>
      </x:c>
      <x:c r="B17" s="24" t="str">
        <x:v>Benin</x:v>
      </x:c>
      <x:c r="C17" s="24" t="str">
        <x:v>EEZ</x:v>
      </x:c>
      <x:c r="D17" s="30" t="n">
        <x:v>2019</x:v>
      </x:c>
      <x:c r="E17" s="24" t="str">
        <x:v>Sardinella</x:v>
      </x:c>
      <x:c r="F17" s="24" t="str">
        <x:v>Sardinellas</x:v>
      </x:c>
      <x:c r="G17" s="24" t="str">
        <x:v>Small pelagics (&lt;30 cm)</x:v>
      </x:c>
      <x:c r="H17" s="24" t="str">
        <x:v>Herring-likes</x:v>
      </x:c>
      <x:c r="I17" s="31" t="n">
        <x:v>909.5529248825</x:v>
      </x:c>
      <x:c r="J17" s="31" t="n">
        <x:v>909.5529248825</x:v>
      </x:c>
      <x:c r="K17" s="31" t="n">
        <x:v>0</x:v>
      </x:c>
      <x:c r="L17" s="31" t="n">
        <x:v>740.2336615641</x:v>
      </x:c>
      <x:c r="M17" s="31" t="n">
        <x:v>169.3192633184</x:v>
      </x:c>
      <x:c r="N17" s="24" t="str">
        <x:v>sardinella</x:v>
      </x:c>
      <x:c r="O17" s="32" t="n">
        <x:v>2.77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Sardinella</x:v>
      </x:c>
      <x:c r="T17" s="32" t="n">
        <x:f>IF(O17="","",(1/'Metadata'!$B$5)^(O17-1))</x:f>
        <x:v>58.8843655355589</x:v>
      </x:c>
      <x:c r="U17" s="31" t="n">
        <x:f>IF(T17="","",I17*T17)</x:f>
        <x:v>53558.44690271787</x:v>
      </x:c>
    </x:row>
    <x:row r="18" ht="18" customHeight="1">
      <x:c r="A18" s="24" t="str">
        <x:v>EEZ_204</x:v>
      </x:c>
      <x:c r="B18" s="24" t="str">
        <x:v>Benin</x:v>
      </x:c>
      <x:c r="C18" s="24" t="str">
        <x:v>EEZ</x:v>
      </x:c>
      <x:c r="D18" s="30" t="n">
        <x:v>2019</x:v>
      </x:c>
      <x:c r="E18" s="24" t="str">
        <x:v>Elops lacerta</x:v>
      </x:c>
      <x:c r="F18" s="24" t="str">
        <x:v>West African ladyfish</x:v>
      </x:c>
      <x:c r="G18" s="24" t="str">
        <x:v>Medium benthopelagics (30 - 89 cm)</x:v>
      </x:c>
      <x:c r="H18" s="24" t="str">
        <x:v>Other fishes &amp; inverts</x:v>
      </x:c>
      <x:c r="I18" s="31" t="n">
        <x:v>834.3364448159999</x:v>
      </x:c>
      <x:c r="J18" s="31" t="n">
        <x:v>834.3364448159999</x:v>
      </x:c>
      <x:c r="K18" s="31" t="n">
        <x:v>0</x:v>
      </x:c>
      <x:c r="L18" s="31" t="n">
        <x:v>321.7371625046</x:v>
      </x:c>
      <x:c r="M18" s="31" t="n">
        <x:v>512.5992823114</x:v>
      </x:c>
      <x:c r="N18" s="24" t="str">
        <x:v>elops lacerta</x:v>
      </x:c>
      <x:c r="O18" s="32" t="n">
        <x:v>4.24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Elops lacerta</x:v>
      </x:c>
      <x:c r="T18" s="32" t="n">
        <x:f>IF(O18="","",(1/'Metadata'!$B$5)^(O18-1))</x:f>
        <x:v>1737.8008287493763</x:v>
      </x:c>
      <x:c r="U18" s="31" t="n">
        <x:f>IF(T18="","",I18*T18)</x:f>
        <x:v>1449910.565257053</x:v>
      </x:c>
    </x:row>
    <x:row r="19" ht="18" customHeight="1">
      <x:c r="A19" s="24" t="str">
        <x:v>EEZ_204</x:v>
      </x:c>
      <x:c r="B19" s="24" t="str">
        <x:v>Benin</x:v>
      </x:c>
      <x:c r="C19" s="24" t="str">
        <x:v>EEZ</x:v>
      </x:c>
      <x:c r="D19" s="30" t="n">
        <x:v>2019</x:v>
      </x:c>
      <x:c r="E19" s="24" t="str">
        <x:v>Brachydeuterus auritus</x:v>
      </x:c>
      <x:c r="F19" s="24" t="str">
        <x:v>Bigeye grunt</x:v>
      </x:c>
      <x:c r="G19" s="24" t="str">
        <x:v>Small demersals (&lt;30 cm)</x:v>
      </x:c>
      <x:c r="H19" s="24" t="str">
        <x:v>Perch-likes</x:v>
      </x:c>
      <x:c r="I19" s="31" t="n">
        <x:v>766.824673817</x:v>
      </x:c>
      <x:c r="J19" s="31" t="n">
        <x:v>763.9877909832</x:v>
      </x:c>
      <x:c r="K19" s="31" t="n">
        <x:v>2.8368828338</x:v>
      </x:c>
      <x:c r="L19" s="31" t="n">
        <x:v>761.8296834097</x:v>
      </x:c>
      <x:c r="M19" s="31" t="n">
        <x:v>4.9949904072999995</x:v>
      </x:c>
      <x:c r="N19" s="24" t="str">
        <x:v>brachydeuterus auritus</x:v>
      </x:c>
      <x:c r="O19" s="32" t="n">
        <x:v>3.03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Brachydeuterus auritus</x:v>
      </x:c>
      <x:c r="T19" s="32" t="n">
        <x:f>IF(O19="","",(1/'Metadata'!$B$5)^(O19-1))</x:f>
        <x:v>107.1519305237606</x:v>
      </x:c>
      <x:c r="U19" s="31" t="n">
        <x:f>IF(T19="","",I19*T19)</x:f>
        <x:v>82166.74417274457</x:v>
      </x:c>
    </x:row>
    <x:row r="20" ht="18" customHeight="1">
      <x:c r="A20" s="24" t="str">
        <x:v>EEZ_204</x:v>
      </x:c>
      <x:c r="B20" s="24" t="str">
        <x:v>Benin</x:v>
      </x:c>
      <x:c r="C20" s="24" t="str">
        <x:v>EEZ</x:v>
      </x:c>
      <x:c r="D20" s="30" t="n">
        <x:v>2019</x:v>
      </x:c>
      <x:c r="E20" s="24" t="str">
        <x:v>Actinopterygii</x:v>
      </x:c>
      <x:c r="F20" s="24" t="str">
        <x:v>Ray-finned fishes</x:v>
      </x:c>
      <x:c r="G20" s="24" t="str">
        <x:v>Medium demersals (30 - 89 cm)</x:v>
      </x:c>
      <x:c r="H20" s="24" t="str">
        <x:v>Other fishes &amp; inverts</x:v>
      </x:c>
      <x:c r="I20" s="31" t="n">
        <x:v>748.9283734931</x:v>
      </x:c>
      <x:c r="J20" s="31" t="n">
        <x:v>748.9283734931</x:v>
      </x:c>
      <x:c r="K20" s="31" t="n">
        <x:v>0</x:v>
      </x:c>
      <x:c r="L20" s="31" t="n">
        <x:v>42.5500000001</x:v>
      </x:c>
      <x:c r="M20" s="31" t="n">
        <x:v>706.378373493</x:v>
      </x:c>
      <x:c r="N20" s="24" t="str">
        <x:v>actinopterygii</x:v>
      </x:c>
      <x:c r="O20" s="32" t="n">
        <x:v>3.79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Actinopterygii</x:v>
      </x:c>
      <x:c r="T20" s="32" t="n">
        <x:f>IF(O20="","",(1/'Metadata'!$B$5)^(O20-1))</x:f>
        <x:v>616.5950018614822</x:v>
      </x:c>
      <x:c r="U20" s="31" t="n">
        <x:f>IF(T20="","",I20*T20)</x:f>
        <x:v>461785.4918480948</x:v>
      </x:c>
    </x:row>
    <x:row r="21" ht="18" customHeight="1">
      <x:c r="A21" s="24" t="str">
        <x:v>EEZ_204</x:v>
      </x:c>
      <x:c r="B21" s="24" t="str">
        <x:v>Benin</x:v>
      </x:c>
      <x:c r="C21" s="24" t="str">
        <x:v>EEZ</x:v>
      </x:c>
      <x:c r="D21" s="30" t="n">
        <x:v>2019</x:v>
      </x:c>
      <x:c r="E21" s="24" t="str">
        <x:v>Sphyrna</x:v>
      </x:c>
      <x:c r="F21" s="24" t="str">
        <x:v>Hammerhead sharks</x:v>
      </x:c>
      <x:c r="G21" s="24" t="str">
        <x:v>Large sharks (&gt;=90 cm)</x:v>
      </x:c>
      <x:c r="H21" s="24" t="str">
        <x:v>Sharks &amp; rays</x:v>
      </x:c>
      <x:c r="I21" s="31" t="n">
        <x:v>629.2359498279001</x:v>
      </x:c>
      <x:c r="J21" s="31" t="n">
        <x:v>629.2359498279001</x:v>
      </x:c>
      <x:c r="K21" s="31" t="n">
        <x:v>0</x:v>
      </x:c>
      <x:c r="L21" s="31" t="n">
        <x:v>629.2359498279001</x:v>
      </x:c>
      <x:c r="M21" s="31" t="n">
        <x:v>0</x:v>
      </x:c>
      <x:c r="N21" s="24" t="str">
        <x:v>sphyrna</x:v>
      </x:c>
      <x:c r="O21" s="32" t="n">
        <x:v>4.2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Sphyrna</x:v>
      </x:c>
      <x:c r="T21" s="32" t="n">
        <x:f>IF(O21="","",(1/'Metadata'!$B$5)^(O21-1))</x:f>
        <x:v>1584.893192461114</x:v>
      </x:c>
      <x:c r="U21" s="31" t="n">
        <x:f>IF(T21="","",I21*T21)</x:f>
        <x:v>997271.7733340419</x:v>
      </x:c>
    </x:row>
    <x:row r="22" ht="18" customHeight="1">
      <x:c r="A22" s="24" t="str">
        <x:v>EEZ_204</x:v>
      </x:c>
      <x:c r="B22" s="24" t="str">
        <x:v>Benin</x:v>
      </x:c>
      <x:c r="C22" s="24" t="str">
        <x:v>EEZ</x:v>
      </x:c>
      <x:c r="D22" s="30" t="n">
        <x:v>2019</x:v>
      </x:c>
      <x:c r="E22" s="24" t="str">
        <x:v>Caranx hippos</x:v>
      </x:c>
      <x:c r="F22" s="24" t="str">
        <x:v>Crevalle jack</x:v>
      </x:c>
      <x:c r="G22" s="24" t="str">
        <x:v>Large reef assoc. fish (&gt;=90 cm)</x:v>
      </x:c>
      <x:c r="H22" s="24" t="str">
        <x:v>Perch-likes</x:v>
      </x:c>
      <x:c r="I22" s="31" t="n">
        <x:v>607.0941786297</x:v>
      </x:c>
      <x:c r="J22" s="31" t="n">
        <x:v>607.0941786297</x:v>
      </x:c>
      <x:c r="K22" s="31" t="n">
        <x:v>0</x:v>
      </x:c>
      <x:c r="L22" s="31" t="n">
        <x:v>554.0666666666</x:v>
      </x:c>
      <x:c r="M22" s="31" t="n">
        <x:v>53.0275119631</x:v>
      </x:c>
      <x:c r="N22" s="24" t="str">
        <x:v>caranx hippos</x:v>
      </x:c>
      <x:c r="O22" s="32" t="n">
        <x:v>3.56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hippos</x:v>
      </x:c>
      <x:c r="T22" s="32" t="n">
        <x:f>IF(O22="","",(1/'Metadata'!$B$5)^(O22-1))</x:f>
        <x:v>363.0780547701014</x:v>
      </x:c>
      <x:c r="U22" s="31" t="n">
        <x:f>IF(T22="","",I22*T22)</x:f>
        <x:v>220422.57343912392</x:v>
      </x:c>
    </x:row>
    <x:row r="23" ht="18" customHeight="1">
      <x:c r="A23" s="24" t="str">
        <x:v>EEZ_204</x:v>
      </x:c>
      <x:c r="B23" s="24" t="str">
        <x:v>Benin</x:v>
      </x:c>
      <x:c r="C23" s="24" t="str">
        <x:v>EEZ</x:v>
      </x:c>
      <x:c r="D23" s="30" t="n">
        <x:v>2019</x:v>
      </x:c>
      <x:c r="E23" s="24" t="str">
        <x:v>Caranx rhonchus</x:v>
      </x:c>
      <x:c r="F23" s="24" t="str">
        <x:v>False scad</x:v>
      </x:c>
      <x:c r="G23" s="24" t="str">
        <x:v>Medium benthopelagics (30 - 89 cm)</x:v>
      </x:c>
      <x:c r="H23" s="24" t="str">
        <x:v>Perch-likes</x:v>
      </x:c>
      <x:c r="I23" s="31" t="n">
        <x:v>554.0666666666</x:v>
      </x:c>
      <x:c r="J23" s="31" t="n">
        <x:v>554.0666666666</x:v>
      </x:c>
      <x:c r="K23" s="31" t="n">
        <x:v>0</x:v>
      </x:c>
      <x:c r="L23" s="31" t="n">
        <x:v>554.0666666666</x:v>
      </x:c>
      <x:c r="M23" s="31" t="n">
        <x:v>0</x:v>
      </x:c>
      <x:c r="N23" s="24" t="str">
        <x:v>caranx rhonchus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Caranx rhonchus</x:v>
      </x:c>
      <x:c r="T23" s="32" t="n">
        <x:f>IF(O23="","",(1/'Metadata'!$B$5)^(O23-1))</x:f>
        <x:v>398.1071705534973</x:v>
      </x:c>
      <x:c r="U23" s="31" t="n">
        <x:f>IF(T23="","",I23*T23)</x:f>
        <x:v>220577.91296464787</x:v>
      </x:c>
    </x:row>
    <x:row r="24" ht="18" customHeight="1">
      <x:c r="A24" s="24" t="str">
        <x:v>EEZ_204</x:v>
      </x:c>
      <x:c r="B24" s="24" t="str">
        <x:v>Benin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554.0666666666</x:v>
      </x:c>
      <x:c r="J24" s="31" t="n">
        <x:v>554.0666666666</x:v>
      </x:c>
      <x:c r="K24" s="31" t="n">
        <x:v>0</x:v>
      </x:c>
      <x:c r="L24" s="31" t="n">
        <x:v>554.0666666666</x:v>
      </x:c>
      <x:c r="M24" s="31" t="n">
        <x:v>0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747415.3678145254</x:v>
      </x:c>
    </x:row>
    <x:row r="25" ht="18" customHeight="1">
      <x:c r="A25" s="24" t="str">
        <x:v>EEZ_204</x:v>
      </x:c>
      <x:c r="B25" s="24" t="str">
        <x:v>Benin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554.0666666666</x:v>
      </x:c>
      <x:c r="J25" s="31" t="n">
        <x:v>554.0666666666</x:v>
      </x:c>
      <x:c r="K25" s="31" t="n">
        <x:v>0</x:v>
      </x:c>
      <x:c r="L25" s="31" t="n">
        <x:v>554.0666666666</x:v>
      </x:c>
      <x:c r="M25" s="31" t="n">
        <x:v>0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730402.1169427322</x:v>
      </x:c>
    </x:row>
    <x:row r="26" ht="18" customHeight="1">
      <x:c r="A26" s="24" t="str">
        <x:v>EEZ_204</x:v>
      </x:c>
      <x:c r="B26" s="24" t="str">
        <x:v>Benin</x:v>
      </x:c>
      <x:c r="C26" s="24" t="str">
        <x:v>EEZ</x:v>
      </x:c>
      <x:c r="D26" s="30" t="n">
        <x:v>2019</x:v>
      </x:c>
      <x:c r="E26" s="24" t="str">
        <x:v>Caranx lugubris</x:v>
      </x:c>
      <x:c r="F26" s="24" t="str">
        <x:v>Black jack</x:v>
      </x:c>
      <x:c r="G26" s="24" t="str">
        <x:v>Large benthopelagics (&gt;=90 cm)</x:v>
      </x:c>
      <x:c r="H26" s="24" t="str">
        <x:v>Perch-likes</x:v>
      </x:c>
      <x:c r="I26" s="31" t="n">
        <x:v>554.0666666666</x:v>
      </x:c>
      <x:c r="J26" s="31" t="n">
        <x:v>554.0666666666</x:v>
      </x:c>
      <x:c r="K26" s="31" t="n">
        <x:v>0</x:v>
      </x:c>
      <x:c r="L26" s="31" t="n">
        <x:v>554.0666666666</x:v>
      </x:c>
      <x:c r="M26" s="31" t="n">
        <x:v>0</x:v>
      </x:c>
      <x:c r="N26" s="24" t="str">
        <x:v>caranx lugubris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lugubris</x:v>
      </x:c>
      <x:c r="T26" s="32" t="n">
        <x:f>IF(O26="","",(1/'Metadata'!$B$5)^(O26-1))</x:f>
        <x:v>3162.2776601683795</x:v>
      </x:c>
      <x:c r="U26" s="31" t="n">
        <x:f>IF(T26="","",I26*T26)</x:f>
        <x:v>1752112.6422437492</x:v>
      </x:c>
    </x:row>
    <x:row r="27" ht="18" customHeight="1">
      <x:c r="A27" s="24" t="str">
        <x:v>EEZ_204</x:v>
      </x:c>
      <x:c r="B27" s="24" t="str">
        <x:v>Benin</x:v>
      </x:c>
      <x:c r="C27" s="24" t="str">
        <x:v>EEZ</x:v>
      </x:c>
      <x:c r="D27" s="30" t="n">
        <x:v>2019</x:v>
      </x:c>
      <x:c r="E27" s="24" t="str">
        <x:v>Caranx senegallus</x:v>
      </x:c>
      <x:c r="F27" s="24" t="str">
        <x:v>Senegal jack</x:v>
      </x:c>
      <x:c r="G27" s="24" t="str">
        <x:v>Medium benthopelagics (30 - 89 cm)</x:v>
      </x:c>
      <x:c r="H27" s="24" t="str">
        <x:v>Perch-likes</x:v>
      </x:c>
      <x:c r="I27" s="31" t="n">
        <x:v>554.0666666666</x:v>
      </x:c>
      <x:c r="J27" s="31" t="n">
        <x:v>554.0666666666</x:v>
      </x:c>
      <x:c r="K27" s="31" t="n">
        <x:v>0</x:v>
      </x:c>
      <x:c r="L27" s="31" t="n">
        <x:v>554.0666666666</x:v>
      </x:c>
      <x:c r="M27" s="31" t="n">
        <x:v>0</x:v>
      </x:c>
      <x:c r="N27" s="24" t="str">
        <x:v>caranx senegallus</x:v>
      </x:c>
      <x:c r="O27" s="32" t="n">
        <x:v>3.86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senegallus</x:v>
      </x:c>
      <x:c r="T27" s="32" t="n">
        <x:f>IF(O27="","",(1/'Metadata'!$B$5)^(O27-1))</x:f>
        <x:v>724.4359600749899</x:v>
      </x:c>
      <x:c r="U27" s="31" t="n">
        <x:f>IF(T27="","",I27*T27)</x:f>
        <x:v>401385.8176121678</x:v>
      </x:c>
    </x:row>
    <x:row r="28" ht="18" customHeight="1">
      <x:c r="A28" s="24" t="str">
        <x:v>EEZ_204</x:v>
      </x:c>
      <x:c r="B28" s="24" t="str">
        <x:v>Benin</x:v>
      </x:c>
      <x:c r="C28" s="24" t="str">
        <x:v>EEZ</x:v>
      </x:c>
      <x:c r="D28" s="30" t="n">
        <x:v>2019</x:v>
      </x:c>
      <x:c r="E28" s="24" t="str">
        <x:v>Chloroscombrus chrysurus</x:v>
      </x:c>
      <x:c r="F28" s="24" t="str">
        <x:v>Atlantic bumper</x:v>
      </x:c>
      <x:c r="G28" s="24" t="str">
        <x:v>Medium pelagics (30 - 89 cm)</x:v>
      </x:c>
      <x:c r="H28" s="24" t="str">
        <x:v>Perch-likes</x:v>
      </x:c>
      <x:c r="I28" s="31" t="n">
        <x:v>509.8419696346</x:v>
      </x:c>
      <x:c r="J28" s="31" t="n">
        <x:v>506.790328832</x:v>
      </x:c>
      <x:c r="K28" s="31" t="n">
        <x:v>3.0516408026</x:v>
      </x:c>
      <x:c r="L28" s="31" t="n">
        <x:v>437.3397294839</x:v>
      </x:c>
      <x:c r="M28" s="31" t="n">
        <x:v>72.5022401507</x:v>
      </x:c>
      <x:c r="N28" s="24" t="str">
        <x:v>chloroscombrus chrysurus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Chloroscombrus chrysurus</x:v>
      </x:c>
      <x:c r="T28" s="32" t="n">
        <x:f>IF(O28="","",(1/'Metadata'!$B$5)^(O28-1))</x:f>
        <x:v>346.73685045253166</x:v>
      </x:c>
      <x:c r="U28" s="31" t="n">
        <x:f>IF(T28="","",I28*T28)</x:f>
        <x:v>176780.9987796165</x:v>
      </x:c>
    </x:row>
    <x:row r="29" ht="18" customHeight="1">
      <x:c r="A29" s="24" t="str">
        <x:v>EEZ_204</x:v>
      </x:c>
      <x:c r="B29" s="24" t="str">
        <x:v>Benin</x:v>
      </x:c>
      <x:c r="C29" s="24" t="str">
        <x:v>EEZ</x:v>
      </x:c>
      <x:c r="D29" s="30" t="n">
        <x:v>2019</x:v>
      </x:c>
      <x:c r="E29" s="24" t="str">
        <x:v>Marine pelagic fishes not identified</x:v>
      </x:c>
      <x:c r="F29" s="24" t="str">
        <x:v>Pelagic fishes</x:v>
      </x:c>
      <x:c r="G29" s="24" t="str">
        <x:v>Medium pelagics (30 - 89 cm)</x:v>
      </x:c>
      <x:c r="H29" s="24" t="str">
        <x:v>Other fishes &amp; inverts</x:v>
      </x:c>
      <x:c r="I29" s="31" t="n">
        <x:v>496.07572326369996</x:v>
      </x:c>
      <x:c r="J29" s="31" t="n">
        <x:v>496.07572326369996</x:v>
      </x:c>
      <x:c r="K29" s="31" t="n">
        <x:v>0</x:v>
      </x:c>
      <x:c r="L29" s="31" t="n">
        <x:v>496.07572326369996</x:v>
      </x:c>
      <x:c r="M29" s="31" t="n">
        <x:v>0</x:v>
      </x:c>
      <x:c r="N29" s="24" t="str">
        <x:v>marine pelagic fishes not identified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pelagic fishes not identified</x:v>
      </x:c>
      <x:c r="T29" s="32" t="n">
        <x:f>IF(O29="","",(1/'Metadata'!$B$5)^(O29-1))</x:f>
        <x:v>223.872113856834</x:v>
      </x:c>
      <x:c r="U29" s="31" t="n">
        <x:f>IF(T29="","",I29*T29)</x:f>
        <x:v>111057.52080010231</x:v>
      </x:c>
    </x:row>
    <x:row r="30" ht="18" customHeight="1">
      <x:c r="A30" s="24" t="str">
        <x:v>EEZ_204</x:v>
      </x:c>
      <x:c r="B30" s="24" t="str">
        <x:v>Benin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472.24061011590004</x:v>
      </x:c>
      <x:c r="J30" s="31" t="n">
        <x:v>472.24061011590004</x:v>
      </x:c>
      <x:c r="K30" s="31" t="n">
        <x:v>0</x:v>
      </x:c>
      <x:c r="L30" s="31" t="n">
        <x:v>472.24061011590004</x:v>
      </x:c>
      <x:c r="M30" s="31" t="n">
        <x:v>0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859336.6436984054</x:v>
      </x:c>
    </x:row>
    <x:row r="31" ht="18" customHeight="1">
      <x:c r="A31" s="24" t="str">
        <x:v>EEZ_204</x:v>
      </x:c>
      <x:c r="B31" s="24" t="str">
        <x:v>Benin</x:v>
      </x:c>
      <x:c r="C31" s="24" t="str">
        <x:v>EEZ</x:v>
      </x:c>
      <x:c r="D31" s="30" t="n">
        <x:v>2019</x:v>
      </x:c>
      <x:c r="E31" s="24" t="str">
        <x:v>Carcharhinus brevipinna</x:v>
      </x:c>
      <x:c r="F31" s="24" t="str">
        <x:v>Spinner shark</x:v>
      </x:c>
      <x:c r="G31" s="24" t="str">
        <x:v>Large sharks (&gt;=90 cm)</x:v>
      </x:c>
      <x:c r="H31" s="24" t="str">
        <x:v>Sharks &amp; rays</x:v>
      </x:c>
      <x:c r="I31" s="31" t="n">
        <x:v>396.0999999999</x:v>
      </x:c>
      <x:c r="J31" s="31" t="n">
        <x:v>396.0999999999</x:v>
      </x:c>
      <x:c r="K31" s="31" t="n">
        <x:v>0</x:v>
      </x:c>
      <x:c r="L31" s="31" t="n">
        <x:v>396.0999999999</x:v>
      </x:c>
      <x:c r="M31" s="31" t="n">
        <x:v>0</x:v>
      </x:c>
      <x:c r="N31" s="24" t="str">
        <x:v>carcharhinus brevipinna</x:v>
      </x:c>
      <x:c r="O31" s="32" t="n">
        <x:v>4.2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Carcharhinus brevipinna</x:v>
      </x:c>
      <x:c r="T31" s="32" t="n">
        <x:f>IF(O31="","",(1/'Metadata'!$B$5)^(O31-1))</x:f>
        <x:v>1584.893192461114</x:v>
      </x:c>
      <x:c r="U31" s="31" t="n">
        <x:f>IF(T31="","",I31*T31)</x:f>
        <x:v>627776.1935336888</x:v>
      </x:c>
    </x:row>
    <x:row r="32" ht="18" customHeight="1">
      <x:c r="A32" s="24" t="str">
        <x:v>EEZ_204</x:v>
      </x:c>
      <x:c r="B32" s="24" t="str">
        <x:v>Benin</x:v>
      </x:c>
      <x:c r="C32" s="24" t="str">
        <x:v>EEZ</x:v>
      </x:c>
      <x:c r="D32" s="30" t="n">
        <x:v>2019</x:v>
      </x:c>
      <x:c r="E32" s="24" t="str">
        <x:v>Dasyatidae</x:v>
      </x:c>
      <x:c r="F32" s="24" t="str">
        <x:v>Whiptail stingrays</x:v>
      </x:c>
      <x:c r="G32" s="24" t="str">
        <x:v>Large rays (&gt;=90 cm)</x:v>
      </x:c>
      <x:c r="H32" s="24" t="str">
        <x:v>Sharks &amp; rays</x:v>
      </x:c>
      <x:c r="I32" s="31" t="n">
        <x:v>345.5719096978</x:v>
      </x:c>
      <x:c r="J32" s="31" t="n">
        <x:v>345.5719096978</x:v>
      </x:c>
      <x:c r="K32" s="31" t="n">
        <x:v>0</x:v>
      </x:c>
      <x:c r="L32" s="31" t="n">
        <x:v>345.5719096978</x:v>
      </x:c>
      <x:c r="M32" s="31" t="n">
        <x:v>0</x:v>
      </x:c>
      <x:c r="N32" s="24" t="str">
        <x:v>dasyatidae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Dasyatidae</x:v>
      </x:c>
      <x:c r="T32" s="32" t="n">
        <x:f>IF(O32="","",(1/'Metadata'!$B$5)^(O32-1))</x:f>
        <x:v>239.88329190194898</x:v>
      </x:c>
      <x:c r="U32" s="31" t="n">
        <x:f>IF(T32="","",I32*T32)</x:f>
        <x:v>82896.92728715131</x:v>
      </x:c>
    </x:row>
    <x:row r="33" ht="18" customHeight="1">
      <x:c r="A33" s="24" t="str">
        <x:v>EEZ_204</x:v>
      </x:c>
      <x:c r="B33" s="24" t="str">
        <x:v>Benin</x:v>
      </x:c>
      <x:c r="C33" s="24" t="str">
        <x:v>EEZ</x:v>
      </x:c>
      <x:c r="D33" s="30" t="n">
        <x:v>2019</x:v>
      </x:c>
      <x:c r="E33" s="24" t="str">
        <x:v>Haemulidae</x:v>
      </x:c>
      <x:c r="F33" s="24" t="str">
        <x:v>Grunts, sweetlips, bonnetmouths</x:v>
      </x:c>
      <x:c r="G33" s="24" t="str">
        <x:v>Medium demersals (30 - 89 cm)</x:v>
      </x:c>
      <x:c r="H33" s="24" t="str">
        <x:v>Perch-likes</x:v>
      </x:c>
      <x:c r="I33" s="31" t="n">
        <x:v>334.0274979962</x:v>
      </x:c>
      <x:c r="J33" s="31" t="n">
        <x:v>334.0274979962</x:v>
      </x:c>
      <x:c r="K33" s="31" t="n">
        <x:v>0</x:v>
      </x:c>
      <x:c r="L33" s="31" t="n">
        <x:v>334.0274979962</x:v>
      </x:c>
      <x:c r="M33" s="31" t="n">
        <x:v>0</x:v>
      </x:c>
      <x:c r="N33" s="24" t="str">
        <x:v>haemulidae</x:v>
      </x:c>
      <x:c r="O33" s="32" t="n">
        <x:v>3.36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Haemulidae</x:v>
      </x:c>
      <x:c r="T33" s="32" t="n">
        <x:f>IF(O33="","",(1/'Metadata'!$B$5)^(O33-1))</x:f>
        <x:v>229.08676527677724</x:v>
      </x:c>
      <x:c r="U33" s="31" t="n">
        <x:f>IF(T33="","",I33*T33)</x:f>
        <x:v>76521.27902944465</x:v>
      </x:c>
    </x:row>
    <x:row r="34" ht="18" customHeight="1">
      <x:c r="A34" s="24" t="str">
        <x:v>EEZ_204</x:v>
      </x:c>
      <x:c r="B34" s="24" t="str">
        <x:v>Benin</x:v>
      </x:c>
      <x:c r="C34" s="24" t="str">
        <x:v>EEZ</x:v>
      </x:c>
      <x:c r="D34" s="30" t="n">
        <x:v>2019</x:v>
      </x:c>
      <x:c r="E34" s="24" t="str">
        <x:v>Carcharhinus amboinensis</x:v>
      </x:c>
      <x:c r="F34" s="24" t="str">
        <x:v>Pigeye shark</x:v>
      </x:c>
      <x:c r="G34" s="24" t="str">
        <x:v>Large sharks (&gt;=90 cm)</x:v>
      </x:c>
      <x:c r="H34" s="24" t="str">
        <x:v>Sharks &amp; rays</x:v>
      </x:c>
      <x:c r="I34" s="31" t="n">
        <x:v>319.9</x:v>
      </x:c>
      <x:c r="J34" s="31" t="n">
        <x:v>319.9</x:v>
      </x:c>
      <x:c r="K34" s="31" t="n">
        <x:v>0</x:v>
      </x:c>
      <x:c r="L34" s="31" t="n">
        <x:v>319.9</x:v>
      </x:c>
      <x:c r="M34" s="31" t="n">
        <x:v>0</x:v>
      </x:c>
      <x:c r="N34" s="24" t="str">
        <x:v>carcharhinus amboinensis</x:v>
      </x:c>
      <x:c r="O34" s="32" t="n">
        <x:v>4.28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Carcharhinus amboinensis</x:v>
      </x:c>
      <x:c r="T34" s="32" t="n">
        <x:f>IF(O34="","",(1/'Metadata'!$B$5)^(O34-1))</x:f>
        <x:v>1905.4607179632483</x:v>
      </x:c>
      <x:c r="U34" s="31" t="n">
        <x:f>IF(T34="","",I34*T34)</x:f>
        <x:v>609556.8836764431</x:v>
      </x:c>
    </x:row>
    <x:row r="35" ht="18" customHeight="1">
      <x:c r="A35" s="24" t="str">
        <x:v>EEZ_204</x:v>
      </x:c>
      <x:c r="B35" s="24" t="str">
        <x:v>Benin</x:v>
      </x:c>
      <x:c r="C35" s="24" t="str">
        <x:v>EEZ</x:v>
      </x:c>
      <x:c r="D35" s="30" t="n">
        <x:v>2019</x:v>
      </x:c>
      <x:c r="E35" s="24" t="str">
        <x:v>Pomadasys jubelini</x:v>
      </x:c>
      <x:c r="F35" s="24" t="str">
        <x:v>Sompat grunt</x:v>
      </x:c>
      <x:c r="G35" s="24" t="str">
        <x:v>Medium demersals (30 - 89 cm)</x:v>
      </x:c>
      <x:c r="H35" s="24" t="str">
        <x:v>Perch-likes</x:v>
      </x:c>
      <x:c r="I35" s="31" t="n">
        <x:v>300.70000000010003</x:v>
      </x:c>
      <x:c r="J35" s="31" t="n">
        <x:v>300.70000000010003</x:v>
      </x:c>
      <x:c r="K35" s="31" t="n">
        <x:v>0</x:v>
      </x:c>
      <x:c r="L35" s="31" t="n">
        <x:v>300.70000000010003</x:v>
      </x:c>
      <x:c r="M35" s="31" t="n">
        <x:v>0</x:v>
      </x:c>
      <x:c r="N35" s="24" t="str">
        <x:v>pomadasys jubelini</x:v>
      </x:c>
      <x:c r="O35" s="32" t="n">
        <x:v>3.33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Pomadasys jubelini</x:v>
      </x:c>
      <x:c r="T35" s="32" t="n">
        <x:f>IF(O35="","",(1/'Metadata'!$B$5)^(O35-1))</x:f>
        <x:v>213.79620895022325</x:v>
      </x:c>
      <x:c r="U35" s="31" t="n">
        <x:f>IF(T35="","",I35*T35)</x:f>
        <x:v>64288.52003135352</x:v>
      </x:c>
    </x:row>
    <x:row r="36" ht="18" customHeight="1">
      <x:c r="A36" s="24" t="str">
        <x:v>EEZ_204</x:v>
      </x:c>
      <x:c r="B36" s="24" t="str">
        <x:v>Benin</x:v>
      </x:c>
      <x:c r="C36" s="24" t="str">
        <x:v>EEZ</x:v>
      </x:c>
      <x:c r="D36" s="30" t="n">
        <x:v>2019</x:v>
      </x:c>
      <x:c r="E36" s="24" t="str">
        <x:v>Dentex</x:v>
      </x:c>
      <x:c r="F36" s="24" t="str">
        <x:v>Toothed seabreams</x:v>
      </x:c>
      <x:c r="G36" s="24" t="str">
        <x:v>Large benthopelagics (&gt;=90 cm)</x:v>
      </x:c>
      <x:c r="H36" s="24" t="str">
        <x:v>Perch-likes</x:v>
      </x:c>
      <x:c r="I36" s="31" t="n">
        <x:v>297.2650578013</x:v>
      </x:c>
      <x:c r="J36" s="31" t="n">
        <x:v>297.2650578013</x:v>
      </x:c>
      <x:c r="K36" s="31" t="n">
        <x:v>0</x:v>
      </x:c>
      <x:c r="L36" s="31" t="n">
        <x:v>132.3372160871</x:v>
      </x:c>
      <x:c r="M36" s="31" t="n">
        <x:v>164.92784171419999</x:v>
      </x:c>
      <x:c r="N36" s="24" t="str">
        <x:v>dentex</x:v>
      </x:c>
      <x:c r="O36" s="32" t="n">
        <x:v>3.96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Dentex</x:v>
      </x:c>
      <x:c r="T36" s="32" t="n">
        <x:f>IF(O36="","",(1/'Metadata'!$B$5)^(O36-1))</x:f>
        <x:v>912.0108393559096</x:v>
      </x:c>
      <x:c r="U36" s="31" t="n">
        <x:f>IF(T36="","",I36*T36)</x:f>
        <x:v>271108.9548765466</x:v>
      </x:c>
    </x:row>
    <x:row r="37" ht="18" customHeight="1">
      <x:c r="A37" s="24" t="str">
        <x:v>EEZ_204</x:v>
      </x:c>
      <x:c r="B37" s="24" t="str">
        <x:v>Benin</x:v>
      </x:c>
      <x:c r="C37" s="24" t="str">
        <x:v>EEZ</x:v>
      </x:c>
      <x:c r="D37" s="30" t="n">
        <x:v>2019</x:v>
      </x:c>
      <x:c r="E37" s="24" t="str">
        <x:v>Elasmobranchii</x:v>
      </x:c>
      <x:c r="F37" s="24" t="str">
        <x:v>Sharks, rays, skates</x:v>
      </x:c>
      <x:c r="G37" s="24" t="str">
        <x:v>Large sharks (&gt;=90 cm)</x:v>
      </x:c>
      <x:c r="H37" s="24" t="str">
        <x:v>Sharks &amp; rays</x:v>
      </x:c>
      <x:c r="I37" s="31" t="n">
        <x:v>294.1436176384</x:v>
      </x:c>
      <x:c r="J37" s="31" t="n">
        <x:v>294.1436176384</x:v>
      </x:c>
      <x:c r="K37" s="31" t="n">
        <x:v>0</x:v>
      </x:c>
      <x:c r="L37" s="31" t="n">
        <x:v>294.1436176384</x:v>
      </x:c>
      <x:c r="M37" s="31" t="n">
        <x:v>0</x:v>
      </x:c>
      <x:c r="N37" s="24" t="str">
        <x:v>elasmobranchii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Elasmobranchii</x:v>
      </x:c>
      <x:c r="T37" s="32" t="n">
        <x:f>IF(O37="","",(1/'Metadata'!$B$5)^(O37-1))</x:f>
        <x:v>1122.018454301963</x:v>
      </x:c>
      <x:c r="U37" s="31" t="n">
        <x:f>IF(T37="","",I37*T37)</x:f>
        <x:v>330034.5672054251</x:v>
      </x:c>
    </x:row>
    <x:row r="38" ht="18" customHeight="1">
      <x:c r="A38" s="24" t="str">
        <x:v>EEZ_204</x:v>
      </x:c>
      <x:c r="B38" s="24" t="str">
        <x:v>Benin</x:v>
      </x:c>
      <x:c r="C38" s="24" t="str">
        <x:v>EEZ</x:v>
      </x:c>
      <x:c r="D38" s="30" t="n">
        <x:v>2019</x:v>
      </x:c>
      <x:c r="E38" s="24" t="str">
        <x:v>Coryphaena</x:v>
      </x:c>
      <x:c r="F38" s="24" t="str">
        <x:v>Dolphinfishes</x:v>
      </x:c>
      <x:c r="G38" s="24" t="str">
        <x:v>Large pelagics (&gt;=90 cm)</x:v>
      </x:c>
      <x:c r="H38" s="24" t="str">
        <x:v>Perch-likes</x:v>
      </x:c>
      <x:c r="I38" s="31" t="n">
        <x:v>275.6</x:v>
      </x:c>
      <x:c r="J38" s="31" t="n">
        <x:v>275.6</x:v>
      </x:c>
      <x:c r="K38" s="31" t="n">
        <x:v>0</x:v>
      </x:c>
      <x:c r="L38" s="31" t="n">
        <x:v>275.6</x:v>
      </x:c>
      <x:c r="M38" s="31" t="n">
        <x:v>0</x:v>
      </x:c>
      <x:c r="N38" s="24" t="str">
        <x:v>coryphaena</x:v>
      </x:c>
      <x:c r="O38" s="32" t="n">
        <x:v>4.49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Coryphaena</x:v>
      </x:c>
      <x:c r="T38" s="32" t="n">
        <x:f>IF(O38="","",(1/'Metadata'!$B$5)^(O38-1))</x:f>
        <x:v>3090.295432513592</x:v>
      </x:c>
      <x:c r="U38" s="31" t="n">
        <x:f>IF(T38="","",I38*T38)</x:f>
        <x:v>851685.421200746</x:v>
      </x:c>
    </x:row>
    <x:row r="39" ht="18" customHeight="1">
      <x:c r="A39" s="24" t="str">
        <x:v>EEZ_204</x:v>
      </x:c>
      <x:c r="B39" s="24" t="str">
        <x:v>Benin</x:v>
      </x:c>
      <x:c r="C39" s="24" t="str">
        <x:v>EEZ</x:v>
      </x:c>
      <x:c r="D39" s="30" t="n">
        <x:v>2019</x:v>
      </x:c>
      <x:c r="E39" s="24" t="str">
        <x:v>Pellonula leonensis</x:v>
      </x:c>
      <x:c r="F39" s="24" t="str">
        <x:v>Smalltoothed pellonula</x:v>
      </x:c>
      <x:c r="G39" s="24" t="str">
        <x:v>Small pelagics (&lt;30 cm)</x:v>
      </x:c>
      <x:c r="H39" s="24" t="str">
        <x:v>Herring-likes</x:v>
      </x:c>
      <x:c r="I39" s="31" t="n">
        <x:v>194.4342105319</x:v>
      </x:c>
      <x:c r="J39" s="31" t="n">
        <x:v>194.4342105319</x:v>
      </x:c>
      <x:c r="K39" s="31" t="n">
        <x:v>0</x:v>
      </x:c>
      <x:c r="L39" s="31" t="n">
        <x:v>0</x:v>
      </x:c>
      <x:c r="M39" s="31" t="n">
        <x:v>194.4342105319</x:v>
      </x:c>
      <x:c r="N39" s="24" t="str">
        <x:v>pellonula leonensis</x:v>
      </x:c>
      <x:c r="O39" s="32" t="n">
        <x:v>3.3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Pellonula leonensis</x:v>
      </x:c>
      <x:c r="T39" s="32" t="n">
        <x:f>IF(O39="","",(1/'Metadata'!$B$5)^(O39-1))</x:f>
        <x:v>199.52623149688787</x:v>
      </x:c>
      <x:c r="U39" s="31" t="n">
        <x:f>IF(T39="","",I39*T39)</x:f>
        <x:v>38794.72530150251</x:v>
      </x:c>
    </x:row>
    <x:row r="40" ht="18" customHeight="1">
      <x:c r="A40" s="24" t="str">
        <x:v>EEZ_204</x:v>
      </x:c>
      <x:c r="B40" s="24" t="str">
        <x:v>Benin</x:v>
      </x:c>
      <x:c r="C40" s="24" t="str">
        <x:v>EEZ</x:v>
      </x:c>
      <x:c r="D40" s="30" t="n">
        <x:v>2019</x:v>
      </x:c>
      <x:c r="E40" s="24" t="str">
        <x:v>Epinephelus</x:v>
      </x:c>
      <x:c r="F40" s="24" t="str">
        <x:v>Seabasses, hinds</x:v>
      </x:c>
      <x:c r="G40" s="24" t="str">
        <x:v>Medium reef assoc. fish (30 - 89 cm)</x:v>
      </x:c>
      <x:c r="H40" s="24" t="str">
        <x:v>Perch-likes</x:v>
      </x:c>
      <x:c r="I40" s="31" t="n">
        <x:v>190.1463996056</x:v>
      </x:c>
      <x:c r="J40" s="31" t="n">
        <x:v>190.1463996056</x:v>
      </x:c>
      <x:c r="K40" s="31" t="n">
        <x:v>0</x:v>
      </x:c>
      <x:c r="L40" s="31" t="n">
        <x:v>190.1463996056</x:v>
      </x:c>
      <x:c r="M40" s="31" t="n">
        <x:v>0</x:v>
      </x:c>
      <x:c r="N40" s="24" t="str">
        <x:v>epinephelus</x:v>
      </x:c>
      <x:c r="O40" s="32" t="n">
        <x:v>3.84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Epinephelus</x:v>
      </x:c>
      <x:c r="T40" s="32" t="n">
        <x:f>IF(O40="","",(1/'Metadata'!$B$5)^(O40-1))</x:f>
        <x:v>691.8309709189363</x:v>
      </x:c>
      <x:c r="U40" s="31" t="n">
        <x:f>IF(T40="","",I40*T40)</x:f>
        <x:v>131549.16825588228</x:v>
      </x:c>
    </x:row>
    <x:row r="41" ht="18" customHeight="1">
      <x:c r="A41" s="24" t="str">
        <x:v>EEZ_204</x:v>
      </x:c>
      <x:c r="B41" s="24" t="str">
        <x:v>Benin</x:v>
      </x:c>
      <x:c r="C41" s="24" t="str">
        <x:v>EEZ</x:v>
      </x:c>
      <x:c r="D41" s="30" t="n">
        <x:v>2019</x:v>
      </x:c>
      <x:c r="E41" s="24" t="str">
        <x:v>Rhinobatos rhinobatos</x:v>
      </x:c>
      <x:c r="F41" s="24" t="str">
        <x:v>Common guitarfish</x:v>
      </x:c>
      <x:c r="G41" s="24" t="str">
        <x:v>Large rays (&gt;=90 cm)</x:v>
      </x:c>
      <x:c r="H41" s="24" t="str">
        <x:v>Sharks &amp; rays</x:v>
      </x:c>
      <x:c r="I41" s="31" t="n">
        <x:v>188.4999999999</x:v>
      </x:c>
      <x:c r="J41" s="31" t="n">
        <x:v>188.4999999999</x:v>
      </x:c>
      <x:c r="K41" s="31" t="n">
        <x:v>0</x:v>
      </x:c>
      <x:c r="L41" s="31" t="n">
        <x:v>188.4999999999</x:v>
      </x:c>
      <x:c r="M41" s="31" t="n">
        <x:v>0</x:v>
      </x:c>
      <x:c r="N41" s="24" t="str">
        <x:v>rhinobatos rhinobatos</x:v>
      </x:c>
      <x:c r="O41" s="32" t="n">
        <x:v>4.08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Rhinobatos rhinobatos</x:v>
      </x:c>
      <x:c r="T41" s="32" t="n">
        <x:f>IF(O41="","",(1/'Metadata'!$B$5)^(O41-1))</x:f>
        <x:v>1202.2644346174131</x:v>
      </x:c>
      <x:c r="U41" s="31" t="n">
        <x:f>IF(T41="","",I41*T41)</x:f>
        <x:v>226626.84592526217</x:v>
      </x:c>
    </x:row>
    <x:row r="42" ht="18" customHeight="1">
      <x:c r="A42" s="24" t="str">
        <x:v>EEZ_204</x:v>
      </x:c>
      <x:c r="B42" s="24" t="str">
        <x:v>Benin</x:v>
      </x:c>
      <x:c r="C42" s="24" t="str">
        <x:v>EEZ</x:v>
      </x:c>
      <x:c r="D42" s="30" t="n">
        <x:v>2019</x:v>
      </x:c>
      <x:c r="E42" s="24" t="str">
        <x:v>Pentanemus quinquarius</x:v>
      </x:c>
      <x:c r="F42" s="24" t="str">
        <x:v>Royal threadfin</x:v>
      </x:c>
      <x:c r="G42" s="24" t="str">
        <x:v>Small demersals (&lt;30 cm)</x:v>
      </x:c>
      <x:c r="H42" s="24" t="str">
        <x:v>Perch-likes</x:v>
      </x:c>
      <x:c r="I42" s="31" t="n">
        <x:v>180.7788502024</x:v>
      </x:c>
      <x:c r="J42" s="31" t="n">
        <x:v>180.7788502024</x:v>
      </x:c>
      <x:c r="K42" s="31" t="n">
        <x:v>0</x:v>
      </x:c>
      <x:c r="L42" s="31" t="n">
        <x:v>180.32699642920002</x:v>
      </x:c>
      <x:c r="M42" s="31" t="n">
        <x:v>0.45185377320000003</x:v>
      </x:c>
      <x:c r="N42" s="24" t="str">
        <x:v>pentanemus quinquarius</x:v>
      </x:c>
      <x:c r="O42" s="32" t="n">
        <x:v>3.56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Pentanemus quinquarius</x:v>
      </x:c>
      <x:c r="T42" s="32" t="n">
        <x:f>IF(O42="","",(1/'Metadata'!$B$5)^(O42-1))</x:f>
        <x:v>363.0780547701014</x:v>
      </x:c>
      <x:c r="U42" s="31" t="n">
        <x:f>IF(T42="","",I42*T42)</x:f>
        <x:v>65636.83327506295</x:v>
      </x:c>
    </x:row>
    <x:row r="43" ht="18" customHeight="1">
      <x:c r="A43" s="24" t="str">
        <x:v>EEZ_204</x:v>
      </x:c>
      <x:c r="B43" s="24" t="str">
        <x:v>Benin</x:v>
      </x:c>
      <x:c r="C43" s="24" t="str">
        <x:v>EEZ</x:v>
      </x:c>
      <x:c r="D43" s="30" t="n">
        <x:v>2019</x:v>
      </x:c>
      <x:c r="E43" s="24" t="str">
        <x:v>Coryphaena hippurus</x:v>
      </x:c>
      <x:c r="F43" s="24" t="str">
        <x:v>Common dolphinfish</x:v>
      </x:c>
      <x:c r="G43" s="24" t="str">
        <x:v>Large pelagics (&gt;=90 cm)</x:v>
      </x:c>
      <x:c r="H43" s="24" t="str">
        <x:v>Perch-likes</x:v>
      </x:c>
      <x:c r="I43" s="31" t="n">
        <x:v>169.5065379333</x:v>
      </x:c>
      <x:c r="J43" s="31" t="n">
        <x:v>169.5065379333</x:v>
      </x:c>
      <x:c r="K43" s="31" t="n">
        <x:v>0</x:v>
      </x:c>
      <x:c r="L43" s="31" t="n">
        <x:v>169.5065379333</x:v>
      </x:c>
      <x:c r="M43" s="31" t="n">
        <x:v>0</x:v>
      </x:c>
      <x:c r="N43" s="24" t="str">
        <x:v>coryphaena hippurus</x:v>
      </x:c>
      <x:c r="O43" s="32" t="n">
        <x:v>4.37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Coryphaena hippurus</x:v>
      </x:c>
      <x:c r="T43" s="32" t="n">
        <x:f>IF(O43="","",(1/'Metadata'!$B$5)^(O43-1))</x:f>
        <x:v>2344.228815319923</x:v>
      </x:c>
      <x:c r="U43" s="31" t="n">
        <x:f>IF(T43="","",I43*T43)</x:f>
        <x:v>397362.1106083614</x:v>
      </x:c>
    </x:row>
    <x:row r="44" ht="18" customHeight="1">
      <x:c r="A44" s="24" t="str">
        <x:v>EEZ_204</x:v>
      </x:c>
      <x:c r="B44" s="24" t="str">
        <x:v>Benin</x:v>
      </x:c>
      <x:c r="C44" s="24" t="str">
        <x:v>EEZ</x:v>
      </x:c>
      <x:c r="D44" s="30" t="n">
        <x:v>2019</x:v>
      </x:c>
      <x:c r="E44" s="24" t="str">
        <x:v>Lutjanus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158.8522964398</x:v>
      </x:c>
      <x:c r="J44" s="31" t="n">
        <x:v>158.8522964398</x:v>
      </x:c>
      <x:c r="K44" s="31" t="n">
        <x:v>0</x:v>
      </x:c>
      <x:c r="L44" s="31" t="n">
        <x:v>5.9928756433000006</x:v>
      </x:c>
      <x:c r="M44" s="31" t="n">
        <x:v>152.8594207965</x:v>
      </x:c>
      <x:c r="N44" s="24" t="str">
        <x:v>lutjanus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Lutjanus</x:v>
      </x:c>
      <x:c r="T44" s="32" t="n">
        <x:f>IF(O44="","",(1/'Metadata'!$B$5)^(O44-1))</x:f>
        <x:v>1047.1285480508984</x:v>
      </x:c>
      <x:c r="U44" s="31" t="n">
        <x:f>IF(T44="","",I44*T44)</x:f>
        <x:v>166338.77452555866</x:v>
      </x:c>
    </x:row>
    <x:row r="45" ht="18" customHeight="1">
      <x:c r="A45" s="24" t="str">
        <x:v>EEZ_204</x:v>
      </x:c>
      <x:c r="B45" s="24" t="str">
        <x:v>Benin</x:v>
      </x:c>
      <x:c r="C45" s="24" t="str">
        <x:v>EEZ</x:v>
      </x:c>
      <x:c r="D45" s="30" t="n">
        <x:v>2019</x:v>
      </x:c>
      <x:c r="E45" s="24" t="str">
        <x:v>Rhinobatos</x:v>
      </x:c>
      <x:c r="F45" s="24" t="str">
        <x:v>Guitarfishes</x:v>
      </x:c>
      <x:c r="G45" s="24" t="str">
        <x:v>Large rays (&gt;=90 cm)</x:v>
      </x:c>
      <x:c r="H45" s="24" t="str">
        <x:v>Sharks &amp; rays</x:v>
      </x:c>
      <x:c r="I45" s="31" t="n">
        <x:v>149.5645513415</x:v>
      </x:c>
      <x:c r="J45" s="31" t="n">
        <x:v>149.5645513415</x:v>
      </x:c>
      <x:c r="K45" s="31" t="n">
        <x:v>0</x:v>
      </x:c>
      <x:c r="L45" s="31" t="n">
        <x:v>149.5645513415</x:v>
      </x:c>
      <x:c r="M45" s="31" t="n">
        <x:v>0</x:v>
      </x:c>
      <x:c r="N45" s="24" t="str">
        <x:v>rhinobatos</x:v>
      </x:c>
      <x:c r="O45" s="32" t="n">
        <x:v>3.73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Rhinobatos</x:v>
      </x:c>
      <x:c r="T45" s="32" t="n">
        <x:f>IF(O45="","",(1/'Metadata'!$B$5)^(O45-1))</x:f>
        <x:v>537.0317963702527</x:v>
      </x:c>
      <x:c r="U45" s="31" t="n">
        <x:f>IF(T45="","",I45*T45)</x:f>
        <x:v>80320.91968023662</x:v>
      </x:c>
    </x:row>
    <x:row r="46" ht="18" customHeight="1">
      <x:c r="A46" s="24" t="str">
        <x:v>EEZ_204</x:v>
      </x:c>
      <x:c r="B46" s="24" t="str">
        <x:v>Benin</x:v>
      </x:c>
      <x:c r="C46" s="24" t="str">
        <x:v>EEZ</x:v>
      </x:c>
      <x:c r="D46" s="30" t="n">
        <x:v>2019</x:v>
      </x:c>
      <x:c r="E46" s="24" t="str">
        <x:v>Hemiramphidae</x:v>
      </x:c>
      <x:c r="F46" s="24" t="str">
        <x:v>Halfbeaks, garfishes</x:v>
      </x:c>
      <x:c r="G46" s="24" t="str">
        <x:v>Medium pelagics (30 - 89 cm)</x:v>
      </x:c>
      <x:c r="H46" s="24" t="str">
        <x:v>Other fishes &amp; inverts</x:v>
      </x:c>
      <x:c r="I46" s="31" t="n">
        <x:v>144.5790662968</x:v>
      </x:c>
      <x:c r="J46" s="31" t="n">
        <x:v>144.5790662968</x:v>
      </x:c>
      <x:c r="K46" s="31" t="n">
        <x:v>0</x:v>
      </x:c>
      <x:c r="L46" s="31" t="n">
        <x:v>144.5790662968</x:v>
      </x:c>
      <x:c r="M46" s="31" t="n">
        <x:v>0</x:v>
      </x:c>
      <x:c r="N46" s="24" t="str">
        <x:v>hemiramphidae</x:v>
      </x:c>
      <x:c r="O46" s="32" t="n">
        <x:v>2.82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Hemiramphidae</x:v>
      </x:c>
      <x:c r="T46" s="32" t="n">
        <x:f>IF(O46="","",(1/'Metadata'!$B$5)^(O46-1))</x:f>
        <x:v>66.06934480075958</x:v>
      </x:c>
      <x:c r="U46" s="31" t="n">
        <x:f>IF(T46="","",I46*T46)</x:f>
        <x:v>9552.244182135157</x:v>
      </x:c>
    </x:row>
    <x:row r="47" ht="18" customHeight="1">
      <x:c r="A47" s="24" t="str">
        <x:v>EEZ_204</x:v>
      </x:c>
      <x:c r="B47" s="24" t="str">
        <x:v>Benin</x:v>
      </x:c>
      <x:c r="C47" s="24" t="str">
        <x:v>EEZ</x:v>
      </x:c>
      <x:c r="D47" s="30" t="n">
        <x:v>2019</x:v>
      </x:c>
      <x:c r="E47" s="24" t="str">
        <x:v>Rachycentron canadum</x:v>
      </x:c>
      <x:c r="F47" s="24" t="str">
        <x:v>Cobia</x:v>
      </x:c>
      <x:c r="G47" s="24" t="str">
        <x:v>Large pelagics (&gt;=90 cm)</x:v>
      </x:c>
      <x:c r="H47" s="24" t="str">
        <x:v>Perch-likes</x:v>
      </x:c>
      <x:c r="I47" s="31" t="n">
        <x:v>130.073239207</x:v>
      </x:c>
      <x:c r="J47" s="31" t="n">
        <x:v>130.073239207</x:v>
      </x:c>
      <x:c r="K47" s="31" t="n">
        <x:v>0</x:v>
      </x:c>
      <x:c r="L47" s="31" t="n">
        <x:v>130.073239207</x:v>
      </x:c>
      <x:c r="M47" s="31" t="n">
        <x:v>0</x:v>
      </x:c>
      <x:c r="N47" s="24" t="str">
        <x:v>rachycentron canadum</x:v>
      </x:c>
      <x:c r="O47" s="32" t="n">
        <x:v>3.96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Rachycentron canadum</x:v>
      </x:c>
      <x:c r="T47" s="32" t="n">
        <x:f>IF(O47="","",(1/'Metadata'!$B$5)^(O47-1))</x:f>
        <x:v>912.0108393559096</x:v>
      </x:c>
      <x:c r="U47" s="31" t="n">
        <x:f>IF(T47="","",I47*T47)</x:f>
        <x:v>118628.20406691809</x:v>
      </x:c>
    </x:row>
    <x:row r="48" ht="18" customHeight="1">
      <x:c r="A48" s="24" t="str">
        <x:v>EEZ_204</x:v>
      </x:c>
      <x:c r="B48" s="24" t="str">
        <x:v>Benin</x:v>
      </x:c>
      <x:c r="C48" s="24" t="str">
        <x:v>EEZ</x:v>
      </x:c>
      <x:c r="D48" s="30" t="n">
        <x:v>2019</x:v>
      </x:c>
      <x:c r="E48" s="24" t="str">
        <x:v>Lutjanidae</x:v>
      </x:c>
      <x:c r="F48" s="24" t="str">
        <x:v>Snappers</x:v>
      </x:c>
      <x:c r="G48" s="24" t="str">
        <x:v>Medium reef assoc. fish (30 - 89 cm)</x:v>
      </x:c>
      <x:c r="H48" s="24" t="str">
        <x:v>Perch-likes</x:v>
      </x:c>
      <x:c r="I48" s="31" t="n">
        <x:v>129.3234820598</x:v>
      </x:c>
      <x:c r="J48" s="31" t="n">
        <x:v>129.3234820598</x:v>
      </x:c>
      <x:c r="K48" s="31" t="n">
        <x:v>0</x:v>
      </x:c>
      <x:c r="L48" s="31" t="n">
        <x:v>129.3234820598</x:v>
      </x:c>
      <x:c r="M48" s="31" t="n">
        <x:v>0</x:v>
      </x:c>
      <x:c r="N48" s="24" t="str">
        <x:v>lutjanidae</x:v>
      </x:c>
      <x:c r="O48" s="32" t="n">
        <x:v>4.02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Lutjanidae</x:v>
      </x:c>
      <x:c r="T48" s="32" t="n">
        <x:f>IF(O48="","",(1/'Metadata'!$B$5)^(O48-1))</x:f>
        <x:v>1047.1285480508984</x:v>
      </x:c>
      <x:c r="U48" s="31" t="n">
        <x:f>IF(T48="","",I48*T48)</x:f>
        <x:v>135418.3099981648</x:v>
      </x:c>
    </x:row>
    <x:row r="49" ht="18" customHeight="1">
      <x:c r="A49" s="24" t="str">
        <x:v>EEZ_204</x:v>
      </x:c>
      <x:c r="B49" s="24" t="str">
        <x:v>Benin</x:v>
      </x:c>
      <x:c r="C49" s="24" t="str">
        <x:v>EEZ</x:v>
      </x:c>
      <x:c r="D49" s="30" t="n">
        <x:v>2019</x:v>
      </x:c>
      <x:c r="E49" s="24" t="str">
        <x:v>Sphyraena barracuda</x:v>
      </x:c>
      <x:c r="F49" s="24" t="str">
        <x:v>Great barracuda</x:v>
      </x:c>
      <x:c r="G49" s="24" t="str">
        <x:v>Large pelagics (&gt;=90 cm)</x:v>
      </x:c>
      <x:c r="H49" s="24" t="str">
        <x:v>Perch-likes</x:v>
      </x:c>
      <x:c r="I49" s="31" t="n">
        <x:v>124.89999999989999</x:v>
      </x:c>
      <x:c r="J49" s="31" t="n">
        <x:v>124.89999999989999</x:v>
      </x:c>
      <x:c r="K49" s="31" t="n">
        <x:v>0</x:v>
      </x:c>
      <x:c r="L49" s="31" t="n">
        <x:v>124.89999999989999</x:v>
      </x:c>
      <x:c r="M49" s="31" t="n">
        <x:v>0</x:v>
      </x:c>
      <x:c r="N49" s="24" t="str">
        <x:v>sphyraena barracuda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Sphyraena barracuda</x:v>
      </x:c>
      <x:c r="T49" s="32" t="n">
        <x:f>IF(O49="","",(1/'Metadata'!$B$5)^(O49-1))</x:f>
        <x:v>3090.295432513592</x:v>
      </x:c>
      <x:c r="U49" s="31" t="n">
        <x:f>IF(T49="","",I49*T49)</x:f>
        <x:v>385977.8995206386</x:v>
      </x:c>
    </x:row>
    <x:row r="50" ht="18" customHeight="1">
      <x:c r="A50" s="24" t="str">
        <x:v>EEZ_204</x:v>
      </x:c>
      <x:c r="B50" s="24" t="str">
        <x:v>Benin</x:v>
      </x:c>
      <x:c r="C50" s="24" t="str">
        <x:v>EEZ</x:v>
      </x:c>
      <x:c r="D50" s="30" t="n">
        <x:v>2019</x:v>
      </x:c>
      <x:c r="E50" s="24" t="str">
        <x:v>Hemiramphus brasiliensis</x:v>
      </x:c>
      <x:c r="F50" s="24" t="str">
        <x:v>Ballyhoo halfbeak</x:v>
      </x:c>
      <x:c r="G50" s="24" t="str">
        <x:v>Medium pelagics (30 - 89 cm)</x:v>
      </x:c>
      <x:c r="H50" s="24" t="str">
        <x:v>Other fishes &amp; inverts</x:v>
      </x:c>
      <x:c r="I50" s="31" t="n">
        <x:v>120.2</x:v>
      </x:c>
      <x:c r="J50" s="31" t="n">
        <x:v>120.2</x:v>
      </x:c>
      <x:c r="K50" s="31" t="n">
        <x:v>0</x:v>
      </x:c>
      <x:c r="L50" s="31" t="n">
        <x:v>120.2</x:v>
      </x:c>
      <x:c r="M50" s="31" t="n">
        <x:v>0</x:v>
      </x:c>
      <x:c r="N50" s="24" t="str">
        <x:v>hemiramphus brasiliensis</x:v>
      </x:c>
      <x:c r="O50" s="32" t="n">
        <x:v>2.28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Hemiramphus brasiliensis</x:v>
      </x:c>
      <x:c r="T50" s="32" t="n">
        <x:f>IF(O50="","",(1/'Metadata'!$B$5)^(O50-1))</x:f>
        <x:v>19.054607179632463</x:v>
      </x:c>
      <x:c r="U50" s="31" t="n">
        <x:f>IF(T50="","",I50*T50)</x:f>
        <x:v>2290.363782991822</x:v>
      </x:c>
    </x:row>
    <x:row r="51" ht="18" customHeight="1">
      <x:c r="A51" s="24" t="str">
        <x:v>EEZ_204</x:v>
      </x:c>
      <x:c r="B51" s="24" t="str">
        <x:v>Benin</x:v>
      </x:c>
      <x:c r="C51" s="24" t="str">
        <x:v>EEZ</x:v>
      </x:c>
      <x:c r="D51" s="30" t="n">
        <x:v>2019</x:v>
      </x:c>
      <x:c r="E51" s="24" t="str">
        <x:v>Trichiurus lepturus</x:v>
      </x:c>
      <x:c r="F51" s="24" t="str">
        <x:v>Largehead hairtail</x:v>
      </x:c>
      <x:c r="G51" s="24" t="str">
        <x:v>Large benthopelagics (&gt;=90 cm)</x:v>
      </x:c>
      <x:c r="H51" s="24" t="str">
        <x:v>Perch-likes</x:v>
      </x:c>
      <x:c r="I51" s="31" t="n">
        <x:v>99.2634402243</x:v>
      </x:c>
      <x:c r="J51" s="31" t="n">
        <x:v>98.0268998895</x:v>
      </x:c>
      <x:c r="K51" s="31" t="n">
        <x:v>1.2365403348</x:v>
      </x:c>
      <x:c r="L51" s="31" t="n">
        <x:v>81.52412103879999</x:v>
      </x:c>
      <x:c r="M51" s="31" t="n">
        <x:v>17.739319185499998</x:v>
      </x:c>
      <x:c r="N51" s="24" t="str">
        <x:v>trichiurus lepturus</x:v>
      </x:c>
      <x:c r="O51" s="32" t="n">
        <x:v>4.42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Trichiurus lepturus</x:v>
      </x:c>
      <x:c r="T51" s="32" t="n">
        <x:f>IF(O51="","",(1/'Metadata'!$B$5)^(O51-1))</x:f>
        <x:v>2630.2679918953813</x:v>
      </x:c>
      <x:c r="U51" s="31" t="n">
        <x:f>IF(T51="","",I51*T51)</x:f>
        <x:v>261089.44958739678</x:v>
      </x:c>
    </x:row>
    <x:row r="52" ht="18" customHeight="1">
      <x:c r="A52" s="24" t="str">
        <x:v>EEZ_204</x:v>
      </x:c>
      <x:c r="B52" s="24" t="str">
        <x:v>Benin</x:v>
      </x:c>
      <x:c r="C52" s="24" t="str">
        <x:v>EEZ</x:v>
      </x:c>
      <x:c r="D52" s="30" t="n">
        <x:v>2019</x:v>
      </x:c>
      <x:c r="E52" s="24" t="str">
        <x:v>Bathygobius soporator</x:v>
      </x:c>
      <x:c r="F52" s="24" t="str">
        <x:v>Frillfin goby</x:v>
      </x:c>
      <x:c r="G52" s="24" t="str">
        <x:v>Large reef assoc. fish (&gt;=90 cm)</x:v>
      </x:c>
      <x:c r="H52" s="24" t="str">
        <x:v>Perch-likes</x:v>
      </x:c>
      <x:c r="I52" s="31" t="n">
        <x:v>88.37918660540001</x:v>
      </x:c>
      <x:c r="J52" s="31" t="n">
        <x:v>88.37918660540001</x:v>
      </x:c>
      <x:c r="K52" s="31" t="n">
        <x:v>0</x:v>
      </x:c>
      <x:c r="L52" s="31" t="n">
        <x:v>0</x:v>
      </x:c>
      <x:c r="M52" s="31" t="n">
        <x:v>88.37918660540001</x:v>
      </x:c>
      <x:c r="N52" s="24" t="str">
        <x:v>bathygobius soporator</x:v>
      </x:c>
      <x:c r="O52" s="32" t="n">
        <x:v>3.71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Bathygobius soporator</x:v>
      </x:c>
      <x:c r="T52" s="32" t="n">
        <x:f>IF(O52="","",(1/'Metadata'!$B$5)^(O52-1))</x:f>
        <x:v>512.8613839913648</x:v>
      </x:c>
      <x:c r="U52" s="31" t="n">
        <x:f>IF(T52="","",I52*T52)</x:f>
        <x:v>45326.271958476544</x:v>
      </x:c>
    </x:row>
    <x:row r="53" ht="18" customHeight="1">
      <x:c r="A53" s="24" t="str">
        <x:v>EEZ_204</x:v>
      </x:c>
      <x:c r="B53" s="24" t="str">
        <x:v>Benin</x:v>
      </x:c>
      <x:c r="C53" s="24" t="str">
        <x:v>EEZ</x:v>
      </x:c>
      <x:c r="D53" s="30" t="n">
        <x:v>2019</x:v>
      </x:c>
      <x:c r="E53" s="24" t="str">
        <x:v>Ablennes hians</x:v>
      </x:c>
      <x:c r="F53" s="24" t="str">
        <x:v>Flat needlefish</x:v>
      </x:c>
      <x:c r="G53" s="24" t="str">
        <x:v>Large pelagics (&gt;=90 cm)</x:v>
      </x:c>
      <x:c r="H53" s="24" t="str">
        <x:v>Other fishes &amp; inverts</x:v>
      </x:c>
      <x:c r="I53" s="31" t="n">
        <x:v>88</x:v>
      </x:c>
      <x:c r="J53" s="31" t="n">
        <x:v>88</x:v>
      </x:c>
      <x:c r="K53" s="31" t="n">
        <x:v>0</x:v>
      </x:c>
      <x:c r="L53" s="31" t="n">
        <x:v>88</x:v>
      </x:c>
      <x:c r="M53" s="31" t="n">
        <x:v>0</x:v>
      </x:c>
      <x:c r="N53" s="24" t="str">
        <x:v>ablennes hians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Ablennes hians</x:v>
      </x:c>
      <x:c r="T53" s="32" t="n">
        <x:f>IF(O53="","",(1/'Metadata'!$B$5)^(O53-1))</x:f>
        <x:v>3162.2776601683795</x:v>
      </x:c>
      <x:c r="U53" s="31" t="n">
        <x:f>IF(T53="","",I53*T53)</x:f>
        <x:v>278280.4340948174</x:v>
      </x:c>
    </x:row>
    <x:row r="54" ht="18" customHeight="1">
      <x:c r="A54" s="24" t="str">
        <x:v>EEZ_204</x:v>
      </x:c>
      <x:c r="B54" s="24" t="str">
        <x:v>Benin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82.6490534683</x:v>
      </x:c>
      <x:c r="J54" s="31" t="n">
        <x:v>82.6490534683</x:v>
      </x:c>
      <x:c r="K54" s="31" t="n">
        <x:v>0</x:v>
      </x:c>
      <x:c r="L54" s="31" t="n">
        <x:v>82.6490534683</x:v>
      </x:c>
      <x:c r="M54" s="31" t="n">
        <x:v>0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255409.99243465913</x:v>
      </x:c>
    </x:row>
    <x:row r="55" ht="18" customHeight="1">
      <x:c r="A55" s="24" t="str">
        <x:v>EEZ_204</x:v>
      </x:c>
      <x:c r="B55" s="24" t="str">
        <x:v>Benin</x:v>
      </x:c>
      <x:c r="C55" s="24" t="str">
        <x:v>EEZ</x:v>
      </x:c>
      <x:c r="D55" s="30" t="n">
        <x:v>2019</x:v>
      </x:c>
      <x:c r="E55" s="24" t="str">
        <x:v>Pagellus</x:v>
      </x:c>
      <x:c r="F55" s="24" t="str">
        <x:v>Pandoras</x:v>
      </x:c>
      <x:c r="G55" s="24" t="str">
        <x:v>Medium benthopelagics (30 - 89 cm)</x:v>
      </x:c>
      <x:c r="H55" s="24" t="str">
        <x:v>Perch-likes</x:v>
      </x:c>
      <x:c r="I55" s="31" t="n">
        <x:v>74.3960000037</x:v>
      </x:c>
      <x:c r="J55" s="31" t="n">
        <x:v>74.3960000037</x:v>
      </x:c>
      <x:c r="K55" s="31" t="n">
        <x:v>0</x:v>
      </x:c>
      <x:c r="L55" s="31" t="n">
        <x:v>55.395090244</x:v>
      </x:c>
      <x:c r="M55" s="31" t="n">
        <x:v>19.0009097597</x:v>
      </x:c>
      <x:c r="N55" s="24" t="str">
        <x:v>pagellus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Pagellus</x:v>
      </x:c>
      <x:c r="T55" s="32" t="n">
        <x:f>IF(O55="","",(1/'Metadata'!$B$5)^(O55-1))</x:f>
        <x:v>275.4228703338166</x:v>
      </x:c>
      <x:c r="U55" s="31" t="n">
        <x:f>IF(T55="","",I55*T55)</x:f>
        <x:v>20490.359862373683</x:v>
      </x:c>
    </x:row>
    <x:row r="56" ht="18" customHeight="1">
      <x:c r="A56" s="24" t="str">
        <x:v>EEZ_204</x:v>
      </x:c>
      <x:c r="B56" s="24" t="str">
        <x:v>Benin</x:v>
      </x:c>
      <x:c r="C56" s="24" t="str">
        <x:v>EEZ</x:v>
      </x:c>
      <x:c r="D56" s="30" t="n">
        <x:v>2019</x:v>
      </x:c>
      <x:c r="E56" s="24" t="str">
        <x:v>Polydactylus quadrifilis</x:v>
      </x:c>
      <x:c r="F56" s="24" t="str">
        <x:v>Giant African threadfin</x:v>
      </x:c>
      <x:c r="G56" s="24" t="str">
        <x:v>Large demersals (&gt;=90 cm)</x:v>
      </x:c>
      <x:c r="H56" s="24" t="str">
        <x:v>Perch-likes</x:v>
      </x:c>
      <x:c r="I56" s="31" t="n">
        <x:v>72.8462728368</x:v>
      </x:c>
      <x:c r="J56" s="31" t="n">
        <x:v>72.8462728368</x:v>
      </x:c>
      <x:c r="K56" s="31" t="n">
        <x:v>0</x:v>
      </x:c>
      <x:c r="L56" s="31" t="n">
        <x:v>51.4362874043</x:v>
      </x:c>
      <x:c r="M56" s="31" t="n">
        <x:v>21.4099854325</x:v>
      </x:c>
      <x:c r="N56" s="24" t="str">
        <x:v>polydactylus quadrifilis</x:v>
      </x:c>
      <x:c r="O56" s="32" t="n">
        <x:v>4.01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Polydactylus quadrifilis</x:v>
      </x:c>
      <x:c r="T56" s="32" t="n">
        <x:f>IF(O56="","",(1/'Metadata'!$B$5)^(O56-1))</x:f>
        <x:v>1023.2929922807537</x:v>
      </x:c>
      <x:c r="U56" s="31" t="n">
        <x:f>IF(T56="","",I56*T56)</x:f>
        <x:v>74543.08050766925</x:v>
      </x:c>
    </x:row>
    <x:row r="57" ht="18" customHeight="1">
      <x:c r="A57" s="24" t="str">
        <x:v>EEZ_204</x:v>
      </x:c>
      <x:c r="B57" s="24" t="str">
        <x:v>Benin</x:v>
      </x:c>
      <x:c r="C57" s="24" t="str">
        <x:v>EEZ</x:v>
      </x:c>
      <x:c r="D57" s="30" t="n">
        <x:v>2019</x:v>
      </x:c>
      <x:c r="E57" s="24" t="str">
        <x:v>Dasyatis marmorata</x:v>
      </x:c>
      <x:c r="F57" s="24" t="str">
        <x:v>Marbled stingray</x:v>
      </x:c>
      <x:c r="G57" s="24" t="str">
        <x:v>Small to medium rays (&lt;90 cm)</x:v>
      </x:c>
      <x:c r="H57" s="24" t="str">
        <x:v>Sharks &amp; rays</x:v>
      </x:c>
      <x:c r="I57" s="31" t="n">
        <x:v>59.0666666666</x:v>
      </x:c>
      <x:c r="J57" s="31" t="n">
        <x:v>59.0666666666</x:v>
      </x:c>
      <x:c r="K57" s="31" t="n">
        <x:v>0</x:v>
      </x:c>
      <x:c r="L57" s="31" t="n">
        <x:v>59.0666666666</x:v>
      </x:c>
      <x:c r="M57" s="31" t="n">
        <x:v>0</x:v>
      </x:c>
      <x:c r="N57" s="24" t="str">
        <x:v>dasyatis marmorata</x:v>
      </x:c>
      <x:c r="O57" s="32" t="n">
        <x:v>3.56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Dasyatis marmorata</x:v>
      </x:c>
      <x:c r="T57" s="32" t="n">
        <x:f>IF(O57="","",(1/'Metadata'!$B$5)^(O57-1))</x:f>
        <x:v>363.0780547701014</x:v>
      </x:c>
      <x:c r="U57" s="31" t="n">
        <x:f>IF(T57="","",I57*T57)</x:f>
        <x:v>21445.81043506312</x:v>
      </x:c>
    </x:row>
    <x:row r="58" ht="18" customHeight="1">
      <x:c r="A58" s="24" t="str">
        <x:v>EEZ_204</x:v>
      </x:c>
      <x:c r="B58" s="24" t="str">
        <x:v>Benin</x:v>
      </x:c>
      <x:c r="C58" s="24" t="str">
        <x:v>EEZ</x:v>
      </x:c>
      <x:c r="D58" s="30" t="n">
        <x:v>2019</x:v>
      </x:c>
      <x:c r="E58" s="24" t="str">
        <x:v>Dasyatis pastinaca</x:v>
      </x:c>
      <x:c r="F58" s="24" t="str">
        <x:v>Common stingray</x:v>
      </x:c>
      <x:c r="G58" s="24" t="str">
        <x:v>Large rays (&gt;=90 cm)</x:v>
      </x:c>
      <x:c r="H58" s="24" t="str">
        <x:v>Sharks &amp; rays</x:v>
      </x:c>
      <x:c r="I58" s="31" t="n">
        <x:v>59.0666666666</x:v>
      </x:c>
      <x:c r="J58" s="31" t="n">
        <x:v>59.0666666666</x:v>
      </x:c>
      <x:c r="K58" s="31" t="n">
        <x:v>0</x:v>
      </x:c>
      <x:c r="L58" s="31" t="n">
        <x:v>59.0666666666</x:v>
      </x:c>
      <x:c r="M58" s="31" t="n">
        <x:v>0</x:v>
      </x:c>
      <x:c r="N58" s="24" t="str">
        <x:v>dasyatis pastinaca</x:v>
      </x:c>
      <x:c r="O58" s="32" t="n">
        <x:v>4.05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Dasyatis pastinaca</x:v>
      </x:c>
      <x:c r="T58" s="32" t="n">
        <x:f>IF(O58="","",(1/'Metadata'!$B$5)^(O58-1))</x:f>
        <x:v>1122.018454301963</x:v>
      </x:c>
      <x:c r="U58" s="31" t="n">
        <x:f>IF(T58="","",I58*T58)</x:f>
        <x:v>66273.8900340278</x:v>
      </x:c>
    </x:row>
    <x:row r="59" ht="18" customHeight="1">
      <x:c r="A59" s="24" t="str">
        <x:v>EEZ_204</x:v>
      </x:c>
      <x:c r="B59" s="24" t="str">
        <x:v>Benin</x:v>
      </x:c>
      <x:c r="C59" s="24" t="str">
        <x:v>EEZ</x:v>
      </x:c>
      <x:c r="D59" s="30" t="n">
        <x:v>2019</x:v>
      </x:c>
      <x:c r="E59" s="24" t="str">
        <x:v>Pomadasys</x:v>
      </x:c>
      <x:c r="F59" s="24" t="str">
        <x:v>Grunters</x:v>
      </x:c>
      <x:c r="G59" s="24" t="str">
        <x:v>Medium demersals (30 - 89 cm)</x:v>
      </x:c>
      <x:c r="H59" s="24" t="str">
        <x:v>Perch-likes</x:v>
      </x:c>
      <x:c r="I59" s="31" t="n">
        <x:v>54.7866728265</x:v>
      </x:c>
      <x:c r="J59" s="31" t="n">
        <x:v>54.7866728265</x:v>
      </x:c>
      <x:c r="K59" s="31" t="n">
        <x:v>0</x:v>
      </x:c>
      <x:c r="L59" s="31" t="n">
        <x:v>1.5830745251</x:v>
      </x:c>
      <x:c r="M59" s="31" t="n">
        <x:v>53.2035983014</x:v>
      </x:c>
      <x:c r="N59" s="24" t="str">
        <x:v>pomadasys</x:v>
      </x:c>
      <x:c r="O59" s="32" t="n">
        <x:v>3.59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Pomadasys</x:v>
      </x:c>
      <x:c r="T59" s="32" t="n">
        <x:f>IF(O59="","",(1/'Metadata'!$B$5)^(O59-1))</x:f>
        <x:v>389.04514499428046</x:v>
      </x:c>
      <x:c r="U59" s="31" t="n">
        <x:f>IF(T59="","",I59*T59)</x:f>
        <x:v>21314.4890735399</x:v>
      </x:c>
    </x:row>
    <x:row r="60" ht="18" customHeight="1">
      <x:c r="A60" s="24" t="str">
        <x:v>EEZ_204</x:v>
      </x:c>
      <x:c r="B60" s="24" t="str">
        <x:v>Benin</x:v>
      </x:c>
      <x:c r="C60" s="24" t="str">
        <x:v>EEZ</x:v>
      </x:c>
      <x:c r="D60" s="30" t="n">
        <x:v>2019</x:v>
      </x:c>
      <x:c r="E60" s="24" t="str">
        <x:v>Gobiidae</x:v>
      </x:c>
      <x:c r="F60" s="24" t="str">
        <x:v>Gobies</x:v>
      </x:c>
      <x:c r="G60" s="24" t="str">
        <x:v>Small reef assoc. fish (&lt;30 cm)</x:v>
      </x:c>
      <x:c r="H60" s="24" t="str">
        <x:v>Perch-likes</x:v>
      </x:c>
      <x:c r="I60" s="31" t="n">
        <x:v>44.1895933028</x:v>
      </x:c>
      <x:c r="J60" s="31" t="n">
        <x:v>44.1895933028</x:v>
      </x:c>
      <x:c r="K60" s="31" t="n">
        <x:v>0</x:v>
      </x:c>
      <x:c r="L60" s="31" t="n">
        <x:v>0</x:v>
      </x:c>
      <x:c r="M60" s="31" t="n">
        <x:v>44.1895933028</x:v>
      </x:c>
      <x:c r="N60" s="24" t="str">
        <x:v>gobiidae</x:v>
      </x:c>
      <x:c r="O60" s="32" t="n">
        <x:v>3.11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Gobiidae</x:v>
      </x:c>
      <x:c r="T60" s="32" t="n">
        <x:f>IF(O60="","",(1/'Metadata'!$B$5)^(O60-1))</x:f>
        <x:v>128.82495516931337</x:v>
      </x:c>
      <x:c r="U60" s="31" t="n">
        <x:f>IF(T60="","",I60*T60)</x:f>
        <x:v>5692.7223761834</x:v>
      </x:c>
    </x:row>
    <x:row r="61" ht="18" customHeight="1">
      <x:c r="A61" s="24" t="str">
        <x:v>EEZ_204</x:v>
      </x:c>
      <x:c r="B61" s="24" t="str">
        <x:v>Benin</x:v>
      </x:c>
      <x:c r="C61" s="24" t="str">
        <x:v>EEZ</x:v>
      </x:c>
      <x:c r="D61" s="30" t="n">
        <x:v>2019</x:v>
      </x:c>
      <x:c r="E61" s="24" t="str">
        <x:v>Cynoglossus monodi</x:v>
      </x:c>
      <x:c r="F61" s="24" t="str">
        <x:v>Guinean tonguesole</x:v>
      </x:c>
      <x:c r="G61" s="24" t="str">
        <x:v>Small to medium flatfishes (&lt;90 cm)</x:v>
      </x:c>
      <x:c r="H61" s="24" t="str">
        <x:v>Flatfishes</x:v>
      </x:c>
      <x:c r="I61" s="31" t="n">
        <x:v>36.9850671003</x:v>
      </x:c>
      <x:c r="J61" s="31" t="n">
        <x:v>29.0000000001</x:v>
      </x:c>
      <x:c r="K61" s="31" t="n">
        <x:v>7.9850671002</x:v>
      </x:c>
      <x:c r="L61" s="31" t="n">
        <x:v>29.0000000001</x:v>
      </x:c>
      <x:c r="M61" s="31" t="n">
        <x:v>7.9850671002</x:v>
      </x:c>
      <x:c r="N61" s="24" t="str">
        <x:v>cynoglossus monodi</x:v>
      </x:c>
      <x:c r="O61" s="32" t="n">
        <x:v>3.6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Cynoglossus monodi</x:v>
      </x:c>
      <x:c r="T61" s="32" t="n">
        <x:f>IF(O61="","",(1/'Metadata'!$B$5)^(O61-1))</x:f>
        <x:v>398.1071705534973</x:v>
      </x:c>
      <x:c r="U61" s="31" t="n">
        <x:f>IF(T61="","",I61*T61)</x:f>
        <x:v>14724.020416031675</x:v>
      </x:c>
    </x:row>
    <x:row r="62" ht="18" customHeight="1">
      <x:c r="A62" s="24" t="str">
        <x:v>EEZ_204</x:v>
      </x:c>
      <x:c r="B62" s="24" t="str">
        <x:v>Benin</x:v>
      </x:c>
      <x:c r="C62" s="24" t="str">
        <x:v>EEZ</x:v>
      </x:c>
      <x:c r="D62" s="30" t="n">
        <x:v>2019</x:v>
      </x:c>
      <x:c r="E62" s="24" t="str">
        <x:v>Cynoglossus canariensis</x:v>
      </x:c>
      <x:c r="F62" s="24" t="str">
        <x:v>Canary tonguesole</x:v>
      </x:c>
      <x:c r="G62" s="24" t="str">
        <x:v>Small to medium flatfishes (&lt;90 cm)</x:v>
      </x:c>
      <x:c r="H62" s="24" t="str">
        <x:v>Flatfishes</x:v>
      </x:c>
      <x:c r="I62" s="31" t="n">
        <x:v>29.0000000001</x:v>
      </x:c>
      <x:c r="J62" s="31" t="n">
        <x:v>29.0000000001</x:v>
      </x:c>
      <x:c r="K62" s="31" t="n">
        <x:v>0</x:v>
      </x:c>
      <x:c r="L62" s="31" t="n">
        <x:v>29.0000000001</x:v>
      </x:c>
      <x:c r="M62" s="31" t="n">
        <x:v>0</x:v>
      </x:c>
      <x:c r="N62" s="24" t="str">
        <x:v>cynoglossus canariensis</x:v>
      </x:c>
      <x:c r="O62" s="32" t="n">
        <x:v>3.6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Cynoglossus canariensis</x:v>
      </x:c>
      <x:c r="T62" s="32" t="n">
        <x:f>IF(O62="","",(1/'Metadata'!$B$5)^(O62-1))</x:f>
        <x:v>398.1071705534973</x:v>
      </x:c>
      <x:c r="U62" s="31" t="n">
        <x:f>IF(T62="","",I62*T62)</x:f>
        <x:v>11545.107946091233</x:v>
      </x:c>
    </x:row>
    <x:row r="63" ht="18" customHeight="1">
      <x:c r="A63" s="24" t="str">
        <x:v>EEZ_204</x:v>
      </x:c>
      <x:c r="B63" s="24" t="str">
        <x:v>Benin</x:v>
      </x:c>
      <x:c r="C63" s="24" t="str">
        <x:v>EEZ</x:v>
      </x:c>
      <x:c r="D63" s="30" t="n">
        <x:v>2019</x:v>
      </x:c>
      <x:c r="E63" s="24" t="str">
        <x:v>Cynoglossus senegalensis</x:v>
      </x:c>
      <x:c r="F63" s="24" t="str">
        <x:v>Senegalese tonguesole</x:v>
      </x:c>
      <x:c r="G63" s="24" t="str">
        <x:v>Small to medium flatfishes (&lt;90 cm)</x:v>
      </x:c>
      <x:c r="H63" s="24" t="str">
        <x:v>Flatfishes</x:v>
      </x:c>
      <x:c r="I63" s="31" t="n">
        <x:v>29.0000000001</x:v>
      </x:c>
      <x:c r="J63" s="31" t="n">
        <x:v>29.0000000001</x:v>
      </x:c>
      <x:c r="K63" s="31" t="n">
        <x:v>0</x:v>
      </x:c>
      <x:c r="L63" s="31" t="n">
        <x:v>29.0000000001</x:v>
      </x:c>
      <x:c r="M63" s="31" t="n">
        <x:v>0</x:v>
      </x:c>
      <x:c r="N63" s="24" t="str">
        <x:v>cynoglossus senegalensis</x:v>
      </x:c>
      <x:c r="O63" s="32" t="n">
        <x:v>3.62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Cynoglossus senegalensis</x:v>
      </x:c>
      <x:c r="T63" s="32" t="n">
        <x:f>IF(O63="","",(1/'Metadata'!$B$5)^(O63-1))</x:f>
        <x:v>416.8693834703355</x:v>
      </x:c>
      <x:c r="U63" s="31" t="n">
        <x:f>IF(T63="","",I63*T63)</x:f>
        <x:v>12089.212120681415</x:v>
      </x:c>
    </x:row>
    <x:row r="64" ht="18" customHeight="1">
      <x:c r="A64" s="24" t="str">
        <x:v>EEZ_204</x:v>
      </x:c>
      <x:c r="B64" s="24" t="str">
        <x:v>Benin</x:v>
      </x:c>
      <x:c r="C64" s="24" t="str">
        <x:v>EEZ</x:v>
      </x:c>
      <x:c r="D64" s="30" t="n">
        <x:v>2019</x:v>
      </x:c>
      <x:c r="E64" s="24" t="str">
        <x:v>Cynoglossus</x:v>
      </x:c>
      <x:c r="F64" s="24" t="str">
        <x:v>Tonguesoles</x:v>
      </x:c>
      <x:c r="G64" s="24" t="str">
        <x:v>Small to medium flatfishes (&lt;90 cm)</x:v>
      </x:c>
      <x:c r="H64" s="24" t="str">
        <x:v>Flatfishes</x:v>
      </x:c>
      <x:c r="I64" s="31" t="n">
        <x:v>29.0000000001</x:v>
      </x:c>
      <x:c r="J64" s="31" t="n">
        <x:v>29.0000000001</x:v>
      </x:c>
      <x:c r="K64" s="31" t="n">
        <x:v>0</x:v>
      </x:c>
      <x:c r="L64" s="31" t="n">
        <x:v>29.0000000001</x:v>
      </x:c>
      <x:c r="M64" s="31" t="n">
        <x:v>0</x:v>
      </x:c>
      <x:c r="N64" s="24" t="str">
        <x:v>cynoglossus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Cynoglossus</x:v>
      </x:c>
      <x:c r="T64" s="32" t="n">
        <x:f>IF(O64="","",(1/'Metadata'!$B$5)^(O64-1))</x:f>
        <x:v>229.08676527677724</x:v>
      </x:c>
      <x:c r="U64" s="31" t="n">
        <x:f>IF(T64="","",I64*T64)</x:f>
        <x:v>6643.516193049449</x:v>
      </x:c>
    </x:row>
    <x:row r="65" ht="18" customHeight="1">
      <x:c r="A65" s="24" t="str">
        <x:v>EEZ_204</x:v>
      </x:c>
      <x:c r="B65" s="24" t="str">
        <x:v>Benin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24.9274252236</x:v>
      </x:c>
      <x:c r="J65" s="31" t="n">
        <x:v>24.9274252236</x:v>
      </x:c>
      <x:c r="K65" s="31" t="n">
        <x:v>0</x:v>
      </x:c>
      <x:c r="L65" s="31" t="n">
        <x:v>24.9274252236</x:v>
      </x:c>
      <x:c r="M65" s="31" t="n">
        <x:v>0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9261.416641252861</x:v>
      </x:c>
    </x:row>
    <x:row r="66" ht="18" customHeight="1">
      <x:c r="A66" s="24" t="str">
        <x:v>EEZ_204</x:v>
      </x:c>
      <x:c r="B66" s="24" t="str">
        <x:v>Benin</x:v>
      </x:c>
      <x:c r="C66" s="24" t="str">
        <x:v>EEZ</x:v>
      </x:c>
      <x:c r="D66" s="30" t="n">
        <x:v>2019</x:v>
      </x:c>
      <x:c r="E66" s="24" t="str">
        <x:v>Balistes capriscus</x:v>
      </x:c>
      <x:c r="F66" s="24" t="str">
        <x:v>Grey triggerfish</x:v>
      </x:c>
      <x:c r="G66" s="24" t="str">
        <x:v>Medium benthopelagics (30 - 89 cm)</x:v>
      </x:c>
      <x:c r="H66" s="24" t="str">
        <x:v>Other fishes &amp; inverts</x:v>
      </x:c>
      <x:c r="I66" s="31" t="n">
        <x:v>14.149999999999999</x:v>
      </x:c>
      <x:c r="J66" s="31" t="n">
        <x:v>14.149999999999999</x:v>
      </x:c>
      <x:c r="K66" s="31" t="n">
        <x:v>0</x:v>
      </x:c>
      <x:c r="L66" s="31" t="n">
        <x:v>14.149999999999999</x:v>
      </x:c>
      <x:c r="M66" s="31" t="n">
        <x:v>0</x:v>
      </x:c>
      <x:c r="N66" s="24" t="str">
        <x:v>balistes capriscus</x:v>
      </x:c>
      <x:c r="O66" s="32" t="n">
        <x:v>4.06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Balistes capriscus</x:v>
      </x:c>
      <x:c r="T66" s="32" t="n">
        <x:f>IF(O66="","",(1/'Metadata'!$B$5)^(O66-1))</x:f>
        <x:v>1148.1536214968817</x:v>
      </x:c>
      <x:c r="U66" s="31" t="n">
        <x:f>IF(T66="","",I66*T66)</x:f>
        <x:v>16246.373744180873</x:v>
      </x:c>
    </x:row>
    <x:row r="67" ht="18" customHeight="1">
      <x:c r="A67" s="24" t="str">
        <x:v>EEZ_204</x:v>
      </x:c>
      <x:c r="B67" s="24" t="str">
        <x:v>Benin</x:v>
      </x:c>
      <x:c r="C67" s="24" t="str">
        <x:v>EEZ</x:v>
      </x:c>
      <x:c r="D67" s="30" t="n">
        <x:v>2019</x:v>
      </x:c>
      <x:c r="E67" s="24" t="str">
        <x:v>Balistes</x:v>
      </x:c>
      <x:c r="F67" s="24" t="str">
        <x:v>Triggerfish</x:v>
      </x:c>
      <x:c r="G67" s="24" t="str">
        <x:v>Medium reef assoc. fish (30 - 89 cm)</x:v>
      </x:c>
      <x:c r="H67" s="24" t="str">
        <x:v>Other fishes &amp; inverts</x:v>
      </x:c>
      <x:c r="I67" s="31" t="n">
        <x:v>14.149999999999999</x:v>
      </x:c>
      <x:c r="J67" s="31" t="n">
        <x:v>14.149999999999999</x:v>
      </x:c>
      <x:c r="K67" s="31" t="n">
        <x:v>0</x:v>
      </x:c>
      <x:c r="L67" s="31" t="n">
        <x:v>14.149999999999999</x:v>
      </x:c>
      <x:c r="M67" s="31" t="n">
        <x:v>0</x:v>
      </x:c>
      <x:c r="N67" s="24" t="str">
        <x:v>balistes</x:v>
      </x:c>
      <x:c r="O67" s="32" t="n">
        <x:v>3.94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Balistes</x:v>
      </x:c>
      <x:c r="T67" s="32" t="n">
        <x:f>IF(O67="","",(1/'Metadata'!$B$5)^(O67-1))</x:f>
        <x:v>870.9635899560806</x:v>
      </x:c>
      <x:c r="U67" s="31" t="n">
        <x:f>IF(T67="","",I67*T67)</x:f>
        <x:v>12324.134797878538</x:v>
      </x:c>
    </x:row>
    <x:row r="68" ht="18" customHeight="1">
      <x:c r="A68" s="24" t="str">
        <x:v>EEZ_204</x:v>
      </x:c>
      <x:c r="B68" s="24" t="str">
        <x:v>Benin</x:v>
      </x:c>
      <x:c r="C68" s="24" t="str">
        <x:v>EEZ</x:v>
      </x:c>
      <x:c r="D68" s="30" t="n">
        <x:v>2019</x:v>
      </x:c>
      <x:c r="E68" s="24" t="str">
        <x:v>Prionace glauca</x:v>
      </x:c>
      <x:c r="F68" s="24" t="str">
        <x:v>Blue shark</x:v>
      </x:c>
      <x:c r="G68" s="24" t="str">
        <x:v>Large sharks (&gt;=90 cm)</x:v>
      </x:c>
      <x:c r="H68" s="24" t="str">
        <x:v>Sharks &amp; rays</x:v>
      </x:c>
      <x:c r="I68" s="31" t="n">
        <x:v>13.6244150949</x:v>
      </x:c>
      <x:c r="J68" s="31" t="n">
        <x:v>13.6244150949</x:v>
      </x:c>
      <x:c r="K68" s="31" t="n">
        <x:v>0</x:v>
      </x:c>
      <x:c r="L68" s="31" t="n">
        <x:v>13.6244150949</x:v>
      </x:c>
      <x:c r="M68" s="31" t="n">
        <x:v>0</x:v>
      </x:c>
      <x:c r="N68" s="24" t="str">
        <x:v>prionace glauca</x:v>
      </x:c>
      <x:c r="O68" s="32" t="n">
        <x:v>4.35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Prionace glauca</x:v>
      </x:c>
      <x:c r="T68" s="32" t="n">
        <x:f>IF(O68="","",(1/'Metadata'!$B$5)^(O68-1))</x:f>
        <x:v>2238.7211385683377</x:v>
      </x:c>
      <x:c r="U68" s="31" t="n">
        <x:f>IF(T68="","",I68*T68)</x:f>
        <x:v>30501.266073582174</x:v>
      </x:c>
    </x:row>
    <x:row r="69" ht="18" customHeight="1">
      <x:c r="A69" s="24" t="str">
        <x:v>EEZ_204</x:v>
      </x:c>
      <x:c r="B69" s="24" t="str">
        <x:v>Benin</x:v>
      </x:c>
      <x:c r="C69" s="24" t="str">
        <x:v>EEZ</x:v>
      </x:c>
      <x:c r="D69" s="30" t="n">
        <x:v>2019</x:v>
      </x:c>
      <x:c r="E69" s="24" t="str">
        <x:v>Pagellus bellottii</x:v>
      </x:c>
      <x:c r="F69" s="24" t="str">
        <x:v>Red pandora</x:v>
      </x:c>
      <x:c r="G69" s="24" t="str">
        <x:v>Medium demersals (30 - 89 cm)</x:v>
      </x:c>
      <x:c r="H69" s="24" t="str">
        <x:v>Perch-likes</x:v>
      </x:c>
      <x:c r="I69" s="31" t="n">
        <x:v>13.1000000001</x:v>
      </x:c>
      <x:c r="J69" s="31" t="n">
        <x:v>13.1000000001</x:v>
      </x:c>
      <x:c r="K69" s="31" t="n">
        <x:v>0</x:v>
      </x:c>
      <x:c r="L69" s="31" t="n">
        <x:v>13.1000000001</x:v>
      </x:c>
      <x:c r="M69" s="31" t="n">
        <x:v>0</x:v>
      </x:c>
      <x:c r="N69" s="24" t="str">
        <x:v>pagellus bellottii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Pagellus bellottii</x:v>
      </x:c>
      <x:c r="T69" s="32" t="n">
        <x:f>IF(O69="","",(1/'Metadata'!$B$5)^(O69-1))</x:f>
        <x:v>398.1071705534973</x:v>
      </x:c>
      <x:c r="U69" s="31" t="n">
        <x:f>IF(T69="","",I69*T69)</x:f>
        <x:v>5215.2039342906255</x:v>
      </x:c>
    </x:row>
    <x:row r="70" ht="18" customHeight="1">
      <x:c r="A70" s="24" t="str">
        <x:v>EEZ_204</x:v>
      </x:c>
      <x:c r="B70" s="24" t="str">
        <x:v>Benin</x:v>
      </x:c>
      <x:c r="C70" s="24" t="str">
        <x:v>EEZ</x:v>
      </x:c>
      <x:c r="D70" s="30" t="n">
        <x:v>2019</x:v>
      </x:c>
      <x:c r="E70" s="24" t="str">
        <x:v>Carcharhinus falciformis</x:v>
      </x:c>
      <x:c r="F70" s="24" t="str">
        <x:v>Silky shark</x:v>
      </x:c>
      <x:c r="G70" s="24" t="str">
        <x:v>Large sharks (&gt;=90 cm)</x:v>
      </x:c>
      <x:c r="H70" s="24" t="str">
        <x:v>Sharks &amp; rays</x:v>
      </x:c>
      <x:c r="I70" s="31" t="n">
        <x:v>10.6467906621</x:v>
      </x:c>
      <x:c r="J70" s="31" t="n">
        <x:v>10.6467906621</x:v>
      </x:c>
      <x:c r="K70" s="31" t="n">
        <x:v>0</x:v>
      </x:c>
      <x:c r="L70" s="31" t="n">
        <x:v>10.6467906621</x:v>
      </x:c>
      <x:c r="M70" s="31" t="n">
        <x:v>0</x:v>
      </x:c>
      <x:c r="N70" s="24" t="str">
        <x:v>carcharhinus falciformis</x:v>
      </x:c>
      <x:c r="O70" s="32" t="n">
        <x:v>4.51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falciformis</x:v>
      </x:c>
      <x:c r="T70" s="32" t="n">
        <x:f>IF(O70="","",(1/'Metadata'!$B$5)^(O70-1))</x:f>
        <x:v>3235.936569296281</x:v>
      </x:c>
      <x:c r="U70" s="31" t="n">
        <x:f>IF(T70="","",I70*T70)</x:f>
        <x:v>34452.33924913156</x:v>
      </x:c>
    </x:row>
    <x:row r="71" ht="18" customHeight="1">
      <x:c r="A71" s="24" t="str">
        <x:v>EEZ_204</x:v>
      </x:c>
      <x:c r="B71" s="24" t="str">
        <x:v>Benin</x:v>
      </x:c>
      <x:c r="C71" s="24" t="str">
        <x:v>EEZ</x:v>
      </x:c>
      <x:c r="D71" s="30" t="n">
        <x:v>2019</x:v>
      </x:c>
      <x:c r="E71" s="24" t="str">
        <x:v>Balistidae</x:v>
      </x:c>
      <x:c r="F71" s="24" t="str">
        <x:v>Triggerfishes</x:v>
      </x:c>
      <x:c r="G71" s="24" t="str">
        <x:v>Medium reef assoc. fish (30 - 89 cm)</x:v>
      </x:c>
      <x:c r="H71" s="24" t="str">
        <x:v>Other fishes &amp; inverts</x:v>
      </x:c>
      <x:c r="I71" s="31" t="n">
        <x:v>10.0000232064</x:v>
      </x:c>
      <x:c r="J71" s="31" t="n">
        <x:v>10.0000232064</x:v>
      </x:c>
      <x:c r="K71" s="31" t="n">
        <x:v>0</x:v>
      </x:c>
      <x:c r="L71" s="31" t="n">
        <x:v>10.0000232064</x:v>
      </x:c>
      <x:c r="M71" s="31" t="n">
        <x:v>0</x:v>
      </x:c>
      <x:c r="N71" s="24" t="str">
        <x:v>balistidae</x:v>
      </x:c>
      <x:c r="O71" s="32" t="n">
        <x:v>3.25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Balistidae</x:v>
      </x:c>
      <x:c r="T71" s="32" t="n">
        <x:f>IF(O71="","",(1/'Metadata'!$B$5)^(O71-1))</x:f>
        <x:v>177.82794100389228</x:v>
      </x:c>
      <x:c r="U71" s="31" t="n">
        <x:f>IF(T71="","",I71*T71)</x:f>
        <x:v>1778.2835367852529</x:v>
      </x:c>
    </x:row>
    <x:row r="72" ht="18" customHeight="1">
      <x:c r="A72" s="24" t="str">
        <x:v>EEZ_204</x:v>
      </x:c>
      <x:c r="B72" s="24" t="str">
        <x:v>Benin</x:v>
      </x:c>
      <x:c r="C72" s="24" t="str">
        <x:v>EEZ</x:v>
      </x:c>
      <x:c r="D72" s="30" t="n">
        <x:v>2019</x:v>
      </x:c>
      <x:c r="E72" s="24" t="str">
        <x:v>Spondyliosoma cantharus</x:v>
      </x:c>
      <x:c r="F72" s="24" t="str">
        <x:v>Black seabream</x:v>
      </x:c>
      <x:c r="G72" s="24" t="str">
        <x:v>Medium benthopelagics (30 - 89 cm)</x:v>
      </x:c>
      <x:c r="H72" s="24" t="str">
        <x:v>Perch-likes</x:v>
      </x:c>
      <x:c r="I72" s="31" t="n">
        <x:v>9.9709700895</x:v>
      </x:c>
      <x:c r="J72" s="31" t="n">
        <x:v>9.9709700895</x:v>
      </x:c>
      <x:c r="K72" s="31" t="n">
        <x:v>0</x:v>
      </x:c>
      <x:c r="L72" s="31" t="n">
        <x:v>9.9709700895</x:v>
      </x:c>
      <x:c r="M72" s="31" t="n">
        <x:v>0</x:v>
      </x:c>
      <x:c r="N72" s="24" t="str">
        <x:v>spondyliosoma cantharus</x:v>
      </x:c>
      <x:c r="O72" s="32" t="n">
        <x:v>3.34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Spondyliosoma cantharus</x:v>
      </x:c>
      <x:c r="T72" s="32" t="n">
        <x:f>IF(O72="","",(1/'Metadata'!$B$5)^(O72-1))</x:f>
        <x:v>218.77616239495518</x:v>
      </x:c>
      <x:c r="U72" s="31" t="n">
        <x:f>IF(T72="","",I72*T72)</x:f>
        <x:v>2181.4105715356927</x:v>
      </x:c>
    </x:row>
    <x:row r="73" ht="18" customHeight="1">
      <x:c r="A73" s="24" t="str">
        <x:v>EEZ_204</x:v>
      </x:c>
      <x:c r="B73" s="24" t="str">
        <x:v>Benin</x:v>
      </x:c>
      <x:c r="C73" s="24" t="str">
        <x:v>EEZ</x:v>
      </x:c>
      <x:c r="D73" s="30" t="n">
        <x:v>2019</x:v>
      </x:c>
      <x:c r="E73" s="24" t="str">
        <x:v>Scyris alexandrina</x:v>
      </x:c>
      <x:c r="F73" s="24" t="str">
        <x:v>Alexandria pompano</x:v>
      </x:c>
      <x:c r="G73" s="24" t="str">
        <x:v>Medium pelagics (30 - 89 cm)</x:v>
      </x:c>
      <x:c r="H73" s="24" t="str">
        <x:v>Perch-likes</x:v>
      </x:c>
      <x:c r="I73" s="31" t="n">
        <x:v>6.2817111563</x:v>
      </x:c>
      <x:c r="J73" s="31" t="n">
        <x:v>6.2817111563</x:v>
      </x:c>
      <x:c r="K73" s="31" t="n">
        <x:v>0</x:v>
      </x:c>
      <x:c r="L73" s="31" t="n">
        <x:v>6.2817111563</x:v>
      </x:c>
      <x:c r="M73" s="31" t="n">
        <x:v>0</x:v>
      </x:c>
      <x:c r="N73" s="24" t="str">
        <x:v>scyris alexandrina</x:v>
      </x:c>
      <x:c r="O73" s="32" t="n">
        <x:v>3.6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Scyris alexandrina</x:v>
      </x:c>
      <x:c r="T73" s="32" t="n">
        <x:f>IF(O73="","",(1/'Metadata'!$B$5)^(O73-1))</x:f>
        <x:v>398.1071705534973</x:v>
      </x:c>
      <x:c r="U73" s="31" t="n">
        <x:f>IF(T73="","",I73*T73)</x:f>
        <x:v>2500.794254668931</x:v>
      </x:c>
    </x:row>
    <x:row r="74" ht="18" customHeight="1">
      <x:c r="A74" s="24" t="str">
        <x:v>EEZ_204</x:v>
      </x:c>
      <x:c r="B74" s="24" t="str">
        <x:v>Benin</x:v>
      </x:c>
      <x:c r="C74" s="24" t="str">
        <x:v>EEZ</x:v>
      </x:c>
      <x:c r="D74" s="30" t="n">
        <x:v>2019</x:v>
      </x:c>
      <x:c r="E74" s="24" t="str">
        <x:v>Elagatis bipinnulata</x:v>
      </x:c>
      <x:c r="F74" s="24" t="str">
        <x:v>Rainbow runner</x:v>
      </x:c>
      <x:c r="G74" s="24" t="str">
        <x:v>Large pelagics (&gt;=90 cm)</x:v>
      </x:c>
      <x:c r="H74" s="24" t="str">
        <x:v>Perch-likes</x:v>
      </x:c>
      <x:c r="I74" s="31" t="n">
        <x:v>5</x:v>
      </x:c>
      <x:c r="J74" s="31" t="n">
        <x:v>5</x:v>
      </x:c>
      <x:c r="K74" s="31" t="n">
        <x:v>0</x:v>
      </x:c>
      <x:c r="L74" s="31" t="n">
        <x:v>5</x:v>
      </x:c>
      <x:c r="M74" s="31" t="n">
        <x:v>0</x:v>
      </x:c>
      <x:c r="N74" s="24" t="str">
        <x:v>elagatis bipinnulata</x:v>
      </x:c>
      <x:c r="O74" s="32" t="n">
        <x:v>4.27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Elagatis bipinnulata</x:v>
      </x:c>
      <x:c r="T74" s="32" t="n">
        <x:f>IF(O74="","",(1/'Metadata'!$B$5)^(O74-1))</x:f>
        <x:v>1862.0871366628655</x:v>
      </x:c>
      <x:c r="U74" s="31" t="n">
        <x:f>IF(T74="","",I74*T74)</x:f>
        <x:v>9310.435683314328</x:v>
      </x:c>
    </x:row>
    <x:row r="75" ht="18" customHeight="1">
      <x:c r="A75" s="24" t="str">
        <x:v>EEZ_204</x:v>
      </x:c>
      <x:c r="B75" s="24" t="str">
        <x:v>Benin</x:v>
      </x:c>
      <x:c r="C75" s="24" t="str">
        <x:v>EEZ</x:v>
      </x:c>
      <x:c r="D75" s="30" t="n">
        <x:v>2019</x:v>
      </x:c>
      <x:c r="E75" s="24" t="str">
        <x:v>Alopias</x:v>
      </x:c>
      <x:c r="F75" s="24" t="str">
        <x:v>Thresher sharks</x:v>
      </x:c>
      <x:c r="G75" s="24" t="str">
        <x:v>Large sharks (&gt;=90 cm)</x:v>
      </x:c>
      <x:c r="H75" s="24" t="str">
        <x:v>Sharks &amp; rays</x:v>
      </x:c>
      <x:c r="I75" s="31" t="n">
        <x:v>4.3831892008</x:v>
      </x:c>
      <x:c r="J75" s="31" t="n">
        <x:v>4.3831892008</x:v>
      </x:c>
      <x:c r="K75" s="31" t="n">
        <x:v>0</x:v>
      </x:c>
      <x:c r="L75" s="31" t="n">
        <x:v>4.3831892008</x:v>
      </x:c>
      <x:c r="M75" s="31" t="n">
        <x:v>0</x:v>
      </x:c>
      <x:c r="N75" s="24" t="str">
        <x:v>alopias</x:v>
      </x:c>
      <x:c r="O75" s="32" t="n">
        <x:v>4.5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Alopias</x:v>
      </x:c>
      <x:c r="T75" s="32" t="n">
        <x:f>IF(O75="","",(1/'Metadata'!$B$5)^(O75-1))</x:f>
        <x:v>3162.2776601683795</x:v>
      </x:c>
      <x:c r="U75" s="31" t="n">
        <x:f>IF(T75="","",I75*T75)</x:f>
        <x:v>13860.861289981134</x:v>
      </x:c>
    </x:row>
    <x:row r="76" ht="18" customHeight="1">
      <x:c r="A76" s="24" t="str">
        <x:v>EEZ_204</x:v>
      </x:c>
      <x:c r="B76" s="24" t="str">
        <x:v>Benin</x:v>
      </x:c>
      <x:c r="C76" s="24" t="str">
        <x:v>EEZ</x:v>
      </x:c>
      <x:c r="D76" s="30" t="n">
        <x:v>2019</x:v>
      </x:c>
      <x:c r="E76" s="24" t="str">
        <x:v>Teuthida</x:v>
      </x:c>
      <x:c r="F76" s="24" t="str">
        <x:v>Squids</x:v>
      </x:c>
      <x:c r="G76" s="24" t="str">
        <x:v>Cephalopods</x:v>
      </x:c>
      <x:c r="H76" s="24" t="str">
        <x:v>Other fishes &amp; inverts</x:v>
      </x:c>
      <x:c r="I76" s="31" t="n">
        <x:v>3.0438334865</x:v>
      </x:c>
      <x:c r="J76" s="31" t="n">
        <x:v>3.0438334865</x:v>
      </x:c>
      <x:c r="K76" s="31" t="n">
        <x:v>0</x:v>
      </x:c>
      <x:c r="L76" s="31" t="n">
        <x:v>3.0438334865</x:v>
      </x:c>
      <x:c r="M76" s="31" t="n">
        <x:v>0</x:v>
      </x:c>
      <x:c r="N76" s="24" t="str">
        <x:v>teuthida</x:v>
      </x:c>
      <x:c r="O76" s="32" t="n">
        <x:v>4.13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Teuthida</x:v>
      </x:c>
      <x:c r="T76" s="32" t="n">
        <x:f>IF(O76="","",(1/'Metadata'!$B$5)^(O76-1))</x:f>
        <x:v>1348.9628825916532</x:v>
      </x:c>
      <x:c r="U76" s="31" t="n">
        <x:f>IF(T76="","",I76*T76)</x:f>
        <x:v>4106.018394078042</x:v>
      </x:c>
    </x:row>
    <x:row r="77" ht="18" customHeight="1">
      <x:c r="A77" s="24" t="str">
        <x:v>EEZ_204</x:v>
      </x:c>
      <x:c r="B77" s="24" t="str">
        <x:v>Benin</x:v>
      </x:c>
      <x:c r="C77" s="24" t="str">
        <x:v>EEZ</x:v>
      </x:c>
      <x:c r="D77" s="30" t="n">
        <x:v>2019</x:v>
      </x:c>
      <x:c r="E77" s="24" t="str">
        <x:v>Sepia</x:v>
      </x:c>
      <x:c r="F77" s="24" t="str">
        <x:v>Sepia cuttlefishes</x:v>
      </x:c>
      <x:c r="G77" s="24" t="str">
        <x:v>Cephalopods</x:v>
      </x:c>
      <x:c r="H77" s="24" t="str">
        <x:v>Other fishes &amp; inverts</x:v>
      </x:c>
      <x:c r="I77" s="31" t="n">
        <x:v>1.5203344375</x:v>
      </x:c>
      <x:c r="J77" s="31" t="n">
        <x:v>0</x:v>
      </x:c>
      <x:c r="K77" s="31" t="n">
        <x:v>1.5203344375</x:v>
      </x:c>
      <x:c r="L77" s="31" t="n">
        <x:v>0</x:v>
      </x:c>
      <x:c r="M77" s="31" t="n">
        <x:v>1.5203344375</x:v>
      </x:c>
      <x:c r="N77" s="24" t="str">
        <x:v>sepia</x:v>
      </x:c>
      <x:c r="O77" s="32" t="n">
        <x:v>3.69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Sepia</x:v>
      </x:c>
      <x:c r="T77" s="32" t="n">
        <x:f>IF(O77="","",(1/'Metadata'!$B$5)^(O77-1))</x:f>
        <x:v>489.77881936844614</x:v>
      </x:c>
      <x:c r="U77" s="31" t="n">
        <x:f>IF(T77="","",I77*T77)</x:f>
        <x:v>744.6276058439407</x:v>
      </x:c>
    </x:row>
    <x:row r="78" ht="18" customHeight="1">
      <x:c r="A78" s="24" t="str">
        <x:v>EEZ_204</x:v>
      </x:c>
      <x:c r="B78" s="24" t="str">
        <x:v>Benin</x:v>
      </x:c>
      <x:c r="C78" s="24" t="str">
        <x:v>EEZ</x:v>
      </x:c>
      <x:c r="D78" s="30" t="n">
        <x:v>2019</x:v>
      </x:c>
      <x:c r="E78" s="24" t="str">
        <x:v>Psettodes belcheri</x:v>
      </x:c>
      <x:c r="F78" s="24" t="str">
        <x:v>Spottail spiny turbot</x:v>
      </x:c>
      <x:c r="G78" s="24" t="str">
        <x:v>Small to medium flatfishes (&lt;90 cm)</x:v>
      </x:c>
      <x:c r="H78" s="24" t="str">
        <x:v>Flatfishes</x:v>
      </x:c>
      <x:c r="I78" s="31" t="n">
        <x:v>1</x:v>
      </x:c>
      <x:c r="J78" s="31" t="n">
        <x:v>1</x:v>
      </x:c>
      <x:c r="K78" s="31" t="n">
        <x:v>0</x:v>
      </x:c>
      <x:c r="L78" s="31" t="n">
        <x:v>1</x:v>
      </x:c>
      <x:c r="M78" s="31" t="n">
        <x:v>0</x:v>
      </x:c>
      <x:c r="N78" s="24" t="str">
        <x:v>psettodes belcheri</x:v>
      </x:c>
      <x:c r="O78" s="32" t="n">
        <x:v>4.07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Psettodes belcheri</x:v>
      </x:c>
      <x:c r="T78" s="32" t="n">
        <x:f>IF(O78="","",(1/'Metadata'!$B$5)^(O78-1))</x:f>
        <x:v>1174.8975549395302</x:v>
      </x:c>
      <x:c r="U78" s="31" t="n">
        <x:f>IF(T78="","",I78*T78)</x:f>
        <x:v>1174.8975549395302</x:v>
      </x:c>
    </x:row>
    <x:row r="79" ht="18" customHeight="1">
      <x:c r="A79" s="24" t="str">
        <x:v>EEZ_204</x:v>
      </x:c>
      <x:c r="B79" s="24" t="str">
        <x:v>Benin</x:v>
      </x:c>
      <x:c r="C79" s="24" t="str">
        <x:v>EEZ</x:v>
      </x:c>
      <x:c r="D79" s="30" t="n">
        <x:v>2019</x:v>
      </x:c>
      <x:c r="E79" s="24" t="str">
        <x:v>Tetrapturus pfluegeri</x:v>
      </x:c>
      <x:c r="F79" s="24" t="str">
        <x:v>Longbill spearfish</x:v>
      </x:c>
      <x:c r="G79" s="24" t="str">
        <x:v>Large pelagics (&gt;=90 cm)</x:v>
      </x:c>
      <x:c r="H79" s="24" t="str">
        <x:v>Tuna &amp; billfishes</x:v>
      </x:c>
      <x:c r="I79" s="31" t="n">
        <x:v>0.3577802106</x:v>
      </x:c>
      <x:c r="J79" s="31" t="n">
        <x:v>0.3577802106</x:v>
      </x:c>
      <x:c r="K79" s="31" t="n">
        <x:v>0</x:v>
      </x:c>
      <x:c r="L79" s="31" t="n">
        <x:v>0.3577802106</x:v>
      </x:c>
      <x:c r="M79" s="31" t="n">
        <x:v>0</x:v>
      </x:c>
      <x:c r="N79" s="24" t="str">
        <x:v>tetrapturus pfluegeri</x:v>
      </x:c>
      <x:c r="O79" s="32" t="n">
        <x:v>4.4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Tetrapturus pfluegeri</x:v>
      </x:c>
      <x:c r="T79" s="32" t="n">
        <x:f>IF(O79="","",(1/'Metadata'!$B$5)^(O79-1))</x:f>
        <x:v>2511.886431509582</x:v>
      </x:c>
      <x:c r="U79" s="31" t="n">
        <x:f>IF(T79="","",I79*T79)</x:f>
        <x:v>898.7032564687808</x:v>
      </x:c>
    </x:row>
    <x:row r="80" ht="18" customHeight="1">
      <x:c r="A80" s="24" t="str">
        <x:v>EEZ_204</x:v>
      </x:c>
      <x:c r="B80" s="24" t="str">
        <x:v>Benin</x:v>
      </x:c>
      <x:c r="C80" s="24" t="str">
        <x:v>EEZ</x:v>
      </x:c>
      <x:c r="D80" s="30" t="n">
        <x:v>2019</x:v>
      </x:c>
      <x:c r="E80" s="24" t="str">
        <x:v>Isurus oxyrinchus</x:v>
      </x:c>
      <x:c r="F80" s="24" t="str">
        <x:v>Shortfin mako</x:v>
      </x:c>
      <x:c r="G80" s="24" t="str">
        <x:v>Large sharks (&gt;=90 cm)</x:v>
      </x:c>
      <x:c r="H80" s="24" t="str">
        <x:v>Sharks &amp; rays</x:v>
      </x:c>
      <x:c r="I80" s="31" t="n">
        <x:v>0.2589738622</x:v>
      </x:c>
      <x:c r="J80" s="31" t="n">
        <x:v>0.2589738622</x:v>
      </x:c>
      <x:c r="K80" s="31" t="n">
        <x:v>0</x:v>
      </x:c>
      <x:c r="L80" s="31" t="n">
        <x:v>0.2589738622</x:v>
      </x:c>
      <x:c r="M80" s="31" t="n">
        <x:v>0</x:v>
      </x:c>
      <x:c r="N80" s="24" t="str">
        <x:v>isurus oxyrinchus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Isurus oxyrinchus</x:v>
      </x:c>
      <x:c r="T80" s="32" t="n">
        <x:f>IF(O80="","",(1/'Metadata'!$B$5)^(O80-1))</x:f>
        <x:v>3162.2776601683795</x:v>
      </x:c>
      <x:c r="U80" s="31" t="n">
        <x:f>IF(T80="","",I80*T80)</x:f>
        <x:v>818.9472590025844</x:v>
      </x:c>
    </x:row>
    <x:row r="81" ht="18" customHeight="1">
      <x:c r="A81" s="24" t="str">
        <x:v>EEZ_204</x:v>
      </x:c>
      <x:c r="B81" s="24" t="str">
        <x:v>Benin</x:v>
      </x:c>
      <x:c r="C81" s="24" t="str">
        <x:v>EEZ</x:v>
      </x:c>
      <x:c r="D81" s="30" t="n">
        <x:v>2019</x:v>
      </x:c>
      <x:c r="E81" s="24" t="str">
        <x:v>Xiphias gladius</x:v>
      </x:c>
      <x:c r="F81" s="24" t="str">
        <x:v>Swordfish</x:v>
      </x:c>
      <x:c r="G81" s="24" t="str">
        <x:v>Large pelagics (&gt;=90 cm)</x:v>
      </x:c>
      <x:c r="H81" s="24" t="str">
        <x:v>Tuna &amp; billfishes</x:v>
      </x:c>
      <x:c r="I81" s="31" t="n">
        <x:v>0.1298101466</x:v>
      </x:c>
      <x:c r="J81" s="31" t="n">
        <x:v>0.1298101466</x:v>
      </x:c>
      <x:c r="K81" s="31" t="n">
        <x:v>0</x:v>
      </x:c>
      <x:c r="L81" s="31" t="n">
        <x:v>0.1298101466</x:v>
      </x:c>
      <x:c r="M81" s="31" t="n">
        <x:v>0</x:v>
      </x:c>
      <x:c r="N81" s="24" t="str">
        <x:v>xiphias gladius</x:v>
      </x:c>
      <x:c r="O81" s="32" t="n">
        <x:v>4.53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Xiphias gladius</x:v>
      </x:c>
      <x:c r="T81" s="32" t="n">
        <x:f>IF(O81="","",(1/'Metadata'!$B$5)^(O81-1))</x:f>
        <x:v>3388.4415613920273</x:v>
      </x:c>
      <x:c r="U81" s="31" t="n">
        <x:f>IF(T81="","",I81*T81)</x:f>
        <x:v>439.854095829832</x:v>
      </x:c>
    </x:row>
    <x:row r="82" ht="18" customHeight="1">
      <x:c r="A82" s="24" t="str">
        <x:v>EEZ_204</x:v>
      </x:c>
      <x:c r="B82" s="24" t="str">
        <x:v>Benin</x:v>
      </x:c>
      <x:c r="C82" s="24" t="str">
        <x:v>EEZ</x:v>
      </x:c>
      <x:c r="D82" s="30" t="n">
        <x:v>2019</x:v>
      </x:c>
      <x:c r="E82" s="24" t="str">
        <x:v>Cephalopholis taeniops</x:v>
      </x:c>
      <x:c r="F82" s="24" t="str">
        <x:v>Bluespotted seabass</x:v>
      </x:c>
      <x:c r="G82" s="24" t="str">
        <x:v>Large reef assoc. fish (&gt;=90 cm)</x:v>
      </x:c>
      <x:c r="H82" s="24" t="str">
        <x:v>Perch-likes</x:v>
      </x:c>
      <x:c r="I82" s="31" t="n">
        <x:v>0.1</x:v>
      </x:c>
      <x:c r="J82" s="31" t="n">
        <x:v>0.1</x:v>
      </x:c>
      <x:c r="K82" s="31" t="n">
        <x:v>0</x:v>
      </x:c>
      <x:c r="L82" s="31" t="n">
        <x:v>0.1</x:v>
      </x:c>
      <x:c r="M82" s="31" t="n">
        <x:v>0</x:v>
      </x:c>
      <x:c r="N82" s="24" t="str">
        <x:v>cephalopholis taeniops</x:v>
      </x:c>
      <x:c r="O82" s="32" t="n">
        <x:v>4.4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Cephalopholis taeniops</x:v>
      </x:c>
      <x:c r="T82" s="32" t="n">
        <x:f>IF(O82="","",(1/'Metadata'!$B$5)^(O82-1))</x:f>
        <x:v>2511.886431509582</x:v>
      </x:c>
      <x:c r="U82" s="31" t="n">
        <x:f>IF(T82="","",I82*T82)</x:f>
        <x:v>251.18864315095823</x:v>
      </x:c>
    </x:row>
    <x:row r="83" ht="18" customHeight="1">
      <x:c r="A83" s="24" t="str">
        <x:v>EEZ_204</x:v>
      </x:c>
      <x:c r="B83" s="24" t="str">
        <x:v>Benin</x:v>
      </x:c>
      <x:c r="C83" s="24" t="str">
        <x:v>EEZ</x:v>
      </x:c>
      <x:c r="D83" s="30" t="n">
        <x:v>2019</x:v>
      </x:c>
      <x:c r="E83" s="24" t="str">
        <x:v>Berycidae</x:v>
      </x:c>
      <x:c r="F83" s="24" t="str">
        <x:v>Alfonsinos, redfishes</x:v>
      </x:c>
      <x:c r="G83" s="24" t="str">
        <x:v>Medium benthopelagics (30 - 89 cm)</x:v>
      </x:c>
      <x:c r="H83" s="24" t="str">
        <x:v>Other fishes &amp; inverts</x:v>
      </x:c>
      <x:c r="I83" s="31" t="n">
        <x:v>0.027603971</x:v>
      </x:c>
      <x:c r="J83" s="31" t="n">
        <x:v>0.027603971</x:v>
      </x:c>
      <x:c r="K83" s="31" t="n">
        <x:v>0</x:v>
      </x:c>
      <x:c r="L83" s="31" t="n">
        <x:v>0.027603971</x:v>
      </x:c>
      <x:c r="M83" s="31" t="n">
        <x:v>0</x:v>
      </x:c>
      <x:c r="N83" s="24" t="str">
        <x:v>berycidae</x:v>
      </x:c>
      <x:c r="O83" s="32" t="n">
        <x:v>3.99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Berycidae</x:v>
      </x:c>
      <x:c r="T83" s="32" t="n">
        <x:f>IF(O83="","",(1/'Metadata'!$B$5)^(O83-1))</x:f>
        <x:v>977.2372209558112</x:v>
      </x:c>
      <x:c r="U83" s="31" t="n">
        <x:f>IF(T83="","",I83*T83)</x:f>
        <x:v>26.975627907384805</x:v>
      </x:c>
    </x:row>
    <x:row r="84" ht="18" customHeight="1">
      <x:c r="A84" s="24" t="str">
        <x:v>EEZ_204</x:v>
      </x:c>
      <x:c r="B84" s="24" t="str">
        <x:v>Benin</x:v>
      </x:c>
      <x:c r="C84" s="24" t="str">
        <x:v>EEZ</x:v>
      </x:c>
      <x:c r="D84" s="30" t="n">
        <x:v>2019</x:v>
      </x:c>
      <x:c r="E84" s="24" t="str">
        <x:v>Trachurus</x:v>
      </x:c>
      <x:c r="F84" s="24" t="str">
        <x:v>Jacks, horse mackerels</x:v>
      </x:c>
      <x:c r="G84" s="24" t="str">
        <x:v>Medium pelagics (30 - 89 cm)</x:v>
      </x:c>
      <x:c r="H84" s="24" t="str">
        <x:v>Perch-likes</x:v>
      </x:c>
      <x:c r="I84" s="31" t="n">
        <x:v>0.0025643033</x:v>
      </x:c>
      <x:c r="J84" s="31" t="n">
        <x:v>0.0025643033</x:v>
      </x:c>
      <x:c r="K84" s="31" t="n">
        <x:v>0</x:v>
      </x:c>
      <x:c r="L84" s="31" t="n">
        <x:v>0.0025643033</x:v>
      </x:c>
      <x:c r="M84" s="31" t="n">
        <x:v>0</x:v>
      </x:c>
      <x:c r="N84" s="24" t="str">
        <x:v>trachurus</x:v>
      </x:c>
      <x:c r="O84" s="32" t="n">
        <x:v>3.69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Trachurus</x:v>
      </x:c>
      <x:c r="T84" s="32" t="n">
        <x:f>IF(O84="","",(1/'Metadata'!$B$5)^(O84-1))</x:f>
        <x:v>489.77881936844614</x:v>
      </x:c>
      <x:c r="U84" s="31" t="n">
        <x:f>IF(T84="","",I84*T84)</x:f>
        <x:v>1.2559414427766105</x:v>
      </x:c>
    </x:row>
    <x:row r="85" ht="18" customHeight="1">
      <x:c r="A85" s="24" t="str">
        <x:v>EEZ_204</x:v>
      </x:c>
      <x:c r="B85" s="24" t="str">
        <x:v>Benin</x:v>
      </x:c>
      <x:c r="C85" s="24" t="str">
        <x:v>EEZ</x:v>
      </x:c>
      <x:c r="D85" s="30" t="n">
        <x:v>2019</x:v>
      </x:c>
      <x:c r="E85" s="24" t="str">
        <x:v>Gastropoda</x:v>
      </x:c>
      <x:c r="F85" s="24" t="str">
        <x:v>Sea snails</x:v>
      </x:c>
      <x:c r="G85" s="24" t="str">
        <x:v>Other demersal invertebrates</x:v>
      </x:c>
      <x:c r="H85" s="24" t="str">
        <x:v>Molluscs</x:v>
      </x:c>
      <x:c r="I85" s="31" t="n">
        <x:v>0.0008354291</x:v>
      </x:c>
      <x:c r="J85" s="31" t="n">
        <x:v>0.0008354291</x:v>
      </x:c>
      <x:c r="K85" s="31" t="n">
        <x:v>0</x:v>
      </x:c>
      <x:c r="L85" s="31" t="n">
        <x:v>0.0008354291</x:v>
      </x:c>
      <x:c r="M85" s="31" t="n">
        <x:v>0</x:v>
      </x:c>
      <x:c r="N85" s="24" t="str">
        <x:v>gastropoda</x:v>
      </x:c>
      <x:c r="O85" s="32" t="n">
        <x:v>3.06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Gastropoda</x:v>
      </x:c>
      <x:c r="T85" s="32" t="n">
        <x:f>IF(O85="","",(1/'Metadata'!$B$5)^(O85-1))</x:f>
        <x:v>114.81536214968828</x:v>
      </x:c>
      <x:c r="U85" s="31" t="n">
        <x:f>IF(T85="","",I85*T85)</x:f>
        <x:v>0.09592009466688814</x:v>
      </x:c>
    </x:row>
    <x:row r="86" ht="18" customHeight="1">
      <x:c r="A86" s="24" t="str">
        <x:v>EEZ_204</x:v>
      </x:c>
      <x:c r="B86" s="24" t="str">
        <x:v>Benin</x:v>
      </x:c>
      <x:c r="C86" s="24" t="str">
        <x:v>EEZ</x:v>
      </x:c>
      <x:c r="D86" s="30" t="n">
        <x:v>2019</x:v>
      </x:c>
      <x:c r="E86" s="24" t="str">
        <x:v>Dentex macrophthalmus</x:v>
      </x:c>
      <x:c r="F86" s="24" t="str">
        <x:v>Large-eye dentex</x:v>
      </x:c>
      <x:c r="G86" s="24" t="str">
        <x:v>Medium benthopelagics (30 - 89 cm)</x:v>
      </x:c>
      <x:c r="H86" s="24" t="str">
        <x:v>Perch-likes</x:v>
      </x:c>
      <x:c r="I86" s="31" t="n">
        <x:v>0.0002668732</x:v>
      </x:c>
      <x:c r="J86" s="31" t="n">
        <x:v>0.0002668732</x:v>
      </x:c>
      <x:c r="K86" s="31" t="n">
        <x:v>0</x:v>
      </x:c>
      <x:c r="L86" s="31" t="n">
        <x:v>0.0002668732</x:v>
      </x:c>
      <x:c r="M86" s="31" t="n">
        <x:v>0</x:v>
      </x:c>
      <x:c r="N86" s="24" t="str">
        <x:v>dentex macrophthalmus</x:v>
      </x:c>
      <x:c r="O86" s="32" t="n">
        <x:v>3.52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Dentex macrophthalmus</x:v>
      </x:c>
      <x:c r="T86" s="32" t="n">
        <x:f>IF(O86="","",(1/'Metadata'!$B$5)^(O86-1))</x:f>
        <x:v>331.1311214825911</x:v>
      </x:c>
      <x:c r="U86" s="31" t="n">
        <x:f>IF(T86="","",I86*T86)</x:f>
        <x:v>0.08837002200964783</x:v>
      </x:c>
    </x:row>
    <x:row r="87" ht="18" customHeight="1">
      <x:c r="A87" s="24" t="str">
        <x:v>EEZ_204</x:v>
      </x:c>
      <x:c r="B87" s="24" t="str">
        <x:v>Benin</x:v>
      </x:c>
      <x:c r="C87" s="24" t="str">
        <x:v>EEZ</x:v>
      </x:c>
      <x:c r="D87" s="30" t="n">
        <x:v>2019</x:v>
      </x:c>
      <x:c r="E87" s="24" t="str">
        <x:v>Helicolenus dactylopterus</x:v>
      </x:c>
      <x:c r="F87" s="24" t="str">
        <x:v>Blackbelly rosefish</x:v>
      </x:c>
      <x:c r="G87" s="24" t="str">
        <x:v>Medium bathydemersals (30 - 89 cm)</x:v>
      </x:c>
      <x:c r="H87" s="24" t="str">
        <x:v>Scorpionfishes</x:v>
      </x:c>
      <x:c r="I87" s="31" t="n">
        <x:v>0.0000928254</x:v>
      </x:c>
      <x:c r="J87" s="31" t="n">
        <x:v>0.0000928254</x:v>
      </x:c>
      <x:c r="K87" s="31" t="n">
        <x:v>0</x:v>
      </x:c>
      <x:c r="L87" s="31" t="n">
        <x:v>0.0000928254</x:v>
      </x:c>
      <x:c r="M87" s="31" t="n">
        <x:v>0</x:v>
      </x:c>
      <x:c r="N87" s="24" t="str">
        <x:v>helicolenus dactylopterus</x:v>
      </x:c>
      <x:c r="O87" s="32" t="n">
        <x:v>3.54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Helicolenus dactylopterus</x:v>
      </x:c>
      <x:c r="T87" s="32" t="n">
        <x:f>IF(O87="","",(1/'Metadata'!$B$5)^(O87-1))</x:f>
        <x:v>346.73685045253166</x:v>
      </x:c>
      <x:c r="U87" s="31" t="n">
        <x:f>IF(T87="","",I87*T87)</x:f>
        <x:v>0.03218598683799643</x:v>
      </x:c>
    </x:row>
    <x:row r="88" ht="18" customHeight="1">
      <x:c r="A88" s="24" t="str">
        <x:v>EEZ_204</x:v>
      </x:c>
      <x:c r="B88" s="24" t="str">
        <x:v>Benin</x:v>
      </x:c>
      <x:c r="C88" s="24" t="str">
        <x:v>EEZ</x:v>
      </x:c>
      <x:c r="D88" s="30" t="n">
        <x:v>2019</x:v>
      </x:c>
      <x:c r="E88" s="24" t="str">
        <x:v>Serranidae</x:v>
      </x:c>
      <x:c r="F88" s="24" t="str">
        <x:v>Basses, groupers, hinds</x:v>
      </x:c>
      <x:c r="G88" s="24" t="str">
        <x:v>Medium reef assoc. fish (30 - 89 cm)</x:v>
      </x:c>
      <x:c r="H88" s="24" t="str">
        <x:v>Perch-likes</x:v>
      </x:c>
      <x:c r="I88" s="31" t="n">
        <x:v>0.0000580159</x:v>
      </x:c>
      <x:c r="J88" s="31" t="n">
        <x:v>0.0000580159</x:v>
      </x:c>
      <x:c r="K88" s="31" t="n">
        <x:v>0</x:v>
      </x:c>
      <x:c r="L88" s="31" t="n">
        <x:v>0.0000580159</x:v>
      </x:c>
      <x:c r="M88" s="31" t="n">
        <x:v>0</x:v>
      </x:c>
      <x:c r="N88" s="24" t="str">
        <x:v>serranidae</x:v>
      </x:c>
      <x:c r="O88" s="32" t="n">
        <x:v>3.98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Serranidae</x:v>
      </x:c>
      <x:c r="T88" s="32" t="n">
        <x:f>IF(O88="","",(1/'Metadata'!$B$5)^(O88-1))</x:f>
        <x:v>954.992586021436</x:v>
      </x:c>
      <x:c r="U88" s="31" t="n">
        <x:f>IF(T88="","",I88*T88)</x:f>
        <x:v>0.055404754371361026</x:v>
      </x:c>
    </x:row>
    <x:row r="89" ht="18" customHeight="1">
      <x:c r="A89" s="24" t="str">
        <x:v>EEZ_204</x:v>
      </x:c>
      <x:c r="B89" s="24" t="str">
        <x:v>Benin</x:v>
      </x:c>
      <x:c r="C89" s="24" t="str">
        <x:v>EEZ</x:v>
      </x:c>
      <x:c r="D89" s="30" t="n">
        <x:v>2019</x:v>
      </x:c>
      <x:c r="E89" s="24" t="str">
        <x:v>Gempylidae</x:v>
      </x:c>
      <x:c r="F89" s="24" t="str">
        <x:v>Snake mackerels</x:v>
      </x:c>
      <x:c r="G89" s="24" t="str">
        <x:v>Large benthopelagics (&gt;=90 cm)</x:v>
      </x:c>
      <x:c r="H89" s="24" t="str">
        <x:v>Perch-likes</x:v>
      </x:c>
      <x:c r="I89" s="31" t="n">
        <x:v>0.0000464127</x:v>
      </x:c>
      <x:c r="J89" s="31" t="n">
        <x:v>0.0000464127</x:v>
      </x:c>
      <x:c r="K89" s="31" t="n">
        <x:v>0</x:v>
      </x:c>
      <x:c r="L89" s="31" t="n">
        <x:v>0.0000464127</x:v>
      </x:c>
      <x:c r="M89" s="31" t="n">
        <x:v>0</x:v>
      </x:c>
      <x:c r="N89" s="24" t="str">
        <x:v>gempylidae</x:v>
      </x:c>
      <x:c r="O89" s="32" t="n">
        <x:v>4.21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Gempylidae</x:v>
      </x:c>
      <x:c r="T89" s="32" t="n">
        <x:f>IF(O89="","",(1/'Metadata'!$B$5)^(O89-1))</x:f>
        <x:v>1621.8100973589299</x:v>
      </x:c>
      <x:c r="U89" s="31" t="n">
        <x:f>IF(T89="","",I89*T89)</x:f>
        <x:v>0.0752725855056908</x:v>
      </x:c>
    </x:row>
    <x:row r="90" ht="18" customHeight="1">
      <x:c r="A90" s="24" t="str">
        <x:v>EEZ_204</x:v>
      </x:c>
      <x:c r="B90" s="24" t="str">
        <x:v>Benin</x:v>
      </x:c>
      <x:c r="C90" s="24" t="str">
        <x:v>EEZ</x:v>
      </x:c>
      <x:c r="D90" s="30" t="n">
        <x:v>2019</x:v>
      </x:c>
      <x:c r="E90" s="24" t="str">
        <x:v>Gymnothorax</x:v>
      </x:c>
      <x:c r="F90" s="24" t="str">
        <x:v>Morays</x:v>
      </x:c>
      <x:c r="G90" s="24" t="str">
        <x:v>Large reef assoc. fish (&gt;=90 cm)</x:v>
      </x:c>
      <x:c r="H90" s="24" t="str">
        <x:v>Other fishes &amp; inverts</x:v>
      </x:c>
      <x:c r="I90" s="31" t="n">
        <x:v>0.0000348095</x:v>
      </x:c>
      <x:c r="J90" s="31" t="n">
        <x:v>0.0000348095</x:v>
      </x:c>
      <x:c r="K90" s="31" t="n">
        <x:v>0</x:v>
      </x:c>
      <x:c r="L90" s="31" t="n">
        <x:v>0.0000348095</x:v>
      </x:c>
      <x:c r="M90" s="31" t="n">
        <x:v>0</x:v>
      </x:c>
      <x:c r="N90" s="24" t="str">
        <x:v>gymnothorax</x:v>
      </x:c>
      <x:c r="O90" s="32" t="n">
        <x:v>4.22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Gymnothorax</x:v>
      </x:c>
      <x:c r="T90" s="32" t="n">
        <x:f>IF(O90="","",(1/'Metadata'!$B$5)^(O90-1))</x:f>
        <x:v>1659.5869074375596</x:v>
      </x:c>
      <x:c r="U90" s="31" t="n">
        <x:f>IF(T90="","",I90*T90)</x:f>
        <x:v>0.05776939045444773</x:v>
      </x:c>
    </x:row>
    <x:row r="91" ht="18" customHeight="1">
      <x:c r="A91" s="24" t="str">
        <x:v>EEZ_204</x:v>
      </x:c>
      <x:c r="B91" s="24" t="str">
        <x:v>Benin</x:v>
      </x:c>
      <x:c r="C91" s="24" t="str">
        <x:v>EEZ</x:v>
      </x:c>
      <x:c r="D91" s="30" t="n">
        <x:v>2019</x:v>
      </x:c>
      <x:c r="E91" s="24" t="str">
        <x:v>Auxis thazard</x:v>
      </x:c>
      <x:c r="F91" s="24" t="str">
        <x:v>Frigate tuna</x:v>
      </x:c>
      <x:c r="G91" s="24" t="str">
        <x:v>Medium pelagics (30 - 89 cm)</x:v>
      </x:c>
      <x:c r="H91" s="24" t="str">
        <x:v>Tuna &amp; billfishes</x:v>
      </x:c>
      <x:c r="I91" s="31" t="n">
        <x:v>0.0000348095</x:v>
      </x:c>
      <x:c r="J91" s="31" t="n">
        <x:v>0.0000348095</x:v>
      </x:c>
      <x:c r="K91" s="31" t="n">
        <x:v>0</x:v>
      </x:c>
      <x:c r="L91" s="31" t="n">
        <x:v>0.0000348095</x:v>
      </x:c>
      <x:c r="M91" s="31" t="n">
        <x:v>0</x:v>
      </x:c>
      <x:c r="N91" s="24" t="str">
        <x:v>auxis thazard</x:v>
      </x:c>
      <x:c r="O91" s="32" t="n">
        <x:v>4.37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Auxis thazard</x:v>
      </x:c>
      <x:c r="T91" s="32" t="n">
        <x:f>IF(O91="","",(1/'Metadata'!$B$5)^(O91-1))</x:f>
        <x:v>2344.228815319923</x:v>
      </x:c>
      <x:c r="U91" s="31" t="n">
        <x:f>IF(T91="","",I91*T91)</x:f>
        <x:v>0.08160143294687885</x:v>
      </x:c>
    </x:row>
    <x:row r="92" ht="18" customHeight="1">
      <x:c r="A92" s="24" t="str">
        <x:v>EEZ_204</x:v>
      </x:c>
      <x:c r="B92" s="24" t="str">
        <x:v>Benin</x:v>
      </x:c>
      <x:c r="C92" s="24" t="str">
        <x:v>EEZ</x:v>
      </x:c>
      <x:c r="D92" s="30" t="n">
        <x:v>2019</x:v>
      </x:c>
      <x:c r="E92" s="24" t="str">
        <x:v>Stromateus fiatola</x:v>
      </x:c>
      <x:c r="F92" s="24" t="str">
        <x:v>Blue butterfish</x:v>
      </x:c>
      <x:c r="G92" s="24" t="str">
        <x:v>Medium benthopelagics (30 - 89 cm)</x:v>
      </x:c>
      <x:c r="H92" s="24" t="str">
        <x:v>Perch-likes</x:v>
      </x:c>
      <x:c r="I92" s="31" t="n">
        <x:v>0.0000232064</x:v>
      </x:c>
      <x:c r="J92" s="31" t="n">
        <x:v>0.0000232064</x:v>
      </x:c>
      <x:c r="K92" s="31" t="n">
        <x:v>0</x:v>
      </x:c>
      <x:c r="L92" s="31" t="n">
        <x:v>0.0000232064</x:v>
      </x:c>
      <x:c r="M92" s="31" t="n">
        <x:v>0</x:v>
      </x:c>
      <x:c r="N92" s="24" t="str">
        <x:v>stromateus fiatola</x:v>
      </x:c>
      <x:c r="O92" s="32" t="n">
        <x:v>4.03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Stromateus fiatola</x:v>
      </x:c>
      <x:c r="T92" s="32" t="n">
        <x:f>IF(O92="","",(1/'Metadata'!$B$5)^(O92-1))</x:f>
        <x:v>1071.519305237607</x:v>
      </x:c>
      <x:c r="U92" s="31" t="n">
        <x:f>IF(T92="","",I92*T92)</x:f>
        <x:v>0.024866105605066004</x:v>
      </x:c>
    </x:row>
    <x:row r="93" ht="18" customHeight="1">
      <x:c r="A93" s="24" t="str">
        <x:v>EEZ_204</x:v>
      </x:c>
      <x:c r="B93" s="24" t="str">
        <x:v>Benin</x:v>
      </x:c>
      <x:c r="C93" s="24" t="str">
        <x:v>EEZ</x:v>
      </x:c>
      <x:c r="D93" s="30" t="n">
        <x:v>2019</x:v>
      </x:c>
      <x:c r="E93" s="24" t="str">
        <x:v>Brama brama</x:v>
      </x:c>
      <x:c r="F93" s="24" t="str">
        <x:v>Atlantic pomfret</x:v>
      </x:c>
      <x:c r="G93" s="24" t="str">
        <x:v>Medium bathypelagics (30 - 89 cm)</x:v>
      </x:c>
      <x:c r="H93" s="24" t="str">
        <x:v>Perch-likes</x:v>
      </x:c>
      <x:c r="I93" s="31" t="n">
        <x:v>0.0000116032</x:v>
      </x:c>
      <x:c r="J93" s="31" t="n">
        <x:v>0.0000116032</x:v>
      </x:c>
      <x:c r="K93" s="31" t="n">
        <x:v>0</x:v>
      </x:c>
      <x:c r="L93" s="31" t="n">
        <x:v>0.0000116032</x:v>
      </x:c>
      <x:c r="M93" s="31" t="n">
        <x:v>0</x:v>
      </x:c>
      <x:c r="N93" s="24" t="str">
        <x:v>brama brama</x:v>
      </x:c>
      <x:c r="O93" s="32" t="n">
        <x:v>4.08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Brama brama</x:v>
      </x:c>
      <x:c r="T93" s="32" t="n">
        <x:f>IF(O93="","",(1/'Metadata'!$B$5)^(O93-1))</x:f>
        <x:v>1202.2644346174131</x:v>
      </x:c>
      <x:c r="U93" s="31" t="n">
        <x:f>IF(T93="","",I93*T93)</x:f>
        <x:v>0.013950114687752768</x:v>
      </x:c>
    </x:row>
    <x:row r="94" ht="18" customHeight="1">
      <x:c r="A94" s="24" t="str">
        <x:v>EEZ_204</x:v>
      </x:c>
      <x:c r="B94" s="24" t="str">
        <x:v>Benin</x:v>
      </x:c>
      <x:c r="C94" s="24" t="str">
        <x:v>EEZ</x:v>
      </x:c>
      <x:c r="D94" s="30" t="n">
        <x:v>2019</x:v>
      </x:c>
      <x:c r="E94" s="24" t="str">
        <x:v>Boops boops</x:v>
      </x:c>
      <x:c r="F94" s="24" t="str">
        <x:v>Bogue</x:v>
      </x:c>
      <x:c r="G94" s="24" t="str">
        <x:v>Medium demersals (30 - 89 cm)</x:v>
      </x:c>
      <x:c r="H94" s="24" t="str">
        <x:v>Perch-likes</x:v>
      </x:c>
      <x:c r="I94" s="31" t="n">
        <x:v>0.0000116032</x:v>
      </x:c>
      <x:c r="J94" s="31" t="n">
        <x:v>0.0000116032</x:v>
      </x:c>
      <x:c r="K94" s="31" t="n">
        <x:v>0</x:v>
      </x:c>
      <x:c r="L94" s="31" t="n">
        <x:v>0.0000116032</x:v>
      </x:c>
      <x:c r="M94" s="31" t="n">
        <x:v>0</x:v>
      </x:c>
      <x:c r="N94" s="24" t="str">
        <x:v>boops boops</x:v>
      </x:c>
      <x:c r="O94" s="32" t="n">
        <x:v>2.79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Boops boops</x:v>
      </x:c>
      <x:c r="T94" s="32" t="n">
        <x:f>IF(O94="","",(1/'Metadata'!$B$5)^(O94-1))</x:f>
        <x:v>61.65950018614822</x:v>
      </x:c>
      <x:c r="U94" s="31" t="n">
        <x:f>IF(T94="","",I94*T94)</x:f>
        <x:v>0.000715447512559915</x:v>
      </x:c>
    </x:row>
    <x:row r="95" ht="18" customHeight="1">
      <x:c r="A95" s="24" t="str">
        <x:v>EEZ_204</x:v>
      </x:c>
      <x:c r="B95" s="24" t="str">
        <x:v>Benin</x:v>
      </x:c>
      <x:c r="C95" s="24" t="str">
        <x:v>EEZ</x:v>
      </x:c>
      <x:c r="D95" s="30" t="n">
        <x:v>2019</x:v>
      </x:c>
      <x:c r="E95" s="24" t="str">
        <x:v>Acanthocybium solandri</x:v>
      </x:c>
      <x:c r="F95" s="24" t="str">
        <x:v>Wahoo</x:v>
      </x:c>
      <x:c r="G95" s="24" t="str">
        <x:v>Large pelagics (&gt;=90 cm)</x:v>
      </x:c>
      <x:c r="H95" s="24" t="str">
        <x:v>Perch-likes</x:v>
      </x:c>
      <x:c r="I95" s="31" t="n">
        <x:v>0.0000116032</x:v>
      </x:c>
      <x:c r="J95" s="31" t="n">
        <x:v>0.0000116032</x:v>
      </x:c>
      <x:c r="K95" s="31" t="n">
        <x:v>0</x:v>
      </x:c>
      <x:c r="L95" s="31" t="n">
        <x:v>0.0000116032</x:v>
      </x:c>
      <x:c r="M95" s="31" t="n">
        <x:v>0</x:v>
      </x:c>
      <x:c r="N95" s="24" t="str">
        <x:v>acanthocybium solandri</x:v>
      </x:c>
      <x:c r="O95" s="32" t="n">
        <x:v>4.26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Acanthocybium solandri</x:v>
      </x:c>
      <x:c r="T95" s="32" t="n">
        <x:f>IF(O95="","",(1/'Metadata'!$B$5)^(O95-1))</x:f>
        <x:v>1819.7008586099826</x:v>
      </x:c>
      <x:c r="U95" s="31" t="n">
        <x:f>IF(T95="","",I95*T95)</x:f>
        <x:v>0.02111435300262335</x:v>
      </x:c>
    </x:row>
    <x:row r="96" ht="18" customHeight="1">
      <x:c r="A96" s="24" t="str">
        <x:v>EEZ_204</x:v>
      </x:c>
      <x:c r="B96" s="24" t="str">
        <x:v>Benin</x:v>
      </x:c>
      <x:c r="C96" s="24" t="str">
        <x:v>EEZ</x:v>
      </x:c>
      <x:c r="D96" s="30" t="n">
        <x:v>2019</x:v>
      </x:c>
      <x:c r="E96" s="24" t="str">
        <x:v>Gadiformes</x:v>
      </x:c>
      <x:c r="F96" s="24" t="str">
        <x:v>Cods</x:v>
      </x:c>
      <x:c r="G96" s="24" t="str">
        <x:v>Medium benthopelagics (30 - 89 cm)</x:v>
      </x:c>
      <x:c r="H96" s="24" t="str">
        <x:v>Cod-likes</x:v>
      </x:c>
      <x:c r="I96" s="31" t="n">
        <x:v>0.0000116032</x:v>
      </x:c>
      <x:c r="J96" s="31" t="n">
        <x:v>0.0000116032</x:v>
      </x:c>
      <x:c r="K96" s="31" t="n">
        <x:v>0</x:v>
      </x:c>
      <x:c r="L96" s="31" t="n">
        <x:v>0.0000116032</x:v>
      </x:c>
      <x:c r="M96" s="31" t="n">
        <x:v>0</x:v>
      </x:c>
      <x:c r="N96" s="24" t="str">
        <x:v>gadiformes</x:v>
      </x:c>
      <x:c r="O96" s="32" t="n">
        <x:v>3.91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Gadiformes</x:v>
      </x:c>
      <x:c r="T96" s="32" t="n">
        <x:f>IF(O96="","",(1/'Metadata'!$B$5)^(O96-1))</x:f>
        <x:v>812.8305161640995</x:v>
      </x:c>
      <x:c r="U96" s="31" t="n">
        <x:f>IF(T96="","",I96*T96)</x:f>
        <x:v>0.009431435045155279</x:v>
      </x:c>
    </x:row>
    <x:row r="97" ht="18" customHeight="1">
      <x:c r="A97" s="24" t="str">
        <x:v>EEZ_204</x:v>
      </x:c>
      <x:c r="B97" s="24" t="str">
        <x:v>Benin</x:v>
      </x:c>
      <x:c r="C97" s="24" t="str">
        <x:v>EEZ</x:v>
      </x:c>
      <x:c r="D97" s="30" t="n">
        <x:v>2019</x:v>
      </x:c>
      <x:c r="E97" s="24" t="str">
        <x:v>Trachinotus</x:v>
      </x:c>
      <x:c r="F97" s="24" t="str">
        <x:v>Pompanos</x:v>
      </x:c>
      <x:c r="G97" s="24" t="str">
        <x:v>Medium pelagics (30 - 89 cm)</x:v>
      </x:c>
      <x:c r="H97" s="24" t="str">
        <x:v>Perch-likes</x:v>
      </x:c>
      <x:c r="I97" s="31" t="n">
        <x:v>0.0000116032</x:v>
      </x:c>
      <x:c r="J97" s="31" t="n">
        <x:v>0.0000116032</x:v>
      </x:c>
      <x:c r="K97" s="31" t="n">
        <x:v>0</x:v>
      </x:c>
      <x:c r="L97" s="31" t="n">
        <x:v>0.0000116032</x:v>
      </x:c>
      <x:c r="M97" s="31" t="n">
        <x:v>0</x:v>
      </x:c>
      <x:c r="N97" s="24" t="str">
        <x:v>trachinotus</x:v>
      </x:c>
      <x:c r="O97" s="32" t="n">
        <x:v>3.69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Trachinotus</x:v>
      </x:c>
      <x:c r="T97" s="32" t="n">
        <x:f>IF(O97="","",(1/'Metadata'!$B$5)^(O97-1))</x:f>
        <x:v>489.77881936844614</x:v>
      </x:c>
      <x:c r="U97" s="31" t="n">
        <x:f>IF(T97="","",I97*T97)</x:f>
        <x:v>0.005683001596895954</x:v>
      </x:c>
    </x:row>
  </x:sheetData>
  <x:conditionalFormatting sqref="R2:R9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a0745a576cf43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0.0000116032</x:v>
      </x:c>
      <x:c r="C2" s="32" t="n">
        <x:v>3.91</x:v>
      </x:c>
      <x:c r="D2" s="32" t="n">
        <x:f>IF(C2="","",(1/'Metadata'!$B$5)^(C2-1))</x:f>
        <x:v>812.8305161640995</x:v>
      </x:c>
      <x:c r="E2" s="31" t="n">
        <x:f>IF(B2=0,"",B2*D2)</x:f>
        <x:v>0.009431435045155279</x:v>
      </x:c>
    </x:row>
    <x:row r="3" ht="18" customHeight="1">
      <x:c r="A3" s="24" t="str">
        <x:v>Flatfishes</x:v>
      </x:c>
      <x:c r="B3" s="31" t="n">
        <x:v>149.9124923242</x:v>
      </x:c>
      <x:c r="C3" s="32" t="n">
        <x:v>3.555588606036035</x:v>
      </x:c>
      <x:c r="D3" s="32" t="n">
        <x:f>IF(C3="","",(1/'Metadata'!$B$5)^(C3-1))</x:f>
        <x:v>359.40871689790487</x:v>
      </x:c>
      <x:c r="E3" s="31" t="n">
        <x:f>IF(B3=0,"",B3*D3)</x:f>
        <x:v>53879.856513207735</x:v>
      </x:c>
    </x:row>
    <x:row r="4" ht="18" customHeight="1">
      <x:c r="A4" s="24" t="str">
        <x:v>Herring-likes</x:v>
      </x:c>
      <x:c r="B4" s="31" t="n">
        <x:v>6766.1208021531</x:v>
      </x:c>
      <x:c r="C4" s="32" t="n">
        <x:v>2.90193190432382</x:v>
      </x:c>
      <x:c r="D4" s="32" t="n">
        <x:f>IF(C4="","",(1/'Metadata'!$B$5)^(C4-1))</x:f>
        <x:v>79.7869574630917</x:v>
      </x:c>
      <x:c r="E4" s="31" t="n">
        <x:f>IF(B4=0,"",B4*D4)</x:f>
        <x:v>539848.1926315293</x:v>
      </x:c>
    </x:row>
    <x:row r="5" ht="18" customHeight="1">
      <x:c r="A5" s="24" t="str">
        <x:v>Molluscs</x:v>
      </x:c>
      <x:c r="B5" s="31" t="n">
        <x:v>0.0008354291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0.09592009466688814</x:v>
      </x:c>
    </x:row>
    <x:row r="6" ht="18" customHeight="1">
      <x:c r="A6" s="24" t="str">
        <x:v>Other fishes &amp; inverts</x:v>
      </x:c>
      <x:c r="B6" s="31" t="n">
        <x:v>25919.544174090704</x:v>
      </x:c>
      <x:c r="C6" s="32" t="n">
        <x:v>3.3248156652085306</x:v>
      </x:c>
      <x:c r="D6" s="32" t="n">
        <x:f>IF(C6="","",(1/'Metadata'!$B$5)^(C6-1))</x:f>
        <x:v>211.25921670708462</x:v>
      </x:c>
      <x:c r="E6" s="31" t="n">
        <x:f>IF(B6=0,"",B6*D6)</x:f>
        <x:v>5475742.59962308</x:v>
      </x:c>
    </x:row>
    <x:row r="7" ht="18" customHeight="1">
      <x:c r="A7" s="24" t="str">
        <x:v>Perch-likes</x:v>
      </x:c>
      <x:c r="B7" s="31" t="n">
        <x:v>38343.563585141404</x:v>
      </x:c>
      <x:c r="C7" s="32" t="n">
        <x:v>3.6705320093522498</x:v>
      </x:c>
      <x:c r="D7" s="32" t="n">
        <x:f>IF(C7="","",(1/'Metadata'!$B$5)^(C7-1))</x:f>
        <x:v>468.30846642934927</x:v>
      </x:c>
      <x:c r="E7" s="31" t="n">
        <x:f>IF(B7=0,"",B7*D7)</x:f>
        <x:v>17956615.459993813</x:v>
      </x:c>
    </x:row>
    <x:row r="8" ht="18" customHeight="1">
      <x:c r="A8" s="24" t="str">
        <x:v>Scorpionfishes</x:v>
      </x:c>
      <x:c r="B8" s="31" t="n">
        <x:v>0.0000928254</x:v>
      </x:c>
      <x:c r="C8" s="32" t="n">
        <x:v>3.5400000000000005</x:v>
      </x:c>
      <x:c r="D8" s="32" t="n">
        <x:f>IF(C8="","",(1/'Metadata'!$B$5)^(C8-1))</x:f>
        <x:v>346.736850452532</x:v>
      </x:c>
      <x:c r="E8" s="31" t="n">
        <x:f>IF(B8=0,"",B8*D8)</x:f>
        <x:v>0.032185986837996464</x:v>
      </x:c>
    </x:row>
    <x:row r="9" ht="18" customHeight="1">
      <x:c r="A9" s="24" t="str">
        <x:v>Sharks &amp; rays</x:v>
      </x:c>
      <x:c r="B9" s="31" t="n">
        <x:v>3510.0627306585006</x:v>
      </x:c>
      <x:c r="C9" s="32" t="n">
        <x:v>4.087996389730353</x:v>
      </x:c>
      <x:c r="D9" s="32" t="n">
        <x:f>IF(C9="","",(1/'Metadata'!$B$5)^(C9-1))</x:f>
        <x:v>1224.6060191303688</x:v>
      </x:c>
      <x:c r="E9" s="31" t="n">
        <x:f>IF(B9=0,"",B9*D9)</x:f>
        <x:v>4298443.947489578</x:v>
      </x:c>
    </x:row>
    <x:row r="10" ht="18" customHeight="1">
      <x:c r="A10" s="24" t="str">
        <x:v>Tuna &amp; billfishes</x:v>
      </x:c>
      <x:c r="B10" s="31" t="n">
        <x:v>9298.438824361298</x:v>
      </x:c>
      <x:c r="C10" s="32" t="n">
        <x:v>4.423026150603514</x:v>
      </x:c>
      <x:c r="D10" s="32" t="n">
        <x:f>IF(C10="","",(1/'Metadata'!$B$5)^(C10-1))</x:f>
        <x:v>2648.659620168557</x:v>
      </x:c>
      <x:c r="E10" s="31" t="n">
        <x:f>IF(B10=0,"",B10*D10)</x:f>
        <x:v>24628399.444693357</x:v>
      </x:c>
    </x:row>
  </x:sheetData>
  <x:pageMargins left="0.7" right="0.7" top="0.75" bottom="0.75" header="0.3" footer="0.3"/>
  <x:tableParts count="1">
    <x:tablePart xmlns:r="http://schemas.openxmlformats.org/officeDocument/2006/relationships" r:id="R2b6d4f2631844a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4.564167924</x:v>
      </x:c>
      <x:c r="C2" s="32" t="n">
        <x:v>3.9834350261342393</x:v>
      </x:c>
      <x:c r="D2" s="32" t="n">
        <x:f>IF(C2="","",(1/'Metadata'!$B$5)^(C2-1))</x:f>
        <x:v>962.5759932709766</x:v>
      </x:c>
      <x:c r="E2" s="31" t="n">
        <x:f>IF(B2=0,"",B2*D2)</x:f>
        <x:v>4393.358472899831</x:v>
      </x:c>
    </x:row>
    <x:row r="3" ht="18" customHeight="1">
      <x:c r="A3" s="24" t="str">
        <x:v>Large benthopelagics (&gt;=90 cm)</x:v>
      </x:c>
      <x:c r="B3" s="31" t="n">
        <x:v>950.5952111048999</x:v>
      </x:c>
      <x:c r="C3" s="32" t="n">
        <x:v>4.32278027711236</x:v>
      </x:c>
      <x:c r="D3" s="32" t="n">
        <x:f>IF(C3="","",(1/'Metadata'!$B$5)^(C3-1))</x:f>
        <x:v>2102.7143429843804</x:v>
      </x:c>
      <x:c r="E3" s="31" t="n">
        <x:f>IF(B3=0,"",B3*D3)</x:f>
        <x:v>1998830.1847625382</x:v>
      </x:c>
    </x:row>
    <x:row r="4" ht="18" customHeight="1">
      <x:c r="A4" s="24" t="str">
        <x:v>Large demersals (&gt;=90 cm)</x:v>
      </x:c>
      <x:c r="B4" s="31" t="n">
        <x:v>4234.6532672812</x:v>
      </x:c>
      <x:c r="C4" s="32" t="n">
        <x:v>3.7937845318170247</x:v>
      </x:c>
      <x:c r="D4" s="32" t="n">
        <x:f>IF(C4="","",(1/'Metadata'!$B$5)^(C4-1))</x:f>
        <x:v>621.991617524236</x:v>
      </x:c>
      <x:c r="E4" s="31" t="n">
        <x:f>IF(B4=0,"",B4*D4)</x:f>
        <x:v>2633918.8353705243</x:v>
      </x:c>
    </x:row>
    <x:row r="5" ht="18" customHeight="1">
      <x:c r="A5" s="24" t="str">
        <x:v>Large pelagics (&gt;=90 cm)</x:v>
      </x:c>
      <x:c r="B5" s="31" t="n">
        <x:v>17366.718688795</x:v>
      </x:c>
      <x:c r="C5" s="32" t="n">
        <x:v>4.393998568693968</x:v>
      </x:c>
      <x:c r="D5" s="32" t="n">
        <x:f>IF(C5="","",(1/'Metadata'!$B$5)^(C5-1))</x:f>
        <x:v>2477.4138927971226</x:v>
      </x:c>
      <x:c r="E5" s="31" t="n">
        <x:f>IF(B5=0,"",B5*D5)</x:f>
        <x:v>43024550.15192016</x:v>
      </x:c>
    </x:row>
    <x:row r="6" ht="18" customHeight="1">
      <x:c r="A6" s="24" t="str">
        <x:v>Large rays (&gt;=90 cm)</x:v>
      </x:c>
      <x:c r="B6" s="31" t="n">
        <x:v>742.7031277058</x:v>
      </x:c>
      <x:c r="C6" s="32" t="n">
        <x:v>3.681428998054196</x:v>
      </x:c>
      <x:c r="D6" s="32" t="n">
        <x:f>IF(C6="","",(1/'Metadata'!$B$5)^(C6-1))</x:f>
        <x:v>480.20756563672074</x:v>
      </x:c>
      <x:c r="E6" s="31" t="n">
        <x:f>IF(B6=0,"",B6*D6)</x:f>
        <x:v>356651.6609463807</x:v>
      </x:c>
    </x:row>
    <x:row r="7" ht="18" customHeight="1">
      <x:c r="A7" s="24" t="str">
        <x:v>Large reef assoc. fish (&gt;=90 cm)</x:v>
      </x:c>
      <x:c r="B7" s="31" t="n">
        <x:v>5065.5413038569</x:v>
      </x:c>
      <x:c r="C7" s="32" t="n">
        <x:v>2.467023355497854</x:v>
      </x:c>
      <x:c r="D7" s="32" t="n">
        <x:f>IF(C7="","",(1/'Metadata'!$B$5)^(C7-1))</x:f>
        <x:v>29.310508671276516</x:v>
      </x:c>
      <x:c r="E7" s="31" t="n">
        <x:f>IF(B7=0,"",B7*D7)</x:f>
        <x:v>148473.59231140703</x:v>
      </x:c>
    </x:row>
    <x:row r="8" ht="18" customHeight="1">
      <x:c r="A8" s="24" t="str">
        <x:v>Large sharks (&gt;=90 cm)</x:v>
      </x:c>
      <x:c r="B8" s="31" t="n">
        <x:v>2708.2929362861</x:v>
      </x:c>
      <x:c r="C8" s="32" t="n">
        <x:v>4.211005926738301</x:v>
      </x:c>
      <x:c r="D8" s="32" t="n">
        <x:f>IF(C8="","",(1/'Metadata'!$B$5)^(C8-1))</x:f>
        <x:v>1625.5709394719247</x:v>
      </x:c>
      <x:c r="E8" s="31" t="n">
        <x:f>IF(B8=0,"",B8*D8)</x:f>
        <x:v>4402522.292803773</x:v>
      </x:c>
    </x:row>
    <x:row r="9" ht="18" customHeight="1">
      <x:c r="A9" s="24" t="str">
        <x:v>Medium bathydemersals (30 - 89 cm)</x:v>
      </x:c>
      <x:c r="B9" s="31" t="n">
        <x:v>0.0000928254</x:v>
      </x:c>
      <x:c r="C9" s="32" t="n">
        <x:v>3.5400000000000005</x:v>
      </x:c>
      <x:c r="D9" s="32" t="n">
        <x:f>IF(C9="","",(1/'Metadata'!$B$5)^(C9-1))</x:f>
        <x:v>346.736850452532</x:v>
      </x:c>
      <x:c r="E9" s="31" t="n">
        <x:f>IF(B9=0,"",B9*D9)</x:f>
        <x:v>0.032185986837996464</x:v>
      </x:c>
    </x:row>
    <x:row r="10" ht="18" customHeight="1">
      <x:c r="A10" s="24" t="str">
        <x:v>Medium bathypelagics (30 - 89 cm)</x:v>
      </x:c>
      <x:c r="B10" s="31" t="n">
        <x:v>0.0000116032</x:v>
      </x:c>
      <x:c r="C10" s="32" t="n">
        <x:v>4.08</x:v>
      </x:c>
      <x:c r="D10" s="32" t="n">
        <x:f>IF(C10="","",(1/'Metadata'!$B$5)^(C10-1))</x:f>
        <x:v>1202.2644346174131</x:v>
      </x:c>
      <x:c r="E10" s="31" t="n">
        <x:f>IF(B10=0,"",B10*D10)</x:f>
        <x:v>0.013950114687752768</x:v>
      </x:c>
    </x:row>
    <x:row r="11" ht="18" customHeight="1">
      <x:c r="A11" s="24" t="str">
        <x:v>Medium benthopelagics (30 - 89 cm)</x:v>
      </x:c>
      <x:c r="B11" s="31" t="n">
        <x:v>2041.0146538962</x:v>
      </x:c>
      <x:c r="C11" s="32" t="n">
        <x:v>3.928295831824218</x:v>
      </x:c>
      <x:c r="D11" s="32" t="n">
        <x:f>IF(C11="","",(1/'Metadata'!$B$5)^(C11-1))</x:f>
        <x:v>847.8047233752917</x:v>
      </x:c>
      <x:c r="E11" s="31" t="n">
        <x:f>IF(B11=0,"",B11*D11)</x:f>
        <x:v>1730381.8640513844</x:v>
      </x:c>
    </x:row>
    <x:row r="12" ht="18" customHeight="1">
      <x:c r="A12" s="24" t="str">
        <x:v>Medium demersals (30 - 89 cm)</x:v>
      </x:c>
      <x:c r="B12" s="31" t="n">
        <x:v>29843.0545776992</x:v>
      </x:c>
      <x:c r="C12" s="32" t="n">
        <x:v>3.341261320298741</x:v>
      </x:c>
      <x:c r="D12" s="32" t="n">
        <x:f>IF(C12="","",(1/'Metadata'!$B$5)^(C12-1))</x:f>
        <x:v>219.41247699262036</x:v>
      </x:c>
      <x:c r="E12" s="31" t="n">
        <x:f>IF(B12=0,"",B12*D12)</x:f>
        <x:v>6547938.525918939</x:v>
      </x:c>
    </x:row>
    <x:row r="13" ht="18" customHeight="1">
      <x:c r="A13" s="24" t="str">
        <x:v>Medium pelagics (30 - 89 cm)</x:v>
      </x:c>
      <x:c r="B13" s="31" t="n">
        <x:v>14386.089252817103</x:v>
      </x:c>
      <x:c r="C13" s="32" t="n">
        <x:v>3.61819660788827</x:v>
      </x:c>
      <x:c r="D13" s="32" t="n">
        <x:f>IF(C13="","",(1/'Metadata'!$B$5)^(C13-1))</x:f>
        <x:v>415.1419375095351</x:v>
      </x:c>
      <x:c r="E13" s="31" t="n">
        <x:f>IF(B13=0,"",B13*D13)</x:f>
        <x:v>5972268.965599593</x:v>
      </x:c>
    </x:row>
    <x:row r="14" ht="18" customHeight="1">
      <x:c r="A14" s="24" t="str">
        <x:v>Medium reef assoc. fish (30 - 89 cm)</x:v>
      </x:c>
      <x:c r="B14" s="31" t="n">
        <x:v>1610.6055926607</x:v>
      </x:c>
      <x:c r="C14" s="32" t="n">
        <x:v>4.065508117080563</x:v>
      </x:c>
      <x:c r="D14" s="32" t="n">
        <x:f>IF(C14="","",(1/'Metadata'!$B$5)^(C14-1))</x:f>
        <x:v>1162.8082839995352</x:v>
      </x:c>
      <x:c r="E14" s="31" t="n">
        <x:f>IF(B14=0,"",B14*D14)</x:f>
        <x:v>1872825.525401843</x:v>
      </x:c>
    </x:row>
    <x:row r="15" ht="18" customHeight="1">
      <x:c r="A15" s="24" t="str">
        <x:v>Other demersal invertebrates</x:v>
      </x:c>
      <x:c r="B15" s="31" t="n">
        <x:v>0.0008354291</x:v>
      </x:c>
      <x:c r="C15" s="32" t="n">
        <x:v>3.06</x:v>
      </x:c>
      <x:c r="D15" s="32" t="n">
        <x:f>IF(C15="","",(1/'Metadata'!$B$5)^(C15-1))</x:f>
        <x:v>114.81536214968828</x:v>
      </x:c>
      <x:c r="E15" s="31" t="n">
        <x:f>IF(B15=0,"",B15*D15)</x:f>
        <x:v>0.09592009466688814</x:v>
      </x:c>
    </x:row>
    <x:row r="16" ht="18" customHeight="1">
      <x:c r="A16" s="24" t="str">
        <x:v>Small demersals (&lt;30 cm)</x:v>
      </x:c>
      <x:c r="B16" s="31" t="n">
        <x:v>3676.6539409941</x:v>
      </x:c>
      <x:c r="C16" s="32" t="n">
        <x:v>2.462248023209906</x:v>
      </x:c>
      <x:c r="D16" s="32" t="n">
        <x:f>IF(C16="","",(1/'Metadata'!$B$5)^(C16-1))</x:f>
        <x:v>28.989987173944883</x:v>
      </x:c>
      <x:c r="E16" s="31" t="n">
        <x:f>IF(B16=0,"",B16*D16)</x:f>
        <x:v>106586.15059245288</x:v>
      </x:c>
    </x:row>
    <x:row r="17" ht="18" customHeight="1">
      <x:c r="A17" s="24" t="str">
        <x:v>Small pelagics (&lt;30 cm)</x:v>
      </x:c>
      <x:c r="B17" s="31" t="n">
        <x:v>1103.9871354144</x:v>
      </x:c>
      <x:c r="C17" s="32" t="n">
        <x:v>2.8633435981962108</x:v>
      </x:c>
      <x:c r="D17" s="32" t="n">
        <x:f>IF(C17="","",(1/'Metadata'!$B$5)^(C17-1))</x:f>
        <x:v>73.00348591966635</x:v>
      </x:c>
      <x:c r="E17" s="31" t="n">
        <x:f>IF(B17=0,"",B17*D17)</x:f>
        <x:v>80594.90929571794</x:v>
      </x:c>
    </x:row>
    <x:row r="18" ht="18" customHeight="1">
      <x:c r="A18" s="24" t="str">
        <x:v>Small reef assoc. fish (&lt;30 cm)</x:v>
      </x:c>
      <x:c r="B18" s="31" t="n">
        <x:v>44.1895933028</x:v>
      </x:c>
      <x:c r="C18" s="32" t="n">
        <x:v>3.11</x:v>
      </x:c>
      <x:c r="D18" s="32" t="n">
        <x:f>IF(C18="","",(1/'Metadata'!$B$5)^(C18-1))</x:f>
        <x:v>128.82495516931337</x:v>
      </x:c>
      <x:c r="E18" s="31" t="n">
        <x:f>IF(B18=0,"",B18*D18)</x:f>
        <x:v>5692.7223761834</x:v>
      </x:c>
    </x:row>
    <x:row r="19" ht="18" customHeight="1">
      <x:c r="A19" s="24" t="str">
        <x:v>Small to medium flatfishes (&lt;90 cm)</x:v>
      </x:c>
      <x:c r="B19" s="31" t="n">
        <x:v>149.9124923242</x:v>
      </x:c>
      <x:c r="C19" s="32" t="n">
        <x:v>3.555588606036035</x:v>
      </x:c>
      <x:c r="D19" s="32" t="n">
        <x:f>IF(C19="","",(1/'Metadata'!$B$5)^(C19-1))</x:f>
        <x:v>359.40871689790487</x:v>
      </x:c>
      <x:c r="E19" s="31" t="n">
        <x:f>IF(B19=0,"",B19*D19)</x:f>
        <x:v>53879.856513207735</x:v>
      </x:c>
    </x:row>
    <x:row r="20" ht="18" customHeight="1">
      <x:c r="A20" s="24" t="str">
        <x:v>Small to medium rays (&lt;90 cm)</x:v>
      </x:c>
      <x:c r="B20" s="31" t="n">
        <x:v>59.0666666666</x:v>
      </x:c>
      <x:c r="C20" s="32" t="n">
        <x:v>3.56</x:v>
      </x:c>
      <x:c r="D20" s="32" t="n">
        <x:f>IF(C20="","",(1/'Metadata'!$B$5)^(C20-1))</x:f>
        <x:v>363.0780547701014</x:v>
      </x:c>
      <x:c r="E20" s="31" t="n">
        <x:f>IF(B20=0,"",B20*D20)</x:f>
        <x:v>21445.81043506312</x:v>
      </x:c>
    </x:row>
  </x:sheetData>
  <x:pageMargins left="0.7" right="0.7" top="0.75" bottom="0.75" header="0.3" footer="0.3"/>
  <x:tableParts count="1">
    <x:tablePart xmlns:r="http://schemas.openxmlformats.org/officeDocument/2006/relationships" r:id="R17fd13fc3849465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EEZ_204</x:v>
      </x:c>
      <x:c r="B2" s="24" t="str">
        <x:v>raw_filtered_tonnes</x:v>
      </x:c>
      <x:c r="C2" s="24" t="n">
        <x:v>83987.6435485869</x:v>
      </x:c>
      <x:c r="D2" s="24" t="str">
        <x:v>tonnes</x:v>
      </x:c>
    </x:row>
    <x:row r="3" ht="18" customHeight="1">
      <x:c r="A3" s="24" t="str">
        <x:v>EEZ_204</x:v>
      </x:c>
      <x:c r="B3" s="24" t="str">
        <x:v>species_catch_tonnes</x:v>
      </x:c>
      <x:c r="C3" s="24" t="n">
        <x:v>83987.6435485869</x:v>
      </x:c>
      <x:c r="D3" s="24" t="str">
        <x:v>tonnes</x:v>
      </x:c>
    </x:row>
    <x:row r="4" ht="18" customHeight="1">
      <x:c r="A4" s="24" t="str">
        <x:v>EEZ_204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EEZ_204</x:v>
      </x:c>
      <x:c r="B6" s="24" t="str">
        <x:v>matched_catch_tonnes</x:v>
      </x:c>
      <x:c r="C6" s="24" t="n">
        <x:v>83987.6435485869</x:v>
      </x:c>
      <x:c r="D6" s="24" t="str">
        <x:v>tonnes</x:v>
      </x:c>
    </x:row>
    <x:row r="7" ht="18" customHeight="1">
      <x:c r="A7" s="24" t="str">
        <x:v>EEZ_204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EEZ_204</x:v>
      </x:c>
      <x:c r="B8" s="24" t="str">
        <x:v>taxa_count</x:v>
      </x:c>
      <x:c r="C8" s="24" t="n">
        <x:v>96</x:v>
      </x:c>
      <x:c r="D8" s="24" t="str">
        <x:v>count</x:v>
      </x:c>
    </x:row>
    <x:row r="9" ht="18" customHeight="1">
      <x:c r="A9" s="24" t="str">
        <x:v>EEZ_204</x:v>
      </x:c>
      <x:c r="B9" s="24" t="str">
        <x:v>matched_taxa_count</x:v>
      </x:c>
      <x:c r="C9" s="24" t="n">
        <x:v>96</x:v>
      </x:c>
      <x:c r="D9" s="24" t="str">
        <x:v>count</x:v>
      </x:c>
    </x:row>
    <x:row r="10" ht="18" customHeight="1">
      <x:c r="A10" s="24" t="str">
        <x:v>EEZ_204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EEZ_204</x:v>
      </x:c>
      <x:c r="B11" s="24" t="str">
        <x:v>species_ppr</x:v>
      </x:c>
      <x:c r="C11" s="24" t="n">
        <x:v>78537967.78151909</x:v>
      </x:c>
      <x:c r="D11" s="24" t="str">
        <x:v>tonnes_primary_production_equivalent</x:v>
      </x:c>
    </x:row>
    <x:row r="12" ht="18" customHeight="1">
      <x:c r="A12" s="24" t="str">
        <x:v>EEZ_204</x:v>
      </x:c>
      <x:c r="B12" s="24" t="str">
        <x:v>commercial_ppr</x:v>
      </x:c>
      <x:c r="C12" s="24" t="n">
        <x:v>52952929.63848208</x:v>
      </x:c>
      <x:c r="D12" s="24" t="str">
        <x:v>tonnes_primary_production_equivalent</x:v>
      </x:c>
    </x:row>
    <x:row r="13" ht="18" customHeight="1">
      <x:c r="A13" s="24" t="str">
        <x:v>EEZ_204</x:v>
      </x:c>
      <x:c r="B13" s="24" t="str">
        <x:v>functional_ppr</x:v>
      </x:c>
      <x:c r="C13" s="24" t="n">
        <x:v>68960954.54882826</x:v>
      </x:c>
      <x:c r="D13" s="24" t="str">
        <x:v>tonnes_primary_production_equivalent</x:v>
      </x:c>
    </x:row>
    <x:row r="14" ht="18" customHeight="1">
      <x:c r="A14" s="24" t="str">
        <x:v>EEZ_204</x:v>
      </x:c>
      <x:c r="B14" s="24" t="str">
        <x:v>commercial_ppr_difference</x:v>
      </x:c>
      <x:c r="C14" s="24" t="n">
        <x:v>-25585038.143037006</x:v>
      </x:c>
      <x:c r="D14" s="24" t="str">
        <x:v>tonnes_primary_production_equivalent</x:v>
      </x:c>
    </x:row>
    <x:row r="15" ht="18" customHeight="1">
      <x:c r="A15" s="24" t="str">
        <x:v>EEZ_204</x:v>
      </x:c>
      <x:c r="B15" s="24" t="str">
        <x:v>functional_ppr_difference</x:v>
      </x:c>
      <x:c r="C15" s="24" t="n">
        <x:v>-9577013.232690826</x:v>
      </x:c>
      <x:c r="D15" s="24" t="str">
        <x:v>tonnes_primary_production_equivalent</x:v>
      </x:c>
    </x:row>
    <x:row r="16" ht="18" customHeight="1">
      <x:c r="A16" s="24" t="str">
        <x:v>EEZ_204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11b0e793be043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EEZ_204 - Benin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