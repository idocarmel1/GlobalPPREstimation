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ce78a67af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035d1e0a9dc492a"/>
    <x:sheet xmlns:r="http://schemas.openxmlformats.org/officeDocument/2006/relationships" name="Commercial" sheetId="2" r:id="Rfe17b21cf6b94bd7"/>
    <x:sheet xmlns:r="http://schemas.openxmlformats.org/officeDocument/2006/relationships" name="Functional" sheetId="3" r:id="Rf0976f88523443c0"/>
    <x:sheet xmlns:r="http://schemas.openxmlformats.org/officeDocument/2006/relationships" name="Missing TL" sheetId="4" r:id="Rb0a73d3375544629"/>
    <x:sheet xmlns:r="http://schemas.openxmlformats.org/officeDocument/2006/relationships" name="Validation" sheetId="5" r:id="R2f7d70fc20e04a57"/>
    <x:sheet xmlns:r="http://schemas.openxmlformats.org/officeDocument/2006/relationships" name="Metadata" sheetId="6" r:id="Rbd0a71be3438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f325574a846e5" /><Relationship Type="http://schemas.openxmlformats.org/officeDocument/2006/relationships/theme" Target="/xl/theme/theme1.xml" Id="R0dfa9144d04f4ec1" /><Relationship Type="http://schemas.microsoft.com/office/2022/11/relationships/FeaturePropertyBag" Target="/xl/featurePropertyBag/featurePropertyBag.xml" Id="R21daa27bd3044bf7" /><Relationship Type="http://schemas.openxmlformats.org/officeDocument/2006/relationships/sharedStrings" Target="/xl/sharedStrings.xml" Id="R3a405d9975ac4aac" /><Relationship Type="http://schemas.openxmlformats.org/officeDocument/2006/relationships/worksheet" Target="/xl/worksheets/sheet1.xml" Id="R2035d1e0a9dc492a" /><Relationship Type="http://schemas.openxmlformats.org/officeDocument/2006/relationships/worksheet" Target="/xl/worksheets/sheet2.xml" Id="Rfe17b21cf6b94bd7" /><Relationship Type="http://schemas.openxmlformats.org/officeDocument/2006/relationships/worksheet" Target="/xl/worksheets/sheet3.xml" Id="Rf0976f88523443c0" /><Relationship Type="http://schemas.openxmlformats.org/officeDocument/2006/relationships/worksheet" Target="/xl/worksheets/sheet4.xml" Id="Rb0a73d3375544629" /><Relationship Type="http://schemas.openxmlformats.org/officeDocument/2006/relationships/worksheet" Target="/xl/worksheets/sheet5.xml" Id="R2f7d70fc20e04a57" /><Relationship Type="http://schemas.openxmlformats.org/officeDocument/2006/relationships/worksheet" Target="/xl/worksheets/sheet6.xml" Id="Rbd0a71be343848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2SpeciesTable" displayName="EEZ212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2CommercialTable" displayName="EEZ212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2FunctionalTable" displayName="EEZ212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2ValidationTable" displayName="EEZ2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c45512aa2245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45d1ee23fa4c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28ea357225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da92bbc85a45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EEZ_212</x:v>
      </x:c>
      <x:c r="B2" s="24" t="str">
        <x:v>Dominica</x:v>
      </x:c>
      <x:c r="C2" s="24" t="str">
        <x:v>EEZ</x:v>
      </x:c>
      <x:c r="D2" s="30" t="n">
        <x:v>2019</x:v>
      </x:c>
      <x:c r="E2" s="24" t="str">
        <x:v>Coryphaena hippurus</x:v>
      </x:c>
      <x:c r="F2" s="24" t="str">
        <x:v>Common dolphinfish</x:v>
      </x:c>
      <x:c r="G2" s="24" t="str">
        <x:v>Large pelagics (&gt;=90 cm)</x:v>
      </x:c>
      <x:c r="H2" s="24" t="str">
        <x:v>Perch-likes</x:v>
      </x:c>
      <x:c r="I2" s="31" t="n">
        <x:v>348.19327477</x:v>
      </x:c>
      <x:c r="J2" s="31" t="n">
        <x:v>348.19327477</x:v>
      </x:c>
      <x:c r="K2" s="31" t="n">
        <x:v>0</x:v>
      </x:c>
      <x:c r="L2" s="31" t="n">
        <x:v>279.86573593</x:v>
      </x:c>
      <x:c r="M2" s="31" t="n">
        <x:v>68.32753884</x:v>
      </x:c>
      <x:c r="N2" s="24" t="str">
        <x:v>coryphaena hippurus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Coryphaena hippurus</x:v>
      </x:c>
      <x:c r="T2" s="32" t="n">
        <x:f>IF(O2="","",(1/'Metadata'!$B$5)^(O2-1))</x:f>
        <x:v>2344.228815319923</x:v>
      </x:c>
      <x:c r="U2" s="31" t="n">
        <x:f>IF(T2="","",I2*T2)</x:f>
        <x:v>816244.7080164416</x:v>
      </x:c>
    </x:row>
    <x:row r="3" ht="18" customHeight="1">
      <x:c r="A3" s="24" t="str">
        <x:v>EEZ_212</x:v>
      </x:c>
      <x:c r="B3" s="24" t="str">
        <x:v>Dominica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264.4461752237</x:v>
      </x:c>
      <x:c r="J3" s="31" t="n">
        <x:v>244.20940076629998</x:v>
      </x:c>
      <x:c r="K3" s="31" t="n">
        <x:v>20.2367744574</x:v>
      </x:c>
      <x:c r="L3" s="31" t="n">
        <x:v>82.3291031783</x:v>
      </x:c>
      <x:c r="M3" s="31" t="n">
        <x:v>182.1170720454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50389.17989043858</x:v>
      </x:c>
    </x:row>
    <x:row r="4" ht="18" customHeight="1">
      <x:c r="A4" s="24" t="str">
        <x:v>EEZ_212</x:v>
      </x:c>
      <x:c r="B4" s="24" t="str">
        <x:v>Dominica</x:v>
      </x:c>
      <x:c r="C4" s="24" t="str">
        <x:v>EEZ</x:v>
      </x:c>
      <x:c r="D4" s="30" t="n">
        <x:v>2019</x:v>
      </x:c>
      <x:c r="E4" s="24" t="str">
        <x:v>Makaira nigricans</x:v>
      </x:c>
      <x:c r="F4" s="24" t="str">
        <x:v>Blue marlin</x:v>
      </x:c>
      <x:c r="G4" s="24" t="str">
        <x:v>Large pelagics (&gt;=90 cm)</x:v>
      </x:c>
      <x:c r="H4" s="24" t="str">
        <x:v>Tuna &amp; billfishes</x:v>
      </x:c>
      <x:c r="I4" s="31" t="n">
        <x:v>215.2420886327</x:v>
      </x:c>
      <x:c r="J4" s="31" t="n">
        <x:v>215.2420886327</x:v>
      </x:c>
      <x:c r="K4" s="31" t="n">
        <x:v>0</x:v>
      </x:c>
      <x:c r="L4" s="31" t="n">
        <x:v>44.555338406699995</x:v>
      </x:c>
      <x:c r="M4" s="31" t="n">
        <x:v>170.68675022600002</x:v>
      </x:c>
      <x:c r="N4" s="24" t="str">
        <x:v>makaira nigricans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Makaira nigricans</x:v>
      </x:c>
      <x:c r="T4" s="32" t="n">
        <x:f>IF(O4="","",(1/'Metadata'!$B$5)^(O4-1))</x:f>
        <x:v>3090.295432513592</x:v>
      </x:c>
      <x:c r="U4" s="31" t="n">
        <x:f>IF(T4="","",I4*T4)</x:f>
        <x:v>665161.6433863185</x:v>
      </x:c>
    </x:row>
    <x:row r="5" ht="18" customHeight="1">
      <x:c r="A5" s="24" t="str">
        <x:v>EEZ_212</x:v>
      </x:c>
      <x:c r="B5" s="24" t="str">
        <x:v>Dominica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193.478229714</x:v>
      </x:c>
      <x:c r="J5" s="31" t="n">
        <x:v>193.478229714</x:v>
      </x:c>
      <x:c r="K5" s="31" t="n">
        <x:v>0</x:v>
      </x:c>
      <x:c r="L5" s="31" t="n">
        <x:v>193.478229714</x:v>
      </x:c>
      <x:c r="M5" s="31" t="n">
        <x:v>0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497315.62571445125</x:v>
      </x:c>
    </x:row>
    <x:row r="6" ht="18" customHeight="1">
      <x:c r="A6" s="24" t="str">
        <x:v>EEZ_212</x:v>
      </x:c>
      <x:c r="B6" s="24" t="str">
        <x:v>Dominica</x:v>
      </x:c>
      <x:c r="C6" s="24" t="str">
        <x:v>EEZ</x:v>
      </x:c>
      <x:c r="D6" s="30" t="n">
        <x:v>2019</x:v>
      </x:c>
      <x:c r="E6" s="24" t="str">
        <x:v>Hemiramphus brasiliensis</x:v>
      </x:c>
      <x:c r="F6" s="24" t="str">
        <x:v>Ballyhoo halfbeak</x:v>
      </x:c>
      <x:c r="G6" s="24" t="str">
        <x:v>Medium pelagics (30 - 89 cm)</x:v>
      </x:c>
      <x:c r="H6" s="24" t="str">
        <x:v>Other fishes &amp; inverts</x:v>
      </x:c>
      <x:c r="I6" s="31" t="n">
        <x:v>170.983735022</x:v>
      </x:c>
      <x:c r="J6" s="31" t="n">
        <x:v>170.983735022</x:v>
      </x:c>
      <x:c r="K6" s="31" t="n">
        <x:v>0</x:v>
      </x:c>
      <x:c r="L6" s="31" t="n">
        <x:v>75.842185132</x:v>
      </x:c>
      <x:c r="M6" s="31" t="n">
        <x:v>95.14154989</x:v>
      </x:c>
      <x:c r="N6" s="24" t="str">
        <x:v>hemiramphus brasiliensis</x:v>
      </x:c>
      <x:c r="O6" s="32" t="n">
        <x:v>2.28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Hemiramphus brasiliensis</x:v>
      </x:c>
      <x:c r="T6" s="32" t="n">
        <x:f>IF(O6="","",(1/'Metadata'!$B$5)^(O6-1))</x:f>
        <x:v>19.054607179632463</x:v>
      </x:c>
      <x:c r="U6" s="31" t="n">
        <x:f>IF(T6="","",I6*T6)</x:f>
        <x:v>3258.0279049505757</x:v>
      </x:c>
    </x:row>
    <x:row r="7" ht="18" customHeight="1">
      <x:c r="A7" s="24" t="str">
        <x:v>EEZ_212</x:v>
      </x:c>
      <x:c r="B7" s="24" t="str">
        <x:v>Dominica</x:v>
      </x:c>
      <x:c r="C7" s="24" t="str">
        <x:v>EEZ</x:v>
      </x:c>
      <x:c r="D7" s="30" t="n">
        <x:v>2019</x:v>
      </x:c>
      <x:c r="E7" s="24" t="str">
        <x:v>Thunnus</x:v>
      </x:c>
      <x:c r="F7" s="24" t="str">
        <x:v>Tunas</x:v>
      </x:c>
      <x:c r="G7" s="24" t="str">
        <x:v>Large pelagics (&gt;=90 cm)</x:v>
      </x:c>
      <x:c r="H7" s="24" t="str">
        <x:v>Tuna &amp; billfishes</x:v>
      </x:c>
      <x:c r="I7" s="31" t="n">
        <x:v>155.9674938999</x:v>
      </x:c>
      <x:c r="J7" s="31" t="n">
        <x:v>155.9674938999</x:v>
      </x:c>
      <x:c r="K7" s="31" t="n">
        <x:v>0</x:v>
      </x:c>
      <x:c r="L7" s="31" t="n">
        <x:v>47.8604776999</x:v>
      </x:c>
      <x:c r="M7" s="31" t="n">
        <x:v>108.1070162</x:v>
      </x:c>
      <x:c r="N7" s="24" t="str">
        <x:v>thunnus</x:v>
      </x:c>
      <x:c r="O7" s="32" t="n">
        <x:v>4.34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Thunnus</x:v>
      </x:c>
      <x:c r="T7" s="32" t="n">
        <x:f>IF(O7="","",(1/'Metadata'!$B$5)^(O7-1))</x:f>
        <x:v>2187.761623949552</x:v>
      </x:c>
      <x:c r="U7" s="31" t="n">
        <x:f>IF(T7="","",I7*T7)</x:f>
        <x:v>341219.6977377871</x:v>
      </x:c>
    </x:row>
    <x:row r="8" ht="18" customHeight="1">
      <x:c r="A8" s="24" t="str">
        <x:v>EEZ_212</x:v>
      </x:c>
      <x:c r="B8" s="24" t="str">
        <x:v>Dominica</x:v>
      </x:c>
      <x:c r="C8" s="24" t="str">
        <x:v>EEZ</x:v>
      </x:c>
      <x:c r="D8" s="30" t="n">
        <x:v>2019</x:v>
      </x:c>
      <x:c r="E8" s="24" t="str">
        <x:v>Balistidae</x:v>
      </x:c>
      <x:c r="F8" s="24" t="str">
        <x:v>Triggerfishes</x:v>
      </x:c>
      <x:c r="G8" s="24" t="str">
        <x:v>Medium reef assoc. fish (30 - 89 cm)</x:v>
      </x:c>
      <x:c r="H8" s="24" t="str">
        <x:v>Other fishes &amp; inverts</x:v>
      </x:c>
      <x:c r="I8" s="31" t="n">
        <x:v>66.323354159</x:v>
      </x:c>
      <x:c r="J8" s="31" t="n">
        <x:v>66.323354159</x:v>
      </x:c>
      <x:c r="K8" s="31" t="n">
        <x:v>0</x:v>
      </x:c>
      <x:c r="L8" s="31" t="n">
        <x:v>17.009999999</x:v>
      </x:c>
      <x:c r="M8" s="31" t="n">
        <x:v>49.31335416</x:v>
      </x:c>
      <x:c r="N8" s="24" t="str">
        <x:v>balistidae</x:v>
      </x:c>
      <x:c r="O8" s="32" t="n">
        <x:v>3.25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Balistidae</x:v>
      </x:c>
      <x:c r="T8" s="32" t="n">
        <x:f>IF(O8="","",(1/'Metadata'!$B$5)^(O8-1))</x:f>
        <x:v>177.82794100389228</x:v>
      </x:c>
      <x:c r="U8" s="31" t="n">
        <x:f>IF(T8="","",I8*T8)</x:f>
        <x:v>11794.145510566907</x:v>
      </x:c>
    </x:row>
    <x:row r="9" ht="18" customHeight="1">
      <x:c r="A9" s="24" t="str">
        <x:v>EEZ_212</x:v>
      </x:c>
      <x:c r="B9" s="24" t="str">
        <x:v>Dominica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63.048126791</x:v>
      </x:c>
      <x:c r="J9" s="31" t="n">
        <x:v>63.048126791</x:v>
      </x:c>
      <x:c r="K9" s="31" t="n">
        <x:v>0</x:v>
      </x:c>
      <x:c r="L9" s="31" t="n">
        <x:v>16.170000001</x:v>
      </x:c>
      <x:c r="M9" s="31" t="n">
        <x:v>46.87812679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66019.49346398878</x:v>
      </x:c>
    </x:row>
    <x:row r="10" ht="18" customHeight="1">
      <x:c r="A10" s="24" t="str">
        <x:v>EEZ_212</x:v>
      </x:c>
      <x:c r="B10" s="24" t="str">
        <x:v>Dominica</x:v>
      </x:c>
      <x:c r="C10" s="24" t="str">
        <x:v>EEZ</x:v>
      </x:c>
      <x:c r="D10" s="30" t="n">
        <x:v>2019</x:v>
      </x:c>
      <x:c r="E10" s="24" t="str">
        <x:v>Acanthocybium solandri</x:v>
      </x:c>
      <x:c r="F10" s="24" t="str">
        <x:v>Wahoo</x:v>
      </x:c>
      <x:c r="G10" s="24" t="str">
        <x:v>Large pelagics (&gt;=90 cm)</x:v>
      </x:c>
      <x:c r="H10" s="24" t="str">
        <x:v>Perch-likes</x:v>
      </x:c>
      <x:c r="I10" s="31" t="n">
        <x:v>62.301911585499994</x:v>
      </x:c>
      <x:c r="J10" s="31" t="n">
        <x:v>62.301911585499994</x:v>
      </x:c>
      <x:c r="K10" s="31" t="n">
        <x:v>0</x:v>
      </x:c>
      <x:c r="L10" s="31" t="n">
        <x:v>15.8952008055</x:v>
      </x:c>
      <x:c r="M10" s="31" t="n">
        <x:v>46.40671078</x:v>
      </x:c>
      <x:c r="N10" s="24" t="str">
        <x:v>acanthocybium solandri</x:v>
      </x:c>
      <x:c r="O10" s="32" t="n">
        <x:v>4.26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Acanthocybium solandri</x:v>
      </x:c>
      <x:c r="T10" s="32" t="n">
        <x:f>IF(O10="","",(1/'Metadata'!$B$5)^(O10-1))</x:f>
        <x:v>1819.7008586099826</x:v>
      </x:c>
      <x:c r="U10" s="31" t="n">
        <x:f>IF(T10="","",I10*T10)</x:f>
        <x:v>113370.84200517756</x:v>
      </x:c>
    </x:row>
    <x:row r="11" ht="18" customHeight="1">
      <x:c r="A11" s="24" t="str">
        <x:v>EEZ_212</x:v>
      </x:c>
      <x:c r="B11" s="24" t="str">
        <x:v>Dominica</x:v>
      </x:c>
      <x:c r="C11" s="24" t="str">
        <x:v>EEZ</x:v>
      </x:c>
      <x:c r="D11" s="30" t="n">
        <x:v>2019</x:v>
      </x:c>
      <x:c r="E11" s="24" t="str">
        <x:v>Epinephelus</x:v>
      </x:c>
      <x:c r="F11" s="24" t="str">
        <x:v>Seabasses, hinds</x:v>
      </x:c>
      <x:c r="G11" s="24" t="str">
        <x:v>Medium reef assoc. fish (30 - 89 cm)</x:v>
      </x:c>
      <x:c r="H11" s="24" t="str">
        <x:v>Perch-likes</x:v>
      </x:c>
      <x:c r="I11" s="31" t="n">
        <x:v>56.645118022000005</x:v>
      </x:c>
      <x:c r="J11" s="31" t="n">
        <x:v>56.645118022000005</x:v>
      </x:c>
      <x:c r="K11" s="31" t="n">
        <x:v>0</x:v>
      </x:c>
      <x:c r="L11" s="31" t="n">
        <x:v>17.884415781999998</x:v>
      </x:c>
      <x:c r="M11" s="31" t="n">
        <x:v>38.76070224</x:v>
      </x:c>
      <x:c r="N11" s="24" t="str">
        <x:v>epinephelus</x:v>
      </x:c>
      <x:c r="O11" s="32" t="n">
        <x:v>3.84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Epinephelus</x:v>
      </x:c>
      <x:c r="T11" s="32" t="n">
        <x:f>IF(O11="","",(1/'Metadata'!$B$5)^(O11-1))</x:f>
        <x:v>691.8309709189363</x:v>
      </x:c>
      <x:c r="U11" s="31" t="n">
        <x:f>IF(T11="","",I11*T11)</x:f>
        <x:v>39188.846998978</x:v>
      </x:c>
    </x:row>
    <x:row r="12" ht="18" customHeight="1">
      <x:c r="A12" s="24" t="str">
        <x:v>EEZ_212</x:v>
      </x:c>
      <x:c r="B12" s="24" t="str">
        <x:v>Dominica</x:v>
      </x:c>
      <x:c r="C12" s="24" t="str">
        <x:v>EEZ</x:v>
      </x:c>
      <x:c r="D12" s="30" t="n">
        <x:v>2019</x:v>
      </x:c>
      <x:c r="E12" s="24" t="str">
        <x:v>Thunnus atlanticus</x:v>
      </x:c>
      <x:c r="F12" s="24" t="str">
        <x:v>Blackfin tuna</x:v>
      </x:c>
      <x:c r="G12" s="24" t="str">
        <x:v>Large pelagics (&gt;=90 cm)</x:v>
      </x:c>
      <x:c r="H12" s="24" t="str">
        <x:v>Tuna &amp; billfishes</x:v>
      </x:c>
      <x:c r="I12" s="31" t="n">
        <x:v>46.348828881100005</x:v>
      </x:c>
      <x:c r="J12" s="31" t="n">
        <x:v>46.348828881100005</x:v>
      </x:c>
      <x:c r="K12" s="31" t="n">
        <x:v>0</x:v>
      </x:c>
      <x:c r="L12" s="31" t="n">
        <x:v>46.348828881100005</x:v>
      </x:c>
      <x:c r="M12" s="31" t="n">
        <x:v>0</x:v>
      </x:c>
      <x:c r="N12" s="24" t="str">
        <x:v>thunnus atlanticus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atlanticus</x:v>
      </x:c>
      <x:c r="T12" s="32" t="n">
        <x:f>IF(O12="","",(1/'Metadata'!$B$5)^(O12-1))</x:f>
        <x:v>2238.7211385683377</x:v>
      </x:c>
      <x:c r="U12" s="31" t="n">
        <x:f>IF(T12="","",I12*T12)</x:f>
        <x:v>103762.10296400526</x:v>
      </x:c>
    </x:row>
    <x:row r="13" ht="18" customHeight="1">
      <x:c r="A13" s="24" t="str">
        <x:v>EEZ_212</x:v>
      </x:c>
      <x:c r="B13" s="24" t="str">
        <x:v>Dominica</x:v>
      </x:c>
      <x:c r="C13" s="24" t="str">
        <x:v>EEZ</x:v>
      </x:c>
      <x:c r="D13" s="30" t="n">
        <x:v>2019</x:v>
      </x:c>
      <x:c r="E13" s="24" t="str">
        <x:v>Caranx</x:v>
      </x:c>
      <x:c r="F13" s="24" t="str">
        <x:v>Jacks</x:v>
      </x:c>
      <x:c r="G13" s="24" t="str">
        <x:v>Medium reef assoc. fish (30 - 89 cm)</x:v>
      </x:c>
      <x:c r="H13" s="24" t="str">
        <x:v>Perch-likes</x:v>
      </x:c>
      <x:c r="I13" s="31" t="n">
        <x:v>38.76122330999999</x:v>
      </x:c>
      <x:c r="J13" s="31" t="n">
        <x:v>38.76122330999999</x:v>
      </x:c>
      <x:c r="K13" s="31" t="n">
        <x:v>0</x:v>
      </x:c>
      <x:c r="L13" s="31" t="n">
        <x:v>3.64</x:v>
      </x:c>
      <x:c r="M13" s="31" t="n">
        <x:v>35.12122331</x:v>
      </x:c>
      <x:c r="N13" s="24" t="str">
        <x:v>caranx</x:v>
      </x:c>
      <x:c r="O13" s="32" t="n">
        <x:v>4.12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Caranx</x:v>
      </x:c>
      <x:c r="T13" s="32" t="n">
        <x:f>IF(O13="","",(1/'Metadata'!$B$5)^(O13-1))</x:f>
        <x:v>1318.2567385564075</x:v>
      </x:c>
      <x:c r="U13" s="31" t="n">
        <x:f>IF(T13="","",I13*T13)</x:f>
        <x:v>51097.24382309719</x:v>
      </x:c>
    </x:row>
    <x:row r="14" ht="18" customHeight="1">
      <x:c r="A14" s="24" t="str">
        <x:v>EEZ_212</x:v>
      </x:c>
      <x:c r="B14" s="24" t="str">
        <x:v>Dominica</x:v>
      </x:c>
      <x:c r="C14" s="24" t="str">
        <x:v>EEZ</x:v>
      </x:c>
      <x:c r="D14" s="30" t="n">
        <x:v>2019</x:v>
      </x:c>
      <x:c r="E14" s="24" t="str">
        <x:v>Scomberomorus cavalla</x:v>
      </x:c>
      <x:c r="F14" s="24" t="str">
        <x:v>King mackerel</x:v>
      </x:c>
      <x:c r="G14" s="24" t="str">
        <x:v>Large pelagics (&gt;=90 cm)</x:v>
      </x:c>
      <x:c r="H14" s="24" t="str">
        <x:v>Perch-likes</x:v>
      </x:c>
      <x:c r="I14" s="31" t="n">
        <x:v>31.6945062529</x:v>
      </x:c>
      <x:c r="J14" s="31" t="n">
        <x:v>31.6945062529</x:v>
      </x:c>
      <x:c r="K14" s="31" t="n">
        <x:v>0</x:v>
      </x:c>
      <x:c r="L14" s="31" t="n">
        <x:v>9.4073769089</x:v>
      </x:c>
      <x:c r="M14" s="31" t="n">
        <x:v>22.287129344</x:v>
      </x:c>
      <x:c r="N14" s="24" t="str">
        <x:v>scomberomorus cavalla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Scomberomorus cavalla</x:v>
      </x:c>
      <x:c r="T14" s="32" t="n">
        <x:f>IF(O14="","",(1/'Metadata'!$B$5)^(O14-1))</x:f>
        <x:v>2630.2679918953813</x:v>
      </x:c>
      <x:c r="U14" s="31" t="n">
        <x:f>IF(T14="","",I14*T14)</x:f>
        <x:v>83365.04531593088</x:v>
      </x:c>
    </x:row>
    <x:row r="15" ht="18" customHeight="1">
      <x:c r="A15" s="24" t="str">
        <x:v>EEZ_212</x:v>
      </x:c>
      <x:c r="B15" s="24" t="str">
        <x:v>Dominica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31.226052208400002</x:v>
      </x:c>
      <x:c r="J15" s="31" t="n">
        <x:v>31.226052208400002</x:v>
      </x:c>
      <x:c r="K15" s="31" t="n">
        <x:v>0</x:v>
      </x:c>
      <x:c r="L15" s="31" t="n">
        <x:v>2.6835872384</x:v>
      </x:c>
      <x:c r="M15" s="31" t="n">
        <x:v>28.54246497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56822.07401462563</x:v>
      </x:c>
    </x:row>
    <x:row r="16" ht="18" customHeight="1">
      <x:c r="A16" s="24" t="str">
        <x:v>EEZ_212</x:v>
      </x:c>
      <x:c r="B16" s="24" t="str">
        <x:v>Dominica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30.67900713</x:v>
      </x:c>
      <x:c r="J16" s="31" t="n">
        <x:v>30.67900713</x:v>
      </x:c>
      <x:c r="K16" s="31" t="n">
        <x:v>0</x:v>
      </x:c>
      <x:c r="L16" s="31" t="n">
        <x:v>6.720000000000001</x:v>
      </x:c>
      <x:c r="M16" s="31" t="n">
        <x:v>23.95900713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9480.719560789092</x:v>
      </x:c>
    </x:row>
    <x:row r="17" ht="18" customHeight="1">
      <x:c r="A17" s="24" t="str">
        <x:v>EEZ_212</x:v>
      </x:c>
      <x:c r="B17" s="24" t="str">
        <x:v>Dominica</x:v>
      </x:c>
      <x:c r="C17" s="24" t="str">
        <x:v>EEZ</x:v>
      </x:c>
      <x:c r="D17" s="30" t="n">
        <x:v>2019</x:v>
      </x:c>
      <x:c r="E17" s="24" t="str">
        <x:v>Haemulidae</x:v>
      </x:c>
      <x:c r="F17" s="24" t="str">
        <x:v>Grunts, sweetlips, bonnetmouths</x:v>
      </x:c>
      <x:c r="G17" s="24" t="str">
        <x:v>Medium demersals (30 - 89 cm)</x:v>
      </x:c>
      <x:c r="H17" s="24" t="str">
        <x:v>Perch-likes</x:v>
      </x:c>
      <x:c r="I17" s="31" t="n">
        <x:v>16.309683409999998</x:v>
      </x:c>
      <x:c r="J17" s="31" t="n">
        <x:v>16.309683409999998</x:v>
      </x:c>
      <x:c r="K17" s="31" t="n">
        <x:v>0</x:v>
      </x:c>
      <x:c r="L17" s="31" t="n">
        <x:v>4.76</x:v>
      </x:c>
      <x:c r="M17" s="31" t="n">
        <x:v>11.54968341</x:v>
      </x:c>
      <x:c r="N17" s="24" t="str">
        <x:v>haemulidae</x:v>
      </x:c>
      <x:c r="O17" s="32" t="n">
        <x:v>3.36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Haemulidae</x:v>
      </x:c>
      <x:c r="T17" s="32" t="n">
        <x:f>IF(O17="","",(1/'Metadata'!$B$5)^(O17-1))</x:f>
        <x:v>229.08676527677724</x:v>
      </x:c>
      <x:c r="U17" s="31" t="n">
        <x:f>IF(T17="","",I17*T17)</x:f>
        <x:v>3736.3326150852176</x:v>
      </x:c>
    </x:row>
    <x:row r="18" ht="18" customHeight="1">
      <x:c r="A18" s="24" t="str">
        <x:v>EEZ_212</x:v>
      </x:c>
      <x:c r="B18" s="24" t="str">
        <x:v>Dominica</x:v>
      </x:c>
      <x:c r="C18" s="24" t="str">
        <x:v>EEZ</x:v>
      </x:c>
      <x:c r="D18" s="30" t="n">
        <x:v>2019</x:v>
      </x:c>
      <x:c r="E18" s="24" t="str">
        <x:v>Sarda sarda</x:v>
      </x:c>
      <x:c r="F18" s="24" t="str">
        <x:v>Atlantic bonito</x:v>
      </x:c>
      <x:c r="G18" s="24" t="str">
        <x:v>Medium pelagics (30 - 89 cm)</x:v>
      </x:c>
      <x:c r="H18" s="24" t="str">
        <x:v>Tuna &amp; billfishes</x:v>
      </x:c>
      <x:c r="I18" s="31" t="n">
        <x:v>15.1084486199</x:v>
      </x:c>
      <x:c r="J18" s="31" t="n">
        <x:v>15.1084486199</x:v>
      </x:c>
      <x:c r="K18" s="31" t="n">
        <x:v>0</x:v>
      </x:c>
      <x:c r="L18" s="31" t="n">
        <x:v>1.9882267239</x:v>
      </x:c>
      <x:c r="M18" s="31" t="n">
        <x:v>13.120221896</x:v>
      </x:c>
      <x:c r="N18" s="24" t="str">
        <x:v>sarda sarda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Sarda sarda</x:v>
      </x:c>
      <x:c r="T18" s="32" t="n">
        <x:f>IF(O18="","",(1/'Metadata'!$B$5)^(O18-1))</x:f>
        <x:v>3162.2776601683795</x:v>
      </x:c>
      <x:c r="U18" s="31" t="n">
        <x:f>IF(T18="","",I18*T18)</x:f>
        <x:v>47777.10955051156</x:v>
      </x:c>
    </x:row>
    <x:row r="19" ht="18" customHeight="1">
      <x:c r="A19" s="24" t="str">
        <x:v>EEZ_212</x:v>
      </x:c>
      <x:c r="B19" s="24" t="str">
        <x:v>Dominica</x:v>
      </x:c>
      <x:c r="C19" s="24" t="str">
        <x:v>EEZ</x:v>
      </x:c>
      <x:c r="D19" s="30" t="n">
        <x:v>2019</x:v>
      </x:c>
      <x:c r="E19" s="24" t="str">
        <x:v>Mullidae</x:v>
      </x:c>
      <x:c r="F19" s="24" t="str">
        <x:v>Goatfishes</x:v>
      </x:c>
      <x:c r="G19" s="24" t="str">
        <x:v>Medium reef assoc. fish (30 - 89 cm)</x:v>
      </x:c>
      <x:c r="H19" s="24" t="str">
        <x:v>Perch-likes</x:v>
      </x:c>
      <x:c r="I19" s="31" t="n">
        <x:v>14.8705937</x:v>
      </x:c>
      <x:c r="J19" s="31" t="n">
        <x:v>14.8705937</x:v>
      </x:c>
      <x:c r="K19" s="31" t="n">
        <x:v>0</x:v>
      </x:c>
      <x:c r="L19" s="31" t="n">
        <x:v>4.34</x:v>
      </x:c>
      <x:c r="M19" s="31" t="n">
        <x:v>10.5305937</x:v>
      </x:c>
      <x:c r="N19" s="24" t="str">
        <x:v>mullidae</x:v>
      </x:c>
      <x:c r="O19" s="32" t="n">
        <x:v>3.46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Mullidae</x:v>
      </x:c>
      <x:c r="T19" s="32" t="n">
        <x:f>IF(O19="","",(1/'Metadata'!$B$5)^(O19-1))</x:f>
        <x:v>288.40315031266056</x:v>
      </x:c>
      <x:c r="U19" s="31" t="n">
        <x:f>IF(T19="","",I19*T19)</x:f>
        <x:v>4288.726070099603</x:v>
      </x:c>
    </x:row>
    <x:row r="20" ht="18" customHeight="1">
      <x:c r="A20" s="24" t="str">
        <x:v>EEZ_212</x:v>
      </x:c>
      <x:c r="B20" s="24" t="str">
        <x:v>Dominica</x:v>
      </x:c>
      <x:c r="C20" s="24" t="str">
        <x:v>EEZ</x:v>
      </x:c>
      <x:c r="D20" s="30" t="n">
        <x:v>2019</x:v>
      </x:c>
      <x:c r="E20" s="24" t="str">
        <x:v>Katsuwonus pelamis</x:v>
      </x:c>
      <x:c r="F20" s="24" t="str">
        <x:v>Skipjack tuna</x:v>
      </x:c>
      <x:c r="G20" s="24" t="str">
        <x:v>Large pelagics (&gt;=90 cm)</x:v>
      </x:c>
      <x:c r="H20" s="24" t="str">
        <x:v>Tuna &amp; billfishes</x:v>
      </x:c>
      <x:c r="I20" s="31" t="n">
        <x:v>10.5550869942</x:v>
      </x:c>
      <x:c r="J20" s="31" t="n">
        <x:v>10.5550869942</x:v>
      </x:c>
      <x:c r="K20" s="31" t="n">
        <x:v>0</x:v>
      </x:c>
      <x:c r="L20" s="31" t="n">
        <x:v>10.5550869942</x:v>
      </x:c>
      <x:c r="M20" s="31" t="n">
        <x:v>0</x:v>
      </x:c>
      <x:c r="N20" s="24" t="str">
        <x:v>katsuwonus pelamis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Katsuwonus pelamis</x:v>
      </x:c>
      <x:c r="T20" s="32" t="n">
        <x:f>IF(O20="","",(1/'Metadata'!$B$5)^(O20-1))</x:f>
        <x:v>2691.534803926914</x:v>
      </x:c>
      <x:c r="U20" s="31" t="n">
        <x:f>IF(T20="","",I20*T20)</x:f>
        <x:v>28409.384003365616</x:v>
      </x:c>
    </x:row>
    <x:row r="21" ht="18" customHeight="1">
      <x:c r="A21" s="24" t="str">
        <x:v>EEZ_212</x:v>
      </x:c>
      <x:c r="B21" s="24" t="str">
        <x:v>Dominica</x:v>
      </x:c>
      <x:c r="C21" s="24" t="str">
        <x:v>EEZ</x:v>
      </x:c>
      <x:c r="D21" s="30" t="n">
        <x:v>2019</x:v>
      </x:c>
      <x:c r="E21" s="24" t="str">
        <x:v>Clupeidae</x:v>
      </x:c>
      <x:c r="F21" s="24" t="str">
        <x:v>Herrings, sardines, menhadens</x:v>
      </x:c>
      <x:c r="G21" s="24" t="str">
        <x:v>Small pelagics (&lt;30 cm)</x:v>
      </x:c>
      <x:c r="H21" s="24" t="str">
        <x:v>Herring-likes</x:v>
      </x:c>
      <x:c r="I21" s="31" t="n">
        <x:v>10.01489999</x:v>
      </x:c>
      <x:c r="J21" s="31" t="n">
        <x:v>10.01489999</x:v>
      </x:c>
      <x:c r="K21" s="31" t="n">
        <x:v>0</x:v>
      </x:c>
      <x:c r="L21" s="31" t="n">
        <x:v>0</x:v>
      </x:c>
      <x:c r="M21" s="31" t="n">
        <x:v>10.01489999</x:v>
      </x:c>
      <x:c r="N21" s="24" t="str">
        <x:v>clupeidae</x:v>
      </x:c>
      <x:c r="O21" s="32" t="n">
        <x:v>3.16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Clupeidae</x:v>
      </x:c>
      <x:c r="T21" s="32" t="n">
        <x:f>IF(O21="","",(1/'Metadata'!$B$5)^(O21-1))</x:f>
        <x:v>144.5439770745928</x:v>
      </x:c>
      <x:c r="U21" s="31" t="n">
        <x:f>IF(T21="","",I21*T21)</x:f>
        <x:v>1447.5934745588995</x:v>
      </x:c>
    </x:row>
    <x:row r="22" ht="18" customHeight="1">
      <x:c r="A22" s="24" t="str">
        <x:v>EEZ_212</x:v>
      </x:c>
      <x:c r="B22" s="24" t="str">
        <x:v>Dominica</x:v>
      </x:c>
      <x:c r="C22" s="24" t="str">
        <x:v>EEZ</x:v>
      </x:c>
      <x:c r="D22" s="30" t="n">
        <x:v>2019</x:v>
      </x:c>
      <x:c r="E22" s="24" t="str">
        <x:v>Istiophorus albicans</x:v>
      </x:c>
      <x:c r="F22" s="24" t="str">
        <x:v>Atlantic sailfish</x:v>
      </x:c>
      <x:c r="G22" s="24" t="str">
        <x:v>Large pelagics (&gt;=90 cm)</x:v>
      </x:c>
      <x:c r="H22" s="24" t="str">
        <x:v>Tuna &amp; billfishes</x:v>
      </x:c>
      <x:c r="I22" s="31" t="n">
        <x:v>7.3691239869</x:v>
      </x:c>
      <x:c r="J22" s="31" t="n">
        <x:v>7.3691239869</x:v>
      </x:c>
      <x:c r="K22" s="31" t="n">
        <x:v>0</x:v>
      </x:c>
      <x:c r="L22" s="31" t="n">
        <x:v>1.3092393629</x:v>
      </x:c>
      <x:c r="M22" s="31" t="n">
        <x:v>6.059884624</x:v>
      </x:c>
      <x:c r="N22" s="24" t="str">
        <x:v>istiophorus albicans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Istiophorus albicans</x:v>
      </x:c>
      <x:c r="T22" s="32" t="n">
        <x:f>IF(O22="","",(1/'Metadata'!$B$5)^(O22-1))</x:f>
        <x:v>3162.2776601683795</x:v>
      </x:c>
      <x:c r="U22" s="31" t="n">
        <x:f>IF(T22="","",I22*T22)</x:f>
        <x:v>23303.216158784813</x:v>
      </x:c>
    </x:row>
    <x:row r="23" ht="18" customHeight="1">
      <x:c r="A23" s="24" t="str">
        <x:v>EEZ_212</x:v>
      </x:c>
      <x:c r="B23" s="24" t="str">
        <x:v>Dominica</x:v>
      </x:c>
      <x:c r="C23" s="24" t="str">
        <x:v>EEZ</x:v>
      </x:c>
      <x:c r="D23" s="30" t="n">
        <x:v>2019</x:v>
      </x:c>
      <x:c r="E23" s="24" t="str">
        <x:v>Caranx hippos</x:v>
      </x:c>
      <x:c r="F23" s="24" t="str">
        <x:v>Crevalle jack</x:v>
      </x:c>
      <x:c r="G23" s="24" t="str">
        <x:v>Large reef assoc. fish (&gt;=90 cm)</x:v>
      </x:c>
      <x:c r="H23" s="24" t="str">
        <x:v>Perch-likes</x:v>
      </x:c>
      <x:c r="I23" s="31" t="n">
        <x:v>6.8445306997</x:v>
      </x:c>
      <x:c r="J23" s="31" t="n">
        <x:v>6.8445306997</x:v>
      </x:c>
      <x:c r="K23" s="31" t="n">
        <x:v>0</x:v>
      </x:c>
      <x:c r="L23" s="31" t="n">
        <x:v>6.8445306997</x:v>
      </x:c>
      <x:c r="M23" s="31" t="n">
        <x:v>0</x:v>
      </x:c>
      <x:c r="N23" s="24" t="str">
        <x:v>caranx hippos</x:v>
      </x:c>
      <x:c r="O23" s="32" t="n">
        <x:v>3.56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Caranx hippos</x:v>
      </x:c>
      <x:c r="T23" s="32" t="n">
        <x:f>IF(O23="","",(1/'Metadata'!$B$5)^(O23-1))</x:f>
        <x:v>363.0780547701014</x:v>
      </x:c>
      <x:c r="U23" s="31" t="n">
        <x:f>IF(T23="","",I23*T23)</x:f>
        <x:v>2485.098892261317</x:v>
      </x:c>
    </x:row>
    <x:row r="24" ht="18" customHeight="1">
      <x:c r="A24" s="24" t="str">
        <x:v>EEZ_212</x:v>
      </x:c>
      <x:c r="B24" s="24" t="str">
        <x:v>Dominica</x:v>
      </x:c>
      <x:c r="C24" s="24" t="str">
        <x:v>EEZ</x:v>
      </x:c>
      <x:c r="D24" s="30" t="n">
        <x:v>2019</x:v>
      </x:c>
      <x:c r="E24" s="24" t="str">
        <x:v>Sphyraena barracuda</x:v>
      </x:c>
      <x:c r="F24" s="24" t="str">
        <x:v>Great barracuda</x:v>
      </x:c>
      <x:c r="G24" s="24" t="str">
        <x:v>Large pelagics (&gt;=90 cm)</x:v>
      </x:c>
      <x:c r="H24" s="24" t="str">
        <x:v>Perch-likes</x:v>
      </x:c>
      <x:c r="I24" s="31" t="n">
        <x:v>5.0298193613</x:v>
      </x:c>
      <x:c r="J24" s="31" t="n">
        <x:v>5.0298193613</x:v>
      </x:c>
      <x:c r="K24" s="31" t="n">
        <x:v>0</x:v>
      </x:c>
      <x:c r="L24" s="31" t="n">
        <x:v>5.0298193613</x:v>
      </x:c>
      <x:c r="M24" s="31" t="n">
        <x:v>0</x:v>
      </x:c>
      <x:c r="N24" s="24" t="str">
        <x:v>sphyraena barracuda</x:v>
      </x:c>
      <x:c r="O24" s="32" t="n">
        <x:v>4.49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Sphyraena barracuda</x:v>
      </x:c>
      <x:c r="T24" s="32" t="n">
        <x:f>IF(O24="","",(1/'Metadata'!$B$5)^(O24-1))</x:f>
        <x:v>3090.295432513592</x:v>
      </x:c>
      <x:c r="U24" s="31" t="n">
        <x:f>IF(T24="","",I24*T24)</x:f>
        <x:v>15543.627798593823</x:v>
      </x:c>
    </x:row>
    <x:row r="25" ht="18" customHeight="1">
      <x:c r="A25" s="24" t="str">
        <x:v>EEZ_212</x:v>
      </x:c>
      <x:c r="B25" s="24" t="str">
        <x:v>Dominica</x:v>
      </x:c>
      <x:c r="C25" s="24" t="str">
        <x:v>EEZ</x:v>
      </x:c>
      <x:c r="D25" s="30" t="n">
        <x:v>2019</x:v>
      </x:c>
      <x:c r="E25" s="24" t="str">
        <x:v>Anguilliformes</x:v>
      </x:c>
      <x:c r="F25" s="24" t="str">
        <x:v>Eels, morays</x:v>
      </x:c>
      <x:c r="G25" s="24" t="str">
        <x:v>Large demersals (&gt;=90 cm)</x:v>
      </x:c>
      <x:c r="H25" s="24" t="str">
        <x:v>Other fishes &amp; inverts</x:v>
      </x:c>
      <x:c r="I25" s="31" t="n">
        <x:v>5.011684894</x:v>
      </x:c>
      <x:c r="J25" s="31" t="n">
        <x:v>5.011684894</x:v>
      </x:c>
      <x:c r="K25" s="31" t="n">
        <x:v>0</x:v>
      </x:c>
      <x:c r="L25" s="31" t="n">
        <x:v>2.1</x:v>
      </x:c>
      <x:c r="M25" s="31" t="n">
        <x:v>2.911684894</x:v>
      </x:c>
      <x:c r="N25" s="24" t="str">
        <x:v>anguilliformes</x:v>
      </x:c>
      <x:c r="O25" s="32" t="n">
        <x:v>3.89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Anguilliformes</x:v>
      </x:c>
      <x:c r="T25" s="32" t="n">
        <x:f>IF(O25="","",(1/'Metadata'!$B$5)^(O25-1))</x:f>
        <x:v>776.247116628692</x:v>
      </x:c>
      <x:c r="U25" s="31" t="n">
        <x:f>IF(T25="","",I25*T25)</x:f>
        <x:v>3890.3059484190717</x:v>
      </x:c>
    </x:row>
    <x:row r="26" ht="18" customHeight="1">
      <x:c r="A26" s="24" t="str">
        <x:v>EEZ_212</x:v>
      </x:c>
      <x:c r="B26" s="24" t="str">
        <x:v>Dominica</x:v>
      </x:c>
      <x:c r="C26" s="24" t="str">
        <x:v>EEZ</x:v>
      </x:c>
      <x:c r="D26" s="30" t="n">
        <x:v>2019</x:v>
      </x:c>
      <x:c r="E26" s="24" t="str">
        <x:v>Caranx crysos</x:v>
      </x:c>
      <x:c r="F26" s="24" t="str">
        <x:v>Blue runner</x:v>
      </x:c>
      <x:c r="G26" s="24" t="str">
        <x:v>Medium reef assoc. fish (30 - 89 cm)</x:v>
      </x:c>
      <x:c r="H26" s="24" t="str">
        <x:v>Perch-likes</x:v>
      </x:c>
      <x:c r="I26" s="31" t="n">
        <x:v>2.0617806702</x:v>
      </x:c>
      <x:c r="J26" s="31" t="n">
        <x:v>2.0617806702</x:v>
      </x:c>
      <x:c r="K26" s="31" t="n">
        <x:v>0</x:v>
      </x:c>
      <x:c r="L26" s="31" t="n">
        <x:v>2.0617806702</x:v>
      </x:c>
      <x:c r="M26" s="31" t="n">
        <x:v>0</x:v>
      </x:c>
      <x:c r="N26" s="24" t="str">
        <x:v>caranx crysos</x:v>
      </x:c>
      <x:c r="O26" s="32" t="n">
        <x:v>4.13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crysos</x:v>
      </x:c>
      <x:c r="T26" s="32" t="n">
        <x:f>IF(O26="","",(1/'Metadata'!$B$5)^(O26-1))</x:f>
        <x:v>1348.9628825916532</x:v>
      </x:c>
      <x:c r="U26" s="31" t="n">
        <x:f>IF(T26="","",I26*T26)</x:f>
        <x:v>2781.2655961447426</x:v>
      </x:c>
    </x:row>
    <x:row r="27" ht="18" customHeight="1">
      <x:c r="A27" s="24" t="str">
        <x:v>EEZ_212</x:v>
      </x:c>
      <x:c r="B27" s="24" t="str">
        <x:v>Dominica</x:v>
      </x:c>
      <x:c r="C27" s="24" t="str">
        <x:v>EEZ</x:v>
      </x:c>
      <x:c r="D27" s="30" t="n">
        <x:v>2019</x:v>
      </x:c>
      <x:c r="E27" s="24" t="str">
        <x:v>Thunnus alalunga</x:v>
      </x:c>
      <x:c r="F27" s="24" t="str">
        <x:v>Albacore</x:v>
      </x:c>
      <x:c r="G27" s="24" t="str">
        <x:v>Large pelagics (&gt;=90 cm)</x:v>
      </x:c>
      <x:c r="H27" s="24" t="str">
        <x:v>Tuna &amp; billfishes</x:v>
      </x:c>
      <x:c r="I27" s="31" t="n">
        <x:v>1.6150320301</x:v>
      </x:c>
      <x:c r="J27" s="31" t="n">
        <x:v>1.6150320301</x:v>
      </x:c>
      <x:c r="K27" s="31" t="n">
        <x:v>0</x:v>
      </x:c>
      <x:c r="L27" s="31" t="n">
        <x:v>1.6150320301</x:v>
      </x:c>
      <x:c r="M27" s="31" t="n">
        <x:v>0</x:v>
      </x:c>
      <x:c r="N27" s="24" t="str">
        <x:v>thunnus alalunga</x:v>
      </x:c>
      <x:c r="O27" s="32" t="n">
        <x:v>4.3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alalunga</x:v>
      </x:c>
      <x:c r="T27" s="32" t="n">
        <x:f>IF(O27="","",(1/'Metadata'!$B$5)^(O27-1))</x:f>
        <x:v>1995.2623149688789</x:v>
      </x:c>
      <x:c r="U27" s="31" t="n">
        <x:f>IF(T27="","",I27*T27)</x:f>
        <x:v>3222.412547126214</x:v>
      </x:c>
    </x:row>
    <x:row r="28" ht="18" customHeight="1">
      <x:c r="A28" s="24" t="str">
        <x:v>EEZ_212</x:v>
      </x:c>
      <x:c r="B28" s="24" t="str">
        <x:v>Dominica</x:v>
      </x:c>
      <x:c r="C28" s="24" t="str">
        <x:v>EEZ</x:v>
      </x:c>
      <x:c r="D28" s="30" t="n">
        <x:v>2019</x:v>
      </x:c>
      <x:c r="E28" s="24" t="str">
        <x:v>Carcharhinidae</x:v>
      </x:c>
      <x:c r="F28" s="24" t="str">
        <x:v>Requiem sharks</x:v>
      </x:c>
      <x:c r="G28" s="24" t="str">
        <x:v>Large sharks (&gt;=90 cm)</x:v>
      </x:c>
      <x:c r="H28" s="24" t="str">
        <x:v>Sharks &amp; rays</x:v>
      </x:c>
      <x:c r="I28" s="31" t="n">
        <x:v>1.336449305</x:v>
      </x:c>
      <x:c r="J28" s="31" t="n">
        <x:v>1.336449305</x:v>
      </x:c>
      <x:c r="K28" s="31" t="n">
        <x:v>0</x:v>
      </x:c>
      <x:c r="L28" s="31" t="n">
        <x:v>0.56</x:v>
      </x:c>
      <x:c r="M28" s="31" t="n">
        <x:v>0.776449305</x:v>
      </x:c>
      <x:c r="N28" s="24" t="str">
        <x:v>carcharhinidae</x:v>
      </x:c>
      <x:c r="O28" s="32" t="n">
        <x:v>4.24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Carcharhinidae</x:v>
      </x:c>
      <x:c r="T28" s="32" t="n">
        <x:f>IF(O28="","",(1/'Metadata'!$B$5)^(O28-1))</x:f>
        <x:v>1737.8008287493763</x:v>
      </x:c>
      <x:c r="U28" s="31" t="n">
        <x:f>IF(T28="","",I28*T28)</x:f>
        <x:v>2322.482709810528</x:v>
      </x:c>
    </x:row>
    <x:row r="29" ht="18" customHeight="1">
      <x:c r="A29" s="24" t="str">
        <x:v>EEZ_212</x:v>
      </x:c>
      <x:c r="B29" s="24" t="str">
        <x:v>Dominica</x:v>
      </x:c>
      <x:c r="C29" s="24" t="str">
        <x:v>EEZ</x:v>
      </x:c>
      <x:c r="D29" s="30" t="n">
        <x:v>2019</x:v>
      </x:c>
      <x:c r="E29" s="24" t="str">
        <x:v>Acanthuridae</x:v>
      </x:c>
      <x:c r="F29" s="24" t="str">
        <x:v>Surgeons, tangs, unicornfishes</x:v>
      </x:c>
      <x:c r="G29" s="24" t="str">
        <x:v>Small reef assoc. fish (&lt;30 cm)</x:v>
      </x:c>
      <x:c r="H29" s="24" t="str">
        <x:v>Perch-likes</x:v>
      </x:c>
      <x:c r="I29" s="31" t="n">
        <x:v>0.8400000000000001</x:v>
      </x:c>
      <x:c r="J29" s="31" t="n">
        <x:v>0.8400000000000001</x:v>
      </x:c>
      <x:c r="K29" s="31" t="n">
        <x:v>0</x:v>
      </x:c>
      <x:c r="L29" s="31" t="n">
        <x:v>0.8400000000000001</x:v>
      </x:c>
      <x:c r="M29" s="31" t="n">
        <x:v>0</x:v>
      </x:c>
      <x:c r="N29" s="24" t="str">
        <x:v>acanthuridae</x:v>
      </x:c>
      <x:c r="O29" s="32" t="n">
        <x:v>2.28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Acanthuridae</x:v>
      </x:c>
      <x:c r="T29" s="32" t="n">
        <x:f>IF(O29="","",(1/'Metadata'!$B$5)^(O29-1))</x:f>
        <x:v>19.054607179632463</x:v>
      </x:c>
      <x:c r="U29" s="31" t="n">
        <x:f>IF(T29="","",I29*T29)</x:f>
        <x:v>16.00587003089127</x:v>
      </x:c>
    </x:row>
    <x:row r="30" ht="18" customHeight="1">
      <x:c r="A30" s="24" t="str">
        <x:v>EEZ_212</x:v>
      </x:c>
      <x:c r="B30" s="24" t="str">
        <x:v>Dominica</x:v>
      </x:c>
      <x:c r="C30" s="24" t="str">
        <x:v>EEZ</x:v>
      </x:c>
      <x:c r="D30" s="30" t="n">
        <x:v>2019</x:v>
      </x:c>
      <x:c r="E30" s="24" t="str">
        <x:v>Euthynnus alletteratus</x:v>
      </x:c>
      <x:c r="F30" s="24" t="str">
        <x:v>Little tunny </x:v>
      </x:c>
      <x:c r="G30" s="24" t="str">
        <x:v>Large pelagics (&gt;=90 cm)</x:v>
      </x:c>
      <x:c r="H30" s="24" t="str">
        <x:v>Tuna &amp; billfishes</x:v>
      </x:c>
      <x:c r="I30" s="31" t="n">
        <x:v>0.7725983758</x:v>
      </x:c>
      <x:c r="J30" s="31" t="n">
        <x:v>0.7725983758</x:v>
      </x:c>
      <x:c r="K30" s="31" t="n">
        <x:v>0</x:v>
      </x:c>
      <x:c r="L30" s="31" t="n">
        <x:v>0.7725983758</x:v>
      </x:c>
      <x:c r="M30" s="31" t="n">
        <x:v>0</x:v>
      </x:c>
      <x:c r="N30" s="24" t="str">
        <x:v>euthynnus alletteratus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Euthynnus alletteratus</x:v>
      </x:c>
      <x:c r="T30" s="32" t="n">
        <x:f>IF(O30="","",(1/'Metadata'!$B$5)^(O30-1))</x:f>
        <x:v>3090.295432513592</x:v>
      </x:c>
      <x:c r="U30" s="31" t="n">
        <x:f>IF(T30="","",I30*T30)</x:f>
        <x:v>2387.55723190216</x:v>
      </x:c>
    </x:row>
    <x:row r="31" ht="18" customHeight="1">
      <x:c r="A31" s="24" t="str">
        <x:v>EEZ_212</x:v>
      </x:c>
      <x:c r="B31" s="24" t="str">
        <x:v>Dominica</x:v>
      </x:c>
      <x:c r="C31" s="24" t="str">
        <x:v>EEZ</x:v>
      </x:c>
      <x:c r="D31" s="30" t="n">
        <x:v>2019</x:v>
      </x:c>
      <x:c r="E31" s="24" t="str">
        <x:v>Xiphias gladius</x:v>
      </x:c>
      <x:c r="F31" s="24" t="str">
        <x:v>Swordfish</x:v>
      </x:c>
      <x:c r="G31" s="24" t="str">
        <x:v>Large pelagics (&gt;=90 cm)</x:v>
      </x:c>
      <x:c r="H31" s="24" t="str">
        <x:v>Tuna &amp; billfishes</x:v>
      </x:c>
      <x:c r="I31" s="31" t="n">
        <x:v>0.3460469371</x:v>
      </x:c>
      <x:c r="J31" s="31" t="n">
        <x:v>0.3460469371</x:v>
      </x:c>
      <x:c r="K31" s="31" t="n">
        <x:v>0</x:v>
      </x:c>
      <x:c r="L31" s="31" t="n">
        <x:v>0.3460469371</x:v>
      </x:c>
      <x:c r="M31" s="31" t="n">
        <x:v>0</x:v>
      </x:c>
      <x:c r="N31" s="24" t="str">
        <x:v>xiphias gladius</x:v>
      </x:c>
      <x:c r="O31" s="32" t="n">
        <x:v>4.53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Xiphias gladius</x:v>
      </x:c>
      <x:c r="T31" s="32" t="n">
        <x:f>IF(O31="","",(1/'Metadata'!$B$5)^(O31-1))</x:f>
        <x:v>3388.4415613920273</x:v>
      </x:c>
      <x:c r="U31" s="31" t="n">
        <x:f>IF(T31="","",I31*T31)</x:f>
        <x:v>1172.5598238620528</x:v>
      </x:c>
    </x:row>
    <x:row r="32" ht="18" customHeight="1">
      <x:c r="A32" s="24" t="str">
        <x:v>EEZ_212</x:v>
      </x:c>
      <x:c r="B32" s="24" t="str">
        <x:v>Dominica</x:v>
      </x:c>
      <x:c r="C32" s="24" t="str">
        <x:v>EEZ</x:v>
      </x:c>
      <x:c r="D32" s="30" t="n">
        <x:v>2019</x:v>
      </x:c>
      <x:c r="E32" s="24" t="str">
        <x:v>Xiphiidae</x:v>
      </x:c>
      <x:c r="F32" s="24" t="str">
        <x:v>Swordfishes</x:v>
      </x:c>
      <x:c r="G32" s="24" t="str">
        <x:v>Large pelagics (&gt;=90 cm)</x:v>
      </x:c>
      <x:c r="H32" s="24" t="str">
        <x:v>Tuna &amp; billfishes</x:v>
      </x:c>
      <x:c r="I32" s="31" t="n">
        <x:v>0.242967072</x:v>
      </x:c>
      <x:c r="J32" s="31" t="n">
        <x:v>0.242967072</x:v>
      </x:c>
      <x:c r="K32" s="31" t="n">
        <x:v>0</x:v>
      </x:c>
      <x:c r="L32" s="31" t="n">
        <x:v>0</x:v>
      </x:c>
      <x:c r="M32" s="31" t="n">
        <x:v>0.242967072</x:v>
      </x:c>
      <x:c r="N32" s="24" t="str">
        <x:v>xiphiidae</x:v>
      </x:c>
      <x:c r="O32" s="32" t="n">
        <x:v>4.5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Xiphiidae</x:v>
      </x:c>
      <x:c r="T32" s="32" t="n">
        <x:f>IF(O32="","",(1/'Metadata'!$B$5)^(O32-1))</x:f>
        <x:v>3162.2776601683795</x:v>
      </x:c>
      <x:c r="U32" s="31" t="n">
        <x:f>IF(T32="","",I32*T32)</x:f>
        <x:v>768.3293439421223</x:v>
      </x:c>
    </x:row>
    <x:row r="33" ht="18" customHeight="1">
      <x:c r="A33" s="24" t="str">
        <x:v>EEZ_212</x:v>
      </x:c>
      <x:c r="B33" s="24" t="str">
        <x:v>Dominica</x:v>
      </x:c>
      <x:c r="C33" s="24" t="str">
        <x:v>EEZ</x:v>
      </x:c>
      <x:c r="D33" s="30" t="n">
        <x:v>2019</x:v>
      </x:c>
      <x:c r="E33" s="24" t="str">
        <x:v>Tetrapturus pfluegeri</x:v>
      </x:c>
      <x:c r="F33" s="24" t="str">
        <x:v>Longbill spearfish</x:v>
      </x:c>
      <x:c r="G33" s="24" t="str">
        <x:v>Large pelagics (&gt;=90 cm)</x:v>
      </x:c>
      <x:c r="H33" s="24" t="str">
        <x:v>Tuna &amp; billfishes</x:v>
      </x:c>
      <x:c r="I33" s="31" t="n">
        <x:v>0.1770130704</x:v>
      </x:c>
      <x:c r="J33" s="31" t="n">
        <x:v>0.1770130704</x:v>
      </x:c>
      <x:c r="K33" s="31" t="n">
        <x:v>0</x:v>
      </x:c>
      <x:c r="L33" s="31" t="n">
        <x:v>0.1770130704</x:v>
      </x:c>
      <x:c r="M33" s="31" t="n">
        <x:v>0</x:v>
      </x:c>
      <x:c r="N33" s="24" t="str">
        <x:v>tetrapturus pfluegeri</x:v>
      </x:c>
      <x:c r="O33" s="32" t="n">
        <x:v>4.4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Tetrapturus pfluegeri</x:v>
      </x:c>
      <x:c r="T33" s="32" t="n">
        <x:f>IF(O33="","",(1/'Metadata'!$B$5)^(O33-1))</x:f>
        <x:v>2511.886431509582</x:v>
      </x:c>
      <x:c r="U33" s="31" t="n">
        <x:f>IF(T33="","",I33*T33)</x:f>
        <x:v>444.63672973761044</x:v>
      </x:c>
    </x:row>
    <x:row r="34" ht="18" customHeight="1">
      <x:c r="A34" s="24" t="str">
        <x:v>EEZ_212</x:v>
      </x:c>
      <x:c r="B34" s="24" t="str">
        <x:v>Dominica</x:v>
      </x:c>
      <x:c r="C34" s="24" t="str">
        <x:v>EEZ</x:v>
      </x:c>
      <x:c r="D34" s="30" t="n">
        <x:v>2019</x:v>
      </x:c>
      <x:c r="E34" s="24" t="str">
        <x:v>Scomberomorus regalis</x:v>
      </x:c>
      <x:c r="F34" s="24" t="str">
        <x:v>Cero</x:v>
      </x:c>
      <x:c r="G34" s="24" t="str">
        <x:v>Large reef assoc. fish (&gt;=90 cm)</x:v>
      </x:c>
      <x:c r="H34" s="24" t="str">
        <x:v>Perch-likes</x:v>
      </x:c>
      <x:c r="I34" s="31" t="n">
        <x:v>0.1336196349</x:v>
      </x:c>
      <x:c r="J34" s="31" t="n">
        <x:v>0.1336196349</x:v>
      </x:c>
      <x:c r="K34" s="31" t="n">
        <x:v>0</x:v>
      </x:c>
      <x:c r="L34" s="31" t="n">
        <x:v>0.1336196349</x:v>
      </x:c>
      <x:c r="M34" s="31" t="n">
        <x:v>0</x:v>
      </x:c>
      <x:c r="N34" s="24" t="str">
        <x:v>scomberomorus regalis</x:v>
      </x:c>
      <x:c r="O34" s="32" t="n">
        <x:v>4.51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regalis</x:v>
      </x:c>
      <x:c r="T34" s="32" t="n">
        <x:f>IF(O34="","",(1/'Metadata'!$B$5)^(O34-1))</x:f>
        <x:v>3235.936569296281</x:v>
      </x:c>
      <x:c r="U34" s="31" t="n">
        <x:f>IF(T34="","",I34*T34)</x:f>
        <x:v>432.38466294892766</x:v>
      </x:c>
    </x:row>
    <x:row r="35" ht="18" customHeight="1">
      <x:c r="A35" s="24" t="str">
        <x:v>EEZ_212</x:v>
      </x:c>
      <x:c r="B35" s="24" t="str">
        <x:v>Dominica</x:v>
      </x:c>
      <x:c r="C35" s="24" t="str">
        <x:v>EEZ</x:v>
      </x:c>
      <x:c r="D35" s="30" t="n">
        <x:v>2019</x:v>
      </x:c>
      <x:c r="E35" s="24" t="str">
        <x:v>Dasyatidae</x:v>
      </x:c>
      <x:c r="F35" s="24" t="str">
        <x:v>Whiptail stingrays</x:v>
      </x:c>
      <x:c r="G35" s="24" t="str">
        <x:v>Large rays (&gt;=90 cm)</x:v>
      </x:c>
      <x:c r="H35" s="24" t="str">
        <x:v>Sharks &amp; rays</x:v>
      </x:c>
      <x:c r="I35" s="31" t="n">
        <x:v>0.1033037486</x:v>
      </x:c>
      <x:c r="J35" s="31" t="n">
        <x:v>0.1033037486</x:v>
      </x:c>
      <x:c r="K35" s="31" t="n">
        <x:v>0</x:v>
      </x:c>
      <x:c r="L35" s="31" t="n">
        <x:v>0.1033037486</x:v>
      </x:c>
      <x:c r="M35" s="31" t="n">
        <x:v>0</x:v>
      </x:c>
      <x:c r="N35" s="24" t="str">
        <x:v>dasyatidae</x:v>
      </x:c>
      <x:c r="O35" s="32" t="n">
        <x:v>3.38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Dasyatidae</x:v>
      </x:c>
      <x:c r="T35" s="32" t="n">
        <x:f>IF(O35="","",(1/'Metadata'!$B$5)^(O35-1))</x:f>
        <x:v>239.88329190194898</x:v>
      </x:c>
      <x:c r="U35" s="31" t="n">
        <x:f>IF(T35="","",I35*T35)</x:f>
        <x:v>24.78084327997935</x:v>
      </x:c>
    </x:row>
    <x:row r="36" ht="18" customHeight="1">
      <x:c r="A36" s="24" t="str">
        <x:v>EEZ_212</x:v>
      </x:c>
      <x:c r="B36" s="24" t="str">
        <x:v>Dominica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0.049635276699999994</x:v>
      </x:c>
      <x:c r="J36" s="31" t="n">
        <x:v>0.049635276699999994</x:v>
      </x:c>
      <x:c r="K36" s="31" t="n">
        <x:v>0</x:v>
      </x:c>
      <x:c r="L36" s="31" t="n">
        <x:v>0.049635276699999994</x:v>
      </x:c>
      <x:c r="M36" s="31" t="n">
        <x:v>0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71.74480297415869</x:v>
      </x:c>
    </x:row>
    <x:row r="37" ht="18" customHeight="1">
      <x:c r="A37" s="24" t="str">
        <x:v>EEZ_212</x:v>
      </x:c>
      <x:c r="B37" s="24" t="str">
        <x:v>Dominica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0.025186876</x:v>
      </x:c>
      <x:c r="J37" s="31" t="n">
        <x:v>0.025186876</x:v>
      </x:c>
      <x:c r="K37" s="31" t="n">
        <x:v>0</x:v>
      </x:c>
      <x:c r="L37" s="31" t="n">
        <x:v>0.025186876</x:v>
      </x:c>
      <x:c r="M37" s="31" t="n">
        <x:v>0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79.64789530423111</x:v>
      </x:c>
    </x:row>
    <x:row r="38" ht="18" customHeight="1">
      <x:c r="A38" s="24" t="str">
        <x:v>EEZ_212</x:v>
      </x:c>
      <x:c r="B38" s="24" t="str">
        <x:v>Dominica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0.0082913964</x:v>
      </x:c>
      <x:c r="J38" s="31" t="n">
        <x:v>0.0082913964</x:v>
      </x:c>
      <x:c r="K38" s="31" t="n">
        <x:v>0</x:v>
      </x:c>
      <x:c r="L38" s="31" t="n">
        <x:v>0.0082913964</x:v>
      </x:c>
      <x:c r="M38" s="31" t="n">
        <x:v>0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1.8562124388929435</x:v>
      </x:c>
    </x:row>
    <x:row r="39" ht="18" customHeight="1">
      <x:c r="A39" s="24" t="str">
        <x:v>EEZ_212</x:v>
      </x:c>
      <x:c r="B39" s="24" t="str">
        <x:v>Dominica</x:v>
      </x:c>
      <x:c r="C39" s="24" t="str">
        <x:v>EEZ</x:v>
      </x:c>
      <x:c r="D39" s="30" t="n">
        <x:v>2019</x:v>
      </x:c>
      <x:c r="E39" s="24" t="str">
        <x:v>Thunnus obesus</x:v>
      </x:c>
      <x:c r="F39" s="24" t="str">
        <x:v>Bigeye tuna</x:v>
      </x:c>
      <x:c r="G39" s="24" t="str">
        <x:v>Large pelagics (&gt;=90 cm)</x:v>
      </x:c>
      <x:c r="H39" s="24" t="str">
        <x:v>Tuna &amp; billfishes</x:v>
      </x:c>
      <x:c r="I39" s="31" t="n">
        <x:v>0.0051706412</x:v>
      </x:c>
      <x:c r="J39" s="31" t="n">
        <x:v>0.0051706412</x:v>
      </x:c>
      <x:c r="K39" s="31" t="n">
        <x:v>0</x:v>
      </x:c>
      <x:c r="L39" s="31" t="n">
        <x:v>0.0051706412</x:v>
      </x:c>
      <x:c r="M39" s="31" t="n">
        <x:v>0</x:v>
      </x:c>
      <x:c r="N39" s="24" t="str">
        <x:v>thunnus obesus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obesus</x:v>
      </x:c>
      <x:c r="T39" s="32" t="n">
        <x:f>IF(O39="","",(1/'Metadata'!$B$5)^(O39-1))</x:f>
        <x:v>3090.295432513592</x:v>
      </x:c>
      <x:c r="U39" s="31" t="n">
        <x:f>IF(T39="","",I39*T39)</x:f>
        <x:v>15.978808883526598</x:v>
      </x:c>
    </x:row>
    <x:row r="40" ht="18" customHeight="1">
      <x:c r="A40" s="24" t="str">
        <x:v>EEZ_212</x:v>
      </x:c>
      <x:c r="B40" s="24" t="str">
        <x:v>Dominica</x:v>
      </x:c>
      <x:c r="C40" s="24" t="str">
        <x:v>EEZ</x:v>
      </x:c>
      <x:c r="D40" s="30" t="n">
        <x:v>2019</x:v>
      </x:c>
      <x:c r="E40" s="24" t="str">
        <x:v>Ruvettus pretiosus</x:v>
      </x:c>
      <x:c r="F40" s="24" t="str">
        <x:v>Oilfish</x:v>
      </x:c>
      <x:c r="G40" s="24" t="str">
        <x:v>Large benthopelagics (&gt;=90 cm)</x:v>
      </x:c>
      <x:c r="H40" s="24" t="str">
        <x:v>Perch-likes</x:v>
      </x:c>
      <x:c r="I40" s="31" t="n">
        <x:v>0.000088649</x:v>
      </x:c>
      <x:c r="J40" s="31" t="n">
        <x:v>0.000088649</x:v>
      </x:c>
      <x:c r="K40" s="31" t="n">
        <x:v>0</x:v>
      </x:c>
      <x:c r="L40" s="31" t="n">
        <x:v>0.000088649</x:v>
      </x:c>
      <x:c r="M40" s="31" t="n">
        <x:v>0</x:v>
      </x:c>
      <x:c r="N40" s="24" t="str">
        <x:v>ruvettus pretiosus</x:v>
      </x:c>
      <x:c r="O40" s="32" t="n">
        <x:v>4.18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Ruvettus pretiosus</x:v>
      </x:c>
      <x:c r="T40" s="32" t="n">
        <x:f>IF(O40="","",(1/'Metadata'!$B$5)^(O40-1))</x:f>
        <x:v>1513.5612484362073</x:v>
      </x:c>
      <x:c r="U40" s="31" t="n">
        <x:f>IF(T40="","",I40*T40)</x:f>
        <x:v>0.13417569111262134</x:v>
      </x:c>
    </x:row>
    <x:row r="41" ht="18" customHeight="1">
      <x:c r="A41" s="24" t="str">
        <x:v>EEZ_212</x:v>
      </x:c>
      <x:c r="B41" s="24" t="str">
        <x:v>Dominica</x:v>
      </x:c>
      <x:c r="C41" s="24" t="str">
        <x:v>EEZ</x:v>
      </x:c>
      <x:c r="D41" s="30" t="n">
        <x:v>2019</x:v>
      </x:c>
      <x:c r="E41" s="24" t="str">
        <x:v>Istiophoridae</x:v>
      </x:c>
      <x:c r="F41" s="24" t="str">
        <x:v>Billfishes</x:v>
      </x:c>
      <x:c r="G41" s="24" t="str">
        <x:v>Large pelagics (&gt;=90 cm)</x:v>
      </x:c>
      <x:c r="H41" s="24" t="str">
        <x:v>Tuna &amp; billfishes</x:v>
      </x:c>
      <x:c r="I41" s="31" t="n">
        <x:v>0.0000270566</x:v>
      </x:c>
      <x:c r="J41" s="31" t="n">
        <x:v>0.0000270566</x:v>
      </x:c>
      <x:c r="K41" s="31" t="n">
        <x:v>0</x:v>
      </x:c>
      <x:c r="L41" s="31" t="n">
        <x:v>0.0000270566</x:v>
      </x:c>
      <x:c r="M41" s="31" t="n">
        <x:v>0</x:v>
      </x:c>
      <x:c r="N41" s="24" t="str">
        <x:v>istiophoridae</x:v>
      </x:c>
      <x:c r="O41" s="32" t="n">
        <x:v>4.48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Istiophoridae</x:v>
      </x:c>
      <x:c r="T41" s="32" t="n">
        <x:f>IF(O41="","",(1/'Metadata'!$B$5)^(O41-1))</x:f>
        <x:v>3019.951720402019</x:v>
      </x:c>
      <x:c r="U41" s="31" t="n">
        <x:f>IF(T41="","",I41*T41)</x:f>
        <x:v>0.08170962571822928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6c45512aa2245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Herring-likes</x:v>
      </x:c>
      <x:c r="B2" s="31" t="n">
        <x:v>10.01489999</x:v>
      </x:c>
      <x:c r="C2" s="32" t="n">
        <x:v>3.16</x:v>
      </x:c>
      <x:c r="D2" s="32" t="n">
        <x:f>IF(C2="","",(1/'Metadata'!$B$5)^(C2-1))</x:f>
        <x:v>144.5439770745928</x:v>
      </x:c>
      <x:c r="E2" s="31" t="n">
        <x:f>IF(B2=0,"",B2*D2)</x:f>
        <x:v>1447.5934745588995</x:v>
      </x:c>
    </x:row>
    <x:row r="3" ht="18" customHeight="1">
      <x:c r="A3" s="24" t="str">
        <x:v>Other fishes &amp; inverts</x:v>
      </x:c>
      <x:c r="B3" s="31" t="n">
        <x:v>537.4522478250999</x:v>
      </x:c>
      <x:c r="C3" s="32" t="n">
        <x:v>2.9758369108550458</x:v>
      </x:c>
      <x:c r="D3" s="32" t="n">
        <x:f>IF(C3="","",(1/'Metadata'!$B$5)^(C3-1))</x:f>
        <x:v>94.58818908205699</x:v>
      </x:c>
      <x:c r="E3" s="31" t="n">
        <x:f>IF(B3=0,"",B3*D3)</x:f>
        <x:v>50836.6348398571</x:v>
      </x:c>
    </x:row>
    <x:row r="4" ht="18" customHeight="1">
      <x:c r="A4" s="24" t="str">
        <x:v>Perch-likes</x:v>
      </x:c>
      <x:c r="B4" s="31" t="n">
        <x:v>677.9855159409</x:v>
      </x:c>
      <x:c r="C4" s="32" t="n">
        <x:v>4.211211373775172</x:v>
      </x:c>
      <x:c r="D4" s="32" t="n">
        <x:f>IF(C4="","",(1/'Metadata'!$B$5)^(C4-1))</x:f>
        <x:v>1626.3401128154046</x:v>
      </x:c>
      <x:c r="E4" s="31" t="n">
        <x:f>IF(B4=0,"",B4*D4)</x:f>
        <x:v>1102635.0404825336</x:v>
      </x:c>
    </x:row>
    <x:row r="5" ht="18" customHeight="1">
      <x:c r="A5" s="24" t="str">
        <x:v>Sharks &amp; rays</x:v>
      </x:c>
      <x:c r="B5" s="31" t="n">
        <x:v>1.4893883302999997</x:v>
      </x:c>
      <x:c r="C5" s="32" t="n">
        <x:v>4.177684454722897</x:v>
      </x:c>
      <x:c r="D5" s="32" t="n">
        <x:f>IF(C5="","",(1/'Metadata'!$B$5)^(C5-1))</x:f>
        <x:v>1505.5128084902765</x:v>
      </x:c>
      <x:c r="E5" s="31" t="n">
        <x:f>IF(B5=0,"",B5*D5)</x:f>
        <x:v>2242.2932080825963</x:v>
      </x:c>
    </x:row>
    <x:row r="6" ht="18" customHeight="1">
      <x:c r="A6" s="24" t="str">
        <x:v>Tuna &amp; billfishes</x:v>
      </x:c>
      <x:c r="B6" s="31" t="n">
        <x:v>647.2281559119001</x:v>
      </x:c>
      <x:c r="C6" s="32" t="n">
        <x:v>4.418808313478668</x:v>
      </x:c>
      <x:c r="D6" s="32" t="n">
        <x:f>IF(C6="","",(1/'Metadata'!$B$5)^(C6-1))</x:f>
        <x:v>2623.0605357436375</x:v>
      </x:c>
      <x:c r="E6" s="31" t="n">
        <x:f>IF(B6=0,"",B6*D6)</x:f>
        <x:v>1697718.6333946353</x:v>
      </x:c>
    </x:row>
  </x:sheetData>
  <x:pageMargins left="0.7" right="0.7" top="0.75" bottom="0.75" header="0.3" footer="0.3"/>
  <x:tableParts count="1">
    <x:tablePart xmlns:r="http://schemas.openxmlformats.org/officeDocument/2006/relationships" r:id="Rdb45d1ee23fa4c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0.000088649</x:v>
      </x:c>
      <x:c r="C2" s="32" t="n">
        <x:v>4.18</x:v>
      </x:c>
      <x:c r="D2" s="32" t="n">
        <x:f>IF(C2="","",(1/'Metadata'!$B$5)^(C2-1))</x:f>
        <x:v>1513.5612484362073</x:v>
      </x:c>
      <x:c r="E2" s="31" t="n">
        <x:f>IF(B2=0,"",B2*D2)</x:f>
        <x:v>0.13417569111262134</x:v>
      </x:c>
    </x:row>
    <x:row r="3" ht="18" customHeight="1">
      <x:c r="A3" s="24" t="str">
        <x:v>Large demersals (&gt;=90 cm)</x:v>
      </x:c>
      <x:c r="B3" s="31" t="n">
        <x:v>5.011684894</x:v>
      </x:c>
      <x:c r="C3" s="32" t="n">
        <x:v>3.8900000000000006</x:v>
      </x:c>
      <x:c r="D3" s="32" t="n">
        <x:f>IF(C3="","",(1/'Metadata'!$B$5)^(C3-1))</x:f>
        <x:v>776.2471166286928</x:v>
      </x:c>
      <x:c r="E3" s="31" t="n">
        <x:f>IF(B3=0,"",B3*D3)</x:f>
        <x:v>3890.305948419076</x:v>
      </x:c>
    </x:row>
    <x:row r="4" ht="18" customHeight="1">
      <x:c r="A4" s="24" t="str">
        <x:v>Large pelagics (&gt;=90 cm)</x:v>
      </x:c>
      <x:c r="B4" s="31" t="n">
        <x:v>1079.3392192617</x:v>
      </x:c>
      <x:c r="C4" s="32" t="n">
        <x:v>4.393126288122886</x:v>
      </x:c>
      <x:c r="D4" s="32" t="n">
        <x:f>IF(C4="","",(1/'Metadata'!$B$5)^(C4-1))</x:f>
        <x:v>2472.4430000898287</x:v>
      </x:c>
      <x:c r="E4" s="31" t="n">
        <x:f>IF(B4=0,"",B4*D4)</x:f>
        <x:v>2668604.697386011</x:v>
      </x:c>
    </x:row>
    <x:row r="5" ht="18" customHeight="1">
      <x:c r="A5" s="24" t="str">
        <x:v>Large rays (&gt;=90 cm)</x:v>
      </x:c>
      <x:c r="B5" s="31" t="n">
        <x:v>0.1033037486</x:v>
      </x:c>
      <x:c r="C5" s="32" t="n">
        <x:v>3.38</x:v>
      </x:c>
      <x:c r="D5" s="32" t="n">
        <x:f>IF(C5="","",(1/'Metadata'!$B$5)^(C5-1))</x:f>
        <x:v>239.88329190194898</x:v>
      </x:c>
      <x:c r="E5" s="31" t="n">
        <x:f>IF(B5=0,"",B5*D5)</x:f>
        <x:v>24.78084327997935</x:v>
      </x:c>
    </x:row>
    <x:row r="6" ht="18" customHeight="1">
      <x:c r="A6" s="24" t="str">
        <x:v>Large reef assoc. fish (&gt;=90 cm)</x:v>
      </x:c>
      <x:c r="B6" s="31" t="n">
        <x:v>7.0033372106</x:v>
      </x:c>
      <x:c r="C6" s="32" t="n">
        <x:v>3.5815060780404857</x:v>
      </x:c>
      <x:c r="D6" s="32" t="n">
        <x:f>IF(C6="","",(1/'Metadata'!$B$5)^(C6-1))</x:f>
        <x:v>381.5101335547639</x:v>
      </x:c>
      <x:c r="E6" s="31" t="n">
        <x:f>IF(B6=0,"",B6*D6)</x:f>
        <x:v>2671.844114545054</x:v>
      </x:c>
    </x:row>
    <x:row r="7" ht="18" customHeight="1">
      <x:c r="A7" s="24" t="str">
        <x:v>Large sharks (&gt;=90 cm)</x:v>
      </x:c>
      <x:c r="B7" s="31" t="n">
        <x:v>1.3860845816999998</x:v>
      </x:c>
      <x:c r="C7" s="32" t="n">
        <x:v>4.237135223789064</x:v>
      </x:c>
      <x:c r="D7" s="32" t="n">
        <x:f>IF(C7="","",(1/'Metadata'!$B$5)^(C7-1))</x:f>
        <x:v>1726.3753399311263</x:v>
      </x:c>
      <x:c r="E7" s="31" t="n">
        <x:f>IF(B7=0,"",B7*D7)</x:f>
        <x:v>2392.90224090563</x:v>
      </x:c>
    </x:row>
    <x:row r="8" ht="18" customHeight="1">
      <x:c r="A8" s="24" t="str">
        <x:v>Medium demersals (30 - 89 cm)</x:v>
      </x:c>
      <x:c r="B8" s="31" t="n">
        <x:v>280.7558586337</x:v>
      </x:c>
      <x:c r="C8" s="32" t="n">
        <x:v>3.2846473640092486</x:v>
      </x:c>
      <x:c r="D8" s="32" t="n">
        <x:f>IF(C8="","",(1/'Metadata'!$B$5)^(C8-1))</x:f>
        <x:v>192.59604475921202</x:v>
      </x:c>
      <x:c r="E8" s="31" t="n">
        <x:f>IF(B8=0,"",B8*D8)</x:f>
        <x:v>54072.46791582708</x:v>
      </x:c>
    </x:row>
    <x:row r="9" ht="18" customHeight="1">
      <x:c r="A9" s="24" t="str">
        <x:v>Medium pelagics (30 - 89 cm)</x:v>
      </x:c>
      <x:c r="B9" s="31" t="n">
        <x:v>217.3265272467</x:v>
      </x:c>
      <x:c r="C9" s="32" t="n">
        <x:v>2.718865942005735</x:v>
      </x:c>
      <x:c r="D9" s="32" t="n">
        <x:f>IF(C9="","",(1/'Metadata'!$B$5)^(C9-1))</x:f>
        <x:v>52.343883657744776</x:v>
      </x:c>
      <x:c r="E9" s="31" t="n">
        <x:f>IF(B9=0,"",B9*D9)</x:f>
        <x:v>11375.714457942966</x:v>
      </x:c>
    </x:row>
    <x:row r="10" ht="18" customHeight="1">
      <x:c r="A10" s="24" t="str">
        <x:v>Medium reef assoc. fish (30 - 89 cm)</x:v>
      </x:c>
      <x:c r="B10" s="31" t="n">
        <x:v>241.71019665219998</x:v>
      </x:c>
      <x:c r="C10" s="32" t="n">
        <x:v>3.749056865946362</x:v>
      </x:c>
      <x:c r="D10" s="32" t="n">
        <x:f>IF(C10="","",(1/'Metadata'!$B$5)^(C10-1))</x:f>
        <x:v>561.1214437238654</x:v>
      </x:c>
      <x:c r="E10" s="31" t="n">
        <x:f>IF(B10=0,"",B10*D10)</x:f>
        <x:v>135628.77450826185</x:v>
      </x:c>
    </x:row>
    <x:row r="11" ht="18" customHeight="1">
      <x:c r="A11" s="24" t="str">
        <x:v>Small pelagics (&lt;30 cm)</x:v>
      </x:c>
      <x:c r="B11" s="31" t="n">
        <x:v>10.01489999</x:v>
      </x:c>
      <x:c r="C11" s="32" t="n">
        <x:v>3.16</x:v>
      </x:c>
      <x:c r="D11" s="32" t="n">
        <x:f>IF(C11="","",(1/'Metadata'!$B$5)^(C11-1))</x:f>
        <x:v>144.5439770745928</x:v>
      </x:c>
      <x:c r="E11" s="31" t="n">
        <x:f>IF(B11=0,"",B11*D11)</x:f>
        <x:v>1447.5934745588995</x:v>
      </x:c>
    </x:row>
    <x:row r="12" ht="18" customHeight="1">
      <x:c r="A12" s="24" t="str">
        <x:v>Small reef assoc. fish (&lt;30 cm)</x:v>
      </x:c>
      <x:c r="B12" s="31" t="n">
        <x:v>31.51900713</x:v>
      </x:c>
      <x:c r="C12" s="32" t="n">
        <x:v>3.457752791329757</x:v>
      </x:c>
      <x:c r="D12" s="32" t="n">
        <x:f>IF(C12="","",(1/'Metadata'!$B$5)^(C12-1))</x:f>
        <x:v>286.9146944168518</x:v>
      </x:c>
      <x:c r="E12" s="31" t="n">
        <x:f>IF(B12=0,"",B12*D12)</x:f>
        <x:v>9043.266299026522</x:v>
      </x:c>
    </x:row>
  </x:sheetData>
  <x:pageMargins left="0.7" right="0.7" top="0.75" bottom="0.75" header="0.3" footer="0.3"/>
  <x:tableParts count="1">
    <x:tablePart xmlns:r="http://schemas.openxmlformats.org/officeDocument/2006/relationships" r:id="Rb528ea35722543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EEZ_212</x:v>
      </x:c>
      <x:c r="B2" s="24" t="str">
        <x:v>raw_filtered_tonnes</x:v>
      </x:c>
      <x:c r="C2" s="24" t="n">
        <x:v>1874.1702079982</x:v>
      </x:c>
      <x:c r="D2" s="24" t="str">
        <x:v>tonnes</x:v>
      </x:c>
    </x:row>
    <x:row r="3" ht="18" customHeight="1">
      <x:c r="A3" s="24" t="str">
        <x:v>EEZ_212</x:v>
      </x:c>
      <x:c r="B3" s="24" t="str">
        <x:v>species_catch_tonnes</x:v>
      </x:c>
      <x:c r="C3" s="24" t="n">
        <x:v>1874.1702079981997</x:v>
      </x:c>
      <x:c r="D3" s="24" t="str">
        <x:v>tonnes</x:v>
      </x:c>
    </x:row>
    <x:row r="4" ht="18" customHeight="1">
      <x:c r="A4" s="24" t="str">
        <x:v>EEZ_212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EEZ_212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EEZ_212</x:v>
      </x:c>
      <x:c r="B6" s="24" t="str">
        <x:v>matched_catch_tonnes</x:v>
      </x:c>
      <x:c r="C6" s="24" t="n">
        <x:v>1874.1702079981997</x:v>
      </x:c>
      <x:c r="D6" s="24" t="str">
        <x:v>tonnes</x:v>
      </x:c>
    </x:row>
    <x:row r="7" ht="18" customHeight="1">
      <x:c r="A7" s="24" t="str">
        <x:v>EEZ_212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EEZ_212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EEZ_212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EEZ_212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EEZ_212</x:v>
      </x:c>
      <x:c r="B11" s="24" t="str">
        <x:v>species_ppr</x:v>
      </x:c>
      <x:c r="C11" s="24" t="n">
        <x:v>3053112.649782929</x:v>
      </x:c>
      <x:c r="D11" s="24" t="str">
        <x:v>tonnes_primary_production_equivalent</x:v>
      </x:c>
    </x:row>
    <x:row r="12" ht="18" customHeight="1">
      <x:c r="A12" s="24" t="str">
        <x:v>EEZ_212</x:v>
      </x:c>
      <x:c r="B12" s="24" t="str">
        <x:v>commercial_ppr</x:v>
      </x:c>
      <x:c r="C12" s="24" t="n">
        <x:v>2854880.1953996676</x:v>
      </x:c>
      <x:c r="D12" s="24" t="str">
        <x:v>tonnes_primary_production_equivalent</x:v>
      </x:c>
    </x:row>
    <x:row r="13" ht="18" customHeight="1">
      <x:c r="A13" s="24" t="str">
        <x:v>EEZ_212</x:v>
      </x:c>
      <x:c r="B13" s="24" t="str">
        <x:v>functional_ppr</x:v>
      </x:c>
      <x:c r="C13" s="24" t="n">
        <x:v>2889152.4813644695</x:v>
      </x:c>
      <x:c r="D13" s="24" t="str">
        <x:v>tonnes_primary_production_equivalent</x:v>
      </x:c>
    </x:row>
    <x:row r="14" ht="18" customHeight="1">
      <x:c r="A14" s="24" t="str">
        <x:v>EEZ_212</x:v>
      </x:c>
      <x:c r="B14" s="24" t="str">
        <x:v>commercial_ppr_difference</x:v>
      </x:c>
      <x:c r="C14" s="24" t="n">
        <x:v>-198232.4543832615</x:v>
      </x:c>
      <x:c r="D14" s="24" t="str">
        <x:v>tonnes_primary_production_equivalent</x:v>
      </x:c>
    </x:row>
    <x:row r="15" ht="18" customHeight="1">
      <x:c r="A15" s="24" t="str">
        <x:v>EEZ_212</x:v>
      </x:c>
      <x:c r="B15" s="24" t="str">
        <x:v>functional_ppr_difference</x:v>
      </x:c>
      <x:c r="C15" s="24" t="n">
        <x:v>-163960.1684184596</x:v>
      </x:c>
      <x:c r="D15" s="24" t="str">
        <x:v>tonnes_primary_production_equivalent</x:v>
      </x:c>
    </x:row>
    <x:row r="16" ht="18" customHeight="1">
      <x:c r="A16" s="24" t="str">
        <x:v>EEZ_212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dda92bbc85a45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EEZ_212 - Dominica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