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11ce8036044c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b80d049e6b084470"/>
    <x:sheet xmlns:r="http://schemas.openxmlformats.org/officeDocument/2006/relationships" name="Commercial" sheetId="2" r:id="Rc451961cc4824847"/>
    <x:sheet xmlns:r="http://schemas.openxmlformats.org/officeDocument/2006/relationships" name="Functional" sheetId="3" r:id="Reeafcbc8d3ff4210"/>
    <x:sheet xmlns:r="http://schemas.openxmlformats.org/officeDocument/2006/relationships" name="Missing TL" sheetId="4" r:id="R46f395a6bb0d406e"/>
    <x:sheet xmlns:r="http://schemas.openxmlformats.org/officeDocument/2006/relationships" name="Validation" sheetId="5" r:id="Ref2e318b83d64230"/>
    <x:sheet xmlns:r="http://schemas.openxmlformats.org/officeDocument/2006/relationships" name="Metadata" sheetId="6" r:id="Rde4aee1ec2f443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e3d9b8615947c0" /><Relationship Type="http://schemas.openxmlformats.org/officeDocument/2006/relationships/theme" Target="/xl/theme/theme1.xml" Id="Rbb2817c1259343c3" /><Relationship Type="http://schemas.microsoft.com/office/2022/11/relationships/FeaturePropertyBag" Target="/xl/featurePropertyBag/featurePropertyBag.xml" Id="Rbd41a57ae9704851" /><Relationship Type="http://schemas.openxmlformats.org/officeDocument/2006/relationships/sharedStrings" Target="/xl/sharedStrings.xml" Id="Ra493a01baa204176" /><Relationship Type="http://schemas.openxmlformats.org/officeDocument/2006/relationships/worksheet" Target="/xl/worksheets/sheet1.xml" Id="Rb80d049e6b084470" /><Relationship Type="http://schemas.openxmlformats.org/officeDocument/2006/relationships/worksheet" Target="/xl/worksheets/sheet2.xml" Id="Rc451961cc4824847" /><Relationship Type="http://schemas.openxmlformats.org/officeDocument/2006/relationships/worksheet" Target="/xl/worksheets/sheet3.xml" Id="Reeafcbc8d3ff4210" /><Relationship Type="http://schemas.openxmlformats.org/officeDocument/2006/relationships/worksheet" Target="/xl/worksheets/sheet4.xml" Id="R46f395a6bb0d406e" /><Relationship Type="http://schemas.openxmlformats.org/officeDocument/2006/relationships/worksheet" Target="/xl/worksheets/sheet5.xml" Id="Ref2e318b83d64230" /><Relationship Type="http://schemas.openxmlformats.org/officeDocument/2006/relationships/worksheet" Target="/xl/worksheets/sheet6.xml" Id="Rde4aee1ec2f443a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634SpeciesTable" displayName="EEZ634SpeciesTable" ref="A1:U48" headerRowCount="1" totalsRowCount="0" totalsRowShown="0">
  <x:autoFilter ref="A1:U48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634CommercialTable" displayName="EEZ634CommercialTable" ref="A1:E7" headerRowCount="1" totalsRowCount="0" totalsRowShown="0">
  <x:autoFilter ref="A1:E7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634FunctionalTable" displayName="EEZ634FunctionalTable" ref="A1:E14" headerRowCount="1" totalsRowCount="0" totalsRowShown="0">
  <x:autoFilter ref="A1:E14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634ValidationTable" displayName="EEZ634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0063699eb474a2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b584670be504d3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04c0c3a0563419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16dc8faa592430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EEZ_634</x:v>
      </x:c>
      <x:c r="B2" s="24" t="str">
        <x:v>Qatar</x:v>
      </x:c>
      <x:c r="C2" s="24" t="str">
        <x:v>EEZ</x:v>
      </x:c>
      <x:c r="D2" s="30" t="n">
        <x:v>2019</x:v>
      </x:c>
      <x:c r="E2" s="24" t="str">
        <x:v>Lethrinidae</x:v>
      </x:c>
      <x:c r="F2" s="24" t="str">
        <x:v>Emperors, scavengers</x:v>
      </x:c>
      <x:c r="G2" s="24" t="str">
        <x:v>Medium reef assoc. fish (30 - 89 cm)</x:v>
      </x:c>
      <x:c r="H2" s="24" t="str">
        <x:v>Perch-likes</x:v>
      </x:c>
      <x:c r="I2" s="31" t="n">
        <x:v>3880.1570633</x:v>
      </x:c>
      <x:c r="J2" s="31" t="n">
        <x:v>3798.8119031700003</x:v>
      </x:c>
      <x:c r="K2" s="31" t="n">
        <x:v>81.34516013</x:v>
      </x:c>
      <x:c r="L2" s="31" t="n">
        <x:v>3794.0000005</x:v>
      </x:c>
      <x:c r="M2" s="31" t="n">
        <x:v>86.1570628</x:v>
      </x:c>
      <x:c r="N2" s="24" t="str">
        <x:v>lethrinidae</x:v>
      </x:c>
      <x:c r="O2" s="32" t="n">
        <x:v>3.59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Lethrinidae</x:v>
      </x:c>
      <x:c r="T2" s="32" t="n">
        <x:f>IF(O2="","",(1/'Metadata'!$B$5)^(O2-1))</x:f>
        <x:v>389.04514499428046</x:v>
      </x:c>
      <x:c r="U2" s="31" t="n">
        <x:f>IF(T2="","",I2*T2)</x:f>
        <x:v>1509556.26729213</x:v>
      </x:c>
    </x:row>
    <x:row r="3" ht="18" customHeight="1">
      <x:c r="A3" s="24" t="str">
        <x:v>EEZ_634</x:v>
      </x:c>
      <x:c r="B3" s="24" t="str">
        <x:v>Qatar</x:v>
      </x:c>
      <x:c r="C3" s="24" t="str">
        <x:v>EEZ</x:v>
      </x:c>
      <x:c r="D3" s="30" t="n">
        <x:v>2019</x:v>
      </x:c>
      <x:c r="E3" s="24" t="str">
        <x:v>Marine fishes not identified</x:v>
      </x:c>
      <x:c r="F3" s="24" t="str">
        <x:v>Marine fishes nei</x:v>
      </x:c>
      <x:c r="G3" s="24" t="str">
        <x:v>Medium demersals (30 - 89 cm)</x:v>
      </x:c>
      <x:c r="H3" s="24" t="str">
        <x:v>Other fishes &amp; inverts</x:v>
      </x:c>
      <x:c r="I3" s="31" t="n">
        <x:v>2062.61612845</x:v>
      </x:c>
      <x:c r="J3" s="31" t="n">
        <x:v>1935.199309832</x:v>
      </x:c>
      <x:c r="K3" s="31" t="n">
        <x:v>127.416818618</x:v>
      </x:c>
      <x:c r="L3" s="31" t="n">
        <x:v>1723.00000002</x:v>
      </x:c>
      <x:c r="M3" s="31" t="n">
        <x:v>339.61612843</x:v>
      </x:c>
      <x:c r="N3" s="24" t="str">
        <x:v>marine fishes not identified</x:v>
      </x:c>
      <x:c r="O3" s="32" t="n">
        <x:v>3.28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Marine fishes not identified</x:v>
      </x:c>
      <x:c r="T3" s="32" t="n">
        <x:f>IF(O3="","",(1/'Metadata'!$B$5)^(O3-1))</x:f>
        <x:v>190.54607179632464</x:v>
      </x:c>
      <x:c r="U3" s="31" t="n">
        <x:f>IF(T3="","",I3*T3)</x:f>
        <x:v>393023.40089989087</x:v>
      </x:c>
    </x:row>
    <x:row r="4" ht="18" customHeight="1">
      <x:c r="A4" s="24" t="str">
        <x:v>EEZ_634</x:v>
      </x:c>
      <x:c r="B4" s="24" t="str">
        <x:v>Qatar</x:v>
      </x:c>
      <x:c r="C4" s="24" t="str">
        <x:v>EEZ</x:v>
      </x:c>
      <x:c r="D4" s="30" t="n">
        <x:v>2019</x:v>
      </x:c>
      <x:c r="E4" s="24" t="str">
        <x:v>Scomberomorus commerson</x:v>
      </x:c>
      <x:c r="F4" s="24" t="str">
        <x:v>Narrow-barred Spanish mackerel</x:v>
      </x:c>
      <x:c r="G4" s="24" t="str">
        <x:v>Large pelagics (&gt;=90 cm)</x:v>
      </x:c>
      <x:c r="H4" s="24" t="str">
        <x:v>Perch-likes</x:v>
      </x:c>
      <x:c r="I4" s="31" t="n">
        <x:v>1904.9999998429998</x:v>
      </x:c>
      <x:c r="J4" s="31" t="n">
        <x:v>1904.9999998429998</x:v>
      </x:c>
      <x:c r="K4" s="31" t="n">
        <x:v>0</x:v>
      </x:c>
      <x:c r="L4" s="31" t="n">
        <x:v>1904.9999998429998</x:v>
      </x:c>
      <x:c r="M4" s="31" t="n">
        <x:v>0</x:v>
      </x:c>
      <x:c r="N4" s="24" t="str">
        <x:v>scomberomorus commerson</x:v>
      </x:c>
      <x:c r="O4" s="32" t="n">
        <x:v>4.5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Scomberomorus commerson</x:v>
      </x:c>
      <x:c r="T4" s="32" t="n">
        <x:f>IF(O4="","",(1/'Metadata'!$B$5)^(O4-1))</x:f>
        <x:v>3162.2776601683795</x:v>
      </x:c>
      <x:c r="U4" s="31" t="n">
        <x:f>IF(T4="","",I4*T4)</x:f>
        <x:v>6024138.942124285</x:v>
      </x:c>
    </x:row>
    <x:row r="5" ht="18" customHeight="1">
      <x:c r="A5" s="24" t="str">
        <x:v>EEZ_634</x:v>
      </x:c>
      <x:c r="B5" s="24" t="str">
        <x:v>Qatar</x:v>
      </x:c>
      <x:c r="C5" s="24" t="str">
        <x:v>EEZ</x:v>
      </x:c>
      <x:c r="D5" s="30" t="n">
        <x:v>2019</x:v>
      </x:c>
      <x:c r="E5" s="24" t="str">
        <x:v>Serranidae</x:v>
      </x:c>
      <x:c r="F5" s="24" t="str">
        <x:v>Basses, groupers, hinds</x:v>
      </x:c>
      <x:c r="G5" s="24" t="str">
        <x:v>Medium reef assoc. fish (30 - 89 cm)</x:v>
      </x:c>
      <x:c r="H5" s="24" t="str">
        <x:v>Perch-likes</x:v>
      </x:c>
      <x:c r="I5" s="31" t="n">
        <x:v>1324.99999998</x:v>
      </x:c>
      <x:c r="J5" s="31" t="n">
        <x:v>1324.99999998</x:v>
      </x:c>
      <x:c r="K5" s="31" t="n">
        <x:v>0</x:v>
      </x:c>
      <x:c r="L5" s="31" t="n">
        <x:v>1324.99999998</x:v>
      </x:c>
      <x:c r="M5" s="31" t="n">
        <x:v>0</x:v>
      </x:c>
      <x:c r="N5" s="24" t="str">
        <x:v>serranidae</x:v>
      </x:c>
      <x:c r="O5" s="32" t="n">
        <x:v>3.98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Serranidae</x:v>
      </x:c>
      <x:c r="T5" s="32" t="n">
        <x:f>IF(O5="","",(1/'Metadata'!$B$5)^(O5-1))</x:f>
        <x:v>954.992586021436</x:v>
      </x:c>
      <x:c r="U5" s="31" t="n">
        <x:f>IF(T5="","",I5*T5)</x:f>
        <x:v>1265365.1764593027</x:v>
      </x:c>
    </x:row>
    <x:row r="6" ht="18" customHeight="1">
      <x:c r="A6" s="24" t="str">
        <x:v>EEZ_634</x:v>
      </x:c>
      <x:c r="B6" s="24" t="str">
        <x:v>Qatar</x:v>
      </x:c>
      <x:c r="C6" s="24" t="str">
        <x:v>EEZ</x:v>
      </x:c>
      <x:c r="D6" s="30" t="n">
        <x:v>2019</x:v>
      </x:c>
      <x:c r="E6" s="24" t="str">
        <x:v>Siganidae</x:v>
      </x:c>
      <x:c r="F6" s="24" t="str">
        <x:v>Rabbitfishes</x:v>
      </x:c>
      <x:c r="G6" s="24" t="str">
        <x:v>Medium reef assoc. fish (30 - 89 cm)</x:v>
      </x:c>
      <x:c r="H6" s="24" t="str">
        <x:v>Perch-likes</x:v>
      </x:c>
      <x:c r="I6" s="31" t="n">
        <x:v>1208.109427635</x:v>
      </x:c>
      <x:c r="J6" s="31" t="n">
        <x:v>1208.109427635</x:v>
      </x:c>
      <x:c r="K6" s="31" t="n">
        <x:v>0</x:v>
      </x:c>
      <x:c r="L6" s="31" t="n">
        <x:v>1159.00000004</x:v>
      </x:c>
      <x:c r="M6" s="31" t="n">
        <x:v>49.109427595</x:v>
      </x:c>
      <x:c r="N6" s="24" t="str">
        <x:v>siganidae</x:v>
      </x:c>
      <x:c r="O6" s="32" t="n">
        <x:v>2.11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Siganidae</x:v>
      </x:c>
      <x:c r="T6" s="32" t="n">
        <x:f>IF(O6="","",(1/'Metadata'!$B$5)^(O6-1))</x:f>
        <x:v>12.882495516931336</x:v>
      </x:c>
      <x:c r="U6" s="31" t="n">
        <x:f>IF(T6="","",I6*T6)</x:f>
        <x:v>15563.464285470369</x:v>
      </x:c>
    </x:row>
    <x:row r="7" ht="18" customHeight="1">
      <x:c r="A7" s="24" t="str">
        <x:v>EEZ_634</x:v>
      </x:c>
      <x:c r="B7" s="24" t="str">
        <x:v>Qatar</x:v>
      </x:c>
      <x:c r="C7" s="24" t="str">
        <x:v>EEZ</x:v>
      </x:c>
      <x:c r="D7" s="30" t="n">
        <x:v>2019</x:v>
      </x:c>
      <x:c r="E7" s="24" t="str">
        <x:v>Rhabdosargus haffara</x:v>
      </x:c>
      <x:c r="F7" s="24" t="str">
        <x:v>Haffara seabream</x:v>
      </x:c>
      <x:c r="G7" s="24" t="str">
        <x:v>Medium reef assoc. fish (30 - 89 cm)</x:v>
      </x:c>
      <x:c r="H7" s="24" t="str">
        <x:v>Perch-likes</x:v>
      </x:c>
      <x:c r="I7" s="31" t="n">
        <x:v>961</x:v>
      </x:c>
      <x:c r="J7" s="31" t="n">
        <x:v>961</x:v>
      </x:c>
      <x:c r="K7" s="31" t="n">
        <x:v>0</x:v>
      </x:c>
      <x:c r="L7" s="31" t="n">
        <x:v>961</x:v>
      </x:c>
      <x:c r="M7" s="31" t="n">
        <x:v>0</x:v>
      </x:c>
      <x:c r="N7" s="24" t="str">
        <x:v>rhabdosargus haffara</x:v>
      </x:c>
      <x:c r="O7" s="32" t="n">
        <x:v>3.5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Rhabdosargus haffara</x:v>
      </x:c>
      <x:c r="T7" s="32" t="n">
        <x:f>IF(O7="","",(1/'Metadata'!$B$5)^(O7-1))</x:f>
        <x:v>316.22776601683796</x:v>
      </x:c>
      <x:c r="U7" s="31" t="n">
        <x:f>IF(T7="","",I7*T7)</x:f>
        <x:v>303894.88314218126</x:v>
      </x:c>
    </x:row>
    <x:row r="8" ht="18" customHeight="1">
      <x:c r="A8" s="24" t="str">
        <x:v>EEZ_634</x:v>
      </x:c>
      <x:c r="B8" s="24" t="str">
        <x:v>Qatar</x:v>
      </x:c>
      <x:c r="C8" s="24" t="str">
        <x:v>EEZ</x:v>
      </x:c>
      <x:c r="D8" s="30" t="n">
        <x:v>2019</x:v>
      </x:c>
      <x:c r="E8" s="24" t="str">
        <x:v>Atule mate</x:v>
      </x:c>
      <x:c r="F8" s="24" t="str">
        <x:v>Yellowtail scad</x:v>
      </x:c>
      <x:c r="G8" s="24" t="str">
        <x:v>Small pelagics (&lt;30 cm)</x:v>
      </x:c>
      <x:c r="H8" s="24" t="str">
        <x:v>Perch-likes</x:v>
      </x:c>
      <x:c r="I8" s="31" t="n">
        <x:v>612</x:v>
      </x:c>
      <x:c r="J8" s="31" t="n">
        <x:v>612</x:v>
      </x:c>
      <x:c r="K8" s="31" t="n">
        <x:v>0</x:v>
      </x:c>
      <x:c r="L8" s="31" t="n">
        <x:v>612</x:v>
      </x:c>
      <x:c r="M8" s="31" t="n">
        <x:v>0</x:v>
      </x:c>
      <x:c r="N8" s="24" t="str">
        <x:v>atule mate</x:v>
      </x:c>
      <x:c r="O8" s="32" t="n">
        <x:v>4.22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Atule mate</x:v>
      </x:c>
      <x:c r="T8" s="32" t="n">
        <x:f>IF(O8="","",(1/'Metadata'!$B$5)^(O8-1))</x:f>
        <x:v>1659.5869074375596</x:v>
      </x:c>
      <x:c r="U8" s="31" t="n">
        <x:f>IF(T8="","",I8*T8)</x:f>
        <x:v>1015667.1873517865</x:v>
      </x:c>
    </x:row>
    <x:row r="9" ht="18" customHeight="1">
      <x:c r="A9" s="24" t="str">
        <x:v>EEZ_634</x:v>
      </x:c>
      <x:c r="B9" s="24" t="str">
        <x:v>Qatar</x:v>
      </x:c>
      <x:c r="C9" s="24" t="str">
        <x:v>EEZ</x:v>
      </x:c>
      <x:c r="D9" s="30" t="n">
        <x:v>2019</x:v>
      </x:c>
      <x:c r="E9" s="24" t="str">
        <x:v>Carcharhinidae</x:v>
      </x:c>
      <x:c r="F9" s="24" t="str">
        <x:v>Requiem sharks</x:v>
      </x:c>
      <x:c r="G9" s="24" t="str">
        <x:v>Large sharks (&gt;=90 cm)</x:v>
      </x:c>
      <x:c r="H9" s="24" t="str">
        <x:v>Sharks &amp; rays</x:v>
      </x:c>
      <x:c r="I9" s="31" t="n">
        <x:v>605.075240788</x:v>
      </x:c>
      <x:c r="J9" s="31" t="n">
        <x:v>605.075240788</x:v>
      </x:c>
      <x:c r="K9" s="31" t="n">
        <x:v>0</x:v>
      </x:c>
      <x:c r="L9" s="31" t="n">
        <x:v>90</x:v>
      </x:c>
      <x:c r="M9" s="31" t="n">
        <x:v>515.075240788</x:v>
      </x:c>
      <x:c r="N9" s="24" t="str">
        <x:v>carcharhinidae</x:v>
      </x:c>
      <x:c r="O9" s="32" t="n">
        <x:v>4.24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Carcharhinidae</x:v>
      </x:c>
      <x:c r="T9" s="32" t="n">
        <x:f>IF(O9="","",(1/'Metadata'!$B$5)^(O9-1))</x:f>
        <x:v>1737.8008287493763</x:v>
      </x:c>
      <x:c r="U9" s="31" t="n">
        <x:f>IF(T9="","",I9*T9)</x:f>
        <x:v>1051500.2548971148</x:v>
      </x:c>
    </x:row>
    <x:row r="10" ht="18" customHeight="1">
      <x:c r="A10" s="24" t="str">
        <x:v>EEZ_634</x:v>
      </x:c>
      <x:c r="B10" s="24" t="str">
        <x:v>Qatar</x:v>
      </x:c>
      <x:c r="C10" s="24" t="str">
        <x:v>EEZ</x:v>
      </x:c>
      <x:c r="D10" s="30" t="n">
        <x:v>2019</x:v>
      </x:c>
      <x:c r="E10" s="24" t="str">
        <x:v>Caranx ignobilis</x:v>
      </x:c>
      <x:c r="F10" s="24" t="str">
        <x:v>Giant trevally</x:v>
      </x:c>
      <x:c r="G10" s="24" t="str">
        <x:v>Large reef assoc. fish (&gt;=90 cm)</x:v>
      </x:c>
      <x:c r="H10" s="24" t="str">
        <x:v>Perch-likes</x:v>
      </x:c>
      <x:c r="I10" s="31" t="n">
        <x:v>597.9999999610001</x:v>
      </x:c>
      <x:c r="J10" s="31" t="n">
        <x:v>597.9999999610001</x:v>
      </x:c>
      <x:c r="K10" s="31" t="n">
        <x:v>0</x:v>
      </x:c>
      <x:c r="L10" s="31" t="n">
        <x:v>597.9999999610001</x:v>
      </x:c>
      <x:c r="M10" s="31" t="n">
        <x:v>0</x:v>
      </x:c>
      <x:c r="N10" s="24" t="str">
        <x:v>caranx ignobilis</x:v>
      </x:c>
      <x:c r="O10" s="32" t="n">
        <x:v>4.22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Caranx ignobilis</x:v>
      </x:c>
      <x:c r="T10" s="32" t="n">
        <x:f>IF(O10="","",(1/'Metadata'!$B$5)^(O10-1))</x:f>
        <x:v>1659.5869074375596</x:v>
      </x:c>
      <x:c r="U10" s="31" t="n">
        <x:f>IF(T10="","",I10*T10)</x:f>
        <x:v>992432.9705829369</x:v>
      </x:c>
    </x:row>
    <x:row r="11" ht="18" customHeight="1">
      <x:c r="A11" s="24" t="str">
        <x:v>EEZ_634</x:v>
      </x:c>
      <x:c r="B11" s="24" t="str">
        <x:v>Qatar</x:v>
      </x:c>
      <x:c r="C11" s="24" t="str">
        <x:v>EEZ</x:v>
      </x:c>
      <x:c r="D11" s="30" t="n">
        <x:v>2019</x:v>
      </x:c>
      <x:c r="E11" s="24" t="str">
        <x:v>Argyrops spinifer</x:v>
      </x:c>
      <x:c r="F11" s="24" t="str">
        <x:v>King soldier bream</x:v>
      </x:c>
      <x:c r="G11" s="24" t="str">
        <x:v>Medium demersals (30 - 89 cm)</x:v>
      </x:c>
      <x:c r="H11" s="24" t="str">
        <x:v>Perch-likes</x:v>
      </x:c>
      <x:c r="I11" s="31" t="n">
        <x:v>451.99999999399995</x:v>
      </x:c>
      <x:c r="J11" s="31" t="n">
        <x:v>451.99999999399995</x:v>
      </x:c>
      <x:c r="K11" s="31" t="n">
        <x:v>0</x:v>
      </x:c>
      <x:c r="L11" s="31" t="n">
        <x:v>451.99999999399995</x:v>
      </x:c>
      <x:c r="M11" s="31" t="n">
        <x:v>0</x:v>
      </x:c>
      <x:c r="N11" s="24" t="str">
        <x:v>argyrops spinifer</x:v>
      </x:c>
      <x:c r="O11" s="32" t="n">
        <x:v>4.49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Argyrops spinifer</x:v>
      </x:c>
      <x:c r="T11" s="32" t="n">
        <x:f>IF(O11="","",(1/'Metadata'!$B$5)^(O11-1))</x:f>
        <x:v>3090.295432513592</x:v>
      </x:c>
      <x:c r="U11" s="31" t="n">
        <x:f>IF(T11="","",I11*T11)</x:f>
        <x:v>1396813.5354776017</x:v>
      </x:c>
    </x:row>
    <x:row r="12" ht="18" customHeight="1">
      <x:c r="A12" s="24" t="str">
        <x:v>EEZ_634</x:v>
      </x:c>
      <x:c r="B12" s="24" t="str">
        <x:v>Qatar</x:v>
      </x:c>
      <x:c r="C12" s="24" t="str">
        <x:v>EEZ</x:v>
      </x:c>
      <x:c r="D12" s="30" t="n">
        <x:v>2019</x:v>
      </x:c>
      <x:c r="E12" s="24" t="str">
        <x:v>Decapoda</x:v>
      </x:c>
      <x:c r="F12" s="24" t="str">
        <x:v>Crabs, lobsters, shrimps</x:v>
      </x:c>
      <x:c r="G12" s="24" t="str">
        <x:v>Lobsters, crabs</x:v>
      </x:c>
      <x:c r="H12" s="24" t="str">
        <x:v>Crustaceans</x:v>
      </x:c>
      <x:c r="I12" s="31" t="n">
        <x:v>438.000000041</x:v>
      </x:c>
      <x:c r="J12" s="31" t="n">
        <x:v>438.000000041</x:v>
      </x:c>
      <x:c r="K12" s="31" t="n">
        <x:v>0</x:v>
      </x:c>
      <x:c r="L12" s="31" t="n">
        <x:v>438.000000041</x:v>
      </x:c>
      <x:c r="M12" s="31" t="n">
        <x:v>0</x:v>
      </x:c>
      <x:c r="N12" s="24" t="str">
        <x:v>decapoda</x:v>
      </x:c>
      <x:c r="O12" s="32" t="n">
        <x:v>3.43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Decapoda</x:v>
      </x:c>
      <x:c r="T12" s="32" t="n">
        <x:f>IF(O12="","",(1/'Metadata'!$B$5)^(O12-1))</x:f>
        <x:v>269.1534803926917</x:v>
      </x:c>
      <x:c r="U12" s="31" t="n">
        <x:f>IF(T12="","",I12*T12)</x:f>
        <x:v>117889.22442303425</x:v>
      </x:c>
    </x:row>
    <x:row r="13" ht="18" customHeight="1">
      <x:c r="A13" s="24" t="str">
        <x:v>EEZ_634</x:v>
      </x:c>
      <x:c r="B13" s="24" t="str">
        <x:v>Qatar</x:v>
      </x:c>
      <x:c r="C13" s="24" t="str">
        <x:v>EEZ</x:v>
      </x:c>
      <x:c r="D13" s="30" t="n">
        <x:v>2019</x:v>
      </x:c>
      <x:c r="E13" s="24" t="str">
        <x:v>Gnathanodon speciosus</x:v>
      </x:c>
      <x:c r="F13" s="24" t="str">
        <x:v>Golden trevally</x:v>
      </x:c>
      <x:c r="G13" s="24" t="str">
        <x:v>Large reef assoc. fish (&gt;=90 cm)</x:v>
      </x:c>
      <x:c r="H13" s="24" t="str">
        <x:v>Perch-likes</x:v>
      </x:c>
      <x:c r="I13" s="31" t="n">
        <x:v>382.000000028</x:v>
      </x:c>
      <x:c r="J13" s="31" t="n">
        <x:v>382.000000028</x:v>
      </x:c>
      <x:c r="K13" s="31" t="n">
        <x:v>0</x:v>
      </x:c>
      <x:c r="L13" s="31" t="n">
        <x:v>382.000000028</x:v>
      </x:c>
      <x:c r="M13" s="31" t="n">
        <x:v>0</x:v>
      </x:c>
      <x:c r="N13" s="24" t="str">
        <x:v>gnathanodon speciosus</x:v>
      </x:c>
      <x:c r="O13" s="32" t="n">
        <x:v>3.84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Gnathanodon speciosus</x:v>
      </x:c>
      <x:c r="T13" s="32" t="n">
        <x:f>IF(O13="","",(1/'Metadata'!$B$5)^(O13-1))</x:f>
        <x:v>691.8309709189363</x:v>
      </x:c>
      <x:c r="U13" s="31" t="n">
        <x:f>IF(T13="","",I13*T13)</x:f>
        <x:v>264279.4309104049</x:v>
      </x:c>
    </x:row>
    <x:row r="14" ht="18" customHeight="1">
      <x:c r="A14" s="24" t="str">
        <x:v>EEZ_634</x:v>
      </x:c>
      <x:c r="B14" s="24" t="str">
        <x:v>Qatar</x:v>
      </x:c>
      <x:c r="C14" s="24" t="str">
        <x:v>EEZ</x:v>
      </x:c>
      <x:c r="D14" s="30" t="n">
        <x:v>2019</x:v>
      </x:c>
      <x:c r="E14" s="24" t="str">
        <x:v>Sciaenidae</x:v>
      </x:c>
      <x:c r="F14" s="24" t="str">
        <x:v>Drums, croakers</x:v>
      </x:c>
      <x:c r="G14" s="24" t="str">
        <x:v>Medium demersals (30 - 89 cm)</x:v>
      </x:c>
      <x:c r="H14" s="24" t="str">
        <x:v>Perch-likes</x:v>
      </x:c>
      <x:c r="I14" s="31" t="n">
        <x:v>327.999999991</x:v>
      </x:c>
      <x:c r="J14" s="31" t="n">
        <x:v>327.999999991</x:v>
      </x:c>
      <x:c r="K14" s="31" t="n">
        <x:v>0</x:v>
      </x:c>
      <x:c r="L14" s="31" t="n">
        <x:v>327.999999991</x:v>
      </x:c>
      <x:c r="M14" s="31" t="n">
        <x:v>0</x:v>
      </x:c>
      <x:c r="N14" s="24" t="str">
        <x:v>sciaenidae</x:v>
      </x:c>
      <x:c r="O14" s="32" t="n">
        <x:v>3.76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Sciaenidae</x:v>
      </x:c>
      <x:c r="T14" s="32" t="n">
        <x:f>IF(O14="","",(1/'Metadata'!$B$5)^(O14-1))</x:f>
        <x:v>575.4399373371566</x:v>
      </x:c>
      <x:c r="U14" s="31" t="n">
        <x:f>IF(T14="","",I14*T14)</x:f>
        <x:v>188744.2994414084</x:v>
      </x:c>
    </x:row>
    <x:row r="15" ht="18" customHeight="1">
      <x:c r="A15" s="24" t="str">
        <x:v>EEZ_634</x:v>
      </x:c>
      <x:c r="B15" s="24" t="str">
        <x:v>Qatar</x:v>
      </x:c>
      <x:c r="C15" s="24" t="str">
        <x:v>EEZ</x:v>
      </x:c>
      <x:c r="D15" s="30" t="n">
        <x:v>2019</x:v>
      </x:c>
      <x:c r="E15" s="24" t="str">
        <x:v>Sphyraena</x:v>
      </x:c>
      <x:c r="F15" s="24" t="str">
        <x:v>Barracudas, sennets</x:v>
      </x:c>
      <x:c r="G15" s="24" t="str">
        <x:v>Large pelagics (&gt;=90 cm)</x:v>
      </x:c>
      <x:c r="H15" s="24" t="str">
        <x:v>Perch-likes</x:v>
      </x:c>
      <x:c r="I15" s="31" t="n">
        <x:v>320.00000001</x:v>
      </x:c>
      <x:c r="J15" s="31" t="n">
        <x:v>320.00000001</x:v>
      </x:c>
      <x:c r="K15" s="31" t="n">
        <x:v>0</x:v>
      </x:c>
      <x:c r="L15" s="31" t="n">
        <x:v>320.00000001</x:v>
      </x:c>
      <x:c r="M15" s="31" t="n">
        <x:v>0</x:v>
      </x:c>
      <x:c r="N15" s="24" t="str">
        <x:v>sphyraena</x:v>
      </x:c>
      <x:c r="O15" s="32" t="n">
        <x:v>4.4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Sphyraena</x:v>
      </x:c>
      <x:c r="T15" s="32" t="n">
        <x:f>IF(O15="","",(1/'Metadata'!$B$5)^(O15-1))</x:f>
        <x:v>2511.886431509582</x:v>
      </x:c>
      <x:c r="U15" s="31" t="n">
        <x:f>IF(T15="","",I15*T15)</x:f>
        <x:v>803803.6581081852</x:v>
      </x:c>
    </x:row>
    <x:row r="16" ht="18" customHeight="1">
      <x:c r="A16" s="24" t="str">
        <x:v>EEZ_634</x:v>
      </x:c>
      <x:c r="B16" s="24" t="str">
        <x:v>Qatar</x:v>
      </x:c>
      <x:c r="C16" s="24" t="str">
        <x:v>EEZ</x:v>
      </x:c>
      <x:c r="D16" s="30" t="n">
        <x:v>2019</x:v>
      </x:c>
      <x:c r="E16" s="24" t="str">
        <x:v>Gerreidae</x:v>
      </x:c>
      <x:c r="F16" s="24" t="str">
        <x:v>Mojarras, silverbellies</x:v>
      </x:c>
      <x:c r="G16" s="24" t="str">
        <x:v>Small benthopelagics (&lt;30 cm)</x:v>
      </x:c>
      <x:c r="H16" s="24" t="str">
        <x:v>Perch-likes</x:v>
      </x:c>
      <x:c r="I16" s="31" t="n">
        <x:v>306.29885022300004</x:v>
      </x:c>
      <x:c r="J16" s="31" t="n">
        <x:v>289.021997406</x:v>
      </x:c>
      <x:c r="K16" s="31" t="n">
        <x:v>17.276852817</x:v>
      </x:c>
      <x:c r="L16" s="31" t="n">
        <x:v>288.00000001</x:v>
      </x:c>
      <x:c r="M16" s="31" t="n">
        <x:v>18.298850213</x:v>
      </x:c>
      <x:c r="N16" s="24" t="str">
        <x:v>gerreidae</x:v>
      </x:c>
      <x:c r="O16" s="32" t="n">
        <x:v>3.03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Gerreidae</x:v>
      </x:c>
      <x:c r="T16" s="32" t="n">
        <x:f>IF(O16="","",(1/'Metadata'!$B$5)^(O16-1))</x:f>
        <x:v>107.1519305237606</x:v>
      </x:c>
      <x:c r="U16" s="31" t="n">
        <x:f>IF(T16="","",I16*T16)</x:f>
        <x:v>32820.513118602656</x:v>
      </x:c>
    </x:row>
    <x:row r="17" ht="18" customHeight="1">
      <x:c r="A17" s="24" t="str">
        <x:v>EEZ_634</x:v>
      </x:c>
      <x:c r="B17" s="24" t="str">
        <x:v>Qatar</x:v>
      </x:c>
      <x:c r="C17" s="24" t="str">
        <x:v>EEZ</x:v>
      </x:c>
      <x:c r="D17" s="30" t="n">
        <x:v>2019</x:v>
      </x:c>
      <x:c r="E17" s="24" t="str">
        <x:v>Rachycentron canadum</x:v>
      </x:c>
      <x:c r="F17" s="24" t="str">
        <x:v>Cobia</x:v>
      </x:c>
      <x:c r="G17" s="24" t="str">
        <x:v>Large pelagics (&gt;=90 cm)</x:v>
      </x:c>
      <x:c r="H17" s="24" t="str">
        <x:v>Perch-likes</x:v>
      </x:c>
      <x:c r="I17" s="31" t="n">
        <x:v>271.99999999</x:v>
      </x:c>
      <x:c r="J17" s="31" t="n">
        <x:v>271.99999999</x:v>
      </x:c>
      <x:c r="K17" s="31" t="n">
        <x:v>0</x:v>
      </x:c>
      <x:c r="L17" s="31" t="n">
        <x:v>271.99999999</x:v>
      </x:c>
      <x:c r="M17" s="31" t="n">
        <x:v>0</x:v>
      </x:c>
      <x:c r="N17" s="24" t="str">
        <x:v>rachycentron canadum</x:v>
      </x:c>
      <x:c r="O17" s="32" t="n">
        <x:v>3.96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Rachycentron canadum</x:v>
      </x:c>
      <x:c r="T17" s="32" t="n">
        <x:f>IF(O17="","",(1/'Metadata'!$B$5)^(O17-1))</x:f>
        <x:v>912.0108393559096</x:v>
      </x:c>
      <x:c r="U17" s="31" t="n">
        <x:f>IF(T17="","",I17*T17)</x:f>
        <x:v>248066.9482956873</x:v>
      </x:c>
    </x:row>
    <x:row r="18" ht="18" customHeight="1">
      <x:c r="A18" s="24" t="str">
        <x:v>EEZ_634</x:v>
      </x:c>
      <x:c r="B18" s="24" t="str">
        <x:v>Qatar</x:v>
      </x:c>
      <x:c r="C18" s="24" t="str">
        <x:v>EEZ</x:v>
      </x:c>
      <x:c r="D18" s="30" t="n">
        <x:v>2019</x:v>
      </x:c>
      <x:c r="E18" s="24" t="str">
        <x:v>Lutjanidae</x:v>
      </x:c>
      <x:c r="F18" s="24" t="str">
        <x:v>Snappers</x:v>
      </x:c>
      <x:c r="G18" s="24" t="str">
        <x:v>Medium reef assoc. fish (30 - 89 cm)</x:v>
      </x:c>
      <x:c r="H18" s="24" t="str">
        <x:v>Perch-likes</x:v>
      </x:c>
      <x:c r="I18" s="31" t="n">
        <x:v>254.53639242499997</x:v>
      </x:c>
      <x:c r="J18" s="31" t="n">
        <x:v>237.97941413799998</x:v>
      </x:c>
      <x:c r="K18" s="31" t="n">
        <x:v>16.556978287</x:v>
      </x:c>
      <x:c r="L18" s="31" t="n">
        <x:v>237.000000009</x:v>
      </x:c>
      <x:c r="M18" s="31" t="n">
        <x:v>17.536392415999998</x:v>
      </x:c>
      <x:c r="N18" s="24" t="str">
        <x:v>lutjanidae</x:v>
      </x:c>
      <x:c r="O18" s="32" t="n">
        <x:v>4.02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Lutjanidae</x:v>
      </x:c>
      <x:c r="T18" s="32" t="n">
        <x:f>IF(O18="","",(1/'Metadata'!$B$5)^(O18-1))</x:f>
        <x:v>1047.1285480508984</x:v>
      </x:c>
      <x:c r="U18" s="31" t="n">
        <x:f>IF(T18="","",I18*T18)</x:f>
        <x:v>266532.3230261039</x:v>
      </x:c>
    </x:row>
    <x:row r="19" ht="18" customHeight="1">
      <x:c r="A19" s="24" t="str">
        <x:v>EEZ_634</x:v>
      </x:c>
      <x:c r="B19" s="24" t="str">
        <x:v>Qatar</x:v>
      </x:c>
      <x:c r="C19" s="24" t="str">
        <x:v>EEZ</x:v>
      </x:c>
      <x:c r="D19" s="30" t="n">
        <x:v>2019</x:v>
      </x:c>
      <x:c r="E19" s="24" t="str">
        <x:v>Carangidae</x:v>
      </x:c>
      <x:c r="F19" s="24" t="str">
        <x:v>Jacks, pompanos</x:v>
      </x:c>
      <x:c r="G19" s="24" t="str">
        <x:v>Medium pelagics (30 - 89 cm)</x:v>
      </x:c>
      <x:c r="H19" s="24" t="str">
        <x:v>Perch-likes</x:v>
      </x:c>
      <x:c r="I19" s="31" t="n">
        <x:v>251.868778008</x:v>
      </x:c>
      <x:c r="J19" s="31" t="n">
        <x:v>117.920477184</x:v>
      </x:c>
      <x:c r="K19" s="31" t="n">
        <x:v>133.948300824</x:v>
      </x:c>
      <x:c r="L19" s="31" t="n">
        <x:v>110</x:v>
      </x:c>
      <x:c r="M19" s="31" t="n">
        <x:v>141.868778008</x:v>
      </x:c>
      <x:c r="N19" s="24" t="str">
        <x:v>carangidae</x:v>
      </x:c>
      <x:c r="O19" s="32" t="n">
        <x:v>4.05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Carangidae</x:v>
      </x:c>
      <x:c r="T19" s="32" t="n">
        <x:f>IF(O19="","",(1/'Metadata'!$B$5)^(O19-1))</x:f>
        <x:v>1122.018454301963</x:v>
      </x:c>
      <x:c r="U19" s="31" t="n">
        <x:f>IF(T19="","",I19*T19)</x:f>
        <x:v>282601.4169874604</x:v>
      </x:c>
    </x:row>
    <x:row r="20" ht="18" customHeight="1">
      <x:c r="A20" s="24" t="str">
        <x:v>EEZ_634</x:v>
      </x:c>
      <x:c r="B20" s="24" t="str">
        <x:v>Qatar</x:v>
      </x:c>
      <x:c r="C20" s="24" t="str">
        <x:v>EEZ</x:v>
      </x:c>
      <x:c r="D20" s="30" t="n">
        <x:v>2019</x:v>
      </x:c>
      <x:c r="E20" s="24" t="str">
        <x:v>Acanthopagrus bifasciatus</x:v>
      </x:c>
      <x:c r="F20" s="24" t="str">
        <x:v>Twobar seabream</x:v>
      </x:c>
      <x:c r="G20" s="24" t="str">
        <x:v>Medium reef assoc. fish (30 - 89 cm)</x:v>
      </x:c>
      <x:c r="H20" s="24" t="str">
        <x:v>Perch-likes</x:v>
      </x:c>
      <x:c r="I20" s="31" t="n">
        <x:v>236</x:v>
      </x:c>
      <x:c r="J20" s="31" t="n">
        <x:v>236</x:v>
      </x:c>
      <x:c r="K20" s="31" t="n">
        <x:v>0</x:v>
      </x:c>
      <x:c r="L20" s="31" t="n">
        <x:v>236</x:v>
      </x:c>
      <x:c r="M20" s="31" t="n">
        <x:v>0</x:v>
      </x:c>
      <x:c r="N20" s="24" t="str">
        <x:v>acanthopagrus bifasciatus</x:v>
      </x:c>
      <x:c r="O20" s="32" t="n">
        <x:v>3.39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Acanthopagrus bifasciatus</x:v>
      </x:c>
      <x:c r="T20" s="32" t="n">
        <x:f>IF(O20="","",(1/'Metadata'!$B$5)^(O20-1))</x:f>
        <x:v>245.4708915685031</x:v>
      </x:c>
      <x:c r="U20" s="31" t="n">
        <x:f>IF(T20="","",I20*T20)</x:f>
        <x:v>57931.130410166734</x:v>
      </x:c>
    </x:row>
    <x:row r="21" ht="18" customHeight="1">
      <x:c r="A21" s="24" t="str">
        <x:v>EEZ_634</x:v>
      </x:c>
      <x:c r="B21" s="24" t="str">
        <x:v>Qatar</x:v>
      </x:c>
      <x:c r="C21" s="24" t="str">
        <x:v>EEZ</x:v>
      </x:c>
      <x:c r="D21" s="30" t="n">
        <x:v>2019</x:v>
      </x:c>
      <x:c r="E21" s="24" t="str">
        <x:v>Platycaranx malabaricus</x:v>
      </x:c>
      <x:c r="F21" s="24" t="str">
        <x:v>Malabar trevally</x:v>
      </x:c>
      <x:c r="G21" s="24" t="str">
        <x:v>Medium reef assoc. fish (30 - 89 cm)</x:v>
      </x:c>
      <x:c r="H21" s="24" t="str">
        <x:v>Perch-likes</x:v>
      </x:c>
      <x:c r="I21" s="31" t="n">
        <x:v>224.999999988</x:v>
      </x:c>
      <x:c r="J21" s="31" t="n">
        <x:v>224.999999988</x:v>
      </x:c>
      <x:c r="K21" s="31" t="n">
        <x:v>0</x:v>
      </x:c>
      <x:c r="L21" s="31" t="n">
        <x:v>224.999999988</x:v>
      </x:c>
      <x:c r="M21" s="31" t="n">
        <x:v>0</x:v>
      </x:c>
      <x:c r="N21" s="24" t="str">
        <x:v>platycaranx malabaricus</x:v>
      </x:c>
      <x:c r="O21" s="32" t="n">
        <x:v>3.88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Platycaranx malabaricus</x:v>
      </x:c>
      <x:c r="T21" s="32" t="n">
        <x:f>IF(O21="","",(1/'Metadata'!$B$5)^(O21-1))</x:f>
        <x:v>758.5775750291835</x:v>
      </x:c>
      <x:c r="U21" s="31" t="n">
        <x:f>IF(T21="","",I21*T21)</x:f>
        <x:v>170679.95437246337</x:v>
      </x:c>
    </x:row>
    <x:row r="22" ht="18" customHeight="1">
      <x:c r="A22" s="24" t="str">
        <x:v>EEZ_634</x:v>
      </x:c>
      <x:c r="B22" s="24" t="str">
        <x:v>Qatar</x:v>
      </x:c>
      <x:c r="C22" s="24" t="str">
        <x:v>EEZ</x:v>
      </x:c>
      <x:c r="D22" s="30" t="n">
        <x:v>2019</x:v>
      </x:c>
      <x:c r="E22" s="24" t="str">
        <x:v>Ariidae</x:v>
      </x:c>
      <x:c r="F22" s="24" t="str">
        <x:v>Sea catfishes, coblers</x:v>
      </x:c>
      <x:c r="G22" s="24" t="str">
        <x:v>Medium demersals (30 - 89 cm)</x:v>
      </x:c>
      <x:c r="H22" s="24" t="str">
        <x:v>Other fishes &amp; inverts</x:v>
      </x:c>
      <x:c r="I22" s="31" t="n">
        <x:v>211.95434651</x:v>
      </x:c>
      <x:c r="J22" s="31" t="n">
        <x:v>181</x:v>
      </x:c>
      <x:c r="K22" s="31" t="n">
        <x:v>30.95434651</x:v>
      </x:c>
      <x:c r="L22" s="31" t="n">
        <x:v>181</x:v>
      </x:c>
      <x:c r="M22" s="31" t="n">
        <x:v>30.95434651</x:v>
      </x:c>
      <x:c r="N22" s="24" t="str">
        <x:v>ariidae</x:v>
      </x:c>
      <x:c r="O22" s="32" t="n">
        <x:v>3.48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Ariidae</x:v>
      </x:c>
      <x:c r="T22" s="32" t="n">
        <x:f>IF(O22="","",(1/'Metadata'!$B$5)^(O22-1))</x:f>
        <x:v>301.9951720402016</x:v>
      </x:c>
      <x:c r="U22" s="31" t="n">
        <x:f>IF(T22="","",I22*T22)</x:f>
        <x:v>64009.189338955955</x:v>
      </x:c>
    </x:row>
    <x:row r="23" ht="18" customHeight="1">
      <x:c r="A23" s="24" t="str">
        <x:v>EEZ_634</x:v>
      </x:c>
      <x:c r="B23" s="24" t="str">
        <x:v>Qatar</x:v>
      </x:c>
      <x:c r="C23" s="24" t="str">
        <x:v>EEZ</x:v>
      </x:c>
      <x:c r="D23" s="30" t="n">
        <x:v>2019</x:v>
      </x:c>
      <x:c r="E23" s="24" t="str">
        <x:v>Synodontidae</x:v>
      </x:c>
      <x:c r="F23" s="24" t="str">
        <x:v>Lizardfishes, sauries</x:v>
      </x:c>
      <x:c r="G23" s="24" t="str">
        <x:v>Medium demersals (30 - 89 cm)</x:v>
      </x:c>
      <x:c r="H23" s="24" t="str">
        <x:v>Other fishes &amp; inverts</x:v>
      </x:c>
      <x:c r="I23" s="31" t="n">
        <x:v>176.12637995900002</x:v>
      </x:c>
      <x:c r="J23" s="31" t="n">
        <x:v>9.836720989</x:v>
      </x:c>
      <x:c r="K23" s="31" t="n">
        <x:v>166.28965897</x:v>
      </x:c>
      <x:c r="L23" s="31" t="n">
        <x:v>0</x:v>
      </x:c>
      <x:c r="M23" s="31" t="n">
        <x:v>176.12637995900002</x:v>
      </x:c>
      <x:c r="N23" s="24" t="str">
        <x:v>synodontidae</x:v>
      </x:c>
      <x:c r="O23" s="32" t="n">
        <x:v>4.3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Synodontidae</x:v>
      </x:c>
      <x:c r="T23" s="32" t="n">
        <x:f>IF(O23="","",(1/'Metadata'!$B$5)^(O23-1))</x:f>
        <x:v>1995.2623149688789</x:v>
      </x:c>
      <x:c r="U23" s="31" t="n">
        <x:f>IF(T23="","",I23*T23)</x:f>
        <x:v>351418.32860408275</x:v>
      </x:c>
    </x:row>
    <x:row r="24" ht="18" customHeight="1">
      <x:c r="A24" s="24" t="str">
        <x:v>EEZ_634</x:v>
      </x:c>
      <x:c r="B24" s="24" t="str">
        <x:v>Qatar</x:v>
      </x:c>
      <x:c r="C24" s="24" t="str">
        <x:v>EEZ</x:v>
      </x:c>
      <x:c r="D24" s="30" t="n">
        <x:v>2019</x:v>
      </x:c>
      <x:c r="E24" s="24" t="str">
        <x:v>Haemulidae</x:v>
      </x:c>
      <x:c r="F24" s="24" t="str">
        <x:v>Grunts, sweetlips, bonnetmouths</x:v>
      </x:c>
      <x:c r="G24" s="24" t="str">
        <x:v>Medium demersals (30 - 89 cm)</x:v>
      </x:c>
      <x:c r="H24" s="24" t="str">
        <x:v>Perch-likes</x:v>
      </x:c>
      <x:c r="I24" s="31" t="n">
        <x:v>162</x:v>
      </x:c>
      <x:c r="J24" s="31" t="n">
        <x:v>162</x:v>
      </x:c>
      <x:c r="K24" s="31" t="n">
        <x:v>0</x:v>
      </x:c>
      <x:c r="L24" s="31" t="n">
        <x:v>162</x:v>
      </x:c>
      <x:c r="M24" s="31" t="n">
        <x:v>0</x:v>
      </x:c>
      <x:c r="N24" s="24" t="str">
        <x:v>haemulidae</x:v>
      </x:c>
      <x:c r="O24" s="32" t="n">
        <x:v>3.36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Haemulidae</x:v>
      </x:c>
      <x:c r="T24" s="32" t="n">
        <x:f>IF(O24="","",(1/'Metadata'!$B$5)^(O24-1))</x:f>
        <x:v>229.08676527677724</x:v>
      </x:c>
      <x:c r="U24" s="31" t="n">
        <x:f>IF(T24="","",I24*T24)</x:f>
        <x:v>37112.05597483792</x:v>
      </x:c>
    </x:row>
    <x:row r="25" ht="18" customHeight="1">
      <x:c r="A25" s="24" t="str">
        <x:v>EEZ_634</x:v>
      </x:c>
      <x:c r="B25" s="24" t="str">
        <x:v>Qatar</x:v>
      </x:c>
      <x:c r="C25" s="24" t="str">
        <x:v>EEZ</x:v>
      </x:c>
      <x:c r="D25" s="30" t="n">
        <x:v>2019</x:v>
      </x:c>
      <x:c r="E25" s="24" t="str">
        <x:v>Plectorhinchus sordidus</x:v>
      </x:c>
      <x:c r="F25" s="24" t="str">
        <x:v>Sordid rubberlip</x:v>
      </x:c>
      <x:c r="G25" s="24" t="str">
        <x:v>Medium reef assoc. fish (30 - 89 cm)</x:v>
      </x:c>
      <x:c r="H25" s="24" t="str">
        <x:v>Perch-likes</x:v>
      </x:c>
      <x:c r="I25" s="31" t="n">
        <x:v>160</x:v>
      </x:c>
      <x:c r="J25" s="31" t="n">
        <x:v>160</x:v>
      </x:c>
      <x:c r="K25" s="31" t="n">
        <x:v>0</x:v>
      </x:c>
      <x:c r="L25" s="31" t="n">
        <x:v>160</x:v>
      </x:c>
      <x:c r="M25" s="31" t="n">
        <x:v>0</x:v>
      </x:c>
      <x:c r="N25" s="24" t="str">
        <x:v>plectorhinchus sordidus</x:v>
      </x:c>
      <x:c r="O25" s="32" t="n">
        <x:v>3.99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Plectorhinchus sordidus</x:v>
      </x:c>
      <x:c r="T25" s="32" t="n">
        <x:f>IF(O25="","",(1/'Metadata'!$B$5)^(O25-1))</x:f>
        <x:v>977.2372209558112</x:v>
      </x:c>
      <x:c r="U25" s="31" t="n">
        <x:f>IF(T25="","",I25*T25)</x:f>
        <x:v>156357.95535292977</x:v>
      </x:c>
    </x:row>
    <x:row r="26" ht="18" customHeight="1">
      <x:c r="A26" s="24" t="str">
        <x:v>EEZ_634</x:v>
      </x:c>
      <x:c r="B26" s="24" t="str">
        <x:v>Qatar</x:v>
      </x:c>
      <x:c r="C26" s="24" t="str">
        <x:v>EEZ</x:v>
      </x:c>
      <x:c r="D26" s="30" t="n">
        <x:v>2019</x:v>
      </x:c>
      <x:c r="E26" s="24" t="str">
        <x:v>Scolopsis taeniata</x:v>
      </x:c>
      <x:c r="F26" s="24" t="str">
        <x:v>Black-streaked monocle bream</x:v>
      </x:c>
      <x:c r="G26" s="24" t="str">
        <x:v>Small reef assoc. fish (&lt;30 cm)</x:v>
      </x:c>
      <x:c r="H26" s="24" t="str">
        <x:v>Perch-likes</x:v>
      </x:c>
      <x:c r="I26" s="31" t="n">
        <x:v>133</x:v>
      </x:c>
      <x:c r="J26" s="31" t="n">
        <x:v>133</x:v>
      </x:c>
      <x:c r="K26" s="31" t="n">
        <x:v>0</x:v>
      </x:c>
      <x:c r="L26" s="31" t="n">
        <x:v>133</x:v>
      </x:c>
      <x:c r="M26" s="31" t="n">
        <x:v>0</x:v>
      </x:c>
      <x:c r="N26" s="24" t="str">
        <x:v>scolopsis taeniata</x:v>
      </x:c>
      <x:c r="O26" s="32" t="n">
        <x:v>3.51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Scolopsis taeniata</x:v>
      </x:c>
      <x:c r="T26" s="32" t="n">
        <x:f>IF(O26="","",(1/'Metadata'!$B$5)^(O26-1))</x:f>
        <x:v>323.5936569296281</x:v>
      </x:c>
      <x:c r="U26" s="31" t="n">
        <x:f>IF(T26="","",I26*T26)</x:f>
        <x:v>43037.95637164053</x:v>
      </x:c>
    </x:row>
    <x:row r="27" ht="18" customHeight="1">
      <x:c r="A27" s="24" t="str">
        <x:v>EEZ_634</x:v>
      </x:c>
      <x:c r="B27" s="24" t="str">
        <x:v>Qatar</x:v>
      </x:c>
      <x:c r="C27" s="24" t="str">
        <x:v>EEZ</x:v>
      </x:c>
      <x:c r="D27" s="30" t="n">
        <x:v>2019</x:v>
      </x:c>
      <x:c r="E27" s="24" t="str">
        <x:v>Mullidae</x:v>
      </x:c>
      <x:c r="F27" s="24" t="str">
        <x:v>Goatfishes</x:v>
      </x:c>
      <x:c r="G27" s="24" t="str">
        <x:v>Medium reef assoc. fish (30 - 89 cm)</x:v>
      </x:c>
      <x:c r="H27" s="24" t="str">
        <x:v>Perch-likes</x:v>
      </x:c>
      <x:c r="I27" s="31" t="n">
        <x:v>110.691205791</x:v>
      </x:c>
      <x:c r="J27" s="31" t="n">
        <x:v>68.29949358</x:v>
      </x:c>
      <x:c r="K27" s="31" t="n">
        <x:v>42.391712211</x:v>
      </x:c>
      <x:c r="L27" s="31" t="n">
        <x:v>65.99999999799999</x:v>
      </x:c>
      <x:c r="M27" s="31" t="n">
        <x:v>44.691205793</x:v>
      </x:c>
      <x:c r="N27" s="24" t="str">
        <x:v>mullidae</x:v>
      </x:c>
      <x:c r="O27" s="32" t="n">
        <x:v>3.46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Mullidae</x:v>
      </x:c>
      <x:c r="T27" s="32" t="n">
        <x:f>IF(O27="","",(1/'Metadata'!$B$5)^(O27-1))</x:f>
        <x:v>288.40315031266056</x:v>
      </x:c>
      <x:c r="U27" s="31" t="n">
        <x:f>IF(T27="","",I27*T27)</x:f>
        <x:v>31923.692462031417</x:v>
      </x:c>
    </x:row>
    <x:row r="28" ht="18" customHeight="1">
      <x:c r="A28" s="24" t="str">
        <x:v>EEZ_634</x:v>
      </x:c>
      <x:c r="B28" s="24" t="str">
        <x:v>Qatar</x:v>
      </x:c>
      <x:c r="C28" s="24" t="str">
        <x:v>EEZ</x:v>
      </x:c>
      <x:c r="D28" s="30" t="n">
        <x:v>2019</x:v>
      </x:c>
      <x:c r="E28" s="24" t="str">
        <x:v>Nemipteridae</x:v>
      </x:c>
      <x:c r="F28" s="24" t="str">
        <x:v>Threadfins, whiptail breams</x:v>
      </x:c>
      <x:c r="G28" s="24" t="str">
        <x:v>Small demersals (&lt;30 cm)</x:v>
      </x:c>
      <x:c r="H28" s="24" t="str">
        <x:v>Perch-likes</x:v>
      </x:c>
      <x:c r="I28" s="31" t="n">
        <x:v>90.547898612</x:v>
      </x:c>
      <x:c r="J28" s="31" t="n">
        <x:v>58.873660537999996</x:v>
      </x:c>
      <x:c r="K28" s="31" t="n">
        <x:v>31.674238074</x:v>
      </x:c>
      <x:c r="L28" s="31" t="n">
        <x:v>56.999999998999996</x:v>
      </x:c>
      <x:c r="M28" s="31" t="n">
        <x:v>33.547898613</x:v>
      </x:c>
      <x:c r="N28" s="24" t="str">
        <x:v>nemipteridae</x:v>
      </x:c>
      <x:c r="O28" s="32" t="n">
        <x:v>3.51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Nemipteridae</x:v>
      </x:c>
      <x:c r="T28" s="32" t="n">
        <x:f>IF(O28="","",(1/'Metadata'!$B$5)^(O28-1))</x:f>
        <x:v>323.5936569296281</x:v>
      </x:c>
      <x:c r="U28" s="31" t="n">
        <x:f>IF(T28="","",I28*T28)</x:f>
        <x:v>29300.725639150274</x:v>
      </x:c>
    </x:row>
    <x:row r="29" ht="18" customHeight="1">
      <x:c r="A29" s="24" t="str">
        <x:v>EEZ_634</x:v>
      </x:c>
      <x:c r="B29" s="24" t="str">
        <x:v>Qatar</x:v>
      </x:c>
      <x:c r="C29" s="24" t="str">
        <x:v>EEZ</x:v>
      </x:c>
      <x:c r="D29" s="30" t="n">
        <x:v>2019</x:v>
      </x:c>
      <x:c r="E29" s="24" t="str">
        <x:v>Sparidentex hasta</x:v>
      </x:c>
      <x:c r="F29" s="24" t="str">
        <x:v>Sobaity seabream</x:v>
      </x:c>
      <x:c r="G29" s="24" t="str">
        <x:v>Medium demersals (30 - 89 cm)</x:v>
      </x:c>
      <x:c r="H29" s="24" t="str">
        <x:v>Perch-likes</x:v>
      </x:c>
      <x:c r="I29" s="31" t="n">
        <x:v>77.42402</x:v>
      </x:c>
      <x:c r="J29" s="31" t="n">
        <x:v>77.42402</x:v>
      </x:c>
      <x:c r="K29" s="31" t="n">
        <x:v>0</x:v>
      </x:c>
      <x:c r="L29" s="31" t="n">
        <x:v>0</x:v>
      </x:c>
      <x:c r="M29" s="31" t="n">
        <x:v>77.42402</x:v>
      </x:c>
      <x:c r="N29" s="24" t="str">
        <x:v>sparidentex hasta</x:v>
      </x:c>
      <x:c r="O29" s="32" t="n">
        <x:v>3.38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Sparidentex hasta</x:v>
      </x:c>
      <x:c r="T29" s="32" t="n">
        <x:f>IF(O29="","",(1/'Metadata'!$B$5)^(O29-1))</x:f>
        <x:v>239.88329190194898</x:v>
      </x:c>
      <x:c r="U29" s="31" t="n">
        <x:f>IF(T29="","",I29*T29)</x:f>
        <x:v>18572.728789882334</x:v>
      </x:c>
    </x:row>
    <x:row r="30" ht="18" customHeight="1">
      <x:c r="A30" s="24" t="str">
        <x:v>EEZ_634</x:v>
      </x:c>
      <x:c r="B30" s="24" t="str">
        <x:v>Qatar</x:v>
      </x:c>
      <x:c r="C30" s="24" t="str">
        <x:v>EEZ</x:v>
      </x:c>
      <x:c r="D30" s="30" t="n">
        <x:v>2019</x:v>
      </x:c>
      <x:c r="E30" s="24" t="str">
        <x:v>Otolithes ruber</x:v>
      </x:c>
      <x:c r="F30" s="24" t="str">
        <x:v>Tigertooth croaker</x:v>
      </x:c>
      <x:c r="G30" s="24" t="str">
        <x:v>Medium benthopelagics (30 - 89 cm)</x:v>
      </x:c>
      <x:c r="H30" s="24" t="str">
        <x:v>Perch-likes</x:v>
      </x:c>
      <x:c r="I30" s="31" t="n">
        <x:v>77.42402</x:v>
      </x:c>
      <x:c r="J30" s="31" t="n">
        <x:v>77.42402</x:v>
      </x:c>
      <x:c r="K30" s="31" t="n">
        <x:v>0</x:v>
      </x:c>
      <x:c r="L30" s="31" t="n">
        <x:v>0</x:v>
      </x:c>
      <x:c r="M30" s="31" t="n">
        <x:v>77.42402</x:v>
      </x:c>
      <x:c r="N30" s="24" t="str">
        <x:v>otolithes ruber</x:v>
      </x:c>
      <x:c r="O30" s="32" t="n">
        <x:v>3.6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Otolithes ruber</x:v>
      </x:c>
      <x:c r="T30" s="32" t="n">
        <x:f>IF(O30="","",(1/'Metadata'!$B$5)^(O30-1))</x:f>
        <x:v>398.1071705534973</x:v>
      </x:c>
      <x:c r="U30" s="31" t="n">
        <x:f>IF(T30="","",I30*T30)</x:f>
        <x:v>30823.057535077387</x:v>
      </x:c>
    </x:row>
    <x:row r="31" ht="18" customHeight="1">
      <x:c r="A31" s="24" t="str">
        <x:v>EEZ_634</x:v>
      </x:c>
      <x:c r="B31" s="24" t="str">
        <x:v>Qatar</x:v>
      </x:c>
      <x:c r="C31" s="24" t="str">
        <x:v>EEZ</x:v>
      </x:c>
      <x:c r="D31" s="30" t="n">
        <x:v>2019</x:v>
      </x:c>
      <x:c r="E31" s="24" t="str">
        <x:v>Epinephelus chlorostigma</x:v>
      </x:c>
      <x:c r="F31" s="24" t="str">
        <x:v>Brownspotted grouper</x:v>
      </x:c>
      <x:c r="G31" s="24" t="str">
        <x:v>Medium reef assoc. fish (30 - 89 cm)</x:v>
      </x:c>
      <x:c r="H31" s="24" t="str">
        <x:v>Perch-likes</x:v>
      </x:c>
      <x:c r="I31" s="31" t="n">
        <x:v>77.42402</x:v>
      </x:c>
      <x:c r="J31" s="31" t="n">
        <x:v>77.42402</x:v>
      </x:c>
      <x:c r="K31" s="31" t="n">
        <x:v>0</x:v>
      </x:c>
      <x:c r="L31" s="31" t="n">
        <x:v>0</x:v>
      </x:c>
      <x:c r="M31" s="31" t="n">
        <x:v>77.42402</x:v>
      </x:c>
      <x:c r="N31" s="24" t="str">
        <x:v>epinephelus chlorostigma</x:v>
      </x:c>
      <x:c r="O31" s="32" t="n">
        <x:v>3.99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Epinephelus chlorostigma</x:v>
      </x:c>
      <x:c r="T31" s="32" t="n">
        <x:f>IF(O31="","",(1/'Metadata'!$B$5)^(O31-1))</x:f>
        <x:v>977.2372209558112</x:v>
      </x:c>
      <x:c r="U31" s="31" t="n">
        <x:f>IF(T31="","",I31*T31)</x:f>
        <x:v>75661.63414002713</x:v>
      </x:c>
    </x:row>
    <x:row r="32" ht="18" customHeight="1">
      <x:c r="A32" s="24" t="str">
        <x:v>EEZ_634</x:v>
      </x:c>
      <x:c r="B32" s="24" t="str">
        <x:v>Qatar</x:v>
      </x:c>
      <x:c r="C32" s="24" t="str">
        <x:v>EEZ</x:v>
      </x:c>
      <x:c r="D32" s="30" t="n">
        <x:v>2019</x:v>
      </x:c>
      <x:c r="E32" s="24" t="str">
        <x:v>Portunidae</x:v>
      </x:c>
      <x:c r="F32" s="24" t="str">
        <x:v>Swimming crabs</x:v>
      </x:c>
      <x:c r="G32" s="24" t="str">
        <x:v>Lobsters, crabs</x:v>
      </x:c>
      <x:c r="H32" s="24" t="str">
        <x:v>Crustaceans</x:v>
      </x:c>
      <x:c r="I32" s="31" t="n">
        <x:v>49.109427594</x:v>
      </x:c>
      <x:c r="J32" s="31" t="n">
        <x:v>49.109427594</x:v>
      </x:c>
      <x:c r="K32" s="31" t="n">
        <x:v>0</x:v>
      </x:c>
      <x:c r="L32" s="31" t="n">
        <x:v>0</x:v>
      </x:c>
      <x:c r="M32" s="31" t="n">
        <x:v>49.109427594</x:v>
      </x:c>
      <x:c r="N32" s="24" t="str">
        <x:v>portunidae</x:v>
      </x:c>
      <x:c r="O32" s="32" t="n">
        <x:v>3.56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Portunidae</x:v>
      </x:c>
      <x:c r="T32" s="32" t="n">
        <x:f>IF(O32="","",(1/'Metadata'!$B$5)^(O32-1))</x:f>
        <x:v>363.0780547701014</x:v>
      </x:c>
      <x:c r="U32" s="31" t="n">
        <x:f>IF(T32="","",I32*T32)</x:f>
        <x:v>17830.55544170266</x:v>
      </x:c>
    </x:row>
    <x:row r="33" ht="18" customHeight="1">
      <x:c r="A33" s="24" t="str">
        <x:v>EEZ_634</x:v>
      </x:c>
      <x:c r="B33" s="24" t="str">
        <x:v>Qatar</x:v>
      </x:c>
      <x:c r="C33" s="24" t="str">
        <x:v>EEZ</x:v>
      </x:c>
      <x:c r="D33" s="30" t="n">
        <x:v>2019</x:v>
      </x:c>
      <x:c r="E33" s="24" t="str">
        <x:v>Lutjanus malabaricus</x:v>
      </x:c>
      <x:c r="F33" s="24" t="str">
        <x:v>Malabar blood snapper</x:v>
      </x:c>
      <x:c r="G33" s="24" t="str">
        <x:v>Medium reef assoc. fish (30 - 89 cm)</x:v>
      </x:c>
      <x:c r="H33" s="24" t="str">
        <x:v>Perch-likes</x:v>
      </x:c>
      <x:c r="I33" s="31" t="n">
        <x:v>46.999999996</x:v>
      </x:c>
      <x:c r="J33" s="31" t="n">
        <x:v>46.999999996</x:v>
      </x:c>
      <x:c r="K33" s="31" t="n">
        <x:v>0</x:v>
      </x:c>
      <x:c r="L33" s="31" t="n">
        <x:v>46.999999996</x:v>
      </x:c>
      <x:c r="M33" s="31" t="n">
        <x:v>0</x:v>
      </x:c>
      <x:c r="N33" s="24" t="str">
        <x:v>lutjanus malabaricus</x:v>
      </x:c>
      <x:c r="O33" s="32" t="n">
        <x:v>4.48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Lutjanus malabaricus</x:v>
      </x:c>
      <x:c r="T33" s="32" t="n">
        <x:f>IF(O33="","",(1/'Metadata'!$B$5)^(O33-1))</x:f>
        <x:v>3019.951720402019</x:v>
      </x:c>
      <x:c r="U33" s="31" t="n">
        <x:f>IF(T33="","",I33*T33)</x:f>
        <x:v>141937.73084681507</x:v>
      </x:c>
    </x:row>
    <x:row r="34" ht="18" customHeight="1">
      <x:c r="A34" s="24" t="str">
        <x:v>EEZ_634</x:v>
      </x:c>
      <x:c r="B34" s="24" t="str">
        <x:v>Qatar</x:v>
      </x:c>
      <x:c r="C34" s="24" t="str">
        <x:v>EEZ</x:v>
      </x:c>
      <x:c r="D34" s="30" t="n">
        <x:v>2019</x:v>
      </x:c>
      <x:c r="E34" s="24" t="str">
        <x:v>Terapontidae</x:v>
      </x:c>
      <x:c r="F34" s="24" t="str">
        <x:v>Grunters, tigerperches</x:v>
      </x:c>
      <x:c r="G34" s="24" t="str">
        <x:v>Medium demersals (30 - 89 cm)</x:v>
      </x:c>
      <x:c r="H34" s="24" t="str">
        <x:v>Perch-likes</x:v>
      </x:c>
      <x:c r="I34" s="31" t="n">
        <x:v>46.34645006</x:v>
      </x:c>
      <x:c r="J34" s="31" t="n">
        <x:v>2.384660465</x:v>
      </x:c>
      <x:c r="K34" s="31" t="n">
        <x:v>43.961789595</x:v>
      </x:c>
      <x:c r="L34" s="31" t="n">
        <x:v>0</x:v>
      </x:c>
      <x:c r="M34" s="31" t="n">
        <x:v>46.34645006</x:v>
      </x:c>
      <x:c r="N34" s="24" t="str">
        <x:v>terapontidae</x:v>
      </x:c>
      <x:c r="O34" s="32" t="n">
        <x:v>3.64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Terapontidae</x:v>
      </x:c>
      <x:c r="T34" s="32" t="n">
        <x:f>IF(O34="","",(1/'Metadata'!$B$5)^(O34-1))</x:f>
        <x:v>436.5158322401661</x:v>
      </x:c>
      <x:c r="U34" s="31" t="n">
        <x:f>IF(T34="","",I34*T34)</x:f>
        <x:v>20230.959219318196</x:v>
      </x:c>
    </x:row>
    <x:row r="35" ht="18" customHeight="1">
      <x:c r="A35" s="24" t="str">
        <x:v>EEZ_634</x:v>
      </x:c>
      <x:c r="B35" s="24" t="str">
        <x:v>Qatar</x:v>
      </x:c>
      <x:c r="C35" s="24" t="str">
        <x:v>EEZ</x:v>
      </x:c>
      <x:c r="D35" s="30" t="n">
        <x:v>2019</x:v>
      </x:c>
      <x:c r="E35" s="24" t="str">
        <x:v>Clupeidae</x:v>
      </x:c>
      <x:c r="F35" s="24" t="str">
        <x:v>Herrings, sardines, menhadens</x:v>
      </x:c>
      <x:c r="G35" s="24" t="str">
        <x:v>Small pelagics (&lt;30 cm)</x:v>
      </x:c>
      <x:c r="H35" s="24" t="str">
        <x:v>Herring-likes</x:v>
      </x:c>
      <x:c r="I35" s="31" t="n">
        <x:v>45.030696497099996</x:v>
      </x:c>
      <x:c r="J35" s="31" t="n">
        <x:v>29.9134544591</x:v>
      </x:c>
      <x:c r="K35" s="31" t="n">
        <x:v>15.117242038</x:v>
      </x:c>
      <x:c r="L35" s="31" t="n">
        <x:v>0</x:v>
      </x:c>
      <x:c r="M35" s="31" t="n">
        <x:v>45.030696497099996</x:v>
      </x:c>
      <x:c r="N35" s="24" t="str">
        <x:v>clupeidae</x:v>
      </x:c>
      <x:c r="O35" s="32" t="n">
        <x:v>3.16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Clupeidae</x:v>
      </x:c>
      <x:c r="T35" s="32" t="n">
        <x:f>IF(O35="","",(1/'Metadata'!$B$5)^(O35-1))</x:f>
        <x:v>144.5439770745928</x:v>
      </x:c>
      <x:c r="U35" s="31" t="n">
        <x:f>IF(T35="","",I35*T35)</x:f>
        <x:v>6508.915962129768</x:v>
      </x:c>
    </x:row>
    <x:row r="36" ht="18" customHeight="1">
      <x:c r="A36" s="24" t="str">
        <x:v>EEZ_634</x:v>
      </x:c>
      <x:c r="B36" s="24" t="str">
        <x:v>Qatar</x:v>
      </x:c>
      <x:c r="C36" s="24" t="str">
        <x:v>EEZ</x:v>
      </x:c>
      <x:c r="D36" s="30" t="n">
        <x:v>2019</x:v>
      </x:c>
      <x:c r="E36" s="24" t="str">
        <x:v>Sepia pharaonis</x:v>
      </x:c>
      <x:c r="F36" s="24" t="str">
        <x:v>Pharaoh cuttlefish</x:v>
      </x:c>
      <x:c r="G36" s="24" t="str">
        <x:v>Cephalopods</x:v>
      </x:c>
      <x:c r="H36" s="24" t="str">
        <x:v>Other fishes &amp; inverts</x:v>
      </x:c>
      <x:c r="I36" s="31" t="n">
        <x:v>40</x:v>
      </x:c>
      <x:c r="J36" s="31" t="n">
        <x:v>40</x:v>
      </x:c>
      <x:c r="K36" s="31" t="n">
        <x:v>0</x:v>
      </x:c>
      <x:c r="L36" s="31" t="n">
        <x:v>40</x:v>
      </x:c>
      <x:c r="M36" s="31" t="n">
        <x:v>0</x:v>
      </x:c>
      <x:c r="N36" s="24" t="str">
        <x:v>sepia pharaonis</x:v>
      </x:c>
      <x:c r="O36" s="32" t="n">
        <x:v>3.8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Sepia pharaonis</x:v>
      </x:c>
      <x:c r="T36" s="32" t="n">
        <x:f>IF(O36="","",(1/'Metadata'!$B$5)^(O36-1))</x:f>
        <x:v>630.957344480193</x:v>
      </x:c>
      <x:c r="U36" s="31" t="n">
        <x:f>IF(T36="","",I36*T36)</x:f>
        <x:v>25238.29377920772</x:v>
      </x:c>
    </x:row>
    <x:row r="37" ht="18" customHeight="1">
      <x:c r="A37" s="24" t="str">
        <x:v>EEZ_634</x:v>
      </x:c>
      <x:c r="B37" s="24" t="str">
        <x:v>Qatar</x:v>
      </x:c>
      <x:c r="C37" s="24" t="str">
        <x:v>EEZ</x:v>
      </x:c>
      <x:c r="D37" s="30" t="n">
        <x:v>2019</x:v>
      </x:c>
      <x:c r="E37" s="24" t="str">
        <x:v>Lethrinus borbonicus</x:v>
      </x:c>
      <x:c r="F37" s="24" t="str">
        <x:v>Snubnose emperor</x:v>
      </x:c>
      <x:c r="G37" s="24" t="str">
        <x:v>Medium reef assoc. fish (30 - 89 cm)</x:v>
      </x:c>
      <x:c r="H37" s="24" t="str">
        <x:v>Perch-likes</x:v>
      </x:c>
      <x:c r="I37" s="31" t="n">
        <x:v>31</x:v>
      </x:c>
      <x:c r="J37" s="31" t="n">
        <x:v>31</x:v>
      </x:c>
      <x:c r="K37" s="31" t="n">
        <x:v>0</x:v>
      </x:c>
      <x:c r="L37" s="31" t="n">
        <x:v>31</x:v>
      </x:c>
      <x:c r="M37" s="31" t="n">
        <x:v>0</x:v>
      </x:c>
      <x:c r="N37" s="24" t="str">
        <x:v>lethrinus borbonicus</x:v>
      </x:c>
      <x:c r="O37" s="32" t="n">
        <x:v>3.47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Lethrinus borbonicus</x:v>
      </x:c>
      <x:c r="T37" s="32" t="n">
        <x:f>IF(O37="","",(1/'Metadata'!$B$5)^(O37-1))</x:f>
        <x:v>295.1209226666387</x:v>
      </x:c>
      <x:c r="U37" s="31" t="n">
        <x:f>IF(T37="","",I37*T37)</x:f>
        <x:v>9148.7486026658</x:v>
      </x:c>
    </x:row>
    <x:row r="38" ht="18" customHeight="1">
      <x:c r="A38" s="24" t="str">
        <x:v>EEZ_634</x:v>
      </x:c>
      <x:c r="B38" s="24" t="str">
        <x:v>Qatar</x:v>
      </x:c>
      <x:c r="C38" s="24" t="str">
        <x:v>EEZ</x:v>
      </x:c>
      <x:c r="D38" s="30" t="n">
        <x:v>2019</x:v>
      </x:c>
      <x:c r="E38" s="24" t="str">
        <x:v>Platycephalus indicus</x:v>
      </x:c>
      <x:c r="F38" s="24" t="str">
        <x:v>Bartail flathead</x:v>
      </x:c>
      <x:c r="G38" s="24" t="str">
        <x:v>Medium demersals (30 - 89 cm)</x:v>
      </x:c>
      <x:c r="H38" s="24" t="str">
        <x:v>Scorpionfishes</x:v>
      </x:c>
      <x:c r="I38" s="31" t="n">
        <x:v>28</x:v>
      </x:c>
      <x:c r="J38" s="31" t="n">
        <x:v>28</x:v>
      </x:c>
      <x:c r="K38" s="31" t="n">
        <x:v>0</x:v>
      </x:c>
      <x:c r="L38" s="31" t="n">
        <x:v>28</x:v>
      </x:c>
      <x:c r="M38" s="31" t="n">
        <x:v>0</x:v>
      </x:c>
      <x:c r="N38" s="24" t="str">
        <x:v>platycephalus indicus</x:v>
      </x:c>
      <x:c r="O38" s="32" t="n">
        <x:v>3.6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Platycephalus indicus</x:v>
      </x:c>
      <x:c r="T38" s="32" t="n">
        <x:f>IF(O38="","",(1/'Metadata'!$B$5)^(O38-1))</x:f>
        <x:v>398.1071705534973</x:v>
      </x:c>
      <x:c r="U38" s="31" t="n">
        <x:f>IF(T38="","",I38*T38)</x:f>
        <x:v>11147.000775497925</x:v>
      </x:c>
    </x:row>
    <x:row r="39" ht="18" customHeight="1">
      <x:c r="A39" s="24" t="str">
        <x:v>EEZ_634</x:v>
      </x:c>
      <x:c r="B39" s="24" t="str">
        <x:v>Qatar</x:v>
      </x:c>
      <x:c r="C39" s="24" t="str">
        <x:v>EEZ</x:v>
      </x:c>
      <x:c r="D39" s="30" t="n">
        <x:v>2019</x:v>
      </x:c>
      <x:c r="E39" s="24" t="str">
        <x:v>Sparidae</x:v>
      </x:c>
      <x:c r="F39" s="24" t="str">
        <x:v>Porgies, seabreams</x:v>
      </x:c>
      <x:c r="G39" s="24" t="str">
        <x:v>Medium benthopelagics (30 - 89 cm)</x:v>
      </x:c>
      <x:c r="H39" s="24" t="str">
        <x:v>Perch-likes</x:v>
      </x:c>
      <x:c r="I39" s="31" t="n">
        <x:v>24.554475359</x:v>
      </x:c>
      <x:c r="J39" s="31" t="n">
        <x:v>4.1923301219999995</x:v>
      </x:c>
      <x:c r="K39" s="31" t="n">
        <x:v>20.362145237</x:v>
      </x:c>
      <x:c r="L39" s="31" t="n">
        <x:v>3</x:v>
      </x:c>
      <x:c r="M39" s="31" t="n">
        <x:v>21.554475359</x:v>
      </x:c>
      <x:c r="N39" s="24" t="str">
        <x:v>sparidae</x:v>
      </x:c>
      <x:c r="O39" s="32" t="n">
        <x:v>3.31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Sparidae</x:v>
      </x:c>
      <x:c r="T39" s="32" t="n">
        <x:f>IF(O39="","",(1/'Metadata'!$B$5)^(O39-1))</x:f>
        <x:v>204.17379446695296</x:v>
      </x:c>
      <x:c r="U39" s="31" t="n">
        <x:f>IF(T39="","",I39*T39)</x:f>
        <x:v>5013.380405192327</x:v>
      </x:c>
    </x:row>
    <x:row r="40" ht="18" customHeight="1">
      <x:c r="A40" s="24" t="str">
        <x:v>EEZ_634</x:v>
      </x:c>
      <x:c r="B40" s="24" t="str">
        <x:v>Qatar</x:v>
      </x:c>
      <x:c r="C40" s="24" t="str">
        <x:v>EEZ</x:v>
      </x:c>
      <x:c r="D40" s="30" t="n">
        <x:v>2019</x:v>
      </x:c>
      <x:c r="E40" s="24" t="str">
        <x:v>Scaridae</x:v>
      </x:c>
      <x:c r="F40" s="24" t="str">
        <x:v>Parrotfishes</x:v>
      </x:c>
      <x:c r="G40" s="24" t="str">
        <x:v>Medium reef assoc. fish (30 - 89 cm)</x:v>
      </x:c>
      <x:c r="H40" s="24" t="str">
        <x:v>Perch-likes</x:v>
      </x:c>
      <x:c r="I40" s="31" t="n">
        <x:v>19.999999999</x:v>
      </x:c>
      <x:c r="J40" s="31" t="n">
        <x:v>19.999999999</x:v>
      </x:c>
      <x:c r="K40" s="31" t="n">
        <x:v>0</x:v>
      </x:c>
      <x:c r="L40" s="31" t="n">
        <x:v>19.999999999</x:v>
      </x:c>
      <x:c r="M40" s="31" t="n">
        <x:v>0</x:v>
      </x:c>
      <x:c r="N40" s="24" t="str">
        <x:v>scaridae</x:v>
      </x:c>
      <x:c r="O40" s="32" t="n">
        <x:v>2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Scaridae</x:v>
      </x:c>
      <x:c r="T40" s="32" t="n">
        <x:f>IF(O40="","",(1/'Metadata'!$B$5)^(O40-1))</x:f>
        <x:v>10</x:v>
      </x:c>
      <x:c r="U40" s="31" t="n">
        <x:f>IF(T40="","",I40*T40)</x:f>
        <x:v>199.99999999</x:v>
      </x:c>
    </x:row>
    <x:row r="41" ht="18" customHeight="1">
      <x:c r="A41" s="24" t="str">
        <x:v>EEZ_634</x:v>
      </x:c>
      <x:c r="B41" s="24" t="str">
        <x:v>Qatar</x:v>
      </x:c>
      <x:c r="C41" s="24" t="str">
        <x:v>EEZ</x:v>
      </x:c>
      <x:c r="D41" s="30" t="n">
        <x:v>2019</x:v>
      </x:c>
      <x:c r="E41" s="24" t="str">
        <x:v>Mugilidae</x:v>
      </x:c>
      <x:c r="F41" s="24" t="str">
        <x:v>Mullets, grey mullets</x:v>
      </x:c>
      <x:c r="G41" s="24" t="str">
        <x:v>Medium reef assoc. fish (30 - 89 cm)</x:v>
      </x:c>
      <x:c r="H41" s="24" t="str">
        <x:v>Perch-likes</x:v>
      </x:c>
      <x:c r="I41" s="31" t="n">
        <x:v>16.999999999</x:v>
      </x:c>
      <x:c r="J41" s="31" t="n">
        <x:v>16.999999999</x:v>
      </x:c>
      <x:c r="K41" s="31" t="n">
        <x:v>0</x:v>
      </x:c>
      <x:c r="L41" s="31" t="n">
        <x:v>16.999999999</x:v>
      </x:c>
      <x:c r="M41" s="31" t="n">
        <x:v>0</x:v>
      </x:c>
      <x:c r="N41" s="24" t="str">
        <x:v>mugilidae</x:v>
      </x:c>
      <x:c r="O41" s="32" t="n">
        <x:v>2.53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Mugilidae</x:v>
      </x:c>
      <x:c r="T41" s="32" t="n">
        <x:f>IF(O41="","",(1/'Metadata'!$B$5)^(O41-1))</x:f>
        <x:v>33.88441561392024</x:v>
      </x:c>
      <x:c r="U41" s="31" t="n">
        <x:f>IF(T41="","",I41*T41)</x:f>
        <x:v>576.0350654027596</x:v>
      </x:c>
    </x:row>
    <x:row r="42" ht="18" customHeight="1">
      <x:c r="A42" s="24" t="str">
        <x:v>EEZ_634</x:v>
      </x:c>
      <x:c r="B42" s="24" t="str">
        <x:v>Qatar</x:v>
      </x:c>
      <x:c r="C42" s="24" t="str">
        <x:v>EEZ</x:v>
      </x:c>
      <x:c r="D42" s="30" t="n">
        <x:v>2019</x:v>
      </x:c>
      <x:c r="E42" s="24" t="str">
        <x:v>Pomacanthus maculosus</x:v>
      </x:c>
      <x:c r="F42" s="24" t="str">
        <x:v>Yellowbar angelfish</x:v>
      </x:c>
      <x:c r="G42" s="24" t="str">
        <x:v>Medium reef assoc. fish (30 - 89 cm)</x:v>
      </x:c>
      <x:c r="H42" s="24" t="str">
        <x:v>Perch-likes</x:v>
      </x:c>
      <x:c r="I42" s="31" t="n">
        <x:v>16</x:v>
      </x:c>
      <x:c r="J42" s="31" t="n">
        <x:v>16</x:v>
      </x:c>
      <x:c r="K42" s="31" t="n">
        <x:v>0</x:v>
      </x:c>
      <x:c r="L42" s="31" t="n">
        <x:v>16</x:v>
      </x:c>
      <x:c r="M42" s="31" t="n">
        <x:v>0</x:v>
      </x:c>
      <x:c r="N42" s="24" t="str">
        <x:v>pomacanthus maculosus</x:v>
      </x:c>
      <x:c r="O42" s="32" t="n">
        <x:v>2.67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Pomacanthus maculosus</x:v>
      </x:c>
      <x:c r="T42" s="32" t="n">
        <x:f>IF(O42="","",(1/'Metadata'!$B$5)^(O42-1))</x:f>
        <x:v>46.77351412871981</x:v>
      </x:c>
      <x:c r="U42" s="31" t="n">
        <x:f>IF(T42="","",I42*T42)</x:f>
        <x:v>748.376226059517</x:v>
      </x:c>
    </x:row>
    <x:row r="43" ht="18" customHeight="1">
      <x:c r="A43" s="24" t="str">
        <x:v>EEZ_634</x:v>
      </x:c>
      <x:c r="B43" s="24" t="str">
        <x:v>Qatar</x:v>
      </x:c>
      <x:c r="C43" s="24" t="str">
        <x:v>EEZ</x:v>
      </x:c>
      <x:c r="D43" s="30" t="n">
        <x:v>2019</x:v>
      </x:c>
      <x:c r="E43" s="24" t="str">
        <x:v>Plectorhinchus gaterinus</x:v>
      </x:c>
      <x:c r="F43" s="24" t="str">
        <x:v>Blackspotted rubberlip</x:v>
      </x:c>
      <x:c r="G43" s="24" t="str">
        <x:v>Medium reef assoc. fish (30 - 89 cm)</x:v>
      </x:c>
      <x:c r="H43" s="24" t="str">
        <x:v>Perch-likes</x:v>
      </x:c>
      <x:c r="I43" s="31" t="n">
        <x:v>15</x:v>
      </x:c>
      <x:c r="J43" s="31" t="n">
        <x:v>15</x:v>
      </x:c>
      <x:c r="K43" s="31" t="n">
        <x:v>0</x:v>
      </x:c>
      <x:c r="L43" s="31" t="n">
        <x:v>15</x:v>
      </x:c>
      <x:c r="M43" s="31" t="n">
        <x:v>0</x:v>
      </x:c>
      <x:c r="N43" s="24" t="str">
        <x:v>plectorhinchus gaterinus</x:v>
      </x:c>
      <x:c r="O43" s="32" t="n">
        <x:v>3.99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Plectorhinchus gaterinus</x:v>
      </x:c>
      <x:c r="T43" s="32" t="n">
        <x:f>IF(O43="","",(1/'Metadata'!$B$5)^(O43-1))</x:f>
        <x:v>977.2372209558112</x:v>
      </x:c>
      <x:c r="U43" s="31" t="n">
        <x:f>IF(T43="","",I43*T43)</x:f>
        <x:v>14658.558314337168</x:v>
      </x:c>
    </x:row>
    <x:row r="44" ht="18" customHeight="1">
      <x:c r="A44" s="24" t="str">
        <x:v>EEZ_634</x:v>
      </x:c>
      <x:c r="B44" s="24" t="str">
        <x:v>Qatar</x:v>
      </x:c>
      <x:c r="C44" s="24" t="str">
        <x:v>EEZ</x:v>
      </x:c>
      <x:c r="D44" s="30" t="n">
        <x:v>2019</x:v>
      </x:c>
      <x:c r="E44" s="24" t="str">
        <x:v>Ablennes hians</x:v>
      </x:c>
      <x:c r="F44" s="24" t="str">
        <x:v>Flat needlefish</x:v>
      </x:c>
      <x:c r="G44" s="24" t="str">
        <x:v>Large pelagics (&gt;=90 cm)</x:v>
      </x:c>
      <x:c r="H44" s="24" t="str">
        <x:v>Other fishes &amp; inverts</x:v>
      </x:c>
      <x:c r="I44" s="31" t="n">
        <x:v>12.000000004</x:v>
      </x:c>
      <x:c r="J44" s="31" t="n">
        <x:v>12.000000004</x:v>
      </x:c>
      <x:c r="K44" s="31" t="n">
        <x:v>0</x:v>
      </x:c>
      <x:c r="L44" s="31" t="n">
        <x:v>12.000000004</x:v>
      </x:c>
      <x:c r="M44" s="31" t="n">
        <x:v>0</x:v>
      </x:c>
      <x:c r="N44" s="24" t="str">
        <x:v>ablennes hians</x:v>
      </x:c>
      <x:c r="O44" s="32" t="n">
        <x:v>4.5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Ablennes hians</x:v>
      </x:c>
      <x:c r="T44" s="32" t="n">
        <x:f>IF(O44="","",(1/'Metadata'!$B$5)^(O44-1))</x:f>
        <x:v>3162.2776601683795</x:v>
      </x:c>
      <x:c r="U44" s="31" t="n">
        <x:f>IF(T44="","",I44*T44)</x:f>
        <x:v>37947.331934669666</x:v>
      </x:c>
    </x:row>
    <x:row r="45" ht="18" customHeight="1">
      <x:c r="A45" s="24" t="str">
        <x:v>EEZ_634</x:v>
      </x:c>
      <x:c r="B45" s="24" t="str">
        <x:v>Qatar</x:v>
      </x:c>
      <x:c r="C45" s="24" t="str">
        <x:v>EEZ</x:v>
      </x:c>
      <x:c r="D45" s="30" t="n">
        <x:v>2019</x:v>
      </x:c>
      <x:c r="E45" s="24" t="str">
        <x:v>Platax</x:v>
      </x:c>
      <x:c r="F45" s="24" t="str">
        <x:v>Spadefishes</x:v>
      </x:c>
      <x:c r="G45" s="24" t="str">
        <x:v>Medium reef assoc. fish (30 - 89 cm)</x:v>
      </x:c>
      <x:c r="H45" s="24" t="str">
        <x:v>Perch-likes</x:v>
      </x:c>
      <x:c r="I45" s="31" t="n">
        <x:v>5</x:v>
      </x:c>
      <x:c r="J45" s="31" t="n">
        <x:v>5</x:v>
      </x:c>
      <x:c r="K45" s="31" t="n">
        <x:v>0</x:v>
      </x:c>
      <x:c r="L45" s="31" t="n">
        <x:v>5</x:v>
      </x:c>
      <x:c r="M45" s="31" t="n">
        <x:v>0</x:v>
      </x:c>
      <x:c r="N45" s="24" t="str">
        <x:v>platax</x:v>
      </x:c>
      <x:c r="O45" s="32" t="n">
        <x:v>3.53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Platax</x:v>
      </x:c>
      <x:c r="T45" s="32" t="n">
        <x:f>IF(O45="","",(1/'Metadata'!$B$5)^(O45-1))</x:f>
        <x:v>338.84415613920237</x:v>
      </x:c>
      <x:c r="U45" s="31" t="n">
        <x:f>IF(T45="","",I45*T45)</x:f>
        <x:v>1694.2207806960118</x:v>
      </x:c>
    </x:row>
    <x:row r="46" ht="18" customHeight="1">
      <x:c r="A46" s="24" t="str">
        <x:v>EEZ_634</x:v>
      </x:c>
      <x:c r="B46" s="24" t="str">
        <x:v>Qatar</x:v>
      </x:c>
      <x:c r="C46" s="24" t="str">
        <x:v>EEZ</x:v>
      </x:c>
      <x:c r="D46" s="30" t="n">
        <x:v>2019</x:v>
      </x:c>
      <x:c r="E46" s="24" t="str">
        <x:v>Lutjanus argentimaculatus</x:v>
      </x:c>
      <x:c r="F46" s="24" t="str">
        <x:v>Mangrove red snapper</x:v>
      </x:c>
      <x:c r="G46" s="24" t="str">
        <x:v>Large reef assoc. fish (&gt;=90 cm)</x:v>
      </x:c>
      <x:c r="H46" s="24" t="str">
        <x:v>Perch-likes</x:v>
      </x:c>
      <x:c r="I46" s="31" t="n">
        <x:v>2</x:v>
      </x:c>
      <x:c r="J46" s="31" t="n">
        <x:v>2</x:v>
      </x:c>
      <x:c r="K46" s="31" t="n">
        <x:v>0</x:v>
      </x:c>
      <x:c r="L46" s="31" t="n">
        <x:v>2</x:v>
      </x:c>
      <x:c r="M46" s="31" t="n">
        <x:v>0</x:v>
      </x:c>
      <x:c r="N46" s="24" t="str">
        <x:v>lutjanus argentimaculatus</x:v>
      </x:c>
      <x:c r="O46" s="32" t="n">
        <x:v>3.58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Lutjanus argentimaculatus</x:v>
      </x:c>
      <x:c r="T46" s="32" t="n">
        <x:f>IF(O46="","",(1/'Metadata'!$B$5)^(O46-1))</x:f>
        <x:v>380.1893963205613</x:v>
      </x:c>
      <x:c r="U46" s="31" t="n">
        <x:f>IF(T46="","",I46*T46)</x:f>
        <x:v>760.3787926411226</x:v>
      </x:c>
    </x:row>
    <x:row r="47" ht="18" customHeight="1">
      <x:c r="A47" s="24" t="str">
        <x:v>EEZ_634</x:v>
      </x:c>
      <x:c r="B47" s="24" t="str">
        <x:v>Qatar</x:v>
      </x:c>
      <x:c r="C47" s="24" t="str">
        <x:v>EEZ</x:v>
      </x:c>
      <x:c r="D47" s="30" t="n">
        <x:v>2019</x:v>
      </x:c>
      <x:c r="E47" s="24" t="str">
        <x:v>Plotosidae</x:v>
      </x:c>
      <x:c r="F47" s="24" t="str">
        <x:v>Eeltail catfishes</x:v>
      </x:c>
      <x:c r="G47" s="24" t="str">
        <x:v>Medium reef assoc. fish (30 - 89 cm)</x:v>
      </x:c>
      <x:c r="H47" s="24" t="str">
        <x:v>Other fishes &amp; inverts</x:v>
      </x:c>
      <x:c r="I47" s="31" t="n">
        <x:v>1.831077272</x:v>
      </x:c>
      <x:c r="J47" s="31" t="n">
        <x:v>1.831077272</x:v>
      </x:c>
      <x:c r="K47" s="31" t="n">
        <x:v>0</x:v>
      </x:c>
      <x:c r="L47" s="31" t="n">
        <x:v>0</x:v>
      </x:c>
      <x:c r="M47" s="31" t="n">
        <x:v>1.831077272</x:v>
      </x:c>
      <x:c r="N47" s="24" t="str">
        <x:v>plotosidae</x:v>
      </x:c>
      <x:c r="O47" s="32" t="n">
        <x:v>3.49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Plotosidae</x:v>
      </x:c>
      <x:c r="T47" s="32" t="n">
        <x:f>IF(O47="","",(1/'Metadata'!$B$5)^(O47-1))</x:f>
        <x:v>309.0295432513592</x:v>
      </x:c>
      <x:c r="U47" s="31" t="n">
        <x:f>IF(T47="","",I47*T47)</x:f>
        <x:v>565.8569730241048</x:v>
      </x:c>
    </x:row>
    <x:row r="48" ht="18" customHeight="1">
      <x:c r="A48" s="24" t="str">
        <x:v>EEZ_634</x:v>
      </x:c>
      <x:c r="B48" s="24" t="str">
        <x:v>Qatar</x:v>
      </x:c>
      <x:c r="C48" s="24" t="str">
        <x:v>EEZ</x:v>
      </x:c>
      <x:c r="D48" s="30" t="n">
        <x:v>2019</x:v>
      </x:c>
      <x:c r="E48" s="24" t="str">
        <x:v>Thenus orientalis</x:v>
      </x:c>
      <x:c r="F48" s="24" t="str">
        <x:v>Flathead lobster</x:v>
      </x:c>
      <x:c r="G48" s="24" t="str">
        <x:v>Lobsters, crabs</x:v>
      </x:c>
      <x:c r="H48" s="24" t="str">
        <x:v>Crustaceans</x:v>
      </x:c>
      <x:c r="I48" s="31" t="n">
        <x:v>1</x:v>
      </x:c>
      <x:c r="J48" s="31" t="n">
        <x:v>1</x:v>
      </x:c>
      <x:c r="K48" s="31" t="n">
        <x:v>0</x:v>
      </x:c>
      <x:c r="L48" s="31" t="n">
        <x:v>1</x:v>
      </x:c>
      <x:c r="M48" s="31" t="n">
        <x:v>0</x:v>
      </x:c>
      <x:c r="N48" s="24" t="str">
        <x:v>thenus orientalis</x:v>
      </x:c>
      <x:c r="O48" s="32" t="n">
        <x:v>2.5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Thenus orientalis</x:v>
      </x:c>
      <x:c r="T48" s="32" t="n">
        <x:f>IF(O48="","",(1/'Metadata'!$B$5)^(O48-1))</x:f>
        <x:v>31.622776601683793</x:v>
      </x:c>
      <x:c r="U48" s="31" t="n">
        <x:f>IF(T48="","",I48*T48)</x:f>
        <x:v>31.622776601683793</x:v>
      </x:c>
    </x:row>
  </x:sheetData>
  <x:conditionalFormatting sqref="R2:R48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90063699eb474a2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Crustaceans</x:v>
      </x:c>
      <x:c r="B2" s="31" t="n">
        <x:v>488.10942763500003</x:v>
      </x:c>
      <x:c r="C2" s="32" t="n">
        <x:v>3.4411741861115996</x:v>
      </x:c>
      <x:c r="D2" s="32" t="n">
        <x:f>IF(C2="","",(1/'Metadata'!$B$5)^(C2-1))</x:f>
        <x:v>276.16852862835975</x:v>
      </x:c>
      <x:c r="E2" s="31" t="n">
        <x:f>IF(B2=0,"",B2*D2)</x:f>
        <x:v>134800.4624395888</x:v>
      </x:c>
    </x:row>
    <x:row r="3" ht="18" customHeight="1">
      <x:c r="A3" s="24" t="str">
        <x:v>Herring-likes</x:v>
      </x:c>
      <x:c r="B3" s="31" t="n">
        <x:v>45.030696497099996</x:v>
      </x:c>
      <x:c r="C3" s="32" t="n">
        <x:v>3.16</x:v>
      </x:c>
      <x:c r="D3" s="32" t="n">
        <x:f>IF(C3="","",(1/'Metadata'!$B$5)^(C3-1))</x:f>
        <x:v>144.5439770745928</x:v>
      </x:c>
      <x:c r="E3" s="31" t="n">
        <x:f>IF(B3=0,"",B3*D3)</x:f>
        <x:v>6508.915962129768</x:v>
      </x:c>
    </x:row>
    <x:row r="4" ht="18" customHeight="1">
      <x:c r="A4" s="24" t="str">
        <x:v>Other fishes &amp; inverts</x:v>
      </x:c>
      <x:c r="B4" s="31" t="n">
        <x:v>2504.527932195</x:v>
      </x:c>
      <x:c r="C4" s="32" t="n">
        <x:v>3.382959244246153</x:v>
      </x:c>
      <x:c r="D4" s="32" t="n">
        <x:f>IF(C4="","",(1/'Metadata'!$B$5)^(C4-1))</x:f>
        <x:v>241.52341695613742</x:v>
      </x:c>
      <x:c r="E4" s="31" t="n">
        <x:f>IF(B4=0,"",B4*D4)</x:f>
        <x:v>604902.1440458257</x:v>
      </x:c>
    </x:row>
    <x:row r="5" ht="18" customHeight="1">
      <x:c r="A5" s="24" t="str">
        <x:v>Perch-likes</x:v>
      </x:c>
      <x:c r="B5" s="31" t="n">
        <x:v>14629.382601192</x:v>
      </x:c>
      <x:c r="C5" s="32" t="n">
        <x:v>3.7344000898585534</x:v>
      </x:c>
      <x:c r="D5" s="32" t="n">
        <x:f>IF(C5="","",(1/'Metadata'!$B$5)^(C5-1))</x:f>
        <x:v>542.5004338782572</x:v>
      </x:c>
      <x:c r="E5" s="31" t="n">
        <x:f>IF(B5=0,"",B5*D5)</x:f>
        <x:v>7936446.408517687</x:v>
      </x:c>
    </x:row>
    <x:row r="6" ht="18" customHeight="1">
      <x:c r="A6" s="24" t="str">
        <x:v>Scorpionfishes</x:v>
      </x:c>
      <x:c r="B6" s="31" t="n">
        <x:v>28</x:v>
      </x:c>
      <x:c r="C6" s="32" t="n">
        <x:v>3.6</x:v>
      </x:c>
      <x:c r="D6" s="32" t="n">
        <x:f>IF(C6="","",(1/'Metadata'!$B$5)^(C6-1))</x:f>
        <x:v>398.1071705534973</x:v>
      </x:c>
      <x:c r="E6" s="31" t="n">
        <x:f>IF(B6=0,"",B6*D6)</x:f>
        <x:v>11147.000775497925</x:v>
      </x:c>
    </x:row>
    <x:row r="7" ht="18" customHeight="1">
      <x:c r="A7" s="24" t="str">
        <x:v>Sharks &amp; rays</x:v>
      </x:c>
      <x:c r="B7" s="31" t="n">
        <x:v>605.075240788</x:v>
      </x:c>
      <x:c r="C7" s="32" t="n">
        <x:v>4.24</x:v>
      </x:c>
      <x:c r="D7" s="32" t="n">
        <x:f>IF(C7="","",(1/'Metadata'!$B$5)^(C7-1))</x:f>
        <x:v>1737.8008287493763</x:v>
      </x:c>
      <x:c r="E7" s="31" t="n">
        <x:f>IF(B7=0,"",B7*D7)</x:f>
        <x:v>1051500.2548971148</x:v>
      </x:c>
    </x:row>
  </x:sheetData>
  <x:pageMargins left="0.7" right="0.7" top="0.75" bottom="0.75" header="0.3" footer="0.3"/>
  <x:tableParts count="1">
    <x:tablePart xmlns:r="http://schemas.openxmlformats.org/officeDocument/2006/relationships" r:id="R9b584670be504d3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40</x:v>
      </x:c>
      <x:c r="C2" s="32" t="n">
        <x:v>3.8</x:v>
      </x:c>
      <x:c r="D2" s="32" t="n">
        <x:f>IF(C2="","",(1/'Metadata'!$B$5)^(C2-1))</x:f>
        <x:v>630.957344480193</x:v>
      </x:c>
      <x:c r="E2" s="31" t="n">
        <x:f>IF(B2=0,"",B2*D2)</x:f>
        <x:v>25238.29377920772</x:v>
      </x:c>
    </x:row>
    <x:row r="3" ht="18" customHeight="1">
      <x:c r="A3" s="24" t="str">
        <x:v>Large pelagics (&gt;=90 cm)</x:v>
      </x:c>
      <x:c r="B3" s="31" t="n">
        <x:v>2508.999999847</x:v>
      </x:c>
      <x:c r="C3" s="32" t="n">
        <x:v>4.4287046632098415</x:v>
      </x:c>
      <x:c r="D3" s="32" t="n">
        <x:f>IF(C3="","",(1/'Metadata'!$B$5)^(C3-1))</x:f>
        <x:v>2683.5189299299964</x:v>
      </x:c>
      <x:c r="E3" s="31" t="n">
        <x:f>IF(B3=0,"",B3*D3)</x:f>
        <x:v>6732948.994783782</x:v>
      </x:c>
    </x:row>
    <x:row r="4" ht="18" customHeight="1">
      <x:c r="A4" s="24" t="str">
        <x:v>Large reef assoc. fish (&gt;=90 cm)</x:v>
      </x:c>
      <x:c r="B4" s="31" t="n">
        <x:v>981.9999999890001</x:v>
      </x:c>
      <x:c r="C4" s="32" t="n">
        <x:v>4.070875763734948</x:v>
      </x:c>
      <x:c r="D4" s="32" t="n">
        <x:f>IF(C4="","",(1/'Metadata'!$B$5)^(C4-1))</x:f>
        <x:v>1177.2691503509895</x:v>
      </x:c>
      <x:c r="E4" s="31" t="n">
        <x:f>IF(B4=0,"",B4*D4)</x:f>
        <x:v>1156078.3056317219</x:v>
      </x:c>
    </x:row>
    <x:row r="5" ht="18" customHeight="1">
      <x:c r="A5" s="24" t="str">
        <x:v>Large sharks (&gt;=90 cm)</x:v>
      </x:c>
      <x:c r="B5" s="31" t="n">
        <x:v>605.075240788</x:v>
      </x:c>
      <x:c r="C5" s="32" t="n">
        <x:v>4.24</x:v>
      </x:c>
      <x:c r="D5" s="32" t="n">
        <x:f>IF(C5="","",(1/'Metadata'!$B$5)^(C5-1))</x:f>
        <x:v>1737.8008287493763</x:v>
      </x:c>
      <x:c r="E5" s="31" t="n">
        <x:f>IF(B5=0,"",B5*D5)</x:f>
        <x:v>1051500.2548971148</x:v>
      </x:c>
    </x:row>
    <x:row r="6" ht="18" customHeight="1">
      <x:c r="A6" s="24" t="str">
        <x:v>Lobsters, crabs</x:v>
      </x:c>
      <x:c r="B6" s="31" t="n">
        <x:v>488.10942763500003</x:v>
      </x:c>
      <x:c r="C6" s="32" t="n">
        <x:v>3.4411741861115996</x:v>
      </x:c>
      <x:c r="D6" s="32" t="n">
        <x:f>IF(C6="","",(1/'Metadata'!$B$5)^(C6-1))</x:f>
        <x:v>276.16852862835975</x:v>
      </x:c>
      <x:c r="E6" s="31" t="n">
        <x:f>IF(B6=0,"",B6*D6)</x:f>
        <x:v>134800.4624395888</x:v>
      </x:c>
    </x:row>
    <x:row r="7" ht="18" customHeight="1">
      <x:c r="A7" s="24" t="str">
        <x:v>Medium benthopelagics (30 - 89 cm)</x:v>
      </x:c>
      <x:c r="B7" s="31" t="n">
        <x:v>101.978495359</x:v>
      </x:c>
      <x:c r="C7" s="32" t="n">
        <x:v>3.53017353483161</x:v>
      </x:c>
      <x:c r="D7" s="32" t="n">
        <x:f>IF(C7="","",(1/'Metadata'!$B$5)^(C7-1))</x:f>
        <x:v>338.9795781062318</x:v>
      </x:c>
      <x:c r="E7" s="31" t="n">
        <x:f>IF(B7=0,"",B7*D7)</x:f>
        <x:v>34568.62733270214</x:v>
      </x:c>
    </x:row>
    <x:row r="8" ht="18" customHeight="1">
      <x:c r="A8" s="24" t="str">
        <x:v>Medium demersals (30 - 89 cm)</x:v>
      </x:c>
      <x:c r="B8" s="31" t="n">
        <x:v>3544.4673249639995</x:v>
      </x:c>
      <x:c r="C8" s="32" t="n">
        <x:v>3.5544409277013385</x:v>
      </x:c>
      <x:c r="D8" s="32" t="n">
        <x:f>IF(C8="","",(1/'Metadata'!$B$5)^(C8-1))</x:f>
        <x:v>358.46018756622686</x:v>
      </x:c>
      <x:c r="E8" s="31" t="n">
        <x:f>IF(B8=0,"",B8*D8)</x:f>
        <x:v>1270550.4221289577</x:v>
      </x:c>
    </x:row>
    <x:row r="9" ht="18" customHeight="1">
      <x:c r="A9" s="24" t="str">
        <x:v>Medium pelagics (30 - 89 cm)</x:v>
      </x:c>
      <x:c r="B9" s="31" t="n">
        <x:v>251.868778008</x:v>
      </x:c>
      <x:c r="C9" s="32" t="n">
        <x:v>4.05</x:v>
      </x:c>
      <x:c r="D9" s="32" t="n">
        <x:f>IF(C9="","",(1/'Metadata'!$B$5)^(C9-1))</x:f>
        <x:v>1122.018454301963</x:v>
      </x:c>
      <x:c r="E9" s="31" t="n">
        <x:f>IF(B9=0,"",B9*D9)</x:f>
        <x:v>282601.4169874604</x:v>
      </x:c>
    </x:row>
    <x:row r="10" ht="18" customHeight="1">
      <x:c r="A10" s="24" t="str">
        <x:v>Medium reef assoc. fish (30 - 89 cm)</x:v>
      </x:c>
      <x:c r="B10" s="31" t="n">
        <x:v>8590.749186385001</x:v>
      </x:c>
      <x:c r="C10" s="32" t="n">
        <x:v>3.453740095857478</x:v>
      </x:c>
      <x:c r="D10" s="32" t="n">
        <x:f>IF(C10="","",(1/'Metadata'!$B$5)^(C10-1))</x:f>
        <x:v>284.2759344965897</x:v>
      </x:c>
      <x:c r="E10" s="31" t="n">
        <x:f>IF(B10=0,"",B10*D10)</x:f>
        <x:v>2442143.2529854137</x:v>
      </x:c>
    </x:row>
    <x:row r="11" ht="18" customHeight="1">
      <x:c r="A11" s="24" t="str">
        <x:v>Small benthopelagics (&lt;30 cm)</x:v>
      </x:c>
      <x:c r="B11" s="31" t="n">
        <x:v>306.29885022300004</x:v>
      </x:c>
      <x:c r="C11" s="32" t="n">
        <x:v>3.03</x:v>
      </x:c>
      <x:c r="D11" s="32" t="n">
        <x:f>IF(C11="","",(1/'Metadata'!$B$5)^(C11-1))</x:f>
        <x:v>107.1519305237606</x:v>
      </x:c>
      <x:c r="E11" s="31" t="n">
        <x:f>IF(B11=0,"",B11*D11)</x:f>
        <x:v>32820.513118602656</x:v>
      </x:c>
    </x:row>
    <x:row r="12" ht="18" customHeight="1">
      <x:c r="A12" s="24" t="str">
        <x:v>Small demersals (&lt;30 cm)</x:v>
      </x:c>
      <x:c r="B12" s="31" t="n">
        <x:v>90.547898612</x:v>
      </x:c>
      <x:c r="C12" s="32" t="n">
        <x:v>3.51</x:v>
      </x:c>
      <x:c r="D12" s="32" t="n">
        <x:f>IF(C12="","",(1/'Metadata'!$B$5)^(C12-1))</x:f>
        <x:v>323.5936569296281</x:v>
      </x:c>
      <x:c r="E12" s="31" t="n">
        <x:f>IF(B12=0,"",B12*D12)</x:f>
        <x:v>29300.725639150274</x:v>
      </x:c>
    </x:row>
    <x:row r="13" ht="18" customHeight="1">
      <x:c r="A13" s="24" t="str">
        <x:v>Small pelagics (&lt;30 cm)</x:v>
      </x:c>
      <x:c r="B13" s="31" t="n">
        <x:v>657.0306964971</x:v>
      </x:c>
      <x:c r="C13" s="32" t="n">
        <x:v>4.147351129039468</x:v>
      </x:c>
      <x:c r="D13" s="32" t="n">
        <x:f>IF(C13="","",(1/'Metadata'!$B$5)^(C13-1))</x:f>
        <x:v>1403.9483443624092</x:v>
      </x:c>
      <x:c r="E13" s="31" t="n">
        <x:f>IF(B13=0,"",B13*D13)</x:f>
        <x:v>922437.1585423842</x:v>
      </x:c>
    </x:row>
    <x:row r="14" ht="18" customHeight="1">
      <x:c r="A14" s="24" t="str">
        <x:v>Small reef assoc. fish (&lt;30 cm)</x:v>
      </x:c>
      <x:c r="B14" s="31" t="n">
        <x:v>133</x:v>
      </x:c>
      <x:c r="C14" s="32" t="n">
        <x:v>3.51</x:v>
      </x:c>
      <x:c r="D14" s="32" t="n">
        <x:f>IF(C14="","",(1/'Metadata'!$B$5)^(C14-1))</x:f>
        <x:v>323.5936569296281</x:v>
      </x:c>
      <x:c r="E14" s="31" t="n">
        <x:f>IF(B14=0,"",B14*D14)</x:f>
        <x:v>43037.95637164053</x:v>
      </x:c>
    </x:row>
  </x:sheetData>
  <x:pageMargins left="0.7" right="0.7" top="0.75" bottom="0.75" header="0.3" footer="0.3"/>
  <x:tableParts count="1">
    <x:tablePart xmlns:r="http://schemas.openxmlformats.org/officeDocument/2006/relationships" r:id="R804c0c3a0563419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EEZ_634</x:v>
      </x:c>
      <x:c r="B2" s="24" t="str">
        <x:v>raw_filtered_tonnes</x:v>
      </x:c>
      <x:c r="C2" s="24" t="n">
        <x:v>18300.125898307102</x:v>
      </x:c>
      <x:c r="D2" s="24" t="str">
        <x:v>tonnes</x:v>
      </x:c>
    </x:row>
    <x:row r="3" ht="18" customHeight="1">
      <x:c r="A3" s="24" t="str">
        <x:v>EEZ_634</x:v>
      </x:c>
      <x:c r="B3" s="24" t="str">
        <x:v>species_catch_tonnes</x:v>
      </x:c>
      <x:c r="C3" s="24" t="n">
        <x:v>18300.125898307102</x:v>
      </x:c>
      <x:c r="D3" s="24" t="str">
        <x:v>tonnes</x:v>
      </x:c>
    </x:row>
    <x:row r="4" ht="18" customHeight="1">
      <x:c r="A4" s="24" t="str">
        <x:v>EEZ_634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EEZ_634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EEZ_634</x:v>
      </x:c>
      <x:c r="B6" s="24" t="str">
        <x:v>matched_catch_tonnes</x:v>
      </x:c>
      <x:c r="C6" s="24" t="n">
        <x:v>18300.125898307102</x:v>
      </x:c>
      <x:c r="D6" s="24" t="str">
        <x:v>tonnes</x:v>
      </x:c>
    </x:row>
    <x:row r="7" ht="18" customHeight="1">
      <x:c r="A7" s="24" t="str">
        <x:v>EEZ_634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EEZ_634</x:v>
      </x:c>
      <x:c r="B8" s="24" t="str">
        <x:v>taxa_count</x:v>
      </x:c>
      <x:c r="C8" s="24" t="n">
        <x:v>47</x:v>
      </x:c>
      <x:c r="D8" s="24" t="str">
        <x:v>count</x:v>
      </x:c>
    </x:row>
    <x:row r="9" ht="18" customHeight="1">
      <x:c r="A9" s="24" t="str">
        <x:v>EEZ_634</x:v>
      </x:c>
      <x:c r="B9" s="24" t="str">
        <x:v>matched_taxa_count</x:v>
      </x:c>
      <x:c r="C9" s="24" t="n">
        <x:v>47</x:v>
      </x:c>
      <x:c r="D9" s="24" t="str">
        <x:v>count</x:v>
      </x:c>
    </x:row>
    <x:row r="10" ht="18" customHeight="1">
      <x:c r="A10" s="24" t="str">
        <x:v>EEZ_634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EEZ_634</x:v>
      </x:c>
      <x:c r="B11" s="24" t="str">
        <x:v>species_ppr</x:v>
      </x:c>
      <x:c r="C11" s="24" t="n">
        <x:v>17533760.271710783</x:v>
      </x:c>
      <x:c r="D11" s="24" t="str">
        <x:v>tonnes_primary_production_equivalent</x:v>
      </x:c>
    </x:row>
    <x:row r="12" ht="18" customHeight="1">
      <x:c r="A12" s="24" t="str">
        <x:v>EEZ_634</x:v>
      </x:c>
      <x:c r="B12" s="24" t="str">
        <x:v>commercial_ppr</x:v>
      </x:c>
      <x:c r="C12" s="24" t="n">
        <x:v>9745305.186637845</x:v>
      </x:c>
      <x:c r="D12" s="24" t="str">
        <x:v>tonnes_primary_production_equivalent</x:v>
      </x:c>
    </x:row>
    <x:row r="13" ht="18" customHeight="1">
      <x:c r="A13" s="24" t="str">
        <x:v>EEZ_634</x:v>
      </x:c>
      <x:c r="B13" s="24" t="str">
        <x:v>functional_ppr</x:v>
      </x:c>
      <x:c r="C13" s="24" t="n">
        <x:v>14158026.384637725</x:v>
      </x:c>
      <x:c r="D13" s="24" t="str">
        <x:v>tonnes_primary_production_equivalent</x:v>
      </x:c>
    </x:row>
    <x:row r="14" ht="18" customHeight="1">
      <x:c r="A14" s="24" t="str">
        <x:v>EEZ_634</x:v>
      </x:c>
      <x:c r="B14" s="24" t="str">
        <x:v>commercial_ppr_difference</x:v>
      </x:c>
      <x:c r="C14" s="24" t="n">
        <x:v>-7788455.085072938</x:v>
      </x:c>
      <x:c r="D14" s="24" t="str">
        <x:v>tonnes_primary_production_equivalent</x:v>
      </x:c>
    </x:row>
    <x:row r="15" ht="18" customHeight="1">
      <x:c r="A15" s="24" t="str">
        <x:v>EEZ_634</x:v>
      </x:c>
      <x:c r="B15" s="24" t="str">
        <x:v>functional_ppr_difference</x:v>
      </x:c>
      <x:c r="C15" s="24" t="n">
        <x:v>-3375733.8870730586</x:v>
      </x:c>
      <x:c r="D15" s="24" t="str">
        <x:v>tonnes_primary_production_equivalent</x:v>
      </x:c>
    </x:row>
    <x:row r="16" ht="18" customHeight="1">
      <x:c r="A16" s="24" t="str">
        <x:v>EEZ_634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EEZ_634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416dc8faa592430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EEZ_634 - Qatar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EEZ_634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raw_data/SAU_downloads/EEZ_634-catch.zip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