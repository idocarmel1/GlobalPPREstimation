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e1b4c72a4645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9cc404569f0749c0"/>
    <x:sheet xmlns:r="http://schemas.openxmlformats.org/officeDocument/2006/relationships" name="Commercial" sheetId="2" r:id="R29862a5fc0874d21"/>
    <x:sheet xmlns:r="http://schemas.openxmlformats.org/officeDocument/2006/relationships" name="Functional" sheetId="3" r:id="Rd9f2ae572bf842a3"/>
    <x:sheet xmlns:r="http://schemas.openxmlformats.org/officeDocument/2006/relationships" name="Missing TL" sheetId="4" r:id="Rfd9984994d574b66"/>
    <x:sheet xmlns:r="http://schemas.openxmlformats.org/officeDocument/2006/relationships" name="Validation" sheetId="5" r:id="R48179fc509ea4378"/>
    <x:sheet xmlns:r="http://schemas.openxmlformats.org/officeDocument/2006/relationships" name="Metadata" sheetId="6" r:id="R4b45aa9543b741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d0acdaf2c5440f" /><Relationship Type="http://schemas.openxmlformats.org/officeDocument/2006/relationships/theme" Target="/xl/theme/theme1.xml" Id="Rdcc69815053e4ffe" /><Relationship Type="http://schemas.microsoft.com/office/2022/11/relationships/FeaturePropertyBag" Target="/xl/featurePropertyBag/featurePropertyBag.xml" Id="R91540a5e10b449b1" /><Relationship Type="http://schemas.openxmlformats.org/officeDocument/2006/relationships/sharedStrings" Target="/xl/sharedStrings.xml" Id="Re9f148d09eaa4f4f" /><Relationship Type="http://schemas.openxmlformats.org/officeDocument/2006/relationships/worksheet" Target="/xl/worksheets/sheet1.xml" Id="R9cc404569f0749c0" /><Relationship Type="http://schemas.openxmlformats.org/officeDocument/2006/relationships/worksheet" Target="/xl/worksheets/sheet2.xml" Id="R29862a5fc0874d21" /><Relationship Type="http://schemas.openxmlformats.org/officeDocument/2006/relationships/worksheet" Target="/xl/worksheets/sheet3.xml" Id="Rd9f2ae572bf842a3" /><Relationship Type="http://schemas.openxmlformats.org/officeDocument/2006/relationships/worksheet" Target="/xl/worksheets/sheet4.xml" Id="Rfd9984994d574b66" /><Relationship Type="http://schemas.openxmlformats.org/officeDocument/2006/relationships/worksheet" Target="/xl/worksheets/sheet5.xml" Id="R48179fc509ea4378" /><Relationship Type="http://schemas.openxmlformats.org/officeDocument/2006/relationships/worksheet" Target="/xl/worksheets/sheet6.xml" Id="R4b45aa9543b7412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154SpeciesTable" displayName="EEZ154SpeciesTable" ref="A1:U13" headerRowCount="1" totalsRowCount="0" totalsRowShown="0">
  <x:autoFilter ref="A1:U13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154CommercialTable" displayName="EEZ154CommercialTable" ref="A1:E5" headerRowCount="1" totalsRowCount="0" totalsRowShown="0">
  <x:autoFilter ref="A1:E5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154FunctionalTable" displayName="EEZ154FunctionalTable" ref="A1:E6" headerRowCount="1" totalsRowCount="0" totalsRowShown="0">
  <x:autoFilter ref="A1:E6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154ValidationTable" displayName="EEZ154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23b464bbcbf491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b4008d34fcc42f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fadf36f16c2406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4126e26ade44fd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EEZ_154</x:v>
      </x:c>
      <x:c r="B2" s="24" t="str">
        <x:v>Desventuradas Isl. (Chile)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21.05</x:v>
      </x:c>
      <x:c r="J2" s="31" t="n">
        <x:v>21.05</x:v>
      </x:c>
      <x:c r="K2" s="31" t="n">
        <x:v>0</x:v>
      </x:c>
      <x:c r="L2" s="31" t="n">
        <x:v>18.945</x:v>
      </x:c>
      <x:c r="M2" s="31" t="n">
        <x:v>2.105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4010.994811312634</x:v>
      </x:c>
    </x:row>
    <x:row r="3" ht="18" customHeight="1">
      <x:c r="A3" s="24" t="str">
        <x:v>EEZ_154</x:v>
      </x:c>
      <x:c r="B3" s="24" t="str">
        <x:v>Desventuradas Isl. (Chile)</x:v>
      </x:c>
      <x:c r="C3" s="24" t="str">
        <x:v>EEZ</x:v>
      </x:c>
      <x:c r="D3" s="30" t="n">
        <x:v>2019</x:v>
      </x:c>
      <x:c r="E3" s="24" t="str">
        <x:v>Thunnus obesus</x:v>
      </x:c>
      <x:c r="F3" s="24" t="str">
        <x:v>Bigeye tuna</x:v>
      </x:c>
      <x:c r="G3" s="24" t="str">
        <x:v>Large pelagics (&gt;=90 cm)</x:v>
      </x:c>
      <x:c r="H3" s="24" t="str">
        <x:v>Tuna &amp; billfishes</x:v>
      </x:c>
      <x:c r="I3" s="31" t="n">
        <x:v>0.149408858</x:v>
      </x:c>
      <x:c r="J3" s="31" t="n">
        <x:v>0.149408858</x:v>
      </x:c>
      <x:c r="K3" s="31" t="n">
        <x:v>0</x:v>
      </x:c>
      <x:c r="L3" s="31" t="n">
        <x:v>0.149408858</x:v>
      </x:c>
      <x:c r="M3" s="31" t="n">
        <x:v>0</x:v>
      </x:c>
      <x:c r="N3" s="24" t="str">
        <x:v>thunnus obesus</x:v>
      </x:c>
      <x:c r="O3" s="32" t="n">
        <x:v>4.49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Thunnus obesus</x:v>
      </x:c>
      <x:c r="T3" s="32" t="n">
        <x:f>IF(O3="","",(1/'Metadata'!$B$5)^(O3-1))</x:f>
        <x:v>3090.295432513592</x:v>
      </x:c>
      <x:c r="U3" s="31" t="n">
        <x:f>IF(T3="","",I3*T3)</x:f>
        <x:v>461.7175114544719</x:v>
      </x:c>
    </x:row>
    <x:row r="4" ht="18" customHeight="1">
      <x:c r="A4" s="24" t="str">
        <x:v>EEZ_154</x:v>
      </x:c>
      <x:c r="B4" s="24" t="str">
        <x:v>Desventuradas Isl. (Chile)</x:v>
      </x:c>
      <x:c r="C4" s="24" t="str">
        <x:v>EEZ</x:v>
      </x:c>
      <x:c r="D4" s="30" t="n">
        <x:v>2019</x:v>
      </x:c>
      <x:c r="E4" s="24" t="str">
        <x:v>Malacostraca</x:v>
      </x:c>
      <x:c r="F4" s="24" t="str">
        <x:v>Lobsters, crabs, shrimps, krill</x:v>
      </x:c>
      <x:c r="G4" s="24" t="str">
        <x:v>Shrimps</x:v>
      </x:c>
      <x:c r="H4" s="24" t="str">
        <x:v>Crustaceans</x:v>
      </x:c>
      <x:c r="I4" s="31" t="n">
        <x:v>0.096</x:v>
      </x:c>
      <x:c r="J4" s="31" t="n">
        <x:v>0.096</x:v>
      </x:c>
      <x:c r="K4" s="31" t="n">
        <x:v>0</x:v>
      </x:c>
      <x:c r="L4" s="31" t="n">
        <x:v>0.0864</x:v>
      </x:c>
      <x:c r="M4" s="31" t="n">
        <x:v>0.009600000000000001</x:v>
      </x:c>
      <x:c r="N4" s="24" t="str">
        <x:v>malacostraca</x:v>
      </x:c>
      <x:c r="O4" s="32" t="n">
        <x:v>3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Malacostraca</x:v>
      </x:c>
      <x:c r="T4" s="32" t="n">
        <x:f>IF(O4="","",(1/'Metadata'!$B$5)^(O4-1))</x:f>
        <x:v>100</x:v>
      </x:c>
      <x:c r="U4" s="31" t="n">
        <x:f>IF(T4="","",I4*T4)</x:f>
        <x:v>9.6</x:v>
      </x:c>
    </x:row>
    <x:row r="5" ht="18" customHeight="1">
      <x:c r="A5" s="24" t="str">
        <x:v>EEZ_154</x:v>
      </x:c>
      <x:c r="B5" s="24" t="str">
        <x:v>Desventuradas Isl. (Chile)</x:v>
      </x:c>
      <x:c r="C5" s="24" t="str">
        <x:v>EEZ</x:v>
      </x:c>
      <x:c r="D5" s="30" t="n">
        <x:v>2019</x:v>
      </x:c>
      <x:c r="E5" s="24" t="str">
        <x:v>Trachurus murphyi</x:v>
      </x:c>
      <x:c r="F5" s="24" t="str">
        <x:v>Chilean jack mackerel</x:v>
      </x:c>
      <x:c r="G5" s="24" t="str">
        <x:v>Medium pelagics (30 - 89 cm)</x:v>
      </x:c>
      <x:c r="H5" s="24" t="str">
        <x:v>Perch-likes</x:v>
      </x:c>
      <x:c r="I5" s="31" t="n">
        <x:v>0.0850425</x:v>
      </x:c>
      <x:c r="J5" s="31" t="n">
        <x:v>0.0850425</x:v>
      </x:c>
      <x:c r="K5" s="31" t="n">
        <x:v>0</x:v>
      </x:c>
      <x:c r="L5" s="31" t="n">
        <x:v>0.07653825</x:v>
      </x:c>
      <x:c r="M5" s="31" t="n">
        <x:v>0.00850425</x:v>
      </x:c>
      <x:c r="N5" s="24" t="str">
        <x:v>trachurus murphyi</x:v>
      </x:c>
      <x:c r="O5" s="32" t="n">
        <x:v>3.33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Trachurus murphyi</x:v>
      </x:c>
      <x:c r="T5" s="32" t="n">
        <x:f>IF(O5="","",(1/'Metadata'!$B$5)^(O5-1))</x:f>
        <x:v>213.79620895022325</x:v>
      </x:c>
      <x:c r="U5" s="31" t="n">
        <x:f>IF(T5="","",I5*T5)</x:f>
        <x:v>18.18176409964936</x:v>
      </x:c>
    </x:row>
    <x:row r="6" ht="18" customHeight="1">
      <x:c r="A6" s="24" t="str">
        <x:v>EEZ_154</x:v>
      </x:c>
      <x:c r="B6" s="24" t="str">
        <x:v>Desventuradas Isl. (Chile)</x:v>
      </x:c>
      <x:c r="C6" s="24" t="str">
        <x:v>EEZ</x:v>
      </x:c>
      <x:c r="D6" s="30" t="n">
        <x:v>2019</x:v>
      </x:c>
      <x:c r="E6" s="24" t="str">
        <x:v>Perciformes</x:v>
      </x:c>
      <x:c r="F6" s="24" t="str">
        <x:v>Perch-likes</x:v>
      </x:c>
      <x:c r="G6" s="24" t="str">
        <x:v>Medium demersals (30 - 89 cm)</x:v>
      </x:c>
      <x:c r="H6" s="24" t="str">
        <x:v>Perch-likes</x:v>
      </x:c>
      <x:c r="I6" s="31" t="n">
        <x:v>0.055</x:v>
      </x:c>
      <x:c r="J6" s="31" t="n">
        <x:v>0.055</x:v>
      </x:c>
      <x:c r="K6" s="31" t="n">
        <x:v>0</x:v>
      </x:c>
      <x:c r="L6" s="31" t="n">
        <x:v>0.0495</x:v>
      </x:c>
      <x:c r="M6" s="31" t="n">
        <x:v>0.0055000000000000005</x:v>
      </x:c>
      <x:c r="N6" s="24" t="str">
        <x:v>perciformes</x:v>
      </x:c>
      <x:c r="O6" s="32" t="n">
        <x:v>3.53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Perciformes</x:v>
      </x:c>
      <x:c r="T6" s="32" t="n">
        <x:f>IF(O6="","",(1/'Metadata'!$B$5)^(O6-1))</x:f>
        <x:v>338.84415613920237</x:v>
      </x:c>
      <x:c r="U6" s="31" t="n">
        <x:f>IF(T6="","",I6*T6)</x:f>
        <x:v>18.63642858765613</x:v>
      </x:c>
    </x:row>
    <x:row r="7" ht="18" customHeight="1">
      <x:c r="A7" s="24" t="str">
        <x:v>EEZ_154</x:v>
      </x:c>
      <x:c r="B7" s="24" t="str">
        <x:v>Desventuradas Isl. (Chile)</x:v>
      </x:c>
      <x:c r="C7" s="24" t="str">
        <x:v>EEZ</x:v>
      </x:c>
      <x:c r="D7" s="30" t="n">
        <x:v>2019</x:v>
      </x:c>
      <x:c r="E7" s="24" t="str">
        <x:v>Caranx lugubris</x:v>
      </x:c>
      <x:c r="F7" s="24" t="str">
        <x:v>Black jack</x:v>
      </x:c>
      <x:c r="G7" s="24" t="str">
        <x:v>Large benthopelagics (&gt;=90 cm)</x:v>
      </x:c>
      <x:c r="H7" s="24" t="str">
        <x:v>Perch-likes</x:v>
      </x:c>
      <x:c r="I7" s="31" t="n">
        <x:v>0.05</x:v>
      </x:c>
      <x:c r="J7" s="31" t="n">
        <x:v>0.05</x:v>
      </x:c>
      <x:c r="K7" s="31" t="n">
        <x:v>0</x:v>
      </x:c>
      <x:c r="L7" s="31" t="n">
        <x:v>0.045000000000000005</x:v>
      </x:c>
      <x:c r="M7" s="31" t="n">
        <x:v>0.005</x:v>
      </x:c>
      <x:c r="N7" s="24" t="str">
        <x:v>caranx lugubris</x:v>
      </x:c>
      <x:c r="O7" s="32" t="n">
        <x:v>4.5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Caranx lugubris</x:v>
      </x:c>
      <x:c r="T7" s="32" t="n">
        <x:f>IF(O7="","",(1/'Metadata'!$B$5)^(O7-1))</x:f>
        <x:v>3162.2776601683795</x:v>
      </x:c>
      <x:c r="U7" s="31" t="n">
        <x:f>IF(T7="","",I7*T7)</x:f>
        <x:v>158.11388300841898</x:v>
      </x:c>
    </x:row>
    <x:row r="8" ht="18" customHeight="1">
      <x:c r="A8" s="24" t="str">
        <x:v>EEZ_154</x:v>
      </x:c>
      <x:c r="B8" s="24" t="str">
        <x:v>Desventuradas Isl. (Chile)</x:v>
      </x:c>
      <x:c r="C8" s="24" t="str">
        <x:v>EEZ</x:v>
      </x:c>
      <x:c r="D8" s="30" t="n">
        <x:v>2019</x:v>
      </x:c>
      <x:c r="E8" s="24" t="str">
        <x:v>Marine pelagic fishes not identified</x:v>
      </x:c>
      <x:c r="F8" s="24" t="str">
        <x:v>Pelagic fishes</x:v>
      </x:c>
      <x:c r="G8" s="24" t="str">
        <x:v>Medium pelagics (30 - 89 cm)</x:v>
      </x:c>
      <x:c r="H8" s="24" t="str">
        <x:v>Other fishes &amp; inverts</x:v>
      </x:c>
      <x:c r="I8" s="31" t="n">
        <x:v>0.022462951499999998</x:v>
      </x:c>
      <x:c r="J8" s="31" t="n">
        <x:v>0.022462951499999998</x:v>
      </x:c>
      <x:c r="K8" s="31" t="n">
        <x:v>0</x:v>
      </x:c>
      <x:c r="L8" s="31" t="n">
        <x:v>0.022462951499999998</x:v>
      </x:c>
      <x:c r="M8" s="31" t="n">
        <x:v>0</x:v>
      </x:c>
      <x:c r="N8" s="24" t="str">
        <x:v>marine pelagic fishes not identified</x:v>
      </x:c>
      <x:c r="O8" s="32" t="n">
        <x:v>3.35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Marine pelagic fishes not identified</x:v>
      </x:c>
      <x:c r="T8" s="32" t="n">
        <x:f>IF(O8="","",(1/'Metadata'!$B$5)^(O8-1))</x:f>
        <x:v>223.872113856834</x:v>
      </x:c>
      <x:c r="U8" s="31" t="n">
        <x:f>IF(T8="","",I8*T8)</x:f>
        <x:v>5.02882843576854</x:v>
      </x:c>
    </x:row>
    <x:row r="9" ht="18" customHeight="1">
      <x:c r="A9" s="24" t="str">
        <x:v>EEZ_154</x:v>
      </x:c>
      <x:c r="B9" s="24" t="str">
        <x:v>Desventuradas Isl. (Chile)</x:v>
      </x:c>
      <x:c r="C9" s="24" t="str">
        <x:v>EEZ</x:v>
      </x:c>
      <x:c r="D9" s="30" t="n">
        <x:v>2019</x:v>
      </x:c>
      <x:c r="E9" s="24" t="str">
        <x:v>Thunnus albacares</x:v>
      </x:c>
      <x:c r="F9" s="24" t="str">
        <x:v>Yellowfin tuna</x:v>
      </x:c>
      <x:c r="G9" s="24" t="str">
        <x:v>Large pelagics (&gt;=90 cm)</x:v>
      </x:c>
      <x:c r="H9" s="24" t="str">
        <x:v>Tuna &amp; billfishes</x:v>
      </x:c>
      <x:c r="I9" s="31" t="n">
        <x:v>0.015155614599999999</x:v>
      </x:c>
      <x:c r="J9" s="31" t="n">
        <x:v>0.015155614599999999</x:v>
      </x:c>
      <x:c r="K9" s="31" t="n">
        <x:v>0</x:v>
      </x:c>
      <x:c r="L9" s="31" t="n">
        <x:v>0.015155614599999999</x:v>
      </x:c>
      <x:c r="M9" s="31" t="n">
        <x:v>0</x:v>
      </x:c>
      <x:c r="N9" s="24" t="str">
        <x:v>thunnus albacares</x:v>
      </x:c>
      <x:c r="O9" s="32" t="n">
        <x:v>4.41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Thunnus albacares</x:v>
      </x:c>
      <x:c r="T9" s="32" t="n">
        <x:f>IF(O9="","",(1/'Metadata'!$B$5)^(O9-1))</x:f>
        <x:v>2570.3957827688646</x:v>
      </x:c>
      <x:c r="U9" s="31" t="n">
        <x:f>IF(T9="","",I9*T9)</x:f>
        <x:v>38.95592785311023</x:v>
      </x:c>
    </x:row>
    <x:row r="10" ht="18" customHeight="1">
      <x:c r="A10" s="24" t="str">
        <x:v>EEZ_154</x:v>
      </x:c>
      <x:c r="B10" s="24" t="str">
        <x:v>Desventuradas Isl. (Chile)</x:v>
      </x:c>
      <x:c r="C10" s="24" t="str">
        <x:v>EEZ</x:v>
      </x:c>
      <x:c r="D10" s="30" t="n">
        <x:v>2019</x:v>
      </x:c>
      <x:c r="E10" s="24" t="str">
        <x:v>Seriola lalandi</x:v>
      </x:c>
      <x:c r="F10" s="24" t="str">
        <x:v>Yellowtail amberjack</x:v>
      </x:c>
      <x:c r="G10" s="24" t="str">
        <x:v>Large benthopelagics (&gt;=90 cm)</x:v>
      </x:c>
      <x:c r="H10" s="24" t="str">
        <x:v>Perch-likes</x:v>
      </x:c>
      <x:c r="I10" s="31" t="n">
        <x:v>0.012</x:v>
      </x:c>
      <x:c r="J10" s="31" t="n">
        <x:v>0.012</x:v>
      </x:c>
      <x:c r="K10" s="31" t="n">
        <x:v>0</x:v>
      </x:c>
      <x:c r="L10" s="31" t="n">
        <x:v>0.0108</x:v>
      </x:c>
      <x:c r="M10" s="31" t="n">
        <x:v>0.0012000000000000001</x:v>
      </x:c>
      <x:c r="N10" s="24" t="str">
        <x:v>seriola lalandi</x:v>
      </x:c>
      <x:c r="O10" s="32" t="n">
        <x:v>4.16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Seriola lalandi</x:v>
      </x:c>
      <x:c r="T10" s="32" t="n">
        <x:f>IF(O10="","",(1/'Metadata'!$B$5)^(O10-1))</x:f>
        <x:v>1445.439770745928</x:v>
      </x:c>
      <x:c r="U10" s="31" t="n">
        <x:f>IF(T10="","",I10*T10)</x:f>
        <x:v>17.345277248951135</x:v>
      </x:c>
    </x:row>
    <x:row r="11" ht="18" customHeight="1">
      <x:c r="A11" s="24" t="str">
        <x:v>EEZ_154</x:v>
      </x:c>
      <x:c r="B11" s="24" t="str">
        <x:v>Desventuradas Isl. (Chile)</x:v>
      </x:c>
      <x:c r="C11" s="24" t="str">
        <x:v>EEZ</x:v>
      </x:c>
      <x:c r="D11" s="30" t="n">
        <x:v>2019</x:v>
      </x:c>
      <x:c r="E11" s="24" t="str">
        <x:v>Katsuwonus pelamis</x:v>
      </x:c>
      <x:c r="F11" s="24" t="str">
        <x:v>Skipjack tuna</x:v>
      </x:c>
      <x:c r="G11" s="24" t="str">
        <x:v>Large pelagics (&gt;=90 cm)</x:v>
      </x:c>
      <x:c r="H11" s="24" t="str">
        <x:v>Tuna &amp; billfishes</x:v>
      </x:c>
      <x:c r="I11" s="31" t="n">
        <x:v>0.0007548982999999999</x:v>
      </x:c>
      <x:c r="J11" s="31" t="n">
        <x:v>0.0007548982999999999</x:v>
      </x:c>
      <x:c r="K11" s="31" t="n">
        <x:v>0</x:v>
      </x:c>
      <x:c r="L11" s="31" t="n">
        <x:v>0.0007548982999999999</x:v>
      </x:c>
      <x:c r="M11" s="31" t="n">
        <x:v>0</x:v>
      </x:c>
      <x:c r="N11" s="24" t="str">
        <x:v>katsuwonus pelamis</x:v>
      </x:c>
      <x:c r="O11" s="32" t="n">
        <x:v>4.43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Katsuwonus pelamis</x:v>
      </x:c>
      <x:c r="T11" s="32" t="n">
        <x:f>IF(O11="","",(1/'Metadata'!$B$5)^(O11-1))</x:f>
        <x:v>2691.534803926914</x:v>
      </x:c>
      <x:c r="U11" s="31" t="n">
        <x:f>IF(T11="","",I11*T11)</x:f>
        <x:v>2.0318350478752603</x:v>
      </x:c>
    </x:row>
    <x:row r="12" ht="18" customHeight="1">
      <x:c r="A12" s="24" t="str">
        <x:v>EEZ_154</x:v>
      </x:c>
      <x:c r="B12" s="24" t="str">
        <x:v>Desventuradas Isl. (Chile)</x:v>
      </x:c>
      <x:c r="C12" s="24" t="str">
        <x:v>EEZ</x:v>
      </x:c>
      <x:c r="D12" s="30" t="n">
        <x:v>2019</x:v>
      </x:c>
      <x:c r="E12" s="24" t="str">
        <x:v>Coryphaena</x:v>
      </x:c>
      <x:c r="F12" s="24" t="str">
        <x:v>Dolphinfishes</x:v>
      </x:c>
      <x:c r="G12" s="24" t="str">
        <x:v>Large pelagics (&gt;=90 cm)</x:v>
      </x:c>
      <x:c r="H12" s="24" t="str">
        <x:v>Perch-likes</x:v>
      </x:c>
      <x:c r="I12" s="31" t="n">
        <x:v>0.0000049254</x:v>
      </x:c>
      <x:c r="J12" s="31" t="n">
        <x:v>0.0000049254</x:v>
      </x:c>
      <x:c r="K12" s="31" t="n">
        <x:v>0</x:v>
      </x:c>
      <x:c r="L12" s="31" t="n">
        <x:v>0.0000049254</x:v>
      </x:c>
      <x:c r="M12" s="31" t="n">
        <x:v>0</x:v>
      </x:c>
      <x:c r="N12" s="24" t="str">
        <x:v>coryphaena</x:v>
      </x:c>
      <x:c r="O12" s="32" t="n">
        <x:v>4.49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Coryphaena</x:v>
      </x:c>
      <x:c r="T12" s="32" t="n">
        <x:f>IF(O12="","",(1/'Metadata'!$B$5)^(O12-1))</x:f>
        <x:v>3090.295432513592</x:v>
      </x:c>
      <x:c r="U12" s="31" t="n">
        <x:f>IF(T12="","",I12*T12)</x:f>
        <x:v>0.015220941123302446</x:v>
      </x:c>
    </x:row>
    <x:row r="13" ht="18" customHeight="1">
      <x:c r="A13" s="24" t="str">
        <x:v>EEZ_154</x:v>
      </x:c>
      <x:c r="B13" s="24" t="str">
        <x:v>Desventuradas Isl. (Chile)</x:v>
      </x:c>
      <x:c r="C13" s="24" t="str">
        <x:v>EEZ</x:v>
      </x:c>
      <x:c r="D13" s="30" t="n">
        <x:v>2019</x:v>
      </x:c>
      <x:c r="E13" s="24" t="str">
        <x:v>Carangidae</x:v>
      </x:c>
      <x:c r="F13" s="24" t="str">
        <x:v>Jacks, pompanos</x:v>
      </x:c>
      <x:c r="G13" s="24" t="str">
        <x:v>Medium pelagics (30 - 89 cm)</x:v>
      </x:c>
      <x:c r="H13" s="24" t="str">
        <x:v>Perch-likes</x:v>
      </x:c>
      <x:c r="I13" s="31" t="n">
        <x:v>0.0000036802</x:v>
      </x:c>
      <x:c r="J13" s="31" t="n">
        <x:v>0.0000036802</x:v>
      </x:c>
      <x:c r="K13" s="31" t="n">
        <x:v>0</x:v>
      </x:c>
      <x:c r="L13" s="31" t="n">
        <x:v>0.0000036802</x:v>
      </x:c>
      <x:c r="M13" s="31" t="n">
        <x:v>0</x:v>
      </x:c>
      <x:c r="N13" s="24" t="str">
        <x:v>carangidae</x:v>
      </x:c>
      <x:c r="O13" s="32" t="n">
        <x:v>4.05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Carangidae</x:v>
      </x:c>
      <x:c r="T13" s="32" t="n">
        <x:f>IF(O13="","",(1/'Metadata'!$B$5)^(O13-1))</x:f>
        <x:v>1122.018454301963</x:v>
      </x:c>
      <x:c r="U13" s="31" t="n">
        <x:f>IF(T13="","",I13*T13)</x:f>
        <x:v>0.004129252315522084</x:v>
      </x:c>
    </x:row>
  </x:sheetData>
  <x:conditionalFormatting sqref="R2:R13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b23b464bbcbf491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Crustaceans</x:v>
      </x:c>
      <x:c r="B2" s="31" t="n">
        <x:v>0.096</x:v>
      </x:c>
      <x:c r="C2" s="32" t="n">
        <x:v>3.0000000000000004</x:v>
      </x:c>
      <x:c r="D2" s="32" t="n">
        <x:f>IF(C2="","",(1/'Metadata'!$B$5)^(C2-1))</x:f>
        <x:v>100.0000000000001</x:v>
      </x:c>
      <x:c r="E2" s="31" t="n">
        <x:f>IF(B2=0,"",B2*D2)</x:f>
        <x:v>9.60000000000001</x:v>
      </x:c>
    </x:row>
    <x:row r="3" ht="18" customHeight="1">
      <x:c r="A3" s="24" t="str">
        <x:v>Other fishes &amp; inverts</x:v>
      </x:c>
      <x:c r="B3" s="31" t="n">
        <x:v>21.0724629515</x:v>
      </x:c>
      <x:c r="C3" s="32" t="n">
        <x:v>3.280074619023349</x:v>
      </x:c>
      <x:c r="D3" s="32" t="n">
        <x:f>IF(C3="","",(1/'Metadata'!$B$5)^(C3-1))</x:f>
        <x:v>190.57881359691982</x:v>
      </x:c>
      <x:c r="E3" s="31" t="n">
        <x:f>IF(B3=0,"",B3*D3)</x:f>
        <x:v>4015.9649888619174</x:v>
      </x:c>
    </x:row>
    <x:row r="4" ht="18" customHeight="1">
      <x:c r="A4" s="24" t="str">
        <x:v>Perch-likes</x:v>
      </x:c>
      <x:c r="B4" s="31" t="n">
        <x:v>0.2020511056</x:v>
      </x:c>
      <x:c r="C4" s="32" t="n">
        <x:v>3.723308232449484</x:v>
      </x:c>
      <x:c r="D4" s="32" t="n">
        <x:f>IF(C4="","",(1/'Metadata'!$B$5)^(C4-1))</x:f>
        <x:v>528.8204391118348</x:v>
      </x:c>
      <x:c r="E4" s="31" t="n">
        <x:f>IF(B4=0,"",B4*D4)</x:f>
        <x:v>106.8487543864237</x:v>
      </x:c>
    </x:row>
    <x:row r="5" ht="18" customHeight="1">
      <x:c r="A5" s="24" t="str">
        <x:v>Tuna &amp; billfishes</x:v>
      </x:c>
      <x:c r="B5" s="31" t="n">
        <x:v>0.1653193709</x:v>
      </x:c>
      <x:c r="C5" s="32" t="n">
        <x:v>4.482392040574841</x:v>
      </x:c>
      <x:c r="D5" s="32" t="n">
        <x:f>IF(C5="","",(1/'Metadata'!$B$5)^(C5-1))</x:f>
        <x:v>3036.6311348465365</x:v>
      </x:c>
      <x:c r="E5" s="31" t="n">
        <x:f>IF(B5=0,"",B5*D5)</x:f>
        <x:v>502.0139488681825</x:v>
      </x:c>
    </x:row>
  </x:sheetData>
  <x:pageMargins left="0.7" right="0.7" top="0.75" bottom="0.75" header="0.3" footer="0.3"/>
  <x:tableParts count="1">
    <x:tablePart xmlns:r="http://schemas.openxmlformats.org/officeDocument/2006/relationships" r:id="R2b4008d34fcc42f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benthopelagics (&gt;=90 cm)</x:v>
      </x:c>
      <x:c r="B2" s="31" t="n">
        <x:v>0.062</x:v>
      </x:c>
      <x:c r="C2" s="32" t="n">
        <x:v>4.434193548387097</x:v>
      </x:c>
      <x:c r="D2" s="32" t="n">
        <x:f>IF(C2="","",(1/'Metadata'!$B$5)^(C2-1))</x:f>
        <x:v>2717.650151395788</x:v>
      </x:c>
      <x:c r="E2" s="31" t="n">
        <x:f>IF(B2=0,"",B2*D2)</x:f>
        <x:v>168.49430938653884</x:v>
      </x:c>
    </x:row>
    <x:row r="3" ht="18" customHeight="1">
      <x:c r="A3" s="24" t="str">
        <x:v>Large pelagics (&gt;=90 cm)</x:v>
      </x:c>
      <x:c r="B3" s="31" t="n">
        <x:v>0.1653242963</x:v>
      </x:c>
      <x:c r="C3" s="32" t="n">
        <x:v>4.482392267233863</x:v>
      </x:c>
      <x:c r="D3" s="32" t="n">
        <x:f>IF(C3="","",(1/'Metadata'!$B$5)^(C3-1))</x:f>
        <x:v>3036.6327196698585</x:v>
      </x:c>
      <x:c r="E3" s="31" t="n">
        <x:f>IF(B3=0,"",B3*D3)</x:f>
        <x:v>502.02916750097455</x:v>
      </x:c>
    </x:row>
    <x:row r="4" ht="18" customHeight="1">
      <x:c r="A4" s="24" t="str">
        <x:v>Medium demersals (30 - 89 cm)</x:v>
      </x:c>
      <x:c r="B4" s="31" t="n">
        <x:v>21.105</x:v>
      </x:c>
      <x:c r="C4" s="32" t="n">
        <x:v>3.2806515043828472</x:v>
      </x:c>
      <x:c r="D4" s="32" t="n">
        <x:f>IF(C4="","",(1/'Metadata'!$B$5)^(C4-1))</x:f>
        <x:v>190.8321329088237</x:v>
      </x:c>
      <x:c r="E4" s="31" t="n">
        <x:f>IF(B4=0,"",B4*D4)</x:f>
        <x:v>4027.512165040724</x:v>
      </x:c>
    </x:row>
    <x:row r="5" ht="18" customHeight="1">
      <x:c r="A5" s="24" t="str">
        <x:v>Medium pelagics (30 - 89 cm)</x:v>
      </x:c>
      <x:c r="B5" s="31" t="n">
        <x:v>0.10750913169999998</x:v>
      </x:c>
      <x:c r="C5" s="32" t="n">
        <x:v>3.334203445482762</x:v>
      </x:c>
      <x:c r="D5" s="32" t="n">
        <x:f>IF(C5="","",(1/'Metadata'!$B$5)^(C5-1))</x:f>
        <x:v>215.87554424684095</x:v>
      </x:c>
      <x:c r="E5" s="31" t="n">
        <x:f>IF(B5=0,"",B5*D5)</x:f>
        <x:v>23.208592317242797</x:v>
      </x:c>
    </x:row>
    <x:row r="6" ht="18" customHeight="1">
      <x:c r="A6" s="24" t="str">
        <x:v>Shrimps</x:v>
      </x:c>
      <x:c r="B6" s="31" t="n">
        <x:v>0.096</x:v>
      </x:c>
      <x:c r="C6" s="32" t="n">
        <x:v>3.0000000000000004</x:v>
      </x:c>
      <x:c r="D6" s="32" t="n">
        <x:f>IF(C6="","",(1/'Metadata'!$B$5)^(C6-1))</x:f>
        <x:v>100.0000000000001</x:v>
      </x:c>
      <x:c r="E6" s="31" t="n">
        <x:f>IF(B6=0,"",B6*D6)</x:f>
        <x:v>9.60000000000001</x:v>
      </x:c>
    </x:row>
  </x:sheetData>
  <x:pageMargins left="0.7" right="0.7" top="0.75" bottom="0.75" header="0.3" footer="0.3"/>
  <x:tableParts count="1">
    <x:tablePart xmlns:r="http://schemas.openxmlformats.org/officeDocument/2006/relationships" r:id="R8fadf36f16c2406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EEZ_154</x:v>
      </x:c>
      <x:c r="B2" s="24" t="str">
        <x:v>raw_filtered_tonnes</x:v>
      </x:c>
      <x:c r="C2" s="24" t="n">
        <x:v>21.535833428</x:v>
      </x:c>
      <x:c r="D2" s="24" t="str">
        <x:v>tonnes</x:v>
      </x:c>
    </x:row>
    <x:row r="3" ht="18" customHeight="1">
      <x:c r="A3" s="24" t="str">
        <x:v>EEZ_154</x:v>
      </x:c>
      <x:c r="B3" s="24" t="str">
        <x:v>species_catch_tonnes</x:v>
      </x:c>
      <x:c r="C3" s="24" t="n">
        <x:v>21.535833428</x:v>
      </x:c>
      <x:c r="D3" s="24" t="str">
        <x:v>tonnes</x:v>
      </x:c>
    </x:row>
    <x:row r="4" ht="18" customHeight="1">
      <x:c r="A4" s="24" t="str">
        <x:v>EEZ_154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EEZ_154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EEZ_154</x:v>
      </x:c>
      <x:c r="B6" s="24" t="str">
        <x:v>matched_catch_tonnes</x:v>
      </x:c>
      <x:c r="C6" s="24" t="n">
        <x:v>21.535833428</x:v>
      </x:c>
      <x:c r="D6" s="24" t="str">
        <x:v>tonnes</x:v>
      </x:c>
    </x:row>
    <x:row r="7" ht="18" customHeight="1">
      <x:c r="A7" s="24" t="str">
        <x:v>EEZ_154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EEZ_154</x:v>
      </x:c>
      <x:c r="B8" s="24" t="str">
        <x:v>taxa_count</x:v>
      </x:c>
      <x:c r="C8" s="24" t="n">
        <x:v>12</x:v>
      </x:c>
      <x:c r="D8" s="24" t="str">
        <x:v>count</x:v>
      </x:c>
    </x:row>
    <x:row r="9" ht="18" customHeight="1">
      <x:c r="A9" s="24" t="str">
        <x:v>EEZ_154</x:v>
      </x:c>
      <x:c r="B9" s="24" t="str">
        <x:v>matched_taxa_count</x:v>
      </x:c>
      <x:c r="C9" s="24" t="n">
        <x:v>12</x:v>
      </x:c>
      <x:c r="D9" s="24" t="str">
        <x:v>count</x:v>
      </x:c>
    </x:row>
    <x:row r="10" ht="18" customHeight="1">
      <x:c r="A10" s="24" t="str">
        <x:v>EEZ_154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EEZ_154</x:v>
      </x:c>
      <x:c r="B11" s="24" t="str">
        <x:v>species_ppr</x:v>
      </x:c>
      <x:c r="C11" s="24" t="n">
        <x:v>4740.625617241974</x:v>
      </x:c>
      <x:c r="D11" s="24" t="str">
        <x:v>tonnes_primary_production_equivalent</x:v>
      </x:c>
    </x:row>
    <x:row r="12" ht="18" customHeight="1">
      <x:c r="A12" s="24" t="str">
        <x:v>EEZ_154</x:v>
      </x:c>
      <x:c r="B12" s="24" t="str">
        <x:v>commercial_ppr</x:v>
      </x:c>
      <x:c r="C12" s="24" t="n">
        <x:v>4634.427692116524</x:v>
      </x:c>
      <x:c r="D12" s="24" t="str">
        <x:v>tonnes_primary_production_equivalent</x:v>
      </x:c>
    </x:row>
    <x:row r="13" ht="18" customHeight="1">
      <x:c r="A13" s="24" t="str">
        <x:v>EEZ_154</x:v>
      </x:c>
      <x:c r="B13" s="24" t="str">
        <x:v>functional_ppr</x:v>
      </x:c>
      <x:c r="C13" s="24" t="n">
        <x:v>4730.844234245481</x:v>
      </x:c>
      <x:c r="D13" s="24" t="str">
        <x:v>tonnes_primary_production_equivalent</x:v>
      </x:c>
    </x:row>
    <x:row r="14" ht="18" customHeight="1">
      <x:c r="A14" s="24" t="str">
        <x:v>EEZ_154</x:v>
      </x:c>
      <x:c r="B14" s="24" t="str">
        <x:v>commercial_ppr_difference</x:v>
      </x:c>
      <x:c r="C14" s="24" t="n">
        <x:v>-106.19792512545064</x:v>
      </x:c>
      <x:c r="D14" s="24" t="str">
        <x:v>tonnes_primary_production_equivalent</x:v>
      </x:c>
    </x:row>
    <x:row r="15" ht="18" customHeight="1">
      <x:c r="A15" s="24" t="str">
        <x:v>EEZ_154</x:v>
      </x:c>
      <x:c r="B15" s="24" t="str">
        <x:v>functional_ppr_difference</x:v>
      </x:c>
      <x:c r="C15" s="24" t="n">
        <x:v>-9.781382996493448</x:v>
      </x:c>
      <x:c r="D15" s="24" t="str">
        <x:v>tonnes_primary_production_equivalent</x:v>
      </x:c>
    </x:row>
    <x:row r="16" ht="18" customHeight="1">
      <x:c r="A16" s="24" t="str">
        <x:v>EEZ_154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EEZ_154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54126e26ade44fd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EEZ_154 - Desventuradas Isl. (Chile)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EEZ_154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raw_data/SAU_downloads/EEZ_154-catch.zip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