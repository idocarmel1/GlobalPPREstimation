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b50c6de2c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633b7f99d674a3d"/>
    <x:sheet xmlns:r="http://schemas.openxmlformats.org/officeDocument/2006/relationships" name="Commercial" sheetId="2" r:id="R9f0ce8f9c8f64e44"/>
    <x:sheet xmlns:r="http://schemas.openxmlformats.org/officeDocument/2006/relationships" name="Functional" sheetId="3" r:id="R1ffa91d4ac36489f"/>
    <x:sheet xmlns:r="http://schemas.openxmlformats.org/officeDocument/2006/relationships" name="Missing TL" sheetId="4" r:id="R551cd9d5cacb45ff"/>
    <x:sheet xmlns:r="http://schemas.openxmlformats.org/officeDocument/2006/relationships" name="Validation" sheetId="5" r:id="R18b9e170b4bf48a7"/>
    <x:sheet xmlns:r="http://schemas.openxmlformats.org/officeDocument/2006/relationships" name="Metadata" sheetId="6" r:id="R8a056377bf98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30199ff61407e" /><Relationship Type="http://schemas.openxmlformats.org/officeDocument/2006/relationships/theme" Target="/xl/theme/theme1.xml" Id="R4fc05cefc84342c2" /><Relationship Type="http://schemas.microsoft.com/office/2022/11/relationships/FeaturePropertyBag" Target="/xl/featurePropertyBag/featurePropertyBag.xml" Id="R9edda02251a14a37" /><Relationship Type="http://schemas.openxmlformats.org/officeDocument/2006/relationships/sharedStrings" Target="/xl/sharedStrings.xml" Id="Ra32a92faa74447d2" /><Relationship Type="http://schemas.openxmlformats.org/officeDocument/2006/relationships/worksheet" Target="/xl/worksheets/sheet1.xml" Id="R2633b7f99d674a3d" /><Relationship Type="http://schemas.openxmlformats.org/officeDocument/2006/relationships/worksheet" Target="/xl/worksheets/sheet2.xml" Id="R9f0ce8f9c8f64e44" /><Relationship Type="http://schemas.openxmlformats.org/officeDocument/2006/relationships/worksheet" Target="/xl/worksheets/sheet3.xml" Id="R1ffa91d4ac36489f" /><Relationship Type="http://schemas.openxmlformats.org/officeDocument/2006/relationships/worksheet" Target="/xl/worksheets/sheet4.xml" Id="R551cd9d5cacb45ff" /><Relationship Type="http://schemas.openxmlformats.org/officeDocument/2006/relationships/worksheet" Target="/xl/worksheets/sheet5.xml" Id="R18b9e170b4bf48a7" /><Relationship Type="http://schemas.openxmlformats.org/officeDocument/2006/relationships/worksheet" Target="/xl/worksheets/sheet6.xml" Id="R8a056377bf984d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75SpeciesTable" displayName="EEZ175SpeciesTable" ref="A1:U105" headerRowCount="1" totalsRowCount="0" totalsRowShown="0">
  <x:autoFilter ref="A1:U10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75CommercialTable" displayName="EEZ175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75FunctionalTable" displayName="EEZ175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75ValidationTable" displayName="EEZ17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37fd7aabc647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1d3fc0fd3940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ab9b1d87914c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ea85ce56aa49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EEZ_175</x:v>
      </x:c>
      <x:c r="B2" s="24" t="str">
        <x:v>Mayotte (France)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491.5087772145</x:v>
      </x:c>
      <x:c r="J2" s="31" t="n">
        <x:v>491.5087772145</x:v>
      </x:c>
      <x:c r="K2" s="31" t="n">
        <x:v>0</x:v>
      </x:c>
      <x:c r="L2" s="31" t="n">
        <x:v>100.0095295612</x:v>
      </x:c>
      <x:c r="M2" s="31" t="n">
        <x:v>391.4992476533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1322912.9803083865</x:v>
      </x:c>
    </x:row>
    <x:row r="3" ht="18" customHeight="1">
      <x:c r="A3" s="24" t="str">
        <x:v>EEZ_175</x:v>
      </x:c>
      <x:c r="B3" s="24" t="str">
        <x:v>Mayotte (France)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348.7668427317</x:v>
      </x:c>
      <x:c r="J3" s="31" t="n">
        <x:v>348.7668427317</x:v>
      </x:c>
      <x:c r="K3" s="31" t="n">
        <x:v>0</x:v>
      </x:c>
      <x:c r="L3" s="31" t="n">
        <x:v>111.07471314910002</x:v>
      </x:c>
      <x:c r="M3" s="31" t="n">
        <x:v>237.6921295826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896468.8217271735</x:v>
      </x:c>
    </x:row>
    <x:row r="4" ht="18" customHeight="1">
      <x:c r="A4" s="24" t="str">
        <x:v>EEZ_175</x:v>
      </x:c>
      <x:c r="B4" s="24" t="str">
        <x:v>Mayotte (France)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213.9839332494</x:v>
      </x:c>
      <x:c r="J4" s="31" t="n">
        <x:v>213.9839332494</x:v>
      </x:c>
      <x:c r="K4" s="31" t="n">
        <x:v>0</x:v>
      </x:c>
      <x:c r="L4" s="31" t="n">
        <x:v>108.7107583768</x:v>
      </x:c>
      <x:c r="M4" s="31" t="n">
        <x:v>105.27317487260001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240093.9220299462</x:v>
      </x:c>
    </x:row>
    <x:row r="5" ht="18" customHeight="1">
      <x:c r="A5" s="24" t="str">
        <x:v>EEZ_175</x:v>
      </x:c>
      <x:c r="B5" s="24" t="str">
        <x:v>Mayotte (France)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197.4326942044</x:v>
      </x:c>
      <x:c r="J5" s="31" t="n">
        <x:v>197.4326942044</x:v>
      </x:c>
      <x:c r="K5" s="31" t="n">
        <x:v>0</x:v>
      </x:c>
      <x:c r="L5" s="31" t="n">
        <x:v>0</x:v>
      </x:c>
      <x:c r="M5" s="31" t="n">
        <x:v>197.4326942044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359268.44316142885</x:v>
      </x:c>
    </x:row>
    <x:row r="6" ht="18" customHeight="1">
      <x:c r="A6" s="24" t="str">
        <x:v>EEZ_175</x:v>
      </x:c>
      <x:c r="B6" s="24" t="str">
        <x:v>Mayotte (France)</x:v>
      </x:c>
      <x:c r="C6" s="24" t="str">
        <x:v>EEZ</x:v>
      </x:c>
      <x:c r="D6" s="30" t="n">
        <x:v>2019</x:v>
      </x:c>
      <x:c r="E6" s="24" t="str">
        <x:v>Sphyraena</x:v>
      </x:c>
      <x:c r="F6" s="24" t="str">
        <x:v>Barracudas, sennets</x:v>
      </x:c>
      <x:c r="G6" s="24" t="str">
        <x:v>Large pelagics (&gt;=90 cm)</x:v>
      </x:c>
      <x:c r="H6" s="24" t="str">
        <x:v>Perch-likes</x:v>
      </x:c>
      <x:c r="I6" s="31" t="n">
        <x:v>119.7844401836</x:v>
      </x:c>
      <x:c r="J6" s="31" t="n">
        <x:v>119.7844401836</x:v>
      </x:c>
      <x:c r="K6" s="31" t="n">
        <x:v>0</x:v>
      </x:c>
      <x:c r="L6" s="31" t="n">
        <x:v>36.669594157800006</x:v>
      </x:c>
      <x:c r="M6" s="31" t="n">
        <x:v>83.1148460258</x:v>
      </x:c>
      <x:c r="N6" s="24" t="str">
        <x:v>sphyraena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Sphyraena</x:v>
      </x:c>
      <x:c r="T6" s="32" t="n">
        <x:f>IF(O6="","",(1/'Metadata'!$B$5)^(O6-1))</x:f>
        <x:v>2511.886431509582</x:v>
      </x:c>
      <x:c r="U6" s="31" t="n">
        <x:f>IF(T6="","",I6*T6)</x:f>
        <x:v>300884.910003156</x:v>
      </x:c>
    </x:row>
    <x:row r="7" ht="18" customHeight="1">
      <x:c r="A7" s="24" t="str">
        <x:v>EEZ_175</x:v>
      </x:c>
      <x:c r="B7" s="24" t="str">
        <x:v>Mayotte (France)</x:v>
      </x:c>
      <x:c r="C7" s="24" t="str">
        <x:v>EEZ</x:v>
      </x:c>
      <x:c r="D7" s="30" t="n">
        <x:v>2019</x:v>
      </x:c>
      <x:c r="E7" s="24" t="str">
        <x:v>Lutjanidae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102.1273446331</x:v>
      </x:c>
      <x:c r="J7" s="31" t="n">
        <x:v>102.1273446331</x:v>
      </x:c>
      <x:c r="K7" s="31" t="n">
        <x:v>0</x:v>
      </x:c>
      <x:c r="L7" s="31" t="n">
        <x:v>100</x:v>
      </x:c>
      <x:c r="M7" s="31" t="n">
        <x:v>2.1273446331</x:v>
      </x:c>
      <x:c r="N7" s="24" t="str">
        <x:v>lutjanidae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Lutjanidae</x:v>
      </x:c>
      <x:c r="T7" s="32" t="n">
        <x:f>IF(O7="","",(1/'Metadata'!$B$5)^(O7-1))</x:f>
        <x:v>1047.1285480508984</x:v>
      </x:c>
      <x:c r="U7" s="31" t="n">
        <x:f>IF(T7="","",I7*T7)</x:f>
        <x:v>106940.4581019517</x:v>
      </x:c>
    </x:row>
    <x:row r="8" ht="18" customHeight="1">
      <x:c r="A8" s="24" t="str">
        <x:v>EEZ_175</x:v>
      </x:c>
      <x:c r="B8" s="24" t="str">
        <x:v>Mayotte (France)</x:v>
      </x:c>
      <x:c r="C8" s="24" t="str">
        <x:v>EEZ</x:v>
      </x:c>
      <x:c r="D8" s="30" t="n">
        <x:v>2019</x:v>
      </x:c>
      <x:c r="E8" s="24" t="str">
        <x:v>Polynemidae</x:v>
      </x:c>
      <x:c r="F8" s="24" t="str">
        <x:v>Threadfins</x:v>
      </x:c>
      <x:c r="G8" s="24" t="str">
        <x:v>Small demersals (&lt;30 cm)</x:v>
      </x:c>
      <x:c r="H8" s="24" t="str">
        <x:v>Perch-likes</x:v>
      </x:c>
      <x:c r="I8" s="31" t="n">
        <x:v>90</x:v>
      </x:c>
      <x:c r="J8" s="31" t="n">
        <x:v>90</x:v>
      </x:c>
      <x:c r="K8" s="31" t="n">
        <x:v>0</x:v>
      </x:c>
      <x:c r="L8" s="31" t="n">
        <x:v>90</x:v>
      </x:c>
      <x:c r="M8" s="31" t="n">
        <x:v>0</x:v>
      </x:c>
      <x:c r="N8" s="24" t="str">
        <x:v>polynemidae</x:v>
      </x:c>
      <x:c r="O8" s="32" t="n">
        <x:v>3.62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Polynemidae</x:v>
      </x:c>
      <x:c r="T8" s="32" t="n">
        <x:f>IF(O8="","",(1/'Metadata'!$B$5)^(O8-1))</x:f>
        <x:v>416.8693834703355</x:v>
      </x:c>
      <x:c r="U8" s="31" t="n">
        <x:f>IF(T8="","",I8*T8)</x:f>
        <x:v>37518.244512330195</x:v>
      </x:c>
    </x:row>
    <x:row r="9" ht="18" customHeight="1">
      <x:c r="A9" s="24" t="str">
        <x:v>EEZ_175</x:v>
      </x:c>
      <x:c r="B9" s="24" t="str">
        <x:v>Mayotte (France)</x:v>
      </x:c>
      <x:c r="C9" s="24" t="str">
        <x:v>EEZ</x:v>
      </x:c>
      <x:c r="D9" s="30" t="n">
        <x:v>2019</x:v>
      </x:c>
      <x:c r="E9" s="24" t="str">
        <x:v>Lutjanus bohar</x:v>
      </x:c>
      <x:c r="F9" s="24" t="str">
        <x:v>Two-spot red snapper</x:v>
      </x:c>
      <x:c r="G9" s="24" t="str">
        <x:v>Medium reef assoc. fish (30 - 89 cm)</x:v>
      </x:c>
      <x:c r="H9" s="24" t="str">
        <x:v>Perch-likes</x:v>
      </x:c>
      <x:c r="I9" s="31" t="n">
        <x:v>76.445891451</x:v>
      </x:c>
      <x:c r="J9" s="31" t="n">
        <x:v>76.445891451</x:v>
      </x:c>
      <x:c r="K9" s="31" t="n">
        <x:v>0</x:v>
      </x:c>
      <x:c r="L9" s="31" t="n">
        <x:v>5.6169551198</x:v>
      </x:c>
      <x:c r="M9" s="31" t="n">
        <x:v>70.8289363312</x:v>
      </x:c>
      <x:c r="N9" s="24" t="str">
        <x:v>lutjanus bohar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bohar</x:v>
      </x:c>
      <x:c r="T9" s="32" t="n">
        <x:f>IF(O9="","",(1/'Metadata'!$B$5)^(O9-1))</x:f>
        <x:v>1862.0871366628655</x:v>
      </x:c>
      <x:c r="U9" s="31" t="n">
        <x:f>IF(T9="","",I9*T9)</x:f>
        <x:v>142348.91112163282</x:v>
      </x:c>
    </x:row>
    <x:row r="10" ht="18" customHeight="1">
      <x:c r="A10" s="24" t="str">
        <x:v>EEZ_175</x:v>
      </x:c>
      <x:c r="B10" s="24" t="str">
        <x:v>Mayotte (France)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75.7384390199</x:v>
      </x:c>
      <x:c r="J10" s="31" t="n">
        <x:v>75.7384390199</x:v>
      </x:c>
      <x:c r="K10" s="31" t="n">
        <x:v>0</x:v>
      </x:c>
      <x:c r="L10" s="31" t="n">
        <x:v>40.9227195295</x:v>
      </x:c>
      <x:c r="M10" s="31" t="n">
        <x:v>34.8157194904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72329.64774084113</x:v>
      </x:c>
    </x:row>
    <x:row r="11" ht="18" customHeight="1">
      <x:c r="A11" s="24" t="str">
        <x:v>EEZ_175</x:v>
      </x:c>
      <x:c r="B11" s="24" t="str">
        <x:v>Mayotte (France)</x:v>
      </x:c>
      <x:c r="C11" s="24" t="str">
        <x:v>EEZ</x:v>
      </x:c>
      <x:c r="D11" s="30" t="n">
        <x:v>2019</x:v>
      </x:c>
      <x:c r="E11" s="24" t="str">
        <x:v>Lethrinus</x:v>
      </x:c>
      <x:c r="F11" s="24" t="str">
        <x:v>Emperors</x:v>
      </x:c>
      <x:c r="G11" s="24" t="str">
        <x:v>Medium reef assoc. fish (30 - 89 cm)</x:v>
      </x:c>
      <x:c r="H11" s="24" t="str">
        <x:v>Perch-likes</x:v>
      </x:c>
      <x:c r="I11" s="31" t="n">
        <x:v>52.56504812279999</x:v>
      </x:c>
      <x:c r="J11" s="31" t="n">
        <x:v>52.56504812279999</x:v>
      </x:c>
      <x:c r="K11" s="31" t="n">
        <x:v>0</x:v>
      </x:c>
      <x:c r="L11" s="31" t="n">
        <x:v>9.426999820999999</x:v>
      </x:c>
      <x:c r="M11" s="31" t="n">
        <x:v>43.1380483018</x:v>
      </x:c>
      <x:c r="N11" s="24" t="str">
        <x:v>lethrinus</x:v>
      </x:c>
      <x:c r="O11" s="32" t="n">
        <x:v>3.75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Lethrinus</x:v>
      </x:c>
      <x:c r="T11" s="32" t="n">
        <x:f>IF(O11="","",(1/'Metadata'!$B$5)^(O11-1))</x:f>
        <x:v>562.341325190349</x:v>
      </x:c>
      <x:c r="U11" s="31" t="n">
        <x:f>IF(T11="","",I11*T11)</x:f>
        <x:v>29559.498820069817</x:v>
      </x:c>
    </x:row>
    <x:row r="12" ht="18" customHeight="1">
      <x:c r="A12" s="24" t="str">
        <x:v>EEZ_175</x:v>
      </x:c>
      <x:c r="B12" s="24" t="str">
        <x:v>Mayotte (France)</x:v>
      </x:c>
      <x:c r="C12" s="24" t="str">
        <x:v>EEZ</x:v>
      </x:c>
      <x:c r="D12" s="30" t="n">
        <x:v>2019</x:v>
      </x:c>
      <x:c r="E12" s="24" t="str">
        <x:v>Lethrinus rubrioperculatus</x:v>
      </x:c>
      <x:c r="F12" s="24" t="str">
        <x:v>Spotcheek emperor</x:v>
      </x:c>
      <x:c r="G12" s="24" t="str">
        <x:v>Medium reef assoc. fish (30 - 89 cm)</x:v>
      </x:c>
      <x:c r="H12" s="24" t="str">
        <x:v>Perch-likes</x:v>
      </x:c>
      <x:c r="I12" s="31" t="n">
        <x:v>51.8146970705</x:v>
      </x:c>
      <x:c r="J12" s="31" t="n">
        <x:v>51.8146970705</x:v>
      </x:c>
      <x:c r="K12" s="31" t="n">
        <x:v>0</x:v>
      </x:c>
      <x:c r="L12" s="31" t="n">
        <x:v>9.690810839800001</x:v>
      </x:c>
      <x:c r="M12" s="31" t="n">
        <x:v>42.1238862307</x:v>
      </x:c>
      <x:c r="N12" s="24" t="str">
        <x:v>lethrinus rubrioperculatus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Lethrinus rubrioperculatus</x:v>
      </x:c>
      <x:c r="T12" s="32" t="n">
        <x:f>IF(O12="","",(1/'Metadata'!$B$5)^(O12-1))</x:f>
        <x:v>562.341325190349</x:v>
      </x:c>
      <x:c r="U12" s="31" t="n">
        <x:f>IF(T12="","",I12*T12)</x:f>
        <x:v>29137.545414961467</x:v>
      </x:c>
    </x:row>
    <x:row r="13" ht="18" customHeight="1">
      <x:c r="A13" s="24" t="str">
        <x:v>EEZ_175</x:v>
      </x:c>
      <x:c r="B13" s="24" t="str">
        <x:v>Mayotte (France)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50.3416836987</x:v>
      </x:c>
      <x:c r="J13" s="31" t="n">
        <x:v>50.3416836987</x:v>
      </x:c>
      <x:c r="K13" s="31" t="n">
        <x:v>0</x:v>
      </x:c>
      <x:c r="L13" s="31" t="n">
        <x:v>50.3416836987</x:v>
      </x:c>
      <x:c r="M13" s="31" t="n">
        <x:v>0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11270.099144740092</x:v>
      </x:c>
    </x:row>
    <x:row r="14" ht="18" customHeight="1">
      <x:c r="A14" s="24" t="str">
        <x:v>EEZ_175</x:v>
      </x:c>
      <x:c r="B14" s="24" t="str">
        <x:v>Mayotte (France)</x:v>
      </x:c>
      <x:c r="C14" s="24" t="str">
        <x:v>EEZ</x:v>
      </x:c>
      <x:c r="D14" s="30" t="n">
        <x:v>2019</x:v>
      </x:c>
      <x:c r="E14" s="24" t="str">
        <x:v>Scombroidei</x:v>
      </x:c>
      <x:c r="F14" s="24" t="str">
        <x:v>Tunas, bonitos, billfishes</x:v>
      </x:c>
      <x:c r="G14" s="24" t="str">
        <x:v>Large pelagics (&gt;=90 cm)</x:v>
      </x:c>
      <x:c r="H14" s="24" t="str">
        <x:v>Tuna &amp; billfishes</x:v>
      </x:c>
      <x:c r="I14" s="31" t="n">
        <x:v>50</x:v>
      </x:c>
      <x:c r="J14" s="31" t="n">
        <x:v>50</x:v>
      </x:c>
      <x:c r="K14" s="31" t="n">
        <x:v>0</x:v>
      </x:c>
      <x:c r="L14" s="31" t="n">
        <x:v>50</x:v>
      </x:c>
      <x:c r="M14" s="31" t="n">
        <x:v>0</x:v>
      </x:c>
      <x:c r="N14" s="24" t="str">
        <x:v>scombroidei</x:v>
      </x:c>
      <x:c r="O14" s="32" t="n">
        <x:v>4.2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Scombroidei</x:v>
      </x:c>
      <x:c r="T14" s="32" t="n">
        <x:f>IF(O14="","",(1/'Metadata'!$B$5)^(O14-1))</x:f>
        <x:v>1584.893192461114</x:v>
      </x:c>
      <x:c r="U14" s="31" t="n">
        <x:f>IF(T14="","",I14*T14)</x:f>
        <x:v>79244.6596230557</x:v>
      </x:c>
    </x:row>
    <x:row r="15" ht="18" customHeight="1">
      <x:c r="A15" s="24" t="str">
        <x:v>EEZ_175</x:v>
      </x:c>
      <x:c r="B15" s="24" t="str">
        <x:v>Mayotte (France)</x:v>
      </x:c>
      <x:c r="C15" s="24" t="str">
        <x:v>EEZ</x:v>
      </x:c>
      <x:c r="D15" s="30" t="n">
        <x:v>2019</x:v>
      </x:c>
      <x:c r="E15" s="24" t="str">
        <x:v>Caranx sexfasciatus</x:v>
      </x:c>
      <x:c r="F15" s="24" t="str">
        <x:v>Bigeye trevally</x:v>
      </x:c>
      <x:c r="G15" s="24" t="str">
        <x:v>Large reef assoc. fish (&gt;=90 cm)</x:v>
      </x:c>
      <x:c r="H15" s="24" t="str">
        <x:v>Perch-likes</x:v>
      </x:c>
      <x:c r="I15" s="31" t="n">
        <x:v>44.9578242664</x:v>
      </x:c>
      <x:c r="J15" s="31" t="n">
        <x:v>44.9578242664</x:v>
      </x:c>
      <x:c r="K15" s="31" t="n">
        <x:v>0</x:v>
      </x:c>
      <x:c r="L15" s="31" t="n">
        <x:v>8.0368269471</x:v>
      </x:c>
      <x:c r="M15" s="31" t="n">
        <x:v>36.9209973193</x:v>
      </x:c>
      <x:c r="N15" s="24" t="str">
        <x:v>caranx sexfasciatus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sexfasciatus</x:v>
      </x:c>
      <x:c r="T15" s="32" t="n">
        <x:f>IF(O15="","",(1/'Metadata'!$B$5)^(O15-1))</x:f>
        <x:v>3162.2776601683795</x:v>
      </x:c>
      <x:c r="U15" s="31" t="n">
        <x:f>IF(T15="","",I15*T15)</x:f>
        <x:v>142169.12332741258</x:v>
      </x:c>
    </x:row>
    <x:row r="16" ht="18" customHeight="1">
      <x:c r="A16" s="24" t="str">
        <x:v>EEZ_175</x:v>
      </x:c>
      <x:c r="B16" s="24" t="str">
        <x:v>Mayotte (France)</x:v>
      </x:c>
      <x:c r="C16" s="24" t="str">
        <x:v>EEZ</x:v>
      </x:c>
      <x:c r="D16" s="30" t="n">
        <x:v>2019</x:v>
      </x:c>
      <x:c r="E16" s="24" t="str">
        <x:v>Scaridae</x:v>
      </x:c>
      <x:c r="F16" s="24" t="str">
        <x:v>Parrotfishes</x:v>
      </x:c>
      <x:c r="G16" s="24" t="str">
        <x:v>Medium reef assoc. fish (30 - 89 cm)</x:v>
      </x:c>
      <x:c r="H16" s="24" t="str">
        <x:v>Perch-likes</x:v>
      </x:c>
      <x:c r="I16" s="31" t="n">
        <x:v>43.1101334093</x:v>
      </x:c>
      <x:c r="J16" s="31" t="n">
        <x:v>43.1101334093</x:v>
      </x:c>
      <x:c r="K16" s="31" t="n">
        <x:v>0</x:v>
      </x:c>
      <x:c r="L16" s="31" t="n">
        <x:v>19.4579302014</x:v>
      </x:c>
      <x:c r="M16" s="31" t="n">
        <x:v>23.6522032079</x:v>
      </x:c>
      <x:c r="N16" s="24" t="str">
        <x:v>scaridae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Scaridae</x:v>
      </x:c>
      <x:c r="T16" s="32" t="n">
        <x:f>IF(O16="","",(1/'Metadata'!$B$5)^(O16-1))</x:f>
        <x:v>10</x:v>
      </x:c>
      <x:c r="U16" s="31" t="n">
        <x:f>IF(T16="","",I16*T16)</x:f>
        <x:v>431.101334093</x:v>
      </x:c>
    </x:row>
    <x:row r="17" ht="18" customHeight="1">
      <x:c r="A17" s="24" t="str">
        <x:v>EEZ_175</x:v>
      </x:c>
      <x:c r="B17" s="24" t="str">
        <x:v>Mayotte (France)</x:v>
      </x:c>
      <x:c r="C17" s="24" t="str">
        <x:v>EEZ</x:v>
      </x:c>
      <x:c r="D17" s="30" t="n">
        <x:v>2019</x:v>
      </x:c>
      <x:c r="E17" s="24" t="str">
        <x:v>Aprion virescens</x:v>
      </x:c>
      <x:c r="F17" s="24" t="str">
        <x:v>Green jobfish</x:v>
      </x:c>
      <x:c r="G17" s="24" t="str">
        <x:v>Large reef assoc. fish (&gt;=90 cm)</x:v>
      </x:c>
      <x:c r="H17" s="24" t="str">
        <x:v>Perch-likes</x:v>
      </x:c>
      <x:c r="I17" s="31" t="n">
        <x:v>37.9533068905</x:v>
      </x:c>
      <x:c r="J17" s="31" t="n">
        <x:v>37.9533068905</x:v>
      </x:c>
      <x:c r="K17" s="31" t="n">
        <x:v>0</x:v>
      </x:c>
      <x:c r="L17" s="31" t="n">
        <x:v>4.9553593100999995</x:v>
      </x:c>
      <x:c r="M17" s="31" t="n">
        <x:v>32.9979475804</x:v>
      </x:c>
      <x:c r="N17" s="24" t="str">
        <x:v>aprion virescens</x:v>
      </x:c>
      <x:c r="O17" s="32" t="n">
        <x:v>4.28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Aprion virescens</x:v>
      </x:c>
      <x:c r="T17" s="32" t="n">
        <x:f>IF(O17="","",(1/'Metadata'!$B$5)^(O17-1))</x:f>
        <x:v>1905.4607179632483</x:v>
      </x:c>
      <x:c r="U17" s="31" t="n">
        <x:f>IF(T17="","",I17*T17)</x:f>
        <x:v>72318.53539665163</x:v>
      </x:c>
    </x:row>
    <x:row r="18" ht="18" customHeight="1">
      <x:c r="A18" s="24" t="str">
        <x:v>EEZ_175</x:v>
      </x:c>
      <x:c r="B18" s="24" t="str">
        <x:v>Mayotte (France)</x:v>
      </x:c>
      <x:c r="C18" s="24" t="str">
        <x:v>EEZ</x:v>
      </x:c>
      <x:c r="D18" s="30" t="n">
        <x:v>2019</x:v>
      </x:c>
      <x:c r="E18" s="24" t="str">
        <x:v>Marine fishes not identified</x:v>
      </x:c>
      <x:c r="F18" s="24" t="str">
        <x:v>Marine fishes nei</x:v>
      </x:c>
      <x:c r="G18" s="24" t="str">
        <x:v>Medium demersals (30 - 89 cm)</x:v>
      </x:c>
      <x:c r="H18" s="24" t="str">
        <x:v>Other fishes &amp; inverts</x:v>
      </x:c>
      <x:c r="I18" s="31" t="n">
        <x:v>37.2751491183</x:v>
      </x:c>
      <x:c r="J18" s="31" t="n">
        <x:v>29.4564271909</x:v>
      </x:c>
      <x:c r="K18" s="31" t="n">
        <x:v>7.8187219274</x:v>
      </x:c>
      <x:c r="L18" s="31" t="n">
        <x:v>4.0411532581000005</x:v>
      </x:c>
      <x:c r="M18" s="31" t="n">
        <x:v>33.2339958602</x:v>
      </x:c>
      <x:c r="N18" s="24" t="str">
        <x:v>marine fishes not identified</x:v>
      </x:c>
      <x:c r="O18" s="32" t="n">
        <x:v>3.28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fishes not identified</x:v>
      </x:c>
      <x:c r="T18" s="32" t="n">
        <x:f>IF(O18="","",(1/'Metadata'!$B$5)^(O18-1))</x:f>
        <x:v>190.54607179632464</x:v>
      </x:c>
      <x:c r="U18" s="31" t="n">
        <x:f>IF(T18="","",I18*T18)</x:f>
        <x:v>7102.633240114299</x:v>
      </x:c>
    </x:row>
    <x:row r="19" ht="18" customHeight="1">
      <x:c r="A19" s="24" t="str">
        <x:v>EEZ_175</x:v>
      </x:c>
      <x:c r="B19" s="24" t="str">
        <x:v>Mayotte (France)</x:v>
      </x:c>
      <x:c r="C19" s="24" t="str">
        <x:v>EEZ</x:v>
      </x:c>
      <x:c r="D19" s="30" t="n">
        <x:v>2019</x:v>
      </x:c>
      <x:c r="E19" s="24" t="str">
        <x:v>Lutjanus gibbus</x:v>
      </x:c>
      <x:c r="F19" s="24" t="str">
        <x:v>Humpback red snapper</x:v>
      </x:c>
      <x:c r="G19" s="24" t="str">
        <x:v>Medium reef assoc. fish (30 - 89 cm)</x:v>
      </x:c>
      <x:c r="H19" s="24" t="str">
        <x:v>Perch-likes</x:v>
      </x:c>
      <x:c r="I19" s="31" t="n">
        <x:v>33.800477308</x:v>
      </x:c>
      <x:c r="J19" s="31" t="n">
        <x:v>33.800477308</x:v>
      </x:c>
      <x:c r="K19" s="31" t="n">
        <x:v>0</x:v>
      </x:c>
      <x:c r="L19" s="31" t="n">
        <x:v>6.0477972209</x:v>
      </x:c>
      <x:c r="M19" s="31" t="n">
        <x:v>27.7526800871</x:v>
      </x:c>
      <x:c r="N19" s="24" t="str">
        <x:v>lutjanus gibbus</x:v>
      </x:c>
      <x:c r="O19" s="32" t="n">
        <x:v>4.12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Lutjanus gibbus</x:v>
      </x:c>
      <x:c r="T19" s="32" t="n">
        <x:f>IF(O19="","",(1/'Metadata'!$B$5)^(O19-1))</x:f>
        <x:v>1318.2567385564075</x:v>
      </x:c>
      <x:c r="U19" s="31" t="n">
        <x:f>IF(T19="","",I19*T19)</x:f>
        <x:v>44557.70697769394</x:v>
      </x:c>
    </x:row>
    <x:row r="20" ht="18" customHeight="1">
      <x:c r="A20" s="24" t="str">
        <x:v>EEZ_175</x:v>
      </x:c>
      <x:c r="B20" s="24" t="str">
        <x:v>Mayotte (France)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30.8571890972</x:v>
      </x:c>
      <x:c r="J20" s="31" t="n">
        <x:v>30.8571890972</x:v>
      </x:c>
      <x:c r="K20" s="31" t="n">
        <x:v>0</x:v>
      </x:c>
      <x:c r="L20" s="31" t="n">
        <x:v>5.8002112707</x:v>
      </x:c>
      <x:c r="M20" s="31" t="n">
        <x:v>25.056977826500002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21347.95909294509</x:v>
      </x:c>
    </x:row>
    <x:row r="21" ht="18" customHeight="1">
      <x:c r="A21" s="24" t="str">
        <x:v>EEZ_175</x:v>
      </x:c>
      <x:c r="B21" s="24" t="str">
        <x:v>Mayotte (France)</x:v>
      </x:c>
      <x:c r="C21" s="24" t="str">
        <x:v>EEZ</x:v>
      </x:c>
      <x:c r="D21" s="30" t="n">
        <x:v>2019</x:v>
      </x:c>
      <x:c r="E21" s="24" t="str">
        <x:v>Myripristis</x:v>
      </x:c>
      <x:c r="F21" s="24" t="str">
        <x:v>Soldierfishes</x:v>
      </x:c>
      <x:c r="G21" s="24" t="str">
        <x:v>Small reef assoc. fish (&lt;30 cm)</x:v>
      </x:c>
      <x:c r="H21" s="24" t="str">
        <x:v>Other fishes &amp; inverts</x:v>
      </x:c>
      <x:c r="I21" s="31" t="n">
        <x:v>26.9915092156</x:v>
      </x:c>
      <x:c r="J21" s="31" t="n">
        <x:v>26.9915092156</x:v>
      </x:c>
      <x:c r="K21" s="31" t="n">
        <x:v>0</x:v>
      </x:c>
      <x:c r="L21" s="31" t="n">
        <x:v>2.3420563109</x:v>
      </x:c>
      <x:c r="M21" s="31" t="n">
        <x:v>24.6494529047</x:v>
      </x:c>
      <x:c r="N21" s="24" t="str">
        <x:v>myripristis</x:v>
      </x:c>
      <x:c r="O21" s="32" t="n">
        <x:v>3.42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Myripristis</x:v>
      </x:c>
      <x:c r="T21" s="32" t="n">
        <x:f>IF(O21="","",(1/'Metadata'!$B$5)^(O21-1))</x:f>
        <x:v>263.02679918953817</x:v>
      </x:c>
      <x:c r="U21" s="31" t="n">
        <x:f>IF(T21="","",I21*T21)</x:f>
        <x:v>7099.490274274191</x:v>
      </x:c>
    </x:row>
    <x:row r="22" ht="18" customHeight="1">
      <x:c r="A22" s="24" t="str">
        <x:v>EEZ_175</x:v>
      </x:c>
      <x:c r="B22" s="24" t="str">
        <x:v>Mayotte (France)</x:v>
      </x:c>
      <x:c r="C22" s="24" t="str">
        <x:v>EEZ</x:v>
      </x:c>
      <x:c r="D22" s="30" t="n">
        <x:v>2019</x:v>
      </x:c>
      <x:c r="E22" s="24" t="str">
        <x:v>Elagatis bipinnulata</x:v>
      </x:c>
      <x:c r="F22" s="24" t="str">
        <x:v>Rainbow runner</x:v>
      </x:c>
      <x:c r="G22" s="24" t="str">
        <x:v>Large pelagics (&gt;=90 cm)</x:v>
      </x:c>
      <x:c r="H22" s="24" t="str">
        <x:v>Perch-likes</x:v>
      </x:c>
      <x:c r="I22" s="31" t="n">
        <x:v>26.8478153377</x:v>
      </x:c>
      <x:c r="J22" s="31" t="n">
        <x:v>26.8478153377</x:v>
      </x:c>
      <x:c r="K22" s="31" t="n">
        <x:v>0</x:v>
      </x:c>
      <x:c r="L22" s="31" t="n">
        <x:v>4.987736137100001</x:v>
      </x:c>
      <x:c r="M22" s="31" t="n">
        <x:v>21.860079200599998</x:v>
      </x:c>
      <x:c r="N22" s="24" t="str">
        <x:v>elagatis bipinnulata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Elagatis bipinnulata</x:v>
      </x:c>
      <x:c r="T22" s="32" t="n">
        <x:f>IF(O22="","",(1/'Metadata'!$B$5)^(O22-1))</x:f>
        <x:v>1862.0871366628655</x:v>
      </x:c>
      <x:c r="U22" s="31" t="n">
        <x:f>IF(T22="","",I22*T22)</x:f>
        <x:v>49992.971587831154</x:v>
      </x:c>
    </x:row>
    <x:row r="23" ht="18" customHeight="1">
      <x:c r="A23" s="24" t="str">
        <x:v>EEZ_175</x:v>
      </x:c>
      <x:c r="B23" s="24" t="str">
        <x:v>Mayotte (France)</x:v>
      </x:c>
      <x:c r="C23" s="24" t="str">
        <x:v>EEZ</x:v>
      </x:c>
      <x:c r="D23" s="30" t="n">
        <x:v>2019</x:v>
      </x:c>
      <x:c r="E23" s="24" t="str">
        <x:v>Lethrinus obsoletus</x:v>
      </x:c>
      <x:c r="F23" s="24" t="str">
        <x:v>Orange-striped emperor</x:v>
      </x:c>
      <x:c r="G23" s="24" t="str">
        <x:v>Medium demersals (30 - 89 cm)</x:v>
      </x:c>
      <x:c r="H23" s="24" t="str">
        <x:v>Perch-likes</x:v>
      </x:c>
      <x:c r="I23" s="31" t="n">
        <x:v>22.3652072678</x:v>
      </x:c>
      <x:c r="J23" s="31" t="n">
        <x:v>22.3652072678</x:v>
      </x:c>
      <x:c r="K23" s="31" t="n">
        <x:v>0</x:v>
      </x:c>
      <x:c r="L23" s="31" t="n">
        <x:v>0.07793051570000001</x:v>
      </x:c>
      <x:c r="M23" s="31" t="n">
        <x:v>22.2872767521</x:v>
      </x:c>
      <x:c r="N23" s="24" t="str">
        <x:v>lethrinus obsoletus</x:v>
      </x:c>
      <x:c r="O23" s="32" t="n">
        <x:v>3.89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obsoletus</x:v>
      </x:c>
      <x:c r="T23" s="32" t="n">
        <x:f>IF(O23="","",(1/'Metadata'!$B$5)^(O23-1))</x:f>
        <x:v>776.247116628692</x:v>
      </x:c>
      <x:c r="U23" s="31" t="n">
        <x:f>IF(T23="","",I23*T23)</x:f>
        <x:v>17360.927654432817</x:v>
      </x:c>
    </x:row>
    <x:row r="24" ht="18" customHeight="1">
      <x:c r="A24" s="24" t="str">
        <x:v>EEZ_175</x:v>
      </x:c>
      <x:c r="B24" s="24" t="str">
        <x:v>Mayotte (France)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21.7966867458</x:v>
      </x:c>
      <x:c r="J24" s="31" t="n">
        <x:v>21.7966867458</x:v>
      </x:c>
      <x:c r="K24" s="31" t="n">
        <x:v>0</x:v>
      </x:c>
      <x:c r="L24" s="31" t="n">
        <x:v>0</x:v>
      </x:c>
      <x:c r="M24" s="31" t="n">
        <x:v>21.7966867458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39663.44958618509</x:v>
      </x:c>
    </x:row>
    <x:row r="25" ht="18" customHeight="1">
      <x:c r="A25" s="24" t="str">
        <x:v>EEZ_175</x:v>
      </x:c>
      <x:c r="B25" s="24" t="str">
        <x:v>Mayotte (France)</x:v>
      </x:c>
      <x:c r="C25" s="24" t="str">
        <x:v>EEZ</x:v>
      </x:c>
      <x:c r="D25" s="30" t="n">
        <x:v>2019</x:v>
      </x:c>
      <x:c r="E25" s="24" t="str">
        <x:v>Variola louti</x:v>
      </x:c>
      <x:c r="F25" s="24" t="str">
        <x:v>Yellow-edged lyretail</x:v>
      </x:c>
      <x:c r="G25" s="24" t="str">
        <x:v>Medium reef assoc. fish (30 - 89 cm)</x:v>
      </x:c>
      <x:c r="H25" s="24" t="str">
        <x:v>Perch-likes</x:v>
      </x:c>
      <x:c r="I25" s="31" t="n">
        <x:v>21.6353897862</x:v>
      </x:c>
      <x:c r="J25" s="31" t="n">
        <x:v>21.6353897862</x:v>
      </x:c>
      <x:c r="K25" s="31" t="n">
        <x:v>0</x:v>
      </x:c>
      <x:c r="L25" s="31" t="n">
        <x:v>2.5643894993</x:v>
      </x:c>
      <x:c r="M25" s="31" t="n">
        <x:v>19.071000286900002</x:v>
      </x:c>
      <x:c r="N25" s="24" t="str">
        <x:v>variola louti</x:v>
      </x:c>
      <x:c r="O25" s="32" t="n">
        <x:v>4.33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Variola louti</x:v>
      </x:c>
      <x:c r="T25" s="32" t="n">
        <x:f>IF(O25="","",(1/'Metadata'!$B$5)^(O25-1))</x:f>
        <x:v>2137.9620895022326</x:v>
      </x:c>
      <x:c r="U25" s="31" t="n">
        <x:f>IF(T25="","",I25*T25)</x:f>
        <x:v>46255.64315449942</x:v>
      </x:c>
    </x:row>
    <x:row r="26" ht="18" customHeight="1">
      <x:c r="A26" s="24" t="str">
        <x:v>EEZ_175</x:v>
      </x:c>
      <x:c r="B26" s="24" t="str">
        <x:v>Mayotte (France)</x:v>
      </x:c>
      <x:c r="C26" s="24" t="str">
        <x:v>EEZ</x:v>
      </x:c>
      <x:c r="D26" s="30" t="n">
        <x:v>2019</x:v>
      </x:c>
      <x:c r="E26" s="24" t="str">
        <x:v>Plectropomus pessuliferus</x:v>
      </x:c>
      <x:c r="F26" s="24" t="str">
        <x:v>Roving coralgrouper</x:v>
      </x:c>
      <x:c r="G26" s="24" t="str">
        <x:v>Large reef assoc. fish (&gt;=90 cm)</x:v>
      </x:c>
      <x:c r="H26" s="24" t="str">
        <x:v>Perch-likes</x:v>
      </x:c>
      <x:c r="I26" s="31" t="n">
        <x:v>20.8506107801</x:v>
      </x:c>
      <x:c r="J26" s="31" t="n">
        <x:v>20.8506107801</x:v>
      </x:c>
      <x:c r="K26" s="31" t="n">
        <x:v>0</x:v>
      </x:c>
      <x:c r="L26" s="31" t="n">
        <x:v>2.0481826916</x:v>
      </x:c>
      <x:c r="M26" s="31" t="n">
        <x:v>18.8024280885</x:v>
      </x:c>
      <x:c r="N26" s="24" t="str">
        <x:v>plectropomus pessuliferus</x:v>
      </x:c>
      <x:c r="O26" s="32" t="n">
        <x:v>4.28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Plectropomus pessuliferus</x:v>
      </x:c>
      <x:c r="T26" s="32" t="n">
        <x:f>IF(O26="","",(1/'Metadata'!$B$5)^(O26-1))</x:f>
        <x:v>1905.4607179632483</x:v>
      </x:c>
      <x:c r="U26" s="31" t="n">
        <x:f>IF(T26="","",I26*T26)</x:f>
        <x:v>39730.019787021585</x:v>
      </x:c>
    </x:row>
    <x:row r="27" ht="18" customHeight="1">
      <x:c r="A27" s="24" t="str">
        <x:v>EEZ_175</x:v>
      </x:c>
      <x:c r="B27" s="24" t="str">
        <x:v>Mayotte (France)</x:v>
      </x:c>
      <x:c r="C27" s="24" t="str">
        <x:v>EEZ</x:v>
      </x:c>
      <x:c r="D27" s="30" t="n">
        <x:v>2019</x:v>
      </x:c>
      <x:c r="E27" s="24" t="str">
        <x:v>Gymnocranius</x:v>
      </x:c>
      <x:c r="F27" s="24" t="str">
        <x:v>Largeeye breams</x:v>
      </x:c>
      <x:c r="G27" s="24" t="str">
        <x:v>Medium reef assoc. fish (30 - 89 cm)</x:v>
      </x:c>
      <x:c r="H27" s="24" t="str">
        <x:v>Perch-likes</x:v>
      </x:c>
      <x:c r="I27" s="31" t="n">
        <x:v>19.8830486721</x:v>
      </x:c>
      <x:c r="J27" s="31" t="n">
        <x:v>19.8830486721</x:v>
      </x:c>
      <x:c r="K27" s="31" t="n">
        <x:v>0</x:v>
      </x:c>
      <x:c r="L27" s="31" t="n">
        <x:v>3.4904152631</x:v>
      </x:c>
      <x:c r="M27" s="31" t="n">
        <x:v>16.392633409</x:v>
      </x:c>
      <x:c r="N27" s="24" t="str">
        <x:v>gymnocranius</x:v>
      </x:c>
      <x:c r="O27" s="32" t="n">
        <x:v>3.4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Gymnocranius</x:v>
      </x:c>
      <x:c r="T27" s="32" t="n">
        <x:f>IF(O27="","",(1/'Metadata'!$B$5)^(O27-1))</x:f>
        <x:v>251.18864315095797</x:v>
      </x:c>
      <x:c r="U27" s="31" t="n">
        <x:f>IF(T27="","",I27*T27)</x:f>
        <x:v>4994.396017649256</x:v>
      </x:c>
    </x:row>
    <x:row r="28" ht="18" customHeight="1">
      <x:c r="A28" s="24" t="str">
        <x:v>EEZ_175</x:v>
      </x:c>
      <x:c r="B28" s="24" t="str">
        <x:v>Mayotte (France)</x:v>
      </x:c>
      <x:c r="C28" s="24" t="str">
        <x:v>EEZ</x:v>
      </x:c>
      <x:c r="D28" s="30" t="n">
        <x:v>2019</x:v>
      </x:c>
      <x:c r="E28" s="24" t="str">
        <x:v>Atropus armatus</x:v>
      </x:c>
      <x:c r="F28" s="24" t="str">
        <x:v>Longfin trevally</x:v>
      </x:c>
      <x:c r="G28" s="24" t="str">
        <x:v>Medium reef assoc. fish (30 - 89 cm)</x:v>
      </x:c>
      <x:c r="H28" s="24" t="str">
        <x:v>Perch-likes</x:v>
      </x:c>
      <x:c r="I28" s="31" t="n">
        <x:v>18.6090843558</x:v>
      </x:c>
      <x:c r="J28" s="31" t="n">
        <x:v>18.6090843558</x:v>
      </x:c>
      <x:c r="K28" s="31" t="n">
        <x:v>0</x:v>
      </x:c>
      <x:c r="L28" s="31" t="n">
        <x:v>3.414952143</x:v>
      </x:c>
      <x:c r="M28" s="31" t="n">
        <x:v>15.1941322128</x:v>
      </x:c>
      <x:c r="N28" s="24" t="str">
        <x:v>atropus armatus</x:v>
      </x:c>
      <x:c r="O28" s="32" t="n">
        <x:v>4.15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Atropus armatus</x:v>
      </x:c>
      <x:c r="T28" s="32" t="n">
        <x:f>IF(O28="","",(1/'Metadata'!$B$5)^(O28-1))</x:f>
        <x:v>1412.5375446227554</x:v>
      </x:c>
      <x:c r="U28" s="31" t="n">
        <x:f>IF(T28="","",I28*T28)</x:f>
        <x:v>26286.030323619463</x:v>
      </x:c>
    </x:row>
    <x:row r="29" ht="18" customHeight="1">
      <x:c r="A29" s="24" t="str">
        <x:v>EEZ_175</x:v>
      </x:c>
      <x:c r="B29" s="24" t="str">
        <x:v>Mayotte (France)</x:v>
      </x:c>
      <x:c r="C29" s="24" t="str">
        <x:v>EEZ</x:v>
      </x:c>
      <x:c r="D29" s="30" t="n">
        <x:v>2019</x:v>
      </x:c>
      <x:c r="E29" s="24" t="str">
        <x:v>Aphareus furca</x:v>
      </x:c>
      <x:c r="F29" s="24" t="str">
        <x:v>Small toothed jobfish</x:v>
      </x:c>
      <x:c r="G29" s="24" t="str">
        <x:v>Medium reef assoc. fish (30 - 89 cm)</x:v>
      </x:c>
      <x:c r="H29" s="24" t="str">
        <x:v>Perch-likes</x:v>
      </x:c>
      <x:c r="I29" s="31" t="n">
        <x:v>17.1349878322</x:v>
      </x:c>
      <x:c r="J29" s="31" t="n">
        <x:v>17.1349878322</x:v>
      </x:c>
      <x:c r="K29" s="31" t="n">
        <x:v>0</x:v>
      </x:c>
      <x:c r="L29" s="31" t="n">
        <x:v>2.1348748229999996</x:v>
      </x:c>
      <x:c r="M29" s="31" t="n">
        <x:v>15.0001130092</x:v>
      </x:c>
      <x:c r="N29" s="24" t="str">
        <x:v>aphareus furca</x:v>
      </x:c>
      <x:c r="O29" s="32" t="n">
        <x:v>4.14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Aphareus furca</x:v>
      </x:c>
      <x:c r="T29" s="32" t="n">
        <x:f>IF(O29="","",(1/'Metadata'!$B$5)^(O29-1))</x:f>
        <x:v>1380.3842646028838</x:v>
      </x:c>
      <x:c r="U29" s="31" t="n">
        <x:f>IF(T29="","",I29*T29)</x:f>
        <x:v>23652.86757773076</x:v>
      </x:c>
    </x:row>
    <x:row r="30" ht="18" customHeight="1">
      <x:c r="A30" s="24" t="str">
        <x:v>EEZ_175</x:v>
      </x:c>
      <x:c r="B30" s="24" t="str">
        <x:v>Mayotte (France)</x:v>
      </x:c>
      <x:c r="C30" s="24" t="str">
        <x:v>EEZ</x:v>
      </x:c>
      <x:c r="D30" s="30" t="n">
        <x:v>2019</x:v>
      </x:c>
      <x:c r="E30" s="24" t="str">
        <x:v>Lutjanus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17.099931395200002</x:v>
      </x:c>
      <x:c r="J30" s="31" t="n">
        <x:v>17.099931395200002</x:v>
      </x:c>
      <x:c r="K30" s="31" t="n">
        <x:v>0</x:v>
      </x:c>
      <x:c r="L30" s="31" t="n">
        <x:v>2.4849692704999997</x:v>
      </x:c>
      <x:c r="M30" s="31" t="n">
        <x:v>14.6149621247</x:v>
      </x:c>
      <x:c r="N30" s="24" t="str">
        <x:v>lutjanus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Lutjanus</x:v>
      </x:c>
      <x:c r="T30" s="32" t="n">
        <x:f>IF(O30="","",(1/'Metadata'!$B$5)^(O30-1))</x:f>
        <x:v>1047.1285480508984</x:v>
      </x:c>
      <x:c r="U30" s="31" t="n">
        <x:f>IF(T30="","",I30*T30)</x:f>
        <x:v>17905.82633362575</x:v>
      </x:c>
    </x:row>
    <x:row r="31" ht="18" customHeight="1">
      <x:c r="A31" s="24" t="str">
        <x:v>EEZ_175</x:v>
      </x:c>
      <x:c r="B31" s="24" t="str">
        <x:v>Mayotte (France)</x:v>
      </x:c>
      <x:c r="C31" s="24" t="str">
        <x:v>EEZ</x:v>
      </x:c>
      <x:c r="D31" s="30" t="n">
        <x:v>2019</x:v>
      </x:c>
      <x:c r="E31" s="24" t="str">
        <x:v>Caesio</x:v>
      </x:c>
      <x:c r="F31" s="24" t="str">
        <x:v>Caesios</x:v>
      </x:c>
      <x:c r="G31" s="24" t="str">
        <x:v>Medium reef assoc. fish (30 - 89 cm)</x:v>
      </x:c>
      <x:c r="H31" s="24" t="str">
        <x:v>Perch-likes</x:v>
      </x:c>
      <x:c r="I31" s="31" t="n">
        <x:v>16.4507811722</x:v>
      </x:c>
      <x:c r="J31" s="31" t="n">
        <x:v>16.4507811722</x:v>
      </x:c>
      <x:c r="K31" s="31" t="n">
        <x:v>0</x:v>
      </x:c>
      <x:c r="L31" s="31" t="n">
        <x:v>3.0886540604999997</x:v>
      </x:c>
      <x:c r="M31" s="31" t="n">
        <x:v>13.3621271117</x:v>
      </x:c>
      <x:c r="N31" s="24" t="str">
        <x:v>caesio</x:v>
      </x:c>
      <x:c r="O31" s="32" t="n">
        <x:v>3.4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Caesio</x:v>
      </x:c>
      <x:c r="T31" s="32" t="n">
        <x:f>IF(O31="","",(1/'Metadata'!$B$5)^(O31-1))</x:f>
        <x:v>251.18864315095797</x:v>
      </x:c>
      <x:c r="U31" s="31" t="n">
        <x:f>IF(T31="","",I31*T31)</x:f>
        <x:v>4132.249401418244</x:v>
      </x:c>
    </x:row>
    <x:row r="32" ht="18" customHeight="1">
      <x:c r="A32" s="24" t="str">
        <x:v>EEZ_175</x:v>
      </x:c>
      <x:c r="B32" s="24" t="str">
        <x:v>Mayotte (France)</x:v>
      </x:c>
      <x:c r="C32" s="24" t="str">
        <x:v>EEZ</x:v>
      </x:c>
      <x:c r="D32" s="30" t="n">
        <x:v>2019</x:v>
      </x:c>
      <x:c r="E32" s="24" t="str">
        <x:v>Mugilidae</x:v>
      </x:c>
      <x:c r="F32" s="24" t="str">
        <x:v>Mullets, grey mullets</x:v>
      </x:c>
      <x:c r="G32" s="24" t="str">
        <x:v>Medium reef assoc. fish (30 - 89 cm)</x:v>
      </x:c>
      <x:c r="H32" s="24" t="str">
        <x:v>Perch-likes</x:v>
      </x:c>
      <x:c r="I32" s="31" t="n">
        <x:v>15.8876232733</x:v>
      </x:c>
      <x:c r="J32" s="31" t="n">
        <x:v>15.8876232733</x:v>
      </x:c>
      <x:c r="K32" s="31" t="n">
        <x:v>0</x:v>
      </x:c>
      <x:c r="L32" s="31" t="n">
        <x:v>2.4782817786</x:v>
      </x:c>
      <x:c r="M32" s="31" t="n">
        <x:v>13.4093414947</x:v>
      </x:c>
      <x:c r="N32" s="24" t="str">
        <x:v>mugilidae</x:v>
      </x:c>
      <x:c r="O32" s="32" t="n">
        <x:v>2.53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Mugilidae</x:v>
      </x:c>
      <x:c r="T32" s="32" t="n">
        <x:f>IF(O32="","",(1/'Metadata'!$B$5)^(O32-1))</x:f>
        <x:v>33.88441561392024</x:v>
      </x:c>
      <x:c r="U32" s="31" t="n">
        <x:f>IF(T32="","",I32*T32)</x:f>
        <x:v>538.3428301098891</x:v>
      </x:c>
    </x:row>
    <x:row r="33" ht="18" customHeight="1">
      <x:c r="A33" s="24" t="str">
        <x:v>EEZ_175</x:v>
      </x:c>
      <x:c r="B33" s="24" t="str">
        <x:v>Mayotte (France)</x:v>
      </x:c>
      <x:c r="C33" s="24" t="str">
        <x:v>EEZ</x:v>
      </x:c>
      <x:c r="D33" s="30" t="n">
        <x:v>2019</x:v>
      </x:c>
      <x:c r="E33" s="24" t="str">
        <x:v>Gnathodentex aureolineatus</x:v>
      </x:c>
      <x:c r="F33" s="24" t="str">
        <x:v>Striped large-eye bream</x:v>
      </x:c>
      <x:c r="G33" s="24" t="str">
        <x:v>Medium reef assoc. fish (30 - 89 cm)</x:v>
      </x:c>
      <x:c r="H33" s="24" t="str">
        <x:v>Perch-likes</x:v>
      </x:c>
      <x:c r="I33" s="31" t="n">
        <x:v>15.3292835324</x:v>
      </x:c>
      <x:c r="J33" s="31" t="n">
        <x:v>15.3292835324</x:v>
      </x:c>
      <x:c r="K33" s="31" t="n">
        <x:v>0</x:v>
      </x:c>
      <x:c r="L33" s="31" t="n">
        <x:v>2.0636147116</x:v>
      </x:c>
      <x:c r="M33" s="31" t="n">
        <x:v>13.2656688208</x:v>
      </x:c>
      <x:c r="N33" s="24" t="str">
        <x:v>gnathodentex aureolineatus</x:v>
      </x:c>
      <x:c r="O33" s="32" t="n">
        <x:v>3.29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Gnathodentex aureolineatus</x:v>
      </x:c>
      <x:c r="T33" s="32" t="n">
        <x:f>IF(O33="","",(1/'Metadata'!$B$5)^(O33-1))</x:f>
        <x:v>194.98445997580455</x:v>
      </x:c>
      <x:c r="U33" s="31" t="n">
        <x:f>IF(T33="","",I33*T33)</x:f>
        <x:v>2988.9720713810075</x:v>
      </x:c>
    </x:row>
    <x:row r="34" ht="18" customHeight="1">
      <x:c r="A34" s="24" t="str">
        <x:v>EEZ_175</x:v>
      </x:c>
      <x:c r="B34" s="24" t="str">
        <x:v>Mayotte (France)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14.9611677543</x:v>
      </x:c>
      <x:c r="J34" s="31" t="n">
        <x:v>14.9611677543</x:v>
      </x:c>
      <x:c r="K34" s="31" t="n">
        <x:v>0</x:v>
      </x:c>
      <x:c r="L34" s="31" t="n">
        <x:v>0</x:v>
      </x:c>
      <x:c r="M34" s="31" t="n">
        <x:v>14.9611677543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3054.6783900520522</x:v>
      </x:c>
    </x:row>
    <x:row r="35" ht="18" customHeight="1">
      <x:c r="A35" s="24" t="str">
        <x:v>EEZ_175</x:v>
      </x:c>
      <x:c r="B35" s="24" t="str">
        <x:v>Mayotte (France)</x:v>
      </x:c>
      <x:c r="C35" s="24" t="str">
        <x:v>EEZ</x:v>
      </x:c>
      <x:c r="D35" s="30" t="n">
        <x:v>2019</x:v>
      </x:c>
      <x:c r="E35" s="24" t="str">
        <x:v>Naso unicornis</x:v>
      </x:c>
      <x:c r="F35" s="24" t="str">
        <x:v>Bluespine unicornfish</x:v>
      </x:c>
      <x:c r="G35" s="24" t="str">
        <x:v>Medium reef assoc. fish (30 - 89 cm)</x:v>
      </x:c>
      <x:c r="H35" s="24" t="str">
        <x:v>Perch-likes</x:v>
      </x:c>
      <x:c r="I35" s="31" t="n">
        <x:v>14.3393678865</x:v>
      </x:c>
      <x:c r="J35" s="31" t="n">
        <x:v>14.3393678865</x:v>
      </x:c>
      <x:c r="K35" s="31" t="n">
        <x:v>0</x:v>
      </x:c>
      <x:c r="L35" s="31" t="n">
        <x:v>2.0232575286</x:v>
      </x:c>
      <x:c r="M35" s="31" t="n">
        <x:v>12.316110357900001</x:v>
      </x:c>
      <x:c r="N35" s="24" t="str">
        <x:v>naso unicornis</x:v>
      </x:c>
      <x:c r="O35" s="32" t="n">
        <x:v>2.17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Naso unicornis</x:v>
      </x:c>
      <x:c r="T35" s="32" t="n">
        <x:f>IF(O35="","",(1/'Metadata'!$B$5)^(O35-1))</x:f>
        <x:v>14.791083881682072</x:v>
      </x:c>
      <x:c r="U35" s="31" t="n">
        <x:f>IF(T35="","",I35*T35)</x:f>
        <x:v>212.09479321951966</x:v>
      </x:c>
    </x:row>
    <x:row r="36" ht="18" customHeight="1">
      <x:c r="A36" s="24" t="str">
        <x:v>EEZ_175</x:v>
      </x:c>
      <x:c r="B36" s="24" t="str">
        <x:v>Mayotte (France)</x:v>
      </x:c>
      <x:c r="C36" s="24" t="str">
        <x:v>EEZ</x:v>
      </x:c>
      <x:c r="D36" s="30" t="n">
        <x:v>2019</x:v>
      </x:c>
      <x:c r="E36" s="24" t="str">
        <x:v>Siganus sutor</x:v>
      </x:c>
      <x:c r="F36" s="24" t="str">
        <x:v>Shoemaker spinefoot</x:v>
      </x:c>
      <x:c r="G36" s="24" t="str">
        <x:v>Medium reef assoc. fish (30 - 89 cm)</x:v>
      </x:c>
      <x:c r="H36" s="24" t="str">
        <x:v>Perch-likes</x:v>
      </x:c>
      <x:c r="I36" s="31" t="n">
        <x:v>13.7835831234</x:v>
      </x:c>
      <x:c r="J36" s="31" t="n">
        <x:v>13.7835831234</x:v>
      </x:c>
      <x:c r="K36" s="31" t="n">
        <x:v>0</x:v>
      </x:c>
      <x:c r="L36" s="31" t="n">
        <x:v>2.5097144169</x:v>
      </x:c>
      <x:c r="M36" s="31" t="n">
        <x:v>11.2738687065</x:v>
      </x:c>
      <x:c r="N36" s="24" t="str">
        <x:v>siganus sutor</x:v>
      </x:c>
      <x:c r="O36" s="32" t="n">
        <x:v>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Siganus sutor</x:v>
      </x:c>
      <x:c r="T36" s="32" t="n">
        <x:f>IF(O36="","",(1/'Metadata'!$B$5)^(O36-1))</x:f>
        <x:v>10</x:v>
      </x:c>
      <x:c r="U36" s="31" t="n">
        <x:f>IF(T36="","",I36*T36)</x:f>
        <x:v>137.835831234</x:v>
      </x:c>
    </x:row>
    <x:row r="37" ht="18" customHeight="1">
      <x:c r="A37" s="24" t="str">
        <x:v>EEZ_175</x:v>
      </x:c>
      <x:c r="B37" s="24" t="str">
        <x:v>Mayotte (France)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12.4818673393</x:v>
      </x:c>
      <x:c r="J37" s="31" t="n">
        <x:v>12.4818673393</x:v>
      </x:c>
      <x:c r="K37" s="31" t="n">
        <x:v>0</x:v>
      </x:c>
      <x:c r="L37" s="31" t="n">
        <x:v>0.0414041481</x:v>
      </x:c>
      <x:c r="M37" s="31" t="n">
        <x:v>12.4404631912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4856.0098888173425</x:v>
      </x:c>
    </x:row>
    <x:row r="38" ht="18" customHeight="1">
      <x:c r="A38" s="24" t="str">
        <x:v>EEZ_175</x:v>
      </x:c>
      <x:c r="B38" s="24" t="str">
        <x:v>Mayotte (France)</x:v>
      </x:c>
      <x:c r="C38" s="24" t="str">
        <x:v>EEZ</x:v>
      </x:c>
      <x:c r="D38" s="30" t="n">
        <x:v>2019</x:v>
      </x:c>
      <x:c r="E38" s="24" t="str">
        <x:v>Marine groundfishes not identified</x:v>
      </x:c>
      <x:c r="F38" s="24" t="str">
        <x:v>Groundfishes</x:v>
      </x:c>
      <x:c r="G38" s="24" t="str">
        <x:v>Medium demersals (30 - 89 cm)</x:v>
      </x:c>
      <x:c r="H38" s="24" t="str">
        <x:v>Other fishes &amp; inverts</x:v>
      </x:c>
      <x:c r="I38" s="31" t="n">
        <x:v>11.88923499</x:v>
      </x:c>
      <x:c r="J38" s="31" t="n">
        <x:v>11.88923499</x:v>
      </x:c>
      <x:c r="K38" s="31" t="n">
        <x:v>0</x:v>
      </x:c>
      <x:c r="L38" s="31" t="n">
        <x:v>0</x:v>
      </x:c>
      <x:c r="M38" s="31" t="n">
        <x:v>11.88923499</x:v>
      </x:c>
      <x:c r="N38" s="24" t="str">
        <x:v>marine groundfishes not identified</x:v>
      </x:c>
      <x:c r="O38" s="32" t="n">
        <x:v>3.22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groundfishes not identified</x:v>
      </x:c>
      <x:c r="T38" s="32" t="n">
        <x:f>IF(O38="","",(1/'Metadata'!$B$5)^(O38-1))</x:f>
        <x:v>165.95869074375614</x:v>
      </x:c>
      <x:c r="U38" s="31" t="n">
        <x:f>IF(T38="","",I38*T38)</x:f>
        <x:v>1973.1218728852546</x:v>
      </x:c>
    </x:row>
    <x:row r="39" ht="18" customHeight="1">
      <x:c r="A39" s="24" t="str">
        <x:v>EEZ_175</x:v>
      </x:c>
      <x:c r="B39" s="24" t="str">
        <x:v>Mayotte (France)</x:v>
      </x:c>
      <x:c r="C39" s="24" t="str">
        <x:v>EEZ</x:v>
      </x:c>
      <x:c r="D39" s="30" t="n">
        <x:v>2019</x:v>
      </x:c>
      <x:c r="E39" s="24" t="str">
        <x:v>Mullidae</x:v>
      </x:c>
      <x:c r="F39" s="24" t="str">
        <x:v>Goatfishes</x:v>
      </x:c>
      <x:c r="G39" s="24" t="str">
        <x:v>Medium reef assoc. fish (30 - 89 cm)</x:v>
      </x:c>
      <x:c r="H39" s="24" t="str">
        <x:v>Perch-likes</x:v>
      </x:c>
      <x:c r="I39" s="31" t="n">
        <x:v>11.7610047252</x:v>
      </x:c>
      <x:c r="J39" s="31" t="n">
        <x:v>11.7610047252</x:v>
      </x:c>
      <x:c r="K39" s="31" t="n">
        <x:v>0</x:v>
      </x:c>
      <x:c r="L39" s="31" t="n">
        <x:v>2.0213387025</x:v>
      </x:c>
      <x:c r="M39" s="31" t="n">
        <x:v>9.7396660227</x:v>
      </x:c>
      <x:c r="N39" s="24" t="str">
        <x:v>mullidae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Mullidae</x:v>
      </x:c>
      <x:c r="T39" s="32" t="n">
        <x:f>IF(O39="","",(1/'Metadata'!$B$5)^(O39-1))</x:f>
        <x:v>288.40315031266056</x:v>
      </x:c>
      <x:c r="U39" s="31" t="n">
        <x:f>IF(T39="","",I39*T39)</x:f>
        <x:v>3391.9108135897663</x:v>
      </x:c>
    </x:row>
    <x:row r="40" ht="18" customHeight="1">
      <x:c r="A40" s="24" t="str">
        <x:v>EEZ_175</x:v>
      </x:c>
      <x:c r="B40" s="24" t="str">
        <x:v>Mayotte (France)</x:v>
      </x:c>
      <x:c r="C40" s="24" t="str">
        <x:v>EEZ</x:v>
      </x:c>
      <x:c r="D40" s="30" t="n">
        <x:v>2019</x:v>
      </x:c>
      <x:c r="E40" s="24" t="str">
        <x:v>Lethrinidae</x:v>
      </x:c>
      <x:c r="F40" s="24" t="str">
        <x:v>Emperors, scavengers</x:v>
      </x:c>
      <x:c r="G40" s="24" t="str">
        <x:v>Medium reef assoc. fish (30 - 89 cm)</x:v>
      </x:c>
      <x:c r="H40" s="24" t="str">
        <x:v>Perch-likes</x:v>
      </x:c>
      <x:c r="I40" s="31" t="n">
        <x:v>10.851095195100001</x:v>
      </x:c>
      <x:c r="J40" s="31" t="n">
        <x:v>10.851095195100001</x:v>
      </x:c>
      <x:c r="K40" s="31" t="n">
        <x:v>0</x:v>
      </x:c>
      <x:c r="L40" s="31" t="n">
        <x:v>1.947435146</x:v>
      </x:c>
      <x:c r="M40" s="31" t="n">
        <x:v>8.9036600491</x:v>
      </x:c>
      <x:c r="N40" s="24" t="str">
        <x:v>lethrinidae</x:v>
      </x:c>
      <x:c r="O40" s="32" t="n">
        <x:v>3.59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Lethrinidae</x:v>
      </x:c>
      <x:c r="T40" s="32" t="n">
        <x:f>IF(O40="","",(1/'Metadata'!$B$5)^(O40-1))</x:f>
        <x:v>389.04514499428046</x:v>
      </x:c>
      <x:c r="U40" s="31" t="n">
        <x:f>IF(T40="","",I40*T40)</x:f>
        <x:v>4221.56590352442</x:v>
      </x:c>
    </x:row>
    <x:row r="41" ht="18" customHeight="1">
      <x:c r="A41" s="24" t="str">
        <x:v>EEZ_175</x:v>
      </x:c>
      <x:c r="B41" s="24" t="str">
        <x:v>Mayotte (France)</x:v>
      </x:c>
      <x:c r="C41" s="24" t="str">
        <x:v>EEZ</x:v>
      </x:c>
      <x:c r="D41" s="30" t="n">
        <x:v>2019</x:v>
      </x:c>
      <x:c r="E41" s="24" t="str">
        <x:v>Clupeidae</x:v>
      </x:c>
      <x:c r="F41" s="24" t="str">
        <x:v>Herrings, sardines, menhadens</x:v>
      </x:c>
      <x:c r="G41" s="24" t="str">
        <x:v>Small pelagics (&lt;30 cm)</x:v>
      </x:c>
      <x:c r="H41" s="24" t="str">
        <x:v>Herring-likes</x:v>
      </x:c>
      <x:c r="I41" s="31" t="n">
        <x:v>10.7355112744</x:v>
      </x:c>
      <x:c r="J41" s="31" t="n">
        <x:v>10.7355112744</x:v>
      </x:c>
      <x:c r="K41" s="31" t="n">
        <x:v>0</x:v>
      </x:c>
      <x:c r="L41" s="31" t="n">
        <x:v>1.5753239947</x:v>
      </x:c>
      <x:c r="M41" s="31" t="n">
        <x:v>9.1601872797</x:v>
      </x:c>
      <x:c r="N41" s="24" t="str">
        <x:v>clupeidae</x:v>
      </x:c>
      <x:c r="O41" s="32" t="n">
        <x:v>3.16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Clupeidae</x:v>
      </x:c>
      <x:c r="T41" s="32" t="n">
        <x:f>IF(O41="","",(1/'Metadata'!$B$5)^(O41-1))</x:f>
        <x:v>144.5439770745928</x:v>
      </x:c>
      <x:c r="U41" s="31" t="n">
        <x:f>IF(T41="","",I41*T41)</x:f>
        <x:v>1551.753495530906</x:v>
      </x:c>
    </x:row>
    <x:row r="42" ht="18" customHeight="1">
      <x:c r="A42" s="24" t="str">
        <x:v>EEZ_175</x:v>
      </x:c>
      <x:c r="B42" s="24" t="str">
        <x:v>Mayotte (France)</x:v>
      </x:c>
      <x:c r="C42" s="24" t="str">
        <x:v>EEZ</x:v>
      </x:c>
      <x:c r="D42" s="30" t="n">
        <x:v>2019</x:v>
      </x:c>
      <x:c r="E42" s="24" t="str">
        <x:v>Sphyraena barracuda</x:v>
      </x:c>
      <x:c r="F42" s="24" t="str">
        <x:v>Great barracuda</x:v>
      </x:c>
      <x:c r="G42" s="24" t="str">
        <x:v>Large pelagics (&gt;=90 cm)</x:v>
      </x:c>
      <x:c r="H42" s="24" t="str">
        <x:v>Perch-likes</x:v>
      </x:c>
      <x:c r="I42" s="31" t="n">
        <x:v>10.065362211</x:v>
      </x:c>
      <x:c r="J42" s="31" t="n">
        <x:v>10.065362211</x:v>
      </x:c>
      <x:c r="K42" s="31" t="n">
        <x:v>0</x:v>
      </x:c>
      <x:c r="L42" s="31" t="n">
        <x:v>1.1933695784</x:v>
      </x:c>
      <x:c r="M42" s="31" t="n">
        <x:v>8.8719926326</x:v>
      </x:c>
      <x:c r="N42" s="24" t="str">
        <x:v>sphyraena barracuda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Sphyraena barracuda</x:v>
      </x:c>
      <x:c r="T42" s="32" t="n">
        <x:f>IF(O42="","",(1/'Metadata'!$B$5)^(O42-1))</x:f>
        <x:v>3090.295432513592</x:v>
      </x:c>
      <x:c r="U42" s="31" t="n">
        <x:f>IF(T42="","",I42*T42)</x:f>
        <x:v>31104.94286724821</x:v>
      </x:c>
    </x:row>
    <x:row r="43" ht="18" customHeight="1">
      <x:c r="A43" s="24" t="str">
        <x:v>EEZ_175</x:v>
      </x:c>
      <x:c r="B43" s="24" t="str">
        <x:v>Mayotte (France)</x:v>
      </x:c>
      <x:c r="C43" s="24" t="str">
        <x:v>EEZ</x:v>
      </x:c>
      <x:c r="D43" s="30" t="n">
        <x:v>2019</x:v>
      </x:c>
      <x:c r="E43" s="24" t="str">
        <x:v>Caesionidae</x:v>
      </x:c>
      <x:c r="F43" s="24" t="str">
        <x:v>Fusiliers</x:v>
      </x:c>
      <x:c r="G43" s="24" t="str">
        <x:v>Medium reef assoc. fish (30 - 89 cm)</x:v>
      </x:c>
      <x:c r="H43" s="24" t="str">
        <x:v>Perch-likes</x:v>
      </x:c>
      <x:c r="I43" s="31" t="n">
        <x:v>10</x:v>
      </x:c>
      <x:c r="J43" s="31" t="n">
        <x:v>10</x:v>
      </x:c>
      <x:c r="K43" s="31" t="n">
        <x:v>0</x:v>
      </x:c>
      <x:c r="L43" s="31" t="n">
        <x:v>10</x:v>
      </x:c>
      <x:c r="M43" s="31" t="n">
        <x:v>0</x:v>
      </x:c>
      <x:c r="N43" s="24" t="str">
        <x:v>caesionidae</x:v>
      </x:c>
      <x:c r="O43" s="32" t="n">
        <x:v>3.39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Caesionidae</x:v>
      </x:c>
      <x:c r="T43" s="32" t="n">
        <x:f>IF(O43="","",(1/'Metadata'!$B$5)^(O43-1))</x:f>
        <x:v>245.4708915685031</x:v>
      </x:c>
      <x:c r="U43" s="31" t="n">
        <x:f>IF(T43="","",I43*T43)</x:f>
        <x:v>2454.708915685031</x:v>
      </x:c>
    </x:row>
    <x:row r="44" ht="18" customHeight="1">
      <x:c r="A44" s="24" t="str">
        <x:v>EEZ_175</x:v>
      </x:c>
      <x:c r="B44" s="24" t="str">
        <x:v>Mayotte (France)</x:v>
      </x:c>
      <x:c r="C44" s="24" t="str">
        <x:v>EEZ</x:v>
      </x:c>
      <x:c r="D44" s="30" t="n">
        <x:v>2019</x:v>
      </x:c>
      <x:c r="E44" s="24" t="str">
        <x:v>Xiphias gladius</x:v>
      </x:c>
      <x:c r="F44" s="24" t="str">
        <x:v>Swordfish</x:v>
      </x:c>
      <x:c r="G44" s="24" t="str">
        <x:v>Large pelagics (&gt;=90 cm)</x:v>
      </x:c>
      <x:c r="H44" s="24" t="str">
        <x:v>Tuna &amp; billfishes</x:v>
      </x:c>
      <x:c r="I44" s="31" t="n">
        <x:v>9.886925493</x:v>
      </x:c>
      <x:c r="J44" s="31" t="n">
        <x:v>9.886925493</x:v>
      </x:c>
      <x:c r="K44" s="31" t="n">
        <x:v>0</x:v>
      </x:c>
      <x:c r="L44" s="31" t="n">
        <x:v>0.0099960065</x:v>
      </x:c>
      <x:c r="M44" s="31" t="n">
        <x:v>9.8769294865</x:v>
      </x:c>
      <x:c r="N44" s="24" t="str">
        <x:v>xiphias gladius</x:v>
      </x:c>
      <x:c r="O44" s="32" t="n">
        <x:v>4.53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Xiphias gladius</x:v>
      </x:c>
      <x:c r="T44" s="32" t="n">
        <x:f>IF(O44="","",(1/'Metadata'!$B$5)^(O44-1))</x:f>
        <x:v>3388.4415613920273</x:v>
      </x:c>
      <x:c r="U44" s="31" t="n">
        <x:f>IF(T44="","",I44*T44)</x:f>
        <x:v>33501.269254867555</x:v>
      </x:c>
    </x:row>
    <x:row r="45" ht="18" customHeight="1">
      <x:c r="A45" s="24" t="str">
        <x:v>EEZ_175</x:v>
      </x:c>
      <x:c r="B45" s="24" t="str">
        <x:v>Mayotte (France)</x:v>
      </x:c>
      <x:c r="C45" s="24" t="str">
        <x:v>EEZ</x:v>
      </x:c>
      <x:c r="D45" s="30" t="n">
        <x:v>2019</x:v>
      </x:c>
      <x:c r="E45" s="24" t="str">
        <x:v>Balistidae</x:v>
      </x:c>
      <x:c r="F45" s="24" t="str">
        <x:v>Triggerfishes</x:v>
      </x:c>
      <x:c r="G45" s="24" t="str">
        <x:v>Medium reef assoc. fish (30 - 89 cm)</x:v>
      </x:c>
      <x:c r="H45" s="24" t="str">
        <x:v>Other fishes &amp; inverts</x:v>
      </x:c>
      <x:c r="I45" s="31" t="n">
        <x:v>9.236352155699999</x:v>
      </x:c>
      <x:c r="J45" s="31" t="n">
        <x:v>9.236352155699999</x:v>
      </x:c>
      <x:c r="K45" s="31" t="n">
        <x:v>0</x:v>
      </x:c>
      <x:c r="L45" s="31" t="n">
        <x:v>1.3467613084</x:v>
      </x:c>
      <x:c r="M45" s="31" t="n">
        <x:v>7.889590847299999</x:v>
      </x:c>
      <x:c r="N45" s="24" t="str">
        <x:v>balistidae</x:v>
      </x:c>
      <x:c r="O45" s="32" t="n">
        <x:v>3.25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Balistidae</x:v>
      </x:c>
      <x:c r="T45" s="32" t="n">
        <x:f>IF(O45="","",(1/'Metadata'!$B$5)^(O45-1))</x:f>
        <x:v>177.82794100389228</x:v>
      </x:c>
      <x:c r="U45" s="31" t="n">
        <x:f>IF(T45="","",I45*T45)</x:f>
        <x:v>1642.4814862349926</x:v>
      </x:c>
    </x:row>
    <x:row r="46" ht="18" customHeight="1">
      <x:c r="A46" s="24" t="str">
        <x:v>EEZ_175</x:v>
      </x:c>
      <x:c r="B46" s="24" t="str">
        <x:v>Mayotte (France)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8.7279813295</x:v>
      </x:c>
      <x:c r="J46" s="31" t="n">
        <x:v>8.7279813295</x:v>
      </x:c>
      <x:c r="K46" s="31" t="n">
        <x:v>0</x:v>
      </x:c>
      <x:c r="L46" s="31" t="n">
        <x:v>3.1354985413</x:v>
      </x:c>
      <x:c r="M46" s="31" t="n">
        <x:v>5.5924827882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20460.38533218819</x:v>
      </x:c>
    </x:row>
    <x:row r="47" ht="18" customHeight="1">
      <x:c r="A47" s="24" t="str">
        <x:v>EEZ_175</x:v>
      </x:c>
      <x:c r="B47" s="24" t="str">
        <x:v>Mayotte (France)</x:v>
      </x:c>
      <x:c r="C47" s="24" t="str">
        <x:v>EEZ</x:v>
      </x:c>
      <x:c r="D47" s="30" t="n">
        <x:v>2019</x:v>
      </x:c>
      <x:c r="E47" s="24" t="str">
        <x:v>Caranx</x:v>
      </x:c>
      <x:c r="F47" s="24" t="str">
        <x:v>Jacks</x:v>
      </x:c>
      <x:c r="G47" s="24" t="str">
        <x:v>Medium reef assoc. fish (30 - 89 cm)</x:v>
      </x:c>
      <x:c r="H47" s="24" t="str">
        <x:v>Perch-likes</x:v>
      </x:c>
      <x:c r="I47" s="31" t="n">
        <x:v>8.3195877491</x:v>
      </x:c>
      <x:c r="J47" s="31" t="n">
        <x:v>8.3195877491</x:v>
      </x:c>
      <x:c r="K47" s="31" t="n">
        <x:v>0</x:v>
      </x:c>
      <x:c r="L47" s="31" t="n">
        <x:v>1.4800371343999998</x:v>
      </x:c>
      <x:c r="M47" s="31" t="n">
        <x:v>6.8395506147</x:v>
      </x:c>
      <x:c r="N47" s="24" t="str">
        <x:v>caranx</x:v>
      </x:c>
      <x:c r="O47" s="32" t="n">
        <x:v>4.12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Caranx</x:v>
      </x:c>
      <x:c r="T47" s="32" t="n">
        <x:f>IF(O47="","",(1/'Metadata'!$B$5)^(O47-1))</x:f>
        <x:v>1318.2567385564075</x:v>
      </x:c>
      <x:c r="U47" s="31" t="n">
        <x:f>IF(T47="","",I47*T47)</x:f>
        <x:v>10967.35261226241</x:v>
      </x:c>
    </x:row>
    <x:row r="48" ht="18" customHeight="1">
      <x:c r="A48" s="24" t="str">
        <x:v>EEZ_175</x:v>
      </x:c>
      <x:c r="B48" s="24" t="str">
        <x:v>Mayotte (France)</x:v>
      </x:c>
      <x:c r="C48" s="24" t="str">
        <x:v>EEZ</x:v>
      </x:c>
      <x:c r="D48" s="30" t="n">
        <x:v>2019</x:v>
      </x:c>
      <x:c r="E48" s="24" t="str">
        <x:v>Acanthuridae</x:v>
      </x:c>
      <x:c r="F48" s="24" t="str">
        <x:v>Surgeons, tangs, unicornfishes</x:v>
      </x:c>
      <x:c r="G48" s="24" t="str">
        <x:v>Small reef assoc. fish (&lt;30 cm)</x:v>
      </x:c>
      <x:c r="H48" s="24" t="str">
        <x:v>Perch-likes</x:v>
      </x:c>
      <x:c r="I48" s="31" t="n">
        <x:v>7.7983881416</x:v>
      </x:c>
      <x:c r="J48" s="31" t="n">
        <x:v>7.7983881416</x:v>
      </x:c>
      <x:c r="K48" s="31" t="n">
        <x:v>0</x:v>
      </x:c>
      <x:c r="L48" s="31" t="n">
        <x:v>1.3781195328</x:v>
      </x:c>
      <x:c r="M48" s="31" t="n">
        <x:v>6.4202686088</x:v>
      </x:c>
      <x:c r="N48" s="24" t="str">
        <x:v>acanthuridae</x:v>
      </x:c>
      <x:c r="O48" s="32" t="n">
        <x:v>2.28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Acanthuridae</x:v>
      </x:c>
      <x:c r="T48" s="32" t="n">
        <x:f>IF(O48="","",(1/'Metadata'!$B$5)^(O48-1))</x:f>
        <x:v>19.054607179632463</x:v>
      </x:c>
      <x:c r="U48" s="31" t="n">
        <x:f>IF(T48="","",I48*T48)</x:f>
        <x:v>148.595222672492</x:v>
      </x:c>
    </x:row>
    <x:row r="49" ht="18" customHeight="1">
      <x:c r="A49" s="24" t="str">
        <x:v>EEZ_175</x:v>
      </x:c>
      <x:c r="B49" s="24" t="str">
        <x:v>Mayotte (France)</x:v>
      </x:c>
      <x:c r="C49" s="24" t="str">
        <x:v>EEZ</x:v>
      </x:c>
      <x:c r="D49" s="30" t="n">
        <x:v>2019</x:v>
      </x:c>
      <x:c r="E49" s="24" t="str">
        <x:v>Lutjanus kasmira</x:v>
      </x:c>
      <x:c r="F49" s="24" t="str">
        <x:v>Common bluestripe snapper</x:v>
      </x:c>
      <x:c r="G49" s="24" t="str">
        <x:v>Medium reef assoc. fish (30 - 89 cm)</x:v>
      </x:c>
      <x:c r="H49" s="24" t="str">
        <x:v>Perch-likes</x:v>
      </x:c>
      <x:c r="I49" s="31" t="n">
        <x:v>7.0002252559</x:v>
      </x:c>
      <x:c r="J49" s="31" t="n">
        <x:v>7.0002252559</x:v>
      </x:c>
      <x:c r="K49" s="31" t="n">
        <x:v>0</x:v>
      </x:c>
      <x:c r="L49" s="31" t="n">
        <x:v>0.5154148076</x:v>
      </x:c>
      <x:c r="M49" s="31" t="n">
        <x:v>6.4848104483</x:v>
      </x:c>
      <x:c r="N49" s="24" t="str">
        <x:v>lutjanus kasmira</x:v>
      </x:c>
      <x:c r="O49" s="32" t="n">
        <x:v>3.87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Lutjanus kasmira</x:v>
      </x:c>
      <x:c r="T49" s="32" t="n">
        <x:f>IF(O49="","",(1/'Metadata'!$B$5)^(O49-1))</x:f>
        <x:v>741.3102413009177</x:v>
      </x:c>
      <x:c r="U49" s="31" t="n">
        <x:f>IF(T49="","",I49*T49)</x:f>
        <x:v>5189.338673612007</x:v>
      </x:c>
    </x:row>
    <x:row r="50" ht="18" customHeight="1">
      <x:c r="A50" s="24" t="str">
        <x:v>EEZ_175</x:v>
      </x:c>
      <x:c r="B50" s="24" t="str">
        <x:v>Mayotte (France)</x:v>
      </x:c>
      <x:c r="C50" s="24" t="str">
        <x:v>EEZ</x:v>
      </x:c>
      <x:c r="D50" s="30" t="n">
        <x:v>2019</x:v>
      </x:c>
      <x:c r="E50" s="24" t="str">
        <x:v>Engraulidae</x:v>
      </x:c>
      <x:c r="F50" s="24" t="str">
        <x:v>Anchovies, round herrings</x:v>
      </x:c>
      <x:c r="G50" s="24" t="str">
        <x:v>Small pelagics (&lt;30 cm)</x:v>
      </x:c>
      <x:c r="H50" s="24" t="str">
        <x:v>Anchovies</x:v>
      </x:c>
      <x:c r="I50" s="31" t="n">
        <x:v>6.8355996107</x:v>
      </x:c>
      <x:c r="J50" s="31" t="n">
        <x:v>6.8355996107</x:v>
      </x:c>
      <x:c r="K50" s="31" t="n">
        <x:v>0</x:v>
      </x:c>
      <x:c r="L50" s="31" t="n">
        <x:v>0</x:v>
      </x:c>
      <x:c r="M50" s="31" t="n">
        <x:v>6.8355996107</x:v>
      </x:c>
      <x:c r="N50" s="24" t="str">
        <x:v>engraulidae</x:v>
      </x:c>
      <x:c r="O50" s="32" t="n">
        <x:v>3.2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Engraulidae</x:v>
      </x:c>
      <x:c r="T50" s="32" t="n">
        <x:f>IF(O50="","",(1/'Metadata'!$B$5)^(O50-1))</x:f>
        <x:v>158.48931924611142</x:v>
      </x:c>
      <x:c r="U50" s="31" t="n">
        <x:f>IF(T50="","",I50*T50)</x:f>
        <x:v>1083.3695289388272</x:v>
      </x:c>
    </x:row>
    <x:row r="51" ht="18" customHeight="1">
      <x:c r="A51" s="24" t="str">
        <x:v>EEZ_175</x:v>
      </x:c>
      <x:c r="B51" s="24" t="str">
        <x:v>Mayotte (France)</x:v>
      </x:c>
      <x:c r="C51" s="24" t="str">
        <x:v>EEZ</x:v>
      </x:c>
      <x:c r="D51" s="30" t="n">
        <x:v>2019</x:v>
      </x:c>
      <x:c r="E51" s="24" t="str">
        <x:v>Lethrinus variegatus</x:v>
      </x:c>
      <x:c r="F51" s="24" t="str">
        <x:v>Slender emperor</x:v>
      </x:c>
      <x:c r="G51" s="24" t="str">
        <x:v>Small reef assoc. fish (&lt;30 cm)</x:v>
      </x:c>
      <x:c r="H51" s="24" t="str">
        <x:v>Perch-likes</x:v>
      </x:c>
      <x:c r="I51" s="31" t="n">
        <x:v>6.5268070071999995</x:v>
      </x:c>
      <x:c r="J51" s="31" t="n">
        <x:v>6.5268070071999995</x:v>
      </x:c>
      <x:c r="K51" s="31" t="n">
        <x:v>0</x:v>
      </x:c>
      <x:c r="L51" s="31" t="n">
        <x:v>1.1636740414</x:v>
      </x:c>
      <x:c r="M51" s="31" t="n">
        <x:v>5.3631329658</x:v>
      </x:c>
      <x:c r="N51" s="24" t="str">
        <x:v>lethrinus variegatus</x:v>
      </x:c>
      <x:c r="O51" s="32" t="n">
        <x:v>3.84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Lethrinus variegatus</x:v>
      </x:c>
      <x:c r="T51" s="32" t="n">
        <x:f>IF(O51="","",(1/'Metadata'!$B$5)^(O51-1))</x:f>
        <x:v>691.8309709189363</x:v>
      </x:c>
      <x:c r="U51" s="31" t="n">
        <x:f>IF(T51="","",I51*T51)</x:f>
        <x:v>4515.447228791692</x:v>
      </x:c>
    </x:row>
    <x:row r="52" ht="18" customHeight="1">
      <x:c r="A52" s="24" t="str">
        <x:v>EEZ_175</x:v>
      </x:c>
      <x:c r="B52" s="24" t="str">
        <x:v>Mayotte (France)</x:v>
      </x:c>
      <x:c r="C52" s="24" t="str">
        <x:v>EEZ</x:v>
      </x:c>
      <x:c r="D52" s="30" t="n">
        <x:v>2019</x:v>
      </x:c>
      <x:c r="E52" s="24" t="str">
        <x:v>Carcharhinidae</x:v>
      </x:c>
      <x:c r="F52" s="24" t="str">
        <x:v>Requiem sharks</x:v>
      </x:c>
      <x:c r="G52" s="24" t="str">
        <x:v>Large sharks (&gt;=90 cm)</x:v>
      </x:c>
      <x:c r="H52" s="24" t="str">
        <x:v>Sharks &amp; rays</x:v>
      </x:c>
      <x:c r="I52" s="31" t="n">
        <x:v>6.223806377400001</x:v>
      </x:c>
      <x:c r="J52" s="31" t="n">
        <x:v>6.223806377400001</x:v>
      </x:c>
      <x:c r="K52" s="31" t="n">
        <x:v>0</x:v>
      </x:c>
      <x:c r="L52" s="31" t="n">
        <x:v>0.3824888072</x:v>
      </x:c>
      <x:c r="M52" s="31" t="n">
        <x:v>5.8413175702</x:v>
      </x:c>
      <x:c r="N52" s="24" t="str">
        <x:v>carcharhinidae</x:v>
      </x:c>
      <x:c r="O52" s="32" t="n">
        <x:v>4.24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Carcharhinidae</x:v>
      </x:c>
      <x:c r="T52" s="32" t="n">
        <x:f>IF(O52="","",(1/'Metadata'!$B$5)^(O52-1))</x:f>
        <x:v>1737.8008287493763</x:v>
      </x:c>
      <x:c r="U52" s="31" t="n">
        <x:f>IF(T52="","",I52*T52)</x:f>
        <x:v>10815.735880621374</x:v>
      </x:c>
    </x:row>
    <x:row r="53" ht="18" customHeight="1">
      <x:c r="A53" s="24" t="str">
        <x:v>EEZ_175</x:v>
      </x:c>
      <x:c r="B53" s="24" t="str">
        <x:v>Mayotte (France)</x:v>
      </x:c>
      <x:c r="C53" s="24" t="str">
        <x:v>EEZ</x:v>
      </x:c>
      <x:c r="D53" s="30" t="n">
        <x:v>2019</x:v>
      </x:c>
      <x:c r="E53" s="24" t="str">
        <x:v>Istiophorus platypterus</x:v>
      </x:c>
      <x:c r="F53" s="24" t="str">
        <x:v>Indo-Pacific sailfish</x:v>
      </x:c>
      <x:c r="G53" s="24" t="str">
        <x:v>Large pelagics (&gt;=90 cm)</x:v>
      </x:c>
      <x:c r="H53" s="24" t="str">
        <x:v>Tuna &amp; billfishes</x:v>
      </x:c>
      <x:c r="I53" s="31" t="n">
        <x:v>6.0907756862</x:v>
      </x:c>
      <x:c r="J53" s="31" t="n">
        <x:v>6.0907756862</x:v>
      </x:c>
      <x:c r="K53" s="31" t="n">
        <x:v>0</x:v>
      </x:c>
      <x:c r="L53" s="31" t="n">
        <x:v>0.0023175574</x:v>
      </x:c>
      <x:c r="M53" s="31" t="n">
        <x:v>6.0884581288</x:v>
      </x:c>
      <x:c r="N53" s="24" t="str">
        <x:v>istiophorus platypterus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Istiophorus platypterus</x:v>
      </x:c>
      <x:c r="T53" s="32" t="n">
        <x:f>IF(O53="","",(1/'Metadata'!$B$5)^(O53-1))</x:f>
        <x:v>3162.2776601683795</x:v>
      </x:c>
      <x:c r="U53" s="31" t="n">
        <x:f>IF(T53="","",I53*T53)</x:f>
        <x:v>19260.723885566993</x:v>
      </x:c>
    </x:row>
    <x:row r="54" ht="18" customHeight="1">
      <x:c r="A54" s="24" t="str">
        <x:v>EEZ_175</x:v>
      </x:c>
      <x:c r="B54" s="24" t="str">
        <x:v>Mayotte (France)</x:v>
      </x:c>
      <x:c r="C54" s="24" t="str">
        <x:v>EEZ</x:v>
      </x:c>
      <x:c r="D54" s="30" t="n">
        <x:v>2019</x:v>
      </x:c>
      <x:c r="E54" s="24" t="str">
        <x:v>Macolor niger</x:v>
      </x:c>
      <x:c r="F54" s="24" t="str">
        <x:v>Black and white snapper</x:v>
      </x:c>
      <x:c r="G54" s="24" t="str">
        <x:v>Medium reef assoc. fish (30 - 89 cm)</x:v>
      </x:c>
      <x:c r="H54" s="24" t="str">
        <x:v>Perch-likes</x:v>
      </x:c>
      <x:c r="I54" s="31" t="n">
        <x:v>5.9432249987</x:v>
      </x:c>
      <x:c r="J54" s="31" t="n">
        <x:v>5.9432249987</x:v>
      </x:c>
      <x:c r="K54" s="31" t="n">
        <x:v>0</x:v>
      </x:c>
      <x:c r="L54" s="31" t="n">
        <x:v>0.8756912424000001</x:v>
      </x:c>
      <x:c r="M54" s="31" t="n">
        <x:v>5.0675337563000005</x:v>
      </x:c>
      <x:c r="N54" s="24" t="str">
        <x:v>macolor niger</x:v>
      </x:c>
      <x:c r="O54" s="32" t="n">
        <x:v>4.01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Macolor niger</x:v>
      </x:c>
      <x:c r="T54" s="32" t="n">
        <x:f>IF(O54="","",(1/'Metadata'!$B$5)^(O54-1))</x:f>
        <x:v>1023.2929922807537</x:v>
      </x:c>
      <x:c r="U54" s="31" t="n">
        <x:f>IF(T54="","",I54*T54)</x:f>
        <x:v>6081.660492717501</x:v>
      </x:c>
    </x:row>
    <x:row r="55" ht="18" customHeight="1">
      <x:c r="A55" s="24" t="str">
        <x:v>EEZ_175</x:v>
      </x:c>
      <x:c r="B55" s="24" t="str">
        <x:v>Mayotte (France)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5.857335562699999</x:v>
      </x:c>
      <x:c r="J55" s="31" t="n">
        <x:v>5.857335562699999</x:v>
      </x:c>
      <x:c r="K55" s="31" t="n">
        <x:v>0</x:v>
      </x:c>
      <x:c r="L55" s="31" t="n">
        <x:v>0</x:v>
      </x:c>
      <x:c r="M55" s="31" t="n">
        <x:v>5.857335562699999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6572.038594388572</x:v>
      </x:c>
    </x:row>
    <x:row r="56" ht="18" customHeight="1">
      <x:c r="A56" s="24" t="str">
        <x:v>EEZ_175</x:v>
      </x:c>
      <x:c r="B56" s="24" t="str">
        <x:v>Mayotte (France)</x:v>
      </x:c>
      <x:c r="C56" s="24" t="str">
        <x:v>EEZ</x:v>
      </x:c>
      <x:c r="D56" s="30" t="n">
        <x:v>2019</x:v>
      </x:c>
      <x:c r="E56" s="24" t="str">
        <x:v>Lethrinus lentjan</x:v>
      </x:c>
      <x:c r="F56" s="24" t="str">
        <x:v>Pink ear emperor</x:v>
      </x:c>
      <x:c r="G56" s="24" t="str">
        <x:v>Medium demersals (30 - 89 cm)</x:v>
      </x:c>
      <x:c r="H56" s="24" t="str">
        <x:v>Perch-likes</x:v>
      </x:c>
      <x:c r="I56" s="31" t="n">
        <x:v>5.4793054897</x:v>
      </x:c>
      <x:c r="J56" s="31" t="n">
        <x:v>5.4793054897</x:v>
      </x:c>
      <x:c r="K56" s="31" t="n">
        <x:v>0</x:v>
      </x:c>
      <x:c r="L56" s="31" t="n">
        <x:v>0.6883921833</x:v>
      </x:c>
      <x:c r="M56" s="31" t="n">
        <x:v>4.7909133064</x:v>
      </x:c>
      <x:c r="N56" s="24" t="str">
        <x:v>lethrinus lentjan</x:v>
      </x:c>
      <x:c r="O56" s="32" t="n">
        <x:v>3.94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Lethrinus lentjan</x:v>
      </x:c>
      <x:c r="T56" s="32" t="n">
        <x:f>IF(O56="","",(1/'Metadata'!$B$5)^(O56-1))</x:f>
        <x:v>870.9635899560806</x:v>
      </x:c>
      <x:c r="U56" s="31" t="n">
        <x:f>IF(T56="","",I56*T56)</x:f>
        <x:v>4772.2755797751715</x:v>
      </x:c>
    </x:row>
    <x:row r="57" ht="18" customHeight="1">
      <x:c r="A57" s="24" t="str">
        <x:v>EEZ_175</x:v>
      </x:c>
      <x:c r="B57" s="24" t="str">
        <x:v>Mayotte (France)</x:v>
      </x:c>
      <x:c r="C57" s="24" t="str">
        <x:v>EEZ</x:v>
      </x:c>
      <x:c r="D57" s="30" t="n">
        <x:v>2019</x:v>
      </x:c>
      <x:c r="E57" s="24" t="str">
        <x:v>Lethrinus mahsena</x:v>
      </x:c>
      <x:c r="F57" s="24" t="str">
        <x:v>Sky emperor</x:v>
      </x:c>
      <x:c r="G57" s="24" t="str">
        <x:v>Medium reef assoc. fish (30 - 89 cm)</x:v>
      </x:c>
      <x:c r="H57" s="24" t="str">
        <x:v>Perch-likes</x:v>
      </x:c>
      <x:c r="I57" s="31" t="n">
        <x:v>4.9466562857000005</x:v>
      </x:c>
      <x:c r="J57" s="31" t="n">
        <x:v>4.9466562857000005</x:v>
      </x:c>
      <x:c r="K57" s="31" t="n">
        <x:v>0</x:v>
      </x:c>
      <x:c r="L57" s="31" t="n">
        <x:v>0.8361945328</x:v>
      </x:c>
      <x:c r="M57" s="31" t="n">
        <x:v>4.1104617529</x:v>
      </x:c>
      <x:c r="N57" s="24" t="str">
        <x:v>lethrinus mahsena</x:v>
      </x:c>
      <x:c r="O57" s="32" t="n">
        <x:v>3.43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mahsena</x:v>
      </x:c>
      <x:c r="T57" s="32" t="n">
        <x:f>IF(O57="","",(1/'Metadata'!$B$5)^(O57-1))</x:f>
        <x:v>269.1534803926917</x:v>
      </x:c>
      <x:c r="U57" s="31" t="n">
        <x:f>IF(T57="","",I57*T57)</x:f>
        <x:v>1331.4097556025401</x:v>
      </x:c>
    </x:row>
    <x:row r="58" ht="18" customHeight="1">
      <x:c r="A58" s="24" t="str">
        <x:v>EEZ_175</x:v>
      </x:c>
      <x:c r="B58" s="24" t="str">
        <x:v>Mayotte (France)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4.840103997</x:v>
      </x:c>
      <x:c r="J58" s="31" t="n">
        <x:v>4.840103997</x:v>
      </x:c>
      <x:c r="K58" s="31" t="n">
        <x:v>0</x:v>
      </x:c>
      <x:c r="L58" s="31" t="n">
        <x:v>0</x:v>
      </x:c>
      <x:c r="M58" s="31" t="n">
        <x:v>4.840103997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60.933299175498206</x:v>
      </x:c>
    </x:row>
    <x:row r="59" ht="18" customHeight="1">
      <x:c r="A59" s="24" t="str">
        <x:v>EEZ_175</x:v>
      </x:c>
      <x:c r="B59" s="24" t="str">
        <x:v>Mayotte (France)</x:v>
      </x:c>
      <x:c r="C59" s="24" t="str">
        <x:v>EEZ</x:v>
      </x:c>
      <x:c r="D59" s="30" t="n">
        <x:v>2019</x:v>
      </x:c>
      <x:c r="E59" s="24" t="str">
        <x:v>Kyphosus cinerascens</x:v>
      </x:c>
      <x:c r="F59" s="24" t="str">
        <x:v>Blue sea chub</x:v>
      </x:c>
      <x:c r="G59" s="24" t="str">
        <x:v>Medium reef assoc. fish (30 - 89 cm)</x:v>
      </x:c>
      <x:c r="H59" s="24" t="str">
        <x:v>Perch-likes</x:v>
      </x:c>
      <x:c r="I59" s="31" t="n">
        <x:v>4.7825560016</x:v>
      </x:c>
      <x:c r="J59" s="31" t="n">
        <x:v>4.7825560016</x:v>
      </x:c>
      <x:c r="K59" s="31" t="n">
        <x:v>0</x:v>
      </x:c>
      <x:c r="L59" s="31" t="n">
        <x:v>0.5702004392</x:v>
      </x:c>
      <x:c r="M59" s="31" t="n">
        <x:v>4.2123555624</x:v>
      </x:c>
      <x:c r="N59" s="24" t="str">
        <x:v>kyphosus cinerascens</x:v>
      </x:c>
      <x:c r="O59" s="32" t="n">
        <x:v>2.85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Kyphosus cinerascens</x:v>
      </x:c>
      <x:c r="T59" s="32" t="n">
        <x:f>IF(O59="","",(1/'Metadata'!$B$5)^(O59-1))</x:f>
        <x:v>70.79457843841381</x:v>
      </x:c>
      <x:c r="U59" s="31" t="n">
        <x:f>IF(T59="","",I59*T59)</x:f>
        <x:v>338.5790359913779</x:v>
      </x:c>
    </x:row>
    <x:row r="60" ht="18" customHeight="1">
      <x:c r="A60" s="24" t="str">
        <x:v>EEZ_175</x:v>
      </x:c>
      <x:c r="B60" s="24" t="str">
        <x:v>Mayotte (France)</x:v>
      </x:c>
      <x:c r="C60" s="24" t="str">
        <x:v>EEZ</x:v>
      </x:c>
      <x:c r="D60" s="30" t="n">
        <x:v>2019</x:v>
      </x:c>
      <x:c r="E60" s="24" t="str">
        <x:v>Lethrinus nebulosus</x:v>
      </x:c>
      <x:c r="F60" s="24" t="str">
        <x:v>Spangled emperor</x:v>
      </x:c>
      <x:c r="G60" s="24" t="str">
        <x:v>Medium demersals (30 - 89 cm)</x:v>
      </x:c>
      <x:c r="H60" s="24" t="str">
        <x:v>Perch-likes</x:v>
      </x:c>
      <x:c r="I60" s="31" t="n">
        <x:v>4.6656458269000005</x:v>
      </x:c>
      <x:c r="J60" s="31" t="n">
        <x:v>4.6656458269000005</x:v>
      </x:c>
      <x:c r="K60" s="31" t="n">
        <x:v>0</x:v>
      </x:c>
      <x:c r="L60" s="31" t="n">
        <x:v>0.6835783651</x:v>
      </x:c>
      <x:c r="M60" s="31" t="n">
        <x:v>3.9820674618</x:v>
      </x:c>
      <x:c r="N60" s="24" t="str">
        <x:v>lethrinus nebulosus</x:v>
      </x:c>
      <x:c r="O60" s="32" t="n">
        <x:v>3.76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Lethrinus nebulosus</x:v>
      </x:c>
      <x:c r="T60" s="32" t="n">
        <x:f>IF(O60="","",(1/'Metadata'!$B$5)^(O60-1))</x:f>
        <x:v>575.4399373371566</x:v>
      </x:c>
      <x:c r="U60" s="31" t="n">
        <x:f>IF(T60="","",I60*T60)</x:f>
        <x:v>2684.7989422687024</x:v>
      </x:c>
    </x:row>
    <x:row r="61" ht="18" customHeight="1">
      <x:c r="A61" s="24" t="str">
        <x:v>EEZ_175</x:v>
      </x:c>
      <x:c r="B61" s="24" t="str">
        <x:v>Mayotte (France)</x:v>
      </x:c>
      <x:c r="C61" s="24" t="str">
        <x:v>EEZ</x:v>
      </x:c>
      <x:c r="D61" s="30" t="n">
        <x:v>2019</x:v>
      </x:c>
      <x:c r="E61" s="24" t="str">
        <x:v>Lethrinus harak</x:v>
      </x:c>
      <x:c r="F61" s="24" t="str">
        <x:v>Thumbprint emperor</x:v>
      </x:c>
      <x:c r="G61" s="24" t="str">
        <x:v>Medium reef assoc. fish (30 - 89 cm)</x:v>
      </x:c>
      <x:c r="H61" s="24" t="str">
        <x:v>Perch-likes</x:v>
      </x:c>
      <x:c r="I61" s="31" t="n">
        <x:v>4.2149257364</x:v>
      </x:c>
      <x:c r="J61" s="31" t="n">
        <x:v>4.2149257364</x:v>
      </x:c>
      <x:c r="K61" s="31" t="n">
        <x:v>0</x:v>
      </x:c>
      <x:c r="L61" s="31" t="n">
        <x:v>0.685875556</x:v>
      </x:c>
      <x:c r="M61" s="31" t="n">
        <x:v>3.5290501803999996</x:v>
      </x:c>
      <x:c r="N61" s="24" t="str">
        <x:v>lethrinus harak</x:v>
      </x:c>
      <x:c r="O61" s="32" t="n">
        <x:v>3.59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Lethrinus harak</x:v>
      </x:c>
      <x:c r="T61" s="32" t="n">
        <x:f>IF(O61="","",(1/'Metadata'!$B$5)^(O61-1))</x:f>
        <x:v>389.04514499428046</x:v>
      </x:c>
      <x:c r="U61" s="31" t="n">
        <x:f>IF(T61="","",I61*T61)</x:f>
        <x:v>1639.7963942578622</x:v>
      </x:c>
    </x:row>
    <x:row r="62" ht="18" customHeight="1">
      <x:c r="A62" s="24" t="str">
        <x:v>EEZ_175</x:v>
      </x:c>
      <x:c r="B62" s="24" t="str">
        <x:v>Mayotte (France)</x:v>
      </x:c>
      <x:c r="C62" s="24" t="str">
        <x:v>EEZ</x:v>
      </x:c>
      <x:c r="D62" s="30" t="n">
        <x:v>2019</x:v>
      </x:c>
      <x:c r="E62" s="24" t="str">
        <x:v>Istiophoridae</x:v>
      </x:c>
      <x:c r="F62" s="24" t="str">
        <x:v>Billfishes</x:v>
      </x:c>
      <x:c r="G62" s="24" t="str">
        <x:v>Large pelagics (&gt;=90 cm)</x:v>
      </x:c>
      <x:c r="H62" s="24" t="str">
        <x:v>Tuna &amp; billfishes</x:v>
      </x:c>
      <x:c r="I62" s="31" t="n">
        <x:v>3.7690295701</x:v>
      </x:c>
      <x:c r="J62" s="31" t="n">
        <x:v>3.7690295701</x:v>
      </x:c>
      <x:c r="K62" s="31" t="n">
        <x:v>0</x:v>
      </x:c>
      <x:c r="L62" s="31" t="n">
        <x:v>0</x:v>
      </x:c>
      <x:c r="M62" s="31" t="n">
        <x:v>3.7690295701</x:v>
      </x:c>
      <x:c r="N62" s="24" t="str">
        <x:v>istiophoridae</x:v>
      </x:c>
      <x:c r="O62" s="32" t="n">
        <x:v>4.48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Istiophoridae</x:v>
      </x:c>
      <x:c r="T62" s="32" t="n">
        <x:f>IF(O62="","",(1/'Metadata'!$B$5)^(O62-1))</x:f>
        <x:v>3019.951720402019</x:v>
      </x:c>
      <x:c r="U62" s="31" t="n">
        <x:f>IF(T62="","",I62*T62)</x:f>
        <x:v>11382.287334469576</x:v>
      </x:c>
    </x:row>
    <x:row r="63" ht="18" customHeight="1">
      <x:c r="A63" s="24" t="str">
        <x:v>EEZ_175</x:v>
      </x:c>
      <x:c r="B63" s="24" t="str">
        <x:v>Mayotte (France)</x:v>
      </x:c>
      <x:c r="C63" s="24" t="str">
        <x:v>EEZ</x:v>
      </x:c>
      <x:c r="D63" s="30" t="n">
        <x:v>2019</x:v>
      </x:c>
      <x:c r="E63" s="24" t="str">
        <x:v>Aethaloperca rogaa</x:v>
      </x:c>
      <x:c r="F63" s="24" t="str">
        <x:v>Redmouth grouper</x:v>
      </x:c>
      <x:c r="G63" s="24" t="str">
        <x:v>Medium reef assoc. fish (30 - 89 cm)</x:v>
      </x:c>
      <x:c r="H63" s="24" t="str">
        <x:v>Perch-likes</x:v>
      </x:c>
      <x:c r="I63" s="31" t="n">
        <x:v>2.7573624468999998</x:v>
      </x:c>
      <x:c r="J63" s="31" t="n">
        <x:v>2.7573624468999998</x:v>
      </x:c>
      <x:c r="K63" s="31" t="n">
        <x:v>0</x:v>
      </x:c>
      <x:c r="L63" s="31" t="n">
        <x:v>0.3649616449</x:v>
      </x:c>
      <x:c r="M63" s="31" t="n">
        <x:v>2.392400802</x:v>
      </x:c>
      <x:c r="N63" s="24" t="str">
        <x:v>aethaloperca rogaa</x:v>
      </x:c>
      <x:c r="O63" s="32" t="n">
        <x:v>4.2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Aethaloperca rogaa</x:v>
      </x:c>
      <x:c r="T63" s="32" t="n">
        <x:f>IF(O63="","",(1/'Metadata'!$B$5)^(O63-1))</x:f>
        <x:v>1584.893192461114</x:v>
      </x:c>
      <x:c r="U63" s="31" t="n">
        <x:f>IF(T63="","",I63*T63)</x:f>
        <x:v>4370.124971239729</x:v>
      </x:c>
    </x:row>
    <x:row r="64" ht="18" customHeight="1">
      <x:c r="A64" s="24" t="str">
        <x:v>EEZ_175</x:v>
      </x:c>
      <x:c r="B64" s="24" t="str">
        <x:v>Mayotte (France)</x:v>
      </x:c>
      <x:c r="C64" s="24" t="str">
        <x:v>EEZ</x:v>
      </x:c>
      <x:c r="D64" s="30" t="n">
        <x:v>2019</x:v>
      </x:c>
      <x:c r="E64" s="24" t="str">
        <x:v>Haemulidae</x:v>
      </x:c>
      <x:c r="F64" s="24" t="str">
        <x:v>Grunts, sweetlips, bonnetmouths</x:v>
      </x:c>
      <x:c r="G64" s="24" t="str">
        <x:v>Medium demersals (30 - 89 cm)</x:v>
      </x:c>
      <x:c r="H64" s="24" t="str">
        <x:v>Perch-likes</x:v>
      </x:c>
      <x:c r="I64" s="31" t="n">
        <x:v>2.7263774373</x:v>
      </x:c>
      <x:c r="J64" s="31" t="n">
        <x:v>2.7263774373</x:v>
      </x:c>
      <x:c r="K64" s="31" t="n">
        <x:v>0</x:v>
      </x:c>
      <x:c r="L64" s="31" t="n">
        <x:v>0.2178041506</x:v>
      </x:c>
      <x:c r="M64" s="31" t="n">
        <x:v>2.5085732867</x:v>
      </x:c>
      <x:c r="N64" s="24" t="str">
        <x:v>haemulidae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Haemulidae</x:v>
      </x:c>
      <x:c r="T64" s="32" t="n">
        <x:f>IF(O64="","",(1/'Metadata'!$B$5)^(O64-1))</x:f>
        <x:v>229.08676527677724</x:v>
      </x:c>
      <x:c r="U64" s="31" t="n">
        <x:f>IF(T64="","",I64*T64)</x:f>
        <x:v>624.5769880346465</x:v>
      </x:c>
    </x:row>
    <x:row r="65" ht="18" customHeight="1">
      <x:c r="A65" s="24" t="str">
        <x:v>EEZ_175</x:v>
      </x:c>
      <x:c r="B65" s="24" t="str">
        <x:v>Mayotte (France)</x:v>
      </x:c>
      <x:c r="C65" s="24" t="str">
        <x:v>EEZ</x:v>
      </x:c>
      <x:c r="D65" s="30" t="n">
        <x:v>2019</x:v>
      </x:c>
      <x:c r="E65" s="24" t="str">
        <x:v>Echeneidae</x:v>
      </x:c>
      <x:c r="F65" s="24" t="str">
        <x:v>Remoras</x:v>
      </x:c>
      <x:c r="G65" s="24" t="str">
        <x:v>Large pelagics (&gt;=90 cm)</x:v>
      </x:c>
      <x:c r="H65" s="24" t="str">
        <x:v>Perch-likes</x:v>
      </x:c>
      <x:c r="I65" s="31" t="n">
        <x:v>2.5407503319</x:v>
      </x:c>
      <x:c r="J65" s="31" t="n">
        <x:v>2.5407503319</x:v>
      </x:c>
      <x:c r="K65" s="31" t="n">
        <x:v>0</x:v>
      </x:c>
      <x:c r="L65" s="31" t="n">
        <x:v>0.2262324622</x:v>
      </x:c>
      <x:c r="M65" s="31" t="n">
        <x:v>2.3145178697</x:v>
      </x:c>
      <x:c r="N65" s="24" t="str">
        <x:v>echeneidae</x:v>
      </x:c>
      <x:c r="O65" s="32" t="n">
        <x:v>3.22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Echeneidae</x:v>
      </x:c>
      <x:c r="T65" s="32" t="n">
        <x:f>IF(O65="","",(1/'Metadata'!$B$5)^(O65-1))</x:f>
        <x:v>165.95869074375614</x:v>
      </x:c>
      <x:c r="U65" s="31" t="n">
        <x:f>IF(T65="","",I65*T65)</x:f>
        <x:v>421.6595985888879</x:v>
      </x:c>
    </x:row>
    <x:row r="66" ht="18" customHeight="1">
      <x:c r="A66" s="24" t="str">
        <x:v>EEZ_175</x:v>
      </x:c>
      <x:c r="B66" s="24" t="str">
        <x:v>Mayotte (France)</x:v>
      </x:c>
      <x:c r="C66" s="24" t="str">
        <x:v>EEZ</x:v>
      </x:c>
      <x:c r="D66" s="30" t="n">
        <x:v>2019</x:v>
      </x:c>
      <x:c r="E66" s="24" t="str">
        <x:v>Chirocentrus dorab</x:v>
      </x:c>
      <x:c r="F66" s="24" t="str">
        <x:v>Dorab wolf-herring</x:v>
      </x:c>
      <x:c r="G66" s="24" t="str">
        <x:v>Large benthopelagics (&gt;=90 cm)</x:v>
      </x:c>
      <x:c r="H66" s="24" t="str">
        <x:v>Herring-likes</x:v>
      </x:c>
      <x:c r="I66" s="31" t="n">
        <x:v>2.0026086153</x:v>
      </x:c>
      <x:c r="J66" s="31" t="n">
        <x:v>2.0026086153</x:v>
      </x:c>
      <x:c r="K66" s="31" t="n">
        <x:v>0</x:v>
      </x:c>
      <x:c r="L66" s="31" t="n">
        <x:v>0.3746199358</x:v>
      </x:c>
      <x:c r="M66" s="31" t="n">
        <x:v>1.6279886795</x:v>
      </x:c>
      <x:c r="N66" s="24" t="str">
        <x:v>chirocentrus dorab</x:v>
      </x:c>
      <x:c r="O66" s="32" t="n">
        <x:v>4.2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Chirocentrus dorab</x:v>
      </x:c>
      <x:c r="T66" s="32" t="n">
        <x:f>IF(O66="","",(1/'Metadata'!$B$5)^(O66-1))</x:f>
        <x:v>1584.893192461114</x:v>
      </x:c>
      <x:c r="U66" s="31" t="n">
        <x:f>IF(T66="","",I66*T66)</x:f>
        <x:v>3173.9207615529476</x:v>
      </x:c>
    </x:row>
    <x:row r="67" ht="18" customHeight="1">
      <x:c r="A67" s="24" t="str">
        <x:v>EEZ_175</x:v>
      </x:c>
      <x:c r="B67" s="24" t="str">
        <x:v>Mayotte (France)</x:v>
      </x:c>
      <x:c r="C67" s="24" t="str">
        <x:v>EEZ</x:v>
      </x:c>
      <x:c r="D67" s="30" t="n">
        <x:v>2019</x:v>
      </x:c>
      <x:c r="E67" s="24" t="str">
        <x:v>Gymnosarda unicolor</x:v>
      </x:c>
      <x:c r="F67" s="24" t="str">
        <x:v>Dogtooth tuna</x:v>
      </x:c>
      <x:c r="G67" s="24" t="str">
        <x:v>Large reef assoc. fish (&gt;=90 cm)</x:v>
      </x:c>
      <x:c r="H67" s="24" t="str">
        <x:v>Tuna &amp; billfishes</x:v>
      </x:c>
      <x:c r="I67" s="31" t="n">
        <x:v>1.9125073002</x:v>
      </x:c>
      <x:c r="J67" s="31" t="n">
        <x:v>1.9125073002</x:v>
      </x:c>
      <x:c r="K67" s="31" t="n">
        <x:v>0</x:v>
      </x:c>
      <x:c r="L67" s="31" t="n">
        <x:v>0</x:v>
      </x:c>
      <x:c r="M67" s="31" t="n">
        <x:v>1.9125073002</x:v>
      </x:c>
      <x:c r="N67" s="24" t="str">
        <x:v>gymnosarda unicolor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Gymnosarda unicolor</x:v>
      </x:c>
      <x:c r="T67" s="32" t="n">
        <x:f>IF(O67="","",(1/'Metadata'!$B$5)^(O67-1))</x:f>
        <x:v>3162.2776601683795</x:v>
      </x:c>
      <x:c r="U67" s="31" t="n">
        <x:f>IF(T67="","",I67*T67)</x:f>
        <x:v>6047.879110331401</x:v>
      </x:c>
    </x:row>
    <x:row r="68" ht="18" customHeight="1">
      <x:c r="A68" s="24" t="str">
        <x:v>EEZ_175</x:v>
      </x:c>
      <x:c r="B68" s="24" t="str">
        <x:v>Mayotte (France)</x:v>
      </x:c>
      <x:c r="C68" s="24" t="str">
        <x:v>EEZ</x:v>
      </x:c>
      <x:c r="D68" s="30" t="n">
        <x:v>2019</x:v>
      </x:c>
      <x:c r="E68" s="24" t="str">
        <x:v>Cephalopoda</x:v>
      </x:c>
      <x:c r="F68" s="24" t="str">
        <x:v>Squids, cuttlefishes, octopuses</x:v>
      </x:c>
      <x:c r="G68" s="24" t="str">
        <x:v>Cephalopods</x:v>
      </x:c>
      <x:c r="H68" s="24" t="str">
        <x:v>Other fishes &amp; inverts</x:v>
      </x:c>
      <x:c r="I68" s="31" t="n">
        <x:v>1.7354971311</x:v>
      </x:c>
      <x:c r="J68" s="31" t="n">
        <x:v>1.7354971311</x:v>
      </x:c>
      <x:c r="K68" s="31" t="n">
        <x:v>0</x:v>
      </x:c>
      <x:c r="L68" s="31" t="n">
        <x:v>0.2662595786</x:v>
      </x:c>
      <x:c r="M68" s="31" t="n">
        <x:v>1.4692375525</x:v>
      </x:c>
      <x:c r="N68" s="24" t="str">
        <x:v>cephalopoda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Cephalopoda</x:v>
      </x:c>
      <x:c r="T68" s="32" t="n">
        <x:f>IF(O68="","",(1/'Metadata'!$B$5)^(O68-1))</x:f>
        <x:v>645.6542290346556</x:v>
      </x:c>
      <x:c r="U68" s="31" t="n">
        <x:f>IF(T68="","",I68*T68)</x:f>
        <x:v>1120.5310621722272</x:v>
      </x:c>
    </x:row>
    <x:row r="69" ht="18" customHeight="1">
      <x:c r="A69" s="24" t="str">
        <x:v>EEZ_175</x:v>
      </x:c>
      <x:c r="B69" s="24" t="str">
        <x:v>Mayotte (France)</x:v>
      </x:c>
      <x:c r="C69" s="24" t="str">
        <x:v>EEZ</x:v>
      </x:c>
      <x:c r="D69" s="30" t="n">
        <x:v>2019</x:v>
      </x:c>
      <x:c r="E69" s="24" t="str">
        <x:v>Etelis coruscans</x:v>
      </x:c>
      <x:c r="F69" s="24" t="str">
        <x:v>Deepwater longtail red snapper</x:v>
      </x:c>
      <x:c r="G69" s="24" t="str">
        <x:v>Large bathydemersals (&gt;=90 cm)</x:v>
      </x:c>
      <x:c r="H69" s="24" t="str">
        <x:v>Perch-likes</x:v>
      </x:c>
      <x:c r="I69" s="31" t="n">
        <x:v>1.4194264925</x:v>
      </x:c>
      <x:c r="J69" s="31" t="n">
        <x:v>1.4194264925</x:v>
      </x:c>
      <x:c r="K69" s="31" t="n">
        <x:v>0</x:v>
      </x:c>
      <x:c r="L69" s="31" t="n">
        <x:v>0.2668089273</x:v>
      </x:c>
      <x:c r="M69" s="31" t="n">
        <x:v>1.1526175652</x:v>
      </x:c>
      <x:c r="N69" s="24" t="str">
        <x:v>etelis coruscans</x:v>
      </x:c>
      <x:c r="O69" s="32" t="n">
        <x:v>4.42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Etelis coruscans</x:v>
      </x:c>
      <x:c r="T69" s="32" t="n">
        <x:f>IF(O69="","",(1/'Metadata'!$B$5)^(O69-1))</x:f>
        <x:v>2630.2679918953813</x:v>
      </x:c>
      <x:c r="U69" s="31" t="n">
        <x:f>IF(T69="","",I69*T69)</x:f>
        <x:v>3733.4720700710795</x:v>
      </x:c>
    </x:row>
    <x:row r="70" ht="18" customHeight="1">
      <x:c r="A70" s="24" t="str">
        <x:v>EEZ_175</x:v>
      </x:c>
      <x:c r="B70" s="24" t="str">
        <x:v>Mayotte (France)</x:v>
      </x:c>
      <x:c r="C70" s="24" t="str">
        <x:v>EEZ</x:v>
      </x:c>
      <x:c r="D70" s="30" t="n">
        <x:v>2019</x:v>
      </x:c>
      <x:c r="E70" s="24" t="str">
        <x:v>Nemipterus</x:v>
      </x:c>
      <x:c r="F70" s="24" t="str">
        <x:v>Threadfin breams</x:v>
      </x:c>
      <x:c r="G70" s="24" t="str">
        <x:v>Small demersals (&lt;30 cm)</x:v>
      </x:c>
      <x:c r="H70" s="24" t="str">
        <x:v>Perch-likes</x:v>
      </x:c>
      <x:c r="I70" s="31" t="n">
        <x:v>1.3554607102</x:v>
      </x:c>
      <x:c r="J70" s="31" t="n">
        <x:v>1.3554607102</x:v>
      </x:c>
      <x:c r="K70" s="31" t="n">
        <x:v>0</x:v>
      </x:c>
      <x:c r="L70" s="31" t="n">
        <x:v>0.12017206019999999</x:v>
      </x:c>
      <x:c r="M70" s="31" t="n">
        <x:v>1.23528865</x:v>
      </x:c>
      <x:c r="N70" s="24" t="str">
        <x:v>nemipterus</x:v>
      </x:c>
      <x:c r="O70" s="32" t="n">
        <x:v>3.72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Nemipterus</x:v>
      </x:c>
      <x:c r="T70" s="32" t="n">
        <x:f>IF(O70="","",(1/'Metadata'!$B$5)^(O70-1))</x:f>
        <x:v>524.8074602497728</x:v>
      </x:c>
      <x:c r="U70" s="31" t="n">
        <x:f>IF(T70="","",I70*T70)</x:f>
        <x:v>711.3558927884153</x:v>
      </x:c>
    </x:row>
    <x:row r="71" ht="18" customHeight="1">
      <x:c r="A71" s="24" t="str">
        <x:v>EEZ_175</x:v>
      </x:c>
      <x:c r="B71" s="24" t="str">
        <x:v>Mayotte (France)</x:v>
      </x:c>
      <x:c r="C71" s="24" t="str">
        <x:v>EEZ</x:v>
      </x:c>
      <x:c r="D71" s="30" t="n">
        <x:v>2019</x:v>
      </x:c>
      <x:c r="E71" s="24" t="str">
        <x:v>Gerres</x:v>
      </x:c>
      <x:c r="F71" s="24" t="str">
        <x:v>Silver biddies</x:v>
      </x:c>
      <x:c r="G71" s="24" t="str">
        <x:v>Small benthopelagics (&lt;30 cm)</x:v>
      </x:c>
      <x:c r="H71" s="24" t="str">
        <x:v>Perch-likes</x:v>
      </x:c>
      <x:c r="I71" s="31" t="n">
        <x:v>1.1509943172</x:v>
      </x:c>
      <x:c r="J71" s="31" t="n">
        <x:v>1.1509943172</x:v>
      </x:c>
      <x:c r="K71" s="31" t="n">
        <x:v>0</x:v>
      </x:c>
      <x:c r="L71" s="31" t="n">
        <x:v>0.2131990027</x:v>
      </x:c>
      <x:c r="M71" s="31" t="n">
        <x:v>0.9377953145</x:v>
      </x:c>
      <x:c r="N71" s="24" t="str">
        <x:v>gerres</x:v>
      </x:c>
      <x:c r="O71" s="32" t="n">
        <x:v>3.27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Gerres</x:v>
      </x:c>
      <x:c r="T71" s="32" t="n">
        <x:f>IF(O71="","",(1/'Metadata'!$B$5)^(O71-1))</x:f>
        <x:v>186.20871366628674</x:v>
      </x:c>
      <x:c r="U71" s="31" t="n">
        <x:f>IF(T71="","",I71*T71)</x:f>
        <x:v>214.325171243018</x:v>
      </x:c>
    </x:row>
    <x:row r="72" ht="18" customHeight="1">
      <x:c r="A72" s="24" t="str">
        <x:v>EEZ_175</x:v>
      </x:c>
      <x:c r="B72" s="24" t="str">
        <x:v>Mayotte (France)</x:v>
      </x:c>
      <x:c r="C72" s="24" t="str">
        <x:v>EEZ</x:v>
      </x:c>
      <x:c r="D72" s="30" t="n">
        <x:v>2019</x:v>
      </x:c>
      <x:c r="E72" s="24" t="str">
        <x:v>Sphyrna mokarran</x:v>
      </x:c>
      <x:c r="F72" s="24" t="str">
        <x:v>Great hammerhead</x:v>
      </x:c>
      <x:c r="G72" s="24" t="str">
        <x:v>Large sharks (&gt;=90 cm)</x:v>
      </x:c>
      <x:c r="H72" s="24" t="str">
        <x:v>Sharks &amp; rays</x:v>
      </x:c>
      <x:c r="I72" s="31" t="n">
        <x:v>0.6627348236</x:v>
      </x:c>
      <x:c r="J72" s="31" t="n">
        <x:v>0.6627348236</x:v>
      </x:c>
      <x:c r="K72" s="31" t="n">
        <x:v>0</x:v>
      </x:c>
      <x:c r="L72" s="31" t="n">
        <x:v>0.02192792</x:v>
      </x:c>
      <x:c r="M72" s="31" t="n">
        <x:v>0.6408069036</x:v>
      </x:c>
      <x:c r="N72" s="24" t="str">
        <x:v>sphyrna mokarran</x:v>
      </x:c>
      <x:c r="O72" s="32" t="n">
        <x:v>4.32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Sphyrna mokarran</x:v>
      </x:c>
      <x:c r="T72" s="32" t="n">
        <x:f>IF(O72="","",(1/'Metadata'!$B$5)^(O72-1))</x:f>
        <x:v>2089.2961308540407</x:v>
      </x:c>
      <x:c r="U72" s="31" t="n">
        <x:f>IF(T72="","",I72*T72)</x:f>
        <x:v>1384.6493027297151</x:v>
      </x:c>
    </x:row>
    <x:row r="73" ht="18" customHeight="1">
      <x:c r="A73" s="24" t="str">
        <x:v>EEZ_175</x:v>
      </x:c>
      <x:c r="B73" s="24" t="str">
        <x:v>Mayotte (France)</x:v>
      </x:c>
      <x:c r="C73" s="24" t="str">
        <x:v>EEZ</x:v>
      </x:c>
      <x:c r="D73" s="30" t="n">
        <x:v>2019</x:v>
      </x:c>
      <x:c r="E73" s="24" t="str">
        <x:v>Prionace glauca</x:v>
      </x:c>
      <x:c r="F73" s="24" t="str">
        <x:v>Blue shark</x:v>
      </x:c>
      <x:c r="G73" s="24" t="str">
        <x:v>Large sharks (&gt;=90 cm)</x:v>
      </x:c>
      <x:c r="H73" s="24" t="str">
        <x:v>Sharks &amp; rays</x:v>
      </x:c>
      <x:c r="I73" s="31" t="n">
        <x:v>0.6499546186</x:v>
      </x:c>
      <x:c r="J73" s="31" t="n">
        <x:v>0.6499546186</x:v>
      </x:c>
      <x:c r="K73" s="31" t="n">
        <x:v>0</x:v>
      </x:c>
      <x:c r="L73" s="31" t="n">
        <x:v>0.1087671296</x:v>
      </x:c>
      <x:c r="M73" s="31" t="n">
        <x:v>0.541187489</x:v>
      </x:c>
      <x:c r="N73" s="24" t="str">
        <x:v>prionace glauca</x:v>
      </x:c>
      <x:c r="O73" s="32" t="n">
        <x:v>4.35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Prionace glauca</x:v>
      </x:c>
      <x:c r="T73" s="32" t="n">
        <x:f>IF(O73="","",(1/'Metadata'!$B$5)^(O73-1))</x:f>
        <x:v>2238.7211385683377</x:v>
      </x:c>
      <x:c r="U73" s="31" t="n">
        <x:f>IF(T73="","",I73*T73)</x:f>
        <x:v>1455.0671437699418</x:v>
      </x:c>
    </x:row>
    <x:row r="74" ht="18" customHeight="1">
      <x:c r="A74" s="24" t="str">
        <x:v>EEZ_175</x:v>
      </x:c>
      <x:c r="B74" s="24" t="str">
        <x:v>Mayotte (France)</x:v>
      </x:c>
      <x:c r="C74" s="24" t="str">
        <x:v>EEZ</x:v>
      </x:c>
      <x:c r="D74" s="30" t="n">
        <x:v>2019</x:v>
      </x:c>
      <x:c r="E74" s="24" t="str">
        <x:v>Labridae</x:v>
      </x:c>
      <x:c r="F74" s="24" t="str">
        <x:v>Wrasses, gropers, tuskfishes</x:v>
      </x:c>
      <x:c r="G74" s="24" t="str">
        <x:v>Medium reef assoc. fish (30 - 89 cm)</x:v>
      </x:c>
      <x:c r="H74" s="24" t="str">
        <x:v>Perch-likes</x:v>
      </x:c>
      <x:c r="I74" s="31" t="n">
        <x:v>0.6475583666</x:v>
      </x:c>
      <x:c r="J74" s="31" t="n">
        <x:v>0.6475583666</x:v>
      </x:c>
      <x:c r="K74" s="31" t="n">
        <x:v>0</x:v>
      </x:c>
      <x:c r="L74" s="31" t="n">
        <x:v>0.0841885446</x:v>
      </x:c>
      <x:c r="M74" s="31" t="n">
        <x:v>0.5633698220000001</x:v>
      </x:c>
      <x:c r="N74" s="24" t="str">
        <x:v>labridae</x:v>
      </x:c>
      <x:c r="O74" s="32" t="n">
        <x:v>3.46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Labridae</x:v>
      </x:c>
      <x:c r="T74" s="32" t="n">
        <x:f>IF(O74="","",(1/'Metadata'!$B$5)^(O74-1))</x:f>
        <x:v>288.40315031266056</x:v>
      </x:c>
      <x:c r="U74" s="31" t="n">
        <x:f>IF(T74="","",I74*T74)</x:f>
        <x:v>186.75787293876076</x:v>
      </x:c>
    </x:row>
    <x:row r="75" ht="18" customHeight="1">
      <x:c r="A75" s="24" t="str">
        <x:v>EEZ_175</x:v>
      </x:c>
      <x:c r="B75" s="24" t="str">
        <x:v>Mayotte (France)</x:v>
      </x:c>
      <x:c r="C75" s="24" t="str">
        <x:v>EEZ</x:v>
      </x:c>
      <x:c r="D75" s="30" t="n">
        <x:v>2019</x:v>
      </x:c>
      <x:c r="E75" s="24" t="str">
        <x:v>Thunnus obesus</x:v>
      </x:c>
      <x:c r="F75" s="24" t="str">
        <x:v>Bigeye tuna</x:v>
      </x:c>
      <x:c r="G75" s="24" t="str">
        <x:v>Large pelagics (&gt;=90 cm)</x:v>
      </x:c>
      <x:c r="H75" s="24" t="str">
        <x:v>Tuna &amp; billfishes</x:v>
      </x:c>
      <x:c r="I75" s="31" t="n">
        <x:v>0.5490943314</x:v>
      </x:c>
      <x:c r="J75" s="31" t="n">
        <x:v>0.5490943314</x:v>
      </x:c>
      <x:c r="K75" s="31" t="n">
        <x:v>0</x:v>
      </x:c>
      <x:c r="L75" s="31" t="n">
        <x:v>0.0981330323</x:v>
      </x:c>
      <x:c r="M75" s="31" t="n">
        <x:v>0.4509612991</x:v>
      </x:c>
      <x:c r="N75" s="24" t="str">
        <x:v>thunnus obesus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obesus</x:v>
      </x:c>
      <x:c r="T75" s="32" t="n">
        <x:f>IF(O75="","",(1/'Metadata'!$B$5)^(O75-1))</x:f>
        <x:v>3090.295432513592</x:v>
      </x:c>
      <x:c r="U75" s="31" t="n">
        <x:f>IF(T75="","",I75*T75)</x:f>
        <x:v>1696.8637043445244</x:v>
      </x:c>
    </x:row>
    <x:row r="76" ht="18" customHeight="1">
      <x:c r="A76" s="24" t="str">
        <x:v>EEZ_175</x:v>
      </x:c>
      <x:c r="B76" s="24" t="str">
        <x:v>Mayotte (France)</x:v>
      </x:c>
      <x:c r="C76" s="24" t="str">
        <x:v>EEZ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0.31163042220000003</x:v>
      </x:c>
      <x:c r="J76" s="31" t="n">
        <x:v>0.31163042220000003</x:v>
      </x:c>
      <x:c r="K76" s="31" t="n">
        <x:v>0</x:v>
      </x:c>
      <x:c r="L76" s="31" t="n">
        <x:v>0.0849643309</x:v>
      </x:c>
      <x:c r="M76" s="31" t="n">
        <x:v>0.2266660913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621.7844376135012</x:v>
      </x:c>
    </x:row>
    <x:row r="77" ht="18" customHeight="1">
      <x:c r="A77" s="24" t="str">
        <x:v>EEZ_175</x:v>
      </x:c>
      <x:c r="B77" s="24" t="str">
        <x:v>Mayotte (France)</x:v>
      </x:c>
      <x:c r="C77" s="24" t="str">
        <x:v>EEZ</x:v>
      </x:c>
      <x:c r="D77" s="30" t="n">
        <x:v>2019</x:v>
      </x:c>
      <x:c r="E77" s="24" t="str">
        <x:v>Pomacentridae</x:v>
      </x:c>
      <x:c r="F77" s="24" t="str">
        <x:v>Damselfishes</x:v>
      </x:c>
      <x:c r="G77" s="24" t="str">
        <x:v>Small reef assoc. fish (&lt;30 cm)</x:v>
      </x:c>
      <x:c r="H77" s="24" t="str">
        <x:v>Perch-likes</x:v>
      </x:c>
      <x:c r="I77" s="31" t="n">
        <x:v>0.26601273329999997</x:v>
      </x:c>
      <x:c r="J77" s="31" t="n">
        <x:v>0.26601273329999997</x:v>
      </x:c>
      <x:c r="K77" s="31" t="n">
        <x:v>0</x:v>
      </x:c>
      <x:c r="L77" s="31" t="n">
        <x:v>0</x:v>
      </x:c>
      <x:c r="M77" s="31" t="n">
        <x:v>0.26601273329999997</x:v>
      </x:c>
      <x:c r="N77" s="24" t="str">
        <x:v>pomacentridae</x:v>
      </x:c>
      <x:c r="O77" s="32" t="n">
        <x:v>2.57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Pomacentridae</x:v>
      </x:c>
      <x:c r="T77" s="32" t="n">
        <x:f>IF(O77="","",(1/'Metadata'!$B$5)^(O77-1))</x:f>
        <x:v>37.15352290971724</x:v>
      </x:c>
      <x:c r="U77" s="31" t="n">
        <x:f>IF(T77="","",I77*T77)</x:f>
        <x:v>9.88331018093805</x:v>
      </x:c>
    </x:row>
    <x:row r="78" ht="18" customHeight="1">
      <x:c r="A78" s="24" t="str">
        <x:v>EEZ_175</x:v>
      </x:c>
      <x:c r="B78" s="24" t="str">
        <x:v>Mayotte (France)</x:v>
      </x:c>
      <x:c r="C78" s="24" t="str">
        <x:v>EEZ</x:v>
      </x:c>
      <x:c r="D78" s="30" t="n">
        <x:v>2019</x:v>
      </x:c>
      <x:c r="E78" s="24" t="str">
        <x:v>Platax</x:v>
      </x:c>
      <x:c r="F78" s="24" t="str">
        <x:v>Spadefishes</x:v>
      </x:c>
      <x:c r="G78" s="24" t="str">
        <x:v>Medium reef assoc. fish (30 - 89 cm)</x:v>
      </x:c>
      <x:c r="H78" s="24" t="str">
        <x:v>Perch-likes</x:v>
      </x:c>
      <x:c r="I78" s="31" t="n">
        <x:v>0.235577724</x:v>
      </x:c>
      <x:c r="J78" s="31" t="n">
        <x:v>0.235577724</x:v>
      </x:c>
      <x:c r="K78" s="31" t="n">
        <x:v>0</x:v>
      </x:c>
      <x:c r="L78" s="31" t="n">
        <x:v>0.0238838236</x:v>
      </x:c>
      <x:c r="M78" s="31" t="n">
        <x:v>0.2116939004</x:v>
      </x:c>
      <x:c r="N78" s="24" t="str">
        <x:v>platax</x:v>
      </x:c>
      <x:c r="O78" s="32" t="n">
        <x:v>3.53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Platax</x:v>
      </x:c>
      <x:c r="T78" s="32" t="n">
        <x:f>IF(O78="","",(1/'Metadata'!$B$5)^(O78-1))</x:f>
        <x:v>338.84415613920237</x:v>
      </x:c>
      <x:c r="U78" s="31" t="n">
        <x:f>IF(T78="","",I78*T78)</x:f>
        <x:v>79.82413509397392</x:v>
      </x:c>
    </x:row>
    <x:row r="79" ht="18" customHeight="1">
      <x:c r="A79" s="24" t="str">
        <x:v>EEZ_175</x:v>
      </x:c>
      <x:c r="B79" s="24" t="str">
        <x:v>Mayotte (France)</x:v>
      </x:c>
      <x:c r="C79" s="24" t="str">
        <x:v>EEZ</x:v>
      </x:c>
      <x:c r="D79" s="30" t="n">
        <x:v>2019</x:v>
      </x:c>
      <x:c r="E79" s="24" t="str">
        <x:v>Carcharhinus falciformis</x:v>
      </x:c>
      <x:c r="F79" s="24" t="str">
        <x:v>Silky shark</x:v>
      </x:c>
      <x:c r="G79" s="24" t="str">
        <x:v>Large sharks (&gt;=90 cm)</x:v>
      </x:c>
      <x:c r="H79" s="24" t="str">
        <x:v>Sharks &amp; rays</x:v>
      </x:c>
      <x:c r="I79" s="31" t="n">
        <x:v>0.1744865219</x:v>
      </x:c>
      <x:c r="J79" s="31" t="n">
        <x:v>0.1744865219</x:v>
      </x:c>
      <x:c r="K79" s="31" t="n">
        <x:v>0</x:v>
      </x:c>
      <x:c r="L79" s="31" t="n">
        <x:v>0</x:v>
      </x:c>
      <x:c r="M79" s="31" t="n">
        <x:v>0.1744865219</x:v>
      </x:c>
      <x:c r="N79" s="24" t="str">
        <x:v>carcharhinus falciformis</x:v>
      </x:c>
      <x:c r="O79" s="32" t="n">
        <x:v>4.51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Carcharhinus falciformis</x:v>
      </x:c>
      <x:c r="T79" s="32" t="n">
        <x:f>IF(O79="","",(1/'Metadata'!$B$5)^(O79-1))</x:f>
        <x:v>3235.936569296281</x:v>
      </x:c>
      <x:c r="U79" s="31" t="n">
        <x:f>IF(T79="","",I79*T79)</x:f>
        <x:v>564.6273170655264</x:v>
      </x:c>
    </x:row>
    <x:row r="80" ht="18" customHeight="1">
      <x:c r="A80" s="24" t="str">
        <x:v>EEZ_175</x:v>
      </x:c>
      <x:c r="B80" s="24" t="str">
        <x:v>Mayotte (France)</x:v>
      </x:c>
      <x:c r="C80" s="24" t="str">
        <x:v>EEZ</x:v>
      </x:c>
      <x:c r="D80" s="30" t="n">
        <x:v>2019</x:v>
      </x:c>
      <x:c r="E80" s="24" t="str">
        <x:v>Ruvettus pretiosus</x:v>
      </x:c>
      <x:c r="F80" s="24" t="str">
        <x:v>Oilfish</x:v>
      </x:c>
      <x:c r="G80" s="24" t="str">
        <x:v>Large benthopelagics (&gt;=90 cm)</x:v>
      </x:c>
      <x:c r="H80" s="24" t="str">
        <x:v>Perch-likes</x:v>
      </x:c>
      <x:c r="I80" s="31" t="n">
        <x:v>0.1683029707</x:v>
      </x:c>
      <x:c r="J80" s="31" t="n">
        <x:v>0.1683029707</x:v>
      </x:c>
      <x:c r="K80" s="31" t="n">
        <x:v>0</x:v>
      </x:c>
      <x:c r="L80" s="31" t="n">
        <x:v>0.0302912875</x:v>
      </x:c>
      <x:c r="M80" s="31" t="n">
        <x:v>0.1380116832</x:v>
      </x:c>
      <x:c r="N80" s="24" t="str">
        <x:v>ruvettus pretiosus</x:v>
      </x:c>
      <x:c r="O80" s="32" t="n">
        <x:v>4.18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Ruvettus pretiosus</x:v>
      </x:c>
      <x:c r="T80" s="32" t="n">
        <x:f>IF(O80="","",(1/'Metadata'!$B$5)^(O80-1))</x:f>
        <x:v>1513.5612484362073</x:v>
      </x:c>
      <x:c r="U80" s="31" t="n">
        <x:f>IF(T80="","",I80*T80)</x:f>
        <x:v>254.73685444821442</x:v>
      </x:c>
    </x:row>
    <x:row r="81" ht="18" customHeight="1">
      <x:c r="A81" s="24" t="str">
        <x:v>EEZ_175</x:v>
      </x:c>
      <x:c r="B81" s="24" t="str">
        <x:v>Mayotte (France)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0.1529285519</x:v>
      </x:c>
      <x:c r="J81" s="31" t="n">
        <x:v>0.1529285519</x:v>
      </x:c>
      <x:c r="K81" s="31" t="n">
        <x:v>0</x:v>
      </x:c>
      <x:c r="L81" s="31" t="n">
        <x:v>0.0115011525</x:v>
      </x:c>
      <x:c r="M81" s="31" t="n">
        <x:v>0.1414273994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19.70101384262551</x:v>
      </x:c>
    </x:row>
    <x:row r="82" ht="18" customHeight="1">
      <x:c r="A82" s="24" t="str">
        <x:v>EEZ_175</x:v>
      </x:c>
      <x:c r="B82" s="24" t="str">
        <x:v>Mayotte (France)</x:v>
      </x:c>
      <x:c r="C82" s="24" t="str">
        <x:v>EEZ</x:v>
      </x:c>
      <x:c r="D82" s="30" t="n">
        <x:v>2019</x:v>
      </x:c>
      <x:c r="E82" s="24" t="str">
        <x:v>Muraenidae</x:v>
      </x:c>
      <x:c r="F82" s="24" t="str">
        <x:v>Moray eels</x:v>
      </x:c>
      <x:c r="G82" s="24" t="str">
        <x:v>Large reef assoc. fish (&gt;=90 cm)</x:v>
      </x:c>
      <x:c r="H82" s="24" t="str">
        <x:v>Other fishes &amp; inverts</x:v>
      </x:c>
      <x:c r="I82" s="31" t="n">
        <x:v>0.14155240819999998</x:v>
      </x:c>
      <x:c r="J82" s="31" t="n">
        <x:v>0.14155240819999998</x:v>
      </x:c>
      <x:c r="K82" s="31" t="n">
        <x:v>0</x:v>
      </x:c>
      <x:c r="L82" s="31" t="n">
        <x:v>0.0240578376</x:v>
      </x:c>
      <x:c r="M82" s="31" t="n">
        <x:v>0.11749457059999999</x:v>
      </x:c>
      <x:c r="N82" s="24" t="str">
        <x:v>muraenidae</x:v>
      </x:c>
      <x:c r="O82" s="32" t="n">
        <x:v>4.07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Muraenidae</x:v>
      </x:c>
      <x:c r="T82" s="32" t="n">
        <x:f>IF(O82="","",(1/'Metadata'!$B$5)^(O82-1))</x:f>
        <x:v>1174.8975549395302</x:v>
      </x:c>
      <x:c r="U82" s="31" t="n">
        <x:f>IF(T82="","",I82*T82)</x:f>
        <x:v>166.30957828998228</x:v>
      </x:c>
    </x:row>
    <x:row r="83" ht="18" customHeight="1">
      <x:c r="A83" s="24" t="str">
        <x:v>EEZ_175</x:v>
      </x:c>
      <x:c r="B83" s="24" t="str">
        <x:v>Mayotte (France)</x:v>
      </x:c>
      <x:c r="C83" s="24" t="str">
        <x:v>EEZ</x:v>
      </x:c>
      <x:c r="D83" s="30" t="n">
        <x:v>2019</x:v>
      </x:c>
      <x:c r="E83" s="24" t="str">
        <x:v>Isurus oxyrinchus</x:v>
      </x:c>
      <x:c r="F83" s="24" t="str">
        <x:v>Shortfin mako</x:v>
      </x:c>
      <x:c r="G83" s="24" t="str">
        <x:v>Large sharks (&gt;=90 cm)</x:v>
      </x:c>
      <x:c r="H83" s="24" t="str">
        <x:v>Sharks &amp; rays</x:v>
      </x:c>
      <x:c r="I83" s="31" t="n">
        <x:v>0.1407534891</x:v>
      </x:c>
      <x:c r="J83" s="31" t="n">
        <x:v>0.1407534891</x:v>
      </x:c>
      <x:c r="K83" s="31" t="n">
        <x:v>0</x:v>
      </x:c>
      <x:c r="L83" s="31" t="n">
        <x:v>0</x:v>
      </x:c>
      <x:c r="M83" s="31" t="n">
        <x:v>0.1407534891</x:v>
      </x:c>
      <x:c r="N83" s="24" t="str">
        <x:v>isurus oxyrinchus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Isurus oxyrinchus</x:v>
      </x:c>
      <x:c r="T83" s="32" t="n">
        <x:f>IF(O83="","",(1/'Metadata'!$B$5)^(O83-1))</x:f>
        <x:v>3162.2776601683795</x:v>
      </x:c>
      <x:c r="U83" s="31" t="n">
        <x:f>IF(T83="","",I83*T83)</x:f>
        <x:v>445.1016141716835</x:v>
      </x:c>
    </x:row>
    <x:row r="84" ht="18" customHeight="1">
      <x:c r="A84" s="24" t="str">
        <x:v>EEZ_175</x:v>
      </x:c>
      <x:c r="B84" s="24" t="str">
        <x:v>Mayotte (France)</x:v>
      </x:c>
      <x:c r="C84" s="24" t="str">
        <x:v>EEZ</x:v>
      </x:c>
      <x:c r="D84" s="30" t="n">
        <x:v>2019</x:v>
      </x:c>
      <x:c r="E84" s="24" t="str">
        <x:v>Pristipomoides zonatus</x:v>
      </x:c>
      <x:c r="F84" s="24" t="str">
        <x:v>Oblique-banded snapper</x:v>
      </x:c>
      <x:c r="G84" s="24" t="str">
        <x:v>Medium demersals (30 - 89 cm)</x:v>
      </x:c>
      <x:c r="H84" s="24" t="str">
        <x:v>Perch-likes</x:v>
      </x:c>
      <x:c r="I84" s="31" t="n">
        <x:v>0.1287308238</x:v>
      </x:c>
      <x:c r="J84" s="31" t="n">
        <x:v>0.1287308238</x:v>
      </x:c>
      <x:c r="K84" s="31" t="n">
        <x:v>0</x:v>
      </x:c>
      <x:c r="L84" s="31" t="n">
        <x:v>0.0241974751</x:v>
      </x:c>
      <x:c r="M84" s="31" t="n">
        <x:v>0.1045333487</x:v>
      </x:c>
      <x:c r="N84" s="24" t="str">
        <x:v>pristipomoides zonatus</x:v>
      </x:c>
      <x:c r="O84" s="32" t="n">
        <x:v>4.04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Pristipomoides zonatus</x:v>
      </x:c>
      <x:c r="T84" s="32" t="n">
        <x:f>IF(O84="","",(1/'Metadata'!$B$5)^(O84-1))</x:f>
        <x:v>1096.4781961431852</x:v>
      </x:c>
      <x:c r="U84" s="31" t="n">
        <x:f>IF(T84="","",I84*T84)</x:f>
        <x:v>141.15054146825022</x:v>
      </x:c>
    </x:row>
    <x:row r="85" ht="18" customHeight="1">
      <x:c r="A85" s="24" t="str">
        <x:v>EEZ_175</x:v>
      </x:c>
      <x:c r="B85" s="24" t="str">
        <x:v>Mayotte (France)</x:v>
      </x:c>
      <x:c r="C85" s="24" t="str">
        <x:v>EEZ</x:v>
      </x:c>
      <x:c r="D85" s="30" t="n">
        <x:v>2019</x:v>
      </x:c>
      <x:c r="E85" s="24" t="str">
        <x:v>Scylla serrata</x:v>
      </x:c>
      <x:c r="F85" s="24" t="str">
        <x:v>Indo-Pacific swamp crab</x:v>
      </x:c>
      <x:c r="G85" s="24" t="str">
        <x:v>Lobsters, crabs</x:v>
      </x:c>
      <x:c r="H85" s="24" t="str">
        <x:v>Crustaceans</x:v>
      </x:c>
      <x:c r="I85" s="31" t="n">
        <x:v>0.12237250930000002</x:v>
      </x:c>
      <x:c r="J85" s="31" t="n">
        <x:v>0.12237250930000002</x:v>
      </x:c>
      <x:c r="K85" s="31" t="n">
        <x:v>0</x:v>
      </x:c>
      <x:c r="L85" s="31" t="n">
        <x:v>0.0230023043</x:v>
      </x:c>
      <x:c r="M85" s="31" t="n">
        <x:v>0.099370205</x:v>
      </x:c>
      <x:c r="N85" s="24" t="str">
        <x:v>scylla serrata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Scylla serrata</x:v>
      </x:c>
      <x:c r="T85" s="32" t="n">
        <x:f>IF(O85="","",(1/'Metadata'!$B$5)^(O85-1))</x:f>
        <x:v>147.91083881682073</x:v>
      </x:c>
      <x:c r="U85" s="31" t="n">
        <x:f>IF(T85="","",I85*T85)</x:f>
        <x:v>18.100220498682198</x:v>
      </x:c>
    </x:row>
    <x:row r="86" ht="18" customHeight="1">
      <x:c r="A86" s="24" t="str">
        <x:v>EEZ_175</x:v>
      </x:c>
      <x:c r="B86" s="24" t="str">
        <x:v>Mayotte (France)</x:v>
      </x:c>
      <x:c r="C86" s="24" t="str">
        <x:v>EEZ</x:v>
      </x:c>
      <x:c r="D86" s="30" t="n">
        <x:v>2019</x:v>
      </x:c>
      <x:c r="E86" s="24" t="str">
        <x:v>Naso</x:v>
      </x:c>
      <x:c r="F86" s="24" t="str">
        <x:v>Unicornfishes</x:v>
      </x:c>
      <x:c r="G86" s="24" t="str">
        <x:v>Medium reef assoc. fish (30 - 89 cm)</x:v>
      </x:c>
      <x:c r="H86" s="24" t="str">
        <x:v>Perch-likes</x:v>
      </x:c>
      <x:c r="I86" s="31" t="n">
        <x:v>0.1106550638</x:v>
      </x:c>
      <x:c r="J86" s="31" t="n">
        <x:v>0.1106550638</x:v>
      </x:c>
      <x:c r="K86" s="31" t="n">
        <x:v>0</x:v>
      </x:c>
      <x:c r="L86" s="31" t="n">
        <x:v>0.0008408325000000001</x:v>
      </x:c>
      <x:c r="M86" s="31" t="n">
        <x:v>0.1098142313</x:v>
      </x:c>
      <x:c r="N86" s="24" t="str">
        <x:v>naso</x:v>
      </x:c>
      <x:c r="O86" s="32" t="n">
        <x:v>3.28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Naso</x:v>
      </x:c>
      <x:c r="T86" s="32" t="n">
        <x:f>IF(O86="","",(1/'Metadata'!$B$5)^(O86-1))</x:f>
        <x:v>190.54607179632464</x:v>
      </x:c>
      <x:c r="U86" s="31" t="n">
        <x:f>IF(T86="","",I86*T86)</x:f>
        <x:v>21.084887731461684</x:v>
      </x:c>
    </x:row>
    <x:row r="87" ht="18" customHeight="1">
      <x:c r="A87" s="24" t="str">
        <x:v>EEZ_175</x:v>
      </x:c>
      <x:c r="B87" s="24" t="str">
        <x:v>Mayotte (France)</x:v>
      </x:c>
      <x:c r="C87" s="24" t="str">
        <x:v>EEZ</x:v>
      </x:c>
      <x:c r="D87" s="30" t="n">
        <x:v>2019</x:v>
      </x:c>
      <x:c r="E87" s="24" t="str">
        <x:v>Leiognathidae</x:v>
      </x:c>
      <x:c r="F87" s="24" t="str">
        <x:v>Slipmouths, ponyfishes</x:v>
      </x:c>
      <x:c r="G87" s="24" t="str">
        <x:v>Small benthopelagics (&lt;30 cm)</x:v>
      </x:c>
      <x:c r="H87" s="24" t="str">
        <x:v>Perch-likes</x:v>
      </x:c>
      <x:c r="I87" s="31" t="n">
        <x:v>0.106152918</x:v>
      </x:c>
      <x:c r="J87" s="31" t="n">
        <x:v>0.106152918</x:v>
      </x:c>
      <x:c r="K87" s="31" t="n">
        <x:v>0</x:v>
      </x:c>
      <x:c r="L87" s="31" t="n">
        <x:v>0</x:v>
      </x:c>
      <x:c r="M87" s="31" t="n">
        <x:v>0.106152918</x:v>
      </x:c>
      <x:c r="N87" s="24" t="str">
        <x:v>leiognathidae</x:v>
      </x:c>
      <x:c r="O87" s="32" t="n">
        <x:v>3.24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Leiognathidae</x:v>
      </x:c>
      <x:c r="T87" s="32" t="n">
        <x:f>IF(O87="","",(1/'Metadata'!$B$5)^(O87-1))</x:f>
        <x:v>173.78008287493762</x:v>
      </x:c>
      <x:c r="U87" s="31" t="n">
        <x:f>IF(T87="","",I87*T87)</x:f>
        <x:v>18.447262887456457</x:v>
      </x:c>
    </x:row>
    <x:row r="88" ht="18" customHeight="1">
      <x:c r="A88" s="24" t="str">
        <x:v>EEZ_175</x:v>
      </x:c>
      <x:c r="B88" s="24" t="str">
        <x:v>Mayotte (France)</x:v>
      </x:c>
      <x:c r="C88" s="24" t="str">
        <x:v>EEZ</x:v>
      </x:c>
      <x:c r="D88" s="30" t="n">
        <x:v>2019</x:v>
      </x:c>
      <x:c r="E88" s="24" t="str">
        <x:v>Bothus pantherinus</x:v>
      </x:c>
      <x:c r="F88" s="24" t="str">
        <x:v>Leopard flounder</x:v>
      </x:c>
      <x:c r="G88" s="24" t="str">
        <x:v>Small to medium flatfishes (&lt;90 cm)</x:v>
      </x:c>
      <x:c r="H88" s="24" t="str">
        <x:v>Flatfishes</x:v>
      </x:c>
      <x:c r="I88" s="31" t="n">
        <x:v>0.10543927789999999</x:v>
      </x:c>
      <x:c r="J88" s="31" t="n">
        <x:v>0.10543927789999999</x:v>
      </x:c>
      <x:c r="K88" s="31" t="n">
        <x:v>0</x:v>
      </x:c>
      <x:c r="L88" s="31" t="n">
        <x:v>0.01096396</x:v>
      </x:c>
      <x:c r="M88" s="31" t="n">
        <x:v>0.0944753179</x:v>
      </x:c>
      <x:c r="N88" s="24" t="str">
        <x:v>bothus pantherinus</x:v>
      </x:c>
      <x:c r="O88" s="32" t="n">
        <x:v>3.5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Bothus pantherinus</x:v>
      </x:c>
      <x:c r="T88" s="32" t="n">
        <x:f>IF(O88="","",(1/'Metadata'!$B$5)^(O88-1))</x:f>
        <x:v>316.22776601683796</x:v>
      </x:c>
      <x:c r="U88" s="31" t="n">
        <x:f>IF(T88="","",I88*T88)</x:f>
        <x:v>33.34282730074555</x:v>
      </x:c>
    </x:row>
    <x:row r="89" ht="18" customHeight="1">
      <x:c r="A89" s="24" t="str">
        <x:v>EEZ_175</x:v>
      </x:c>
      <x:c r="B89" s="24" t="str">
        <x:v>Mayotte (France)</x:v>
      </x:c>
      <x:c r="C89" s="24" t="str">
        <x:v>EEZ</x:v>
      </x:c>
      <x:c r="D89" s="30" t="n">
        <x:v>2019</x:v>
      </x:c>
      <x:c r="E89" s="24" t="str">
        <x:v>Plectropomus laevis</x:v>
      </x:c>
      <x:c r="F89" s="24" t="str">
        <x:v>Blacksaddled coralgrouper</x:v>
      </x:c>
      <x:c r="G89" s="24" t="str">
        <x:v>Large reef assoc. fish (&gt;=90 cm)</x:v>
      </x:c>
      <x:c r="H89" s="24" t="str">
        <x:v>Perch-likes</x:v>
      </x:c>
      <x:c r="I89" s="31" t="n">
        <x:v>0.10224379360000001</x:v>
      </x:c>
      <x:c r="J89" s="31" t="n">
        <x:v>0.10224379360000001</x:v>
      </x:c>
      <x:c r="K89" s="31" t="n">
        <x:v>0</x:v>
      </x:c>
      <x:c r="L89" s="31" t="n">
        <x:v>0</x:v>
      </x:c>
      <x:c r="M89" s="31" t="n">
        <x:v>0.10224379360000001</x:v>
      </x:c>
      <x:c r="N89" s="24" t="str">
        <x:v>plectropomus laevis</x:v>
      </x:c>
      <x:c r="O89" s="32" t="n">
        <x:v>4.14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Plectropomus laevis</x:v>
      </x:c>
      <x:c r="T89" s="32" t="n">
        <x:f>IF(O89="","",(1/'Metadata'!$B$5)^(O89-1))</x:f>
        <x:v>1380.3842646028838</x:v>
      </x:c>
      <x:c r="U89" s="31" t="n">
        <x:f>IF(T89="","",I89*T89)</x:f>
        <x:v>141.13572383874506</x:v>
      </x:c>
    </x:row>
    <x:row r="90" ht="18" customHeight="1">
      <x:c r="A90" s="24" t="str">
        <x:v>EEZ_175</x:v>
      </x:c>
      <x:c r="B90" s="24" t="str">
        <x:v>Mayotte (France)</x:v>
      </x:c>
      <x:c r="C90" s="24" t="str">
        <x:v>EEZ</x:v>
      </x:c>
      <x:c r="D90" s="30" t="n">
        <x:v>2019</x:v>
      </x:c>
      <x:c r="E90" s="24" t="str">
        <x:v>Chanos chanos</x:v>
      </x:c>
      <x:c r="F90" s="24" t="str">
        <x:v>Milkfish</x:v>
      </x:c>
      <x:c r="G90" s="24" t="str">
        <x:v>Large benthopelagics (&gt;=90 cm)</x:v>
      </x:c>
      <x:c r="H90" s="24" t="str">
        <x:v>Other fishes &amp; inverts</x:v>
      </x:c>
      <x:c r="I90" s="31" t="n">
        <x:v>0.0893953227</x:v>
      </x:c>
      <x:c r="J90" s="31" t="n">
        <x:v>0.0893953227</x:v>
      </x:c>
      <x:c r="K90" s="31" t="n">
        <x:v>0</x:v>
      </x:c>
      <x:c r="L90" s="31" t="n">
        <x:v>0.01096396</x:v>
      </x:c>
      <x:c r="M90" s="31" t="n">
        <x:v>0.0784313627</x:v>
      </x:c>
      <x:c r="N90" s="24" t="str">
        <x:v>chanos chanos</x:v>
      </x:c>
      <x:c r="O90" s="32" t="n">
        <x:v>2.03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Chanos chanos</x:v>
      </x:c>
      <x:c r="T90" s="32" t="n">
        <x:f>IF(O90="","",(1/'Metadata'!$B$5)^(O90-1))</x:f>
        <x:v>10.71519305237606</x:v>
      </x:c>
      <x:c r="U90" s="31" t="n">
        <x:f>IF(T90="","",I90*T90)</x:f>
        <x:v>0.9578881407099559</x:v>
      </x:c>
    </x:row>
    <x:row r="91" ht="18" customHeight="1">
      <x:c r="A91" s="24" t="str">
        <x:v>EEZ_175</x:v>
      </x:c>
      <x:c r="B91" s="24" t="str">
        <x:v>Mayotte (France)</x:v>
      </x:c>
      <x:c r="C91" s="24" t="str">
        <x:v>EEZ</x:v>
      </x:c>
      <x:c r="D91" s="30" t="n">
        <x:v>2019</x:v>
      </x:c>
      <x:c r="E91" s="24" t="str">
        <x:v>Platycephalus indicus</x:v>
      </x:c>
      <x:c r="F91" s="24" t="str">
        <x:v>Bartail flathead</x:v>
      </x:c>
      <x:c r="G91" s="24" t="str">
        <x:v>Medium demersals (30 - 89 cm)</x:v>
      </x:c>
      <x:c r="H91" s="24" t="str">
        <x:v>Scorpionfishes</x:v>
      </x:c>
      <x:c r="I91" s="31" t="n">
        <x:v>0.07249220640000001</x:v>
      </x:c>
      <x:c r="J91" s="31" t="n">
        <x:v>0.07249220640000001</x:v>
      </x:c>
      <x:c r="K91" s="31" t="n">
        <x:v>0</x:v>
      </x:c>
      <x:c r="L91" s="31" t="n">
        <x:v>0.00520957</x:v>
      </x:c>
      <x:c r="M91" s="31" t="n">
        <x:v>0.0672826364</x:v>
      </x:c>
      <x:c r="N91" s="24" t="str">
        <x:v>platycephalus indicus</x:v>
      </x:c>
      <x:c r="O91" s="32" t="n">
        <x:v>3.6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Platycephalus indicus</x:v>
      </x:c>
      <x:c r="T91" s="32" t="n">
        <x:f>IF(O91="","",(1/'Metadata'!$B$5)^(O91-1))</x:f>
        <x:v>398.1071705534973</x:v>
      </x:c>
      <x:c r="U91" s="31" t="n">
        <x:f>IF(T91="","",I91*T91)</x:f>
        <x:v>28.859667177084134</x:v>
      </x:c>
    </x:row>
    <x:row r="92" ht="18" customHeight="1">
      <x:c r="A92" s="24" t="str">
        <x:v>EEZ_175</x:v>
      </x:c>
      <x:c r="B92" s="24" t="str">
        <x:v>Mayotte (France)</x:v>
      </x:c>
      <x:c r="C92" s="24" t="str">
        <x:v>EEZ</x:v>
      </x:c>
      <x:c r="D92" s="30" t="n">
        <x:v>2019</x:v>
      </x:c>
      <x:c r="E92" s="24" t="str">
        <x:v>Ephippidae</x:v>
      </x:c>
      <x:c r="F92" s="24" t="str">
        <x:v>Spade-, batfishes, scats</x:v>
      </x:c>
      <x:c r="G92" s="24" t="str">
        <x:v>Medium reef assoc. fish (30 - 89 cm)</x:v>
      </x:c>
      <x:c r="H92" s="24" t="str">
        <x:v>Perch-likes</x:v>
      </x:c>
      <x:c r="I92" s="31" t="n">
        <x:v>0.0603675996</x:v>
      </x:c>
      <x:c r="J92" s="31" t="n">
        <x:v>0.0603675996</x:v>
      </x:c>
      <x:c r="K92" s="31" t="n">
        <x:v>0</x:v>
      </x:c>
      <x:c r="L92" s="31" t="n">
        <x:v>0</x:v>
      </x:c>
      <x:c r="M92" s="31" t="n">
        <x:v>0.0603675996</x:v>
      </x:c>
      <x:c r="N92" s="24" t="str">
        <x:v>ephippidae</x:v>
      </x:c>
      <x:c r="O92" s="32" t="n">
        <x:v>3.57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Ephippidae</x:v>
      </x:c>
      <x:c r="T92" s="32" t="n">
        <x:f>IF(O92="","",(1/'Metadata'!$B$5)^(O92-1))</x:f>
        <x:v>371.5352290971724</x:v>
      </x:c>
      <x:c r="U92" s="31" t="n">
        <x:f>IF(T92="","",I92*T92)</x:f>
        <x:v>22.428689947432375</x:v>
      </x:c>
    </x:row>
    <x:row r="93" ht="18" customHeight="1">
      <x:c r="A93" s="24" t="str">
        <x:v>EEZ_175</x:v>
      </x:c>
      <x:c r="B93" s="24" t="str">
        <x:v>Mayotte (France)</x:v>
      </x:c>
      <x:c r="C93" s="24" t="str">
        <x:v>EEZ</x:v>
      </x:c>
      <x:c r="D93" s="30" t="n">
        <x:v>2019</x:v>
      </x:c>
      <x:c r="E93" s="24" t="str">
        <x:v>Sphyrna lewini</x:v>
      </x:c>
      <x:c r="F93" s="24" t="str">
        <x:v>Scalloped hammerhead</x:v>
      </x:c>
      <x:c r="G93" s="24" t="str">
        <x:v>Large sharks (&gt;=90 cm)</x:v>
      </x:c>
      <x:c r="H93" s="24" t="str">
        <x:v>Sharks &amp; rays</x:v>
      </x:c>
      <x:c r="I93" s="31" t="n">
        <x:v>0.0514829239</x:v>
      </x:c>
      <x:c r="J93" s="31" t="n">
        <x:v>0.0514829239</x:v>
      </x:c>
      <x:c r="K93" s="31" t="n">
        <x:v>0</x:v>
      </x:c>
      <x:c r="L93" s="31" t="n">
        <x:v>0</x:v>
      </x:c>
      <x:c r="M93" s="31" t="n">
        <x:v>0.0514829239</x:v>
      </x:c>
      <x:c r="N93" s="24" t="str">
        <x:v>sphyrna lewini</x:v>
      </x:c>
      <x:c r="O93" s="32" t="n">
        <x:v>4.08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Sphyrna lewini</x:v>
      </x:c>
      <x:c r="T93" s="32" t="n">
        <x:f>IF(O93="","",(1/'Metadata'!$B$5)^(O93-1))</x:f>
        <x:v>1202.2644346174131</x:v>
      </x:c>
      <x:c r="U93" s="31" t="n">
        <x:f>IF(T93="","",I93*T93)</x:f>
        <x:v>61.8960883950848</x:v>
      </x:c>
    </x:row>
    <x:row r="94" ht="18" customHeight="1">
      <x:c r="A94" s="24" t="str">
        <x:v>EEZ_175</x:v>
      </x:c>
      <x:c r="B94" s="24" t="str">
        <x:v>Mayotte (France)</x:v>
      </x:c>
      <x:c r="C94" s="24" t="str">
        <x:v>EEZ</x:v>
      </x:c>
      <x:c r="D94" s="30" t="n">
        <x:v>2019</x:v>
      </x:c>
      <x:c r="E94" s="24" t="str">
        <x:v>Carcharhinus longimanus</x:v>
      </x:c>
      <x:c r="F94" s="24" t="str">
        <x:v>Oceanic whitetip shark</x:v>
      </x:c>
      <x:c r="G94" s="24" t="str">
        <x:v>Large sharks (&gt;=90 cm)</x:v>
      </x:c>
      <x:c r="H94" s="24" t="str">
        <x:v>Sharks &amp; rays</x:v>
      </x:c>
      <x:c r="I94" s="31" t="n">
        <x:v>0.0509926608</x:v>
      </x:c>
      <x:c r="J94" s="31" t="n">
        <x:v>0.0509926608</x:v>
      </x:c>
      <x:c r="K94" s="31" t="n">
        <x:v>0</x:v>
      </x:c>
      <x:c r="L94" s="31" t="n">
        <x:v>0</x:v>
      </x:c>
      <x:c r="M94" s="31" t="n">
        <x:v>0.0509926608</x:v>
      </x:c>
      <x:c r="N94" s="24" t="str">
        <x:v>carcharhinus longimanus</x:v>
      </x:c>
      <x:c r="O94" s="32" t="n">
        <x:v>4.16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longimanus</x:v>
      </x:c>
      <x:c r="T94" s="32" t="n">
        <x:f>IF(O94="","",(1/'Metadata'!$B$5)^(O94-1))</x:f>
        <x:v>1445.439770745928</x:v>
      </x:c>
      <x:c r="U94" s="31" t="n">
        <x:f>IF(T94="","",I94*T94)</x:f>
        <x:v>73.70681993647686</x:v>
      </x:c>
    </x:row>
    <x:row r="95" ht="18" customHeight="1">
      <x:c r="A95" s="24" t="str">
        <x:v>EEZ_175</x:v>
      </x:c>
      <x:c r="B95" s="24" t="str">
        <x:v>Mayotte (France)</x:v>
      </x:c>
      <x:c r="C95" s="24" t="str">
        <x:v>EEZ</x:v>
      </x:c>
      <x:c r="D95" s="30" t="n">
        <x:v>2019</x:v>
      </x:c>
      <x:c r="E95" s="24" t="str">
        <x:v>Terapon</x:v>
      </x:c>
      <x:c r="F95" s="24" t="str">
        <x:v>Terapons</x:v>
      </x:c>
      <x:c r="G95" s="24" t="str">
        <x:v>Medium demersals (30 - 89 cm)</x:v>
      </x:c>
      <x:c r="H95" s="24" t="str">
        <x:v>Perch-likes</x:v>
      </x:c>
      <x:c r="I95" s="31" t="n">
        <x:v>0.0415684501</x:v>
      </x:c>
      <x:c r="J95" s="31" t="n">
        <x:v>0.0415684501</x:v>
      </x:c>
      <x:c r="K95" s="31" t="n">
        <x:v>0</x:v>
      </x:c>
      <x:c r="L95" s="31" t="n">
        <x:v>0</x:v>
      </x:c>
      <x:c r="M95" s="31" t="n">
        <x:v>0.0415684501</x:v>
      </x:c>
      <x:c r="N95" s="24" t="str">
        <x:v>terapon</x:v>
      </x:c>
      <x:c r="O95" s="32" t="n">
        <x:v>3.5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Terapon</x:v>
      </x:c>
      <x:c r="T95" s="32" t="n">
        <x:f>IF(O95="","",(1/'Metadata'!$B$5)^(O95-1))</x:f>
        <x:v>316.22776601683796</x:v>
      </x:c>
      <x:c r="U95" s="31" t="n">
        <x:f>IF(T95="","",I95*T95)</x:f>
        <x:v>13.145098111905405</x:v>
      </x:c>
    </x:row>
    <x:row r="96" ht="18" customHeight="1">
      <x:c r="A96" s="24" t="str">
        <x:v>EEZ_175</x:v>
      </x:c>
      <x:c r="B96" s="24" t="str">
        <x:v>Mayotte (France)</x:v>
      </x:c>
      <x:c r="C96" s="24" t="str">
        <x:v>EEZ</x:v>
      </x:c>
      <x:c r="D96" s="30" t="n">
        <x:v>2019</x:v>
      </x:c>
      <x:c r="E96" s="24" t="str">
        <x:v>Isurus</x:v>
      </x:c>
      <x:c r="F96" s="24" t="str">
        <x:v>Mako sharks</x:v>
      </x:c>
      <x:c r="G96" s="24" t="str">
        <x:v>Large sharks (&gt;=90 cm)</x:v>
      </x:c>
      <x:c r="H96" s="24" t="str">
        <x:v>Sharks &amp; rays</x:v>
      </x:c>
      <x:c r="I96" s="31" t="n">
        <x:v>0.0378246697</x:v>
      </x:c>
      <x:c r="J96" s="31" t="n">
        <x:v>0.0378246697</x:v>
      </x:c>
      <x:c r="K96" s="31" t="n">
        <x:v>0</x:v>
      </x:c>
      <x:c r="L96" s="31" t="n">
        <x:v>0.0378246697</x:v>
      </x:c>
      <x:c r="M96" s="31" t="n">
        <x:v>0</x:v>
      </x:c>
      <x:c r="N96" s="24" t="str">
        <x:v>isurus</x:v>
      </x:c>
      <x:c r="O96" s="32" t="n">
        <x:v>4.5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Isurus</x:v>
      </x:c>
      <x:c r="T96" s="32" t="n">
        <x:f>IF(O96="","",(1/'Metadata'!$B$5)^(O96-1))</x:f>
        <x:v>3162.2776601683795</x:v>
      </x:c>
      <x:c r="U96" s="31" t="n">
        <x:f>IF(T96="","",I96*T96)</x:f>
        <x:v>119.6121079955578</x:v>
      </x:c>
    </x:row>
    <x:row r="97" ht="18" customHeight="1">
      <x:c r="A97" s="24" t="str">
        <x:v>EEZ_175</x:v>
      </x:c>
      <x:c r="B97" s="24" t="str">
        <x:v>Mayotte (France)</x:v>
      </x:c>
      <x:c r="C97" s="24" t="str">
        <x:v>EEZ</x:v>
      </x:c>
      <x:c r="D97" s="30" t="n">
        <x:v>2019</x:v>
      </x:c>
      <x:c r="E97" s="24" t="str">
        <x:v>Synodontidae</x:v>
      </x:c>
      <x:c r="F97" s="24" t="str">
        <x:v>Lizardfishes, sauries</x:v>
      </x:c>
      <x:c r="G97" s="24" t="str">
        <x:v>Medium demersals (30 - 89 cm)</x:v>
      </x:c>
      <x:c r="H97" s="24" t="str">
        <x:v>Other fishes &amp; inverts</x:v>
      </x:c>
      <x:c r="I97" s="31" t="n">
        <x:v>0.0258962034</x:v>
      </x:c>
      <x:c r="J97" s="31" t="n">
        <x:v>0.0258962034</x:v>
      </x:c>
      <x:c r="K97" s="31" t="n">
        <x:v>0</x:v>
      </x:c>
      <x:c r="L97" s="31" t="n">
        <x:v>0</x:v>
      </x:c>
      <x:c r="M97" s="31" t="n">
        <x:v>0.0258962034</x:v>
      </x:c>
      <x:c r="N97" s="24" t="str">
        <x:v>synodontidae</x:v>
      </x:c>
      <x:c r="O97" s="32" t="n">
        <x:v>4.3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Synodontidae</x:v>
      </x:c>
      <x:c r="T97" s="32" t="n">
        <x:f>IF(O97="","",(1/'Metadata'!$B$5)^(O97-1))</x:f>
        <x:v>1995.2623149688789</x:v>
      </x:c>
      <x:c r="U97" s="31" t="n">
        <x:f>IF(T97="","",I97*T97)</x:f>
        <x:v>51.66971874478895</x:v>
      </x:c>
    </x:row>
    <x:row r="98" ht="18" customHeight="1">
      <x:c r="A98" s="24" t="str">
        <x:v>EEZ_175</x:v>
      </x:c>
      <x:c r="B98" s="24" t="str">
        <x:v>Mayotte (France)</x:v>
      </x:c>
      <x:c r="C98" s="24" t="str">
        <x:v>EEZ</x:v>
      </x:c>
      <x:c r="D98" s="30" t="n">
        <x:v>2019</x:v>
      </x:c>
      <x:c r="E98" s="24" t="str">
        <x:v>Gerreidae</x:v>
      </x:c>
      <x:c r="F98" s="24" t="str">
        <x:v>Mojarras, silverbellies</x:v>
      </x:c>
      <x:c r="G98" s="24" t="str">
        <x:v>Small benthopelagics (&lt;30 cm)</x:v>
      </x:c>
      <x:c r="H98" s="24" t="str">
        <x:v>Perch-likes</x:v>
      </x:c>
      <x:c r="I98" s="31" t="n">
        <x:v>0.019334409</x:v>
      </x:c>
      <x:c r="J98" s="31" t="n">
        <x:v>0.019334409</x:v>
      </x:c>
      <x:c r="K98" s="31" t="n">
        <x:v>0</x:v>
      </x:c>
      <x:c r="L98" s="31" t="n">
        <x:v>0</x:v>
      </x:c>
      <x:c r="M98" s="31" t="n">
        <x:v>0.019334409</x:v>
      </x:c>
      <x:c r="N98" s="24" t="str">
        <x:v>gerreidae</x:v>
      </x:c>
      <x:c r="O98" s="32" t="n">
        <x:v>3.03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Gerreidae</x:v>
      </x:c>
      <x:c r="T98" s="32" t="n">
        <x:f>IF(O98="","",(1/'Metadata'!$B$5)^(O98-1))</x:f>
        <x:v>107.1519305237606</x:v>
      </x:c>
      <x:c r="U98" s="31" t="n">
        <x:f>IF(T98="","",I98*T98)</x:f>
        <x:v>2.071719249885972</x:v>
      </x:c>
    </x:row>
    <x:row r="99" ht="18" customHeight="1">
      <x:c r="A99" s="24" t="str">
        <x:v>EEZ_175</x:v>
      </x:c>
      <x:c r="B99" s="24" t="str">
        <x:v>Mayotte (France)</x:v>
      </x:c>
      <x:c r="C99" s="24" t="str">
        <x:v>EEZ</x:v>
      </x:c>
      <x:c r="D99" s="30" t="n">
        <x:v>2019</x:v>
      </x:c>
      <x:c r="E99" s="24" t="str">
        <x:v>Hemiramphidae</x:v>
      </x:c>
      <x:c r="F99" s="24" t="str">
        <x:v>Halfbeaks, garfishes</x:v>
      </x:c>
      <x:c r="G99" s="24" t="str">
        <x:v>Medium pelagics (30 - 89 cm)</x:v>
      </x:c>
      <x:c r="H99" s="24" t="str">
        <x:v>Other fishes &amp; inverts</x:v>
      </x:c>
      <x:c r="I99" s="31" t="n">
        <x:v>0.0160325192</x:v>
      </x:c>
      <x:c r="J99" s="31" t="n">
        <x:v>0.0160325192</x:v>
      </x:c>
      <x:c r="K99" s="31" t="n">
        <x:v>0</x:v>
      </x:c>
      <x:c r="L99" s="31" t="n">
        <x:v>0</x:v>
      </x:c>
      <x:c r="M99" s="31" t="n">
        <x:v>0.0160325192</x:v>
      </x:c>
      <x:c r="N99" s="24" t="str">
        <x:v>hemiramphidae</x:v>
      </x:c>
      <x:c r="O99" s="32" t="n">
        <x:v>2.82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Hemiramphidae</x:v>
      </x:c>
      <x:c r="T99" s="32" t="n">
        <x:f>IF(O99="","",(1/'Metadata'!$B$5)^(O99-1))</x:f>
        <x:v>66.06934480075958</x:v>
      </x:c>
      <x:c r="U99" s="31" t="n">
        <x:f>IF(T99="","",I99*T99)</x:f>
        <x:v>1.0592580390495983</x:v>
      </x:c>
    </x:row>
    <x:row r="100" ht="18" customHeight="1">
      <x:c r="A100" s="24" t="str">
        <x:v>EEZ_175</x:v>
      </x:c>
      <x:c r="B100" s="24" t="str">
        <x:v>Mayotte (France)</x:v>
      </x:c>
      <x:c r="C100" s="24" t="str">
        <x:v>EEZ</x:v>
      </x:c>
      <x:c r="D100" s="30" t="n">
        <x:v>2019</x:v>
      </x:c>
      <x:c r="E100" s="24" t="str">
        <x:v>Perciformes</x:v>
      </x:c>
      <x:c r="F100" s="24" t="str">
        <x:v>Perch-likes</x:v>
      </x:c>
      <x:c r="G100" s="24" t="str">
        <x:v>Medium demersals (30 - 89 cm)</x:v>
      </x:c>
      <x:c r="H100" s="24" t="str">
        <x:v>Perch-likes</x:v>
      </x:c>
      <x:c r="I100" s="31" t="n">
        <x:v>0.0157160674</x:v>
      </x:c>
      <x:c r="J100" s="31" t="n">
        <x:v>0.0157160674</x:v>
      </x:c>
      <x:c r="K100" s="31" t="n">
        <x:v>0</x:v>
      </x:c>
      <x:c r="L100" s="31" t="n">
        <x:v>0</x:v>
      </x:c>
      <x:c r="M100" s="31" t="n">
        <x:v>0.0157160674</x:v>
      </x:c>
      <x:c r="N100" s="24" t="str">
        <x:v>perciformes</x:v>
      </x:c>
      <x:c r="O100" s="32" t="n">
        <x:v>3.53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Perciformes</x:v>
      </x:c>
      <x:c r="T100" s="32" t="n">
        <x:f>IF(O100="","",(1/'Metadata'!$B$5)^(O100-1))</x:f>
        <x:v>338.84415613920237</x:v>
      </x:c>
      <x:c r="U100" s="31" t="n">
        <x:f>IF(T100="","",I100*T100)</x:f>
        <x:v>5.325297595979828</x:v>
      </x:c>
    </x:row>
    <x:row r="101" ht="18" customHeight="1">
      <x:c r="A101" s="24" t="str">
        <x:v>EEZ_175</x:v>
      </x:c>
      <x:c r="B101" s="24" t="str">
        <x:v>Mayotte (France)</x:v>
      </x:c>
      <x:c r="C101" s="24" t="str">
        <x:v>EEZ</x:v>
      </x:c>
      <x:c r="D101" s="30" t="n">
        <x:v>2019</x:v>
      </x:c>
      <x:c r="E101" s="24" t="str">
        <x:v>Terapontidae</x:v>
      </x:c>
      <x:c r="F101" s="24" t="str">
        <x:v>Grunters, tigerperches</x:v>
      </x:c>
      <x:c r="G101" s="24" t="str">
        <x:v>Medium demersals (30 - 89 cm)</x:v>
      </x:c>
      <x:c r="H101" s="24" t="str">
        <x:v>Perch-likes</x:v>
      </x:c>
      <x:c r="I101" s="31" t="n">
        <x:v>0.0069161454</x:v>
      </x:c>
      <x:c r="J101" s="31" t="n">
        <x:v>0.0069161454</x:v>
      </x:c>
      <x:c r="K101" s="31" t="n">
        <x:v>0</x:v>
      </x:c>
      <x:c r="L101" s="31" t="n">
        <x:v>0</x:v>
      </x:c>
      <x:c r="M101" s="31" t="n">
        <x:v>0.0069161454</x:v>
      </x:c>
      <x:c r="N101" s="24" t="str">
        <x:v>terapontidae</x:v>
      </x:c>
      <x:c r="O101" s="32" t="n">
        <x:v>3.64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Terapontidae</x:v>
      </x:c>
      <x:c r="T101" s="32" t="n">
        <x:f>IF(O101="","",(1/'Metadata'!$B$5)^(O101-1))</x:f>
        <x:v>436.5158322401661</x:v>
      </x:c>
      <x:c r="U101" s="31" t="n">
        <x:f>IF(T101="","",I101*T101)</x:f>
        <x:v>3.019006965174997</x:v>
      </x:c>
    </x:row>
    <x:row r="102" ht="18" customHeight="1">
      <x:c r="A102" s="24" t="str">
        <x:v>EEZ_175</x:v>
      </x:c>
      <x:c r="B102" s="24" t="str">
        <x:v>Mayotte (France)</x:v>
      </x:c>
      <x:c r="C102" s="24" t="str">
        <x:v>EEZ</x:v>
      </x:c>
      <x:c r="D102" s="30" t="n">
        <x:v>2019</x:v>
      </x:c>
      <x:c r="E102" s="24" t="str">
        <x:v>Sphyraenidae</x:v>
      </x:c>
      <x:c r="F102" s="24" t="str">
        <x:v>Barracudas</x:v>
      </x:c>
      <x:c r="G102" s="24" t="str">
        <x:v>Medium reef assoc. fish (30 - 89 cm)</x:v>
      </x:c>
      <x:c r="H102" s="24" t="str">
        <x:v>Perch-likes</x:v>
      </x:c>
      <x:c r="I102" s="31" t="n">
        <x:v>0.0055705924</x:v>
      </x:c>
      <x:c r="J102" s="31" t="n">
        <x:v>0.0055705924</x:v>
      </x:c>
      <x:c r="K102" s="31" t="n">
        <x:v>0</x:v>
      </x:c>
      <x:c r="L102" s="31" t="n">
        <x:v>0</x:v>
      </x:c>
      <x:c r="M102" s="31" t="n">
        <x:v>0.0055705924</x:v>
      </x:c>
      <x:c r="N102" s="24" t="str">
        <x:v>sphyraenidae</x:v>
      </x:c>
      <x:c r="O102" s="32" t="n">
        <x:v>4.4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Sphyraenidae</x:v>
      </x:c>
      <x:c r="T102" s="32" t="n">
        <x:f>IF(O102="","",(1/'Metadata'!$B$5)^(O102-1))</x:f>
        <x:v>2511.886431509582</x:v>
      </x:c>
      <x:c r="U102" s="31" t="n">
        <x:f>IF(T102="","",I102*T102)</x:f>
        <x:v>13.9926954650304</x:v>
      </x:c>
    </x:row>
    <x:row r="103" ht="18" customHeight="1">
      <x:c r="A103" s="24" t="str">
        <x:v>EEZ_175</x:v>
      </x:c>
      <x:c r="B103" s="24" t="str">
        <x:v>Mayotte (France)</x:v>
      </x:c>
      <x:c r="C103" s="24" t="str">
        <x:v>EEZ</x:v>
      </x:c>
      <x:c r="D103" s="30" t="n">
        <x:v>2019</x:v>
      </x:c>
      <x:c r="E103" s="24" t="str">
        <x:v>Kajikia audax</x:v>
      </x:c>
      <x:c r="F103" s="24" t="str">
        <x:v>Striped marlin</x:v>
      </x:c>
      <x:c r="G103" s="24" t="str">
        <x:v>Large pelagics (&gt;=90 cm)</x:v>
      </x:c>
      <x:c r="H103" s="24" t="str">
        <x:v>Tuna &amp; billfishes</x:v>
      </x:c>
      <x:c r="I103" s="31" t="n">
        <x:v>0.004215846</x:v>
      </x:c>
      <x:c r="J103" s="31" t="n">
        <x:v>0.004215846</x:v>
      </x:c>
      <x:c r="K103" s="31" t="n">
        <x:v>0</x:v>
      </x:c>
      <x:c r="L103" s="31" t="n">
        <x:v>0.004215846</x:v>
      </x:c>
      <x:c r="M103" s="31" t="n">
        <x:v>0</x:v>
      </x:c>
      <x:c r="N103" s="24" t="str">
        <x:v>kajikia audax</x:v>
      </x:c>
      <x:c r="O103" s="32" t="n">
        <x:v>4.58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Kajikia audax</x:v>
      </x:c>
      <x:c r="T103" s="32" t="n">
        <x:f>IF(O103="","",(1/'Metadata'!$B$5)^(O103-1))</x:f>
        <x:v>3801.8939632056126</x:v>
      </x:c>
      <x:c r="U103" s="31" t="n">
        <x:f>IF(T103="","",I103*T103)</x:f>
        <x:v>16.02819945720453</x:v>
      </x:c>
    </x:row>
    <x:row r="104" ht="18" customHeight="1">
      <x:c r="A104" s="24" t="str">
        <x:v>EEZ_175</x:v>
      </x:c>
      <x:c r="B104" s="24" t="str">
        <x:v>Mayotte (France)</x:v>
      </x:c>
      <x:c r="C104" s="24" t="str">
        <x:v>EEZ</x:v>
      </x:c>
      <x:c r="D104" s="30" t="n">
        <x:v>2019</x:v>
      </x:c>
      <x:c r="E104" s="24" t="str">
        <x:v>Carcharhinus amblyrhynchos</x:v>
      </x:c>
      <x:c r="F104" s="24" t="str">
        <x:v>Blacktail reef shark</x:v>
      </x:c>
      <x:c r="G104" s="24" t="str">
        <x:v>Large sharks (&gt;=90 cm)</x:v>
      </x:c>
      <x:c r="H104" s="24" t="str">
        <x:v>Sharks &amp; rays</x:v>
      </x:c>
      <x:c r="I104" s="31" t="n">
        <x:v>0.0029455933</x:v>
      </x:c>
      <x:c r="J104" s="31" t="n">
        <x:v>0.0029455933</x:v>
      </x:c>
      <x:c r="K104" s="31" t="n">
        <x:v>0</x:v>
      </x:c>
      <x:c r="L104" s="31" t="n">
        <x:v>0.0029455933</x:v>
      </x:c>
      <x:c r="M104" s="31" t="n">
        <x:v>0</x:v>
      </x:c>
      <x:c r="N104" s="24" t="str">
        <x:v>carcharhinus amblyrhynchos</x:v>
      </x:c>
      <x:c r="O104" s="32" t="n">
        <x:v>4.11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Carcharhinus amblyrhynchos</x:v>
      </x:c>
      <x:c r="T104" s="32" t="n">
        <x:f>IF(O104="","",(1/'Metadata'!$B$5)^(O104-1))</x:f>
        <x:v>1288.249551693135</x:v>
      </x:c>
      <x:c r="U104" s="31" t="n">
        <x:f>IF(T104="","",I104*T104)</x:f>
        <x:v>3.794659248195302</x:v>
      </x:c>
    </x:row>
    <x:row r="105" ht="18" customHeight="1">
      <x:c r="A105" s="24" t="str">
        <x:v>EEZ_175</x:v>
      </x:c>
      <x:c r="B105" s="24" t="str">
        <x:v>Mayotte (France)</x:v>
      </x:c>
      <x:c r="C105" s="24" t="str">
        <x:v>EEZ</x:v>
      </x:c>
      <x:c r="D105" s="30" t="n">
        <x:v>2019</x:v>
      </x:c>
      <x:c r="E105" s="24" t="str">
        <x:v>Istiompax indica</x:v>
      </x:c>
      <x:c r="F105" s="24" t="str">
        <x:v>Black marlin</x:v>
      </x:c>
      <x:c r="G105" s="24" t="str">
        <x:v>Large pelagics (&gt;=90 cm)</x:v>
      </x:c>
      <x:c r="H105" s="24" t="str">
        <x:v>Tuna &amp; billfishes</x:v>
      </x:c>
      <x:c r="I105" s="31" t="n">
        <x:v>0.0004544769</x:v>
      </x:c>
      <x:c r="J105" s="31" t="n">
        <x:v>0.0004544769</x:v>
      </x:c>
      <x:c r="K105" s="31" t="n">
        <x:v>0</x:v>
      </x:c>
      <x:c r="L105" s="31" t="n">
        <x:v>0.0004544769</x:v>
      </x:c>
      <x:c r="M105" s="31" t="n">
        <x:v>0</x:v>
      </x:c>
      <x:c r="N105" s="24" t="str">
        <x:v>istiompax indica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Istiompax indica</x:v>
      </x:c>
      <x:c r="T105" s="32" t="n">
        <x:f>IF(O105="","",(1/'Metadata'!$B$5)^(O105-1))</x:f>
        <x:v>3162.2776601683795</x:v>
      </x:c>
      <x:c r="U105" s="31" t="n">
        <x:f>IF(T105="","",I105*T105)</x:f>
        <x:v>1.4371821479325786</x:v>
      </x:c>
    </x:row>
  </x:sheetData>
  <x:conditionalFormatting sqref="R2:R10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437fd7aabc647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6.8355996107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1083.3695289388272</x:v>
      </x:c>
    </x:row>
    <x:row r="3" ht="18" customHeight="1">
      <x:c r="A3" s="24" t="str">
        <x:v>Crustaceans</x:v>
      </x:c>
      <x:c r="B3" s="31" t="n">
        <x:v>0.12237250930000002</x:v>
      </x:c>
      <x:c r="C3" s="32" t="n">
        <x:v>3.17</x:v>
      </x:c>
      <x:c r="D3" s="32" t="n">
        <x:f>IF(C3="","",(1/'Metadata'!$B$5)^(C3-1))</x:f>
        <x:v>147.91083881682073</x:v>
      </x:c>
      <x:c r="E3" s="31" t="n">
        <x:f>IF(B3=0,"",B3*D3)</x:f>
        <x:v>18.100220498682198</x:v>
      </x:c>
    </x:row>
    <x:row r="4" ht="18" customHeight="1">
      <x:c r="A4" s="24" t="str">
        <x:v>Flatfishes</x:v>
      </x:c>
      <x:c r="B4" s="31" t="n">
        <x:v>0.10543927789999999</x:v>
      </x:c>
      <x:c r="C4" s="32" t="n">
        <x:v>3.5</x:v>
      </x:c>
      <x:c r="D4" s="32" t="n">
        <x:f>IF(C4="","",(1/'Metadata'!$B$5)^(C4-1))</x:f>
        <x:v>316.22776601683796</x:v>
      </x:c>
      <x:c r="E4" s="31" t="n">
        <x:f>IF(B4=0,"",B4*D4)</x:f>
        <x:v>33.34282730074555</x:v>
      </x:c>
    </x:row>
    <x:row r="5" ht="18" customHeight="1">
      <x:c r="A5" s="24" t="str">
        <x:v>Herring-likes</x:v>
      </x:c>
      <x:c r="B5" s="31" t="n">
        <x:v>12.7381198897</x:v>
      </x:c>
      <x:c r="C5" s="32" t="n">
        <x:v>3.3235023832360127</x:v>
      </x:c>
      <x:c r="D5" s="32" t="n">
        <x:f>IF(C5="","",(1/'Metadata'!$B$5)^(C5-1))</x:f>
        <x:v>210.62134570243248</x:v>
      </x:c>
      <x:c r="E5" s="31" t="n">
        <x:f>IF(B5=0,"",B5*D5)</x:f>
        <x:v>2682.9199528875347</x:v>
      </x:c>
    </x:row>
    <x:row r="6" ht="18" customHeight="1">
      <x:c r="A6" s="24" t="str">
        <x:v>Molluscs</x:v>
      </x:c>
      <x:c r="B6" s="31" t="n">
        <x:v>4.840103997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60.933299175498206</x:v>
      </x:c>
    </x:row>
    <x:row r="7" ht="18" customHeight="1">
      <x:c r="A7" s="24" t="str">
        <x:v>Other fishes &amp; inverts</x:v>
      </x:c>
      <x:c r="B7" s="31" t="n">
        <x:v>150.2241701022</x:v>
      </x:c>
      <x:c r="C7" s="32" t="n">
        <x:v>3.354026691243236</x:v>
      </x:c>
      <x:c r="D7" s="32" t="n">
        <x:f>IF(C7="","",(1/'Metadata'!$B$5)^(C7-1))</x:f>
        <x:v>225.95746368321707</x:v>
      </x:c>
      <x:c r="E7" s="31" t="n">
        <x:f>IF(B7=0,"",B7*D7)</x:f>
        <x:v>33944.27246020928</x:v>
      </x:c>
    </x:row>
    <x:row r="8" ht="18" customHeight="1">
      <x:c r="A8" s="24" t="str">
        <x:v>Perch-likes</x:v>
      </x:c>
      <x:c r="B8" s="31" t="n">
        <x:v>1572.6467617203</x:v>
      </x:c>
      <x:c r="C8" s="32" t="n">
        <x:v>3.927583855835971</x:v>
      </x:c>
      <x:c r="D8" s="32" t="n">
        <x:f>IF(C8="","",(1/'Metadata'!$B$5)^(C8-1))</x:f>
        <x:v>846.4159834279274</x:v>
      </x:c>
      <x:c r="E8" s="31" t="n">
        <x:f>IF(B8=0,"",B8*D8)</x:f>
        <x:v>1331113.355406233</x:v>
      </x:c>
    </x:row>
    <x:row r="9" ht="18" customHeight="1">
      <x:c r="A9" s="24" t="str">
        <x:v>Scorpionfishes</x:v>
      </x:c>
      <x:c r="B9" s="31" t="n">
        <x:v>0.07249220640000001</x:v>
      </x:c>
      <x:c r="C9" s="32" t="n">
        <x:v>3.6</x:v>
      </x:c>
      <x:c r="D9" s="32" t="n">
        <x:f>IF(C9="","",(1/'Metadata'!$B$5)^(C9-1))</x:f>
        <x:v>398.1071705534973</x:v>
      </x:c>
      <x:c r="E9" s="31" t="n">
        <x:f>IF(B9=0,"",B9*D9)</x:f>
        <x:v>28.859667177084134</x:v>
      </x:c>
    </x:row>
    <x:row r="10" ht="18" customHeight="1">
      <x:c r="A10" s="24" t="str">
        <x:v>Sharks &amp; rays</x:v>
      </x:c>
      <x:c r="B10" s="31" t="n">
        <x:v>13.852317241000002</x:v>
      </x:c>
      <x:c r="C10" s="32" t="n">
        <x:v>4.174484760000379</x:v>
      </x:c>
      <x:c r="D10" s="32" t="n">
        <x:f>IF(C10="","",(1/'Metadata'!$B$5)^(C10-1))</x:f>
        <x:v>1494.461598702618</x:v>
      </x:c>
      <x:c r="E10" s="31" t="n">
        <x:f>IF(B10=0,"",B10*D10)</x:f>
        <x:v>20701.7561697207</x:v>
      </x:c>
    </x:row>
    <x:row r="11" ht="18" customHeight="1">
      <x:c r="A11" s="24" t="str">
        <x:v>Tuna &amp; billfishes</x:v>
      </x:c>
      <x:c r="B11" s="31" t="n">
        <x:v>912.8002530722001</x:v>
      </x:c>
      <x:c r="C11" s="32" t="n">
        <x:v>4.411655499035915</x:v>
      </x:c>
      <x:c r="D11" s="32" t="n">
        <x:f>IF(C11="","",(1/'Metadata'!$B$5)^(C11-1))</x:f>
        <x:v>2580.212643579201</x:v>
      </x:c>
      <x:c r="E11" s="31" t="n">
        <x:f>IF(B11=0,"",B11*D11)</x:f>
        <x:v>2355218.754039185</x:v>
      </x:c>
    </x:row>
  </x:sheetData>
  <x:pageMargins left="0.7" right="0.7" top="0.75" bottom="0.75" header="0.3" footer="0.3"/>
  <x:tableParts count="1">
    <x:tablePart xmlns:r="http://schemas.openxmlformats.org/officeDocument/2006/relationships" r:id="Rb81d3fc0fd3940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14.217364470400002</x:v>
      </x:c>
      <x:c r="C2" s="32" t="n">
        <x:v>3.616855143907783</x:v>
      </x:c>
      <x:c r="D2" s="32" t="n">
        <x:f>IF(C2="","",(1/'Metadata'!$B$5)^(C2-1))</x:f>
        <x:v>413.86161095449603</x:v>
      </x:c>
      <x:c r="E2" s="31" t="n">
        <x:f>IF(B2=0,"",B2*D2)</x:f>
        <x:v>5884.0213632469595</x:v>
      </x:c>
    </x:row>
    <x:row r="3" ht="18" customHeight="1">
      <x:c r="A3" s="24" t="str">
        <x:v>Large bathydemersals (&gt;=90 cm)</x:v>
      </x:c>
      <x:c r="B3" s="31" t="n">
        <x:v>1.4194264925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3733.4720700710795</x:v>
      </x:c>
    </x:row>
    <x:row r="4" ht="18" customHeight="1">
      <x:c r="A4" s="24" t="str">
        <x:v>Large benthopelagics (&gt;=90 cm)</x:v>
      </x:c>
      <x:c r="B4" s="31" t="n">
        <x:v>2.2603069087</x:v>
      </x:c>
      <x:c r="C4" s="32" t="n">
        <x:v>4.112687118323013</x:v>
      </x:c>
      <x:c r="D4" s="32" t="n">
        <x:f>IF(C4="","",(1/'Metadata'!$B$5)^(C4-1))</x:f>
        <x:v>1296.2450720057407</x:v>
      </x:c>
      <x:c r="E4" s="31" t="n">
        <x:f>IF(B4=0,"",B4*D4)</x:f>
        <x:v>2929.9116916229045</x:v>
      </x:c>
    </x:row>
    <x:row r="5" ht="18" customHeight="1">
      <x:c r="A5" s="24" t="str">
        <x:v>Large pelagics (&gt;=90 cm)</x:v>
      </x:c>
      <x:c r="B5" s="31" t="n">
        <x:v>1100.6507819115</x:v>
      </x:c>
      <x:c r="C5" s="32" t="n">
        <x:v>4.401410163327282</x:v>
      </x:c>
      <x:c r="D5" s="32" t="n">
        <x:f>IF(C5="","",(1/'Metadata'!$B$5)^(C5-1))</x:f>
        <x:v>2520.0558355791027</x:v>
      </x:c>
      <x:c r="E5" s="31" t="n">
        <x:f>IF(B5=0,"",B5*D5)</x:f>
        <x:v>2773701.4258907777</x:v>
      </x:c>
    </x:row>
    <x:row r="6" ht="18" customHeight="1">
      <x:c r="A6" s="24" t="str">
        <x:v>Large reef assoc. fish (&gt;=90 cm)</x:v>
      </x:c>
      <x:c r="B6" s="31" t="n">
        <x:v>105.91804543900001</x:v>
      </x:c>
      <x:c r="C6" s="32" t="n">
        <x:v>4.376937521507977</x:v>
      </x:c>
      <x:c r="D6" s="32" t="n">
        <x:f>IF(C6="","",(1/'Metadata'!$B$5)^(C6-1))</x:f>
        <x:v>2381.976768660901</x:v>
      </x:c>
      <x:c r="E6" s="31" t="n">
        <x:f>IF(B6=0,"",B6*D6)</x:f>
        <x:v>252294.32361766775</x:v>
      </x:c>
    </x:row>
    <x:row r="7" ht="18" customHeight="1">
      <x:c r="A7" s="24" t="str">
        <x:v>Large sharks (&gt;=90 cm)</x:v>
      </x:c>
      <x:c r="B7" s="31" t="n">
        <x:v>13.852317241000002</x:v>
      </x:c>
      <x:c r="C7" s="32" t="n">
        <x:v>4.174484760000379</x:v>
      </x:c>
      <x:c r="D7" s="32" t="n">
        <x:f>IF(C7="","",(1/'Metadata'!$B$5)^(C7-1))</x:f>
        <x:v>1494.461598702618</x:v>
      </x:c>
      <x:c r="E7" s="31" t="n">
        <x:f>IF(B7=0,"",B7*D7)</x:f>
        <x:v>20701.7561697207</x:v>
      </x:c>
    </x:row>
    <x:row r="8" ht="18" customHeight="1">
      <x:c r="A8" s="24" t="str">
        <x:v>Lobsters, crabs</x:v>
      </x:c>
      <x:c r="B8" s="31" t="n">
        <x:v>0.12237250930000002</x:v>
      </x:c>
      <x:c r="C8" s="32" t="n">
        <x:v>3.17</x:v>
      </x:c>
      <x:c r="D8" s="32" t="n">
        <x:f>IF(C8="","",(1/'Metadata'!$B$5)^(C8-1))</x:f>
        <x:v>147.91083881682073</x:v>
      </x:c>
      <x:c r="E8" s="31" t="n">
        <x:f>IF(B8=0,"",B8*D8)</x:f>
        <x:v>18.100220498682198</x:v>
      </x:c>
    </x:row>
    <x:row r="9" ht="18" customHeight="1">
      <x:c r="A9" s="24" t="str">
        <x:v>Medium benthopelagics (30 - 89 cm)</x:v>
      </x:c>
      <x:c r="B9" s="31" t="n">
        <x:v>14.9611677543</x:v>
      </x:c>
      <x:c r="C9" s="32" t="n">
        <x:v>3.31</x:v>
      </x:c>
      <x:c r="D9" s="32" t="n">
        <x:f>IF(C9="","",(1/'Metadata'!$B$5)^(C9-1))</x:f>
        <x:v>204.17379446695296</x:v>
      </x:c>
      <x:c r="E9" s="31" t="n">
        <x:f>IF(B9=0,"",B9*D9)</x:f>
        <x:v>3054.6783900520522</x:v>
      </x:c>
    </x:row>
    <x:row r="10" ht="18" customHeight="1">
      <x:c r="A10" s="24" t="str">
        <x:v>Medium demersals (30 - 89 cm)</x:v>
      </x:c>
      <x:c r="B10" s="31" t="n">
        <x:v>84.6922400265</x:v>
      </x:c>
      <x:c r="C10" s="32" t="n">
        <x:v>3.5063063899464555</x:v>
      </x:c>
      <x:c r="D10" s="32" t="n">
        <x:f>IF(C10="","",(1/'Metadata'!$B$5)^(C10-1))</x:f>
        <x:v>320.8532110090418</x:v>
      </x:c>
      <x:c r="E10" s="31" t="n">
        <x:f>IF(B10=0,"",B10*D10)</x:f>
        <x:v>27173.77716005102</x:v>
      </x:c>
    </x:row>
    <x:row r="11" ht="18" customHeight="1">
      <x:c r="A11" s="24" t="str">
        <x:v>Medium pelagics (30 - 89 cm)</x:v>
      </x:c>
      <x:c r="B11" s="31" t="n">
        <x:v>461.7743436717</x:v>
      </x:c>
      <x:c r="C11" s="32" t="n">
        <x:v>4.063430731438876</x:v>
      </x:c>
      <x:c r="D11" s="32" t="n">
        <x:f>IF(C11="","",(1/'Metadata'!$B$5)^(C11-1))</x:f>
        <x:v>1157.2594382450202</x:v>
      </x:c>
      <x:c r="E11" s="31" t="n">
        <x:f>IF(B11=0,"",B11*D11)</x:f>
        <x:v>534392.7175534745</x:v>
      </x:c>
    </x:row>
    <x:row r="12" ht="18" customHeight="1">
      <x:c r="A12" s="24" t="str">
        <x:v>Medium reef assoc. fish (30 - 89 cm)</x:v>
      </x:c>
      <x:c r="B12" s="31" t="n">
        <x:v>717.4850210377999</x:v>
      </x:c>
      <x:c r="C12" s="32" t="n">
        <x:v>3.6892720060674513</x:v>
      </x:c>
      <x:c r="D12" s="32" t="n">
        <x:f>IF(C12="","",(1/'Metadata'!$B$5)^(C12-1))</x:f>
        <x:v>488.9585065419288</x:v>
      </x:c>
      <x:c r="E12" s="31" t="n">
        <x:f>IF(B12=0,"",B12*D12)</x:f>
        <x:v>350820.404352847</x:v>
      </x:c>
    </x:row>
    <x:row r="13" ht="18" customHeight="1">
      <x:c r="A13" s="24" t="str">
        <x:v>Other demersal invertebrates</x:v>
      </x:c>
      <x:c r="B13" s="31" t="n">
        <x:v>4.840103997</x:v>
      </x:c>
      <x:c r="C13" s="32" t="n">
        <x:v>2.1</x:v>
      </x:c>
      <x:c r="D13" s="32" t="n">
        <x:f>IF(C13="","",(1/'Metadata'!$B$5)^(C13-1))</x:f>
        <x:v>12.589254117941675</x:v>
      </x:c>
      <x:c r="E13" s="31" t="n">
        <x:f>IF(B13=0,"",B13*D13)</x:f>
        <x:v>60.933299175498206</x:v>
      </x:c>
    </x:row>
    <x:row r="14" ht="18" customHeight="1">
      <x:c r="A14" s="24" t="str">
        <x:v>Small benthopelagics (&lt;30 cm)</x:v>
      </x:c>
      <x:c r="B14" s="31" t="n">
        <x:v>1.2764816442</x:v>
      </x:c>
      <x:c r="C14" s="32" t="n">
        <x:v>3.263869989642582</x:v>
      </x:c>
      <x:c r="D14" s="32" t="n">
        <x:f>IF(C14="","",(1/'Metadata'!$B$5)^(C14-1))</x:f>
        <x:v>183.59886396771958</x:v>
      </x:c>
      <x:c r="E14" s="31" t="n">
        <x:f>IF(B14=0,"",B14*D14)</x:f>
        <x:v>234.36057975076682</x:v>
      </x:c>
    </x:row>
    <x:row r="15" ht="18" customHeight="1">
      <x:c r="A15" s="24" t="str">
        <x:v>Small demersals (&lt;30 cm)</x:v>
      </x:c>
      <x:c r="B15" s="31" t="n">
        <x:v>91.3554607102</x:v>
      </x:c>
      <x:c r="C15" s="32" t="n">
        <x:v>3.621483721607513</x:v>
      </x:c>
      <x:c r="D15" s="32" t="n">
        <x:f>IF(C15="","",(1/'Metadata'!$B$5)^(C15-1))</x:f>
        <x:v>418.29600962604593</x:v>
      </x:c>
      <x:c r="E15" s="31" t="n">
        <x:f>IF(B15=0,"",B15*D15)</x:f>
        <x:v>38213.62467262568</x:v>
      </x:c>
    </x:row>
    <x:row r="16" ht="18" customHeight="1">
      <x:c r="A16" s="24" t="str">
        <x:v>Small pelagics (&lt;30 cm)</x:v>
      </x:c>
      <x:c r="B16" s="31" t="n">
        <x:v>17.5711108851</x:v>
      </x:c>
      <x:c r="C16" s="32" t="n">
        <x:v>3.175560995899233</x:v>
      </x:c>
      <x:c r="D16" s="32" t="n">
        <x:f>IF(C16="","",(1/'Metadata'!$B$5)^(C16-1))</x:f>
        <x:v>149.81696535728497</x:v>
      </x:c>
      <x:c r="E16" s="31" t="n">
        <x:f>IF(B16=0,"",B16*D16)</x:f>
        <x:v>2632.45051076204</x:v>
      </x:c>
    </x:row>
    <x:row r="17" ht="18" customHeight="1">
      <x:c r="A17" s="24" t="str">
        <x:v>Small reef assoc. fish (&lt;30 cm)</x:v>
      </x:c>
      <x:c r="B17" s="31" t="n">
        <x:v>41.7356456496</x:v>
      </x:c>
      <x:c r="C17" s="32" t="n">
        <x:v>3.266116620149722</x:v>
      </x:c>
      <x:c r="D17" s="32" t="n">
        <x:f>IF(C17="","",(1/'Metadata'!$B$5)^(C17-1))</x:f>
        <x:v>184.5510923670095</x:v>
      </x:c>
      <x:c r="E17" s="31" t="n">
        <x:f>IF(B17=0,"",B17*D17)</x:f>
        <x:v>7702.358995276108</x:v>
      </x:c>
    </x:row>
    <x:row r="18" ht="18" customHeight="1">
      <x:c r="A18" s="24" t="str">
        <x:v>Small to medium flatfishes (&lt;90 cm)</x:v>
      </x:c>
      <x:c r="B18" s="31" t="n">
        <x:v>0.10543927789999999</x:v>
      </x:c>
      <x:c r="C18" s="32" t="n">
        <x:v>3.5</x:v>
      </x:c>
      <x:c r="D18" s="32" t="n">
        <x:f>IF(C18="","",(1/'Metadata'!$B$5)^(C18-1))</x:f>
        <x:v>316.22776601683796</x:v>
      </x:c>
      <x:c r="E18" s="31" t="n">
        <x:f>IF(B18=0,"",B18*D18)</x:f>
        <x:v>33.34282730074555</x:v>
      </x:c>
    </x:row>
  </x:sheetData>
  <x:pageMargins left="0.7" right="0.7" top="0.75" bottom="0.75" header="0.3" footer="0.3"/>
  <x:tableParts count="1">
    <x:tablePart xmlns:r="http://schemas.openxmlformats.org/officeDocument/2006/relationships" r:id="Rfcab9b1d87914c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EEZ_175</x:v>
      </x:c>
      <x:c r="B2" s="24" t="str">
        <x:v>raw_filtered_tonnes</x:v>
      </x:c>
      <x:c r="C2" s="24" t="n">
        <x:v>2674.2376296267003</x:v>
      </x:c>
      <x:c r="D2" s="24" t="str">
        <x:v>tonnes</x:v>
      </x:c>
    </x:row>
    <x:row r="3" ht="18" customHeight="1">
      <x:c r="A3" s="24" t="str">
        <x:v>EEZ_175</x:v>
      </x:c>
      <x:c r="B3" s="24" t="str">
        <x:v>species_catch_tonnes</x:v>
      </x:c>
      <x:c r="C3" s="24" t="n">
        <x:v>2674.2376296267003</x:v>
      </x:c>
      <x:c r="D3" s="24" t="str">
        <x:v>tonnes</x:v>
      </x:c>
    </x:row>
    <x:row r="4" ht="18" customHeight="1">
      <x:c r="A4" s="24" t="str">
        <x:v>EEZ_175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EEZ_175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EEZ_175</x:v>
      </x:c>
      <x:c r="B6" s="24" t="str">
        <x:v>matched_catch_tonnes</x:v>
      </x:c>
      <x:c r="C6" s="24" t="n">
        <x:v>2674.2376296267003</x:v>
      </x:c>
      <x:c r="D6" s="24" t="str">
        <x:v>tonnes</x:v>
      </x:c>
    </x:row>
    <x:row r="7" ht="18" customHeight="1">
      <x:c r="A7" s="24" t="str">
        <x:v>EEZ_175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EEZ_175</x:v>
      </x:c>
      <x:c r="B8" s="24" t="str">
        <x:v>taxa_count</x:v>
      </x:c>
      <x:c r="C8" s="24" t="n">
        <x:v>104</x:v>
      </x:c>
      <x:c r="D8" s="24" t="str">
        <x:v>count</x:v>
      </x:c>
    </x:row>
    <x:row r="9" ht="18" customHeight="1">
      <x:c r="A9" s="24" t="str">
        <x:v>EEZ_175</x:v>
      </x:c>
      <x:c r="B9" s="24" t="str">
        <x:v>matched_taxa_count</x:v>
      </x:c>
      <x:c r="C9" s="24" t="n">
        <x:v>104</x:v>
      </x:c>
      <x:c r="D9" s="24" t="str">
        <x:v>count</x:v>
      </x:c>
    </x:row>
    <x:row r="10" ht="18" customHeight="1">
      <x:c r="A10" s="24" t="str">
        <x:v>EEZ_175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EEZ_175</x:v>
      </x:c>
      <x:c r="B11" s="24" t="str">
        <x:v>species_ppr</x:v>
      </x:c>
      <x:c r="C11" s="24" t="n">
        <x:v>4420008.906455407</x:v>
      </x:c>
      <x:c r="D11" s="24" t="str">
        <x:v>tonnes_primary_production_equivalent</x:v>
      </x:c>
    </x:row>
    <x:row r="12" ht="18" customHeight="1">
      <x:c r="A12" s="24" t="str">
        <x:v>EEZ_175</x:v>
      </x:c>
      <x:c r="B12" s="24" t="str">
        <x:v>commercial_ppr</x:v>
      </x:c>
      <x:c r="C12" s="24" t="n">
        <x:v>3744885.6635713265</x:v>
      </x:c>
      <x:c r="D12" s="24" t="str">
        <x:v>tonnes_primary_production_equivalent</x:v>
      </x:c>
    </x:row>
    <x:row r="13" ht="18" customHeight="1">
      <x:c r="A13" s="24" t="str">
        <x:v>EEZ_175</x:v>
      </x:c>
      <x:c r="B13" s="24" t="str">
        <x:v>functional_ppr</x:v>
      </x:c>
      <x:c r="C13" s="24" t="n">
        <x:v>4023581.6593649206</x:v>
      </x:c>
      <x:c r="D13" s="24" t="str">
        <x:v>tonnes_primary_production_equivalent</x:v>
      </x:c>
    </x:row>
    <x:row r="14" ht="18" customHeight="1">
      <x:c r="A14" s="24" t="str">
        <x:v>EEZ_175</x:v>
      </x:c>
      <x:c r="B14" s="24" t="str">
        <x:v>commercial_ppr_difference</x:v>
      </x:c>
      <x:c r="C14" s="24" t="n">
        <x:v>-675123.2428840804</x:v>
      </x:c>
      <x:c r="D14" s="24" t="str">
        <x:v>tonnes_primary_production_equivalent</x:v>
      </x:c>
    </x:row>
    <x:row r="15" ht="18" customHeight="1">
      <x:c r="A15" s="24" t="str">
        <x:v>EEZ_175</x:v>
      </x:c>
      <x:c r="B15" s="24" t="str">
        <x:v>functional_ppr_difference</x:v>
      </x:c>
      <x:c r="C15" s="24" t="n">
        <x:v>-396427.24709048634</x:v>
      </x:c>
      <x:c r="D15" s="24" t="str">
        <x:v>tonnes_primary_production_equivalent</x:v>
      </x:c>
    </x:row>
    <x:row r="16" ht="18" customHeight="1">
      <x:c r="A16" s="24" t="str">
        <x:v>EEZ_175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EEZ_175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8ea85ce56aa49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EEZ_175 - Mayotte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EEZ_175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raw_data/SAU_downloads/EEZ_175-catch.zip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