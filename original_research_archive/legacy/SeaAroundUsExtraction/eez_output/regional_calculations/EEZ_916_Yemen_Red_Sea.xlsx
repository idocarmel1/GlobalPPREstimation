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b8462fa124e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827874a82a34b11"/>
    <x:sheet xmlns:r="http://schemas.openxmlformats.org/officeDocument/2006/relationships" name="Commercial" sheetId="2" r:id="R3041931b29ab4752"/>
    <x:sheet xmlns:r="http://schemas.openxmlformats.org/officeDocument/2006/relationships" name="Functional" sheetId="3" r:id="Rc6c74bb852874645"/>
    <x:sheet xmlns:r="http://schemas.openxmlformats.org/officeDocument/2006/relationships" name="Missing TL" sheetId="4" r:id="R601003c52fc34f34"/>
    <x:sheet xmlns:r="http://schemas.openxmlformats.org/officeDocument/2006/relationships" name="Validation" sheetId="5" r:id="Reed80b3695584565"/>
    <x:sheet xmlns:r="http://schemas.openxmlformats.org/officeDocument/2006/relationships" name="Metadata" sheetId="6" r:id="R5adb8a62508148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9e25c57c34fe8" /><Relationship Type="http://schemas.openxmlformats.org/officeDocument/2006/relationships/theme" Target="/xl/theme/theme1.xml" Id="R784e7acb059146b3" /><Relationship Type="http://schemas.microsoft.com/office/2022/11/relationships/FeaturePropertyBag" Target="/xl/featurePropertyBag/featurePropertyBag.xml" Id="R21e5acf0afb14407" /><Relationship Type="http://schemas.openxmlformats.org/officeDocument/2006/relationships/sharedStrings" Target="/xl/sharedStrings.xml" Id="R41b0099e847f4852" /><Relationship Type="http://schemas.openxmlformats.org/officeDocument/2006/relationships/worksheet" Target="/xl/worksheets/sheet1.xml" Id="Rc827874a82a34b11" /><Relationship Type="http://schemas.openxmlformats.org/officeDocument/2006/relationships/worksheet" Target="/xl/worksheets/sheet2.xml" Id="R3041931b29ab4752" /><Relationship Type="http://schemas.openxmlformats.org/officeDocument/2006/relationships/worksheet" Target="/xl/worksheets/sheet3.xml" Id="Rc6c74bb852874645" /><Relationship Type="http://schemas.openxmlformats.org/officeDocument/2006/relationships/worksheet" Target="/xl/worksheets/sheet4.xml" Id="R601003c52fc34f34" /><Relationship Type="http://schemas.openxmlformats.org/officeDocument/2006/relationships/worksheet" Target="/xl/worksheets/sheet5.xml" Id="Reed80b3695584565" /><Relationship Type="http://schemas.openxmlformats.org/officeDocument/2006/relationships/worksheet" Target="/xl/worksheets/sheet6.xml" Id="R5adb8a62508148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16SpeciesTable" displayName="EEZ916SpeciesTable" ref="A1:U42" headerRowCount="1" totalsRowCount="0" totalsRowShown="0">
  <x:autoFilter ref="A1:U4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16CommercialTable" displayName="EEZ916CommercialTable" ref="A1:E9" headerRowCount="1" totalsRowCount="0" totalsRowShown="0">
  <x:autoFilter ref="A1:E9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16FunctionalTable" displayName="EEZ916FunctionalTable" ref="A1:E13" headerRowCount="1" totalsRowCount="0" totalsRowShown="0">
  <x:autoFilter ref="A1:E1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16ValidationTable" displayName="EEZ91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03f4bf95b944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fa0059347440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aeeabd686a942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7c4be263024ea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EEZ_916</x:v>
      </x:c>
      <x:c r="B2" s="24" t="str">
        <x:v>Yemen (Red Sea)</x:v>
      </x:c>
      <x:c r="C2" s="24" t="str">
        <x:v>EEZ</x:v>
      </x:c>
      <x:c r="D2" s="30" t="n">
        <x:v>2019</x:v>
      </x:c>
      <x:c r="E2" s="24" t="str">
        <x:v>Nemipterus</x:v>
      </x:c>
      <x:c r="F2" s="24" t="str">
        <x:v>Threadfin breams</x:v>
      </x:c>
      <x:c r="G2" s="24" t="str">
        <x:v>Small demersals (&lt;30 cm)</x:v>
      </x:c>
      <x:c r="H2" s="24" t="str">
        <x:v>Perch-likes</x:v>
      </x:c>
      <x:c r="I2" s="31" t="n">
        <x:v>5250.8595283544</x:v>
      </x:c>
      <x:c r="J2" s="31" t="n">
        <x:v>1908.5094869555999</x:v>
      </x:c>
      <x:c r="K2" s="31" t="n">
        <x:v>3342.3500413988</x:v>
      </x:c>
      <x:c r="L2" s="31" t="n">
        <x:v>1897.3003600770999</x:v>
      </x:c>
      <x:c r="M2" s="31" t="n">
        <x:v>3353.5591682772997</x:v>
      </x:c>
      <x:c r="N2" s="24" t="str">
        <x:v>nemipterus</x:v>
      </x:c>
      <x:c r="O2" s="32" t="n">
        <x:v>3.72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Nemipterus</x:v>
      </x:c>
      <x:c r="T2" s="32" t="n">
        <x:f>IF(O2="","",(1/'Metadata'!$B$5)^(O2-1))</x:f>
        <x:v>524.8074602497728</x:v>
      </x:c>
      <x:c r="U2" s="31" t="n">
        <x:f>IF(T2="","",I2*T2)</x:f>
        <x:v>2755690.2532039927</x:v>
      </x:c>
    </x:row>
    <x:row r="3" ht="18" customHeight="1">
      <x:c r="A3" s="24" t="str">
        <x:v>EEZ_916</x:v>
      </x:c>
      <x:c r="B3" s="24" t="str">
        <x:v>Yemen (Red Sea)</x:v>
      </x:c>
      <x:c r="C3" s="24" t="str">
        <x:v>EEZ</x:v>
      </x:c>
      <x:c r="D3" s="30" t="n">
        <x:v>2019</x:v>
      </x:c>
      <x:c r="E3" s="24" t="str">
        <x:v>Sepiidae</x:v>
      </x:c>
      <x:c r="F3" s="24" t="str">
        <x:v>Cuttlefishes</x:v>
      </x:c>
      <x:c r="G3" s="24" t="str">
        <x:v>Cephalopods</x:v>
      </x:c>
      <x:c r="H3" s="24" t="str">
        <x:v>Other fishes &amp; inverts</x:v>
      </x:c>
      <x:c r="I3" s="31" t="n">
        <x:v>2860.3356564026</x:v>
      </x:c>
      <x:c r="J3" s="31" t="n">
        <x:v>1372.5465883632</x:v>
      </x:c>
      <x:c r="K3" s="31" t="n">
        <x:v>1487.7890680394</x:v>
      </x:c>
      <x:c r="L3" s="31" t="n">
        <x:v>1372.5465883632</x:v>
      </x:c>
      <x:c r="M3" s="31" t="n">
        <x:v>1487.7890680394</x:v>
      </x:c>
      <x:c r="N3" s="24" t="str">
        <x:v>sepiidae</x:v>
      </x:c>
      <x:c r="O3" s="32" t="n">
        <x:v>3.6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Sepiidae</x:v>
      </x:c>
      <x:c r="T3" s="32" t="n">
        <x:f>IF(O3="","",(1/'Metadata'!$B$5)^(O3-1))</x:f>
        <x:v>398.1071705534973</x:v>
      </x:c>
      <x:c r="U3" s="31" t="n">
        <x:f>IF(T3="","",I3*T3)</x:f>
        <x:v>1138720.1350037195</x:v>
      </x:c>
    </x:row>
    <x:row r="4" ht="18" customHeight="1">
      <x:c r="A4" s="24" t="str">
        <x:v>EEZ_916</x:v>
      </x:c>
      <x:c r="B4" s="24" t="str">
        <x:v>Yemen (Red Sea)</x:v>
      </x:c>
      <x:c r="C4" s="24" t="str">
        <x:v>EEZ</x:v>
      </x:c>
      <x:c r="D4" s="30" t="n">
        <x:v>2019</x:v>
      </x:c>
      <x:c r="E4" s="24" t="str">
        <x:v>Sardinella longiceps</x:v>
      </x:c>
      <x:c r="F4" s="24" t="str">
        <x:v>Indian oil sardine</x:v>
      </x:c>
      <x:c r="G4" s="24" t="str">
        <x:v>Small pelagics (&lt;30 cm)</x:v>
      </x:c>
      <x:c r="H4" s="24" t="str">
        <x:v>Herring-likes</x:v>
      </x:c>
      <x:c r="I4" s="31" t="n">
        <x:v>2804.9999999997</x:v>
      </x:c>
      <x:c r="J4" s="31" t="n">
        <x:v>2804.9999999997</x:v>
      </x:c>
      <x:c r="K4" s="31" t="n">
        <x:v>0</x:v>
      </x:c>
      <x:c r="L4" s="31" t="n">
        <x:v>2804.9999999997</x:v>
      </x:c>
      <x:c r="M4" s="31" t="n">
        <x:v>0</x:v>
      </x:c>
      <x:c r="N4" s="24" t="str">
        <x:v>sardinella longiceps</x:v>
      </x:c>
      <x:c r="O4" s="32" t="n">
        <x:v>2.41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Sardinella longiceps</x:v>
      </x:c>
      <x:c r="T4" s="32" t="n">
        <x:f>IF(O4="","",(1/'Metadata'!$B$5)^(O4-1))</x:f>
        <x:v>25.703957827688647</x:v>
      </x:c>
      <x:c r="U4" s="31" t="n">
        <x:f>IF(T4="","",I4*T4)</x:f>
        <x:v>72099.60170665894</x:v>
      </x:c>
    </x:row>
    <x:row r="5" ht="18" customHeight="1">
      <x:c r="A5" s="24" t="str">
        <x:v>EEZ_916</x:v>
      </x:c>
      <x:c r="B5" s="24" t="str">
        <x:v>Yemen (Red Sea)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2338.7049025264</x:v>
      </x:c>
      <x:c r="J5" s="31" t="n">
        <x:v>2256.1944458067</x:v>
      </x:c>
      <x:c r="K5" s="31" t="n">
        <x:v>82.5104567197</x:v>
      </x:c>
      <x:c r="L5" s="31" t="n">
        <x:v>1744.7352693567</x:v>
      </x:c>
      <x:c r="M5" s="31" t="n">
        <x:v>593.9696331697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445631.0322672118</x:v>
      </x:c>
    </x:row>
    <x:row r="6" ht="18" customHeight="1">
      <x:c r="A6" s="24" t="str">
        <x:v>EEZ_916</x:v>
      </x:c>
      <x:c r="B6" s="24" t="str">
        <x:v>Yemen (Red Sea)</x:v>
      </x:c>
      <x:c r="C6" s="24" t="str">
        <x:v>EEZ</x:v>
      </x:c>
      <x:c r="D6" s="30" t="n">
        <x:v>2019</x:v>
      </x:c>
      <x:c r="E6" s="24" t="str">
        <x:v>Thunnus albacares</x:v>
      </x:c>
      <x:c r="F6" s="24" t="str">
        <x:v>Yellowfin tuna</x:v>
      </x:c>
      <x:c r="G6" s="24" t="str">
        <x:v>Large pelagics (&gt;=90 cm)</x:v>
      </x:c>
      <x:c r="H6" s="24" t="str">
        <x:v>Tuna &amp; billfishes</x:v>
      </x:c>
      <x:c r="I6" s="31" t="n">
        <x:v>1807.0313246108</x:v>
      </x:c>
      <x:c r="J6" s="31" t="n">
        <x:v>1807.0313246108</x:v>
      </x:c>
      <x:c r="K6" s="31" t="n">
        <x:v>0</x:v>
      </x:c>
      <x:c r="L6" s="31" t="n">
        <x:v>1807.0313246108</x:v>
      </x:c>
      <x:c r="M6" s="31" t="n">
        <x:v>0</x:v>
      </x:c>
      <x:c r="N6" s="24" t="str">
        <x:v>thunnus albacares</x:v>
      </x:c>
      <x:c r="O6" s="32" t="n">
        <x:v>4.41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albacares</x:v>
      </x:c>
      <x:c r="T6" s="32" t="n">
        <x:f>IF(O6="","",(1/'Metadata'!$B$5)^(O6-1))</x:f>
        <x:v>2570.3957827688646</x:v>
      </x:c>
      <x:c r="U6" s="31" t="n">
        <x:f>IF(T6="","",I6*T6)</x:f>
        <x:v>4644785.696110835</x:v>
      </x:c>
    </x:row>
    <x:row r="7" ht="18" customHeight="1">
      <x:c r="A7" s="24" t="str">
        <x:v>EEZ_916</x:v>
      </x:c>
      <x:c r="B7" s="24" t="str">
        <x:v>Yemen (Red Sea)</x:v>
      </x:c>
      <x:c r="C7" s="24" t="str">
        <x:v>EEZ</x:v>
      </x:c>
      <x:c r="D7" s="30" t="n">
        <x:v>2019</x:v>
      </x:c>
      <x:c r="E7" s="24" t="str">
        <x:v>Elasmobranchii</x:v>
      </x:c>
      <x:c r="F7" s="24" t="str">
        <x:v>Sharks, rays, skates</x:v>
      </x:c>
      <x:c r="G7" s="24" t="str">
        <x:v>Large sharks (&gt;=90 cm)</x:v>
      </x:c>
      <x:c r="H7" s="24" t="str">
        <x:v>Sharks &amp; rays</x:v>
      </x:c>
      <x:c r="I7" s="31" t="n">
        <x:v>1688.7556139523</x:v>
      </x:c>
      <x:c r="J7" s="31" t="n">
        <x:v>664.7</x:v>
      </x:c>
      <x:c r="K7" s="31" t="n">
        <x:v>1024.0556139523</x:v>
      </x:c>
      <x:c r="L7" s="31" t="n">
        <x:v>664.7</x:v>
      </x:c>
      <x:c r="M7" s="31" t="n">
        <x:v>1024.0556139523</x:v>
      </x:c>
      <x:c r="N7" s="24" t="str">
        <x:v>elasmobranchii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Elasmobranchii</x:v>
      </x:c>
      <x:c r="T7" s="32" t="n">
        <x:f>IF(O7="","",(1/'Metadata'!$B$5)^(O7-1))</x:f>
        <x:v>1122.018454301963</x:v>
      </x:c>
      <x:c r="U7" s="31" t="n">
        <x:f>IF(T7="","",I7*T7)</x:f>
        <x:v>1894814.9636605221</x:v>
      </x:c>
    </x:row>
    <x:row r="8" ht="18" customHeight="1">
      <x:c r="A8" s="24" t="str">
        <x:v>EEZ_916</x:v>
      </x:c>
      <x:c r="B8" s="24" t="str">
        <x:v>Yemen (Red Sea)</x:v>
      </x:c>
      <x:c r="C8" s="24" t="str">
        <x:v>EEZ</x:v>
      </x:c>
      <x:c r="D8" s="30" t="n">
        <x:v>2019</x:v>
      </x:c>
      <x:c r="E8" s="24" t="str">
        <x:v>Lethrinidae</x:v>
      </x:c>
      <x:c r="F8" s="24" t="str">
        <x:v>Emperors, scavengers</x:v>
      </x:c>
      <x:c r="G8" s="24" t="str">
        <x:v>Medium reef assoc. fish (30 - 89 cm)</x:v>
      </x:c>
      <x:c r="H8" s="24" t="str">
        <x:v>Perch-likes</x:v>
      </x:c>
      <x:c r="I8" s="31" t="n">
        <x:v>1182.4254643804</x:v>
      </x:c>
      <x:c r="J8" s="31" t="n">
        <x:v>549.4667256038</x:v>
      </x:c>
      <x:c r="K8" s="31" t="n">
        <x:v>632.9587387766</x:v>
      </x:c>
      <x:c r="L8" s="31" t="n">
        <x:v>476.4013969358</x:v>
      </x:c>
      <x:c r="M8" s="31" t="n">
        <x:v>706.0240674446</x:v>
      </x:c>
      <x:c r="N8" s="24" t="str">
        <x:v>lethrinidae</x:v>
      </x:c>
      <x:c r="O8" s="32" t="n">
        <x:v>3.59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Lethrinidae</x:v>
      </x:c>
      <x:c r="T8" s="32" t="n">
        <x:f>IF(O8="","",(1/'Metadata'!$B$5)^(O8-1))</x:f>
        <x:v>389.04514499428046</x:v>
      </x:c>
      <x:c r="U8" s="31" t="n">
        <x:f>IF(T8="","",I8*T8)</x:f>
        <x:v>460016.8862348021</x:v>
      </x:c>
    </x:row>
    <x:row r="9" ht="18" customHeight="1">
      <x:c r="A9" s="24" t="str">
        <x:v>EEZ_916</x:v>
      </x:c>
      <x:c r="B9" s="24" t="str">
        <x:v>Yemen (Red Sea)</x:v>
      </x:c>
      <x:c r="C9" s="24" t="str">
        <x:v>EEZ</x:v>
      </x:c>
      <x:c r="D9" s="30" t="n">
        <x:v>2019</x:v>
      </x:c>
      <x:c r="E9" s="24" t="str">
        <x:v>Lutjanidae</x:v>
      </x:c>
      <x:c r="F9" s="24" t="str">
        <x:v>Snappers</x:v>
      </x:c>
      <x:c r="G9" s="24" t="str">
        <x:v>Medium reef assoc. fish (30 - 89 cm)</x:v>
      </x:c>
      <x:c r="H9" s="24" t="str">
        <x:v>Perch-likes</x:v>
      </x:c>
      <x:c r="I9" s="31" t="n">
        <x:v>1089.7980955064</x:v>
      </x:c>
      <x:c r="J9" s="31" t="n">
        <x:v>597.297414294</x:v>
      </x:c>
      <x:c r="K9" s="31" t="n">
        <x:v>492.5006812124</x:v>
      </x:c>
      <x:c r="L9" s="31" t="n">
        <x:v>567.0444842016</x:v>
      </x:c>
      <x:c r="M9" s="31" t="n">
        <x:v>522.7536113048001</x:v>
      </x:c>
      <x:c r="N9" s="24" t="str">
        <x:v>lutjanidae</x:v>
      </x:c>
      <x:c r="O9" s="32" t="n">
        <x:v>4.02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Lutjanidae</x:v>
      </x:c>
      <x:c r="T9" s="32" t="n">
        <x:f>IF(O9="","",(1/'Metadata'!$B$5)^(O9-1))</x:f>
        <x:v>1047.1285480508984</x:v>
      </x:c>
      <x:c r="U9" s="31" t="n">
        <x:f>IF(T9="","",I9*T9)</x:f>
        <x:v>1141158.6974162508</x:v>
      </x:c>
    </x:row>
    <x:row r="10" ht="18" customHeight="1">
      <x:c r="A10" s="24" t="str">
        <x:v>EEZ_916</x:v>
      </x:c>
      <x:c r="B10" s="24" t="str">
        <x:v>Yemen (Red Sea)</x:v>
      </x:c>
      <x:c r="C10" s="24" t="str">
        <x:v>EEZ</x:v>
      </x:c>
      <x:c r="D10" s="30" t="n">
        <x:v>2019</x:v>
      </x:c>
      <x:c r="E10" s="24" t="str">
        <x:v>Rastrelliger kanagurta</x:v>
      </x:c>
      <x:c r="F10" s="24" t="str">
        <x:v>Indian mackerel</x:v>
      </x:c>
      <x:c r="G10" s="24" t="str">
        <x:v>Medium pelagics (30 - 89 cm)</x:v>
      </x:c>
      <x:c r="H10" s="24" t="str">
        <x:v>Perch-likes</x:v>
      </x:c>
      <x:c r="I10" s="31" t="n">
        <x:v>1016.9899731674</x:v>
      </x:c>
      <x:c r="J10" s="31" t="n">
        <x:v>1016.9899731674</x:v>
      </x:c>
      <x:c r="K10" s="31" t="n">
        <x:v>0</x:v>
      </x:c>
      <x:c r="L10" s="31" t="n">
        <x:v>739.86975</x:v>
      </x:c>
      <x:c r="M10" s="31" t="n">
        <x:v>277.1202231674</x:v>
      </x:c>
      <x:c r="N10" s="24" t="str">
        <x:v>rastrelliger kanagurta</x:v>
      </x:c>
      <x:c r="O10" s="32" t="n">
        <x:v>3.19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Rastrelliger kanagurta</x:v>
      </x:c>
      <x:c r="T10" s="32" t="n">
        <x:f>IF(O10="","",(1/'Metadata'!$B$5)^(O10-1))</x:f>
        <x:v>154.88166189124811</x:v>
      </x:c>
      <x:c r="U10" s="31" t="n">
        <x:f>IF(T10="","",I10*T10)</x:f>
        <x:v>157513.09717090274</x:v>
      </x:c>
    </x:row>
    <x:row r="11" ht="18" customHeight="1">
      <x:c r="A11" s="24" t="str">
        <x:v>EEZ_916</x:v>
      </x:c>
      <x:c r="B11" s="24" t="str">
        <x:v>Yemen (Red Sea)</x:v>
      </x:c>
      <x:c r="C11" s="24" t="str">
        <x:v>EEZ</x:v>
      </x:c>
      <x:c r="D11" s="30" t="n">
        <x:v>2019</x:v>
      </x:c>
      <x:c r="E11" s="24" t="str">
        <x:v>Clupeiformes</x:v>
      </x:c>
      <x:c r="F11" s="24" t="str">
        <x:v>Herrings, shads, anchovies</x:v>
      </x:c>
      <x:c r="G11" s="24" t="str">
        <x:v>Small pelagics (&lt;30 cm)</x:v>
      </x:c>
      <x:c r="H11" s="24" t="str">
        <x:v>Other fishes &amp; inverts</x:v>
      </x:c>
      <x:c r="I11" s="31" t="n">
        <x:v>1015.7203205229</x:v>
      </x:c>
      <x:c r="J11" s="31" t="n">
        <x:v>1015.7203205229</x:v>
      </x:c>
      <x:c r="K11" s="31" t="n">
        <x:v>0</x:v>
      </x:c>
      <x:c r="L11" s="31" t="n">
        <x:v>0</x:v>
      </x:c>
      <x:c r="M11" s="31" t="n">
        <x:v>1015.7203205229</x:v>
      </x:c>
      <x:c r="N11" s="24" t="str">
        <x:v>clupeiformes</x:v>
      </x:c>
      <x:c r="O11" s="32" t="n">
        <x:v>3.24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Clupeiformes</x:v>
      </x:c>
      <x:c r="T11" s="32" t="n">
        <x:f>IF(O11="","",(1/'Metadata'!$B$5)^(O11-1))</x:f>
        <x:v>173.78008287493762</x:v>
      </x:c>
      <x:c r="U11" s="31" t="n">
        <x:f>IF(T11="","",I11*T11)</x:f>
        <x:v>176511.96147822778</x:v>
      </x:c>
    </x:row>
    <x:row r="12" ht="18" customHeight="1">
      <x:c r="A12" s="24" t="str">
        <x:v>EEZ_916</x:v>
      </x:c>
      <x:c r="B12" s="24" t="str">
        <x:v>Yemen (Red Sea)</x:v>
      </x:c>
      <x:c r="C12" s="24" t="str">
        <x:v>EEZ</x:v>
      </x:c>
      <x:c r="D12" s="30" t="n">
        <x:v>2019</x:v>
      </x:c>
      <x:c r="E12" s="24" t="str">
        <x:v>Scombridae</x:v>
      </x:c>
      <x:c r="F12" s="24" t="str">
        <x:v>Mackerels, tunas, bonitos</x:v>
      </x:c>
      <x:c r="G12" s="24" t="str">
        <x:v>Medium pelagics (30 - 89 cm)</x:v>
      </x:c>
      <x:c r="H12" s="24" t="str">
        <x:v>Perch-likes</x:v>
      </x:c>
      <x:c r="I12" s="31" t="n">
        <x:v>814.4937906008</x:v>
      </x:c>
      <x:c r="J12" s="31" t="n">
        <x:v>814.4937906008</x:v>
      </x:c>
      <x:c r="K12" s="31" t="n">
        <x:v>0</x:v>
      </x:c>
      <x:c r="L12" s="31" t="n">
        <x:v>30.6000000002</x:v>
      </x:c>
      <x:c r="M12" s="31" t="n">
        <x:v>783.8937906006</x:v>
      </x:c>
      <x:c r="N12" s="24" t="str">
        <x:v>scombridae</x:v>
      </x:c>
      <x:c r="O12" s="32" t="n">
        <x:v>4.26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Scombridae</x:v>
      </x:c>
      <x:c r="T12" s="32" t="n">
        <x:f>IF(O12="","",(1/'Metadata'!$B$5)^(O12-1))</x:f>
        <x:v>1819.7008586099826</x:v>
      </x:c>
      <x:c r="U12" s="31" t="n">
        <x:f>IF(T12="","",I12*T12)</x:f>
        <x:v>1482135.050088775</x:v>
      </x:c>
    </x:row>
    <x:row r="13" ht="18" customHeight="1">
      <x:c r="A13" s="24" t="str">
        <x:v>EEZ_916</x:v>
      </x:c>
      <x:c r="B13" s="24" t="str">
        <x:v>Yemen (Red Sea)</x:v>
      </x:c>
      <x:c r="C13" s="24" t="str">
        <x:v>EEZ</x:v>
      </x:c>
      <x:c r="D13" s="30" t="n">
        <x:v>2019</x:v>
      </x:c>
      <x:c r="E13" s="24" t="str">
        <x:v>Penaeidae</x:v>
      </x:c>
      <x:c r="F13" s="24" t="str">
        <x:v>Commercial shrimps and prawns</x:v>
      </x:c>
      <x:c r="G13" s="24" t="str">
        <x:v>Shrimps</x:v>
      </x:c>
      <x:c r="H13" s="24" t="str">
        <x:v>Crustaceans</x:v>
      </x:c>
      <x:c r="I13" s="31" t="n">
        <x:v>779.4642998204</x:v>
      </x:c>
      <x:c r="J13" s="31" t="n">
        <x:v>104.3455850836</x:v>
      </x:c>
      <x:c r="K13" s="31" t="n">
        <x:v>675.1187147368</x:v>
      </x:c>
      <x:c r="L13" s="31" t="n">
        <x:v>83.3000000001</x:v>
      </x:c>
      <x:c r="M13" s="31" t="n">
        <x:v>696.1642998203</x:v>
      </x:c>
      <x:c r="N13" s="24" t="str">
        <x:v>penaeidae</x:v>
      </x:c>
      <x:c r="O13" s="32" t="n">
        <x:v>3.31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Penaeidae</x:v>
      </x:c>
      <x:c r="T13" s="32" t="n">
        <x:f>IF(O13="","",(1/'Metadata'!$B$5)^(O13-1))</x:f>
        <x:v>204.17379446695296</x:v>
      </x:c>
      <x:c r="U13" s="31" t="n">
        <x:f>IF(T13="","",I13*T13)</x:f>
        <x:v>159146.18374585774</x:v>
      </x:c>
    </x:row>
    <x:row r="14" ht="18" customHeight="1">
      <x:c r="A14" s="24" t="str">
        <x:v>EEZ_916</x:v>
      </x:c>
      <x:c r="B14" s="24" t="str">
        <x:v>Yemen (Red Sea)</x:v>
      </x:c>
      <x:c r="C14" s="24" t="str">
        <x:v>EEZ</x:v>
      </x:c>
      <x:c r="D14" s="30" t="n">
        <x:v>2019</x:v>
      </x:c>
      <x:c r="E14" s="24" t="str">
        <x:v>Scomberomorus commerson</x:v>
      </x:c>
      <x:c r="F14" s="24" t="str">
        <x:v>Narrow-barred Spanish mackerel</x:v>
      </x:c>
      <x:c r="G14" s="24" t="str">
        <x:v>Large pelagics (&gt;=90 cm)</x:v>
      </x:c>
      <x:c r="H14" s="24" t="str">
        <x:v>Perch-likes</x:v>
      </x:c>
      <x:c r="I14" s="31" t="n">
        <x:v>627.7675858312</x:v>
      </x:c>
      <x:c r="J14" s="31" t="n">
        <x:v>627.7675858312</x:v>
      </x:c>
      <x:c r="K14" s="31" t="n">
        <x:v>0</x:v>
      </x:c>
      <x:c r="L14" s="31" t="n">
        <x:v>303.5</x:v>
      </x:c>
      <x:c r="M14" s="31" t="n">
        <x:v>324.2675858312</x:v>
      </x:c>
      <x:c r="N14" s="24" t="str">
        <x:v>scomberomorus commerson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Scomberomorus commerson</x:v>
      </x:c>
      <x:c r="T14" s="32" t="n">
        <x:f>IF(O14="","",(1/'Metadata'!$B$5)^(O14-1))</x:f>
        <x:v>3162.2776601683795</x:v>
      </x:c>
      <x:c r="U14" s="31" t="n">
        <x:f>IF(T14="","",I14*T14)</x:f>
        <x:v>1985175.4124518395</x:v>
      </x:c>
    </x:row>
    <x:row r="15" ht="18" customHeight="1">
      <x:c r="A15" s="24" t="str">
        <x:v>EEZ_916</x:v>
      </x:c>
      <x:c r="B15" s="24" t="str">
        <x:v>Yemen (Red Sea)</x:v>
      </x:c>
      <x:c r="C15" s="24" t="str">
        <x:v>EEZ</x:v>
      </x:c>
      <x:c r="D15" s="30" t="n">
        <x:v>2019</x:v>
      </x:c>
      <x:c r="E15" s="24" t="str">
        <x:v>Euthynnus affinis</x:v>
      </x:c>
      <x:c r="F15" s="24" t="str">
        <x:v>Kawakawa</x:v>
      </x:c>
      <x:c r="G15" s="24" t="str">
        <x:v>Large pelagics (&gt;=90 cm)</x:v>
      </x:c>
      <x:c r="H15" s="24" t="str">
        <x:v>Tuna &amp; billfishes</x:v>
      </x:c>
      <x:c r="I15" s="31" t="n">
        <x:v>601.1827421424999</x:v>
      </x:c>
      <x:c r="J15" s="31" t="n">
        <x:v>601.1827421424999</x:v>
      </x:c>
      <x:c r="K15" s="31" t="n">
        <x:v>0</x:v>
      </x:c>
      <x:c r="L15" s="31" t="n">
        <x:v>346.8694029849</x:v>
      </x:c>
      <x:c r="M15" s="31" t="n">
        <x:v>254.31333915759998</x:v>
      </x:c>
      <x:c r="N15" s="24" t="str">
        <x:v>euthynnus affinis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Euthynnus affinis</x:v>
      </x:c>
      <x:c r="T15" s="32" t="n">
        <x:f>IF(O15="","",(1/'Metadata'!$B$5)^(O15-1))</x:f>
        <x:v>3162.2776601683795</x:v>
      </x:c>
      <x:c r="U15" s="31" t="n">
        <x:f>IF(T15="","",I15*T15)</x:f>
        <x:v>1901106.755155995</x:v>
      </x:c>
    </x:row>
    <x:row r="16" ht="18" customHeight="1">
      <x:c r="A16" s="24" t="str">
        <x:v>EEZ_916</x:v>
      </x:c>
      <x:c r="B16" s="24" t="str">
        <x:v>Yemen (Red Sea)</x:v>
      </x:c>
      <x:c r="C16" s="24" t="str">
        <x:v>EEZ</x:v>
      </x:c>
      <x:c r="D16" s="30" t="n">
        <x:v>2019</x:v>
      </x:c>
      <x:c r="E16" s="24" t="str">
        <x:v>Carcharhinidae</x:v>
      </x:c>
      <x:c r="F16" s="24" t="str">
        <x:v>Requiem sharks</x:v>
      </x:c>
      <x:c r="G16" s="24" t="str">
        <x:v>Large sharks (&gt;=90 cm)</x:v>
      </x:c>
      <x:c r="H16" s="24" t="str">
        <x:v>Sharks &amp; rays</x:v>
      </x:c>
      <x:c r="I16" s="31" t="n">
        <x:v>557.8717619178</x:v>
      </x:c>
      <x:c r="J16" s="31" t="n">
        <x:v>557.8717619178</x:v>
      </x:c>
      <x:c r="K16" s="31" t="n">
        <x:v>0</x:v>
      </x:c>
      <x:c r="L16" s="31" t="n">
        <x:v>0</x:v>
      </x:c>
      <x:c r="M16" s="31" t="n">
        <x:v>557.8717619178</x:v>
      </x:c>
      <x:c r="N16" s="24" t="str">
        <x:v>carcharhinidae</x:v>
      </x:c>
      <x:c r="O16" s="32" t="n">
        <x:v>4.24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Carcharhinidae</x:v>
      </x:c>
      <x:c r="T16" s="32" t="n">
        <x:f>IF(O16="","",(1/'Metadata'!$B$5)^(O16-1))</x:f>
        <x:v>1737.8008287493763</x:v>
      </x:c>
      <x:c r="U16" s="31" t="n">
        <x:f>IF(T16="","",I16*T16)</x:f>
        <x:v>969470.0101966275</x:v>
      </x:c>
    </x:row>
    <x:row r="17" ht="18" customHeight="1">
      <x:c r="A17" s="24" t="str">
        <x:v>EEZ_916</x:v>
      </x:c>
      <x:c r="B17" s="24" t="str">
        <x:v>Yemen (Red Sea)</x:v>
      </x:c>
      <x:c r="C17" s="24" t="str">
        <x:v>EEZ</x:v>
      </x:c>
      <x:c r="D17" s="30" t="n">
        <x:v>2019</x:v>
      </x:c>
      <x:c r="E17" s="24" t="str">
        <x:v>Thunnus tonggol</x:v>
      </x:c>
      <x:c r="F17" s="24" t="str">
        <x:v>Longtail tuna</x:v>
      </x:c>
      <x:c r="G17" s="24" t="str">
        <x:v>Large pelagics (&gt;=90 cm)</x:v>
      </x:c>
      <x:c r="H17" s="24" t="str">
        <x:v>Tuna &amp; billfishes</x:v>
      </x:c>
      <x:c r="I17" s="31" t="n">
        <x:v>546.8173618039</x:v>
      </x:c>
      <x:c r="J17" s="31" t="n">
        <x:v>546.8173618039</x:v>
      </x:c>
      <x:c r="K17" s="31" t="n">
        <x:v>0</x:v>
      </x:c>
      <x:c r="L17" s="31" t="n">
        <x:v>244.09862142109998</x:v>
      </x:c>
      <x:c r="M17" s="31" t="n">
        <x:v>302.7187403828</x:v>
      </x:c>
      <x:c r="N17" s="24" t="str">
        <x:v>thunnus tonggol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Thunnus tonggol</x:v>
      </x:c>
      <x:c r="T17" s="32" t="n">
        <x:f>IF(O17="","",(1/'Metadata'!$B$5)^(O17-1))</x:f>
        <x:v>3162.2776601683795</x:v>
      </x:c>
      <x:c r="U17" s="31" t="n">
        <x:f>IF(T17="","",I17*T17)</x:f>
        <x:v>1729188.3274246831</x:v>
      </x:c>
    </x:row>
    <x:row r="18" ht="18" customHeight="1">
      <x:c r="A18" s="24" t="str">
        <x:v>EEZ_916</x:v>
      </x:c>
      <x:c r="B18" s="24" t="str">
        <x:v>Yemen (Red Sea)</x:v>
      </x:c>
      <x:c r="C18" s="24" t="str">
        <x:v>EEZ</x:v>
      </x:c>
      <x:c r="D18" s="30" t="n">
        <x:v>2019</x:v>
      </x:c>
      <x:c r="E18" s="24" t="str">
        <x:v>Ariidae</x:v>
      </x:c>
      <x:c r="F18" s="24" t="str">
        <x:v>Sea catfishes, coblers</x:v>
      </x:c>
      <x:c r="G18" s="24" t="str">
        <x:v>Medium demersals (30 - 89 cm)</x:v>
      </x:c>
      <x:c r="H18" s="24" t="str">
        <x:v>Other fishes &amp; inverts</x:v>
      </x:c>
      <x:c r="I18" s="31" t="n">
        <x:v>283.1</x:v>
      </x:c>
      <x:c r="J18" s="31" t="n">
        <x:v>283.1</x:v>
      </x:c>
      <x:c r="K18" s="31" t="n">
        <x:v>0</x:v>
      </x:c>
      <x:c r="L18" s="31" t="n">
        <x:v>283.1</x:v>
      </x:c>
      <x:c r="M18" s="31" t="n">
        <x:v>0</x:v>
      </x:c>
      <x:c r="N18" s="24" t="str">
        <x:v>ariidae</x:v>
      </x:c>
      <x:c r="O18" s="32" t="n">
        <x:v>3.48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Ariidae</x:v>
      </x:c>
      <x:c r="T18" s="32" t="n">
        <x:f>IF(O18="","",(1/'Metadata'!$B$5)^(O18-1))</x:f>
        <x:v>301.9951720402016</x:v>
      </x:c>
      <x:c r="U18" s="31" t="n">
        <x:f>IF(T18="","",I18*T18)</x:f>
        <x:v>85494.83320458108</x:v>
      </x:c>
    </x:row>
    <x:row r="19" ht="18" customHeight="1">
      <x:c r="A19" s="24" t="str">
        <x:v>EEZ_916</x:v>
      </x:c>
      <x:c r="B19" s="24" t="str">
        <x:v>Yemen (Red Sea)</x:v>
      </x:c>
      <x:c r="C19" s="24" t="str">
        <x:v>EEZ</x:v>
      </x:c>
      <x:c r="D19" s="30" t="n">
        <x:v>2019</x:v>
      </x:c>
      <x:c r="E19" s="24" t="str">
        <x:v>Sphyraenidae</x:v>
      </x:c>
      <x:c r="F19" s="24" t="str">
        <x:v>Barracudas</x:v>
      </x:c>
      <x:c r="G19" s="24" t="str">
        <x:v>Medium reef assoc. fish (30 - 89 cm)</x:v>
      </x:c>
      <x:c r="H19" s="24" t="str">
        <x:v>Perch-likes</x:v>
      </x:c>
      <x:c r="I19" s="31" t="n">
        <x:v>239.5677044266</x:v>
      </x:c>
      <x:c r="J19" s="31" t="n">
        <x:v>239.5677044266</x:v>
      </x:c>
      <x:c r="K19" s="31" t="n">
        <x:v>0</x:v>
      </x:c>
      <x:c r="L19" s="31" t="n">
        <x:v>216.79999999979998</x:v>
      </x:c>
      <x:c r="M19" s="31" t="n">
        <x:v>22.7677044268</x:v>
      </x:c>
      <x:c r="N19" s="24" t="str">
        <x:v>sphyraenidae</x:v>
      </x:c>
      <x:c r="O19" s="32" t="n">
        <x:v>4.4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Sphyraenidae</x:v>
      </x:c>
      <x:c r="T19" s="32" t="n">
        <x:f>IF(O19="","",(1/'Metadata'!$B$5)^(O19-1))</x:f>
        <x:v>2511.886431509582</x:v>
      </x:c>
      <x:c r="U19" s="31" t="n">
        <x:f>IF(T19="","",I19*T19)</x:f>
        <x:v>601766.8661770745</x:v>
      </x:c>
    </x:row>
    <x:row r="20" ht="18" customHeight="1">
      <x:c r="A20" s="24" t="str">
        <x:v>EEZ_916</x:v>
      </x:c>
      <x:c r="B20" s="24" t="str">
        <x:v>Yemen (Red Sea)</x:v>
      </x:c>
      <x:c r="C20" s="24" t="str">
        <x:v>EEZ</x:v>
      </x:c>
      <x:c r="D20" s="30" t="n">
        <x:v>2019</x:v>
      </x:c>
      <x:c r="E20" s="24" t="str">
        <x:v>Katsuwonus pelamis</x:v>
      </x:c>
      <x:c r="F20" s="24" t="str">
        <x:v>Skipjack tuna</x:v>
      </x:c>
      <x:c r="G20" s="24" t="str">
        <x:v>Large pelagics (&gt;=90 cm)</x:v>
      </x:c>
      <x:c r="H20" s="24" t="str">
        <x:v>Tuna &amp; billfishes</x:v>
      </x:c>
      <x:c r="I20" s="31" t="n">
        <x:v>203.8416596108</x:v>
      </x:c>
      <x:c r="J20" s="31" t="n">
        <x:v>203.8416596108</x:v>
      </x:c>
      <x:c r="K20" s="31" t="n">
        <x:v>0</x:v>
      </x:c>
      <x:c r="L20" s="31" t="n">
        <x:v>203.8416596108</x:v>
      </x:c>
      <x:c r="M20" s="31" t="n">
        <x:v>0</x:v>
      </x:c>
      <x:c r="N20" s="24" t="str">
        <x:v>katsuwonus pelamis</x:v>
      </x:c>
      <x:c r="O20" s="32" t="n">
        <x:v>4.43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Katsuwonus pelamis</x:v>
      </x:c>
      <x:c r="T20" s="32" t="n">
        <x:f>IF(O20="","",(1/'Metadata'!$B$5)^(O20-1))</x:f>
        <x:v>2691.534803926914</x:v>
      </x:c>
      <x:c r="U20" s="31" t="n">
        <x:f>IF(T20="","",I20*T20)</x:f>
        <x:v>548646.9213326913</x:v>
      </x:c>
    </x:row>
    <x:row r="21" ht="18" customHeight="1">
      <x:c r="A21" s="24" t="str">
        <x:v>EEZ_916</x:v>
      </x:c>
      <x:c r="B21" s="24" t="str">
        <x:v>Yemen (Red Sea)</x:v>
      </x:c>
      <x:c r="C21" s="24" t="str">
        <x:v>EEZ</x:v>
      </x:c>
      <x:c r="D21" s="30" t="n">
        <x:v>2019</x:v>
      </x:c>
      <x:c r="E21" s="24" t="str">
        <x:v>Caranx</x:v>
      </x:c>
      <x:c r="F21" s="24" t="str">
        <x:v>Jacks</x:v>
      </x:c>
      <x:c r="G21" s="24" t="str">
        <x:v>Medium reef assoc. fish (30 - 89 cm)</x:v>
      </x:c>
      <x:c r="H21" s="24" t="str">
        <x:v>Perch-likes</x:v>
      </x:c>
      <x:c r="I21" s="31" t="n">
        <x:v>202.29999999959998</x:v>
      </x:c>
      <x:c r="J21" s="31" t="n">
        <x:v>202.29999999959998</x:v>
      </x:c>
      <x:c r="K21" s="31" t="n">
        <x:v>0</x:v>
      </x:c>
      <x:c r="L21" s="31" t="n">
        <x:v>202.29999999959998</x:v>
      </x:c>
      <x:c r="M21" s="31" t="n">
        <x:v>0</x:v>
      </x:c>
      <x:c r="N21" s="24" t="str">
        <x:v>caranx</x:v>
      </x:c>
      <x:c r="O21" s="32" t="n">
        <x:v>4.12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Caranx</x:v>
      </x:c>
      <x:c r="T21" s="32" t="n">
        <x:f>IF(O21="","",(1/'Metadata'!$B$5)^(O21-1))</x:f>
        <x:v>1318.2567385564075</x:v>
      </x:c>
      <x:c r="U21" s="31" t="n">
        <x:f>IF(T21="","",I21*T21)</x:f>
        <x:v>266683.3382094339</x:v>
      </x:c>
    </x:row>
    <x:row r="22" ht="18" customHeight="1">
      <x:c r="A22" s="24" t="str">
        <x:v>EEZ_916</x:v>
      </x:c>
      <x:c r="B22" s="24" t="str">
        <x:v>Yemen (Red Sea)</x:v>
      </x:c>
      <x:c r="C22" s="24" t="str">
        <x:v>EEZ</x:v>
      </x:c>
      <x:c r="D22" s="30" t="n">
        <x:v>2019</x:v>
      </x:c>
      <x:c r="E22" s="24" t="str">
        <x:v>Mullidae</x:v>
      </x:c>
      <x:c r="F22" s="24" t="str">
        <x:v>Goatfishes</x:v>
      </x:c>
      <x:c r="G22" s="24" t="str">
        <x:v>Medium reef assoc. fish (30 - 89 cm)</x:v>
      </x:c>
      <x:c r="H22" s="24" t="str">
        <x:v>Perch-likes</x:v>
      </x:c>
      <x:c r="I22" s="31" t="n">
        <x:v>199.79999999999998</x:v>
      </x:c>
      <x:c r="J22" s="31" t="n">
        <x:v>199.79999999999998</x:v>
      </x:c>
      <x:c r="K22" s="31" t="n">
        <x:v>0</x:v>
      </x:c>
      <x:c r="L22" s="31" t="n">
        <x:v>199.79999999999998</x:v>
      </x:c>
      <x:c r="M22" s="31" t="n">
        <x:v>0</x:v>
      </x:c>
      <x:c r="N22" s="24" t="str">
        <x:v>mullidae</x:v>
      </x:c>
      <x:c r="O22" s="32" t="n">
        <x:v>3.46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Mullidae</x:v>
      </x:c>
      <x:c r="T22" s="32" t="n">
        <x:f>IF(O22="","",(1/'Metadata'!$B$5)^(O22-1))</x:f>
        <x:v>288.40315031266056</x:v>
      </x:c>
      <x:c r="U22" s="31" t="n">
        <x:f>IF(T22="","",I22*T22)</x:f>
        <x:v>57622.94943246958</x:v>
      </x:c>
    </x:row>
    <x:row r="23" ht="18" customHeight="1">
      <x:c r="A23" s="24" t="str">
        <x:v>EEZ_916</x:v>
      </x:c>
      <x:c r="B23" s="24" t="str">
        <x:v>Yemen (Red Sea)</x:v>
      </x:c>
      <x:c r="C23" s="24" t="str">
        <x:v>EEZ</x:v>
      </x:c>
      <x:c r="D23" s="30" t="n">
        <x:v>2019</x:v>
      </x:c>
      <x:c r="E23" s="24" t="str">
        <x:v>Xiphias gladius</x:v>
      </x:c>
      <x:c r="F23" s="24" t="str">
        <x:v>Swordfish</x:v>
      </x:c>
      <x:c r="G23" s="24" t="str">
        <x:v>Large pelagics (&gt;=90 cm)</x:v>
      </x:c>
      <x:c r="H23" s="24" t="str">
        <x:v>Tuna &amp; billfishes</x:v>
      </x:c>
      <x:c r="I23" s="31" t="n">
        <x:v>179.9844961242</x:v>
      </x:c>
      <x:c r="J23" s="31" t="n">
        <x:v>179.9844961242</x:v>
      </x:c>
      <x:c r="K23" s="31" t="n">
        <x:v>0</x:v>
      </x:c>
      <x:c r="L23" s="31" t="n">
        <x:v>179.9844961242</x:v>
      </x:c>
      <x:c r="M23" s="31" t="n">
        <x:v>0</x:v>
      </x:c>
      <x:c r="N23" s="24" t="str">
        <x:v>xiphias gladius</x:v>
      </x:c>
      <x:c r="O23" s="32" t="n">
        <x:v>4.53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Xiphias gladius</x:v>
      </x:c>
      <x:c r="T23" s="32" t="n">
        <x:f>IF(O23="","",(1/'Metadata'!$B$5)^(O23-1))</x:f>
        <x:v>3388.4415613920273</x:v>
      </x:c>
      <x:c r="U23" s="31" t="n">
        <x:f>IF(T23="","",I23*T23)</x:f>
        <x:v>609866.9470734416</x:v>
      </x:c>
    </x:row>
    <x:row r="24" ht="18" customHeight="1">
      <x:c r="A24" s="24" t="str">
        <x:v>EEZ_916</x:v>
      </x:c>
      <x:c r="B24" s="24" t="str">
        <x:v>Yemen (Red Sea)</x:v>
      </x:c>
      <x:c r="C24" s="24" t="str">
        <x:v>EEZ</x:v>
      </x:c>
      <x:c r="D24" s="30" t="n">
        <x:v>2019</x:v>
      </x:c>
      <x:c r="E24" s="24" t="str">
        <x:v>Trichiurus lepturus</x:v>
      </x:c>
      <x:c r="F24" s="24" t="str">
        <x:v>Largehead hairtail</x:v>
      </x:c>
      <x:c r="G24" s="24" t="str">
        <x:v>Large benthopelagics (&gt;=90 cm)</x:v>
      </x:c>
      <x:c r="H24" s="24" t="str">
        <x:v>Perch-likes</x:v>
      </x:c>
      <x:c r="I24" s="31" t="n">
        <x:v>178.4999999998</x:v>
      </x:c>
      <x:c r="J24" s="31" t="n">
        <x:v>178.4999999998</x:v>
      </x:c>
      <x:c r="K24" s="31" t="n">
        <x:v>0</x:v>
      </x:c>
      <x:c r="L24" s="31" t="n">
        <x:v>178.4999999998</x:v>
      </x:c>
      <x:c r="M24" s="31" t="n">
        <x:v>0</x:v>
      </x:c>
      <x:c r="N24" s="24" t="str">
        <x:v>trichiurus lepturus</x:v>
      </x:c>
      <x:c r="O24" s="32" t="n">
        <x:v>4.42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Trichiurus lepturus</x:v>
      </x:c>
      <x:c r="T24" s="32" t="n">
        <x:f>IF(O24="","",(1/'Metadata'!$B$5)^(O24-1))</x:f>
        <x:v>2630.2679918953813</x:v>
      </x:c>
      <x:c r="U24" s="31" t="n">
        <x:f>IF(T24="","",I24*T24)</x:f>
        <x:v>469502.8365527995</x:v>
      </x:c>
    </x:row>
    <x:row r="25" ht="18" customHeight="1">
      <x:c r="A25" s="24" t="str">
        <x:v>EEZ_916</x:v>
      </x:c>
      <x:c r="B25" s="24" t="str">
        <x:v>Yemen (Red Sea)</x:v>
      </x:c>
      <x:c r="C25" s="24" t="str">
        <x:v>EEZ</x:v>
      </x:c>
      <x:c r="D25" s="30" t="n">
        <x:v>2019</x:v>
      </x:c>
      <x:c r="E25" s="24" t="str">
        <x:v>Serranidae</x:v>
      </x:c>
      <x:c r="F25" s="24" t="str">
        <x:v>Basses, groupers, hinds</x:v>
      </x:c>
      <x:c r="G25" s="24" t="str">
        <x:v>Medium reef assoc. fish (30 - 89 cm)</x:v>
      </x:c>
      <x:c r="H25" s="24" t="str">
        <x:v>Perch-likes</x:v>
      </x:c>
      <x:c r="I25" s="31" t="n">
        <x:v>173.2529300924</x:v>
      </x:c>
      <x:c r="J25" s="31" t="n">
        <x:v>173.2529300924</x:v>
      </x:c>
      <x:c r="K25" s="31" t="n">
        <x:v>0</x:v>
      </x:c>
      <x:c r="L25" s="31" t="n">
        <x:v>142</x:v>
      </x:c>
      <x:c r="M25" s="31" t="n">
        <x:v>31.2529300924</x:v>
      </x:c>
      <x:c r="N25" s="24" t="str">
        <x:v>serranidae</x:v>
      </x:c>
      <x:c r="O25" s="32" t="n">
        <x:v>3.98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Serranidae</x:v>
      </x:c>
      <x:c r="T25" s="32" t="n">
        <x:f>IF(O25="","",(1/'Metadata'!$B$5)^(O25-1))</x:f>
        <x:v>954.992586021436</x:v>
      </x:c>
      <x:c r="U25" s="31" t="n">
        <x:f>IF(T25="","",I25*T25)</x:f>
        <x:v>165455.26374473213</x:v>
      </x:c>
    </x:row>
    <x:row r="26" ht="18" customHeight="1">
      <x:c r="A26" s="24" t="str">
        <x:v>EEZ_916</x:v>
      </x:c>
      <x:c r="B26" s="24" t="str">
        <x:v>Yemen (Red Sea)</x:v>
      </x:c>
      <x:c r="C26" s="24" t="str">
        <x:v>EEZ</x:v>
      </x:c>
      <x:c r="D26" s="30" t="n">
        <x:v>2019</x:v>
      </x:c>
      <x:c r="E26" s="24" t="str">
        <x:v>Psettodes erumei</x:v>
      </x:c>
      <x:c r="F26" s="24" t="str">
        <x:v>Indian halibut</x:v>
      </x:c>
      <x:c r="G26" s="24" t="str">
        <x:v>Small to medium flatfishes (&lt;90 cm)</x:v>
      </x:c>
      <x:c r="H26" s="24" t="str">
        <x:v>Flatfishes</x:v>
      </x:c>
      <x:c r="I26" s="31" t="n">
        <x:v>127.5</x:v>
      </x:c>
      <x:c r="J26" s="31" t="n">
        <x:v>127.5</x:v>
      </x:c>
      <x:c r="K26" s="31" t="n">
        <x:v>0</x:v>
      </x:c>
      <x:c r="L26" s="31" t="n">
        <x:v>127.5</x:v>
      </x:c>
      <x:c r="M26" s="31" t="n">
        <x:v>0</x:v>
      </x:c>
      <x:c r="N26" s="24" t="str">
        <x:v>psettodes erumei</x:v>
      </x:c>
      <x:c r="O26" s="32" t="n">
        <x:v>4.39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Psettodes erumei</x:v>
      </x:c>
      <x:c r="T26" s="32" t="n">
        <x:f>IF(O26="","",(1/'Metadata'!$B$5)^(O26-1))</x:f>
        <x:v>2454.7089156850284</x:v>
      </x:c>
      <x:c r="U26" s="31" t="n">
        <x:f>IF(T26="","",I26*T26)</x:f>
        <x:v>312975.3867498411</x:v>
      </x:c>
    </x:row>
    <x:row r="27" ht="18" customHeight="1">
      <x:c r="A27" s="24" t="str">
        <x:v>EEZ_916</x:v>
      </x:c>
      <x:c r="B27" s="24" t="str">
        <x:v>Yemen (Red Sea)</x:v>
      </x:c>
      <x:c r="C27" s="24" t="str">
        <x:v>EEZ</x:v>
      </x:c>
      <x:c r="D27" s="30" t="n">
        <x:v>2019</x:v>
      </x:c>
      <x:c r="E27" s="24" t="str">
        <x:v>Haemulidae</x:v>
      </x:c>
      <x:c r="F27" s="24" t="str">
        <x:v>Grunts, sweetlips, bonnetmouths</x:v>
      </x:c>
      <x:c r="G27" s="24" t="str">
        <x:v>Medium demersals (30 - 89 cm)</x:v>
      </x:c>
      <x:c r="H27" s="24" t="str">
        <x:v>Perch-likes</x:v>
      </x:c>
      <x:c r="I27" s="31" t="n">
        <x:v>121.7177830895</x:v>
      </x:c>
      <x:c r="J27" s="31" t="n">
        <x:v>121.7177830895</x:v>
      </x:c>
      <x:c r="K27" s="31" t="n">
        <x:v>0</x:v>
      </x:c>
      <x:c r="L27" s="31" t="n">
        <x:v>74.0000000001</x:v>
      </x:c>
      <x:c r="M27" s="31" t="n">
        <x:v>47.7177830894</x:v>
      </x:c>
      <x:c r="N27" s="24" t="str">
        <x:v>haemulidae</x:v>
      </x:c>
      <x:c r="O27" s="32" t="n">
        <x:v>3.36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Haemulidae</x:v>
      </x:c>
      <x:c r="T27" s="32" t="n">
        <x:f>IF(O27="","",(1/'Metadata'!$B$5)^(O27-1))</x:f>
        <x:v>229.08676527677724</x:v>
      </x:c>
      <x:c r="U27" s="31" t="n">
        <x:f>IF(T27="","",I27*T27)</x:f>
        <x:v>27883.933204633973</x:v>
      </x:c>
    </x:row>
    <x:row r="28" ht="18" customHeight="1">
      <x:c r="A28" s="24" t="str">
        <x:v>EEZ_916</x:v>
      </x:c>
      <x:c r="B28" s="24" t="str">
        <x:v>Yemen (Red Sea)</x:v>
      </x:c>
      <x:c r="C28" s="24" t="str">
        <x:v>EEZ</x:v>
      </x:c>
      <x:c r="D28" s="30" t="n">
        <x:v>2019</x:v>
      </x:c>
      <x:c r="E28" s="24" t="str">
        <x:v>Atule mate</x:v>
      </x:c>
      <x:c r="F28" s="24" t="str">
        <x:v>Yellowtail scad</x:v>
      </x:c>
      <x:c r="G28" s="24" t="str">
        <x:v>Small pelagics (&lt;30 cm)</x:v>
      </x:c>
      <x:c r="H28" s="24" t="str">
        <x:v>Perch-likes</x:v>
      </x:c>
      <x:c r="I28" s="31" t="n">
        <x:v>106.1613834449</x:v>
      </x:c>
      <x:c r="J28" s="31" t="n">
        <x:v>106.1613834449</x:v>
      </x:c>
      <x:c r="K28" s="31" t="n">
        <x:v>0</x:v>
      </x:c>
      <x:c r="L28" s="31" t="n">
        <x:v>0</x:v>
      </x:c>
      <x:c r="M28" s="31" t="n">
        <x:v>106.1613834449</x:v>
      </x:c>
      <x:c r="N28" s="24" t="str">
        <x:v>atule mate</x:v>
      </x:c>
      <x:c r="O28" s="32" t="n">
        <x:v>4.22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Atule mate</x:v>
      </x:c>
      <x:c r="T28" s="32" t="n">
        <x:f>IF(O28="","",(1/'Metadata'!$B$5)^(O28-1))</x:f>
        <x:v>1659.5869074375596</x:v>
      </x:c>
      <x:c r="U28" s="31" t="n">
        <x:f>IF(T28="","",I28*T28)</x:f>
        <x:v>176184.04204061453</x:v>
      </x:c>
    </x:row>
    <x:row r="29" ht="18" customHeight="1">
      <x:c r="A29" s="24" t="str">
        <x:v>EEZ_916</x:v>
      </x:c>
      <x:c r="B29" s="24" t="str">
        <x:v>Yemen (Red Sea)</x:v>
      </x:c>
      <x:c r="C29" s="24" t="str">
        <x:v>EEZ</x:v>
      </x:c>
      <x:c r="D29" s="30" t="n">
        <x:v>2019</x:v>
      </x:c>
      <x:c r="E29" s="24" t="str">
        <x:v>Perciformes</x:v>
      </x:c>
      <x:c r="F29" s="24" t="str">
        <x:v>Perch-likes</x:v>
      </x:c>
      <x:c r="G29" s="24" t="str">
        <x:v>Medium demersals (30 - 89 cm)</x:v>
      </x:c>
      <x:c r="H29" s="24" t="str">
        <x:v>Perch-likes</x:v>
      </x:c>
      <x:c r="I29" s="31" t="n">
        <x:v>99.5437262359</x:v>
      </x:c>
      <x:c r="J29" s="31" t="n">
        <x:v>99.5437262359</x:v>
      </x:c>
      <x:c r="K29" s="31" t="n">
        <x:v>0</x:v>
      </x:c>
      <x:c r="L29" s="31" t="n">
        <x:v>99.5437262359</x:v>
      </x:c>
      <x:c r="M29" s="31" t="n">
        <x:v>0</x:v>
      </x:c>
      <x:c r="N29" s="24" t="str">
        <x:v>perciformes</x:v>
      </x:c>
      <x:c r="O29" s="32" t="n">
        <x:v>3.53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Perciformes</x:v>
      </x:c>
      <x:c r="T29" s="32" t="n">
        <x:f>IF(O29="","",(1/'Metadata'!$B$5)^(O29-1))</x:f>
        <x:v>338.84415613920237</x:v>
      </x:c>
      <x:c r="U29" s="31" t="n">
        <x:f>IF(T29="","",I29*T29)</x:f>
        <x:v>33729.80991535531</x:v>
      </x:c>
    </x:row>
    <x:row r="30" ht="18" customHeight="1">
      <x:c r="A30" s="24" t="str">
        <x:v>EEZ_916</x:v>
      </x:c>
      <x:c r="B30" s="24" t="str">
        <x:v>Yemen (Red Sea)</x:v>
      </x:c>
      <x:c r="C30" s="24" t="str">
        <x:v>EEZ</x:v>
      </x:c>
      <x:c r="D30" s="30" t="n">
        <x:v>2019</x:v>
      </x:c>
      <x:c r="E30" s="24" t="str">
        <x:v>Caesionidae</x:v>
      </x:c>
      <x:c r="F30" s="24" t="str">
        <x:v>Fusiliers</x:v>
      </x:c>
      <x:c r="G30" s="24" t="str">
        <x:v>Medium reef assoc. fish (30 - 89 cm)</x:v>
      </x:c>
      <x:c r="H30" s="24" t="str">
        <x:v>Perch-likes</x:v>
      </x:c>
      <x:c r="I30" s="31" t="n">
        <x:v>96.0999999999</x:v>
      </x:c>
      <x:c r="J30" s="31" t="n">
        <x:v>96.0999999999</x:v>
      </x:c>
      <x:c r="K30" s="31" t="n">
        <x:v>0</x:v>
      </x:c>
      <x:c r="L30" s="31" t="n">
        <x:v>96.0999999999</x:v>
      </x:c>
      <x:c r="M30" s="31" t="n">
        <x:v>0</x:v>
      </x:c>
      <x:c r="N30" s="24" t="str">
        <x:v>caesionidae</x:v>
      </x:c>
      <x:c r="O30" s="32" t="n">
        <x:v>3.39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Caesionidae</x:v>
      </x:c>
      <x:c r="T30" s="32" t="n">
        <x:f>IF(O30="","",(1/'Metadata'!$B$5)^(O30-1))</x:f>
        <x:v>245.4708915685031</x:v>
      </x:c>
      <x:c r="U30" s="31" t="n">
        <x:f>IF(T30="","",I30*T30)</x:f>
        <x:v>23589.752679708603</x:v>
      </x:c>
    </x:row>
    <x:row r="31" ht="18" customHeight="1">
      <x:c r="A31" s="24" t="str">
        <x:v>EEZ_916</x:v>
      </x:c>
      <x:c r="B31" s="24" t="str">
        <x:v>Yemen (Red Sea)</x:v>
      </x:c>
      <x:c r="C31" s="24" t="str">
        <x:v>EEZ</x:v>
      </x:c>
      <x:c r="D31" s="30" t="n">
        <x:v>2019</x:v>
      </x:c>
      <x:c r="E31" s="24" t="str">
        <x:v>Saurida</x:v>
      </x:c>
      <x:c r="F31" s="24" t="str">
        <x:v>Lizardfishes</x:v>
      </x:c>
      <x:c r="G31" s="24" t="str">
        <x:v>Medium demersals (30 - 89 cm)</x:v>
      </x:c>
      <x:c r="H31" s="24" t="str">
        <x:v>Other fishes &amp; inverts</x:v>
      </x:c>
      <x:c r="I31" s="31" t="n">
        <x:v>78.19999999999999</x:v>
      </x:c>
      <x:c r="J31" s="31" t="n">
        <x:v>78.19999999999999</x:v>
      </x:c>
      <x:c r="K31" s="31" t="n">
        <x:v>0</x:v>
      </x:c>
      <x:c r="L31" s="31" t="n">
        <x:v>78.19999999999999</x:v>
      </x:c>
      <x:c r="M31" s="31" t="n">
        <x:v>0</x:v>
      </x:c>
      <x:c r="N31" s="24" t="str">
        <x:v>saurida</x:v>
      </x:c>
      <x:c r="O31" s="32" t="n">
        <x:v>4.35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Saurida</x:v>
      </x:c>
      <x:c r="T31" s="32" t="n">
        <x:f>IF(O31="","",(1/'Metadata'!$B$5)^(O31-1))</x:f>
        <x:v>2238.7211385683377</x:v>
      </x:c>
      <x:c r="U31" s="31" t="n">
        <x:f>IF(T31="","",I31*T31)</x:f>
        <x:v>175067.99303604398</x:v>
      </x:c>
    </x:row>
    <x:row r="32" ht="18" customHeight="1">
      <x:c r="A32" s="24" t="str">
        <x:v>EEZ_916</x:v>
      </x:c>
      <x:c r="B32" s="24" t="str">
        <x:v>Yemen (Red Sea)</x:v>
      </x:c>
      <x:c r="C32" s="24" t="str">
        <x:v>EEZ</x:v>
      </x:c>
      <x:c r="D32" s="30" t="n">
        <x:v>2019</x:v>
      </x:c>
      <x:c r="E32" s="24" t="str">
        <x:v>Holothuroidea</x:v>
      </x:c>
      <x:c r="F32" s="24" t="str">
        <x:v>Sea cucumbers</x:v>
      </x:c>
      <x:c r="G32" s="24" t="str">
        <x:v>Other demersal invertebrates</x:v>
      </x:c>
      <x:c r="H32" s="24" t="str">
        <x:v>Other fishes &amp; inverts</x:v>
      </x:c>
      <x:c r="I32" s="31" t="n">
        <x:v>44.6403773827</x:v>
      </x:c>
      <x:c r="J32" s="31" t="n">
        <x:v>44.6403773827</x:v>
      </x:c>
      <x:c r="K32" s="31" t="n">
        <x:v>0</x:v>
      </x:c>
      <x:c r="L32" s="31" t="n">
        <x:v>2.5555555556</x:v>
      </x:c>
      <x:c r="M32" s="31" t="n">
        <x:v>42.0848218271</x:v>
      </x:c>
      <x:c r="N32" s="24" t="str">
        <x:v>holothuroidea</x:v>
      </x:c>
      <x:c r="O32" s="32" t="n">
        <x:v>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Holothuroidea</x:v>
      </x:c>
      <x:c r="T32" s="32" t="n">
        <x:f>IF(O32="","",(1/'Metadata'!$B$5)^(O32-1))</x:f>
        <x:v>10</x:v>
      </x:c>
      <x:c r="U32" s="31" t="n">
        <x:f>IF(T32="","",I32*T32)</x:f>
        <x:v>446.403773827</x:v>
      </x:c>
    </x:row>
    <x:row r="33" ht="18" customHeight="1">
      <x:c r="A33" s="24" t="str">
        <x:v>EEZ_916</x:v>
      </x:c>
      <x:c r="B33" s="24" t="str">
        <x:v>Yemen (Red Sea)</x:v>
      </x:c>
      <x:c r="C33" s="24" t="str">
        <x:v>EEZ</x:v>
      </x:c>
      <x:c r="D33" s="30" t="n">
        <x:v>2019</x:v>
      </x:c>
      <x:c r="E33" s="24" t="str">
        <x:v>Synodontidae</x:v>
      </x:c>
      <x:c r="F33" s="24" t="str">
        <x:v>Lizardfishes, sauries</x:v>
      </x:c>
      <x:c r="G33" s="24" t="str">
        <x:v>Medium demersals (30 - 89 cm)</x:v>
      </x:c>
      <x:c r="H33" s="24" t="str">
        <x:v>Other fishes &amp; inverts</x:v>
      </x:c>
      <x:c r="I33" s="31" t="n">
        <x:v>42.5416205677</x:v>
      </x:c>
      <x:c r="J33" s="31" t="n">
        <x:v>42.5416205677</x:v>
      </x:c>
      <x:c r="K33" s="31" t="n">
        <x:v>0</x:v>
      </x:c>
      <x:c r="L33" s="31" t="n">
        <x:v>0</x:v>
      </x:c>
      <x:c r="M33" s="31" t="n">
        <x:v>42.5416205677</x:v>
      </x:c>
      <x:c r="N33" s="24" t="str">
        <x:v>synodontidae</x:v>
      </x:c>
      <x:c r="O33" s="32" t="n">
        <x:v>4.3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Synodontidae</x:v>
      </x:c>
      <x:c r="T33" s="32" t="n">
        <x:f>IF(O33="","",(1/'Metadata'!$B$5)^(O33-1))</x:f>
        <x:v>1995.2623149688789</x:v>
      </x:c>
      <x:c r="U33" s="31" t="n">
        <x:f>IF(T33="","",I33*T33)</x:f>
        <x:v>84881.69233643677</x:v>
      </x:c>
    </x:row>
    <x:row r="34" ht="18" customHeight="1">
      <x:c r="A34" s="24" t="str">
        <x:v>EEZ_916</x:v>
      </x:c>
      <x:c r="B34" s="24" t="str">
        <x:v>Yemen (Red Sea)</x:v>
      </x:c>
      <x:c r="C34" s="24" t="str">
        <x:v>EEZ</x:v>
      </x:c>
      <x:c r="D34" s="30" t="n">
        <x:v>2019</x:v>
      </x:c>
      <x:c r="E34" s="24" t="str">
        <x:v>Scomberoides</x:v>
      </x:c>
      <x:c r="F34" s="24" t="str">
        <x:v>Queenfishes</x:v>
      </x:c>
      <x:c r="G34" s="24" t="str">
        <x:v>Medium pelagics (30 - 89 cm)</x:v>
      </x:c>
      <x:c r="H34" s="24" t="str">
        <x:v>Perch-likes</x:v>
      </x:c>
      <x:c r="I34" s="31" t="n">
        <x:v>35.499913757</x:v>
      </x:c>
      <x:c r="J34" s="31" t="n">
        <x:v>35.499913757</x:v>
      </x:c>
      <x:c r="K34" s="31" t="n">
        <x:v>0</x:v>
      </x:c>
      <x:c r="L34" s="31" t="n">
        <x:v>0</x:v>
      </x:c>
      <x:c r="M34" s="31" t="n">
        <x:v>35.499913757</x:v>
      </x:c>
      <x:c r="N34" s="24" t="str">
        <x:v>scomberoides</x:v>
      </x:c>
      <x:c r="O34" s="32" t="n">
        <x:v>4.47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Scomberoides</x:v>
      </x:c>
      <x:c r="T34" s="32" t="n">
        <x:f>IF(O34="","",(1/'Metadata'!$B$5)^(O34-1))</x:f>
        <x:v>2951.209226666384</x:v>
      </x:c>
      <x:c r="U34" s="31" t="n">
        <x:f>IF(T34="","",I34*T34)</x:f>
        <x:v>104767.6730255193</x:v>
      </x:c>
    </x:row>
    <x:row r="35" ht="18" customHeight="1">
      <x:c r="A35" s="24" t="str">
        <x:v>EEZ_916</x:v>
      </x:c>
      <x:c r="B35" s="24" t="str">
        <x:v>Yemen (Red Sea)</x:v>
      </x:c>
      <x:c r="C35" s="24" t="str">
        <x:v>EEZ</x:v>
      </x:c>
      <x:c r="D35" s="30" t="n">
        <x:v>2019</x:v>
      </x:c>
      <x:c r="E35" s="24" t="str">
        <x:v>Rachycentron canadum</x:v>
      </x:c>
      <x:c r="F35" s="24" t="str">
        <x:v>Cobia</x:v>
      </x:c>
      <x:c r="G35" s="24" t="str">
        <x:v>Large pelagics (&gt;=90 cm)</x:v>
      </x:c>
      <x:c r="H35" s="24" t="str">
        <x:v>Perch-likes</x:v>
      </x:c>
      <x:c r="I35" s="31" t="n">
        <x:v>33.0523701048</x:v>
      </x:c>
      <x:c r="J35" s="31" t="n">
        <x:v>33.0523701048</x:v>
      </x:c>
      <x:c r="K35" s="31" t="n">
        <x:v>0</x:v>
      </x:c>
      <x:c r="L35" s="31" t="n">
        <x:v>31.5</x:v>
      </x:c>
      <x:c r="M35" s="31" t="n">
        <x:v>1.5523701048</x:v>
      </x:c>
      <x:c r="N35" s="24" t="str">
        <x:v>rachycentron canadum</x:v>
      </x:c>
      <x:c r="O35" s="32" t="n">
        <x:v>3.96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Rachycentron canadum</x:v>
      </x:c>
      <x:c r="T35" s="32" t="n">
        <x:f>IF(O35="","",(1/'Metadata'!$B$5)^(O35-1))</x:f>
        <x:v>912.0108393559096</x:v>
      </x:c>
      <x:c r="U35" s="31" t="n">
        <x:f>IF(T35="","",I35*T35)</x:f>
        <x:v>30144.11980198082</x:v>
      </x:c>
    </x:row>
    <x:row r="36" ht="18" customHeight="1">
      <x:c r="A36" s="24" t="str">
        <x:v>EEZ_916</x:v>
      </x:c>
      <x:c r="B36" s="24" t="str">
        <x:v>Yemen (Red Sea)</x:v>
      </x:c>
      <x:c r="C36" s="24" t="str">
        <x:v>EEZ</x:v>
      </x:c>
      <x:c r="D36" s="30" t="n">
        <x:v>2019</x:v>
      </x:c>
      <x:c r="E36" s="24" t="str">
        <x:v>Carangidae</x:v>
      </x:c>
      <x:c r="F36" s="24" t="str">
        <x:v>Jacks, pompanos</x:v>
      </x:c>
      <x:c r="G36" s="24" t="str">
        <x:v>Medium pelagics (30 - 89 cm)</x:v>
      </x:c>
      <x:c r="H36" s="24" t="str">
        <x:v>Perch-likes</x:v>
      </x:c>
      <x:c r="I36" s="31" t="n">
        <x:v>32.128170755</x:v>
      </x:c>
      <x:c r="J36" s="31" t="n">
        <x:v>32.128170755</x:v>
      </x:c>
      <x:c r="K36" s="31" t="n">
        <x:v>0</x:v>
      </x:c>
      <x:c r="L36" s="31" t="n">
        <x:v>0</x:v>
      </x:c>
      <x:c r="M36" s="31" t="n">
        <x:v>32.128170755</x:v>
      </x:c>
      <x:c r="N36" s="24" t="str">
        <x:v>carangidae</x:v>
      </x:c>
      <x:c r="O36" s="32" t="n">
        <x:v>4.05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Carangidae</x:v>
      </x:c>
      <x:c r="T36" s="32" t="n">
        <x:f>IF(O36="","",(1/'Metadata'!$B$5)^(O36-1))</x:f>
        <x:v>1122.018454301963</x:v>
      </x:c>
      <x:c r="U36" s="31" t="n">
        <x:f>IF(T36="","",I36*T36)</x:f>
        <x:v>36048.40049007463</x:v>
      </x:c>
    </x:row>
    <x:row r="37" ht="18" customHeight="1">
      <x:c r="A37" s="24" t="str">
        <x:v>EEZ_916</x:v>
      </x:c>
      <x:c r="B37" s="24" t="str">
        <x:v>Yemen (Red Sea)</x:v>
      </x:c>
      <x:c r="C37" s="24" t="str">
        <x:v>EEZ</x:v>
      </x:c>
      <x:c r="D37" s="30" t="n">
        <x:v>2019</x:v>
      </x:c>
      <x:c r="E37" s="24" t="str">
        <x:v>Scaridae</x:v>
      </x:c>
      <x:c r="F37" s="24" t="str">
        <x:v>Parrotfishes</x:v>
      </x:c>
      <x:c r="G37" s="24" t="str">
        <x:v>Medium reef assoc. fish (30 - 89 cm)</x:v>
      </x:c>
      <x:c r="H37" s="24" t="str">
        <x:v>Perch-likes</x:v>
      </x:c>
      <x:c r="I37" s="31" t="n">
        <x:v>25.7331476006</x:v>
      </x:c>
      <x:c r="J37" s="31" t="n">
        <x:v>25.7331476006</x:v>
      </x:c>
      <x:c r="K37" s="31" t="n">
        <x:v>0</x:v>
      </x:c>
      <x:c r="L37" s="31" t="n">
        <x:v>0</x:v>
      </x:c>
      <x:c r="M37" s="31" t="n">
        <x:v>25.7331476006</x:v>
      </x:c>
      <x:c r="N37" s="24" t="str">
        <x:v>scaridae</x:v>
      </x:c>
      <x:c r="O37" s="32" t="n">
        <x:v>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Scaridae</x:v>
      </x:c>
      <x:c r="T37" s="32" t="n">
        <x:f>IF(O37="","",(1/'Metadata'!$B$5)^(O37-1))</x:f>
        <x:v>10</x:v>
      </x:c>
      <x:c r="U37" s="31" t="n">
        <x:f>IF(T37="","",I37*T37)</x:f>
        <x:v>257.331476006</x:v>
      </x:c>
    </x:row>
    <x:row r="38" ht="18" customHeight="1">
      <x:c r="A38" s="24" t="str">
        <x:v>EEZ_916</x:v>
      </x:c>
      <x:c r="B38" s="24" t="str">
        <x:v>Yemen (Red Sea)</x:v>
      </x:c>
      <x:c r="C38" s="24" t="str">
        <x:v>EEZ</x:v>
      </x:c>
      <x:c r="D38" s="30" t="n">
        <x:v>2019</x:v>
      </x:c>
      <x:c r="E38" s="24" t="str">
        <x:v>Istiophorus platypterus</x:v>
      </x:c>
      <x:c r="F38" s="24" t="str">
        <x:v>Indo-Pacific sailfish</x:v>
      </x:c>
      <x:c r="G38" s="24" t="str">
        <x:v>Large pelagics (&gt;=90 cm)</x:v>
      </x:c>
      <x:c r="H38" s="24" t="str">
        <x:v>Tuna &amp; billfishes</x:v>
      </x:c>
      <x:c r="I38" s="31" t="n">
        <x:v>19.7719298248</x:v>
      </x:c>
      <x:c r="J38" s="31" t="n">
        <x:v>19.7719298248</x:v>
      </x:c>
      <x:c r="K38" s="31" t="n">
        <x:v>0</x:v>
      </x:c>
      <x:c r="L38" s="31" t="n">
        <x:v>19.7719298248</x:v>
      </x:c>
      <x:c r="M38" s="31" t="n">
        <x:v>0</x:v>
      </x:c>
      <x:c r="N38" s="24" t="str">
        <x:v>istiophorus platypterus</x:v>
      </x:c>
      <x:c r="O38" s="32" t="n">
        <x:v>4.5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Istiophorus platypterus</x:v>
      </x:c>
      <x:c r="T38" s="32" t="n">
        <x:f>IF(O38="","",(1/'Metadata'!$B$5)^(O38-1))</x:f>
        <x:v>3162.2776601683795</x:v>
      </x:c>
      <x:c r="U38" s="31" t="n">
        <x:f>IF(T38="","",I38*T38)</x:f>
        <x:v>62524.33198338195</x:v>
      </x:c>
    </x:row>
    <x:row r="39" ht="18" customHeight="1">
      <x:c r="A39" s="24" t="str">
        <x:v>EEZ_916</x:v>
      </x:c>
      <x:c r="B39" s="24" t="str">
        <x:v>Yemen (Red Sea)</x:v>
      </x:c>
      <x:c r="C39" s="24" t="str">
        <x:v>EEZ</x:v>
      </x:c>
      <x:c r="D39" s="30" t="n">
        <x:v>2019</x:v>
      </x:c>
      <x:c r="E39" s="24" t="str">
        <x:v>Mollusca</x:v>
      </x:c>
      <x:c r="F39" s="24" t="str">
        <x:v>Clams, seasnails, squids, octopuses</x:v>
      </x:c>
      <x:c r="G39" s="24" t="str">
        <x:v>Other demersal invertebrates</x:v>
      </x:c>
      <x:c r="H39" s="24" t="str">
        <x:v>Molluscs</x:v>
      </x:c>
      <x:c r="I39" s="31" t="n">
        <x:v>5.9305555556</x:v>
      </x:c>
      <x:c r="J39" s="31" t="n">
        <x:v>5.9305555556</x:v>
      </x:c>
      <x:c r="K39" s="31" t="n">
        <x:v>0</x:v>
      </x:c>
      <x:c r="L39" s="31" t="n">
        <x:v>5.9305555556</x:v>
      </x:c>
      <x:c r="M39" s="31" t="n">
        <x:v>0</x:v>
      </x:c>
      <x:c r="N39" s="24" t="str">
        <x:v>mollusca</x:v>
      </x:c>
      <x:c r="O39" s="32" t="n">
        <x:v>2.1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Mollusca</x:v>
      </x:c>
      <x:c r="T39" s="32" t="n">
        <x:f>IF(O39="","",(1/'Metadata'!$B$5)^(O39-1))</x:f>
        <x:v>12.589254117941675</x:v>
      </x:c>
      <x:c r="U39" s="31" t="n">
        <x:f>IF(T39="","",I39*T39)</x:f>
        <x:v>74.66127095001917</x:v>
      </x:c>
    </x:row>
    <x:row r="40" ht="18" customHeight="1">
      <x:c r="A40" s="24" t="str">
        <x:v>EEZ_916</x:v>
      </x:c>
      <x:c r="B40" s="24" t="str">
        <x:v>Yemen (Red Sea)</x:v>
      </x:c>
      <x:c r="C40" s="24" t="str">
        <x:v>EEZ</x:v>
      </x:c>
      <x:c r="D40" s="30" t="n">
        <x:v>2019</x:v>
      </x:c>
      <x:c r="E40" s="24" t="str">
        <x:v>Mugilidae</x:v>
      </x:c>
      <x:c r="F40" s="24" t="str">
        <x:v>Mullets, grey mullets</x:v>
      </x:c>
      <x:c r="G40" s="24" t="str">
        <x:v>Medium reef assoc. fish (30 - 89 cm)</x:v>
      </x:c>
      <x:c r="H40" s="24" t="str">
        <x:v>Perch-likes</x:v>
      </x:c>
      <x:c r="I40" s="31" t="n">
        <x:v>5.7797342416</x:v>
      </x:c>
      <x:c r="J40" s="31" t="n">
        <x:v>5.7797342416</x:v>
      </x:c>
      <x:c r="K40" s="31" t="n">
        <x:v>0</x:v>
      </x:c>
      <x:c r="L40" s="31" t="n">
        <x:v>0</x:v>
      </x:c>
      <x:c r="M40" s="31" t="n">
        <x:v>5.7797342416</x:v>
      </x:c>
      <x:c r="N40" s="24" t="str">
        <x:v>mugilidae</x:v>
      </x:c>
      <x:c r="O40" s="32" t="n">
        <x:v>2.53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Mugilidae</x:v>
      </x:c>
      <x:c r="T40" s="32" t="n">
        <x:f>IF(O40="","",(1/'Metadata'!$B$5)^(O40-1))</x:f>
        <x:v>33.88441561392024</x:v>
      </x:c>
      <x:c r="U40" s="31" t="n">
        <x:f>IF(T40="","",I40*T40)</x:f>
        <x:v>195.84291718038048</x:v>
      </x:c>
    </x:row>
    <x:row r="41" ht="18" customHeight="1">
      <x:c r="A41" s="24" t="str">
        <x:v>EEZ_916</x:v>
      </x:c>
      <x:c r="B41" s="24" t="str">
        <x:v>Yemen (Red Sea)</x:v>
      </x:c>
      <x:c r="C41" s="24" t="str">
        <x:v>EEZ</x:v>
      </x:c>
      <x:c r="D41" s="30" t="n">
        <x:v>2019</x:v>
      </x:c>
      <x:c r="E41" s="24" t="str">
        <x:v>Octopoda</x:v>
      </x:c>
      <x:c r="F41" s="24" t="str">
        <x:v>Octopuses, argonauts</x:v>
      </x:c>
      <x:c r="G41" s="24" t="str">
        <x:v>Cephalopods</x:v>
      </x:c>
      <x:c r="H41" s="24" t="str">
        <x:v>Other fishes &amp; inverts</x:v>
      </x:c>
      <x:c r="I41" s="31" t="n">
        <x:v>1.7142857143999999</x:v>
      </x:c>
      <x:c r="J41" s="31" t="n">
        <x:v>1.7142857143999999</x:v>
      </x:c>
      <x:c r="K41" s="31" t="n">
        <x:v>0</x:v>
      </x:c>
      <x:c r="L41" s="31" t="n">
        <x:v>1.7142857143999999</x:v>
      </x:c>
      <x:c r="M41" s="31" t="n">
        <x:v>0</x:v>
      </x:c>
      <x:c r="N41" s="24" t="str">
        <x:v>octopoda</x:v>
      </x:c>
      <x:c r="O41" s="32" t="n">
        <x:v>3.58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Octopoda</x:v>
      </x:c>
      <x:c r="T41" s="32" t="n">
        <x:f>IF(O41="","",(1/'Metadata'!$B$5)^(O41-1))</x:f>
        <x:v>380.1893963205613</x:v>
      </x:c>
      <x:c r="U41" s="31" t="n">
        <x:f>IF(T41="","",I41*T41)</x:f>
        <x:v>651.753250878698</x:v>
      </x:c>
    </x:row>
    <x:row r="42" ht="18" customHeight="1">
      <x:c r="A42" s="24" t="str">
        <x:v>EEZ_916</x:v>
      </x:c>
      <x:c r="B42" s="24" t="str">
        <x:v>Yemen (Red Sea)</x:v>
      </x:c>
      <x:c r="C42" s="24" t="str">
        <x:v>EEZ</x:v>
      </x:c>
      <x:c r="D42" s="30" t="n">
        <x:v>2019</x:v>
      </x:c>
      <x:c r="E42" s="24" t="str">
        <x:v>Auxis</x:v>
      </x:c>
      <x:c r="F42" s="24" t="str">
        <x:v>Bullet and frigate tunas</x:v>
      </x:c>
      <x:c r="G42" s="24" t="str">
        <x:v>Medium pelagics (30 - 89 cm)</x:v>
      </x:c>
      <x:c r="H42" s="24" t="str">
        <x:v>Tuna &amp; billfishes</x:v>
      </x:c>
      <x:c r="I42" s="31" t="n">
        <x:v>1.6666666668</x:v>
      </x:c>
      <x:c r="J42" s="31" t="n">
        <x:v>1.6666666668</x:v>
      </x:c>
      <x:c r="K42" s="31" t="n">
        <x:v>0</x:v>
      </x:c>
      <x:c r="L42" s="31" t="n">
        <x:v>1.6666666668</x:v>
      </x:c>
      <x:c r="M42" s="31" t="n">
        <x:v>0</x:v>
      </x:c>
      <x:c r="N42" s="24" t="str">
        <x:v>auxis</x:v>
      </x:c>
      <x:c r="O42" s="32" t="n">
        <x:v>4.24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Auxis</x:v>
      </x:c>
      <x:c r="T42" s="32" t="n">
        <x:f>IF(O42="","",(1/'Metadata'!$B$5)^(O42-1))</x:f>
        <x:v>1737.8008287493763</x:v>
      </x:c>
      <x:c r="U42" s="31" t="n">
        <x:f>IF(T42="","",I42*T42)</x:f>
        <x:v>2896.3347148140006</x:v>
      </x:c>
    </x:row>
  </x:sheetData>
  <x:conditionalFormatting sqref="R2:R4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f03f4bf95b9445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779.4642998204</x:v>
      </x:c>
      <x:c r="C2" s="32" t="n">
        <x:v>3.31</x:v>
      </x:c>
      <x:c r="D2" s="32" t="n">
        <x:f>IF(C2="","",(1/'Metadata'!$B$5)^(C2-1))</x:f>
        <x:v>204.17379446695296</x:v>
      </x:c>
      <x:c r="E2" s="31" t="n">
        <x:f>IF(B2=0,"",B2*D2)</x:f>
        <x:v>159146.18374585774</x:v>
      </x:c>
    </x:row>
    <x:row r="3" ht="18" customHeight="1">
      <x:c r="A3" s="24" t="str">
        <x:v>Flatfishes</x:v>
      </x:c>
      <x:c r="B3" s="31" t="n">
        <x:v>127.5</x:v>
      </x:c>
      <x:c r="C3" s="32" t="n">
        <x:v>4.39</x:v>
      </x:c>
      <x:c r="D3" s="32" t="n">
        <x:f>IF(C3="","",(1/'Metadata'!$B$5)^(C3-1))</x:f>
        <x:v>2454.7089156850284</x:v>
      </x:c>
      <x:c r="E3" s="31" t="n">
        <x:f>IF(B3=0,"",B3*D3)</x:f>
        <x:v>312975.3867498411</x:v>
      </x:c>
    </x:row>
    <x:row r="4" ht="18" customHeight="1">
      <x:c r="A4" s="24" t="str">
        <x:v>Herring-likes</x:v>
      </x:c>
      <x:c r="B4" s="31" t="n">
        <x:v>2804.9999999997</x:v>
      </x:c>
      <x:c r="C4" s="32" t="n">
        <x:v>2.41</x:v>
      </x:c>
      <x:c r="D4" s="32" t="n">
        <x:f>IF(C4="","",(1/'Metadata'!$B$5)^(C4-1))</x:f>
        <x:v>25.703957827688647</x:v>
      </x:c>
      <x:c r="E4" s="31" t="n">
        <x:f>IF(B4=0,"",B4*D4)</x:f>
        <x:v>72099.60170665894</x:v>
      </x:c>
    </x:row>
    <x:row r="5" ht="18" customHeight="1">
      <x:c r="A5" s="24" t="str">
        <x:v>Molluscs</x:v>
      </x:c>
      <x:c r="B5" s="31" t="n">
        <x:v>5.9305555556</x:v>
      </x:c>
      <x:c r="C5" s="32" t="n">
        <x:v>2.1</x:v>
      </x:c>
      <x:c r="D5" s="32" t="n">
        <x:f>IF(C5="","",(1/'Metadata'!$B$5)^(C5-1))</x:f>
        <x:v>12.589254117941675</x:v>
      </x:c>
      <x:c r="E5" s="31" t="n">
        <x:f>IF(B5=0,"",B5*D5)</x:f>
        <x:v>74.66127095001917</x:v>
      </x:c>
    </x:row>
    <x:row r="6" ht="18" customHeight="1">
      <x:c r="A6" s="24" t="str">
        <x:v>Other fishes &amp; inverts</x:v>
      </x:c>
      <x:c r="B6" s="31" t="n">
        <x:v>6664.9571631167</x:v>
      </x:c>
      <x:c r="C6" s="32" t="n">
        <x:v>3.4302994885571025</x:v>
      </x:c>
      <x:c r="D6" s="32" t="n">
        <x:f>IF(C6="","",(1/'Metadata'!$B$5)^(C6-1))</x:f>
        <x:v>269.3391520761201</x:v>
      </x:c>
      <x:c r="E6" s="31" t="n">
        <x:f>IF(B6=0,"",B6*D6)</x:f>
        <x:v>1795133.9109375149</x:v>
      </x:c>
    </x:row>
    <x:row r="7" ht="18" customHeight="1">
      <x:c r="A7" s="24" t="str">
        <x:v>Perch-likes</x:v>
      </x:c>
      <x:c r="B7" s="31" t="n">
        <x:v>11531.4713015882</x:v>
      </x:c>
      <x:c r="C7" s="32" t="n">
        <x:v>3.796159880984687</x:v>
      </x:c>
      <x:c r="D7" s="32" t="n">
        <x:f>IF(C7="","",(1/'Metadata'!$B$5)^(C7-1))</x:f>
        <x:v>625.402885952235</x:v>
      </x:c>
      <x:c r="E7" s="31" t="n">
        <x:f>IF(B7=0,"",B7*D7)</x:f>
        <x:v>7211815.431288636</x:v>
      </x:c>
    </x:row>
    <x:row r="8" ht="18" customHeight="1">
      <x:c r="A8" s="24" t="str">
        <x:v>Sharks &amp; rays</x:v>
      </x:c>
      <x:c r="B8" s="31" t="n">
        <x:v>2246.6273758701</x:v>
      </x:c>
      <x:c r="C8" s="32" t="n">
        <x:v>4.0971798910236865</x:v>
      </x:c>
      <x:c r="D8" s="32" t="n">
        <x:f>IF(C8="","",(1/'Metadata'!$B$5)^(C8-1))</x:f>
        <x:v>1250.7770127691508</x:v>
      </x:c>
      <x:c r="E8" s="31" t="n">
        <x:f>IF(B8=0,"",B8*D8)</x:f>
        <x:v>2810029.8779961998</x:v>
      </x:c>
    </x:row>
    <x:row r="9" ht="18" customHeight="1">
      <x:c r="A9" s="24" t="str">
        <x:v>Tuna &amp; billfishes</x:v>
      </x:c>
      <x:c r="B9" s="31" t="n">
        <x:v>3360.2961807838</x:v>
      </x:c>
      <x:c r="C9" s="32" t="n">
        <x:v>4.448833220470088</x:v>
      </x:c>
      <x:c r="D9" s="32" t="n">
        <x:f>IF(C9="","",(1/'Metadata'!$B$5)^(C9-1))</x:f>
        <x:v>2810.821200142708</x:v>
      </x:c>
      <x:c r="E9" s="31" t="n">
        <x:f>IF(B9=0,"",B9*D9)</x:f>
        <x:v>9445191.74370568</x:v>
      </x:c>
    </x:row>
  </x:sheetData>
  <x:pageMargins left="0.7" right="0.7" top="0.75" bottom="0.75" header="0.3" footer="0.3"/>
  <x:tableParts count="1">
    <x:tablePart xmlns:r="http://schemas.openxmlformats.org/officeDocument/2006/relationships" r:id="R52fa00593474405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2862.049942117</x:v>
      </x:c>
      <x:c r="C2" s="32" t="n">
        <x:v>3.5999880205744197</x:v>
      </x:c>
      <x:c r="D2" s="32" t="n">
        <x:f>IF(C2="","",(1/'Metadata'!$B$5)^(C2-1))</x:f>
        <x:v>398.0961894573806</x:v>
      </x:c>
      <x:c r="E2" s="31" t="n">
        <x:f>IF(B2=0,"",B2*D2)</x:f>
        <x:v>1139371.1759934942</x:v>
      </x:c>
    </x:row>
    <x:row r="3" ht="18" customHeight="1">
      <x:c r="A3" s="24" t="str">
        <x:v>Large benthopelagics (&gt;=90 cm)</x:v>
      </x:c>
      <x:c r="B3" s="31" t="n">
        <x:v>178.4999999998</x:v>
      </x:c>
      <x:c r="C3" s="32" t="n">
        <x:v>4.42</x:v>
      </x:c>
      <x:c r="D3" s="32" t="n">
        <x:f>IF(C3="","",(1/'Metadata'!$B$5)^(C3-1))</x:f>
        <x:v>2630.2679918953813</x:v>
      </x:c>
      <x:c r="E3" s="31" t="n">
        <x:f>IF(B3=0,"",B3*D3)</x:f>
        <x:v>469502.8365527995</x:v>
      </x:c>
    </x:row>
    <x:row r="4" ht="18" customHeight="1">
      <x:c r="A4" s="24" t="str">
        <x:v>Large pelagics (&gt;=90 cm)</x:v>
      </x:c>
      <x:c r="B4" s="31" t="n">
        <x:v>4019.4494700530004</x:v>
      </x:c>
      <x:c r="C4" s="32" t="n">
        <x:v>4.452891439046229</x:v>
      </x:c>
      <x:c r="D4" s="32" t="n">
        <x:f>IF(C4="","",(1/'Metadata'!$B$5)^(C4-1))</x:f>
        <x:v>2837.209720112552</x:v>
      </x:c>
      <x:c r="E4" s="31" t="n">
        <x:f>IF(B4=0,"",B4*D4)</x:f>
        <x:v>11404021.105935618</x:v>
      </x:c>
    </x:row>
    <x:row r="5" ht="18" customHeight="1">
      <x:c r="A5" s="24" t="str">
        <x:v>Large sharks (&gt;=90 cm)</x:v>
      </x:c>
      <x:c r="B5" s="31" t="n">
        <x:v>2246.6273758701</x:v>
      </x:c>
      <x:c r="C5" s="32" t="n">
        <x:v>4.0971798910236865</x:v>
      </x:c>
      <x:c r="D5" s="32" t="n">
        <x:f>IF(C5="","",(1/'Metadata'!$B$5)^(C5-1))</x:f>
        <x:v>1250.7770127691508</x:v>
      </x:c>
      <x:c r="E5" s="31" t="n">
        <x:f>IF(B5=0,"",B5*D5)</x:f>
        <x:v>2810029.8779961998</x:v>
      </x:c>
    </x:row>
    <x:row r="6" ht="18" customHeight="1">
      <x:c r="A6" s="24" t="str">
        <x:v>Medium demersals (30 - 89 cm)</x:v>
      </x:c>
      <x:c r="B6" s="31" t="n">
        <x:v>2963.8080324195</x:v>
      </x:c>
      <x:c r="C6" s="32" t="n">
        <x:v>3.3536585517001156</x:v>
      </x:c>
      <x:c r="D6" s="32" t="n">
        <x:f>IF(C6="","",(1/'Metadata'!$B$5)^(C6-1))</x:f>
        <x:v>225.76600688484234</x:v>
      </x:c>
      <x:c r="E6" s="31" t="n">
        <x:f>IF(B6=0,"",B6*D6)</x:f>
        <x:v>669127.1046525718</x:v>
      </x:c>
    </x:row>
    <x:row r="7" ht="18" customHeight="1">
      <x:c r="A7" s="24" t="str">
        <x:v>Medium pelagics (30 - 89 cm)</x:v>
      </x:c>
      <x:c r="B7" s="31" t="n">
        <x:v>1900.7785149469998</x:v>
      </x:c>
      <x:c r="C7" s="32" t="n">
        <x:v>3.687863620069192</x:v>
      </x:c>
      <x:c r="D7" s="32" t="n">
        <x:f>IF(C7="","",(1/'Metadata'!$B$5)^(C7-1))</x:f>
        <x:v>487.3754173245611</x:v>
      </x:c>
      <x:c r="E7" s="31" t="n">
        <x:f>IF(B7=0,"",B7*D7)</x:f>
        <x:v>926392.7219638536</x:v>
      </x:c>
    </x:row>
    <x:row r="8" ht="18" customHeight="1">
      <x:c r="A8" s="24" t="str">
        <x:v>Medium reef assoc. fish (30 - 89 cm)</x:v>
      </x:c>
      <x:c r="B8" s="31" t="n">
        <x:v>3214.7570762475</x:v>
      </x:c>
      <x:c r="C8" s="32" t="n">
        <x:v>3.821810498813166</x:v>
      </x:c>
      <x:c r="D8" s="32" t="n">
        <x:f>IF(C8="","",(1/'Metadata'!$B$5)^(C8-1))</x:f>
        <x:v>663.4535141970374</x:v>
      </x:c>
      <x:c r="E8" s="31" t="n">
        <x:f>IF(B8=0,"",B8*D8)</x:f>
        <x:v>2132841.8795261974</x:v>
      </x:c>
    </x:row>
    <x:row r="9" ht="18" customHeight="1">
      <x:c r="A9" s="24" t="str">
        <x:v>Other demersal invertebrates</x:v>
      </x:c>
      <x:c r="B9" s="31" t="n">
        <x:v>50.570932938300004</x:v>
      </x:c>
      <x:c r="C9" s="32" t="n">
        <x:v>2.0117272021911</x:v>
      </x:c>
      <x:c r="D9" s="32" t="n">
        <x:f>IF(C9="","",(1/'Metadata'!$B$5)^(C9-1))</x:f>
        <x:v>10.273707625607166</x:v>
      </x:c>
      <x:c r="E9" s="31" t="n">
        <x:f>IF(B9=0,"",B9*D9)</x:f>
        <x:v>519.5509793622814</x:v>
      </x:c>
    </x:row>
    <x:row r="10" ht="18" customHeight="1">
      <x:c r="A10" s="24" t="str">
        <x:v>Shrimps</x:v>
      </x:c>
      <x:c r="B10" s="31" t="n">
        <x:v>779.4642998204</x:v>
      </x:c>
      <x:c r="C10" s="32" t="n">
        <x:v>3.31</x:v>
      </x:c>
      <x:c r="D10" s="32" t="n">
        <x:f>IF(C10="","",(1/'Metadata'!$B$5)^(C10-1))</x:f>
        <x:v>204.17379446695296</x:v>
      </x:c>
      <x:c r="E10" s="31" t="n">
        <x:f>IF(B10=0,"",B10*D10)</x:f>
        <x:v>159146.18374585774</x:v>
      </x:c>
    </x:row>
    <x:row r="11" ht="18" customHeight="1">
      <x:c r="A11" s="24" t="str">
        <x:v>Small demersals (&lt;30 cm)</x:v>
      </x:c>
      <x:c r="B11" s="31" t="n">
        <x:v>5250.8595283544</x:v>
      </x:c>
      <x:c r="C11" s="32" t="n">
        <x:v>3.7200000000000006</x:v>
      </x:c>
      <x:c r="D11" s="32" t="n">
        <x:f>IF(C11="","",(1/'Metadata'!$B$5)^(C11-1))</x:f>
        <x:v>524.8074602497734</x:v>
      </x:c>
      <x:c r="E11" s="31" t="n">
        <x:f>IF(B11=0,"",B11*D11)</x:f>
        <x:v>2755690.2532039955</x:v>
      </x:c>
    </x:row>
    <x:row r="12" ht="18" customHeight="1">
      <x:c r="A12" s="24" t="str">
        <x:v>Small pelagics (&lt;30 cm)</x:v>
      </x:c>
      <x:c r="B12" s="31" t="n">
        <x:v>3926.8817039674996</x:v>
      </x:c>
      <x:c r="C12" s="32" t="n">
        <x:v>2.6736188324754906</x:v>
      </x:c>
      <x:c r="D12" s="32" t="n">
        <x:f>IF(C12="","",(1/'Metadata'!$B$5)^(C12-1))</x:f>
        <x:v>47.164890714593135</x:v>
      </x:c>
      <x:c r="E12" s="31" t="n">
        <x:f>IF(B12=0,"",B12*D12)</x:f>
        <x:v>185210.9464167624</x:v>
      </x:c>
    </x:row>
    <x:row r="13" ht="18" customHeight="1">
      <x:c r="A13" s="24" t="str">
        <x:v>Small to medium flatfishes (&lt;90 cm)</x:v>
      </x:c>
      <x:c r="B13" s="31" t="n">
        <x:v>127.5</x:v>
      </x:c>
      <x:c r="C13" s="32" t="n">
        <x:v>4.39</x:v>
      </x:c>
      <x:c r="D13" s="32" t="n">
        <x:f>IF(C13="","",(1/'Metadata'!$B$5)^(C13-1))</x:f>
        <x:v>2454.7089156850284</x:v>
      </x:c>
      <x:c r="E13" s="31" t="n">
        <x:f>IF(B13=0,"",B13*D13)</x:f>
        <x:v>312975.3867498411</x:v>
      </x:c>
    </x:row>
  </x:sheetData>
  <x:pageMargins left="0.7" right="0.7" top="0.75" bottom="0.75" header="0.3" footer="0.3"/>
  <x:tableParts count="1">
    <x:tablePart xmlns:r="http://schemas.openxmlformats.org/officeDocument/2006/relationships" r:id="Rcaeeabd686a942e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EEZ_916</x:v>
      </x:c>
      <x:c r="B2" s="24" t="str">
        <x:v>raw_filtered_tonnes</x:v>
      </x:c>
      <x:c r="C2" s="24" t="n">
        <x:v>27521.2468767345</x:v>
      </x:c>
      <x:c r="D2" s="24" t="str">
        <x:v>tonnes</x:v>
      </x:c>
    </x:row>
    <x:row r="3" ht="18" customHeight="1">
      <x:c r="A3" s="24" t="str">
        <x:v>EEZ_916</x:v>
      </x:c>
      <x:c r="B3" s="24" t="str">
        <x:v>species_catch_tonnes</x:v>
      </x:c>
      <x:c r="C3" s="24" t="n">
        <x:v>27521.2468767345</x:v>
      </x:c>
      <x:c r="D3" s="24" t="str">
        <x:v>tonnes</x:v>
      </x:c>
    </x:row>
    <x:row r="4" ht="18" customHeight="1">
      <x:c r="A4" s="24" t="str">
        <x:v>EEZ_916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EEZ_916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EEZ_916</x:v>
      </x:c>
      <x:c r="B6" s="24" t="str">
        <x:v>matched_catch_tonnes</x:v>
      </x:c>
      <x:c r="C6" s="24" t="n">
        <x:v>27521.2468767345</x:v>
      </x:c>
      <x:c r="D6" s="24" t="str">
        <x:v>tonnes</x:v>
      </x:c>
    </x:row>
    <x:row r="7" ht="18" customHeight="1">
      <x:c r="A7" s="24" t="str">
        <x:v>EEZ_916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EEZ_916</x:v>
      </x:c>
      <x:c r="B8" s="24" t="str">
        <x:v>taxa_count</x:v>
      </x:c>
      <x:c r="C8" s="24" t="n">
        <x:v>41</x:v>
      </x:c>
      <x:c r="D8" s="24" t="str">
        <x:v>count</x:v>
      </x:c>
    </x:row>
    <x:row r="9" ht="18" customHeight="1">
      <x:c r="A9" s="24" t="str">
        <x:v>EEZ_916</x:v>
      </x:c>
      <x:c r="B9" s="24" t="str">
        <x:v>matched_taxa_count</x:v>
      </x:c>
      <x:c r="C9" s="24" t="n">
        <x:v>41</x:v>
      </x:c>
      <x:c r="D9" s="24" t="str">
        <x:v>count</x:v>
      </x:c>
    </x:row>
    <x:row r="10" ht="18" customHeight="1">
      <x:c r="A10" s="24" t="str">
        <x:v>EEZ_916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EEZ_916</x:v>
      </x:c>
      <x:c r="B11" s="24" t="str">
        <x:v>species_ppr</x:v>
      </x:c>
      <x:c r="C11" s="24" t="n">
        <x:v>24990523.481711373</x:v>
      </x:c>
      <x:c r="D11" s="24" t="str">
        <x:v>tonnes_primary_production_equivalent</x:v>
      </x:c>
    </x:row>
    <x:row r="12" ht="18" customHeight="1">
      <x:c r="A12" s="24" t="str">
        <x:v>EEZ_916</x:v>
      </x:c>
      <x:c r="B12" s="24" t="str">
        <x:v>commercial_ppr</x:v>
      </x:c>
      <x:c r="C12" s="24" t="n">
        <x:v>21806466.79740134</x:v>
      </x:c>
      <x:c r="D12" s="24" t="str">
        <x:v>tonnes_primary_production_equivalent</x:v>
      </x:c>
    </x:row>
    <x:row r="13" ht="18" customHeight="1">
      <x:c r="A13" s="24" t="str">
        <x:v>EEZ_916</x:v>
      </x:c>
      <x:c r="B13" s="24" t="str">
        <x:v>functional_ppr</x:v>
      </x:c>
      <x:c r="C13" s="24" t="n">
        <x:v>22964829.02371655</x:v>
      </x:c>
      <x:c r="D13" s="24" t="str">
        <x:v>tonnes_primary_production_equivalent</x:v>
      </x:c>
    </x:row>
    <x:row r="14" ht="18" customHeight="1">
      <x:c r="A14" s="24" t="str">
        <x:v>EEZ_916</x:v>
      </x:c>
      <x:c r="B14" s="24" t="str">
        <x:v>commercial_ppr_difference</x:v>
      </x:c>
      <x:c r="C14" s="24" t="n">
        <x:v>-3184056.684310034</x:v>
      </x:c>
      <x:c r="D14" s="24" t="str">
        <x:v>tonnes_primary_production_equivalent</x:v>
      </x:c>
    </x:row>
    <x:row r="15" ht="18" customHeight="1">
      <x:c r="A15" s="24" t="str">
        <x:v>EEZ_916</x:v>
      </x:c>
      <x:c r="B15" s="24" t="str">
        <x:v>functional_ppr_difference</x:v>
      </x:c>
      <x:c r="C15" s="24" t="n">
        <x:v>-2025694.4579948224</x:v>
      </x:c>
      <x:c r="D15" s="24" t="str">
        <x:v>tonnes_primary_production_equivalent</x:v>
      </x:c>
    </x:row>
    <x:row r="16" ht="18" customHeight="1">
      <x:c r="A16" s="24" t="str">
        <x:v>EEZ_916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EEZ_916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b97c4be263024e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EEZ_916 - Yemen (Red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EEZ_916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raw_data/SAU_downloads/EEZ_916-catch.zip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