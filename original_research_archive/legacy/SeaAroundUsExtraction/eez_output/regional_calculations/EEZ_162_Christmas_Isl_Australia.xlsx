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92c985eefc46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e8851a29f8d94f6d"/>
    <x:sheet xmlns:r="http://schemas.openxmlformats.org/officeDocument/2006/relationships" name="Commercial" sheetId="2" r:id="Rb1f64c99fa854f52"/>
    <x:sheet xmlns:r="http://schemas.openxmlformats.org/officeDocument/2006/relationships" name="Functional" sheetId="3" r:id="Rb3442ebccd834f37"/>
    <x:sheet xmlns:r="http://schemas.openxmlformats.org/officeDocument/2006/relationships" name="Missing TL" sheetId="4" r:id="R66a68395d3f24d7d"/>
    <x:sheet xmlns:r="http://schemas.openxmlformats.org/officeDocument/2006/relationships" name="Validation" sheetId="5" r:id="Rf1bd26b9f0c143a2"/>
    <x:sheet xmlns:r="http://schemas.openxmlformats.org/officeDocument/2006/relationships" name="Metadata" sheetId="6" r:id="Rd29b291528cb4e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035ea1cafd4a5b" /><Relationship Type="http://schemas.openxmlformats.org/officeDocument/2006/relationships/theme" Target="/xl/theme/theme1.xml" Id="R557e4d4d0d0c49aa" /><Relationship Type="http://schemas.microsoft.com/office/2022/11/relationships/FeaturePropertyBag" Target="/xl/featurePropertyBag/featurePropertyBag.xml" Id="Re8343e9096e34dc8" /><Relationship Type="http://schemas.openxmlformats.org/officeDocument/2006/relationships/sharedStrings" Target="/xl/sharedStrings.xml" Id="Rdc5a40752a044198" /><Relationship Type="http://schemas.openxmlformats.org/officeDocument/2006/relationships/worksheet" Target="/xl/worksheets/sheet1.xml" Id="Re8851a29f8d94f6d" /><Relationship Type="http://schemas.openxmlformats.org/officeDocument/2006/relationships/worksheet" Target="/xl/worksheets/sheet2.xml" Id="Rb1f64c99fa854f52" /><Relationship Type="http://schemas.openxmlformats.org/officeDocument/2006/relationships/worksheet" Target="/xl/worksheets/sheet3.xml" Id="Rb3442ebccd834f37" /><Relationship Type="http://schemas.openxmlformats.org/officeDocument/2006/relationships/worksheet" Target="/xl/worksheets/sheet4.xml" Id="R66a68395d3f24d7d" /><Relationship Type="http://schemas.openxmlformats.org/officeDocument/2006/relationships/worksheet" Target="/xl/worksheets/sheet5.xml" Id="Rf1bd26b9f0c143a2" /><Relationship Type="http://schemas.openxmlformats.org/officeDocument/2006/relationships/worksheet" Target="/xl/worksheets/sheet6.xml" Id="Rd29b291528cb4ef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162SpeciesTable" displayName="EEZ162SpeciesTable" ref="A1:U14" headerRowCount="1" totalsRowCount="0" totalsRowShown="0">
  <x:autoFilter ref="A1:U1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162CommercialTable" displayName="EEZ162CommercialTable" ref="A1:E4" headerRowCount="1" totalsRowCount="0" totalsRowShown="0">
  <x:autoFilter ref="A1:E4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162FunctionalTable" displayName="EEZ162FunctionalTable" ref="A1:E9" headerRowCount="1" totalsRowCount="0" totalsRowShown="0">
  <x:autoFilter ref="A1:E9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162ValidationTable" displayName="EEZ162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d9b29e82f24f5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0718de9b41f40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7c66a23601a47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b94f8288234b1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EEZ_162</x:v>
      </x:c>
      <x:c r="B2" s="24" t="str">
        <x:v>Christmas Isl. (Australia)</x:v>
      </x:c>
      <x:c r="C2" s="24" t="str">
        <x:v>EEZ</x:v>
      </x:c>
      <x:c r="D2" s="30" t="n">
        <x:v>2019</x:v>
      </x:c>
      <x:c r="E2" s="24" t="str">
        <x:v>Acanthocybium solandri</x:v>
      </x:c>
      <x:c r="F2" s="24" t="str">
        <x:v>Wahoo</x:v>
      </x:c>
      <x:c r="G2" s="24" t="str">
        <x:v>Large pelagics (&gt;=90 cm)</x:v>
      </x:c>
      <x:c r="H2" s="24" t="str">
        <x:v>Perch-likes</x:v>
      </x:c>
      <x:c r="I2" s="31" t="n">
        <x:v>5.264</x:v>
      </x:c>
      <x:c r="J2" s="31" t="n">
        <x:v>5.264</x:v>
      </x:c>
      <x:c r="K2" s="31" t="n">
        <x:v>0</x:v>
      </x:c>
      <x:c r="L2" s="31" t="n">
        <x:v>0</x:v>
      </x:c>
      <x:c r="M2" s="31" t="n">
        <x:v>5.264</x:v>
      </x:c>
      <x:c r="N2" s="24" t="str">
        <x:v>acanthocybium solandri</x:v>
      </x:c>
      <x:c r="O2" s="32" t="n">
        <x:v>4.26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Acanthocybium solandri</x:v>
      </x:c>
      <x:c r="T2" s="32" t="n">
        <x:f>IF(O2="","",(1/'Metadata'!$B$5)^(O2-1))</x:f>
        <x:v>1819.7008586099826</x:v>
      </x:c>
      <x:c r="U2" s="31" t="n">
        <x:f>IF(T2="","",I2*T2)</x:f>
        <x:v>9578.905319722948</x:v>
      </x:c>
    </x:row>
    <x:row r="3" ht="18" customHeight="1">
      <x:c r="A3" s="24" t="str">
        <x:v>EEZ_162</x:v>
      </x:c>
      <x:c r="B3" s="24" t="str">
        <x:v>Christmas Isl. (Australia)</x:v>
      </x:c>
      <x:c r="C3" s="24" t="str">
        <x:v>EEZ</x:v>
      </x:c>
      <x:c r="D3" s="30" t="n">
        <x:v>2019</x:v>
      </x:c>
      <x:c r="E3" s="24" t="str">
        <x:v>Miscellaneous marine crustaceans</x:v>
      </x:c>
      <x:c r="F3" s="24" t="str">
        <x:v>Marine crabs, shrimps, lobsters nei</x:v>
      </x:c>
      <x:c r="G3" s="24" t="str">
        <x:v>Shrimps</x:v>
      </x:c>
      <x:c r="H3" s="24" t="str">
        <x:v>Crustaceans</x:v>
      </x:c>
      <x:c r="I3" s="31" t="n">
        <x:v>4.821975983</x:v>
      </x:c>
      <x:c r="J3" s="31" t="n">
        <x:v>4.821975983</x:v>
      </x:c>
      <x:c r="K3" s="31" t="n">
        <x:v>0</x:v>
      </x:c>
      <x:c r="L3" s="31" t="n">
        <x:v>0</x:v>
      </x:c>
      <x:c r="M3" s="31" t="n">
        <x:v>4.821975983</x:v>
      </x:c>
      <x:c r="N3" s="24" t="str">
        <x:v>miscellaneous marine crustaceans</x:v>
      </x:c>
      <x:c r="O3" s="32" t="n">
        <x:v>2.7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Miscellaneous marine crustaceans</x:v>
      </x:c>
      <x:c r="T3" s="32" t="n">
        <x:f>IF(O3="","",(1/'Metadata'!$B$5)^(O3-1))</x:f>
        <x:v>50.11872336272725</x:v>
      </x:c>
      <x:c r="U3" s="31" t="n">
        <x:f>IF(T3="","",I3*T3)</x:f>
        <x:v>241.6712803536918</x:v>
      </x:c>
    </x:row>
    <x:row r="4" ht="18" customHeight="1">
      <x:c r="A4" s="24" t="str">
        <x:v>EEZ_162</x:v>
      </x:c>
      <x:c r="B4" s="24" t="str">
        <x:v>Christmas Isl. (Australia)</x:v>
      </x:c>
      <x:c r="C4" s="24" t="str">
        <x:v>EEZ</x:v>
      </x:c>
      <x:c r="D4" s="30" t="n">
        <x:v>2019</x:v>
      </x:c>
      <x:c r="E4" s="24" t="str">
        <x:v>Miscellaneous aquatic invertebrates</x:v>
      </x:c>
      <x:c r="F4" s="24" t="str">
        <x:v>Aquatic invertebrates</x:v>
      </x:c>
      <x:c r="G4" s="24" t="str">
        <x:v>Other demersal invertebrates</x:v>
      </x:c>
      <x:c r="H4" s="24" t="str">
        <x:v>Other fishes &amp; inverts</x:v>
      </x:c>
      <x:c r="I4" s="31" t="n">
        <x:v>2.8931855890000002</x:v>
      </x:c>
      <x:c r="J4" s="31" t="n">
        <x:v>2.8931855890000002</x:v>
      </x:c>
      <x:c r="K4" s="31" t="n">
        <x:v>0</x:v>
      </x:c>
      <x:c r="L4" s="31" t="n">
        <x:v>0</x:v>
      </x:c>
      <x:c r="M4" s="31" t="n">
        <x:v>2.8931855890000002</x:v>
      </x:c>
      <x:c r="N4" s="24" t="str">
        <x:v>miscellaneous aquatic invertebrates</x:v>
      </x:c>
      <x:c r="O4" s="32" t="n">
        <x:v>2.43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Miscellaneous aquatic invertebrates</x:v>
      </x:c>
      <x:c r="T4" s="32" t="n">
        <x:f>IF(O4="","",(1/'Metadata'!$B$5)^(O4-1))</x:f>
        <x:v>26.915348039269166</x:v>
      </x:c>
      <x:c r="U4" s="31" t="n">
        <x:f>IF(T4="","",I4*T4)</x:f>
        <x:v>77.87109707013296</x:v>
      </x:c>
    </x:row>
    <x:row r="5" ht="18" customHeight="1">
      <x:c r="A5" s="24" t="str">
        <x:v>EEZ_162</x:v>
      </x:c>
      <x:c r="B5" s="24" t="str">
        <x:v>Christmas Isl. (Australia)</x:v>
      </x:c>
      <x:c r="C5" s="24" t="str">
        <x:v>EEZ</x:v>
      </x:c>
      <x:c r="D5" s="30" t="n">
        <x:v>2019</x:v>
      </x:c>
      <x:c r="E5" s="24" t="str">
        <x:v>Carangidae</x:v>
      </x:c>
      <x:c r="F5" s="24" t="str">
        <x:v>Jacks, pompanos</x:v>
      </x:c>
      <x:c r="G5" s="24" t="str">
        <x:v>Medium pelagics (30 - 89 cm)</x:v>
      </x:c>
      <x:c r="H5" s="24" t="str">
        <x:v>Perch-likes</x:v>
      </x:c>
      <x:c r="I5" s="31" t="n">
        <x:v>1.653248909</x:v>
      </x:c>
      <x:c r="J5" s="31" t="n">
        <x:v>1.653248909</x:v>
      </x:c>
      <x:c r="K5" s="31" t="n">
        <x:v>0</x:v>
      </x:c>
      <x:c r="L5" s="31" t="n">
        <x:v>0</x:v>
      </x:c>
      <x:c r="M5" s="31" t="n">
        <x:v>1.653248909</x:v>
      </x:c>
      <x:c r="N5" s="24" t="str">
        <x:v>carangidae</x:v>
      </x:c>
      <x:c r="O5" s="32" t="n">
        <x:v>4.05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Carangidae</x:v>
      </x:c>
      <x:c r="T5" s="32" t="n">
        <x:f>IF(O5="","",(1/'Metadata'!$B$5)^(O5-1))</x:f>
        <x:v>1122.018454301963</x:v>
      </x:c>
      <x:c r="U5" s="31" t="n">
        <x:f>IF(T5="","",I5*T5)</x:f>
        <x:v>1854.9757854525865</x:v>
      </x:c>
    </x:row>
    <x:row r="6" ht="18" customHeight="1">
      <x:c r="A6" s="24" t="str">
        <x:v>EEZ_162</x:v>
      </x:c>
      <x:c r="B6" s="24" t="str">
        <x:v>Christmas Isl. (Australia)</x:v>
      </x:c>
      <x:c r="C6" s="24" t="str">
        <x:v>EEZ</x:v>
      </x:c>
      <x:c r="D6" s="30" t="n">
        <x:v>2019</x:v>
      </x:c>
      <x:c r="E6" s="24" t="str">
        <x:v>Latidae</x:v>
      </x:c>
      <x:c r="F6" s="24" t="str">
        <x:v>Lates perches</x:v>
      </x:c>
      <x:c r="G6" s="24" t="str">
        <x:v>Large demersals (&gt;=90 cm)</x:v>
      </x:c>
      <x:c r="H6" s="24" t="str">
        <x:v>Perch-likes</x:v>
      </x:c>
      <x:c r="I6" s="31" t="n">
        <x:v>1.653248909</x:v>
      </x:c>
      <x:c r="J6" s="31" t="n">
        <x:v>1.653248909</x:v>
      </x:c>
      <x:c r="K6" s="31" t="n">
        <x:v>0</x:v>
      </x:c>
      <x:c r="L6" s="31" t="n">
        <x:v>0</x:v>
      </x:c>
      <x:c r="M6" s="31" t="n">
        <x:v>1.653248909</x:v>
      </x:c>
      <x:c r="N6" s="24" t="str">
        <x:v>latidae</x:v>
      </x:c>
      <x:c r="O6" s="32" t="n">
        <x:v>4.35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Latidae</x:v>
      </x:c>
      <x:c r="T6" s="32" t="n">
        <x:f>IF(O6="","",(1/'Metadata'!$B$5)^(O6-1))</x:f>
        <x:v>2238.7211385683377</x:v>
      </x:c>
      <x:c r="U6" s="31" t="n">
        <x:f>IF(T6="","",I6*T6)</x:f>
        <x:v>3701.163279893342</x:v>
      </x:c>
    </x:row>
    <x:row r="7" ht="18" customHeight="1">
      <x:c r="A7" s="24" t="str">
        <x:v>EEZ_162</x:v>
      </x:c>
      <x:c r="B7" s="24" t="str">
        <x:v>Christmas Isl. (Australia)</x:v>
      </x:c>
      <x:c r="C7" s="24" t="str">
        <x:v>EEZ</x:v>
      </x:c>
      <x:c r="D7" s="30" t="n">
        <x:v>2019</x:v>
      </x:c>
      <x:c r="E7" s="24" t="str">
        <x:v>Serranidae</x:v>
      </x:c>
      <x:c r="F7" s="24" t="str">
        <x:v>Basses, groupers, hinds</x:v>
      </x:c>
      <x:c r="G7" s="24" t="str">
        <x:v>Medium reef assoc. fish (30 - 89 cm)</x:v>
      </x:c>
      <x:c r="H7" s="24" t="str">
        <x:v>Perch-likes</x:v>
      </x:c>
      <x:c r="I7" s="31" t="n">
        <x:v>1.653248909</x:v>
      </x:c>
      <x:c r="J7" s="31" t="n">
        <x:v>1.653248909</x:v>
      </x:c>
      <x:c r="K7" s="31" t="n">
        <x:v>0</x:v>
      </x:c>
      <x:c r="L7" s="31" t="n">
        <x:v>0</x:v>
      </x:c>
      <x:c r="M7" s="31" t="n">
        <x:v>1.653248909</x:v>
      </x:c>
      <x:c r="N7" s="24" t="str">
        <x:v>serranidae</x:v>
      </x:c>
      <x:c r="O7" s="32" t="n">
        <x:v>3.98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Serranidae</x:v>
      </x:c>
      <x:c r="T7" s="32" t="n">
        <x:f>IF(O7="","",(1/'Metadata'!$B$5)^(O7-1))</x:f>
        <x:v>954.992586021436</x:v>
      </x:c>
      <x:c r="U7" s="31" t="n">
        <x:f>IF(T7="","",I7*T7)</x:f>
        <x:v>1578.8404509430277</x:v>
      </x:c>
    </x:row>
    <x:row r="8" ht="18" customHeight="1">
      <x:c r="A8" s="24" t="str">
        <x:v>EEZ_162</x:v>
      </x:c>
      <x:c r="B8" s="24" t="str">
        <x:v>Christmas Isl. (Australia)</x:v>
      </x:c>
      <x:c r="C8" s="24" t="str">
        <x:v>EEZ</x:v>
      </x:c>
      <x:c r="D8" s="30" t="n">
        <x:v>2019</x:v>
      </x:c>
      <x:c r="E8" s="24" t="str">
        <x:v>Lutjanidae</x:v>
      </x:c>
      <x:c r="F8" s="24" t="str">
        <x:v>Snappers</x:v>
      </x:c>
      <x:c r="G8" s="24" t="str">
        <x:v>Medium reef assoc. fish (30 - 89 cm)</x:v>
      </x:c>
      <x:c r="H8" s="24" t="str">
        <x:v>Perch-likes</x:v>
      </x:c>
      <x:c r="I8" s="31" t="n">
        <x:v>1.6532489080000001</x:v>
      </x:c>
      <x:c r="J8" s="31" t="n">
        <x:v>1.6532489080000001</x:v>
      </x:c>
      <x:c r="K8" s="31" t="n">
        <x:v>0</x:v>
      </x:c>
      <x:c r="L8" s="31" t="n">
        <x:v>0</x:v>
      </x:c>
      <x:c r="M8" s="31" t="n">
        <x:v>1.6532489080000001</x:v>
      </x:c>
      <x:c r="N8" s="24" t="str">
        <x:v>lutjanidae</x:v>
      </x:c>
      <x:c r="O8" s="32" t="n">
        <x:v>4.02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Lutjanidae</x:v>
      </x:c>
      <x:c r="T8" s="32" t="n">
        <x:f>IF(O8="","",(1/'Metadata'!$B$5)^(O8-1))</x:f>
        <x:v>1047.1285480508984</x:v>
      </x:c>
      <x:c r="U8" s="31" t="n">
        <x:f>IF(T8="","",I8*T8)</x:f>
        <x:v>1731.1641286007734</x:v>
      </x:c>
    </x:row>
    <x:row r="9" ht="18" customHeight="1">
      <x:c r="A9" s="24" t="str">
        <x:v>EEZ_162</x:v>
      </x:c>
      <x:c r="B9" s="24" t="str">
        <x:v>Christmas Isl. (Australia)</x:v>
      </x:c>
      <x:c r="C9" s="24" t="str">
        <x:v>EEZ</x:v>
      </x:c>
      <x:c r="D9" s="30" t="n">
        <x:v>2019</x:v>
      </x:c>
      <x:c r="E9" s="24" t="str">
        <x:v>Gerreidae</x:v>
      </x:c>
      <x:c r="F9" s="24" t="str">
        <x:v>Mojarras, silverbellies</x:v>
      </x:c>
      <x:c r="G9" s="24" t="str">
        <x:v>Small benthopelagics (&lt;30 cm)</x:v>
      </x:c>
      <x:c r="H9" s="24" t="str">
        <x:v>Perch-likes</x:v>
      </x:c>
      <x:c r="I9" s="31" t="n">
        <x:v>1.653248908</x:v>
      </x:c>
      <x:c r="J9" s="31" t="n">
        <x:v>1.653248908</x:v>
      </x:c>
      <x:c r="K9" s="31" t="n">
        <x:v>0</x:v>
      </x:c>
      <x:c r="L9" s="31" t="n">
        <x:v>0</x:v>
      </x:c>
      <x:c r="M9" s="31" t="n">
        <x:v>1.653248908</x:v>
      </x:c>
      <x:c r="N9" s="24" t="str">
        <x:v>gerreidae</x:v>
      </x:c>
      <x:c r="O9" s="32" t="n">
        <x:v>3.03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Gerreidae</x:v>
      </x:c>
      <x:c r="T9" s="32" t="n">
        <x:f>IF(O9="","",(1/'Metadata'!$B$5)^(O9-1))</x:f>
        <x:v>107.1519305237606</x:v>
      </x:c>
      <x:c r="U9" s="31" t="n">
        <x:f>IF(T9="","",I9*T9)</x:f>
        <x:v>177.14881212849906</x:v>
      </x:c>
    </x:row>
    <x:row r="10" ht="18" customHeight="1">
      <x:c r="A10" s="24" t="str">
        <x:v>EEZ_162</x:v>
      </x:c>
      <x:c r="B10" s="24" t="str">
        <x:v>Christmas Isl. (Australia)</x:v>
      </x:c>
      <x:c r="C10" s="24" t="str">
        <x:v>EEZ</x:v>
      </x:c>
      <x:c r="D10" s="30" t="n">
        <x:v>2019</x:v>
      </x:c>
      <x:c r="E10" s="24" t="str">
        <x:v>Labridae</x:v>
      </x:c>
      <x:c r="F10" s="24" t="str">
        <x:v>Wrasses, gropers, tuskfishes</x:v>
      </x:c>
      <x:c r="G10" s="24" t="str">
        <x:v>Medium reef assoc. fish (30 - 89 cm)</x:v>
      </x:c>
      <x:c r="H10" s="24" t="str">
        <x:v>Perch-likes</x:v>
      </x:c>
      <x:c r="I10" s="31" t="n">
        <x:v>1.653248908</x:v>
      </x:c>
      <x:c r="J10" s="31" t="n">
        <x:v>1.653248908</x:v>
      </x:c>
      <x:c r="K10" s="31" t="n">
        <x:v>0</x:v>
      </x:c>
      <x:c r="L10" s="31" t="n">
        <x:v>0</x:v>
      </x:c>
      <x:c r="M10" s="31" t="n">
        <x:v>1.653248908</x:v>
      </x:c>
      <x:c r="N10" s="24" t="str">
        <x:v>labridae</x:v>
      </x:c>
      <x:c r="O10" s="32" t="n">
        <x:v>3.46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Labridae</x:v>
      </x:c>
      <x:c r="T10" s="32" t="n">
        <x:f>IF(O10="","",(1/'Metadata'!$B$5)^(O10-1))</x:f>
        <x:v>288.40315031266056</x:v>
      </x:c>
      <x:c r="U10" s="31" t="n">
        <x:f>IF(T10="","",I10*T10)</x:f>
        <x:v>476.8021933181659</x:v>
      </x:c>
    </x:row>
    <x:row r="11" ht="18" customHeight="1">
      <x:c r="A11" s="24" t="str">
        <x:v>EEZ_162</x:v>
      </x:c>
      <x:c r="B11" s="24" t="str">
        <x:v>Christmas Isl. (Australia)</x:v>
      </x:c>
      <x:c r="C11" s="24" t="str">
        <x:v>EEZ</x:v>
      </x:c>
      <x:c r="D11" s="30" t="n">
        <x:v>2019</x:v>
      </x:c>
      <x:c r="E11" s="24" t="str">
        <x:v>Lethrinidae</x:v>
      </x:c>
      <x:c r="F11" s="24" t="str">
        <x:v>Emperors, scavengers</x:v>
      </x:c>
      <x:c r="G11" s="24" t="str">
        <x:v>Medium reef assoc. fish (30 - 89 cm)</x:v>
      </x:c>
      <x:c r="H11" s="24" t="str">
        <x:v>Perch-likes</x:v>
      </x:c>
      <x:c r="I11" s="31" t="n">
        <x:v>1.653248908</x:v>
      </x:c>
      <x:c r="J11" s="31" t="n">
        <x:v>1.653248908</x:v>
      </x:c>
      <x:c r="K11" s="31" t="n">
        <x:v>0</x:v>
      </x:c>
      <x:c r="L11" s="31" t="n">
        <x:v>0</x:v>
      </x:c>
      <x:c r="M11" s="31" t="n">
        <x:v>1.653248908</x:v>
      </x:c>
      <x:c r="N11" s="24" t="str">
        <x:v>lethrinidae</x:v>
      </x:c>
      <x:c r="O11" s="32" t="n">
        <x:v>3.59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Lethrinidae</x:v>
      </x:c>
      <x:c r="T11" s="32" t="n">
        <x:f>IF(O11="","",(1/'Metadata'!$B$5)^(O11-1))</x:f>
        <x:v>389.04514499428046</x:v>
      </x:c>
      <x:c r="U11" s="31" t="n">
        <x:f>IF(T11="","",I11*T11)</x:f>
        <x:v>643.1884611244958</x:v>
      </x:c>
    </x:row>
    <x:row r="12" ht="18" customHeight="1">
      <x:c r="A12" s="24" t="str">
        <x:v>EEZ_162</x:v>
      </x:c>
      <x:c r="B12" s="24" t="str">
        <x:v>Christmas Isl. (Australia)</x:v>
      </x:c>
      <x:c r="C12" s="24" t="str">
        <x:v>EEZ</x:v>
      </x:c>
      <x:c r="D12" s="30" t="n">
        <x:v>2019</x:v>
      </x:c>
      <x:c r="E12" s="24" t="str">
        <x:v>Etelis coruscans</x:v>
      </x:c>
      <x:c r="F12" s="24" t="str">
        <x:v>Deepwater longtail red snapper</x:v>
      </x:c>
      <x:c r="G12" s="24" t="str">
        <x:v>Large bathydemersals (&gt;=90 cm)</x:v>
      </x:c>
      <x:c r="H12" s="24" t="str">
        <x:v>Perch-likes</x:v>
      </x:c>
      <x:c r="I12" s="31" t="n">
        <x:v>0.42</x:v>
      </x:c>
      <x:c r="J12" s="31" t="n">
        <x:v>0.42</x:v>
      </x:c>
      <x:c r="K12" s="31" t="n">
        <x:v>0</x:v>
      </x:c>
      <x:c r="L12" s="31" t="n">
        <x:v>0</x:v>
      </x:c>
      <x:c r="M12" s="31" t="n">
        <x:v>0.42</x:v>
      </x:c>
      <x:c r="N12" s="24" t="str">
        <x:v>etelis coruscans</x:v>
      </x:c>
      <x:c r="O12" s="32" t="n">
        <x:v>4.42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Etelis coruscans</x:v>
      </x:c>
      <x:c r="T12" s="32" t="n">
        <x:f>IF(O12="","",(1/'Metadata'!$B$5)^(O12-1))</x:f>
        <x:v>2630.2679918953813</x:v>
      </x:c>
      <x:c r="U12" s="31" t="n">
        <x:f>IF(T12="","",I12*T12)</x:f>
        <x:v>1104.71255659606</x:v>
      </x:c>
    </x:row>
    <x:row r="13" ht="18" customHeight="1">
      <x:c r="A13" s="24" t="str">
        <x:v>EEZ_162</x:v>
      </x:c>
      <x:c r="B13" s="24" t="str">
        <x:v>Christmas Isl. (Australia)</x:v>
      </x:c>
      <x:c r="C13" s="24" t="str">
        <x:v>EEZ</x:v>
      </x:c>
      <x:c r="D13" s="30" t="n">
        <x:v>2019</x:v>
      </x:c>
      <x:c r="E13" s="24" t="str">
        <x:v>Coryphaena hippurus</x:v>
      </x:c>
      <x:c r="F13" s="24" t="str">
        <x:v>Common dolphinfish</x:v>
      </x:c>
      <x:c r="G13" s="24" t="str">
        <x:v>Large pelagics (&gt;=90 cm)</x:v>
      </x:c>
      <x:c r="H13" s="24" t="str">
        <x:v>Perch-likes</x:v>
      </x:c>
      <x:c r="I13" s="31" t="n">
        <x:v>0.329</x:v>
      </x:c>
      <x:c r="J13" s="31" t="n">
        <x:v>0.329</x:v>
      </x:c>
      <x:c r="K13" s="31" t="n">
        <x:v>0</x:v>
      </x:c>
      <x:c r="L13" s="31" t="n">
        <x:v>0</x:v>
      </x:c>
      <x:c r="M13" s="31" t="n">
        <x:v>0.329</x:v>
      </x:c>
      <x:c r="N13" s="24" t="str">
        <x:v>coryphaena hippurus</x:v>
      </x:c>
      <x:c r="O13" s="32" t="n">
        <x:v>4.37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Coryphaena hippurus</x:v>
      </x:c>
      <x:c r="T13" s="32" t="n">
        <x:f>IF(O13="","",(1/'Metadata'!$B$5)^(O13-1))</x:f>
        <x:v>2344.228815319923</x:v>
      </x:c>
      <x:c r="U13" s="31" t="n">
        <x:f>IF(T13="","",I13*T13)</x:f>
        <x:v>771.2512802402547</x:v>
      </x:c>
    </x:row>
    <x:row r="14" ht="18" customHeight="1">
      <x:c r="A14" s="24" t="str">
        <x:v>EEZ_162</x:v>
      </x:c>
      <x:c r="B14" s="24" t="str">
        <x:v>Christmas Isl. (Australia)</x:v>
      </x:c>
      <x:c r="C14" s="24" t="str">
        <x:v>EEZ</x:v>
      </x:c>
      <x:c r="D14" s="30" t="n">
        <x:v>2019</x:v>
      </x:c>
      <x:c r="E14" s="24" t="str">
        <x:v>Scombridae</x:v>
      </x:c>
      <x:c r="F14" s="24" t="str">
        <x:v>Mackerels, tunas, bonitos</x:v>
      </x:c>
      <x:c r="G14" s="24" t="str">
        <x:v>Medium pelagics (30 - 89 cm)</x:v>
      </x:c>
      <x:c r="H14" s="24" t="str">
        <x:v>Perch-likes</x:v>
      </x:c>
      <x:c r="I14" s="31" t="n">
        <x:v>0.329</x:v>
      </x:c>
      <x:c r="J14" s="31" t="n">
        <x:v>0.329</x:v>
      </x:c>
      <x:c r="K14" s="31" t="n">
        <x:v>0</x:v>
      </x:c>
      <x:c r="L14" s="31" t="n">
        <x:v>0</x:v>
      </x:c>
      <x:c r="M14" s="31" t="n">
        <x:v>0.329</x:v>
      </x:c>
      <x:c r="N14" s="24" t="str">
        <x:v>scombridae</x:v>
      </x:c>
      <x:c r="O14" s="32" t="n">
        <x:v>4.26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Scombridae</x:v>
      </x:c>
      <x:c r="T14" s="32" t="n">
        <x:f>IF(O14="","",(1/'Metadata'!$B$5)^(O14-1))</x:f>
        <x:v>1819.7008586099826</x:v>
      </x:c>
      <x:c r="U14" s="31" t="n">
        <x:f>IF(T14="","",I14*T14)</x:f>
        <x:v>598.6815824826842</x:v>
      </x:c>
    </x:row>
  </x:sheetData>
  <x:conditionalFormatting sqref="R2:R1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bfd9b29e82f24f5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4.821975983</x:v>
      </x:c>
      <x:c r="C2" s="32" t="n">
        <x:v>2.7</x:v>
      </x:c>
      <x:c r="D2" s="32" t="n">
        <x:f>IF(C2="","",(1/'Metadata'!$B$5)^(C2-1))</x:f>
        <x:v>50.11872336272725</x:v>
      </x:c>
      <x:c r="E2" s="31" t="n">
        <x:f>IF(B2=0,"",B2*D2)</x:f>
        <x:v>241.6712803536918</x:v>
      </x:c>
    </x:row>
    <x:row r="3" ht="18" customHeight="1">
      <x:c r="A3" s="24" t="str">
        <x:v>Other fishes &amp; inverts</x:v>
      </x:c>
      <x:c r="B3" s="31" t="n">
        <x:v>2.8931855890000002</x:v>
      </x:c>
      <x:c r="C3" s="32" t="n">
        <x:v>2.43</x:v>
      </x:c>
      <x:c r="D3" s="32" t="n">
        <x:f>IF(C3="","",(1/'Metadata'!$B$5)^(C3-1))</x:f>
        <x:v>26.915348039269166</x:v>
      </x:c>
      <x:c r="E3" s="31" t="n">
        <x:f>IF(B3=0,"",B3*D3)</x:f>
        <x:v>77.87109707013296</x:v>
      </x:c>
    </x:row>
    <x:row r="4" ht="18" customHeight="1">
      <x:c r="A4" s="24" t="str">
        <x:v>Perch-likes</x:v>
      </x:c>
      <x:c r="B4" s="31" t="n">
        <x:v>17.914742359</x:v>
      </x:c>
      <x:c r="C4" s="32" t="n">
        <x:v>3.957541765070493</x:v>
      </x:c>
      <x:c r="D4" s="32" t="n">
        <x:f>IF(C4="","",(1/'Metadata'!$B$5)^(C4-1))</x:f>
        <x:v>906.863171271367</x:v>
      </x:c>
      <x:c r="E4" s="31" t="n">
        <x:f>IF(B4=0,"",B4*D4)</x:f>
        <x:v>16246.220068192233</x:v>
      </x:c>
    </x:row>
  </x:sheetData>
  <x:pageMargins left="0.7" right="0.7" top="0.75" bottom="0.75" header="0.3" footer="0.3"/>
  <x:tableParts count="1">
    <x:tablePart xmlns:r="http://schemas.openxmlformats.org/officeDocument/2006/relationships" r:id="Rc0718de9b41f405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bathydemersals (&gt;=90 cm)</x:v>
      </x:c>
      <x:c r="B2" s="31" t="n">
        <x:v>0.42</x:v>
      </x:c>
      <x:c r="C2" s="32" t="n">
        <x:v>4.42</x:v>
      </x:c>
      <x:c r="D2" s="32" t="n">
        <x:f>IF(C2="","",(1/'Metadata'!$B$5)^(C2-1))</x:f>
        <x:v>2630.2679918953813</x:v>
      </x:c>
      <x:c r="E2" s="31" t="n">
        <x:f>IF(B2=0,"",B2*D2)</x:f>
        <x:v>1104.71255659606</x:v>
      </x:c>
    </x:row>
    <x:row r="3" ht="18" customHeight="1">
      <x:c r="A3" s="24" t="str">
        <x:v>Large demersals (&gt;=90 cm)</x:v>
      </x:c>
      <x:c r="B3" s="31" t="n">
        <x:v>1.653248909</x:v>
      </x:c>
      <x:c r="C3" s="32" t="n">
        <x:v>4.35</x:v>
      </x:c>
      <x:c r="D3" s="32" t="n">
        <x:f>IF(C3="","",(1/'Metadata'!$B$5)^(C3-1))</x:f>
        <x:v>2238.7211385683377</x:v>
      </x:c>
      <x:c r="E3" s="31" t="n">
        <x:f>IF(B3=0,"",B3*D3)</x:f>
        <x:v>3701.163279893342</x:v>
      </x:c>
    </x:row>
    <x:row r="4" ht="18" customHeight="1">
      <x:c r="A4" s="24" t="str">
        <x:v>Large pelagics (&gt;=90 cm)</x:v>
      </x:c>
      <x:c r="B4" s="31" t="n">
        <x:v>5.593</x:v>
      </x:c>
      <x:c r="C4" s="32" t="n">
        <x:v>4.266470588235294</x:v>
      </x:c>
      <x:c r="D4" s="32" t="n">
        <x:f>IF(C4="","",(1/'Metadata'!$B$5)^(C4-1))</x:f>
        <x:v>1847.0157050612995</x:v>
      </x:c>
      <x:c r="E4" s="31" t="n">
        <x:f>IF(B4=0,"",B4*D4)</x:f>
        <x:v>10330.358838407848</x:v>
      </x:c>
    </x:row>
    <x:row r="5" ht="18" customHeight="1">
      <x:c r="A5" s="24" t="str">
        <x:v>Medium pelagics (30 - 89 cm)</x:v>
      </x:c>
      <x:c r="B5" s="31" t="n">
        <x:v>1.982248909</x:v>
      </x:c>
      <x:c r="C5" s="32" t="n">
        <x:v>4.084854351381559</x:v>
      </x:c>
      <x:c r="D5" s="32" t="n">
        <x:f>IF(C5="","",(1/'Metadata'!$B$5)^(C5-1))</x:f>
        <x:v>1215.7781987548178</x:v>
      </x:c>
      <x:c r="E5" s="31" t="n">
        <x:f>IF(B5=0,"",B5*D5)</x:f>
        <x:v>2409.9750080677227</x:v>
      </x:c>
    </x:row>
    <x:row r="6" ht="18" customHeight="1">
      <x:c r="A6" s="24" t="str">
        <x:v>Medium reef assoc. fish (30 - 89 cm)</x:v>
      </x:c>
      <x:c r="B6" s="31" t="n">
        <x:v>6.612995633000001</x:v>
      </x:c>
      <x:c r="C6" s="32" t="n">
        <x:v>3.762500000032889</x:v>
      </x:c>
      <x:c r="D6" s="32" t="n">
        <x:f>IF(C6="","",(1/'Metadata'!$B$5)^(C6-1))</x:f>
        <x:v>578.7619883929501</x:v>
      </x:c>
      <x:c r="E6" s="31" t="n">
        <x:f>IF(B6=0,"",B6*D6)</x:f>
        <x:v>3827.350501788976</x:v>
      </x:c>
    </x:row>
    <x:row r="7" ht="18" customHeight="1">
      <x:c r="A7" s="24" t="str">
        <x:v>Other demersal invertebrates</x:v>
      </x:c>
      <x:c r="B7" s="31" t="n">
        <x:v>2.8931855890000002</x:v>
      </x:c>
      <x:c r="C7" s="32" t="n">
        <x:v>2.43</x:v>
      </x:c>
      <x:c r="D7" s="32" t="n">
        <x:f>IF(C7="","",(1/'Metadata'!$B$5)^(C7-1))</x:f>
        <x:v>26.915348039269166</x:v>
      </x:c>
      <x:c r="E7" s="31" t="n">
        <x:f>IF(B7=0,"",B7*D7)</x:f>
        <x:v>77.87109707013296</x:v>
      </x:c>
    </x:row>
    <x:row r="8" ht="18" customHeight="1">
      <x:c r="A8" s="24" t="str">
        <x:v>Shrimps</x:v>
      </x:c>
      <x:c r="B8" s="31" t="n">
        <x:v>4.821975983</x:v>
      </x:c>
      <x:c r="C8" s="32" t="n">
        <x:v>2.7</x:v>
      </x:c>
      <x:c r="D8" s="32" t="n">
        <x:f>IF(C8="","",(1/'Metadata'!$B$5)^(C8-1))</x:f>
        <x:v>50.11872336272725</x:v>
      </x:c>
      <x:c r="E8" s="31" t="n">
        <x:f>IF(B8=0,"",B8*D8)</x:f>
        <x:v>241.6712803536918</x:v>
      </x:c>
    </x:row>
    <x:row r="9" ht="18" customHeight="1">
      <x:c r="A9" s="24" t="str">
        <x:v>Small benthopelagics (&lt;30 cm)</x:v>
      </x:c>
      <x:c r="B9" s="31" t="n">
        <x:v>1.653248908</x:v>
      </x:c>
      <x:c r="C9" s="32" t="n">
        <x:v>3.03</x:v>
      </x:c>
      <x:c r="D9" s="32" t="n">
        <x:f>IF(C9="","",(1/'Metadata'!$B$5)^(C9-1))</x:f>
        <x:v>107.1519305237606</x:v>
      </x:c>
      <x:c r="E9" s="31" t="n">
        <x:f>IF(B9=0,"",B9*D9)</x:f>
        <x:v>177.14881212849906</x:v>
      </x:c>
    </x:row>
  </x:sheetData>
  <x:pageMargins left="0.7" right="0.7" top="0.75" bottom="0.75" header="0.3" footer="0.3"/>
  <x:tableParts count="1">
    <x:tablePart xmlns:r="http://schemas.openxmlformats.org/officeDocument/2006/relationships" r:id="R87c66a23601a474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EEZ_162</x:v>
      </x:c>
      <x:c r="B2" s="24" t="str">
        <x:v>raw_filtered_tonnes</x:v>
      </x:c>
      <x:c r="C2" s="24" t="n">
        <x:v>25.629903931000005</x:v>
      </x:c>
      <x:c r="D2" s="24" t="str">
        <x:v>tonnes</x:v>
      </x:c>
    </x:row>
    <x:row r="3" ht="18" customHeight="1">
      <x:c r="A3" s="24" t="str">
        <x:v>EEZ_162</x:v>
      </x:c>
      <x:c r="B3" s="24" t="str">
        <x:v>species_catch_tonnes</x:v>
      </x:c>
      <x:c r="C3" s="24" t="n">
        <x:v>25.629903931</x:v>
      </x:c>
      <x:c r="D3" s="24" t="str">
        <x:v>tonnes</x:v>
      </x:c>
    </x:row>
    <x:row r="4" ht="18" customHeight="1">
      <x:c r="A4" s="24" t="str">
        <x:v>EEZ_162</x:v>
      </x:c>
      <x:c r="B4" s="24" t="str">
        <x:v>catch_difference_tonnes</x:v>
      </x:c>
      <x:c r="C4" s="24" t="n">
        <x:v>-3.552713678800501e-15</x:v>
      </x:c>
      <x:c r="D4" s="24" t="str">
        <x:v>tonnes</x:v>
      </x:c>
    </x:row>
    <x:row r="5" ht="18" customHeight="1">
      <x:c r="A5" s="24" t="str">
        <x:v>EEZ_162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EEZ_162</x:v>
      </x:c>
      <x:c r="B6" s="24" t="str">
        <x:v>matched_catch_tonnes</x:v>
      </x:c>
      <x:c r="C6" s="24" t="n">
        <x:v>25.629903931</x:v>
      </x:c>
      <x:c r="D6" s="24" t="str">
        <x:v>tonnes</x:v>
      </x:c>
    </x:row>
    <x:row r="7" ht="18" customHeight="1">
      <x:c r="A7" s="24" t="str">
        <x:v>EEZ_162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EEZ_162</x:v>
      </x:c>
      <x:c r="B8" s="24" t="str">
        <x:v>taxa_count</x:v>
      </x:c>
      <x:c r="C8" s="24" t="n">
        <x:v>13</x:v>
      </x:c>
      <x:c r="D8" s="24" t="str">
        <x:v>count</x:v>
      </x:c>
    </x:row>
    <x:row r="9" ht="18" customHeight="1">
      <x:c r="A9" s="24" t="str">
        <x:v>EEZ_162</x:v>
      </x:c>
      <x:c r="B9" s="24" t="str">
        <x:v>matched_taxa_count</x:v>
      </x:c>
      <x:c r="C9" s="24" t="n">
        <x:v>13</x:v>
      </x:c>
      <x:c r="D9" s="24" t="str">
        <x:v>count</x:v>
      </x:c>
    </x:row>
    <x:row r="10" ht="18" customHeight="1">
      <x:c r="A10" s="24" t="str">
        <x:v>EEZ_162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EEZ_162</x:v>
      </x:c>
      <x:c r="B11" s="24" t="str">
        <x:v>species_ppr</x:v>
      </x:c>
      <x:c r="C11" s="24" t="n">
        <x:v>22536.376227926667</x:v>
      </x:c>
      <x:c r="D11" s="24" t="str">
        <x:v>tonnes_primary_production_equivalent</x:v>
      </x:c>
    </x:row>
    <x:row r="12" ht="18" customHeight="1">
      <x:c r="A12" s="24" t="str">
        <x:v>EEZ_162</x:v>
      </x:c>
      <x:c r="B12" s="24" t="str">
        <x:v>commercial_ppr</x:v>
      </x:c>
      <x:c r="C12" s="24" t="n">
        <x:v>16565.76244561606</x:v>
      </x:c>
      <x:c r="D12" s="24" t="str">
        <x:v>tonnes_primary_production_equivalent</x:v>
      </x:c>
    </x:row>
    <x:row r="13" ht="18" customHeight="1">
      <x:c r="A13" s="24" t="str">
        <x:v>EEZ_162</x:v>
      </x:c>
      <x:c r="B13" s="24" t="str">
        <x:v>functional_ppr</x:v>
      </x:c>
      <x:c r="C13" s="24" t="n">
        <x:v>21870.251374306274</x:v>
      </x:c>
      <x:c r="D13" s="24" t="str">
        <x:v>tonnes_primary_production_equivalent</x:v>
      </x:c>
    </x:row>
    <x:row r="14" ht="18" customHeight="1">
      <x:c r="A14" s="24" t="str">
        <x:v>EEZ_162</x:v>
      </x:c>
      <x:c r="B14" s="24" t="str">
        <x:v>commercial_ppr_difference</x:v>
      </x:c>
      <x:c r="C14" s="24" t="n">
        <x:v>-5970.613782310607</x:v>
      </x:c>
      <x:c r="D14" s="24" t="str">
        <x:v>tonnes_primary_production_equivalent</x:v>
      </x:c>
    </x:row>
    <x:row r="15" ht="18" customHeight="1">
      <x:c r="A15" s="24" t="str">
        <x:v>EEZ_162</x:v>
      </x:c>
      <x:c r="B15" s="24" t="str">
        <x:v>functional_ppr_difference</x:v>
      </x:c>
      <x:c r="C15" s="24" t="n">
        <x:v>-666.124853620393</x:v>
      </x:c>
      <x:c r="D15" s="24" t="str">
        <x:v>tonnes_primary_production_equivalent</x:v>
      </x:c>
    </x:row>
    <x:row r="16" ht="18" customHeight="1">
      <x:c r="A16" s="24" t="str">
        <x:v>EEZ_162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EEZ_162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90b94f8288234b1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EEZ_162 - Christmas Isl. (Australia)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EEZ_162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raw_data/SAU_downloads/EEZ_162-catch.zip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