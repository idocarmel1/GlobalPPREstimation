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02788c6c8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656bd8ea2fa4bee"/>
    <x:sheet xmlns:r="http://schemas.openxmlformats.org/officeDocument/2006/relationships" name="Commercial" sheetId="2" r:id="R9cba95b2ba0242d0"/>
    <x:sheet xmlns:r="http://schemas.openxmlformats.org/officeDocument/2006/relationships" name="Functional" sheetId="3" r:id="R21eb252734bc4721"/>
    <x:sheet xmlns:r="http://schemas.openxmlformats.org/officeDocument/2006/relationships" name="Missing TL" sheetId="4" r:id="Rb54bf6004ea9442f"/>
    <x:sheet xmlns:r="http://schemas.openxmlformats.org/officeDocument/2006/relationships" name="Validation" sheetId="5" r:id="Ra06f534ffdd24bcf"/>
    <x:sheet xmlns:r="http://schemas.openxmlformats.org/officeDocument/2006/relationships" name="Metadata" sheetId="6" r:id="R2c6593e1edbf48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978b226494b33" /><Relationship Type="http://schemas.openxmlformats.org/officeDocument/2006/relationships/theme" Target="/xl/theme/theme1.xml" Id="R02a24a3a76d94b6b" /><Relationship Type="http://schemas.microsoft.com/office/2022/11/relationships/FeaturePropertyBag" Target="/xl/featurePropertyBag/featurePropertyBag.xml" Id="Rca8341ccc8bc4df2" /><Relationship Type="http://schemas.openxmlformats.org/officeDocument/2006/relationships/sharedStrings" Target="/xl/sharedStrings.xml" Id="Rb3b723e7e58f44c4" /><Relationship Type="http://schemas.openxmlformats.org/officeDocument/2006/relationships/worksheet" Target="/xl/worksheets/sheet1.xml" Id="Ra656bd8ea2fa4bee" /><Relationship Type="http://schemas.openxmlformats.org/officeDocument/2006/relationships/worksheet" Target="/xl/worksheets/sheet2.xml" Id="R9cba95b2ba0242d0" /><Relationship Type="http://schemas.openxmlformats.org/officeDocument/2006/relationships/worksheet" Target="/xl/worksheets/sheet3.xml" Id="R21eb252734bc4721" /><Relationship Type="http://schemas.openxmlformats.org/officeDocument/2006/relationships/worksheet" Target="/xl/worksheets/sheet4.xml" Id="Rb54bf6004ea9442f" /><Relationship Type="http://schemas.openxmlformats.org/officeDocument/2006/relationships/worksheet" Target="/xl/worksheets/sheet5.xml" Id="Ra06f534ffdd24bcf" /><Relationship Type="http://schemas.openxmlformats.org/officeDocument/2006/relationships/worksheet" Target="/xl/worksheets/sheet6.xml" Id="R2c6593e1edbf48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69SpeciesTable" displayName="EEZ969SpeciesTable" ref="A1:U40" headerRowCount="1" totalsRowCount="0" totalsRowShown="0">
  <x:autoFilter ref="A1:U4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69CommercialTable" displayName="EEZ969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69FunctionalTable" displayName="EEZ969FunctionalTable" ref="A1:E11" headerRowCount="1" totalsRowCount="0" totalsRowShown="0">
  <x:autoFilter ref="A1:E1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69ValidationTable" displayName="EEZ96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18bc8fb57642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7bcca38ff24e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6605a6f4cc41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19123180f047c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EEZ_969</x:v>
      </x:c>
      <x:c r="B2" s="24" t="str">
        <x:v>Fernando de Noronha (Brazil)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7183.3288409894</x:v>
      </x:c>
      <x:c r="J2" s="31" t="n">
        <x:v>6528.0545522885</x:v>
      </x:c>
      <x:c r="K2" s="31" t="n">
        <x:v>655.2742887009</x:v>
      </x:c>
      <x:c r="L2" s="31" t="n">
        <x:v>6527.6591978295</x:v>
      </x:c>
      <x:c r="M2" s="31" t="n">
        <x:v>655.6696431599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1368755.0930717757</x:v>
      </x:c>
    </x:row>
    <x:row r="3" ht="18" customHeight="1">
      <x:c r="A3" s="24" t="str">
        <x:v>EEZ_969</x:v>
      </x:c>
      <x:c r="B3" s="24" t="str">
        <x:v>Fernando de Noronha (Brazil)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162.1756165022</x:v>
      </x:c>
      <x:c r="J3" s="31" t="n">
        <x:v>162.1756165022</x:v>
      </x:c>
      <x:c r="K3" s="31" t="n">
        <x:v>0</x:v>
      </x:c>
      <x:c r="L3" s="31" t="n">
        <x:v>148.8779324094</x:v>
      </x:c>
      <x:c r="M3" s="31" t="n">
        <x:v>13.2976840928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416855.5207251956</x:v>
      </x:c>
    </x:row>
    <x:row r="4" ht="18" customHeight="1">
      <x:c r="A4" s="24" t="str">
        <x:v>EEZ_969</x:v>
      </x:c>
      <x:c r="B4" s="24" t="str">
        <x:v>Fernando de Noronha (Brazil)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46.7271156701</x:v>
      </x:c>
      <x:c r="J4" s="31" t="n">
        <x:v>46.7271156701</x:v>
      </x:c>
      <x:c r="K4" s="31" t="n">
        <x:v>0</x:v>
      </x:c>
      <x:c r="L4" s="31" t="n">
        <x:v>46.3643286501</x:v>
      </x:c>
      <x:c r="M4" s="31" t="n">
        <x:v>0.36278702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144400.59212984433</x:v>
      </x:c>
    </x:row>
    <x:row r="5" ht="18" customHeight="1">
      <x:c r="A5" s="24" t="str">
        <x:v>EEZ_969</x:v>
      </x:c>
      <x:c r="B5" s="24" t="str">
        <x:v>Fernando de Noronha (Brazil)</x:v>
      </x:c>
      <x:c r="C5" s="24" t="str">
        <x:v>EEZ</x:v>
      </x:c>
      <x:c r="D5" s="30" t="n">
        <x:v>2019</x:v>
      </x:c>
      <x:c r="E5" s="24" t="str">
        <x:v>Octopus vulgaris</x:v>
      </x:c>
      <x:c r="F5" s="24" t="str">
        <x:v>Common octopus</x:v>
      </x:c>
      <x:c r="G5" s="24" t="str">
        <x:v>Cephalopods</x:v>
      </x:c>
      <x:c r="H5" s="24" t="str">
        <x:v>Other fishes &amp; inverts</x:v>
      </x:c>
      <x:c r="I5" s="31" t="n">
        <x:v>16.5060478331</x:v>
      </x:c>
      <x:c r="J5" s="31" t="n">
        <x:v>16.5060478331</x:v>
      </x:c>
      <x:c r="K5" s="31" t="n">
        <x:v>0</x:v>
      </x:c>
      <x:c r="L5" s="31" t="n">
        <x:v>0</x:v>
      </x:c>
      <x:c r="M5" s="31" t="n">
        <x:v>16.5060478331</x:v>
      </x:c>
      <x:c r="N5" s="24" t="str">
        <x:v>octopus vulgaris</x:v>
      </x:c>
      <x:c r="O5" s="32" t="n">
        <x:v>3.6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Octopus vulgaris</x:v>
      </x:c>
      <x:c r="T5" s="32" t="n">
        <x:f>IF(O5="","",(1/'Metadata'!$B$5)^(O5-1))</x:f>
        <x:v>398.1071705534973</x:v>
      </x:c>
      <x:c r="U5" s="31" t="n">
        <x:f>IF(T5="","",I5*T5)</x:f>
        <x:v>6571.175999856126</x:v>
      </x:c>
    </x:row>
    <x:row r="6" ht="18" customHeight="1">
      <x:c r="A6" s="24" t="str">
        <x:v>EEZ_969</x:v>
      </x:c>
      <x:c r="B6" s="24" t="str">
        <x:v>Fernando de Noronha (Brazil)</x:v>
      </x:c>
      <x:c r="C6" s="24" t="str">
        <x:v>EEZ</x:v>
      </x:c>
      <x:c r="D6" s="30" t="n">
        <x:v>2019</x:v>
      </x:c>
      <x:c r="E6" s="24" t="str">
        <x:v>Elagatis bipinnulata</x:v>
      </x:c>
      <x:c r="F6" s="24" t="str">
        <x:v>Rainbow runner</x:v>
      </x:c>
      <x:c r="G6" s="24" t="str">
        <x:v>Large pelagics (&gt;=90 cm)</x:v>
      </x:c>
      <x:c r="H6" s="24" t="str">
        <x:v>Perch-likes</x:v>
      </x:c>
      <x:c r="I6" s="31" t="n">
        <x:v>10.325284153</x:v>
      </x:c>
      <x:c r="J6" s="31" t="n">
        <x:v>10.325284153</x:v>
      </x:c>
      <x:c r="K6" s="31" t="n">
        <x:v>0</x:v>
      </x:c>
      <x:c r="L6" s="31" t="n">
        <x:v>0</x:v>
      </x:c>
      <x:c r="M6" s="31" t="n">
        <x:v>10.325284153</x:v>
      </x:c>
      <x:c r="N6" s="24" t="str">
        <x:v>elagatis bipinnulata</x:v>
      </x:c>
      <x:c r="O6" s="32" t="n">
        <x:v>4.27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Elagatis bipinnulata</x:v>
      </x:c>
      <x:c r="T6" s="32" t="n">
        <x:f>IF(O6="","",(1/'Metadata'!$B$5)^(O6-1))</x:f>
        <x:v>1862.0871366628655</x:v>
      </x:c>
      <x:c r="U6" s="31" t="n">
        <x:f>IF(T6="","",I6*T6)</x:f>
        <x:v>19226.57880369023</x:v>
      </x:c>
    </x:row>
    <x:row r="7" ht="18" customHeight="1">
      <x:c r="A7" s="24" t="str">
        <x:v>EEZ_969</x:v>
      </x:c>
      <x:c r="B7" s="24" t="str">
        <x:v>Fernando de Noronha (Brazil)</x:v>
      </x:c>
      <x:c r="C7" s="24" t="str">
        <x:v>EEZ</x:v>
      </x:c>
      <x:c r="D7" s="30" t="n">
        <x:v>2019</x:v>
      </x:c>
      <x:c r="E7" s="24" t="str">
        <x:v>Caranx lugubris</x:v>
      </x:c>
      <x:c r="F7" s="24" t="str">
        <x:v>Black jack</x:v>
      </x:c>
      <x:c r="G7" s="24" t="str">
        <x:v>Large benthopelagics (&gt;=90 cm)</x:v>
      </x:c>
      <x:c r="H7" s="24" t="str">
        <x:v>Perch-likes</x:v>
      </x:c>
      <x:c r="I7" s="31" t="n">
        <x:v>7.0935002582</x:v>
      </x:c>
      <x:c r="J7" s="31" t="n">
        <x:v>7.0935002582</x:v>
      </x:c>
      <x:c r="K7" s="31" t="n">
        <x:v>0</x:v>
      </x:c>
      <x:c r="L7" s="31" t="n">
        <x:v>0</x:v>
      </x:c>
      <x:c r="M7" s="31" t="n">
        <x:v>7.0935002582</x:v>
      </x:c>
      <x:c r="N7" s="24" t="str">
        <x:v>caranx lugubris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Caranx lugubris</x:v>
      </x:c>
      <x:c r="T7" s="32" t="n">
        <x:f>IF(O7="","",(1/'Metadata'!$B$5)^(O7-1))</x:f>
        <x:v>3162.2776601683795</x:v>
      </x:c>
      <x:c r="U7" s="31" t="n">
        <x:f>IF(T7="","",I7*T7)</x:f>
        <x:v>22431.61739890449</x:v>
      </x:c>
    </x:row>
    <x:row r="8" ht="18" customHeight="1">
      <x:c r="A8" s="24" t="str">
        <x:v>EEZ_969</x:v>
      </x:c>
      <x:c r="B8" s="24" t="str">
        <x:v>Fernando de Noronha (Brazil)</x:v>
      </x:c>
      <x:c r="C8" s="24" t="str">
        <x:v>EEZ</x:v>
      </x:c>
      <x:c r="D8" s="30" t="n">
        <x:v>2019</x:v>
      </x:c>
      <x:c r="E8" s="24" t="str">
        <x:v>Katsuwonus pelamis</x:v>
      </x:c>
      <x:c r="F8" s="24" t="str">
        <x:v>Skipjack tuna</x:v>
      </x:c>
      <x:c r="G8" s="24" t="str">
        <x:v>Large pelagics (&gt;=90 cm)</x:v>
      </x:c>
      <x:c r="H8" s="24" t="str">
        <x:v>Tuna &amp; billfishes</x:v>
      </x:c>
      <x:c r="I8" s="31" t="n">
        <x:v>5.8795078108</x:v>
      </x:c>
      <x:c r="J8" s="31" t="n">
        <x:v>5.8795078108</x:v>
      </x:c>
      <x:c r="K8" s="31" t="n">
        <x:v>0</x:v>
      </x:c>
      <x:c r="L8" s="31" t="n">
        <x:v>5.8479611136</x:v>
      </x:c>
      <x:c r="M8" s="31" t="n">
        <x:v>0.0315466972</x:v>
      </x:c>
      <x:c r="N8" s="24" t="str">
        <x:v>katsuwonus pelamis</x:v>
      </x:c>
      <x:c r="O8" s="32" t="n">
        <x:v>4.43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Katsuwonus pelamis</x:v>
      </x:c>
      <x:c r="T8" s="32" t="n">
        <x:f>IF(O8="","",(1/'Metadata'!$B$5)^(O8-1))</x:f>
        <x:v>2691.534803926914</x:v>
      </x:c>
      <x:c r="U8" s="31" t="n">
        <x:f>IF(T8="","",I8*T8)</x:f>
        <x:v>15824.899902728335</x:v>
      </x:c>
    </x:row>
    <x:row r="9" ht="18" customHeight="1">
      <x:c r="A9" s="24" t="str">
        <x:v>EEZ_969</x:v>
      </x:c>
      <x:c r="B9" s="24" t="str">
        <x:v>Fernando de Noronha (Brazil)</x:v>
      </x:c>
      <x:c r="C9" s="24" t="str">
        <x:v>EEZ</x:v>
      </x:c>
      <x:c r="D9" s="30" t="n">
        <x:v>2019</x:v>
      </x:c>
      <x:c r="E9" s="24" t="str">
        <x:v>Clupeidae</x:v>
      </x:c>
      <x:c r="F9" s="24" t="str">
        <x:v>Herrings, sardines, menhadens</x:v>
      </x:c>
      <x:c r="G9" s="24" t="str">
        <x:v>Small pelagics (&lt;30 cm)</x:v>
      </x:c>
      <x:c r="H9" s="24" t="str">
        <x:v>Herring-likes</x:v>
      </x:c>
      <x:c r="I9" s="31" t="n">
        <x:v>5.460201525</x:v>
      </x:c>
      <x:c r="J9" s="31" t="n">
        <x:v>5.460201525</x:v>
      </x:c>
      <x:c r="K9" s="31" t="n">
        <x:v>0</x:v>
      </x:c>
      <x:c r="L9" s="31" t="n">
        <x:v>0</x:v>
      </x:c>
      <x:c r="M9" s="31" t="n">
        <x:v>5.460201525</x:v>
      </x:c>
      <x:c r="N9" s="24" t="str">
        <x:v>clupeidae</x:v>
      </x:c>
      <x:c r="O9" s="32" t="n">
        <x:v>3.16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Clupeidae</x:v>
      </x:c>
      <x:c r="T9" s="32" t="n">
        <x:f>IF(O9="","",(1/'Metadata'!$B$5)^(O9-1))</x:f>
        <x:v>144.5439770745928</x:v>
      </x:c>
      <x:c r="U9" s="31" t="n">
        <x:f>IF(T9="","",I9*T9)</x:f>
        <x:v>789.2392440522565</x:v>
      </x:c>
    </x:row>
    <x:row r="10" ht="18" customHeight="1">
      <x:c r="A10" s="24" t="str">
        <x:v>EEZ_969</x:v>
      </x:c>
      <x:c r="B10" s="24" t="str">
        <x:v>Fernando de Noronha (Brazil)</x:v>
      </x:c>
      <x:c r="C10" s="24" t="str">
        <x:v>EEZ</x:v>
      </x:c>
      <x:c r="D10" s="30" t="n">
        <x:v>2019</x:v>
      </x:c>
      <x:c r="E10" s="24" t="str">
        <x:v>Sphyraena barracuda</x:v>
      </x:c>
      <x:c r="F10" s="24" t="str">
        <x:v>Great barracuda</x:v>
      </x:c>
      <x:c r="G10" s="24" t="str">
        <x:v>Large pelagics (&gt;=90 cm)</x:v>
      </x:c>
      <x:c r="H10" s="24" t="str">
        <x:v>Perch-likes</x:v>
      </x:c>
      <x:c r="I10" s="31" t="n">
        <x:v>5.3141839358</x:v>
      </x:c>
      <x:c r="J10" s="31" t="n">
        <x:v>5.3141839358</x:v>
      </x:c>
      <x:c r="K10" s="31" t="n">
        <x:v>0</x:v>
      </x:c>
      <x:c r="L10" s="31" t="n">
        <x:v>0.0083298666</x:v>
      </x:c>
      <x:c r="M10" s="31" t="n">
        <x:v>5.3058540692000005</x:v>
      </x:c>
      <x:c r="N10" s="24" t="str">
        <x:v>sphyraena barracuda</x:v>
      </x:c>
      <x:c r="O10" s="32" t="n">
        <x:v>4.49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Sphyraena barracuda</x:v>
      </x:c>
      <x:c r="T10" s="32" t="n">
        <x:f>IF(O10="","",(1/'Metadata'!$B$5)^(O10-1))</x:f>
        <x:v>3090.295432513592</x:v>
      </x:c>
      <x:c r="U10" s="31" t="n">
        <x:f>IF(T10="","",I10*T10)</x:f>
        <x:v>16422.398344339843</x:v>
      </x:c>
    </x:row>
    <x:row r="11" ht="18" customHeight="1">
      <x:c r="A11" s="24" t="str">
        <x:v>EEZ_969</x:v>
      </x:c>
      <x:c r="B11" s="24" t="str">
        <x:v>Fernando de Noronha (Brazil)</x:v>
      </x:c>
      <x:c r="C11" s="24" t="str">
        <x:v>EEZ</x:v>
      </x:c>
      <x:c r="D11" s="30" t="n">
        <x:v>2019</x:v>
      </x:c>
      <x:c r="E11" s="24" t="str">
        <x:v>Coryphaena hippurus</x:v>
      </x:c>
      <x:c r="F11" s="24" t="str">
        <x:v>Common dolphinfish</x:v>
      </x:c>
      <x:c r="G11" s="24" t="str">
        <x:v>Large pelagics (&gt;=90 cm)</x:v>
      </x:c>
      <x:c r="H11" s="24" t="str">
        <x:v>Perch-likes</x:v>
      </x:c>
      <x:c r="I11" s="31" t="n">
        <x:v>4.3647212086</x:v>
      </x:c>
      <x:c r="J11" s="31" t="n">
        <x:v>4.3647212086</x:v>
      </x:c>
      <x:c r="K11" s="31" t="n">
        <x:v>0</x:v>
      </x:c>
      <x:c r="L11" s="31" t="n">
        <x:v>2.8897686576</x:v>
      </x:c>
      <x:c r="M11" s="31" t="n">
        <x:v>1.474952551</x:v>
      </x:c>
      <x:c r="N11" s="24" t="str">
        <x:v>coryphaena hippurus</x:v>
      </x:c>
      <x:c r="O11" s="32" t="n">
        <x:v>4.37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Coryphaena hippurus</x:v>
      </x:c>
      <x:c r="T11" s="32" t="n">
        <x:f>IF(O11="","",(1/'Metadata'!$B$5)^(O11-1))</x:f>
        <x:v>2344.228815319923</x:v>
      </x:c>
      <x:c r="U11" s="31" t="n">
        <x:f>IF(T11="","",I11*T11)</x:f>
        <x:v>10231.90522803812</x:v>
      </x:c>
    </x:row>
    <x:row r="12" ht="18" customHeight="1">
      <x:c r="A12" s="24" t="str">
        <x:v>EEZ_969</x:v>
      </x:c>
      <x:c r="B12" s="24" t="str">
        <x:v>Fernando de Noronha (Brazil)</x:v>
      </x:c>
      <x:c r="C12" s="24" t="str">
        <x:v>EEZ</x:v>
      </x:c>
      <x:c r="D12" s="30" t="n">
        <x:v>2019</x:v>
      </x:c>
      <x:c r="E12" s="24" t="str">
        <x:v>Acanthocybium solandri</x:v>
      </x:c>
      <x:c r="F12" s="24" t="str">
        <x:v>Wahoo</x:v>
      </x:c>
      <x:c r="G12" s="24" t="str">
        <x:v>Large pelagics (&gt;=90 cm)</x:v>
      </x:c>
      <x:c r="H12" s="24" t="str">
        <x:v>Perch-likes</x:v>
      </x:c>
      <x:c r="I12" s="31" t="n">
        <x:v>3.6286213212000002</x:v>
      </x:c>
      <x:c r="J12" s="31" t="n">
        <x:v>3.6286213212000002</x:v>
      </x:c>
      <x:c r="K12" s="31" t="n">
        <x:v>0</x:v>
      </x:c>
      <x:c r="L12" s="31" t="n">
        <x:v>0</x:v>
      </x:c>
      <x:c r="M12" s="31" t="n">
        <x:v>3.6286213212000002</x:v>
      </x:c>
      <x:c r="N12" s="24" t="str">
        <x:v>acanthocybium solandri</x:v>
      </x:c>
      <x:c r="O12" s="32" t="n">
        <x:v>4.26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Acanthocybium solandri</x:v>
      </x:c>
      <x:c r="T12" s="32" t="n">
        <x:f>IF(O12="","",(1/'Metadata'!$B$5)^(O12-1))</x:f>
        <x:v>1819.7008586099826</x:v>
      </x:c>
      <x:c r="U12" s="31" t="n">
        <x:f>IF(T12="","",I12*T12)</x:f>
        <x:v>6603.005333758129</x:v>
      </x:c>
    </x:row>
    <x:row r="13" ht="18" customHeight="1">
      <x:c r="A13" s="24" t="str">
        <x:v>EEZ_969</x:v>
      </x:c>
      <x:c r="B13" s="24" t="str">
        <x:v>Fernando de Noronha (Brazil)</x:v>
      </x:c>
      <x:c r="C13" s="24" t="str">
        <x:v>EEZ</x:v>
      </x:c>
      <x:c r="D13" s="30" t="n">
        <x:v>2019</x:v>
      </x:c>
      <x:c r="E13" s="24" t="str">
        <x:v>Thunnus atlanticus</x:v>
      </x:c>
      <x:c r="F13" s="24" t="str">
        <x:v>Blackfin tuna</x:v>
      </x:c>
      <x:c r="G13" s="24" t="str">
        <x:v>Large pelagics (&gt;=90 cm)</x:v>
      </x:c>
      <x:c r="H13" s="24" t="str">
        <x:v>Tuna &amp; billfishes</x:v>
      </x:c>
      <x:c r="I13" s="31" t="n">
        <x:v>3.5851706632999996</x:v>
      </x:c>
      <x:c r="J13" s="31" t="n">
        <x:v>3.5851706632999996</x:v>
      </x:c>
      <x:c r="K13" s="31" t="n">
        <x:v>0</x:v>
      </x:c>
      <x:c r="L13" s="31" t="n">
        <x:v>2.9542367133</x:v>
      </x:c>
      <x:c r="M13" s="31" t="n">
        <x:v>0.63093395</x:v>
      </x:c>
      <x:c r="N13" s="24" t="str">
        <x:v>thunnus atlanticus</x:v>
      </x:c>
      <x:c r="O13" s="32" t="n">
        <x:v>4.35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atlanticus</x:v>
      </x:c>
      <x:c r="T13" s="32" t="n">
        <x:f>IF(O13="","",(1/'Metadata'!$B$5)^(O13-1))</x:f>
        <x:v>2238.7211385683377</x:v>
      </x:c>
      <x:c r="U13" s="31" t="n">
        <x:f>IF(T13="","",I13*T13)</x:f>
        <x:v>8026.197349304777</x:v>
      </x:c>
    </x:row>
    <x:row r="14" ht="18" customHeight="1">
      <x:c r="A14" s="24" t="str">
        <x:v>EEZ_969</x:v>
      </x:c>
      <x:c r="B14" s="24" t="str">
        <x:v>Fernando de Noronha (Brazil)</x:v>
      </x:c>
      <x:c r="C14" s="24" t="str">
        <x:v>EEZ</x:v>
      </x:c>
      <x:c r="D14" s="30" t="n">
        <x:v>2019</x:v>
      </x:c>
      <x:c r="E14" s="24" t="str">
        <x:v>Balistidae</x:v>
      </x:c>
      <x:c r="F14" s="24" t="str">
        <x:v>Triggerfishes</x:v>
      </x:c>
      <x:c r="G14" s="24" t="str">
        <x:v>Medium reef assoc. fish (30 - 89 cm)</x:v>
      </x:c>
      <x:c r="H14" s="24" t="str">
        <x:v>Other fishes &amp; inverts</x:v>
      </x:c>
      <x:c r="I14" s="31" t="n">
        <x:v>1.0090320957999999</x:v>
      </x:c>
      <x:c r="J14" s="31" t="n">
        <x:v>1.0090320957999999</x:v>
      </x:c>
      <x:c r="K14" s="31" t="n">
        <x:v>0</x:v>
      </x:c>
      <x:c r="L14" s="31" t="n">
        <x:v>0</x:v>
      </x:c>
      <x:c r="M14" s="31" t="n">
        <x:v>1.0090320957999999</x:v>
      </x:c>
      <x:c r="N14" s="24" t="str">
        <x:v>balistidae</x:v>
      </x:c>
      <x:c r="O14" s="32" t="n">
        <x:v>3.25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Balistidae</x:v>
      </x:c>
      <x:c r="T14" s="32" t="n">
        <x:f>IF(O14="","",(1/'Metadata'!$B$5)^(O14-1))</x:f>
        <x:v>177.82794100389228</x:v>
      </x:c>
      <x:c r="U14" s="31" t="n">
        <x:f>IF(T14="","",I14*T14)</x:f>
        <x:v>179.43410000295614</x:v>
      </x:c>
    </x:row>
    <x:row r="15" ht="18" customHeight="1">
      <x:c r="A15" s="24" t="str">
        <x:v>EEZ_969</x:v>
      </x:c>
      <x:c r="B15" s="24" t="str">
        <x:v>Fernando de Noronha (Brazil)</x:v>
      </x:c>
      <x:c r="C15" s="24" t="str">
        <x:v>EEZ</x:v>
      </x:c>
      <x:c r="D15" s="30" t="n">
        <x:v>2019</x:v>
      </x:c>
      <x:c r="E15" s="24" t="str">
        <x:v>Caranx crysos</x:v>
      </x:c>
      <x:c r="F15" s="24" t="str">
        <x:v>Blue runner</x:v>
      </x:c>
      <x:c r="G15" s="24" t="str">
        <x:v>Medium reef assoc. fish (30 - 89 cm)</x:v>
      </x:c>
      <x:c r="H15" s="24" t="str">
        <x:v>Perch-likes</x:v>
      </x:c>
      <x:c r="I15" s="31" t="n">
        <x:v>0.9423949948</x:v>
      </x:c>
      <x:c r="J15" s="31" t="n">
        <x:v>0.9423949948</x:v>
      </x:c>
      <x:c r="K15" s="31" t="n">
        <x:v>0</x:v>
      </x:c>
      <x:c r="L15" s="31" t="n">
        <x:v>0</x:v>
      </x:c>
      <x:c r="M15" s="31" t="n">
        <x:v>0.9423949948</x:v>
      </x:c>
      <x:c r="N15" s="24" t="str">
        <x:v>caranx crysos</x:v>
      </x:c>
      <x:c r="O15" s="32" t="n">
        <x:v>4.13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Caranx crysos</x:v>
      </x:c>
      <x:c r="T15" s="32" t="n">
        <x:f>IF(O15="","",(1/'Metadata'!$B$5)^(O15-1))</x:f>
        <x:v>1348.9628825916532</x:v>
      </x:c>
      <x:c r="U15" s="31" t="n">
        <x:f>IF(T15="","",I15*T15)</x:f>
        <x:v>1271.255868725354</x:v>
      </x:c>
    </x:row>
    <x:row r="16" ht="18" customHeight="1">
      <x:c r="A16" s="24" t="str">
        <x:v>EEZ_969</x:v>
      </x:c>
      <x:c r="B16" s="24" t="str">
        <x:v>Fernando de Noronha (Brazil)</x:v>
      </x:c>
      <x:c r="C16" s="24" t="str">
        <x:v>EEZ</x:v>
      </x:c>
      <x:c r="D16" s="30" t="n">
        <x:v>2019</x:v>
      </x:c>
      <x:c r="E16" s="24" t="str">
        <x:v>Caranx latus</x:v>
      </x:c>
      <x:c r="F16" s="24" t="str">
        <x:v>Horse-eye jack</x:v>
      </x:c>
      <x:c r="G16" s="24" t="str">
        <x:v>Large reef assoc. fish (&gt;=90 cm)</x:v>
      </x:c>
      <x:c r="H16" s="24" t="str">
        <x:v>Perch-likes</x:v>
      </x:c>
      <x:c r="I16" s="31" t="n">
        <x:v>0.9423949948</x:v>
      </x:c>
      <x:c r="J16" s="31" t="n">
        <x:v>0.9423949948</x:v>
      </x:c>
      <x:c r="K16" s="31" t="n">
        <x:v>0</x:v>
      </x:c>
      <x:c r="L16" s="31" t="n">
        <x:v>0</x:v>
      </x:c>
      <x:c r="M16" s="31" t="n">
        <x:v>0.9423949948</x:v>
      </x:c>
      <x:c r="N16" s="24" t="str">
        <x:v>caranx latus</x:v>
      </x:c>
      <x:c r="O16" s="32" t="n">
        <x:v>4.16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Caranx latus</x:v>
      </x:c>
      <x:c r="T16" s="32" t="n">
        <x:f>IF(O16="","",(1/'Metadata'!$B$5)^(O16-1))</x:f>
        <x:v>1445.439770745928</x:v>
      </x:c>
      <x:c r="U16" s="31" t="n">
        <x:f>IF(T16="","",I16*T16)</x:f>
        <x:v>1362.175205235822</x:v>
      </x:c>
    </x:row>
    <x:row r="17" ht="18" customHeight="1">
      <x:c r="A17" s="24" t="str">
        <x:v>EEZ_969</x:v>
      </x:c>
      <x:c r="B17" s="24" t="str">
        <x:v>Fernando de Noronha (Brazil)</x:v>
      </x:c>
      <x:c r="C17" s="24" t="str">
        <x:v>EEZ</x:v>
      </x:c>
      <x:c r="D17" s="30" t="n">
        <x:v>2019</x:v>
      </x:c>
      <x:c r="E17" s="24" t="str">
        <x:v>Lutjanus jocu</x:v>
      </x:c>
      <x:c r="F17" s="24" t="str">
        <x:v>Dog snapper</x:v>
      </x:c>
      <x:c r="G17" s="24" t="str">
        <x:v>Large reef assoc. fish (&gt;=90 cm)</x:v>
      </x:c>
      <x:c r="H17" s="24" t="str">
        <x:v>Perch-likes</x:v>
      </x:c>
      <x:c r="I17" s="31" t="n">
        <x:v>0.8860808652</x:v>
      </x:c>
      <x:c r="J17" s="31" t="n">
        <x:v>0.8860808652</x:v>
      </x:c>
      <x:c r="K17" s="31" t="n">
        <x:v>0</x:v>
      </x:c>
      <x:c r="L17" s="31" t="n">
        <x:v>0</x:v>
      </x:c>
      <x:c r="M17" s="31" t="n">
        <x:v>0.8860808652</x:v>
      </x:c>
      <x:c r="N17" s="24" t="str">
        <x:v>lutjanus jocu</x:v>
      </x:c>
      <x:c r="O17" s="32" t="n">
        <x:v>4.41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Lutjanus jocu</x:v>
      </x:c>
      <x:c r="T17" s="32" t="n">
        <x:f>IF(O17="","",(1/'Metadata'!$B$5)^(O17-1))</x:f>
        <x:v>2570.3957827688646</x:v>
      </x:c>
      <x:c r="U17" s="31" t="n">
        <x:f>IF(T17="","",I17*T17)</x:f>
        <x:v>2277.5785191022665</x:v>
      </x:c>
    </x:row>
    <x:row r="18" ht="18" customHeight="1">
      <x:c r="A18" s="24" t="str">
        <x:v>EEZ_969</x:v>
      </x:c>
      <x:c r="B18" s="24" t="str">
        <x:v>Fernando de Noronha (Brazil)</x:v>
      </x:c>
      <x:c r="C18" s="24" t="str">
        <x:v>EEZ</x:v>
      </x:c>
      <x:c r="D18" s="30" t="n">
        <x:v>2019</x:v>
      </x:c>
      <x:c r="E18" s="24" t="str">
        <x:v>Thunnus alalunga</x:v>
      </x:c>
      <x:c r="F18" s="24" t="str">
        <x:v>Albacore</x:v>
      </x:c>
      <x:c r="G18" s="24" t="str">
        <x:v>Large pelagics (&gt;=90 cm)</x:v>
      </x:c>
      <x:c r="H18" s="24" t="str">
        <x:v>Tuna &amp; billfishes</x:v>
      </x:c>
      <x:c r="I18" s="31" t="n">
        <x:v>0.63093395</x:v>
      </x:c>
      <x:c r="J18" s="31" t="n">
        <x:v>0.63093395</x:v>
      </x:c>
      <x:c r="K18" s="31" t="n">
        <x:v>0</x:v>
      </x:c>
      <x:c r="L18" s="31" t="n">
        <x:v>0</x:v>
      </x:c>
      <x:c r="M18" s="31" t="n">
        <x:v>0.63093395</x:v>
      </x:c>
      <x:c r="N18" s="24" t="str">
        <x:v>thunnus alalunga</x:v>
      </x:c>
      <x:c r="O18" s="32" t="n">
        <x:v>4.3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Thunnus alalunga</x:v>
      </x:c>
      <x:c r="T18" s="32" t="n">
        <x:f>IF(O18="","",(1/'Metadata'!$B$5)^(O18-1))</x:f>
        <x:v>1995.2623149688789</x:v>
      </x:c>
      <x:c r="U18" s="31" t="n">
        <x:f>IF(T18="","",I18*T18)</x:f>
        <x:v>1258.8787336694588</x:v>
      </x:c>
    </x:row>
    <x:row r="19" ht="18" customHeight="1">
      <x:c r="A19" s="24" t="str">
        <x:v>EEZ_969</x:v>
      </x:c>
      <x:c r="B19" s="24" t="str">
        <x:v>Fernando de Noronha (Brazil)</x:v>
      </x:c>
      <x:c r="C19" s="24" t="str">
        <x:v>EEZ</x:v>
      </x:c>
      <x:c r="D19" s="30" t="n">
        <x:v>2019</x:v>
      </x:c>
      <x:c r="E19" s="24" t="str">
        <x:v>Seriola dumerili</x:v>
      </x:c>
      <x:c r="F19" s="24" t="str">
        <x:v>Greater amberjack</x:v>
      </x:c>
      <x:c r="G19" s="24" t="str">
        <x:v>Large reef assoc. fish (&gt;=90 cm)</x:v>
      </x:c>
      <x:c r="H19" s="24" t="str">
        <x:v>Perch-likes</x:v>
      </x:c>
      <x:c r="I19" s="31" t="n">
        <x:v>0.5668390719999999</x:v>
      </x:c>
      <x:c r="J19" s="31" t="n">
        <x:v>0.5668390719999999</x:v>
      </x:c>
      <x:c r="K19" s="31" t="n">
        <x:v>0</x:v>
      </x:c>
      <x:c r="L19" s="31" t="n">
        <x:v>0</x:v>
      </x:c>
      <x:c r="M19" s="31" t="n">
        <x:v>0.5668390719999999</x:v>
      </x:c>
      <x:c r="N19" s="24" t="str">
        <x:v>seriola dumerili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Seriola dumerili</x:v>
      </x:c>
      <x:c r="T19" s="32" t="n">
        <x:f>IF(O19="","",(1/'Metadata'!$B$5)^(O19-1))</x:f>
        <x:v>3162.2776601683795</x:v>
      </x:c>
      <x:c r="U19" s="31" t="n">
        <x:f>IF(T19="","",I19*T19)</x:f>
        <x:v>1792.5025342961753</x:v>
      </x:c>
    </x:row>
    <x:row r="20" ht="18" customHeight="1">
      <x:c r="A20" s="24" t="str">
        <x:v>EEZ_969</x:v>
      </x:c>
      <x:c r="B20" s="24" t="str">
        <x:v>Fernando de Noronha (Brazil)</x:v>
      </x:c>
      <x:c r="C20" s="24" t="str">
        <x:v>EEZ</x:v>
      </x:c>
      <x:c r="D20" s="30" t="n">
        <x:v>2019</x:v>
      </x:c>
      <x:c r="E20" s="24" t="str">
        <x:v>Makaira nigricans</x:v>
      </x:c>
      <x:c r="F20" s="24" t="str">
        <x:v>Blue marlin</x:v>
      </x:c>
      <x:c r="G20" s="24" t="str">
        <x:v>Large pelagics (&gt;=90 cm)</x:v>
      </x:c>
      <x:c r="H20" s="24" t="str">
        <x:v>Tuna &amp; billfishes</x:v>
      </x:c>
      <x:c r="I20" s="31" t="n">
        <x:v>0.3004447368</x:v>
      </x:c>
      <x:c r="J20" s="31" t="n">
        <x:v>0.3004447368</x:v>
      </x:c>
      <x:c r="K20" s="31" t="n">
        <x:v>0</x:v>
      </x:c>
      <x:c r="L20" s="31" t="n">
        <x:v>0</x:v>
      </x:c>
      <x:c r="M20" s="31" t="n">
        <x:v>0.3004447368</x:v>
      </x:c>
      <x:c r="N20" s="24" t="str">
        <x:v>makaira nigricans</x:v>
      </x:c>
      <x:c r="O20" s="32" t="n">
        <x:v>4.49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Makaira nigricans</x:v>
      </x:c>
      <x:c r="T20" s="32" t="n">
        <x:f>IF(O20="","",(1/'Metadata'!$B$5)^(O20-1))</x:f>
        <x:v>3090.295432513592</x:v>
      </x:c>
      <x:c r="U20" s="31" t="n">
        <x:f>IF(T20="","",I20*T20)</x:f>
        <x:v>928.4629978557883</x:v>
      </x:c>
    </x:row>
    <x:row r="21" ht="18" customHeight="1">
      <x:c r="A21" s="24" t="str">
        <x:v>EEZ_969</x:v>
      </x:c>
      <x:c r="B21" s="24" t="str">
        <x:v>Fernando de Noronha (Brazil)</x:v>
      </x:c>
      <x:c r="C21" s="24" t="str">
        <x:v>EEZ</x:v>
      </x:c>
      <x:c r="D21" s="30" t="n">
        <x:v>2019</x:v>
      </x:c>
      <x:c r="E21" s="24" t="str">
        <x:v>Cephalopholis fulva</x:v>
      </x:c>
      <x:c r="F21" s="24" t="str">
        <x:v>Coney</x:v>
      </x:c>
      <x:c r="G21" s="24" t="str">
        <x:v>Medium reef assoc. fish (30 - 89 cm)</x:v>
      </x:c>
      <x:c r="H21" s="24" t="str">
        <x:v>Perch-likes</x:v>
      </x:c>
      <x:c r="I21" s="31" t="n">
        <x:v>0.281906918</x:v>
      </x:c>
      <x:c r="J21" s="31" t="n">
        <x:v>0.086897862</x:v>
      </x:c>
      <x:c r="K21" s="31" t="n">
        <x:v>0.195009056</x:v>
      </x:c>
      <x:c r="L21" s="31" t="n">
        <x:v>0</x:v>
      </x:c>
      <x:c r="M21" s="31" t="n">
        <x:v>0.281906918</x:v>
      </x:c>
      <x:c r="N21" s="24" t="str">
        <x:v>cephalopholis fulva</x:v>
      </x:c>
      <x:c r="O21" s="32" t="n">
        <x:v>4.05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Cephalopholis fulva</x:v>
      </x:c>
      <x:c r="T21" s="32" t="n">
        <x:f>IF(O21="","",(1/'Metadata'!$B$5)^(O21-1))</x:f>
        <x:v>1122.018454301963</x:v>
      </x:c>
      <x:c r="U21" s="31" t="n">
        <x:f>IF(T21="","",I21*T21)</x:f>
        <x:v>316.3047643913902</x:v>
      </x:c>
    </x:row>
    <x:row r="22" ht="18" customHeight="1">
      <x:c r="A22" s="24" t="str">
        <x:v>EEZ_969</x:v>
      </x:c>
      <x:c r="B22" s="24" t="str">
        <x:v>Fernando de Noronha (Brazil)</x:v>
      </x:c>
      <x:c r="C22" s="24" t="str">
        <x:v>EEZ</x:v>
      </x:c>
      <x:c r="D22" s="30" t="n">
        <x:v>2019</x:v>
      </x:c>
      <x:c r="E22" s="24" t="str">
        <x:v>Auxis thazard</x:v>
      </x:c>
      <x:c r="F22" s="24" t="str">
        <x:v>Frigate tuna</x:v>
      </x:c>
      <x:c r="G22" s="24" t="str">
        <x:v>Medium pelagics (30 - 89 cm)</x:v>
      </x:c>
      <x:c r="H22" s="24" t="str">
        <x:v>Tuna &amp; billfishes</x:v>
      </x:c>
      <x:c r="I22" s="31" t="n">
        <x:v>0.2245892974</x:v>
      </x:c>
      <x:c r="J22" s="31" t="n">
        <x:v>0.2245892974</x:v>
      </x:c>
      <x:c r="K22" s="31" t="n">
        <x:v>0</x:v>
      </x:c>
      <x:c r="L22" s="31" t="n">
        <x:v>0.2245892974</x:v>
      </x:c>
      <x:c r="M22" s="31" t="n">
        <x:v>0</x:v>
      </x:c>
      <x:c r="N22" s="24" t="str">
        <x:v>auxis thazard</x:v>
      </x:c>
      <x:c r="O22" s="32" t="n">
        <x:v>4.37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Auxis thazard</x:v>
      </x:c>
      <x:c r="T22" s="32" t="n">
        <x:f>IF(O22="","",(1/'Metadata'!$B$5)^(O22-1))</x:f>
        <x:v>2344.228815319923</x:v>
      </x:c>
      <x:c r="U22" s="31" t="n">
        <x:f>IF(T22="","",I22*T22)</x:f>
        <x:v>526.4887025775358</x:v>
      </x:c>
    </x:row>
    <x:row r="23" ht="18" customHeight="1">
      <x:c r="A23" s="24" t="str">
        <x:v>EEZ_969</x:v>
      </x:c>
      <x:c r="B23" s="24" t="str">
        <x:v>Fernando de Noronha (Brazil)</x:v>
      </x:c>
      <x:c r="C23" s="24" t="str">
        <x:v>EEZ</x:v>
      </x:c>
      <x:c r="D23" s="30" t="n">
        <x:v>2019</x:v>
      </x:c>
      <x:c r="E23" s="24" t="str">
        <x:v>Acanthurus</x:v>
      </x:c>
      <x:c r="F23" s="24" t="str">
        <x:v>Surgeonfishes</x:v>
      </x:c>
      <x:c r="G23" s="24" t="str">
        <x:v>Small reef assoc. fish (&lt;30 cm)</x:v>
      </x:c>
      <x:c r="H23" s="24" t="str">
        <x:v>Perch-likes</x:v>
      </x:c>
      <x:c r="I23" s="31" t="n">
        <x:v>0.195009056</x:v>
      </x:c>
      <x:c r="J23" s="31" t="n">
        <x:v>0</x:v>
      </x:c>
      <x:c r="K23" s="31" t="n">
        <x:v>0.195009056</x:v>
      </x:c>
      <x:c r="L23" s="31" t="n">
        <x:v>0</x:v>
      </x:c>
      <x:c r="M23" s="31" t="n">
        <x:v>0.195009056</x:v>
      </x:c>
      <x:c r="N23" s="24" t="str">
        <x:v>acanthurus</x:v>
      </x:c>
      <x:c r="O23" s="32" t="n">
        <x:v>2.03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Acanthurus</x:v>
      </x:c>
      <x:c r="T23" s="32" t="n">
        <x:f>IF(O23="","",(1/'Metadata'!$B$5)^(O23-1))</x:f>
        <x:v>10.71519305237606</x:v>
      </x:c>
      <x:c r="U23" s="31" t="n">
        <x:f>IF(T23="","",I23*T23)</x:f>
        <x:v>2.089559682001614</x:v>
      </x:c>
    </x:row>
    <x:row r="24" ht="18" customHeight="1">
      <x:c r="A24" s="24" t="str">
        <x:v>EEZ_969</x:v>
      </x:c>
      <x:c r="B24" s="24" t="str">
        <x:v>Fernando de Noronha (Brazil)</x:v>
      </x:c>
      <x:c r="C24" s="24" t="str">
        <x:v>EEZ</x:v>
      </x:c>
      <x:c r="D24" s="30" t="n">
        <x:v>2019</x:v>
      </x:c>
      <x:c r="E24" s="24" t="str">
        <x:v>Carangidae</x:v>
      </x:c>
      <x:c r="F24" s="24" t="str">
        <x:v>Jacks, pompanos</x:v>
      </x:c>
      <x:c r="G24" s="24" t="str">
        <x:v>Medium pelagics (30 - 89 cm)</x:v>
      </x:c>
      <x:c r="H24" s="24" t="str">
        <x:v>Perch-likes</x:v>
      </x:c>
      <x:c r="I24" s="31" t="n">
        <x:v>0.195009056</x:v>
      </x:c>
      <x:c r="J24" s="31" t="n">
        <x:v>0</x:v>
      </x:c>
      <x:c r="K24" s="31" t="n">
        <x:v>0.195009056</x:v>
      </x:c>
      <x:c r="L24" s="31" t="n">
        <x:v>0</x:v>
      </x:c>
      <x:c r="M24" s="31" t="n">
        <x:v>0.195009056</x:v>
      </x:c>
      <x:c r="N24" s="24" t="str">
        <x:v>carangidae</x:v>
      </x:c>
      <x:c r="O24" s="32" t="n">
        <x:v>4.05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Carangidae</x:v>
      </x:c>
      <x:c r="T24" s="32" t="n">
        <x:f>IF(O24="","",(1/'Metadata'!$B$5)^(O24-1))</x:f>
        <x:v>1122.018454301963</x:v>
      </x:c>
      <x:c r="U24" s="31" t="n">
        <x:f>IF(T24="","",I24*T24)</x:f>
        <x:v>218.8037595880049</x:v>
      </x:c>
    </x:row>
    <x:row r="25" ht="18" customHeight="1">
      <x:c r="A25" s="24" t="str">
        <x:v>EEZ_969</x:v>
      </x:c>
      <x:c r="B25" s="24" t="str">
        <x:v>Fernando de Noronha (Brazil)</x:v>
      </x:c>
      <x:c r="C25" s="24" t="str">
        <x:v>EEZ</x:v>
      </x:c>
      <x:c r="D25" s="30" t="n">
        <x:v>2019</x:v>
      </x:c>
      <x:c r="E25" s="24" t="str">
        <x:v>Pseudupeneus maculatus</x:v>
      </x:c>
      <x:c r="F25" s="24" t="str">
        <x:v>Spotted goatfish</x:v>
      </x:c>
      <x:c r="G25" s="24" t="str">
        <x:v>Medium reef assoc. fish (30 - 89 cm)</x:v>
      </x:c>
      <x:c r="H25" s="24" t="str">
        <x:v>Perch-likes</x:v>
      </x:c>
      <x:c r="I25" s="31" t="n">
        <x:v>0.195009056</x:v>
      </x:c>
      <x:c r="J25" s="31" t="n">
        <x:v>0</x:v>
      </x:c>
      <x:c r="K25" s="31" t="n">
        <x:v>0.195009056</x:v>
      </x:c>
      <x:c r="L25" s="31" t="n">
        <x:v>0</x:v>
      </x:c>
      <x:c r="M25" s="31" t="n">
        <x:v>0.195009056</x:v>
      </x:c>
      <x:c r="N25" s="24" t="str">
        <x:v>pseudupeneus maculatus</x:v>
      </x:c>
      <x:c r="O25" s="32" t="n">
        <x:v>3.65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Pseudupeneus maculatus</x:v>
      </x:c>
      <x:c r="T25" s="32" t="n">
        <x:f>IF(O25="","",(1/'Metadata'!$B$5)^(O25-1))</x:f>
        <x:v>446.683592150963</x:v>
      </x:c>
      <x:c r="U25" s="31" t="n">
        <x:f>IF(T25="","",I25*T25)</x:f>
        <x:v>87.10734563604831</x:v>
      </x:c>
    </x:row>
    <x:row r="26" ht="18" customHeight="1">
      <x:c r="A26" s="24" t="str">
        <x:v>EEZ_969</x:v>
      </x:c>
      <x:c r="B26" s="24" t="str">
        <x:v>Fernando de Noronha (Brazil)</x:v>
      </x:c>
      <x:c r="C26" s="24" t="str">
        <x:v>EEZ</x:v>
      </x:c>
      <x:c r="D26" s="30" t="n">
        <x:v>2019</x:v>
      </x:c>
      <x:c r="E26" s="24" t="str">
        <x:v>Serranidae</x:v>
      </x:c>
      <x:c r="F26" s="24" t="str">
        <x:v>Basses, groupers, hinds</x:v>
      </x:c>
      <x:c r="G26" s="24" t="str">
        <x:v>Medium reef assoc. fish (30 - 89 cm)</x:v>
      </x:c>
      <x:c r="H26" s="24" t="str">
        <x:v>Perch-likes</x:v>
      </x:c>
      <x:c r="I26" s="31" t="n">
        <x:v>0.195009056</x:v>
      </x:c>
      <x:c r="J26" s="31" t="n">
        <x:v>0</x:v>
      </x:c>
      <x:c r="K26" s="31" t="n">
        <x:v>0.195009056</x:v>
      </x:c>
      <x:c r="L26" s="31" t="n">
        <x:v>0</x:v>
      </x:c>
      <x:c r="M26" s="31" t="n">
        <x:v>0.195009056</x:v>
      </x:c>
      <x:c r="N26" s="24" t="str">
        <x:v>serranidae</x:v>
      </x:c>
      <x:c r="O26" s="32" t="n">
        <x:v>3.98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Serranidae</x:v>
      </x:c>
      <x:c r="T26" s="32" t="n">
        <x:f>IF(O26="","",(1/'Metadata'!$B$5)^(O26-1))</x:f>
        <x:v>954.992586021436</x:v>
      </x:c>
      <x:c r="U26" s="31" t="n">
        <x:f>IF(T26="","",I26*T26)</x:f>
        <x:v>186.232202687039</x:v>
      </x:c>
    </x:row>
    <x:row r="27" ht="18" customHeight="1">
      <x:c r="A27" s="24" t="str">
        <x:v>EEZ_969</x:v>
      </x:c>
      <x:c r="B27" s="24" t="str">
        <x:v>Fernando de Noronha (Brazil)</x:v>
      </x:c>
      <x:c r="C27" s="24" t="str">
        <x:v>EEZ</x:v>
      </x:c>
      <x:c r="D27" s="30" t="n">
        <x:v>2019</x:v>
      </x:c>
      <x:c r="E27" s="24" t="str">
        <x:v>Haemulon</x:v>
      </x:c>
      <x:c r="F27" s="24" t="str">
        <x:v>Grunts</x:v>
      </x:c>
      <x:c r="G27" s="24" t="str">
        <x:v>Small reef assoc. fish (&lt;30 cm)</x:v>
      </x:c>
      <x:c r="H27" s="24" t="str">
        <x:v>Perch-likes</x:v>
      </x:c>
      <x:c r="I27" s="31" t="n">
        <x:v>0.195009056</x:v>
      </x:c>
      <x:c r="J27" s="31" t="n">
        <x:v>0</x:v>
      </x:c>
      <x:c r="K27" s="31" t="n">
        <x:v>0.195009056</x:v>
      </x:c>
      <x:c r="L27" s="31" t="n">
        <x:v>0</x:v>
      </x:c>
      <x:c r="M27" s="31" t="n">
        <x:v>0.195009056</x:v>
      </x:c>
      <x:c r="N27" s="24" t="str">
        <x:v>haemulon</x:v>
      </x:c>
      <x:c r="O27" s="32" t="n">
        <x:v>3.25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Haemulon</x:v>
      </x:c>
      <x:c r="T27" s="32" t="n">
        <x:f>IF(O27="","",(1/'Metadata'!$B$5)^(O27-1))</x:f>
        <x:v>177.82794100389228</x:v>
      </x:c>
      <x:c r="U27" s="31" t="n">
        <x:f>IF(T27="","",I27*T27)</x:f>
        <x:v>34.67805890559272</x:v>
      </x:c>
    </x:row>
    <x:row r="28" ht="18" customHeight="1">
      <x:c r="A28" s="24" t="str">
        <x:v>EEZ_969</x:v>
      </x:c>
      <x:c r="B28" s="24" t="str">
        <x:v>Fernando de Noronha (Brazil)</x:v>
      </x:c>
      <x:c r="C28" s="24" t="str">
        <x:v>EEZ</x:v>
      </x:c>
      <x:c r="D28" s="30" t="n">
        <x:v>2019</x:v>
      </x:c>
      <x:c r="E28" s="24" t="str">
        <x:v>Caranx hippos</x:v>
      </x:c>
      <x:c r="F28" s="24" t="str">
        <x:v>Crevalle jack</x:v>
      </x:c>
      <x:c r="G28" s="24" t="str">
        <x:v>Large reef assoc. fish (&gt;=90 cm)</x:v>
      </x:c>
      <x:c r="H28" s="24" t="str">
        <x:v>Perch-likes</x:v>
      </x:c>
      <x:c r="I28" s="31" t="n">
        <x:v>0.1832027756</x:v>
      </x:c>
      <x:c r="J28" s="31" t="n">
        <x:v>0.1832027756</x:v>
      </x:c>
      <x:c r="K28" s="31" t="n">
        <x:v>0</x:v>
      </x:c>
      <x:c r="L28" s="31" t="n">
        <x:v>0.0369863376</x:v>
      </x:c>
      <x:c r="M28" s="31" t="n">
        <x:v>0.146216438</x:v>
      </x:c>
      <x:c r="N28" s="24" t="str">
        <x:v>caranx hippos</x:v>
      </x:c>
      <x:c r="O28" s="32" t="n">
        <x:v>3.56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Caranx hippos</x:v>
      </x:c>
      <x:c r="T28" s="32" t="n">
        <x:f>IF(O28="","",(1/'Metadata'!$B$5)^(O28-1))</x:f>
        <x:v>363.0780547701014</x:v>
      </x:c>
      <x:c r="U28" s="31" t="n">
        <x:f>IF(T28="","",I28*T28)</x:f>
        <x:v>66.5169073933314</x:v>
      </x:c>
    </x:row>
    <x:row r="29" ht="18" customHeight="1">
      <x:c r="A29" s="24" t="str">
        <x:v>EEZ_969</x:v>
      </x:c>
      <x:c r="B29" s="24" t="str">
        <x:v>Fernando de Noronha (Brazil)</x:v>
      </x:c>
      <x:c r="C29" s="24" t="str">
        <x:v>EEZ</x:v>
      </x:c>
      <x:c r="D29" s="30" t="n">
        <x:v>2019</x:v>
      </x:c>
      <x:c r="E29" s="24" t="str">
        <x:v>Xiphias gladius</x:v>
      </x:c>
      <x:c r="F29" s="24" t="str">
        <x:v>Swordfish</x:v>
      </x:c>
      <x:c r="G29" s="24" t="str">
        <x:v>Large pelagics (&gt;=90 cm)</x:v>
      </x:c>
      <x:c r="H29" s="24" t="str">
        <x:v>Tuna &amp; billfishes</x:v>
      </x:c>
      <x:c r="I29" s="31" t="n">
        <x:v>0.0388267052</x:v>
      </x:c>
      <x:c r="J29" s="31" t="n">
        <x:v>0.0388267052</x:v>
      </x:c>
      <x:c r="K29" s="31" t="n">
        <x:v>0</x:v>
      </x:c>
      <x:c r="L29" s="31" t="n">
        <x:v>0</x:v>
      </x:c>
      <x:c r="M29" s="31" t="n">
        <x:v>0.0388267052</x:v>
      </x:c>
      <x:c r="N29" s="24" t="str">
        <x:v>xiphias gladius</x:v>
      </x:c>
      <x:c r="O29" s="32" t="n">
        <x:v>4.53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Xiphias gladius</x:v>
      </x:c>
      <x:c r="T29" s="32" t="n">
        <x:f>IF(O29="","",(1/'Metadata'!$B$5)^(O29-1))</x:f>
        <x:v>3388.4415613920273</x:v>
      </x:c>
      <x:c r="U29" s="31" t="n">
        <x:f>IF(T29="","",I29*T29)</x:f>
        <x:v>131.56202159159594</x:v>
      </x:c>
    </x:row>
    <x:row r="30" ht="18" customHeight="1">
      <x:c r="A30" s="24" t="str">
        <x:v>EEZ_969</x:v>
      </x:c>
      <x:c r="B30" s="24" t="str">
        <x:v>Fernando de Noronha (Brazil)</x:v>
      </x:c>
      <x:c r="C30" s="24" t="str">
        <x:v>EEZ</x:v>
      </x:c>
      <x:c r="D30" s="30" t="n">
        <x:v>2019</x:v>
      </x:c>
      <x:c r="E30" s="24" t="str">
        <x:v>Istiophorus albicans</x:v>
      </x:c>
      <x:c r="F30" s="24" t="str">
        <x:v>Atlantic sailfish</x:v>
      </x:c>
      <x:c r="G30" s="24" t="str">
        <x:v>Large pelagics (&gt;=90 cm)</x:v>
      </x:c>
      <x:c r="H30" s="24" t="str">
        <x:v>Tuna &amp; billfishes</x:v>
      </x:c>
      <x:c r="I30" s="31" t="n">
        <x:v>0.0388267052</x:v>
      </x:c>
      <x:c r="J30" s="31" t="n">
        <x:v>0.0388267052</x:v>
      </x:c>
      <x:c r="K30" s="31" t="n">
        <x:v>0</x:v>
      </x:c>
      <x:c r="L30" s="31" t="n">
        <x:v>0</x:v>
      </x:c>
      <x:c r="M30" s="31" t="n">
        <x:v>0.0388267052</x:v>
      </x:c>
      <x:c r="N30" s="24" t="str">
        <x:v>istiophorus albicans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Istiophorus albicans</x:v>
      </x:c>
      <x:c r="T30" s="32" t="n">
        <x:f>IF(O30="","",(1/'Metadata'!$B$5)^(O30-1))</x:f>
        <x:v>3162.2776601683795</x:v>
      </x:c>
      <x:c r="U30" s="31" t="n">
        <x:f>IF(T30="","",I30*T30)</x:f>
        <x:v>122.78082247190345</x:v>
      </x:c>
    </x:row>
    <x:row r="31" ht="18" customHeight="1">
      <x:c r="A31" s="24" t="str">
        <x:v>EEZ_969</x:v>
      </x:c>
      <x:c r="B31" s="24" t="str">
        <x:v>Fernando de Noronha (Brazil)</x:v>
      </x:c>
      <x:c r="C31" s="24" t="str">
        <x:v>EEZ</x:v>
      </x:c>
      <x:c r="D31" s="30" t="n">
        <x:v>2019</x:v>
      </x:c>
      <x:c r="E31" s="24" t="str">
        <x:v>Carcharhinus</x:v>
      </x:c>
      <x:c r="F31" s="24" t="str">
        <x:v>Sharp-nosed sharks</x:v>
      </x:c>
      <x:c r="G31" s="24" t="str">
        <x:v>Large sharks (&gt;=90 cm)</x:v>
      </x:c>
      <x:c r="H31" s="24" t="str">
        <x:v>Sharks &amp; rays</x:v>
      </x:c>
      <x:c r="I31" s="31" t="n">
        <x:v>0.0388267052</x:v>
      </x:c>
      <x:c r="J31" s="31" t="n">
        <x:v>0.0388267052</x:v>
      </x:c>
      <x:c r="K31" s="31" t="n">
        <x:v>0</x:v>
      </x:c>
      <x:c r="L31" s="31" t="n">
        <x:v>0</x:v>
      </x:c>
      <x:c r="M31" s="31" t="n">
        <x:v>0.0388267052</x:v>
      </x:c>
      <x:c r="N31" s="24" t="str">
        <x:v>carcharhinus</x:v>
      </x:c>
      <x:c r="O31" s="32" t="n">
        <x:v>4.26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Carcharhinus</x:v>
      </x:c>
      <x:c r="T31" s="32" t="n">
        <x:f>IF(O31="","",(1/'Metadata'!$B$5)^(O31-1))</x:f>
        <x:v>1819.7008586099826</x:v>
      </x:c>
      <x:c r="U31" s="31" t="n">
        <x:f>IF(T31="","",I31*T31)</x:f>
        <x:v>70.65298878943668</x:v>
      </x:c>
    </x:row>
    <x:row r="32" ht="18" customHeight="1">
      <x:c r="A32" s="24" t="str">
        <x:v>EEZ_969</x:v>
      </x:c>
      <x:c r="B32" s="24" t="str">
        <x:v>Fernando de Noronha (Brazil)</x:v>
      </x:c>
      <x:c r="C32" s="24" t="str">
        <x:v>EEZ</x:v>
      </x:c>
      <x:c r="D32" s="30" t="n">
        <x:v>2019</x:v>
      </x:c>
      <x:c r="E32" s="24" t="str">
        <x:v>Lactophrys</x:v>
      </x:c>
      <x:c r="F32" s="24" t="str">
        <x:v>Cowfishes</x:v>
      </x:c>
      <x:c r="G32" s="24" t="str">
        <x:v>Medium reef assoc. fish (30 - 89 cm)</x:v>
      </x:c>
      <x:c r="H32" s="24" t="str">
        <x:v>Other fishes &amp; inverts</x:v>
      </x:c>
      <x:c r="I32" s="31" t="n">
        <x:v>0.0388267052</x:v>
      </x:c>
      <x:c r="J32" s="31" t="n">
        <x:v>0.0388267052</x:v>
      </x:c>
      <x:c r="K32" s="31" t="n">
        <x:v>0</x:v>
      </x:c>
      <x:c r="L32" s="31" t="n">
        <x:v>0</x:v>
      </x:c>
      <x:c r="M32" s="31" t="n">
        <x:v>0.0388267052</x:v>
      </x:c>
      <x:c r="N32" s="24" t="str">
        <x:v>lactophrys</x:v>
      </x:c>
      <x:c r="O32" s="32" t="n">
        <x:v>3.16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Lactophrys</x:v>
      </x:c>
      <x:c r="T32" s="32" t="n">
        <x:f>IF(O32="","",(1/'Metadata'!$B$5)^(O32-1))</x:f>
        <x:v>144.5439770745928</x:v>
      </x:c>
      <x:c r="U32" s="31" t="n">
        <x:f>IF(T32="","",I32*T32)</x:f>
        <x:v>5.612166386310772</x:v>
      </x:c>
    </x:row>
    <x:row r="33" ht="18" customHeight="1">
      <x:c r="A33" s="24" t="str">
        <x:v>EEZ_969</x:v>
      </x:c>
      <x:c r="B33" s="24" t="str">
        <x:v>Fernando de Noronha (Brazil)</x:v>
      </x:c>
      <x:c r="C33" s="24" t="str">
        <x:v>EEZ</x:v>
      </x:c>
      <x:c r="D33" s="30" t="n">
        <x:v>2019</x:v>
      </x:c>
      <x:c r="E33" s="24" t="str">
        <x:v>Epinephelus morio</x:v>
      </x:c>
      <x:c r="F33" s="24" t="str">
        <x:v>Red grouper</x:v>
      </x:c>
      <x:c r="G33" s="24" t="str">
        <x:v>Large reef assoc. fish (&gt;=90 cm)</x:v>
      </x:c>
      <x:c r="H33" s="24" t="str">
        <x:v>Perch-likes</x:v>
      </x:c>
      <x:c r="I33" s="31" t="n">
        <x:v>0.0388267052</x:v>
      </x:c>
      <x:c r="J33" s="31" t="n">
        <x:v>0.0388267052</x:v>
      </x:c>
      <x:c r="K33" s="31" t="n">
        <x:v>0</x:v>
      </x:c>
      <x:c r="L33" s="31" t="n">
        <x:v>0</x:v>
      </x:c>
      <x:c r="M33" s="31" t="n">
        <x:v>0.0388267052</x:v>
      </x:c>
      <x:c r="N33" s="24" t="str">
        <x:v>epinephelus morio</x:v>
      </x:c>
      <x:c r="O33" s="32" t="n">
        <x:v>3.5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Epinephelus morio</x:v>
      </x:c>
      <x:c r="T33" s="32" t="n">
        <x:f>IF(O33="","",(1/'Metadata'!$B$5)^(O33-1))</x:f>
        <x:v>316.22776601683796</x:v>
      </x:c>
      <x:c r="U33" s="31" t="n">
        <x:f>IF(T33="","",I33*T33)</x:f>
        <x:v>12.278082247190346</x:v>
      </x:c>
    </x:row>
    <x:row r="34" ht="18" customHeight="1">
      <x:c r="A34" s="24" t="str">
        <x:v>EEZ_969</x:v>
      </x:c>
      <x:c r="B34" s="24" t="str">
        <x:v>Fernando de Noronha (Brazil)</x:v>
      </x:c>
      <x:c r="C34" s="24" t="str">
        <x:v>EEZ</x:v>
      </x:c>
      <x:c r="D34" s="30" t="n">
        <x:v>2019</x:v>
      </x:c>
      <x:c r="E34" s="24" t="str">
        <x:v>Lutjanus analis</x:v>
      </x:c>
      <x:c r="F34" s="24" t="str">
        <x:v>Mutton snapper</x:v>
      </x:c>
      <x:c r="G34" s="24" t="str">
        <x:v>Medium reef assoc. fish (30 - 89 cm)</x:v>
      </x:c>
      <x:c r="H34" s="24" t="str">
        <x:v>Perch-likes</x:v>
      </x:c>
      <x:c r="I34" s="31" t="n">
        <x:v>0.0388267052</x:v>
      </x:c>
      <x:c r="J34" s="31" t="n">
        <x:v>0.0388267052</x:v>
      </x:c>
      <x:c r="K34" s="31" t="n">
        <x:v>0</x:v>
      </x:c>
      <x:c r="L34" s="31" t="n">
        <x:v>0</x:v>
      </x:c>
      <x:c r="M34" s="31" t="n">
        <x:v>0.0388267052</x:v>
      </x:c>
      <x:c r="N34" s="24" t="str">
        <x:v>lutjanus analis</x:v>
      </x:c>
      <x:c r="O34" s="32" t="n">
        <x:v>3.91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Lutjanus analis</x:v>
      </x:c>
      <x:c r="T34" s="32" t="n">
        <x:f>IF(O34="","",(1/'Metadata'!$B$5)^(O34-1))</x:f>
        <x:v>812.8305161640995</x:v>
      </x:c>
      <x:c r="U34" s="31" t="n">
        <x:f>IF(T34="","",I34*T34)</x:f>
        <x:v>31.559530828667327</x:v>
      </x:c>
    </x:row>
    <x:row r="35" ht="18" customHeight="1">
      <x:c r="A35" s="24" t="str">
        <x:v>EEZ_969</x:v>
      </x:c>
      <x:c r="B35" s="24" t="str">
        <x:v>Fernando de Noronha (Brazil)</x:v>
      </x:c>
      <x:c r="C35" s="24" t="str">
        <x:v>EEZ</x:v>
      </x:c>
      <x:c r="D35" s="30" t="n">
        <x:v>2019</x:v>
      </x:c>
      <x:c r="E35" s="24" t="str">
        <x:v>Lutjanus purpureus</x:v>
      </x:c>
      <x:c r="F35" s="24" t="str">
        <x:v>Southern red snapper</x:v>
      </x:c>
      <x:c r="G35" s="24" t="str">
        <x:v>Medium demersals (30 - 89 cm)</x:v>
      </x:c>
      <x:c r="H35" s="24" t="str">
        <x:v>Perch-likes</x:v>
      </x:c>
      <x:c r="I35" s="31" t="n">
        <x:v>0.0388267052</x:v>
      </x:c>
      <x:c r="J35" s="31" t="n">
        <x:v>0.0388267052</x:v>
      </x:c>
      <x:c r="K35" s="31" t="n">
        <x:v>0</x:v>
      </x:c>
      <x:c r="L35" s="31" t="n">
        <x:v>0</x:v>
      </x:c>
      <x:c r="M35" s="31" t="n">
        <x:v>0.0388267052</x:v>
      </x:c>
      <x:c r="N35" s="24" t="str">
        <x:v>lutjanus purpureus</x:v>
      </x:c>
      <x:c r="O35" s="32" t="n">
        <x:v>3.58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Lutjanus purpureus</x:v>
      </x:c>
      <x:c r="T35" s="32" t="n">
        <x:f>IF(O35="","",(1/'Metadata'!$B$5)^(O35-1))</x:f>
        <x:v>380.1893963205613</x:v>
      </x:c>
      <x:c r="U35" s="31" t="n">
        <x:f>IF(T35="","",I35*T35)</x:f>
        <x:v>14.761501611104396</x:v>
      </x:c>
    </x:row>
    <x:row r="36" ht="18" customHeight="1">
      <x:c r="A36" s="24" t="str">
        <x:v>EEZ_969</x:v>
      </x:c>
      <x:c r="B36" s="24" t="str">
        <x:v>Fernando de Noronha (Brazil)</x:v>
      </x:c>
      <x:c r="C36" s="24" t="str">
        <x:v>EEZ</x:v>
      </x:c>
      <x:c r="D36" s="30" t="n">
        <x:v>2019</x:v>
      </x:c>
      <x:c r="E36" s="24" t="str">
        <x:v>Alectis ciliaris</x:v>
      </x:c>
      <x:c r="F36" s="24" t="str">
        <x:v>African pompano</x:v>
      </x:c>
      <x:c r="G36" s="24" t="str">
        <x:v>Large pelagics (&gt;=90 cm)</x:v>
      </x:c>
      <x:c r="H36" s="24" t="str">
        <x:v>Perch-likes</x:v>
      </x:c>
      <x:c r="I36" s="31" t="n">
        <x:v>0.014020754</x:v>
      </x:c>
      <x:c r="J36" s="31" t="n">
        <x:v>0.014020754</x:v>
      </x:c>
      <x:c r="K36" s="31" t="n">
        <x:v>0</x:v>
      </x:c>
      <x:c r="L36" s="31" t="n">
        <x:v>0</x:v>
      </x:c>
      <x:c r="M36" s="31" t="n">
        <x:v>0.014020754</x:v>
      </x:c>
      <x:c r="N36" s="24" t="str">
        <x:v>alectis ciliaris</x:v>
      </x:c>
      <x:c r="O36" s="32" t="n">
        <x:v>3.95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Alectis ciliaris</x:v>
      </x:c>
      <x:c r="T36" s="32" t="n">
        <x:f>IF(O36="","",(1/'Metadata'!$B$5)^(O36-1))</x:f>
        <x:v>891.2509381337459</x:v>
      </x:c>
      <x:c r="U36" s="31" t="n">
        <x:f>IF(T36="","",I36*T36)</x:f>
        <x:v>12.49601015584247</x:v>
      </x:c>
    </x:row>
    <x:row r="37" ht="18" customHeight="1">
      <x:c r="A37" s="24" t="str">
        <x:v>EEZ_969</x:v>
      </x:c>
      <x:c r="B37" s="24" t="str">
        <x:v>Fernando de Noronha (Brazil)</x:v>
      </x:c>
      <x:c r="C37" s="24" t="str">
        <x:v>EEZ</x:v>
      </x:c>
      <x:c r="D37" s="30" t="n">
        <x:v>2019</x:v>
      </x:c>
      <x:c r="E37" s="24" t="str">
        <x:v>Decapterus</x:v>
      </x:c>
      <x:c r="F37" s="24" t="str">
        <x:v>Scads</x:v>
      </x:c>
      <x:c r="G37" s="24" t="str">
        <x:v>Medium pelagics (30 - 89 cm)</x:v>
      </x:c>
      <x:c r="H37" s="24" t="str">
        <x:v>Perch-likes</x:v>
      </x:c>
      <x:c r="I37" s="31" t="n">
        <x:v>0.014020754</x:v>
      </x:c>
      <x:c r="J37" s="31" t="n">
        <x:v>0.014020754</x:v>
      </x:c>
      <x:c r="K37" s="31" t="n">
        <x:v>0</x:v>
      </x:c>
      <x:c r="L37" s="31" t="n">
        <x:v>0</x:v>
      </x:c>
      <x:c r="M37" s="31" t="n">
        <x:v>0.014020754</x:v>
      </x:c>
      <x:c r="N37" s="24" t="str">
        <x:v>decapterus</x:v>
      </x:c>
      <x:c r="O37" s="32" t="n">
        <x:v>3.63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Decapterus</x:v>
      </x:c>
      <x:c r="T37" s="32" t="n">
        <x:f>IF(O37="","",(1/'Metadata'!$B$5)^(O37-1))</x:f>
        <x:v>426.57951880159254</x:v>
      </x:c>
      <x:c r="U37" s="31" t="n">
        <x:f>IF(T37="","",I37*T37)</x:f>
        <x:v>5.980966494555504</x:v>
      </x:c>
    </x:row>
    <x:row r="38" ht="18" customHeight="1">
      <x:c r="A38" s="24" t="str">
        <x:v>EEZ_969</x:v>
      </x:c>
      <x:c r="B38" s="24" t="str">
        <x:v>Fernando de Noronha (Brazil)</x:v>
      </x:c>
      <x:c r="C38" s="24" t="str">
        <x:v>EEZ</x:v>
      </x:c>
      <x:c r="D38" s="30" t="n">
        <x:v>2019</x:v>
      </x:c>
      <x:c r="E38" s="24" t="str">
        <x:v>Selene vomer</x:v>
      </x:c>
      <x:c r="F38" s="24" t="str">
        <x:v>Lookdown</x:v>
      </x:c>
      <x:c r="G38" s="24" t="str">
        <x:v>Medium demersals (30 - 89 cm)</x:v>
      </x:c>
      <x:c r="H38" s="24" t="str">
        <x:v>Perch-likes</x:v>
      </x:c>
      <x:c r="I38" s="31" t="n">
        <x:v>0.014020754</x:v>
      </x:c>
      <x:c r="J38" s="31" t="n">
        <x:v>0.014020754</x:v>
      </x:c>
      <x:c r="K38" s="31" t="n">
        <x:v>0</x:v>
      </x:c>
      <x:c r="L38" s="31" t="n">
        <x:v>0</x:v>
      </x:c>
      <x:c r="M38" s="31" t="n">
        <x:v>0.014020754</x:v>
      </x:c>
      <x:c r="N38" s="24" t="str">
        <x:v>selene vomer</x:v>
      </x:c>
      <x:c r="O38" s="32" t="n">
        <x:v>4.29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Selene vomer</x:v>
      </x:c>
      <x:c r="T38" s="32" t="n">
        <x:f>IF(O38="","",(1/'Metadata'!$B$5)^(O38-1))</x:f>
        <x:v>1949.8445997580454</x:v>
      </x:c>
      <x:c r="U38" s="31" t="n">
        <x:f>IF(T38="","",I38*T38)</x:f>
        <x:v>27.338291471436015</x:v>
      </x:c>
    </x:row>
    <x:row r="39" ht="18" customHeight="1">
      <x:c r="A39" s="24" t="str">
        <x:v>EEZ_969</x:v>
      </x:c>
      <x:c r="B39" s="24" t="str">
        <x:v>Fernando de Noronha (Brazil)</x:v>
      </x:c>
      <x:c r="C39" s="24" t="str">
        <x:v>EEZ</x:v>
      </x:c>
      <x:c r="D39" s="30" t="n">
        <x:v>2019</x:v>
      </x:c>
      <x:c r="E39" s="24" t="str">
        <x:v>Thunnus</x:v>
      </x:c>
      <x:c r="F39" s="24" t="str">
        <x:v>Tunas</x:v>
      </x:c>
      <x:c r="G39" s="24" t="str">
        <x:v>Large pelagics (&gt;=90 cm)</x:v>
      </x:c>
      <x:c r="H39" s="24" t="str">
        <x:v>Tuna &amp; billfishes</x:v>
      </x:c>
      <x:c r="I39" s="31" t="n">
        <x:v>0.00258359</x:v>
      </x:c>
      <x:c r="J39" s="31" t="n">
        <x:v>0.00258359</x:v>
      </x:c>
      <x:c r="K39" s="31" t="n">
        <x:v>0</x:v>
      </x:c>
      <x:c r="L39" s="31" t="n">
        <x:v>0.00258359</x:v>
      </x:c>
      <x:c r="M39" s="31" t="n">
        <x:v>0</x:v>
      </x:c>
      <x:c r="N39" s="24" t="str">
        <x:v>thunnus</x:v>
      </x:c>
      <x:c r="O39" s="32" t="n">
        <x:v>4.34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Thunnus</x:v>
      </x:c>
      <x:c r="T39" s="32" t="n">
        <x:f>IF(O39="","",(1/'Metadata'!$B$5)^(O39-1))</x:f>
        <x:v>2187.761623949552</x:v>
      </x:c>
      <x:c r="U39" s="31" t="n">
        <x:f>IF(T39="","",I39*T39)</x:f>
        <x:v>5.652279054019823</x:v>
      </x:c>
    </x:row>
    <x:row r="40" ht="18" customHeight="1">
      <x:c r="A40" s="24" t="str">
        <x:v>EEZ_969</x:v>
      </x:c>
      <x:c r="B40" s="24" t="str">
        <x:v>Fernando de Noronha (Brazil)</x:v>
      </x:c>
      <x:c r="C40" s="24" t="str">
        <x:v>EEZ</x:v>
      </x:c>
      <x:c r="D40" s="30" t="n">
        <x:v>2019</x:v>
      </x:c>
      <x:c r="E40" s="24" t="str">
        <x:v>Prionace glauca</x:v>
      </x:c>
      <x:c r="F40" s="24" t="str">
        <x:v>Blue shark</x:v>
      </x:c>
      <x:c r="G40" s="24" t="str">
        <x:v>Large sharks (&gt;=90 cm)</x:v>
      </x:c>
      <x:c r="H40" s="24" t="str">
        <x:v>Sharks &amp; rays</x:v>
      </x:c>
      <x:c r="I40" s="31" t="n">
        <x:v>0.0022630485</x:v>
      </x:c>
      <x:c r="J40" s="31" t="n">
        <x:v>0.0022630485</x:v>
      </x:c>
      <x:c r="K40" s="31" t="n">
        <x:v>0</x:v>
      </x:c>
      <x:c r="L40" s="31" t="n">
        <x:v>0.0022630485</x:v>
      </x:c>
      <x:c r="M40" s="31" t="n">
        <x:v>0</x:v>
      </x:c>
      <x:c r="N40" s="24" t="str">
        <x:v>prionace glauca</x:v>
      </x:c>
      <x:c r="O40" s="32" t="n">
        <x:v>4.35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Prionace glauca</x:v>
      </x:c>
      <x:c r="T40" s="32" t="n">
        <x:f>IF(O40="","",(1/'Metadata'!$B$5)^(O40-1))</x:f>
        <x:v>2238.7211385683377</x:v>
      </x:c>
      <x:c r="U40" s="31" t="n">
        <x:f>IF(T40="","",I40*T40)</x:f>
        <x:v>5.066334514555368</x:v>
      </x:c>
    </x:row>
  </x:sheetData>
  <x:conditionalFormatting sqref="R2:R4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418bc8fb57642e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Herring-likes</x:v>
      </x:c>
      <x:c r="B2" s="31" t="n">
        <x:v>5.460201525</x:v>
      </x:c>
      <x:c r="C2" s="32" t="n">
        <x:v>3.16</x:v>
      </x:c>
      <x:c r="D2" s="32" t="n">
        <x:f>IF(C2="","",(1/'Metadata'!$B$5)^(C2-1))</x:f>
        <x:v>144.5439770745928</x:v>
      </x:c>
      <x:c r="E2" s="31" t="n">
        <x:f>IF(B2=0,"",B2*D2)</x:f>
        <x:v>789.2392440522565</x:v>
      </x:c>
    </x:row>
    <x:row r="3" ht="18" customHeight="1">
      <x:c r="A3" s="24" t="str">
        <x:v>Other fishes &amp; inverts</x:v>
      </x:c>
      <x:c r="B3" s="31" t="n">
        <x:v>7200.8827476235</x:v>
      </x:c>
      <x:c r="C3" s="32" t="n">
        <x:v>3.2807286613770827</x:v>
      </x:c>
      <x:c r="D3" s="32" t="n">
        <x:f>IF(C3="","",(1/'Metadata'!$B$5)^(C3-1))</x:f>
        <x:v>190.86603926133284</x:v>
      </x:c>
      <x:c r="E3" s="31" t="n">
        <x:f>IF(B3=0,"",B3*D3)</x:f>
        <x:v>1374403.9692241612</x:v>
      </x:c>
    </x:row>
    <x:row r="4" ht="18" customHeight="1">
      <x:c r="A4" s="24" t="str">
        <x:v>Perch-likes</x:v>
      </x:c>
      <x:c r="B4" s="31" t="n">
        <x:v>35.662718154800004</x:v>
      </x:c>
      <x:c r="C4" s="32" t="n">
        <x:v>4.3285375916142</x:v>
      </x:c>
      <x:c r="D4" s="32" t="n">
        <x:f>IF(C4="","",(1/'Metadata'!$B$5)^(C4-1))</x:f>
        <x:v>2130.774994949434</x:v>
      </x:c>
      <x:c r="E4" s="31" t="n">
        <x:f>IF(B4=0,"",B4*D4)</x:f>
        <x:v>75989.22809617707</x:v>
      </x:c>
    </x:row>
    <x:row r="5" ht="18" customHeight="1">
      <x:c r="A5" s="24" t="str">
        <x:v>Sharks &amp; rays</x:v>
      </x:c>
      <x:c r="B5" s="31" t="n">
        <x:v>0.041089753699999995</x:v>
      </x:c>
      <x:c r="C5" s="32" t="n">
        <x:v>4.264956816399705</x:v>
      </x:c>
      <x:c r="D5" s="32" t="n">
        <x:f>IF(C5="","",(1/'Metadata'!$B$5)^(C5-1))</x:f>
        <x:v>1840.5889754031634</x:v>
      </x:c>
      <x:c r="E5" s="31" t="n">
        <x:f>IF(B5=0,"",B5*D5)</x:f>
        <x:v>75.62934766225133</x:v>
      </x:c>
    </x:row>
    <x:row r="6" ht="18" customHeight="1">
      <x:c r="A6" s="24" t="str">
        <x:v>Tuna &amp; billfishes</x:v>
      </x:c>
      <x:c r="B6" s="31" t="n">
        <x:v>219.603615631</x:v>
      </x:c>
      <x:c r="C6" s="32" t="n">
        <x:v>4.426367085710489</x:v>
      </x:c>
      <x:c r="D6" s="32" t="n">
        <x:f>IF(C6="","",(1/'Metadata'!$B$5)^(C6-1))</x:f>
        <x:v>2669.113769291422</x:v>
      </x:c>
      <x:c r="E6" s="31" t="n">
        <x:f>IF(B6=0,"",B6*D6)</x:f>
        <x:v>586147.034266883</x:v>
      </x:c>
    </x:row>
  </x:sheetData>
  <x:pageMargins left="0.7" right="0.7" top="0.75" bottom="0.75" header="0.3" footer="0.3"/>
  <x:tableParts count="1">
    <x:tablePart xmlns:r="http://schemas.openxmlformats.org/officeDocument/2006/relationships" r:id="R017bcca38ff24e2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16.5060478331</x:v>
      </x:c>
      <x:c r="C2" s="32" t="n">
        <x:v>3.6</x:v>
      </x:c>
      <x:c r="D2" s="32" t="n">
        <x:f>IF(C2="","",(1/'Metadata'!$B$5)^(C2-1))</x:f>
        <x:v>398.1071705534973</x:v>
      </x:c>
      <x:c r="E2" s="31" t="n">
        <x:f>IF(B2=0,"",B2*D2)</x:f>
        <x:v>6571.175999856126</x:v>
      </x:c>
    </x:row>
    <x:row r="3" ht="18" customHeight="1">
      <x:c r="A3" s="24" t="str">
        <x:v>Large benthopelagics (&gt;=90 cm)</x:v>
      </x:c>
      <x:c r="B3" s="31" t="n">
        <x:v>7.0935002582</x:v>
      </x:c>
      <x:c r="C3" s="32" t="n">
        <x:v>4.5</x:v>
      </x:c>
      <x:c r="D3" s="32" t="n">
        <x:f>IF(C3="","",(1/'Metadata'!$B$5)^(C3-1))</x:f>
        <x:v>3162.2776601683795</x:v>
      </x:c>
      <x:c r="E3" s="31" t="n">
        <x:f>IF(B3=0,"",B3*D3)</x:f>
        <x:v>22431.61739890449</x:v>
      </x:c>
    </x:row>
    <x:row r="4" ht="18" customHeight="1">
      <x:c r="A4" s="24" t="str">
        <x:v>Large pelagics (&gt;=90 cm)</x:v>
      </x:c>
      <x:c r="B4" s="31" t="n">
        <x:v>243.02585770620001</x:v>
      </x:c>
      <x:c r="C4" s="32" t="n">
        <x:v>4.417643294128758</x:v>
      </x:c>
      <x:c r="D4" s="32" t="n">
        <x:f>IF(C4="","",(1/'Metadata'!$B$5)^(C4-1))</x:f>
        <x:v>2616.0334579510527</x:v>
      </x:c>
      <x:c r="E4" s="31" t="n">
        <x:f>IF(B4=0,"",B4*D4)</x:f>
        <x:v>635763.7749066709</x:v>
      </x:c>
    </x:row>
    <x:row r="5" ht="18" customHeight="1">
      <x:c r="A5" s="24" t="str">
        <x:v>Large reef assoc. fish (&gt;=90 cm)</x:v>
      </x:c>
      <x:c r="B5" s="31" t="n">
        <x:v>2.6173444127999996</x:v>
      </x:c>
      <x:c r="C5" s="32" t="n">
        <x:v>4.266481290205844</x:v>
      </x:c>
      <x:c r="D5" s="32" t="n">
        <x:f>IF(C5="","",(1/'Metadata'!$B$5)^(C5-1))</x:f>
        <x:v>1847.0612201485358</x:v>
      </x:c>
      <x:c r="E5" s="31" t="n">
        <x:f>IF(B5=0,"",B5*D5)</x:f>
        <x:v>4834.39536465532</x:v>
      </x:c>
    </x:row>
    <x:row r="6" ht="18" customHeight="1">
      <x:c r="A6" s="24" t="str">
        <x:v>Large sharks (&gt;=90 cm)</x:v>
      </x:c>
      <x:c r="B6" s="31" t="n">
        <x:v>0.041089753699999995</x:v>
      </x:c>
      <x:c r="C6" s="32" t="n">
        <x:v>4.264956816399705</x:v>
      </x:c>
      <x:c r="D6" s="32" t="n">
        <x:f>IF(C6="","",(1/'Metadata'!$B$5)^(C6-1))</x:f>
        <x:v>1840.5889754031634</x:v>
      </x:c>
      <x:c r="E6" s="31" t="n">
        <x:f>IF(B6=0,"",B6*D6)</x:f>
        <x:v>75.62934766225133</x:v>
      </x:c>
    </x:row>
    <x:row r="7" ht="18" customHeight="1">
      <x:c r="A7" s="24" t="str">
        <x:v>Medium demersals (30 - 89 cm)</x:v>
      </x:c>
      <x:c r="B7" s="31" t="n">
        <x:v>7183.3816884486005</x:v>
      </x:c>
      <x:c r="C7" s="32" t="n">
        <x:v>3.2800035928723013</x:v>
      </x:c>
      <x:c r="D7" s="32" t="n">
        <x:f>IF(C7="","",(1/'Metadata'!$B$5)^(C7-1))</x:f>
        <x:v>190.54764817033785</x:v>
      </x:c>
      <x:c r="E7" s="31" t="n">
        <x:f>IF(B7=0,"",B7*D7)</x:f>
        <x:v>1368776.4866437514</x:v>
      </x:c>
    </x:row>
    <x:row r="8" ht="18" customHeight="1">
      <x:c r="A8" s="24" t="str">
        <x:v>Medium pelagics (30 - 89 cm)</x:v>
      </x:c>
      <x:c r="B8" s="31" t="n">
        <x:v>0.4336191074</x:v>
      </x:c>
      <x:c r="C8" s="32" t="n">
        <x:v>4.20216086505878</x:v>
      </x:c>
      <x:c r="D8" s="32" t="n">
        <x:f>IF(C8="","",(1/'Metadata'!$B$5)^(C8-1))</x:f>
        <x:v>1592.7985991382386</x:v>
      </x:c>
      <x:c r="E8" s="31" t="n">
        <x:f>IF(B8=0,"",B8*D8)</x:f>
        <x:v>690.6679068262935</x:v>
      </x:c>
    </x:row>
    <x:row r="9" ht="18" customHeight="1">
      <x:c r="A9" s="24" t="str">
        <x:v>Medium reef assoc. fish (30 - 89 cm)</x:v>
      </x:c>
      <x:c r="B9" s="31" t="n">
        <x:v>2.701005531</x:v>
      </x:c>
      <x:c r="C9" s="32" t="n">
        <x:v>3.7303117099088974</x:v>
      </x:c>
      <x:c r="D9" s="32" t="n">
        <x:f>IF(C9="","",(1/'Metadata'!$B$5)^(C9-1))</x:f>
        <x:v>537.4173831730425</x:v>
      </x:c>
      <x:c r="E9" s="31" t="n">
        <x:f>IF(B9=0,"",B9*D9)</x:f>
        <x:v>1451.567324405934</x:v>
      </x:c>
    </x:row>
    <x:row r="10" ht="18" customHeight="1">
      <x:c r="A10" s="24" t="str">
        <x:v>Small pelagics (&lt;30 cm)</x:v>
      </x:c>
      <x:c r="B10" s="31" t="n">
        <x:v>5.460201525</x:v>
      </x:c>
      <x:c r="C10" s="32" t="n">
        <x:v>3.16</x:v>
      </x:c>
      <x:c r="D10" s="32" t="n">
        <x:f>IF(C10="","",(1/'Metadata'!$B$5)^(C10-1))</x:f>
        <x:v>144.5439770745928</x:v>
      </x:c>
      <x:c r="E10" s="31" t="n">
        <x:f>IF(B10=0,"",B10*D10)</x:f>
        <x:v>789.2392440522565</x:v>
      </x:c>
    </x:row>
    <x:row r="11" ht="18" customHeight="1">
      <x:c r="A11" s="24" t="str">
        <x:v>Small reef assoc. fish (&lt;30 cm)</x:v>
      </x:c>
      <x:c r="B11" s="31" t="n">
        <x:v>0.390018112</x:v>
      </x:c>
      <x:c r="C11" s="32" t="n">
        <x:v>2.64</x:v>
      </x:c>
      <x:c r="D11" s="32" t="n">
        <x:f>IF(C11="","",(1/'Metadata'!$B$5)^(C11-1))</x:f>
        <x:v>43.65158322401661</x:v>
      </x:c>
      <x:c r="E11" s="31" t="n">
        <x:f>IF(B11=0,"",B11*D11)</x:f>
        <x:v>17.024908074841832</x:v>
      </x:c>
    </x:row>
  </x:sheetData>
  <x:pageMargins left="0.7" right="0.7" top="0.75" bottom="0.75" header="0.3" footer="0.3"/>
  <x:tableParts count="1">
    <x:tablePart xmlns:r="http://schemas.openxmlformats.org/officeDocument/2006/relationships" r:id="R1a6605a6f4cc41d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EEZ_969</x:v>
      </x:c>
      <x:c r="B2" s="24" t="str">
        <x:v>raw_filtered_tonnes</x:v>
      </x:c>
      <x:c r="C2" s="24" t="n">
        <x:v>7461.650372688001</x:v>
      </x:c>
      <x:c r="D2" s="24" t="str">
        <x:v>tonnes</x:v>
      </x:c>
    </x:row>
    <x:row r="3" ht="18" customHeight="1">
      <x:c r="A3" s="24" t="str">
        <x:v>EEZ_969</x:v>
      </x:c>
      <x:c r="B3" s="24" t="str">
        <x:v>species_catch_tonnes</x:v>
      </x:c>
      <x:c r="C3" s="24" t="n">
        <x:v>7461.650372688001</x:v>
      </x:c>
      <x:c r="D3" s="24" t="str">
        <x:v>tonnes</x:v>
      </x:c>
    </x:row>
    <x:row r="4" ht="18" customHeight="1">
      <x:c r="A4" s="24" t="str">
        <x:v>EEZ_969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EEZ_969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EEZ_969</x:v>
      </x:c>
      <x:c r="B6" s="24" t="str">
        <x:v>matched_catch_tonnes</x:v>
      </x:c>
      <x:c r="C6" s="24" t="n">
        <x:v>7461.650372688001</x:v>
      </x:c>
      <x:c r="D6" s="24" t="str">
        <x:v>tonnes</x:v>
      </x:c>
    </x:row>
    <x:row r="7" ht="18" customHeight="1">
      <x:c r="A7" s="24" t="str">
        <x:v>EEZ_969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EEZ_969</x:v>
      </x:c>
      <x:c r="B8" s="24" t="str">
        <x:v>taxa_count</x:v>
      </x:c>
      <x:c r="C8" s="24" t="n">
        <x:v>39</x:v>
      </x:c>
      <x:c r="D8" s="24" t="str">
        <x:v>count</x:v>
      </x:c>
    </x:row>
    <x:row r="9" ht="18" customHeight="1">
      <x:c r="A9" s="24" t="str">
        <x:v>EEZ_969</x:v>
      </x:c>
      <x:c r="B9" s="24" t="str">
        <x:v>matched_taxa_count</x:v>
      </x:c>
      <x:c r="C9" s="24" t="n">
        <x:v>39</x:v>
      </x:c>
      <x:c r="D9" s="24" t="str">
        <x:v>count</x:v>
      </x:c>
    </x:row>
    <x:row r="10" ht="18" customHeight="1">
      <x:c r="A10" s="24" t="str">
        <x:v>EEZ_969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EEZ_969</x:v>
      </x:c>
      <x:c r="B11" s="24" t="str">
        <x:v>species_ppr</x:v>
      </x:c>
      <x:c r="C11" s="24" t="n">
        <x:v>2047092.4737868535</x:v>
      </x:c>
      <x:c r="D11" s="24" t="str">
        <x:v>tonnes_primary_production_equivalent</x:v>
      </x:c>
    </x:row>
    <x:row r="12" ht="18" customHeight="1">
      <x:c r="A12" s="24" t="str">
        <x:v>EEZ_969</x:v>
      </x:c>
      <x:c r="B12" s="24" t="str">
        <x:v>commercial_ppr</x:v>
      </x:c>
      <x:c r="C12" s="24" t="n">
        <x:v>2037405.1001789358</x:v>
      </x:c>
      <x:c r="D12" s="24" t="str">
        <x:v>tonnes_primary_production_equivalent</x:v>
      </x:c>
    </x:row>
    <x:row r="13" ht="18" customHeight="1">
      <x:c r="A13" s="24" t="str">
        <x:v>EEZ_969</x:v>
      </x:c>
      <x:c r="B13" s="24" t="str">
        <x:v>functional_ppr</x:v>
      </x:c>
      <x:c r="C13" s="24" t="n">
        <x:v>2041401.5790448596</x:v>
      </x:c>
      <x:c r="D13" s="24" t="str">
        <x:v>tonnes_primary_production_equivalent</x:v>
      </x:c>
    </x:row>
    <x:row r="14" ht="18" customHeight="1">
      <x:c r="A14" s="24" t="str">
        <x:v>EEZ_969</x:v>
      </x:c>
      <x:c r="B14" s="24" t="str">
        <x:v>commercial_ppr_difference</x:v>
      </x:c>
      <x:c r="C14" s="24" t="n">
        <x:v>-9687.373607917689</x:v>
      </x:c>
      <x:c r="D14" s="24" t="str">
        <x:v>tonnes_primary_production_equivalent</x:v>
      </x:c>
    </x:row>
    <x:row r="15" ht="18" customHeight="1">
      <x:c r="A15" s="24" t="str">
        <x:v>EEZ_969</x:v>
      </x:c>
      <x:c r="B15" s="24" t="str">
        <x:v>functional_ppr_difference</x:v>
      </x:c>
      <x:c r="C15" s="24" t="n">
        <x:v>-5690.894741993863</x:v>
      </x:c>
      <x:c r="D15" s="24" t="str">
        <x:v>tonnes_primary_production_equivalent</x:v>
      </x:c>
    </x:row>
    <x:row r="16" ht="18" customHeight="1">
      <x:c r="A16" s="24" t="str">
        <x:v>EEZ_969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EEZ_969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719123180f047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EEZ_969 - Fernando de Noronha (Brazil)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EEZ_969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raw_data/SAU_downloads/EEZ_969-catch.zip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