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33e3012a3945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4134858bd6444b8"/>
    <x:sheet xmlns:r="http://schemas.openxmlformats.org/officeDocument/2006/relationships" name="Commercial" sheetId="2" r:id="Rc89327a717264cd3"/>
    <x:sheet xmlns:r="http://schemas.openxmlformats.org/officeDocument/2006/relationships" name="Functional" sheetId="3" r:id="R0f82c50081054fc7"/>
    <x:sheet xmlns:r="http://schemas.openxmlformats.org/officeDocument/2006/relationships" name="Missing TL" sheetId="4" r:id="R1200f06c9a714158"/>
    <x:sheet xmlns:r="http://schemas.openxmlformats.org/officeDocument/2006/relationships" name="Validation" sheetId="5" r:id="Rcfbfd266cdb543c0"/>
    <x:sheet xmlns:r="http://schemas.openxmlformats.org/officeDocument/2006/relationships" name="Metadata" sheetId="6" r:id="Rad2a37ccb64c45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c8709e28c54266" /><Relationship Type="http://schemas.openxmlformats.org/officeDocument/2006/relationships/theme" Target="/xl/theme/theme1.xml" Id="R0ba6a2925e364a93" /><Relationship Type="http://schemas.microsoft.com/office/2022/11/relationships/FeaturePropertyBag" Target="/xl/featurePropertyBag/featurePropertyBag.xml" Id="R039c82c535274ac5" /><Relationship Type="http://schemas.openxmlformats.org/officeDocument/2006/relationships/sharedStrings" Target="/xl/sharedStrings.xml" Id="R1bbf9a42e7ac4593" /><Relationship Type="http://schemas.openxmlformats.org/officeDocument/2006/relationships/worksheet" Target="/xl/worksheets/sheet1.xml" Id="R94134858bd6444b8" /><Relationship Type="http://schemas.openxmlformats.org/officeDocument/2006/relationships/worksheet" Target="/xl/worksheets/sheet2.xml" Id="Rc89327a717264cd3" /><Relationship Type="http://schemas.openxmlformats.org/officeDocument/2006/relationships/worksheet" Target="/xl/worksheets/sheet3.xml" Id="R0f82c50081054fc7" /><Relationship Type="http://schemas.openxmlformats.org/officeDocument/2006/relationships/worksheet" Target="/xl/worksheets/sheet4.xml" Id="R1200f06c9a714158" /><Relationship Type="http://schemas.openxmlformats.org/officeDocument/2006/relationships/worksheet" Target="/xl/worksheets/sheet5.xml" Id="Rcfbfd266cdb543c0" /><Relationship Type="http://schemas.openxmlformats.org/officeDocument/2006/relationships/worksheet" Target="/xl/worksheets/sheet6.xml" Id="Rad2a37ccb64c45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40SpeciesTable" displayName="EEZ440SpeciesTable" ref="A1:U44" headerRowCount="1" totalsRowCount="0" totalsRowShown="0">
  <x:autoFilter ref="A1:U4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40CommercialTable" displayName="EEZ440CommercialTable" ref="A1:E8" headerRowCount="1" totalsRowCount="0" totalsRowShown="0">
  <x:autoFilter ref="A1:E8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40FunctionalTable" displayName="EEZ440FunctionalTable" ref="A1:E13" headerRowCount="1" totalsRowCount="0" totalsRowShown="0">
  <x:autoFilter ref="A1:E1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40ValidationTable" displayName="EEZ44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45c1dc6c5d4a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b09fcd3abe49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23adda853bd40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e55f3c2ce7432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EEZ_440</x:v>
      </x:c>
      <x:c r="B2" s="24" t="str">
        <x:v>Lithuania</x:v>
      </x:c>
      <x:c r="C2" s="24" t="str">
        <x:v>EEZ</x:v>
      </x:c>
      <x:c r="D2" s="30" t="n">
        <x:v>2019</x:v>
      </x:c>
      <x:c r="E2" s="24" t="str">
        <x:v>Sprattus sprattus</x:v>
      </x:c>
      <x:c r="F2" s="24" t="str">
        <x:v>European sprat</x:v>
      </x:c>
      <x:c r="G2" s="24" t="str">
        <x:v>Small pelagics (&lt;30 cm)</x:v>
      </x:c>
      <x:c r="H2" s="24" t="str">
        <x:v>Herring-likes</x:v>
      </x:c>
      <x:c r="I2" s="31" t="n">
        <x:v>19911.6396315782</x:v>
      </x:c>
      <x:c r="J2" s="31" t="n">
        <x:v>19155.2790807866</x:v>
      </x:c>
      <x:c r="K2" s="31" t="n">
        <x:v>756.3605507916001</x:v>
      </x:c>
      <x:c r="L2" s="31" t="n">
        <x:v>16622.1838700037</x:v>
      </x:c>
      <x:c r="M2" s="31" t="n">
        <x:v>3289.4557615745002</x:v>
      </x:c>
      <x:c r="N2" s="24" t="str">
        <x:v>sprattus sprattus</x:v>
      </x:c>
      <x:c r="O2" s="32" t="n">
        <x:v>3.01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Sprattus sprattus</x:v>
      </x:c>
      <x:c r="T2" s="32" t="n">
        <x:f>IF(O2="","",(1/'Metadata'!$B$5)^(O2-1))</x:f>
        <x:v>102.32929922807536</x:v>
      </x:c>
      <x:c r="U2" s="31" t="n">
        <x:f>IF(T2="","",I2*T2)</x:f>
        <x:v>2037544.1299813697</x:v>
      </x:c>
    </x:row>
    <x:row r="3" ht="18" customHeight="1">
      <x:c r="A3" s="24" t="str">
        <x:v>EEZ_440</x:v>
      </x:c>
      <x:c r="B3" s="24" t="str">
        <x:v>Lithuania</x:v>
      </x:c>
      <x:c r="C3" s="24" t="str">
        <x:v>EEZ</x:v>
      </x:c>
      <x:c r="D3" s="30" t="n">
        <x:v>2019</x:v>
      </x:c>
      <x:c r="E3" s="24" t="str">
        <x:v>Clupea harengus</x:v>
      </x:c>
      <x:c r="F3" s="24" t="str">
        <x:v>Atlantic herring</x:v>
      </x:c>
      <x:c r="G3" s="24" t="str">
        <x:v>Medium pelagics (30 - 89 cm)</x:v>
      </x:c>
      <x:c r="H3" s="24" t="str">
        <x:v>Herring-likes</x:v>
      </x:c>
      <x:c r="I3" s="31" t="n">
        <x:v>8974.9791332216</x:v>
      </x:c>
      <x:c r="J3" s="31" t="n">
        <x:v>8765.7582990402</x:v>
      </x:c>
      <x:c r="K3" s="31" t="n">
        <x:v>209.2208341814</x:v>
      </x:c>
      <x:c r="L3" s="31" t="n">
        <x:v>6195.1095862731</x:v>
      </x:c>
      <x:c r="M3" s="31" t="n">
        <x:v>2779.8695469485</x:v>
      </x:c>
      <x:c r="N3" s="24" t="str">
        <x:v>clupea harengus</x:v>
      </x:c>
      <x:c r="O3" s="32" t="n">
        <x:v>3.38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Clupea harengus</x:v>
      </x:c>
      <x:c r="T3" s="32" t="n">
        <x:f>IF(O3="","",(1/'Metadata'!$B$5)^(O3-1))</x:f>
        <x:v>239.88329190194898</x:v>
      </x:c>
      <x:c r="U3" s="31" t="n">
        <x:f>IF(T3="","",I3*T3)</x:f>
        <x:v>2152947.539228498</x:v>
      </x:c>
    </x:row>
    <x:row r="4" ht="18" customHeight="1">
      <x:c r="A4" s="24" t="str">
        <x:v>EEZ_440</x:v>
      </x:c>
      <x:c r="B4" s="24" t="str">
        <x:v>Lithuania</x:v>
      </x:c>
      <x:c r="C4" s="24" t="str">
        <x:v>EEZ</x:v>
      </x:c>
      <x:c r="D4" s="30" t="n">
        <x:v>2019</x:v>
      </x:c>
      <x:c r="E4" s="24" t="str">
        <x:v>Gadus morhua</x:v>
      </x:c>
      <x:c r="F4" s="24" t="str">
        <x:v>Atlantic cod</x:v>
      </x:c>
      <x:c r="G4" s="24" t="str">
        <x:v>Large benthopelagics (&gt;=90 cm)</x:v>
      </x:c>
      <x:c r="H4" s="24" t="str">
        <x:v>Cod-likes</x:v>
      </x:c>
      <x:c r="I4" s="31" t="n">
        <x:v>4055.2459036179</x:v>
      </x:c>
      <x:c r="J4" s="31" t="n">
        <x:v>3662.9627498557998</x:v>
      </x:c>
      <x:c r="K4" s="31" t="n">
        <x:v>392.2831537621</x:v>
      </x:c>
      <x:c r="L4" s="31" t="n">
        <x:v>809.4377893397</x:v>
      </x:c>
      <x:c r="M4" s="31" t="n">
        <x:v>3245.8081142782</x:v>
      </x:c>
      <x:c r="N4" s="24" t="str">
        <x:v>gadus morhua</x:v>
      </x:c>
      <x:c r="O4" s="32" t="n">
        <x:v>4.09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Gadus morhua</x:v>
      </x:c>
      <x:c r="T4" s="32" t="n">
        <x:f>IF(O4="","",(1/'Metadata'!$B$5)^(O4-1))</x:f>
        <x:v>1230.268770812381</x:v>
      </x:c>
      <x:c r="U4" s="31" t="n">
        <x:f>IF(T4="","",I4*T4)</x:f>
        <x:v>4989042.393185937</x:v>
      </x:c>
    </x:row>
    <x:row r="5" ht="18" customHeight="1">
      <x:c r="A5" s="24" t="str">
        <x:v>EEZ_440</x:v>
      </x:c>
      <x:c r="B5" s="24" t="str">
        <x:v>Lithuania</x:v>
      </x:c>
      <x:c r="C5" s="24" t="str">
        <x:v>EEZ</x:v>
      </x:c>
      <x:c r="D5" s="30" t="n">
        <x:v>2019</x:v>
      </x:c>
      <x:c r="E5" s="24" t="str">
        <x:v>Platichthys flesus</x:v>
      </x:c>
      <x:c r="F5" s="24" t="str">
        <x:v>European flounder</x:v>
      </x:c>
      <x:c r="G5" s="24" t="str">
        <x:v>Small to medium flatfishes (&lt;90 cm)</x:v>
      </x:c>
      <x:c r="H5" s="24" t="str">
        <x:v>Flatfishes</x:v>
      </x:c>
      <x:c r="I5" s="31" t="n">
        <x:v>575.8471561268</x:v>
      </x:c>
      <x:c r="J5" s="31" t="n">
        <x:v>358.2664439012</x:v>
      </x:c>
      <x:c r="K5" s="31" t="n">
        <x:v>217.5807122256</x:v>
      </x:c>
      <x:c r="L5" s="31" t="n">
        <x:v>290.39529751559996</x:v>
      </x:c>
      <x:c r="M5" s="31" t="n">
        <x:v>285.4518586112</x:v>
      </x:c>
      <x:c r="N5" s="24" t="str">
        <x:v>platichthys flesus</x:v>
      </x:c>
      <x:c r="O5" s="32" t="n">
        <x:v>3.32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Platichthys flesus</x:v>
      </x:c>
      <x:c r="T5" s="32" t="n">
        <x:f>IF(O5="","",(1/'Metadata'!$B$5)^(O5-1))</x:f>
        <x:v>208.92961308540387</x:v>
      </x:c>
      <x:c r="U5" s="31" t="n">
        <x:f>IF(T5="","",I5*T5)</x:f>
        <x:v>120311.52352590248</x:v>
      </x:c>
    </x:row>
    <x:row r="6" ht="18" customHeight="1">
      <x:c r="A6" s="24" t="str">
        <x:v>EEZ_440</x:v>
      </x:c>
      <x:c r="B6" s="24" t="str">
        <x:v>Lithuania</x:v>
      </x:c>
      <x:c r="C6" s="24" t="str">
        <x:v>EEZ</x:v>
      </x:c>
      <x:c r="D6" s="30" t="n">
        <x:v>2019</x:v>
      </x:c>
      <x:c r="E6" s="24" t="str">
        <x:v>Scophthalmidae</x:v>
      </x:c>
      <x:c r="F6" s="24" t="str">
        <x:v>Turbots</x:v>
      </x:c>
      <x:c r="G6" s="24" t="str">
        <x:v>Small to medium flatfishes (&lt;90 cm)</x:v>
      </x:c>
      <x:c r="H6" s="24" t="str">
        <x:v>Flatfishes</x:v>
      </x:c>
      <x:c r="I6" s="31" t="n">
        <x:v>384.26488092820006</x:v>
      </x:c>
      <x:c r="J6" s="31" t="n">
        <x:v>383.83830428130005</x:v>
      </x:c>
      <x:c r="K6" s="31" t="n">
        <x:v>0.4265766469</x:v>
      </x:c>
      <x:c r="L6" s="31" t="n">
        <x:v>0</x:v>
      </x:c>
      <x:c r="M6" s="31" t="n">
        <x:v>384.26488092820006</x:v>
      </x:c>
      <x:c r="N6" s="24" t="str">
        <x:v>scophthalmidae</x:v>
      </x:c>
      <x:c r="O6" s="32" t="n">
        <x:v>3.71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Scophthalmidae</x:v>
      </x:c>
      <x:c r="T6" s="32" t="n">
        <x:f>IF(O6="","",(1/'Metadata'!$B$5)^(O6-1))</x:f>
        <x:v>512.8613839913648</x:v>
      </x:c>
      <x:c r="U6" s="31" t="n">
        <x:f>IF(T6="","",I6*T6)</x:f>
        <x:v>197074.6186521137</x:v>
      </x:c>
    </x:row>
    <x:row r="7" ht="18" customHeight="1">
      <x:c r="A7" s="24" t="str">
        <x:v>EEZ_440</x:v>
      </x:c>
      <x:c r="B7" s="24" t="str">
        <x:v>Lithuania</x:v>
      </x:c>
      <x:c r="C7" s="24" t="str">
        <x:v>EEZ</x:v>
      </x:c>
      <x:c r="D7" s="30" t="n">
        <x:v>2019</x:v>
      </x:c>
      <x:c r="E7" s="24" t="str">
        <x:v>Cyprinidae</x:v>
      </x:c>
      <x:c r="F7" s="24" t="str">
        <x:v>Carps, barbels, other cyprinids</x:v>
      </x:c>
      <x:c r="G7" s="24" t="str">
        <x:v>Medium demersals (30 - 89 cm)</x:v>
      </x:c>
      <x:c r="H7" s="24" t="str">
        <x:v>Other fishes &amp; inverts</x:v>
      </x:c>
      <x:c r="I7" s="31" t="n">
        <x:v>237.15656121159998</x:v>
      </x:c>
      <x:c r="J7" s="31" t="n">
        <x:v>229.86591150699996</x:v>
      </x:c>
      <x:c r="K7" s="31" t="n">
        <x:v>7.2906497046</x:v>
      </x:c>
      <x:c r="L7" s="31" t="n">
        <x:v>218.09838589459997</x:v>
      </x:c>
      <x:c r="M7" s="31" t="n">
        <x:v>19.058175317</x:v>
      </x:c>
      <x:c r="N7" s="24" t="str">
        <x:v>cyprinidae</x:v>
      </x:c>
      <x:c r="O7" s="32" t="n">
        <x:v>2.8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Cyprinidae</x:v>
      </x:c>
      <x:c r="T7" s="32" t="n">
        <x:f>IF(O7="","",(1/'Metadata'!$B$5)^(O7-1))</x:f>
        <x:v>63.0957344480193</x:v>
      </x:c>
      <x:c r="U7" s="31" t="n">
        <x:f>IF(T7="","",I7*T7)</x:f>
        <x:v>14963.567408812547</x:v>
      </x:c>
    </x:row>
    <x:row r="8" ht="18" customHeight="1">
      <x:c r="A8" s="24" t="str">
        <x:v>EEZ_440</x:v>
      </x:c>
      <x:c r="B8" s="24" t="str">
        <x:v>Lithuania</x:v>
      </x:c>
      <x:c r="C8" s="24" t="str">
        <x:v>EEZ</x:v>
      </x:c>
      <x:c r="D8" s="30" t="n">
        <x:v>2019</x:v>
      </x:c>
      <x:c r="E8" s="24" t="str">
        <x:v>Osmerus eperlanus</x:v>
      </x:c>
      <x:c r="F8" s="24" t="str">
        <x:v>European smelt</x:v>
      </x:c>
      <x:c r="G8" s="24" t="str">
        <x:v>Medium pelagics (30 - 89 cm)</x:v>
      </x:c>
      <x:c r="H8" s="24" t="str">
        <x:v>Salmon, smelts, etc</x:v>
      </x:c>
      <x:c r="I8" s="31" t="n">
        <x:v>116.0230014185</x:v>
      </x:c>
      <x:c r="J8" s="31" t="n">
        <x:v>107.4164396022</x:v>
      </x:c>
      <x:c r="K8" s="31" t="n">
        <x:v>8.6065618163</x:v>
      </x:c>
      <x:c r="L8" s="31" t="n">
        <x:v>93.5688142292</x:v>
      </x:c>
      <x:c r="M8" s="31" t="n">
        <x:v>22.4541871893</x:v>
      </x:c>
      <x:c r="N8" s="24" t="str">
        <x:v>osmerus eperlanus</x:v>
      </x:c>
      <x:c r="O8" s="32" t="n">
        <x:v>3.46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Osmerus eperlanus</x:v>
      </x:c>
      <x:c r="T8" s="32" t="n">
        <x:f>IF(O8="","",(1/'Metadata'!$B$5)^(O8-1))</x:f>
        <x:v>288.40315031266056</x:v>
      </x:c>
      <x:c r="U8" s="31" t="n">
        <x:f>IF(T8="","",I8*T8)</x:f>
        <x:v>33461.399117825684</x:v>
      </x:c>
    </x:row>
    <x:row r="9" ht="18" customHeight="1">
      <x:c r="A9" s="24" t="str">
        <x:v>EEZ_440</x:v>
      </x:c>
      <x:c r="B9" s="24" t="str">
        <x:v>Lithuania</x:v>
      </x:c>
      <x:c r="C9" s="24" t="str">
        <x:v>EEZ</x:v>
      </x:c>
      <x:c r="D9" s="30" t="n">
        <x:v>2019</x:v>
      </x:c>
      <x:c r="E9" s="24" t="str">
        <x:v>Gobiidae</x:v>
      </x:c>
      <x:c r="F9" s="24" t="str">
        <x:v>Gobies</x:v>
      </x:c>
      <x:c r="G9" s="24" t="str">
        <x:v>Small reef assoc. fish (&lt;30 cm)</x:v>
      </x:c>
      <x:c r="H9" s="24" t="str">
        <x:v>Perch-likes</x:v>
      </x:c>
      <x:c r="I9" s="31" t="n">
        <x:v>98.5385142844</x:v>
      </x:c>
      <x:c r="J9" s="31" t="n">
        <x:v>80.139723336</x:v>
      </x:c>
      <x:c r="K9" s="31" t="n">
        <x:v>18.3987909484</x:v>
      </x:c>
      <x:c r="L9" s="31" t="n">
        <x:v>53.230176880500004</x:v>
      </x:c>
      <x:c r="M9" s="31" t="n">
        <x:v>45.3083374039</x:v>
      </x:c>
      <x:c r="N9" s="24" t="str">
        <x:v>gobiidae</x:v>
      </x:c>
      <x:c r="O9" s="32" t="n">
        <x:v>3.11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Gobiidae</x:v>
      </x:c>
      <x:c r="T9" s="32" t="n">
        <x:f>IF(O9="","",(1/'Metadata'!$B$5)^(O9-1))</x:f>
        <x:v>128.82495516931337</x:v>
      </x:c>
      <x:c r="U9" s="31" t="n">
        <x:f>IF(T9="","",I9*T9)</x:f>
        <x:v>12694.219685138574</x:v>
      </x:c>
    </x:row>
    <x:row r="10" ht="18" customHeight="1">
      <x:c r="A10" s="24" t="str">
        <x:v>EEZ_440</x:v>
      </x:c>
      <x:c r="B10" s="24" t="str">
        <x:v>Lithuania</x:v>
      </x:c>
      <x:c r="C10" s="24" t="str">
        <x:v>EEZ</x:v>
      </x:c>
      <x:c r="D10" s="30" t="n">
        <x:v>2019</x:v>
      </x:c>
      <x:c r="E10" s="24" t="str">
        <x:v>Sander lucioperca</x:v>
      </x:c>
      <x:c r="F10" s="24" t="str">
        <x:v>Pike-perch</x:v>
      </x:c>
      <x:c r="G10" s="24" t="str">
        <x:v>Large pelagics (&gt;=90 cm)</x:v>
      </x:c>
      <x:c r="H10" s="24" t="str">
        <x:v>Perch-likes</x:v>
      </x:c>
      <x:c r="I10" s="31" t="n">
        <x:v>79.06630593940001</x:v>
      </x:c>
      <x:c r="J10" s="31" t="n">
        <x:v>78.9677278699</x:v>
      </x:c>
      <x:c r="K10" s="31" t="n">
        <x:v>0.0985780695</x:v>
      </x:c>
      <x:c r="L10" s="31" t="n">
        <x:v>77.7522282858</x:v>
      </x:c>
      <x:c r="M10" s="31" t="n">
        <x:v>1.3140776535999998</x:v>
      </x:c>
      <x:c r="N10" s="24" t="str">
        <x:v>sander lucioperca</x:v>
      </x:c>
      <x:c r="O10" s="32" t="n">
        <x:v>4.04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Sander lucioperca</x:v>
      </x:c>
      <x:c r="T10" s="32" t="n">
        <x:f>IF(O10="","",(1/'Metadata'!$B$5)^(O10-1))</x:f>
        <x:v>1096.4781961431852</x:v>
      </x:c>
      <x:c r="U10" s="31" t="n">
        <x:f>IF(T10="","",I10*T10)</x:f>
        <x:v>86694.48051213853</x:v>
      </x:c>
    </x:row>
    <x:row r="11" ht="18" customHeight="1">
      <x:c r="A11" s="24" t="str">
        <x:v>EEZ_440</x:v>
      </x:c>
      <x:c r="B11" s="24" t="str">
        <x:v>Lithuania</x:v>
      </x:c>
      <x:c r="C11" s="24" t="str">
        <x:v>EEZ</x:v>
      </x:c>
      <x:c r="D11" s="30" t="n">
        <x:v>2019</x:v>
      </x:c>
      <x:c r="E11" s="24" t="str">
        <x:v>Pelecus cultratus</x:v>
      </x:c>
      <x:c r="F11" s="24" t="str">
        <x:v>Sichel</x:v>
      </x:c>
      <x:c r="G11" s="24" t="str">
        <x:v>Medium pelagics (30 - 89 cm)</x:v>
      </x:c>
      <x:c r="H11" s="24" t="str">
        <x:v>Other fishes &amp; inverts</x:v>
      </x:c>
      <x:c r="I11" s="31" t="n">
        <x:v>67.2501920179</x:v>
      </x:c>
      <x:c r="J11" s="31" t="n">
        <x:v>63.62300337919999</x:v>
      </x:c>
      <x:c r="K11" s="31" t="n">
        <x:v>3.6271886387</x:v>
      </x:c>
      <x:c r="L11" s="31" t="n">
        <x:v>56.613120907799996</x:v>
      </x:c>
      <x:c r="M11" s="31" t="n">
        <x:v>10.637071110099999</x:v>
      </x:c>
      <x:c r="N11" s="24" t="str">
        <x:v>pelecus cultratus</x:v>
      </x:c>
      <x:c r="O11" s="32" t="n">
        <x:v>3.33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Pelecus cultratus</x:v>
      </x:c>
      <x:c r="T11" s="32" t="n">
        <x:f>IF(O11="","",(1/'Metadata'!$B$5)^(O11-1))</x:f>
        <x:v>213.79620895022325</x:v>
      </x:c>
      <x:c r="U11" s="31" t="n">
        <x:f>IF(T11="","",I11*T11)</x:f>
        <x:v>14377.836104601585</x:v>
      </x:c>
    </x:row>
    <x:row r="12" ht="18" customHeight="1">
      <x:c r="A12" s="24" t="str">
        <x:v>EEZ_440</x:v>
      </x:c>
      <x:c r="B12" s="24" t="str">
        <x:v>Lithuania</x:v>
      </x:c>
      <x:c r="C12" s="24" t="str">
        <x:v>EEZ</x:v>
      </x:c>
      <x:c r="D12" s="30" t="n">
        <x:v>2019</x:v>
      </x:c>
      <x:c r="E12" s="24" t="str">
        <x:v>Rutilus rutilus</x:v>
      </x:c>
      <x:c r="F12" s="24" t="str">
        <x:v>Roach</x:v>
      </x:c>
      <x:c r="G12" s="24" t="str">
        <x:v>Medium benthopelagics (30 - 89 cm)</x:v>
      </x:c>
      <x:c r="H12" s="24" t="str">
        <x:v>Other fishes &amp; inverts</x:v>
      </x:c>
      <x:c r="I12" s="31" t="n">
        <x:v>59.703435358899995</x:v>
      </x:c>
      <x:c r="J12" s="31" t="n">
        <x:v>56.260995710399996</x:v>
      </x:c>
      <x:c r="K12" s="31" t="n">
        <x:v>3.4424396484999997</x:v>
      </x:c>
      <x:c r="L12" s="31" t="n">
        <x:v>50.140890704099995</x:v>
      </x:c>
      <x:c r="M12" s="31" t="n">
        <x:v>9.5625446548</x:v>
      </x:c>
      <x:c r="N12" s="24" t="str">
        <x:v>rutilus rutilus</x:v>
      </x:c>
      <x:c r="O12" s="32" t="n">
        <x:v>2.96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Rutilus rutilus</x:v>
      </x:c>
      <x:c r="T12" s="32" t="n">
        <x:f>IF(O12="","",(1/'Metadata'!$B$5)^(O12-1))</x:f>
        <x:v>91.20108393559097</x:v>
      </x:c>
      <x:c r="U12" s="31" t="n">
        <x:f>IF(T12="","",I12*T12)</x:f>
        <x:v>5445.018019410169</x:v>
      </x:c>
    </x:row>
    <x:row r="13" ht="18" customHeight="1">
      <x:c r="A13" s="24" t="str">
        <x:v>EEZ_440</x:v>
      </x:c>
      <x:c r="B13" s="24" t="str">
        <x:v>Lithuania</x:v>
      </x:c>
      <x:c r="C13" s="24" t="str">
        <x:v>EEZ</x:v>
      </x:c>
      <x:c r="D13" s="30" t="n">
        <x:v>2019</x:v>
      </x:c>
      <x:c r="E13" s="24" t="str">
        <x:v>Perca fluviatilis</x:v>
      </x:c>
      <x:c r="F13" s="24" t="str">
        <x:v>European perch</x:v>
      </x:c>
      <x:c r="G13" s="24" t="str">
        <x:v>Medium demersals (30 - 89 cm)</x:v>
      </x:c>
      <x:c r="H13" s="24" t="str">
        <x:v>Perch-likes</x:v>
      </x:c>
      <x:c r="I13" s="31" t="n">
        <x:v>41.0534319765</x:v>
      </x:c>
      <x:c r="J13" s="31" t="n">
        <x:v>39.3627150074</x:v>
      </x:c>
      <x:c r="K13" s="31" t="n">
        <x:v>1.6907169691</x:v>
      </x:c>
      <x:c r="L13" s="31" t="n">
        <x:v>35.8825543199</x:v>
      </x:c>
      <x:c r="M13" s="31" t="n">
        <x:v>5.1708776566</x:v>
      </x:c>
      <x:c r="N13" s="24" t="str">
        <x:v>perca fluviatilis</x:v>
      </x:c>
      <x:c r="O13" s="32" t="n">
        <x:v>4.35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Perca fluviatilis</x:v>
      </x:c>
      <x:c r="T13" s="32" t="n">
        <x:f>IF(O13="","",(1/'Metadata'!$B$5)^(O13-1))</x:f>
        <x:v>2238.7211385683377</x:v>
      </x:c>
      <x:c r="U13" s="31" t="n">
        <x:f>IF(T13="","",I13*T13)</x:f>
        <x:v>91907.18597656788</x:v>
      </x:c>
    </x:row>
    <x:row r="14" ht="18" customHeight="1">
      <x:c r="A14" s="24" t="str">
        <x:v>EEZ_440</x:v>
      </x:c>
      <x:c r="B14" s="24" t="str">
        <x:v>Lithuania</x:v>
      </x:c>
      <x:c r="C14" s="24" t="str">
        <x:v>EEZ</x:v>
      </x:c>
      <x:c r="D14" s="30" t="n">
        <x:v>2019</x:v>
      </x:c>
      <x:c r="E14" s="24" t="str">
        <x:v>Belone belone</x:v>
      </x:c>
      <x:c r="F14" s="24" t="str">
        <x:v>Garfish</x:v>
      </x:c>
      <x:c r="G14" s="24" t="str">
        <x:v>Medium pelagics (30 - 89 cm)</x:v>
      </x:c>
      <x:c r="H14" s="24" t="str">
        <x:v>Other fishes &amp; inverts</x:v>
      </x:c>
      <x:c r="I14" s="31" t="n">
        <x:v>23.168066050700002</x:v>
      </x:c>
      <x:c r="J14" s="31" t="n">
        <x:v>22.5930652857</x:v>
      </x:c>
      <x:c r="K14" s="31" t="n">
        <x:v>0.5750007650000001</x:v>
      </x:c>
      <x:c r="L14" s="31" t="n">
        <x:v>21.0275896245</x:v>
      </x:c>
      <x:c r="M14" s="31" t="n">
        <x:v>2.1404764262000002</x:v>
      </x:c>
      <x:c r="N14" s="24" t="str">
        <x:v>belone belone</x:v>
      </x:c>
      <x:c r="O14" s="32" t="n">
        <x:v>4.16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Belone belone</x:v>
      </x:c>
      <x:c r="T14" s="32" t="n">
        <x:f>IF(O14="","",(1/'Metadata'!$B$5)^(O14-1))</x:f>
        <x:v>1445.439770745928</x:v>
      </x:c>
      <x:c r="U14" s="31" t="n">
        <x:f>IF(T14="","",I14*T14)</x:f>
        <x:v>33488.04408095033</x:v>
      </x:c>
    </x:row>
    <x:row r="15" ht="18" customHeight="1">
      <x:c r="A15" s="24" t="str">
        <x:v>EEZ_440</x:v>
      </x:c>
      <x:c r="B15" s="24" t="str">
        <x:v>Lithuania</x:v>
      </x:c>
      <x:c r="C15" s="24" t="str">
        <x:v>EEZ</x:v>
      </x:c>
      <x:c r="D15" s="30" t="n">
        <x:v>2019</x:v>
      </x:c>
      <x:c r="E15" s="24" t="str">
        <x:v>Anguilla anguilla</x:v>
      </x:c>
      <x:c r="F15" s="24" t="str">
        <x:v>European eel</x:v>
      </x:c>
      <x:c r="G15" s="24" t="str">
        <x:v>Large demersals (&gt;=90 cm)</x:v>
      </x:c>
      <x:c r="H15" s="24" t="str">
        <x:v>Other fishes &amp; inverts</x:v>
      </x:c>
      <x:c r="I15" s="31" t="n">
        <x:v>13.425178504800002</x:v>
      </x:c>
      <x:c r="J15" s="31" t="n">
        <x:v>13.295532277600001</x:v>
      </x:c>
      <x:c r="K15" s="31" t="n">
        <x:v>0.12964622720000002</x:v>
      </x:c>
      <x:c r="L15" s="31" t="n">
        <x:v>12.446140980600001</x:v>
      </x:c>
      <x:c r="M15" s="31" t="n">
        <x:v>0.9790375242000001</x:v>
      </x:c>
      <x:c r="N15" s="24" t="str">
        <x:v>anguilla anguilla</x:v>
      </x:c>
      <x:c r="O15" s="32" t="n">
        <x:v>3.55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Anguilla anguilla</x:v>
      </x:c>
      <x:c r="T15" s="32" t="n">
        <x:f>IF(O15="","",(1/'Metadata'!$B$5)^(O15-1))</x:f>
        <x:v>354.8133892335753</x:v>
      </x:c>
      <x:c r="U15" s="31" t="n">
        <x:f>IF(T15="","",I15*T15)</x:f>
        <x:v>4763.433086353832</x:v>
      </x:c>
    </x:row>
    <x:row r="16" ht="18" customHeight="1">
      <x:c r="A16" s="24" t="str">
        <x:v>EEZ_440</x:v>
      </x:c>
      <x:c r="B16" s="24" t="str">
        <x:v>Lithuania</x:v>
      </x:c>
      <x:c r="C16" s="24" t="str">
        <x:v>EEZ</x:v>
      </x:c>
      <x:c r="D16" s="30" t="n">
        <x:v>2019</x:v>
      </x:c>
      <x:c r="E16" s="24" t="str">
        <x:v>Marine fishes not identified</x:v>
      </x:c>
      <x:c r="F16" s="24" t="str">
        <x:v>Marine fishes nei</x:v>
      </x:c>
      <x:c r="G16" s="24" t="str">
        <x:v>Medium demersals (30 - 89 cm)</x:v>
      </x:c>
      <x:c r="H16" s="24" t="str">
        <x:v>Other fishes &amp; inverts</x:v>
      </x:c>
      <x:c r="I16" s="31" t="n">
        <x:v>9.3808396396</x:v>
      </x:c>
      <x:c r="J16" s="31" t="n">
        <x:v>9.3704132252</x:v>
      </x:c>
      <x:c r="K16" s="31" t="n">
        <x:v>0.0104264144</x:v>
      </x:c>
      <x:c r="L16" s="31" t="n">
        <x:v>9.3338179414</x:v>
      </x:c>
      <x:c r="M16" s="31" t="n">
        <x:v>0.0470216982</x:v>
      </x:c>
      <x:c r="N16" s="24" t="str">
        <x:v>marine fishes not identified</x:v>
      </x:c>
      <x:c r="O16" s="32" t="n">
        <x:v>3.28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Marine fishes not identified</x:v>
      </x:c>
      <x:c r="T16" s="32" t="n">
        <x:f>IF(O16="","",(1/'Metadata'!$B$5)^(O16-1))</x:f>
        <x:v>190.54607179632464</x:v>
      </x:c>
      <x:c r="U16" s="31" t="n">
        <x:f>IF(T16="","",I16*T16)</x:f>
        <x:v>1787.4821434770297</x:v>
      </x:c>
    </x:row>
    <x:row r="17" ht="18" customHeight="1">
      <x:c r="A17" s="24" t="str">
        <x:v>EEZ_440</x:v>
      </x:c>
      <x:c r="B17" s="24" t="str">
        <x:v>Lithuania</x:v>
      </x:c>
      <x:c r="C17" s="24" t="str">
        <x:v>EEZ</x:v>
      </x:c>
      <x:c r="D17" s="30" t="n">
        <x:v>2019</x:v>
      </x:c>
      <x:c r="E17" s="24" t="str">
        <x:v>Alosa fallax</x:v>
      </x:c>
      <x:c r="F17" s="24" t="str">
        <x:v>Twaite shad</x:v>
      </x:c>
      <x:c r="G17" s="24" t="str">
        <x:v>Medium pelagics (30 - 89 cm)</x:v>
      </x:c>
      <x:c r="H17" s="24" t="str">
        <x:v>Herring-likes</x:v>
      </x:c>
      <x:c r="I17" s="31" t="n">
        <x:v>9.021391819400002</x:v>
      </x:c>
      <x:c r="J17" s="31" t="n">
        <x:v>8.649712810900002</x:v>
      </x:c>
      <x:c r="K17" s="31" t="n">
        <x:v>0.3716790085</x:v>
      </x:c>
      <x:c r="L17" s="31" t="n">
        <x:v>8.0499438675</x:v>
      </x:c>
      <x:c r="M17" s="31" t="n">
        <x:v>0.9714479519000001</x:v>
      </x:c>
      <x:c r="N17" s="24" t="str">
        <x:v>alosa fallax</x:v>
      </x:c>
      <x:c r="O17" s="32" t="n">
        <x:v>4.03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Alosa fallax</x:v>
      </x:c>
      <x:c r="T17" s="32" t="n">
        <x:f>IF(O17="","",(1/'Metadata'!$B$5)^(O17-1))</x:f>
        <x:v>1071.519305237607</x:v>
      </x:c>
      <x:c r="U17" s="31" t="n">
        <x:f>IF(T17="","",I17*T17)</x:f>
        <x:v>9666.595494599722</x:v>
      </x:c>
    </x:row>
    <x:row r="18" ht="18" customHeight="1">
      <x:c r="A18" s="24" t="str">
        <x:v>EEZ_440</x:v>
      </x:c>
      <x:c r="B18" s="24" t="str">
        <x:v>Lithuania</x:v>
      </x:c>
      <x:c r="C18" s="24" t="str">
        <x:v>EEZ</x:v>
      </x:c>
      <x:c r="D18" s="30" t="n">
        <x:v>2019</x:v>
      </x:c>
      <x:c r="E18" s="24" t="str">
        <x:v>Salmo trutta</x:v>
      </x:c>
      <x:c r="F18" s="24" t="str">
        <x:v>Sea trout</x:v>
      </x:c>
      <x:c r="G18" s="24" t="str">
        <x:v>Large pelagics (&gt;=90 cm)</x:v>
      </x:c>
      <x:c r="H18" s="24" t="str">
        <x:v>Salmon, smelts, etc</x:v>
      </x:c>
      <x:c r="I18" s="31" t="n">
        <x:v>8.5965458174</x:v>
      </x:c>
      <x:c r="J18" s="31" t="n">
        <x:v>8.5941362399</x:v>
      </x:c>
      <x:c r="K18" s="31" t="n">
        <x:v>0.0024095775</x:v>
      </x:c>
      <x:c r="L18" s="31" t="n">
        <x:v>7.362520599199999</x:v>
      </x:c>
      <x:c r="M18" s="31" t="n">
        <x:v>1.2340252182</x:v>
      </x:c>
      <x:c r="N18" s="24" t="str">
        <x:v>salmo trutta</x:v>
      </x:c>
      <x:c r="O18" s="32" t="n">
        <x:v>3.36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Salmo trutta</x:v>
      </x:c>
      <x:c r="T18" s="32" t="n">
        <x:f>IF(O18="","",(1/'Metadata'!$B$5)^(O18-1))</x:f>
        <x:v>229.08676527677724</x:v>
      </x:c>
      <x:c r="U18" s="31" t="n">
        <x:f>IF(T18="","",I18*T18)</x:f>
        <x:v>1969.3548738617746</x:v>
      </x:c>
    </x:row>
    <x:row r="19" ht="18" customHeight="1">
      <x:c r="A19" s="24" t="str">
        <x:v>EEZ_440</x:v>
      </x:c>
      <x:c r="B19" s="24" t="str">
        <x:v>Lithuania</x:v>
      </x:c>
      <x:c r="C19" s="24" t="str">
        <x:v>EEZ</x:v>
      </x:c>
      <x:c r="D19" s="30" t="n">
        <x:v>2019</x:v>
      </x:c>
      <x:c r="E19" s="24" t="str">
        <x:v>Carassius carassius</x:v>
      </x:c>
      <x:c r="F19" s="24" t="str">
        <x:v>Crucian carp</x:v>
      </x:c>
      <x:c r="G19" s="24" t="str">
        <x:v>Medium demersals (30 - 89 cm)</x:v>
      </x:c>
      <x:c r="H19" s="24" t="str">
        <x:v>Other fishes &amp; inverts</x:v>
      </x:c>
      <x:c r="I19" s="31" t="n">
        <x:v>8.4765484575</x:v>
      </x:c>
      <x:c r="J19" s="31" t="n">
        <x:v>8.475917411400001</x:v>
      </x:c>
      <x:c r="K19" s="31" t="n">
        <x:v>0.0006310460999999999</x:v>
      </x:c>
      <x:c r="L19" s="31" t="n">
        <x:v>8.2386961333</x:v>
      </x:c>
      <x:c r="M19" s="31" t="n">
        <x:v>0.2378523242</x:v>
      </x:c>
      <x:c r="N19" s="24" t="str">
        <x:v>carassius carassius</x:v>
      </x:c>
      <x:c r="O19" s="32" t="n">
        <x:v>3.11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Carassius carassius</x:v>
      </x:c>
      <x:c r="T19" s="32" t="n">
        <x:f>IF(O19="","",(1/'Metadata'!$B$5)^(O19-1))</x:f>
        <x:v>128.82495516931337</x:v>
      </x:c>
      <x:c r="U19" s="31" t="n">
        <x:f>IF(T19="","",I19*T19)</x:f>
        <x:v>1091.9909750279498</x:v>
      </x:c>
    </x:row>
    <x:row r="20" ht="18" customHeight="1">
      <x:c r="A20" s="24" t="str">
        <x:v>EEZ_440</x:v>
      </x:c>
      <x:c r="B20" s="24" t="str">
        <x:v>Lithuania</x:v>
      </x:c>
      <x:c r="C20" s="24" t="str">
        <x:v>EEZ</x:v>
      </x:c>
      <x:c r="D20" s="30" t="n">
        <x:v>2019</x:v>
      </x:c>
      <x:c r="E20" s="24" t="str">
        <x:v>Ammodytes tobianus</x:v>
      </x:c>
      <x:c r="F20" s="24" t="str">
        <x:v>Small sandeel</x:v>
      </x:c>
      <x:c r="G20" s="24" t="str">
        <x:v>Small demersals (&lt;30 cm)</x:v>
      </x:c>
      <x:c r="H20" s="24" t="str">
        <x:v>Perch-likes</x:v>
      </x:c>
      <x:c r="I20" s="31" t="n">
        <x:v>7.334488599</x:v>
      </x:c>
      <x:c r="J20" s="31" t="n">
        <x:v>7.334488599</x:v>
      </x:c>
      <x:c r="K20" s="31" t="n">
        <x:v>0</x:v>
      </x:c>
      <x:c r="L20" s="31" t="n">
        <x:v>7.334488599</x:v>
      </x:c>
      <x:c r="M20" s="31" t="n">
        <x:v>0</x:v>
      </x:c>
      <x:c r="N20" s="24" t="str">
        <x:v>ammodytes tobianus</x:v>
      </x:c>
      <x:c r="O20" s="32" t="n">
        <x:v>3.08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Ammodytes tobianus</x:v>
      </x:c>
      <x:c r="T20" s="32" t="n">
        <x:f>IF(O20="","",(1/'Metadata'!$B$5)^(O20-1))</x:f>
        <x:v>120.22644346174131</x:v>
      </x:c>
      <x:c r="U20" s="31" t="n">
        <x:f>IF(T20="","",I20*T20)</x:f>
        <x:v>881.7994788684598</x:v>
      </x:c>
    </x:row>
    <x:row r="21" ht="18" customHeight="1">
      <x:c r="A21" s="24" t="str">
        <x:v>EEZ_440</x:v>
      </x:c>
      <x:c r="B21" s="24" t="str">
        <x:v>Lithuania</x:v>
      </x:c>
      <x:c r="C21" s="24" t="str">
        <x:v>EEZ</x:v>
      </x:c>
      <x:c r="D21" s="30" t="n">
        <x:v>2019</x:v>
      </x:c>
      <x:c r="E21" s="24" t="str">
        <x:v>Perciformes</x:v>
      </x:c>
      <x:c r="F21" s="24" t="str">
        <x:v>Perch-likes</x:v>
      </x:c>
      <x:c r="G21" s="24" t="str">
        <x:v>Medium demersals (30 - 89 cm)</x:v>
      </x:c>
      <x:c r="H21" s="24" t="str">
        <x:v>Perch-likes</x:v>
      </x:c>
      <x:c r="I21" s="31" t="n">
        <x:v>6.0201823857</x:v>
      </x:c>
      <x:c r="J21" s="31" t="n">
        <x:v>3.7170721194</x:v>
      </x:c>
      <x:c r="K21" s="31" t="n">
        <x:v>2.3031102663</x:v>
      </x:c>
      <x:c r="L21" s="31" t="n">
        <x:v>0</x:v>
      </x:c>
      <x:c r="M21" s="31" t="n">
        <x:v>6.0201823857</x:v>
      </x:c>
      <x:c r="N21" s="24" t="str">
        <x:v>perciformes</x:v>
      </x:c>
      <x:c r="O21" s="32" t="n">
        <x:v>3.53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Perciformes</x:v>
      </x:c>
      <x:c r="T21" s="32" t="n">
        <x:f>IF(O21="","",(1/'Metadata'!$B$5)^(O21-1))</x:f>
        <x:v>338.84415613920237</x:v>
      </x:c>
      <x:c r="U21" s="31" t="n">
        <x:f>IF(T21="","",I21*T21)</x:f>
        <x:v>2039.9036202866066</x:v>
      </x:c>
    </x:row>
    <x:row r="22" ht="18" customHeight="1">
      <x:c r="A22" s="24" t="str">
        <x:v>EEZ_440</x:v>
      </x:c>
      <x:c r="B22" s="24" t="str">
        <x:v>Lithuania</x:v>
      </x:c>
      <x:c r="C22" s="24" t="str">
        <x:v>EEZ</x:v>
      </x:c>
      <x:c r="D22" s="30" t="n">
        <x:v>2019</x:v>
      </x:c>
      <x:c r="E22" s="24" t="str">
        <x:v>Scophthalmus maximus</x:v>
      </x:c>
      <x:c r="F22" s="24" t="str">
        <x:v>Turbot</x:v>
      </x:c>
      <x:c r="G22" s="24" t="str">
        <x:v>Large flatfishes (&gt;=90 cm)</x:v>
      </x:c>
      <x:c r="H22" s="24" t="str">
        <x:v>Flatfishes</x:v>
      </x:c>
      <x:c r="I22" s="31" t="n">
        <x:v>5.215690981</x:v>
      </x:c>
      <x:c r="J22" s="31" t="n">
        <x:v>2.4316060847</x:v>
      </x:c>
      <x:c r="K22" s="31" t="n">
        <x:v>2.7840848963</x:v>
      </x:c>
      <x:c r="L22" s="31" t="n">
        <x:v>1.7531629147999999</x:v>
      </x:c>
      <x:c r="M22" s="31" t="n">
        <x:v>3.4625280662</x:v>
      </x:c>
      <x:c r="N22" s="24" t="str">
        <x:v>scophthalmus maximus</x:v>
      </x:c>
      <x:c r="O22" s="32" t="n">
        <x:v>4.36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Scophthalmus maximus</x:v>
      </x:c>
      <x:c r="T22" s="32" t="n">
        <x:f>IF(O22="","",(1/'Metadata'!$B$5)^(O22-1))</x:f>
        <x:v>2290.867652767775</x:v>
      </x:c>
      <x:c r="U22" s="31" t="n">
        <x:f>IF(T22="","",I22*T22)</x:f>
        <x:v>11948.457755205523</x:v>
      </x:c>
    </x:row>
    <x:row r="23" ht="18" customHeight="1">
      <x:c r="A23" s="24" t="str">
        <x:v>EEZ_440</x:v>
      </x:c>
      <x:c r="B23" s="24" t="str">
        <x:v>Lithuania</x:v>
      </x:c>
      <x:c r="C23" s="24" t="str">
        <x:v>EEZ</x:v>
      </x:c>
      <x:c r="D23" s="30" t="n">
        <x:v>2019</x:v>
      </x:c>
      <x:c r="E23" s="24" t="str">
        <x:v>Vimba</x:v>
      </x:c>
      <x:c r="F23" s="24" t="str">
        <x:v>Vimba breams</x:v>
      </x:c>
      <x:c r="G23" s="24" t="str">
        <x:v>Medium demersals (30 - 89 cm)</x:v>
      </x:c>
      <x:c r="H23" s="24" t="str">
        <x:v>Other fishes &amp; inverts</x:v>
      </x:c>
      <x:c r="I23" s="31" t="n">
        <x:v>5.1680667734000005</x:v>
      </x:c>
      <x:c r="J23" s="31" t="n">
        <x:v>4.945191610299999</x:v>
      </x:c>
      <x:c r="K23" s="31" t="n">
        <x:v>0.2228751631</x:v>
      </x:c>
      <x:c r="L23" s="31" t="n">
        <x:v>4.5869590883999996</x:v>
      </x:c>
      <x:c r="M23" s="31" t="n">
        <x:v>0.581107685</x:v>
      </x:c>
      <x:c r="N23" s="24" t="str">
        <x:v>vimba</x:v>
      </x:c>
      <x:c r="O23" s="32" t="n">
        <x:v>3.05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Vimba</x:v>
      </x:c>
      <x:c r="T23" s="32" t="n">
        <x:f>IF(O23="","",(1/'Metadata'!$B$5)^(O23-1))</x:f>
        <x:v>112.2018454301963</x:v>
      </x:c>
      <x:c r="U23" s="31" t="n">
        <x:f>IF(T23="","",I23*T23)</x:f>
        <x:v>579.8666292819602</x:v>
      </x:c>
    </x:row>
    <x:row r="24" ht="18" customHeight="1">
      <x:c r="A24" s="24" t="str">
        <x:v>EEZ_440</x:v>
      </x:c>
      <x:c r="B24" s="24" t="str">
        <x:v>Lithuania</x:v>
      </x:c>
      <x:c r="C24" s="24" t="str">
        <x:v>EEZ</x:v>
      </x:c>
      <x:c r="D24" s="30" t="n">
        <x:v>2019</x:v>
      </x:c>
      <x:c r="E24" s="24" t="str">
        <x:v>Lota lota</x:v>
      </x:c>
      <x:c r="F24" s="24" t="str">
        <x:v>Burbot</x:v>
      </x:c>
      <x:c r="G24" s="24" t="str">
        <x:v>Large demersals (&gt;=90 cm)</x:v>
      </x:c>
      <x:c r="H24" s="24" t="str">
        <x:v>Cod-likes</x:v>
      </x:c>
      <x:c r="I24" s="31" t="n">
        <x:v>2.9721897677</x:v>
      </x:c>
      <x:c r="J24" s="31" t="n">
        <x:v>2.8365200193</x:v>
      </x:c>
      <x:c r="K24" s="31" t="n">
        <x:v>0.1356697484</x:v>
      </x:c>
      <x:c r="L24" s="31" t="n">
        <x:v>2.6169105812000004</x:v>
      </x:c>
      <x:c r="M24" s="31" t="n">
        <x:v>0.3552791865</x:v>
      </x:c>
      <x:c r="N24" s="24" t="str">
        <x:v>lota lota</x:v>
      </x:c>
      <x:c r="O24" s="32" t="n">
        <x:v>3.84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Lota lota</x:v>
      </x:c>
      <x:c r="T24" s="32" t="n">
        <x:f>IF(O24="","",(1/'Metadata'!$B$5)^(O24-1))</x:f>
        <x:v>691.8309709189363</x:v>
      </x:c>
      <x:c r="U24" s="31" t="n">
        <x:f>IF(T24="","",I24*T24)</x:f>
        <x:v>2056.252932743219</x:v>
      </x:c>
    </x:row>
    <x:row r="25" ht="18" customHeight="1">
      <x:c r="A25" s="24" t="str">
        <x:v>EEZ_440</x:v>
      </x:c>
      <x:c r="B25" s="24" t="str">
        <x:v>Lithuania</x:v>
      </x:c>
      <x:c r="C25" s="24" t="str">
        <x:v>EEZ</x:v>
      </x:c>
      <x:c r="D25" s="30" t="n">
        <x:v>2019</x:v>
      </x:c>
      <x:c r="E25" s="24" t="str">
        <x:v>Salmo salar</x:v>
      </x:c>
      <x:c r="F25" s="24" t="str">
        <x:v>Atlantic salmon</x:v>
      </x:c>
      <x:c r="G25" s="24" t="str">
        <x:v>Large benthopelagics (&gt;=90 cm)</x:v>
      </x:c>
      <x:c r="H25" s="24" t="str">
        <x:v>Salmon, smelts, etc</x:v>
      </x:c>
      <x:c r="I25" s="31" t="n">
        <x:v>2.3054914733</x:v>
      </x:c>
      <x:c r="J25" s="31" t="n">
        <x:v>2.2167530241</x:v>
      </x:c>
      <x:c r="K25" s="31" t="n">
        <x:v>0.0887384492</x:v>
      </x:c>
      <x:c r="L25" s="31" t="n">
        <x:v>0.9888354409</x:v>
      </x:c>
      <x:c r="M25" s="31" t="n">
        <x:v>1.3166560324</x:v>
      </x:c>
      <x:c r="N25" s="24" t="str">
        <x:v>salmo salar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Salmo salar</x:v>
      </x:c>
      <x:c r="T25" s="32" t="n">
        <x:f>IF(O25="","",(1/'Metadata'!$B$5)^(O25-1))</x:f>
        <x:v>3162.2776601683795</x:v>
      </x:c>
      <x:c r="U25" s="31" t="n">
        <x:f>IF(T25="","",I25*T25)</x:f>
        <x:v>7290.604181725274</x:v>
      </x:c>
    </x:row>
    <x:row r="26" ht="18" customHeight="1">
      <x:c r="A26" s="24" t="str">
        <x:v>EEZ_440</x:v>
      </x:c>
      <x:c r="B26" s="24" t="str">
        <x:v>Lithuania</x:v>
      </x:c>
      <x:c r="C26" s="24" t="str">
        <x:v>EEZ</x:v>
      </x:c>
      <x:c r="D26" s="30" t="n">
        <x:v>2019</x:v>
      </x:c>
      <x:c r="E26" s="24" t="str">
        <x:v>Esox lucius</x:v>
      </x:c>
      <x:c r="F26" s="24" t="str">
        <x:v>Northern pike</x:v>
      </x:c>
      <x:c r="G26" s="24" t="str">
        <x:v>Large demersals (&gt;=90 cm)</x:v>
      </x:c>
      <x:c r="H26" s="24" t="str">
        <x:v>Salmon, smelts, etc</x:v>
      </x:c>
      <x:c r="I26" s="31" t="n">
        <x:v>1.8046524824999999</x:v>
      </x:c>
      <x:c r="J26" s="31" t="n">
        <x:v>1.7273705912</x:v>
      </x:c>
      <x:c r="K26" s="31" t="n">
        <x:v>0.0772818913</x:v>
      </x:c>
      <x:c r="L26" s="31" t="n">
        <x:v>1.5985526167</x:v>
      </x:c>
      <x:c r="M26" s="31" t="n">
        <x:v>0.2060998658</x:v>
      </x:c>
      <x:c r="N26" s="24" t="str">
        <x:v>esox lucius</x:v>
      </x:c>
      <x:c r="O26" s="32" t="n">
        <x:v>4.07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Esox lucius</x:v>
      </x:c>
      <x:c r="T26" s="32" t="n">
        <x:f>IF(O26="","",(1/'Metadata'!$B$5)^(O26-1))</x:f>
        <x:v>1174.8975549395302</x:v>
      </x:c>
      <x:c r="U26" s="31" t="n">
        <x:f>IF(T26="","",I26*T26)</x:f>
        <x:v>2120.2817892048033</x:v>
      </x:c>
    </x:row>
    <x:row r="27" ht="18" customHeight="1">
      <x:c r="A27" s="24" t="str">
        <x:v>EEZ_440</x:v>
      </x:c>
      <x:c r="B27" s="24" t="str">
        <x:v>Lithuania</x:v>
      </x:c>
      <x:c r="C27" s="24" t="str">
        <x:v>EEZ</x:v>
      </x:c>
      <x:c r="D27" s="30" t="n">
        <x:v>2019</x:v>
      </x:c>
      <x:c r="E27" s="24" t="str">
        <x:v>Osteichthyes</x:v>
      </x:c>
      <x:c r="F27" s="24" t="str">
        <x:v>Bony fishes</x:v>
      </x:c>
      <x:c r="G27" s="24" t="str">
        <x:v>Medium demersals (30 - 89 cm)</x:v>
      </x:c>
      <x:c r="H27" s="24" t="str">
        <x:v>Other fishes &amp; inverts</x:v>
      </x:c>
      <x:c r="I27" s="31" t="n">
        <x:v>1.8040371924999998</x:v>
      </x:c>
      <x:c r="J27" s="31" t="n">
        <x:v>1.8040371924999998</x:v>
      </x:c>
      <x:c r="K27" s="31" t="n">
        <x:v>0</x:v>
      </x:c>
      <x:c r="L27" s="31" t="n">
        <x:v>1.8040371924999998</x:v>
      </x:c>
      <x:c r="M27" s="31" t="n">
        <x:v>0</x:v>
      </x:c>
      <x:c r="N27" s="24" t="str">
        <x:v>osteichthyes</x:v>
      </x:c>
      <x:c r="O27" s="32" t="n">
        <x:v>3.79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Osteichthyes</x:v>
      </x:c>
      <x:c r="T27" s="32" t="n">
        <x:f>IF(O27="","",(1/'Metadata'!$B$5)^(O27-1))</x:f>
        <x:v>616.5950018614822</x:v>
      </x:c>
      <x:c r="U27" s="31" t="n">
        <x:f>IF(T27="","",I27*T27)</x:f>
        <x:v>1112.3603160677205</x:v>
      </x:c>
    </x:row>
    <x:row r="28" ht="18" customHeight="1">
      <x:c r="A28" s="24" t="str">
        <x:v>EEZ_440</x:v>
      </x:c>
      <x:c r="B28" s="24" t="str">
        <x:v>Lithuania</x:v>
      </x:c>
      <x:c r="C28" s="24" t="str">
        <x:v>EEZ</x:v>
      </x:c>
      <x:c r="D28" s="30" t="n">
        <x:v>2019</x:v>
      </x:c>
      <x:c r="E28" s="24" t="str">
        <x:v>Scardinius erythrophthalmus</x:v>
      </x:c>
      <x:c r="F28" s="24" t="str">
        <x:v>Rudd</x:v>
      </x:c>
      <x:c r="G28" s="24" t="str">
        <x:v>Medium benthopelagics (30 - 89 cm)</x:v>
      </x:c>
      <x:c r="H28" s="24" t="str">
        <x:v>Other fishes &amp; inverts</x:v>
      </x:c>
      <x:c r="I28" s="31" t="n">
        <x:v>0.5899173090000001</x:v>
      </x:c>
      <x:c r="J28" s="31" t="n">
        <x:v>0.5899173090000001</x:v>
      </x:c>
      <x:c r="K28" s="31" t="n">
        <x:v>0</x:v>
      </x:c>
      <x:c r="L28" s="31" t="n">
        <x:v>0.5899173090000001</x:v>
      </x:c>
      <x:c r="M28" s="31" t="n">
        <x:v>0</x:v>
      </x:c>
      <x:c r="N28" s="24" t="str">
        <x:v>scardinius erythrophthalmus</x:v>
      </x:c>
      <x:c r="O28" s="32" t="n">
        <x:v>2.89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Scardinius erythrophthalmus</x:v>
      </x:c>
      <x:c r="T28" s="32" t="n">
        <x:f>IF(O28="","",(1/'Metadata'!$B$5)^(O28-1))</x:f>
        <x:v>77.6247116628692</x:v>
      </x:c>
      <x:c r="U28" s="31" t="n">
        <x:f>IF(T28="","",I28*T28)</x:f>
        <x:v>45.79216101606072</x:v>
      </x:c>
    </x:row>
    <x:row r="29" ht="18" customHeight="1">
      <x:c r="A29" s="24" t="str">
        <x:v>EEZ_440</x:v>
      </x:c>
      <x:c r="B29" s="24" t="str">
        <x:v>Lithuania</x:v>
      </x:c>
      <x:c r="C29" s="24" t="str">
        <x:v>EEZ</x:v>
      </x:c>
      <x:c r="D29" s="30" t="n">
        <x:v>2019</x:v>
      </x:c>
      <x:c r="E29" s="24" t="str">
        <x:v>Gasterosteus aculeatus</x:v>
      </x:c>
      <x:c r="F29" s="24" t="str">
        <x:v>Three-spined stickleback</x:v>
      </x:c>
      <x:c r="G29" s="24" t="str">
        <x:v>Small benthopelagics (&lt;30 cm)</x:v>
      </x:c>
      <x:c r="H29" s="24" t="str">
        <x:v>Other fishes &amp; inverts</x:v>
      </x:c>
      <x:c r="I29" s="31" t="n">
        <x:v>0.4857988577</x:v>
      </x:c>
      <x:c r="J29" s="31" t="n">
        <x:v>0.4856917099</x:v>
      </x:c>
      <x:c r="K29" s="31" t="n">
        <x:v>0.0001071478</x:v>
      </x:c>
      <x:c r="L29" s="31" t="n">
        <x:v>0.4854718522</x:v>
      </x:c>
      <x:c r="M29" s="31" t="n">
        <x:v>0.00032700549999999996</x:v>
      </x:c>
      <x:c r="N29" s="24" t="str">
        <x:v>gasterosteus aculeatus</x:v>
      </x:c>
      <x:c r="O29" s="32" t="n">
        <x:v>3.31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Gasterosteus aculeatus</x:v>
      </x:c>
      <x:c r="T29" s="32" t="n">
        <x:f>IF(O29="","",(1/'Metadata'!$B$5)^(O29-1))</x:f>
        <x:v>204.17379446695296</x:v>
      </x:c>
      <x:c r="U29" s="31" t="n">
        <x:f>IF(T29="","",I29*T29)</x:f>
        <x:v>99.18739612432032</x:v>
      </x:c>
    </x:row>
    <x:row r="30" ht="18" customHeight="1">
      <x:c r="A30" s="24" t="str">
        <x:v>EEZ_440</x:v>
      </x:c>
      <x:c r="B30" s="24" t="str">
        <x:v>Lithuania</x:v>
      </x:c>
      <x:c r="C30" s="24" t="str">
        <x:v>EEZ</x:v>
      </x:c>
      <x:c r="D30" s="30" t="n">
        <x:v>2019</x:v>
      </x:c>
      <x:c r="E30" s="24" t="str">
        <x:v>Coregonus</x:v>
      </x:c>
      <x:c r="F30" s="24" t="str">
        <x:v>Whitefishes</x:v>
      </x:c>
      <x:c r="G30" s="24" t="str">
        <x:v>Medium pelagics (30 - 89 cm)</x:v>
      </x:c>
      <x:c r="H30" s="24" t="str">
        <x:v>Salmon, smelts, etc</x:v>
      </x:c>
      <x:c r="I30" s="31" t="n">
        <x:v>0.40274763610000003</x:v>
      </x:c>
      <x:c r="J30" s="31" t="n">
        <x:v>0.4027168166</x:v>
      </x:c>
      <x:c r="K30" s="31" t="n">
        <x:v>0.0000308195</x:v>
      </x:c>
      <x:c r="L30" s="31" t="n">
        <x:v>0.4012487247</x:v>
      </x:c>
      <x:c r="M30" s="31" t="n">
        <x:v>0.0014989113999999998</x:v>
      </x:c>
      <x:c r="N30" s="24" t="str">
        <x:v>coregonus</x:v>
      </x:c>
      <x:c r="O30" s="32" t="n">
        <x:v>3.3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Coregonus</x:v>
      </x:c>
      <x:c r="T30" s="32" t="n">
        <x:f>IF(O30="","",(1/'Metadata'!$B$5)^(O30-1))</x:f>
        <x:v>199.52623149688787</x:v>
      </x:c>
      <x:c r="U30" s="31" t="n">
        <x:f>IF(T30="","",I30*T30)</x:f>
        <x:v>80.35871807531296</x:v>
      </x:c>
    </x:row>
    <x:row r="31" ht="18" customHeight="1">
      <x:c r="A31" s="24" t="str">
        <x:v>EEZ_440</x:v>
      </x:c>
      <x:c r="B31" s="24" t="str">
        <x:v>Lithuania</x:v>
      </x:c>
      <x:c r="C31" s="24" t="str">
        <x:v>EEZ</x:v>
      </x:c>
      <x:c r="D31" s="30" t="n">
        <x:v>2019</x:v>
      </x:c>
      <x:c r="E31" s="24" t="str">
        <x:v>Gymnocephalus cernua</x:v>
      </x:c>
      <x:c r="F31" s="24" t="str">
        <x:v>Ruffe</x:v>
      </x:c>
      <x:c r="G31" s="24" t="str">
        <x:v>Small demersals (&lt;30 cm)</x:v>
      </x:c>
      <x:c r="H31" s="24" t="str">
        <x:v>Perch-likes</x:v>
      </x:c>
      <x:c r="I31" s="31" t="n">
        <x:v>0.2517218414</x:v>
      </x:c>
      <x:c r="J31" s="31" t="n">
        <x:v>0.2389727344</x:v>
      </x:c>
      <x:c r="K31" s="31" t="n">
        <x:v>0.012749107</x:v>
      </x:c>
      <x:c r="L31" s="31" t="n">
        <x:v>0.21839649409999998</x:v>
      </x:c>
      <x:c r="M31" s="31" t="n">
        <x:v>0.0333253473</x:v>
      </x:c>
      <x:c r="N31" s="24" t="str">
        <x:v>gymnocephalus cernua</x:v>
      </x:c>
      <x:c r="O31" s="32" t="n">
        <x:v>3.32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Gymnocephalus cernua</x:v>
      </x:c>
      <x:c r="T31" s="32" t="n">
        <x:f>IF(O31="","",(1/'Metadata'!$B$5)^(O31-1))</x:f>
        <x:v>208.92961308540387</x:v>
      </x:c>
      <x:c r="U31" s="31" t="n">
        <x:f>IF(T31="","",I31*T31)</x:f>
        <x:v>52.59214692884739</x:v>
      </x:c>
    </x:row>
    <x:row r="32" ht="18" customHeight="1">
      <x:c r="A32" s="24" t="str">
        <x:v>EEZ_440</x:v>
      </x:c>
      <x:c r="B32" s="24" t="str">
        <x:v>Lithuania</x:v>
      </x:c>
      <x:c r="C32" s="24" t="str">
        <x:v>EEZ</x:v>
      </x:c>
      <x:c r="D32" s="30" t="n">
        <x:v>2019</x:v>
      </x:c>
      <x:c r="E32" s="24" t="str">
        <x:v>Limanda limanda</x:v>
      </x:c>
      <x:c r="F32" s="24" t="str">
        <x:v>Common dab</x:v>
      </x:c>
      <x:c r="G32" s="24" t="str">
        <x:v>Small to medium flatfishes (&lt;90 cm)</x:v>
      </x:c>
      <x:c r="H32" s="24" t="str">
        <x:v>Flatfishes</x:v>
      </x:c>
      <x:c r="I32" s="31" t="n">
        <x:v>0.0852915285</x:v>
      </x:c>
      <x:c r="J32" s="31" t="n">
        <x:v>0.0852915285</x:v>
      </x:c>
      <x:c r="K32" s="31" t="n">
        <x:v>0</x:v>
      </x:c>
      <x:c r="L32" s="31" t="n">
        <x:v>0.0852915285</x:v>
      </x:c>
      <x:c r="M32" s="31" t="n">
        <x:v>0</x:v>
      </x:c>
      <x:c r="N32" s="24" t="str">
        <x:v>limanda limanda</x:v>
      </x:c>
      <x:c r="O32" s="32" t="n">
        <x:v>3.29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Limanda limanda</x:v>
      </x:c>
      <x:c r="T32" s="32" t="n">
        <x:f>IF(O32="","",(1/'Metadata'!$B$5)^(O32-1))</x:f>
        <x:v>194.98445997580455</x:v>
      </x:c>
      <x:c r="U32" s="31" t="n">
        <x:f>IF(T32="","",I32*T32)</x:f>
        <x:v>16.630522625083444</x:v>
      </x:c>
    </x:row>
    <x:row r="33" ht="18" customHeight="1">
      <x:c r="A33" s="24" t="str">
        <x:v>EEZ_440</x:v>
      </x:c>
      <x:c r="B33" s="24" t="str">
        <x:v>Lithuania</x:v>
      </x:c>
      <x:c r="C33" s="24" t="str">
        <x:v>EEZ</x:v>
      </x:c>
      <x:c r="D33" s="30" t="n">
        <x:v>2019</x:v>
      </x:c>
      <x:c r="E33" s="24" t="str">
        <x:v>Marine finfishes not identified</x:v>
      </x:c>
      <x:c r="F33" s="24" t="str">
        <x:v>Finfishes</x:v>
      </x:c>
      <x:c r="G33" s="24" t="str">
        <x:v>Medium demersals (30 - 89 cm)</x:v>
      </x:c>
      <x:c r="H33" s="24" t="str">
        <x:v>Other fishes &amp; inverts</x:v>
      </x:c>
      <x:c r="I33" s="31" t="n">
        <x:v>0.0719722956</x:v>
      </x:c>
      <x:c r="J33" s="31" t="n">
        <x:v>0.044438224</x:v>
      </x:c>
      <x:c r="K33" s="31" t="n">
        <x:v>0.0275340716</x:v>
      </x:c>
      <x:c r="L33" s="31" t="n">
        <x:v>0</x:v>
      </x:c>
      <x:c r="M33" s="31" t="n">
        <x:v>0.0719722956</x:v>
      </x:c>
      <x:c r="N33" s="24" t="str">
        <x:v>marine finfishes not identified</x:v>
      </x:c>
      <x:c r="O33" s="32" t="n">
        <x:v>3.23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Marine finfishes not identified</x:v>
      </x:c>
      <x:c r="T33" s="32" t="n">
        <x:f>IF(O33="","",(1/'Metadata'!$B$5)^(O33-1))</x:f>
        <x:v>169.82436524617444</x:v>
      </x:c>
      <x:c r="U33" s="31" t="n">
        <x:f>IF(T33="","",I33*T33)</x:f>
        <x:v>12.222649415580033</x:v>
      </x:c>
    </x:row>
    <x:row r="34" ht="18" customHeight="1">
      <x:c r="A34" s="24" t="str">
        <x:v>EEZ_440</x:v>
      </x:c>
      <x:c r="B34" s="24" t="str">
        <x:v>Lithuania</x:v>
      </x:c>
      <x:c r="C34" s="24" t="str">
        <x:v>EEZ</x:v>
      </x:c>
      <x:c r="D34" s="30" t="n">
        <x:v>2019</x:v>
      </x:c>
      <x:c r="E34" s="24" t="str">
        <x:v>Petromyzontidae</x:v>
      </x:c>
      <x:c r="F34" s="24" t="str">
        <x:v>Lampreys</x:v>
      </x:c>
      <x:c r="G34" s="24" t="str">
        <x:v>Large demersals (&gt;=90 cm)</x:v>
      </x:c>
      <x:c r="H34" s="24" t="str">
        <x:v>Other fishes &amp; inverts</x:v>
      </x:c>
      <x:c r="I34" s="31" t="n">
        <x:v>0.0683435894</x:v>
      </x:c>
      <x:c r="J34" s="31" t="n">
        <x:v>0.0681795392</x:v>
      </x:c>
      <x:c r="K34" s="31" t="n">
        <x:v>0.0001640502</x:v>
      </x:c>
      <x:c r="L34" s="31" t="n">
        <x:v>0.0680154889</x:v>
      </x:c>
      <x:c r="M34" s="31" t="n">
        <x:v>0.0003281005</x:v>
      </x:c>
      <x:c r="N34" s="24" t="str">
        <x:v>petromyzontidae</x:v>
      </x:c>
      <x:c r="O34" s="32" t="n">
        <x:v>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Petromyzontidae</x:v>
      </x:c>
      <x:c r="T34" s="32" t="n">
        <x:f>IF(O34="","",(1/'Metadata'!$B$5)^(O34-1))</x:f>
        <x:v>1000</x:v>
      </x:c>
      <x:c r="U34" s="31" t="n">
        <x:f>IF(T34="","",I34*T34)</x:f>
        <x:v>68.3435894</x:v>
      </x:c>
    </x:row>
    <x:row r="35" ht="18" customHeight="1">
      <x:c r="A35" s="24" t="str">
        <x:v>EEZ_440</x:v>
      </x:c>
      <x:c r="B35" s="24" t="str">
        <x:v>Lithuania</x:v>
      </x:c>
      <x:c r="C35" s="24" t="str">
        <x:v>EEZ</x:v>
      </x:c>
      <x:c r="D35" s="30" t="n">
        <x:v>2019</x:v>
      </x:c>
      <x:c r="E35" s="24" t="str">
        <x:v>Pleuronectes platessa</x:v>
      </x:c>
      <x:c r="F35" s="24" t="str">
        <x:v>European plaice</x:v>
      </x:c>
      <x:c r="G35" s="24" t="str">
        <x:v>Large flatfishes (&gt;=90 cm)</x:v>
      </x:c>
      <x:c r="H35" s="24" t="str">
        <x:v>Flatfishes</x:v>
      </x:c>
      <x:c r="I35" s="31" t="n">
        <x:v>0.0590098177</x:v>
      </x:c>
      <x:c r="J35" s="31" t="n">
        <x:v>0.0415149762</x:v>
      </x:c>
      <x:c r="K35" s="31" t="n">
        <x:v>0.0174948415</x:v>
      </x:c>
      <x:c r="L35" s="31" t="n">
        <x:v>0.0003954999</x:v>
      </x:c>
      <x:c r="M35" s="31" t="n">
        <x:v>0.058614317799999996</x:v>
      </x:c>
      <x:c r="N35" s="24" t="str">
        <x:v>pleuronectes platessa</x:v>
      </x:c>
      <x:c r="O35" s="32" t="n">
        <x:v>3.26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Pleuronectes platessa</x:v>
      </x:c>
      <x:c r="T35" s="32" t="n">
        <x:f>IF(O35="","",(1/'Metadata'!$B$5)^(O35-1))</x:f>
        <x:v>181.97008586099827</x:v>
      </x:c>
      <x:c r="U35" s="31" t="n">
        <x:f>IF(T35="","",I35*T35)</x:f>
        <x:v>10.738021593510856</x:v>
      </x:c>
    </x:row>
    <x:row r="36" ht="18" customHeight="1">
      <x:c r="A36" s="24" t="str">
        <x:v>EEZ_440</x:v>
      </x:c>
      <x:c r="B36" s="24" t="str">
        <x:v>Lithuania</x:v>
      </x:c>
      <x:c r="C36" s="24" t="str">
        <x:v>EEZ</x:v>
      </x:c>
      <x:c r="D36" s="30" t="n">
        <x:v>2019</x:v>
      </x:c>
      <x:c r="E36" s="24" t="str">
        <x:v>Leuciscus aspius</x:v>
      </x:c>
      <x:c r="F36" s="24" t="str">
        <x:v>Asp</x:v>
      </x:c>
      <x:c r="G36" s="24" t="str">
        <x:v>Large benthopelagics (&gt;=90 cm)</x:v>
      </x:c>
      <x:c r="H36" s="24" t="str">
        <x:v>Other fishes &amp; inverts</x:v>
      </x:c>
      <x:c r="I36" s="31" t="n">
        <x:v>0.046366636499999996</x:v>
      </x:c>
      <x:c r="J36" s="31" t="n">
        <x:v>0.04635895649999999</x:v>
      </x:c>
      <x:c r="K36" s="31" t="n">
        <x:v>0.00000768</x:v>
      </x:c>
      <x:c r="L36" s="31" t="n">
        <x:v>0.0394474413</x:v>
      </x:c>
      <x:c r="M36" s="31" t="n">
        <x:v>0.0069191952000000004</x:v>
      </x:c>
      <x:c r="N36" s="24" t="str">
        <x:v>leuciscus aspius</x:v>
      </x:c>
      <x:c r="O36" s="32" t="n">
        <x:v>4.47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Leuciscus aspius</x:v>
      </x:c>
      <x:c r="T36" s="32" t="n">
        <x:f>IF(O36="","",(1/'Metadata'!$B$5)^(O36-1))</x:f>
        <x:v>2951.209226666384</x:v>
      </x:c>
      <x:c r="U36" s="31" t="n">
        <x:f>IF(T36="","",I36*T36)</x:f>
        <x:v>136.8376454482863</x:v>
      </x:c>
    </x:row>
    <x:row r="37" ht="18" customHeight="1">
      <x:c r="A37" s="24" t="str">
        <x:v>EEZ_440</x:v>
      </x:c>
      <x:c r="B37" s="24" t="str">
        <x:v>Lithuania</x:v>
      </x:c>
      <x:c r="C37" s="24" t="str">
        <x:v>EEZ</x:v>
      </x:c>
      <x:c r="D37" s="30" t="n">
        <x:v>2019</x:v>
      </x:c>
      <x:c r="E37" s="24" t="str">
        <x:v>Cyprinus carpio</x:v>
      </x:c>
      <x:c r="F37" s="24" t="str">
        <x:v>Common carp</x:v>
      </x:c>
      <x:c r="G37" s="24" t="str">
        <x:v>Large benthopelagics (&gt;=90 cm)</x:v>
      </x:c>
      <x:c r="H37" s="24" t="str">
        <x:v>Other fishes &amp; inverts</x:v>
      </x:c>
      <x:c r="I37" s="31" t="n">
        <x:v>0.013978313</x:v>
      </x:c>
      <x:c r="J37" s="31" t="n">
        <x:v>0.013978313</x:v>
      </x:c>
      <x:c r="K37" s="31" t="n">
        <x:v>0</x:v>
      </x:c>
      <x:c r="L37" s="31" t="n">
        <x:v>0.012665108199999999</x:v>
      </x:c>
      <x:c r="M37" s="31" t="n">
        <x:v>0.0013132048</x:v>
      </x:c>
      <x:c r="N37" s="24" t="str">
        <x:v>cyprinus carpio</x:v>
      </x:c>
      <x:c r="O37" s="32" t="n">
        <x:v>3.06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Cyprinus carpio</x:v>
      </x:c>
      <x:c r="T37" s="32" t="n">
        <x:f>IF(O37="","",(1/'Metadata'!$B$5)^(O37-1))</x:f>
        <x:v>114.81536214968828</x:v>
      </x:c>
      <x:c r="U37" s="31" t="n">
        <x:f>IF(T37="","",I37*T37)</x:f>
        <x:v>1.6049250693366957</x:v>
      </x:c>
    </x:row>
    <x:row r="38" ht="18" customHeight="1">
      <x:c r="A38" s="24" t="str">
        <x:v>EEZ_440</x:v>
      </x:c>
      <x:c r="B38" s="24" t="str">
        <x:v>Lithuania</x:v>
      </x:c>
      <x:c r="C38" s="24" t="str">
        <x:v>EEZ</x:v>
      </x:c>
      <x:c r="D38" s="30" t="n">
        <x:v>2019</x:v>
      </x:c>
      <x:c r="E38" s="24" t="str">
        <x:v>Tinca tinca</x:v>
      </x:c>
      <x:c r="F38" s="24" t="str">
        <x:v>Tench</x:v>
      </x:c>
      <x:c r="G38" s="24" t="str">
        <x:v>Medium demersals (30 - 89 cm)</x:v>
      </x:c>
      <x:c r="H38" s="24" t="str">
        <x:v>Other fishes &amp; inverts</x:v>
      </x:c>
      <x:c r="I38" s="31" t="n">
        <x:v>0.0110090163</x:v>
      </x:c>
      <x:c r="J38" s="31" t="n">
        <x:v>0.010998794000000001</x:v>
      </x:c>
      <x:c r="K38" s="31" t="n">
        <x:v>0.0000102223</x:v>
      </x:c>
      <x:c r="L38" s="31" t="n">
        <x:v>0.0037507154</x:v>
      </x:c>
      <x:c r="M38" s="31" t="n">
        <x:v>0.0072583009</x:v>
      </x:c>
      <x:c r="N38" s="24" t="str">
        <x:v>tinca tinca</x:v>
      </x:c>
      <x:c r="O38" s="32" t="n">
        <x:v>3.69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Tinca tinca</x:v>
      </x:c>
      <x:c r="T38" s="32" t="n">
        <x:f>IF(O38="","",(1/'Metadata'!$B$5)^(O38-1))</x:f>
        <x:v>489.77881936844614</x:v>
      </x:c>
      <x:c r="U38" s="31" t="n">
        <x:f>IF(T38="","",I38*T38)</x:f>
        <x:v>5.391983005821979</x:v>
      </x:c>
    </x:row>
    <x:row r="39" ht="18" customHeight="1">
      <x:c r="A39" s="24" t="str">
        <x:v>EEZ_440</x:v>
      </x:c>
      <x:c r="B39" s="24" t="str">
        <x:v>Lithuania</x:v>
      </x:c>
      <x:c r="C39" s="24" t="str">
        <x:v>EEZ</x:v>
      </x:c>
      <x:c r="D39" s="30" t="n">
        <x:v>2019</x:v>
      </x:c>
      <x:c r="E39" s="24" t="str">
        <x:v>Scomber scombrus</x:v>
      </x:c>
      <x:c r="F39" s="24" t="str">
        <x:v>Atlantic mackerel</x:v>
      </x:c>
      <x:c r="G39" s="24" t="str">
        <x:v>Medium pelagics (30 - 89 cm)</x:v>
      </x:c>
      <x:c r="H39" s="24" t="str">
        <x:v>Perch-likes</x:v>
      </x:c>
      <x:c r="I39" s="31" t="n">
        <x:v>0.0069697744</x:v>
      </x:c>
      <x:c r="J39" s="31" t="n">
        <x:v>0.0069697744</x:v>
      </x:c>
      <x:c r="K39" s="31" t="n">
        <x:v>0</x:v>
      </x:c>
      <x:c r="L39" s="31" t="n">
        <x:v>0.0069697744</x:v>
      </x:c>
      <x:c r="M39" s="31" t="n">
        <x:v>0</x:v>
      </x:c>
      <x:c r="N39" s="24" t="str">
        <x:v>scomber scombrus</x:v>
      </x:c>
      <x:c r="O39" s="32" t="n">
        <x:v>3.63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Scomber scombrus</x:v>
      </x:c>
      <x:c r="T39" s="32" t="n">
        <x:f>IF(O39="","",(1/'Metadata'!$B$5)^(O39-1))</x:f>
        <x:v>426.57951880159254</x:v>
      </x:c>
      <x:c r="U39" s="31" t="n">
        <x:f>IF(T39="","",I39*T39)</x:f>
        <x:v>2.9731630097076582</x:v>
      </x:c>
    </x:row>
    <x:row r="40" ht="18" customHeight="1">
      <x:c r="A40" s="24" t="str">
        <x:v>EEZ_440</x:v>
      </x:c>
      <x:c r="B40" s="24" t="str">
        <x:v>Lithuania</x:v>
      </x:c>
      <x:c r="C40" s="24" t="str">
        <x:v>EEZ</x:v>
      </x:c>
      <x:c r="D40" s="30" t="n">
        <x:v>2019</x:v>
      </x:c>
      <x:c r="E40" s="24" t="str">
        <x:v>Zoarces viviparus</x:v>
      </x:c>
      <x:c r="F40" s="24" t="str">
        <x:v>Eelpout</x:v>
      </x:c>
      <x:c r="G40" s="24" t="str">
        <x:v>Medium demersals (30 - 89 cm)</x:v>
      </x:c>
      <x:c r="H40" s="24" t="str">
        <x:v>Perch-likes</x:v>
      </x:c>
      <x:c r="I40" s="31" t="n">
        <x:v>0.0037690477</x:v>
      </x:c>
      <x:c r="J40" s="31" t="n">
        <x:v>0.0037627337</x:v>
      </x:c>
      <x:c r="K40" s="31" t="n">
        <x:v>0.000006314</x:v>
      </x:c>
      <x:c r="L40" s="31" t="n">
        <x:v>0</x:v>
      </x:c>
      <x:c r="M40" s="31" t="n">
        <x:v>0.0037690477</x:v>
      </x:c>
      <x:c r="N40" s="24" t="str">
        <x:v>zoarces viviparus</x:v>
      </x:c>
      <x:c r="O40" s="32" t="n">
        <x:v>3.47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Zoarces viviparus</x:v>
      </x:c>
      <x:c r="T40" s="32" t="n">
        <x:f>IF(O40="","",(1/'Metadata'!$B$5)^(O40-1))</x:f>
        <x:v>295.1209226666387</x:v>
      </x:c>
      <x:c r="U40" s="31" t="n">
        <x:f>IF(T40="","",I40*T40)</x:f>
        <x:v>1.1123248347985726</x:v>
      </x:c>
    </x:row>
    <x:row r="41" ht="18" customHeight="1">
      <x:c r="A41" s="24" t="str">
        <x:v>EEZ_440</x:v>
      </x:c>
      <x:c r="B41" s="24" t="str">
        <x:v>Lithuania</x:v>
      </x:c>
      <x:c r="C41" s="24" t="str">
        <x:v>EEZ</x:v>
      </x:c>
      <x:c r="D41" s="30" t="n">
        <x:v>2019</x:v>
      </x:c>
      <x:c r="E41" s="24" t="str">
        <x:v>Myoxocephalus quadricornis</x:v>
      </x:c>
      <x:c r="F41" s="24" t="str">
        <x:v>Fourhorn sculpin</x:v>
      </x:c>
      <x:c r="G41" s="24" t="str">
        <x:v>Medium demersals (30 - 89 cm)</x:v>
      </x:c>
      <x:c r="H41" s="24" t="str">
        <x:v>Scorpionfishes</x:v>
      </x:c>
      <x:c r="I41" s="31" t="n">
        <x:v>0.0019755545</x:v>
      </x:c>
      <x:c r="J41" s="31" t="n">
        <x:v>0.0019755545</x:v>
      </x:c>
      <x:c r="K41" s="31" t="n">
        <x:v>0</x:v>
      </x:c>
      <x:c r="L41" s="31" t="n">
        <x:v>0.0019755545</x:v>
      </x:c>
      <x:c r="M41" s="31" t="n">
        <x:v>0</x:v>
      </x:c>
      <x:c r="N41" s="24" t="str">
        <x:v>myoxocephalus quadricornis</x:v>
      </x:c>
      <x:c r="O41" s="32" t="n">
        <x:v>3.69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Myoxocephalus quadricornis</x:v>
      </x:c>
      <x:c r="T41" s="32" t="n">
        <x:f>IF(O41="","",(1/'Metadata'!$B$5)^(O41-1))</x:f>
        <x:v>489.77881936844614</x:v>
      </x:c>
      <x:c r="U41" s="31" t="n">
        <x:f>IF(T41="","",I41*T41)</x:f>
        <x:v>0.9675847506080211</x:v>
      </x:c>
    </x:row>
    <x:row r="42" ht="18" customHeight="1">
      <x:c r="A42" s="24" t="str">
        <x:v>EEZ_440</x:v>
      </x:c>
      <x:c r="B42" s="24" t="str">
        <x:v>Lithuania</x:v>
      </x:c>
      <x:c r="C42" s="24" t="str">
        <x:v>EEZ</x:v>
      </x:c>
      <x:c r="D42" s="30" t="n">
        <x:v>2019</x:v>
      </x:c>
      <x:c r="E42" s="24" t="str">
        <x:v>Acipenseridae</x:v>
      </x:c>
      <x:c r="F42" s="24" t="str">
        <x:v>Sturgeons</x:v>
      </x:c>
      <x:c r="G42" s="24" t="str">
        <x:v>Large demersals (&gt;=90 cm)</x:v>
      </x:c>
      <x:c r="H42" s="24" t="str">
        <x:v>Other fishes &amp; inverts</x:v>
      </x:c>
      <x:c r="I42" s="31" t="n">
        <x:v>0.0010962921</x:v>
      </x:c>
      <x:c r="J42" s="31" t="n">
        <x:v>0.0010962921</x:v>
      </x:c>
      <x:c r="K42" s="31" t="n">
        <x:v>0</x:v>
      </x:c>
      <x:c r="L42" s="31" t="n">
        <x:v>0.0010962921</x:v>
      </x:c>
      <x:c r="M42" s="31" t="n">
        <x:v>0</x:v>
      </x:c>
      <x:c r="N42" s="24" t="str">
        <x:v>acipenseridae</x:v>
      </x:c>
      <x:c r="O42" s="32" t="n">
        <x:v>3.6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Acipenseridae</x:v>
      </x:c>
      <x:c r="T42" s="32" t="n">
        <x:f>IF(O42="","",(1/'Metadata'!$B$5)^(O42-1))</x:f>
        <x:v>398.1071705534973</x:v>
      </x:c>
      <x:c r="U42" s="31" t="n">
        <x:f>IF(T42="","",I42*T42)</x:f>
        <x:v>0.43644174603115177</x:v>
      </x:c>
    </x:row>
    <x:row r="43" ht="18" customHeight="1">
      <x:c r="A43" s="24" t="str">
        <x:v>EEZ_440</x:v>
      </x:c>
      <x:c r="B43" s="24" t="str">
        <x:v>Lithuania</x:v>
      </x:c>
      <x:c r="C43" s="24" t="str">
        <x:v>EEZ</x:v>
      </x:c>
      <x:c r="D43" s="30" t="n">
        <x:v>2019</x:v>
      </x:c>
      <x:c r="E43" s="24" t="str">
        <x:v>Leuciscus idus</x:v>
      </x:c>
      <x:c r="F43" s="24" t="str">
        <x:v>Ide</x:v>
      </x:c>
      <x:c r="G43" s="24" t="str">
        <x:v>Medium benthopelagics (30 - 89 cm)</x:v>
      </x:c>
      <x:c r="H43" s="24" t="str">
        <x:v>Other fishes &amp; inverts</x:v>
      </x:c>
      <x:c r="I43" s="31" t="n">
        <x:v>0.0002059413</x:v>
      </x:c>
      <x:c r="J43" s="31" t="n">
        <x:v>0.0001029707</x:v>
      </x:c>
      <x:c r="K43" s="31" t="n">
        <x:v>0.0001029706</x:v>
      </x:c>
      <x:c r="L43" s="31" t="n">
        <x:v>0</x:v>
      </x:c>
      <x:c r="M43" s="31" t="n">
        <x:v>0.0002059413</x:v>
      </x:c>
      <x:c r="N43" s="24" t="str">
        <x:v>leuciscus idus</x:v>
      </x:c>
      <x:c r="O43" s="32" t="n">
        <x:v>3.79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Leuciscus idus</x:v>
      </x:c>
      <x:c r="T43" s="32" t="n">
        <x:f>IF(O43="","",(1/'Metadata'!$B$5)^(O43-1))</x:f>
        <x:v>616.5950018614822</x:v>
      </x:c>
      <x:c r="U43" s="31" t="n">
        <x:f>IF(T43="","",I43*T43)</x:f>
        <x:v>0.12698237625685607</x:v>
      </x:c>
    </x:row>
    <x:row r="44" ht="18" customHeight="1">
      <x:c r="A44" s="24" t="str">
        <x:v>EEZ_440</x:v>
      </x:c>
      <x:c r="B44" s="24" t="str">
        <x:v>Lithuania</x:v>
      </x:c>
      <x:c r="C44" s="24" t="str">
        <x:v>EEZ</x:v>
      </x:c>
      <x:c r="D44" s="30" t="n">
        <x:v>2019</x:v>
      </x:c>
      <x:c r="E44" s="24" t="str">
        <x:v>Silurus glanis</x:v>
      </x:c>
      <x:c r="F44" s="24" t="str">
        <x:v>Wels catfish</x:v>
      </x:c>
      <x:c r="G44" s="24" t="str">
        <x:v>Large demersals (&gt;=90 cm)</x:v>
      </x:c>
      <x:c r="H44" s="24" t="str">
        <x:v>Other fishes &amp; inverts</x:v>
      </x:c>
      <x:c r="I44" s="31" t="n">
        <x:v>7.65e-8</x:v>
      </x:c>
      <x:c r="J44" s="31" t="n">
        <x:v>0</x:v>
      </x:c>
      <x:c r="K44" s="31" t="n">
        <x:v>7.65e-8</x:v>
      </x:c>
      <x:c r="L44" s="31" t="n">
        <x:v>0</x:v>
      </x:c>
      <x:c r="M44" s="31" t="n">
        <x:v>7.65e-8</x:v>
      </x:c>
      <x:c r="N44" s="24" t="str">
        <x:v>silurus glanis</x:v>
      </x:c>
      <x:c r="O44" s="32" t="n">
        <x:v>4.36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Silurus glanis</x:v>
      </x:c>
      <x:c r="T44" s="32" t="n">
        <x:f>IF(O44="","",(1/'Metadata'!$B$5)^(O44-1))</x:f>
        <x:v>2290.867652767775</x:v>
      </x:c>
      <x:c r="U44" s="31" t="n">
        <x:f>IF(T44="","",I44*T44)</x:f>
        <x:v>0.00017525137543673478</x:v>
      </x:c>
    </x:row>
  </x:sheetData>
  <x:conditionalFormatting sqref="R2:R4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c45c1dc6c5d4ae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4058.2180933856</x:v>
      </x:c>
      <x:c r="C2" s="32" t="n">
        <x:v>4.0898169030286615</x:v>
      </x:c>
      <x:c r="D2" s="32" t="n">
        <x:f>IF(C2="","",(1/'Metadata'!$B$5)^(C2-1))</x:f>
        <x:v>1229.750203301519</x:v>
      </x:c>
      <x:c r="E2" s="31" t="n">
        <x:f>IF(B2=0,"",B2*D2)</x:f>
        <x:v>4990594.525382844</x:v>
      </x:c>
    </x:row>
    <x:row r="3" ht="18" customHeight="1">
      <x:c r="A3" s="24" t="str">
        <x:v>Flatfishes</x:v>
      </x:c>
      <x:c r="B3" s="31" t="n">
        <x:v>965.4720293821999</x:v>
      </x:c>
      <x:c r="C3" s="32" t="n">
        <x:v>3.4808348228862567</x:v>
      </x:c>
      <x:c r="D3" s="32" t="n">
        <x:f>IF(C3="","",(1/'Metadata'!$B$5)^(C3-1))</x:f>
        <x:v>302.5762407820587</x:v>
      </x:c>
      <x:c r="E3" s="31" t="n">
        <x:f>IF(B3=0,"",B3*D3)</x:f>
        <x:v>292128.89723069133</x:v>
      </x:c>
    </x:row>
    <x:row r="4" ht="18" customHeight="1">
      <x:c r="A4" s="24" t="str">
        <x:v>Herring-likes</x:v>
      </x:c>
      <x:c r="B4" s="31" t="n">
        <x:v>28895.6401566192</x:v>
      </x:c>
      <x:c r="C4" s="32" t="n">
        <x:v>3.125240364321362</x:v>
      </x:c>
      <x:c r="D4" s="32" t="n">
        <x:f>IF(C4="","",(1/'Metadata'!$B$5)^(C4-1))</x:f>
        <x:v>133.4259686284007</x:v>
      </x:c>
      <x:c r="E4" s="31" t="n">
        <x:f>IF(B4=0,"",B4*D4)</x:f>
        <x:v>3855428.777034629</x:v>
      </x:c>
    </x:row>
    <x:row r="5" ht="18" customHeight="1">
      <x:c r="A5" s="24" t="str">
        <x:v>Other fishes &amp; inverts</x:v>
      </x:c>
      <x:c r="B5" s="31" t="n">
        <x:v>426.82161353429996</x:v>
      </x:c>
      <x:c r="C5" s="32" t="n">
        <x:v>3.0284019943679836</x:v>
      </x:c>
      <x:c r="D5" s="32" t="n">
        <x:f>IF(C5="","",(1/'Metadata'!$B$5)^(C5-1))</x:f>
        <x:v>106.75838476489061</x:v>
      </x:c>
      <x:c r="E5" s="31" t="n">
        <x:f>IF(B5=0,"",B5*D5)</x:f>
        <x:v>45566.78604366624</x:v>
      </x:c>
    </x:row>
    <x:row r="6" ht="18" customHeight="1">
      <x:c r="A6" s="24" t="str">
        <x:v>Perch-likes</x:v>
      </x:c>
      <x:c r="B6" s="31" t="n">
        <x:v>232.2753838485</x:v>
      </x:c>
      <x:c r="C6" s="32" t="n">
        <x:v>3.65592183960306</x:v>
      </x:c>
      <x:c r="D6" s="32" t="n">
        <x:f>IF(C6="","",(1/'Metadata'!$B$5)^(C6-1))</x:f>
        <x:v>452.8160788233185</x:v>
      </x:c>
      <x:c r="E6" s="31" t="n">
        <x:f>IF(B6=0,"",B6*D6)</x:f>
        <x:v>105178.02852145894</x:v>
      </x:c>
    </x:row>
    <x:row r="7" ht="18" customHeight="1">
      <x:c r="A7" s="24" t="str">
        <x:v>Salmon, smelts, etc</x:v>
      </x:c>
      <x:c r="B7" s="31" t="n">
        <x:v>129.1324388278</x:v>
      </x:c>
      <x:c r="C7" s="32" t="n">
        <x:v>3.4799365470551833</x:v>
      </x:c>
      <x:c r="D7" s="32" t="n">
        <x:f>IF(C7="","",(1/'Metadata'!$B$5)^(C7-1))</x:f>
        <x:v>301.95105201570675</x:v>
      </x:c>
      <x:c r="E7" s="31" t="n">
        <x:f>IF(B7=0,"",B7*D7)</x:f>
        <x:v>38991.67575340811</x:v>
      </x:c>
    </x:row>
    <x:row r="8" ht="18" customHeight="1">
      <x:c r="A8" s="24" t="str">
        <x:v>Scorpionfishes</x:v>
      </x:c>
      <x:c r="B8" s="31" t="n">
        <x:v>0.0019755545</x:v>
      </x:c>
      <x:c r="C8" s="32" t="n">
        <x:v>3.69</x:v>
      </x:c>
      <x:c r="D8" s="32" t="n">
        <x:f>IF(C8="","",(1/'Metadata'!$B$5)^(C8-1))</x:f>
        <x:v>489.77881936844614</x:v>
      </x:c>
      <x:c r="E8" s="31" t="n">
        <x:f>IF(B8=0,"",B8*D8)</x:f>
        <x:v>0.9675847506080211</x:v>
      </x:c>
    </x:row>
  </x:sheetData>
  <x:pageMargins left="0.7" right="0.7" top="0.75" bottom="0.75" header="0.3" footer="0.3"/>
  <x:tableParts count="1">
    <x:tablePart xmlns:r="http://schemas.openxmlformats.org/officeDocument/2006/relationships" r:id="R7bb09fcd3abe49a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4057.6117400406997</x:v>
      </x:c>
      <x:c r="C2" s="32" t="n">
        <x:v>4.090233751582038</x:v>
      </x:c>
      <x:c r="D2" s="32" t="n">
        <x:f>IF(C2="","",(1/'Metadata'!$B$5)^(C2-1))</x:f>
        <x:v>1230.931120183967</x:v>
      </x:c>
      <x:c r="E2" s="31" t="n">
        <x:f>IF(B2=0,"",B2*D2)</x:f>
        <x:v>4994640.564439914</x:v>
      </x:c>
    </x:row>
    <x:row r="3" ht="18" customHeight="1">
      <x:c r="A3" s="24" t="str">
        <x:v>Large demersals (&gt;=90 cm)</x:v>
      </x:c>
      <x:c r="B3" s="31" t="n">
        <x:v>18.271460713000007</x:v>
      </x:c>
      <x:c r="C3" s="32" t="n">
        <x:v>3.6502198917807447</x:v>
      </x:c>
      <x:c r="D3" s="32" t="n">
        <x:f>IF(C3="","",(1/'Metadata'!$B$5)^(C3-1))</x:f>
        <x:v>446.9098140457146</x:v>
      </x:c>
      <x:c r="E3" s="31" t="n">
        <x:f>IF(B3=0,"",B3*D3)</x:f>
        <x:v>8165.695109590413</x:v>
      </x:c>
    </x:row>
    <x:row r="4" ht="18" customHeight="1">
      <x:c r="A4" s="24" t="str">
        <x:v>Large flatfishes (&gt;=90 cm)</x:v>
      </x:c>
      <x:c r="B4" s="31" t="n">
        <x:v>5.2747007987</x:v>
      </x:c>
      <x:c r="C4" s="32" t="n">
        <x:v>4.3476939371639824</x:v>
      </x:c>
      <x:c r="D4" s="32" t="n">
        <x:f>IF(C4="","",(1/'Metadata'!$B$5)^(C4-1))</x:f>
        <x:v>2226.8652446614947</x:v>
      </x:c>
      <x:c r="E4" s="31" t="n">
        <x:f>IF(B4=0,"",B4*D4)</x:f>
        <x:v>11746.047884613256</x:v>
      </x:c>
    </x:row>
    <x:row r="5" ht="18" customHeight="1">
      <x:c r="A5" s="24" t="str">
        <x:v>Large pelagics (&gt;=90 cm)</x:v>
      </x:c>
      <x:c r="B5" s="31" t="n">
        <x:v>87.66285175680001</x:v>
      </x:c>
      <x:c r="C5" s="32" t="n">
        <x:v>3.9733166667672486</x:v>
      </x:c>
      <x:c r="D5" s="32" t="n">
        <x:f>IF(C5="","",(1/'Metadata'!$B$5)^(C5-1))</x:f>
        <x:v>940.4087617317205</x:v>
      </x:c>
      <x:c r="E5" s="31" t="n">
        <x:f>IF(B5=0,"",B5*D5)</x:f>
        <x:v>82438.91387048367</x:v>
      </x:c>
    </x:row>
    <x:row r="6" ht="18" customHeight="1">
      <x:c r="A6" s="24" t="str">
        <x:v>Medium benthopelagics (30 - 89 cm)</x:v>
      </x:c>
      <x:c r="B6" s="31" t="n">
        <x:v>60.2935586092</x:v>
      </x:c>
      <x:c r="C6" s="32" t="n">
        <x:v>2.9593179490264037</x:v>
      </x:c>
      <x:c r="D6" s="32" t="n">
        <x:f>IF(C6="","",(1/'Metadata'!$B$5)^(C6-1))</x:f>
        <x:v>91.05796683112365</x:v>
      </x:c>
      <x:c r="E6" s="31" t="n">
        <x:f>IF(B6=0,"",B6*D6)</x:f>
        <x:v>5490.208859966943</x:v>
      </x:c>
    </x:row>
    <x:row r="7" ht="18" customHeight="1">
      <x:c r="A7" s="24" t="str">
        <x:v>Medium demersals (30 - 89 cm)</x:v>
      </x:c>
      <x:c r="B7" s="31" t="n">
        <x:v>309.14839355090004</x:v>
      </x:c>
      <x:c r="C7" s="32" t="n">
        <x:v>3.0532153830263526</x:v>
      </x:c>
      <x:c r="D7" s="32" t="n">
        <x:f>IF(C7="","",(1/'Metadata'!$B$5)^(C7-1))</x:f>
        <x:v>113.03563620739169</x:v>
      </x:c>
      <x:c r="E7" s="31" t="n">
        <x:f>IF(B7=0,"",B7*D7)</x:f>
        <x:v>34944.78534751909</x:v>
      </x:c>
    </x:row>
    <x:row r="8" ht="18" customHeight="1">
      <x:c r="A8" s="24" t="str">
        <x:v>Medium pelagics (30 - 89 cm)</x:v>
      </x:c>
      <x:c r="B8" s="31" t="n">
        <x:v>9190.851501938601</x:v>
      </x:c>
      <x:c r="C8" s="32" t="n">
        <x:v>3.3832449495393493</x:v>
      </x:c>
      <x:c r="D8" s="32" t="n">
        <x:f>IF(C8="","",(1/'Metadata'!$B$5)^(C8-1))</x:f>
        <x:v>241.68235800694924</x:v>
      </x:c>
      <x:c r="E8" s="31" t="n">
        <x:f>IF(B8=0,"",B8*D8)</x:f>
        <x:v>2221266.663080232</x:v>
      </x:c>
    </x:row>
    <x:row r="9" ht="18" customHeight="1">
      <x:c r="A9" s="24" t="str">
        <x:v>Small benthopelagics (&lt;30 cm)</x:v>
      </x:c>
      <x:c r="B9" s="31" t="n">
        <x:v>0.4857988577</x:v>
      </x:c>
      <x:c r="C9" s="32" t="n">
        <x:v>3.31</x:v>
      </x:c>
      <x:c r="D9" s="32" t="n">
        <x:f>IF(C9="","",(1/'Metadata'!$B$5)^(C9-1))</x:f>
        <x:v>204.17379446695296</x:v>
      </x:c>
      <x:c r="E9" s="31" t="n">
        <x:f>IF(B9=0,"",B9*D9)</x:f>
        <x:v>99.18739612432032</x:v>
      </x:c>
    </x:row>
    <x:row r="10" ht="18" customHeight="1">
      <x:c r="A10" s="24" t="str">
        <x:v>Small demersals (&lt;30 cm)</x:v>
      </x:c>
      <x:c r="B10" s="31" t="n">
        <x:v>7.5862104404</x:v>
      </x:c>
      <x:c r="C10" s="32" t="n">
        <x:v>3.087963559989619</x:v>
      </x:c>
      <x:c r="D10" s="32" t="n">
        <x:f>IF(C10="","",(1/'Metadata'!$B$5)^(C10-1))</x:f>
        <x:v>122.45134506537559</x:v>
      </x:c>
      <x:c r="E10" s="31" t="n">
        <x:f>IF(B10=0,"",B10*D10)</x:f>
        <x:v>928.9416723759754</x:v>
      </x:c>
    </x:row>
    <x:row r="11" ht="18" customHeight="1">
      <x:c r="A11" s="24" t="str">
        <x:v>Small pelagics (&lt;30 cm)</x:v>
      </x:c>
      <x:c r="B11" s="31" t="n">
        <x:v>19911.6396315782</x:v>
      </x:c>
      <x:c r="C11" s="32" t="n">
        <x:v>3.01</x:v>
      </x:c>
      <x:c r="D11" s="32" t="n">
        <x:f>IF(C11="","",(1/'Metadata'!$B$5)^(C11-1))</x:f>
        <x:v>102.32929922807536</x:v>
      </x:c>
      <x:c r="E11" s="31" t="n">
        <x:f>IF(B11=0,"",B11*D11)</x:f>
        <x:v>2037544.1299813697</x:v>
      </x:c>
    </x:row>
    <x:row r="12" ht="18" customHeight="1">
      <x:c r="A12" s="24" t="str">
        <x:v>Small reef assoc. fish (&lt;30 cm)</x:v>
      </x:c>
      <x:c r="B12" s="31" t="n">
        <x:v>98.5385142844</x:v>
      </x:c>
      <x:c r="C12" s="32" t="n">
        <x:v>3.1099999999999994</x:v>
      </x:c>
      <x:c r="D12" s="32" t="n">
        <x:f>IF(C12="","",(1/'Metadata'!$B$5)^(C12-1))</x:f>
        <x:v>128.82495516931323</x:v>
      </x:c>
      <x:c r="E12" s="31" t="n">
        <x:f>IF(B12=0,"",B12*D12)</x:f>
        <x:v>12694.21968513856</x:v>
      </x:c>
    </x:row>
    <x:row r="13" ht="18" customHeight="1">
      <x:c r="A13" s="24" t="str">
        <x:v>Small to medium flatfishes (&lt;90 cm)</x:v>
      </x:c>
      <x:c r="B13" s="31" t="n">
        <x:v>960.1973285834999</x:v>
      </x:c>
      <x:c r="C13" s="32" t="n">
        <x:v>3.4760728616452417</x:v>
      </x:c>
      <x:c r="D13" s="32" t="n">
        <x:f>IF(C13="","",(1/'Metadata'!$B$5)^(C13-1))</x:f>
        <x:v>299.2766691373478</x:v>
      </x:c>
      <x:c r="E13" s="31" t="n">
        <x:f>IF(B13=0,"",B13*D13)</x:f>
        <x:v>287364.65821304935</x:v>
      </x:c>
    </x:row>
  </x:sheetData>
  <x:pageMargins left="0.7" right="0.7" top="0.75" bottom="0.75" header="0.3" footer="0.3"/>
  <x:tableParts count="1">
    <x:tablePart xmlns:r="http://schemas.openxmlformats.org/officeDocument/2006/relationships" r:id="R323adda853bd40a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EEZ_440</x:v>
      </x:c>
      <x:c r="B2" s="24" t="str">
        <x:v>raw_filtered_tonnes</x:v>
      </x:c>
      <x:c r="C2" s="24" t="n">
        <x:v>34707.5616911521</x:v>
      </x:c>
      <x:c r="D2" s="24" t="str">
        <x:v>tonnes</x:v>
      </x:c>
    </x:row>
    <x:row r="3" ht="18" customHeight="1">
      <x:c r="A3" s="24" t="str">
        <x:v>EEZ_440</x:v>
      </x:c>
      <x:c r="B3" s="24" t="str">
        <x:v>species_catch_tonnes</x:v>
      </x:c>
      <x:c r="C3" s="24" t="n">
        <x:v>34707.5616911521</x:v>
      </x:c>
      <x:c r="D3" s="24" t="str">
        <x:v>tonnes</x:v>
      </x:c>
    </x:row>
    <x:row r="4" ht="18" customHeight="1">
      <x:c r="A4" s="24" t="str">
        <x:v>EEZ_440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EEZ_440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EEZ_440</x:v>
      </x:c>
      <x:c r="B6" s="24" t="str">
        <x:v>matched_catch_tonnes</x:v>
      </x:c>
      <x:c r="C6" s="24" t="n">
        <x:v>34707.5616911521</x:v>
      </x:c>
      <x:c r="D6" s="24" t="str">
        <x:v>tonnes</x:v>
      </x:c>
    </x:row>
    <x:row r="7" ht="18" customHeight="1">
      <x:c r="A7" s="24" t="str">
        <x:v>EEZ_440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EEZ_440</x:v>
      </x:c>
      <x:c r="B8" s="24" t="str">
        <x:v>taxa_count</x:v>
      </x:c>
      <x:c r="C8" s="24" t="n">
        <x:v>43</x:v>
      </x:c>
      <x:c r="D8" s="24" t="str">
        <x:v>count</x:v>
      </x:c>
    </x:row>
    <x:row r="9" ht="18" customHeight="1">
      <x:c r="A9" s="24" t="str">
        <x:v>EEZ_440</x:v>
      </x:c>
      <x:c r="B9" s="24" t="str">
        <x:v>matched_taxa_count</x:v>
      </x:c>
      <x:c r="C9" s="24" t="n">
        <x:v>43</x:v>
      </x:c>
      <x:c r="D9" s="24" t="str">
        <x:v>count</x:v>
      </x:c>
    </x:row>
    <x:row r="10" ht="18" customHeight="1">
      <x:c r="A10" s="24" t="str">
        <x:v>EEZ_440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EEZ_440</x:v>
      </x:c>
      <x:c r="B11" s="24" t="str">
        <x:v>species_ppr</x:v>
      </x:c>
      <x:c r="C11" s="24" t="n">
        <x:v>9837795.65518664</x:v>
      </x:c>
      <x:c r="D11" s="24" t="str">
        <x:v>tonnes_primary_production_equivalent</x:v>
      </x:c>
    </x:row>
    <x:row r="12" ht="18" customHeight="1">
      <x:c r="A12" s="24" t="str">
        <x:v>EEZ_440</x:v>
      </x:c>
      <x:c r="B12" s="24" t="str">
        <x:v>commercial_ppr</x:v>
      </x:c>
      <x:c r="C12" s="24" t="n">
        <x:v>9327889.657551447</x:v>
      </x:c>
      <x:c r="D12" s="24" t="str">
        <x:v>tonnes_primary_production_equivalent</x:v>
      </x:c>
    </x:row>
    <x:row r="13" ht="18" customHeight="1">
      <x:c r="A13" s="24" t="str">
        <x:v>EEZ_440</x:v>
      </x:c>
      <x:c r="B13" s="24" t="str">
        <x:v>functional_ppr</x:v>
      </x:c>
      <x:c r="C13" s="24" t="n">
        <x:v>9697324.015540378</x:v>
      </x:c>
      <x:c r="D13" s="24" t="str">
        <x:v>tonnes_primary_production_equivalent</x:v>
      </x:c>
    </x:row>
    <x:row r="14" ht="18" customHeight="1">
      <x:c r="A14" s="24" t="str">
        <x:v>EEZ_440</x:v>
      </x:c>
      <x:c r="B14" s="24" t="str">
        <x:v>commercial_ppr_difference</x:v>
      </x:c>
      <x:c r="C14" s="24" t="n">
        <x:v>-509905.99763519317</x:v>
      </x:c>
      <x:c r="D14" s="24" t="str">
        <x:v>tonnes_primary_production_equivalent</x:v>
      </x:c>
    </x:row>
    <x:row r="15" ht="18" customHeight="1">
      <x:c r="A15" s="24" t="str">
        <x:v>EEZ_440</x:v>
      </x:c>
      <x:c r="B15" s="24" t="str">
        <x:v>functional_ppr_difference</x:v>
      </x:c>
      <x:c r="C15" s="24" t="n">
        <x:v>-140471.63964626193</x:v>
      </x:c>
      <x:c r="D15" s="24" t="str">
        <x:v>tonnes_primary_production_equivalent</x:v>
      </x:c>
    </x:row>
    <x:row r="16" ht="18" customHeight="1">
      <x:c r="A16" s="24" t="str">
        <x:v>EEZ_440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EEZ_440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d1e55f3c2ce743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EEZ_440 - Lithuania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EEZ_440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raw_data/SAU_downloads/EEZ_440-catch.zip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