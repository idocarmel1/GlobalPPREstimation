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a2dd82e6fa47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1b873a4fb044601"/>
    <x:sheet xmlns:r="http://schemas.openxmlformats.org/officeDocument/2006/relationships" name="Commercial" sheetId="2" r:id="R8e11ba5d761c4d5d"/>
    <x:sheet xmlns:r="http://schemas.openxmlformats.org/officeDocument/2006/relationships" name="Functional" sheetId="3" r:id="Rb2de95ce0fb94a4b"/>
    <x:sheet xmlns:r="http://schemas.openxmlformats.org/officeDocument/2006/relationships" name="Missing TL" sheetId="4" r:id="R0b152f4f50ba4181"/>
    <x:sheet xmlns:r="http://schemas.openxmlformats.org/officeDocument/2006/relationships" name="Validation" sheetId="5" r:id="R16c7ca74ffa34bfb"/>
    <x:sheet xmlns:r="http://schemas.openxmlformats.org/officeDocument/2006/relationships" name="Metadata" sheetId="6" r:id="R4333cf821bc2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45bae2573a4d45" /><Relationship Type="http://schemas.openxmlformats.org/officeDocument/2006/relationships/theme" Target="/xl/theme/theme1.xml" Id="Rd94c355c4a6946f9" /><Relationship Type="http://schemas.microsoft.com/office/2022/11/relationships/FeaturePropertyBag" Target="/xl/featurePropertyBag/featurePropertyBag.xml" Id="R09f8c808bb2349ce" /><Relationship Type="http://schemas.openxmlformats.org/officeDocument/2006/relationships/sharedStrings" Target="/xl/sharedStrings.xml" Id="Rc03f1167433443fd" /><Relationship Type="http://schemas.openxmlformats.org/officeDocument/2006/relationships/worksheet" Target="/xl/worksheets/sheet1.xml" Id="R11b873a4fb044601" /><Relationship Type="http://schemas.openxmlformats.org/officeDocument/2006/relationships/worksheet" Target="/xl/worksheets/sheet2.xml" Id="R8e11ba5d761c4d5d" /><Relationship Type="http://schemas.openxmlformats.org/officeDocument/2006/relationships/worksheet" Target="/xl/worksheets/sheet3.xml" Id="Rb2de95ce0fb94a4b" /><Relationship Type="http://schemas.openxmlformats.org/officeDocument/2006/relationships/worksheet" Target="/xl/worksheets/sheet4.xml" Id="R0b152f4f50ba4181" /><Relationship Type="http://schemas.openxmlformats.org/officeDocument/2006/relationships/worksheet" Target="/xl/worksheets/sheet5.xml" Id="R16c7ca74ffa34bfb" /><Relationship Type="http://schemas.openxmlformats.org/officeDocument/2006/relationships/worksheet" Target="/xl/worksheets/sheet6.xml" Id="R4333cf821bc24ba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935SpeciesTable" displayName="EEZ935SpeciesTable" ref="A1:U24" headerRowCount="1" totalsRowCount="0" totalsRowShown="0">
  <x:autoFilter ref="A1:U24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935CommercialTable" displayName="EEZ935CommercialTable" ref="A1:E8" headerRowCount="1" totalsRowCount="0" totalsRowShown="0">
  <x:autoFilter ref="A1:E8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935FunctionalTable" displayName="EEZ935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935ValidationTable" displayName="EEZ935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402c123f4e74cc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2ed462361c443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e3f85551b043e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9c18d28b3194d2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EEZ_935</x:v>
      </x:c>
      <x:c r="B2" s="24" t="str">
        <x:v>Guatemala (Caribbean)</x:v>
      </x:c>
      <x:c r="C2" s="24" t="str">
        <x:v>EEZ</x:v>
      </x:c>
      <x:c r="D2" s="30" t="n">
        <x:v>2019</x:v>
      </x:c>
      <x:c r="E2" s="24" t="str">
        <x:v>Engraulidae</x:v>
      </x:c>
      <x:c r="F2" s="24" t="str">
        <x:v>Anchovies, round herrings</x:v>
      </x:c>
      <x:c r="G2" s="24" t="str">
        <x:v>Small pelagics (&lt;30 cm)</x:v>
      </x:c>
      <x:c r="H2" s="24" t="str">
        <x:v>Anchovies</x:v>
      </x:c>
      <x:c r="I2" s="31" t="n">
        <x:v>3580.3119327</x:v>
      </x:c>
      <x:c r="J2" s="31" t="n">
        <x:v>3580.3119327</x:v>
      </x:c>
      <x:c r="K2" s="31" t="n">
        <x:v>0</x:v>
      </x:c>
      <x:c r="L2" s="31" t="n">
        <x:v>0</x:v>
      </x:c>
      <x:c r="M2" s="31" t="n">
        <x:v>3580.3119327</x:v>
      </x:c>
      <x:c r="N2" s="24" t="str">
        <x:v>engraulidae</x:v>
      </x:c>
      <x:c r="O2" s="32" t="n">
        <x:v>3.2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Engraulidae</x:v>
      </x:c>
      <x:c r="T2" s="32" t="n">
        <x:f>IF(O2="","",(1/'Metadata'!$B$5)^(O2-1))</x:f>
        <x:v>158.48931924611142</x:v>
      </x:c>
      <x:c r="U2" s="31" t="n">
        <x:f>IF(T2="","",I2*T2)</x:f>
        <x:v>567441.2009023525</x:v>
      </x:c>
    </x:row>
    <x:row r="3" ht="18" customHeight="1">
      <x:c r="A3" s="24" t="str">
        <x:v>EEZ_935</x:v>
      </x:c>
      <x:c r="B3" s="24" t="str">
        <x:v>Guatemala (Caribbean)</x:v>
      </x:c>
      <x:c r="C3" s="24" t="str">
        <x:v>EEZ</x:v>
      </x:c>
      <x:c r="D3" s="30" t="n">
        <x:v>2019</x:v>
      </x:c>
      <x:c r="E3" s="24" t="str">
        <x:v>Ariidae</x:v>
      </x:c>
      <x:c r="F3" s="24" t="str">
        <x:v>Sea catfishes, coblers</x:v>
      </x:c>
      <x:c r="G3" s="24" t="str">
        <x:v>Medium demersals (30 - 89 cm)</x:v>
      </x:c>
      <x:c r="H3" s="24" t="str">
        <x:v>Other fishes &amp; inverts</x:v>
      </x:c>
      <x:c r="I3" s="31" t="n">
        <x:v>196.123082592</x:v>
      </x:c>
      <x:c r="J3" s="31" t="n">
        <x:v>196.123082592</x:v>
      </x:c>
      <x:c r="K3" s="31" t="n">
        <x:v>0</x:v>
      </x:c>
      <x:c r="L3" s="31" t="n">
        <x:v>0</x:v>
      </x:c>
      <x:c r="M3" s="31" t="n">
        <x:v>196.123082592</x:v>
      </x:c>
      <x:c r="N3" s="24" t="str">
        <x:v>ariidae</x:v>
      </x:c>
      <x:c r="O3" s="32" t="n">
        <x:v>3.48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Ariidae</x:v>
      </x:c>
      <x:c r="T3" s="32" t="n">
        <x:f>IF(O3="","",(1/'Metadata'!$B$5)^(O3-1))</x:f>
        <x:v>301.9951720402016</x:v>
      </x:c>
      <x:c r="U3" s="31" t="n">
        <x:f>IF(T3="","",I3*T3)</x:f>
        <x:v>59228.22406842571</x:v>
      </x:c>
    </x:row>
    <x:row r="4" ht="18" customHeight="1">
      <x:c r="A4" s="24" t="str">
        <x:v>EEZ_935</x:v>
      </x:c>
      <x:c r="B4" s="24" t="str">
        <x:v>Guatemala (Caribbean)</x:v>
      </x:c>
      <x:c r="C4" s="24" t="str">
        <x:v>EEZ</x:v>
      </x:c>
      <x:c r="D4" s="30" t="n">
        <x:v>2019</x:v>
      </x:c>
      <x:c r="E4" s="24" t="str">
        <x:v>Lutjanus</x:v>
      </x:c>
      <x:c r="F4" s="24" t="str">
        <x:v>Snappers</x:v>
      </x:c>
      <x:c r="G4" s="24" t="str">
        <x:v>Medium reef assoc. fish (30 - 89 cm)</x:v>
      </x:c>
      <x:c r="H4" s="24" t="str">
        <x:v>Perch-likes</x:v>
      </x:c>
      <x:c r="I4" s="31" t="n">
        <x:v>191.686721511</x:v>
      </x:c>
      <x:c r="J4" s="31" t="n">
        <x:v>191.686721511</x:v>
      </x:c>
      <x:c r="K4" s="31" t="n">
        <x:v>0</x:v>
      </x:c>
      <x:c r="L4" s="31" t="n">
        <x:v>0</x:v>
      </x:c>
      <x:c r="M4" s="31" t="n">
        <x:v>191.686721511</x:v>
      </x:c>
      <x:c r="N4" s="24" t="str">
        <x:v>lutjanus</x:v>
      </x:c>
      <x:c r="O4" s="32" t="n">
        <x:v>4.02</x:v>
      </x:c>
      <x:c r="P4" s="24" t="str">
        <x:v>exact_sea_around_us</x:v>
      </x:c>
      <x:c r="Q4" s="32" t="str">
        <x:v>Sea Around Us exploited organisms</x:v>
      </x:c>
      <x:c r="R4" s="24" t="str">
        <x:v>high</x:v>
      </x:c>
      <x:c r="S4" s="24" t="str">
        <x:v>Lutjanus</x:v>
      </x:c>
      <x:c r="T4" s="32" t="n">
        <x:f>IF(O4="","",(1/'Metadata'!$B$5)^(O4-1))</x:f>
        <x:v>1047.1285480508984</x:v>
      </x:c>
      <x:c r="U4" s="31" t="n">
        <x:f>IF(T4="","",I4*T4)</x:f>
        <x:v>200720.63837645034</x:v>
      </x:c>
    </x:row>
    <x:row r="5" ht="18" customHeight="1">
      <x:c r="A5" s="24" t="str">
        <x:v>EEZ_935</x:v>
      </x:c>
      <x:c r="B5" s="24" t="str">
        <x:v>Guatemala (Caribbean)</x:v>
      </x:c>
      <x:c r="C5" s="24" t="str">
        <x:v>EEZ</x:v>
      </x:c>
      <x:c r="D5" s="30" t="n">
        <x:v>2019</x:v>
      </x:c>
      <x:c r="E5" s="24" t="str">
        <x:v>Gerreidae</x:v>
      </x:c>
      <x:c r="F5" s="24" t="str">
        <x:v>Mojarras, silverbellies</x:v>
      </x:c>
      <x:c r="G5" s="24" t="str">
        <x:v>Small benthopelagics (&lt;30 cm)</x:v>
      </x:c>
      <x:c r="H5" s="24" t="str">
        <x:v>Perch-likes</x:v>
      </x:c>
      <x:c r="I5" s="31" t="n">
        <x:v>171.48387563</x:v>
      </x:c>
      <x:c r="J5" s="31" t="n">
        <x:v>137.47056480999998</x:v>
      </x:c>
      <x:c r="K5" s="31" t="n">
        <x:v>34.01331082</x:v>
      </x:c>
      <x:c r="L5" s="31" t="n">
        <x:v>90.22014415</x:v>
      </x:c>
      <x:c r="M5" s="31" t="n">
        <x:v>81.26373148</x:v>
      </x:c>
      <x:c r="N5" s="24" t="str">
        <x:v>gerreidae</x:v>
      </x:c>
      <x:c r="O5" s="32" t="n">
        <x:v>3.03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Gerreidae</x:v>
      </x:c>
      <x:c r="T5" s="32" t="n">
        <x:f>IF(O5="","",(1/'Metadata'!$B$5)^(O5-1))</x:f>
        <x:v>107.1519305237606</x:v>
      </x:c>
      <x:c r="U5" s="31" t="n">
        <x:f>IF(T5="","",I5*T5)</x:f>
        <x:v>18374.828327450963</x:v>
      </x:c>
    </x:row>
    <x:row r="6" ht="18" customHeight="1">
      <x:c r="A6" s="24" t="str">
        <x:v>EEZ_935</x:v>
      </x:c>
      <x:c r="B6" s="24" t="str">
        <x:v>Guatemala (Caribbean)</x:v>
      </x:c>
      <x:c r="C6" s="24" t="str">
        <x:v>EEZ</x:v>
      </x:c>
      <x:c r="D6" s="30" t="n">
        <x:v>2019</x:v>
      </x:c>
      <x:c r="E6" s="24" t="str">
        <x:v>Marine fishes not identified</x:v>
      </x:c>
      <x:c r="F6" s="24" t="str">
        <x:v>Marine fishes nei</x:v>
      </x:c>
      <x:c r="G6" s="24" t="str">
        <x:v>Medium demersals (30 - 89 cm)</x:v>
      </x:c>
      <x:c r="H6" s="24" t="str">
        <x:v>Other fishes &amp; inverts</x:v>
      </x:c>
      <x:c r="I6" s="31" t="n">
        <x:v>94.107266692</x:v>
      </x:c>
      <x:c r="J6" s="31" t="n">
        <x:v>93.344337464</x:v>
      </x:c>
      <x:c r="K6" s="31" t="n">
        <x:v>0.762929228</x:v>
      </x:c>
      <x:c r="L6" s="31" t="n">
        <x:v>52.55319149</x:v>
      </x:c>
      <x:c r="M6" s="31" t="n">
        <x:v>41.554075202</x:v>
      </x:c>
      <x:c r="N6" s="24" t="str">
        <x:v>marine fishes not identified</x:v>
      </x:c>
      <x:c r="O6" s="32" t="n">
        <x:v>3.28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Marine fishes not identified</x:v>
      </x:c>
      <x:c r="T6" s="32" t="n">
        <x:f>IF(O6="","",(1/'Metadata'!$B$5)^(O6-1))</x:f>
        <x:v>190.54607179632464</x:v>
      </x:c>
      <x:c r="U6" s="31" t="n">
        <x:f>IF(T6="","",I6*T6)</x:f>
        <x:v>17931.7699956497</x:v>
      </x:c>
    </x:row>
    <x:row r="7" ht="18" customHeight="1">
      <x:c r="A7" s="24" t="str">
        <x:v>EEZ_935</x:v>
      </x:c>
      <x:c r="B7" s="24" t="str">
        <x:v>Guatemala (Caribbean)</x:v>
      </x:c>
      <x:c r="C7" s="24" t="str">
        <x:v>EEZ</x:v>
      </x:c>
      <x:c r="D7" s="30" t="n">
        <x:v>2019</x:v>
      </x:c>
      <x:c r="E7" s="24" t="str">
        <x:v>Ophidiidae</x:v>
      </x:c>
      <x:c r="F7" s="24" t="str">
        <x:v>Cuskeels</x:v>
      </x:c>
      <x:c r="G7" s="24" t="str">
        <x:v>Large bathydemersals (&gt;=90 cm)</x:v>
      </x:c>
      <x:c r="H7" s="24" t="str">
        <x:v>Other fishes &amp; inverts</x:v>
      </x:c>
      <x:c r="I7" s="31" t="n">
        <x:v>83.64693663</x:v>
      </x:c>
      <x:c r="J7" s="31" t="n">
        <x:v>67.05581839999999</x:v>
      </x:c>
      <x:c r="K7" s="31" t="n">
        <x:v>16.59111823</x:v>
      </x:c>
      <x:c r="L7" s="31" t="n">
        <x:v>44.00786169</x:v>
      </x:c>
      <x:c r="M7" s="31" t="n">
        <x:v>39.63907494</x:v>
      </x:c>
      <x:c r="N7" s="24" t="str">
        <x:v>ophidiidae</x:v>
      </x:c>
      <x:c r="O7" s="32" t="n">
        <x:v>3.67</x:v>
      </x:c>
      <x:c r="P7" s="24" t="str">
        <x:v>exact_sea_around_us</x:v>
      </x:c>
      <x:c r="Q7" s="32" t="str">
        <x:v>Sea Around Us exploited organisms</x:v>
      </x:c>
      <x:c r="R7" s="24" t="str">
        <x:v>high</x:v>
      </x:c>
      <x:c r="S7" s="24" t="str">
        <x:v>Ophidiidae</x:v>
      </x:c>
      <x:c r="T7" s="32" t="n">
        <x:f>IF(O7="","",(1/'Metadata'!$B$5)^(O7-1))</x:f>
        <x:v>467.73514128719813</x:v>
      </x:c>
      <x:c r="U7" s="31" t="n">
        <x:f>IF(T7="","",I7*T7)</x:f>
        <x:v>39124.61172287436</x:v>
      </x:c>
    </x:row>
    <x:row r="8" ht="18" customHeight="1">
      <x:c r="A8" s="24" t="str">
        <x:v>EEZ_935</x:v>
      </x:c>
      <x:c r="B8" s="24" t="str">
        <x:v>Guatemala (Caribbean)</x:v>
      </x:c>
      <x:c r="C8" s="24" t="str">
        <x:v>EEZ</x:v>
      </x:c>
      <x:c r="D8" s="30" t="n">
        <x:v>2019</x:v>
      </x:c>
      <x:c r="E8" s="24" t="str">
        <x:v>Pomadasys</x:v>
      </x:c>
      <x:c r="F8" s="24" t="str">
        <x:v>Grunters</x:v>
      </x:c>
      <x:c r="G8" s="24" t="str">
        <x:v>Medium demersals (30 - 89 cm)</x:v>
      </x:c>
      <x:c r="H8" s="24" t="str">
        <x:v>Perch-likes</x:v>
      </x:c>
      <x:c r="I8" s="31" t="n">
        <x:v>75.881731323</x:v>
      </x:c>
      <x:c r="J8" s="31" t="n">
        <x:v>75.881731323</x:v>
      </x:c>
      <x:c r="K8" s="31" t="n">
        <x:v>0</x:v>
      </x:c>
      <x:c r="L8" s="31" t="n">
        <x:v>0</x:v>
      </x:c>
      <x:c r="M8" s="31" t="n">
        <x:v>75.881731323</x:v>
      </x:c>
      <x:c r="N8" s="24" t="str">
        <x:v>pomadasys</x:v>
      </x:c>
      <x:c r="O8" s="32" t="n">
        <x:v>3.59</x:v>
      </x:c>
      <x:c r="P8" s="24" t="str">
        <x:v>exact_sea_around_us</x:v>
      </x:c>
      <x:c r="Q8" s="32" t="str">
        <x:v>Sea Around Us exploited organisms</x:v>
      </x:c>
      <x:c r="R8" s="24" t="str">
        <x:v>high</x:v>
      </x:c>
      <x:c r="S8" s="24" t="str">
        <x:v>Pomadasys</x:v>
      </x:c>
      <x:c r="T8" s="32" t="n">
        <x:f>IF(O8="","",(1/'Metadata'!$B$5)^(O8-1))</x:f>
        <x:v>389.04514499428046</x:v>
      </x:c>
      <x:c r="U8" s="31" t="n">
        <x:f>IF(T8="","",I8*T8)</x:f>
        <x:v>29521.419164973566</x:v>
      </x:c>
    </x:row>
    <x:row r="9" ht="18" customHeight="1">
      <x:c r="A9" s="24" t="str">
        <x:v>EEZ_935</x:v>
      </x:c>
      <x:c r="B9" s="24" t="str">
        <x:v>Guatemala (Caribbean)</x:v>
      </x:c>
      <x:c r="C9" s="24" t="str">
        <x:v>EEZ</x:v>
      </x:c>
      <x:c r="D9" s="30" t="n">
        <x:v>2019</x:v>
      </x:c>
      <x:c r="E9" s="24" t="str">
        <x:v>Lutjanidae</x:v>
      </x:c>
      <x:c r="F9" s="24" t="str">
        <x:v>Snappers</x:v>
      </x:c>
      <x:c r="G9" s="24" t="str">
        <x:v>Medium reef assoc. fish (30 - 89 cm)</x:v>
      </x:c>
      <x:c r="H9" s="24" t="str">
        <x:v>Perch-likes</x:v>
      </x:c>
      <x:c r="I9" s="31" t="n">
        <x:v>67.02887512999999</x:v>
      </x:c>
      <x:c r="J9" s="31" t="n">
        <x:v>67.02887512999999</x:v>
      </x:c>
      <x:c r="K9" s="31" t="n">
        <x:v>0</x:v>
      </x:c>
      <x:c r="L9" s="31" t="n">
        <x:v>43.99017917</x:v>
      </x:c>
      <x:c r="M9" s="31" t="n">
        <x:v>23.03869596</x:v>
      </x:c>
      <x:c r="N9" s="24" t="str">
        <x:v>lutjanidae</x:v>
      </x:c>
      <x:c r="O9" s="32" t="n">
        <x:v>4.02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Lutjanidae</x:v>
      </x:c>
      <x:c r="T9" s="32" t="n">
        <x:f>IF(O9="","",(1/'Metadata'!$B$5)^(O9-1))</x:f>
        <x:v>1047.1285480508984</x:v>
      </x:c>
      <x:c r="U9" s="31" t="n">
        <x:f>IF(T9="","",I9*T9)</x:f>
        <x:v>70187.84869236186</x:v>
      </x:c>
    </x:row>
    <x:row r="10" ht="18" customHeight="1">
      <x:c r="A10" s="24" t="str">
        <x:v>EEZ_935</x:v>
      </x:c>
      <x:c r="B10" s="24" t="str">
        <x:v>Guatemala (Caribbean)</x:v>
      </x:c>
      <x:c r="C10" s="24" t="str">
        <x:v>EEZ</x:v>
      </x:c>
      <x:c r="D10" s="30" t="n">
        <x:v>2019</x:v>
      </x:c>
      <x:c r="E10" s="24" t="str">
        <x:v>Haemulidae</x:v>
      </x:c>
      <x:c r="F10" s="24" t="str">
        <x:v>Grunts, sweetlips, bonnetmouths</x:v>
      </x:c>
      <x:c r="G10" s="24" t="str">
        <x:v>Medium demersals (30 - 89 cm)</x:v>
      </x:c>
      <x:c r="H10" s="24" t="str">
        <x:v>Perch-likes</x:v>
      </x:c>
      <x:c r="I10" s="31" t="n">
        <x:v>35.553786621</x:v>
      </x:c>
      <x:c r="J10" s="31" t="n">
        <x:v>35.553786621</x:v>
      </x:c>
      <x:c r="K10" s="31" t="n">
        <x:v>0</x:v>
      </x:c>
      <x:c r="L10" s="31" t="n">
        <x:v>0</x:v>
      </x:c>
      <x:c r="M10" s="31" t="n">
        <x:v>35.553786621</x:v>
      </x:c>
      <x:c r="N10" s="24" t="str">
        <x:v>haemulidae</x:v>
      </x:c>
      <x:c r="O10" s="32" t="n">
        <x:v>3.36</x:v>
      </x:c>
      <x:c r="P10" s="24" t="str">
        <x:v>exact_sea_around_us</x:v>
      </x:c>
      <x:c r="Q10" s="32" t="str">
        <x:v>Sea Around Us exploited organisms</x:v>
      </x:c>
      <x:c r="R10" s="24" t="str">
        <x:v>high</x:v>
      </x:c>
      <x:c r="S10" s="24" t="str">
        <x:v>Haemulidae</x:v>
      </x:c>
      <x:c r="T10" s="32" t="n">
        <x:f>IF(O10="","",(1/'Metadata'!$B$5)^(O10-1))</x:f>
        <x:v>229.08676527677724</x:v>
      </x:c>
      <x:c r="U10" s="31" t="n">
        <x:f>IF(T10="","",I10*T10)</x:f>
        <x:v>8144.901970345651</x:v>
      </x:c>
    </x:row>
    <x:row r="11" ht="18" customHeight="1">
      <x:c r="A11" s="24" t="str">
        <x:v>EEZ_935</x:v>
      </x:c>
      <x:c r="B11" s="24" t="str">
        <x:v>Guatemala (Caribbean)</x:v>
      </x:c>
      <x:c r="C11" s="24" t="str">
        <x:v>EEZ</x:v>
      </x:c>
      <x:c r="D11" s="30" t="n">
        <x:v>2019</x:v>
      </x:c>
      <x:c r="E11" s="24" t="str">
        <x:v>Loliginidae</x:v>
      </x:c>
      <x:c r="F11" s="24" t="str">
        <x:v>Common pencil squids</x:v>
      </x:c>
      <x:c r="G11" s="24" t="str">
        <x:v>Cephalopods</x:v>
      </x:c>
      <x:c r="H11" s="24" t="str">
        <x:v>Other fishes &amp; inverts</x:v>
      </x:c>
      <x:c r="I11" s="31" t="n">
        <x:v>18.414995793</x:v>
      </x:c>
      <x:c r="J11" s="31" t="n">
        <x:v>18.414995793</x:v>
      </x:c>
      <x:c r="K11" s="31" t="n">
        <x:v>0</x:v>
      </x:c>
      <x:c r="L11" s="31" t="n">
        <x:v>0</x:v>
      </x:c>
      <x:c r="M11" s="31" t="n">
        <x:v>18.414995793</x:v>
      </x:c>
      <x:c r="N11" s="24" t="str">
        <x:v>loliginidae</x:v>
      </x:c>
      <x:c r="O11" s="32" t="n">
        <x:v>3.9</x:v>
      </x:c>
      <x:c r="P11" s="24" t="str">
        <x:v>exact_sea_around_us</x:v>
      </x:c>
      <x:c r="Q11" s="32" t="str">
        <x:v>Sea Around Us exploited organisms</x:v>
      </x:c>
      <x:c r="R11" s="24" t="str">
        <x:v>high</x:v>
      </x:c>
      <x:c r="S11" s="24" t="str">
        <x:v>Loliginidae</x:v>
      </x:c>
      <x:c r="T11" s="32" t="n">
        <x:f>IF(O11="","",(1/'Metadata'!$B$5)^(O11-1))</x:f>
        <x:v>794.3282347242813</x:v>
      </x:c>
      <x:c r="U11" s="31" t="n">
        <x:f>IF(T11="","",I11*T11)</x:f>
        <x:v>14627.551100708755</x:v>
      </x:c>
    </x:row>
    <x:row r="12" ht="18" customHeight="1">
      <x:c r="A12" s="24" t="str">
        <x:v>EEZ_935</x:v>
      </x:c>
      <x:c r="B12" s="24" t="str">
        <x:v>Guatemala (Caribbean)</x:v>
      </x:c>
      <x:c r="C12" s="24" t="str">
        <x:v>EEZ</x:v>
      </x:c>
      <x:c r="D12" s="30" t="n">
        <x:v>2019</x:v>
      </x:c>
      <x:c r="E12" s="24" t="str">
        <x:v>Lutjanus vivanus</x:v>
      </x:c>
      <x:c r="F12" s="24" t="str">
        <x:v>Silk snapper</x:v>
      </x:c>
      <x:c r="G12" s="24" t="str">
        <x:v>Medium demersals (30 - 89 cm)</x:v>
      </x:c>
      <x:c r="H12" s="24" t="str">
        <x:v>Perch-likes</x:v>
      </x:c>
      <x:c r="I12" s="31" t="n">
        <x:v>16.58445186</x:v>
      </x:c>
      <x:c r="J12" s="31" t="n">
        <x:v>0</x:v>
      </x:c>
      <x:c r="K12" s="31" t="n">
        <x:v>16.58445186</x:v>
      </x:c>
      <x:c r="L12" s="31" t="n">
        <x:v>0</x:v>
      </x:c>
      <x:c r="M12" s="31" t="n">
        <x:v>16.58445186</x:v>
      </x:c>
      <x:c r="N12" s="24" t="str">
        <x:v>lutjanus vivanus</x:v>
      </x:c>
      <x:c r="O12" s="32" t="n">
        <x:v>3.09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Lutjanus vivanus</x:v>
      </x:c>
      <x:c r="T12" s="32" t="n">
        <x:f>IF(O12="","",(1/'Metadata'!$B$5)^(O12-1))</x:f>
        <x:v>123.02687708123811</x:v>
      </x:c>
      <x:c r="U12" s="31" t="n">
        <x:f>IF(T12="","",I12*T12)</x:f>
        <x:v>2040.333320439931</x:v>
      </x:c>
    </x:row>
    <x:row r="13" ht="18" customHeight="1">
      <x:c r="A13" s="24" t="str">
        <x:v>EEZ_935</x:v>
      </x:c>
      <x:c r="B13" s="24" t="str">
        <x:v>Guatemala (Caribbean)</x:v>
      </x:c>
      <x:c r="C13" s="24" t="str">
        <x:v>EEZ</x:v>
      </x:c>
      <x:c r="D13" s="30" t="n">
        <x:v>2019</x:v>
      </x:c>
      <x:c r="E13" s="24" t="str">
        <x:v>Cynoscion</x:v>
      </x:c>
      <x:c r="F13" s="24" t="str">
        <x:v>Weakfishes</x:v>
      </x:c>
      <x:c r="G13" s="24" t="str">
        <x:v>Medium demersals (30 - 89 cm)</x:v>
      </x:c>
      <x:c r="H13" s="24" t="str">
        <x:v>Perch-likes</x:v>
      </x:c>
      <x:c r="I13" s="31" t="n">
        <x:v>15.423092474</x:v>
      </x:c>
      <x:c r="J13" s="31" t="n">
        <x:v>12.363968482</x:v>
      </x:c>
      <x:c r="K13" s="31" t="n">
        <x:v>3.059123992</x:v>
      </x:c>
      <x:c r="L13" s="31" t="n">
        <x:v>8.114311746</x:v>
      </x:c>
      <x:c r="M13" s="31" t="n">
        <x:v>7.308780728</x:v>
      </x:c>
      <x:c r="N13" s="24" t="str">
        <x:v>cynoscion</x:v>
      </x:c>
      <x:c r="O13" s="32" t="n">
        <x:v>4.21</x:v>
      </x:c>
      <x:c r="P13" s="24" t="str">
        <x:v>exact_sea_around_us</x:v>
      </x:c>
      <x:c r="Q13" s="32" t="str">
        <x:v>Sea Around Us exploited organisms</x:v>
      </x:c>
      <x:c r="R13" s="24" t="str">
        <x:v>high</x:v>
      </x:c>
      <x:c r="S13" s="24" t="str">
        <x:v>Cynoscion</x:v>
      </x:c>
      <x:c r="T13" s="32" t="n">
        <x:f>IF(O13="","",(1/'Metadata'!$B$5)^(O13-1))</x:f>
        <x:v>1621.8100973589299</x:v>
      </x:c>
      <x:c r="U13" s="31" t="n">
        <x:f>IF(T13="","",I13*T13)</x:f>
        <x:v>25013.32710683372</x:v>
      </x:c>
    </x:row>
    <x:row r="14" ht="18" customHeight="1">
      <x:c r="A14" s="24" t="str">
        <x:v>EEZ_935</x:v>
      </x:c>
      <x:c r="B14" s="24" t="str">
        <x:v>Guatemala (Caribbean)</x:v>
      </x:c>
      <x:c r="C14" s="24" t="str">
        <x:v>EEZ</x:v>
      </x:c>
      <x:c r="D14" s="30" t="n">
        <x:v>2019</x:v>
      </x:c>
      <x:c r="E14" s="24" t="str">
        <x:v>Pleuronectiformes</x:v>
      </x:c>
      <x:c r="F14" s="24" t="str">
        <x:v>Flatfishes</x:v>
      </x:c>
      <x:c r="G14" s="24" t="str">
        <x:v>Small to medium flatfishes (&lt;90 cm)</x:v>
      </x:c>
      <x:c r="H14" s="24" t="str">
        <x:v>Flatfishes</x:v>
      </x:c>
      <x:c r="I14" s="31" t="n">
        <x:v>15.423092474</x:v>
      </x:c>
      <x:c r="J14" s="31" t="n">
        <x:v>12.363968482</x:v>
      </x:c>
      <x:c r="K14" s="31" t="n">
        <x:v>3.059123992</x:v>
      </x:c>
      <x:c r="L14" s="31" t="n">
        <x:v>8.114311746</x:v>
      </x:c>
      <x:c r="M14" s="31" t="n">
        <x:v>7.308780728</x:v>
      </x:c>
      <x:c r="N14" s="24" t="str">
        <x:v>pleuronectiformes</x:v>
      </x:c>
      <x:c r="O14" s="32" t="n">
        <x:v>3.57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Pleuronectiformes</x:v>
      </x:c>
      <x:c r="T14" s="32" t="n">
        <x:f>IF(O14="","",(1/'Metadata'!$B$5)^(O14-1))</x:f>
        <x:v>371.5352290971724</x:v>
      </x:c>
      <x:c r="U14" s="31" t="n">
        <x:f>IF(T14="","",I14*T14)</x:f>
        <x:v>5730.222195714466</x:v>
      </x:c>
    </x:row>
    <x:row r="15" ht="18" customHeight="1">
      <x:c r="A15" s="24" t="str">
        <x:v>EEZ_935</x:v>
      </x:c>
      <x:c r="B15" s="24" t="str">
        <x:v>Guatemala (Caribbean)</x:v>
      </x:c>
      <x:c r="C15" s="24" t="str">
        <x:v>EEZ</x:v>
      </x:c>
      <x:c r="D15" s="30" t="n">
        <x:v>2019</x:v>
      </x:c>
      <x:c r="E15" s="24" t="str">
        <x:v>Aliger gigas</x:v>
      </x:c>
      <x:c r="F15" s="24" t="str">
        <x:v>Pink conch</x:v>
      </x:c>
      <x:c r="G15" s="24" t="str">
        <x:v>Other demersal invertebrates</x:v>
      </x:c>
      <x:c r="H15" s="24" t="str">
        <x:v>Molluscs</x:v>
      </x:c>
      <x:c r="I15" s="31" t="n">
        <x:v>13.267798187</x:v>
      </x:c>
      <x:c r="J15" s="31" t="n">
        <x:v>13.267798187</x:v>
      </x:c>
      <x:c r="K15" s="31" t="n">
        <x:v>0</x:v>
      </x:c>
      <x:c r="L15" s="31" t="n">
        <x:v>0</x:v>
      </x:c>
      <x:c r="M15" s="31" t="n">
        <x:v>13.267798187</x:v>
      </x:c>
      <x:c r="N15" s="24" t="str">
        <x:v>aliger gigas</x:v>
      </x:c>
      <x:c r="O15" s="32" t="n">
        <x:v>2.19</x:v>
      </x:c>
      <x:c r="P15" s="24" t="str">
        <x:v>exact_sea_around_us</x:v>
      </x:c>
      <x:c r="Q15" s="32" t="str">
        <x:v>Sea Around Us exploited organisms</x:v>
      </x:c>
      <x:c r="R15" s="24" t="str">
        <x:v>high</x:v>
      </x:c>
      <x:c r="S15" s="24" t="str">
        <x:v>Aliger gigas</x:v>
      </x:c>
      <x:c r="T15" s="32" t="n">
        <x:f>IF(O15="","",(1/'Metadata'!$B$5)^(O15-1))</x:f>
        <x:v>15.488166189124811</x:v>
      </x:c>
      <x:c r="U15" s="31" t="n">
        <x:f>IF(T15="","",I15*T15)</x:f>
        <x:v>205.49386328402488</x:v>
      </x:c>
    </x:row>
    <x:row r="16" ht="18" customHeight="1">
      <x:c r="A16" s="24" t="str">
        <x:v>EEZ_935</x:v>
      </x:c>
      <x:c r="B16" s="24" t="str">
        <x:v>Guatemala (Caribbean)</x:v>
      </x:c>
      <x:c r="C16" s="24" t="str">
        <x:v>EEZ</x:v>
      </x:c>
      <x:c r="D16" s="30" t="n">
        <x:v>2019</x:v>
      </x:c>
      <x:c r="E16" s="24" t="str">
        <x:v>Crassostrea</x:v>
      </x:c>
      <x:c r="F16" s="24" t="str">
        <x:v>Cupped oysters</x:v>
      </x:c>
      <x:c r="G16" s="24" t="str">
        <x:v>Other demersal invertebrates</x:v>
      </x:c>
      <x:c r="H16" s="24" t="str">
        <x:v>Molluscs</x:v>
      </x:c>
      <x:c r="I16" s="31" t="n">
        <x:v>13.267798187</x:v>
      </x:c>
      <x:c r="J16" s="31" t="n">
        <x:v>13.267798187</x:v>
      </x:c>
      <x:c r="K16" s="31" t="n">
        <x:v>0</x:v>
      </x:c>
      <x:c r="L16" s="31" t="n">
        <x:v>0</x:v>
      </x:c>
      <x:c r="M16" s="31" t="n">
        <x:v>13.267798187</x:v>
      </x:c>
      <x:c r="N16" s="24" t="str">
        <x:v>crassostrea</x:v>
      </x:c>
      <x:c r="O16" s="32" t="n">
        <x:v>2</x:v>
      </x:c>
      <x:c r="P16" s="24" t="str">
        <x:v>exact_sea_around_us</x:v>
      </x:c>
      <x:c r="Q16" s="32" t="str">
        <x:v>Sea Around Us exploited organisms</x:v>
      </x:c>
      <x:c r="R16" s="24" t="str">
        <x:v>high</x:v>
      </x:c>
      <x:c r="S16" s="24" t="str">
        <x:v>Crassostrea</x:v>
      </x:c>
      <x:c r="T16" s="32" t="n">
        <x:f>IF(O16="","",(1/'Metadata'!$B$5)^(O16-1))</x:f>
        <x:v>10</x:v>
      </x:c>
      <x:c r="U16" s="31" t="n">
        <x:f>IF(T16="","",I16*T16)</x:f>
        <x:v>132.67798187</x:v>
      </x:c>
    </x:row>
    <x:row r="17" ht="18" customHeight="1">
      <x:c r="A17" s="24" t="str">
        <x:v>EEZ_935</x:v>
      </x:c>
      <x:c r="B17" s="24" t="str">
        <x:v>Guatemala (Caribbean)</x:v>
      </x:c>
      <x:c r="C17" s="24" t="str">
        <x:v>EEZ</x:v>
      </x:c>
      <x:c r="D17" s="30" t="n">
        <x:v>2019</x:v>
      </x:c>
      <x:c r="E17" s="24" t="str">
        <x:v>Peprilus</x:v>
      </x:c>
      <x:c r="F17" s="24" t="str">
        <x:v>Harvestfishes</x:v>
      </x:c>
      <x:c r="G17" s="24" t="str">
        <x:v>Small benthopelagics (&lt;30 cm)</x:v>
      </x:c>
      <x:c r="H17" s="24" t="str">
        <x:v>Perch-likes</x:v>
      </x:c>
      <x:c r="I17" s="31" t="n">
        <x:v>13.267798187</x:v>
      </x:c>
      <x:c r="J17" s="31" t="n">
        <x:v>13.267798187</x:v>
      </x:c>
      <x:c r="K17" s="31" t="n">
        <x:v>0</x:v>
      </x:c>
      <x:c r="L17" s="31" t="n">
        <x:v>0</x:v>
      </x:c>
      <x:c r="M17" s="31" t="n">
        <x:v>13.267798187</x:v>
      </x:c>
      <x:c r="N17" s="24" t="str">
        <x:v>peprilus</x:v>
      </x:c>
      <x:c r="O17" s="32" t="n">
        <x:v>3.78</x:v>
      </x:c>
      <x:c r="P17" s="24" t="str">
        <x:v>exact_sea_around_us</x:v>
      </x:c>
      <x:c r="Q17" s="32" t="str">
        <x:v>Sea Around Us exploited organisms</x:v>
      </x:c>
      <x:c r="R17" s="24" t="str">
        <x:v>high</x:v>
      </x:c>
      <x:c r="S17" s="24" t="str">
        <x:v>Peprilus</x:v>
      </x:c>
      <x:c r="T17" s="32" t="n">
        <x:f>IF(O17="","",(1/'Metadata'!$B$5)^(O17-1))</x:f>
        <x:v>602.5595860743575</x:v>
      </x:c>
      <x:c r="U17" s="31" t="n">
        <x:f>IF(T17="","",I17*T17)</x:f>
        <x:v>7994.638983676831</x:v>
      </x:c>
    </x:row>
    <x:row r="18" ht="18" customHeight="1">
      <x:c r="A18" s="24" t="str">
        <x:v>EEZ_935</x:v>
      </x:c>
      <x:c r="B18" s="24" t="str">
        <x:v>Guatemala (Caribbean)</x:v>
      </x:c>
      <x:c r="C18" s="24" t="str">
        <x:v>EEZ</x:v>
      </x:c>
      <x:c r="D18" s="30" t="n">
        <x:v>2019</x:v>
      </x:c>
      <x:c r="E18" s="24" t="str">
        <x:v>Dasyatidae</x:v>
      </x:c>
      <x:c r="F18" s="24" t="str">
        <x:v>Whiptail stingrays</x:v>
      </x:c>
      <x:c r="G18" s="24" t="str">
        <x:v>Large rays (&gt;=90 cm)</x:v>
      </x:c>
      <x:c r="H18" s="24" t="str">
        <x:v>Sharks &amp; rays</x:v>
      </x:c>
      <x:c r="I18" s="31" t="n">
        <x:v>13.267798187</x:v>
      </x:c>
      <x:c r="J18" s="31" t="n">
        <x:v>13.267798187</x:v>
      </x:c>
      <x:c r="K18" s="31" t="n">
        <x:v>0</x:v>
      </x:c>
      <x:c r="L18" s="31" t="n">
        <x:v>0</x:v>
      </x:c>
      <x:c r="M18" s="31" t="n">
        <x:v>13.267798187</x:v>
      </x:c>
      <x:c r="N18" s="24" t="str">
        <x:v>dasyatidae</x:v>
      </x:c>
      <x:c r="O18" s="32" t="n">
        <x:v>3.38</x:v>
      </x:c>
      <x:c r="P18" s="24" t="str">
        <x:v>exact_sea_around_us</x:v>
      </x:c>
      <x:c r="Q18" s="32" t="str">
        <x:v>Sea Around Us exploited organisms</x:v>
      </x:c>
      <x:c r="R18" s="24" t="str">
        <x:v>high</x:v>
      </x:c>
      <x:c r="S18" s="24" t="str">
        <x:v>Dasyatidae</x:v>
      </x:c>
      <x:c r="T18" s="32" t="n">
        <x:f>IF(O18="","",(1/'Metadata'!$B$5)^(O18-1))</x:f>
        <x:v>239.88329190194898</x:v>
      </x:c>
      <x:c r="U18" s="31" t="n">
        <x:f>IF(T18="","",I18*T18)</x:f>
        <x:v>3182.7231053882706</x:v>
      </x:c>
    </x:row>
    <x:row r="19" ht="18" customHeight="1">
      <x:c r="A19" s="24" t="str">
        <x:v>EEZ_935</x:v>
      </x:c>
      <x:c r="B19" s="24" t="str">
        <x:v>Guatemala (Caribbean)</x:v>
      </x:c>
      <x:c r="C19" s="24" t="str">
        <x:v>EEZ</x:v>
      </x:c>
      <x:c r="D19" s="30" t="n">
        <x:v>2019</x:v>
      </x:c>
      <x:c r="E19" s="24" t="str">
        <x:v>Holothuriidae</x:v>
      </x:c>
      <x:c r="F19" s="24" t="str">
        <x:v>Fleshy sea cucumbers</x:v>
      </x:c>
      <x:c r="G19" s="24" t="str">
        <x:v>Other demersal invertebrates</x:v>
      </x:c>
      <x:c r="H19" s="24" t="str">
        <x:v>Other fishes &amp; inverts</x:v>
      </x:c>
      <x:c r="I19" s="31" t="n">
        <x:v>13.267798187</x:v>
      </x:c>
      <x:c r="J19" s="31" t="n">
        <x:v>13.267798187</x:v>
      </x:c>
      <x:c r="K19" s="31" t="n">
        <x:v>0</x:v>
      </x:c>
      <x:c r="L19" s="31" t="n">
        <x:v>0</x:v>
      </x:c>
      <x:c r="M19" s="31" t="n">
        <x:v>13.267798187</x:v>
      </x:c>
      <x:c r="N19" s="24" t="str">
        <x:v>holothuriidae</x:v>
      </x:c>
      <x:c r="O19" s="32" t="n">
        <x:v>2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Holothuriidae</x:v>
      </x:c>
      <x:c r="T19" s="32" t="n">
        <x:f>IF(O19="","",(1/'Metadata'!$B$5)^(O19-1))</x:f>
        <x:v>10</x:v>
      </x:c>
      <x:c r="U19" s="31" t="n">
        <x:f>IF(T19="","",I19*T19)</x:f>
        <x:v>132.67798187</x:v>
      </x:c>
    </x:row>
    <x:row r="20" ht="18" customHeight="1">
      <x:c r="A20" s="24" t="str">
        <x:v>EEZ_935</x:v>
      </x:c>
      <x:c r="B20" s="24" t="str">
        <x:v>Guatemala (Caribbean)</x:v>
      </x:c>
      <x:c r="C20" s="24" t="str">
        <x:v>EEZ</x:v>
      </x:c>
      <x:c r="D20" s="30" t="n">
        <x:v>2019</x:v>
      </x:c>
      <x:c r="E20" s="24" t="str">
        <x:v>Mugil</x:v>
      </x:c>
      <x:c r="F20" s="24" t="str">
        <x:v>Grey mullets</x:v>
      </x:c>
      <x:c r="G20" s="24" t="str">
        <x:v>Medium demersals (30 - 89 cm)</x:v>
      </x:c>
      <x:c r="H20" s="24" t="str">
        <x:v>Perch-likes</x:v>
      </x:c>
      <x:c r="I20" s="31" t="n">
        <x:v>13.267798187</x:v>
      </x:c>
      <x:c r="J20" s="31" t="n">
        <x:v>13.267798187</x:v>
      </x:c>
      <x:c r="K20" s="31" t="n">
        <x:v>0</x:v>
      </x:c>
      <x:c r="L20" s="31" t="n">
        <x:v>0</x:v>
      </x:c>
      <x:c r="M20" s="31" t="n">
        <x:v>13.267798187</x:v>
      </x:c>
      <x:c r="N20" s="24" t="str">
        <x:v>mugil</x:v>
      </x:c>
      <x:c r="O20" s="32" t="n">
        <x:v>2.26</x:v>
      </x:c>
      <x:c r="P20" s="24" t="str">
        <x:v>exact_sea_around_us</x:v>
      </x:c>
      <x:c r="Q20" s="32" t="str">
        <x:v>Sea Around Us exploited organisms</x:v>
      </x:c>
      <x:c r="R20" s="24" t="str">
        <x:v>high</x:v>
      </x:c>
      <x:c r="S20" s="24" t="str">
        <x:v>Mugil</x:v>
      </x:c>
      <x:c r="T20" s="32" t="n">
        <x:f>IF(O20="","",(1/'Metadata'!$B$5)^(O20-1))</x:f>
        <x:v>18.197008586099827</x:v>
      </x:c>
      <x:c r="U20" s="31" t="n">
        <x:f>IF(T20="","",I20*T20)</x:f>
        <x:v>241.43423752747873</x:v>
      </x:c>
    </x:row>
    <x:row r="21" ht="18" customHeight="1">
      <x:c r="A21" s="24" t="str">
        <x:v>EEZ_935</x:v>
      </x:c>
      <x:c r="B21" s="24" t="str">
        <x:v>Guatemala (Caribbean)</x:v>
      </x:c>
      <x:c r="C21" s="24" t="str">
        <x:v>EEZ</x:v>
      </x:c>
      <x:c r="D21" s="30" t="n">
        <x:v>2019</x:v>
      </x:c>
      <x:c r="E21" s="24" t="str">
        <x:v>Sphyraena</x:v>
      </x:c>
      <x:c r="F21" s="24" t="str">
        <x:v>Barracudas, sennets</x:v>
      </x:c>
      <x:c r="G21" s="24" t="str">
        <x:v>Large pelagics (&gt;=90 cm)</x:v>
      </x:c>
      <x:c r="H21" s="24" t="str">
        <x:v>Perch-likes</x:v>
      </x:c>
      <x:c r="I21" s="31" t="n">
        <x:v>13.267798187</x:v>
      </x:c>
      <x:c r="J21" s="31" t="n">
        <x:v>13.267798187</x:v>
      </x:c>
      <x:c r="K21" s="31" t="n">
        <x:v>0</x:v>
      </x:c>
      <x:c r="L21" s="31" t="n">
        <x:v>0</x:v>
      </x:c>
      <x:c r="M21" s="31" t="n">
        <x:v>13.267798187</x:v>
      </x:c>
      <x:c r="N21" s="24" t="str">
        <x:v>sphyraena</x:v>
      </x:c>
      <x:c r="O21" s="32" t="n">
        <x:v>4.4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Sphyraena</x:v>
      </x:c>
      <x:c r="T21" s="32" t="n">
        <x:f>IF(O21="","",(1/'Metadata'!$B$5)^(O21-1))</x:f>
        <x:v>2511.886431509582</x:v>
      </x:c>
      <x:c r="U21" s="31" t="n">
        <x:f>IF(T21="","",I21*T21)</x:f>
        <x:v>33327.20224193273</x:v>
      </x:c>
    </x:row>
    <x:row r="22" ht="18" customHeight="1">
      <x:c r="A22" s="24" t="str">
        <x:v>EEZ_935</x:v>
      </x:c>
      <x:c r="B22" s="24" t="str">
        <x:v>Guatemala (Caribbean)</x:v>
      </x:c>
      <x:c r="C22" s="24" t="str">
        <x:v>EEZ</x:v>
      </x:c>
      <x:c r="D22" s="30" t="n">
        <x:v>2019</x:v>
      </x:c>
      <x:c r="E22" s="24" t="str">
        <x:v>Panulirus argus</x:v>
      </x:c>
      <x:c r="F22" s="24" t="str">
        <x:v>Caribbean spiny lobster</x:v>
      </x:c>
      <x:c r="G22" s="24" t="str">
        <x:v>Lobsters, crabs</x:v>
      </x:c>
      <x:c r="H22" s="24" t="str">
        <x:v>Crustaceans</x:v>
      </x:c>
      <x:c r="I22" s="31" t="n">
        <x:v>13.267798187</x:v>
      </x:c>
      <x:c r="J22" s="31" t="n">
        <x:v>13.267798187</x:v>
      </x:c>
      <x:c r="K22" s="31" t="n">
        <x:v>0</x:v>
      </x:c>
      <x:c r="L22" s="31" t="n">
        <x:v>0</x:v>
      </x:c>
      <x:c r="M22" s="31" t="n">
        <x:v>13.267798187</x:v>
      </x:c>
      <x:c r="N22" s="24" t="str">
        <x:v>panulirus argus</x:v>
      </x:c>
      <x:c r="O22" s="32" t="n">
        <x:v>3.2</x:v>
      </x:c>
      <x:c r="P22" s="24" t="str">
        <x:v>exact_sea_around_us</x:v>
      </x:c>
      <x:c r="Q22" s="32" t="str">
        <x:v>Sea Around Us exploited organisms</x:v>
      </x:c>
      <x:c r="R22" s="24" t="str">
        <x:v>high</x:v>
      </x:c>
      <x:c r="S22" s="24" t="str">
        <x:v>Panulirus argus</x:v>
      </x:c>
      <x:c r="T22" s="32" t="n">
        <x:f>IF(O22="","",(1/'Metadata'!$B$5)^(O22-1))</x:f>
        <x:v>158.48931924611142</x:v>
      </x:c>
      <x:c r="U22" s="31" t="n">
        <x:f>IF(T22="","",I22*T22)</x:f>
        <x:v>2102.804302552421</x:v>
      </x:c>
    </x:row>
    <x:row r="23" ht="18" customHeight="1">
      <x:c r="A23" s="24" t="str">
        <x:v>EEZ_935</x:v>
      </x:c>
      <x:c r="B23" s="24" t="str">
        <x:v>Guatemala (Caribbean)</x:v>
      </x:c>
      <x:c r="C23" s="24" t="str">
        <x:v>EEZ</x:v>
      </x:c>
      <x:c r="D23" s="30" t="n">
        <x:v>2019</x:v>
      </x:c>
      <x:c r="E23" s="24" t="str">
        <x:v>Veneridae</x:v>
      </x:c>
      <x:c r="F23" s="24" t="str">
        <x:v>Venus clams</x:v>
      </x:c>
      <x:c r="G23" s="24" t="str">
        <x:v>Other demersal invertebrates</x:v>
      </x:c>
      <x:c r="H23" s="24" t="str">
        <x:v>Molluscs</x:v>
      </x:c>
      <x:c r="I23" s="31" t="n">
        <x:v>13.267798187</x:v>
      </x:c>
      <x:c r="J23" s="31" t="n">
        <x:v>13.267798187</x:v>
      </x:c>
      <x:c r="K23" s="31" t="n">
        <x:v>0</x:v>
      </x:c>
      <x:c r="L23" s="31" t="n">
        <x:v>0</x:v>
      </x:c>
      <x:c r="M23" s="31" t="n">
        <x:v>13.267798187</x:v>
      </x:c>
      <x:c r="N23" s="24" t="str">
        <x:v>veneridae</x:v>
      </x:c>
      <x:c r="O23" s="32" t="n">
        <x:v>2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Veneridae</x:v>
      </x:c>
      <x:c r="T23" s="32" t="n">
        <x:f>IF(O23="","",(1/'Metadata'!$B$5)^(O23-1))</x:f>
        <x:v>10</x:v>
      </x:c>
      <x:c r="U23" s="31" t="n">
        <x:f>IF(T23="","",I23*T23)</x:f>
        <x:v>132.67798187</x:v>
      </x:c>
    </x:row>
    <x:row r="24" ht="18" customHeight="1">
      <x:c r="A24" s="24" t="str">
        <x:v>EEZ_935</x:v>
      </x:c>
      <x:c r="B24" s="24" t="str">
        <x:v>Guatemala (Caribbean)</x:v>
      </x:c>
      <x:c r="C24" s="24" t="str">
        <x:v>EEZ</x:v>
      </x:c>
      <x:c r="D24" s="30" t="n">
        <x:v>2019</x:v>
      </x:c>
      <x:c r="E24" s="24" t="str">
        <x:v>Epinephelus</x:v>
      </x:c>
      <x:c r="F24" s="24" t="str">
        <x:v>Seabasses, hinds</x:v>
      </x:c>
      <x:c r="G24" s="24" t="str">
        <x:v>Medium reef assoc. fish (30 - 89 cm)</x:v>
      </x:c>
      <x:c r="H24" s="24" t="str">
        <x:v>Perch-likes</x:v>
      </x:c>
      <x:c r="I24" s="31" t="n">
        <x:v>13.267798185999998</x:v>
      </x:c>
      <x:c r="J24" s="31" t="n">
        <x:v>13.267798185999998</x:v>
      </x:c>
      <x:c r="K24" s="31" t="n">
        <x:v>0</x:v>
      </x:c>
      <x:c r="L24" s="31" t="n">
        <x:v>0</x:v>
      </x:c>
      <x:c r="M24" s="31" t="n">
        <x:v>13.267798185999998</x:v>
      </x:c>
      <x:c r="N24" s="24" t="str">
        <x:v>epinephelus</x:v>
      </x:c>
      <x:c r="O24" s="32" t="n">
        <x:v>3.84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Epinephelus</x:v>
      </x:c>
      <x:c r="T24" s="32" t="n">
        <x:f>IF(O24="","",(1/'Metadata'!$B$5)^(O24-1))</x:f>
        <x:v>691.8309709189363</x:v>
      </x:c>
      <x:c r="U24" s="31" t="n">
        <x:f>IF(T24="","",I24*T24)</x:f>
        <x:v>9179.07370097688</x:v>
      </x:c>
    </x:row>
  </x:sheetData>
  <x:conditionalFormatting sqref="R2:R24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b402c123f4e74cc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3580.3119327</x:v>
      </x:c>
      <x:c r="C2" s="32" t="n">
        <x:v>3.2</x:v>
      </x:c>
      <x:c r="D2" s="32" t="n">
        <x:f>IF(C2="","",(1/'Metadata'!$B$5)^(C2-1))</x:f>
        <x:v>158.48931924611142</x:v>
      </x:c>
      <x:c r="E2" s="31" t="n">
        <x:f>IF(B2=0,"",B2*D2)</x:f>
        <x:v>567441.2009023525</x:v>
      </x:c>
    </x:row>
    <x:row r="3" ht="18" customHeight="1">
      <x:c r="A3" s="24" t="str">
        <x:v>Crustaceans</x:v>
      </x:c>
      <x:c r="B3" s="31" t="n">
        <x:v>13.267798187</x:v>
      </x:c>
      <x:c r="C3" s="32" t="n">
        <x:v>3.2</x:v>
      </x:c>
      <x:c r="D3" s="32" t="n">
        <x:f>IF(C3="","",(1/'Metadata'!$B$5)^(C3-1))</x:f>
        <x:v>158.48931924611142</x:v>
      </x:c>
      <x:c r="E3" s="31" t="n">
        <x:f>IF(B3=0,"",B3*D3)</x:f>
        <x:v>2102.804302552421</x:v>
      </x:c>
    </x:row>
    <x:row r="4" ht="18" customHeight="1">
      <x:c r="A4" s="24" t="str">
        <x:v>Flatfishes</x:v>
      </x:c>
      <x:c r="B4" s="31" t="n">
        <x:v>15.423092474</x:v>
      </x:c>
      <x:c r="C4" s="32" t="n">
        <x:v>3.57</x:v>
      </x:c>
      <x:c r="D4" s="32" t="n">
        <x:f>IF(C4="","",(1/'Metadata'!$B$5)^(C4-1))</x:f>
        <x:v>371.5352290971724</x:v>
      </x:c>
      <x:c r="E4" s="31" t="n">
        <x:f>IF(B4=0,"",B4*D4)</x:f>
        <x:v>5730.222195714466</x:v>
      </x:c>
    </x:row>
    <x:row r="5" ht="18" customHeight="1">
      <x:c r="A5" s="24" t="str">
        <x:v>Molluscs</x:v>
      </x:c>
      <x:c r="B5" s="31" t="n">
        <x:v>39.803394561000005</x:v>
      </x:c>
      <x:c r="C5" s="32" t="n">
        <x:v>2.063333333333333</x:v>
      </x:c>
      <x:c r="D5" s="32" t="n">
        <x:f>IF(C5="","",(1/'Metadata'!$B$5)^(C5-1))</x:f>
        <x:v>11.569999317502104</x:v>
      </x:c>
      <x:c r="E5" s="31" t="n">
        <x:f>IF(B5=0,"",B5*D5)</x:f>
        <x:v>460.525247905037</x:v>
      </x:c>
    </x:row>
    <x:row r="6" ht="18" customHeight="1">
      <x:c r="A6" s="24" t="str">
        <x:v>Other fishes &amp; inverts</x:v>
      </x:c>
      <x:c r="B6" s="31" t="n">
        <x:v>405.560079894</x:v>
      </x:c>
      <x:c r="C6" s="32" t="n">
        <x:v>3.4434318583173265</x:v>
      </x:c>
      <x:c r="D6" s="32" t="n">
        <x:f>IF(C6="","",(1/'Metadata'!$B$5)^(C6-1))</x:f>
        <x:v>277.6079239484674</x:v>
      </x:c>
      <x:c r="E6" s="31" t="n">
        <x:f>IF(B6=0,"",B6*D6)</x:f>
        <x:v>112586.69181574791</x:v>
      </x:c>
    </x:row>
    <x:row r="7" ht="18" customHeight="1">
      <x:c r="A7" s="24" t="str">
        <x:v>Perch-likes</x:v>
      </x:c>
      <x:c r="B7" s="31" t="n">
        <x:v>626.7137272960002</x:v>
      </x:c>
      <x:c r="C7" s="32" t="n">
        <x:v>3.6015651413284675</x:v>
      </x:c>
      <x:c r="D7" s="32" t="n">
        <x:f>IF(C7="","",(1/'Metadata'!$B$5)^(C7-1))</x:f>
        <x:v>399.5444858706373</x:v>
      </x:c>
      <x:c r="E7" s="31" t="n">
        <x:f>IF(B7=0,"",B7*D7)</x:f>
        <x:v>250400.0139605512</x:v>
      </x:c>
    </x:row>
    <x:row r="8" ht="18" customHeight="1">
      <x:c r="A8" s="24" t="str">
        <x:v>Sharks &amp; rays</x:v>
      </x:c>
      <x:c r="B8" s="31" t="n">
        <x:v>13.267798187</x:v>
      </x:c>
      <x:c r="C8" s="32" t="n">
        <x:v>3.38</x:v>
      </x:c>
      <x:c r="D8" s="32" t="n">
        <x:f>IF(C8="","",(1/'Metadata'!$B$5)^(C8-1))</x:f>
        <x:v>239.88329190194898</x:v>
      </x:c>
      <x:c r="E8" s="31" t="n">
        <x:f>IF(B8=0,"",B8*D8)</x:f>
        <x:v>3182.7231053882706</x:v>
      </x:c>
    </x:row>
  </x:sheetData>
  <x:pageMargins left="0.7" right="0.7" top="0.75" bottom="0.75" header="0.3" footer="0.3"/>
  <x:tableParts count="1">
    <x:tablePart xmlns:r="http://schemas.openxmlformats.org/officeDocument/2006/relationships" r:id="R2a2ed462361c443c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18.414995793</x:v>
      </x:c>
      <x:c r="C2" s="32" t="n">
        <x:v>3.8999999999999995</x:v>
      </x:c>
      <x:c r="D2" s="32" t="n">
        <x:f>IF(C2="","",(1/'Metadata'!$B$5)^(C2-1))</x:f>
        <x:v>794.3282347242805</x:v>
      </x:c>
      <x:c r="E2" s="31" t="n">
        <x:f>IF(B2=0,"",B2*D2)</x:f>
        <x:v>14627.55110070874</x:v>
      </x:c>
    </x:row>
    <x:row r="3" ht="18" customHeight="1">
      <x:c r="A3" s="24" t="str">
        <x:v>Large bathydemersals (&gt;=90 cm)</x:v>
      </x:c>
      <x:c r="B3" s="31" t="n">
        <x:v>83.64693663</x:v>
      </x:c>
      <x:c r="C3" s="32" t="n">
        <x:v>3.67</x:v>
      </x:c>
      <x:c r="D3" s="32" t="n">
        <x:f>IF(C3="","",(1/'Metadata'!$B$5)^(C3-1))</x:f>
        <x:v>467.73514128719813</x:v>
      </x:c>
      <x:c r="E3" s="31" t="n">
        <x:f>IF(B3=0,"",B3*D3)</x:f>
        <x:v>39124.61172287436</x:v>
      </x:c>
    </x:row>
    <x:row r="4" ht="18" customHeight="1">
      <x:c r="A4" s="24" t="str">
        <x:v>Large pelagics (&gt;=90 cm)</x:v>
      </x:c>
      <x:c r="B4" s="31" t="n">
        <x:v>13.267798187</x:v>
      </x:c>
      <x:c r="C4" s="32" t="n">
        <x:v>4.4</x:v>
      </x:c>
      <x:c r="D4" s="32" t="n">
        <x:f>IF(C4="","",(1/'Metadata'!$B$5)^(C4-1))</x:f>
        <x:v>2511.886431509582</x:v>
      </x:c>
      <x:c r="E4" s="31" t="n">
        <x:f>IF(B4=0,"",B4*D4)</x:f>
        <x:v>33327.20224193273</x:v>
      </x:c>
    </x:row>
    <x:row r="5" ht="18" customHeight="1">
      <x:c r="A5" s="24" t="str">
        <x:v>Large rays (&gt;=90 cm)</x:v>
      </x:c>
      <x:c r="B5" s="31" t="n">
        <x:v>13.267798187</x:v>
      </x:c>
      <x:c r="C5" s="32" t="n">
        <x:v>3.38</x:v>
      </x:c>
      <x:c r="D5" s="32" t="n">
        <x:f>IF(C5="","",(1/'Metadata'!$B$5)^(C5-1))</x:f>
        <x:v>239.88329190194898</x:v>
      </x:c>
      <x:c r="E5" s="31" t="n">
        <x:f>IF(B5=0,"",B5*D5)</x:f>
        <x:v>3182.7231053882706</x:v>
      </x:c>
    </x:row>
    <x:row r="6" ht="18" customHeight="1">
      <x:c r="A6" s="24" t="str">
        <x:v>Lobsters, crabs</x:v>
      </x:c>
      <x:c r="B6" s="31" t="n">
        <x:v>13.267798187</x:v>
      </x:c>
      <x:c r="C6" s="32" t="n">
        <x:v>3.2</x:v>
      </x:c>
      <x:c r="D6" s="32" t="n">
        <x:f>IF(C6="","",(1/'Metadata'!$B$5)^(C6-1))</x:f>
        <x:v>158.48931924611142</x:v>
      </x:c>
      <x:c r="E6" s="31" t="n">
        <x:f>IF(B6=0,"",B6*D6)</x:f>
        <x:v>2102.804302552421</x:v>
      </x:c>
    </x:row>
    <x:row r="7" ht="18" customHeight="1">
      <x:c r="A7" s="24" t="str">
        <x:v>Medium demersals (30 - 89 cm)</x:v>
      </x:c>
      <x:c r="B7" s="31" t="n">
        <x:v>446.941209749</x:v>
      </x:c>
      <x:c r="C7" s="32" t="n">
        <x:v>3.421520922159788</x:v>
      </x:c>
      <x:c r="D7" s="32" t="n">
        <x:f>IF(C7="","",(1/'Metadata'!$B$5)^(C7-1))</x:f>
        <x:v>263.9495477138003</x:v>
      </x:c>
      <x:c r="E7" s="31" t="n">
        <x:f>IF(B7=0,"",B7*D7)</x:f>
        <x:v>117969.93016790731</x:v>
      </x:c>
    </x:row>
    <x:row r="8" ht="18" customHeight="1">
      <x:c r="A8" s="24" t="str">
        <x:v>Medium reef assoc. fish (30 - 89 cm)</x:v>
      </x:c>
      <x:c r="B8" s="31" t="n">
        <x:v>271.983394827</x:v>
      </x:c>
      <x:c r="C8" s="32" t="n">
        <x:v>4.011219303387991</x:v>
      </x:c>
      <x:c r="D8" s="32" t="n">
        <x:f>IF(C8="","",(1/'Metadata'!$B$5)^(C8-1))</x:f>
        <x:v>1026.1699750681687</x:v>
      </x:c>
      <x:c r="E8" s="31" t="n">
        <x:f>IF(B8=0,"",B8*D8)</x:f>
        <x:v>279101.1934885784</x:v>
      </x:c>
    </x:row>
    <x:row r="9" ht="18" customHeight="1">
      <x:c r="A9" s="24" t="str">
        <x:v>Other demersal invertebrates</x:v>
      </x:c>
      <x:c r="B9" s="31" t="n">
        <x:v>53.071192748</x:v>
      </x:c>
      <x:c r="C9" s="32" t="n">
        <x:v>2.0475</x:v>
      </x:c>
      <x:c r="D9" s="32" t="n">
        <x:f>IF(C9="","",(1/'Metadata'!$B$5)^(C9-1))</x:f>
        <x:v>11.15578151350852</x:v>
      </x:c>
      <x:c r="E9" s="31" t="n">
        <x:f>IF(B9=0,"",B9*D9)</x:f>
        <x:v>592.0506309579858</x:v>
      </x:c>
    </x:row>
    <x:row r="10" ht="18" customHeight="1">
      <x:c r="A10" s="24" t="str">
        <x:v>Small benthopelagics (&lt;30 cm)</x:v>
      </x:c>
      <x:c r="B10" s="31" t="n">
        <x:v>184.751673817</x:v>
      </x:c>
      <x:c r="C10" s="32" t="n">
        <x:v>3.0838606684024223</x:v>
      </x:c>
      <x:c r="D10" s="32" t="n">
        <x:f>IF(C10="","",(1/'Metadata'!$B$5)^(C10-1))</x:f>
        <x:v>121.29996300229524</x:v>
      </x:c>
      <x:c r="E10" s="31" t="n">
        <x:f>IF(B10=0,"",B10*D10)</x:f>
        <x:v>22410.37119861422</x:v>
      </x:c>
    </x:row>
    <x:row r="11" ht="18" customHeight="1">
      <x:c r="A11" s="24" t="str">
        <x:v>Small pelagics (&lt;30 cm)</x:v>
      </x:c>
      <x:c r="B11" s="31" t="n">
        <x:v>3580.3119327</x:v>
      </x:c>
      <x:c r="C11" s="32" t="n">
        <x:v>3.2</x:v>
      </x:c>
      <x:c r="D11" s="32" t="n">
        <x:f>IF(C11="","",(1/'Metadata'!$B$5)^(C11-1))</x:f>
        <x:v>158.48931924611142</x:v>
      </x:c>
      <x:c r="E11" s="31" t="n">
        <x:f>IF(B11=0,"",B11*D11)</x:f>
        <x:v>567441.2009023525</x:v>
      </x:c>
    </x:row>
    <x:row r="12" ht="18" customHeight="1">
      <x:c r="A12" s="24" t="str">
        <x:v>Small to medium flatfishes (&lt;90 cm)</x:v>
      </x:c>
      <x:c r="B12" s="31" t="n">
        <x:v>15.423092474</x:v>
      </x:c>
      <x:c r="C12" s="32" t="n">
        <x:v>3.57</x:v>
      </x:c>
      <x:c r="D12" s="32" t="n">
        <x:f>IF(C12="","",(1/'Metadata'!$B$5)^(C12-1))</x:f>
        <x:v>371.5352290971724</x:v>
      </x:c>
      <x:c r="E12" s="31" t="n">
        <x:f>IF(B12=0,"",B12*D12)</x:f>
        <x:v>5730.222195714466</x:v>
      </x:c>
    </x:row>
  </x:sheetData>
  <x:pageMargins left="0.7" right="0.7" top="0.75" bottom="0.75" header="0.3" footer="0.3"/>
  <x:tableParts count="1">
    <x:tablePart xmlns:r="http://schemas.openxmlformats.org/officeDocument/2006/relationships" r:id="Rdbe3f85551b043eb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EEZ_935</x:v>
      </x:c>
      <x:c r="B2" s="24" t="str">
        <x:v>raw_filtered_tonnes</x:v>
      </x:c>
      <x:c r="C2" s="24" t="n">
        <x:v>4694.347823298999</x:v>
      </x:c>
      <x:c r="D2" s="24" t="str">
        <x:v>tonnes</x:v>
      </x:c>
    </x:row>
    <x:row r="3" ht="18" customHeight="1">
      <x:c r="A3" s="24" t="str">
        <x:v>EEZ_935</x:v>
      </x:c>
      <x:c r="B3" s="24" t="str">
        <x:v>species_catch_tonnes</x:v>
      </x:c>
      <x:c r="C3" s="24" t="n">
        <x:v>4694.347823299001</x:v>
      </x:c>
      <x:c r="D3" s="24" t="str">
        <x:v>tonnes</x:v>
      </x:c>
    </x:row>
    <x:row r="4" ht="18" customHeight="1">
      <x:c r="A4" s="24" t="str">
        <x:v>EEZ_935</x:v>
      </x:c>
      <x:c r="B4" s="24" t="str">
        <x:v>catch_difference_tonnes</x:v>
      </x:c>
      <x:c r="C4" s="24" t="n">
        <x:v>1.8189894035458565e-12</x:v>
      </x:c>
      <x:c r="D4" s="24" t="str">
        <x:v>tonnes</x:v>
      </x:c>
    </x:row>
    <x:row r="5" ht="18" customHeight="1">
      <x:c r="A5" s="24" t="str">
        <x:v>EEZ_935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EEZ_935</x:v>
      </x:c>
      <x:c r="B6" s="24" t="str">
        <x:v>matched_catch_tonnes</x:v>
      </x:c>
      <x:c r="C6" s="24" t="n">
        <x:v>4694.347823299001</x:v>
      </x:c>
      <x:c r="D6" s="24" t="str">
        <x:v>tonnes</x:v>
      </x:c>
    </x:row>
    <x:row r="7" ht="18" customHeight="1">
      <x:c r="A7" s="24" t="str">
        <x:v>EEZ_935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EEZ_935</x:v>
      </x:c>
      <x:c r="B8" s="24" t="str">
        <x:v>taxa_count</x:v>
      </x:c>
      <x:c r="C8" s="24" t="n">
        <x:v>23</x:v>
      </x:c>
      <x:c r="D8" s="24" t="str">
        <x:v>count</x:v>
      </x:c>
    </x:row>
    <x:row r="9" ht="18" customHeight="1">
      <x:c r="A9" s="24" t="str">
        <x:v>EEZ_935</x:v>
      </x:c>
      <x:c r="B9" s="24" t="str">
        <x:v>matched_taxa_count</x:v>
      </x:c>
      <x:c r="C9" s="24" t="n">
        <x:v>23</x:v>
      </x:c>
      <x:c r="D9" s="24" t="str">
        <x:v>count</x:v>
      </x:c>
    </x:row>
    <x:row r="10" ht="18" customHeight="1">
      <x:c r="A10" s="24" t="str">
        <x:v>EEZ_935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EEZ_935</x:v>
      </x:c>
      <x:c r="B11" s="24" t="str">
        <x:v>species_ppr</x:v>
      </x:c>
      <x:c r="C11" s="24" t="n">
        <x:v>1114718.28132553</x:v>
      </x:c>
      <x:c r="D11" s="24" t="str">
        <x:v>tonnes_primary_production_equivalent</x:v>
      </x:c>
    </x:row>
    <x:row r="12" ht="18" customHeight="1">
      <x:c r="A12" s="24" t="str">
        <x:v>EEZ_935</x:v>
      </x:c>
      <x:c r="B12" s="24" t="str">
        <x:v>commercial_ppr</x:v>
      </x:c>
      <x:c r="C12" s="24" t="n">
        <x:v>941904.1815302117</x:v>
      </x:c>
      <x:c r="D12" s="24" t="str">
        <x:v>tonnes_primary_production_equivalent</x:v>
      </x:c>
    </x:row>
    <x:row r="13" ht="18" customHeight="1">
      <x:c r="A13" s="24" t="str">
        <x:v>EEZ_935</x:v>
      </x:c>
      <x:c r="B13" s="24" t="str">
        <x:v>functional_ppr</x:v>
      </x:c>
      <x:c r="C13" s="24" t="n">
        <x:v>1085609.8610575816</x:v>
      </x:c>
      <x:c r="D13" s="24" t="str">
        <x:v>tonnes_primary_production_equivalent</x:v>
      </x:c>
    </x:row>
    <x:row r="14" ht="18" customHeight="1">
      <x:c r="A14" s="24" t="str">
        <x:v>EEZ_935</x:v>
      </x:c>
      <x:c r="B14" s="24" t="str">
        <x:v>commercial_ppr_difference</x:v>
      </x:c>
      <x:c r="C14" s="24" t="n">
        <x:v>-172814.09979531833</x:v>
      </x:c>
      <x:c r="D14" s="24" t="str">
        <x:v>tonnes_primary_production_equivalent</x:v>
      </x:c>
    </x:row>
    <x:row r="15" ht="18" customHeight="1">
      <x:c r="A15" s="24" t="str">
        <x:v>EEZ_935</x:v>
      </x:c>
      <x:c r="B15" s="24" t="str">
        <x:v>functional_ppr_difference</x:v>
      </x:c>
      <x:c r="C15" s="24" t="n">
        <x:v>-29108.420267948415</x:v>
      </x:c>
      <x:c r="D15" s="24" t="str">
        <x:v>tonnes_primary_production_equivalent</x:v>
      </x:c>
    </x:row>
    <x:row r="16" ht="18" customHeight="1">
      <x:c r="A16" s="24" t="str">
        <x:v>EEZ_935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EEZ_935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59c18d28b3194d2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EEZ_935 - Guatemala (Caribbean)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EEZ_935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raw_data/SAU_downloads/EEZ_935-catch.zip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