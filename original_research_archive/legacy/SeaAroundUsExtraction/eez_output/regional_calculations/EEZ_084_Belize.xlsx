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76f6cd5b2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36efb7b804b4cf7"/>
    <x:sheet xmlns:r="http://schemas.openxmlformats.org/officeDocument/2006/relationships" name="Commercial" sheetId="2" r:id="R45076fca888a4899"/>
    <x:sheet xmlns:r="http://schemas.openxmlformats.org/officeDocument/2006/relationships" name="Functional" sheetId="3" r:id="R32e1f56003b74c69"/>
    <x:sheet xmlns:r="http://schemas.openxmlformats.org/officeDocument/2006/relationships" name="Missing TL" sheetId="4" r:id="R23fb8eee7d58408c"/>
    <x:sheet xmlns:r="http://schemas.openxmlformats.org/officeDocument/2006/relationships" name="Validation" sheetId="5" r:id="Ree200e4dda0d493c"/>
    <x:sheet xmlns:r="http://schemas.openxmlformats.org/officeDocument/2006/relationships" name="Metadata" sheetId="6" r:id="R6e078200c391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bef6599f24f4a" /><Relationship Type="http://schemas.openxmlformats.org/officeDocument/2006/relationships/theme" Target="/xl/theme/theme1.xml" Id="R8cc102e3063841e7" /><Relationship Type="http://schemas.microsoft.com/office/2022/11/relationships/FeaturePropertyBag" Target="/xl/featurePropertyBag/featurePropertyBag.xml" Id="R4ce93b0eb2e34310" /><Relationship Type="http://schemas.openxmlformats.org/officeDocument/2006/relationships/sharedStrings" Target="/xl/sharedStrings.xml" Id="R312b4d16534d4800" /><Relationship Type="http://schemas.openxmlformats.org/officeDocument/2006/relationships/worksheet" Target="/xl/worksheets/sheet1.xml" Id="Rd36efb7b804b4cf7" /><Relationship Type="http://schemas.openxmlformats.org/officeDocument/2006/relationships/worksheet" Target="/xl/worksheets/sheet2.xml" Id="R45076fca888a4899" /><Relationship Type="http://schemas.openxmlformats.org/officeDocument/2006/relationships/worksheet" Target="/xl/worksheets/sheet3.xml" Id="R32e1f56003b74c69" /><Relationship Type="http://schemas.openxmlformats.org/officeDocument/2006/relationships/worksheet" Target="/xl/worksheets/sheet4.xml" Id="R23fb8eee7d58408c" /><Relationship Type="http://schemas.openxmlformats.org/officeDocument/2006/relationships/worksheet" Target="/xl/worksheets/sheet5.xml" Id="Ree200e4dda0d493c" /><Relationship Type="http://schemas.openxmlformats.org/officeDocument/2006/relationships/worksheet" Target="/xl/worksheets/sheet6.xml" Id="R6e078200c39143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84SpeciesTable" displayName="EEZ084SpeciesTable" ref="A1:U55" headerRowCount="1" totalsRowCount="0" totalsRowShown="0">
  <x:autoFilter ref="A1:U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84CommercialTable" displayName="EEZ084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84FunctionalTable" displayName="EEZ084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84ValidationTable" displayName="EEZ08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90c52098e44b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4513527ee84b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a1fa8ddcf24f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1aaa9f8628409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EEZ_084</x:v>
      </x:c>
      <x:c r="B2" s="24" t="str">
        <x:v>Belize</x:v>
      </x:c>
      <x:c r="C2" s="24" t="str">
        <x:v>EEZ</x:v>
      </x:c>
      <x:c r="D2" s="30" t="n">
        <x:v>2019</x:v>
      </x:c>
      <x:c r="E2" s="24" t="str">
        <x:v>Aliger gigas</x:v>
      </x:c>
      <x:c r="F2" s="24" t="str">
        <x:v>Pink conch</x:v>
      </x:c>
      <x:c r="G2" s="24" t="str">
        <x:v>Other demersal invertebrates</x:v>
      </x:c>
      <x:c r="H2" s="24" t="str">
        <x:v>Molluscs</x:v>
      </x:c>
      <x:c r="I2" s="31" t="n">
        <x:v>4288</x:v>
      </x:c>
      <x:c r="J2" s="31" t="n">
        <x:v>4288</x:v>
      </x:c>
      <x:c r="K2" s="31" t="n">
        <x:v>0</x:v>
      </x:c>
      <x:c r="L2" s="31" t="n">
        <x:v>4288</x:v>
      </x:c>
      <x:c r="M2" s="31" t="n">
        <x:v>0</x:v>
      </x:c>
      <x:c r="N2" s="24" t="str">
        <x:v>aliger gigas</x:v>
      </x:c>
      <x:c r="O2" s="32" t="n">
        <x:v>2.19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Aliger gigas</x:v>
      </x:c>
      <x:c r="T2" s="32" t="n">
        <x:f>IF(O2="","",(1/'Metadata'!$B$5)^(O2-1))</x:f>
        <x:v>15.488166189124811</x:v>
      </x:c>
      <x:c r="U2" s="31" t="n">
        <x:f>IF(T2="","",I2*T2)</x:f>
        <x:v>66413.25661896719</x:v>
      </x:c>
    </x:row>
    <x:row r="3" ht="18" customHeight="1">
      <x:c r="A3" s="24" t="str">
        <x:v>EEZ_084</x:v>
      </x:c>
      <x:c r="B3" s="24" t="str">
        <x:v>Belize</x:v>
      </x:c>
      <x:c r="C3" s="24" t="str">
        <x:v>EEZ</x:v>
      </x:c>
      <x:c r="D3" s="30" t="n">
        <x:v>2019</x:v>
      </x:c>
      <x:c r="E3" s="24" t="str">
        <x:v>Panulirus argus</x:v>
      </x:c>
      <x:c r="F3" s="24" t="str">
        <x:v>Caribbean spiny lobster</x:v>
      </x:c>
      <x:c r="G3" s="24" t="str">
        <x:v>Lobsters, crabs</x:v>
      </x:c>
      <x:c r="H3" s="24" t="str">
        <x:v>Crustaceans</x:v>
      </x:c>
      <x:c r="I3" s="31" t="n">
        <x:v>1059.7048062417</x:v>
      </x:c>
      <x:c r="J3" s="31" t="n">
        <x:v>1059.7048062417</x:v>
      </x:c>
      <x:c r="K3" s="31" t="n">
        <x:v>0</x:v>
      </x:c>
      <x:c r="L3" s="31" t="n">
        <x:v>800</x:v>
      </x:c>
      <x:c r="M3" s="31" t="n">
        <x:v>259.7048062417</x:v>
      </x:c>
      <x:c r="N3" s="24" t="str">
        <x:v>panulirus argus</x:v>
      </x:c>
      <x:c r="O3" s="32" t="n">
        <x:v>3.2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Panulirus argus</x:v>
      </x:c>
      <x:c r="T3" s="32" t="n">
        <x:f>IF(O3="","",(1/'Metadata'!$B$5)^(O3-1))</x:f>
        <x:v>158.48931924611142</x:v>
      </x:c>
      <x:c r="U3" s="31" t="n">
        <x:f>IF(T3="","",I3*T3)</x:f>
        <x:v>167951.89334307943</x:v>
      </x:c>
    </x:row>
    <x:row r="4" ht="18" customHeight="1">
      <x:c r="A4" s="24" t="str">
        <x:v>EEZ_084</x:v>
      </x:c>
      <x:c r="B4" s="24" t="str">
        <x:v>Belize</x:v>
      </x:c>
      <x:c r="C4" s="24" t="str">
        <x:v>EEZ</x:v>
      </x:c>
      <x:c r="D4" s="30" t="n">
        <x:v>2019</x:v>
      </x:c>
      <x:c r="E4" s="24" t="str">
        <x:v>Lutjanus synagris</x:v>
      </x:c>
      <x:c r="F4" s="24" t="str">
        <x:v>Lane snapper</x:v>
      </x:c>
      <x:c r="G4" s="24" t="str">
        <x:v>Medium reef assoc. fish (30 - 89 cm)</x:v>
      </x:c>
      <x:c r="H4" s="24" t="str">
        <x:v>Perch-likes</x:v>
      </x:c>
      <x:c r="I4" s="31" t="n">
        <x:v>285.8337202733</x:v>
      </x:c>
      <x:c r="J4" s="31" t="n">
        <x:v>285.8337202733</x:v>
      </x:c>
      <x:c r="K4" s="31" t="n">
        <x:v>0</x:v>
      </x:c>
      <x:c r="L4" s="31" t="n">
        <x:v>8.2283384882</x:v>
      </x:c>
      <x:c r="M4" s="31" t="n">
        <x:v>277.6053817851</x:v>
      </x:c>
      <x:c r="N4" s="24" t="str">
        <x:v>lutjanus synagris</x:v>
      </x:c>
      <x:c r="O4" s="32" t="n">
        <x:v>3.82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Lutjanus synagris</x:v>
      </x:c>
      <x:c r="T4" s="32" t="n">
        <x:f>IF(O4="","",(1/'Metadata'!$B$5)^(O4-1))</x:f>
        <x:v>660.6934480075957</x:v>
      </x:c>
      <x:c r="U4" s="31" t="n">
        <x:f>IF(T4="","",I4*T4)</x:f>
        <x:v>188848.4662042052</x:v>
      </x:c>
    </x:row>
    <x:row r="5" ht="18" customHeight="1">
      <x:c r="A5" s="24" t="str">
        <x:v>EEZ_084</x:v>
      </x:c>
      <x:c r="B5" s="24" t="str">
        <x:v>Belize</x:v>
      </x:c>
      <x:c r="C5" s="24" t="str">
        <x:v>EEZ</x:v>
      </x:c>
      <x:c r="D5" s="30" t="n">
        <x:v>2019</x:v>
      </x:c>
      <x:c r="E5" s="24" t="str">
        <x:v>Sphyrna</x:v>
      </x:c>
      <x:c r="F5" s="24" t="str">
        <x:v>Hammerhead sharks</x:v>
      </x:c>
      <x:c r="G5" s="24" t="str">
        <x:v>Large sharks (&gt;=90 cm)</x:v>
      </x:c>
      <x:c r="H5" s="24" t="str">
        <x:v>Sharks &amp; rays</x:v>
      </x:c>
      <x:c r="I5" s="31" t="n">
        <x:v>282.2906680883</x:v>
      </x:c>
      <x:c r="J5" s="31" t="n">
        <x:v>282.2906680883</x:v>
      </x:c>
      <x:c r="K5" s="31" t="n">
        <x:v>0</x:v>
      </x:c>
      <x:c r="L5" s="31" t="n">
        <x:v>0</x:v>
      </x:c>
      <x:c r="M5" s="31" t="n">
        <x:v>282.2906680883</x:v>
      </x:c>
      <x:c r="N5" s="24" t="str">
        <x:v>sphyrna</x:v>
      </x:c>
      <x:c r="O5" s="32" t="n">
        <x:v>4.2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Sphyrna</x:v>
      </x:c>
      <x:c r="T5" s="32" t="n">
        <x:f>IF(O5="","",(1/'Metadata'!$B$5)^(O5-1))</x:f>
        <x:v>1584.893192461114</x:v>
      </x:c>
      <x:c r="U5" s="31" t="n">
        <x:f>IF(T5="","",I5*T5)</x:f>
        <x:v>447400.5581484465</x:v>
      </x:c>
    </x:row>
    <x:row r="6" ht="18" customHeight="1">
      <x:c r="A6" s="24" t="str">
        <x:v>EEZ_084</x:v>
      </x:c>
      <x:c r="B6" s="24" t="str">
        <x:v>Belize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190.7039976612</x:v>
      </x:c>
      <x:c r="J6" s="31" t="n">
        <x:v>190.7039976612</x:v>
      </x:c>
      <x:c r="K6" s="31" t="n">
        <x:v>0</x:v>
      </x:c>
      <x:c r="L6" s="31" t="n">
        <x:v>5.4898247915</x:v>
      </x:c>
      <x:c r="M6" s="31" t="n">
        <x:v>185.2141728697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36337.89763019714</x:v>
      </x:c>
    </x:row>
    <x:row r="7" ht="18" customHeight="1">
      <x:c r="A7" s="24" t="str">
        <x:v>EEZ_084</x:v>
      </x:c>
      <x:c r="B7" s="24" t="str">
        <x:v>Belize</x:v>
      </x:c>
      <x:c r="C7" s="24" t="str">
        <x:v>EEZ</x:v>
      </x:c>
      <x:c r="D7" s="30" t="n">
        <x:v>2019</x:v>
      </x:c>
      <x:c r="E7" s="24" t="str">
        <x:v>Negaprion brevirostris</x:v>
      </x:c>
      <x:c r="F7" s="24" t="str">
        <x:v>Lemon shark</x:v>
      </x:c>
      <x:c r="G7" s="24" t="str">
        <x:v>Large sharks (&gt;=90 cm)</x:v>
      </x:c>
      <x:c r="H7" s="24" t="str">
        <x:v>Sharks &amp; rays</x:v>
      </x:c>
      <x:c r="I7" s="31" t="n">
        <x:v>138.7949213067</x:v>
      </x:c>
      <x:c r="J7" s="31" t="n">
        <x:v>138.7949213067</x:v>
      </x:c>
      <x:c r="K7" s="31" t="n">
        <x:v>0</x:v>
      </x:c>
      <x:c r="L7" s="31" t="n">
        <x:v>0</x:v>
      </x:c>
      <x:c r="M7" s="31" t="n">
        <x:v>138.7949213067</x:v>
      </x:c>
      <x:c r="N7" s="24" t="str">
        <x:v>negaprion brevirostris</x:v>
      </x:c>
      <x:c r="O7" s="32" t="n">
        <x:v>4.27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Negaprion brevirostris</x:v>
      </x:c>
      <x:c r="T7" s="32" t="n">
        <x:f>IF(O7="","",(1/'Metadata'!$B$5)^(O7-1))</x:f>
        <x:v>1862.0871366628655</x:v>
      </x:c>
      <x:c r="U7" s="31" t="n">
        <x:f>IF(T7="","",I7*T7)</x:f>
        <x:v>258448.23759934073</x:v>
      </x:c>
    </x:row>
    <x:row r="8" ht="18" customHeight="1">
      <x:c r="A8" s="24" t="str">
        <x:v>EEZ_084</x:v>
      </x:c>
      <x:c r="B8" s="24" t="str">
        <x:v>Belize</x:v>
      </x:c>
      <x:c r="C8" s="24" t="str">
        <x:v>EEZ</x:v>
      </x:c>
      <x:c r="D8" s="30" t="n">
        <x:v>2019</x:v>
      </x:c>
      <x:c r="E8" s="24" t="str">
        <x:v>Ocyurus chrysurus</x:v>
      </x:c>
      <x:c r="F8" s="24" t="str">
        <x:v>Yellowtail snapper</x:v>
      </x:c>
      <x:c r="G8" s="24" t="str">
        <x:v>Medium reef assoc. fish (30 - 89 cm)</x:v>
      </x:c>
      <x:c r="H8" s="24" t="str">
        <x:v>Perch-likes</x:v>
      </x:c>
      <x:c r="I8" s="31" t="n">
        <x:v>119.76107056250001</x:v>
      </x:c>
      <x:c r="J8" s="31" t="n">
        <x:v>119.76107056250001</x:v>
      </x:c>
      <x:c r="K8" s="31" t="n">
        <x:v>0</x:v>
      </x:c>
      <x:c r="L8" s="31" t="n">
        <x:v>3.4475800313</x:v>
      </x:c>
      <x:c r="M8" s="31" t="n">
        <x:v>116.31349053120002</x:v>
      </x:c>
      <x:c r="N8" s="24" t="str">
        <x:v>ocyurus chrysurus</x:v>
      </x:c>
      <x:c r="O8" s="32" t="n">
        <x:v>4.03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Ocyurus chrysurus</x:v>
      </x:c>
      <x:c r="T8" s="32" t="n">
        <x:f>IF(O8="","",(1/'Metadata'!$B$5)^(O8-1))</x:f>
        <x:v>1071.519305237607</x:v>
      </x:c>
      <x:c r="U8" s="31" t="n">
        <x:f>IF(T8="","",I8*T8)</x:f>
        <x:v>128326.29912364205</x:v>
      </x:c>
    </x:row>
    <x:row r="9" ht="18" customHeight="1">
      <x:c r="A9" s="24" t="str">
        <x:v>EEZ_084</x:v>
      </x:c>
      <x:c r="B9" s="24" t="str">
        <x:v>Belize</x:v>
      </x:c>
      <x:c r="C9" s="24" t="str">
        <x:v>EEZ</x:v>
      </x:c>
      <x:c r="D9" s="30" t="n">
        <x:v>2019</x:v>
      </x:c>
      <x:c r="E9" s="24" t="str">
        <x:v>Ginglymostoma cirratum</x:v>
      </x:c>
      <x:c r="F9" s="24" t="str">
        <x:v>Nurse shark</x:v>
      </x:c>
      <x:c r="G9" s="24" t="str">
        <x:v>Large sharks (&gt;=90 cm)</x:v>
      </x:c>
      <x:c r="H9" s="24" t="str">
        <x:v>Sharks &amp; rays</x:v>
      </x:c>
      <x:c r="I9" s="31" t="n">
        <x:v>116.3801117782</x:v>
      </x:c>
      <x:c r="J9" s="31" t="n">
        <x:v>116.3801117782</x:v>
      </x:c>
      <x:c r="K9" s="31" t="n">
        <x:v>0</x:v>
      </x:c>
      <x:c r="L9" s="31" t="n">
        <x:v>0</x:v>
      </x:c>
      <x:c r="M9" s="31" t="n">
        <x:v>116.3801117782</x:v>
      </x:c>
      <x:c r="N9" s="24" t="str">
        <x:v>ginglymostoma cirratum</x:v>
      </x:c>
      <x:c r="O9" s="32" t="n">
        <x:v>4.15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Ginglymostoma cirratum</x:v>
      </x:c>
      <x:c r="T9" s="32" t="n">
        <x:f>IF(O9="","",(1/'Metadata'!$B$5)^(O9-1))</x:f>
        <x:v>1412.5375446227554</x:v>
      </x:c>
      <x:c r="U9" s="31" t="n">
        <x:f>IF(T9="","",I9*T9)</x:f>
        <x:v>164391.27733410045</x:v>
      </x:c>
    </x:row>
    <x:row r="10" ht="18" customHeight="1">
      <x:c r="A10" s="24" t="str">
        <x:v>EEZ_084</x:v>
      </x:c>
      <x:c r="B10" s="24" t="str">
        <x:v>Belize</x:v>
      </x:c>
      <x:c r="C10" s="24" t="str">
        <x:v>EEZ</x:v>
      </x:c>
      <x:c r="D10" s="30" t="n">
        <x:v>2019</x:v>
      </x:c>
      <x:c r="E10" s="24" t="str">
        <x:v>Gerres cinereus</x:v>
      </x:c>
      <x:c r="F10" s="24" t="str">
        <x:v>Yellow fin mojarra</x:v>
      </x:c>
      <x:c r="G10" s="24" t="str">
        <x:v>Small reef assoc. fish (&lt;30 cm)</x:v>
      </x:c>
      <x:c r="H10" s="24" t="str">
        <x:v>Perch-likes</x:v>
      </x:c>
      <x:c r="I10" s="31" t="n">
        <x:v>112.10537261729999</x:v>
      </x:c>
      <x:c r="J10" s="31" t="n">
        <x:v>112.10537261729999</x:v>
      </x:c>
      <x:c r="K10" s="31" t="n">
        <x:v>0</x:v>
      </x:c>
      <x:c r="L10" s="31" t="n">
        <x:v>3.227194298</x:v>
      </x:c>
      <x:c r="M10" s="31" t="n">
        <x:v>108.87817831929999</x:v>
      </x:c>
      <x:c r="N10" s="24" t="str">
        <x:v>gerres cinereus</x:v>
      </x:c>
      <x:c r="O10" s="32" t="n">
        <x:v>3.47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Gerres cinereus</x:v>
      </x:c>
      <x:c r="T10" s="32" t="n">
        <x:f>IF(O10="","",(1/'Metadata'!$B$5)^(O10-1))</x:f>
        <x:v>295.1209226666387</x:v>
      </x:c>
      <x:c r="U10" s="31" t="n">
        <x:f>IF(T10="","",I10*T10)</x:f>
        <x:v>33084.641002704906</x:v>
      </x:c>
    </x:row>
    <x:row r="11" ht="18" customHeight="1">
      <x:c r="A11" s="24" t="str">
        <x:v>EEZ_084</x:v>
      </x:c>
      <x:c r="B11" s="24" t="str">
        <x:v>Belize</x:v>
      </x:c>
      <x:c r="C11" s="24" t="str">
        <x:v>EEZ</x:v>
      </x:c>
      <x:c r="D11" s="30" t="n">
        <x:v>2019</x:v>
      </x:c>
      <x:c r="E11" s="24" t="str">
        <x:v>Lutjanus analis</x:v>
      </x:c>
      <x:c r="F11" s="24" t="str">
        <x:v>Mutton snapper</x:v>
      </x:c>
      <x:c r="G11" s="24" t="str">
        <x:v>Medium reef assoc. fish (30 - 89 cm)</x:v>
      </x:c>
      <x:c r="H11" s="24" t="str">
        <x:v>Perch-likes</x:v>
      </x:c>
      <x:c r="I11" s="31" t="n">
        <x:v>99.14935088280001</x:v>
      </x:c>
      <x:c r="J11" s="31" t="n">
        <x:v>99.14935088280001</x:v>
      </x:c>
      <x:c r="K11" s="31" t="n">
        <x:v>0</x:v>
      </x:c>
      <x:c r="L11" s="31" t="n">
        <x:v>2.854227343</x:v>
      </x:c>
      <x:c r="M11" s="31" t="n">
        <x:v>96.2951235398</x:v>
      </x:c>
      <x:c r="N11" s="24" t="str">
        <x:v>lutjanus analis</x:v>
      </x:c>
      <x:c r="O11" s="32" t="n">
        <x:v>3.91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Lutjanus analis</x:v>
      </x:c>
      <x:c r="T11" s="32" t="n">
        <x:f>IF(O11="","",(1/'Metadata'!$B$5)^(O11-1))</x:f>
        <x:v>812.8305161640995</x:v>
      </x:c>
      <x:c r="U11" s="31" t="n">
        <x:f>IF(T11="","",I11*T11)</x:f>
        <x:v>80591.61805540175</x:v>
      </x:c>
    </x:row>
    <x:row r="12" ht="18" customHeight="1">
      <x:c r="A12" s="24" t="str">
        <x:v>EEZ_084</x:v>
      </x:c>
      <x:c r="B12" s="24" t="str">
        <x:v>Belize</x:v>
      </x:c>
      <x:c r="C12" s="24" t="str">
        <x:v>EEZ</x:v>
      </x:c>
      <x:c r="D12" s="30" t="n">
        <x:v>2019</x:v>
      </x:c>
      <x:c r="E12" s="24" t="str">
        <x:v>Sphyrna lewini</x:v>
      </x:c>
      <x:c r="F12" s="24" t="str">
        <x:v>Scalloped hammerhead</x:v>
      </x:c>
      <x:c r="G12" s="24" t="str">
        <x:v>Large sharks (&gt;=90 cm)</x:v>
      </x:c>
      <x:c r="H12" s="24" t="str">
        <x:v>Sharks &amp; rays</x:v>
      </x:c>
      <x:c r="I12" s="31" t="n">
        <x:v>98.9230950115</x:v>
      </x:c>
      <x:c r="J12" s="31" t="n">
        <x:v>98.9230950115</x:v>
      </x:c>
      <x:c r="K12" s="31" t="n">
        <x:v>0</x:v>
      </x:c>
      <x:c r="L12" s="31" t="n">
        <x:v>0</x:v>
      </x:c>
      <x:c r="M12" s="31" t="n">
        <x:v>98.9230950115</x:v>
      </x:c>
      <x:c r="N12" s="24" t="str">
        <x:v>sphyrna lewini</x:v>
      </x:c>
      <x:c r="O12" s="32" t="n">
        <x:v>4.08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Sphyrna lewini</x:v>
      </x:c>
      <x:c r="T12" s="32" t="n">
        <x:f>IF(O12="","",(1/'Metadata'!$B$5)^(O12-1))</x:f>
        <x:v>1202.2644346174131</x:v>
      </x:c>
      <x:c r="U12" s="31" t="n">
        <x:f>IF(T12="","",I12*T12)</x:f>
        <x:v>118931.71889460568</x:v>
      </x:c>
    </x:row>
    <x:row r="13" ht="18" customHeight="1">
      <x:c r="A13" s="24" t="str">
        <x:v>EEZ_084</x:v>
      </x:c>
      <x:c r="B13" s="24" t="str">
        <x:v>Belize</x:v>
      </x:c>
      <x:c r="C13" s="24" t="str">
        <x:v>EEZ</x:v>
      </x:c>
      <x:c r="D13" s="30" t="n">
        <x:v>2019</x:v>
      </x:c>
      <x:c r="E13" s="24" t="str">
        <x:v>Rhizoprionodon porosus</x:v>
      </x:c>
      <x:c r="F13" s="24" t="str">
        <x:v>Caribbean sharpnose shark</x:v>
      </x:c>
      <x:c r="G13" s="24" t="str">
        <x:v>Large sharks (&gt;=90 cm)</x:v>
      </x:c>
      <x:c r="H13" s="24" t="str">
        <x:v>Sharks &amp; rays</x:v>
      </x:c>
      <x:c r="I13" s="31" t="n">
        <x:v>88.2038741898</x:v>
      </x:c>
      <x:c r="J13" s="31" t="n">
        <x:v>88.2038741898</x:v>
      </x:c>
      <x:c r="K13" s="31" t="n">
        <x:v>0</x:v>
      </x:c>
      <x:c r="L13" s="31" t="n">
        <x:v>0</x:v>
      </x:c>
      <x:c r="M13" s="31" t="n">
        <x:v>88.2038741898</x:v>
      </x:c>
      <x:c r="N13" s="24" t="str">
        <x:v>rhizoprionodon porosus</x:v>
      </x:c>
      <x:c r="O13" s="32" t="n">
        <x:v>3.99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Rhizoprionodon porosus</x:v>
      </x:c>
      <x:c r="T13" s="32" t="n">
        <x:f>IF(O13="","",(1/'Metadata'!$B$5)^(O13-1))</x:f>
        <x:v>977.2372209558112</x:v>
      </x:c>
      <x:c r="U13" s="31" t="n">
        <x:f>IF(T13="","",I13*T13)</x:f>
        <x:v>86196.10889077616</x:v>
      </x:c>
    </x:row>
    <x:row r="14" ht="18" customHeight="1">
      <x:c r="A14" s="24" t="str">
        <x:v>EEZ_084</x:v>
      </x:c>
      <x:c r="B14" s="24" t="str">
        <x:v>Belize</x:v>
      </x:c>
      <x:c r="C14" s="24" t="str">
        <x:v>EEZ</x:v>
      </x:c>
      <x:c r="D14" s="30" t="n">
        <x:v>2019</x:v>
      </x:c>
      <x:c r="E14" s="24" t="str">
        <x:v>Sphyraena barracuda</x:v>
      </x:c>
      <x:c r="F14" s="24" t="str">
        <x:v>Great barracuda</x:v>
      </x:c>
      <x:c r="G14" s="24" t="str">
        <x:v>Large pelagics (&gt;=90 cm)</x:v>
      </x:c>
      <x:c r="H14" s="24" t="str">
        <x:v>Perch-likes</x:v>
      </x:c>
      <x:c r="I14" s="31" t="n">
        <x:v>74.3432947737</x:v>
      </x:c>
      <x:c r="J14" s="31" t="n">
        <x:v>74.3432947737</x:v>
      </x:c>
      <x:c r="K14" s="31" t="n">
        <x:v>0</x:v>
      </x:c>
      <x:c r="L14" s="31" t="n">
        <x:v>2.1401316582</x:v>
      </x:c>
      <x:c r="M14" s="31" t="n">
        <x:v>72.20316311549999</x:v>
      </x:c>
      <x:c r="N14" s="24" t="str">
        <x:v>sphyraena barracuda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Sphyraena barracuda</x:v>
      </x:c>
      <x:c r="T14" s="32" t="n">
        <x:f>IF(O14="","",(1/'Metadata'!$B$5)^(O14-1))</x:f>
        <x:v>3090.295432513592</x:v>
      </x:c>
      <x:c r="U14" s="31" t="n">
        <x:f>IF(T14="","",I14*T14)</x:f>
        <x:v>229742.74427717668</x:v>
      </x:c>
    </x:row>
    <x:row r="15" ht="18" customHeight="1">
      <x:c r="A15" s="24" t="str">
        <x:v>EEZ_084</x:v>
      </x:c>
      <x:c r="B15" s="24" t="str">
        <x:v>Belize</x:v>
      </x:c>
      <x:c r="C15" s="24" t="str">
        <x:v>EEZ</x:v>
      </x:c>
      <x:c r="D15" s="30" t="n">
        <x:v>2019</x:v>
      </x:c>
      <x:c r="E15" s="24" t="str">
        <x:v>Lutjanus vivanus</x:v>
      </x:c>
      <x:c r="F15" s="24" t="str">
        <x:v>Silk snapper</x:v>
      </x:c>
      <x:c r="G15" s="24" t="str">
        <x:v>Medium demersals (30 - 89 cm)</x:v>
      </x:c>
      <x:c r="H15" s="24" t="str">
        <x:v>Perch-likes</x:v>
      </x:c>
      <x:c r="I15" s="31" t="n">
        <x:v>73.4979733388</x:v>
      </x:c>
      <x:c r="J15" s="31" t="n">
        <x:v>73.4979733388</x:v>
      </x:c>
      <x:c r="K15" s="31" t="n">
        <x:v>0</x:v>
      </x:c>
      <x:c r="L15" s="31" t="n">
        <x:v>2.1157972623</x:v>
      </x:c>
      <x:c r="M15" s="31" t="n">
        <x:v>71.3821760765</x:v>
      </x:c>
      <x:c r="N15" s="24" t="str">
        <x:v>lutjanus vivanus</x:v>
      </x:c>
      <x:c r="O15" s="32" t="n">
        <x:v>3.09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Lutjanus vivanus</x:v>
      </x:c>
      <x:c r="T15" s="32" t="n">
        <x:f>IF(O15="","",(1/'Metadata'!$B$5)^(O15-1))</x:f>
        <x:v>123.02687708123811</x:v>
      </x:c>
      <x:c r="U15" s="31" t="n">
        <x:f>IF(T15="","",I15*T15)</x:f>
        <x:v>9042.226131672664</x:v>
      </x:c>
    </x:row>
    <x:row r="16" ht="18" customHeight="1">
      <x:c r="A16" s="24" t="str">
        <x:v>EEZ_084</x:v>
      </x:c>
      <x:c r="B16" s="24" t="str">
        <x:v>Belize</x:v>
      </x:c>
      <x:c r="C16" s="24" t="str">
        <x:v>EEZ</x:v>
      </x:c>
      <x:c r="D16" s="30" t="n">
        <x:v>2019</x:v>
      </x:c>
      <x:c r="E16" s="24" t="str">
        <x:v>Caranx hippos</x:v>
      </x:c>
      <x:c r="F16" s="24" t="str">
        <x:v>Crevalle jack</x:v>
      </x:c>
      <x:c r="G16" s="24" t="str">
        <x:v>Large reef assoc. fish (&gt;=90 cm)</x:v>
      </x:c>
      <x:c r="H16" s="24" t="str">
        <x:v>Perch-likes</x:v>
      </x:c>
      <x:c r="I16" s="31" t="n">
        <x:v>72.9182217382</x:v>
      </x:c>
      <x:c r="J16" s="31" t="n">
        <x:v>72.9182217382</x:v>
      </x:c>
      <x:c r="K16" s="31" t="n">
        <x:v>0</x:v>
      </x:c>
      <x:c r="L16" s="31" t="n">
        <x:v>2.0991078654</x:v>
      </x:c>
      <x:c r="M16" s="31" t="n">
        <x:v>70.8191138728</x:v>
      </x:c>
      <x:c r="N16" s="24" t="str">
        <x:v>caranx hippos</x:v>
      </x:c>
      <x:c r="O16" s="32" t="n">
        <x:v>3.56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Caranx hippos</x:v>
      </x:c>
      <x:c r="T16" s="32" t="n">
        <x:f>IF(O16="","",(1/'Metadata'!$B$5)^(O16-1))</x:f>
        <x:v>363.0780547701014</x:v>
      </x:c>
      <x:c r="U16" s="31" t="n">
        <x:f>IF(T16="","",I16*T16)</x:f>
        <x:v>26475.00610600058</x:v>
      </x:c>
    </x:row>
    <x:row r="17" ht="18" customHeight="1">
      <x:c r="A17" s="24" t="str">
        <x:v>EEZ_084</x:v>
      </x:c>
      <x:c r="B17" s="24" t="str">
        <x:v>Belize</x:v>
      </x:c>
      <x:c r="C17" s="24" t="str">
        <x:v>EEZ</x:v>
      </x:c>
      <x:c r="D17" s="30" t="n">
        <x:v>2019</x:v>
      </x:c>
      <x:c r="E17" s="24" t="str">
        <x:v>Lutjanus griseus</x:v>
      </x:c>
      <x:c r="F17" s="24" t="str">
        <x:v>Grey snapper</x:v>
      </x:c>
      <x:c r="G17" s="24" t="str">
        <x:v>Medium reef assoc. fish (30 - 89 cm)</x:v>
      </x:c>
      <x:c r="H17" s="24" t="str">
        <x:v>Perch-likes</x:v>
      </x:c>
      <x:c r="I17" s="31" t="n">
        <x:v>67.5300366598</x:v>
      </x:c>
      <x:c r="J17" s="31" t="n">
        <x:v>67.5300366598</x:v>
      </x:c>
      <x:c r="K17" s="31" t="n">
        <x:v>0</x:v>
      </x:c>
      <x:c r="L17" s="31" t="n">
        <x:v>1.9439973675</x:v>
      </x:c>
      <x:c r="M17" s="31" t="n">
        <x:v>65.5860392923</x:v>
      </x:c>
      <x:c r="N17" s="24" t="str">
        <x:v>lutjanus griseus</x:v>
      </x:c>
      <x:c r="O17" s="32" t="n">
        <x:v>4.23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griseus</x:v>
      </x:c>
      <x:c r="T17" s="32" t="n">
        <x:f>IF(O17="","",(1/'Metadata'!$B$5)^(O17-1))</x:f>
        <x:v>1698.243652461746</x:v>
      </x:c>
      <x:c r="U17" s="31" t="n">
        <x:f>IF(T17="","",I17*T17)</x:f>
        <x:v>114682.45610801436</x:v>
      </x:c>
    </x:row>
    <x:row r="18" ht="18" customHeight="1">
      <x:c r="A18" s="24" t="str">
        <x:v>EEZ_084</x:v>
      </x:c>
      <x:c r="B18" s="24" t="str">
        <x:v>Belize</x:v>
      </x:c>
      <x:c r="C18" s="24" t="str">
        <x:v>EEZ</x:v>
      </x:c>
      <x:c r="D18" s="30" t="n">
        <x:v>2019</x:v>
      </x:c>
      <x:c r="E18" s="24" t="str">
        <x:v>Haemulon plumierii</x:v>
      </x:c>
      <x:c r="F18" s="24" t="str">
        <x:v>White grunt</x:v>
      </x:c>
      <x:c r="G18" s="24" t="str">
        <x:v>Medium reef assoc. fish (30 - 89 cm)</x:v>
      </x:c>
      <x:c r="H18" s="24" t="str">
        <x:v>Perch-likes</x:v>
      </x:c>
      <x:c r="I18" s="31" t="n">
        <x:v>63.5171439029</x:v>
      </x:c>
      <x:c r="J18" s="31" t="n">
        <x:v>63.5171439029</x:v>
      </x:c>
      <x:c r="K18" s="31" t="n">
        <x:v>0</x:v>
      </x:c>
      <x:c r="L18" s="31" t="n">
        <x:v>1.8284776175</x:v>
      </x:c>
      <x:c r="M18" s="31" t="n">
        <x:v>61.688666285400004</x:v>
      </x:c>
      <x:c r="N18" s="24" t="str">
        <x:v>haemulon plumierii</x:v>
      </x:c>
      <x:c r="O18" s="32" t="n">
        <x:v>3.82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Haemulon plumierii</x:v>
      </x:c>
      <x:c r="T18" s="32" t="n">
        <x:f>IF(O18="","",(1/'Metadata'!$B$5)^(O18-1))</x:f>
        <x:v>660.6934480075957</x:v>
      </x:c>
      <x:c r="U18" s="31" t="n">
        <x:f>IF(T18="","",I18*T18)</x:f>
        <x:v>41965.36081280164</x:v>
      </x:c>
    </x:row>
    <x:row r="19" ht="18" customHeight="1">
      <x:c r="A19" s="24" t="str">
        <x:v>EEZ_084</x:v>
      </x:c>
      <x:c r="B19" s="24" t="str">
        <x:v>Belize</x:v>
      </x:c>
      <x:c r="C19" s="24" t="str">
        <x:v>EEZ</x:v>
      </x:c>
      <x:c r="D19" s="30" t="n">
        <x:v>2019</x:v>
      </x:c>
      <x:c r="E19" s="24" t="str">
        <x:v>Eugerres plumieri</x:v>
      </x:c>
      <x:c r="F19" s="24" t="str">
        <x:v>Striped mojarra</x:v>
      </x:c>
      <x:c r="G19" s="24" t="str">
        <x:v>Medium demersals (30 - 89 cm)</x:v>
      </x:c>
      <x:c r="H19" s="24" t="str">
        <x:v>Other fishes &amp; inverts</x:v>
      </x:c>
      <x:c r="I19" s="31" t="n">
        <x:v>62.7296656171</x:v>
      </x:c>
      <x:c r="J19" s="31" t="n">
        <x:v>62.7296656171</x:v>
      </x:c>
      <x:c r="K19" s="31" t="n">
        <x:v>0</x:v>
      </x:c>
      <x:c r="L19" s="31" t="n">
        <x:v>1.8058083611</x:v>
      </x:c>
      <x:c r="M19" s="31" t="n">
        <x:v>60.923857256000005</x:v>
      </x:c>
      <x:c r="N19" s="24" t="str">
        <x:v>eugerres plumieri</x:v>
      </x:c>
      <x:c r="O19" s="32" t="n">
        <x:v>2.2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Eugerres plumieri</x:v>
      </x:c>
      <x:c r="T19" s="32" t="n">
        <x:f>IF(O19="","",(1/'Metadata'!$B$5)^(O19-1))</x:f>
        <x:v>15.848931924611142</x:v>
      </x:c>
      <x:c r="U19" s="31" t="n">
        <x:f>IF(T19="","",I19*T19)</x:f>
        <x:v>994.198200019038</x:v>
      </x:c>
    </x:row>
    <x:row r="20" ht="18" customHeight="1">
      <x:c r="A20" s="24" t="str">
        <x:v>EEZ_084</x:v>
      </x:c>
      <x:c r="B20" s="24" t="str">
        <x:v>Belize</x:v>
      </x:c>
      <x:c r="C20" s="24" t="str">
        <x:v>EEZ</x:v>
      </x:c>
      <x:c r="D20" s="30" t="n">
        <x:v>2019</x:v>
      </x:c>
      <x:c r="E20" s="24" t="str">
        <x:v>Lutjanidae</x:v>
      </x:c>
      <x:c r="F20" s="24" t="str">
        <x:v>Snappers</x:v>
      </x:c>
      <x:c r="G20" s="24" t="str">
        <x:v>Medium reef assoc. fish (30 - 89 cm)</x:v>
      </x:c>
      <x:c r="H20" s="24" t="str">
        <x:v>Perch-likes</x:v>
      </x:c>
      <x:c r="I20" s="31" t="n">
        <x:v>60.5625742105</x:v>
      </x:c>
      <x:c r="J20" s="31" t="n">
        <x:v>60.5625742105</x:v>
      </x:c>
      <x:c r="K20" s="31" t="n">
        <x:v>0</x:v>
      </x:c>
      <x:c r="L20" s="31" t="n">
        <x:v>1.7434239734</x:v>
      </x:c>
      <x:c r="M20" s="31" t="n">
        <x:v>58.819150237100004</x:v>
      </x:c>
      <x:c r="N20" s="24" t="str">
        <x:v>lutjanidae</x:v>
      </x:c>
      <x:c r="O20" s="32" t="n">
        <x:v>4.02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Lutjanidae</x:v>
      </x:c>
      <x:c r="T20" s="32" t="n">
        <x:f>IF(O20="","",(1/'Metadata'!$B$5)^(O20-1))</x:f>
        <x:v>1047.1285480508984</x:v>
      </x:c>
      <x:c r="U20" s="31" t="n">
        <x:f>IF(T20="","",I20*T20)</x:f>
        <x:v>63416.80039926565</x:v>
      </x:c>
    </x:row>
    <x:row r="21" ht="18" customHeight="1">
      <x:c r="A21" s="24" t="str">
        <x:v>EEZ_084</x:v>
      </x:c>
      <x:c r="B21" s="24" t="str">
        <x:v>Belize</x:v>
      </x:c>
      <x:c r="C21" s="24" t="str">
        <x:v>EEZ</x:v>
      </x:c>
      <x:c r="D21" s="30" t="n">
        <x:v>2019</x:v>
      </x:c>
      <x:c r="E21" s="24" t="str">
        <x:v>Caranx latus</x:v>
      </x:c>
      <x:c r="F21" s="24" t="str">
        <x:v>Horse-eye jack</x:v>
      </x:c>
      <x:c r="G21" s="24" t="str">
        <x:v>Large reef assoc. fish (&gt;=90 cm)</x:v>
      </x:c>
      <x:c r="H21" s="24" t="str">
        <x:v>Perch-likes</x:v>
      </x:c>
      <x:c r="I21" s="31" t="n">
        <x:v>52.9285160104</x:v>
      </x:c>
      <x:c r="J21" s="31" t="n">
        <x:v>52.9285160104</x:v>
      </x:c>
      <x:c r="K21" s="31" t="n">
        <x:v>0</x:v>
      </x:c>
      <x:c r="L21" s="31" t="n">
        <x:v>1.5236611866</x:v>
      </x:c>
      <x:c r="M21" s="31" t="n">
        <x:v>51.4048548238</x:v>
      </x:c>
      <x:c r="N21" s="24" t="str">
        <x:v>caranx latus</x:v>
      </x:c>
      <x:c r="O21" s="32" t="n">
        <x:v>4.16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Caranx latus</x:v>
      </x:c>
      <x:c r="T21" s="32" t="n">
        <x:f>IF(O21="","",(1/'Metadata'!$B$5)^(O21-1))</x:f>
        <x:v>1445.439770745928</x:v>
      </x:c>
      <x:c r="U21" s="31" t="n">
        <x:f>IF(T21="","",I21*T21)</x:f>
        <x:v>76504.98204799475</x:v>
      </x:c>
    </x:row>
    <x:row r="22" ht="18" customHeight="1">
      <x:c r="A22" s="24" t="str">
        <x:v>EEZ_084</x:v>
      </x:c>
      <x:c r="B22" s="24" t="str">
        <x:v>Belize</x:v>
      </x:c>
      <x:c r="C22" s="24" t="str">
        <x:v>EEZ</x:v>
      </x:c>
      <x:c r="D22" s="30" t="n">
        <x:v>2019</x:v>
      </x:c>
      <x:c r="E22" s="24" t="str">
        <x:v>Carcharhinus limbatus</x:v>
      </x:c>
      <x:c r="F22" s="24" t="str">
        <x:v>Blacktip shark</x:v>
      </x:c>
      <x:c r="G22" s="24" t="str">
        <x:v>Large sharks (&gt;=90 cm)</x:v>
      </x:c>
      <x:c r="H22" s="24" t="str">
        <x:v>Sharks &amp; rays</x:v>
      </x:c>
      <x:c r="I22" s="31" t="n">
        <x:v>50.2692254815</x:v>
      </x:c>
      <x:c r="J22" s="31" t="n">
        <x:v>50.2692254815</x:v>
      </x:c>
      <x:c r="K22" s="31" t="n">
        <x:v>0</x:v>
      </x:c>
      <x:c r="L22" s="31" t="n">
        <x:v>0</x:v>
      </x:c>
      <x:c r="M22" s="31" t="n">
        <x:v>50.2692254815</x:v>
      </x:c>
      <x:c r="N22" s="24" t="str">
        <x:v>carcharhinus limbatus</x:v>
      </x:c>
      <x:c r="O22" s="32" t="n">
        <x:v>4.37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Carcharhinus limbatus</x:v>
      </x:c>
      <x:c r="T22" s="32" t="n">
        <x:f>IF(O22="","",(1/'Metadata'!$B$5)^(O22-1))</x:f>
        <x:v>2344.228815319923</x:v>
      </x:c>
      <x:c r="U22" s="31" t="n">
        <x:f>IF(T22="","",I22*T22)</x:f>
        <x:v>117842.56689754683</x:v>
      </x:c>
    </x:row>
    <x:row r="23" ht="18" customHeight="1">
      <x:c r="A23" s="24" t="str">
        <x:v>EEZ_084</x:v>
      </x:c>
      <x:c r="B23" s="24" t="str">
        <x:v>Belize</x:v>
      </x:c>
      <x:c r="C23" s="24" t="str">
        <x:v>EEZ</x:v>
      </x:c>
      <x:c r="D23" s="30" t="n">
        <x:v>2019</x:v>
      </x:c>
      <x:c r="E23" s="24" t="str">
        <x:v>Gerreidae</x:v>
      </x:c>
      <x:c r="F23" s="24" t="str">
        <x:v>Mojarras, silverbellies</x:v>
      </x:c>
      <x:c r="G23" s="24" t="str">
        <x:v>Small benthopelagics (&lt;30 cm)</x:v>
      </x:c>
      <x:c r="H23" s="24" t="str">
        <x:v>Perch-likes</x:v>
      </x:c>
      <x:c r="I23" s="31" t="n">
        <x:v>41.785185008599996</x:v>
      </x:c>
      <x:c r="J23" s="31" t="n">
        <x:v>41.785185008599996</x:v>
      </x:c>
      <x:c r="K23" s="31" t="n">
        <x:v>0</x:v>
      </x:c>
      <x:c r="L23" s="31" t="n">
        <x:v>1.2028764336</x:v>
      </x:c>
      <x:c r="M23" s="31" t="n">
        <x:v>40.582308575</x:v>
      </x:c>
      <x:c r="N23" s="24" t="str">
        <x:v>gerreidae</x:v>
      </x:c>
      <x:c r="O23" s="32" t="n">
        <x:v>3.03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Gerreidae</x:v>
      </x:c>
      <x:c r="T23" s="32" t="n">
        <x:f>IF(O23="","",(1/'Metadata'!$B$5)^(O23-1))</x:f>
        <x:v>107.1519305237606</x:v>
      </x:c>
      <x:c r="U23" s="31" t="n">
        <x:f>IF(T23="","",I23*T23)</x:f>
        <x:v>4477.3632409639895</x:v>
      </x:c>
    </x:row>
    <x:row r="24" ht="18" customHeight="1">
      <x:c r="A24" s="24" t="str">
        <x:v>EEZ_084</x:v>
      </x:c>
      <x:c r="B24" s="24" t="str">
        <x:v>Belize</x:v>
      </x:c>
      <x:c r="C24" s="24" t="str">
        <x:v>EEZ</x:v>
      </x:c>
      <x:c r="D24" s="30" t="n">
        <x:v>2019</x:v>
      </x:c>
      <x:c r="E24" s="24" t="str">
        <x:v>Lutjanus apodus</x:v>
      </x:c>
      <x:c r="F24" s="24" t="str">
        <x:v>Schoolmaster snapper</x:v>
      </x:c>
      <x:c r="G24" s="24" t="str">
        <x:v>Medium reef assoc. fish (30 - 89 cm)</x:v>
      </x:c>
      <x:c r="H24" s="24" t="str">
        <x:v>Perch-likes</x:v>
      </x:c>
      <x:c r="I24" s="31" t="n">
        <x:v>39.648616016199995</x:v>
      </x:c>
      <x:c r="J24" s="31" t="n">
        <x:v>39.648616016199995</x:v>
      </x:c>
      <x:c r="K24" s="31" t="n">
        <x:v>0</x:v>
      </x:c>
      <x:c r="L24" s="31" t="n">
        <x:v>1.1413706992</x:v>
      </x:c>
      <x:c r="M24" s="31" t="n">
        <x:v>38.507245317</x:v>
      </x:c>
      <x:c r="N24" s="24" t="str">
        <x:v>lutjanus apodus</x:v>
      </x:c>
      <x:c r="O24" s="32" t="n">
        <x:v>4.25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Lutjanus apodus</x:v>
      </x:c>
      <x:c r="T24" s="32" t="n">
        <x:f>IF(O24="","",(1/'Metadata'!$B$5)^(O24-1))</x:f>
        <x:v>1778.2794100389228</x:v>
      </x:c>
      <x:c r="U24" s="31" t="n">
        <x:f>IF(T24="","",I24*T24)</x:f>
        <x:v>70506.31749814791</x:v>
      </x:c>
    </x:row>
    <x:row r="25" ht="18" customHeight="1">
      <x:c r="A25" s="24" t="str">
        <x:v>EEZ_084</x:v>
      </x:c>
      <x:c r="B25" s="24" t="str">
        <x:v>Belize</x:v>
      </x:c>
      <x:c r="C25" s="24" t="str">
        <x:v>EEZ</x:v>
      </x:c>
      <x:c r="D25" s="30" t="n">
        <x:v>2019</x:v>
      </x:c>
      <x:c r="E25" s="24" t="str">
        <x:v>Lutjanus jocu</x:v>
      </x:c>
      <x:c r="F25" s="24" t="str">
        <x:v>Dog snapper</x:v>
      </x:c>
      <x:c r="G25" s="24" t="str">
        <x:v>Large reef assoc. fish (&gt;=90 cm)</x:v>
      </x:c>
      <x:c r="H25" s="24" t="str">
        <x:v>Perch-likes</x:v>
      </x:c>
      <x:c r="I25" s="31" t="n">
        <x:v>39.201007294099995</x:v>
      </x:c>
      <x:c r="J25" s="31" t="n">
        <x:v>39.201007294099995</x:v>
      </x:c>
      <x:c r="K25" s="31" t="n">
        <x:v>0</x:v>
      </x:c>
      <x:c r="L25" s="31" t="n">
        <x:v>1.1284853193</x:v>
      </x:c>
      <x:c r="M25" s="31" t="n">
        <x:v>38.0725219748</x:v>
      </x:c>
      <x:c r="N25" s="24" t="str">
        <x:v>lutjanus jocu</x:v>
      </x:c>
      <x:c r="O25" s="32" t="n">
        <x:v>4.41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Lutjanus jocu</x:v>
      </x:c>
      <x:c r="T25" s="32" t="n">
        <x:f>IF(O25="","",(1/'Metadata'!$B$5)^(O25-1))</x:f>
        <x:v>2570.3957827688646</x:v>
      </x:c>
      <x:c r="U25" s="31" t="n">
        <x:f>IF(T25="","",I25*T25)</x:f>
        <x:v>100762.10382904613</x:v>
      </x:c>
    </x:row>
    <x:row r="26" ht="18" customHeight="1">
      <x:c r="A26" s="24" t="str">
        <x:v>EEZ_084</x:v>
      </x:c>
      <x:c r="B26" s="24" t="str">
        <x:v>Belize</x:v>
      </x:c>
      <x:c r="C26" s="24" t="str">
        <x:v>EEZ</x:v>
      </x:c>
      <x:c r="D26" s="30" t="n">
        <x:v>2019</x:v>
      </x:c>
      <x:c r="E26" s="24" t="str">
        <x:v>Caranx ruber</x:v>
      </x:c>
      <x:c r="F26" s="24" t="str">
        <x:v>Bar jack</x:v>
      </x:c>
      <x:c r="G26" s="24" t="str">
        <x:v>Medium reef assoc. fish (30 - 89 cm)</x:v>
      </x:c>
      <x:c r="H26" s="24" t="str">
        <x:v>Perch-likes</x:v>
      </x:c>
      <x:c r="I26" s="31" t="n">
        <x:v>37.3655394358</x:v>
      </x:c>
      <x:c r="J26" s="31" t="n">
        <x:v>37.3655394358</x:v>
      </x:c>
      <x:c r="K26" s="31" t="n">
        <x:v>0</x:v>
      </x:c>
      <x:c r="L26" s="31" t="n">
        <x:v>1.0756474288</x:v>
      </x:c>
      <x:c r="M26" s="31" t="n">
        <x:v>36.289892007</x:v>
      </x:c>
      <x:c r="N26" s="24" t="str">
        <x:v>caranx ruber</x:v>
      </x:c>
      <x:c r="O26" s="32" t="n">
        <x:v>4.28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Caranx ruber</x:v>
      </x:c>
      <x:c r="T26" s="32" t="n">
        <x:f>IF(O26="","",(1/'Metadata'!$B$5)^(O26-1))</x:f>
        <x:v>1905.4607179632483</x:v>
      </x:c>
      <x:c r="U26" s="31" t="n">
        <x:f>IF(T26="","",I26*T26)</x:f>
        <x:v>71198.56760042354</x:v>
      </x:c>
    </x:row>
    <x:row r="27" ht="18" customHeight="1">
      <x:c r="A27" s="24" t="str">
        <x:v>EEZ_084</x:v>
      </x:c>
      <x:c r="B27" s="24" t="str">
        <x:v>Belize</x:v>
      </x:c>
      <x:c r="C27" s="24" t="str">
        <x:v>EEZ</x:v>
      </x:c>
      <x:c r="D27" s="30" t="n">
        <x:v>2019</x:v>
      </x:c>
      <x:c r="E27" s="24" t="str">
        <x:v>Auxis thazard</x:v>
      </x:c>
      <x:c r="F27" s="24" t="str">
        <x:v>Frigate tuna</x:v>
      </x:c>
      <x:c r="G27" s="24" t="str">
        <x:v>Medium pelagics (30 - 89 cm)</x:v>
      </x:c>
      <x:c r="H27" s="24" t="str">
        <x:v>Tuna &amp; billfishes</x:v>
      </x:c>
      <x:c r="I27" s="31" t="n">
        <x:v>34.1</x:v>
      </x:c>
      <x:c r="J27" s="31" t="n">
        <x:v>31</x:v>
      </x:c>
      <x:c r="K27" s="31" t="n">
        <x:v>3.1</x:v>
      </x:c>
      <x:c r="L27" s="31" t="n">
        <x:v>31</x:v>
      </x:c>
      <x:c r="M27" s="31" t="n">
        <x:v>3.1</x:v>
      </x:c>
      <x:c r="N27" s="24" t="str">
        <x:v>auxis thazard</x:v>
      </x:c>
      <x:c r="O27" s="32" t="n">
        <x:v>4.37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Auxis thazard</x:v>
      </x:c>
      <x:c r="T27" s="32" t="n">
        <x:f>IF(O27="","",(1/'Metadata'!$B$5)^(O27-1))</x:f>
        <x:v>2344.228815319923</x:v>
      </x:c>
      <x:c r="U27" s="31" t="n">
        <x:f>IF(T27="","",I27*T27)</x:f>
        <x:v>79938.20260240938</x:v>
      </x:c>
    </x:row>
    <x:row r="28" ht="18" customHeight="1">
      <x:c r="A28" s="24" t="str">
        <x:v>EEZ_084</x:v>
      </x:c>
      <x:c r="B28" s="24" t="str">
        <x:v>Belize</x:v>
      </x:c>
      <x:c r="C28" s="24" t="str">
        <x:v>EEZ</x:v>
      </x:c>
      <x:c r="D28" s="30" t="n">
        <x:v>2019</x:v>
      </x:c>
      <x:c r="E28" s="24" t="str">
        <x:v>Seriola dumerili</x:v>
      </x:c>
      <x:c r="F28" s="24" t="str">
        <x:v>Greater amberjack</x:v>
      </x:c>
      <x:c r="G28" s="24" t="str">
        <x:v>Large reef assoc. fish (&gt;=90 cm)</x:v>
      </x:c>
      <x:c r="H28" s="24" t="str">
        <x:v>Perch-likes</x:v>
      </x:c>
      <x:c r="I28" s="31" t="n">
        <x:v>33.8493573226</x:v>
      </x:c>
      <x:c r="J28" s="31" t="n">
        <x:v>33.8493573226</x:v>
      </x:c>
      <x:c r="K28" s="31" t="n">
        <x:v>0</x:v>
      </x:c>
      <x:c r="L28" s="31" t="n">
        <x:v>0.9744265631</x:v>
      </x:c>
      <x:c r="M28" s="31" t="n">
        <x:v>32.8749307595</x:v>
      </x:c>
      <x:c r="N28" s="24" t="str">
        <x:v>seriola dumerili</x:v>
      </x:c>
      <x:c r="O28" s="32" t="n">
        <x:v>4.5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Seriola dumerili</x:v>
      </x:c>
      <x:c r="T28" s="32" t="n">
        <x:f>IF(O28="","",(1/'Metadata'!$B$5)^(O28-1))</x:f>
        <x:v>3162.2776601683795</x:v>
      </x:c>
      <x:c r="U28" s="31" t="n">
        <x:f>IF(T28="","",I28*T28)</x:f>
        <x:v>107041.06647231492</x:v>
      </x:c>
    </x:row>
    <x:row r="29" ht="18" customHeight="1">
      <x:c r="A29" s="24" t="str">
        <x:v>EEZ_084</x:v>
      </x:c>
      <x:c r="B29" s="24" t="str">
        <x:v>Belize</x:v>
      </x:c>
      <x:c r="C29" s="24" t="str">
        <x:v>EEZ</x:v>
      </x:c>
      <x:c r="D29" s="30" t="n">
        <x:v>2019</x:v>
      </x:c>
      <x:c r="E29" s="24" t="str">
        <x:v>Centropomus undecimalis</x:v>
      </x:c>
      <x:c r="F29" s="24" t="str">
        <x:v>Common snook</x:v>
      </x:c>
      <x:c r="G29" s="24" t="str">
        <x:v>Large benthopelagics (&gt;=90 cm)</x:v>
      </x:c>
      <x:c r="H29" s="24" t="str">
        <x:v>Perch-likes</x:v>
      </x:c>
      <x:c r="I29" s="31" t="n">
        <x:v>32.1932015144</x:v>
      </x:c>
      <x:c r="J29" s="31" t="n">
        <x:v>32.1932015144</x:v>
      </x:c>
      <x:c r="K29" s="31" t="n">
        <x:v>0</x:v>
      </x:c>
      <x:c r="L29" s="31" t="n">
        <x:v>0.9267505556</x:v>
      </x:c>
      <x:c r="M29" s="31" t="n">
        <x:v>31.2664509588</x:v>
      </x:c>
      <x:c r="N29" s="24" t="str">
        <x:v>centropomus undecimalis</x:v>
      </x:c>
      <x:c r="O29" s="32" t="n">
        <x:v>4.17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Centropomus undecimalis</x:v>
      </x:c>
      <x:c r="T29" s="32" t="n">
        <x:f>IF(O29="","",(1/'Metadata'!$B$5)^(O29-1))</x:f>
        <x:v>1479.1083881682073</x:v>
      </x:c>
      <x:c r="U29" s="31" t="n">
        <x:f>IF(T29="","",I29*T29)</x:f>
        <x:v>47617.23440193848</x:v>
      </x:c>
    </x:row>
    <x:row r="30" ht="18" customHeight="1">
      <x:c r="A30" s="24" t="str">
        <x:v>EEZ_084</x:v>
      </x:c>
      <x:c r="B30" s="24" t="str">
        <x:v>Belize</x:v>
      </x:c>
      <x:c r="C30" s="24" t="str">
        <x:v>EEZ</x:v>
      </x:c>
      <x:c r="D30" s="30" t="n">
        <x:v>2019</x:v>
      </x:c>
      <x:c r="E30" s="24" t="str">
        <x:v>Lutjanus</x:v>
      </x:c>
      <x:c r="F30" s="24" t="str">
        <x:v>Snappers</x:v>
      </x:c>
      <x:c r="G30" s="24" t="str">
        <x:v>Medium reef assoc. fish (30 - 89 cm)</x:v>
      </x:c>
      <x:c r="H30" s="24" t="str">
        <x:v>Perch-likes</x:v>
      </x:c>
      <x:c r="I30" s="31" t="n">
        <x:v>30.3254085286</x:v>
      </x:c>
      <x:c r="J30" s="31" t="n">
        <x:v>30.3254085286</x:v>
      </x:c>
      <x:c r="K30" s="31" t="n">
        <x:v>0</x:v>
      </x:c>
      <x:c r="L30" s="31" t="n">
        <x:v>0.8729821168</x:v>
      </x:c>
      <x:c r="M30" s="31" t="n">
        <x:v>29.452426411799998</x:v>
      </x:c>
      <x:c r="N30" s="24" t="str">
        <x:v>lutjanus</x:v>
      </x:c>
      <x:c r="O30" s="32" t="n">
        <x:v>4.02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Lutjanus</x:v>
      </x:c>
      <x:c r="T30" s="32" t="n">
        <x:f>IF(O30="","",(1/'Metadata'!$B$5)^(O30-1))</x:f>
        <x:v>1047.1285480508984</x:v>
      </x:c>
      <x:c r="U30" s="31" t="n">
        <x:f>IF(T30="","",I30*T30)</x:f>
        <x:v>31754.60100160325</x:v>
      </x:c>
    </x:row>
    <x:row r="31" ht="18" customHeight="1">
      <x:c r="A31" s="24" t="str">
        <x:v>EEZ_084</x:v>
      </x:c>
      <x:c r="B31" s="24" t="str">
        <x:v>Belize</x:v>
      </x:c>
      <x:c r="C31" s="24" t="str">
        <x:v>EEZ</x:v>
      </x:c>
      <x:c r="D31" s="30" t="n">
        <x:v>2019</x:v>
      </x:c>
      <x:c r="E31" s="24" t="str">
        <x:v>Lachnolaimus maximus</x:v>
      </x:c>
      <x:c r="F31" s="24" t="str">
        <x:v>Hogfish</x:v>
      </x:c>
      <x:c r="G31" s="24" t="str">
        <x:v>Medium reef assoc. fish (30 - 89 cm)</x:v>
      </x:c>
      <x:c r="H31" s="24" t="str">
        <x:v>Perch-likes</x:v>
      </x:c>
      <x:c r="I31" s="31" t="n">
        <x:v>26.776911543399997</x:v>
      </x:c>
      <x:c r="J31" s="31" t="n">
        <x:v>26.776911543399997</x:v>
      </x:c>
      <x:c r="K31" s="31" t="n">
        <x:v>0</x:v>
      </x:c>
      <x:c r="L31" s="31" t="n">
        <x:v>0.770830998</x:v>
      </x:c>
      <x:c r="M31" s="31" t="n">
        <x:v>26.0060805454</x:v>
      </x:c>
      <x:c r="N31" s="24" t="str">
        <x:v>lachnolaimus maximus</x:v>
      </x:c>
      <x:c r="O31" s="32" t="n">
        <x:v>4.17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Lachnolaimus maximus</x:v>
      </x:c>
      <x:c r="T31" s="32" t="n">
        <x:f>IF(O31="","",(1/'Metadata'!$B$5)^(O31-1))</x:f>
        <x:v>1479.1083881682073</x:v>
      </x:c>
      <x:c r="U31" s="31" t="n">
        <x:f>IF(T31="","",I31*T31)</x:f>
        <x:v>39605.95447308103</x:v>
      </x:c>
    </x:row>
    <x:row r="32" ht="18" customHeight="1">
      <x:c r="A32" s="24" t="str">
        <x:v>EEZ_084</x:v>
      </x:c>
      <x:c r="B32" s="24" t="str">
        <x:v>Belize</x:v>
      </x:c>
      <x:c r="C32" s="24" t="str">
        <x:v>EEZ</x:v>
      </x:c>
      <x:c r="D32" s="30" t="n">
        <x:v>2019</x:v>
      </x:c>
      <x:c r="E32" s="24" t="str">
        <x:v>Haemulon sciurus</x:v>
      </x:c>
      <x:c r="F32" s="24" t="str">
        <x:v>Bluestriped grunt</x:v>
      </x:c>
      <x:c r="G32" s="24" t="str">
        <x:v>Medium reef assoc. fish (30 - 89 cm)</x:v>
      </x:c>
      <x:c r="H32" s="24" t="str">
        <x:v>Perch-likes</x:v>
      </x:c>
      <x:c r="I32" s="31" t="n">
        <x:v>26.1743337499</x:v>
      </x:c>
      <x:c r="J32" s="31" t="n">
        <x:v>26.1743337499</x:v>
      </x:c>
      <x:c r="K32" s="31" t="n">
        <x:v>0</x:v>
      </x:c>
      <x:c r="L32" s="31" t="n">
        <x:v>0.7534845</x:v>
      </x:c>
      <x:c r="M32" s="31" t="n">
        <x:v>25.4208492499</x:v>
      </x:c>
      <x:c r="N32" s="24" t="str">
        <x:v>haemulon sciurus</x:v>
      </x:c>
      <x:c r="O32" s="32" t="n">
        <x:v>3.48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Haemulon sciurus</x:v>
      </x:c>
      <x:c r="T32" s="32" t="n">
        <x:f>IF(O32="","",(1/'Metadata'!$B$5)^(O32-1))</x:f>
        <x:v>301.9951720402016</x:v>
      </x:c>
      <x:c r="U32" s="31" t="n">
        <x:f>IF(T32="","",I32*T32)</x:f>
        <x:v>7904.522423838706</x:v>
      </x:c>
    </x:row>
    <x:row r="33" ht="18" customHeight="1">
      <x:c r="A33" s="24" t="str">
        <x:v>EEZ_084</x:v>
      </x:c>
      <x:c r="B33" s="24" t="str">
        <x:v>Belize</x:v>
      </x:c>
      <x:c r="C33" s="24" t="str">
        <x:v>EEZ</x:v>
      </x:c>
      <x:c r="D33" s="30" t="n">
        <x:v>2019</x:v>
      </x:c>
      <x:c r="E33" s="24" t="str">
        <x:v>Carcharhinus leucas</x:v>
      </x:c>
      <x:c r="F33" s="24" t="str">
        <x:v>Bull shark</x:v>
      </x:c>
      <x:c r="G33" s="24" t="str">
        <x:v>Large sharks (&gt;=90 cm)</x:v>
      </x:c>
      <x:c r="H33" s="24" t="str">
        <x:v>Sharks &amp; rays</x:v>
      </x:c>
      <x:c r="I33" s="31" t="n">
        <x:v>25.138104144099998</x:v>
      </x:c>
      <x:c r="J33" s="31" t="n">
        <x:v>25.138104144099998</x:v>
      </x:c>
      <x:c r="K33" s="31" t="n">
        <x:v>0</x:v>
      </x:c>
      <x:c r="L33" s="31" t="n">
        <x:v>0</x:v>
      </x:c>
      <x:c r="M33" s="31" t="n">
        <x:v>25.138104144099998</x:v>
      </x:c>
      <x:c r="N33" s="24" t="str">
        <x:v>carcharhinus leucas</x:v>
      </x:c>
      <x:c r="O33" s="32" t="n">
        <x:v>4.31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Carcharhinus leucas</x:v>
      </x:c>
      <x:c r="T33" s="32" t="n">
        <x:f>IF(O33="","",(1/'Metadata'!$B$5)^(O33-1))</x:f>
        <x:v>2041.7379446695275</x:v>
      </x:c>
      <x:c r="U33" s="31" t="n">
        <x:f>IF(T33="","",I33*T33)</x:f>
        <x:v>51325.42108806326</x:v>
      </x:c>
    </x:row>
    <x:row r="34" ht="18" customHeight="1">
      <x:c r="A34" s="24" t="str">
        <x:v>EEZ_084</x:v>
      </x:c>
      <x:c r="B34" s="24" t="str">
        <x:v>Belize</x:v>
      </x:c>
      <x:c r="C34" s="24" t="str">
        <x:v>EEZ</x:v>
      </x:c>
      <x:c r="D34" s="30" t="n">
        <x:v>2019</x:v>
      </x:c>
      <x:c r="E34" s="24" t="str">
        <x:v>Haemulon</x:v>
      </x:c>
      <x:c r="F34" s="24" t="str">
        <x:v>Grunts</x:v>
      </x:c>
      <x:c r="G34" s="24" t="str">
        <x:v>Small reef assoc. fish (&lt;30 cm)</x:v>
      </x:c>
      <x:c r="H34" s="24" t="str">
        <x:v>Perch-likes</x:v>
      </x:c>
      <x:c r="I34" s="31" t="n">
        <x:v>17.587015049</x:v>
      </x:c>
      <x:c r="J34" s="31" t="n">
        <x:v>17.587015049</x:v>
      </x:c>
      <x:c r="K34" s="31" t="n">
        <x:v>0</x:v>
      </x:c>
      <x:c r="L34" s="31" t="n">
        <x:v>0.5062800592</x:v>
      </x:c>
      <x:c r="M34" s="31" t="n">
        <x:v>17.0807349898</x:v>
      </x:c>
      <x:c r="N34" s="24" t="str">
        <x:v>haemulon</x:v>
      </x:c>
      <x:c r="O34" s="32" t="n">
        <x:v>3.25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Haemulon</x:v>
      </x:c>
      <x:c r="T34" s="32" t="n">
        <x:f>IF(O34="","",(1/'Metadata'!$B$5)^(O34-1))</x:f>
        <x:v>177.82794100389228</x:v>
      </x:c>
      <x:c r="U34" s="31" t="n">
        <x:f>IF(T34="","",I34*T34)</x:f>
        <x:v>3127.462674568138</x:v>
      </x:c>
    </x:row>
    <x:row r="35" ht="18" customHeight="1">
      <x:c r="A35" s="24" t="str">
        <x:v>EEZ_084</x:v>
      </x:c>
      <x:c r="B35" s="24" t="str">
        <x:v>Belize</x:v>
      </x:c>
      <x:c r="C35" s="24" t="str">
        <x:v>EEZ</x:v>
      </x:c>
      <x:c r="D35" s="30" t="n">
        <x:v>2019</x:v>
      </x:c>
      <x:c r="E35" s="24" t="str">
        <x:v>Scomberomorus cavalla</x:v>
      </x:c>
      <x:c r="F35" s="24" t="str">
        <x:v>King mackerel</x:v>
      </x:c>
      <x:c r="G35" s="24" t="str">
        <x:v>Large pelagics (&gt;=90 cm)</x:v>
      </x:c>
      <x:c r="H35" s="24" t="str">
        <x:v>Perch-likes</x:v>
      </x:c>
      <x:c r="I35" s="31" t="n">
        <x:v>17.5686196619</x:v>
      </x:c>
      <x:c r="J35" s="31" t="n">
        <x:v>17.5686196619</x:v>
      </x:c>
      <x:c r="K35" s="31" t="n">
        <x:v>0</x:v>
      </x:c>
      <x:c r="L35" s="31" t="n">
        <x:v>0.5057505084</x:v>
      </x:c>
      <x:c r="M35" s="31" t="n">
        <x:v>17.0628691535</x:v>
      </x:c>
      <x:c r="N35" s="24" t="str">
        <x:v>scomberomorus cavalla</x:v>
      </x:c>
      <x:c r="O35" s="32" t="n">
        <x:v>4.42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Scomberomorus cavalla</x:v>
      </x:c>
      <x:c r="T35" s="32" t="n">
        <x:f>IF(O35="","",(1/'Metadata'!$B$5)^(O35-1))</x:f>
        <x:v>2630.2679918953813</x:v>
      </x:c>
      <x:c r="U35" s="31" t="n">
        <x:f>IF(T35="","",I35*T35)</x:f>
        <x:v>46210.17795847943</x:v>
      </x:c>
    </x:row>
    <x:row r="36" ht="18" customHeight="1">
      <x:c r="A36" s="24" t="str">
        <x:v>EEZ_084</x:v>
      </x:c>
      <x:c r="B36" s="24" t="str">
        <x:v>Belize</x:v>
      </x:c>
      <x:c r="C36" s="24" t="str">
        <x:v>EEZ</x:v>
      </x:c>
      <x:c r="D36" s="30" t="n">
        <x:v>2019</x:v>
      </x:c>
      <x:c r="E36" s="24" t="str">
        <x:v>Calamus</x:v>
      </x:c>
      <x:c r="F36" s="24" t="str">
        <x:v>Porgies</x:v>
      </x:c>
      <x:c r="G36" s="24" t="str">
        <x:v>Medium reef assoc. fish (30 - 89 cm)</x:v>
      </x:c>
      <x:c r="H36" s="24" t="str">
        <x:v>Perch-likes</x:v>
      </x:c>
      <x:c r="I36" s="31" t="n">
        <x:v>15.3283563998</x:v>
      </x:c>
      <x:c r="J36" s="31" t="n">
        <x:v>15.3283563998</x:v>
      </x:c>
      <x:c r="K36" s="31" t="n">
        <x:v>0</x:v>
      </x:c>
      <x:c r="L36" s="31" t="n">
        <x:v>0.4412597114</x:v>
      </x:c>
      <x:c r="M36" s="31" t="n">
        <x:v>14.8870966884</x:v>
      </x:c>
      <x:c r="N36" s="24" t="str">
        <x:v>calamus</x:v>
      </x:c>
      <x:c r="O36" s="32" t="n">
        <x:v>3.51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Calamus</x:v>
      </x:c>
      <x:c r="T36" s="32" t="n">
        <x:f>IF(O36="","",(1/'Metadata'!$B$5)^(O36-1))</x:f>
        <x:v>323.5936569296281</x:v>
      </x:c>
      <x:c r="U36" s="31" t="n">
        <x:f>IF(T36="","",I36*T36)</x:f>
        <x:v>4960.1589021319505</x:v>
      </x:c>
    </x:row>
    <x:row r="37" ht="18" customHeight="1">
      <x:c r="A37" s="24" t="str">
        <x:v>EEZ_084</x:v>
      </x:c>
      <x:c r="B37" s="24" t="str">
        <x:v>Belize</x:v>
      </x:c>
      <x:c r="C37" s="24" t="str">
        <x:v>EEZ</x:v>
      </x:c>
      <x:c r="D37" s="30" t="n">
        <x:v>2019</x:v>
      </x:c>
      <x:c r="E37" s="24" t="str">
        <x:v>Calamus bajonado</x:v>
      </x:c>
      <x:c r="F37" s="24" t="str">
        <x:v>Jolthead porgy</x:v>
      </x:c>
      <x:c r="G37" s="24" t="str">
        <x:v>Medium reef assoc. fish (30 - 89 cm)</x:v>
      </x:c>
      <x:c r="H37" s="24" t="str">
        <x:v>Perch-likes</x:v>
      </x:c>
      <x:c r="I37" s="31" t="n">
        <x:v>14.5530870797</x:v>
      </x:c>
      <x:c r="J37" s="31" t="n">
        <x:v>14.5530870797</x:v>
      </x:c>
      <x:c r="K37" s="31" t="n">
        <x:v>0</x:v>
      </x:c>
      <x:c r="L37" s="31" t="n">
        <x:v>0.4189419164</x:v>
      </x:c>
      <x:c r="M37" s="31" t="n">
        <x:v>14.134145163300001</x:v>
      </x:c>
      <x:c r="N37" s="24" t="str">
        <x:v>calamus bajonado</x:v>
      </x:c>
      <x:c r="O37" s="32" t="n">
        <x:v>3.5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Calamus bajonado</x:v>
      </x:c>
      <x:c r="T37" s="32" t="n">
        <x:f>IF(O37="","",(1/'Metadata'!$B$5)^(O37-1))</x:f>
        <x:v>316.22776601683796</x:v>
      </x:c>
      <x:c r="U37" s="31" t="n">
        <x:f>IF(T37="","",I37*T37)</x:f>
        <x:v>4602.090215862039</x:v>
      </x:c>
    </x:row>
    <x:row r="38" ht="18" customHeight="1">
      <x:c r="A38" s="24" t="str">
        <x:v>EEZ_084</x:v>
      </x:c>
      <x:c r="B38" s="24" t="str">
        <x:v>Belize</x:v>
      </x:c>
      <x:c r="C38" s="24" t="str">
        <x:v>EEZ</x:v>
      </x:c>
      <x:c r="D38" s="30" t="n">
        <x:v>2019</x:v>
      </x:c>
      <x:c r="E38" s="24" t="str">
        <x:v>Lutjanus campechanus</x:v>
      </x:c>
      <x:c r="F38" s="24" t="str">
        <x:v>Northern red snapper</x:v>
      </x:c>
      <x:c r="G38" s="24" t="str">
        <x:v>Medium reef assoc. fish (30 - 89 cm)</x:v>
      </x:c>
      <x:c r="H38" s="24" t="str">
        <x:v>Perch-likes</x:v>
      </x:c>
      <x:c r="I38" s="31" t="n">
        <x:v>10.3851607883</x:v>
      </x:c>
      <x:c r="J38" s="31" t="n">
        <x:v>10.3851607883</x:v>
      </x:c>
      <x:c r="K38" s="31" t="n">
        <x:v>0</x:v>
      </x:c>
      <x:c r="L38" s="31" t="n">
        <x:v>0.2989591926</x:v>
      </x:c>
      <x:c r="M38" s="31" t="n">
        <x:v>10.0862015957</x:v>
      </x:c>
      <x:c r="N38" s="24" t="str">
        <x:v>lutjanus campechanus</x:v>
      </x:c>
      <x:c r="O38" s="32" t="n">
        <x:v>4.01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Lutjanus campechanus</x:v>
      </x:c>
      <x:c r="T38" s="32" t="n">
        <x:f>IF(O38="","",(1/'Metadata'!$B$5)^(O38-1))</x:f>
        <x:v>1023.2929922807537</x:v>
      </x:c>
      <x:c r="U38" s="31" t="n">
        <x:f>IF(T38="","",I38*T38)</x:f>
        <x:v>10627.062258376258</x:v>
      </x:c>
    </x:row>
    <x:row r="39" ht="18" customHeight="1">
      <x:c r="A39" s="24" t="str">
        <x:v>EEZ_084</x:v>
      </x:c>
      <x:c r="B39" s="24" t="str">
        <x:v>Belize</x:v>
      </x:c>
      <x:c r="C39" s="24" t="str">
        <x:v>EEZ</x:v>
      </x:c>
      <x:c r="D39" s="30" t="n">
        <x:v>2019</x:v>
      </x:c>
      <x:c r="E39" s="24" t="str">
        <x:v>Mycteroperca bonaci</x:v>
      </x:c>
      <x:c r="F39" s="24" t="str">
        <x:v>Black grouper</x:v>
      </x:c>
      <x:c r="G39" s="24" t="str">
        <x:v>Large reef assoc. fish (&gt;=90 cm)</x:v>
      </x:c>
      <x:c r="H39" s="24" t="str">
        <x:v>Perch-likes</x:v>
      </x:c>
      <x:c r="I39" s="31" t="n">
        <x:v>3.716100332</x:v>
      </x:c>
      <x:c r="J39" s="31" t="n">
        <x:v>3.716100332</x:v>
      </x:c>
      <x:c r="K39" s="31" t="n">
        <x:v>0</x:v>
      </x:c>
      <x:c r="L39" s="31" t="n">
        <x:v>0.1069759417</x:v>
      </x:c>
      <x:c r="M39" s="31" t="n">
        <x:v>3.6091243903</x:v>
      </x:c>
      <x:c r="N39" s="24" t="str">
        <x:v>mycteroperca bonaci</x:v>
      </x:c>
      <x:c r="O39" s="32" t="n">
        <x:v>4.3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Mycteroperca bonaci</x:v>
      </x:c>
      <x:c r="T39" s="32" t="n">
        <x:f>IF(O39="","",(1/'Metadata'!$B$5)^(O39-1))</x:f>
        <x:v>1995.2623149688789</x:v>
      </x:c>
      <x:c r="U39" s="31" t="n">
        <x:f>IF(T39="","",I39*T39)</x:f>
        <x:v>7414.594951082939</x:v>
      </x:c>
    </x:row>
    <x:row r="40" ht="18" customHeight="1">
      <x:c r="A40" s="24" t="str">
        <x:v>EEZ_084</x:v>
      </x:c>
      <x:c r="B40" s="24" t="str">
        <x:v>Belize</x:v>
      </x:c>
      <x:c r="C40" s="24" t="str">
        <x:v>EEZ</x:v>
      </x:c>
      <x:c r="D40" s="30" t="n">
        <x:v>2019</x:v>
      </x:c>
      <x:c r="E40" s="24" t="str">
        <x:v>Epinephelus itajara</x:v>
      </x:c>
      <x:c r="F40" s="24" t="str">
        <x:v>Atlantic goliath grouper</x:v>
      </x:c>
      <x:c r="G40" s="24" t="str">
        <x:v>Large reef assoc. fish (&gt;=90 cm)</x:v>
      </x:c>
      <x:c r="H40" s="24" t="str">
        <x:v>Perch-likes</x:v>
      </x:c>
      <x:c r="I40" s="31" t="n">
        <x:v>3.5523494847</x:v>
      </x:c>
      <x:c r="J40" s="31" t="n">
        <x:v>3.5523494847</x:v>
      </x:c>
      <x:c r="K40" s="31" t="n">
        <x:v>0</x:v>
      </x:c>
      <x:c r="L40" s="31" t="n">
        <x:v>0.1022620213</x:v>
      </x:c>
      <x:c r="M40" s="31" t="n">
        <x:v>3.4500874634</x:v>
      </x:c>
      <x:c r="N40" s="24" t="str">
        <x:v>epinephelus itajara</x:v>
      </x:c>
      <x:c r="O40" s="32" t="n">
        <x:v>4.09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Epinephelus itajara</x:v>
      </x:c>
      <x:c r="T40" s="32" t="n">
        <x:f>IF(O40="","",(1/'Metadata'!$B$5)^(O40-1))</x:f>
        <x:v>1230.268770812381</x:v>
      </x:c>
      <x:c r="U40" s="31" t="n">
        <x:f>IF(T40="","",I40*T40)</x:f>
        <x:v>4370.344634037864</x:v>
      </x:c>
    </x:row>
    <x:row r="41" ht="18" customHeight="1">
      <x:c r="A41" s="24" t="str">
        <x:v>EEZ_084</x:v>
      </x:c>
      <x:c r="B41" s="24" t="str">
        <x:v>Belize</x:v>
      </x:c>
      <x:c r="C41" s="24" t="str">
        <x:v>EEZ</x:v>
      </x:c>
      <x:c r="D41" s="30" t="n">
        <x:v>2019</x:v>
      </x:c>
      <x:c r="E41" s="24" t="str">
        <x:v>Epinephelus striatus</x:v>
      </x:c>
      <x:c r="F41" s="24" t="str">
        <x:v>Nassau grouper</x:v>
      </x:c>
      <x:c r="G41" s="24" t="str">
        <x:v>Large reef assoc. fish (&gt;=90 cm)</x:v>
      </x:c>
      <x:c r="H41" s="24" t="str">
        <x:v>Perch-likes</x:v>
      </x:c>
      <x:c r="I41" s="31" t="n">
        <x:v>1.9850150352</x:v>
      </x:c>
      <x:c r="J41" s="31" t="n">
        <x:v>1.9850150352</x:v>
      </x:c>
      <x:c r="K41" s="31" t="n">
        <x:v>0</x:v>
      </x:c>
      <x:c r="L41" s="31" t="n">
        <x:v>0.0571429277</x:v>
      </x:c>
      <x:c r="M41" s="31" t="n">
        <x:v>1.9278721075</x:v>
      </x:c>
      <x:c r="N41" s="24" t="str">
        <x:v>epinephelus striatus</x:v>
      </x:c>
      <x:c r="O41" s="32" t="n">
        <x:v>4.06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Epinephelus striatus</x:v>
      </x:c>
      <x:c r="T41" s="32" t="n">
        <x:f>IF(O41="","",(1/'Metadata'!$B$5)^(O41-1))</x:f>
        <x:v>1148.1536214968817</x:v>
      </x:c>
      <x:c r="U41" s="31" t="n">
        <x:f>IF(T41="","",I41*T41)</x:f>
        <x:v>2279.10220139064</x:v>
      </x:c>
    </x:row>
    <x:row r="42" ht="18" customHeight="1">
      <x:c r="A42" s="24" t="str">
        <x:v>EEZ_084</x:v>
      </x:c>
      <x:c r="B42" s="24" t="str">
        <x:v>Belize</x:v>
      </x:c>
      <x:c r="C42" s="24" t="str">
        <x:v>EEZ</x:v>
      </x:c>
      <x:c r="D42" s="30" t="n">
        <x:v>2019</x:v>
      </x:c>
      <x:c r="E42" s="24" t="str">
        <x:v>Rachycentron canadum</x:v>
      </x:c>
      <x:c r="F42" s="24" t="str">
        <x:v>Cobia</x:v>
      </x:c>
      <x:c r="G42" s="24" t="str">
        <x:v>Large pelagics (&gt;=90 cm)</x:v>
      </x:c>
      <x:c r="H42" s="24" t="str">
        <x:v>Perch-likes</x:v>
      </x:c>
      <x:c r="I42" s="31" t="n">
        <x:v>1.8169677422</x:v>
      </x:c>
      <x:c r="J42" s="31" t="n">
        <x:v>1.8169677422</x:v>
      </x:c>
      <x:c r="K42" s="31" t="n">
        <x:v>0</x:v>
      </x:c>
      <x:c r="L42" s="31" t="n">
        <x:v>0.0523053249</x:v>
      </x:c>
      <x:c r="M42" s="31" t="n">
        <x:v>1.7646624172999998</x:v>
      </x:c>
      <x:c r="N42" s="24" t="str">
        <x:v>rachycentron canadum</x:v>
      </x:c>
      <x:c r="O42" s="32" t="n">
        <x:v>3.96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Rachycentron canadum</x:v>
      </x:c>
      <x:c r="T42" s="32" t="n">
        <x:f>IF(O42="","",(1/'Metadata'!$B$5)^(O42-1))</x:f>
        <x:v>912.0108393559096</x:v>
      </x:c>
      <x:c r="U42" s="31" t="n">
        <x:f>IF(T42="","",I42*T42)</x:f>
        <x:v>1657.094275646434</x:v>
      </x:c>
    </x:row>
    <x:row r="43" ht="18" customHeight="1">
      <x:c r="A43" s="24" t="str">
        <x:v>EEZ_084</x:v>
      </x:c>
      <x:c r="B43" s="24" t="str">
        <x:v>Belize</x:v>
      </x:c>
      <x:c r="C43" s="24" t="str">
        <x:v>EEZ</x:v>
      </x:c>
      <x:c r="D43" s="30" t="n">
        <x:v>2019</x:v>
      </x:c>
      <x:c r="E43" s="24" t="str">
        <x:v>Calamus calamus</x:v>
      </x:c>
      <x:c r="F43" s="24" t="str">
        <x:v>Saucereye porgy</x:v>
      </x:c>
      <x:c r="G43" s="24" t="str">
        <x:v>Medium reef assoc. fish (30 - 89 cm)</x:v>
      </x:c>
      <x:c r="H43" s="24" t="str">
        <x:v>Perch-likes</x:v>
      </x:c>
      <x:c r="I43" s="31" t="n">
        <x:v>1.1467589921</x:v>
      </x:c>
      <x:c r="J43" s="31" t="n">
        <x:v>1.1467589921</x:v>
      </x:c>
      <x:c r="K43" s="31" t="n">
        <x:v>0</x:v>
      </x:c>
      <x:c r="L43" s="31" t="n">
        <x:v>0.0330119244</x:v>
      </x:c>
      <x:c r="M43" s="31" t="n">
        <x:v>1.1137470676999999</x:v>
      </x:c>
      <x:c r="N43" s="24" t="str">
        <x:v>calamus calamus</x:v>
      </x:c>
      <x:c r="O43" s="32" t="n">
        <x:v>3.5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Calamus calamus</x:v>
      </x:c>
      <x:c r="T43" s="32" t="n">
        <x:f>IF(O43="","",(1/'Metadata'!$B$5)^(O43-1))</x:f>
        <x:v>316.22776601683796</x:v>
      </x:c>
      <x:c r="U43" s="31" t="n">
        <x:f>IF(T43="","",I43*T43)</x:f>
        <x:v>362.6370342315038</x:v>
      </x:c>
    </x:row>
    <x:row r="44" ht="18" customHeight="1">
      <x:c r="A44" s="24" t="str">
        <x:v>EEZ_084</x:v>
      </x:c>
      <x:c r="B44" s="24" t="str">
        <x:v>Belize</x:v>
      </x:c>
      <x:c r="C44" s="24" t="str">
        <x:v>EEZ</x:v>
      </x:c>
      <x:c r="D44" s="30" t="n">
        <x:v>2019</x:v>
      </x:c>
      <x:c r="E44" s="24" t="str">
        <x:v>Pogonias courbina</x:v>
      </x:c>
      <x:c r="F44" s="24" t="str">
        <x:v>Black drum</x:v>
      </x:c>
      <x:c r="G44" s="24" t="str">
        <x:v>Large demersals (&gt;=90 cm)</x:v>
      </x:c>
      <x:c r="H44" s="24" t="str">
        <x:v>Perch-likes</x:v>
      </x:c>
      <x:c r="I44" s="31" t="n">
        <x:v>0.9552707776</x:v>
      </x:c>
      <x:c r="J44" s="31" t="n">
        <x:v>0.9552707776</x:v>
      </x:c>
      <x:c r="K44" s="31" t="n">
        <x:v>0</x:v>
      </x:c>
      <x:c r="L44" s="31" t="n">
        <x:v>0.0274995242</x:v>
      </x:c>
      <x:c r="M44" s="31" t="n">
        <x:v>0.9277712534</x:v>
      </x:c>
      <x:c r="N44" s="24" t="str">
        <x:v>pogonias courbina</x:v>
      </x:c>
      <x:c r="O44" s="32" t="n">
        <x:v>3.89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Pogonias courbina</x:v>
      </x:c>
      <x:c r="T44" s="32" t="n">
        <x:f>IF(O44="","",(1/'Metadata'!$B$5)^(O44-1))</x:f>
        <x:v>776.247116628692</x:v>
      </x:c>
      <x:c r="U44" s="31" t="n">
        <x:f>IF(T44="","",I44*T44)</x:f>
        <x:v>741.5261867116485</x:v>
      </x:c>
    </x:row>
    <x:row r="45" ht="18" customHeight="1">
      <x:c r="A45" s="24" t="str">
        <x:v>EEZ_084</x:v>
      </x:c>
      <x:c r="B45" s="24" t="str">
        <x:v>Belize</x:v>
      </x:c>
      <x:c r="C45" s="24" t="str">
        <x:v>EEZ</x:v>
      </x:c>
      <x:c r="D45" s="30" t="n">
        <x:v>2019</x:v>
      </x:c>
      <x:c r="E45" s="24" t="str">
        <x:v>Chaetodipterus faber</x:v>
      </x:c>
      <x:c r="F45" s="24" t="str">
        <x:v>Atlantic spadefish</x:v>
      </x:c>
      <x:c r="G45" s="24" t="str">
        <x:v>Medium demersals (30 - 89 cm)</x:v>
      </x:c>
      <x:c r="H45" s="24" t="str">
        <x:v>Perch-likes</x:v>
      </x:c>
      <x:c r="I45" s="31" t="n">
        <x:v>0.7637825633</x:v>
      </x:c>
      <x:c r="J45" s="31" t="n">
        <x:v>0.7637825633</x:v>
      </x:c>
      <x:c r="K45" s="31" t="n">
        <x:v>0</x:v>
      </x:c>
      <x:c r="L45" s="31" t="n">
        <x:v>0.021987124</x:v>
      </x:c>
      <x:c r="M45" s="31" t="n">
        <x:v>0.7417954393</x:v>
      </x:c>
      <x:c r="N45" s="24" t="str">
        <x:v>chaetodipterus faber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Chaetodipterus faber</x:v>
      </x:c>
      <x:c r="T45" s="32" t="n">
        <x:f>IF(O45="","",(1/'Metadata'!$B$5)^(O45-1))</x:f>
        <x:v>3162.2776601683795</x:v>
      </x:c>
      <x:c r="U45" s="31" t="n">
        <x:f>IF(T45="","",I45*T45)</x:f>
        <x:v>2415.2925371497313</x:v>
      </x:c>
    </x:row>
    <x:row r="46" ht="18" customHeight="1">
      <x:c r="A46" s="24" t="str">
        <x:v>EEZ_084</x:v>
      </x:c>
      <x:c r="B46" s="24" t="str">
        <x:v>Belize</x:v>
      </x:c>
      <x:c r="C46" s="24" t="str">
        <x:v>EEZ</x:v>
      </x:c>
      <x:c r="D46" s="30" t="n">
        <x:v>2019</x:v>
      </x:c>
      <x:c r="E46" s="24" t="str">
        <x:v>Alectis ciliaris</x:v>
      </x:c>
      <x:c r="F46" s="24" t="str">
        <x:v>African pompano</x:v>
      </x:c>
      <x:c r="G46" s="24" t="str">
        <x:v>Large pelagics (&gt;=90 cm)</x:v>
      </x:c>
      <x:c r="H46" s="24" t="str">
        <x:v>Perch-likes</x:v>
      </x:c>
      <x:c r="I46" s="31" t="n">
        <x:v>0.6680384561</x:v>
      </x:c>
      <x:c r="J46" s="31" t="n">
        <x:v>0.6680384561</x:v>
      </x:c>
      <x:c r="K46" s="31" t="n">
        <x:v>0</x:v>
      </x:c>
      <x:c r="L46" s="31" t="n">
        <x:v>0.019230924</x:v>
      </x:c>
      <x:c r="M46" s="31" t="n">
        <x:v>0.6488075321</x:v>
      </x:c>
      <x:c r="N46" s="24" t="str">
        <x:v>alectis ciliaris</x:v>
      </x:c>
      <x:c r="O46" s="32" t="n">
        <x:v>3.95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Alectis ciliaris</x:v>
      </x:c>
      <x:c r="T46" s="32" t="n">
        <x:f>IF(O46="","",(1/'Metadata'!$B$5)^(O46-1))</x:f>
        <x:v>891.2509381337459</x:v>
      </x:c>
      <x:c r="U46" s="31" t="n">
        <x:f>IF(T46="","",I46*T46)</x:f>
        <x:v>595.3899007085442</x:v>
      </x:c>
    </x:row>
    <x:row r="47" ht="18" customHeight="1">
      <x:c r="A47" s="24" t="str">
        <x:v>EEZ_084</x:v>
      </x:c>
      <x:c r="B47" s="24" t="str">
        <x:v>Belize</x:v>
      </x:c>
      <x:c r="C47" s="24" t="str">
        <x:v>EEZ</x:v>
      </x:c>
      <x:c r="D47" s="30" t="n">
        <x:v>2019</x:v>
      </x:c>
      <x:c r="E47" s="24" t="str">
        <x:v>Archosargus rhomboidalis</x:v>
      </x:c>
      <x:c r="F47" s="24" t="str">
        <x:v>Western Atlantic seabream</x:v>
      </x:c>
      <x:c r="G47" s="24" t="str">
        <x:v>Medium reef assoc. fish (30 - 89 cm)</x:v>
      </x:c>
      <x:c r="H47" s="24" t="str">
        <x:v>Perch-likes</x:v>
      </x:c>
      <x:c r="I47" s="31" t="n">
        <x:v>0.6680384561</x:v>
      </x:c>
      <x:c r="J47" s="31" t="n">
        <x:v>0.6680384561</x:v>
      </x:c>
      <x:c r="K47" s="31" t="n">
        <x:v>0</x:v>
      </x:c>
      <x:c r="L47" s="31" t="n">
        <x:v>0.019230924</x:v>
      </x:c>
      <x:c r="M47" s="31" t="n">
        <x:v>0.6488075321</x:v>
      </x:c>
      <x:c r="N47" s="24" t="str">
        <x:v>archosargus rhomboidalis</x:v>
      </x:c>
      <x:c r="O47" s="32" t="n">
        <x:v>2.89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Archosargus rhomboidalis</x:v>
      </x:c>
      <x:c r="T47" s="32" t="n">
        <x:f>IF(O47="","",(1/'Metadata'!$B$5)^(O47-1))</x:f>
        <x:v>77.6247116628692</x:v>
      </x:c>
      <x:c r="U47" s="31" t="n">
        <x:f>IF(T47="","",I47*T47)</x:f>
        <x:v>51.8562925344708</x:v>
      </x:c>
    </x:row>
    <x:row r="48" ht="18" customHeight="1">
      <x:c r="A48" s="24" t="str">
        <x:v>EEZ_084</x:v>
      </x:c>
      <x:c r="B48" s="24" t="str">
        <x:v>Belize</x:v>
      </x:c>
      <x:c r="C48" s="24" t="str">
        <x:v>EEZ</x:v>
      </x:c>
      <x:c r="D48" s="30" t="n">
        <x:v>2019</x:v>
      </x:c>
      <x:c r="E48" s="24" t="str">
        <x:v>Selene vomer</x:v>
      </x:c>
      <x:c r="F48" s="24" t="str">
        <x:v>Lookdown</x:v>
      </x:c>
      <x:c r="G48" s="24" t="str">
        <x:v>Medium demersals (30 - 89 cm)</x:v>
      </x:c>
      <x:c r="H48" s="24" t="str">
        <x:v>Perch-likes</x:v>
      </x:c>
      <x:c r="I48" s="31" t="n">
        <x:v>0.6680384561</x:v>
      </x:c>
      <x:c r="J48" s="31" t="n">
        <x:v>0.6680384561</x:v>
      </x:c>
      <x:c r="K48" s="31" t="n">
        <x:v>0</x:v>
      </x:c>
      <x:c r="L48" s="31" t="n">
        <x:v>0.019230924</x:v>
      </x:c>
      <x:c r="M48" s="31" t="n">
        <x:v>0.6488075321</x:v>
      </x:c>
      <x:c r="N48" s="24" t="str">
        <x:v>selene vomer</x:v>
      </x:c>
      <x:c r="O48" s="32" t="n">
        <x:v>4.29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Selene vomer</x:v>
      </x:c>
      <x:c r="T48" s="32" t="n">
        <x:f>IF(O48="","",(1/'Metadata'!$B$5)^(O48-1))</x:f>
        <x:v>1949.8445997580454</x:v>
      </x:c>
      <x:c r="U48" s="31" t="n">
        <x:f>IF(T48="","",I48*T48)</x:f>
        <x:v>1302.5711760572872</x:v>
      </x:c>
    </x:row>
    <x:row r="49" ht="18" customHeight="1">
      <x:c r="A49" s="24" t="str">
        <x:v>EEZ_084</x:v>
      </x:c>
      <x:c r="B49" s="24" t="str">
        <x:v>Belize</x:v>
      </x:c>
      <x:c r="C49" s="24" t="str">
        <x:v>EEZ</x:v>
      </x:c>
      <x:c r="D49" s="30" t="n">
        <x:v>2019</x:v>
      </x:c>
      <x:c r="E49" s="24" t="str">
        <x:v>Neoniphon marianus</x:v>
      </x:c>
      <x:c r="F49" s="24" t="str">
        <x:v>Longjaw squirrelfish</x:v>
      </x:c>
      <x:c r="G49" s="24" t="str">
        <x:v>Small reef assoc. fish (&lt;30 cm)</x:v>
      </x:c>
      <x:c r="H49" s="24" t="str">
        <x:v>Other fishes &amp; inverts</x:v>
      </x:c>
      <x:c r="I49" s="31" t="n">
        <x:v>0.6680384561</x:v>
      </x:c>
      <x:c r="J49" s="31" t="n">
        <x:v>0.6680384561</x:v>
      </x:c>
      <x:c r="K49" s="31" t="n">
        <x:v>0</x:v>
      </x:c>
      <x:c r="L49" s="31" t="n">
        <x:v>0.019230924</x:v>
      </x:c>
      <x:c r="M49" s="31" t="n">
        <x:v>0.6488075321</x:v>
      </x:c>
      <x:c r="N49" s="24" t="str">
        <x:v>neoniphon marianus</x:v>
      </x:c>
      <x:c r="O49" s="32" t="n">
        <x:v>3.57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Neoniphon marianus</x:v>
      </x:c>
      <x:c r="T49" s="32" t="n">
        <x:f>IF(O49="","",(1/'Metadata'!$B$5)^(O49-1))</x:f>
        <x:v>371.5352290971724</x:v>
      </x:c>
      <x:c r="U49" s="31" t="n">
        <x:f>IF(T49="","",I49*T49)</x:f>
        <x:v>248.19982083283486</x:v>
      </x:c>
    </x:row>
    <x:row r="50" ht="18" customHeight="1">
      <x:c r="A50" s="24" t="str">
        <x:v>EEZ_084</x:v>
      </x:c>
      <x:c r="B50" s="24" t="str">
        <x:v>Belize</x:v>
      </x:c>
      <x:c r="C50" s="24" t="str">
        <x:v>EEZ</x:v>
      </x:c>
      <x:c r="D50" s="30" t="n">
        <x:v>2019</x:v>
      </x:c>
      <x:c r="E50" s="24" t="str">
        <x:v>Mulloidichthys martinicus</x:v>
      </x:c>
      <x:c r="F50" s="24" t="str">
        <x:v>Yellow goatfish</x:v>
      </x:c>
      <x:c r="G50" s="24" t="str">
        <x:v>Medium reef assoc. fish (30 - 89 cm)</x:v>
      </x:c>
      <x:c r="H50" s="24" t="str">
        <x:v>Perch-likes</x:v>
      </x:c>
      <x:c r="I50" s="31" t="n">
        <x:v>0.6680384561</x:v>
      </x:c>
      <x:c r="J50" s="31" t="n">
        <x:v>0.6680384561</x:v>
      </x:c>
      <x:c r="K50" s="31" t="n">
        <x:v>0</x:v>
      </x:c>
      <x:c r="L50" s="31" t="n">
        <x:v>0.019230924</x:v>
      </x:c>
      <x:c r="M50" s="31" t="n">
        <x:v>0.6488075321</x:v>
      </x:c>
      <x:c r="N50" s="24" t="str">
        <x:v>mulloidichthys martinicus</x:v>
      </x:c>
      <x:c r="O50" s="32" t="n">
        <x:v>3.21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Mulloidichthys martinicus</x:v>
      </x:c>
      <x:c r="T50" s="32" t="n">
        <x:f>IF(O50="","",(1/'Metadata'!$B$5)^(O50-1))</x:f>
        <x:v>162.18100973589299</x:v>
      </x:c>
      <x:c r="U50" s="31" t="n">
        <x:f>IF(T50="","",I50*T50)</x:f>
        <x:v>108.34315135270502</x:v>
      </x:c>
    </x:row>
    <x:row r="51" ht="18" customHeight="1">
      <x:c r="A51" s="24" t="str">
        <x:v>EEZ_084</x:v>
      </x:c>
      <x:c r="B51" s="24" t="str">
        <x:v>Belize</x:v>
      </x:c>
      <x:c r="C51" s="24" t="str">
        <x:v>EEZ</x:v>
      </x:c>
      <x:c r="D51" s="30" t="n">
        <x:v>2019</x:v>
      </x:c>
      <x:c r="E51" s="24" t="str">
        <x:v>Mugil cephalus</x:v>
      </x:c>
      <x:c r="F51" s="24" t="str">
        <x:v>Flathead grey mullet</x:v>
      </x:c>
      <x:c r="G51" s="24" t="str">
        <x:v>Large benthopelagics (&gt;=90 cm)</x:v>
      </x:c>
      <x:c r="H51" s="24" t="str">
        <x:v>Perch-likes</x:v>
      </x:c>
      <x:c r="I51" s="31" t="n">
        <x:v>0.6680384561</x:v>
      </x:c>
      <x:c r="J51" s="31" t="n">
        <x:v>0.6680384561</x:v>
      </x:c>
      <x:c r="K51" s="31" t="n">
        <x:v>0</x:v>
      </x:c>
      <x:c r="L51" s="31" t="n">
        <x:v>0.019230924</x:v>
      </x:c>
      <x:c r="M51" s="31" t="n">
        <x:v>0.6488075321</x:v>
      </x:c>
      <x:c r="N51" s="24" t="str">
        <x:v>mugil cephalus</x:v>
      </x:c>
      <x:c r="O51" s="32" t="n">
        <x:v>2.14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Mugil cephalus</x:v>
      </x:c>
      <x:c r="T51" s="32" t="n">
        <x:f>IF(O51="","",(1/'Metadata'!$B$5)^(O51-1))</x:f>
        <x:v>13.803842646028853</x:v>
      </x:c>
      <x:c r="U51" s="31" t="n">
        <x:f>IF(T51="","",I51*T51)</x:f>
        <x:v>9.221497729500454</x:v>
      </x:c>
    </x:row>
    <x:row r="52" ht="18" customHeight="1">
      <x:c r="A52" s="24" t="str">
        <x:v>EEZ_084</x:v>
      </x:c>
      <x:c r="B52" s="24" t="str">
        <x:v>Belize</x:v>
      </x:c>
      <x:c r="C52" s="24" t="str">
        <x:v>EEZ</x:v>
      </x:c>
      <x:c r="D52" s="30" t="n">
        <x:v>2019</x:v>
      </x:c>
      <x:c r="E52" s="24" t="str">
        <x:v>Epinephelus guttatus</x:v>
      </x:c>
      <x:c r="F52" s="24" t="str">
        <x:v>Red hind</x:v>
      </x:c>
      <x:c r="G52" s="24" t="str">
        <x:v>Medium reef assoc. fish (30 - 89 cm)</x:v>
      </x:c>
      <x:c r="H52" s="24" t="str">
        <x:v>Perch-likes</x:v>
      </x:c>
      <x:c r="I52" s="31" t="n">
        <x:v>0.4090327233</x:v>
      </x:c>
      <x:c r="J52" s="31" t="n">
        <x:v>0.4090327233</x:v>
      </x:c>
      <x:c r="K52" s="31" t="n">
        <x:v>0</x:v>
      </x:c>
      <x:c r="L52" s="31" t="n">
        <x:v>0.0117748868</x:v>
      </x:c>
      <x:c r="M52" s="31" t="n">
        <x:v>0.3972578365</x:v>
      </x:c>
      <x:c r="N52" s="24" t="str">
        <x:v>epinephelus guttatus</x:v>
      </x:c>
      <x:c r="O52" s="32" t="n">
        <x:v>3.84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Epinephelus guttatus</x:v>
      </x:c>
      <x:c r="T52" s="32" t="n">
        <x:f>IF(O52="","",(1/'Metadata'!$B$5)^(O52-1))</x:f>
        <x:v>691.8309709189363</x:v>
      </x:c>
      <x:c r="U52" s="31" t="n">
        <x:f>IF(T52="","",I52*T52)</x:f>
        <x:v>282.98150609825564</x:v>
      </x:c>
    </x:row>
    <x:row r="53" ht="18" customHeight="1">
      <x:c r="A53" s="24" t="str">
        <x:v>EEZ_084</x:v>
      </x:c>
      <x:c r="B53" s="24" t="str">
        <x:v>Belize</x:v>
      </x:c>
      <x:c r="C53" s="24" t="str">
        <x:v>EEZ</x:v>
      </x:c>
      <x:c r="D53" s="30" t="n">
        <x:v>2019</x:v>
      </x:c>
      <x:c r="E53" s="24" t="str">
        <x:v>Trachinotus goodei</x:v>
      </x:c>
      <x:c r="F53" s="24" t="str">
        <x:v>Great pompano</x:v>
      </x:c>
      <x:c r="G53" s="24" t="str">
        <x:v>Medium reef assoc. fish (30 - 89 cm)</x:v>
      </x:c>
      <x:c r="H53" s="24" t="str">
        <x:v>Perch-likes</x:v>
      </x:c>
      <x:c r="I53" s="31" t="n">
        <x:v>0.14454621880000001</x:v>
      </x:c>
      <x:c r="J53" s="31" t="n">
        <x:v>0.14454621880000001</x:v>
      </x:c>
      <x:c r="K53" s="31" t="n">
        <x:v>0</x:v>
      </x:c>
      <x:c r="L53" s="31" t="n">
        <x:v>0.0041610738</x:v>
      </x:c>
      <x:c r="M53" s="31" t="n">
        <x:v>0.140385145</x:v>
      </x:c>
      <x:c r="N53" s="24" t="str">
        <x:v>trachinotus goodei</x:v>
      </x:c>
      <x:c r="O53" s="32" t="n">
        <x:v>4.34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Trachinotus goodei</x:v>
      </x:c>
      <x:c r="T53" s="32" t="n">
        <x:f>IF(O53="","",(1/'Metadata'!$B$5)^(O53-1))</x:f>
        <x:v>2187.761623949552</x:v>
      </x:c>
      <x:c r="U53" s="31" t="n">
        <x:f>IF(T53="","",I53*T53)</x:f>
        <x:v>316.23267037765527</x:v>
      </x:c>
    </x:row>
    <x:row r="54" ht="18" customHeight="1">
      <x:c r="A54" s="24" t="str">
        <x:v>EEZ_084</x:v>
      </x:c>
      <x:c r="B54" s="24" t="str">
        <x:v>Belize</x:v>
      </x:c>
      <x:c r="C54" s="24" t="str">
        <x:v>EEZ</x:v>
      </x:c>
      <x:c r="D54" s="30" t="n">
        <x:v>2019</x:v>
      </x:c>
      <x:c r="E54" s="24" t="str">
        <x:v>Euthynnus alletteratus</x:v>
      </x:c>
      <x:c r="F54" s="24" t="str">
        <x:v>Little tunny </x:v>
      </x:c>
      <x:c r="G54" s="24" t="str">
        <x:v>Large pelagics (&gt;=90 cm)</x:v>
      </x:c>
      <x:c r="H54" s="24" t="str">
        <x:v>Tuna &amp; billfishes</x:v>
      </x:c>
      <x:c r="I54" s="31" t="n">
        <x:v>0.0402953215</x:v>
      </x:c>
      <x:c r="J54" s="31" t="n">
        <x:v>0.0402953215</x:v>
      </x:c>
      <x:c r="K54" s="31" t="n">
        <x:v>0</x:v>
      </x:c>
      <x:c r="L54" s="31" t="n">
        <x:v>0.0011599875</x:v>
      </x:c>
      <x:c r="M54" s="31" t="n">
        <x:v>0.039135334</x:v>
      </x:c>
      <x:c r="N54" s="24" t="str">
        <x:v>euthynnus alletteratus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Euthynnus alletteratus</x:v>
      </x:c>
      <x:c r="T54" s="32" t="n">
        <x:f>IF(O54="","",(1/'Metadata'!$B$5)^(O54-1))</x:f>
        <x:v>3090.295432513592</x:v>
      </x:c>
      <x:c r="U54" s="31" t="n">
        <x:f>IF(T54="","",I54*T54)</x:f>
        <x:v>124.52444798311674</x:v>
      </x:c>
    </x:row>
    <x:row r="55" ht="18" customHeight="1">
      <x:c r="A55" s="24" t="str">
        <x:v>EEZ_084</x:v>
      </x:c>
      <x:c r="B55" s="24" t="str">
        <x:v>Belize</x:v>
      </x:c>
      <x:c r="C55" s="24" t="str">
        <x:v>EEZ</x:v>
      </x:c>
      <x:c r="D55" s="30" t="n">
        <x:v>2019</x:v>
      </x:c>
      <x:c r="E55" s="24" t="str">
        <x:v>Megalops atlanticus</x:v>
      </x:c>
      <x:c r="F55" s="24" t="str">
        <x:v>Tarpon</x:v>
      </x:c>
      <x:c r="G55" s="24" t="str">
        <x:v>Large pelagics (&gt;=90 cm)</x:v>
      </x:c>
      <x:c r="H55" s="24" t="str">
        <x:v>Other fishes &amp; inverts</x:v>
      </x:c>
      <x:c r="I55" s="31" t="n">
        <x:v>0.0249234026</x:v>
      </x:c>
      <x:c r="J55" s="31" t="n">
        <x:v>0.0249234026</x:v>
      </x:c>
      <x:c r="K55" s="31" t="n">
        <x:v>0</x:v>
      </x:c>
      <x:c r="L55" s="31" t="n">
        <x:v>0.0007174738</x:v>
      </x:c>
      <x:c r="M55" s="31" t="n">
        <x:v>0.0242059288</x:v>
      </x:c>
      <x:c r="N55" s="24" t="str">
        <x:v>megalops atlanticus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Megalops atlanticus</x:v>
      </x:c>
      <x:c r="T55" s="32" t="n">
        <x:f>IF(O55="","",(1/'Metadata'!$B$5)^(O55-1))</x:f>
        <x:v>3162.2776601683795</x:v>
      </x:c>
      <x:c r="U55" s="31" t="n">
        <x:f>IF(T55="","",I55*T55)</x:f>
        <x:v>78.8147192573625</x:v>
      </x:c>
    </x:row>
  </x:sheetData>
  <x:conditionalFormatting sqref="R2:R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990c52098e44bf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1059.7048062417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167951.89334307943</x:v>
      </x:c>
    </x:row>
    <x:row r="3" ht="18" customHeight="1">
      <x:c r="A3" s="24" t="str">
        <x:v>Molluscs</x:v>
      </x:c>
      <x:c r="B3" s="31" t="n">
        <x:v>4288</x:v>
      </x:c>
      <x:c r="C3" s="32" t="n">
        <x:v>2.19</x:v>
      </x:c>
      <x:c r="D3" s="32" t="n">
        <x:f>IF(C3="","",(1/'Metadata'!$B$5)^(C3-1))</x:f>
        <x:v>15.488166189124811</x:v>
      </x:c>
      <x:c r="E3" s="31" t="n">
        <x:f>IF(B3=0,"",B3*D3)</x:f>
        <x:v>66413.25661896719</x:v>
      </x:c>
    </x:row>
    <x:row r="4" ht="18" customHeight="1">
      <x:c r="A4" s="24" t="str">
        <x:v>Other fishes &amp; inverts</x:v>
      </x:c>
      <x:c r="B4" s="31" t="n">
        <x:v>254.126625137</x:v>
      </x:c>
      <x:c r="C4" s="32" t="n">
        <x:v>3.014290332126259</x:v>
      </x:c>
      <x:c r="D4" s="32" t="n">
        <x:f>IF(C4="","",(1/'Metadata'!$B$5)^(C4-1))</x:f>
        <x:v>103.34520524876324</x:v>
      </x:c>
      <x:c r="E4" s="31" t="n">
        <x:f>IF(B4=0,"",B4*D4)</x:f>
        <x:v>26262.768233958777</x:v>
      </x:c>
    </x:row>
    <x:row r="5" ht="18" customHeight="1">
      <x:c r="A5" s="24" t="str">
        <x:v>Perch-likes</x:v>
      </x:c>
      <x:c r="B5" s="31" t="n">
        <x:v>1482.7190905122002</x:v>
      </x:c>
      <x:c r="C5" s="32" t="n">
        <x:v>3.880776786596558</x:v>
      </x:c>
      <x:c r="D5" s="32" t="n">
        <x:f>IF(C5="","",(1/'Metadata'!$B$5)^(C5-1))</x:f>
        <x:v>759.9355940820938</x:v>
      </x:c>
      <x:c r="E5" s="31" t="n">
        <x:f>IF(B5=0,"",B5*D5)</x:f>
        <x:v>1126771.0129052505</x:v>
      </x:c>
    </x:row>
    <x:row r="6" ht="18" customHeight="1">
      <x:c r="A6" s="24" t="str">
        <x:v>Sharks &amp; rays</x:v>
      </x:c>
      <x:c r="B6" s="31" t="n">
        <x:v>800.0000000000999</x:v>
      </x:c>
      <x:c r="C6" s="32" t="n">
        <x:v>4.181017517136287</x:v>
      </x:c>
      <x:c r="D6" s="32" t="n">
        <x:f>IF(C6="","",(1/'Metadata'!$B$5)^(C6-1))</x:f>
        <x:v>1517.1115584601225</x:v>
      </x:c>
      <x:c r="E6" s="31" t="n">
        <x:f>IF(B6=0,"",B6*D6)</x:f>
        <x:v>1213689.2467682497</x:v>
      </x:c>
    </x:row>
    <x:row r="7" ht="18" customHeight="1">
      <x:c r="A7" s="24" t="str">
        <x:v>Tuna &amp; billfishes</x:v>
      </x:c>
      <x:c r="B7" s="31" t="n">
        <x:v>34.1402953215</x:v>
      </x:c>
      <x:c r="C7" s="32" t="n">
        <x:v>4.37014163435127</x:v>
      </x:c>
      <x:c r="D7" s="32" t="n">
        <x:f>IF(C7="","",(1/'Metadata'!$B$5)^(C7-1))</x:f>
        <x:v>2344.993451961157</x:v>
      </x:c>
      <x:c r="E7" s="31" t="n">
        <x:f>IF(B7=0,"",B7*D7)</x:f>
        <x:v>80058.76897693762</x:v>
      </x:c>
    </x:row>
  </x:sheetData>
  <x:pageMargins left="0.7" right="0.7" top="0.75" bottom="0.75" header="0.3" footer="0.3"/>
  <x:tableParts count="1">
    <x:tablePart xmlns:r="http://schemas.openxmlformats.org/officeDocument/2006/relationships" r:id="R814513527ee84b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32.8612399705</x:v>
      </x:c>
      <x:c r="C2" s="32" t="n">
        <x:v>4.128731987377822</x:v>
      </x:c>
      <x:c r="D2" s="32" t="n">
        <x:f>IF(C2="","",(1/'Metadata'!$B$5)^(C2-1))</x:f>
        <x:v>1345.0300504250467</x:v>
      </x:c>
      <x:c r="E2" s="31" t="n">
        <x:f>IF(B2=0,"",B2*D2)</x:f>
        <x:v>44199.35525455118</x:v>
      </x:c>
    </x:row>
    <x:row r="3" ht="18" customHeight="1">
      <x:c r="A3" s="24" t="str">
        <x:v>Large demersals (&gt;=90 cm)</x:v>
      </x:c>
      <x:c r="B3" s="31" t="n">
        <x:v>0.9552707776</x:v>
      </x:c>
      <x:c r="C3" s="32" t="n">
        <x:v>3.89</x:v>
      </x:c>
      <x:c r="D3" s="32" t="n">
        <x:f>IF(C3="","",(1/'Metadata'!$B$5)^(C3-1))</x:f>
        <x:v>776.247116628692</x:v>
      </x:c>
      <x:c r="E3" s="31" t="n">
        <x:f>IF(B3=0,"",B3*D3)</x:f>
        <x:v>741.5261867116485</x:v>
      </x:c>
    </x:row>
    <x:row r="4" ht="18" customHeight="1">
      <x:c r="A4" s="24" t="str">
        <x:v>Large pelagics (&gt;=90 cm)</x:v>
      </x:c>
      <x:c r="B4" s="31" t="n">
        <x:v>94.462139358</x:v>
      </x:c>
      <x:c r="C4" s="32" t="n">
        <x:v>4.462970252110315</x:v>
      </x:c>
      <x:c r="D4" s="32" t="n">
        <x:f>IF(C4="","",(1/'Metadata'!$B$5)^(C4-1))</x:f>
        <x:v>2903.823744299679</x:v>
      </x:c>
      <x:c r="E4" s="31" t="n">
        <x:f>IF(B4=0,"",B4*D4)</x:f>
        <x:v>274301.4032051057</x:v>
      </x:c>
    </x:row>
    <x:row r="5" ht="18" customHeight="1">
      <x:c r="A5" s="24" t="str">
        <x:v>Large reef assoc. fish (&gt;=90 cm)</x:v>
      </x:c>
      <x:c r="B5" s="31" t="n">
        <x:v>208.15056721719998</x:v>
      </x:c>
      <x:c r="C5" s="32" t="n">
        <x:v>4.052535427840855</x:v>
      </x:c>
      <x:c r="D5" s="32" t="n">
        <x:f>IF(C5="","",(1/'Metadata'!$B$5)^(C5-1))</x:f>
        <x:v>1128.5879990364713</x:v>
      </x:c>
      <x:c r="E5" s="31" t="n">
        <x:f>IF(B5=0,"",B5*D5)</x:f>
        <x:v>234916.23215396624</x:v>
      </x:c>
    </x:row>
    <x:row r="6" ht="18" customHeight="1">
      <x:c r="A6" s="24" t="str">
        <x:v>Large sharks (&gt;=90 cm)</x:v>
      </x:c>
      <x:c r="B6" s="31" t="n">
        <x:v>800.0000000000999</x:v>
      </x:c>
      <x:c r="C6" s="32" t="n">
        <x:v>4.181017517136287</x:v>
      </x:c>
      <x:c r="D6" s="32" t="n">
        <x:f>IF(C6="","",(1/'Metadata'!$B$5)^(C6-1))</x:f>
        <x:v>1517.1115584601225</x:v>
      </x:c>
      <x:c r="E6" s="31" t="n">
        <x:f>IF(B6=0,"",B6*D6)</x:f>
        <x:v>1213689.2467682497</x:v>
      </x:c>
    </x:row>
    <x:row r="7" ht="18" customHeight="1">
      <x:c r="A7" s="24" t="str">
        <x:v>Lobsters, crabs</x:v>
      </x:c>
      <x:c r="B7" s="31" t="n">
        <x:v>1059.7048062417</x:v>
      </x:c>
      <x:c r="C7" s="32" t="n">
        <x:v>3.2</x:v>
      </x:c>
      <x:c r="D7" s="32" t="n">
        <x:f>IF(C7="","",(1/'Metadata'!$B$5)^(C7-1))</x:f>
        <x:v>158.48931924611142</x:v>
      </x:c>
      <x:c r="E7" s="31" t="n">
        <x:f>IF(B7=0,"",B7*D7)</x:f>
        <x:v>167951.89334307943</x:v>
      </x:c>
    </x:row>
    <x:row r="8" ht="18" customHeight="1">
      <x:c r="A8" s="24" t="str">
        <x:v>Medium demersals (30 - 89 cm)</x:v>
      </x:c>
      <x:c r="B8" s="31" t="n">
        <x:v>328.3634576365</x:v>
      </x:c>
      <x:c r="C8" s="32" t="n">
        <x:v>3.0360443515562228</x:v>
      </x:c>
      <x:c r="D8" s="32" t="n">
        <x:f>IF(C8="","",(1/'Metadata'!$B$5)^(C8-1))</x:f>
        <x:v>108.65365785787479</x:v>
      </x:c>
      <x:c r="E8" s="31" t="n">
        <x:f>IF(B8=0,"",B8*D8)</x:f>
        <x:v>35677.890779065034</x:v>
      </x:c>
    </x:row>
    <x:row r="9" ht="18" customHeight="1">
      <x:c r="A9" s="24" t="str">
        <x:v>Medium pelagics (30 - 89 cm)</x:v>
      </x:c>
      <x:c r="B9" s="31" t="n">
        <x:v>34.1</x:v>
      </x:c>
      <x:c r="C9" s="32" t="n">
        <x:v>4.37</x:v>
      </x:c>
      <x:c r="D9" s="32" t="n">
        <x:f>IF(C9="","",(1/'Metadata'!$B$5)^(C9-1))</x:f>
        <x:v>2344.228815319923</x:v>
      </x:c>
      <x:c r="E9" s="31" t="n">
        <x:f>IF(B9=0,"",B9*D9)</x:f>
        <x:v>79938.20260240938</x:v>
      </x:c>
    </x:row>
    <x:row r="10" ht="18" customHeight="1">
      <x:c r="A10" s="24" t="str">
        <x:v>Medium reef assoc. fish (30 - 89 cm)</x:v>
      </x:c>
      <x:c r="B10" s="31" t="n">
        <x:v>899.9477248799001</x:v>
      </x:c>
      <x:c r="C10" s="32" t="n">
        <x:v>3.9376733697186865</x:v>
      </x:c>
      <x:c r="D10" s="32" t="n">
        <x:f>IF(C10="","",(1/'Metadata'!$B$5)^(C10-1))</x:f>
        <x:v>866.3100840538195</x:v>
      </x:c>
      <x:c r="E10" s="31" t="n">
        <x:f>IF(B10=0,"",B10*D10)</x:f>
        <x:v>779633.7891847499</x:v>
      </x:c>
    </x:row>
    <x:row r="11" ht="18" customHeight="1">
      <x:c r="A11" s="24" t="str">
        <x:v>Other demersal invertebrates</x:v>
      </x:c>
      <x:c r="B11" s="31" t="n">
        <x:v>4288</x:v>
      </x:c>
      <x:c r="C11" s="32" t="n">
        <x:v>2.19</x:v>
      </x:c>
      <x:c r="D11" s="32" t="n">
        <x:f>IF(C11="","",(1/'Metadata'!$B$5)^(C11-1))</x:f>
        <x:v>15.488166189124811</x:v>
      </x:c>
      <x:c r="E11" s="31" t="n">
        <x:f>IF(B11=0,"",B11*D11)</x:f>
        <x:v>66413.25661896719</x:v>
      </x:c>
    </x:row>
    <x:row r="12" ht="18" customHeight="1">
      <x:c r="A12" s="24" t="str">
        <x:v>Small benthopelagics (&lt;30 cm)</x:v>
      </x:c>
      <x:c r="B12" s="31" t="n">
        <x:v>41.785185008599996</x:v>
      </x:c>
      <x:c r="C12" s="32" t="n">
        <x:v>3.03</x:v>
      </x:c>
      <x:c r="D12" s="32" t="n">
        <x:f>IF(C12="","",(1/'Metadata'!$B$5)^(C12-1))</x:f>
        <x:v>107.1519305237606</x:v>
      </x:c>
      <x:c r="E12" s="31" t="n">
        <x:f>IF(B12=0,"",B12*D12)</x:f>
        <x:v>4477.3632409639895</x:v>
      </x:c>
    </x:row>
    <x:row r="13" ht="18" customHeight="1">
      <x:c r="A13" s="24" t="str">
        <x:v>Small reef assoc. fish (&lt;30 cm)</x:v>
      </x:c>
      <x:c r="B13" s="31" t="n">
        <x:v>130.36042612239999</x:v>
      </x:c>
      <x:c r="C13" s="32" t="n">
        <x:v>3.4408321031292135</x:v>
      </x:c>
      <x:c r="D13" s="32" t="n">
        <x:f>IF(C13="","",(1/'Metadata'!$B$5)^(C13-1))</x:f>
        <x:v>275.9510831834515</x:v>
      </x:c>
      <x:c r="E13" s="31" t="n">
        <x:f>IF(B13=0,"",B13*D13)</x:f>
        <x:v>35973.10079273258</x:v>
      </x:c>
    </x:row>
  </x:sheetData>
  <x:pageMargins left="0.7" right="0.7" top="0.75" bottom="0.75" header="0.3" footer="0.3"/>
  <x:tableParts count="1">
    <x:tablePart xmlns:r="http://schemas.openxmlformats.org/officeDocument/2006/relationships" r:id="R0aa1fa8ddcf24f9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EEZ_084</x:v>
      </x:c>
      <x:c r="B2" s="24" t="str">
        <x:v>raw_filtered_tonnes</x:v>
      </x:c>
      <x:c r="C2" s="24" t="n">
        <x:v>7918.6908172125</x:v>
      </x:c>
      <x:c r="D2" s="24" t="str">
        <x:v>tonnes</x:v>
      </x:c>
    </x:row>
    <x:row r="3" ht="18" customHeight="1">
      <x:c r="A3" s="24" t="str">
        <x:v>EEZ_084</x:v>
      </x:c>
      <x:c r="B3" s="24" t="str">
        <x:v>species_catch_tonnes</x:v>
      </x:c>
      <x:c r="C3" s="24" t="n">
        <x:v>7918.6908172124995</x:v>
      </x:c>
      <x:c r="D3" s="24" t="str">
        <x:v>tonnes</x:v>
      </x:c>
    </x:row>
    <x:row r="4" ht="18" customHeight="1">
      <x:c r="A4" s="24" t="str">
        <x:v>EEZ_084</x:v>
      </x:c>
      <x:c r="B4" s="24" t="str">
        <x:v>catch_difference_tonnes</x:v>
      </x:c>
      <x:c r="C4" s="24" t="n">
        <x:v>-9.094947017729282e-13</x:v>
      </x:c>
      <x:c r="D4" s="24" t="str">
        <x:v>tonnes</x:v>
      </x:c>
    </x:row>
    <x:row r="5" ht="18" customHeight="1">
      <x:c r="A5" s="24" t="str">
        <x:v>EEZ_084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EEZ_084</x:v>
      </x:c>
      <x:c r="B6" s="24" t="str">
        <x:v>matched_catch_tonnes</x:v>
      </x:c>
      <x:c r="C6" s="24" t="n">
        <x:v>7918.6908172124995</x:v>
      </x:c>
      <x:c r="D6" s="24" t="str">
        <x:v>tonnes</x:v>
      </x:c>
    </x:row>
    <x:row r="7" ht="18" customHeight="1">
      <x:c r="A7" s="24" t="str">
        <x:v>EEZ_084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EEZ_084</x:v>
      </x:c>
      <x:c r="B8" s="24" t="str">
        <x:v>taxa_count</x:v>
      </x:c>
      <x:c r="C8" s="24" t="n">
        <x:v>54</x:v>
      </x:c>
      <x:c r="D8" s="24" t="str">
        <x:v>count</x:v>
      </x:c>
    </x:row>
    <x:row r="9" ht="18" customHeight="1">
      <x:c r="A9" s="24" t="str">
        <x:v>EEZ_084</x:v>
      </x:c>
      <x:c r="B9" s="24" t="str">
        <x:v>matched_taxa_count</x:v>
      </x:c>
      <x:c r="C9" s="24" t="n">
        <x:v>54</x:v>
      </x:c>
      <x:c r="D9" s="24" t="str">
        <x:v>count</x:v>
      </x:c>
    </x:row>
    <x:row r="10" ht="18" customHeight="1">
      <x:c r="A10" s="24" t="str">
        <x:v>EEZ_084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EEZ_084</x:v>
      </x:c>
      <x:c r="B11" s="24" t="str">
        <x:v>species_ppr</x:v>
      </x:c>
      <x:c r="C11" s="24" t="n">
        <x:v>3161605.34747039</x:v>
      </x:c>
      <x:c r="D11" s="24" t="str">
        <x:v>tonnes_primary_production_equivalent</x:v>
      </x:c>
    </x:row>
    <x:row r="12" ht="18" customHeight="1">
      <x:c r="A12" s="24" t="str">
        <x:v>EEZ_084</x:v>
      </x:c>
      <x:c r="B12" s="24" t="str">
        <x:v>commercial_ppr</x:v>
      </x:c>
      <x:c r="C12" s="24" t="n">
        <x:v>2681146.946846443</x:v>
      </x:c>
      <x:c r="D12" s="24" t="str">
        <x:v>tonnes_primary_production_equivalent</x:v>
      </x:c>
    </x:row>
    <x:row r="13" ht="18" customHeight="1">
      <x:c r="A13" s="24" t="str">
        <x:v>EEZ_084</x:v>
      </x:c>
      <x:c r="B13" s="24" t="str">
        <x:v>functional_ppr</x:v>
      </x:c>
      <x:c r="C13" s="24" t="n">
        <x:v>2937913.2601305516</x:v>
      </x:c>
      <x:c r="D13" s="24" t="str">
        <x:v>tonnes_primary_production_equivalent</x:v>
      </x:c>
    </x:row>
    <x:row r="14" ht="18" customHeight="1">
      <x:c r="A14" s="24" t="str">
        <x:v>EEZ_084</x:v>
      </x:c>
      <x:c r="B14" s="24" t="str">
        <x:v>commercial_ppr_difference</x:v>
      </x:c>
      <x:c r="C14" s="24" t="n">
        <x:v>-480458.4006239469</x:v>
      </x:c>
      <x:c r="D14" s="24" t="str">
        <x:v>tonnes_primary_production_equivalent</x:v>
      </x:c>
    </x:row>
    <x:row r="15" ht="18" customHeight="1">
      <x:c r="A15" s="24" t="str">
        <x:v>EEZ_084</x:v>
      </x:c>
      <x:c r="B15" s="24" t="str">
        <x:v>functional_ppr_difference</x:v>
      </x:c>
      <x:c r="C15" s="24" t="n">
        <x:v>-223692.0873398385</x:v>
      </x:c>
      <x:c r="D15" s="24" t="str">
        <x:v>tonnes_primary_production_equivalent</x:v>
      </x:c>
    </x:row>
    <x:row r="16" ht="18" customHeight="1">
      <x:c r="A16" s="24" t="str">
        <x:v>EEZ_084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EEZ_084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31aaa9f862840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EEZ_084 - Belize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EEZ_084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raw_data/SAU_downloads/EEZ_084-catch.zip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