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d7952eb10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6644c8c80d34a90"/>
    <x:sheet xmlns:r="http://schemas.openxmlformats.org/officeDocument/2006/relationships" name="Commercial" sheetId="2" r:id="R1afe07b243de42c5"/>
    <x:sheet xmlns:r="http://schemas.openxmlformats.org/officeDocument/2006/relationships" name="Functional" sheetId="3" r:id="R1f70ecc4578840d5"/>
    <x:sheet xmlns:r="http://schemas.openxmlformats.org/officeDocument/2006/relationships" name="Missing TL" sheetId="4" r:id="R31356b3c616c4aaa"/>
    <x:sheet xmlns:r="http://schemas.openxmlformats.org/officeDocument/2006/relationships" name="Validation" sheetId="5" r:id="R55e622795b604b84"/>
    <x:sheet xmlns:r="http://schemas.openxmlformats.org/officeDocument/2006/relationships" name="Metadata" sheetId="6" r:id="R384855f6b573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da409602f4d07" /><Relationship Type="http://schemas.openxmlformats.org/officeDocument/2006/relationships/theme" Target="/xl/theme/theme1.xml" Id="R537c2deddd03452f" /><Relationship Type="http://schemas.microsoft.com/office/2022/11/relationships/FeaturePropertyBag" Target="/xl/featurePropertyBag/featurePropertyBag.xml" Id="Rf0c278d19c994ba5" /><Relationship Type="http://schemas.openxmlformats.org/officeDocument/2006/relationships/sharedStrings" Target="/xl/sharedStrings.xml" Id="Rac796140d5734567" /><Relationship Type="http://schemas.openxmlformats.org/officeDocument/2006/relationships/worksheet" Target="/xl/worksheets/sheet1.xml" Id="R46644c8c80d34a90" /><Relationship Type="http://schemas.openxmlformats.org/officeDocument/2006/relationships/worksheet" Target="/xl/worksheets/sheet2.xml" Id="R1afe07b243de42c5" /><Relationship Type="http://schemas.openxmlformats.org/officeDocument/2006/relationships/worksheet" Target="/xl/worksheets/sheet3.xml" Id="R1f70ecc4578840d5" /><Relationship Type="http://schemas.openxmlformats.org/officeDocument/2006/relationships/worksheet" Target="/xl/worksheets/sheet4.xml" Id="R31356b3c616c4aaa" /><Relationship Type="http://schemas.openxmlformats.org/officeDocument/2006/relationships/worksheet" Target="/xl/worksheets/sheet5.xml" Id="R55e622795b604b84" /><Relationship Type="http://schemas.openxmlformats.org/officeDocument/2006/relationships/worksheet" Target="/xl/worksheets/sheet6.xml" Id="R384855f6b57349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71SpeciesTable" displayName="EEZ971SpeciesTable" ref="A1:U30" headerRowCount="1" totalsRowCount="0" totalsRowShown="0">
  <x:autoFilter ref="A1:U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71CommercialTable" displayName="EEZ971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71FunctionalTable" displayName="EEZ971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71ValidationTable" displayName="EEZ97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490834bdd04c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9310cd04c44b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e61d3c93c14f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6925d0ac0045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EEZ_971</x:v>
      </x:c>
      <x:c r="B2" s="24" t="str">
        <x:v>Japan (Ogasawara Islands)</x:v>
      </x:c>
      <x:c r="C2" s="24" t="str">
        <x:v>EEZ</x:v>
      </x:c>
      <x:c r="D2" s="30" t="n">
        <x:v>2019</x:v>
      </x:c>
      <x:c r="E2" s="24" t="str">
        <x:v>Scomber</x:v>
      </x:c>
      <x:c r="F2" s="24" t="str">
        <x:v>Chub mackerels</x:v>
      </x:c>
      <x:c r="G2" s="24" t="str">
        <x:v>Medium pelagics (30 - 89 cm)</x:v>
      </x:c>
      <x:c r="H2" s="24" t="str">
        <x:v>Perch-likes</x:v>
      </x:c>
      <x:c r="I2" s="31" t="n">
        <x:v>6787.041054462601</x:v>
      </x:c>
      <x:c r="J2" s="31" t="n">
        <x:v>6787.041054462601</x:v>
      </x:c>
      <x:c r="K2" s="31" t="n">
        <x:v>0</x:v>
      </x:c>
      <x:c r="L2" s="31" t="n">
        <x:v>4104.812078037</x:v>
      </x:c>
      <x:c r="M2" s="31" t="n">
        <x:v>2682.2289764256</x:v>
      </x:c>
      <x:c r="N2" s="24" t="str">
        <x:v>scomber</x:v>
      </x:c>
      <x:c r="O2" s="32" t="n">
        <x:v>3.65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Scomber</x:v>
      </x:c>
      <x:c r="T2" s="32" t="n">
        <x:f>IF(O2="","",(1/'Metadata'!$B$5)^(O2-1))</x:f>
        <x:v>446.683592150963</x:v>
      </x:c>
      <x:c r="U2" s="31" t="n">
        <x:f>IF(T2="","",I2*T2)</x:f>
        <x:v>3031659.8782834145</x:v>
      </x:c>
    </x:row>
    <x:row r="3" ht="18" customHeight="1">
      <x:c r="A3" s="24" t="str">
        <x:v>EEZ_971</x:v>
      </x:c>
      <x:c r="B3" s="24" t="str">
        <x:v>Japan (Ogasawara Islands)</x:v>
      </x:c>
      <x:c r="C3" s="24" t="str">
        <x:v>EEZ</x:v>
      </x:c>
      <x:c r="D3" s="30" t="n">
        <x:v>2019</x:v>
      </x:c>
      <x:c r="E3" s="24" t="str">
        <x:v>Cololabis saira</x:v>
      </x:c>
      <x:c r="F3" s="24" t="str">
        <x:v>Pacific saury</x:v>
      </x:c>
      <x:c r="G3" s="24" t="str">
        <x:v>Medium pelagics (30 - 89 cm)</x:v>
      </x:c>
      <x:c r="H3" s="24" t="str">
        <x:v>Other fishes &amp; inverts</x:v>
      </x:c>
      <x:c r="I3" s="31" t="n">
        <x:v>3230.6012569606996</x:v>
      </x:c>
      <x:c r="J3" s="31" t="n">
        <x:v>2779.3015481283996</x:v>
      </x:c>
      <x:c r="K3" s="31" t="n">
        <x:v>451.2997088323</x:v>
      </x:c>
      <x:c r="L3" s="31" t="n">
        <x:v>1380.304717673</x:v>
      </x:c>
      <x:c r="M3" s="31" t="n">
        <x:v>1850.2965392877</x:v>
      </x:c>
      <x:c r="N3" s="24" t="str">
        <x:v>cololabis saira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Cololabis saira</x:v>
      </x:c>
      <x:c r="T3" s="32" t="n">
        <x:f>IF(O3="","",(1/'Metadata'!$B$5)^(O3-1))</x:f>
        <x:v>512.8613839913648</x:v>
      </x:c>
      <x:c r="U3" s="31" t="n">
        <x:f>IF(T3="","",I3*T3)</x:f>
        <x:v>1656850.6317691074</x:v>
      </x:c>
    </x:row>
    <x:row r="4" ht="18" customHeight="1">
      <x:c r="A4" s="24" t="str">
        <x:v>EEZ_971</x:v>
      </x:c>
      <x:c r="B4" s="24" t="str">
        <x:v>Japan (Ogasawara Islands)</x:v>
      </x:c>
      <x:c r="C4" s="24" t="str">
        <x:v>EEZ</x:v>
      </x:c>
      <x:c r="D4" s="30" t="n">
        <x:v>2019</x:v>
      </x:c>
      <x:c r="E4" s="24" t="str">
        <x:v>Elasmobranchii</x:v>
      </x:c>
      <x:c r="F4" s="24" t="str">
        <x:v>Sharks, rays, skates</x:v>
      </x:c>
      <x:c r="G4" s="24" t="str">
        <x:v>Large sharks (&gt;=90 cm)</x:v>
      </x:c>
      <x:c r="H4" s="24" t="str">
        <x:v>Sharks &amp; rays</x:v>
      </x:c>
      <x:c r="I4" s="31" t="n">
        <x:v>3044.5697698229</x:v>
      </x:c>
      <x:c r="J4" s="31" t="n">
        <x:v>3043.4263809386002</x:v>
      </x:c>
      <x:c r="K4" s="31" t="n">
        <x:v>1.1433888843000002</x:v>
      </x:c>
      <x:c r="L4" s="31" t="n">
        <x:v>2220.8518743761</x:v>
      </x:c>
      <x:c r="M4" s="31" t="n">
        <x:v>823.7178954468001</x:v>
      </x:c>
      <x:c r="N4" s="24" t="str">
        <x:v>elasmobranchii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Elasmobranchii</x:v>
      </x:c>
      <x:c r="T4" s="32" t="n">
        <x:f>IF(O4="","",(1/'Metadata'!$B$5)^(O4-1))</x:f>
        <x:v>1122.018454301963</x:v>
      </x:c>
      <x:c r="U4" s="31" t="n">
        <x:f>IF(T4="","",I4*T4)</x:f>
        <x:v>3416063.4671511734</x:v>
      </x:c>
    </x:row>
    <x:row r="5" ht="18" customHeight="1">
      <x:c r="A5" s="24" t="str">
        <x:v>EEZ_971</x:v>
      </x:c>
      <x:c r="B5" s="24" t="str">
        <x:v>Japan (Ogasawara Islands)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1648.2587901595998</x:v>
      </x:c>
      <x:c r="J5" s="31" t="n">
        <x:v>1641.2001419183998</x:v>
      </x:c>
      <x:c r="K5" s="31" t="n">
        <x:v>7.0586482412</x:v>
      </x:c>
      <x:c r="L5" s="31" t="n">
        <x:v>841.1067252582</x:v>
      </x:c>
      <x:c r="M5" s="31" t="n">
        <x:v>807.1520649014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3863895.750996488</x:v>
      </x:c>
    </x:row>
    <x:row r="6" ht="18" customHeight="1">
      <x:c r="A6" s="24" t="str">
        <x:v>EEZ_971</x:v>
      </x:c>
      <x:c r="B6" s="24" t="str">
        <x:v>Japan (Ogasawara Islands)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864.0810198273999</x:v>
      </x:c>
      <x:c r="J6" s="31" t="n">
        <x:v>769.5669004794</x:v>
      </x:c>
      <x:c r="K6" s="31" t="n">
        <x:v>94.514119348</x:v>
      </x:c>
      <x:c r="L6" s="31" t="n">
        <x:v>527.1118818502</x:v>
      </x:c>
      <x:c r="M6" s="31" t="n">
        <x:v>336.9691379772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164647.24404187317</x:v>
      </x:c>
    </x:row>
    <x:row r="7" ht="18" customHeight="1">
      <x:c r="A7" s="24" t="str">
        <x:v>EEZ_971</x:v>
      </x:c>
      <x:c r="B7" s="24" t="str">
        <x:v>Japan (Ogasawara Islands)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728.0084403474</x:v>
      </x:c>
      <x:c r="J7" s="31" t="n">
        <x:v>721.1840898792</x:v>
      </x:c>
      <x:c r="K7" s="31" t="n">
        <x:v>6.8243504682</x:v>
      </x:c>
      <x:c r="L7" s="31" t="n">
        <x:v>721.1840898792</x:v>
      </x:c>
      <x:c r="M7" s="31" t="n">
        <x:v>6.8243504682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1959460.0547475775</x:v>
      </x:c>
    </x:row>
    <x:row r="8" ht="18" customHeight="1">
      <x:c r="A8" s="24" t="str">
        <x:v>EEZ_971</x:v>
      </x:c>
      <x:c r="B8" s="24" t="str">
        <x:v>Japan (Ogasawara Islands)</x:v>
      </x:c>
      <x:c r="C8" s="24" t="str">
        <x:v>EEZ</x:v>
      </x:c>
      <x:c r="D8" s="30" t="n">
        <x:v>2019</x:v>
      </x:c>
      <x:c r="E8" s="24" t="str">
        <x:v>Prionace glauca</x:v>
      </x:c>
      <x:c r="F8" s="24" t="str">
        <x:v>Blue shark</x:v>
      </x:c>
      <x:c r="G8" s="24" t="str">
        <x:v>Large sharks (&gt;=90 cm)</x:v>
      </x:c>
      <x:c r="H8" s="24" t="str">
        <x:v>Sharks &amp; rays</x:v>
      </x:c>
      <x:c r="I8" s="31" t="n">
        <x:v>504.2474094864</x:v>
      </x:c>
      <x:c r="J8" s="31" t="n">
        <x:v>331.2059136813</x:v>
      </x:c>
      <x:c r="K8" s="31" t="n">
        <x:v>173.0414958051</x:v>
      </x:c>
      <x:c r="L8" s="31" t="n">
        <x:v>331.2059136813</x:v>
      </x:c>
      <x:c r="M8" s="31" t="n">
        <x:v>173.0414958051</x:v>
      </x:c>
      <x:c r="N8" s="24" t="str">
        <x:v>prionace glauca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Prionace glauca</x:v>
      </x:c>
      <x:c r="T8" s="32" t="n">
        <x:f>IF(O8="","",(1/'Metadata'!$B$5)^(O8-1))</x:f>
        <x:v>2238.7211385683377</x:v>
      </x:c>
      <x:c r="U8" s="31" t="n">
        <x:f>IF(T8="","",I8*T8)</x:f>
        <x:v>1128869.3346855282</x:v>
      </x:c>
    </x:row>
    <x:row r="9" ht="18" customHeight="1">
      <x:c r="A9" s="24" t="str">
        <x:v>EEZ_971</x:v>
      </x:c>
      <x:c r="B9" s="24" t="str">
        <x:v>Japan (Ogasawara Islands)</x:v>
      </x:c>
      <x:c r="C9" s="24" t="str">
        <x:v>EEZ</x:v>
      </x:c>
      <x:c r="D9" s="30" t="n">
        <x:v>2019</x:v>
      </x:c>
      <x:c r="E9" s="24" t="str">
        <x:v>Thunnus alalunga</x:v>
      </x:c>
      <x:c r="F9" s="24" t="str">
        <x:v>Albacore</x:v>
      </x:c>
      <x:c r="G9" s="24" t="str">
        <x:v>Large pelagics (&gt;=90 cm)</x:v>
      </x:c>
      <x:c r="H9" s="24" t="str">
        <x:v>Tuna &amp; billfishes</x:v>
      </x:c>
      <x:c r="I9" s="31" t="n">
        <x:v>399.3618608668</x:v>
      </x:c>
      <x:c r="J9" s="31" t="n">
        <x:v>397.2227952052</x:v>
      </x:c>
      <x:c r="K9" s="31" t="n">
        <x:v>2.1390656615999997</x:v>
      </x:c>
      <x:c r="L9" s="31" t="n">
        <x:v>397.2227952052</x:v>
      </x:c>
      <x:c r="M9" s="31" t="n">
        <x:v>2.1390656615999997</x:v>
      </x:c>
      <x:c r="N9" s="24" t="str">
        <x:v>thunnus alalunga</x:v>
      </x:c>
      <x:c r="O9" s="32" t="n">
        <x:v>4.3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alalunga</x:v>
      </x:c>
      <x:c r="T9" s="32" t="n">
        <x:f>IF(O9="","",(1/'Metadata'!$B$5)^(O9-1))</x:f>
        <x:v>1995.2623149688789</x:v>
      </x:c>
      <x:c r="U9" s="31" t="n">
        <x:f>IF(T9="","",I9*T9)</x:f>
        <x:v>796831.6710233707</x:v>
      </x:c>
    </x:row>
    <x:row r="10" ht="18" customHeight="1">
      <x:c r="A10" s="24" t="str">
        <x:v>EEZ_971</x:v>
      </x:c>
      <x:c r="B10" s="24" t="str">
        <x:v>Japan (Ogasawara Islands)</x:v>
      </x:c>
      <x:c r="C10" s="24" t="str">
        <x:v>EEZ</x:v>
      </x:c>
      <x:c r="D10" s="30" t="n">
        <x:v>2019</x:v>
      </x:c>
      <x:c r="E10" s="24" t="str">
        <x:v>Xiphias gladius</x:v>
      </x:c>
      <x:c r="F10" s="24" t="str">
        <x:v>Swordfish</x:v>
      </x:c>
      <x:c r="G10" s="24" t="str">
        <x:v>Large pelagics (&gt;=90 cm)</x:v>
      </x:c>
      <x:c r="H10" s="24" t="str">
        <x:v>Tuna &amp; billfishes</x:v>
      </x:c>
      <x:c r="I10" s="31" t="n">
        <x:v>301.26054686929996</x:v>
      </x:c>
      <x:c r="J10" s="31" t="n">
        <x:v>275.5608695752</x:v>
      </x:c>
      <x:c r="K10" s="31" t="n">
        <x:v>25.6996772941</x:v>
      </x:c>
      <x:c r="L10" s="31" t="n">
        <x:v>275.5608695752</x:v>
      </x:c>
      <x:c r="M10" s="31" t="n">
        <x:v>25.6996772941</x:v>
      </x:c>
      <x:c r="N10" s="24" t="str">
        <x:v>xiphias gladius</x:v>
      </x:c>
      <x:c r="O10" s="32" t="n">
        <x:v>4.53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Xiphias gladius</x:v>
      </x:c>
      <x:c r="T10" s="32" t="n">
        <x:f>IF(O10="","",(1/'Metadata'!$B$5)^(O10-1))</x:f>
        <x:v>3388.4415613920273</x:v>
      </x:c>
      <x:c r="U10" s="31" t="n">
        <x:f>IF(T10="","",I10*T10)</x:f>
        <x:v>1020803.7578196268</x:v>
      </x:c>
    </x:row>
    <x:row r="11" ht="18" customHeight="1">
      <x:c r="A11" s="24" t="str">
        <x:v>EEZ_971</x:v>
      </x:c>
      <x:c r="B11" s="24" t="str">
        <x:v>Japan (Ogasawara Islands)</x:v>
      </x:c>
      <x:c r="C11" s="24" t="str">
        <x:v>EEZ</x:v>
      </x:c>
      <x:c r="D11" s="30" t="n">
        <x:v>2019</x:v>
      </x:c>
      <x:c r="E11" s="24" t="str">
        <x:v>Thunnus albacares</x:v>
      </x:c>
      <x:c r="F11" s="24" t="str">
        <x:v>Yellowfin tuna</x:v>
      </x:c>
      <x:c r="G11" s="24" t="str">
        <x:v>Large pelagics (&gt;=90 cm)</x:v>
      </x:c>
      <x:c r="H11" s="24" t="str">
        <x:v>Tuna &amp; billfishes</x:v>
      </x:c>
      <x:c r="I11" s="31" t="n">
        <x:v>231.9275191477</x:v>
      </x:c>
      <x:c r="J11" s="31" t="n">
        <x:v>228.9386313755</x:v>
      </x:c>
      <x:c r="K11" s="31" t="n">
        <x:v>2.9888877722</x:v>
      </x:c>
      <x:c r="L11" s="31" t="n">
        <x:v>228.9386313755</x:v>
      </x:c>
      <x:c r="M11" s="31" t="n">
        <x:v>2.9888877722</x:v>
      </x:c>
      <x:c r="N11" s="24" t="str">
        <x:v>thunnus albacares</x:v>
      </x:c>
      <x:c r="O11" s="32" t="n">
        <x:v>4.41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Thunnus albacares</x:v>
      </x:c>
      <x:c r="T11" s="32" t="n">
        <x:f>IF(O11="","",(1/'Metadata'!$B$5)^(O11-1))</x:f>
        <x:v>2570.3957827688646</x:v>
      </x:c>
      <x:c r="U11" s="31" t="n">
        <x:f>IF(T11="","",I11*T11)</x:f>
        <x:v>596145.5171252931</x:v>
      </x:c>
    </x:row>
    <x:row r="12" ht="18" customHeight="1">
      <x:c r="A12" s="24" t="str">
        <x:v>EEZ_971</x:v>
      </x:c>
      <x:c r="B12" s="24" t="str">
        <x:v>Japan (Ogasawara Islands)</x:v>
      </x:c>
      <x:c r="C12" s="24" t="str">
        <x:v>EEZ</x:v>
      </x:c>
      <x:c r="D12" s="30" t="n">
        <x:v>2019</x:v>
      </x:c>
      <x:c r="E12" s="24" t="str">
        <x:v>Isurus</x:v>
      </x:c>
      <x:c r="F12" s="24" t="str">
        <x:v>Mako sharks</x:v>
      </x:c>
      <x:c r="G12" s="24" t="str">
        <x:v>Large sharks (&gt;=90 cm)</x:v>
      </x:c>
      <x:c r="H12" s="24" t="str">
        <x:v>Sharks &amp; rays</x:v>
      </x:c>
      <x:c r="I12" s="31" t="n">
        <x:v>160.0859601871</x:v>
      </x:c>
      <x:c r="J12" s="31" t="n">
        <x:v>12.7069710613</x:v>
      </x:c>
      <x:c r="K12" s="31" t="n">
        <x:v>147.3789891258</x:v>
      </x:c>
      <x:c r="L12" s="31" t="n">
        <x:v>12.7069710613</x:v>
      </x:c>
      <x:c r="M12" s="31" t="n">
        <x:v>147.3789891258</x:v>
      </x:c>
      <x:c r="N12" s="24" t="str">
        <x:v>isurus</x:v>
      </x:c>
      <x:c r="O12" s="32" t="n">
        <x:v>4.5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Isurus</x:v>
      </x:c>
      <x:c r="T12" s="32" t="n">
        <x:f>IF(O12="","",(1/'Metadata'!$B$5)^(O12-1))</x:f>
        <x:v>3162.2776601683795</x:v>
      </x:c>
      <x:c r="U12" s="31" t="n">
        <x:f>IF(T12="","",I12*T12)</x:f>
        <x:v>506236.2556062709</x:v>
      </x:c>
    </x:row>
    <x:row r="13" ht="18" customHeight="1">
      <x:c r="A13" s="24" t="str">
        <x:v>EEZ_971</x:v>
      </x:c>
      <x:c r="B13" s="24" t="str">
        <x:v>Japan (Ogasawara Islands)</x:v>
      </x:c>
      <x:c r="C13" s="24" t="str">
        <x:v>EEZ</x:v>
      </x:c>
      <x:c r="D13" s="30" t="n">
        <x:v>2019</x:v>
      </x:c>
      <x:c r="E13" s="24" t="str">
        <x:v>Etelis coruscans</x:v>
      </x:c>
      <x:c r="F13" s="24" t="str">
        <x:v>Deepwater longtail red snapper</x:v>
      </x:c>
      <x:c r="G13" s="24" t="str">
        <x:v>Large bathydemersals (&gt;=90 cm)</x:v>
      </x:c>
      <x:c r="H13" s="24" t="str">
        <x:v>Perch-likes</x:v>
      </x:c>
      <x:c r="I13" s="31" t="n">
        <x:v>149.35755817999998</x:v>
      </x:c>
      <x:c r="J13" s="31" t="n">
        <x:v>149.35755817999998</x:v>
      </x:c>
      <x:c r="K13" s="31" t="n">
        <x:v>0</x:v>
      </x:c>
      <x:c r="L13" s="31" t="n">
        <x:v>149.35755817999998</x:v>
      </x:c>
      <x:c r="M13" s="31" t="n">
        <x:v>0</x:v>
      </x:c>
      <x:c r="N13" s="24" t="str">
        <x:v>etelis coruscans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Etelis coruscans</x:v>
      </x:c>
      <x:c r="T13" s="32" t="n">
        <x:f>IF(O13="","",(1/'Metadata'!$B$5)^(O13-1))</x:f>
        <x:v>2630.2679918953813</x:v>
      </x:c>
      <x:c r="U13" s="31" t="n">
        <x:f>IF(T13="","",I13*T13)</x:f>
        <x:v>392850.40462850616</x:v>
      </x:c>
    </x:row>
    <x:row r="14" ht="18" customHeight="1">
      <x:c r="A14" s="24" t="str">
        <x:v>EEZ_971</x:v>
      </x:c>
      <x:c r="B14" s="24" t="str">
        <x:v>Japan (Ogasawara Islands)</x:v>
      </x:c>
      <x:c r="C14" s="24" t="str">
        <x:v>EEZ</x:v>
      </x:c>
      <x:c r="D14" s="30" t="n">
        <x:v>2019</x:v>
      </x:c>
      <x:c r="E14" s="24" t="str">
        <x:v>Thunnus obesus</x:v>
      </x:c>
      <x:c r="F14" s="24" t="str">
        <x:v>Bigeye tuna</x:v>
      </x:c>
      <x:c r="G14" s="24" t="str">
        <x:v>Large pelagics (&gt;=90 cm)</x:v>
      </x:c>
      <x:c r="H14" s="24" t="str">
        <x:v>Tuna &amp; billfishes</x:v>
      </x:c>
      <x:c r="I14" s="31" t="n">
        <x:v>122.9967273775</x:v>
      </x:c>
      <x:c r="J14" s="31" t="n">
        <x:v>121.3151623441</x:v>
      </x:c>
      <x:c r="K14" s="31" t="n">
        <x:v>1.6815650334</x:v>
      </x:c>
      <x:c r="L14" s="31" t="n">
        <x:v>121.3151623441</x:v>
      </x:c>
      <x:c r="M14" s="31" t="n">
        <x:v>1.6815650334</x:v>
      </x:c>
      <x:c r="N14" s="24" t="str">
        <x:v>thunnus obesus</x:v>
      </x:c>
      <x:c r="O14" s="32" t="n">
        <x:v>4.49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obesus</x:v>
      </x:c>
      <x:c r="T14" s="32" t="n">
        <x:f>IF(O14="","",(1/'Metadata'!$B$5)^(O14-1))</x:f>
        <x:v>3090.295432513592</x:v>
      </x:c>
      <x:c r="U14" s="31" t="n">
        <x:f>IF(T14="","",I14*T14)</x:f>
        <x:v>380096.2248288077</x:v>
      </x:c>
    </x:row>
    <x:row r="15" ht="18" customHeight="1">
      <x:c r="A15" s="24" t="str">
        <x:v>EEZ_971</x:v>
      </x:c>
      <x:c r="B15" s="24" t="str">
        <x:v>Japan (Ogasawara Islands)</x:v>
      </x:c>
      <x:c r="C15" s="24" t="str">
        <x:v>EEZ</x:v>
      </x:c>
      <x:c r="D15" s="30" t="n">
        <x:v>2019</x:v>
      </x:c>
      <x:c r="E15" s="24" t="str">
        <x:v>Marine pelagic fishes not identified</x:v>
      </x:c>
      <x:c r="F15" s="24" t="str">
        <x:v>Pelagic fishes</x:v>
      </x:c>
      <x:c r="G15" s="24" t="str">
        <x:v>Medium pelagics (30 - 89 cm)</x:v>
      </x:c>
      <x:c r="H15" s="24" t="str">
        <x:v>Other fishes &amp; inverts</x:v>
      </x:c>
      <x:c r="I15" s="31" t="n">
        <x:v>106.9277967243</x:v>
      </x:c>
      <x:c r="J15" s="31" t="n">
        <x:v>80.0650281133</x:v>
      </x:c>
      <x:c r="K15" s="31" t="n">
        <x:v>26.862768611</x:v>
      </x:c>
      <x:c r="L15" s="31" t="n">
        <x:v>80.0650281133</x:v>
      </x:c>
      <x:c r="M15" s="31" t="n">
        <x:v>26.862768611</x:v>
      </x:c>
      <x:c r="N15" s="24" t="str">
        <x:v>marine pelagic fishes not identified</x:v>
      </x:c>
      <x:c r="O15" s="32" t="n">
        <x:v>3.35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pelagic fishes not identified</x:v>
      </x:c>
      <x:c r="T15" s="32" t="n">
        <x:f>IF(O15="","",(1/'Metadata'!$B$5)^(O15-1))</x:f>
        <x:v>223.872113856834</x:v>
      </x:c>
      <x:c r="U15" s="31" t="n">
        <x:f>IF(T15="","",I15*T15)</x:f>
        <x:v>23938.15188272289</x:v>
      </x:c>
    </x:row>
    <x:row r="16" ht="18" customHeight="1">
      <x:c r="A16" s="24" t="str">
        <x:v>EEZ_971</x:v>
      </x:c>
      <x:c r="B16" s="24" t="str">
        <x:v>Japan (Ogasawara Islands)</x:v>
      </x:c>
      <x:c r="C16" s="24" t="str">
        <x:v>EEZ</x:v>
      </x:c>
      <x:c r="D16" s="30" t="n">
        <x:v>2019</x:v>
      </x:c>
      <x:c r="E16" s="24" t="str">
        <x:v>Kajikia audax</x:v>
      </x:c>
      <x:c r="F16" s="24" t="str">
        <x:v>Striped marlin</x:v>
      </x:c>
      <x:c r="G16" s="24" t="str">
        <x:v>Large pelagics (&gt;=90 cm)</x:v>
      </x:c>
      <x:c r="H16" s="24" t="str">
        <x:v>Tuna &amp; billfishes</x:v>
      </x:c>
      <x:c r="I16" s="31" t="n">
        <x:v>36.654485022399996</x:v>
      </x:c>
      <x:c r="J16" s="31" t="n">
        <x:v>36.654485022399996</x:v>
      </x:c>
      <x:c r="K16" s="31" t="n">
        <x:v>0</x:v>
      </x:c>
      <x:c r="L16" s="31" t="n">
        <x:v>36.654485022399996</x:v>
      </x:c>
      <x:c r="M16" s="31" t="n">
        <x:v>0</x:v>
      </x:c>
      <x:c r="N16" s="24" t="str">
        <x:v>kajikia audax</x:v>
      </x:c>
      <x:c r="O16" s="32" t="n">
        <x:v>4.58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audax</x:v>
      </x:c>
      <x:c r="T16" s="32" t="n">
        <x:f>IF(O16="","",(1/'Metadata'!$B$5)^(O16-1))</x:f>
        <x:v>3801.8939632056126</x:v>
      </x:c>
      <x:c r="U16" s="31" t="n">
        <x:f>IF(T16="","",I16*T16)</x:f>
        <x:v>139356.4653310731</x:v>
      </x:c>
    </x:row>
    <x:row r="17" ht="18" customHeight="1">
      <x:c r="A17" s="24" t="str">
        <x:v>EEZ_971</x:v>
      </x:c>
      <x:c r="B17" s="24" t="str">
        <x:v>Japan (Ogasawara Islands)</x:v>
      </x:c>
      <x:c r="C17" s="24" t="str">
        <x:v>EEZ</x:v>
      </x:c>
      <x:c r="D17" s="30" t="n">
        <x:v>2019</x:v>
      </x:c>
      <x:c r="E17" s="24" t="str">
        <x:v>Thunnus orientalis</x:v>
      </x:c>
      <x:c r="F17" s="24" t="str">
        <x:v>Pacific bluefin tuna</x:v>
      </x:c>
      <x:c r="G17" s="24" t="str">
        <x:v>Large pelagics (&gt;=90 cm)</x:v>
      </x:c>
      <x:c r="H17" s="24" t="str">
        <x:v>Tuna &amp; billfishes</x:v>
      </x:c>
      <x:c r="I17" s="31" t="n">
        <x:v>33.9175587922</x:v>
      </x:c>
      <x:c r="J17" s="31" t="n">
        <x:v>33.7166372915</x:v>
      </x:c>
      <x:c r="K17" s="31" t="n">
        <x:v>0.20092150069999998</x:v>
      </x:c>
      <x:c r="L17" s="31" t="n">
        <x:v>33.7166372915</x:v>
      </x:c>
      <x:c r="M17" s="31" t="n">
        <x:v>0.20092150069999998</x:v>
      </x:c>
      <x:c r="N17" s="24" t="str">
        <x:v>thunnus orientalis</x:v>
      </x:c>
      <x:c r="O17" s="32" t="n">
        <x:v>4.05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orientalis</x:v>
      </x:c>
      <x:c r="T17" s="32" t="n">
        <x:f>IF(O17="","",(1/'Metadata'!$B$5)^(O17-1))</x:f>
        <x:v>1122.018454301963</x:v>
      </x:c>
      <x:c r="U17" s="31" t="n">
        <x:f>IF(T17="","",I17*T17)</x:f>
        <x:v>38056.126889720195</x:v>
      </x:c>
    </x:row>
    <x:row r="18" ht="18" customHeight="1">
      <x:c r="A18" s="24" t="str">
        <x:v>EEZ_971</x:v>
      </x:c>
      <x:c r="B18" s="24" t="str">
        <x:v>Japan (Ogasawara Islands)</x:v>
      </x:c>
      <x:c r="C18" s="24" t="str">
        <x:v>EEZ</x:v>
      </x:c>
      <x:c r="D18" s="30" t="n">
        <x:v>2019</x:v>
      </x:c>
      <x:c r="E18" s="24" t="str">
        <x:v>Mola mola</x:v>
      </x:c>
      <x:c r="F18" s="24" t="str">
        <x:v>Ocean sunfish</x:v>
      </x:c>
      <x:c r="G18" s="24" t="str">
        <x:v>Large pelagics (&gt;=90 cm)</x:v>
      </x:c>
      <x:c r="H18" s="24" t="str">
        <x:v>Other fishes &amp; inverts</x:v>
      </x:c>
      <x:c r="I18" s="31" t="n">
        <x:v>21.3371061025</x:v>
      </x:c>
      <x:c r="J18" s="31" t="n">
        <x:v>21.3371061025</x:v>
      </x:c>
      <x:c r="K18" s="31" t="n">
        <x:v>0</x:v>
      </x:c>
      <x:c r="L18" s="31" t="n">
        <x:v>17.8997318245</x:v>
      </x:c>
      <x:c r="M18" s="31" t="n">
        <x:v>3.4373742779999996</x:v>
      </x:c>
      <x:c r="N18" s="24" t="str">
        <x:v>mola mola</x:v>
      </x:c>
      <x:c r="O18" s="32" t="n">
        <x:v>3.68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Mola mola</x:v>
      </x:c>
      <x:c r="T18" s="32" t="n">
        <x:f>IF(O18="","",(1/'Metadata'!$B$5)^(O18-1))</x:f>
        <x:v>478.6300923226385</x:v>
      </x:c>
      <x:c r="U18" s="31" t="n">
        <x:f>IF(T18="","",I18*T18)</x:f>
        <x:v>10212.581063737509</x:v>
      </x:c>
    </x:row>
    <x:row r="19" ht="18" customHeight="1">
      <x:c r="A19" s="24" t="str">
        <x:v>EEZ_971</x:v>
      </x:c>
      <x:c r="B19" s="24" t="str">
        <x:v>Japan (Ogasawara Islands)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21.026808118599998</x:v>
      </x:c>
      <x:c r="J19" s="31" t="n">
        <x:v>2.0026825718</x:v>
      </x:c>
      <x:c r="K19" s="31" t="n">
        <x:v>19.0241255468</x:v>
      </x:c>
      <x:c r="L19" s="31" t="n">
        <x:v>2.0026825718</x:v>
      </x:c>
      <x:c r="M19" s="31" t="n">
        <x:v>19.0241255468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38262.50078724377</x:v>
      </x:c>
    </x:row>
    <x:row r="20" ht="18" customHeight="1">
      <x:c r="A20" s="24" t="str">
        <x:v>EEZ_971</x:v>
      </x:c>
      <x:c r="B20" s="24" t="str">
        <x:v>Japan (Ogasawara Islands)</x:v>
      </x:c>
      <x:c r="C20" s="24" t="str">
        <x:v>EEZ</x:v>
      </x:c>
      <x:c r="D20" s="30" t="n">
        <x:v>2019</x:v>
      </x:c>
      <x:c r="E20" s="24" t="str">
        <x:v>Seriola</x:v>
      </x:c>
      <x:c r="F20" s="24" t="str">
        <x:v>Amberjacks</x:v>
      </x:c>
      <x:c r="G20" s="24" t="str">
        <x:v>Large benthopelagics (&gt;=90 cm)</x:v>
      </x:c>
      <x:c r="H20" s="24" t="str">
        <x:v>Perch-likes</x:v>
      </x:c>
      <x:c r="I20" s="31" t="n">
        <x:v>14.9088658776</x:v>
      </x:c>
      <x:c r="J20" s="31" t="n">
        <x:v>14.9088658776</x:v>
      </x:c>
      <x:c r="K20" s="31" t="n">
        <x:v>0</x:v>
      </x:c>
      <x:c r="L20" s="31" t="n">
        <x:v>14.9088658776</x:v>
      </x:c>
      <x:c r="M20" s="31" t="n">
        <x:v>0</x:v>
      </x:c>
      <x:c r="N20" s="24" t="str">
        <x:v>seriola</x:v>
      </x:c>
      <x:c r="O20" s="32" t="n">
        <x:v>4.39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Seriola</x:v>
      </x:c>
      <x:c r="T20" s="32" t="n">
        <x:f>IF(O20="","",(1/'Metadata'!$B$5)^(O20-1))</x:f>
        <x:v>2454.7089156850284</x:v>
      </x:c>
      <x:c r="U20" s="31" t="n">
        <x:f>IF(T20="","",I20*T20)</x:f>
        <x:v>36596.92599249702</x:v>
      </x:c>
    </x:row>
    <x:row r="21" ht="18" customHeight="1">
      <x:c r="A21" s="24" t="str">
        <x:v>EEZ_971</x:v>
      </x:c>
      <x:c r="B21" s="24" t="str">
        <x:v>Japan (Ogasawara Islands)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8.2128525345</x:v>
      </x:c>
      <x:c r="J21" s="31" t="n">
        <x:v>8.2128525345</x:v>
      </x:c>
      <x:c r="K21" s="31" t="n">
        <x:v>0</x:v>
      </x:c>
      <x:c r="L21" s="31" t="n">
        <x:v>0</x:v>
      </x:c>
      <x:c r="M21" s="31" t="n">
        <x:v>8.2128525345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9214.97210616965</x:v>
      </x:c>
    </x:row>
    <x:row r="22" ht="18" customHeight="1">
      <x:c r="A22" s="24" t="str">
        <x:v>EEZ_971</x:v>
      </x:c>
      <x:c r="B22" s="24" t="str">
        <x:v>Japan (Ogasawara Islands)</x:v>
      </x:c>
      <x:c r="C22" s="24" t="str">
        <x:v>EEZ</x:v>
      </x:c>
      <x:c r="D22" s="30" t="n">
        <x:v>2019</x:v>
      </x:c>
      <x:c r="E22" s="24" t="str">
        <x:v>Carcharhinus longimanus</x:v>
      </x:c>
      <x:c r="F22" s="24" t="str">
        <x:v>Oceanic whitetip shark</x:v>
      </x:c>
      <x:c r="G22" s="24" t="str">
        <x:v>Large sharks (&gt;=90 cm)</x:v>
      </x:c>
      <x:c r="H22" s="24" t="str">
        <x:v>Sharks &amp; rays</x:v>
      </x:c>
      <x:c r="I22" s="31" t="n">
        <x:v>7.368335524500001</x:v>
      </x:c>
      <x:c r="J22" s="31" t="n">
        <x:v>0.0053738191</x:v>
      </x:c>
      <x:c r="K22" s="31" t="n">
        <x:v>7.3629617054</x:v>
      </x:c>
      <x:c r="L22" s="31" t="n">
        <x:v>0.0053738191</x:v>
      </x:c>
      <x:c r="M22" s="31" t="n">
        <x:v>7.3629617054</x:v>
      </x:c>
      <x:c r="N22" s="24" t="str">
        <x:v>carcharhinus longimanus</x:v>
      </x:c>
      <x:c r="O22" s="32" t="n">
        <x:v>4.16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Carcharhinus longimanus</x:v>
      </x:c>
      <x:c r="T22" s="32" t="n">
        <x:f>IF(O22="","",(1/'Metadata'!$B$5)^(O22-1))</x:f>
        <x:v>1445.439770745928</x:v>
      </x:c>
      <x:c r="U22" s="31" t="n">
        <x:f>IF(T22="","",I22*T22)</x:f>
        <x:v>10650.485211312358</x:v>
      </x:c>
    </x:row>
    <x:row r="23" ht="18" customHeight="1">
      <x:c r="A23" s="24" t="str">
        <x:v>EEZ_971</x:v>
      </x:c>
      <x:c r="B23" s="24" t="str">
        <x:v>Japan (Ogasawara Islands)</x:v>
      </x:c>
      <x:c r="C23" s="24" t="str">
        <x:v>EEZ</x:v>
      </x:c>
      <x:c r="D23" s="30" t="n">
        <x:v>2019</x:v>
      </x:c>
      <x:c r="E23" s="24" t="str">
        <x:v>Istiophoridae</x:v>
      </x:c>
      <x:c r="F23" s="24" t="str">
        <x:v>Billfishes</x:v>
      </x:c>
      <x:c r="G23" s="24" t="str">
        <x:v>Large pelagics (&gt;=90 cm)</x:v>
      </x:c>
      <x:c r="H23" s="24" t="str">
        <x:v>Tuna &amp; billfishes</x:v>
      </x:c>
      <x:c r="I23" s="31" t="n">
        <x:v>6.2178688365</x:v>
      </x:c>
      <x:c r="J23" s="31" t="n">
        <x:v>1.6921158905</x:v>
      </x:c>
      <x:c r="K23" s="31" t="n">
        <x:v>4.525752946</x:v>
      </x:c>
      <x:c r="L23" s="31" t="n">
        <x:v>1.6921158905</x:v>
      </x:c>
      <x:c r="M23" s="31" t="n">
        <x:v>4.525752946</x:v>
      </x:c>
      <x:c r="N23" s="24" t="str">
        <x:v>istiophoridae</x:v>
      </x:c>
      <x:c r="O23" s="32" t="n">
        <x:v>4.48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Istiophoridae</x:v>
      </x:c>
      <x:c r="T23" s="32" t="n">
        <x:f>IF(O23="","",(1/'Metadata'!$B$5)^(O23-1))</x:f>
        <x:v>3019.951720402019</x:v>
      </x:c>
      <x:c r="U23" s="31" t="n">
        <x:f>IF(T23="","",I23*T23)</x:f>
        <x:v>18777.663690022277</x:v>
      </x:c>
    </x:row>
    <x:row r="24" ht="18" customHeight="1">
      <x:c r="A24" s="24" t="str">
        <x:v>EEZ_971</x:v>
      </x:c>
      <x:c r="B24" s="24" t="str">
        <x:v>Japan (Ogasawara Islands)</x:v>
      </x:c>
      <x:c r="C24" s="24" t="str">
        <x:v>EEZ</x:v>
      </x:c>
      <x:c r="D24" s="30" t="n">
        <x:v>2019</x:v>
      </x:c>
      <x:c r="E24" s="24" t="str">
        <x:v>Panulirus</x:v>
      </x:c>
      <x:c r="F24" s="24" t="str">
        <x:v>Spiny lobsters</x:v>
      </x:c>
      <x:c r="G24" s="24" t="str">
        <x:v>Lobsters, crabs</x:v>
      </x:c>
      <x:c r="H24" s="24" t="str">
        <x:v>Crustaceans</x:v>
      </x:c>
      <x:c r="I24" s="31" t="n">
        <x:v>5.4349731061</x:v>
      </x:c>
      <x:c r="J24" s="31" t="n">
        <x:v>5.4349731061</x:v>
      </x:c>
      <x:c r="K24" s="31" t="n">
        <x:v>0</x:v>
      </x:c>
      <x:c r="L24" s="31" t="n">
        <x:v>5.4349731061</x:v>
      </x:c>
      <x:c r="M24" s="31" t="n">
        <x:v>0</x:v>
      </x:c>
      <x:c r="N24" s="24" t="str">
        <x:v>panulirus</x:v>
      </x:c>
      <x:c r="O24" s="32" t="n">
        <x:v>2.6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Panulirus</x:v>
      </x:c>
      <x:c r="T24" s="32" t="n">
        <x:f>IF(O24="","",(1/'Metadata'!$B$5)^(O24-1))</x:f>
        <x:v>39.810717055349734</x:v>
      </x:c>
      <x:c r="U24" s="31" t="n">
        <x:f>IF(T24="","",I24*T24)</x:f>
        <x:v>216.3701765303824</x:v>
      </x:c>
    </x:row>
    <x:row r="25" ht="18" customHeight="1">
      <x:c r="A25" s="24" t="str">
        <x:v>EEZ_971</x:v>
      </x:c>
      <x:c r="B25" s="24" t="str">
        <x:v>Japan (Ogasawara Islands)</x:v>
      </x:c>
      <x:c r="C25" s="24" t="str">
        <x:v>EEZ</x:v>
      </x:c>
      <x:c r="D25" s="30" t="n">
        <x:v>2019</x:v>
      </x:c>
      <x:c r="E25" s="24" t="str">
        <x:v>Alopias</x:v>
      </x:c>
      <x:c r="F25" s="24" t="str">
        <x:v>Thresher sharks</x:v>
      </x:c>
      <x:c r="G25" s="24" t="str">
        <x:v>Large sharks (&gt;=90 cm)</x:v>
      </x:c>
      <x:c r="H25" s="24" t="str">
        <x:v>Sharks &amp; rays</x:v>
      </x:c>
      <x:c r="I25" s="31" t="n">
        <x:v>3.9326374592</x:v>
      </x:c>
      <x:c r="J25" s="31" t="n">
        <x:v>3.403915727</x:v>
      </x:c>
      <x:c r="K25" s="31" t="n">
        <x:v>0.5287217322</x:v>
      </x:c>
      <x:c r="L25" s="31" t="n">
        <x:v>3.403915727</x:v>
      </x:c>
      <x:c r="M25" s="31" t="n">
        <x:v>0.5287217322</x:v>
      </x:c>
      <x:c r="N25" s="24" t="str">
        <x:v>alopias</x:v>
      </x:c>
      <x:c r="O25" s="32" t="n">
        <x:v>4.5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Alopias</x:v>
      </x:c>
      <x:c r="T25" s="32" t="n">
        <x:f>IF(O25="","",(1/'Metadata'!$B$5)^(O25-1))</x:f>
        <x:v>3162.2776601683795</x:v>
      </x:c>
      <x:c r="U25" s="31" t="n">
        <x:f>IF(T25="","",I25*T25)</x:f>
        <x:v>12436.091582769497</x:v>
      </x:c>
    </x:row>
    <x:row r="26" ht="18" customHeight="1">
      <x:c r="A26" s="24" t="str">
        <x:v>EEZ_971</x:v>
      </x:c>
      <x:c r="B26" s="24" t="str">
        <x:v>Japan (Ogasawara Islands)</x:v>
      </x:c>
      <x:c r="C26" s="24" t="str">
        <x:v>EEZ</x:v>
      </x:c>
      <x:c r="D26" s="30" t="n">
        <x:v>2019</x:v>
      </x:c>
      <x:c r="E26" s="24" t="str">
        <x:v>Acanthocybium solandri</x:v>
      </x:c>
      <x:c r="F26" s="24" t="str">
        <x:v>Wahoo</x:v>
      </x:c>
      <x:c r="G26" s="24" t="str">
        <x:v>Large pelagics (&gt;=90 cm)</x:v>
      </x:c>
      <x:c r="H26" s="24" t="str">
        <x:v>Perch-likes</x:v>
      </x:c>
      <x:c r="I26" s="31" t="n">
        <x:v>1.902207469</x:v>
      </x:c>
      <x:c r="J26" s="31" t="n">
        <x:v>0</x:v>
      </x:c>
      <x:c r="K26" s="31" t="n">
        <x:v>1.902207469</x:v>
      </x:c>
      <x:c r="L26" s="31" t="n">
        <x:v>0</x:v>
      </x:c>
      <x:c r="M26" s="31" t="n">
        <x:v>1.902207469</x:v>
      </x:c>
      <x:c r="N26" s="24" t="str">
        <x:v>acanthocybium solandri</x:v>
      </x:c>
      <x:c r="O26" s="32" t="n">
        <x:v>4.26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Acanthocybium solandri</x:v>
      </x:c>
      <x:c r="T26" s="32" t="n">
        <x:f>IF(O26="","",(1/'Metadata'!$B$5)^(O26-1))</x:f>
        <x:v>1819.7008586099826</x:v>
      </x:c>
      <x:c r="U26" s="31" t="n">
        <x:f>IF(T26="","",I26*T26)</x:f>
        <x:v>3461.4485645936215</x:v>
      </x:c>
    </x:row>
    <x:row r="27" ht="18" customHeight="1">
      <x:c r="A27" s="24" t="str">
        <x:v>EEZ_971</x:v>
      </x:c>
      <x:c r="B27" s="24" t="str">
        <x:v>Japan (Ogasawara Islands)</x:v>
      </x:c>
      <x:c r="C27" s="24" t="str">
        <x:v>EEZ</x:v>
      </x:c>
      <x:c r="D27" s="30" t="n">
        <x:v>2019</x:v>
      </x:c>
      <x:c r="E27" s="24" t="str">
        <x:v>Sphyrna</x:v>
      </x:c>
      <x:c r="F27" s="24" t="str">
        <x:v>Hammerhead sharks</x:v>
      </x:c>
      <x:c r="G27" s="24" t="str">
        <x:v>Large sharks (&gt;=90 cm)</x:v>
      </x:c>
      <x:c r="H27" s="24" t="str">
        <x:v>Sharks &amp; rays</x:v>
      </x:c>
      <x:c r="I27" s="31" t="n">
        <x:v>1.7517558598</x:v>
      </x:c>
      <x:c r="J27" s="31" t="n">
        <x:v>1.7517558598</x:v>
      </x:c>
      <x:c r="K27" s="31" t="n">
        <x:v>0</x:v>
      </x:c>
      <x:c r="L27" s="31" t="n">
        <x:v>1.7517558598</x:v>
      </x:c>
      <x:c r="M27" s="31" t="n">
        <x:v>0</x:v>
      </x:c>
      <x:c r="N27" s="24" t="str">
        <x:v>sphyrna</x:v>
      </x:c>
      <x:c r="O27" s="32" t="n">
        <x:v>4.2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Sphyrna</x:v>
      </x:c>
      <x:c r="T27" s="32" t="n">
        <x:f>IF(O27="","",(1/'Metadata'!$B$5)^(O27-1))</x:f>
        <x:v>1584.893192461114</x:v>
      </x:c>
      <x:c r="U27" s="31" t="n">
        <x:f>IF(T27="","",I27*T27)</x:f>
        <x:v>2776.345937050886</x:v>
      </x:c>
    </x:row>
    <x:row r="28" ht="18" customHeight="1">
      <x:c r="A28" s="24" t="str">
        <x:v>EEZ_971</x:v>
      </x:c>
      <x:c r="B28" s="24" t="str">
        <x:v>Japan (Ogasawara Islands)</x:v>
      </x:c>
      <x:c r="C28" s="24" t="str">
        <x:v>EEZ</x:v>
      </x:c>
      <x:c r="D28" s="30" t="n">
        <x:v>2019</x:v>
      </x:c>
      <x:c r="E28" s="24" t="str">
        <x:v>Miscellaneous aquatic invertebrates</x:v>
      </x:c>
      <x:c r="F28" s="24" t="str">
        <x:v>Aquatic invertebrates</x:v>
      </x:c>
      <x:c r="G28" s="24" t="str">
        <x:v>Other demersal invertebrates</x:v>
      </x:c>
      <x:c r="H28" s="24" t="str">
        <x:v>Other fishes &amp; inverts</x:v>
      </x:c>
      <x:c r="I28" s="31" t="n">
        <x:v>0.9057366136</x:v>
      </x:c>
      <x:c r="J28" s="31" t="n">
        <x:v>0.9057366136</x:v>
      </x:c>
      <x:c r="K28" s="31" t="n">
        <x:v>0</x:v>
      </x:c>
      <x:c r="L28" s="31" t="n">
        <x:v>0.9057366136</x:v>
      </x:c>
      <x:c r="M28" s="31" t="n">
        <x:v>0</x:v>
      </x:c>
      <x:c r="N28" s="24" t="str">
        <x:v>miscellaneous aquatic invertebrates</x:v>
      </x:c>
      <x:c r="O28" s="32" t="n">
        <x:v>2.43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Miscellaneous aquatic invertebrates</x:v>
      </x:c>
      <x:c r="T28" s="32" t="n">
        <x:f>IF(O28="","",(1/'Metadata'!$B$5)^(O28-1))</x:f>
        <x:v>26.915348039269166</x:v>
      </x:c>
      <x:c r="U28" s="31" t="n">
        <x:f>IF(T28="","",I28*T28)</x:f>
        <x:v>24.378216186953054</x:v>
      </x:c>
    </x:row>
    <x:row r="29" ht="18" customHeight="1">
      <x:c r="A29" s="24" t="str">
        <x:v>EEZ_971</x:v>
      </x:c>
      <x:c r="B29" s="24" t="str">
        <x:v>Japan (Ogasawara Islands)</x:v>
      </x:c>
      <x:c r="C29" s="24" t="str">
        <x:v>EEZ</x:v>
      </x:c>
      <x:c r="D29" s="30" t="n">
        <x:v>2019</x:v>
      </x:c>
      <x:c r="E29" s="24" t="str">
        <x:v>Istiompax indica</x:v>
      </x:c>
      <x:c r="F29" s="24" t="str">
        <x:v>Black marlin</x:v>
      </x:c>
      <x:c r="G29" s="24" t="str">
        <x:v>Large pelagics (&gt;=90 cm)</x:v>
      </x:c>
      <x:c r="H29" s="24" t="str">
        <x:v>Tuna &amp; billfishes</x:v>
      </x:c>
      <x:c r="I29" s="31" t="n">
        <x:v>0.34745282520000004</x:v>
      </x:c>
      <x:c r="J29" s="31" t="n">
        <x:v>0.34745282520000004</x:v>
      </x:c>
      <x:c r="K29" s="31" t="n">
        <x:v>0</x:v>
      </x:c>
      <x:c r="L29" s="31" t="n">
        <x:v>0.34745282520000004</x:v>
      </x:c>
      <x:c r="M29" s="31" t="n">
        <x:v>0</x:v>
      </x:c>
      <x:c r="N29" s="24" t="str">
        <x:v>istiompax indica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Istiompax indica</x:v>
      </x:c>
      <x:c r="T29" s="32" t="n">
        <x:f>IF(O29="","",(1/'Metadata'!$B$5)^(O29-1))</x:f>
        <x:v>3162.2776601683795</x:v>
      </x:c>
      <x:c r="U29" s="31" t="n">
        <x:f>IF(T29="","",I29*T29)</x:f>
        <x:v>1098.7423070923492</x:v>
      </x:c>
    </x:row>
    <x:row r="30" ht="18" customHeight="1">
      <x:c r="A30" s="24" t="str">
        <x:v>EEZ_971</x:v>
      </x:c>
      <x:c r="B30" s="24" t="str">
        <x:v>Japan (Ogasawara Islands)</x:v>
      </x:c>
      <x:c r="C30" s="24" t="str">
        <x:v>EEZ</x:v>
      </x:c>
      <x:c r="D30" s="30" t="n">
        <x:v>2019</x:v>
      </x:c>
      <x:c r="E30" s="24" t="str">
        <x:v>Sphyraena barracuda</x:v>
      </x:c>
      <x:c r="F30" s="24" t="str">
        <x:v>Great barracuda</x:v>
      </x:c>
      <x:c r="G30" s="24" t="str">
        <x:v>Large pelagics (&gt;=90 cm)</x:v>
      </x:c>
      <x:c r="H30" s="24" t="str">
        <x:v>Perch-likes</x:v>
      </x:c>
      <x:c r="I30" s="31" t="n">
        <x:v>0.2212105767</x:v>
      </x:c>
      <x:c r="J30" s="31" t="n">
        <x:v>0</x:v>
      </x:c>
      <x:c r="K30" s="31" t="n">
        <x:v>0.2212105767</x:v>
      </x:c>
      <x:c r="L30" s="31" t="n">
        <x:v>0</x:v>
      </x:c>
      <x:c r="M30" s="31" t="n">
        <x:v>0.2212105767</x:v>
      </x:c>
      <x:c r="N30" s="24" t="str">
        <x:v>sphyraena barracuda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Sphyraena barracuda</x:v>
      </x:c>
      <x:c r="T30" s="32" t="n">
        <x:f>IF(O30="","",(1/'Metadata'!$B$5)^(O30-1))</x:f>
        <x:v>3090.295432513592</x:v>
      </x:c>
      <x:c r="U30" s="31" t="n">
        <x:f>IF(T30="","",I30*T30)</x:f>
        <x:v>683.6060347997076</x:v>
      </x:c>
    </x:row>
  </x:sheetData>
  <x:conditionalFormatting sqref="R2:R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c490834bdd04c3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5.4349731061</x:v>
      </x:c>
      <x:c r="C2" s="32" t="n">
        <x:v>2.6</x:v>
      </x:c>
      <x:c r="D2" s="32" t="n">
        <x:f>IF(C2="","",(1/'Metadata'!$B$5)^(C2-1))</x:f>
        <x:v>39.810717055349734</x:v>
      </x:c>
      <x:c r="E2" s="31" t="n">
        <x:f>IF(B2=0,"",B2*D2)</x:f>
        <x:v>216.3701765303824</x:v>
      </x:c>
    </x:row>
    <x:row r="3" ht="18" customHeight="1">
      <x:c r="A3" s="24" t="str">
        <x:v>Other fishes &amp; inverts</x:v>
      </x:c>
      <x:c r="B3" s="31" t="n">
        <x:v>4223.852916228499</x:v>
      </x:c>
      <x:c r="C3" s="32" t="n">
        <x:v>3.61249463947652</x:v>
      </x:c>
      <x:c r="D3" s="32" t="n">
        <x:f>IF(C3="","",(1/'Metadata'!$B$5)^(C3-1))</x:f>
        <x:v>409.7270524961412</x:v>
      </x:c>
      <x:c r="E3" s="31" t="n">
        <x:f>IF(B3=0,"",B3*D3)</x:f>
        <x:v>1730626.8055435335</x:v>
      </x:c>
    </x:row>
    <x:row r="4" ht="18" customHeight="1">
      <x:c r="A4" s="24" t="str">
        <x:v>Perch-likes</x:v>
      </x:c>
      <x:c r="B4" s="31" t="n">
        <x:v>8630.9293473786</x:v>
      </x:c>
      <x:c r="C4" s="32" t="n">
        <x:v>3.804124986236114</x:v>
      </x:c>
      <x:c r="D4" s="32" t="n">
        <x:f>IF(C4="","",(1/'Metadata'!$B$5)^(C4-1))</x:f>
        <x:v>636.9788115839568</x:v>
      </x:c>
      <x:c r="E4" s="31" t="n">
        <x:f>IF(B4=0,"",B4*D4)</x:f>
        <x:v>5497719.1185583165</x:v>
      </x:c>
    </x:row>
    <x:row r="5" ht="18" customHeight="1">
      <x:c r="A5" s="24" t="str">
        <x:v>Sharks &amp; rays</x:v>
      </x:c>
      <x:c r="B5" s="31" t="n">
        <x:v>3721.9558683399005</x:v>
      </x:c>
      <x:c r="C5" s="32" t="n">
        <x:v>4.110762642028394</x:v>
      </x:c>
      <x:c r="D5" s="32" t="n">
        <x:f>IF(C5="","",(1/'Metadata'!$B$5)^(C5-1))</x:f>
        <x:v>1290.5137674096495</x:v>
      </x:c>
      <x:c r="E5" s="31" t="n">
        <x:f>IF(B5=0,"",B5*D5)</x:f>
        <x:v>4803235.289783779</x:v>
      </x:c>
    </x:row>
    <x:row r="6" ht="18" customHeight="1">
      <x:c r="A6" s="24" t="str">
        <x:v>Tuna &amp; billfishes</x:v>
      </x:c>
      <x:c r="B6" s="31" t="n">
        <x:v>1860.692460085</x:v>
      </x:c>
      <x:c r="C6" s="32" t="n">
        <x:v>4.415970266997829</x:v>
      </x:c>
      <x:c r="D6" s="32" t="n">
        <x:f>IF(C6="","",(1/'Metadata'!$B$5)^(C6-1))</x:f>
        <x:v>2605.9751316217303</x:v>
      </x:c>
      <x:c r="E6" s="31" t="n">
        <x:f>IF(B6=0,"",B6*D6)</x:f>
        <x:v>4848918.278577569</x:v>
      </x:c>
    </x:row>
  </x:sheetData>
  <x:pageMargins left="0.7" right="0.7" top="0.75" bottom="0.75" header="0.3" footer="0.3"/>
  <x:tableParts count="1">
    <x:tablePart xmlns:r="http://schemas.openxmlformats.org/officeDocument/2006/relationships" r:id="Rac9310cd04c44b2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bathydemersals (&gt;=90 cm)</x:v>
      </x:c>
      <x:c r="B2" s="31" t="n">
        <x:v>149.35755817999998</x:v>
      </x:c>
      <x:c r="C2" s="32" t="n">
        <x:v>4.42</x:v>
      </x:c>
      <x:c r="D2" s="32" t="n">
        <x:f>IF(C2="","",(1/'Metadata'!$B$5)^(C2-1))</x:f>
        <x:v>2630.2679918953813</x:v>
      </x:c>
      <x:c r="E2" s="31" t="n">
        <x:f>IF(B2=0,"",B2*D2)</x:f>
        <x:v>392850.40462850616</x:v>
      </x:c>
    </x:row>
    <x:row r="3" ht="18" customHeight="1">
      <x:c r="A3" s="24" t="str">
        <x:v>Large benthopelagics (&gt;=90 cm)</x:v>
      </x:c>
      <x:c r="B3" s="31" t="n">
        <x:v>14.9088658776</x:v>
      </x:c>
      <x:c r="C3" s="32" t="n">
        <x:v>4.39</x:v>
      </x:c>
      <x:c r="D3" s="32" t="n">
        <x:f>IF(C3="","",(1/'Metadata'!$B$5)^(C3-1))</x:f>
        <x:v>2454.7089156850284</x:v>
      </x:c>
      <x:c r="E3" s="31" t="n">
        <x:f>IF(B3=0,"",B3*D3)</x:f>
        <x:v>36596.92599249702</x:v>
      </x:c>
    </x:row>
    <x:row r="4" ht="18" customHeight="1">
      <x:c r="A4" s="24" t="str">
        <x:v>Large pelagics (&gt;=90 cm)</x:v>
      </x:c>
      <x:c r="B4" s="31" t="n">
        <x:v>3532.4117743928</x:v>
      </x:c>
      <x:c r="C4" s="32" t="n">
        <x:v>4.3899951854253985</x:v>
      </x:c>
      <x:c r="D4" s="32" t="n">
        <x:f>IF(C4="","",(1/'Metadata'!$B$5)^(C4-1))</x:f>
        <x:v>2454.6817030121015</x:v>
      </x:c>
      <x:c r="E4" s="31" t="n">
        <x:f>IF(B4=0,"",B4*D4)</x:f>
        <x:v>8670946.550106518</x:v>
      </x:c>
    </x:row>
    <x:row r="5" ht="18" customHeight="1">
      <x:c r="A5" s="24" t="str">
        <x:v>Large sharks (&gt;=90 cm)</x:v>
      </x:c>
      <x:c r="B5" s="31" t="n">
        <x:v>3721.9558683399005</x:v>
      </x:c>
      <x:c r="C5" s="32" t="n">
        <x:v>4.110762642028394</x:v>
      </x:c>
      <x:c r="D5" s="32" t="n">
        <x:f>IF(C5="","",(1/'Metadata'!$B$5)^(C5-1))</x:f>
        <x:v>1290.5137674096495</x:v>
      </x:c>
      <x:c r="E5" s="31" t="n">
        <x:f>IF(B5=0,"",B5*D5)</x:f>
        <x:v>4803235.289783779</x:v>
      </x:c>
    </x:row>
    <x:row r="6" ht="18" customHeight="1">
      <x:c r="A6" s="24" t="str">
        <x:v>Lobsters, crabs</x:v>
      </x:c>
      <x:c r="B6" s="31" t="n">
        <x:v>5.4349731061</x:v>
      </x:c>
      <x:c r="C6" s="32" t="n">
        <x:v>2.6</x:v>
      </x:c>
      <x:c r="D6" s="32" t="n">
        <x:f>IF(C6="","",(1/'Metadata'!$B$5)^(C6-1))</x:f>
        <x:v>39.810717055349734</x:v>
      </x:c>
      <x:c r="E6" s="31" t="n">
        <x:f>IF(B6=0,"",B6*D6)</x:f>
        <x:v>216.3701765303824</x:v>
      </x:c>
    </x:row>
    <x:row r="7" ht="18" customHeight="1">
      <x:c r="A7" s="24" t="str">
        <x:v>Medium demersals (30 - 89 cm)</x:v>
      </x:c>
      <x:c r="B7" s="31" t="n">
        <x:v>864.0810198273999</x:v>
      </x:c>
      <x:c r="C7" s="32" t="n">
        <x:v>3.28</x:v>
      </x:c>
      <x:c r="D7" s="32" t="n">
        <x:f>IF(C7="","",(1/'Metadata'!$B$5)^(C7-1))</x:f>
        <x:v>190.54607179632464</x:v>
      </x:c>
      <x:c r="E7" s="31" t="n">
        <x:f>IF(B7=0,"",B7*D7)</x:f>
        <x:v>164647.24404187317</x:v>
      </x:c>
    </x:row>
    <x:row r="8" ht="18" customHeight="1">
      <x:c r="A8" s="24" t="str">
        <x:v>Medium pelagics (30 - 89 cm)</x:v>
      </x:c>
      <x:c r="B8" s="31" t="n">
        <x:v>10153.8097688007</x:v>
      </x:c>
      <x:c r="C8" s="32" t="n">
        <x:v>3.667517486974498</x:v>
      </x:c>
      <x:c r="D8" s="32" t="n">
        <x:f>IF(C8="","",(1/'Metadata'!$B$5)^(C8-1))</x:f>
        <x:v>465.06910191177343</x:v>
      </x:c>
      <x:c r="E8" s="31" t="n">
        <x:f>IF(B8=0,"",B8*D8)</x:f>
        <x:v>4722223.190159134</x:v>
      </x:c>
    </x:row>
    <x:row r="9" ht="18" customHeight="1">
      <x:c r="A9" s="24" t="str">
        <x:v>Other demersal invertebrates</x:v>
      </x:c>
      <x:c r="B9" s="31" t="n">
        <x:v>0.9057366136</x:v>
      </x:c>
      <x:c r="C9" s="32" t="n">
        <x:v>2.43</x:v>
      </x:c>
      <x:c r="D9" s="32" t="n">
        <x:f>IF(C9="","",(1/'Metadata'!$B$5)^(C9-1))</x:f>
        <x:v>26.915348039269166</x:v>
      </x:c>
      <x:c r="E9" s="31" t="n">
        <x:f>IF(B9=0,"",B9*D9)</x:f>
        <x:v>24.378216186953054</x:v>
      </x:c>
    </x:row>
  </x:sheetData>
  <x:pageMargins left="0.7" right="0.7" top="0.75" bottom="0.75" header="0.3" footer="0.3"/>
  <x:tableParts count="1">
    <x:tablePart xmlns:r="http://schemas.openxmlformats.org/officeDocument/2006/relationships" r:id="R95e61d3c93c14fb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EEZ_971</x:v>
      </x:c>
      <x:c r="B2" s="24" t="str">
        <x:v>raw_filtered_tonnes</x:v>
      </x:c>
      <x:c r="C2" s="24" t="n">
        <x:v>18442.865565138098</x:v>
      </x:c>
      <x:c r="D2" s="24" t="str">
        <x:v>tonnes</x:v>
      </x:c>
    </x:row>
    <x:row r="3" ht="18" customHeight="1">
      <x:c r="A3" s="24" t="str">
        <x:v>EEZ_971</x:v>
      </x:c>
      <x:c r="B3" s="24" t="str">
        <x:v>species_catch_tonnes</x:v>
      </x:c>
      <x:c r="C3" s="24" t="n">
        <x:v>18442.8655651381</x:v>
      </x:c>
      <x:c r="D3" s="24" t="str">
        <x:v>tonnes</x:v>
      </x:c>
    </x:row>
    <x:row r="4" ht="18" customHeight="1">
      <x:c r="A4" s="24" t="str">
        <x:v>EEZ_971</x:v>
      </x:c>
      <x:c r="B4" s="24" t="str">
        <x:v>catch_difference_tonnes</x:v>
      </x:c>
      <x:c r="C4" s="24" t="n">
        <x:v>3.637978807091713e-12</x:v>
      </x:c>
      <x:c r="D4" s="24" t="str">
        <x:v>tonnes</x:v>
      </x:c>
    </x:row>
    <x:row r="5" ht="18" customHeight="1">
      <x:c r="A5" s="24" t="str">
        <x:v>EEZ_971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EEZ_971</x:v>
      </x:c>
      <x:c r="B6" s="24" t="str">
        <x:v>matched_catch_tonnes</x:v>
      </x:c>
      <x:c r="C6" s="24" t="n">
        <x:v>18442.8655651381</x:v>
      </x:c>
      <x:c r="D6" s="24" t="str">
        <x:v>tonnes</x:v>
      </x:c>
    </x:row>
    <x:row r="7" ht="18" customHeight="1">
      <x:c r="A7" s="24" t="str">
        <x:v>EEZ_971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EEZ_971</x:v>
      </x:c>
      <x:c r="B8" s="24" t="str">
        <x:v>taxa_count</x:v>
      </x:c>
      <x:c r="C8" s="24" t="n">
        <x:v>29</x:v>
      </x:c>
      <x:c r="D8" s="24" t="str">
        <x:v>count</x:v>
      </x:c>
    </x:row>
    <x:row r="9" ht="18" customHeight="1">
      <x:c r="A9" s="24" t="str">
        <x:v>EEZ_971</x:v>
      </x:c>
      <x:c r="B9" s="24" t="str">
        <x:v>matched_taxa_count</x:v>
      </x:c>
      <x:c r="C9" s="24" t="n">
        <x:v>29</x:v>
      </x:c>
      <x:c r="D9" s="24" t="str">
        <x:v>count</x:v>
      </x:c>
    </x:row>
    <x:row r="10" ht="18" customHeight="1">
      <x:c r="A10" s="24" t="str">
        <x:v>EEZ_971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EEZ_971</x:v>
      </x:c>
      <x:c r="B11" s="24" t="str">
        <x:v>species_ppr</x:v>
      </x:c>
      <x:c r="C11" s="24" t="n">
        <x:v>19260173.04848056</x:v>
      </x:c>
      <x:c r="D11" s="24" t="str">
        <x:v>tonnes_primary_production_equivalent</x:v>
      </x:c>
    </x:row>
    <x:row r="12" ht="18" customHeight="1">
      <x:c r="A12" s="24" t="str">
        <x:v>EEZ_971</x:v>
      </x:c>
      <x:c r="B12" s="24" t="str">
        <x:v>commercial_ppr</x:v>
      </x:c>
      <x:c r="C12" s="24" t="n">
        <x:v>16880715.86263973</x:v>
      </x:c>
      <x:c r="D12" s="24" t="str">
        <x:v>tonnes_primary_production_equivalent</x:v>
      </x:c>
    </x:row>
    <x:row r="13" ht="18" customHeight="1">
      <x:c r="A13" s="24" t="str">
        <x:v>EEZ_971</x:v>
      </x:c>
      <x:c r="B13" s="24" t="str">
        <x:v>functional_ppr</x:v>
      </x:c>
      <x:c r="C13" s="24" t="n">
        <x:v>18790740.353105024</x:v>
      </x:c>
      <x:c r="D13" s="24" t="str">
        <x:v>tonnes_primary_production_equivalent</x:v>
      </x:c>
    </x:row>
    <x:row r="14" ht="18" customHeight="1">
      <x:c r="A14" s="24" t="str">
        <x:v>EEZ_971</x:v>
      </x:c>
      <x:c r="B14" s="24" t="str">
        <x:v>commercial_ppr_difference</x:v>
      </x:c>
      <x:c r="C14" s="24" t="n">
        <x:v>-2379457.18584083</x:v>
      </x:c>
      <x:c r="D14" s="24" t="str">
        <x:v>tonnes_primary_production_equivalent</x:v>
      </x:c>
    </x:row>
    <x:row r="15" ht="18" customHeight="1">
      <x:c r="A15" s="24" t="str">
        <x:v>EEZ_971</x:v>
      </x:c>
      <x:c r="B15" s="24" t="str">
        <x:v>functional_ppr_difference</x:v>
      </x:c>
      <x:c r="C15" s="24" t="n">
        <x:v>-469432.69537553564</x:v>
      </x:c>
      <x:c r="D15" s="24" t="str">
        <x:v>tonnes_primary_production_equivalent</x:v>
      </x:c>
    </x:row>
    <x:row r="16" ht="18" customHeight="1">
      <x:c r="A16" s="24" t="str">
        <x:v>EEZ_971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EEZ_971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826925d0ac0045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EEZ_971 - Japan (Ogasawara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EEZ_971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raw_data/SAU_downloads/EEZ_971-catch.zip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