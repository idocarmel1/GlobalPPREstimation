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351c17b85647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8cf75820d61449d5"/>
    <x:sheet xmlns:r="http://schemas.openxmlformats.org/officeDocument/2006/relationships" name="Commercial" sheetId="2" r:id="R6bd7892497ec42f4"/>
    <x:sheet xmlns:r="http://schemas.openxmlformats.org/officeDocument/2006/relationships" name="Functional" sheetId="3" r:id="R86cf59d89959426c"/>
    <x:sheet xmlns:r="http://schemas.openxmlformats.org/officeDocument/2006/relationships" name="Missing TL" sheetId="4" r:id="R01eec6d897e14501"/>
    <x:sheet xmlns:r="http://schemas.openxmlformats.org/officeDocument/2006/relationships" name="Validation" sheetId="5" r:id="Rf1bc47b6539544a4"/>
    <x:sheet xmlns:r="http://schemas.openxmlformats.org/officeDocument/2006/relationships" name="Metadata" sheetId="6" r:id="Rbb9baf202fbd48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0253fe8e1a4086" /><Relationship Type="http://schemas.openxmlformats.org/officeDocument/2006/relationships/theme" Target="/xl/theme/theme1.xml" Id="R28d5f629c811447a" /><Relationship Type="http://schemas.microsoft.com/office/2022/11/relationships/FeaturePropertyBag" Target="/xl/featurePropertyBag/featurePropertyBag.xml" Id="R81de3362908b4877" /><Relationship Type="http://schemas.openxmlformats.org/officeDocument/2006/relationships/sharedStrings" Target="/xl/sharedStrings.xml" Id="R28108dcb3d494726" /><Relationship Type="http://schemas.openxmlformats.org/officeDocument/2006/relationships/worksheet" Target="/xl/worksheets/sheet1.xml" Id="R8cf75820d61449d5" /><Relationship Type="http://schemas.openxmlformats.org/officeDocument/2006/relationships/worksheet" Target="/xl/worksheets/sheet2.xml" Id="R6bd7892497ec42f4" /><Relationship Type="http://schemas.openxmlformats.org/officeDocument/2006/relationships/worksheet" Target="/xl/worksheets/sheet3.xml" Id="R86cf59d89959426c" /><Relationship Type="http://schemas.openxmlformats.org/officeDocument/2006/relationships/worksheet" Target="/xl/worksheets/sheet4.xml" Id="R01eec6d897e14501" /><Relationship Type="http://schemas.openxmlformats.org/officeDocument/2006/relationships/worksheet" Target="/xl/worksheets/sheet5.xml" Id="Rf1bc47b6539544a4" /><Relationship Type="http://schemas.openxmlformats.org/officeDocument/2006/relationships/worksheet" Target="/xl/worksheets/sheet6.xml" Id="Rbb9baf202fbd489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660SpeciesTable" displayName="EEZ660SpeciesTable" ref="A1:U25" headerRowCount="1" totalsRowCount="0" totalsRowShown="0">
  <x:autoFilter ref="A1:U25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660CommercialTable" displayName="EEZ660CommercialTable" ref="A1:E9" headerRowCount="1" totalsRowCount="0" totalsRowShown="0">
  <x:autoFilter ref="A1:E9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660FunctionalTable" displayName="EEZ660FunctionalTable" ref="A1:E11" headerRowCount="1" totalsRowCount="0" totalsRowShown="0">
  <x:autoFilter ref="A1:E11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660ValidationTable" displayName="EEZ660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72fbc44559e454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651ef3de538455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a70b87016394cd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d555a7a3ff540b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EEZ_660</x:v>
      </x:c>
      <x:c r="B2" s="24" t="str">
        <x:v>Anguilla (UK)</x:v>
      </x:c>
      <x:c r="C2" s="24" t="str">
        <x:v>EEZ</x:v>
      </x:c>
      <x:c r="D2" s="30" t="n">
        <x:v>2019</x:v>
      </x:c>
      <x:c r="E2" s="24" t="str">
        <x:v>Panulirus argus</x:v>
      </x:c>
      <x:c r="F2" s="24" t="str">
        <x:v>Caribbean spiny lobster</x:v>
      </x:c>
      <x:c r="G2" s="24" t="str">
        <x:v>Lobsters, crabs</x:v>
      </x:c>
      <x:c r="H2" s="24" t="str">
        <x:v>Crustaceans</x:v>
      </x:c>
      <x:c r="I2" s="31" t="n">
        <x:v>168.545673457</x:v>
      </x:c>
      <x:c r="J2" s="31" t="n">
        <x:v>168.545673457</x:v>
      </x:c>
      <x:c r="K2" s="31" t="n">
        <x:v>0</x:v>
      </x:c>
      <x:c r="L2" s="31" t="n">
        <x:v>102.5</x:v>
      </x:c>
      <x:c r="M2" s="31" t="n">
        <x:v>66.04567345699999</x:v>
      </x:c>
      <x:c r="N2" s="24" t="str">
        <x:v>panulirus argus</x:v>
      </x:c>
      <x:c r="O2" s="32" t="n">
        <x:v>3.2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Panulirus argus</x:v>
      </x:c>
      <x:c r="T2" s="32" t="n">
        <x:f>IF(O2="","",(1/'Metadata'!$B$5)^(O2-1))</x:f>
        <x:v>158.48931924611142</x:v>
      </x:c>
      <x:c r="U2" s="31" t="n">
        <x:f>IF(T2="","",I2*T2)</x:f>
        <x:v>26712.689048077318</x:v>
      </x:c>
    </x:row>
    <x:row r="3" ht="18" customHeight="1">
      <x:c r="A3" s="24" t="str">
        <x:v>EEZ_660</x:v>
      </x:c>
      <x:c r="B3" s="24" t="str">
        <x:v>Anguilla (UK)</x:v>
      </x:c>
      <x:c r="C3" s="24" t="str">
        <x:v>EEZ</x:v>
      </x:c>
      <x:c r="D3" s="30" t="n">
        <x:v>2019</x:v>
      </x:c>
      <x:c r="E3" s="24" t="str">
        <x:v>Lutjanidae</x:v>
      </x:c>
      <x:c r="F3" s="24" t="str">
        <x:v>Snappers</x:v>
      </x:c>
      <x:c r="G3" s="24" t="str">
        <x:v>Medium reef assoc. fish (30 - 89 cm)</x:v>
      </x:c>
      <x:c r="H3" s="24" t="str">
        <x:v>Perch-likes</x:v>
      </x:c>
      <x:c r="I3" s="31" t="n">
        <x:v>131.508335227</x:v>
      </x:c>
      <x:c r="J3" s="31" t="n">
        <x:v>131.508335227</x:v>
      </x:c>
      <x:c r="K3" s="31" t="n">
        <x:v>0</x:v>
      </x:c>
      <x:c r="L3" s="31" t="n">
        <x:v>111.292604437</x:v>
      </x:c>
      <x:c r="M3" s="31" t="n">
        <x:v>20.21573079</x:v>
      </x:c>
      <x:c r="N3" s="24" t="str">
        <x:v>lutjanidae</x:v>
      </x:c>
      <x:c r="O3" s="32" t="n">
        <x:v>4.02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Lutjanidae</x:v>
      </x:c>
      <x:c r="T3" s="32" t="n">
        <x:f>IF(O3="","",(1/'Metadata'!$B$5)^(O3-1))</x:f>
        <x:v>1047.1285480508984</x:v>
      </x:c>
      <x:c r="U3" s="31" t="n">
        <x:f>IF(T3="","",I3*T3)</x:f>
        <x:v>137706.13212283934</x:v>
      </x:c>
    </x:row>
    <x:row r="4" ht="18" customHeight="1">
      <x:c r="A4" s="24" t="str">
        <x:v>EEZ_660</x:v>
      </x:c>
      <x:c r="B4" s="24" t="str">
        <x:v>Anguilla (UK)</x:v>
      </x:c>
      <x:c r="C4" s="24" t="str">
        <x:v>EEZ</x:v>
      </x:c>
      <x:c r="D4" s="30" t="n">
        <x:v>2019</x:v>
      </x:c>
      <x:c r="E4" s="24" t="str">
        <x:v>Panulirus</x:v>
      </x:c>
      <x:c r="F4" s="24" t="str">
        <x:v>Spiny lobsters</x:v>
      </x:c>
      <x:c r="G4" s="24" t="str">
        <x:v>Lobsters, crabs</x:v>
      </x:c>
      <x:c r="H4" s="24" t="str">
        <x:v>Crustaceans</x:v>
      </x:c>
      <x:c r="I4" s="31" t="n">
        <x:v>122.5</x:v>
      </x:c>
      <x:c r="J4" s="31" t="n">
        <x:v>122.5</x:v>
      </x:c>
      <x:c r="K4" s="31" t="n">
        <x:v>0</x:v>
      </x:c>
      <x:c r="L4" s="31" t="n">
        <x:v>122.5</x:v>
      </x:c>
      <x:c r="M4" s="31" t="n">
        <x:v>0</x:v>
      </x:c>
      <x:c r="N4" s="24" t="str">
        <x:v>panulirus</x:v>
      </x:c>
      <x:c r="O4" s="32" t="n">
        <x:v>2.6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Panulirus</x:v>
      </x:c>
      <x:c r="T4" s="32" t="n">
        <x:f>IF(O4="","",(1/'Metadata'!$B$5)^(O4-1))</x:f>
        <x:v>39.810717055349734</x:v>
      </x:c>
      <x:c r="U4" s="31" t="n">
        <x:f>IF(T4="","",I4*T4)</x:f>
        <x:v>4876.812839280343</x:v>
      </x:c>
    </x:row>
    <x:row r="5" ht="18" customHeight="1">
      <x:c r="A5" s="24" t="str">
        <x:v>EEZ_660</x:v>
      </x:c>
      <x:c r="B5" s="24" t="str">
        <x:v>Anguilla (UK)</x:v>
      </x:c>
      <x:c r="C5" s="24" t="str">
        <x:v>EEZ</x:v>
      </x:c>
      <x:c r="D5" s="30" t="n">
        <x:v>2019</x:v>
      </x:c>
      <x:c r="E5" s="24" t="str">
        <x:v>Serranidae</x:v>
      </x:c>
      <x:c r="F5" s="24" t="str">
        <x:v>Basses, groupers, hinds</x:v>
      </x:c>
      <x:c r="G5" s="24" t="str">
        <x:v>Medium reef assoc. fish (30 - 89 cm)</x:v>
      </x:c>
      <x:c r="H5" s="24" t="str">
        <x:v>Perch-likes</x:v>
      </x:c>
      <x:c r="I5" s="31" t="n">
        <x:v>105.83247073000001</x:v>
      </x:c>
      <x:c r="J5" s="31" t="n">
        <x:v>105.83247073000001</x:v>
      </x:c>
      <x:c r="K5" s="31" t="n">
        <x:v>0</x:v>
      </x:c>
      <x:c r="L5" s="31" t="n">
        <x:v>78.92358462</x:v>
      </x:c>
      <x:c r="M5" s="31" t="n">
        <x:v>26.90888611</x:v>
      </x:c>
      <x:c r="N5" s="24" t="str">
        <x:v>serranidae</x:v>
      </x:c>
      <x:c r="O5" s="32" t="n">
        <x:v>3.98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Serranidae</x:v>
      </x:c>
      <x:c r="T5" s="32" t="n">
        <x:f>IF(O5="","",(1/'Metadata'!$B$5)^(O5-1))</x:f>
        <x:v>954.992586021436</x:v>
      </x:c>
      <x:c r="U5" s="31" t="n">
        <x:f>IF(T5="","",I5*T5)</x:f>
        <x:v>101069.22490748065</x:v>
      </x:c>
    </x:row>
    <x:row r="6" ht="18" customHeight="1">
      <x:c r="A6" s="24" t="str">
        <x:v>EEZ_660</x:v>
      </x:c>
      <x:c r="B6" s="24" t="str">
        <x:v>Anguilla (UK)</x:v>
      </x:c>
      <x:c r="C6" s="24" t="str">
        <x:v>EEZ</x:v>
      </x:c>
      <x:c r="D6" s="30" t="n">
        <x:v>2019</x:v>
      </x:c>
      <x:c r="E6" s="24" t="str">
        <x:v>Aliger gigas</x:v>
      </x:c>
      <x:c r="F6" s="24" t="str">
        <x:v>Pink conch</x:v>
      </x:c>
      <x:c r="G6" s="24" t="str">
        <x:v>Other demersal invertebrates</x:v>
      </x:c>
      <x:c r="H6" s="24" t="str">
        <x:v>Molluscs</x:v>
      </x:c>
      <x:c r="I6" s="31" t="n">
        <x:v>80</x:v>
      </x:c>
      <x:c r="J6" s="31" t="n">
        <x:v>80</x:v>
      </x:c>
      <x:c r="K6" s="31" t="n">
        <x:v>0</x:v>
      </x:c>
      <x:c r="L6" s="31" t="n">
        <x:v>80</x:v>
      </x:c>
      <x:c r="M6" s="31" t="n">
        <x:v>0</x:v>
      </x:c>
      <x:c r="N6" s="24" t="str">
        <x:v>aliger gigas</x:v>
      </x:c>
      <x:c r="O6" s="32" t="n">
        <x:v>2.19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Aliger gigas</x:v>
      </x:c>
      <x:c r="T6" s="32" t="n">
        <x:f>IF(O6="","",(1/'Metadata'!$B$5)^(O6-1))</x:f>
        <x:v>15.488166189124811</x:v>
      </x:c>
      <x:c r="U6" s="31" t="n">
        <x:f>IF(T6="","",I6*T6)</x:f>
        <x:v>1239.053295129985</x:v>
      </x:c>
    </x:row>
    <x:row r="7" ht="18" customHeight="1">
      <x:c r="A7" s="24" t="str">
        <x:v>EEZ_660</x:v>
      </x:c>
      <x:c r="B7" s="24" t="str">
        <x:v>Anguilla (UK)</x:v>
      </x:c>
      <x:c r="C7" s="24" t="str">
        <x:v>EEZ</x:v>
      </x:c>
      <x:c r="D7" s="30" t="n">
        <x:v>2019</x:v>
      </x:c>
      <x:c r="E7" s="24" t="str">
        <x:v>Marine fishes not identified</x:v>
      </x:c>
      <x:c r="F7" s="24" t="str">
        <x:v>Marine fishes nei</x:v>
      </x:c>
      <x:c r="G7" s="24" t="str">
        <x:v>Medium demersals (30 - 89 cm)</x:v>
      </x:c>
      <x:c r="H7" s="24" t="str">
        <x:v>Other fishes &amp; inverts</x:v>
      </x:c>
      <x:c r="I7" s="31" t="n">
        <x:v>65.577084378</x:v>
      </x:c>
      <x:c r="J7" s="31" t="n">
        <x:v>65.577084378</x:v>
      </x:c>
      <x:c r="K7" s="31" t="n">
        <x:v>0</x:v>
      </x:c>
      <x:c r="L7" s="31" t="n">
        <x:v>48.903503138</x:v>
      </x:c>
      <x:c r="M7" s="31" t="n">
        <x:v>16.67358124</x:v>
      </x:c>
      <x:c r="N7" s="24" t="str">
        <x:v>marine fishes not identified</x:v>
      </x:c>
      <x:c r="O7" s="32" t="n">
        <x:v>3.28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Marine fishes not identified</x:v>
      </x:c>
      <x:c r="T7" s="32" t="n">
        <x:f>IF(O7="","",(1/'Metadata'!$B$5)^(O7-1))</x:f>
        <x:v>190.54607179632464</x:v>
      </x:c>
      <x:c r="U7" s="31" t="n">
        <x:f>IF(T7="","",I7*T7)</x:f>
        <x:v>12495.455828084027</x:v>
      </x:c>
    </x:row>
    <x:row r="8" ht="18" customHeight="1">
      <x:c r="A8" s="24" t="str">
        <x:v>EEZ_660</x:v>
      </x:c>
      <x:c r="B8" s="24" t="str">
        <x:v>Anguilla (UK)</x:v>
      </x:c>
      <x:c r="C8" s="24" t="str">
        <x:v>EEZ</x:v>
      </x:c>
      <x:c r="D8" s="30" t="n">
        <x:v>2019</x:v>
      </x:c>
      <x:c r="E8" s="24" t="str">
        <x:v>Haemulidae</x:v>
      </x:c>
      <x:c r="F8" s="24" t="str">
        <x:v>Grunts, sweetlips, bonnetmouths</x:v>
      </x:c>
      <x:c r="G8" s="24" t="str">
        <x:v>Medium demersals (30 - 89 cm)</x:v>
      </x:c>
      <x:c r="H8" s="24" t="str">
        <x:v>Perch-likes</x:v>
      </x:c>
      <x:c r="I8" s="31" t="n">
        <x:v>52.926093584</x:v>
      </x:c>
      <x:c r="J8" s="31" t="n">
        <x:v>52.926093584</x:v>
      </x:c>
      <x:c r="K8" s="31" t="n">
        <x:v>0</x:v>
      </x:c>
      <x:c r="L8" s="31" t="n">
        <x:v>39.46914399</x:v>
      </x:c>
      <x:c r="M8" s="31" t="n">
        <x:v>13.456949594</x:v>
      </x:c>
      <x:c r="N8" s="24" t="str">
        <x:v>haemulidae</x:v>
      </x:c>
      <x:c r="O8" s="32" t="n">
        <x:v>3.36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Haemulidae</x:v>
      </x:c>
      <x:c r="T8" s="32" t="n">
        <x:f>IF(O8="","",(1/'Metadata'!$B$5)^(O8-1))</x:f>
        <x:v>229.08676527677724</x:v>
      </x:c>
      <x:c r="U8" s="31" t="n">
        <x:f>IF(T8="","",I8*T8)</x:f>
        <x:v>12124.667577894554</x:v>
      </x:c>
    </x:row>
    <x:row r="9" ht="18" customHeight="1">
      <x:c r="A9" s="24" t="str">
        <x:v>EEZ_660</x:v>
      </x:c>
      <x:c r="B9" s="24" t="str">
        <x:v>Anguilla (UK)</x:v>
      </x:c>
      <x:c r="C9" s="24" t="str">
        <x:v>EEZ</x:v>
      </x:c>
      <x:c r="D9" s="30" t="n">
        <x:v>2019</x:v>
      </x:c>
      <x:c r="E9" s="24" t="str">
        <x:v>Panulirus guttatus</x:v>
      </x:c>
      <x:c r="F9" s="24" t="str">
        <x:v>Spotted spiny lobster</x:v>
      </x:c>
      <x:c r="G9" s="24" t="str">
        <x:v>Lobsters, crabs</x:v>
      </x:c>
      <x:c r="H9" s="24" t="str">
        <x:v>Crustaceans</x:v>
      </x:c>
      <x:c r="I9" s="31" t="n">
        <x:v>51.745184019</x:v>
      </x:c>
      <x:c r="J9" s="31" t="n">
        <x:v>51.745184019</x:v>
      </x:c>
      <x:c r="K9" s="31" t="n">
        <x:v>0</x:v>
      </x:c>
      <x:c r="L9" s="31" t="n">
        <x:v>0</x:v>
      </x:c>
      <x:c r="M9" s="31" t="n">
        <x:v>51.745184019</x:v>
      </x:c>
      <x:c r="N9" s="24" t="str">
        <x:v>panulirus guttatus</x:v>
      </x:c>
      <x:c r="O9" s="32" t="n">
        <x:v>3.14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Panulirus guttatus</x:v>
      </x:c>
      <x:c r="T9" s="32" t="n">
        <x:f>IF(O9="","",(1/'Metadata'!$B$5)^(O9-1))</x:f>
        <x:v>138.03842646028852</x:v>
      </x:c>
      <x:c r="U9" s="31" t="n">
        <x:f>IF(T9="","",I9*T9)</x:f>
        <x:v>7142.823778880828</x:v>
      </x:c>
    </x:row>
    <x:row r="10" ht="18" customHeight="1">
      <x:c r="A10" s="24" t="str">
        <x:v>EEZ_660</x:v>
      </x:c>
      <x:c r="B10" s="24" t="str">
        <x:v>Anguilla (UK)</x:v>
      </x:c>
      <x:c r="C10" s="24" t="str">
        <x:v>EEZ</x:v>
      </x:c>
      <x:c r="D10" s="30" t="n">
        <x:v>2019</x:v>
      </x:c>
      <x:c r="E10" s="24" t="str">
        <x:v>Carangidae</x:v>
      </x:c>
      <x:c r="F10" s="24" t="str">
        <x:v>Jacks, pompanos</x:v>
      </x:c>
      <x:c r="G10" s="24" t="str">
        <x:v>Medium pelagics (30 - 89 cm)</x:v>
      </x:c>
      <x:c r="H10" s="24" t="str">
        <x:v>Perch-likes</x:v>
      </x:c>
      <x:c r="I10" s="31" t="n">
        <x:v>28.902508097</x:v>
      </x:c>
      <x:c r="J10" s="31" t="n">
        <x:v>28.902508097</x:v>
      </x:c>
      <x:c r="K10" s="31" t="n">
        <x:v>0</x:v>
      </x:c>
      <x:c r="L10" s="31" t="n">
        <x:v>21.553777662</x:v>
      </x:c>
      <x:c r="M10" s="31" t="n">
        <x:v>7.348730434999999</x:v>
      </x:c>
      <x:c r="N10" s="24" t="str">
        <x:v>carangidae</x:v>
      </x:c>
      <x:c r="O10" s="32" t="n">
        <x:v>4.05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Carangidae</x:v>
      </x:c>
      <x:c r="T10" s="32" t="n">
        <x:f>IF(O10="","",(1/'Metadata'!$B$5)^(O10-1))</x:f>
        <x:v>1122.018454301963</x:v>
      </x:c>
      <x:c r="U10" s="31" t="n">
        <x:f>IF(T10="","",I10*T10)</x:f>
        <x:v>32429.147460445907</x:v>
      </x:c>
    </x:row>
    <x:row r="11" ht="18" customHeight="1">
      <x:c r="A11" s="24" t="str">
        <x:v>EEZ_660</x:v>
      </x:c>
      <x:c r="B11" s="24" t="str">
        <x:v>Anguilla (UK)</x:v>
      </x:c>
      <x:c r="C11" s="24" t="str">
        <x:v>EEZ</x:v>
      </x:c>
      <x:c r="D11" s="30" t="n">
        <x:v>2019</x:v>
      </x:c>
      <x:c r="E11" s="24" t="str">
        <x:v>Clupeidae</x:v>
      </x:c>
      <x:c r="F11" s="24" t="str">
        <x:v>Herrings, sardines, menhadens</x:v>
      </x:c>
      <x:c r="G11" s="24" t="str">
        <x:v>Small pelagics (&lt;30 cm)</x:v>
      </x:c>
      <x:c r="H11" s="24" t="str">
        <x:v>Herring-likes</x:v>
      </x:c>
      <x:c r="I11" s="31" t="n">
        <x:v>27.567167414</x:v>
      </x:c>
      <x:c r="J11" s="31" t="n">
        <x:v>27.567167414</x:v>
      </x:c>
      <x:c r="K11" s="31" t="n">
        <x:v>0</x:v>
      </x:c>
      <x:c r="L11" s="31" t="n">
        <x:v>20.55795972</x:v>
      </x:c>
      <x:c r="M11" s="31" t="n">
        <x:v>7.0092076940000005</x:v>
      </x:c>
      <x:c r="N11" s="24" t="str">
        <x:v>clupeidae</x:v>
      </x:c>
      <x:c r="O11" s="32" t="n">
        <x:v>3.16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Clupeidae</x:v>
      </x:c>
      <x:c r="T11" s="32" t="n">
        <x:f>IF(O11="","",(1/'Metadata'!$B$5)^(O11-1))</x:f>
        <x:v>144.5439770745928</x:v>
      </x:c>
      <x:c r="U11" s="31" t="n">
        <x:f>IF(T11="","",I11*T11)</x:f>
        <x:v>3984.6680147006773</x:v>
      </x:c>
    </x:row>
    <x:row r="12" ht="18" customHeight="1">
      <x:c r="A12" s="24" t="str">
        <x:v>EEZ_660</x:v>
      </x:c>
      <x:c r="B12" s="24" t="str">
        <x:v>Anguilla (UK)</x:v>
      </x:c>
      <x:c r="C12" s="24" t="str">
        <x:v>EEZ</x:v>
      </x:c>
      <x:c r="D12" s="30" t="n">
        <x:v>2019</x:v>
      </x:c>
      <x:c r="E12" s="24" t="str">
        <x:v>Engraulidae</x:v>
      </x:c>
      <x:c r="F12" s="24" t="str">
        <x:v>Anchovies, round herrings</x:v>
      </x:c>
      <x:c r="G12" s="24" t="str">
        <x:v>Small pelagics (&lt;30 cm)</x:v>
      </x:c>
      <x:c r="H12" s="24" t="str">
        <x:v>Anchovies</x:v>
      </x:c>
      <x:c r="I12" s="31" t="n">
        <x:v>27.567167414</x:v>
      </x:c>
      <x:c r="J12" s="31" t="n">
        <x:v>27.567167414</x:v>
      </x:c>
      <x:c r="K12" s="31" t="n">
        <x:v>0</x:v>
      </x:c>
      <x:c r="L12" s="31" t="n">
        <x:v>20.55795972</x:v>
      </x:c>
      <x:c r="M12" s="31" t="n">
        <x:v>7.0092076940000005</x:v>
      </x:c>
      <x:c r="N12" s="24" t="str">
        <x:v>engraulidae</x:v>
      </x:c>
      <x:c r="O12" s="32" t="n">
        <x:v>3.2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Engraulidae</x:v>
      </x:c>
      <x:c r="T12" s="32" t="n">
        <x:f>IF(O12="","",(1/'Metadata'!$B$5)^(O12-1))</x:f>
        <x:v>158.48931924611142</x:v>
      </x:c>
      <x:c r="U12" s="31" t="n">
        <x:f>IF(T12="","",I12*T12)</x:f>
        <x:v>4369.101596988446</x:v>
      </x:c>
    </x:row>
    <x:row r="13" ht="18" customHeight="1">
      <x:c r="A13" s="24" t="str">
        <x:v>EEZ_660</x:v>
      </x:c>
      <x:c r="B13" s="24" t="str">
        <x:v>Anguilla (UK)</x:v>
      </x:c>
      <x:c r="C13" s="24" t="str">
        <x:v>EEZ</x:v>
      </x:c>
      <x:c r="D13" s="30" t="n">
        <x:v>2019</x:v>
      </x:c>
      <x:c r="E13" s="24" t="str">
        <x:v>Mullidae</x:v>
      </x:c>
      <x:c r="F13" s="24" t="str">
        <x:v>Goatfishes</x:v>
      </x:c>
      <x:c r="G13" s="24" t="str">
        <x:v>Medium reef assoc. fish (30 - 89 cm)</x:v>
      </x:c>
      <x:c r="H13" s="24" t="str">
        <x:v>Perch-likes</x:v>
      </x:c>
      <x:c r="I13" s="31" t="n">
        <x:v>26.568798604</x:v>
      </x:c>
      <x:c r="J13" s="31" t="n">
        <x:v>26.568798604</x:v>
      </x:c>
      <x:c r="K13" s="31" t="n">
        <x:v>0</x:v>
      </x:c>
      <x:c r="L13" s="31" t="n">
        <x:v>19.813435427</x:v>
      </x:c>
      <x:c r="M13" s="31" t="n">
        <x:v>6.7553631769999996</x:v>
      </x:c>
      <x:c r="N13" s="24" t="str">
        <x:v>mullidae</x:v>
      </x:c>
      <x:c r="O13" s="32" t="n">
        <x:v>3.46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Mullidae</x:v>
      </x:c>
      <x:c r="T13" s="32" t="n">
        <x:f>IF(O13="","",(1/'Metadata'!$B$5)^(O13-1))</x:f>
        <x:v>288.40315031266056</x:v>
      </x:c>
      <x:c r="U13" s="31" t="n">
        <x:f>IF(T13="","",I13*T13)</x:f>
        <x:v>7662.525217416219</x:v>
      </x:c>
    </x:row>
    <x:row r="14" ht="18" customHeight="1">
      <x:c r="A14" s="24" t="str">
        <x:v>EEZ_660</x:v>
      </x:c>
      <x:c r="B14" s="24" t="str">
        <x:v>Anguilla (UK)</x:v>
      </x:c>
      <x:c r="C14" s="24" t="str">
        <x:v>EEZ</x:v>
      </x:c>
      <x:c r="D14" s="30" t="n">
        <x:v>2019</x:v>
      </x:c>
      <x:c r="E14" s="24" t="str">
        <x:v>Acanthuridae</x:v>
      </x:c>
      <x:c r="F14" s="24" t="str">
        <x:v>Surgeons, tangs, unicornfishes</x:v>
      </x:c>
      <x:c r="G14" s="24" t="str">
        <x:v>Small reef assoc. fish (&lt;30 cm)</x:v>
      </x:c>
      <x:c r="H14" s="24" t="str">
        <x:v>Perch-likes</x:v>
      </x:c>
      <x:c r="I14" s="31" t="n">
        <x:v>26.529365724999998</x:v>
      </x:c>
      <x:c r="J14" s="31" t="n">
        <x:v>26.529365724999998</x:v>
      </x:c>
      <x:c r="K14" s="31" t="n">
        <x:v>0</x:v>
      </x:c>
      <x:c r="L14" s="31" t="n">
        <x:v>19.784028723</x:v>
      </x:c>
      <x:c r="M14" s="31" t="n">
        <x:v>6.745337002</x:v>
      </x:c>
      <x:c r="N14" s="24" t="str">
        <x:v>acanthuridae</x:v>
      </x:c>
      <x:c r="O14" s="32" t="n">
        <x:v>2.28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Acanthuridae</x:v>
      </x:c>
      <x:c r="T14" s="32" t="n">
        <x:f>IF(O14="","",(1/'Metadata'!$B$5)^(O14-1))</x:f>
        <x:v>19.054607179632463</x:v>
      </x:c>
      <x:c r="U14" s="31" t="n">
        <x:f>IF(T14="","",I14*T14)</x:f>
        <x:v>505.50664261468035</x:v>
      </x:c>
    </x:row>
    <x:row r="15" ht="18" customHeight="1">
      <x:c r="A15" s="24" t="str">
        <x:v>EEZ_660</x:v>
      </x:c>
      <x:c r="B15" s="24" t="str">
        <x:v>Anguilla (UK)</x:v>
      </x:c>
      <x:c r="C15" s="24" t="str">
        <x:v>EEZ</x:v>
      </x:c>
      <x:c r="D15" s="30" t="n">
        <x:v>2019</x:v>
      </x:c>
      <x:c r="E15" s="24" t="str">
        <x:v>Decapterus</x:v>
      </x:c>
      <x:c r="F15" s="24" t="str">
        <x:v>Scads</x:v>
      </x:c>
      <x:c r="G15" s="24" t="str">
        <x:v>Medium pelagics (30 - 89 cm)</x:v>
      </x:c>
      <x:c r="H15" s="24" t="str">
        <x:v>Perch-likes</x:v>
      </x:c>
      <x:c r="I15" s="31" t="n">
        <x:v>26.513234092999998</x:v>
      </x:c>
      <x:c r="J15" s="31" t="n">
        <x:v>26.513234092999998</x:v>
      </x:c>
      <x:c r="K15" s="31" t="n">
        <x:v>0</x:v>
      </x:c>
      <x:c r="L15" s="31" t="n">
        <x:v>19.771998707999998</x:v>
      </x:c>
      <x:c r="M15" s="31" t="n">
        <x:v>6.741235385</x:v>
      </x:c>
      <x:c r="N15" s="24" t="str">
        <x:v>decapterus</x:v>
      </x:c>
      <x:c r="O15" s="32" t="n">
        <x:v>3.63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Decapterus</x:v>
      </x:c>
      <x:c r="T15" s="32" t="n">
        <x:f>IF(O15="","",(1/'Metadata'!$B$5)^(O15-1))</x:f>
        <x:v>426.57951880159254</x:v>
      </x:c>
      <x:c r="U15" s="31" t="n">
        <x:f>IF(T15="","",I15*T15)</x:f>
        <x:v>11310.002641265917</x:v>
      </x:c>
    </x:row>
    <x:row r="16" ht="18" customHeight="1">
      <x:c r="A16" s="24" t="str">
        <x:v>EEZ_660</x:v>
      </x:c>
      <x:c r="B16" s="24" t="str">
        <x:v>Anguilla (UK)</x:v>
      </x:c>
      <x:c r="C16" s="24" t="str">
        <x:v>EEZ</x:v>
      </x:c>
      <x:c r="D16" s="30" t="n">
        <x:v>2019</x:v>
      </x:c>
      <x:c r="E16" s="24" t="str">
        <x:v>Holocentridae</x:v>
      </x:c>
      <x:c r="F16" s="24" t="str">
        <x:v>Squirrel-, soldierfishes</x:v>
      </x:c>
      <x:c r="G16" s="24" t="str">
        <x:v>Small reef assoc. fish (&lt;30 cm)</x:v>
      </x:c>
      <x:c r="H16" s="24" t="str">
        <x:v>Other fishes &amp; inverts</x:v>
      </x:c>
      <x:c r="I16" s="31" t="n">
        <x:v>26.465735397</x:v>
      </x:c>
      <x:c r="J16" s="31" t="n">
        <x:v>26.465735397</x:v>
      </x:c>
      <x:c r="K16" s="31" t="n">
        <x:v>0</x:v>
      </x:c>
      <x:c r="L16" s="31" t="n">
        <x:v>19.736576995</x:v>
      </x:c>
      <x:c r="M16" s="31" t="n">
        <x:v>6.7291584019999995</x:v>
      </x:c>
      <x:c r="N16" s="24" t="str">
        <x:v>holocentridae</x:v>
      </x:c>
      <x:c r="O16" s="32" t="n">
        <x:v>3.49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Holocentridae</x:v>
      </x:c>
      <x:c r="T16" s="32" t="n">
        <x:f>IF(O16="","",(1/'Metadata'!$B$5)^(O16-1))</x:f>
        <x:v>309.0295432513592</x:v>
      </x:c>
      <x:c r="U16" s="31" t="n">
        <x:f>IF(T16="","",I16*T16)</x:f>
        <x:v>8178.694121546239</x:v>
      </x:c>
    </x:row>
    <x:row r="17" ht="18" customHeight="1">
      <x:c r="A17" s="24" t="str">
        <x:v>EEZ_660</x:v>
      </x:c>
      <x:c r="B17" s="24" t="str">
        <x:v>Anguilla (UK)</x:v>
      </x:c>
      <x:c r="C17" s="24" t="str">
        <x:v>EEZ</x:v>
      </x:c>
      <x:c r="D17" s="30" t="n">
        <x:v>2019</x:v>
      </x:c>
      <x:c r="E17" s="24" t="str">
        <x:v>Sparidae</x:v>
      </x:c>
      <x:c r="F17" s="24" t="str">
        <x:v>Porgies, seabreams</x:v>
      </x:c>
      <x:c r="G17" s="24" t="str">
        <x:v>Medium benthopelagics (30 - 89 cm)</x:v>
      </x:c>
      <x:c r="H17" s="24" t="str">
        <x:v>Perch-likes</x:v>
      </x:c>
      <x:c r="I17" s="31" t="n">
        <x:v>26.444226555</x:v>
      </x:c>
      <x:c r="J17" s="31" t="n">
        <x:v>26.444226555</x:v>
      </x:c>
      <x:c r="K17" s="31" t="n">
        <x:v>0</x:v>
      </x:c>
      <x:c r="L17" s="31" t="n">
        <x:v>19.720536977</x:v>
      </x:c>
      <x:c r="M17" s="31" t="n">
        <x:v>6.723689578</x:v>
      </x:c>
      <x:c r="N17" s="24" t="str">
        <x:v>sparidae</x:v>
      </x:c>
      <x:c r="O17" s="32" t="n">
        <x:v>3.31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Sparidae</x:v>
      </x:c>
      <x:c r="T17" s="32" t="n">
        <x:f>IF(O17="","",(1/'Metadata'!$B$5)^(O17-1))</x:f>
        <x:v>204.17379446695296</x:v>
      </x:c>
      <x:c r="U17" s="31" t="n">
        <x:f>IF(T17="","",I17*T17)</x:f>
        <x:v>5399.218077478109</x:v>
      </x:c>
    </x:row>
    <x:row r="18" ht="18" customHeight="1">
      <x:c r="A18" s="24" t="str">
        <x:v>EEZ_660</x:v>
      </x:c>
      <x:c r="B18" s="24" t="str">
        <x:v>Anguilla (UK)</x:v>
      </x:c>
      <x:c r="C18" s="24" t="str">
        <x:v>EEZ</x:v>
      </x:c>
      <x:c r="D18" s="30" t="n">
        <x:v>2019</x:v>
      </x:c>
      <x:c r="E18" s="24" t="str">
        <x:v>Scombridae</x:v>
      </x:c>
      <x:c r="F18" s="24" t="str">
        <x:v>Mackerels, tunas, bonitos</x:v>
      </x:c>
      <x:c r="G18" s="24" t="str">
        <x:v>Medium pelagics (30 - 89 cm)</x:v>
      </x:c>
      <x:c r="H18" s="24" t="str">
        <x:v>Perch-likes</x:v>
      </x:c>
      <x:c r="I18" s="31" t="n">
        <x:v>12.055217161</x:v>
      </x:c>
      <x:c r="J18" s="31" t="n">
        <x:v>12.055217161</x:v>
      </x:c>
      <x:c r="K18" s="31" t="n">
        <x:v>0</x:v>
      </x:c>
      <x:c r="L18" s="31" t="n">
        <x:v>8.736464546</x:v>
      </x:c>
      <x:c r="M18" s="31" t="n">
        <x:v>3.318752615</x:v>
      </x:c>
      <x:c r="N18" s="24" t="str">
        <x:v>scombridae</x:v>
      </x:c>
      <x:c r="O18" s="32" t="n">
        <x:v>4.26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Scombridae</x:v>
      </x:c>
      <x:c r="T18" s="32" t="n">
        <x:f>IF(O18="","",(1/'Metadata'!$B$5)^(O18-1))</x:f>
        <x:v>1819.7008586099826</x:v>
      </x:c>
      <x:c r="U18" s="31" t="n">
        <x:f>IF(T18="","",I18*T18)</x:f>
        <x:v>21936.889018601498</x:v>
      </x:c>
    </x:row>
    <x:row r="19" ht="18" customHeight="1">
      <x:c r="A19" s="24" t="str">
        <x:v>EEZ_660</x:v>
      </x:c>
      <x:c r="B19" s="24" t="str">
        <x:v>Anguilla (UK)</x:v>
      </x:c>
      <x:c r="C19" s="24" t="str">
        <x:v>EEZ</x:v>
      </x:c>
      <x:c r="D19" s="30" t="n">
        <x:v>2019</x:v>
      </x:c>
      <x:c r="E19" s="24" t="str">
        <x:v>Coryphaena</x:v>
      </x:c>
      <x:c r="F19" s="24" t="str">
        <x:v>Dolphinfishes</x:v>
      </x:c>
      <x:c r="G19" s="24" t="str">
        <x:v>Large pelagics (&gt;=90 cm)</x:v>
      </x:c>
      <x:c r="H19" s="24" t="str">
        <x:v>Perch-likes</x:v>
      </x:c>
      <x:c r="I19" s="31" t="n">
        <x:v>6.258256651</x:v>
      </x:c>
      <x:c r="J19" s="31" t="n">
        <x:v>6.258256651</x:v>
      </x:c>
      <x:c r="K19" s="31" t="n">
        <x:v>0</x:v>
      </x:c>
      <x:c r="L19" s="31" t="n">
        <x:v>2.022379262</x:v>
      </x:c>
      <x:c r="M19" s="31" t="n">
        <x:v>4.235877389</x:v>
      </x:c>
      <x:c r="N19" s="24" t="str">
        <x:v>coryphaena</x:v>
      </x:c>
      <x:c r="O19" s="32" t="n">
        <x:v>4.49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Coryphaena</x:v>
      </x:c>
      <x:c r="T19" s="32" t="n">
        <x:f>IF(O19="","",(1/'Metadata'!$B$5)^(O19-1))</x:f>
        <x:v>3090.295432513592</x:v>
      </x:c>
      <x:c r="U19" s="31" t="n">
        <x:f>IF(T19="","",I19*T19)</x:f>
        <x:v>19339.86194408311</x:v>
      </x:c>
    </x:row>
    <x:row r="20" ht="18" customHeight="1">
      <x:c r="A20" s="24" t="str">
        <x:v>EEZ_660</x:v>
      </x:c>
      <x:c r="B20" s="24" t="str">
        <x:v>Anguilla (UK)</x:v>
      </x:c>
      <x:c r="C20" s="24" t="str">
        <x:v>EEZ</x:v>
      </x:c>
      <x:c r="D20" s="30" t="n">
        <x:v>2019</x:v>
      </x:c>
      <x:c r="E20" s="24" t="str">
        <x:v>Acanthocybium solandri</x:v>
      </x:c>
      <x:c r="F20" s="24" t="str">
        <x:v>Wahoo</x:v>
      </x:c>
      <x:c r="G20" s="24" t="str">
        <x:v>Large pelagics (&gt;=90 cm)</x:v>
      </x:c>
      <x:c r="H20" s="24" t="str">
        <x:v>Perch-likes</x:v>
      </x:c>
      <x:c r="I20" s="31" t="n">
        <x:v>6.212550359</x:v>
      </x:c>
      <x:c r="J20" s="31" t="n">
        <x:v>6.212550359</x:v>
      </x:c>
      <x:c r="K20" s="31" t="n">
        <x:v>0</x:v>
      </x:c>
      <x:c r="L20" s="31" t="n">
        <x:v>1.988294218</x:v>
      </x:c>
      <x:c r="M20" s="31" t="n">
        <x:v>4.224256141</x:v>
      </x:c>
      <x:c r="N20" s="24" t="str">
        <x:v>acanthocybium solandri</x:v>
      </x:c>
      <x:c r="O20" s="32" t="n">
        <x:v>4.26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Acanthocybium solandri</x:v>
      </x:c>
      <x:c r="T20" s="32" t="n">
        <x:f>IF(O20="","",(1/'Metadata'!$B$5)^(O20-1))</x:f>
        <x:v>1819.7008586099826</x:v>
      </x:c>
      <x:c r="U20" s="31" t="n">
        <x:f>IF(T20="","",I20*T20)</x:f>
        <x:v>11304.983222430055</x:v>
      </x:c>
    </x:row>
    <x:row r="21" ht="18" customHeight="1">
      <x:c r="A21" s="24" t="str">
        <x:v>EEZ_660</x:v>
      </x:c>
      <x:c r="B21" s="24" t="str">
        <x:v>Anguilla (UK)</x:v>
      </x:c>
      <x:c r="C21" s="24" t="str">
        <x:v>EEZ</x:v>
      </x:c>
      <x:c r="D21" s="30" t="n">
        <x:v>2019</x:v>
      </x:c>
      <x:c r="E21" s="24" t="str">
        <x:v>Istiophoridae</x:v>
      </x:c>
      <x:c r="F21" s="24" t="str">
        <x:v>Billfishes</x:v>
      </x:c>
      <x:c r="G21" s="24" t="str">
        <x:v>Large pelagics (&gt;=90 cm)</x:v>
      </x:c>
      <x:c r="H21" s="24" t="str">
        <x:v>Tuna &amp; billfishes</x:v>
      </x:c>
      <x:c r="I21" s="31" t="n">
        <x:v>3.54635</x:v>
      </x:c>
      <x:c r="J21" s="31" t="n">
        <x:v>3.54635</x:v>
      </x:c>
      <x:c r="K21" s="31" t="n">
        <x:v>0</x:v>
      </x:c>
      <x:c r="L21" s="31" t="n">
        <x:v>0</x:v>
      </x:c>
      <x:c r="M21" s="31" t="n">
        <x:v>3.54635</x:v>
      </x:c>
      <x:c r="N21" s="24" t="str">
        <x:v>istiophoridae</x:v>
      </x:c>
      <x:c r="O21" s="32" t="n">
        <x:v>4.48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Istiophoridae</x:v>
      </x:c>
      <x:c r="T21" s="32" t="n">
        <x:f>IF(O21="","",(1/'Metadata'!$B$5)^(O21-1))</x:f>
        <x:v>3019.951720402019</x:v>
      </x:c>
      <x:c r="U21" s="31" t="n">
        <x:f>IF(T21="","",I21*T21)</x:f>
        <x:v>10709.8057836477</x:v>
      </x:c>
    </x:row>
    <x:row r="22" ht="18" customHeight="1">
      <x:c r="A22" s="24" t="str">
        <x:v>EEZ_660</x:v>
      </x:c>
      <x:c r="B22" s="24" t="str">
        <x:v>Anguilla (UK)</x:v>
      </x:c>
      <x:c r="C22" s="24" t="str">
        <x:v>EEZ</x:v>
      </x:c>
      <x:c r="D22" s="30" t="n">
        <x:v>2019</x:v>
      </x:c>
      <x:c r="E22" s="24" t="str">
        <x:v>Thunnus</x:v>
      </x:c>
      <x:c r="F22" s="24" t="str">
        <x:v>Tunas</x:v>
      </x:c>
      <x:c r="G22" s="24" t="str">
        <x:v>Large pelagics (&gt;=90 cm)</x:v>
      </x:c>
      <x:c r="H22" s="24" t="str">
        <x:v>Tuna &amp; billfishes</x:v>
      </x:c>
      <x:c r="I22" s="31" t="n">
        <x:v>3.54635</x:v>
      </x:c>
      <x:c r="J22" s="31" t="n">
        <x:v>3.54635</x:v>
      </x:c>
      <x:c r="K22" s="31" t="n">
        <x:v>0</x:v>
      </x:c>
      <x:c r="L22" s="31" t="n">
        <x:v>0</x:v>
      </x:c>
      <x:c r="M22" s="31" t="n">
        <x:v>3.54635</x:v>
      </x:c>
      <x:c r="N22" s="24" t="str">
        <x:v>thunnus</x:v>
      </x:c>
      <x:c r="O22" s="32" t="n">
        <x:v>4.34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Thunnus</x:v>
      </x:c>
      <x:c r="T22" s="32" t="n">
        <x:f>IF(O22="","",(1/'Metadata'!$B$5)^(O22-1))</x:f>
        <x:v>2187.761623949552</x:v>
      </x:c>
      <x:c r="U22" s="31" t="n">
        <x:f>IF(T22="","",I22*T22)</x:f>
        <x:v>7758.5684350934935</x:v>
      </x:c>
    </x:row>
    <x:row r="23" ht="18" customHeight="1">
      <x:c r="A23" s="24" t="str">
        <x:v>EEZ_660</x:v>
      </x:c>
      <x:c r="B23" s="24" t="str">
        <x:v>Anguilla (UK)</x:v>
      </x:c>
      <x:c r="C23" s="24" t="str">
        <x:v>EEZ</x:v>
      </x:c>
      <x:c r="D23" s="30" t="n">
        <x:v>2019</x:v>
      </x:c>
      <x:c r="E23" s="24" t="str">
        <x:v>Dasyatidae</x:v>
      </x:c>
      <x:c r="F23" s="24" t="str">
        <x:v>Whiptail stingrays</x:v>
      </x:c>
      <x:c r="G23" s="24" t="str">
        <x:v>Large rays (&gt;=90 cm)</x:v>
      </x:c>
      <x:c r="H23" s="24" t="str">
        <x:v>Sharks &amp; rays</x:v>
      </x:c>
      <x:c r="I23" s="31" t="n">
        <x:v>0.08962018000000001</x:v>
      </x:c>
      <x:c r="J23" s="31" t="n">
        <x:v>0.08962018000000001</x:v>
      </x:c>
      <x:c r="K23" s="31" t="n">
        <x:v>0</x:v>
      </x:c>
      <x:c r="L23" s="31" t="n">
        <x:v>0.066833419</x:v>
      </x:c>
      <x:c r="M23" s="31" t="n">
        <x:v>0.022786761</x:v>
      </x:c>
      <x:c r="N23" s="24" t="str">
        <x:v>dasyatidae</x:v>
      </x:c>
      <x:c r="O23" s="32" t="n">
        <x:v>3.38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Dasyatidae</x:v>
      </x:c>
      <x:c r="T23" s="32" t="n">
        <x:f>IF(O23="","",(1/'Metadata'!$B$5)^(O23-1))</x:f>
        <x:v>239.88329190194898</x:v>
      </x:c>
      <x:c r="U23" s="31" t="n">
        <x:f>IF(T23="","",I23*T23)</x:f>
        <x:v>21.49838379924521</x:v>
      </x:c>
    </x:row>
    <x:row r="24" ht="18" customHeight="1">
      <x:c r="A24" s="24" t="str">
        <x:v>EEZ_660</x:v>
      </x:c>
      <x:c r="B24" s="24" t="str">
        <x:v>Anguilla (UK)</x:v>
      </x:c>
      <x:c r="C24" s="24" t="str">
        <x:v>EEZ</x:v>
      </x:c>
      <x:c r="D24" s="30" t="n">
        <x:v>2019</x:v>
      </x:c>
      <x:c r="E24" s="24" t="str">
        <x:v>Myliobatidae</x:v>
      </x:c>
      <x:c r="F24" s="24" t="str">
        <x:v>Eagle/manta rays</x:v>
      </x:c>
      <x:c r="G24" s="24" t="str">
        <x:v>Large rays (&gt;=90 cm)</x:v>
      </x:c>
      <x:c r="H24" s="24" t="str">
        <x:v>Sharks &amp; rays</x:v>
      </x:c>
      <x:c r="I24" s="31" t="n">
        <x:v>0.08962018000000001</x:v>
      </x:c>
      <x:c r="J24" s="31" t="n">
        <x:v>0.08962018000000001</x:v>
      </x:c>
      <x:c r="K24" s="31" t="n">
        <x:v>0</x:v>
      </x:c>
      <x:c r="L24" s="31" t="n">
        <x:v>0.066833419</x:v>
      </x:c>
      <x:c r="M24" s="31" t="n">
        <x:v>0.022786761</x:v>
      </x:c>
      <x:c r="N24" s="24" t="str">
        <x:v>myliobatidae</x:v>
      </x:c>
      <x:c r="O24" s="32" t="n">
        <x:v>3.36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Myliobatidae</x:v>
      </x:c>
      <x:c r="T24" s="32" t="n">
        <x:f>IF(O24="","",(1/'Metadata'!$B$5)^(O24-1))</x:f>
        <x:v>229.08676527677724</x:v>
      </x:c>
      <x:c r="U24" s="31" t="n">
        <x:f>IF(T24="","",I24*T24)</x:f>
        <x:v>20.530797139722527</x:v>
      </x:c>
    </x:row>
    <x:row r="25" ht="18" customHeight="1">
      <x:c r="A25" s="24" t="str">
        <x:v>EEZ_660</x:v>
      </x:c>
      <x:c r="B25" s="24" t="str">
        <x:v>Anguilla (UK)</x:v>
      </x:c>
      <x:c r="C25" s="24" t="str">
        <x:v>EEZ</x:v>
      </x:c>
      <x:c r="D25" s="30" t="n">
        <x:v>2019</x:v>
      </x:c>
      <x:c r="E25" s="24" t="str">
        <x:v>Balistidae</x:v>
      </x:c>
      <x:c r="F25" s="24" t="str">
        <x:v>Triggerfishes</x:v>
      </x:c>
      <x:c r="G25" s="24" t="str">
        <x:v>Medium reef assoc. fish (30 - 89 cm)</x:v>
      </x:c>
      <x:c r="H25" s="24" t="str">
        <x:v>Other fishes &amp; inverts</x:v>
      </x:c>
      <x:c r="I25" s="31" t="n">
        <x:v>0.045706292</x:v>
      </x:c>
      <x:c r="J25" s="31" t="n">
        <x:v>0.045706292</x:v>
      </x:c>
      <x:c r="K25" s="31" t="n">
        <x:v>0</x:v>
      </x:c>
      <x:c r="L25" s="31" t="n">
        <x:v>0.034085044</x:v>
      </x:c>
      <x:c r="M25" s="31" t="n">
        <x:v>0.011621247999999999</x:v>
      </x:c>
      <x:c r="N25" s="24" t="str">
        <x:v>balistidae</x:v>
      </x:c>
      <x:c r="O25" s="32" t="n">
        <x:v>3.25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Balistidae</x:v>
      </x:c>
      <x:c r="T25" s="32" t="n">
        <x:f>IF(O25="","",(1/'Metadata'!$B$5)^(O25-1))</x:f>
        <x:v>177.82794100389228</x:v>
      </x:c>
      <x:c r="U25" s="31" t="n">
        <x:f>IF(T25="","",I25*T25)</x:f>
        <x:v>8.127855797282674</x:v>
      </x:c>
    </x:row>
  </x:sheetData>
  <x:conditionalFormatting sqref="R2:R25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a72fbc44559e454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27.567167414</x:v>
      </x:c>
      <x:c r="C2" s="32" t="n">
        <x:v>3.2</x:v>
      </x:c>
      <x:c r="D2" s="32" t="n">
        <x:f>IF(C2="","",(1/'Metadata'!$B$5)^(C2-1))</x:f>
        <x:v>158.48931924611142</x:v>
      </x:c>
      <x:c r="E2" s="31" t="n">
        <x:f>IF(B2=0,"",B2*D2)</x:f>
        <x:v>4369.101596988446</x:v>
      </x:c>
    </x:row>
    <x:row r="3" ht="18" customHeight="1">
      <x:c r="A3" s="24" t="str">
        <x:v>Crustaceans</x:v>
      </x:c>
      <x:c r="B3" s="31" t="n">
        <x:v>342.79085747600004</x:v>
      </x:c>
      <x:c r="C3" s="32" t="n">
        <x:v>2.976526388115519</x:v>
      </x:c>
      <x:c r="D3" s="32" t="n">
        <x:f>IF(C3="","",(1/'Metadata'!$B$5)^(C3-1))</x:f>
        <x:v>94.7384746687726</x:v>
      </x:c>
      <x:c r="E3" s="31" t="n">
        <x:f>IF(B3=0,"",B3*D3)</x:f>
        <x:v>32475.482967676868</x:v>
      </x:c>
    </x:row>
    <x:row r="4" ht="18" customHeight="1">
      <x:c r="A4" s="24" t="str">
        <x:v>Herring-likes</x:v>
      </x:c>
      <x:c r="B4" s="31" t="n">
        <x:v>27.567167414</x:v>
      </x:c>
      <x:c r="C4" s="32" t="n">
        <x:v>3.16</x:v>
      </x:c>
      <x:c r="D4" s="32" t="n">
        <x:f>IF(C4="","",(1/'Metadata'!$B$5)^(C4-1))</x:f>
        <x:v>144.5439770745928</x:v>
      </x:c>
      <x:c r="E4" s="31" t="n">
        <x:f>IF(B4=0,"",B4*D4)</x:f>
        <x:v>3984.6680147006773</x:v>
      </x:c>
    </x:row>
    <x:row r="5" ht="18" customHeight="1">
      <x:c r="A5" s="24" t="str">
        <x:v>Molluscs</x:v>
      </x:c>
      <x:c r="B5" s="31" t="n">
        <x:v>80</x:v>
      </x:c>
      <x:c r="C5" s="32" t="n">
        <x:v>2.19</x:v>
      </x:c>
      <x:c r="D5" s="32" t="n">
        <x:f>IF(C5="","",(1/'Metadata'!$B$5)^(C5-1))</x:f>
        <x:v>15.488166189124811</x:v>
      </x:c>
      <x:c r="E5" s="31" t="n">
        <x:f>IF(B5=0,"",B5*D5)</x:f>
        <x:v>1239.053295129985</x:v>
      </x:c>
    </x:row>
    <x:row r="6" ht="18" customHeight="1">
      <x:c r="A6" s="24" t="str">
        <x:v>Other fishes &amp; inverts</x:v>
      </x:c>
      <x:c r="B6" s="31" t="n">
        <x:v>92.088526067</x:v>
      </x:c>
      <x:c r="C6" s="32" t="n">
        <x:v>3.3403379539440916</x:v>
      </x:c>
      <x:c r="D6" s="32" t="n">
        <x:f>IF(C6="","",(1/'Metadata'!$B$5)^(C6-1))</x:f>
        <x:v>218.9464731976663</x:v>
      </x:c>
      <x:c r="E6" s="31" t="n">
        <x:f>IF(B6=0,"",B6*D6)</x:f>
        <x:v>20162.45800434101</x:v>
      </x:c>
    </x:row>
    <x:row r="7" ht="18" customHeight="1">
      <x:c r="A7" s="24" t="str">
        <x:v>Perch-likes</x:v>
      </x:c>
      <x:c r="B7" s="31" t="n">
        <x:v>449.75105678599994</x:v>
      </x:c>
      <x:c r="C7" s="32" t="n">
        <x:v>3.7506799296557203</x:v>
      </x:c>
      <x:c r="D7" s="32" t="n">
        <x:f>IF(C7="","",(1/'Metadata'!$B$5)^(C7-1))</x:f>
        <x:v>563.2224139921232</x:v>
      </x:c>
      <x:c r="E7" s="31" t="n">
        <x:f>IF(B7=0,"",B7*D7)</x:f>
        <x:v>253309.87589851936</x:v>
      </x:c>
    </x:row>
    <x:row r="8" ht="18" customHeight="1">
      <x:c r="A8" s="24" t="str">
        <x:v>Sharks &amp; rays</x:v>
      </x:c>
      <x:c r="B8" s="31" t="n">
        <x:v>0.17924036000000002</x:v>
      </x:c>
      <x:c r="C8" s="32" t="n">
        <x:v>3.3699999999999997</x:v>
      </x:c>
      <x:c r="D8" s="32" t="n">
        <x:f>IF(C8="","",(1/'Metadata'!$B$5)^(C8-1))</x:f>
        <x:v>234.42288153199203</x:v>
      </x:c>
      <x:c r="E8" s="31" t="n">
        <x:f>IF(B8=0,"",B8*D8)</x:f>
        <x:v>42.01804167803161</x:v>
      </x:c>
    </x:row>
    <x:row r="9" ht="18" customHeight="1">
      <x:c r="A9" s="24" t="str">
        <x:v>Tuna &amp; billfishes</x:v>
      </x:c>
      <x:c r="B9" s="31" t="n">
        <x:v>7.0927</x:v>
      </x:c>
      <x:c r="C9" s="32" t="n">
        <x:v>4.41</x:v>
      </x:c>
      <x:c r="D9" s="32" t="n">
        <x:f>IF(C9="","",(1/'Metadata'!$B$5)^(C9-1))</x:f>
        <x:v>2570.3957827688646</x:v>
      </x:c>
      <x:c r="E9" s="31" t="n">
        <x:f>IF(B9=0,"",B9*D9)</x:f>
        <x:v>18231.046168444725</x:v>
      </x:c>
    </x:row>
  </x:sheetData>
  <x:pageMargins left="0.7" right="0.7" top="0.75" bottom="0.75" header="0.3" footer="0.3"/>
  <x:tableParts count="1">
    <x:tablePart xmlns:r="http://schemas.openxmlformats.org/officeDocument/2006/relationships" r:id="Ra651ef3de538455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pelagics (&gt;=90 cm)</x:v>
      </x:c>
      <x:c r="B2" s="31" t="n">
        <x:v>19.56350701</x:v>
      </x:c>
      <x:c r="C2" s="32" t="n">
        <x:v>4.3879578364170815</x:v>
      </x:c>
      <x:c r="D2" s="32" t="n">
        <x:f>IF(C2="","",(1/'Metadata'!$B$5)^(C2-1))</x:f>
        <x:v>2443.193343173418</x:v>
      </x:c>
      <x:c r="E2" s="31" t="n">
        <x:f>IF(B2=0,"",B2*D2)</x:f>
        <x:v>47797.430095958494</x:v>
      </x:c>
    </x:row>
    <x:row r="3" ht="18" customHeight="1">
      <x:c r="A3" s="24" t="str">
        <x:v>Large rays (&gt;=90 cm)</x:v>
      </x:c>
      <x:c r="B3" s="31" t="n">
        <x:v>0.17924036000000002</x:v>
      </x:c>
      <x:c r="C3" s="32" t="n">
        <x:v>3.3699999999999997</x:v>
      </x:c>
      <x:c r="D3" s="32" t="n">
        <x:f>IF(C3="","",(1/'Metadata'!$B$5)^(C3-1))</x:f>
        <x:v>234.42288153199203</x:v>
      </x:c>
      <x:c r="E3" s="31" t="n">
        <x:f>IF(B3=0,"",B3*D3)</x:f>
        <x:v>42.01804167803161</x:v>
      </x:c>
    </x:row>
    <x:row r="4" ht="18" customHeight="1">
      <x:c r="A4" s="24" t="str">
        <x:v>Lobsters, crabs</x:v>
      </x:c>
      <x:c r="B4" s="31" t="n">
        <x:v>342.79085747600004</x:v>
      </x:c>
      <x:c r="C4" s="32" t="n">
        <x:v>2.976526388115519</x:v>
      </x:c>
      <x:c r="D4" s="32" t="n">
        <x:f>IF(C4="","",(1/'Metadata'!$B$5)^(C4-1))</x:f>
        <x:v>94.7384746687726</x:v>
      </x:c>
      <x:c r="E4" s="31" t="n">
        <x:f>IF(B4=0,"",B4*D4)</x:f>
        <x:v>32475.482967676868</x:v>
      </x:c>
    </x:row>
    <x:row r="5" ht="18" customHeight="1">
      <x:c r="A5" s="24" t="str">
        <x:v>Medium benthopelagics (30 - 89 cm)</x:v>
      </x:c>
      <x:c r="B5" s="31" t="n">
        <x:v>26.444226555</x:v>
      </x:c>
      <x:c r="C5" s="32" t="n">
        <x:v>3.31</x:v>
      </x:c>
      <x:c r="D5" s="32" t="n">
        <x:f>IF(C5="","",(1/'Metadata'!$B$5)^(C5-1))</x:f>
        <x:v>204.17379446695296</x:v>
      </x:c>
      <x:c r="E5" s="31" t="n">
        <x:f>IF(B5=0,"",B5*D5)</x:f>
        <x:v>5399.218077478109</x:v>
      </x:c>
    </x:row>
    <x:row r="6" ht="18" customHeight="1">
      <x:c r="A6" s="24" t="str">
        <x:v>Medium demersals (30 - 89 cm)</x:v>
      </x:c>
      <x:c r="B6" s="31" t="n">
        <x:v>118.503177962</x:v>
      </x:c>
      <x:c r="C6" s="32" t="n">
        <x:v>3.3157297378816097</x:v>
      </x:c>
      <x:c r="D6" s="32" t="n">
        <x:f>IF(C6="","",(1/'Metadata'!$B$5)^(C6-1))</x:f>
        <x:v>206.88534974302047</x:v>
      </x:c>
      <x:c r="E6" s="31" t="n">
        <x:f>IF(B6=0,"",B6*D6)</x:f>
        <x:v>24516.571418327763</x:v>
      </x:c>
    </x:row>
    <x:row r="7" ht="18" customHeight="1">
      <x:c r="A7" s="24" t="str">
        <x:v>Medium pelagics (30 - 89 cm)</x:v>
      </x:c>
      <x:c r="B7" s="31" t="n">
        <x:v>67.47095935099999</x:v>
      </x:c>
      <x:c r="C7" s="32" t="n">
        <x:v>3.9224790221154238</x:v>
      </x:c>
      <x:c r="D7" s="32" t="n">
        <x:f>IF(C7="","",(1/'Metadata'!$B$5)^(C7-1))</x:f>
        <x:v>836.5251877989989</x:v>
      </x:c>
      <x:c r="E7" s="31" t="n">
        <x:f>IF(B7=0,"",B7*D7)</x:f>
        <x:v>56441.15694207389</x:v>
      </x:c>
    </x:row>
    <x:row r="8" ht="18" customHeight="1">
      <x:c r="A8" s="24" t="str">
        <x:v>Medium reef assoc. fish (30 - 89 cm)</x:v>
      </x:c>
      <x:c r="B8" s="31" t="n">
        <x:v>263.955310853</x:v>
      </x:c>
      <x:c r="C8" s="32" t="n">
        <x:v>3.9474611303314786</x:v>
      </x:c>
      <x:c r="D8" s="32" t="n">
        <x:f>IF(C8="","",(1/'Metadata'!$B$5)^(C8-1))</x:f>
        <x:v>886.0559174686125</x:v>
      </x:c>
      <x:c r="E8" s="31" t="n">
        <x:f>IF(B8=0,"",B8*D8)</x:f>
        <x:v>233879.16512856775</x:v>
      </x:c>
    </x:row>
    <x:row r="9" ht="18" customHeight="1">
      <x:c r="A9" s="24" t="str">
        <x:v>Other demersal invertebrates</x:v>
      </x:c>
      <x:c r="B9" s="31" t="n">
        <x:v>80</x:v>
      </x:c>
      <x:c r="C9" s="32" t="n">
        <x:v>2.19</x:v>
      </x:c>
      <x:c r="D9" s="32" t="n">
        <x:f>IF(C9="","",(1/'Metadata'!$B$5)^(C9-1))</x:f>
        <x:v>15.488166189124811</x:v>
      </x:c>
      <x:c r="E9" s="31" t="n">
        <x:f>IF(B9=0,"",B9*D9)</x:f>
        <x:v>1239.053295129985</x:v>
      </x:c>
    </x:row>
    <x:row r="10" ht="18" customHeight="1">
      <x:c r="A10" s="24" t="str">
        <x:v>Small pelagics (&lt;30 cm)</x:v>
      </x:c>
      <x:c r="B10" s="31" t="n">
        <x:v>55.134334828</x:v>
      </x:c>
      <x:c r="C10" s="32" t="n">
        <x:v>3.18</x:v>
      </x:c>
      <x:c r="D10" s="32" t="n">
        <x:f>IF(C10="","",(1/'Metadata'!$B$5)^(C10-1))</x:f>
        <x:v>151.35612484362088</x:v>
      </x:c>
      <x:c r="E10" s="31" t="n">
        <x:f>IF(B10=0,"",B10*D10)</x:f>
        <x:v>8344.919265396762</x:v>
      </x:c>
    </x:row>
    <x:row r="11" ht="18" customHeight="1">
      <x:c r="A11" s="24" t="str">
        <x:v>Small reef assoc. fish (&lt;30 cm)</x:v>
      </x:c>
      <x:c r="B11" s="31" t="n">
        <x:v>52.995101121999994</x:v>
      </x:c>
      <x:c r="C11" s="32" t="n">
        <x:v>2.884273586659428</x:v>
      </x:c>
      <x:c r="D11" s="32" t="n">
        <x:f>IF(C11="","",(1/'Metadata'!$B$5)^(C11-1))</x:f>
        <x:v>76.60790514624826</x:v>
      </x:c>
      <x:c r="E11" s="31" t="n">
        <x:f>IF(B11=0,"",B11*D11)</x:f>
        <x:v>4059.8436799700103</x:v>
      </x:c>
    </x:row>
  </x:sheetData>
  <x:pageMargins left="0.7" right="0.7" top="0.75" bottom="0.75" header="0.3" footer="0.3"/>
  <x:tableParts count="1">
    <x:tablePart xmlns:r="http://schemas.openxmlformats.org/officeDocument/2006/relationships" r:id="R7a70b87016394cd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EEZ_660</x:v>
      </x:c>
      <x:c r="B2" s="24" t="str">
        <x:v>raw_filtered_tonnes</x:v>
      </x:c>
      <x:c r="C2" s="24" t="n">
        <x:v>1027.0367155169997</x:v>
      </x:c>
      <x:c r="D2" s="24" t="str">
        <x:v>tonnes</x:v>
      </x:c>
    </x:row>
    <x:row r="3" ht="18" customHeight="1">
      <x:c r="A3" s="24" t="str">
        <x:v>EEZ_660</x:v>
      </x:c>
      <x:c r="B3" s="24" t="str">
        <x:v>species_catch_tonnes</x:v>
      </x:c>
      <x:c r="C3" s="24" t="n">
        <x:v>1027.036715517</x:v>
      </x:c>
      <x:c r="D3" s="24" t="str">
        <x:v>tonnes</x:v>
      </x:c>
    </x:row>
    <x:row r="4" ht="18" customHeight="1">
      <x:c r="A4" s="24" t="str">
        <x:v>EEZ_660</x:v>
      </x:c>
      <x:c r="B4" s="24" t="str">
        <x:v>catch_difference_tonnes</x:v>
      </x:c>
      <x:c r="C4" s="24" t="n">
        <x:v>2.2737367544323206e-13</x:v>
      </x:c>
      <x:c r="D4" s="24" t="str">
        <x:v>tonnes</x:v>
      </x:c>
    </x:row>
    <x:row r="5" ht="18" customHeight="1">
      <x:c r="A5" s="24" t="str">
        <x:v>EEZ_660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EEZ_660</x:v>
      </x:c>
      <x:c r="B6" s="24" t="str">
        <x:v>matched_catch_tonnes</x:v>
      </x:c>
      <x:c r="C6" s="24" t="n">
        <x:v>1027.036715517</x:v>
      </x:c>
      <x:c r="D6" s="24" t="str">
        <x:v>tonnes</x:v>
      </x:c>
    </x:row>
    <x:row r="7" ht="18" customHeight="1">
      <x:c r="A7" s="24" t="str">
        <x:v>EEZ_660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EEZ_660</x:v>
      </x:c>
      <x:c r="B8" s="24" t="str">
        <x:v>taxa_count</x:v>
      </x:c>
      <x:c r="C8" s="24" t="n">
        <x:v>24</x:v>
      </x:c>
      <x:c r="D8" s="24" t="str">
        <x:v>count</x:v>
      </x:c>
    </x:row>
    <x:row r="9" ht="18" customHeight="1">
      <x:c r="A9" s="24" t="str">
        <x:v>EEZ_660</x:v>
      </x:c>
      <x:c r="B9" s="24" t="str">
        <x:v>matched_taxa_count</x:v>
      </x:c>
      <x:c r="C9" s="24" t="n">
        <x:v>24</x:v>
      </x:c>
      <x:c r="D9" s="24" t="str">
        <x:v>count</x:v>
      </x:c>
    </x:row>
    <x:row r="10" ht="18" customHeight="1">
      <x:c r="A10" s="24" t="str">
        <x:v>EEZ_660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EEZ_660</x:v>
      </x:c>
      <x:c r="B11" s="24" t="str">
        <x:v>species_ppr</x:v>
      </x:c>
      <x:c r="C11" s="24" t="n">
        <x:v>448305.9886107153</x:v>
      </x:c>
      <x:c r="D11" s="24" t="str">
        <x:v>tonnes_primary_production_equivalent</x:v>
      </x:c>
    </x:row>
    <x:row r="12" ht="18" customHeight="1">
      <x:c r="A12" s="24" t="str">
        <x:v>EEZ_660</x:v>
      </x:c>
      <x:c r="B12" s="24" t="str">
        <x:v>commercial_ppr</x:v>
      </x:c>
      <x:c r="C12" s="24" t="n">
        <x:v>333813.7039874791</x:v>
      </x:c>
      <x:c r="D12" s="24" t="str">
        <x:v>tonnes_primary_production_equivalent</x:v>
      </x:c>
    </x:row>
    <x:row r="13" ht="18" customHeight="1">
      <x:c r="A13" s="24" t="str">
        <x:v>EEZ_660</x:v>
      </x:c>
      <x:c r="B13" s="24" t="str">
        <x:v>functional_ppr</x:v>
      </x:c>
      <x:c r="C13" s="24" t="n">
        <x:v>414194.8589122577</x:v>
      </x:c>
      <x:c r="D13" s="24" t="str">
        <x:v>tonnes_primary_production_equivalent</x:v>
      </x:c>
    </x:row>
    <x:row r="14" ht="18" customHeight="1">
      <x:c r="A14" s="24" t="str">
        <x:v>EEZ_660</x:v>
      </x:c>
      <x:c r="B14" s="24" t="str">
        <x:v>commercial_ppr_difference</x:v>
      </x:c>
      <x:c r="C14" s="24" t="n">
        <x:v>-114492.28462323622</x:v>
      </x:c>
      <x:c r="D14" s="24" t="str">
        <x:v>tonnes_primary_production_equivalent</x:v>
      </x:c>
    </x:row>
    <x:row r="15" ht="18" customHeight="1">
      <x:c r="A15" s="24" t="str">
        <x:v>EEZ_660</x:v>
      </x:c>
      <x:c r="B15" s="24" t="str">
        <x:v>functional_ppr_difference</x:v>
      </x:c>
      <x:c r="C15" s="24" t="n">
        <x:v>-34111.129698457604</x:v>
      </x:c>
      <x:c r="D15" s="24" t="str">
        <x:v>tonnes_primary_production_equivalent</x:v>
      </x:c>
    </x:row>
    <x:row r="16" ht="18" customHeight="1">
      <x:c r="A16" s="24" t="str">
        <x:v>EEZ_660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EEZ_660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0d555a7a3ff540b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EEZ_660 - Anguilla (UK)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EEZ_660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raw_data/SAU_downloads/EEZ_660-catch.zip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