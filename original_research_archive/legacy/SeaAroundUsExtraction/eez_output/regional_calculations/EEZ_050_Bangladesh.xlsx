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bebab39f9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694c431fbc04915"/>
    <x:sheet xmlns:r="http://schemas.openxmlformats.org/officeDocument/2006/relationships" name="Commercial" sheetId="2" r:id="R09459165556b4fdf"/>
    <x:sheet xmlns:r="http://schemas.openxmlformats.org/officeDocument/2006/relationships" name="Functional" sheetId="3" r:id="R72355c9f66704666"/>
    <x:sheet xmlns:r="http://schemas.openxmlformats.org/officeDocument/2006/relationships" name="Missing TL" sheetId="4" r:id="R94309321b52c4c8a"/>
    <x:sheet xmlns:r="http://schemas.openxmlformats.org/officeDocument/2006/relationships" name="Validation" sheetId="5" r:id="R193993285b234a4b"/>
    <x:sheet xmlns:r="http://schemas.openxmlformats.org/officeDocument/2006/relationships" name="Metadata" sheetId="6" r:id="R109d266be2fa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58e6cdc354ab4" /><Relationship Type="http://schemas.openxmlformats.org/officeDocument/2006/relationships/theme" Target="/xl/theme/theme1.xml" Id="Rde02345786fc414c" /><Relationship Type="http://schemas.microsoft.com/office/2022/11/relationships/FeaturePropertyBag" Target="/xl/featurePropertyBag/featurePropertyBag.xml" Id="R211e3e02c06e4062" /><Relationship Type="http://schemas.openxmlformats.org/officeDocument/2006/relationships/sharedStrings" Target="/xl/sharedStrings.xml" Id="Rd7b24ce830704a28" /><Relationship Type="http://schemas.openxmlformats.org/officeDocument/2006/relationships/worksheet" Target="/xl/worksheets/sheet1.xml" Id="Rf694c431fbc04915" /><Relationship Type="http://schemas.openxmlformats.org/officeDocument/2006/relationships/worksheet" Target="/xl/worksheets/sheet2.xml" Id="R09459165556b4fdf" /><Relationship Type="http://schemas.openxmlformats.org/officeDocument/2006/relationships/worksheet" Target="/xl/worksheets/sheet3.xml" Id="R72355c9f66704666" /><Relationship Type="http://schemas.openxmlformats.org/officeDocument/2006/relationships/worksheet" Target="/xl/worksheets/sheet4.xml" Id="R94309321b52c4c8a" /><Relationship Type="http://schemas.openxmlformats.org/officeDocument/2006/relationships/worksheet" Target="/xl/worksheets/sheet5.xml" Id="R193993285b234a4b" /><Relationship Type="http://schemas.openxmlformats.org/officeDocument/2006/relationships/worksheet" Target="/xl/worksheets/sheet6.xml" Id="R109d266be2fa4c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50SpeciesTable" displayName="EEZ050SpeciesTable" ref="A1:U117" headerRowCount="1" totalsRowCount="0" totalsRowShown="0">
  <x:autoFilter ref="A1:U1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50CommercialTable" displayName="EEZ050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50FunctionalTable" displayName="EEZ050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50ValidationTable" displayName="EEZ05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9a9230953641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9d3b9a91e748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888b8ea78543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0050afae4f41c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EEZ_050</x:v>
      </x:c>
      <x:c r="B2" s="24" t="str">
        <x:v>Bangladesh</x:v>
      </x:c>
      <x:c r="C2" s="24" t="str">
        <x:v>EEZ</x:v>
      </x:c>
      <x:c r="D2" s="30" t="n">
        <x:v>2019</x:v>
      </x:c>
      <x:c r="E2" s="24" t="str">
        <x:v>Tenualosa ilisha</x:v>
      </x:c>
      <x:c r="F2" s="24" t="str">
        <x:v>Hilsa shad</x:v>
      </x:c>
      <x:c r="G2" s="24" t="str">
        <x:v>Medium pelagics (30 - 89 cm)</x:v>
      </x:c>
      <x:c r="H2" s="24" t="str">
        <x:v>Herring-likes</x:v>
      </x:c>
      <x:c r="I2" s="31" t="n">
        <x:v>330374.8649057901</x:v>
      </x:c>
      <x:c r="J2" s="31" t="n">
        <x:v>328653.9022014401</x:v>
      </x:c>
      <x:c r="K2" s="31" t="n">
        <x:v>1720.96270435</x:v>
      </x:c>
      <x:c r="L2" s="31" t="n">
        <x:v>291377.0467544002</x:v>
      </x:c>
      <x:c r="M2" s="31" t="n">
        <x:v>38997.818151389896</x:v>
      </x:c>
      <x:c r="N2" s="24" t="str">
        <x:v>tenualosa ilisha</x:v>
      </x:c>
      <x:c r="O2" s="32" t="n">
        <x:v>2.2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Tenualosa ilisha</x:v>
      </x:c>
      <x:c r="T2" s="32" t="n">
        <x:f>IF(O2="","",(1/'Metadata'!$B$5)^(O2-1))</x:f>
        <x:v>15.848931924611142</x:v>
      </x:c>
      <x:c r="U2" s="31" t="n">
        <x:f>IF(T2="","",I2*T2)</x:f>
        <x:v>5236088.74349447</x:v>
      </x:c>
    </x:row>
    <x:row r="3" ht="18" customHeight="1">
      <x:c r="A3" s="24" t="str">
        <x:v>EEZ_050</x:v>
      </x:c>
      <x:c r="B3" s="24" t="str">
        <x:v>Bangladesh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309690.4189341192</x:v>
      </x:c>
      <x:c r="J3" s="31" t="n">
        <x:v>281929.9204081869</x:v>
      </x:c>
      <x:c r="K3" s="31" t="n">
        <x:v>27760.4985259323</x:v>
      </x:c>
      <x:c r="L3" s="31" t="n">
        <x:v>189026.7142268356</x:v>
      </x:c>
      <x:c r="M3" s="31" t="n">
        <x:v>120663.7047072836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59010292.800854534</x:v>
      </x:c>
    </x:row>
    <x:row r="4" ht="18" customHeight="1">
      <x:c r="A4" s="24" t="str">
        <x:v>EEZ_050</x:v>
      </x:c>
      <x:c r="B4" s="24" t="str">
        <x:v>Bangladesh</x:v>
      </x:c>
      <x:c r="C4" s="24" t="str">
        <x:v>EEZ</x:v>
      </x:c>
      <x:c r="D4" s="30" t="n">
        <x:v>2019</x:v>
      </x:c>
      <x:c r="E4" s="24" t="str">
        <x:v>Harpadon nehereus</x:v>
      </x:c>
      <x:c r="F4" s="24" t="str">
        <x:v>Bombay-duck</x:v>
      </x:c>
      <x:c r="G4" s="24" t="str">
        <x:v>Medium benthopelagics (30 - 89 cm)</x:v>
      </x:c>
      <x:c r="H4" s="24" t="str">
        <x:v>Other fishes &amp; inverts</x:v>
      </x:c>
      <x:c r="I4" s="31" t="n">
        <x:v>112395.855880724</x:v>
      </x:c>
      <x:c r="J4" s="31" t="n">
        <x:v>112058.8143176</x:v>
      </x:c>
      <x:c r="K4" s="31" t="n">
        <x:v>337.041563124</x:v>
      </x:c>
      <x:c r="L4" s="31" t="n">
        <x:v>68801.787961</x:v>
      </x:c>
      <x:c r="M4" s="31" t="n">
        <x:v>43594.067919724</x:v>
      </x:c>
      <x:c r="N4" s="24" t="str">
        <x:v>harpadon nehereus</x:v>
      </x:c>
      <x:c r="O4" s="32" t="n">
        <x:v>4.2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Harpadon nehereus</x:v>
      </x:c>
      <x:c r="T4" s="32" t="n">
        <x:f>IF(O4="","",(1/'Metadata'!$B$5)^(O4-1))</x:f>
        <x:v>1584.893192461114</x:v>
      </x:c>
      <x:c r="U4" s="31" t="n">
        <x:f>IF(T4="","",I4*T4)</x:f>
        <x:v>178135426.84619996</x:v>
      </x:c>
    </x:row>
    <x:row r="5" ht="18" customHeight="1">
      <x:c r="A5" s="24" t="str">
        <x:v>EEZ_050</x:v>
      </x:c>
      <x:c r="B5" s="24" t="str">
        <x:v>Bangladesh</x:v>
      </x:c>
      <x:c r="C5" s="24" t="str">
        <x:v>EEZ</x:v>
      </x:c>
      <x:c r="D5" s="30" t="n">
        <x:v>2019</x:v>
      </x:c>
      <x:c r="E5" s="24" t="str">
        <x:v>Pampus argenteus</x:v>
      </x:c>
      <x:c r="F5" s="24" t="str">
        <x:v>Silver pomfret</x:v>
      </x:c>
      <x:c r="G5" s="24" t="str">
        <x:v>Medium benthopelagics (30 - 89 cm)</x:v>
      </x:c>
      <x:c r="H5" s="24" t="str">
        <x:v>Perch-likes</x:v>
      </x:c>
      <x:c r="I5" s="31" t="n">
        <x:v>48138.408985754504</x:v>
      </x:c>
      <x:c r="J5" s="31" t="n">
        <x:v>47864.026679854505</x:v>
      </x:c>
      <x:c r="K5" s="31" t="n">
        <x:v>274.3823059</x:v>
      </x:c>
      <x:c r="L5" s="31" t="n">
        <x:v>34722.108440868906</x:v>
      </x:c>
      <x:c r="M5" s="31" t="n">
        <x:v>13416.3005448856</x:v>
      </x:c>
      <x:c r="N5" s="24" t="str">
        <x:v>pampus argenteus</x:v>
      </x:c>
      <x:c r="O5" s="32" t="n">
        <x:v>3.3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Pampus argenteus</x:v>
      </x:c>
      <x:c r="T5" s="32" t="n">
        <x:f>IF(O5="","",(1/'Metadata'!$B$5)^(O5-1))</x:f>
        <x:v>199.52623149688787</x:v>
      </x:c>
      <x:c r="U5" s="31" t="n">
        <x:f>IF(T5="","",I5*T5)</x:f>
        <x:v>9604875.33518352</x:v>
      </x:c>
    </x:row>
    <x:row r="6" ht="18" customHeight="1">
      <x:c r="A6" s="24" t="str">
        <x:v>EEZ_050</x:v>
      </x:c>
      <x:c r="B6" s="24" t="str">
        <x:v>Bangladesh</x:v>
      </x:c>
      <x:c r="C6" s="24" t="str">
        <x:v>EEZ</x:v>
      </x:c>
      <x:c r="D6" s="30" t="n">
        <x:v>2019</x:v>
      </x:c>
      <x:c r="E6" s="24" t="str">
        <x:v>Acetes</x:v>
      </x:c>
      <x:c r="F6" s="24" t="str">
        <x:v>Acetes shrimps</x:v>
      </x:c>
      <x:c r="G6" s="24" t="str">
        <x:v>Shrimps</x:v>
      </x:c>
      <x:c r="H6" s="24" t="str">
        <x:v>Crustaceans</x:v>
      </x:c>
      <x:c r="I6" s="31" t="n">
        <x:v>39741.4562335303</x:v>
      </x:c>
      <x:c r="J6" s="31" t="n">
        <x:v>39741.4562335303</x:v>
      </x:c>
      <x:c r="K6" s="31" t="n">
        <x:v>0</x:v>
      </x:c>
      <x:c r="L6" s="31" t="n">
        <x:v>16242.1156813001</x:v>
      </x:c>
      <x:c r="M6" s="31" t="n">
        <x:v>23499.3405522302</x:v>
      </x:c>
      <x:c r="N6" s="24" t="str">
        <x:v>acetes</x:v>
      </x:c>
      <x:c r="O6" s="32" t="n">
        <x:v>2.7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Acetes</x:v>
      </x:c>
      <x:c r="T6" s="32" t="n">
        <x:f>IF(O6="","",(1/'Metadata'!$B$5)^(O6-1))</x:f>
        <x:v>50.11872336272725</x:v>
      </x:c>
      <x:c r="U6" s="31" t="n">
        <x:f>IF(T6="","",I6*T6)</x:f>
        <x:v>1991791.0510002375</x:v>
      </x:c>
    </x:row>
    <x:row r="7" ht="18" customHeight="1">
      <x:c r="A7" s="24" t="str">
        <x:v>EEZ_050</x:v>
      </x:c>
      <x:c r="B7" s="24" t="str">
        <x:v>Bangladesh</x:v>
      </x:c>
      <x:c r="C7" s="24" t="str">
        <x:v>EEZ</x:v>
      </x:c>
      <x:c r="D7" s="30" t="n">
        <x:v>2019</x:v>
      </x:c>
      <x:c r="E7" s="24" t="str">
        <x:v>Miscellaneous marine crustaceans</x:v>
      </x:c>
      <x:c r="F7" s="24" t="str">
        <x:v>Marine crabs, shrimps, lobsters nei</x:v>
      </x:c>
      <x:c r="G7" s="24" t="str">
        <x:v>Shrimps</x:v>
      </x:c>
      <x:c r="H7" s="24" t="str">
        <x:v>Crustaceans</x:v>
      </x:c>
      <x:c r="I7" s="31" t="n">
        <x:v>33513.1755342756</x:v>
      </x:c>
      <x:c r="J7" s="31" t="n">
        <x:v>32690.4861784756</x:v>
      </x:c>
      <x:c r="K7" s="31" t="n">
        <x:v>822.6893558</x:v>
      </x:c>
      <x:c r="L7" s="31" t="n">
        <x:v>26506.8843180402</x:v>
      </x:c>
      <x:c r="M7" s="31" t="n">
        <x:v>7006.2912162354</x:v>
      </x:c>
      <x:c r="N7" s="24" t="str">
        <x:v>miscellaneous marine crustaceans</x:v>
      </x:c>
      <x:c r="O7" s="32" t="n">
        <x:v>2.7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Miscellaneous marine crustaceans</x:v>
      </x:c>
      <x:c r="T7" s="32" t="n">
        <x:f>IF(O7="","",(1/'Metadata'!$B$5)^(O7-1))</x:f>
        <x:v>50.11872336272725</x:v>
      </x:c>
      <x:c r="U7" s="31" t="n">
        <x:f>IF(T7="","",I7*T7)</x:f>
        <x:v>1679637.5736088778</x:v>
      </x:c>
    </x:row>
    <x:row r="8" ht="18" customHeight="1">
      <x:c r="A8" s="24" t="str">
        <x:v>EEZ_050</x:v>
      </x:c>
      <x:c r="B8" s="24" t="str">
        <x:v>Bangladesh</x:v>
      </x:c>
      <x:c r="C8" s="24" t="str">
        <x:v>EEZ</x:v>
      </x:c>
      <x:c r="D8" s="30" t="n">
        <x:v>2019</x:v>
      </x:c>
      <x:c r="E8" s="24" t="str">
        <x:v>Bivalvia</x:v>
      </x:c>
      <x:c r="F8" s="24" t="str">
        <x:v>Clams</x:v>
      </x:c>
      <x:c r="G8" s="24" t="str">
        <x:v>Other demersal invertebrates</x:v>
      </x:c>
      <x:c r="H8" s="24" t="str">
        <x:v>Molluscs</x:v>
      </x:c>
      <x:c r="I8" s="31" t="n">
        <x:v>25928.02405</x:v>
      </x:c>
      <x:c r="J8" s="31" t="n">
        <x:v>25928.02405</x:v>
      </x:c>
      <x:c r="K8" s="31" t="n">
        <x:v>0</x:v>
      </x:c>
      <x:c r="L8" s="31" t="n">
        <x:v>0</x:v>
      </x:c>
      <x:c r="M8" s="31" t="n">
        <x:v>25928.02405</x:v>
      </x:c>
      <x:c r="N8" s="24" t="str">
        <x:v>bivalvia</x:v>
      </x:c>
      <x:c r="O8" s="32" t="n">
        <x:v>2.23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Bivalvia</x:v>
      </x:c>
      <x:c r="T8" s="32" t="n">
        <x:f>IF(O8="","",(1/'Metadata'!$B$5)^(O8-1))</x:f>
        <x:v>16.982436524617444</x:v>
      </x:c>
      <x:c r="U8" s="31" t="n">
        <x:f>IF(T8="","",I8*T8)</x:f>
        <x:v>440321.02263787953</x:v>
      </x:c>
    </x:row>
    <x:row r="9" ht="18" customHeight="1">
      <x:c r="A9" s="24" t="str">
        <x:v>EEZ_050</x:v>
      </x:c>
      <x:c r="B9" s="24" t="str">
        <x:v>Bangladesh</x:v>
      </x:c>
      <x:c r="C9" s="24" t="str">
        <x:v>EEZ</x:v>
      </x:c>
      <x:c r="D9" s="30" t="n">
        <x:v>2019</x:v>
      </x:c>
      <x:c r="E9" s="24" t="str">
        <x:v>Ariidae</x:v>
      </x:c>
      <x:c r="F9" s="24" t="str">
        <x:v>Sea catfishes, coblers</x:v>
      </x:c>
      <x:c r="G9" s="24" t="str">
        <x:v>Medium demersals (30 - 89 cm)</x:v>
      </x:c>
      <x:c r="H9" s="24" t="str">
        <x:v>Other fishes &amp; inverts</x:v>
      </x:c>
      <x:c r="I9" s="31" t="n">
        <x:v>20857.6155975502</x:v>
      </x:c>
      <x:c r="J9" s="31" t="n">
        <x:v>18673.6329849502</x:v>
      </x:c>
      <x:c r="K9" s="31" t="n">
        <x:v>2183.9826126</x:v>
      </x:c>
      <x:c r="L9" s="31" t="n">
        <x:v>11462.034948388102</x:v>
      </x:c>
      <x:c r="M9" s="31" t="n">
        <x:v>9395.580649162099</x:v>
      </x:c>
      <x:c r="N9" s="24" t="str">
        <x:v>ariidae</x:v>
      </x:c>
      <x:c r="O9" s="32" t="n">
        <x:v>3.48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Ariidae</x:v>
      </x:c>
      <x:c r="T9" s="32" t="n">
        <x:f>IF(O9="","",(1/'Metadata'!$B$5)^(O9-1))</x:f>
        <x:v>301.9951720402016</x:v>
      </x:c>
      <x:c r="U9" s="31" t="n">
        <x:f>IF(T9="","",I9*T9)</x:f>
        <x:v>6298899.210730566</x:v>
      </x:c>
    </x:row>
    <x:row r="10" ht="18" customHeight="1">
      <x:c r="A10" s="24" t="str">
        <x:v>EEZ_050</x:v>
      </x:c>
      <x:c r="B10" s="24" t="str">
        <x:v>Bangladesh</x:v>
      </x:c>
      <x:c r="C10" s="24" t="str">
        <x:v>EEZ</x:v>
      </x:c>
      <x:c r="D10" s="30" t="n">
        <x:v>2019</x:v>
      </x:c>
      <x:c r="E10" s="24" t="str">
        <x:v>Odontamblyopus rubicundus</x:v>
      </x:c>
      <x:c r="F10" s="24" t="str">
        <x:v>Rubicundus eelgoby</x:v>
      </x:c>
      <x:c r="G10" s="24" t="str">
        <x:v>Small pelagics (&lt;30 cm)</x:v>
      </x:c>
      <x:c r="H10" s="24" t="str">
        <x:v>Perch-likes</x:v>
      </x:c>
      <x:c r="I10" s="31" t="n">
        <x:v>19658.60827</x:v>
      </x:c>
      <x:c r="J10" s="31" t="n">
        <x:v>19658.60827</x:v>
      </x:c>
      <x:c r="K10" s="31" t="n">
        <x:v>0</x:v>
      </x:c>
      <x:c r="L10" s="31" t="n">
        <x:v>0</x:v>
      </x:c>
      <x:c r="M10" s="31" t="n">
        <x:v>19658.60827</x:v>
      </x:c>
      <x:c r="N10" s="24" t="str">
        <x:v>odontamblyopus rubicundus</x:v>
      </x:c>
      <x:c r="O10" s="32" t="n">
        <x:v>3.9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Odontamblyopus rubicundus</x:v>
      </x:c>
      <x:c r="T10" s="32" t="n">
        <x:f>IF(O10="","",(1/'Metadata'!$B$5)^(O10-1))</x:f>
        <x:v>794.3282347242813</x:v>
      </x:c>
      <x:c r="U10" s="31" t="n">
        <x:f>IF(T10="","",I10*T10)</x:f>
        <x:v>15615387.604245258</x:v>
      </x:c>
    </x:row>
    <x:row r="11" ht="18" customHeight="1">
      <x:c r="A11" s="24" t="str">
        <x:v>EEZ_050</x:v>
      </x:c>
      <x:c r="B11" s="24" t="str">
        <x:v>Bangladesh</x:v>
      </x:c>
      <x:c r="C11" s="24" t="str">
        <x:v>EEZ</x:v>
      </x:c>
      <x:c r="D11" s="30" t="n">
        <x:v>2019</x:v>
      </x:c>
      <x:c r="E11" s="24" t="str">
        <x:v>Pterotolithus maculatus</x:v>
      </x:c>
      <x:c r="F11" s="24" t="str">
        <x:v>Blotched tiger-toothed croaker</x:v>
      </x:c>
      <x:c r="G11" s="24" t="str">
        <x:v>Small pelagics (&lt;30 cm)</x:v>
      </x:c>
      <x:c r="H11" s="24" t="str">
        <x:v>Perch-likes</x:v>
      </x:c>
      <x:c r="I11" s="31" t="n">
        <x:v>17240.0252528842</x:v>
      </x:c>
      <x:c r="J11" s="31" t="n">
        <x:v>17240.0252528842</x:v>
      </x:c>
      <x:c r="K11" s="31" t="n">
        <x:v>0</x:v>
      </x:c>
      <x:c r="L11" s="31" t="n">
        <x:v>2473.316696243</x:v>
      </x:c>
      <x:c r="M11" s="31" t="n">
        <x:v>14766.7085566412</x:v>
      </x:c>
      <x:c r="N11" s="24" t="str">
        <x:v>pterotolithus maculatus</x:v>
      </x:c>
      <x:c r="O11" s="32" t="n">
        <x:v>3.7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Pterotolithus maculatus</x:v>
      </x:c>
      <x:c r="T11" s="32" t="n">
        <x:f>IF(O11="","",(1/'Metadata'!$B$5)^(O11-1))</x:f>
        <x:v>501.18723362727246</x:v>
      </x:c>
      <x:c r="U11" s="31" t="n">
        <x:f>IF(T11="","",I11*T11)</x:f>
        <x:v>8640480.56415735</x:v>
      </x:c>
    </x:row>
    <x:row r="12" ht="18" customHeight="1">
      <x:c r="A12" s="24" t="str">
        <x:v>EEZ_050</x:v>
      </x:c>
      <x:c r="B12" s="24" t="str">
        <x:v>Bangladesh</x:v>
      </x:c>
      <x:c r="C12" s="24" t="str">
        <x:v>EEZ</x:v>
      </x:c>
      <x:c r="D12" s="30" t="n">
        <x:v>2019</x:v>
      </x:c>
      <x:c r="E12" s="24" t="str">
        <x:v>Setipinna taty</x:v>
      </x:c>
      <x:c r="F12" s="24" t="str">
        <x:v>Scaly hairfin anchovy</x:v>
      </x:c>
      <x:c r="G12" s="24" t="str">
        <x:v>Small pelagics (&lt;30 cm)</x:v>
      </x:c>
      <x:c r="H12" s="24" t="str">
        <x:v>Anchovies</x:v>
      </x:c>
      <x:c r="I12" s="31" t="n">
        <x:v>11765.0432797968</x:v>
      </x:c>
      <x:c r="J12" s="31" t="n">
        <x:v>11765.0432797968</x:v>
      </x:c>
      <x:c r="K12" s="31" t="n">
        <x:v>0</x:v>
      </x:c>
      <x:c r="L12" s="31" t="n">
        <x:v>1178.8918854201</x:v>
      </x:c>
      <x:c r="M12" s="31" t="n">
        <x:v>10586.1513943767</x:v>
      </x:c>
      <x:c r="N12" s="24" t="str">
        <x:v>setipinna taty</x:v>
      </x:c>
      <x:c r="O12" s="32" t="n">
        <x:v>3.2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Setipinna taty</x:v>
      </x:c>
      <x:c r="T12" s="32" t="n">
        <x:f>IF(O12="","",(1/'Metadata'!$B$5)^(O12-1))</x:f>
        <x:v>158.48931924611142</x:v>
      </x:c>
      <x:c r="U12" s="31" t="n">
        <x:f>IF(T12="","",I12*T12)</x:f>
        <x:v>1864633.7003160329</x:v>
      </x:c>
    </x:row>
    <x:row r="13" ht="18" customHeight="1">
      <x:c r="A13" s="24" t="str">
        <x:v>EEZ_050</x:v>
      </x:c>
      <x:c r="B13" s="24" t="str">
        <x:v>Bangladesh</x:v>
      </x:c>
      <x:c r="C13" s="24" t="str">
        <x:v>EEZ</x:v>
      </x:c>
      <x:c r="D13" s="30" t="n">
        <x:v>2019</x:v>
      </x:c>
      <x:c r="E13" s="24" t="str">
        <x:v>Setipinna phasa</x:v>
      </x:c>
      <x:c r="F13" s="24" t="str">
        <x:v>Gangetic hairfin anchovy</x:v>
      </x:c>
      <x:c r="G13" s="24" t="str">
        <x:v>Medium pelagics (30 - 89 cm)</x:v>
      </x:c>
      <x:c r="H13" s="24" t="str">
        <x:v>Anchovies</x:v>
      </x:c>
      <x:c r="I13" s="31" t="n">
        <x:v>10586.151394377</x:v>
      </x:c>
      <x:c r="J13" s="31" t="n">
        <x:v>10586.151394377</x:v>
      </x:c>
      <x:c r="K13" s="31" t="n">
        <x:v>0</x:v>
      </x:c>
      <x:c r="L13" s="31" t="n">
        <x:v>0</x:v>
      </x:c>
      <x:c r="M13" s="31" t="n">
        <x:v>10586.151394377</x:v>
      </x:c>
      <x:c r="N13" s="24" t="str">
        <x:v>setipinna phasa</x:v>
      </x:c>
      <x:c r="O13" s="32" t="n">
        <x:v>3.25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Setipinna phasa</x:v>
      </x:c>
      <x:c r="T13" s="32" t="n">
        <x:f>IF(O13="","",(1/'Metadata'!$B$5)^(O13-1))</x:f>
        <x:v>177.82794100389228</x:v>
      </x:c>
      <x:c r="U13" s="31" t="n">
        <x:f>IF(T13="","",I13*T13)</x:f>
        <x:v>1882513.5056175452</x:v>
      </x:c>
    </x:row>
    <x:row r="14" ht="18" customHeight="1">
      <x:c r="A14" s="24" t="str">
        <x:v>EEZ_050</x:v>
      </x:c>
      <x:c r="B14" s="24" t="str">
        <x:v>Bangladesh</x:v>
      </x:c>
      <x:c r="C14" s="24" t="str">
        <x:v>EEZ</x:v>
      </x:c>
      <x:c r="D14" s="30" t="n">
        <x:v>2019</x:v>
      </x:c>
      <x:c r="E14" s="24" t="str">
        <x:v>Sciaenidae</x:v>
      </x:c>
      <x:c r="F14" s="24" t="str">
        <x:v>Drums, croakers</x:v>
      </x:c>
      <x:c r="G14" s="24" t="str">
        <x:v>Medium demersals (30 - 89 cm)</x:v>
      </x:c>
      <x:c r="H14" s="24" t="str">
        <x:v>Perch-likes</x:v>
      </x:c>
      <x:c r="I14" s="31" t="n">
        <x:v>9571.158273634599</x:v>
      </x:c>
      <x:c r="J14" s="31" t="n">
        <x:v>7353.9217356153995</x:v>
      </x:c>
      <x:c r="K14" s="31" t="n">
        <x:v>2217.2365380192</x:v>
      </x:c>
      <x:c r="L14" s="31" t="n">
        <x:v>51.3219671544</x:v>
      </x:c>
      <x:c r="M14" s="31" t="n">
        <x:v>9519.8363064802</x:v>
      </x:c>
      <x:c r="N14" s="24" t="str">
        <x:v>sciaenidae</x:v>
      </x:c>
      <x:c r="O14" s="32" t="n">
        <x:v>3.76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Sciaenidae</x:v>
      </x:c>
      <x:c r="T14" s="32" t="n">
        <x:f>IF(O14="","",(1/'Metadata'!$B$5)^(O14-1))</x:f>
        <x:v>575.4399373371566</x:v>
      </x:c>
      <x:c r="U14" s="31" t="n">
        <x:f>IF(T14="","",I14*T14)</x:f>
        <x:v>5507626.717224302</x:v>
      </x:c>
    </x:row>
    <x:row r="15" ht="18" customHeight="1">
      <x:c r="A15" s="24" t="str">
        <x:v>EEZ_050</x:v>
      </x:c>
      <x:c r="B15" s="24" t="str">
        <x:v>Bangladesh</x:v>
      </x:c>
      <x:c r="C15" s="24" t="str">
        <x:v>EEZ</x:v>
      </x:c>
      <x:c r="D15" s="30" t="n">
        <x:v>2019</x:v>
      </x:c>
      <x:c r="E15" s="24" t="str">
        <x:v>Leptomelanosoma indicum</x:v>
      </x:c>
      <x:c r="F15" s="24" t="str">
        <x:v>Indian threadfin</x:v>
      </x:c>
      <x:c r="G15" s="24" t="str">
        <x:v>Large demersals (&gt;=90 cm)</x:v>
      </x:c>
      <x:c r="H15" s="24" t="str">
        <x:v>Perch-likes</x:v>
      </x:c>
      <x:c r="I15" s="31" t="n">
        <x:v>9231.8017937201</x:v>
      </x:c>
      <x:c r="J15" s="31" t="n">
        <x:v>9231.8017937201</x:v>
      </x:c>
      <x:c r="K15" s="31" t="n">
        <x:v>0</x:v>
      </x:c>
      <x:c r="L15" s="31" t="n">
        <x:v>7898.0000001001</x:v>
      </x:c>
      <x:c r="M15" s="31" t="n">
        <x:v>1333.8017936200001</x:v>
      </x:c>
      <x:c r="N15" s="24" t="str">
        <x:v>leptomelanosoma indicum</x:v>
      </x:c>
      <x:c r="O15" s="32" t="n">
        <x:v>3.86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Leptomelanosoma indicum</x:v>
      </x:c>
      <x:c r="T15" s="32" t="n">
        <x:f>IF(O15="","",(1/'Metadata'!$B$5)^(O15-1))</x:f>
        <x:v>724.4359600749899</x:v>
      </x:c>
      <x:c r="U15" s="31" t="n">
        <x:f>IF(T15="","",I15*T15)</x:f>
        <x:v>6687849.195655635</x:v>
      </x:c>
    </x:row>
    <x:row r="16" ht="18" customHeight="1">
      <x:c r="A16" s="24" t="str">
        <x:v>EEZ_050</x:v>
      </x:c>
      <x:c r="B16" s="24" t="str">
        <x:v>Bangladesh</x:v>
      </x:c>
      <x:c r="C16" s="24" t="str">
        <x:v>EEZ</x:v>
      </x:c>
      <x:c r="D16" s="30" t="n">
        <x:v>2019</x:v>
      </x:c>
      <x:c r="E16" s="24" t="str">
        <x:v>Cynoglossus cynoglossus</x:v>
      </x:c>
      <x:c r="F16" s="24" t="str">
        <x:v>Bengal tongue sole</x:v>
      </x:c>
      <x:c r="G16" s="24" t="str">
        <x:v>Small to medium flatfishes (&lt;90 cm)</x:v>
      </x:c>
      <x:c r="H16" s="24" t="str">
        <x:v>Flatfishes</x:v>
      </x:c>
      <x:c r="I16" s="31" t="n">
        <x:v>7682.512965</x:v>
      </x:c>
      <x:c r="J16" s="31" t="n">
        <x:v>5602.874387</x:v>
      </x:c>
      <x:c r="K16" s="31" t="n">
        <x:v>2079.638578</x:v>
      </x:c>
      <x:c r="L16" s="31" t="n">
        <x:v>0</x:v>
      </x:c>
      <x:c r="M16" s="31" t="n">
        <x:v>7682.512965</x:v>
      </x:c>
      <x:c r="N16" s="24" t="str">
        <x:v>cynoglossus cynoglossus</x:v>
      </x:c>
      <x:c r="O16" s="32" t="n">
        <x:v>3.5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Cynoglossus cynoglossus</x:v>
      </x:c>
      <x:c r="T16" s="32" t="n">
        <x:f>IF(O16="","",(1/'Metadata'!$B$5)^(O16-1))</x:f>
        <x:v>316.22776601683796</x:v>
      </x:c>
      <x:c r="U16" s="31" t="n">
        <x:f>IF(T16="","",I16*T16)</x:f>
        <x:v>2429423.912317344</x:v>
      </x:c>
    </x:row>
    <x:row r="17" ht="18" customHeight="1">
      <x:c r="A17" s="24" t="str">
        <x:v>EEZ_050</x:v>
      </x:c>
      <x:c r="B17" s="24" t="str">
        <x:v>Bangladesh</x:v>
      </x:c>
      <x:c r="C17" s="24" t="str">
        <x:v>EEZ</x:v>
      </x:c>
      <x:c r="D17" s="30" t="n">
        <x:v>2019</x:v>
      </x:c>
      <x:c r="E17" s="24" t="str">
        <x:v>Lepturacanthus savala</x:v>
      </x:c>
      <x:c r="F17" s="24" t="str">
        <x:v>Savalai hairtail</x:v>
      </x:c>
      <x:c r="G17" s="24" t="str">
        <x:v>Large benthopelagics (&gt;=90 cm)</x:v>
      </x:c>
      <x:c r="H17" s="24" t="str">
        <x:v>Perch-likes</x:v>
      </x:c>
      <x:c r="I17" s="31" t="n">
        <x:v>7336.875365</x:v>
      </x:c>
      <x:c r="J17" s="31" t="n">
        <x:v>7336.875365</x:v>
      </x:c>
      <x:c r="K17" s="31" t="n">
        <x:v>0</x:v>
      </x:c>
      <x:c r="L17" s="31" t="n">
        <x:v>0</x:v>
      </x:c>
      <x:c r="M17" s="31" t="n">
        <x:v>7336.875365</x:v>
      </x:c>
      <x:c r="N17" s="24" t="str">
        <x:v>lepturacanthus savala</x:v>
      </x:c>
      <x:c r="O17" s="32" t="n">
        <x:v>4.31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Lepturacanthus savala</x:v>
      </x:c>
      <x:c r="T17" s="32" t="n">
        <x:f>IF(O17="","",(1/'Metadata'!$B$5)^(O17-1))</x:f>
        <x:v>2041.7379446695275</x:v>
      </x:c>
      <x:c r="U17" s="31" t="n">
        <x:f>IF(T17="","",I17*T17)</x:f>
        <x:v>14979976.828031588</x:v>
      </x:c>
    </x:row>
    <x:row r="18" ht="18" customHeight="1">
      <x:c r="A18" s="24" t="str">
        <x:v>EEZ_050</x:v>
      </x:c>
      <x:c r="B18" s="24" t="str">
        <x:v>Bangladesh</x:v>
      </x:c>
      <x:c r="C18" s="24" t="str">
        <x:v>EEZ</x:v>
      </x:c>
      <x:c r="D18" s="30" t="n">
        <x:v>2019</x:v>
      </x:c>
      <x:c r="E18" s="24" t="str">
        <x:v>Coilia dussumieri</x:v>
      </x:c>
      <x:c r="F18" s="24" t="str">
        <x:v>Goldspotted grenadier anchovy</x:v>
      </x:c>
      <x:c r="G18" s="24" t="str">
        <x:v>Small pelagics (&lt;30 cm)</x:v>
      </x:c>
      <x:c r="H18" s="24" t="str">
        <x:v>Anchovies</x:v>
      </x:c>
      <x:c r="I18" s="31" t="n">
        <x:v>7116.7848867968005</x:v>
      </x:c>
      <x:c r="J18" s="31" t="n">
        <x:v>7116.7848867968005</x:v>
      </x:c>
      <x:c r="K18" s="31" t="n">
        <x:v>0</x:v>
      </x:c>
      <x:c r="L18" s="31" t="n">
        <x:v>1178.8918854201</x:v>
      </x:c>
      <x:c r="M18" s="31" t="n">
        <x:v>5937.8930013767</x:v>
      </x:c>
      <x:c r="N18" s="24" t="str">
        <x:v>coilia dussumieri</x:v>
      </x:c>
      <x:c r="O18" s="32" t="n">
        <x:v>3.3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Coilia dussumieri</x:v>
      </x:c>
      <x:c r="T18" s="32" t="n">
        <x:f>IF(O18="","",(1/'Metadata'!$B$5)^(O18-1))</x:f>
        <x:v>199.52623149688787</x:v>
      </x:c>
      <x:c r="U18" s="31" t="n">
        <x:f>IF(T18="","",I18*T18)</x:f>
        <x:v>1419985.2688365714</x:v>
      </x:c>
    </x:row>
    <x:row r="19" ht="18" customHeight="1">
      <x:c r="A19" s="24" t="str">
        <x:v>EEZ_050</x:v>
      </x:c>
      <x:c r="B19" s="24" t="str">
        <x:v>Bangladesh</x:v>
      </x:c>
      <x:c r="C19" s="24" t="str">
        <x:v>EEZ</x:v>
      </x:c>
      <x:c r="D19" s="30" t="n">
        <x:v>2019</x:v>
      </x:c>
      <x:c r="E19" s="24" t="str">
        <x:v>Leiognathidae</x:v>
      </x:c>
      <x:c r="F19" s="24" t="str">
        <x:v>Slipmouths, ponyfishes</x:v>
      </x:c>
      <x:c r="G19" s="24" t="str">
        <x:v>Small benthopelagics (&lt;30 cm)</x:v>
      </x:c>
      <x:c r="H19" s="24" t="str">
        <x:v>Perch-likes</x:v>
      </x:c>
      <x:c r="I19" s="31" t="n">
        <x:v>5943.201860155</x:v>
      </x:c>
      <x:c r="J19" s="31" t="n">
        <x:v>299.98437794200004</x:v>
      </x:c>
      <x:c r="K19" s="31" t="n">
        <x:v>5643.217482213</x:v>
      </x:c>
      <x:c r="L19" s="31" t="n">
        <x:v>200.1878683278</x:v>
      </x:c>
      <x:c r="M19" s="31" t="n">
        <x:v>5743.0139918272</x:v>
      </x:c>
      <x:c r="N19" s="24" t="str">
        <x:v>leiognathidae</x:v>
      </x:c>
      <x:c r="O19" s="32" t="n">
        <x:v>3.24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Leiognathidae</x:v>
      </x:c>
      <x:c r="T19" s="32" t="n">
        <x:f>IF(O19="","",(1/'Metadata'!$B$5)^(O19-1))</x:f>
        <x:v>173.78008287493762</x:v>
      </x:c>
      <x:c r="U19" s="31" t="n">
        <x:f>IF(T19="","",I19*T19)</x:f>
        <x:v>1032810.1118002193</x:v>
      </x:c>
    </x:row>
    <x:row r="20" ht="18" customHeight="1">
      <x:c r="A20" s="24" t="str">
        <x:v>EEZ_050</x:v>
      </x:c>
      <x:c r="B20" s="24" t="str">
        <x:v>Bangladesh</x:v>
      </x:c>
      <x:c r="C20" s="24" t="str">
        <x:v>EEZ</x:v>
      </x:c>
      <x:c r="D20" s="30" t="n">
        <x:v>2019</x:v>
      </x:c>
      <x:c r="E20" s="24" t="str">
        <x:v>Elasmobranchii</x:v>
      </x:c>
      <x:c r="F20" s="24" t="str">
        <x:v>Sharks, rays, skates</x:v>
      </x:c>
      <x:c r="G20" s="24" t="str">
        <x:v>Large sharks (&gt;=90 cm)</x:v>
      </x:c>
      <x:c r="H20" s="24" t="str">
        <x:v>Sharks &amp; rays</x:v>
      </x:c>
      <x:c r="I20" s="31" t="n">
        <x:v>5581.7039900026</x:v>
      </x:c>
      <x:c r="J20" s="31" t="n">
        <x:v>5284.0035893026</x:v>
      </x:c>
      <x:c r="K20" s="31" t="n">
        <x:v>297.7004007</x:v>
      </x:c>
      <x:c r="L20" s="31" t="n">
        <x:v>4274.9229828444995</x:v>
      </x:c>
      <x:c r="M20" s="31" t="n">
        <x:v>1306.7810071581</x:v>
      </x:c>
      <x:c r="N20" s="24" t="str">
        <x:v>elasmobranchii</x:v>
      </x:c>
      <x:c r="O20" s="32" t="n">
        <x:v>4.05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Elasmobranchii</x:v>
      </x:c>
      <x:c r="T20" s="32" t="n">
        <x:f>IF(O20="","",(1/'Metadata'!$B$5)^(O20-1))</x:f>
        <x:v>1122.018454301963</x:v>
      </x:c>
      <x:c r="U20" s="31" t="n">
        <x:f>IF(T20="","",I20*T20)</x:f>
        <x:v>6262774.883233816</x:v>
      </x:c>
    </x:row>
    <x:row r="21" ht="18" customHeight="1">
      <x:c r="A21" s="24" t="str">
        <x:v>EEZ_050</x:v>
      </x:c>
      <x:c r="B21" s="24" t="str">
        <x:v>Bangladesh</x:v>
      </x:c>
      <x:c r="C21" s="24" t="str">
        <x:v>EEZ</x:v>
      </x:c>
      <x:c r="D21" s="30" t="n">
        <x:v>2019</x:v>
      </x:c>
      <x:c r="E21" s="24" t="str">
        <x:v>Clupeidae</x:v>
      </x:c>
      <x:c r="F21" s="24" t="str">
        <x:v>Herrings, sardines, menhadens</x:v>
      </x:c>
      <x:c r="G21" s="24" t="str">
        <x:v>Small pelagics (&lt;30 cm)</x:v>
      </x:c>
      <x:c r="H21" s="24" t="str">
        <x:v>Herring-likes</x:v>
      </x:c>
      <x:c r="I21" s="31" t="n">
        <x:v>4177.34078</x:v>
      </x:c>
      <x:c r="J21" s="31" t="n">
        <x:v>4177.34078</x:v>
      </x:c>
      <x:c r="K21" s="31" t="n">
        <x:v>0</x:v>
      </x:c>
      <x:c r="L21" s="31" t="n">
        <x:v>0</x:v>
      </x:c>
      <x:c r="M21" s="31" t="n">
        <x:v>4177.34078</x:v>
      </x:c>
      <x:c r="N21" s="24" t="str">
        <x:v>clupeidae</x:v>
      </x:c>
      <x:c r="O21" s="32" t="n">
        <x:v>3.16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Clupeidae</x:v>
      </x:c>
      <x:c r="T21" s="32" t="n">
        <x:f>IF(O21="","",(1/'Metadata'!$B$5)^(O21-1))</x:f>
        <x:v>144.5439770745928</x:v>
      </x:c>
      <x:c r="U21" s="31" t="n">
        <x:f>IF(T21="","",I21*T21)</x:f>
        <x:v>603809.4499370817</x:v>
      </x:c>
    </x:row>
    <x:row r="22" ht="18" customHeight="1">
      <x:c r="A22" s="24" t="str">
        <x:v>EEZ_050</x:v>
      </x:c>
      <x:c r="B22" s="24" t="str">
        <x:v>Bangladesh</x:v>
      </x:c>
      <x:c r="C22" s="24" t="str">
        <x:v>EEZ</x:v>
      </x:c>
      <x:c r="D22" s="30" t="n">
        <x:v>2019</x:v>
      </x:c>
      <x:c r="E22" s="24" t="str">
        <x:v>Escualosa thoracata</x:v>
      </x:c>
      <x:c r="F22" s="24" t="str">
        <x:v>White sardine</x:v>
      </x:c>
      <x:c r="G22" s="24" t="str">
        <x:v>Small pelagics (&lt;30 cm)</x:v>
      </x:c>
      <x:c r="H22" s="24" t="str">
        <x:v>Herring-likes</x:v>
      </x:c>
      <x:c r="I22" s="31" t="n">
        <x:v>4133.966017</x:v>
      </x:c>
      <x:c r="J22" s="31" t="n">
        <x:v>4133.966017</x:v>
      </x:c>
      <x:c r="K22" s="31" t="n">
        <x:v>0</x:v>
      </x:c>
      <x:c r="L22" s="31" t="n">
        <x:v>0</x:v>
      </x:c>
      <x:c r="M22" s="31" t="n">
        <x:v>4133.966017</x:v>
      </x:c>
      <x:c r="N22" s="24" t="str">
        <x:v>escualosa thoracata</x:v>
      </x:c>
      <x:c r="O22" s="32" t="n">
        <x:v>3.16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Escualosa thoracata</x:v>
      </x:c>
      <x:c r="T22" s="32" t="n">
        <x:f>IF(O22="","",(1/'Metadata'!$B$5)^(O22-1))</x:f>
        <x:v>144.5439770745928</x:v>
      </x:c>
      <x:c r="U22" s="31" t="n">
        <x:f>IF(T22="","",I22*T22)</x:f>
        <x:v>597539.8891883936</x:v>
      </x:c>
    </x:row>
    <x:row r="23" ht="18" customHeight="1">
      <x:c r="A23" s="24" t="str">
        <x:v>EEZ_050</x:v>
      </x:c>
      <x:c r="B23" s="24" t="str">
        <x:v>Bangladesh</x:v>
      </x:c>
      <x:c r="C23" s="24" t="str">
        <x:v>EEZ</x:v>
      </x:c>
      <x:c r="D23" s="30" t="n">
        <x:v>2019</x:v>
      </x:c>
      <x:c r="E23" s="24" t="str">
        <x:v>Parapenaeopsis stylifera</x:v>
      </x:c>
      <x:c r="F23" s="24" t="str">
        <x:v>Kiddi shrimp</x:v>
      </x:c>
      <x:c r="G23" s="24" t="str">
        <x:v>Shrimps</x:v>
      </x:c>
      <x:c r="H23" s="24" t="str">
        <x:v>Crustaceans</x:v>
      </x:c>
      <x:c r="I23" s="31" t="n">
        <x:v>4130.848262</x:v>
      </x:c>
      <x:c r="J23" s="31" t="n">
        <x:v>4130.848262</x:v>
      </x:c>
      <x:c r="K23" s="31" t="n">
        <x:v>0</x:v>
      </x:c>
      <x:c r="L23" s="31" t="n">
        <x:v>0</x:v>
      </x:c>
      <x:c r="M23" s="31" t="n">
        <x:v>4130.848262</x:v>
      </x:c>
      <x:c r="N23" s="24" t="str">
        <x:v>parapenaeopsis stylifera</x:v>
      </x:c>
      <x:c r="O23" s="32" t="n">
        <x:v>2.66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Parapenaeopsis stylifera</x:v>
      </x:c>
      <x:c r="T23" s="32" t="n">
        <x:f>IF(O23="","",(1/'Metadata'!$B$5)^(O23-1))</x:f>
        <x:v>45.708818961487516</x:v>
      </x:c>
      <x:c r="U23" s="31" t="n">
        <x:f>IF(T23="","",I23*T23)</x:f>
        <x:v>188816.19536513338</x:v>
      </x:c>
    </x:row>
    <x:row r="24" ht="18" customHeight="1">
      <x:c r="A24" s="24" t="str">
        <x:v>EEZ_050</x:v>
      </x:c>
      <x:c r="B24" s="24" t="str">
        <x:v>Bangladesh</x:v>
      </x:c>
      <x:c r="C24" s="24" t="str">
        <x:v>EEZ</x:v>
      </x:c>
      <x:c r="D24" s="30" t="n">
        <x:v>2019</x:v>
      </x:c>
      <x:c r="E24" s="24" t="str">
        <x:v>Metapenaeus tenuipes</x:v>
      </x:c>
      <x:c r="F24" s="24" t="str">
        <x:v>Stork shrimp</x:v>
      </x:c>
      <x:c r="G24" s="24" t="str">
        <x:v>Shrimps</x:v>
      </x:c>
      <x:c r="H24" s="24" t="str">
        <x:v>Crustaceans</x:v>
      </x:c>
      <x:c r="I24" s="31" t="n">
        <x:v>4049.073981</x:v>
      </x:c>
      <x:c r="J24" s="31" t="n">
        <x:v>4049.073981</x:v>
      </x:c>
      <x:c r="K24" s="31" t="n">
        <x:v>0</x:v>
      </x:c>
      <x:c r="L24" s="31" t="n">
        <x:v>0</x:v>
      </x:c>
      <x:c r="M24" s="31" t="n">
        <x:v>4049.073981</x:v>
      </x:c>
      <x:c r="N24" s="24" t="str">
        <x:v>metapenaeus tenuipes</x:v>
      </x:c>
      <x:c r="O24" s="32" t="n">
        <x:v>3.39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Metapenaeus tenuipes</x:v>
      </x:c>
      <x:c r="T24" s="32" t="n">
        <x:f>IF(O24="","",(1/'Metadata'!$B$5)^(O24-1))</x:f>
        <x:v>245.4708915685031</x:v>
      </x:c>
      <x:c r="U24" s="31" t="n">
        <x:f>IF(T24="","",I24*T24)</x:f>
        <x:v>993929.8001428982</x:v>
      </x:c>
    </x:row>
    <x:row r="25" ht="18" customHeight="1">
      <x:c r="A25" s="24" t="str">
        <x:v>EEZ_050</x:v>
      </x:c>
      <x:c r="B25" s="24" t="str">
        <x:v>Bangladesh</x:v>
      </x:c>
      <x:c r="C25" s="24" t="str">
        <x:v>EEZ</x:v>
      </x:c>
      <x:c r="D25" s="30" t="n">
        <x:v>2019</x:v>
      </x:c>
      <x:c r="E25" s="24" t="str">
        <x:v>Thryssa</x:v>
      </x:c>
      <x:c r="F25" s="24" t="str">
        <x:v>Thryssas</x:v>
      </x:c>
      <x:c r="G25" s="24" t="str">
        <x:v>Small pelagics (&lt;30 cm)</x:v>
      </x:c>
      <x:c r="H25" s="24" t="str">
        <x:v>Anchovies</x:v>
      </x:c>
      <x:c r="I25" s="31" t="n">
        <x:v>3927.6141858458</x:v>
      </x:c>
      <x:c r="J25" s="31" t="n">
        <x:v>3925.2284599968</x:v>
      </x:c>
      <x:c r="K25" s="31" t="n">
        <x:v>2.385725849</x:v>
      </x:c>
      <x:c r="L25" s="31" t="n">
        <x:v>1800.6774096201</x:v>
      </x:c>
      <x:c r="M25" s="31" t="n">
        <x:v>2126.9367762257</x:v>
      </x:c>
      <x:c r="N25" s="24" t="str">
        <x:v>thryssa</x:v>
      </x:c>
      <x:c r="O25" s="32" t="n">
        <x:v>3.34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Thryssa</x:v>
      </x:c>
      <x:c r="T25" s="32" t="n">
        <x:f>IF(O25="","",(1/'Metadata'!$B$5)^(O25-1))</x:f>
        <x:v>218.77616239495518</x:v>
      </x:c>
      <x:c r="U25" s="31" t="n">
        <x:f>IF(T25="","",I25*T25)</x:f>
        <x:v>859268.3589473304</x:v>
      </x:c>
    </x:row>
    <x:row r="26" ht="18" customHeight="1">
      <x:c r="A26" s="24" t="str">
        <x:v>EEZ_050</x:v>
      </x:c>
      <x:c r="B26" s="24" t="str">
        <x:v>Bangladesh</x:v>
      </x:c>
      <x:c r="C26" s="24" t="str">
        <x:v>EEZ</x:v>
      </x:c>
      <x:c r="D26" s="30" t="n">
        <x:v>2019</x:v>
      </x:c>
      <x:c r="E26" s="24" t="str">
        <x:v>Polynemidae</x:v>
      </x:c>
      <x:c r="F26" s="24" t="str">
        <x:v>Threadfins</x:v>
      </x:c>
      <x:c r="G26" s="24" t="str">
        <x:v>Small demersals (&lt;30 cm)</x:v>
      </x:c>
      <x:c r="H26" s="24" t="str">
        <x:v>Perch-likes</x:v>
      </x:c>
      <x:c r="I26" s="31" t="n">
        <x:v>3704.988344328</x:v>
      </x:c>
      <x:c r="J26" s="31" t="n">
        <x:v>2.5838773280000003</x:v>
      </x:c>
      <x:c r="K26" s="31" t="n">
        <x:v>3702.404467</x:v>
      </x:c>
      <x:c r="L26" s="31" t="n">
        <x:v>1.1142306123</x:v>
      </x:c>
      <x:c r="M26" s="31" t="n">
        <x:v>3703.8741137157</x:v>
      </x:c>
      <x:c r="N26" s="24" t="str">
        <x:v>polynemidae</x:v>
      </x:c>
      <x:c r="O26" s="32" t="n">
        <x:v>3.62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Polynemidae</x:v>
      </x:c>
      <x:c r="T26" s="32" t="n">
        <x:f>IF(O26="","",(1/'Metadata'!$B$5)^(O26-1))</x:f>
        <x:v>416.8693834703355</x:v>
      </x:c>
      <x:c r="U26" s="31" t="n">
        <x:f>IF(T26="","",I26*T26)</x:f>
        <x:v>1544496.2068647924</x:v>
      </x:c>
    </x:row>
    <x:row r="27" ht="18" customHeight="1">
      <x:c r="A27" s="24" t="str">
        <x:v>EEZ_050</x:v>
      </x:c>
      <x:c r="B27" s="24" t="str">
        <x:v>Bangladesh</x:v>
      </x:c>
      <x:c r="C27" s="24" t="str">
        <x:v>EEZ</x:v>
      </x:c>
      <x:c r="D27" s="30" t="n">
        <x:v>2019</x:v>
      </x:c>
      <x:c r="E27" s="24" t="str">
        <x:v>Terapon jarbua</x:v>
      </x:c>
      <x:c r="F27" s="24" t="str">
        <x:v>Jarbua terapon</x:v>
      </x:c>
      <x:c r="G27" s="24" t="str">
        <x:v>Medium demersals (30 - 89 cm)</x:v>
      </x:c>
      <x:c r="H27" s="24" t="str">
        <x:v>Perch-likes</x:v>
      </x:c>
      <x:c r="I27" s="31" t="n">
        <x:v>3669.865799</x:v>
      </x:c>
      <x:c r="J27" s="31" t="n">
        <x:v>3669.865799</x:v>
      </x:c>
      <x:c r="K27" s="31" t="n">
        <x:v>0</x:v>
      </x:c>
      <x:c r="L27" s="31" t="n">
        <x:v>0</x:v>
      </x:c>
      <x:c r="M27" s="31" t="n">
        <x:v>3669.865799</x:v>
      </x:c>
      <x:c r="N27" s="24" t="str">
        <x:v>terapon jarbua</x:v>
      </x:c>
      <x:c r="O27" s="32" t="n">
        <x:v>3.93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Terapon jarbua</x:v>
      </x:c>
      <x:c r="T27" s="32" t="n">
        <x:f>IF(O27="","",(1/'Metadata'!$B$5)^(O27-1))</x:f>
        <x:v>851.1380382023768</x:v>
      </x:c>
      <x:c r="U27" s="31" t="n">
        <x:f>IF(T27="","",I27*T27)</x:f>
        <x:v>3123562.3766268585</x:v>
      </x:c>
    </x:row>
    <x:row r="28" ht="18" customHeight="1">
      <x:c r="A28" s="24" t="str">
        <x:v>EEZ_050</x:v>
      </x:c>
      <x:c r="B28" s="24" t="str">
        <x:v>Bangladesh</x:v>
      </x:c>
      <x:c r="C28" s="24" t="str">
        <x:v>EEZ</x:v>
      </x:c>
      <x:c r="D28" s="30" t="n">
        <x:v>2019</x:v>
      </x:c>
      <x:c r="E28" s="24" t="str">
        <x:v>Engraulidae</x:v>
      </x:c>
      <x:c r="F28" s="24" t="str">
        <x:v>Anchovies, round herrings</x:v>
      </x:c>
      <x:c r="G28" s="24" t="str">
        <x:v>Small pelagics (&lt;30 cm)</x:v>
      </x:c>
      <x:c r="H28" s="24" t="str">
        <x:v>Anchovies</x:v>
      </x:c>
      <x:c r="I28" s="31" t="n">
        <x:v>3516.8697369108</x:v>
      </x:c>
      <x:c r="J28" s="31" t="n">
        <x:v>3510.4175484678</x:v>
      </x:c>
      <x:c r="K28" s="31" t="n">
        <x:v>6.452188443</x:v>
      </x:c>
      <x:c r="L28" s="31" t="n">
        <x:v>1812.1247198702001</x:v>
      </x:c>
      <x:c r="M28" s="31" t="n">
        <x:v>1704.7450170406</x:v>
      </x:c>
      <x:c r="N28" s="24" t="str">
        <x:v>engraulidae</x:v>
      </x:c>
      <x:c r="O28" s="32" t="n">
        <x:v>3.2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Engraulidae</x:v>
      </x:c>
      <x:c r="T28" s="32" t="n">
        <x:f>IF(O28="","",(1/'Metadata'!$B$5)^(O28-1))</x:f>
        <x:v>158.48931924611142</x:v>
      </x:c>
      <x:c r="U28" s="31" t="n">
        <x:f>IF(T28="","",I28*T28)</x:f>
        <x:v>557386.2904802436</x:v>
      </x:c>
    </x:row>
    <x:row r="29" ht="18" customHeight="1">
      <x:c r="A29" s="24" t="str">
        <x:v>EEZ_050</x:v>
      </x:c>
      <x:c r="B29" s="24" t="str">
        <x:v>Bangladesh</x:v>
      </x:c>
      <x:c r="C29" s="24" t="str">
        <x:v>EEZ</x:v>
      </x:c>
      <x:c r="D29" s="30" t="n">
        <x:v>2019</x:v>
      </x:c>
      <x:c r="E29" s="24" t="str">
        <x:v>Gudusia chapra</x:v>
      </x:c>
      <x:c r="F29" s="24" t="str">
        <x:v>Indian river shad</x:v>
      </x:c>
      <x:c r="G29" s="24" t="str">
        <x:v>Small pelagics (&lt;30 cm)</x:v>
      </x:c>
      <x:c r="H29" s="24" t="str">
        <x:v>Herring-likes</x:v>
      </x:c>
      <x:c r="I29" s="31" t="n">
        <x:v>3204.109359</x:v>
      </x:c>
      <x:c r="J29" s="31" t="n">
        <x:v>3204.109359</x:v>
      </x:c>
      <x:c r="K29" s="31" t="n">
        <x:v>0</x:v>
      </x:c>
      <x:c r="L29" s="31" t="n">
        <x:v>0</x:v>
      </x:c>
      <x:c r="M29" s="31" t="n">
        <x:v>3204.109359</x:v>
      </x:c>
      <x:c r="N29" s="24" t="str">
        <x:v>gudusia chapra</x:v>
      </x:c>
      <x:c r="O29" s="32" t="n">
        <x:v>2.31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Gudusia chapra</x:v>
      </x:c>
      <x:c r="T29" s="32" t="n">
        <x:f>IF(O29="","",(1/'Metadata'!$B$5)^(O29-1))</x:f>
        <x:v>20.417379446695296</x:v>
      </x:c>
      <x:c r="U29" s="31" t="n">
        <x:f>IF(T29="","",I29*T29)</x:f>
        <x:v>65419.51657141064</x:v>
      </x:c>
    </x:row>
    <x:row r="30" ht="18" customHeight="1">
      <x:c r="A30" s="24" t="str">
        <x:v>EEZ_050</x:v>
      </x:c>
      <x:c r="B30" s="24" t="str">
        <x:v>Bangladesh</x:v>
      </x:c>
      <x:c r="C30" s="24" t="str">
        <x:v>EEZ</x:v>
      </x:c>
      <x:c r="D30" s="30" t="n">
        <x:v>2019</x:v>
      </x:c>
      <x:c r="E30" s="24" t="str">
        <x:v>Mugilidae</x:v>
      </x:c>
      <x:c r="F30" s="24" t="str">
        <x:v>Mullets, grey mullets</x:v>
      </x:c>
      <x:c r="G30" s="24" t="str">
        <x:v>Medium reef assoc. fish (30 - 89 cm)</x:v>
      </x:c>
      <x:c r="H30" s="24" t="str">
        <x:v>Perch-likes</x:v>
      </x:c>
      <x:c r="I30" s="31" t="n">
        <x:v>3004.8288633024</x:v>
      </x:c>
      <x:c r="J30" s="31" t="n">
        <x:v>3004.8288633024</x:v>
      </x:c>
      <x:c r="K30" s="31" t="n">
        <x:v>0</x:v>
      </x:c>
      <x:c r="L30" s="31" t="n">
        <x:v>1.9623763024</x:v>
      </x:c>
      <x:c r="M30" s="31" t="n">
        <x:v>3002.866487</x:v>
      </x:c>
      <x:c r="N30" s="24" t="str">
        <x:v>mugilidae</x:v>
      </x:c>
      <x:c r="O30" s="32" t="n">
        <x:v>2.53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Mugilidae</x:v>
      </x:c>
      <x:c r="T30" s="32" t="n">
        <x:f>IF(O30="","",(1/'Metadata'!$B$5)^(O30-1))</x:f>
        <x:v>33.88441561392024</x:v>
      </x:c>
      <x:c r="U30" s="31" t="n">
        <x:f>IF(T30="","",I30*T30)</x:f>
        <x:v>101816.87005284204</x:v>
      </x:c>
    </x:row>
    <x:row r="31" ht="18" customHeight="1">
      <x:c r="A31" s="24" t="str">
        <x:v>EEZ_050</x:v>
      </x:c>
      <x:c r="B31" s="24" t="str">
        <x:v>Bangladesh</x:v>
      </x:c>
      <x:c r="C31" s="24" t="str">
        <x:v>EEZ</x:v>
      </x:c>
      <x:c r="D31" s="30" t="n">
        <x:v>2019</x:v>
      </x:c>
      <x:c r="E31" s="24" t="str">
        <x:v>Scylla serrata</x:v>
      </x:c>
      <x:c r="F31" s="24" t="str">
        <x:v>Indo-Pacific swamp crab</x:v>
      </x:c>
      <x:c r="G31" s="24" t="str">
        <x:v>Lobsters, crabs</x:v>
      </x:c>
      <x:c r="H31" s="24" t="str">
        <x:v>Crustaceans</x:v>
      </x:c>
      <x:c r="I31" s="31" t="n">
        <x:v>2958.7455399572</x:v>
      </x:c>
      <x:c r="J31" s="31" t="n">
        <x:v>2958.7455399572</x:v>
      </x:c>
      <x:c r="K31" s="31" t="n">
        <x:v>0</x:v>
      </x:c>
      <x:c r="L31" s="31" t="n">
        <x:v>1.5923519572</x:v>
      </x:c>
      <x:c r="M31" s="31" t="n">
        <x:v>2957.153188</x:v>
      </x:c>
      <x:c r="N31" s="24" t="str">
        <x:v>scylla serrata</x:v>
      </x:c>
      <x:c r="O31" s="32" t="n">
        <x:v>3.17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Scylla serrata</x:v>
      </x:c>
      <x:c r="T31" s="32" t="n">
        <x:f>IF(O31="","",(1/'Metadata'!$B$5)^(O31-1))</x:f>
        <x:v>147.91083881682073</x:v>
      </x:c>
      <x:c r="U31" s="31" t="n">
        <x:f>IF(T31="","",I31*T31)</x:f>
        <x:v>437630.53466059663</x:v>
      </x:c>
    </x:row>
    <x:row r="32" ht="18" customHeight="1">
      <x:c r="A32" s="24" t="str">
        <x:v>EEZ_050</x:v>
      </x:c>
      <x:c r="B32" s="24" t="str">
        <x:v>Bangladesh</x:v>
      </x:c>
      <x:c r="C32" s="24" t="str">
        <x:v>EEZ</x:v>
      </x:c>
      <x:c r="D32" s="30" t="n">
        <x:v>2019</x:v>
      </x:c>
      <x:c r="E32" s="24" t="str">
        <x:v>Metapenaeus brevicornis</x:v>
      </x:c>
      <x:c r="F32" s="24" t="str">
        <x:v>Yellow shrimp</x:v>
      </x:c>
      <x:c r="G32" s="24" t="str">
        <x:v>Shrimps</x:v>
      </x:c>
      <x:c r="H32" s="24" t="str">
        <x:v>Crustaceans</x:v>
      </x:c>
      <x:c r="I32" s="31" t="n">
        <x:v>2839.110076</x:v>
      </x:c>
      <x:c r="J32" s="31" t="n">
        <x:v>2839.110076</x:v>
      </x:c>
      <x:c r="K32" s="31" t="n">
        <x:v>0</x:v>
      </x:c>
      <x:c r="L32" s="31" t="n">
        <x:v>0</x:v>
      </x:c>
      <x:c r="M32" s="31" t="n">
        <x:v>2839.110076</x:v>
      </x:c>
      <x:c r="N32" s="24" t="str">
        <x:v>metapenaeus brevicornis</x:v>
      </x:c>
      <x:c r="O32" s="32" t="n">
        <x:v>3.39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Metapenaeus brevicornis</x:v>
      </x:c>
      <x:c r="T32" s="32" t="n">
        <x:f>IF(O32="","",(1/'Metadata'!$B$5)^(O32-1))</x:f>
        <x:v>245.4708915685031</x:v>
      </x:c>
      <x:c r="U32" s="31" t="n">
        <x:f>IF(T32="","",I32*T32)</x:f>
        <x:v>696918.8816168406</x:v>
      </x:c>
    </x:row>
    <x:row r="33" ht="18" customHeight="1">
      <x:c r="A33" s="24" t="str">
        <x:v>EEZ_050</x:v>
      </x:c>
      <x:c r="B33" s="24" t="str">
        <x:v>Bangladesh</x:v>
      </x:c>
      <x:c r="C33" s="24" t="str">
        <x:v>EEZ</x:v>
      </x:c>
      <x:c r="D33" s="30" t="n">
        <x:v>2019</x:v>
      </x:c>
      <x:c r="E33" s="24" t="str">
        <x:v>Miscellaneous aquatic invertebrates</x:v>
      </x:c>
      <x:c r="F33" s="24" t="str">
        <x:v>Aquatic invertebrates</x:v>
      </x:c>
      <x:c r="G33" s="24" t="str">
        <x:v>Other demersal invertebrates</x:v>
      </x:c>
      <x:c r="H33" s="24" t="str">
        <x:v>Other fishes &amp; inverts</x:v>
      </x:c>
      <x:c r="I33" s="31" t="n">
        <x:v>2765.7213281205</x:v>
      </x:c>
      <x:c r="J33" s="31" t="n">
        <x:v>2765.7213281205</x:v>
      </x:c>
      <x:c r="K33" s="31" t="n">
        <x:v>0</x:v>
      </x:c>
      <x:c r="L33" s="31" t="n">
        <x:v>1.2763761120000001</x:v>
      </x:c>
      <x:c r="M33" s="31" t="n">
        <x:v>2764.4449520085</x:v>
      </x:c>
      <x:c r="N33" s="24" t="str">
        <x:v>miscellaneous aquatic invertebrates</x:v>
      </x:c>
      <x:c r="O33" s="32" t="n">
        <x:v>2.43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aquatic invertebrates</x:v>
      </x:c>
      <x:c r="T33" s="32" t="n">
        <x:f>IF(O33="","",(1/'Metadata'!$B$5)^(O33-1))</x:f>
        <x:v>26.915348039269166</x:v>
      </x:c>
      <x:c r="U33" s="31" t="n">
        <x:f>IF(T33="","",I33*T33)</x:f>
        <x:v>74440.35212599301</x:v>
      </x:c>
    </x:row>
    <x:row r="34" ht="18" customHeight="1">
      <x:c r="A34" s="24" t="str">
        <x:v>EEZ_050</x:v>
      </x:c>
      <x:c r="B34" s="24" t="str">
        <x:v>Bangladesh</x:v>
      </x:c>
      <x:c r="C34" s="24" t="str">
        <x:v>EEZ</x:v>
      </x:c>
      <x:c r="D34" s="30" t="n">
        <x:v>2019</x:v>
      </x:c>
      <x:c r="E34" s="24" t="str">
        <x:v>Polynemus paradiseus</x:v>
      </x:c>
      <x:c r="F34" s="24" t="str">
        <x:v>Paradise threadfin</x:v>
      </x:c>
      <x:c r="G34" s="24" t="str">
        <x:v>Medium demersals (30 - 89 cm)</x:v>
      </x:c>
      <x:c r="H34" s="24" t="str">
        <x:v>Perch-likes</x:v>
      </x:c>
      <x:c r="I34" s="31" t="n">
        <x:v>2666.661065</x:v>
      </x:c>
      <x:c r="J34" s="31" t="n">
        <x:v>2666.661065</x:v>
      </x:c>
      <x:c r="K34" s="31" t="n">
        <x:v>0</x:v>
      </x:c>
      <x:c r="L34" s="31" t="n">
        <x:v>0</x:v>
      </x:c>
      <x:c r="M34" s="31" t="n">
        <x:v>2666.661065</x:v>
      </x:c>
      <x:c r="N34" s="24" t="str">
        <x:v>polynemus paradiseus</x:v>
      </x:c>
      <x:c r="O34" s="32" t="n">
        <x:v>3.86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Polynemus paradiseus</x:v>
      </x:c>
      <x:c r="T34" s="32" t="n">
        <x:f>IF(O34="","",(1/'Metadata'!$B$5)^(O34-1))</x:f>
        <x:v>724.4359600749899</x:v>
      </x:c>
      <x:c r="U34" s="31" t="n">
        <x:f>IF(T34="","",I34*T34)</x:f>
        <x:v>1931825.1688178699</x:v>
      </x:c>
    </x:row>
    <x:row r="35" ht="18" customHeight="1">
      <x:c r="A35" s="24" t="str">
        <x:v>EEZ_050</x:v>
      </x:c>
      <x:c r="B35" s="24" t="str">
        <x:v>Bangladesh</x:v>
      </x:c>
      <x:c r="C35" s="24" t="str">
        <x:v>EEZ</x:v>
      </x:c>
      <x:c r="D35" s="30" t="n">
        <x:v>2019</x:v>
      </x:c>
      <x:c r="E35" s="24" t="str">
        <x:v>Rastrelliger kanagurta</x:v>
      </x:c>
      <x:c r="F35" s="24" t="str">
        <x:v>Indian mackerel</x:v>
      </x:c>
      <x:c r="G35" s="24" t="str">
        <x:v>Medium pelagics (30 - 89 cm)</x:v>
      </x:c>
      <x:c r="H35" s="24" t="str">
        <x:v>Perch-likes</x:v>
      </x:c>
      <x:c r="I35" s="31" t="n">
        <x:v>2483.9865634869</x:v>
      </x:c>
      <x:c r="J35" s="31" t="n">
        <x:v>2483.9865634869</x:v>
      </x:c>
      <x:c r="K35" s="31" t="n">
        <x:v>0</x:v>
      </x:c>
      <x:c r="L35" s="31" t="n">
        <x:v>2239.4987824055</x:v>
      </x:c>
      <x:c r="M35" s="31" t="n">
        <x:v>244.48778108140002</x:v>
      </x:c>
      <x:c r="N35" s="24" t="str">
        <x:v>rastrelliger kanagurta</x:v>
      </x:c>
      <x:c r="O35" s="32" t="n">
        <x:v>3.19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Rastrelliger kanagurta</x:v>
      </x:c>
      <x:c r="T35" s="32" t="n">
        <x:f>IF(O35="","",(1/'Metadata'!$B$5)^(O35-1))</x:f>
        <x:v>154.88166189124811</x:v>
      </x:c>
      <x:c r="U35" s="31" t="n">
        <x:f>IF(T35="","",I35*T35)</x:f>
        <x:v>384723.9670683814</x:v>
      </x:c>
    </x:row>
    <x:row r="36" ht="18" customHeight="1">
      <x:c r="A36" s="24" t="str">
        <x:v>EEZ_050</x:v>
      </x:c>
      <x:c r="B36" s="24" t="str">
        <x:v>Bangladesh</x:v>
      </x:c>
      <x:c r="C36" s="24" t="str">
        <x:v>EEZ</x:v>
      </x:c>
      <x:c r="D36" s="30" t="n">
        <x:v>2019</x:v>
      </x:c>
      <x:c r="E36" s="24" t="str">
        <x:v>Scomberomorus guttatus</x:v>
      </x:c>
      <x:c r="F36" s="24" t="str">
        <x:v>Indo-Pacific king mackerel</x:v>
      </x:c>
      <x:c r="G36" s="24" t="str">
        <x:v>Medium pelagics (30 - 89 cm)</x:v>
      </x:c>
      <x:c r="H36" s="24" t="str">
        <x:v>Perch-likes</x:v>
      </x:c>
      <x:c r="I36" s="31" t="n">
        <x:v>2377.4302608788003</x:v>
      </x:c>
      <x:c r="J36" s="31" t="n">
        <x:v>2377.4302608788003</x:v>
      </x:c>
      <x:c r="K36" s="31" t="n">
        <x:v>0</x:v>
      </x:c>
      <x:c r="L36" s="31" t="n">
        <x:v>2174.7379293337</x:v>
      </x:c>
      <x:c r="M36" s="31" t="n">
        <x:v>202.6923315451</x:v>
      </x:c>
      <x:c r="N36" s="24" t="str">
        <x:v>scomberomorus guttatus</x:v>
      </x:c>
      <x:c r="O36" s="32" t="n">
        <x:v>4.28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Scomberomorus guttatus</x:v>
      </x:c>
      <x:c r="T36" s="32" t="n">
        <x:f>IF(O36="","",(1/'Metadata'!$B$5)^(O36-1))</x:f>
        <x:v>1905.4607179632483</x:v>
      </x:c>
      <x:c r="U36" s="31" t="n">
        <x:f>IF(T36="","",I36*T36)</x:f>
        <x:v>4530099.971801671</x:v>
      </x:c>
    </x:row>
    <x:row r="37" ht="18" customHeight="1">
      <x:c r="A37" s="24" t="str">
        <x:v>EEZ_050</x:v>
      </x:c>
      <x:c r="B37" s="24" t="str">
        <x:v>Bangladesh</x:v>
      </x:c>
      <x:c r="C37" s="24" t="str">
        <x:v>EEZ</x:v>
      </x:c>
      <x:c r="D37" s="30" t="n">
        <x:v>2019</x:v>
      </x:c>
      <x:c r="E37" s="24" t="str">
        <x:v>Haemulidae</x:v>
      </x:c>
      <x:c r="F37" s="24" t="str">
        <x:v>Grunts, sweetlips, bonnetmouths</x:v>
      </x:c>
      <x:c r="G37" s="24" t="str">
        <x:v>Medium demersals (30 - 89 cm)</x:v>
      </x:c>
      <x:c r="H37" s="24" t="str">
        <x:v>Perch-likes</x:v>
      </x:c>
      <x:c r="I37" s="31" t="n">
        <x:v>2262.160049</x:v>
      </x:c>
      <x:c r="J37" s="31" t="n">
        <x:v>0</x:v>
      </x:c>
      <x:c r="K37" s="31" t="n">
        <x:v>2262.160049</x:v>
      </x:c>
      <x:c r="L37" s="31" t="n">
        <x:v>0</x:v>
      </x:c>
      <x:c r="M37" s="31" t="n">
        <x:v>2262.160049</x:v>
      </x:c>
      <x:c r="N37" s="24" t="str">
        <x:v>haemulidae</x:v>
      </x:c>
      <x:c r="O37" s="32" t="n">
        <x:v>3.36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Haemulidae</x:v>
      </x:c>
      <x:c r="T37" s="32" t="n">
        <x:f>IF(O37="","",(1/'Metadata'!$B$5)^(O37-1))</x:f>
        <x:v>229.08676527677724</x:v>
      </x:c>
      <x:c r="U37" s="31" t="n">
        <x:f>IF(T37="","",I37*T37)</x:f>
        <x:v>518230.92816376593</x:v>
      </x:c>
    </x:row>
    <x:row r="38" ht="18" customHeight="1">
      <x:c r="A38" s="24" t="str">
        <x:v>EEZ_050</x:v>
      </x:c>
      <x:c r="B38" s="24" t="str">
        <x:v>Bangladesh</x:v>
      </x:c>
      <x:c r="C38" s="24" t="str">
        <x:v>EEZ</x:v>
      </x:c>
      <x:c r="D38" s="30" t="n">
        <x:v>2019</x:v>
      </x:c>
      <x:c r="E38" s="24" t="str">
        <x:v>Synodontidae</x:v>
      </x:c>
      <x:c r="F38" s="24" t="str">
        <x:v>Lizardfishes, sauries</x:v>
      </x:c>
      <x:c r="G38" s="24" t="str">
        <x:v>Medium demersals (30 - 89 cm)</x:v>
      </x:c>
      <x:c r="H38" s="24" t="str">
        <x:v>Other fishes &amp; inverts</x:v>
      </x:c>
      <x:c r="I38" s="31" t="n">
        <x:v>2169.4817642444</x:v>
      </x:c>
      <x:c r="J38" s="31" t="n">
        <x:v>73.2020749717</x:v>
      </x:c>
      <x:c r="K38" s="31" t="n">
        <x:v>2096.2796892727</x:v>
      </x:c>
      <x:c r="L38" s="31" t="n">
        <x:v>70.4735487611</x:v>
      </x:c>
      <x:c r="M38" s="31" t="n">
        <x:v>2099.0082154833</x:v>
      </x:c>
      <x:c r="N38" s="24" t="str">
        <x:v>synodontidae</x:v>
      </x:c>
      <x:c r="O38" s="32" t="n">
        <x:v>4.3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Synodontidae</x:v>
      </x:c>
      <x:c r="T38" s="32" t="n">
        <x:f>IF(O38="","",(1/'Metadata'!$B$5)^(O38-1))</x:f>
        <x:v>1995.2623149688789</x:v>
      </x:c>
      <x:c r="U38" s="31" t="n">
        <x:f>IF(T38="","",I38*T38)</x:f>
        <x:v>4328685.207209049</x:v>
      </x:c>
    </x:row>
    <x:row r="39" ht="18" customHeight="1">
      <x:c r="A39" s="24" t="str">
        <x:v>EEZ_050</x:v>
      </x:c>
      <x:c r="B39" s="24" t="str">
        <x:v>Bangladesh</x:v>
      </x:c>
      <x:c r="C39" s="24" t="str">
        <x:v>EEZ</x:v>
      </x:c>
      <x:c r="D39" s="30" t="n">
        <x:v>2019</x:v>
      </x:c>
      <x:c r="E39" s="24" t="str">
        <x:v>Deveximentum insidiator</x:v>
      </x:c>
      <x:c r="F39" s="24" t="str">
        <x:v>Pugnose ponyfish</x:v>
      </x:c>
      <x:c r="G39" s="24" t="str">
        <x:v>Small pelagics (&lt;30 cm)</x:v>
      </x:c>
      <x:c r="H39" s="24" t="str">
        <x:v>Perch-likes</x:v>
      </x:c>
      <x:c r="I39" s="31" t="n">
        <x:v>2152.854911</x:v>
      </x:c>
      <x:c r="J39" s="31" t="n">
        <x:v>2152.854911</x:v>
      </x:c>
      <x:c r="K39" s="31" t="n">
        <x:v>0</x:v>
      </x:c>
      <x:c r="L39" s="31" t="n">
        <x:v>0</x:v>
      </x:c>
      <x:c r="M39" s="31" t="n">
        <x:v>2152.854911</x:v>
      </x:c>
      <x:c r="N39" s="24" t="str">
        <x:v>deveximentum insidiator</x:v>
      </x:c>
      <x:c r="O39" s="32" t="n">
        <x:v>2.86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Deveximentum insidiator</x:v>
      </x:c>
      <x:c r="T39" s="32" t="n">
        <x:f>IF(O39="","",(1/'Metadata'!$B$5)^(O39-1))</x:f>
        <x:v>72.44359600749898</x:v>
      </x:c>
      <x:c r="U39" s="31" t="n">
        <x:f>IF(T39="","",I39*T39)</x:f>
        <x:v>155960.55143524418</x:v>
      </x:c>
    </x:row>
    <x:row r="40" ht="18" customHeight="1">
      <x:c r="A40" s="24" t="str">
        <x:v>EEZ_050</x:v>
      </x:c>
      <x:c r="B40" s="24" t="str">
        <x:v>Bangladesh</x:v>
      </x:c>
      <x:c r="C40" s="24" t="str">
        <x:v>EEZ</x:v>
      </x:c>
      <x:c r="D40" s="30" t="n">
        <x:v>2019</x:v>
      </x:c>
      <x:c r="E40" s="24" t="str">
        <x:v>Ganjampenaeopsis uncta</x:v>
      </x:c>
      <x:c r="F40" s="24" t="str">
        <x:v>Uncta shrimp</x:v>
      </x:c>
      <x:c r="G40" s="24" t="str">
        <x:v>Shrimps</x:v>
      </x:c>
      <x:c r="H40" s="24" t="str">
        <x:v>Crustaceans</x:v>
      </x:c>
      <x:c r="I40" s="31" t="n">
        <x:v>1965.121473</x:v>
      </x:c>
      <x:c r="J40" s="31" t="n">
        <x:v>1965.121473</x:v>
      </x:c>
      <x:c r="K40" s="31" t="n">
        <x:v>0</x:v>
      </x:c>
      <x:c r="L40" s="31" t="n">
        <x:v>0</x:v>
      </x:c>
      <x:c r="M40" s="31" t="n">
        <x:v>1965.121473</x:v>
      </x:c>
      <x:c r="N40" s="24" t="str">
        <x:v>ganjampenaeopsis uncta</x:v>
      </x:c>
      <x:c r="O40" s="32" t="n">
        <x:v>3.01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Ganjampenaeopsis uncta</x:v>
      </x:c>
      <x:c r="T40" s="32" t="n">
        <x:f>IF(O40="","",(1/'Metadata'!$B$5)^(O40-1))</x:f>
        <x:v>102.32929922807536</x:v>
      </x:c>
      <x:c r="U40" s="31" t="n">
        <x:f>IF(T40="","",I40*T40)</x:f>
        <x:v>201089.5032301332</x:v>
      </x:c>
    </x:row>
    <x:row r="41" ht="18" customHeight="1">
      <x:c r="A41" s="24" t="str">
        <x:v>EEZ_050</x:v>
      </x:c>
      <x:c r="B41" s="24" t="str">
        <x:v>Bangladesh</x:v>
      </x:c>
      <x:c r="C41" s="24" t="str">
        <x:v>EEZ</x:v>
      </x:c>
      <x:c r="D41" s="30" t="n">
        <x:v>2019</x:v>
      </x:c>
      <x:c r="E41" s="24" t="str">
        <x:v>Sparidae</x:v>
      </x:c>
      <x:c r="F41" s="24" t="str">
        <x:v>Porgies, seabreams</x:v>
      </x:c>
      <x:c r="G41" s="24" t="str">
        <x:v>Medium benthopelagics (30 - 89 cm)</x:v>
      </x:c>
      <x:c r="H41" s="24" t="str">
        <x:v>Perch-likes</x:v>
      </x:c>
      <x:c r="I41" s="31" t="n">
        <x:v>1852.869477</x:v>
      </x:c>
      <x:c r="J41" s="31" t="n">
        <x:v>0</x:v>
      </x:c>
      <x:c r="K41" s="31" t="n">
        <x:v>1852.869477</x:v>
      </x:c>
      <x:c r="L41" s="31" t="n">
        <x:v>0</x:v>
      </x:c>
      <x:c r="M41" s="31" t="n">
        <x:v>1852.869477</x:v>
      </x:c>
      <x:c r="N41" s="24" t="str">
        <x:v>sparidae</x:v>
      </x:c>
      <x:c r="O41" s="32" t="n">
        <x:v>3.31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Sparidae</x:v>
      </x:c>
      <x:c r="T41" s="32" t="n">
        <x:f>IF(O41="","",(1/'Metadata'!$B$5)^(O41-1))</x:f>
        <x:v>204.17379446695296</x:v>
      </x:c>
      <x:c r="U41" s="31" t="n">
        <x:f>IF(T41="","",I41*T41)</x:f>
        <x:v>378307.3917710886</x:v>
      </x:c>
    </x:row>
    <x:row r="42" ht="18" customHeight="1">
      <x:c r="A42" s="24" t="str">
        <x:v>EEZ_050</x:v>
      </x:c>
      <x:c r="B42" s="24" t="str">
        <x:v>Bangladesh</x:v>
      </x:c>
      <x:c r="C42" s="24" t="str">
        <x:v>EEZ</x:v>
      </x:c>
      <x:c r="D42" s="30" t="n">
        <x:v>2019</x:v>
      </x:c>
      <x:c r="E42" s="24" t="str">
        <x:v>Sepia</x:v>
      </x:c>
      <x:c r="F42" s="24" t="str">
        <x:v>Sepia cuttlefishes</x:v>
      </x:c>
      <x:c r="G42" s="24" t="str">
        <x:v>Cephalopods</x:v>
      </x:c>
      <x:c r="H42" s="24" t="str">
        <x:v>Other fishes &amp; inverts</x:v>
      </x:c>
      <x:c r="I42" s="31" t="n">
        <x:v>1606.713176</x:v>
      </x:c>
      <x:c r="J42" s="31" t="n">
        <x:v>1606.713176</x:v>
      </x:c>
      <x:c r="K42" s="31" t="n">
        <x:v>0</x:v>
      </x:c>
      <x:c r="L42" s="31" t="n">
        <x:v>0</x:v>
      </x:c>
      <x:c r="M42" s="31" t="n">
        <x:v>1606.713176</x:v>
      </x:c>
      <x:c r="N42" s="24" t="str">
        <x:v>sepia</x:v>
      </x:c>
      <x:c r="O42" s="32" t="n">
        <x:v>3.69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Sepia</x:v>
      </x:c>
      <x:c r="T42" s="32" t="n">
        <x:f>IF(O42="","",(1/'Metadata'!$B$5)^(O42-1))</x:f>
        <x:v>489.77881936844614</x:v>
      </x:c>
      <x:c r="U42" s="31" t="n">
        <x:f>IF(T42="","",I42*T42)</x:f>
        <x:v>786934.0824050064</x:v>
      </x:c>
    </x:row>
    <x:row r="43" ht="18" customHeight="1">
      <x:c r="A43" s="24" t="str">
        <x:v>EEZ_050</x:v>
      </x:c>
      <x:c r="B43" s="24" t="str">
        <x:v>Bangladesh</x:v>
      </x:c>
      <x:c r="C43" s="24" t="str">
        <x:v>EEZ</x:v>
      </x:c>
      <x:c r="D43" s="30" t="n">
        <x:v>2019</x:v>
      </x:c>
      <x:c r="E43" s="24" t="str">
        <x:v>Penaeidae</x:v>
      </x:c>
      <x:c r="F43" s="24" t="str">
        <x:v>Commercial shrimps and prawns</x:v>
      </x:c>
      <x:c r="G43" s="24" t="str">
        <x:v>Shrimps</x:v>
      </x:c>
      <x:c r="H43" s="24" t="str">
        <x:v>Crustaceans</x:v>
      </x:c>
      <x:c r="I43" s="31" t="n">
        <x:v>1514.338526</x:v>
      </x:c>
      <x:c r="J43" s="31" t="n">
        <x:v>1514.338526</x:v>
      </x:c>
      <x:c r="K43" s="31" t="n">
        <x:v>0</x:v>
      </x:c>
      <x:c r="L43" s="31" t="n">
        <x:v>0</x:v>
      </x:c>
      <x:c r="M43" s="31" t="n">
        <x:v>1514.338526</x:v>
      </x:c>
      <x:c r="N43" s="24" t="str">
        <x:v>penaeidae</x:v>
      </x:c>
      <x:c r="O43" s="32" t="n">
        <x:v>3.31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Penaeidae</x:v>
      </x:c>
      <x:c r="T43" s="32" t="n">
        <x:f>IF(O43="","",(1/'Metadata'!$B$5)^(O43-1))</x:f>
        <x:v>204.17379446695296</x:v>
      </x:c>
      <x:c r="U43" s="31" t="n">
        <x:f>IF(T43="","",I43*T43)</x:f>
        <x:v>309188.24296091247</x:v>
      </x:c>
    </x:row>
    <x:row r="44" ht="18" customHeight="1">
      <x:c r="A44" s="24" t="str">
        <x:v>EEZ_050</x:v>
      </x:c>
      <x:c r="B44" s="24" t="str">
        <x:v>Bangladesh</x:v>
      </x:c>
      <x:c r="C44" s="24" t="str">
        <x:v>EEZ</x:v>
      </x:c>
      <x:c r="D44" s="30" t="n">
        <x:v>2019</x:v>
      </x:c>
      <x:c r="E44" s="24" t="str">
        <x:v>Pampus chinensis</x:v>
      </x:c>
      <x:c r="F44" s="24" t="str">
        <x:v>Chinese silver pomfret</x:v>
      </x:c>
      <x:c r="G44" s="24" t="str">
        <x:v>Medium benthopelagics (30 - 89 cm)</x:v>
      </x:c>
      <x:c r="H44" s="24" t="str">
        <x:v>Perch-likes</x:v>
      </x:c>
      <x:c r="I44" s="31" t="n">
        <x:v>1387.579483</x:v>
      </x:c>
      <x:c r="J44" s="31" t="n">
        <x:v>1387.579483</x:v>
      </x:c>
      <x:c r="K44" s="31" t="n">
        <x:v>0</x:v>
      </x:c>
      <x:c r="L44" s="31" t="n">
        <x:v>0</x:v>
      </x:c>
      <x:c r="M44" s="31" t="n">
        <x:v>1387.579483</x:v>
      </x:c>
      <x:c r="N44" s="24" t="str">
        <x:v>pampus chinensis</x:v>
      </x:c>
      <x:c r="O44" s="32" t="n">
        <x:v>3.6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Pampus chinensis</x:v>
      </x:c>
      <x:c r="T44" s="32" t="n">
        <x:f>IF(O44="","",(1/'Metadata'!$B$5)^(O44-1))</x:f>
        <x:v>398.1071705534973</x:v>
      </x:c>
      <x:c r="U44" s="31" t="n">
        <x:f>IF(T44="","",I44*T44)</x:f>
        <x:v>552405.3418952146</x:v>
      </x:c>
    </x:row>
    <x:row r="45" ht="18" customHeight="1">
      <x:c r="A45" s="24" t="str">
        <x:v>EEZ_050</x:v>
      </x:c>
      <x:c r="B45" s="24" t="str">
        <x:v>Bangladesh</x:v>
      </x:c>
      <x:c r="C45" s="24" t="str">
        <x:v>EEZ</x:v>
      </x:c>
      <x:c r="D45" s="30" t="n">
        <x:v>2019</x:v>
      </x:c>
      <x:c r="E45" s="24" t="str">
        <x:v>Metapenaeus monoceros</x:v>
      </x:c>
      <x:c r="F45" s="24" t="str">
        <x:v>Speckled shrimp</x:v>
      </x:c>
      <x:c r="G45" s="24" t="str">
        <x:v>Shrimps</x:v>
      </x:c>
      <x:c r="H45" s="24" t="str">
        <x:v>Crustaceans</x:v>
      </x:c>
      <x:c r="I45" s="31" t="n">
        <x:v>1280.754282</x:v>
      </x:c>
      <x:c r="J45" s="31" t="n">
        <x:v>1280.754282</x:v>
      </x:c>
      <x:c r="K45" s="31" t="n">
        <x:v>0</x:v>
      </x:c>
      <x:c r="L45" s="31" t="n">
        <x:v>0</x:v>
      </x:c>
      <x:c r="M45" s="31" t="n">
        <x:v>1280.754282</x:v>
      </x:c>
      <x:c r="N45" s="24" t="str">
        <x:v>metapenaeus monoceros</x:v>
      </x:c>
      <x:c r="O45" s="32" t="n">
        <x:v>2.7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Metapenaeus monoceros</x:v>
      </x:c>
      <x:c r="T45" s="32" t="n">
        <x:f>IF(O45="","",(1/'Metadata'!$B$5)^(O45-1))</x:f>
        <x:v>50.11872336272725</x:v>
      </x:c>
      <x:c r="U45" s="31" t="n">
        <x:f>IF(T45="","",I45*T45)</x:f>
        <x:v>64189.76955518637</x:v>
      </x:c>
    </x:row>
    <x:row r="46" ht="18" customHeight="1">
      <x:c r="A46" s="24" t="str">
        <x:v>EEZ_050</x:v>
      </x:c>
      <x:c r="B46" s="24" t="str">
        <x:v>Bangladesh</x:v>
      </x:c>
      <x:c r="C46" s="24" t="str">
        <x:v>EEZ</x:v>
      </x:c>
      <x:c r="D46" s="30" t="n">
        <x:v>2019</x:v>
      </x:c>
      <x:c r="E46" s="24" t="str">
        <x:v>Carangidae</x:v>
      </x:c>
      <x:c r="F46" s="24" t="str">
        <x:v>Jacks, pompanos</x:v>
      </x:c>
      <x:c r="G46" s="24" t="str">
        <x:v>Medium pelagics (30 - 89 cm)</x:v>
      </x:c>
      <x:c r="H46" s="24" t="str">
        <x:v>Perch-likes</x:v>
      </x:c>
      <x:c r="I46" s="31" t="n">
        <x:v>939.6993421659</x:v>
      </x:c>
      <x:c r="J46" s="31" t="n">
        <x:v>938.8839081863</x:v>
      </x:c>
      <x:c r="K46" s="31" t="n">
        <x:v>0.8154339796</x:v>
      </x:c>
      <x:c r="L46" s="31" t="n">
        <x:v>95.0295113704</x:v>
      </x:c>
      <x:c r="M46" s="31" t="n">
        <x:v>844.6698307955</x:v>
      </x:c>
      <x:c r="N46" s="24" t="str">
        <x:v>carangidae</x:v>
      </x:c>
      <x:c r="O46" s="32" t="n">
        <x:v>4.05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Carangidae</x:v>
      </x:c>
      <x:c r="T46" s="32" t="n">
        <x:f>IF(O46="","",(1/'Metadata'!$B$5)^(O46-1))</x:f>
        <x:v>1122.018454301963</x:v>
      </x:c>
      <x:c r="U46" s="31" t="n">
        <x:f>IF(T46="","",I46*T46)</x:f>
        <x:v>1054360.0034055545</x:v>
      </x:c>
    </x:row>
    <x:row r="47" ht="18" customHeight="1">
      <x:c r="A47" s="24" t="str">
        <x:v>EEZ_050</x:v>
      </x:c>
      <x:c r="B47" s="24" t="str">
        <x:v>Bangladesh</x:v>
      </x:c>
      <x:c r="C47" s="24" t="str">
        <x:v>EEZ</x:v>
      </x:c>
      <x:c r="D47" s="30" t="n">
        <x:v>2019</x:v>
      </x:c>
      <x:c r="E47" s="24" t="str">
        <x:v>Penaeus semisulcatus</x:v>
      </x:c>
      <x:c r="F47" s="24" t="str">
        <x:v>Green tiger prawn</x:v>
      </x:c>
      <x:c r="G47" s="24" t="str">
        <x:v>Shrimps</x:v>
      </x:c>
      <x:c r="H47" s="24" t="str">
        <x:v>Crustaceans</x:v>
      </x:c>
      <x:c r="I47" s="31" t="n">
        <x:v>795.4621350397</x:v>
      </x:c>
      <x:c r="J47" s="31" t="n">
        <x:v>795.4621350397</x:v>
      </x:c>
      <x:c r="K47" s="31" t="n">
        <x:v>0</x:v>
      </x:c>
      <x:c r="L47" s="31" t="n">
        <x:v>2.2367763785</x:v>
      </x:c>
      <x:c r="M47" s="31" t="n">
        <x:v>793.2253586612</x:v>
      </x:c>
      <x:c r="N47" s="24" t="str">
        <x:v>penaeus semisulcatus</x:v>
      </x:c>
      <x:c r="O47" s="32" t="n">
        <x:v>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Penaeus semisulcatus</x:v>
      </x:c>
      <x:c r="T47" s="32" t="n">
        <x:f>IF(O47="","",(1/'Metadata'!$B$5)^(O47-1))</x:f>
        <x:v>10</x:v>
      </x:c>
      <x:c r="U47" s="31" t="n">
        <x:f>IF(T47="","",I47*T47)</x:f>
        <x:v>7954.621350397</x:v>
      </x:c>
    </x:row>
    <x:row r="48" ht="18" customHeight="1">
      <x:c r="A48" s="24" t="str">
        <x:v>EEZ_050</x:v>
      </x:c>
      <x:c r="B48" s="24" t="str">
        <x:v>Bangladesh</x:v>
      </x:c>
      <x:c r="C48" s="24" t="str">
        <x:v>EEZ</x:v>
      </x:c>
      <x:c r="D48" s="30" t="n">
        <x:v>2019</x:v>
      </x:c>
      <x:c r="E48" s="24" t="str">
        <x:v>Penaeus monodon</x:v>
      </x:c>
      <x:c r="F48" s="24" t="str">
        <x:v>Giant tiger prawn</x:v>
      </x:c>
      <x:c r="G48" s="24" t="str">
        <x:v>Shrimps</x:v>
      </x:c>
      <x:c r="H48" s="24" t="str">
        <x:v>Crustaceans</x:v>
      </x:c>
      <x:c r="I48" s="31" t="n">
        <x:v>793.3558809950999</x:v>
      </x:c>
      <x:c r="J48" s="31" t="n">
        <x:v>793.3558809950999</x:v>
      </x:c>
      <x:c r="K48" s="31" t="n">
        <x:v>0</x:v>
      </x:c>
      <x:c r="L48" s="31" t="n">
        <x:v>0.46564861409999997</x:v>
      </x:c>
      <x:c r="M48" s="31" t="n">
        <x:v>792.890232381</x:v>
      </x:c>
      <x:c r="N48" s="24" t="str">
        <x:v>penaeus monodon</x:v>
      </x:c>
      <x:c r="O48" s="32" t="n">
        <x:v>2.6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Penaeus monodon</x:v>
      </x:c>
      <x:c r="T48" s="32" t="n">
        <x:f>IF(O48="","",(1/'Metadata'!$B$5)^(O48-1))</x:f>
        <x:v>39.810717055349734</x:v>
      </x:c>
      <x:c r="U48" s="31" t="n">
        <x:f>IF(T48="","",I48*T48)</x:f>
        <x:v>31584.06650249364</x:v>
      </x:c>
    </x:row>
    <x:row r="49" ht="18" customHeight="1">
      <x:c r="A49" s="24" t="str">
        <x:v>EEZ_050</x:v>
      </x:c>
      <x:c r="B49" s="24" t="str">
        <x:v>Bangladesh</x:v>
      </x:c>
      <x:c r="C49" s="24" t="str">
        <x:v>EEZ</x:v>
      </x:c>
      <x:c r="D49" s="30" t="n">
        <x:v>2019</x:v>
      </x:c>
      <x:c r="E49" s="24" t="str">
        <x:v>Penaeus japonicus</x:v>
      </x:c>
      <x:c r="F49" s="24" t="str">
        <x:v>Kuruma prawn</x:v>
      </x:c>
      <x:c r="G49" s="24" t="str">
        <x:v>Shrimps</x:v>
      </x:c>
      <x:c r="H49" s="24" t="str">
        <x:v>Crustaceans</x:v>
      </x:c>
      <x:c r="I49" s="31" t="n">
        <x:v>792.8736401</x:v>
      </x:c>
      <x:c r="J49" s="31" t="n">
        <x:v>792.8736401</x:v>
      </x:c>
      <x:c r="K49" s="31" t="n">
        <x:v>0</x:v>
      </x:c>
      <x:c r="L49" s="31" t="n">
        <x:v>0</x:v>
      </x:c>
      <x:c r="M49" s="31" t="n">
        <x:v>792.8736401</x:v>
      </x:c>
      <x:c r="N49" s="24" t="str">
        <x:v>penaeus japonicus</x:v>
      </x:c>
      <x:c r="O49" s="32" t="n">
        <x:v>2.7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Penaeus japonicus</x:v>
      </x:c>
      <x:c r="T49" s="32" t="n">
        <x:f>IF(O49="","",(1/'Metadata'!$B$5)^(O49-1))</x:f>
        <x:v>50.11872336272725</x:v>
      </x:c>
      <x:c r="U49" s="31" t="n">
        <x:f>IF(T49="","",I49*T49)</x:f>
        <x:v>39737.814629770466</x:v>
      </x:c>
    </x:row>
    <x:row r="50" ht="18" customHeight="1">
      <x:c r="A50" s="24" t="str">
        <x:v>EEZ_050</x:v>
      </x:c>
      <x:c r="B50" s="24" t="str">
        <x:v>Bangladesh</x:v>
      </x:c>
      <x:c r="C50" s="24" t="str">
        <x:v>EEZ</x:v>
      </x:c>
      <x:c r="D50" s="30" t="n">
        <x:v>2019</x:v>
      </x:c>
      <x:c r="E50" s="24" t="str">
        <x:v>Megalaspis cordyla</x:v>
      </x:c>
      <x:c r="F50" s="24" t="str">
        <x:v>Torpedo scad</x:v>
      </x:c>
      <x:c r="G50" s="24" t="str">
        <x:v>Medium pelagics (30 - 89 cm)</x:v>
      </x:c>
      <x:c r="H50" s="24" t="str">
        <x:v>Perch-likes</x:v>
      </x:c>
      <x:c r="I50" s="31" t="n">
        <x:v>646.9955377</x:v>
      </x:c>
      <x:c r="J50" s="31" t="n">
        <x:v>646.9955377</x:v>
      </x:c>
      <x:c r="K50" s="31" t="n">
        <x:v>0</x:v>
      </x:c>
      <x:c r="L50" s="31" t="n">
        <x:v>38.303756086899995</x:v>
      </x:c>
      <x:c r="M50" s="31" t="n">
        <x:v>608.6917816131</x:v>
      </x:c>
      <x:c r="N50" s="24" t="str">
        <x:v>megalaspis cordyla</x:v>
      </x:c>
      <x:c r="O50" s="32" t="n">
        <x:v>4.24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Megalaspis cordyla</x:v>
      </x:c>
      <x:c r="T50" s="32" t="n">
        <x:f>IF(O50="","",(1/'Metadata'!$B$5)^(O50-1))</x:f>
        <x:v>1737.8008287493763</x:v>
      </x:c>
      <x:c r="U50" s="31" t="n">
        <x:f>IF(T50="","",I50*T50)</x:f>
        <x:v>1124349.3816122082</x:v>
      </x:c>
    </x:row>
    <x:row r="51" ht="18" customHeight="1">
      <x:c r="A51" s="24" t="str">
        <x:v>EEZ_050</x:v>
      </x:c>
      <x:c r="B51" s="24" t="str">
        <x:v>Bangladesh</x:v>
      </x:c>
      <x:c r="C51" s="24" t="str">
        <x:v>EEZ</x:v>
      </x:c>
      <x:c r="D51" s="30" t="n">
        <x:v>2019</x:v>
      </x:c>
      <x:c r="E51" s="24" t="str">
        <x:v>Penaeus merguiensis</x:v>
      </x:c>
      <x:c r="F51" s="24" t="str">
        <x:v>Banana prawn</x:v>
      </x:c>
      <x:c r="G51" s="24" t="str">
        <x:v>Shrimps</x:v>
      </x:c>
      <x:c r="H51" s="24" t="str">
        <x:v>Crustaceans</x:v>
      </x:c>
      <x:c r="I51" s="31" t="n">
        <x:v>632.9291582879</x:v>
      </x:c>
      <x:c r="J51" s="31" t="n">
        <x:v>632.9291582879</x:v>
      </x:c>
      <x:c r="K51" s="31" t="n">
        <x:v>0</x:v>
      </x:c>
      <x:c r="L51" s="31" t="n">
        <x:v>7.151032287900001</x:v>
      </x:c>
      <x:c r="M51" s="31" t="n">
        <x:v>625.778126</x:v>
      </x:c>
      <x:c r="N51" s="24" t="str">
        <x:v>penaeus merguiensis</x:v>
      </x:c>
      <x:c r="O51" s="32" t="n">
        <x:v>3.77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Penaeus merguiensis</x:v>
      </x:c>
      <x:c r="T51" s="32" t="n">
        <x:f>IF(O51="","",(1/'Metadata'!$B$5)^(O51-1))</x:f>
        <x:v>588.843655355589</x:v>
      </x:c>
      <x:c r="U51" s="31" t="n">
        <x:f>IF(T51="","",I51*T51)</x:f>
        <x:v>372696.31914738327</x:v>
      </x:c>
    </x:row>
    <x:row r="52" ht="18" customHeight="1">
      <x:c r="A52" s="24" t="str">
        <x:v>EEZ_050</x:v>
      </x:c>
      <x:c r="B52" s="24" t="str">
        <x:v>Bangladesh</x:v>
      </x:c>
      <x:c r="C52" s="24" t="str">
        <x:v>EEZ</x:v>
      </x:c>
      <x:c r="D52" s="30" t="n">
        <x:v>2019</x:v>
      </x:c>
      <x:c r="E52" s="24" t="str">
        <x:v>Penaeus indicus</x:v>
      </x:c>
      <x:c r="F52" s="24" t="str">
        <x:v>Indian white prawn</x:v>
      </x:c>
      <x:c r="G52" s="24" t="str">
        <x:v>Shrimps</x:v>
      </x:c>
      <x:c r="H52" s="24" t="str">
        <x:v>Crustaceans</x:v>
      </x:c>
      <x:c r="I52" s="31" t="n">
        <x:v>625.778126</x:v>
      </x:c>
      <x:c r="J52" s="31" t="n">
        <x:v>625.778126</x:v>
      </x:c>
      <x:c r="K52" s="31" t="n">
        <x:v>0</x:v>
      </x:c>
      <x:c r="L52" s="31" t="n">
        <x:v>0</x:v>
      </x:c>
      <x:c r="M52" s="31" t="n">
        <x:v>625.778126</x:v>
      </x:c>
      <x:c r="N52" s="24" t="str">
        <x:v>penaeus indicus</x:v>
      </x:c>
      <x:c r="O52" s="32" t="n">
        <x:v>2.7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Penaeus indicus</x:v>
      </x:c>
      <x:c r="T52" s="32" t="n">
        <x:f>IF(O52="","",(1/'Metadata'!$B$5)^(O52-1))</x:f>
        <x:v>50.11872336272725</x:v>
      </x:c>
      <x:c r="U52" s="31" t="n">
        <x:f>IF(T52="","",I52*T52)</x:f>
        <x:v>31363.20078343988</x:v>
      </x:c>
    </x:row>
    <x:row r="53" ht="18" customHeight="1">
      <x:c r="A53" s="24" t="str">
        <x:v>EEZ_050</x:v>
      </x:c>
      <x:c r="B53" s="24" t="str">
        <x:v>Bangladesh</x:v>
      </x:c>
      <x:c r="C53" s="24" t="str">
        <x:v>EEZ</x:v>
      </x:c>
      <x:c r="D53" s="30" t="n">
        <x:v>2019</x:v>
      </x:c>
      <x:c r="E53" s="24" t="str">
        <x:v>Perciformes</x:v>
      </x:c>
      <x:c r="F53" s="24" t="str">
        <x:v>Perch-likes</x:v>
      </x:c>
      <x:c r="G53" s="24" t="str">
        <x:v>Medium demersals (30 - 89 cm)</x:v>
      </x:c>
      <x:c r="H53" s="24" t="str">
        <x:v>Perch-likes</x:v>
      </x:c>
      <x:c r="I53" s="31" t="n">
        <x:v>621.056953</x:v>
      </x:c>
      <x:c r="J53" s="31" t="n">
        <x:v>621.056953</x:v>
      </x:c>
      <x:c r="K53" s="31" t="n">
        <x:v>0</x:v>
      </x:c>
      <x:c r="L53" s="31" t="n">
        <x:v>0</x:v>
      </x:c>
      <x:c r="M53" s="31" t="n">
        <x:v>621.056953</x:v>
      </x:c>
      <x:c r="N53" s="24" t="str">
        <x:v>perciformes</x:v>
      </x:c>
      <x:c r="O53" s="32" t="n">
        <x:v>3.53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Perciformes</x:v>
      </x:c>
      <x:c r="T53" s="32" t="n">
        <x:f>IF(O53="","",(1/'Metadata'!$B$5)^(O53-1))</x:f>
        <x:v>338.84415613920237</x:v>
      </x:c>
      <x:c r="U53" s="31" t="n">
        <x:f>IF(T53="","",I53*T53)</x:f>
        <x:v>210441.51915366927</x:v>
      </x:c>
    </x:row>
    <x:row r="54" ht="18" customHeight="1">
      <x:c r="A54" s="24" t="str">
        <x:v>EEZ_050</x:v>
      </x:c>
      <x:c r="B54" s="24" t="str">
        <x:v>Bangladesh</x:v>
      </x:c>
      <x:c r="C54" s="24" t="str">
        <x:v>EEZ</x:v>
      </x:c>
      <x:c r="D54" s="30" t="n">
        <x:v>2019</x:v>
      </x:c>
      <x:c r="E54" s="24" t="str">
        <x:v>Chirocentrus nudus</x:v>
      </x:c>
      <x:c r="F54" s="24" t="str">
        <x:v>Whitefin wolf-herring</x:v>
      </x:c>
      <x:c r="G54" s="24" t="str">
        <x:v>Large pelagics (&gt;=90 cm)</x:v>
      </x:c>
      <x:c r="H54" s="24" t="str">
        <x:v>Herring-likes</x:v>
      </x:c>
      <x:c r="I54" s="31" t="n">
        <x:v>615.5340713</x:v>
      </x:c>
      <x:c r="J54" s="31" t="n">
        <x:v>615.5340713</x:v>
      </x:c>
      <x:c r="K54" s="31" t="n">
        <x:v>0</x:v>
      </x:c>
      <x:c r="L54" s="31" t="n">
        <x:v>0</x:v>
      </x:c>
      <x:c r="M54" s="31" t="n">
        <x:v>615.5340713</x:v>
      </x:c>
      <x:c r="N54" s="24" t="str">
        <x:v>chirocentrus nudus</x:v>
      </x:c>
      <x:c r="O54" s="32" t="n">
        <x:v>4.19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Chirocentrus nudus</x:v>
      </x:c>
      <x:c r="T54" s="32" t="n">
        <x:f>IF(O54="","",(1/'Metadata'!$B$5)^(O54-1))</x:f>
        <x:v>1548.8166189124827</x:v>
      </x:c>
      <x:c r="U54" s="31" t="n">
        <x:f>IF(T54="","",I54*T54)</x:f>
        <x:v>953349.3991363011</x:v>
      </x:c>
    </x:row>
    <x:row r="55" ht="18" customHeight="1">
      <x:c r="A55" s="24" t="str">
        <x:v>EEZ_050</x:v>
      </x:c>
      <x:c r="B55" s="24" t="str">
        <x:v>Bangladesh</x:v>
      </x:c>
      <x:c r="C55" s="24" t="str">
        <x:v>EEZ</x:v>
      </x:c>
      <x:c r="D55" s="30" t="n">
        <x:v>2019</x:v>
      </x:c>
      <x:c r="E55" s="24" t="str">
        <x:v>Stolephorus</x:v>
      </x:c>
      <x:c r="F55" s="24" t="str">
        <x:v>Garment anchovies</x:v>
      </x:c>
      <x:c r="G55" s="24" t="str">
        <x:v>Small pelagics (&lt;30 cm)</x:v>
      </x:c>
      <x:c r="H55" s="24" t="str">
        <x:v>Anchovies</x:v>
      </x:c>
      <x:c r="I55" s="31" t="n">
        <x:v>610.1400188591</x:v>
      </x:c>
      <x:c r="J55" s="31" t="n">
        <x:v>605.7265061001</x:v>
      </x:c>
      <x:c r="K55" s="31" t="n">
        <x:v>4.413512759</x:v>
      </x:c>
      <x:c r="L55" s="31" t="n">
        <x:v>605.7265061001</x:v>
      </x:c>
      <x:c r="M55" s="31" t="n">
        <x:v>4.413512759</x:v>
      </x:c>
      <x:c r="N55" s="24" t="str">
        <x:v>stolephorus</x:v>
      </x:c>
      <x:c r="O55" s="32" t="n">
        <x:v>3.44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Stolephorus</x:v>
      </x:c>
      <x:c r="T55" s="32" t="n">
        <x:f>IF(O55="","",(1/'Metadata'!$B$5)^(O55-1))</x:f>
        <x:v>275.4228703338166</x:v>
      </x:c>
      <x:c r="U55" s="31" t="n">
        <x:f>IF(T55="","",I55*T55)</x:f>
        <x:v>168046.51529970233</x:v>
      </x:c>
    </x:row>
    <x:row r="56" ht="18" customHeight="1">
      <x:c r="A56" s="24" t="str">
        <x:v>EEZ_050</x:v>
      </x:c>
      <x:c r="B56" s="24" t="str">
        <x:v>Bangladesh</x:v>
      </x:c>
      <x:c r="C56" s="24" t="str">
        <x:v>EEZ</x:v>
      </x:c>
      <x:c r="D56" s="30" t="n">
        <x:v>2019</x:v>
      </x:c>
      <x:c r="E56" s="24" t="str">
        <x:v>Parastromateus niger</x:v>
      </x:c>
      <x:c r="F56" s="24" t="str">
        <x:v>Black pomfret</x:v>
      </x:c>
      <x:c r="G56" s="24" t="str">
        <x:v>Medium benthopelagics (30 - 89 cm)</x:v>
      </x:c>
      <x:c r="H56" s="24" t="str">
        <x:v>Perch-likes</x:v>
      </x:c>
      <x:c r="I56" s="31" t="n">
        <x:v>598.0444771350001</x:v>
      </x:c>
      <x:c r="J56" s="31" t="n">
        <x:v>598.0444771350001</x:v>
      </x:c>
      <x:c r="K56" s="31" t="n">
        <x:v>0</x:v>
      </x:c>
      <x:c r="L56" s="31" t="n">
        <x:v>0.5363274216</x:v>
      </x:c>
      <x:c r="M56" s="31" t="n">
        <x:v>597.5081497134</x:v>
      </x:c>
      <x:c r="N56" s="24" t="str">
        <x:v>parastromateus niger</x:v>
      </x:c>
      <x:c r="O56" s="32" t="n">
        <x:v>2.93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Parastromateus niger</x:v>
      </x:c>
      <x:c r="T56" s="32" t="n">
        <x:f>IF(O56="","",(1/'Metadata'!$B$5)^(O56-1))</x:f>
        <x:v>85.11380382023768</x:v>
      </x:c>
      <x:c r="U56" s="31" t="n">
        <x:f>IF(T56="","",I56*T56)</x:f>
        <x:v>50901.84030264502</x:v>
      </x:c>
    </x:row>
    <x:row r="57" ht="18" customHeight="1">
      <x:c r="A57" s="24" t="str">
        <x:v>EEZ_050</x:v>
      </x:c>
      <x:c r="B57" s="24" t="str">
        <x:v>Bangladesh</x:v>
      </x:c>
      <x:c r="C57" s="24" t="str">
        <x:v>EEZ</x:v>
      </x:c>
      <x:c r="D57" s="30" t="n">
        <x:v>2019</x:v>
      </x:c>
      <x:c r="E57" s="24" t="str">
        <x:v>Platycephalus indicus</x:v>
      </x:c>
      <x:c r="F57" s="24" t="str">
        <x:v>Bartail flathead</x:v>
      </x:c>
      <x:c r="G57" s="24" t="str">
        <x:v>Medium demersals (30 - 89 cm)</x:v>
      </x:c>
      <x:c r="H57" s="24" t="str">
        <x:v>Scorpionfishes</x:v>
      </x:c>
      <x:c r="I57" s="31" t="n">
        <x:v>545.3400267</x:v>
      </x:c>
      <x:c r="J57" s="31" t="n">
        <x:v>545.3400267</x:v>
      </x:c>
      <x:c r="K57" s="31" t="n">
        <x:v>0</x:v>
      </x:c>
      <x:c r="L57" s="31" t="n">
        <x:v>0</x:v>
      </x:c>
      <x:c r="M57" s="31" t="n">
        <x:v>545.3400267</x:v>
      </x:c>
      <x:c r="N57" s="24" t="str">
        <x:v>platycephalus indicus</x:v>
      </x:c>
      <x:c r="O57" s="32" t="n">
        <x:v>3.6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Platycephalus indicus</x:v>
      </x:c>
      <x:c r="T57" s="32" t="n">
        <x:f>IF(O57="","",(1/'Metadata'!$B$5)^(O57-1))</x:f>
        <x:v>398.1071705534973</x:v>
      </x:c>
      <x:c r="U57" s="31" t="n">
        <x:f>IF(T57="","",I57*T57)</x:f>
        <x:v>217103.77501910567</x:v>
      </x:c>
    </x:row>
    <x:row r="58" ht="18" customHeight="1">
      <x:c r="A58" s="24" t="str">
        <x:v>EEZ_050</x:v>
      </x:c>
      <x:c r="B58" s="24" t="str">
        <x:v>Bangladesh</x:v>
      </x:c>
      <x:c r="C58" s="24" t="str">
        <x:v>EEZ</x:v>
      </x:c>
      <x:c r="D58" s="30" t="n">
        <x:v>2019</x:v>
      </x:c>
      <x:c r="E58" s="24" t="str">
        <x:v>Gerres</x:v>
      </x:c>
      <x:c r="F58" s="24" t="str">
        <x:v>Silver biddies</x:v>
      </x:c>
      <x:c r="G58" s="24" t="str">
        <x:v>Small benthopelagics (&lt;30 cm)</x:v>
      </x:c>
      <x:c r="H58" s="24" t="str">
        <x:v>Perch-likes</x:v>
      </x:c>
      <x:c r="I58" s="31" t="n">
        <x:v>541.7768772</x:v>
      </x:c>
      <x:c r="J58" s="31" t="n">
        <x:v>541.7768772</x:v>
      </x:c>
      <x:c r="K58" s="31" t="n">
        <x:v>0</x:v>
      </x:c>
      <x:c r="L58" s="31" t="n">
        <x:v>0</x:v>
      </x:c>
      <x:c r="M58" s="31" t="n">
        <x:v>541.7768772</x:v>
      </x:c>
      <x:c r="N58" s="24" t="str">
        <x:v>gerres</x:v>
      </x:c>
      <x:c r="O58" s="32" t="n">
        <x:v>3.27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Gerres</x:v>
      </x:c>
      <x:c r="T58" s="32" t="n">
        <x:f>IF(O58="","",(1/'Metadata'!$B$5)^(O58-1))</x:f>
        <x:v>186.20871366628674</x:v>
      </x:c>
      <x:c r="U58" s="31" t="n">
        <x:f>IF(T58="","",I58*T58)</x:f>
        <x:v>100883.57539754978</x:v>
      </x:c>
    </x:row>
    <x:row r="59" ht="18" customHeight="1">
      <x:c r="A59" s="24" t="str">
        <x:v>EEZ_050</x:v>
      </x:c>
      <x:c r="B59" s="24" t="str">
        <x:v>Bangladesh</x:v>
      </x:c>
      <x:c r="C59" s="24" t="str">
        <x:v>EEZ</x:v>
      </x:c>
      <x:c r="D59" s="30" t="n">
        <x:v>2019</x:v>
      </x:c>
      <x:c r="E59" s="24" t="str">
        <x:v>Eleutheronema tetradactylum</x:v>
      </x:c>
      <x:c r="F59" s="24" t="str">
        <x:v>Fourfinger threadfin</x:v>
      </x:c>
      <x:c r="G59" s="24" t="str">
        <x:v>Large demersals (&gt;=90 cm)</x:v>
      </x:c>
      <x:c r="H59" s="24" t="str">
        <x:v>Perch-likes</x:v>
      </x:c>
      <x:c r="I59" s="31" t="n">
        <x:v>390.2183144</x:v>
      </x:c>
      <x:c r="J59" s="31" t="n">
        <x:v>390.2183144</x:v>
      </x:c>
      <x:c r="K59" s="31" t="n">
        <x:v>0</x:v>
      </x:c>
      <x:c r="L59" s="31" t="n">
        <x:v>0</x:v>
      </x:c>
      <x:c r="M59" s="31" t="n">
        <x:v>390.2183144</x:v>
      </x:c>
      <x:c r="N59" s="24" t="str">
        <x:v>eleutheronema tetradactylum</x:v>
      </x:c>
      <x:c r="O59" s="32" t="n">
        <x:v>4.06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Eleutheronema tetradactylum</x:v>
      </x:c>
      <x:c r="T59" s="32" t="n">
        <x:f>IF(O59="","",(1/'Metadata'!$B$5)^(O59-1))</x:f>
        <x:v>1148.1536214968817</x:v>
      </x:c>
      <x:c r="U59" s="31" t="n">
        <x:f>IF(T59="","",I59*T59)</x:f>
        <x:v>448030.5708527688</x:v>
      </x:c>
    </x:row>
    <x:row r="60" ht="18" customHeight="1">
      <x:c r="A60" s="24" t="str">
        <x:v>EEZ_050</x:v>
      </x:c>
      <x:c r="B60" s="24" t="str">
        <x:v>Bangladesh</x:v>
      </x:c>
      <x:c r="C60" s="24" t="str">
        <x:v>EEZ</x:v>
      </x:c>
      <x:c r="D60" s="30" t="n">
        <x:v>2019</x:v>
      </x:c>
      <x:c r="E60" s="24" t="str">
        <x:v>Pomadasys</x:v>
      </x:c>
      <x:c r="F60" s="24" t="str">
        <x:v>Grunters</x:v>
      </x:c>
      <x:c r="G60" s="24" t="str">
        <x:v>Medium demersals (30 - 89 cm)</x:v>
      </x:c>
      <x:c r="H60" s="24" t="str">
        <x:v>Perch-likes</x:v>
      </x:c>
      <x:c r="I60" s="31" t="n">
        <x:v>338.4991998</x:v>
      </x:c>
      <x:c r="J60" s="31" t="n">
        <x:v>338.4991998</x:v>
      </x:c>
      <x:c r="K60" s="31" t="n">
        <x:v>0</x:v>
      </x:c>
      <x:c r="L60" s="31" t="n">
        <x:v>0</x:v>
      </x:c>
      <x:c r="M60" s="31" t="n">
        <x:v>338.4991998</x:v>
      </x:c>
      <x:c r="N60" s="24" t="str">
        <x:v>pomadasys</x:v>
      </x:c>
      <x:c r="O60" s="32" t="n">
        <x:v>3.59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Pomadasys</x:v>
      </x:c>
      <x:c r="T60" s="32" t="n">
        <x:f>IF(O60="","",(1/'Metadata'!$B$5)^(O60-1))</x:f>
        <x:v>389.04514499428046</x:v>
      </x:c>
      <x:c r="U60" s="31" t="n">
        <x:f>IF(T60="","",I60*T60)</x:f>
        <x:v>131691.4702666389</x:v>
      </x:c>
    </x:row>
    <x:row r="61" ht="18" customHeight="1">
      <x:c r="A61" s="24" t="str">
        <x:v>EEZ_050</x:v>
      </x:c>
      <x:c r="B61" s="24" t="str">
        <x:v>Bangladesh</x:v>
      </x:c>
      <x:c r="C61" s="24" t="str">
        <x:v>EEZ</x:v>
      </x:c>
      <x:c r="D61" s="30" t="n">
        <x:v>2019</x:v>
      </x:c>
      <x:c r="E61" s="24" t="str">
        <x:v>Sillaginidae</x:v>
      </x:c>
      <x:c r="F61" s="24" t="str">
        <x:v>Smelt-whitings</x:v>
      </x:c>
      <x:c r="G61" s="24" t="str">
        <x:v>Medium demersals (30 - 89 cm)</x:v>
      </x:c>
      <x:c r="H61" s="24" t="str">
        <x:v>Perch-likes</x:v>
      </x:c>
      <x:c r="I61" s="31" t="n">
        <x:v>320.2157891</x:v>
      </x:c>
      <x:c r="J61" s="31" t="n">
        <x:v>320.2157891</x:v>
      </x:c>
      <x:c r="K61" s="31" t="n">
        <x:v>0</x:v>
      </x:c>
      <x:c r="L61" s="31" t="n">
        <x:v>0</x:v>
      </x:c>
      <x:c r="M61" s="31" t="n">
        <x:v>320.2157891</x:v>
      </x:c>
      <x:c r="N61" s="24" t="str">
        <x:v>sillaginidae</x:v>
      </x:c>
      <x:c r="O61" s="32" t="n">
        <x:v>3.25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Sillaginidae</x:v>
      </x:c>
      <x:c r="T61" s="32" t="n">
        <x:f>IF(O61="","",(1/'Metadata'!$B$5)^(O61-1))</x:f>
        <x:v>177.82794100389228</x:v>
      </x:c>
      <x:c r="U61" s="31" t="n">
        <x:f>IF(T61="","",I61*T61)</x:f>
        <x:v>56943.31445258961</x:v>
      </x:c>
    </x:row>
    <x:row r="62" ht="18" customHeight="1">
      <x:c r="A62" s="24" t="str">
        <x:v>EEZ_050</x:v>
      </x:c>
      <x:c r="B62" s="24" t="str">
        <x:v>Bangladesh</x:v>
      </x:c>
      <x:c r="C62" s="24" t="str">
        <x:v>EEZ</x:v>
      </x:c>
      <x:c r="D62" s="30" t="n">
        <x:v>2019</x:v>
      </x:c>
      <x:c r="E62" s="24" t="str">
        <x:v>Lutjanus johnii</x:v>
      </x:c>
      <x:c r="F62" s="24" t="str">
        <x:v>John's snapper</x:v>
      </x:c>
      <x:c r="G62" s="24" t="str">
        <x:v>Medium reef assoc. fish (30 - 89 cm)</x:v>
      </x:c>
      <x:c r="H62" s="24" t="str">
        <x:v>Perch-likes</x:v>
      </x:c>
      <x:c r="I62" s="31" t="n">
        <x:v>314.4479409</x:v>
      </x:c>
      <x:c r="J62" s="31" t="n">
        <x:v>314.4479409</x:v>
      </x:c>
      <x:c r="K62" s="31" t="n">
        <x:v>0</x:v>
      </x:c>
      <x:c r="L62" s="31" t="n">
        <x:v>0</x:v>
      </x:c>
      <x:c r="M62" s="31" t="n">
        <x:v>314.4479409</x:v>
      </x:c>
      <x:c r="N62" s="24" t="str">
        <x:v>lutjanus johnii</x:v>
      </x:c>
      <x:c r="O62" s="32" t="n">
        <x:v>4.2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Lutjanus johnii</x:v>
      </x:c>
      <x:c r="T62" s="32" t="n">
        <x:f>IF(O62="","",(1/'Metadata'!$B$5)^(O62-1))</x:f>
        <x:v>1584.893192461114</x:v>
      </x:c>
      <x:c r="U62" s="31" t="n">
        <x:f>IF(T62="","",I62*T62)</x:f>
        <x:v>498366.4009158247</x:v>
      </x:c>
    </x:row>
    <x:row r="63" ht="18" customHeight="1">
      <x:c r="A63" s="24" t="str">
        <x:v>EEZ_050</x:v>
      </x:c>
      <x:c r="B63" s="24" t="str">
        <x:v>Bangladesh</x:v>
      </x:c>
      <x:c r="C63" s="24" t="str">
        <x:v>EEZ</x:v>
      </x:c>
      <x:c r="D63" s="30" t="n">
        <x:v>2019</x:v>
      </x:c>
      <x:c r="E63" s="24" t="str">
        <x:v>Decapterus russelli</x:v>
      </x:c>
      <x:c r="F63" s="24" t="str">
        <x:v>Indian scad</x:v>
      </x:c>
      <x:c r="G63" s="24" t="str">
        <x:v>Medium pelagics (30 - 89 cm)</x:v>
      </x:c>
      <x:c r="H63" s="24" t="str">
        <x:v>Perch-likes</x:v>
      </x:c>
      <x:c r="I63" s="31" t="n">
        <x:v>287.0881493717</x:v>
      </x:c>
      <x:c r="J63" s="31" t="n">
        <x:v>287.0881493717</x:v>
      </x:c>
      <x:c r="K63" s="31" t="n">
        <x:v>0</x:v>
      </x:c>
      <x:c r="L63" s="31" t="n">
        <x:v>118.7403965965</x:v>
      </x:c>
      <x:c r="M63" s="31" t="n">
        <x:v>168.3477527752</x:v>
      </x:c>
      <x:c r="N63" s="24" t="str">
        <x:v>decapterus russelli</x:v>
      </x:c>
      <x:c r="O63" s="32" t="n">
        <x:v>3.68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Decapterus russelli</x:v>
      </x:c>
      <x:c r="T63" s="32" t="n">
        <x:f>IF(O63="","",(1/'Metadata'!$B$5)^(O63-1))</x:f>
        <x:v>478.6300923226385</x:v>
      </x:c>
      <x:c r="U63" s="31" t="n">
        <x:f>IF(T63="","",I63*T63)</x:f>
        <x:v>137409.02743851222</x:v>
      </x:c>
    </x:row>
    <x:row r="64" ht="18" customHeight="1">
      <x:c r="A64" s="24" t="str">
        <x:v>EEZ_050</x:v>
      </x:c>
      <x:c r="B64" s="24" t="str">
        <x:v>Bangladesh</x:v>
      </x:c>
      <x:c r="C64" s="24" t="str">
        <x:v>EEZ</x:v>
      </x:c>
      <x:c r="D64" s="30" t="n">
        <x:v>2019</x:v>
      </x:c>
      <x:c r="E64" s="24" t="str">
        <x:v>Nemipteridae</x:v>
      </x:c>
      <x:c r="F64" s="24" t="str">
        <x:v>Threadfins, whiptail breams</x:v>
      </x:c>
      <x:c r="G64" s="24" t="str">
        <x:v>Small demersals (&lt;30 cm)</x:v>
      </x:c>
      <x:c r="H64" s="24" t="str">
        <x:v>Perch-likes</x:v>
      </x:c>
      <x:c r="I64" s="31" t="n">
        <x:v>221.619613087</x:v>
      </x:c>
      <x:c r="J64" s="31" t="n">
        <x:v>219.432062471</x:v>
      </x:c>
      <x:c r="K64" s="31" t="n">
        <x:v>2.187550616</x:v>
      </x:c>
      <x:c r="L64" s="31" t="n">
        <x:v>175.7759158994</x:v>
      </x:c>
      <x:c r="M64" s="31" t="n">
        <x:v>45.8436971876</x:v>
      </x:c>
      <x:c r="N64" s="24" t="str">
        <x:v>nemipteridae</x:v>
      </x:c>
      <x:c r="O64" s="32" t="n">
        <x:v>3.51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Nemipteridae</x:v>
      </x:c>
      <x:c r="T64" s="32" t="n">
        <x:f>IF(O64="","",(1/'Metadata'!$B$5)^(O64-1))</x:f>
        <x:v>323.5936569296281</x:v>
      </x:c>
      <x:c r="U64" s="31" t="n">
        <x:f>IF(T64="","",I64*T64)</x:f>
        <x:v>71714.70104615159</x:v>
      </x:c>
    </x:row>
    <x:row r="65" ht="18" customHeight="1">
      <x:c r="A65" s="24" t="str">
        <x:v>EEZ_050</x:v>
      </x:c>
      <x:c r="B65" s="24" t="str">
        <x:v>Bangladesh</x:v>
      </x:c>
      <x:c r="C65" s="24" t="str">
        <x:v>EEZ</x:v>
      </x:c>
      <x:c r="D65" s="30" t="n">
        <x:v>2019</x:v>
      </x:c>
      <x:c r="E65" s="24" t="str">
        <x:v>Decapoda</x:v>
      </x:c>
      <x:c r="F65" s="24" t="str">
        <x:v>Crabs, lobsters, shrimps</x:v>
      </x:c>
      <x:c r="G65" s="24" t="str">
        <x:v>Lobsters, crabs</x:v>
      </x:c>
      <x:c r="H65" s="24" t="str">
        <x:v>Crustaceans</x:v>
      </x:c>
      <x:c r="I65" s="31" t="n">
        <x:v>189.59187351</x:v>
      </x:c>
      <x:c r="J65" s="31" t="n">
        <x:v>189.59187351</x:v>
      </x:c>
      <x:c r="K65" s="31" t="n">
        <x:v>0</x:v>
      </x:c>
      <x:c r="L65" s="31" t="n">
        <x:v>87.68579861</x:v>
      </x:c>
      <x:c r="M65" s="31" t="n">
        <x:v>101.9060749</x:v>
      </x:c>
      <x:c r="N65" s="24" t="str">
        <x:v>decapoda</x:v>
      </x:c>
      <x:c r="O65" s="32" t="n">
        <x:v>3.43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Decapoda</x:v>
      </x:c>
      <x:c r="T65" s="32" t="n">
        <x:f>IF(O65="","",(1/'Metadata'!$B$5)^(O65-1))</x:f>
        <x:v>269.1534803926917</x:v>
      </x:c>
      <x:c r="U65" s="31" t="n">
        <x:f>IF(T65="","",I65*T65)</x:f>
        <x:v>51029.31260938747</x:v>
      </x:c>
    </x:row>
    <x:row r="66" ht="18" customHeight="1">
      <x:c r="A66" s="24" t="str">
        <x:v>EEZ_050</x:v>
      </x:c>
      <x:c r="B66" s="24" t="str">
        <x:v>Bangladesh</x:v>
      </x:c>
      <x:c r="C66" s="24" t="str">
        <x:v>EEZ</x:v>
      </x:c>
      <x:c r="D66" s="30" t="n">
        <x:v>2019</x:v>
      </x:c>
      <x:c r="E66" s="24" t="str">
        <x:v>Sillago sihama</x:v>
      </x:c>
      <x:c r="F66" s="24" t="str">
        <x:v>Silver sillago</x:v>
      </x:c>
      <x:c r="G66" s="24" t="str">
        <x:v>Medium demersals (30 - 89 cm)</x:v>
      </x:c>
      <x:c r="H66" s="24" t="str">
        <x:v>Perch-likes</x:v>
      </x:c>
      <x:c r="I66" s="31" t="n">
        <x:v>170.7342455</x:v>
      </x:c>
      <x:c r="J66" s="31" t="n">
        <x:v>170.7342455</x:v>
      </x:c>
      <x:c r="K66" s="31" t="n">
        <x:v>0</x:v>
      </x:c>
      <x:c r="L66" s="31" t="n">
        <x:v>0</x:v>
      </x:c>
      <x:c r="M66" s="31" t="n">
        <x:v>170.7342455</x:v>
      </x:c>
      <x:c r="N66" s="24" t="str">
        <x:v>sillago sihama</x:v>
      </x:c>
      <x:c r="O66" s="32" t="n">
        <x:v>3.33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Sillago sihama</x:v>
      </x:c>
      <x:c r="T66" s="32" t="n">
        <x:f>IF(O66="","",(1/'Metadata'!$B$5)^(O66-1))</x:f>
        <x:v>213.79620895022325</x:v>
      </x:c>
      <x:c r="U66" s="31" t="n">
        <x:f>IF(T66="","",I66*T66)</x:f>
        <x:v>36502.33442587671</x:v>
      </x:c>
    </x:row>
    <x:row r="67" ht="18" customHeight="1">
      <x:c r="A67" s="24" t="str">
        <x:v>EEZ_050</x:v>
      </x:c>
      <x:c r="B67" s="24" t="str">
        <x:v>Bangladesh</x:v>
      </x:c>
      <x:c r="C67" s="24" t="str">
        <x:v>EEZ</x:v>
      </x:c>
      <x:c r="D67" s="30" t="n">
        <x:v>2019</x:v>
      </x:c>
      <x:c r="E67" s="24" t="str">
        <x:v>Selar crumenophthalmus</x:v>
      </x:c>
      <x:c r="F67" s="24" t="str">
        <x:v>Bigeye scad</x:v>
      </x:c>
      <x:c r="G67" s="24" t="str">
        <x:v>Medium pelagics (30 - 89 cm)</x:v>
      </x:c>
      <x:c r="H67" s="24" t="str">
        <x:v>Perch-likes</x:v>
      </x:c>
      <x:c r="I67" s="31" t="n">
        <x:v>127.3307352321</x:v>
      </x:c>
      <x:c r="J67" s="31" t="n">
        <x:v>127.3307352321</x:v>
      </x:c>
      <x:c r="K67" s="31" t="n">
        <x:v>0</x:v>
      </x:c>
      <x:c r="L67" s="31" t="n">
        <x:v>72.5954504541</x:v>
      </x:c>
      <x:c r="M67" s="31" t="n">
        <x:v>54.735284778</x:v>
      </x:c>
      <x:c r="N67" s="24" t="str">
        <x:v>selar crumenophthalmus</x:v>
      </x:c>
      <x:c r="O67" s="32" t="n">
        <x:v>3.81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Selar crumenophthalmus</x:v>
      </x:c>
      <x:c r="T67" s="32" t="n">
        <x:f>IF(O67="","",(1/'Metadata'!$B$5)^(O67-1))</x:f>
        <x:v>645.6542290346556</x:v>
      </x:c>
      <x:c r="U67" s="31" t="n">
        <x:f>IF(T67="","",I67*T67)</x:f>
        <x:v>82211.62768869738</x:v>
      </x:c>
    </x:row>
    <x:row r="68" ht="18" customHeight="1">
      <x:c r="A68" s="24" t="str">
        <x:v>EEZ_050</x:v>
      </x:c>
      <x:c r="B68" s="24" t="str">
        <x:v>Bangladesh</x:v>
      </x:c>
      <x:c r="C68" s="24" t="str">
        <x:v>EEZ</x:v>
      </x:c>
      <x:c r="D68" s="30" t="n">
        <x:v>2019</x:v>
      </x:c>
      <x:c r="E68" s="24" t="str">
        <x:v>Scatophagus</x:v>
      </x:c>
      <x:c r="F68" s="24" t="str">
        <x:v>Scats</x:v>
      </x:c>
      <x:c r="G68" s="24" t="str">
        <x:v>Medium demersals (30 - 89 cm)</x:v>
      </x:c>
      <x:c r="H68" s="24" t="str">
        <x:v>Perch-likes</x:v>
      </x:c>
      <x:c r="I68" s="31" t="n">
        <x:v>124.888389</x:v>
      </x:c>
      <x:c r="J68" s="31" t="n">
        <x:v>124.888389</x:v>
      </x:c>
      <x:c r="K68" s="31" t="n">
        <x:v>0</x:v>
      </x:c>
      <x:c r="L68" s="31" t="n">
        <x:v>0</x:v>
      </x:c>
      <x:c r="M68" s="31" t="n">
        <x:v>124.888389</x:v>
      </x:c>
      <x:c r="N68" s="24" t="str">
        <x:v>scatophagus</x:v>
      </x:c>
      <x:c r="O68" s="32" t="n">
        <x:v>2.75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Scatophagus</x:v>
      </x:c>
      <x:c r="T68" s="32" t="n">
        <x:f>IF(O68="","",(1/'Metadata'!$B$5)^(O68-1))</x:f>
        <x:v>56.23413251903491</x:v>
      </x:c>
      <x:c r="U68" s="31" t="n">
        <x:f>IF(T68="","",I68*T68)</x:f>
        <x:v>7022.990217114781</x:v>
      </x:c>
    </x:row>
    <x:row r="69" ht="18" customHeight="1">
      <x:c r="A69" s="24" t="str">
        <x:v>EEZ_050</x:v>
      </x:c>
      <x:c r="B69" s="24" t="str">
        <x:v>Bangladesh</x:v>
      </x:c>
      <x:c r="C69" s="24" t="str">
        <x:v>EEZ</x:v>
      </x:c>
      <x:c r="D69" s="30" t="n">
        <x:v>2019</x:v>
      </x:c>
      <x:c r="E69" s="24" t="str">
        <x:v>Cephea</x:v>
      </x:c>
      <x:c r="F69" s="24" t="str">
        <x:v>Cepheid jellyfishes</x:v>
      </x:c>
      <x:c r="G69" s="24" t="str">
        <x:v>Jellyfish</x:v>
      </x:c>
      <x:c r="H69" s="24" t="str">
        <x:v>Other fishes &amp; inverts</x:v>
      </x:c>
      <x:c r="I69" s="31" t="n">
        <x:v>124.16691737789999</x:v>
      </x:c>
      <x:c r="J69" s="31" t="n">
        <x:v>124.16691737789999</x:v>
      </x:c>
      <x:c r="K69" s="31" t="n">
        <x:v>0</x:v>
      </x:c>
      <x:c r="L69" s="31" t="n">
        <x:v>25.502576776</x:v>
      </x:c>
      <x:c r="M69" s="31" t="n">
        <x:v>98.6643406019</x:v>
      </x:c>
      <x:c r="N69" s="24" t="str">
        <x:v>cephea</x:v>
      </x:c>
      <x:c r="O69" s="32" t="n">
        <x:v>3.46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Cephea</x:v>
      </x:c>
      <x:c r="T69" s="32" t="n">
        <x:f>IF(O69="","",(1/'Metadata'!$B$5)^(O69-1))</x:f>
        <x:v>288.40315031266056</x:v>
      </x:c>
      <x:c r="U69" s="31" t="n">
        <x:f>IF(T69="","",I69*T69)</x:f>
        <x:v>35810.1301363982</x:v>
      </x:c>
    </x:row>
    <x:row r="70" ht="18" customHeight="1">
      <x:c r="A70" s="24" t="str">
        <x:v>EEZ_050</x:v>
      </x:c>
      <x:c r="B70" s="24" t="str">
        <x:v>Bangladesh</x:v>
      </x:c>
      <x:c r="C70" s="24" t="str">
        <x:v>EEZ</x:v>
      </x:c>
      <x:c r="D70" s="30" t="n">
        <x:v>2019</x:v>
      </x:c>
      <x:c r="E70" s="24" t="str">
        <x:v>Lates calcarifer</x:v>
      </x:c>
      <x:c r="F70" s="24" t="str">
        <x:v>Barramundi</x:v>
      </x:c>
      <x:c r="G70" s="24" t="str">
        <x:v>Large demersals (&gt;=90 cm)</x:v>
      </x:c>
      <x:c r="H70" s="24" t="str">
        <x:v>Perch-likes</x:v>
      </x:c>
      <x:c r="I70" s="31" t="n">
        <x:v>119.4451982781</x:v>
      </x:c>
      <x:c r="J70" s="31" t="n">
        <x:v>119.4451982781</x:v>
      </x:c>
      <x:c r="K70" s="31" t="n">
        <x:v>0</x:v>
      </x:c>
      <x:c r="L70" s="31" t="n">
        <x:v>0.7899396132</x:v>
      </x:c>
      <x:c r="M70" s="31" t="n">
        <x:v>118.65525866489999</x:v>
      </x:c>
      <x:c r="N70" s="24" t="str">
        <x:v>lates calcarifer</x:v>
      </x:c>
      <x:c r="O70" s="32" t="n">
        <x:v>4.35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Lates calcarifer</x:v>
      </x:c>
      <x:c r="T70" s="32" t="n">
        <x:f>IF(O70="","",(1/'Metadata'!$B$5)^(O70-1))</x:f>
        <x:v>2238.7211385683377</x:v>
      </x:c>
      <x:c r="U70" s="31" t="n">
        <x:f>IF(T70="","",I70*T70)</x:f>
        <x:v>267404.4902856689</x:v>
      </x:c>
    </x:row>
    <x:row r="71" ht="18" customHeight="1">
      <x:c r="A71" s="24" t="str">
        <x:v>EEZ_050</x:v>
      </x:c>
      <x:c r="B71" s="24" t="str">
        <x:v>Bangladesh</x:v>
      </x:c>
      <x:c r="C71" s="24" t="str">
        <x:v>EEZ</x:v>
      </x:c>
      <x:c r="D71" s="30" t="n">
        <x:v>2019</x:v>
      </x:c>
      <x:c r="E71" s="24" t="str">
        <x:v>Holothuroidea</x:v>
      </x:c>
      <x:c r="F71" s="24" t="str">
        <x:v>Sea cucumbers</x:v>
      </x:c>
      <x:c r="G71" s="24" t="str">
        <x:v>Other demersal invertebrates</x:v>
      </x:c>
      <x:c r="H71" s="24" t="str">
        <x:v>Other fishes &amp; inverts</x:v>
      </x:c>
      <x:c r="I71" s="31" t="n">
        <x:v>112.2392084</x:v>
      </x:c>
      <x:c r="J71" s="31" t="n">
        <x:v>112.2392084</x:v>
      </x:c>
      <x:c r="K71" s="31" t="n">
        <x:v>0</x:v>
      </x:c>
      <x:c r="L71" s="31" t="n">
        <x:v>0</x:v>
      </x:c>
      <x:c r="M71" s="31" t="n">
        <x:v>112.2392084</x:v>
      </x:c>
      <x:c r="N71" s="24" t="str">
        <x:v>holothuroidea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Holothuroidea</x:v>
      </x:c>
      <x:c r="T71" s="32" t="n">
        <x:f>IF(O71="","",(1/'Metadata'!$B$5)^(O71-1))</x:f>
        <x:v>10</x:v>
      </x:c>
      <x:c r="U71" s="31" t="n">
        <x:f>IF(T71="","",I71*T71)</x:f>
        <x:v>1122.392084</x:v>
      </x:c>
    </x:row>
    <x:row r="72" ht="18" customHeight="1">
      <x:c r="A72" s="24" t="str">
        <x:v>EEZ_050</x:v>
      </x:c>
      <x:c r="B72" s="24" t="str">
        <x:v>Bangladesh</x:v>
      </x:c>
      <x:c r="C72" s="24" t="str">
        <x:v>EEZ</x:v>
      </x:c>
      <x:c r="D72" s="30" t="n">
        <x:v>2019</x:v>
      </x:c>
      <x:c r="E72" s="24" t="str">
        <x:v>Scomberomorus commerson</x:v>
      </x:c>
      <x:c r="F72" s="24" t="str">
        <x:v>Narrow-barred Spanish mackerel</x:v>
      </x:c>
      <x:c r="G72" s="24" t="str">
        <x:v>Large pelagics (&gt;=90 cm)</x:v>
      </x:c>
      <x:c r="H72" s="24" t="str">
        <x:v>Perch-likes</x:v>
      </x:c>
      <x:c r="I72" s="31" t="n">
        <x:v>84.8045786639</x:v>
      </x:c>
      <x:c r="J72" s="31" t="n">
        <x:v>84.8045786639</x:v>
      </x:c>
      <x:c r="K72" s="31" t="n">
        <x:v>0</x:v>
      </x:c>
      <x:c r="L72" s="31" t="n">
        <x:v>84.8045786639</x:v>
      </x:c>
      <x:c r="M72" s="31" t="n">
        <x:v>0</x:v>
      </x:c>
      <x:c r="N72" s="24" t="str">
        <x:v>scomberomorus commerson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Scomberomorus commerson</x:v>
      </x:c>
      <x:c r="T72" s="32" t="n">
        <x:f>IF(O72="","",(1/'Metadata'!$B$5)^(O72-1))</x:f>
        <x:v>3162.2776601683795</x:v>
      </x:c>
      <x:c r="U72" s="31" t="n">
        <x:f>IF(T72="","",I72*T72)</x:f>
        <x:v>268175.62458884297</x:v>
      </x:c>
    </x:row>
    <x:row r="73" ht="18" customHeight="1">
      <x:c r="A73" s="24" t="str">
        <x:v>EEZ_050</x:v>
      </x:c>
      <x:c r="B73" s="24" t="str">
        <x:v>Bangladesh</x:v>
      </x:c>
      <x:c r="C73" s="24" t="str">
        <x:v>EEZ</x:v>
      </x:c>
      <x:c r="D73" s="30" t="n">
        <x:v>2019</x:v>
      </x:c>
      <x:c r="E73" s="24" t="str">
        <x:v>Loliginidae</x:v>
      </x:c>
      <x:c r="F73" s="24" t="str">
        <x:v>Common pencil squids</x:v>
      </x:c>
      <x:c r="G73" s="24" t="str">
        <x:v>Cephalopods</x:v>
      </x:c>
      <x:c r="H73" s="24" t="str">
        <x:v>Other fishes &amp; inverts</x:v>
      </x:c>
      <x:c r="I73" s="31" t="n">
        <x:v>81.0879129372</x:v>
      </x:c>
      <x:c r="J73" s="31" t="n">
        <x:v>81.0879129372</x:v>
      </x:c>
      <x:c r="K73" s="31" t="n">
        <x:v>0</x:v>
      </x:c>
      <x:c r="L73" s="31" t="n">
        <x:v>77.2311487107</x:v>
      </x:c>
      <x:c r="M73" s="31" t="n">
        <x:v>3.8567642265</x:v>
      </x:c>
      <x:c r="N73" s="24" t="str">
        <x:v>loliginidae</x:v>
      </x:c>
      <x:c r="O73" s="32" t="n">
        <x:v>3.9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Loliginidae</x:v>
      </x:c>
      <x:c r="T73" s="32" t="n">
        <x:f>IF(O73="","",(1/'Metadata'!$B$5)^(O73-1))</x:f>
        <x:v>794.3282347242813</x:v>
      </x:c>
      <x:c r="U73" s="31" t="n">
        <x:f>IF(T73="","",I73*T73)</x:f>
        <x:v>64410.41874088229</x:v>
      </x:c>
    </x:row>
    <x:row r="74" ht="18" customHeight="1">
      <x:c r="A74" s="24" t="str">
        <x:v>EEZ_050</x:v>
      </x:c>
      <x:c r="B74" s="24" t="str">
        <x:v>Bangladesh</x:v>
      </x:c>
      <x:c r="C74" s="24" t="str">
        <x:v>EEZ</x:v>
      </x:c>
      <x:c r="D74" s="30" t="n">
        <x:v>2019</x:v>
      </x:c>
      <x:c r="E74" s="24" t="str">
        <x:v>Sardinella</x:v>
      </x:c>
      <x:c r="F74" s="24" t="str">
        <x:v>Sardinellas</x:v>
      </x:c>
      <x:c r="G74" s="24" t="str">
        <x:v>Small pelagics (&lt;30 cm)</x:v>
      </x:c>
      <x:c r="H74" s="24" t="str">
        <x:v>Herring-likes</x:v>
      </x:c>
      <x:c r="I74" s="31" t="n">
        <x:v>75.4385798646</x:v>
      </x:c>
      <x:c r="J74" s="31" t="n">
        <x:v>75.4385798646</x:v>
      </x:c>
      <x:c r="K74" s="31" t="n">
        <x:v>0</x:v>
      </x:c>
      <x:c r="L74" s="31" t="n">
        <x:v>55.661639692899996</x:v>
      </x:c>
      <x:c r="M74" s="31" t="n">
        <x:v>19.7769401717</x:v>
      </x:c>
      <x:c r="N74" s="24" t="str">
        <x:v>sardinella</x:v>
      </x:c>
      <x:c r="O74" s="32" t="n">
        <x:v>2.77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Sardinella</x:v>
      </x:c>
      <x:c r="T74" s="32" t="n">
        <x:f>IF(O74="","",(1/'Metadata'!$B$5)^(O74-1))</x:f>
        <x:v>58.8843655355589</x:v>
      </x:c>
      <x:c r="U74" s="31" t="n">
        <x:f>IF(T74="","",I74*T74)</x:f>
        <x:v>4442.15291223056</x:v>
      </x:c>
    </x:row>
    <x:row r="75" ht="18" customHeight="1">
      <x:c r="A75" s="24" t="str">
        <x:v>EEZ_050</x:v>
      </x:c>
      <x:c r="B75" s="24" t="str">
        <x:v>Bangladesh</x:v>
      </x:c>
      <x:c r="C75" s="24" t="str">
        <x:v>EEZ</x:v>
      </x:c>
      <x:c r="D75" s="30" t="n">
        <x:v>2019</x:v>
      </x:c>
      <x:c r="E75" s="24" t="str">
        <x:v>Euthynnus affinis</x:v>
      </x:c>
      <x:c r="F75" s="24" t="str">
        <x:v>Kawakawa</x:v>
      </x:c>
      <x:c r="G75" s="24" t="str">
        <x:v>Large pelagics (&gt;=90 cm)</x:v>
      </x:c>
      <x:c r="H75" s="24" t="str">
        <x:v>Tuna &amp; billfishes</x:v>
      </x:c>
      <x:c r="I75" s="31" t="n">
        <x:v>71.2466467144</x:v>
      </x:c>
      <x:c r="J75" s="31" t="n">
        <x:v>71.2466467144</x:v>
      </x:c>
      <x:c r="K75" s="31" t="n">
        <x:v>0</x:v>
      </x:c>
      <x:c r="L75" s="31" t="n">
        <x:v>71.2466467144</x:v>
      </x:c>
      <x:c r="M75" s="31" t="n">
        <x:v>0</x:v>
      </x:c>
      <x:c r="N75" s="24" t="str">
        <x:v>euthynnus affinis</x:v>
      </x:c>
      <x:c r="O75" s="32" t="n">
        <x:v>4.5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Euthynnus affinis</x:v>
      </x:c>
      <x:c r="T75" s="32" t="n">
        <x:f>IF(O75="","",(1/'Metadata'!$B$5)^(O75-1))</x:f>
        <x:v>3162.2776601683795</x:v>
      </x:c>
      <x:c r="U75" s="31" t="n">
        <x:f>IF(T75="","",I75*T75)</x:f>
        <x:v>225301.679266856</x:v>
      </x:c>
    </x:row>
    <x:row r="76" ht="18" customHeight="1">
      <x:c r="A76" s="24" t="str">
        <x:v>EEZ_050</x:v>
      </x:c>
      <x:c r="B76" s="24" t="str">
        <x:v>Bangladesh</x:v>
      </x:c>
      <x:c r="C76" s="24" t="str">
        <x:v>EEZ</x:v>
      </x:c>
      <x:c r="D76" s="30" t="n">
        <x:v>2019</x:v>
      </x:c>
      <x:c r="E76" s="24" t="str">
        <x:v>Platycephalidae</x:v>
      </x:c>
      <x:c r="F76" s="24" t="str">
        <x:v>Flatheads</x:v>
      </x:c>
      <x:c r="G76" s="24" t="str">
        <x:v>Medium demersals (30 - 89 cm)</x:v>
      </x:c>
      <x:c r="H76" s="24" t="str">
        <x:v>Scorpionfishes</x:v>
      </x:c>
      <x:c r="I76" s="31" t="n">
        <x:v>63.4224466999</x:v>
      </x:c>
      <x:c r="J76" s="31" t="n">
        <x:v>51.6750895853</x:v>
      </x:c>
      <x:c r="K76" s="31" t="n">
        <x:v>11.7473571146</x:v>
      </x:c>
      <x:c r="L76" s="31" t="n">
        <x:v>49.7489578955</x:v>
      </x:c>
      <x:c r="M76" s="31" t="n">
        <x:v>13.6734888044</x:v>
      </x:c>
      <x:c r="N76" s="24" t="str">
        <x:v>platycephalidae</x:v>
      </x:c>
      <x:c r="O76" s="32" t="n">
        <x:v>3.9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Platycephalidae</x:v>
      </x:c>
      <x:c r="T76" s="32" t="n">
        <x:f>IF(O76="","",(1/'Metadata'!$B$5)^(O76-1))</x:f>
        <x:v>794.3282347242813</x:v>
      </x:c>
      <x:c r="U76" s="31" t="n">
        <x:f>IF(T76="","",I76*T76)</x:f>
        <x:v>50378.24012902639</x:v>
      </x:c>
    </x:row>
    <x:row r="77" ht="18" customHeight="1">
      <x:c r="A77" s="24" t="str">
        <x:v>EEZ_050</x:v>
      </x:c>
      <x:c r="B77" s="24" t="str">
        <x:v>Bangladesh</x:v>
      </x:c>
      <x:c r="C77" s="24" t="str">
        <x:v>EEZ</x:v>
      </x:c>
      <x:c r="D77" s="30" t="n">
        <x:v>2019</x:v>
      </x:c>
      <x:c r="E77" s="24" t="str">
        <x:v>Saurida</x:v>
      </x:c>
      <x:c r="F77" s="24" t="str">
        <x:v>Lizardfishes</x:v>
      </x:c>
      <x:c r="G77" s="24" t="str">
        <x:v>Medium demersals (30 - 89 cm)</x:v>
      </x:c>
      <x:c r="H77" s="24" t="str">
        <x:v>Other fishes &amp; inverts</x:v>
      </x:c>
      <x:c r="I77" s="31" t="n">
        <x:v>58.6400603899</x:v>
      </x:c>
      <x:c r="J77" s="31" t="n">
        <x:v>58.6400603899</x:v>
      </x:c>
      <x:c r="K77" s="31" t="n">
        <x:v>0</x:v>
      </x:c>
      <x:c r="L77" s="31" t="n">
        <x:v>54.892487964400004</x:v>
      </x:c>
      <x:c r="M77" s="31" t="n">
        <x:v>3.7475724255</x:v>
      </x:c>
      <x:c r="N77" s="24" t="str">
        <x:v>saurida</x:v>
      </x:c>
      <x:c r="O77" s="32" t="n">
        <x:v>4.35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Saurida</x:v>
      </x:c>
      <x:c r="T77" s="32" t="n">
        <x:f>IF(O77="","",(1/'Metadata'!$B$5)^(O77-1))</x:f>
        <x:v>2238.7211385683377</x:v>
      </x:c>
      <x:c r="U77" s="31" t="n">
        <x:f>IF(T77="","",I77*T77)</x:f>
        <x:v>131278.742761793</x:v>
      </x:c>
    </x:row>
    <x:row r="78" ht="18" customHeight="1">
      <x:c r="A78" s="24" t="str">
        <x:v>EEZ_050</x:v>
      </x:c>
      <x:c r="B78" s="24" t="str">
        <x:v>Bangladesh</x:v>
      </x:c>
      <x:c r="C78" s="24" t="str">
        <x:v>EEZ</x:v>
      </x:c>
      <x:c r="D78" s="30" t="n">
        <x:v>2019</x:v>
      </x:c>
      <x:c r="E78" s="24" t="str">
        <x:v>Portunus pelagicus</x:v>
      </x:c>
      <x:c r="F78" s="24" t="str">
        <x:v>Blue swimming crab</x:v>
      </x:c>
      <x:c r="G78" s="24" t="str">
        <x:v>Lobsters, crabs</x:v>
      </x:c>
      <x:c r="H78" s="24" t="str">
        <x:v>Crustaceans</x:v>
      </x:c>
      <x:c r="I78" s="31" t="n">
        <x:v>49.227745286</x:v>
      </x:c>
      <x:c r="J78" s="31" t="n">
        <x:v>49.227745286</x:v>
      </x:c>
      <x:c r="K78" s="31" t="n">
        <x:v>0</x:v>
      </x:c>
      <x:c r="L78" s="31" t="n">
        <x:v>37.4805558584</x:v>
      </x:c>
      <x:c r="M78" s="31" t="n">
        <x:v>11.747189427599999</x:v>
      </x:c>
      <x:c r="N78" s="24" t="str">
        <x:v>portunus pelagicus</x:v>
      </x:c>
      <x:c r="O78" s="32" t="n">
        <x:v>2.48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Portunus pelagicus</x:v>
      </x:c>
      <x:c r="T78" s="32" t="n">
        <x:f>IF(O78="","",(1/'Metadata'!$B$5)^(O78-1))</x:f>
        <x:v>30.19951720402016</x:v>
      </x:c>
      <x:c r="U78" s="31" t="n">
        <x:f>IF(T78="","",I78*T78)</x:f>
        <x:v>1486.6541406796794</x:v>
      </x:c>
    </x:row>
    <x:row r="79" ht="18" customHeight="1">
      <x:c r="A79" s="24" t="str">
        <x:v>EEZ_050</x:v>
      </x:c>
      <x:c r="B79" s="24" t="str">
        <x:v>Bangladesh</x:v>
      </x:c>
      <x:c r="C79" s="24" t="str">
        <x:v>EEZ</x:v>
      </x:c>
      <x:c r="D79" s="30" t="n">
        <x:v>2019</x:v>
      </x:c>
      <x:c r="E79" s="24" t="str">
        <x:v>Sphyraena</x:v>
      </x:c>
      <x:c r="F79" s="24" t="str">
        <x:v>Barracudas, sennets</x:v>
      </x:c>
      <x:c r="G79" s="24" t="str">
        <x:v>Large pelagics (&gt;=90 cm)</x:v>
      </x:c>
      <x:c r="H79" s="24" t="str">
        <x:v>Perch-likes</x:v>
      </x:c>
      <x:c r="I79" s="31" t="n">
        <x:v>45.984712337299996</x:v>
      </x:c>
      <x:c r="J79" s="31" t="n">
        <x:v>45.984712337299996</x:v>
      </x:c>
      <x:c r="K79" s="31" t="n">
        <x:v>0</x:v>
      </x:c>
      <x:c r="L79" s="31" t="n">
        <x:v>23.7189762808</x:v>
      </x:c>
      <x:c r="M79" s="31" t="n">
        <x:v>22.2657360565</x:v>
      </x:c>
      <x:c r="N79" s="24" t="str">
        <x:v>sphyraena</x:v>
      </x:c>
      <x:c r="O79" s="32" t="n">
        <x:v>4.4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Sphyraena</x:v>
      </x:c>
      <x:c r="T79" s="32" t="n">
        <x:f>IF(O79="","",(1/'Metadata'!$B$5)^(O79-1))</x:f>
        <x:v>2511.886431509582</x:v>
      </x:c>
      <x:c r="U79" s="31" t="n">
        <x:f>IF(T79="","",I79*T79)</x:f>
        <x:v>115508.37497693514</x:v>
      </x:c>
    </x:row>
    <x:row r="80" ht="18" customHeight="1">
      <x:c r="A80" s="24" t="str">
        <x:v>EEZ_050</x:v>
      </x:c>
      <x:c r="B80" s="24" t="str">
        <x:v>Bangladesh</x:v>
      </x:c>
      <x:c r="C80" s="24" t="str">
        <x:v>EEZ</x:v>
      </x:c>
      <x:c r="D80" s="30" t="n">
        <x:v>2019</x:v>
      </x:c>
      <x:c r="E80" s="24" t="str">
        <x:v>Upeneus</x:v>
      </x:c>
      <x:c r="F80" s="24" t="str">
        <x:v>Upeneid goatfishes</x:v>
      </x:c>
      <x:c r="G80" s="24" t="str">
        <x:v>Small reef assoc. fish (&lt;30 cm)</x:v>
      </x:c>
      <x:c r="H80" s="24" t="str">
        <x:v>Perch-likes</x:v>
      </x:c>
      <x:c r="I80" s="31" t="n">
        <x:v>32.95913262</x:v>
      </x:c>
      <x:c r="J80" s="31" t="n">
        <x:v>32.95913262</x:v>
      </x:c>
      <x:c r="K80" s="31" t="n">
        <x:v>0</x:v>
      </x:c>
      <x:c r="L80" s="31" t="n">
        <x:v>0</x:v>
      </x:c>
      <x:c r="M80" s="31" t="n">
        <x:v>32.95913262</x:v>
      </x:c>
      <x:c r="N80" s="24" t="str">
        <x:v>upeneus</x:v>
      </x:c>
      <x:c r="O80" s="32" t="n">
        <x:v>3.54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Upeneus</x:v>
      </x:c>
      <x:c r="T80" s="32" t="n">
        <x:f>IF(O80="","",(1/'Metadata'!$B$5)^(O80-1))</x:f>
        <x:v>346.73685045253166</x:v>
      </x:c>
      <x:c r="U80" s="31" t="n">
        <x:f>IF(T80="","",I80*T80)</x:f>
        <x:v>11428.145838306098</x:v>
      </x:c>
    </x:row>
    <x:row r="81" ht="18" customHeight="1">
      <x:c r="A81" s="24" t="str">
        <x:v>EEZ_050</x:v>
      </x:c>
      <x:c r="B81" s="24" t="str">
        <x:v>Bangladesh</x:v>
      </x:c>
      <x:c r="C81" s="24" t="str">
        <x:v>EEZ</x:v>
      </x:c>
      <x:c r="D81" s="30" t="n">
        <x:v>2019</x:v>
      </x:c>
      <x:c r="E81" s="24" t="str">
        <x:v>Thunnus tonggol</x:v>
      </x:c>
      <x:c r="F81" s="24" t="str">
        <x:v>Longtail tuna</x:v>
      </x:c>
      <x:c r="G81" s="24" t="str">
        <x:v>Large pelagics (&gt;=90 cm)</x:v>
      </x:c>
      <x:c r="H81" s="24" t="str">
        <x:v>Tuna &amp; billfishes</x:v>
      </x:c>
      <x:c r="I81" s="31" t="n">
        <x:v>32.0328035832</x:v>
      </x:c>
      <x:c r="J81" s="31" t="n">
        <x:v>32.0328035832</x:v>
      </x:c>
      <x:c r="K81" s="31" t="n">
        <x:v>0</x:v>
      </x:c>
      <x:c r="L81" s="31" t="n">
        <x:v>32.0328035832</x:v>
      </x:c>
      <x:c r="M81" s="31" t="n">
        <x:v>0</x:v>
      </x:c>
      <x:c r="N81" s="24" t="str">
        <x:v>thunnus tonggol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Thunnus tonggol</x:v>
      </x:c>
      <x:c r="T81" s="32" t="n">
        <x:f>IF(O81="","",(1/'Metadata'!$B$5)^(O81-1))</x:f>
        <x:v>3162.2776601683795</x:v>
      </x:c>
      <x:c r="U81" s="31" t="n">
        <x:f>IF(T81="","",I81*T81)</x:f>
        <x:v>101296.61916371498</x:v>
      </x:c>
    </x:row>
    <x:row r="82" ht="18" customHeight="1">
      <x:c r="A82" s="24" t="str">
        <x:v>EEZ_050</x:v>
      </x:c>
      <x:c r="B82" s="24" t="str">
        <x:v>Bangladesh</x:v>
      </x:c>
      <x:c r="C82" s="24" t="str">
        <x:v>EEZ</x:v>
      </x:c>
      <x:c r="D82" s="30" t="n">
        <x:v>2019</x:v>
      </x:c>
      <x:c r="E82" s="24" t="str">
        <x:v>Octopoda</x:v>
      </x:c>
      <x:c r="F82" s="24" t="str">
        <x:v>Octopuses, argonauts</x:v>
      </x:c>
      <x:c r="G82" s="24" t="str">
        <x:v>Cephalopods</x:v>
      </x:c>
      <x:c r="H82" s="24" t="str">
        <x:v>Other fishes &amp; inverts</x:v>
      </x:c>
      <x:c r="I82" s="31" t="n">
        <x:v>28.68335325</x:v>
      </x:c>
      <x:c r="J82" s="31" t="n">
        <x:v>28.68335325</x:v>
      </x:c>
      <x:c r="K82" s="31" t="n">
        <x:v>0</x:v>
      </x:c>
      <x:c r="L82" s="31" t="n">
        <x:v>0</x:v>
      </x:c>
      <x:c r="M82" s="31" t="n">
        <x:v>28.68335325</x:v>
      </x:c>
      <x:c r="N82" s="24" t="str">
        <x:v>octopoda</x:v>
      </x:c>
      <x:c r="O82" s="32" t="n">
        <x:v>3.58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Octopoda</x:v>
      </x:c>
      <x:c r="T82" s="32" t="n">
        <x:f>IF(O82="","",(1/'Metadata'!$B$5)^(O82-1))</x:f>
        <x:v>380.1893963205613</x:v>
      </x:c>
      <x:c r="U82" s="31" t="n">
        <x:f>IF(T82="","",I82*T82)</x:f>
        <x:v>10905.10675656691</x:v>
      </x:c>
    </x:row>
    <x:row r="83" ht="18" customHeight="1">
      <x:c r="A83" s="24" t="str">
        <x:v>EEZ_050</x:v>
      </x:c>
      <x:c r="B83" s="24" t="str">
        <x:v>Bangladesh</x:v>
      </x:c>
      <x:c r="C83" s="24" t="str">
        <x:v>EEZ</x:v>
      </x:c>
      <x:c r="D83" s="30" t="n">
        <x:v>2019</x:v>
      </x:c>
      <x:c r="E83" s="24" t="str">
        <x:v>Lutjanidae</x:v>
      </x:c>
      <x:c r="F83" s="24" t="str">
        <x:v>Snappers</x:v>
      </x:c>
      <x:c r="G83" s="24" t="str">
        <x:v>Medium reef assoc. fish (30 - 89 cm)</x:v>
      </x:c>
      <x:c r="H83" s="24" t="str">
        <x:v>Perch-likes</x:v>
      </x:c>
      <x:c r="I83" s="31" t="n">
        <x:v>26.8387408582</x:v>
      </x:c>
      <x:c r="J83" s="31" t="n">
        <x:v>26.8387408582</x:v>
      </x:c>
      <x:c r="K83" s="31" t="n">
        <x:v>0</x:v>
      </x:c>
      <x:c r="L83" s="31" t="n">
        <x:v>24.6669038167</x:v>
      </x:c>
      <x:c r="M83" s="31" t="n">
        <x:v>2.1718370415000003</x:v>
      </x:c>
      <x:c r="N83" s="24" t="str">
        <x:v>lutjanidae</x:v>
      </x:c>
      <x:c r="O83" s="32" t="n">
        <x:v>4.02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Lutjanidae</x:v>
      </x:c>
      <x:c r="T83" s="32" t="n">
        <x:f>IF(O83="","",(1/'Metadata'!$B$5)^(O83-1))</x:f>
        <x:v>1047.1285480508984</x:v>
      </x:c>
      <x:c r="U83" s="31" t="n">
        <x:f>IF(T83="","",I83*T83)</x:f>
        <x:v>28103.61174636129</x:v>
      </x:c>
    </x:row>
    <x:row r="84" ht="18" customHeight="1">
      <x:c r="A84" s="24" t="str">
        <x:v>EEZ_050</x:v>
      </x:c>
      <x:c r="B84" s="24" t="str">
        <x:v>Bangladesh</x:v>
      </x:c>
      <x:c r="C84" s="24" t="str">
        <x:v>EEZ</x:v>
      </x:c>
      <x:c r="D84" s="30" t="n">
        <x:v>2019</x:v>
      </x:c>
      <x:c r="E84" s="24" t="str">
        <x:v>Tenualosa toli</x:v>
      </x:c>
      <x:c r="F84" s="24" t="str">
        <x:v>Toli shad</x:v>
      </x:c>
      <x:c r="G84" s="24" t="str">
        <x:v>Medium pelagics (30 - 89 cm)</x:v>
      </x:c>
      <x:c r="H84" s="24" t="str">
        <x:v>Herring-likes</x:v>
      </x:c>
      <x:c r="I84" s="31" t="n">
        <x:v>26.18914862</x:v>
      </x:c>
      <x:c r="J84" s="31" t="n">
        <x:v>26.18914862</x:v>
      </x:c>
      <x:c r="K84" s="31" t="n">
        <x:v>0</x:v>
      </x:c>
      <x:c r="L84" s="31" t="n">
        <x:v>0</x:v>
      </x:c>
      <x:c r="M84" s="31" t="n">
        <x:v>26.18914862</x:v>
      </x:c>
      <x:c r="N84" s="24" t="str">
        <x:v>tenualosa toli</x:v>
      </x:c>
      <x:c r="O84" s="32" t="n">
        <x:v>2.48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Tenualosa toli</x:v>
      </x:c>
      <x:c r="T84" s="32" t="n">
        <x:f>IF(O84="","",(1/'Metadata'!$B$5)^(O84-1))</x:f>
        <x:v>30.19951720402016</x:v>
      </x:c>
      <x:c r="U84" s="31" t="n">
        <x:f>IF(T84="","",I84*T84)</x:f>
        <x:v>790.8996443083308</x:v>
      </x:c>
    </x:row>
    <x:row r="85" ht="18" customHeight="1">
      <x:c r="A85" s="24" t="str">
        <x:v>EEZ_050</x:v>
      </x:c>
      <x:c r="B85" s="24" t="str">
        <x:v>Bangladesh</x:v>
      </x:c>
      <x:c r="C85" s="24" t="str">
        <x:v>EEZ</x:v>
      </x:c>
      <x:c r="D85" s="30" t="n">
        <x:v>2019</x:v>
      </x:c>
      <x:c r="E85" s="24" t="str">
        <x:v>Priacanthus</x:v>
      </x:c>
      <x:c r="F85" s="24" t="str">
        <x:v>Bigeyes</x:v>
      </x:c>
      <x:c r="G85" s="24" t="str">
        <x:v>Medium reef assoc. fish (30 - 89 cm)</x:v>
      </x:c>
      <x:c r="H85" s="24" t="str">
        <x:v>Perch-likes</x:v>
      </x:c>
      <x:c r="I85" s="31" t="n">
        <x:v>24.1012032492</x:v>
      </x:c>
      <x:c r="J85" s="31" t="n">
        <x:v>24.1012032492</x:v>
      </x:c>
      <x:c r="K85" s="31" t="n">
        <x:v>0</x:v>
      </x:c>
      <x:c r="L85" s="31" t="n">
        <x:v>23.5651459352</x:v>
      </x:c>
      <x:c r="M85" s="31" t="n">
        <x:v>0.536057314</x:v>
      </x:c>
      <x:c r="N85" s="24" t="str">
        <x:v>priacanthus</x:v>
      </x:c>
      <x:c r="O85" s="32" t="n">
        <x:v>3.81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Priacanthus</x:v>
      </x:c>
      <x:c r="T85" s="32" t="n">
        <x:f>IF(O85="","",(1/'Metadata'!$B$5)^(O85-1))</x:f>
        <x:v>645.6542290346556</x:v>
      </x:c>
      <x:c r="U85" s="31" t="n">
        <x:f>IF(T85="","",I85*T85)</x:f>
        <x:v>15561.043802669763</x:v>
      </x:c>
    </x:row>
    <x:row r="86" ht="18" customHeight="1">
      <x:c r="A86" s="24" t="str">
        <x:v>EEZ_050</x:v>
      </x:c>
      <x:c r="B86" s="24" t="str">
        <x:v>Bangladesh</x:v>
      </x:c>
      <x:c r="C86" s="24" t="str">
        <x:v>EEZ</x:v>
      </x:c>
      <x:c r="D86" s="30" t="n">
        <x:v>2019</x:v>
      </x:c>
      <x:c r="E86" s="24" t="str">
        <x:v>Scolopsis</x:v>
      </x:c>
      <x:c r="F86" s="24" t="str">
        <x:v>Monocle breams</x:v>
      </x:c>
      <x:c r="G86" s="24" t="str">
        <x:v>Small reef assoc. fish (&lt;30 cm)</x:v>
      </x:c>
      <x:c r="H86" s="24" t="str">
        <x:v>Perch-likes</x:v>
      </x:c>
      <x:c r="I86" s="31" t="n">
        <x:v>15.2783174602</x:v>
      </x:c>
      <x:c r="J86" s="31" t="n">
        <x:v>15.2783174602</x:v>
      </x:c>
      <x:c r="K86" s="31" t="n">
        <x:v>0</x:v>
      </x:c>
      <x:c r="L86" s="31" t="n">
        <x:v>6.7519049046</x:v>
      </x:c>
      <x:c r="M86" s="31" t="n">
        <x:v>8.5264125556</x:v>
      </x:c>
      <x:c r="N86" s="24" t="str">
        <x:v>scolopsis</x:v>
      </x:c>
      <x:c r="O86" s="32" t="n">
        <x:v>3.3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Scolopsis</x:v>
      </x:c>
      <x:c r="T86" s="32" t="n">
        <x:f>IF(O86="","",(1/'Metadata'!$B$5)^(O86-1))</x:f>
        <x:v>199.52623149688787</x:v>
      </x:c>
      <x:c r="U86" s="31" t="n">
        <x:f>IF(T86="","",I86*T86)</x:f>
        <x:v>3048.4251064468094</x:v>
      </x:c>
    </x:row>
    <x:row r="87" ht="18" customHeight="1">
      <x:c r="A87" s="24" t="str">
        <x:v>EEZ_050</x:v>
      </x:c>
      <x:c r="B87" s="24" t="str">
        <x:v>Bangladesh</x:v>
      </x:c>
      <x:c r="C87" s="24" t="str">
        <x:v>EEZ</x:v>
      </x:c>
      <x:c r="D87" s="30" t="n">
        <x:v>2019</x:v>
      </x:c>
      <x:c r="E87" s="24" t="str">
        <x:v>Sepiidae</x:v>
      </x:c>
      <x:c r="F87" s="24" t="str">
        <x:v>Cuttlefishes</x:v>
      </x:c>
      <x:c r="G87" s="24" t="str">
        <x:v>Cephalopods</x:v>
      </x:c>
      <x:c r="H87" s="24" t="str">
        <x:v>Other fishes &amp; inverts</x:v>
      </x:c>
      <x:c r="I87" s="31" t="n">
        <x:v>12.8976785227</x:v>
      </x:c>
      <x:c r="J87" s="31" t="n">
        <x:v>12.8976785227</x:v>
      </x:c>
      <x:c r="K87" s="31" t="n">
        <x:v>0</x:v>
      </x:c>
      <x:c r="L87" s="31" t="n">
        <x:v>11.882354813500001</x:v>
      </x:c>
      <x:c r="M87" s="31" t="n">
        <x:v>1.0153237091999998</x:v>
      </x:c>
      <x:c r="N87" s="24" t="str">
        <x:v>sepiidae</x:v>
      </x:c>
      <x:c r="O87" s="32" t="n">
        <x:v>3.6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Sepiidae</x:v>
      </x:c>
      <x:c r="T87" s="32" t="n">
        <x:f>IF(O87="","",(1/'Metadata'!$B$5)^(O87-1))</x:f>
        <x:v>398.1071705534973</x:v>
      </x:c>
      <x:c r="U87" s="31" t="n">
        <x:f>IF(T87="","",I87*T87)</x:f>
        <x:v>5134.658303380708</x:v>
      </x:c>
    </x:row>
    <x:row r="88" ht="18" customHeight="1">
      <x:c r="A88" s="24" t="str">
        <x:v>EEZ_050</x:v>
      </x:c>
      <x:c r="B88" s="24" t="str">
        <x:v>Bangladesh</x:v>
      </x:c>
      <x:c r="C88" s="24" t="str">
        <x:v>EEZ</x:v>
      </x:c>
      <x:c r="D88" s="30" t="n">
        <x:v>2019</x:v>
      </x:c>
      <x:c r="E88" s="24" t="str">
        <x:v>Auxis thazard</x:v>
      </x:c>
      <x:c r="F88" s="24" t="str">
        <x:v>Frigate tuna</x:v>
      </x:c>
      <x:c r="G88" s="24" t="str">
        <x:v>Medium pelagics (30 - 89 cm)</x:v>
      </x:c>
      <x:c r="H88" s="24" t="str">
        <x:v>Tuna &amp; billfishes</x:v>
      </x:c>
      <x:c r="I88" s="31" t="n">
        <x:v>10.7020052654</x:v>
      </x:c>
      <x:c r="J88" s="31" t="n">
        <x:v>10.7020052654</x:v>
      </x:c>
      <x:c r="K88" s="31" t="n">
        <x:v>0</x:v>
      </x:c>
      <x:c r="L88" s="31" t="n">
        <x:v>10.7020052654</x:v>
      </x:c>
      <x:c r="M88" s="31" t="n">
        <x:v>0</x:v>
      </x:c>
      <x:c r="N88" s="24" t="str">
        <x:v>auxis thazard</x:v>
      </x:c>
      <x:c r="O88" s="32" t="n">
        <x:v>4.37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Auxis thazard</x:v>
      </x:c>
      <x:c r="T88" s="32" t="n">
        <x:f>IF(O88="","",(1/'Metadata'!$B$5)^(O88-1))</x:f>
        <x:v>2344.228815319923</x:v>
      </x:c>
      <x:c r="U88" s="31" t="n">
        <x:f>IF(T88="","",I88*T88)</x:f>
        <x:v>25087.94912485622</x:v>
      </x:c>
    </x:row>
    <x:row r="89" ht="18" customHeight="1">
      <x:c r="A89" s="24" t="str">
        <x:v>EEZ_050</x:v>
      </x:c>
      <x:c r="B89" s="24" t="str">
        <x:v>Bangladesh</x:v>
      </x:c>
      <x:c r="C89" s="24" t="str">
        <x:v>EEZ</x:v>
      </x:c>
      <x:c r="D89" s="30" t="n">
        <x:v>2019</x:v>
      </x:c>
      <x:c r="E89" s="24" t="str">
        <x:v>Chirocentrus dorab</x:v>
      </x:c>
      <x:c r="F89" s="24" t="str">
        <x:v>Dorab wolf-herring</x:v>
      </x:c>
      <x:c r="G89" s="24" t="str">
        <x:v>Large benthopelagics (&gt;=90 cm)</x:v>
      </x:c>
      <x:c r="H89" s="24" t="str">
        <x:v>Herring-likes</x:v>
      </x:c>
      <x:c r="I89" s="31" t="n">
        <x:v>10.3260400505</x:v>
      </x:c>
      <x:c r="J89" s="31" t="n">
        <x:v>10.3260400505</x:v>
      </x:c>
      <x:c r="K89" s="31" t="n">
        <x:v>0</x:v>
      </x:c>
      <x:c r="L89" s="31" t="n">
        <x:v>4.943358948</x:v>
      </x:c>
      <x:c r="M89" s="31" t="n">
        <x:v>5.3826811025</x:v>
      </x:c>
      <x:c r="N89" s="24" t="str">
        <x:v>chirocentrus dorab</x:v>
      </x:c>
      <x:c r="O89" s="32" t="n">
        <x:v>4.2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Chirocentrus dorab</x:v>
      </x:c>
      <x:c r="T89" s="32" t="n">
        <x:f>IF(O89="","",(1/'Metadata'!$B$5)^(O89-1))</x:f>
        <x:v>1584.893192461114</x:v>
      </x:c>
      <x:c r="U89" s="31" t="n">
        <x:f>IF(T89="","",I89*T89)</x:f>
        <x:v>16365.670581118267</x:v>
      </x:c>
    </x:row>
    <x:row r="90" ht="18" customHeight="1">
      <x:c r="A90" s="24" t="str">
        <x:v>EEZ_050</x:v>
      </x:c>
      <x:c r="B90" s="24" t="str">
        <x:v>Bangladesh</x:v>
      </x:c>
      <x:c r="C90" s="24" t="str">
        <x:v>EEZ</x:v>
      </x:c>
      <x:c r="D90" s="30" t="n">
        <x:v>2019</x:v>
      </x:c>
      <x:c r="E90" s="24" t="str">
        <x:v>Trichiurus lepturus</x:v>
      </x:c>
      <x:c r="F90" s="24" t="str">
        <x:v>Largehead hairtail</x:v>
      </x:c>
      <x:c r="G90" s="24" t="str">
        <x:v>Large benthopelagics (&gt;=90 cm)</x:v>
      </x:c>
      <x:c r="H90" s="24" t="str">
        <x:v>Perch-likes</x:v>
      </x:c>
      <x:c r="I90" s="31" t="n">
        <x:v>9.2193071913</x:v>
      </x:c>
      <x:c r="J90" s="31" t="n">
        <x:v>9.2193071913</x:v>
      </x:c>
      <x:c r="K90" s="31" t="n">
        <x:v>0</x:v>
      </x:c>
      <x:c r="L90" s="31" t="n">
        <x:v>8.3193114002</x:v>
      </x:c>
      <x:c r="M90" s="31" t="n">
        <x:v>0.8999957910999999</x:v>
      </x:c>
      <x:c r="N90" s="24" t="str">
        <x:v>trichiurus lepturus</x:v>
      </x:c>
      <x:c r="O90" s="32" t="n">
        <x:v>4.42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Trichiurus lepturus</x:v>
      </x:c>
      <x:c r="T90" s="32" t="n">
        <x:f>IF(O90="","",(1/'Metadata'!$B$5)^(O90-1))</x:f>
        <x:v>2630.2679918953813</x:v>
      </x:c>
      <x:c r="U90" s="31" t="n">
        <x:f>IF(T90="","",I90*T90)</x:f>
        <x:v>24249.2486127273</x:v>
      </x:c>
    </x:row>
    <x:row r="91" ht="18" customHeight="1">
      <x:c r="A91" s="24" t="str">
        <x:v>EEZ_050</x:v>
      </x:c>
      <x:c r="B91" s="24" t="str">
        <x:v>Bangladesh</x:v>
      </x:c>
      <x:c r="C91" s="24" t="str">
        <x:v>EEZ</x:v>
      </x:c>
      <x:c r="D91" s="30" t="n">
        <x:v>2019</x:v>
      </x:c>
      <x:c r="E91" s="24" t="str">
        <x:v>Serranidae</x:v>
      </x:c>
      <x:c r="F91" s="24" t="str">
        <x:v>Basses, groupers, hinds</x:v>
      </x:c>
      <x:c r="G91" s="24" t="str">
        <x:v>Medium reef assoc. fish (30 - 89 cm)</x:v>
      </x:c>
      <x:c r="H91" s="24" t="str">
        <x:v>Perch-likes</x:v>
      </x:c>
      <x:c r="I91" s="31" t="n">
        <x:v>8.9761358004</x:v>
      </x:c>
      <x:c r="J91" s="31" t="n">
        <x:v>8.9761358004</x:v>
      </x:c>
      <x:c r="K91" s="31" t="n">
        <x:v>0</x:v>
      </x:c>
      <x:c r="L91" s="31" t="n">
        <x:v>8.3109962463</x:v>
      </x:c>
      <x:c r="M91" s="31" t="n">
        <x:v>0.6651395541</x:v>
      </x:c>
      <x:c r="N91" s="24" t="str">
        <x:v>serranidae</x:v>
      </x:c>
      <x:c r="O91" s="32" t="n">
        <x:v>3.98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Serranidae</x:v>
      </x:c>
      <x:c r="T91" s="32" t="n">
        <x:f>IF(O91="","",(1/'Metadata'!$B$5)^(O91-1))</x:f>
        <x:v>954.992586021436</x:v>
      </x:c>
      <x:c r="U91" s="31" t="n">
        <x:f>IF(T91="","",I91*T91)</x:f>
        <x:v>8572.143140503587</x:v>
      </x:c>
    </x:row>
    <x:row r="92" ht="18" customHeight="1">
      <x:c r="A92" s="24" t="str">
        <x:v>EEZ_050</x:v>
      </x:c>
      <x:c r="B92" s="24" t="str">
        <x:v>Bangladesh</x:v>
      </x:c>
      <x:c r="C92" s="24" t="str">
        <x:v>EEZ</x:v>
      </x:c>
      <x:c r="D92" s="30" t="n">
        <x:v>2019</x:v>
      </x:c>
      <x:c r="E92" s="24" t="str">
        <x:v>Auxis</x:v>
      </x:c>
      <x:c r="F92" s="24" t="str">
        <x:v>Bullet and frigate tunas</x:v>
      </x:c>
      <x:c r="G92" s="24" t="str">
        <x:v>Medium pelagics (30 - 89 cm)</x:v>
      </x:c>
      <x:c r="H92" s="24" t="str">
        <x:v>Tuna &amp; billfishes</x:v>
      </x:c>
      <x:c r="I92" s="31" t="n">
        <x:v>8.2082831064</x:v>
      </x:c>
      <x:c r="J92" s="31" t="n">
        <x:v>8.2082831064</x:v>
      </x:c>
      <x:c r="K92" s="31" t="n">
        <x:v>0</x:v>
      </x:c>
      <x:c r="L92" s="31" t="n">
        <x:v>3.5921464516</x:v>
      </x:c>
      <x:c r="M92" s="31" t="n">
        <x:v>4.6161366548</x:v>
      </x:c>
      <x:c r="N92" s="24" t="str">
        <x:v>auxis</x:v>
      </x:c>
      <x:c r="O92" s="32" t="n">
        <x:v>4.24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Auxis</x:v>
      </x:c>
      <x:c r="T92" s="32" t="n">
        <x:f>IF(O92="","",(1/'Metadata'!$B$5)^(O92-1))</x:f>
        <x:v>1737.8008287493763</x:v>
      </x:c>
      <x:c r="U92" s="31" t="n">
        <x:f>IF(T92="","",I92*T92)</x:f>
        <x:v>14264.361184911424</x:v>
      </x:c>
    </x:row>
    <x:row r="93" ht="18" customHeight="1">
      <x:c r="A93" s="24" t="str">
        <x:v>EEZ_050</x:v>
      </x:c>
      <x:c r="B93" s="24" t="str">
        <x:v>Bangladesh</x:v>
      </x:c>
      <x:c r="C93" s="24" t="str">
        <x:v>EEZ</x:v>
      </x:c>
      <x:c r="D93" s="30" t="n">
        <x:v>2019</x:v>
      </x:c>
      <x:c r="E93" s="24" t="str">
        <x:v>Sepioteuthis lessoniana</x:v>
      </x:c>
      <x:c r="F93" s="24" t="str">
        <x:v>Bigfin reef squid</x:v>
      </x:c>
      <x:c r="G93" s="24" t="str">
        <x:v>Cephalopods</x:v>
      </x:c>
      <x:c r="H93" s="24" t="str">
        <x:v>Other fishes &amp; inverts</x:v>
      </x:c>
      <x:c r="I93" s="31" t="n">
        <x:v>8.0582485504</x:v>
      </x:c>
      <x:c r="J93" s="31" t="n">
        <x:v>8.0582485504</x:v>
      </x:c>
      <x:c r="K93" s="31" t="n">
        <x:v>0</x:v>
      </x:c>
      <x:c r="L93" s="31" t="n">
        <x:v>3.2429099911</x:v>
      </x:c>
      <x:c r="M93" s="31" t="n">
        <x:v>4.815338559300001</x:v>
      </x:c>
      <x:c r="N93" s="24" t="str">
        <x:v>sepioteuthis lessoniana</x:v>
      </x:c>
      <x:c r="O93" s="32" t="n">
        <x:v>3.98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Sepioteuthis lessoniana</x:v>
      </x:c>
      <x:c r="T93" s="32" t="n">
        <x:f>IF(O93="","",(1/'Metadata'!$B$5)^(O93-1))</x:f>
        <x:v>954.992586021436</x:v>
      </x:c>
      <x:c r="U93" s="31" t="n">
        <x:f>IF(T93="","",I93*T93)</x:f>
        <x:v>7695.567621949984</x:v>
      </x:c>
    </x:row>
    <x:row r="94" ht="18" customHeight="1">
      <x:c r="A94" s="24" t="str">
        <x:v>EEZ_050</x:v>
      </x:c>
      <x:c r="B94" s="24" t="str">
        <x:v>Bangladesh</x:v>
      </x:c>
      <x:c r="C94" s="24" t="str">
        <x:v>EEZ</x:v>
      </x:c>
      <x:c r="D94" s="30" t="n">
        <x:v>2019</x:v>
      </x:c>
      <x:c r="E94" s="24" t="str">
        <x:v>Penaeus</x:v>
      </x:c>
      <x:c r="F94" s="24" t="str">
        <x:v>Tiger prawns</x:v>
      </x:c>
      <x:c r="G94" s="24" t="str">
        <x:v>Shrimps</x:v>
      </x:c>
      <x:c r="H94" s="24" t="str">
        <x:v>Crustaceans</x:v>
      </x:c>
      <x:c r="I94" s="31" t="n">
        <x:v>7.5016097669</x:v>
      </x:c>
      <x:c r="J94" s="31" t="n">
        <x:v>7.5016097669</x:v>
      </x:c>
      <x:c r="K94" s="31" t="n">
        <x:v>0</x:v>
      </x:c>
      <x:c r="L94" s="31" t="n">
        <x:v>7.1676625956999995</x:v>
      </x:c>
      <x:c r="M94" s="31" t="n">
        <x:v>0.3339471712</x:v>
      </x:c>
      <x:c r="N94" s="24" t="str">
        <x:v>penaeus</x:v>
      </x:c>
      <x:c r="O94" s="32" t="n">
        <x:v>2.7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Penaeus</x:v>
      </x:c>
      <x:c r="T94" s="32" t="n">
        <x:f>IF(O94="","",(1/'Metadata'!$B$5)^(O94-1))</x:f>
        <x:v>50.11872336272725</x:v>
      </x:c>
      <x:c r="U94" s="31" t="n">
        <x:f>IF(T94="","",I94*T94)</x:f>
        <x:v>375.97110468239396</x:v>
      </x:c>
    </x:row>
    <x:row r="95" ht="18" customHeight="1">
      <x:c r="A95" s="24" t="str">
        <x:v>EEZ_050</x:v>
      </x:c>
      <x:c r="B95" s="24" t="str">
        <x:v>Bangladesh</x:v>
      </x:c>
      <x:c r="C95" s="24" t="str">
        <x:v>EEZ</x:v>
      </x:c>
      <x:c r="D95" s="30" t="n">
        <x:v>2019</x:v>
      </x:c>
      <x:c r="E95" s="24" t="str">
        <x:v>Auxis rochei</x:v>
      </x:c>
      <x:c r="F95" s="24" t="str">
        <x:v>Bullet tuna</x:v>
      </x:c>
      <x:c r="G95" s="24" t="str">
        <x:v>Medium pelagics (30 - 89 cm)</x:v>
      </x:c>
      <x:c r="H95" s="24" t="str">
        <x:v>Tuna &amp; billfishes</x:v>
      </x:c>
      <x:c r="I95" s="31" t="n">
        <x:v>6.915771265399999</x:v>
      </x:c>
      <x:c r="J95" s="31" t="n">
        <x:v>6.915771265399999</x:v>
      </x:c>
      <x:c r="K95" s="31" t="n">
        <x:v>0</x:v>
      </x:c>
      <x:c r="L95" s="31" t="n">
        <x:v>6.915771265399999</x:v>
      </x:c>
      <x:c r="M95" s="31" t="n">
        <x:v>0</x:v>
      </x:c>
      <x:c r="N95" s="24" t="str">
        <x:v>auxis rochei</x:v>
      </x:c>
      <x:c r="O95" s="32" t="n">
        <x:v>4.13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Auxis rochei</x:v>
      </x:c>
      <x:c r="T95" s="32" t="n">
        <x:f>IF(O95="","",(1/'Metadata'!$B$5)^(O95-1))</x:f>
        <x:v>1348.9628825916532</x:v>
      </x:c>
      <x:c r="U95" s="31" t="n">
        <x:f>IF(T95="","",I95*T95)</x:f>
        <x:v>9329.118741518509</x:v>
      </x:c>
    </x:row>
    <x:row r="96" ht="18" customHeight="1">
      <x:c r="A96" s="24" t="str">
        <x:v>EEZ_050</x:v>
      </x:c>
      <x:c r="B96" s="24" t="str">
        <x:v>Bangladesh</x:v>
      </x:c>
      <x:c r="C96" s="24" t="str">
        <x:v>EEZ</x:v>
      </x:c>
      <x:c r="D96" s="30" t="n">
        <x:v>2019</x:v>
      </x:c>
      <x:c r="E96" s="24" t="str">
        <x:v>Scomberomorus</x:v>
      </x:c>
      <x:c r="F96" s="24" t="str">
        <x:v>Spanish mackerels</x:v>
      </x:c>
      <x:c r="G96" s="24" t="str">
        <x:v>Large pelagics (&gt;=90 cm)</x:v>
      </x:c>
      <x:c r="H96" s="24" t="str">
        <x:v>Perch-likes</x:v>
      </x:c>
      <x:c r="I96" s="31" t="n">
        <x:v>5.5657553855</x:v>
      </x:c>
      <x:c r="J96" s="31" t="n">
        <x:v>5.5657553855</x:v>
      </x:c>
      <x:c r="K96" s="31" t="n">
        <x:v>0</x:v>
      </x:c>
      <x:c r="L96" s="31" t="n">
        <x:v>1.8584368794000001</x:v>
      </x:c>
      <x:c r="M96" s="31" t="n">
        <x:v>3.7073185061</x:v>
      </x:c>
      <x:c r="N96" s="24" t="str">
        <x:v>scomberomorus</x:v>
      </x:c>
      <x:c r="O96" s="32" t="n">
        <x:v>4.35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Scomberomorus</x:v>
      </x:c>
      <x:c r="T96" s="32" t="n">
        <x:f>IF(O96="","",(1/'Metadata'!$B$5)^(O96-1))</x:f>
        <x:v>2238.7211385683377</x:v>
      </x:c>
      <x:c r="U96" s="31" t="n">
        <x:f>IF(T96="","",I96*T96)</x:f>
        <x:v>12460.174233619417</x:v>
      </x:c>
    </x:row>
    <x:row r="97" ht="18" customHeight="1">
      <x:c r="A97" s="24" t="str">
        <x:v>EEZ_050</x:v>
      </x:c>
      <x:c r="B97" s="24" t="str">
        <x:v>Bangladesh</x:v>
      </x:c>
      <x:c r="C97" s="24" t="str">
        <x:v>EEZ</x:v>
      </x:c>
      <x:c r="D97" s="30" t="n">
        <x:v>2019</x:v>
      </x:c>
      <x:c r="E97" s="24" t="str">
        <x:v>Octopodidae</x:v>
      </x:c>
      <x:c r="F97" s="24" t="str">
        <x:v>Octopuses</x:v>
      </x:c>
      <x:c r="G97" s="24" t="str">
        <x:v>Cephalopods</x:v>
      </x:c>
      <x:c r="H97" s="24" t="str">
        <x:v>Other fishes &amp; inverts</x:v>
      </x:c>
      <x:c r="I97" s="31" t="n">
        <x:v>4.5187808257</x:v>
      </x:c>
      <x:c r="J97" s="31" t="n">
        <x:v>4.5187808257</x:v>
      </x:c>
      <x:c r="K97" s="31" t="n">
        <x:v>0</x:v>
      </x:c>
      <x:c r="L97" s="31" t="n">
        <x:v>4.336352718900001</x:v>
      </x:c>
      <x:c r="M97" s="31" t="n">
        <x:v>0.1824281068</x:v>
      </x:c>
      <x:c r="N97" s="24" t="str">
        <x:v>octopodidae</x:v>
      </x:c>
      <x:c r="O97" s="32" t="n">
        <x:v>3.59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Octopodidae</x:v>
      </x:c>
      <x:c r="T97" s="32" t="n">
        <x:f>IF(O97="","",(1/'Metadata'!$B$5)^(O97-1))</x:f>
        <x:v>389.04514499428046</x:v>
      </x:c>
      <x:c r="U97" s="31" t="n">
        <x:f>IF(T97="","",I97*T97)</x:f>
        <x:v>1758.009741531831</x:v>
      </x:c>
    </x:row>
    <x:row r="98" ht="18" customHeight="1">
      <x:c r="A98" s="24" t="str">
        <x:v>EEZ_050</x:v>
      </x:c>
      <x:c r="B98" s="24" t="str">
        <x:v>Bangladesh</x:v>
      </x:c>
      <x:c r="C98" s="24" t="str">
        <x:v>EEZ</x:v>
      </x:c>
      <x:c r="D98" s="30" t="n">
        <x:v>2019</x:v>
      </x:c>
      <x:c r="E98" s="24" t="str">
        <x:v>Plotosidae</x:v>
      </x:c>
      <x:c r="F98" s="24" t="str">
        <x:v>Eeltail catfishes</x:v>
      </x:c>
      <x:c r="G98" s="24" t="str">
        <x:v>Medium reef assoc. fish (30 - 89 cm)</x:v>
      </x:c>
      <x:c r="H98" s="24" t="str">
        <x:v>Other fishes &amp; inverts</x:v>
      </x:c>
      <x:c r="I98" s="31" t="n">
        <x:v>3.7985891837</x:v>
      </x:c>
      <x:c r="J98" s="31" t="n">
        <x:v>3.7985891837</x:v>
      </x:c>
      <x:c r="K98" s="31" t="n">
        <x:v>0</x:v>
      </x:c>
      <x:c r="L98" s="31" t="n">
        <x:v>3.5713585671</x:v>
      </x:c>
      <x:c r="M98" s="31" t="n">
        <x:v>0.2272306166</x:v>
      </x:c>
      <x:c r="N98" s="24" t="str">
        <x:v>plotosidae</x:v>
      </x:c>
      <x:c r="O98" s="32" t="n">
        <x:v>3.49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Plotosidae</x:v>
      </x:c>
      <x:c r="T98" s="32" t="n">
        <x:f>IF(O98="","",(1/'Metadata'!$B$5)^(O98-1))</x:f>
        <x:v>309.0295432513592</x:v>
      </x:c>
      <x:c r="U98" s="31" t="n">
        <x:f>IF(T98="","",I98*T98)</x:f>
        <x:v>1173.8762804383643</x:v>
      </x:c>
    </x:row>
    <x:row r="99" ht="18" customHeight="1">
      <x:c r="A99" s="24" t="str">
        <x:v>EEZ_050</x:v>
      </x:c>
      <x:c r="B99" s="24" t="str">
        <x:v>Bangladesh</x:v>
      </x:c>
      <x:c r="C99" s="24" t="str">
        <x:v>EEZ</x:v>
      </x:c>
      <x:c r="D99" s="30" t="n">
        <x:v>2019</x:v>
      </x:c>
      <x:c r="E99" s="24" t="str">
        <x:v>Thunnus albacares</x:v>
      </x:c>
      <x:c r="F99" s="24" t="str">
        <x:v>Yellowfin tuna</x:v>
      </x:c>
      <x:c r="G99" s="24" t="str">
        <x:v>Large pelagics (&gt;=90 cm)</x:v>
      </x:c>
      <x:c r="H99" s="24" t="str">
        <x:v>Tuna &amp; billfishes</x:v>
      </x:c>
      <x:c r="I99" s="31" t="n">
        <x:v>3.6262716921</x:v>
      </x:c>
      <x:c r="J99" s="31" t="n">
        <x:v>3.6262716921</x:v>
      </x:c>
      <x:c r="K99" s="31" t="n">
        <x:v>0</x:v>
      </x:c>
      <x:c r="L99" s="31" t="n">
        <x:v>3.6262716921</x:v>
      </x:c>
      <x:c r="M99" s="31" t="n">
        <x:v>0</x:v>
      </x:c>
      <x:c r="N99" s="24" t="str">
        <x:v>thunnus albacares</x:v>
      </x:c>
      <x:c r="O99" s="32" t="n">
        <x:v>4.41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Thunnus albacares</x:v>
      </x:c>
      <x:c r="T99" s="32" t="n">
        <x:f>IF(O99="","",(1/'Metadata'!$B$5)^(O99-1))</x:f>
        <x:v>2570.3957827688646</x:v>
      </x:c>
      <x:c r="U99" s="31" t="n">
        <x:f>IF(T99="","",I99*T99)</x:f>
        <x:v>9320.953464547954</x:v>
      </x:c>
    </x:row>
    <x:row r="100" ht="18" customHeight="1">
      <x:c r="A100" s="24" t="str">
        <x:v>EEZ_050</x:v>
      </x:c>
      <x:c r="B100" s="24" t="str">
        <x:v>Bangladesh</x:v>
      </x:c>
      <x:c r="C100" s="24" t="str">
        <x:v>EEZ</x:v>
      </x:c>
      <x:c r="D100" s="30" t="n">
        <x:v>2019</x:v>
      </x:c>
      <x:c r="E100" s="24" t="str">
        <x:v>Sillago</x:v>
      </x:c>
      <x:c r="F100" s="24" t="str">
        <x:v>Smelt-whitings</x:v>
      </x:c>
      <x:c r="G100" s="24" t="str">
        <x:v>Medium demersals (30 - 89 cm)</x:v>
      </x:c>
      <x:c r="H100" s="24" t="str">
        <x:v>Perch-likes</x:v>
      </x:c>
      <x:c r="I100" s="31" t="n">
        <x:v>2.4810674065000002</x:v>
      </x:c>
      <x:c r="J100" s="31" t="n">
        <x:v>2.4810674065000002</x:v>
      </x:c>
      <x:c r="K100" s="31" t="n">
        <x:v>0</x:v>
      </x:c>
      <x:c r="L100" s="31" t="n">
        <x:v>2.4155521857</x:v>
      </x:c>
      <x:c r="M100" s="31" t="n">
        <x:v>0.06551522080000001</x:v>
      </x:c>
      <x:c r="N100" s="24" t="str">
        <x:v>sillago</x:v>
      </x:c>
      <x:c r="O100" s="32" t="n">
        <x:v>3.33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Sillago</x:v>
      </x:c>
      <x:c r="T100" s="32" t="n">
        <x:f>IF(O100="","",(1/'Metadata'!$B$5)^(O100-1))</x:f>
        <x:v>213.79620895022325</x:v>
      </x:c>
      <x:c r="U100" s="31" t="n">
        <x:f>IF(T100="","",I100*T100)</x:f>
        <x:v>530.4428056596626</x:v>
      </x:c>
    </x:row>
    <x:row r="101" ht="18" customHeight="1">
      <x:c r="A101" s="24" t="str">
        <x:v>EEZ_050</x:v>
      </x:c>
      <x:c r="B101" s="24" t="str">
        <x:v>Bangladesh</x:v>
      </x:c>
      <x:c r="C101" s="24" t="str">
        <x:v>EEZ</x:v>
      </x:c>
      <x:c r="D101" s="30" t="n">
        <x:v>2019</x:v>
      </x:c>
      <x:c r="E101" s="24" t="str">
        <x:v>Batoidea</x:v>
      </x:c>
      <x:c r="F101" s="24" t="str">
        <x:v>Batoids, skates, rays, sawfishes</x:v>
      </x:c>
      <x:c r="G101" s="24" t="str">
        <x:v>Large rays (&gt;=90 cm)</x:v>
      </x:c>
      <x:c r="H101" s="24" t="str">
        <x:v>Sharks &amp; rays</x:v>
      </x:c>
      <x:c r="I101" s="31" t="n">
        <x:v>2.0809787528</x:v>
      </x:c>
      <x:c r="J101" s="31" t="n">
        <x:v>2.0809787528</x:v>
      </x:c>
      <x:c r="K101" s="31" t="n">
        <x:v>0</x:v>
      </x:c>
      <x:c r="L101" s="31" t="n">
        <x:v>1.8501217258</x:v>
      </x:c>
      <x:c r="M101" s="31" t="n">
        <x:v>0.230857027</x:v>
      </x:c>
      <x:c r="N101" s="24" t="str">
        <x:v>batoidea</x:v>
      </x:c>
      <x:c r="O101" s="32" t="n">
        <x:v>3.72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Batoidea</x:v>
      </x:c>
      <x:c r="T101" s="32" t="n">
        <x:f>IF(O101="","",(1/'Metadata'!$B$5)^(O101-1))</x:f>
        <x:v>524.8074602497728</x:v>
      </x:c>
      <x:c r="U101" s="31" t="n">
        <x:f>IF(T101="","",I101*T101)</x:f>
        <x:v>1092.1131740907078</x:v>
      </x:c>
    </x:row>
    <x:row r="102" ht="18" customHeight="1">
      <x:c r="A102" s="24" t="str">
        <x:v>EEZ_050</x:v>
      </x:c>
      <x:c r="B102" s="24" t="str">
        <x:v>Bangladesh</x:v>
      </x:c>
      <x:c r="C102" s="24" t="str">
        <x:v>EEZ</x:v>
      </x:c>
      <x:c r="D102" s="30" t="n">
        <x:v>2019</x:v>
      </x:c>
      <x:c r="E102" s="24" t="str">
        <x:v>Metapenaeus</x:v>
      </x:c>
      <x:c r="F102" s="24" t="str">
        <x:v>Indo-Pacific prawns</x:v>
      </x:c>
      <x:c r="G102" s="24" t="str">
        <x:v>Shrimps</x:v>
      </x:c>
      <x:c r="H102" s="24" t="str">
        <x:v>Crustaceans</x:v>
      </x:c>
      <x:c r="I102" s="31" t="n">
        <x:v>1.7405331403</x:v>
      </x:c>
      <x:c r="J102" s="31" t="n">
        <x:v>1.7405331403</x:v>
      </x:c>
      <x:c r="K102" s="31" t="n">
        <x:v>0</x:v>
      </x:c>
      <x:c r="L102" s="31" t="n">
        <x:v>1.5798792264</x:v>
      </x:c>
      <x:c r="M102" s="31" t="n">
        <x:v>0.1606539139</x:v>
      </x:c>
      <x:c r="N102" s="24" t="str">
        <x:v>metapenaeus</x:v>
      </x:c>
      <x:c r="O102" s="32" t="n">
        <x:v>2.7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Metapenaeus</x:v>
      </x:c>
      <x:c r="T102" s="32" t="n">
        <x:f>IF(O102="","",(1/'Metadata'!$B$5)^(O102-1))</x:f>
        <x:v>50.11872336272725</x:v>
      </x:c>
      <x:c r="U102" s="31" t="n">
        <x:f>IF(T102="","",I102*T102)</x:f>
        <x:v>87.23329896235464</x:v>
      </x:c>
    </x:row>
    <x:row r="103" ht="18" customHeight="1">
      <x:c r="A103" s="24" t="str">
        <x:v>EEZ_050</x:v>
      </x:c>
      <x:c r="B103" s="24" t="str">
        <x:v>Bangladesh</x:v>
      </x:c>
      <x:c r="C103" s="24" t="str">
        <x:v>EEZ</x:v>
      </x:c>
      <x:c r="D103" s="30" t="n">
        <x:v>2019</x:v>
      </x:c>
      <x:c r="E103" s="24" t="str">
        <x:v>Muraenesox cinereus</x:v>
      </x:c>
      <x:c r="F103" s="24" t="str">
        <x:v>Daggertooth pike conger</x:v>
      </x:c>
      <x:c r="G103" s="24" t="str">
        <x:v>Large demersals (&gt;=90 cm)</x:v>
      </x:c>
      <x:c r="H103" s="24" t="str">
        <x:v>Other fishes &amp; inverts</x:v>
      </x:c>
      <x:c r="I103" s="31" t="n">
        <x:v>1.1487500236000001</x:v>
      </x:c>
      <x:c r="J103" s="31" t="n">
        <x:v>1.1487500236000001</x:v>
      </x:c>
      <x:c r="K103" s="31" t="n">
        <x:v>0</x:v>
      </x:c>
      <x:c r="L103" s="31" t="n">
        <x:v>1.0019760357</x:v>
      </x:c>
      <x:c r="M103" s="31" t="n">
        <x:v>0.14677398789999999</x:v>
      </x:c>
      <x:c r="N103" s="24" t="str">
        <x:v>muraenesox cinereus</x:v>
      </x:c>
      <x:c r="O103" s="32" t="n">
        <x:v>4.38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Muraenesox cinereus</x:v>
      </x:c>
      <x:c r="T103" s="32" t="n">
        <x:f>IF(O103="","",(1/'Metadata'!$B$5)^(O103-1))</x:f>
        <x:v>2398.83291901949</x:v>
      </x:c>
      <x:c r="U103" s="31" t="n">
        <x:f>IF(T103="","",I103*T103)</x:f>
        <x:v>2755.659372336096</x:v>
      </x:c>
    </x:row>
    <x:row r="104" ht="18" customHeight="1">
      <x:c r="A104" s="24" t="str">
        <x:v>EEZ_050</x:v>
      </x:c>
      <x:c r="B104" s="24" t="str">
        <x:v>Bangladesh</x:v>
      </x:c>
      <x:c r="C104" s="24" t="str">
        <x:v>EEZ</x:v>
      </x:c>
      <x:c r="D104" s="30" t="n">
        <x:v>2019</x:v>
      </x:c>
      <x:c r="E104" s="24" t="str">
        <x:v>Seriolina nigrofasciata</x:v>
      </x:c>
      <x:c r="F104" s="24" t="str">
        <x:v>Blackbanded trevally</x:v>
      </x:c>
      <x:c r="G104" s="24" t="str">
        <x:v>Medium reef assoc. fish (30 - 89 cm)</x:v>
      </x:c>
      <x:c r="H104" s="24" t="str">
        <x:v>Perch-likes</x:v>
      </x:c>
      <x:c r="I104" s="31" t="n">
        <x:v>0.7688029331</x:v>
      </x:c>
      <x:c r="J104" s="31" t="n">
        <x:v>0.7688029331</x:v>
      </x:c>
      <x:c r="K104" s="31" t="n">
        <x:v>0</x:v>
      </x:c>
      <x:c r="L104" s="31" t="n">
        <x:v>0.4905940755</x:v>
      </x:c>
      <x:c r="M104" s="31" t="n">
        <x:v>0.2782088576</x:v>
      </x:c>
      <x:c r="N104" s="24" t="str">
        <x:v>seriolina nigrofasciata</x:v>
      </x:c>
      <x:c r="O104" s="32" t="n">
        <x:v>4.17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Seriolina nigrofasciata</x:v>
      </x:c>
      <x:c r="T104" s="32" t="n">
        <x:f>IF(O104="","",(1/'Metadata'!$B$5)^(O104-1))</x:f>
        <x:v>1479.1083881682073</x:v>
      </x:c>
      <x:c r="U104" s="31" t="n">
        <x:f>IF(T104="","",I104*T104)</x:f>
        <x:v>1137.1428671965311</x:v>
      </x:c>
    </x:row>
    <x:row r="105" ht="18" customHeight="1">
      <x:c r="A105" s="24" t="str">
        <x:v>EEZ_050</x:v>
      </x:c>
      <x:c r="B105" s="24" t="str">
        <x:v>Bangladesh</x:v>
      </x:c>
      <x:c r="C105" s="24" t="str">
        <x:v>EEZ</x:v>
      </x:c>
      <x:c r="D105" s="30" t="n">
        <x:v>2019</x:v>
      </x:c>
      <x:c r="E105" s="24" t="str">
        <x:v>Katsuwonus pelamis</x:v>
      </x:c>
      <x:c r="F105" s="24" t="str">
        <x:v>Skipjack tuna</x:v>
      </x:c>
      <x:c r="G105" s="24" t="str">
        <x:v>Large pelagics (&gt;=90 cm)</x:v>
      </x:c>
      <x:c r="H105" s="24" t="str">
        <x:v>Tuna &amp; billfishes</x:v>
      </x:c>
      <x:c r="I105" s="31" t="n">
        <x:v>0.7016786309999999</x:v>
      </x:c>
      <x:c r="J105" s="31" t="n">
        <x:v>0.7016786309999999</x:v>
      </x:c>
      <x:c r="K105" s="31" t="n">
        <x:v>0</x:v>
      </x:c>
      <x:c r="L105" s="31" t="n">
        <x:v>0.7016786309999999</x:v>
      </x:c>
      <x:c r="M105" s="31" t="n">
        <x:v>0</x:v>
      </x:c>
      <x:c r="N105" s="24" t="str">
        <x:v>katsuwonus pelamis</x:v>
      </x:c>
      <x:c r="O105" s="32" t="n">
        <x:v>4.43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Katsuwonus pelamis</x:v>
      </x:c>
      <x:c r="T105" s="32" t="n">
        <x:f>IF(O105="","",(1/'Metadata'!$B$5)^(O105-1))</x:f>
        <x:v>2691.534803926914</x:v>
      </x:c>
      <x:c r="U105" s="31" t="n">
        <x:f>IF(T105="","",I105*T105)</x:f>
        <x:v>1888.59245650829</x:v>
      </x:c>
    </x:row>
    <x:row r="106" ht="18" customHeight="1">
      <x:c r="A106" s="24" t="str">
        <x:v>EEZ_050</x:v>
      </x:c>
      <x:c r="B106" s="24" t="str">
        <x:v>Bangladesh</x:v>
      </x:c>
      <x:c r="C106" s="24" t="str">
        <x:v>EEZ</x:v>
      </x:c>
      <x:c r="D106" s="30" t="n">
        <x:v>2019</x:v>
      </x:c>
      <x:c r="E106" s="24" t="str">
        <x:v>Psettodes erumei</x:v>
      </x:c>
      <x:c r="F106" s="24" t="str">
        <x:v>Indian halibut</x:v>
      </x:c>
      <x:c r="G106" s="24" t="str">
        <x:v>Small to medium flatfishes (&lt;90 cm)</x:v>
      </x:c>
      <x:c r="H106" s="24" t="str">
        <x:v>Flatfishes</x:v>
      </x:c>
      <x:c r="I106" s="31" t="n">
        <x:v>0.4198320996</x:v>
      </x:c>
      <x:c r="J106" s="31" t="n">
        <x:v>0.4198320996</x:v>
      </x:c>
      <x:c r="K106" s="31" t="n">
        <x:v>0</x:v>
      </x:c>
      <x:c r="L106" s="31" t="n">
        <x:v>0.3949698066</x:v>
      </x:c>
      <x:c r="M106" s="31" t="n">
        <x:v>0.024862293</x:v>
      </x:c>
      <x:c r="N106" s="24" t="str">
        <x:v>psettodes erumei</x:v>
      </x:c>
      <x:c r="O106" s="32" t="n">
        <x:v>4.39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Psettodes erumei</x:v>
      </x:c>
      <x:c r="T106" s="32" t="n">
        <x:f>IF(O106="","",(1/'Metadata'!$B$5)^(O106-1))</x:f>
        <x:v>2454.7089156850284</x:v>
      </x:c>
      <x:c r="U106" s="31" t="n">
        <x:f>IF(T106="","",I106*T106)</x:f>
        <x:v>1030.5655979788849</x:v>
      </x:c>
    </x:row>
    <x:row r="107" ht="18" customHeight="1">
      <x:c r="A107" s="24" t="str">
        <x:v>EEZ_050</x:v>
      </x:c>
      <x:c r="B107" s="24" t="str">
        <x:v>Bangladesh</x:v>
      </x:c>
      <x:c r="C107" s="24" t="str">
        <x:v>EEZ</x:v>
      </x:c>
      <x:c r="D107" s="30" t="n">
        <x:v>2019</x:v>
      </x:c>
      <x:c r="E107" s="24" t="str">
        <x:v>Acanthocybium solandri</x:v>
      </x:c>
      <x:c r="F107" s="24" t="str">
        <x:v>Wahoo</x:v>
      </x:c>
      <x:c r="G107" s="24" t="str">
        <x:v>Large pelagics (&gt;=90 cm)</x:v>
      </x:c>
      <x:c r="H107" s="24" t="str">
        <x:v>Perch-likes</x:v>
      </x:c>
      <x:c r="I107" s="31" t="n">
        <x:v>0.3903045087</x:v>
      </x:c>
      <x:c r="J107" s="31" t="n">
        <x:v>0.3903045087</x:v>
      </x:c>
      <x:c r="K107" s="31" t="n">
        <x:v>0</x:v>
      </x:c>
      <x:c r="L107" s="31" t="n">
        <x:v>0.3903045087</x:v>
      </x:c>
      <x:c r="M107" s="31" t="n">
        <x:v>0</x:v>
      </x:c>
      <x:c r="N107" s="24" t="str">
        <x:v>acanthocybium solandri</x:v>
      </x:c>
      <x:c r="O107" s="32" t="n">
        <x:v>4.26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Acanthocybium solandri</x:v>
      </x:c>
      <x:c r="T107" s="32" t="n">
        <x:f>IF(O107="","",(1/'Metadata'!$B$5)^(O107-1))</x:f>
        <x:v>1819.7008586099826</x:v>
      </x:c>
      <x:c r="U107" s="31" t="n">
        <x:f>IF(T107="","",I107*T107)</x:f>
        <x:v>710.2374496007374</x:v>
      </x:c>
    </x:row>
    <x:row r="108" ht="18" customHeight="1">
      <x:c r="A108" s="24" t="str">
        <x:v>EEZ_050</x:v>
      </x:c>
      <x:c r="B108" s="24" t="str">
        <x:v>Bangladesh</x:v>
      </x:c>
      <x:c r="C108" s="24" t="str">
        <x:v>EEZ</x:v>
      </x:c>
      <x:c r="D108" s="30" t="n">
        <x:v>2019</x:v>
      </x:c>
      <x:c r="E108" s="24" t="str">
        <x:v>Thenus orientalis</x:v>
      </x:c>
      <x:c r="F108" s="24" t="str">
        <x:v>Flathead lobster</x:v>
      </x:c>
      <x:c r="G108" s="24" t="str">
        <x:v>Lobsters, crabs</x:v>
      </x:c>
      <x:c r="H108" s="24" t="str">
        <x:v>Crustaceans</x:v>
      </x:c>
      <x:c r="I108" s="31" t="n">
        <x:v>0.33260615299999996</x:v>
      </x:c>
      <x:c r="J108" s="31" t="n">
        <x:v>0.33260615299999996</x:v>
      </x:c>
      <x:c r="K108" s="31" t="n">
        <x:v>0</x:v>
      </x:c>
      <x:c r="L108" s="31" t="n">
        <x:v>0.33260615299999996</x:v>
      </x:c>
      <x:c r="M108" s="31" t="n">
        <x:v>0</x:v>
      </x:c>
      <x:c r="N108" s="24" t="str">
        <x:v>thenus orientalis</x:v>
      </x:c>
      <x:c r="O108" s="32" t="n">
        <x:v>2.5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Thenus orientalis</x:v>
      </x:c>
      <x:c r="T108" s="32" t="n">
        <x:f>IF(O108="","",(1/'Metadata'!$B$5)^(O108-1))</x:f>
        <x:v>31.622776601683793</x:v>
      </x:c>
      <x:c r="U108" s="31" t="n">
        <x:f>IF(T108="","",I108*T108)</x:f>
        <x:v>10.51793007266446</x:v>
      </x:c>
    </x:row>
    <x:row r="109" ht="18" customHeight="1">
      <x:c r="A109" s="24" t="str">
        <x:v>EEZ_050</x:v>
      </x:c>
      <x:c r="B109" s="24" t="str">
        <x:v>Bangladesh</x:v>
      </x:c>
      <x:c r="C109" s="24" t="str">
        <x:v>EEZ</x:v>
      </x:c>
      <x:c r="D109" s="30" t="n">
        <x:v>2019</x:v>
      </x:c>
      <x:c r="E109" s="24" t="str">
        <x:v>Marine pelagic fishes not identified</x:v>
      </x:c>
      <x:c r="F109" s="24" t="str">
        <x:v>Pelagic fishes</x:v>
      </x:c>
      <x:c r="G109" s="24" t="str">
        <x:v>Medium pelagics (30 - 89 cm)</x:v>
      </x:c>
      <x:c r="H109" s="24" t="str">
        <x:v>Other fishes &amp; inverts</x:v>
      </x:c>
      <x:c r="I109" s="31" t="n">
        <x:v>0.0814052663</x:v>
      </x:c>
      <x:c r="J109" s="31" t="n">
        <x:v>0.0814052663</x:v>
      </x:c>
      <x:c r="K109" s="31" t="n">
        <x:v>0</x:v>
      </x:c>
      <x:c r="L109" s="31" t="n">
        <x:v>0.0814052663</x:v>
      </x:c>
      <x:c r="M109" s="31" t="n">
        <x:v>0</x:v>
      </x:c>
      <x:c r="N109" s="24" t="str">
        <x:v>marine pelagic fishes not identified</x:v>
      </x:c>
      <x:c r="O109" s="32" t="n">
        <x:v>3.35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Marine pelagic fishes not identified</x:v>
      </x:c>
      <x:c r="T109" s="32" t="n">
        <x:f>IF(O109="","",(1/'Metadata'!$B$5)^(O109-1))</x:f>
        <x:v>223.872113856834</x:v>
      </x:c>
      <x:c r="U109" s="31" t="n">
        <x:f>IF(T109="","",I109*T109)</x:f>
        <x:v>18.224369045659493</x:v>
      </x:c>
    </x:row>
    <x:row r="110" ht="18" customHeight="1">
      <x:c r="A110" s="24" t="str">
        <x:v>EEZ_050</x:v>
      </x:c>
      <x:c r="B110" s="24" t="str">
        <x:v>Bangladesh</x:v>
      </x:c>
      <x:c r="C110" s="24" t="str">
        <x:v>EEZ</x:v>
      </x:c>
      <x:c r="D110" s="30" t="n">
        <x:v>2019</x:v>
      </x:c>
      <x:c r="E110" s="24" t="str">
        <x:v>Mollusca</x:v>
      </x:c>
      <x:c r="F110" s="24" t="str">
        <x:v>Clams, seasnails, squids, octopuses</x:v>
      </x:c>
      <x:c r="G110" s="24" t="str">
        <x:v>Other demersal invertebrates</x:v>
      </x:c>
      <x:c r="H110" s="24" t="str">
        <x:v>Molluscs</x:v>
      </x:c>
      <x:c r="I110" s="31" t="n">
        <x:v>0.0789795987</x:v>
      </x:c>
      <x:c r="J110" s="31" t="n">
        <x:v>0.0789795987</x:v>
      </x:c>
      <x:c r="K110" s="31" t="n">
        <x:v>0</x:v>
      </x:c>
      <x:c r="L110" s="31" t="n">
        <x:v>0.0706788075</x:v>
      </x:c>
      <x:c r="M110" s="31" t="n">
        <x:v>0.0083007912</x:v>
      </x:c>
      <x:c r="N110" s="24" t="str">
        <x:v>mollusca</x:v>
      </x:c>
      <x:c r="O110" s="32" t="n">
        <x:v>2.1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Mollusca</x:v>
      </x:c>
      <x:c r="T110" s="32" t="n">
        <x:f>IF(O110="","",(1/'Metadata'!$B$5)^(O110-1))</x:f>
        <x:v>12.589254117941675</x:v>
      </x:c>
      <x:c r="U110" s="31" t="n">
        <x:f>IF(T110="","",I110*T110)</x:f>
        <x:v>0.994294238167356</x:v>
      </x:c>
    </x:row>
    <x:row r="111" ht="18" customHeight="1">
      <x:c r="A111" s="24" t="str">
        <x:v>EEZ_050</x:v>
      </x:c>
      <x:c r="B111" s="24" t="str">
        <x:v>Bangladesh</x:v>
      </x:c>
      <x:c r="C111" s="24" t="str">
        <x:v>EEZ</x:v>
      </x:c>
      <x:c r="D111" s="30" t="n">
        <x:v>2019</x:v>
      </x:c>
      <x:c r="E111" s="24" t="str">
        <x:v>Sergestidae</x:v>
      </x:c>
      <x:c r="F111" s="24" t="str">
        <x:v>Sergestid shrimp</x:v>
      </x:c>
      <x:c r="G111" s="24" t="str">
        <x:v>Shrimps</x:v>
      </x:c>
      <x:c r="H111" s="24" t="str">
        <x:v>Crustaceans</x:v>
      </x:c>
      <x:c r="I111" s="31" t="n">
        <x:v>0.0374181922</x:v>
      </x:c>
      <x:c r="J111" s="31" t="n">
        <x:v>0.0374181922</x:v>
      </x:c>
      <x:c r="K111" s="31" t="n">
        <x:v>0</x:v>
      </x:c>
      <x:c r="L111" s="31" t="n">
        <x:v>0.0374181922</x:v>
      </x:c>
      <x:c r="M111" s="31" t="n">
        <x:v>0</x:v>
      </x:c>
      <x:c r="N111" s="24" t="str">
        <x:v>sergestidae</x:v>
      </x:c>
      <x:c r="O111" s="32" t="n">
        <x:v>2.93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Sergestidae</x:v>
      </x:c>
      <x:c r="T111" s="32" t="n">
        <x:f>IF(O111="","",(1/'Metadata'!$B$5)^(O111-1))</x:f>
        <x:v>85.11380382023768</x:v>
      </x:c>
      <x:c r="U111" s="31" t="n">
        <x:f>IF(T111="","",I111*T111)</x:f>
        <x:v>3.1848046702187474</x:v>
      </x:c>
    </x:row>
    <x:row r="112" ht="18" customHeight="1">
      <x:c r="A112" s="24" t="str">
        <x:v>EEZ_050</x:v>
      </x:c>
      <x:c r="B112" s="24" t="str">
        <x:v>Bangladesh</x:v>
      </x:c>
      <x:c r="C112" s="24" t="str">
        <x:v>EEZ</x:v>
      </x:c>
      <x:c r="D112" s="30" t="n">
        <x:v>2019</x:v>
      </x:c>
      <x:c r="E112" s="24" t="str">
        <x:v>Xiphias gladius</x:v>
      </x:c>
      <x:c r="F112" s="24" t="str">
        <x:v>Swordfish</x:v>
      </x:c>
      <x:c r="G112" s="24" t="str">
        <x:v>Large pelagics (&gt;=90 cm)</x:v>
      </x:c>
      <x:c r="H112" s="24" t="str">
        <x:v>Tuna &amp; billfishes</x:v>
      </x:c>
      <x:c r="I112" s="31" t="n">
        <x:v>0.0085776217</x:v>
      </x:c>
      <x:c r="J112" s="31" t="n">
        <x:v>0.0085776217</x:v>
      </x:c>
      <x:c r="K112" s="31" t="n">
        <x:v>0</x:v>
      </x:c>
      <x:c r="L112" s="31" t="n">
        <x:v>0.0085776217</x:v>
      </x:c>
      <x:c r="M112" s="31" t="n">
        <x:v>0</x:v>
      </x:c>
      <x:c r="N112" s="24" t="str">
        <x:v>xiphias gladius</x:v>
      </x:c>
      <x:c r="O112" s="32" t="n">
        <x:v>4.53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Xiphias gladius</x:v>
      </x:c>
      <x:c r="T112" s="32" t="n">
        <x:f>IF(O112="","",(1/'Metadata'!$B$5)^(O112-1))</x:f>
        <x:v>3388.4415613920273</x:v>
      </x:c>
      <x:c r="U112" s="31" t="n">
        <x:f>IF(T112="","",I112*T112)</x:f>
        <x:v>29.064769866178136</x:v>
      </x:c>
    </x:row>
    <x:row r="113" ht="18" customHeight="1">
      <x:c r="A113" s="24" t="str">
        <x:v>EEZ_050</x:v>
      </x:c>
      <x:c r="B113" s="24" t="str">
        <x:v>Bangladesh</x:v>
      </x:c>
      <x:c r="C113" s="24" t="str">
        <x:v>EEZ</x:v>
      </x:c>
      <x:c r="D113" s="30" t="n">
        <x:v>2019</x:v>
      </x:c>
      <x:c r="E113" s="24" t="str">
        <x:v>Coryphaena hippurus</x:v>
      </x:c>
      <x:c r="F113" s="24" t="str">
        <x:v>Common dolphinfish</x:v>
      </x:c>
      <x:c r="G113" s="24" t="str">
        <x:v>Large pelagics (&gt;=90 cm)</x:v>
      </x:c>
      <x:c r="H113" s="24" t="str">
        <x:v>Perch-likes</x:v>
      </x:c>
      <x:c r="I113" s="31" t="n">
        <x:v>0.0034697281</x:v>
      </x:c>
      <x:c r="J113" s="31" t="n">
        <x:v>0.0034697281</x:v>
      </x:c>
      <x:c r="K113" s="31" t="n">
        <x:v>0</x:v>
      </x:c>
      <x:c r="L113" s="31" t="n">
        <x:v>0.0034697281</x:v>
      </x:c>
      <x:c r="M113" s="31" t="n">
        <x:v>0</x:v>
      </x:c>
      <x:c r="N113" s="24" t="str">
        <x:v>coryphaena hippurus</x:v>
      </x:c>
      <x:c r="O113" s="32" t="n">
        <x:v>4.37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Coryphaena hippurus</x:v>
      </x:c>
      <x:c r="T113" s="32" t="n">
        <x:f>IF(O113="","",(1/'Metadata'!$B$5)^(O113-1))</x:f>
        <x:v>2344.228815319923</x:v>
      </x:c>
      <x:c r="U113" s="31" t="n">
        <x:f>IF(T113="","",I113*T113)</x:f>
        <x:v>8.133836593345247</x:v>
      </x:c>
    </x:row>
    <x:row r="114" ht="18" customHeight="1">
      <x:c r="A114" s="24" t="str">
        <x:v>EEZ_050</x:v>
      </x:c>
      <x:c r="B114" s="24" t="str">
        <x:v>Bangladesh</x:v>
      </x:c>
      <x:c r="C114" s="24" t="str">
        <x:v>EEZ</x:v>
      </x:c>
      <x:c r="D114" s="30" t="n">
        <x:v>2019</x:v>
      </x:c>
      <x:c r="E114" s="24" t="str">
        <x:v>Istiophorus platypterus</x:v>
      </x:c>
      <x:c r="F114" s="24" t="str">
        <x:v>Indo-Pacific sailfish</x:v>
      </x:c>
      <x:c r="G114" s="24" t="str">
        <x:v>Large pelagics (&gt;=90 cm)</x:v>
      </x:c>
      <x:c r="H114" s="24" t="str">
        <x:v>Tuna &amp; billfishes</x:v>
      </x:c>
      <x:c r="I114" s="31" t="n">
        <x:v>0.002427455</x:v>
      </x:c>
      <x:c r="J114" s="31" t="n">
        <x:v>0.002427455</x:v>
      </x:c>
      <x:c r="K114" s="31" t="n">
        <x:v>0</x:v>
      </x:c>
      <x:c r="L114" s="31" t="n">
        <x:v>0.002427455</x:v>
      </x:c>
      <x:c r="M114" s="31" t="n">
        <x:v>0</x:v>
      </x:c>
      <x:c r="N114" s="24" t="str">
        <x:v>istiophorus platypterus</x:v>
      </x:c>
      <x:c r="O114" s="32" t="n">
        <x:v>4.5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Istiophorus platypterus</x:v>
      </x:c>
      <x:c r="T114" s="32" t="n">
        <x:f>IF(O114="","",(1/'Metadata'!$B$5)^(O114-1))</x:f>
        <x:v>3162.2776601683795</x:v>
      </x:c>
      <x:c r="U114" s="31" t="n">
        <x:f>IF(T114="","",I114*T114)</x:f>
        <x:v>7.676286717564033</x:v>
      </x:c>
    </x:row>
    <x:row r="115" ht="18" customHeight="1">
      <x:c r="A115" s="24" t="str">
        <x:v>EEZ_050</x:v>
      </x:c>
      <x:c r="B115" s="24" t="str">
        <x:v>Bangladesh</x:v>
      </x:c>
      <x:c r="C115" s="24" t="str">
        <x:v>EEZ</x:v>
      </x:c>
      <x:c r="D115" s="30" t="n">
        <x:v>2019</x:v>
      </x:c>
      <x:c r="E115" s="24" t="str">
        <x:v>Istiompax indica</x:v>
      </x:c>
      <x:c r="F115" s="24" t="str">
        <x:v>Black marlin</x:v>
      </x:c>
      <x:c r="G115" s="24" t="str">
        <x:v>Large pelagics (&gt;=90 cm)</x:v>
      </x:c>
      <x:c r="H115" s="24" t="str">
        <x:v>Tuna &amp; billfishes</x:v>
      </x:c>
      <x:c r="I115" s="31" t="n">
        <x:v>0.0005877787</x:v>
      </x:c>
      <x:c r="J115" s="31" t="n">
        <x:v>0.0005877787</x:v>
      </x:c>
      <x:c r="K115" s="31" t="n">
        <x:v>0</x:v>
      </x:c>
      <x:c r="L115" s="31" t="n">
        <x:v>0.0005877787</x:v>
      </x:c>
      <x:c r="M115" s="31" t="n">
        <x:v>0</x:v>
      </x:c>
      <x:c r="N115" s="24" t="str">
        <x:v>istiompax indica</x:v>
      </x:c>
      <x:c r="O115" s="32" t="n">
        <x:v>4.5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Istiompax indica</x:v>
      </x:c>
      <x:c r="T115" s="32" t="n">
        <x:f>IF(O115="","",(1/'Metadata'!$B$5)^(O115-1))</x:f>
        <x:v>3162.2776601683795</x:v>
      </x:c>
      <x:c r="U115" s="31" t="n">
        <x:f>IF(T115="","",I115*T115)</x:f>
        <x:v>1.8587194521328119</x:v>
      </x:c>
    </x:row>
    <x:row r="116" ht="18" customHeight="1">
      <x:c r="A116" s="24" t="str">
        <x:v>EEZ_050</x:v>
      </x:c>
      <x:c r="B116" s="24" t="str">
        <x:v>Bangladesh</x:v>
      </x:c>
      <x:c r="C116" s="24" t="str">
        <x:v>EEZ</x:v>
      </x:c>
      <x:c r="D116" s="30" t="n">
        <x:v>2019</x:v>
      </x:c>
      <x:c r="E116" s="24" t="str">
        <x:v>Sphyraenidae</x:v>
      </x:c>
      <x:c r="F116" s="24" t="str">
        <x:v>Barracudas</x:v>
      </x:c>
      <x:c r="G116" s="24" t="str">
        <x:v>Medium reef assoc. fish (30 - 89 cm)</x:v>
      </x:c>
      <x:c r="H116" s="24" t="str">
        <x:v>Perch-likes</x:v>
      </x:c>
      <x:c r="I116" s="31" t="n">
        <x:v>0.0000352534</x:v>
      </x:c>
      <x:c r="J116" s="31" t="n">
        <x:v>0.0000352534</x:v>
      </x:c>
      <x:c r="K116" s="31" t="n">
        <x:v>0</x:v>
      </x:c>
      <x:c r="L116" s="31" t="n">
        <x:v>0.0000352534</x:v>
      </x:c>
      <x:c r="M116" s="31" t="n">
        <x:v>0</x:v>
      </x:c>
      <x:c r="N116" s="24" t="str">
        <x:v>sphyraenidae</x:v>
      </x:c>
      <x:c r="O116" s="32" t="n">
        <x:v>4.4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Sphyraenidae</x:v>
      </x:c>
      <x:c r="T116" s="32" t="n">
        <x:f>IF(O116="","",(1/'Metadata'!$B$5)^(O116-1))</x:f>
        <x:v>2511.886431509582</x:v>
      </x:c>
      <x:c r="U116" s="31" t="n">
        <x:f>IF(T116="","",I116*T116)</x:f>
        <x:v>0.08855253712457989</x:v>
      </x:c>
    </x:row>
    <x:row r="117" ht="18" customHeight="1">
      <x:c r="A117" s="24" t="str">
        <x:v>EEZ_050</x:v>
      </x:c>
      <x:c r="B117" s="24" t="str">
        <x:v>Bangladesh</x:v>
      </x:c>
      <x:c r="C117" s="24" t="str">
        <x:v>EEZ</x:v>
      </x:c>
      <x:c r="D117" s="30" t="n">
        <x:v>2019</x:v>
      </x:c>
      <x:c r="E117" s="24" t="str">
        <x:v>Mobula birostris</x:v>
      </x:c>
      <x:c r="F117" s="24" t="str">
        <x:v>Giant manta</x:v>
      </x:c>
      <x:c r="G117" s="24" t="str">
        <x:v>Large rays (&gt;=90 cm)</x:v>
      </x:c>
      <x:c r="H117" s="24" t="str">
        <x:v>Sharks &amp; rays</x:v>
      </x:c>
      <x:c r="I117" s="31" t="n">
        <x:v>0.000034749</x:v>
      </x:c>
      <x:c r="J117" s="31" t="n">
        <x:v>0.000034749</x:v>
      </x:c>
      <x:c r="K117" s="31" t="n">
        <x:v>0</x:v>
      </x:c>
      <x:c r="L117" s="31" t="n">
        <x:v>0.000034749</x:v>
      </x:c>
      <x:c r="M117" s="31" t="n">
        <x:v>0</x:v>
      </x:c>
      <x:c r="N117" s="24" t="str">
        <x:v>mobula birostris</x:v>
      </x:c>
      <x:c r="O117" s="32" t="n">
        <x:v>3.46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Mobula birostris</x:v>
      </x:c>
      <x:c r="T117" s="32" t="n">
        <x:f>IF(O117="","",(1/'Metadata'!$B$5)^(O117-1))</x:f>
        <x:v>288.40315031266056</x:v>
      </x:c>
      <x:c r="U117" s="31" t="n">
        <x:f>IF(T117="","",I117*T117)</x:f>
        <x:v>0.010021721070214642</x:v>
      </x:c>
    </x:row>
  </x:sheetData>
  <x:conditionalFormatting sqref="R2:R1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79a92309536419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37522.603502586295</x:v>
      </x:c>
      <x:c r="C2" s="32" t="n">
        <x:v>3.2516298302384485</x:v>
      </x:c>
      <x:c r="D2" s="32" t="n">
        <x:f>IF(C2="","",(1/'Metadata'!$B$5)^(C2-1))</x:f>
        <x:v>178.49655156112138</x:v>
      </x:c>
      <x:c r="E2" s="31" t="n">
        <x:f>IF(B2=0,"",B2*D2)</x:f>
        <x:v>6697655.330806908</x:v>
      </x:c>
    </x:row>
    <x:row r="3" ht="18" customHeight="1">
      <x:c r="A3" s="24" t="str">
        <x:v>Crustaceans</x:v>
      </x:c>
      <x:c r="B3" s="31" t="n">
        <x:v>95881.4546342342</x:v>
      </x:c>
      <x:c r="C3" s="32" t="n">
        <x:v>2.78009626913578</x:v>
      </x:c>
      <x:c r="D3" s="32" t="n">
        <x:f>IF(C3="","",(1/'Metadata'!$B$5)^(C3-1))</x:f>
        <x:v>60.26931689835189</x:v>
      </x:c>
      <x:c r="E3" s="31" t="n">
        <x:f>IF(B3=0,"",B3*D3)</x:f>
        <x:v>5778709.774025611</x:v>
      </x:c>
    </x:row>
    <x:row r="4" ht="18" customHeight="1">
      <x:c r="A4" s="24" t="str">
        <x:v>Flatfishes</x:v>
      </x:c>
      <x:c r="B4" s="31" t="n">
        <x:v>7682.9327970996</x:v>
      </x:c>
      <x:c r="C4" s="32" t="n">
        <x:v>3.5000486338457604</x:v>
      </x:c>
      <x:c r="D4" s="32" t="n">
        <x:f>IF(C4="","",(1/'Metadata'!$B$5)^(C4-1))</x:f>
        <x:v>316.2631803133329</x:v>
      </x:c>
      <x:c r="E4" s="31" t="n">
        <x:f>IF(B4=0,"",B4*D4)</x:f>
        <x:v>2429828.76054433</x:v>
      </x:c>
    </x:row>
    <x:row r="5" ht="18" customHeight="1">
      <x:c r="A5" s="24" t="str">
        <x:v>Herring-likes</x:v>
      </x:c>
      <x:c r="B5" s="31" t="n">
        <x:v>342617.76890162524</x:v>
      </x:c>
      <x:c r="C5" s="32" t="n">
        <x:v>2.2280989641010085</x:v>
      </x:c>
      <x:c r="D5" s="32" t="n">
        <x:f>IF(C5="","",(1/'Metadata'!$B$5)^(C5-1))</x:f>
        <x:v>16.908261818279314</x:v>
      </x:c>
      <x:c r="E5" s="31" t="n">
        <x:f>IF(B5=0,"",B5*D5)</x:f>
        <x:v>5793070.9401833955</x:v>
      </x:c>
    </x:row>
    <x:row r="6" ht="18" customHeight="1">
      <x:c r="A6" s="24" t="str">
        <x:v>Molluscs</x:v>
      </x:c>
      <x:c r="B6" s="31" t="n">
        <x:v>25928.1030295987</x:v>
      </x:c>
      <x:c r="C6" s="32" t="n">
        <x:v>2.22999960400698</x:v>
      </x:c>
      <x:c r="D6" s="32" t="n">
        <x:f>IF(C6="","",(1/'Metadata'!$B$5)^(C6-1))</x:f>
        <x:v>16.982421039909386</x:v>
      </x:c>
      <x:c r="E6" s="31" t="n">
        <x:f>IF(B6=0,"",B6*D6)</x:f>
        <x:v>440321.9624147953</x:v>
      </x:c>
    </x:row>
    <x:row r="7" ht="18" customHeight="1">
      <x:c r="A7" s="24" t="str">
        <x:v>Other fishes &amp; inverts</x:v>
      </x:c>
      <x:c r="B7" s="31" t="n">
        <x:v>449921.12758548575</x:v>
      </x:c>
      <x:c r="C7" s="32" t="n">
        <x:v>3.5202865940037515</x:v>
      </x:c>
      <x:c r="D7" s="32" t="n">
        <x:f>IF(C7="","",(1/'Metadata'!$B$5)^(C7-1))</x:f>
        <x:v>331.34970937023894</x:v>
      </x:c>
      <x:c r="E7" s="31" t="n">
        <x:f>IF(B7=0,"",B7*D7)</x:f>
        <x:v>149081234.8649809</x:v>
      </x:c>
    </x:row>
    <x:row r="8" ht="18" customHeight="1">
      <x:c r="A8" s="24" t="str">
        <x:v>Perch-likes</x:v>
      </x:c>
      <x:c r="B8" s="31" t="n">
        <x:v>148702.73694241012</x:v>
      </x:c>
      <x:c r="C8" s="32" t="n">
        <x:v>3.5827936590900316</x:v>
      </x:c>
      <x:c r="D8" s="32" t="n">
        <x:f>IF(C8="","",(1/'Metadata'!$B$5)^(C8-1))</x:f>
        <x:v>382.64289978249417</x:v>
      </x:c>
      <x:c r="E8" s="31" t="n">
        <x:f>IF(B8=0,"",B8*D8)</x:f>
        <x:v>56900046.46923723</x:v>
      </x:c>
    </x:row>
    <x:row r="9" ht="18" customHeight="1">
      <x:c r="A9" s="24" t="str">
        <x:v>Scorpionfishes</x:v>
      </x:c>
      <x:c r="B9" s="31" t="n">
        <x:v>608.7624733998999</x:v>
      </x:c>
      <x:c r="C9" s="32" t="n">
        <x:v>3.631254774795343</x:v>
      </x:c>
      <x:c r="D9" s="32" t="n">
        <x:f>IF(C9="","",(1/'Metadata'!$B$5)^(C9-1))</x:f>
        <x:v>427.81378550593433</x:v>
      </x:c>
      <x:c r="E9" s="31" t="n">
        <x:f>IF(B9=0,"",B9*D9)</x:f>
        <x:v>260436.97821916683</x:v>
      </x:c>
    </x:row>
    <x:row r="10" ht="18" customHeight="1">
      <x:c r="A10" s="24" t="str">
        <x:v>Sharks &amp; rays</x:v>
      </x:c>
      <x:c r="B10" s="31" t="n">
        <x:v>5583.7850035044</x:v>
      </x:c>
      <x:c r="C10" s="32" t="n">
        <x:v>4.049877011115237</x:v>
      </x:c>
      <x:c r="D10" s="32" t="n">
        <x:f>IF(C10="","",(1/'Metadata'!$B$5)^(C10-1))</x:f>
        <x:v>1121.7007522212489</x:v>
      </x:c>
      <x:c r="E10" s="31" t="n">
        <x:f>IF(B10=0,"",B10*D10)</x:f>
        <x:v>6263335.838672615</x:v>
      </x:c>
    </x:row>
    <x:row r="11" ht="18" customHeight="1">
      <x:c r="A11" s="24" t="str">
        <x:v>Tuna &amp; billfishes</x:v>
      </x:c>
      <x:c r="B11" s="31" t="n">
        <x:v>133.4450531133</x:v>
      </x:c>
      <x:c r="C11" s="32" t="n">
        <x:v>4.451594501725834</x:v>
      </x:c>
      <x:c r="D11" s="32" t="n">
        <x:f>IF(C11="","",(1/'Metadata'!$B$5)^(C11-1))</x:f>
        <x:v>2828.7495750832254</x:v>
      </x:c>
      <x:c r="E11" s="31" t="n">
        <x:f>IF(B11=0,"",B11*D11)</x:f>
        <x:v>377482.6372912058</x:v>
      </x:c>
    </x:row>
  </x:sheetData>
  <x:pageMargins left="0.7" right="0.7" top="0.75" bottom="0.75" header="0.3" footer="0.3"/>
  <x:tableParts count="1">
    <x:tablePart xmlns:r="http://schemas.openxmlformats.org/officeDocument/2006/relationships" r:id="R0d9d3b9a91e748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1741.9591500860001</x:v>
      </x:c>
      <x:c r="C2" s="32" t="n">
        <x:v>3.698379941509302</x:v>
      </x:c>
      <x:c r="D2" s="32" t="n">
        <x:f>IF(C2="","",(1/'Metadata'!$B$5)^(C2-1))</x:f>
        <x:v>499.3211263526533</x:v>
      </x:c>
      <x:c r="E2" s="31" t="n">
        <x:f>IF(B2=0,"",B2*D2)</x:f>
        <x:v>869797.0048812523</x:v>
      </x:c>
    </x:row>
    <x:row r="3" ht="18" customHeight="1">
      <x:c r="A3" s="24" t="str">
        <x:v>Jellyfish</x:v>
      </x:c>
      <x:c r="B3" s="31" t="n">
        <x:v>124.16691737789999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35810.1301363982</x:v>
      </x:c>
    </x:row>
    <x:row r="4" ht="18" customHeight="1">
      <x:c r="A4" s="24" t="str">
        <x:v>Large benthopelagics (&gt;=90 cm)</x:v>
      </x:c>
      <x:c r="B4" s="31" t="n">
        <x:v>7356.420712241799</x:v>
      </x:c>
      <x:c r="C4" s="32" t="n">
        <x:v>4.309983451107642</x:v>
      </x:c>
      <x:c r="D4" s="32" t="n">
        <x:f>IF(C4="","",(1/'Metadata'!$B$5)^(C4-1))</x:f>
        <x:v>2041.6601452520217</x:v>
      </x:c>
      <x:c r="E4" s="31" t="n">
        <x:f>IF(B4=0,"",B4*D4)</x:f>
        <x:v>15019310.979890574</x:v>
      </x:c>
    </x:row>
    <x:row r="5" ht="18" customHeight="1">
      <x:c r="A5" s="24" t="str">
        <x:v>Large demersals (&gt;=90 cm)</x:v>
      </x:c>
      <x:c r="B5" s="31" t="n">
        <x:v>9742.614056421799</x:v>
      </x:c>
      <x:c r="C5" s="32" t="n">
        <x:v>3.8740792973276137</x:v>
      </x:c>
      <x:c r="D5" s="32" t="n">
        <x:f>IF(C5="","",(1/'Metadata'!$B$5)^(C5-1))</x:f>
        <x:v>748.3061203879791</x:v>
      </x:c>
      <x:c r="E5" s="31" t="n">
        <x:f>IF(B5=0,"",B5*D5)</x:f>
        <x:v>7290457.726998388</x:v>
      </x:c>
    </x:row>
    <x:row r="6" ht="18" customHeight="1">
      <x:c r="A6" s="24" t="str">
        <x:v>Large pelagics (&gt;=90 cm)</x:v>
      </x:c>
      <x:c r="B6" s="31" t="n">
        <x:v>859.9018853996</x:v>
      </x:c>
      <x:c r="C6" s="32" t="n">
        <x:v>4.2712317547394525</x:v>
      </x:c>
      <x:c r="D6" s="32" t="n">
        <x:f>IF(C6="","",(1/'Metadata'!$B$5)^(C6-1))</x:f>
        <x:v>1867.3759221647842</x:v>
      </x:c>
      <x:c r="E6" s="31" t="n">
        <x:f>IF(B6=0,"",B6*D6)</x:f>
        <x:v>1605760.0762193147</x:v>
      </x:c>
    </x:row>
    <x:row r="7" ht="18" customHeight="1">
      <x:c r="A7" s="24" t="str">
        <x:v>Large rays (&gt;=90 cm)</x:v>
      </x:c>
      <x:c r="B7" s="31" t="n">
        <x:v>2.0810135018</x:v>
      </x:c>
      <x:c r="C7" s="32" t="n">
        <x:v>3.719995658490446</x:v>
      </x:c>
      <x:c r="D7" s="32" t="n">
        <x:f>IF(C7="","",(1/'Metadata'!$B$5)^(C7-1))</x:f>
        <x:v>524.8022139357873</x:v>
      </x:c>
      <x:c r="E7" s="31" t="n">
        <x:f>IF(B7=0,"",B7*D7)</x:f>
        <x:v>1092.1204929749056</x:v>
      </x:c>
    </x:row>
    <x:row r="8" ht="18" customHeight="1">
      <x:c r="A8" s="24" t="str">
        <x:v>Large sharks (&gt;=90 cm)</x:v>
      </x:c>
      <x:c r="B8" s="31" t="n">
        <x:v>5581.7039900026</x:v>
      </x:c>
      <x:c r="C8" s="32" t="n">
        <x:v>4.05</x:v>
      </x:c>
      <x:c r="D8" s="32" t="n">
        <x:f>IF(C8="","",(1/'Metadata'!$B$5)^(C8-1))</x:f>
        <x:v>1122.018454301963</x:v>
      </x:c>
      <x:c r="E8" s="31" t="n">
        <x:f>IF(B8=0,"",B8*D8)</x:f>
        <x:v>6262774.883233816</x:v>
      </x:c>
    </x:row>
    <x:row r="9" ht="18" customHeight="1">
      <x:c r="A9" s="24" t="str">
        <x:v>Lobsters, crabs</x:v>
      </x:c>
      <x:c r="B9" s="31" t="n">
        <x:v>3197.8977649062</x:v>
      </x:c>
      <x:c r="C9" s="32" t="n">
        <x:v>3.174723070546064</x:v>
      </x:c>
      <x:c r="D9" s="32" t="n">
        <x:f>IF(C9="","",(1/'Metadata'!$B$5)^(C9-1))</x:f>
        <x:v>149.52818801150082</x:v>
      </x:c>
      <x:c r="E9" s="31" t="n">
        <x:f>IF(B9=0,"",B9*D9)</x:f>
        <x:v>478175.8582324525</x:v>
      </x:c>
    </x:row>
    <x:row r="10" ht="18" customHeight="1">
      <x:c r="A10" s="24" t="str">
        <x:v>Medium benthopelagics (30 - 89 cm)</x:v>
      </x:c>
      <x:c r="B10" s="31" t="n">
        <x:v>164372.75830361352</x:v>
      </x:c>
      <x:c r="C10" s="32" t="n">
        <x:v>3.9167067914534908</x:v>
      </x:c>
      <x:c r="D10" s="32" t="n">
        <x:f>IF(C10="","",(1/'Metadata'!$B$5)^(C10-1))</x:f>
        <x:v>825.4804484911468</x:v>
      </x:c>
      <x:c r="E10" s="31" t="n">
        <x:f>IF(B10=0,"",B10*D10)</x:f>
        <x:v>135686498.24419376</x:v>
      </x:c>
    </x:row>
    <x:row r="11" ht="18" customHeight="1">
      <x:c r="A11" s="24" t="str">
        <x:v>Medium demersals (30 - 89 cm)</x:v>
      </x:c>
      <x:c r="B11" s="31" t="n">
        <x:v>353132.63966014475</x:v>
      </x:c>
      <x:c r="C11" s="32" t="n">
        <x:v>3.324066267911217</x:v>
      </x:c>
      <x:c r="D11" s="32" t="n">
        <x:f>IF(C11="","",(1/'Metadata'!$B$5)^(C11-1))</x:f>
        <x:v>210.89499247894184</x:v>
      </x:c>
      <x:c r="E11" s="31" t="n">
        <x:f>IF(B11=0,"",B11*D11)</x:f>
        <x:v>74473905.3851951</x:v>
      </x:c>
    </x:row>
    <x:row r="12" ht="18" customHeight="1">
      <x:c r="A12" s="24" t="str">
        <x:v>Medium pelagics (30 - 89 cm)</x:v>
      </x:c>
      <x:c r="B12" s="31" t="n">
        <x:v>347875.6435025259</x:v>
      </x:c>
      <x:c r="C12" s="32" t="n">
        <x:v>2.2640131348957118</x:v>
      </x:c>
      <x:c r="D12" s="32" t="n">
        <x:f>IF(C12="","",(1/'Metadata'!$B$5)^(C12-1))</x:f>
        <x:v>18.365938888489367</x:v>
      </x:c>
      <x:c r="E12" s="31" t="n">
        <x:f>IF(B12=0,"",B12*D12)</x:f>
        <x:v>6389062.809361304</x:v>
      </x:c>
    </x:row>
    <x:row r="13" ht="18" customHeight="1">
      <x:c r="A13" s="24" t="str">
        <x:v>Medium reef assoc. fish (30 - 89 cm)</x:v>
      </x:c>
      <x:c r="B13" s="31" t="n">
        <x:v>3383.7603114804</x:v>
      </x:c>
      <x:c r="C13" s="32" t="n">
        <x:v>2.711422504578402</x:v>
      </x:c>
      <x:c r="D13" s="32" t="n">
        <x:f>IF(C13="","",(1/'Metadata'!$B$5)^(C13-1))</x:f>
        <x:v>51.454398369465096</x:v>
      </x:c>
      <x:c r="E13" s="31" t="n">
        <x:f>IF(B13=0,"",B13*D13)</x:f>
        <x:v>174109.3510536978</x:v>
      </x:c>
    </x:row>
    <x:row r="14" ht="18" customHeight="1">
      <x:c r="A14" s="24" t="str">
        <x:v>Other demersal invertebrates</x:v>
      </x:c>
      <x:c r="B14" s="31" t="n">
        <x:v>28806.0635661192</x:v>
      </x:c>
      <x:c r="C14" s="32" t="n">
        <x:v>2.248305832698519</x:v>
      </x:c>
      <x:c r="D14" s="32" t="n">
        <x:f>IF(C14="","",(1/'Metadata'!$B$5)^(C14-1))</x:f>
        <x:v>17.713559183414493</x:v>
      </x:c>
      <x:c r="E14" s="31" t="n">
        <x:f>IF(B14=0,"",B14*D14)</x:f>
        <x:v>510257.91181965236</x:v>
      </x:c>
    </x:row>
    <x:row r="15" ht="18" customHeight="1">
      <x:c r="A15" s="24" t="str">
        <x:v>Shrimps</x:v>
      </x:c>
      <x:c r="B15" s="31" t="n">
        <x:v>92683.55686932801</x:v>
      </x:c>
      <x:c r="C15" s="32" t="n">
        <x:v>2.7664803030590646</x:v>
      </x:c>
      <x:c r="D15" s="32" t="n">
        <x:f>IF(C15="","",(1/'Metadata'!$B$5)^(C15-1))</x:f>
        <x:v>58.40907157103577</x:v>
      </x:c>
      <x:c r="E15" s="31" t="n">
        <x:f>IF(B15=0,"",B15*D15)</x:f>
        <x:v>5413560.506638743</x:v>
      </x:c>
    </x:row>
    <x:row r="16" ht="18" customHeight="1">
      <x:c r="A16" s="24" t="str">
        <x:v>Small benthopelagics (&lt;30 cm)</x:v>
      </x:c>
      <x:c r="B16" s="31" t="n">
        <x:v>6484.978737355</x:v>
      </x:c>
      <x:c r="C16" s="32" t="n">
        <x:v>3.2425063006332433</x:v>
      </x:c>
      <x:c r="D16" s="32" t="n">
        <x:f>IF(C16="","",(1/'Metadata'!$B$5)^(C16-1))</x:f>
        <x:v>174.78586197200013</x:v>
      </x:c>
      <x:c r="E16" s="31" t="n">
        <x:f>IF(B16=0,"",B16*D16)</x:f>
        <x:v>1133482.5984786868</x:v>
      </x:c>
    </x:row>
    <x:row r="17" ht="18" customHeight="1">
      <x:c r="A17" s="24" t="str">
        <x:v>Small demersals (&lt;30 cm)</x:v>
      </x:c>
      <x:c r="B17" s="31" t="n">
        <x:v>3926.607957415</x:v>
      </x:c>
      <x:c r="C17" s="32" t="n">
        <x:v>3.6137915478947846</x:v>
      </x:c>
      <x:c r="D17" s="32" t="n">
        <x:f>IF(C17="","",(1/'Metadata'!$B$5)^(C17-1))</x:f>
        <x:v>410.9524253444099</x:v>
      </x:c>
      <x:c r="E17" s="31" t="n">
        <x:f>IF(B17=0,"",B17*D17)</x:f>
        <x:v>1613649.0634763537</x:v>
      </x:c>
    </x:row>
    <x:row r="18" ht="18" customHeight="1">
      <x:c r="A18" s="24" t="str">
        <x:v>Small pelagics (&lt;30 cm)</x:v>
      </x:c>
      <x:c r="B18" s="31" t="n">
        <x:v>77578.79527795811</x:v>
      </x:c>
      <x:c r="C18" s="32" t="n">
        <x:v>3.4557464003289535</x:v>
      </x:c>
      <x:c r="D18" s="32" t="n">
        <x:f>IF(C18="","",(1/'Metadata'!$B$5)^(C18-1))</x:f>
        <x:v>285.5922383844873</x:v>
      </x:c>
      <x:c r="E18" s="31" t="n">
        <x:f>IF(B18=0,"",B18*D18)</x:f>
        <x:v>22155901.79460395</x:v>
      </x:c>
    </x:row>
    <x:row r="19" ht="18" customHeight="1">
      <x:c r="A19" s="24" t="str">
        <x:v>Small reef assoc. fish (&lt;30 cm)</x:v>
      </x:c>
      <x:c r="B19" s="31" t="n">
        <x:v>48.2374500802</x:v>
      </x:c>
      <x:c r="C19" s="32" t="n">
        <x:v>3.4639844522388406</x:v>
      </x:c>
      <x:c r="D19" s="32" t="n">
        <x:f>IF(C19="","",(1/'Metadata'!$B$5)^(C19-1))</x:f>
        <x:v>291.0612916133627</x:v>
      </x:c>
      <x:c r="E19" s="31" t="n">
        <x:f>IF(B19=0,"",B19*D19)</x:f>
        <x:v>14040.054524478117</x:v>
      </x:c>
    </x:row>
    <x:row r="20" ht="18" customHeight="1">
      <x:c r="A20" s="24" t="str">
        <x:v>Small to medium flatfishes (&lt;90 cm)</x:v>
      </x:c>
      <x:c r="B20" s="31" t="n">
        <x:v>7682.9327970996</x:v>
      </x:c>
      <x:c r="C20" s="32" t="n">
        <x:v>3.5000486338457604</x:v>
      </x:c>
      <x:c r="D20" s="32" t="n">
        <x:f>IF(C20="","",(1/'Metadata'!$B$5)^(C20-1))</x:f>
        <x:v>316.2631803133329</x:v>
      </x:c>
      <x:c r="E20" s="31" t="n">
        <x:f>IF(B20=0,"",B20*D20)</x:f>
        <x:v>2429828.76054433</x:v>
      </x:c>
    </x:row>
  </x:sheetData>
  <x:pageMargins left="0.7" right="0.7" top="0.75" bottom="0.75" header="0.3" footer="0.3"/>
  <x:tableParts count="1">
    <x:tablePart xmlns:r="http://schemas.openxmlformats.org/officeDocument/2006/relationships" r:id="Rd3888b8ea78543c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EEZ_050</x:v>
      </x:c>
      <x:c r="B2" s="24" t="str">
        <x:v>raw_filtered_tonnes</x:v>
      </x:c>
      <x:c r="C2" s="24" t="n">
        <x:v>1114582.7199230574</x:v>
      </x:c>
      <x:c r="D2" s="24" t="str">
        <x:v>tonnes</x:v>
      </x:c>
    </x:row>
    <x:row r="3" ht="18" customHeight="1">
      <x:c r="A3" s="24" t="str">
        <x:v>EEZ_050</x:v>
      </x:c>
      <x:c r="B3" s="24" t="str">
        <x:v>species_catch_tonnes</x:v>
      </x:c>
      <x:c r="C3" s="24" t="n">
        <x:v>1114582.7199230574</x:v>
      </x:c>
      <x:c r="D3" s="24" t="str">
        <x:v>tonnes</x:v>
      </x:c>
    </x:row>
    <x:row r="4" ht="18" customHeight="1">
      <x:c r="A4" s="24" t="str">
        <x:v>EEZ_050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EEZ_050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EEZ_050</x:v>
      </x:c>
      <x:c r="B6" s="24" t="str">
        <x:v>matched_catch_tonnes</x:v>
      </x:c>
      <x:c r="C6" s="24" t="n">
        <x:v>1114582.7199230574</x:v>
      </x:c>
      <x:c r="D6" s="24" t="str">
        <x:v>tonnes</x:v>
      </x:c>
    </x:row>
    <x:row r="7" ht="18" customHeight="1">
      <x:c r="A7" s="24" t="str">
        <x:v>EEZ_050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EEZ_050</x:v>
      </x:c>
      <x:c r="B8" s="24" t="str">
        <x:v>taxa_count</x:v>
      </x:c>
      <x:c r="C8" s="24" t="n">
        <x:v>116</x:v>
      </x:c>
      <x:c r="D8" s="24" t="str">
        <x:v>count</x:v>
      </x:c>
    </x:row>
    <x:row r="9" ht="18" customHeight="1">
      <x:c r="A9" s="24" t="str">
        <x:v>EEZ_050</x:v>
      </x:c>
      <x:c r="B9" s="24" t="str">
        <x:v>matched_taxa_count</x:v>
      </x:c>
      <x:c r="C9" s="24" t="n">
        <x:v>116</x:v>
      </x:c>
      <x:c r="D9" s="24" t="str">
        <x:v>count</x:v>
      </x:c>
    </x:row>
    <x:row r="10" ht="18" customHeight="1">
      <x:c r="A10" s="24" t="str">
        <x:v>EEZ_050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EEZ_050</x:v>
      </x:c>
      <x:c r="B11" s="24" t="str">
        <x:v>species_ppr</x:v>
      </x:c>
      <x:c r="C11" s="24" t="n">
        <x:v>360072715.7005182</x:v>
      </x:c>
      <x:c r="D11" s="24" t="str">
        <x:v>tonnes_primary_production_equivalent</x:v>
      </x:c>
    </x:row>
    <x:row r="12" ht="18" customHeight="1">
      <x:c r="A12" s="24" t="str">
        <x:v>EEZ_050</x:v>
      </x:c>
      <x:c r="B12" s="24" t="str">
        <x:v>commercial_ppr</x:v>
      </x:c>
      <x:c r="C12" s="24" t="n">
        <x:v>234022123.55637613</x:v>
      </x:c>
      <x:c r="D12" s="24" t="str">
        <x:v>tonnes_primary_production_equivalent</x:v>
      </x:c>
    </x:row>
    <x:row r="13" ht="18" customHeight="1">
      <x:c r="A13" s="24" t="str">
        <x:v>EEZ_050</x:v>
      </x:c>
      <x:c r="B13" s="24" t="str">
        <x:v>functional_ppr</x:v>
      </x:c>
      <x:c r="C13" s="24" t="n">
        <x:v>281557475.2599753</x:v>
      </x:c>
      <x:c r="D13" s="24" t="str">
        <x:v>tonnes_primary_production_equivalent</x:v>
      </x:c>
    </x:row>
    <x:row r="14" ht="18" customHeight="1">
      <x:c r="A14" s="24" t="str">
        <x:v>EEZ_050</x:v>
      </x:c>
      <x:c r="B14" s="24" t="str">
        <x:v>commercial_ppr_difference</x:v>
      </x:c>
      <x:c r="C14" s="24" t="n">
        <x:v>-126050592.14414206</x:v>
      </x:c>
      <x:c r="D14" s="24" t="str">
        <x:v>tonnes_primary_production_equivalent</x:v>
      </x:c>
    </x:row>
    <x:row r="15" ht="18" customHeight="1">
      <x:c r="A15" s="24" t="str">
        <x:v>EEZ_050</x:v>
      </x:c>
      <x:c r="B15" s="24" t="str">
        <x:v>functional_ppr_difference</x:v>
      </x:c>
      <x:c r="C15" s="24" t="n">
        <x:v>-78515240.44054288</x:v>
      </x:c>
      <x:c r="D15" s="24" t="str">
        <x:v>tonnes_primary_production_equivalent</x:v>
      </x:c>
    </x:row>
    <x:row r="16" ht="18" customHeight="1">
      <x:c r="A16" s="24" t="str">
        <x:v>EEZ_050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EEZ_050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40050afae4f41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EEZ_050 - Bangladesh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EEZ_050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raw_data/SAU_downloads/EEZ_050-catch.zip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