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73db9c6da44f7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cca9cd41c92e4826"/>
    <x:sheet xmlns:r="http://schemas.openxmlformats.org/officeDocument/2006/relationships" name="Commercial" sheetId="2" r:id="R11bb692bd3354b49"/>
    <x:sheet xmlns:r="http://schemas.openxmlformats.org/officeDocument/2006/relationships" name="Functional" sheetId="3" r:id="Rce3f5b318d7a4e2f"/>
    <x:sheet xmlns:r="http://schemas.openxmlformats.org/officeDocument/2006/relationships" name="Missing TL" sheetId="4" r:id="Rb8195631f7b54535"/>
    <x:sheet xmlns:r="http://schemas.openxmlformats.org/officeDocument/2006/relationships" name="Validation" sheetId="5" r:id="R483fa8b672734522"/>
    <x:sheet xmlns:r="http://schemas.openxmlformats.org/officeDocument/2006/relationships" name="Metadata" sheetId="6" r:id="R1a0dd33ae94a40f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.00"/>
    <x:numFmt numFmtId="202" formatCode="0.0000"/>
    <x:numFmt numFmtId="203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9A3412"/>
      </x:font>
      <x:fill>
        <x:patternFill patternType="solid">
          <x:bgColor rgb="FFFCEA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3cfc06df53e441c" /><Relationship Type="http://schemas.openxmlformats.org/officeDocument/2006/relationships/theme" Target="/xl/theme/theme1.xml" Id="R4852b308118e451e" /><Relationship Type="http://schemas.microsoft.com/office/2022/11/relationships/FeaturePropertyBag" Target="/xl/featurePropertyBag/featurePropertyBag.xml" Id="R3e34bd4561fc42c9" /><Relationship Type="http://schemas.openxmlformats.org/officeDocument/2006/relationships/sharedStrings" Target="/xl/sharedStrings.xml" Id="Rbf0fb2aa5ebb4530" /><Relationship Type="http://schemas.openxmlformats.org/officeDocument/2006/relationships/worksheet" Target="/xl/worksheets/sheet1.xml" Id="Rcca9cd41c92e4826" /><Relationship Type="http://schemas.openxmlformats.org/officeDocument/2006/relationships/worksheet" Target="/xl/worksheets/sheet2.xml" Id="R11bb692bd3354b49" /><Relationship Type="http://schemas.openxmlformats.org/officeDocument/2006/relationships/worksheet" Target="/xl/worksheets/sheet3.xml" Id="Rce3f5b318d7a4e2f" /><Relationship Type="http://schemas.openxmlformats.org/officeDocument/2006/relationships/worksheet" Target="/xl/worksheets/sheet4.xml" Id="Rb8195631f7b54535" /><Relationship Type="http://schemas.openxmlformats.org/officeDocument/2006/relationships/worksheet" Target="/xl/worksheets/sheet5.xml" Id="R483fa8b672734522" /><Relationship Type="http://schemas.openxmlformats.org/officeDocument/2006/relationships/worksheet" Target="/xl/worksheets/sheet6.xml" Id="R1a0dd33ae94a40f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620SpeciesTable" displayName="EEZ620SpeciesTable" ref="A1:U255" headerRowCount="1" totalsRowCount="0" totalsRowShown="0">
  <x:autoFilter ref="A1:U255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620CommercialTable" displayName="EEZ620CommercialTable" ref="A1:E13" headerRowCount="1" totalsRowCount="0" totalsRowShown="0">
  <x:autoFilter ref="A1:E13"/>
  <x:tableColumns count="5">
    <x:tableColumn id="1" name="commerci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620FunctionalTable" displayName="EEZ620FunctionalTable" ref="A1:E27" headerRowCount="1" totalsRowCount="0" totalsRowShown="0">
  <x:autoFilter ref="A1:E27"/>
  <x:tableColumns count="5">
    <x:tableColumn id="1" name="function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620ValidationTable" displayName="EEZ620ValidationTable" ref="A1:D17" headerRowCount="1" totalsRowCount="0" totalsRowShown="0">
  <x:autoFilter ref="A1:D17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2d61f5528eb477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9a8e3e629b7458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f1c6374d19a7418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49957d3951248ed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EEZ_620</x:v>
      </x:c>
      <x:c r="B2" s="24" t="str">
        <x:v>Portugal (mainland)</x:v>
      </x:c>
      <x:c r="C2" s="24" t="str">
        <x:v>EEZ</x:v>
      </x:c>
      <x:c r="D2" s="30" t="n">
        <x:v>2019</x:v>
      </x:c>
      <x:c r="E2" s="24" t="str">
        <x:v>Marine fishes not identified</x:v>
      </x:c>
      <x:c r="F2" s="24" t="str">
        <x:v>Marine fishes nei</x:v>
      </x:c>
      <x:c r="G2" s="24" t="str">
        <x:v>Medium demersals (30 - 89 cm)</x:v>
      </x:c>
      <x:c r="H2" s="24" t="str">
        <x:v>Other fishes &amp; inverts</x:v>
      </x:c>
      <x:c r="I2" s="31" t="n">
        <x:v>60743.5823615321</x:v>
      </x:c>
      <x:c r="J2" s="31" t="n">
        <x:v>46527.5173404039</x:v>
      </x:c>
      <x:c r="K2" s="31" t="n">
        <x:v>14216.065021128199</x:v>
      </x:c>
      <x:c r="L2" s="31" t="n">
        <x:v>46508.138812799996</x:v>
      </x:c>
      <x:c r="M2" s="31" t="n">
        <x:v>14235.443548732099</x:v>
      </x:c>
      <x:c r="N2" s="24" t="str">
        <x:v>marine fishes not identified</x:v>
      </x:c>
      <x:c r="O2" s="32" t="n">
        <x:v>3.28</x:v>
      </x:c>
      <x:c r="P2" s="24" t="str">
        <x:v>exact_sea_around_us</x:v>
      </x:c>
      <x:c r="Q2" s="32" t="str">
        <x:v>Sea Around Us exploited organisms</x:v>
      </x:c>
      <x:c r="R2" s="24" t="str">
        <x:v>high</x:v>
      </x:c>
      <x:c r="S2" s="24" t="str">
        <x:v>Marine fishes not identified</x:v>
      </x:c>
      <x:c r="T2" s="32" t="n">
        <x:f>IF(O2="","",(1/'Metadata'!$B$5)^(O2-1))</x:f>
        <x:v>190.54607179632464</x:v>
      </x:c>
      <x:c r="U2" s="31" t="n">
        <x:f>IF(T2="","",I2*T2)</x:f>
        <x:v>11574451.005826455</x:v>
      </x:c>
    </x:row>
    <x:row r="3" ht="18" customHeight="1">
      <x:c r="A3" s="24" t="str">
        <x:v>EEZ_620</x:v>
      </x:c>
      <x:c r="B3" s="24" t="str">
        <x:v>Portugal (mainland)</x:v>
      </x:c>
      <x:c r="C3" s="24" t="str">
        <x:v>EEZ</x:v>
      </x:c>
      <x:c r="D3" s="30" t="n">
        <x:v>2019</x:v>
      </x:c>
      <x:c r="E3" s="24" t="str">
        <x:v>Trachurus trachurus</x:v>
      </x:c>
      <x:c r="F3" s="24" t="str">
        <x:v>Atlantic horse mackerel</x:v>
      </x:c>
      <x:c r="G3" s="24" t="str">
        <x:v>Medium pelagics (30 - 89 cm)</x:v>
      </x:c>
      <x:c r="H3" s="24" t="str">
        <x:v>Perch-likes</x:v>
      </x:c>
      <x:c r="I3" s="31" t="n">
        <x:v>19758.9337582287</x:v>
      </x:c>
      <x:c r="J3" s="31" t="n">
        <x:v>17167.9813485061</x:v>
      </x:c>
      <x:c r="K3" s="31" t="n">
        <x:v>2590.9524097226</x:v>
      </x:c>
      <x:c r="L3" s="31" t="n">
        <x:v>17167.9813485061</x:v>
      </x:c>
      <x:c r="M3" s="31" t="n">
        <x:v>2590.9524097226</x:v>
      </x:c>
      <x:c r="N3" s="24" t="str">
        <x:v>trachurus trachurus</x:v>
      </x:c>
      <x:c r="O3" s="32" t="n">
        <x:v>3.71</x:v>
      </x:c>
      <x:c r="P3" s="24" t="str">
        <x:v>exact_2020_supplement</x:v>
      </x:c>
      <x:c r="Q3" s="32" t="str">
        <x:v>2020 supplement MeanTL</x:v>
      </x:c>
      <x:c r="R3" s="24" t="str">
        <x:v>high</x:v>
      </x:c>
      <x:c r="S3" s="24" t="str">
        <x:v>Trachurus trachurus</x:v>
      </x:c>
      <x:c r="T3" s="32" t="n">
        <x:f>IF(O3="","",(1/'Metadata'!$B$5)^(O3-1))</x:f>
        <x:v>512.8613839913648</x:v>
      </x:c>
      <x:c r="U3" s="31" t="n">
        <x:f>IF(T3="","",I3*T3)</x:f>
        <x:v>10133594.11343887</x:v>
      </x:c>
    </x:row>
    <x:row r="4" ht="18" customHeight="1">
      <x:c r="A4" s="24" t="str">
        <x:v>EEZ_620</x:v>
      </x:c>
      <x:c r="B4" s="24" t="str">
        <x:v>Portugal (mainland)</x:v>
      </x:c>
      <x:c r="C4" s="24" t="str">
        <x:v>EEZ</x:v>
      </x:c>
      <x:c r="D4" s="30" t="n">
        <x:v>2019</x:v>
      </x:c>
      <x:c r="E4" s="24" t="str">
        <x:v>Mollusca</x:v>
      </x:c>
      <x:c r="F4" s="24" t="str">
        <x:v>Clams, seasnails, squids, octopuses</x:v>
      </x:c>
      <x:c r="G4" s="24" t="str">
        <x:v>Other demersal invertebrates</x:v>
      </x:c>
      <x:c r="H4" s="24" t="str">
        <x:v>Molluscs</x:v>
      </x:c>
      <x:c r="I4" s="31" t="n">
        <x:v>17523.5353037401</x:v>
      </x:c>
      <x:c r="J4" s="31" t="n">
        <x:v>17523.5353037401</x:v>
      </x:c>
      <x:c r="K4" s="31" t="n">
        <x:v>0</x:v>
      </x:c>
      <x:c r="L4" s="31" t="n">
        <x:v>14821.001691784</x:v>
      </x:c>
      <x:c r="M4" s="31" t="n">
        <x:v>2702.5336119561002</x:v>
      </x:c>
      <x:c r="N4" s="24" t="str">
        <x:v>mollusca</x:v>
      </x:c>
      <x:c r="O4" s="32" t="n">
        <x:v>2.1</x:v>
      </x:c>
      <x:c r="P4" s="24" t="str">
        <x:v>exact_sea_around_us</x:v>
      </x:c>
      <x:c r="Q4" s="32" t="str">
        <x:v>Sea Around Us exploited organisms</x:v>
      </x:c>
      <x:c r="R4" s="24" t="str">
        <x:v>high</x:v>
      </x:c>
      <x:c r="S4" s="24" t="str">
        <x:v>Mollusca</x:v>
      </x:c>
      <x:c r="T4" s="32" t="n">
        <x:f>IF(O4="","",(1/'Metadata'!$B$5)^(O4-1))</x:f>
        <x:v>12.589254117941675</x:v>
      </x:c>
      <x:c r="U4" s="31" t="n">
        <x:f>IF(T4="","",I4*T4)</x:f>
        <x:v>220608.23898350637</x:v>
      </x:c>
    </x:row>
    <x:row r="5" ht="18" customHeight="1">
      <x:c r="A5" s="24" t="str">
        <x:v>EEZ_620</x:v>
      </x:c>
      <x:c r="B5" s="24" t="str">
        <x:v>Portugal (mainland)</x:v>
      </x:c>
      <x:c r="C5" s="24" t="str">
        <x:v>EEZ</x:v>
      </x:c>
      <x:c r="D5" s="30" t="n">
        <x:v>2019</x:v>
      </x:c>
      <x:c r="E5" s="24" t="str">
        <x:v>Sardina pilchardus</x:v>
      </x:c>
      <x:c r="F5" s="24" t="str">
        <x:v>European pilchard</x:v>
      </x:c>
      <x:c r="G5" s="24" t="str">
        <x:v>Small pelagics (&lt;30 cm)</x:v>
      </x:c>
      <x:c r="H5" s="24" t="str">
        <x:v>Herring-likes</x:v>
      </x:c>
      <x:c r="I5" s="31" t="n">
        <x:v>15395.3294744892</x:v>
      </x:c>
      <x:c r="J5" s="31" t="n">
        <x:v>9678.7308834993</x:v>
      </x:c>
      <x:c r="K5" s="31" t="n">
        <x:v>5716.5985909899</x:v>
      </x:c>
      <x:c r="L5" s="31" t="n">
        <x:v>9678.7308834993</x:v>
      </x:c>
      <x:c r="M5" s="31" t="n">
        <x:v>5716.5985909899</x:v>
      </x:c>
      <x:c r="N5" s="24" t="str">
        <x:v>sardina pilchardus</x:v>
      </x:c>
      <x:c r="O5" s="32" t="n">
        <x:v>3.06</x:v>
      </x:c>
      <x:c r="P5" s="24" t="str">
        <x:v>exact_2020_supplement</x:v>
      </x:c>
      <x:c r="Q5" s="32" t="str">
        <x:v>2020 supplement MeanTL</x:v>
      </x:c>
      <x:c r="R5" s="24" t="str">
        <x:v>high</x:v>
      </x:c>
      <x:c r="S5" s="24" t="str">
        <x:v>Sardina pilchardus</x:v>
      </x:c>
      <x:c r="T5" s="32" t="n">
        <x:f>IF(O5="","",(1/'Metadata'!$B$5)^(O5-1))</x:f>
        <x:v>114.81536214968828</x:v>
      </x:c>
      <x:c r="U5" s="31" t="n">
        <x:f>IF(T5="","",I5*T5)</x:f>
        <x:v>1767620.3290272476</x:v>
      </x:c>
    </x:row>
    <x:row r="6" ht="18" customHeight="1">
      <x:c r="A6" s="24" t="str">
        <x:v>EEZ_620</x:v>
      </x:c>
      <x:c r="B6" s="24" t="str">
        <x:v>Portugal (mainland)</x:v>
      </x:c>
      <x:c r="C6" s="24" t="str">
        <x:v>EEZ</x:v>
      </x:c>
      <x:c r="D6" s="30" t="n">
        <x:v>2019</x:v>
      </x:c>
      <x:c r="E6" s="24" t="str">
        <x:v>Engraulis encrasicolus</x:v>
      </x:c>
      <x:c r="F6" s="24" t="str">
        <x:v>European anchovy</x:v>
      </x:c>
      <x:c r="G6" s="24" t="str">
        <x:v>Small pelagics (&lt;30 cm)</x:v>
      </x:c>
      <x:c r="H6" s="24" t="str">
        <x:v>Anchovies</x:v>
      </x:c>
      <x:c r="I6" s="31" t="n">
        <x:v>9116.998411403</x:v>
      </x:c>
      <x:c r="J6" s="31" t="n">
        <x:v>9116.998411403</x:v>
      </x:c>
      <x:c r="K6" s="31" t="n">
        <x:v>0</x:v>
      </x:c>
      <x:c r="L6" s="31" t="n">
        <x:v>9116.998411403</x:v>
      </x:c>
      <x:c r="M6" s="31" t="n">
        <x:v>0</x:v>
      </x:c>
      <x:c r="N6" s="24" t="str">
        <x:v>engraulis encrasicolus</x:v>
      </x:c>
      <x:c r="O6" s="32" t="n">
        <x:v>3.11</x:v>
      </x:c>
      <x:c r="P6" s="24" t="str">
        <x:v>exact_2020_supplement</x:v>
      </x:c>
      <x:c r="Q6" s="32" t="str">
        <x:v>2020 supplement MeanTL</x:v>
      </x:c>
      <x:c r="R6" s="24" t="str">
        <x:v>high</x:v>
      </x:c>
      <x:c r="S6" s="24" t="str">
        <x:v>Engraulis encrasicolus</x:v>
      </x:c>
      <x:c r="T6" s="32" t="n">
        <x:f>IF(O6="","",(1/'Metadata'!$B$5)^(O6-1))</x:f>
        <x:v>128.82495516931337</x:v>
      </x:c>
      <x:c r="U6" s="31" t="n">
        <x:f>IF(T6="","",I6*T6)</x:f>
        <x:v>1174496.9116276926</x:v>
      </x:c>
    </x:row>
    <x:row r="7" ht="18" customHeight="1">
      <x:c r="A7" s="24" t="str">
        <x:v>EEZ_620</x:v>
      </x:c>
      <x:c r="B7" s="24" t="str">
        <x:v>Portugal (mainland)</x:v>
      </x:c>
      <x:c r="C7" s="24" t="str">
        <x:v>EEZ</x:v>
      </x:c>
      <x:c r="D7" s="30" t="n">
        <x:v>2019</x:v>
      </x:c>
      <x:c r="E7" s="24" t="str">
        <x:v>Trachurus picturatus</x:v>
      </x:c>
      <x:c r="F7" s="24" t="str">
        <x:v>Blue jack mackerel</x:v>
      </x:c>
      <x:c r="G7" s="24" t="str">
        <x:v>Medium benthopelagics (30 - 89 cm)</x:v>
      </x:c>
      <x:c r="H7" s="24" t="str">
        <x:v>Perch-likes</x:v>
      </x:c>
      <x:c r="I7" s="31" t="n">
        <x:v>8153.4753482679</x:v>
      </x:c>
      <x:c r="J7" s="31" t="n">
        <x:v>2376.0032247239997</x:v>
      </x:c>
      <x:c r="K7" s="31" t="n">
        <x:v>5777.4721235439</x:v>
      </x:c>
      <x:c r="L7" s="31" t="n">
        <x:v>2376.0032247239997</x:v>
      </x:c>
      <x:c r="M7" s="31" t="n">
        <x:v>5777.4721235439</x:v>
      </x:c>
      <x:c r="N7" s="24" t="str">
        <x:v>trachurus picturatus</x:v>
      </x:c>
      <x:c r="O7" s="32" t="n">
        <x:v>3.32</x:v>
      </x:c>
      <x:c r="P7" s="24" t="str">
        <x:v>exact_2020_supplement</x:v>
      </x:c>
      <x:c r="Q7" s="32" t="str">
        <x:v>2020 supplement MeanTL</x:v>
      </x:c>
      <x:c r="R7" s="24" t="str">
        <x:v>high</x:v>
      </x:c>
      <x:c r="S7" s="24" t="str">
        <x:v>Trachurus picturatus</x:v>
      </x:c>
      <x:c r="T7" s="32" t="n">
        <x:f>IF(O7="","",(1/'Metadata'!$B$5)^(O7-1))</x:f>
        <x:v>208.92961308540387</x:v>
      </x:c>
      <x:c r="U7" s="31" t="n">
        <x:f>IF(T7="","",I7*T7)</x:f>
        <x:v>1703502.4498149909</x:v>
      </x:c>
    </x:row>
    <x:row r="8" ht="18" customHeight="1">
      <x:c r="A8" s="24" t="str">
        <x:v>EEZ_620</x:v>
      </x:c>
      <x:c r="B8" s="24" t="str">
        <x:v>Portugal (mainland)</x:v>
      </x:c>
      <x:c r="C8" s="24" t="str">
        <x:v>EEZ</x:v>
      </x:c>
      <x:c r="D8" s="30" t="n">
        <x:v>2019</x:v>
      </x:c>
      <x:c r="E8" s="24" t="str">
        <x:v>Merluccius merluccius</x:v>
      </x:c>
      <x:c r="F8" s="24" t="str">
        <x:v>European hake</x:v>
      </x:c>
      <x:c r="G8" s="24" t="str">
        <x:v>Large demersals (&gt;=90 cm)</x:v>
      </x:c>
      <x:c r="H8" s="24" t="str">
        <x:v>Cod-likes</x:v>
      </x:c>
      <x:c r="I8" s="31" t="n">
        <x:v>7011.2095508662</x:v>
      </x:c>
      <x:c r="J8" s="31" t="n">
        <x:v>1905.9999999999998</x:v>
      </x:c>
      <x:c r="K8" s="31" t="n">
        <x:v>5105.2095508662</x:v>
      </x:c>
      <x:c r="L8" s="31" t="n">
        <x:v>1905.9999999999998</x:v>
      </x:c>
      <x:c r="M8" s="31" t="n">
        <x:v>5105.2095508662</x:v>
      </x:c>
      <x:c r="N8" s="24" t="str">
        <x:v>merluccius merluccius</x:v>
      </x:c>
      <x:c r="O8" s="32" t="n">
        <x:v>4.42</x:v>
      </x:c>
      <x:c r="P8" s="24" t="str">
        <x:v>exact_2020_supplement</x:v>
      </x:c>
      <x:c r="Q8" s="32" t="str">
        <x:v>2020 supplement MeanTL</x:v>
      </x:c>
      <x:c r="R8" s="24" t="str">
        <x:v>high</x:v>
      </x:c>
      <x:c r="S8" s="24" t="str">
        <x:v>Merluccius merluccius</x:v>
      </x:c>
      <x:c r="T8" s="32" t="n">
        <x:f>IF(O8="","",(1/'Metadata'!$B$5)^(O8-1))</x:f>
        <x:v>2630.2679918953813</x:v>
      </x:c>
      <x:c r="U8" s="31" t="n">
        <x:f>IF(T8="","",I8*T8)</x:f>
        <x:v>18441360.066114556</x:v>
      </x:c>
    </x:row>
    <x:row r="9" ht="18" customHeight="1">
      <x:c r="A9" s="24" t="str">
        <x:v>EEZ_620</x:v>
      </x:c>
      <x:c r="B9" s="24" t="str">
        <x:v>Portugal (mainland)</x:v>
      </x:c>
      <x:c r="C9" s="24" t="str">
        <x:v>EEZ</x:v>
      </x:c>
      <x:c r="D9" s="30" t="n">
        <x:v>2019</x:v>
      </x:c>
      <x:c r="E9" s="24" t="str">
        <x:v>Micromesistius poutassou</x:v>
      </x:c>
      <x:c r="F9" s="24" t="str">
        <x:v>Blue whiting</x:v>
      </x:c>
      <x:c r="G9" s="24" t="str">
        <x:v>Medium benthopelagics (30 - 89 cm)</x:v>
      </x:c>
      <x:c r="H9" s="24" t="str">
        <x:v>Cod-likes</x:v>
      </x:c>
      <x:c r="I9" s="31" t="n">
        <x:v>6034.2661983327</x:v>
      </x:c>
      <x:c r="J9" s="31" t="n">
        <x:v>1428.9999999999002</x:v>
      </x:c>
      <x:c r="K9" s="31" t="n">
        <x:v>4605.2661983328</x:v>
      </x:c>
      <x:c r="L9" s="31" t="n">
        <x:v>1428.9999999999002</x:v>
      </x:c>
      <x:c r="M9" s="31" t="n">
        <x:v>4605.2661983328</x:v>
      </x:c>
      <x:c r="N9" s="24" t="str">
        <x:v>micromesistius poutassou</x:v>
      </x:c>
      <x:c r="O9" s="32" t="n">
        <x:v>4.13</x:v>
      </x:c>
      <x:c r="P9" s="24" t="str">
        <x:v>exact_2020_supplement</x:v>
      </x:c>
      <x:c r="Q9" s="32" t="str">
        <x:v>2020 supplement MeanTL</x:v>
      </x:c>
      <x:c r="R9" s="24" t="str">
        <x:v>high</x:v>
      </x:c>
      <x:c r="S9" s="24" t="str">
        <x:v>Micromesistius poutassou</x:v>
      </x:c>
      <x:c r="T9" s="32" t="n">
        <x:f>IF(O9="","",(1/'Metadata'!$B$5)^(O9-1))</x:f>
        <x:v>1348.9628825916532</x:v>
      </x:c>
      <x:c r="U9" s="31" t="n">
        <x:f>IF(T9="","",I9*T9)</x:f>
        <x:v>8140001.125228255</x:v>
      </x:c>
    </x:row>
    <x:row r="10" ht="18" customHeight="1">
      <x:c r="A10" s="24" t="str">
        <x:v>EEZ_620</x:v>
      </x:c>
      <x:c r="B10" s="24" t="str">
        <x:v>Portugal (mainland)</x:v>
      </x:c>
      <x:c r="C10" s="24" t="str">
        <x:v>EEZ</x:v>
      </x:c>
      <x:c r="D10" s="30" t="n">
        <x:v>2019</x:v>
      </x:c>
      <x:c r="E10" s="24" t="str">
        <x:v>Octopus vulgaris</x:v>
      </x:c>
      <x:c r="F10" s="24" t="str">
        <x:v>Common octopus</x:v>
      </x:c>
      <x:c r="G10" s="24" t="str">
        <x:v>Cephalopods</x:v>
      </x:c>
      <x:c r="H10" s="24" t="str">
        <x:v>Other fishes &amp; inverts</x:v>
      </x:c>
      <x:c r="I10" s="31" t="n">
        <x:v>5984.312112989</x:v>
      </x:c>
      <x:c r="J10" s="31" t="n">
        <x:v>5896</x:v>
      </x:c>
      <x:c r="K10" s="31" t="n">
        <x:v>88.312112989</x:v>
      </x:c>
      <x:c r="L10" s="31" t="n">
        <x:v>5896</x:v>
      </x:c>
      <x:c r="M10" s="31" t="n">
        <x:v>88.312112989</x:v>
      </x:c>
      <x:c r="N10" s="24" t="str">
        <x:v>octopus vulgaris</x:v>
      </x:c>
      <x:c r="O10" s="32" t="n">
        <x:v>3.6</x:v>
      </x:c>
      <x:c r="P10" s="24" t="str">
        <x:v>exact_2020_supplement</x:v>
      </x:c>
      <x:c r="Q10" s="32" t="str">
        <x:v>2020 supplement MeanTL</x:v>
      </x:c>
      <x:c r="R10" s="24" t="str">
        <x:v>high</x:v>
      </x:c>
      <x:c r="S10" s="24" t="str">
        <x:v>Octopus vulgaris</x:v>
      </x:c>
      <x:c r="T10" s="32" t="n">
        <x:f>IF(O10="","",(1/'Metadata'!$B$5)^(O10-1))</x:f>
        <x:v>398.1071705534973</x:v>
      </x:c>
      <x:c r="U10" s="31" t="n">
        <x:f>IF(T10="","",I10*T10)</x:f>
        <x:v>2382397.5630110716</x:v>
      </x:c>
    </x:row>
    <x:row r="11" ht="18" customHeight="1">
      <x:c r="A11" s="24" t="str">
        <x:v>EEZ_620</x:v>
      </x:c>
      <x:c r="B11" s="24" t="str">
        <x:v>Portugal (mainland)</x:v>
      </x:c>
      <x:c r="C11" s="24" t="str">
        <x:v>EEZ</x:v>
      </x:c>
      <x:c r="D11" s="30" t="n">
        <x:v>2019</x:v>
      </x:c>
      <x:c r="E11" s="24" t="str">
        <x:v>Boops boops</x:v>
      </x:c>
      <x:c r="F11" s="24" t="str">
        <x:v>Bogue</x:v>
      </x:c>
      <x:c r="G11" s="24" t="str">
        <x:v>Medium demersals (30 - 89 cm)</x:v>
      </x:c>
      <x:c r="H11" s="24" t="str">
        <x:v>Perch-likes</x:v>
      </x:c>
      <x:c r="I11" s="31" t="n">
        <x:v>5698.5037356506</x:v>
      </x:c>
      <x:c r="J11" s="31" t="n">
        <x:v>365.0934849689</x:v>
      </x:c>
      <x:c r="K11" s="31" t="n">
        <x:v>5333.4102506817</x:v>
      </x:c>
      <x:c r="L11" s="31" t="n">
        <x:v>351</x:v>
      </x:c>
      <x:c r="M11" s="31" t="n">
        <x:v>5347.5037356506</x:v>
      </x:c>
      <x:c r="N11" s="24" t="str">
        <x:v>boops boops</x:v>
      </x:c>
      <x:c r="O11" s="32" t="n">
        <x:v>2.79</x:v>
      </x:c>
      <x:c r="P11" s="24" t="str">
        <x:v>exact_2020_supplement</x:v>
      </x:c>
      <x:c r="Q11" s="32" t="str">
        <x:v>2020 supplement MeanTL</x:v>
      </x:c>
      <x:c r="R11" s="24" t="str">
        <x:v>high</x:v>
      </x:c>
      <x:c r="S11" s="24" t="str">
        <x:v>Boops boops</x:v>
      </x:c>
      <x:c r="T11" s="32" t="n">
        <x:f>IF(O11="","",(1/'Metadata'!$B$5)^(O11-1))</x:f>
        <x:v>61.65950018614822</x:v>
      </x:c>
      <x:c r="U11" s="31" t="n">
        <x:f>IF(T11="","",I11*T11)</x:f>
        <x:v>351366.8921491145</x:v>
      </x:c>
    </x:row>
    <x:row r="12" ht="18" customHeight="1">
      <x:c r="A12" s="24" t="str">
        <x:v>EEZ_620</x:v>
      </x:c>
      <x:c r="B12" s="24" t="str">
        <x:v>Portugal (mainland)</x:v>
      </x:c>
      <x:c r="C12" s="24" t="str">
        <x:v>EEZ</x:v>
      </x:c>
      <x:c r="D12" s="30" t="n">
        <x:v>2019</x:v>
      </x:c>
      <x:c r="E12" s="24" t="str">
        <x:v>Thunnus thynnus</x:v>
      </x:c>
      <x:c r="F12" s="24" t="str">
        <x:v>Atlantic bluefin tuna</x:v>
      </x:c>
      <x:c r="G12" s="24" t="str">
        <x:v>Large pelagics (&gt;=90 cm)</x:v>
      </x:c>
      <x:c r="H12" s="24" t="str">
        <x:v>Tuna &amp; billfishes</x:v>
      </x:c>
      <x:c r="I12" s="31" t="n">
        <x:v>2335.9682008421</x:v>
      </x:c>
      <x:c r="J12" s="31" t="n">
        <x:v>2335.9682008421</x:v>
      </x:c>
      <x:c r="K12" s="31" t="n">
        <x:v>0</x:v>
      </x:c>
      <x:c r="L12" s="31" t="n">
        <x:v>2335.9682008421</x:v>
      </x:c>
      <x:c r="M12" s="31" t="n">
        <x:v>0</x:v>
      </x:c>
      <x:c r="N12" s="24" t="str">
        <x:v>thunnus thynnus</x:v>
      </x:c>
      <x:c r="O12" s="32" t="n">
        <x:v>4.45</x:v>
      </x:c>
      <x:c r="P12" s="24" t="str">
        <x:v>exact_2020_supplement</x:v>
      </x:c>
      <x:c r="Q12" s="32" t="str">
        <x:v>2020 supplement MeanTL</x:v>
      </x:c>
      <x:c r="R12" s="24" t="str">
        <x:v>high</x:v>
      </x:c>
      <x:c r="S12" s="24" t="str">
        <x:v>Thunnus thynnus</x:v>
      </x:c>
      <x:c r="T12" s="32" t="n">
        <x:f>IF(O12="","",(1/'Metadata'!$B$5)^(O12-1))</x:f>
        <x:v>2818.382931264455</x:v>
      </x:c>
      <x:c r="U12" s="31" t="n">
        <x:f>IF(T12="","",I12*T12)</x:f>
        <x:v>6583652.905229912</x:v>
      </x:c>
    </x:row>
    <x:row r="13" ht="18" customHeight="1">
      <x:c r="A13" s="24" t="str">
        <x:v>EEZ_620</x:v>
      </x:c>
      <x:c r="B13" s="24" t="str">
        <x:v>Portugal (mainland)</x:v>
      </x:c>
      <x:c r="C13" s="24" t="str">
        <x:v>EEZ</x:v>
      </x:c>
      <x:c r="D13" s="30" t="n">
        <x:v>2019</x:v>
      </x:c>
      <x:c r="E13" s="24" t="str">
        <x:v>Aphanopus carbo</x:v>
      </x:c>
      <x:c r="F13" s="24" t="str">
        <x:v>Black scabbardfish</x:v>
      </x:c>
      <x:c r="G13" s="24" t="str">
        <x:v>Large benthopelagics (&gt;=90 cm)</x:v>
      </x:c>
      <x:c r="H13" s="24" t="str">
        <x:v>Perch-likes</x:v>
      </x:c>
      <x:c r="I13" s="31" t="n">
        <x:v>2302.0600944836</x:v>
      </x:c>
      <x:c r="J13" s="31" t="n">
        <x:v>2302.0000000001</x:v>
      </x:c>
      <x:c r="K13" s="31" t="n">
        <x:v>0.0600944835</x:v>
      </x:c>
      <x:c r="L13" s="31" t="n">
        <x:v>2302.0000000001</x:v>
      </x:c>
      <x:c r="M13" s="31" t="n">
        <x:v>0.0600944835</x:v>
      </x:c>
      <x:c r="N13" s="24" t="str">
        <x:v>aphanopus carbo</x:v>
      </x:c>
      <x:c r="O13" s="32" t="n">
        <x:v>4.48</x:v>
      </x:c>
      <x:c r="P13" s="24" t="str">
        <x:v>exact_2020_supplement</x:v>
      </x:c>
      <x:c r="Q13" s="32" t="str">
        <x:v>2020 supplement MeanTL</x:v>
      </x:c>
      <x:c r="R13" s="24" t="str">
        <x:v>high</x:v>
      </x:c>
      <x:c r="S13" s="24" t="str">
        <x:v>Aphanopus carbo</x:v>
      </x:c>
      <x:c r="T13" s="32" t="n">
        <x:f>IF(O13="","",(1/'Metadata'!$B$5)^(O13-1))</x:f>
        <x:v>3019.951720402019</x:v>
      </x:c>
      <x:c r="U13" s="31" t="n">
        <x:f>IF(T13="","",I13*T13)</x:f>
        <x:v>6952110.342804583</x:v>
      </x:c>
    </x:row>
    <x:row r="14" ht="18" customHeight="1">
      <x:c r="A14" s="24" t="str">
        <x:v>EEZ_620</x:v>
      </x:c>
      <x:c r="B14" s="24" t="str">
        <x:v>Portugal (mainland)</x:v>
      </x:c>
      <x:c r="C14" s="24" t="str">
        <x:v>EEZ</x:v>
      </x:c>
      <x:c r="D14" s="30" t="n">
        <x:v>2019</x:v>
      </x:c>
      <x:c r="E14" s="24" t="str">
        <x:v>Cerastoderma edule</x:v>
      </x:c>
      <x:c r="F14" s="24" t="str">
        <x:v>Common cockle</x:v>
      </x:c>
      <x:c r="G14" s="24" t="str">
        <x:v>Other demersal invertebrates</x:v>
      </x:c>
      <x:c r="H14" s="24" t="str">
        <x:v>Molluscs</x:v>
      </x:c>
      <x:c r="I14" s="31" t="n">
        <x:v>2285</x:v>
      </x:c>
      <x:c r="J14" s="31" t="n">
        <x:v>2285</x:v>
      </x:c>
      <x:c r="K14" s="31" t="n">
        <x:v>0</x:v>
      </x:c>
      <x:c r="L14" s="31" t="n">
        <x:v>2285</x:v>
      </x:c>
      <x:c r="M14" s="31" t="n">
        <x:v>0</x:v>
      </x:c>
      <x:c r="N14" s="24" t="str">
        <x:v>cerastoderma edule</x:v>
      </x:c>
      <x:c r="O14" s="32" t="n">
        <x:v>2</x:v>
      </x:c>
      <x:c r="P14" s="24" t="str">
        <x:v>exact_2020_supplement</x:v>
      </x:c>
      <x:c r="Q14" s="32" t="str">
        <x:v>2020 supplement MeanTL</x:v>
      </x:c>
      <x:c r="R14" s="24" t="str">
        <x:v>high</x:v>
      </x:c>
      <x:c r="S14" s="24" t="str">
        <x:v>Cerastoderma edule</x:v>
      </x:c>
      <x:c r="T14" s="32" t="n">
        <x:f>IF(O14="","",(1/'Metadata'!$B$5)^(O14-1))</x:f>
        <x:v>10</x:v>
      </x:c>
      <x:c r="U14" s="31" t="n">
        <x:f>IF(T14="","",I14*T14)</x:f>
        <x:v>22850</x:v>
      </x:c>
    </x:row>
    <x:row r="15" ht="18" customHeight="1">
      <x:c r="A15" s="24" t="str">
        <x:v>EEZ_620</x:v>
      </x:c>
      <x:c r="B15" s="24" t="str">
        <x:v>Portugal (mainland)</x:v>
      </x:c>
      <x:c r="C15" s="24" t="str">
        <x:v>EEZ</x:v>
      </x:c>
      <x:c r="D15" s="30" t="n">
        <x:v>2019</x:v>
      </x:c>
      <x:c r="E15" s="24" t="str">
        <x:v>Scomber scombrus</x:v>
      </x:c>
      <x:c r="F15" s="24" t="str">
        <x:v>Atlantic mackerel</x:v>
      </x:c>
      <x:c r="G15" s="24" t="str">
        <x:v>Medium pelagics (30 - 89 cm)</x:v>
      </x:c>
      <x:c r="H15" s="24" t="str">
        <x:v>Perch-likes</x:v>
      </x:c>
      <x:c r="I15" s="31" t="n">
        <x:v>2213.6168821662</x:v>
      </x:c>
      <x:c r="J15" s="31" t="n">
        <x:v>707.938760971</x:v>
      </x:c>
      <x:c r="K15" s="31" t="n">
        <x:v>1505.6781211952</x:v>
      </x:c>
      <x:c r="L15" s="31" t="n">
        <x:v>707.938760971</x:v>
      </x:c>
      <x:c r="M15" s="31" t="n">
        <x:v>1505.6781211952</x:v>
      </x:c>
      <x:c r="N15" s="24" t="str">
        <x:v>scomber scombrus</x:v>
      </x:c>
      <x:c r="O15" s="32" t="n">
        <x:v>3.63</x:v>
      </x:c>
      <x:c r="P15" s="24" t="str">
        <x:v>exact_2020_supplement</x:v>
      </x:c>
      <x:c r="Q15" s="32" t="str">
        <x:v>2020 supplement MeanTL</x:v>
      </x:c>
      <x:c r="R15" s="24" t="str">
        <x:v>high</x:v>
      </x:c>
      <x:c r="S15" s="24" t="str">
        <x:v>Scomber scombrus</x:v>
      </x:c>
      <x:c r="T15" s="32" t="n">
        <x:f>IF(O15="","",(1/'Metadata'!$B$5)^(O15-1))</x:f>
        <x:v>426.57951880159254</x:v>
      </x:c>
      <x:c r="U15" s="31" t="n">
        <x:f>IF(T15="","",I15*T15)</x:f>
        <x:v>944283.6244055391</x:v>
      </x:c>
    </x:row>
    <x:row r="16" ht="18" customHeight="1">
      <x:c r="A16" s="24" t="str">
        <x:v>EEZ_620</x:v>
      </x:c>
      <x:c r="B16" s="24" t="str">
        <x:v>Portugal (mainland)</x:v>
      </x:c>
      <x:c r="C16" s="24" t="str">
        <x:v>EEZ</x:v>
      </x:c>
      <x:c r="D16" s="30" t="n">
        <x:v>2019</x:v>
      </x:c>
      <x:c r="E16" s="24" t="str">
        <x:v>Bivalvia</x:v>
      </x:c>
      <x:c r="F16" s="24" t="str">
        <x:v>Clams</x:v>
      </x:c>
      <x:c r="G16" s="24" t="str">
        <x:v>Other demersal invertebrates</x:v>
      </x:c>
      <x:c r="H16" s="24" t="str">
        <x:v>Molluscs</x:v>
      </x:c>
      <x:c r="I16" s="31" t="n">
        <x:v>2192.3858201075</x:v>
      </x:c>
      <x:c r="J16" s="31" t="n">
        <x:v>2189.0001537521002</x:v>
      </x:c>
      <x:c r="K16" s="31" t="n">
        <x:v>3.3856663554</x:v>
      </x:c>
      <x:c r="L16" s="31" t="n">
        <x:v>2189.0001537521002</x:v>
      </x:c>
      <x:c r="M16" s="31" t="n">
        <x:v>3.3856663554</x:v>
      </x:c>
      <x:c r="N16" s="24" t="str">
        <x:v>bivalvia</x:v>
      </x:c>
      <x:c r="O16" s="32" t="n">
        <x:v>2.23</x:v>
      </x:c>
      <x:c r="P16" s="24" t="str">
        <x:v>exact_sea_around_us</x:v>
      </x:c>
      <x:c r="Q16" s="32" t="str">
        <x:v>Sea Around Us exploited organisms</x:v>
      </x:c>
      <x:c r="R16" s="24" t="str">
        <x:v>high</x:v>
      </x:c>
      <x:c r="S16" s="24" t="str">
        <x:v>Bivalvia</x:v>
      </x:c>
      <x:c r="T16" s="32" t="n">
        <x:f>IF(O16="","",(1/'Metadata'!$B$5)^(O16-1))</x:f>
        <x:v>16.982436524617444</x:v>
      </x:c>
      <x:c r="U16" s="31" t="n">
        <x:f>IF(T16="","",I16*T16)</x:f>
        <x:v>37232.05302744698</x:v>
      </x:c>
    </x:row>
    <x:row r="17" ht="18" customHeight="1">
      <x:c r="A17" s="24" t="str">
        <x:v>EEZ_620</x:v>
      </x:c>
      <x:c r="B17" s="24" t="str">
        <x:v>Portugal (mainland)</x:v>
      </x:c>
      <x:c r="C17" s="24" t="str">
        <x:v>EEZ</x:v>
      </x:c>
      <x:c r="D17" s="30" t="n">
        <x:v>2019</x:v>
      </x:c>
      <x:c r="E17" s="24" t="str">
        <x:v>Trisopterus luscus</x:v>
      </x:c>
      <x:c r="F17" s="24" t="str">
        <x:v>Pouting</x:v>
      </x:c>
      <x:c r="G17" s="24" t="str">
        <x:v>Medium benthopelagics (30 - 89 cm)</x:v>
      </x:c>
      <x:c r="H17" s="24" t="str">
        <x:v>Cod-likes</x:v>
      </x:c>
      <x:c r="I17" s="31" t="n">
        <x:v>1991.6917384075</x:v>
      </x:c>
      <x:c r="J17" s="31" t="n">
        <x:v>1786.0000000001</x:v>
      </x:c>
      <x:c r="K17" s="31" t="n">
        <x:v>205.6917384074</x:v>
      </x:c>
      <x:c r="L17" s="31" t="n">
        <x:v>1786.0000000001</x:v>
      </x:c>
      <x:c r="M17" s="31" t="n">
        <x:v>205.6917384074</x:v>
      </x:c>
      <x:c r="N17" s="24" t="str">
        <x:v>trisopterus luscus</x:v>
      </x:c>
      <x:c r="O17" s="32" t="n">
        <x:v>3.73</x:v>
      </x:c>
      <x:c r="P17" s="24" t="str">
        <x:v>exact_2020_supplement</x:v>
      </x:c>
      <x:c r="Q17" s="32" t="str">
        <x:v>2020 supplement MeanTL</x:v>
      </x:c>
      <x:c r="R17" s="24" t="str">
        <x:v>high</x:v>
      </x:c>
      <x:c r="S17" s="24" t="str">
        <x:v>Trisopterus luscus</x:v>
      </x:c>
      <x:c r="T17" s="32" t="n">
        <x:f>IF(O17="","",(1/'Metadata'!$B$5)^(O17-1))</x:f>
        <x:v>537.0317963702527</x:v>
      </x:c>
      <x:c r="U17" s="31" t="n">
        <x:f>IF(T17="","",I17*T17)</x:f>
        <x:v>1069601.792092771</x:v>
      </x:c>
    </x:row>
    <x:row r="18" ht="18" customHeight="1">
      <x:c r="A18" s="24" t="str">
        <x:v>EEZ_620</x:v>
      </x:c>
      <x:c r="B18" s="24" t="str">
        <x:v>Portugal (mainland)</x:v>
      </x:c>
      <x:c r="C18" s="24" t="str">
        <x:v>EEZ</x:v>
      </x:c>
      <x:c r="D18" s="30" t="n">
        <x:v>2019</x:v>
      </x:c>
      <x:c r="E18" s="24" t="str">
        <x:v>Miscellaneous marine crustaceans</x:v>
      </x:c>
      <x:c r="F18" s="24" t="str">
        <x:v>Marine crabs, shrimps, lobsters nei</x:v>
      </x:c>
      <x:c r="G18" s="24" t="str">
        <x:v>Shrimps</x:v>
      </x:c>
      <x:c r="H18" s="24" t="str">
        <x:v>Crustaceans</x:v>
      </x:c>
      <x:c r="I18" s="31" t="n">
        <x:v>1895.467511599</x:v>
      </x:c>
      <x:c r="J18" s="31" t="n">
        <x:v>1895.467511599</x:v>
      </x:c>
      <x:c r="K18" s="31" t="n">
        <x:v>0</x:v>
      </x:c>
      <x:c r="L18" s="31" t="n">
        <x:v>1865.0011235552</x:v>
      </x:c>
      <x:c r="M18" s="31" t="n">
        <x:v>30.466388043800002</x:v>
      </x:c>
      <x:c r="N18" s="24" t="str">
        <x:v>miscellaneous marine crustaceans</x:v>
      </x:c>
      <x:c r="O18" s="32" t="n">
        <x:v>2.7</x:v>
      </x:c>
      <x:c r="P18" s="24" t="str">
        <x:v>exact_sea_around_us</x:v>
      </x:c>
      <x:c r="Q18" s="32" t="str">
        <x:v>Sea Around Us exploited organisms</x:v>
      </x:c>
      <x:c r="R18" s="24" t="str">
        <x:v>high</x:v>
      </x:c>
      <x:c r="S18" s="24" t="str">
        <x:v>Miscellaneous marine crustaceans</x:v>
      </x:c>
      <x:c r="T18" s="32" t="n">
        <x:f>IF(O18="","",(1/'Metadata'!$B$5)^(O18-1))</x:f>
        <x:v>50.11872336272725</x:v>
      </x:c>
      <x:c r="U18" s="31" t="n">
        <x:f>IF(T18="","",I18*T18)</x:f>
        <x:v>94998.4118568673</x:v>
      </x:c>
    </x:row>
    <x:row r="19" ht="18" customHeight="1">
      <x:c r="A19" s="24" t="str">
        <x:v>EEZ_620</x:v>
      </x:c>
      <x:c r="B19" s="24" t="str">
        <x:v>Portugal (mainland)</x:v>
      </x:c>
      <x:c r="C19" s="24" t="str">
        <x:v>EEZ</x:v>
      </x:c>
      <x:c r="D19" s="30" t="n">
        <x:v>2019</x:v>
      </x:c>
      <x:c r="E19" s="24" t="str">
        <x:v>Conger conger</x:v>
      </x:c>
      <x:c r="F19" s="24" t="str">
        <x:v>European conger</x:v>
      </x:c>
      <x:c r="G19" s="24" t="str">
        <x:v>Large demersals (&gt;=90 cm)</x:v>
      </x:c>
      <x:c r="H19" s="24" t="str">
        <x:v>Other fishes &amp; inverts</x:v>
      </x:c>
      <x:c r="I19" s="31" t="n">
        <x:v>1870.2097773499</x:v>
      </x:c>
      <x:c r="J19" s="31" t="n">
        <x:v>799.9999999998</x:v>
      </x:c>
      <x:c r="K19" s="31" t="n">
        <x:v>1070.2097773501</x:v>
      </x:c>
      <x:c r="L19" s="31" t="n">
        <x:v>799.9999999998</x:v>
      </x:c>
      <x:c r="M19" s="31" t="n">
        <x:v>1070.2097773501</x:v>
      </x:c>
      <x:c r="N19" s="24" t="str">
        <x:v>conger conger</x:v>
      </x:c>
      <x:c r="O19" s="32" t="n">
        <x:v>4.31</x:v>
      </x:c>
      <x:c r="P19" s="24" t="str">
        <x:v>exact_2020_supplement</x:v>
      </x:c>
      <x:c r="Q19" s="32" t="str">
        <x:v>2020 supplement MeanTL</x:v>
      </x:c>
      <x:c r="R19" s="24" t="str">
        <x:v>high</x:v>
      </x:c>
      <x:c r="S19" s="24" t="str">
        <x:v>Conger conger</x:v>
      </x:c>
      <x:c r="T19" s="32" t="n">
        <x:f>IF(O19="","",(1/'Metadata'!$B$5)^(O19-1))</x:f>
        <x:v>2041.7379446695275</x:v>
      </x:c>
      <x:c r="U19" s="31" t="n">
        <x:f>IF(T19="","",I19*T19)</x:f>
        <x:v>3818478.2669072393</x:v>
      </x:c>
    </x:row>
    <x:row r="20" ht="18" customHeight="1">
      <x:c r="A20" s="24" t="str">
        <x:v>EEZ_620</x:v>
      </x:c>
      <x:c r="B20" s="24" t="str">
        <x:v>Portugal (mainland)</x:v>
      </x:c>
      <x:c r="C20" s="24" t="str">
        <x:v>EEZ</x:v>
      </x:c>
      <x:c r="D20" s="30" t="n">
        <x:v>2019</x:v>
      </x:c>
      <x:c r="E20" s="24" t="str">
        <x:v>Xiphias gladius</x:v>
      </x:c>
      <x:c r="F20" s="24" t="str">
        <x:v>Swordfish</x:v>
      </x:c>
      <x:c r="G20" s="24" t="str">
        <x:v>Large pelagics (&gt;=90 cm)</x:v>
      </x:c>
      <x:c r="H20" s="24" t="str">
        <x:v>Tuna &amp; billfishes</x:v>
      </x:c>
      <x:c r="I20" s="31" t="n">
        <x:v>1723.587097826</x:v>
      </x:c>
      <x:c r="J20" s="31" t="n">
        <x:v>1723.587097826</x:v>
      </x:c>
      <x:c r="K20" s="31" t="n">
        <x:v>0</x:v>
      </x:c>
      <x:c r="L20" s="31" t="n">
        <x:v>1723.587097826</x:v>
      </x:c>
      <x:c r="M20" s="31" t="n">
        <x:v>0</x:v>
      </x:c>
      <x:c r="N20" s="24" t="str">
        <x:v>xiphias gladius</x:v>
      </x:c>
      <x:c r="O20" s="32" t="n">
        <x:v>4.53</x:v>
      </x:c>
      <x:c r="P20" s="24" t="str">
        <x:v>exact_2020_supplement</x:v>
      </x:c>
      <x:c r="Q20" s="32" t="str">
        <x:v>2020 supplement MeanTL</x:v>
      </x:c>
      <x:c r="R20" s="24" t="str">
        <x:v>high</x:v>
      </x:c>
      <x:c r="S20" s="24" t="str">
        <x:v>Xiphias gladius</x:v>
      </x:c>
      <x:c r="T20" s="32" t="n">
        <x:f>IF(O20="","",(1/'Metadata'!$B$5)^(O20-1))</x:f>
        <x:v>3388.4415613920273</x:v>
      </x:c>
      <x:c r="U20" s="31" t="n">
        <x:f>IF(T20="","",I20*T20)</x:f>
        <x:v>5840274.156952685</x:v>
      </x:c>
    </x:row>
    <x:row r="21" ht="18" customHeight="1">
      <x:c r="A21" s="24" t="str">
        <x:v>EEZ_620</x:v>
      </x:c>
      <x:c r="B21" s="24" t="str">
        <x:v>Portugal (mainland)</x:v>
      </x:c>
      <x:c r="C21" s="24" t="str">
        <x:v>EEZ</x:v>
      </x:c>
      <x:c r="D21" s="30" t="n">
        <x:v>2019</x:v>
      </x:c>
      <x:c r="E21" s="24" t="str">
        <x:v>Chelon auratus</x:v>
      </x:c>
      <x:c r="F21" s="24" t="str">
        <x:v>Golden grey mullet</x:v>
      </x:c>
      <x:c r="G21" s="24" t="str">
        <x:v>Medium pelagics (30 - 89 cm)</x:v>
      </x:c>
      <x:c r="H21" s="24" t="str">
        <x:v>Other fishes &amp; inverts</x:v>
      </x:c>
      <x:c r="I21" s="31" t="n">
        <x:v>1589.0902614473</x:v>
      </x:c>
      <x:c r="J21" s="31" t="n">
        <x:v>0</x:v>
      </x:c>
      <x:c r="K21" s="31" t="n">
        <x:v>1589.0902614473</x:v>
      </x:c>
      <x:c r="L21" s="31" t="n">
        <x:v>0</x:v>
      </x:c>
      <x:c r="M21" s="31" t="n">
        <x:v>1589.0902614473</x:v>
      </x:c>
      <x:c r="N21" s="24" t="str">
        <x:v>chelon auratus</x:v>
      </x:c>
      <x:c r="O21" s="32" t="n">
        <x:v>2.8</x:v>
      </x:c>
      <x:c r="P21" s="24" t="str">
        <x:v>exact_sea_around_us</x:v>
      </x:c>
      <x:c r="Q21" s="32" t="str">
        <x:v>Sea Around Us exploited organisms</x:v>
      </x:c>
      <x:c r="R21" s="24" t="str">
        <x:v>high</x:v>
      </x:c>
      <x:c r="S21" s="24" t="str">
        <x:v>Chelon auratus</x:v>
      </x:c>
      <x:c r="T21" s="32" t="n">
        <x:f>IF(O21="","",(1/'Metadata'!$B$5)^(O21-1))</x:f>
        <x:v>63.0957344480193</x:v>
      </x:c>
      <x:c r="U21" s="31" t="n">
        <x:f>IF(T21="","",I21*T21)</x:f>
        <x:v>100264.8171502124</x:v>
      </x:c>
    </x:row>
    <x:row r="22" ht="18" customHeight="1">
      <x:c r="A22" s="24" t="str">
        <x:v>EEZ_620</x:v>
      </x:c>
      <x:c r="B22" s="24" t="str">
        <x:v>Portugal (mainland)</x:v>
      </x:c>
      <x:c r="C22" s="24" t="str">
        <x:v>EEZ</x:v>
      </x:c>
      <x:c r="D22" s="30" t="n">
        <x:v>2019</x:v>
      </x:c>
      <x:c r="E22" s="24" t="str">
        <x:v>Sepia officinalis</x:v>
      </x:c>
      <x:c r="F22" s="24" t="str">
        <x:v>Common cuttlefish</x:v>
      </x:c>
      <x:c r="G22" s="24" t="str">
        <x:v>Cephalopods</x:v>
      </x:c>
      <x:c r="H22" s="24" t="str">
        <x:v>Other fishes &amp; inverts</x:v>
      </x:c>
      <x:c r="I22" s="31" t="n">
        <x:v>1386.2401654608</x:v>
      </x:c>
      <x:c r="J22" s="31" t="n">
        <x:v>1105.0000000001</x:v>
      </x:c>
      <x:c r="K22" s="31" t="n">
        <x:v>281.2401654607</x:v>
      </x:c>
      <x:c r="L22" s="31" t="n">
        <x:v>1105.0000000001</x:v>
      </x:c>
      <x:c r="M22" s="31" t="n">
        <x:v>281.2401654607</x:v>
      </x:c>
      <x:c r="N22" s="24" t="str">
        <x:v>sepia officinalis</x:v>
      </x:c>
      <x:c r="O22" s="32" t="n">
        <x:v>4.27</x:v>
      </x:c>
      <x:c r="P22" s="24" t="str">
        <x:v>exact_2020_supplement</x:v>
      </x:c>
      <x:c r="Q22" s="32" t="str">
        <x:v>2020 supplement MeanTL</x:v>
      </x:c>
      <x:c r="R22" s="24" t="str">
        <x:v>high</x:v>
      </x:c>
      <x:c r="S22" s="24" t="str">
        <x:v>Sepia officinalis</x:v>
      </x:c>
      <x:c r="T22" s="32" t="n">
        <x:f>IF(O22="","",(1/'Metadata'!$B$5)^(O22-1))</x:f>
        <x:v>1862.0871366628655</x:v>
      </x:c>
      <x:c r="U22" s="31" t="n">
        <x:f>IF(T22="","",I22*T22)</x:f>
        <x:v>2581299.980429958</x:v>
      </x:c>
    </x:row>
    <x:row r="23" ht="18" customHeight="1">
      <x:c r="A23" s="24" t="str">
        <x:v>EEZ_620</x:v>
      </x:c>
      <x:c r="B23" s="24" t="str">
        <x:v>Portugal (mainland)</x:v>
      </x:c>
      <x:c r="C23" s="24" t="str">
        <x:v>EEZ</x:v>
      </x:c>
      <x:c r="D23" s="30" t="n">
        <x:v>2019</x:v>
      </x:c>
      <x:c r="E23" s="24" t="str">
        <x:v>Capros aper</x:v>
      </x:c>
      <x:c r="F23" s="24" t="str">
        <x:v>Boarfish</x:v>
      </x:c>
      <x:c r="G23" s="24" t="str">
        <x:v>Small demersals (&lt;30 cm)</x:v>
      </x:c>
      <x:c r="H23" s="24" t="str">
        <x:v>Perch-likes</x:v>
      </x:c>
      <x:c r="I23" s="31" t="n">
        <x:v>1369.1101117808</x:v>
      </x:c>
      <x:c r="J23" s="31" t="n">
        <x:v>0</x:v>
      </x:c>
      <x:c r="K23" s="31" t="n">
        <x:v>1369.1101117808</x:v>
      </x:c>
      <x:c r="L23" s="31" t="n">
        <x:v>0</x:v>
      </x:c>
      <x:c r="M23" s="31" t="n">
        <x:v>1369.1101117808</x:v>
      </x:c>
      <x:c r="N23" s="24" t="str">
        <x:v>capros aper</x:v>
      </x:c>
      <x:c r="O23" s="32" t="n">
        <x:v>3.14</x:v>
      </x:c>
      <x:c r="P23" s="24" t="str">
        <x:v>exact_2020_supplement</x:v>
      </x:c>
      <x:c r="Q23" s="32" t="str">
        <x:v>2020 supplement MeanTL</x:v>
      </x:c>
      <x:c r="R23" s="24" t="str">
        <x:v>high</x:v>
      </x:c>
      <x:c r="S23" s="24" t="str">
        <x:v>Capros aper</x:v>
      </x:c>
      <x:c r="T23" s="32" t="n">
        <x:f>IF(O23="","",(1/'Metadata'!$B$5)^(O23-1))</x:f>
        <x:v>138.03842646028852</x:v>
      </x:c>
      <x:c r="U23" s="31" t="n">
        <x:f>IF(T23="","",I23*T23)</x:f>
        <x:v>188989.80548109135</x:v>
      </x:c>
    </x:row>
    <x:row r="24" ht="18" customHeight="1">
      <x:c r="A24" s="24" t="str">
        <x:v>EEZ_620</x:v>
      </x:c>
      <x:c r="B24" s="24" t="str">
        <x:v>Portugal (mainland)</x:v>
      </x:c>
      <x:c r="C24" s="24" t="str">
        <x:v>EEZ</x:v>
      </x:c>
      <x:c r="D24" s="30" t="n">
        <x:v>2019</x:v>
      </x:c>
      <x:c r="E24" s="24" t="str">
        <x:v>Belone belone</x:v>
      </x:c>
      <x:c r="F24" s="24" t="str">
        <x:v>Garfish</x:v>
      </x:c>
      <x:c r="G24" s="24" t="str">
        <x:v>Medium pelagics (30 - 89 cm)</x:v>
      </x:c>
      <x:c r="H24" s="24" t="str">
        <x:v>Other fishes &amp; inverts</x:v>
      </x:c>
      <x:c r="I24" s="31" t="n">
        <x:v>1366.8724513723</x:v>
      </x:c>
      <x:c r="J24" s="31" t="n">
        <x:v>0.009358788</x:v>
      </x:c>
      <x:c r="K24" s="31" t="n">
        <x:v>1366.8630925843</x:v>
      </x:c>
      <x:c r="L24" s="31" t="n">
        <x:v>0.009358788</x:v>
      </x:c>
      <x:c r="M24" s="31" t="n">
        <x:v>1366.8630925843</x:v>
      </x:c>
      <x:c r="N24" s="24" t="str">
        <x:v>belone belone</x:v>
      </x:c>
      <x:c r="O24" s="32" t="n">
        <x:v>4.16</x:v>
      </x:c>
      <x:c r="P24" s="24" t="str">
        <x:v>exact_2020_supplement</x:v>
      </x:c>
      <x:c r="Q24" s="32" t="str">
        <x:v>2020 supplement MeanTL</x:v>
      </x:c>
      <x:c r="R24" s="24" t="str">
        <x:v>high</x:v>
      </x:c>
      <x:c r="S24" s="24" t="str">
        <x:v>Belone belone</x:v>
      </x:c>
      <x:c r="T24" s="32" t="n">
        <x:f>IF(O24="","",(1/'Metadata'!$B$5)^(O24-1))</x:f>
        <x:v>1445.439770745928</x:v>
      </x:c>
      <x:c r="U24" s="31" t="n">
        <x:f>IF(T24="","",I24*T24)</x:f>
        <x:v>1975731.8027505018</x:v>
      </x:c>
    </x:row>
    <x:row r="25" ht="18" customHeight="1">
      <x:c r="A25" s="24" t="str">
        <x:v>EEZ_620</x:v>
      </x:c>
      <x:c r="B25" s="24" t="str">
        <x:v>Portugal (mainland)</x:v>
      </x:c>
      <x:c r="C25" s="24" t="str">
        <x:v>EEZ</x:v>
      </x:c>
      <x:c r="D25" s="30" t="n">
        <x:v>2019</x:v>
      </x:c>
      <x:c r="E25" s="24" t="str">
        <x:v>Prionace glauca</x:v>
      </x:c>
      <x:c r="F25" s="24" t="str">
        <x:v>Blue shark</x:v>
      </x:c>
      <x:c r="G25" s="24" t="str">
        <x:v>Large sharks (&gt;=90 cm)</x:v>
      </x:c>
      <x:c r="H25" s="24" t="str">
        <x:v>Sharks &amp; rays</x:v>
      </x:c>
      <x:c r="I25" s="31" t="n">
        <x:v>1328.1802268907002</x:v>
      </x:c>
      <x:c r="J25" s="31" t="n">
        <x:v>1327.9999434401</x:v>
      </x:c>
      <x:c r="K25" s="31" t="n">
        <x:v>0.1802834506</x:v>
      </x:c>
      <x:c r="L25" s="31" t="n">
        <x:v>1327.9999434401</x:v>
      </x:c>
      <x:c r="M25" s="31" t="n">
        <x:v>0.1802834506</x:v>
      </x:c>
      <x:c r="N25" s="24" t="str">
        <x:v>prionace glauca</x:v>
      </x:c>
      <x:c r="O25" s="32" t="n">
        <x:v>4.35</x:v>
      </x:c>
      <x:c r="P25" s="24" t="str">
        <x:v>exact_2020_supplement</x:v>
      </x:c>
      <x:c r="Q25" s="32" t="str">
        <x:v>2020 supplement MeanTL</x:v>
      </x:c>
      <x:c r="R25" s="24" t="str">
        <x:v>high</x:v>
      </x:c>
      <x:c r="S25" s="24" t="str">
        <x:v>Prionace glauca</x:v>
      </x:c>
      <x:c r="T25" s="32" t="n">
        <x:f>IF(O25="","",(1/'Metadata'!$B$5)^(O25-1))</x:f>
        <x:v>2238.7211385683377</x:v>
      </x:c>
      <x:c r="U25" s="31" t="n">
        <x:f>IF(T25="","",I25*T25)</x:f>
        <x:v>2973425.1497687013</x:v>
      </x:c>
    </x:row>
    <x:row r="26" ht="18" customHeight="1">
      <x:c r="A26" s="24" t="str">
        <x:v>EEZ_620</x:v>
      </x:c>
      <x:c r="B26" s="24" t="str">
        <x:v>Portugal (mainland)</x:v>
      </x:c>
      <x:c r="C26" s="24" t="str">
        <x:v>EEZ</x:v>
      </x:c>
      <x:c r="D26" s="30" t="n">
        <x:v>2019</x:v>
      </x:c>
      <x:c r="E26" s="24" t="str">
        <x:v>Scorpaena notata</x:v>
      </x:c>
      <x:c r="F26" s="24" t="str">
        <x:v>Small red scorpionfish</x:v>
      </x:c>
      <x:c r="G26" s="24" t="str">
        <x:v>Large reef assoc. fish (&gt;=90 cm)</x:v>
      </x:c>
      <x:c r="H26" s="24" t="str">
        <x:v>Scorpionfishes</x:v>
      </x:c>
      <x:c r="I26" s="31" t="n">
        <x:v>1271.4635952723002</x:v>
      </x:c>
      <x:c r="J26" s="31" t="n">
        <x:v>0</x:v>
      </x:c>
      <x:c r="K26" s="31" t="n">
        <x:v>1271.4635952723002</x:v>
      </x:c>
      <x:c r="L26" s="31" t="n">
        <x:v>0</x:v>
      </x:c>
      <x:c r="M26" s="31" t="n">
        <x:v>1271.4635952723002</x:v>
      </x:c>
      <x:c r="N26" s="24" t="str">
        <x:v>scorpaena notata</x:v>
      </x:c>
      <x:c r="O26" s="32" t="n">
        <x:v>3.7</x:v>
      </x:c>
      <x:c r="P26" s="24" t="str">
        <x:v>exact_2020_supplement</x:v>
      </x:c>
      <x:c r="Q26" s="32" t="str">
        <x:v>2020 supplement MeanTL</x:v>
      </x:c>
      <x:c r="R26" s="24" t="str">
        <x:v>high</x:v>
      </x:c>
      <x:c r="S26" s="24" t="str">
        <x:v>Scorpaena notata</x:v>
      </x:c>
      <x:c r="T26" s="32" t="n">
        <x:f>IF(O26="","",(1/'Metadata'!$B$5)^(O26-1))</x:f>
        <x:v>501.18723362727246</x:v>
      </x:c>
      <x:c r="U26" s="31" t="n">
        <x:f>IF(T26="","",I26*T26)</x:f>
        <x:v>637241.3219723101</x:v>
      </x:c>
    </x:row>
    <x:row r="27" ht="18" customHeight="1">
      <x:c r="A27" s="24" t="str">
        <x:v>EEZ_620</x:v>
      </x:c>
      <x:c r="B27" s="24" t="str">
        <x:v>Portugal (mainland)</x:v>
      </x:c>
      <x:c r="C27" s="24" t="str">
        <x:v>EEZ</x:v>
      </x:c>
      <x:c r="D27" s="30" t="n">
        <x:v>2019</x:v>
      </x:c>
      <x:c r="E27" s="24" t="str">
        <x:v>Triglidae</x:v>
      </x:c>
      <x:c r="F27" s="24" t="str">
        <x:v>Searobins, gurnards</x:v>
      </x:c>
      <x:c r="G27" s="24" t="str">
        <x:v>Medium demersals (30 - 89 cm)</x:v>
      </x:c>
      <x:c r="H27" s="24" t="str">
        <x:v>Scorpionfishes</x:v>
      </x:c>
      <x:c r="I27" s="31" t="n">
        <x:v>1215.210784094</x:v>
      </x:c>
      <x:c r="J27" s="31" t="n">
        <x:v>0.0707818959</x:v>
      </x:c>
      <x:c r="K27" s="31" t="n">
        <x:v>1215.1400021980999</x:v>
      </x:c>
      <x:c r="L27" s="31" t="n">
        <x:v>0.0707818959</x:v>
      </x:c>
      <x:c r="M27" s="31" t="n">
        <x:v>1215.1400021980999</x:v>
      </x:c>
      <x:c r="N27" s="24" t="str">
        <x:v>triglidae</x:v>
      </x:c>
      <x:c r="O27" s="32" t="n">
        <x:v>3.74</x:v>
      </x:c>
      <x:c r="P27" s="24" t="str">
        <x:v>exact_sea_around_us</x:v>
      </x:c>
      <x:c r="Q27" s="32" t="str">
        <x:v>Sea Around Us exploited organisms</x:v>
      </x:c>
      <x:c r="R27" s="24" t="str">
        <x:v>high</x:v>
      </x:c>
      <x:c r="S27" s="24" t="str">
        <x:v>Triglidae</x:v>
      </x:c>
      <x:c r="T27" s="32" t="n">
        <x:f>IF(O27="","",(1/'Metadata'!$B$5)^(O27-1))</x:f>
        <x:v>549.5408738576248</x:v>
      </x:c>
      <x:c r="U27" s="31" t="n">
        <x:f>IF(T27="","",I27*T27)</x:f>
        <x:v>667807.9962122261</x:v>
      </x:c>
    </x:row>
    <x:row r="28" ht="18" customHeight="1">
      <x:c r="A28" s="24" t="str">
        <x:v>EEZ_620</x:v>
      </x:c>
      <x:c r="B28" s="24" t="str">
        <x:v>Portugal (mainland)</x:v>
      </x:c>
      <x:c r="C28" s="24" t="str">
        <x:v>EEZ</x:v>
      </x:c>
      <x:c r="D28" s="30" t="n">
        <x:v>2019</x:v>
      </x:c>
      <x:c r="E28" s="24" t="str">
        <x:v>Rajidae</x:v>
      </x:c>
      <x:c r="F28" s="24" t="str">
        <x:v>Stingrays</x:v>
      </x:c>
      <x:c r="G28" s="24" t="str">
        <x:v>Large rays (&gt;=90 cm)</x:v>
      </x:c>
      <x:c r="H28" s="24" t="str">
        <x:v>Sharks &amp; rays</x:v>
      </x:c>
      <x:c r="I28" s="31" t="n">
        <x:v>1194.4241201194</x:v>
      </x:c>
      <x:c r="J28" s="31" t="n">
        <x:v>1133.9999999999</x:v>
      </x:c>
      <x:c r="K28" s="31" t="n">
        <x:v>60.4241201195</x:v>
      </x:c>
      <x:c r="L28" s="31" t="n">
        <x:v>1133.9999999999</x:v>
      </x:c>
      <x:c r="M28" s="31" t="n">
        <x:v>60.4241201195</x:v>
      </x:c>
      <x:c r="N28" s="24" t="str">
        <x:v>rajidae</x:v>
      </x:c>
      <x:c r="O28" s="32" t="n">
        <x:v>3.82</x:v>
      </x:c>
      <x:c r="P28" s="24" t="str">
        <x:v>exact_sea_around_us</x:v>
      </x:c>
      <x:c r="Q28" s="32" t="str">
        <x:v>Sea Around Us exploited organisms</x:v>
      </x:c>
      <x:c r="R28" s="24" t="str">
        <x:v>high</x:v>
      </x:c>
      <x:c r="S28" s="24" t="str">
        <x:v>Rajidae</x:v>
      </x:c>
      <x:c r="T28" s="32" t="n">
        <x:f>IF(O28="","",(1/'Metadata'!$B$5)^(O28-1))</x:f>
        <x:v>660.6934480075957</x:v>
      </x:c>
      <x:c r="U28" s="31" t="n">
        <x:f>IF(T28="","",I28*T28)</x:f>
        <x:v>789148.1903051251</x:v>
      </x:c>
    </x:row>
    <x:row r="29" ht="18" customHeight="1">
      <x:c r="A29" s="24" t="str">
        <x:v>EEZ_620</x:v>
      </x:c>
      <x:c r="B29" s="24" t="str">
        <x:v>Portugal (mainland)</x:v>
      </x:c>
      <x:c r="C29" s="24" t="str">
        <x:v>EEZ</x:v>
      </x:c>
      <x:c r="D29" s="30" t="n">
        <x:v>2019</x:v>
      </x:c>
      <x:c r="E29" s="24" t="str">
        <x:v>Chondrichthyes</x:v>
      </x:c>
      <x:c r="F29" s="24" t="str">
        <x:v>Sharks, rays, chimaeras</x:v>
      </x:c>
      <x:c r="G29" s="24" t="str">
        <x:v>Large sharks (&gt;=90 cm)</x:v>
      </x:c>
      <x:c r="H29" s="24" t="str">
        <x:v>Sharks &amp; rays</x:v>
      </x:c>
      <x:c r="I29" s="31" t="n">
        <x:v>1180.6527225541001</x:v>
      </x:c>
      <x:c r="J29" s="31" t="n">
        <x:v>0.059052500099999995</x:v>
      </x:c>
      <x:c r="K29" s="31" t="n">
        <x:v>1180.593670054</x:v>
      </x:c>
      <x:c r="L29" s="31" t="n">
        <x:v>0.059052500099999995</x:v>
      </x:c>
      <x:c r="M29" s="31" t="n">
        <x:v>1180.593670054</x:v>
      </x:c>
      <x:c r="N29" s="24" t="str">
        <x:v>chondrichthyes</x:v>
      </x:c>
      <x:c r="O29" s="32" t="n">
        <x:v>4</x:v>
      </x:c>
      <x:c r="P29" s="24" t="str">
        <x:v>exact_sea_around_us</x:v>
      </x:c>
      <x:c r="Q29" s="32" t="str">
        <x:v>Sea Around Us exploited organisms</x:v>
      </x:c>
      <x:c r="R29" s="24" t="str">
        <x:v>high</x:v>
      </x:c>
      <x:c r="S29" s="24" t="str">
        <x:v>Chondrichthyes</x:v>
      </x:c>
      <x:c r="T29" s="32" t="n">
        <x:f>IF(O29="","",(1/'Metadata'!$B$5)^(O29-1))</x:f>
        <x:v>1000</x:v>
      </x:c>
      <x:c r="U29" s="31" t="n">
        <x:f>IF(T29="","",I29*T29)</x:f>
        <x:v>1180652.7225541002</x:v>
      </x:c>
    </x:row>
    <x:row r="30" ht="18" customHeight="1">
      <x:c r="A30" s="24" t="str">
        <x:v>EEZ_620</x:v>
      </x:c>
      <x:c r="B30" s="24" t="str">
        <x:v>Portugal (mainland)</x:v>
      </x:c>
      <x:c r="C30" s="24" t="str">
        <x:v>EEZ</x:v>
      </x:c>
      <x:c r="D30" s="30" t="n">
        <x:v>2019</x:v>
      </x:c>
      <x:c r="E30" s="24" t="str">
        <x:v>Macroramphosus scolopax</x:v>
      </x:c>
      <x:c r="F30" s="24" t="str">
        <x:v>Longspine snipefish</x:v>
      </x:c>
      <x:c r="G30" s="24" t="str">
        <x:v>Small demersals (&lt;30 cm)</x:v>
      </x:c>
      <x:c r="H30" s="24" t="str">
        <x:v>Other fishes &amp; inverts</x:v>
      </x:c>
      <x:c r="I30" s="31" t="n">
        <x:v>1145.2764170186</x:v>
      </x:c>
      <x:c r="J30" s="31" t="n">
        <x:v>0</x:v>
      </x:c>
      <x:c r="K30" s="31" t="n">
        <x:v>1145.2764170186</x:v>
      </x:c>
      <x:c r="L30" s="31" t="n">
        <x:v>0</x:v>
      </x:c>
      <x:c r="M30" s="31" t="n">
        <x:v>1145.2764170186</x:v>
      </x:c>
      <x:c r="N30" s="24" t="str">
        <x:v>macroramphosus scolopax</x:v>
      </x:c>
      <x:c r="O30" s="32" t="n">
        <x:v>3.47</x:v>
      </x:c>
      <x:c r="P30" s="24" t="str">
        <x:v>exact_2020_supplement</x:v>
      </x:c>
      <x:c r="Q30" s="32" t="str">
        <x:v>2020 supplement MeanTL</x:v>
      </x:c>
      <x:c r="R30" s="24" t="str">
        <x:v>high</x:v>
      </x:c>
      <x:c r="S30" s="24" t="str">
        <x:v>Macroramphosus scolopax</x:v>
      </x:c>
      <x:c r="T30" s="32" t="n">
        <x:f>IF(O30="","",(1/'Metadata'!$B$5)^(O30-1))</x:f>
        <x:v>295.1209226666387</x:v>
      </x:c>
      <x:c r="U30" s="31" t="n">
        <x:f>IF(T30="","",I30*T30)</x:f>
        <x:v>337995.0328988713</x:v>
      </x:c>
    </x:row>
    <x:row r="31" ht="18" customHeight="1">
      <x:c r="A31" s="24" t="str">
        <x:v>EEZ_620</x:v>
      </x:c>
      <x:c r="B31" s="24" t="str">
        <x:v>Portugal (mainland)</x:v>
      </x:c>
      <x:c r="C31" s="24" t="str">
        <x:v>EEZ</x:v>
      </x:c>
      <x:c r="D31" s="30" t="n">
        <x:v>2019</x:v>
      </x:c>
      <x:c r="E31" s="24" t="str">
        <x:v>Trachinus draco</x:v>
      </x:c>
      <x:c r="F31" s="24" t="str">
        <x:v>Greater weever</x:v>
      </x:c>
      <x:c r="G31" s="24" t="str">
        <x:v>Medium demersals (30 - 89 cm)</x:v>
      </x:c>
      <x:c r="H31" s="24" t="str">
        <x:v>Perch-likes</x:v>
      </x:c>
      <x:c r="I31" s="31" t="n">
        <x:v>978.6041073998</x:v>
      </x:c>
      <x:c r="J31" s="31" t="n">
        <x:v>0</x:v>
      </x:c>
      <x:c r="K31" s="31" t="n">
        <x:v>978.6041073998</x:v>
      </x:c>
      <x:c r="L31" s="31" t="n">
        <x:v>0</x:v>
      </x:c>
      <x:c r="M31" s="31" t="n">
        <x:v>978.6041073998</x:v>
      </x:c>
      <x:c r="N31" s="24" t="str">
        <x:v>trachinus draco</x:v>
      </x:c>
      <x:c r="O31" s="32" t="n">
        <x:v>4.18</x:v>
      </x:c>
      <x:c r="P31" s="24" t="str">
        <x:v>exact_2020_supplement</x:v>
      </x:c>
      <x:c r="Q31" s="32" t="str">
        <x:v>2020 supplement MeanTL</x:v>
      </x:c>
      <x:c r="R31" s="24" t="str">
        <x:v>high</x:v>
      </x:c>
      <x:c r="S31" s="24" t="str">
        <x:v>Trachinus draco</x:v>
      </x:c>
      <x:c r="T31" s="32" t="n">
        <x:f>IF(O31="","",(1/'Metadata'!$B$5)^(O31-1))</x:f>
        <x:v>1513.5612484362073</x:v>
      </x:c>
      <x:c r="U31" s="31" t="n">
        <x:f>IF(T31="","",I31*T31)</x:f>
        <x:v>1481177.2545208416</x:v>
      </x:c>
    </x:row>
    <x:row r="32" ht="18" customHeight="1">
      <x:c r="A32" s="24" t="str">
        <x:v>EEZ_620</x:v>
      </x:c>
      <x:c r="B32" s="24" t="str">
        <x:v>Portugal (mainland)</x:v>
      </x:c>
      <x:c r="C32" s="24" t="str">
        <x:v>EEZ</x:v>
      </x:c>
      <x:c r="D32" s="30" t="n">
        <x:v>2019</x:v>
      </x:c>
      <x:c r="E32" s="24" t="str">
        <x:v>Microchirus</x:v>
      </x:c>
      <x:c r="F32" s="24" t="str">
        <x:v>Soles</x:v>
      </x:c>
      <x:c r="G32" s="24" t="str">
        <x:v>Small to medium flatfishes (&lt;90 cm)</x:v>
      </x:c>
      <x:c r="H32" s="24" t="str">
        <x:v>Flatfishes</x:v>
      </x:c>
      <x:c r="I32" s="31" t="n">
        <x:v>873.0976018688</x:v>
      </x:c>
      <x:c r="J32" s="31" t="n">
        <x:v>0</x:v>
      </x:c>
      <x:c r="K32" s="31" t="n">
        <x:v>873.0976018688</x:v>
      </x:c>
      <x:c r="L32" s="31" t="n">
        <x:v>0</x:v>
      </x:c>
      <x:c r="M32" s="31" t="n">
        <x:v>873.0976018688</x:v>
      </x:c>
      <x:c r="N32" s="24" t="str">
        <x:v>microchirus</x:v>
      </x:c>
      <x:c r="O32" s="32" t="n">
        <x:v>3.28</x:v>
      </x:c>
      <x:c r="P32" s="24" t="str">
        <x:v>exact_sea_around_us</x:v>
      </x:c>
      <x:c r="Q32" s="32" t="str">
        <x:v>Sea Around Us exploited organisms</x:v>
      </x:c>
      <x:c r="R32" s="24" t="str">
        <x:v>high</x:v>
      </x:c>
      <x:c r="S32" s="24" t="str">
        <x:v>Microchirus</x:v>
      </x:c>
      <x:c r="T32" s="32" t="n">
        <x:f>IF(O32="","",(1/'Metadata'!$B$5)^(O32-1))</x:f>
        <x:v>190.54607179632464</x:v>
      </x:c>
      <x:c r="U32" s="31" t="n">
        <x:f>IF(T32="","",I32*T32)</x:f>
        <x:v>166365.31833089123</x:v>
      </x:c>
    </x:row>
    <x:row r="33" ht="18" customHeight="1">
      <x:c r="A33" s="24" t="str">
        <x:v>EEZ_620</x:v>
      </x:c>
      <x:c r="B33" s="24" t="str">
        <x:v>Portugal (mainland)</x:v>
      </x:c>
      <x:c r="C33" s="24" t="str">
        <x:v>EEZ</x:v>
      </x:c>
      <x:c r="D33" s="30" t="n">
        <x:v>2019</x:v>
      </x:c>
      <x:c r="E33" s="24" t="str">
        <x:v>Katsuwonus pelamis</x:v>
      </x:c>
      <x:c r="F33" s="24" t="str">
        <x:v>Skipjack tuna</x:v>
      </x:c>
      <x:c r="G33" s="24" t="str">
        <x:v>Large pelagics (&gt;=90 cm)</x:v>
      </x:c>
      <x:c r="H33" s="24" t="str">
        <x:v>Tuna &amp; billfishes</x:v>
      </x:c>
      <x:c r="I33" s="31" t="n">
        <x:v>865.6463424534</x:v>
      </x:c>
      <x:c r="J33" s="31" t="n">
        <x:v>865.6463424534</x:v>
      </x:c>
      <x:c r="K33" s="31" t="n">
        <x:v>0</x:v>
      </x:c>
      <x:c r="L33" s="31" t="n">
        <x:v>865.6463424534</x:v>
      </x:c>
      <x:c r="M33" s="31" t="n">
        <x:v>0</x:v>
      </x:c>
      <x:c r="N33" s="24" t="str">
        <x:v>katsuwonus pelamis</x:v>
      </x:c>
      <x:c r="O33" s="32" t="n">
        <x:v>4.43</x:v>
      </x:c>
      <x:c r="P33" s="24" t="str">
        <x:v>exact_2020_supplement</x:v>
      </x:c>
      <x:c r="Q33" s="32" t="str">
        <x:v>2020 supplement MeanTL</x:v>
      </x:c>
      <x:c r="R33" s="24" t="str">
        <x:v>high</x:v>
      </x:c>
      <x:c r="S33" s="24" t="str">
        <x:v>Katsuwonus pelamis</x:v>
      </x:c>
      <x:c r="T33" s="32" t="n">
        <x:f>IF(O33="","",(1/'Metadata'!$B$5)^(O33-1))</x:f>
        <x:v>2691.534803926914</x:v>
      </x:c>
      <x:c r="U33" s="31" t="n">
        <x:f>IF(T33="","",I33*T33)</x:f>
        <x:v>2329917.2586053624</x:v>
      </x:c>
    </x:row>
    <x:row r="34" ht="18" customHeight="1">
      <x:c r="A34" s="24" t="str">
        <x:v>EEZ_620</x:v>
      </x:c>
      <x:c r="B34" s="24" t="str">
        <x:v>Portugal (mainland)</x:v>
      </x:c>
      <x:c r="C34" s="24" t="str">
        <x:v>EEZ</x:v>
      </x:c>
      <x:c r="D34" s="30" t="n">
        <x:v>2019</x:v>
      </x:c>
      <x:c r="E34" s="24" t="str">
        <x:v>Pagellus</x:v>
      </x:c>
      <x:c r="F34" s="24" t="str">
        <x:v>Pandoras</x:v>
      </x:c>
      <x:c r="G34" s="24" t="str">
        <x:v>Medium benthopelagics (30 - 89 cm)</x:v>
      </x:c>
      <x:c r="H34" s="24" t="str">
        <x:v>Perch-likes</x:v>
      </x:c>
      <x:c r="I34" s="31" t="n">
        <x:v>820.6802281408001</x:v>
      </x:c>
      <x:c r="J34" s="31" t="n">
        <x:v>681</x:v>
      </x:c>
      <x:c r="K34" s="31" t="n">
        <x:v>139.6802281408</x:v>
      </x:c>
      <x:c r="L34" s="31" t="n">
        <x:v>681</x:v>
      </x:c>
      <x:c r="M34" s="31" t="n">
        <x:v>139.6802281408</x:v>
      </x:c>
      <x:c r="N34" s="24" t="str">
        <x:v>pagellus</x:v>
      </x:c>
      <x:c r="O34" s="32" t="n">
        <x:v>3.44</x:v>
      </x:c>
      <x:c r="P34" s="24" t="str">
        <x:v>exact_sea_around_us</x:v>
      </x:c>
      <x:c r="Q34" s="32" t="str">
        <x:v>Sea Around Us exploited organisms</x:v>
      </x:c>
      <x:c r="R34" s="24" t="str">
        <x:v>high</x:v>
      </x:c>
      <x:c r="S34" s="24" t="str">
        <x:v>Pagellus</x:v>
      </x:c>
      <x:c r="T34" s="32" t="n">
        <x:f>IF(O34="","",(1/'Metadata'!$B$5)^(O34-1))</x:f>
        <x:v>275.4228703338166</x:v>
      </x:c>
      <x:c r="U34" s="31" t="n">
        <x:f>IF(T34="","",I34*T34)</x:f>
        <x:v>226034.1040607506</x:v>
      </x:c>
    </x:row>
    <x:row r="35" ht="18" customHeight="1">
      <x:c r="A35" s="24" t="str">
        <x:v>EEZ_620</x:v>
      </x:c>
      <x:c r="B35" s="24" t="str">
        <x:v>Portugal (mainland)</x:v>
      </x:c>
      <x:c r="C35" s="24" t="str">
        <x:v>EEZ</x:v>
      </x:c>
      <x:c r="D35" s="30" t="n">
        <x:v>2019</x:v>
      </x:c>
      <x:c r="E35" s="24" t="str">
        <x:v>Lophius</x:v>
      </x:c>
      <x:c r="F35" s="24" t="str">
        <x:v>Frogfishes</x:v>
      </x:c>
      <x:c r="G35" s="24" t="str">
        <x:v>Medium bathydemersals (30 - 89 cm)</x:v>
      </x:c>
      <x:c r="H35" s="24" t="str">
        <x:v>Other fishes &amp; inverts</x:v>
      </x:c>
      <x:c r="I35" s="31" t="n">
        <x:v>760.5046723</x:v>
      </x:c>
      <x:c r="J35" s="31" t="n">
        <x:v>305.00000000010004</x:v>
      </x:c>
      <x:c r="K35" s="31" t="n">
        <x:v>455.5046722999</x:v>
      </x:c>
      <x:c r="L35" s="31" t="n">
        <x:v>305.00000000010004</x:v>
      </x:c>
      <x:c r="M35" s="31" t="n">
        <x:v>455.5046722999</x:v>
      </x:c>
      <x:c r="N35" s="24" t="str">
        <x:v>lophius</x:v>
      </x:c>
      <x:c r="O35" s="32" t="n">
        <x:v>4.46</x:v>
      </x:c>
      <x:c r="P35" s="24" t="str">
        <x:v>exact_sea_around_us</x:v>
      </x:c>
      <x:c r="Q35" s="32" t="str">
        <x:v>Sea Around Us exploited organisms</x:v>
      </x:c>
      <x:c r="R35" s="24" t="str">
        <x:v>high</x:v>
      </x:c>
      <x:c r="S35" s="24" t="str">
        <x:v>Lophius</x:v>
      </x:c>
      <x:c r="T35" s="32" t="n">
        <x:f>IF(O35="","",(1/'Metadata'!$B$5)^(O35-1))</x:f>
        <x:v>2884.031503126606</x:v>
      </x:c>
      <x:c r="U35" s="31" t="n">
        <x:f>IF(T35="","",I35*T35)</x:f>
        <x:v>2193319.433188176</x:v>
      </x:c>
    </x:row>
    <x:row r="36" ht="18" customHeight="1">
      <x:c r="A36" s="24" t="str">
        <x:v>EEZ_620</x:v>
      </x:c>
      <x:c r="B36" s="24" t="str">
        <x:v>Portugal (mainland)</x:v>
      </x:c>
      <x:c r="C36" s="24" t="str">
        <x:v>EEZ</x:v>
      </x:c>
      <x:c r="D36" s="30" t="n">
        <x:v>2019</x:v>
      </x:c>
      <x:c r="E36" s="24" t="str">
        <x:v>Solea solea</x:v>
      </x:c>
      <x:c r="F36" s="24" t="str">
        <x:v>Common sole</x:v>
      </x:c>
      <x:c r="G36" s="24" t="str">
        <x:v>Small to medium flatfishes (&lt;90 cm)</x:v>
      </x:c>
      <x:c r="H36" s="24" t="str">
        <x:v>Flatfishes</x:v>
      </x:c>
      <x:c r="I36" s="31" t="n">
        <x:v>719.3090390868</x:v>
      </x:c>
      <x:c r="J36" s="31" t="n">
        <x:v>719</x:v>
      </x:c>
      <x:c r="K36" s="31" t="n">
        <x:v>0.3090390868</x:v>
      </x:c>
      <x:c r="L36" s="31" t="n">
        <x:v>719</x:v>
      </x:c>
      <x:c r="M36" s="31" t="n">
        <x:v>0.3090390868</x:v>
      </x:c>
      <x:c r="N36" s="24" t="str">
        <x:v>solea solea</x:v>
      </x:c>
      <x:c r="O36" s="32" t="n">
        <x:v>3.21</x:v>
      </x:c>
      <x:c r="P36" s="24" t="str">
        <x:v>exact_2020_supplement</x:v>
      </x:c>
      <x:c r="Q36" s="32" t="str">
        <x:v>2020 supplement MeanTL</x:v>
      </x:c>
      <x:c r="R36" s="24" t="str">
        <x:v>high</x:v>
      </x:c>
      <x:c r="S36" s="24" t="str">
        <x:v>Solea solea</x:v>
      </x:c>
      <x:c r="T36" s="32" t="n">
        <x:f>IF(O36="","",(1/'Metadata'!$B$5)^(O36-1))</x:f>
        <x:v>162.18100973589299</x:v>
      </x:c>
      <x:c r="U36" s="31" t="n">
        <x:f>IF(T36="","",I36*T36)</x:f>
        <x:v>116658.26627125214</x:v>
      </x:c>
    </x:row>
    <x:row r="37" ht="18" customHeight="1">
      <x:c r="A37" s="24" t="str">
        <x:v>EEZ_620</x:v>
      </x:c>
      <x:c r="B37" s="24" t="str">
        <x:v>Portugal (mainland)</x:v>
      </x:c>
      <x:c r="C37" s="24" t="str">
        <x:v>EEZ</x:v>
      </x:c>
      <x:c r="D37" s="30" t="n">
        <x:v>2019</x:v>
      </x:c>
      <x:c r="E37" s="24" t="str">
        <x:v>Sparidae</x:v>
      </x:c>
      <x:c r="F37" s="24" t="str">
        <x:v>Porgies, seabreams</x:v>
      </x:c>
      <x:c r="G37" s="24" t="str">
        <x:v>Medium benthopelagics (30 - 89 cm)</x:v>
      </x:c>
      <x:c r="H37" s="24" t="str">
        <x:v>Perch-likes</x:v>
      </x:c>
      <x:c r="I37" s="31" t="n">
        <x:v>718.0028606267999</x:v>
      </x:c>
      <x:c r="J37" s="31" t="n">
        <x:v>718.0028606267999</x:v>
      </x:c>
      <x:c r="K37" s="31" t="n">
        <x:v>0</x:v>
      </x:c>
      <x:c r="L37" s="31" t="n">
        <x:v>718.0028606267999</x:v>
      </x:c>
      <x:c r="M37" s="31" t="n">
        <x:v>0</x:v>
      </x:c>
      <x:c r="N37" s="24" t="str">
        <x:v>sparidae</x:v>
      </x:c>
      <x:c r="O37" s="32" t="n">
        <x:v>3.31</x:v>
      </x:c>
      <x:c r="P37" s="24" t="str">
        <x:v>exact_sea_around_us</x:v>
      </x:c>
      <x:c r="Q37" s="32" t="str">
        <x:v>Sea Around Us exploited organisms</x:v>
      </x:c>
      <x:c r="R37" s="24" t="str">
        <x:v>high</x:v>
      </x:c>
      <x:c r="S37" s="24" t="str">
        <x:v>Sparidae</x:v>
      </x:c>
      <x:c r="T37" s="32" t="n">
        <x:f>IF(O37="","",(1/'Metadata'!$B$5)^(O37-1))</x:f>
        <x:v>204.17379446695296</x:v>
      </x:c>
      <x:c r="U37" s="31" t="n">
        <x:f>IF(T37="","",I37*T37)</x:f>
        <x:v>146597.3684923005</x:v>
      </x:c>
    </x:row>
    <x:row r="38" ht="18" customHeight="1">
      <x:c r="A38" s="24" t="str">
        <x:v>EEZ_620</x:v>
      </x:c>
      <x:c r="B38" s="24" t="str">
        <x:v>Portugal (mainland)</x:v>
      </x:c>
      <x:c r="C38" s="24" t="str">
        <x:v>EEZ</x:v>
      </x:c>
      <x:c r="D38" s="30" t="n">
        <x:v>2019</x:v>
      </x:c>
      <x:c r="E38" s="24" t="str">
        <x:v>Dendrobranchiata</x:v>
      </x:c>
      <x:c r="F38" s="24" t="str">
        <x:v>Shrimps and prawns</x:v>
      </x:c>
      <x:c r="G38" s="24" t="str">
        <x:v>Shrimps</x:v>
      </x:c>
      <x:c r="H38" s="24" t="str">
        <x:v>Crustaceans</x:v>
      </x:c>
      <x:c r="I38" s="31" t="n">
        <x:v>643.0000552</x:v>
      </x:c>
      <x:c r="J38" s="31" t="n">
        <x:v>643.0000552</x:v>
      </x:c>
      <x:c r="K38" s="31" t="n">
        <x:v>0</x:v>
      </x:c>
      <x:c r="L38" s="31" t="n">
        <x:v>643.0000552</x:v>
      </x:c>
      <x:c r="M38" s="31" t="n">
        <x:v>0</x:v>
      </x:c>
      <x:c r="N38" s="24" t="str">
        <x:v>dendrobranchiata</x:v>
      </x:c>
      <x:c r="O38" s="32" t="n">
        <x:v>3.24</x:v>
      </x:c>
      <x:c r="P38" s="24" t="str">
        <x:v>exact_sea_around_us</x:v>
      </x:c>
      <x:c r="Q38" s="32" t="str">
        <x:v>Sea Around Us exploited organisms</x:v>
      </x:c>
      <x:c r="R38" s="24" t="str">
        <x:v>high</x:v>
      </x:c>
      <x:c r="S38" s="24" t="str">
        <x:v>Dendrobranchiata</x:v>
      </x:c>
      <x:c r="T38" s="32" t="n">
        <x:f>IF(O38="","",(1/'Metadata'!$B$5)^(O38-1))</x:f>
        <x:v>173.78008287493762</x:v>
      </x:c>
      <x:c r="U38" s="31" t="n">
        <x:f>IF(T38="","",I38*T38)</x:f>
        <x:v>111740.60288124546</x:v>
      </x:c>
    </x:row>
    <x:row r="39" ht="18" customHeight="1">
      <x:c r="A39" s="24" t="str">
        <x:v>EEZ_620</x:v>
      </x:c>
      <x:c r="B39" s="24" t="str">
        <x:v>Portugal (mainland)</x:v>
      </x:c>
      <x:c r="C39" s="24" t="str">
        <x:v>EEZ</x:v>
      </x:c>
      <x:c r="D39" s="30" t="n">
        <x:v>2019</x:v>
      </x:c>
      <x:c r="E39" s="24" t="str">
        <x:v>Scyliorhinus canicula</x:v>
      </x:c>
      <x:c r="F39" s="24" t="str">
        <x:v>Small-spotted catshark</x:v>
      </x:c>
      <x:c r="G39" s="24" t="str">
        <x:v>Small to medium sharks (&lt;90 cm)</x:v>
      </x:c>
      <x:c r="H39" s="24" t="str">
        <x:v>Sharks &amp; rays</x:v>
      </x:c>
      <x:c r="I39" s="31" t="n">
        <x:v>635.7264712522999</x:v>
      </x:c>
      <x:c r="J39" s="31" t="n">
        <x:v>0</x:v>
      </x:c>
      <x:c r="K39" s="31" t="n">
        <x:v>635.7264712522999</x:v>
      </x:c>
      <x:c r="L39" s="31" t="n">
        <x:v>0</x:v>
      </x:c>
      <x:c r="M39" s="31" t="n">
        <x:v>635.7264712522999</x:v>
      </x:c>
      <x:c r="N39" s="24" t="str">
        <x:v>scyliorhinus canicula</x:v>
      </x:c>
      <x:c r="O39" s="32" t="n">
        <x:v>3.82</x:v>
      </x:c>
      <x:c r="P39" s="24" t="str">
        <x:v>exact_2020_supplement</x:v>
      </x:c>
      <x:c r="Q39" s="32" t="str">
        <x:v>2020 supplement MeanTL</x:v>
      </x:c>
      <x:c r="R39" s="24" t="str">
        <x:v>high</x:v>
      </x:c>
      <x:c r="S39" s="24" t="str">
        <x:v>Scyliorhinus canicula</x:v>
      </x:c>
      <x:c r="T39" s="32" t="n">
        <x:f>IF(O39="","",(1/'Metadata'!$B$5)^(O39-1))</x:f>
        <x:v>660.6934480075957</x:v>
      </x:c>
      <x:c r="U39" s="31" t="n">
        <x:f>IF(T39="","",I39*T39)</x:f>
        <x:v>420020.3142813837</x:v>
      </x:c>
    </x:row>
    <x:row r="40" ht="18" customHeight="1">
      <x:c r="A40" s="24" t="str">
        <x:v>EEZ_620</x:v>
      </x:c>
      <x:c r="B40" s="24" t="str">
        <x:v>Portugal (mainland)</x:v>
      </x:c>
      <x:c r="C40" s="24" t="str">
        <x:v>EEZ</x:v>
      </x:c>
      <x:c r="D40" s="30" t="n">
        <x:v>2019</x:v>
      </x:c>
      <x:c r="E40" s="24" t="str">
        <x:v>Dicentrarchus labrax</x:v>
      </x:c>
      <x:c r="F40" s="24" t="str">
        <x:v>European seabass</x:v>
      </x:c>
      <x:c r="G40" s="24" t="str">
        <x:v>Large demersals (&gt;=90 cm)</x:v>
      </x:c>
      <x:c r="H40" s="24" t="str">
        <x:v>Perch-likes</x:v>
      </x:c>
      <x:c r="I40" s="31" t="n">
        <x:v>597.6840978803</x:v>
      </x:c>
      <x:c r="J40" s="31" t="n">
        <x:v>596.6337961053</x:v>
      </x:c>
      <x:c r="K40" s="31" t="n">
        <x:v>1.050301775</x:v>
      </x:c>
      <x:c r="L40" s="31" t="n">
        <x:v>553.1788746322</x:v>
      </x:c>
      <x:c r="M40" s="31" t="n">
        <x:v>44.5052232481</x:v>
      </x:c>
      <x:c r="N40" s="24" t="str">
        <x:v>dicentrarchus labrax</x:v>
      </x:c>
      <x:c r="O40" s="32" t="n">
        <x:v>3.79</x:v>
      </x:c>
      <x:c r="P40" s="24" t="str">
        <x:v>exact_2020_supplement</x:v>
      </x:c>
      <x:c r="Q40" s="32" t="str">
        <x:v>2020 supplement MeanTL</x:v>
      </x:c>
      <x:c r="R40" s="24" t="str">
        <x:v>high</x:v>
      </x:c>
      <x:c r="S40" s="24" t="str">
        <x:v>Dicentrarchus labrax</x:v>
      </x:c>
      <x:c r="T40" s="32" t="n">
        <x:f>IF(O40="","",(1/'Metadata'!$B$5)^(O40-1))</x:f>
        <x:v>616.5950018614822</x:v>
      </x:c>
      <x:c r="U40" s="31" t="n">
        <x:f>IF(T40="","",I40*T40)</x:f>
        <x:v>368529.02744508185</x:v>
      </x:c>
    </x:row>
    <x:row r="41" ht="18" customHeight="1">
      <x:c r="A41" s="24" t="str">
        <x:v>EEZ_620</x:v>
      </x:c>
      <x:c r="B41" s="24" t="str">
        <x:v>Portugal (mainland)</x:v>
      </x:c>
      <x:c r="C41" s="24" t="str">
        <x:v>EEZ</x:v>
      </x:c>
      <x:c r="D41" s="30" t="n">
        <x:v>2019</x:v>
      </x:c>
      <x:c r="E41" s="24" t="str">
        <x:v>Octopodidae</x:v>
      </x:c>
      <x:c r="F41" s="24" t="str">
        <x:v>Octopuses</x:v>
      </x:c>
      <x:c r="G41" s="24" t="str">
        <x:v>Cephalopods</x:v>
      </x:c>
      <x:c r="H41" s="24" t="str">
        <x:v>Other fishes &amp; inverts</x:v>
      </x:c>
      <x:c r="I41" s="31" t="n">
        <x:v>585.6488115666</x:v>
      </x:c>
      <x:c r="J41" s="31" t="n">
        <x:v>0</x:v>
      </x:c>
      <x:c r="K41" s="31" t="n">
        <x:v>585.6488115666</x:v>
      </x:c>
      <x:c r="L41" s="31" t="n">
        <x:v>0</x:v>
      </x:c>
      <x:c r="M41" s="31" t="n">
        <x:v>585.6488115666</x:v>
      </x:c>
      <x:c r="N41" s="24" t="str">
        <x:v>octopodidae</x:v>
      </x:c>
      <x:c r="O41" s="32" t="n">
        <x:v>3.59</x:v>
      </x:c>
      <x:c r="P41" s="24" t="str">
        <x:v>exact_sea_around_us</x:v>
      </x:c>
      <x:c r="Q41" s="32" t="str">
        <x:v>Sea Around Us exploited organisms</x:v>
      </x:c>
      <x:c r="R41" s="24" t="str">
        <x:v>high</x:v>
      </x:c>
      <x:c r="S41" s="24" t="str">
        <x:v>Octopodidae</x:v>
      </x:c>
      <x:c r="T41" s="32" t="n">
        <x:f>IF(O41="","",(1/'Metadata'!$B$5)^(O41-1))</x:f>
        <x:v>389.04514499428046</x:v>
      </x:c>
      <x:c r="U41" s="31" t="n">
        <x:f>IF(T41="","",I41*T41)</x:f>
        <x:v>227843.82681165592</x:v>
      </x:c>
    </x:row>
    <x:row r="42" ht="18" customHeight="1">
      <x:c r="A42" s="24" t="str">
        <x:v>EEZ_620</x:v>
      </x:c>
      <x:c r="B42" s="24" t="str">
        <x:v>Portugal (mainland)</x:v>
      </x:c>
      <x:c r="C42" s="24" t="str">
        <x:v>EEZ</x:v>
      </x:c>
      <x:c r="D42" s="30" t="n">
        <x:v>2019</x:v>
      </x:c>
      <x:c r="E42" s="24" t="str">
        <x:v>Thunnus obesus</x:v>
      </x:c>
      <x:c r="F42" s="24" t="str">
        <x:v>Bigeye tuna</x:v>
      </x:c>
      <x:c r="G42" s="24" t="str">
        <x:v>Large pelagics (&gt;=90 cm)</x:v>
      </x:c>
      <x:c r="H42" s="24" t="str">
        <x:v>Tuna &amp; billfishes</x:v>
      </x:c>
      <x:c r="I42" s="31" t="n">
        <x:v>582.4758550903999</x:v>
      </x:c>
      <x:c r="J42" s="31" t="n">
        <x:v>582.4758550903999</x:v>
      </x:c>
      <x:c r="K42" s="31" t="n">
        <x:v>0</x:v>
      </x:c>
      <x:c r="L42" s="31" t="n">
        <x:v>582.4758550903999</x:v>
      </x:c>
      <x:c r="M42" s="31" t="n">
        <x:v>0</x:v>
      </x:c>
      <x:c r="N42" s="24" t="str">
        <x:v>thunnus obesus</x:v>
      </x:c>
      <x:c r="O42" s="32" t="n">
        <x:v>4.49</x:v>
      </x:c>
      <x:c r="P42" s="24" t="str">
        <x:v>exact_2020_supplement</x:v>
      </x:c>
      <x:c r="Q42" s="32" t="str">
        <x:v>2020 supplement MeanTL</x:v>
      </x:c>
      <x:c r="R42" s="24" t="str">
        <x:v>high</x:v>
      </x:c>
      <x:c r="S42" s="24" t="str">
        <x:v>Thunnus obesus</x:v>
      </x:c>
      <x:c r="T42" s="32" t="n">
        <x:f>IF(O42="","",(1/'Metadata'!$B$5)^(O42-1))</x:f>
        <x:v>3090.295432513592</x:v>
      </x:c>
      <x:c r="U42" s="31" t="n">
        <x:f>IF(T42="","",I42*T42)</x:f>
        <x:v>1800022.4745353118</x:v>
      </x:c>
    </x:row>
    <x:row r="43" ht="18" customHeight="1">
      <x:c r="A43" s="24" t="str">
        <x:v>EEZ_620</x:v>
      </x:c>
      <x:c r="B43" s="24" t="str">
        <x:v>Portugal (mainland)</x:v>
      </x:c>
      <x:c r="C43" s="24" t="str">
        <x:v>EEZ</x:v>
      </x:c>
      <x:c r="D43" s="30" t="n">
        <x:v>2019</x:v>
      </x:c>
      <x:c r="E43" s="24" t="str">
        <x:v>Sarda sarda</x:v>
      </x:c>
      <x:c r="F43" s="24" t="str">
        <x:v>Atlantic bonito</x:v>
      </x:c>
      <x:c r="G43" s="24" t="str">
        <x:v>Medium pelagics (30 - 89 cm)</x:v>
      </x:c>
      <x:c r="H43" s="24" t="str">
        <x:v>Tuna &amp; billfishes</x:v>
      </x:c>
      <x:c r="I43" s="31" t="n">
        <x:v>542.7780606282</x:v>
      </x:c>
      <x:c r="J43" s="31" t="n">
        <x:v>542.7780606282</x:v>
      </x:c>
      <x:c r="K43" s="31" t="n">
        <x:v>0</x:v>
      </x:c>
      <x:c r="L43" s="31" t="n">
        <x:v>542.7780606282</x:v>
      </x:c>
      <x:c r="M43" s="31" t="n">
        <x:v>0</x:v>
      </x:c>
      <x:c r="N43" s="24" t="str">
        <x:v>sarda sarda</x:v>
      </x:c>
      <x:c r="O43" s="32" t="n">
        <x:v>4.5</x:v>
      </x:c>
      <x:c r="P43" s="24" t="str">
        <x:v>exact_2020_supplement</x:v>
      </x:c>
      <x:c r="Q43" s="32" t="str">
        <x:v>2020 supplement MeanTL</x:v>
      </x:c>
      <x:c r="R43" s="24" t="str">
        <x:v>high</x:v>
      </x:c>
      <x:c r="S43" s="24" t="str">
        <x:v>Sarda sarda</x:v>
      </x:c>
      <x:c r="T43" s="32" t="n">
        <x:f>IF(O43="","",(1/'Metadata'!$B$5)^(O43-1))</x:f>
        <x:v>3162.2776601683795</x:v>
      </x:c>
      <x:c r="U43" s="31" t="n">
        <x:f>IF(T43="","",I43*T43)</x:f>
        <x:v>1716414.9355540753</x:v>
      </x:c>
    </x:row>
    <x:row r="44" ht="18" customHeight="1">
      <x:c r="A44" s="24" t="str">
        <x:v>EEZ_620</x:v>
      </x:c>
      <x:c r="B44" s="24" t="str">
        <x:v>Portugal (mainland)</x:v>
      </x:c>
      <x:c r="C44" s="24" t="str">
        <x:v>EEZ</x:v>
      </x:c>
      <x:c r="D44" s="30" t="n">
        <x:v>2019</x:v>
      </x:c>
      <x:c r="E44" s="24" t="str">
        <x:v>Thunnus</x:v>
      </x:c>
      <x:c r="F44" s="24" t="str">
        <x:v>Tunas</x:v>
      </x:c>
      <x:c r="G44" s="24" t="str">
        <x:v>Large pelagics (&gt;=90 cm)</x:v>
      </x:c>
      <x:c r="H44" s="24" t="str">
        <x:v>Tuna &amp; billfishes</x:v>
      </x:c>
      <x:c r="I44" s="31" t="n">
        <x:v>536.9644228829</x:v>
      </x:c>
      <x:c r="J44" s="31" t="n">
        <x:v>536.9644228829</x:v>
      </x:c>
      <x:c r="K44" s="31" t="n">
        <x:v>0</x:v>
      </x:c>
      <x:c r="L44" s="31" t="n">
        <x:v>536.9644228829</x:v>
      </x:c>
      <x:c r="M44" s="31" t="n">
        <x:v>0</x:v>
      </x:c>
      <x:c r="N44" s="24" t="str">
        <x:v>thunnus</x:v>
      </x:c>
      <x:c r="O44" s="32" t="n">
        <x:v>4.34</x:v>
      </x:c>
      <x:c r="P44" s="24" t="str">
        <x:v>exact_sea_around_us</x:v>
      </x:c>
      <x:c r="Q44" s="32" t="str">
        <x:v>Sea Around Us exploited organisms</x:v>
      </x:c>
      <x:c r="R44" s="24" t="str">
        <x:v>high</x:v>
      </x:c>
      <x:c r="S44" s="24" t="str">
        <x:v>Thunnus</x:v>
      </x:c>
      <x:c r="T44" s="32" t="n">
        <x:f>IF(O44="","",(1/'Metadata'!$B$5)^(O44-1))</x:f>
        <x:v>2187.761623949552</x:v>
      </x:c>
      <x:c r="U44" s="31" t="n">
        <x:f>IF(T44="","",I44*T44)</x:f>
        <x:v>1174750.1578094272</x:v>
      </x:c>
    </x:row>
    <x:row r="45" ht="18" customHeight="1">
      <x:c r="A45" s="24" t="str">
        <x:v>EEZ_620</x:v>
      </x:c>
      <x:c r="B45" s="24" t="str">
        <x:v>Portugal (mainland)</x:v>
      </x:c>
      <x:c r="C45" s="24" t="str">
        <x:v>EEZ</x:v>
      </x:c>
      <x:c r="D45" s="30" t="n">
        <x:v>2019</x:v>
      </x:c>
      <x:c r="E45" s="24" t="str">
        <x:v>Phycis</x:v>
      </x:c>
      <x:c r="F45" s="24" t="str">
        <x:v>Gunnels, forkbeards</x:v>
      </x:c>
      <x:c r="G45" s="24" t="str">
        <x:v>Medium benthopelagics (30 - 89 cm)</x:v>
      </x:c>
      <x:c r="H45" s="24" t="str">
        <x:v>Cod-likes</x:v>
      </x:c>
      <x:c r="I45" s="31" t="n">
        <x:v>528.9524789817</x:v>
      </x:c>
      <x:c r="J45" s="31" t="n">
        <x:v>184.99999999989998</x:v>
      </x:c>
      <x:c r="K45" s="31" t="n">
        <x:v>343.9524789818</x:v>
      </x:c>
      <x:c r="L45" s="31" t="n">
        <x:v>184.99999999989998</x:v>
      </x:c>
      <x:c r="M45" s="31" t="n">
        <x:v>343.9524789818</x:v>
      </x:c>
      <x:c r="N45" s="24" t="str">
        <x:v>phycis</x:v>
      </x:c>
      <x:c r="O45" s="32" t="n">
        <x:v>3.99</x:v>
      </x:c>
      <x:c r="P45" s="24" t="str">
        <x:v>exact_sea_around_us</x:v>
      </x:c>
      <x:c r="Q45" s="32" t="str">
        <x:v>Sea Around Us exploited organisms</x:v>
      </x:c>
      <x:c r="R45" s="24" t="str">
        <x:v>high</x:v>
      </x:c>
      <x:c r="S45" s="24" t="str">
        <x:v>Phycis</x:v>
      </x:c>
      <x:c r="T45" s="32" t="n">
        <x:f>IF(O45="","",(1/'Metadata'!$B$5)^(O45-1))</x:f>
        <x:v>977.2372209558112</x:v>
      </x:c>
      <x:c r="U45" s="31" t="n">
        <x:f>IF(T45="","",I45*T45)</x:f>
        <x:v>516912.0505777636</x:v>
      </x:c>
    </x:row>
    <x:row r="46" ht="18" customHeight="1">
      <x:c r="A46" s="24" t="str">
        <x:v>EEZ_620</x:v>
      </x:c>
      <x:c r="B46" s="24" t="str">
        <x:v>Portugal (mainland)</x:v>
      </x:c>
      <x:c r="C46" s="24" t="str">
        <x:v>EEZ</x:v>
      </x:c>
      <x:c r="D46" s="30" t="n">
        <x:v>2019</x:v>
      </x:c>
      <x:c r="E46" s="24" t="str">
        <x:v>Pagellus acarne</x:v>
      </x:c>
      <x:c r="F46" s="24" t="str">
        <x:v>Axillary seabream</x:v>
      </x:c>
      <x:c r="G46" s="24" t="str">
        <x:v>Medium benthopelagics (30 - 89 cm)</x:v>
      </x:c>
      <x:c r="H46" s="24" t="str">
        <x:v>Perch-likes</x:v>
      </x:c>
      <x:c r="I46" s="31" t="n">
        <x:v>488.8943414869</x:v>
      </x:c>
      <x:c r="J46" s="31" t="n">
        <x:v>0</x:v>
      </x:c>
      <x:c r="K46" s="31" t="n">
        <x:v>488.8943414869</x:v>
      </x:c>
      <x:c r="L46" s="31" t="n">
        <x:v>0</x:v>
      </x:c>
      <x:c r="M46" s="31" t="n">
        <x:v>488.8943414869</x:v>
      </x:c>
      <x:c r="N46" s="24" t="str">
        <x:v>pagellus acarne</x:v>
      </x:c>
      <x:c r="O46" s="32" t="n">
        <x:v>3.81</x:v>
      </x:c>
      <x:c r="P46" s="24" t="str">
        <x:v>exact_2020_supplement</x:v>
      </x:c>
      <x:c r="Q46" s="32" t="str">
        <x:v>2020 supplement MeanTL</x:v>
      </x:c>
      <x:c r="R46" s="24" t="str">
        <x:v>high</x:v>
      </x:c>
      <x:c r="S46" s="24" t="str">
        <x:v>Pagellus acarne</x:v>
      </x:c>
      <x:c r="T46" s="32" t="n">
        <x:f>IF(O46="","",(1/'Metadata'!$B$5)^(O46-1))</x:f>
        <x:v>645.6542290346556</x:v>
      </x:c>
      <x:c r="U46" s="31" t="n">
        <x:f>IF(T46="","",I46*T46)</x:f>
        <x:v>315656.69913213</x:v>
      </x:c>
    </x:row>
    <x:row r="47" ht="18" customHeight="1">
      <x:c r="A47" s="24" t="str">
        <x:v>EEZ_620</x:v>
      </x:c>
      <x:c r="B47" s="24" t="str">
        <x:v>Portugal (mainland)</x:v>
      </x:c>
      <x:c r="C47" s="24" t="str">
        <x:v>EEZ</x:v>
      </x:c>
      <x:c r="D47" s="30" t="n">
        <x:v>2019</x:v>
      </x:c>
      <x:c r="E47" s="24" t="str">
        <x:v>Diplodus sargus</x:v>
      </x:c>
      <x:c r="F47" s="24" t="str">
        <x:v>White seabream</x:v>
      </x:c>
      <x:c r="G47" s="24" t="str">
        <x:v>Medium demersals (30 - 89 cm)</x:v>
      </x:c>
      <x:c r="H47" s="24" t="str">
        <x:v>Perch-likes</x:v>
      </x:c>
      <x:c r="I47" s="31" t="n">
        <x:v>484.55633742690003</x:v>
      </x:c>
      <x:c r="J47" s="31" t="n">
        <x:v>484.4636454058</x:v>
      </x:c>
      <x:c r="K47" s="31" t="n">
        <x:v>0.0926920211</x:v>
      </x:c>
      <x:c r="L47" s="31" t="n">
        <x:v>0</x:v>
      </x:c>
      <x:c r="M47" s="31" t="n">
        <x:v>484.55633742690003</x:v>
      </x:c>
      <x:c r="N47" s="24" t="str">
        <x:v>diplodus sargus</x:v>
      </x:c>
      <x:c r="O47" s="32" t="n">
        <x:v>3.38</x:v>
      </x:c>
      <x:c r="P47" s="24" t="str">
        <x:v>exact_sea_around_us</x:v>
      </x:c>
      <x:c r="Q47" s="32" t="str">
        <x:v>Sea Around Us exploited organisms</x:v>
      </x:c>
      <x:c r="R47" s="24" t="str">
        <x:v>high</x:v>
      </x:c>
      <x:c r="S47" s="24" t="str">
        <x:v>Diplodus sargus</x:v>
      </x:c>
      <x:c r="T47" s="32" t="n">
        <x:f>IF(O47="","",(1/'Metadata'!$B$5)^(O47-1))</x:f>
        <x:v>239.88329190194898</x:v>
      </x:c>
      <x:c r="U47" s="31" t="n">
        <x:f>IF(T47="","",I47*T47)</x:f>
        <x:v>116236.96933391635</x:v>
      </x:c>
    </x:row>
    <x:row r="48" ht="18" customHeight="1">
      <x:c r="A48" s="24" t="str">
        <x:v>EEZ_620</x:v>
      </x:c>
      <x:c r="B48" s="24" t="str">
        <x:v>Portugal (mainland)</x:v>
      </x:c>
      <x:c r="C48" s="24" t="str">
        <x:v>EEZ</x:v>
      </x:c>
      <x:c r="D48" s="30" t="n">
        <x:v>2019</x:v>
      </x:c>
      <x:c r="E48" s="24" t="str">
        <x:v>Lepidopus caudatus</x:v>
      </x:c>
      <x:c r="F48" s="24" t="str">
        <x:v>Silver scabbardfish</x:v>
      </x:c>
      <x:c r="G48" s="24" t="str">
        <x:v>Large bathydemersals (&gt;=90 cm)</x:v>
      </x:c>
      <x:c r="H48" s="24" t="str">
        <x:v>Perch-likes</x:v>
      </x:c>
      <x:c r="I48" s="31" t="n">
        <x:v>468.4757705001</x:v>
      </x:c>
      <x:c r="J48" s="31" t="n">
        <x:v>39.000000000099995</x:v>
      </x:c>
      <x:c r="K48" s="31" t="n">
        <x:v>429.4757705</x:v>
      </x:c>
      <x:c r="L48" s="31" t="n">
        <x:v>39.000000000099995</x:v>
      </x:c>
      <x:c r="M48" s="31" t="n">
        <x:v>429.4757705</x:v>
      </x:c>
      <x:c r="N48" s="24" t="str">
        <x:v>lepidopus caudatus</x:v>
      </x:c>
      <x:c r="O48" s="32" t="n">
        <x:v>3.82</x:v>
      </x:c>
      <x:c r="P48" s="24" t="str">
        <x:v>exact_2020_supplement</x:v>
      </x:c>
      <x:c r="Q48" s="32" t="str">
        <x:v>2020 supplement MeanTL</x:v>
      </x:c>
      <x:c r="R48" s="24" t="str">
        <x:v>high</x:v>
      </x:c>
      <x:c r="S48" s="24" t="str">
        <x:v>Lepidopus caudatus</x:v>
      </x:c>
      <x:c r="T48" s="32" t="n">
        <x:f>IF(O48="","",(1/'Metadata'!$B$5)^(O48-1))</x:f>
        <x:v>660.6934480075957</x:v>
      </x:c>
      <x:c r="U48" s="31" t="n">
        <x:f>IF(T48="","",I48*T48)</x:f>
        <x:v>309518.87211972615</x:v>
      </x:c>
    </x:row>
    <x:row r="49" ht="18" customHeight="1">
      <x:c r="A49" s="24" t="str">
        <x:v>EEZ_620</x:v>
      </x:c>
      <x:c r="B49" s="24" t="str">
        <x:v>Portugal (mainland)</x:v>
      </x:c>
      <x:c r="C49" s="24" t="str">
        <x:v>EEZ</x:v>
      </x:c>
      <x:c r="D49" s="30" t="n">
        <x:v>2019</x:v>
      </x:c>
      <x:c r="E49" s="24" t="str">
        <x:v>Zeus faber</x:v>
      </x:c>
      <x:c r="F49" s="24" t="str">
        <x:v>John dory</x:v>
      </x:c>
      <x:c r="G49" s="24" t="str">
        <x:v>Medium benthopelagics (30 - 89 cm)</x:v>
      </x:c>
      <x:c r="H49" s="24" t="str">
        <x:v>Other fishes &amp; inverts</x:v>
      </x:c>
      <x:c r="I49" s="31" t="n">
        <x:v>451.5331717649</x:v>
      </x:c>
      <x:c r="J49" s="31" t="n">
        <x:v>379.9999999999</x:v>
      </x:c>
      <x:c r="K49" s="31" t="n">
        <x:v>71.533171765</x:v>
      </x:c>
      <x:c r="L49" s="31" t="n">
        <x:v>379.9999999999</x:v>
      </x:c>
      <x:c r="M49" s="31" t="n">
        <x:v>71.533171765</x:v>
      </x:c>
      <x:c r="N49" s="24" t="str">
        <x:v>zeus faber</x:v>
      </x:c>
      <x:c r="O49" s="32" t="n">
        <x:v>4.5</x:v>
      </x:c>
      <x:c r="P49" s="24" t="str">
        <x:v>exact_2020_supplement</x:v>
      </x:c>
      <x:c r="Q49" s="32" t="str">
        <x:v>2020 supplement MeanTL</x:v>
      </x:c>
      <x:c r="R49" s="24" t="str">
        <x:v>high</x:v>
      </x:c>
      <x:c r="S49" s="24" t="str">
        <x:v>Zeus faber</x:v>
      </x:c>
      <x:c r="T49" s="32" t="n">
        <x:f>IF(O49="","",(1/'Metadata'!$B$5)^(O49-1))</x:f>
        <x:v>3162.2776601683795</x:v>
      </x:c>
      <x:c r="U49" s="31" t="n">
        <x:f>IF(T49="","",I49*T49)</x:f>
        <x:v>1427873.2618971148</x:v>
      </x:c>
    </x:row>
    <x:row r="50" ht="18" customHeight="1">
      <x:c r="A50" s="24" t="str">
        <x:v>EEZ_620</x:v>
      </x:c>
      <x:c r="B50" s="24" t="str">
        <x:v>Portugal (mainland)</x:v>
      </x:c>
      <x:c r="C50" s="24" t="str">
        <x:v>EEZ</x:v>
      </x:c>
      <x:c r="D50" s="30" t="n">
        <x:v>2019</x:v>
      </x:c>
      <x:c r="E50" s="24" t="str">
        <x:v>Serranus cabrilla</x:v>
      </x:c>
      <x:c r="F50" s="24" t="str">
        <x:v>Comber</x:v>
      </x:c>
      <x:c r="G50" s="24" t="str">
        <x:v>Medium bathydemersals (30 - 89 cm)</x:v>
      </x:c>
      <x:c r="H50" s="24" t="str">
        <x:v>Perch-likes</x:v>
      </x:c>
      <x:c r="I50" s="31" t="n">
        <x:v>447.1737523717</x:v>
      </x:c>
      <x:c r="J50" s="31" t="n">
        <x:v>0</x:v>
      </x:c>
      <x:c r="K50" s="31" t="n">
        <x:v>447.1737523717</x:v>
      </x:c>
      <x:c r="L50" s="31" t="n">
        <x:v>0</x:v>
      </x:c>
      <x:c r="M50" s="31" t="n">
        <x:v>447.1737523717</x:v>
      </x:c>
      <x:c r="N50" s="24" t="str">
        <x:v>serranus cabrilla</x:v>
      </x:c>
      <x:c r="O50" s="32" t="n">
        <x:v>3.35</x:v>
      </x:c>
      <x:c r="P50" s="24" t="str">
        <x:v>exact_2020_supplement</x:v>
      </x:c>
      <x:c r="Q50" s="32" t="str">
        <x:v>2020 supplement MeanTL</x:v>
      </x:c>
      <x:c r="R50" s="24" t="str">
        <x:v>high</x:v>
      </x:c>
      <x:c r="S50" s="24" t="str">
        <x:v>Serranus cabrilla</x:v>
      </x:c>
      <x:c r="T50" s="32" t="n">
        <x:f>IF(O50="","",(1/'Metadata'!$B$5)^(O50-1))</x:f>
        <x:v>223.872113856834</x:v>
      </x:c>
      <x:c r="U50" s="31" t="n">
        <x:f>IF(T50="","",I50*T50)</x:f>
        <x:v>100109.73320474492</x:v>
      </x:c>
    </x:row>
    <x:row r="51" ht="18" customHeight="1">
      <x:c r="A51" s="24" t="str">
        <x:v>EEZ_620</x:v>
      </x:c>
      <x:c r="B51" s="24" t="str">
        <x:v>Portugal (mainland)</x:v>
      </x:c>
      <x:c r="C51" s="24" t="str">
        <x:v>EEZ</x:v>
      </x:c>
      <x:c r="D51" s="30" t="n">
        <x:v>2019</x:v>
      </x:c>
      <x:c r="E51" s="24" t="str">
        <x:v>Cephalopoda</x:v>
      </x:c>
      <x:c r="F51" s="24" t="str">
        <x:v>Squids, cuttlefishes, octopuses</x:v>
      </x:c>
      <x:c r="G51" s="24" t="str">
        <x:v>Cephalopods</x:v>
      </x:c>
      <x:c r="H51" s="24" t="str">
        <x:v>Other fishes &amp; inverts</x:v>
      </x:c>
      <x:c r="I51" s="31" t="n">
        <x:v>437.3774066854</x:v>
      </x:c>
      <x:c r="J51" s="31" t="n">
        <x:v>0</x:v>
      </x:c>
      <x:c r="K51" s="31" t="n">
        <x:v>437.3774066854</x:v>
      </x:c>
      <x:c r="L51" s="31" t="n">
        <x:v>0</x:v>
      </x:c>
      <x:c r="M51" s="31" t="n">
        <x:v>437.3774066854</x:v>
      </x:c>
      <x:c r="N51" s="24" t="str">
        <x:v>cephalopoda</x:v>
      </x:c>
      <x:c r="O51" s="32" t="n">
        <x:v>3.81</x:v>
      </x:c>
      <x:c r="P51" s="24" t="str">
        <x:v>exact_sea_around_us</x:v>
      </x:c>
      <x:c r="Q51" s="32" t="str">
        <x:v>Sea Around Us exploited organisms</x:v>
      </x:c>
      <x:c r="R51" s="24" t="str">
        <x:v>high</x:v>
      </x:c>
      <x:c r="S51" s="24" t="str">
        <x:v>Cephalopoda</x:v>
      </x:c>
      <x:c r="T51" s="32" t="n">
        <x:f>IF(O51="","",(1/'Metadata'!$B$5)^(O51-1))</x:f>
        <x:v>645.6542290346556</x:v>
      </x:c>
      <x:c r="U51" s="31" t="n">
        <x:f>IF(T51="","",I51*T51)</x:f>
        <x:v>282394.57231063896</x:v>
      </x:c>
    </x:row>
    <x:row r="52" ht="18" customHeight="1">
      <x:c r="A52" s="24" t="str">
        <x:v>EEZ_620</x:v>
      </x:c>
      <x:c r="B52" s="24" t="str">
        <x:v>Portugal (mainland)</x:v>
      </x:c>
      <x:c r="C52" s="24" t="str">
        <x:v>EEZ</x:v>
      </x:c>
      <x:c r="D52" s="30" t="n">
        <x:v>2019</x:v>
      </x:c>
      <x:c r="E52" s="24" t="str">
        <x:v>Argyrosomus regius</x:v>
      </x:c>
      <x:c r="F52" s="24" t="str">
        <x:v>Meagre</x:v>
      </x:c>
      <x:c r="G52" s="24" t="str">
        <x:v>Large benthopelagics (&gt;=90 cm)</x:v>
      </x:c>
      <x:c r="H52" s="24" t="str">
        <x:v>Perch-likes</x:v>
      </x:c>
      <x:c r="I52" s="31" t="n">
        <x:v>429.0000000001</x:v>
      </x:c>
      <x:c r="J52" s="31" t="n">
        <x:v>429.0000000001</x:v>
      </x:c>
      <x:c r="K52" s="31" t="n">
        <x:v>0</x:v>
      </x:c>
      <x:c r="L52" s="31" t="n">
        <x:v>429.0000000001</x:v>
      </x:c>
      <x:c r="M52" s="31" t="n">
        <x:v>0</x:v>
      </x:c>
      <x:c r="N52" s="24" t="str">
        <x:v>argyrosomus regius</x:v>
      </x:c>
      <x:c r="O52" s="32" t="n">
        <x:v>4.29</x:v>
      </x:c>
      <x:c r="P52" s="24" t="str">
        <x:v>exact_2020_supplement</x:v>
      </x:c>
      <x:c r="Q52" s="32" t="str">
        <x:v>2020 supplement MeanTL</x:v>
      </x:c>
      <x:c r="R52" s="24" t="str">
        <x:v>high</x:v>
      </x:c>
      <x:c r="S52" s="24" t="str">
        <x:v>Argyrosomus regius</x:v>
      </x:c>
      <x:c r="T52" s="32" t="n">
        <x:f>IF(O52="","",(1/'Metadata'!$B$5)^(O52-1))</x:f>
        <x:v>1949.8445997580454</x:v>
      </x:c>
      <x:c r="U52" s="31" t="n">
        <x:f>IF(T52="","",I52*T52)</x:f>
        <x:v>836483.3332963964</x:v>
      </x:c>
    </x:row>
    <x:row r="53" ht="18" customHeight="1">
      <x:c r="A53" s="24" t="str">
        <x:v>EEZ_620</x:v>
      </x:c>
      <x:c r="B53" s="24" t="str">
        <x:v>Portugal (mainland)</x:v>
      </x:c>
      <x:c r="C53" s="24" t="str">
        <x:v>EEZ</x:v>
      </x:c>
      <x:c r="D53" s="30" t="n">
        <x:v>2019</x:v>
      </x:c>
      <x:c r="E53" s="24" t="str">
        <x:v>Mugilidae</x:v>
      </x:c>
      <x:c r="F53" s="24" t="str">
        <x:v>Mullets, grey mullets</x:v>
      </x:c>
      <x:c r="G53" s="24" t="str">
        <x:v>Medium reef assoc. fish (30 - 89 cm)</x:v>
      </x:c>
      <x:c r="H53" s="24" t="str">
        <x:v>Perch-likes</x:v>
      </x:c>
      <x:c r="I53" s="31" t="n">
        <x:v>390.6003818175</x:v>
      </x:c>
      <x:c r="J53" s="31" t="n">
        <x:v>390.6003818175</x:v>
      </x:c>
      <x:c r="K53" s="31" t="n">
        <x:v>0</x:v>
      </x:c>
      <x:c r="L53" s="31" t="n">
        <x:v>326.0052328909</x:v>
      </x:c>
      <x:c r="M53" s="31" t="n">
        <x:v>64.59514892659999</x:v>
      </x:c>
      <x:c r="N53" s="24" t="str">
        <x:v>mugilidae</x:v>
      </x:c>
      <x:c r="O53" s="32" t="n">
        <x:v>2.53</x:v>
      </x:c>
      <x:c r="P53" s="24" t="str">
        <x:v>exact_sea_around_us</x:v>
      </x:c>
      <x:c r="Q53" s="32" t="str">
        <x:v>Sea Around Us exploited organisms</x:v>
      </x:c>
      <x:c r="R53" s="24" t="str">
        <x:v>high</x:v>
      </x:c>
      <x:c r="S53" s="24" t="str">
        <x:v>Mugilidae</x:v>
      </x:c>
      <x:c r="T53" s="32" t="n">
        <x:f>IF(O53="","",(1/'Metadata'!$B$5)^(O53-1))</x:f>
        <x:v>33.88441561392024</x:v>
      </x:c>
      <x:c r="U53" s="31" t="n">
        <x:f>IF(T53="","",I53*T53)</x:f>
        <x:v>13235.265676460105</x:v>
      </x:c>
    </x:row>
    <x:row r="54" ht="18" customHeight="1">
      <x:c r="A54" s="24" t="str">
        <x:v>EEZ_620</x:v>
      </x:c>
      <x:c r="B54" s="24" t="str">
        <x:v>Portugal (mainland)</x:v>
      </x:c>
      <x:c r="C54" s="24" t="str">
        <x:v>EEZ</x:v>
      </x:c>
      <x:c r="D54" s="30" t="n">
        <x:v>2019</x:v>
      </x:c>
      <x:c r="E54" s="24" t="str">
        <x:v>Halobatrachus didactylus</x:v>
      </x:c>
      <x:c r="F54" s="24" t="str">
        <x:v>Lusitanian toadfish</x:v>
      </x:c>
      <x:c r="G54" s="24" t="str">
        <x:v>Medium demersals (30 - 89 cm)</x:v>
      </x:c>
      <x:c r="H54" s="24" t="str">
        <x:v>Other fishes &amp; inverts</x:v>
      </x:c>
      <x:c r="I54" s="31" t="n">
        <x:v>387.2950321382</x:v>
      </x:c>
      <x:c r="J54" s="31" t="n">
        <x:v>0</x:v>
      </x:c>
      <x:c r="K54" s="31" t="n">
        <x:v>387.2950321382</x:v>
      </x:c>
      <x:c r="L54" s="31" t="n">
        <x:v>0</x:v>
      </x:c>
      <x:c r="M54" s="31" t="n">
        <x:v>387.2950321382</x:v>
      </x:c>
      <x:c r="N54" s="24" t="str">
        <x:v>halobatrachus didactylus</x:v>
      </x:c>
      <x:c r="O54" s="32" t="n">
        <x:v>3.95</x:v>
      </x:c>
      <x:c r="P54" s="24" t="str">
        <x:v>exact_2020_supplement</x:v>
      </x:c>
      <x:c r="Q54" s="32" t="str">
        <x:v>2020 supplement MeanTL</x:v>
      </x:c>
      <x:c r="R54" s="24" t="str">
        <x:v>high</x:v>
      </x:c>
      <x:c r="S54" s="24" t="str">
        <x:v>Halobatrachus didactylus</x:v>
      </x:c>
      <x:c r="T54" s="32" t="n">
        <x:f>IF(O54="","",(1/'Metadata'!$B$5)^(O54-1))</x:f>
        <x:v>891.2509381337459</x:v>
      </x:c>
      <x:c r="U54" s="31" t="n">
        <x:f>IF(T54="","",I54*T54)</x:f>
        <x:v>345177.06072771</x:v>
      </x:c>
    </x:row>
    <x:row r="55" ht="18" customHeight="1">
      <x:c r="A55" s="24" t="str">
        <x:v>EEZ_620</x:v>
      </x:c>
      <x:c r="B55" s="24" t="str">
        <x:v>Portugal (mainland)</x:v>
      </x:c>
      <x:c r="C55" s="24" t="str">
        <x:v>EEZ</x:v>
      </x:c>
      <x:c r="D55" s="30" t="n">
        <x:v>2019</x:v>
      </x:c>
      <x:c r="E55" s="24" t="str">
        <x:v>Parapenaeus longirostris</x:v>
      </x:c>
      <x:c r="F55" s="24" t="str">
        <x:v>Deepwater rose shrimp</x:v>
      </x:c>
      <x:c r="G55" s="24" t="str">
        <x:v>Shrimps</x:v>
      </x:c>
      <x:c r="H55" s="24" t="str">
        <x:v>Crustaceans</x:v>
      </x:c>
      <x:c r="I55" s="31" t="n">
        <x:v>339.3044924947</x:v>
      </x:c>
      <x:c r="J55" s="31" t="n">
        <x:v>0</x:v>
      </x:c>
      <x:c r="K55" s="31" t="n">
        <x:v>339.3044924947</x:v>
      </x:c>
      <x:c r="L55" s="31" t="n">
        <x:v>0</x:v>
      </x:c>
      <x:c r="M55" s="31" t="n">
        <x:v>339.3044924947</x:v>
      </x:c>
      <x:c r="N55" s="24" t="str">
        <x:v>parapenaeus longirostris</x:v>
      </x:c>
      <x:c r="O55" s="32" t="n">
        <x:v>3.3</x:v>
      </x:c>
      <x:c r="P55" s="24" t="str">
        <x:v>exact_2020_supplement</x:v>
      </x:c>
      <x:c r="Q55" s="32" t="str">
        <x:v>2020 supplement MeanTL</x:v>
      </x:c>
      <x:c r="R55" s="24" t="str">
        <x:v>high</x:v>
      </x:c>
      <x:c r="S55" s="24" t="str">
        <x:v>Parapenaeus longirostris</x:v>
      </x:c>
      <x:c r="T55" s="32" t="n">
        <x:f>IF(O55="","",(1/'Metadata'!$B$5)^(O55-1))</x:f>
        <x:v>199.52623149688787</x:v>
      </x:c>
      <x:c r="U55" s="31" t="n">
        <x:f>IF(T55="","",I55*T55)</x:f>
        <x:v>67700.14671743156</x:v>
      </x:c>
    </x:row>
    <x:row r="56" ht="18" customHeight="1">
      <x:c r="A56" s="24" t="str">
        <x:v>EEZ_620</x:v>
      </x:c>
      <x:c r="B56" s="24" t="str">
        <x:v>Portugal (mainland)</x:v>
      </x:c>
      <x:c r="C56" s="24" t="str">
        <x:v>EEZ</x:v>
      </x:c>
      <x:c r="D56" s="30" t="n">
        <x:v>2019</x:v>
      </x:c>
      <x:c r="E56" s="24" t="str">
        <x:v>Lepidotrigla cavillone</x:v>
      </x:c>
      <x:c r="F56" s="24" t="str">
        <x:v>Large-scaled gurnard</x:v>
      </x:c>
      <x:c r="G56" s="24" t="str">
        <x:v>Small demersals (&lt;30 cm)</x:v>
      </x:c>
      <x:c r="H56" s="24" t="str">
        <x:v>Scorpionfishes</x:v>
      </x:c>
      <x:c r="I56" s="31" t="n">
        <x:v>335.6192919664</x:v>
      </x:c>
      <x:c r="J56" s="31" t="n">
        <x:v>334</x:v>
      </x:c>
      <x:c r="K56" s="31" t="n">
        <x:v>1.6192919664</x:v>
      </x:c>
      <x:c r="L56" s="31" t="n">
        <x:v>334</x:v>
      </x:c>
      <x:c r="M56" s="31" t="n">
        <x:v>1.6192919664</x:v>
      </x:c>
      <x:c r="N56" s="24" t="str">
        <x:v>lepidotrigla cavillone</x:v>
      </x:c>
      <x:c r="O56" s="32" t="n">
        <x:v>3.33</x:v>
      </x:c>
      <x:c r="P56" s="24" t="str">
        <x:v>exact_2020_supplement</x:v>
      </x:c>
      <x:c r="Q56" s="32" t="str">
        <x:v>2020 supplement MeanTL</x:v>
      </x:c>
      <x:c r="R56" s="24" t="str">
        <x:v>high</x:v>
      </x:c>
      <x:c r="S56" s="24" t="str">
        <x:v>Lepidotrigla cavillone</x:v>
      </x:c>
      <x:c r="T56" s="32" t="n">
        <x:f>IF(O56="","",(1/'Metadata'!$B$5)^(O56-1))</x:f>
        <x:v>213.79620895022325</x:v>
      </x:c>
      <x:c r="U56" s="31" t="n">
        <x:f>IF(T56="","",I56*T56)</x:f>
        <x:v>71754.13227297444</x:v>
      </x:c>
    </x:row>
    <x:row r="57" ht="18" customHeight="1">
      <x:c r="A57" s="24" t="str">
        <x:v>EEZ_620</x:v>
      </x:c>
      <x:c r="B57" s="24" t="str">
        <x:v>Portugal (mainland)</x:v>
      </x:c>
      <x:c r="C57" s="24" t="str">
        <x:v>EEZ</x:v>
      </x:c>
      <x:c r="D57" s="30" t="n">
        <x:v>2019</x:v>
      </x:c>
      <x:c r="E57" s="24" t="str">
        <x:v>Sparus aurata</x:v>
      </x:c>
      <x:c r="F57" s="24" t="str">
        <x:v>Gilthead seabream</x:v>
      </x:c>
      <x:c r="G57" s="24" t="str">
        <x:v>Medium demersals (30 - 89 cm)</x:v>
      </x:c>
      <x:c r="H57" s="24" t="str">
        <x:v>Perch-likes</x:v>
      </x:c>
      <x:c r="I57" s="31" t="n">
        <x:v>313.9258477051</x:v>
      </x:c>
      <x:c r="J57" s="31" t="n">
        <x:v>313.2804549068</x:v>
      </x:c>
      <x:c r="K57" s="31" t="n">
        <x:v>0.6453927983</x:v>
      </x:c>
      <x:c r="L57" s="31" t="n">
        <x:v>271</x:v>
      </x:c>
      <x:c r="M57" s="31" t="n">
        <x:v>42.9258477051</x:v>
      </x:c>
      <x:c r="N57" s="24" t="str">
        <x:v>sparus aurata</x:v>
      </x:c>
      <x:c r="O57" s="32" t="n">
        <x:v>3.7</x:v>
      </x:c>
      <x:c r="P57" s="24" t="str">
        <x:v>exact_2020_supplement</x:v>
      </x:c>
      <x:c r="Q57" s="32" t="str">
        <x:v>2020 supplement MeanTL</x:v>
      </x:c>
      <x:c r="R57" s="24" t="str">
        <x:v>high</x:v>
      </x:c>
      <x:c r="S57" s="24" t="str">
        <x:v>Sparus aurata</x:v>
      </x:c>
      <x:c r="T57" s="32" t="n">
        <x:f>IF(O57="","",(1/'Metadata'!$B$5)^(O57-1))</x:f>
        <x:v>501.18723362727246</x:v>
      </x:c>
      <x:c r="U57" s="31" t="n">
        <x:f>IF(T57="","",I57*T57)</x:f>
        <x:v>157335.62717541552</x:v>
      </x:c>
    </x:row>
    <x:row r="58" ht="18" customHeight="1">
      <x:c r="A58" s="24" t="str">
        <x:v>EEZ_620</x:v>
      </x:c>
      <x:c r="B58" s="24" t="str">
        <x:v>Portugal (mainland)</x:v>
      </x:c>
      <x:c r="C58" s="24" t="str">
        <x:v>EEZ</x:v>
      </x:c>
      <x:c r="D58" s="30" t="n">
        <x:v>2019</x:v>
      </x:c>
      <x:c r="E58" s="24" t="str">
        <x:v>Portunidae</x:v>
      </x:c>
      <x:c r="F58" s="24" t="str">
        <x:v>Swimming crabs</x:v>
      </x:c>
      <x:c r="G58" s="24" t="str">
        <x:v>Lobsters, crabs</x:v>
      </x:c>
      <x:c r="H58" s="24" t="str">
        <x:v>Crustaceans</x:v>
      </x:c>
      <x:c r="I58" s="31" t="n">
        <x:v>303.344540616</x:v>
      </x:c>
      <x:c r="J58" s="31" t="n">
        <x:v>0.0004578859</x:v>
      </x:c>
      <x:c r="K58" s="31" t="n">
        <x:v>303.3440827301</x:v>
      </x:c>
      <x:c r="L58" s="31" t="n">
        <x:v>0.0004578859</x:v>
      </x:c>
      <x:c r="M58" s="31" t="n">
        <x:v>303.3440827301</x:v>
      </x:c>
      <x:c r="N58" s="24" t="str">
        <x:v>portunidae</x:v>
      </x:c>
      <x:c r="O58" s="32" t="n">
        <x:v>3.56</x:v>
      </x:c>
      <x:c r="P58" s="24" t="str">
        <x:v>exact_sea_around_us</x:v>
      </x:c>
      <x:c r="Q58" s="32" t="str">
        <x:v>Sea Around Us exploited organisms</x:v>
      </x:c>
      <x:c r="R58" s="24" t="str">
        <x:v>high</x:v>
      </x:c>
      <x:c r="S58" s="24" t="str">
        <x:v>Portunidae</x:v>
      </x:c>
      <x:c r="T58" s="32" t="n">
        <x:f>IF(O58="","",(1/'Metadata'!$B$5)^(O58-1))</x:f>
        <x:v>363.0780547701014</x:v>
      </x:c>
      <x:c r="U58" s="31" t="n">
        <x:f>IF(T58="","",I58*T58)</x:f>
        <x:v>110137.7457319873</x:v>
      </x:c>
    </x:row>
    <x:row r="59" ht="18" customHeight="1">
      <x:c r="A59" s="24" t="str">
        <x:v>EEZ_620</x:v>
      </x:c>
      <x:c r="B59" s="24" t="str">
        <x:v>Portugal (mainland)</x:v>
      </x:c>
      <x:c r="C59" s="24" t="str">
        <x:v>EEZ</x:v>
      </x:c>
      <x:c r="D59" s="30" t="n">
        <x:v>2019</x:v>
      </x:c>
      <x:c r="E59" s="24" t="str">
        <x:v>Holothuroidea</x:v>
      </x:c>
      <x:c r="F59" s="24" t="str">
        <x:v>Sea cucumbers</x:v>
      </x:c>
      <x:c r="G59" s="24" t="str">
        <x:v>Other demersal invertebrates</x:v>
      </x:c>
      <x:c r="H59" s="24" t="str">
        <x:v>Other fishes &amp; inverts</x:v>
      </x:c>
      <x:c r="I59" s="31" t="n">
        <x:v>302.23619002</x:v>
      </x:c>
      <x:c r="J59" s="31" t="n">
        <x:v>0</x:v>
      </x:c>
      <x:c r="K59" s="31" t="n">
        <x:v>302.23619002</x:v>
      </x:c>
      <x:c r="L59" s="31" t="n">
        <x:v>0</x:v>
      </x:c>
      <x:c r="M59" s="31" t="n">
        <x:v>302.23619002</x:v>
      </x:c>
      <x:c r="N59" s="24" t="str">
        <x:v>holothuroidea</x:v>
      </x:c>
      <x:c r="O59" s="32" t="n">
        <x:v>2</x:v>
      </x:c>
      <x:c r="P59" s="24" t="str">
        <x:v>exact_sea_around_us</x:v>
      </x:c>
      <x:c r="Q59" s="32" t="str">
        <x:v>Sea Around Us exploited organisms</x:v>
      </x:c>
      <x:c r="R59" s="24" t="str">
        <x:v>high</x:v>
      </x:c>
      <x:c r="S59" s="24" t="str">
        <x:v>Holothuroidea</x:v>
      </x:c>
      <x:c r="T59" s="32" t="n">
        <x:f>IF(O59="","",(1/'Metadata'!$B$5)^(O59-1))</x:f>
        <x:v>10</x:v>
      </x:c>
      <x:c r="U59" s="31" t="n">
        <x:f>IF(T59="","",I59*T59)</x:f>
        <x:v>3022.3619001999996</x:v>
      </x:c>
    </x:row>
    <x:row r="60" ht="18" customHeight="1">
      <x:c r="A60" s="24" t="str">
        <x:v>EEZ_620</x:v>
      </x:c>
      <x:c r="B60" s="24" t="str">
        <x:v>Portugal (mainland)</x:v>
      </x:c>
      <x:c r="C60" s="24" t="str">
        <x:v>EEZ</x:v>
      </x:c>
      <x:c r="D60" s="30" t="n">
        <x:v>2019</x:v>
      </x:c>
      <x:c r="E60" s="24" t="str">
        <x:v>Echinodermata</x:v>
      </x:c>
      <x:c r="F60" s="24" t="str">
        <x:v>Sea urchins, stars, cucumbers</x:v>
      </x:c>
      <x:c r="G60" s="24" t="str">
        <x:v>Other demersal invertebrates</x:v>
      </x:c>
      <x:c r="H60" s="24" t="str">
        <x:v>Other fishes &amp; inverts</x:v>
      </x:c>
      <x:c r="I60" s="31" t="n">
        <x:v>296.0000000001</x:v>
      </x:c>
      <x:c r="J60" s="31" t="n">
        <x:v>296.0000000001</x:v>
      </x:c>
      <x:c r="K60" s="31" t="n">
        <x:v>0</x:v>
      </x:c>
      <x:c r="L60" s="31" t="n">
        <x:v>296.0000000001</x:v>
      </x:c>
      <x:c r="M60" s="31" t="n">
        <x:v>0</x:v>
      </x:c>
      <x:c r="N60" s="24" t="str">
        <x:v>echinodermata</x:v>
      </x:c>
      <x:c r="O60" s="32" t="n">
        <x:v>2.3</x:v>
      </x:c>
      <x:c r="P60" s="24" t="str">
        <x:v>exact_sea_around_us</x:v>
      </x:c>
      <x:c r="Q60" s="32" t="str">
        <x:v>Sea Around Us exploited organisms</x:v>
      </x:c>
      <x:c r="R60" s="24" t="str">
        <x:v>high</x:v>
      </x:c>
      <x:c r="S60" s="24" t="str">
        <x:v>Echinodermata</x:v>
      </x:c>
      <x:c r="T60" s="32" t="n">
        <x:f>IF(O60="","",(1/'Metadata'!$B$5)^(O60-1))</x:f>
        <x:v>19.952623149688787</x:v>
      </x:c>
      <x:c r="U60" s="31" t="n">
        <x:f>IF(T60="","",I60*T60)</x:f>
        <x:v>5905.976452309876</x:v>
      </x:c>
    </x:row>
    <x:row r="61" ht="18" customHeight="1">
      <x:c r="A61" s="24" t="str">
        <x:v>EEZ_620</x:v>
      </x:c>
      <x:c r="B61" s="24" t="str">
        <x:v>Portugal (mainland)</x:v>
      </x:c>
      <x:c r="C61" s="24" t="str">
        <x:v>EEZ</x:v>
      </x:c>
      <x:c r="D61" s="30" t="n">
        <x:v>2019</x:v>
      </x:c>
      <x:c r="E61" s="24" t="str">
        <x:v>Citharus linguatula</x:v>
      </x:c>
      <x:c r="F61" s="24" t="str">
        <x:v>Spotted flounder</x:v>
      </x:c>
      <x:c r="G61" s="24" t="str">
        <x:v>Small to medium flatfishes (&lt;90 cm)</x:v>
      </x:c>
      <x:c r="H61" s="24" t="str">
        <x:v>Flatfishes</x:v>
      </x:c>
      <x:c r="I61" s="31" t="n">
        <x:v>237.55109876059998</x:v>
      </x:c>
      <x:c r="J61" s="31" t="n">
        <x:v>0</x:v>
      </x:c>
      <x:c r="K61" s="31" t="n">
        <x:v>237.55109876059998</x:v>
      </x:c>
      <x:c r="L61" s="31" t="n">
        <x:v>0</x:v>
      </x:c>
      <x:c r="M61" s="31" t="n">
        <x:v>237.55109876059998</x:v>
      </x:c>
      <x:c r="N61" s="24" t="str">
        <x:v>citharus linguatula</x:v>
      </x:c>
      <x:c r="O61" s="32" t="n">
        <x:v>3.97</x:v>
      </x:c>
      <x:c r="P61" s="24" t="str">
        <x:v>exact_2020_supplement</x:v>
      </x:c>
      <x:c r="Q61" s="32" t="str">
        <x:v>2020 supplement MeanTL</x:v>
      </x:c>
      <x:c r="R61" s="24" t="str">
        <x:v>high</x:v>
      </x:c>
      <x:c r="S61" s="24" t="str">
        <x:v>Citharus linguatula</x:v>
      </x:c>
      <x:c r="T61" s="32" t="n">
        <x:f>IF(O61="","",(1/'Metadata'!$B$5)^(O61-1))</x:f>
        <x:v>933.2543007969915</x:v>
      </x:c>
      <x:c r="U61" s="31" t="n">
        <x:f>IF(T61="","",I61*T61)</x:f>
        <x:v>221695.58457738083</x:v>
      </x:c>
    </x:row>
    <x:row r="62" ht="18" customHeight="1">
      <x:c r="A62" s="24" t="str">
        <x:v>EEZ_620</x:v>
      </x:c>
      <x:c r="B62" s="24" t="str">
        <x:v>Portugal (mainland)</x:v>
      </x:c>
      <x:c r="C62" s="24" t="str">
        <x:v>EEZ</x:v>
      </x:c>
      <x:c r="D62" s="30" t="n">
        <x:v>2019</x:v>
      </x:c>
      <x:c r="E62" s="24" t="str">
        <x:v>Thunnus alalunga</x:v>
      </x:c>
      <x:c r="F62" s="24" t="str">
        <x:v>Albacore</x:v>
      </x:c>
      <x:c r="G62" s="24" t="str">
        <x:v>Large pelagics (&gt;=90 cm)</x:v>
      </x:c>
      <x:c r="H62" s="24" t="str">
        <x:v>Tuna &amp; billfishes</x:v>
      </x:c>
      <x:c r="I62" s="31" t="n">
        <x:v>232.60857677619998</x:v>
      </x:c>
      <x:c r="J62" s="31" t="n">
        <x:v>232.60857677619998</x:v>
      </x:c>
      <x:c r="K62" s="31" t="n">
        <x:v>0</x:v>
      </x:c>
      <x:c r="L62" s="31" t="n">
        <x:v>232.60857677619998</x:v>
      </x:c>
      <x:c r="M62" s="31" t="n">
        <x:v>0</x:v>
      </x:c>
      <x:c r="N62" s="24" t="str">
        <x:v>thunnus alalunga</x:v>
      </x:c>
      <x:c r="O62" s="32" t="n">
        <x:v>4.3</x:v>
      </x:c>
      <x:c r="P62" s="24" t="str">
        <x:v>exact_2020_supplement</x:v>
      </x:c>
      <x:c r="Q62" s="32" t="str">
        <x:v>2020 supplement MeanTL</x:v>
      </x:c>
      <x:c r="R62" s="24" t="str">
        <x:v>high</x:v>
      </x:c>
      <x:c r="S62" s="24" t="str">
        <x:v>Thunnus alalunga</x:v>
      </x:c>
      <x:c r="T62" s="32" t="n">
        <x:f>IF(O62="","",(1/'Metadata'!$B$5)^(O62-1))</x:f>
        <x:v>1995.2623149688789</x:v>
      </x:c>
      <x:c r="U62" s="31" t="n">
        <x:f>IF(T62="","",I62*T62)</x:f>
        <x:v>464115.127380097</x:v>
      </x:c>
    </x:row>
    <x:row r="63" ht="18" customHeight="1">
      <x:c r="A63" s="24" t="str">
        <x:v>EEZ_620</x:v>
      </x:c>
      <x:c r="B63" s="24" t="str">
        <x:v>Portugal (mainland)</x:v>
      </x:c>
      <x:c r="C63" s="24" t="str">
        <x:v>EEZ</x:v>
      </x:c>
      <x:c r="D63" s="30" t="n">
        <x:v>2019</x:v>
      </x:c>
      <x:c r="E63" s="24" t="str">
        <x:v>Galeus melastomus</x:v>
      </x:c>
      <x:c r="F63" s="24" t="str">
        <x:v>Blackmouth catshark</x:v>
      </x:c>
      <x:c r="G63" s="24" t="str">
        <x:v>Small to medium sharks (&lt;90 cm)</x:v>
      </x:c>
      <x:c r="H63" s="24" t="str">
        <x:v>Sharks &amp; rays</x:v>
      </x:c>
      <x:c r="I63" s="31" t="n">
        <x:v>221.3776015607</x:v>
      </x:c>
      <x:c r="J63" s="31" t="n">
        <x:v>0</x:v>
      </x:c>
      <x:c r="K63" s="31" t="n">
        <x:v>221.3776015607</x:v>
      </x:c>
      <x:c r="L63" s="31" t="n">
        <x:v>0</x:v>
      </x:c>
      <x:c r="M63" s="31" t="n">
        <x:v>221.3776015607</x:v>
      </x:c>
      <x:c r="N63" s="24" t="str">
        <x:v>galeus melastomus</x:v>
      </x:c>
      <x:c r="O63" s="32" t="n">
        <x:v>4.17</x:v>
      </x:c>
      <x:c r="P63" s="24" t="str">
        <x:v>exact_2020_supplement</x:v>
      </x:c>
      <x:c r="Q63" s="32" t="str">
        <x:v>2020 supplement MeanTL</x:v>
      </x:c>
      <x:c r="R63" s="24" t="str">
        <x:v>high</x:v>
      </x:c>
      <x:c r="S63" s="24" t="str">
        <x:v>Galeus melastomus</x:v>
      </x:c>
      <x:c r="T63" s="32" t="n">
        <x:f>IF(O63="","",(1/'Metadata'!$B$5)^(O63-1))</x:f>
        <x:v>1479.1083881682073</x:v>
      </x:c>
      <x:c r="U63" s="31" t="n">
        <x:f>IF(T63="","",I63*T63)</x:f>
        <x:v>327441.4674209906</x:v>
      </x:c>
    </x:row>
    <x:row r="64" ht="18" customHeight="1">
      <x:c r="A64" s="24" t="str">
        <x:v>EEZ_620</x:v>
      </x:c>
      <x:c r="B64" s="24" t="str">
        <x:v>Portugal (mainland)</x:v>
      </x:c>
      <x:c r="C64" s="24" t="str">
        <x:v>EEZ</x:v>
      </x:c>
      <x:c r="D64" s="30" t="n">
        <x:v>2019</x:v>
      </x:c>
      <x:c r="E64" s="24" t="str">
        <x:v>Pagrus</x:v>
      </x:c>
      <x:c r="F64" s="24" t="str">
        <x:v>Subtropical seabreams</x:v>
      </x:c>
      <x:c r="G64" s="24" t="str">
        <x:v>Medium benthopelagics (30 - 89 cm)</x:v>
      </x:c>
      <x:c r="H64" s="24" t="str">
        <x:v>Perch-likes</x:v>
      </x:c>
      <x:c r="I64" s="31" t="n">
        <x:v>214.14421321339998</x:v>
      </x:c>
      <x:c r="J64" s="31" t="n">
        <x:v>84.0000000001</x:v>
      </x:c>
      <x:c r="K64" s="31" t="n">
        <x:v>130.1442132133</x:v>
      </x:c>
      <x:c r="L64" s="31" t="n">
        <x:v>84.0000000001</x:v>
      </x:c>
      <x:c r="M64" s="31" t="n">
        <x:v>130.1442132133</x:v>
      </x:c>
      <x:c r="N64" s="24" t="str">
        <x:v>pagrus</x:v>
      </x:c>
      <x:c r="O64" s="32" t="n">
        <x:v>3.55</x:v>
      </x:c>
      <x:c r="P64" s="24" t="str">
        <x:v>exact_sea_around_us</x:v>
      </x:c>
      <x:c r="Q64" s="32" t="str">
        <x:v>Sea Around Us exploited organisms</x:v>
      </x:c>
      <x:c r="R64" s="24" t="str">
        <x:v>high</x:v>
      </x:c>
      <x:c r="S64" s="24" t="str">
        <x:v>Pagrus</x:v>
      </x:c>
      <x:c r="T64" s="32" t="n">
        <x:f>IF(O64="","",(1/'Metadata'!$B$5)^(O64-1))</x:f>
        <x:v>354.8133892335753</x:v>
      </x:c>
      <x:c r="U64" s="31" t="n">
        <x:f>IF(T64="","",I64*T64)</x:f>
        <x:v>75981.23407500383</x:v>
      </x:c>
    </x:row>
    <x:row r="65" ht="18" customHeight="1">
      <x:c r="A65" s="24" t="str">
        <x:v>EEZ_620</x:v>
      </x:c>
      <x:c r="B65" s="24" t="str">
        <x:v>Portugal (mainland)</x:v>
      </x:c>
      <x:c r="C65" s="24" t="str">
        <x:v>EEZ</x:v>
      </x:c>
      <x:c r="D65" s="30" t="n">
        <x:v>2019</x:v>
      </x:c>
      <x:c r="E65" s="24" t="str">
        <x:v>Phycis phycis</x:v>
      </x:c>
      <x:c r="F65" s="24" t="str">
        <x:v>Forkbeard</x:v>
      </x:c>
      <x:c r="G65" s="24" t="str">
        <x:v>Medium benthopelagics (30 - 89 cm)</x:v>
      </x:c>
      <x:c r="H65" s="24" t="str">
        <x:v>Cod-likes</x:v>
      </x:c>
      <x:c r="I65" s="31" t="n">
        <x:v>206.1711125226</x:v>
      </x:c>
      <x:c r="J65" s="31" t="n">
        <x:v>0</x:v>
      </x:c>
      <x:c r="K65" s="31" t="n">
        <x:v>206.1711125226</x:v>
      </x:c>
      <x:c r="L65" s="31" t="n">
        <x:v>0</x:v>
      </x:c>
      <x:c r="M65" s="31" t="n">
        <x:v>206.1711125226</x:v>
      </x:c>
      <x:c r="N65" s="24" t="str">
        <x:v>phycis phycis</x:v>
      </x:c>
      <x:c r="O65" s="32" t="n">
        <x:v>4.25</x:v>
      </x:c>
      <x:c r="P65" s="24" t="str">
        <x:v>exact_2020_supplement</x:v>
      </x:c>
      <x:c r="Q65" s="32" t="str">
        <x:v>2020 supplement MeanTL</x:v>
      </x:c>
      <x:c r="R65" s="24" t="str">
        <x:v>high</x:v>
      </x:c>
      <x:c r="S65" s="24" t="str">
        <x:v>Phycis phycis</x:v>
      </x:c>
      <x:c r="T65" s="32" t="n">
        <x:f>IF(O65="","",(1/'Metadata'!$B$5)^(O65-1))</x:f>
        <x:v>1778.2794100389228</x:v>
      </x:c>
      <x:c r="U65" s="31" t="n">
        <x:f>IF(T65="","",I65*T65)</x:f>
        <x:v>366629.8443437575</x:v>
      </x:c>
    </x:row>
    <x:row r="66" ht="18" customHeight="1">
      <x:c r="A66" s="24" t="str">
        <x:v>EEZ_620</x:v>
      </x:c>
      <x:c r="B66" s="24" t="str">
        <x:v>Portugal (mainland)</x:v>
      </x:c>
      <x:c r="C66" s="24" t="str">
        <x:v>EEZ</x:v>
      </x:c>
      <x:c r="D66" s="30" t="n">
        <x:v>2019</x:v>
      </x:c>
      <x:c r="E66" s="24" t="str">
        <x:v>Maja squinado</x:v>
      </x:c>
      <x:c r="F66" s="24" t="str">
        <x:v>Spinous spider crab</x:v>
      </x:c>
      <x:c r="G66" s="24" t="str">
        <x:v>Lobsters, crabs</x:v>
      </x:c>
      <x:c r="H66" s="24" t="str">
        <x:v>Crustaceans</x:v>
      </x:c>
      <x:c r="I66" s="31" t="n">
        <x:v>182.5422175344</x:v>
      </x:c>
      <x:c r="J66" s="31" t="n">
        <x:v>43</x:v>
      </x:c>
      <x:c r="K66" s="31" t="n">
        <x:v>139.5422175344</x:v>
      </x:c>
      <x:c r="L66" s="31" t="n">
        <x:v>43</x:v>
      </x:c>
      <x:c r="M66" s="31" t="n">
        <x:v>139.5422175344</x:v>
      </x:c>
      <x:c r="N66" s="24" t="str">
        <x:v>maja squinado</x:v>
      </x:c>
      <x:c r="O66" s="32" t="n">
        <x:v>2.94</x:v>
      </x:c>
      <x:c r="P66" s="24" t="str">
        <x:v>exact_2020_supplement</x:v>
      </x:c>
      <x:c r="Q66" s="32" t="str">
        <x:v>2020 supplement MeanTL</x:v>
      </x:c>
      <x:c r="R66" s="24" t="str">
        <x:v>high</x:v>
      </x:c>
      <x:c r="S66" s="24" t="str">
        <x:v>Maja squinado</x:v>
      </x:c>
      <x:c r="T66" s="32" t="n">
        <x:f>IF(O66="","",(1/'Metadata'!$B$5)^(O66-1))</x:f>
        <x:v>87.09635899560806</x:v>
      </x:c>
      <x:c r="U66" s="31" t="n">
        <x:f>IF(T66="","",I66*T66)</x:f>
        <x:v>15898.762510230483</x:v>
      </x:c>
    </x:row>
    <x:row r="67" ht="18" customHeight="1">
      <x:c r="A67" s="24" t="str">
        <x:v>EEZ_620</x:v>
      </x:c>
      <x:c r="B67" s="24" t="str">
        <x:v>Portugal (mainland)</x:v>
      </x:c>
      <x:c r="C67" s="24" t="str">
        <x:v>EEZ</x:v>
      </x:c>
      <x:c r="D67" s="30" t="n">
        <x:v>2019</x:v>
      </x:c>
      <x:c r="E67" s="24" t="str">
        <x:v>Ommastrephidae</x:v>
      </x:c>
      <x:c r="F67" s="24" t="str">
        <x:v>Arrow squids</x:v>
      </x:c>
      <x:c r="G67" s="24" t="str">
        <x:v>Cephalopods</x:v>
      </x:c>
      <x:c r="H67" s="24" t="str">
        <x:v>Other fishes &amp; inverts</x:v>
      </x:c>
      <x:c r="I67" s="31" t="n">
        <x:v>172.9453657251</x:v>
      </x:c>
      <x:c r="J67" s="31" t="n">
        <x:v>172.015783217</x:v>
      </x:c>
      <x:c r="K67" s="31" t="n">
        <x:v>0.9295825081</x:v>
      </x:c>
      <x:c r="L67" s="31" t="n">
        <x:v>172.015783217</x:v>
      </x:c>
      <x:c r="M67" s="31" t="n">
        <x:v>0.9295825081</x:v>
      </x:c>
      <x:c r="N67" s="24" t="str">
        <x:v>ommastrephidae</x:v>
      </x:c>
      <x:c r="O67" s="32" t="n">
        <x:v>4.09</x:v>
      </x:c>
      <x:c r="P67" s="24" t="str">
        <x:v>exact_sea_around_us</x:v>
      </x:c>
      <x:c r="Q67" s="32" t="str">
        <x:v>Sea Around Us exploited organisms</x:v>
      </x:c>
      <x:c r="R67" s="24" t="str">
        <x:v>high</x:v>
      </x:c>
      <x:c r="S67" s="24" t="str">
        <x:v>Ommastrephidae</x:v>
      </x:c>
      <x:c r="T67" s="32" t="n">
        <x:f>IF(O67="","",(1/'Metadata'!$B$5)^(O67-1))</x:f>
        <x:v>1230.268770812381</x:v>
      </x:c>
      <x:c r="U67" s="31" t="n">
        <x:f>IF(T67="","",I67*T67)</x:f>
        <x:v>212769.28250831648</x:v>
      </x:c>
    </x:row>
    <x:row r="68" ht="18" customHeight="1">
      <x:c r="A68" s="24" t="str">
        <x:v>EEZ_620</x:v>
      </x:c>
      <x:c r="B68" s="24" t="str">
        <x:v>Portugal (mainland)</x:v>
      </x:c>
      <x:c r="C68" s="24" t="str">
        <x:v>EEZ</x:v>
      </x:c>
      <x:c r="D68" s="30" t="n">
        <x:v>2019</x:v>
      </x:c>
      <x:c r="E68" s="24" t="str">
        <x:v>Mullus surmuletus</x:v>
      </x:c>
      <x:c r="F68" s="24" t="str">
        <x:v>Surmullet</x:v>
      </x:c>
      <x:c r="G68" s="24" t="str">
        <x:v>Medium demersals (30 - 89 cm)</x:v>
      </x:c>
      <x:c r="H68" s="24" t="str">
        <x:v>Perch-likes</x:v>
      </x:c>
      <x:c r="I68" s="31" t="n">
        <x:v>172.1142518284</x:v>
      </x:c>
      <x:c r="J68" s="31" t="n">
        <x:v>162.630757221</x:v>
      </x:c>
      <x:c r="K68" s="31" t="n">
        <x:v>9.4834946074</x:v>
      </x:c>
      <x:c r="L68" s="31" t="n">
        <x:v>162.630757221</x:v>
      </x:c>
      <x:c r="M68" s="31" t="n">
        <x:v>9.4834946074</x:v>
      </x:c>
      <x:c r="N68" s="24" t="str">
        <x:v>mullus surmuletus</x:v>
      </x:c>
      <x:c r="O68" s="32" t="n">
        <x:v>3.45</x:v>
      </x:c>
      <x:c r="P68" s="24" t="str">
        <x:v>exact_2020_supplement</x:v>
      </x:c>
      <x:c r="Q68" s="32" t="str">
        <x:v>2020 supplement MeanTL</x:v>
      </x:c>
      <x:c r="R68" s="24" t="str">
        <x:v>high</x:v>
      </x:c>
      <x:c r="S68" s="24" t="str">
        <x:v>Mullus surmuletus</x:v>
      </x:c>
      <x:c r="T68" s="32" t="n">
        <x:f>IF(O68="","",(1/'Metadata'!$B$5)^(O68-1))</x:f>
        <x:v>281.8382931264455</x:v>
      </x:c>
      <x:c r="U68" s="31" t="n">
        <x:f>IF(T68="","",I68*T68)</x:f>
        <x:v>48508.38695805145</x:v>
      </x:c>
    </x:row>
    <x:row r="69" ht="18" customHeight="1">
      <x:c r="A69" s="24" t="str">
        <x:v>EEZ_620</x:v>
      </x:c>
      <x:c r="B69" s="24" t="str">
        <x:v>Portugal (mainland)</x:v>
      </x:c>
      <x:c r="C69" s="24" t="str">
        <x:v>EEZ</x:v>
      </x:c>
      <x:c r="D69" s="30" t="n">
        <x:v>2019</x:v>
      </x:c>
      <x:c r="E69" s="24" t="str">
        <x:v>Mullus</x:v>
      </x:c>
      <x:c r="F69" s="24" t="str">
        <x:v>Atlantic goatfishes</x:v>
      </x:c>
      <x:c r="G69" s="24" t="str">
        <x:v>Medium demersals (30 - 89 cm)</x:v>
      </x:c>
      <x:c r="H69" s="24" t="str">
        <x:v>Perch-likes</x:v>
      </x:c>
      <x:c r="I69" s="31" t="n">
        <x:v>165.6970999127</x:v>
      </x:c>
      <x:c r="J69" s="31" t="n">
        <x:v>2.2839578454000002</x:v>
      </x:c>
      <x:c r="K69" s="31" t="n">
        <x:v>163.4131420673</x:v>
      </x:c>
      <x:c r="L69" s="31" t="n">
        <x:v>2.2839578454000002</x:v>
      </x:c>
      <x:c r="M69" s="31" t="n">
        <x:v>163.4131420673</x:v>
      </x:c>
      <x:c r="N69" s="24" t="str">
        <x:v>mullus</x:v>
      </x:c>
      <x:c r="O69" s="32" t="n">
        <x:v>3.29</x:v>
      </x:c>
      <x:c r="P69" s="24" t="str">
        <x:v>exact_sea_around_us</x:v>
      </x:c>
      <x:c r="Q69" s="32" t="str">
        <x:v>Sea Around Us exploited organisms</x:v>
      </x:c>
      <x:c r="R69" s="24" t="str">
        <x:v>high</x:v>
      </x:c>
      <x:c r="S69" s="24" t="str">
        <x:v>Mullus</x:v>
      </x:c>
      <x:c r="T69" s="32" t="n">
        <x:f>IF(O69="","",(1/'Metadata'!$B$5)^(O69-1))</x:f>
        <x:v>194.98445997580455</x:v>
      </x:c>
      <x:c r="U69" s="31" t="n">
        <x:f>IF(T69="","",I69*T69)</x:f>
        <x:v>32308.359546034742</x:v>
      </x:c>
    </x:row>
    <x:row r="70" ht="18" customHeight="1">
      <x:c r="A70" s="24" t="str">
        <x:v>EEZ_620</x:v>
      </x:c>
      <x:c r="B70" s="24" t="str">
        <x:v>Portugal (mainland)</x:v>
      </x:c>
      <x:c r="C70" s="24" t="str">
        <x:v>EEZ</x:v>
      </x:c>
      <x:c r="D70" s="30" t="n">
        <x:v>2019</x:v>
      </x:c>
      <x:c r="E70" s="24" t="str">
        <x:v>Sarpa salpa</x:v>
      </x:c>
      <x:c r="F70" s="24" t="str">
        <x:v>Salema</x:v>
      </x:c>
      <x:c r="G70" s="24" t="str">
        <x:v>Medium benthopelagics (30 - 89 cm)</x:v>
      </x:c>
      <x:c r="H70" s="24" t="str">
        <x:v>Perch-likes</x:v>
      </x:c>
      <x:c r="I70" s="31" t="n">
        <x:v>163.894571451</x:v>
      </x:c>
      <x:c r="J70" s="31" t="n">
        <x:v>47.5654975418</x:v>
      </x:c>
      <x:c r="K70" s="31" t="n">
        <x:v>116.3290739092</x:v>
      </x:c>
      <x:c r="L70" s="31" t="n">
        <x:v>0</x:v>
      </x:c>
      <x:c r="M70" s="31" t="n">
        <x:v>163.894571451</x:v>
      </x:c>
      <x:c r="N70" s="24" t="str">
        <x:v>sarpa salpa</x:v>
      </x:c>
      <x:c r="O70" s="32" t="n">
        <x:v>2</x:v>
      </x:c>
      <x:c r="P70" s="24" t="str">
        <x:v>exact_2020_supplement</x:v>
      </x:c>
      <x:c r="Q70" s="32" t="str">
        <x:v>2020 supplement MeanTL</x:v>
      </x:c>
      <x:c r="R70" s="24" t="str">
        <x:v>high</x:v>
      </x:c>
      <x:c r="S70" s="24" t="str">
        <x:v>Sarpa salpa</x:v>
      </x:c>
      <x:c r="T70" s="32" t="n">
        <x:f>IF(O70="","",(1/'Metadata'!$B$5)^(O70-1))</x:f>
        <x:v>10</x:v>
      </x:c>
      <x:c r="U70" s="31" t="n">
        <x:f>IF(T70="","",I70*T70)</x:f>
        <x:v>1638.94571451</x:v>
      </x:c>
    </x:row>
    <x:row r="71" ht="18" customHeight="1">
      <x:c r="A71" s="24" t="str">
        <x:v>EEZ_620</x:v>
      </x:c>
      <x:c r="B71" s="24" t="str">
        <x:v>Portugal (mainland)</x:v>
      </x:c>
      <x:c r="C71" s="24" t="str">
        <x:v>EEZ</x:v>
      </x:c>
      <x:c r="D71" s="30" t="n">
        <x:v>2019</x:v>
      </x:c>
      <x:c r="E71" s="24" t="str">
        <x:v>Scorpaenidae</x:v>
      </x:c>
      <x:c r="F71" s="24" t="str">
        <x:v>Scorpionfishes, rockfishes</x:v>
      </x:c>
      <x:c r="G71" s="24" t="str">
        <x:v>Large reef assoc. fish (&gt;=90 cm)</x:v>
      </x:c>
      <x:c r="H71" s="24" t="str">
        <x:v>Scorpionfishes</x:v>
      </x:c>
      <x:c r="I71" s="31" t="n">
        <x:v>158</x:v>
      </x:c>
      <x:c r="J71" s="31" t="n">
        <x:v>158</x:v>
      </x:c>
      <x:c r="K71" s="31" t="n">
        <x:v>0</x:v>
      </x:c>
      <x:c r="L71" s="31" t="n">
        <x:v>158</x:v>
      </x:c>
      <x:c r="M71" s="31" t="n">
        <x:v>0</x:v>
      </x:c>
      <x:c r="N71" s="24" t="str">
        <x:v>scorpaenidae</x:v>
      </x:c>
      <x:c r="O71" s="32" t="n">
        <x:v>3.92</x:v>
      </x:c>
      <x:c r="P71" s="24" t="str">
        <x:v>exact_sea_around_us</x:v>
      </x:c>
      <x:c r="Q71" s="32" t="str">
        <x:v>Sea Around Us exploited organisms</x:v>
      </x:c>
      <x:c r="R71" s="24" t="str">
        <x:v>high</x:v>
      </x:c>
      <x:c r="S71" s="24" t="str">
        <x:v>Scorpaenidae</x:v>
      </x:c>
      <x:c r="T71" s="32" t="n">
        <x:f>IF(O71="","",(1/'Metadata'!$B$5)^(O71-1))</x:f>
        <x:v>831.7637711026708</x:v>
      </x:c>
      <x:c r="U71" s="31" t="n">
        <x:f>IF(T71="","",I71*T71)</x:f>
        <x:v>131418.675834222</x:v>
      </x:c>
    </x:row>
    <x:row r="72" ht="18" customHeight="1">
      <x:c r="A72" s="24" t="str">
        <x:v>EEZ_620</x:v>
      </x:c>
      <x:c r="B72" s="24" t="str">
        <x:v>Portugal (mainland)</x:v>
      </x:c>
      <x:c r="C72" s="24" t="str">
        <x:v>EEZ</x:v>
      </x:c>
      <x:c r="D72" s="30" t="n">
        <x:v>2019</x:v>
      </x:c>
      <x:c r="E72" s="24" t="str">
        <x:v>Nephrops norvegicus</x:v>
      </x:c>
      <x:c r="F72" s="24" t="str">
        <x:v>Norway lobster</x:v>
      </x:c>
      <x:c r="G72" s="24" t="str">
        <x:v>Lobsters, crabs</x:v>
      </x:c>
      <x:c r="H72" s="24" t="str">
        <x:v>Crustaceans</x:v>
      </x:c>
      <x:c r="I72" s="31" t="n">
        <x:v>152.00446143140002</x:v>
      </x:c>
      <x:c r="J72" s="31" t="n">
        <x:v>152</x:v>
      </x:c>
      <x:c r="K72" s="31" t="n">
        <x:v>0.0044614314</x:v>
      </x:c>
      <x:c r="L72" s="31" t="n">
        <x:v>152</x:v>
      </x:c>
      <x:c r="M72" s="31" t="n">
        <x:v>0.0044614314</x:v>
      </x:c>
      <x:c r="N72" s="24" t="str">
        <x:v>nephrops norvegicus</x:v>
      </x:c>
      <x:c r="O72" s="32" t="n">
        <x:v>2.87</x:v>
      </x:c>
      <x:c r="P72" s="24" t="str">
        <x:v>exact_2020_supplement</x:v>
      </x:c>
      <x:c r="Q72" s="32" t="str">
        <x:v>2020 supplement MeanTL</x:v>
      </x:c>
      <x:c r="R72" s="24" t="str">
        <x:v>high</x:v>
      </x:c>
      <x:c r="S72" s="24" t="str">
        <x:v>Nephrops norvegicus</x:v>
      </x:c>
      <x:c r="T72" s="32" t="n">
        <x:f>IF(O72="","",(1/'Metadata'!$B$5)^(O72-1))</x:f>
        <x:v>74.13102413009177</x:v>
      </x:c>
      <x:c r="U72" s="31" t="n">
        <x:f>IF(T72="","",I72*T72)</x:f>
        <x:v>11268.246398252719</x:v>
      </x:c>
    </x:row>
    <x:row r="73" ht="18" customHeight="1">
      <x:c r="A73" s="24" t="str">
        <x:v>EEZ_620</x:v>
      </x:c>
      <x:c r="B73" s="24" t="str">
        <x:v>Portugal (mainland)</x:v>
      </x:c>
      <x:c r="C73" s="24" t="str">
        <x:v>EEZ</x:v>
      </x:c>
      <x:c r="D73" s="30" t="n">
        <x:v>2019</x:v>
      </x:c>
      <x:c r="E73" s="24" t="str">
        <x:v>Sphoeroides pachygaster</x:v>
      </x:c>
      <x:c r="F73" s="24" t="str">
        <x:v>Blunthead puffer</x:v>
      </x:c>
      <x:c r="G73" s="24" t="str">
        <x:v>Medium benthopelagics (30 - 89 cm)</x:v>
      </x:c>
      <x:c r="H73" s="24" t="str">
        <x:v>Other fishes &amp; inverts</x:v>
      </x:c>
      <x:c r="I73" s="31" t="n">
        <x:v>145.9474116376</x:v>
      </x:c>
      <x:c r="J73" s="31" t="n">
        <x:v>0</x:v>
      </x:c>
      <x:c r="K73" s="31" t="n">
        <x:v>145.9474116376</x:v>
      </x:c>
      <x:c r="L73" s="31" t="n">
        <x:v>0</x:v>
      </x:c>
      <x:c r="M73" s="31" t="n">
        <x:v>145.9474116376</x:v>
      </x:c>
      <x:c r="N73" s="24" t="str">
        <x:v>sphoeroides pachygaster</x:v>
      </x:c>
      <x:c r="O73" s="32" t="n">
        <x:v>4.2</x:v>
      </x:c>
      <x:c r="P73" s="24" t="str">
        <x:v>exact_2020_supplement</x:v>
      </x:c>
      <x:c r="Q73" s="32" t="str">
        <x:v>2020 supplement MeanTL</x:v>
      </x:c>
      <x:c r="R73" s="24" t="str">
        <x:v>high</x:v>
      </x:c>
      <x:c r="S73" s="24" t="str">
        <x:v>Sphoeroides pachygaster</x:v>
      </x:c>
      <x:c r="T73" s="32" t="n">
        <x:f>IF(O73="","",(1/'Metadata'!$B$5)^(O73-1))</x:f>
        <x:v>1584.893192461114</x:v>
      </x:c>
      <x:c r="U73" s="31" t="n">
        <x:f>IF(T73="","",I73*T73)</x:f>
        <x:v>231311.0591617522</x:v>
      </x:c>
    </x:row>
    <x:row r="74" ht="18" customHeight="1">
      <x:c r="A74" s="24" t="str">
        <x:v>EEZ_620</x:v>
      </x:c>
      <x:c r="B74" s="24" t="str">
        <x:v>Portugal (mainland)</x:v>
      </x:c>
      <x:c r="C74" s="24" t="str">
        <x:v>EEZ</x:v>
      </x:c>
      <x:c r="D74" s="30" t="n">
        <x:v>2019</x:v>
      </x:c>
      <x:c r="E74" s="24" t="str">
        <x:v>Trachurus</x:v>
      </x:c>
      <x:c r="F74" s="24" t="str">
        <x:v>Jacks, horse mackerels</x:v>
      </x:c>
      <x:c r="G74" s="24" t="str">
        <x:v>Medium pelagics (30 - 89 cm)</x:v>
      </x:c>
      <x:c r="H74" s="24" t="str">
        <x:v>Perch-likes</x:v>
      </x:c>
      <x:c r="I74" s="31" t="n">
        <x:v>139.4401861876</x:v>
      </x:c>
      <x:c r="J74" s="31" t="n">
        <x:v>0</x:v>
      </x:c>
      <x:c r="K74" s="31" t="n">
        <x:v>139.4401861876</x:v>
      </x:c>
      <x:c r="L74" s="31" t="n">
        <x:v>0</x:v>
      </x:c>
      <x:c r="M74" s="31" t="n">
        <x:v>139.4401861876</x:v>
      </x:c>
      <x:c r="N74" s="24" t="str">
        <x:v>trachurus</x:v>
      </x:c>
      <x:c r="O74" s="32" t="n">
        <x:v>3.69</x:v>
      </x:c>
      <x:c r="P74" s="24" t="str">
        <x:v>exact_sea_around_us</x:v>
      </x:c>
      <x:c r="Q74" s="32" t="str">
        <x:v>Sea Around Us exploited organisms</x:v>
      </x:c>
      <x:c r="R74" s="24" t="str">
        <x:v>high</x:v>
      </x:c>
      <x:c r="S74" s="24" t="str">
        <x:v>Trachurus</x:v>
      </x:c>
      <x:c r="T74" s="32" t="n">
        <x:f>IF(O74="","",(1/'Metadata'!$B$5)^(O74-1))</x:f>
        <x:v>489.77881936844614</x:v>
      </x:c>
      <x:c r="U74" s="31" t="n">
        <x:f>IF(T74="","",I74*T74)</x:f>
        <x:v>68294.84976347904</x:v>
      </x:c>
    </x:row>
    <x:row r="75" ht="18" customHeight="1">
      <x:c r="A75" s="24" t="str">
        <x:v>EEZ_620</x:v>
      </x:c>
      <x:c r="B75" s="24" t="str">
        <x:v>Portugal (mainland)</x:v>
      </x:c>
      <x:c r="C75" s="24" t="str">
        <x:v>EEZ</x:v>
      </x:c>
      <x:c r="D75" s="30" t="n">
        <x:v>2019</x:v>
      </x:c>
      <x:c r="E75" s="24" t="str">
        <x:v>Pleuronectiformes</x:v>
      </x:c>
      <x:c r="F75" s="24" t="str">
        <x:v>Flatfishes</x:v>
      </x:c>
      <x:c r="G75" s="24" t="str">
        <x:v>Small to medium flatfishes (&lt;90 cm)</x:v>
      </x:c>
      <x:c r="H75" s="24" t="str">
        <x:v>Flatfishes</x:v>
      </x:c>
      <x:c r="I75" s="31" t="n">
        <x:v>124.04423812739999</x:v>
      </x:c>
      <x:c r="J75" s="31" t="n">
        <x:v>124.0000513002</x:v>
      </x:c>
      <x:c r="K75" s="31" t="n">
        <x:v>0.0441868272</x:v>
      </x:c>
      <x:c r="L75" s="31" t="n">
        <x:v>124.0000513002</x:v>
      </x:c>
      <x:c r="M75" s="31" t="n">
        <x:v>0.0441868272</x:v>
      </x:c>
      <x:c r="N75" s="24" t="str">
        <x:v>pleuronectiformes</x:v>
      </x:c>
      <x:c r="O75" s="32" t="n">
        <x:v>3.57</x:v>
      </x:c>
      <x:c r="P75" s="24" t="str">
        <x:v>exact_sea_around_us</x:v>
      </x:c>
      <x:c r="Q75" s="32" t="str">
        <x:v>Sea Around Us exploited organisms</x:v>
      </x:c>
      <x:c r="R75" s="24" t="str">
        <x:v>high</x:v>
      </x:c>
      <x:c r="S75" s="24" t="str">
        <x:v>Pleuronectiformes</x:v>
      </x:c>
      <x:c r="T75" s="32" t="n">
        <x:f>IF(O75="","",(1/'Metadata'!$B$5)^(O75-1))</x:f>
        <x:v>371.5352290971724</x:v>
      </x:c>
      <x:c r="U75" s="31" t="n">
        <x:f>IF(T75="","",I75*T75)</x:f>
        <x:v>46086.80443084777</x:v>
      </x:c>
    </x:row>
    <x:row r="76" ht="18" customHeight="1">
      <x:c r="A76" s="24" t="str">
        <x:v>EEZ_620</x:v>
      </x:c>
      <x:c r="B76" s="24" t="str">
        <x:v>Portugal (mainland)</x:v>
      </x:c>
      <x:c r="C76" s="24" t="str">
        <x:v>EEZ</x:v>
      </x:c>
      <x:c r="D76" s="30" t="n">
        <x:v>2019</x:v>
      </x:c>
      <x:c r="E76" s="24" t="str">
        <x:v>Pleuronectes platessa</x:v>
      </x:c>
      <x:c r="F76" s="24" t="str">
        <x:v>European plaice</x:v>
      </x:c>
      <x:c r="G76" s="24" t="str">
        <x:v>Large flatfishes (&gt;=90 cm)</x:v>
      </x:c>
      <x:c r="H76" s="24" t="str">
        <x:v>Flatfishes</x:v>
      </x:c>
      <x:c r="I76" s="31" t="n">
        <x:v>113.1842967056</x:v>
      </x:c>
      <x:c r="J76" s="31" t="n">
        <x:v>76.00025691510001</x:v>
      </x:c>
      <x:c r="K76" s="31" t="n">
        <x:v>37.1840397905</x:v>
      </x:c>
      <x:c r="L76" s="31" t="n">
        <x:v>76.00025691510001</x:v>
      </x:c>
      <x:c r="M76" s="31" t="n">
        <x:v>37.1840397905</x:v>
      </x:c>
      <x:c r="N76" s="24" t="str">
        <x:v>pleuronectes platessa</x:v>
      </x:c>
      <x:c r="O76" s="32" t="n">
        <x:v>3.26</x:v>
      </x:c>
      <x:c r="P76" s="24" t="str">
        <x:v>exact_2020_supplement</x:v>
      </x:c>
      <x:c r="Q76" s="32" t="str">
        <x:v>2020 supplement MeanTL</x:v>
      </x:c>
      <x:c r="R76" s="24" t="str">
        <x:v>high</x:v>
      </x:c>
      <x:c r="S76" s="24" t="str">
        <x:v>Pleuronectes platessa</x:v>
      </x:c>
      <x:c r="T76" s="32" t="n">
        <x:f>IF(O76="","",(1/'Metadata'!$B$5)^(O76-1))</x:f>
        <x:v>181.97008586099827</x:v>
      </x:c>
      <x:c r="U76" s="31" t="n">
        <x:f>IF(T76="","",I76*T76)</x:f>
        <x:v>20596.156189634738</x:v>
      </x:c>
    </x:row>
    <x:row r="77" ht="18" customHeight="1">
      <x:c r="A77" s="24" t="str">
        <x:v>EEZ_620</x:v>
      </x:c>
      <x:c r="B77" s="24" t="str">
        <x:v>Portugal (mainland)</x:v>
      </x:c>
      <x:c r="C77" s="24" t="str">
        <x:v>EEZ</x:v>
      </x:c>
      <x:c r="D77" s="30" t="n">
        <x:v>2019</x:v>
      </x:c>
      <x:c r="E77" s="24" t="str">
        <x:v>Helicolenus dactylopterus</x:v>
      </x:c>
      <x:c r="F77" s="24" t="str">
        <x:v>Blackbelly rosefish</x:v>
      </x:c>
      <x:c r="G77" s="24" t="str">
        <x:v>Medium bathydemersals (30 - 89 cm)</x:v>
      </x:c>
      <x:c r="H77" s="24" t="str">
        <x:v>Scorpionfishes</x:v>
      </x:c>
      <x:c r="I77" s="31" t="n">
        <x:v>112.4817758261</x:v>
      </x:c>
      <x:c r="J77" s="31" t="n">
        <x:v>0</x:v>
      </x:c>
      <x:c r="K77" s="31" t="n">
        <x:v>112.4817758261</x:v>
      </x:c>
      <x:c r="L77" s="31" t="n">
        <x:v>0</x:v>
      </x:c>
      <x:c r="M77" s="31" t="n">
        <x:v>112.4817758261</x:v>
      </x:c>
      <x:c r="N77" s="24" t="str">
        <x:v>helicolenus dactylopterus</x:v>
      </x:c>
      <x:c r="O77" s="32" t="n">
        <x:v>3.54</x:v>
      </x:c>
      <x:c r="P77" s="24" t="str">
        <x:v>exact_2020_supplement</x:v>
      </x:c>
      <x:c r="Q77" s="32" t="str">
        <x:v>2020 supplement MeanTL</x:v>
      </x:c>
      <x:c r="R77" s="24" t="str">
        <x:v>high</x:v>
      </x:c>
      <x:c r="S77" s="24" t="str">
        <x:v>Helicolenus dactylopterus</x:v>
      </x:c>
      <x:c r="T77" s="32" t="n">
        <x:f>IF(O77="","",(1/'Metadata'!$B$5)^(O77-1))</x:f>
        <x:v>346.73685045253166</x:v>
      </x:c>
      <x:c r="U77" s="31" t="n">
        <x:f>IF(T77="","",I77*T77)</x:f>
        <x:v>39001.57668324963</x:v>
      </x:c>
    </x:row>
    <x:row r="78" ht="18" customHeight="1">
      <x:c r="A78" s="24" t="str">
        <x:v>EEZ_620</x:v>
      </x:c>
      <x:c r="B78" s="24" t="str">
        <x:v>Portugal (mainland)</x:v>
      </x:c>
      <x:c r="C78" s="24" t="str">
        <x:v>EEZ</x:v>
      </x:c>
      <x:c r="D78" s="30" t="n">
        <x:v>2019</x:v>
      </x:c>
      <x:c r="E78" s="24" t="str">
        <x:v>Alosa alosa</x:v>
      </x:c>
      <x:c r="F78" s="24" t="str">
        <x:v>Allis shad</x:v>
      </x:c>
      <x:c r="G78" s="24" t="str">
        <x:v>Medium pelagics (30 - 89 cm)</x:v>
      </x:c>
      <x:c r="H78" s="24" t="str">
        <x:v>Herring-likes</x:v>
      </x:c>
      <x:c r="I78" s="31" t="n">
        <x:v>107.00021445089999</x:v>
      </x:c>
      <x:c r="J78" s="31" t="n">
        <x:v>107.00021445089999</x:v>
      </x:c>
      <x:c r="K78" s="31" t="n">
        <x:v>0</x:v>
      </x:c>
      <x:c r="L78" s="31" t="n">
        <x:v>107.00021445089999</x:v>
      </x:c>
      <x:c r="M78" s="31" t="n">
        <x:v>0</x:v>
      </x:c>
      <x:c r="N78" s="24" t="str">
        <x:v>alosa alosa</x:v>
      </x:c>
      <x:c r="O78" s="32" t="n">
        <x:v>2.95</x:v>
      </x:c>
      <x:c r="P78" s="24" t="str">
        <x:v>exact_2020_supplement</x:v>
      </x:c>
      <x:c r="Q78" s="32" t="str">
        <x:v>2020 supplement MeanTL</x:v>
      </x:c>
      <x:c r="R78" s="24" t="str">
        <x:v>high</x:v>
      </x:c>
      <x:c r="S78" s="24" t="str">
        <x:v>Alosa alosa</x:v>
      </x:c>
      <x:c r="T78" s="32" t="n">
        <x:f>IF(O78="","",(1/'Metadata'!$B$5)^(O78-1))</x:f>
        <x:v>89.12509381337459</x:v>
      </x:c>
      <x:c r="U78" s="31" t="n">
        <x:f>IF(T78="","",I78*T78)</x:f>
        <x:v>9536.40415098766</x:v>
      </x:c>
    </x:row>
    <x:row r="79" ht="18" customHeight="1">
      <x:c r="A79" s="24" t="str">
        <x:v>EEZ_620</x:v>
      </x:c>
      <x:c r="B79" s="24" t="str">
        <x:v>Portugal (mainland)</x:v>
      </x:c>
      <x:c r="C79" s="24" t="str">
        <x:v>EEZ</x:v>
      </x:c>
      <x:c r="D79" s="30" t="n">
        <x:v>2019</x:v>
      </x:c>
      <x:c r="E79" s="24" t="str">
        <x:v>Auxis rochei</x:v>
      </x:c>
      <x:c r="F79" s="24" t="str">
        <x:v>Bullet tuna</x:v>
      </x:c>
      <x:c r="G79" s="24" t="str">
        <x:v>Medium pelagics (30 - 89 cm)</x:v>
      </x:c>
      <x:c r="H79" s="24" t="str">
        <x:v>Tuna &amp; billfishes</x:v>
      </x:c>
      <x:c r="I79" s="31" t="n">
        <x:v>106.0017618915</x:v>
      </x:c>
      <x:c r="J79" s="31" t="n">
        <x:v>106.0017618915</x:v>
      </x:c>
      <x:c r="K79" s="31" t="n">
        <x:v>0</x:v>
      </x:c>
      <x:c r="L79" s="31" t="n">
        <x:v>106.0017618915</x:v>
      </x:c>
      <x:c r="M79" s="31" t="n">
        <x:v>0</x:v>
      </x:c>
      <x:c r="N79" s="24" t="str">
        <x:v>auxis rochei</x:v>
      </x:c>
      <x:c r="O79" s="32" t="n">
        <x:v>4.13</x:v>
      </x:c>
      <x:c r="P79" s="24" t="str">
        <x:v>exact_2020_supplement</x:v>
      </x:c>
      <x:c r="Q79" s="32" t="str">
        <x:v>2020 supplement MeanTL</x:v>
      </x:c>
      <x:c r="R79" s="24" t="str">
        <x:v>high</x:v>
      </x:c>
      <x:c r="S79" s="24" t="str">
        <x:v>Auxis rochei</x:v>
      </x:c>
      <x:c r="T79" s="32" t="n">
        <x:f>IF(O79="","",(1/'Metadata'!$B$5)^(O79-1))</x:f>
        <x:v>1348.9628825916532</x:v>
      </x:c>
      <x:c r="U79" s="31" t="n">
        <x:f>IF(T79="","",I79*T79)</x:f>
        <x:v>142992.4422809519</x:v>
      </x:c>
    </x:row>
    <x:row r="80" ht="18" customHeight="1">
      <x:c r="A80" s="24" t="str">
        <x:v>EEZ_620</x:v>
      </x:c>
      <x:c r="B80" s="24" t="str">
        <x:v>Portugal (mainland)</x:v>
      </x:c>
      <x:c r="C80" s="24" t="str">
        <x:v>EEZ</x:v>
      </x:c>
      <x:c r="D80" s="30" t="n">
        <x:v>2019</x:v>
      </x:c>
      <x:c r="E80" s="24" t="str">
        <x:v>Echinoidea</x:v>
      </x:c>
      <x:c r="F80" s="24" t="str">
        <x:v>Sea urchins, sea hedgehogs</x:v>
      </x:c>
      <x:c r="G80" s="24" t="str">
        <x:v>Other demersal invertebrates</x:v>
      </x:c>
      <x:c r="H80" s="24" t="str">
        <x:v>Other fishes &amp; inverts</x:v>
      </x:c>
      <x:c r="I80" s="31" t="n">
        <x:v>103.3897385638</x:v>
      </x:c>
      <x:c r="J80" s="31" t="n">
        <x:v>0.0000513001</x:v>
      </x:c>
      <x:c r="K80" s="31" t="n">
        <x:v>103.3896872637</x:v>
      </x:c>
      <x:c r="L80" s="31" t="n">
        <x:v>0.0000513001</x:v>
      </x:c>
      <x:c r="M80" s="31" t="n">
        <x:v>103.3896872637</x:v>
      </x:c>
      <x:c r="N80" s="24" t="str">
        <x:v>echinoidea</x:v>
      </x:c>
      <x:c r="O80" s="32" t="n">
        <x:v>2.51</x:v>
      </x:c>
      <x:c r="P80" s="24" t="str">
        <x:v>exact_sea_around_us</x:v>
      </x:c>
      <x:c r="Q80" s="32" t="str">
        <x:v>Sea Around Us exploited organisms</x:v>
      </x:c>
      <x:c r="R80" s="24" t="str">
        <x:v>high</x:v>
      </x:c>
      <x:c r="S80" s="24" t="str">
        <x:v>Echinoidea</x:v>
      </x:c>
      <x:c r="T80" s="32" t="n">
        <x:f>IF(O80="","",(1/'Metadata'!$B$5)^(O80-1))</x:f>
        <x:v>32.35936569296281</x:v>
      </x:c>
      <x:c r="U80" s="31" t="n">
        <x:f>IF(T80="","",I80*T80)</x:f>
        <x:v>3345.626359085824</x:v>
      </x:c>
    </x:row>
    <x:row r="81" ht="18" customHeight="1">
      <x:c r="A81" s="24" t="str">
        <x:v>EEZ_620</x:v>
      </x:c>
      <x:c r="B81" s="24" t="str">
        <x:v>Portugal (mainland)</x:v>
      </x:c>
      <x:c r="C81" s="24" t="str">
        <x:v>EEZ</x:v>
      </x:c>
      <x:c r="D81" s="30" t="n">
        <x:v>2019</x:v>
      </x:c>
      <x:c r="E81" s="24" t="str">
        <x:v>Isurus oxyrinchus</x:v>
      </x:c>
      <x:c r="F81" s="24" t="str">
        <x:v>Shortfin mako</x:v>
      </x:c>
      <x:c r="G81" s="24" t="str">
        <x:v>Large sharks (&gt;=90 cm)</x:v>
      </x:c>
      <x:c r="H81" s="24" t="str">
        <x:v>Sharks &amp; rays</x:v>
      </x:c>
      <x:c r="I81" s="31" t="n">
        <x:v>101.84782897170001</x:v>
      </x:c>
      <x:c r="J81" s="31" t="n">
        <x:v>101.7877344882</x:v>
      </x:c>
      <x:c r="K81" s="31" t="n">
        <x:v>0.0600944835</x:v>
      </x:c>
      <x:c r="L81" s="31" t="n">
        <x:v>101.7877344882</x:v>
      </x:c>
      <x:c r="M81" s="31" t="n">
        <x:v>0.0600944835</x:v>
      </x:c>
      <x:c r="N81" s="24" t="str">
        <x:v>isurus oxyrinchus</x:v>
      </x:c>
      <x:c r="O81" s="32" t="n">
        <x:v>4.5</x:v>
      </x:c>
      <x:c r="P81" s="24" t="str">
        <x:v>exact_2020_supplement</x:v>
      </x:c>
      <x:c r="Q81" s="32" t="str">
        <x:v>2020 supplement MeanTL</x:v>
      </x:c>
      <x:c r="R81" s="24" t="str">
        <x:v>high</x:v>
      </x:c>
      <x:c r="S81" s="24" t="str">
        <x:v>Isurus oxyrinchus</x:v>
      </x:c>
      <x:c r="T81" s="32" t="n">
        <x:f>IF(O81="","",(1/'Metadata'!$B$5)^(O81-1))</x:f>
        <x:v>3162.2776601683795</x:v>
      </x:c>
      <x:c r="U81" s="31" t="n">
        <x:f>IF(T81="","",I81*T81)</x:f>
        <x:v>322071.1142938568</x:v>
      </x:c>
    </x:row>
    <x:row r="82" ht="18" customHeight="1">
      <x:c r="A82" s="24" t="str">
        <x:v>EEZ_620</x:v>
      </x:c>
      <x:c r="B82" s="24" t="str">
        <x:v>Portugal (mainland)</x:v>
      </x:c>
      <x:c r="C82" s="24" t="str">
        <x:v>EEZ</x:v>
      </x:c>
      <x:c r="D82" s="30" t="n">
        <x:v>2019</x:v>
      </x:c>
      <x:c r="E82" s="24" t="str">
        <x:v>Spondyliosoma cantharus</x:v>
      </x:c>
      <x:c r="F82" s="24" t="str">
        <x:v>Black seabream</x:v>
      </x:c>
      <x:c r="G82" s="24" t="str">
        <x:v>Medium benthopelagics (30 - 89 cm)</x:v>
      </x:c>
      <x:c r="H82" s="24" t="str">
        <x:v>Perch-likes</x:v>
      </x:c>
      <x:c r="I82" s="31" t="n">
        <x:v>96.09179715319999</x:v>
      </x:c>
      <x:c r="J82" s="31" t="n">
        <x:v>6.4595092012999995</x:v>
      </x:c>
      <x:c r="K82" s="31" t="n">
        <x:v>89.6322879519</x:v>
      </x:c>
      <x:c r="L82" s="31" t="n">
        <x:v>0</x:v>
      </x:c>
      <x:c r="M82" s="31" t="n">
        <x:v>96.09179715319999</x:v>
      </x:c>
      <x:c r="N82" s="24" t="str">
        <x:v>spondyliosoma cantharus</x:v>
      </x:c>
      <x:c r="O82" s="32" t="n">
        <x:v>3.34</x:v>
      </x:c>
      <x:c r="P82" s="24" t="str">
        <x:v>exact_2020_supplement</x:v>
      </x:c>
      <x:c r="Q82" s="32" t="str">
        <x:v>2020 supplement MeanTL</x:v>
      </x:c>
      <x:c r="R82" s="24" t="str">
        <x:v>high</x:v>
      </x:c>
      <x:c r="S82" s="24" t="str">
        <x:v>Spondyliosoma cantharus</x:v>
      </x:c>
      <x:c r="T82" s="32" t="n">
        <x:f>IF(O82="","",(1/'Metadata'!$B$5)^(O82-1))</x:f>
        <x:v>218.77616239495518</x:v>
      </x:c>
      <x:c r="U82" s="31" t="n">
        <x:f>IF(T82="","",I82*T82)</x:f>
        <x:v>21022.594618811574</x:v>
      </x:c>
    </x:row>
    <x:row r="83" ht="18" customHeight="1">
      <x:c r="A83" s="24" t="str">
        <x:v>EEZ_620</x:v>
      </x:c>
      <x:c r="B83" s="24" t="str">
        <x:v>Portugal (mainland)</x:v>
      </x:c>
      <x:c r="C83" s="24" t="str">
        <x:v>EEZ</x:v>
      </x:c>
      <x:c r="D83" s="30" t="n">
        <x:v>2019</x:v>
      </x:c>
      <x:c r="E83" s="24" t="str">
        <x:v>Pagrus pagrus</x:v>
      </x:c>
      <x:c r="F83" s="24" t="str">
        <x:v>Red porgy</x:v>
      </x:c>
      <x:c r="G83" s="24" t="str">
        <x:v>Medium benthopelagics (30 - 89 cm)</x:v>
      </x:c>
      <x:c r="H83" s="24" t="str">
        <x:v>Perch-likes</x:v>
      </x:c>
      <x:c r="I83" s="31" t="n">
        <x:v>93.3936080783</x:v>
      </x:c>
      <x:c r="J83" s="31" t="n">
        <x:v>0</x:v>
      </x:c>
      <x:c r="K83" s="31" t="n">
        <x:v>93.3936080783</x:v>
      </x:c>
      <x:c r="L83" s="31" t="n">
        <x:v>0</x:v>
      </x:c>
      <x:c r="M83" s="31" t="n">
        <x:v>93.3936080783</x:v>
      </x:c>
      <x:c r="N83" s="24" t="str">
        <x:v>pagrus pagrus</x:v>
      </x:c>
      <x:c r="O83" s="32" t="n">
        <x:v>3.86</x:v>
      </x:c>
      <x:c r="P83" s="24" t="str">
        <x:v>exact_2020_supplement</x:v>
      </x:c>
      <x:c r="Q83" s="32" t="str">
        <x:v>2020 supplement MeanTL</x:v>
      </x:c>
      <x:c r="R83" s="24" t="str">
        <x:v>high</x:v>
      </x:c>
      <x:c r="S83" s="24" t="str">
        <x:v>Pagrus pagrus</x:v>
      </x:c>
      <x:c r="T83" s="32" t="n">
        <x:f>IF(O83="","",(1/'Metadata'!$B$5)^(O83-1))</x:f>
        <x:v>724.4359600749899</x:v>
      </x:c>
      <x:c r="U83" s="31" t="n">
        <x:f>IF(T83="","",I83*T83)</x:f>
        <x:v>67657.6881330706</x:v>
      </x:c>
    </x:row>
    <x:row r="84" ht="18" customHeight="1">
      <x:c r="A84" s="24" t="str">
        <x:v>EEZ_620</x:v>
      </x:c>
      <x:c r="B84" s="24" t="str">
        <x:v>Portugal (mainland)</x:v>
      </x:c>
      <x:c r="C84" s="24" t="str">
        <x:v>EEZ</x:v>
      </x:c>
      <x:c r="D84" s="30" t="n">
        <x:v>2019</x:v>
      </x:c>
      <x:c r="E84" s="24" t="str">
        <x:v>Spicara maena</x:v>
      </x:c>
      <x:c r="F84" s="24" t="str">
        <x:v>Blotched picarel</x:v>
      </x:c>
      <x:c r="G84" s="24" t="str">
        <x:v>Small demersals (&lt;30 cm)</x:v>
      </x:c>
      <x:c r="H84" s="24" t="str">
        <x:v>Perch-likes</x:v>
      </x:c>
      <x:c r="I84" s="31" t="n">
        <x:v>91.0182362053</x:v>
      </x:c>
      <x:c r="J84" s="31" t="n">
        <x:v>0</x:v>
      </x:c>
      <x:c r="K84" s="31" t="n">
        <x:v>91.0182362053</x:v>
      </x:c>
      <x:c r="L84" s="31" t="n">
        <x:v>0</x:v>
      </x:c>
      <x:c r="M84" s="31" t="n">
        <x:v>91.0182362053</x:v>
      </x:c>
      <x:c r="N84" s="24" t="str">
        <x:v>spicara maena</x:v>
      </x:c>
      <x:c r="O84" s="32" t="n">
        <x:v>4.15</x:v>
      </x:c>
      <x:c r="P84" s="24" t="str">
        <x:v>exact_2020_supplement</x:v>
      </x:c>
      <x:c r="Q84" s="32" t="str">
        <x:v>2020 supplement MeanTL</x:v>
      </x:c>
      <x:c r="R84" s="24" t="str">
        <x:v>high</x:v>
      </x:c>
      <x:c r="S84" s="24" t="str">
        <x:v>Spicara maena</x:v>
      </x:c>
      <x:c r="T84" s="32" t="n">
        <x:f>IF(O84="","",(1/'Metadata'!$B$5)^(O84-1))</x:f>
        <x:v>1412.5375446227554</x:v>
      </x:c>
      <x:c r="U84" s="31" t="n">
        <x:f>IF(T84="","",I84*T84)</x:f>
        <x:v>128566.67588532844</x:v>
      </x:c>
    </x:row>
    <x:row r="85" ht="18" customHeight="1">
      <x:c r="A85" s="24" t="str">
        <x:v>EEZ_620</x:v>
      </x:c>
      <x:c r="B85" s="24" t="str">
        <x:v>Portugal (mainland)</x:v>
      </x:c>
      <x:c r="C85" s="24" t="str">
        <x:v>EEZ</x:v>
      </x:c>
      <x:c r="D85" s="30" t="n">
        <x:v>2019</x:v>
      </x:c>
      <x:c r="E85" s="24" t="str">
        <x:v>Scophthalmus maximus</x:v>
      </x:c>
      <x:c r="F85" s="24" t="str">
        <x:v>Turbot</x:v>
      </x:c>
      <x:c r="G85" s="24" t="str">
        <x:v>Large flatfishes (&gt;=90 cm)</x:v>
      </x:c>
      <x:c r="H85" s="24" t="str">
        <x:v>Flatfishes</x:v>
      </x:c>
      <x:c r="I85" s="31" t="n">
        <x:v>88.1813272139</x:v>
      </x:c>
      <x:c r="J85" s="31" t="n">
        <x:v>88.0000000001</x:v>
      </x:c>
      <x:c r="K85" s="31" t="n">
        <x:v>0.1813272138</x:v>
      </x:c>
      <x:c r="L85" s="31" t="n">
        <x:v>88.0000000001</x:v>
      </x:c>
      <x:c r="M85" s="31" t="n">
        <x:v>0.1813272138</x:v>
      </x:c>
      <x:c r="N85" s="24" t="str">
        <x:v>scophthalmus maximus</x:v>
      </x:c>
      <x:c r="O85" s="32" t="n">
        <x:v>4.36</x:v>
      </x:c>
      <x:c r="P85" s="24" t="str">
        <x:v>exact_2020_supplement</x:v>
      </x:c>
      <x:c r="Q85" s="32" t="str">
        <x:v>2020 supplement MeanTL</x:v>
      </x:c>
      <x:c r="R85" s="24" t="str">
        <x:v>high</x:v>
      </x:c>
      <x:c r="S85" s="24" t="str">
        <x:v>Scophthalmus maximus</x:v>
      </x:c>
      <x:c r="T85" s="32" t="n">
        <x:f>IF(O85="","",(1/'Metadata'!$B$5)^(O85-1))</x:f>
        <x:v>2290.867652767775</x:v>
      </x:c>
      <x:c r="U85" s="31" t="n">
        <x:f>IF(T85="","",I85*T85)</x:f>
        <x:v>202011.75009245423</x:v>
      </x:c>
    </x:row>
    <x:row r="86" ht="18" customHeight="1">
      <x:c r="A86" s="24" t="str">
        <x:v>EEZ_620</x:v>
      </x:c>
      <x:c r="B86" s="24" t="str">
        <x:v>Portugal (mainland)</x:v>
      </x:c>
      <x:c r="C86" s="24" t="str">
        <x:v>EEZ</x:v>
      </x:c>
      <x:c r="D86" s="30" t="n">
        <x:v>2019</x:v>
      </x:c>
      <x:c r="E86" s="24" t="str">
        <x:v>Polyprion americanus</x:v>
      </x:c>
      <x:c r="F86" s="24" t="str">
        <x:v>Wreckfish</x:v>
      </x:c>
      <x:c r="G86" s="24" t="str">
        <x:v>Large bathydemersals (&gt;=90 cm)</x:v>
      </x:c>
      <x:c r="H86" s="24" t="str">
        <x:v>Perch-likes</x:v>
      </x:c>
      <x:c r="I86" s="31" t="n">
        <x:v>76</x:v>
      </x:c>
      <x:c r="J86" s="31" t="n">
        <x:v>76</x:v>
      </x:c>
      <x:c r="K86" s="31" t="n">
        <x:v>0</x:v>
      </x:c>
      <x:c r="L86" s="31" t="n">
        <x:v>76</x:v>
      </x:c>
      <x:c r="M86" s="31" t="n">
        <x:v>0</x:v>
      </x:c>
      <x:c r="N86" s="24" t="str">
        <x:v>polyprion americanus</x:v>
      </x:c>
      <x:c r="O86" s="32" t="n">
        <x:v>4.14</x:v>
      </x:c>
      <x:c r="P86" s="24" t="str">
        <x:v>exact_2020_supplement</x:v>
      </x:c>
      <x:c r="Q86" s="32" t="str">
        <x:v>2020 supplement MeanTL</x:v>
      </x:c>
      <x:c r="R86" s="24" t="str">
        <x:v>high</x:v>
      </x:c>
      <x:c r="S86" s="24" t="str">
        <x:v>Polyprion americanus</x:v>
      </x:c>
      <x:c r="T86" s="32" t="n">
        <x:f>IF(O86="","",(1/'Metadata'!$B$5)^(O86-1))</x:f>
        <x:v>1380.3842646028838</x:v>
      </x:c>
      <x:c r="U86" s="31" t="n">
        <x:f>IF(T86="","",I86*T86)</x:f>
        <x:v>104909.20410981917</x:v>
      </x:c>
    </x:row>
    <x:row r="87" ht="18" customHeight="1">
      <x:c r="A87" s="24" t="str">
        <x:v>EEZ_620</x:v>
      </x:c>
      <x:c r="B87" s="24" t="str">
        <x:v>Portugal (mainland)</x:v>
      </x:c>
      <x:c r="C87" s="24" t="str">
        <x:v>EEZ</x:v>
      </x:c>
      <x:c r="D87" s="30" t="n">
        <x:v>2019</x:v>
      </x:c>
      <x:c r="E87" s="24" t="str">
        <x:v>Scophthalmus rhombus</x:v>
      </x:c>
      <x:c r="F87" s="24" t="str">
        <x:v>Brill</x:v>
      </x:c>
      <x:c r="G87" s="24" t="str">
        <x:v>Small to medium flatfishes (&lt;90 cm)</x:v>
      </x:c>
      <x:c r="H87" s="24" t="str">
        <x:v>Flatfishes</x:v>
      </x:c>
      <x:c r="I87" s="31" t="n">
        <x:v>58.441376246</x:v>
      </x:c>
      <x:c r="J87" s="31" t="n">
        <x:v>58.0000000002</x:v>
      </x:c>
      <x:c r="K87" s="31" t="n">
        <x:v>0.4413762458</x:v>
      </x:c>
      <x:c r="L87" s="31" t="n">
        <x:v>58.0000000002</x:v>
      </x:c>
      <x:c r="M87" s="31" t="n">
        <x:v>0.4413762458</x:v>
      </x:c>
      <x:c r="N87" s="24" t="str">
        <x:v>scophthalmus rhombus</x:v>
      </x:c>
      <x:c r="O87" s="32" t="n">
        <x:v>4.42</x:v>
      </x:c>
      <x:c r="P87" s="24" t="str">
        <x:v>exact_2020_supplement</x:v>
      </x:c>
      <x:c r="Q87" s="32" t="str">
        <x:v>2020 supplement MeanTL</x:v>
      </x:c>
      <x:c r="R87" s="24" t="str">
        <x:v>high</x:v>
      </x:c>
      <x:c r="S87" s="24" t="str">
        <x:v>Scophthalmus rhombus</x:v>
      </x:c>
      <x:c r="T87" s="32" t="n">
        <x:f>IF(O87="","",(1/'Metadata'!$B$5)^(O87-1))</x:f>
        <x:v>2630.2679918953813</x:v>
      </x:c>
      <x:c r="U87" s="31" t="n">
        <x:f>IF(T87="","",I87*T87)</x:f>
        <x:v>153716.48134216885</x:v>
      </x:c>
    </x:row>
    <x:row r="88" ht="18" customHeight="1">
      <x:c r="A88" s="24" t="str">
        <x:v>EEZ_620</x:v>
      </x:c>
      <x:c r="B88" s="24" t="str">
        <x:v>Portugal (mainland)</x:v>
      </x:c>
      <x:c r="C88" s="24" t="str">
        <x:v>EEZ</x:v>
      </x:c>
      <x:c r="D88" s="30" t="n">
        <x:v>2019</x:v>
      </x:c>
      <x:c r="E88" s="24" t="str">
        <x:v>Elasmobranchii</x:v>
      </x:c>
      <x:c r="F88" s="24" t="str">
        <x:v>Sharks, rays, skates</x:v>
      </x:c>
      <x:c r="G88" s="24" t="str">
        <x:v>Large sharks (&gt;=90 cm)</x:v>
      </x:c>
      <x:c r="H88" s="24" t="str">
        <x:v>Sharks &amp; rays</x:v>
      </x:c>
      <x:c r="I88" s="31" t="n">
        <x:v>58.000106433099994</x:v>
      </x:c>
      <x:c r="J88" s="31" t="n">
        <x:v>58.000106433099994</x:v>
      </x:c>
      <x:c r="K88" s="31" t="n">
        <x:v>0</x:v>
      </x:c>
      <x:c r="L88" s="31" t="n">
        <x:v>58.000106433099994</x:v>
      </x:c>
      <x:c r="M88" s="31" t="n">
        <x:v>0</x:v>
      </x:c>
      <x:c r="N88" s="24" t="str">
        <x:v>elasmobranchii</x:v>
      </x:c>
      <x:c r="O88" s="32" t="n">
        <x:v>4.05</x:v>
      </x:c>
      <x:c r="P88" s="24" t="str">
        <x:v>exact_sea_around_us</x:v>
      </x:c>
      <x:c r="Q88" s="32" t="str">
        <x:v>Sea Around Us exploited organisms</x:v>
      </x:c>
      <x:c r="R88" s="24" t="str">
        <x:v>high</x:v>
      </x:c>
      <x:c r="S88" s="24" t="str">
        <x:v>Elasmobranchii</x:v>
      </x:c>
      <x:c r="T88" s="32" t="n">
        <x:f>IF(O88="","",(1/'Metadata'!$B$5)^(O88-1))</x:f>
        <x:v>1122.018454301963</x:v>
      </x:c>
      <x:c r="U88" s="31" t="n">
        <x:f>IF(T88="","",I88*T88)</x:f>
        <x:v>65077.18976941619</x:v>
      </x:c>
    </x:row>
    <x:row r="89" ht="18" customHeight="1">
      <x:c r="A89" s="24" t="str">
        <x:v>EEZ_620</x:v>
      </x:c>
      <x:c r="B89" s="24" t="str">
        <x:v>Portugal (mainland)</x:v>
      </x:c>
      <x:c r="C89" s="24" t="str">
        <x:v>EEZ</x:v>
      </x:c>
      <x:c r="D89" s="30" t="n">
        <x:v>2019</x:v>
      </x:c>
      <x:c r="E89" s="24" t="str">
        <x:v>Diplodus vulgaris</x:v>
      </x:c>
      <x:c r="F89" s="24" t="str">
        <x:v>Common two-banded seabream</x:v>
      </x:c>
      <x:c r="G89" s="24" t="str">
        <x:v>Medium benthopelagics (30 - 89 cm)</x:v>
      </x:c>
      <x:c r="H89" s="24" t="str">
        <x:v>Perch-likes</x:v>
      </x:c>
      <x:c r="I89" s="31" t="n">
        <x:v>56.304117871900004</x:v>
      </x:c>
      <x:c r="J89" s="31" t="n">
        <x:v>54.6122400262</x:v>
      </x:c>
      <x:c r="K89" s="31" t="n">
        <x:v>1.6918778457</x:v>
      </x:c>
      <x:c r="L89" s="31" t="n">
        <x:v>0</x:v>
      </x:c>
      <x:c r="M89" s="31" t="n">
        <x:v>56.304117871900004</x:v>
      </x:c>
      <x:c r="N89" s="24" t="str">
        <x:v>diplodus vulgaris</x:v>
      </x:c>
      <x:c r="O89" s="32" t="n">
        <x:v>3.52</x:v>
      </x:c>
      <x:c r="P89" s="24" t="str">
        <x:v>exact_2020_supplement</x:v>
      </x:c>
      <x:c r="Q89" s="32" t="str">
        <x:v>2020 supplement MeanTL</x:v>
      </x:c>
      <x:c r="R89" s="24" t="str">
        <x:v>high</x:v>
      </x:c>
      <x:c r="S89" s="24" t="str">
        <x:v>Diplodus vulgaris</x:v>
      </x:c>
      <x:c r="T89" s="32" t="n">
        <x:f>IF(O89="","",(1/'Metadata'!$B$5)^(O89-1))</x:f>
        <x:v>331.1311214825911</x:v>
      </x:c>
      <x:c r="U89" s="31" t="n">
        <x:f>IF(T89="","",I89*T89)</x:f>
        <x:v>18644.04569501025</x:v>
      </x:c>
    </x:row>
    <x:row r="90" ht="18" customHeight="1">
      <x:c r="A90" s="24" t="str">
        <x:v>EEZ_620</x:v>
      </x:c>
      <x:c r="B90" s="24" t="str">
        <x:v>Portugal (mainland)</x:v>
      </x:c>
      <x:c r="C90" s="24" t="str">
        <x:v>EEZ</x:v>
      </x:c>
      <x:c r="D90" s="30" t="n">
        <x:v>2019</x:v>
      </x:c>
      <x:c r="E90" s="24" t="str">
        <x:v>Cnidaria</x:v>
      </x:c>
      <x:c r="F90" s="24" t="str">
        <x:v>Cnidarians, coelenterates</x:v>
      </x:c>
      <x:c r="G90" s="24" t="str">
        <x:v>Jellyfish</x:v>
      </x:c>
      <x:c r="H90" s="24" t="str">
        <x:v>Other fishes &amp; inverts</x:v>
      </x:c>
      <x:c r="I90" s="31" t="n">
        <x:v>55.7760596857</x:v>
      </x:c>
      <x:c r="J90" s="31" t="n">
        <x:v>0</x:v>
      </x:c>
      <x:c r="K90" s="31" t="n">
        <x:v>55.7760596857</x:v>
      </x:c>
      <x:c r="L90" s="31" t="n">
        <x:v>0</x:v>
      </x:c>
      <x:c r="M90" s="31" t="n">
        <x:v>55.7760596857</x:v>
      </x:c>
      <x:c r="N90" s="24" t="str">
        <x:v>cnidaria</x:v>
      </x:c>
      <x:c r="O90" s="32" t="n">
        <x:v>2.5</x:v>
      </x:c>
      <x:c r="P90" s="24" t="str">
        <x:v>exact_sea_around_us</x:v>
      </x:c>
      <x:c r="Q90" s="32" t="str">
        <x:v>Sea Around Us exploited organisms</x:v>
      </x:c>
      <x:c r="R90" s="24" t="str">
        <x:v>high</x:v>
      </x:c>
      <x:c r="S90" s="24" t="str">
        <x:v>Cnidaria</x:v>
      </x:c>
      <x:c r="T90" s="32" t="n">
        <x:f>IF(O90="","",(1/'Metadata'!$B$5)^(O90-1))</x:f>
        <x:v>31.622776601683793</x:v>
      </x:c>
      <x:c r="U90" s="31" t="n">
        <x:f>IF(T90="","",I90*T90)</x:f>
        <x:v>1763.7938751630725</x:v>
      </x:c>
    </x:row>
    <x:row r="91" ht="18" customHeight="1">
      <x:c r="A91" s="24" t="str">
        <x:v>EEZ_620</x:v>
      </x:c>
      <x:c r="B91" s="24" t="str">
        <x:v>Portugal (mainland)</x:v>
      </x:c>
      <x:c r="C91" s="24" t="str">
        <x:v>EEZ</x:v>
      </x:c>
      <x:c r="D91" s="30" t="n">
        <x:v>2019</x:v>
      </x:c>
      <x:c r="E91" s="24" t="str">
        <x:v>Dicentrarchus punctatus</x:v>
      </x:c>
      <x:c r="F91" s="24" t="str">
        <x:v>Spotted seabass</x:v>
      </x:c>
      <x:c r="G91" s="24" t="str">
        <x:v>Medium pelagics (30 - 89 cm)</x:v>
      </x:c>
      <x:c r="H91" s="24" t="str">
        <x:v>Perch-likes</x:v>
      </x:c>
      <x:c r="I91" s="31" t="n">
        <x:v>52.4176564947</x:v>
      </x:c>
      <x:c r="J91" s="31" t="n">
        <x:v>52.4176564947</x:v>
      </x:c>
      <x:c r="K91" s="31" t="n">
        <x:v>0</x:v>
      </x:c>
      <x:c r="L91" s="31" t="n">
        <x:v>45.958147293399996</x:v>
      </x:c>
      <x:c r="M91" s="31" t="n">
        <x:v>6.4595092012999995</x:v>
      </x:c>
      <x:c r="N91" s="24" t="str">
        <x:v>dicentrarchus punctatus</x:v>
      </x:c>
      <x:c r="O91" s="32" t="n">
        <x:v>3.94</x:v>
      </x:c>
      <x:c r="P91" s="24" t="str">
        <x:v>exact_2020_supplement</x:v>
      </x:c>
      <x:c r="Q91" s="32" t="str">
        <x:v>2020 supplement MeanTL</x:v>
      </x:c>
      <x:c r="R91" s="24" t="str">
        <x:v>high</x:v>
      </x:c>
      <x:c r="S91" s="24" t="str">
        <x:v>Dicentrarchus punctatus</x:v>
      </x:c>
      <x:c r="T91" s="32" t="n">
        <x:f>IF(O91="","",(1/'Metadata'!$B$5)^(O91-1))</x:f>
        <x:v>870.9635899560806</x:v>
      </x:c>
      <x:c r="U91" s="31" t="n">
        <x:f>IF(T91="","",I91*T91)</x:f>
        <x:v>45653.87027770857</x:v>
      </x:c>
    </x:row>
    <x:row r="92" ht="18" customHeight="1">
      <x:c r="A92" s="24" t="str">
        <x:v>EEZ_620</x:v>
      </x:c>
      <x:c r="B92" s="24" t="str">
        <x:v>Portugal (mainland)</x:v>
      </x:c>
      <x:c r="C92" s="24" t="str">
        <x:v>EEZ</x:v>
      </x:c>
      <x:c r="D92" s="30" t="n">
        <x:v>2019</x:v>
      </x:c>
      <x:c r="E92" s="24" t="str">
        <x:v>Euthynnus alletteratus</x:v>
      </x:c>
      <x:c r="F92" s="24" t="str">
        <x:v>Little tunny </x:v>
      </x:c>
      <x:c r="G92" s="24" t="str">
        <x:v>Large pelagics (&gt;=90 cm)</x:v>
      </x:c>
      <x:c r="H92" s="24" t="str">
        <x:v>Tuna &amp; billfishes</x:v>
      </x:c>
      <x:c r="I92" s="31" t="n">
        <x:v>51.55939321299999</x:v>
      </x:c>
      <x:c r="J92" s="31" t="n">
        <x:v>51.55939321299999</x:v>
      </x:c>
      <x:c r="K92" s="31" t="n">
        <x:v>0</x:v>
      </x:c>
      <x:c r="L92" s="31" t="n">
        <x:v>51.55939321299999</x:v>
      </x:c>
      <x:c r="M92" s="31" t="n">
        <x:v>0</x:v>
      </x:c>
      <x:c r="N92" s="24" t="str">
        <x:v>euthynnus alletteratus</x:v>
      </x:c>
      <x:c r="O92" s="32" t="n">
        <x:v>4.49</x:v>
      </x:c>
      <x:c r="P92" s="24" t="str">
        <x:v>exact_2020_supplement</x:v>
      </x:c>
      <x:c r="Q92" s="32" t="str">
        <x:v>2020 supplement MeanTL</x:v>
      </x:c>
      <x:c r="R92" s="24" t="str">
        <x:v>high</x:v>
      </x:c>
      <x:c r="S92" s="24" t="str">
        <x:v>Euthynnus alletteratus</x:v>
      </x:c>
      <x:c r="T92" s="32" t="n">
        <x:f>IF(O92="","",(1/'Metadata'!$B$5)^(O92-1))</x:f>
        <x:v>3090.295432513592</x:v>
      </x:c>
      <x:c r="U92" s="31" t="n">
        <x:f>IF(T92="","",I92*T92)</x:f>
        <x:v>159333.75734930616</x:v>
      </x:c>
    </x:row>
    <x:row r="93" ht="18" customHeight="1">
      <x:c r="A93" s="24" t="str">
        <x:v>EEZ_620</x:v>
      </x:c>
      <x:c r="B93" s="24" t="str">
        <x:v>Portugal (mainland)</x:v>
      </x:c>
      <x:c r="C93" s="24" t="str">
        <x:v>EEZ</x:v>
      </x:c>
      <x:c r="D93" s="30" t="n">
        <x:v>2019</x:v>
      </x:c>
      <x:c r="E93" s="24" t="str">
        <x:v>Ostrea</x:v>
      </x:c>
      <x:c r="F93" s="24" t="str">
        <x:v>Flat oysters</x:v>
      </x:c>
      <x:c r="G93" s="24" t="str">
        <x:v>Other demersal invertebrates</x:v>
      </x:c>
      <x:c r="H93" s="24" t="str">
        <x:v>Molluscs</x:v>
      </x:c>
      <x:c r="I93" s="31" t="n">
        <x:v>51.0000000001</x:v>
      </x:c>
      <x:c r="J93" s="31" t="n">
        <x:v>51.0000000001</x:v>
      </x:c>
      <x:c r="K93" s="31" t="n">
        <x:v>0</x:v>
      </x:c>
      <x:c r="L93" s="31" t="n">
        <x:v>51.0000000001</x:v>
      </x:c>
      <x:c r="M93" s="31" t="n">
        <x:v>0</x:v>
      </x:c>
      <x:c r="N93" s="24" t="str">
        <x:v>ostrea</x:v>
      </x:c>
      <x:c r="O93" s="32" t="n">
        <x:v>2</x:v>
      </x:c>
      <x:c r="P93" s="24" t="str">
        <x:v>exact_sea_around_us</x:v>
      </x:c>
      <x:c r="Q93" s="32" t="str">
        <x:v>Sea Around Us exploited organisms</x:v>
      </x:c>
      <x:c r="R93" s="24" t="str">
        <x:v>high</x:v>
      </x:c>
      <x:c r="S93" s="24" t="str">
        <x:v>Ostrea</x:v>
      </x:c>
      <x:c r="T93" s="32" t="n">
        <x:f>IF(O93="","",(1/'Metadata'!$B$5)^(O93-1))</x:f>
        <x:v>10</x:v>
      </x:c>
      <x:c r="U93" s="31" t="n">
        <x:f>IF(T93="","",I93*T93)</x:f>
        <x:v>510.000000001</x:v>
      </x:c>
    </x:row>
    <x:row r="94" ht="18" customHeight="1">
      <x:c r="A94" s="24" t="str">
        <x:v>EEZ_620</x:v>
      </x:c>
      <x:c r="B94" s="24" t="str">
        <x:v>Portugal (mainland)</x:v>
      </x:c>
      <x:c r="C94" s="24" t="str">
        <x:v>EEZ</x:v>
      </x:c>
      <x:c r="D94" s="30" t="n">
        <x:v>2019</x:v>
      </x:c>
      <x:c r="E94" s="24" t="str">
        <x:v>Balistes capriscus</x:v>
      </x:c>
      <x:c r="F94" s="24" t="str">
        <x:v>Grey triggerfish</x:v>
      </x:c>
      <x:c r="G94" s="24" t="str">
        <x:v>Medium benthopelagics (30 - 89 cm)</x:v>
      </x:c>
      <x:c r="H94" s="24" t="str">
        <x:v>Other fishes &amp; inverts</x:v>
      </x:c>
      <x:c r="I94" s="31" t="n">
        <x:v>47.2727985975</x:v>
      </x:c>
      <x:c r="J94" s="31" t="n">
        <x:v>29.3614365042</x:v>
      </x:c>
      <x:c r="K94" s="31" t="n">
        <x:v>17.9113620933</x:v>
      </x:c>
      <x:c r="L94" s="31" t="n">
        <x:v>0</x:v>
      </x:c>
      <x:c r="M94" s="31" t="n">
        <x:v>47.2727985975</x:v>
      </x:c>
      <x:c r="N94" s="24" t="str">
        <x:v>balistes capriscus</x:v>
      </x:c>
      <x:c r="O94" s="32" t="n">
        <x:v>4.06</x:v>
      </x:c>
      <x:c r="P94" s="24" t="str">
        <x:v>exact_2020_supplement</x:v>
      </x:c>
      <x:c r="Q94" s="32" t="str">
        <x:v>2020 supplement MeanTL</x:v>
      </x:c>
      <x:c r="R94" s="24" t="str">
        <x:v>high</x:v>
      </x:c>
      <x:c r="S94" s="24" t="str">
        <x:v>Balistes capriscus</x:v>
      </x:c>
      <x:c r="T94" s="32" t="n">
        <x:f>IF(O94="","",(1/'Metadata'!$B$5)^(O94-1))</x:f>
        <x:v>1148.1536214968817</x:v>
      </x:c>
      <x:c r="U94" s="31" t="n">
        <x:f>IF(T94="","",I94*T94)</x:f>
        <x:v>54276.434908012336</x:v>
      </x:c>
    </x:row>
    <x:row r="95" ht="18" customHeight="1">
      <x:c r="A95" s="24" t="str">
        <x:v>EEZ_620</x:v>
      </x:c>
      <x:c r="B95" s="24" t="str">
        <x:v>Portugal (mainland)</x:v>
      </x:c>
      <x:c r="C95" s="24" t="str">
        <x:v>EEZ</x:v>
      </x:c>
      <x:c r="D95" s="30" t="n">
        <x:v>2019</x:v>
      </x:c>
      <x:c r="E95" s="24" t="str">
        <x:v>Petromyzontidae</x:v>
      </x:c>
      <x:c r="F95" s="24" t="str">
        <x:v>Lampreys</x:v>
      </x:c>
      <x:c r="G95" s="24" t="str">
        <x:v>Large demersals (&gt;=90 cm)</x:v>
      </x:c>
      <x:c r="H95" s="24" t="str">
        <x:v>Other fishes &amp; inverts</x:v>
      </x:c>
      <x:c r="I95" s="31" t="n">
        <x:v>44.9999999998</x:v>
      </x:c>
      <x:c r="J95" s="31" t="n">
        <x:v>44.9999999998</x:v>
      </x:c>
      <x:c r="K95" s="31" t="n">
        <x:v>0</x:v>
      </x:c>
      <x:c r="L95" s="31" t="n">
        <x:v>44.9999999998</x:v>
      </x:c>
      <x:c r="M95" s="31" t="n">
        <x:v>0</x:v>
      </x:c>
      <x:c r="N95" s="24" t="str">
        <x:v>petromyzontidae</x:v>
      </x:c>
      <x:c r="O95" s="32" t="n">
        <x:v>4</x:v>
      </x:c>
      <x:c r="P95" s="24" t="str">
        <x:v>exact_sea_around_us</x:v>
      </x:c>
      <x:c r="Q95" s="32" t="str">
        <x:v>Sea Around Us exploited organisms</x:v>
      </x:c>
      <x:c r="R95" s="24" t="str">
        <x:v>high</x:v>
      </x:c>
      <x:c r="S95" s="24" t="str">
        <x:v>Petromyzontidae</x:v>
      </x:c>
      <x:c r="T95" s="32" t="n">
        <x:f>IF(O95="","",(1/'Metadata'!$B$5)^(O95-1))</x:f>
        <x:v>1000</x:v>
      </x:c>
      <x:c r="U95" s="31" t="n">
        <x:f>IF(T95="","",I95*T95)</x:f>
        <x:v>44999.999999800006</x:v>
      </x:c>
    </x:row>
    <x:row r="96" ht="18" customHeight="1">
      <x:c r="A96" s="24" t="str">
        <x:v>EEZ_620</x:v>
      </x:c>
      <x:c r="B96" s="24" t="str">
        <x:v>Portugal (mainland)</x:v>
      </x:c>
      <x:c r="C96" s="24" t="str">
        <x:v>EEZ</x:v>
      </x:c>
      <x:c r="D96" s="30" t="n">
        <x:v>2019</x:v>
      </x:c>
      <x:c r="E96" s="24" t="str">
        <x:v>Istiophorus albicans</x:v>
      </x:c>
      <x:c r="F96" s="24" t="str">
        <x:v>Atlantic sailfish</x:v>
      </x:c>
      <x:c r="G96" s="24" t="str">
        <x:v>Large pelagics (&gt;=90 cm)</x:v>
      </x:c>
      <x:c r="H96" s="24" t="str">
        <x:v>Tuna &amp; billfishes</x:v>
      </x:c>
      <x:c r="I96" s="31" t="n">
        <x:v>38.6317343043</x:v>
      </x:c>
      <x:c r="J96" s="31" t="n">
        <x:v>38.6317343043</x:v>
      </x:c>
      <x:c r="K96" s="31" t="n">
        <x:v>0</x:v>
      </x:c>
      <x:c r="L96" s="31" t="n">
        <x:v>38.6317343043</x:v>
      </x:c>
      <x:c r="M96" s="31" t="n">
        <x:v>0</x:v>
      </x:c>
      <x:c r="N96" s="24" t="str">
        <x:v>istiophorus albicans</x:v>
      </x:c>
      <x:c r="O96" s="32" t="n">
        <x:v>4.5</x:v>
      </x:c>
      <x:c r="P96" s="24" t="str">
        <x:v>exact_2020_supplement</x:v>
      </x:c>
      <x:c r="Q96" s="32" t="str">
        <x:v>2020 supplement MeanTL</x:v>
      </x:c>
      <x:c r="R96" s="24" t="str">
        <x:v>high</x:v>
      </x:c>
      <x:c r="S96" s="24" t="str">
        <x:v>Istiophorus albicans</x:v>
      </x:c>
      <x:c r="T96" s="32" t="n">
        <x:f>IF(O96="","",(1/'Metadata'!$B$5)^(O96-1))</x:f>
        <x:v>3162.2776601683795</x:v>
      </x:c>
      <x:c r="U96" s="31" t="n">
        <x:f>IF(T96="","",I96*T96)</x:f>
        <x:v>122164.27036404831</x:v>
      </x:c>
    </x:row>
    <x:row r="97" ht="18" customHeight="1">
      <x:c r="A97" s="24" t="str">
        <x:v>EEZ_620</x:v>
      </x:c>
      <x:c r="B97" s="24" t="str">
        <x:v>Portugal (mainland)</x:v>
      </x:c>
      <x:c r="C97" s="24" t="str">
        <x:v>EEZ</x:v>
      </x:c>
      <x:c r="D97" s="30" t="n">
        <x:v>2019</x:v>
      </x:c>
      <x:c r="E97" s="24" t="str">
        <x:v>Decapoda</x:v>
      </x:c>
      <x:c r="F97" s="24" t="str">
        <x:v>Crabs, lobsters, shrimps</x:v>
      </x:c>
      <x:c r="G97" s="24" t="str">
        <x:v>Lobsters, crabs</x:v>
      </x:c>
      <x:c r="H97" s="24" t="str">
        <x:v>Crustaceans</x:v>
      </x:c>
      <x:c r="I97" s="31" t="n">
        <x:v>36.9535873167</x:v>
      </x:c>
      <x:c r="J97" s="31" t="n">
        <x:v>23</x:v>
      </x:c>
      <x:c r="K97" s="31" t="n">
        <x:v>13.953587316699998</x:v>
      </x:c>
      <x:c r="L97" s="31" t="n">
        <x:v>23</x:v>
      </x:c>
      <x:c r="M97" s="31" t="n">
        <x:v>13.953587316699998</x:v>
      </x:c>
      <x:c r="N97" s="24" t="str">
        <x:v>decapoda</x:v>
      </x:c>
      <x:c r="O97" s="32" t="n">
        <x:v>3.43</x:v>
      </x:c>
      <x:c r="P97" s="24" t="str">
        <x:v>exact_sea_around_us</x:v>
      </x:c>
      <x:c r="Q97" s="32" t="str">
        <x:v>Sea Around Us exploited organisms</x:v>
      </x:c>
      <x:c r="R97" s="24" t="str">
        <x:v>high</x:v>
      </x:c>
      <x:c r="S97" s="24" t="str">
        <x:v>Decapoda</x:v>
      </x:c>
      <x:c r="T97" s="32" t="n">
        <x:f>IF(O97="","",(1/'Metadata'!$B$5)^(O97-1))</x:f>
        <x:v>269.1534803926917</x:v>
      </x:c>
      <x:c r="U97" s="31" t="n">
        <x:f>IF(T97="","",I97*T97)</x:f>
        <x:v>9946.186639285033</x:v>
      </x:c>
    </x:row>
    <x:row r="98" ht="18" customHeight="1">
      <x:c r="A98" s="24" t="str">
        <x:v>EEZ_620</x:v>
      </x:c>
      <x:c r="B98" s="24" t="str">
        <x:v>Portugal (mainland)</x:v>
      </x:c>
      <x:c r="C98" s="24" t="str">
        <x:v>EEZ</x:v>
      </x:c>
      <x:c r="D98" s="30" t="n">
        <x:v>2019</x:v>
      </x:c>
      <x:c r="E98" s="24" t="str">
        <x:v>Diplodus bellottii</x:v>
      </x:c>
      <x:c r="F98" s="24" t="str">
        <x:v>Senegal seabream</x:v>
      </x:c>
      <x:c r="G98" s="24" t="str">
        <x:v>Small pelagics (&lt;30 cm)</x:v>
      </x:c>
      <x:c r="H98" s="24" t="str">
        <x:v>Perch-likes</x:v>
      </x:c>
      <x:c r="I98" s="31" t="n">
        <x:v>34.935565323800006</x:v>
      </x:c>
      <x:c r="J98" s="31" t="n">
        <x:v>0</x:v>
      </x:c>
      <x:c r="K98" s="31" t="n">
        <x:v>34.935565323800006</x:v>
      </x:c>
      <x:c r="L98" s="31" t="n">
        <x:v>0</x:v>
      </x:c>
      <x:c r="M98" s="31" t="n">
        <x:v>34.935565323800006</x:v>
      </x:c>
      <x:c r="N98" s="24" t="str">
        <x:v>diplodus bellottii</x:v>
      </x:c>
      <x:c r="O98" s="32" t="n">
        <x:v>3.55</x:v>
      </x:c>
      <x:c r="P98" s="24" t="str">
        <x:v>exact_2020_supplement</x:v>
      </x:c>
      <x:c r="Q98" s="32" t="str">
        <x:v>2020 supplement MeanTL</x:v>
      </x:c>
      <x:c r="R98" s="24" t="str">
        <x:v>high</x:v>
      </x:c>
      <x:c r="S98" s="24" t="str">
        <x:v>Diplodus bellottii</x:v>
      </x:c>
      <x:c r="T98" s="32" t="n">
        <x:f>IF(O98="","",(1/'Metadata'!$B$5)^(O98-1))</x:f>
        <x:v>354.8133892335753</x:v>
      </x:c>
      <x:c r="U98" s="31" t="n">
        <x:f>IF(T98="","",I98*T98)</x:f>
        <x:v>12395.606337328449</x:v>
      </x:c>
    </x:row>
    <x:row r="99" ht="18" customHeight="1">
      <x:c r="A99" s="24" t="str">
        <x:v>EEZ_620</x:v>
      </x:c>
      <x:c r="B99" s="24" t="str">
        <x:v>Portugal (mainland)</x:v>
      </x:c>
      <x:c r="C99" s="24" t="str">
        <x:v>EEZ</x:v>
      </x:c>
      <x:c r="D99" s="30" t="n">
        <x:v>2019</x:v>
      </x:c>
      <x:c r="E99" s="24" t="str">
        <x:v>Chelon ramada</x:v>
      </x:c>
      <x:c r="F99" s="24" t="str">
        <x:v>Thinlip grey mullet</x:v>
      </x:c>
      <x:c r="G99" s="24" t="str">
        <x:v>Medium pelagics (30 - 89 cm)</x:v>
      </x:c>
      <x:c r="H99" s="24" t="str">
        <x:v>Perch-likes</x:v>
      </x:c>
      <x:c r="I99" s="31" t="n">
        <x:v>28.379817604200003</x:v>
      </x:c>
      <x:c r="J99" s="31" t="n">
        <x:v>0</x:v>
      </x:c>
      <x:c r="K99" s="31" t="n">
        <x:v>28.379817604200003</x:v>
      </x:c>
      <x:c r="L99" s="31" t="n">
        <x:v>0</x:v>
      </x:c>
      <x:c r="M99" s="31" t="n">
        <x:v>28.379817604200003</x:v>
      </x:c>
      <x:c r="N99" s="24" t="str">
        <x:v>chelon ramada</x:v>
      </x:c>
      <x:c r="O99" s="32" t="n">
        <x:v>2.3</x:v>
      </x:c>
      <x:c r="P99" s="24" t="str">
        <x:v>exact_sea_around_us</x:v>
      </x:c>
      <x:c r="Q99" s="32" t="str">
        <x:v>Sea Around Us exploited organisms</x:v>
      </x:c>
      <x:c r="R99" s="24" t="str">
        <x:v>high</x:v>
      </x:c>
      <x:c r="S99" s="24" t="str">
        <x:v>Chelon ramada</x:v>
      </x:c>
      <x:c r="T99" s="32" t="n">
        <x:f>IF(O99="","",(1/'Metadata'!$B$5)^(O99-1))</x:f>
        <x:v>19.952623149688787</x:v>
      </x:c>
      <x:c r="U99" s="31" t="n">
        <x:f>IF(T99="","",I99*T99)</x:f>
        <x:v>566.2518057135063</x:v>
      </x:c>
    </x:row>
    <x:row r="100" ht="18" customHeight="1">
      <x:c r="A100" s="24" t="str">
        <x:v>EEZ_620</x:v>
      </x:c>
      <x:c r="B100" s="24" t="str">
        <x:v>Portugal (mainland)</x:v>
      </x:c>
      <x:c r="C100" s="24" t="str">
        <x:v>EEZ</x:v>
      </x:c>
      <x:c r="D100" s="30" t="n">
        <x:v>2019</x:v>
      </x:c>
      <x:c r="E100" s="24" t="str">
        <x:v>Cymbium olla</x:v>
      </x:c>
      <x:c r="F100" s="24" t="str">
        <x:v>Algarve volute</x:v>
      </x:c>
      <x:c r="G100" s="24" t="str">
        <x:v>Other demersal invertebrates</x:v>
      </x:c>
      <x:c r="H100" s="24" t="str">
        <x:v>Molluscs</x:v>
      </x:c>
      <x:c r="I100" s="31" t="n">
        <x:v>19.9175109262</x:v>
      </x:c>
      <x:c r="J100" s="31" t="n">
        <x:v>0</x:v>
      </x:c>
      <x:c r="K100" s="31" t="n">
        <x:v>19.9175109262</x:v>
      </x:c>
      <x:c r="L100" s="31" t="n">
        <x:v>0</x:v>
      </x:c>
      <x:c r="M100" s="31" t="n">
        <x:v>19.9175109262</x:v>
      </x:c>
      <x:c r="N100" s="24" t="str">
        <x:v>cymbium olla</x:v>
      </x:c>
      <x:c r="O100" s="32" t="n">
        <x:v>2</x:v>
      </x:c>
      <x:c r="P100" s="24" t="str">
        <x:v>exact_sea_around_us</x:v>
      </x:c>
      <x:c r="Q100" s="32" t="str">
        <x:v>Sea Around Us exploited organisms</x:v>
      </x:c>
      <x:c r="R100" s="24" t="str">
        <x:v>high</x:v>
      </x:c>
      <x:c r="S100" s="24" t="str">
        <x:v>Cymbium olla</x:v>
      </x:c>
      <x:c r="T100" s="32" t="n">
        <x:f>IF(O100="","",(1/'Metadata'!$B$5)^(O100-1))</x:f>
        <x:v>10</x:v>
      </x:c>
      <x:c r="U100" s="31" t="n">
        <x:f>IF(T100="","",I100*T100)</x:f>
        <x:v>199.17510926199998</x:v>
      </x:c>
    </x:row>
    <x:row r="101" ht="18" customHeight="1">
      <x:c r="A101" s="24" t="str">
        <x:v>EEZ_620</x:v>
      </x:c>
      <x:c r="B101" s="24" t="str">
        <x:v>Portugal (mainland)</x:v>
      </x:c>
      <x:c r="C101" s="24" t="str">
        <x:v>EEZ</x:v>
      </x:c>
      <x:c r="D101" s="30" t="n">
        <x:v>2019</x:v>
      </x:c>
      <x:c r="E101" s="24" t="str">
        <x:v>Etmopterus pusillus</x:v>
      </x:c>
      <x:c r="F101" s="24" t="str">
        <x:v>Smooth lanternshark</x:v>
      </x:c>
      <x:c r="G101" s="24" t="str">
        <x:v>Small to medium sharks (&lt;90 cm)</x:v>
      </x:c>
      <x:c r="H101" s="24" t="str">
        <x:v>Sharks &amp; rays</x:v>
      </x:c>
      <x:c r="I101" s="31" t="n">
        <x:v>19.6529122438</x:v>
      </x:c>
      <x:c r="J101" s="31" t="n">
        <x:v>0</x:v>
      </x:c>
      <x:c r="K101" s="31" t="n">
        <x:v>19.6529122438</x:v>
      </x:c>
      <x:c r="L101" s="31" t="n">
        <x:v>0</x:v>
      </x:c>
      <x:c r="M101" s="31" t="n">
        <x:v>19.6529122438</x:v>
      </x:c>
      <x:c r="N101" s="24" t="str">
        <x:v>etmopterus pusillus</x:v>
      </x:c>
      <x:c r="O101" s="32" t="n">
        <x:v>4.22</x:v>
      </x:c>
      <x:c r="P101" s="24" t="str">
        <x:v>exact_2020_supplement</x:v>
      </x:c>
      <x:c r="Q101" s="32" t="str">
        <x:v>2020 supplement MeanTL</x:v>
      </x:c>
      <x:c r="R101" s="24" t="str">
        <x:v>high</x:v>
      </x:c>
      <x:c r="S101" s="24" t="str">
        <x:v>Etmopterus pusillus</x:v>
      </x:c>
      <x:c r="T101" s="32" t="n">
        <x:f>IF(O101="","",(1/'Metadata'!$B$5)^(O101-1))</x:f>
        <x:v>1659.5869074375596</x:v>
      </x:c>
      <x:c r="U101" s="31" t="n">
        <x:f>IF(T101="","",I101*T101)</x:f>
        <x:v>32615.71585282979</x:v>
      </x:c>
    </x:row>
    <x:row r="102" ht="18" customHeight="1">
      <x:c r="A102" s="24" t="str">
        <x:v>EEZ_620</x:v>
      </x:c>
      <x:c r="B102" s="24" t="str">
        <x:v>Portugal (mainland)</x:v>
      </x:c>
      <x:c r="C102" s="24" t="str">
        <x:v>EEZ</x:v>
      </x:c>
      <x:c r="D102" s="30" t="n">
        <x:v>2019</x:v>
      </x:c>
      <x:c r="E102" s="24" t="str">
        <x:v>Dosinia exoleta</x:v>
      </x:c>
      <x:c r="F102" s="24" t="str">
        <x:v>Mature dosinia</x:v>
      </x:c>
      <x:c r="G102" s="24" t="str">
        <x:v>Other demersal invertebrates</x:v>
      </x:c>
      <x:c r="H102" s="24" t="str">
        <x:v>Molluscs</x:v>
      </x:c>
      <x:c r="I102" s="31" t="n">
        <x:v>19.1370091396</x:v>
      </x:c>
      <x:c r="J102" s="31" t="n">
        <x:v>0</x:v>
      </x:c>
      <x:c r="K102" s="31" t="n">
        <x:v>19.1370091396</x:v>
      </x:c>
      <x:c r="L102" s="31" t="n">
        <x:v>0</x:v>
      </x:c>
      <x:c r="M102" s="31" t="n">
        <x:v>19.1370091396</x:v>
      </x:c>
      <x:c r="N102" s="24" t="str">
        <x:v>dosinia exoleta</x:v>
      </x:c>
      <x:c r="O102" s="32" t="n">
        <x:v>2</x:v>
      </x:c>
      <x:c r="P102" s="24" t="str">
        <x:v>exact_sea_around_us</x:v>
      </x:c>
      <x:c r="Q102" s="32" t="str">
        <x:v>Sea Around Us exploited organisms</x:v>
      </x:c>
      <x:c r="R102" s="24" t="str">
        <x:v>high</x:v>
      </x:c>
      <x:c r="S102" s="24" t="str">
        <x:v>Dosinia exoleta</x:v>
      </x:c>
      <x:c r="T102" s="32" t="n">
        <x:f>IF(O102="","",(1/'Metadata'!$B$5)^(O102-1))</x:f>
        <x:v>10</x:v>
      </x:c>
      <x:c r="U102" s="31" t="n">
        <x:f>IF(T102="","",I102*T102)</x:f>
        <x:v>191.370091396</x:v>
      </x:c>
    </x:row>
    <x:row r="103" ht="18" customHeight="1">
      <x:c r="A103" s="24" t="str">
        <x:v>EEZ_620</x:v>
      </x:c>
      <x:c r="B103" s="24" t="str">
        <x:v>Portugal (mainland)</x:v>
      </x:c>
      <x:c r="C103" s="24" t="str">
        <x:v>EEZ</x:v>
      </x:c>
      <x:c r="D103" s="30" t="n">
        <x:v>2019</x:v>
      </x:c>
      <x:c r="E103" s="24" t="str">
        <x:v>Soleidae</x:v>
      </x:c>
      <x:c r="F103" s="24" t="str">
        <x:v>Soles</x:v>
      </x:c>
      <x:c r="G103" s="24" t="str">
        <x:v>Small to medium flatfishes (&lt;90 cm)</x:v>
      </x:c>
      <x:c r="H103" s="24" t="str">
        <x:v>Flatfishes</x:v>
      </x:c>
      <x:c r="I103" s="31" t="n">
        <x:v>18.6696454025</x:v>
      </x:c>
      <x:c r="J103" s="31" t="n">
        <x:v>0</x:v>
      </x:c>
      <x:c r="K103" s="31" t="n">
        <x:v>18.6696454025</x:v>
      </x:c>
      <x:c r="L103" s="31" t="n">
        <x:v>0</x:v>
      </x:c>
      <x:c r="M103" s="31" t="n">
        <x:v>18.6696454025</x:v>
      </x:c>
      <x:c r="N103" s="24" t="str">
        <x:v>soleidae</x:v>
      </x:c>
      <x:c r="O103" s="32" t="n">
        <x:v>3.15</x:v>
      </x:c>
      <x:c r="P103" s="24" t="str">
        <x:v>exact_sea_around_us</x:v>
      </x:c>
      <x:c r="Q103" s="32" t="str">
        <x:v>Sea Around Us exploited organisms</x:v>
      </x:c>
      <x:c r="R103" s="24" t="str">
        <x:v>high</x:v>
      </x:c>
      <x:c r="S103" s="24" t="str">
        <x:v>Soleidae</x:v>
      </x:c>
      <x:c r="T103" s="32" t="n">
        <x:f>IF(O103="","",(1/'Metadata'!$B$5)^(O103-1))</x:f>
        <x:v>141.2537544622754</x:v>
      </x:c>
      <x:c r="U103" s="31" t="n">
        <x:f>IF(T103="","",I103*T103)</x:f>
        <x:v>2637.1575075824835</x:v>
      </x:c>
    </x:row>
    <x:row r="104" ht="18" customHeight="1">
      <x:c r="A104" s="24" t="str">
        <x:v>EEZ_620</x:v>
      </x:c>
      <x:c r="B104" s="24" t="str">
        <x:v>Portugal (mainland)</x:v>
      </x:c>
      <x:c r="C104" s="24" t="str">
        <x:v>EEZ</x:v>
      </x:c>
      <x:c r="D104" s="30" t="n">
        <x:v>2019</x:v>
      </x:c>
      <x:c r="E104" s="24" t="str">
        <x:v>Tellina</x:v>
      </x:c>
      <x:c r="F104" s="24" t="str">
        <x:v>Tellins</x:v>
      </x:c>
      <x:c r="G104" s="24" t="str">
        <x:v>Other demersal invertebrates</x:v>
      </x:c>
      <x:c r="H104" s="24" t="str">
        <x:v>Molluscs</x:v>
      </x:c>
      <x:c r="I104" s="31" t="n">
        <x:v>16.9707629414</x:v>
      </x:c>
      <x:c r="J104" s="31" t="n">
        <x:v>0</x:v>
      </x:c>
      <x:c r="K104" s="31" t="n">
        <x:v>16.9707629414</x:v>
      </x:c>
      <x:c r="L104" s="31" t="n">
        <x:v>0</x:v>
      </x:c>
      <x:c r="M104" s="31" t="n">
        <x:v>16.9707629414</x:v>
      </x:c>
      <x:c r="N104" s="24" t="str">
        <x:v>tellina</x:v>
      </x:c>
      <x:c r="O104" s="32" t="n">
        <x:v>2</x:v>
      </x:c>
      <x:c r="P104" s="24" t="str">
        <x:v>exact_sea_around_us</x:v>
      </x:c>
      <x:c r="Q104" s="32" t="str">
        <x:v>Sea Around Us exploited organisms</x:v>
      </x:c>
      <x:c r="R104" s="24" t="str">
        <x:v>high</x:v>
      </x:c>
      <x:c r="S104" s="24" t="str">
        <x:v>Tellina</x:v>
      </x:c>
      <x:c r="T104" s="32" t="n">
        <x:f>IF(O104="","",(1/'Metadata'!$B$5)^(O104-1))</x:f>
        <x:v>10</x:v>
      </x:c>
      <x:c r="U104" s="31" t="n">
        <x:f>IF(T104="","",I104*T104)</x:f>
        <x:v>169.707629414</x:v>
      </x:c>
    </x:row>
    <x:row r="105" ht="18" customHeight="1">
      <x:c r="A105" s="24" t="str">
        <x:v>EEZ_620</x:v>
      </x:c>
      <x:c r="B105" s="24" t="str">
        <x:v>Portugal (mainland)</x:v>
      </x:c>
      <x:c r="C105" s="24" t="str">
        <x:v>EEZ</x:v>
      </x:c>
      <x:c r="D105" s="30" t="n">
        <x:v>2019</x:v>
      </x:c>
      <x:c r="E105" s="24" t="str">
        <x:v>Callionymus lyra</x:v>
      </x:c>
      <x:c r="F105" s="24" t="str">
        <x:v>Dragonet</x:v>
      </x:c>
      <x:c r="G105" s="24" t="str">
        <x:v>Large reef assoc. fish (&gt;=90 cm)</x:v>
      </x:c>
      <x:c r="H105" s="24" t="str">
        <x:v>Perch-likes</x:v>
      </x:c>
      <x:c r="I105" s="31" t="n">
        <x:v>16.5724618189</x:v>
      </x:c>
      <x:c r="J105" s="31" t="n">
        <x:v>0</x:v>
      </x:c>
      <x:c r="K105" s="31" t="n">
        <x:v>16.5724618189</x:v>
      </x:c>
      <x:c r="L105" s="31" t="n">
        <x:v>0</x:v>
      </x:c>
      <x:c r="M105" s="31" t="n">
        <x:v>16.5724618189</x:v>
      </x:c>
      <x:c r="N105" s="24" t="str">
        <x:v>callionymus lyra</x:v>
      </x:c>
      <x:c r="O105" s="32" t="n">
        <x:v>3.27</x:v>
      </x:c>
      <x:c r="P105" s="24" t="str">
        <x:v>exact_2020_supplement</x:v>
      </x:c>
      <x:c r="Q105" s="32" t="str">
        <x:v>2020 supplement MeanTL</x:v>
      </x:c>
      <x:c r="R105" s="24" t="str">
        <x:v>high</x:v>
      </x:c>
      <x:c r="S105" s="24" t="str">
        <x:v>Callionymus lyra</x:v>
      </x:c>
      <x:c r="T105" s="32" t="n">
        <x:f>IF(O105="","",(1/'Metadata'!$B$5)^(O105-1))</x:f>
        <x:v>186.20871366628674</x:v>
      </x:c>
      <x:c r="U105" s="31" t="n">
        <x:f>IF(T105="","",I105*T105)</x:f>
        <x:v>3085.9367975810196</x:v>
      </x:c>
    </x:row>
    <x:row r="106" ht="18" customHeight="1">
      <x:c r="A106" s="24" t="str">
        <x:v>EEZ_620</x:v>
      </x:c>
      <x:c r="B106" s="24" t="str">
        <x:v>Portugal (mainland)</x:v>
      </x:c>
      <x:c r="C106" s="24" t="str">
        <x:v>EEZ</x:v>
      </x:c>
      <x:c r="D106" s="30" t="n">
        <x:v>2019</x:v>
      </x:c>
      <x:c r="E106" s="24" t="str">
        <x:v>Merlangius merlangus</x:v>
      </x:c>
      <x:c r="F106" s="24" t="str">
        <x:v>Whiting</x:v>
      </x:c>
      <x:c r="G106" s="24" t="str">
        <x:v>Medium benthopelagics (30 - 89 cm)</x:v>
      </x:c>
      <x:c r="H106" s="24" t="str">
        <x:v>Cod-likes</x:v>
      </x:c>
      <x:c r="I106" s="31" t="n">
        <x:v>16.0000000001</x:v>
      </x:c>
      <x:c r="J106" s="31" t="n">
        <x:v>16.0000000001</x:v>
      </x:c>
      <x:c r="K106" s="31" t="n">
        <x:v>0</x:v>
      </x:c>
      <x:c r="L106" s="31" t="n">
        <x:v>16.0000000001</x:v>
      </x:c>
      <x:c r="M106" s="31" t="n">
        <x:v>0</x:v>
      </x:c>
      <x:c r="N106" s="24" t="str">
        <x:v>merlangius merlangus</x:v>
      </x:c>
      <x:c r="O106" s="32" t="n">
        <x:v>4.36</x:v>
      </x:c>
      <x:c r="P106" s="24" t="str">
        <x:v>exact_2020_supplement</x:v>
      </x:c>
      <x:c r="Q106" s="32" t="str">
        <x:v>2020 supplement MeanTL</x:v>
      </x:c>
      <x:c r="R106" s="24" t="str">
        <x:v>high</x:v>
      </x:c>
      <x:c r="S106" s="24" t="str">
        <x:v>Merlangius merlangus</x:v>
      </x:c>
      <x:c r="T106" s="32" t="n">
        <x:f>IF(O106="","",(1/'Metadata'!$B$5)^(O106-1))</x:f>
        <x:v>2290.867652767775</x:v>
      </x:c>
      <x:c r="U106" s="31" t="n">
        <x:f>IF(T106="","",I106*T106)</x:f>
        <x:v>36653.88244451348</x:v>
      </x:c>
    </x:row>
    <x:row r="107" ht="18" customHeight="1">
      <x:c r="A107" s="24" t="str">
        <x:v>EEZ_620</x:v>
      </x:c>
      <x:c r="B107" s="24" t="str">
        <x:v>Portugal (mainland)</x:v>
      </x:c>
      <x:c r="C107" s="24" t="str">
        <x:v>EEZ</x:v>
      </x:c>
      <x:c r="D107" s="30" t="n">
        <x:v>2019</x:v>
      </x:c>
      <x:c r="E107" s="24" t="str">
        <x:v>Marine pelagic fishes not identified</x:v>
      </x:c>
      <x:c r="F107" s="24" t="str">
        <x:v>Pelagic fishes</x:v>
      </x:c>
      <x:c r="G107" s="24" t="str">
        <x:v>Medium pelagics (30 - 89 cm)</x:v>
      </x:c>
      <x:c r="H107" s="24" t="str">
        <x:v>Other fishes &amp; inverts</x:v>
      </x:c>
      <x:c r="I107" s="31" t="n">
        <x:v>14.2359739844</x:v>
      </x:c>
      <x:c r="J107" s="31" t="n">
        <x:v>14.2359739844</x:v>
      </x:c>
      <x:c r="K107" s="31" t="n">
        <x:v>0</x:v>
      </x:c>
      <x:c r="L107" s="31" t="n">
        <x:v>14.2359739844</x:v>
      </x:c>
      <x:c r="M107" s="31" t="n">
        <x:v>0</x:v>
      </x:c>
      <x:c r="N107" s="24" t="str">
        <x:v>marine pelagic fishes not identified</x:v>
      </x:c>
      <x:c r="O107" s="32" t="n">
        <x:v>3.35</x:v>
      </x:c>
      <x:c r="P107" s="24" t="str">
        <x:v>exact_sea_around_us</x:v>
      </x:c>
      <x:c r="Q107" s="32" t="str">
        <x:v>Sea Around Us exploited organisms</x:v>
      </x:c>
      <x:c r="R107" s="24" t="str">
        <x:v>high</x:v>
      </x:c>
      <x:c r="S107" s="24" t="str">
        <x:v>Marine pelagic fishes not identified</x:v>
      </x:c>
      <x:c r="T107" s="32" t="n">
        <x:f>IF(O107="","",(1/'Metadata'!$B$5)^(O107-1))</x:f>
        <x:v>223.872113856834</x:v>
      </x:c>
      <x:c r="U107" s="31" t="n">
        <x:f>IF(T107="","",I107*T107)</x:f>
        <x:v>3187.0375886985235</x:v>
      </x:c>
    </x:row>
    <x:row r="108" ht="18" customHeight="1">
      <x:c r="A108" s="24" t="str">
        <x:v>EEZ_620</x:v>
      </x:c>
      <x:c r="B108" s="24" t="str">
        <x:v>Portugal (mainland)</x:v>
      </x:c>
      <x:c r="C108" s="24" t="str">
        <x:v>EEZ</x:v>
      </x:c>
      <x:c r="D108" s="30" t="n">
        <x:v>2019</x:v>
      </x:c>
      <x:c r="E108" s="24" t="str">
        <x:v>Lepidorhombus</x:v>
      </x:c>
      <x:c r="F108" s="24" t="str">
        <x:v>Megrims</x:v>
      </x:c>
      <x:c r="G108" s="24" t="str">
        <x:v>Small to medium flatfishes (&lt;90 cm)</x:v>
      </x:c>
      <x:c r="H108" s="24" t="str">
        <x:v>Flatfishes</x:v>
      </x:c>
      <x:c r="I108" s="31" t="n">
        <x:v>13.9440334081</x:v>
      </x:c>
      <x:c r="J108" s="31" t="n">
        <x:v>0</x:v>
      </x:c>
      <x:c r="K108" s="31" t="n">
        <x:v>13.9440334081</x:v>
      </x:c>
      <x:c r="L108" s="31" t="n">
        <x:v>0</x:v>
      </x:c>
      <x:c r="M108" s="31" t="n">
        <x:v>13.9440334081</x:v>
      </x:c>
      <x:c r="N108" s="24" t="str">
        <x:v>lepidorhombus</x:v>
      </x:c>
      <x:c r="O108" s="32" t="n">
        <x:v>3.96</x:v>
      </x:c>
      <x:c r="P108" s="24" t="str">
        <x:v>exact_sea_around_us</x:v>
      </x:c>
      <x:c r="Q108" s="32" t="str">
        <x:v>Sea Around Us exploited organisms</x:v>
      </x:c>
      <x:c r="R108" s="24" t="str">
        <x:v>high</x:v>
      </x:c>
      <x:c r="S108" s="24" t="str">
        <x:v>Lepidorhombus</x:v>
      </x:c>
      <x:c r="T108" s="32" t="n">
        <x:f>IF(O108="","",(1/'Metadata'!$B$5)^(O108-1))</x:f>
        <x:v>912.0108393559096</x:v>
      </x:c>
      <x:c r="U108" s="31" t="n">
        <x:f>IF(T108="","",I108*T108)</x:f>
        <x:v>12717.109612528126</x:v>
      </x:c>
    </x:row>
    <x:row r="109" ht="18" customHeight="1">
      <x:c r="A109" s="24" t="str">
        <x:v>EEZ_620</x:v>
      </x:c>
      <x:c r="B109" s="24" t="str">
        <x:v>Portugal (mainland)</x:v>
      </x:c>
      <x:c r="C109" s="24" t="str">
        <x:v>EEZ</x:v>
      </x:c>
      <x:c r="D109" s="30" t="n">
        <x:v>2019</x:v>
      </x:c>
      <x:c r="E109" s="24" t="str">
        <x:v>Brama brama</x:v>
      </x:c>
      <x:c r="F109" s="24" t="str">
        <x:v>Atlantic pomfret</x:v>
      </x:c>
      <x:c r="G109" s="24" t="str">
        <x:v>Medium bathypelagics (30 - 89 cm)</x:v>
      </x:c>
      <x:c r="H109" s="24" t="str">
        <x:v>Perch-likes</x:v>
      </x:c>
      <x:c r="I109" s="31" t="n">
        <x:v>13.508205634800001</x:v>
      </x:c>
      <x:c r="J109" s="31" t="n">
        <x:v>13.2266204947</x:v>
      </x:c>
      <x:c r="K109" s="31" t="n">
        <x:v>0.2815851401</x:v>
      </x:c>
      <x:c r="L109" s="31" t="n">
        <x:v>13.2266204947</x:v>
      </x:c>
      <x:c r="M109" s="31" t="n">
        <x:v>0.2815851401</x:v>
      </x:c>
      <x:c r="N109" s="24" t="str">
        <x:v>brama brama</x:v>
      </x:c>
      <x:c r="O109" s="32" t="n">
        <x:v>4.08</x:v>
      </x:c>
      <x:c r="P109" s="24" t="str">
        <x:v>exact_2020_supplement</x:v>
      </x:c>
      <x:c r="Q109" s="32" t="str">
        <x:v>2020 supplement MeanTL</x:v>
      </x:c>
      <x:c r="R109" s="24" t="str">
        <x:v>high</x:v>
      </x:c>
      <x:c r="S109" s="24" t="str">
        <x:v>Brama brama</x:v>
      </x:c>
      <x:c r="T109" s="32" t="n">
        <x:f>IF(O109="","",(1/'Metadata'!$B$5)^(O109-1))</x:f>
        <x:v>1202.2644346174131</x:v>
      </x:c>
      <x:c r="U109" s="31" t="n">
        <x:f>IF(T109="","",I109*T109)</x:f>
        <x:v>16240.435210218579</x:v>
      </x:c>
    </x:row>
    <x:row r="110" ht="18" customHeight="1">
      <x:c r="A110" s="24" t="str">
        <x:v>EEZ_620</x:v>
      </x:c>
      <x:c r="B110" s="24" t="str">
        <x:v>Portugal (mainland)</x:v>
      </x:c>
      <x:c r="C110" s="24" t="str">
        <x:v>EEZ</x:v>
      </x:c>
      <x:c r="D110" s="30" t="n">
        <x:v>2019</x:v>
      </x:c>
      <x:c r="E110" s="24" t="str">
        <x:v>Gastropoda</x:v>
      </x:c>
      <x:c r="F110" s="24" t="str">
        <x:v>Sea snails</x:v>
      </x:c>
      <x:c r="G110" s="24" t="str">
        <x:v>Other demersal invertebrates</x:v>
      </x:c>
      <x:c r="H110" s="24" t="str">
        <x:v>Molluscs</x:v>
      </x:c>
      <x:c r="I110" s="31" t="n">
        <x:v>10.7398813561</x:v>
      </x:c>
      <x:c r="J110" s="31" t="n">
        <x:v>0</x:v>
      </x:c>
      <x:c r="K110" s="31" t="n">
        <x:v>10.7398813561</x:v>
      </x:c>
      <x:c r="L110" s="31" t="n">
        <x:v>0</x:v>
      </x:c>
      <x:c r="M110" s="31" t="n">
        <x:v>10.7398813561</x:v>
      </x:c>
      <x:c r="N110" s="24" t="str">
        <x:v>gastropoda</x:v>
      </x:c>
      <x:c r="O110" s="32" t="n">
        <x:v>3.06</x:v>
      </x:c>
      <x:c r="P110" s="24" t="str">
        <x:v>exact_sea_around_us</x:v>
      </x:c>
      <x:c r="Q110" s="32" t="str">
        <x:v>Sea Around Us exploited organisms</x:v>
      </x:c>
      <x:c r="R110" s="24" t="str">
        <x:v>high</x:v>
      </x:c>
      <x:c r="S110" s="24" t="str">
        <x:v>Gastropoda</x:v>
      </x:c>
      <x:c r="T110" s="32" t="n">
        <x:f>IF(O110="","",(1/'Metadata'!$B$5)^(O110-1))</x:f>
        <x:v>114.81536214968828</x:v>
      </x:c>
      <x:c r="U110" s="31" t="n">
        <x:f>IF(T110="","",I110*T110)</x:f>
        <x:v>1233.1033673453069</x:v>
      </x:c>
    </x:row>
    <x:row r="111" ht="18" customHeight="1">
      <x:c r="A111" s="24" t="str">
        <x:v>EEZ_620</x:v>
      </x:c>
      <x:c r="B111" s="24" t="str">
        <x:v>Portugal (mainland)</x:v>
      </x:c>
      <x:c r="C111" s="24" t="str">
        <x:v>EEZ</x:v>
      </x:c>
      <x:c r="D111" s="30" t="n">
        <x:v>2019</x:v>
      </x:c>
      <x:c r="E111" s="24" t="str">
        <x:v>Solea</x:v>
      </x:c>
      <x:c r="F111" s="24" t="str">
        <x:v>Soles</x:v>
      </x:c>
      <x:c r="G111" s="24" t="str">
        <x:v>Small to medium flatfishes (&lt;90 cm)</x:v>
      </x:c>
      <x:c r="H111" s="24" t="str">
        <x:v>Flatfishes</x:v>
      </x:c>
      <x:c r="I111" s="31" t="n">
        <x:v>10.6153764924</x:v>
      </x:c>
      <x:c r="J111" s="31" t="n">
        <x:v>0</x:v>
      </x:c>
      <x:c r="K111" s="31" t="n">
        <x:v>10.6153764924</x:v>
      </x:c>
      <x:c r="L111" s="31" t="n">
        <x:v>0</x:v>
      </x:c>
      <x:c r="M111" s="31" t="n">
        <x:v>10.6153764924</x:v>
      </x:c>
      <x:c r="N111" s="24" t="str">
        <x:v>solea</x:v>
      </x:c>
      <x:c r="O111" s="32" t="n">
        <x:v>3.13</x:v>
      </x:c>
      <x:c r="P111" s="24" t="str">
        <x:v>exact_sea_around_us</x:v>
      </x:c>
      <x:c r="Q111" s="32" t="str">
        <x:v>Sea Around Us exploited organisms</x:v>
      </x:c>
      <x:c r="R111" s="24" t="str">
        <x:v>high</x:v>
      </x:c>
      <x:c r="S111" s="24" t="str">
        <x:v>Solea</x:v>
      </x:c>
      <x:c r="T111" s="32" t="n">
        <x:f>IF(O111="","",(1/'Metadata'!$B$5)^(O111-1))</x:f>
        <x:v>134.89628825916532</x:v>
      </x:c>
      <x:c r="U111" s="31" t="n">
        <x:f>IF(T111="","",I111*T111)</x:f>
        <x:v>1431.9748872983575</x:v>
      </x:c>
    </x:row>
    <x:row r="112" ht="18" customHeight="1">
      <x:c r="A112" s="24" t="str">
        <x:v>EEZ_620</x:v>
      </x:c>
      <x:c r="B112" s="24" t="str">
        <x:v>Portugal (mainland)</x:v>
      </x:c>
      <x:c r="C112" s="24" t="str">
        <x:v>EEZ</x:v>
      </x:c>
      <x:c r="D112" s="30" t="n">
        <x:v>2019</x:v>
      </x:c>
      <x:c r="E112" s="24" t="str">
        <x:v>Deania calceus</x:v>
      </x:c>
      <x:c r="F112" s="24" t="str">
        <x:v>Birdbeak dogfish</x:v>
      </x:c>
      <x:c r="G112" s="24" t="str">
        <x:v>Large sharks (&gt;=90 cm)</x:v>
      </x:c>
      <x:c r="H112" s="24" t="str">
        <x:v>Sharks &amp; rays</x:v>
      </x:c>
      <x:c r="I112" s="31" t="n">
        <x:v>10.1559677155</x:v>
      </x:c>
      <x:c r="J112" s="31" t="n">
        <x:v>0</x:v>
      </x:c>
      <x:c r="K112" s="31" t="n">
        <x:v>10.1559677155</x:v>
      </x:c>
      <x:c r="L112" s="31" t="n">
        <x:v>0</x:v>
      </x:c>
      <x:c r="M112" s="31" t="n">
        <x:v>10.1559677155</x:v>
      </x:c>
      <x:c r="N112" s="24" t="str">
        <x:v>deania calceus</x:v>
      </x:c>
      <x:c r="O112" s="32" t="n">
        <x:v>4.33</x:v>
      </x:c>
      <x:c r="P112" s="24" t="str">
        <x:v>exact_sea_around_us</x:v>
      </x:c>
      <x:c r="Q112" s="32" t="str">
        <x:v>Sea Around Us exploited organisms</x:v>
      </x:c>
      <x:c r="R112" s="24" t="str">
        <x:v>high</x:v>
      </x:c>
      <x:c r="S112" s="24" t="str">
        <x:v>Deania calceus</x:v>
      </x:c>
      <x:c r="T112" s="32" t="n">
        <x:f>IF(O112="","",(1/'Metadata'!$B$5)^(O112-1))</x:f>
        <x:v>2137.9620895022326</x:v>
      </x:c>
      <x:c r="U112" s="31" t="n">
        <x:f>IF(T112="","",I112*T112)</x:f>
        <x:v>21713.073957947596</x:v>
      </x:c>
    </x:row>
    <x:row r="113" ht="18" customHeight="1">
      <x:c r="A113" s="24" t="str">
        <x:v>EEZ_620</x:v>
      </x:c>
      <x:c r="B113" s="24" t="str">
        <x:v>Portugal (mainland)</x:v>
      </x:c>
      <x:c r="C113" s="24" t="str">
        <x:v>EEZ</x:v>
      </x:c>
      <x:c r="D113" s="30" t="n">
        <x:v>2019</x:v>
      </x:c>
      <x:c r="E113" s="24" t="str">
        <x:v>Beryx decadactylus</x:v>
      </x:c>
      <x:c r="F113" s="24" t="str">
        <x:v>Alfonsino</x:v>
      </x:c>
      <x:c r="G113" s="24" t="str">
        <x:v>Medium bathydemersals (30 - 89 cm)</x:v>
      </x:c>
      <x:c r="H113" s="24" t="str">
        <x:v>Other fishes &amp; inverts</x:v>
      </x:c>
      <x:c r="I113" s="31" t="n">
        <x:v>10</x:v>
      </x:c>
      <x:c r="J113" s="31" t="n">
        <x:v>10</x:v>
      </x:c>
      <x:c r="K113" s="31" t="n">
        <x:v>0</x:v>
      </x:c>
      <x:c r="L113" s="31" t="n">
        <x:v>10</x:v>
      </x:c>
      <x:c r="M113" s="31" t="n">
        <x:v>0</x:v>
      </x:c>
      <x:c r="N113" s="24" t="str">
        <x:v>beryx decadactylus</x:v>
      </x:c>
      <x:c r="O113" s="32" t="n">
        <x:v>4.13</x:v>
      </x:c>
      <x:c r="P113" s="24" t="str">
        <x:v>exact_2020_supplement</x:v>
      </x:c>
      <x:c r="Q113" s="32" t="str">
        <x:v>2020 supplement MeanTL</x:v>
      </x:c>
      <x:c r="R113" s="24" t="str">
        <x:v>high</x:v>
      </x:c>
      <x:c r="S113" s="24" t="str">
        <x:v>Beryx decadactylus</x:v>
      </x:c>
      <x:c r="T113" s="32" t="n">
        <x:f>IF(O113="","",(1/'Metadata'!$B$5)^(O113-1))</x:f>
        <x:v>1348.9628825916532</x:v>
      </x:c>
      <x:c r="U113" s="31" t="n">
        <x:f>IF(T113="","",I113*T113)</x:f>
        <x:v>13489.628825916532</x:v>
      </x:c>
    </x:row>
    <x:row r="114" ht="18" customHeight="1">
      <x:c r="A114" s="24" t="str">
        <x:v>EEZ_620</x:v>
      </x:c>
      <x:c r="B114" s="24" t="str">
        <x:v>Portugal (mainland)</x:v>
      </x:c>
      <x:c r="C114" s="24" t="str">
        <x:v>EEZ</x:v>
      </x:c>
      <x:c r="D114" s="30" t="n">
        <x:v>2019</x:v>
      </x:c>
      <x:c r="E114" s="24" t="str">
        <x:v>Lepidocybium flavobrunneum</x:v>
      </x:c>
      <x:c r="F114" s="24" t="str">
        <x:v>Escolar</x:v>
      </x:c>
      <x:c r="G114" s="24" t="str">
        <x:v>Large bathypelagics (&gt;=90 cm)</x:v>
      </x:c>
      <x:c r="H114" s="24" t="str">
        <x:v>Perch-likes</x:v>
      </x:c>
      <x:c r="I114" s="31" t="n">
        <x:v>9.8362559792</x:v>
      </x:c>
      <x:c r="J114" s="31" t="n">
        <x:v>9.8362559792</x:v>
      </x:c>
      <x:c r="K114" s="31" t="n">
        <x:v>0</x:v>
      </x:c>
      <x:c r="L114" s="31" t="n">
        <x:v>9.8362559792</x:v>
      </x:c>
      <x:c r="M114" s="31" t="n">
        <x:v>0</x:v>
      </x:c>
      <x:c r="N114" s="24" t="str">
        <x:v>lepidocybium flavobrunneum</x:v>
      </x:c>
      <x:c r="O114" s="32" t="n">
        <x:v>4.34</x:v>
      </x:c>
      <x:c r="P114" s="24" t="str">
        <x:v>exact_2020_supplement</x:v>
      </x:c>
      <x:c r="Q114" s="32" t="str">
        <x:v>2020 supplement MeanTL</x:v>
      </x:c>
      <x:c r="R114" s="24" t="str">
        <x:v>high</x:v>
      </x:c>
      <x:c r="S114" s="24" t="str">
        <x:v>Lepidocybium flavobrunneum</x:v>
      </x:c>
      <x:c r="T114" s="32" t="n">
        <x:f>IF(O114="","",(1/'Metadata'!$B$5)^(O114-1))</x:f>
        <x:v>2187.761623949552</x:v>
      </x:c>
      <x:c r="U114" s="31" t="n">
        <x:f>IF(T114="","",I114*T114)</x:f>
        <x:v>21519.383354638085</x:v>
      </x:c>
    </x:row>
    <x:row r="115" ht="18" customHeight="1">
      <x:c r="A115" s="24" t="str">
        <x:v>EEZ_620</x:v>
      </x:c>
      <x:c r="B115" s="24" t="str">
        <x:v>Portugal (mainland)</x:v>
      </x:c>
      <x:c r="C115" s="24" t="str">
        <x:v>EEZ</x:v>
      </x:c>
      <x:c r="D115" s="30" t="n">
        <x:v>2019</x:v>
      </x:c>
      <x:c r="E115" s="24" t="str">
        <x:v>Macrouridae</x:v>
      </x:c>
      <x:c r="F115" s="24" t="str">
        <x:v>Grenadiers, rattails</x:v>
      </x:c>
      <x:c r="G115" s="24" t="str">
        <x:v>Medium benthopelagics (30 - 89 cm)</x:v>
      </x:c>
      <x:c r="H115" s="24" t="str">
        <x:v>Cod-likes</x:v>
      </x:c>
      <x:c r="I115" s="31" t="n">
        <x:v>9.7811835324</x:v>
      </x:c>
      <x:c r="J115" s="31" t="n">
        <x:v>0</x:v>
      </x:c>
      <x:c r="K115" s="31" t="n">
        <x:v>9.7811835324</x:v>
      </x:c>
      <x:c r="L115" s="31" t="n">
        <x:v>0</x:v>
      </x:c>
      <x:c r="M115" s="31" t="n">
        <x:v>9.7811835324</x:v>
      </x:c>
      <x:c r="N115" s="24" t="str">
        <x:v>macrouridae</x:v>
      </x:c>
      <x:c r="O115" s="32" t="n">
        <x:v>3.88</x:v>
      </x:c>
      <x:c r="P115" s="24" t="str">
        <x:v>exact_sea_around_us</x:v>
      </x:c>
      <x:c r="Q115" s="32" t="str">
        <x:v>Sea Around Us exploited organisms</x:v>
      </x:c>
      <x:c r="R115" s="24" t="str">
        <x:v>high</x:v>
      </x:c>
      <x:c r="S115" s="24" t="str">
        <x:v>Macrouridae</x:v>
      </x:c>
      <x:c r="T115" s="32" t="n">
        <x:f>IF(O115="","",(1/'Metadata'!$B$5)^(O115-1))</x:f>
        <x:v>758.5775750291835</x:v>
      </x:c>
      <x:c r="U115" s="31" t="n">
        <x:f>IF(T115="","",I115*T115)</x:f>
        <x:v>7419.786484923376</x:v>
      </x:c>
    </x:row>
    <x:row r="116" ht="18" customHeight="1">
      <x:c r="A116" s="24" t="str">
        <x:v>EEZ_620</x:v>
      </x:c>
      <x:c r="B116" s="24" t="str">
        <x:v>Portugal (mainland)</x:v>
      </x:c>
      <x:c r="C116" s="24" t="str">
        <x:v>EEZ</x:v>
      </x:c>
      <x:c r="D116" s="30" t="n">
        <x:v>2019</x:v>
      </x:c>
      <x:c r="E116" s="24" t="str">
        <x:v>Solea senegalensis</x:v>
      </x:c>
      <x:c r="F116" s="24" t="str">
        <x:v>Senegalese sole</x:v>
      </x:c>
      <x:c r="G116" s="24" t="str">
        <x:v>Small to medium flatfishes (&lt;90 cm)</x:v>
      </x:c>
      <x:c r="H116" s="24" t="str">
        <x:v>Flatfishes</x:v>
      </x:c>
      <x:c r="I116" s="31" t="n">
        <x:v>9.6084243833</x:v>
      </x:c>
      <x:c r="J116" s="31" t="n">
        <x:v>0</x:v>
      </x:c>
      <x:c r="K116" s="31" t="n">
        <x:v>9.6084243833</x:v>
      </x:c>
      <x:c r="L116" s="31" t="n">
        <x:v>0</x:v>
      </x:c>
      <x:c r="M116" s="31" t="n">
        <x:v>9.6084243833</x:v>
      </x:c>
      <x:c r="N116" s="24" t="str">
        <x:v>solea senegalensis</x:v>
      </x:c>
      <x:c r="O116" s="32" t="n">
        <x:v>3.13</x:v>
      </x:c>
      <x:c r="P116" s="24" t="str">
        <x:v>exact_2020_supplement</x:v>
      </x:c>
      <x:c r="Q116" s="32" t="str">
        <x:v>2020 supplement MeanTL</x:v>
      </x:c>
      <x:c r="R116" s="24" t="str">
        <x:v>high</x:v>
      </x:c>
      <x:c r="S116" s="24" t="str">
        <x:v>Solea senegalensis</x:v>
      </x:c>
      <x:c r="T116" s="32" t="n">
        <x:f>IF(O116="","",(1/'Metadata'!$B$5)^(O116-1))</x:f>
        <x:v>134.89628825916532</x:v>
      </x:c>
      <x:c r="U116" s="31" t="n">
        <x:f>IF(T116="","",I116*T116)</x:f>
        <x:v>1296.1407853260293</x:v>
      </x:c>
    </x:row>
    <x:row r="117" ht="18" customHeight="1">
      <x:c r="A117" s="24" t="str">
        <x:v>EEZ_620</x:v>
      </x:c>
      <x:c r="B117" s="24" t="str">
        <x:v>Portugal (mainland)</x:v>
      </x:c>
      <x:c r="C117" s="24" t="str">
        <x:v>EEZ</x:v>
      </x:c>
      <x:c r="D117" s="30" t="n">
        <x:v>2019</x:v>
      </x:c>
      <x:c r="E117" s="24" t="str">
        <x:v>Centrophorus squamosus</x:v>
      </x:c>
      <x:c r="F117" s="24" t="str">
        <x:v>Leafscale gulper shark</x:v>
      </x:c>
      <x:c r="G117" s="24" t="str">
        <x:v>Large sharks (&gt;=90 cm)</x:v>
      </x:c>
      <x:c r="H117" s="24" t="str">
        <x:v>Sharks &amp; rays</x:v>
      </x:c>
      <x:c r="I117" s="31" t="n">
        <x:v>9.3146449462</x:v>
      </x:c>
      <x:c r="J117" s="31" t="n">
        <x:v>0</x:v>
      </x:c>
      <x:c r="K117" s="31" t="n">
        <x:v>9.3146449462</x:v>
      </x:c>
      <x:c r="L117" s="31" t="n">
        <x:v>0</x:v>
      </x:c>
      <x:c r="M117" s="31" t="n">
        <x:v>9.3146449462</x:v>
      </x:c>
      <x:c r="N117" s="24" t="str">
        <x:v>centrophorus squamosus</x:v>
      </x:c>
      <x:c r="O117" s="32" t="n">
        <x:v>4.47</x:v>
      </x:c>
      <x:c r="P117" s="24" t="str">
        <x:v>exact_2020_supplement</x:v>
      </x:c>
      <x:c r="Q117" s="32" t="str">
        <x:v>2020 supplement MeanTL</x:v>
      </x:c>
      <x:c r="R117" s="24" t="str">
        <x:v>high</x:v>
      </x:c>
      <x:c r="S117" s="24" t="str">
        <x:v>Centrophorus squamosus</x:v>
      </x:c>
      <x:c r="T117" s="32" t="n">
        <x:f>IF(O117="","",(1/'Metadata'!$B$5)^(O117-1))</x:f>
        <x:v>2951.209226666384</x:v>
      </x:c>
      <x:c r="U117" s="31" t="n">
        <x:f>IF(T117="","",I117*T117)</x:f>
        <x:v>27489.46610834684</x:v>
      </x:c>
    </x:row>
    <x:row r="118" ht="18" customHeight="1">
      <x:c r="A118" s="24" t="str">
        <x:v>EEZ_620</x:v>
      </x:c>
      <x:c r="B118" s="24" t="str">
        <x:v>Portugal (mainland)</x:v>
      </x:c>
      <x:c r="C118" s="24" t="str">
        <x:v>EEZ</x:v>
      </x:c>
      <x:c r="D118" s="30" t="n">
        <x:v>2019</x:v>
      </x:c>
      <x:c r="E118" s="24" t="str">
        <x:v>Argentina sphyraena</x:v>
      </x:c>
      <x:c r="F118" s="24" t="str">
        <x:v>European argentine</x:v>
      </x:c>
      <x:c r="G118" s="24" t="str">
        <x:v>Medium pelagics (30 - 89 cm)</x:v>
      </x:c>
      <x:c r="H118" s="24" t="str">
        <x:v>Salmon, smelts, etc</x:v>
      </x:c>
      <x:c r="I118" s="31" t="n">
        <x:v>9.3127662609</x:v>
      </x:c>
      <x:c r="J118" s="31" t="n">
        <x:v>0</x:v>
      </x:c>
      <x:c r="K118" s="31" t="n">
        <x:v>9.3127662609</x:v>
      </x:c>
      <x:c r="L118" s="31" t="n">
        <x:v>0</x:v>
      </x:c>
      <x:c r="M118" s="31" t="n">
        <x:v>9.3127662609</x:v>
      </x:c>
      <x:c r="N118" s="24" t="str">
        <x:v>argentina sphyraena</x:v>
      </x:c>
      <x:c r="O118" s="32" t="n">
        <x:v>3.62</x:v>
      </x:c>
      <x:c r="P118" s="24" t="str">
        <x:v>exact_2020_supplement</x:v>
      </x:c>
      <x:c r="Q118" s="32" t="str">
        <x:v>2020 supplement MeanTL</x:v>
      </x:c>
      <x:c r="R118" s="24" t="str">
        <x:v>high</x:v>
      </x:c>
      <x:c r="S118" s="24" t="str">
        <x:v>Argentina sphyraena</x:v>
      </x:c>
      <x:c r="T118" s="32" t="n">
        <x:f>IF(O118="","",(1/'Metadata'!$B$5)^(O118-1))</x:f>
        <x:v>416.8693834703355</x:v>
      </x:c>
      <x:c r="U118" s="31" t="n">
        <x:f>IF(T118="","",I118*T118)</x:f>
        <x:v>3882.2071295847245</x:v>
      </x:c>
    </x:row>
    <x:row r="119" ht="18" customHeight="1">
      <x:c r="A119" s="24" t="str">
        <x:v>EEZ_620</x:v>
      </x:c>
      <x:c r="B119" s="24" t="str">
        <x:v>Portugal (mainland)</x:v>
      </x:c>
      <x:c r="C119" s="24" t="str">
        <x:v>EEZ</x:v>
      </x:c>
      <x:c r="D119" s="30" t="n">
        <x:v>2019</x:v>
      </x:c>
      <x:c r="E119" s="24" t="str">
        <x:v>Raja miraletus</x:v>
      </x:c>
      <x:c r="F119" s="24" t="str">
        <x:v>Brown ray</x:v>
      </x:c>
      <x:c r="G119" s="24" t="str">
        <x:v>Small to medium rays (&lt;90 cm)</x:v>
      </x:c>
      <x:c r="H119" s="24" t="str">
        <x:v>Sharks &amp; rays</x:v>
      </x:c>
      <x:c r="I119" s="31" t="n">
        <x:v>7.8400513166</x:v>
      </x:c>
      <x:c r="J119" s="31" t="n">
        <x:v>0</x:v>
      </x:c>
      <x:c r="K119" s="31" t="n">
        <x:v>7.8400513166</x:v>
      </x:c>
      <x:c r="L119" s="31" t="n">
        <x:v>0</x:v>
      </x:c>
      <x:c r="M119" s="31" t="n">
        <x:v>7.8400513166</x:v>
      </x:c>
      <x:c r="N119" s="24" t="str">
        <x:v>raja miraletus</x:v>
      </x:c>
      <x:c r="O119" s="32" t="n">
        <x:v>3.8</x:v>
      </x:c>
      <x:c r="P119" s="24" t="str">
        <x:v>exact_2020_supplement</x:v>
      </x:c>
      <x:c r="Q119" s="32" t="str">
        <x:v>2020 supplement MeanTL</x:v>
      </x:c>
      <x:c r="R119" s="24" t="str">
        <x:v>high</x:v>
      </x:c>
      <x:c r="S119" s="24" t="str">
        <x:v>Raja miraletus</x:v>
      </x:c>
      <x:c r="T119" s="32" t="n">
        <x:f>IF(O119="","",(1/'Metadata'!$B$5)^(O119-1))</x:f>
        <x:v>630.957344480193</x:v>
      </x:c>
      <x:c r="U119" s="31" t="n">
        <x:f>IF(T119="","",I119*T119)</x:f>
        <x:v>4946.737959310377</x:v>
      </x:c>
    </x:row>
    <x:row r="120" ht="18" customHeight="1">
      <x:c r="A120" s="24" t="str">
        <x:v>EEZ_620</x:v>
      </x:c>
      <x:c r="B120" s="24" t="str">
        <x:v>Portugal (mainland)</x:v>
      </x:c>
      <x:c r="C120" s="24" t="str">
        <x:v>EEZ</x:v>
      </x:c>
      <x:c r="D120" s="30" t="n">
        <x:v>2019</x:v>
      </x:c>
      <x:c r="E120" s="24" t="str">
        <x:v>Squilla mantis</x:v>
      </x:c>
      <x:c r="F120" s="24" t="str">
        <x:v>Spottail mantis squillid</x:v>
      </x:c>
      <x:c r="G120" s="24" t="str">
        <x:v>Shrimps</x:v>
      </x:c>
      <x:c r="H120" s="24" t="str">
        <x:v>Crustaceans</x:v>
      </x:c>
      <x:c r="I120" s="31" t="n">
        <x:v>6.9840177661</x:v>
      </x:c>
      <x:c r="J120" s="31" t="n">
        <x:v>0</x:v>
      </x:c>
      <x:c r="K120" s="31" t="n">
        <x:v>6.9840177661</x:v>
      </x:c>
      <x:c r="L120" s="31" t="n">
        <x:v>0</x:v>
      </x:c>
      <x:c r="M120" s="31" t="n">
        <x:v>6.9840177661</x:v>
      </x:c>
      <x:c r="N120" s="24" t="str">
        <x:v>squilla mantis</x:v>
      </x:c>
      <x:c r="O120" s="32" t="n">
        <x:v>3.62</x:v>
      </x:c>
      <x:c r="P120" s="24" t="str">
        <x:v>exact_sea_around_us</x:v>
      </x:c>
      <x:c r="Q120" s="32" t="str">
        <x:v>Sea Around Us exploited organisms</x:v>
      </x:c>
      <x:c r="R120" s="24" t="str">
        <x:v>high</x:v>
      </x:c>
      <x:c r="S120" s="24" t="str">
        <x:v>Squilla mantis</x:v>
      </x:c>
      <x:c r="T120" s="32" t="n">
        <x:f>IF(O120="","",(1/'Metadata'!$B$5)^(O120-1))</x:f>
        <x:v>416.8693834703355</x:v>
      </x:c>
      <x:c r="U120" s="31" t="n">
        <x:f>IF(T120="","",I120*T120)</x:f>
        <x:v>2911.4231802999766</x:v>
      </x:c>
    </x:row>
    <x:row r="121" ht="18" customHeight="1">
      <x:c r="A121" s="24" t="str">
        <x:v>EEZ_620</x:v>
      </x:c>
      <x:c r="B121" s="24" t="str">
        <x:v>Portugal (mainland)</x:v>
      </x:c>
      <x:c r="C121" s="24" t="str">
        <x:v>EEZ</x:v>
      </x:c>
      <x:c r="D121" s="30" t="n">
        <x:v>2019</x:v>
      </x:c>
      <x:c r="E121" s="24" t="str">
        <x:v>Mola mola</x:v>
      </x:c>
      <x:c r="F121" s="24" t="str">
        <x:v>Ocean sunfish</x:v>
      </x:c>
      <x:c r="G121" s="24" t="str">
        <x:v>Large pelagics (&gt;=90 cm)</x:v>
      </x:c>
      <x:c r="H121" s="24" t="str">
        <x:v>Other fishes &amp; inverts</x:v>
      </x:c>
      <x:c r="I121" s="31" t="n">
        <x:v>6.9385261111</x:v>
      </x:c>
      <x:c r="J121" s="31" t="n">
        <x:v>0</x:v>
      </x:c>
      <x:c r="K121" s="31" t="n">
        <x:v>6.9385261111</x:v>
      </x:c>
      <x:c r="L121" s="31" t="n">
        <x:v>0</x:v>
      </x:c>
      <x:c r="M121" s="31" t="n">
        <x:v>6.9385261111</x:v>
      </x:c>
      <x:c r="N121" s="24" t="str">
        <x:v>mola mola</x:v>
      </x:c>
      <x:c r="O121" s="32" t="n">
        <x:v>3.68</x:v>
      </x:c>
      <x:c r="P121" s="24" t="str">
        <x:v>exact_2020_supplement</x:v>
      </x:c>
      <x:c r="Q121" s="32" t="str">
        <x:v>2020 supplement MeanTL</x:v>
      </x:c>
      <x:c r="R121" s="24" t="str">
        <x:v>high</x:v>
      </x:c>
      <x:c r="S121" s="24" t="str">
        <x:v>Mola mola</x:v>
      </x:c>
      <x:c r="T121" s="32" t="n">
        <x:f>IF(O121="","",(1/'Metadata'!$B$5)^(O121-1))</x:f>
        <x:v>478.6300923226385</x:v>
      </x:c>
      <x:c r="U121" s="31" t="n">
        <x:f>IF(T121="","",I121*T121)</x:f>
        <x:v>3320.987393138831</x:v>
      </x:c>
    </x:row>
    <x:row r="122" ht="18" customHeight="1">
      <x:c r="A122" s="24" t="str">
        <x:v>EEZ_620</x:v>
      </x:c>
      <x:c r="B122" s="24" t="str">
        <x:v>Portugal (mainland)</x:v>
      </x:c>
      <x:c r="C122" s="24" t="str">
        <x:v>EEZ</x:v>
      </x:c>
      <x:c r="D122" s="30" t="n">
        <x:v>2019</x:v>
      </x:c>
      <x:c r="E122" s="24" t="str">
        <x:v>Isurus paucus</x:v>
      </x:c>
      <x:c r="F122" s="24" t="str">
        <x:v>Longfin mako</x:v>
      </x:c>
      <x:c r="G122" s="24" t="str">
        <x:v>Large sharks (&gt;=90 cm)</x:v>
      </x:c>
      <x:c r="H122" s="24" t="str">
        <x:v>Sharks &amp; rays</x:v>
      </x:c>
      <x:c r="I122" s="31" t="n">
        <x:v>6.215202853</x:v>
      </x:c>
      <x:c r="J122" s="31" t="n">
        <x:v>6.215202853</x:v>
      </x:c>
      <x:c r="K122" s="31" t="n">
        <x:v>0</x:v>
      </x:c>
      <x:c r="L122" s="31" t="n">
        <x:v>6.215202853</x:v>
      </x:c>
      <x:c r="M122" s="31" t="n">
        <x:v>0</x:v>
      </x:c>
      <x:c r="N122" s="24" t="str">
        <x:v>isurus paucus</x:v>
      </x:c>
      <x:c r="O122" s="32" t="n">
        <x:v>4.51</x:v>
      </x:c>
      <x:c r="P122" s="24" t="str">
        <x:v>exact_2020_supplement</x:v>
      </x:c>
      <x:c r="Q122" s="32" t="str">
        <x:v>2020 supplement MeanTL</x:v>
      </x:c>
      <x:c r="R122" s="24" t="str">
        <x:v>high</x:v>
      </x:c>
      <x:c r="S122" s="24" t="str">
        <x:v>Isurus paucus</x:v>
      </x:c>
      <x:c r="T122" s="32" t="n">
        <x:f>IF(O122="","",(1/'Metadata'!$B$5)^(O122-1))</x:f>
        <x:v>3235.936569296281</x:v>
      </x:c>
      <x:c r="U122" s="31" t="n">
        <x:f>IF(T122="","",I122*T122)</x:f>
        <x:v>20112.00219761728</x:v>
      </x:c>
    </x:row>
    <x:row r="123" ht="18" customHeight="1">
      <x:c r="A123" s="24" t="str">
        <x:v>EEZ_620</x:v>
      </x:c>
      <x:c r="B123" s="24" t="str">
        <x:v>Portugal (mainland)</x:v>
      </x:c>
      <x:c r="C123" s="24" t="str">
        <x:v>EEZ</x:v>
      </x:c>
      <x:c r="D123" s="30" t="n">
        <x:v>2019</x:v>
      </x:c>
      <x:c r="E123" s="24" t="str">
        <x:v>Torpedo torpedo</x:v>
      </x:c>
      <x:c r="F123" s="24" t="str">
        <x:v>Common torpedo</x:v>
      </x:c>
      <x:c r="G123" s="24" t="str">
        <x:v>Small to medium rays (&lt;90 cm)</x:v>
      </x:c>
      <x:c r="H123" s="24" t="str">
        <x:v>Sharks &amp; rays</x:v>
      </x:c>
      <x:c r="I123" s="31" t="n">
        <x:v>5.7977269672</x:v>
      </x:c>
      <x:c r="J123" s="31" t="n">
        <x:v>0</x:v>
      </x:c>
      <x:c r="K123" s="31" t="n">
        <x:v>5.7977269672</x:v>
      </x:c>
      <x:c r="L123" s="31" t="n">
        <x:v>0</x:v>
      </x:c>
      <x:c r="M123" s="31" t="n">
        <x:v>5.7977269672</x:v>
      </x:c>
      <x:c r="N123" s="24" t="str">
        <x:v>torpedo torpedo</x:v>
      </x:c>
      <x:c r="O123" s="32" t="n">
        <x:v>4.5</x:v>
      </x:c>
      <x:c r="P123" s="24" t="str">
        <x:v>exact_2020_supplement</x:v>
      </x:c>
      <x:c r="Q123" s="32" t="str">
        <x:v>2020 supplement MeanTL</x:v>
      </x:c>
      <x:c r="R123" s="24" t="str">
        <x:v>high</x:v>
      </x:c>
      <x:c r="S123" s="24" t="str">
        <x:v>Torpedo torpedo</x:v>
      </x:c>
      <x:c r="T123" s="32" t="n">
        <x:f>IF(O123="","",(1/'Metadata'!$B$5)^(O123-1))</x:f>
        <x:v>3162.2776601683795</x:v>
      </x:c>
      <x:c r="U123" s="31" t="n">
        <x:f>IF(T123="","",I123*T123)</x:f>
        <x:v>18334.02246813233</x:v>
      </x:c>
    </x:row>
    <x:row r="124" ht="18" customHeight="1">
      <x:c r="A124" s="24" t="str">
        <x:v>EEZ_620</x:v>
      </x:c>
      <x:c r="B124" s="24" t="str">
        <x:v>Portugal (mainland)</x:v>
      </x:c>
      <x:c r="C124" s="24" t="str">
        <x:v>EEZ</x:v>
      </x:c>
      <x:c r="D124" s="30" t="n">
        <x:v>2019</x:v>
      </x:c>
      <x:c r="E124" s="24" t="str">
        <x:v>Raja clavata</x:v>
      </x:c>
      <x:c r="F124" s="24" t="str">
        <x:v>Thornback ray</x:v>
      </x:c>
      <x:c r="G124" s="24" t="str">
        <x:v>Large rays (&gt;=90 cm)</x:v>
      </x:c>
      <x:c r="H124" s="24" t="str">
        <x:v>Sharks &amp; rays</x:v>
      </x:c>
      <x:c r="I124" s="31" t="n">
        <x:v>5.1443565379</x:v>
      </x:c>
      <x:c r="J124" s="31" t="n">
        <x:v>0</x:v>
      </x:c>
      <x:c r="K124" s="31" t="n">
        <x:v>5.1443565379</x:v>
      </x:c>
      <x:c r="L124" s="31" t="n">
        <x:v>0</x:v>
      </x:c>
      <x:c r="M124" s="31" t="n">
        <x:v>5.1443565379</x:v>
      </x:c>
      <x:c r="N124" s="24" t="str">
        <x:v>raja clavata</x:v>
      </x:c>
      <x:c r="O124" s="32" t="n">
        <x:v>3.84</x:v>
      </x:c>
      <x:c r="P124" s="24" t="str">
        <x:v>exact_2020_supplement</x:v>
      </x:c>
      <x:c r="Q124" s="32" t="str">
        <x:v>2020 supplement MeanTL</x:v>
      </x:c>
      <x:c r="R124" s="24" t="str">
        <x:v>high</x:v>
      </x:c>
      <x:c r="S124" s="24" t="str">
        <x:v>Raja clavata</x:v>
      </x:c>
      <x:c r="T124" s="32" t="n">
        <x:f>IF(O124="","",(1/'Metadata'!$B$5)^(O124-1))</x:f>
        <x:v>691.8309709189363</x:v>
      </x:c>
      <x:c r="U124" s="31" t="n">
        <x:f>IF(T124="","",I124*T124)</x:f>
        <x:v>3559.025178368535</x:v>
      </x:c>
    </x:row>
    <x:row r="125" ht="18" customHeight="1">
      <x:c r="A125" s="24" t="str">
        <x:v>EEZ_620</x:v>
      </x:c>
      <x:c r="B125" s="24" t="str">
        <x:v>Portugal (mainland)</x:v>
      </x:c>
      <x:c r="C125" s="24" t="str">
        <x:v>EEZ</x:v>
      </x:c>
      <x:c r="D125" s="30" t="n">
        <x:v>2019</x:v>
      </x:c>
      <x:c r="E125" s="24" t="str">
        <x:v>Chelidonichthys lastoviza</x:v>
      </x:c>
      <x:c r="F125" s="24" t="str">
        <x:v>Streaked gurnard</x:v>
      </x:c>
      <x:c r="G125" s="24" t="str">
        <x:v>Medium demersals (30 - 89 cm)</x:v>
      </x:c>
      <x:c r="H125" s="24" t="str">
        <x:v>Scorpionfishes</x:v>
      </x:c>
      <x:c r="I125" s="31" t="n">
        <x:v>4.5939344852</x:v>
      </x:c>
      <x:c r="J125" s="31" t="n">
        <x:v>0</x:v>
      </x:c>
      <x:c r="K125" s="31" t="n">
        <x:v>4.5939344852</x:v>
      </x:c>
      <x:c r="L125" s="31" t="n">
        <x:v>0</x:v>
      </x:c>
      <x:c r="M125" s="31" t="n">
        <x:v>4.5939344852</x:v>
      </x:c>
      <x:c r="N125" s="24" t="str">
        <x:v>chelidonichthys lastoviza</x:v>
      </x:c>
      <x:c r="O125" s="32" t="n">
        <x:v>3.49</x:v>
      </x:c>
      <x:c r="P125" s="24" t="str">
        <x:v>exact_sea_around_us</x:v>
      </x:c>
      <x:c r="Q125" s="32" t="str">
        <x:v>Sea Around Us exploited organisms</x:v>
      </x:c>
      <x:c r="R125" s="24" t="str">
        <x:v>high</x:v>
      </x:c>
      <x:c r="S125" s="24" t="str">
        <x:v>Chelidonichthys lastoviza</x:v>
      </x:c>
      <x:c r="T125" s="32" t="n">
        <x:f>IF(O125="","",(1/'Metadata'!$B$5)^(O125-1))</x:f>
        <x:v>309.0295432513592</x:v>
      </x:c>
      <x:c r="U125" s="31" t="n">
        <x:f>IF(T125="","",I125*T125)</x:f>
        <x:v>1419.661475688024</x:v>
      </x:c>
    </x:row>
    <x:row r="126" ht="18" customHeight="1">
      <x:c r="A126" s="24" t="str">
        <x:v>EEZ_620</x:v>
      </x:c>
      <x:c r="B126" s="24" t="str">
        <x:v>Portugal (mainland)</x:v>
      </x:c>
      <x:c r="C126" s="24" t="str">
        <x:v>EEZ</x:v>
      </x:c>
      <x:c r="D126" s="30" t="n">
        <x:v>2019</x:v>
      </x:c>
      <x:c r="E126" s="24" t="str">
        <x:v>Alosa fallax</x:v>
      </x:c>
      <x:c r="F126" s="24" t="str">
        <x:v>Twaite shad</x:v>
      </x:c>
      <x:c r="G126" s="24" t="str">
        <x:v>Medium pelagics (30 - 89 cm)</x:v>
      </x:c>
      <x:c r="H126" s="24" t="str">
        <x:v>Herring-likes</x:v>
      </x:c>
      <x:c r="I126" s="31" t="n">
        <x:v>4.5848967746</x:v>
      </x:c>
      <x:c r="J126" s="31" t="n">
        <x:v>4.0236046451</x:v>
      </x:c>
      <x:c r="K126" s="31" t="n">
        <x:v>0.5612921295</x:v>
      </x:c>
      <x:c r="L126" s="31" t="n">
        <x:v>4.0236046451</x:v>
      </x:c>
      <x:c r="M126" s="31" t="n">
        <x:v>0.5612921295</x:v>
      </x:c>
      <x:c r="N126" s="24" t="str">
        <x:v>alosa fallax</x:v>
      </x:c>
      <x:c r="O126" s="32" t="n">
        <x:v>4.03</x:v>
      </x:c>
      <x:c r="P126" s="24" t="str">
        <x:v>exact_2020_supplement</x:v>
      </x:c>
      <x:c r="Q126" s="32" t="str">
        <x:v>2020 supplement MeanTL</x:v>
      </x:c>
      <x:c r="R126" s="24" t="str">
        <x:v>high</x:v>
      </x:c>
      <x:c r="S126" s="24" t="str">
        <x:v>Alosa fallax</x:v>
      </x:c>
      <x:c r="T126" s="32" t="n">
        <x:f>IF(O126="","",(1/'Metadata'!$B$5)^(O126-1))</x:f>
        <x:v>1071.519305237607</x:v>
      </x:c>
      <x:c r="U126" s="31" t="n">
        <x:f>IF(T126="","",I126*T126)</x:f>
        <x:v>4912.805406505538</x:v>
      </x:c>
    </x:row>
    <x:row r="127" ht="18" customHeight="1">
      <x:c r="A127" s="24" t="str">
        <x:v>EEZ_620</x:v>
      </x:c>
      <x:c r="B127" s="24" t="str">
        <x:v>Portugal (mainland)</x:v>
      </x:c>
      <x:c r="C127" s="24" t="str">
        <x:v>EEZ</x:v>
      </x:c>
      <x:c r="D127" s="30" t="n">
        <x:v>2019</x:v>
      </x:c>
      <x:c r="E127" s="24" t="str">
        <x:v>Alepocephalus bairdii</x:v>
      </x:c>
      <x:c r="F127" s="24" t="str">
        <x:v>Baird's slickhead</x:v>
      </x:c>
      <x:c r="G127" s="24" t="str">
        <x:v>Large bathydemersals (&gt;=90 cm)</x:v>
      </x:c>
      <x:c r="H127" s="24" t="str">
        <x:v>Salmon, smelts, etc</x:v>
      </x:c>
      <x:c r="I127" s="31" t="n">
        <x:v>4.2066138467</x:v>
      </x:c>
      <x:c r="J127" s="31" t="n">
        <x:v>0</x:v>
      </x:c>
      <x:c r="K127" s="31" t="n">
        <x:v>4.2066138467</x:v>
      </x:c>
      <x:c r="L127" s="31" t="n">
        <x:v>0</x:v>
      </x:c>
      <x:c r="M127" s="31" t="n">
        <x:v>4.2066138467</x:v>
      </x:c>
      <x:c r="N127" s="24" t="str">
        <x:v>alepocephalus bairdii</x:v>
      </x:c>
      <x:c r="O127" s="32" t="n">
        <x:v>3.69</x:v>
      </x:c>
      <x:c r="P127" s="24" t="str">
        <x:v>exact_2020_supplement</x:v>
      </x:c>
      <x:c r="Q127" s="32" t="str">
        <x:v>2020 supplement MeanTL</x:v>
      </x:c>
      <x:c r="R127" s="24" t="str">
        <x:v>high</x:v>
      </x:c>
      <x:c r="S127" s="24" t="str">
        <x:v>Alepocephalus bairdii</x:v>
      </x:c>
      <x:c r="T127" s="32" t="n">
        <x:f>IF(O127="","",(1/'Metadata'!$B$5)^(O127-1))</x:f>
        <x:v>489.77881936844614</x:v>
      </x:c>
      <x:c r="U127" s="31" t="n">
        <x:f>IF(T127="","",I127*T127)</x:f>
        <x:v>2060.3103633756837</x:v>
      </x:c>
    </x:row>
    <x:row r="128" ht="18" customHeight="1">
      <x:c r="A128" s="24" t="str">
        <x:v>EEZ_620</x:v>
      </x:c>
      <x:c r="B128" s="24" t="str">
        <x:v>Portugal (mainland)</x:v>
      </x:c>
      <x:c r="C128" s="24" t="str">
        <x:v>EEZ</x:v>
      </x:c>
      <x:c r="D128" s="30" t="n">
        <x:v>2019</x:v>
      </x:c>
      <x:c r="E128" s="24" t="str">
        <x:v>Dicologlossa cuneata</x:v>
      </x:c>
      <x:c r="F128" s="24" t="str">
        <x:v>Wedge sole</x:v>
      </x:c>
      <x:c r="G128" s="24" t="str">
        <x:v>Small to medium flatfishes (&lt;90 cm)</x:v>
      </x:c>
      <x:c r="H128" s="24" t="str">
        <x:v>Flatfishes</x:v>
      </x:c>
      <x:c r="I128" s="31" t="n">
        <x:v>4.1787454685</x:v>
      </x:c>
      <x:c r="J128" s="31" t="n">
        <x:v>0</x:v>
      </x:c>
      <x:c r="K128" s="31" t="n">
        <x:v>4.1787454685</x:v>
      </x:c>
      <x:c r="L128" s="31" t="n">
        <x:v>0</x:v>
      </x:c>
      <x:c r="M128" s="31" t="n">
        <x:v>4.1787454685</x:v>
      </x:c>
      <x:c r="N128" s="24" t="str">
        <x:v>dicologlossa cuneata</x:v>
      </x:c>
      <x:c r="O128" s="32" t="n">
        <x:v>3.32</x:v>
      </x:c>
      <x:c r="P128" s="24" t="str">
        <x:v>exact_2020_supplement</x:v>
      </x:c>
      <x:c r="Q128" s="32" t="str">
        <x:v>2020 supplement MeanTL</x:v>
      </x:c>
      <x:c r="R128" s="24" t="str">
        <x:v>high</x:v>
      </x:c>
      <x:c r="S128" s="24" t="str">
        <x:v>Dicologlossa cuneata</x:v>
      </x:c>
      <x:c r="T128" s="32" t="n">
        <x:f>IF(O128="","",(1/'Metadata'!$B$5)^(O128-1))</x:f>
        <x:v>208.92961308540387</x:v>
      </x:c>
      <x:c r="U128" s="31" t="n">
        <x:f>IF(T128="","",I128*T128)</x:f>
        <x:v>873.0636739160897</x:v>
      </x:c>
    </x:row>
    <x:row r="129" ht="18" customHeight="1">
      <x:c r="A129" s="24" t="str">
        <x:v>EEZ_620</x:v>
      </x:c>
      <x:c r="B129" s="24" t="str">
        <x:v>Portugal (mainland)</x:v>
      </x:c>
      <x:c r="C129" s="24" t="str">
        <x:v>EEZ</x:v>
      </x:c>
      <x:c r="D129" s="30" t="n">
        <x:v>2019</x:v>
      </x:c>
      <x:c r="E129" s="24" t="str">
        <x:v>Myliobatis aquila</x:v>
      </x:c>
      <x:c r="F129" s="24" t="str">
        <x:v>Common eagle ray</x:v>
      </x:c>
      <x:c r="G129" s="24" t="str">
        <x:v>Large rays (&gt;=90 cm)</x:v>
      </x:c>
      <x:c r="H129" s="24" t="str">
        <x:v>Sharks &amp; rays</x:v>
      </x:c>
      <x:c r="I129" s="31" t="n">
        <x:v>3.7905132318</x:v>
      </x:c>
      <x:c r="J129" s="31" t="n">
        <x:v>0</x:v>
      </x:c>
      <x:c r="K129" s="31" t="n">
        <x:v>3.7905132318</x:v>
      </x:c>
      <x:c r="L129" s="31" t="n">
        <x:v>0</x:v>
      </x:c>
      <x:c r="M129" s="31" t="n">
        <x:v>3.7905132318</x:v>
      </x:c>
      <x:c r="N129" s="24" t="str">
        <x:v>myliobatis aquila</x:v>
      </x:c>
      <x:c r="O129" s="32" t="n">
        <x:v>3.61</x:v>
      </x:c>
      <x:c r="P129" s="24" t="str">
        <x:v>exact_2020_supplement</x:v>
      </x:c>
      <x:c r="Q129" s="32" t="str">
        <x:v>2020 supplement MeanTL</x:v>
      </x:c>
      <x:c r="R129" s="24" t="str">
        <x:v>high</x:v>
      </x:c>
      <x:c r="S129" s="24" t="str">
        <x:v>Myliobatis aquila</x:v>
      </x:c>
      <x:c r="T129" s="32" t="n">
        <x:f>IF(O129="","",(1/'Metadata'!$B$5)^(O129-1))</x:f>
        <x:v>407.3802778041126</x:v>
      </x:c>
      <x:c r="U129" s="31" t="n">
        <x:f>IF(T129="","",I129*T129)</x:f>
        <x:v>1544.1803333908485</x:v>
      </x:c>
    </x:row>
    <x:row r="130" ht="18" customHeight="1">
      <x:c r="A130" s="24" t="str">
        <x:v>EEZ_620</x:v>
      </x:c>
      <x:c r="B130" s="24" t="str">
        <x:v>Portugal (mainland)</x:v>
      </x:c>
      <x:c r="C130" s="24" t="str">
        <x:v>EEZ</x:v>
      </x:c>
      <x:c r="D130" s="30" t="n">
        <x:v>2019</x:v>
      </x:c>
      <x:c r="E130" s="24" t="str">
        <x:v>Trigla</x:v>
      </x:c>
      <x:c r="F130" s="24" t="str">
        <x:v>Piper gurnards</x:v>
      </x:c>
      <x:c r="G130" s="24" t="str">
        <x:v>Medium bathydemersals (30 - 89 cm)</x:v>
      </x:c>
      <x:c r="H130" s="24" t="str">
        <x:v>Scorpionfishes</x:v>
      </x:c>
      <x:c r="I130" s="31" t="n">
        <x:v>3.7134793503</x:v>
      </x:c>
      <x:c r="J130" s="31" t="n">
        <x:v>0</x:v>
      </x:c>
      <x:c r="K130" s="31" t="n">
        <x:v>3.7134793503</x:v>
      </x:c>
      <x:c r="L130" s="31" t="n">
        <x:v>0</x:v>
      </x:c>
      <x:c r="M130" s="31" t="n">
        <x:v>3.7134793503</x:v>
      </x:c>
      <x:c r="N130" s="24" t="str">
        <x:v>trigla</x:v>
      </x:c>
      <x:c r="O130" s="32" t="n">
        <x:v>3.51</x:v>
      </x:c>
      <x:c r="P130" s="24" t="str">
        <x:v>exact_sea_around_us</x:v>
      </x:c>
      <x:c r="Q130" s="32" t="str">
        <x:v>Sea Around Us exploited organisms</x:v>
      </x:c>
      <x:c r="R130" s="24" t="str">
        <x:v>high</x:v>
      </x:c>
      <x:c r="S130" s="24" t="str">
        <x:v>Trigla</x:v>
      </x:c>
      <x:c r="T130" s="32" t="n">
        <x:f>IF(O130="","",(1/'Metadata'!$B$5)^(O130-1))</x:f>
        <x:v>323.5936569296281</x:v>
      </x:c>
      <x:c r="U130" s="31" t="n">
        <x:f>IF(T130="","",I130*T130)</x:f>
        <x:v>1201.6583628962364</x:v>
      </x:c>
    </x:row>
    <x:row r="131" ht="18" customHeight="1">
      <x:c r="A131" s="24" t="str">
        <x:v>EEZ_620</x:v>
      </x:c>
      <x:c r="B131" s="24" t="str">
        <x:v>Portugal (mainland)</x:v>
      </x:c>
      <x:c r="C131" s="24" t="str">
        <x:v>EEZ</x:v>
      </x:c>
      <x:c r="D131" s="30" t="n">
        <x:v>2019</x:v>
      </x:c>
      <x:c r="E131" s="24" t="str">
        <x:v>Liocarcinus depurator</x:v>
      </x:c>
      <x:c r="F131" s="24" t="str">
        <x:v>Blueleg swimcrab</x:v>
      </x:c>
      <x:c r="G131" s="24" t="str">
        <x:v>Lobsters, crabs</x:v>
      </x:c>
      <x:c r="H131" s="24" t="str">
        <x:v>Crustaceans</x:v>
      </x:c>
      <x:c r="I131" s="31" t="n">
        <x:v>3.4179662878</x:v>
      </x:c>
      <x:c r="J131" s="31" t="n">
        <x:v>0</x:v>
      </x:c>
      <x:c r="K131" s="31" t="n">
        <x:v>3.4179662878</x:v>
      </x:c>
      <x:c r="L131" s="31" t="n">
        <x:v>0</x:v>
      </x:c>
      <x:c r="M131" s="31" t="n">
        <x:v>3.4179662878</x:v>
      </x:c>
      <x:c r="N131" s="24" t="str">
        <x:v>liocarcinus depurator</x:v>
      </x:c>
      <x:c r="O131" s="32" t="n">
        <x:v>2.6</x:v>
      </x:c>
      <x:c r="P131" s="24" t="str">
        <x:v>exact_sea_around_us</x:v>
      </x:c>
      <x:c r="Q131" s="32" t="str">
        <x:v>Sea Around Us exploited organisms</x:v>
      </x:c>
      <x:c r="R131" s="24" t="str">
        <x:v>high</x:v>
      </x:c>
      <x:c r="S131" s="24" t="str">
        <x:v>Liocarcinus depurator</x:v>
      </x:c>
      <x:c r="T131" s="32" t="n">
        <x:f>IF(O131="","",(1/'Metadata'!$B$5)^(O131-1))</x:f>
        <x:v>39.810717055349734</x:v>
      </x:c>
      <x:c r="U131" s="31" t="n">
        <x:f>IF(T131="","",I131*T131)</x:f>
        <x:v>136.07168878832988</x:v>
      </x:c>
    </x:row>
    <x:row r="132" ht="18" customHeight="1">
      <x:c r="A132" s="24" t="str">
        <x:v>EEZ_620</x:v>
      </x:c>
      <x:c r="B132" s="24" t="str">
        <x:v>Portugal (mainland)</x:v>
      </x:c>
      <x:c r="C132" s="24" t="str">
        <x:v>EEZ</x:v>
      </x:c>
      <x:c r="D132" s="30" t="n">
        <x:v>2019</x:v>
      </x:c>
      <x:c r="E132" s="24" t="str">
        <x:v>Raja undulata</x:v>
      </x:c>
      <x:c r="F132" s="24" t="str">
        <x:v>Undulate ray</x:v>
      </x:c>
      <x:c r="G132" s="24" t="str">
        <x:v>Small to medium rays (&lt;90 cm)</x:v>
      </x:c>
      <x:c r="H132" s="24" t="str">
        <x:v>Sharks &amp; rays</x:v>
      </x:c>
      <x:c r="I132" s="31" t="n">
        <x:v>3.2799567756</x:v>
      </x:c>
      <x:c r="J132" s="31" t="n">
        <x:v>0</x:v>
      </x:c>
      <x:c r="K132" s="31" t="n">
        <x:v>3.2799567756</x:v>
      </x:c>
      <x:c r="L132" s="31" t="n">
        <x:v>0</x:v>
      </x:c>
      <x:c r="M132" s="31" t="n">
        <x:v>3.2799567756</x:v>
      </x:c>
      <x:c r="N132" s="24" t="str">
        <x:v>raja undulata</x:v>
      </x:c>
      <x:c r="O132" s="32" t="n">
        <x:v>3.5</x:v>
      </x:c>
      <x:c r="P132" s="24" t="str">
        <x:v>exact_2020_supplement</x:v>
      </x:c>
      <x:c r="Q132" s="32" t="str">
        <x:v>2020 supplement MeanTL</x:v>
      </x:c>
      <x:c r="R132" s="24" t="str">
        <x:v>high</x:v>
      </x:c>
      <x:c r="S132" s="24" t="str">
        <x:v>Raja undulata</x:v>
      </x:c>
      <x:c r="T132" s="32" t="n">
        <x:f>IF(O132="","",(1/'Metadata'!$B$5)^(O132-1))</x:f>
        <x:v>316.22776601683796</x:v>
      </x:c>
      <x:c r="U132" s="31" t="n">
        <x:f>IF(T132="","",I132*T132)</x:f>
        <x:v>1037.2134037797791</x:v>
      </x:c>
    </x:row>
    <x:row r="133" ht="18" customHeight="1">
      <x:c r="A133" s="24" t="str">
        <x:v>EEZ_620</x:v>
      </x:c>
      <x:c r="B133" s="24" t="str">
        <x:v>Portugal (mainland)</x:v>
      </x:c>
      <x:c r="C133" s="24" t="str">
        <x:v>EEZ</x:v>
      </x:c>
      <x:c r="D133" s="30" t="n">
        <x:v>2019</x:v>
      </x:c>
      <x:c r="E133" s="24" t="str">
        <x:v>Pagellus erythrinus</x:v>
      </x:c>
      <x:c r="F133" s="24" t="str">
        <x:v>Common pandora</x:v>
      </x:c>
      <x:c r="G133" s="24" t="str">
        <x:v>Medium benthopelagics (30 - 89 cm)</x:v>
      </x:c>
      <x:c r="H133" s="24" t="str">
        <x:v>Perch-likes</x:v>
      </x:c>
      <x:c r="I133" s="31" t="n">
        <x:v>3.13540172</x:v>
      </x:c>
      <x:c r="J133" s="31" t="n">
        <x:v>0</x:v>
      </x:c>
      <x:c r="K133" s="31" t="n">
        <x:v>3.13540172</x:v>
      </x:c>
      <x:c r="L133" s="31" t="n">
        <x:v>0</x:v>
      </x:c>
      <x:c r="M133" s="31" t="n">
        <x:v>3.13540172</x:v>
      </x:c>
      <x:c r="N133" s="24" t="str">
        <x:v>pagellus erythrinus</x:v>
      </x:c>
      <x:c r="O133" s="32" t="n">
        <x:v>3.48</x:v>
      </x:c>
      <x:c r="P133" s="24" t="str">
        <x:v>exact_2020_supplement</x:v>
      </x:c>
      <x:c r="Q133" s="32" t="str">
        <x:v>2020 supplement MeanTL</x:v>
      </x:c>
      <x:c r="R133" s="24" t="str">
        <x:v>high</x:v>
      </x:c>
      <x:c r="S133" s="24" t="str">
        <x:v>Pagellus erythrinus</x:v>
      </x:c>
      <x:c r="T133" s="32" t="n">
        <x:f>IF(O133="","",(1/'Metadata'!$B$5)^(O133-1))</x:f>
        <x:v>301.9951720402016</x:v>
      </x:c>
      <x:c r="U133" s="31" t="n">
        <x:f>IF(T133="","",I133*T133)</x:f>
        <x:v>946.8761818465441</x:v>
      </x:c>
    </x:row>
    <x:row r="134" ht="18" customHeight="1">
      <x:c r="A134" s="24" t="str">
        <x:v>EEZ_620</x:v>
      </x:c>
      <x:c r="B134" s="24" t="str">
        <x:v>Portugal (mainland)</x:v>
      </x:c>
      <x:c r="C134" s="24" t="str">
        <x:v>EEZ</x:v>
      </x:c>
      <x:c r="D134" s="30" t="n">
        <x:v>2019</x:v>
      </x:c>
      <x:c r="E134" s="24" t="str">
        <x:v>Etmopterus spinax</x:v>
      </x:c>
      <x:c r="F134" s="24" t="str">
        <x:v>Velvet belly</x:v>
      </x:c>
      <x:c r="G134" s="24" t="str">
        <x:v>Small to medium sharks (&lt;90 cm)</x:v>
      </x:c>
      <x:c r="H134" s="24" t="str">
        <x:v>Sharks &amp; rays</x:v>
      </x:c>
      <x:c r="I134" s="31" t="n">
        <x:v>3.1249131432</x:v>
      </x:c>
      <x:c r="J134" s="31" t="n">
        <x:v>0</x:v>
      </x:c>
      <x:c r="K134" s="31" t="n">
        <x:v>3.1249131432</x:v>
      </x:c>
      <x:c r="L134" s="31" t="n">
        <x:v>0</x:v>
      </x:c>
      <x:c r="M134" s="31" t="n">
        <x:v>3.1249131432</x:v>
      </x:c>
      <x:c r="N134" s="24" t="str">
        <x:v>etmopterus spinax</x:v>
      </x:c>
      <x:c r="O134" s="32" t="n">
        <x:v>4.14</x:v>
      </x:c>
      <x:c r="P134" s="24" t="str">
        <x:v>exact_2020_supplement</x:v>
      </x:c>
      <x:c r="Q134" s="32" t="str">
        <x:v>2020 supplement MeanTL</x:v>
      </x:c>
      <x:c r="R134" s="24" t="str">
        <x:v>high</x:v>
      </x:c>
      <x:c r="S134" s="24" t="str">
        <x:v>Etmopterus spinax</x:v>
      </x:c>
      <x:c r="T134" s="32" t="n">
        <x:f>IF(O134="","",(1/'Metadata'!$B$5)^(O134-1))</x:f>
        <x:v>1380.3842646028838</x:v>
      </x:c>
      <x:c r="U134" s="31" t="n">
        <x:f>IF(T134="","",I134*T134)</x:f>
        <x:v>4313.580931124018</x:v>
      </x:c>
    </x:row>
    <x:row r="135" ht="18" customHeight="1">
      <x:c r="A135" s="24" t="str">
        <x:v>EEZ_620</x:v>
      </x:c>
      <x:c r="B135" s="24" t="str">
        <x:v>Portugal (mainland)</x:v>
      </x:c>
      <x:c r="C135" s="24" t="str">
        <x:v>EEZ</x:v>
      </x:c>
      <x:c r="D135" s="30" t="n">
        <x:v>2019</x:v>
      </x:c>
      <x:c r="E135" s="24" t="str">
        <x:v>Anguilla anguilla</x:v>
      </x:c>
      <x:c r="F135" s="24" t="str">
        <x:v>European eel</x:v>
      </x:c>
      <x:c r="G135" s="24" t="str">
        <x:v>Large demersals (&gt;=90 cm)</x:v>
      </x:c>
      <x:c r="H135" s="24" t="str">
        <x:v>Other fishes &amp; inverts</x:v>
      </x:c>
      <x:c r="I135" s="31" t="n">
        <x:v>3.0000000001</x:v>
      </x:c>
      <x:c r="J135" s="31" t="n">
        <x:v>3.0000000001</x:v>
      </x:c>
      <x:c r="K135" s="31" t="n">
        <x:v>0</x:v>
      </x:c>
      <x:c r="L135" s="31" t="n">
        <x:v>3.0000000001</x:v>
      </x:c>
      <x:c r="M135" s="31" t="n">
        <x:v>0</x:v>
      </x:c>
      <x:c r="N135" s="24" t="str">
        <x:v>anguilla anguilla</x:v>
      </x:c>
      <x:c r="O135" s="32" t="n">
        <x:v>3.55</x:v>
      </x:c>
      <x:c r="P135" s="24" t="str">
        <x:v>exact_2020_supplement</x:v>
      </x:c>
      <x:c r="Q135" s="32" t="str">
        <x:v>2020 supplement MeanTL</x:v>
      </x:c>
      <x:c r="R135" s="24" t="str">
        <x:v>high</x:v>
      </x:c>
      <x:c r="S135" s="24" t="str">
        <x:v>Anguilla anguilla</x:v>
      </x:c>
      <x:c r="T135" s="32" t="n">
        <x:f>IF(O135="","",(1/'Metadata'!$B$5)^(O135-1))</x:f>
        <x:v>354.8133892335753</x:v>
      </x:c>
      <x:c r="U135" s="31" t="n">
        <x:f>IF(T135="","",I135*T135)</x:f>
        <x:v>1064.4401677362073</x:v>
      </x:c>
    </x:row>
    <x:row r="136" ht="18" customHeight="1">
      <x:c r="A136" s="24" t="str">
        <x:v>EEZ_620</x:v>
      </x:c>
      <x:c r="B136" s="24" t="str">
        <x:v>Portugal (mainland)</x:v>
      </x:c>
      <x:c r="C136" s="24" t="str">
        <x:v>EEZ</x:v>
      </x:c>
      <x:c r="D136" s="30" t="n">
        <x:v>2019</x:v>
      </x:c>
      <x:c r="E136" s="24" t="str">
        <x:v>Dicentrarchus</x:v>
      </x:c>
      <x:c r="F136" s="24" t="str">
        <x:v>Seabasses</x:v>
      </x:c>
      <x:c r="G136" s="24" t="str">
        <x:v>Large demersals (&gt;=90 cm)</x:v>
      </x:c>
      <x:c r="H136" s="24" t="str">
        <x:v>Perch-likes</x:v>
      </x:c>
      <x:c r="I136" s="31" t="n">
        <x:v>2.9009115263000003</x:v>
      </x:c>
      <x:c r="J136" s="31" t="n">
        <x:v>2.9009115263000003</x:v>
      </x:c>
      <x:c r="K136" s="31" t="n">
        <x:v>0</x:v>
      </x:c>
      <x:c r="L136" s="31" t="n">
        <x:v>2.9009115263000003</x:v>
      </x:c>
      <x:c r="M136" s="31" t="n">
        <x:v>0</x:v>
      </x:c>
      <x:c r="N136" s="24" t="str">
        <x:v>dicentrarchus</x:v>
      </x:c>
      <x:c r="O136" s="32" t="n">
        <x:v>3.94</x:v>
      </x:c>
      <x:c r="P136" s="24" t="str">
        <x:v>exact_sea_around_us</x:v>
      </x:c>
      <x:c r="Q136" s="32" t="str">
        <x:v>Sea Around Us exploited organisms</x:v>
      </x:c>
      <x:c r="R136" s="24" t="str">
        <x:v>high</x:v>
      </x:c>
      <x:c r="S136" s="24" t="str">
        <x:v>Dicentrarchus</x:v>
      </x:c>
      <x:c r="T136" s="32" t="n">
        <x:f>IF(O136="","",(1/'Metadata'!$B$5)^(O136-1))</x:f>
        <x:v>870.9635899560806</x:v>
      </x:c>
      <x:c r="U136" s="31" t="n">
        <x:f>IF(T136="","",I136*T136)</x:f>
        <x:v>2526.588317091221</x:v>
      </x:c>
    </x:row>
    <x:row r="137" ht="18" customHeight="1">
      <x:c r="A137" s="24" t="str">
        <x:v>EEZ_620</x:v>
      </x:c>
      <x:c r="B137" s="24" t="str">
        <x:v>Portugal (mainland)</x:v>
      </x:c>
      <x:c r="C137" s="24" t="str">
        <x:v>EEZ</x:v>
      </x:c>
      <x:c r="D137" s="30" t="n">
        <x:v>2019</x:v>
      </x:c>
      <x:c r="E137" s="24" t="str">
        <x:v>Raja brachyura</x:v>
      </x:c>
      <x:c r="F137" s="24" t="str">
        <x:v>Blonde ray</x:v>
      </x:c>
      <x:c r="G137" s="24" t="str">
        <x:v>Large rays (&gt;=90 cm)</x:v>
      </x:c>
      <x:c r="H137" s="24" t="str">
        <x:v>Sharks &amp; rays</x:v>
      </x:c>
      <x:c r="I137" s="31" t="n">
        <x:v>2.8952773643</x:v>
      </x:c>
      <x:c r="J137" s="31" t="n">
        <x:v>0</x:v>
      </x:c>
      <x:c r="K137" s="31" t="n">
        <x:v>2.8952773643</x:v>
      </x:c>
      <x:c r="L137" s="31" t="n">
        <x:v>0</x:v>
      </x:c>
      <x:c r="M137" s="31" t="n">
        <x:v>2.8952773643</x:v>
      </x:c>
      <x:c r="N137" s="24" t="str">
        <x:v>raja brachyura</x:v>
      </x:c>
      <x:c r="O137" s="32" t="n">
        <x:v>3.89</x:v>
      </x:c>
      <x:c r="P137" s="24" t="str">
        <x:v>exact_2020_supplement</x:v>
      </x:c>
      <x:c r="Q137" s="32" t="str">
        <x:v>2020 supplement MeanTL</x:v>
      </x:c>
      <x:c r="R137" s="24" t="str">
        <x:v>high</x:v>
      </x:c>
      <x:c r="S137" s="24" t="str">
        <x:v>Raja brachyura</x:v>
      </x:c>
      <x:c r="T137" s="32" t="n">
        <x:f>IF(O137="","",(1/'Metadata'!$B$5)^(O137-1))</x:f>
        <x:v>776.247116628692</x:v>
      </x:c>
      <x:c r="U137" s="31" t="n">
        <x:f>IF(T137="","",I137*T137)</x:f>
        <x:v>2247.450705878194</x:v>
      </x:c>
    </x:row>
    <x:row r="138" ht="18" customHeight="1">
      <x:c r="A138" s="24" t="str">
        <x:v>EEZ_620</x:v>
      </x:c>
      <x:c r="B138" s="24" t="str">
        <x:v>Portugal (mainland)</x:v>
      </x:c>
      <x:c r="C138" s="24" t="str">
        <x:v>EEZ</x:v>
      </x:c>
      <x:c r="D138" s="30" t="n">
        <x:v>2019</x:v>
      </x:c>
      <x:c r="E138" s="24" t="str">
        <x:v>Anguilliformes</x:v>
      </x:c>
      <x:c r="F138" s="24" t="str">
        <x:v>Eels, morays</x:v>
      </x:c>
      <x:c r="G138" s="24" t="str">
        <x:v>Large demersals (&gt;=90 cm)</x:v>
      </x:c>
      <x:c r="H138" s="24" t="str">
        <x:v>Other fishes &amp; inverts</x:v>
      </x:c>
      <x:c r="I138" s="31" t="n">
        <x:v>2.8845352091</x:v>
      </x:c>
      <x:c r="J138" s="31" t="n">
        <x:v>0</x:v>
      </x:c>
      <x:c r="K138" s="31" t="n">
        <x:v>2.8845352091</x:v>
      </x:c>
      <x:c r="L138" s="31" t="n">
        <x:v>0</x:v>
      </x:c>
      <x:c r="M138" s="31" t="n">
        <x:v>2.8845352091</x:v>
      </x:c>
      <x:c r="N138" s="24" t="str">
        <x:v>anguilliformes</x:v>
      </x:c>
      <x:c r="O138" s="32" t="n">
        <x:v>3.89</x:v>
      </x:c>
      <x:c r="P138" s="24" t="str">
        <x:v>exact_sea_around_us</x:v>
      </x:c>
      <x:c r="Q138" s="32" t="str">
        <x:v>Sea Around Us exploited organisms</x:v>
      </x:c>
      <x:c r="R138" s="24" t="str">
        <x:v>high</x:v>
      </x:c>
      <x:c r="S138" s="24" t="str">
        <x:v>Anguilliformes</x:v>
      </x:c>
      <x:c r="T138" s="32" t="n">
        <x:f>IF(O138="","",(1/'Metadata'!$B$5)^(O138-1))</x:f>
        <x:v>776.247116628692</x:v>
      </x:c>
      <x:c r="U138" s="31" t="n">
        <x:f>IF(T138="","",I138*T138)</x:f>
        <x:v>2239.112138877816</x:v>
      </x:c>
    </x:row>
    <x:row r="139" ht="18" customHeight="1">
      <x:c r="A139" s="24" t="str">
        <x:v>EEZ_620</x:v>
      </x:c>
      <x:c r="B139" s="24" t="str">
        <x:v>Portugal (mainland)</x:v>
      </x:c>
      <x:c r="C139" s="24" t="str">
        <x:v>EEZ</x:v>
      </x:c>
      <x:c r="D139" s="30" t="n">
        <x:v>2019</x:v>
      </x:c>
      <x:c r="E139" s="24" t="str">
        <x:v>Thunnus albacares</x:v>
      </x:c>
      <x:c r="F139" s="24" t="str">
        <x:v>Yellowfin tuna</x:v>
      </x:c>
      <x:c r="G139" s="24" t="str">
        <x:v>Large pelagics (&gt;=90 cm)</x:v>
      </x:c>
      <x:c r="H139" s="24" t="str">
        <x:v>Tuna &amp; billfishes</x:v>
      </x:c>
      <x:c r="I139" s="31" t="n">
        <x:v>2.7502928066</x:v>
      </x:c>
      <x:c r="J139" s="31" t="n">
        <x:v>2.7502928066</x:v>
      </x:c>
      <x:c r="K139" s="31" t="n">
        <x:v>0</x:v>
      </x:c>
      <x:c r="L139" s="31" t="n">
        <x:v>2.7502928066</x:v>
      </x:c>
      <x:c r="M139" s="31" t="n">
        <x:v>0</x:v>
      </x:c>
      <x:c r="N139" s="24" t="str">
        <x:v>thunnus albacares</x:v>
      </x:c>
      <x:c r="O139" s="32" t="n">
        <x:v>4.41</x:v>
      </x:c>
      <x:c r="P139" s="24" t="str">
        <x:v>exact_2020_supplement</x:v>
      </x:c>
      <x:c r="Q139" s="32" t="str">
        <x:v>2020 supplement MeanTL</x:v>
      </x:c>
      <x:c r="R139" s="24" t="str">
        <x:v>high</x:v>
      </x:c>
      <x:c r="S139" s="24" t="str">
        <x:v>Thunnus albacares</x:v>
      </x:c>
      <x:c r="T139" s="32" t="n">
        <x:f>IF(O139="","",(1/'Metadata'!$B$5)^(O139-1))</x:f>
        <x:v>2570.3957827688646</x:v>
      </x:c>
      <x:c r="U139" s="31" t="n">
        <x:f>IF(T139="","",I139*T139)</x:f>
        <x:v>7069.341031464185</x:v>
      </x:c>
    </x:row>
    <x:row r="140" ht="18" customHeight="1">
      <x:c r="A140" s="24" t="str">
        <x:v>EEZ_620</x:v>
      </x:c>
      <x:c r="B140" s="24" t="str">
        <x:v>Portugal (mainland)</x:v>
      </x:c>
      <x:c r="C140" s="24" t="str">
        <x:v>EEZ</x:v>
      </x:c>
      <x:c r="D140" s="30" t="n">
        <x:v>2019</x:v>
      </x:c>
      <x:c r="E140" s="24" t="str">
        <x:v>Seriola dumerili</x:v>
      </x:c>
      <x:c r="F140" s="24" t="str">
        <x:v>Greater amberjack</x:v>
      </x:c>
      <x:c r="G140" s="24" t="str">
        <x:v>Large reef assoc. fish (&gt;=90 cm)</x:v>
      </x:c>
      <x:c r="H140" s="24" t="str">
        <x:v>Perch-likes</x:v>
      </x:c>
      <x:c r="I140" s="31" t="n">
        <x:v>2.5525840615</x:v>
      </x:c>
      <x:c r="J140" s="31" t="n">
        <x:v>2.5525840615</x:v>
      </x:c>
      <x:c r="K140" s="31" t="n">
        <x:v>0</x:v>
      </x:c>
      <x:c r="L140" s="31" t="n">
        <x:v>2.5525840615</x:v>
      </x:c>
      <x:c r="M140" s="31" t="n">
        <x:v>0</x:v>
      </x:c>
      <x:c r="N140" s="24" t="str">
        <x:v>seriola dumerili</x:v>
      </x:c>
      <x:c r="O140" s="32" t="n">
        <x:v>4.5</x:v>
      </x:c>
      <x:c r="P140" s="24" t="str">
        <x:v>exact_2020_supplement</x:v>
      </x:c>
      <x:c r="Q140" s="32" t="str">
        <x:v>2020 supplement MeanTL</x:v>
      </x:c>
      <x:c r="R140" s="24" t="str">
        <x:v>high</x:v>
      </x:c>
      <x:c r="S140" s="24" t="str">
        <x:v>Seriola dumerili</x:v>
      </x:c>
      <x:c r="T140" s="32" t="n">
        <x:f>IF(O140="","",(1/'Metadata'!$B$5)^(O140-1))</x:f>
        <x:v>3162.2776601683795</x:v>
      </x:c>
      <x:c r="U140" s="31" t="n">
        <x:f>IF(T140="","",I140*T140)</x:f>
        <x:v>8071.979553383319</x:v>
      </x:c>
    </x:row>
    <x:row r="141" ht="18" customHeight="1">
      <x:c r="A141" s="24" t="str">
        <x:v>EEZ_620</x:v>
      </x:c>
      <x:c r="B141" s="24" t="str">
        <x:v>Portugal (mainland)</x:v>
      </x:c>
      <x:c r="C141" s="24" t="str">
        <x:v>EEZ</x:v>
      </x:c>
      <x:c r="D141" s="30" t="n">
        <x:v>2019</x:v>
      </x:c>
      <x:c r="E141" s="24" t="str">
        <x:v>Diplodus annularis</x:v>
      </x:c>
      <x:c r="F141" s="24" t="str">
        <x:v>Annular seabream</x:v>
      </x:c>
      <x:c r="G141" s="24" t="str">
        <x:v>Small benthopelagics (&lt;30 cm)</x:v>
      </x:c>
      <x:c r="H141" s="24" t="str">
        <x:v>Perch-likes</x:v>
      </x:c>
      <x:c r="I141" s="31" t="n">
        <x:v>2.4431820094</x:v>
      </x:c>
      <x:c r="J141" s="31" t="n">
        <x:v>0</x:v>
      </x:c>
      <x:c r="K141" s="31" t="n">
        <x:v>2.4431820094</x:v>
      </x:c>
      <x:c r="L141" s="31" t="n">
        <x:v>0</x:v>
      </x:c>
      <x:c r="M141" s="31" t="n">
        <x:v>2.4431820094</x:v>
      </x:c>
      <x:c r="N141" s="24" t="str">
        <x:v>diplodus annularis</x:v>
      </x:c>
      <x:c r="O141" s="32" t="n">
        <x:v>3.64</x:v>
      </x:c>
      <x:c r="P141" s="24" t="str">
        <x:v>exact_2020_supplement</x:v>
      </x:c>
      <x:c r="Q141" s="32" t="str">
        <x:v>2020 supplement MeanTL</x:v>
      </x:c>
      <x:c r="R141" s="24" t="str">
        <x:v>high</x:v>
      </x:c>
      <x:c r="S141" s="24" t="str">
        <x:v>Diplodus annularis</x:v>
      </x:c>
      <x:c r="T141" s="32" t="n">
        <x:f>IF(O141="","",(1/'Metadata'!$B$5)^(O141-1))</x:f>
        <x:v>436.5158322401661</x:v>
      </x:c>
      <x:c r="U141" s="31" t="n">
        <x:f>IF(T141="","",I141*T141)</x:f>
        <x:v>1066.4876281474424</x:v>
      </x:c>
    </x:row>
    <x:row r="142" ht="18" customHeight="1">
      <x:c r="A142" s="24" t="str">
        <x:v>EEZ_620</x:v>
      </x:c>
      <x:c r="B142" s="24" t="str">
        <x:v>Portugal (mainland)</x:v>
      </x:c>
      <x:c r="C142" s="24" t="str">
        <x:v>EEZ</x:v>
      </x:c>
      <x:c r="D142" s="30" t="n">
        <x:v>2019</x:v>
      </x:c>
      <x:c r="E142" s="24" t="str">
        <x:v>Illex coindetii</x:v>
      </x:c>
      <x:c r="F142" s="24" t="str">
        <x:v>Broadtail shortfin squid</x:v>
      </x:c>
      <x:c r="G142" s="24" t="str">
        <x:v>Cephalopods</x:v>
      </x:c>
      <x:c r="H142" s="24" t="str">
        <x:v>Other fishes &amp; inverts</x:v>
      </x:c>
      <x:c r="I142" s="31" t="n">
        <x:v>2.3775304207</x:v>
      </x:c>
      <x:c r="J142" s="31" t="n">
        <x:v>0</x:v>
      </x:c>
      <x:c r="K142" s="31" t="n">
        <x:v>2.3775304207</x:v>
      </x:c>
      <x:c r="L142" s="31" t="n">
        <x:v>0</x:v>
      </x:c>
      <x:c r="M142" s="31" t="n">
        <x:v>2.3775304207</x:v>
      </x:c>
      <x:c r="N142" s="24" t="str">
        <x:v>illex coindetii</x:v>
      </x:c>
      <x:c r="O142" s="32" t="n">
        <x:v>4.11</x:v>
      </x:c>
      <x:c r="P142" s="24" t="str">
        <x:v>exact_2020_supplement</x:v>
      </x:c>
      <x:c r="Q142" s="32" t="str">
        <x:v>2020 supplement MeanTL</x:v>
      </x:c>
      <x:c r="R142" s="24" t="str">
        <x:v>high</x:v>
      </x:c>
      <x:c r="S142" s="24" t="str">
        <x:v>Illex coindetii</x:v>
      </x:c>
      <x:c r="T142" s="32" t="n">
        <x:f>IF(O142="","",(1/'Metadata'!$B$5)^(O142-1))</x:f>
        <x:v>1288.249551693135</x:v>
      </x:c>
      <x:c r="U142" s="31" t="n">
        <x:f>IF(T142="","",I142*T142)</x:f>
        <x:v>3062.8524986035654</x:v>
      </x:c>
    </x:row>
    <x:row r="143" ht="18" customHeight="1">
      <x:c r="A143" s="24" t="str">
        <x:v>EEZ_620</x:v>
      </x:c>
      <x:c r="B143" s="24" t="str">
        <x:v>Portugal (mainland)</x:v>
      </x:c>
      <x:c r="C143" s="24" t="str">
        <x:v>EEZ</x:v>
      </x:c>
      <x:c r="D143" s="30" t="n">
        <x:v>2019</x:v>
      </x:c>
      <x:c r="E143" s="24" t="str">
        <x:v>Zenopsis conchifer</x:v>
      </x:c>
      <x:c r="F143" s="24" t="str">
        <x:v>Silvery John dory</x:v>
      </x:c>
      <x:c r="G143" s="24" t="str">
        <x:v>Medium benthopelagics (30 - 89 cm)</x:v>
      </x:c>
      <x:c r="H143" s="24" t="str">
        <x:v>Other fishes &amp; inverts</x:v>
      </x:c>
      <x:c r="I143" s="31" t="n">
        <x:v>2.3239932436</x:v>
      </x:c>
      <x:c r="J143" s="31" t="n">
        <x:v>0</x:v>
      </x:c>
      <x:c r="K143" s="31" t="n">
        <x:v>2.3239932436</x:v>
      </x:c>
      <x:c r="L143" s="31" t="n">
        <x:v>0</x:v>
      </x:c>
      <x:c r="M143" s="31" t="n">
        <x:v>2.3239932436</x:v>
      </x:c>
      <x:c r="N143" s="24" t="str">
        <x:v>zenopsis conchifer</x:v>
      </x:c>
      <x:c r="O143" s="32" t="n">
        <x:v>4.5</x:v>
      </x:c>
      <x:c r="P143" s="24" t="str">
        <x:v>exact_2020_supplement</x:v>
      </x:c>
      <x:c r="Q143" s="32" t="str">
        <x:v>2020 supplement MeanTL</x:v>
      </x:c>
      <x:c r="R143" s="24" t="str">
        <x:v>high</x:v>
      </x:c>
      <x:c r="S143" s="24" t="str">
        <x:v>Zenopsis conchifer</x:v>
      </x:c>
      <x:c r="T143" s="32" t="n">
        <x:f>IF(O143="","",(1/'Metadata'!$B$5)^(O143-1))</x:f>
        <x:v>3162.2776601683795</x:v>
      </x:c>
      <x:c r="U143" s="31" t="n">
        <x:f>IF(T143="","",I143*T143)</x:f>
        <x:v>7349.111916618531</x:v>
      </x:c>
    </x:row>
    <x:row r="144" ht="18" customHeight="1">
      <x:c r="A144" s="24" t="str">
        <x:v>EEZ_620</x:v>
      </x:c>
      <x:c r="B144" s="24" t="str">
        <x:v>Portugal (mainland)</x:v>
      </x:c>
      <x:c r="C144" s="24" t="str">
        <x:v>EEZ</x:v>
      </x:c>
      <x:c r="D144" s="30" t="n">
        <x:v>2019</x:v>
      </x:c>
      <x:c r="E144" s="24" t="str">
        <x:v>Tetrapturus pfluegeri</x:v>
      </x:c>
      <x:c r="F144" s="24" t="str">
        <x:v>Longbill spearfish</x:v>
      </x:c>
      <x:c r="G144" s="24" t="str">
        <x:v>Large pelagics (&gt;=90 cm)</x:v>
      </x:c>
      <x:c r="H144" s="24" t="str">
        <x:v>Tuna &amp; billfishes</x:v>
      </x:c>
      <x:c r="I144" s="31" t="n">
        <x:v>2.3037306472</x:v>
      </x:c>
      <x:c r="J144" s="31" t="n">
        <x:v>2.3037306472</x:v>
      </x:c>
      <x:c r="K144" s="31" t="n">
        <x:v>0</x:v>
      </x:c>
      <x:c r="L144" s="31" t="n">
        <x:v>2.3037306472</x:v>
      </x:c>
      <x:c r="M144" s="31" t="n">
        <x:v>0</x:v>
      </x:c>
      <x:c r="N144" s="24" t="str">
        <x:v>tetrapturus pfluegeri</x:v>
      </x:c>
      <x:c r="O144" s="32" t="n">
        <x:v>4.4</x:v>
      </x:c>
      <x:c r="P144" s="24" t="str">
        <x:v>exact_2020_supplement</x:v>
      </x:c>
      <x:c r="Q144" s="32" t="str">
        <x:v>2020 supplement MeanTL</x:v>
      </x:c>
      <x:c r="R144" s="24" t="str">
        <x:v>high</x:v>
      </x:c>
      <x:c r="S144" s="24" t="str">
        <x:v>Tetrapturus pfluegeri</x:v>
      </x:c>
      <x:c r="T144" s="32" t="n">
        <x:f>IF(O144="","",(1/'Metadata'!$B$5)^(O144-1))</x:f>
        <x:v>2511.886431509582</x:v>
      </x:c>
      <x:c r="U144" s="31" t="n">
        <x:f>IF(T144="","",I144*T144)</x:f>
        <x:v>5786.709754554468</x:v>
      </x:c>
    </x:row>
    <x:row r="145" ht="18" customHeight="1">
      <x:c r="A145" s="24" t="str">
        <x:v>EEZ_620</x:v>
      </x:c>
      <x:c r="B145" s="24" t="str">
        <x:v>Portugal (mainland)</x:v>
      </x:c>
      <x:c r="C145" s="24" t="str">
        <x:v>EEZ</x:v>
      </x:c>
      <x:c r="D145" s="30" t="n">
        <x:v>2019</x:v>
      </x:c>
      <x:c r="E145" s="24" t="str">
        <x:v>Spicara</x:v>
      </x:c>
      <x:c r="F145" s="24" t="str">
        <x:v>Picarels</x:v>
      </x:c>
      <x:c r="G145" s="24" t="str">
        <x:v>Small demersals (&lt;30 cm)</x:v>
      </x:c>
      <x:c r="H145" s="24" t="str">
        <x:v>Perch-likes</x:v>
      </x:c>
      <x:c r="I145" s="31" t="n">
        <x:v>2.290307155</x:v>
      </x:c>
      <x:c r="J145" s="31" t="n">
        <x:v>0</x:v>
      </x:c>
      <x:c r="K145" s="31" t="n">
        <x:v>2.290307155</x:v>
      </x:c>
      <x:c r="L145" s="31" t="n">
        <x:v>0</x:v>
      </x:c>
      <x:c r="M145" s="31" t="n">
        <x:v>2.290307155</x:v>
      </x:c>
      <x:c r="N145" s="24" t="str">
        <x:v>spicara</x:v>
      </x:c>
      <x:c r="O145" s="32" t="n">
        <x:v>3.58</x:v>
      </x:c>
      <x:c r="P145" s="24" t="str">
        <x:v>exact_sea_around_us</x:v>
      </x:c>
      <x:c r="Q145" s="32" t="str">
        <x:v>Sea Around Us exploited organisms</x:v>
      </x:c>
      <x:c r="R145" s="24" t="str">
        <x:v>high</x:v>
      </x:c>
      <x:c r="S145" s="24" t="str">
        <x:v>Spicara</x:v>
      </x:c>
      <x:c r="T145" s="32" t="n">
        <x:f>IF(O145="","",(1/'Metadata'!$B$5)^(O145-1))</x:f>
        <x:v>380.1893963205613</x:v>
      </x:c>
      <x:c r="U145" s="31" t="n">
        <x:f>IF(T145="","",I145*T145)</x:f>
        <x:v>870.7504946481121</x:v>
      </x:c>
    </x:row>
    <x:row r="146" ht="18" customHeight="1">
      <x:c r="A146" s="24" t="str">
        <x:v>EEZ_620</x:v>
      </x:c>
      <x:c r="B146" s="24" t="str">
        <x:v>Portugal (mainland)</x:v>
      </x:c>
      <x:c r="C146" s="24" t="str">
        <x:v>EEZ</x:v>
      </x:c>
      <x:c r="D146" s="30" t="n">
        <x:v>2019</x:v>
      </x:c>
      <x:c r="E146" s="24" t="str">
        <x:v>Mugil cephalus</x:v>
      </x:c>
      <x:c r="F146" s="24" t="str">
        <x:v>Flathead grey mullet</x:v>
      </x:c>
      <x:c r="G146" s="24" t="str">
        <x:v>Large benthopelagics (&gt;=90 cm)</x:v>
      </x:c>
      <x:c r="H146" s="24" t="str">
        <x:v>Perch-likes</x:v>
      </x:c>
      <x:c r="I146" s="31" t="n">
        <x:v>2.2111850679000002</x:v>
      </x:c>
      <x:c r="J146" s="31" t="n">
        <x:v>0.0009507750000000001</x:v>
      </x:c>
      <x:c r="K146" s="31" t="n">
        <x:v>2.2102342929</x:v>
      </x:c>
      <x:c r="L146" s="31" t="n">
        <x:v>0.0009507750000000001</x:v>
      </x:c>
      <x:c r="M146" s="31" t="n">
        <x:v>2.2102342929</x:v>
      </x:c>
      <x:c r="N146" s="24" t="str">
        <x:v>mugil cephalus</x:v>
      </x:c>
      <x:c r="O146" s="32" t="n">
        <x:v>2.14</x:v>
      </x:c>
      <x:c r="P146" s="24" t="str">
        <x:v>exact_2020_supplement</x:v>
      </x:c>
      <x:c r="Q146" s="32" t="str">
        <x:v>2020 supplement MeanTL</x:v>
      </x:c>
      <x:c r="R146" s="24" t="str">
        <x:v>high</x:v>
      </x:c>
      <x:c r="S146" s="24" t="str">
        <x:v>Mugil cephalus</x:v>
      </x:c>
      <x:c r="T146" s="32" t="n">
        <x:f>IF(O146="","",(1/'Metadata'!$B$5)^(O146-1))</x:f>
        <x:v>13.803842646028853</x:v>
      </x:c>
      <x:c r="U146" s="31" t="n">
        <x:f>IF(T146="","",I146*T146)</x:f>
        <x:v>30.522850738540228</x:v>
      </x:c>
    </x:row>
    <x:row r="147" ht="18" customHeight="1">
      <x:c r="A147" s="24" t="str">
        <x:v>EEZ_620</x:v>
      </x:c>
      <x:c r="B147" s="24" t="str">
        <x:v>Portugal (mainland)</x:v>
      </x:c>
      <x:c r="C147" s="24" t="str">
        <x:v>EEZ</x:v>
      </x:c>
      <x:c r="D147" s="30" t="n">
        <x:v>2019</x:v>
      </x:c>
      <x:c r="E147" s="24" t="str">
        <x:v>Coryphaena hippurus</x:v>
      </x:c>
      <x:c r="F147" s="24" t="str">
        <x:v>Common dolphinfish</x:v>
      </x:c>
      <x:c r="G147" s="24" t="str">
        <x:v>Large pelagics (&gt;=90 cm)</x:v>
      </x:c>
      <x:c r="H147" s="24" t="str">
        <x:v>Perch-likes</x:v>
      </x:c>
      <x:c r="I147" s="31" t="n">
        <x:v>2.0267526055</x:v>
      </x:c>
      <x:c r="J147" s="31" t="n">
        <x:v>1.966658122</x:v>
      </x:c>
      <x:c r="K147" s="31" t="n">
        <x:v>0.0600944835</x:v>
      </x:c>
      <x:c r="L147" s="31" t="n">
        <x:v>1.966658122</x:v>
      </x:c>
      <x:c r="M147" s="31" t="n">
        <x:v>0.0600944835</x:v>
      </x:c>
      <x:c r="N147" s="24" t="str">
        <x:v>coryphaena hippurus</x:v>
      </x:c>
      <x:c r="O147" s="32" t="n">
        <x:v>4.37</x:v>
      </x:c>
      <x:c r="P147" s="24" t="str">
        <x:v>exact_2020_supplement</x:v>
      </x:c>
      <x:c r="Q147" s="32" t="str">
        <x:v>2020 supplement MeanTL</x:v>
      </x:c>
      <x:c r="R147" s="24" t="str">
        <x:v>high</x:v>
      </x:c>
      <x:c r="S147" s="24" t="str">
        <x:v>Coryphaena hippurus</x:v>
      </x:c>
      <x:c r="T147" s="32" t="n">
        <x:f>IF(O147="","",(1/'Metadata'!$B$5)^(O147-1))</x:f>
        <x:v>2344.228815319923</x:v>
      </x:c>
      <x:c r="U147" s="31" t="n">
        <x:f>IF(T147="","",I147*T147)</x:f>
        <x:v>4751.171859337832</x:v>
      </x:c>
    </x:row>
    <x:row r="148" ht="18" customHeight="1">
      <x:c r="A148" s="24" t="str">
        <x:v>EEZ_620</x:v>
      </x:c>
      <x:c r="B148" s="24" t="str">
        <x:v>Portugal (mainland)</x:v>
      </x:c>
      <x:c r="C148" s="24" t="str">
        <x:v>EEZ</x:v>
      </x:c>
      <x:c r="D148" s="30" t="n">
        <x:v>2019</x:v>
      </x:c>
      <x:c r="E148" s="24" t="str">
        <x:v>Donax</x:v>
      </x:c>
      <x:c r="F148" s="24" t="str">
        <x:v>Bean clams</x:v>
      </x:c>
      <x:c r="G148" s="24" t="str">
        <x:v>Other demersal invertebrates</x:v>
      </x:c>
      <x:c r="H148" s="24" t="str">
        <x:v>Molluscs</x:v>
      </x:c>
      <x:c r="I148" s="31" t="n">
        <x:v>2.0011512224</x:v>
      </x:c>
      <x:c r="J148" s="31" t="n">
        <x:v>0</x:v>
      </x:c>
      <x:c r="K148" s="31" t="n">
        <x:v>2.0011512224</x:v>
      </x:c>
      <x:c r="L148" s="31" t="n">
        <x:v>0</x:v>
      </x:c>
      <x:c r="M148" s="31" t="n">
        <x:v>2.0011512224</x:v>
      </x:c>
      <x:c r="N148" s="24" t="str">
        <x:v>donax</x:v>
      </x:c>
      <x:c r="O148" s="32" t="n">
        <x:v>2</x:v>
      </x:c>
      <x:c r="P148" s="24" t="str">
        <x:v>exact_sea_around_us</x:v>
      </x:c>
      <x:c r="Q148" s="32" t="str">
        <x:v>Sea Around Us exploited organisms</x:v>
      </x:c>
      <x:c r="R148" s="24" t="str">
        <x:v>high</x:v>
      </x:c>
      <x:c r="S148" s="24" t="str">
        <x:v>Donax</x:v>
      </x:c>
      <x:c r="T148" s="32" t="n">
        <x:f>IF(O148="","",(1/'Metadata'!$B$5)^(O148-1))</x:f>
        <x:v>10</x:v>
      </x:c>
      <x:c r="U148" s="31" t="n">
        <x:f>IF(T148="","",I148*T148)</x:f>
        <x:v>20.011512224</x:v>
      </x:c>
    </x:row>
    <x:row r="149" ht="18" customHeight="1">
      <x:c r="A149" s="24" t="str">
        <x:v>EEZ_620</x:v>
      </x:c>
      <x:c r="B149" s="24" t="str">
        <x:v>Portugal (mainland)</x:v>
      </x:c>
      <x:c r="C149" s="24" t="str">
        <x:v>EEZ</x:v>
      </x:c>
      <x:c r="D149" s="30" t="n">
        <x:v>2019</x:v>
      </x:c>
      <x:c r="E149" s="24" t="str">
        <x:v>Epinephelus</x:v>
      </x:c>
      <x:c r="F149" s="24" t="str">
        <x:v>Seabasses, hinds</x:v>
      </x:c>
      <x:c r="G149" s="24" t="str">
        <x:v>Medium reef assoc. fish (30 - 89 cm)</x:v>
      </x:c>
      <x:c r="H149" s="24" t="str">
        <x:v>Perch-likes</x:v>
      </x:c>
      <x:c r="I149" s="31" t="n">
        <x:v>1.9999999999000002</x:v>
      </x:c>
      <x:c r="J149" s="31" t="n">
        <x:v>1.9999999999000002</x:v>
      </x:c>
      <x:c r="K149" s="31" t="n">
        <x:v>0</x:v>
      </x:c>
      <x:c r="L149" s="31" t="n">
        <x:v>1.9999999999000002</x:v>
      </x:c>
      <x:c r="M149" s="31" t="n">
        <x:v>0</x:v>
      </x:c>
      <x:c r="N149" s="24" t="str">
        <x:v>epinephelus</x:v>
      </x:c>
      <x:c r="O149" s="32" t="n">
        <x:v>3.84</x:v>
      </x:c>
      <x:c r="P149" s="24" t="str">
        <x:v>exact_sea_around_us</x:v>
      </x:c>
      <x:c r="Q149" s="32" t="str">
        <x:v>Sea Around Us exploited organisms</x:v>
      </x:c>
      <x:c r="R149" s="24" t="str">
        <x:v>high</x:v>
      </x:c>
      <x:c r="S149" s="24" t="str">
        <x:v>Epinephelus</x:v>
      </x:c>
      <x:c r="T149" s="32" t="n">
        <x:f>IF(O149="","",(1/'Metadata'!$B$5)^(O149-1))</x:f>
        <x:v>691.8309709189363</x:v>
      </x:c>
      <x:c r="U149" s="31" t="n">
        <x:f>IF(T149="","",I149*T149)</x:f>
        <x:v>1383.6619417686895</x:v>
      </x:c>
    </x:row>
    <x:row r="150" ht="18" customHeight="1">
      <x:c r="A150" s="24" t="str">
        <x:v>EEZ_620</x:v>
      </x:c>
      <x:c r="B150" s="24" t="str">
        <x:v>Portugal (mainland)</x:v>
      </x:c>
      <x:c r="C150" s="24" t="str">
        <x:v>EEZ</x:v>
      </x:c>
      <x:c r="D150" s="30" t="n">
        <x:v>2019</x:v>
      </x:c>
      <x:c r="E150" s="24" t="str">
        <x:v>Mullus barbatus</x:v>
      </x:c>
      <x:c r="F150" s="24" t="str">
        <x:v>Red mullet</x:v>
      </x:c>
      <x:c r="G150" s="24" t="str">
        <x:v>Medium demersals (30 - 89 cm)</x:v>
      </x:c>
      <x:c r="H150" s="24" t="str">
        <x:v>Perch-likes</x:v>
      </x:c>
      <x:c r="I150" s="31" t="n">
        <x:v>1.8928816035</x:v>
      </x:c>
      <x:c r="J150" s="31" t="n">
        <x:v>1.0852849337</x:v>
      </x:c>
      <x:c r="K150" s="31" t="n">
        <x:v>0.8075966698</x:v>
      </x:c>
      <x:c r="L150" s="31" t="n">
        <x:v>1.0852849337</x:v>
      </x:c>
      <x:c r="M150" s="31" t="n">
        <x:v>0.8075966698</x:v>
      </x:c>
      <x:c r="N150" s="24" t="str">
        <x:v>mullus barbatus</x:v>
      </x:c>
      <x:c r="O150" s="32" t="n">
        <x:v>3.14</x:v>
      </x:c>
      <x:c r="P150" s="24" t="str">
        <x:v>exact_2020_supplement</x:v>
      </x:c>
      <x:c r="Q150" s="32" t="str">
        <x:v>2020 supplement MeanTL</x:v>
      </x:c>
      <x:c r="R150" s="24" t="str">
        <x:v>high</x:v>
      </x:c>
      <x:c r="S150" s="24" t="str">
        <x:v>Mullus barbatus</x:v>
      </x:c>
      <x:c r="T150" s="32" t="n">
        <x:f>IF(O150="","",(1/'Metadata'!$B$5)^(O150-1))</x:f>
        <x:v>138.03842646028852</x:v>
      </x:c>
      <x:c r="U150" s="31" t="n">
        <x:f>IF(T150="","",I150*T150)</x:f>
        <x:v>261.29039802276776</x:v>
      </x:c>
    </x:row>
    <x:row r="151" ht="18" customHeight="1">
      <x:c r="A151" s="24" t="str">
        <x:v>EEZ_620</x:v>
      </x:c>
      <x:c r="B151" s="24" t="str">
        <x:v>Portugal (mainland)</x:v>
      </x:c>
      <x:c r="C151" s="24" t="str">
        <x:v>EEZ</x:v>
      </x:c>
      <x:c r="D151" s="30" t="n">
        <x:v>2019</x:v>
      </x:c>
      <x:c r="E151" s="24" t="str">
        <x:v>Balistidae</x:v>
      </x:c>
      <x:c r="F151" s="24" t="str">
        <x:v>Triggerfishes</x:v>
      </x:c>
      <x:c r="G151" s="24" t="str">
        <x:v>Medium reef assoc. fish (30 - 89 cm)</x:v>
      </x:c>
      <x:c r="H151" s="24" t="str">
        <x:v>Other fishes &amp; inverts</x:v>
      </x:c>
      <x:c r="I151" s="31" t="n">
        <x:v>1.8567396752</x:v>
      </x:c>
      <x:c r="J151" s="31" t="n">
        <x:v>0</x:v>
      </x:c>
      <x:c r="K151" s="31" t="n">
        <x:v>1.8567396752</x:v>
      </x:c>
      <x:c r="L151" s="31" t="n">
        <x:v>0</x:v>
      </x:c>
      <x:c r="M151" s="31" t="n">
        <x:v>1.8567396752</x:v>
      </x:c>
      <x:c r="N151" s="24" t="str">
        <x:v>balistidae</x:v>
      </x:c>
      <x:c r="O151" s="32" t="n">
        <x:v>3.25</x:v>
      </x:c>
      <x:c r="P151" s="24" t="str">
        <x:v>exact_sea_around_us</x:v>
      </x:c>
      <x:c r="Q151" s="32" t="str">
        <x:v>Sea Around Us exploited organisms</x:v>
      </x:c>
      <x:c r="R151" s="24" t="str">
        <x:v>high</x:v>
      </x:c>
      <x:c r="S151" s="24" t="str">
        <x:v>Balistidae</x:v>
      </x:c>
      <x:c r="T151" s="32" t="n">
        <x:f>IF(O151="","",(1/'Metadata'!$B$5)^(O151-1))</x:f>
        <x:v>177.82794100389228</x:v>
      </x:c>
      <x:c r="U151" s="31" t="n">
        <x:f>IF(T151="","",I151*T151)</x:f>
        <x:v>330.18019342105174</x:v>
      </x:c>
    </x:row>
    <x:row r="152" ht="18" customHeight="1">
      <x:c r="A152" s="24" t="str">
        <x:v>EEZ_620</x:v>
      </x:c>
      <x:c r="B152" s="24" t="str">
        <x:v>Portugal (mainland)</x:v>
      </x:c>
      <x:c r="C152" s="24" t="str">
        <x:v>EEZ</x:v>
      </x:c>
      <x:c r="D152" s="30" t="n">
        <x:v>2019</x:v>
      </x:c>
      <x:c r="E152" s="24" t="str">
        <x:v>Labridae</x:v>
      </x:c>
      <x:c r="F152" s="24" t="str">
        <x:v>Wrasses, gropers, tuskfishes</x:v>
      </x:c>
      <x:c r="G152" s="24" t="str">
        <x:v>Medium reef assoc. fish (30 - 89 cm)</x:v>
      </x:c>
      <x:c r="H152" s="24" t="str">
        <x:v>Perch-likes</x:v>
      </x:c>
      <x:c r="I152" s="31" t="n">
        <x:v>1.8397040501</x:v>
      </x:c>
      <x:c r="J152" s="31" t="n">
        <x:v>0</x:v>
      </x:c>
      <x:c r="K152" s="31" t="n">
        <x:v>1.8397040501</x:v>
      </x:c>
      <x:c r="L152" s="31" t="n">
        <x:v>0</x:v>
      </x:c>
      <x:c r="M152" s="31" t="n">
        <x:v>1.8397040501</x:v>
      </x:c>
      <x:c r="N152" s="24" t="str">
        <x:v>labridae</x:v>
      </x:c>
      <x:c r="O152" s="32" t="n">
        <x:v>3.46</x:v>
      </x:c>
      <x:c r="P152" s="24" t="str">
        <x:v>exact_sea_around_us</x:v>
      </x:c>
      <x:c r="Q152" s="32" t="str">
        <x:v>Sea Around Us exploited organisms</x:v>
      </x:c>
      <x:c r="R152" s="24" t="str">
        <x:v>high</x:v>
      </x:c>
      <x:c r="S152" s="24" t="str">
        <x:v>Labridae</x:v>
      </x:c>
      <x:c r="T152" s="32" t="n">
        <x:f>IF(O152="","",(1/'Metadata'!$B$5)^(O152-1))</x:f>
        <x:v>288.40315031266056</x:v>
      </x:c>
      <x:c r="U152" s="31" t="n">
        <x:f>IF(T152="","",I152*T152)</x:f>
        <x:v>530.5764436918007</x:v>
      </x:c>
    </x:row>
    <x:row r="153" ht="18" customHeight="1">
      <x:c r="A153" s="24" t="str">
        <x:v>EEZ_620</x:v>
      </x:c>
      <x:c r="B153" s="24" t="str">
        <x:v>Portugal (mainland)</x:v>
      </x:c>
      <x:c r="C153" s="24" t="str">
        <x:v>EEZ</x:v>
      </x:c>
      <x:c r="D153" s="30" t="n">
        <x:v>2019</x:v>
      </x:c>
      <x:c r="E153" s="24" t="str">
        <x:v>Benthodesmus</x:v>
      </x:c>
      <x:c r="F153" s="24" t="str">
        <x:v>Frostfishes</x:v>
      </x:c>
      <x:c r="G153" s="24" t="str">
        <x:v>Large benthopelagics (&gt;=90 cm)</x:v>
      </x:c>
      <x:c r="H153" s="24" t="str">
        <x:v>Perch-likes</x:v>
      </x:c>
      <x:c r="I153" s="31" t="n">
        <x:v>1.7857210358</x:v>
      </x:c>
      <x:c r="J153" s="31" t="n">
        <x:v>0</x:v>
      </x:c>
      <x:c r="K153" s="31" t="n">
        <x:v>1.7857210358</x:v>
      </x:c>
      <x:c r="L153" s="31" t="n">
        <x:v>0</x:v>
      </x:c>
      <x:c r="M153" s="31" t="n">
        <x:v>1.7857210358</x:v>
      </x:c>
      <x:c r="N153" s="24" t="str">
        <x:v>benthodesmus</x:v>
      </x:c>
      <x:c r="O153" s="32" t="n">
        <x:v>3.73</x:v>
      </x:c>
      <x:c r="P153" s="24" t="str">
        <x:v>exact_sea_around_us</x:v>
      </x:c>
      <x:c r="Q153" s="32" t="str">
        <x:v>Sea Around Us exploited organisms</x:v>
      </x:c>
      <x:c r="R153" s="24" t="str">
        <x:v>high</x:v>
      </x:c>
      <x:c r="S153" s="24" t="str">
        <x:v>Benthodesmus</x:v>
      </x:c>
      <x:c r="T153" s="32" t="n">
        <x:f>IF(O153="","",(1/'Metadata'!$B$5)^(O153-1))</x:f>
        <x:v>537.0317963702527</x:v>
      </x:c>
      <x:c r="U153" s="31" t="n">
        <x:f>IF(T153="","",I153*T153)</x:f>
        <x:v>958.9889756718222</x:v>
      </x:c>
    </x:row>
    <x:row r="154" ht="18" customHeight="1">
      <x:c r="A154" s="24" t="str">
        <x:v>EEZ_620</x:v>
      </x:c>
      <x:c r="B154" s="24" t="str">
        <x:v>Portugal (mainland)</x:v>
      </x:c>
      <x:c r="C154" s="24" t="str">
        <x:v>EEZ</x:v>
      </x:c>
      <x:c r="D154" s="30" t="n">
        <x:v>2019</x:v>
      </x:c>
      <x:c r="E154" s="24" t="str">
        <x:v>Scomber colias</x:v>
      </x:c>
      <x:c r="F154" s="24" t="str">
        <x:v>Atlantic chub mackerel</x:v>
      </x:c>
      <x:c r="G154" s="24" t="str">
        <x:v>Medium pelagics (30 - 89 cm)</x:v>
      </x:c>
      <x:c r="H154" s="24" t="str">
        <x:v>Perch-likes</x:v>
      </x:c>
      <x:c r="I154" s="31" t="n">
        <x:v>1.687230163</x:v>
      </x:c>
      <x:c r="J154" s="31" t="n">
        <x:v>1.687230163</x:v>
      </x:c>
      <x:c r="K154" s="31" t="n">
        <x:v>0</x:v>
      </x:c>
      <x:c r="L154" s="31" t="n">
        <x:v>1.687230163</x:v>
      </x:c>
      <x:c r="M154" s="31" t="n">
        <x:v>0</x:v>
      </x:c>
      <x:c r="N154" s="24" t="str">
        <x:v>scomber colias</x:v>
      </x:c>
      <x:c r="O154" s="32" t="n">
        <x:v>3.91</x:v>
      </x:c>
      <x:c r="P154" s="24" t="str">
        <x:v>exact_2020_supplement</x:v>
      </x:c>
      <x:c r="Q154" s="32" t="str">
        <x:v>2020 supplement MeanTL</x:v>
      </x:c>
      <x:c r="R154" s="24" t="str">
        <x:v>high</x:v>
      </x:c>
      <x:c r="S154" s="24" t="str">
        <x:v>Scomber colias</x:v>
      </x:c>
      <x:c r="T154" s="32" t="n">
        <x:f>IF(O154="","",(1/'Metadata'!$B$5)^(O154-1))</x:f>
        <x:v>812.8305161640995</x:v>
      </x:c>
      <x:c r="U154" s="31" t="n">
        <x:f>IF(T154="","",I154*T154)</x:f>
        <x:v>1371.4321642789278</x:v>
      </x:c>
    </x:row>
    <x:row r="155" ht="18" customHeight="1">
      <x:c r="A155" s="24" t="str">
        <x:v>EEZ_620</x:v>
      </x:c>
      <x:c r="B155" s="24" t="str">
        <x:v>Portugal (mainland)</x:v>
      </x:c>
      <x:c r="C155" s="24" t="str">
        <x:v>EEZ</x:v>
      </x:c>
      <x:c r="D155" s="30" t="n">
        <x:v>2019</x:v>
      </x:c>
      <x:c r="E155" s="24" t="str">
        <x:v>Eledone cirrhosa</x:v>
      </x:c>
      <x:c r="F155" s="24" t="str">
        <x:v>Horned octopus</x:v>
      </x:c>
      <x:c r="G155" s="24" t="str">
        <x:v>Cephalopods</x:v>
      </x:c>
      <x:c r="H155" s="24" t="str">
        <x:v>Other fishes &amp; inverts</x:v>
      </x:c>
      <x:c r="I155" s="31" t="n">
        <x:v>1.3944107355</x:v>
      </x:c>
      <x:c r="J155" s="31" t="n">
        <x:v>0</x:v>
      </x:c>
      <x:c r="K155" s="31" t="n">
        <x:v>1.3944107355</x:v>
      </x:c>
      <x:c r="L155" s="31" t="n">
        <x:v>0</x:v>
      </x:c>
      <x:c r="M155" s="31" t="n">
        <x:v>1.3944107355</x:v>
      </x:c>
      <x:c r="N155" s="24" t="str">
        <x:v>eledone cirrhosa</x:v>
      </x:c>
      <x:c r="O155" s="32" t="n">
        <x:v>3.7</x:v>
      </x:c>
      <x:c r="P155" s="24" t="str">
        <x:v>exact_2020_supplement</x:v>
      </x:c>
      <x:c r="Q155" s="32" t="str">
        <x:v>2020 supplement MeanTL</x:v>
      </x:c>
      <x:c r="R155" s="24" t="str">
        <x:v>high</x:v>
      </x:c>
      <x:c r="S155" s="24" t="str">
        <x:v>Eledone cirrhosa</x:v>
      </x:c>
      <x:c r="T155" s="32" t="n">
        <x:f>IF(O155="","",(1/'Metadata'!$B$5)^(O155-1))</x:f>
        <x:v>501.18723362727246</x:v>
      </x:c>
      <x:c r="U155" s="31" t="n">
        <x:f>IF(T155="","",I155*T155)</x:f>
        <x:v>698.8608590654153</x:v>
      </x:c>
    </x:row>
    <x:row r="156" ht="18" customHeight="1">
      <x:c r="A156" s="24" t="str">
        <x:v>EEZ_620</x:v>
      </x:c>
      <x:c r="B156" s="24" t="str">
        <x:v>Portugal (mainland)</x:v>
      </x:c>
      <x:c r="C156" s="24" t="str">
        <x:v>EEZ</x:v>
      </x:c>
      <x:c r="D156" s="30" t="n">
        <x:v>2019</x:v>
      </x:c>
      <x:c r="E156" s="24" t="str">
        <x:v>Scombridae</x:v>
      </x:c>
      <x:c r="F156" s="24" t="str">
        <x:v>Mackerels, tunas, bonitos</x:v>
      </x:c>
      <x:c r="G156" s="24" t="str">
        <x:v>Medium pelagics (30 - 89 cm)</x:v>
      </x:c>
      <x:c r="H156" s="24" t="str">
        <x:v>Perch-likes</x:v>
      </x:c>
      <x:c r="I156" s="31" t="n">
        <x:v>1.2702062724</x:v>
      </x:c>
      <x:c r="J156" s="31" t="n">
        <x:v>1.2702062724</x:v>
      </x:c>
      <x:c r="K156" s="31" t="n">
        <x:v>0</x:v>
      </x:c>
      <x:c r="L156" s="31" t="n">
        <x:v>1.2702062724</x:v>
      </x:c>
      <x:c r="M156" s="31" t="n">
        <x:v>0</x:v>
      </x:c>
      <x:c r="N156" s="24" t="str">
        <x:v>scombridae</x:v>
      </x:c>
      <x:c r="O156" s="32" t="n">
        <x:v>4.26</x:v>
      </x:c>
      <x:c r="P156" s="24" t="str">
        <x:v>exact_sea_around_us</x:v>
      </x:c>
      <x:c r="Q156" s="32" t="str">
        <x:v>Sea Around Us exploited organisms</x:v>
      </x:c>
      <x:c r="R156" s="24" t="str">
        <x:v>high</x:v>
      </x:c>
      <x:c r="S156" s="24" t="str">
        <x:v>Scombridae</x:v>
      </x:c>
      <x:c r="T156" s="32" t="n">
        <x:f>IF(O156="","",(1/'Metadata'!$B$5)^(O156-1))</x:f>
        <x:v>1819.7008586099826</x:v>
      </x:c>
      <x:c r="U156" s="31" t="n">
        <x:f>IF(T156="","",I156*T156)</x:f>
        <x:v>2311.3954444980654</x:v>
      </x:c>
    </x:row>
    <x:row r="157" ht="18" customHeight="1">
      <x:c r="A157" s="24" t="str">
        <x:v>EEZ_620</x:v>
      </x:c>
      <x:c r="B157" s="24" t="str">
        <x:v>Portugal (mainland)</x:v>
      </x:c>
      <x:c r="C157" s="24" t="str">
        <x:v>EEZ</x:v>
      </x:c>
      <x:c r="D157" s="30" t="n">
        <x:v>2019</x:v>
      </x:c>
      <x:c r="E157" s="24" t="str">
        <x:v>Arnoglossus imperialis</x:v>
      </x:c>
      <x:c r="F157" s="24" t="str">
        <x:v>Imperial scaldfish</x:v>
      </x:c>
      <x:c r="G157" s="24" t="str">
        <x:v>Small to medium flatfishes (&lt;90 cm)</x:v>
      </x:c>
      <x:c r="H157" s="24" t="str">
        <x:v>Flatfishes</x:v>
      </x:c>
      <x:c r="I157" s="31" t="n">
        <x:v>1.0829283729</x:v>
      </x:c>
      <x:c r="J157" s="31" t="n">
        <x:v>0</x:v>
      </x:c>
      <x:c r="K157" s="31" t="n">
        <x:v>1.0829283729</x:v>
      </x:c>
      <x:c r="L157" s="31" t="n">
        <x:v>0</x:v>
      </x:c>
      <x:c r="M157" s="31" t="n">
        <x:v>1.0829283729</x:v>
      </x:c>
      <x:c r="N157" s="24" t="str">
        <x:v>arnoglossus imperialis</x:v>
      </x:c>
      <x:c r="O157" s="32" t="n">
        <x:v>3.84</x:v>
      </x:c>
      <x:c r="P157" s="24" t="str">
        <x:v>exact_2020_supplement</x:v>
      </x:c>
      <x:c r="Q157" s="32" t="str">
        <x:v>2020 supplement MeanTL</x:v>
      </x:c>
      <x:c r="R157" s="24" t="str">
        <x:v>high</x:v>
      </x:c>
      <x:c r="S157" s="24" t="str">
        <x:v>Arnoglossus imperialis</x:v>
      </x:c>
      <x:c r="T157" s="32" t="n">
        <x:f>IF(O157="","",(1/'Metadata'!$B$5)^(O157-1))</x:f>
        <x:v>691.8309709189363</x:v>
      </x:c>
      <x:c r="U157" s="31" t="n">
        <x:f>IF(T157="","",I157*T157)</x:f>
        <x:v>749.2033876590709</x:v>
      </x:c>
    </x:row>
    <x:row r="158" ht="18" customHeight="1">
      <x:c r="A158" s="24" t="str">
        <x:v>EEZ_620</x:v>
      </x:c>
      <x:c r="B158" s="24" t="str">
        <x:v>Portugal (mainland)</x:v>
      </x:c>
      <x:c r="C158" s="24" t="str">
        <x:v>EEZ</x:v>
      </x:c>
      <x:c r="D158" s="30" t="n">
        <x:v>2019</x:v>
      </x:c>
      <x:c r="E158" s="24" t="str">
        <x:v>Orcynopsis unicolor</x:v>
      </x:c>
      <x:c r="F158" s="24" t="str">
        <x:v>Plain bonito</x:v>
      </x:c>
      <x:c r="G158" s="24" t="str">
        <x:v>Large pelagics (&gt;=90 cm)</x:v>
      </x:c>
      <x:c r="H158" s="24" t="str">
        <x:v>Tuna &amp; billfishes</x:v>
      </x:c>
      <x:c r="I158" s="31" t="n">
        <x:v>1.0714188557000002</x:v>
      </x:c>
      <x:c r="J158" s="31" t="n">
        <x:v>1.0714188557000002</x:v>
      </x:c>
      <x:c r="K158" s="31" t="n">
        <x:v>0</x:v>
      </x:c>
      <x:c r="L158" s="31" t="n">
        <x:v>1.0714188557000002</x:v>
      </x:c>
      <x:c r="M158" s="31" t="n">
        <x:v>0</x:v>
      </x:c>
      <x:c r="N158" s="24" t="str">
        <x:v>orcynopsis unicolor</x:v>
      </x:c>
      <x:c r="O158" s="32" t="n">
        <x:v>4.5</x:v>
      </x:c>
      <x:c r="P158" s="24" t="str">
        <x:v>exact_2020_supplement</x:v>
      </x:c>
      <x:c r="Q158" s="32" t="str">
        <x:v>2020 supplement MeanTL</x:v>
      </x:c>
      <x:c r="R158" s="24" t="str">
        <x:v>high</x:v>
      </x:c>
      <x:c r="S158" s="24" t="str">
        <x:v>Orcynopsis unicolor</x:v>
      </x:c>
      <x:c r="T158" s="32" t="n">
        <x:f>IF(O158="","",(1/'Metadata'!$B$5)^(O158-1))</x:f>
        <x:v>3162.2776601683795</x:v>
      </x:c>
      <x:c r="U158" s="31" t="n">
        <x:f>IF(T158="","",I158*T158)</x:f>
        <x:v>3388.123912063279</x:v>
      </x:c>
    </x:row>
    <x:row r="159" ht="18" customHeight="1">
      <x:c r="A159" s="24" t="str">
        <x:v>EEZ_620</x:v>
      </x:c>
      <x:c r="B159" s="24" t="str">
        <x:v>Portugal (mainland)</x:v>
      </x:c>
      <x:c r="C159" s="24" t="str">
        <x:v>EEZ</x:v>
      </x:c>
      <x:c r="D159" s="30" t="n">
        <x:v>2019</x:v>
      </x:c>
      <x:c r="E159" s="24" t="str">
        <x:v>Chimaera monstrosa</x:v>
      </x:c>
      <x:c r="F159" s="24" t="str">
        <x:v>Rabbit fish</x:v>
      </x:c>
      <x:c r="G159" s="24" t="str">
        <x:v>Large rays (&gt;=90 cm)</x:v>
      </x:c>
      <x:c r="H159" s="24" t="str">
        <x:v>Sharks &amp; rays</x:v>
      </x:c>
      <x:c r="I159" s="31" t="n">
        <x:v>0.9990405845</x:v>
      </x:c>
      <x:c r="J159" s="31" t="n">
        <x:v>0</x:v>
      </x:c>
      <x:c r="K159" s="31" t="n">
        <x:v>0.9990405845</x:v>
      </x:c>
      <x:c r="L159" s="31" t="n">
        <x:v>0</x:v>
      </x:c>
      <x:c r="M159" s="31" t="n">
        <x:v>0.9990405845</x:v>
      </x:c>
      <x:c r="N159" s="24" t="str">
        <x:v>chimaera monstrosa</x:v>
      </x:c>
      <x:c r="O159" s="32" t="n">
        <x:v>3.52</x:v>
      </x:c>
      <x:c r="P159" s="24" t="str">
        <x:v>exact_2020_supplement</x:v>
      </x:c>
      <x:c r="Q159" s="32" t="str">
        <x:v>2020 supplement MeanTL</x:v>
      </x:c>
      <x:c r="R159" s="24" t="str">
        <x:v>high</x:v>
      </x:c>
      <x:c r="S159" s="24" t="str">
        <x:v>Chimaera monstrosa</x:v>
      </x:c>
      <x:c r="T159" s="32" t="n">
        <x:f>IF(O159="","",(1/'Metadata'!$B$5)^(O159-1))</x:f>
        <x:v>331.1311214825911</x:v>
      </x:c>
      <x:c r="U159" s="31" t="n">
        <x:f>IF(T159="","",I159*T159)</x:f>
        <x:v>330.8134291521083</x:v>
      </x:c>
    </x:row>
    <x:row r="160" ht="18" customHeight="1">
      <x:c r="A160" s="24" t="str">
        <x:v>EEZ_620</x:v>
      </x:c>
      <x:c r="B160" s="24" t="str">
        <x:v>Portugal (mainland)</x:v>
      </x:c>
      <x:c r="C160" s="24" t="str">
        <x:v>EEZ</x:v>
      </x:c>
      <x:c r="D160" s="30" t="n">
        <x:v>2019</x:v>
      </x:c>
      <x:c r="E160" s="24" t="str">
        <x:v>Loligo</x:v>
      </x:c>
      <x:c r="F160" s="24" t="str">
        <x:v>Common squids</x:v>
      </x:c>
      <x:c r="G160" s="24" t="str">
        <x:v>Cephalopods</x:v>
      </x:c>
      <x:c r="H160" s="24" t="str">
        <x:v>Other fishes &amp; inverts</x:v>
      </x:c>
      <x:c r="I160" s="31" t="n">
        <x:v>0.9752629885</x:v>
      </x:c>
      <x:c r="J160" s="31" t="n">
        <x:v>0</x:v>
      </x:c>
      <x:c r="K160" s="31" t="n">
        <x:v>0.9752629885</x:v>
      </x:c>
      <x:c r="L160" s="31" t="n">
        <x:v>0</x:v>
      </x:c>
      <x:c r="M160" s="31" t="n">
        <x:v>0.9752629885</x:v>
      </x:c>
      <x:c r="N160" s="24" t="str">
        <x:v>loligo</x:v>
      </x:c>
      <x:c r="O160" s="32" t="n">
        <x:v>3.99</x:v>
      </x:c>
      <x:c r="P160" s="24" t="str">
        <x:v>exact_sea_around_us</x:v>
      </x:c>
      <x:c r="Q160" s="32" t="str">
        <x:v>Sea Around Us exploited organisms</x:v>
      </x:c>
      <x:c r="R160" s="24" t="str">
        <x:v>high</x:v>
      </x:c>
      <x:c r="S160" s="24" t="str">
        <x:v>Loligo</x:v>
      </x:c>
      <x:c r="T160" s="32" t="n">
        <x:f>IF(O160="","",(1/'Metadata'!$B$5)^(O160-1))</x:f>
        <x:v>977.2372209558112</x:v>
      </x:c>
      <x:c r="U160" s="31" t="n">
        <x:f>IF(T160="","",I160*T160)</x:f>
        <x:v>953.0632925827992</x:v>
      </x:c>
    </x:row>
    <x:row r="161" ht="18" customHeight="1">
      <x:c r="A161" s="24" t="str">
        <x:v>EEZ_620</x:v>
      </x:c>
      <x:c r="B161" s="24" t="str">
        <x:v>Portugal (mainland)</x:v>
      </x:c>
      <x:c r="C161" s="24" t="str">
        <x:v>EEZ</x:v>
      </x:c>
      <x:c r="D161" s="30" t="n">
        <x:v>2019</x:v>
      </x:c>
      <x:c r="E161" s="24" t="str">
        <x:v>Lophius piscatorius</x:v>
      </x:c>
      <x:c r="F161" s="24" t="str">
        <x:v>Angler</x:v>
      </x:c>
      <x:c r="G161" s="24" t="str">
        <x:v>Large bathydemersals (&gt;=90 cm)</x:v>
      </x:c>
      <x:c r="H161" s="24" t="str">
        <x:v>Other fishes &amp; inverts</x:v>
      </x:c>
      <x:c r="I161" s="31" t="n">
        <x:v>0.9295825081</x:v>
      </x:c>
      <x:c r="J161" s="31" t="n">
        <x:v>0</x:v>
      </x:c>
      <x:c r="K161" s="31" t="n">
        <x:v>0.9295825081</x:v>
      </x:c>
      <x:c r="L161" s="31" t="n">
        <x:v>0</x:v>
      </x:c>
      <x:c r="M161" s="31" t="n">
        <x:v>0.9295825081</x:v>
      </x:c>
      <x:c r="N161" s="24" t="str">
        <x:v>lophius piscatorius</x:v>
      </x:c>
      <x:c r="O161" s="32" t="n">
        <x:v>4.45</x:v>
      </x:c>
      <x:c r="P161" s="24" t="str">
        <x:v>exact_2020_supplement</x:v>
      </x:c>
      <x:c r="Q161" s="32" t="str">
        <x:v>2020 supplement MeanTL</x:v>
      </x:c>
      <x:c r="R161" s="24" t="str">
        <x:v>high</x:v>
      </x:c>
      <x:c r="S161" s="24" t="str">
        <x:v>Lophius piscatorius</x:v>
      </x:c>
      <x:c r="T161" s="32" t="n">
        <x:f>IF(O161="","",(1/'Metadata'!$B$5)^(O161-1))</x:f>
        <x:v>2818.382931264455</x:v>
      </x:c>
      <x:c r="U161" s="31" t="n">
        <x:f>IF(T161="","",I161*T161)</x:f>
        <x:v>2619.919474031042</x:v>
      </x:c>
    </x:row>
    <x:row r="162" ht="18" customHeight="1">
      <x:c r="A162" s="24" t="str">
        <x:v>EEZ_620</x:v>
      </x:c>
      <x:c r="B162" s="24" t="str">
        <x:v>Portugal (mainland)</x:v>
      </x:c>
      <x:c r="C162" s="24" t="str">
        <x:v>EEZ</x:v>
      </x:c>
      <x:c r="D162" s="30" t="n">
        <x:v>2019</x:v>
      </x:c>
      <x:c r="E162" s="24" t="str">
        <x:v>Octopus</x:v>
      </x:c>
      <x:c r="F162" s="24" t="str">
        <x:v>Octopuses, pikas</x:v>
      </x:c>
      <x:c r="G162" s="24" t="str">
        <x:v>Cephalopods</x:v>
      </x:c>
      <x:c r="H162" s="24" t="str">
        <x:v>Other fishes &amp; inverts</x:v>
      </x:c>
      <x:c r="I162" s="31" t="n">
        <x:v>0.9295825081</x:v>
      </x:c>
      <x:c r="J162" s="31" t="n">
        <x:v>0</x:v>
      </x:c>
      <x:c r="K162" s="31" t="n">
        <x:v>0.9295825081</x:v>
      </x:c>
      <x:c r="L162" s="31" t="n">
        <x:v>0</x:v>
      </x:c>
      <x:c r="M162" s="31" t="n">
        <x:v>0.9295825081</x:v>
      </x:c>
      <x:c r="N162" s="24" t="str">
        <x:v>octopus</x:v>
      </x:c>
      <x:c r="O162" s="32" t="n">
        <x:v>3.8</x:v>
      </x:c>
      <x:c r="P162" s="24" t="str">
        <x:v>exact_sea_around_us</x:v>
      </x:c>
      <x:c r="Q162" s="32" t="str">
        <x:v>Sea Around Us exploited organisms</x:v>
      </x:c>
      <x:c r="R162" s="24" t="str">
        <x:v>high</x:v>
      </x:c>
      <x:c r="S162" s="24" t="str">
        <x:v>Octopus</x:v>
      </x:c>
      <x:c r="T162" s="32" t="n">
        <x:f>IF(O162="","",(1/'Metadata'!$B$5)^(O162-1))</x:f>
        <x:v>630.957344480193</x:v>
      </x:c>
      <x:c r="U162" s="31" t="n">
        <x:f>IF(T162="","",I162*T162)</x:f>
        <x:v>586.5269107860134</x:v>
      </x:c>
    </x:row>
    <x:row r="163" ht="18" customHeight="1">
      <x:c r="A163" s="24" t="str">
        <x:v>EEZ_620</x:v>
      </x:c>
      <x:c r="B163" s="24" t="str">
        <x:v>Portugal (mainland)</x:v>
      </x:c>
      <x:c r="C163" s="24" t="str">
        <x:v>EEZ</x:v>
      </x:c>
      <x:c r="D163" s="30" t="n">
        <x:v>2019</x:v>
      </x:c>
      <x:c r="E163" s="24" t="str">
        <x:v>Ensis siliqua</x:v>
      </x:c>
      <x:c r="F163" s="24" t="str">
        <x:v>Sword razor shell</x:v>
      </x:c>
      <x:c r="G163" s="24" t="str">
        <x:v>Other demersal invertebrates</x:v>
      </x:c>
      <x:c r="H163" s="24" t="str">
        <x:v>Molluscs</x:v>
      </x:c>
      <x:c r="I163" s="31" t="n">
        <x:v>0.9155266842</x:v>
      </x:c>
      <x:c r="J163" s="31" t="n">
        <x:v>0</x:v>
      </x:c>
      <x:c r="K163" s="31" t="n">
        <x:v>0.9155266842</x:v>
      </x:c>
      <x:c r="L163" s="31" t="n">
        <x:v>0</x:v>
      </x:c>
      <x:c r="M163" s="31" t="n">
        <x:v>0.9155266842</x:v>
      </x:c>
      <x:c r="N163" s="24" t="str">
        <x:v>ensis siliqua</x:v>
      </x:c>
      <x:c r="O163" s="32" t="n">
        <x:v>2</x:v>
      </x:c>
      <x:c r="P163" s="24" t="str">
        <x:v>exact_2020_supplement</x:v>
      </x:c>
      <x:c r="Q163" s="32" t="str">
        <x:v>2020 supplement MeanTL</x:v>
      </x:c>
      <x:c r="R163" s="24" t="str">
        <x:v>high</x:v>
      </x:c>
      <x:c r="S163" s="24" t="str">
        <x:v>Ensis siliqua</x:v>
      </x:c>
      <x:c r="T163" s="32" t="n">
        <x:f>IF(O163="","",(1/'Metadata'!$B$5)^(O163-1))</x:f>
        <x:v>10</x:v>
      </x:c>
      <x:c r="U163" s="31" t="n">
        <x:f>IF(T163="","",I163*T163)</x:f>
        <x:v>9.155266842</x:v>
      </x:c>
    </x:row>
    <x:row r="164" ht="18" customHeight="1">
      <x:c r="A164" s="24" t="str">
        <x:v>EEZ_620</x:v>
      </x:c>
      <x:c r="B164" s="24" t="str">
        <x:v>Portugal (mainland)</x:v>
      </x:c>
      <x:c r="C164" s="24" t="str">
        <x:v>EEZ</x:v>
      </x:c>
      <x:c r="D164" s="30" t="n">
        <x:v>2019</x:v>
      </x:c>
      <x:c r="E164" s="24" t="str">
        <x:v>Phycis blennoides</x:v>
      </x:c>
      <x:c r="F164" s="24" t="str">
        <x:v>Greater forkbeard</x:v>
      </x:c>
      <x:c r="G164" s="24" t="str">
        <x:v>Large benthopelagics (&gt;=90 cm)</x:v>
      </x:c>
      <x:c r="H164" s="24" t="str">
        <x:v>Cod-likes</x:v>
      </x:c>
      <x:c r="I164" s="31" t="n">
        <x:v>0.9119075661</x:v>
      </x:c>
      <x:c r="J164" s="31" t="n">
        <x:v>0</x:v>
      </x:c>
      <x:c r="K164" s="31" t="n">
        <x:v>0.9119075661</x:v>
      </x:c>
      <x:c r="L164" s="31" t="n">
        <x:v>0</x:v>
      </x:c>
      <x:c r="M164" s="31" t="n">
        <x:v>0.9119075661</x:v>
      </x:c>
      <x:c r="N164" s="24" t="str">
        <x:v>phycis blennoides</x:v>
      </x:c>
      <x:c r="O164" s="32" t="n">
        <x:v>3.87</x:v>
      </x:c>
      <x:c r="P164" s="24" t="str">
        <x:v>exact_2020_supplement</x:v>
      </x:c>
      <x:c r="Q164" s="32" t="str">
        <x:v>2020 supplement MeanTL</x:v>
      </x:c>
      <x:c r="R164" s="24" t="str">
        <x:v>high</x:v>
      </x:c>
      <x:c r="S164" s="24" t="str">
        <x:v>Phycis blennoides</x:v>
      </x:c>
      <x:c r="T164" s="32" t="n">
        <x:f>IF(O164="","",(1/'Metadata'!$B$5)^(O164-1))</x:f>
        <x:v>741.3102413009177</x:v>
      </x:c>
      <x:c r="U164" s="31" t="n">
        <x:f>IF(T164="","",I164*T164)</x:f>
        <x:v>676.0064178697236</x:v>
      </x:c>
    </x:row>
    <x:row r="165" ht="18" customHeight="1">
      <x:c r="A165" s="24" t="str">
        <x:v>EEZ_620</x:v>
      </x:c>
      <x:c r="B165" s="24" t="str">
        <x:v>Portugal (mainland)</x:v>
      </x:c>
      <x:c r="C165" s="24" t="str">
        <x:v>EEZ</x:v>
      </x:c>
      <x:c r="D165" s="30" t="n">
        <x:v>2019</x:v>
      </x:c>
      <x:c r="E165" s="24" t="str">
        <x:v>Etmopterus</x:v>
      </x:c>
      <x:c r="F165" s="24" t="str">
        <x:v>Lanternsharks</x:v>
      </x:c>
      <x:c r="G165" s="24" t="str">
        <x:v>Small to medium sharks (&lt;90 cm)</x:v>
      </x:c>
      <x:c r="H165" s="24" t="str">
        <x:v>Sharks &amp; rays</x:v>
      </x:c>
      <x:c r="I165" s="31" t="n">
        <x:v>0.8774512335</x:v>
      </x:c>
      <x:c r="J165" s="31" t="n">
        <x:v>0</x:v>
      </x:c>
      <x:c r="K165" s="31" t="n">
        <x:v>0.8774512335</x:v>
      </x:c>
      <x:c r="L165" s="31" t="n">
        <x:v>0</x:v>
      </x:c>
      <x:c r="M165" s="31" t="n">
        <x:v>0.8774512335</x:v>
      </x:c>
      <x:c r="N165" s="24" t="str">
        <x:v>etmopterus</x:v>
      </x:c>
      <x:c r="O165" s="32" t="n">
        <x:v>4.02</x:v>
      </x:c>
      <x:c r="P165" s="24" t="str">
        <x:v>exact_sea_around_us</x:v>
      </x:c>
      <x:c r="Q165" s="32" t="str">
        <x:v>Sea Around Us exploited organisms</x:v>
      </x:c>
      <x:c r="R165" s="24" t="str">
        <x:v>high</x:v>
      </x:c>
      <x:c r="S165" s="24" t="str">
        <x:v>Etmopterus</x:v>
      </x:c>
      <x:c r="T165" s="32" t="n">
        <x:f>IF(O165="","",(1/'Metadata'!$B$5)^(O165-1))</x:f>
        <x:v>1047.1285480508984</x:v>
      </x:c>
      <x:c r="U165" s="31" t="n">
        <x:f>IF(T165="","",I165*T165)</x:f>
        <x:v>918.8042361203248</x:v>
      </x:c>
    </x:row>
    <x:row r="166" ht="18" customHeight="1">
      <x:c r="A166" s="24" t="str">
        <x:v>EEZ_620</x:v>
      </x:c>
      <x:c r="B166" s="24" t="str">
        <x:v>Portugal (mainland)</x:v>
      </x:c>
      <x:c r="C166" s="24" t="str">
        <x:v>EEZ</x:v>
      </x:c>
      <x:c r="D166" s="30" t="n">
        <x:v>2019</x:v>
      </x:c>
      <x:c r="E166" s="24" t="str">
        <x:v>Scorpaena porcus</x:v>
      </x:c>
      <x:c r="F166" s="24" t="str">
        <x:v>Black scorpionfish</x:v>
      </x:c>
      <x:c r="G166" s="24" t="str">
        <x:v>Small demersals (&lt;30 cm)</x:v>
      </x:c>
      <x:c r="H166" s="24" t="str">
        <x:v>Scorpionfishes</x:v>
      </x:c>
      <x:c r="I166" s="31" t="n">
        <x:v>0.8507134592</x:v>
      </x:c>
      <x:c r="J166" s="31" t="n">
        <x:v>0</x:v>
      </x:c>
      <x:c r="K166" s="31" t="n">
        <x:v>0.8507134592</x:v>
      </x:c>
      <x:c r="L166" s="31" t="n">
        <x:v>0</x:v>
      </x:c>
      <x:c r="M166" s="31" t="n">
        <x:v>0.8507134592</x:v>
      </x:c>
      <x:c r="N166" s="24" t="str">
        <x:v>scorpaena porcus</x:v>
      </x:c>
      <x:c r="O166" s="32" t="n">
        <x:v>3.92</x:v>
      </x:c>
      <x:c r="P166" s="24" t="str">
        <x:v>exact_2020_supplement</x:v>
      </x:c>
      <x:c r="Q166" s="32" t="str">
        <x:v>2020 supplement MeanTL</x:v>
      </x:c>
      <x:c r="R166" s="24" t="str">
        <x:v>high</x:v>
      </x:c>
      <x:c r="S166" s="24" t="str">
        <x:v>Scorpaena porcus</x:v>
      </x:c>
      <x:c r="T166" s="32" t="n">
        <x:f>IF(O166="","",(1/'Metadata'!$B$5)^(O166-1))</x:f>
        <x:v>831.7637711026708</x:v>
      </x:c>
      <x:c r="U166" s="31" t="n">
        <x:f>IF(T166="","",I166*T166)</x:f>
        <x:v>707.59263495199</x:v>
      </x:c>
    </x:row>
    <x:row r="167" ht="18" customHeight="1">
      <x:c r="A167" s="24" t="str">
        <x:v>EEZ_620</x:v>
      </x:c>
      <x:c r="B167" s="24" t="str">
        <x:v>Portugal (mainland)</x:v>
      </x:c>
      <x:c r="C167" s="24" t="str">
        <x:v>EEZ</x:v>
      </x:c>
      <x:c r="D167" s="30" t="n">
        <x:v>2019</x:v>
      </x:c>
      <x:c r="E167" s="24" t="str">
        <x:v>Ruvettus pretiosus</x:v>
      </x:c>
      <x:c r="F167" s="24" t="str">
        <x:v>Oilfish</x:v>
      </x:c>
      <x:c r="G167" s="24" t="str">
        <x:v>Large benthopelagics (&gt;=90 cm)</x:v>
      </x:c>
      <x:c r="H167" s="24" t="str">
        <x:v>Perch-likes</x:v>
      </x:c>
      <x:c r="I167" s="31" t="n">
        <x:v>0.8490123919</x:v>
      </x:c>
      <x:c r="J167" s="31" t="n">
        <x:v>0.3841841645</x:v>
      </x:c>
      <x:c r="K167" s="31" t="n">
        <x:v>0.4648282274</x:v>
      </x:c>
      <x:c r="L167" s="31" t="n">
        <x:v>0.3841841645</x:v>
      </x:c>
      <x:c r="M167" s="31" t="n">
        <x:v>0.4648282274</x:v>
      </x:c>
      <x:c r="N167" s="24" t="str">
        <x:v>ruvettus pretiosus</x:v>
      </x:c>
      <x:c r="O167" s="32" t="n">
        <x:v>4.18</x:v>
      </x:c>
      <x:c r="P167" s="24" t="str">
        <x:v>exact_2020_supplement</x:v>
      </x:c>
      <x:c r="Q167" s="32" t="str">
        <x:v>2020 supplement MeanTL</x:v>
      </x:c>
      <x:c r="R167" s="24" t="str">
        <x:v>high</x:v>
      </x:c>
      <x:c r="S167" s="24" t="str">
        <x:v>Ruvettus pretiosus</x:v>
      </x:c>
      <x:c r="T167" s="32" t="n">
        <x:f>IF(O167="","",(1/'Metadata'!$B$5)^(O167-1))</x:f>
        <x:v>1513.5612484362073</x:v>
      </x:c>
      <x:c r="U167" s="31" t="n">
        <x:f>IF(T167="","",I167*T167)</x:f>
        <x:v>1285.0322558219746</x:v>
      </x:c>
    </x:row>
    <x:row r="168" ht="18" customHeight="1">
      <x:c r="A168" s="24" t="str">
        <x:v>EEZ_620</x:v>
      </x:c>
      <x:c r="B168" s="24" t="str">
        <x:v>Portugal (mainland)</x:v>
      </x:c>
      <x:c r="C168" s="24" t="str">
        <x:v>EEZ</x:v>
      </x:c>
      <x:c r="D168" s="30" t="n">
        <x:v>2019</x:v>
      </x:c>
      <x:c r="E168" s="24" t="str">
        <x:v>Centroselachus crepidater</x:v>
      </x:c>
      <x:c r="F168" s="24" t="str">
        <x:v>Longnose velvet dogfish</x:v>
      </x:c>
      <x:c r="G168" s="24" t="str">
        <x:v>Large sharks (&gt;=90 cm)</x:v>
      </x:c>
      <x:c r="H168" s="24" t="str">
        <x:v>Sharks &amp; rays</x:v>
      </x:c>
      <x:c r="I168" s="31" t="n">
        <x:v>0.7211338023</x:v>
      </x:c>
      <x:c r="J168" s="31" t="n">
        <x:v>0</x:v>
      </x:c>
      <x:c r="K168" s="31" t="n">
        <x:v>0.7211338023</x:v>
      </x:c>
      <x:c r="L168" s="31" t="n">
        <x:v>0</x:v>
      </x:c>
      <x:c r="M168" s="31" t="n">
        <x:v>0.7211338023</x:v>
      </x:c>
      <x:c r="N168" s="24" t="str">
        <x:v>centroselachus crepidater</x:v>
      </x:c>
      <x:c r="O168" s="32" t="n">
        <x:v>4.16</x:v>
      </x:c>
      <x:c r="P168" s="24" t="str">
        <x:v>exact_sea_around_us</x:v>
      </x:c>
      <x:c r="Q168" s="32" t="str">
        <x:v>Sea Around Us exploited organisms</x:v>
      </x:c>
      <x:c r="R168" s="24" t="str">
        <x:v>high</x:v>
      </x:c>
      <x:c r="S168" s="24" t="str">
        <x:v>Centroselachus crepidater</x:v>
      </x:c>
      <x:c r="T168" s="32" t="n">
        <x:f>IF(O168="","",(1/'Metadata'!$B$5)^(O168-1))</x:f>
        <x:v>1445.439770745928</x:v>
      </x:c>
      <x:c r="U168" s="31" t="n">
        <x:f>IF(T168="","",I168*T168)</x:f>
        <x:v>1042.3554778736514</x:v>
      </x:c>
    </x:row>
    <x:row r="169" ht="18" customHeight="1">
      <x:c r="A169" s="24" t="str">
        <x:v>EEZ_620</x:v>
      </x:c>
      <x:c r="B169" s="24" t="str">
        <x:v>Portugal (mainland)</x:v>
      </x:c>
      <x:c r="C169" s="24" t="str">
        <x:v>EEZ</x:v>
      </x:c>
      <x:c r="D169" s="30" t="n">
        <x:v>2019</x:v>
      </x:c>
      <x:c r="E169" s="24" t="str">
        <x:v>Chelon labrosus</x:v>
      </x:c>
      <x:c r="F169" s="24" t="str">
        <x:v>Thicklip grey mullet</x:v>
      </x:c>
      <x:c r="G169" s="24" t="str">
        <x:v>Medium demersals (30 - 89 cm)</x:v>
      </x:c>
      <x:c r="H169" s="24" t="str">
        <x:v>Perch-likes</x:v>
      </x:c>
      <x:c r="I169" s="31" t="n">
        <x:v>0.7177373826</x:v>
      </x:c>
      <x:c r="J169" s="31" t="n">
        <x:v>0</x:v>
      </x:c>
      <x:c r="K169" s="31" t="n">
        <x:v>0.7177373826</x:v>
      </x:c>
      <x:c r="L169" s="31" t="n">
        <x:v>0</x:v>
      </x:c>
      <x:c r="M169" s="31" t="n">
        <x:v>0.7177373826</x:v>
      </x:c>
      <x:c r="N169" s="24" t="str">
        <x:v>chelon labrosus</x:v>
      </x:c>
      <x:c r="O169" s="32" t="n">
        <x:v>2.59</x:v>
      </x:c>
      <x:c r="P169" s="24" t="str">
        <x:v>exact_2020_supplement</x:v>
      </x:c>
      <x:c r="Q169" s="32" t="str">
        <x:v>2020 supplement MeanTL</x:v>
      </x:c>
      <x:c r="R169" s="24" t="str">
        <x:v>high</x:v>
      </x:c>
      <x:c r="S169" s="24" t="str">
        <x:v>Chelon labrosus</x:v>
      </x:c>
      <x:c r="T169" s="32" t="n">
        <x:f>IF(O169="","",(1/'Metadata'!$B$5)^(O169-1))</x:f>
        <x:v>38.904514499428046</x:v>
      </x:c>
      <x:c r="U169" s="31" t="n">
        <x:f>IF(T169="","",I169*T169)</x:f>
        <x:v>27.923224408143234</x:v>
      </x:c>
    </x:row>
    <x:row r="170" ht="18" customHeight="1">
      <x:c r="A170" s="24" t="str">
        <x:v>EEZ_620</x:v>
      </x:c>
      <x:c r="B170" s="24" t="str">
        <x:v>Portugal (mainland)</x:v>
      </x:c>
      <x:c r="C170" s="24" t="str">
        <x:v>EEZ</x:v>
      </x:c>
      <x:c r="D170" s="30" t="n">
        <x:v>2019</x:v>
      </x:c>
      <x:c r="E170" s="24" t="str">
        <x:v>Todaropsis eblanae</x:v>
      </x:c>
      <x:c r="F170" s="24" t="str">
        <x:v>Lesser flying squid</x:v>
      </x:c>
      <x:c r="G170" s="24" t="str">
        <x:v>Cephalopods</x:v>
      </x:c>
      <x:c r="H170" s="24" t="str">
        <x:v>Other fishes &amp; inverts</x:v>
      </x:c>
      <x:c r="I170" s="31" t="n">
        <x:v>0.5978318107</x:v>
      </x:c>
      <x:c r="J170" s="31" t="n">
        <x:v>0</x:v>
      </x:c>
      <x:c r="K170" s="31" t="n">
        <x:v>0.5978318107</x:v>
      </x:c>
      <x:c r="L170" s="31" t="n">
        <x:v>0</x:v>
      </x:c>
      <x:c r="M170" s="31" t="n">
        <x:v>0.5978318107</x:v>
      </x:c>
      <x:c r="N170" s="24" t="str">
        <x:v>todaropsis eblanae</x:v>
      </x:c>
      <x:c r="O170" s="32" t="n">
        <x:v>4.25</x:v>
      </x:c>
      <x:c r="P170" s="24" t="str">
        <x:v>exact_sea_around_us</x:v>
      </x:c>
      <x:c r="Q170" s="32" t="str">
        <x:v>Sea Around Us exploited organisms</x:v>
      </x:c>
      <x:c r="R170" s="24" t="str">
        <x:v>high</x:v>
      </x:c>
      <x:c r="S170" s="24" t="str">
        <x:v>Todaropsis eblanae</x:v>
      </x:c>
      <x:c r="T170" s="32" t="n">
        <x:f>IF(O170="","",(1/'Metadata'!$B$5)^(O170-1))</x:f>
        <x:v>1778.2794100389228</x:v>
      </x:c>
      <x:c r="U170" s="31" t="n">
        <x:f>IF(T170="","",I170*T170)</x:f>
        <x:v>1063.111999634097</x:v>
      </x:c>
    </x:row>
    <x:row r="171" ht="18" customHeight="1">
      <x:c r="A171" s="24" t="str">
        <x:v>EEZ_620</x:v>
      </x:c>
      <x:c r="B171" s="24" t="str">
        <x:v>Portugal (mainland)</x:v>
      </x:c>
      <x:c r="C171" s="24" t="str">
        <x:v>EEZ</x:v>
      </x:c>
      <x:c r="D171" s="30" t="n">
        <x:v>2019</x:v>
      </x:c>
      <x:c r="E171" s="24" t="str">
        <x:v>Istiophoridae</x:v>
      </x:c>
      <x:c r="F171" s="24" t="str">
        <x:v>Billfishes</x:v>
      </x:c>
      <x:c r="G171" s="24" t="str">
        <x:v>Large pelagics (&gt;=90 cm)</x:v>
      </x:c>
      <x:c r="H171" s="24" t="str">
        <x:v>Tuna &amp; billfishes</x:v>
      </x:c>
      <x:c r="I171" s="31" t="n">
        <x:v>0.593174641</x:v>
      </x:c>
      <x:c r="J171" s="31" t="n">
        <x:v>0.593174641</x:v>
      </x:c>
      <x:c r="K171" s="31" t="n">
        <x:v>0</x:v>
      </x:c>
      <x:c r="L171" s="31" t="n">
        <x:v>0.593174641</x:v>
      </x:c>
      <x:c r="M171" s="31" t="n">
        <x:v>0</x:v>
      </x:c>
      <x:c r="N171" s="24" t="str">
        <x:v>istiophoridae</x:v>
      </x:c>
      <x:c r="O171" s="32" t="n">
        <x:v>4.48</x:v>
      </x:c>
      <x:c r="P171" s="24" t="str">
        <x:v>exact_sea_around_us</x:v>
      </x:c>
      <x:c r="Q171" s="32" t="str">
        <x:v>Sea Around Us exploited organisms</x:v>
      </x:c>
      <x:c r="R171" s="24" t="str">
        <x:v>high</x:v>
      </x:c>
      <x:c r="S171" s="24" t="str">
        <x:v>Istiophoridae</x:v>
      </x:c>
      <x:c r="T171" s="32" t="n">
        <x:f>IF(O171="","",(1/'Metadata'!$B$5)^(O171-1))</x:f>
        <x:v>3019.951720402019</x:v>
      </x:c>
      <x:c r="U171" s="31" t="n">
        <x:f>IF(T171="","",I171*T171)</x:f>
        <x:v>1791.3587775867998</x:v>
      </x:c>
    </x:row>
    <x:row r="172" ht="18" customHeight="1">
      <x:c r="A172" s="24" t="str">
        <x:v>EEZ_620</x:v>
      </x:c>
      <x:c r="B172" s="24" t="str">
        <x:v>Portugal (mainland)</x:v>
      </x:c>
      <x:c r="C172" s="24" t="str">
        <x:v>EEZ</x:v>
      </x:c>
      <x:c r="D172" s="30" t="n">
        <x:v>2019</x:v>
      </x:c>
      <x:c r="E172" s="24" t="str">
        <x:v>Perciformes</x:v>
      </x:c>
      <x:c r="F172" s="24" t="str">
        <x:v>Perch-likes</x:v>
      </x:c>
      <x:c r="G172" s="24" t="str">
        <x:v>Medium demersals (30 - 89 cm)</x:v>
      </x:c>
      <x:c r="H172" s="24" t="str">
        <x:v>Perch-likes</x:v>
      </x:c>
      <x:c r="I172" s="31" t="n">
        <x:v>0.5900066222</x:v>
      </x:c>
      <x:c r="J172" s="31" t="n">
        <x:v>0.5876181451</x:v>
      </x:c>
      <x:c r="K172" s="31" t="n">
        <x:v>0.0023884771</x:v>
      </x:c>
      <x:c r="L172" s="31" t="n">
        <x:v>0.5876181451</x:v>
      </x:c>
      <x:c r="M172" s="31" t="n">
        <x:v>0.0023884771</x:v>
      </x:c>
      <x:c r="N172" s="24" t="str">
        <x:v>perciformes</x:v>
      </x:c>
      <x:c r="O172" s="32" t="n">
        <x:v>3.53</x:v>
      </x:c>
      <x:c r="P172" s="24" t="str">
        <x:v>exact_sea_around_us</x:v>
      </x:c>
      <x:c r="Q172" s="32" t="str">
        <x:v>Sea Around Us exploited organisms</x:v>
      </x:c>
      <x:c r="R172" s="24" t="str">
        <x:v>high</x:v>
      </x:c>
      <x:c r="S172" s="24" t="str">
        <x:v>Perciformes</x:v>
      </x:c>
      <x:c r="T172" s="32" t="n">
        <x:f>IF(O172="","",(1/'Metadata'!$B$5)^(O172-1))</x:f>
        <x:v>338.84415613920237</x:v>
      </x:c>
      <x:c r="U172" s="31" t="n">
        <x:f>IF(T172="","",I172*T172)</x:f>
        <x:v>199.9202960159002</x:v>
      </x:c>
    </x:row>
    <x:row r="173" ht="18" customHeight="1">
      <x:c r="A173" s="24" t="str">
        <x:v>EEZ_620</x:v>
      </x:c>
      <x:c r="B173" s="24" t="str">
        <x:v>Portugal (mainland)</x:v>
      </x:c>
      <x:c r="C173" s="24" t="str">
        <x:v>EEZ</x:v>
      </x:c>
      <x:c r="D173" s="30" t="n">
        <x:v>2019</x:v>
      </x:c>
      <x:c r="E173" s="24" t="str">
        <x:v>Hexanchus griseus</x:v>
      </x:c>
      <x:c r="F173" s="24" t="str">
        <x:v>Bluntnose sixgill shark</x:v>
      </x:c>
      <x:c r="G173" s="24" t="str">
        <x:v>Large sharks (&gt;=90 cm)</x:v>
      </x:c>
      <x:c r="H173" s="24" t="str">
        <x:v>Sharks &amp; rays</x:v>
      </x:c>
      <x:c r="I173" s="31" t="n">
        <x:v>0.5850171944</x:v>
      </x:c>
      <x:c r="J173" s="31" t="n">
        <x:v>0</x:v>
      </x:c>
      <x:c r="K173" s="31" t="n">
        <x:v>0.5850171944</x:v>
      </x:c>
      <x:c r="L173" s="31" t="n">
        <x:v>0</x:v>
      </x:c>
      <x:c r="M173" s="31" t="n">
        <x:v>0.5850171944</x:v>
      </x:c>
      <x:c r="N173" s="24" t="str">
        <x:v>hexanchus griseus</x:v>
      </x:c>
      <x:c r="O173" s="32" t="n">
        <x:v>4.48</x:v>
      </x:c>
      <x:c r="P173" s="24" t="str">
        <x:v>exact_2020_supplement</x:v>
      </x:c>
      <x:c r="Q173" s="32" t="str">
        <x:v>2020 supplement MeanTL</x:v>
      </x:c>
      <x:c r="R173" s="24" t="str">
        <x:v>high</x:v>
      </x:c>
      <x:c r="S173" s="24" t="str">
        <x:v>Hexanchus griseus</x:v>
      </x:c>
      <x:c r="T173" s="32" t="n">
        <x:f>IF(O173="","",(1/'Metadata'!$B$5)^(O173-1))</x:f>
        <x:v>3019.951720402019</x:v>
      </x:c>
      <x:c r="U173" s="31" t="n">
        <x:f>IF(T173="","",I173*T173)</x:f>
        <x:v>1766.7236826930423</x:v>
      </x:c>
    </x:row>
    <x:row r="174" ht="18" customHeight="1">
      <x:c r="A174" s="24" t="str">
        <x:v>EEZ_620</x:v>
      </x:c>
      <x:c r="B174" s="24" t="str">
        <x:v>Portugal (mainland)</x:v>
      </x:c>
      <x:c r="C174" s="24" t="str">
        <x:v>EEZ</x:v>
      </x:c>
      <x:c r="D174" s="30" t="n">
        <x:v>2019</x:v>
      </x:c>
      <x:c r="E174" s="24" t="str">
        <x:v>Pecten maximus</x:v>
      </x:c>
      <x:c r="F174" s="24" t="str">
        <x:v>Great Atlantic scallop</x:v>
      </x:c>
      <x:c r="G174" s="24" t="str">
        <x:v>Other demersal invertebrates</x:v>
      </x:c>
      <x:c r="H174" s="24" t="str">
        <x:v>Molluscs</x:v>
      </x:c>
      <x:c r="I174" s="31" t="n">
        <x:v>0.5439008328</x:v>
      </x:c>
      <x:c r="J174" s="31" t="n">
        <x:v>0.0025799549999999997</x:v>
      </x:c>
      <x:c r="K174" s="31" t="n">
        <x:v>0.5413208778</x:v>
      </x:c>
      <x:c r="L174" s="31" t="n">
        <x:v>0.0025799549999999997</x:v>
      </x:c>
      <x:c r="M174" s="31" t="n">
        <x:v>0.5413208778</x:v>
      </x:c>
      <x:c r="N174" s="24" t="str">
        <x:v>pecten maximus</x:v>
      </x:c>
      <x:c r="O174" s="32" t="n">
        <x:v>2</x:v>
      </x:c>
      <x:c r="P174" s="24" t="str">
        <x:v>exact_2020_supplement</x:v>
      </x:c>
      <x:c r="Q174" s="32" t="str">
        <x:v>2020 supplement MeanTL</x:v>
      </x:c>
      <x:c r="R174" s="24" t="str">
        <x:v>high</x:v>
      </x:c>
      <x:c r="S174" s="24" t="str">
        <x:v>Pecten maximus</x:v>
      </x:c>
      <x:c r="T174" s="32" t="n">
        <x:f>IF(O174="","",(1/'Metadata'!$B$5)^(O174-1))</x:f>
        <x:v>10</x:v>
      </x:c>
      <x:c r="U174" s="31" t="n">
        <x:f>IF(T174="","",I174*T174)</x:f>
        <x:v>5.439008328</x:v>
      </x:c>
    </x:row>
    <x:row r="175" ht="18" customHeight="1">
      <x:c r="A175" s="24" t="str">
        <x:v>EEZ_620</x:v>
      </x:c>
      <x:c r="B175" s="24" t="str">
        <x:v>Portugal (mainland)</x:v>
      </x:c>
      <x:c r="C175" s="24" t="str">
        <x:v>EEZ</x:v>
      </x:c>
      <x:c r="D175" s="30" t="n">
        <x:v>2019</x:v>
      </x:c>
      <x:c r="E175" s="24" t="str">
        <x:v>Moridae</x:v>
      </x:c>
      <x:c r="F175" s="24" t="str">
        <x:v>Codlings, moras</x:v>
      </x:c>
      <x:c r="G175" s="24" t="str">
        <x:v>Medium benthopelagics (30 - 89 cm)</x:v>
      </x:c>
      <x:c r="H175" s="24" t="str">
        <x:v>Cod-likes</x:v>
      </x:c>
      <x:c r="I175" s="31" t="n">
        <x:v>0.5408503517</x:v>
      </x:c>
      <x:c r="J175" s="31" t="n">
        <x:v>0</x:v>
      </x:c>
      <x:c r="K175" s="31" t="n">
        <x:v>0.5408503517</x:v>
      </x:c>
      <x:c r="L175" s="31" t="n">
        <x:v>0</x:v>
      </x:c>
      <x:c r="M175" s="31" t="n">
        <x:v>0.5408503517</x:v>
      </x:c>
      <x:c r="N175" s="24" t="str">
        <x:v>moridae</x:v>
      </x:c>
      <x:c r="O175" s="32" t="n">
        <x:v>3.87</x:v>
      </x:c>
      <x:c r="P175" s="24" t="str">
        <x:v>exact_sea_around_us</x:v>
      </x:c>
      <x:c r="Q175" s="32" t="str">
        <x:v>Sea Around Us exploited organisms</x:v>
      </x:c>
      <x:c r="R175" s="24" t="str">
        <x:v>high</x:v>
      </x:c>
      <x:c r="S175" s="24" t="str">
        <x:v>Moridae</x:v>
      </x:c>
      <x:c r="T175" s="32" t="n">
        <x:f>IF(O175="","",(1/'Metadata'!$B$5)^(O175-1))</x:f>
        <x:v>741.3102413009177</x:v>
      </x:c>
      <x:c r="U175" s="31" t="n">
        <x:f>IF(T175="","",I175*T175)</x:f>
        <x:v>400.9379047264132</x:v>
      </x:c>
    </x:row>
    <x:row r="176" ht="18" customHeight="1">
      <x:c r="A176" s="24" t="str">
        <x:v>EEZ_620</x:v>
      </x:c>
      <x:c r="B176" s="24" t="str">
        <x:v>Portugal (mainland)</x:v>
      </x:c>
      <x:c r="C176" s="24" t="str">
        <x:v>EEZ</x:v>
      </x:c>
      <x:c r="D176" s="30" t="n">
        <x:v>2019</x:v>
      </x:c>
      <x:c r="E176" s="24" t="str">
        <x:v>Trachurus mediterraneus</x:v>
      </x:c>
      <x:c r="F176" s="24" t="str">
        <x:v>Mediterranean horse mackerel</x:v>
      </x:c>
      <x:c r="G176" s="24" t="str">
        <x:v>Medium pelagics (30 - 89 cm)</x:v>
      </x:c>
      <x:c r="H176" s="24" t="str">
        <x:v>Perch-likes</x:v>
      </x:c>
      <x:c r="I176" s="31" t="n">
        <x:v>0.4842403565</x:v>
      </x:c>
      <x:c r="J176" s="31" t="n">
        <x:v>0.019412129099999998</x:v>
      </x:c>
      <x:c r="K176" s="31" t="n">
        <x:v>0.4648282274</x:v>
      </x:c>
      <x:c r="L176" s="31" t="n">
        <x:v>0.019412129099999998</x:v>
      </x:c>
      <x:c r="M176" s="31" t="n">
        <x:v>0.4648282274</x:v>
      </x:c>
      <x:c r="N176" s="24" t="str">
        <x:v>trachurus mediterraneus</x:v>
      </x:c>
      <x:c r="O176" s="32" t="n">
        <x:v>3.77</x:v>
      </x:c>
      <x:c r="P176" s="24" t="str">
        <x:v>exact_2020_supplement</x:v>
      </x:c>
      <x:c r="Q176" s="32" t="str">
        <x:v>2020 supplement MeanTL</x:v>
      </x:c>
      <x:c r="R176" s="24" t="str">
        <x:v>high</x:v>
      </x:c>
      <x:c r="S176" s="24" t="str">
        <x:v>Trachurus mediterraneus</x:v>
      </x:c>
      <x:c r="T176" s="32" t="n">
        <x:f>IF(O176="","",(1/'Metadata'!$B$5)^(O176-1))</x:f>
        <x:v>588.843655355589</x:v>
      </x:c>
      <x:c r="U176" s="31" t="n">
        <x:f>IF(T176="","",I176*T176)</x:f>
        <x:v>285.1418615921536</x:v>
      </x:c>
    </x:row>
    <x:row r="177" ht="18" customHeight="1">
      <x:c r="A177" s="24" t="str">
        <x:v>EEZ_620</x:v>
      </x:c>
      <x:c r="B177" s="24" t="str">
        <x:v>Portugal (mainland)</x:v>
      </x:c>
      <x:c r="C177" s="24" t="str">
        <x:v>EEZ</x:v>
      </x:c>
      <x:c r="D177" s="30" t="n">
        <x:v>2019</x:v>
      </x:c>
      <x:c r="E177" s="24" t="str">
        <x:v>Pagellus bogaraveo</x:v>
      </x:c>
      <x:c r="F177" s="24" t="str">
        <x:v>Blackspot seabream</x:v>
      </x:c>
      <x:c r="G177" s="24" t="str">
        <x:v>Medium benthopelagics (30 - 89 cm)</x:v>
      </x:c>
      <x:c r="H177" s="24" t="str">
        <x:v>Perch-likes</x:v>
      </x:c>
      <x:c r="I177" s="31" t="n">
        <x:v>0.48164995050000003</x:v>
      </x:c>
      <x:c r="J177" s="31" t="n">
        <x:v>0.0168217231</x:v>
      </x:c>
      <x:c r="K177" s="31" t="n">
        <x:v>0.4648282274</x:v>
      </x:c>
      <x:c r="L177" s="31" t="n">
        <x:v>0.0168217231</x:v>
      </x:c>
      <x:c r="M177" s="31" t="n">
        <x:v>0.4648282274</x:v>
      </x:c>
      <x:c r="N177" s="24" t="str">
        <x:v>pagellus bogaraveo</x:v>
      </x:c>
      <x:c r="O177" s="32" t="n">
        <x:v>4.21</x:v>
      </x:c>
      <x:c r="P177" s="24" t="str">
        <x:v>exact_2020_supplement</x:v>
      </x:c>
      <x:c r="Q177" s="32" t="str">
        <x:v>2020 supplement MeanTL</x:v>
      </x:c>
      <x:c r="R177" s="24" t="str">
        <x:v>high</x:v>
      </x:c>
      <x:c r="S177" s="24" t="str">
        <x:v>Pagellus bogaraveo</x:v>
      </x:c>
      <x:c r="T177" s="32" t="n">
        <x:f>IF(O177="","",(1/'Metadata'!$B$5)^(O177-1))</x:f>
        <x:v>1621.8100973589299</x:v>
      </x:c>
      <x:c r="U177" s="31" t="n">
        <x:f>IF(T177="","",I177*T177)</x:f>
        <x:v>781.1447531133288</x:v>
      </x:c>
    </x:row>
    <x:row r="178" ht="18" customHeight="1">
      <x:c r="A178" s="24" t="str">
        <x:v>EEZ_620</x:v>
      </x:c>
      <x:c r="B178" s="24" t="str">
        <x:v>Portugal (mainland)</x:v>
      </x:c>
      <x:c r="C178" s="24" t="str">
        <x:v>EEZ</x:v>
      </x:c>
      <x:c r="D178" s="30" t="n">
        <x:v>2019</x:v>
      </x:c>
      <x:c r="E178" s="24" t="str">
        <x:v>Trachyrincus scabrus</x:v>
      </x:c>
      <x:c r="F178" s="24" t="str">
        <x:v>Roughsnout grenadier</x:v>
      </x:c>
      <x:c r="G178" s="24" t="str">
        <x:v>Medium bathypelagics (30 - 89 cm)</x:v>
      </x:c>
      <x:c r="H178" s="24" t="str">
        <x:v>Cod-likes</x:v>
      </x:c>
      <x:c r="I178" s="31" t="n">
        <x:v>0.4807558682</x:v>
      </x:c>
      <x:c r="J178" s="31" t="n">
        <x:v>0</x:v>
      </x:c>
      <x:c r="K178" s="31" t="n">
        <x:v>0.4807558682</x:v>
      </x:c>
      <x:c r="L178" s="31" t="n">
        <x:v>0</x:v>
      </x:c>
      <x:c r="M178" s="31" t="n">
        <x:v>0.4807558682</x:v>
      </x:c>
      <x:c r="N178" s="24" t="str">
        <x:v>trachyrincus scabrus</x:v>
      </x:c>
      <x:c r="O178" s="32" t="n">
        <x:v>3.64</x:v>
      </x:c>
      <x:c r="P178" s="24" t="str">
        <x:v>exact_2020_supplement</x:v>
      </x:c>
      <x:c r="Q178" s="32" t="str">
        <x:v>2020 supplement MeanTL</x:v>
      </x:c>
      <x:c r="R178" s="24" t="str">
        <x:v>high</x:v>
      </x:c>
      <x:c r="S178" s="24" t="str">
        <x:v>Trachyrincus scabrus</x:v>
      </x:c>
      <x:c r="T178" s="32" t="n">
        <x:f>IF(O178="","",(1/'Metadata'!$B$5)^(O178-1))</x:f>
        <x:v>436.5158322401661</x:v>
      </x:c>
      <x:c r="U178" s="31" t="n">
        <x:f>IF(T178="","",I178*T178)</x:f>
        <x:v>209.85754791166661</x:v>
      </x:c>
    </x:row>
    <x:row r="179" ht="18" customHeight="1">
      <x:c r="A179" s="24" t="str">
        <x:v>EEZ_620</x:v>
      </x:c>
      <x:c r="B179" s="24" t="str">
        <x:v>Portugal (mainland)</x:v>
      </x:c>
      <x:c r="C179" s="24" t="str">
        <x:v>EEZ</x:v>
      </x:c>
      <x:c r="D179" s="30" t="n">
        <x:v>2019</x:v>
      </x:c>
      <x:c r="E179" s="24" t="str">
        <x:v>Hoplostethus mediterraneus</x:v>
      </x:c>
      <x:c r="F179" s="24" t="str">
        <x:v>Mediterranean slimehead</x:v>
      </x:c>
      <x:c r="G179" s="24" t="str">
        <x:v>Medium benthopelagics (30 - 89 cm)</x:v>
      </x:c>
      <x:c r="H179" s="24" t="str">
        <x:v>Other fishes &amp; inverts</x:v>
      </x:c>
      <x:c r="I179" s="31" t="n">
        <x:v>0.4648282274</x:v>
      </x:c>
      <x:c r="J179" s="31" t="n">
        <x:v>0</x:v>
      </x:c>
      <x:c r="K179" s="31" t="n">
        <x:v>0.4648282274</x:v>
      </x:c>
      <x:c r="L179" s="31" t="n">
        <x:v>0</x:v>
      </x:c>
      <x:c r="M179" s="31" t="n">
        <x:v>0.4648282274</x:v>
      </x:c>
      <x:c r="N179" s="24" t="str">
        <x:v>hoplostethus mediterraneus</x:v>
      </x:c>
      <x:c r="O179" s="32" t="n">
        <x:v>3.49</x:v>
      </x:c>
      <x:c r="P179" s="24" t="str">
        <x:v>exact_2020_supplement</x:v>
      </x:c>
      <x:c r="Q179" s="32" t="str">
        <x:v>2020 supplement MeanTL</x:v>
      </x:c>
      <x:c r="R179" s="24" t="str">
        <x:v>high</x:v>
      </x:c>
      <x:c r="S179" s="24" t="str">
        <x:v>Hoplostethus mediterraneus</x:v>
      </x:c>
      <x:c r="T179" s="32" t="n">
        <x:f>IF(O179="","",(1/'Metadata'!$B$5)^(O179-1))</x:f>
        <x:v>309.0295432513592</x:v>
      </x:c>
      <x:c r="U179" s="31" t="n">
        <x:f>IF(T179="","",I179*T179)</x:f>
        <x:v>143.64565480376095</x:v>
      </x:c>
    </x:row>
    <x:row r="180" ht="18" customHeight="1">
      <x:c r="A180" s="24" t="str">
        <x:v>EEZ_620</x:v>
      </x:c>
      <x:c r="B180" s="24" t="str">
        <x:v>Portugal (mainland)</x:v>
      </x:c>
      <x:c r="C180" s="24" t="str">
        <x:v>EEZ</x:v>
      </x:c>
      <x:c r="D180" s="30" t="n">
        <x:v>2019</x:v>
      </x:c>
      <x:c r="E180" s="24" t="str">
        <x:v>Eledone</x:v>
      </x:c>
      <x:c r="F180" s="24" t="str">
        <x:v>Horned, musky octopuses</x:v>
      </x:c>
      <x:c r="G180" s="24" t="str">
        <x:v>Cephalopods</x:v>
      </x:c>
      <x:c r="H180" s="24" t="str">
        <x:v>Other fishes &amp; inverts</x:v>
      </x:c>
      <x:c r="I180" s="31" t="n">
        <x:v>0.4648282274</x:v>
      </x:c>
      <x:c r="J180" s="31" t="n">
        <x:v>0</x:v>
      </x:c>
      <x:c r="K180" s="31" t="n">
        <x:v>0.4648282274</x:v>
      </x:c>
      <x:c r="L180" s="31" t="n">
        <x:v>0</x:v>
      </x:c>
      <x:c r="M180" s="31" t="n">
        <x:v>0.4648282274</x:v>
      </x:c>
      <x:c r="N180" s="24" t="str">
        <x:v>eledone</x:v>
      </x:c>
      <x:c r="O180" s="32" t="n">
        <x:v>3.67</x:v>
      </x:c>
      <x:c r="P180" s="24" t="str">
        <x:v>exact_sea_around_us</x:v>
      </x:c>
      <x:c r="Q180" s="32" t="str">
        <x:v>Sea Around Us exploited organisms</x:v>
      </x:c>
      <x:c r="R180" s="24" t="str">
        <x:v>high</x:v>
      </x:c>
      <x:c r="S180" s="24" t="str">
        <x:v>Eledone</x:v>
      </x:c>
      <x:c r="T180" s="32" t="n">
        <x:f>IF(O180="","",(1/'Metadata'!$B$5)^(O180-1))</x:f>
        <x:v>467.73514128719813</x:v>
      </x:c>
      <x:c r="U180" s="31" t="n">
        <x:f>IF(T180="","",I180*T180)</x:f>
        <x:v>217.41649661721686</x:v>
      </x:c>
    </x:row>
    <x:row r="181" ht="18" customHeight="1">
      <x:c r="A181" s="24" t="str">
        <x:v>EEZ_620</x:v>
      </x:c>
      <x:c r="B181" s="24" t="str">
        <x:v>Portugal (mainland)</x:v>
      </x:c>
      <x:c r="C181" s="24" t="str">
        <x:v>EEZ</x:v>
      </x:c>
      <x:c r="D181" s="30" t="n">
        <x:v>2019</x:v>
      </x:c>
      <x:c r="E181" s="24" t="str">
        <x:v>Dipturus oxyrinchus</x:v>
      </x:c>
      <x:c r="F181" s="24" t="str">
        <x:v>Longnosed skate</x:v>
      </x:c>
      <x:c r="G181" s="24" t="str">
        <x:v>Large rays (&gt;=90 cm)</x:v>
      </x:c>
      <x:c r="H181" s="24" t="str">
        <x:v>Sharks &amp; rays</x:v>
      </x:c>
      <x:c r="I181" s="31" t="n">
        <x:v>0.4648282274</x:v>
      </x:c>
      <x:c r="J181" s="31" t="n">
        <x:v>0</x:v>
      </x:c>
      <x:c r="K181" s="31" t="n">
        <x:v>0.4648282274</x:v>
      </x:c>
      <x:c r="L181" s="31" t="n">
        <x:v>0</x:v>
      </x:c>
      <x:c r="M181" s="31" t="n">
        <x:v>0.4648282274</x:v>
      </x:c>
      <x:c r="N181" s="24" t="str">
        <x:v>dipturus oxyrinchus</x:v>
      </x:c>
      <x:c r="O181" s="32" t="n">
        <x:v>3.5</x:v>
      </x:c>
      <x:c r="P181" s="24" t="str">
        <x:v>exact_2020_supplement</x:v>
      </x:c>
      <x:c r="Q181" s="32" t="str">
        <x:v>2020 supplement MeanTL</x:v>
      </x:c>
      <x:c r="R181" s="24" t="str">
        <x:v>high</x:v>
      </x:c>
      <x:c r="S181" s="24" t="str">
        <x:v>Dipturus oxyrinchus</x:v>
      </x:c>
      <x:c r="T181" s="32" t="n">
        <x:f>IF(O181="","",(1/'Metadata'!$B$5)^(O181-1))</x:f>
        <x:v>316.22776601683796</x:v>
      </x:c>
      <x:c r="U181" s="31" t="n">
        <x:f>IF(T181="","",I181*T181)</x:f>
        <x:v>146.99159193226876</x:v>
      </x:c>
    </x:row>
    <x:row r="182" ht="18" customHeight="1">
      <x:c r="A182" s="24" t="str">
        <x:v>EEZ_620</x:v>
      </x:c>
      <x:c r="B182" s="24" t="str">
        <x:v>Portugal (mainland)</x:v>
      </x:c>
      <x:c r="C182" s="24" t="str">
        <x:v>EEZ</x:v>
      </x:c>
      <x:c r="D182" s="30" t="n">
        <x:v>2019</x:v>
      </x:c>
      <x:c r="E182" s="24" t="str">
        <x:v>Peristediidae</x:v>
      </x:c>
      <x:c r="F182" s="24" t="str">
        <x:v>Armored searobins, gurnards</x:v>
      </x:c>
      <x:c r="G182" s="24" t="str">
        <x:v>Medium bathydemersals (30 - 89 cm)</x:v>
      </x:c>
      <x:c r="H182" s="24" t="str">
        <x:v>Scorpionfishes</x:v>
      </x:c>
      <x:c r="I182" s="31" t="n">
        <x:v>0.4648282274</x:v>
      </x:c>
      <x:c r="J182" s="31" t="n">
        <x:v>0</x:v>
      </x:c>
      <x:c r="K182" s="31" t="n">
        <x:v>0.4648282274</x:v>
      </x:c>
      <x:c r="L182" s="31" t="n">
        <x:v>0</x:v>
      </x:c>
      <x:c r="M182" s="31" t="n">
        <x:v>0.4648282274</x:v>
      </x:c>
      <x:c r="N182" s="24" t="str">
        <x:v>peristediidae</x:v>
      </x:c>
      <x:c r="O182" s="32" t="n">
        <x:v>3.47</x:v>
      </x:c>
      <x:c r="P182" s="24" t="str">
        <x:v>exact_sea_around_us</x:v>
      </x:c>
      <x:c r="Q182" s="32" t="str">
        <x:v>Sea Around Us exploited organisms</x:v>
      </x:c>
      <x:c r="R182" s="24" t="str">
        <x:v>high</x:v>
      </x:c>
      <x:c r="S182" s="24" t="str">
        <x:v>Peristediidae</x:v>
      </x:c>
      <x:c r="T182" s="32" t="n">
        <x:f>IF(O182="","",(1/'Metadata'!$B$5)^(O182-1))</x:f>
        <x:v>295.1209226666387</x:v>
      </x:c>
      <x:c r="U182" s="31" t="n">
        <x:f>IF(T182="","",I182*T182)</x:f>
        <x:v>137.18053535178615</x:v>
      </x:c>
    </x:row>
    <x:row r="183" ht="18" customHeight="1">
      <x:c r="A183" s="24" t="str">
        <x:v>EEZ_620</x:v>
      </x:c>
      <x:c r="B183" s="24" t="str">
        <x:v>Portugal (mainland)</x:v>
      </x:c>
      <x:c r="C183" s="24" t="str">
        <x:v>EEZ</x:v>
      </x:c>
      <x:c r="D183" s="30" t="n">
        <x:v>2019</x:v>
      </x:c>
      <x:c r="E183" s="24" t="str">
        <x:v>Raja</x:v>
      </x:c>
      <x:c r="F183" s="24" t="str">
        <x:v>Stingrays, skates</x:v>
      </x:c>
      <x:c r="G183" s="24" t="str">
        <x:v>Small to medium rays (&lt;90 cm)</x:v>
      </x:c>
      <x:c r="H183" s="24" t="str">
        <x:v>Sharks &amp; rays</x:v>
      </x:c>
      <x:c r="I183" s="31" t="n">
        <x:v>0.4341646376</x:v>
      </x:c>
      <x:c r="J183" s="31" t="n">
        <x:v>0</x:v>
      </x:c>
      <x:c r="K183" s="31" t="n">
        <x:v>0.4341646376</x:v>
      </x:c>
      <x:c r="L183" s="31" t="n">
        <x:v>0</x:v>
      </x:c>
      <x:c r="M183" s="31" t="n">
        <x:v>0.4341646376</x:v>
      </x:c>
      <x:c r="N183" s="24" t="str">
        <x:v>raja</x:v>
      </x:c>
      <x:c r="O183" s="32" t="n">
        <x:v>3.8</x:v>
      </x:c>
      <x:c r="P183" s="24" t="str">
        <x:v>exact_sea_around_us</x:v>
      </x:c>
      <x:c r="Q183" s="32" t="str">
        <x:v>Sea Around Us exploited organisms</x:v>
      </x:c>
      <x:c r="R183" s="24" t="str">
        <x:v>high</x:v>
      </x:c>
      <x:c r="S183" s="24" t="str">
        <x:v>Raja</x:v>
      </x:c>
      <x:c r="T183" s="32" t="n">
        <x:f>IF(O183="","",(1/'Metadata'!$B$5)^(O183-1))</x:f>
        <x:v>630.957344480193</x:v>
      </x:c>
      <x:c r="U183" s="31" t="n">
        <x:f>IF(T183="","",I183*T183)</x:f>
        <x:v>273.9393668073014</x:v>
      </x:c>
    </x:row>
    <x:row r="184" ht="18" customHeight="1">
      <x:c r="A184" s="24" t="str">
        <x:v>EEZ_620</x:v>
      </x:c>
      <x:c r="B184" s="24" t="str">
        <x:v>Portugal (mainland)</x:v>
      </x:c>
      <x:c r="C184" s="24" t="str">
        <x:v>EEZ</x:v>
      </x:c>
      <x:c r="D184" s="30" t="n">
        <x:v>2019</x:v>
      </x:c>
      <x:c r="E184" s="24" t="str">
        <x:v>Caranx hippos</x:v>
      </x:c>
      <x:c r="F184" s="24" t="str">
        <x:v>Crevalle jack</x:v>
      </x:c>
      <x:c r="G184" s="24" t="str">
        <x:v>Large reef assoc. fish (&gt;=90 cm)</x:v>
      </x:c>
      <x:c r="H184" s="24" t="str">
        <x:v>Perch-likes</x:v>
      </x:c>
      <x:c r="I184" s="31" t="n">
        <x:v>0.4230121642</x:v>
      </x:c>
      <x:c r="J184" s="31" t="n">
        <x:v>0.4230121642</x:v>
      </x:c>
      <x:c r="K184" s="31" t="n">
        <x:v>0</x:v>
      </x:c>
      <x:c r="L184" s="31" t="n">
        <x:v>0.4230121642</x:v>
      </x:c>
      <x:c r="M184" s="31" t="n">
        <x:v>0</x:v>
      </x:c>
      <x:c r="N184" s="24" t="str">
        <x:v>caranx hippos</x:v>
      </x:c>
      <x:c r="O184" s="32" t="n">
        <x:v>3.56</x:v>
      </x:c>
      <x:c r="P184" s="24" t="str">
        <x:v>exact_2020_supplement</x:v>
      </x:c>
      <x:c r="Q184" s="32" t="str">
        <x:v>2020 supplement MeanTL</x:v>
      </x:c>
      <x:c r="R184" s="24" t="str">
        <x:v>high</x:v>
      </x:c>
      <x:c r="S184" s="24" t="str">
        <x:v>Caranx hippos</x:v>
      </x:c>
      <x:c r="T184" s="32" t="n">
        <x:f>IF(O184="","",(1/'Metadata'!$B$5)^(O184-1))</x:f>
        <x:v>363.0780547701014</x:v>
      </x:c>
      <x:c r="U184" s="31" t="n">
        <x:f>IF(T184="","",I184*T184)</x:f>
        <x:v>153.58643372182672</x:v>
      </x:c>
    </x:row>
    <x:row r="185" ht="18" customHeight="1">
      <x:c r="A185" s="24" t="str">
        <x:v>EEZ_620</x:v>
      </x:c>
      <x:c r="B185" s="24" t="str">
        <x:v>Portugal (mainland)</x:v>
      </x:c>
      <x:c r="C185" s="24" t="str">
        <x:v>EEZ</x:v>
      </x:c>
      <x:c r="D185" s="30" t="n">
        <x:v>2019</x:v>
      </x:c>
      <x:c r="E185" s="24" t="str">
        <x:v>Gempylidae</x:v>
      </x:c>
      <x:c r="F185" s="24" t="str">
        <x:v>Snake mackerels</x:v>
      </x:c>
      <x:c r="G185" s="24" t="str">
        <x:v>Large benthopelagics (&gt;=90 cm)</x:v>
      </x:c>
      <x:c r="H185" s="24" t="str">
        <x:v>Perch-likes</x:v>
      </x:c>
      <x:c r="I185" s="31" t="n">
        <x:v>0.4206613847</x:v>
      </x:c>
      <x:c r="J185" s="31" t="n">
        <x:v>0</x:v>
      </x:c>
      <x:c r="K185" s="31" t="n">
        <x:v>0.4206613847</x:v>
      </x:c>
      <x:c r="L185" s="31" t="n">
        <x:v>0</x:v>
      </x:c>
      <x:c r="M185" s="31" t="n">
        <x:v>0.4206613847</x:v>
      </x:c>
      <x:c r="N185" s="24" t="str">
        <x:v>gempylidae</x:v>
      </x:c>
      <x:c r="O185" s="32" t="n">
        <x:v>4.21</x:v>
      </x:c>
      <x:c r="P185" s="24" t="str">
        <x:v>exact_sea_around_us</x:v>
      </x:c>
      <x:c r="Q185" s="32" t="str">
        <x:v>Sea Around Us exploited organisms</x:v>
      </x:c>
      <x:c r="R185" s="24" t="str">
        <x:v>high</x:v>
      </x:c>
      <x:c r="S185" s="24" t="str">
        <x:v>Gempylidae</x:v>
      </x:c>
      <x:c r="T185" s="32" t="n">
        <x:f>IF(O185="","",(1/'Metadata'!$B$5)^(O185-1))</x:f>
        <x:v>1621.8100973589299</x:v>
      </x:c>
      <x:c r="U185" s="31" t="n">
        <x:f>IF(T185="","",I185*T185)</x:f>
        <x:v>682.2328812754492</x:v>
      </x:c>
    </x:row>
    <x:row r="186" ht="18" customHeight="1">
      <x:c r="A186" s="24" t="str">
        <x:v>EEZ_620</x:v>
      </x:c>
      <x:c r="B186" s="24" t="str">
        <x:v>Portugal (mainland)</x:v>
      </x:c>
      <x:c r="C186" s="24" t="str">
        <x:v>EEZ</x:v>
      </x:c>
      <x:c r="D186" s="30" t="n">
        <x:v>2019</x:v>
      </x:c>
      <x:c r="E186" s="24" t="str">
        <x:v>Cardiidae</x:v>
      </x:c>
      <x:c r="F186" s="24" t="str">
        <x:v>Cockles</x:v>
      </x:c>
      <x:c r="G186" s="24" t="str">
        <x:v>Other demersal invertebrates</x:v>
      </x:c>
      <x:c r="H186" s="24" t="str">
        <x:v>Molluscs</x:v>
      </x:c>
      <x:c r="I186" s="31" t="n">
        <x:v>0.4111819077</x:v>
      </x:c>
      <x:c r="J186" s="31" t="n">
        <x:v>0</x:v>
      </x:c>
      <x:c r="K186" s="31" t="n">
        <x:v>0.4111819077</x:v>
      </x:c>
      <x:c r="L186" s="31" t="n">
        <x:v>0</x:v>
      </x:c>
      <x:c r="M186" s="31" t="n">
        <x:v>0.4111819077</x:v>
      </x:c>
      <x:c r="N186" s="24" t="str">
        <x:v>cardiidae</x:v>
      </x:c>
      <x:c r="O186" s="32" t="n">
        <x:v>2</x:v>
      </x:c>
      <x:c r="P186" s="24" t="str">
        <x:v>exact_sea_around_us</x:v>
      </x:c>
      <x:c r="Q186" s="32" t="str">
        <x:v>Sea Around Us exploited organisms</x:v>
      </x:c>
      <x:c r="R186" s="24" t="str">
        <x:v>high</x:v>
      </x:c>
      <x:c r="S186" s="24" t="str">
        <x:v>Cardiidae</x:v>
      </x:c>
      <x:c r="T186" s="32" t="n">
        <x:f>IF(O186="","",(1/'Metadata'!$B$5)^(O186-1))</x:f>
        <x:v>10</x:v>
      </x:c>
      <x:c r="U186" s="31" t="n">
        <x:f>IF(T186="","",I186*T186)</x:f>
        <x:v>4.111819077</x:v>
      </x:c>
    </x:row>
    <x:row r="187" ht="18" customHeight="1">
      <x:c r="A187" s="24" t="str">
        <x:v>EEZ_620</x:v>
      </x:c>
      <x:c r="B187" s="24" t="str">
        <x:v>Portugal (mainland)</x:v>
      </x:c>
      <x:c r="C187" s="24" t="str">
        <x:v>EEZ</x:v>
      </x:c>
      <x:c r="D187" s="30" t="n">
        <x:v>2019</x:v>
      </x:c>
      <x:c r="E187" s="24" t="str">
        <x:v>Marine finfishes not identified</x:v>
      </x:c>
      <x:c r="F187" s="24" t="str">
        <x:v>Finfishes</x:v>
      </x:c>
      <x:c r="G187" s="24" t="str">
        <x:v>Medium demersals (30 - 89 cm)</x:v>
      </x:c>
      <x:c r="H187" s="24" t="str">
        <x:v>Other fishes &amp; inverts</x:v>
      </x:c>
      <x:c r="I187" s="31" t="n">
        <x:v>0.386438247</x:v>
      </x:c>
      <x:c r="J187" s="31" t="n">
        <x:v>0.386438247</x:v>
      </x:c>
      <x:c r="K187" s="31" t="n">
        <x:v>0</x:v>
      </x:c>
      <x:c r="L187" s="31" t="n">
        <x:v>0.386438247</x:v>
      </x:c>
      <x:c r="M187" s="31" t="n">
        <x:v>0</x:v>
      </x:c>
      <x:c r="N187" s="24" t="str">
        <x:v>marine finfishes not identified</x:v>
      </x:c>
      <x:c r="O187" s="32" t="n">
        <x:v>3.23</x:v>
      </x:c>
      <x:c r="P187" s="24" t="str">
        <x:v>exact_sea_around_us</x:v>
      </x:c>
      <x:c r="Q187" s="32" t="str">
        <x:v>Sea Around Us exploited organisms</x:v>
      </x:c>
      <x:c r="R187" s="24" t="str">
        <x:v>high</x:v>
      </x:c>
      <x:c r="S187" s="24" t="str">
        <x:v>Marine finfishes not identified</x:v>
      </x:c>
      <x:c r="T187" s="32" t="n">
        <x:f>IF(O187="","",(1/'Metadata'!$B$5)^(O187-1))</x:f>
        <x:v>169.82436524617444</x:v>
      </x:c>
      <x:c r="U187" s="31" t="n">
        <x:f>IF(T187="","",I187*T187)</x:f>
        <x:v>65.62663000361937</x:v>
      </x:c>
    </x:row>
    <x:row r="188" ht="18" customHeight="1">
      <x:c r="A188" s="24" t="str">
        <x:v>EEZ_620</x:v>
      </x:c>
      <x:c r="B188" s="24" t="str">
        <x:v>Portugal (mainland)</x:v>
      </x:c>
      <x:c r="C188" s="24" t="str">
        <x:v>EEZ</x:v>
      </x:c>
      <x:c r="D188" s="30" t="n">
        <x:v>2019</x:v>
      </x:c>
      <x:c r="E188" s="24" t="str">
        <x:v>Microchirus variegatus</x:v>
      </x:c>
      <x:c r="F188" s="24" t="str">
        <x:v>Thickback sole</x:v>
      </x:c>
      <x:c r="G188" s="24" t="str">
        <x:v>Small to medium flatfishes (&lt;90 cm)</x:v>
      </x:c>
      <x:c r="H188" s="24" t="str">
        <x:v>Flatfishes</x:v>
      </x:c>
      <x:c r="I188" s="31" t="n">
        <x:v>0.3568492339</x:v>
      </x:c>
      <x:c r="J188" s="31" t="n">
        <x:v>0</x:v>
      </x:c>
      <x:c r="K188" s="31" t="n">
        <x:v>0.3568492339</x:v>
      </x:c>
      <x:c r="L188" s="31" t="n">
        <x:v>0</x:v>
      </x:c>
      <x:c r="M188" s="31" t="n">
        <x:v>0.3568492339</x:v>
      </x:c>
      <x:c r="N188" s="24" t="str">
        <x:v>microchirus variegatus</x:v>
      </x:c>
      <x:c r="O188" s="32" t="n">
        <x:v>3.28</x:v>
      </x:c>
      <x:c r="P188" s="24" t="str">
        <x:v>exact_2020_supplement</x:v>
      </x:c>
      <x:c r="Q188" s="32" t="str">
        <x:v>2020 supplement MeanTL</x:v>
      </x:c>
      <x:c r="R188" s="24" t="str">
        <x:v>high</x:v>
      </x:c>
      <x:c r="S188" s="24" t="str">
        <x:v>Microchirus variegatus</x:v>
      </x:c>
      <x:c r="T188" s="32" t="n">
        <x:f>IF(O188="","",(1/'Metadata'!$B$5)^(O188-1))</x:f>
        <x:v>190.54607179632464</x:v>
      </x:c>
      <x:c r="U188" s="31" t="n">
        <x:f>IF(T188="","",I188*T188)</x:f>
        <x:v>67.99621974317284</x:v>
      </x:c>
    </x:row>
    <x:row r="189" ht="18" customHeight="1">
      <x:c r="A189" s="24" t="str">
        <x:v>EEZ_620</x:v>
      </x:c>
      <x:c r="B189" s="24" t="str">
        <x:v>Portugal (mainland)</x:v>
      </x:c>
      <x:c r="C189" s="24" t="str">
        <x:v>EEZ</x:v>
      </x:c>
      <x:c r="D189" s="30" t="n">
        <x:v>2019</x:v>
      </x:c>
      <x:c r="E189" s="24" t="str">
        <x:v>Scymnodon ringens</x:v>
      </x:c>
      <x:c r="F189" s="24" t="str">
        <x:v>Knifetooth dogfish</x:v>
      </x:c>
      <x:c r="G189" s="24" t="str">
        <x:v>Small to medium sharks (&lt;90 cm)</x:v>
      </x:c>
      <x:c r="H189" s="24" t="str">
        <x:v>Sharks &amp; rays</x:v>
      </x:c>
      <x:c r="I189" s="31" t="n">
        <x:v>0.3004724176</x:v>
      </x:c>
      <x:c r="J189" s="31" t="n">
        <x:v>0</x:v>
      </x:c>
      <x:c r="K189" s="31" t="n">
        <x:v>0.3004724176</x:v>
      </x:c>
      <x:c r="L189" s="31" t="n">
        <x:v>0</x:v>
      </x:c>
      <x:c r="M189" s="31" t="n">
        <x:v>0.3004724176</x:v>
      </x:c>
      <x:c r="N189" s="24" t="str">
        <x:v>scymnodon ringens</x:v>
      </x:c>
      <x:c r="O189" s="32" t="n">
        <x:v>3.88</x:v>
      </x:c>
      <x:c r="P189" s="24" t="str">
        <x:v>exact_2020_supplement</x:v>
      </x:c>
      <x:c r="Q189" s="32" t="str">
        <x:v>2020 supplement MeanTL</x:v>
      </x:c>
      <x:c r="R189" s="24" t="str">
        <x:v>high</x:v>
      </x:c>
      <x:c r="S189" s="24" t="str">
        <x:v>Scymnodon ringens</x:v>
      </x:c>
      <x:c r="T189" s="32" t="n">
        <x:f>IF(O189="","",(1/'Metadata'!$B$5)^(O189-1))</x:f>
        <x:v>758.5775750291835</x:v>
      </x:c>
      <x:c r="U189" s="31" t="n">
        <x:f>IF(T189="","",I189*T189)</x:f>
        <x:v>227.93163790616416</x:v>
      </x:c>
    </x:row>
    <x:row r="190" ht="18" customHeight="1">
      <x:c r="A190" s="24" t="str">
        <x:v>EEZ_620</x:v>
      </x:c>
      <x:c r="B190" s="24" t="str">
        <x:v>Portugal (mainland)</x:v>
      </x:c>
      <x:c r="C190" s="24" t="str">
        <x:v>EEZ</x:v>
      </x:c>
      <x:c r="D190" s="30" t="n">
        <x:v>2019</x:v>
      </x:c>
      <x:c r="E190" s="24" t="str">
        <x:v>Lophiidae</x:v>
      </x:c>
      <x:c r="F190" s="24" t="str">
        <x:v>Goosefishes</x:v>
      </x:c>
      <x:c r="G190" s="24" t="str">
        <x:v>Medium bathydemersals (30 - 89 cm)</x:v>
      </x:c>
      <x:c r="H190" s="24" t="str">
        <x:v>Other fishes &amp; inverts</x:v>
      </x:c>
      <x:c r="I190" s="31" t="n">
        <x:v>0.28070148390000005</x:v>
      </x:c>
      <x:c r="J190" s="31" t="n">
        <x:v>0.28070148390000005</x:v>
      </x:c>
      <x:c r="K190" s="31" t="n">
        <x:v>0</x:v>
      </x:c>
      <x:c r="L190" s="31" t="n">
        <x:v>0.28070148390000005</x:v>
      </x:c>
      <x:c r="M190" s="31" t="n">
        <x:v>0</x:v>
      </x:c>
      <x:c r="N190" s="24" t="str">
        <x:v>lophiidae</x:v>
      </x:c>
      <x:c r="O190" s="32" t="n">
        <x:v>4.46</x:v>
      </x:c>
      <x:c r="P190" s="24" t="str">
        <x:v>exact_sea_around_us</x:v>
      </x:c>
      <x:c r="Q190" s="32" t="str">
        <x:v>Sea Around Us exploited organisms</x:v>
      </x:c>
      <x:c r="R190" s="24" t="str">
        <x:v>high</x:v>
      </x:c>
      <x:c r="S190" s="24" t="str">
        <x:v>Lophiidae</x:v>
      </x:c>
      <x:c r="T190" s="32" t="n">
        <x:f>IF(O190="","",(1/'Metadata'!$B$5)^(O190-1))</x:f>
        <x:v>2884.031503126606</x:v>
      </x:c>
      <x:c r="U190" s="31" t="n">
        <x:f>IF(T190="","",I190*T190)</x:f>
        <x:v>809.551922541986</x:v>
      </x:c>
    </x:row>
    <x:row r="191" ht="18" customHeight="1">
      <x:c r="A191" s="24" t="str">
        <x:v>EEZ_620</x:v>
      </x:c>
      <x:c r="B191" s="24" t="str">
        <x:v>Portugal (mainland)</x:v>
      </x:c>
      <x:c r="C191" s="24" t="str">
        <x:v>EEZ</x:v>
      </x:c>
      <x:c r="D191" s="30" t="n">
        <x:v>2019</x:v>
      </x:c>
      <x:c r="E191" s="24" t="str">
        <x:v>Serranus hepatus</x:v>
      </x:c>
      <x:c r="F191" s="24" t="str">
        <x:v>Brown comber</x:v>
      </x:c>
      <x:c r="G191" s="24" t="str">
        <x:v>Small demersals (&lt;30 cm)</x:v>
      </x:c>
      <x:c r="H191" s="24" t="str">
        <x:v>Perch-likes</x:v>
      </x:c>
      <x:c r="I191" s="31" t="n">
        <x:v>0.24729346430000002</x:v>
      </x:c>
      <x:c r="J191" s="31" t="n">
        <x:v>0</x:v>
      </x:c>
      <x:c r="K191" s="31" t="n">
        <x:v>0.24729346430000002</x:v>
      </x:c>
      <x:c r="L191" s="31" t="n">
        <x:v>0</x:v>
      </x:c>
      <x:c r="M191" s="31" t="n">
        <x:v>0.24729346430000002</x:v>
      </x:c>
      <x:c r="N191" s="24" t="str">
        <x:v>serranus hepatus</x:v>
      </x:c>
      <x:c r="O191" s="32" t="n">
        <x:v>3.47</x:v>
      </x:c>
      <x:c r="P191" s="24" t="str">
        <x:v>exact_2020_supplement</x:v>
      </x:c>
      <x:c r="Q191" s="32" t="str">
        <x:v>2020 supplement MeanTL</x:v>
      </x:c>
      <x:c r="R191" s="24" t="str">
        <x:v>high</x:v>
      </x:c>
      <x:c r="S191" s="24" t="str">
        <x:v>Serranus hepatus</x:v>
      </x:c>
      <x:c r="T191" s="32" t="n">
        <x:f>IF(O191="","",(1/'Metadata'!$B$5)^(O191-1))</x:f>
        <x:v>295.1209226666387</x:v>
      </x:c>
      <x:c r="U191" s="31" t="n">
        <x:f>IF(T191="","",I191*T191)</x:f>
        <x:v>72.98147535364548</x:v>
      </x:c>
    </x:row>
    <x:row r="192" ht="18" customHeight="1">
      <x:c r="A192" s="24" t="str">
        <x:v>EEZ_620</x:v>
      </x:c>
      <x:c r="B192" s="24" t="str">
        <x:v>Portugal (mainland)</x:v>
      </x:c>
      <x:c r="C192" s="24" t="str">
        <x:v>EEZ</x:v>
      </x:c>
      <x:c r="D192" s="30" t="n">
        <x:v>2019</x:v>
      </x:c>
      <x:c r="E192" s="24" t="str">
        <x:v>Dentex dentex</x:v>
      </x:c>
      <x:c r="F192" s="24" t="str">
        <x:v>Common dentex</x:v>
      </x:c>
      <x:c r="G192" s="24" t="str">
        <x:v>Large benthopelagics (&gt;=90 cm)</x:v>
      </x:c>
      <x:c r="H192" s="24" t="str">
        <x:v>Perch-likes</x:v>
      </x:c>
      <x:c r="I192" s="31" t="n">
        <x:v>0.2412361918</x:v>
      </x:c>
      <x:c r="J192" s="31" t="n">
        <x:v>0</x:v>
      </x:c>
      <x:c r="K192" s="31" t="n">
        <x:v>0.2412361918</x:v>
      </x:c>
      <x:c r="L192" s="31" t="n">
        <x:v>0</x:v>
      </x:c>
      <x:c r="M192" s="31" t="n">
        <x:v>0.2412361918</x:v>
      </x:c>
      <x:c r="N192" s="24" t="str">
        <x:v>dentex dentex</x:v>
      </x:c>
      <x:c r="O192" s="32" t="n">
        <x:v>4.53</x:v>
      </x:c>
      <x:c r="P192" s="24" t="str">
        <x:v>exact_2020_supplement</x:v>
      </x:c>
      <x:c r="Q192" s="32" t="str">
        <x:v>2020 supplement MeanTL</x:v>
      </x:c>
      <x:c r="R192" s="24" t="str">
        <x:v>high</x:v>
      </x:c>
      <x:c r="S192" s="24" t="str">
        <x:v>Dentex dentex</x:v>
      </x:c>
      <x:c r="T192" s="32" t="n">
        <x:f>IF(O192="","",(1/'Metadata'!$B$5)^(O192-1))</x:f>
        <x:v>3388.4415613920273</x:v>
      </x:c>
      <x:c r="U192" s="31" t="n">
        <x:f>IF(T192="","",I192*T192)</x:f>
        <x:v>817.4147384070586</x:v>
      </x:c>
    </x:row>
    <x:row r="193" ht="18" customHeight="1">
      <x:c r="A193" s="24" t="str">
        <x:v>EEZ_620</x:v>
      </x:c>
      <x:c r="B193" s="24" t="str">
        <x:v>Portugal (mainland)</x:v>
      </x:c>
      <x:c r="C193" s="24" t="str">
        <x:v>EEZ</x:v>
      </x:c>
      <x:c r="D193" s="30" t="n">
        <x:v>2019</x:v>
      </x:c>
      <x:c r="E193" s="24" t="str">
        <x:v>Paracentrotus lividus</x:v>
      </x:c>
      <x:c r="F193" s="24" t="str">
        <x:v>Stony sea urchin</x:v>
      </x:c>
      <x:c r="G193" s="24" t="str">
        <x:v>Other demersal invertebrates</x:v>
      </x:c>
      <x:c r="H193" s="24" t="str">
        <x:v>Other fishes &amp; inverts</x:v>
      </x:c>
      <x:c r="I193" s="31" t="n">
        <x:v>0.2407633629</x:v>
      </x:c>
      <x:c r="J193" s="31" t="n">
        <x:v>0.0162465111</x:v>
      </x:c>
      <x:c r="K193" s="31" t="n">
        <x:v>0.2245168518</x:v>
      </x:c>
      <x:c r="L193" s="31" t="n">
        <x:v>0.0162465111</x:v>
      </x:c>
      <x:c r="M193" s="31" t="n">
        <x:v>0.2245168518</x:v>
      </x:c>
      <x:c r="N193" s="24" t="str">
        <x:v>paracentrotus lividus</x:v>
      </x:c>
      <x:c r="O193" s="32" t="n">
        <x:v>2.3</x:v>
      </x:c>
      <x:c r="P193" s="24" t="str">
        <x:v>exact_sea_around_us</x:v>
      </x:c>
      <x:c r="Q193" s="32" t="str">
        <x:v>Sea Around Us exploited organisms</x:v>
      </x:c>
      <x:c r="R193" s="24" t="str">
        <x:v>high</x:v>
      </x:c>
      <x:c r="S193" s="24" t="str">
        <x:v>Paracentrotus lividus</x:v>
      </x:c>
      <x:c r="T193" s="32" t="n">
        <x:f>IF(O193="","",(1/'Metadata'!$B$5)^(O193-1))</x:f>
        <x:v>19.952623149688787</x:v>
      </x:c>
      <x:c r="U193" s="31" t="n">
        <x:f>IF(T193="","",I193*T193)</x:f>
        <x:v>4.803860648195462</x:v>
      </x:c>
    </x:row>
    <x:row r="194" ht="18" customHeight="1">
      <x:c r="A194" s="24" t="str">
        <x:v>EEZ_620</x:v>
      </x:c>
      <x:c r="B194" s="24" t="str">
        <x:v>Portugal (mainland)</x:v>
      </x:c>
      <x:c r="C194" s="24" t="str">
        <x:v>EEZ</x:v>
      </x:c>
      <x:c r="D194" s="30" t="n">
        <x:v>2019</x:v>
      </x:c>
      <x:c r="E194" s="24" t="str">
        <x:v>Alepisaurus ferox</x:v>
      </x:c>
      <x:c r="F194" s="24" t="str">
        <x:v>Long snouted lancetfish</x:v>
      </x:c>
      <x:c r="G194" s="24" t="str">
        <x:v>Large bathypelagics (&gt;=90 cm)</x:v>
      </x:c>
      <x:c r="H194" s="24" t="str">
        <x:v>Other fishes &amp; inverts</x:v>
      </x:c>
      <x:c r="I194" s="31" t="n">
        <x:v>0.2403779341</x:v>
      </x:c>
      <x:c r="J194" s="31" t="n">
        <x:v>0</x:v>
      </x:c>
      <x:c r="K194" s="31" t="n">
        <x:v>0.2403779341</x:v>
      </x:c>
      <x:c r="L194" s="31" t="n">
        <x:v>0</x:v>
      </x:c>
      <x:c r="M194" s="31" t="n">
        <x:v>0.2403779341</x:v>
      </x:c>
      <x:c r="N194" s="24" t="str">
        <x:v>alepisaurus ferox</x:v>
      </x:c>
      <x:c r="O194" s="32" t="n">
        <x:v>4.03</x:v>
      </x:c>
      <x:c r="P194" s="24" t="str">
        <x:v>exact_2020_supplement</x:v>
      </x:c>
      <x:c r="Q194" s="32" t="str">
        <x:v>2020 supplement MeanTL</x:v>
      </x:c>
      <x:c r="R194" s="24" t="str">
        <x:v>high</x:v>
      </x:c>
      <x:c r="S194" s="24" t="str">
        <x:v>Alepisaurus ferox</x:v>
      </x:c>
      <x:c r="T194" s="32" t="n">
        <x:f>IF(O194="","",(1/'Metadata'!$B$5)^(O194-1))</x:f>
        <x:v>1071.519305237607</x:v>
      </x:c>
      <x:c r="U194" s="31" t="n">
        <x:f>IF(T194="","",I194*T194)</x:f>
        <x:v>257.5695969412833</x:v>
      </x:c>
    </x:row>
    <x:row r="195" ht="18" customHeight="1">
      <x:c r="A195" s="24" t="str">
        <x:v>EEZ_620</x:v>
      </x:c>
      <x:c r="B195" s="24" t="str">
        <x:v>Portugal (mainland)</x:v>
      </x:c>
      <x:c r="C195" s="24" t="str">
        <x:v>EEZ</x:v>
      </x:c>
      <x:c r="D195" s="30" t="n">
        <x:v>2019</x:v>
      </x:c>
      <x:c r="E195" s="24" t="str">
        <x:v>Trachinus</x:v>
      </x:c>
      <x:c r="F195" s="24" t="str">
        <x:v>Weevers</x:v>
      </x:c>
      <x:c r="G195" s="24" t="str">
        <x:v>Medium demersals (30 - 89 cm)</x:v>
      </x:c>
      <x:c r="H195" s="24" t="str">
        <x:v>Perch-likes</x:v>
      </x:c>
      <x:c r="I195" s="31" t="n">
        <x:v>0.2181254832</x:v>
      </x:c>
      <x:c r="J195" s="31" t="n">
        <x:v>0</x:v>
      </x:c>
      <x:c r="K195" s="31" t="n">
        <x:v>0.2181254832</x:v>
      </x:c>
      <x:c r="L195" s="31" t="n">
        <x:v>0</x:v>
      </x:c>
      <x:c r="M195" s="31" t="n">
        <x:v>0.2181254832</x:v>
      </x:c>
      <x:c r="N195" s="24" t="str">
        <x:v>trachinus</x:v>
      </x:c>
      <x:c r="O195" s="32" t="n">
        <x:v>3.95</x:v>
      </x:c>
      <x:c r="P195" s="24" t="str">
        <x:v>exact_sea_around_us</x:v>
      </x:c>
      <x:c r="Q195" s="32" t="str">
        <x:v>Sea Around Us exploited organisms</x:v>
      </x:c>
      <x:c r="R195" s="24" t="str">
        <x:v>high</x:v>
      </x:c>
      <x:c r="S195" s="24" t="str">
        <x:v>Trachinus</x:v>
      </x:c>
      <x:c r="T195" s="32" t="n">
        <x:f>IF(O195="","",(1/'Metadata'!$B$5)^(O195-1))</x:f>
        <x:v>891.2509381337459</x:v>
      </x:c>
      <x:c r="U195" s="31" t="n">
        <x:f>IF(T195="","",I195*T195)</x:f>
        <x:v>194.40454153287664</x:v>
      </x:c>
    </x:row>
    <x:row r="196" ht="18" customHeight="1">
      <x:c r="A196" s="24" t="str">
        <x:v>EEZ_620</x:v>
      </x:c>
      <x:c r="B196" s="24" t="str">
        <x:v>Portugal (mainland)</x:v>
      </x:c>
      <x:c r="C196" s="24" t="str">
        <x:v>EEZ</x:v>
      </x:c>
      <x:c r="D196" s="30" t="n">
        <x:v>2019</x:v>
      </x:c>
      <x:c r="E196" s="24" t="str">
        <x:v>Lepidorhombus boscii</x:v>
      </x:c>
      <x:c r="F196" s="24" t="str">
        <x:v>Four-spot megrim</x:v>
      </x:c>
      <x:c r="G196" s="24" t="str">
        <x:v>Small to medium flatfishes (&lt;90 cm)</x:v>
      </x:c>
      <x:c r="H196" s="24" t="str">
        <x:v>Flatfishes</x:v>
      </x:c>
      <x:c r="I196" s="31" t="n">
        <x:v>0.1884580123</x:v>
      </x:c>
      <x:c r="J196" s="31" t="n">
        <x:v>0</x:v>
      </x:c>
      <x:c r="K196" s="31" t="n">
        <x:v>0.1884580123</x:v>
      </x:c>
      <x:c r="L196" s="31" t="n">
        <x:v>0</x:v>
      </x:c>
      <x:c r="M196" s="31" t="n">
        <x:v>0.1884580123</x:v>
      </x:c>
      <x:c r="N196" s="24" t="str">
        <x:v>lepidorhombus boscii</x:v>
      </x:c>
      <x:c r="O196" s="32" t="n">
        <x:v>3.74</x:v>
      </x:c>
      <x:c r="P196" s="24" t="str">
        <x:v>exact_2020_supplement</x:v>
      </x:c>
      <x:c r="Q196" s="32" t="str">
        <x:v>2020 supplement MeanTL</x:v>
      </x:c>
      <x:c r="R196" s="24" t="str">
        <x:v>high</x:v>
      </x:c>
      <x:c r="S196" s="24" t="str">
        <x:v>Lepidorhombus boscii</x:v>
      </x:c>
      <x:c r="T196" s="32" t="n">
        <x:f>IF(O196="","",(1/'Metadata'!$B$5)^(O196-1))</x:f>
        <x:v>549.5408738576248</x:v>
      </x:c>
      <x:c r="U196" s="31" t="n">
        <x:f>IF(T196="","",I196*T196)</x:f>
        <x:v>103.565380764813</x:v>
      </x:c>
    </x:row>
    <x:row r="197" ht="18" customHeight="1">
      <x:c r="A197" s="24" t="str">
        <x:v>EEZ_620</x:v>
      </x:c>
      <x:c r="B197" s="24" t="str">
        <x:v>Portugal (mainland)</x:v>
      </x:c>
      <x:c r="C197" s="24" t="str">
        <x:v>EEZ</x:v>
      </x:c>
      <x:c r="D197" s="30" t="n">
        <x:v>2019</x:v>
      </x:c>
      <x:c r="E197" s="24" t="str">
        <x:v>Centroscymnus coelolepis</x:v>
      </x:c>
      <x:c r="F197" s="24" t="str">
        <x:v>Portuguese dogfish</x:v>
      </x:c>
      <x:c r="G197" s="24" t="str">
        <x:v>Large sharks (&gt;=90 cm)</x:v>
      </x:c>
      <x:c r="H197" s="24" t="str">
        <x:v>Sharks &amp; rays</x:v>
      </x:c>
      <x:c r="I197" s="31" t="n">
        <x:v>0.1802834506</x:v>
      </x:c>
      <x:c r="J197" s="31" t="n">
        <x:v>0</x:v>
      </x:c>
      <x:c r="K197" s="31" t="n">
        <x:v>0.1802834506</x:v>
      </x:c>
      <x:c r="L197" s="31" t="n">
        <x:v>0</x:v>
      </x:c>
      <x:c r="M197" s="31" t="n">
        <x:v>0.1802834506</x:v>
      </x:c>
      <x:c r="N197" s="24" t="str">
        <x:v>centroscymnus coelolepis</x:v>
      </x:c>
      <x:c r="O197" s="32" t="n">
        <x:v>4.48</x:v>
      </x:c>
      <x:c r="P197" s="24" t="str">
        <x:v>exact_2020_supplement</x:v>
      </x:c>
      <x:c r="Q197" s="32" t="str">
        <x:v>2020 supplement MeanTL</x:v>
      </x:c>
      <x:c r="R197" s="24" t="str">
        <x:v>high</x:v>
      </x:c>
      <x:c r="S197" s="24" t="str">
        <x:v>Centroscymnus coelolepis</x:v>
      </x:c>
      <x:c r="T197" s="32" t="n">
        <x:f>IF(O197="","",(1/'Metadata'!$B$5)^(O197-1))</x:f>
        <x:v>3019.951720402019</x:v>
      </x:c>
      <x:c r="U197" s="31" t="n">
        <x:f>IF(T197="","",I197*T197)</x:f>
        <x:v>544.4473167994825</x:v>
      </x:c>
    </x:row>
    <x:row r="198" ht="18" customHeight="1">
      <x:c r="A198" s="24" t="str">
        <x:v>EEZ_620</x:v>
      </x:c>
      <x:c r="B198" s="24" t="str">
        <x:v>Portugal (mainland)</x:v>
      </x:c>
      <x:c r="C198" s="24" t="str">
        <x:v>EEZ</x:v>
      </x:c>
      <x:c r="D198" s="30" t="n">
        <x:v>2019</x:v>
      </x:c>
      <x:c r="E198" s="24" t="str">
        <x:v>Centrophorus granulosus</x:v>
      </x:c>
      <x:c r="F198" s="24" t="str">
        <x:v>Gulper shark</x:v>
      </x:c>
      <x:c r="G198" s="24" t="str">
        <x:v>Large sharks (&gt;=90 cm)</x:v>
      </x:c>
      <x:c r="H198" s="24" t="str">
        <x:v>Sharks &amp; rays</x:v>
      </x:c>
      <x:c r="I198" s="31" t="n">
        <x:v>0.1802834506</x:v>
      </x:c>
      <x:c r="J198" s="31" t="n">
        <x:v>0</x:v>
      </x:c>
      <x:c r="K198" s="31" t="n">
        <x:v>0.1802834506</x:v>
      </x:c>
      <x:c r="L198" s="31" t="n">
        <x:v>0</x:v>
      </x:c>
      <x:c r="M198" s="31" t="n">
        <x:v>0.1802834506</x:v>
      </x:c>
      <x:c r="N198" s="24" t="str">
        <x:v>centrophorus granulosus</x:v>
      </x:c>
      <x:c r="O198" s="32" t="n">
        <x:v>4.11</x:v>
      </x:c>
      <x:c r="P198" s="24" t="str">
        <x:v>exact_2020_supplement</x:v>
      </x:c>
      <x:c r="Q198" s="32" t="str">
        <x:v>2020 supplement MeanTL</x:v>
      </x:c>
      <x:c r="R198" s="24" t="str">
        <x:v>high</x:v>
      </x:c>
      <x:c r="S198" s="24" t="str">
        <x:v>Centrophorus granulosus</x:v>
      </x:c>
      <x:c r="T198" s="32" t="n">
        <x:f>IF(O198="","",(1/'Metadata'!$B$5)^(O198-1))</x:f>
        <x:v>1288.249551693135</x:v>
      </x:c>
      <x:c r="U198" s="31" t="n">
        <x:f>IF(T198="","",I198*T198)</x:f>
        <x:v>232.25007441314145</x:v>
      </x:c>
    </x:row>
    <x:row r="199" ht="18" customHeight="1">
      <x:c r="A199" s="24" t="str">
        <x:v>EEZ_620</x:v>
      </x:c>
      <x:c r="B199" s="24" t="str">
        <x:v>Portugal (mainland)</x:v>
      </x:c>
      <x:c r="C199" s="24" t="str">
        <x:v>EEZ</x:v>
      </x:c>
      <x:c r="D199" s="30" t="n">
        <x:v>2019</x:v>
      </x:c>
      <x:c r="E199" s="24" t="str">
        <x:v>Dentex maroccanus</x:v>
      </x:c>
      <x:c r="F199" s="24" t="str">
        <x:v>Morocco dentex</x:v>
      </x:c>
      <x:c r="G199" s="24" t="str">
        <x:v>Medium demersals (30 - 89 cm)</x:v>
      </x:c>
      <x:c r="H199" s="24" t="str">
        <x:v>Perch-likes</x:v>
      </x:c>
      <x:c r="I199" s="31" t="n">
        <x:v>0.1695818774</x:v>
      </x:c>
      <x:c r="J199" s="31" t="n">
        <x:v>0</x:v>
      </x:c>
      <x:c r="K199" s="31" t="n">
        <x:v>0.1695818774</x:v>
      </x:c>
      <x:c r="L199" s="31" t="n">
        <x:v>0</x:v>
      </x:c>
      <x:c r="M199" s="31" t="n">
        <x:v>0.1695818774</x:v>
      </x:c>
      <x:c r="N199" s="24" t="str">
        <x:v>dentex maroccanus</x:v>
      </x:c>
      <x:c r="O199" s="32" t="n">
        <x:v>3.85</x:v>
      </x:c>
      <x:c r="P199" s="24" t="str">
        <x:v>exact_2020_supplement</x:v>
      </x:c>
      <x:c r="Q199" s="32" t="str">
        <x:v>2020 supplement MeanTL</x:v>
      </x:c>
      <x:c r="R199" s="24" t="str">
        <x:v>high</x:v>
      </x:c>
      <x:c r="S199" s="24" t="str">
        <x:v>Dentex maroccanus</x:v>
      </x:c>
      <x:c r="T199" s="32" t="n">
        <x:f>IF(O199="","",(1/'Metadata'!$B$5)^(O199-1))</x:f>
        <x:v>707.945784384138</x:v>
      </x:c>
      <x:c r="U199" s="31" t="n">
        <x:f>IF(T199="","",I199*T199)</x:f>
        <x:v>120.05477521327774</x:v>
      </x:c>
    </x:row>
    <x:row r="200" ht="18" customHeight="1">
      <x:c r="A200" s="24" t="str">
        <x:v>EEZ_620</x:v>
      </x:c>
      <x:c r="B200" s="24" t="str">
        <x:v>Portugal (mainland)</x:v>
      </x:c>
      <x:c r="C200" s="24" t="str">
        <x:v>EEZ</x:v>
      </x:c>
      <x:c r="D200" s="30" t="n">
        <x:v>2019</x:v>
      </x:c>
      <x:c r="E200" s="24" t="str">
        <x:v>Chelidonichthys cuculus</x:v>
      </x:c>
      <x:c r="F200" s="24" t="str">
        <x:v>Red gurnard</x:v>
      </x:c>
      <x:c r="G200" s="24" t="str">
        <x:v>Medium demersals (30 - 89 cm)</x:v>
      </x:c>
      <x:c r="H200" s="24" t="str">
        <x:v>Scorpionfishes</x:v>
      </x:c>
      <x:c r="I200" s="31" t="n">
        <x:v>0.1695818774</x:v>
      </x:c>
      <x:c r="J200" s="31" t="n">
        <x:v>0</x:v>
      </x:c>
      <x:c r="K200" s="31" t="n">
        <x:v>0.1695818774</x:v>
      </x:c>
      <x:c r="L200" s="31" t="n">
        <x:v>0</x:v>
      </x:c>
      <x:c r="M200" s="31" t="n">
        <x:v>0.1695818774</x:v>
      </x:c>
      <x:c r="N200" s="24" t="str">
        <x:v>chelidonichthys cuculus</x:v>
      </x:c>
      <x:c r="O200" s="32" t="n">
        <x:v>3.81</x:v>
      </x:c>
      <x:c r="P200" s="24" t="str">
        <x:v>exact_2020_supplement</x:v>
      </x:c>
      <x:c r="Q200" s="32" t="str">
        <x:v>2020 supplement MeanTL</x:v>
      </x:c>
      <x:c r="R200" s="24" t="str">
        <x:v>high</x:v>
      </x:c>
      <x:c r="S200" s="24" t="str">
        <x:v>Chelidonichthys cuculus</x:v>
      </x:c>
      <x:c r="T200" s="32" t="n">
        <x:f>IF(O200="","",(1/'Metadata'!$B$5)^(O200-1))</x:f>
        <x:v>645.6542290346556</x:v>
      </x:c>
      <x:c r="U200" s="31" t="n">
        <x:f>IF(T200="","",I200*T200)</x:f>
        <x:v>109.49125631094648</x:v>
      </x:c>
    </x:row>
    <x:row r="201" ht="18" customHeight="1">
      <x:c r="A201" s="24" t="str">
        <x:v>EEZ_620</x:v>
      </x:c>
      <x:c r="B201" s="24" t="str">
        <x:v>Portugal (mainland)</x:v>
      </x:c>
      <x:c r="C201" s="24" t="str">
        <x:v>EEZ</x:v>
      </x:c>
      <x:c r="D201" s="30" t="n">
        <x:v>2019</x:v>
      </x:c>
      <x:c r="E201" s="24" t="str">
        <x:v>Spisula solida</x:v>
      </x:c>
      <x:c r="F201" s="24" t="str">
        <x:v>Surf clam</x:v>
      </x:c>
      <x:c r="G201" s="24" t="str">
        <x:v>Other demersal invertebrates</x:v>
      </x:c>
      <x:c r="H201" s="24" t="str">
        <x:v>Molluscs</x:v>
      </x:c>
      <x:c r="I201" s="31" t="n">
        <x:v>0.1660955515</x:v>
      </x:c>
      <x:c r="J201" s="31" t="n">
        <x:v>0</x:v>
      </x:c>
      <x:c r="K201" s="31" t="n">
        <x:v>0.1660955515</x:v>
      </x:c>
      <x:c r="L201" s="31" t="n">
        <x:v>0</x:v>
      </x:c>
      <x:c r="M201" s="31" t="n">
        <x:v>0.1660955515</x:v>
      </x:c>
      <x:c r="N201" s="24" t="str">
        <x:v>spisula solida</x:v>
      </x:c>
      <x:c r="O201" s="32" t="n">
        <x:v>2</x:v>
      </x:c>
      <x:c r="P201" s="24" t="str">
        <x:v>exact_sea_around_us</x:v>
      </x:c>
      <x:c r="Q201" s="32" t="str">
        <x:v>Sea Around Us exploited organisms</x:v>
      </x:c>
      <x:c r="R201" s="24" t="str">
        <x:v>high</x:v>
      </x:c>
      <x:c r="S201" s="24" t="str">
        <x:v>Spisula solida</x:v>
      </x:c>
      <x:c r="T201" s="32" t="n">
        <x:f>IF(O201="","",(1/'Metadata'!$B$5)^(O201-1))</x:f>
        <x:v>10</x:v>
      </x:c>
      <x:c r="U201" s="31" t="n">
        <x:f>IF(T201="","",I201*T201)</x:f>
        <x:v>1.660955515</x:v>
      </x:c>
    </x:row>
    <x:row r="202" ht="18" customHeight="1">
      <x:c r="A202" s="24" t="str">
        <x:v>EEZ_620</x:v>
      </x:c>
      <x:c r="B202" s="24" t="str">
        <x:v>Portugal (mainland)</x:v>
      </x:c>
      <x:c r="C202" s="24" t="str">
        <x:v>EEZ</x:v>
      </x:c>
      <x:c r="D202" s="30" t="n">
        <x:v>2019</x:v>
      </x:c>
      <x:c r="E202" s="24" t="str">
        <x:v>Murex</x:v>
      </x:c>
      <x:c r="F202" s="24" t="str">
        <x:v>Murex shells</x:v>
      </x:c>
      <x:c r="G202" s="24" t="str">
        <x:v>Other demersal invertebrates</x:v>
      </x:c>
      <x:c r="H202" s="24" t="str">
        <x:v>Molluscs</x:v>
      </x:c>
      <x:c r="I202" s="31" t="n">
        <x:v>0.1545826721</x:v>
      </x:c>
      <x:c r="J202" s="31" t="n">
        <x:v>0</x:v>
      </x:c>
      <x:c r="K202" s="31" t="n">
        <x:v>0.1545826721</x:v>
      </x:c>
      <x:c r="L202" s="31" t="n">
        <x:v>0</x:v>
      </x:c>
      <x:c r="M202" s="31" t="n">
        <x:v>0.1545826721</x:v>
      </x:c>
      <x:c r="N202" s="24" t="str">
        <x:v>murex</x:v>
      </x:c>
      <x:c r="O202" s="32" t="n">
        <x:v>2</x:v>
      </x:c>
      <x:c r="P202" s="24" t="str">
        <x:v>exact_sea_around_us</x:v>
      </x:c>
      <x:c r="Q202" s="32" t="str">
        <x:v>Sea Around Us exploited organisms</x:v>
      </x:c>
      <x:c r="R202" s="24" t="str">
        <x:v>high</x:v>
      </x:c>
      <x:c r="S202" s="24" t="str">
        <x:v>Murex</x:v>
      </x:c>
      <x:c r="T202" s="32" t="n">
        <x:f>IF(O202="","",(1/'Metadata'!$B$5)^(O202-1))</x:f>
        <x:v>10</x:v>
      </x:c>
      <x:c r="U202" s="31" t="n">
        <x:f>IF(T202="","",I202*T202)</x:f>
        <x:v>1.545826721</x:v>
      </x:c>
    </x:row>
    <x:row r="203" ht="18" customHeight="1">
      <x:c r="A203" s="24" t="str">
        <x:v>EEZ_620</x:v>
      </x:c>
      <x:c r="B203" s="24" t="str">
        <x:v>Portugal (mainland)</x:v>
      </x:c>
      <x:c r="C203" s="24" t="str">
        <x:v>EEZ</x:v>
      </x:c>
      <x:c r="D203" s="30" t="n">
        <x:v>2019</x:v>
      </x:c>
      <x:c r="E203" s="24" t="str">
        <x:v>Mactridae</x:v>
      </x:c>
      <x:c r="F203" s="24" t="str">
        <x:v>Mactra surf clams</x:v>
      </x:c>
      <x:c r="G203" s="24" t="str">
        <x:v>Other demersal invertebrates</x:v>
      </x:c>
      <x:c r="H203" s="24" t="str">
        <x:v>Molluscs</x:v>
      </x:c>
      <x:c r="I203" s="31" t="n">
        <x:v>0.1370788587</x:v>
      </x:c>
      <x:c r="J203" s="31" t="n">
        <x:v>0</x:v>
      </x:c>
      <x:c r="K203" s="31" t="n">
        <x:v>0.1370788587</x:v>
      </x:c>
      <x:c r="L203" s="31" t="n">
        <x:v>0</x:v>
      </x:c>
      <x:c r="M203" s="31" t="n">
        <x:v>0.1370788587</x:v>
      </x:c>
      <x:c r="N203" s="24" t="str">
        <x:v>mactridae</x:v>
      </x:c>
      <x:c r="O203" s="32" t="n">
        <x:v>2</x:v>
      </x:c>
      <x:c r="P203" s="24" t="str">
        <x:v>exact_sea_around_us</x:v>
      </x:c>
      <x:c r="Q203" s="32" t="str">
        <x:v>Sea Around Us exploited organisms</x:v>
      </x:c>
      <x:c r="R203" s="24" t="str">
        <x:v>high</x:v>
      </x:c>
      <x:c r="S203" s="24" t="str">
        <x:v>Mactridae</x:v>
      </x:c>
      <x:c r="T203" s="32" t="n">
        <x:f>IF(O203="","",(1/'Metadata'!$B$5)^(O203-1))</x:f>
        <x:v>10</x:v>
      </x:c>
      <x:c r="U203" s="31" t="n">
        <x:f>IF(T203="","",I203*T203)</x:f>
        <x:v>1.370788587</x:v>
      </x:c>
    </x:row>
    <x:row r="204" ht="18" customHeight="1">
      <x:c r="A204" s="24" t="str">
        <x:v>EEZ_620</x:v>
      </x:c>
      <x:c r="B204" s="24" t="str">
        <x:v>Portugal (mainland)</x:v>
      </x:c>
      <x:c r="C204" s="24" t="str">
        <x:v>EEZ</x:v>
      </x:c>
      <x:c r="D204" s="30" t="n">
        <x:v>2019</x:v>
      </x:c>
      <x:c r="E204" s="24" t="str">
        <x:v>Diplodus</x:v>
      </x:c>
      <x:c r="F204" s="24" t="str">
        <x:v>Two-toothed seabreams</x:v>
      </x:c>
      <x:c r="G204" s="24" t="str">
        <x:v>Medium benthopelagics (30 - 89 cm)</x:v>
      </x:c>
      <x:c r="H204" s="24" t="str">
        <x:v>Perch-likes</x:v>
      </x:c>
      <x:c r="I204" s="31" t="n">
        <x:v>0.1370532072</x:v>
      </x:c>
      <x:c r="J204" s="31" t="n">
        <x:v>0</x:v>
      </x:c>
      <x:c r="K204" s="31" t="n">
        <x:v>0.1370532072</x:v>
      </x:c>
      <x:c r="L204" s="31" t="n">
        <x:v>0</x:v>
      </x:c>
      <x:c r="M204" s="31" t="n">
        <x:v>0.1370532072</x:v>
      </x:c>
      <x:c r="N204" s="24" t="str">
        <x:v>diplodus</x:v>
      </x:c>
      <x:c r="O204" s="32" t="n">
        <x:v>2.97</x:v>
      </x:c>
      <x:c r="P204" s="24" t="str">
        <x:v>exact_sea_around_us</x:v>
      </x:c>
      <x:c r="Q204" s="32" t="str">
        <x:v>Sea Around Us exploited organisms</x:v>
      </x:c>
      <x:c r="R204" s="24" t="str">
        <x:v>high</x:v>
      </x:c>
      <x:c r="S204" s="24" t="str">
        <x:v>Diplodus</x:v>
      </x:c>
      <x:c r="T204" s="32" t="n">
        <x:f>IF(O204="","",(1/'Metadata'!$B$5)^(O204-1))</x:f>
        <x:v>93.32543007969915</x:v>
      </x:c>
      <x:c r="U204" s="31" t="n">
        <x:f>IF(T204="","",I204*T204)</x:f>
        <x:v>12.790549505742119</x:v>
      </x:c>
    </x:row>
    <x:row r="205" ht="18" customHeight="1">
      <x:c r="A205" s="24" t="str">
        <x:v>EEZ_620</x:v>
      </x:c>
      <x:c r="B205" s="24" t="str">
        <x:v>Portugal (mainland)</x:v>
      </x:c>
      <x:c r="C205" s="24" t="str">
        <x:v>EEZ</x:v>
      </x:c>
      <x:c r="D205" s="30" t="n">
        <x:v>2019</x:v>
      </x:c>
      <x:c r="E205" s="24" t="str">
        <x:v>Trigla lyra</x:v>
      </x:c>
      <x:c r="F205" s="24" t="str">
        <x:v>Piper gurnard</x:v>
      </x:c>
      <x:c r="G205" s="24" t="str">
        <x:v>Medium bathydemersals (30 - 89 cm)</x:v>
      </x:c>
      <x:c r="H205" s="24" t="str">
        <x:v>Scorpionfishes</x:v>
      </x:c>
      <x:c r="I205" s="31" t="n">
        <x:v>0.1306855271</x:v>
      </x:c>
      <x:c r="J205" s="31" t="n">
        <x:v>0</x:v>
      </x:c>
      <x:c r="K205" s="31" t="n">
        <x:v>0.1306855271</x:v>
      </x:c>
      <x:c r="L205" s="31" t="n">
        <x:v>0</x:v>
      </x:c>
      <x:c r="M205" s="31" t="n">
        <x:v>0.1306855271</x:v>
      </x:c>
      <x:c r="N205" s="24" t="str">
        <x:v>trigla lyra</x:v>
      </x:c>
      <x:c r="O205" s="32" t="n">
        <x:v>3.65</x:v>
      </x:c>
      <x:c r="P205" s="24" t="str">
        <x:v>exact_2020_supplement</x:v>
      </x:c>
      <x:c r="Q205" s="32" t="str">
        <x:v>2020 supplement MeanTL</x:v>
      </x:c>
      <x:c r="R205" s="24" t="str">
        <x:v>high</x:v>
      </x:c>
      <x:c r="S205" s="24" t="str">
        <x:v>Trigla lyra</x:v>
      </x:c>
      <x:c r="T205" s="32" t="n">
        <x:f>IF(O205="","",(1/'Metadata'!$B$5)^(O205-1))</x:f>
        <x:v>446.683592150963</x:v>
      </x:c>
      <x:c r="U205" s="31" t="n">
        <x:f>IF(T205="","",I205*T205)</x:f>
        <x:v>58.375080687170026</x:v>
      </x:c>
    </x:row>
    <x:row r="206" ht="18" customHeight="1">
      <x:c r="A206" s="24" t="str">
        <x:v>EEZ_620</x:v>
      </x:c>
      <x:c r="B206" s="24" t="str">
        <x:v>Portugal (mainland)</x:v>
      </x:c>
      <x:c r="C206" s="24" t="str">
        <x:v>EEZ</x:v>
      </x:c>
      <x:c r="D206" s="30" t="n">
        <x:v>2019</x:v>
      </x:c>
      <x:c r="E206" s="24" t="str">
        <x:v>Dentex</x:v>
      </x:c>
      <x:c r="F206" s="24" t="str">
        <x:v>Toothed seabreams</x:v>
      </x:c>
      <x:c r="G206" s="24" t="str">
        <x:v>Large benthopelagics (&gt;=90 cm)</x:v>
      </x:c>
      <x:c r="H206" s="24" t="str">
        <x:v>Perch-likes</x:v>
      </x:c>
      <x:c r="I206" s="31" t="n">
        <x:v>0.1265892888</x:v>
      </x:c>
      <x:c r="J206" s="31" t="n">
        <x:v>0</x:v>
      </x:c>
      <x:c r="K206" s="31" t="n">
        <x:v>0.1265892888</x:v>
      </x:c>
      <x:c r="L206" s="31" t="n">
        <x:v>0</x:v>
      </x:c>
      <x:c r="M206" s="31" t="n">
        <x:v>0.1265892888</x:v>
      </x:c>
      <x:c r="N206" s="24" t="str">
        <x:v>dentex</x:v>
      </x:c>
      <x:c r="O206" s="32" t="n">
        <x:v>3.96</x:v>
      </x:c>
      <x:c r="P206" s="24" t="str">
        <x:v>exact_sea_around_us</x:v>
      </x:c>
      <x:c r="Q206" s="32" t="str">
        <x:v>Sea Around Us exploited organisms</x:v>
      </x:c>
      <x:c r="R206" s="24" t="str">
        <x:v>high</x:v>
      </x:c>
      <x:c r="S206" s="24" t="str">
        <x:v>Dentex</x:v>
      </x:c>
      <x:c r="T206" s="32" t="n">
        <x:f>IF(O206="","",(1/'Metadata'!$B$5)^(O206-1))</x:f>
        <x:v>912.0108393559096</x:v>
      </x:c>
      <x:c r="U206" s="31" t="n">
        <x:f>IF(T206="","",I206*T206)</x:f>
        <x:v>115.45080353195566</x:v>
      </x:c>
    </x:row>
    <x:row r="207" ht="18" customHeight="1">
      <x:c r="A207" s="24" t="str">
        <x:v>EEZ_620</x:v>
      </x:c>
      <x:c r="B207" s="24" t="str">
        <x:v>Portugal (mainland)</x:v>
      </x:c>
      <x:c r="C207" s="24" t="str">
        <x:v>EEZ</x:v>
      </x:c>
      <x:c r="D207" s="30" t="n">
        <x:v>2019</x:v>
      </x:c>
      <x:c r="E207" s="24" t="str">
        <x:v>Epigonus telescopus</x:v>
      </x:c>
      <x:c r="F207" s="24" t="str">
        <x:v>Black cardinal fish</x:v>
      </x:c>
      <x:c r="G207" s="24" t="str">
        <x:v>Medium bathydemersals (30 - 89 cm)</x:v>
      </x:c>
      <x:c r="H207" s="24" t="str">
        <x:v>Perch-likes</x:v>
      </x:c>
      <x:c r="I207" s="31" t="n">
        <x:v>0.120188967</x:v>
      </x:c>
      <x:c r="J207" s="31" t="n">
        <x:v>0</x:v>
      </x:c>
      <x:c r="K207" s="31" t="n">
        <x:v>0.120188967</x:v>
      </x:c>
      <x:c r="L207" s="31" t="n">
        <x:v>0</x:v>
      </x:c>
      <x:c r="M207" s="31" t="n">
        <x:v>0.120188967</x:v>
      </x:c>
      <x:c r="N207" s="24" t="str">
        <x:v>epigonus telescopus</x:v>
      </x:c>
      <x:c r="O207" s="32" t="n">
        <x:v>3.59</x:v>
      </x:c>
      <x:c r="P207" s="24" t="str">
        <x:v>exact_2020_supplement</x:v>
      </x:c>
      <x:c r="Q207" s="32" t="str">
        <x:v>2020 supplement MeanTL</x:v>
      </x:c>
      <x:c r="R207" s="24" t="str">
        <x:v>high</x:v>
      </x:c>
      <x:c r="S207" s="24" t="str">
        <x:v>Epigonus telescopus</x:v>
      </x:c>
      <x:c r="T207" s="32" t="n">
        <x:f>IF(O207="","",(1/'Metadata'!$B$5)^(O207-1))</x:f>
        <x:v>389.04514499428046</x:v>
      </x:c>
      <x:c r="U207" s="31" t="n">
        <x:f>IF(T207="","",I207*T207)</x:f>
        <x:v>46.758934093227786</x:v>
      </x:c>
    </x:row>
    <x:row r="208" ht="18" customHeight="1">
      <x:c r="A208" s="24" t="str">
        <x:v>EEZ_620</x:v>
      </x:c>
      <x:c r="B208" s="24" t="str">
        <x:v>Portugal (mainland)</x:v>
      </x:c>
      <x:c r="C208" s="24" t="str">
        <x:v>EEZ</x:v>
      </x:c>
      <x:c r="D208" s="30" t="n">
        <x:v>2019</x:v>
      </x:c>
      <x:c r="E208" s="24" t="str">
        <x:v>Uranoscopus scaber</x:v>
      </x:c>
      <x:c r="F208" s="24" t="str">
        <x:v>Stargazer</x:v>
      </x:c>
      <x:c r="G208" s="24" t="str">
        <x:v>Medium demersals (30 - 89 cm)</x:v>
      </x:c>
      <x:c r="H208" s="24" t="str">
        <x:v>Perch-likes</x:v>
      </x:c>
      <x:c r="I208" s="31" t="n">
        <x:v>0.114646903</x:v>
      </x:c>
      <x:c r="J208" s="31" t="n">
        <x:v>0</x:v>
      </x:c>
      <x:c r="K208" s="31" t="n">
        <x:v>0.114646903</x:v>
      </x:c>
      <x:c r="L208" s="31" t="n">
        <x:v>0</x:v>
      </x:c>
      <x:c r="M208" s="31" t="n">
        <x:v>0.114646903</x:v>
      </x:c>
      <x:c r="N208" s="24" t="str">
        <x:v>uranoscopus scaber</x:v>
      </x:c>
      <x:c r="O208" s="32" t="n">
        <x:v>4.38</x:v>
      </x:c>
      <x:c r="P208" s="24" t="str">
        <x:v>exact_2020_supplement</x:v>
      </x:c>
      <x:c r="Q208" s="32" t="str">
        <x:v>2020 supplement MeanTL</x:v>
      </x:c>
      <x:c r="R208" s="24" t="str">
        <x:v>high</x:v>
      </x:c>
      <x:c r="S208" s="24" t="str">
        <x:v>Uranoscopus scaber</x:v>
      </x:c>
      <x:c r="T208" s="32" t="n">
        <x:f>IF(O208="","",(1/'Metadata'!$B$5)^(O208-1))</x:f>
        <x:v>2398.83291901949</x:v>
      </x:c>
      <x:c r="U208" s="31" t="n">
        <x:f>IF(T208="","",I208*T208)</x:f>
        <x:v>275.0187649800343</x:v>
      </x:c>
    </x:row>
    <x:row r="209" ht="18" customHeight="1">
      <x:c r="A209" s="24" t="str">
        <x:v>EEZ_620</x:v>
      </x:c>
      <x:c r="B209" s="24" t="str">
        <x:v>Portugal (mainland)</x:v>
      </x:c>
      <x:c r="C209" s="24" t="str">
        <x:v>EEZ</x:v>
      </x:c>
      <x:c r="D209" s="30" t="n">
        <x:v>2019</x:v>
      </x:c>
      <x:c r="E209" s="24" t="str">
        <x:v>Dentex macrophthalmus</x:v>
      </x:c>
      <x:c r="F209" s="24" t="str">
        <x:v>Large-eye dentex</x:v>
      </x:c>
      <x:c r="G209" s="24" t="str">
        <x:v>Medium benthopelagics (30 - 89 cm)</x:v>
      </x:c>
      <x:c r="H209" s="24" t="str">
        <x:v>Perch-likes</x:v>
      </x:c>
      <x:c r="I209" s="31" t="n">
        <x:v>0.089567893</x:v>
      </x:c>
      <x:c r="J209" s="31" t="n">
        <x:v>0</x:v>
      </x:c>
      <x:c r="K209" s="31" t="n">
        <x:v>0.089567893</x:v>
      </x:c>
      <x:c r="L209" s="31" t="n">
        <x:v>0</x:v>
      </x:c>
      <x:c r="M209" s="31" t="n">
        <x:v>0.089567893</x:v>
      </x:c>
      <x:c r="N209" s="24" t="str">
        <x:v>dentex macrophthalmus</x:v>
      </x:c>
      <x:c r="O209" s="32" t="n">
        <x:v>3.52</x:v>
      </x:c>
      <x:c r="P209" s="24" t="str">
        <x:v>exact_2020_supplement</x:v>
      </x:c>
      <x:c r="Q209" s="32" t="str">
        <x:v>2020 supplement MeanTL</x:v>
      </x:c>
      <x:c r="R209" s="24" t="str">
        <x:v>high</x:v>
      </x:c>
      <x:c r="S209" s="24" t="str">
        <x:v>Dentex macrophthalmus</x:v>
      </x:c>
      <x:c r="T209" s="32" t="n">
        <x:f>IF(O209="","",(1/'Metadata'!$B$5)^(O209-1))</x:f>
        <x:v>331.1311214825911</x:v>
      </x:c>
      <x:c r="U209" s="31" t="n">
        <x:f>IF(T209="","",I209*T209)</x:f>
        <x:v>29.65871685792272</x:v>
      </x:c>
    </x:row>
    <x:row r="210" ht="18" customHeight="1">
      <x:c r="A210" s="24" t="str">
        <x:v>EEZ_620</x:v>
      </x:c>
      <x:c r="B210" s="24" t="str">
        <x:v>Portugal (mainland)</x:v>
      </x:c>
      <x:c r="C210" s="24" t="str">
        <x:v>EEZ</x:v>
      </x:c>
      <x:c r="D210" s="30" t="n">
        <x:v>2019</x:v>
      </x:c>
      <x:c r="E210" s="24" t="str">
        <x:v>Calappa granulata</x:v>
      </x:c>
      <x:c r="F210" s="24" t="str">
        <x:v>Shamfaced crab</x:v>
      </x:c>
      <x:c r="G210" s="24" t="str">
        <x:v>Lobsters, crabs</x:v>
      </x:c>
      <x:c r="H210" s="24" t="str">
        <x:v>Crustaceans</x:v>
      </x:c>
      <x:c r="I210" s="31" t="n">
        <x:v>0.0835967001</x:v>
      </x:c>
      <x:c r="J210" s="31" t="n">
        <x:v>0</x:v>
      </x:c>
      <x:c r="K210" s="31" t="n">
        <x:v>0.0835967001</x:v>
      </x:c>
      <x:c r="L210" s="31" t="n">
        <x:v>0</x:v>
      </x:c>
      <x:c r="M210" s="31" t="n">
        <x:v>0.0835967001</x:v>
      </x:c>
      <x:c r="N210" s="24" t="str">
        <x:v>calappa granulata</x:v>
      </x:c>
      <x:c r="O210" s="32" t="n">
        <x:v>3.94</x:v>
      </x:c>
      <x:c r="P210" s="24" t="str">
        <x:v>exact_sea_around_us</x:v>
      </x:c>
      <x:c r="Q210" s="32" t="str">
        <x:v>Sea Around Us exploited organisms</x:v>
      </x:c>
      <x:c r="R210" s="24" t="str">
        <x:v>high</x:v>
      </x:c>
      <x:c r="S210" s="24" t="str">
        <x:v>Calappa granulata</x:v>
      </x:c>
      <x:c r="T210" s="32" t="n">
        <x:f>IF(O210="","",(1/'Metadata'!$B$5)^(O210-1))</x:f>
        <x:v>870.9635899560806</x:v>
      </x:c>
      <x:c r="U210" s="31" t="n">
        <x:f>IF(T210="","",I210*T210)</x:f>
        <x:v>72.80968202757785</x:v>
      </x:c>
    </x:row>
    <x:row r="211" ht="18" customHeight="1">
      <x:c r="A211" s="24" t="str">
        <x:v>EEZ_620</x:v>
      </x:c>
      <x:c r="B211" s="24" t="str">
        <x:v>Portugal (mainland)</x:v>
      </x:c>
      <x:c r="C211" s="24" t="str">
        <x:v>EEZ</x:v>
      </x:c>
      <x:c r="D211" s="30" t="n">
        <x:v>2019</x:v>
      </x:c>
      <x:c r="E211" s="24" t="str">
        <x:v>Scomber</x:v>
      </x:c>
      <x:c r="F211" s="24" t="str">
        <x:v>Chub mackerels</x:v>
      </x:c>
      <x:c r="G211" s="24" t="str">
        <x:v>Medium pelagics (30 - 89 cm)</x:v>
      </x:c>
      <x:c r="H211" s="24" t="str">
        <x:v>Perch-likes</x:v>
      </x:c>
      <x:c r="I211" s="31" t="n">
        <x:v>0.0825408373</x:v>
      </x:c>
      <x:c r="J211" s="31" t="n">
        <x:v>0.0025268529</x:v>
      </x:c>
      <x:c r="K211" s="31" t="n">
        <x:v>0.0800139844</x:v>
      </x:c>
      <x:c r="L211" s="31" t="n">
        <x:v>0.0025268529</x:v>
      </x:c>
      <x:c r="M211" s="31" t="n">
        <x:v>0.0800139844</x:v>
      </x:c>
      <x:c r="N211" s="24" t="str">
        <x:v>scomber</x:v>
      </x:c>
      <x:c r="O211" s="32" t="n">
        <x:v>3.65</x:v>
      </x:c>
      <x:c r="P211" s="24" t="str">
        <x:v>exact_sea_around_us</x:v>
      </x:c>
      <x:c r="Q211" s="32" t="str">
        <x:v>Sea Around Us exploited organisms</x:v>
      </x:c>
      <x:c r="R211" s="24" t="str">
        <x:v>high</x:v>
      </x:c>
      <x:c r="S211" s="24" t="str">
        <x:v>Scomber</x:v>
      </x:c>
      <x:c r="T211" s="32" t="n">
        <x:f>IF(O211="","",(1/'Metadata'!$B$5)^(O211-1))</x:f>
        <x:v>446.683592150963</x:v>
      </x:c>
      <x:c r="U211" s="31" t="n">
        <x:f>IF(T211="","",I211*T211)</x:f>
        <x:v>36.8696377043122</x:v>
      </x:c>
    </x:row>
    <x:row r="212" ht="18" customHeight="1">
      <x:c r="A212" s="24" t="str">
        <x:v>EEZ_620</x:v>
      </x:c>
      <x:c r="B212" s="24" t="str">
        <x:v>Portugal (mainland)</x:v>
      </x:c>
      <x:c r="C212" s="24" t="str">
        <x:v>EEZ</x:v>
      </x:c>
      <x:c r="D212" s="30" t="n">
        <x:v>2019</x:v>
      </x:c>
      <x:c r="E212" s="24" t="str">
        <x:v>Arnoglossus laterna</x:v>
      </x:c>
      <x:c r="F212" s="24" t="str">
        <x:v>Mediterranean scaldfish</x:v>
      </x:c>
      <x:c r="G212" s="24" t="str">
        <x:v>Small to medium flatfishes (&lt;90 cm)</x:v>
      </x:c>
      <x:c r="H212" s="24" t="str">
        <x:v>Flatfishes</x:v>
      </x:c>
      <x:c r="I212" s="31" t="n">
        <x:v>0.0764312687</x:v>
      </x:c>
      <x:c r="J212" s="31" t="n">
        <x:v>0</x:v>
      </x:c>
      <x:c r="K212" s="31" t="n">
        <x:v>0.0764312687</x:v>
      </x:c>
      <x:c r="L212" s="31" t="n">
        <x:v>0</x:v>
      </x:c>
      <x:c r="M212" s="31" t="n">
        <x:v>0.0764312687</x:v>
      </x:c>
      <x:c r="N212" s="24" t="str">
        <x:v>arnoglossus laterna</x:v>
      </x:c>
      <x:c r="O212" s="32" t="n">
        <x:v>3.59</x:v>
      </x:c>
      <x:c r="P212" s="24" t="str">
        <x:v>exact_2020_supplement</x:v>
      </x:c>
      <x:c r="Q212" s="32" t="str">
        <x:v>2020 supplement MeanTL</x:v>
      </x:c>
      <x:c r="R212" s="24" t="str">
        <x:v>high</x:v>
      </x:c>
      <x:c r="S212" s="24" t="str">
        <x:v>Arnoglossus laterna</x:v>
      </x:c>
      <x:c r="T212" s="32" t="n">
        <x:f>IF(O212="","",(1/'Metadata'!$B$5)^(O212-1))</x:f>
        <x:v>389.04514499428046</x:v>
      </x:c>
      <x:c r="U212" s="31" t="n">
        <x:f>IF(T212="","",I212*T212)</x:f>
        <x:v>29.73521401348831</x:v>
      </x:c>
    </x:row>
    <x:row r="213" ht="18" customHeight="1">
      <x:c r="A213" s="24" t="str">
        <x:v>EEZ_620</x:v>
      </x:c>
      <x:c r="B213" s="24" t="str">
        <x:v>Portugal (mainland)</x:v>
      </x:c>
      <x:c r="C213" s="24" t="str">
        <x:v>EEZ</x:v>
      </x:c>
      <x:c r="D213" s="30" t="n">
        <x:v>2019</x:v>
      </x:c>
      <x:c r="E213" s="24" t="str">
        <x:v>Centrolophidae</x:v>
      </x:c>
      <x:c r="F213" s="24" t="str">
        <x:v>Medusafishes</x:v>
      </x:c>
      <x:c r="G213" s="24" t="str">
        <x:v>Medium benthopelagics (30 - 89 cm)</x:v>
      </x:c>
      <x:c r="H213" s="24" t="str">
        <x:v>Perch-likes</x:v>
      </x:c>
      <x:c r="I213" s="31" t="n">
        <x:v>0.0758443342</x:v>
      </x:c>
      <x:c r="J213" s="31" t="n">
        <x:v>0</x:v>
      </x:c>
      <x:c r="K213" s="31" t="n">
        <x:v>0.0758443342</x:v>
      </x:c>
      <x:c r="L213" s="31" t="n">
        <x:v>0</x:v>
      </x:c>
      <x:c r="M213" s="31" t="n">
        <x:v>0.0758443342</x:v>
      </x:c>
      <x:c r="N213" s="24" t="str">
        <x:v>centrolophidae</x:v>
      </x:c>
      <x:c r="O213" s="32" t="n">
        <x:v>3.65</x:v>
      </x:c>
      <x:c r="P213" s="24" t="str">
        <x:v>exact_sea_around_us</x:v>
      </x:c>
      <x:c r="Q213" s="32" t="str">
        <x:v>Sea Around Us exploited organisms</x:v>
      </x:c>
      <x:c r="R213" s="24" t="str">
        <x:v>high</x:v>
      </x:c>
      <x:c r="S213" s="24" t="str">
        <x:v>Centrolophidae</x:v>
      </x:c>
      <x:c r="T213" s="32" t="n">
        <x:f>IF(O213="","",(1/'Metadata'!$B$5)^(O213-1))</x:f>
        <x:v>446.683592150963</x:v>
      </x:c>
      <x:c r="U213" s="31" t="n">
        <x:f>IF(T213="","",I213*T213)</x:f>
        <x:v>33.87841964475414</x:v>
      </x:c>
    </x:row>
    <x:row r="214" ht="18" customHeight="1">
      <x:c r="A214" s="24" t="str">
        <x:v>EEZ_620</x:v>
      </x:c>
      <x:c r="B214" s="24" t="str">
        <x:v>Portugal (mainland)</x:v>
      </x:c>
      <x:c r="C214" s="24" t="str">
        <x:v>EEZ</x:v>
      </x:c>
      <x:c r="D214" s="30" t="n">
        <x:v>2019</x:v>
      </x:c>
      <x:c r="E214" s="24" t="str">
        <x:v>Scomberesox saurus</x:v>
      </x:c>
      <x:c r="F214" s="24" t="str">
        <x:v>Atlantic saury</x:v>
      </x:c>
      <x:c r="G214" s="24" t="str">
        <x:v>Medium pelagics (30 - 89 cm)</x:v>
      </x:c>
      <x:c r="H214" s="24" t="str">
        <x:v>Other fishes &amp; inverts</x:v>
      </x:c>
      <x:c r="I214" s="31" t="n">
        <x:v>0.072562765</x:v>
      </x:c>
      <x:c r="J214" s="31" t="n">
        <x:v>0.072562765</x:v>
      </x:c>
      <x:c r="K214" s="31" t="n">
        <x:v>0</x:v>
      </x:c>
      <x:c r="L214" s="31" t="n">
        <x:v>0.072562765</x:v>
      </x:c>
      <x:c r="M214" s="31" t="n">
        <x:v>0</x:v>
      </x:c>
      <x:c r="N214" s="24" t="str">
        <x:v>scomberesox saurus</x:v>
      </x:c>
      <x:c r="O214" s="32" t="n">
        <x:v>3.91</x:v>
      </x:c>
      <x:c r="P214" s="24" t="str">
        <x:v>exact_2020_supplement</x:v>
      </x:c>
      <x:c r="Q214" s="32" t="str">
        <x:v>2020 supplement MeanTL</x:v>
      </x:c>
      <x:c r="R214" s="24" t="str">
        <x:v>high</x:v>
      </x:c>
      <x:c r="S214" s="24" t="str">
        <x:v>Scomberesox saurus</x:v>
      </x:c>
      <x:c r="T214" s="32" t="n">
        <x:f>IF(O214="","",(1/'Metadata'!$B$5)^(O214-1))</x:f>
        <x:v>812.8305161640995</x:v>
      </x:c>
      <x:c r="U214" s="31" t="n">
        <x:f>IF(T214="","",I214*T214)</x:f>
        <x:v>58.981229729244255</x:v>
      </x:c>
    </x:row>
    <x:row r="215" ht="18" customHeight="1">
      <x:c r="A215" s="24" t="str">
        <x:v>EEZ_620</x:v>
      </x:c>
      <x:c r="B215" s="24" t="str">
        <x:v>Portugal (mainland)</x:v>
      </x:c>
      <x:c r="C215" s="24" t="str">
        <x:v>EEZ</x:v>
      </x:c>
      <x:c r="D215" s="30" t="n">
        <x:v>2019</x:v>
      </x:c>
      <x:c r="E215" s="24" t="str">
        <x:v>Todarodes sagittatus</x:v>
      </x:c>
      <x:c r="F215" s="24" t="str">
        <x:v>European flying squid</x:v>
      </x:c>
      <x:c r="G215" s="24" t="str">
        <x:v>Cephalopods</x:v>
      </x:c>
      <x:c r="H215" s="24" t="str">
        <x:v>Other fishes &amp; inverts</x:v>
      </x:c>
      <x:c r="I215" s="31" t="n">
        <x:v>0.06993295799999999</x:v>
      </x:c>
      <x:c r="J215" s="31" t="n">
        <x:v>0.06993295799999999</x:v>
      </x:c>
      <x:c r="K215" s="31" t="n">
        <x:v>0</x:v>
      </x:c>
      <x:c r="L215" s="31" t="n">
        <x:v>0.06993295799999999</x:v>
      </x:c>
      <x:c r="M215" s="31" t="n">
        <x:v>0</x:v>
      </x:c>
      <x:c r="N215" s="24" t="str">
        <x:v>todarodes sagittatus</x:v>
      </x:c>
      <x:c r="O215" s="32" t="n">
        <x:v>4.01</x:v>
      </x:c>
      <x:c r="P215" s="24" t="str">
        <x:v>exact_2020_supplement</x:v>
      </x:c>
      <x:c r="Q215" s="32" t="str">
        <x:v>2020 supplement MeanTL</x:v>
      </x:c>
      <x:c r="R215" s="24" t="str">
        <x:v>high</x:v>
      </x:c>
      <x:c r="S215" s="24" t="str">
        <x:v>Todarodes sagittatus</x:v>
      </x:c>
      <x:c r="T215" s="32" t="n">
        <x:f>IF(O215="","",(1/'Metadata'!$B$5)^(O215-1))</x:f>
        <x:v>1023.2929922807537</x:v>
      </x:c>
      <x:c r="U215" s="31" t="n">
        <x:f>IF(T215="","",I215*T215)</x:f>
        <x:v>71.56190585086426</x:v>
      </x:c>
    </x:row>
    <x:row r="216" ht="18" customHeight="1">
      <x:c r="A216" s="24" t="str">
        <x:v>EEZ_620</x:v>
      </x:c>
      <x:c r="B216" s="24" t="str">
        <x:v>Portugal (mainland)</x:v>
      </x:c>
      <x:c r="C216" s="24" t="str">
        <x:v>EEZ</x:v>
      </x:c>
      <x:c r="D216" s="30" t="n">
        <x:v>2019</x:v>
      </x:c>
      <x:c r="E216" s="24" t="str">
        <x:v>Coris julis</x:v>
      </x:c>
      <x:c r="F216" s="24" t="str">
        <x:v>Rainbow wrasse</x:v>
      </x:c>
      <x:c r="G216" s="24" t="str">
        <x:v>Medium reef assoc. fish (30 - 89 cm)</x:v>
      </x:c>
      <x:c r="H216" s="24" t="str">
        <x:v>Perch-likes</x:v>
      </x:c>
      <x:c r="I216" s="31" t="n">
        <x:v>0.0671556667</x:v>
      </x:c>
      <x:c r="J216" s="31" t="n">
        <x:v>0.000345184</x:v>
      </x:c>
      <x:c r="K216" s="31" t="n">
        <x:v>0.0668104827</x:v>
      </x:c>
      <x:c r="L216" s="31" t="n">
        <x:v>0.000345184</x:v>
      </x:c>
      <x:c r="M216" s="31" t="n">
        <x:v>0.0668104827</x:v>
      </x:c>
      <x:c r="N216" s="24" t="str">
        <x:v>coris julis</x:v>
      </x:c>
      <x:c r="O216" s="32" t="n">
        <x:v>3.44</x:v>
      </x:c>
      <x:c r="P216" s="24" t="str">
        <x:v>exact_2020_supplement</x:v>
      </x:c>
      <x:c r="Q216" s="32" t="str">
        <x:v>2020 supplement MeanTL</x:v>
      </x:c>
      <x:c r="R216" s="24" t="str">
        <x:v>high</x:v>
      </x:c>
      <x:c r="S216" s="24" t="str">
        <x:v>Coris julis</x:v>
      </x:c>
      <x:c r="T216" s="32" t="n">
        <x:f>IF(O216="","",(1/'Metadata'!$B$5)^(O216-1))</x:f>
        <x:v>275.4228703338166</x:v>
      </x:c>
      <x:c r="U216" s="31" t="n">
        <x:f>IF(T216="","",I216*T216)</x:f>
        <x:v>18.496206481695108</x:v>
      </x:c>
    </x:row>
    <x:row r="217" ht="18" customHeight="1">
      <x:c r="A217" s="24" t="str">
        <x:v>EEZ_620</x:v>
      </x:c>
      <x:c r="B217" s="24" t="str">
        <x:v>Portugal (mainland)</x:v>
      </x:c>
      <x:c r="C217" s="24" t="str">
        <x:v>EEZ</x:v>
      </x:c>
      <x:c r="D217" s="30" t="n">
        <x:v>2019</x:v>
      </x:c>
      <x:c r="E217" s="24" t="str">
        <x:v>Ammodytes tobianus</x:v>
      </x:c>
      <x:c r="F217" s="24" t="str">
        <x:v>Small sandeel</x:v>
      </x:c>
      <x:c r="G217" s="24" t="str">
        <x:v>Small demersals (&lt;30 cm)</x:v>
      </x:c>
      <x:c r="H217" s="24" t="str">
        <x:v>Perch-likes</x:v>
      </x:c>
      <x:c r="I217" s="31" t="n">
        <x:v>0.0620801038</x:v>
      </x:c>
      <x:c r="J217" s="31" t="n">
        <x:v>0</x:v>
      </x:c>
      <x:c r="K217" s="31" t="n">
        <x:v>0.0620801038</x:v>
      </x:c>
      <x:c r="L217" s="31" t="n">
        <x:v>0</x:v>
      </x:c>
      <x:c r="M217" s="31" t="n">
        <x:v>0.0620801038</x:v>
      </x:c>
      <x:c r="N217" s="24" t="str">
        <x:v>ammodytes tobianus</x:v>
      </x:c>
      <x:c r="O217" s="32" t="n">
        <x:v>3.08</x:v>
      </x:c>
      <x:c r="P217" s="24" t="str">
        <x:v>exact_2020_supplement</x:v>
      </x:c>
      <x:c r="Q217" s="32" t="str">
        <x:v>2020 supplement MeanTL</x:v>
      </x:c>
      <x:c r="R217" s="24" t="str">
        <x:v>high</x:v>
      </x:c>
      <x:c r="S217" s="24" t="str">
        <x:v>Ammodytes tobianus</x:v>
      </x:c>
      <x:c r="T217" s="32" t="n">
        <x:f>IF(O217="","",(1/'Metadata'!$B$5)^(O217-1))</x:f>
        <x:v>120.22644346174131</x:v>
      </x:c>
      <x:c r="U217" s="31" t="n">
        <x:f>IF(T217="","",I217*T217)</x:f>
        <x:v>7.4636700896097325</x:v>
      </x:c>
    </x:row>
    <x:row r="218" ht="18" customHeight="1">
      <x:c r="A218" s="24" t="str">
        <x:v>EEZ_620</x:v>
      </x:c>
      <x:c r="B218" s="24" t="str">
        <x:v>Portugal (mainland)</x:v>
      </x:c>
      <x:c r="C218" s="24" t="str">
        <x:v>EEZ</x:v>
      </x:c>
      <x:c r="D218" s="30" t="n">
        <x:v>2019</x:v>
      </x:c>
      <x:c r="E218" s="24" t="str">
        <x:v>Centrophorus lusitanicus</x:v>
      </x:c>
      <x:c r="F218" s="24" t="str">
        <x:v>Lowfin gulper shark</x:v>
      </x:c>
      <x:c r="G218" s="24" t="str">
        <x:v>Large sharks (&gt;=90 cm)</x:v>
      </x:c>
      <x:c r="H218" s="24" t="str">
        <x:v>Sharks &amp; rays</x:v>
      </x:c>
      <x:c r="I218" s="31" t="n">
        <x:v>0.0600944835</x:v>
      </x:c>
      <x:c r="J218" s="31" t="n">
        <x:v>0</x:v>
      </x:c>
      <x:c r="K218" s="31" t="n">
        <x:v>0.0600944835</x:v>
      </x:c>
      <x:c r="L218" s="31" t="n">
        <x:v>0</x:v>
      </x:c>
      <x:c r="M218" s="31" t="n">
        <x:v>0.0600944835</x:v>
      </x:c>
      <x:c r="N218" s="24" t="str">
        <x:v>centrophorus lusitanicus</x:v>
      </x:c>
      <x:c r="O218" s="32" t="n">
        <x:v>4.43</x:v>
      </x:c>
      <x:c r="P218" s="24" t="str">
        <x:v>exact_2020_supplement</x:v>
      </x:c>
      <x:c r="Q218" s="32" t="str">
        <x:v>2020 supplement MeanTL</x:v>
      </x:c>
      <x:c r="R218" s="24" t="str">
        <x:v>high</x:v>
      </x:c>
      <x:c r="S218" s="24" t="str">
        <x:v>Centrophorus lusitanicus</x:v>
      </x:c>
      <x:c r="T218" s="32" t="n">
        <x:f>IF(O218="","",(1/'Metadata'!$B$5)^(O218-1))</x:f>
        <x:v>2691.534803926914</x:v>
      </x:c>
      <x:c r="U218" s="31" t="n">
        <x:f>IF(T218="","",I218*T218)</x:f>
        <x:v>161.74639386426165</x:v>
      </x:c>
    </x:row>
    <x:row r="219" ht="18" customHeight="1">
      <x:c r="A219" s="24" t="str">
        <x:v>EEZ_620</x:v>
      </x:c>
      <x:c r="B219" s="24" t="str">
        <x:v>Portugal (mainland)</x:v>
      </x:c>
      <x:c r="C219" s="24" t="str">
        <x:v>EEZ</x:v>
      </x:c>
      <x:c r="D219" s="30" t="n">
        <x:v>2019</x:v>
      </x:c>
      <x:c r="E219" s="24" t="str">
        <x:v>Coryphaenoides rupestris</x:v>
      </x:c>
      <x:c r="F219" s="24" t="str">
        <x:v>Roundnose grenadier</x:v>
      </x:c>
      <x:c r="G219" s="24" t="str">
        <x:v>Large bathypelagics (&gt;=90 cm)</x:v>
      </x:c>
      <x:c r="H219" s="24" t="str">
        <x:v>Cod-likes</x:v>
      </x:c>
      <x:c r="I219" s="31" t="n">
        <x:v>0.0600944835</x:v>
      </x:c>
      <x:c r="J219" s="31" t="n">
        <x:v>0</x:v>
      </x:c>
      <x:c r="K219" s="31" t="n">
        <x:v>0.0600944835</x:v>
      </x:c>
      <x:c r="L219" s="31" t="n">
        <x:v>0</x:v>
      </x:c>
      <x:c r="M219" s="31" t="n">
        <x:v>0.0600944835</x:v>
      </x:c>
      <x:c r="N219" s="24" t="str">
        <x:v>coryphaenoides rupestris</x:v>
      </x:c>
      <x:c r="O219" s="32" t="n">
        <x:v>3.54</x:v>
      </x:c>
      <x:c r="P219" s="24" t="str">
        <x:v>exact_2020_supplement</x:v>
      </x:c>
      <x:c r="Q219" s="32" t="str">
        <x:v>2020 supplement MeanTL</x:v>
      </x:c>
      <x:c r="R219" s="24" t="str">
        <x:v>high</x:v>
      </x:c>
      <x:c r="S219" s="24" t="str">
        <x:v>Coryphaenoides rupestris</x:v>
      </x:c>
      <x:c r="T219" s="32" t="n">
        <x:f>IF(O219="","",(1/'Metadata'!$B$5)^(O219-1))</x:f>
        <x:v>346.73685045253166</x:v>
      </x:c>
      <x:c r="U219" s="31" t="n">
        <x:f>IF(T219="","",I219*T219)</x:f>
        <x:v>20.83697193836163</x:v>
      </x:c>
    </x:row>
    <x:row r="220" ht="18" customHeight="1">
      <x:c r="A220" s="24" t="str">
        <x:v>EEZ_620</x:v>
      </x:c>
      <x:c r="B220" s="24" t="str">
        <x:v>Portugal (mainland)</x:v>
      </x:c>
      <x:c r="C220" s="24" t="str">
        <x:v>EEZ</x:v>
      </x:c>
      <x:c r="D220" s="30" t="n">
        <x:v>2019</x:v>
      </x:c>
      <x:c r="E220" s="24" t="str">
        <x:v>Squaliformes</x:v>
      </x:c>
      <x:c r="F220" s="24" t="str">
        <x:v>Bramble, sleeper, dogfish sharks</x:v>
      </x:c>
      <x:c r="G220" s="24" t="str">
        <x:v>Large sharks (&gt;=90 cm)</x:v>
      </x:c>
      <x:c r="H220" s="24" t="str">
        <x:v>Sharks &amp; rays</x:v>
      </x:c>
      <x:c r="I220" s="31" t="n">
        <x:v>0.0600944835</x:v>
      </x:c>
      <x:c r="J220" s="31" t="n">
        <x:v>0</x:v>
      </x:c>
      <x:c r="K220" s="31" t="n">
        <x:v>0.0600944835</x:v>
      </x:c>
      <x:c r="L220" s="31" t="n">
        <x:v>0</x:v>
      </x:c>
      <x:c r="M220" s="31" t="n">
        <x:v>0.0600944835</x:v>
      </x:c>
      <x:c r="N220" s="24" t="str">
        <x:v>squaliformes</x:v>
      </x:c>
      <x:c r="O220" s="32" t="n">
        <x:v>4.19</x:v>
      </x:c>
      <x:c r="P220" s="24" t="str">
        <x:v>exact_sea_around_us</x:v>
      </x:c>
      <x:c r="Q220" s="32" t="str">
        <x:v>Sea Around Us exploited organisms</x:v>
      </x:c>
      <x:c r="R220" s="24" t="str">
        <x:v>high</x:v>
      </x:c>
      <x:c r="S220" s="24" t="str">
        <x:v>Squaliformes</x:v>
      </x:c>
      <x:c r="T220" s="32" t="n">
        <x:f>IF(O220="","",(1/'Metadata'!$B$5)^(O220-1))</x:f>
        <x:v>1548.8166189124827</x:v>
      </x:c>
      <x:c r="U220" s="31" t="n">
        <x:f>IF(T220="","",I220*T220)</x:f>
        <x:v>93.07533474976198</x:v>
      </x:c>
    </x:row>
    <x:row r="221" ht="18" customHeight="1">
      <x:c r="A221" s="24" t="str">
        <x:v>EEZ_620</x:v>
      </x:c>
      <x:c r="B221" s="24" t="str">
        <x:v>Portugal (mainland)</x:v>
      </x:c>
      <x:c r="C221" s="24" t="str">
        <x:v>EEZ</x:v>
      </x:c>
      <x:c r="D221" s="30" t="n">
        <x:v>2019</x:v>
      </x:c>
      <x:c r="E221" s="24" t="str">
        <x:v>Bothidae</x:v>
      </x:c>
      <x:c r="F221" s="24" t="str">
        <x:v>Lefteye flounders</x:v>
      </x:c>
      <x:c r="G221" s="24" t="str">
        <x:v>Small to medium flatfishes (&lt;90 cm)</x:v>
      </x:c>
      <x:c r="H221" s="24" t="str">
        <x:v>Flatfishes</x:v>
      </x:c>
      <x:c r="I221" s="31" t="n">
        <x:v>0.0585045535</x:v>
      </x:c>
      <x:c r="J221" s="31" t="n">
        <x:v>0</x:v>
      </x:c>
      <x:c r="K221" s="31" t="n">
        <x:v>0.0585045535</x:v>
      </x:c>
      <x:c r="L221" s="31" t="n">
        <x:v>0</x:v>
      </x:c>
      <x:c r="M221" s="31" t="n">
        <x:v>0.0585045535</x:v>
      </x:c>
      <x:c r="N221" s="24" t="str">
        <x:v>bothidae</x:v>
      </x:c>
      <x:c r="O221" s="32" t="n">
        <x:v>3.77</x:v>
      </x:c>
      <x:c r="P221" s="24" t="str">
        <x:v>exact_sea_around_us</x:v>
      </x:c>
      <x:c r="Q221" s="32" t="str">
        <x:v>Sea Around Us exploited organisms</x:v>
      </x:c>
      <x:c r="R221" s="24" t="str">
        <x:v>high</x:v>
      </x:c>
      <x:c r="S221" s="24" t="str">
        <x:v>Bothidae</x:v>
      </x:c>
      <x:c r="T221" s="32" t="n">
        <x:f>IF(O221="","",(1/'Metadata'!$B$5)^(O221-1))</x:f>
        <x:v>588.843655355589</x:v>
      </x:c>
      <x:c r="U221" s="31" t="n">
        <x:f>IF(T221="","",I221*T221)</x:f>
        <x:v>34.45003513788662</x:v>
      </x:c>
    </x:row>
    <x:row r="222" ht="18" customHeight="1">
      <x:c r="A222" s="24" t="str">
        <x:v>EEZ_620</x:v>
      </x:c>
      <x:c r="B222" s="24" t="str">
        <x:v>Portugal (mainland)</x:v>
      </x:c>
      <x:c r="C222" s="24" t="str">
        <x:v>EEZ</x:v>
      </x:c>
      <x:c r="D222" s="30" t="n">
        <x:v>2019</x:v>
      </x:c>
      <x:c r="E222" s="24" t="str">
        <x:v>Dalatias licha</x:v>
      </x:c>
      <x:c r="F222" s="24" t="str">
        <x:v>Kitefin shark</x:v>
      </x:c>
      <x:c r="G222" s="24" t="str">
        <x:v>Large sharks (&gt;=90 cm)</x:v>
      </x:c>
      <x:c r="H222" s="24" t="str">
        <x:v>Sharks &amp; rays</x:v>
      </x:c>
      <x:c r="I222" s="31" t="n">
        <x:v>0.0579986085</x:v>
      </x:c>
      <x:c r="J222" s="31" t="n">
        <x:v>0</x:v>
      </x:c>
      <x:c r="K222" s="31" t="n">
        <x:v>0.0579986085</x:v>
      </x:c>
      <x:c r="L222" s="31" t="n">
        <x:v>0</x:v>
      </x:c>
      <x:c r="M222" s="31" t="n">
        <x:v>0.0579986085</x:v>
      </x:c>
      <x:c r="N222" s="24" t="str">
        <x:v>dalatias licha</x:v>
      </x:c>
      <x:c r="O222" s="32" t="n">
        <x:v>4.23</x:v>
      </x:c>
      <x:c r="P222" s="24" t="str">
        <x:v>exact_2020_supplement</x:v>
      </x:c>
      <x:c r="Q222" s="32" t="str">
        <x:v>2020 supplement MeanTL</x:v>
      </x:c>
      <x:c r="R222" s="24" t="str">
        <x:v>high</x:v>
      </x:c>
      <x:c r="S222" s="24" t="str">
        <x:v>Dalatias licha</x:v>
      </x:c>
      <x:c r="T222" s="32" t="n">
        <x:f>IF(O222="","",(1/'Metadata'!$B$5)^(O222-1))</x:f>
        <x:v>1698.243652461746</x:v>
      </x:c>
      <x:c r="U222" s="31" t="n">
        <x:f>IF(T222="","",I222*T222)</x:f>
        <x:v>98.49576873673887</x:v>
      </x:c>
    </x:row>
    <x:row r="223" ht="18" customHeight="1">
      <x:c r="A223" s="24" t="str">
        <x:v>EEZ_620</x:v>
      </x:c>
      <x:c r="B223" s="24" t="str">
        <x:v>Portugal (mainland)</x:v>
      </x:c>
      <x:c r="C223" s="24" t="str">
        <x:v>EEZ</x:v>
      </x:c>
      <x:c r="D223" s="30" t="n">
        <x:v>2019</x:v>
      </x:c>
      <x:c r="E223" s="24" t="str">
        <x:v>Veneridae</x:v>
      </x:c>
      <x:c r="F223" s="24" t="str">
        <x:v>Venus clams</x:v>
      </x:c>
      <x:c r="G223" s="24" t="str">
        <x:v>Other demersal invertebrates</x:v>
      </x:c>
      <x:c r="H223" s="24" t="str">
        <x:v>Molluscs</x:v>
      </x:c>
      <x:c r="I223" s="31" t="n">
        <x:v>0.0501550693</x:v>
      </x:c>
      <x:c r="J223" s="31" t="n">
        <x:v>0.020137801</x:v>
      </x:c>
      <x:c r="K223" s="31" t="n">
        <x:v>0.0300172683</x:v>
      </x:c>
      <x:c r="L223" s="31" t="n">
        <x:v>0.020137801</x:v>
      </x:c>
      <x:c r="M223" s="31" t="n">
        <x:v>0.0300172683</x:v>
      </x:c>
      <x:c r="N223" s="24" t="str">
        <x:v>veneridae</x:v>
      </x:c>
      <x:c r="O223" s="32" t="n">
        <x:v>2</x:v>
      </x:c>
      <x:c r="P223" s="24" t="str">
        <x:v>exact_sea_around_us</x:v>
      </x:c>
      <x:c r="Q223" s="32" t="str">
        <x:v>Sea Around Us exploited organisms</x:v>
      </x:c>
      <x:c r="R223" s="24" t="str">
        <x:v>high</x:v>
      </x:c>
      <x:c r="S223" s="24" t="str">
        <x:v>Veneridae</x:v>
      </x:c>
      <x:c r="T223" s="32" t="n">
        <x:f>IF(O223="","",(1/'Metadata'!$B$5)^(O223-1))</x:f>
        <x:v>10</x:v>
      </x:c>
      <x:c r="U223" s="31" t="n">
        <x:f>IF(T223="","",I223*T223)</x:f>
        <x:v>0.501550693</x:v>
      </x:c>
    </x:row>
    <x:row r="224" ht="18" customHeight="1">
      <x:c r="A224" s="24" t="str">
        <x:v>EEZ_620</x:v>
      </x:c>
      <x:c r="B224" s="24" t="str">
        <x:v>Portugal (mainland)</x:v>
      </x:c>
      <x:c r="C224" s="24" t="str">
        <x:v>EEZ</x:v>
      </x:c>
      <x:c r="D224" s="30" t="n">
        <x:v>2019</x:v>
      </x:c>
      <x:c r="E224" s="24" t="str">
        <x:v>Sphyraena barracuda</x:v>
      </x:c>
      <x:c r="F224" s="24" t="str">
        <x:v>Great barracuda</x:v>
      </x:c>
      <x:c r="G224" s="24" t="str">
        <x:v>Large pelagics (&gt;=90 cm)</x:v>
      </x:c>
      <x:c r="H224" s="24" t="str">
        <x:v>Perch-likes</x:v>
      </x:c>
      <x:c r="I224" s="31" t="n">
        <x:v>0.0473795479</x:v>
      </x:c>
      <x:c r="J224" s="31" t="n">
        <x:v>0.0473795479</x:v>
      </x:c>
      <x:c r="K224" s="31" t="n">
        <x:v>0</x:v>
      </x:c>
      <x:c r="L224" s="31" t="n">
        <x:v>0.0473795479</x:v>
      </x:c>
      <x:c r="M224" s="31" t="n">
        <x:v>0</x:v>
      </x:c>
      <x:c r="N224" s="24" t="str">
        <x:v>sphyraena barracuda</x:v>
      </x:c>
      <x:c r="O224" s="32" t="n">
        <x:v>4.49</x:v>
      </x:c>
      <x:c r="P224" s="24" t="str">
        <x:v>exact_2020_supplement</x:v>
      </x:c>
      <x:c r="Q224" s="32" t="str">
        <x:v>2020 supplement MeanTL</x:v>
      </x:c>
      <x:c r="R224" s="24" t="str">
        <x:v>high</x:v>
      </x:c>
      <x:c r="S224" s="24" t="str">
        <x:v>Sphyraena barracuda</x:v>
      </x:c>
      <x:c r="T224" s="32" t="n">
        <x:f>IF(O224="","",(1/'Metadata'!$B$5)^(O224-1))</x:f>
        <x:v>3090.295432513592</x:v>
      </x:c>
      <x:c r="U224" s="31" t="n">
        <x:f>IF(T224="","",I224*T224)</x:f>
        <x:v>146.41680046992894</x:v>
      </x:c>
    </x:row>
    <x:row r="225" ht="18" customHeight="1">
      <x:c r="A225" s="24" t="str">
        <x:v>EEZ_620</x:v>
      </x:c>
      <x:c r="B225" s="24" t="str">
        <x:v>Portugal (mainland)</x:v>
      </x:c>
      <x:c r="C225" s="24" t="str">
        <x:v>EEZ</x:v>
      </x:c>
      <x:c r="D225" s="30" t="n">
        <x:v>2019</x:v>
      </x:c>
      <x:c r="E225" s="24" t="str">
        <x:v>Liza</x:v>
      </x:c>
      <x:c r="F225" s="24" t="str">
        <x:v>Mullets</x:v>
      </x:c>
      <x:c r="G225" s="24" t="str">
        <x:v>Medium pelagics (30 - 89 cm)</x:v>
      </x:c>
      <x:c r="H225" s="24" t="str">
        <x:v>Perch-likes</x:v>
      </x:c>
      <x:c r="I225" s="31" t="n">
        <x:v>0.0368685332</x:v>
      </x:c>
      <x:c r="J225" s="31" t="n">
        <x:v>0</x:v>
      </x:c>
      <x:c r="K225" s="31" t="n">
        <x:v>0.0368685332</x:v>
      </x:c>
      <x:c r="L225" s="31" t="n">
        <x:v>0</x:v>
      </x:c>
      <x:c r="M225" s="31" t="n">
        <x:v>0.0368685332</x:v>
      </x:c>
      <x:c r="N225" s="24" t="str">
        <x:v>liza</x:v>
      </x:c>
      <x:c r="O225" s="32" t="n">
        <x:v>2.57</x:v>
      </x:c>
      <x:c r="P225" s="24" t="str">
        <x:v>exact_sea_around_us</x:v>
      </x:c>
      <x:c r="Q225" s="32" t="str">
        <x:v>Sea Around Us exploited organisms</x:v>
      </x:c>
      <x:c r="R225" s="24" t="str">
        <x:v>high</x:v>
      </x:c>
      <x:c r="S225" s="24" t="str">
        <x:v>Liza</x:v>
      </x:c>
      <x:c r="T225" s="32" t="n">
        <x:f>IF(O225="","",(1/'Metadata'!$B$5)^(O225-1))</x:f>
        <x:v>37.15352290971724</x:v>
      </x:c>
      <x:c r="U225" s="31" t="n">
        <x:f>IF(T225="","",I225*T225)</x:f>
        <x:v>1.3697958928938705</x:v>
      </x:c>
    </x:row>
    <x:row r="226" ht="18" customHeight="1">
      <x:c r="A226" s="24" t="str">
        <x:v>EEZ_620</x:v>
      </x:c>
      <x:c r="B226" s="24" t="str">
        <x:v>Portugal (mainland)</x:v>
      </x:c>
      <x:c r="C226" s="24" t="str">
        <x:v>EEZ</x:v>
      </x:c>
      <x:c r="D226" s="30" t="n">
        <x:v>2019</x:v>
      </x:c>
      <x:c r="E226" s="24" t="str">
        <x:v>Palinurus elephas</x:v>
      </x:c>
      <x:c r="F226" s="24" t="str">
        <x:v>Common spiny lobster</x:v>
      </x:c>
      <x:c r="G226" s="24" t="str">
        <x:v>Lobsters, crabs</x:v>
      </x:c>
      <x:c r="H226" s="24" t="str">
        <x:v>Crustaceans</x:v>
      </x:c>
      <x:c r="I226" s="31" t="n">
        <x:v>0.0320629172</x:v>
      </x:c>
      <x:c r="J226" s="31" t="n">
        <x:v>0</x:v>
      </x:c>
      <x:c r="K226" s="31" t="n">
        <x:v>0.0320629172</x:v>
      </x:c>
      <x:c r="L226" s="31" t="n">
        <x:v>0</x:v>
      </x:c>
      <x:c r="M226" s="31" t="n">
        <x:v>0.0320629172</x:v>
      </x:c>
      <x:c r="N226" s="24" t="str">
        <x:v>palinurus elephas</x:v>
      </x:c>
      <x:c r="O226" s="32" t="n">
        <x:v>3.34</x:v>
      </x:c>
      <x:c r="P226" s="24" t="str">
        <x:v>exact_2020_supplement</x:v>
      </x:c>
      <x:c r="Q226" s="32" t="str">
        <x:v>2020 supplement MeanTL</x:v>
      </x:c>
      <x:c r="R226" s="24" t="str">
        <x:v>high</x:v>
      </x:c>
      <x:c r="S226" s="24" t="str">
        <x:v>Palinurus elephas</x:v>
      </x:c>
      <x:c r="T226" s="32" t="n">
        <x:f>IF(O226="","",(1/'Metadata'!$B$5)^(O226-1))</x:f>
        <x:v>218.77616239495518</x:v>
      </x:c>
      <x:c r="U226" s="31" t="n">
        <x:f>IF(T226="","",I226*T226)</x:f>
        <x:v>7.014601980203201</x:v>
      </x:c>
    </x:row>
    <x:row r="227" ht="18" customHeight="1">
      <x:c r="A227" s="24" t="str">
        <x:v>EEZ_620</x:v>
      </x:c>
      <x:c r="B227" s="24" t="str">
        <x:v>Portugal (mainland)</x:v>
      </x:c>
      <x:c r="C227" s="24" t="str">
        <x:v>EEZ</x:v>
      </x:c>
      <x:c r="D227" s="30" t="n">
        <x:v>2019</x:v>
      </x:c>
      <x:c r="E227" s="24" t="str">
        <x:v>Gymnammodytes cicerelus</x:v>
      </x:c>
      <x:c r="F227" s="24" t="str">
        <x:v>Mediterranean sand eel</x:v>
      </x:c>
      <x:c r="G227" s="24" t="str">
        <x:v>Small demersals (&lt;30 cm)</x:v>
      </x:c>
      <x:c r="H227" s="24" t="str">
        <x:v>Perch-likes</x:v>
      </x:c>
      <x:c r="I227" s="31" t="n">
        <x:v>0.0298559643</x:v>
      </x:c>
      <x:c r="J227" s="31" t="n">
        <x:v>0</x:v>
      </x:c>
      <x:c r="K227" s="31" t="n">
        <x:v>0.0298559643</x:v>
      </x:c>
      <x:c r="L227" s="31" t="n">
        <x:v>0</x:v>
      </x:c>
      <x:c r="M227" s="31" t="n">
        <x:v>0.0298559643</x:v>
      </x:c>
      <x:c r="N227" s="24" t="str">
        <x:v>gymnammodytes cicerelus</x:v>
      </x:c>
      <x:c r="O227" s="32" t="n">
        <x:v>3.4</x:v>
      </x:c>
      <x:c r="P227" s="24" t="str">
        <x:v>exact_2020_supplement</x:v>
      </x:c>
      <x:c r="Q227" s="32" t="str">
        <x:v>2020 supplement MeanTL</x:v>
      </x:c>
      <x:c r="R227" s="24" t="str">
        <x:v>high</x:v>
      </x:c>
      <x:c r="S227" s="24" t="str">
        <x:v>Gymnammodytes cicerelus</x:v>
      </x:c>
      <x:c r="T227" s="32" t="n">
        <x:f>IF(O227="","",(1/'Metadata'!$B$5)^(O227-1))</x:f>
        <x:v>251.18864315095797</x:v>
      </x:c>
      <x:c r="U227" s="31" t="n">
        <x:f>IF(T227="","",I227*T227)</x:f>
        <x:v>7.499479162480441</x:v>
      </x:c>
    </x:row>
    <x:row r="228" ht="18" customHeight="1">
      <x:c r="A228" s="24" t="str">
        <x:v>EEZ_620</x:v>
      </x:c>
      <x:c r="B228" s="24" t="str">
        <x:v>Portugal (mainland)</x:v>
      </x:c>
      <x:c r="C228" s="24" t="str">
        <x:v>EEZ</x:v>
      </x:c>
      <x:c r="D228" s="30" t="n">
        <x:v>2019</x:v>
      </x:c>
      <x:c r="E228" s="24" t="str">
        <x:v>Clupeiformes</x:v>
      </x:c>
      <x:c r="F228" s="24" t="str">
        <x:v>Herrings, shads, anchovies</x:v>
      </x:c>
      <x:c r="G228" s="24" t="str">
        <x:v>Small pelagics (&lt;30 cm)</x:v>
      </x:c>
      <x:c r="H228" s="24" t="str">
        <x:v>Other fishes &amp; inverts</x:v>
      </x:c>
      <x:c r="I228" s="31" t="n">
        <x:v>0.0297974519</x:v>
      </x:c>
      <x:c r="J228" s="31" t="n">
        <x:v>0.0297974519</x:v>
      </x:c>
      <x:c r="K228" s="31" t="n">
        <x:v>0</x:v>
      </x:c>
      <x:c r="L228" s="31" t="n">
        <x:v>0.0297974519</x:v>
      </x:c>
      <x:c r="M228" s="31" t="n">
        <x:v>0</x:v>
      </x:c>
      <x:c r="N228" s="24" t="str">
        <x:v>clupeiformes</x:v>
      </x:c>
      <x:c r="O228" s="32" t="n">
        <x:v>3.24</x:v>
      </x:c>
      <x:c r="P228" s="24" t="str">
        <x:v>exact_sea_around_us</x:v>
      </x:c>
      <x:c r="Q228" s="32" t="str">
        <x:v>Sea Around Us exploited organisms</x:v>
      </x:c>
      <x:c r="R228" s="24" t="str">
        <x:v>high</x:v>
      </x:c>
      <x:c r="S228" s="24" t="str">
        <x:v>Clupeiformes</x:v>
      </x:c>
      <x:c r="T228" s="32" t="n">
        <x:f>IF(O228="","",(1/'Metadata'!$B$5)^(O228-1))</x:f>
        <x:v>173.78008287493762</x:v>
      </x:c>
      <x:c r="U228" s="31" t="n">
        <x:f>IF(T228="","",I228*T228)</x:f>
        <x:v>5.178203660643968</x:v>
      </x:c>
    </x:row>
    <x:row r="229" ht="18" customHeight="1">
      <x:c r="A229" s="24" t="str">
        <x:v>EEZ_620</x:v>
      </x:c>
      <x:c r="B229" s="24" t="str">
        <x:v>Portugal (mainland)</x:v>
      </x:c>
      <x:c r="C229" s="24" t="str">
        <x:v>EEZ</x:v>
      </x:c>
      <x:c r="D229" s="30" t="n">
        <x:v>2019</x:v>
      </x:c>
      <x:c r="E229" s="24" t="str">
        <x:v>Gadiformes</x:v>
      </x:c>
      <x:c r="F229" s="24" t="str">
        <x:v>Cods</x:v>
      </x:c>
      <x:c r="G229" s="24" t="str">
        <x:v>Medium benthopelagics (30 - 89 cm)</x:v>
      </x:c>
      <x:c r="H229" s="24" t="str">
        <x:v>Cod-likes</x:v>
      </x:c>
      <x:c r="I229" s="31" t="n">
        <x:v>0.0286156599</x:v>
      </x:c>
      <x:c r="J229" s="31" t="n">
        <x:v>0.0286156599</x:v>
      </x:c>
      <x:c r="K229" s="31" t="n">
        <x:v>0</x:v>
      </x:c>
      <x:c r="L229" s="31" t="n">
        <x:v>0.0286156599</x:v>
      </x:c>
      <x:c r="M229" s="31" t="n">
        <x:v>0</x:v>
      </x:c>
      <x:c r="N229" s="24" t="str">
        <x:v>gadiformes</x:v>
      </x:c>
      <x:c r="O229" s="32" t="n">
        <x:v>3.91</x:v>
      </x:c>
      <x:c r="P229" s="24" t="str">
        <x:v>exact_sea_around_us</x:v>
      </x:c>
      <x:c r="Q229" s="32" t="str">
        <x:v>Sea Around Us exploited organisms</x:v>
      </x:c>
      <x:c r="R229" s="24" t="str">
        <x:v>high</x:v>
      </x:c>
      <x:c r="S229" s="24" t="str">
        <x:v>Gadiformes</x:v>
      </x:c>
      <x:c r="T229" s="32" t="n">
        <x:f>IF(O229="","",(1/'Metadata'!$B$5)^(O229-1))</x:f>
        <x:v>812.8305161640995</x:v>
      </x:c>
      <x:c r="U229" s="31" t="n">
        <x:f>IF(T229="","",I229*T229)</x:f>
        <x:v>23.259681606893324</x:v>
      </x:c>
    </x:row>
    <x:row r="230" ht="18" customHeight="1">
      <x:c r="A230" s="24" t="str">
        <x:v>EEZ_620</x:v>
      </x:c>
      <x:c r="B230" s="24" t="str">
        <x:v>Portugal (mainland)</x:v>
      </x:c>
      <x:c r="C230" s="24" t="str">
        <x:v>EEZ</x:v>
      </x:c>
      <x:c r="D230" s="30" t="n">
        <x:v>2019</x:v>
      </x:c>
      <x:c r="E230" s="24" t="str">
        <x:v>Pollicipes pollicipes</x:v>
      </x:c>
      <x:c r="F230" s="24" t="str">
        <x:v>Atlantic barnacle</x:v>
      </x:c>
      <x:c r="G230" s="24" t="str">
        <x:v>Other demersal invertebrates</x:v>
      </x:c>
      <x:c r="H230" s="24" t="str">
        <x:v>Crustaceans</x:v>
      </x:c>
      <x:c r="I230" s="31" t="n">
        <x:v>0.0276633381</x:v>
      </x:c>
      <x:c r="J230" s="31" t="n">
        <x:v>0.0276633381</x:v>
      </x:c>
      <x:c r="K230" s="31" t="n">
        <x:v>0</x:v>
      </x:c>
      <x:c r="L230" s="31" t="n">
        <x:v>0.0276633381</x:v>
      </x:c>
      <x:c r="M230" s="31" t="n">
        <x:v>0</x:v>
      </x:c>
      <x:c r="N230" s="24" t="str">
        <x:v>pollicipes pollicipes</x:v>
      </x:c>
      <x:c r="O230" s="32" t="n">
        <x:v>3</x:v>
      </x:c>
      <x:c r="P230" s="24" t="str">
        <x:v>exact_sea_around_us</x:v>
      </x:c>
      <x:c r="Q230" s="32" t="str">
        <x:v>Sea Around Us exploited organisms</x:v>
      </x:c>
      <x:c r="R230" s="24" t="str">
        <x:v>high</x:v>
      </x:c>
      <x:c r="S230" s="24" t="str">
        <x:v>Pollicipes pollicipes</x:v>
      </x:c>
      <x:c r="T230" s="32" t="n">
        <x:f>IF(O230="","",(1/'Metadata'!$B$5)^(O230-1))</x:f>
        <x:v>100</x:v>
      </x:c>
      <x:c r="U230" s="31" t="n">
        <x:f>IF(T230="","",I230*T230)</x:f>
        <x:v>2.76633381</x:v>
      </x:c>
    </x:row>
    <x:row r="231" ht="18" customHeight="1">
      <x:c r="A231" s="24" t="str">
        <x:v>EEZ_620</x:v>
      </x:c>
      <x:c r="B231" s="24" t="str">
        <x:v>Portugal (mainland)</x:v>
      </x:c>
      <x:c r="C231" s="24" t="str">
        <x:v>EEZ</x:v>
      </x:c>
      <x:c r="D231" s="30" t="n">
        <x:v>2019</x:v>
      </x:c>
      <x:c r="E231" s="24" t="str">
        <x:v>Carcinus maenas</x:v>
      </x:c>
      <x:c r="F231" s="24" t="str">
        <x:v>Green crab</x:v>
      </x:c>
      <x:c r="G231" s="24" t="str">
        <x:v>Lobsters, crabs</x:v>
      </x:c>
      <x:c r="H231" s="24" t="str">
        <x:v>Crustaceans</x:v>
      </x:c>
      <x:c r="I231" s="31" t="n">
        <x:v>0.0179135786</x:v>
      </x:c>
      <x:c r="J231" s="31" t="n">
        <x:v>0</x:v>
      </x:c>
      <x:c r="K231" s="31" t="n">
        <x:v>0.0179135786</x:v>
      </x:c>
      <x:c r="L231" s="31" t="n">
        <x:v>0</x:v>
      </x:c>
      <x:c r="M231" s="31" t="n">
        <x:v>0.0179135786</x:v>
      </x:c>
      <x:c r="N231" s="24" t="str">
        <x:v>carcinus maenas</x:v>
      </x:c>
      <x:c r="O231" s="32" t="n">
        <x:v>3.5</x:v>
      </x:c>
      <x:c r="P231" s="24" t="str">
        <x:v>exact_2020_supplement</x:v>
      </x:c>
      <x:c r="Q231" s="32" t="str">
        <x:v>2020 supplement MeanTL</x:v>
      </x:c>
      <x:c r="R231" s="24" t="str">
        <x:v>high</x:v>
      </x:c>
      <x:c r="S231" s="24" t="str">
        <x:v>Carcinus maenas</x:v>
      </x:c>
      <x:c r="T231" s="32" t="n">
        <x:f>IF(O231="","",(1/'Metadata'!$B$5)^(O231-1))</x:f>
        <x:v>316.22776601683796</x:v>
      </x:c>
      <x:c r="U231" s="31" t="n">
        <x:f>IF(T231="","",I231*T231)</x:f>
        <x:v>5.664770942045036</x:v>
      </x:c>
    </x:row>
    <x:row r="232" ht="18" customHeight="1">
      <x:c r="A232" s="24" t="str">
        <x:v>EEZ_620</x:v>
      </x:c>
      <x:c r="B232" s="24" t="str">
        <x:v>Portugal (mainland)</x:v>
      </x:c>
      <x:c r="C232" s="24" t="str">
        <x:v>EEZ</x:v>
      </x:c>
      <x:c r="D232" s="30" t="n">
        <x:v>2019</x:v>
      </x:c>
      <x:c r="E232" s="24" t="str">
        <x:v>Scophthalmidae</x:v>
      </x:c>
      <x:c r="F232" s="24" t="str">
        <x:v>Turbots</x:v>
      </x:c>
      <x:c r="G232" s="24" t="str">
        <x:v>Small to medium flatfishes (&lt;90 cm)</x:v>
      </x:c>
      <x:c r="H232" s="24" t="str">
        <x:v>Flatfishes</x:v>
      </x:c>
      <x:c r="I232" s="31" t="n">
        <x:v>0.0155251015</x:v>
      </x:c>
      <x:c r="J232" s="31" t="n">
        <x:v>0</x:v>
      </x:c>
      <x:c r="K232" s="31" t="n">
        <x:v>0.0155251015</x:v>
      </x:c>
      <x:c r="L232" s="31" t="n">
        <x:v>0</x:v>
      </x:c>
      <x:c r="M232" s="31" t="n">
        <x:v>0.0155251015</x:v>
      </x:c>
      <x:c r="N232" s="24" t="str">
        <x:v>scophthalmidae</x:v>
      </x:c>
      <x:c r="O232" s="32" t="n">
        <x:v>3.71</x:v>
      </x:c>
      <x:c r="P232" s="24" t="str">
        <x:v>exact_sea_around_us</x:v>
      </x:c>
      <x:c r="Q232" s="32" t="str">
        <x:v>Sea Around Us exploited organisms</x:v>
      </x:c>
      <x:c r="R232" s="24" t="str">
        <x:v>high</x:v>
      </x:c>
      <x:c r="S232" s="24" t="str">
        <x:v>Scophthalmidae</x:v>
      </x:c>
      <x:c r="T232" s="32" t="n">
        <x:f>IF(O232="","",(1/'Metadata'!$B$5)^(O232-1))</x:f>
        <x:v>512.8613839913648</x:v>
      </x:c>
      <x:c r="U232" s="31" t="n">
        <x:f>IF(T232="","",I232*T232)</x:f>
        <x:v>7.962225041896414</x:v>
      </x:c>
    </x:row>
    <x:row r="233" ht="18" customHeight="1">
      <x:c r="A233" s="24" t="str">
        <x:v>EEZ_620</x:v>
      </x:c>
      <x:c r="B233" s="24" t="str">
        <x:v>Portugal (mainland)</x:v>
      </x:c>
      <x:c r="C233" s="24" t="str">
        <x:v>EEZ</x:v>
      </x:c>
      <x:c r="D233" s="30" t="n">
        <x:v>2019</x:v>
      </x:c>
      <x:c r="E233" s="24" t="str">
        <x:v>Carangidae</x:v>
      </x:c>
      <x:c r="F233" s="24" t="str">
        <x:v>Jacks, pompanos</x:v>
      </x:c>
      <x:c r="G233" s="24" t="str">
        <x:v>Medium pelagics (30 - 89 cm)</x:v>
      </x:c>
      <x:c r="H233" s="24" t="str">
        <x:v>Perch-likes</x:v>
      </x:c>
      <x:c r="I233" s="31" t="n">
        <x:v>0.0142201401</x:v>
      </x:c>
      <x:c r="J233" s="31" t="n">
        <x:v>0.0142201401</x:v>
      </x:c>
      <x:c r="K233" s="31" t="n">
        <x:v>0</x:v>
      </x:c>
      <x:c r="L233" s="31" t="n">
        <x:v>0.0142201401</x:v>
      </x:c>
      <x:c r="M233" s="31" t="n">
        <x:v>0</x:v>
      </x:c>
      <x:c r="N233" s="24" t="str">
        <x:v>carangidae</x:v>
      </x:c>
      <x:c r="O233" s="32" t="n">
        <x:v>4.05</x:v>
      </x:c>
      <x:c r="P233" s="24" t="str">
        <x:v>exact_sea_around_us</x:v>
      </x:c>
      <x:c r="Q233" s="32" t="str">
        <x:v>Sea Around Us exploited organisms</x:v>
      </x:c>
      <x:c r="R233" s="24" t="str">
        <x:v>high</x:v>
      </x:c>
      <x:c r="S233" s="24" t="str">
        <x:v>Carangidae</x:v>
      </x:c>
      <x:c r="T233" s="32" t="n">
        <x:f>IF(O233="","",(1/'Metadata'!$B$5)^(O233-1))</x:f>
        <x:v>1122.018454301963</x:v>
      </x:c>
      <x:c r="U233" s="31" t="n">
        <x:f>IF(T233="","",I233*T233)</x:f>
        <x:v>15.955259614959362</x:v>
      </x:c>
    </x:row>
    <x:row r="234" ht="18" customHeight="1">
      <x:c r="A234" s="24" t="str">
        <x:v>EEZ_620</x:v>
      </x:c>
      <x:c r="B234" s="24" t="str">
        <x:v>Portugal (mainland)</x:v>
      </x:c>
      <x:c r="C234" s="24" t="str">
        <x:v>EEZ</x:v>
      </x:c>
      <x:c r="D234" s="30" t="n">
        <x:v>2019</x:v>
      </x:c>
      <x:c r="E234" s="24" t="str">
        <x:v>Arnoglossus thori</x:v>
      </x:c>
      <x:c r="F234" s="24" t="str">
        <x:v>Thor's scaldfish</x:v>
      </x:c>
      <x:c r="G234" s="24" t="str">
        <x:v>Small to medium flatfishes (&lt;90 cm)</x:v>
      </x:c>
      <x:c r="H234" s="24" t="str">
        <x:v>Flatfishes</x:v>
      </x:c>
      <x:c r="I234" s="31" t="n">
        <x:v>0.0131366243</x:v>
      </x:c>
      <x:c r="J234" s="31" t="n">
        <x:v>0</x:v>
      </x:c>
      <x:c r="K234" s="31" t="n">
        <x:v>0.0131366243</x:v>
      </x:c>
      <x:c r="L234" s="31" t="n">
        <x:v>0</x:v>
      </x:c>
      <x:c r="M234" s="31" t="n">
        <x:v>0.0131366243</x:v>
      </x:c>
      <x:c r="N234" s="24" t="str">
        <x:v>arnoglossus thori</x:v>
      </x:c>
      <x:c r="O234" s="32" t="n">
        <x:v>3.28</x:v>
      </x:c>
      <x:c r="P234" s="24" t="str">
        <x:v>exact_2020_supplement</x:v>
      </x:c>
      <x:c r="Q234" s="32" t="str">
        <x:v>2020 supplement MeanTL</x:v>
      </x:c>
      <x:c r="R234" s="24" t="str">
        <x:v>high</x:v>
      </x:c>
      <x:c r="S234" s="24" t="str">
        <x:v>Arnoglossus thori</x:v>
      </x:c>
      <x:c r="T234" s="32" t="n">
        <x:f>IF(O234="","",(1/'Metadata'!$B$5)^(O234-1))</x:f>
        <x:v>190.54607179632464</x:v>
      </x:c>
      <x:c r="U234" s="31" t="n">
        <x:f>IF(T234="","",I234*T234)</x:f>
        <x:v>2.503132157029143</x:v>
      </x:c>
    </x:row>
    <x:row r="235" ht="18" customHeight="1">
      <x:c r="A235" s="24" t="str">
        <x:v>EEZ_620</x:v>
      </x:c>
      <x:c r="B235" s="24" t="str">
        <x:v>Portugal (mainland)</x:v>
      </x:c>
      <x:c r="C235" s="24" t="str">
        <x:v>EEZ</x:v>
      </x:c>
      <x:c r="D235" s="30" t="n">
        <x:v>2019</x:v>
      </x:c>
      <x:c r="E235" s="24" t="str">
        <x:v>Carcharhinidae</x:v>
      </x:c>
      <x:c r="F235" s="24" t="str">
        <x:v>Requiem sharks</x:v>
      </x:c>
      <x:c r="G235" s="24" t="str">
        <x:v>Large sharks (&gt;=90 cm)</x:v>
      </x:c>
      <x:c r="H235" s="24" t="str">
        <x:v>Sharks &amp; rays</x:v>
      </x:c>
      <x:c r="I235" s="31" t="n">
        <x:v>0.009708428000000002</x:v>
      </x:c>
      <x:c r="J235" s="31" t="n">
        <x:v>0.009708428000000002</x:v>
      </x:c>
      <x:c r="K235" s="31" t="n">
        <x:v>0</x:v>
      </x:c>
      <x:c r="L235" s="31" t="n">
        <x:v>0.009708428000000002</x:v>
      </x:c>
      <x:c r="M235" s="31" t="n">
        <x:v>0</x:v>
      </x:c>
      <x:c r="N235" s="24" t="str">
        <x:v>carcharhinidae</x:v>
      </x:c>
      <x:c r="O235" s="32" t="n">
        <x:v>4.24</x:v>
      </x:c>
      <x:c r="P235" s="24" t="str">
        <x:v>exact_sea_around_us</x:v>
      </x:c>
      <x:c r="Q235" s="32" t="str">
        <x:v>Sea Around Us exploited organisms</x:v>
      </x:c>
      <x:c r="R235" s="24" t="str">
        <x:v>high</x:v>
      </x:c>
      <x:c r="S235" s="24" t="str">
        <x:v>Carcharhinidae</x:v>
      </x:c>
      <x:c r="T235" s="32" t="n">
        <x:f>IF(O235="","",(1/'Metadata'!$B$5)^(O235-1))</x:f>
        <x:v>1737.8008287493763</x:v>
      </x:c>
      <x:c r="U235" s="31" t="n">
        <x:f>IF(T235="","",I235*T235)</x:f>
        <x:v>16.871314224253652</x:v>
      </x:c>
    </x:row>
    <x:row r="236" ht="18" customHeight="1">
      <x:c r="A236" s="24" t="str">
        <x:v>EEZ_620</x:v>
      </x:c>
      <x:c r="B236" s="24" t="str">
        <x:v>Portugal (mainland)</x:v>
      </x:c>
      <x:c r="C236" s="24" t="str">
        <x:v>EEZ</x:v>
      </x:c>
      <x:c r="D236" s="30" t="n">
        <x:v>2019</x:v>
      </x:c>
      <x:c r="E236" s="24" t="str">
        <x:v>Auxis</x:v>
      </x:c>
      <x:c r="F236" s="24" t="str">
        <x:v>Bullet and frigate tunas</x:v>
      </x:c>
      <x:c r="G236" s="24" t="str">
        <x:v>Medium pelagics (30 - 89 cm)</x:v>
      </x:c>
      <x:c r="H236" s="24" t="str">
        <x:v>Tuna &amp; billfishes</x:v>
      </x:c>
      <x:c r="I236" s="31" t="n">
        <x:v>0.007480627</x:v>
      </x:c>
      <x:c r="J236" s="31" t="n">
        <x:v>0.007480627</x:v>
      </x:c>
      <x:c r="K236" s="31" t="n">
        <x:v>0</x:v>
      </x:c>
      <x:c r="L236" s="31" t="n">
        <x:v>0.007480627</x:v>
      </x:c>
      <x:c r="M236" s="31" t="n">
        <x:v>0</x:v>
      </x:c>
      <x:c r="N236" s="24" t="str">
        <x:v>auxis</x:v>
      </x:c>
      <x:c r="O236" s="32" t="n">
        <x:v>4.24</x:v>
      </x:c>
      <x:c r="P236" s="24" t="str">
        <x:v>exact_sea_around_us</x:v>
      </x:c>
      <x:c r="Q236" s="32" t="str">
        <x:v>Sea Around Us exploited organisms</x:v>
      </x:c>
      <x:c r="R236" s="24" t="str">
        <x:v>high</x:v>
      </x:c>
      <x:c r="S236" s="24" t="str">
        <x:v>Auxis</x:v>
      </x:c>
      <x:c r="T236" s="32" t="n">
        <x:f>IF(O236="","",(1/'Metadata'!$B$5)^(O236-1))</x:f>
        <x:v>1737.8008287493763</x:v>
      </x:c>
      <x:c r="U236" s="31" t="n">
        <x:f>IF(T236="","",I236*T236)</x:f>
        <x:v>12.99983980016496</x:v>
      </x:c>
    </x:row>
    <x:row r="237" ht="18" customHeight="1">
      <x:c r="A237" s="24" t="str">
        <x:v>EEZ_620</x:v>
      </x:c>
      <x:c r="B237" s="24" t="str">
        <x:v>Portugal (mainland)</x:v>
      </x:c>
      <x:c r="C237" s="24" t="str">
        <x:v>EEZ</x:v>
      </x:c>
      <x:c r="D237" s="30" t="n">
        <x:v>2019</x:v>
      </x:c>
      <x:c r="E237" s="24" t="str">
        <x:v>Polybius henslowii</x:v>
      </x:c>
      <x:c r="F237" s="24" t="str">
        <x:v>Henslow's swimming crab</x:v>
      </x:c>
      <x:c r="G237" s="24" t="str">
        <x:v>Lobsters, crabs</x:v>
      </x:c>
      <x:c r="H237" s="24" t="str">
        <x:v>Crustaceans</x:v>
      </x:c>
      <x:c r="I237" s="31" t="n">
        <x:v>0.0071654314</x:v>
      </x:c>
      <x:c r="J237" s="31" t="n">
        <x:v>0</x:v>
      </x:c>
      <x:c r="K237" s="31" t="n">
        <x:v>0.0071654314</x:v>
      </x:c>
      <x:c r="L237" s="31" t="n">
        <x:v>0</x:v>
      </x:c>
      <x:c r="M237" s="31" t="n">
        <x:v>0.0071654314</x:v>
      </x:c>
      <x:c r="N237" s="24" t="str">
        <x:v>polybius henslowii</x:v>
      </x:c>
      <x:c r="O237" s="32" t="n">
        <x:v>3.46</x:v>
      </x:c>
      <x:c r="P237" s="24" t="str">
        <x:v>exact_2020_supplement</x:v>
      </x:c>
      <x:c r="Q237" s="32" t="str">
        <x:v>2020 supplement MeanTL</x:v>
      </x:c>
      <x:c r="R237" s="24" t="str">
        <x:v>high</x:v>
      </x:c>
      <x:c r="S237" s="24" t="str">
        <x:v>Polybius henslowii</x:v>
      </x:c>
      <x:c r="T237" s="32" t="n">
        <x:f>IF(O237="","",(1/'Metadata'!$B$5)^(O237-1))</x:f>
        <x:v>288.40315031266056</x:v>
      </x:c>
      <x:c r="U237" s="31" t="n">
        <x:f>IF(T237="","",I237*T237)</x:f>
        <x:v>2.0665329891092576</x:v>
      </x:c>
    </x:row>
    <x:row r="238" ht="18" customHeight="1">
      <x:c r="A238" s="24" t="str">
        <x:v>EEZ_620</x:v>
      </x:c>
      <x:c r="B238" s="24" t="str">
        <x:v>Portugal (mainland)</x:v>
      </x:c>
      <x:c r="C238" s="24" t="str">
        <x:v>EEZ</x:v>
      </x:c>
      <x:c r="D238" s="30" t="n">
        <x:v>2019</x:v>
      </x:c>
      <x:c r="E238" s="24" t="str">
        <x:v>Tetraodontidae</x:v>
      </x:c>
      <x:c r="F238" s="24" t="str">
        <x:v>Puffers, tobies</x:v>
      </x:c>
      <x:c r="G238" s="24" t="str">
        <x:v>Large reef assoc. fish (&gt;=90 cm)</x:v>
      </x:c>
      <x:c r="H238" s="24" t="str">
        <x:v>Other fishes &amp; inverts</x:v>
      </x:c>
      <x:c r="I238" s="31" t="n">
        <x:v>0.0069980364</x:v>
      </x:c>
      <x:c r="J238" s="31" t="n">
        <x:v>0</x:v>
      </x:c>
      <x:c r="K238" s="31" t="n">
        <x:v>0.0069980364</x:v>
      </x:c>
      <x:c r="L238" s="31" t="n">
        <x:v>0</x:v>
      </x:c>
      <x:c r="M238" s="31" t="n">
        <x:v>0.0069980364</x:v>
      </x:c>
      <x:c r="N238" s="24" t="str">
        <x:v>tetraodontidae</x:v>
      </x:c>
      <x:c r="O238" s="32" t="n">
        <x:v>3.5</x:v>
      </x:c>
      <x:c r="P238" s="24" t="str">
        <x:v>exact_sea_around_us</x:v>
      </x:c>
      <x:c r="Q238" s="32" t="str">
        <x:v>Sea Around Us exploited organisms</x:v>
      </x:c>
      <x:c r="R238" s="24" t="str">
        <x:v>high</x:v>
      </x:c>
      <x:c r="S238" s="24" t="str">
        <x:v>Tetraodontidae</x:v>
      </x:c>
      <x:c r="T238" s="32" t="n">
        <x:f>IF(O238="","",(1/'Metadata'!$B$5)^(O238-1))</x:f>
        <x:v>316.22776601683796</x:v>
      </x:c>
      <x:c r="U238" s="31" t="n">
        <x:f>IF(T238="","",I238*T238)</x:f>
        <x:v>2.212973417276515</x:v>
      </x:c>
    </x:row>
    <x:row r="239" ht="18" customHeight="1">
      <x:c r="A239" s="24" t="str">
        <x:v>EEZ_620</x:v>
      </x:c>
      <x:c r="B239" s="24" t="str">
        <x:v>Portugal (mainland)</x:v>
      </x:c>
      <x:c r="C239" s="24" t="str">
        <x:v>EEZ</x:v>
      </x:c>
      <x:c r="D239" s="30" t="n">
        <x:v>2019</x:v>
      </x:c>
      <x:c r="E239" s="24" t="str">
        <x:v>Dasyatis</x:v>
      </x:c>
      <x:c r="F239" s="24" t="str">
        <x:v>Rough whip stingrays</x:v>
      </x:c>
      <x:c r="G239" s="24" t="str">
        <x:v>Large rays (&gt;=90 cm)</x:v>
      </x:c>
      <x:c r="H239" s="24" t="str">
        <x:v>Sharks &amp; rays</x:v>
      </x:c>
      <x:c r="I239" s="31" t="n">
        <x:v>0.0069980364</x:v>
      </x:c>
      <x:c r="J239" s="31" t="n">
        <x:v>0</x:v>
      </x:c>
      <x:c r="K239" s="31" t="n">
        <x:v>0.0069980364</x:v>
      </x:c>
      <x:c r="L239" s="31" t="n">
        <x:v>0</x:v>
      </x:c>
      <x:c r="M239" s="31" t="n">
        <x:v>0.0069980364</x:v>
      </x:c>
      <x:c r="N239" s="24" t="str">
        <x:v>dasyatis</x:v>
      </x:c>
      <x:c r="O239" s="32" t="n">
        <x:v>3.28</x:v>
      </x:c>
      <x:c r="P239" s="24" t="str">
        <x:v>exact_sea_around_us</x:v>
      </x:c>
      <x:c r="Q239" s="32" t="str">
        <x:v>Sea Around Us exploited organisms</x:v>
      </x:c>
      <x:c r="R239" s="24" t="str">
        <x:v>high</x:v>
      </x:c>
      <x:c r="S239" s="24" t="str">
        <x:v>Dasyatis</x:v>
      </x:c>
      <x:c r="T239" s="32" t="n">
        <x:f>IF(O239="","",(1/'Metadata'!$B$5)^(O239-1))</x:f>
        <x:v>190.54607179632464</x:v>
      </x:c>
      <x:c r="U239" s="31" t="n">
        <x:f>IF(T239="","",I239*T239)</x:f>
        <x:v>1.3334483463076932</x:v>
      </x:c>
    </x:row>
    <x:row r="240" ht="18" customHeight="1">
      <x:c r="A240" s="24" t="str">
        <x:v>EEZ_620</x:v>
      </x:c>
      <x:c r="B240" s="24" t="str">
        <x:v>Portugal (mainland)</x:v>
      </x:c>
      <x:c r="C240" s="24" t="str">
        <x:v>EEZ</x:v>
      </x:c>
      <x:c r="D240" s="30" t="n">
        <x:v>2019</x:v>
      </x:c>
      <x:c r="E240" s="24" t="str">
        <x:v>Ruditapes decussatus</x:v>
      </x:c>
      <x:c r="F240" s="24" t="str">
        <x:v>Grooved carpet shell</x:v>
      </x:c>
      <x:c r="G240" s="24" t="str">
        <x:v>Other demersal invertebrates</x:v>
      </x:c>
      <x:c r="H240" s="24" t="str">
        <x:v>Molluscs</x:v>
      </x:c>
      <x:c r="I240" s="31" t="n">
        <x:v>0.0057167421</x:v>
      </x:c>
      <x:c r="J240" s="31" t="n">
        <x:v>0.0057167421</x:v>
      </x:c>
      <x:c r="K240" s="31" t="n">
        <x:v>0</x:v>
      </x:c>
      <x:c r="L240" s="31" t="n">
        <x:v>0.0057167421</x:v>
      </x:c>
      <x:c r="M240" s="31" t="n">
        <x:v>0</x:v>
      </x:c>
      <x:c r="N240" s="24" t="str">
        <x:v>ruditapes decussatus</x:v>
      </x:c>
      <x:c r="O240" s="32" t="n">
        <x:v>2</x:v>
      </x:c>
      <x:c r="P240" s="24" t="str">
        <x:v>exact_2020_supplement</x:v>
      </x:c>
      <x:c r="Q240" s="32" t="str">
        <x:v>2020 supplement MeanTL</x:v>
      </x:c>
      <x:c r="R240" s="24" t="str">
        <x:v>high</x:v>
      </x:c>
      <x:c r="S240" s="24" t="str">
        <x:v>Ruditapes decussatus</x:v>
      </x:c>
      <x:c r="T240" s="32" t="n">
        <x:f>IF(O240="","",(1/'Metadata'!$B$5)^(O240-1))</x:f>
        <x:v>10</x:v>
      </x:c>
      <x:c r="U240" s="31" t="n">
        <x:f>IF(T240="","",I240*T240)</x:f>
        <x:v>0.057167420999999996</x:v>
      </x:c>
    </x:row>
    <x:row r="241" ht="18" customHeight="1">
      <x:c r="A241" s="24" t="str">
        <x:v>EEZ_620</x:v>
      </x:c>
      <x:c r="B241" s="24" t="str">
        <x:v>Portugal (mainland)</x:v>
      </x:c>
      <x:c r="C241" s="24" t="str">
        <x:v>EEZ</x:v>
      </x:c>
      <x:c r="D241" s="30" t="n">
        <x:v>2019</x:v>
      </x:c>
      <x:c r="E241" s="24" t="str">
        <x:v>Teuthida</x:v>
      </x:c>
      <x:c r="F241" s="24" t="str">
        <x:v>Squids</x:v>
      </x:c>
      <x:c r="G241" s="24" t="str">
        <x:v>Cephalopods</x:v>
      </x:c>
      <x:c r="H241" s="24" t="str">
        <x:v>Other fishes &amp; inverts</x:v>
      </x:c>
      <x:c r="I241" s="31" t="n">
        <x:v>0.0054372909</x:v>
      </x:c>
      <x:c r="J241" s="31" t="n">
        <x:v>0.0054372909</x:v>
      </x:c>
      <x:c r="K241" s="31" t="n">
        <x:v>0</x:v>
      </x:c>
      <x:c r="L241" s="31" t="n">
        <x:v>0.0054372909</x:v>
      </x:c>
      <x:c r="M241" s="31" t="n">
        <x:v>0</x:v>
      </x:c>
      <x:c r="N241" s="24" t="str">
        <x:v>teuthida</x:v>
      </x:c>
      <x:c r="O241" s="32" t="n">
        <x:v>4.13</x:v>
      </x:c>
      <x:c r="P241" s="24" t="str">
        <x:v>exact_sea_around_us</x:v>
      </x:c>
      <x:c r="Q241" s="32" t="str">
        <x:v>Sea Around Us exploited organisms</x:v>
      </x:c>
      <x:c r="R241" s="24" t="str">
        <x:v>high</x:v>
      </x:c>
      <x:c r="S241" s="24" t="str">
        <x:v>Teuthida</x:v>
      </x:c>
      <x:c r="T241" s="32" t="n">
        <x:f>IF(O241="","",(1/'Metadata'!$B$5)^(O241-1))</x:f>
        <x:v>1348.9628825916532</x:v>
      </x:c>
      <x:c r="U241" s="31" t="n">
        <x:f>IF(T241="","",I241*T241)</x:f>
        <x:v>7.334703605953364</x:v>
      </x:c>
    </x:row>
    <x:row r="242" ht="18" customHeight="1">
      <x:c r="A242" s="24" t="str">
        <x:v>EEZ_620</x:v>
      </x:c>
      <x:c r="B242" s="24" t="str">
        <x:v>Portugal (mainland)</x:v>
      </x:c>
      <x:c r="C242" s="24" t="str">
        <x:v>EEZ</x:v>
      </x:c>
      <x:c r="D242" s="30" t="n">
        <x:v>2019</x:v>
      </x:c>
      <x:c r="E242" s="24" t="str">
        <x:v>Goneplax rhomboides</x:v>
      </x:c>
      <x:c r="F242" s="24" t="str">
        <x:v>Goneplax rhomboides</x:v>
      </x:c>
      <x:c r="G242" s="24" t="str">
        <x:v>Lobsters, crabs</x:v>
      </x:c>
      <x:c r="H242" s="24" t="str">
        <x:v>Crustaceans</x:v>
      </x:c>
      <x:c r="I242" s="31" t="n">
        <x:v>0.0047769543</x:v>
      </x:c>
      <x:c r="J242" s="31" t="n">
        <x:v>0</x:v>
      </x:c>
      <x:c r="K242" s="31" t="n">
        <x:v>0.0047769543</x:v>
      </x:c>
      <x:c r="L242" s="31" t="n">
        <x:v>0</x:v>
      </x:c>
      <x:c r="M242" s="31" t="n">
        <x:v>0.0047769543</x:v>
      </x:c>
      <x:c r="N242" s="24" t="str">
        <x:v>goneplax rhomboides</x:v>
      </x:c>
      <x:c r="O242" s="32" t="n">
        <x:v>2.82</x:v>
      </x:c>
      <x:c r="P242" s="24" t="str">
        <x:v>exact_sea_around_us</x:v>
      </x:c>
      <x:c r="Q242" s="32" t="str">
        <x:v>Sea Around Us exploited organisms</x:v>
      </x:c>
      <x:c r="R242" s="24" t="str">
        <x:v>high</x:v>
      </x:c>
      <x:c r="S242" s="24" t="str">
        <x:v>Goneplax rhomboides</x:v>
      </x:c>
      <x:c r="T242" s="32" t="n">
        <x:f>IF(O242="","",(1/'Metadata'!$B$5)^(O242-1))</x:f>
        <x:v>66.06934480075958</x:v>
      </x:c>
      <x:c r="U242" s="31" t="n">
        <x:f>IF(T242="","",I242*T242)</x:f>
        <x:v>0.3156102407441711</x:v>
      </x:c>
    </x:row>
    <x:row r="243" ht="18" customHeight="1">
      <x:c r="A243" s="24" t="str">
        <x:v>EEZ_620</x:v>
      </x:c>
      <x:c r="B243" s="24" t="str">
        <x:v>Portugal (mainland)</x:v>
      </x:c>
      <x:c r="C243" s="24" t="str">
        <x:v>EEZ</x:v>
      </x:c>
      <x:c r="D243" s="30" t="n">
        <x:v>2019</x:v>
      </x:c>
      <x:c r="E243" s="24" t="str">
        <x:v>Naucrates ductor</x:v>
      </x:c>
      <x:c r="F243" s="24" t="str">
        <x:v>Pilotfish</x:v>
      </x:c>
      <x:c r="G243" s="24" t="str">
        <x:v>Medium pelagics (30 - 89 cm)</x:v>
      </x:c>
      <x:c r="H243" s="24" t="str">
        <x:v>Perch-likes</x:v>
      </x:c>
      <x:c r="I243" s="31" t="n">
        <x:v>0.0044614314</x:v>
      </x:c>
      <x:c r="J243" s="31" t="n">
        <x:v>0</x:v>
      </x:c>
      <x:c r="K243" s="31" t="n">
        <x:v>0.0044614314</x:v>
      </x:c>
      <x:c r="L243" s="31" t="n">
        <x:v>0</x:v>
      </x:c>
      <x:c r="M243" s="31" t="n">
        <x:v>0.0044614314</x:v>
      </x:c>
      <x:c r="N243" s="24" t="str">
        <x:v>naucrates ductor</x:v>
      </x:c>
      <x:c r="O243" s="32" t="n">
        <x:v>3.98</x:v>
      </x:c>
      <x:c r="P243" s="24" t="str">
        <x:v>exact_2020_supplement</x:v>
      </x:c>
      <x:c r="Q243" s="32" t="str">
        <x:v>2020 supplement MeanTL</x:v>
      </x:c>
      <x:c r="R243" s="24" t="str">
        <x:v>high</x:v>
      </x:c>
      <x:c r="S243" s="24" t="str">
        <x:v>Naucrates ductor</x:v>
      </x:c>
      <x:c r="T243" s="32" t="n">
        <x:f>IF(O243="","",(1/'Metadata'!$B$5)^(O243-1))</x:f>
        <x:v>954.992586021436</x:v>
      </x:c>
      <x:c r="U243" s="31" t="n">
        <x:f>IF(T243="","",I243*T243)</x:f>
        <x:v>4.260633910043236</x:v>
      </x:c>
    </x:row>
    <x:row r="244" ht="18" customHeight="1">
      <x:c r="A244" s="24" t="str">
        <x:v>EEZ_620</x:v>
      </x:c>
      <x:c r="B244" s="24" t="str">
        <x:v>Portugal (mainland)</x:v>
      </x:c>
      <x:c r="C244" s="24" t="str">
        <x:v>EEZ</x:v>
      </x:c>
      <x:c r="D244" s="30" t="n">
        <x:v>2019</x:v>
      </x:c>
      <x:c r="E244" s="24" t="str">
        <x:v>Trachichthyidae</x:v>
      </x:c>
      <x:c r="F244" s="24" t="str">
        <x:v>Slimeheads</x:v>
      </x:c>
      <x:c r="G244" s="24" t="str">
        <x:v>Medium bathypelagics (30 - 89 cm)</x:v>
      </x:c>
      <x:c r="H244" s="24" t="str">
        <x:v>Other fishes &amp; inverts</x:v>
      </x:c>
      <x:c r="I244" s="31" t="n">
        <x:v>0.0044614314</x:v>
      </x:c>
      <x:c r="J244" s="31" t="n">
        <x:v>0</x:v>
      </x:c>
      <x:c r="K244" s="31" t="n">
        <x:v>0.0044614314</x:v>
      </x:c>
      <x:c r="L244" s="31" t="n">
        <x:v>0</x:v>
      </x:c>
      <x:c r="M244" s="31" t="n">
        <x:v>0.0044614314</x:v>
      </x:c>
      <x:c r="N244" s="24" t="str">
        <x:v>trachichthyidae</x:v>
      </x:c>
      <x:c r="O244" s="32" t="n">
        <x:v>3.72</x:v>
      </x:c>
      <x:c r="P244" s="24" t="str">
        <x:v>exact_sea_around_us</x:v>
      </x:c>
      <x:c r="Q244" s="32" t="str">
        <x:v>Sea Around Us exploited organisms</x:v>
      </x:c>
      <x:c r="R244" s="24" t="str">
        <x:v>high</x:v>
      </x:c>
      <x:c r="S244" s="24" t="str">
        <x:v>Trachichthyidae</x:v>
      </x:c>
      <x:c r="T244" s="32" t="n">
        <x:f>IF(O244="","",(1/'Metadata'!$B$5)^(O244-1))</x:f>
        <x:v>524.8074602497728</x:v>
      </x:c>
      <x:c r="U244" s="31" t="n">
        <x:f>IF(T244="","",I244*T244)</x:f>
        <x:v>2.3413924821125884</x:v>
      </x:c>
    </x:row>
    <x:row r="245" ht="18" customHeight="1">
      <x:c r="A245" s="24" t="str">
        <x:v>EEZ_620</x:v>
      </x:c>
      <x:c r="B245" s="24" t="str">
        <x:v>Portugal (mainland)</x:v>
      </x:c>
      <x:c r="C245" s="24" t="str">
        <x:v>EEZ</x:v>
      </x:c>
      <x:c r="D245" s="30" t="n">
        <x:v>2019</x:v>
      </x:c>
      <x:c r="E245" s="24" t="str">
        <x:v>Rajiformes</x:v>
      </x:c>
      <x:c r="F245" s="24" t="str">
        <x:v>Skates and rays</x:v>
      </x:c>
      <x:c r="G245" s="24" t="str">
        <x:v>Large rays (&gt;=90 cm)</x:v>
      </x:c>
      <x:c r="H245" s="24" t="str">
        <x:v>Sharks &amp; rays</x:v>
      </x:c>
      <x:c r="I245" s="31" t="n">
        <x:v>0.0044310629</x:v>
      </x:c>
      <x:c r="J245" s="31" t="n">
        <x:v>0.0044310629</x:v>
      </x:c>
      <x:c r="K245" s="31" t="n">
        <x:v>0</x:v>
      </x:c>
      <x:c r="L245" s="31" t="n">
        <x:v>0.0044310629</x:v>
      </x:c>
      <x:c r="M245" s="31" t="n">
        <x:v>0</x:v>
      </x:c>
      <x:c r="N245" s="24" t="str">
        <x:v>rajiformes</x:v>
      </x:c>
      <x:c r="O245" s="32" t="n">
        <x:v>3.61</x:v>
      </x:c>
      <x:c r="P245" s="24" t="str">
        <x:v>exact_sea_around_us</x:v>
      </x:c>
      <x:c r="Q245" s="32" t="str">
        <x:v>Sea Around Us exploited organisms</x:v>
      </x:c>
      <x:c r="R245" s="24" t="str">
        <x:v>high</x:v>
      </x:c>
      <x:c r="S245" s="24" t="str">
        <x:v>Rajiformes</x:v>
      </x:c>
      <x:c r="T245" s="32" t="n">
        <x:f>IF(O245="","",(1/'Metadata'!$B$5)^(O245-1))</x:f>
        <x:v>407.3802778041126</x:v>
      </x:c>
      <x:c r="U245" s="31" t="n">
        <x:f>IF(T245="","",I245*T245)</x:f>
        <x:v>1.805127635169497</x:v>
      </x:c>
    </x:row>
    <x:row r="246" ht="18" customHeight="1">
      <x:c r="A246" s="24" t="str">
        <x:v>EEZ_620</x:v>
      </x:c>
      <x:c r="B246" s="24" t="str">
        <x:v>Portugal (mainland)</x:v>
      </x:c>
      <x:c r="C246" s="24" t="str">
        <x:v>EEZ</x:v>
      </x:c>
      <x:c r="D246" s="30" t="n">
        <x:v>2019</x:v>
      </x:c>
      <x:c r="E246" s="24" t="str">
        <x:v>Necora puber</x:v>
      </x:c>
      <x:c r="F246" s="24" t="str">
        <x:v>Velvet swimcrab</x:v>
      </x:c>
      <x:c r="G246" s="24" t="str">
        <x:v>Lobsters, crabs</x:v>
      </x:c>
      <x:c r="H246" s="24" t="str">
        <x:v>Crustaceans</x:v>
      </x:c>
      <x:c r="I246" s="31" t="n">
        <x:v>0.0042162588999999995</x:v>
      </x:c>
      <x:c r="J246" s="31" t="n">
        <x:v>0.0042162588999999995</x:v>
      </x:c>
      <x:c r="K246" s="31" t="n">
        <x:v>0</x:v>
      </x:c>
      <x:c r="L246" s="31" t="n">
        <x:v>0.0042162588999999995</x:v>
      </x:c>
      <x:c r="M246" s="31" t="n">
        <x:v>0</x:v>
      </x:c>
      <x:c r="N246" s="24" t="str">
        <x:v>necora puber</x:v>
      </x:c>
      <x:c r="O246" s="32" t="n">
        <x:v>2.6</x:v>
      </x:c>
      <x:c r="P246" s="24" t="str">
        <x:v>exact_sea_around_us</x:v>
      </x:c>
      <x:c r="Q246" s="32" t="str">
        <x:v>Sea Around Us exploited organisms</x:v>
      </x:c>
      <x:c r="R246" s="24" t="str">
        <x:v>high</x:v>
      </x:c>
      <x:c r="S246" s="24" t="str">
        <x:v>Necora puber</x:v>
      </x:c>
      <x:c r="T246" s="32" t="n">
        <x:f>IF(O246="","",(1/'Metadata'!$B$5)^(O246-1))</x:f>
        <x:v>39.810717055349734</x:v>
      </x:c>
      <x:c r="U246" s="31" t="n">
        <x:f>IF(T246="","",I246*T246)</x:f>
        <x:v>0.16785229010000008</x:v>
      </x:c>
    </x:row>
    <x:row r="247" ht="18" customHeight="1">
      <x:c r="A247" s="24" t="str">
        <x:v>EEZ_620</x:v>
      </x:c>
      <x:c r="B247" s="24" t="str">
        <x:v>Portugal (mainland)</x:v>
      </x:c>
      <x:c r="C247" s="24" t="str">
        <x:v>EEZ</x:v>
      </x:c>
      <x:c r="D247" s="30" t="n">
        <x:v>2019</x:v>
      </x:c>
      <x:c r="E247" s="24" t="str">
        <x:v>Clupeidae</x:v>
      </x:c>
      <x:c r="F247" s="24" t="str">
        <x:v>Herrings, sardines, menhadens</x:v>
      </x:c>
      <x:c r="G247" s="24" t="str">
        <x:v>Small pelagics (&lt;30 cm)</x:v>
      </x:c>
      <x:c r="H247" s="24" t="str">
        <x:v>Herring-likes</x:v>
      </x:c>
      <x:c r="I247" s="31" t="n">
        <x:v>0.0038438070000000003</x:v>
      </x:c>
      <x:c r="J247" s="31" t="n">
        <x:v>0.0038438070000000003</x:v>
      </x:c>
      <x:c r="K247" s="31" t="n">
        <x:v>0</x:v>
      </x:c>
      <x:c r="L247" s="31" t="n">
        <x:v>0.0038438070000000003</x:v>
      </x:c>
      <x:c r="M247" s="31" t="n">
        <x:v>0</x:v>
      </x:c>
      <x:c r="N247" s="24" t="str">
        <x:v>clupeidae</x:v>
      </x:c>
      <x:c r="O247" s="32" t="n">
        <x:v>3.16</x:v>
      </x:c>
      <x:c r="P247" s="24" t="str">
        <x:v>exact_sea_around_us</x:v>
      </x:c>
      <x:c r="Q247" s="32" t="str">
        <x:v>Sea Around Us exploited organisms</x:v>
      </x:c>
      <x:c r="R247" s="24" t="str">
        <x:v>high</x:v>
      </x:c>
      <x:c r="S247" s="24" t="str">
        <x:v>Clupeidae</x:v>
      </x:c>
      <x:c r="T247" s="32" t="n">
        <x:f>IF(O247="","",(1/'Metadata'!$B$5)^(O247-1))</x:f>
        <x:v>144.5439770745928</x:v>
      </x:c>
      <x:c r="U247" s="31" t="n">
        <x:f>IF(T247="","",I247*T247)</x:f>
        <x:v>0.5555991508871593</x:v>
      </x:c>
    </x:row>
    <x:row r="248" ht="18" customHeight="1">
      <x:c r="A248" s="24" t="str">
        <x:v>EEZ_620</x:v>
      </x:c>
      <x:c r="B248" s="24" t="str">
        <x:v>Portugal (mainland)</x:v>
      </x:c>
      <x:c r="C248" s="24" t="str">
        <x:v>EEZ</x:v>
      </x:c>
      <x:c r="D248" s="30" t="n">
        <x:v>2019</x:v>
      </x:c>
      <x:c r="E248" s="24" t="str">
        <x:v>Ostrea edulis</x:v>
      </x:c>
      <x:c r="F248" s="24" t="str">
        <x:v>European flat oyster</x:v>
      </x:c>
      <x:c r="G248" s="24" t="str">
        <x:v>Other demersal invertebrates</x:v>
      </x:c>
      <x:c r="H248" s="24" t="str">
        <x:v>Molluscs</x:v>
      </x:c>
      <x:c r="I248" s="31" t="n">
        <x:v>0.0035819759999999997</x:v>
      </x:c>
      <x:c r="J248" s="31" t="n">
        <x:v>0.0035819759999999997</x:v>
      </x:c>
      <x:c r="K248" s="31" t="n">
        <x:v>0</x:v>
      </x:c>
      <x:c r="L248" s="31" t="n">
        <x:v>0.0035819759999999997</x:v>
      </x:c>
      <x:c r="M248" s="31" t="n">
        <x:v>0</x:v>
      </x:c>
      <x:c r="N248" s="24" t="str">
        <x:v>ostrea edulis</x:v>
      </x:c>
      <x:c r="O248" s="32" t="n">
        <x:v>2</x:v>
      </x:c>
      <x:c r="P248" s="24" t="str">
        <x:v>exact_2020_supplement</x:v>
      </x:c>
      <x:c r="Q248" s="32" t="str">
        <x:v>2020 supplement MeanTL</x:v>
      </x:c>
      <x:c r="R248" s="24" t="str">
        <x:v>high</x:v>
      </x:c>
      <x:c r="S248" s="24" t="str">
        <x:v>Ostrea edulis</x:v>
      </x:c>
      <x:c r="T248" s="32" t="n">
        <x:f>IF(O248="","",(1/'Metadata'!$B$5)^(O248-1))</x:f>
        <x:v>10</x:v>
      </x:c>
      <x:c r="U248" s="31" t="n">
        <x:f>IF(T248="","",I248*T248)</x:f>
        <x:v>0.03581976</x:v>
      </x:c>
    </x:row>
    <x:row r="249" ht="18" customHeight="1">
      <x:c r="A249" s="24" t="str">
        <x:v>EEZ_620</x:v>
      </x:c>
      <x:c r="B249" s="24" t="str">
        <x:v>Portugal (mainland)</x:v>
      </x:c>
      <x:c r="C249" s="24" t="str">
        <x:v>EEZ</x:v>
      </x:c>
      <x:c r="D249" s="30" t="n">
        <x:v>2019</x:v>
      </x:c>
      <x:c r="E249" s="24" t="str">
        <x:v>Auxis thazard</x:v>
      </x:c>
      <x:c r="F249" s="24" t="str">
        <x:v>Frigate tuna</x:v>
      </x:c>
      <x:c r="G249" s="24" t="str">
        <x:v>Medium pelagics (30 - 89 cm)</x:v>
      </x:c>
      <x:c r="H249" s="24" t="str">
        <x:v>Tuna &amp; billfishes</x:v>
      </x:c>
      <x:c r="I249" s="31" t="n">
        <x:v>0.003300033</x:v>
      </x:c>
      <x:c r="J249" s="31" t="n">
        <x:v>0.003300033</x:v>
      </x:c>
      <x:c r="K249" s="31" t="n">
        <x:v>0</x:v>
      </x:c>
      <x:c r="L249" s="31" t="n">
        <x:v>0.003300033</x:v>
      </x:c>
      <x:c r="M249" s="31" t="n">
        <x:v>0</x:v>
      </x:c>
      <x:c r="N249" s="24" t="str">
        <x:v>auxis thazard</x:v>
      </x:c>
      <x:c r="O249" s="32" t="n">
        <x:v>4.37</x:v>
      </x:c>
      <x:c r="P249" s="24" t="str">
        <x:v>exact_2020_supplement</x:v>
      </x:c>
      <x:c r="Q249" s="32" t="str">
        <x:v>2020 supplement MeanTL</x:v>
      </x:c>
      <x:c r="R249" s="24" t="str">
        <x:v>high</x:v>
      </x:c>
      <x:c r="S249" s="24" t="str">
        <x:v>Auxis thazard</x:v>
      </x:c>
      <x:c r="T249" s="32" t="n">
        <x:f>IF(O249="","",(1/'Metadata'!$B$5)^(O249-1))</x:f>
        <x:v>2344.228815319923</x:v>
      </x:c>
      <x:c r="U249" s="31" t="n">
        <x:f>IF(T249="","",I249*T249)</x:f>
        <x:v>7.736032450106651</x:v>
      </x:c>
    </x:row>
    <x:row r="250" ht="18" customHeight="1">
      <x:c r="A250" s="24" t="str">
        <x:v>EEZ_620</x:v>
      </x:c>
      <x:c r="B250" s="24" t="str">
        <x:v>Portugal (mainland)</x:v>
      </x:c>
      <x:c r="C250" s="24" t="str">
        <x:v>EEZ</x:v>
      </x:c>
      <x:c r="D250" s="30" t="n">
        <x:v>2019</x:v>
      </x:c>
      <x:c r="E250" s="24" t="str">
        <x:v>Palaemon serratus</x:v>
      </x:c>
      <x:c r="F250" s="24" t="str">
        <x:v>Common prawn</x:v>
      </x:c>
      <x:c r="G250" s="24" t="str">
        <x:v>Shrimps</x:v>
      </x:c>
      <x:c r="H250" s="24" t="str">
        <x:v>Crustaceans</x:v>
      </x:c>
      <x:c r="I250" s="31" t="n">
        <x:v>0.002052979</x:v>
      </x:c>
      <x:c r="J250" s="31" t="n">
        <x:v>0.002052979</x:v>
      </x:c>
      <x:c r="K250" s="31" t="n">
        <x:v>0</x:v>
      </x:c>
      <x:c r="L250" s="31" t="n">
        <x:v>0.002052979</x:v>
      </x:c>
      <x:c r="M250" s="31" t="n">
        <x:v>0</x:v>
      </x:c>
      <x:c r="N250" s="24" t="str">
        <x:v>palaemon serratus</x:v>
      </x:c>
      <x:c r="O250" s="32" t="n">
        <x:v>2.69</x:v>
      </x:c>
      <x:c r="P250" s="24" t="str">
        <x:v>exact_2020_supplement</x:v>
      </x:c>
      <x:c r="Q250" s="32" t="str">
        <x:v>2020 supplement MeanTL</x:v>
      </x:c>
      <x:c r="R250" s="24" t="str">
        <x:v>high</x:v>
      </x:c>
      <x:c r="S250" s="24" t="str">
        <x:v>Palaemon serratus</x:v>
      </x:c>
      <x:c r="T250" s="32" t="n">
        <x:f>IF(O250="","",(1/'Metadata'!$B$5)^(O250-1))</x:f>
        <x:v>48.97788193684461</x:v>
      </x:c>
      <x:c r="U250" s="31" t="n">
        <x:f>IF(T250="","",I250*T250)</x:f>
        <x:v>0.1005505630808213</x:v>
      </x:c>
    </x:row>
    <x:row r="251" ht="18" customHeight="1">
      <x:c r="A251" s="24" t="str">
        <x:v>EEZ_620</x:v>
      </x:c>
      <x:c r="B251" s="24" t="str">
        <x:v>Portugal (mainland)</x:v>
      </x:c>
      <x:c r="C251" s="24" t="str">
        <x:v>EEZ</x:v>
      </x:c>
      <x:c r="D251" s="30" t="n">
        <x:v>2019</x:v>
      </x:c>
      <x:c r="E251" s="24" t="str">
        <x:v>Platichthys flesus</x:v>
      </x:c>
      <x:c r="F251" s="24" t="str">
        <x:v>European flounder</x:v>
      </x:c>
      <x:c r="G251" s="24" t="str">
        <x:v>Small to medium flatfishes (&lt;90 cm)</x:v>
      </x:c>
      <x:c r="H251" s="24" t="str">
        <x:v>Flatfishes</x:v>
      </x:c>
      <x:c r="I251" s="31" t="n">
        <x:v>0.0003061191</x:v>
      </x:c>
      <x:c r="J251" s="31" t="n">
        <x:v>0.0003061191</x:v>
      </x:c>
      <x:c r="K251" s="31" t="n">
        <x:v>0</x:v>
      </x:c>
      <x:c r="L251" s="31" t="n">
        <x:v>0.0003061191</x:v>
      </x:c>
      <x:c r="M251" s="31" t="n">
        <x:v>0</x:v>
      </x:c>
      <x:c r="N251" s="24" t="str">
        <x:v>platichthys flesus</x:v>
      </x:c>
      <x:c r="O251" s="32" t="n">
        <x:v>3.32</x:v>
      </x:c>
      <x:c r="P251" s="24" t="str">
        <x:v>exact_2020_supplement</x:v>
      </x:c>
      <x:c r="Q251" s="32" t="str">
        <x:v>2020 supplement MeanTL</x:v>
      </x:c>
      <x:c r="R251" s="24" t="str">
        <x:v>high</x:v>
      </x:c>
      <x:c r="S251" s="24" t="str">
        <x:v>Platichthys flesus</x:v>
      </x:c>
      <x:c r="T251" s="32" t="n">
        <x:f>IF(O251="","",(1/'Metadata'!$B$5)^(O251-1))</x:f>
        <x:v>208.92961308540387</x:v>
      </x:c>
      <x:c r="U251" s="31" t="n">
        <x:f>IF(T251="","",I251*T251)</x:f>
        <x:v>0.06395734512105206</x:v>
      </x:c>
    </x:row>
    <x:row r="252" ht="18" customHeight="1">
      <x:c r="A252" s="24" t="str">
        <x:v>EEZ_620</x:v>
      </x:c>
      <x:c r="B252" s="24" t="str">
        <x:v>Portugal (mainland)</x:v>
      </x:c>
      <x:c r="C252" s="24" t="str">
        <x:v>EEZ</x:v>
      </x:c>
      <x:c r="D252" s="30" t="n">
        <x:v>2019</x:v>
      </x:c>
      <x:c r="E252" s="24" t="str">
        <x:v>Alosa</x:v>
      </x:c>
      <x:c r="F252" s="24" t="str">
        <x:v>Shads</x:v>
      </x:c>
      <x:c r="G252" s="24" t="str">
        <x:v>Medium pelagics (30 - 89 cm)</x:v>
      </x:c>
      <x:c r="H252" s="24" t="str">
        <x:v>Herring-likes</x:v>
      </x:c>
      <x:c r="I252" s="31" t="n">
        <x:v>0.00026001999999999997</x:v>
      </x:c>
      <x:c r="J252" s="31" t="n">
        <x:v>0.00026001999999999997</x:v>
      </x:c>
      <x:c r="K252" s="31" t="n">
        <x:v>0</x:v>
      </x:c>
      <x:c r="L252" s="31" t="n">
        <x:v>0.00026001999999999997</x:v>
      </x:c>
      <x:c r="M252" s="31" t="n">
        <x:v>0</x:v>
      </x:c>
      <x:c r="N252" s="24" t="str">
        <x:v>alosa</x:v>
      </x:c>
      <x:c r="O252" s="32" t="n">
        <x:v>3.89</x:v>
      </x:c>
      <x:c r="P252" s="24" t="str">
        <x:v>exact_sea_around_us</x:v>
      </x:c>
      <x:c r="Q252" s="32" t="str">
        <x:v>Sea Around Us exploited organisms</x:v>
      </x:c>
      <x:c r="R252" s="24" t="str">
        <x:v>high</x:v>
      </x:c>
      <x:c r="S252" s="24" t="str">
        <x:v>Alosa</x:v>
      </x:c>
      <x:c r="T252" s="32" t="n">
        <x:f>IF(O252="","",(1/'Metadata'!$B$5)^(O252-1))</x:f>
        <x:v>776.247116628692</x:v>
      </x:c>
      <x:c r="U252" s="31" t="n">
        <x:f>IF(T252="","",I252*T252)</x:f>
        <x:v>0.20183977526579247</x:v>
      </x:c>
    </x:row>
    <x:row r="253" ht="18" customHeight="1">
      <x:c r="A253" s="24" t="str">
        <x:v>EEZ_620</x:v>
      </x:c>
      <x:c r="B253" s="24" t="str">
        <x:v>Portugal (mainland)</x:v>
      </x:c>
      <x:c r="C253" s="24" t="str">
        <x:v>EEZ</x:v>
      </x:c>
      <x:c r="D253" s="30" t="n">
        <x:v>2019</x:v>
      </x:c>
      <x:c r="E253" s="24" t="str">
        <x:v>Mustelus mustelus</x:v>
      </x:c>
      <x:c r="F253" s="24" t="str">
        <x:v>Smooth-hound</x:v>
      </x:c>
      <x:c r="G253" s="24" t="str">
        <x:v>Large sharks (&gt;=90 cm)</x:v>
      </x:c>
      <x:c r="H253" s="24" t="str">
        <x:v>Sharks &amp; rays</x:v>
      </x:c>
      <x:c r="I253" s="31" t="n">
        <x:v>0.00017611409999999998</x:v>
      </x:c>
      <x:c r="J253" s="31" t="n">
        <x:v>0.00017611409999999998</x:v>
      </x:c>
      <x:c r="K253" s="31" t="n">
        <x:v>0</x:v>
      </x:c>
      <x:c r="L253" s="31" t="n">
        <x:v>0.00017611409999999998</x:v>
      </x:c>
      <x:c r="M253" s="31" t="n">
        <x:v>0</x:v>
      </x:c>
      <x:c r="N253" s="24" t="str">
        <x:v>mustelus mustelus</x:v>
      </x:c>
      <x:c r="O253" s="32" t="n">
        <x:v>3.75</x:v>
      </x:c>
      <x:c r="P253" s="24" t="str">
        <x:v>exact_2020_supplement</x:v>
      </x:c>
      <x:c r="Q253" s="32" t="str">
        <x:v>2020 supplement MeanTL</x:v>
      </x:c>
      <x:c r="R253" s="24" t="str">
        <x:v>high</x:v>
      </x:c>
      <x:c r="S253" s="24" t="str">
        <x:v>Mustelus mustelus</x:v>
      </x:c>
      <x:c r="T253" s="32" t="n">
        <x:f>IF(O253="","",(1/'Metadata'!$B$5)^(O253-1))</x:f>
        <x:v>562.341325190349</x:v>
      </x:c>
      <x:c r="U253" s="31" t="n">
        <x:f>IF(T253="","",I253*T253)</x:f>
        <x:v>0.09903623637870564</x:v>
      </x:c>
    </x:row>
    <x:row r="254" ht="18" customHeight="1">
      <x:c r="A254" s="24" t="str">
        <x:v>EEZ_620</x:v>
      </x:c>
      <x:c r="B254" s="24" t="str">
        <x:v>Portugal (mainland)</x:v>
      </x:c>
      <x:c r="C254" s="24" t="str">
        <x:v>EEZ</x:v>
      </x:c>
      <x:c r="D254" s="30" t="n">
        <x:v>2019</x:v>
      </x:c>
      <x:c r="E254" s="24" t="str">
        <x:v>Mimachlamys varia</x:v>
      </x:c>
      <x:c r="F254" s="24" t="str">
        <x:v>Variegated scallop</x:v>
      </x:c>
      <x:c r="G254" s="24" t="str">
        <x:v>Other demersal invertebrates</x:v>
      </x:c>
      <x:c r="H254" s="24" t="str">
        <x:v>Molluscs</x:v>
      </x:c>
      <x:c r="I254" s="31" t="n">
        <x:v>0.000171022</x:v>
      </x:c>
      <x:c r="J254" s="31" t="n">
        <x:v>0.000171022</x:v>
      </x:c>
      <x:c r="K254" s="31" t="n">
        <x:v>0</x:v>
      </x:c>
      <x:c r="L254" s="31" t="n">
        <x:v>0.000171022</x:v>
      </x:c>
      <x:c r="M254" s="31" t="n">
        <x:v>0</x:v>
      </x:c>
      <x:c r="N254" s="24" t="str">
        <x:v>mimachlamys varia</x:v>
      </x:c>
      <x:c r="O254" s="32" t="n">
        <x:v>2.1</x:v>
      </x:c>
      <x:c r="P254" s="24" t="str">
        <x:v>exact_sea_around_us</x:v>
      </x:c>
      <x:c r="Q254" s="32" t="str">
        <x:v>Sea Around Us exploited organisms</x:v>
      </x:c>
      <x:c r="R254" s="24" t="str">
        <x:v>high</x:v>
      </x:c>
      <x:c r="S254" s="24" t="str">
        <x:v>Mimachlamys varia</x:v>
      </x:c>
      <x:c r="T254" s="32" t="n">
        <x:f>IF(O254="","",(1/'Metadata'!$B$5)^(O254-1))</x:f>
        <x:v>12.589254117941675</x:v>
      </x:c>
      <x:c r="U254" s="31" t="n">
        <x:f>IF(T254="","",I254*T254)</x:f>
        <x:v>0.002153039417758621</x:v>
      </x:c>
    </x:row>
    <x:row r="255" ht="18" customHeight="1">
      <x:c r="A255" s="24" t="str">
        <x:v>EEZ_620</x:v>
      </x:c>
      <x:c r="B255" s="24" t="str">
        <x:v>Portugal (mainland)</x:v>
      </x:c>
      <x:c r="C255" s="24" t="str">
        <x:v>EEZ</x:v>
      </x:c>
      <x:c r="D255" s="30" t="n">
        <x:v>2019</x:v>
      </x:c>
      <x:c r="E255" s="24" t="str">
        <x:v>Lamnidae</x:v>
      </x:c>
      <x:c r="F255" s="24" t="str">
        <x:v>Mackerel/white sharks</x:v>
      </x:c>
      <x:c r="G255" s="24" t="str">
        <x:v>Large sharks (&gt;=90 cm)</x:v>
      </x:c>
      <x:c r="H255" s="24" t="str">
        <x:v>Sharks &amp; rays</x:v>
      </x:c>
      <x:c r="I255" s="31" t="n">
        <x:v>0.0000513001</x:v>
      </x:c>
      <x:c r="J255" s="31" t="n">
        <x:v>0.0000513001</x:v>
      </x:c>
      <x:c r="K255" s="31" t="n">
        <x:v>0</x:v>
      </x:c>
      <x:c r="L255" s="31" t="n">
        <x:v>0.0000513001</x:v>
      </x:c>
      <x:c r="M255" s="31" t="n">
        <x:v>0</x:v>
      </x:c>
      <x:c r="N255" s="24" t="str">
        <x:v>lamnidae</x:v>
      </x:c>
      <x:c r="O255" s="32" t="n">
        <x:v>4.5</x:v>
      </x:c>
      <x:c r="P255" s="24" t="str">
        <x:v>exact_sea_around_us</x:v>
      </x:c>
      <x:c r="Q255" s="32" t="str">
        <x:v>Sea Around Us exploited organisms</x:v>
      </x:c>
      <x:c r="R255" s="24" t="str">
        <x:v>high</x:v>
      </x:c>
      <x:c r="S255" s="24" t="str">
        <x:v>Lamnidae</x:v>
      </x:c>
      <x:c r="T255" s="32" t="n">
        <x:f>IF(O255="","",(1/'Metadata'!$B$5)^(O255-1))</x:f>
        <x:v>3162.2776601683795</x:v>
      </x:c>
      <x:c r="U255" s="31" t="n">
        <x:f>IF(T255="","",I255*T255)</x:f>
        <x:v>0.1622251601944039</x:v>
      </x:c>
    </x:row>
  </x:sheetData>
  <x:conditionalFormatting sqref="R2:R255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82d61f5528eb4771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commercial_group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Anchovies</x:v>
      </x:c>
      <x:c r="B2" s="31" t="n">
        <x:v>9116.998411403</x:v>
      </x:c>
      <x:c r="C2" s="32" t="n">
        <x:v>3.11</x:v>
      </x:c>
      <x:c r="D2" s="32" t="n">
        <x:f>IF(C2="","",(1/'Metadata'!$B$5)^(C2-1))</x:f>
        <x:v>128.82495516931337</x:v>
      </x:c>
      <x:c r="E2" s="31" t="n">
        <x:f>IF(B2=0,"",B2*D2)</x:f>
        <x:v>1174496.9116276926</x:v>
      </x:c>
    </x:row>
    <x:row r="3" ht="18" customHeight="1">
      <x:c r="A3" s="24" t="str">
        <x:v>Cod-likes</x:v>
      </x:c>
      <x:c r="B3" s="31" t="n">
        <x:v>15800.0944865726</x:v>
      </x:c>
      <x:c r="C3" s="32" t="n">
        <x:v>4.205179355878875</x:v>
      </x:c>
      <x:c r="D3" s="32" t="n">
        <x:f>IF(C3="","",(1/'Metadata'!$B$5)^(C3-1))</x:f>
        <x:v>1603.9076391944034</x:v>
      </x:c>
      <x:c r="E3" s="31" t="n">
        <x:f>IF(B3=0,"",B3*D3)</x:f>
        <x:v>25341892.24700717</x:v>
      </x:c>
    </x:row>
    <x:row r="4" ht="18" customHeight="1">
      <x:c r="A4" s="24" t="str">
        <x:v>Crustaceans</x:v>
      </x:c>
      <x:c r="B4" s="31" t="n">
        <x:v>3563.1982984037004</x:v>
      </x:c>
      <x:c r="C4" s="32" t="n">
        <x:v>2.9566632136637603</x:v>
      </x:c>
      <x:c r="D4" s="32" t="n">
        <x:f>IF(C4="","",(1/'Metadata'!$B$5)^(C4-1))</x:f>
        <x:v>90.50304963767528</x:v>
      </x:c>
      <x:c r="E4" s="31" t="n">
        <x:f>IF(B4=0,"",B4*D4)</x:f>
        <x:v>322480.3124693102</x:v>
      </x:c>
    </x:row>
    <x:row r="5" ht="18" customHeight="1">
      <x:c r="A5" s="24" t="str">
        <x:v>Flatfishes</x:v>
      </x:c>
      <x:c r="B5" s="31" t="n">
        <x:v>2272.6173424501</x:v>
      </x:c>
      <x:c r="C5" s="32" t="n">
        <x:v>3.418196348772205</x:v>
      </x:c>
      <x:c r="D5" s="32" t="n">
        <x:f>IF(C5="","",(1/'Metadata'!$B$5)^(C5-1))</x:f>
        <x:v>261.9366981922614</x:v>
      </x:c>
      <x:c r="E5" s="31" t="n">
        <x:f>IF(B5=0,"",B5*D5)</x:f>
        <x:v>595281.882935851</x:v>
      </x:c>
    </x:row>
    <x:row r="6" ht="18" customHeight="1">
      <x:c r="A6" s="24" t="str">
        <x:v>Herring-likes</x:v>
      </x:c>
      <x:c r="B6" s="31" t="n">
        <x:v>15506.9186895417</x:v>
      </x:c>
      <x:c r="C6" s="32" t="n">
        <x:v>3.0595278189260204</x:v>
      </x:c>
      <x:c r="D6" s="32" t="n">
        <x:f>IF(C6="","",(1/'Metadata'!$B$5)^(C6-1))</x:f>
        <x:v>114.69059846420761</x:v>
      </x:c>
      <x:c r="E6" s="31" t="n">
        <x:f>IF(B6=0,"",B6*D6)</x:f>
        <x:v>1778497.7848393437</x:v>
      </x:c>
    </x:row>
    <x:row r="7" ht="18" customHeight="1">
      <x:c r="A7" s="24" t="str">
        <x:v>Molluscs</x:v>
      </x:c>
      <x:c r="B7" s="31" t="n">
        <x:v>22123.0754307498</x:v>
      </x:c>
      <x:c r="C7" s="32" t="n">
        <x:v>2.1025167846775066</x:v>
      </x:c>
      <x:c r="D7" s="32" t="n">
        <x:f>IF(C7="","",(1/'Metadata'!$B$5)^(C7-1))</x:f>
        <x:v>12.662422044816743</x:v>
      </x:c>
      <x:c r="E7" s="31" t="n">
        <x:f>IF(B7=0,"",B7*D7)</x:f>
        <x:v>280131.7180334699</x:v>
      </x:c>
    </x:row>
    <x:row r="8" ht="18" customHeight="1">
      <x:c r="A8" s="24" t="str">
        <x:v>Other fishes &amp; inverts</x:v>
      </x:c>
      <x:c r="B8" s="31" t="n">
        <x:v>77927.2213024661</x:v>
      </x:c>
      <x:c r="C8" s="32" t="n">
        <x:v>3.37700987636544</x:v>
      </x:c>
      <x:c r="D8" s="32" t="n">
        <x:f>IF(C8="","",(1/'Metadata'!$B$5)^(C8-1))</x:f>
        <x:v>238.23736467111345</x:v>
      </x:c>
      <x:c r="E8" s="31" t="n">
        <x:f>IF(B8=0,"",B8*D8)</x:f>
        <x:v>18565175.83924218</x:v>
      </x:c>
    </x:row>
    <x:row r="9" ht="18" customHeight="1">
      <x:c r="A9" s="24" t="str">
        <x:v>Perch-likes</x:v>
      </x:c>
      <x:c r="B9" s="31" t="n">
        <x:v>47090.93277804871</x:v>
      </x:c>
      <x:c r="C9" s="32" t="n">
        <x:v>3.5302258132764743</x:v>
      </x:c>
      <x:c r="D9" s="32" t="n">
        <x:f>IF(C9="","",(1/'Metadata'!$B$5)^(C9-1))</x:f>
        <x:v>339.0203854214815</x:v>
      </x:c>
      <x:c r="E9" s="31" t="n">
        <x:f>IF(B9=0,"",B9*D9)</x:f>
        <x:v>15964786.180271149</x:v>
      </x:c>
    </x:row>
    <x:row r="10" ht="18" customHeight="1">
      <x:c r="A10" s="24" t="str">
        <x:v>Salmon, smelts, etc</x:v>
      </x:c>
      <x:c r="B10" s="31" t="n">
        <x:v>13.5193801076</x:v>
      </x:c>
      <x:c r="C10" s="32" t="n">
        <x:v>3.641780804069816</x:v>
      </x:c>
      <x:c r="D10" s="32" t="n">
        <x:f>IF(C10="","",(1/'Metadata'!$B$5)^(C10-1))</x:f>
        <x:v>438.30941959960074</x:v>
      </x:c>
      <x:c r="E10" s="31" t="n">
        <x:f>IF(B10=0,"",B10*D10)</x:f>
        <x:v>5925.671648308544</x:v>
      </x:c>
    </x:row>
    <x:row r="11" ht="18" customHeight="1">
      <x:c r="A11" s="24" t="str">
        <x:v>Scorpionfishes</x:v>
      </x:c>
      <x:c r="B11" s="31" t="n">
        <x:v>3102.6986700854004</x:v>
      </x:c>
      <x:c r="C11" s="32" t="n">
        <x:v>3.6805376807945414</x:v>
      </x:c>
      <x:c r="D11" s="32" t="n">
        <x:f>IF(C11="","",(1/'Metadata'!$B$5)^(C11-1))</x:f>
        <x:v>479.22303004527225</x:v>
      </x:c>
      <x:c r="E11" s="31" t="n">
        <x:f>IF(B11=0,"",B11*D11)</x:f>
        <x:v>1486884.657995762</x:v>
      </x:c>
    </x:row>
    <x:row r="12" ht="18" customHeight="1">
      <x:c r="A12" s="24" t="str">
        <x:v>Sharks &amp; rays</x:v>
      </x:c>
      <x:c r="B12" s="31" t="n">
        <x:v>4802.3628283926</x:v>
      </x:c>
      <x:c r="C12" s="32" t="n">
        <x:v>4.049841449111585</x:v>
      </x:c>
      <x:c r="D12" s="32" t="n">
        <x:f>IF(C12="","",(1/'Metadata'!$B$5)^(C12-1))</x:f>
        <x:v>1121.6089060321544</x:v>
      </x:c>
      <x:c r="E12" s="31" t="n">
        <x:f>IF(B12=0,"",B12*D12)</x:f>
        <x:v>5386372.918322907</x:v>
      </x:c>
    </x:row>
    <x:row r="13" ht="18" customHeight="1">
      <x:c r="A13" s="24" t="str">
        <x:v>Tuna &amp; billfishes</x:v>
      </x:c>
      <x:c r="B13" s="31" t="n">
        <x:v>7022.950843518501</x:v>
      </x:c>
      <x:c r="C13" s="32" t="n">
        <x:v>4.456688404613193</x:v>
      </x:c>
      <x:c r="D13" s="32" t="n">
        <x:f>IF(C13="","",(1/'Metadata'!$B$5)^(C13-1))</x:f>
        <x:v>2862.1237311454183</x:v>
      </x:c>
      <x:c r="E13" s="31" t="n">
        <x:f>IF(B13=0,"",B13*D13)</x:f>
        <x:v>20100554.271902036</x:v>
      </x:c>
    </x:row>
  </x:sheetData>
  <x:pageMargins left="0.7" right="0.7" top="0.75" bottom="0.75" header="0.3" footer="0.3"/>
  <x:tableParts count="1">
    <x:tablePart xmlns:r="http://schemas.openxmlformats.org/officeDocument/2006/relationships" r:id="R99a8e3e629b7458c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functional_group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Cephalopods</x:v>
      </x:c>
      <x:c r="B2" s="31" t="n">
        <x:v>8573.338679366701</x:v>
      </x:c>
      <x:c r="C2" s="32" t="n">
        <x:v>3.728524940183368</x:v>
      </x:c>
      <x:c r="D2" s="32" t="n">
        <x:f>IF(C2="","",(1/'Metadata'!$B$5)^(C2-1))</x:f>
        <x:v>535.2108883879722</x:v>
      </x:c>
      <x:c r="E2" s="31" t="n">
        <x:f>IF(B2=0,"",B2*D2)</x:f>
        <x:v>4588544.211034817</x:v>
      </x:c>
    </x:row>
    <x:row r="3" ht="18" customHeight="1">
      <x:c r="A3" s="24" t="str">
        <x:v>Jellyfish</x:v>
      </x:c>
      <x:c r="B3" s="31" t="n">
        <x:v>55.7760596857</x:v>
      </x:c>
      <x:c r="C3" s="32" t="n">
        <x:v>2.5</x:v>
      </x:c>
      <x:c r="D3" s="32" t="n">
        <x:f>IF(C3="","",(1/'Metadata'!$B$5)^(C3-1))</x:f>
        <x:v>31.622776601683793</x:v>
      </x:c>
      <x:c r="E3" s="31" t="n">
        <x:f>IF(B3=0,"",B3*D3)</x:f>
        <x:v>1763.7938751630725</x:v>
      </x:c>
    </x:row>
    <x:row r="4" ht="18" customHeight="1">
      <x:c r="A4" s="24" t="str">
        <x:v>Large bathydemersals (&gt;=90 cm)</x:v>
      </x:c>
      <x:c r="B4" s="31" t="n">
        <x:v>549.6119668549</x:v>
      </x:c>
      <x:c r="C4" s="32" t="n">
        <x:v>3.864319954165887</x:v>
      </x:c>
      <x:c r="D4" s="32" t="n">
        <x:f>IF(C4="","",(1/'Metadata'!$B$5)^(C4-1))</x:f>
        <x:v>731.6779279715224</x:v>
      </x:c>
      <x:c r="E4" s="31" t="n">
        <x:f>IF(B4=0,"",B4*D4)</x:f>
        <x:v>402138.94509674626</x:v>
      </x:c>
    </x:row>
    <x:row r="5" ht="18" customHeight="1">
      <x:c r="A5" s="24" t="str">
        <x:v>Large bathypelagics (&gt;=90 cm)</x:v>
      </x:c>
      <x:c r="B5" s="31" t="n">
        <x:v>10.1367283968</x:v>
      </x:c>
      <x:c r="C5" s="32" t="n">
        <x:v>4.32790608354371</x:v>
      </x:c>
      <x:c r="D5" s="32" t="n">
        <x:f>IF(C5="","",(1/'Metadata'!$B$5)^(C5-1))</x:f>
        <x:v>2127.678884325442</x:v>
      </x:c>
      <x:c r="E5" s="31" t="n">
        <x:f>IF(B5=0,"",B5*D5)</x:f>
        <x:v>21567.702966013454</x:v>
      </x:c>
    </x:row>
    <x:row r="6" ht="18" customHeight="1">
      <x:c r="A6" s="24" t="str">
        <x:v>Large benthopelagics (&gt;=90 cm)</x:v>
      </x:c>
      <x:c r="B6" s="31" t="n">
        <x:v>2737.6064074107003</x:v>
      </x:c>
      <x:c r="C6" s="32" t="n">
        <x:v>4.4474892000098425</x:v>
      </x:c>
      <x:c r="D6" s="32" t="n">
        <x:f>IF(C6="","",(1/'Metadata'!$B$5)^(C6-1))</x:f>
        <x:v>2802.1359375742722</x:v>
      </x:c>
      <x:c r="E6" s="31" t="n">
        <x:f>IF(B6=0,"",B6*D6)</x:f>
        <x:v>7671145.2971391175</x:v>
      </x:c>
    </x:row>
    <x:row r="7" ht="18" customHeight="1">
      <x:c r="A7" s="24" t="str">
        <x:v>Large demersals (&gt;=90 cm)</x:v>
      </x:c>
      <x:c r="B7" s="31" t="n">
        <x:v>9532.888872831698</x:v>
      </x:c>
      <x:c r="C7" s="32" t="n">
        <x:v>4.356357665922701</x:v>
      </x:c>
      <x:c r="D7" s="32" t="n">
        <x:f>IF(C7="","",(1/'Metadata'!$B$5)^(C7-1))</x:f>
        <x:v>2271.7349831788565</x:v>
      </x:c>
      <x:c r="E7" s="31" t="n">
        <x:f>IF(B7=0,"",B7*D7)</x:f>
        <x:v>21656197.143168226</x:v>
      </x:c>
    </x:row>
    <x:row r="8" ht="18" customHeight="1">
      <x:c r="A8" s="24" t="str">
        <x:v>Large flatfishes (&gt;=90 cm)</x:v>
      </x:c>
      <x:c r="B8" s="31" t="n">
        <x:v>201.36562391950002</x:v>
      </x:c>
      <x:c r="C8" s="32" t="n">
        <x:v>3.741708138892999</x:v>
      </x:c>
      <x:c r="D8" s="32" t="n">
        <x:f>IF(C8="","",(1/'Metadata'!$B$5)^(C8-1))</x:f>
        <x:v>551.706548539711</x:v>
      </x:c>
      <x:c r="E8" s="31" t="n">
        <x:f>IF(B8=0,"",B8*D8)</x:f>
        <x:v>111094.73336717283</x:v>
      </x:c>
    </x:row>
    <x:row r="9" ht="18" customHeight="1">
      <x:c r="A9" s="24" t="str">
        <x:v>Large pelagics (&gt;=90 cm)</x:v>
      </x:c>
      <x:c r="B9" s="31" t="n">
        <x:v>6383.1728986032995</x:v>
      </x:c>
      <x:c r="C9" s="32" t="n">
        <x:v>4.45755939454604</x:v>
      </x:c>
      <x:c r="D9" s="32" t="n">
        <x:f>IF(C9="","",(1/'Metadata'!$B$5)^(C9-1))</x:f>
        <x:v>2867.8695614613716</x:v>
      </x:c>
      <x:c r="E9" s="31" t="n">
        <x:f>IF(B9=0,"",B9*D9)</x:f>
        <x:v>18306107.261449557</x:v>
      </x:c>
    </x:row>
    <x:row r="10" ht="18" customHeight="1">
      <x:c r="A10" s="24" t="str">
        <x:v>Large rays (&gt;=90 cm)</x:v>
      </x:c>
      <x:c r="B10" s="31" t="n">
        <x:v>1207.7295651646</x:v>
      </x:c>
      <x:c r="C10" s="32" t="n">
        <x:v>3.8192186844384537</x:v>
      </x:c>
      <x:c r="D10" s="32" t="n">
        <x:f>IF(C10="","",(1/'Metadata'!$B$5)^(C10-1))</x:f>
        <x:v>659.5058989379143</x:v>
      </x:c>
      <x:c r="E10" s="31" t="n">
        <x:f>IF(B10=0,"",B10*D10)</x:f>
        <x:v>796504.7725477758</x:v>
      </x:c>
    </x:row>
    <x:row r="11" ht="18" customHeight="1">
      <x:c r="A11" s="24" t="str">
        <x:v>Large reef assoc. fish (&gt;=90 cm)</x:v>
      </x:c>
      <x:c r="B11" s="31" t="n">
        <x:v>1449.0186513533001</x:v>
      </x:c>
      <x:c r="C11" s="32" t="n">
        <x:v>3.720438168500555</x:v>
      </x:c>
      <x:c r="D11" s="32" t="n">
        <x:f>IF(C11="","",(1/'Metadata'!$B$5)^(C11-1))</x:f>
        <x:v>525.3372163236367</x:v>
      </x:c>
      <x:c r="E11" s="31" t="n">
        <x:f>IF(B11=0,"",B11*D11)</x:f>
        <x:v>761223.4247029729</x:v>
      </x:c>
    </x:row>
    <x:row r="12" ht="18" customHeight="1">
      <x:c r="A12" s="24" t="str">
        <x:v>Large sharks (&gt;=90 cm)</x:v>
      </x:c>
      <x:c r="B12" s="31" t="n">
        <x:v>2696.2215416799004</x:v>
      </x:c>
      <x:c r="C12" s="32" t="n">
        <x:v>4.196623891527958</x:v>
      </x:c>
      <x:c r="D12" s="32" t="n">
        <x:f>IF(C12="","",(1/'Metadata'!$B$5)^(C12-1))</x:f>
        <x:v>1572.620351122295</x:v>
      </x:c>
      <x:c r="E12" s="31" t="n">
        <x:f>IF(B12=0,"",B12*D12)</x:f>
        <x:v>4240132.867580141</x:v>
      </x:c>
    </x:row>
    <x:row r="13" ht="18" customHeight="1">
      <x:c r="A13" s="24" t="str">
        <x:v>Lobsters, crabs</x:v>
      </x:c>
      <x:c r="B13" s="31" t="n">
        <x:v>678.4125050268002</x:v>
      </x:c>
      <x:c r="C13" s="32" t="n">
        <x:v>3.2266790093354074</x:v>
      </x:c>
      <x:c r="D13" s="32" t="n">
        <x:f>IF(C13="","",(1/'Metadata'!$B$5)^(C13-1))</x:f>
        <x:v>168.5306940569322</x:v>
      </x:c>
      <x:c r="E13" s="31" t="n">
        <x:f>IF(B13=0,"",B13*D13)</x:f>
        <x:v>114333.33032906863</x:v>
      </x:c>
    </x:row>
    <x:row r="14" ht="18" customHeight="1">
      <x:c r="A14" s="24" t="str">
        <x:v>Medium bathydemersals (30 - 89 cm)</x:v>
      </x:c>
      <x:c r="B14" s="31" t="n">
        <x:v>1334.8700840535</x:v>
      </x:c>
      <x:c r="C14" s="32" t="n">
        <x:v>4.005016019795369</x:v>
      </x:c>
      <x:c r="D14" s="32" t="n">
        <x:f>IF(C14="","",(1/'Metadata'!$B$5)^(C14-1))</x:f>
        <x:v>1011.6167690207759</x:v>
      </x:c>
      <x:c r="E14" s="31" t="n">
        <x:f>IF(B14=0,"",B14*D14)</x:f>
        <x:v>1350376.9614926933</x:v>
      </x:c>
    </x:row>
    <x:row r="15" ht="18" customHeight="1">
      <x:c r="A15" s="24" t="str">
        <x:v>Medium bathypelagics (30 - 89 cm)</x:v>
      </x:c>
      <x:c r="B15" s="31" t="n">
        <x:v>13.9934229344</x:v>
      </x:c>
      <x:c r="C15" s="32" t="n">
        <x:v>4.064768651793691</x:v>
      </x:c>
      <x:c r="D15" s="32" t="n">
        <x:f>IF(C15="","",(1/'Metadata'!$B$5)^(C15-1))</x:f>
        <x:v>1160.8300761669836</x:v>
      </x:c>
      <x:c r="E15" s="31" t="n">
        <x:f>IF(B15=0,"",B15*D15)</x:f>
        <x:v>16243.986210776367</x:v>
      </x:c>
    </x:row>
    <x:row r="16" ht="18" customHeight="1">
      <x:c r="A16" s="24" t="str">
        <x:v>Medium benthopelagics (30 - 89 cm)</x:v>
      </x:c>
      <x:c r="B16" s="31" t="n">
        <x:v>20243.774984654698</x:v>
      </x:c>
      <x:c r="C16" s="32" t="n">
        <x:v>3.6756785773335983</x:v>
      </x:c>
      <x:c r="D16" s="32" t="n">
        <x:f>IF(C16="","",(1/'Metadata'!$B$5)^(C16-1))</x:f>
        <x:v>473.89112717674215</x:v>
      </x:c>
      <x:c r="E16" s="31" t="n">
        <x:f>IF(B16=0,"",B16*D16)</x:f>
        <x:v>9593345.34579035</x:v>
      </x:c>
    </x:row>
    <x:row r="17" ht="18" customHeight="1">
      <x:c r="A17" s="24" t="str">
        <x:v>Medium demersals (30 - 89 cm)</x:v>
      </x:c>
      <x:c r="B17" s="31" t="n">
        <x:v>70168.3424921693</x:v>
      </x:c>
      <x:c r="C17" s="32" t="n">
        <x:v>3.267444107595902</x:v>
      </x:c>
      <x:c r="D17" s="32" t="n">
        <x:f>IF(C17="","",(1/'Metadata'!$B$5)^(C17-1))</x:f>
        <x:v>185.116064002289</x:v>
      </x:c>
      <x:c r="E17" s="31" t="n">
        <x:f>IF(B17=0,"",B17*D17)</x:f>
        <x:v>12989287.379714945</x:v>
      </x:c>
    </x:row>
    <x:row r="18" ht="18" customHeight="1">
      <x:c r="A18" s="24" t="str">
        <x:v>Medium pelagics (30 - 89 cm)</x:v>
      </x:c>
      <x:c r="B18" s="31" t="n">
        <x:v>25936.3280586704</x:v>
      </x:c>
      <x:c r="C18" s="32" t="n">
        <x:v>3.684928101452713</x:v>
      </x:c>
      <x:c r="D18" s="32" t="n">
        <x:f>IF(C18="","",(1/'Metadata'!$B$5)^(C18-1))</x:f>
        <x:v>484.0922182616309</x:v>
      </x:c>
      <x:c r="E18" s="31" t="n">
        <x:f>IF(B18=0,"",B18*D18)</x:f>
        <x:v>12555574.583483132</x:v>
      </x:c>
    </x:row>
    <x:row r="19" ht="18" customHeight="1">
      <x:c r="A19" s="24" t="str">
        <x:v>Medium reef assoc. fish (30 - 89 cm)</x:v>
      </x:c>
      <x:c r="B19" s="31" t="n">
        <x:v>396.36398120940004</x:v>
      </x:c>
      <x:c r="C19" s="32" t="n">
        <x:v>2.5444536064347285</x:v>
      </x:c>
      <x:c r="D19" s="32" t="n">
        <x:f>IF(C19="","",(1/'Metadata'!$B$5)^(C19-1))</x:f>
        <x:v>35.031086429844315</x:v>
      </x:c>
      <x:c r="E19" s="31" t="n">
        <x:f>IF(B19=0,"",B19*D19)</x:f>
        <x:v>13885.060883423681</x:v>
      </x:c>
    </x:row>
    <x:row r="20" ht="18" customHeight="1">
      <x:c r="A20" s="24" t="str">
        <x:v>Other demersal invertebrates</x:v>
      </x:c>
      <x:c r="B20" s="31" t="n">
        <x:v>22824.9697860347</x:v>
      </x:c>
      <x:c r="C20" s="32" t="n">
        <x:v>2.1055692621695052</x:v>
      </x:c>
      <x:c r="D20" s="32" t="n">
        <x:f>IF(C20="","",(1/'Metadata'!$B$5)^(C20-1))</x:f>
        <x:v>12.751734509899201</x:v>
      </x:c>
      <x:c r="E20" s="31" t="n">
        <x:f>IF(B20=0,"",B20*D20)</x:f>
        <x:v>291057.9549079853</x:v>
      </x:c>
    </x:row>
    <x:row r="21" ht="18" customHeight="1">
      <x:c r="A21" s="24" t="str">
        <x:v>Shrimps</x:v>
      </x:c>
      <x:c r="B21" s="31" t="n">
        <x:v>2884.7581300387997</x:v>
      </x:c>
      <x:c r="C21" s="32" t="n">
        <x:v>2.893162815044167</x:v>
      </x:c>
      <x:c r="D21" s="32" t="n">
        <x:f>IF(C21="","",(1/'Metadata'!$B$5)^(C21-1))</x:f>
        <x:v>78.19208882643954</x:v>
      </x:c>
      <x:c r="E21" s="31" t="n">
        <x:f>IF(B21=0,"",B21*D21)</x:f>
        <x:v>225565.26394678745</x:v>
      </x:c>
    </x:row>
    <x:row r="22" ht="18" customHeight="1">
      <x:c r="A22" s="24" t="str">
        <x:v>Small benthopelagics (&lt;30 cm)</x:v>
      </x:c>
      <x:c r="B22" s="31" t="n">
        <x:v>2.4431820094</x:v>
      </x:c>
      <x:c r="C22" s="32" t="n">
        <x:v>3.64</x:v>
      </x:c>
      <x:c r="D22" s="32" t="n">
        <x:f>IF(C22="","",(1/'Metadata'!$B$5)^(C22-1))</x:f>
        <x:v>436.5158322401661</x:v>
      </x:c>
      <x:c r="E22" s="31" t="n">
        <x:f>IF(B22=0,"",B22*D22)</x:f>
        <x:v>1066.4876281474424</x:v>
      </x:c>
    </x:row>
    <x:row r="23" ht="18" customHeight="1">
      <x:c r="A23" s="24" t="str">
        <x:v>Small demersals (&lt;30 cm)</x:v>
      </x:c>
      <x:c r="B23" s="31" t="n">
        <x:v>2944.5043071177</x:v>
      </x:c>
      <x:c r="C23" s="32" t="n">
        <x:v>3.3218283086212486</x:v>
      </x:c>
      <x:c r="D23" s="32" t="n">
        <x:f>IF(C23="","",(1/'Metadata'!$B$5)^(C23-1))</x:f>
        <x:v>209.8110265303007</x:v>
      </x:c>
      <x:c r="E23" s="31" t="n">
        <x:f>IF(B23=0,"",B23*D23)</x:f>
        <x:v>617789.4712992564</x:v>
      </x:c>
    </x:row>
    <x:row r="24" ht="18" customHeight="1">
      <x:c r="A24" s="24" t="str">
        <x:v>Small pelagics (&lt;30 cm)</x:v>
      </x:c>
      <x:c r="B24" s="31" t="n">
        <x:v>24547.297092474902</x:v>
      </x:c>
      <x:c r="C24" s="32" t="n">
        <x:v>3.0792678686259856</x:v>
      </x:c>
      <x:c r="D24" s="32" t="n">
        <x:f>IF(C24="","",(1/'Metadata'!$B$5)^(C24-1))</x:f>
        <x:v>120.02393709003508</x:v>
      </x:c>
      <x:c r="E24" s="31" t="n">
        <x:f>IF(B24=0,"",B24*D24)</x:f>
        <x:v>2946263.2419576086</x:v>
      </x:c>
    </x:row>
    <x:row r="25" ht="18" customHeight="1">
      <x:c r="A25" s="24" t="str">
        <x:v>Small to medium flatfishes (&lt;90 cm)</x:v>
      </x:c>
      <x:c r="B25" s="31" t="n">
        <x:v>2071.2517185306</x:v>
      </x:c>
      <x:c r="C25" s="32" t="n">
        <x:v>3.386744761850069</x:v>
      </x:c>
      <x:c r="D25" s="32" t="n">
        <x:f>IF(C25="","",(1/'Metadata'!$B$5)^(C25-1))</x:f>
        <x:v>243.6378519450588</x:v>
      </x:c>
      <x:c r="E25" s="31" t="n">
        <x:f>IF(B25=0,"",B25*D25)</x:f>
        <x:v>504635.3195403069</x:v>
      </x:c>
    </x:row>
    <x:row r="26" ht="18" customHeight="1">
      <x:c r="A26" s="24" t="str">
        <x:v>Small to medium rays (&lt;90 cm)</x:v>
      </x:c>
      <x:c r="B26" s="31" t="n">
        <x:v>17.351899696999997</x:v>
      </x:c>
      <x:c r="C26" s="32" t="n">
        <x:v>3.977180706322983</x:v>
      </x:c>
      <x:c r="D26" s="32" t="n">
        <x:f>IF(C26="","",(1/'Metadata'!$B$5)^(C26-1))</x:f>
        <x:v>948.81317445018</x:v>
      </x:c>
      <x:c r="E26" s="31" t="n">
        <x:f>IF(B26=0,"",B26*D26)</x:f>
        <x:v>16463.711034251683</x:v>
      </x:c>
    </x:row>
    <x:row r="27" ht="18" customHeight="1">
      <x:c r="A27" s="24" t="str">
        <x:v>Small to medium sharks (&lt;90 cm)</x:v>
      </x:c>
      <x:c r="B27" s="31" t="n">
        <x:v>881.0598218510999</x:v>
      </x:c>
      <x:c r="C27" s="32" t="n">
        <x:v>3.9182190018148058</x:v>
      </x:c>
      <x:c r="D27" s="32" t="n">
        <x:f>IF(C27="","",(1/'Metadata'!$B$5)^(C27-1))</x:f>
        <x:v>828.3597756530974</x:v>
      </x:c>
      <x:c r="E27" s="31" t="n">
        <x:f>IF(B27=0,"",B27*D27)</x:f>
        <x:v>729834.516365535</x:v>
      </x:c>
    </x:row>
  </x:sheetData>
  <x:pageMargins left="0.7" right="0.7" top="0.75" bottom="0.75" header="0.3" footer="0.3"/>
  <x:tableParts count="1">
    <x:tablePart xmlns:r="http://schemas.openxmlformats.org/officeDocument/2006/relationships" r:id="Rf1c6374d19a7418c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EEZ_620</x:v>
      </x:c>
      <x:c r="B2" s="24" t="str">
        <x:v>raw_filtered_tonnes</x:v>
      </x:c>
      <x:c r="C2" s="24" t="n">
        <x:v>208342.58846173983</x:v>
      </x:c>
      <x:c r="D2" s="24" t="str">
        <x:v>tonnes</x:v>
      </x:c>
    </x:row>
    <x:row r="3" ht="18" customHeight="1">
      <x:c r="A3" s="24" t="str">
        <x:v>EEZ_620</x:v>
      </x:c>
      <x:c r="B3" s="24" t="str">
        <x:v>species_catch_tonnes</x:v>
      </x:c>
      <x:c r="C3" s="24" t="n">
        <x:v>208342.58846173977</x:v>
      </x:c>
      <x:c r="D3" s="24" t="str">
        <x:v>tonnes</x:v>
      </x:c>
    </x:row>
    <x:row r="4" ht="18" customHeight="1">
      <x:c r="A4" s="24" t="str">
        <x:v>EEZ_620</x:v>
      </x:c>
      <x:c r="B4" s="24" t="str">
        <x:v>catch_difference_tonnes</x:v>
      </x:c>
      <x:c r="C4" s="24" t="n">
        <x:v>-5.820766091346741e-11</x:v>
      </x:c>
      <x:c r="D4" s="24" t="str">
        <x:v>tonnes</x:v>
      </x:c>
    </x:row>
    <x:row r="5" ht="18" customHeight="1">
      <x:c r="A5" s="24" t="str">
        <x:v>EEZ_620</x:v>
      </x:c>
      <x:c r="B5" s="24" t="str">
        <x:v>catch_reconciled</x:v>
      </x:c>
      <x:c r="C5" s="33" t="b">
        <x:v>1</x:v>
      </x:c>
      <x:c r="D5" s="24" t="str">
        <x:v>boolean</x:v>
      </x:c>
    </x:row>
    <x:row r="6" ht="18" customHeight="1">
      <x:c r="A6" s="24" t="str">
        <x:v>EEZ_620</x:v>
      </x:c>
      <x:c r="B6" s="24" t="str">
        <x:v>matched_catch_tonnes</x:v>
      </x:c>
      <x:c r="C6" s="24" t="n">
        <x:v>208342.58846173977</x:v>
      </x:c>
      <x:c r="D6" s="24" t="str">
        <x:v>tonnes</x:v>
      </x:c>
    </x:row>
    <x:row r="7" ht="18" customHeight="1">
      <x:c r="A7" s="24" t="str">
        <x:v>EEZ_620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EEZ_620</x:v>
      </x:c>
      <x:c r="B8" s="24" t="str">
        <x:v>taxa_count</x:v>
      </x:c>
      <x:c r="C8" s="24" t="n">
        <x:v>254</x:v>
      </x:c>
      <x:c r="D8" s="24" t="str">
        <x:v>count</x:v>
      </x:c>
    </x:row>
    <x:row r="9" ht="18" customHeight="1">
      <x:c r="A9" s="24" t="str">
        <x:v>EEZ_620</x:v>
      </x:c>
      <x:c r="B9" s="24" t="str">
        <x:v>matched_taxa_count</x:v>
      </x:c>
      <x:c r="C9" s="24" t="n">
        <x:v>254</x:v>
      </x:c>
      <x:c r="D9" s="24" t="str">
        <x:v>count</x:v>
      </x:c>
    </x:row>
    <x:row r="10" ht="18" customHeight="1">
      <x:c r="A10" s="24" t="str">
        <x:v>EEZ_620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EEZ_620</x:v>
      </x:c>
      <x:c r="B11" s="24" t="str">
        <x:v>species_ppr</x:v>
      </x:c>
      <x:c r="C11" s="24" t="n">
        <x:v>114209964.99740621</x:v>
      </x:c>
      <x:c r="D11" s="24" t="str">
        <x:v>tonnes_primary_production_equivalent</x:v>
      </x:c>
    </x:row>
    <x:row r="12" ht="18" customHeight="1">
      <x:c r="A12" s="24" t="str">
        <x:v>EEZ_620</x:v>
      </x:c>
      <x:c r="B12" s="24" t="str">
        <x:v>commercial_ppr</x:v>
      </x:c>
      <x:c r="C12" s="24" t="n">
        <x:v>91002480.39629517</x:v>
      </x:c>
      <x:c r="D12" s="24" t="str">
        <x:v>tonnes_primary_production_equivalent</x:v>
      </x:c>
    </x:row>
    <x:row r="13" ht="18" customHeight="1">
      <x:c r="A13" s="24" t="str">
        <x:v>EEZ_620</x:v>
      </x:c>
      <x:c r="B13" s="24" t="str">
        <x:v>functional_ppr</x:v>
      </x:c>
      <x:c r="C13" s="24" t="n">
        <x:v>100522142.76751196</x:v>
      </x:c>
      <x:c r="D13" s="24" t="str">
        <x:v>tonnes_primary_production_equivalent</x:v>
      </x:c>
    </x:row>
    <x:row r="14" ht="18" customHeight="1">
      <x:c r="A14" s="24" t="str">
        <x:v>EEZ_620</x:v>
      </x:c>
      <x:c r="B14" s="24" t="str">
        <x:v>commercial_ppr_difference</x:v>
      </x:c>
      <x:c r="C14" s="24" t="n">
        <x:v>-23207484.60111104</x:v>
      </x:c>
      <x:c r="D14" s="24" t="str">
        <x:v>tonnes_primary_production_equivalent</x:v>
      </x:c>
    </x:row>
    <x:row r="15" ht="18" customHeight="1">
      <x:c r="A15" s="24" t="str">
        <x:v>EEZ_620</x:v>
      </x:c>
      <x:c r="B15" s="24" t="str">
        <x:v>functional_ppr_difference</x:v>
      </x:c>
      <x:c r="C15" s="24" t="n">
        <x:v>-13687822.22989425</x:v>
      </x:c>
      <x:c r="D15" s="24" t="str">
        <x:v>tonnes_primary_production_equivalent</x:v>
      </x:c>
    </x:row>
    <x:row r="16" ht="18" customHeight="1">
      <x:c r="A16" s="24" t="str">
        <x:v>EEZ_620</x:v>
      </x:c>
      <x:c r="B16" s="24" t="str">
        <x:v>tl_coverage_complete</x:v>
      </x:c>
      <x:c r="C16" s="33" t="b">
        <x:v>1</x:v>
      </x:c>
      <x:c r="D16" s="24" t="str">
        <x:v>boolean</x:v>
      </x:c>
    </x:row>
    <x:row r="17" ht="18" customHeight="1">
      <x:c r="A17" s="24" t="str">
        <x:v>EEZ_620</x:v>
      </x:c>
      <x:c r="B17" s="24" t="str">
        <x:v>group_ppr_within_convexity_bound</x:v>
      </x:c>
      <x:c r="C17" s="33" t="b">
        <x:v>1</x:v>
      </x:c>
      <x:c r="D17" s="24" t="str">
        <x:v>boolean</x:v>
      </x:c>
    </x:row>
  </x:sheetData>
  <x:pageMargins left="0.7" right="0.7" top="0.75" bottom="0.75" header="0.3" footer="0.3"/>
  <x:tableParts count="1">
    <x:tablePart xmlns:r="http://schemas.openxmlformats.org/officeDocument/2006/relationships" r:id="R749957d3951248e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EEZ_620 - Portugal (mainland)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EEZ_620</x:v>
      </x:c>
      <x:c r="C4" s="18" t="str">
        <x:v>Sea Around Us region identifier</x:v>
      </x:c>
    </x:row>
    <x:row r="5">
      <x:c r="A5" s="22" t="str">
        <x:v>Transfer efficiency</x:v>
      </x:c>
      <x:c r="B5" s="34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raw_data/SAU_downloads/EEZ_620-catch.zip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