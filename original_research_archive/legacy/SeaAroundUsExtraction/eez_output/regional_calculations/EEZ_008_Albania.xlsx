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72fd023a9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7842efd930043b7"/>
    <x:sheet xmlns:r="http://schemas.openxmlformats.org/officeDocument/2006/relationships" name="Commercial" sheetId="2" r:id="Rddc817caaee44fb5"/>
    <x:sheet xmlns:r="http://schemas.openxmlformats.org/officeDocument/2006/relationships" name="Functional" sheetId="3" r:id="R8132ff422aa94929"/>
    <x:sheet xmlns:r="http://schemas.openxmlformats.org/officeDocument/2006/relationships" name="Missing TL" sheetId="4" r:id="R19cf09a296284c55"/>
    <x:sheet xmlns:r="http://schemas.openxmlformats.org/officeDocument/2006/relationships" name="Validation" sheetId="5" r:id="R13322d913ce54640"/>
    <x:sheet xmlns:r="http://schemas.openxmlformats.org/officeDocument/2006/relationships" name="Metadata" sheetId="6" r:id="R68515a872a2744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32c33b9cb477f" /><Relationship Type="http://schemas.openxmlformats.org/officeDocument/2006/relationships/theme" Target="/xl/theme/theme1.xml" Id="Rc6baf50880664df8" /><Relationship Type="http://schemas.microsoft.com/office/2022/11/relationships/FeaturePropertyBag" Target="/xl/featurePropertyBag/featurePropertyBag.xml" Id="Rac4318248dea446e" /><Relationship Type="http://schemas.openxmlformats.org/officeDocument/2006/relationships/sharedStrings" Target="/xl/sharedStrings.xml" Id="R4d6a0df78bd94a7f" /><Relationship Type="http://schemas.openxmlformats.org/officeDocument/2006/relationships/worksheet" Target="/xl/worksheets/sheet1.xml" Id="Re7842efd930043b7" /><Relationship Type="http://schemas.openxmlformats.org/officeDocument/2006/relationships/worksheet" Target="/xl/worksheets/sheet2.xml" Id="Rddc817caaee44fb5" /><Relationship Type="http://schemas.openxmlformats.org/officeDocument/2006/relationships/worksheet" Target="/xl/worksheets/sheet3.xml" Id="R8132ff422aa94929" /><Relationship Type="http://schemas.openxmlformats.org/officeDocument/2006/relationships/worksheet" Target="/xl/worksheets/sheet4.xml" Id="R19cf09a296284c55" /><Relationship Type="http://schemas.openxmlformats.org/officeDocument/2006/relationships/worksheet" Target="/xl/worksheets/sheet5.xml" Id="R13322d913ce54640" /><Relationship Type="http://schemas.openxmlformats.org/officeDocument/2006/relationships/worksheet" Target="/xl/worksheets/sheet6.xml" Id="R68515a872a2744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08SpeciesTable" displayName="EEZ008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08CommercialTable" displayName="EEZ008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08FunctionalTable" displayName="EEZ008FunctionalTable" ref="A1:E11" headerRowCount="1" totalsRowCount="0" totalsRowShown="0">
  <x:autoFilter ref="A1:E1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08ValidationTable" displayName="EEZ00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2037394f694c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7752c39ee14b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6a0fa3c2b44c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dbdc2467c648c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EEZ_008</x:v>
      </x:c>
      <x:c r="B2" s="24" t="str">
        <x:v>Albania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6363.270719226</x:v>
      </x:c>
      <x:c r="J2" s="31" t="n">
        <x:v>4637.99568871</x:v>
      </x:c>
      <x:c r="K2" s="31" t="n">
        <x:v>1725.2750305159998</x:v>
      </x:c>
      <x:c r="L2" s="31" t="n">
        <x:v>4637.99568871</x:v>
      </x:c>
      <x:c r="M2" s="31" t="n">
        <x:v>1725.2750305159998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1212496.2393250878</x:v>
      </x:c>
    </x:row>
    <x:row r="3" ht="18" customHeight="1">
      <x:c r="A3" s="24" t="str">
        <x:v>EEZ_008</x:v>
      </x:c>
      <x:c r="B3" s="24" t="str">
        <x:v>Albania</x:v>
      </x:c>
      <x:c r="C3" s="24" t="str">
        <x:v>EEZ</x:v>
      </x:c>
      <x:c r="D3" s="30" t="n">
        <x:v>2019</x:v>
      </x:c>
      <x:c r="E3" s="24" t="str">
        <x:v>Sardina pilchardus</x:v>
      </x:c>
      <x:c r="F3" s="24" t="str">
        <x:v>European pilchard</x:v>
      </x:c>
      <x:c r="G3" s="24" t="str">
        <x:v>Small pelagics (&lt;30 cm)</x:v>
      </x:c>
      <x:c r="H3" s="24" t="str">
        <x:v>Herring-likes</x:v>
      </x:c>
      <x:c r="I3" s="31" t="n">
        <x:v>725.030280143</x:v>
      </x:c>
      <x:c r="J3" s="31" t="n">
        <x:v>717.1524715</x:v>
      </x:c>
      <x:c r="K3" s="31" t="n">
        <x:v>7.877808643</x:v>
      </x:c>
      <x:c r="L3" s="31" t="n">
        <x:v>717.1524715</x:v>
      </x:c>
      <x:c r="M3" s="31" t="n">
        <x:v>7.877808643</x:v>
      </x:c>
      <x:c r="N3" s="24" t="str">
        <x:v>sardina pilchardus</x:v>
      </x:c>
      <x:c r="O3" s="32" t="n">
        <x:v>3.06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Sardina pilchardus</x:v>
      </x:c>
      <x:c r="T3" s="32" t="n">
        <x:f>IF(O3="","",(1/'Metadata'!$B$5)^(O3-1))</x:f>
        <x:v>114.81536214968828</x:v>
      </x:c>
      <x:c r="U3" s="31" t="n">
        <x:f>IF(T3="","",I3*T3)</x:f>
        <x:v>83244.6141841085</x:v>
      </x:c>
    </x:row>
    <x:row r="4" ht="18" customHeight="1">
      <x:c r="A4" s="24" t="str">
        <x:v>EEZ_008</x:v>
      </x:c>
      <x:c r="B4" s="24" t="str">
        <x:v>Albania</x:v>
      </x:c>
      <x:c r="C4" s="24" t="str">
        <x:v>EEZ</x:v>
      </x:c>
      <x:c r="D4" s="30" t="n">
        <x:v>2019</x:v>
      </x:c>
      <x:c r="E4" s="24" t="str">
        <x:v>Spicara</x:v>
      </x:c>
      <x:c r="F4" s="24" t="str">
        <x:v>Picarels</x:v>
      </x:c>
      <x:c r="G4" s="24" t="str">
        <x:v>Small demersals (&lt;30 cm)</x:v>
      </x:c>
      <x:c r="H4" s="24" t="str">
        <x:v>Perch-likes</x:v>
      </x:c>
      <x:c r="I4" s="31" t="n">
        <x:v>178.43798390599997</x:v>
      </x:c>
      <x:c r="J4" s="31" t="n">
        <x:v>162.547016795</x:v>
      </x:c>
      <x:c r="K4" s="31" t="n">
        <x:v>15.890967111</x:v>
      </x:c>
      <x:c r="L4" s="31" t="n">
        <x:v>162.547016795</x:v>
      </x:c>
      <x:c r="M4" s="31" t="n">
        <x:v>15.890967111</x:v>
      </x:c>
      <x:c r="N4" s="24" t="str">
        <x:v>spicara</x:v>
      </x:c>
      <x:c r="O4" s="32" t="n">
        <x:v>3.58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Spicara</x:v>
      </x:c>
      <x:c r="T4" s="32" t="n">
        <x:f>IF(O4="","",(1/'Metadata'!$B$5)^(O4-1))</x:f>
        <x:v>380.1893963205613</x:v>
      </x:c>
      <x:c r="U4" s="31" t="n">
        <x:f>IF(T4="","",I4*T4)</x:f>
        <x:v>67840.22938188016</x:v>
      </x:c>
    </x:row>
    <x:row r="5" ht="18" customHeight="1">
      <x:c r="A5" s="24" t="str">
        <x:v>EEZ_008</x:v>
      </x:c>
      <x:c r="B5" s="24" t="str">
        <x:v>Albania</x:v>
      </x:c>
      <x:c r="C5" s="24" t="str">
        <x:v>EEZ</x:v>
      </x:c>
      <x:c r="D5" s="30" t="n">
        <x:v>2019</x:v>
      </x:c>
      <x:c r="E5" s="24" t="str">
        <x:v>Boops boops</x:v>
      </x:c>
      <x:c r="F5" s="24" t="str">
        <x:v>Bogue</x:v>
      </x:c>
      <x:c r="G5" s="24" t="str">
        <x:v>Medium demersals (30 - 89 cm)</x:v>
      </x:c>
      <x:c r="H5" s="24" t="str">
        <x:v>Perch-likes</x:v>
      </x:c>
      <x:c r="I5" s="31" t="n">
        <x:v>141.270572049</x:v>
      </x:c>
      <x:c r="J5" s="31" t="n">
        <x:v>121.351555487</x:v>
      </x:c>
      <x:c r="K5" s="31" t="n">
        <x:v>19.919016562</x:v>
      </x:c>
      <x:c r="L5" s="31" t="n">
        <x:v>121.351555487</x:v>
      </x:c>
      <x:c r="M5" s="31" t="n">
        <x:v>19.919016562</x:v>
      </x:c>
      <x:c r="N5" s="24" t="str">
        <x:v>boops boops</x:v>
      </x:c>
      <x:c r="O5" s="32" t="n">
        <x:v>2.79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Boops boops</x:v>
      </x:c>
      <x:c r="T5" s="32" t="n">
        <x:f>IF(O5="","",(1/'Metadata'!$B$5)^(O5-1))</x:f>
        <x:v>61.65950018614822</x:v>
      </x:c>
      <x:c r="U5" s="31" t="n">
        <x:f>IF(T5="","",I5*T5)</x:f>
        <x:v>8710.672863552581</x:v>
      </x:c>
    </x:row>
    <x:row r="6" ht="18" customHeight="1">
      <x:c r="A6" s="24" t="str">
        <x:v>EEZ_008</x:v>
      </x:c>
      <x:c r="B6" s="24" t="str">
        <x:v>Albania</x:v>
      </x:c>
      <x:c r="C6" s="24" t="str">
        <x:v>EEZ</x:v>
      </x:c>
      <x:c r="D6" s="30" t="n">
        <x:v>2019</x:v>
      </x:c>
      <x:c r="E6" s="24" t="str">
        <x:v>Loligo</x:v>
      </x:c>
      <x:c r="F6" s="24" t="str">
        <x:v>Common squids</x:v>
      </x:c>
      <x:c r="G6" s="24" t="str">
        <x:v>Cephalopods</x:v>
      </x:c>
      <x:c r="H6" s="24" t="str">
        <x:v>Other fishes &amp; inverts</x:v>
      </x:c>
      <x:c r="I6" s="31" t="n">
        <x:v>49.873746228</x:v>
      </x:c>
      <x:c r="J6" s="31" t="n">
        <x:v>36.275840644</x:v>
      </x:c>
      <x:c r="K6" s="31" t="n">
        <x:v>13.597905584</x:v>
      </x:c>
      <x:c r="L6" s="31" t="n">
        <x:v>36.275840644</x:v>
      </x:c>
      <x:c r="M6" s="31" t="n">
        <x:v>13.597905584</x:v>
      </x:c>
      <x:c r="N6" s="24" t="str">
        <x:v>loligo</x:v>
      </x:c>
      <x:c r="O6" s="32" t="n">
        <x:v>3.99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Loligo</x:v>
      </x:c>
      <x:c r="T6" s="32" t="n">
        <x:f>IF(O6="","",(1/'Metadata'!$B$5)^(O6-1))</x:f>
        <x:v>977.2372209558112</x:v>
      </x:c>
      <x:c r="U6" s="31" t="n">
        <x:f>IF(T6="","",I6*T6)</x:f>
        <x:v>48738.48116250609</x:v>
      </x:c>
    </x:row>
    <x:row r="7" ht="18" customHeight="1">
      <x:c r="A7" s="24" t="str">
        <x:v>EEZ_008</x:v>
      </x:c>
      <x:c r="B7" s="24" t="str">
        <x:v>Albania</x:v>
      </x:c>
      <x:c r="C7" s="24" t="str">
        <x:v>EEZ</x:v>
      </x:c>
      <x:c r="D7" s="30" t="n">
        <x:v>2019</x:v>
      </x:c>
      <x:c r="E7" s="24" t="str">
        <x:v>Sepia officinalis</x:v>
      </x:c>
      <x:c r="F7" s="24" t="str">
        <x:v>Common cuttlefish</x:v>
      </x:c>
      <x:c r="G7" s="24" t="str">
        <x:v>Cephalopods</x:v>
      </x:c>
      <x:c r="H7" s="24" t="str">
        <x:v>Other fishes &amp; inverts</x:v>
      </x:c>
      <x:c r="I7" s="31" t="n">
        <x:v>45.845710031</x:v>
      </x:c>
      <x:c r="J7" s="31" t="n">
        <x:v>37.25228657</x:v>
      </x:c>
      <x:c r="K7" s="31" t="n">
        <x:v>8.593423461</x:v>
      </x:c>
      <x:c r="L7" s="31" t="n">
        <x:v>37.25228657</x:v>
      </x:c>
      <x:c r="M7" s="31" t="n">
        <x:v>8.593423461</x:v>
      </x:c>
      <x:c r="N7" s="24" t="str">
        <x:v>sepia officinalis</x:v>
      </x:c>
      <x:c r="O7" s="32" t="n">
        <x:v>4.27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Sepia officinalis</x:v>
      </x:c>
      <x:c r="T7" s="32" t="n">
        <x:f>IF(O7="","",(1/'Metadata'!$B$5)^(O7-1))</x:f>
        <x:v>1862.0871366628655</x:v>
      </x:c>
      <x:c r="U7" s="31" t="n">
        <x:f>IF(T7="","",I7*T7)</x:f>
        <x:v>85368.70691990081</x:v>
      </x:c>
    </x:row>
    <x:row r="8" ht="18" customHeight="1">
      <x:c r="A8" s="24" t="str">
        <x:v>EEZ_008</x:v>
      </x:c>
      <x:c r="B8" s="24" t="str">
        <x:v>Albania</x:v>
      </x:c>
      <x:c r="C8" s="24" t="str">
        <x:v>EEZ</x:v>
      </x:c>
      <x:c r="D8" s="30" t="n">
        <x:v>2019</x:v>
      </x:c>
      <x:c r="E8" s="24" t="str">
        <x:v>Octopus vulgaris</x:v>
      </x:c>
      <x:c r="F8" s="24" t="str">
        <x:v>Common octopus</x:v>
      </x:c>
      <x:c r="G8" s="24" t="str">
        <x:v>Cephalopods</x:v>
      </x:c>
      <x:c r="H8" s="24" t="str">
        <x:v>Other fishes &amp; inverts</x:v>
      </x:c>
      <x:c r="I8" s="31" t="n">
        <x:v>34.151191721</x:v>
      </x:c>
      <x:c r="J8" s="31" t="n">
        <x:v>27.879547654</x:v>
      </x:c>
      <x:c r="K8" s="31" t="n">
        <x:v>6.271644067</x:v>
      </x:c>
      <x:c r="L8" s="31" t="n">
        <x:v>27.879547654</x:v>
      </x:c>
      <x:c r="M8" s="31" t="n">
        <x:v>6.271644067</x:v>
      </x:c>
      <x:c r="N8" s="24" t="str">
        <x:v>octopus vulgaris</x:v>
      </x:c>
      <x:c r="O8" s="32" t="n">
        <x:v>3.6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Octopus vulgaris</x:v>
      </x:c>
      <x:c r="T8" s="32" t="n">
        <x:f>IF(O8="","",(1/'Metadata'!$B$5)^(O8-1))</x:f>
        <x:v>398.1071705534973</x:v>
      </x:c>
      <x:c r="U8" s="31" t="n">
        <x:f>IF(T8="","",I8*T8)</x:f>
        <x:v>13595.834307077332</x:v>
      </x:c>
    </x:row>
    <x:row r="9" ht="18" customHeight="1">
      <x:c r="A9" s="24" t="str">
        <x:v>EEZ_008</x:v>
      </x:c>
      <x:c r="B9" s="24" t="str">
        <x:v>Albania</x:v>
      </x:c>
      <x:c r="C9" s="24" t="str">
        <x:v>EEZ</x:v>
      </x:c>
      <x:c r="D9" s="30" t="n">
        <x:v>2019</x:v>
      </x:c>
      <x:c r="E9" s="24" t="str">
        <x:v>Mugilidae</x:v>
      </x:c>
      <x:c r="F9" s="24" t="str">
        <x:v>Mullets, grey mullets</x:v>
      </x:c>
      <x:c r="G9" s="24" t="str">
        <x:v>Medium reef assoc. fish (30 - 89 cm)</x:v>
      </x:c>
      <x:c r="H9" s="24" t="str">
        <x:v>Perch-likes</x:v>
      </x:c>
      <x:c r="I9" s="31" t="n">
        <x:v>23.018154431</x:v>
      </x:c>
      <x:c r="J9" s="31" t="n">
        <x:v>17.64073577</x:v>
      </x:c>
      <x:c r="K9" s="31" t="n">
        <x:v>5.377418661</x:v>
      </x:c>
      <x:c r="L9" s="31" t="n">
        <x:v>17.64073577</x:v>
      </x:c>
      <x:c r="M9" s="31" t="n">
        <x:v>5.377418661</x:v>
      </x:c>
      <x:c r="N9" s="24" t="str">
        <x:v>mugilidae</x:v>
      </x:c>
      <x:c r="O9" s="32" t="n">
        <x:v>2.53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Mugilidae</x:v>
      </x:c>
      <x:c r="T9" s="32" t="n">
        <x:f>IF(O9="","",(1/'Metadata'!$B$5)^(O9-1))</x:f>
        <x:v>33.88441561392024</x:v>
      </x:c>
      <x:c r="U9" s="31" t="n">
        <x:f>IF(T9="","",I9*T9)</x:f>
        <x:v>779.9567114054038</x:v>
      </x:c>
    </x:row>
    <x:row r="10" ht="18" customHeight="1">
      <x:c r="A10" s="24" t="str">
        <x:v>EEZ_008</x:v>
      </x:c>
      <x:c r="B10" s="24" t="str">
        <x:v>Albania</x:v>
      </x:c>
      <x:c r="C10" s="24" t="str">
        <x:v>EEZ</x:v>
      </x:c>
      <x:c r="D10" s="30" t="n">
        <x:v>2019</x:v>
      </x:c>
      <x:c r="E10" s="24" t="str">
        <x:v>Parapenaeus longirostris</x:v>
      </x:c>
      <x:c r="F10" s="24" t="str">
        <x:v>Deepwater rose shrimp</x:v>
      </x:c>
      <x:c r="G10" s="24" t="str">
        <x:v>Shrimps</x:v>
      </x:c>
      <x:c r="H10" s="24" t="str">
        <x:v>Crustaceans</x:v>
      </x:c>
      <x:c r="I10" s="31" t="n">
        <x:v>18.5614265261</x:v>
      </x:c>
      <x:c r="J10" s="31" t="n">
        <x:v>12.5133248501</x:v>
      </x:c>
      <x:c r="K10" s="31" t="n">
        <x:v>6.048101676</x:v>
      </x:c>
      <x:c r="L10" s="31" t="n">
        <x:v>12.5133248501</x:v>
      </x:c>
      <x:c r="M10" s="31" t="n">
        <x:v>6.048101676</x:v>
      </x:c>
      <x:c r="N10" s="24" t="str">
        <x:v>parapenaeus longirostris</x:v>
      </x:c>
      <x:c r="O10" s="32" t="n">
        <x:v>3.3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Parapenaeus longirostris</x:v>
      </x:c>
      <x:c r="T10" s="32" t="n">
        <x:f>IF(O10="","",(1/'Metadata'!$B$5)^(O10-1))</x:f>
        <x:v>199.52623149688787</x:v>
      </x:c>
      <x:c r="U10" s="31" t="n">
        <x:f>IF(T10="","",I10*T10)</x:f>
        <x:v>3703.491485959104</x:v>
      </x:c>
    </x:row>
    <x:row r="11" ht="18" customHeight="1">
      <x:c r="A11" s="24" t="str">
        <x:v>EEZ_008</x:v>
      </x:c>
      <x:c r="B11" s="24" t="str">
        <x:v>Albania</x:v>
      </x:c>
      <x:c r="C11" s="24" t="str">
        <x:v>EEZ</x:v>
      </x:c>
      <x:c r="D11" s="30" t="n">
        <x:v>2019</x:v>
      </x:c>
      <x:c r="E11" s="24" t="str">
        <x:v>Sarda sarda</x:v>
      </x:c>
      <x:c r="F11" s="24" t="str">
        <x:v>Atlantic bonito</x:v>
      </x:c>
      <x:c r="G11" s="24" t="str">
        <x:v>Medium pelagics (30 - 89 cm)</x:v>
      </x:c>
      <x:c r="H11" s="24" t="str">
        <x:v>Tuna &amp; billfishes</x:v>
      </x:c>
      <x:c r="I11" s="31" t="n">
        <x:v>6.528770387700001</x:v>
      </x:c>
      <x:c r="J11" s="31" t="n">
        <x:v>6.320356594700001</x:v>
      </x:c>
      <x:c r="K11" s="31" t="n">
        <x:v>0.208413793</x:v>
      </x:c>
      <x:c r="L11" s="31" t="n">
        <x:v>6.320356594700001</x:v>
      </x:c>
      <x:c r="M11" s="31" t="n">
        <x:v>0.208413793</x:v>
      </x:c>
      <x:c r="N11" s="24" t="str">
        <x:v>sarda sarda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Sarda sarda</x:v>
      </x:c>
      <x:c r="T11" s="32" t="n">
        <x:f>IF(O11="","",(1/'Metadata'!$B$5)^(O11-1))</x:f>
        <x:v>3162.2776601683795</x:v>
      </x:c>
      <x:c r="U11" s="31" t="n">
        <x:f>IF(T11="","",I11*T11)</x:f>
        <x:v>20645.78474539256</x:v>
      </x:c>
    </x:row>
    <x:row r="12" ht="18" customHeight="1">
      <x:c r="A12" s="24" t="str">
        <x:v>EEZ_008</x:v>
      </x:c>
      <x:c r="B12" s="24" t="str">
        <x:v>Albania</x:v>
      </x:c>
      <x:c r="C12" s="24" t="str">
        <x:v>EEZ</x:v>
      </x:c>
      <x:c r="D12" s="30" t="n">
        <x:v>2019</x:v>
      </x:c>
      <x:c r="E12" s="24" t="str">
        <x:v>Dentex dentex</x:v>
      </x:c>
      <x:c r="F12" s="24" t="str">
        <x:v>Common dentex</x:v>
      </x:c>
      <x:c r="G12" s="24" t="str">
        <x:v>Large benthopelagics (&gt;=90 cm)</x:v>
      </x:c>
      <x:c r="H12" s="24" t="str">
        <x:v>Perch-likes</x:v>
      </x:c>
      <x:c r="I12" s="31" t="n">
        <x:v>1.699458854</x:v>
      </x:c>
      <x:c r="J12" s="31" t="n">
        <x:v>1.647692261</x:v>
      </x:c>
      <x:c r="K12" s="31" t="n">
        <x:v>0.051766593</x:v>
      </x:c>
      <x:c r="L12" s="31" t="n">
        <x:v>1.647692261</x:v>
      </x:c>
      <x:c r="M12" s="31" t="n">
        <x:v>0.051766593</x:v>
      </x:c>
      <x:c r="N12" s="24" t="str">
        <x:v>dentex dentex</x:v>
      </x:c>
      <x:c r="O12" s="32" t="n">
        <x:v>4.53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Dentex dentex</x:v>
      </x:c>
      <x:c r="T12" s="32" t="n">
        <x:f>IF(O12="","",(1/'Metadata'!$B$5)^(O12-1))</x:f>
        <x:v>3388.4415613920273</x:v>
      </x:c>
      <x:c r="U12" s="31" t="n">
        <x:f>IF(T12="","",I12*T12)</x:f>
        <x:v>5758.517012769265</x:v>
      </x:c>
    </x:row>
    <x:row r="13" ht="18" customHeight="1">
      <x:c r="A13" s="24" t="str">
        <x:v>EEZ_008</x:v>
      </x:c>
      <x:c r="B13" s="24" t="str">
        <x:v>Albania</x:v>
      </x:c>
      <x:c r="C13" s="24" t="str">
        <x:v>EEZ</x:v>
      </x:c>
      <x:c r="D13" s="30" t="n">
        <x:v>2019</x:v>
      </x:c>
      <x:c r="E13" s="24" t="str">
        <x:v>Sardinella aurita</x:v>
      </x:c>
      <x:c r="F13" s="24" t="str">
        <x:v>Round sardinella</x:v>
      </x:c>
      <x:c r="G13" s="24" t="str">
        <x:v>Small pelagics (&lt;30 cm)</x:v>
      </x:c>
      <x:c r="H13" s="24" t="str">
        <x:v>Herring-likes</x:v>
      </x:c>
      <x:c r="I13" s="31" t="n">
        <x:v>1.5301146289999998</x:v>
      </x:c>
      <x:c r="J13" s="31" t="n">
        <x:v>1.481250206</x:v>
      </x:c>
      <x:c r="K13" s="31" t="n">
        <x:v>0.048864423</x:v>
      </x:c>
      <x:c r="L13" s="31" t="n">
        <x:v>1.481250206</x:v>
      </x:c>
      <x:c r="M13" s="31" t="n">
        <x:v>0.048864423</x:v>
      </x:c>
      <x:c r="N13" s="24" t="str">
        <x:v>sardinella aurita</x:v>
      </x:c>
      <x:c r="O13" s="32" t="n">
        <x:v>3.4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Sardinella aurita</x:v>
      </x:c>
      <x:c r="T13" s="32" t="n">
        <x:f>IF(O13="","",(1/'Metadata'!$B$5)^(O13-1))</x:f>
        <x:v>251.18864315095797</x:v>
      </x:c>
      <x:c r="U13" s="31" t="n">
        <x:f>IF(T13="","",I13*T13)</x:f>
        <x:v>384.34741752394143</x:v>
      </x:c>
    </x:row>
    <x:row r="14" ht="18" customHeight="1">
      <x:c r="A14" s="24" t="str">
        <x:v>EEZ_008</x:v>
      </x:c>
      <x:c r="B14" s="24" t="str">
        <x:v>Albania</x:v>
      </x:c>
      <x:c r="C14" s="24" t="str">
        <x:v>EEZ</x:v>
      </x:c>
      <x:c r="D14" s="30" t="n">
        <x:v>2019</x:v>
      </x:c>
      <x:c r="E14" s="24" t="str">
        <x:v>Anguilla anguilla</x:v>
      </x:c>
      <x:c r="F14" s="24" t="str">
        <x:v>European eel</x:v>
      </x:c>
      <x:c r="G14" s="24" t="str">
        <x:v>Large demersals (&gt;=90 cm)</x:v>
      </x:c>
      <x:c r="H14" s="24" t="str">
        <x:v>Other fishes &amp; inverts</x:v>
      </x:c>
      <x:c r="I14" s="31" t="n">
        <x:v>1.4506210119999998</x:v>
      </x:c>
      <x:c r="J14" s="31" t="n">
        <x:v>1.4506210119999998</x:v>
      </x:c>
      <x:c r="K14" s="31" t="n">
        <x:v>0</x:v>
      </x:c>
      <x:c r="L14" s="31" t="n">
        <x:v>1.4506210119999998</x:v>
      </x:c>
      <x:c r="M14" s="31" t="n">
        <x:v>0</x:v>
      </x:c>
      <x:c r="N14" s="24" t="str">
        <x:v>anguilla anguilla</x:v>
      </x:c>
      <x:c r="O14" s="32" t="n">
        <x:v>3.55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Anguilla anguilla</x:v>
      </x:c>
      <x:c r="T14" s="32" t="n">
        <x:f>IF(O14="","",(1/'Metadata'!$B$5)^(O14-1))</x:f>
        <x:v>354.8133892335753</x:v>
      </x:c>
      <x:c r="U14" s="31" t="n">
        <x:f>IF(T14="","",I14*T14)</x:f>
        <x:v>514.6997577611588</x:v>
      </x:c>
    </x:row>
    <x:row r="15" ht="18" customHeight="1">
      <x:c r="A15" s="24" t="str">
        <x:v>EEZ_008</x:v>
      </x:c>
      <x:c r="B15" s="24" t="str">
        <x:v>Albania</x:v>
      </x:c>
      <x:c r="C15" s="24" t="str">
        <x:v>EEZ</x:v>
      </x:c>
      <x:c r="D15" s="30" t="n">
        <x:v>2019</x:v>
      </x:c>
      <x:c r="E15" s="24" t="str">
        <x:v>Engraulis encrasicolus</x:v>
      </x:c>
      <x:c r="F15" s="24" t="str">
        <x:v>European anchovy</x:v>
      </x:c>
      <x:c r="G15" s="24" t="str">
        <x:v>Small pelagics (&lt;30 cm)</x:v>
      </x:c>
      <x:c r="H15" s="24" t="str">
        <x:v>Anchovies</x:v>
      </x:c>
      <x:c r="I15" s="31" t="n">
        <x:v>0.499632832</x:v>
      </x:c>
      <x:c r="J15" s="31" t="n">
        <x:v>0.494204327</x:v>
      </x:c>
      <x:c r="K15" s="31" t="n">
        <x:v>0.005428505</x:v>
      </x:c>
      <x:c r="L15" s="31" t="n">
        <x:v>0.494204327</x:v>
      </x:c>
      <x:c r="M15" s="31" t="n">
        <x:v>0.005428505</x:v>
      </x:c>
      <x:c r="N15" s="24" t="str">
        <x:v>engraulis encrasicolus</x:v>
      </x:c>
      <x:c r="O15" s="32" t="n">
        <x:v>3.11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Engraulis encrasicolus</x:v>
      </x:c>
      <x:c r="T15" s="32" t="n">
        <x:f>IF(O15="","",(1/'Metadata'!$B$5)^(O15-1))</x:f>
        <x:v>128.82495516931337</x:v>
      </x:c>
      <x:c r="U15" s="31" t="n">
        <x:f>IF(T15="","",I15*T15)</x:f>
        <x:v>64.36517718351708</x:v>
      </x:c>
    </x:row>
    <x:row r="16" ht="18" customHeight="1">
      <x:c r="A16" s="24" t="str">
        <x:v>EEZ_008</x:v>
      </x:c>
      <x:c r="B16" s="24" t="str">
        <x:v>Albania</x:v>
      </x:c>
      <x:c r="C16" s="24" t="str">
        <x:v>EEZ</x:v>
      </x:c>
      <x:c r="D16" s="30" t="n">
        <x:v>2019</x:v>
      </x:c>
      <x:c r="E16" s="24" t="str">
        <x:v>Xiphias gladius</x:v>
      </x:c>
      <x:c r="F16" s="24" t="str">
        <x:v>Swordfish</x:v>
      </x:c>
      <x:c r="G16" s="24" t="str">
        <x:v>Large pelagics (&gt;=90 cm)</x:v>
      </x:c>
      <x:c r="H16" s="24" t="str">
        <x:v>Tuna &amp; billfishes</x:v>
      </x:c>
      <x:c r="I16" s="31" t="n">
        <x:v>0.4622691843</x:v>
      </x:c>
      <x:c r="J16" s="31" t="n">
        <x:v>0.4622691843</x:v>
      </x:c>
      <x:c r="K16" s="31" t="n">
        <x:v>0</x:v>
      </x:c>
      <x:c r="L16" s="31" t="n">
        <x:v>0.4622691843</x:v>
      </x:c>
      <x:c r="M16" s="31" t="n">
        <x:v>0</x:v>
      </x:c>
      <x:c r="N16" s="24" t="str">
        <x:v>xiphias gladius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Xiphias gladius</x:v>
      </x:c>
      <x:c r="T16" s="32" t="n">
        <x:f>IF(O16="","",(1/'Metadata'!$B$5)^(O16-1))</x:f>
        <x:v>3388.4415613920273</x:v>
      </x:c>
      <x:c r="U16" s="31" t="n">
        <x:f>IF(T16="","",I16*T16)</x:f>
        <x:v>1566.372116632911</x:v>
      </x:c>
    </x:row>
    <x:row r="17" ht="18" customHeight="1">
      <x:c r="A17" s="24" t="str">
        <x:v>EEZ_008</x:v>
      </x:c>
      <x:c r="B17" s="24" t="str">
        <x:v>Albania</x:v>
      </x:c>
      <x:c r="C17" s="24" t="str">
        <x:v>EEZ</x:v>
      </x:c>
      <x:c r="D17" s="30" t="n">
        <x:v>2019</x:v>
      </x:c>
      <x:c r="E17" s="24" t="str">
        <x:v>Auxis rochei</x:v>
      </x:c>
      <x:c r="F17" s="24" t="str">
        <x:v>Bullet tuna</x:v>
      </x:c>
      <x:c r="G17" s="24" t="str">
        <x:v>Medium pelagics (30 - 89 cm)</x:v>
      </x:c>
      <x:c r="H17" s="24" t="str">
        <x:v>Tuna &amp; billfishes</x:v>
      </x:c>
      <x:c r="I17" s="31" t="n">
        <x:v>0.0035899597</x:v>
      </x:c>
      <x:c r="J17" s="31" t="n">
        <x:v>0.0035899597</x:v>
      </x:c>
      <x:c r="K17" s="31" t="n">
        <x:v>0</x:v>
      </x:c>
      <x:c r="L17" s="31" t="n">
        <x:v>0.0035899597</x:v>
      </x:c>
      <x:c r="M17" s="31" t="n">
        <x:v>0</x:v>
      </x:c>
      <x:c r="N17" s="24" t="str">
        <x:v>auxis rochei</x:v>
      </x:c>
      <x:c r="O17" s="32" t="n">
        <x:v>4.13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Auxis rochei</x:v>
      </x:c>
      <x:c r="T17" s="32" t="n">
        <x:f>IF(O17="","",(1/'Metadata'!$B$5)^(O17-1))</x:f>
        <x:v>1348.9628825916532</x:v>
      </x:c>
      <x:c r="U17" s="31" t="n">
        <x:f>IF(T17="","",I17*T17)</x:f>
        <x:v>4.842722385299867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e2037394f694c0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0.499632832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64.36517718351708</x:v>
      </x:c>
    </x:row>
    <x:row r="3" ht="18" customHeight="1">
      <x:c r="A3" s="24" t="str">
        <x:v>Crustaceans</x:v>
      </x:c>
      <x:c r="B3" s="31" t="n">
        <x:v>18.5614265261</x:v>
      </x:c>
      <x:c r="C3" s="32" t="n">
        <x:v>3.3</x:v>
      </x:c>
      <x:c r="D3" s="32" t="n">
        <x:f>IF(C3="","",(1/'Metadata'!$B$5)^(C3-1))</x:f>
        <x:v>199.52623149688787</x:v>
      </x:c>
      <x:c r="E3" s="31" t="n">
        <x:f>IF(B3=0,"",B3*D3)</x:f>
        <x:v>3703.491485959104</x:v>
      </x:c>
    </x:row>
    <x:row r="4" ht="18" customHeight="1">
      <x:c r="A4" s="24" t="str">
        <x:v>Herring-likes</x:v>
      </x:c>
      <x:c r="B4" s="31" t="n">
        <x:v>726.560394772</x:v>
      </x:c>
      <x:c r="C4" s="32" t="n">
        <x:v>3.0607160299097</x:v>
      </x:c>
      <x:c r="D4" s="32" t="n">
        <x:f>IF(C4="","",(1/'Metadata'!$B$5)^(C4-1))</x:f>
        <x:v>115.00481664594722</x:v>
      </x:c>
      <x:c r="E4" s="31" t="n">
        <x:f>IF(B4=0,"",B4*D4)</x:f>
        <x:v>83557.94498296088</x:v>
      </x:c>
    </x:row>
    <x:row r="5" ht="18" customHeight="1">
      <x:c r="A5" s="24" t="str">
        <x:v>Other fishes &amp; inverts</x:v>
      </x:c>
      <x:c r="B5" s="31" t="n">
        <x:v>6494.591988218</x:v>
      </x:c>
      <x:c r="C5" s="32" t="n">
        <x:v>3.29418374887039</x:v>
      </x:c>
      <x:c r="D5" s="32" t="n">
        <x:f>IF(C5="","",(1/'Metadata'!$B$5)^(C5-1))</x:f>
        <x:v>196.87190734607307</x:v>
      </x:c>
      <x:c r="E5" s="31" t="n">
        <x:f>IF(B5=0,"",B5*D5)</x:f>
        <x:v>1278602.7121550026</x:v>
      </x:c>
    </x:row>
    <x:row r="6" ht="18" customHeight="1">
      <x:c r="A6" s="24" t="str">
        <x:v>Perch-likes</x:v>
      </x:c>
      <x:c r="B6" s="31" t="n">
        <x:v>344.4261692399999</x:v>
      </x:c>
      <x:c r="C6" s="32" t="n">
        <x:v>3.1904874131486896</x:v>
      </x:c>
      <x:c r="D6" s="32" t="n">
        <x:f>IF(C6="","",(1/'Metadata'!$B$5)^(C6-1))</x:f>
        <x:v>155.05558474741878</x:v>
      </x:c>
      <x:c r="E6" s="31" t="n">
        <x:f>IF(B6=0,"",B6*D6)</x:f>
        <x:v>53405.20107382161</x:v>
      </x:c>
    </x:row>
    <x:row r="7" ht="18" customHeight="1">
      <x:c r="A7" s="24" t="str">
        <x:v>Tuna &amp; billfishes</x:v>
      </x:c>
      <x:c r="B7" s="31" t="n">
        <x:v>6.994629531700001</x:v>
      </x:c>
      <x:c r="C7" s="32" t="n">
        <x:v>4.501792774068043</x:v>
      </x:c>
      <x:c r="D7" s="32" t="n">
        <x:f>IF(C7="","",(1/'Metadata'!$B$5)^(C7-1))</x:f>
        <x:v>3175.3585698101265</x:v>
      </x:c>
      <x:c r="E7" s="31" t="n">
        <x:f>IF(B7=0,"",B7*D7)</x:f>
        <x:v>22210.45682613059</x:v>
      </x:c>
    </x:row>
  </x:sheetData>
  <x:pageMargins left="0.7" right="0.7" top="0.75" bottom="0.75" header="0.3" footer="0.3"/>
  <x:tableParts count="1">
    <x:tablePart xmlns:r="http://schemas.openxmlformats.org/officeDocument/2006/relationships" r:id="R577752c39ee14bb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129.87064798</x:v>
      </x:c>
      <x:c r="C2" s="32" t="n">
        <x:v>3.9862873369001415</x:v>
      </x:c>
      <x:c r="D2" s="32" t="n">
        <x:f>IF(C2="","",(1/'Metadata'!$B$5)^(C2-1))</x:f>
        <x:v>968.9186979662973</x:v>
      </x:c>
      <x:c r="E2" s="31" t="n">
        <x:f>IF(B2=0,"",B2*D2)</x:f>
        <x:v>125834.09914482094</x:v>
      </x:c>
    </x:row>
    <x:row r="3" ht="18" customHeight="1">
      <x:c r="A3" s="24" t="str">
        <x:v>Large benthopelagics (&gt;=90 cm)</x:v>
      </x:c>
      <x:c r="B3" s="31" t="n">
        <x:v>1.699458854</x:v>
      </x:c>
      <x:c r="C3" s="32" t="n">
        <x:v>4.53</x:v>
      </x:c>
      <x:c r="D3" s="32" t="n">
        <x:f>IF(C3="","",(1/'Metadata'!$B$5)^(C3-1))</x:f>
        <x:v>3388.4415613920273</x:v>
      </x:c>
      <x:c r="E3" s="31" t="n">
        <x:f>IF(B3=0,"",B3*D3)</x:f>
        <x:v>5758.517012769265</x:v>
      </x:c>
    </x:row>
    <x:row r="4" ht="18" customHeight="1">
      <x:c r="A4" s="24" t="str">
        <x:v>Large demersals (&gt;=90 cm)</x:v>
      </x:c>
      <x:c r="B4" s="31" t="n">
        <x:v>1.4506210119999998</x:v>
      </x:c>
      <x:c r="C4" s="32" t="n">
        <x:v>3.55</x:v>
      </x:c>
      <x:c r="D4" s="32" t="n">
        <x:f>IF(C4="","",(1/'Metadata'!$B$5)^(C4-1))</x:f>
        <x:v>354.8133892335753</x:v>
      </x:c>
      <x:c r="E4" s="31" t="n">
        <x:f>IF(B4=0,"",B4*D4)</x:f>
        <x:v>514.6997577611588</x:v>
      </x:c>
    </x:row>
    <x:row r="5" ht="18" customHeight="1">
      <x:c r="A5" s="24" t="str">
        <x:v>Large pelagics (&gt;=90 cm)</x:v>
      </x:c>
      <x:c r="B5" s="31" t="n">
        <x:v>0.4622691843</x:v>
      </x:c>
      <x:c r="C5" s="32" t="n">
        <x:v>4.53</x:v>
      </x:c>
      <x:c r="D5" s="32" t="n">
        <x:f>IF(C5="","",(1/'Metadata'!$B$5)^(C5-1))</x:f>
        <x:v>3388.4415613920273</x:v>
      </x:c>
      <x:c r="E5" s="31" t="n">
        <x:f>IF(B5=0,"",B5*D5)</x:f>
        <x:v>1566.372116632911</x:v>
      </x:c>
    </x:row>
    <x:row r="6" ht="18" customHeight="1">
      <x:c r="A6" s="24" t="str">
        <x:v>Medium demersals (30 - 89 cm)</x:v>
      </x:c>
      <x:c r="B6" s="31" t="n">
        <x:v>6504.541291275001</x:v>
      </x:c>
      <x:c r="C6" s="32" t="n">
        <x:v>3.269357807537195</x:v>
      </x:c>
      <x:c r="D6" s="32" t="n">
        <x:f>IF(C6="","",(1/'Metadata'!$B$5)^(C6-1))</x:f>
        <x:v>185.93356979968863</x:v>
      </x:c>
      <x:c r="E6" s="31" t="n">
        <x:f>IF(B6=0,"",B6*D6)</x:f>
        <x:v>1209412.582196237</x:v>
      </x:c>
    </x:row>
    <x:row r="7" ht="18" customHeight="1">
      <x:c r="A7" s="24" t="str">
        <x:v>Medium pelagics (30 - 89 cm)</x:v>
      </x:c>
      <x:c r="B7" s="31" t="n">
        <x:v>6.532360347400001</x:v>
      </x:c>
      <x:c r="C7" s="32" t="n">
        <x:v>4.499796660775223</x:v>
      </x:c>
      <x:c r="D7" s="32" t="n">
        <x:f>IF(C7="","",(1/'Metadata'!$B$5)^(C7-1))</x:f>
        <x:v>3160.797409770301</x:v>
      </x:c>
      <x:c r="E7" s="31" t="n">
        <x:f>IF(B7=0,"",B7*D7)</x:f>
        <x:v>20647.467665748147</x:v>
      </x:c>
    </x:row>
    <x:row r="8" ht="18" customHeight="1">
      <x:c r="A8" s="24" t="str">
        <x:v>Medium reef assoc. fish (30 - 89 cm)</x:v>
      </x:c>
      <x:c r="B8" s="31" t="n">
        <x:v>23.018154431</x:v>
      </x:c>
      <x:c r="C8" s="32" t="n">
        <x:v>2.53</x:v>
      </x:c>
      <x:c r="D8" s="32" t="n">
        <x:f>IF(C8="","",(1/'Metadata'!$B$5)^(C8-1))</x:f>
        <x:v>33.88441561392024</x:v>
      </x:c>
      <x:c r="E8" s="31" t="n">
        <x:f>IF(B8=0,"",B8*D8)</x:f>
        <x:v>779.9567114054038</x:v>
      </x:c>
    </x:row>
    <x:row r="9" ht="18" customHeight="1">
      <x:c r="A9" s="24" t="str">
        <x:v>Shrimps</x:v>
      </x:c>
      <x:c r="B9" s="31" t="n">
        <x:v>18.5614265261</x:v>
      </x:c>
      <x:c r="C9" s="32" t="n">
        <x:v>3.3</x:v>
      </x:c>
      <x:c r="D9" s="32" t="n">
        <x:f>IF(C9="","",(1/'Metadata'!$B$5)^(C9-1))</x:f>
        <x:v>199.52623149688787</x:v>
      </x:c>
      <x:c r="E9" s="31" t="n">
        <x:f>IF(B9=0,"",B9*D9)</x:f>
        <x:v>3703.491485959104</x:v>
      </x:c>
    </x:row>
    <x:row r="10" ht="18" customHeight="1">
      <x:c r="A10" s="24" t="str">
        <x:v>Small demersals (&lt;30 cm)</x:v>
      </x:c>
      <x:c r="B10" s="31" t="n">
        <x:v>178.43798390599997</x:v>
      </x:c>
      <x:c r="C10" s="32" t="n">
        <x:v>3.5800000000000005</x:v>
      </x:c>
      <x:c r="D10" s="32" t="n">
        <x:f>IF(C10="","",(1/'Metadata'!$B$5)^(C10-1))</x:f>
        <x:v>380.1893963205616</x:v>
      </x:c>
      <x:c r="E10" s="31" t="n">
        <x:f>IF(B10=0,"",B10*D10)</x:f>
        <x:v>67840.22938188021</x:v>
      </x:c>
    </x:row>
    <x:row r="11" ht="18" customHeight="1">
      <x:c r="A11" s="24" t="str">
        <x:v>Small pelagics (&lt;30 cm)</x:v>
      </x:c>
      <x:c r="B11" s="31" t="n">
        <x:v>727.060027604</x:v>
      </x:c>
      <x:c r="C11" s="32" t="n">
        <x:v>3.060749897662861</x:v>
      </x:c>
      <x:c r="D11" s="32" t="n">
        <x:f>IF(C11="","",(1/'Metadata'!$B$5)^(C11-1))</x:f>
        <x:v>115.01378546037988</x:v>
      </x:c>
      <x:c r="E11" s="31" t="n">
        <x:f>IF(B11=0,"",B11*D11)</x:f>
        <x:v>83621.92603166432</x:v>
      </x:c>
    </x:row>
  </x:sheetData>
  <x:pageMargins left="0.7" right="0.7" top="0.75" bottom="0.75" header="0.3" footer="0.3"/>
  <x:tableParts count="1">
    <x:tablePart xmlns:r="http://schemas.openxmlformats.org/officeDocument/2006/relationships" r:id="Rbe6a0fa3c2b44c3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EEZ_008</x:v>
      </x:c>
      <x:c r="B2" s="24" t="str">
        <x:v>raw_filtered_tonnes</x:v>
      </x:c>
      <x:c r="C2" s="24" t="n">
        <x:v>7591.634241119799</x:v>
      </x:c>
      <x:c r="D2" s="24" t="str">
        <x:v>tonnes</x:v>
      </x:c>
    </x:row>
    <x:row r="3" ht="18" customHeight="1">
      <x:c r="A3" s="24" t="str">
        <x:v>EEZ_008</x:v>
      </x:c>
      <x:c r="B3" s="24" t="str">
        <x:v>species_catch_tonnes</x:v>
      </x:c>
      <x:c r="C3" s="24" t="n">
        <x:v>7591.6342411198</x:v>
      </x:c>
      <x:c r="D3" s="24" t="str">
        <x:v>tonnes</x:v>
      </x:c>
    </x:row>
    <x:row r="4" ht="18" customHeight="1">
      <x:c r="A4" s="24" t="str">
        <x:v>EEZ_008</x:v>
      </x:c>
      <x:c r="B4" s="24" t="str">
        <x:v>catch_difference_tonnes</x:v>
      </x:c>
      <x:c r="C4" s="24" t="n">
        <x:v>9.094947017729282e-13</x:v>
      </x:c>
      <x:c r="D4" s="24" t="str">
        <x:v>tonnes</x:v>
      </x:c>
    </x:row>
    <x:row r="5" ht="18" customHeight="1">
      <x:c r="A5" s="24" t="str">
        <x:v>EEZ_008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EEZ_008</x:v>
      </x:c>
      <x:c r="B6" s="24" t="str">
        <x:v>matched_catch_tonnes</x:v>
      </x:c>
      <x:c r="C6" s="24" t="n">
        <x:v>7591.6342411198</x:v>
      </x:c>
      <x:c r="D6" s="24" t="str">
        <x:v>tonnes</x:v>
      </x:c>
    </x:row>
    <x:row r="7" ht="18" customHeight="1">
      <x:c r="A7" s="24" t="str">
        <x:v>EEZ_008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EEZ_008</x:v>
      </x:c>
      <x:c r="B8" s="24" t="str">
        <x:v>taxa_count</x:v>
      </x:c>
      <x:c r="C8" s="24" t="n">
        <x:v>16</x:v>
      </x:c>
      <x:c r="D8" s="24" t="str">
        <x:v>count</x:v>
      </x:c>
    </x:row>
    <x:row r="9" ht="18" customHeight="1">
      <x:c r="A9" s="24" t="str">
        <x:v>EEZ_008</x:v>
      </x:c>
      <x:c r="B9" s="24" t="str">
        <x:v>matched_taxa_count</x:v>
      </x:c>
      <x:c r="C9" s="24" t="n">
        <x:v>16</x:v>
      </x:c>
      <x:c r="D9" s="24" t="str">
        <x:v>count</x:v>
      </x:c>
    </x:row>
    <x:row r="10" ht="18" customHeight="1">
      <x:c r="A10" s="24" t="str">
        <x:v>EEZ_008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EEZ_008</x:v>
      </x:c>
      <x:c r="B11" s="24" t="str">
        <x:v>species_ppr</x:v>
      </x:c>
      <x:c r="C11" s="24" t="n">
        <x:v>1553417.1552911263</x:v>
      </x:c>
      <x:c r="D11" s="24" t="str">
        <x:v>tonnes_primary_production_equivalent</x:v>
      </x:c>
    </x:row>
    <x:row r="12" ht="18" customHeight="1">
      <x:c r="A12" s="24" t="str">
        <x:v>EEZ_008</x:v>
      </x:c>
      <x:c r="B12" s="24" t="str">
        <x:v>commercial_ppr</x:v>
      </x:c>
      <x:c r="C12" s="24" t="n">
        <x:v>1441544.1717010585</x:v>
      </x:c>
      <x:c r="D12" s="24" t="str">
        <x:v>tonnes_primary_production_equivalent</x:v>
      </x:c>
    </x:row>
    <x:row r="13" ht="18" customHeight="1">
      <x:c r="A13" s="24" t="str">
        <x:v>EEZ_008</x:v>
      </x:c>
      <x:c r="B13" s="24" t="str">
        <x:v>functional_ppr</x:v>
      </x:c>
      <x:c r="C13" s="24" t="n">
        <x:v>1519679.3415048786</x:v>
      </x:c>
      <x:c r="D13" s="24" t="str">
        <x:v>tonnes_primary_production_equivalent</x:v>
      </x:c>
    </x:row>
    <x:row r="14" ht="18" customHeight="1">
      <x:c r="A14" s="24" t="str">
        <x:v>EEZ_008</x:v>
      </x:c>
      <x:c r="B14" s="24" t="str">
        <x:v>commercial_ppr_difference</x:v>
      </x:c>
      <x:c r="C14" s="24" t="n">
        <x:v>-111872.98359006783</x:v>
      </x:c>
      <x:c r="D14" s="24" t="str">
        <x:v>tonnes_primary_production_equivalent</x:v>
      </x:c>
    </x:row>
    <x:row r="15" ht="18" customHeight="1">
      <x:c r="A15" s="24" t="str">
        <x:v>EEZ_008</x:v>
      </x:c>
      <x:c r="B15" s="24" t="str">
        <x:v>functional_ppr_difference</x:v>
      </x:c>
      <x:c r="C15" s="24" t="n">
        <x:v>-33737.813786247745</x:v>
      </x:c>
      <x:c r="D15" s="24" t="str">
        <x:v>tonnes_primary_production_equivalent</x:v>
      </x:c>
    </x:row>
    <x:row r="16" ht="18" customHeight="1">
      <x:c r="A16" s="24" t="str">
        <x:v>EEZ_008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EEZ_008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cdbdc2467c648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EEZ_008 - Albania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EEZ_008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raw_data/SAU_downloads/EEZ_008-catch.zip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