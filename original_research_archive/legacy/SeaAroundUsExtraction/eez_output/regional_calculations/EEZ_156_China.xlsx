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5e53a4ca8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141848a84f648ec"/>
    <x:sheet xmlns:r="http://schemas.openxmlformats.org/officeDocument/2006/relationships" name="Commercial" sheetId="2" r:id="R1c62281b9dd54964"/>
    <x:sheet xmlns:r="http://schemas.openxmlformats.org/officeDocument/2006/relationships" name="Functional" sheetId="3" r:id="R9035dec44b434c36"/>
    <x:sheet xmlns:r="http://schemas.openxmlformats.org/officeDocument/2006/relationships" name="Missing TL" sheetId="4" r:id="R9800e4e2749e4611"/>
    <x:sheet xmlns:r="http://schemas.openxmlformats.org/officeDocument/2006/relationships" name="Validation" sheetId="5" r:id="R9c82350835b04c4e"/>
    <x:sheet xmlns:r="http://schemas.openxmlformats.org/officeDocument/2006/relationships" name="Metadata" sheetId="6" r:id="R2e74437f0545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73bf9973249ed" /><Relationship Type="http://schemas.openxmlformats.org/officeDocument/2006/relationships/theme" Target="/xl/theme/theme1.xml" Id="R89196e79dd7c4039" /><Relationship Type="http://schemas.microsoft.com/office/2022/11/relationships/FeaturePropertyBag" Target="/xl/featurePropertyBag/featurePropertyBag.xml" Id="Rec21ef37b57846b9" /><Relationship Type="http://schemas.openxmlformats.org/officeDocument/2006/relationships/sharedStrings" Target="/xl/sharedStrings.xml" Id="Rd14278674c7145b7" /><Relationship Type="http://schemas.openxmlformats.org/officeDocument/2006/relationships/worksheet" Target="/xl/worksheets/sheet1.xml" Id="Rd141848a84f648ec" /><Relationship Type="http://schemas.openxmlformats.org/officeDocument/2006/relationships/worksheet" Target="/xl/worksheets/sheet2.xml" Id="R1c62281b9dd54964" /><Relationship Type="http://schemas.openxmlformats.org/officeDocument/2006/relationships/worksheet" Target="/xl/worksheets/sheet3.xml" Id="R9035dec44b434c36" /><Relationship Type="http://schemas.openxmlformats.org/officeDocument/2006/relationships/worksheet" Target="/xl/worksheets/sheet4.xml" Id="R9800e4e2749e4611" /><Relationship Type="http://schemas.openxmlformats.org/officeDocument/2006/relationships/worksheet" Target="/xl/worksheets/sheet5.xml" Id="R9c82350835b04c4e" /><Relationship Type="http://schemas.openxmlformats.org/officeDocument/2006/relationships/worksheet" Target="/xl/worksheets/sheet6.xml" Id="R2e74437f054543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56SpeciesTable" displayName="EEZ156SpeciesTable" ref="A1:U181" headerRowCount="1" totalsRowCount="0" totalsRowShown="0">
  <x:autoFilter ref="A1:U18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56CommercialTable" displayName="EEZ15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56FunctionalTable" displayName="EEZ156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56ValidationTable" displayName="EEZ15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610c0922424c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530b49ae8542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52bc4c182a40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58e7a042254ab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EEZ_156</x:v>
      </x:c>
      <x:c r="B2" s="24" t="str">
        <x:v>China</x:v>
      </x:c>
      <x:c r="C2" s="24" t="str">
        <x:v>EEZ</x:v>
      </x:c>
      <x:c r="D2" s="30" t="n">
        <x:v>2019</x:v>
      </x:c>
      <x:c r="E2" s="24" t="str">
        <x:v>Scyphozoa</x:v>
      </x:c>
      <x:c r="F2" s="24" t="str">
        <x:v>True jellyfishes</x:v>
      </x:c>
      <x:c r="G2" s="24" t="str">
        <x:v>Jellyfish</x:v>
      </x:c>
      <x:c r="H2" s="24" t="str">
        <x:v>Other fishes &amp; inverts</x:v>
      </x:c>
      <x:c r="I2" s="31" t="n">
        <x:v>1038272.2654656258</x:v>
      </x:c>
      <x:c r="J2" s="31" t="n">
        <x:v>1037081.6603639938</x:v>
      </x:c>
      <x:c r="K2" s="31" t="n">
        <x:v>1190.6051016319</x:v>
      </x:c>
      <x:c r="L2" s="31" t="n">
        <x:v>1037081.6603639938</x:v>
      </x:c>
      <x:c r="M2" s="31" t="n">
        <x:v>1190.6051016319</x:v>
      </x:c>
      <x:c r="N2" s="24" t="str">
        <x:v>scyphozoa</x:v>
      </x:c>
      <x:c r="O2" s="32" t="n">
        <x:v>3.46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Scyphozoa</x:v>
      </x:c>
      <x:c r="T2" s="32" t="n">
        <x:f>IF(O2="","",(1/'Metadata'!$B$5)^(O2-1))</x:f>
        <x:v>288.40315031266056</x:v>
      </x:c>
      <x:c r="U2" s="31" t="n">
        <x:f>IF(T2="","",I2*T2)</x:f>
        <x:v>299440992.2425495</x:v>
      </x:c>
    </x:row>
    <x:row r="3" ht="18" customHeight="1">
      <x:c r="A3" s="24" t="str">
        <x:v>EEZ_156</x:v>
      </x:c>
      <x:c r="B3" s="24" t="str">
        <x:v>China</x:v>
      </x:c>
      <x:c r="C3" s="24" t="str">
        <x:v>EEZ</x:v>
      </x:c>
      <x:c r="D3" s="30" t="n">
        <x:v>2019</x:v>
      </x:c>
      <x:c r="E3" s="24" t="str">
        <x:v>Engraulis japonicus</x:v>
      </x:c>
      <x:c r="F3" s="24" t="str">
        <x:v>Japanese anchovy</x:v>
      </x:c>
      <x:c r="G3" s="24" t="str">
        <x:v>Small pelagics (&lt;30 cm)</x:v>
      </x:c>
      <x:c r="H3" s="24" t="str">
        <x:v>Anchovies</x:v>
      </x:c>
      <x:c r="I3" s="31" t="n">
        <x:v>700510.9995925244</x:v>
      </x:c>
      <x:c r="J3" s="31" t="n">
        <x:v>698768.2355702571</x:v>
      </x:c>
      <x:c r="K3" s="31" t="n">
        <x:v>1742.7640222672999</x:v>
      </x:c>
      <x:c r="L3" s="31" t="n">
        <x:v>696155.1453739</x:v>
      </x:c>
      <x:c r="M3" s="31" t="n">
        <x:v>4355.854218624399</x:v>
      </x:c>
      <x:c r="N3" s="24" t="str">
        <x:v>engraulis japonicus</x:v>
      </x:c>
      <x:c r="O3" s="32" t="n">
        <x:v>3.14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japonicus</x:v>
      </x:c>
      <x:c r="T3" s="32" t="n">
        <x:f>IF(O3="","",(1/'Metadata'!$B$5)^(O3-1))</x:f>
        <x:v>138.03842646028852</x:v>
      </x:c>
      <x:c r="U3" s="31" t="n">
        <x:f>IF(T3="","",I3*T3)</x:f>
        <x:v>96697436.10187587</x:v>
      </x:c>
    </x:row>
    <x:row r="4" ht="18" customHeight="1">
      <x:c r="A4" s="24" t="str">
        <x:v>EEZ_156</x:v>
      </x:c>
      <x:c r="B4" s="24" t="str">
        <x:v>China</x:v>
      </x:c>
      <x:c r="C4" s="24" t="str">
        <x:v>EEZ</x:v>
      </x:c>
      <x:c r="D4" s="30" t="n">
        <x:v>2019</x:v>
      </x:c>
      <x:c r="E4" s="24" t="str">
        <x:v>Trichiurus lepturus</x:v>
      </x:c>
      <x:c r="F4" s="24" t="str">
        <x:v>Largehead hairtail</x:v>
      </x:c>
      <x:c r="G4" s="24" t="str">
        <x:v>Large benthopelagics (&gt;=90 cm)</x:v>
      </x:c>
      <x:c r="H4" s="24" t="str">
        <x:v>Perch-likes</x:v>
      </x:c>
      <x:c r="I4" s="31" t="n">
        <x:v>655874.8294936871</x:v>
      </x:c>
      <x:c r="J4" s="31" t="n">
        <x:v>654014.5797180196</x:v>
      </x:c>
      <x:c r="K4" s="31" t="n">
        <x:v>1860.2497756675</x:v>
      </x:c>
      <x:c r="L4" s="31" t="n">
        <x:v>651107.5869965348</x:v>
      </x:c>
      <x:c r="M4" s="31" t="n">
        <x:v>4767.2424971523005</x:v>
      </x:c>
      <x:c r="N4" s="24" t="str">
        <x:v>trichiurus lepturus</x:v>
      </x:c>
      <x:c r="O4" s="32" t="n">
        <x:v>4.42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Trichiurus lepturus</x:v>
      </x:c>
      <x:c r="T4" s="32" t="n">
        <x:f>IF(O4="","",(1/'Metadata'!$B$5)^(O4-1))</x:f>
        <x:v>2630.2679918953813</x:v>
      </x:c>
      <x:c r="U4" s="31" t="n">
        <x:f>IF(T4="","",I4*T4)</x:f>
        <x:v>1725126570.707086</x:v>
      </x:c>
    </x:row>
    <x:row r="5" ht="18" customHeight="1">
      <x:c r="A5" s="24" t="str">
        <x:v>EEZ_156</x:v>
      </x:c>
      <x:c r="B5" s="24" t="str">
        <x:v>China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549208.973572898</x:v>
      </x:c>
      <x:c r="J5" s="31" t="n">
        <x:v>501586.4385046794</x:v>
      </x:c>
      <x:c r="K5" s="31" t="n">
        <x:v>47622.5350682186</x:v>
      </x:c>
      <x:c r="L5" s="31" t="n">
        <x:v>239898.48799741128</x:v>
      </x:c>
      <x:c r="M5" s="31" t="n">
        <x:v>309310.48557548673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104649612.50960718</x:v>
      </x:c>
    </x:row>
    <x:row r="6" ht="18" customHeight="1">
      <x:c r="A6" s="24" t="str">
        <x:v>EEZ_156</x:v>
      </x:c>
      <x:c r="B6" s="24" t="str">
        <x:v>China</x:v>
      </x:c>
      <x:c r="C6" s="24" t="str">
        <x:v>EEZ</x:v>
      </x:c>
      <x:c r="D6" s="30" t="n">
        <x:v>2019</x:v>
      </x:c>
      <x:c r="E6" s="24" t="str">
        <x:v>Scomber japonicus</x:v>
      </x:c>
      <x:c r="F6" s="24" t="str">
        <x:v>Pacific chub mackerel</x:v>
      </x:c>
      <x:c r="G6" s="24" t="str">
        <x:v>Medium pelagics (30 - 89 cm)</x:v>
      </x:c>
      <x:c r="H6" s="24" t="str">
        <x:v>Perch-likes</x:v>
      </x:c>
      <x:c r="I6" s="31" t="n">
        <x:v>463133.927465174</x:v>
      </x:c>
      <x:c r="J6" s="31" t="n">
        <x:v>462655.53397066233</x:v>
      </x:c>
      <x:c r="K6" s="31" t="n">
        <x:v>478.3934945117</x:v>
      </x:c>
      <x:c r="L6" s="31" t="n">
        <x:v>461651.8693714868</x:v>
      </x:c>
      <x:c r="M6" s="31" t="n">
        <x:v>1482.0580936872</x:v>
      </x:c>
      <x:c r="N6" s="24" t="str">
        <x:v>scomber japonicus</x:v>
      </x:c>
      <x:c r="O6" s="32" t="n">
        <x:v>3.38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Scomber japonicus</x:v>
      </x:c>
      <x:c r="T6" s="32" t="n">
        <x:f>IF(O6="","",(1/'Metadata'!$B$5)^(O6-1))</x:f>
        <x:v>239.88329190194898</x:v>
      </x:c>
      <x:c r="U6" s="31" t="n">
        <x:f>IF(T6="","",I6*T6)</x:f>
        <x:v>111098091.1118244</x:v>
      </x:c>
    </x:row>
    <x:row r="7" ht="18" customHeight="1">
      <x:c r="A7" s="24" t="str">
        <x:v>EEZ_156</x:v>
      </x:c>
      <x:c r="B7" s="24" t="str">
        <x:v>China</x:v>
      </x:c>
      <x:c r="C7" s="24" t="str">
        <x:v>EEZ</x:v>
      </x:c>
      <x:c r="D7" s="30" t="n">
        <x:v>2019</x:v>
      </x:c>
      <x:c r="E7" s="24" t="str">
        <x:v>Cololabis saira</x:v>
      </x:c>
      <x:c r="F7" s="24" t="str">
        <x:v>Pacific saury</x:v>
      </x:c>
      <x:c r="G7" s="24" t="str">
        <x:v>Medium pelagics (30 - 89 cm)</x:v>
      </x:c>
      <x:c r="H7" s="24" t="str">
        <x:v>Other fishes &amp; inverts</x:v>
      </x:c>
      <x:c r="I7" s="31" t="n">
        <x:v>411129.0803444585</x:v>
      </x:c>
      <x:c r="J7" s="31" t="n">
        <x:v>407278.5385109138</x:v>
      </x:c>
      <x:c r="K7" s="31" t="n">
        <x:v>3850.5418335447002</x:v>
      </x:c>
      <x:c r="L7" s="31" t="n">
        <x:v>399857.8449980803</x:v>
      </x:c>
      <x:c r="M7" s="31" t="n">
        <x:v>11271.2353463782</x:v>
      </x:c>
      <x:c r="N7" s="24" t="str">
        <x:v>cololabis saira</x:v>
      </x:c>
      <x:c r="O7" s="32" t="n">
        <x:v>3.71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Cololabis saira</x:v>
      </x:c>
      <x:c r="T7" s="32" t="n">
        <x:f>IF(O7="","",(1/'Metadata'!$B$5)^(O7-1))</x:f>
        <x:v>512.8613839913648</x:v>
      </x:c>
      <x:c r="U7" s="31" t="n">
        <x:f>IF(T7="","",I7*T7)</x:f>
        <x:v>210852229.14455602</x:v>
      </x:c>
    </x:row>
    <x:row r="8" ht="18" customHeight="1">
      <x:c r="A8" s="24" t="str">
        <x:v>EEZ_156</x:v>
      </x:c>
      <x:c r="B8" s="24" t="str">
        <x:v>China</x:v>
      </x:c>
      <x:c r="C8" s="24" t="str">
        <x:v>EEZ</x:v>
      </x:c>
      <x:c r="D8" s="30" t="n">
        <x:v>2019</x:v>
      </x:c>
      <x:c r="E8" s="24" t="str">
        <x:v>Acetes japonicus</x:v>
      </x:c>
      <x:c r="F8" s="24" t="str">
        <x:v>Akiami paste shrimp</x:v>
      </x:c>
      <x:c r="G8" s="24" t="str">
        <x:v>Shrimps</x:v>
      </x:c>
      <x:c r="H8" s="24" t="str">
        <x:v>Crustaceans</x:v>
      </x:c>
      <x:c r="I8" s="31" t="n">
        <x:v>393492.17368410254</x:v>
      </x:c>
      <x:c r="J8" s="31" t="n">
        <x:v>391012.10660584463</x:v>
      </x:c>
      <x:c r="K8" s="31" t="n">
        <x:v>2480.0670782579</x:v>
      </x:c>
      <x:c r="L8" s="31" t="n">
        <x:v>389216.9999999997</x:v>
      </x:c>
      <x:c r="M8" s="31" t="n">
        <x:v>4275.1736841028</x:v>
      </x:c>
      <x:c r="N8" s="24" t="str">
        <x:v>acetes japonicus</x:v>
      </x:c>
      <x:c r="O8" s="32" t="n">
        <x:v>2.54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Acetes japonicus</x:v>
      </x:c>
      <x:c r="T8" s="32" t="n">
        <x:f>IF(O8="","",(1/'Metadata'!$B$5)^(O8-1))</x:f>
        <x:v>34.673685045253166</x:v>
      </x:c>
      <x:c r="U8" s="31" t="n">
        <x:f>IF(T8="","",I8*T8)</x:f>
        <x:v>13643823.698094627</x:v>
      </x:c>
    </x:row>
    <x:row r="9" ht="18" customHeight="1">
      <x:c r="A9" s="24" t="str">
        <x:v>EEZ_156</x:v>
      </x:c>
      <x:c r="B9" s="24" t="str">
        <x:v>China</x:v>
      </x:c>
      <x:c r="C9" s="24" t="str">
        <x:v>EEZ</x:v>
      </x:c>
      <x:c r="D9" s="30" t="n">
        <x:v>2019</x:v>
      </x:c>
      <x:c r="E9" s="24" t="str">
        <x:v>Portunus trituberculatus</x:v>
      </x:c>
      <x:c r="F9" s="24" t="str">
        <x:v>Gazami crab</x:v>
      </x:c>
      <x:c r="G9" s="24" t="str">
        <x:v>Lobsters, crabs</x:v>
      </x:c>
      <x:c r="H9" s="24" t="str">
        <x:v>Crustaceans</x:v>
      </x:c>
      <x:c r="I9" s="31" t="n">
        <x:v>314006.5491258328</x:v>
      </x:c>
      <x:c r="J9" s="31" t="n">
        <x:v>312444.1326178367</x:v>
      </x:c>
      <x:c r="K9" s="31" t="n">
        <x:v>1562.4165079961</x:v>
      </x:c>
      <x:c r="L9" s="31" t="n">
        <x:v>310002.3939999997</x:v>
      </x:c>
      <x:c r="M9" s="31" t="n">
        <x:v>4004.1551258331</x:v>
      </x:c>
      <x:c r="N9" s="24" t="str">
        <x:v>portunus trituberculatus</x:v>
      </x:c>
      <x:c r="O9" s="32" t="n">
        <x:v>3.73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Portunus trituberculatus</x:v>
      </x:c>
      <x:c r="T9" s="32" t="n">
        <x:f>IF(O9="","",(1/'Metadata'!$B$5)^(O9-1))</x:f>
        <x:v>537.0317963702527</x:v>
      </x:c>
      <x:c r="U9" s="31" t="n">
        <x:f>IF(T9="","",I9*T9)</x:f>
        <x:v>168631501.14906996</x:v>
      </x:c>
    </x:row>
    <x:row r="10" ht="18" customHeight="1">
      <x:c r="A10" s="24" t="str">
        <x:v>EEZ_156</x:v>
      </x:c>
      <x:c r="B10" s="24" t="str">
        <x:v>China</x:v>
      </x:c>
      <x:c r="C10" s="24" t="str">
        <x:v>EEZ</x:v>
      </x:c>
      <x:c r="D10" s="30" t="n">
        <x:v>2019</x:v>
      </x:c>
      <x:c r="E10" s="24" t="str">
        <x:v>Alepes</x:v>
      </x:c>
      <x:c r="F10" s="24" t="str">
        <x:v>Crevalles</x:v>
      </x:c>
      <x:c r="G10" s="24" t="str">
        <x:v>Medium reef assoc. fish (30 - 89 cm)</x:v>
      </x:c>
      <x:c r="H10" s="24" t="str">
        <x:v>Perch-likes</x:v>
      </x:c>
      <x:c r="I10" s="31" t="n">
        <x:v>305269.6736491098</x:v>
      </x:c>
      <x:c r="J10" s="31" t="n">
        <x:v>304837.2186832411</x:v>
      </x:c>
      <x:c r="K10" s="31" t="n">
        <x:v>432.4549658687</x:v>
      </x:c>
      <x:c r="L10" s="31" t="n">
        <x:v>303482.1553936443</x:v>
      </x:c>
      <x:c r="M10" s="31" t="n">
        <x:v>1787.5182554654998</x:v>
      </x:c>
      <x:c r="N10" s="24" t="str">
        <x:v>alepes</x:v>
      </x:c>
      <x:c r="O10" s="32" t="n">
        <x:v>3.32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Alepes</x:v>
      </x:c>
      <x:c r="T10" s="32" t="n">
        <x:f>IF(O10="","",(1/'Metadata'!$B$5)^(O10-1))</x:f>
        <x:v>208.92961308540387</x:v>
      </x:c>
      <x:c r="U10" s="31" t="n">
        <x:f>IF(T10="","",I10*T10)</x:f>
        <x:v>63779874.802216016</x:v>
      </x:c>
    </x:row>
    <x:row r="11" ht="18" customHeight="1">
      <x:c r="A11" s="24" t="str">
        <x:v>EEZ_156</x:v>
      </x:c>
      <x:c r="B11" s="24" t="str">
        <x:v>China</x:v>
      </x:c>
      <x:c r="C11" s="24" t="str">
        <x:v>EEZ</x:v>
      </x:c>
      <x:c r="D11" s="30" t="n">
        <x:v>2019</x:v>
      </x:c>
      <x:c r="E11" s="24" t="str">
        <x:v>Miscellaneous marine crustaceans</x:v>
      </x:c>
      <x:c r="F11" s="24" t="str">
        <x:v>Marine crabs, shrimps, lobsters nei</x:v>
      </x:c>
      <x:c r="G11" s="24" t="str">
        <x:v>Shrimps</x:v>
      </x:c>
      <x:c r="H11" s="24" t="str">
        <x:v>Crustaceans</x:v>
      </x:c>
      <x:c r="I11" s="31" t="n">
        <x:v>279075.99892184336</x:v>
      </x:c>
      <x:c r="J11" s="31" t="n">
        <x:v>278597.0509</x:v>
      </x:c>
      <x:c r="K11" s="31" t="n">
        <x:v>478.9480218434</x:v>
      </x:c>
      <x:c r="L11" s="31" t="n">
        <x:v>278597.0509</x:v>
      </x:c>
      <x:c r="M11" s="31" t="n">
        <x:v>478.9480218434</x:v>
      </x:c>
      <x:c r="N11" s="24" t="str">
        <x:v>miscellaneous marine crustaceans</x:v>
      </x:c>
      <x:c r="O11" s="32" t="n">
        <x:v>2.7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Miscellaneous marine crustaceans</x:v>
      </x:c>
      <x:c r="T11" s="32" t="n">
        <x:f>IF(O11="","",(1/'Metadata'!$B$5)^(O11-1))</x:f>
        <x:v>50.11872336272725</x:v>
      </x:c>
      <x:c r="U11" s="31" t="n">
        <x:f>IF(T11="","",I11*T11)</x:f>
        <x:v>13986932.787140636</x:v>
      </x:c>
    </x:row>
    <x:row r="12" ht="18" customHeight="1">
      <x:c r="A12" s="24" t="str">
        <x:v>EEZ_156</x:v>
      </x:c>
      <x:c r="B12" s="24" t="str">
        <x:v>China</x:v>
      </x:c>
      <x:c r="C12" s="24" t="str">
        <x:v>EEZ</x:v>
      </x:c>
      <x:c r="D12" s="30" t="n">
        <x:v>2019</x:v>
      </x:c>
      <x:c r="E12" s="24" t="str">
        <x:v>Nemopilema nomurai</x:v>
      </x:c>
      <x:c r="F12" s="24" t="str">
        <x:v>Nomura jelly</x:v>
      </x:c>
      <x:c r="G12" s="24" t="str">
        <x:v>Jellyfish</x:v>
      </x:c>
      <x:c r="H12" s="24" t="str">
        <x:v>Other fishes &amp; inverts</x:v>
      </x:c>
      <x:c r="I12" s="31" t="n">
        <x:v>253742.820476043</x:v>
      </x:c>
      <x:c r="J12" s="31" t="n">
        <x:v>253742.820476043</x:v>
      </x:c>
      <x:c r="K12" s="31" t="n">
        <x:v>0</x:v>
      </x:c>
      <x:c r="L12" s="31" t="n">
        <x:v>0</x:v>
      </x:c>
      <x:c r="M12" s="31" t="n">
        <x:v>253742.820476043</x:v>
      </x:c>
      <x:c r="N12" s="24" t="str">
        <x:v>nemopilema nomurai</x:v>
      </x:c>
      <x:c r="O12" s="32" t="n">
        <x:v>3.57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Nemopilema nomurai</x:v>
      </x:c>
      <x:c r="T12" s="32" t="n">
        <x:f>IF(O12="","",(1/'Metadata'!$B$5)^(O12-1))</x:f>
        <x:v>371.5352290971724</x:v>
      </x:c>
      <x:c r="U12" s="31" t="n">
        <x:f>IF(T12="","",I12*T12)</x:f>
        <x:v>94274396.93732934</x:v>
      </x:c>
    </x:row>
    <x:row r="13" ht="18" customHeight="1">
      <x:c r="A13" s="24" t="str">
        <x:v>EEZ_156</x:v>
      </x:c>
      <x:c r="B13" s="24" t="str">
        <x:v>China</x:v>
      </x:c>
      <x:c r="C13" s="24" t="str">
        <x:v>EEZ</x:v>
      </x:c>
      <x:c r="D13" s="30" t="n">
        <x:v>2019</x:v>
      </x:c>
      <x:c r="E13" s="24" t="str">
        <x:v>Scomberomorus</x:v>
      </x:c>
      <x:c r="F13" s="24" t="str">
        <x:v>Spanish mackerels</x:v>
      </x:c>
      <x:c r="G13" s="24" t="str">
        <x:v>Large pelagics (&gt;=90 cm)</x:v>
      </x:c>
      <x:c r="H13" s="24" t="str">
        <x:v>Perch-likes</x:v>
      </x:c>
      <x:c r="I13" s="31" t="n">
        <x:v>237998.16637691788</x:v>
      </x:c>
      <x:c r="J13" s="31" t="n">
        <x:v>236855.7507331756</x:v>
      </x:c>
      <x:c r="K13" s="31" t="n">
        <x:v>1142.4156437423</x:v>
      </x:c>
      <x:c r="L13" s="31" t="n">
        <x:v>235981.2002782921</x:v>
      </x:c>
      <x:c r="M13" s="31" t="n">
        <x:v>2016.9660986258</x:v>
      </x:c>
      <x:c r="N13" s="24" t="str">
        <x:v>scomberomorus</x:v>
      </x:c>
      <x:c r="O13" s="32" t="n">
        <x:v>4.35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Scomberomorus</x:v>
      </x:c>
      <x:c r="T13" s="32" t="n">
        <x:f>IF(O13="","",(1/'Metadata'!$B$5)^(O13-1))</x:f>
        <x:v>2238.7211385683377</x:v>
      </x:c>
      <x:c r="U13" s="31" t="n">
        <x:f>IF(T13="","",I13*T13)</x:f>
        <x:v>532811526.0085103</x:v>
      </x:c>
    </x:row>
    <x:row r="14" ht="18" customHeight="1">
      <x:c r="A14" s="24" t="str">
        <x:v>EEZ_156</x:v>
      </x:c>
      <x:c r="B14" s="24" t="str">
        <x:v>China</x:v>
      </x:c>
      <x:c r="C14" s="24" t="str">
        <x:v>EEZ</x:v>
      </x:c>
      <x:c r="D14" s="30" t="n">
        <x:v>2019</x:v>
      </x:c>
      <x:c r="E14" s="24" t="str">
        <x:v>Nemipterus</x:v>
      </x:c>
      <x:c r="F14" s="24" t="str">
        <x:v>Threadfin breams</x:v>
      </x:c>
      <x:c r="G14" s="24" t="str">
        <x:v>Small demersals (&lt;30 cm)</x:v>
      </x:c>
      <x:c r="H14" s="24" t="str">
        <x:v>Perch-likes</x:v>
      </x:c>
      <x:c r="I14" s="31" t="n">
        <x:v>226645.5617986857</x:v>
      </x:c>
      <x:c r="J14" s="31" t="n">
        <x:v>225727.9467590375</x:v>
      </x:c>
      <x:c r="K14" s="31" t="n">
        <x:v>917.6150396482001</x:v>
      </x:c>
      <x:c r="L14" s="31" t="n">
        <x:v>223167.87049831808</x:v>
      </x:c>
      <x:c r="M14" s="31" t="n">
        <x:v>3477.6913003676004</x:v>
      </x:c>
      <x:c r="N14" s="24" t="str">
        <x:v>nemipterus</x:v>
      </x:c>
      <x:c r="O14" s="32" t="n">
        <x:v>3.72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Nemipterus</x:v>
      </x:c>
      <x:c r="T14" s="32" t="n">
        <x:f>IF(O14="","",(1/'Metadata'!$B$5)^(O14-1))</x:f>
        <x:v>524.8074602497728</x:v>
      </x:c>
      <x:c r="U14" s="31" t="n">
        <x:f>IF(T14="","",I14*T14)</x:f>
        <x:v>118945281.66445117</x:v>
      </x:c>
    </x:row>
    <x:row r="15" ht="18" customHeight="1">
      <x:c r="A15" s="24" t="str">
        <x:v>EEZ_156</x:v>
      </x:c>
      <x:c r="B15" s="24" t="str">
        <x:v>China</x:v>
      </x:c>
      <x:c r="C15" s="24" t="str">
        <x:v>EEZ</x:v>
      </x:c>
      <x:c r="D15" s="30" t="n">
        <x:v>2019</x:v>
      </x:c>
      <x:c r="E15" s="24" t="str">
        <x:v>Pampus</x:v>
      </x:c>
      <x:c r="F15" s="24" t="str">
        <x:v>Silver pomfrets</x:v>
      </x:c>
      <x:c r="G15" s="24" t="str">
        <x:v>Medium benthopelagics (30 - 89 cm)</x:v>
      </x:c>
      <x:c r="H15" s="24" t="str">
        <x:v>Perch-likes</x:v>
      </x:c>
      <x:c r="I15" s="31" t="n">
        <x:v>222752.31829048743</x:v>
      </x:c>
      <x:c r="J15" s="31" t="n">
        <x:v>221519.51423857632</x:v>
      </x:c>
      <x:c r="K15" s="31" t="n">
        <x:v>1232.8040519111</x:v>
      </x:c>
      <x:c r="L15" s="31" t="n">
        <x:v>220893.7823064088</x:v>
      </x:c>
      <x:c r="M15" s="31" t="n">
        <x:v>1858.5359840786</x:v>
      </x:c>
      <x:c r="N15" s="24" t="str">
        <x:v>pampus</x:v>
      </x:c>
      <x:c r="O15" s="32" t="n">
        <x:v>3.41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Pampus</x:v>
      </x:c>
      <x:c r="T15" s="32" t="n">
        <x:f>IF(O15="","",(1/'Metadata'!$B$5)^(O15-1))</x:f>
        <x:v>257.03957827688646</x:v>
      </x:c>
      <x:c r="U15" s="31" t="n">
        <x:f>IF(T15="","",I15*T15)</x:f>
        <x:v>57256161.95358567</x:v>
      </x:c>
    </x:row>
    <x:row r="16" ht="18" customHeight="1">
      <x:c r="A16" s="24" t="str">
        <x:v>EEZ_156</x:v>
      </x:c>
      <x:c r="B16" s="24" t="str">
        <x:v>China</x:v>
      </x:c>
      <x:c r="C16" s="24" t="str">
        <x:v>EEZ</x:v>
      </x:c>
      <x:c r="D16" s="30" t="n">
        <x:v>2019</x:v>
      </x:c>
      <x:c r="E16" s="24" t="str">
        <x:v>Muraenesox cinereus</x:v>
      </x:c>
      <x:c r="F16" s="24" t="str">
        <x:v>Daggertooth pike conger</x:v>
      </x:c>
      <x:c r="G16" s="24" t="str">
        <x:v>Large demersals (&gt;=90 cm)</x:v>
      </x:c>
      <x:c r="H16" s="24" t="str">
        <x:v>Other fishes &amp; inverts</x:v>
      </x:c>
      <x:c r="I16" s="31" t="n">
        <x:v>211270.7168537762</x:v>
      </x:c>
      <x:c r="J16" s="31" t="n">
        <x:v>210279.7239631564</x:v>
      </x:c>
      <x:c r="K16" s="31" t="n">
        <x:v>990.9928906197999</x:v>
      </x:c>
      <x:c r="L16" s="31" t="n">
        <x:v>209382.3096149928</x:v>
      </x:c>
      <x:c r="M16" s="31" t="n">
        <x:v>1888.4072387833999</x:v>
      </x:c>
      <x:c r="N16" s="24" t="str">
        <x:v>muraenesox cinereus</x:v>
      </x:c>
      <x:c r="O16" s="32" t="n">
        <x:v>4.38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Muraenesox cinereus</x:v>
      </x:c>
      <x:c r="T16" s="32" t="n">
        <x:f>IF(O16="","",(1/'Metadata'!$B$5)^(O16-1))</x:f>
        <x:v>2398.83291901949</x:v>
      </x:c>
      <x:c r="U16" s="31" t="n">
        <x:f>IF(T16="","",I16*T16)</x:f>
        <x:v>506803150.41368407</x:v>
      </x:c>
    </x:row>
    <x:row r="17" ht="18" customHeight="1">
      <x:c r="A17" s="24" t="str">
        <x:v>EEZ_156</x:v>
      </x:c>
      <x:c r="B17" s="24" t="str">
        <x:v>China</x:v>
      </x:c>
      <x:c r="C17" s="24" t="str">
        <x:v>EEZ</x:v>
      </x:c>
      <x:c r="D17" s="30" t="n">
        <x:v>2019</x:v>
      </x:c>
      <x:c r="E17" s="24" t="str">
        <x:v>Teuthida</x:v>
      </x:c>
      <x:c r="F17" s="24" t="str">
        <x:v>Squids</x:v>
      </x:c>
      <x:c r="G17" s="24" t="str">
        <x:v>Cephalopods</x:v>
      </x:c>
      <x:c r="H17" s="24" t="str">
        <x:v>Other fishes &amp; inverts</x:v>
      </x:c>
      <x:c r="I17" s="31" t="n">
        <x:v>198256.7719908551</x:v>
      </x:c>
      <x:c r="J17" s="31" t="n">
        <x:v>196999.6689324772</x:v>
      </x:c>
      <x:c r="K17" s="31" t="n">
        <x:v>1257.1030583779</x:v>
      </x:c>
      <x:c r="L17" s="31" t="n">
        <x:v>196118.2081045601</x:v>
      </x:c>
      <x:c r="M17" s="31" t="n">
        <x:v>2138.563886295</x:v>
      </x:c>
      <x:c r="N17" s="24" t="str">
        <x:v>teuthida</x:v>
      </x:c>
      <x:c r="O17" s="32" t="n">
        <x:v>4.13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Teuthida</x:v>
      </x:c>
      <x:c r="T17" s="32" t="n">
        <x:f>IF(O17="","",(1/'Metadata'!$B$5)^(O17-1))</x:f>
        <x:v>1348.9628825916532</x:v>
      </x:c>
      <x:c r="U17" s="31" t="n">
        <x:f>IF(T17="","",I17*T17)</x:f>
        <x:v>267441026.63810003</x:v>
      </x:c>
    </x:row>
    <x:row r="18" ht="18" customHeight="1">
      <x:c r="A18" s="24" t="str">
        <x:v>EEZ_156</x:v>
      </x:c>
      <x:c r="B18" s="24" t="str">
        <x:v>China</x:v>
      </x:c>
      <x:c r="C18" s="24" t="str">
        <x:v>EEZ</x:v>
      </x:c>
      <x:c r="D18" s="30" t="n">
        <x:v>2019</x:v>
      </x:c>
      <x:c r="E18" s="24" t="str">
        <x:v>Larimichthys polyactis</x:v>
      </x:c>
      <x:c r="F18" s="24" t="str">
        <x:v>Yellow croaker</x:v>
      </x:c>
      <x:c r="G18" s="24" t="str">
        <x:v>Medium benthopelagics (30 - 89 cm)</x:v>
      </x:c>
      <x:c r="H18" s="24" t="str">
        <x:v>Perch-likes</x:v>
      </x:c>
      <x:c r="I18" s="31" t="n">
        <x:v>196949.5925191195</x:v>
      </x:c>
      <x:c r="J18" s="31" t="n">
        <x:v>195531.8104116658</x:v>
      </x:c>
      <x:c r="K18" s="31" t="n">
        <x:v>1417.7821074537</x:v>
      </x:c>
      <x:c r="L18" s="31" t="n">
        <x:v>192266.2459770695</x:v>
      </x:c>
      <x:c r="M18" s="31" t="n">
        <x:v>4683.34654205</x:v>
      </x:c>
      <x:c r="N18" s="24" t="str">
        <x:v>larimichthys polyactis</x:v>
      </x:c>
      <x:c r="O18" s="32" t="n">
        <x:v>3.64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Larimichthys polyactis</x:v>
      </x:c>
      <x:c r="T18" s="32" t="n">
        <x:f>IF(O18="","",(1/'Metadata'!$B$5)^(O18-1))</x:f>
        <x:v>436.5158322401661</x:v>
      </x:c>
      <x:c r="U18" s="31" t="n">
        <x:f>IF(T18="","",I18*T18)</x:f>
        <x:v>85971615.28784505</x:v>
      </x:c>
    </x:row>
    <x:row r="19" ht="18" customHeight="1">
      <x:c r="A19" s="24" t="str">
        <x:v>EEZ_156</x:v>
      </x:c>
      <x:c r="B19" s="24" t="str">
        <x:v>China</x:v>
      </x:c>
      <x:c r="C19" s="24" t="str">
        <x:v>EEZ</x:v>
      </x:c>
      <x:c r="D19" s="30" t="n">
        <x:v>2019</x:v>
      </x:c>
      <x:c r="E19" s="24" t="str">
        <x:v>Sciaenidae</x:v>
      </x:c>
      <x:c r="F19" s="24" t="str">
        <x:v>Drums, croakers</x:v>
      </x:c>
      <x:c r="G19" s="24" t="str">
        <x:v>Medium demersals (30 - 89 cm)</x:v>
      </x:c>
      <x:c r="H19" s="24" t="str">
        <x:v>Perch-likes</x:v>
      </x:c>
      <x:c r="I19" s="31" t="n">
        <x:v>196936.9089491554</x:v>
      </x:c>
      <x:c r="J19" s="31" t="n">
        <x:v>196619.1711400546</x:v>
      </x:c>
      <x:c r="K19" s="31" t="n">
        <x:v>317.7378091008</x:v>
      </x:c>
      <x:c r="L19" s="31" t="n">
        <x:v>193049.773676432</x:v>
      </x:c>
      <x:c r="M19" s="31" t="n">
        <x:v>3887.1352727234</x:v>
      </x:c>
      <x:c r="N19" s="24" t="str">
        <x:v>sciaenidae</x:v>
      </x:c>
      <x:c r="O19" s="32" t="n">
        <x:v>3.76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Sciaenidae</x:v>
      </x:c>
      <x:c r="T19" s="32" t="n">
        <x:f>IF(O19="","",(1/'Metadata'!$B$5)^(O19-1))</x:f>
        <x:v>575.4399373371566</x:v>
      </x:c>
      <x:c r="U19" s="31" t="n">
        <x:f>IF(T19="","",I19*T19)</x:f>
        <x:v>113325362.5450753</x:v>
      </x:c>
    </x:row>
    <x:row r="20" ht="18" customHeight="1">
      <x:c r="A20" s="24" t="str">
        <x:v>EEZ_156</x:v>
      </x:c>
      <x:c r="B20" s="24" t="str">
        <x:v>China</x:v>
      </x:c>
      <x:c r="C20" s="24" t="str">
        <x:v>EEZ</x:v>
      </x:c>
      <x:c r="D20" s="30" t="n">
        <x:v>2019</x:v>
      </x:c>
      <x:c r="E20" s="24" t="str">
        <x:v>Todarodes pacificus</x:v>
      </x:c>
      <x:c r="F20" s="24" t="str">
        <x:v>Japanese flying squid</x:v>
      </x:c>
      <x:c r="G20" s="24" t="str">
        <x:v>Cephalopods</x:v>
      </x:c>
      <x:c r="H20" s="24" t="str">
        <x:v>Other fishes &amp; inverts</x:v>
      </x:c>
      <x:c r="I20" s="31" t="n">
        <x:v>181890.05905650402</x:v>
      </x:c>
      <x:c r="J20" s="31" t="n">
        <x:v>179549.3315296717</x:v>
      </x:c>
      <x:c r="K20" s="31" t="n">
        <x:v>2340.7275268323</x:v>
      </x:c>
      <x:c r="L20" s="31" t="n">
        <x:v>179549.3236627912</x:v>
      </x:c>
      <x:c r="M20" s="31" t="n">
        <x:v>2340.7353937128</x:v>
      </x:c>
      <x:c r="N20" s="24" t="str">
        <x:v>todarodes pacificus</x:v>
      </x:c>
      <x:c r="O20" s="32" t="n">
        <x:v>4.28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Todarodes pacificus</x:v>
      </x:c>
      <x:c r="T20" s="32" t="n">
        <x:f>IF(O20="","",(1/'Metadata'!$B$5)^(O20-1))</x:f>
        <x:v>1905.4607179632483</x:v>
      </x:c>
      <x:c r="U20" s="31" t="n">
        <x:f>IF(T20="","",I20*T20)</x:f>
        <x:v>346584362.5201838</x:v>
      </x:c>
    </x:row>
    <x:row r="21" ht="18" customHeight="1">
      <x:c r="A21" s="24" t="str">
        <x:v>EEZ_156</x:v>
      </x:c>
      <x:c r="B21" s="24" t="str">
        <x:v>China</x:v>
      </x:c>
      <x:c r="C21" s="24" t="str">
        <x:v>EEZ</x:v>
      </x:c>
      <x:c r="D21" s="30" t="n">
        <x:v>2019</x:v>
      </x:c>
      <x:c r="E21" s="24" t="str">
        <x:v>Trachysalambria curvirostris</x:v>
      </x:c>
      <x:c r="F21" s="24" t="str">
        <x:v>Southern rough shrimp</x:v>
      </x:c>
      <x:c r="G21" s="24" t="str">
        <x:v>Shrimps</x:v>
      </x:c>
      <x:c r="H21" s="24" t="str">
        <x:v>Crustaceans</x:v>
      </x:c>
      <x:c r="I21" s="31" t="n">
        <x:v>163671.93159437808</x:v>
      </x:c>
      <x:c r="J21" s="31" t="n">
        <x:v>163247.82952352028</x:v>
      </x:c>
      <x:c r="K21" s="31" t="n">
        <x:v>424.1020708578</x:v>
      </x:c>
      <x:c r="L21" s="31" t="n">
        <x:v>162482.49143958</x:v>
      </x:c>
      <x:c r="M21" s="31" t="n">
        <x:v>1189.4401547981</x:v>
      </x:c>
      <x:c r="N21" s="24" t="str">
        <x:v>trachysalambria curvirostris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Trachysalambria curvirostris</x:v>
      </x:c>
      <x:c r="T21" s="32" t="n">
        <x:f>IF(O21="","",(1/'Metadata'!$B$5)^(O21-1))</x:f>
        <x:v>50.11872336272725</x:v>
      </x:c>
      <x:c r="U21" s="31" t="n">
        <x:f>IF(T21="","",I21*T21)</x:f>
        <x:v>8203028.261821853</x:v>
      </x:c>
    </x:row>
    <x:row r="22" ht="18" customHeight="1">
      <x:c r="A22" s="24" t="str">
        <x:v>EEZ_156</x:v>
      </x:c>
      <x:c r="B22" s="24" t="str">
        <x:v>China</x:v>
      </x:c>
      <x:c r="C22" s="24" t="str">
        <x:v>EEZ</x:v>
      </x:c>
      <x:c r="D22" s="30" t="n">
        <x:v>2019</x:v>
      </x:c>
      <x:c r="E22" s="24" t="str">
        <x:v>Squillidae</x:v>
      </x:c>
      <x:c r="F22" s="24" t="str">
        <x:v>Squilla mantis shrimps</x:v>
      </x:c>
      <x:c r="G22" s="24" t="str">
        <x:v>Shrimps</x:v>
      </x:c>
      <x:c r="H22" s="24" t="str">
        <x:v>Crustaceans</x:v>
      </x:c>
      <x:c r="I22" s="31" t="n">
        <x:v>150758.5751815434</x:v>
      </x:c>
      <x:c r="J22" s="31" t="n">
        <x:v>150132.63574493318</x:v>
      </x:c>
      <x:c r="K22" s="31" t="n">
        <x:v>625.9394366102</x:v>
      </x:c>
      <x:c r="L22" s="31" t="n">
        <x:v>149702.37682433848</x:v>
      </x:c>
      <x:c r="M22" s="31" t="n">
        <x:v>1056.1983572049</x:v>
      </x:c>
      <x:c r="N22" s="24" t="str">
        <x:v>squillidae</x:v>
      </x:c>
      <x:c r="O22" s="32" t="n">
        <x:v>3.5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Squillidae</x:v>
      </x:c>
      <x:c r="T22" s="32" t="n">
        <x:f>IF(O22="","",(1/'Metadata'!$B$5)^(O22-1))</x:f>
        <x:v>316.22776601683796</x:v>
      </x:c>
      <x:c r="U22" s="31" t="n">
        <x:f>IF(T22="","",I22*T22)</x:f>
        <x:v>47674047.43754098</x:v>
      </x:c>
    </x:row>
    <x:row r="23" ht="18" customHeight="1">
      <x:c r="A23" s="24" t="str">
        <x:v>EEZ_156</x:v>
      </x:c>
      <x:c r="B23" s="24" t="str">
        <x:v>China</x:v>
      </x:c>
      <x:c r="C23" s="24" t="str">
        <x:v>EEZ</x:v>
      </x:c>
      <x:c r="D23" s="30" t="n">
        <x:v>2019</x:v>
      </x:c>
      <x:c r="E23" s="24" t="str">
        <x:v>Penaeus chinensis</x:v>
      </x:c>
      <x:c r="F23" s="24" t="str">
        <x:v>Fleshy prawn</x:v>
      </x:c>
      <x:c r="G23" s="24" t="str">
        <x:v>Shrimps</x:v>
      </x:c>
      <x:c r="H23" s="24" t="str">
        <x:v>Crustaceans</x:v>
      </x:c>
      <x:c r="I23" s="31" t="n">
        <x:v>146901.14624264342</x:v>
      </x:c>
      <x:c r="J23" s="31" t="n">
        <x:v>146056.8991427223</x:v>
      </x:c>
      <x:c r="K23" s="31" t="n">
        <x:v>844.2470999211</x:v>
      </x:c>
      <x:c r="L23" s="31" t="n">
        <x:v>145698.6905000002</x:v>
      </x:c>
      <x:c r="M23" s="31" t="n">
        <x:v>1202.4557426432</x:v>
      </x:c>
      <x:c r="N23" s="24" t="str">
        <x:v>penaeus chinensis</x:v>
      </x:c>
      <x:c r="O23" s="32" t="n">
        <x:v>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chinensis</x:v>
      </x:c>
      <x:c r="T23" s="32" t="n">
        <x:f>IF(O23="","",(1/'Metadata'!$B$5)^(O23-1))</x:f>
        <x:v>10</x:v>
      </x:c>
      <x:c r="U23" s="31" t="n">
        <x:f>IF(T23="","",I23*T23)</x:f>
        <x:v>1469011.4624264343</x:v>
      </x:c>
    </x:row>
    <x:row r="24" ht="18" customHeight="1">
      <x:c r="A24" s="24" t="str">
        <x:v>EEZ_156</x:v>
      </x:c>
      <x:c r="B24" s="24" t="str">
        <x:v>China</x:v>
      </x:c>
      <x:c r="C24" s="24" t="str">
        <x:v>EEZ</x:v>
      </x:c>
      <x:c r="D24" s="30" t="n">
        <x:v>2019</x:v>
      </x:c>
      <x:c r="E24" s="24" t="str">
        <x:v>Rhopilema esculentum</x:v>
      </x:c>
      <x:c r="F24" s="24" t="str">
        <x:v>Flame jellyfish</x:v>
      </x:c>
      <x:c r="G24" s="24" t="str">
        <x:v>Jellyfish</x:v>
      </x:c>
      <x:c r="H24" s="24" t="str">
        <x:v>Other fishes &amp; inverts</x:v>
      </x:c>
      <x:c r="I24" s="31" t="n">
        <x:v>145794</x:v>
      </x:c>
      <x:c r="J24" s="31" t="n">
        <x:v>145794</x:v>
      </x:c>
      <x:c r="K24" s="31" t="n">
        <x:v>0</x:v>
      </x:c>
      <x:c r="L24" s="31" t="n">
        <x:v>145794</x:v>
      </x:c>
      <x:c r="M24" s="31" t="n">
        <x:v>0</x:v>
      </x:c>
      <x:c r="N24" s="24" t="str">
        <x:v>rhopilema esculentum</x:v>
      </x:c>
      <x:c r="O24" s="32" t="n">
        <x:v>3.01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Rhopilema esculentum</x:v>
      </x:c>
      <x:c r="T24" s="32" t="n">
        <x:f>IF(O24="","",(1/'Metadata'!$B$5)^(O24-1))</x:f>
        <x:v>102.32929922807536</x:v>
      </x:c>
      <x:c r="U24" s="31" t="n">
        <x:f>IF(T24="","",I24*T24)</x:f>
        <x:v>14918997.851658018</x:v>
      </x:c>
    </x:row>
    <x:row r="25" ht="18" customHeight="1">
      <x:c r="A25" s="24" t="str">
        <x:v>EEZ_156</x:v>
      </x:c>
      <x:c r="B25" s="24" t="str">
        <x:v>China</x:v>
      </x:c>
      <x:c r="C25" s="24" t="str">
        <x:v>EEZ</x:v>
      </x:c>
      <x:c r="D25" s="30" t="n">
        <x:v>2019</x:v>
      </x:c>
      <x:c r="E25" s="24" t="str">
        <x:v>Decapoda</x:v>
      </x:c>
      <x:c r="F25" s="24" t="str">
        <x:v>Crabs, lobsters, shrimps</x:v>
      </x:c>
      <x:c r="G25" s="24" t="str">
        <x:v>Lobsters, crabs</x:v>
      </x:c>
      <x:c r="H25" s="24" t="str">
        <x:v>Crustaceans</x:v>
      </x:c>
      <x:c r="I25" s="31" t="n">
        <x:v>139304.9445879879</x:v>
      </x:c>
      <x:c r="J25" s="31" t="n">
        <x:v>138751.4981175643</x:v>
      </x:c>
      <x:c r="K25" s="31" t="n">
        <x:v>553.4464704236001</x:v>
      </x:c>
      <x:c r="L25" s="31" t="n">
        <x:v>138117.3675</x:v>
      </x:c>
      <x:c r="M25" s="31" t="n">
        <x:v>1187.5770879879</x:v>
      </x:c>
      <x:c r="N25" s="24" t="str">
        <x:v>decapoda</x:v>
      </x:c>
      <x:c r="O25" s="32" t="n">
        <x:v>3.43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Decapoda</x:v>
      </x:c>
      <x:c r="T25" s="32" t="n">
        <x:f>IF(O25="","",(1/'Metadata'!$B$5)^(O25-1))</x:f>
        <x:v>269.1534803926917</x:v>
      </x:c>
      <x:c r="U25" s="31" t="n">
        <x:f>IF(T25="","",I25*T25)</x:f>
        <x:v>37494410.671768</x:v>
      </x:c>
    </x:row>
    <x:row r="26" ht="18" customHeight="1">
      <x:c r="A26" s="24" t="str">
        <x:v>EEZ_156</x:v>
      </x:c>
      <x:c r="B26" s="24" t="str">
        <x:v>China</x:v>
      </x:c>
      <x:c r="C26" s="24" t="str">
        <x:v>EEZ</x:v>
      </x:c>
      <x:c r="D26" s="30" t="n">
        <x:v>2019</x:v>
      </x:c>
      <x:c r="E26" s="24" t="str">
        <x:v>Harpadon nehereus</x:v>
      </x:c>
      <x:c r="F26" s="24" t="str">
        <x:v>Bombay-duck</x:v>
      </x:c>
      <x:c r="G26" s="24" t="str">
        <x:v>Medium benthopelagics (30 - 89 cm)</x:v>
      </x:c>
      <x:c r="H26" s="24" t="str">
        <x:v>Other fishes &amp; inverts</x:v>
      </x:c>
      <x:c r="I26" s="31" t="n">
        <x:v>120109.6997846236</x:v>
      </x:c>
      <x:c r="J26" s="31" t="n">
        <x:v>120109.6997846236</x:v>
      </x:c>
      <x:c r="K26" s="31" t="n">
        <x:v>0</x:v>
      </x:c>
      <x:c r="L26" s="31" t="n">
        <x:v>4491.554698999999</x:v>
      </x:c>
      <x:c r="M26" s="31" t="n">
        <x:v>115618.1450856236</x:v>
      </x:c>
      <x:c r="N26" s="24" t="str">
        <x:v>harpadon nehereus</x:v>
      </x:c>
      <x:c r="O26" s="32" t="n">
        <x:v>4.2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Harpadon nehereus</x:v>
      </x:c>
      <x:c r="T26" s="32" t="n">
        <x:f>IF(O26="","",(1/'Metadata'!$B$5)^(O26-1))</x:f>
        <x:v>1584.893192461114</x:v>
      </x:c>
      <x:c r="U26" s="31" t="n">
        <x:f>IF(T26="","",I26*T26)</x:f>
        <x:v>190361045.5371981</x:v>
      </x:c>
    </x:row>
    <x:row r="27" ht="18" customHeight="1">
      <x:c r="A27" s="24" t="str">
        <x:v>EEZ_156</x:v>
      </x:c>
      <x:c r="B27" s="24" t="str">
        <x:v>China</x:v>
      </x:c>
      <x:c r="C27" s="24" t="str">
        <x:v>EEZ</x:v>
      </x:c>
      <x:c r="D27" s="30" t="n">
        <x:v>2019</x:v>
      </x:c>
      <x:c r="E27" s="24" t="str">
        <x:v>Sparidae</x:v>
      </x:c>
      <x:c r="F27" s="24" t="str">
        <x:v>Porgies, seabreams</x:v>
      </x:c>
      <x:c r="G27" s="24" t="str">
        <x:v>Medium benthopelagics (30 - 89 cm)</x:v>
      </x:c>
      <x:c r="H27" s="24" t="str">
        <x:v>Perch-likes</x:v>
      </x:c>
      <x:c r="I27" s="31" t="n">
        <x:v>92146.61764741811</x:v>
      </x:c>
      <x:c r="J27" s="31" t="n">
        <x:v>91664.59600147541</x:v>
      </x:c>
      <x:c r="K27" s="31" t="n">
        <x:v>482.0216459427</x:v>
      </x:c>
      <x:c r="L27" s="31" t="n">
        <x:v>88643.9936</x:v>
      </x:c>
      <x:c r="M27" s="31" t="n">
        <x:v>3502.6240474181</x:v>
      </x:c>
      <x:c r="N27" s="24" t="str">
        <x:v>sparidae</x:v>
      </x:c>
      <x:c r="O27" s="32" t="n">
        <x:v>3.31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Sparidae</x:v>
      </x:c>
      <x:c r="T27" s="32" t="n">
        <x:f>IF(O27="","",(1/'Metadata'!$B$5)^(O27-1))</x:f>
        <x:v>204.17379446695296</x:v>
      </x:c>
      <x:c r="U27" s="31" t="n">
        <x:f>IF(T27="","",I27*T27)</x:f>
        <x:v>18813924.572368845</x:v>
      </x:c>
    </x:row>
    <x:row r="28" ht="18" customHeight="1">
      <x:c r="A28" s="24" t="str">
        <x:v>EEZ_156</x:v>
      </x:c>
      <x:c r="B28" s="24" t="str">
        <x:v>China</x:v>
      </x:c>
      <x:c r="C28" s="24" t="str">
        <x:v>EEZ</x:v>
      </x:c>
      <x:c r="D28" s="30" t="n">
        <x:v>2019</x:v>
      </x:c>
      <x:c r="E28" s="24" t="str">
        <x:v>Sepiida</x:v>
      </x:c>
      <x:c r="F28" s="24" t="str">
        <x:v>Cuttlefishes, bobtail squids</x:v>
      </x:c>
      <x:c r="G28" s="24" t="str">
        <x:v>Cephalopods</x:v>
      </x:c>
      <x:c r="H28" s="24" t="str">
        <x:v>Other fishes &amp; inverts</x:v>
      </x:c>
      <x:c r="I28" s="31" t="n">
        <x:v>89975.125630638</x:v>
      </x:c>
      <x:c r="J28" s="31" t="n">
        <x:v>88969.0511430322</x:v>
      </x:c>
      <x:c r="K28" s="31" t="n">
        <x:v>1006.0744876058001</x:v>
      </x:c>
      <x:c r="L28" s="31" t="n">
        <x:v>88640.6121</x:v>
      </x:c>
      <x:c r="M28" s="31" t="n">
        <x:v>1334.513530638</x:v>
      </x:c>
      <x:c r="N28" s="24" t="str">
        <x:v>sepiida</x:v>
      </x:c>
      <x:c r="O28" s="32" t="n">
        <x:v>3.7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Sepiida</x:v>
      </x:c>
      <x:c r="T28" s="32" t="n">
        <x:f>IF(O28="","",(1/'Metadata'!$B$5)^(O28-1))</x:f>
        <x:v>501.18723362727246</x:v>
      </x:c>
      <x:c r="U28" s="31" t="n">
        <x:f>IF(T28="","",I28*T28)</x:f>
        <x:v>45094384.31008576</x:v>
      </x:c>
    </x:row>
    <x:row r="29" ht="18" customHeight="1">
      <x:c r="A29" s="24" t="str">
        <x:v>EEZ_156</x:v>
      </x:c>
      <x:c r="B29" s="24" t="str">
        <x:v>China</x:v>
      </x:c>
      <x:c r="C29" s="24" t="str">
        <x:v>EEZ</x:v>
      </x:c>
      <x:c r="D29" s="30" t="n">
        <x:v>2019</x:v>
      </x:c>
      <x:c r="E29" s="24" t="str">
        <x:v>Monacanthidae</x:v>
      </x:c>
      <x:c r="F29" s="24" t="str">
        <x:v>Filefishes</x:v>
      </x:c>
      <x:c r="G29" s="24" t="str">
        <x:v>Medium reef assoc. fish (30 - 89 cm)</x:v>
      </x:c>
      <x:c r="H29" s="24" t="str">
        <x:v>Other fishes &amp; inverts</x:v>
      </x:c>
      <x:c r="I29" s="31" t="n">
        <x:v>87335.1165206043</x:v>
      </x:c>
      <x:c r="J29" s="31" t="n">
        <x:v>86739.1279972026</x:v>
      </x:c>
      <x:c r="K29" s="31" t="n">
        <x:v>595.9885234017</x:v>
      </x:c>
      <x:c r="L29" s="31" t="n">
        <x:v>86355.6626392109</x:v>
      </x:c>
      <x:c r="M29" s="31" t="n">
        <x:v>979.4538813934</x:v>
      </x:c>
      <x:c r="N29" s="24" t="str">
        <x:v>monacanthidae</x:v>
      </x:c>
      <x:c r="O29" s="32" t="n">
        <x:v>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Monacanthidae</x:v>
      </x:c>
      <x:c r="T29" s="32" t="n">
        <x:f>IF(O29="","",(1/'Metadata'!$B$5)^(O29-1))</x:f>
        <x:v>100</x:v>
      </x:c>
      <x:c r="U29" s="31" t="n">
        <x:f>IF(T29="","",I29*T29)</x:f>
        <x:v>8733511.652060429</x:v>
      </x:c>
    </x:row>
    <x:row r="30" ht="18" customHeight="1">
      <x:c r="A30" s="24" t="str">
        <x:v>EEZ_156</x:v>
      </x:c>
      <x:c r="B30" s="24" t="str">
        <x:v>China</x:v>
      </x:c>
      <x:c r="C30" s="24" t="str">
        <x:v>EEZ</x:v>
      </x:c>
      <x:c r="D30" s="30" t="n">
        <x:v>2019</x:v>
      </x:c>
      <x:c r="E30" s="24" t="str">
        <x:v>Planiliza haematocheilus</x:v>
      </x:c>
      <x:c r="F30" s="24" t="str">
        <x:v>So-iny mullet</x:v>
      </x:c>
      <x:c r="G30" s="24" t="str">
        <x:v>Medium demersals (30 - 89 cm)</x:v>
      </x:c>
      <x:c r="H30" s="24" t="str">
        <x:v>Perch-likes</x:v>
      </x:c>
      <x:c r="I30" s="31" t="n">
        <x:v>75686.2508677068</x:v>
      </x:c>
      <x:c r="J30" s="31" t="n">
        <x:v>75456.406873895</x:v>
      </x:c>
      <x:c r="K30" s="31" t="n">
        <x:v>229.84399381179998</x:v>
      </x:c>
      <x:c r="L30" s="31" t="n">
        <x:v>75143.6929964125</x:v>
      </x:c>
      <x:c r="M30" s="31" t="n">
        <x:v>542.5578712943</x:v>
      </x:c>
      <x:c r="N30" s="24" t="str">
        <x:v>planiliza haematocheilus</x:v>
      </x:c>
      <x:c r="O30" s="32" t="n">
        <x:v>2.5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Planiliza haematocheilus</x:v>
      </x:c>
      <x:c r="T30" s="32" t="n">
        <x:f>IF(O30="","",(1/'Metadata'!$B$5)^(O30-1))</x:f>
        <x:v>31.622776601683793</x:v>
      </x:c>
      <x:c r="U30" s="31" t="n">
        <x:f>IF(T30="","",I30*T30)</x:f>
        <x:v>2393409.403008488</x:v>
      </x:c>
    </x:row>
    <x:row r="31" ht="18" customHeight="1">
      <x:c r="A31" s="24" t="str">
        <x:v>EEZ_156</x:v>
      </x:c>
      <x:c r="B31" s="24" t="str">
        <x:v>China</x:v>
      </x:c>
      <x:c r="C31" s="24" t="str">
        <x:v>EEZ</x:v>
      </x:c>
      <x:c r="D31" s="30" t="n">
        <x:v>2019</x:v>
      </x:c>
      <x:c r="E31" s="24" t="str">
        <x:v>Octopoda</x:v>
      </x:c>
      <x:c r="F31" s="24" t="str">
        <x:v>Octopuses, argonauts</x:v>
      </x:c>
      <x:c r="G31" s="24" t="str">
        <x:v>Cephalopods</x:v>
      </x:c>
      <x:c r="H31" s="24" t="str">
        <x:v>Other fishes &amp; inverts</x:v>
      </x:c>
      <x:c r="I31" s="31" t="n">
        <x:v>72309.062516437</x:v>
      </x:c>
      <x:c r="J31" s="31" t="n">
        <x:v>71942.5782782182</x:v>
      </x:c>
      <x:c r="K31" s="31" t="n">
        <x:v>366.4842382188</x:v>
      </x:c>
      <x:c r="L31" s="31" t="n">
        <x:v>71697.26820000011</x:v>
      </x:c>
      <x:c r="M31" s="31" t="n">
        <x:v>611.7943164369</x:v>
      </x:c>
      <x:c r="N31" s="24" t="str">
        <x:v>octopoda</x:v>
      </x:c>
      <x:c r="O31" s="32" t="n">
        <x:v>3.58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Octopoda</x:v>
      </x:c>
      <x:c r="T31" s="32" t="n">
        <x:f>IF(O31="","",(1/'Metadata'!$B$5)^(O31-1))</x:f>
        <x:v>380.1893963205613</x:v>
      </x:c>
      <x:c r="U31" s="31" t="n">
        <x:f>IF(T31="","",I31*T31)</x:f>
        <x:v>27491138.82662991</x:v>
      </x:c>
    </x:row>
    <x:row r="32" ht="18" customHeight="1">
      <x:c r="A32" s="24" t="str">
        <x:v>EEZ_156</x:v>
      </x:c>
      <x:c r="B32" s="24" t="str">
        <x:v>China</x:v>
      </x:c>
      <x:c r="C32" s="24" t="str">
        <x:v>EEZ</x:v>
      </x:c>
      <x:c r="D32" s="30" t="n">
        <x:v>2019</x:v>
      </x:c>
      <x:c r="E32" s="24" t="str">
        <x:v>Epinephelus</x:v>
      </x:c>
      <x:c r="F32" s="24" t="str">
        <x:v>Seabasses, hinds</x:v>
      </x:c>
      <x:c r="G32" s="24" t="str">
        <x:v>Medium reef assoc. fish (30 - 89 cm)</x:v>
      </x:c>
      <x:c r="H32" s="24" t="str">
        <x:v>Perch-likes</x:v>
      </x:c>
      <x:c r="I32" s="31" t="n">
        <x:v>69902.8604420682</x:v>
      </x:c>
      <x:c r="J32" s="31" t="n">
        <x:v>68788.5848945858</x:v>
      </x:c>
      <x:c r="K32" s="31" t="n">
        <x:v>1114.2755474823998</x:v>
      </x:c>
      <x:c r="L32" s="31" t="n">
        <x:v>65879.0592954399</x:v>
      </x:c>
      <x:c r="M32" s="31" t="n">
        <x:v>4023.8011466282996</x:v>
      </x:c>
      <x:c r="N32" s="24" t="str">
        <x:v>epinephelus</x:v>
      </x:c>
      <x:c r="O32" s="32" t="n">
        <x:v>3.84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Epinephelus</x:v>
      </x:c>
      <x:c r="T32" s="32" t="n">
        <x:f>IF(O32="","",(1/'Metadata'!$B$5)^(O32-1))</x:f>
        <x:v>691.8309709189363</x:v>
      </x:c>
      <x:c r="U32" s="31" t="n">
        <x:f>IF(T32="","",I32*T32)</x:f>
        <x:v>48360963.80964694</x:v>
      </x:c>
    </x:row>
    <x:row r="33" ht="18" customHeight="1">
      <x:c r="A33" s="24" t="str">
        <x:v>EEZ_156</x:v>
      </x:c>
      <x:c r="B33" s="24" t="str">
        <x:v>China</x:v>
      </x:c>
      <x:c r="C33" s="24" t="str">
        <x:v>EEZ</x:v>
      </x:c>
      <x:c r="D33" s="30" t="n">
        <x:v>2019</x:v>
      </x:c>
      <x:c r="E33" s="24" t="str">
        <x:v>Sardinops sagax</x:v>
      </x:c>
      <x:c r="F33" s="24" t="str">
        <x:v>South American pilchard</x:v>
      </x:c>
      <x:c r="G33" s="24" t="str">
        <x:v>Medium pelagics (30 - 89 cm)</x:v>
      </x:c>
      <x:c r="H33" s="24" t="str">
        <x:v>Herring-likes</x:v>
      </x:c>
      <x:c r="I33" s="31" t="n">
        <x:v>67530.401743125</x:v>
      </x:c>
      <x:c r="J33" s="31" t="n">
        <x:v>67137.0086992624</x:v>
      </x:c>
      <x:c r="K33" s="31" t="n">
        <x:v>393.3930438626</x:v>
      </x:c>
      <x:c r="L33" s="31" t="n">
        <x:v>66791.3880009032</x:v>
      </x:c>
      <x:c r="M33" s="31" t="n">
        <x:v>739.0137422217999</x:v>
      </x:c>
      <x:c r="N33" s="24" t="str">
        <x:v>sardinops sagax</x:v>
      </x:c>
      <x:c r="O33" s="32" t="n">
        <x:v>2.84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Sardinops sagax</x:v>
      </x:c>
      <x:c r="T33" s="32" t="n">
        <x:f>IF(O33="","",(1/'Metadata'!$B$5)^(O33-1))</x:f>
        <x:v>69.18309709189363</x:v>
      </x:c>
      <x:c r="U33" s="31" t="n">
        <x:f>IF(T33="","",I33*T33)</x:f>
        <x:v>4671962.340449199</x:v>
      </x:c>
    </x:row>
    <x:row r="34" ht="18" customHeight="1">
      <x:c r="A34" s="24" t="str">
        <x:v>EEZ_156</x:v>
      </x:c>
      <x:c r="B34" s="24" t="str">
        <x:v>China</x:v>
      </x:c>
      <x:c r="C34" s="24" t="str">
        <x:v>EEZ</x:v>
      </x:c>
      <x:c r="D34" s="30" t="n">
        <x:v>2019</x:v>
      </x:c>
      <x:c r="E34" s="24" t="str">
        <x:v>Scomberomorus niphonius</x:v>
      </x:c>
      <x:c r="F34" s="24" t="str">
        <x:v>Japanese Spanish mackerel</x:v>
      </x:c>
      <x:c r="G34" s="24" t="str">
        <x:v>Large pelagics (&gt;=90 cm)</x:v>
      </x:c>
      <x:c r="H34" s="24" t="str">
        <x:v>Perch-likes</x:v>
      </x:c>
      <x:c r="I34" s="31" t="n">
        <x:v>67367.6691958825</x:v>
      </x:c>
      <x:c r="J34" s="31" t="n">
        <x:v>66579.7639376406</x:v>
      </x:c>
      <x:c r="K34" s="31" t="n">
        <x:v>787.9052582419</x:v>
      </x:c>
      <x:c r="L34" s="31" t="n">
        <x:v>66579.7639376406</x:v>
      </x:c>
      <x:c r="M34" s="31" t="n">
        <x:v>787.9052582419</x:v>
      </x:c>
      <x:c r="N34" s="24" t="str">
        <x:v>scomberomorus niphonius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Scomberomorus niphonius</x:v>
      </x:c>
      <x:c r="T34" s="32" t="n">
        <x:f>IF(O34="","",(1/'Metadata'!$B$5)^(O34-1))</x:f>
        <x:v>3162.2776601683795</x:v>
      </x:c>
      <x:c r="U34" s="31" t="n">
        <x:f>IF(T34="","",I34*T34)</x:f>
        <x:v>213035275.3157527</x:v>
      </x:c>
    </x:row>
    <x:row r="35" ht="18" customHeight="1">
      <x:c r="A35" s="24" t="str">
        <x:v>EEZ_156</x:v>
      </x:c>
      <x:c r="B35" s="24" t="str">
        <x:v>China</x:v>
      </x:c>
      <x:c r="C35" s="24" t="str">
        <x:v>EEZ</x:v>
      </x:c>
      <x:c r="D35" s="30" t="n">
        <x:v>2019</x:v>
      </x:c>
      <x:c r="E35" s="24" t="str">
        <x:v>Pennahia argentata</x:v>
      </x:c>
      <x:c r="F35" s="24" t="str">
        <x:v>Silver croaker</x:v>
      </x:c>
      <x:c r="G35" s="24" t="str">
        <x:v>Medium benthopelagics (30 - 89 cm)</x:v>
      </x:c>
      <x:c r="H35" s="24" t="str">
        <x:v>Perch-likes</x:v>
      </x:c>
      <x:c r="I35" s="31" t="n">
        <x:v>61737.78640234221</x:v>
      </x:c>
      <x:c r="J35" s="31" t="n">
        <x:v>61342.0375152037</x:v>
      </x:c>
      <x:c r="K35" s="31" t="n">
        <x:v>395.7488871385</x:v>
      </x:c>
      <x:c r="L35" s="31" t="n">
        <x:v>61099.461959417305</x:v>
      </x:c>
      <x:c r="M35" s="31" t="n">
        <x:v>638.3244429249</x:v>
      </x:c>
      <x:c r="N35" s="24" t="str">
        <x:v>pennahia argentata</x:v>
      </x:c>
      <x:c r="O35" s="32" t="n">
        <x:v>3.47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Pennahia argentata</x:v>
      </x:c>
      <x:c r="T35" s="32" t="n">
        <x:f>IF(O35="","",(1/'Metadata'!$B$5)^(O35-1))</x:f>
        <x:v>295.1209226666387</x:v>
      </x:c>
      <x:c r="U35" s="31" t="n">
        <x:f>IF(T35="","",I35*T35)</x:f>
        <x:v>18220112.486455094</x:v>
      </x:c>
    </x:row>
    <x:row r="36" ht="18" customHeight="1">
      <x:c r="A36" s="24" t="str">
        <x:v>EEZ_156</x:v>
      </x:c>
      <x:c r="B36" s="24" t="str">
        <x:v>China</x:v>
      </x:c>
      <x:c r="C36" s="24" t="str">
        <x:v>EEZ</x:v>
      </x:c>
      <x:c r="D36" s="30" t="n">
        <x:v>2019</x:v>
      </x:c>
      <x:c r="E36" s="24" t="str">
        <x:v>Mugil cephalus</x:v>
      </x:c>
      <x:c r="F36" s="24" t="str">
        <x:v>Flathead grey mullet</x:v>
      </x:c>
      <x:c r="G36" s="24" t="str">
        <x:v>Large benthopelagics (&gt;=90 cm)</x:v>
      </x:c>
      <x:c r="H36" s="24" t="str">
        <x:v>Perch-likes</x:v>
      </x:c>
      <x:c r="I36" s="31" t="n">
        <x:v>59729.2128871225</x:v>
      </x:c>
      <x:c r="J36" s="31" t="n">
        <x:v>59388.1868782807</x:v>
      </x:c>
      <x:c r="K36" s="31" t="n">
        <x:v>341.0260088418</x:v>
      </x:c>
      <x:c r="L36" s="31" t="n">
        <x:v>58883.4664657893</x:v>
      </x:c>
      <x:c r="M36" s="31" t="n">
        <x:v>845.7464213332</x:v>
      </x:c>
      <x:c r="N36" s="24" t="str">
        <x:v>mugil cephalus</x:v>
      </x:c>
      <x:c r="O36" s="32" t="n">
        <x:v>2.14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Mugil cephalus</x:v>
      </x:c>
      <x:c r="T36" s="32" t="n">
        <x:f>IF(O36="","",(1/'Metadata'!$B$5)^(O36-1))</x:f>
        <x:v>13.803842646028853</x:v>
      </x:c>
      <x:c r="U36" s="31" t="n">
        <x:f>IF(T36="","",I36*T36)</x:f>
        <x:v>824492.6560649977</x:v>
      </x:c>
    </x:row>
    <x:row r="37" ht="18" customHeight="1">
      <x:c r="A37" s="24" t="str">
        <x:v>EEZ_156</x:v>
      </x:c>
      <x:c r="B37" s="24" t="str">
        <x:v>China</x:v>
      </x:c>
      <x:c r="C37" s="24" t="str">
        <x:v>EEZ</x:v>
      </x:c>
      <x:c r="D37" s="30" t="n">
        <x:v>2019</x:v>
      </x:c>
      <x:c r="E37" s="24" t="str">
        <x:v>Brachyura</x:v>
      </x:c>
      <x:c r="F37" s="24" t="str">
        <x:v>Marine crabs</x:v>
      </x:c>
      <x:c r="G37" s="24" t="str">
        <x:v>Lobsters, crabs</x:v>
      </x:c>
      <x:c r="H37" s="24" t="str">
        <x:v>Crustaceans</x:v>
      </x:c>
      <x:c r="I37" s="31" t="n">
        <x:v>58464.2470765893</x:v>
      </x:c>
      <x:c r="J37" s="31" t="n">
        <x:v>58236.711748272</x:v>
      </x:c>
      <x:c r="K37" s="31" t="n">
        <x:v>227.5353283173</x:v>
      </x:c>
      <x:c r="L37" s="31" t="n">
        <x:v>57988.3291606101</x:v>
      </x:c>
      <x:c r="M37" s="31" t="n">
        <x:v>475.9179159792</x:v>
      </x:c>
      <x:c r="N37" s="24" t="str">
        <x:v>brachyura</x:v>
      </x:c>
      <x:c r="O37" s="32" t="n">
        <x:v>2.6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Brachyura</x:v>
      </x:c>
      <x:c r="T37" s="32" t="n">
        <x:f>IF(O37="","",(1/'Metadata'!$B$5)^(O37-1))</x:f>
        <x:v>39.810717055349734</x:v>
      </x:c>
      <x:c r="U37" s="31" t="n">
        <x:f>IF(T37="","",I37*T37)</x:f>
        <x:v>2327503.5982201546</x:v>
      </x:c>
    </x:row>
    <x:row r="38" ht="18" customHeight="1">
      <x:c r="A38" s="24" t="str">
        <x:v>EEZ_156</x:v>
      </x:c>
      <x:c r="B38" s="24" t="str">
        <x:v>China</x:v>
      </x:c>
      <x:c r="C38" s="24" t="str">
        <x:v>EEZ</x:v>
      </x:c>
      <x:c r="D38" s="30" t="n">
        <x:v>2019</x:v>
      </x:c>
      <x:c r="E38" s="24" t="str">
        <x:v>Portunus pelagicus</x:v>
      </x:c>
      <x:c r="F38" s="24" t="str">
        <x:v>Blue swimming crab</x:v>
      </x:c>
      <x:c r="G38" s="24" t="str">
        <x:v>Lobsters, crabs</x:v>
      </x:c>
      <x:c r="H38" s="24" t="str">
        <x:v>Crustaceans</x:v>
      </x:c>
      <x:c r="I38" s="31" t="n">
        <x:v>54369.9805027102</x:v>
      </x:c>
      <x:c r="J38" s="31" t="n">
        <x:v>53756.4485325483</x:v>
      </x:c>
      <x:c r="K38" s="31" t="n">
        <x:v>613.5319701619001</x:v>
      </x:c>
      <x:c r="L38" s="31" t="n">
        <x:v>53546.6311773918</x:v>
      </x:c>
      <x:c r="M38" s="31" t="n">
        <x:v>823.3493253184</x:v>
      </x:c>
      <x:c r="N38" s="24" t="str">
        <x:v>portunus pelagicus</x:v>
      </x:c>
      <x:c r="O38" s="32" t="n">
        <x:v>2.48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Portunus pelagicus</x:v>
      </x:c>
      <x:c r="T38" s="32" t="n">
        <x:f>IF(O38="","",(1/'Metadata'!$B$5)^(O38-1))</x:f>
        <x:v>30.19951720402016</x:v>
      </x:c>
      <x:c r="U38" s="31" t="n">
        <x:f>IF(T38="","",I38*T38)</x:f>
        <x:v>1641947.1615738373</x:v>
      </x:c>
    </x:row>
    <x:row r="39" ht="18" customHeight="1">
      <x:c r="A39" s="24" t="str">
        <x:v>EEZ_156</x:v>
      </x:c>
      <x:c r="B39" s="24" t="str">
        <x:v>China</x:v>
      </x:c>
      <x:c r="C39" s="24" t="str">
        <x:v>EEZ</x:v>
      </x:c>
      <x:c r="D39" s="30" t="n">
        <x:v>2019</x:v>
      </x:c>
      <x:c r="E39" s="24" t="str">
        <x:v>Cephalopoda</x:v>
      </x:c>
      <x:c r="F39" s="24" t="str">
        <x:v>Squids, cuttlefishes, octopuses</x:v>
      </x:c>
      <x:c r="G39" s="24" t="str">
        <x:v>Cephalopods</x:v>
      </x:c>
      <x:c r="H39" s="24" t="str">
        <x:v>Other fishes &amp; inverts</x:v>
      </x:c>
      <x:c r="I39" s="31" t="n">
        <x:v>51956.1016461582</x:v>
      </x:c>
      <x:c r="J39" s="31" t="n">
        <x:v>51356.7722588645</x:v>
      </x:c>
      <x:c r="K39" s="31" t="n">
        <x:v>599.3293872936999</x:v>
      </x:c>
      <x:c r="L39" s="31" t="n">
        <x:v>34574.6873626198</x:v>
      </x:c>
      <x:c r="M39" s="31" t="n">
        <x:v>17381.4142835384</x:v>
      </x:c>
      <x:c r="N39" s="24" t="str">
        <x:v>cephalopoda</x:v>
      </x:c>
      <x:c r="O39" s="32" t="n">
        <x:v>3.81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Cephalopoda</x:v>
      </x:c>
      <x:c r="T39" s="32" t="n">
        <x:f>IF(O39="","",(1/'Metadata'!$B$5)^(O39-1))</x:f>
        <x:v>645.6542290346556</x:v>
      </x:c>
      <x:c r="U39" s="31" t="n">
        <x:f>IF(T39="","",I39*T39)</x:f>
        <x:v>33545676.751996472</x:v>
      </x:c>
    </x:row>
    <x:row r="40" ht="18" customHeight="1">
      <x:c r="A40" s="24" t="str">
        <x:v>EEZ_156</x:v>
      </x:c>
      <x:c r="B40" s="24" t="str">
        <x:v>China</x:v>
      </x:c>
      <x:c r="C40" s="24" t="str">
        <x:v>EEZ</x:v>
      </x:c>
      <x:c r="D40" s="30" t="n">
        <x:v>2019</x:v>
      </x:c>
      <x:c r="E40" s="24" t="str">
        <x:v>Nemipteridae</x:v>
      </x:c>
      <x:c r="F40" s="24" t="str">
        <x:v>Threadfins, whiptail breams</x:v>
      </x:c>
      <x:c r="G40" s="24" t="str">
        <x:v>Small demersals (&lt;30 cm)</x:v>
      </x:c>
      <x:c r="H40" s="24" t="str">
        <x:v>Perch-likes</x:v>
      </x:c>
      <x:c r="I40" s="31" t="n">
        <x:v>50699.6452530997</x:v>
      </x:c>
      <x:c r="J40" s="31" t="n">
        <x:v>50699.6452530997</x:v>
      </x:c>
      <x:c r="K40" s="31" t="n">
        <x:v>0</x:v>
      </x:c>
      <x:c r="L40" s="31" t="n">
        <x:v>13077.3641897774</x:v>
      </x:c>
      <x:c r="M40" s="31" t="n">
        <x:v>37622.2810633223</x:v>
      </x:c>
      <x:c r="N40" s="24" t="str">
        <x:v>nemipteridae</x:v>
      </x:c>
      <x:c r="O40" s="32" t="n">
        <x:v>3.51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Nemipteridae</x:v>
      </x:c>
      <x:c r="T40" s="32" t="n">
        <x:f>IF(O40="","",(1/'Metadata'!$B$5)^(O40-1))</x:f>
        <x:v>323.5936569296281</x:v>
      </x:c>
      <x:c r="U40" s="31" t="n">
        <x:f>IF(T40="","",I40*T40)</x:f>
        <x:v>16406083.61248539</x:v>
      </x:c>
    </x:row>
    <x:row r="41" ht="18" customHeight="1">
      <x:c r="A41" s="24" t="str">
        <x:v>EEZ_156</x:v>
      </x:c>
      <x:c r="B41" s="24" t="str">
        <x:v>China</x:v>
      </x:c>
      <x:c r="C41" s="24" t="str">
        <x:v>EEZ</x:v>
      </x:c>
      <x:c r="D41" s="30" t="n">
        <x:v>2019</x:v>
      </x:c>
      <x:c r="E41" s="24" t="str">
        <x:v>Chionoecetes</x:v>
      </x:c>
      <x:c r="F41" s="24" t="str">
        <x:v>Tanner, snow crabs</x:v>
      </x:c>
      <x:c r="G41" s="24" t="str">
        <x:v>Lobsters, crabs</x:v>
      </x:c>
      <x:c r="H41" s="24" t="str">
        <x:v>Crustaceans</x:v>
      </x:c>
      <x:c r="I41" s="31" t="n">
        <x:v>46469.4529432113</x:v>
      </x:c>
      <x:c r="J41" s="31" t="n">
        <x:v>46328.0852787328</x:v>
      </x:c>
      <x:c r="K41" s="31" t="n">
        <x:v>141.3676644785</x:v>
      </x:c>
      <x:c r="L41" s="31" t="n">
        <x:v>46328.0852787328</x:v>
      </x:c>
      <x:c r="M41" s="31" t="n">
        <x:v>141.3676644785</x:v>
      </x:c>
      <x:c r="N41" s="24" t="str">
        <x:v>chionoecetes</x:v>
      </x:c>
      <x:c r="O41" s="32" t="n">
        <x:v>2.3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Chionoecetes</x:v>
      </x:c>
      <x:c r="T41" s="32" t="n">
        <x:f>IF(O41="","",(1/'Metadata'!$B$5)^(O41-1))</x:f>
        <x:v>19.952623149688787</x:v>
      </x:c>
      <x:c r="U41" s="31" t="n">
        <x:f>IF(T41="","",I41*T41)</x:f>
        <x:v>927187.4825480914</x:v>
      </x:c>
    </x:row>
    <x:row r="42" ht="18" customHeight="1">
      <x:c r="A42" s="24" t="str">
        <x:v>EEZ_156</x:v>
      </x:c>
      <x:c r="B42" s="24" t="str">
        <x:v>China</x:v>
      </x:c>
      <x:c r="C42" s="24" t="str">
        <x:v>EEZ</x:v>
      </x:c>
      <x:c r="D42" s="30" t="n">
        <x:v>2019</x:v>
      </x:c>
      <x:c r="E42" s="24" t="str">
        <x:v>Ilisha elongata</x:v>
      </x:c>
      <x:c r="F42" s="24" t="str">
        <x:v>Elongate ilisha</x:v>
      </x:c>
      <x:c r="G42" s="24" t="str">
        <x:v>Medium pelagics (30 - 89 cm)</x:v>
      </x:c>
      <x:c r="H42" s="24" t="str">
        <x:v>Herring-likes</x:v>
      </x:c>
      <x:c r="I42" s="31" t="n">
        <x:v>45878.2492929818</x:v>
      </x:c>
      <x:c r="J42" s="31" t="n">
        <x:v>45625.4988296628</x:v>
      </x:c>
      <x:c r="K42" s="31" t="n">
        <x:v>252.75046331899998</x:v>
      </x:c>
      <x:c r="L42" s="31" t="n">
        <x:v>45460.8859997779</x:v>
      </x:c>
      <x:c r="M42" s="31" t="n">
        <x:v>417.36329320389996</x:v>
      </x:c>
      <x:c r="N42" s="24" t="str">
        <x:v>ilisha elongata</x:v>
      </x:c>
      <x:c r="O42" s="32" t="n">
        <x:v>3.79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Ilisha elongata</x:v>
      </x:c>
      <x:c r="T42" s="32" t="n">
        <x:f>IF(O42="","",(1/'Metadata'!$B$5)^(O42-1))</x:f>
        <x:v>616.5950018614822</x:v>
      </x:c>
      <x:c r="U42" s="31" t="n">
        <x:f>IF(T42="","",I42*T42)</x:f>
        <x:v>28288299.20820766</x:v>
      </x:c>
    </x:row>
    <x:row r="43" ht="18" customHeight="1">
      <x:c r="A43" s="24" t="str">
        <x:v>EEZ_156</x:v>
      </x:c>
      <x:c r="B43" s="24" t="str">
        <x:v>China</x:v>
      </x:c>
      <x:c r="C43" s="24" t="str">
        <x:v>EEZ</x:v>
      </x:c>
      <x:c r="D43" s="30" t="n">
        <x:v>2019</x:v>
      </x:c>
      <x:c r="E43" s="24" t="str">
        <x:v>Larimichthys crocea</x:v>
      </x:c>
      <x:c r="F43" s="24" t="str">
        <x:v>Large yellow croaker</x:v>
      </x:c>
      <x:c r="G43" s="24" t="str">
        <x:v>Medium benthopelagics (30 - 89 cm)</x:v>
      </x:c>
      <x:c r="H43" s="24" t="str">
        <x:v>Perch-likes</x:v>
      </x:c>
      <x:c r="I43" s="31" t="n">
        <x:v>44466.3742004487</x:v>
      </x:c>
      <x:c r="J43" s="31" t="n">
        <x:v>43373.9140129726</x:v>
      </x:c>
      <x:c r="K43" s="31" t="n">
        <x:v>1092.4601874761</x:v>
      </x:c>
      <x:c r="L43" s="31" t="n">
        <x:v>40463.0290000001</x:v>
      </x:c>
      <x:c r="M43" s="31" t="n">
        <x:v>4003.3452004486</x:v>
      </x:c>
      <x:c r="N43" s="24" t="str">
        <x:v>larimichthys crocea</x:v>
      </x:c>
      <x:c r="O43" s="32" t="n">
        <x:v>3.72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Larimichthys crocea</x:v>
      </x:c>
      <x:c r="T43" s="32" t="n">
        <x:f>IF(O43="","",(1/'Metadata'!$B$5)^(O43-1))</x:f>
        <x:v>524.8074602497728</x:v>
      </x:c>
      <x:c r="U43" s="31" t="n">
        <x:f>IF(T43="","",I43*T43)</x:f>
        <x:v>23336284.910653505</x:v>
      </x:c>
    </x:row>
    <x:row r="44" ht="18" customHeight="1">
      <x:c r="A44" s="24" t="str">
        <x:v>EEZ_156</x:v>
      </x:c>
      <x:c r="B44" s="24" t="str">
        <x:v>China</x:v>
      </x:c>
      <x:c r="C44" s="24" t="str">
        <x:v>EEZ</x:v>
      </x:c>
      <x:c r="D44" s="30" t="n">
        <x:v>2019</x:v>
      </x:c>
      <x:c r="E44" s="24" t="str">
        <x:v>Miichthys miiuy</x:v>
      </x:c>
      <x:c r="F44" s="24" t="str">
        <x:v>Mi-iuy croaker</x:v>
      </x:c>
      <x:c r="G44" s="24" t="str">
        <x:v>Medium demersals (30 - 89 cm)</x:v>
      </x:c>
      <x:c r="H44" s="24" t="str">
        <x:v>Perch-likes</x:v>
      </x:c>
      <x:c r="I44" s="31" t="n">
        <x:v>42503.5819020377</x:v>
      </x:c>
      <x:c r="J44" s="31" t="n">
        <x:v>42375.5279798231</x:v>
      </x:c>
      <x:c r="K44" s="31" t="n">
        <x:v>128.0539222146</x:v>
      </x:c>
      <x:c r="L44" s="31" t="n">
        <x:v>42150.4247676766</x:v>
      </x:c>
      <x:c r="M44" s="31" t="n">
        <x:v>353.1571343611</x:v>
      </x:c>
      <x:c r="N44" s="24" t="str">
        <x:v>miichthys miiuy</x:v>
      </x:c>
      <x:c r="O44" s="32" t="n">
        <x:v>3.5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Miichthys miiuy</x:v>
      </x:c>
      <x:c r="T44" s="32" t="n">
        <x:f>IF(O44="","",(1/'Metadata'!$B$5)^(O44-1))</x:f>
        <x:v>316.22776601683796</x:v>
      </x:c>
      <x:c r="U44" s="31" t="n">
        <x:f>IF(T44="","",I44*T44)</x:f>
        <x:v>13440812.752595088</x:v>
      </x:c>
    </x:row>
    <x:row r="45" ht="18" customHeight="1">
      <x:c r="A45" s="24" t="str">
        <x:v>EEZ_156</x:v>
      </x:c>
      <x:c r="B45" s="24" t="str">
        <x:v>China</x:v>
      </x:c>
      <x:c r="C45" s="24" t="str">
        <x:v>EEZ</x:v>
      </x:c>
      <x:c r="D45" s="30" t="n">
        <x:v>2019</x:v>
      </x:c>
      <x:c r="E45" s="24" t="str">
        <x:v>Miscellaneous aquatic invertebrates</x:v>
      </x:c>
      <x:c r="F45" s="24" t="str">
        <x:v>Aquatic invertebrates</x:v>
      </x:c>
      <x:c r="G45" s="24" t="str">
        <x:v>Other demersal invertebrates</x:v>
      </x:c>
      <x:c r="H45" s="24" t="str">
        <x:v>Other fishes &amp; inverts</x:v>
      </x:c>
      <x:c r="I45" s="31" t="n">
        <x:v>34601.668974713604</x:v>
      </x:c>
      <x:c r="J45" s="31" t="n">
        <x:v>34601.3339381951</x:v>
      </x:c>
      <x:c r="K45" s="31" t="n">
        <x:v>0.3350365185</x:v>
      </x:c>
      <x:c r="L45" s="31" t="n">
        <x:v>34599.0430569413</x:v>
      </x:c>
      <x:c r="M45" s="31" t="n">
        <x:v>2.6259177723000002</x:v>
      </x:c>
      <x:c r="N45" s="24" t="str">
        <x:v>miscellaneous aquatic invertebrates</x:v>
      </x:c>
      <x:c r="O45" s="32" t="n">
        <x:v>2.43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Miscellaneous aquatic invertebrates</x:v>
      </x:c>
      <x:c r="T45" s="32" t="n">
        <x:f>IF(O45="","",(1/'Metadata'!$B$5)^(O45-1))</x:f>
        <x:v>26.915348039269166</x:v>
      </x:c>
      <x:c r="U45" s="31" t="n">
        <x:f>IF(T45="","",I45*T45)</x:f>
        <x:v>931315.9631939986</x:v>
      </x:c>
    </x:row>
    <x:row r="46" ht="18" customHeight="1">
      <x:c r="A46" s="24" t="str">
        <x:v>EEZ_156</x:v>
      </x:c>
      <x:c r="B46" s="24" t="str">
        <x:v>China</x:v>
      </x:c>
      <x:c r="C46" s="24" t="str">
        <x:v>EEZ</x:v>
      </x:c>
      <x:c r="D46" s="30" t="n">
        <x:v>2019</x:v>
      </x:c>
      <x:c r="E46" s="24" t="str">
        <x:v>Ruvettus pretiosus</x:v>
      </x:c>
      <x:c r="F46" s="24" t="str">
        <x:v>Oilfish</x:v>
      </x:c>
      <x:c r="G46" s="24" t="str">
        <x:v>Large benthopelagics (&gt;=90 cm)</x:v>
      </x:c>
      <x:c r="H46" s="24" t="str">
        <x:v>Perch-likes</x:v>
      </x:c>
      <x:c r="I46" s="31" t="n">
        <x:v>32794.2301652732</x:v>
      </x:c>
      <x:c r="J46" s="31" t="n">
        <x:v>32626.5084840614</x:v>
      </x:c>
      <x:c r="K46" s="31" t="n">
        <x:v>167.72168121180002</x:v>
      </x:c>
      <x:c r="L46" s="31" t="n">
        <x:v>31284.6573360766</x:v>
      </x:c>
      <x:c r="M46" s="31" t="n">
        <x:v>1509.5728291966</x:v>
      </x:c>
      <x:c r="N46" s="24" t="str">
        <x:v>ruvettus pretiosus</x:v>
      </x:c>
      <x:c r="O46" s="32" t="n">
        <x:v>4.18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Ruvettus pretiosus</x:v>
      </x:c>
      <x:c r="T46" s="32" t="n">
        <x:f>IF(O46="","",(1/'Metadata'!$B$5)^(O46-1))</x:f>
        <x:v>1513.5612484362073</x:v>
      </x:c>
      <x:c r="U46" s="31" t="n">
        <x:f>IF(T46="","",I46*T46)</x:f>
        <x:v>49636075.95045523</x:v>
      </x:c>
    </x:row>
    <x:row r="47" ht="18" customHeight="1">
      <x:c r="A47" s="24" t="str">
        <x:v>EEZ_156</x:v>
      </x:c>
      <x:c r="B47" s="24" t="str">
        <x:v>China</x:v>
      </x:c>
      <x:c r="C47" s="24" t="str">
        <x:v>EEZ</x:v>
      </x:c>
      <x:c r="D47" s="30" t="n">
        <x:v>2019</x:v>
      </x:c>
      <x:c r="E47" s="24" t="str">
        <x:v>Elasmobranchii</x:v>
      </x:c>
      <x:c r="F47" s="24" t="str">
        <x:v>Sharks, rays, skates</x:v>
      </x:c>
      <x:c r="G47" s="24" t="str">
        <x:v>Large sharks (&gt;=90 cm)</x:v>
      </x:c>
      <x:c r="H47" s="24" t="str">
        <x:v>Sharks &amp; rays</x:v>
      </x:c>
      <x:c r="I47" s="31" t="n">
        <x:v>28246.1276533417</x:v>
      </x:c>
      <x:c r="J47" s="31" t="n">
        <x:v>27674.4660217776</x:v>
      </x:c>
      <x:c r="K47" s="31" t="n">
        <x:v>571.6616315641</x:v>
      </x:c>
      <x:c r="L47" s="31" t="n">
        <x:v>27581.2587464126</x:v>
      </x:c>
      <x:c r="M47" s="31" t="n">
        <x:v>664.8689069291</x:v>
      </x:c>
      <x:c r="N47" s="24" t="str">
        <x:v>elasmobranchii</x:v>
      </x:c>
      <x:c r="O47" s="32" t="n">
        <x:v>4.05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Elasmobranchii</x:v>
      </x:c>
      <x:c r="T47" s="32" t="n">
        <x:f>IF(O47="","",(1/'Metadata'!$B$5)^(O47-1))</x:f>
        <x:v>1122.018454301963</x:v>
      </x:c>
      <x:c r="U47" s="31" t="n">
        <x:f>IF(T47="","",I47*T47)</x:f>
        <x:v>31692676.489618387</x:v>
      </x:c>
    </x:row>
    <x:row r="48" ht="18" customHeight="1">
      <x:c r="A48" s="24" t="str">
        <x:v>EEZ_156</x:v>
      </x:c>
      <x:c r="B48" s="24" t="str">
        <x:v>China</x:v>
      </x:c>
      <x:c r="C48" s="24" t="str">
        <x:v>EEZ</x:v>
      </x:c>
      <x:c r="D48" s="30" t="n">
        <x:v>2019</x:v>
      </x:c>
      <x:c r="E48" s="24" t="str">
        <x:v>Scombridae</x:v>
      </x:c>
      <x:c r="F48" s="24" t="str">
        <x:v>Mackerels, tunas, bonitos</x:v>
      </x:c>
      <x:c r="G48" s="24" t="str">
        <x:v>Medium pelagics (30 - 89 cm)</x:v>
      </x:c>
      <x:c r="H48" s="24" t="str">
        <x:v>Perch-likes</x:v>
      </x:c>
      <x:c r="I48" s="31" t="n">
        <x:v>26050.5545525813</x:v>
      </x:c>
      <x:c r="J48" s="31" t="n">
        <x:v>25936.4884930822</x:v>
      </x:c>
      <x:c r="K48" s="31" t="n">
        <x:v>114.0660594991</x:v>
      </x:c>
      <x:c r="L48" s="31" t="n">
        <x:v>25832.5178861329</x:v>
      </x:c>
      <x:c r="M48" s="31" t="n">
        <x:v>218.0366664484</x:v>
      </x:c>
      <x:c r="N48" s="24" t="str">
        <x:v>scombridae</x:v>
      </x:c>
      <x:c r="O48" s="32" t="n">
        <x:v>4.26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Scombridae</x:v>
      </x:c>
      <x:c r="T48" s="32" t="n">
        <x:f>IF(O48="","",(1/'Metadata'!$B$5)^(O48-1))</x:f>
        <x:v>1819.7008586099826</x:v>
      </x:c>
      <x:c r="U48" s="31" t="n">
        <x:f>IF(T48="","",I48*T48)</x:f>
        <x:v>47404216.48659838</x:v>
      </x:c>
    </x:row>
    <x:row r="49" ht="18" customHeight="1">
      <x:c r="A49" s="24" t="str">
        <x:v>EEZ_156</x:v>
      </x:c>
      <x:c r="B49" s="24" t="str">
        <x:v>China</x:v>
      </x:c>
      <x:c r="C49" s="24" t="str">
        <x:v>EEZ</x:v>
      </x:c>
      <x:c r="D49" s="30" t="n">
        <x:v>2019</x:v>
      </x:c>
      <x:c r="E49" s="24" t="str">
        <x:v>Pseudopleuronectes herzensteini</x:v>
      </x:c>
      <x:c r="F49" s="24" t="str">
        <x:v>Yellow striped flounder</x:v>
      </x:c>
      <x:c r="G49" s="24" t="str">
        <x:v>Small to medium flatfishes (&lt;90 cm)</x:v>
      </x:c>
      <x:c r="H49" s="24" t="str">
        <x:v>Flatfishes</x:v>
      </x:c>
      <x:c r="I49" s="31" t="n">
        <x:v>24216.3459303032</x:v>
      </x:c>
      <x:c r="J49" s="31" t="n">
        <x:v>23960.0458701249</x:v>
      </x:c>
      <x:c r="K49" s="31" t="n">
        <x:v>256.3000601783</x:v>
      </x:c>
      <x:c r="L49" s="31" t="n">
        <x:v>23960.0458701249</x:v>
      </x:c>
      <x:c r="M49" s="31" t="n">
        <x:v>256.3000601783</x:v>
      </x:c>
      <x:c r="N49" s="24" t="str">
        <x:v>pseudopleuronectes herzensteini</x:v>
      </x:c>
      <x:c r="O49" s="32" t="n">
        <x:v>3.15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Pseudopleuronectes herzensteini</x:v>
      </x:c>
      <x:c r="T49" s="32" t="n">
        <x:f>IF(O49="","",(1/'Metadata'!$B$5)^(O49-1))</x:f>
        <x:v>141.2537544622754</x:v>
      </x:c>
      <x:c r="U49" s="31" t="n">
        <x:f>IF(T49="","",I49*T49)</x:f>
        <x:v>3420649.78201257</x:v>
      </x:c>
    </x:row>
    <x:row r="50" ht="18" customHeight="1">
      <x:c r="A50" s="24" t="str">
        <x:v>EEZ_156</x:v>
      </x:c>
      <x:c r="B50" s="24" t="str">
        <x:v>China</x:v>
      </x:c>
      <x:c r="C50" s="24" t="str">
        <x:v>EEZ</x:v>
      </x:c>
      <x:c r="D50" s="30" t="n">
        <x:v>2019</x:v>
      </x:c>
      <x:c r="E50" s="24" t="str">
        <x:v>Clupanodon thrissa</x:v>
      </x:c>
      <x:c r="F50" s="24" t="str">
        <x:v>Chinese gizzard shad</x:v>
      </x:c>
      <x:c r="G50" s="24" t="str">
        <x:v>Small pelagics (&lt;30 cm)</x:v>
      </x:c>
      <x:c r="H50" s="24" t="str">
        <x:v>Herring-likes</x:v>
      </x:c>
      <x:c r="I50" s="31" t="n">
        <x:v>19815.5074266825</x:v>
      </x:c>
      <x:c r="J50" s="31" t="n">
        <x:v>19726.1835771339</x:v>
      </x:c>
      <x:c r="K50" s="31" t="n">
        <x:v>89.3238495486</x:v>
      </x:c>
      <x:c r="L50" s="31" t="n">
        <x:v>19697.4461757559</x:v>
      </x:c>
      <x:c r="M50" s="31" t="n">
        <x:v>118.0612509266</x:v>
      </x:c>
      <x:c r="N50" s="24" t="str">
        <x:v>clupanodon thrissa</x:v>
      </x:c>
      <x:c r="O50" s="32" t="n">
        <x:v>3.01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Clupanodon thrissa</x:v>
      </x:c>
      <x:c r="T50" s="32" t="n">
        <x:f>IF(O50="","",(1/'Metadata'!$B$5)^(O50-1))</x:f>
        <x:v>102.32929922807536</x:v>
      </x:c>
      <x:c r="U50" s="31" t="n">
        <x:f>IF(T50="","",I50*T50)</x:f>
        <x:v>2027706.988821143</x:v>
      </x:c>
    </x:row>
    <x:row r="51" ht="18" customHeight="1">
      <x:c r="A51" s="24" t="str">
        <x:v>EEZ_156</x:v>
      </x:c>
      <x:c r="B51" s="24" t="str">
        <x:v>China</x:v>
      </x:c>
      <x:c r="C51" s="24" t="str">
        <x:v>EEZ</x:v>
      </x:c>
      <x:c r="D51" s="30" t="n">
        <x:v>2019</x:v>
      </x:c>
      <x:c r="E51" s="24" t="str">
        <x:v>Coryphaena hippurus</x:v>
      </x:c>
      <x:c r="F51" s="24" t="str">
        <x:v>Common dolphinfish</x:v>
      </x:c>
      <x:c r="G51" s="24" t="str">
        <x:v>Large pelagics (&gt;=90 cm)</x:v>
      </x:c>
      <x:c r="H51" s="24" t="str">
        <x:v>Perch-likes</x:v>
      </x:c>
      <x:c r="I51" s="31" t="n">
        <x:v>19701.7395731302</x:v>
      </x:c>
      <x:c r="J51" s="31" t="n">
        <x:v>19664.0677351127</x:v>
      </x:c>
      <x:c r="K51" s="31" t="n">
        <x:v>37.6718380175</x:v>
      </x:c>
      <x:c r="L51" s="31" t="n">
        <x:v>18751.3240567722</x:v>
      </x:c>
      <x:c r="M51" s="31" t="n">
        <x:v>950.415516358</x:v>
      </x:c>
      <x:c r="N51" s="24" t="str">
        <x:v>coryphaena hippurus</x:v>
      </x:c>
      <x:c r="O51" s="32" t="n">
        <x:v>4.37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Coryphaena hippurus</x:v>
      </x:c>
      <x:c r="T51" s="32" t="n">
        <x:f>IF(O51="","",(1/'Metadata'!$B$5)^(O51-1))</x:f>
        <x:v>2344.228815319923</x:v>
      </x:c>
      <x:c r="U51" s="31" t="n">
        <x:f>IF(T51="","",I51*T51)</x:f>
        <x:v>46185385.61926065</x:v>
      </x:c>
    </x:row>
    <x:row r="52" ht="18" customHeight="1">
      <x:c r="A52" s="24" t="str">
        <x:v>EEZ_156</x:v>
      </x:c>
      <x:c r="B52" s="24" t="str">
        <x:v>China</x:v>
      </x:c>
      <x:c r="C52" s="24" t="str">
        <x:v>EEZ</x:v>
      </x:c>
      <x:c r="D52" s="30" t="n">
        <x:v>2019</x:v>
      </x:c>
      <x:c r="E52" s="24" t="str">
        <x:v>Seriola</x:v>
      </x:c>
      <x:c r="F52" s="24" t="str">
        <x:v>Amberjacks</x:v>
      </x:c>
      <x:c r="G52" s="24" t="str">
        <x:v>Large benthopelagics (&gt;=90 cm)</x:v>
      </x:c>
      <x:c r="H52" s="24" t="str">
        <x:v>Perch-likes</x:v>
      </x:c>
      <x:c r="I52" s="31" t="n">
        <x:v>18652.9255857891</x:v>
      </x:c>
      <x:c r="J52" s="31" t="n">
        <x:v>18441.5696815603</x:v>
      </x:c>
      <x:c r="K52" s="31" t="n">
        <x:v>211.3559042288</x:v>
      </x:c>
      <x:c r="L52" s="31" t="n">
        <x:v>18329.630257227098</x:v>
      </x:c>
      <x:c r="M52" s="31" t="n">
        <x:v>323.295328562</x:v>
      </x:c>
      <x:c r="N52" s="24" t="str">
        <x:v>seriola</x:v>
      </x:c>
      <x:c r="O52" s="32" t="n">
        <x:v>4.39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Seriola</x:v>
      </x:c>
      <x:c r="T52" s="32" t="n">
        <x:f>IF(O52="","",(1/'Metadata'!$B$5)^(O52-1))</x:f>
        <x:v>2454.7089156850284</x:v>
      </x:c>
      <x:c r="U52" s="31" t="n">
        <x:f>IF(T52="","",I52*T52)</x:f>
        <x:v>45787502.73904589</x:v>
      </x:c>
    </x:row>
    <x:row r="53" ht="18" customHeight="1">
      <x:c r="A53" s="24" t="str">
        <x:v>EEZ_156</x:v>
      </x:c>
      <x:c r="B53" s="24" t="str">
        <x:v>China</x:v>
      </x:c>
      <x:c r="C53" s="24" t="str">
        <x:v>EEZ</x:v>
      </x:c>
      <x:c r="D53" s="30" t="n">
        <x:v>2019</x:v>
      </x:c>
      <x:c r="E53" s="24" t="str">
        <x:v>Charybdis</x:v>
      </x:c>
      <x:c r="F53" s="24" t="str">
        <x:v>Whirlpool swimming crabs</x:v>
      </x:c>
      <x:c r="G53" s="24" t="str">
        <x:v>Lobsters, crabs</x:v>
      </x:c>
      <x:c r="H53" s="24" t="str">
        <x:v>Crustaceans</x:v>
      </x:c>
      <x:c r="I53" s="31" t="n">
        <x:v>16709.5966145776</x:v>
      </x:c>
      <x:c r="J53" s="31" t="n">
        <x:v>16526.4623055212</x:v>
      </x:c>
      <x:c r="K53" s="31" t="n">
        <x:v>183.1343090564</x:v>
      </x:c>
      <x:c r="L53" s="31" t="n">
        <x:v>16406.360639613602</x:v>
      </x:c>
      <x:c r="M53" s="31" t="n">
        <x:v>303.235974964</x:v>
      </x:c>
      <x:c r="N53" s="24" t="str">
        <x:v>charybdis</x:v>
      </x:c>
      <x:c r="O53" s="32" t="n">
        <x:v>2.7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Charybdis</x:v>
      </x:c>
      <x:c r="T53" s="32" t="n">
        <x:f>IF(O53="","",(1/'Metadata'!$B$5)^(O53-1))</x:f>
        <x:v>50.11872336272725</x:v>
      </x:c>
      <x:c r="U53" s="31" t="n">
        <x:f>IF(T53="","",I53*T53)</x:f>
        <x:v>837463.6502287786</x:v>
      </x:c>
    </x:row>
    <x:row r="54" ht="18" customHeight="1">
      <x:c r="A54" s="24" t="str">
        <x:v>EEZ_156</x:v>
      </x:c>
      <x:c r="B54" s="24" t="str">
        <x:v>China</x:v>
      </x:c>
      <x:c r="C54" s="24" t="str">
        <x:v>EEZ</x:v>
      </x:c>
      <x:c r="D54" s="30" t="n">
        <x:v>2019</x:v>
      </x:c>
      <x:c r="E54" s="24" t="str">
        <x:v>Conger myriaster</x:v>
      </x:c>
      <x:c r="F54" s="24" t="str">
        <x:v>Whitespotted conger</x:v>
      </x:c>
      <x:c r="G54" s="24" t="str">
        <x:v>Medium demersals (30 - 89 cm)</x:v>
      </x:c>
      <x:c r="H54" s="24" t="str">
        <x:v>Other fishes &amp; inverts</x:v>
      </x:c>
      <x:c r="I54" s="31" t="n">
        <x:v>15996.2112095164</x:v>
      </x:c>
      <x:c r="J54" s="31" t="n">
        <x:v>15612.9362558627</x:v>
      </x:c>
      <x:c r="K54" s="31" t="n">
        <x:v>383.2749536537</x:v>
      </x:c>
      <x:c r="L54" s="31" t="n">
        <x:v>15572.0253478817</x:v>
      </x:c>
      <x:c r="M54" s="31" t="n">
        <x:v>424.1858616347</x:v>
      </x:c>
      <x:c r="N54" s="24" t="str">
        <x:v>conger myriaster</x:v>
      </x:c>
      <x:c r="O54" s="32" t="n">
        <x:v>3.98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Conger myriaster</x:v>
      </x:c>
      <x:c r="T54" s="32" t="n">
        <x:f>IF(O54="","",(1/'Metadata'!$B$5)^(O54-1))</x:f>
        <x:v>954.992586021436</x:v>
      </x:c>
      <x:c r="U54" s="31" t="n">
        <x:f>IF(T54="","",I54*T54)</x:f>
        <x:v>15276263.109521149</x:v>
      </x:c>
    </x:row>
    <x:row r="55" ht="18" customHeight="1">
      <x:c r="A55" s="24" t="str">
        <x:v>EEZ_156</x:v>
      </x:c>
      <x:c r="B55" s="24" t="str">
        <x:v>China</x:v>
      </x:c>
      <x:c r="C55" s="24" t="str">
        <x:v>EEZ</x:v>
      </x:c>
      <x:c r="D55" s="30" t="n">
        <x:v>2019</x:v>
      </x:c>
      <x:c r="E55" s="24" t="str">
        <x:v>Ruditapes philippinarum</x:v>
      </x:c>
      <x:c r="F55" s="24" t="str">
        <x:v>Japanese carpet shell</x:v>
      </x:c>
      <x:c r="G55" s="24" t="str">
        <x:v>Other demersal invertebrates</x:v>
      </x:c>
      <x:c r="H55" s="24" t="str">
        <x:v>Molluscs</x:v>
      </x:c>
      <x:c r="I55" s="31" t="n">
        <x:v>15751.9500088613</x:v>
      </x:c>
      <x:c r="J55" s="31" t="n">
        <x:v>15731.9806101182</x:v>
      </x:c>
      <x:c r="K55" s="31" t="n">
        <x:v>19.9693987431</x:v>
      </x:c>
      <x:c r="L55" s="31" t="n">
        <x:v>15731.9806101182</x:v>
      </x:c>
      <x:c r="M55" s="31" t="n">
        <x:v>19.9693987431</x:v>
      </x:c>
      <x:c r="N55" s="24" t="str">
        <x:v>ruditapes philippinarum</x:v>
      </x:c>
      <x:c r="O55" s="32" t="n">
        <x:v>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Ruditapes philippinarum</x:v>
      </x:c>
      <x:c r="T55" s="32" t="n">
        <x:f>IF(O55="","",(1/'Metadata'!$B$5)^(O55-1))</x:f>
        <x:v>10</x:v>
      </x:c>
      <x:c r="U55" s="31" t="n">
        <x:f>IF(T55="","",I55*T55)</x:f>
        <x:v>157519.50008861301</x:v>
      </x:c>
    </x:row>
    <x:row r="56" ht="18" customHeight="1">
      <x:c r="A56" s="24" t="str">
        <x:v>EEZ_156</x:v>
      </x:c>
      <x:c r="B56" s="24" t="str">
        <x:v>China</x:v>
      </x:c>
      <x:c r="C56" s="24" t="str">
        <x:v>EEZ</x:v>
      </x:c>
      <x:c r="D56" s="30" t="n">
        <x:v>2019</x:v>
      </x:c>
      <x:c r="E56" s="24" t="str">
        <x:v>Gadus macrocephalus</x:v>
      </x:c>
      <x:c r="F56" s="24" t="str">
        <x:v>Pacific cod</x:v>
      </x:c>
      <x:c r="G56" s="24" t="str">
        <x:v>Large demersals (&gt;=90 cm)</x:v>
      </x:c>
      <x:c r="H56" s="24" t="str">
        <x:v>Cod-likes</x:v>
      </x:c>
      <x:c r="I56" s="31" t="n">
        <x:v>14412.5391618758</x:v>
      </x:c>
      <x:c r="J56" s="31" t="n">
        <x:v>14362.6631410611</x:v>
      </x:c>
      <x:c r="K56" s="31" t="n">
        <x:v>49.8760208147</x:v>
      </x:c>
      <x:c r="L56" s="31" t="n">
        <x:v>14330.0754332623</x:v>
      </x:c>
      <x:c r="M56" s="31" t="n">
        <x:v>82.4637286135</x:v>
      </x:c>
      <x:c r="N56" s="24" t="str">
        <x:v>gadus macrocephalus</x:v>
      </x:c>
      <x:c r="O56" s="32" t="n">
        <x:v>4.16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Gadus macrocephalus</x:v>
      </x:c>
      <x:c r="T56" s="32" t="n">
        <x:f>IF(O56="","",(1/'Metadata'!$B$5)^(O56-1))</x:f>
        <x:v>1445.439770745928</x:v>
      </x:c>
      <x:c r="U56" s="31" t="n">
        <x:f>IF(T56="","",I56*T56)</x:f>
        <x:v>20832457.302008465</x:v>
      </x:c>
    </x:row>
    <x:row r="57" ht="18" customHeight="1">
      <x:c r="A57" s="24" t="str">
        <x:v>EEZ_156</x:v>
      </x:c>
      <x:c r="B57" s="24" t="str">
        <x:v>China</x:v>
      </x:c>
      <x:c r="C57" s="24" t="str">
        <x:v>EEZ</x:v>
      </x:c>
      <x:c r="D57" s="30" t="n">
        <x:v>2019</x:v>
      </x:c>
      <x:c r="E57" s="24" t="str">
        <x:v>Gastropoda</x:v>
      </x:c>
      <x:c r="F57" s="24" t="str">
        <x:v>Sea snails</x:v>
      </x:c>
      <x:c r="G57" s="24" t="str">
        <x:v>Other demersal invertebrates</x:v>
      </x:c>
      <x:c r="H57" s="24" t="str">
        <x:v>Molluscs</x:v>
      </x:c>
      <x:c r="I57" s="31" t="n">
        <x:v>14087.8672066325</x:v>
      </x:c>
      <x:c r="J57" s="31" t="n">
        <x:v>14076.517702981</x:v>
      </x:c>
      <x:c r="K57" s="31" t="n">
        <x:v>11.3495036515</x:v>
      </x:c>
      <x:c r="L57" s="31" t="n">
        <x:v>14029.260356091</x:v>
      </x:c>
      <x:c r="M57" s="31" t="n">
        <x:v>58.6068505415</x:v>
      </x:c>
      <x:c r="N57" s="24" t="str">
        <x:v>gastropoda</x:v>
      </x:c>
      <x:c r="O57" s="32" t="n">
        <x:v>3.06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Gastropoda</x:v>
      </x:c>
      <x:c r="T57" s="32" t="n">
        <x:f>IF(O57="","",(1/'Metadata'!$B$5)^(O57-1))</x:f>
        <x:v>114.81536214968828</x:v>
      </x:c>
      <x:c r="U57" s="31" t="n">
        <x:f>IF(T57="","",I57*T57)</x:f>
        <x:v>1617503.575246228</x:v>
      </x:c>
    </x:row>
    <x:row r="58" ht="18" customHeight="1">
      <x:c r="A58" s="24" t="str">
        <x:v>EEZ_156</x:v>
      </x:c>
      <x:c r="B58" s="24" t="str">
        <x:v>China</x:v>
      </x:c>
      <x:c r="C58" s="24" t="str">
        <x:v>EEZ</x:v>
      </x:c>
      <x:c r="D58" s="30" t="n">
        <x:v>2019</x:v>
      </x:c>
      <x:c r="E58" s="24" t="str">
        <x:v>Loliginidae</x:v>
      </x:c>
      <x:c r="F58" s="24" t="str">
        <x:v>Common pencil squids</x:v>
      </x:c>
      <x:c r="G58" s="24" t="str">
        <x:v>Cephalopods</x:v>
      </x:c>
      <x:c r="H58" s="24" t="str">
        <x:v>Other fishes &amp; inverts</x:v>
      </x:c>
      <x:c r="I58" s="31" t="n">
        <x:v>13933.770106320799</x:v>
      </x:c>
      <x:c r="J58" s="31" t="n">
        <x:v>13836.681195346599</x:v>
      </x:c>
      <x:c r="K58" s="31" t="n">
        <x:v>97.0889109742</x:v>
      </x:c>
      <x:c r="L58" s="31" t="n">
        <x:v>13747.5317755828</x:v>
      </x:c>
      <x:c r="M58" s="31" t="n">
        <x:v>186.238330738</x:v>
      </x:c>
      <x:c r="N58" s="24" t="str">
        <x:v>loliginidae</x:v>
      </x:c>
      <x:c r="O58" s="32" t="n">
        <x:v>3.9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Loliginidae</x:v>
      </x:c>
      <x:c r="T58" s="32" t="n">
        <x:f>IF(O58="","",(1/'Metadata'!$B$5)^(O58-1))</x:f>
        <x:v>794.3282347242813</x:v>
      </x:c>
      <x:c r="U58" s="31" t="n">
        <x:f>IF(T58="","",I58*T58)</x:f>
        <x:v>11067987.01160776</x:v>
      </x:c>
    </x:row>
    <x:row r="59" ht="18" customHeight="1">
      <x:c r="A59" s="24" t="str">
        <x:v>EEZ_156</x:v>
      </x:c>
      <x:c r="B59" s="24" t="str">
        <x:v>China</x:v>
      </x:c>
      <x:c r="C59" s="24" t="str">
        <x:v>EEZ</x:v>
      </x:c>
      <x:c r="D59" s="30" t="n">
        <x:v>2019</x:v>
      </x:c>
      <x:c r="E59" s="24" t="str">
        <x:v>Dendrobranchiata</x:v>
      </x:c>
      <x:c r="F59" s="24" t="str">
        <x:v>Shrimps and prawns</x:v>
      </x:c>
      <x:c r="G59" s="24" t="str">
        <x:v>Shrimps</x:v>
      </x:c>
      <x:c r="H59" s="24" t="str">
        <x:v>Crustaceans</x:v>
      </x:c>
      <x:c r="I59" s="31" t="n">
        <x:v>13228.878696271899</x:v>
      </x:c>
      <x:c r="J59" s="31" t="n">
        <x:v>13208.840804780399</x:v>
      </x:c>
      <x:c r="K59" s="31" t="n">
        <x:v>20.037891491499998</x:v>
      </x:c>
      <x:c r="L59" s="31" t="n">
        <x:v>3888.7282131253005</x:v>
      </x:c>
      <x:c r="M59" s="31" t="n">
        <x:v>9340.150483146599</x:v>
      </x:c>
      <x:c r="N59" s="24" t="str">
        <x:v>dendrobranchiata</x:v>
      </x:c>
      <x:c r="O59" s="32" t="n">
        <x:v>3.24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Dendrobranchiata</x:v>
      </x:c>
      <x:c r="T59" s="32" t="n">
        <x:f>IF(O59="","",(1/'Metadata'!$B$5)^(O59-1))</x:f>
        <x:v>173.78008287493762</x:v>
      </x:c>
      <x:c r="U59" s="31" t="n">
        <x:f>IF(T59="","",I59*T59)</x:f>
        <x:v>2298915.636180627</x:v>
      </x:c>
    </x:row>
    <x:row r="60" ht="18" customHeight="1">
      <x:c r="A60" s="24" t="str">
        <x:v>EEZ_156</x:v>
      </x:c>
      <x:c r="B60" s="24" t="str">
        <x:v>China</x:v>
      </x:c>
      <x:c r="C60" s="24" t="str">
        <x:v>EEZ</x:v>
      </x:c>
      <x:c r="D60" s="30" t="n">
        <x:v>2019</x:v>
      </x:c>
      <x:c r="E60" s="24" t="str">
        <x:v>Clupea pallasii</x:v>
      </x:c>
      <x:c r="F60" s="24" t="str">
        <x:v>Pacific herring</x:v>
      </x:c>
      <x:c r="G60" s="24" t="str">
        <x:v>Medium pelagics (30 - 89 cm)</x:v>
      </x:c>
      <x:c r="H60" s="24" t="str">
        <x:v>Herring-likes</x:v>
      </x:c>
      <x:c r="I60" s="31" t="n">
        <x:v>12749.2711955102</x:v>
      </x:c>
      <x:c r="J60" s="31" t="n">
        <x:v>12686.2256267003</x:v>
      </x:c>
      <x:c r="K60" s="31" t="n">
        <x:v>63.045568809900004</x:v>
      </x:c>
      <x:c r="L60" s="31" t="n">
        <x:v>12661.4462217036</x:v>
      </x:c>
      <x:c r="M60" s="31" t="n">
        <x:v>87.8249738066</x:v>
      </x:c>
      <x:c r="N60" s="24" t="str">
        <x:v>clupea pallasii</x:v>
      </x:c>
      <x:c r="O60" s="32" t="n">
        <x:v>3.16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Clupea pallasii</x:v>
      </x:c>
      <x:c r="T60" s="32" t="n">
        <x:f>IF(O60="","",(1/'Metadata'!$B$5)^(O60-1))</x:f>
        <x:v>144.5439770745928</x:v>
      </x:c>
      <x:c r="U60" s="31" t="n">
        <x:f>IF(T60="","",I60*T60)</x:f>
        <x:v>1842830.3634015927</x:v>
      </x:c>
    </x:row>
    <x:row r="61" ht="18" customHeight="1">
      <x:c r="A61" s="24" t="str">
        <x:v>EEZ_156</x:v>
      </x:c>
      <x:c r="B61" s="24" t="str">
        <x:v>China</x:v>
      </x:c>
      <x:c r="C61" s="24" t="str">
        <x:v>EEZ</x:v>
      </x:c>
      <x:c r="D61" s="30" t="n">
        <x:v>2019</x:v>
      </x:c>
      <x:c r="E61" s="24" t="str">
        <x:v>Scomber</x:v>
      </x:c>
      <x:c r="F61" s="24" t="str">
        <x:v>Chub mackerels</x:v>
      </x:c>
      <x:c r="G61" s="24" t="str">
        <x:v>Medium pelagics (30 - 89 cm)</x:v>
      </x:c>
      <x:c r="H61" s="24" t="str">
        <x:v>Perch-likes</x:v>
      </x:c>
      <x:c r="I61" s="31" t="n">
        <x:v>11781.9081048266</x:v>
      </x:c>
      <x:c r="J61" s="31" t="n">
        <x:v>11781.9081048266</x:v>
      </x:c>
      <x:c r="K61" s="31" t="n">
        <x:v>0</x:v>
      </x:c>
      <x:c r="L61" s="31" t="n">
        <x:v>7125.7147706827</x:v>
      </x:c>
      <x:c r="M61" s="31" t="n">
        <x:v>4656.1933341439</x:v>
      </x:c>
      <x:c r="N61" s="24" t="str">
        <x:v>scomber</x:v>
      </x:c>
      <x:c r="O61" s="32" t="n">
        <x:v>3.65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Scomber</x:v>
      </x:c>
      <x:c r="T61" s="32" t="n">
        <x:f>IF(O61="","",(1/'Metadata'!$B$5)^(O61-1))</x:f>
        <x:v>446.683592150963</x:v>
      </x:c>
      <x:c r="U61" s="31" t="n">
        <x:f>IF(T61="","",I61*T61)</x:f>
        <x:v>5262785.03465649</x:v>
      </x:c>
    </x:row>
    <x:row r="62" ht="18" customHeight="1">
      <x:c r="A62" s="24" t="str">
        <x:v>EEZ_156</x:v>
      </x:c>
      <x:c r="B62" s="24" t="str">
        <x:v>China</x:v>
      </x:c>
      <x:c r="C62" s="24" t="str">
        <x:v>EEZ</x:v>
      </x:c>
      <x:c r="D62" s="30" t="n">
        <x:v>2019</x:v>
      </x:c>
      <x:c r="E62" s="24" t="str">
        <x:v>Priacanthus</x:v>
      </x:c>
      <x:c r="F62" s="24" t="str">
        <x:v>Bigeyes</x:v>
      </x:c>
      <x:c r="G62" s="24" t="str">
        <x:v>Medium reef assoc. fish (30 - 89 cm)</x:v>
      </x:c>
      <x:c r="H62" s="24" t="str">
        <x:v>Perch-likes</x:v>
      </x:c>
      <x:c r="I62" s="31" t="n">
        <x:v>10826.610726700299</x:v>
      </x:c>
      <x:c r="J62" s="31" t="n">
        <x:v>10826.610726700299</x:v>
      </x:c>
      <x:c r="K62" s="31" t="n">
        <x:v>0</x:v>
      </x:c>
      <x:c r="L62" s="31" t="n">
        <x:v>2791.3884544002</x:v>
      </x:c>
      <x:c r="M62" s="31" t="n">
        <x:v>8035.2222723001005</x:v>
      </x:c>
      <x:c r="N62" s="24" t="str">
        <x:v>priacanthus</x:v>
      </x:c>
      <x:c r="O62" s="32" t="n">
        <x:v>3.81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Priacanthus</x:v>
      </x:c>
      <x:c r="T62" s="32" t="n">
        <x:f>IF(O62="","",(1/'Metadata'!$B$5)^(O62-1))</x:f>
        <x:v>645.6542290346556</x:v>
      </x:c>
      <x:c r="U62" s="31" t="n">
        <x:f>IF(T62="","",I62*T62)</x:f>
        <x:v>6990247.001806014</x:v>
      </x:c>
    </x:row>
    <x:row r="63" ht="18" customHeight="1">
      <x:c r="A63" s="24" t="str">
        <x:v>EEZ_156</x:v>
      </x:c>
      <x:c r="B63" s="24" t="str">
        <x:v>China</x:v>
      </x:c>
      <x:c r="C63" s="24" t="str">
        <x:v>EEZ</x:v>
      </x:c>
      <x:c r="D63" s="30" t="n">
        <x:v>2019</x:v>
      </x:c>
      <x:c r="E63" s="24" t="str">
        <x:v>Menidae</x:v>
      </x:c>
      <x:c r="F63" s="24" t="str">
        <x:v>Moonfishes</x:v>
      </x:c>
      <x:c r="G63" s="24" t="str">
        <x:v>Medium reef assoc. fish (30 - 89 cm)</x:v>
      </x:c>
      <x:c r="H63" s="24" t="str">
        <x:v>Perch-likes</x:v>
      </x:c>
      <x:c r="I63" s="31" t="n">
        <x:v>9756.2216883404</x:v>
      </x:c>
      <x:c r="J63" s="31" t="n">
        <x:v>9742.9541446825</x:v>
      </x:c>
      <x:c r="K63" s="31" t="n">
        <x:v>13.267543657900001</x:v>
      </x:c>
      <x:c r="L63" s="31" t="n">
        <x:v>9700.4903959366</x:v>
      </x:c>
      <x:c r="M63" s="31" t="n">
        <x:v>55.7312924038</x:v>
      </x:c>
      <x:c r="N63" s="24" t="str">
        <x:v>menidae</x:v>
      </x:c>
      <x:c r="O63" s="32" t="n">
        <x:v>3.45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Menidae</x:v>
      </x:c>
      <x:c r="T63" s="32" t="n">
        <x:f>IF(O63="","",(1/'Metadata'!$B$5)^(O63-1))</x:f>
        <x:v>281.8382931264455</x:v>
      </x:c>
      <x:c r="U63" s="31" t="n">
        <x:f>IF(T63="","",I63*T63)</x:f>
        <x:v>2749676.8680050666</x:v>
      </x:c>
    </x:row>
    <x:row r="64" ht="18" customHeight="1">
      <x:c r="A64" s="24" t="str">
        <x:v>EEZ_156</x:v>
      </x:c>
      <x:c r="B64" s="24" t="str">
        <x:v>China</x:v>
      </x:c>
      <x:c r="C64" s="24" t="str">
        <x:v>EEZ</x:v>
      </x:c>
      <x:c r="D64" s="30" t="n">
        <x:v>2019</x:v>
      </x:c>
      <x:c r="E64" s="24" t="str">
        <x:v>Psenopsis anomala</x:v>
      </x:c>
      <x:c r="F64" s="24" t="str">
        <x:v>Pacific rudderfish</x:v>
      </x:c>
      <x:c r="G64" s="24" t="str">
        <x:v>Small benthopelagics (&lt;30 cm)</x:v>
      </x:c>
      <x:c r="H64" s="24" t="str">
        <x:v>Perch-likes</x:v>
      </x:c>
      <x:c r="I64" s="31" t="n">
        <x:v>8749.5804594468</x:v>
      </x:c>
      <x:c r="J64" s="31" t="n">
        <x:v>8664.2904753733</x:v>
      </x:c>
      <x:c r="K64" s="31" t="n">
        <x:v>85.28998407350001</x:v>
      </x:c>
      <x:c r="L64" s="31" t="n">
        <x:v>6445.6941606154005</x:v>
      </x:c>
      <x:c r="M64" s="31" t="n">
        <x:v>2303.8862988314</x:v>
      </x:c>
      <x:c r="N64" s="24" t="str">
        <x:v>psenopsis anomala</x:v>
      </x:c>
      <x:c r="O64" s="32" t="n">
        <x:v>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Psenopsis anomala</x:v>
      </x:c>
      <x:c r="T64" s="32" t="n">
        <x:f>IF(O64="","",(1/'Metadata'!$B$5)^(O64-1))</x:f>
        <x:v>1000</x:v>
      </x:c>
      <x:c r="U64" s="31" t="n">
        <x:f>IF(T64="","",I64*T64)</x:f>
        <x:v>8749580.4594468</x:v>
      </x:c>
    </x:row>
    <x:row r="65" ht="18" customHeight="1">
      <x:c r="A65" s="24" t="str">
        <x:v>EEZ_156</x:v>
      </x:c>
      <x:c r="B65" s="24" t="str">
        <x:v>China</x:v>
      </x:c>
      <x:c r="C65" s="24" t="str">
        <x:v>EEZ</x:v>
      </x:c>
      <x:c r="D65" s="30" t="n">
        <x:v>2019</x:v>
      </x:c>
      <x:c r="E65" s="24" t="str">
        <x:v>Carangidae</x:v>
      </x:c>
      <x:c r="F65" s="24" t="str">
        <x:v>Jacks, pompanos</x:v>
      </x:c>
      <x:c r="G65" s="24" t="str">
        <x:v>Medium pelagics (30 - 89 cm)</x:v>
      </x:c>
      <x:c r="H65" s="24" t="str">
        <x:v>Perch-likes</x:v>
      </x:c>
      <x:c r="I65" s="31" t="n">
        <x:v>8588.212450148401</x:v>
      </x:c>
      <x:c r="J65" s="31" t="n">
        <x:v>8585.4313374227</x:v>
      </x:c>
      <x:c r="K65" s="31" t="n">
        <x:v>2.7811127257000003</x:v>
      </x:c>
      <x:c r="L65" s="31" t="n">
        <x:v>2788.8466430097</x:v>
      </x:c>
      <x:c r="M65" s="31" t="n">
        <x:v>5799.3658071387</x:v>
      </x:c>
      <x:c r="N65" s="24" t="str">
        <x:v>carangidae</x:v>
      </x:c>
      <x:c r="O65" s="32" t="n">
        <x:v>4.05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Carangidae</x:v>
      </x:c>
      <x:c r="T65" s="32" t="n">
        <x:f>IF(O65="","",(1/'Metadata'!$B$5)^(O65-1))</x:f>
        <x:v>1122.018454301963</x:v>
      </x:c>
      <x:c r="U65" s="31" t="n">
        <x:f>IF(T65="","",I65*T65)</x:f>
        <x:v>9636132.858532384</x:v>
      </x:c>
    </x:row>
    <x:row r="66" ht="18" customHeight="1">
      <x:c r="A66" s="24" t="str">
        <x:v>EEZ_156</x:v>
      </x:c>
      <x:c r="B66" s="24" t="str">
        <x:v>China</x:v>
      </x:c>
      <x:c r="C66" s="24" t="str">
        <x:v>EEZ</x:v>
      </x:c>
      <x:c r="D66" s="30" t="n">
        <x:v>2019</x:v>
      </x:c>
      <x:c r="E66" s="24" t="str">
        <x:v>Arctoscopus japonicus</x:v>
      </x:c>
      <x:c r="F66" s="24" t="str">
        <x:v>Japanese sandfish</x:v>
      </x:c>
      <x:c r="G66" s="24" t="str">
        <x:v>Small bathydemersals (&lt;30 cm)</x:v>
      </x:c>
      <x:c r="H66" s="24" t="str">
        <x:v>Perch-likes</x:v>
      </x:c>
      <x:c r="I66" s="31" t="n">
        <x:v>7383.935699065601</x:v>
      </x:c>
      <x:c r="J66" s="31" t="n">
        <x:v>7353.6579272109</x:v>
      </x:c>
      <x:c r="K66" s="31" t="n">
        <x:v>30.2777718547</x:v>
      </x:c>
      <x:c r="L66" s="31" t="n">
        <x:v>7325.4157563236</x:v>
      </x:c>
      <x:c r="M66" s="31" t="n">
        <x:v>58.519942742</x:v>
      </x:c>
      <x:c r="N66" s="24" t="str">
        <x:v>arctoscopus japonicus</x:v>
      </x:c>
      <x:c r="O66" s="32" t="n">
        <x:v>3.51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Arctoscopus japonicus</x:v>
      </x:c>
      <x:c r="T66" s="32" t="n">
        <x:f>IF(O66="","",(1/'Metadata'!$B$5)^(O66-1))</x:f>
        <x:v>323.5936569296281</x:v>
      </x:c>
      <x:c r="U66" s="31" t="n">
        <x:f>IF(T66="","",I66*T66)</x:f>
        <x:v>2389394.7553938674</x:v>
      </x:c>
    </x:row>
    <x:row r="67" ht="18" customHeight="1">
      <x:c r="A67" s="24" t="str">
        <x:v>EEZ_156</x:v>
      </x:c>
      <x:c r="B67" s="24" t="str">
        <x:v>China</x:v>
      </x:c>
      <x:c r="C67" s="24" t="str">
        <x:v>EEZ</x:v>
      </x:c>
      <x:c r="D67" s="30" t="n">
        <x:v>2019</x:v>
      </x:c>
      <x:c r="E67" s="24" t="str">
        <x:v>Perciformes</x:v>
      </x:c>
      <x:c r="F67" s="24" t="str">
        <x:v>Perch-likes</x:v>
      </x:c>
      <x:c r="G67" s="24" t="str">
        <x:v>Medium demersals (30 - 89 cm)</x:v>
      </x:c>
      <x:c r="H67" s="24" t="str">
        <x:v>Perch-likes</x:v>
      </x:c>
      <x:c r="I67" s="31" t="n">
        <x:v>6947.5392218359</x:v>
      </x:c>
      <x:c r="J67" s="31" t="n">
        <x:v>6765.3815095788</x:v>
      </x:c>
      <x:c r="K67" s="31" t="n">
        <x:v>182.1577122571</x:v>
      </x:c>
      <x:c r="L67" s="31" t="n">
        <x:v>6765.3815095788</x:v>
      </x:c>
      <x:c r="M67" s="31" t="n">
        <x:v>182.1577122571</x:v>
      </x:c>
      <x:c r="N67" s="24" t="str">
        <x:v>perciformes</x:v>
      </x:c>
      <x:c r="O67" s="32" t="n">
        <x:v>3.53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Perciformes</x:v>
      </x:c>
      <x:c r="T67" s="32" t="n">
        <x:f>IF(O67="","",(1/'Metadata'!$B$5)^(O67-1))</x:f>
        <x:v>338.84415613920237</x:v>
      </x:c>
      <x:c r="U67" s="31" t="n">
        <x:f>IF(T67="","",I67*T67)</x:f>
        <x:v>2354133.0648669964</x:v>
      </x:c>
    </x:row>
    <x:row r="68" ht="18" customHeight="1">
      <x:c r="A68" s="24" t="str">
        <x:v>EEZ_156</x:v>
      </x:c>
      <x:c r="B68" s="24" t="str">
        <x:v>China</x:v>
      </x:c>
      <x:c r="C68" s="24" t="str">
        <x:v>EEZ</x:v>
      </x:c>
      <x:c r="D68" s="30" t="n">
        <x:v>2019</x:v>
      </x:c>
      <x:c r="E68" s="24" t="str">
        <x:v>Bivalvia</x:v>
      </x:c>
      <x:c r="F68" s="24" t="str">
        <x:v>Clams</x:v>
      </x:c>
      <x:c r="G68" s="24" t="str">
        <x:v>Other demersal invertebrates</x:v>
      </x:c>
      <x:c r="H68" s="24" t="str">
        <x:v>Molluscs</x:v>
      </x:c>
      <x:c r="I68" s="31" t="n">
        <x:v>6928.080684652</x:v>
      </x:c>
      <x:c r="J68" s="31" t="n">
        <x:v>6917.8963757737</x:v>
      </x:c>
      <x:c r="K68" s="31" t="n">
        <x:v>10.1843088783</x:v>
      </x:c>
      <x:c r="L68" s="31" t="n">
        <x:v>6917.8963757737</x:v>
      </x:c>
      <x:c r="M68" s="31" t="n">
        <x:v>10.1843088783</x:v>
      </x:c>
      <x:c r="N68" s="24" t="str">
        <x:v>bivalvia</x:v>
      </x:c>
      <x:c r="O68" s="32" t="n">
        <x:v>2.23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Bivalvia</x:v>
      </x:c>
      <x:c r="T68" s="32" t="n">
        <x:f>IF(O68="","",(1/'Metadata'!$B$5)^(O68-1))</x:f>
        <x:v>16.982436524617444</x:v>
      </x:c>
      <x:c r="U68" s="31" t="n">
        <x:f>IF(T68="","",I68*T68)</x:f>
        <x:v>117655.69046453075</x:v>
      </x:c>
    </x:row>
    <x:row r="69" ht="18" customHeight="1">
      <x:c r="A69" s="24" t="str">
        <x:v>EEZ_156</x:v>
      </x:c>
      <x:c r="B69" s="24" t="str">
        <x:v>China</x:v>
      </x:c>
      <x:c r="C69" s="24" t="str">
        <x:v>EEZ</x:v>
      </x:c>
      <x:c r="D69" s="30" t="n">
        <x:v>2019</x:v>
      </x:c>
      <x:c r="E69" s="24" t="str">
        <x:v>Muraenesocidae</x:v>
      </x:c>
      <x:c r="F69" s="24" t="str">
        <x:v>Pike congers</x:v>
      </x:c>
      <x:c r="G69" s="24" t="str">
        <x:v>Large demersals (&gt;=90 cm)</x:v>
      </x:c>
      <x:c r="H69" s="24" t="str">
        <x:v>Other fishes &amp; inverts</x:v>
      </x:c>
      <x:c r="I69" s="31" t="n">
        <x:v>6242.0014342603</x:v>
      </x:c>
      <x:c r="J69" s="31" t="n">
        <x:v>6242.0014342603</x:v>
      </x:c>
      <x:c r="K69" s="31" t="n">
        <x:v>0</x:v>
      </x:c>
      <x:c r="L69" s="31" t="n">
        <x:v>1611.8862748601</x:v>
      </x:c>
      <x:c r="M69" s="31" t="n">
        <x:v>4630.115159400199</x:v>
      </x:c>
      <x:c r="N69" s="24" t="str">
        <x:v>muraenesocidae</x:v>
      </x:c>
      <x:c r="O69" s="32" t="n">
        <x:v>3.9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Muraenesocidae</x:v>
      </x:c>
      <x:c r="T69" s="32" t="n">
        <x:f>IF(O69="","",(1/'Metadata'!$B$5)^(O69-1))</x:f>
        <x:v>794.3282347242813</x:v>
      </x:c>
      <x:c r="U69" s="31" t="n">
        <x:f>IF(T69="","",I69*T69)</x:f>
        <x:v>4958197.980422416</x:v>
      </x:c>
    </x:row>
    <x:row r="70" ht="18" customHeight="1">
      <x:c r="A70" s="24" t="str">
        <x:v>EEZ_156</x:v>
      </x:c>
      <x:c r="B70" s="24" t="str">
        <x:v>China</x:v>
      </x:c>
      <x:c r="C70" s="24" t="str">
        <x:v>EEZ</x:v>
      </x:c>
      <x:c r="D70" s="30" t="n">
        <x:v>2019</x:v>
      </x:c>
      <x:c r="E70" s="24" t="str">
        <x:v>Mytilidae</x:v>
      </x:c>
      <x:c r="F70" s="24" t="str">
        <x:v>Sea mussels</x:v>
      </x:c>
      <x:c r="G70" s="24" t="str">
        <x:v>Other demersal invertebrates</x:v>
      </x:c>
      <x:c r="H70" s="24" t="str">
        <x:v>Molluscs</x:v>
      </x:c>
      <x:c r="I70" s="31" t="n">
        <x:v>5876.7187415248</x:v>
      </x:c>
      <x:c r="J70" s="31" t="n">
        <x:v>5868.3245035417</x:v>
      </x:c>
      <x:c r="K70" s="31" t="n">
        <x:v>8.3942379831</x:v>
      </x:c>
      <x:c r="L70" s="31" t="n">
        <x:v>5868.3245035417</x:v>
      </x:c>
      <x:c r="M70" s="31" t="n">
        <x:v>8.3942379831</x:v>
      </x:c>
      <x:c r="N70" s="24" t="str">
        <x:v>mytilidae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Mytilidae</x:v>
      </x:c>
      <x:c r="T70" s="32" t="n">
        <x:f>IF(O70="","",(1/'Metadata'!$B$5)^(O70-1))</x:f>
        <x:v>10</x:v>
      </x:c>
      <x:c r="U70" s="31" t="n">
        <x:f>IF(T70="","",I70*T70)</x:f>
        <x:v>58767.187415248</x:v>
      </x:c>
    </x:row>
    <x:row r="71" ht="18" customHeight="1">
      <x:c r="A71" s="24" t="str">
        <x:v>EEZ_156</x:v>
      </x:c>
      <x:c r="B71" s="24" t="str">
        <x:v>China</x:v>
      </x:c>
      <x:c r="C71" s="24" t="str">
        <x:v>EEZ</x:v>
      </x:c>
      <x:c r="D71" s="30" t="n">
        <x:v>2019</x:v>
      </x:c>
      <x:c r="E71" s="24" t="str">
        <x:v>Stromateidae</x:v>
      </x:c>
      <x:c r="F71" s="24" t="str">
        <x:v>Butterfishes</x:v>
      </x:c>
      <x:c r="G71" s="24" t="str">
        <x:v>Small benthopelagics (&lt;30 cm)</x:v>
      </x:c>
      <x:c r="H71" s="24" t="str">
        <x:v>Perch-likes</x:v>
      </x:c>
      <x:c r="I71" s="31" t="n">
        <x:v>5716.6466548655</x:v>
      </x:c>
      <x:c r="J71" s="31" t="n">
        <x:v>5716.6466548655</x:v>
      </x:c>
      <x:c r="K71" s="31" t="n">
        <x:v>0</x:v>
      </x:c>
      <x:c r="L71" s="31" t="n">
        <x:v>1501.9827191745</x:v>
      </x:c>
      <x:c r="M71" s="31" t="n">
        <x:v>4214.663935691</x:v>
      </x:c>
      <x:c r="N71" s="24" t="str">
        <x:v>stromateidae</x:v>
      </x:c>
      <x:c r="O71" s="32" t="n">
        <x:v>3.62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Stromateidae</x:v>
      </x:c>
      <x:c r="T71" s="32" t="n">
        <x:f>IF(O71="","",(1/'Metadata'!$B$5)^(O71-1))</x:f>
        <x:v>416.8693834703355</x:v>
      </x:c>
      <x:c r="U71" s="31" t="n">
        <x:f>IF(T71="","",I71*T71)</x:f>
        <x:v>2383094.9665315365</x:v>
      </x:c>
    </x:row>
    <x:row r="72" ht="18" customHeight="1">
      <x:c r="A72" s="24" t="str">
        <x:v>EEZ_156</x:v>
      </x:c>
      <x:c r="B72" s="24" t="str">
        <x:v>China</x:v>
      </x:c>
      <x:c r="C72" s="24" t="str">
        <x:v>EEZ</x:v>
      </x:c>
      <x:c r="D72" s="30" t="n">
        <x:v>2019</x:v>
      </x:c>
      <x:c r="E72" s="24" t="str">
        <x:v>Paralichthys olivaceus</x:v>
      </x:c>
      <x:c r="F72" s="24" t="str">
        <x:v>Bastard halibut</x:v>
      </x:c>
      <x:c r="G72" s="24" t="str">
        <x:v>Large flatfishes (&gt;=90 cm)</x:v>
      </x:c>
      <x:c r="H72" s="24" t="str">
        <x:v>Flatfishes</x:v>
      </x:c>
      <x:c r="I72" s="31" t="n">
        <x:v>5700.4175110233</x:v>
      </x:c>
      <x:c r="J72" s="31" t="n">
        <x:v>5667.7000160091</x:v>
      </x:c>
      <x:c r="K72" s="31" t="n">
        <x:v>32.7174950142</x:v>
      </x:c>
      <x:c r="L72" s="31" t="n">
        <x:v>5663.3315177734</x:v>
      </x:c>
      <x:c r="M72" s="31" t="n">
        <x:v>37.0859932499</x:v>
      </x:c>
      <x:c r="N72" s="24" t="str">
        <x:v>paralichthys olivaceus</x:v>
      </x:c>
      <x:c r="O72" s="32" t="n">
        <x:v>4.25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Paralichthys olivaceus</x:v>
      </x:c>
      <x:c r="T72" s="32" t="n">
        <x:f>IF(O72="","",(1/'Metadata'!$B$5)^(O72-1))</x:f>
        <x:v>1778.2794100389228</x:v>
      </x:c>
      <x:c r="U72" s="31" t="n">
        <x:f>IF(T72="","",I72*T72)</x:f>
        <x:v>10136935.088478059</x:v>
      </x:c>
    </x:row>
    <x:row r="73" ht="18" customHeight="1">
      <x:c r="A73" s="24" t="str">
        <x:v>EEZ_156</x:v>
      </x:c>
      <x:c r="B73" s="24" t="str">
        <x:v>China</x:v>
      </x:c>
      <x:c r="C73" s="24" t="str">
        <x:v>EEZ</x:v>
      </x:c>
      <x:c r="D73" s="30" t="n">
        <x:v>2019</x:v>
      </x:c>
      <x:c r="E73" s="24" t="str">
        <x:v>Decapterus maruadsi</x:v>
      </x:c>
      <x:c r="F73" s="24" t="str">
        <x:v>Japanese scad</x:v>
      </x:c>
      <x:c r="G73" s="24" t="str">
        <x:v>Small pelagics (&lt;30 cm)</x:v>
      </x:c>
      <x:c r="H73" s="24" t="str">
        <x:v>Perch-likes</x:v>
      </x:c>
      <x:c r="I73" s="31" t="n">
        <x:v>5515.5318941594</x:v>
      </x:c>
      <x:c r="J73" s="31" t="n">
        <x:v>5515.5318941594</x:v>
      </x:c>
      <x:c r="K73" s="31" t="n">
        <x:v>0</x:v>
      </x:c>
      <x:c r="L73" s="31" t="n">
        <x:v>4137.1494375418</x:v>
      </x:c>
      <x:c r="M73" s="31" t="n">
        <x:v>1378.3824566176</x:v>
      </x:c>
      <x:c r="N73" s="24" t="str">
        <x:v>decapterus maruadsi</x:v>
      </x:c>
      <x:c r="O73" s="32" t="n">
        <x:v>3.4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Decapterus maruadsi</x:v>
      </x:c>
      <x:c r="T73" s="32" t="n">
        <x:f>IF(O73="","",(1/'Metadata'!$B$5)^(O73-1))</x:f>
        <x:v>251.18864315095797</x:v>
      </x:c>
      <x:c r="U73" s="31" t="n">
        <x:f>IF(T73="","",I73*T73)</x:f>
        <x:v>1385438.9727497327</x:v>
      </x:c>
    </x:row>
    <x:row r="74" ht="18" customHeight="1">
      <x:c r="A74" s="24" t="str">
        <x:v>EEZ_156</x:v>
      </x:c>
      <x:c r="B74" s="24" t="str">
        <x:v>China</x:v>
      </x:c>
      <x:c r="C74" s="24" t="str">
        <x:v>EEZ</x:v>
      </x:c>
      <x:c r="D74" s="30" t="n">
        <x:v>2019</x:v>
      </x:c>
      <x:c r="E74" s="24" t="str">
        <x:v>Scomberomorus guttatus</x:v>
      </x:c>
      <x:c r="F74" s="24" t="str">
        <x:v>Indo-Pacific king mackerel</x:v>
      </x:c>
      <x:c r="G74" s="24" t="str">
        <x:v>Medium pelagics (30 - 89 cm)</x:v>
      </x:c>
      <x:c r="H74" s="24" t="str">
        <x:v>Perch-likes</x:v>
      </x:c>
      <x:c r="I74" s="31" t="n">
        <x:v>5086.2108725381</x:v>
      </x:c>
      <x:c r="J74" s="31" t="n">
        <x:v>5083.4624787841</x:v>
      </x:c>
      <x:c r="K74" s="31" t="n">
        <x:v>2.7483937540000003</x:v>
      </x:c>
      <x:c r="L74" s="31" t="n">
        <x:v>1730.2304682764</x:v>
      </x:c>
      <x:c r="M74" s="31" t="n">
        <x:v>3355.9804042616997</x:v>
      </x:c>
      <x:c r="N74" s="24" t="str">
        <x:v>scomberomorus guttatus</x:v>
      </x:c>
      <x:c r="O74" s="32" t="n">
        <x:v>4.28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Scomberomorus guttatus</x:v>
      </x:c>
      <x:c r="T74" s="32" t="n">
        <x:f>IF(O74="","",(1/'Metadata'!$B$5)^(O74-1))</x:f>
        <x:v>1905.4607179632483</x:v>
      </x:c>
      <x:c r="U74" s="31" t="n">
        <x:f>IF(T74="","",I74*T74)</x:f>
        <x:v>9691575.020898929</x:v>
      </x:c>
    </x:row>
    <x:row r="75" ht="18" customHeight="1">
      <x:c r="A75" s="24" t="str">
        <x:v>EEZ_156</x:v>
      </x:c>
      <x:c r="B75" s="24" t="str">
        <x:v>China</x:v>
      </x:c>
      <x:c r="C75" s="24" t="str">
        <x:v>EEZ</x:v>
      </x:c>
      <x:c r="D75" s="30" t="n">
        <x:v>2019</x:v>
      </x:c>
      <x:c r="E75" s="24" t="str">
        <x:v>Auxis</x:v>
      </x:c>
      <x:c r="F75" s="24" t="str">
        <x:v>Bullet and frigate tunas</x:v>
      </x:c>
      <x:c r="G75" s="24" t="str">
        <x:v>Medium pelagics (30 - 89 cm)</x:v>
      </x:c>
      <x:c r="H75" s="24" t="str">
        <x:v>Tuna &amp; billfishes</x:v>
      </x:c>
      <x:c r="I75" s="31" t="n">
        <x:v>4787.9941872746</x:v>
      </x:c>
      <x:c r="J75" s="31" t="n">
        <x:v>4749.1813052531</x:v>
      </x:c>
      <x:c r="K75" s="31" t="n">
        <x:v>38.812882021499995</x:v>
      </x:c>
      <x:c r="L75" s="31" t="n">
        <x:v>4736.3288034148</x:v>
      </x:c>
      <x:c r="M75" s="31" t="n">
        <x:v>51.6653838598</x:v>
      </x:c>
      <x:c r="N75" s="24" t="str">
        <x:v>auxis</x:v>
      </x:c>
      <x:c r="O75" s="32" t="n">
        <x:v>4.24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Auxis</x:v>
      </x:c>
      <x:c r="T75" s="32" t="n">
        <x:f>IF(O75="","",(1/'Metadata'!$B$5)^(O75-1))</x:f>
        <x:v>1737.8008287493763</x:v>
      </x:c>
      <x:c r="U75" s="31" t="n">
        <x:f>IF(T75="","",I75*T75)</x:f>
        <x:v>8320580.266692997</x:v>
      </x:c>
    </x:row>
    <x:row r="76" ht="18" customHeight="1">
      <x:c r="A76" s="24" t="str">
        <x:v>EEZ_156</x:v>
      </x:c>
      <x:c r="B76" s="24" t="str">
        <x:v>China</x:v>
      </x:c>
      <x:c r="C76" s="24" t="str">
        <x:v>EEZ</x:v>
      </x:c>
      <x:c r="D76" s="30" t="n">
        <x:v>2019</x:v>
      </x:c>
      <x:c r="E76" s="24" t="str">
        <x:v>Trichiuridae</x:v>
      </x:c>
      <x:c r="F76" s="24" t="str">
        <x:v>Cutlassfishes</x:v>
      </x:c>
      <x:c r="G76" s="24" t="str">
        <x:v>Large benthopelagics (&gt;=90 cm)</x:v>
      </x:c>
      <x:c r="H76" s="24" t="str">
        <x:v>Perch-likes</x:v>
      </x:c>
      <x:c r="I76" s="31" t="n">
        <x:v>4565.4102899001</x:v>
      </x:c>
      <x:c r="J76" s="31" t="n">
        <x:v>4565.4102899001</x:v>
      </x:c>
      <x:c r="K76" s="31" t="n">
        <x:v>0</x:v>
      </x:c>
      <x:c r="L76" s="31" t="n">
        <x:v>1166.4029409001</x:v>
      </x:c>
      <x:c r="M76" s="31" t="n">
        <x:v>3399.007349</x:v>
      </x:c>
      <x:c r="N76" s="24" t="str">
        <x:v>trichiuridae</x:v>
      </x:c>
      <x:c r="O76" s="32" t="n">
        <x:v>4.15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Trichiuridae</x:v>
      </x:c>
      <x:c r="T76" s="32" t="n">
        <x:f>IF(O76="","",(1/'Metadata'!$B$5)^(O76-1))</x:f>
        <x:v>1412.5375446227554</x:v>
      </x:c>
      <x:c r="U76" s="31" t="n">
        <x:f>IF(T76="","",I76*T76)</x:f>
        <x:v>6448813.441090949</x:v>
      </x:c>
    </x:row>
    <x:row r="77" ht="18" customHeight="1">
      <x:c r="A77" s="24" t="str">
        <x:v>EEZ_156</x:v>
      </x:c>
      <x:c r="B77" s="24" t="str">
        <x:v>China</x:v>
      </x:c>
      <x:c r="C77" s="24" t="str">
        <x:v>EEZ</x:v>
      </x:c>
      <x:c r="D77" s="30" t="n">
        <x:v>2019</x:v>
      </x:c>
      <x:c r="E77" s="24" t="str">
        <x:v>Tetraodontidae</x:v>
      </x:c>
      <x:c r="F77" s="24" t="str">
        <x:v>Puffers, tobies</x:v>
      </x:c>
      <x:c r="G77" s="24" t="str">
        <x:v>Large reef assoc. fish (&gt;=90 cm)</x:v>
      </x:c>
      <x:c r="H77" s="24" t="str">
        <x:v>Other fishes &amp; inverts</x:v>
      </x:c>
      <x:c r="I77" s="31" t="n">
        <x:v>4509.6486371956</x:v>
      </x:c>
      <x:c r="J77" s="31" t="n">
        <x:v>4496.111586676</x:v>
      </x:c>
      <x:c r="K77" s="31" t="n">
        <x:v>13.5370505196</x:v>
      </x:c>
      <x:c r="L77" s="31" t="n">
        <x:v>4484.0001304546</x:v>
      </x:c>
      <x:c r="M77" s="31" t="n">
        <x:v>25.648506741</x:v>
      </x:c>
      <x:c r="N77" s="24" t="str">
        <x:v>tetraodontidae</x:v>
      </x:c>
      <x:c r="O77" s="32" t="n">
        <x:v>3.5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Tetraodontidae</x:v>
      </x:c>
      <x:c r="T77" s="32" t="n">
        <x:f>IF(O77="","",(1/'Metadata'!$B$5)^(O77-1))</x:f>
        <x:v>316.22776601683796</x:v>
      </x:c>
      <x:c r="U77" s="31" t="n">
        <x:f>IF(T77="","",I77*T77)</x:f>
        <x:v>1426076.1140612424</x:v>
      </x:c>
    </x:row>
    <x:row r="78" ht="18" customHeight="1">
      <x:c r="A78" s="24" t="str">
        <x:v>EEZ_156</x:v>
      </x:c>
      <x:c r="B78" s="24" t="str">
        <x:v>China</x:v>
      </x:c>
      <x:c r="C78" s="24" t="str">
        <x:v>EEZ</x:v>
      </x:c>
      <x:c r="D78" s="30" t="n">
        <x:v>2019</x:v>
      </x:c>
      <x:c r="E78" s="24" t="str">
        <x:v>Echinoidea</x:v>
      </x:c>
      <x:c r="F78" s="24" t="str">
        <x:v>Sea urchins, sea hedgehogs</x:v>
      </x:c>
      <x:c r="G78" s="24" t="str">
        <x:v>Other demersal invertebrates</x:v>
      </x:c>
      <x:c r="H78" s="24" t="str">
        <x:v>Other fishes &amp; inverts</x:v>
      </x:c>
      <x:c r="I78" s="31" t="n">
        <x:v>3723.7934551471003</x:v>
      </x:c>
      <x:c r="J78" s="31" t="n">
        <x:v>3720.4676440969</x:v>
      </x:c>
      <x:c r="K78" s="31" t="n">
        <x:v>3.3258110502</x:v>
      </x:c>
      <x:c r="L78" s="31" t="n">
        <x:v>3720.0408375565003</x:v>
      </x:c>
      <x:c r="M78" s="31" t="n">
        <x:v>3.7526175906</x:v>
      </x:c>
      <x:c r="N78" s="24" t="str">
        <x:v>echinoidea</x:v>
      </x:c>
      <x:c r="O78" s="32" t="n">
        <x:v>2.51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Echinoidea</x:v>
      </x:c>
      <x:c r="T78" s="32" t="n">
        <x:f>IF(O78="","",(1/'Metadata'!$B$5)^(O78-1))</x:f>
        <x:v>32.35936569296281</x:v>
      </x:c>
      <x:c r="U78" s="31" t="n">
        <x:f>IF(T78="","",I78*T78)</x:f>
        <x:v>120499.59418016653</x:v>
      </x:c>
    </x:row>
    <x:row r="79" ht="18" customHeight="1">
      <x:c r="A79" s="24" t="str">
        <x:v>EEZ_156</x:v>
      </x:c>
      <x:c r="B79" s="24" t="str">
        <x:v>China</x:v>
      </x:c>
      <x:c r="C79" s="24" t="str">
        <x:v>EEZ</x:v>
      </x:c>
      <x:c r="D79" s="30" t="n">
        <x:v>2019</x:v>
      </x:c>
      <x:c r="E79" s="24" t="str">
        <x:v>Mollusca</x:v>
      </x:c>
      <x:c r="F79" s="24" t="str">
        <x:v>Clams, seasnails, squids, octopuses</x:v>
      </x:c>
      <x:c r="G79" s="24" t="str">
        <x:v>Other demersal invertebrates</x:v>
      </x:c>
      <x:c r="H79" s="24" t="str">
        <x:v>Molluscs</x:v>
      </x:c>
      <x:c r="I79" s="31" t="n">
        <x:v>3437.9393215815003</x:v>
      </x:c>
      <x:c r="J79" s="31" t="n">
        <x:v>2203.2733741286</x:v>
      </x:c>
      <x:c r="K79" s="31" t="n">
        <x:v>1234.6659474529001</x:v>
      </x:c>
      <x:c r="L79" s="31" t="n">
        <x:v>489.52633448899996</x:v>
      </x:c>
      <x:c r="M79" s="31" t="n">
        <x:v>2948.4129870925003</x:v>
      </x:c>
      <x:c r="N79" s="24" t="str">
        <x:v>mollusca</x:v>
      </x:c>
      <x:c r="O79" s="32" t="n">
        <x:v>2.1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Mollusca</x:v>
      </x:c>
      <x:c r="T79" s="32" t="n">
        <x:f>IF(O79="","",(1/'Metadata'!$B$5)^(O79-1))</x:f>
        <x:v>12.589254117941675</x:v>
      </x:c>
      <x:c r="U79" s="31" t="n">
        <x:f>IF(T79="","",I79*T79)</x:f>
        <x:v>43281.09176145351</x:v>
      </x:c>
    </x:row>
    <x:row r="80" ht="18" customHeight="1">
      <x:c r="A80" s="24" t="str">
        <x:v>EEZ_156</x:v>
      </x:c>
      <x:c r="B80" s="24" t="str">
        <x:v>China</x:v>
      </x:c>
      <x:c r="C80" s="24" t="str">
        <x:v>EEZ</x:v>
      </x:c>
      <x:c r="D80" s="30" t="n">
        <x:v>2019</x:v>
      </x:c>
      <x:c r="E80" s="24" t="str">
        <x:v>Scomberomorus commerson</x:v>
      </x:c>
      <x:c r="F80" s="24" t="str">
        <x:v>Narrow-barred Spanish mackerel</x:v>
      </x:c>
      <x:c r="G80" s="24" t="str">
        <x:v>Large pelagics (&gt;=90 cm)</x:v>
      </x:c>
      <x:c r="H80" s="24" t="str">
        <x:v>Perch-likes</x:v>
      </x:c>
      <x:c r="I80" s="31" t="n">
        <x:v>3342.0764701502</x:v>
      </x:c>
      <x:c r="J80" s="31" t="n">
        <x:v>3243.3406772825</x:v>
      </x:c>
      <x:c r="K80" s="31" t="n">
        <x:v>98.7357928677</x:v>
      </x:c>
      <x:c r="L80" s="31" t="n">
        <x:v>3233.7077809519</x:v>
      </x:c>
      <x:c r="M80" s="31" t="n">
        <x:v>108.36868919829999</x:v>
      </x:c>
      <x:c r="N80" s="24" t="str">
        <x:v>scomberomorus commerson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Scomberomorus commerson</x:v>
      </x:c>
      <x:c r="T80" s="32" t="n">
        <x:f>IF(O80="","",(1/'Metadata'!$B$5)^(O80-1))</x:f>
        <x:v>3162.2776601683795</x:v>
      </x:c>
      <x:c r="U80" s="31" t="n">
        <x:f>IF(T80="","",I80*T80)</x:f>
        <x:v>10568573.76013037</x:v>
      </x:c>
    </x:row>
    <x:row r="81" ht="18" customHeight="1">
      <x:c r="A81" s="24" t="str">
        <x:v>EEZ_156</x:v>
      </x:c>
      <x:c r="B81" s="24" t="str">
        <x:v>China</x:v>
      </x:c>
      <x:c r="C81" s="24" t="str">
        <x:v>EEZ</x:v>
      </x:c>
      <x:c r="D81" s="30" t="n">
        <x:v>2019</x:v>
      </x:c>
      <x:c r="E81" s="24" t="str">
        <x:v>Sphyraenidae</x:v>
      </x:c>
      <x:c r="F81" s="24" t="str">
        <x:v>Barracudas</x:v>
      </x:c>
      <x:c r="G81" s="24" t="str">
        <x:v>Medium reef assoc. fish (30 - 89 cm)</x:v>
      </x:c>
      <x:c r="H81" s="24" t="str">
        <x:v>Perch-likes</x:v>
      </x:c>
      <x:c r="I81" s="31" t="n">
        <x:v>3179.0005262215</x:v>
      </x:c>
      <x:c r="J81" s="31" t="n">
        <x:v>3175.4750568518</x:v>
      </x:c>
      <x:c r="K81" s="31" t="n">
        <x:v>3.5254693697</x:v>
      </x:c>
      <x:c r="L81" s="31" t="n">
        <x:v>3070.523883538</x:v>
      </x:c>
      <x:c r="M81" s="31" t="n">
        <x:v>108.4766426835</x:v>
      </x:c>
      <x:c r="N81" s="24" t="str">
        <x:v>sphyraenidae</x:v>
      </x:c>
      <x:c r="O81" s="32" t="n">
        <x:v>4.4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Sphyraenidae</x:v>
      </x:c>
      <x:c r="T81" s="32" t="n">
        <x:f>IF(O81="","",(1/'Metadata'!$B$5)^(O81-1))</x:f>
        <x:v>2511.886431509582</x:v>
      </x:c>
      <x:c r="U81" s="31" t="n">
        <x:f>IF(T81="","",I81*T81)</x:f>
        <x:v>7985288.287577607</x:v>
      </x:c>
    </x:row>
    <x:row r="82" ht="18" customHeight="1">
      <x:c r="A82" s="24" t="str">
        <x:v>EEZ_156</x:v>
      </x:c>
      <x:c r="B82" s="24" t="str">
        <x:v>China</x:v>
      </x:c>
      <x:c r="C82" s="24" t="str">
        <x:v>EEZ</x:v>
      </x:c>
      <x:c r="D82" s="30" t="n">
        <x:v>2019</x:v>
      </x:c>
      <x:c r="E82" s="24" t="str">
        <x:v>Turbo cornutus</x:v>
      </x:c>
      <x:c r="F82" s="24" t="str">
        <x:v>Horned turban</x:v>
      </x:c>
      <x:c r="G82" s="24" t="str">
        <x:v>Other demersal invertebrates</x:v>
      </x:c>
      <x:c r="H82" s="24" t="str">
        <x:v>Molluscs</x:v>
      </x:c>
      <x:c r="I82" s="31" t="n">
        <x:v>3140.6675433682003</x:v>
      </x:c>
      <x:c r="J82" s="31" t="n">
        <x:v>3137.0506714564003</x:v>
      </x:c>
      <x:c r="K82" s="31" t="n">
        <x:v>3.6168719118</x:v>
      </x:c>
      <x:c r="L82" s="31" t="n">
        <x:v>3128.9999036647</x:v>
      </x:c>
      <x:c r="M82" s="31" t="n">
        <x:v>11.6676397035</x:v>
      </x:c>
      <x:c r="N82" s="24" t="str">
        <x:v>turbo cornutus</x:v>
      </x:c>
      <x:c r="O82" s="32" t="n">
        <x:v>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Turbo cornutus</x:v>
      </x:c>
      <x:c r="T82" s="32" t="n">
        <x:f>IF(O82="","",(1/'Metadata'!$B$5)^(O82-1))</x:f>
        <x:v>10</x:v>
      </x:c>
      <x:c r="U82" s="31" t="n">
        <x:f>IF(T82="","",I82*T82)</x:f>
        <x:v>31406.675433682</x:v>
      </x:c>
    </x:row>
    <x:row r="83" ht="18" customHeight="1">
      <x:c r="A83" s="24" t="str">
        <x:v>EEZ_156</x:v>
      </x:c>
      <x:c r="B83" s="24" t="str">
        <x:v>China</x:v>
      </x:c>
      <x:c r="C83" s="24" t="str">
        <x:v>EEZ</x:v>
      </x:c>
      <x:c r="D83" s="30" t="n">
        <x:v>2019</x:v>
      </x:c>
      <x:c r="E83" s="24" t="str">
        <x:v>Penaeus japonicus</x:v>
      </x:c>
      <x:c r="F83" s="24" t="str">
        <x:v>Kuruma prawn</x:v>
      </x:c>
      <x:c r="G83" s="24" t="str">
        <x:v>Shrimps</x:v>
      </x:c>
      <x:c r="H83" s="24" t="str">
        <x:v>Crustaceans</x:v>
      </x:c>
      <x:c r="I83" s="31" t="n">
        <x:v>2970.8353324574</x:v>
      </x:c>
      <x:c r="J83" s="31" t="n">
        <x:v>2837.0063436027</x:v>
      </x:c>
      <x:c r="K83" s="31" t="n">
        <x:v>133.82898885470001</x:v>
      </x:c>
      <x:c r="L83" s="31" t="n">
        <x:v>2834.9535699469</x:v>
      </x:c>
      <x:c r="M83" s="31" t="n">
        <x:v>135.8817625105</x:v>
      </x:c>
      <x:c r="N83" s="24" t="str">
        <x:v>penaeus japonicus</x:v>
      </x:c>
      <x:c r="O83" s="32" t="n">
        <x:v>2.7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Penaeus japonicus</x:v>
      </x:c>
      <x:c r="T83" s="32" t="n">
        <x:f>IF(O83="","",(1/'Metadata'!$B$5)^(O83-1))</x:f>
        <x:v>50.11872336272725</x:v>
      </x:c>
      <x:c r="U83" s="31" t="n">
        <x:f>IF(T83="","",I83*T83)</x:f>
        <x:v>148894.47418364827</x:v>
      </x:c>
    </x:row>
    <x:row r="84" ht="18" customHeight="1">
      <x:c r="A84" s="24" t="str">
        <x:v>EEZ_156</x:v>
      </x:c>
      <x:c r="B84" s="24" t="str">
        <x:v>China</x:v>
      </x:c>
      <x:c r="C84" s="24" t="str">
        <x:v>EEZ</x:v>
      </x:c>
      <x:c r="D84" s="30" t="n">
        <x:v>2019</x:v>
      </x:c>
      <x:c r="E84" s="24" t="str">
        <x:v>Epinephelus coioides</x:v>
      </x:c>
      <x:c r="F84" s="24" t="str">
        <x:v>Orange-spotted grouper</x:v>
      </x:c>
      <x:c r="G84" s="24" t="str">
        <x:v>Large reef assoc. fish (&gt;=90 cm)</x:v>
      </x:c>
      <x:c r="H84" s="24" t="str">
        <x:v>Perch-likes</x:v>
      </x:c>
      <x:c r="I84" s="31" t="n">
        <x:v>2933.0825327704</x:v>
      </x:c>
      <x:c r="J84" s="31" t="n">
        <x:v>2933.0825327704</x:v>
      </x:c>
      <x:c r="K84" s="31" t="n">
        <x:v>0</x:v>
      </x:c>
      <x:c r="L84" s="31" t="n">
        <x:v>752.9834663103</x:v>
      </x:c>
      <x:c r="M84" s="31" t="n">
        <x:v>2180.0990664601</x:v>
      </x:c>
      <x:c r="N84" s="24" t="str">
        <x:v>epinephelus coioides</x:v>
      </x:c>
      <x:c r="O84" s="32" t="n">
        <x:v>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Epinephelus coioides</x:v>
      </x:c>
      <x:c r="T84" s="32" t="n">
        <x:f>IF(O84="","",(1/'Metadata'!$B$5)^(O84-1))</x:f>
        <x:v>1000</x:v>
      </x:c>
      <x:c r="U84" s="31" t="n">
        <x:f>IF(T84="","",I84*T84)</x:f>
        <x:v>2933082.5327704</x:v>
      </x:c>
    </x:row>
    <x:row r="85" ht="18" customHeight="1">
      <x:c r="A85" s="24" t="str">
        <x:v>EEZ_156</x:v>
      </x:c>
      <x:c r="B85" s="24" t="str">
        <x:v>China</x:v>
      </x:c>
      <x:c r="C85" s="24" t="str">
        <x:v>EEZ</x:v>
      </x:c>
      <x:c r="D85" s="30" t="n">
        <x:v>2019</x:v>
      </x:c>
      <x:c r="E85" s="24" t="str">
        <x:v>Priacanthus macracanthus</x:v>
      </x:c>
      <x:c r="F85" s="24" t="str">
        <x:v>Red bigeye</x:v>
      </x:c>
      <x:c r="G85" s="24" t="str">
        <x:v>Medium reef assoc. fish (30 - 89 cm)</x:v>
      </x:c>
      <x:c r="H85" s="24" t="str">
        <x:v>Perch-likes</x:v>
      </x:c>
      <x:c r="I85" s="31" t="n">
        <x:v>2800.6742366086</x:v>
      </x:c>
      <x:c r="J85" s="31" t="n">
        <x:v>2640.4773315914</x:v>
      </x:c>
      <x:c r="K85" s="31" t="n">
        <x:v>160.1969050172</x:v>
      </x:c>
      <x:c r="L85" s="31" t="n">
        <x:v>2635.01659715</x:v>
      </x:c>
      <x:c r="M85" s="31" t="n">
        <x:v>165.6576394586</x:v>
      </x:c>
      <x:c r="N85" s="24" t="str">
        <x:v>priacanthus macracanthus</x:v>
      </x:c>
      <x:c r="O85" s="32" t="n">
        <x:v>4.11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Priacanthus macracanthus</x:v>
      </x:c>
      <x:c r="T85" s="32" t="n">
        <x:f>IF(O85="","",(1/'Metadata'!$B$5)^(O85-1))</x:f>
        <x:v>1288.249551693135</x:v>
      </x:c>
      <x:c r="U85" s="31" t="n">
        <x:f>IF(T85="","",I85*T85)</x:f>
        <x:v>3607967.329749542</x:v>
      </x:c>
    </x:row>
    <x:row r="86" ht="18" customHeight="1">
      <x:c r="A86" s="24" t="str">
        <x:v>EEZ_156</x:v>
      </x:c>
      <x:c r="B86" s="24" t="str">
        <x:v>China</x:v>
      </x:c>
      <x:c r="C86" s="24" t="str">
        <x:v>EEZ</x:v>
      </x:c>
      <x:c r="D86" s="30" t="n">
        <x:v>2019</x:v>
      </x:c>
      <x:c r="E86" s="24" t="str">
        <x:v>Scyllaridae</x:v>
      </x:c>
      <x:c r="F86" s="24" t="str">
        <x:v>Slipper lobsters</x:v>
      </x:c>
      <x:c r="G86" s="24" t="str">
        <x:v>Lobsters, crabs</x:v>
      </x:c>
      <x:c r="H86" s="24" t="str">
        <x:v>Crustaceans</x:v>
      </x:c>
      <x:c r="I86" s="31" t="n">
        <x:v>2708.5195037181998</x:v>
      </x:c>
      <x:c r="J86" s="31" t="n">
        <x:v>2633.9693231511</x:v>
      </x:c>
      <x:c r="K86" s="31" t="n">
        <x:v>74.5501805671</x:v>
      </x:c>
      <x:c r="L86" s="31" t="n">
        <x:v>2633.9693231511</x:v>
      </x:c>
      <x:c r="M86" s="31" t="n">
        <x:v>74.5501805671</x:v>
      </x:c>
      <x:c r="N86" s="24" t="str">
        <x:v>scyllaridae</x:v>
      </x:c>
      <x:c r="O86" s="32" t="n">
        <x:v>2.87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Scyllaridae</x:v>
      </x:c>
      <x:c r="T86" s="32" t="n">
        <x:f>IF(O86="","",(1/'Metadata'!$B$5)^(O86-1))</x:f>
        <x:v>74.13102413009177</x:v>
      </x:c>
      <x:c r="U86" s="31" t="n">
        <x:f>IF(T86="","",I86*T86)</x:f>
        <x:v>200785.32468695808</x:v>
      </x:c>
    </x:row>
    <x:row r="87" ht="18" customHeight="1">
      <x:c r="A87" s="24" t="str">
        <x:v>EEZ_156</x:v>
      </x:c>
      <x:c r="B87" s="24" t="str">
        <x:v>China</x:v>
      </x:c>
      <x:c r="C87" s="24" t="str">
        <x:v>EEZ</x:v>
      </x:c>
      <x:c r="D87" s="30" t="n">
        <x:v>2019</x:v>
      </x:c>
      <x:c r="E87" s="24" t="str">
        <x:v>Pagrus major</x:v>
      </x:c>
      <x:c r="F87" s="24" t="str">
        <x:v>Japanese seabream</x:v>
      </x:c>
      <x:c r="G87" s="24" t="str">
        <x:v>Large demersals (&gt;=90 cm)</x:v>
      </x:c>
      <x:c r="H87" s="24" t="str">
        <x:v>Perch-likes</x:v>
      </x:c>
      <x:c r="I87" s="31" t="n">
        <x:v>2670.2135173441998</x:v>
      </x:c>
      <x:c r="J87" s="31" t="n">
        <x:v>2636.100278</x:v>
      </x:c>
      <x:c r="K87" s="31" t="n">
        <x:v>34.1132393442</x:v>
      </x:c>
      <x:c r="L87" s="31" t="n">
        <x:v>0</x:v>
      </x:c>
      <x:c r="M87" s="31" t="n">
        <x:v>2670.2135173441998</x:v>
      </x:c>
      <x:c r="N87" s="24" t="str">
        <x:v>pagrus major</x:v>
      </x:c>
      <x:c r="O87" s="32" t="n">
        <x:v>3.7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Pagrus major</x:v>
      </x:c>
      <x:c r="T87" s="32" t="n">
        <x:f>IF(O87="","",(1/'Metadata'!$B$5)^(O87-1))</x:f>
        <x:v>501.18723362727246</x:v>
      </x:c>
      <x:c r="U87" s="31" t="n">
        <x:f>IF(T87="","",I87*T87)</x:f>
        <x:v>1338276.9259518883</x:v>
      </x:c>
    </x:row>
    <x:row r="88" ht="18" customHeight="1">
      <x:c r="A88" s="24" t="str">
        <x:v>EEZ_156</x:v>
      </x:c>
      <x:c r="B88" s="24" t="str">
        <x:v>China</x:v>
      </x:c>
      <x:c r="C88" s="24" t="str">
        <x:v>EEZ</x:v>
      </x:c>
      <x:c r="D88" s="30" t="n">
        <x:v>2019</x:v>
      </x:c>
      <x:c r="E88" s="24" t="str">
        <x:v>Lateolabrax japonicus</x:v>
      </x:c>
      <x:c r="F88" s="24" t="str">
        <x:v>Japanese seabass</x:v>
      </x:c>
      <x:c r="G88" s="24" t="str">
        <x:v>Medium reef assoc. fish (30 - 89 cm)</x:v>
      </x:c>
      <x:c r="H88" s="24" t="str">
        <x:v>Perch-likes</x:v>
      </x:c>
      <x:c r="I88" s="31" t="n">
        <x:v>2646.2153027413</x:v>
      </x:c>
      <x:c r="J88" s="31" t="n">
        <x:v>2646.2153027413</x:v>
      </x:c>
      <x:c r="K88" s="31" t="n">
        <x:v>0</x:v>
      </x:c>
      <x:c r="L88" s="31" t="n">
        <x:v>7.009044051</x:v>
      </x:c>
      <x:c r="M88" s="31" t="n">
        <x:v>2639.2062586903</x:v>
      </x:c>
      <x:c r="N88" s="24" t="str">
        <x:v>lateolabrax japonicus</x:v>
      </x:c>
      <x:c r="O88" s="32" t="n">
        <x:v>3.36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Lateolabrax japonicus</x:v>
      </x:c>
      <x:c r="T88" s="32" t="n">
        <x:f>IF(O88="","",(1/'Metadata'!$B$5)^(O88-1))</x:f>
        <x:v>229.08676527677724</x:v>
      </x:c>
      <x:c r="U88" s="31" t="n">
        <x:f>IF(T88="","",I88*T88)</x:f>
        <x:v>606212.9039309123</x:v>
      </x:c>
    </x:row>
    <x:row r="89" ht="18" customHeight="1">
      <x:c r="A89" s="24" t="str">
        <x:v>EEZ_156</x:v>
      </x:c>
      <x:c r="B89" s="24" t="str">
        <x:v>China</x:v>
      </x:c>
      <x:c r="C89" s="24" t="str">
        <x:v>EEZ</x:v>
      </x:c>
      <x:c r="D89" s="30" t="n">
        <x:v>2019</x:v>
      </x:c>
      <x:c r="E89" s="24" t="str">
        <x:v>Epinephelus maculatus</x:v>
      </x:c>
      <x:c r="F89" s="24" t="str">
        <x:v>Highfin grouper</x:v>
      </x:c>
      <x:c r="G89" s="24" t="str">
        <x:v>Medium reef assoc. fish (30 - 89 cm)</x:v>
      </x:c>
      <x:c r="H89" s="24" t="str">
        <x:v>Perch-likes</x:v>
      </x:c>
      <x:c r="I89" s="31" t="n">
        <x:v>2636.100278</x:v>
      </x:c>
      <x:c r="J89" s="31" t="n">
        <x:v>2636.100278</x:v>
      </x:c>
      <x:c r="K89" s="31" t="n">
        <x:v>0</x:v>
      </x:c>
      <x:c r="L89" s="31" t="n">
        <x:v>0</x:v>
      </x:c>
      <x:c r="M89" s="31" t="n">
        <x:v>2636.100278</x:v>
      </x:c>
      <x:c r="N89" s="24" t="str">
        <x:v>epinephelus maculatus</x:v>
      </x:c>
      <x:c r="O89" s="32" t="n">
        <x:v>3.98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Epinephelus maculatus</x:v>
      </x:c>
      <x:c r="T89" s="32" t="n">
        <x:f>IF(O89="","",(1/'Metadata'!$B$5)^(O89-1))</x:f>
        <x:v>954.992586021436</x:v>
      </x:c>
      <x:c r="U89" s="31" t="n">
        <x:f>IF(T89="","",I89*T89)</x:f>
        <x:v>2517456.2214990463</x:v>
      </x:c>
    </x:row>
    <x:row r="90" ht="18" customHeight="1">
      <x:c r="A90" s="24" t="str">
        <x:v>EEZ_156</x:v>
      </x:c>
      <x:c r="B90" s="24" t="str">
        <x:v>China</x:v>
      </x:c>
      <x:c r="C90" s="24" t="str">
        <x:v>EEZ</x:v>
      </x:c>
      <x:c r="D90" s="30" t="n">
        <x:v>2019</x:v>
      </x:c>
      <x:c r="E90" s="24" t="str">
        <x:v>Sebastes</x:v>
      </x:c>
      <x:c r="F90" s="24" t="str">
        <x:v>Redfishes</x:v>
      </x:c>
      <x:c r="G90" s="24" t="str">
        <x:v>Large reef assoc. fish (&gt;=90 cm)</x:v>
      </x:c>
      <x:c r="H90" s="24" t="str">
        <x:v>Scorpionfishes</x:v>
      </x:c>
      <x:c r="I90" s="31" t="n">
        <x:v>2636.100278</x:v>
      </x:c>
      <x:c r="J90" s="31" t="n">
        <x:v>2636.100278</x:v>
      </x:c>
      <x:c r="K90" s="31" t="n">
        <x:v>0</x:v>
      </x:c>
      <x:c r="L90" s="31" t="n">
        <x:v>0</x:v>
      </x:c>
      <x:c r="M90" s="31" t="n">
        <x:v>2636.100278</x:v>
      </x:c>
      <x:c r="N90" s="24" t="str">
        <x:v>sebastes</x:v>
      </x:c>
      <x:c r="O90" s="32" t="n">
        <x:v>3.79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Sebastes</x:v>
      </x:c>
      <x:c r="T90" s="32" t="n">
        <x:f>IF(O90="","",(1/'Metadata'!$B$5)^(O90-1))</x:f>
        <x:v>616.5950018614822</x:v>
      </x:c>
      <x:c r="U90" s="31" t="n">
        <x:f>IF(T90="","",I90*T90)</x:f>
        <x:v>1625406.2558204636</x:v>
      </x:c>
    </x:row>
    <x:row r="91" ht="18" customHeight="1">
      <x:c r="A91" s="24" t="str">
        <x:v>EEZ_156</x:v>
      </x:c>
      <x:c r="B91" s="24" t="str">
        <x:v>China</x:v>
      </x:c>
      <x:c r="C91" s="24" t="str">
        <x:v>EEZ</x:v>
      </x:c>
      <x:c r="D91" s="30" t="n">
        <x:v>2019</x:v>
      </x:c>
      <x:c r="E91" s="24" t="str">
        <x:v>Portunus</x:v>
      </x:c>
      <x:c r="F91" s="24" t="str">
        <x:v>Swimmer crabs</x:v>
      </x:c>
      <x:c r="G91" s="24" t="str">
        <x:v>Lobsters, crabs</x:v>
      </x:c>
      <x:c r="H91" s="24" t="str">
        <x:v>Crustaceans</x:v>
      </x:c>
      <x:c r="I91" s="31" t="n">
        <x:v>2620.7249574</x:v>
      </x:c>
      <x:c r="J91" s="31" t="n">
        <x:v>2620.7249574</x:v>
      </x:c>
      <x:c r="K91" s="31" t="n">
        <x:v>0</x:v>
      </x:c>
      <x:c r="L91" s="31" t="n">
        <x:v>674.9192374</x:v>
      </x:c>
      <x:c r="M91" s="31" t="n">
        <x:v>1945.80572</x:v>
      </x:c>
      <x:c r="N91" s="24" t="str">
        <x:v>portunus</x:v>
      </x:c>
      <x:c r="O91" s="32" t="n">
        <x:v>3.26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Portunus</x:v>
      </x:c>
      <x:c r="T91" s="32" t="n">
        <x:f>IF(O91="","",(1/'Metadata'!$B$5)^(O91-1))</x:f>
        <x:v>181.97008586099827</x:v>
      </x:c>
      <x:c r="U91" s="31" t="n">
        <x:f>IF(T91="","",I91*T91)</x:f>
        <x:v>476893.5455161391</x:v>
      </x:c>
    </x:row>
    <x:row r="92" ht="18" customHeight="1">
      <x:c r="A92" s="24" t="str">
        <x:v>EEZ_156</x:v>
      </x:c>
      <x:c r="B92" s="24" t="str">
        <x:v>China</x:v>
      </x:c>
      <x:c r="C92" s="24" t="str">
        <x:v>EEZ</x:v>
      </x:c>
      <x:c r="D92" s="30" t="n">
        <x:v>2019</x:v>
      </x:c>
      <x:c r="E92" s="24" t="str">
        <x:v>Clupeidae</x:v>
      </x:c>
      <x:c r="F92" s="24" t="str">
        <x:v>Herrings, sardines, menhadens</x:v>
      </x:c>
      <x:c r="G92" s="24" t="str">
        <x:v>Small pelagics (&lt;30 cm)</x:v>
      </x:c>
      <x:c r="H92" s="24" t="str">
        <x:v>Herring-likes</x:v>
      </x:c>
      <x:c r="I92" s="31" t="n">
        <x:v>2509.6105058661</x:v>
      </x:c>
      <x:c r="J92" s="31" t="n">
        <x:v>2283.2230475915</x:v>
      </x:c>
      <x:c r="K92" s="31" t="n">
        <x:v>226.3874582746</x:v>
      </x:c>
      <x:c r="L92" s="31" t="n">
        <x:v>2274.6232972291</x:v>
      </x:c>
      <x:c r="M92" s="31" t="n">
        <x:v>234.98720863699998</x:v>
      </x:c>
      <x:c r="N92" s="24" t="str">
        <x:v>clupeidae</x:v>
      </x:c>
      <x:c r="O92" s="32" t="n">
        <x:v>3.16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Clupeidae</x:v>
      </x:c>
      <x:c r="T92" s="32" t="n">
        <x:f>IF(O92="","",(1/'Metadata'!$B$5)^(O92-1))</x:f>
        <x:v>144.5439770745928</x:v>
      </x:c>
      <x:c r="U92" s="31" t="n">
        <x:f>IF(T92="","",I92*T92)</x:f>
        <x:v>362749.0834260668</x:v>
      </x:c>
    </x:row>
    <x:row r="93" ht="18" customHeight="1">
      <x:c r="A93" s="24" t="str">
        <x:v>EEZ_156</x:v>
      </x:c>
      <x:c r="B93" s="24" t="str">
        <x:v>China</x:v>
      </x:c>
      <x:c r="C93" s="24" t="str">
        <x:v>EEZ</x:v>
      </x:c>
      <x:c r="D93" s="30" t="n">
        <x:v>2019</x:v>
      </x:c>
      <x:c r="E93" s="24" t="str">
        <x:v>Apostichopus japonicus</x:v>
      </x:c>
      <x:c r="F93" s="24" t="str">
        <x:v>Japanese sea cucumber</x:v>
      </x:c>
      <x:c r="G93" s="24" t="str">
        <x:v>Other demersal invertebrates</x:v>
      </x:c>
      <x:c r="H93" s="24" t="str">
        <x:v>Other fishes &amp; inverts</x:v>
      </x:c>
      <x:c r="I93" s="31" t="n">
        <x:v>2452.6796088643</x:v>
      </x:c>
      <x:c r="J93" s="31" t="n">
        <x:v>2449.3876193542</x:v>
      </x:c>
      <x:c r="K93" s="31" t="n">
        <x:v>3.2919895101</x:v>
      </x:c>
      <x:c r="L93" s="31" t="n">
        <x:v>2449.3876193542</x:v>
      </x:c>
      <x:c r="M93" s="31" t="n">
        <x:v>3.2919895101</x:v>
      </x:c>
      <x:c r="N93" s="24" t="str">
        <x:v>apostichopus japonicus</x:v>
      </x:c>
      <x:c r="O93" s="32" t="n">
        <x:v>2.3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Apostichopus japonicus</x:v>
      </x:c>
      <x:c r="T93" s="32" t="n">
        <x:f>IF(O93="","",(1/'Metadata'!$B$5)^(O93-1))</x:f>
        <x:v>19.952623149688787</x:v>
      </x:c>
      <x:c r="U93" s="31" t="n">
        <x:f>IF(T93="","",I93*T93)</x:f>
        <x:v>48937.391942595474</x:v>
      </x:c>
    </x:row>
    <x:row r="94" ht="18" customHeight="1">
      <x:c r="A94" s="24" t="str">
        <x:v>EEZ_156</x:v>
      </x:c>
      <x:c r="B94" s="24" t="str">
        <x:v>China</x:v>
      </x:c>
      <x:c r="C94" s="24" t="str">
        <x:v>EEZ</x:v>
      </x:c>
      <x:c r="D94" s="30" t="n">
        <x:v>2019</x:v>
      </x:c>
      <x:c r="E94" s="24" t="str">
        <x:v>Mytilus coruscus</x:v>
      </x:c>
      <x:c r="F94" s="24" t="str">
        <x:v>Korean mussel</x:v>
      </x:c>
      <x:c r="G94" s="24" t="str">
        <x:v>Other demersal invertebrates</x:v>
      </x:c>
      <x:c r="H94" s="24" t="str">
        <x:v>Molluscs</x:v>
      </x:c>
      <x:c r="I94" s="31" t="n">
        <x:v>2290.6677757877</x:v>
      </x:c>
      <x:c r="J94" s="31" t="n">
        <x:v>2281.2241696117</x:v>
      </x:c>
      <x:c r="K94" s="31" t="n">
        <x:v>9.443606176</x:v>
      </x:c>
      <x:c r="L94" s="31" t="n">
        <x:v>2281.2241696117</x:v>
      </x:c>
      <x:c r="M94" s="31" t="n">
        <x:v>9.443606176</x:v>
      </x:c>
      <x:c r="N94" s="24" t="str">
        <x:v>mytilus coruscus</x:v>
      </x:c>
      <x:c r="O94" s="32" t="n">
        <x:v>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Mytilus coruscus</x:v>
      </x:c>
      <x:c r="T94" s="32" t="n">
        <x:f>IF(O94="","",(1/'Metadata'!$B$5)^(O94-1))</x:f>
        <x:v>10</x:v>
      </x:c>
      <x:c r="U94" s="31" t="n">
        <x:f>IF(T94="","",I94*T94)</x:f>
        <x:v>22906.677757877</x:v>
      </x:c>
    </x:row>
    <x:row r="95" ht="18" customHeight="1">
      <x:c r="A95" s="24" t="str">
        <x:v>EEZ_156</x:v>
      </x:c>
      <x:c r="B95" s="24" t="str">
        <x:v>China</x:v>
      </x:c>
      <x:c r="C95" s="24" t="str">
        <x:v>EEZ</x:v>
      </x:c>
      <x:c r="D95" s="30" t="n">
        <x:v>2019</x:v>
      </x:c>
      <x:c r="E95" s="24" t="str">
        <x:v>Nemipterus virgatus</x:v>
      </x:c>
      <x:c r="F95" s="24" t="str">
        <x:v>Golden threadfin bream</x:v>
      </x:c>
      <x:c r="G95" s="24" t="str">
        <x:v>Medium demersals (30 - 89 cm)</x:v>
      </x:c>
      <x:c r="H95" s="24" t="str">
        <x:v>Perch-likes</x:v>
      </x:c>
      <x:c r="I95" s="31" t="n">
        <x:v>2247.1416954972</x:v>
      </x:c>
      <x:c r="J95" s="31" t="n">
        <x:v>2143.5098671109</x:v>
      </x:c>
      <x:c r="K95" s="31" t="n">
        <x:v>103.6318283863</x:v>
      </x:c>
      <x:c r="L95" s="31" t="n">
        <x:v>2142.3504388925003</x:v>
      </x:c>
      <x:c r="M95" s="31" t="n">
        <x:v>104.7912566047</x:v>
      </x:c>
      <x:c r="N95" s="24" t="str">
        <x:v>nemipterus virgatus</x:v>
      </x:c>
      <x:c r="O95" s="32" t="n">
        <x:v>3.99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Nemipterus virgatus</x:v>
      </x:c>
      <x:c r="T95" s="32" t="n">
        <x:f>IF(O95="","",(1/'Metadata'!$B$5)^(O95-1))</x:f>
        <x:v>977.2372209558112</x:v>
      </x:c>
      <x:c r="U95" s="31" t="n">
        <x:f>IF(T95="","",I95*T95)</x:f>
        <x:v>2195990.5056016133</x:v>
      </x:c>
    </x:row>
    <x:row r="96" ht="18" customHeight="1">
      <x:c r="A96" s="24" t="str">
        <x:v>EEZ_156</x:v>
      </x:c>
      <x:c r="B96" s="24" t="str">
        <x:v>China</x:v>
      </x:c>
      <x:c r="C96" s="24" t="str">
        <x:v>EEZ</x:v>
      </x:c>
      <x:c r="D96" s="30" t="n">
        <x:v>2019</x:v>
      </x:c>
      <x:c r="E96" s="24" t="str">
        <x:v>Thunnus albacares</x:v>
      </x:c>
      <x:c r="F96" s="24" t="str">
        <x:v>Yellowfin tuna</x:v>
      </x:c>
      <x:c r="G96" s="24" t="str">
        <x:v>Large pelagics (&gt;=90 cm)</x:v>
      </x:c>
      <x:c r="H96" s="24" t="str">
        <x:v>Tuna &amp; billfishes</x:v>
      </x:c>
      <x:c r="I96" s="31" t="n">
        <x:v>2236.9215314166</x:v>
      </x:c>
      <x:c r="J96" s="31" t="n">
        <x:v>2234.6245660874</x:v>
      </x:c>
      <x:c r="K96" s="31" t="n">
        <x:v>2.2969653292</x:v>
      </x:c>
      <x:c r="L96" s="31" t="n">
        <x:v>2234.6245660874</x:v>
      </x:c>
      <x:c r="M96" s="31" t="n">
        <x:v>2.2969653292</x:v>
      </x:c>
      <x:c r="N96" s="24" t="str">
        <x:v>thunnus albacares</x:v>
      </x:c>
      <x:c r="O96" s="32" t="n">
        <x:v>4.41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Thunnus albacares</x:v>
      </x:c>
      <x:c r="T96" s="32" t="n">
        <x:f>IF(O96="","",(1/'Metadata'!$B$5)^(O96-1))</x:f>
        <x:v>2570.3957827688646</x:v>
      </x:c>
      <x:c r="U96" s="31" t="n">
        <x:f>IF(T96="","",I96*T96)</x:f>
        <x:v>5749773.670738098</x:v>
      </x:c>
    </x:row>
    <x:row r="97" ht="18" customHeight="1">
      <x:c r="A97" s="24" t="str">
        <x:v>EEZ_156</x:v>
      </x:c>
      <x:c r="B97" s="24" t="str">
        <x:v>China</x:v>
      </x:c>
      <x:c r="C97" s="24" t="str">
        <x:v>EEZ</x:v>
      </x:c>
      <x:c r="D97" s="30" t="n">
        <x:v>2019</x:v>
      </x:c>
      <x:c r="E97" s="24" t="str">
        <x:v>Saurida tumbil</x:v>
      </x:c>
      <x:c r="F97" s="24" t="str">
        <x:v>Greater lizardfish</x:v>
      </x:c>
      <x:c r="G97" s="24" t="str">
        <x:v>Medium demersals (30 - 89 cm)</x:v>
      </x:c>
      <x:c r="H97" s="24" t="str">
        <x:v>Other fishes &amp; inverts</x:v>
      </x:c>
      <x:c r="I97" s="31" t="n">
        <x:v>2166.3607439468997</x:v>
      </x:c>
      <x:c r="J97" s="31" t="n">
        <x:v>2156.6595683752</x:v>
      </x:c>
      <x:c r="K97" s="31" t="n">
        <x:v>9.701175571699999</x:v>
      </x:c>
      <x:c r="L97" s="31" t="n">
        <x:v>2154.6450874949</x:v>
      </x:c>
      <x:c r="M97" s="31" t="n">
        <x:v>11.715656452</x:v>
      </x:c>
      <x:c r="N97" s="24" t="str">
        <x:v>saurida tumbil</x:v>
      </x:c>
      <x:c r="O97" s="32" t="n">
        <x:v>4.4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Saurida tumbil</x:v>
      </x:c>
      <x:c r="T97" s="32" t="n">
        <x:f>IF(O97="","",(1/'Metadata'!$B$5)^(O97-1))</x:f>
        <x:v>2511.886431509582</x:v>
      </x:c>
      <x:c r="U97" s="31" t="n">
        <x:f>IF(T97="","",I97*T97)</x:f>
        <x:v>5441652.158475221</x:v>
      </x:c>
    </x:row>
    <x:row r="98" ht="18" customHeight="1">
      <x:c r="A98" s="24" t="str">
        <x:v>EEZ_156</x:v>
      </x:c>
      <x:c r="B98" s="24" t="str">
        <x:v>China</x:v>
      </x:c>
      <x:c r="C98" s="24" t="str">
        <x:v>EEZ</x:v>
      </x:c>
      <x:c r="D98" s="30" t="n">
        <x:v>2019</x:v>
      </x:c>
      <x:c r="E98" s="24" t="str">
        <x:v>Platycephalus indicus</x:v>
      </x:c>
      <x:c r="F98" s="24" t="str">
        <x:v>Bartail flathead</x:v>
      </x:c>
      <x:c r="G98" s="24" t="str">
        <x:v>Medium demersals (30 - 89 cm)</x:v>
      </x:c>
      <x:c r="H98" s="24" t="str">
        <x:v>Scorpionfishes</x:v>
      </x:c>
      <x:c r="I98" s="31" t="n">
        <x:v>2070.4907920977</x:v>
      </x:c>
      <x:c r="J98" s="31" t="n">
        <x:v>2034.342541393</x:v>
      </x:c>
      <x:c r="K98" s="31" t="n">
        <x:v>36.148250704700004</x:v>
      </x:c>
      <x:c r="L98" s="31" t="n">
        <x:v>2031.7399554043</x:v>
      </x:c>
      <x:c r="M98" s="31" t="n">
        <x:v>38.750836693400004</x:v>
      </x:c>
      <x:c r="N98" s="24" t="str">
        <x:v>platycephalus indicus</x:v>
      </x:c>
      <x:c r="O98" s="32" t="n">
        <x:v>3.6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Platycephalus indicus</x:v>
      </x:c>
      <x:c r="T98" s="32" t="n">
        <x:f>IF(O98="","",(1/'Metadata'!$B$5)^(O98-1))</x:f>
        <x:v>398.1071705534973</x:v>
      </x:c>
      <x:c r="U98" s="31" t="n">
        <x:f>IF(T98="","",I98*T98)</x:f>
        <x:v>824277.2308990847</x:v>
      </x:c>
    </x:row>
    <x:row r="99" ht="18" customHeight="1">
      <x:c r="A99" s="24" t="str">
        <x:v>EEZ_156</x:v>
      </x:c>
      <x:c r="B99" s="24" t="str">
        <x:v>China</x:v>
      </x:c>
      <x:c r="C99" s="24" t="str">
        <x:v>EEZ</x:v>
      </x:c>
      <x:c r="D99" s="30" t="n">
        <x:v>2019</x:v>
      </x:c>
      <x:c r="E99" s="24" t="str">
        <x:v>Chelidonichthys kumu</x:v>
      </x:c>
      <x:c r="F99" s="24" t="str">
        <x:v>Bluefin gurnard</x:v>
      </x:c>
      <x:c r="G99" s="24" t="str">
        <x:v>Medium demersals (30 - 89 cm)</x:v>
      </x:c>
      <x:c r="H99" s="24" t="str">
        <x:v>Scorpionfishes</x:v>
      </x:c>
      <x:c r="I99" s="31" t="n">
        <x:v>1834.5200146662</x:v>
      </x:c>
      <x:c r="J99" s="31" t="n">
        <x:v>1824.5468713871</x:v>
      </x:c>
      <x:c r="K99" s="31" t="n">
        <x:v>9.9731432791</x:v>
      </x:c>
      <x:c r="L99" s="31" t="n">
        <x:v>1816.8332133794</x:v>
      </x:c>
      <x:c r="M99" s="31" t="n">
        <x:v>17.6868012868</x:v>
      </x:c>
      <x:c r="N99" s="24" t="str">
        <x:v>chelidonichthys kumu</x:v>
      </x:c>
      <x:c r="O99" s="32" t="n">
        <x:v>3.68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Chelidonichthys kumu</x:v>
      </x:c>
      <x:c r="T99" s="32" t="n">
        <x:f>IF(O99="","",(1/'Metadata'!$B$5)^(O99-1))</x:f>
        <x:v>478.6300923226385</x:v>
      </x:c>
      <x:c r="U99" s="31" t="n">
        <x:f>IF(T99="","",I99*T99)</x:f>
        <x:v>878056.4839874115</x:v>
      </x:c>
    </x:row>
    <x:row r="100" ht="18" customHeight="1">
      <x:c r="A100" s="24" t="str">
        <x:v>EEZ_156</x:v>
      </x:c>
      <x:c r="B100" s="24" t="str">
        <x:v>China</x:v>
      </x:c>
      <x:c r="C100" s="24" t="str">
        <x:v>EEZ</x:v>
      </x:c>
      <x:c r="D100" s="30" t="n">
        <x:v>2019</x:v>
      </x:c>
      <x:c r="E100" s="24" t="str">
        <x:v>Serranidae</x:v>
      </x:c>
      <x:c r="F100" s="24" t="str">
        <x:v>Basses, groupers, hinds</x:v>
      </x:c>
      <x:c r="G100" s="24" t="str">
        <x:v>Medium reef assoc. fish (30 - 89 cm)</x:v>
      </x:c>
      <x:c r="H100" s="24" t="str">
        <x:v>Perch-likes</x:v>
      </x:c>
      <x:c r="I100" s="31" t="n">
        <x:v>1691.2160011168</x:v>
      </x:c>
      <x:c r="J100" s="31" t="n">
        <x:v>1674.294113985</x:v>
      </x:c>
      <x:c r="K100" s="31" t="n">
        <x:v>16.921887131800002</x:v>
      </x:c>
      <x:c r="L100" s="31" t="n">
        <x:v>1665.8176649419</x:v>
      </x:c>
      <x:c r="M100" s="31" t="n">
        <x:v>25.3983361749</x:v>
      </x:c>
      <x:c r="N100" s="24" t="str">
        <x:v>serranidae</x:v>
      </x:c>
      <x:c r="O100" s="32" t="n">
        <x:v>3.98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Serranidae</x:v>
      </x:c>
      <x:c r="T100" s="32" t="n">
        <x:f>IF(O100="","",(1/'Metadata'!$B$5)^(O100-1))</x:f>
        <x:v>954.992586021436</x:v>
      </x:c>
      <x:c r="U100" s="31" t="n">
        <x:f>IF(T100="","",I100*T100)</x:f>
        <x:v>1615098.7424273647</x:v>
      </x:c>
    </x:row>
    <x:row r="101" ht="18" customHeight="1">
      <x:c r="A101" s="24" t="str">
        <x:v>EEZ_156</x:v>
      </x:c>
      <x:c r="B101" s="24" t="str">
        <x:v>China</x:v>
      </x:c>
      <x:c r="C101" s="24" t="str">
        <x:v>EEZ</x:v>
      </x:c>
      <x:c r="D101" s="30" t="n">
        <x:v>2019</x:v>
      </x:c>
      <x:c r="E101" s="24" t="str">
        <x:v>Gobiidae</x:v>
      </x:c>
      <x:c r="F101" s="24" t="str">
        <x:v>Gobies</x:v>
      </x:c>
      <x:c r="G101" s="24" t="str">
        <x:v>Small reef assoc. fish (&lt;30 cm)</x:v>
      </x:c>
      <x:c r="H101" s="24" t="str">
        <x:v>Perch-likes</x:v>
      </x:c>
      <x:c r="I101" s="31" t="n">
        <x:v>1624.7529706802</x:v>
      </x:c>
      <x:c r="J101" s="31" t="n">
        <x:v>1623.0940742487</x:v>
      </x:c>
      <x:c r="K101" s="31" t="n">
        <x:v>1.6588964314999999</x:v>
      </x:c>
      <x:c r="L101" s="31" t="n">
        <x:v>1617.435002051</x:v>
      </x:c>
      <x:c r="M101" s="31" t="n">
        <x:v>7.317968629199999</x:v>
      </x:c>
      <x:c r="N101" s="24" t="str">
        <x:v>gobiidae</x:v>
      </x:c>
      <x:c r="O101" s="32" t="n">
        <x:v>3.11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Gobiidae</x:v>
      </x:c>
      <x:c r="T101" s="32" t="n">
        <x:f>IF(O101="","",(1/'Metadata'!$B$5)^(O101-1))</x:f>
        <x:v>128.82495516931337</x:v>
      </x:c>
      <x:c r="U101" s="31" t="n">
        <x:f>IF(T101="","",I101*T101)</x:f>
        <x:v>209308.7286090855</x:v>
      </x:c>
    </x:row>
    <x:row r="102" ht="18" customHeight="1">
      <x:c r="A102" s="24" t="str">
        <x:v>EEZ_156</x:v>
      </x:c>
      <x:c r="B102" s="24" t="str">
        <x:v>China</x:v>
      </x:c>
      <x:c r="C102" s="24" t="str">
        <x:v>EEZ</x:v>
      </x:c>
      <x:c r="D102" s="30" t="n">
        <x:v>2019</x:v>
      </x:c>
      <x:c r="E102" s="24" t="str">
        <x:v>Stephanolepis cirrhifer</x:v>
      </x:c>
      <x:c r="F102" s="24" t="str">
        <x:v>Threadsail filefish</x:v>
      </x:c>
      <x:c r="G102" s="24" t="str">
        <x:v>Small demersals (&lt;30 cm)</x:v>
      </x:c>
      <x:c r="H102" s="24" t="str">
        <x:v>Other fishes &amp; inverts</x:v>
      </x:c>
      <x:c r="I102" s="31" t="n">
        <x:v>1519.0751996964</x:v>
      </x:c>
      <x:c r="J102" s="31" t="n">
        <x:v>1504.3471938893</x:v>
      </x:c>
      <x:c r="K102" s="31" t="n">
        <x:v>14.7280058071</x:v>
      </x:c>
      <x:c r="L102" s="31" t="n">
        <x:v>1504.3471938893</x:v>
      </x:c>
      <x:c r="M102" s="31" t="n">
        <x:v>14.7280058071</x:v>
      </x:c>
      <x:c r="N102" s="24" t="str">
        <x:v>stephanolepis cirrhifer</x:v>
      </x:c>
      <x:c r="O102" s="32" t="n">
        <x:v>2.84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Stephanolepis cirrhifer</x:v>
      </x:c>
      <x:c r="T102" s="32" t="n">
        <x:f>IF(O102="","",(1/'Metadata'!$B$5)^(O102-1))</x:f>
        <x:v>69.18309709189363</x:v>
      </x:c>
      <x:c r="U102" s="31" t="n">
        <x:f>IF(T102="","",I102*T102)</x:f>
        <x:v>105094.32703048375</x:v>
      </x:c>
    </x:row>
    <x:row r="103" ht="18" customHeight="1">
      <x:c r="A103" s="24" t="str">
        <x:v>EEZ_156</x:v>
      </x:c>
      <x:c r="B103" s="24" t="str">
        <x:v>China</x:v>
      </x:c>
      <x:c r="C103" s="24" t="str">
        <x:v>EEZ</x:v>
      </x:c>
      <x:c r="D103" s="30" t="n">
        <x:v>2019</x:v>
      </x:c>
      <x:c r="E103" s="24" t="str">
        <x:v>Sepia</x:v>
      </x:c>
      <x:c r="F103" s="24" t="str">
        <x:v>Sepia cuttlefishes</x:v>
      </x:c>
      <x:c r="G103" s="24" t="str">
        <x:v>Cephalopods</x:v>
      </x:c>
      <x:c r="H103" s="24" t="str">
        <x:v>Other fishes &amp; inverts</x:v>
      </x:c>
      <x:c r="I103" s="31" t="n">
        <x:v>1373.9382419001001</x:v>
      </x:c>
      <x:c r="J103" s="31" t="n">
        <x:v>1373.9382419001001</x:v>
      </x:c>
      <x:c r="K103" s="31" t="n">
        <x:v>0</x:v>
      </x:c>
      <x:c r="L103" s="31" t="n">
        <x:v>356.5586779001</x:v>
      </x:c>
      <x:c r="M103" s="31" t="n">
        <x:v>1017.379564</x:v>
      </x:c>
      <x:c r="N103" s="24" t="str">
        <x:v>sepia</x:v>
      </x:c>
      <x:c r="O103" s="32" t="n">
        <x:v>3.69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Sepia</x:v>
      </x:c>
      <x:c r="T103" s="32" t="n">
        <x:f>IF(O103="","",(1/'Metadata'!$B$5)^(O103-1))</x:f>
        <x:v>489.77881936844614</x:v>
      </x:c>
      <x:c r="U103" s="31" t="n">
        <x:f>IF(T103="","",I103*T103)</x:f>
        <x:v>672925.8500029896</x:v>
      </x:c>
    </x:row>
    <x:row r="104" ht="18" customHeight="1">
      <x:c r="A104" s="24" t="str">
        <x:v>EEZ_156</x:v>
      </x:c>
      <x:c r="B104" s="24" t="str">
        <x:v>China</x:v>
      </x:c>
      <x:c r="C104" s="24" t="str">
        <x:v>EEZ</x:v>
      </x:c>
      <x:c r="D104" s="30" t="n">
        <x:v>2019</x:v>
      </x:c>
      <x:c r="E104" s="24" t="str">
        <x:v>Metapenaeus joyneri</x:v>
      </x:c>
      <x:c r="F104" s="24" t="str">
        <x:v>Shiba shrimp</x:v>
      </x:c>
      <x:c r="G104" s="24" t="str">
        <x:v>Shrimps</x:v>
      </x:c>
      <x:c r="H104" s="24" t="str">
        <x:v>Crustaceans</x:v>
      </x:c>
      <x:c r="I104" s="31" t="n">
        <x:v>1349.3819510357</x:v>
      </x:c>
      <x:c r="J104" s="31" t="n">
        <x:v>1346.6185957019</x:v>
      </x:c>
      <x:c r="K104" s="31" t="n">
        <x:v>2.7633553338</x:v>
      </x:c>
      <x:c r="L104" s="31" t="n">
        <x:v>1340.55340684</x:v>
      </x:c>
      <x:c r="M104" s="31" t="n">
        <x:v>8.828544195700001</x:v>
      </x:c>
      <x:c r="N104" s="24" t="str">
        <x:v>metapenaeus joyneri</x:v>
      </x:c>
      <x:c r="O104" s="32" t="n">
        <x:v>3.2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Metapenaeus joyneri</x:v>
      </x:c>
      <x:c r="T104" s="32" t="n">
        <x:f>IF(O104="","",(1/'Metadata'!$B$5)^(O104-1))</x:f>
        <x:v>158.48931924611142</x:v>
      </x:c>
      <x:c r="U104" s="31" t="n">
        <x:f>IF(T104="","",I104*T104)</x:f>
        <x:v>213862.62682263774</x:v>
      </x:c>
    </x:row>
    <x:row r="105" ht="18" customHeight="1">
      <x:c r="A105" s="24" t="str">
        <x:v>EEZ_156</x:v>
      </x:c>
      <x:c r="B105" s="24" t="str">
        <x:v>China</x:v>
      </x:c>
      <x:c r="C105" s="24" t="str">
        <x:v>EEZ</x:v>
      </x:c>
      <x:c r="D105" s="30" t="n">
        <x:v>2019</x:v>
      </x:c>
      <x:c r="E105" s="24" t="str">
        <x:v>Mullidae</x:v>
      </x:c>
      <x:c r="F105" s="24" t="str">
        <x:v>Goatfishes</x:v>
      </x:c>
      <x:c r="G105" s="24" t="str">
        <x:v>Medium reef assoc. fish (30 - 89 cm)</x:v>
      </x:c>
      <x:c r="H105" s="24" t="str">
        <x:v>Perch-likes</x:v>
      </x:c>
      <x:c r="I105" s="31" t="n">
        <x:v>1183.1902390214</x:v>
      </x:c>
      <x:c r="J105" s="31" t="n">
        <x:v>1182.6340164749001</x:v>
      </x:c>
      <x:c r="K105" s="31" t="n">
        <x:v>0.5562225465</x:v>
      </x:c>
      <x:c r="L105" s="31" t="n">
        <x:v>399.8088125374</x:v>
      </x:c>
      <x:c r="M105" s="31" t="n">
        <x:v>783.381426484</x:v>
      </x:c>
      <x:c r="N105" s="24" t="str">
        <x:v>mullidae</x:v>
      </x:c>
      <x:c r="O105" s="32" t="n">
        <x:v>3.46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Mullidae</x:v>
      </x:c>
      <x:c r="T105" s="32" t="n">
        <x:f>IF(O105="","",(1/'Metadata'!$B$5)^(O105-1))</x:f>
        <x:v>288.40315031266056</x:v>
      </x:c>
      <x:c r="U105" s="31" t="n">
        <x:f>IF(T105="","",I105*T105)</x:f>
        <x:v>341235.7923529616</x:v>
      </x:c>
    </x:row>
    <x:row r="106" ht="18" customHeight="1">
      <x:c r="A106" s="24" t="str">
        <x:v>EEZ_156</x:v>
      </x:c>
      <x:c r="B106" s="24" t="str">
        <x:v>China</x:v>
      </x:c>
      <x:c r="C106" s="24" t="str">
        <x:v>EEZ</x:v>
      </x:c>
      <x:c r="D106" s="30" t="n">
        <x:v>2019</x:v>
      </x:c>
      <x:c r="E106" s="24" t="str">
        <x:v>Parastromateus niger</x:v>
      </x:c>
      <x:c r="F106" s="24" t="str">
        <x:v>Black pomfret</x:v>
      </x:c>
      <x:c r="G106" s="24" t="str">
        <x:v>Medium benthopelagics (30 - 89 cm)</x:v>
      </x:c>
      <x:c r="H106" s="24" t="str">
        <x:v>Perch-likes</x:v>
      </x:c>
      <x:c r="I106" s="31" t="n">
        <x:v>1171.8073487963</x:v>
      </x:c>
      <x:c r="J106" s="31" t="n">
        <x:v>839.3287951364</x:v>
      </x:c>
      <x:c r="K106" s="31" t="n">
        <x:v>332.4785536599</x:v>
      </x:c>
      <x:c r="L106" s="31" t="n">
        <x:v>839.3287951364</x:v>
      </x:c>
      <x:c r="M106" s="31" t="n">
        <x:v>332.4785536599</x:v>
      </x:c>
      <x:c r="N106" s="24" t="str">
        <x:v>parastromateus niger</x:v>
      </x:c>
      <x:c r="O106" s="32" t="n">
        <x:v>2.93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Parastromateus niger</x:v>
      </x:c>
      <x:c r="T106" s="32" t="n">
        <x:f>IF(O106="","",(1/'Metadata'!$B$5)^(O106-1))</x:f>
        <x:v>85.11380382023768</x:v>
      </x:c>
      <x:c r="U106" s="31" t="n">
        <x:f>IF(T106="","",I106*T106)</x:f>
        <x:v>99736.9808005611</x:v>
      </x:c>
    </x:row>
    <x:row r="107" ht="18" customHeight="1">
      <x:c r="A107" s="24" t="str">
        <x:v>EEZ_156</x:v>
      </x:c>
      <x:c r="B107" s="24" t="str">
        <x:v>China</x:v>
      </x:c>
      <x:c r="C107" s="24" t="str">
        <x:v>EEZ</x:v>
      </x:c>
      <x:c r="D107" s="30" t="n">
        <x:v>2019</x:v>
      </x:c>
      <x:c r="E107" s="24" t="str">
        <x:v>Megalaspis cordyla</x:v>
      </x:c>
      <x:c r="F107" s="24" t="str">
        <x:v>Torpedo scad</x:v>
      </x:c>
      <x:c r="G107" s="24" t="str">
        <x:v>Medium pelagics (30 - 89 cm)</x:v>
      </x:c>
      <x:c r="H107" s="24" t="str">
        <x:v>Perch-likes</x:v>
      </x:c>
      <x:c r="I107" s="31" t="n">
        <x:v>1133.8579563901</x:v>
      </x:c>
      <x:c r="J107" s="31" t="n">
        <x:v>1133.2281161565</x:v>
      </x:c>
      <x:c r="K107" s="31" t="n">
        <x:v>0.6298402336</x:v>
      </x:c>
      <x:c r="L107" s="31" t="n">
        <x:v>1022.9307949196</x:v>
      </x:c>
      <x:c r="M107" s="31" t="n">
        <x:v>110.92716147050001</x:v>
      </x:c>
      <x:c r="N107" s="24" t="str">
        <x:v>megalaspis cordyla</x:v>
      </x:c>
      <x:c r="O107" s="32" t="n">
        <x:v>4.24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Megalaspis cordyla</x:v>
      </x:c>
      <x:c r="T107" s="32" t="n">
        <x:f>IF(O107="","",(1/'Metadata'!$B$5)^(O107-1))</x:f>
        <x:v>1737.8008287493763</x:v>
      </x:c>
      <x:c r="U107" s="31" t="n">
        <x:f>IF(T107="","",I107*T107)</x:f>
        <x:v>1970419.29629879</x:v>
      </x:c>
    </x:row>
    <x:row r="108" ht="18" customHeight="1">
      <x:c r="A108" s="24" t="str">
        <x:v>EEZ_156</x:v>
      </x:c>
      <x:c r="B108" s="24" t="str">
        <x:v>China</x:v>
      </x:c>
      <x:c r="C108" s="24" t="str">
        <x:v>EEZ</x:v>
      </x:c>
      <x:c r="D108" s="30" t="n">
        <x:v>2019</x:v>
      </x:c>
      <x:c r="E108" s="24" t="str">
        <x:v>Atrobucca nibe</x:v>
      </x:c>
      <x:c r="F108" s="24" t="str">
        <x:v>Blackmouth croaker</x:v>
      </x:c>
      <x:c r="G108" s="24" t="str">
        <x:v>Medium demersals (30 - 89 cm)</x:v>
      </x:c>
      <x:c r="H108" s="24" t="str">
        <x:v>Perch-likes</x:v>
      </x:c>
      <x:c r="I108" s="31" t="n">
        <x:v>1123.2338492047</x:v>
      </x:c>
      <x:c r="J108" s="31" t="n">
        <x:v>1011.9049299907</x:v>
      </x:c>
      <x:c r="K108" s="31" t="n">
        <x:v>111.328919214</x:v>
      </x:c>
      <x:c r="L108" s="31" t="n">
        <x:v>929.7337685474</x:v>
      </x:c>
      <x:c r="M108" s="31" t="n">
        <x:v>193.5000806573</x:v>
      </x:c>
      <x:c r="N108" s="24" t="str">
        <x:v>atrobucca nibe</x:v>
      </x:c>
      <x:c r="O108" s="32" t="n">
        <x:v>3.03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Atrobucca nibe</x:v>
      </x:c>
      <x:c r="T108" s="32" t="n">
        <x:f>IF(O108="","",(1/'Metadata'!$B$5)^(O108-1))</x:f>
        <x:v>107.1519305237606</x:v>
      </x:c>
      <x:c r="U108" s="31" t="n">
        <x:f>IF(T108="","",I108*T108)</x:f>
        <x:v>120356.6753719182</x:v>
      </x:c>
    </x:row>
    <x:row r="109" ht="18" customHeight="1">
      <x:c r="A109" s="24" t="str">
        <x:v>EEZ_156</x:v>
      </x:c>
      <x:c r="B109" s="24" t="str">
        <x:v>China</x:v>
      </x:c>
      <x:c r="C109" s="24" t="str">
        <x:v>EEZ</x:v>
      </x:c>
      <x:c r="D109" s="30" t="n">
        <x:v>2019</x:v>
      </x:c>
      <x:c r="E109" s="24" t="str">
        <x:v>Sardinella zunasi</x:v>
      </x:c>
      <x:c r="F109" s="24" t="str">
        <x:v>Japanese sardinella</x:v>
      </x:c>
      <x:c r="G109" s="24" t="str">
        <x:v>Small pelagics (&lt;30 cm)</x:v>
      </x:c>
      <x:c r="H109" s="24" t="str">
        <x:v>Herring-likes</x:v>
      </x:c>
      <x:c r="I109" s="31" t="n">
        <x:v>1042.9572394299</x:v>
      </x:c>
      <x:c r="J109" s="31" t="n">
        <x:v>1035.3834419107</x:v>
      </x:c>
      <x:c r="K109" s="31" t="n">
        <x:v>7.5737975192</x:v>
      </x:c>
      <x:c r="L109" s="31" t="n">
        <x:v>1035.0373358324</x:v>
      </x:c>
      <x:c r="M109" s="31" t="n">
        <x:v>7.9199035975</x:v>
      </x:c>
      <x:c r="N109" s="24" t="str">
        <x:v>sardinella zunasi</x:v>
      </x:c>
      <x:c r="O109" s="32" t="n">
        <x:v>3.12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Sardinella zunasi</x:v>
      </x:c>
      <x:c r="T109" s="32" t="n">
        <x:f>IF(O109="","",(1/'Metadata'!$B$5)^(O109-1))</x:f>
        <x:v>131.82567385564073</x:v>
      </x:c>
      <x:c r="U109" s="31" t="n">
        <x:f>IF(T109="","",I109*T109)</x:f>
        <x:v>137488.5408904654</x:v>
      </x:c>
    </x:row>
    <x:row r="110" ht="18" customHeight="1">
      <x:c r="A110" s="24" t="str">
        <x:v>EEZ_156</x:v>
      </x:c>
      <x:c r="B110" s="24" t="str">
        <x:v>China</x:v>
      </x:c>
      <x:c r="C110" s="24" t="str">
        <x:v>EEZ</x:v>
      </x:c>
      <x:c r="D110" s="30" t="n">
        <x:v>2019</x:v>
      </x:c>
      <x:c r="E110" s="24" t="str">
        <x:v>Pleuronectiformes</x:v>
      </x:c>
      <x:c r="F110" s="24" t="str">
        <x:v>Flatfishes</x:v>
      </x:c>
      <x:c r="G110" s="24" t="str">
        <x:v>Small to medium flatfishes (&lt;90 cm)</x:v>
      </x:c>
      <x:c r="H110" s="24" t="str">
        <x:v>Flatfishes</x:v>
      </x:c>
      <x:c r="I110" s="31" t="n">
        <x:v>987.347121447</x:v>
      </x:c>
      <x:c r="J110" s="31" t="n">
        <x:v>974.6276784957</x:v>
      </x:c>
      <x:c r="K110" s="31" t="n">
        <x:v>12.7194429513</x:v>
      </x:c>
      <x:c r="L110" s="31" t="n">
        <x:v>952.0234463191</x:v>
      </x:c>
      <x:c r="M110" s="31" t="n">
        <x:v>35.3236751279</x:v>
      </x:c>
      <x:c r="N110" s="24" t="str">
        <x:v>pleuronectiformes</x:v>
      </x:c>
      <x:c r="O110" s="32" t="n">
        <x:v>3.57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Pleuronectiformes</x:v>
      </x:c>
      <x:c r="T110" s="32" t="n">
        <x:f>IF(O110="","",(1/'Metadata'!$B$5)^(O110-1))</x:f>
        <x:v>371.5352290971724</x:v>
      </x:c>
      <x:c r="U110" s="31" t="n">
        <x:f>IF(T110="","",I110*T110)</x:f>
        <x:v>366834.23896524485</x:v>
      </x:c>
    </x:row>
    <x:row r="111" ht="18" customHeight="1">
      <x:c r="A111" s="24" t="str">
        <x:v>EEZ_156</x:v>
      </x:c>
      <x:c r="B111" s="24" t="str">
        <x:v>China</x:v>
      </x:c>
      <x:c r="C111" s="24" t="str">
        <x:v>EEZ</x:v>
      </x:c>
      <x:c r="D111" s="30" t="n">
        <x:v>2019</x:v>
      </x:c>
      <x:c r="E111" s="24" t="str">
        <x:v>Isurus</x:v>
      </x:c>
      <x:c r="F111" s="24" t="str">
        <x:v>Mako sharks</x:v>
      </x:c>
      <x:c r="G111" s="24" t="str">
        <x:v>Large sharks (&gt;=90 cm)</x:v>
      </x:c>
      <x:c r="H111" s="24" t="str">
        <x:v>Sharks &amp; rays</x:v>
      </x:c>
      <x:c r="I111" s="31" t="n">
        <x:v>964.5823300935</x:v>
      </x:c>
      <x:c r="J111" s="31" t="n">
        <x:v>949.0933227318001</x:v>
      </x:c>
      <x:c r="K111" s="31" t="n">
        <x:v>15.489007361699999</x:v>
      </x:c>
      <x:c r="L111" s="31" t="n">
        <x:v>243.1564823318</x:v>
      </x:c>
      <x:c r="M111" s="31" t="n">
        <x:v>721.4258477617001</x:v>
      </x:c>
      <x:c r="N111" s="24" t="str">
        <x:v>isurus</x:v>
      </x:c>
      <x:c r="O111" s="32" t="n">
        <x:v>4.5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Isurus</x:v>
      </x:c>
      <x:c r="T111" s="32" t="n">
        <x:f>IF(O111="","",(1/'Metadata'!$B$5)^(O111-1))</x:f>
        <x:v>3162.2776601683795</x:v>
      </x:c>
      <x:c r="U111" s="31" t="n">
        <x:f>IF(T111="","",I111*T111)</x:f>
        <x:v>3050277.1538478364</x:v>
      </x:c>
    </x:row>
    <x:row r="112" ht="18" customHeight="1">
      <x:c r="A112" s="24" t="str">
        <x:v>EEZ_156</x:v>
      </x:c>
      <x:c r="B112" s="24" t="str">
        <x:v>China</x:v>
      </x:c>
      <x:c r="C112" s="24" t="str">
        <x:v>EEZ</x:v>
      </x:c>
      <x:c r="D112" s="30" t="n">
        <x:v>2019</x:v>
      </x:c>
      <x:c r="E112" s="24" t="str">
        <x:v>Panulirus longipes</x:v>
      </x:c>
      <x:c r="F112" s="24" t="str">
        <x:v>Longlegged spiny lobster</x:v>
      </x:c>
      <x:c r="G112" s="24" t="str">
        <x:v>Lobsters, crabs</x:v>
      </x:c>
      <x:c r="H112" s="24" t="str">
        <x:v>Crustaceans</x:v>
      </x:c>
      <x:c r="I112" s="31" t="n">
        <x:v>867.0120123668</x:v>
      </x:c>
      <x:c r="J112" s="31" t="n">
        <x:v>862.2977803008</x:v>
      </x:c>
      <x:c r="K112" s="31" t="n">
        <x:v>4.714232066</x:v>
      </x:c>
      <x:c r="L112" s="31" t="n">
        <x:v>857.8284604153</x:v>
      </x:c>
      <x:c r="M112" s="31" t="n">
        <x:v>9.1835519515</x:v>
      </x:c>
      <x:c r="N112" s="24" t="str">
        <x:v>panulirus longipes</x:v>
      </x:c>
      <x:c r="O112" s="32" t="n">
        <x:v>2.6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Panulirus longipes</x:v>
      </x:c>
      <x:c r="T112" s="32" t="n">
        <x:f>IF(O112="","",(1/'Metadata'!$B$5)^(O112-1))</x:f>
        <x:v>39.810717055349734</x:v>
      </x:c>
      <x:c r="U112" s="31" t="n">
        <x:f>IF(T112="","",I112*T112)</x:f>
        <x:v>34516.36990792406</x:v>
      </x:c>
    </x:row>
    <x:row r="113" ht="18" customHeight="1">
      <x:c r="A113" s="24" t="str">
        <x:v>EEZ_156</x:v>
      </x:c>
      <x:c r="B113" s="24" t="str">
        <x:v>China</x:v>
      </x:c>
      <x:c r="C113" s="24" t="str">
        <x:v>EEZ</x:v>
      </x:c>
      <x:c r="D113" s="30" t="n">
        <x:v>2019</x:v>
      </x:c>
      <x:c r="E113" s="24" t="str">
        <x:v>Lethrinidae</x:v>
      </x:c>
      <x:c r="F113" s="24" t="str">
        <x:v>Emperors, scavengers</x:v>
      </x:c>
      <x:c r="G113" s="24" t="str">
        <x:v>Medium reef assoc. fish (30 - 89 cm)</x:v>
      </x:c>
      <x:c r="H113" s="24" t="str">
        <x:v>Perch-likes</x:v>
      </x:c>
      <x:c r="I113" s="31" t="n">
        <x:v>824.9818591902</x:v>
      </x:c>
      <x:c r="J113" s="31" t="n">
        <x:v>824.9818591902</x:v>
      </x:c>
      <x:c r="K113" s="31" t="n">
        <x:v>0</x:v>
      </x:c>
      <x:c r="L113" s="31" t="n">
        <x:v>212.4778358501</x:v>
      </x:c>
      <x:c r="M113" s="31" t="n">
        <x:v>612.5040233401</x:v>
      </x:c>
      <x:c r="N113" s="24" t="str">
        <x:v>lethrinidae</x:v>
      </x:c>
      <x:c r="O113" s="32" t="n">
        <x:v>3.59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Lethrinidae</x:v>
      </x:c>
      <x:c r="T113" s="32" t="n">
        <x:f>IF(O113="","",(1/'Metadata'!$B$5)^(O113-1))</x:f>
        <x:v>389.04514499428046</x:v>
      </x:c>
      <x:c r="U113" s="31" t="n">
        <x:f>IF(T113="","",I113*T113)</x:f>
        <x:v>320955.18702630245</x:v>
      </x:c>
    </x:row>
    <x:row r="114" ht="18" customHeight="1">
      <x:c r="A114" s="24" t="str">
        <x:v>EEZ_156</x:v>
      </x:c>
      <x:c r="B114" s="24" t="str">
        <x:v>China</x:v>
      </x:c>
      <x:c r="C114" s="24" t="str">
        <x:v>EEZ</x:v>
      </x:c>
      <x:c r="D114" s="30" t="n">
        <x:v>2019</x:v>
      </x:c>
      <x:c r="E114" s="24" t="str">
        <x:v>Hyporhamphus sajori</x:v>
      </x:c>
      <x:c r="F114" s="24" t="str">
        <x:v>Japanese halfbeak</x:v>
      </x:c>
      <x:c r="G114" s="24" t="str">
        <x:v>Medium pelagics (30 - 89 cm)</x:v>
      </x:c>
      <x:c r="H114" s="24" t="str">
        <x:v>Other fishes &amp; inverts</x:v>
      </x:c>
      <x:c r="I114" s="31" t="n">
        <x:v>784.2930542101</x:v>
      </x:c>
      <x:c r="J114" s="31" t="n">
        <x:v>784.2930542101</x:v>
      </x:c>
      <x:c r="K114" s="31" t="n">
        <x:v>0</x:v>
      </x:c>
      <x:c r="L114" s="31" t="n">
        <x:v>780.6342195253</x:v>
      </x:c>
      <x:c r="M114" s="31" t="n">
        <x:v>3.6588346848</x:v>
      </x:c>
      <x:c r="N114" s="24" t="str">
        <x:v>hyporhamphus sajori</x:v>
      </x:c>
      <x:c r="O114" s="32" t="n">
        <x:v>3.4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Hyporhamphus sajori</x:v>
      </x:c>
      <x:c r="T114" s="32" t="n">
        <x:f>IF(O114="","",(1/'Metadata'!$B$5)^(O114-1))</x:f>
        <x:v>251.18864315095797</x:v>
      </x:c>
      <x:c r="U114" s="31" t="n">
        <x:f>IF(T114="","",I114*T114)</x:f>
        <x:v>197005.50811975574</x:v>
      </x:c>
    </x:row>
    <x:row r="115" ht="18" customHeight="1">
      <x:c r="A115" s="24" t="str">
        <x:v>EEZ_156</x:v>
      </x:c>
      <x:c r="B115" s="24" t="str">
        <x:v>China</x:v>
      </x:c>
      <x:c r="C115" s="24" t="str">
        <x:v>EEZ</x:v>
      </x:c>
      <x:c r="D115" s="30" t="n">
        <x:v>2019</x:v>
      </x:c>
      <x:c r="E115" s="24" t="str">
        <x:v>Spratelloides gracilis</x:v>
      </x:c>
      <x:c r="F115" s="24" t="str">
        <x:v>Silver-stripe round herring</x:v>
      </x:c>
      <x:c r="G115" s="24" t="str">
        <x:v>Small pelagics (&lt;30 cm)</x:v>
      </x:c>
      <x:c r="H115" s="24" t="str">
        <x:v>Herring-likes</x:v>
      </x:c>
      <x:c r="I115" s="31" t="n">
        <x:v>772.2086313469</x:v>
      </x:c>
      <x:c r="J115" s="31" t="n">
        <x:v>172.7133001816</x:v>
      </x:c>
      <x:c r="K115" s="31" t="n">
        <x:v>599.4953311653001</x:v>
      </x:c>
      <x:c r="L115" s="31" t="n">
        <x:v>171.92373830760002</x:v>
      </x:c>
      <x:c r="M115" s="31" t="n">
        <x:v>600.2848930393</x:v>
      </x:c>
      <x:c r="N115" s="24" t="str">
        <x:v>spratelloides gracilis</x:v>
      </x:c>
      <x:c r="O115" s="32" t="n">
        <x:v>3.06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Spratelloides gracilis</x:v>
      </x:c>
      <x:c r="T115" s="32" t="n">
        <x:f>IF(O115="","",(1/'Metadata'!$B$5)^(O115-1))</x:f>
        <x:v>114.81536214968828</x:v>
      </x:c>
      <x:c r="U115" s="31" t="n">
        <x:f>IF(T115="","",I115*T115)</x:f>
        <x:v>88661.41366320946</x:v>
      </x:c>
    </x:row>
    <x:row r="116" ht="18" customHeight="1">
      <x:c r="A116" s="24" t="str">
        <x:v>EEZ_156</x:v>
      </x:c>
      <x:c r="B116" s="24" t="str">
        <x:v>China</x:v>
      </x:c>
      <x:c r="C116" s="24" t="str">
        <x:v>EEZ</x:v>
      </x:c>
      <x:c r="D116" s="30" t="n">
        <x:v>2019</x:v>
      </x:c>
      <x:c r="E116" s="24" t="str">
        <x:v>Acanthopagrus schlegelii</x:v>
      </x:c>
      <x:c r="F116" s="24" t="str">
        <x:v>Blackhead seabream</x:v>
      </x:c>
      <x:c r="G116" s="24" t="str">
        <x:v>Medium demersals (30 - 89 cm)</x:v>
      </x:c>
      <x:c r="H116" s="24" t="str">
        <x:v>Perch-likes</x:v>
      </x:c>
      <x:c r="I116" s="31" t="n">
        <x:v>765.5836667835</x:v>
      </x:c>
      <x:c r="J116" s="31" t="n">
        <x:v>762.5980604738</x:v>
      </x:c>
      <x:c r="K116" s="31" t="n">
        <x:v>2.9856063097</x:v>
      </x:c>
      <x:c r="L116" s="31" t="n">
        <x:v>752.5044730991</x:v>
      </x:c>
      <x:c r="M116" s="31" t="n">
        <x:v>13.0791936844</x:v>
      </x:c>
      <x:c r="N116" s="24" t="str">
        <x:v>acanthopagrus schlegelii</x:v>
      </x:c>
      <x:c r="O116" s="32" t="n">
        <x:v>3.24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Acanthopagrus schlegelii</x:v>
      </x:c>
      <x:c r="T116" s="32" t="n">
        <x:f>IF(O116="","",(1/'Metadata'!$B$5)^(O116-1))</x:f>
        <x:v>173.78008287493762</x:v>
      </x:c>
      <x:c r="U116" s="31" t="n">
        <x:f>IF(T116="","",I116*T116)</x:f>
        <x:v>133043.19306133525</x:v>
      </x:c>
    </x:row>
    <x:row r="117" ht="18" customHeight="1">
      <x:c r="A117" s="24" t="str">
        <x:v>EEZ_156</x:v>
      </x:c>
      <x:c r="B117" s="24" t="str">
        <x:v>China</x:v>
      </x:c>
      <x:c r="C117" s="24" t="str">
        <x:v>EEZ</x:v>
      </x:c>
      <x:c r="D117" s="30" t="n">
        <x:v>2019</x:v>
      </x:c>
      <x:c r="E117" s="24" t="str">
        <x:v>Mene maculata</x:v>
      </x:c>
      <x:c r="F117" s="24" t="str">
        <x:v>Moonfish</x:v>
      </x:c>
      <x:c r="G117" s="24" t="str">
        <x:v>Medium reef assoc. fish (30 - 89 cm)</x:v>
      </x:c>
      <x:c r="H117" s="24" t="str">
        <x:v>Perch-likes</x:v>
      </x:c>
      <x:c r="I117" s="31" t="n">
        <x:v>763.5564728153</x:v>
      </x:c>
      <x:c r="J117" s="31" t="n">
        <x:v>763.5564728153</x:v>
      </x:c>
      <x:c r="K117" s="31" t="n">
        <x:v>0</x:v>
      </x:c>
      <x:c r="L117" s="31" t="n">
        <x:v>266.37679705230005</x:v>
      </x:c>
      <x:c r="M117" s="31" t="n">
        <x:v>497.179675763</x:v>
      </x:c>
      <x:c r="N117" s="24" t="str">
        <x:v>mene maculata</x:v>
      </x:c>
      <x:c r="O117" s="32" t="n">
        <x:v>3.45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Mene maculata</x:v>
      </x:c>
      <x:c r="T117" s="32" t="n">
        <x:f>IF(O117="","",(1/'Metadata'!$B$5)^(O117-1))</x:f>
        <x:v>281.8382931264455</x:v>
      </x:c>
      <x:c r="U117" s="31" t="n">
        <x:f>IF(T117="","",I117*T117)</x:f>
        <x:v>215199.45300391334</x:v>
      </x:c>
    </x:row>
    <x:row r="118" ht="18" customHeight="1">
      <x:c r="A118" s="24" t="str">
        <x:v>EEZ_156</x:v>
      </x:c>
      <x:c r="B118" s="24" t="str">
        <x:v>China</x:v>
      </x:c>
      <x:c r="C118" s="24" t="str">
        <x:v>EEZ</x:v>
      </x:c>
      <x:c r="D118" s="30" t="n">
        <x:v>2019</x:v>
      </x:c>
      <x:c r="E118" s="24" t="str">
        <x:v>Pagrus auratus</x:v>
      </x:c>
      <x:c r="F118" s="24" t="str">
        <x:v>Silver seabream</x:v>
      </x:c>
      <x:c r="G118" s="24" t="str">
        <x:v>Large demersals (&gt;=90 cm)</x:v>
      </x:c>
      <x:c r="H118" s="24" t="str">
        <x:v>Perch-likes</x:v>
      </x:c>
      <x:c r="I118" s="31" t="n">
        <x:v>740.1557649636001</x:v>
      </x:c>
      <x:c r="J118" s="31" t="n">
        <x:v>700.4776676738</x:v>
      </x:c>
      <x:c r="K118" s="31" t="n">
        <x:v>39.6780972898</x:v>
      </x:c>
      <x:c r="L118" s="31" t="n">
        <x:v>698.5466585314</x:v>
      </x:c>
      <x:c r="M118" s="31" t="n">
        <x:v>41.6091064322</x:v>
      </x:c>
      <x:c r="N118" s="24" t="str">
        <x:v>pagrus auratus</x:v>
      </x:c>
      <x:c r="O118" s="32" t="n">
        <x:v>3.59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Pagrus auratus</x:v>
      </x:c>
      <x:c r="T118" s="32" t="n">
        <x:f>IF(O118="","",(1/'Metadata'!$B$5)^(O118-1))</x:f>
        <x:v>389.04514499428046</x:v>
      </x:c>
      <x:c r="U118" s="31" t="n">
        <x:f>IF(T118="","",I118*T118)</x:f>
        <x:v>287954.0068986164</x:v>
      </x:c>
    </x:row>
    <x:row r="119" ht="18" customHeight="1">
      <x:c r="A119" s="24" t="str">
        <x:v>EEZ_156</x:v>
      </x:c>
      <x:c r="B119" s="24" t="str">
        <x:v>China</x:v>
      </x:c>
      <x:c r="C119" s="24" t="str">
        <x:v>EEZ</x:v>
      </x:c>
      <x:c r="D119" s="30" t="n">
        <x:v>2019</x:v>
      </x:c>
      <x:c r="E119" s="24" t="str">
        <x:v>Pampus argenteus</x:v>
      </x:c>
      <x:c r="F119" s="24" t="str">
        <x:v>Silver pomfret</x:v>
      </x:c>
      <x:c r="G119" s="24" t="str">
        <x:v>Medium benthopelagics (30 - 89 cm)</x:v>
      </x:c>
      <x:c r="H119" s="24" t="str">
        <x:v>Perch-likes</x:v>
      </x:c>
      <x:c r="I119" s="31" t="n">
        <x:v>694.8552382286</x:v>
      </x:c>
      <x:c r="J119" s="31" t="n">
        <x:v>691.2888701429999</x:v>
      </x:c>
      <x:c r="K119" s="31" t="n">
        <x:v>3.5663680856</x:v>
      </x:c>
      <x:c r="L119" s="31" t="n">
        <x:v>666.2791833778</x:v>
      </x:c>
      <x:c r="M119" s="31" t="n">
        <x:v>28.5760548508</x:v>
      </x:c>
      <x:c r="N119" s="24" t="str">
        <x:v>pampus argenteus</x:v>
      </x:c>
      <x:c r="O119" s="32" t="n">
        <x:v>3.3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Pampus argenteus</x:v>
      </x:c>
      <x:c r="T119" s="32" t="n">
        <x:f>IF(O119="","",(1/'Metadata'!$B$5)^(O119-1))</x:f>
        <x:v>199.52623149688787</x:v>
      </x:c>
      <x:c r="U119" s="31" t="n">
        <x:f>IF(T119="","",I119*T119)</x:f>
        <x:v>138641.8471196248</x:v>
      </x:c>
    </x:row>
    <x:row r="120" ht="18" customHeight="1">
      <x:c r="A120" s="24" t="str">
        <x:v>EEZ_156</x:v>
      </x:c>
      <x:c r="B120" s="24" t="str">
        <x:v>China</x:v>
      </x:c>
      <x:c r="C120" s="24" t="str">
        <x:v>EEZ</x:v>
      </x:c>
      <x:c r="D120" s="30" t="n">
        <x:v>2019</x:v>
      </x:c>
      <x:c r="E120" s="24" t="str">
        <x:v>Sillago</x:v>
      </x:c>
      <x:c r="F120" s="24" t="str">
        <x:v>Smelt-whitings</x:v>
      </x:c>
      <x:c r="G120" s="24" t="str">
        <x:v>Medium demersals (30 - 89 cm)</x:v>
      </x:c>
      <x:c r="H120" s="24" t="str">
        <x:v>Perch-likes</x:v>
      </x:c>
      <x:c r="I120" s="31" t="n">
        <x:v>571.1080198115</x:v>
      </x:c>
      <x:c r="J120" s="31" t="n">
        <x:v>534.6797915542</x:v>
      </x:c>
      <x:c r="K120" s="31" t="n">
        <x:v>36.4282282573</x:v>
      </x:c>
      <x:c r="L120" s="31" t="n">
        <x:v>531.0903876231</x:v>
      </x:c>
      <x:c r="M120" s="31" t="n">
        <x:v>40.01763218840001</x:v>
      </x:c>
      <x:c r="N120" s="24" t="str">
        <x:v>sillago</x:v>
      </x:c>
      <x:c r="O120" s="32" t="n">
        <x:v>3.33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Sillago</x:v>
      </x:c>
      <x:c r="T120" s="32" t="n">
        <x:f>IF(O120="","",(1/'Metadata'!$B$5)^(O120-1))</x:f>
        <x:v>213.79620895022325</x:v>
      </x:c>
      <x:c r="U120" s="31" t="n">
        <x:f>IF(T120="","",I120*T120)</x:f>
        <x:v>122100.72953676769</x:v>
      </x:c>
    </x:row>
    <x:row r="121" ht="18" customHeight="1">
      <x:c r="A121" s="24" t="str">
        <x:v>EEZ_156</x:v>
      </x:c>
      <x:c r="B121" s="24" t="str">
        <x:v>China</x:v>
      </x:c>
      <x:c r="C121" s="24" t="str">
        <x:v>EEZ</x:v>
      </x:c>
      <x:c r="D121" s="30" t="n">
        <x:v>2019</x:v>
      </x:c>
      <x:c r="E121" s="24" t="str">
        <x:v>Rachycentridae</x:v>
      </x:c>
      <x:c r="F121" s="24" t="str">
        <x:v>Cobias</x:v>
      </x:c>
      <x:c r="G121" s="24" t="str">
        <x:v>Large pelagics (&gt;=90 cm)</x:v>
      </x:c>
      <x:c r="H121" s="24" t="str">
        <x:v>Perch-likes</x:v>
      </x:c>
      <x:c r="I121" s="31" t="n">
        <x:v>452.8061565059</x:v>
      </x:c>
      <x:c r="J121" s="31" t="n">
        <x:v>450.17227915719997</x:v>
      </x:c>
      <x:c r="K121" s="31" t="n">
        <x:v>2.6338773487</x:v>
      </x:c>
      <x:c r="L121" s="31" t="n">
        <x:v>450.1086818316</x:v>
      </x:c>
      <x:c r="M121" s="31" t="n">
        <x:v>2.6974746743</x:v>
      </x:c>
      <x:c r="N121" s="24" t="str">
        <x:v>rachycentridae</x:v>
      </x:c>
      <x:c r="O121" s="32" t="n">
        <x:v>3.96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Rachycentridae</x:v>
      </x:c>
      <x:c r="T121" s="32" t="n">
        <x:f>IF(O121="","",(1/'Metadata'!$B$5)^(O121-1))</x:f>
        <x:v>912.0108393559096</x:v>
      </x:c>
      <x:c r="U121" s="31" t="n">
        <x:f>IF(T121="","",I121*T121)</x:f>
        <x:v>412964.1228604692</x:v>
      </x:c>
    </x:row>
    <x:row r="122" ht="18" customHeight="1">
      <x:c r="A122" s="24" t="str">
        <x:v>EEZ_156</x:v>
      </x:c>
      <x:c r="B122" s="24" t="str">
        <x:v>China</x:v>
      </x:c>
      <x:c r="C122" s="24" t="str">
        <x:v>EEZ</x:v>
      </x:c>
      <x:c r="D122" s="30" t="n">
        <x:v>2019</x:v>
      </x:c>
      <x:c r="E122" s="24" t="str">
        <x:v>Lutjanidae</x:v>
      </x:c>
      <x:c r="F122" s="24" t="str">
        <x:v>Snappers</x:v>
      </x:c>
      <x:c r="G122" s="24" t="str">
        <x:v>Medium reef assoc. fish (30 - 89 cm)</x:v>
      </x:c>
      <x:c r="H122" s="24" t="str">
        <x:v>Perch-likes</x:v>
      </x:c>
      <x:c r="I122" s="31" t="n">
        <x:v>439.0589603583</x:v>
      </x:c>
      <x:c r="J122" s="31" t="n">
        <x:v>384.7682590886</x:v>
      </x:c>
      <x:c r="K122" s="31" t="n">
        <x:v>54.290701269699994</x:v>
      </x:c>
      <x:c r="L122" s="31" t="n">
        <x:v>341.3494242703</x:v>
      </x:c>
      <x:c r="M122" s="31" t="n">
        <x:v>97.70953608800001</x:v>
      </x:c>
      <x:c r="N122" s="24" t="str">
        <x:v>lutjanidae</x:v>
      </x:c>
      <x:c r="O122" s="32" t="n">
        <x:v>4.02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Lutjanidae</x:v>
      </x:c>
      <x:c r="T122" s="32" t="n">
        <x:f>IF(O122="","",(1/'Metadata'!$B$5)^(O122-1))</x:f>
        <x:v>1047.1285480508984</x:v>
      </x:c>
      <x:c r="U122" s="31" t="n">
        <x:f>IF(T122="","",I122*T122)</x:f>
        <x:v>459751.17166872363</x:v>
      </x:c>
    </x:row>
    <x:row r="123" ht="18" customHeight="1">
      <x:c r="A123" s="24" t="str">
        <x:v>EEZ_156</x:v>
      </x:c>
      <x:c r="B123" s="24" t="str">
        <x:v>China</x:v>
      </x:c>
      <x:c r="C123" s="24" t="str">
        <x:v>EEZ</x:v>
      </x:c>
      <x:c r="D123" s="30" t="n">
        <x:v>2019</x:v>
      </x:c>
      <x:c r="E123" s="24" t="str">
        <x:v>Exocoetidae</x:v>
      </x:c>
      <x:c r="F123" s="24" t="str">
        <x:v>Flyingfishes</x:v>
      </x:c>
      <x:c r="G123" s="24" t="str">
        <x:v>Small pelagics (&lt;30 cm)</x:v>
      </x:c>
      <x:c r="H123" s="24" t="str">
        <x:v>Other fishes &amp; inverts</x:v>
      </x:c>
      <x:c r="I123" s="31" t="n">
        <x:v>373.5277002473</x:v>
      </x:c>
      <x:c r="J123" s="31" t="n">
        <x:v>372.8406018089</x:v>
      </x:c>
      <x:c r="K123" s="31" t="n">
        <x:v>0.6870984384</x:v>
      </x:c>
      <x:c r="L123" s="31" t="n">
        <x:v>346.0601834136</x:v>
      </x:c>
      <x:c r="M123" s="31" t="n">
        <x:v>27.4675168337</x:v>
      </x:c>
      <x:c r="N123" s="24" t="str">
        <x:v>exocoetidae</x:v>
      </x:c>
      <x:c r="O123" s="32" t="n">
        <x:v>3.57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Exocoetidae</x:v>
      </x:c>
      <x:c r="T123" s="32" t="n">
        <x:f>IF(O123="","",(1/'Metadata'!$B$5)^(O123-1))</x:f>
        <x:v>371.5352290971724</x:v>
      </x:c>
      <x:c r="U123" s="31" t="n">
        <x:f>IF(T123="","",I123*T123)</x:f>
        <x:v>138778.69968552055</x:v>
      </x:c>
    </x:row>
    <x:row r="124" ht="18" customHeight="1">
      <x:c r="A124" s="24" t="str">
        <x:v>EEZ_156</x:v>
      </x:c>
      <x:c r="B124" s="24" t="str">
        <x:v>China</x:v>
      </x:c>
      <x:c r="C124" s="24" t="str">
        <x:v>EEZ</x:v>
      </x:c>
      <x:c r="D124" s="30" t="n">
        <x:v>2019</x:v>
      </x:c>
      <x:c r="E124" s="24" t="str">
        <x:v>Katsuwonus pelamis</x:v>
      </x:c>
      <x:c r="F124" s="24" t="str">
        <x:v>Skipjack tuna</x:v>
      </x:c>
      <x:c r="G124" s="24" t="str">
        <x:v>Large pelagics (&gt;=90 cm)</x:v>
      </x:c>
      <x:c r="H124" s="24" t="str">
        <x:v>Tuna &amp; billfishes</x:v>
      </x:c>
      <x:c r="I124" s="31" t="n">
        <x:v>347.7705256927</x:v>
      </x:c>
      <x:c r="J124" s="31" t="n">
        <x:v>341.1514382606</x:v>
      </x:c>
      <x:c r="K124" s="31" t="n">
        <x:v>6.6190874321</x:v>
      </x:c>
      <x:c r="L124" s="31" t="n">
        <x:v>341.1514382606</x:v>
      </x:c>
      <x:c r="M124" s="31" t="n">
        <x:v>6.6190874321</x:v>
      </x:c>
      <x:c r="N124" s="24" t="str">
        <x:v>katsuwonus pelamis</x:v>
      </x:c>
      <x:c r="O124" s="32" t="n">
        <x:v>4.43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Katsuwonus pelamis</x:v>
      </x:c>
      <x:c r="T124" s="32" t="n">
        <x:f>IF(O124="","",(1/'Metadata'!$B$5)^(O124-1))</x:f>
        <x:v>2691.534803926914</x:v>
      </x:c>
      <x:c r="U124" s="31" t="n">
        <x:f>IF(T124="","",I124*T124)</x:f>
        <x:v>936036.4736818611</x:v>
      </x:c>
    </x:row>
    <x:row r="125" ht="18" customHeight="1">
      <x:c r="A125" s="24" t="str">
        <x:v>EEZ_156</x:v>
      </x:c>
      <x:c r="B125" s="24" t="str">
        <x:v>China</x:v>
      </x:c>
      <x:c r="C125" s="24" t="str">
        <x:v>EEZ</x:v>
      </x:c>
      <x:c r="D125" s="30" t="n">
        <x:v>2019</x:v>
      </x:c>
      <x:c r="E125" s="24" t="str">
        <x:v>Gymnocranius</x:v>
      </x:c>
      <x:c r="F125" s="24" t="str">
        <x:v>Largeeye breams</x:v>
      </x:c>
      <x:c r="G125" s="24" t="str">
        <x:v>Medium reef assoc. fish (30 - 89 cm)</x:v>
      </x:c>
      <x:c r="H125" s="24" t="str">
        <x:v>Perch-likes</x:v>
      </x:c>
      <x:c r="I125" s="31" t="n">
        <x:v>335.483695412</x:v>
      </x:c>
      <x:c r="J125" s="31" t="n">
        <x:v>335.483695412</x:v>
      </x:c>
      <x:c r="K125" s="31" t="n">
        <x:v>0</x:v>
      </x:c>
      <x:c r="L125" s="31" t="n">
        <x:v>86.329516411</x:v>
      </x:c>
      <x:c r="M125" s="31" t="n">
        <x:v>249.15417900100002</x:v>
      </x:c>
      <x:c r="N125" s="24" t="str">
        <x:v>gymnocranius</x:v>
      </x:c>
      <x:c r="O125" s="32" t="n">
        <x:v>3.4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Gymnocranius</x:v>
      </x:c>
      <x:c r="T125" s="32" t="n">
        <x:f>IF(O125="","",(1/'Metadata'!$B$5)^(O125-1))</x:f>
        <x:v>251.18864315095797</x:v>
      </x:c>
      <x:c r="U125" s="31" t="n">
        <x:f>IF(T125="","",I125*T125)</x:f>
        <x:v>84269.69424980954</x:v>
      </x:c>
    </x:row>
    <x:row r="126" ht="18" customHeight="1">
      <x:c r="A126" s="24" t="str">
        <x:v>EEZ_156</x:v>
      </x:c>
      <x:c r="B126" s="24" t="str">
        <x:v>China</x:v>
      </x:c>
      <x:c r="C126" s="24" t="str">
        <x:v>EEZ</x:v>
      </x:c>
      <x:c r="D126" s="30" t="n">
        <x:v>2019</x:v>
      </x:c>
      <x:c r="E126" s="24" t="str">
        <x:v>Ibacus ciliatus</x:v>
      </x:c>
      <x:c r="F126" s="24" t="str">
        <x:v>Sand Crayfish</x:v>
      </x:c>
      <x:c r="G126" s="24" t="str">
        <x:v>Lobsters, crabs</x:v>
      </x:c>
      <x:c r="H126" s="24" t="str">
        <x:v>Crustaceans</x:v>
      </x:c>
      <x:c r="I126" s="31" t="n">
        <x:v>317.6876476522</x:v>
      </x:c>
      <x:c r="J126" s="31" t="n">
        <x:v>0.44877796929999997</x:v>
      </x:c>
      <x:c r="K126" s="31" t="n">
        <x:v>317.2388696829</x:v>
      </x:c>
      <x:c r="L126" s="31" t="n">
        <x:v>0.44877796929999997</x:v>
      </x:c>
      <x:c r="M126" s="31" t="n">
        <x:v>317.2388696829</x:v>
      </x:c>
      <x:c r="N126" s="24" t="str">
        <x:v>ibacus ciliatus</x:v>
      </x:c>
      <x:c r="O126" s="32" t="n">
        <x:v>2.6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Ibacus ciliatus</x:v>
      </x:c>
      <x:c r="T126" s="32" t="n">
        <x:f>IF(O126="","",(1/'Metadata'!$B$5)^(O126-1))</x:f>
        <x:v>39.810717055349734</x:v>
      </x:c>
      <x:c r="U126" s="31" t="n">
        <x:f>IF(T126="","",I126*T126)</x:f>
        <x:v>12647.373052661374</x:v>
      </x:c>
    </x:row>
    <x:row r="127" ht="18" customHeight="1">
      <x:c r="A127" s="24" t="str">
        <x:v>EEZ_156</x:v>
      </x:c>
      <x:c r="B127" s="24" t="str">
        <x:v>China</x:v>
      </x:c>
      <x:c r="C127" s="24" t="str">
        <x:v>EEZ</x:v>
      </x:c>
      <x:c r="D127" s="30" t="n">
        <x:v>2019</x:v>
      </x:c>
      <x:c r="E127" s="24" t="str">
        <x:v>Ariidae</x:v>
      </x:c>
      <x:c r="F127" s="24" t="str">
        <x:v>Sea catfishes, coblers</x:v>
      </x:c>
      <x:c r="G127" s="24" t="str">
        <x:v>Medium demersals (30 - 89 cm)</x:v>
      </x:c>
      <x:c r="H127" s="24" t="str">
        <x:v>Other fishes &amp; inverts</x:v>
      </x:c>
      <x:c r="I127" s="31" t="n">
        <x:v>296.17737969629997</x:v>
      </x:c>
      <x:c r="J127" s="31" t="n">
        <x:v>289.1756394521</x:v>
      </x:c>
      <x:c r="K127" s="31" t="n">
        <x:v>7.0017402442000005</x:v>
      </x:c>
      <x:c r="L127" s="31" t="n">
        <x:v>264.7845746944</x:v>
      </x:c>
      <x:c r="M127" s="31" t="n">
        <x:v>31.3928050019</x:v>
      </x:c>
      <x:c r="N127" s="24" t="str">
        <x:v>ariidae</x:v>
      </x:c>
      <x:c r="O127" s="32" t="n">
        <x:v>3.48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Ariidae</x:v>
      </x:c>
      <x:c r="T127" s="32" t="n">
        <x:f>IF(O127="","",(1/'Metadata'!$B$5)^(O127-1))</x:f>
        <x:v>301.9951720402016</x:v>
      </x:c>
      <x:c r="U127" s="31" t="n">
        <x:f>IF(T127="","",I127*T127)</x:f>
        <x:v>89444.13873580022</x:v>
      </x:c>
    </x:row>
    <x:row r="128" ht="18" customHeight="1">
      <x:c r="A128" s="24" t="str">
        <x:v>EEZ_156</x:v>
      </x:c>
      <x:c r="B128" s="24" t="str">
        <x:v>China</x:v>
      </x:c>
      <x:c r="C128" s="24" t="str">
        <x:v>EEZ</x:v>
      </x:c>
      <x:c r="D128" s="30" t="n">
        <x:v>2019</x:v>
      </x:c>
      <x:c r="E128" s="24" t="str">
        <x:v>Clupeiformes</x:v>
      </x:c>
      <x:c r="F128" s="24" t="str">
        <x:v>Herrings, shads, anchovies</x:v>
      </x:c>
      <x:c r="G128" s="24" t="str">
        <x:v>Small pelagics (&lt;30 cm)</x:v>
      </x:c>
      <x:c r="H128" s="24" t="str">
        <x:v>Other fishes &amp; inverts</x:v>
      </x:c>
      <x:c r="I128" s="31" t="n">
        <x:v>264.9986873798</x:v>
      </x:c>
      <x:c r="J128" s="31" t="n">
        <x:v>264.9986873798</x:v>
      </x:c>
      <x:c r="K128" s="31" t="n">
        <x:v>0</x:v>
      </x:c>
      <x:c r="L128" s="31" t="n">
        <x:v>65.8207119659</x:v>
      </x:c>
      <x:c r="M128" s="31" t="n">
        <x:v>199.17797541390001</x:v>
      </x:c>
      <x:c r="N128" s="24" t="str">
        <x:v>clupeiformes</x:v>
      </x:c>
      <x:c r="O128" s="32" t="n">
        <x:v>3.24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Clupeiformes</x:v>
      </x:c>
      <x:c r="T128" s="32" t="n">
        <x:f>IF(O128="","",(1/'Metadata'!$B$5)^(O128-1))</x:f>
        <x:v>173.78008287493762</x:v>
      </x:c>
      <x:c r="U128" s="31" t="n">
        <x:f>IF(T128="","",I128*T128)</x:f>
        <x:v>46051.49385461133</x:v>
      </x:c>
    </x:row>
    <x:row r="129" ht="18" customHeight="1">
      <x:c r="A129" s="24" t="str">
        <x:v>EEZ_156</x:v>
      </x:c>
      <x:c r="B129" s="24" t="str">
        <x:v>China</x:v>
      </x:c>
      <x:c r="C129" s="24" t="str">
        <x:v>EEZ</x:v>
      </x:c>
      <x:c r="D129" s="30" t="n">
        <x:v>2019</x:v>
      </x:c>
      <x:c r="E129" s="24" t="str">
        <x:v>Penaeus penicillatus</x:v>
      </x:c>
      <x:c r="F129" s="24" t="str">
        <x:v>Redtail prawn</x:v>
      </x:c>
      <x:c r="G129" s="24" t="str">
        <x:v>Shrimps</x:v>
      </x:c>
      <x:c r="H129" s="24" t="str">
        <x:v>Crustaceans</x:v>
      </x:c>
      <x:c r="I129" s="31" t="n">
        <x:v>264.8664112529</x:v>
      </x:c>
      <x:c r="J129" s="31" t="n">
        <x:v>128.0043747751</x:v>
      </x:c>
      <x:c r="K129" s="31" t="n">
        <x:v>136.86203647780002</x:v>
      </x:c>
      <x:c r="L129" s="31" t="n">
        <x:v>114.6085472999</x:v>
      </x:c>
      <x:c r="M129" s="31" t="n">
        <x:v>150.25786395300003</x:v>
      </x:c>
      <x:c r="N129" s="24" t="str">
        <x:v>penaeus penicillatus</x:v>
      </x:c>
      <x:c r="O129" s="32" t="n">
        <x:v>2.7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Penaeus penicillatus</x:v>
      </x:c>
      <x:c r="T129" s="32" t="n">
        <x:f>IF(O129="","",(1/'Metadata'!$B$5)^(O129-1))</x:f>
        <x:v>50.11872336272725</x:v>
      </x:c>
      <x:c r="U129" s="31" t="n">
        <x:f>IF(T129="","",I129*T129)</x:f>
        <x:v>13274.766393662443</x:v>
      </x:c>
    </x:row>
    <x:row r="130" ht="18" customHeight="1">
      <x:c r="A130" s="24" t="str">
        <x:v>EEZ_156</x:v>
      </x:c>
      <x:c r="B130" s="24" t="str">
        <x:v>China</x:v>
      </x:c>
      <x:c r="C130" s="24" t="str">
        <x:v>EEZ</x:v>
      </x:c>
      <x:c r="D130" s="30" t="n">
        <x:v>2019</x:v>
      </x:c>
      <x:c r="E130" s="24" t="str">
        <x:v>Seriola dumerili</x:v>
      </x:c>
      <x:c r="F130" s="24" t="str">
        <x:v>Greater amberjack</x:v>
      </x:c>
      <x:c r="G130" s="24" t="str">
        <x:v>Large reef assoc. fish (&gt;=90 cm)</x:v>
      </x:c>
      <x:c r="H130" s="24" t="str">
        <x:v>Perch-likes</x:v>
      </x:c>
      <x:c r="I130" s="31" t="n">
        <x:v>183.2235480652</x:v>
      </x:c>
      <x:c r="J130" s="31" t="n">
        <x:v>183.2235480652</x:v>
      </x:c>
      <x:c r="K130" s="31" t="n">
        <x:v>0</x:v>
      </x:c>
      <x:c r="L130" s="31" t="n">
        <x:v>96.3557275178</x:v>
      </x:c>
      <x:c r="M130" s="31" t="n">
        <x:v>86.8678205474</x:v>
      </x:c>
      <x:c r="N130" s="24" t="str">
        <x:v>seriola dumerili</x:v>
      </x:c>
      <x:c r="O130" s="32" t="n">
        <x:v>4.5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Seriola dumerili</x:v>
      </x:c>
      <x:c r="T130" s="32" t="n">
        <x:f>IF(O130="","",(1/'Metadata'!$B$5)^(O130-1))</x:f>
        <x:v>3162.2776601683795</x:v>
      </x:c>
      <x:c r="U130" s="31" t="n">
        <x:f>IF(T130="","",I130*T130)</x:f>
        <x:v>579403.7328633693</x:v>
      </x:c>
    </x:row>
    <x:row r="131" ht="18" customHeight="1">
      <x:c r="A131" s="24" t="str">
        <x:v>EEZ_156</x:v>
      </x:c>
      <x:c r="B131" s="24" t="str">
        <x:v>China</x:v>
      </x:c>
      <x:c r="C131" s="24" t="str">
        <x:v>EEZ</x:v>
      </x:c>
      <x:c r="D131" s="30" t="n">
        <x:v>2019</x:v>
      </x:c>
      <x:c r="E131" s="24" t="str">
        <x:v>Trachurus japonicus</x:v>
      </x:c>
      <x:c r="F131" s="24" t="str">
        <x:v>Japanese jack mackerel</x:v>
      </x:c>
      <x:c r="G131" s="24" t="str">
        <x:v>Medium demersals (30 - 89 cm)</x:v>
      </x:c>
      <x:c r="H131" s="24" t="str">
        <x:v>Perch-likes</x:v>
      </x:c>
      <x:c r="I131" s="31" t="n">
        <x:v>182.0585492833</x:v>
      </x:c>
      <x:c r="J131" s="31" t="n">
        <x:v>182.0585492833</x:v>
      </x:c>
      <x:c r="K131" s="31" t="n">
        <x:v>0</x:v>
      </x:c>
      <x:c r="L131" s="31" t="n">
        <x:v>115.5753387267</x:v>
      </x:c>
      <x:c r="M131" s="31" t="n">
        <x:v>66.4832105566</x:v>
      </x:c>
      <x:c r="N131" s="24" t="str">
        <x:v>trachurus japonicus</x:v>
      </x:c>
      <x:c r="O131" s="32" t="n">
        <x:v>3.4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Trachurus japonicus</x:v>
      </x:c>
      <x:c r="T131" s="32" t="n">
        <x:f>IF(O131="","",(1/'Metadata'!$B$5)^(O131-1))</x:f>
        <x:v>251.18864315095797</x:v>
      </x:c>
      <x:c r="U131" s="31" t="n">
        <x:f>IF(T131="","",I131*T131)</x:f>
        <x:v>45731.039968503945</x:v>
      </x:c>
    </x:row>
    <x:row r="132" ht="18" customHeight="1">
      <x:c r="A132" s="24" t="str">
        <x:v>EEZ_156</x:v>
      </x:c>
      <x:c r="B132" s="24" t="str">
        <x:v>China</x:v>
      </x:c>
      <x:c r="C132" s="24" t="str">
        <x:v>EEZ</x:v>
      </x:c>
      <x:c r="D132" s="30" t="n">
        <x:v>2019</x:v>
      </x:c>
      <x:c r="E132" s="24" t="str">
        <x:v>Meretrix lusoria</x:v>
      </x:c>
      <x:c r="F132" s="24" t="str">
        <x:v>Japanese hard clam</x:v>
      </x:c>
      <x:c r="G132" s="24" t="str">
        <x:v>Other demersal invertebrates</x:v>
      </x:c>
      <x:c r="H132" s="24" t="str">
        <x:v>Molluscs</x:v>
      </x:c>
      <x:c r="I132" s="31" t="n">
        <x:v>167.3563872611</x:v>
      </x:c>
      <x:c r="J132" s="31" t="n">
        <x:v>166.0314994602</x:v>
      </x:c>
      <x:c r="K132" s="31" t="n">
        <x:v>1.3248878009</x:v>
      </x:c>
      <x:c r="L132" s="31" t="n">
        <x:v>166.0314994602</x:v>
      </x:c>
      <x:c r="M132" s="31" t="n">
        <x:v>1.3248878009</x:v>
      </x:c>
      <x:c r="N132" s="24" t="str">
        <x:v>meretrix lusoria</x:v>
      </x:c>
      <x:c r="O132" s="32" t="n">
        <x:v>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Meretrix lusoria</x:v>
      </x:c>
      <x:c r="T132" s="32" t="n">
        <x:f>IF(O132="","",(1/'Metadata'!$B$5)^(O132-1))</x:f>
        <x:v>10</x:v>
      </x:c>
      <x:c r="U132" s="31" t="n">
        <x:f>IF(T132="","",I132*T132)</x:f>
        <x:v>1673.563872611</x:v>
      </x:c>
    </x:row>
    <x:row r="133" ht="18" customHeight="1">
      <x:c r="A133" s="24" t="str">
        <x:v>EEZ_156</x:v>
      </x:c>
      <x:c r="B133" s="24" t="str">
        <x:v>China</x:v>
      </x:c>
      <x:c r="C133" s="24" t="str">
        <x:v>EEZ</x:v>
      </x:c>
      <x:c r="D133" s="30" t="n">
        <x:v>2019</x:v>
      </x:c>
      <x:c r="E133" s="24" t="str">
        <x:v>Alopias</x:v>
      </x:c>
      <x:c r="F133" s="24" t="str">
        <x:v>Thresher sharks</x:v>
      </x:c>
      <x:c r="G133" s="24" t="str">
        <x:v>Large sharks (&gt;=90 cm)</x:v>
      </x:c>
      <x:c r="H133" s="24" t="str">
        <x:v>Sharks &amp; rays</x:v>
      </x:c>
      <x:c r="I133" s="31" t="n">
        <x:v>158.13895496680001</x:v>
      </x:c>
      <x:c r="J133" s="31" t="n">
        <x:v>158.1294853762</x:v>
      </x:c>
      <x:c r="K133" s="31" t="n">
        <x:v>0.0094695906</x:v>
      </x:c>
      <x:c r="L133" s="31" t="n">
        <x:v>158.1294853762</x:v>
      </x:c>
      <x:c r="M133" s="31" t="n">
        <x:v>0.0094695906</x:v>
      </x:c>
      <x:c r="N133" s="24" t="str">
        <x:v>alopias</x:v>
      </x:c>
      <x:c r="O133" s="32" t="n">
        <x:v>4.5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Alopias</x:v>
      </x:c>
      <x:c r="T133" s="32" t="n">
        <x:f>IF(O133="","",(1/'Metadata'!$B$5)^(O133-1))</x:f>
        <x:v>3162.2776601683795</x:v>
      </x:c>
      <x:c r="U133" s="31" t="n">
        <x:f>IF(T133="","",I133*T133)</x:f>
        <x:v>500079.28449388506</x:v>
      </x:c>
    </x:row>
    <x:row r="134" ht="18" customHeight="1">
      <x:c r="A134" s="24" t="str">
        <x:v>EEZ_156</x:v>
      </x:c>
      <x:c r="B134" s="24" t="str">
        <x:v>China</x:v>
      </x:c>
      <x:c r="C134" s="24" t="str">
        <x:v>EEZ</x:v>
      </x:c>
      <x:c r="D134" s="30" t="n">
        <x:v>2019</x:v>
      </x:c>
      <x:c r="E134" s="24" t="str">
        <x:v>Ommastrephidae</x:v>
      </x:c>
      <x:c r="F134" s="24" t="str">
        <x:v>Arrow squids</x:v>
      </x:c>
      <x:c r="G134" s="24" t="str">
        <x:v>Cephalopods</x:v>
      </x:c>
      <x:c r="H134" s="24" t="str">
        <x:v>Other fishes &amp; inverts</x:v>
      </x:c>
      <x:c r="I134" s="31" t="n">
        <x:v>154.9570034673</x:v>
      </x:c>
      <x:c r="J134" s="31" t="n">
        <x:v>0</x:v>
      </x:c>
      <x:c r="K134" s="31" t="n">
        <x:v>154.9570034673</x:v>
      </x:c>
      <x:c r="L134" s="31" t="n">
        <x:v>0</x:v>
      </x:c>
      <x:c r="M134" s="31" t="n">
        <x:v>154.9570034673</x:v>
      </x:c>
      <x:c r="N134" s="24" t="str">
        <x:v>ommastrephidae</x:v>
      </x:c>
      <x:c r="O134" s="32" t="n">
        <x:v>4.09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Ommastrephidae</x:v>
      </x:c>
      <x:c r="T134" s="32" t="n">
        <x:f>IF(O134="","",(1/'Metadata'!$B$5)^(O134-1))</x:f>
        <x:v>1230.268770812381</x:v>
      </x:c>
      <x:c r="U134" s="31" t="n">
        <x:f>IF(T134="","",I134*T134)</x:f>
        <x:v>190638.76218448507</x:v>
      </x:c>
    </x:row>
    <x:row r="135" ht="18" customHeight="1">
      <x:c r="A135" s="24" t="str">
        <x:v>EEZ_156</x:v>
      </x:c>
      <x:c r="B135" s="24" t="str">
        <x:v>China</x:v>
      </x:c>
      <x:c r="C135" s="24" t="str">
        <x:v>EEZ</x:v>
      </x:c>
      <x:c r="D135" s="30" t="n">
        <x:v>2019</x:v>
      </x:c>
      <x:c r="E135" s="24" t="str">
        <x:v>Lates calcarifer</x:v>
      </x:c>
      <x:c r="F135" s="24" t="str">
        <x:v>Barramundi</x:v>
      </x:c>
      <x:c r="G135" s="24" t="str">
        <x:v>Large demersals (&gt;=90 cm)</x:v>
      </x:c>
      <x:c r="H135" s="24" t="str">
        <x:v>Perch-likes</x:v>
      </x:c>
      <x:c r="I135" s="31" t="n">
        <x:v>148.0547699791</x:v>
      </x:c>
      <x:c r="J135" s="31" t="n">
        <x:v>147.3104133404</x:v>
      </x:c>
      <x:c r="K135" s="31" t="n">
        <x:v>0.7443566387</x:v>
      </x:c>
      <x:c r="L135" s="31" t="n">
        <x:v>147.1037797305</x:v>
      </x:c>
      <x:c r="M135" s="31" t="n">
        <x:v>0.9509902485999999</x:v>
      </x:c>
      <x:c r="N135" s="24" t="str">
        <x:v>lates calcarifer</x:v>
      </x:c>
      <x:c r="O135" s="32" t="n">
        <x:v>4.35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Lates calcarifer</x:v>
      </x:c>
      <x:c r="T135" s="32" t="n">
        <x:f>IF(O135="","",(1/'Metadata'!$B$5)^(O135-1))</x:f>
        <x:v>2238.7211385683377</x:v>
      </x:c>
      <x:c r="U135" s="31" t="n">
        <x:f>IF(T135="","",I135*T135)</x:f>
        <x:v>331453.3432180841</x:v>
      </x:c>
    </x:row>
    <x:row r="136" ht="18" customHeight="1">
      <x:c r="A136" s="24" t="str">
        <x:v>EEZ_156</x:v>
      </x:c>
      <x:c r="B136" s="24" t="str">
        <x:v>China</x:v>
      </x:c>
      <x:c r="C136" s="24" t="str">
        <x:v>EEZ</x:v>
      </x:c>
      <x:c r="D136" s="30" t="n">
        <x:v>2019</x:v>
      </x:c>
      <x:c r="E136" s="24" t="str">
        <x:v>Haliotidae</x:v>
      </x:c>
      <x:c r="F136" s="24" t="str">
        <x:v>Abalones, ear shells</x:v>
      </x:c>
      <x:c r="G136" s="24" t="str">
        <x:v>Other demersal invertebrates</x:v>
      </x:c>
      <x:c r="H136" s="24" t="str">
        <x:v>Molluscs</x:v>
      </x:c>
      <x:c r="I136" s="31" t="n">
        <x:v>144.191327898</x:v>
      </x:c>
      <x:c r="J136" s="31" t="n">
        <x:v>143.80874277389998</x:v>
      </x:c>
      <x:c r="K136" s="31" t="n">
        <x:v>0.3825851241</x:v>
      </x:c>
      <x:c r="L136" s="31" t="n">
        <x:v>143.80874277389998</x:v>
      </x:c>
      <x:c r="M136" s="31" t="n">
        <x:v>0.3825851241</x:v>
      </x:c>
      <x:c r="N136" s="24" t="str">
        <x:v>haliotidae</x:v>
      </x:c>
      <x:c r="O136" s="32" t="n">
        <x:v>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Haliotidae</x:v>
      </x:c>
      <x:c r="T136" s="32" t="n">
        <x:f>IF(O136="","",(1/'Metadata'!$B$5)^(O136-1))</x:f>
        <x:v>10</x:v>
      </x:c>
      <x:c r="U136" s="31" t="n">
        <x:f>IF(T136="","",I136*T136)</x:f>
        <x:v>1441.91327898</x:v>
      </x:c>
    </x:row>
    <x:row r="137" ht="18" customHeight="1">
      <x:c r="A137" s="24" t="str">
        <x:v>EEZ_156</x:v>
      </x:c>
      <x:c r="B137" s="24" t="str">
        <x:v>China</x:v>
      </x:c>
      <x:c r="C137" s="24" t="str">
        <x:v>EEZ</x:v>
      </x:c>
      <x:c r="D137" s="30" t="n">
        <x:v>2019</x:v>
      </x:c>
      <x:c r="E137" s="24" t="str">
        <x:v>Decapterus</x:v>
      </x:c>
      <x:c r="F137" s="24" t="str">
        <x:v>Scads</x:v>
      </x:c>
      <x:c r="G137" s="24" t="str">
        <x:v>Medium pelagics (30 - 89 cm)</x:v>
      </x:c>
      <x:c r="H137" s="24" t="str">
        <x:v>Perch-likes</x:v>
      </x:c>
      <x:c r="I137" s="31" t="n">
        <x:v>139.47909230040003</x:v>
      </x:c>
      <x:c r="J137" s="31" t="n">
        <x:v>139.47909230040003</x:v>
      </x:c>
      <x:c r="K137" s="31" t="n">
        <x:v>0</x:v>
      </x:c>
      <x:c r="L137" s="31" t="n">
        <x:v>0</x:v>
      </x:c>
      <x:c r="M137" s="31" t="n">
        <x:v>139.47909230040003</x:v>
      </x:c>
      <x:c r="N137" s="24" t="str">
        <x:v>decapterus</x:v>
      </x:c>
      <x:c r="O137" s="32" t="n">
        <x:v>3.63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Decapterus</x:v>
      </x:c>
      <x:c r="T137" s="32" t="n">
        <x:f>IF(O137="","",(1/'Metadata'!$B$5)^(O137-1))</x:f>
        <x:v>426.57951880159254</x:v>
      </x:c>
      <x:c r="U137" s="31" t="n">
        <x:f>IF(T137="","",I137*T137)</x:f>
        <x:v>59498.92407638756</x:v>
      </x:c>
    </x:row>
    <x:row r="138" ht="18" customHeight="1">
      <x:c r="A138" s="24" t="str">
        <x:v>EEZ_156</x:v>
      </x:c>
      <x:c r="B138" s="24" t="str">
        <x:v>China</x:v>
      </x:c>
      <x:c r="C138" s="24" t="str">
        <x:v>EEZ</x:v>
      </x:c>
      <x:c r="D138" s="30" t="n">
        <x:v>2019</x:v>
      </x:c>
      <x:c r="E138" s="24" t="str">
        <x:v>Sepiidae</x:v>
      </x:c>
      <x:c r="F138" s="24" t="str">
        <x:v>Cuttlefishes</x:v>
      </x:c>
      <x:c r="G138" s="24" t="str">
        <x:v>Cephalopods</x:v>
      </x:c>
      <x:c r="H138" s="24" t="str">
        <x:v>Other fishes &amp; inverts</x:v>
      </x:c>
      <x:c r="I138" s="31" t="n">
        <x:v>128.4023172144</x:v>
      </x:c>
      <x:c r="J138" s="31" t="n">
        <x:v>128.2422188792</x:v>
      </x:c>
      <x:c r="K138" s="31" t="n">
        <x:v>0.1600983352</x:v>
      </x:c>
      <x:c r="L138" s="31" t="n">
        <x:v>95.5016756307</x:v>
      </x:c>
      <x:c r="M138" s="31" t="n">
        <x:v>32.90064158369999</x:v>
      </x:c>
      <x:c r="N138" s="24" t="str">
        <x:v>sepiidae</x:v>
      </x:c>
      <x:c r="O138" s="32" t="n">
        <x:v>3.6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Sepiidae</x:v>
      </x:c>
      <x:c r="T138" s="32" t="n">
        <x:f>IF(O138="","",(1/'Metadata'!$B$5)^(O138-1))</x:f>
        <x:v>398.1071705534973</x:v>
      </x:c>
      <x:c r="U138" s="31" t="n">
        <x:f>IF(T138="","",I138*T138)</x:f>
        <x:v>51117.88319873741</x:v>
      </x:c>
    </x:row>
    <x:row r="139" ht="18" customHeight="1">
      <x:c r="A139" s="24" t="str">
        <x:v>EEZ_156</x:v>
      </x:c>
      <x:c r="B139" s="24" t="str">
        <x:v>China</x:v>
      </x:c>
      <x:c r="C139" s="24" t="str">
        <x:v>EEZ</x:v>
      </x:c>
      <x:c r="D139" s="30" t="n">
        <x:v>2019</x:v>
      </x:c>
      <x:c r="E139" s="24" t="str">
        <x:v>Berycidae</x:v>
      </x:c>
      <x:c r="F139" s="24" t="str">
        <x:v>Alfonsinos, redfishes</x:v>
      </x:c>
      <x:c r="G139" s="24" t="str">
        <x:v>Medium benthopelagics (30 - 89 cm)</x:v>
      </x:c>
      <x:c r="H139" s="24" t="str">
        <x:v>Other fishes &amp; inverts</x:v>
      </x:c>
      <x:c r="I139" s="31" t="n">
        <x:v>126.4095821603</x:v>
      </x:c>
      <x:c r="J139" s="31" t="n">
        <x:v>125.962663715</x:v>
      </x:c>
      <x:c r="K139" s="31" t="n">
        <x:v>0.4469184453</x:v>
      </x:c>
      <x:c r="L139" s="31" t="n">
        <x:v>125.962663715</x:v>
      </x:c>
      <x:c r="M139" s="31" t="n">
        <x:v>0.4469184453</x:v>
      </x:c>
      <x:c r="N139" s="24" t="str">
        <x:v>berycidae</x:v>
      </x:c>
      <x:c r="O139" s="32" t="n">
        <x:v>3.99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Berycidae</x:v>
      </x:c>
      <x:c r="T139" s="32" t="n">
        <x:f>IF(O139="","",(1/'Metadata'!$B$5)^(O139-1))</x:f>
        <x:v>977.2372209558112</x:v>
      </x:c>
      <x:c r="U139" s="31" t="n">
        <x:f>IF(T139="","",I139*T139)</x:f>
        <x:v>123532.14877251686</x:v>
      </x:c>
    </x:row>
    <x:row r="140" ht="18" customHeight="1">
      <x:c r="A140" s="24" t="str">
        <x:v>EEZ_156</x:v>
      </x:c>
      <x:c r="B140" s="24" t="str">
        <x:v>China</x:v>
      </x:c>
      <x:c r="C140" s="24" t="str">
        <x:v>EEZ</x:v>
      </x:c>
      <x:c r="D140" s="30" t="n">
        <x:v>2019</x:v>
      </x:c>
      <x:c r="E140" s="24" t="str">
        <x:v>Ariomma indica</x:v>
      </x:c>
      <x:c r="F140" s="24" t="str">
        <x:v>Indian driftfish</x:v>
      </x:c>
      <x:c r="G140" s="24" t="str">
        <x:v>Small benthopelagics (&lt;30 cm)</x:v>
      </x:c>
      <x:c r="H140" s="24" t="str">
        <x:v>Perch-likes</x:v>
      </x:c>
      <x:c r="I140" s="31" t="n">
        <x:v>117.8012769801</x:v>
      </x:c>
      <x:c r="J140" s="31" t="n">
        <x:v>117.8012769801</x:v>
      </x:c>
      <x:c r="K140" s="31" t="n">
        <x:v>0</x:v>
      </x:c>
      <x:c r="L140" s="31" t="n">
        <x:v>30.597314340100002</x:v>
      </x:c>
      <x:c r="M140" s="31" t="n">
        <x:v>87.20396264</x:v>
      </x:c>
      <x:c r="N140" s="24" t="str">
        <x:v>ariomma indica</x:v>
      </x:c>
      <x:c r="O140" s="32" t="n">
        <x:v>3.63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Ariomma indica</x:v>
      </x:c>
      <x:c r="T140" s="32" t="n">
        <x:f>IF(O140="","",(1/'Metadata'!$B$5)^(O140-1))</x:f>
        <x:v>426.57951880159254</x:v>
      </x:c>
      <x:c r="U140" s="31" t="n">
        <x:f>IF(T140="","",I140*T140)</x:f>
        <x:v>50251.61204838418</x:v>
      </x:c>
    </x:row>
    <x:row r="141" ht="18" customHeight="1">
      <x:c r="A141" s="24" t="str">
        <x:v>EEZ_156</x:v>
      </x:c>
      <x:c r="B141" s="24" t="str">
        <x:v>China</x:v>
      </x:c>
      <x:c r="C141" s="24" t="str">
        <x:v>EEZ</x:v>
      </x:c>
      <x:c r="D141" s="30" t="n">
        <x:v>2019</x:v>
      </x:c>
      <x:c r="E141" s="24" t="str">
        <x:v>Scaridae</x:v>
      </x:c>
      <x:c r="F141" s="24" t="str">
        <x:v>Parrotfishes</x:v>
      </x:c>
      <x:c r="G141" s="24" t="str">
        <x:v>Medium reef assoc. fish (30 - 89 cm)</x:v>
      </x:c>
      <x:c r="H141" s="24" t="str">
        <x:v>Perch-likes</x:v>
      </x:c>
      <x:c r="I141" s="31" t="n">
        <x:v>116.2679821972</x:v>
      </x:c>
      <x:c r="J141" s="31" t="n">
        <x:v>111.1946684525</x:v>
      </x:c>
      <x:c r="K141" s="31" t="n">
        <x:v>5.0733137447</x:v>
      </x:c>
      <x:c r="L141" s="31" t="n">
        <x:v>104.3275846159</x:v>
      </x:c>
      <x:c r="M141" s="31" t="n">
        <x:v>11.940397581300001</x:v>
      </x:c>
      <x:c r="N141" s="24" t="str">
        <x:v>scaridae</x:v>
      </x:c>
      <x:c r="O141" s="32" t="n">
        <x:v>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Scaridae</x:v>
      </x:c>
      <x:c r="T141" s="32" t="n">
        <x:f>IF(O141="","",(1/'Metadata'!$B$5)^(O141-1))</x:f>
        <x:v>10</x:v>
      </x:c>
      <x:c r="U141" s="31" t="n">
        <x:f>IF(T141="","",I141*T141)</x:f>
        <x:v>1162.679821972</x:v>
      </x:c>
    </x:row>
    <x:row r="142" ht="18" customHeight="1">
      <x:c r="A142" s="24" t="str">
        <x:v>EEZ_156</x:v>
      </x:c>
      <x:c r="B142" s="24" t="str">
        <x:v>China</x:v>
      </x:c>
      <x:c r="C142" s="24" t="str">
        <x:v>EEZ</x:v>
      </x:c>
      <x:c r="D142" s="30" t="n">
        <x:v>2019</x:v>
      </x:c>
      <x:c r="E142" s="24" t="str">
        <x:v>Metapenaeus</x:v>
      </x:c>
      <x:c r="F142" s="24" t="str">
        <x:v>Indo-Pacific prawns</x:v>
      </x:c>
      <x:c r="G142" s="24" t="str">
        <x:v>Shrimps</x:v>
      </x:c>
      <x:c r="H142" s="24" t="str">
        <x:v>Crustaceans</x:v>
      </x:c>
      <x:c r="I142" s="31" t="n">
        <x:v>108.8805730983</x:v>
      </x:c>
      <x:c r="J142" s="31" t="n">
        <x:v>89.9991106028</x:v>
      </x:c>
      <x:c r="K142" s="31" t="n">
        <x:v>18.881462495500003</x:v>
      </x:c>
      <x:c r="L142" s="31" t="n">
        <x:v>34.6164840889</x:v>
      </x:c>
      <x:c r="M142" s="31" t="n">
        <x:v>74.2640890094</x:v>
      </x:c>
      <x:c r="N142" s="24" t="str">
        <x:v>metapenaeus</x:v>
      </x:c>
      <x:c r="O142" s="32" t="n">
        <x:v>2.7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Metapenaeus</x:v>
      </x:c>
      <x:c r="T142" s="32" t="n">
        <x:f>IF(O142="","",(1/'Metadata'!$B$5)^(O142-1))</x:f>
        <x:v>50.11872336272725</x:v>
      </x:c>
      <x:c r="U142" s="31" t="n">
        <x:f>IF(T142="","",I142*T142)</x:f>
        <x:v>5456.955322688901</x:v>
      </x:c>
    </x:row>
    <x:row r="143" ht="18" customHeight="1">
      <x:c r="A143" s="24" t="str">
        <x:v>EEZ_156</x:v>
      </x:c>
      <x:c r="B143" s="24" t="str">
        <x:v>China</x:v>
      </x:c>
      <x:c r="C143" s="24" t="str">
        <x:v>EEZ</x:v>
      </x:c>
      <x:c r="D143" s="30" t="n">
        <x:v>2019</x:v>
      </x:c>
      <x:c r="E143" s="24" t="str">
        <x:v>Ammodytes</x:v>
      </x:c>
      <x:c r="F143" s="24" t="str">
        <x:v>Sand eels</x:v>
      </x:c>
      <x:c r="G143" s="24" t="str">
        <x:v>Large reef assoc. fish (&gt;=90 cm)</x:v>
      </x:c>
      <x:c r="H143" s="24" t="str">
        <x:v>Perch-likes</x:v>
      </x:c>
      <x:c r="I143" s="31" t="n">
        <x:v>53.7997775073</x:v>
      </x:c>
      <x:c r="J143" s="31" t="n">
        <x:v>0</x:v>
      </x:c>
      <x:c r="K143" s="31" t="n">
        <x:v>53.7997775073</x:v>
      </x:c>
      <x:c r="L143" s="31" t="n">
        <x:v>0</x:v>
      </x:c>
      <x:c r="M143" s="31" t="n">
        <x:v>53.7997775073</x:v>
      </x:c>
      <x:c r="N143" s="24" t="str">
        <x:v>ammodytes</x:v>
      </x:c>
      <x:c r="O143" s="32" t="n">
        <x:v>3.11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Ammodytes</x:v>
      </x:c>
      <x:c r="T143" s="32" t="n">
        <x:f>IF(O143="","",(1/'Metadata'!$B$5)^(O143-1))</x:f>
        <x:v>128.82495516931337</x:v>
      </x:c>
      <x:c r="U143" s="31" t="n">
        <x:f>IF(T143="","",I143*T143)</x:f>
        <x:v>6930.753925496956</x:v>
      </x:c>
    </x:row>
    <x:row r="144" ht="18" customHeight="1">
      <x:c r="A144" s="24" t="str">
        <x:v>EEZ_156</x:v>
      </x:c>
      <x:c r="B144" s="24" t="str">
        <x:v>China</x:v>
      </x:c>
      <x:c r="C144" s="24" t="str">
        <x:v>EEZ</x:v>
      </x:c>
      <x:c r="D144" s="30" t="n">
        <x:v>2019</x:v>
      </x:c>
      <x:c r="E144" s="24" t="str">
        <x:v>Mizuhopecten yessoensis</x:v>
      </x:c>
      <x:c r="F144" s="24" t="str">
        <x:v>Yesso scallop</x:v>
      </x:c>
      <x:c r="G144" s="24" t="str">
        <x:v>Other demersal invertebrates</x:v>
      </x:c>
      <x:c r="H144" s="24" t="str">
        <x:v>Molluscs</x:v>
      </x:c>
      <x:c r="I144" s="31" t="n">
        <x:v>51.7346711943</x:v>
      </x:c>
      <x:c r="J144" s="31" t="n">
        <x:v>51.5041971327</x:v>
      </x:c>
      <x:c r="K144" s="31" t="n">
        <x:v>0.2304740616</x:v>
      </x:c>
      <x:c r="L144" s="31" t="n">
        <x:v>51.4912220525</x:v>
      </x:c>
      <x:c r="M144" s="31" t="n">
        <x:v>0.2434491418</x:v>
      </x:c>
      <x:c r="N144" s="24" t="str">
        <x:v>mizuhopecten yessoensis</x:v>
      </x:c>
      <x:c r="O144" s="32" t="n">
        <x:v>2.1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Mizuhopecten yessoensis</x:v>
      </x:c>
      <x:c r="T144" s="32" t="n">
        <x:f>IF(O144="","",(1/'Metadata'!$B$5)^(O144-1))</x:f>
        <x:v>12.589254117941675</x:v>
      </x:c>
      <x:c r="U144" s="31" t="n">
        <x:f>IF(T144="","",I144*T144)</x:f>
        <x:v>651.3009223731998</x:v>
      </x:c>
    </x:row>
    <x:row r="145" ht="18" customHeight="1">
      <x:c r="A145" s="24" t="str">
        <x:v>EEZ_156</x:v>
      </x:c>
      <x:c r="B145" s="24" t="str">
        <x:v>China</x:v>
      </x:c>
      <x:c r="C145" s="24" t="str">
        <x:v>EEZ</x:v>
      </x:c>
      <x:c r="D145" s="30" t="n">
        <x:v>2019</x:v>
      </x:c>
      <x:c r="E145" s="24" t="str">
        <x:v>Mola mola</x:v>
      </x:c>
      <x:c r="F145" s="24" t="str">
        <x:v>Ocean sunfish</x:v>
      </x:c>
      <x:c r="G145" s="24" t="str">
        <x:v>Large pelagics (&gt;=90 cm)</x:v>
      </x:c>
      <x:c r="H145" s="24" t="str">
        <x:v>Other fishes &amp; inverts</x:v>
      </x:c>
      <x:c r="I145" s="31" t="n">
        <x:v>46.188901434099996</x:v>
      </x:c>
      <x:c r="J145" s="31" t="n">
        <x:v>46.188901434099996</x:v>
      </x:c>
      <x:c r="K145" s="31" t="n">
        <x:v>0</x:v>
      </x:c>
      <x:c r="L145" s="31" t="n">
        <x:v>38.7479419639</x:v>
      </x:c>
      <x:c r="M145" s="31" t="n">
        <x:v>7.4409594702</x:v>
      </x:c>
      <x:c r="N145" s="24" t="str">
        <x:v>mola mola</x:v>
      </x:c>
      <x:c r="O145" s="32" t="n">
        <x:v>3.68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Mola mola</x:v>
      </x:c>
      <x:c r="T145" s="32" t="n">
        <x:f>IF(O145="","",(1/'Metadata'!$B$5)^(O145-1))</x:f>
        <x:v>478.6300923226385</x:v>
      </x:c>
      <x:c r="U145" s="31" t="n">
        <x:f>IF(T145="","",I145*T145)</x:f>
        <x:v>22107.398157684533</x:v>
      </x:c>
    </x:row>
    <x:row r="146" ht="18" customHeight="1">
      <x:c r="A146" s="24" t="str">
        <x:v>EEZ_156</x:v>
      </x:c>
      <x:c r="B146" s="24" t="str">
        <x:v>China</x:v>
      </x:c>
      <x:c r="C146" s="24" t="str">
        <x:v>EEZ</x:v>
      </x:c>
      <x:c r="D146" s="30" t="n">
        <x:v>2019</x:v>
      </x:c>
      <x:c r="E146" s="24" t="str">
        <x:v>Thunnus alalunga</x:v>
      </x:c>
      <x:c r="F146" s="24" t="str">
        <x:v>Albacore</x:v>
      </x:c>
      <x:c r="G146" s="24" t="str">
        <x:v>Large pelagics (&gt;=90 cm)</x:v>
      </x:c>
      <x:c r="H146" s="24" t="str">
        <x:v>Tuna &amp; billfishes</x:v>
      </x:c>
      <x:c r="I146" s="31" t="n">
        <x:v>45.1728424805</x:v>
      </x:c>
      <x:c r="J146" s="31" t="n">
        <x:v>44.540156157700004</x:v>
      </x:c>
      <x:c r="K146" s="31" t="n">
        <x:v>0.6326863227999999</x:v>
      </x:c>
      <x:c r="L146" s="31" t="n">
        <x:v>44.540156157700004</x:v>
      </x:c>
      <x:c r="M146" s="31" t="n">
        <x:v>0.6326863227999999</x:v>
      </x:c>
      <x:c r="N146" s="24" t="str">
        <x:v>thunnus alalunga</x:v>
      </x:c>
      <x:c r="O146" s="32" t="n">
        <x:v>4.3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Thunnus alalunga</x:v>
      </x:c>
      <x:c r="T146" s="32" t="n">
        <x:f>IF(O146="","",(1/'Metadata'!$B$5)^(O146-1))</x:f>
        <x:v>1995.2623149688789</x:v>
      </x:c>
      <x:c r="U146" s="31" t="n">
        <x:f>IF(T146="","",I146*T146)</x:f>
        <x:v>90131.67026136695</x:v>
      </x:c>
    </x:row>
    <x:row r="147" ht="18" customHeight="1">
      <x:c r="A147" s="24" t="str">
        <x:v>EEZ_156</x:v>
      </x:c>
      <x:c r="B147" s="24" t="str">
        <x:v>China</x:v>
      </x:c>
      <x:c r="C147" s="24" t="str">
        <x:v>EEZ</x:v>
      </x:c>
      <x:c r="D147" s="30" t="n">
        <x:v>2019</x:v>
      </x:c>
      <x:c r="E147" s="24" t="str">
        <x:v>Nibea mitsukurii</x:v>
      </x:c>
      <x:c r="F147" s="24" t="str">
        <x:v>Honnibe croaker</x:v>
      </x:c>
      <x:c r="G147" s="24" t="str">
        <x:v>Medium benthopelagics (30 - 89 cm)</x:v>
      </x:c>
      <x:c r="H147" s="24" t="str">
        <x:v>Perch-likes</x:v>
      </x:c>
      <x:c r="I147" s="31" t="n">
        <x:v>41.061721588</x:v>
      </x:c>
      <x:c r="J147" s="31" t="n">
        <x:v>0</x:v>
      </x:c>
      <x:c r="K147" s="31" t="n">
        <x:v>41.061721588</x:v>
      </x:c>
      <x:c r="L147" s="31" t="n">
        <x:v>0</x:v>
      </x:c>
      <x:c r="M147" s="31" t="n">
        <x:v>41.061721588</x:v>
      </x:c>
      <x:c r="N147" s="24" t="str">
        <x:v>nibea mitsukurii</x:v>
      </x:c>
      <x:c r="O147" s="32" t="n">
        <x:v>3.5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Nibea mitsukurii</x:v>
      </x:c>
      <x:c r="T147" s="32" t="n">
        <x:f>IF(O147="","",(1/'Metadata'!$B$5)^(O147-1))</x:f>
        <x:v>316.22776601683796</x:v>
      </x:c>
      <x:c r="U147" s="31" t="n">
        <x:f>IF(T147="","",I147*T147)</x:f>
        <x:v>12984.856486578607</x:v>
      </x:c>
    </x:row>
    <x:row r="148" ht="18" customHeight="1">
      <x:c r="A148" s="24" t="str">
        <x:v>EEZ_156</x:v>
      </x:c>
      <x:c r="B148" s="24" t="str">
        <x:v>China</x:v>
      </x:c>
      <x:c r="C148" s="24" t="str">
        <x:v>EEZ</x:v>
      </x:c>
      <x:c r="D148" s="30" t="n">
        <x:v>2019</x:v>
      </x:c>
      <x:c r="E148" s="24" t="str">
        <x:v>Mierspenaeopsis hardwickii</x:v>
      </x:c>
      <x:c r="F148" s="24" t="str">
        <x:v>Spear shrimp</x:v>
      </x:c>
      <x:c r="G148" s="24" t="str">
        <x:v>Shrimps</x:v>
      </x:c>
      <x:c r="H148" s="24" t="str">
        <x:v>Crustaceans</x:v>
      </x:c>
      <x:c r="I148" s="31" t="n">
        <x:v>38.0772419817</x:v>
      </x:c>
      <x:c r="J148" s="31" t="n">
        <x:v>0</x:v>
      </x:c>
      <x:c r="K148" s="31" t="n">
        <x:v>38.0772419817</x:v>
      </x:c>
      <x:c r="L148" s="31" t="n">
        <x:v>0</x:v>
      </x:c>
      <x:c r="M148" s="31" t="n">
        <x:v>38.0772419817</x:v>
      </x:c>
      <x:c r="N148" s="24" t="str">
        <x:v>mierspenaeopsis hardwickii</x:v>
      </x:c>
      <x:c r="O148" s="32" t="n">
        <x:v>2.71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Mierspenaeopsis hardwickii</x:v>
      </x:c>
      <x:c r="T148" s="32" t="n">
        <x:f>IF(O148="","",(1/'Metadata'!$B$5)^(O148-1))</x:f>
        <x:v>51.28613839913648</x:v>
      </x:c>
      <x:c r="U148" s="31" t="n">
        <x:f>IF(T148="","",I148*T148)</x:f>
        <x:v>1952.8347021308762</x:v>
      </x:c>
    </x:row>
    <x:row r="149" ht="18" customHeight="1">
      <x:c r="A149" s="24" t="str">
        <x:v>EEZ_156</x:v>
      </x:c>
      <x:c r="B149" s="24" t="str">
        <x:v>China</x:v>
      </x:c>
      <x:c r="C149" s="24" t="str">
        <x:v>EEZ</x:v>
      </x:c>
      <x:c r="D149" s="30" t="n">
        <x:v>2019</x:v>
      </x:c>
      <x:c r="E149" s="24" t="str">
        <x:v>Platycaranx talamparoides</x:v>
      </x:c>
      <x:c r="F149" s="24" t="str">
        <x:v>Imposter trevally</x:v>
      </x:c>
      <x:c r="G149" s="24" t="str">
        <x:v>Medium pelagics (30 - 89 cm)</x:v>
      </x:c>
      <x:c r="H149" s="24" t="str">
        <x:v>Perch-likes</x:v>
      </x:c>
      <x:c r="I149" s="31" t="n">
        <x:v>36.216775548099996</x:v>
      </x:c>
      <x:c r="J149" s="31" t="n">
        <x:v>36.216775548099996</x:v>
      </x:c>
      <x:c r="K149" s="31" t="n">
        <x:v>0</x:v>
      </x:c>
      <x:c r="L149" s="31" t="n">
        <x:v>9.2978850922</x:v>
      </x:c>
      <x:c r="M149" s="31" t="n">
        <x:v>26.918890455899998</x:v>
      </x:c>
      <x:c r="N149" s="24" t="str">
        <x:v>platycaranx talamparoides</x:v>
      </x:c>
      <x:c r="O149" s="32" t="n">
        <x:v>4.4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Platycaranx talamparoides</x:v>
      </x:c>
      <x:c r="T149" s="32" t="n">
        <x:f>IF(O149="","",(1/'Metadata'!$B$5)^(O149-1))</x:f>
        <x:v>2511.886431509582</x:v>
      </x:c>
      <x:c r="U149" s="31" t="n">
        <x:f>IF(T149="","",I149*T149)</x:f>
        <x:v>90972.4270923004</x:v>
      </x:c>
    </x:row>
    <x:row r="150" ht="18" customHeight="1">
      <x:c r="A150" s="24" t="str">
        <x:v>EEZ_156</x:v>
      </x:c>
      <x:c r="B150" s="24" t="str">
        <x:v>China</x:v>
      </x:c>
      <x:c r="C150" s="24" t="str">
        <x:v>EEZ</x:v>
      </x:c>
      <x:c r="D150" s="30" t="n">
        <x:v>2019</x:v>
      </x:c>
      <x:c r="E150" s="24" t="str">
        <x:v>Muraenidae</x:v>
      </x:c>
      <x:c r="F150" s="24" t="str">
        <x:v>Moray eels</x:v>
      </x:c>
      <x:c r="G150" s="24" t="str">
        <x:v>Large reef assoc. fish (&gt;=90 cm)</x:v>
      </x:c>
      <x:c r="H150" s="24" t="str">
        <x:v>Other fishes &amp; inverts</x:v>
      </x:c>
      <x:c r="I150" s="31" t="n">
        <x:v>32.2671086233</x:v>
      </x:c>
      <x:c r="J150" s="31" t="n">
        <x:v>0</x:v>
      </x:c>
      <x:c r="K150" s="31" t="n">
        <x:v>32.2671086233</x:v>
      </x:c>
      <x:c r="L150" s="31" t="n">
        <x:v>0</x:v>
      </x:c>
      <x:c r="M150" s="31" t="n">
        <x:v>32.2671086233</x:v>
      </x:c>
      <x:c r="N150" s="24" t="str">
        <x:v>muraenidae</x:v>
      </x:c>
      <x:c r="O150" s="32" t="n">
        <x:v>4.07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Muraenidae</x:v>
      </x:c>
      <x:c r="T150" s="32" t="n">
        <x:f>IF(O150="","",(1/'Metadata'!$B$5)^(O150-1))</x:f>
        <x:v>1174.8975549395302</x:v>
      </x:c>
      <x:c r="U150" s="31" t="n">
        <x:f>IF(T150="","",I150*T150)</x:f>
        <x:v>37910.5470264834</x:v>
      </x:c>
    </x:row>
    <x:row r="151" ht="18" customHeight="1">
      <x:c r="A151" s="24" t="str">
        <x:v>EEZ_156</x:v>
      </x:c>
      <x:c r="B151" s="24" t="str">
        <x:v>China</x:v>
      </x:c>
      <x:c r="C151" s="24" t="str">
        <x:v>EEZ</x:v>
      </x:c>
      <x:c r="D151" s="30" t="n">
        <x:v>2019</x:v>
      </x:c>
      <x:c r="E151" s="24" t="str">
        <x:v>Saurida</x:v>
      </x:c>
      <x:c r="F151" s="24" t="str">
        <x:v>Lizardfishes</x:v>
      </x:c>
      <x:c r="G151" s="24" t="str">
        <x:v>Medium demersals (30 - 89 cm)</x:v>
      </x:c>
      <x:c r="H151" s="24" t="str">
        <x:v>Other fishes &amp; inverts</x:v>
      </x:c>
      <x:c r="I151" s="31" t="n">
        <x:v>27.1591587933</x:v>
      </x:c>
      <x:c r="J151" s="31" t="n">
        <x:v>0</x:v>
      </x:c>
      <x:c r="K151" s="31" t="n">
        <x:v>27.1591587933</x:v>
      </x:c>
      <x:c r="L151" s="31" t="n">
        <x:v>0</x:v>
      </x:c>
      <x:c r="M151" s="31" t="n">
        <x:v>27.1591587933</x:v>
      </x:c>
      <x:c r="N151" s="24" t="str">
        <x:v>saurida</x:v>
      </x:c>
      <x:c r="O151" s="32" t="n">
        <x:v>4.35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Saurida</x:v>
      </x:c>
      <x:c r="T151" s="32" t="n">
        <x:f>IF(O151="","",(1/'Metadata'!$B$5)^(O151-1))</x:f>
        <x:v>2238.7211385683377</x:v>
      </x:c>
      <x:c r="U151" s="31" t="n">
        <x:f>IF(T151="","",I151*T151)</x:f>
        <x:v>60801.782896294855</x:v>
      </x:c>
    </x:row>
    <x:row r="152" ht="18" customHeight="1">
      <x:c r="A152" s="24" t="str">
        <x:v>EEZ_156</x:v>
      </x:c>
      <x:c r="B152" s="24" t="str">
        <x:v>China</x:v>
      </x:c>
      <x:c r="C152" s="24" t="str">
        <x:v>EEZ</x:v>
      </x:c>
      <x:c r="D152" s="30" t="n">
        <x:v>2019</x:v>
      </x:c>
      <x:c r="E152" s="24" t="str">
        <x:v>Chanos chanos</x:v>
      </x:c>
      <x:c r="F152" s="24" t="str">
        <x:v>Milkfish</x:v>
      </x:c>
      <x:c r="G152" s="24" t="str">
        <x:v>Large benthopelagics (&gt;=90 cm)</x:v>
      </x:c>
      <x:c r="H152" s="24" t="str">
        <x:v>Other fishes &amp; inverts</x:v>
      </x:c>
      <x:c r="I152" s="31" t="n">
        <x:v>25.6125685393</x:v>
      </x:c>
      <x:c r="J152" s="31" t="n">
        <x:v>25.4660875217</x:v>
      </x:c>
      <x:c r="K152" s="31" t="n">
        <x:v>0.1464810176</x:v>
      </x:c>
      <x:c r="L152" s="31" t="n">
        <x:v>22.7513855107</x:v>
      </x:c>
      <x:c r="M152" s="31" t="n">
        <x:v>2.8611830286</x:v>
      </x:c>
      <x:c r="N152" s="24" t="str">
        <x:v>chanos chanos</x:v>
      </x:c>
      <x:c r="O152" s="32" t="n">
        <x:v>2.03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Chanos chanos</x:v>
      </x:c>
      <x:c r="T152" s="32" t="n">
        <x:f>IF(O152="","",(1/'Metadata'!$B$5)^(O152-1))</x:f>
        <x:v>10.71519305237606</x:v>
      </x:c>
      <x:c r="U152" s="31" t="n">
        <x:f>IF(T152="","",I152*T152)</x:f>
        <x:v>274.443616465813</x:v>
      </x:c>
    </x:row>
    <x:row r="153" ht="18" customHeight="1">
      <x:c r="A153" s="24" t="str">
        <x:v>EEZ_156</x:v>
      </x:c>
      <x:c r="B153" s="24" t="str">
        <x:v>China</x:v>
      </x:c>
      <x:c r="C153" s="24" t="str">
        <x:v>EEZ</x:v>
      </x:c>
      <x:c r="D153" s="30" t="n">
        <x:v>2019</x:v>
      </x:c>
      <x:c r="E153" s="24" t="str">
        <x:v>Decapterus russelli</x:v>
      </x:c>
      <x:c r="F153" s="24" t="str">
        <x:v>Indian scad</x:v>
      </x:c>
      <x:c r="G153" s="24" t="str">
        <x:v>Medium pelagics (30 - 89 cm)</x:v>
      </x:c>
      <x:c r="H153" s="24" t="str">
        <x:v>Perch-likes</x:v>
      </x:c>
      <x:c r="I153" s="31" t="n">
        <x:v>25.5554388113</x:v>
      </x:c>
      <x:c r="J153" s="31" t="n">
        <x:v>25.5554388113</x:v>
      </x:c>
      <x:c r="K153" s="31" t="n">
        <x:v>0</x:v>
      </x:c>
      <x:c r="L153" s="31" t="n">
        <x:v>0</x:v>
      </x:c>
      <x:c r="M153" s="31" t="n">
        <x:v>25.5554388113</x:v>
      </x:c>
      <x:c r="N153" s="24" t="str">
        <x:v>decapterus russelli</x:v>
      </x:c>
      <x:c r="O153" s="32" t="n">
        <x:v>3.68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Decapterus russelli</x:v>
      </x:c>
      <x:c r="T153" s="32" t="n">
        <x:f>IF(O153="","",(1/'Metadata'!$B$5)^(O153-1))</x:f>
        <x:v>478.6300923226385</x:v>
      </x:c>
      <x:c r="U153" s="31" t="n">
        <x:f>IF(T153="","",I153*T153)</x:f>
        <x:v>12231.602037598059</x:v>
      </x:c>
    </x:row>
    <x:row r="154" ht="18" customHeight="1">
      <x:c r="A154" s="24" t="str">
        <x:v>EEZ_156</x:v>
      </x:c>
      <x:c r="B154" s="24" t="str">
        <x:v>China</x:v>
      </x:c>
      <x:c r="C154" s="24" t="str">
        <x:v>EEZ</x:v>
      </x:c>
      <x:c r="D154" s="30" t="n">
        <x:v>2019</x:v>
      </x:c>
      <x:c r="E154" s="24" t="str">
        <x:v>Scylla serrata</x:v>
      </x:c>
      <x:c r="F154" s="24" t="str">
        <x:v>Indo-Pacific swamp crab</x:v>
      </x:c>
      <x:c r="G154" s="24" t="str">
        <x:v>Lobsters, crabs</x:v>
      </x:c>
      <x:c r="H154" s="24" t="str">
        <x:v>Crustaceans</x:v>
      </x:c>
      <x:c r="I154" s="31" t="n">
        <x:v>24.4086535269</x:v>
      </x:c>
      <x:c r="J154" s="31" t="n">
        <x:v>24.0452332509</x:v>
      </x:c>
      <x:c r="K154" s="31" t="n">
        <x:v>0.363420276</x:v>
      </x:c>
      <x:c r="L154" s="31" t="n">
        <x:v>21.6064507905</x:v>
      </x:c>
      <x:c r="M154" s="31" t="n">
        <x:v>2.8022027364</x:v>
      </x:c>
      <x:c r="N154" s="24" t="str">
        <x:v>scylla serrata</x:v>
      </x:c>
      <x:c r="O154" s="32" t="n">
        <x:v>3.17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Scylla serrata</x:v>
      </x:c>
      <x:c r="T154" s="32" t="n">
        <x:f>IF(O154="","",(1/'Metadata'!$B$5)^(O154-1))</x:f>
        <x:v>147.91083881682073</x:v>
      </x:c>
      <x:c r="U154" s="31" t="n">
        <x:f>IF(T154="","",I154*T154)</x:f>
        <x:v>3610.304417552929</x:v>
      </x:c>
    </x:row>
    <x:row r="155" ht="18" customHeight="1">
      <x:c r="A155" s="24" t="str">
        <x:v>EEZ_156</x:v>
      </x:c>
      <x:c r="B155" s="24" t="str">
        <x:v>China</x:v>
      </x:c>
      <x:c r="C155" s="24" t="str">
        <x:v>EEZ</x:v>
      </x:c>
      <x:c r="D155" s="30" t="n">
        <x:v>2019</x:v>
      </x:c>
      <x:c r="E155" s="24" t="str">
        <x:v>Rachycentron canadum</x:v>
      </x:c>
      <x:c r="F155" s="24" t="str">
        <x:v>Cobia</x:v>
      </x:c>
      <x:c r="G155" s="24" t="str">
        <x:v>Large pelagics (&gt;=90 cm)</x:v>
      </x:c>
      <x:c r="H155" s="24" t="str">
        <x:v>Perch-likes</x:v>
      </x:c>
      <x:c r="I155" s="31" t="n">
        <x:v>23.237695017</x:v>
      </x:c>
      <x:c r="J155" s="31" t="n">
        <x:v>12.507026741999999</x:v>
      </x:c>
      <x:c r="K155" s="31" t="n">
        <x:v>10.730668275</x:v>
      </x:c>
      <x:c r="L155" s="31" t="n">
        <x:v>12.507026741999999</x:v>
      </x:c>
      <x:c r="M155" s="31" t="n">
        <x:v>10.730668275</x:v>
      </x:c>
      <x:c r="N155" s="24" t="str">
        <x:v>rachycentron canadum</x:v>
      </x:c>
      <x:c r="O155" s="32" t="n">
        <x:v>3.96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Rachycentron canadum</x:v>
      </x:c>
      <x:c r="T155" s="32" t="n">
        <x:f>IF(O155="","",(1/'Metadata'!$B$5)^(O155-1))</x:f>
        <x:v>912.0108393559096</x:v>
      </x:c>
      <x:c r="U155" s="31" t="n">
        <x:f>IF(T155="","",I155*T155)</x:f>
        <x:v>21193.02973715081</x:v>
      </x:c>
    </x:row>
    <x:row r="156" ht="18" customHeight="1">
      <x:c r="A156" s="24" t="str">
        <x:v>EEZ_156</x:v>
      </x:c>
      <x:c r="B156" s="24" t="str">
        <x:v>China</x:v>
      </x:c>
      <x:c r="C156" s="24" t="str">
        <x:v>EEZ</x:v>
      </x:c>
      <x:c r="D156" s="30" t="n">
        <x:v>2019</x:v>
      </x:c>
      <x:c r="E156" s="24" t="str">
        <x:v>Penaeus monodon</x:v>
      </x:c>
      <x:c r="F156" s="24" t="str">
        <x:v>Giant tiger prawn</x:v>
      </x:c>
      <x:c r="G156" s="24" t="str">
        <x:v>Shrimps</x:v>
      </x:c>
      <x:c r="H156" s="24" t="str">
        <x:v>Crustaceans</x:v>
      </x:c>
      <x:c r="I156" s="31" t="n">
        <x:v>19.3870377006</x:v>
      </x:c>
      <x:c r="J156" s="31" t="n">
        <x:v>15.1283447951</x:v>
      </x:c>
      <x:c r="K156" s="31" t="n">
        <x:v>4.2586929055</x:v>
      </x:c>
      <x:c r="L156" s="31" t="n">
        <x:v>13.1656043461</x:v>
      </x:c>
      <x:c r="M156" s="31" t="n">
        <x:v>6.2214333545</x:v>
      </x:c>
      <x:c r="N156" s="24" t="str">
        <x:v>penaeus monodon</x:v>
      </x:c>
      <x:c r="O156" s="32" t="n">
        <x:v>2.6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Penaeus monodon</x:v>
      </x:c>
      <x:c r="T156" s="32" t="n">
        <x:f>IF(O156="","",(1/'Metadata'!$B$5)^(O156-1))</x:f>
        <x:v>39.810717055349734</x:v>
      </x:c>
      <x:c r="U156" s="31" t="n">
        <x:f>IF(T156="","",I156*T156)</x:f>
        <x:v>771.8118724399848</x:v>
      </x:c>
    </x:row>
    <x:row r="157" ht="18" customHeight="1">
      <x:c r="A157" s="24" t="str">
        <x:v>EEZ_156</x:v>
      </x:c>
      <x:c r="B157" s="24" t="str">
        <x:v>China</x:v>
      </x:c>
      <x:c r="C157" s="24" t="str">
        <x:v>EEZ</x:v>
      </x:c>
      <x:c r="D157" s="30" t="n">
        <x:v>2019</x:v>
      </x:c>
      <x:c r="E157" s="24" t="str">
        <x:v>Magallana gigas</x:v>
      </x:c>
      <x:c r="F157" s="24" t="str">
        <x:v>Pacific cupped oyster</x:v>
      </x:c>
      <x:c r="G157" s="24" t="str">
        <x:v>Other demersal invertebrates</x:v>
      </x:c>
      <x:c r="H157" s="24" t="str">
        <x:v>Molluscs</x:v>
      </x:c>
      <x:c r="I157" s="31" t="n">
        <x:v>12.5789597843</x:v>
      </x:c>
      <x:c r="J157" s="31" t="n">
        <x:v>12.5789597843</x:v>
      </x:c>
      <x:c r="K157" s="31" t="n">
        <x:v>0</x:v>
      </x:c>
      <x:c r="L157" s="31" t="n">
        <x:v>0</x:v>
      </x:c>
      <x:c r="M157" s="31" t="n">
        <x:v>12.5789597843</x:v>
      </x:c>
      <x:c r="N157" s="24" t="str">
        <x:v>magallana gigas</x:v>
      </x:c>
      <x:c r="O157" s="32" t="n">
        <x:v>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Magallana gigas</x:v>
      </x:c>
      <x:c r="T157" s="32" t="n">
        <x:f>IF(O157="","",(1/'Metadata'!$B$5)^(O157-1))</x:f>
        <x:v>10</x:v>
      </x:c>
      <x:c r="U157" s="31" t="n">
        <x:f>IF(T157="","",I157*T157)</x:f>
        <x:v>125.789597843</x:v>
      </x:c>
    </x:row>
    <x:row r="158" ht="18" customHeight="1">
      <x:c r="A158" s="24" t="str">
        <x:v>EEZ_156</x:v>
      </x:c>
      <x:c r="B158" s="24" t="str">
        <x:v>China</x:v>
      </x:c>
      <x:c r="C158" s="24" t="str">
        <x:v>EEZ</x:v>
      </x:c>
      <x:c r="D158" s="30" t="n">
        <x:v>2019</x:v>
      </x:c>
      <x:c r="E158" s="24" t="str">
        <x:v>Octopodidae</x:v>
      </x:c>
      <x:c r="F158" s="24" t="str">
        <x:v>Octopuses</x:v>
      </x:c>
      <x:c r="G158" s="24" t="str">
        <x:v>Cephalopods</x:v>
      </x:c>
      <x:c r="H158" s="24" t="str">
        <x:v>Other fishes &amp; inverts</x:v>
      </x:c>
      <x:c r="I158" s="31" t="n">
        <x:v>11.7073250519</x:v>
      </x:c>
      <x:c r="J158" s="31" t="n">
        <x:v>11.6399176134</x:v>
      </x:c>
      <x:c r="K158" s="31" t="n">
        <x:v>0.0674074385</x:v>
      </x:c>
      <x:c r="L158" s="31" t="n">
        <x:v>11.6399176134</x:v>
      </x:c>
      <x:c r="M158" s="31" t="n">
        <x:v>0.0674074385</x:v>
      </x:c>
      <x:c r="N158" s="24" t="str">
        <x:v>octopodidae</x:v>
      </x:c>
      <x:c r="O158" s="32" t="n">
        <x:v>3.59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Octopodidae</x:v>
      </x:c>
      <x:c r="T158" s="32" t="n">
        <x:f>IF(O158="","",(1/'Metadata'!$B$5)^(O158-1))</x:f>
        <x:v>389.04514499428046</x:v>
      </x:c>
      <x:c r="U158" s="31" t="n">
        <x:f>IF(T158="","",I158*T158)</x:f>
        <x:v>4554.677972311608</x:v>
      </x:c>
    </x:row>
    <x:row r="159" ht="18" customHeight="1">
      <x:c r="A159" s="24" t="str">
        <x:v>EEZ_156</x:v>
      </x:c>
      <x:c r="B159" s="24" t="str">
        <x:v>China</x:v>
      </x:c>
      <x:c r="C159" s="24" t="str">
        <x:v>EEZ</x:v>
      </x:c>
      <x:c r="D159" s="30" t="n">
        <x:v>2019</x:v>
      </x:c>
      <x:c r="E159" s="24" t="str">
        <x:v>Lethrinus miniatus</x:v>
      </x:c>
      <x:c r="F159" s="24" t="str">
        <x:v>Trumpet emperor</x:v>
      </x:c>
      <x:c r="G159" s="24" t="str">
        <x:v>Medium reef assoc. fish (30 - 89 cm)</x:v>
      </x:c>
      <x:c r="H159" s="24" t="str">
        <x:v>Perch-likes</x:v>
      </x:c>
      <x:c r="I159" s="31" t="n">
        <x:v>11.1899484095</x:v>
      </x:c>
      <x:c r="J159" s="31" t="n">
        <x:v>10.866359473</x:v>
      </x:c>
      <x:c r="K159" s="31" t="n">
        <x:v>0.32358893650000004</x:v>
      </x:c>
      <x:c r="L159" s="31" t="n">
        <x:v>6.423953990999999</x:v>
      </x:c>
      <x:c r="M159" s="31" t="n">
        <x:v>4.7659944185</x:v>
      </x:c>
      <x:c r="N159" s="24" t="str">
        <x:v>lethrinus miniatus</x:v>
      </x:c>
      <x:c r="O159" s="32" t="n">
        <x:v>4.19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Lethrinus miniatus</x:v>
      </x:c>
      <x:c r="T159" s="32" t="n">
        <x:f>IF(O159="","",(1/'Metadata'!$B$5)^(O159-1))</x:f>
        <x:v>1548.8166189124827</x:v>
      </x:c>
      <x:c r="U159" s="31" t="n">
        <x:f>IF(T159="","",I159*T159)</x:f>
        <x:v>17331.178061406903</x:v>
      </x:c>
    </x:row>
    <x:row r="160" ht="18" customHeight="1">
      <x:c r="A160" s="24" t="str">
        <x:v>EEZ_156</x:v>
      </x:c>
      <x:c r="B160" s="24" t="str">
        <x:v>China</x:v>
      </x:c>
      <x:c r="C160" s="24" t="str">
        <x:v>EEZ</x:v>
      </x:c>
      <x:c r="D160" s="30" t="n">
        <x:v>2019</x:v>
      </x:c>
      <x:c r="E160" s="24" t="str">
        <x:v>Polydactylus sexfilis</x:v>
      </x:c>
      <x:c r="F160" s="24" t="str">
        <x:v>Sixfinger threadfin</x:v>
      </x:c>
      <x:c r="G160" s="24" t="str">
        <x:v>Medium demersals (30 - 89 cm)</x:v>
      </x:c>
      <x:c r="H160" s="24" t="str">
        <x:v>Perch-likes</x:v>
      </x:c>
      <x:c r="I160" s="31" t="n">
        <x:v>8.6079380541</x:v>
      </x:c>
      <x:c r="J160" s="31" t="n">
        <x:v>0</x:v>
      </x:c>
      <x:c r="K160" s="31" t="n">
        <x:v>8.6079380541</x:v>
      </x:c>
      <x:c r="L160" s="31" t="n">
        <x:v>0</x:v>
      </x:c>
      <x:c r="M160" s="31" t="n">
        <x:v>8.6079380541</x:v>
      </x:c>
      <x:c r="N160" s="24" t="str">
        <x:v>polydactylus sexfilis</x:v>
      </x:c>
      <x:c r="O160" s="32" t="n">
        <x:v>3.43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Polydactylus sexfilis</x:v>
      </x:c>
      <x:c r="T160" s="32" t="n">
        <x:f>IF(O160="","",(1/'Metadata'!$B$5)^(O160-1))</x:f>
        <x:v>269.1534803926917</x:v>
      </x:c>
      <x:c r="U160" s="31" t="n">
        <x:f>IF(T160="","",I160*T160)</x:f>
        <x:v>2316.856486265709</x:v>
      </x:c>
    </x:row>
    <x:row r="161" ht="18" customHeight="1">
      <x:c r="A161" s="24" t="str">
        <x:v>EEZ_156</x:v>
      </x:c>
      <x:c r="B161" s="24" t="str">
        <x:v>China</x:v>
      </x:c>
      <x:c r="C161" s="24" t="str">
        <x:v>EEZ</x:v>
      </x:c>
      <x:c r="D161" s="30" t="n">
        <x:v>2019</x:v>
      </x:c>
      <x:c r="E161" s="24" t="str">
        <x:v>Prionace glauca</x:v>
      </x:c>
      <x:c r="F161" s="24" t="str">
        <x:v>Blue shark</x:v>
      </x:c>
      <x:c r="G161" s="24" t="str">
        <x:v>Large sharks (&gt;=90 cm)</x:v>
      </x:c>
      <x:c r="H161" s="24" t="str">
        <x:v>Sharks &amp; rays</x:v>
      </x:c>
      <x:c r="I161" s="31" t="n">
        <x:v>8.1315924484</x:v>
      </x:c>
      <x:c r="J161" s="31" t="n">
        <x:v>6.1068758374000005</x:v>
      </x:c>
      <x:c r="K161" s="31" t="n">
        <x:v>2.024716611</x:v>
      </x:c>
      <x:c r="L161" s="31" t="n">
        <x:v>6.087812748</x:v>
      </x:c>
      <x:c r="M161" s="31" t="n">
        <x:v>2.0437797004</x:v>
      </x:c>
      <x:c r="N161" s="24" t="str">
        <x:v>prionace glauca</x:v>
      </x:c>
      <x:c r="O161" s="32" t="n">
        <x:v>4.35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Prionace glauca</x:v>
      </x:c>
      <x:c r="T161" s="32" t="n">
        <x:f>IF(O161="","",(1/'Metadata'!$B$5)^(O161-1))</x:f>
        <x:v>2238.7211385683377</x:v>
      </x:c>
      <x:c r="U161" s="31" t="n">
        <x:f>IF(T161="","",I161*T161)</x:f>
        <x:v>18204.367904455743</x:v>
      </x:c>
    </x:row>
    <x:row r="162" ht="18" customHeight="1">
      <x:c r="A162" s="24" t="str">
        <x:v>EEZ_156</x:v>
      </x:c>
      <x:c r="B162" s="24" t="str">
        <x:v>China</x:v>
      </x:c>
      <x:c r="C162" s="24" t="str">
        <x:v>EEZ</x:v>
      </x:c>
      <x:c r="D162" s="30" t="n">
        <x:v>2019</x:v>
      </x:c>
      <x:c r="E162" s="24" t="str">
        <x:v>Epinephelus malabaricus</x:v>
      </x:c>
      <x:c r="F162" s="24" t="str">
        <x:v>Malabar grouper</x:v>
      </x:c>
      <x:c r="G162" s="24" t="str">
        <x:v>Large reef assoc. fish (&gt;=90 cm)</x:v>
      </x:c>
      <x:c r="H162" s="24" t="str">
        <x:v>Perch-likes</x:v>
      </x:c>
      <x:c r="I162" s="31" t="n">
        <x:v>7.941770143199999</x:v>
      </x:c>
      <x:c r="J162" s="31" t="n">
        <x:v>0</x:v>
      </x:c>
      <x:c r="K162" s="31" t="n">
        <x:v>7.941770143199999</x:v>
      </x:c>
      <x:c r="L162" s="31" t="n">
        <x:v>0</x:v>
      </x:c>
      <x:c r="M162" s="31" t="n">
        <x:v>7.941770143199999</x:v>
      </x:c>
      <x:c r="N162" s="24" t="str">
        <x:v>epinephelus malabaricus</x:v>
      </x:c>
      <x:c r="O162" s="32" t="n">
        <x:v>4.16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Epinephelus malabaricus</x:v>
      </x:c>
      <x:c r="T162" s="32" t="n">
        <x:f>IF(O162="","",(1/'Metadata'!$B$5)^(O162-1))</x:f>
        <x:v>1445.439770745928</x:v>
      </x:c>
      <x:c r="U162" s="31" t="n">
        <x:f>IF(T162="","",I162*T162)</x:f>
        <x:v>11479.350415103863</x:v>
      </x:c>
    </x:row>
    <x:row r="163" ht="18" customHeight="1">
      <x:c r="A163" s="24" t="str">
        <x:v>EEZ_156</x:v>
      </x:c>
      <x:c r="B163" s="24" t="str">
        <x:v>China</x:v>
      </x:c>
      <x:c r="C163" s="24" t="str">
        <x:v>EEZ</x:v>
      </x:c>
      <x:c r="D163" s="30" t="n">
        <x:v>2019</x:v>
      </x:c>
      <x:c r="E163" s="24" t="str">
        <x:v>Saurida undosquamis</x:v>
      </x:c>
      <x:c r="F163" s="24" t="str">
        <x:v>Brushtooth lizardfish</x:v>
      </x:c>
      <x:c r="G163" s="24" t="str">
        <x:v>Medium demersals (30 - 89 cm)</x:v>
      </x:c>
      <x:c r="H163" s="24" t="str">
        <x:v>Other fishes &amp; inverts</x:v>
      </x:c>
      <x:c r="I163" s="31" t="n">
        <x:v>4.4812675974</x:v>
      </x:c>
      <x:c r="J163" s="31" t="n">
        <x:v>0</x:v>
      </x:c>
      <x:c r="K163" s="31" t="n">
        <x:v>4.4812675974</x:v>
      </x:c>
      <x:c r="L163" s="31" t="n">
        <x:v>0</x:v>
      </x:c>
      <x:c r="M163" s="31" t="n">
        <x:v>4.4812675974</x:v>
      </x:c>
      <x:c r="N163" s="24" t="str">
        <x:v>saurida undosquamis</x:v>
      </x:c>
      <x:c r="O163" s="32" t="n">
        <x:v>4.46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Saurida undosquamis</x:v>
      </x:c>
      <x:c r="T163" s="32" t="n">
        <x:f>IF(O163="","",(1/'Metadata'!$B$5)^(O163-1))</x:f>
        <x:v>2884.031503126606</x:v>
      </x:c>
      <x:c r="U163" s="31" t="n">
        <x:f>IF(T163="","",I163*T163)</x:f>
        <x:v>12924.116924842074</x:v>
      </x:c>
    </x:row>
    <x:row r="164" ht="18" customHeight="1">
      <x:c r="A164" s="24" t="str">
        <x:v>EEZ_156</x:v>
      </x:c>
      <x:c r="B164" s="24" t="str">
        <x:v>China</x:v>
      </x:c>
      <x:c r="C164" s="24" t="str">
        <x:v>EEZ</x:v>
      </x:c>
      <x:c r="D164" s="30" t="n">
        <x:v>2019</x:v>
      </x:c>
      <x:c r="E164" s="24" t="str">
        <x:v>Bramidae</x:v>
      </x:c>
      <x:c r="F164" s="24" t="str">
        <x:v>Pomfrets</x:v>
      </x:c>
      <x:c r="G164" s="24" t="str">
        <x:v>Medium pelagics (30 - 89 cm)</x:v>
      </x:c>
      <x:c r="H164" s="24" t="str">
        <x:v>Perch-likes</x:v>
      </x:c>
      <x:c r="I164" s="31" t="n">
        <x:v>4.2009570227</x:v>
      </x:c>
      <x:c r="J164" s="31" t="n">
        <x:v>0</x:v>
      </x:c>
      <x:c r="K164" s="31" t="n">
        <x:v>4.2009570227</x:v>
      </x:c>
      <x:c r="L164" s="31" t="n">
        <x:v>0</x:v>
      </x:c>
      <x:c r="M164" s="31" t="n">
        <x:v>4.2009570227</x:v>
      </x:c>
      <x:c r="N164" s="24" t="str">
        <x:v>bramidae</x:v>
      </x:c>
      <x:c r="O164" s="32" t="n">
        <x:v>4.14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Bramidae</x:v>
      </x:c>
      <x:c r="T164" s="32" t="n">
        <x:f>IF(O164="","",(1/'Metadata'!$B$5)^(O164-1))</x:f>
        <x:v>1380.3842646028838</x:v>
      </x:c>
      <x:c r="U164" s="31" t="n">
        <x:f>IF(T164="","",I164*T164)</x:f>
        <x:v>5798.93497040806</x:v>
      </x:c>
    </x:row>
    <x:row r="165" ht="18" customHeight="1">
      <x:c r="A165" s="24" t="str">
        <x:v>EEZ_156</x:v>
      </x:c>
      <x:c r="B165" s="24" t="str">
        <x:v>China</x:v>
      </x:c>
      <x:c r="C165" s="24" t="str">
        <x:v>EEZ</x:v>
      </x:c>
      <x:c r="D165" s="30" t="n">
        <x:v>2019</x:v>
      </x:c>
      <x:c r="E165" s="24" t="str">
        <x:v>Marine pelagic fishes not identified</x:v>
      </x:c>
      <x:c r="F165" s="24" t="str">
        <x:v>Pelagic fishes</x:v>
      </x:c>
      <x:c r="G165" s="24" t="str">
        <x:v>Medium pelagics (30 - 89 cm)</x:v>
      </x:c>
      <x:c r="H165" s="24" t="str">
        <x:v>Other fishes &amp; inverts</x:v>
      </x:c>
      <x:c r="I165" s="31" t="n">
        <x:v>3.4211833608999997</x:v>
      </x:c>
      <x:c r="J165" s="31" t="n">
        <x:v>3.4181780897</x:v>
      </x:c>
      <x:c r="K165" s="31" t="n">
        <x:v>0.0030052712</x:v>
      </x:c>
      <x:c r="L165" s="31" t="n">
        <x:v>3.4181780897</x:v>
      </x:c>
      <x:c r="M165" s="31" t="n">
        <x:v>0.0030052712</x:v>
      </x:c>
      <x:c r="N165" s="24" t="str">
        <x:v>marine pelagic fishes not identified</x:v>
      </x:c>
      <x:c r="O165" s="32" t="n">
        <x:v>3.35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Marine pelagic fishes not identified</x:v>
      </x:c>
      <x:c r="T165" s="32" t="n">
        <x:f>IF(O165="","",(1/'Metadata'!$B$5)^(O165-1))</x:f>
        <x:v>223.872113856834</x:v>
      </x:c>
      <x:c r="U165" s="31" t="n">
        <x:f>IF(T165="","",I165*T165)</x:f>
        <x:v>765.9075508965108</x:v>
      </x:c>
    </x:row>
    <x:row r="166" ht="18" customHeight="1">
      <x:c r="A166" s="24" t="str">
        <x:v>EEZ_156</x:v>
      </x:c>
      <x:c r="B166" s="24" t="str">
        <x:v>China</x:v>
      </x:c>
      <x:c r="C166" s="24" t="str">
        <x:v>EEZ</x:v>
      </x:c>
      <x:c r="D166" s="30" t="n">
        <x:v>2019</x:v>
      </x:c>
      <x:c r="E166" s="24" t="str">
        <x:v>Lutjanus bohar</x:v>
      </x:c>
      <x:c r="F166" s="24" t="str">
        <x:v>Two-spot red snapper</x:v>
      </x:c>
      <x:c r="G166" s="24" t="str">
        <x:v>Medium reef assoc. fish (30 - 89 cm)</x:v>
      </x:c>
      <x:c r="H166" s="24" t="str">
        <x:v>Perch-likes</x:v>
      </x:c>
      <x:c r="I166" s="31" t="n">
        <x:v>2.12557792</x:v>
      </x:c>
      <x:c r="J166" s="31" t="n">
        <x:v>0</x:v>
      </x:c>
      <x:c r="K166" s="31" t="n">
        <x:v>2.12557792</x:v>
      </x:c>
      <x:c r="L166" s="31" t="n">
        <x:v>0</x:v>
      </x:c>
      <x:c r="M166" s="31" t="n">
        <x:v>2.12557792</x:v>
      </x:c>
      <x:c r="N166" s="24" t="str">
        <x:v>lutjanus bohar</x:v>
      </x:c>
      <x:c r="O166" s="32" t="n">
        <x:v>4.27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Lutjanus bohar</x:v>
      </x:c>
      <x:c r="T166" s="32" t="n">
        <x:f>IF(O166="","",(1/'Metadata'!$B$5)^(O166-1))</x:f>
        <x:v>1862.0871366628655</x:v>
      </x:c>
      <x:c r="U166" s="31" t="n">
        <x:f>IF(T166="","",I166*T166)</x:f>
        <x:v>3958.0113028066094</x:v>
      </x:c>
    </x:row>
    <x:row r="167" ht="18" customHeight="1">
      <x:c r="A167" s="24" t="str">
        <x:v>EEZ_156</x:v>
      </x:c>
      <x:c r="B167" s="24" t="str">
        <x:v>China</x:v>
      </x:c>
      <x:c r="C167" s="24" t="str">
        <x:v>EEZ</x:v>
      </x:c>
      <x:c r="D167" s="30" t="n">
        <x:v>2019</x:v>
      </x:c>
      <x:c r="E167" s="24" t="str">
        <x:v>Thunnus obesus</x:v>
      </x:c>
      <x:c r="F167" s="24" t="str">
        <x:v>Bigeye tuna</x:v>
      </x:c>
      <x:c r="G167" s="24" t="str">
        <x:v>Large pelagics (&gt;=90 cm)</x:v>
      </x:c>
      <x:c r="H167" s="24" t="str">
        <x:v>Tuna &amp; billfishes</x:v>
      </x:c>
      <x:c r="I167" s="31" t="n">
        <x:v>1.631094404</x:v>
      </x:c>
      <x:c r="J167" s="31" t="n">
        <x:v>1.5690389035</x:v>
      </x:c>
      <x:c r="K167" s="31" t="n">
        <x:v>0.0620555005</x:v>
      </x:c>
      <x:c r="L167" s="31" t="n">
        <x:v>1.5690389035</x:v>
      </x:c>
      <x:c r="M167" s="31" t="n">
        <x:v>0.0620555005</x:v>
      </x:c>
      <x:c r="N167" s="24" t="str">
        <x:v>thunnus obesus</x:v>
      </x:c>
      <x:c r="O167" s="32" t="n">
        <x:v>4.49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Thunnus obesus</x:v>
      </x:c>
      <x:c r="T167" s="32" t="n">
        <x:f>IF(O167="","",(1/'Metadata'!$B$5)^(O167-1))</x:f>
        <x:v>3090.295432513592</x:v>
      </x:c>
      <x:c r="U167" s="31" t="n">
        <x:f>IF(T167="","",I167*T167)</x:f>
        <x:v>5040.563586679679</x:v>
      </x:c>
    </x:row>
    <x:row r="168" ht="18" customHeight="1">
      <x:c r="A168" s="24" t="str">
        <x:v>EEZ_156</x:v>
      </x:c>
      <x:c r="B168" s="24" t="str">
        <x:v>China</x:v>
      </x:c>
      <x:c r="C168" s="24" t="str">
        <x:v>EEZ</x:v>
      </x:c>
      <x:c r="D168" s="30" t="n">
        <x:v>2019</x:v>
      </x:c>
      <x:c r="E168" s="24" t="str">
        <x:v>Dussumieria elopsoides</x:v>
      </x:c>
      <x:c r="F168" s="24" t="str">
        <x:v>Slender rainbow sardine</x:v>
      </x:c>
      <x:c r="G168" s="24" t="str">
        <x:v>Small pelagics (&lt;30 cm)</x:v>
      </x:c>
      <x:c r="H168" s="24" t="str">
        <x:v>Herring-likes</x:v>
      </x:c>
      <x:c r="I168" s="31" t="n">
        <x:v>1.2895123899999998</x:v>
      </x:c>
      <x:c r="J168" s="31" t="n">
        <x:v>1.2895123899999998</x:v>
      </x:c>
      <x:c r="K168" s="31" t="n">
        <x:v>0</x:v>
      </x:c>
      <x:c r="L168" s="31" t="n">
        <x:v>0.331054818</x:v>
      </x:c>
      <x:c r="M168" s="31" t="n">
        <x:v>0.958457572</x:v>
      </x:c>
      <x:c r="N168" s="24" t="str">
        <x:v>dussumieria elopsoides</x:v>
      </x:c>
      <x:c r="O168" s="32" t="n">
        <x:v>3.4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Dussumieria elopsoides</x:v>
      </x:c>
      <x:c r="T168" s="32" t="n">
        <x:f>IF(O168="","",(1/'Metadata'!$B$5)^(O168-1))</x:f>
        <x:v>251.18864315095797</x:v>
      </x:c>
      <x:c r="U168" s="31" t="n">
        <x:f>IF(T168="","",I168*T168)</x:f>
        <x:v>323.9108675704489</x:v>
      </x:c>
    </x:row>
    <x:row r="169" ht="18" customHeight="1">
      <x:c r="A169" s="24" t="str">
        <x:v>EEZ_156</x:v>
      </x:c>
      <x:c r="B169" s="24" t="str">
        <x:v>China</x:v>
      </x:c>
      <x:c r="C169" s="24" t="str">
        <x:v>EEZ</x:v>
      </x:c>
      <x:c r="D169" s="30" t="n">
        <x:v>2019</x:v>
      </x:c>
      <x:c r="E169" s="24" t="str">
        <x:v>Xiphias gladius</x:v>
      </x:c>
      <x:c r="F169" s="24" t="str">
        <x:v>Swordfish</x:v>
      </x:c>
      <x:c r="G169" s="24" t="str">
        <x:v>Large pelagics (&gt;=90 cm)</x:v>
      </x:c>
      <x:c r="H169" s="24" t="str">
        <x:v>Tuna &amp; billfishes</x:v>
      </x:c>
      <x:c r="I169" s="31" t="n">
        <x:v>0.9267642071</x:v>
      </x:c>
      <x:c r="J169" s="31" t="n">
        <x:v>0.5236561715</x:v>
      </x:c>
      <x:c r="K169" s="31" t="n">
        <x:v>0.4031080356</x:v>
      </x:c>
      <x:c r="L169" s="31" t="n">
        <x:v>0.5236561715</x:v>
      </x:c>
      <x:c r="M169" s="31" t="n">
        <x:v>0.4031080356</x:v>
      </x:c>
      <x:c r="N169" s="24" t="str">
        <x:v>xiphias gladius</x:v>
      </x:c>
      <x:c r="O169" s="32" t="n">
        <x:v>4.53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Xiphias gladius</x:v>
      </x:c>
      <x:c r="T169" s="32" t="n">
        <x:f>IF(O169="","",(1/'Metadata'!$B$5)^(O169-1))</x:f>
        <x:v>3388.4415613920273</x:v>
      </x:c>
      <x:c r="U169" s="31" t="n">
        <x:f>IF(T169="","",I169*T169)</x:f>
        <x:v>3140.286356948168</x:v>
      </x:c>
    </x:row>
    <x:row r="170" ht="18" customHeight="1">
      <x:c r="A170" s="24" t="str">
        <x:v>EEZ_156</x:v>
      </x:c>
      <x:c r="B170" s="24" t="str">
        <x:v>China</x:v>
      </x:c>
      <x:c r="C170" s="24" t="str">
        <x:v>EEZ</x:v>
      </x:c>
      <x:c r="D170" s="30" t="n">
        <x:v>2019</x:v>
      </x:c>
      <x:c r="E170" s="24" t="str">
        <x:v>Sillago sihama</x:v>
      </x:c>
      <x:c r="F170" s="24" t="str">
        <x:v>Silver sillago</x:v>
      </x:c>
      <x:c r="G170" s="24" t="str">
        <x:v>Medium demersals (30 - 89 cm)</x:v>
      </x:c>
      <x:c r="H170" s="24" t="str">
        <x:v>Perch-likes</x:v>
      </x:c>
      <x:c r="I170" s="31" t="n">
        <x:v>0.8772401569</x:v>
      </x:c>
      <x:c r="J170" s="31" t="n">
        <x:v>0</x:v>
      </x:c>
      <x:c r="K170" s="31" t="n">
        <x:v>0.8772401569</x:v>
      </x:c>
      <x:c r="L170" s="31" t="n">
        <x:v>0</x:v>
      </x:c>
      <x:c r="M170" s="31" t="n">
        <x:v>0.8772401569</x:v>
      </x:c>
      <x:c r="N170" s="24" t="str">
        <x:v>sillago sihama</x:v>
      </x:c>
      <x:c r="O170" s="32" t="n">
        <x:v>3.33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Sillago sihama</x:v>
      </x:c>
      <x:c r="T170" s="32" t="n">
        <x:f>IF(O170="","",(1/'Metadata'!$B$5)^(O170-1))</x:f>
        <x:v>213.79620895022325</x:v>
      </x:c>
      <x:c r="U170" s="31" t="n">
        <x:f>IF(T170="","",I170*T170)</x:f>
        <x:v>187.55061988411902</x:v>
      </x:c>
    </x:row>
    <x:row r="171" ht="18" customHeight="1">
      <x:c r="A171" s="24" t="str">
        <x:v>EEZ_156</x:v>
      </x:c>
      <x:c r="B171" s="24" t="str">
        <x:v>China</x:v>
      </x:c>
      <x:c r="C171" s="24" t="str">
        <x:v>EEZ</x:v>
      </x:c>
      <x:c r="D171" s="30" t="n">
        <x:v>2019</x:v>
      </x:c>
      <x:c r="E171" s="24" t="str">
        <x:v>Carcharhinus falciformis</x:v>
      </x:c>
      <x:c r="F171" s="24" t="str">
        <x:v>Silky shark</x:v>
      </x:c>
      <x:c r="G171" s="24" t="str">
        <x:v>Large sharks (&gt;=90 cm)</x:v>
      </x:c>
      <x:c r="H171" s="24" t="str">
        <x:v>Sharks &amp; rays</x:v>
      </x:c>
      <x:c r="I171" s="31" t="n">
        <x:v>0.8179663817</x:v>
      </x:c>
      <x:c r="J171" s="31" t="n">
        <x:v>0.0243469642</x:v>
      </x:c>
      <x:c r="K171" s="31" t="n">
        <x:v>0.7936194175</x:v>
      </x:c>
      <x:c r="L171" s="31" t="n">
        <x:v>0.0243469642</x:v>
      </x:c>
      <x:c r="M171" s="31" t="n">
        <x:v>0.7936194175</x:v>
      </x:c>
      <x:c r="N171" s="24" t="str">
        <x:v>carcharhinus falciformis</x:v>
      </x:c>
      <x:c r="O171" s="32" t="n">
        <x:v>4.51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Carcharhinus falciformis</x:v>
      </x:c>
      <x:c r="T171" s="32" t="n">
        <x:f>IF(O171="","",(1/'Metadata'!$B$5)^(O171-1))</x:f>
        <x:v>3235.936569296281</x:v>
      </x:c>
      <x:c r="U171" s="31" t="n">
        <x:f>IF(T171="","",I171*T171)</x:f>
        <x:v>2646.8873269979904</x:v>
      </x:c>
    </x:row>
    <x:row r="172" ht="18" customHeight="1">
      <x:c r="A172" s="24" t="str">
        <x:v>EEZ_156</x:v>
      </x:c>
      <x:c r="B172" s="24" t="str">
        <x:v>China</x:v>
      </x:c>
      <x:c r="C172" s="24" t="str">
        <x:v>EEZ</x:v>
      </x:c>
      <x:c r="D172" s="30" t="n">
        <x:v>2019</x:v>
      </x:c>
      <x:c r="E172" s="24" t="str">
        <x:v>Parupeneus barberinus</x:v>
      </x:c>
      <x:c r="F172" s="24" t="str">
        <x:v>Dash-and-dot goatfish</x:v>
      </x:c>
      <x:c r="G172" s="24" t="str">
        <x:v>Medium reef assoc. fish (30 - 89 cm)</x:v>
      </x:c>
      <x:c r="H172" s="24" t="str">
        <x:v>Perch-likes</x:v>
      </x:c>
      <x:c r="I172" s="31" t="n">
        <x:v>0.7421326495</x:v>
      </x:c>
      <x:c r="J172" s="31" t="n">
        <x:v>0</x:v>
      </x:c>
      <x:c r="K172" s="31" t="n">
        <x:v>0.7421326495</x:v>
      </x:c>
      <x:c r="L172" s="31" t="n">
        <x:v>0</x:v>
      </x:c>
      <x:c r="M172" s="31" t="n">
        <x:v>0.7421326495</x:v>
      </x:c>
      <x:c r="N172" s="24" t="str">
        <x:v>parupeneus barberinus</x:v>
      </x:c>
      <x:c r="O172" s="32" t="n">
        <x:v>3.22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Parupeneus barberinus</x:v>
      </x:c>
      <x:c r="T172" s="32" t="n">
        <x:f>IF(O172="","",(1/'Metadata'!$B$5)^(O172-1))</x:f>
        <x:v>165.95869074375614</x:v>
      </x:c>
      <x:c r="U172" s="31" t="n">
        <x:f>IF(T172="","",I172*T172)</x:f>
        <x:v>123.16336286921486</x:v>
      </x:c>
    </x:row>
    <x:row r="173" ht="18" customHeight="1">
      <x:c r="A173" s="24" t="str">
        <x:v>EEZ_156</x:v>
      </x:c>
      <x:c r="B173" s="24" t="str">
        <x:v>China</x:v>
      </x:c>
      <x:c r="C173" s="24" t="str">
        <x:v>EEZ</x:v>
      </x:c>
      <x:c r="D173" s="30" t="n">
        <x:v>2019</x:v>
      </x:c>
      <x:c r="E173" s="24" t="str">
        <x:v>Sphyraena barracuda</x:v>
      </x:c>
      <x:c r="F173" s="24" t="str">
        <x:v>Great barracuda</x:v>
      </x:c>
      <x:c r="G173" s="24" t="str">
        <x:v>Large pelagics (&gt;=90 cm)</x:v>
      </x:c>
      <x:c r="H173" s="24" t="str">
        <x:v>Perch-likes</x:v>
      </x:c>
      <x:c r="I173" s="31" t="n">
        <x:v>0.5721290338</x:v>
      </x:c>
      <x:c r="J173" s="31" t="n">
        <x:v>0</x:v>
      </x:c>
      <x:c r="K173" s="31" t="n">
        <x:v>0.5721290338</x:v>
      </x:c>
      <x:c r="L173" s="31" t="n">
        <x:v>0</x:v>
      </x:c>
      <x:c r="M173" s="31" t="n">
        <x:v>0.5721290338</x:v>
      </x:c>
      <x:c r="N173" s="24" t="str">
        <x:v>sphyraena barracuda</x:v>
      </x:c>
      <x:c r="O173" s="32" t="n">
        <x:v>4.49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Sphyraena barracuda</x:v>
      </x:c>
      <x:c r="T173" s="32" t="n">
        <x:f>IF(O173="","",(1/'Metadata'!$B$5)^(O173-1))</x:f>
        <x:v>3090.295432513592</x:v>
      </x:c>
      <x:c r="U173" s="31" t="n">
        <x:f>IF(T173="","",I173*T173)</x:f>
        <x:v>1768.0477399605545</x:v>
      </x:c>
    </x:row>
    <x:row r="174" ht="18" customHeight="1">
      <x:c r="A174" s="24" t="str">
        <x:v>EEZ_156</x:v>
      </x:c>
      <x:c r="B174" s="24" t="str">
        <x:v>China</x:v>
      </x:c>
      <x:c r="C174" s="24" t="str">
        <x:v>EEZ</x:v>
      </x:c>
      <x:c r="D174" s="30" t="n">
        <x:v>2019</x:v>
      </x:c>
      <x:c r="E174" s="24" t="str">
        <x:v>Kajikia audax</x:v>
      </x:c>
      <x:c r="F174" s="24" t="str">
        <x:v>Striped marlin</x:v>
      </x:c>
      <x:c r="G174" s="24" t="str">
        <x:v>Large pelagics (&gt;=90 cm)</x:v>
      </x:c>
      <x:c r="H174" s="24" t="str">
        <x:v>Tuna &amp; billfishes</x:v>
      </x:c>
      <x:c r="I174" s="31" t="n">
        <x:v>0.37304245919999995</x:v>
      </x:c>
      <x:c r="J174" s="31" t="n">
        <x:v>0.37304245919999995</x:v>
      </x:c>
      <x:c r="K174" s="31" t="n">
        <x:v>0</x:v>
      </x:c>
      <x:c r="L174" s="31" t="n">
        <x:v>0.37304245919999995</x:v>
      </x:c>
      <x:c r="M174" s="31" t="n">
        <x:v>0</x:v>
      </x:c>
      <x:c r="N174" s="24" t="str">
        <x:v>kajikia audax</x:v>
      </x:c>
      <x:c r="O174" s="32" t="n">
        <x:v>4.58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Kajikia audax</x:v>
      </x:c>
      <x:c r="T174" s="32" t="n">
        <x:f>IF(O174="","",(1/'Metadata'!$B$5)^(O174-1))</x:f>
        <x:v>3801.8939632056126</x:v>
      </x:c>
      <x:c r="U174" s="31" t="n">
        <x:f>IF(T174="","",I174*T174)</x:f>
        <x:v>1418.2678736518558</x:v>
      </x:c>
    </x:row>
    <x:row r="175" ht="18" customHeight="1">
      <x:c r="A175" s="24" t="str">
        <x:v>EEZ_156</x:v>
      </x:c>
      <x:c r="B175" s="24" t="str">
        <x:v>China</x:v>
      </x:c>
      <x:c r="C175" s="24" t="str">
        <x:v>EEZ</x:v>
      </x:c>
      <x:c r="D175" s="30" t="n">
        <x:v>2019</x:v>
      </x:c>
      <x:c r="E175" s="24" t="str">
        <x:v>Thunnus orientalis</x:v>
      </x:c>
      <x:c r="F175" s="24" t="str">
        <x:v>Pacific bluefin tuna</x:v>
      </x:c>
      <x:c r="G175" s="24" t="str">
        <x:v>Large pelagics (&gt;=90 cm)</x:v>
      </x:c>
      <x:c r="H175" s="24" t="str">
        <x:v>Tuna &amp; billfishes</x:v>
      </x:c>
      <x:c r="I175" s="31" t="n">
        <x:v>0.3147347786</x:v>
      </x:c>
      <x:c r="J175" s="31" t="n">
        <x:v>0.3117527123</x:v>
      </x:c>
      <x:c r="K175" s="31" t="n">
        <x:v>0.0029820663</x:v>
      </x:c>
      <x:c r="L175" s="31" t="n">
        <x:v>0.3117527123</x:v>
      </x:c>
      <x:c r="M175" s="31" t="n">
        <x:v>0.0029820663</x:v>
      </x:c>
      <x:c r="N175" s="24" t="str">
        <x:v>thunnus orientalis</x:v>
      </x:c>
      <x:c r="O175" s="32" t="n">
        <x:v>4.05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Thunnus orientalis</x:v>
      </x:c>
      <x:c r="T175" s="32" t="n">
        <x:f>IF(O175="","",(1/'Metadata'!$B$5)^(O175-1))</x:f>
        <x:v>1122.018454301963</x:v>
      </x:c>
      <x:c r="U175" s="31" t="n">
        <x:f>IF(T175="","",I175*T175)</x:f>
        <x:v>353.1382297998425</x:v>
      </x:c>
    </x:row>
    <x:row r="176" ht="18" customHeight="1">
      <x:c r="A176" s="24" t="str">
        <x:v>EEZ_156</x:v>
      </x:c>
      <x:c r="B176" s="24" t="str">
        <x:v>China</x:v>
      </x:c>
      <x:c r="C176" s="24" t="str">
        <x:v>EEZ</x:v>
      </x:c>
      <x:c r="D176" s="30" t="n">
        <x:v>2019</x:v>
      </x:c>
      <x:c r="E176" s="24" t="str">
        <x:v>Hemitrygon akajei</x:v>
      </x:c>
      <x:c r="F176" s="24" t="str">
        <x:v>Whip stingray</x:v>
      </x:c>
      <x:c r="G176" s="24" t="str">
        <x:v>Large rays (&gt;=90 cm)</x:v>
      </x:c>
      <x:c r="H176" s="24" t="str">
        <x:v>Sharks &amp; rays</x:v>
      </x:c>
      <x:c r="I176" s="31" t="n">
        <x:v>0.1251043766</x:v>
      </x:c>
      <x:c r="J176" s="31" t="n">
        <x:v>0</x:v>
      </x:c>
      <x:c r="K176" s="31" t="n">
        <x:v>0.1251043766</x:v>
      </x:c>
      <x:c r="L176" s="31" t="n">
        <x:v>0</x:v>
      </x:c>
      <x:c r="M176" s="31" t="n">
        <x:v>0.1251043766</x:v>
      </x:c>
      <x:c r="N176" s="24" t="str">
        <x:v>hemitrygon akajei</x:v>
      </x:c>
      <x:c r="O176" s="32" t="n">
        <x:v>3.84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Hemitrygon akajei</x:v>
      </x:c>
      <x:c r="T176" s="32" t="n">
        <x:f>IF(O176="","",(1/'Metadata'!$B$5)^(O176-1))</x:f>
        <x:v>691.8309709189363</x:v>
      </x:c>
      <x:c r="U176" s="31" t="n">
        <x:f>IF(T176="","",I176*T176)</x:f>
        <x:v>86.55108232938626</x:v>
      </x:c>
    </x:row>
    <x:row r="177" ht="18" customHeight="1">
      <x:c r="A177" s="24" t="str">
        <x:v>EEZ_156</x:v>
      </x:c>
      <x:c r="B177" s="24" t="str">
        <x:v>China</x:v>
      </x:c>
      <x:c r="C177" s="24" t="str">
        <x:v>EEZ</x:v>
      </x:c>
      <x:c r="D177" s="30" t="n">
        <x:v>2019</x:v>
      </x:c>
      <x:c r="E177" s="24" t="str">
        <x:v>Istiophoridae</x:v>
      </x:c>
      <x:c r="F177" s="24" t="str">
        <x:v>Billfishes</x:v>
      </x:c>
      <x:c r="G177" s="24" t="str">
        <x:v>Large pelagics (&gt;=90 cm)</x:v>
      </x:c>
      <x:c r="H177" s="24" t="str">
        <x:v>Tuna &amp; billfishes</x:v>
      </x:c>
      <x:c r="I177" s="31" t="n">
        <x:v>0.1102547814</x:v>
      </x:c>
      <x:c r="J177" s="31" t="n">
        <x:v>0</x:v>
      </x:c>
      <x:c r="K177" s="31" t="n">
        <x:v>0.1102547814</x:v>
      </x:c>
      <x:c r="L177" s="31" t="n">
        <x:v>0</x:v>
      </x:c>
      <x:c r="M177" s="31" t="n">
        <x:v>0.1102547814</x:v>
      </x:c>
      <x:c r="N177" s="24" t="str">
        <x:v>istiophoridae</x:v>
      </x:c>
      <x:c r="O177" s="32" t="n">
        <x:v>4.48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Istiophoridae</x:v>
      </x:c>
      <x:c r="T177" s="32" t="n">
        <x:f>IF(O177="","",(1/'Metadata'!$B$5)^(O177-1))</x:f>
        <x:v>3019.951720402019</x:v>
      </x:c>
      <x:c r="U177" s="31" t="n">
        <x:f>IF(T177="","",I177*T177)</x:f>
        <x:v>332.96411677147853</x:v>
      </x:c>
    </x:row>
    <x:row r="178" ht="18" customHeight="1">
      <x:c r="A178" s="24" t="str">
        <x:v>EEZ_156</x:v>
      </x:c>
      <x:c r="B178" s="24" t="str">
        <x:v>China</x:v>
      </x:c>
      <x:c r="C178" s="24" t="str">
        <x:v>EEZ</x:v>
      </x:c>
      <x:c r="D178" s="30" t="n">
        <x:v>2019</x:v>
      </x:c>
      <x:c r="E178" s="24" t="str">
        <x:v>Carcharhinus longimanus</x:v>
      </x:c>
      <x:c r="F178" s="24" t="str">
        <x:v>Oceanic whitetip shark</x:v>
      </x:c>
      <x:c r="G178" s="24" t="str">
        <x:v>Large sharks (&gt;=90 cm)</x:v>
      </x:c>
      <x:c r="H178" s="24" t="str">
        <x:v>Sharks &amp; rays</x:v>
      </x:c>
      <x:c r="I178" s="31" t="n">
        <x:v>0.1067932952</x:v>
      </x:c>
      <x:c r="J178" s="31" t="n">
        <x:v>0.0062297758</x:v>
      </x:c>
      <x:c r="K178" s="31" t="n">
        <x:v>0.1005635194</x:v>
      </x:c>
      <x:c r="L178" s="31" t="n">
        <x:v>0.0062297758</x:v>
      </x:c>
      <x:c r="M178" s="31" t="n">
        <x:v>0.1005635194</x:v>
      </x:c>
      <x:c r="N178" s="24" t="str">
        <x:v>carcharhinus longimanus</x:v>
      </x:c>
      <x:c r="O178" s="32" t="n">
        <x:v>4.16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Carcharhinus longimanus</x:v>
      </x:c>
      <x:c r="T178" s="32" t="n">
        <x:f>IF(O178="","",(1/'Metadata'!$B$5)^(O178-1))</x:f>
        <x:v>1445.439770745928</x:v>
      </x:c>
      <x:c r="U178" s="31" t="n">
        <x:f>IF(T178="","",I178*T178)</x:f>
        <x:v>154.3632761310902</x:v>
      </x:c>
    </x:row>
    <x:row r="179" ht="18" customHeight="1">
      <x:c r="A179" s="24" t="str">
        <x:v>EEZ_156</x:v>
      </x:c>
      <x:c r="B179" s="24" t="str">
        <x:v>China</x:v>
      </x:c>
      <x:c r="C179" s="24" t="str">
        <x:v>EEZ</x:v>
      </x:c>
      <x:c r="D179" s="30" t="n">
        <x:v>2019</x:v>
      </x:c>
      <x:c r="E179" s="24" t="str">
        <x:v>Acanthocybium solandri</x:v>
      </x:c>
      <x:c r="F179" s="24" t="str">
        <x:v>Wahoo</x:v>
      </x:c>
      <x:c r="G179" s="24" t="str">
        <x:v>Large pelagics (&gt;=90 cm)</x:v>
      </x:c>
      <x:c r="H179" s="24" t="str">
        <x:v>Perch-likes</x:v>
      </x:c>
      <x:c r="I179" s="31" t="n">
        <x:v>0.09078906419999999</x:v>
      </x:c>
      <x:c r="J179" s="31" t="n">
        <x:v>0</x:v>
      </x:c>
      <x:c r="K179" s="31" t="n">
        <x:v>0.09078906419999999</x:v>
      </x:c>
      <x:c r="L179" s="31" t="n">
        <x:v>0</x:v>
      </x:c>
      <x:c r="M179" s="31" t="n">
        <x:v>0.09078906419999999</x:v>
      </x:c>
      <x:c r="N179" s="24" t="str">
        <x:v>acanthocybium solandri</x:v>
      </x:c>
      <x:c r="O179" s="32" t="n">
        <x:v>4.26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Acanthocybium solandri</x:v>
      </x:c>
      <x:c r="T179" s="32" t="n">
        <x:f>IF(O179="","",(1/'Metadata'!$B$5)^(O179-1))</x:f>
        <x:v>1819.7008586099826</x:v>
      </x:c>
      <x:c r="U179" s="31" t="n">
        <x:f>IF(T179="","",I179*T179)</x:f>
        <x:v>165.20893807713682</x:v>
      </x:c>
    </x:row>
    <x:row r="180" ht="18" customHeight="1">
      <x:c r="A180" s="24" t="str">
        <x:v>EEZ_156</x:v>
      </x:c>
      <x:c r="B180" s="24" t="str">
        <x:v>China</x:v>
      </x:c>
      <x:c r="C180" s="24" t="str">
        <x:v>EEZ</x:v>
      </x:c>
      <x:c r="D180" s="30" t="n">
        <x:v>2019</x:v>
      </x:c>
      <x:c r="E180" s="24" t="str">
        <x:v>Isurus oxyrinchus</x:v>
      </x:c>
      <x:c r="F180" s="24" t="str">
        <x:v>Shortfin mako</x:v>
      </x:c>
      <x:c r="G180" s="24" t="str">
        <x:v>Large sharks (&gt;=90 cm)</x:v>
      </x:c>
      <x:c r="H180" s="24" t="str">
        <x:v>Sharks &amp; rays</x:v>
      </x:c>
      <x:c r="I180" s="31" t="n">
        <x:v>0.0278614385</x:v>
      </x:c>
      <x:c r="J180" s="31" t="n">
        <x:v>0.0278614385</x:v>
      </x:c>
      <x:c r="K180" s="31" t="n">
        <x:v>0</x:v>
      </x:c>
      <x:c r="L180" s="31" t="n">
        <x:v>0</x:v>
      </x:c>
      <x:c r="M180" s="31" t="n">
        <x:v>0.0278614385</x:v>
      </x:c>
      <x:c r="N180" s="24" t="str">
        <x:v>isurus oxyrinchus</x:v>
      </x:c>
      <x:c r="O180" s="32" t="n">
        <x:v>4.5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Isurus oxyrinchus</x:v>
      </x:c>
      <x:c r="T180" s="32" t="n">
        <x:f>IF(O180="","",(1/'Metadata'!$B$5)^(O180-1))</x:f>
        <x:v>3162.2776601683795</x:v>
      </x:c>
      <x:c r="U180" s="31" t="n">
        <x:f>IF(T180="","",I180*T180)</x:f>
        <x:v>88.1056045487052</x:v>
      </x:c>
    </x:row>
    <x:row r="181" ht="18" customHeight="1">
      <x:c r="A181" s="24" t="str">
        <x:v>EEZ_156</x:v>
      </x:c>
      <x:c r="B181" s="24" t="str">
        <x:v>China</x:v>
      </x:c>
      <x:c r="C181" s="24" t="str">
        <x:v>EEZ</x:v>
      </x:c>
      <x:c r="D181" s="30" t="n">
        <x:v>2019</x:v>
      </x:c>
      <x:c r="E181" s="24" t="str">
        <x:v>Sphyrna</x:v>
      </x:c>
      <x:c r="F181" s="24" t="str">
        <x:v>Hammerhead sharks</x:v>
      </x:c>
      <x:c r="G181" s="24" t="str">
        <x:v>Large sharks (&gt;=90 cm)</x:v>
      </x:c>
      <x:c r="H181" s="24" t="str">
        <x:v>Sharks &amp; rays</x:v>
      </x:c>
      <x:c r="I181" s="31" t="n">
        <x:v>0.0215693904</x:v>
      </x:c>
      <x:c r="J181" s="31" t="n">
        <x:v>0.0215693904</x:v>
      </x:c>
      <x:c r="K181" s="31" t="n">
        <x:v>0</x:v>
      </x:c>
      <x:c r="L181" s="31" t="n">
        <x:v>0.0215693904</x:v>
      </x:c>
      <x:c r="M181" s="31" t="n">
        <x:v>0</x:v>
      </x:c>
      <x:c r="N181" s="24" t="str">
        <x:v>sphyrna</x:v>
      </x:c>
      <x:c r="O181" s="32" t="n">
        <x:v>4.2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Sphyrna</x:v>
      </x:c>
      <x:c r="T181" s="32" t="n">
        <x:f>IF(O181="","",(1/'Metadata'!$B$5)^(O181-1))</x:f>
        <x:v>1584.893192461114</x:v>
      </x:c>
      <x:c r="U181" s="31" t="n">
        <x:f>IF(T181="","",I181*T181)</x:f>
        <x:v>34.185180010496104</x:v>
      </x:c>
    </x:row>
  </x:sheetData>
  <x:conditionalFormatting sqref="R2:R18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6610c0922424c0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700510.9995925244</x:v>
      </x:c>
      <x:c r="C2" s="32" t="n">
        <x:v>3.14</x:v>
      </x:c>
      <x:c r="D2" s="32" t="n">
        <x:f>IF(C2="","",(1/'Metadata'!$B$5)^(C2-1))</x:f>
        <x:v>138.03842646028852</x:v>
      </x:c>
      <x:c r="E2" s="31" t="n">
        <x:f>IF(B2=0,"",B2*D2)</x:f>
        <x:v>96697436.10187587</x:v>
      </x:c>
    </x:row>
    <x:row r="3" ht="18" customHeight="1">
      <x:c r="A3" s="24" t="str">
        <x:v>Cod-likes</x:v>
      </x:c>
      <x:c r="B3" s="31" t="n">
        <x:v>14412.5391618758</x:v>
      </x:c>
      <x:c r="C3" s="32" t="n">
        <x:v>4.16</x:v>
      </x:c>
      <x:c r="D3" s="32" t="n">
        <x:f>IF(C3="","",(1/'Metadata'!$B$5)^(C3-1))</x:f>
        <x:v>1445.439770745928</x:v>
      </x:c>
      <x:c r="E3" s="31" t="n">
        <x:f>IF(B3=0,"",B3*D3)</x:f>
        <x:v>20832457.302008465</x:v>
      </x:c>
    </x:row>
    <x:row r="4" ht="18" customHeight="1">
      <x:c r="A4" s="24" t="str">
        <x:v>Crustaceans</x:v>
      </x:c>
      <x:c r="B4" s="31" t="n">
        <x:v>1787743.256493882</x:v>
      </x:c>
      <x:c r="C4" s="32" t="n">
        <x:v>2.8975556871432246</x:v>
      </x:c>
      <x:c r="D4" s="32" t="n">
        <x:f>IF(C4="","",(1/'Metadata'!$B$5)^(C4-1))</x:f>
        <x:v>78.98701235183387</x:v>
      </x:c>
      <x:c r="E4" s="31" t="n">
        <x:f>IF(B4=0,"",B4*D4)</x:f>
        <x:v>141208498.68258998</x:v>
      </x:c>
    </x:row>
    <x:row r="5" ht="18" customHeight="1">
      <x:c r="A5" s="24" t="str">
        <x:v>Flatfishes</x:v>
      </x:c>
      <x:c r="B5" s="31" t="n">
        <x:v>30904.1105627735</x:v>
      </x:c>
      <x:c r="C5" s="32" t="n">
        <x:v>3.3663189598857493</x:v>
      </x:c>
      <x:c r="D5" s="32" t="n">
        <x:f>IF(C5="","",(1/'Metadata'!$B$5)^(C5-1))</x:f>
        <x:v>232.4443315818871</x:v>
      </x:c>
      <x:c r="E5" s="31" t="n">
        <x:f>IF(B5=0,"",B5*D5)</x:f>
        <x:v>7183485.322896623</x:v>
      </x:c>
    </x:row>
    <x:row r="6" ht="18" customHeight="1">
      <x:c r="A6" s="24" t="str">
        <x:v>Herring-likes</x:v>
      </x:c>
      <x:c r="B6" s="31" t="n">
        <x:v>150299.49554733242</x:v>
      </x:c>
      <x:c r="C6" s="32" t="n">
        <x:v>3.1879615889443507</x:v>
      </x:c>
      <x:c r="D6" s="32" t="n">
        <x:f>IF(C6="","",(1/'Metadata'!$B$5)^(C6-1))</x:f>
        <x:v>154.15641037080596</x:v>
      </x:c>
      <x:c r="E6" s="31" t="n">
        <x:f>IF(B6=0,"",B6*D6)</x:f>
        <x:v>23169630.7141197</x:v>
      </x:c>
    </x:row>
    <x:row r="7" ht="18" customHeight="1">
      <x:c r="A7" s="24" t="str">
        <x:v>Molluscs</x:v>
      </x:c>
      <x:c r="B7" s="31" t="n">
        <x:v>51889.752628545706</x:v>
      </x:c>
      <x:c r="C7" s="32" t="n">
        <x:v>2.325219611598117</x:v>
      </x:c>
      <x:c r="D7" s="32" t="n">
        <x:f>IF(C7="","",(1/'Metadata'!$B$5)^(C7-1))</x:f>
        <x:v>21.14558047384111</x:v>
      </x:c>
      <x:c r="E7" s="31" t="n">
        <x:f>IF(B7=0,"",B7*D7)</x:f>
        <x:v>1097238.9399746216</x:v>
      </x:c>
    </x:row>
    <x:row r="8" ht="18" customHeight="1">
      <x:c r="A8" s="24" t="str">
        <x:v>Other fishes &amp; inverts</x:v>
      </x:c>
      <x:c r="B8" s="31" t="n">
        <x:v>3500048.5447079586</x:v>
      </x:c>
      <x:c r="C8" s="32" t="n">
        <x:v>3.6076133634036305</x:v>
      </x:c>
      <x:c r="D8" s="32" t="n">
        <x:f>IF(C8="","",(1/'Metadata'!$B$5)^(C8-1))</x:f>
        <x:v>405.1476865833035</x:v>
      </x:c>
      <x:c r="E8" s="31" t="n">
        <x:f>IF(B8=0,"",B8*D8)</x:f>
        <x:v>1418036570.8176875</x:v>
      </x:c>
    </x:row>
    <x:row r="9" ht="18" customHeight="1">
      <x:c r="A9" s="24" t="str">
        <x:v>Perch-likes</x:v>
      </x:c>
      <x:c r="B9" s="31" t="n">
        <x:v>3288991.4931474067</x:v>
      </x:c>
      <x:c r="C9" s="32" t="n">
        <x:v>3.754724876427865</x:v>
      </x:c>
      <x:c r="D9" s="32" t="n">
        <x:f>IF(C9="","",(1/'Metadata'!$B$5)^(C9-1))</x:f>
        <x:v>568.4926792293614</x:v>
      </x:c>
      <x:c r="E9" s="31" t="n">
        <x:f>IF(B9=0,"",B9*D9)</x:f>
        <x:v>1869767585.9019473</x:v>
      </x:c>
    </x:row>
    <x:row r="10" ht="18" customHeight="1">
      <x:c r="A10" s="24" t="str">
        <x:v>Scorpionfishes</x:v>
      </x:c>
      <x:c r="B10" s="31" t="n">
        <x:v>6541.1110847639</x:v>
      </x:c>
      <x:c r="C10" s="32" t="n">
        <x:v>3.6990077443420564</x:v>
      </x:c>
      <x:c r="D10" s="32" t="n">
        <x:f>IF(C10="","",(1/'Metadata'!$B$5)^(C10-1))</x:f>
        <x:v>500.04345167559455</x:v>
      </x:c>
      <x:c r="E10" s="31" t="n">
        <x:f>IF(B10=0,"",B10*D10)</x:f>
        <x:v>3270839.764618833</x:v>
      </x:c>
    </x:row>
    <x:row r="11" ht="18" customHeight="1">
      <x:c r="A11" s="24" t="str">
        <x:v>Sharks &amp; rays</x:v>
      </x:c>
      <x:c r="B11" s="31" t="n">
        <x:v>29378.0798257328</x:v>
      </x:c>
      <x:c r="C11" s="32" t="n">
        <x:v>4.0672932190245294</x:v>
      </x:c>
      <x:c r="D11" s="32" t="n">
        <x:f>IF(C11="","",(1/'Metadata'!$B$5)^(C11-1))</x:f>
        <x:v>1167.5976682906992</x:v>
      </x:c>
      <x:c r="E11" s="31" t="n">
        <x:f>IF(B11=0,"",B11*D11)</x:f>
        <x:v>34301777.503383644</x:v>
      </x:c>
    </x:row>
    <x:row r="12" ht="18" customHeight="1">
      <x:c r="A12" s="24" t="str">
        <x:v>Tuna &amp; billfishes</x:v>
      </x:c>
      <x:c r="B12" s="31" t="n">
        <x:v>7421.214977494699</x:v>
      </x:c>
      <x:c r="C12" s="32" t="n">
        <x:v>4.300614530549541</x:v>
      </x:c>
      <x:c r="D12" s="32" t="n">
        <x:f>IF(C12="","",(1/'Metadata'!$B$5)^(C12-1))</x:f>
        <x:v>1998.0876273172207</x:v>
      </x:c>
      <x:c r="E12" s="31" t="n">
        <x:f>IF(B12=0,"",B12*D12)</x:f>
        <x:v>14828237.826193405</x:v>
      </x:c>
    </x:row>
  </x:sheetData>
  <x:pageMargins left="0.7" right="0.7" top="0.75" bottom="0.75" header="0.3" footer="0.3"/>
  <x:tableParts count="1">
    <x:tablePart xmlns:r="http://schemas.openxmlformats.org/officeDocument/2006/relationships" r:id="R31530b49ae8542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609989.8958345469</x:v>
      </x:c>
      <x:c r="C2" s="32" t="n">
        <x:v>4.012470831110888</x:v>
      </x:c>
      <x:c r="D2" s="32" t="n">
        <x:f>IF(C2="","",(1/'Metadata'!$B$5)^(C2-1))</x:f>
        <x:v>1029.1314044466744</x:v>
      </x:c>
      <x:c r="E2" s="31" t="n">
        <x:f>IF(B2=0,"",B2*D2)</x:f>
        <x:v>627759758.1984879</x:v>
      </x:c>
    </x:row>
    <x:row r="3" ht="18" customHeight="1">
      <x:c r="A3" s="24" t="str">
        <x:v>Jellyfish</x:v>
      </x:c>
      <x:c r="B3" s="31" t="n">
        <x:v>1437809.0859416688</x:v>
      </x:c>
      <x:c r="C3" s="32" t="n">
        <x:v>3.4337826182097415</x:v>
      </x:c>
      <x:c r="D3" s="32" t="n">
        <x:f>IF(C3="","",(1/'Metadata'!$B$5)^(C3-1))</x:f>
        <x:v>271.5079922370089</x:v>
      </x:c>
      <x:c r="E3" s="31" t="n">
        <x:f>IF(B3=0,"",B3*D3)</x:f>
        <x:v>390376658.1441515</x:v>
      </x:c>
    </x:row>
    <x:row r="4" ht="18" customHeight="1">
      <x:c r="A4" s="24" t="str">
        <x:v>Large benthopelagics (&gt;=90 cm)</x:v>
      </x:c>
      <x:c r="B4" s="31" t="n">
        <x:v>771642.2209903115</x:v>
      </x:c>
      <x:c r="C4" s="32" t="n">
        <x:v>4.230914074893793</x:v>
      </x:c>
      <x:c r="D4" s="32" t="n">
        <x:f>IF(C4="","",(1/'Metadata'!$B$5)^(C4-1))</x:f>
        <x:v>1701.8217698705496</x:v>
      </x:c>
      <x:c r="E4" s="31" t="n">
        <x:f>IF(B4=0,"",B4*D4)</x:f>
        <x:v>1313197530.2325735</x:v>
      </x:c>
    </x:row>
    <x:row r="5" ht="18" customHeight="1">
      <x:c r="A5" s="24" t="str">
        <x:v>Large demersals (&gt;=90 cm)</x:v>
      </x:c>
      <x:c r="B5" s="31" t="n">
        <x:v>235483.68150219918</x:v>
      </x:c>
      <x:c r="C5" s="32" t="n">
        <x:v>4.343599052220558</x:v>
      </x:c>
      <x:c r="D5" s="32" t="n">
        <x:f>IF(C5="","",(1/'Metadata'!$B$5)^(C5-1))</x:f>
        <x:v>2205.9672075653884</x:v>
      </x:c>
      <x:c r="E5" s="31" t="n">
        <x:f>IF(B5=0,"",B5*D5)</x:f>
        <x:v>519469279.31062365</x:v>
      </x:c>
    </x:row>
    <x:row r="6" ht="18" customHeight="1">
      <x:c r="A6" s="24" t="str">
        <x:v>Large flatfishes (&gt;=90 cm)</x:v>
      </x:c>
      <x:c r="B6" s="31" t="n">
        <x:v>5700.4175110233</x:v>
      </x:c>
      <x:c r="C6" s="32" t="n">
        <x:v>4.25</x:v>
      </x:c>
      <x:c r="D6" s="32" t="n">
        <x:f>IF(C6="","",(1/'Metadata'!$B$5)^(C6-1))</x:f>
        <x:v>1778.2794100389228</x:v>
      </x:c>
      <x:c r="E6" s="31" t="n">
        <x:f>IF(B6=0,"",B6*D6)</x:f>
        <x:v>10136935.088478059</x:v>
      </x:c>
    </x:row>
    <x:row r="7" ht="18" customHeight="1">
      <x:c r="A7" s="24" t="str">
        <x:v>Large pelagics (&gt;=90 cm)</x:v>
      </x:c>
      <x:c r="B7" s="31" t="n">
        <x:v>331565.76807735587</x:v>
      </x:c>
      <x:c r="C7" s="32" t="n">
        <x:v>4.383007460754671</x:v>
      </x:c>
      <x:c r="D7" s="32" t="n">
        <x:f>IF(C7="","",(1/'Metadata'!$B$5)^(C7-1))</x:f>
        <x:v>2415.50233005736</x:v>
      </x:c>
      <x:c r="E7" s="31" t="n">
        <x:f>IF(B7=0,"",B7*D7)</x:f>
        <x:v>800897885.3581113</x:v>
      </x:c>
    </x:row>
    <x:row r="8" ht="18" customHeight="1">
      <x:c r="A8" s="24" t="str">
        <x:v>Large rays (&gt;=90 cm)</x:v>
      </x:c>
      <x:c r="B8" s="31" t="n">
        <x:v>0.1251043766</x:v>
      </x:c>
      <x:c r="C8" s="32" t="n">
        <x:v>3.84</x:v>
      </x:c>
      <x:c r="D8" s="32" t="n">
        <x:f>IF(C8="","",(1/'Metadata'!$B$5)^(C8-1))</x:f>
        <x:v>691.8309709189363</x:v>
      </x:c>
      <x:c r="E8" s="31" t="n">
        <x:f>IF(B8=0,"",B8*D8)</x:f>
        <x:v>86.55108232938626</x:v>
      </x:c>
    </x:row>
    <x:row r="9" ht="18" customHeight="1">
      <x:c r="A9" s="24" t="str">
        <x:v>Large reef assoc. fish (&gt;=90 cm)</x:v>
      </x:c>
      <x:c r="B9" s="31" t="n">
        <x:v>10356.063652305</x:v>
      </x:c>
      <x:c r="C9" s="32" t="n">
        <x:v>3.733378809091659</x:v>
      </x:c>
      <x:c r="D9" s="32" t="n">
        <x:f>IF(C9="","",(1/'Metadata'!$B$5)^(C9-1))</x:f>
        <x:v>541.2261963503795</x:v>
      </x:c>
      <x:c r="E9" s="31" t="n">
        <x:f>IF(B9=0,"",B9*D9)</x:f>
        <x:v>5604972.939699454</x:v>
      </x:c>
    </x:row>
    <x:row r="10" ht="18" customHeight="1">
      <x:c r="A10" s="24" t="str">
        <x:v>Large sharks (&gt;=90 cm)</x:v>
      </x:c>
      <x:c r="B10" s="31" t="n">
        <x:v>29377.9547213562</x:v>
      </x:c>
      <x:c r="C10" s="32" t="n">
        <x:v>4.067294186939987</x:v>
      </x:c>
      <x:c r="D10" s="32" t="n">
        <x:f>IF(C10="","",(1/'Metadata'!$B$5)^(C10-1))</x:f>
        <x:v>1167.6002705275162</x:v>
      </x:c>
      <x:c r="E10" s="31" t="n">
        <x:f>IF(B10=0,"",B10*D10)</x:f>
        <x:v>34301707.88020062</x:v>
      </x:c>
    </x:row>
    <x:row r="11" ht="18" customHeight="1">
      <x:c r="A11" s="24" t="str">
        <x:v>Lobsters, crabs</x:v>
      </x:c>
      <x:c r="B11" s="31" t="n">
        <x:v>635863.1236255732</x:v>
      </x:c>
      <x:c r="C11" s="32" t="n">
        <x:v>3.3141963504966556</x:v>
      </x:c>
      <x:c r="D11" s="32" t="n">
        <x:f>IF(C11="","",(1/'Metadata'!$B$5)^(C11-1))</x:f>
        <x:v>206.1561762974383</x:v>
      </x:c>
      <x:c r="E11" s="31" t="n">
        <x:f>IF(B11=0,"",B11*D11)</x:f>
        <x:v>131087110.21519348</x:v>
      </x:c>
    </x:row>
    <x:row r="12" ht="18" customHeight="1">
      <x:c r="A12" s="24" t="str">
        <x:v>Medium benthopelagics (30 - 89 cm)</x:v>
      </x:c>
      <x:c r="B12" s="31" t="n">
        <x:v>740196.5227352128</x:v>
      </x:c>
      <x:c r="C12" s="32" t="n">
        <x:v>3.609808236727779</x:v>
      </x:c>
      <x:c r="D12" s="32" t="n">
        <x:f>IF(C12="","",(1/'Metadata'!$B$5)^(C12-1))</x:f>
        <x:v>407.2004382395225</x:v>
      </x:c>
      <x:c r="E12" s="31" t="n">
        <x:f>IF(B12=0,"",B12*D12)</x:f>
        <x:v>301408348.44114935</x:v>
      </x:c>
    </x:row>
    <x:row r="13" ht="18" customHeight="1">
      <x:c r="A13" s="24" t="str">
        <x:v>Medium demersals (30 - 89 cm)</x:v>
      </x:c>
      <x:c r="B13" s="31" t="n">
        <x:v>898577.2660387392</x:v>
      </x:c>
      <x:c r="C13" s="32" t="n">
        <x:v>3.350145899201123</x:v>
      </x:c>
      <x:c r="D13" s="32" t="n">
        <x:f>IF(C13="","",(1/'Metadata'!$B$5)^(C13-1))</x:f>
        <x:v>223.94733528144857</x:v>
      </x:c>
      <x:c r="E13" s="31" t="n">
        <x:f>IF(B13=0,"",B13*D13)</x:f>
        <x:v>201233984.27386495</x:v>
      </x:c>
    </x:row>
    <x:row r="14" ht="18" customHeight="1">
      <x:c r="A14" s="24" t="str">
        <x:v>Medium pelagics (30 - 89 cm)</x:v>
      </x:c>
      <x:c r="B14" s="31" t="n">
        <x:v>1058842.8346662621</x:v>
      </x:c>
      <x:c r="C14" s="32" t="n">
        <x:v>3.5281237428429466</x:v>
      </x:c>
      <x:c r="D14" s="32" t="n">
        <x:f>IF(C14="","",(1/'Metadata'!$B$5)^(C14-1))</x:f>
        <x:v>337.38342509317937</x:v>
      </x:c>
      <x:c r="E14" s="31" t="n">
        <x:f>IF(B14=0,"",B14*D14)</x:f>
        <x:v>357236022.19507456</x:v>
      </x:c>
    </x:row>
    <x:row r="15" ht="18" customHeight="1">
      <x:c r="A15" s="24" t="str">
        <x:v>Medium reef assoc. fish (30 - 89 cm)</x:v>
      </x:c>
      <x:c r="B15" s="31" t="n">
        <x:v>499720.28623948456</x:v>
      </x:c>
      <x:c r="C15" s="32" t="n">
        <x:v>3.3685539012677936</x:v>
      </x:c>
      <x:c r="D15" s="32" t="n">
        <x:f>IF(C15="","",(1/'Metadata'!$B$5)^(C15-1))</x:f>
        <x:v>233.64360645749275</x:v>
      </x:c>
      <x:c r="E15" s="31" t="n">
        <x:f>IF(B15=0,"",B15*D15)</x:f>
        <x:v>116756449.89696376</x:v>
      </x:c>
    </x:row>
    <x:row r="16" ht="18" customHeight="1">
      <x:c r="A16" s="24" t="str">
        <x:v>Other demersal invertebrates</x:v>
      </x:c>
      <x:c r="B16" s="31" t="n">
        <x:v>92667.89466727071</x:v>
      </x:c>
      <x:c r="C16" s="32" t="n">
        <x:v>2.3711017879834824</x:v>
      </x:c>
      <x:c r="D16" s="32" t="n">
        <x:f>IF(C16="","",(1/'Metadata'!$B$5)^(C16-1))</x:f>
        <x:v>23.50183581739938</x:v>
      </x:c>
      <x:c r="E16" s="31" t="n">
        <x:f>IF(B16=0,"",B16*D16)</x:f>
        <x:v>2177865.646014256</x:v>
      </x:c>
    </x:row>
    <x:row r="17" ht="18" customHeight="1">
      <x:c r="A17" s="24" t="str">
        <x:v>Shrimps</x:v>
      </x:c>
      <x:c r="B17" s="31" t="n">
        <x:v>1151880.132868309</x:v>
      </x:c>
      <x:c r="C17" s="32" t="n">
        <x:v>2.6675608933536585</x:v>
      </x:c>
      <x:c r="D17" s="32" t="n">
        <x:f>IF(C17="","",(1/'Metadata'!$B$5)^(C17-1))</x:f>
        <x:v>46.511558644118914</x:v>
      </x:c>
      <x:c r="E17" s="31" t="n">
        <x:f>IF(B17=0,"",B17*D17)</x:f>
        <x:v>53575740.350899845</x:v>
      </x:c>
    </x:row>
    <x:row r="18" ht="18" customHeight="1">
      <x:c r="A18" s="24" t="str">
        <x:v>Small bathydemersals (&lt;30 cm)</x:v>
      </x:c>
      <x:c r="B18" s="31" t="n">
        <x:v>7383.935699065601</x:v>
      </x:c>
      <x:c r="C18" s="32" t="n">
        <x:v>3.51</x:v>
      </x:c>
      <x:c r="D18" s="32" t="n">
        <x:f>IF(C18="","",(1/'Metadata'!$B$5)^(C18-1))</x:f>
        <x:v>323.5936569296281</x:v>
      </x:c>
      <x:c r="E18" s="31" t="n">
        <x:f>IF(B18=0,"",B18*D18)</x:f>
        <x:v>2389394.7553938674</x:v>
      </x:c>
    </x:row>
    <x:row r="19" ht="18" customHeight="1">
      <x:c r="A19" s="24" t="str">
        <x:v>Small benthopelagics (&lt;30 cm)</x:v>
      </x:c>
      <x:c r="B19" s="31" t="n">
        <x:v>14584.0283912924</x:v>
      </x:c>
      <x:c r="C19" s="32" t="n">
        <x:v>3.8480589764447686</x:v>
      </x:c>
      <x:c r="D19" s="32" t="n">
        <x:f>IF(C19="","",(1/'Metadata'!$B$5)^(C19-1))</x:f>
        <x:v>704.7887715736236</x:v>
      </x:c>
      <x:c r="E19" s="31" t="n">
        <x:f>IF(B19=0,"",B19*D19)</x:f>
        <x:v>10278659.454493823</x:v>
      </x:c>
    </x:row>
    <x:row r="20" ht="18" customHeight="1">
      <x:c r="A20" s="24" t="str">
        <x:v>Small demersals (&lt;30 cm)</x:v>
      </x:c>
      <x:c r="B20" s="31" t="n">
        <x:v>278864.2822514818</x:v>
      </x:c>
      <x:c r="C20" s="32" t="n">
        <x:v>3.6770267243186177</x:v>
      </x:c>
      <x:c r="D20" s="32" t="n">
        <x:f>IF(C20="","",(1/'Metadata'!$B$5)^(C20-1))</x:f>
        <x:v>475.3644766042934</x:v>
      </x:c>
      <x:c r="E20" s="31" t="n">
        <x:f>IF(B20=0,"",B20*D20)</x:f>
        <x:v>132562173.57610758</x:v>
      </x:c>
    </x:row>
    <x:row r="21" ht="18" customHeight="1">
      <x:c r="A21" s="24" t="str">
        <x:v>Small pelagics (&lt;30 cm)</x:v>
      </x:c>
      <x:c r="B21" s="31" t="n">
        <x:v>730806.6311900263</x:v>
      </x:c>
      <x:c r="C21" s="32" t="n">
        <x:v>3.138649479625694</x:v>
      </x:c>
      <x:c r="D21" s="32" t="n">
        <x:f>IF(C21="","",(1/'Metadata'!$B$5)^(C21-1))</x:f>
        <x:v>137.6098367462539</x:v>
      </x:c>
      <x:c r="E21" s="31" t="n">
        <x:f>IF(B21=0,"",B21*D21)</x:f>
        <x:v>100566181.2111393</x:v>
      </x:c>
    </x:row>
    <x:row r="22" ht="18" customHeight="1">
      <x:c r="A22" s="24" t="str">
        <x:v>Small reef assoc. fish (&lt;30 cm)</x:v>
      </x:c>
      <x:c r="B22" s="31" t="n">
        <x:v>1624.7529706802</x:v>
      </x:c>
      <x:c r="C22" s="32" t="n">
        <x:v>3.11</x:v>
      </x:c>
      <x:c r="D22" s="32" t="n">
        <x:f>IF(C22="","",(1/'Metadata'!$B$5)^(C22-1))</x:f>
        <x:v>128.82495516931337</x:v>
      </x:c>
      <x:c r="E22" s="31" t="n">
        <x:f>IF(B22=0,"",B22*D22)</x:f>
        <x:v>209308.7286090855</x:v>
      </x:c>
    </x:row>
    <x:row r="23" ht="18" customHeight="1">
      <x:c r="A23" s="24" t="str">
        <x:v>Small to medium flatfishes (&lt;90 cm)</x:v>
      </x:c>
      <x:c r="B23" s="31" t="n">
        <x:v>25203.6930517502</x:v>
      </x:c>
      <x:c r="C23" s="32" t="n">
        <x:v>3.166453374120859</x:v>
      </x:c>
      <x:c r="D23" s="32" t="n">
        <x:f>IF(C23="","",(1/'Metadata'!$B$5)^(C23-1))</x:f>
        <x:v>146.70785728173644</x:v>
      </x:c>
      <x:c r="E23" s="31" t="n">
        <x:f>IF(B23=0,"",B23*D23)</x:f>
        <x:v>3697579.8032088606</x:v>
      </x:c>
    </x:row>
  </x:sheetData>
  <x:pageMargins left="0.7" right="0.7" top="0.75" bottom="0.75" header="0.3" footer="0.3"/>
  <x:tableParts count="1">
    <x:tablePart xmlns:r="http://schemas.openxmlformats.org/officeDocument/2006/relationships" r:id="Rc752bc4c182a402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EEZ_156</x:v>
      </x:c>
      <x:c r="B2" s="24" t="str">
        <x:v>raw_filtered_tonnes</x:v>
      </x:c>
      <x:c r="C2" s="24" t="n">
        <x:v>9568140.597730292</x:v>
      </x:c>
      <x:c r="D2" s="24" t="str">
        <x:v>tonnes</x:v>
      </x:c>
    </x:row>
    <x:row r="3" ht="18" customHeight="1">
      <x:c r="A3" s="24" t="str">
        <x:v>EEZ_156</x:v>
      </x:c>
      <x:c r="B3" s="24" t="str">
        <x:v>species_catch_tonnes</x:v>
      </x:c>
      <x:c r="C3" s="24" t="n">
        <x:v>9568140.59773029</x:v>
      </x:c>
      <x:c r="D3" s="24" t="str">
        <x:v>tonnes</x:v>
      </x:c>
    </x:row>
    <x:row r="4" ht="18" customHeight="1">
      <x:c r="A4" s="24" t="str">
        <x:v>EEZ_156</x:v>
      </x:c>
      <x:c r="B4" s="24" t="str">
        <x:v>catch_difference_tonnes</x:v>
      </x:c>
      <x:c r="C4" s="24" t="n">
        <x:v>-1.862645149230957e-9</x:v>
      </x:c>
      <x:c r="D4" s="24" t="str">
        <x:v>tonnes</x:v>
      </x:c>
    </x:row>
    <x:row r="5" ht="18" customHeight="1">
      <x:c r="A5" s="24" t="str">
        <x:v>EEZ_156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EEZ_156</x:v>
      </x:c>
      <x:c r="B6" s="24" t="str">
        <x:v>matched_catch_tonnes</x:v>
      </x:c>
      <x:c r="C6" s="24" t="n">
        <x:v>9568140.59773029</x:v>
      </x:c>
      <x:c r="D6" s="24" t="str">
        <x:v>tonnes</x:v>
      </x:c>
    </x:row>
    <x:row r="7" ht="18" customHeight="1">
      <x:c r="A7" s="24" t="str">
        <x:v>EEZ_156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EEZ_156</x:v>
      </x:c>
      <x:c r="B8" s="24" t="str">
        <x:v>taxa_count</x:v>
      </x:c>
      <x:c r="C8" s="24" t="n">
        <x:v>180</x:v>
      </x:c>
      <x:c r="D8" s="24" t="str">
        <x:v>count</x:v>
      </x:c>
    </x:row>
    <x:row r="9" ht="18" customHeight="1">
      <x:c r="A9" s="24" t="str">
        <x:v>EEZ_156</x:v>
      </x:c>
      <x:c r="B9" s="24" t="str">
        <x:v>matched_taxa_count</x:v>
      </x:c>
      <x:c r="C9" s="24" t="n">
        <x:v>180</x:v>
      </x:c>
      <x:c r="D9" s="24" t="str">
        <x:v>count</x:v>
      </x:c>
    </x:row>
    <x:row r="10" ht="18" customHeight="1">
      <x:c r="A10" s="24" t="str">
        <x:v>EEZ_156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EEZ_156</x:v>
      </x:c>
      <x:c r="B11" s="24" t="str">
        <x:v>species_ppr</x:v>
      </x:c>
      <x:c r="C11" s="24" t="n">
        <x:v>6165828606.948386</x:v>
      </x:c>
      <x:c r="D11" s="24" t="str">
        <x:v>tonnes_primary_production_equivalent</x:v>
      </x:c>
    </x:row>
    <x:row r="12" ht="18" customHeight="1">
      <x:c r="A12" s="24" t="str">
        <x:v>EEZ_156</x:v>
      </x:c>
      <x:c r="B12" s="24" t="str">
        <x:v>commercial_ppr</x:v>
      </x:c>
      <x:c r="C12" s="24" t="n">
        <x:v>3630393758.877296</x:v>
      </x:c>
      <x:c r="D12" s="24" t="str">
        <x:v>tonnes_primary_production_equivalent</x:v>
      </x:c>
    </x:row>
    <x:row r="13" ht="18" customHeight="1">
      <x:c r="A13" s="24" t="str">
        <x:v>EEZ_156</x:v>
      </x:c>
      <x:c r="B13" s="24" t="str">
        <x:v>functional_ppr</x:v>
      </x:c>
      <x:c r="C13" s="24" t="n">
        <x:v>5114923632.251522</x:v>
      </x:c>
      <x:c r="D13" s="24" t="str">
        <x:v>tonnes_primary_production_equivalent</x:v>
      </x:c>
    </x:row>
    <x:row r="14" ht="18" customHeight="1">
      <x:c r="A14" s="24" t="str">
        <x:v>EEZ_156</x:v>
      </x:c>
      <x:c r="B14" s="24" t="str">
        <x:v>commercial_ppr_difference</x:v>
      </x:c>
      <x:c r="C14" s="24" t="n">
        <x:v>-2535434848.07109</x:v>
      </x:c>
      <x:c r="D14" s="24" t="str">
        <x:v>tonnes_primary_production_equivalent</x:v>
      </x:c>
    </x:row>
    <x:row r="15" ht="18" customHeight="1">
      <x:c r="A15" s="24" t="str">
        <x:v>EEZ_156</x:v>
      </x:c>
      <x:c r="B15" s="24" t="str">
        <x:v>functional_ppr_difference</x:v>
      </x:c>
      <x:c r="C15" s="24" t="n">
        <x:v>-1050904974.6968641</x:v>
      </x:c>
      <x:c r="D15" s="24" t="str">
        <x:v>tonnes_primary_production_equivalent</x:v>
      </x:c>
    </x:row>
    <x:row r="16" ht="18" customHeight="1">
      <x:c r="A16" s="24" t="str">
        <x:v>EEZ_156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EEZ_156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558e7a042254a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EEZ_156 - China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EEZ_156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raw_data/SAU_downloads/EEZ_156-catch.zip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