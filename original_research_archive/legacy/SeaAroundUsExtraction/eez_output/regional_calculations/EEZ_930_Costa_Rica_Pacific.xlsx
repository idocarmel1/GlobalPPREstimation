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307b1b40a64e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b9364feafeed4411"/>
    <x:sheet xmlns:r="http://schemas.openxmlformats.org/officeDocument/2006/relationships" name="Commercial" sheetId="2" r:id="R8f95156837c04f6d"/>
    <x:sheet xmlns:r="http://schemas.openxmlformats.org/officeDocument/2006/relationships" name="Functional" sheetId="3" r:id="Rebd6eb77389e4279"/>
    <x:sheet xmlns:r="http://schemas.openxmlformats.org/officeDocument/2006/relationships" name="Missing TL" sheetId="4" r:id="R88fc87bda5444eb4"/>
    <x:sheet xmlns:r="http://schemas.openxmlformats.org/officeDocument/2006/relationships" name="Validation" sheetId="5" r:id="R1c4200b8453243cb"/>
    <x:sheet xmlns:r="http://schemas.openxmlformats.org/officeDocument/2006/relationships" name="Metadata" sheetId="6" r:id="Rf9867789abb043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00a6c0b37641f1" /><Relationship Type="http://schemas.openxmlformats.org/officeDocument/2006/relationships/theme" Target="/xl/theme/theme1.xml" Id="R2ae218960115425d" /><Relationship Type="http://schemas.microsoft.com/office/2022/11/relationships/FeaturePropertyBag" Target="/xl/featurePropertyBag/featurePropertyBag.xml" Id="R506b9a6b3df740e4" /><Relationship Type="http://schemas.openxmlformats.org/officeDocument/2006/relationships/sharedStrings" Target="/xl/sharedStrings.xml" Id="Rf67d085fcc3f45da" /><Relationship Type="http://schemas.openxmlformats.org/officeDocument/2006/relationships/worksheet" Target="/xl/worksheets/sheet1.xml" Id="Rb9364feafeed4411" /><Relationship Type="http://schemas.openxmlformats.org/officeDocument/2006/relationships/worksheet" Target="/xl/worksheets/sheet2.xml" Id="R8f95156837c04f6d" /><Relationship Type="http://schemas.openxmlformats.org/officeDocument/2006/relationships/worksheet" Target="/xl/worksheets/sheet3.xml" Id="Rebd6eb77389e4279" /><Relationship Type="http://schemas.openxmlformats.org/officeDocument/2006/relationships/worksheet" Target="/xl/worksheets/sheet4.xml" Id="R88fc87bda5444eb4" /><Relationship Type="http://schemas.openxmlformats.org/officeDocument/2006/relationships/worksheet" Target="/xl/worksheets/sheet5.xml" Id="R1c4200b8453243cb" /><Relationship Type="http://schemas.openxmlformats.org/officeDocument/2006/relationships/worksheet" Target="/xl/worksheets/sheet6.xml" Id="Rf9867789abb043a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30SpeciesTable" displayName="EEZ930SpeciesTable" ref="A1:U64" headerRowCount="1" totalsRowCount="0" totalsRowShown="0">
  <x:autoFilter ref="A1:U64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30CommercialTable" displayName="EEZ930CommercialTable" ref="A1:E8" headerRowCount="1" totalsRowCount="0" totalsRowShown="0">
  <x:autoFilter ref="A1:E8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30FunctionalTable" displayName="EEZ930FunctionalTable" ref="A1:E16" headerRowCount="1" totalsRowCount="0" totalsRowShown="0">
  <x:autoFilter ref="A1:E16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30ValidationTable" displayName="EEZ930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cf4107d1362427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e2a8883a3d640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b62634f9b8e4fe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b0bc2da463c4fb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EEZ_930</x:v>
      </x:c>
      <x:c r="B2" s="24" t="str">
        <x:v>Costa Rica (Pacific)</x:v>
      </x:c>
      <x:c r="C2" s="24" t="str">
        <x:v>EEZ</x:v>
      </x:c>
      <x:c r="D2" s="30" t="n">
        <x:v>2019</x:v>
      </x:c>
      <x:c r="E2" s="24" t="str">
        <x:v>Elasmobranchii</x:v>
      </x:c>
      <x:c r="F2" s="24" t="str">
        <x:v>Sharks, rays, skates</x:v>
      </x:c>
      <x:c r="G2" s="24" t="str">
        <x:v>Large sharks (&gt;=90 cm)</x:v>
      </x:c>
      <x:c r="H2" s="24" t="str">
        <x:v>Sharks &amp; rays</x:v>
      </x:c>
      <x:c r="I2" s="31" t="n">
        <x:v>16472.3588257995</x:v>
      </x:c>
      <x:c r="J2" s="31" t="n">
        <x:v>43.6865515995</x:v>
      </x:c>
      <x:c r="K2" s="31" t="n">
        <x:v>16428.672274200002</x:v>
      </x:c>
      <x:c r="L2" s="31" t="n">
        <x:v>5.4235506095</x:v>
      </x:c>
      <x:c r="M2" s="31" t="n">
        <x:v>16466.93527519</x:v>
      </x:c>
      <x:c r="N2" s="24" t="str">
        <x:v>elasmobranchii</x:v>
      </x:c>
      <x:c r="O2" s="32" t="n">
        <x:v>4.05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Elasmobranchii</x:v>
      </x:c>
      <x:c r="T2" s="32" t="n">
        <x:f>IF(O2="","",(1/'Metadata'!$B$5)^(O2-1))</x:f>
        <x:v>1122.018454301963</x:v>
      </x:c>
      <x:c r="U2" s="31" t="n">
        <x:f>IF(T2="","",I2*T2)</x:f>
        <x:v>18482290.58843085</x:v>
      </x:c>
    </x:row>
    <x:row r="3" ht="18" customHeight="1">
      <x:c r="A3" s="24" t="str">
        <x:v>EEZ_930</x:v>
      </x:c>
      <x:c r="B3" s="24" t="str">
        <x:v>Costa Rica (Pacific)</x:v>
      </x:c>
      <x:c r="C3" s="24" t="str">
        <x:v>EEZ</x:v>
      </x:c>
      <x:c r="D3" s="30" t="n">
        <x:v>2019</x:v>
      </x:c>
      <x:c r="E3" s="24" t="str">
        <x:v>Thunnus albacares</x:v>
      </x:c>
      <x:c r="F3" s="24" t="str">
        <x:v>Yellowfin tuna</x:v>
      </x:c>
      <x:c r="G3" s="24" t="str">
        <x:v>Large pelagics (&gt;=90 cm)</x:v>
      </x:c>
      <x:c r="H3" s="24" t="str">
        <x:v>Tuna &amp; billfishes</x:v>
      </x:c>
      <x:c r="I3" s="31" t="n">
        <x:v>6822.0723225643</x:v>
      </x:c>
      <x:c r="J3" s="31" t="n">
        <x:v>6759.3878099495005</x:v>
      </x:c>
      <x:c r="K3" s="31" t="n">
        <x:v>62.6845126148</x:v>
      </x:c>
      <x:c r="L3" s="31" t="n">
        <x:v>6759.3878099495005</x:v>
      </x:c>
      <x:c r="M3" s="31" t="n">
        <x:v>62.6845126148</x:v>
      </x:c>
      <x:c r="N3" s="24" t="str">
        <x:v>thunnus albacares</x:v>
      </x:c>
      <x:c r="O3" s="32" t="n">
        <x:v>4.41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Thunnus albacares</x:v>
      </x:c>
      <x:c r="T3" s="32" t="n">
        <x:f>IF(O3="","",(1/'Metadata'!$B$5)^(O3-1))</x:f>
        <x:v>2570.3957827688646</x:v>
      </x:c>
      <x:c r="U3" s="31" t="n">
        <x:f>IF(T3="","",I3*T3)</x:f>
        <x:v>17535425.927663468</x:v>
      </x:c>
    </x:row>
    <x:row r="4" ht="18" customHeight="1">
      <x:c r="A4" s="24" t="str">
        <x:v>EEZ_930</x:v>
      </x:c>
      <x:c r="B4" s="24" t="str">
        <x:v>Costa Rica (Pacific)</x:v>
      </x:c>
      <x:c r="C4" s="24" t="str">
        <x:v>EEZ</x:v>
      </x:c>
      <x:c r="D4" s="30" t="n">
        <x:v>2019</x:v>
      </x:c>
      <x:c r="E4" s="24" t="str">
        <x:v>Istiophorus platypterus</x:v>
      </x:c>
      <x:c r="F4" s="24" t="str">
        <x:v>Indo-Pacific sailfish</x:v>
      </x:c>
      <x:c r="G4" s="24" t="str">
        <x:v>Large pelagics (&gt;=90 cm)</x:v>
      </x:c>
      <x:c r="H4" s="24" t="str">
        <x:v>Tuna &amp; billfishes</x:v>
      </x:c>
      <x:c r="I4" s="31" t="n">
        <x:v>4404.0061152748</x:v>
      </x:c>
      <x:c r="J4" s="31" t="n">
        <x:v>1013.8594332748</x:v>
      </x:c>
      <x:c r="K4" s="31" t="n">
        <x:v>3390.146682</x:v>
      </x:c>
      <x:c r="L4" s="31" t="n">
        <x:v>11.1910772748</x:v>
      </x:c>
      <x:c r="M4" s="31" t="n">
        <x:v>4392.815038</x:v>
      </x:c>
      <x:c r="N4" s="24" t="str">
        <x:v>istiophorus platypterus</x:v>
      </x:c>
      <x:c r="O4" s="32" t="n">
        <x:v>4.5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Istiophorus platypterus</x:v>
      </x:c>
      <x:c r="T4" s="32" t="n">
        <x:f>IF(O4="","",(1/'Metadata'!$B$5)^(O4-1))</x:f>
        <x:v>3162.2776601683795</x:v>
      </x:c>
      <x:c r="U4" s="31" t="n">
        <x:f>IF(T4="","",I4*T4)</x:f>
        <x:v>13926690.15357843</x:v>
      </x:c>
    </x:row>
    <x:row r="5" ht="18" customHeight="1">
      <x:c r="A5" s="24" t="str">
        <x:v>EEZ_930</x:v>
      </x:c>
      <x:c r="B5" s="24" t="str">
        <x:v>Costa Rica (Pacific)</x:v>
      </x:c>
      <x:c r="C5" s="24" t="str">
        <x:v>EEZ</x:v>
      </x:c>
      <x:c r="D5" s="30" t="n">
        <x:v>2019</x:v>
      </x:c>
      <x:c r="E5" s="24" t="str">
        <x:v>Chondrichthyes</x:v>
      </x:c>
      <x:c r="F5" s="24" t="str">
        <x:v>Sharks, rays, chimaeras</x:v>
      </x:c>
      <x:c r="G5" s="24" t="str">
        <x:v>Large sharks (&gt;=90 cm)</x:v>
      </x:c>
      <x:c r="H5" s="24" t="str">
        <x:v>Sharks &amp; rays</x:v>
      </x:c>
      <x:c r="I5" s="31" t="n">
        <x:v>4330</x:v>
      </x:c>
      <x:c r="J5" s="31" t="n">
        <x:v>4330</x:v>
      </x:c>
      <x:c r="K5" s="31" t="n">
        <x:v>0</x:v>
      </x:c>
      <x:c r="L5" s="31" t="n">
        <x:v>4330</x:v>
      </x:c>
      <x:c r="M5" s="31" t="n">
        <x:v>0</x:v>
      </x:c>
      <x:c r="N5" s="24" t="str">
        <x:v>chondrichthyes</x:v>
      </x:c>
      <x:c r="O5" s="32" t="n">
        <x:v>4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Chondrichthyes</x:v>
      </x:c>
      <x:c r="T5" s="32" t="n">
        <x:f>IF(O5="","",(1/'Metadata'!$B$5)^(O5-1))</x:f>
        <x:v>1000</x:v>
      </x:c>
      <x:c r="U5" s="31" t="n">
        <x:f>IF(T5="","",I5*T5)</x:f>
        <x:v>4330000</x:v>
      </x:c>
    </x:row>
    <x:row r="6" ht="18" customHeight="1">
      <x:c r="A6" s="24" t="str">
        <x:v>EEZ_930</x:v>
      </x:c>
      <x:c r="B6" s="24" t="str">
        <x:v>Costa Rica (Pacific)</x:v>
      </x:c>
      <x:c r="C6" s="24" t="str">
        <x:v>EEZ</x:v>
      </x:c>
      <x:c r="D6" s="30" t="n">
        <x:v>2019</x:v>
      </x:c>
      <x:c r="E6" s="24" t="str">
        <x:v>Marine fishes not identified</x:v>
      </x:c>
      <x:c r="F6" s="24" t="str">
        <x:v>Marine fishes nei</x:v>
      </x:c>
      <x:c r="G6" s="24" t="str">
        <x:v>Medium demersals (30 - 89 cm)</x:v>
      </x:c>
      <x:c r="H6" s="24" t="str">
        <x:v>Other fishes &amp; inverts</x:v>
      </x:c>
      <x:c r="I6" s="31" t="n">
        <x:v>4118.9942709764</x:v>
      </x:c>
      <x:c r="J6" s="31" t="n">
        <x:v>2108.7358914392003</x:v>
      </x:c>
      <x:c r="K6" s="31" t="n">
        <x:v>2010.2583795372</x:v>
      </x:c>
      <x:c r="L6" s="31" t="n">
        <x:v>1981.1302199192</x:v>
      </x:c>
      <x:c r="M6" s="31" t="n">
        <x:v>2137.8640510572</x:v>
      </x:c>
      <x:c r="N6" s="24" t="str">
        <x:v>marine fishes not identified</x:v>
      </x:c>
      <x:c r="O6" s="32" t="n">
        <x:v>3.28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Marine fishes not identified</x:v>
      </x:c>
      <x:c r="T6" s="32" t="n">
        <x:f>IF(O6="","",(1/'Metadata'!$B$5)^(O6-1))</x:f>
        <x:v>190.54607179632464</x:v>
      </x:c>
      <x:c r="U6" s="31" t="n">
        <x:f>IF(T6="","",I6*T6)</x:f>
        <x:v>784858.178086119</x:v>
      </x:c>
    </x:row>
    <x:row r="7" ht="18" customHeight="1">
      <x:c r="A7" s="24" t="str">
        <x:v>EEZ_930</x:v>
      </x:c>
      <x:c r="B7" s="24" t="str">
        <x:v>Costa Rica (Pacific)</x:v>
      </x:c>
      <x:c r="C7" s="24" t="str">
        <x:v>EEZ</x:v>
      </x:c>
      <x:c r="D7" s="30" t="n">
        <x:v>2019</x:v>
      </x:c>
      <x:c r="E7" s="24" t="str">
        <x:v>Carcharhinus falciformis</x:v>
      </x:c>
      <x:c r="F7" s="24" t="str">
        <x:v>Silky shark</x:v>
      </x:c>
      <x:c r="G7" s="24" t="str">
        <x:v>Large sharks (&gt;=90 cm)</x:v>
      </x:c>
      <x:c r="H7" s="24" t="str">
        <x:v>Sharks &amp; rays</x:v>
      </x:c>
      <x:c r="I7" s="31" t="n">
        <x:v>3858.8519586292</x:v>
      </x:c>
      <x:c r="J7" s="31" t="n">
        <x:v>2165.30157719</x:v>
      </x:c>
      <x:c r="K7" s="31" t="n">
        <x:v>1693.5503814392</x:v>
      </x:c>
      <x:c r="L7" s="31" t="n">
        <x:v>2155</x:v>
      </x:c>
      <x:c r="M7" s="31" t="n">
        <x:v>1703.8519586292</x:v>
      </x:c>
      <x:c r="N7" s="24" t="str">
        <x:v>carcharhinus falciformis</x:v>
      </x:c>
      <x:c r="O7" s="32" t="n">
        <x:v>4.51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Carcharhinus falciformis</x:v>
      </x:c>
      <x:c r="T7" s="32" t="n">
        <x:f>IF(O7="","",(1/'Metadata'!$B$5)^(O7-1))</x:f>
        <x:v>3235.936569296281</x:v>
      </x:c>
      <x:c r="U7" s="31" t="n">
        <x:f>IF(T7="","",I7*T7)</x:f>
        <x:v>12487000.168428808</x:v>
      </x:c>
    </x:row>
    <x:row r="8" ht="18" customHeight="1">
      <x:c r="A8" s="24" t="str">
        <x:v>EEZ_930</x:v>
      </x:c>
      <x:c r="B8" s="24" t="str">
        <x:v>Costa Rica (Pacific)</x:v>
      </x:c>
      <x:c r="C8" s="24" t="str">
        <x:v>EEZ</x:v>
      </x:c>
      <x:c r="D8" s="30" t="n">
        <x:v>2019</x:v>
      </x:c>
      <x:c r="E8" s="24" t="str">
        <x:v>Squilla biformis</x:v>
      </x:c>
      <x:c r="F8" s="24" t="str">
        <x:v>Squilla biformis</x:v>
      </x:c>
      <x:c r="G8" s="24" t="str">
        <x:v>Shrimps</x:v>
      </x:c>
      <x:c r="H8" s="24" t="str">
        <x:v>Crustaceans</x:v>
      </x:c>
      <x:c r="I8" s="31" t="n">
        <x:v>2217.421356</x:v>
      </x:c>
      <x:c r="J8" s="31" t="n">
        <x:v>0</x:v>
      </x:c>
      <x:c r="K8" s="31" t="n">
        <x:v>2217.421356</x:v>
      </x:c>
      <x:c r="L8" s="31" t="n">
        <x:v>0</x:v>
      </x:c>
      <x:c r="M8" s="31" t="n">
        <x:v>2217.421356</x:v>
      </x:c>
      <x:c r="N8" s="24" t="str">
        <x:v>squilla biformis</x:v>
      </x:c>
      <x:c r="O8" s="32" t="n">
        <x:v>2.6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Squilla biformis</x:v>
      </x:c>
      <x:c r="T8" s="32" t="n">
        <x:f>IF(O8="","",(1/'Metadata'!$B$5)^(O8-1))</x:f>
        <x:v>39.810717055349734</x:v>
      </x:c>
      <x:c r="U8" s="31" t="n">
        <x:f>IF(T8="","",I8*T8)</x:f>
        <x:v>88277.13419620592</x:v>
      </x:c>
    </x:row>
    <x:row r="9" ht="18" customHeight="1">
      <x:c r="A9" s="24" t="str">
        <x:v>EEZ_930</x:v>
      </x:c>
      <x:c r="B9" s="24" t="str">
        <x:v>Costa Rica (Pacific)</x:v>
      </x:c>
      <x:c r="C9" s="24" t="str">
        <x:v>EEZ</x:v>
      </x:c>
      <x:c r="D9" s="30" t="n">
        <x:v>2019</x:v>
      </x:c>
      <x:c r="E9" s="24" t="str">
        <x:v>Plesionika trispinus</x:v>
      </x:c>
      <x:c r="F9" s="24" t="str">
        <x:v>Pacific deepwater shrimp</x:v>
      </x:c>
      <x:c r="G9" s="24" t="str">
        <x:v>Shrimps</x:v>
      </x:c>
      <x:c r="H9" s="24" t="str">
        <x:v>Crustaceans</x:v>
      </x:c>
      <x:c r="I9" s="31" t="n">
        <x:v>1627.895437</x:v>
      </x:c>
      <x:c r="J9" s="31" t="n">
        <x:v>0</x:v>
      </x:c>
      <x:c r="K9" s="31" t="n">
        <x:v>1627.895437</x:v>
      </x:c>
      <x:c r="L9" s="31" t="n">
        <x:v>0</x:v>
      </x:c>
      <x:c r="M9" s="31" t="n">
        <x:v>1627.895437</x:v>
      </x:c>
      <x:c r="N9" s="24" t="str">
        <x:v>plesionika trispinus</x:v>
      </x:c>
      <x:c r="O9" s="32" t="n">
        <x:v>2.65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Plesionika trispinus</x:v>
      </x:c>
      <x:c r="T9" s="32" t="n">
        <x:f>IF(O9="","",(1/'Metadata'!$B$5)^(O9-1))</x:f>
        <x:v>44.6683592150963</x:v>
      </x:c>
      <x:c r="U9" s="31" t="n">
        <x:f>IF(T9="","",I9*T9)</x:f>
        <x:v>72715.41814453217</x:v>
      </x:c>
    </x:row>
    <x:row r="10" ht="18" customHeight="1">
      <x:c r="A10" s="24" t="str">
        <x:v>EEZ_930</x:v>
      </x:c>
      <x:c r="B10" s="24" t="str">
        <x:v>Costa Rica (Pacific)</x:v>
      </x:c>
      <x:c r="C10" s="24" t="str">
        <x:v>EEZ</x:v>
      </x:c>
      <x:c r="D10" s="30" t="n">
        <x:v>2019</x:v>
      </x:c>
      <x:c r="E10" s="24" t="str">
        <x:v>Scombroidei</x:v>
      </x:c>
      <x:c r="F10" s="24" t="str">
        <x:v>Tunas, bonitos, billfishes</x:v>
      </x:c>
      <x:c r="G10" s="24" t="str">
        <x:v>Large pelagics (&gt;=90 cm)</x:v>
      </x:c>
      <x:c r="H10" s="24" t="str">
        <x:v>Tuna &amp; billfishes</x:v>
      </x:c>
      <x:c r="I10" s="31" t="n">
        <x:v>1199.99999999</x:v>
      </x:c>
      <x:c r="J10" s="31" t="n">
        <x:v>1199.99999999</x:v>
      </x:c>
      <x:c r="K10" s="31" t="n">
        <x:v>0</x:v>
      </x:c>
      <x:c r="L10" s="31" t="n">
        <x:v>1199.99999999</x:v>
      </x:c>
      <x:c r="M10" s="31" t="n">
        <x:v>0</x:v>
      </x:c>
      <x:c r="N10" s="24" t="str">
        <x:v>scombroidei</x:v>
      </x:c>
      <x:c r="O10" s="32" t="n">
        <x:v>4.2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Scombroidei</x:v>
      </x:c>
      <x:c r="T10" s="32" t="n">
        <x:f>IF(O10="","",(1/'Metadata'!$B$5)^(O10-1))</x:f>
        <x:v>1584.893192461114</x:v>
      </x:c>
      <x:c r="U10" s="31" t="n">
        <x:f>IF(T10="","",I10*T10)</x:f>
        <x:v>1901871.830937488</x:v>
      </x:c>
    </x:row>
    <x:row r="11" ht="18" customHeight="1">
      <x:c r="A11" s="24" t="str">
        <x:v>EEZ_930</x:v>
      </x:c>
      <x:c r="B11" s="24" t="str">
        <x:v>Costa Rica (Pacific)</x:v>
      </x:c>
      <x:c r="C11" s="24" t="str">
        <x:v>EEZ</x:v>
      </x:c>
      <x:c r="D11" s="30" t="n">
        <x:v>2019</x:v>
      </x:c>
      <x:c r="E11" s="24" t="str">
        <x:v>Brotula clarkae</x:v>
      </x:c>
      <x:c r="F11" s="24" t="str">
        <x:v>Pacific bearded brotula</x:v>
      </x:c>
      <x:c r="G11" s="24" t="str">
        <x:v>Large benthopelagics (&gt;=90 cm)</x:v>
      </x:c>
      <x:c r="H11" s="24" t="str">
        <x:v>Other fishes &amp; inverts</x:v>
      </x:c>
      <x:c r="I11" s="31" t="n">
        <x:v>1090.669311</x:v>
      </x:c>
      <x:c r="J11" s="31" t="n">
        <x:v>1090.669311</x:v>
      </x:c>
      <x:c r="K11" s="31" t="n">
        <x:v>0</x:v>
      </x:c>
      <x:c r="L11" s="31" t="n">
        <x:v>0</x:v>
      </x:c>
      <x:c r="M11" s="31" t="n">
        <x:v>1090.669311</x:v>
      </x:c>
      <x:c r="N11" s="24" t="str">
        <x:v>brotula clarkae</x:v>
      </x:c>
      <x:c r="O11" s="32" t="n">
        <x:v>3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Brotula clarkae</x:v>
      </x:c>
      <x:c r="T11" s="32" t="n">
        <x:f>IF(O11="","",(1/'Metadata'!$B$5)^(O11-1))</x:f>
        <x:v>100</x:v>
      </x:c>
      <x:c r="U11" s="31" t="n">
        <x:f>IF(T11="","",I11*T11)</x:f>
        <x:v>109066.93110000002</x:v>
      </x:c>
    </x:row>
    <x:row r="12" ht="18" customHeight="1">
      <x:c r="A12" s="24" t="str">
        <x:v>EEZ_930</x:v>
      </x:c>
      <x:c r="B12" s="24" t="str">
        <x:v>Costa Rica (Pacific)</x:v>
      </x:c>
      <x:c r="C12" s="24" t="str">
        <x:v>EEZ</x:v>
      </x:c>
      <x:c r="D12" s="30" t="n">
        <x:v>2019</x:v>
      </x:c>
      <x:c r="E12" s="24" t="str">
        <x:v>Synodus scituliceps</x:v>
      </x:c>
      <x:c r="F12" s="24" t="str">
        <x:v>Shorthead lizardfish</x:v>
      </x:c>
      <x:c r="G12" s="24" t="str">
        <x:v>Medium demersals (30 - 89 cm)</x:v>
      </x:c>
      <x:c r="H12" s="24" t="str">
        <x:v>Other fishes &amp; inverts</x:v>
      </x:c>
      <x:c r="I12" s="31" t="n">
        <x:v>1033.852151</x:v>
      </x:c>
      <x:c r="J12" s="31" t="n">
        <x:v>0</x:v>
      </x:c>
      <x:c r="K12" s="31" t="n">
        <x:v>1033.852151</x:v>
      </x:c>
      <x:c r="L12" s="31" t="n">
        <x:v>0</x:v>
      </x:c>
      <x:c r="M12" s="31" t="n">
        <x:v>1033.852151</x:v>
      </x:c>
      <x:c r="N12" s="24" t="str">
        <x:v>synodus scituliceps</x:v>
      </x:c>
      <x:c r="O12" s="32" t="n">
        <x:v>4.2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Synodus scituliceps</x:v>
      </x:c>
      <x:c r="T12" s="32" t="n">
        <x:f>IF(O12="","",(1/'Metadata'!$B$5)^(O12-1))</x:f>
        <x:v>1584.893192461114</x:v>
      </x:c>
      <x:c r="U12" s="31" t="n">
        <x:f>IF(T12="","",I12*T12)</x:f>
        <x:v>1638545.2361311798</x:v>
      </x:c>
    </x:row>
    <x:row r="13" ht="18" customHeight="1">
      <x:c r="A13" s="24" t="str">
        <x:v>EEZ_930</x:v>
      </x:c>
      <x:c r="B13" s="24" t="str">
        <x:v>Costa Rica (Pacific)</x:v>
      </x:c>
      <x:c r="C13" s="24" t="str">
        <x:v>EEZ</x:v>
      </x:c>
      <x:c r="D13" s="30" t="n">
        <x:v>2019</x:v>
      </x:c>
      <x:c r="E13" s="24" t="str">
        <x:v>Xiphias gladius</x:v>
      </x:c>
      <x:c r="F13" s="24" t="str">
        <x:v>Swordfish</x:v>
      </x:c>
      <x:c r="G13" s="24" t="str">
        <x:v>Large pelagics (&gt;=90 cm)</x:v>
      </x:c>
      <x:c r="H13" s="24" t="str">
        <x:v>Tuna &amp; billfishes</x:v>
      </x:c>
      <x:c r="I13" s="31" t="n">
        <x:v>648.6567929159</x:v>
      </x:c>
      <x:c r="J13" s="31" t="n">
        <x:v>592.6351540109999</x:v>
      </x:c>
      <x:c r="K13" s="31" t="n">
        <x:v>56.0216389049</x:v>
      </x:c>
      <x:c r="L13" s="31" t="n">
        <x:v>576.070739171</x:v>
      </x:c>
      <x:c r="M13" s="31" t="n">
        <x:v>72.5860537449</x:v>
      </x:c>
      <x:c r="N13" s="24" t="str">
        <x:v>xiphias gladius</x:v>
      </x:c>
      <x:c r="O13" s="32" t="n">
        <x:v>4.53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Xiphias gladius</x:v>
      </x:c>
      <x:c r="T13" s="32" t="n">
        <x:f>IF(O13="","",(1/'Metadata'!$B$5)^(O13-1))</x:f>
        <x:v>3388.4415613920273</x:v>
      </x:c>
      <x:c r="U13" s="31" t="n">
        <x:f>IF(T13="","",I13*T13)</x:f>
        <x:v>2197935.636195497</x:v>
      </x:c>
    </x:row>
    <x:row r="14" ht="18" customHeight="1">
      <x:c r="A14" s="24" t="str">
        <x:v>EEZ_930</x:v>
      </x:c>
      <x:c r="B14" s="24" t="str">
        <x:v>Costa Rica (Pacific)</x:v>
      </x:c>
      <x:c r="C14" s="24" t="str">
        <x:v>EEZ</x:v>
      </x:c>
      <x:c r="D14" s="30" t="n">
        <x:v>2019</x:v>
      </x:c>
      <x:c r="E14" s="24" t="str">
        <x:v>Solenocera agassizii</x:v>
      </x:c>
      <x:c r="F14" s="24" t="str">
        <x:v>Kolibri shrimp</x:v>
      </x:c>
      <x:c r="G14" s="24" t="str">
        <x:v>Shrimps</x:v>
      </x:c>
      <x:c r="H14" s="24" t="str">
        <x:v>Crustaceans</x:v>
      </x:c>
      <x:c r="I14" s="31" t="n">
        <x:v>582.8267612</x:v>
      </x:c>
      <x:c r="J14" s="31" t="n">
        <x:v>0</x:v>
      </x:c>
      <x:c r="K14" s="31" t="n">
        <x:v>582.8267612</x:v>
      </x:c>
      <x:c r="L14" s="31" t="n">
        <x:v>0</x:v>
      </x:c>
      <x:c r="M14" s="31" t="n">
        <x:v>582.8267612</x:v>
      </x:c>
      <x:c r="N14" s="24" t="str">
        <x:v>solenocera agassizii</x:v>
      </x:c>
      <x:c r="O14" s="32" t="n">
        <x:v>2.2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Solenocera agassizii</x:v>
      </x:c>
      <x:c r="T14" s="32" t="n">
        <x:f>IF(O14="","",(1/'Metadata'!$B$5)^(O14-1))</x:f>
        <x:v>15.848931924611142</x:v>
      </x:c>
      <x:c r="U14" s="31" t="n">
        <x:f>IF(T14="","",I14*T14)</x:f>
        <x:v>9237.181662100395</x:v>
      </x:c>
    </x:row>
    <x:row r="15" ht="18" customHeight="1">
      <x:c r="A15" s="24" t="str">
        <x:v>EEZ_930</x:v>
      </x:c>
      <x:c r="B15" s="24" t="str">
        <x:v>Costa Rica (Pacific)</x:v>
      </x:c>
      <x:c r="C15" s="24" t="str">
        <x:v>EEZ</x:v>
      </x:c>
      <x:c r="D15" s="30" t="n">
        <x:v>2019</x:v>
      </x:c>
      <x:c r="E15" s="24" t="str">
        <x:v>Syacium ovale</x:v>
      </x:c>
      <x:c r="F15" s="24" t="str">
        <x:v>Oval flounder</x:v>
      </x:c>
      <x:c r="G15" s="24" t="str">
        <x:v>Small to medium flatfishes (&lt;90 cm)</x:v>
      </x:c>
      <x:c r="H15" s="24" t="str">
        <x:v>Flatfishes</x:v>
      </x:c>
      <x:c r="I15" s="31" t="n">
        <x:v>500.9086477</x:v>
      </x:c>
      <x:c r="J15" s="31" t="n">
        <x:v>0</x:v>
      </x:c>
      <x:c r="K15" s="31" t="n">
        <x:v>500.9086477</x:v>
      </x:c>
      <x:c r="L15" s="31" t="n">
        <x:v>0</x:v>
      </x:c>
      <x:c r="M15" s="31" t="n">
        <x:v>500.9086477</x:v>
      </x:c>
      <x:c r="N15" s="24" t="str">
        <x:v>syacium ovale</x:v>
      </x:c>
      <x:c r="O15" s="32" t="n">
        <x:v>4.02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Syacium ovale</x:v>
      </x:c>
      <x:c r="T15" s="32" t="n">
        <x:f>IF(O15="","",(1/'Metadata'!$B$5)^(O15-1))</x:f>
        <x:v>1047.1285480508984</x:v>
      </x:c>
      <x:c r="U15" s="31" t="n">
        <x:f>IF(T15="","",I15*T15)</x:f>
        <x:v>524515.7449722401</x:v>
      </x:c>
    </x:row>
    <x:row r="16" ht="18" customHeight="1">
      <x:c r="A16" s="24" t="str">
        <x:v>EEZ_930</x:v>
      </x:c>
      <x:c r="B16" s="24" t="str">
        <x:v>Costa Rica (Pacific)</x:v>
      </x:c>
      <x:c r="C16" s="24" t="str">
        <x:v>EEZ</x:v>
      </x:c>
      <x:c r="D16" s="30" t="n">
        <x:v>2019</x:v>
      </x:c>
      <x:c r="E16" s="24" t="str">
        <x:v>Lutjanidae</x:v>
      </x:c>
      <x:c r="F16" s="24" t="str">
        <x:v>Snappers</x:v>
      </x:c>
      <x:c r="G16" s="24" t="str">
        <x:v>Medium reef assoc. fish (30 - 89 cm)</x:v>
      </x:c>
      <x:c r="H16" s="24" t="str">
        <x:v>Perch-likes</x:v>
      </x:c>
      <x:c r="I16" s="31" t="n">
        <x:v>500.00000001</x:v>
      </x:c>
      <x:c r="J16" s="31" t="n">
        <x:v>500.00000001</x:v>
      </x:c>
      <x:c r="K16" s="31" t="n">
        <x:v>0</x:v>
      </x:c>
      <x:c r="L16" s="31" t="n">
        <x:v>500.00000001</x:v>
      </x:c>
      <x:c r="M16" s="31" t="n">
        <x:v>0</x:v>
      </x:c>
      <x:c r="N16" s="24" t="str">
        <x:v>lutjanidae</x:v>
      </x:c>
      <x:c r="O16" s="32" t="n">
        <x:v>4.02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Lutjanidae</x:v>
      </x:c>
      <x:c r="T16" s="32" t="n">
        <x:f>IF(O16="","",(1/'Metadata'!$B$5)^(O16-1))</x:f>
        <x:v>1047.1285480508984</x:v>
      </x:c>
      <x:c r="U16" s="31" t="n">
        <x:f>IF(T16="","",I16*T16)</x:f>
        <x:v>523564.2740359205</x:v>
      </x:c>
    </x:row>
    <x:row r="17" ht="18" customHeight="1">
      <x:c r="A17" s="24" t="str">
        <x:v>EEZ_930</x:v>
      </x:c>
      <x:c r="B17" s="24" t="str">
        <x:v>Costa Rica (Pacific)</x:v>
      </x:c>
      <x:c r="C17" s="24" t="str">
        <x:v>EEZ</x:v>
      </x:c>
      <x:c r="D17" s="30" t="n">
        <x:v>2019</x:v>
      </x:c>
      <x:c r="E17" s="24" t="str">
        <x:v>Kajikia audax</x:v>
      </x:c>
      <x:c r="F17" s="24" t="str">
        <x:v>Striped marlin</x:v>
      </x:c>
      <x:c r="G17" s="24" t="str">
        <x:v>Large pelagics (&gt;=90 cm)</x:v>
      </x:c>
      <x:c r="H17" s="24" t="str">
        <x:v>Tuna &amp; billfishes</x:v>
      </x:c>
      <x:c r="I17" s="31" t="n">
        <x:v>321.98198786890003</x:v>
      </x:c>
      <x:c r="J17" s="31" t="n">
        <x:v>85.4236935689</x:v>
      </x:c>
      <x:c r="K17" s="31" t="n">
        <x:v>236.5582943</x:v>
      </x:c>
      <x:c r="L17" s="31" t="n">
        <x:v>15.4593120089</x:v>
      </x:c>
      <x:c r="M17" s="31" t="n">
        <x:v>306.52267586</x:v>
      </x:c>
      <x:c r="N17" s="24" t="str">
        <x:v>kajikia audax</x:v>
      </x:c>
      <x:c r="O17" s="32" t="n">
        <x:v>4.58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Kajikia audax</x:v>
      </x:c>
      <x:c r="T17" s="32" t="n">
        <x:f>IF(O17="","",(1/'Metadata'!$B$5)^(O17-1))</x:f>
        <x:v>3801.8939632056126</x:v>
      </x:c>
      <x:c r="U17" s="31" t="n">
        <x:f>IF(T17="","",I17*T17)</x:f>
        <x:v>1224141.3759397138</x:v>
      </x:c>
    </x:row>
    <x:row r="18" ht="18" customHeight="1">
      <x:c r="A18" s="24" t="str">
        <x:v>EEZ_930</x:v>
      </x:c>
      <x:c r="B18" s="24" t="str">
        <x:v>Costa Rica (Pacific)</x:v>
      </x:c>
      <x:c r="C18" s="24" t="str">
        <x:v>EEZ</x:v>
      </x:c>
      <x:c r="D18" s="30" t="n">
        <x:v>2019</x:v>
      </x:c>
      <x:c r="E18" s="24" t="str">
        <x:v>Cynoscion reticulatus</x:v>
      </x:c>
      <x:c r="F18" s="24" t="str">
        <x:v>Mexican striped weakfish</x:v>
      </x:c>
      <x:c r="G18" s="24" t="str">
        <x:v>Medium demersals (30 - 89 cm)</x:v>
      </x:c>
      <x:c r="H18" s="24" t="str">
        <x:v>Perch-likes</x:v>
      </x:c>
      <x:c r="I18" s="31" t="n">
        <x:v>317.7540512</x:v>
      </x:c>
      <x:c r="J18" s="31" t="n">
        <x:v>317.7540512</x:v>
      </x:c>
      <x:c r="K18" s="31" t="n">
        <x:v>0</x:v>
      </x:c>
      <x:c r="L18" s="31" t="n">
        <x:v>0</x:v>
      </x:c>
      <x:c r="M18" s="31" t="n">
        <x:v>317.7540512</x:v>
      </x:c>
      <x:c r="N18" s="24" t="str">
        <x:v>cynoscion reticulatus</x:v>
      </x:c>
      <x:c r="O18" s="32" t="n">
        <x:v>3.89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Cynoscion reticulatus</x:v>
      </x:c>
      <x:c r="T18" s="32" t="n">
        <x:f>IF(O18="","",(1/'Metadata'!$B$5)^(O18-1))</x:f>
        <x:v>776.247116628692</x:v>
      </x:c>
      <x:c r="U18" s="31" t="n">
        <x:f>IF(T18="","",I18*T18)</x:f>
        <x:v>246655.66604108576</x:v>
      </x:c>
    </x:row>
    <x:row r="19" ht="18" customHeight="1">
      <x:c r="A19" s="24" t="str">
        <x:v>EEZ_930</x:v>
      </x:c>
      <x:c r="B19" s="24" t="str">
        <x:v>Costa Rica (Pacific)</x:v>
      </x:c>
      <x:c r="C19" s="24" t="str">
        <x:v>EEZ</x:v>
      </x:c>
      <x:c r="D19" s="30" t="n">
        <x:v>2019</x:v>
      </x:c>
      <x:c r="E19" s="24" t="str">
        <x:v>Miscellaneous marine crustaceans</x:v>
      </x:c>
      <x:c r="F19" s="24" t="str">
        <x:v>Marine crabs, shrimps, lobsters nei</x:v>
      </x:c>
      <x:c r="G19" s="24" t="str">
        <x:v>Shrimps</x:v>
      </x:c>
      <x:c r="H19" s="24" t="str">
        <x:v>Crustaceans</x:v>
      </x:c>
      <x:c r="I19" s="31" t="n">
        <x:v>288.0638015</x:v>
      </x:c>
      <x:c r="J19" s="31" t="n">
        <x:v>0</x:v>
      </x:c>
      <x:c r="K19" s="31" t="n">
        <x:v>288.0638015</x:v>
      </x:c>
      <x:c r="L19" s="31" t="n">
        <x:v>0</x:v>
      </x:c>
      <x:c r="M19" s="31" t="n">
        <x:v>288.0638015</x:v>
      </x:c>
      <x:c r="N19" s="24" t="str">
        <x:v>miscellaneous marine crustaceans</x:v>
      </x:c>
      <x:c r="O19" s="32" t="n">
        <x:v>2.7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Miscellaneous marine crustaceans</x:v>
      </x:c>
      <x:c r="T19" s="32" t="n">
        <x:f>IF(O19="","",(1/'Metadata'!$B$5)^(O19-1))</x:f>
        <x:v>50.11872336272725</x:v>
      </x:c>
      <x:c r="U19" s="31" t="n">
        <x:f>IF(T19="","",I19*T19)</x:f>
        <x:v>14437.389978194076</x:v>
      </x:c>
    </x:row>
    <x:row r="20" ht="18" customHeight="1">
      <x:c r="A20" s="24" t="str">
        <x:v>EEZ_930</x:v>
      </x:c>
      <x:c r="B20" s="24" t="str">
        <x:v>Costa Rica (Pacific)</x:v>
      </x:c>
      <x:c r="C20" s="24" t="str">
        <x:v>EEZ</x:v>
      </x:c>
      <x:c r="D20" s="30" t="n">
        <x:v>2019</x:v>
      </x:c>
      <x:c r="E20" s="24" t="str">
        <x:v>Prionotus stephanophrys</x:v>
      </x:c>
      <x:c r="F20" s="24" t="str">
        <x:v>Lumptail searobin</x:v>
      </x:c>
      <x:c r="G20" s="24" t="str">
        <x:v>Medium demersals (30 - 89 cm)</x:v>
      </x:c>
      <x:c r="H20" s="24" t="str">
        <x:v>Scorpionfishes</x:v>
      </x:c>
      <x:c r="I20" s="31" t="n">
        <x:v>285.4014388</x:v>
      </x:c>
      <x:c r="J20" s="31" t="n">
        <x:v>0</x:v>
      </x:c>
      <x:c r="K20" s="31" t="n">
        <x:v>285.4014388</x:v>
      </x:c>
      <x:c r="L20" s="31" t="n">
        <x:v>0</x:v>
      </x:c>
      <x:c r="M20" s="31" t="n">
        <x:v>285.4014388</x:v>
      </x:c>
      <x:c r="N20" s="24" t="str">
        <x:v>prionotus stephanophrys</x:v>
      </x:c>
      <x:c r="O20" s="32" t="n">
        <x:v>3.5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Prionotus stephanophrys</x:v>
      </x:c>
      <x:c r="T20" s="32" t="n">
        <x:f>IF(O20="","",(1/'Metadata'!$B$5)^(O20-1))</x:f>
        <x:v>316.22776601683796</x:v>
      </x:c>
      <x:c r="U20" s="31" t="n">
        <x:f>IF(T20="","",I20*T20)</x:f>
        <x:v>90251.8594097153</x:v>
      </x:c>
    </x:row>
    <x:row r="21" ht="18" customHeight="1">
      <x:c r="A21" s="24" t="str">
        <x:v>EEZ_930</x:v>
      </x:c>
      <x:c r="B21" s="24" t="str">
        <x:v>Costa Rica (Pacific)</x:v>
      </x:c>
      <x:c r="C21" s="24" t="str">
        <x:v>EEZ</x:v>
      </x:c>
      <x:c r="D21" s="30" t="n">
        <x:v>2019</x:v>
      </x:c>
      <x:c r="E21" s="24" t="str">
        <x:v>Lutjanus guttatus</x:v>
      </x:c>
      <x:c r="F21" s="24" t="str">
        <x:v>Spotted rose snapper</x:v>
      </x:c>
      <x:c r="G21" s="24" t="str">
        <x:v>Medium reef assoc. fish (30 - 89 cm)</x:v>
      </x:c>
      <x:c r="H21" s="24" t="str">
        <x:v>Perch-likes</x:v>
      </x:c>
      <x:c r="I21" s="31" t="n">
        <x:v>283.00477042</x:v>
      </x:c>
      <x:c r="J21" s="31" t="n">
        <x:v>283.00477042</x:v>
      </x:c>
      <x:c r="K21" s="31" t="n">
        <x:v>0</x:v>
      </x:c>
      <x:c r="L21" s="31" t="n">
        <x:v>0</x:v>
      </x:c>
      <x:c r="M21" s="31" t="n">
        <x:v>283.00477042</x:v>
      </x:c>
      <x:c r="N21" s="24" t="str">
        <x:v>lutjanus guttatus</x:v>
      </x:c>
      <x:c r="O21" s="32" t="n">
        <x:v>4.04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Lutjanus guttatus</x:v>
      </x:c>
      <x:c r="T21" s="32" t="n">
        <x:f>IF(O21="","",(1/'Metadata'!$B$5)^(O21-1))</x:f>
        <x:v>1096.4781961431852</x:v>
      </x:c>
      <x:c r="U21" s="31" t="n">
        <x:f>IF(T21="","",I21*T21)</x:f>
        <x:v>310308.56017003785</x:v>
      </x:c>
    </x:row>
    <x:row r="22" ht="18" customHeight="1">
      <x:c r="A22" s="24" t="str">
        <x:v>EEZ_930</x:v>
      </x:c>
      <x:c r="B22" s="24" t="str">
        <x:v>Costa Rica (Pacific)</x:v>
      </x:c>
      <x:c r="C22" s="24" t="str">
        <x:v>EEZ</x:v>
      </x:c>
      <x:c r="D22" s="30" t="n">
        <x:v>2019</x:v>
      </x:c>
      <x:c r="E22" s="24" t="str">
        <x:v>Diplectrum pacificum</x:v>
      </x:c>
      <x:c r="F22" s="24" t="str">
        <x:v>Inshore sand perch</x:v>
      </x:c>
      <x:c r="G22" s="24" t="str">
        <x:v>Small demersals (&lt;30 cm)</x:v>
      </x:c>
      <x:c r="H22" s="24" t="str">
        <x:v>Perch-likes</x:v>
      </x:c>
      <x:c r="I22" s="31" t="n">
        <x:v>282.4891792</x:v>
      </x:c>
      <x:c r="J22" s="31" t="n">
        <x:v>0</x:v>
      </x:c>
      <x:c r="K22" s="31" t="n">
        <x:v>282.4891792</x:v>
      </x:c>
      <x:c r="L22" s="31" t="n">
        <x:v>0</x:v>
      </x:c>
      <x:c r="M22" s="31" t="n">
        <x:v>282.4891792</x:v>
      </x:c>
      <x:c r="N22" s="24" t="str">
        <x:v>diplectrum pacificum</x:v>
      </x:c>
      <x:c r="O22" s="32" t="n">
        <x:v>3.99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Diplectrum pacificum</x:v>
      </x:c>
      <x:c r="T22" s="32" t="n">
        <x:f>IF(O22="","",(1/'Metadata'!$B$5)^(O22-1))</x:f>
        <x:v>977.2372209558112</x:v>
      </x:c>
      <x:c r="U22" s="31" t="n">
        <x:f>IF(T22="","",I22*T22)</x:f>
        <x:v>276058.9404314961</x:v>
      </x:c>
    </x:row>
    <x:row r="23" ht="18" customHeight="1">
      <x:c r="A23" s="24" t="str">
        <x:v>EEZ_930</x:v>
      </x:c>
      <x:c r="B23" s="24" t="str">
        <x:v>Costa Rica (Pacific)</x:v>
      </x:c>
      <x:c r="C23" s="24" t="str">
        <x:v>EEZ</x:v>
      </x:c>
      <x:c r="D23" s="30" t="n">
        <x:v>2019</x:v>
      </x:c>
      <x:c r="E23" s="24" t="str">
        <x:v>Coryphaena hippurus</x:v>
      </x:c>
      <x:c r="F23" s="24" t="str">
        <x:v>Common dolphinfish</x:v>
      </x:c>
      <x:c r="G23" s="24" t="str">
        <x:v>Large pelagics (&gt;=90 cm)</x:v>
      </x:c>
      <x:c r="H23" s="24" t="str">
        <x:v>Perch-likes</x:v>
      </x:c>
      <x:c r="I23" s="31" t="n">
        <x:v>275.0180848938</x:v>
      </x:c>
      <x:c r="J23" s="31" t="n">
        <x:v>275</x:v>
      </x:c>
      <x:c r="K23" s="31" t="n">
        <x:v>0.0180848938</x:v>
      </x:c>
      <x:c r="L23" s="31" t="n">
        <x:v>275</x:v>
      </x:c>
      <x:c r="M23" s="31" t="n">
        <x:v>0.0180848938</x:v>
      </x:c>
      <x:c r="N23" s="24" t="str">
        <x:v>coryphaena hippurus</x:v>
      </x:c>
      <x:c r="O23" s="32" t="n">
        <x:v>4.37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Coryphaena hippurus</x:v>
      </x:c>
      <x:c r="T23" s="32" t="n">
        <x:f>IF(O23="","",(1/'Metadata'!$B$5)^(O23-1))</x:f>
        <x:v>2344.228815319923</x:v>
      </x:c>
      <x:c r="U23" s="31" t="n">
        <x:f>IF(T23="","",I23*T23)</x:f>
        <x:v>644705.3193421467</x:v>
      </x:c>
    </x:row>
    <x:row r="24" ht="18" customHeight="1">
      <x:c r="A24" s="24" t="str">
        <x:v>EEZ_930</x:v>
      </x:c>
      <x:c r="B24" s="24" t="str">
        <x:v>Costa Rica (Pacific)</x:v>
      </x:c>
      <x:c r="C24" s="24" t="str">
        <x:v>EEZ</x:v>
      </x:c>
      <x:c r="D24" s="30" t="n">
        <x:v>2019</x:v>
      </x:c>
      <x:c r="E24" s="24" t="str">
        <x:v>Cyclopsetta querna</x:v>
      </x:c>
      <x:c r="F24" s="24" t="str">
        <x:v>Toothed flounder</x:v>
      </x:c>
      <x:c r="G24" s="24" t="str">
        <x:v>Small to medium flatfishes (&lt;90 cm)</x:v>
      </x:c>
      <x:c r="H24" s="24" t="str">
        <x:v>Flatfishes</x:v>
      </x:c>
      <x:c r="I24" s="31" t="n">
        <x:v>273.7524005</x:v>
      </x:c>
      <x:c r="J24" s="31" t="n">
        <x:v>0</x:v>
      </x:c>
      <x:c r="K24" s="31" t="n">
        <x:v>273.7524005</x:v>
      </x:c>
      <x:c r="L24" s="31" t="n">
        <x:v>0</x:v>
      </x:c>
      <x:c r="M24" s="31" t="n">
        <x:v>273.7524005</x:v>
      </x:c>
      <x:c r="N24" s="24" t="str">
        <x:v>cyclopsetta querna</x:v>
      </x:c>
      <x:c r="O24" s="32" t="n">
        <x:v>3.97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Cyclopsetta querna</x:v>
      </x:c>
      <x:c r="T24" s="32" t="n">
        <x:f>IF(O24="","",(1/'Metadata'!$B$5)^(O24-1))</x:f>
        <x:v>933.2543007969915</x:v>
      </x:c>
      <x:c r="U24" s="31" t="n">
        <x:f>IF(T24="","",I24*T24)</x:f>
        <x:v>255480.60512012552</x:v>
      </x:c>
    </x:row>
    <x:row r="25" ht="18" customHeight="1">
      <x:c r="A25" s="24" t="str">
        <x:v>EEZ_930</x:v>
      </x:c>
      <x:c r="B25" s="24" t="str">
        <x:v>Costa Rica (Pacific)</x:v>
      </x:c>
      <x:c r="C25" s="24" t="str">
        <x:v>EEZ</x:v>
      </x:c>
      <x:c r="D25" s="30" t="n">
        <x:v>2019</x:v>
      </x:c>
      <x:c r="E25" s="24" t="str">
        <x:v>Lutjanus peru</x:v>
      </x:c>
      <x:c r="F25" s="24" t="str">
        <x:v>Pacific red snapper</x:v>
      </x:c>
      <x:c r="G25" s="24" t="str">
        <x:v>Medium reef assoc. fish (30 - 89 cm)</x:v>
      </x:c>
      <x:c r="H25" s="24" t="str">
        <x:v>Perch-likes</x:v>
      </x:c>
      <x:c r="I25" s="31" t="n">
        <x:v>224.2411432</x:v>
      </x:c>
      <x:c r="J25" s="31" t="n">
        <x:v>224.2411432</x:v>
      </x:c>
      <x:c r="K25" s="31" t="n">
        <x:v>0</x:v>
      </x:c>
      <x:c r="L25" s="31" t="n">
        <x:v>0</x:v>
      </x:c>
      <x:c r="M25" s="31" t="n">
        <x:v>224.2411432</x:v>
      </x:c>
      <x:c r="N25" s="24" t="str">
        <x:v>lutjanus peru</x:v>
      </x:c>
      <x:c r="O25" s="32" t="n">
        <x:v>4.02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Lutjanus peru</x:v>
      </x:c>
      <x:c r="T25" s="32" t="n">
        <x:f>IF(O25="","",(1/'Metadata'!$B$5)^(O25-1))</x:f>
        <x:v>1047.1285480508984</x:v>
      </x:c>
      <x:c r="U25" s="31" t="n">
        <x:f>IF(T25="","",I25*T25)</x:f>
        <x:v>234809.3026922896</x:v>
      </x:c>
    </x:row>
    <x:row r="26" ht="18" customHeight="1">
      <x:c r="A26" s="24" t="str">
        <x:v>EEZ_930</x:v>
      </x:c>
      <x:c r="B26" s="24" t="str">
        <x:v>Costa Rica (Pacific)</x:v>
      </x:c>
      <x:c r="C26" s="24" t="str">
        <x:v>EEZ</x:v>
      </x:c>
      <x:c r="D26" s="30" t="n">
        <x:v>2019</x:v>
      </x:c>
      <x:c r="E26" s="24" t="str">
        <x:v>Porichthys margaritatus</x:v>
      </x:c>
      <x:c r="F26" s="24" t="str">
        <x:v>Daisy midshipman</x:v>
      </x:c>
      <x:c r="G26" s="24" t="str">
        <x:v>Small demersals (&lt;30 cm)</x:v>
      </x:c>
      <x:c r="H26" s="24" t="str">
        <x:v>Other fishes &amp; inverts</x:v>
      </x:c>
      <x:c r="I26" s="31" t="n">
        <x:v>186.3846131</x:v>
      </x:c>
      <x:c r="J26" s="31" t="n">
        <x:v>0</x:v>
      </x:c>
      <x:c r="K26" s="31" t="n">
        <x:v>186.3846131</x:v>
      </x:c>
      <x:c r="L26" s="31" t="n">
        <x:v>0</x:v>
      </x:c>
      <x:c r="M26" s="31" t="n">
        <x:v>186.3846131</x:v>
      </x:c>
      <x:c r="N26" s="24" t="str">
        <x:v>porichthys margaritatus</x:v>
      </x:c>
      <x:c r="O26" s="32" t="n">
        <x:v>3.9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Porichthys margaritatus</x:v>
      </x:c>
      <x:c r="T26" s="32" t="n">
        <x:f>IF(O26="","",(1/'Metadata'!$B$5)^(O26-1))</x:f>
        <x:v>794.3282347242813</x:v>
      </x:c>
      <x:c r="U26" s="31" t="n">
        <x:f>IF(T26="","",I26*T26)</x:f>
        <x:v>148050.56070349115</x:v>
      </x:c>
    </x:row>
    <x:row r="27" ht="18" customHeight="1">
      <x:c r="A27" s="24" t="str">
        <x:v>EEZ_930</x:v>
      </x:c>
      <x:c r="B27" s="24" t="str">
        <x:v>Costa Rica (Pacific)</x:v>
      </x:c>
      <x:c r="C27" s="24" t="str">
        <x:v>EEZ</x:v>
      </x:c>
      <x:c r="D27" s="30" t="n">
        <x:v>2019</x:v>
      </x:c>
      <x:c r="E27" s="24" t="str">
        <x:v>Makaira mazara</x:v>
      </x:c>
      <x:c r="F27" s="24" t="str">
        <x:v>Indo-Pacific blue marlin</x:v>
      </x:c>
      <x:c r="G27" s="24" t="str">
        <x:v>Large pelagics (&gt;=90 cm)</x:v>
      </x:c>
      <x:c r="H27" s="24" t="str">
        <x:v>Tuna &amp; billfishes</x:v>
      </x:c>
      <x:c r="I27" s="31" t="n">
        <x:v>173.56085293</x:v>
      </x:c>
      <x:c r="J27" s="31" t="n">
        <x:v>39.61559353</x:v>
      </x:c>
      <x:c r="K27" s="31" t="n">
        <x:v>133.9452594</x:v>
      </x:c>
      <x:c r="L27" s="31" t="n">
        <x:v>0</x:v>
      </x:c>
      <x:c r="M27" s="31" t="n">
        <x:v>173.56085293</x:v>
      </x:c>
      <x:c r="N27" s="24" t="str">
        <x:v>makaira mazara</x:v>
      </x:c>
      <x:c r="O27" s="32" t="n">
        <x:v>4.46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Makaira mazara</x:v>
      </x:c>
      <x:c r="T27" s="32" t="n">
        <x:f>IF(O27="","",(1/'Metadata'!$B$5)^(O27-1))</x:f>
        <x:v>2884.031503126606</x:v>
      </x:c>
      <x:c r="U27" s="31" t="n">
        <x:f>IF(T27="","",I27*T27)</x:f>
        <x:v>500554.96755964373</x:v>
      </x:c>
    </x:row>
    <x:row r="28" ht="18" customHeight="1">
      <x:c r="A28" s="24" t="str">
        <x:v>EEZ_930</x:v>
      </x:c>
      <x:c r="B28" s="24" t="str">
        <x:v>Costa Rica (Pacific)</x:v>
      </x:c>
      <x:c r="C28" s="24" t="str">
        <x:v>EEZ</x:v>
      </x:c>
      <x:c r="D28" s="30" t="n">
        <x:v>2019</x:v>
      </x:c>
      <x:c r="E28" s="24" t="str">
        <x:v>Isopisthus remifer</x:v>
      </x:c>
      <x:c r="F28" s="24" t="str">
        <x:v>Silver weakfish</x:v>
      </x:c>
      <x:c r="G28" s="24" t="str">
        <x:v>Medium benthopelagics (30 - 89 cm)</x:v>
      </x:c>
      <x:c r="H28" s="24" t="str">
        <x:v>Perch-likes</x:v>
      </x:c>
      <x:c r="I28" s="31" t="n">
        <x:v>165.3179861</x:v>
      </x:c>
      <x:c r="J28" s="31" t="n">
        <x:v>165.3179861</x:v>
      </x:c>
      <x:c r="K28" s="31" t="n">
        <x:v>0</x:v>
      </x:c>
      <x:c r="L28" s="31" t="n">
        <x:v>0</x:v>
      </x:c>
      <x:c r="M28" s="31" t="n">
        <x:v>165.3179861</x:v>
      </x:c>
      <x:c r="N28" s="24" t="str">
        <x:v>isopisthus remifer</x:v>
      </x:c>
      <x:c r="O28" s="32" t="n">
        <x:v>4.22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Isopisthus remifer</x:v>
      </x:c>
      <x:c r="T28" s="32" t="n">
        <x:f>IF(O28="","",(1/'Metadata'!$B$5)^(O28-1))</x:f>
        <x:v>1659.5869074375596</x:v>
      </x:c>
      <x:c r="U28" s="31" t="n">
        <x:f>IF(T28="","",I28*T28)</x:f>
        <x:v>274359.56529550446</x:v>
      </x:c>
    </x:row>
    <x:row r="29" ht="18" customHeight="1">
      <x:c r="A29" s="24" t="str">
        <x:v>EEZ_930</x:v>
      </x:c>
      <x:c r="B29" s="24" t="str">
        <x:v>Costa Rica (Pacific)</x:v>
      </x:c>
      <x:c r="C29" s="24" t="str">
        <x:v>EEZ</x:v>
      </x:c>
      <x:c r="D29" s="30" t="n">
        <x:v>2019</x:v>
      </x:c>
      <x:c r="E29" s="24" t="str">
        <x:v>Serranidae</x:v>
      </x:c>
      <x:c r="F29" s="24" t="str">
        <x:v>Basses, groupers, hinds</x:v>
      </x:c>
      <x:c r="G29" s="24" t="str">
        <x:v>Medium reef assoc. fish (30 - 89 cm)</x:v>
      </x:c>
      <x:c r="H29" s="24" t="str">
        <x:v>Perch-likes</x:v>
      </x:c>
      <x:c r="I29" s="31" t="n">
        <x:v>146.14460322</x:v>
      </x:c>
      <x:c r="J29" s="31" t="n">
        <x:v>146.14460322</x:v>
      </x:c>
      <x:c r="K29" s="31" t="n">
        <x:v>0</x:v>
      </x:c>
      <x:c r="L29" s="31" t="n">
        <x:v>115</x:v>
      </x:c>
      <x:c r="M29" s="31" t="n">
        <x:v>31.14460322</x:v>
      </x:c>
      <x:c r="N29" s="24" t="str">
        <x:v>serranidae</x:v>
      </x:c>
      <x:c r="O29" s="32" t="n">
        <x:v>3.98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Serranidae</x:v>
      </x:c>
      <x:c r="T29" s="32" t="n">
        <x:f>IF(O29="","",(1/'Metadata'!$B$5)^(O29-1))</x:f>
        <x:v>954.992586021436</x:v>
      </x:c>
      <x:c r="U29" s="31" t="n">
        <x:f>IF(T29="","",I29*T29)</x:f>
        <x:v>139567.01256214446</x:v>
      </x:c>
    </x:row>
    <x:row r="30" ht="18" customHeight="1">
      <x:c r="A30" s="24" t="str">
        <x:v>EEZ_930</x:v>
      </x:c>
      <x:c r="B30" s="24" t="str">
        <x:v>Costa Rica (Pacific)</x:v>
      </x:c>
      <x:c r="C30" s="24" t="str">
        <x:v>EEZ</x:v>
      </x:c>
      <x:c r="D30" s="30" t="n">
        <x:v>2019</x:v>
      </x:c>
      <x:c r="E30" s="24" t="str">
        <x:v>Istiompax indica</x:v>
      </x:c>
      <x:c r="F30" s="24" t="str">
        <x:v>Black marlin</x:v>
      </x:c>
      <x:c r="G30" s="24" t="str">
        <x:v>Large pelagics (&gt;=90 cm)</x:v>
      </x:c>
      <x:c r="H30" s="24" t="str">
        <x:v>Tuna &amp; billfishes</x:v>
      </x:c>
      <x:c r="I30" s="31" t="n">
        <x:v>129.5898157438</x:v>
      </x:c>
      <x:c r="J30" s="31" t="n">
        <x:v>29.7183504238</x:v>
      </x:c>
      <x:c r="K30" s="31" t="n">
        <x:v>99.87146532</x:v>
      </x:c>
      <x:c r="L30" s="31" t="n">
        <x:v>0.18040788379999997</x:v>
      </x:c>
      <x:c r="M30" s="31" t="n">
        <x:v>129.40940786</x:v>
      </x:c>
      <x:c r="N30" s="24" t="str">
        <x:v>istiompax indica</x:v>
      </x:c>
      <x:c r="O30" s="32" t="n">
        <x:v>4.5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Istiompax indica</x:v>
      </x:c>
      <x:c r="T30" s="32" t="n">
        <x:f>IF(O30="","",(1/'Metadata'!$B$5)^(O30-1))</x:f>
        <x:v>3162.2776601683795</x:v>
      </x:c>
      <x:c r="U30" s="31" t="n">
        <x:f>IF(T30="","",I30*T30)</x:f>
        <x:v>409798.9793119553</x:v>
      </x:c>
    </x:row>
    <x:row r="31" ht="18" customHeight="1">
      <x:c r="A31" s="24" t="str">
        <x:v>EEZ_930</x:v>
      </x:c>
      <x:c r="B31" s="24" t="str">
        <x:v>Costa Rica (Pacific)</x:v>
      </x:c>
      <x:c r="C31" s="24" t="str">
        <x:v>EEZ</x:v>
      </x:c>
      <x:c r="D31" s="30" t="n">
        <x:v>2019</x:v>
      </x:c>
      <x:c r="E31" s="24" t="str">
        <x:v>Katsuwonus pelamis</x:v>
      </x:c>
      <x:c r="F31" s="24" t="str">
        <x:v>Skipjack tuna</x:v>
      </x:c>
      <x:c r="G31" s="24" t="str">
        <x:v>Large pelagics (&gt;=90 cm)</x:v>
      </x:c>
      <x:c r="H31" s="24" t="str">
        <x:v>Tuna &amp; billfishes</x:v>
      </x:c>
      <x:c r="I31" s="31" t="n">
        <x:v>111.6065139413</x:v>
      </x:c>
      <x:c r="J31" s="31" t="n">
        <x:v>111.6062602956</x:v>
      </x:c>
      <x:c r="K31" s="31" t="n">
        <x:v>0.0002536457</x:v>
      </x:c>
      <x:c r="L31" s="31" t="n">
        <x:v>111.6062602956</x:v>
      </x:c>
      <x:c r="M31" s="31" t="n">
        <x:v>0.0002536457</x:v>
      </x:c>
      <x:c r="N31" s="24" t="str">
        <x:v>katsuwonus pelamis</x:v>
      </x:c>
      <x:c r="O31" s="32" t="n">
        <x:v>4.43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Katsuwonus pelamis</x:v>
      </x:c>
      <x:c r="T31" s="32" t="n">
        <x:f>IF(O31="","",(1/'Metadata'!$B$5)^(O31-1))</x:f>
        <x:v>2691.534803926914</x:v>
      </x:c>
      <x:c r="U31" s="31" t="n">
        <x:f>IF(T31="","",I31*T31)</x:f>
        <x:v>300392.81661796325</x:v>
      </x:c>
    </x:row>
    <x:row r="32" ht="18" customHeight="1">
      <x:c r="A32" s="24" t="str">
        <x:v>EEZ_930</x:v>
      </x:c>
      <x:c r="B32" s="24" t="str">
        <x:v>Costa Rica (Pacific)</x:v>
      </x:c>
      <x:c r="C32" s="24" t="str">
        <x:v>EEZ</x:v>
      </x:c>
      <x:c r="D32" s="30" t="n">
        <x:v>2019</x:v>
      </x:c>
      <x:c r="E32" s="24" t="str">
        <x:v>Cynoscion stolzmanni</x:v>
      </x:c>
      <x:c r="F32" s="24" t="str">
        <x:v>Stolzmann's weakfish</x:v>
      </x:c>
      <x:c r="G32" s="24" t="str">
        <x:v>Large demersals (&gt;=90 cm)</x:v>
      </x:c>
      <x:c r="H32" s="24" t="str">
        <x:v>Perch-likes</x:v>
      </x:c>
      <x:c r="I32" s="31" t="n">
        <x:v>107.3493416</x:v>
      </x:c>
      <x:c r="J32" s="31" t="n">
        <x:v>107.3493416</x:v>
      </x:c>
      <x:c r="K32" s="31" t="n">
        <x:v>0</x:v>
      </x:c>
      <x:c r="L32" s="31" t="n">
        <x:v>0</x:v>
      </x:c>
      <x:c r="M32" s="31" t="n">
        <x:v>107.3493416</x:v>
      </x:c>
      <x:c r="N32" s="24" t="str">
        <x:v>cynoscion stolzmanni</x:v>
      </x:c>
      <x:c r="O32" s="32" t="n">
        <x:v>4.07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Cynoscion stolzmanni</x:v>
      </x:c>
      <x:c r="T32" s="32" t="n">
        <x:f>IF(O32="","",(1/'Metadata'!$B$5)^(O32-1))</x:f>
        <x:v>1174.8975549395302</x:v>
      </x:c>
      <x:c r="U32" s="31" t="n">
        <x:f>IF(T32="","",I32*T32)</x:f>
        <x:v>126124.4789702084</x:v>
      </x:c>
    </x:row>
    <x:row r="33" ht="18" customHeight="1">
      <x:c r="A33" s="24" t="str">
        <x:v>EEZ_930</x:v>
      </x:c>
      <x:c r="B33" s="24" t="str">
        <x:v>Costa Rica (Pacific)</x:v>
      </x:c>
      <x:c r="C33" s="24" t="str">
        <x:v>EEZ</x:v>
      </x:c>
      <x:c r="D33" s="30" t="n">
        <x:v>2019</x:v>
      </x:c>
      <x:c r="E33" s="24" t="str">
        <x:v>Micropogonias altipinnis</x:v>
      </x:c>
      <x:c r="F33" s="24" t="str">
        <x:v>Tallfin croaker</x:v>
      </x:c>
      <x:c r="G33" s="24" t="str">
        <x:v>Medium benthopelagics (30 - 89 cm)</x:v>
      </x:c>
      <x:c r="H33" s="24" t="str">
        <x:v>Perch-likes</x:v>
      </x:c>
      <x:c r="I33" s="31" t="n">
        <x:v>105.2023548</x:v>
      </x:c>
      <x:c r="J33" s="31" t="n">
        <x:v>105.2023548</x:v>
      </x:c>
      <x:c r="K33" s="31" t="n">
        <x:v>0</x:v>
      </x:c>
      <x:c r="L33" s="31" t="n">
        <x:v>0</x:v>
      </x:c>
      <x:c r="M33" s="31" t="n">
        <x:v>105.2023548</x:v>
      </x:c>
      <x:c r="N33" s="24" t="str">
        <x:v>micropogonias altipinnis</x:v>
      </x:c>
      <x:c r="O33" s="32" t="n">
        <x:v>3.67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Micropogonias altipinnis</x:v>
      </x:c>
      <x:c r="T33" s="32" t="n">
        <x:f>IF(O33="","",(1/'Metadata'!$B$5)^(O33-1))</x:f>
        <x:v>467.73514128719813</x:v>
      </x:c>
      <x:c r="U33" s="31" t="n">
        <x:f>IF(T33="","",I33*T33)</x:f>
        <x:v>49206.838286123944</x:v>
      </x:c>
    </x:row>
    <x:row r="34" ht="18" customHeight="1">
      <x:c r="A34" s="24" t="str">
        <x:v>EEZ_930</x:v>
      </x:c>
      <x:c r="B34" s="24" t="str">
        <x:v>Costa Rica (Pacific)</x:v>
      </x:c>
      <x:c r="C34" s="24" t="str">
        <x:v>EEZ</x:v>
      </x:c>
      <x:c r="D34" s="30" t="n">
        <x:v>2019</x:v>
      </x:c>
      <x:c r="E34" s="24" t="str">
        <x:v>Bollmannia chlamydes</x:v>
      </x:c>
      <x:c r="F34" s="24" t="str">
        <x:v>Gobido cabezon</x:v>
      </x:c>
      <x:c r="G34" s="24" t="str">
        <x:v>Small demersals (&lt;30 cm)</x:v>
      </x:c>
      <x:c r="H34" s="24" t="str">
        <x:v>Perch-likes</x:v>
      </x:c>
      <x:c r="I34" s="31" t="n">
        <x:v>75.71874907</x:v>
      </x:c>
      <x:c r="J34" s="31" t="n">
        <x:v>0</x:v>
      </x:c>
      <x:c r="K34" s="31" t="n">
        <x:v>75.71874907</x:v>
      </x:c>
      <x:c r="L34" s="31" t="n">
        <x:v>0</x:v>
      </x:c>
      <x:c r="M34" s="31" t="n">
        <x:v>75.71874907</x:v>
      </x:c>
      <x:c r="N34" s="24" t="str">
        <x:v>bollmannia chlamydes</x:v>
      </x:c>
      <x:c r="O34" s="32" t="n">
        <x:v>3.3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Bollmannia chlamydes</x:v>
      </x:c>
      <x:c r="T34" s="32" t="n">
        <x:f>IF(O34="","",(1/'Metadata'!$B$5)^(O34-1))</x:f>
        <x:v>199.52623149688787</x:v>
      </x:c>
      <x:c r="U34" s="31" t="n">
        <x:f>IF(T34="","",I34*T34)</x:f>
        <x:v>15107.876655595584</x:v>
      </x:c>
    </x:row>
    <x:row r="35" ht="18" customHeight="1">
      <x:c r="A35" s="24" t="str">
        <x:v>EEZ_930</x:v>
      </x:c>
      <x:c r="B35" s="24" t="str">
        <x:v>Costa Rica (Pacific)</x:v>
      </x:c>
      <x:c r="C35" s="24" t="str">
        <x:v>EEZ</x:v>
      </x:c>
      <x:c r="D35" s="30" t="n">
        <x:v>2019</x:v>
      </x:c>
      <x:c r="E35" s="24" t="str">
        <x:v>Symphurus atramentatus</x:v>
      </x:c>
      <x:c r="F35" s="24" t="str">
        <x:v>Inkspot tonguefish</x:v>
      </x:c>
      <x:c r="G35" s="24" t="str">
        <x:v>Small to medium flatfishes (&lt;90 cm)</x:v>
      </x:c>
      <x:c r="H35" s="24" t="str">
        <x:v>Flatfishes</x:v>
      </x:c>
      <x:c r="I35" s="31" t="n">
        <x:v>64.06971075</x:v>
      </x:c>
      <x:c r="J35" s="31" t="n">
        <x:v>0</x:v>
      </x:c>
      <x:c r="K35" s="31" t="n">
        <x:v>64.06971075</x:v>
      </x:c>
      <x:c r="L35" s="31" t="n">
        <x:v>0</x:v>
      </x:c>
      <x:c r="M35" s="31" t="n">
        <x:v>64.06971075</x:v>
      </x:c>
      <x:c r="N35" s="24" t="str">
        <x:v>symphurus atramentatus</x:v>
      </x:c>
      <x:c r="O35" s="32" t="n">
        <x:v>3.5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Symphurus atramentatus</x:v>
      </x:c>
      <x:c r="T35" s="32" t="n">
        <x:f>IF(O35="","",(1/'Metadata'!$B$5)^(O35-1))</x:f>
        <x:v>316.22776601683796</x:v>
      </x:c>
      <x:c r="U35" s="31" t="n">
        <x:f>IF(T35="","",I35*T35)</x:f>
        <x:v>20260.621499817487</x:v>
      </x:c>
    </x:row>
    <x:row r="36" ht="18" customHeight="1">
      <x:c r="A36" s="24" t="str">
        <x:v>EEZ_930</x:v>
      </x:c>
      <x:c r="B36" s="24" t="str">
        <x:v>Costa Rica (Pacific)</x:v>
      </x:c>
      <x:c r="C36" s="24" t="str">
        <x:v>EEZ</x:v>
      </x:c>
      <x:c r="D36" s="30" t="n">
        <x:v>2019</x:v>
      </x:c>
      <x:c r="E36" s="24" t="str">
        <x:v>Brotula</x:v>
      </x:c>
      <x:c r="F36" s="24" t="str">
        <x:v>Brotulas</x:v>
      </x:c>
      <x:c r="G36" s="24" t="str">
        <x:v>Large benthopelagics (&gt;=90 cm)</x:v>
      </x:c>
      <x:c r="H36" s="24" t="str">
        <x:v>Other fishes &amp; inverts</x:v>
      </x:c>
      <x:c r="I36" s="31" t="n">
        <x:v>52.42067244</x:v>
      </x:c>
      <x:c r="J36" s="31" t="n">
        <x:v>0</x:v>
      </x:c>
      <x:c r="K36" s="31" t="n">
        <x:v>52.42067244</x:v>
      </x:c>
      <x:c r="L36" s="31" t="n">
        <x:v>0</x:v>
      </x:c>
      <x:c r="M36" s="31" t="n">
        <x:v>52.42067244</x:v>
      </x:c>
      <x:c r="N36" s="24" t="str">
        <x:v>brotula</x:v>
      </x:c>
      <x:c r="O36" s="32" t="n">
        <x:v>3.2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Brotula</x:v>
      </x:c>
      <x:c r="T36" s="32" t="n">
        <x:f>IF(O36="","",(1/'Metadata'!$B$5)^(O36-1))</x:f>
        <x:v>158.48931924611142</x:v>
      </x:c>
      <x:c r="U36" s="31" t="n">
        <x:f>IF(T36="","",I36*T36)</x:f>
        <x:v>8308.116689438993</x:v>
      </x:c>
    </x:row>
    <x:row r="37" ht="18" customHeight="1">
      <x:c r="A37" s="24" t="str">
        <x:v>EEZ_930</x:v>
      </x:c>
      <x:c r="B37" s="24" t="str">
        <x:v>Costa Rica (Pacific)</x:v>
      </x:c>
      <x:c r="C37" s="24" t="str">
        <x:v>EEZ</x:v>
      </x:c>
      <x:c r="D37" s="30" t="n">
        <x:v>2019</x:v>
      </x:c>
      <x:c r="E37" s="24" t="str">
        <x:v>Peprilus snyderi</x:v>
      </x:c>
      <x:c r="F37" s="24" t="str">
        <x:v>Salema butterfish</x:v>
      </x:c>
      <x:c r="G37" s="24" t="str">
        <x:v>Medium benthopelagics (30 - 89 cm)</x:v>
      </x:c>
      <x:c r="H37" s="24" t="str">
        <x:v>Perch-likes</x:v>
      </x:c>
      <x:c r="I37" s="31" t="n">
        <x:v>46.59615328</x:v>
      </x:c>
      <x:c r="J37" s="31" t="n">
        <x:v>0</x:v>
      </x:c>
      <x:c r="K37" s="31" t="n">
        <x:v>46.59615328</x:v>
      </x:c>
      <x:c r="L37" s="31" t="n">
        <x:v>0</x:v>
      </x:c>
      <x:c r="M37" s="31" t="n">
        <x:v>46.59615328</x:v>
      </x:c>
      <x:c r="N37" s="24" t="str">
        <x:v>peprilus snyderi</x:v>
      </x:c>
      <x:c r="O37" s="32" t="n">
        <x:v>4.1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Peprilus snyderi</x:v>
      </x:c>
      <x:c r="T37" s="32" t="n">
        <x:f>IF(O37="","",(1/'Metadata'!$B$5)^(O37-1))</x:f>
        <x:v>1258.9254117941662</x:v>
      </x:c>
      <x:c r="U37" s="31" t="n">
        <x:f>IF(T37="","",I37*T37)</x:f>
        <x:v>58661.08145604809</x:v>
      </x:c>
    </x:row>
    <x:row r="38" ht="18" customHeight="1">
      <x:c r="A38" s="24" t="str">
        <x:v>EEZ_930</x:v>
      </x:c>
      <x:c r="B38" s="24" t="str">
        <x:v>Costa Rica (Pacific)</x:v>
      </x:c>
      <x:c r="C38" s="24" t="str">
        <x:v>EEZ</x:v>
      </x:c>
      <x:c r="D38" s="30" t="n">
        <x:v>2019</x:v>
      </x:c>
      <x:c r="E38" s="24" t="str">
        <x:v>Rhencus panamensis</x:v>
      </x:c>
      <x:c r="F38" s="24" t="str">
        <x:v>Panama grunt</x:v>
      </x:c>
      <x:c r="G38" s="24" t="str">
        <x:v>Medium demersals (30 - 89 cm)</x:v>
      </x:c>
      <x:c r="H38" s="24" t="str">
        <x:v>Perch-likes</x:v>
      </x:c>
      <x:c r="I38" s="31" t="n">
        <x:v>45.418077409999995</x:v>
      </x:c>
      <x:c r="J38" s="31" t="n">
        <x:v>45.418077409999995</x:v>
      </x:c>
      <x:c r="K38" s="31" t="n">
        <x:v>0</x:v>
      </x:c>
      <x:c r="L38" s="31" t="n">
        <x:v>0</x:v>
      </x:c>
      <x:c r="M38" s="31" t="n">
        <x:v>45.418077409999995</x:v>
      </x:c>
      <x:c r="N38" s="24" t="str">
        <x:v>rhencus panamensis</x:v>
      </x:c>
      <x:c r="O38" s="32" t="n">
        <x:v>3.79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Rhencus panamensis</x:v>
      </x:c>
      <x:c r="T38" s="32" t="n">
        <x:f>IF(O38="","",(1/'Metadata'!$B$5)^(O38-1))</x:f>
        <x:v>616.5950018614822</x:v>
      </x:c>
      <x:c r="U38" s="31" t="n">
        <x:f>IF(T38="","",I38*T38)</x:f>
        <x:v>28004.559525163888</x:v>
      </x:c>
    </x:row>
    <x:row r="39" ht="18" customHeight="1">
      <x:c r="A39" s="24" t="str">
        <x:v>EEZ_930</x:v>
      </x:c>
      <x:c r="B39" s="24" t="str">
        <x:v>Costa Rica (Pacific)</x:v>
      </x:c>
      <x:c r="C39" s="24" t="str">
        <x:v>EEZ</x:v>
      </x:c>
      <x:c r="D39" s="30" t="n">
        <x:v>2019</x:v>
      </x:c>
      <x:c r="E39" s="24" t="str">
        <x:v>Stellifer illecebrosus</x:v>
      </x:c>
      <x:c r="F39" s="24" t="str">
        <x:v>Silver stardrum</x:v>
      </x:c>
      <x:c r="G39" s="24" t="str">
        <x:v>Small demersals (&lt;30 cm)</x:v>
      </x:c>
      <x:c r="H39" s="24" t="str">
        <x:v>Perch-likes</x:v>
      </x:c>
      <x:c r="I39" s="31" t="n">
        <x:v>45.08672348</x:v>
      </x:c>
      <x:c r="J39" s="31" t="n">
        <x:v>45.08672348</x:v>
      </x:c>
      <x:c r="K39" s="31" t="n">
        <x:v>0</x:v>
      </x:c>
      <x:c r="L39" s="31" t="n">
        <x:v>0</x:v>
      </x:c>
      <x:c r="M39" s="31" t="n">
        <x:v>45.08672348</x:v>
      </x:c>
      <x:c r="N39" s="24" t="str">
        <x:v>stellifer illecebrosus</x:v>
      </x:c>
      <x:c r="O39" s="32" t="n">
        <x:v>3.21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Stellifer illecebrosus</x:v>
      </x:c>
      <x:c r="T39" s="32" t="n">
        <x:f>IF(O39="","",(1/'Metadata'!$B$5)^(O39-1))</x:f>
        <x:v>162.18100973589299</x:v>
      </x:c>
      <x:c r="U39" s="31" t="n">
        <x:f>IF(T39="","",I39*T39)</x:f>
        <x:v>7312.210339669396</x:v>
      </x:c>
    </x:row>
    <x:row r="40" ht="18" customHeight="1">
      <x:c r="A40" s="24" t="str">
        <x:v>EEZ_930</x:v>
      </x:c>
      <x:c r="B40" s="24" t="str">
        <x:v>Costa Rica (Pacific)</x:v>
      </x:c>
      <x:c r="C40" s="24" t="str">
        <x:v>EEZ</x:v>
      </x:c>
      <x:c r="D40" s="30" t="n">
        <x:v>2019</x:v>
      </x:c>
      <x:c r="E40" s="24" t="str">
        <x:v>Scorpaena russula</x:v>
      </x:c>
      <x:c r="F40" s="24" t="str">
        <x:v>Reddish scorpionfish</x:v>
      </x:c>
      <x:c r="G40" s="24" t="str">
        <x:v>Small demersals (&lt;30 cm)</x:v>
      </x:c>
      <x:c r="H40" s="24" t="str">
        <x:v>Scorpionfishes</x:v>
      </x:c>
      <x:c r="I40" s="31" t="n">
        <x:v>43.6838937</x:v>
      </x:c>
      <x:c r="J40" s="31" t="n">
        <x:v>0</x:v>
      </x:c>
      <x:c r="K40" s="31" t="n">
        <x:v>43.6838937</x:v>
      </x:c>
      <x:c r="L40" s="31" t="n">
        <x:v>0</x:v>
      </x:c>
      <x:c r="M40" s="31" t="n">
        <x:v>43.6838937</x:v>
      </x:c>
      <x:c r="N40" s="24" t="str">
        <x:v>scorpaena russula</x:v>
      </x:c>
      <x:c r="O40" s="32" t="n">
        <x:v>3.5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Scorpaena russula</x:v>
      </x:c>
      <x:c r="T40" s="32" t="n">
        <x:f>IF(O40="","",(1/'Metadata'!$B$5)^(O40-1))</x:f>
        <x:v>316.22776601683796</x:v>
      </x:c>
      <x:c r="U40" s="31" t="n">
        <x:f>IF(T40="","",I40*T40)</x:f>
        <x:v>13814.060115668022</x:v>
      </x:c>
    </x:row>
    <x:row r="41" ht="18" customHeight="1">
      <x:c r="A41" s="24" t="str">
        <x:v>EEZ_930</x:v>
      </x:c>
      <x:c r="B41" s="24" t="str">
        <x:v>Costa Rica (Pacific)</x:v>
      </x:c>
      <x:c r="C41" s="24" t="str">
        <x:v>EEZ</x:v>
      </x:c>
      <x:c r="D41" s="30" t="n">
        <x:v>2019</x:v>
      </x:c>
      <x:c r="E41" s="24" t="str">
        <x:v>Coryphaena</x:v>
      </x:c>
      <x:c r="F41" s="24" t="str">
        <x:v>Dolphinfishes</x:v>
      </x:c>
      <x:c r="G41" s="24" t="str">
        <x:v>Large pelagics (&gt;=90 cm)</x:v>
      </x:c>
      <x:c r="H41" s="24" t="str">
        <x:v>Perch-likes</x:v>
      </x:c>
      <x:c r="I41" s="31" t="n">
        <x:v>40.881964239</x:v>
      </x:c>
      <x:c r="J41" s="31" t="n">
        <x:v>40.881964239</x:v>
      </x:c>
      <x:c r="K41" s="31" t="n">
        <x:v>0</x:v>
      </x:c>
      <x:c r="L41" s="31" t="n">
        <x:v>40.881964239</x:v>
      </x:c>
      <x:c r="M41" s="31" t="n">
        <x:v>0</x:v>
      </x:c>
      <x:c r="N41" s="24" t="str">
        <x:v>coryphaena</x:v>
      </x:c>
      <x:c r="O41" s="32" t="n">
        <x:v>4.49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Coryphaena</x:v>
      </x:c>
      <x:c r="T41" s="32" t="n">
        <x:f>IF(O41="","",(1/'Metadata'!$B$5)^(O41-1))</x:f>
        <x:v>3090.295432513592</x:v>
      </x:c>
      <x:c r="U41" s="31" t="n">
        <x:f>IF(T41="","",I41*T41)</x:f>
        <x:v>126337.3473599657</x:v>
      </x:c>
    </x:row>
    <x:row r="42" ht="18" customHeight="1">
      <x:c r="A42" s="24" t="str">
        <x:v>EEZ_930</x:v>
      </x:c>
      <x:c r="B42" s="24" t="str">
        <x:v>Costa Rica (Pacific)</x:v>
      </x:c>
      <x:c r="C42" s="24" t="str">
        <x:v>EEZ</x:v>
      </x:c>
      <x:c r="D42" s="30" t="n">
        <x:v>2019</x:v>
      </x:c>
      <x:c r="E42" s="24" t="str">
        <x:v>Larimus acclivis</x:v>
      </x:c>
      <x:c r="F42" s="24" t="str">
        <x:v>Steeplined drum</x:v>
      </x:c>
      <x:c r="G42" s="24" t="str">
        <x:v>Small pelagics (&lt;30 cm)</x:v>
      </x:c>
      <x:c r="H42" s="24" t="str">
        <x:v>Perch-likes</x:v>
      </x:c>
      <x:c r="I42" s="31" t="n">
        <x:v>40.79274982</x:v>
      </x:c>
      <x:c r="J42" s="31" t="n">
        <x:v>40.79274982</x:v>
      </x:c>
      <x:c r="K42" s="31" t="n">
        <x:v>0</x:v>
      </x:c>
      <x:c r="L42" s="31" t="n">
        <x:v>0</x:v>
      </x:c>
      <x:c r="M42" s="31" t="n">
        <x:v>40.79274982</x:v>
      </x:c>
      <x:c r="N42" s="24" t="str">
        <x:v>larimus acclivis</x:v>
      </x:c>
      <x:c r="O42" s="32" t="n">
        <x:v>3.1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Larimus acclivis</x:v>
      </x:c>
      <x:c r="T42" s="32" t="n">
        <x:f>IF(O42="","",(1/'Metadata'!$B$5)^(O42-1))</x:f>
        <x:v>125.89254117941675</x:v>
      </x:c>
      <x:c r="U42" s="31" t="n">
        <x:f>IF(T42="","",I42*T42)</x:f>
        <x:v>5135.502936535995</x:v>
      </x:c>
    </x:row>
    <x:row r="43" ht="18" customHeight="1">
      <x:c r="A43" s="24" t="str">
        <x:v>EEZ_930</x:v>
      </x:c>
      <x:c r="B43" s="24" t="str">
        <x:v>Costa Rica (Pacific)</x:v>
      </x:c>
      <x:c r="C43" s="24" t="str">
        <x:v>EEZ</x:v>
      </x:c>
      <x:c r="D43" s="30" t="n">
        <x:v>2019</x:v>
      </x:c>
      <x:c r="E43" s="24" t="str">
        <x:v>Eucinostomus gracilis</x:v>
      </x:c>
      <x:c r="F43" s="24" t="str">
        <x:v>Graceful mojarra</x:v>
      </x:c>
      <x:c r="G43" s="24" t="str">
        <x:v>Small demersals (&lt;30 cm)</x:v>
      </x:c>
      <x:c r="H43" s="24" t="str">
        <x:v>Perch-likes</x:v>
      </x:c>
      <x:c r="I43" s="31" t="n">
        <x:v>40.77163412</x:v>
      </x:c>
      <x:c r="J43" s="31" t="n">
        <x:v>0</x:v>
      </x:c>
      <x:c r="K43" s="31" t="n">
        <x:v>40.77163412</x:v>
      </x:c>
      <x:c r="L43" s="31" t="n">
        <x:v>0</x:v>
      </x:c>
      <x:c r="M43" s="31" t="n">
        <x:v>40.77163412</x:v>
      </x:c>
      <x:c r="N43" s="24" t="str">
        <x:v>eucinostomus gracilis</x:v>
      </x:c>
      <x:c r="O43" s="32" t="n">
        <x:v>3.06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Eucinostomus gracilis</x:v>
      </x:c>
      <x:c r="T43" s="32" t="n">
        <x:f>IF(O43="","",(1/'Metadata'!$B$5)^(O43-1))</x:f>
        <x:v>114.81536214968828</x:v>
      </x:c>
      <x:c r="U43" s="31" t="n">
        <x:f>IF(T43="","",I43*T43)</x:f>
        <x:v>4681.209936922388</x:v>
      </x:c>
    </x:row>
    <x:row r="44" ht="18" customHeight="1">
      <x:c r="A44" s="24" t="str">
        <x:v>EEZ_930</x:v>
      </x:c>
      <x:c r="B44" s="24" t="str">
        <x:v>Costa Rica (Pacific)</x:v>
      </x:c>
      <x:c r="C44" s="24" t="str">
        <x:v>EEZ</x:v>
      </x:c>
      <x:c r="D44" s="30" t="n">
        <x:v>2019</x:v>
      </x:c>
      <x:c r="E44" s="24" t="str">
        <x:v>Diapterus peruvianus</x:v>
      </x:c>
      <x:c r="F44" s="24" t="str">
        <x:v>Peruvian mojarra</x:v>
      </x:c>
      <x:c r="G44" s="24" t="str">
        <x:v>Small demersals (&lt;30 cm)</x:v>
      </x:c>
      <x:c r="H44" s="24" t="str">
        <x:v>Perch-likes</x:v>
      </x:c>
      <x:c r="I44" s="31" t="n">
        <x:v>35.86265659</x:v>
      </x:c>
      <x:c r="J44" s="31" t="n">
        <x:v>35.86265659</x:v>
      </x:c>
      <x:c r="K44" s="31" t="n">
        <x:v>0</x:v>
      </x:c>
      <x:c r="L44" s="31" t="n">
        <x:v>0</x:v>
      </x:c>
      <x:c r="M44" s="31" t="n">
        <x:v>35.86265659</x:v>
      </x:c>
      <x:c r="N44" s="24" t="str">
        <x:v>diapterus peruvianus</x:v>
      </x:c>
      <x:c r="O44" s="32" t="n">
        <x:v>3.66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Diapterus peruvianus</x:v>
      </x:c>
      <x:c r="T44" s="32" t="n">
        <x:f>IF(O44="","",(1/'Metadata'!$B$5)^(O44-1))</x:f>
        <x:v>457.0881896148752</x:v>
      </x:c>
      <x:c r="U44" s="31" t="n">
        <x:f>IF(T44="","",I44*T44)</x:f>
        <x:v>16392.396775503075</x:v>
      </x:c>
    </x:row>
    <x:row r="45" ht="18" customHeight="1">
      <x:c r="A45" s="24" t="str">
        <x:v>EEZ_930</x:v>
      </x:c>
      <x:c r="B45" s="24" t="str">
        <x:v>Costa Rica (Pacific)</x:v>
      </x:c>
      <x:c r="C45" s="24" t="str">
        <x:v>EEZ</x:v>
      </x:c>
      <x:c r="D45" s="30" t="n">
        <x:v>2019</x:v>
      </x:c>
      <x:c r="E45" s="24" t="str">
        <x:v>Polydactylus approximans</x:v>
      </x:c>
      <x:c r="F45" s="24" t="str">
        <x:v>Blue bobo</x:v>
      </x:c>
      <x:c r="G45" s="24" t="str">
        <x:v>Medium demersals (30 - 89 cm)</x:v>
      </x:c>
      <x:c r="H45" s="24" t="str">
        <x:v>Perch-likes</x:v>
      </x:c>
      <x:c r="I45" s="31" t="n">
        <x:v>25.76384199</x:v>
      </x:c>
      <x:c r="J45" s="31" t="n">
        <x:v>25.76384199</x:v>
      </x:c>
      <x:c r="K45" s="31" t="n">
        <x:v>0</x:v>
      </x:c>
      <x:c r="L45" s="31" t="n">
        <x:v>0</x:v>
      </x:c>
      <x:c r="M45" s="31" t="n">
        <x:v>25.76384199</x:v>
      </x:c>
      <x:c r="N45" s="24" t="str">
        <x:v>polydactylus approximans</x:v>
      </x:c>
      <x:c r="O45" s="32" t="n">
        <x:v>3.59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Polydactylus approximans</x:v>
      </x:c>
      <x:c r="T45" s="32" t="n">
        <x:f>IF(O45="","",(1/'Metadata'!$B$5)^(O45-1))</x:f>
        <x:v>389.04514499428046</x:v>
      </x:c>
      <x:c r="U45" s="31" t="n">
        <x:f>IF(T45="","",I45*T45)</x:f>
        <x:v>10023.297642609281</x:v>
      </x:c>
    </x:row>
    <x:row r="46" ht="18" customHeight="1">
      <x:c r="A46" s="24" t="str">
        <x:v>EEZ_930</x:v>
      </x:c>
      <x:c r="B46" s="24" t="str">
        <x:v>Costa Rica (Pacific)</x:v>
      </x:c>
      <x:c r="C46" s="24" t="str">
        <x:v>EEZ</x:v>
      </x:c>
      <x:c r="D46" s="30" t="n">
        <x:v>2019</x:v>
      </x:c>
      <x:c r="E46" s="24" t="str">
        <x:v>Tetrapturus angustirostris</x:v>
      </x:c>
      <x:c r="F46" s="24" t="str">
        <x:v>Shortbill spearfish</x:v>
      </x:c>
      <x:c r="G46" s="24" t="str">
        <x:v>Large pelagics (&gt;=90 cm)</x:v>
      </x:c>
      <x:c r="H46" s="24" t="str">
        <x:v>Tuna &amp; billfishes</x:v>
      </x:c>
      <x:c r="I46" s="31" t="n">
        <x:v>15.1969423901</x:v>
      </x:c>
      <x:c r="J46" s="31" t="n">
        <x:v>15.1969423901</x:v>
      </x:c>
      <x:c r="K46" s="31" t="n">
        <x:v>0</x:v>
      </x:c>
      <x:c r="L46" s="31" t="n">
        <x:v>15.1969423901</x:v>
      </x:c>
      <x:c r="M46" s="31" t="n">
        <x:v>0</x:v>
      </x:c>
      <x:c r="N46" s="24" t="str">
        <x:v>tetrapturus angustirostris</x:v>
      </x:c>
      <x:c r="O46" s="32" t="n">
        <x:v>4.5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Tetrapturus angustirostris</x:v>
      </x:c>
      <x:c r="T46" s="32" t="n">
        <x:f>IF(O46="","",(1/'Metadata'!$B$5)^(O46-1))</x:f>
        <x:v>3162.2776601683795</x:v>
      </x:c>
      <x:c r="U46" s="31" t="n">
        <x:f>IF(T46="","",I46*T46)</x:f>
        <x:v>48056.95142307909</x:v>
      </x:c>
    </x:row>
    <x:row r="47" ht="18" customHeight="1">
      <x:c r="A47" s="24" t="str">
        <x:v>EEZ_930</x:v>
      </x:c>
      <x:c r="B47" s="24" t="str">
        <x:v>Costa Rica (Pacific)</x:v>
      </x:c>
      <x:c r="C47" s="24" t="str">
        <x:v>EEZ</x:v>
      </x:c>
      <x:c r="D47" s="30" t="n">
        <x:v>2019</x:v>
      </x:c>
      <x:c r="E47" s="24" t="str">
        <x:v>Acanthocybium solandri</x:v>
      </x:c>
      <x:c r="F47" s="24" t="str">
        <x:v>Wahoo</x:v>
      </x:c>
      <x:c r="G47" s="24" t="str">
        <x:v>Large pelagics (&gt;=90 cm)</x:v>
      </x:c>
      <x:c r="H47" s="24" t="str">
        <x:v>Perch-likes</x:v>
      </x:c>
      <x:c r="I47" s="31" t="n">
        <x:v>10</x:v>
      </x:c>
      <x:c r="J47" s="31" t="n">
        <x:v>10</x:v>
      </x:c>
      <x:c r="K47" s="31" t="n">
        <x:v>0</x:v>
      </x:c>
      <x:c r="L47" s="31" t="n">
        <x:v>10</x:v>
      </x:c>
      <x:c r="M47" s="31" t="n">
        <x:v>0</x:v>
      </x:c>
      <x:c r="N47" s="24" t="str">
        <x:v>acanthocybium solandri</x:v>
      </x:c>
      <x:c r="O47" s="32" t="n">
        <x:v>4.26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Acanthocybium solandri</x:v>
      </x:c>
      <x:c r="T47" s="32" t="n">
        <x:f>IF(O47="","",(1/'Metadata'!$B$5)^(O47-1))</x:f>
        <x:v>1819.7008586099826</x:v>
      </x:c>
      <x:c r="U47" s="31" t="n">
        <x:f>IF(T47="","",I47*T47)</x:f>
        <x:v>18197.008586099826</x:v>
      </x:c>
    </x:row>
    <x:row r="48" ht="18" customHeight="1">
      <x:c r="A48" s="24" t="str">
        <x:v>EEZ_930</x:v>
      </x:c>
      <x:c r="B48" s="24" t="str">
        <x:v>Costa Rica (Pacific)</x:v>
      </x:c>
      <x:c r="C48" s="24" t="str">
        <x:v>EEZ</x:v>
      </x:c>
      <x:c r="D48" s="30" t="n">
        <x:v>2019</x:v>
      </x:c>
      <x:c r="E48" s="24" t="str">
        <x:v>Engyophrys sanctilaurentii</x:v>
      </x:c>
      <x:c r="F48" s="24" t="str">
        <x:v>Speckled-tail flounder</x:v>
      </x:c>
      <x:c r="G48" s="24" t="str">
        <x:v>Small to medium flatfishes (&lt;90 cm)</x:v>
      </x:c>
      <x:c r="H48" s="24" t="str">
        <x:v>Flatfishes</x:v>
      </x:c>
      <x:c r="I48" s="31" t="n">
        <x:v>8.736778739</x:v>
      </x:c>
      <x:c r="J48" s="31" t="n">
        <x:v>0</x:v>
      </x:c>
      <x:c r="K48" s="31" t="n">
        <x:v>8.736778739</x:v>
      </x:c>
      <x:c r="L48" s="31" t="n">
        <x:v>0</x:v>
      </x:c>
      <x:c r="M48" s="31" t="n">
        <x:v>8.736778739</x:v>
      </x:c>
      <x:c r="N48" s="24" t="str">
        <x:v>engyophrys sanctilaurentii</x:v>
      </x:c>
      <x:c r="O48" s="32" t="n">
        <x:v>3.6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Engyophrys sanctilaurentii</x:v>
      </x:c>
      <x:c r="T48" s="32" t="n">
        <x:f>IF(O48="","",(1/'Metadata'!$B$5)^(O48-1))</x:f>
        <x:v>398.1071705534973</x:v>
      </x:c>
      <x:c r="U48" s="31" t="n">
        <x:f>IF(T48="","",I48*T48)</x:f>
        <x:v>3478.1742635352425</x:v>
      </x:c>
    </x:row>
    <x:row r="49" ht="18" customHeight="1">
      <x:c r="A49" s="24" t="str">
        <x:v>EEZ_930</x:v>
      </x:c>
      <x:c r="B49" s="24" t="str">
        <x:v>Costa Rica (Pacific)</x:v>
      </x:c>
      <x:c r="C49" s="24" t="str">
        <x:v>EEZ</x:v>
      </x:c>
      <x:c r="D49" s="30" t="n">
        <x:v>2019</x:v>
      </x:c>
      <x:c r="E49" s="24" t="str">
        <x:v>Pronotogrammus eos</x:v>
      </x:c>
      <x:c r="F49" s="24" t="str">
        <x:v>Bigeye bass</x:v>
      </x:c>
      <x:c r="G49" s="24" t="str">
        <x:v>Small bathydemersals (&lt;30 cm)</x:v>
      </x:c>
      <x:c r="H49" s="24" t="str">
        <x:v>Perch-likes</x:v>
      </x:c>
      <x:c r="I49" s="31" t="n">
        <x:v>8.736778739</x:v>
      </x:c>
      <x:c r="J49" s="31" t="n">
        <x:v>0</x:v>
      </x:c>
      <x:c r="K49" s="31" t="n">
        <x:v>8.736778739</x:v>
      </x:c>
      <x:c r="L49" s="31" t="n">
        <x:v>0</x:v>
      </x:c>
      <x:c r="M49" s="31" t="n">
        <x:v>8.736778739</x:v>
      </x:c>
      <x:c r="N49" s="24" t="str">
        <x:v>pronotogrammus eos</x:v>
      </x:c>
      <x:c r="O49" s="32" t="n">
        <x:v>3.5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Pronotogrammus eos</x:v>
      </x:c>
      <x:c r="T49" s="32" t="n">
        <x:f>IF(O49="","",(1/'Metadata'!$B$5)^(O49-1))</x:f>
        <x:v>316.22776601683796</x:v>
      </x:c>
      <x:c r="U49" s="31" t="n">
        <x:f>IF(T49="","",I49*T49)</x:f>
        <x:v>2762.8120228173766</x:v>
      </x:c>
    </x:row>
    <x:row r="50" ht="18" customHeight="1">
      <x:c r="A50" s="24" t="str">
        <x:v>EEZ_930</x:v>
      </x:c>
      <x:c r="B50" s="24" t="str">
        <x:v>Costa Rica (Pacific)</x:v>
      </x:c>
      <x:c r="C50" s="24" t="str">
        <x:v>EEZ</x:v>
      </x:c>
      <x:c r="D50" s="30" t="n">
        <x:v>2019</x:v>
      </x:c>
      <x:c r="E50" s="24" t="str">
        <x:v>Rhencus macracanthus</x:v>
      </x:c>
      <x:c r="F50" s="24" t="str">
        <x:v>Longspine grunt</x:v>
      </x:c>
      <x:c r="G50" s="24" t="str">
        <x:v>Medium benthopelagics (30 - 89 cm)</x:v>
      </x:c>
      <x:c r="H50" s="24" t="str">
        <x:v>Perch-likes</x:v>
      </x:c>
      <x:c r="I50" s="31" t="n">
        <x:v>5.82451916</x:v>
      </x:c>
      <x:c r="J50" s="31" t="n">
        <x:v>0</x:v>
      </x:c>
      <x:c r="K50" s="31" t="n">
        <x:v>5.82451916</x:v>
      </x:c>
      <x:c r="L50" s="31" t="n">
        <x:v>0</x:v>
      </x:c>
      <x:c r="M50" s="31" t="n">
        <x:v>5.82451916</x:v>
      </x:c>
      <x:c r="N50" s="24" t="str">
        <x:v>rhencus macracanthus</x:v>
      </x:c>
      <x:c r="O50" s="32" t="n">
        <x:v>3.5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Rhencus macracanthus</x:v>
      </x:c>
      <x:c r="T50" s="32" t="n">
        <x:f>IF(O50="","",(1/'Metadata'!$B$5)^(O50-1))</x:f>
        <x:v>316.22776601683796</x:v>
      </x:c>
      <x:c r="U50" s="31" t="n">
        <x:f>IF(T50="","",I50*T50)</x:f>
        <x:v>1841.8746820890697</x:v>
      </x:c>
    </x:row>
    <x:row r="51" ht="18" customHeight="1">
      <x:c r="A51" s="24" t="str">
        <x:v>EEZ_930</x:v>
      </x:c>
      <x:c r="B51" s="24" t="str">
        <x:v>Costa Rica (Pacific)</x:v>
      </x:c>
      <x:c r="C51" s="24" t="str">
        <x:v>EEZ</x:v>
      </x:c>
      <x:c r="D51" s="30" t="n">
        <x:v>2019</x:v>
      </x:c>
      <x:c r="E51" s="24" t="str">
        <x:v>Clupeiformes</x:v>
      </x:c>
      <x:c r="F51" s="24" t="str">
        <x:v>Herrings, shads, anchovies</x:v>
      </x:c>
      <x:c r="G51" s="24" t="str">
        <x:v>Small pelagics (&lt;30 cm)</x:v>
      </x:c>
      <x:c r="H51" s="24" t="str">
        <x:v>Other fishes &amp; inverts</x:v>
      </x:c>
      <x:c r="I51" s="31" t="n">
        <x:v>5</x:v>
      </x:c>
      <x:c r="J51" s="31" t="n">
        <x:v>5</x:v>
      </x:c>
      <x:c r="K51" s="31" t="n">
        <x:v>0</x:v>
      </x:c>
      <x:c r="L51" s="31" t="n">
        <x:v>5</x:v>
      </x:c>
      <x:c r="M51" s="31" t="n">
        <x:v>0</x:v>
      </x:c>
      <x:c r="N51" s="24" t="str">
        <x:v>clupeiformes</x:v>
      </x:c>
      <x:c r="O51" s="32" t="n">
        <x:v>3.24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Clupeiformes</x:v>
      </x:c>
      <x:c r="T51" s="32" t="n">
        <x:f>IF(O51="","",(1/'Metadata'!$B$5)^(O51-1))</x:f>
        <x:v>173.78008287493762</x:v>
      </x:c>
      <x:c r="U51" s="31" t="n">
        <x:f>IF(T51="","",I51*T51)</x:f>
        <x:v>868.9004143746881</x:v>
      </x:c>
    </x:row>
    <x:row r="52" ht="18" customHeight="1">
      <x:c r="A52" s="24" t="str">
        <x:v>EEZ_930</x:v>
      </x:c>
      <x:c r="B52" s="24" t="str">
        <x:v>Costa Rica (Pacific)</x:v>
      </x:c>
      <x:c r="C52" s="24" t="str">
        <x:v>EEZ</x:v>
      </x:c>
      <x:c r="D52" s="30" t="n">
        <x:v>2019</x:v>
      </x:c>
      <x:c r="E52" s="24" t="str">
        <x:v>Octopodidae</x:v>
      </x:c>
      <x:c r="F52" s="24" t="str">
        <x:v>Octopuses</x:v>
      </x:c>
      <x:c r="G52" s="24" t="str">
        <x:v>Cephalopods</x:v>
      </x:c>
      <x:c r="H52" s="24" t="str">
        <x:v>Other fishes &amp; inverts</x:v>
      </x:c>
      <x:c r="I52" s="31" t="n">
        <x:v>5</x:v>
      </x:c>
      <x:c r="J52" s="31" t="n">
        <x:v>5</x:v>
      </x:c>
      <x:c r="K52" s="31" t="n">
        <x:v>0</x:v>
      </x:c>
      <x:c r="L52" s="31" t="n">
        <x:v>5</x:v>
      </x:c>
      <x:c r="M52" s="31" t="n">
        <x:v>0</x:v>
      </x:c>
      <x:c r="N52" s="24" t="str">
        <x:v>octopodidae</x:v>
      </x:c>
      <x:c r="O52" s="32" t="n">
        <x:v>3.59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Octopodidae</x:v>
      </x:c>
      <x:c r="T52" s="32" t="n">
        <x:f>IF(O52="","",(1/'Metadata'!$B$5)^(O52-1))</x:f>
        <x:v>389.04514499428046</x:v>
      </x:c>
      <x:c r="U52" s="31" t="n">
        <x:f>IF(T52="","",I52*T52)</x:f>
        <x:v>1945.2257249714023</x:v>
      </x:c>
    </x:row>
    <x:row r="53" ht="18" customHeight="1">
      <x:c r="A53" s="24" t="str">
        <x:v>EEZ_930</x:v>
      </x:c>
      <x:c r="B53" s="24" t="str">
        <x:v>Costa Rica (Pacific)</x:v>
      </x:c>
      <x:c r="C53" s="24" t="str">
        <x:v>EEZ</x:v>
      </x:c>
      <x:c r="D53" s="30" t="n">
        <x:v>2019</x:v>
      </x:c>
      <x:c r="E53" s="24" t="str">
        <x:v>Teuthida</x:v>
      </x:c>
      <x:c r="F53" s="24" t="str">
        <x:v>Squids</x:v>
      </x:c>
      <x:c r="G53" s="24" t="str">
        <x:v>Cephalopods</x:v>
      </x:c>
      <x:c r="H53" s="24" t="str">
        <x:v>Other fishes &amp; inverts</x:v>
      </x:c>
      <x:c r="I53" s="31" t="n">
        <x:v>3.585643993</x:v>
      </x:c>
      <x:c r="J53" s="31" t="n">
        <x:v>3.585643993</x:v>
      </x:c>
      <x:c r="K53" s="31" t="n">
        <x:v>0</x:v>
      </x:c>
      <x:c r="L53" s="31" t="n">
        <x:v>0</x:v>
      </x:c>
      <x:c r="M53" s="31" t="n">
        <x:v>3.585643993</x:v>
      </x:c>
      <x:c r="N53" s="24" t="str">
        <x:v>teuthida</x:v>
      </x:c>
      <x:c r="O53" s="32" t="n">
        <x:v>4.13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Teuthida</x:v>
      </x:c>
      <x:c r="T53" s="32" t="n">
        <x:f>IF(O53="","",(1/'Metadata'!$B$5)^(O53-1))</x:f>
        <x:v>1348.9628825916532</x:v>
      </x:c>
      <x:c r="U53" s="31" t="n">
        <x:f>IF(T53="","",I53*T53)</x:f>
        <x:v>4836.900656744726</x:v>
      </x:c>
    </x:row>
    <x:row r="54" ht="18" customHeight="1">
      <x:c r="A54" s="24" t="str">
        <x:v>EEZ_930</x:v>
      </x:c>
      <x:c r="B54" s="24" t="str">
        <x:v>Costa Rica (Pacific)</x:v>
      </x:c>
      <x:c r="C54" s="24" t="str">
        <x:v>EEZ</x:v>
      </x:c>
      <x:c r="D54" s="30" t="n">
        <x:v>2019</x:v>
      </x:c>
      <x:c r="E54" s="24" t="str">
        <x:v>Marine pelagic fishes not identified</x:v>
      </x:c>
      <x:c r="F54" s="24" t="str">
        <x:v>Pelagic fishes</x:v>
      </x:c>
      <x:c r="G54" s="24" t="str">
        <x:v>Medium pelagics (30 - 89 cm)</x:v>
      </x:c>
      <x:c r="H54" s="24" t="str">
        <x:v>Other fishes &amp; inverts</x:v>
      </x:c>
      <x:c r="I54" s="31" t="n">
        <x:v>3.5675273457000003</x:v>
      </x:c>
      <x:c r="J54" s="31" t="n">
        <x:v>3.5675273457000003</x:v>
      </x:c>
      <x:c r="K54" s="31" t="n">
        <x:v>0</x:v>
      </x:c>
      <x:c r="L54" s="31" t="n">
        <x:v>3.5675273457000003</x:v>
      </x:c>
      <x:c r="M54" s="31" t="n">
        <x:v>0</x:v>
      </x:c>
      <x:c r="N54" s="24" t="str">
        <x:v>marine pelagic fishes not identified</x:v>
      </x:c>
      <x:c r="O54" s="32" t="n">
        <x:v>3.35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Marine pelagic fishes not identified</x:v>
      </x:c>
      <x:c r="T54" s="32" t="n">
        <x:f>IF(O54="","",(1/'Metadata'!$B$5)^(O54-1))</x:f>
        <x:v>223.872113856834</x:v>
      </x:c>
      <x:c r="U54" s="31" t="n">
        <x:f>IF(T54="","",I54*T54)</x:f>
        <x:v>798.6698881239192</x:v>
      </x:c>
    </x:row>
    <x:row r="55" ht="18" customHeight="1">
      <x:c r="A55" s="24" t="str">
        <x:v>EEZ_930</x:v>
      </x:c>
      <x:c r="B55" s="24" t="str">
        <x:v>Costa Rica (Pacific)</x:v>
      </x:c>
      <x:c r="C55" s="24" t="str">
        <x:v>EEZ</x:v>
      </x:c>
      <x:c r="D55" s="30" t="n">
        <x:v>2019</x:v>
      </x:c>
      <x:c r="E55" s="24" t="str">
        <x:v>Larimus pacificus</x:v>
      </x:c>
      <x:c r="F55" s="24" t="str">
        <x:v>Pacific drum</x:v>
      </x:c>
      <x:c r="G55" s="24" t="str">
        <x:v>Small pelagics (&lt;30 cm)</x:v>
      </x:c>
      <x:c r="H55" s="24" t="str">
        <x:v>Perch-likes</x:v>
      </x:c>
      <x:c r="I55" s="31" t="n">
        <x:v>2.91225958</x:v>
      </x:c>
      <x:c r="J55" s="31" t="n">
        <x:v>0</x:v>
      </x:c>
      <x:c r="K55" s="31" t="n">
        <x:v>2.91225958</x:v>
      </x:c>
      <x:c r="L55" s="31" t="n">
        <x:v>0</x:v>
      </x:c>
      <x:c r="M55" s="31" t="n">
        <x:v>2.91225958</x:v>
      </x:c>
      <x:c r="N55" s="24" t="str">
        <x:v>larimus pacificus</x:v>
      </x:c>
      <x:c r="O55" s="32" t="n">
        <x:v>4.46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Larimus pacificus</x:v>
      </x:c>
      <x:c r="T55" s="32" t="n">
        <x:f>IF(O55="","",(1/'Metadata'!$B$5)^(O55-1))</x:f>
        <x:v>2884.031503126606</x:v>
      </x:c>
      <x:c r="U55" s="31" t="n">
        <x:f>IF(T55="","",I55*T55)</x:f>
        <x:v>8399.04837400226</x:v>
      </x:c>
    </x:row>
    <x:row r="56" ht="18" customHeight="1">
      <x:c r="A56" s="24" t="str">
        <x:v>EEZ_930</x:v>
      </x:c>
      <x:c r="B56" s="24" t="str">
        <x:v>Costa Rica (Pacific)</x:v>
      </x:c>
      <x:c r="C56" s="24" t="str">
        <x:v>EEZ</x:v>
      </x:c>
      <x:c r="D56" s="30" t="n">
        <x:v>2019</x:v>
      </x:c>
      <x:c r="E56" s="24" t="str">
        <x:v>Istiophoridae</x:v>
      </x:c>
      <x:c r="F56" s="24" t="str">
        <x:v>Billfishes</x:v>
      </x:c>
      <x:c r="G56" s="24" t="str">
        <x:v>Large pelagics (&gt;=90 cm)</x:v>
      </x:c>
      <x:c r="H56" s="24" t="str">
        <x:v>Tuna &amp; billfishes</x:v>
      </x:c>
      <x:c r="I56" s="31" t="n">
        <x:v>2.7913093955000003</x:v>
      </x:c>
      <x:c r="J56" s="31" t="n">
        <x:v>2.7913072961000003</x:v>
      </x:c>
      <x:c r="K56" s="31" t="n">
        <x:v>0.0000020994</x:v>
      </x:c>
      <x:c r="L56" s="31" t="n">
        <x:v>2.7913072961000003</x:v>
      </x:c>
      <x:c r="M56" s="31" t="n">
        <x:v>0.0000020994</x:v>
      </x:c>
      <x:c r="N56" s="24" t="str">
        <x:v>istiophoridae</x:v>
      </x:c>
      <x:c r="O56" s="32" t="n">
        <x:v>4.48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Istiophoridae</x:v>
      </x:c>
      <x:c r="T56" s="32" t="n">
        <x:f>IF(O56="","",(1/'Metadata'!$B$5)^(O56-1))</x:f>
        <x:v>3019.951720402019</x:v>
      </x:c>
      <x:c r="U56" s="31" t="n">
        <x:f>IF(T56="","",I56*T56)</x:f>
        <x:v>8429.619611114545</x:v>
      </x:c>
    </x:row>
    <x:row r="57" ht="18" customHeight="1">
      <x:c r="A57" s="24" t="str">
        <x:v>EEZ_930</x:v>
      </x:c>
      <x:c r="B57" s="24" t="str">
        <x:v>Costa Rica (Pacific)</x:v>
      </x:c>
      <x:c r="C57" s="24" t="str">
        <x:v>EEZ</x:v>
      </x:c>
      <x:c r="D57" s="30" t="n">
        <x:v>2019</x:v>
      </x:c>
      <x:c r="E57" s="24" t="str">
        <x:v>Thunnus obesus</x:v>
      </x:c>
      <x:c r="F57" s="24" t="str">
        <x:v>Bigeye tuna</x:v>
      </x:c>
      <x:c r="G57" s="24" t="str">
        <x:v>Large pelagics (&gt;=90 cm)</x:v>
      </x:c>
      <x:c r="H57" s="24" t="str">
        <x:v>Tuna &amp; billfishes</x:v>
      </x:c>
      <x:c r="I57" s="31" t="n">
        <x:v>2.1886858659</x:v>
      </x:c>
      <x:c r="J57" s="31" t="n">
        <x:v>2.1886663192</x:v>
      </x:c>
      <x:c r="K57" s="31" t="n">
        <x:v>0.0000195467</x:v>
      </x:c>
      <x:c r="L57" s="31" t="n">
        <x:v>2.1886663192</x:v>
      </x:c>
      <x:c r="M57" s="31" t="n">
        <x:v>0.0000195467</x:v>
      </x:c>
      <x:c r="N57" s="24" t="str">
        <x:v>thunnus obesus</x:v>
      </x:c>
      <x:c r="O57" s="32" t="n">
        <x:v>4.49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Thunnus obesus</x:v>
      </x:c>
      <x:c r="T57" s="32" t="n">
        <x:f>IF(O57="","",(1/'Metadata'!$B$5)^(O57-1))</x:f>
        <x:v>3090.295432513592</x:v>
      </x:c>
      <x:c r="U57" s="31" t="n">
        <x:f>IF(T57="","",I57*T57)</x:f>
        <x:v>6763.685934597826</x:v>
      </x:c>
    </x:row>
    <x:row r="58" ht="18" customHeight="1">
      <x:c r="A58" s="24" t="str">
        <x:v>EEZ_930</x:v>
      </x:c>
      <x:c r="B58" s="24" t="str">
        <x:v>Costa Rica (Pacific)</x:v>
      </x:c>
      <x:c r="C58" s="24" t="str">
        <x:v>EEZ</x:v>
      </x:c>
      <x:c r="D58" s="30" t="n">
        <x:v>2019</x:v>
      </x:c>
      <x:c r="E58" s="24" t="str">
        <x:v>Isurus oxyrinchus</x:v>
      </x:c>
      <x:c r="F58" s="24" t="str">
        <x:v>Shortfin mako</x:v>
      </x:c>
      <x:c r="G58" s="24" t="str">
        <x:v>Large sharks (&gt;=90 cm)</x:v>
      </x:c>
      <x:c r="H58" s="24" t="str">
        <x:v>Sharks &amp; rays</x:v>
      </x:c>
      <x:c r="I58" s="31" t="n">
        <x:v>0.490551295</x:v>
      </x:c>
      <x:c r="J58" s="31" t="n">
        <x:v>0.490551295</x:v>
      </x:c>
      <x:c r="K58" s="31" t="n">
        <x:v>0</x:v>
      </x:c>
      <x:c r="L58" s="31" t="n">
        <x:v>0</x:v>
      </x:c>
      <x:c r="M58" s="31" t="n">
        <x:v>0.490551295</x:v>
      </x:c>
      <x:c r="N58" s="24" t="str">
        <x:v>isurus oxyrinchus</x:v>
      </x:c>
      <x:c r="O58" s="32" t="n">
        <x:v>4.5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Isurus oxyrinchus</x:v>
      </x:c>
      <x:c r="T58" s="32" t="n">
        <x:f>IF(O58="","",(1/'Metadata'!$B$5)^(O58-1))</x:f>
        <x:v>3162.2776601683795</x:v>
      </x:c>
      <x:c r="U58" s="31" t="n">
        <x:f>IF(T58="","",I58*T58)</x:f>
        <x:v>1551.2594013451685</x:v>
      </x:c>
    </x:row>
    <x:row r="59" ht="18" customHeight="1">
      <x:c r="A59" s="24" t="str">
        <x:v>EEZ_930</x:v>
      </x:c>
      <x:c r="B59" s="24" t="str">
        <x:v>Costa Rica (Pacific)</x:v>
      </x:c>
      <x:c r="C59" s="24" t="str">
        <x:v>EEZ</x:v>
      </x:c>
      <x:c r="D59" s="30" t="n">
        <x:v>2019</x:v>
      </x:c>
      <x:c r="E59" s="24" t="str">
        <x:v>Carangidae</x:v>
      </x:c>
      <x:c r="F59" s="24" t="str">
        <x:v>Jacks, pompanos</x:v>
      </x:c>
      <x:c r="G59" s="24" t="str">
        <x:v>Medium pelagics (30 - 89 cm)</x:v>
      </x:c>
      <x:c r="H59" s="24" t="str">
        <x:v>Perch-likes</x:v>
      </x:c>
      <x:c r="I59" s="31" t="n">
        <x:v>0.2903145218</x:v>
      </x:c>
      <x:c r="J59" s="31" t="n">
        <x:v>0.2893873242</x:v>
      </x:c>
      <x:c r="K59" s="31" t="n">
        <x:v>0.0009271976</x:v>
      </x:c>
      <x:c r="L59" s="31" t="n">
        <x:v>0.2893873242</x:v>
      </x:c>
      <x:c r="M59" s="31" t="n">
        <x:v>0.0009271976</x:v>
      </x:c>
      <x:c r="N59" s="24" t="str">
        <x:v>carangidae</x:v>
      </x:c>
      <x:c r="O59" s="32" t="n">
        <x:v>4.05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Carangidae</x:v>
      </x:c>
      <x:c r="T59" s="32" t="n">
        <x:f>IF(O59="","",(1/'Metadata'!$B$5)^(O59-1))</x:f>
        <x:v>1122.018454301963</x:v>
      </x:c>
      <x:c r="U59" s="31" t="n">
        <x:f>IF(T59="","",I59*T59)</x:f>
        <x:v>325.7382510114495</x:v>
      </x:c>
    </x:row>
    <x:row r="60" ht="18" customHeight="1">
      <x:c r="A60" s="24" t="str">
        <x:v>EEZ_930</x:v>
      </x:c>
      <x:c r="B60" s="24" t="str">
        <x:v>Costa Rica (Pacific)</x:v>
      </x:c>
      <x:c r="C60" s="24" t="str">
        <x:v>EEZ</x:v>
      </x:c>
      <x:c r="D60" s="30" t="n">
        <x:v>2019</x:v>
      </x:c>
      <x:c r="E60" s="24" t="str">
        <x:v>Prionace glauca</x:v>
      </x:c>
      <x:c r="F60" s="24" t="str">
        <x:v>Blue shark</x:v>
      </x:c>
      <x:c r="G60" s="24" t="str">
        <x:v>Large sharks (&gt;=90 cm)</x:v>
      </x:c>
      <x:c r="H60" s="24" t="str">
        <x:v>Sharks &amp; rays</x:v>
      </x:c>
      <x:c r="I60" s="31" t="n">
        <x:v>0.1202520486</x:v>
      </x:c>
      <x:c r="J60" s="31" t="n">
        <x:v>0</x:v>
      </x:c>
      <x:c r="K60" s="31" t="n">
        <x:v>0.1202520486</x:v>
      </x:c>
      <x:c r="L60" s="31" t="n">
        <x:v>0</x:v>
      </x:c>
      <x:c r="M60" s="31" t="n">
        <x:v>0.1202520486</x:v>
      </x:c>
      <x:c r="N60" s="24" t="str">
        <x:v>prionace glauca</x:v>
      </x:c>
      <x:c r="O60" s="32" t="n">
        <x:v>4.35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Prionace glauca</x:v>
      </x:c>
      <x:c r="T60" s="32" t="n">
        <x:f>IF(O60="","",(1/'Metadata'!$B$5)^(O60-1))</x:f>
        <x:v>2238.7211385683377</x:v>
      </x:c>
      <x:c r="U60" s="31" t="n">
        <x:f>IF(T60="","",I60*T60)</x:f>
        <x:v>269.2108031569671</x:v>
      </x:c>
    </x:row>
    <x:row r="61" ht="18" customHeight="1">
      <x:c r="A61" s="24" t="str">
        <x:v>EEZ_930</x:v>
      </x:c>
      <x:c r="B61" s="24" t="str">
        <x:v>Costa Rica (Pacific)</x:v>
      </x:c>
      <x:c r="C61" s="24" t="str">
        <x:v>EEZ</x:v>
      </x:c>
      <x:c r="D61" s="30" t="n">
        <x:v>2019</x:v>
      </x:c>
      <x:c r="E61" s="24" t="str">
        <x:v>Panulirus</x:v>
      </x:c>
      <x:c r="F61" s="24" t="str">
        <x:v>Spiny lobsters</x:v>
      </x:c>
      <x:c r="G61" s="24" t="str">
        <x:v>Lobsters, crabs</x:v>
      </x:c>
      <x:c r="H61" s="24" t="str">
        <x:v>Crustaceans</x:v>
      </x:c>
      <x:c r="I61" s="31" t="n">
        <x:v>0.059394103</x:v>
      </x:c>
      <x:c r="J61" s="31" t="n">
        <x:v>0.059394103</x:v>
      </x:c>
      <x:c r="K61" s="31" t="n">
        <x:v>0</x:v>
      </x:c>
      <x:c r="L61" s="31" t="n">
        <x:v>0</x:v>
      </x:c>
      <x:c r="M61" s="31" t="n">
        <x:v>0.059394103</x:v>
      </x:c>
      <x:c r="N61" s="24" t="str">
        <x:v>panulirus</x:v>
      </x:c>
      <x:c r="O61" s="32" t="n">
        <x:v>2.6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Panulirus</x:v>
      </x:c>
      <x:c r="T61" s="32" t="n">
        <x:f>IF(O61="","",(1/'Metadata'!$B$5)^(O61-1))</x:f>
        <x:v>39.810717055349734</x:v>
      </x:c>
      <x:c r="U61" s="31" t="n">
        <x:f>IF(T61="","",I61*T61)</x:f>
        <x:v>2.364521829289299</x:v>
      </x:c>
    </x:row>
    <x:row r="62" ht="18" customHeight="1">
      <x:c r="A62" s="24" t="str">
        <x:v>EEZ_930</x:v>
      </x:c>
      <x:c r="B62" s="24" t="str">
        <x:v>Costa Rica (Pacific)</x:v>
      </x:c>
      <x:c r="C62" s="24" t="str">
        <x:v>EEZ</x:v>
      </x:c>
      <x:c r="D62" s="30" t="n">
        <x:v>2019</x:v>
      </x:c>
      <x:c r="E62" s="24" t="str">
        <x:v>Scombridae</x:v>
      </x:c>
      <x:c r="F62" s="24" t="str">
        <x:v>Mackerels, tunas, bonitos</x:v>
      </x:c>
      <x:c r="G62" s="24" t="str">
        <x:v>Medium pelagics (30 - 89 cm)</x:v>
      </x:c>
      <x:c r="H62" s="24" t="str">
        <x:v>Perch-likes</x:v>
      </x:c>
      <x:c r="I62" s="31" t="n">
        <x:v>0.0183978845</x:v>
      </x:c>
      <x:c r="J62" s="31" t="n">
        <x:v>0</x:v>
      </x:c>
      <x:c r="K62" s="31" t="n">
        <x:v>0.0183978845</x:v>
      </x:c>
      <x:c r="L62" s="31" t="n">
        <x:v>0</x:v>
      </x:c>
      <x:c r="M62" s="31" t="n">
        <x:v>0.0183978845</x:v>
      </x:c>
      <x:c r="N62" s="24" t="str">
        <x:v>scombridae</x:v>
      </x:c>
      <x:c r="O62" s="32" t="n">
        <x:v>4.26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Scombridae</x:v>
      </x:c>
      <x:c r="T62" s="32" t="n">
        <x:f>IF(O62="","",(1/'Metadata'!$B$5)^(O62-1))</x:f>
        <x:v>1819.7008586099826</x:v>
      </x:c>
      <x:c r="U62" s="31" t="n">
        <x:f>IF(T62="","",I62*T62)</x:f>
        <x:v>33.478646221257286</x:v>
      </x:c>
    </x:row>
    <x:row r="63" ht="18" customHeight="1">
      <x:c r="A63" s="24" t="str">
        <x:v>EEZ_930</x:v>
      </x:c>
      <x:c r="B63" s="24" t="str">
        <x:v>Costa Rica (Pacific)</x:v>
      </x:c>
      <x:c r="C63" s="24" t="str">
        <x:v>EEZ</x:v>
      </x:c>
      <x:c r="D63" s="30" t="n">
        <x:v>2019</x:v>
      </x:c>
      <x:c r="E63" s="24" t="str">
        <x:v>Carcharhinus longimanus</x:v>
      </x:c>
      <x:c r="F63" s="24" t="str">
        <x:v>Oceanic whitetip shark</x:v>
      </x:c>
      <x:c r="G63" s="24" t="str">
        <x:v>Large sharks (&gt;=90 cm)</x:v>
      </x:c>
      <x:c r="H63" s="24" t="str">
        <x:v>Sharks &amp; rays</x:v>
      </x:c>
      <x:c r="I63" s="31" t="n">
        <x:v>0.0150628134</x:v>
      </x:c>
      <x:c r="J63" s="31" t="n">
        <x:v>0</x:v>
      </x:c>
      <x:c r="K63" s="31" t="n">
        <x:v>0.0150628134</x:v>
      </x:c>
      <x:c r="L63" s="31" t="n">
        <x:v>0</x:v>
      </x:c>
      <x:c r="M63" s="31" t="n">
        <x:v>0.0150628134</x:v>
      </x:c>
      <x:c r="N63" s="24" t="str">
        <x:v>carcharhinus longimanus</x:v>
      </x:c>
      <x:c r="O63" s="32" t="n">
        <x:v>4.16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Carcharhinus longimanus</x:v>
      </x:c>
      <x:c r="T63" s="32" t="n">
        <x:f>IF(O63="","",(1/'Metadata'!$B$5)^(O63-1))</x:f>
        <x:v>1445.439770745928</x:v>
      </x:c>
      <x:c r="U63" s="31" t="n">
        <x:f>IF(T63="","",I63*T63)</x:f>
        <x:v>21.772389547684693</x:v>
      </x:c>
    </x:row>
    <x:row r="64" ht="18" customHeight="1">
      <x:c r="A64" s="24" t="str">
        <x:v>EEZ_930</x:v>
      </x:c>
      <x:c r="B64" s="24" t="str">
        <x:v>Costa Rica (Pacific)</x:v>
      </x:c>
      <x:c r="C64" s="24" t="str">
        <x:v>EEZ</x:v>
      </x:c>
      <x:c r="D64" s="30" t="n">
        <x:v>2019</x:v>
      </x:c>
      <x:c r="E64" s="24" t="str">
        <x:v>Isurus</x:v>
      </x:c>
      <x:c r="F64" s="24" t="str">
        <x:v>Mako sharks</x:v>
      </x:c>
      <x:c r="G64" s="24" t="str">
        <x:v>Large sharks (&gt;=90 cm)</x:v>
      </x:c>
      <x:c r="H64" s="24" t="str">
        <x:v>Sharks &amp; rays</x:v>
      </x:c>
      <x:c r="I64" s="31" t="n">
        <x:v>0.0150620601</x:v>
      </x:c>
      <x:c r="J64" s="31" t="n">
        <x:v>0</x:v>
      </x:c>
      <x:c r="K64" s="31" t="n">
        <x:v>0.0150620601</x:v>
      </x:c>
      <x:c r="L64" s="31" t="n">
        <x:v>0</x:v>
      </x:c>
      <x:c r="M64" s="31" t="n">
        <x:v>0.0150620601</x:v>
      </x:c>
      <x:c r="N64" s="24" t="str">
        <x:v>isurus</x:v>
      </x:c>
      <x:c r="O64" s="32" t="n">
        <x:v>4.5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Isurus</x:v>
      </x:c>
      <x:c r="T64" s="32" t="n">
        <x:f>IF(O64="","",(1/'Metadata'!$B$5)^(O64-1))</x:f>
        <x:v>3162.2776601683795</x:v>
      </x:c>
      <x:c r="U64" s="31" t="n">
        <x:f>IF(T64="","",I64*T64)</x:f>
        <x:v>47.63041617034351</x:v>
      </x:c>
    </x:row>
  </x:sheetData>
  <x:conditionalFormatting sqref="R2:R64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3cf4107d1362427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Crustaceans</x:v>
      </x:c>
      <x:c r="B2" s="31" t="n">
        <x:v>4716.2667498030005</x:v>
      </x:c>
      <x:c r="C2" s="32" t="n">
        <x:v>2.573934987353051</x:v>
      </x:c>
      <x:c r="D2" s="32" t="n">
        <x:f>IF(C2="","",(1/'Metadata'!$B$5)^(C2-1))</x:f>
        <x:v>37.491687405629484</x:v>
      </x:c>
      <x:c r="E2" s="31" t="n">
        <x:f>IF(B2=0,"",B2*D2)</x:f>
        <x:v>176820.79870517825</x:v>
      </x:c>
    </x:row>
    <x:row r="3" ht="18" customHeight="1">
      <x:c r="A3" s="24" t="str">
        <x:v>Flatfishes</x:v>
      </x:c>
      <x:c r="B3" s="31" t="n">
        <x:v>847.4675376890001</x:v>
      </x:c>
      <x:c r="C3" s="32" t="n">
        <x:v>3.9602061855684005</x:v>
      </x:c>
      <x:c r="D3" s="32" t="n">
        <x:f>IF(C3="","",(1/'Metadata'!$B$5)^(C3-1))</x:f>
        <x:v>912.4439282528331</x:v>
      </x:c>
      <x:c r="E3" s="31" t="n">
        <x:f>IF(B3=0,"",B3*D3)</x:f>
        <x:v>773266.6091557071</x:v>
      </x:c>
    </x:row>
    <x:row r="4" ht="18" customHeight="1">
      <x:c r="A4" s="24" t="str">
        <x:v>Other fishes &amp; inverts</x:v>
      </x:c>
      <x:c r="B4" s="31" t="n">
        <x:v>6499.4741898551</x:v>
      </x:c>
      <x:c r="C4" s="32" t="n">
        <x:v>3.397204696906725</x:v>
      </x:c>
      <x:c r="D4" s="32" t="n">
        <x:f>IF(C4="","",(1/'Metadata'!$B$5)^(C4-1))</x:f>
        <x:v>249.57707865150735</x:v>
      </x:c>
      <x:c r="E4" s="31" t="n">
        <x:f>IF(B4=0,"",B4*D4)</x:f>
        <x:v>1622119.7810749083</x:v>
      </x:c>
    </x:row>
    <x:row r="5" ht="18" customHeight="1">
      <x:c r="A5" s="24" t="str">
        <x:v>Perch-likes</x:v>
      </x:c>
      <x:c r="B5" s="31" t="n">
        <x:v>2831.1963345280997</x:v>
      </x:c>
      <x:c r="C5" s="32" t="n">
        <x:v>3.972253409715255</x:v>
      </x:c>
      <x:c r="D5" s="32" t="n">
        <x:f>IF(C5="","",(1/'Metadata'!$B$5)^(C5-1))</x:f>
        <x:v>938.1092315865465</x:v>
      </x:c>
      <x:c r="E5" s="31" t="n">
        <x:f>IF(B5=0,"",B5*D5)</x:f>
        <x:v>2655971.4178548027</x:v>
      </x:c>
    </x:row>
    <x:row r="6" ht="18" customHeight="1">
      <x:c r="A6" s="24" t="str">
        <x:v>Scorpionfishes</x:v>
      </x:c>
      <x:c r="B6" s="31" t="n">
        <x:v>329.0853325</x:v>
      </x:c>
      <x:c r="C6" s="32" t="n">
        <x:v>3.4999999999999996</x:v>
      </x:c>
      <x:c r="D6" s="32" t="n">
        <x:f>IF(C6="","",(1/'Metadata'!$B$5)^(C6-1))</x:f>
        <x:v>316.2277660168376</x:v>
      </x:c>
      <x:c r="E6" s="31" t="n">
        <x:f>IF(B6=0,"",B6*D6)</x:f>
        <x:v>104065.9195253832</x:v>
      </x:c>
    </x:row>
    <x:row r="7" ht="18" customHeight="1">
      <x:c r="A7" s="24" t="str">
        <x:v>Sharks &amp; rays</x:v>
      </x:c>
      <x:c r="B7" s="31" t="n">
        <x:v>24661.8517126458</x:v>
      </x:c>
      <x:c r="C7" s="32" t="n">
        <x:v>4.113208439401327</x:v>
      </x:c>
      <x:c r="D7" s="32" t="n">
        <x:f>IF(C7="","",(1/'Metadata'!$B$5)^(C7-1))</x:f>
        <x:v>1297.8020008998565</x:v>
      </x:c>
      <x:c r="E7" s="31" t="n">
        <x:f>IF(B7=0,"",B7*D7)</x:f>
        <x:v>32006200.498567272</x:v>
      </x:c>
    </x:row>
    <x:row r="8" ht="18" customHeight="1">
      <x:c r="A8" s="24" t="str">
        <x:v>Tuna &amp; billfishes</x:v>
      </x:c>
      <x:c r="B8" s="31" t="n">
        <x:v>13831.651338880498</x:v>
      </x:c>
      <x:c r="C8" s="32" t="n">
        <x:v>4.431779595492117</x:v>
      </x:c>
      <x:c r="D8" s="32" t="n">
        <x:f>IF(C8="","",(1/'Metadata'!$B$5)^(C8-1))</x:f>
        <x:v>2702.5864530279428</x:v>
      </x:c>
      <x:c r="E8" s="31" t="n">
        <x:f>IF(B8=0,"",B8*D8)</x:f>
        <x:v>37381233.53146424</x:v>
      </x:c>
    </x:row>
  </x:sheetData>
  <x:pageMargins left="0.7" right="0.7" top="0.75" bottom="0.75" header="0.3" footer="0.3"/>
  <x:tableParts count="1">
    <x:tablePart xmlns:r="http://schemas.openxmlformats.org/officeDocument/2006/relationships" r:id="R1e2a8883a3d6400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8.585643993</x:v>
      </x:c>
      <x:c r="C2" s="32" t="n">
        <x:v>3.815521551766955</x:v>
      </x:c>
      <x:c r="D2" s="32" t="n">
        <x:f>IF(C2="","",(1/'Metadata'!$B$5)^(C2-1))</x:f>
        <x:v>653.9153796046813</x:v>
      </x:c>
      <x:c r="E2" s="31" t="n">
        <x:f>IF(B2=0,"",B2*D2)</x:f>
        <x:v>5614.284650833247</x:v>
      </x:c>
    </x:row>
    <x:row r="3" ht="18" customHeight="1">
      <x:c r="A3" s="24" t="str">
        <x:v>Large benthopelagics (&gt;=90 cm)</x:v>
      </x:c>
      <x:c r="B3" s="31" t="n">
        <x:v>1143.0899834400002</x:v>
      </x:c>
      <x:c r="C3" s="32" t="n">
        <x:v>3.0091717490660264</x:v>
      </x:c>
      <x:c r="D3" s="32" t="n">
        <x:f>IF(C3="","",(1/'Metadata'!$B$5)^(C3-1))</x:f>
        <x:v>102.13433112632241</x:v>
      </x:c>
      <x:c r="E3" s="31" t="n">
        <x:f>IF(B3=0,"",B3*D3)</x:f>
        <x:v>116748.73087584338</x:v>
      </x:c>
    </x:row>
    <x:row r="4" ht="18" customHeight="1">
      <x:c r="A4" s="24" t="str">
        <x:v>Large demersals (&gt;=90 cm)</x:v>
      </x:c>
      <x:c r="B4" s="31" t="n">
        <x:v>107.3493416</x:v>
      </x:c>
      <x:c r="C4" s="32" t="n">
        <x:v>4.07</x:v>
      </x:c>
      <x:c r="D4" s="32" t="n">
        <x:f>IF(C4="","",(1/'Metadata'!$B$5)^(C4-1))</x:f>
        <x:v>1174.8975549395302</x:v>
      </x:c>
      <x:c r="E4" s="31" t="n">
        <x:f>IF(B4=0,"",B4*D4)</x:f>
        <x:v>126124.4789702084</x:v>
      </x:c>
    </x:row>
    <x:row r="5" ht="18" customHeight="1">
      <x:c r="A5" s="24" t="str">
        <x:v>Large pelagics (&gt;=90 cm)</x:v>
      </x:c>
      <x:c r="B5" s="31" t="n">
        <x:v>14157.5513880133</x:v>
      </x:c>
      <x:c r="C5" s="32" t="n">
        <x:v>4.430626279000435</x:v>
      </x:c>
      <x:c r="D5" s="32" t="n">
        <x:f>IF(C5="","",(1/'Metadata'!$B$5)^(C5-1))</x:f>
        <x:v>2695.4189603862255</x:v>
      </x:c>
      <x:c r="E5" s="31" t="n">
        <x:f>IF(B5=0,"",B5*D5)</x:f>
        <x:v>38160532.44389337</x:v>
      </x:c>
    </x:row>
    <x:row r="6" ht="18" customHeight="1">
      <x:c r="A6" s="24" t="str">
        <x:v>Large sharks (&gt;=90 cm)</x:v>
      </x:c>
      <x:c r="B6" s="31" t="n">
        <x:v>24661.8517126458</x:v>
      </x:c>
      <x:c r="C6" s="32" t="n">
        <x:v>4.113208439401327</x:v>
      </x:c>
      <x:c r="D6" s="32" t="n">
        <x:f>IF(C6="","",(1/'Metadata'!$B$5)^(C6-1))</x:f>
        <x:v>1297.8020008998565</x:v>
      </x:c>
      <x:c r="E6" s="31" t="n">
        <x:f>IF(B6=0,"",B6*D6)</x:f>
        <x:v>32006200.498567272</x:v>
      </x:c>
    </x:row>
    <x:row r="7" ht="18" customHeight="1">
      <x:c r="A7" s="24" t="str">
        <x:v>Lobsters, crabs</x:v>
      </x:c>
      <x:c r="B7" s="31" t="n">
        <x:v>0.059394103</x:v>
      </x:c>
      <x:c r="C7" s="32" t="n">
        <x:v>2.6</x:v>
      </x:c>
      <x:c r="D7" s="32" t="n">
        <x:f>IF(C7="","",(1/'Metadata'!$B$5)^(C7-1))</x:f>
        <x:v>39.810717055349734</x:v>
      </x:c>
      <x:c r="E7" s="31" t="n">
        <x:f>IF(B7=0,"",B7*D7)</x:f>
        <x:v>2.364521829289299</x:v>
      </x:c>
    </x:row>
    <x:row r="8" ht="18" customHeight="1">
      <x:c r="A8" s="24" t="str">
        <x:v>Medium benthopelagics (30 - 89 cm)</x:v>
      </x:c>
      <x:c r="B8" s="31" t="n">
        <x:v>322.94101334000004</x:v>
      </x:c>
      <x:c r="C8" s="32" t="n">
        <x:v>4.010529896995212</x:v>
      </x:c>
      <x:c r="D8" s="32" t="n">
        <x:f>IF(C8="","",(1/'Metadata'!$B$5)^(C8-1))</x:f>
        <x:v>1024.5423077599685</x:v>
      </x:c>
      <x:c r="E8" s="31" t="n">
        <x:f>IF(B8=0,"",B8*D8)</x:f>
        <x:v>330866.7310777064</x:v>
      </x:c>
    </x:row>
    <x:row r="9" ht="18" customHeight="1">
      <x:c r="A9" s="24" t="str">
        <x:v>Medium demersals (30 - 89 cm)</x:v>
      </x:c>
      <x:c r="B9" s="31" t="n">
        <x:v>5827.183831376399</x:v>
      </x:c>
      <x:c r="C9" s="32" t="n">
        <x:v>3.4926090943815935</x:v>
      </x:c>
      <x:c r="D9" s="32" t="n">
        <x:f>IF(C9="","",(1/'Metadata'!$B$5)^(C9-1))</x:f>
        <x:v>310.8916761742366</x:v>
      </x:c>
      <x:c r="E9" s="31" t="n">
        <x:f>IF(B9=0,"",B9*D9)</x:f>
        <x:v>1811622.9487120188</x:v>
      </x:c>
    </x:row>
    <x:row r="10" ht="18" customHeight="1">
      <x:c r="A10" s="24" t="str">
        <x:v>Medium pelagics (30 - 89 cm)</x:v>
      </x:c>
      <x:c r="B10" s="31" t="n">
        <x:v>3.8762397520000005</x:v>
      </x:c>
      <x:c r="C10" s="32" t="n">
        <x:v>3.4067462938899755</x:v>
      </x:c>
      <x:c r="D10" s="32" t="n">
        <x:f>IF(C10="","",(1/'Metadata'!$B$5)^(C10-1))</x:f>
        <x:v>255.12105013422874</x:v>
      </x:c>
      <x:c r="E10" s="31" t="n">
        <x:f>IF(B10=0,"",B10*D10)</x:f>
        <x:v>988.9103561022825</x:v>
      </x:c>
    </x:row>
    <x:row r="11" ht="18" customHeight="1">
      <x:c r="A11" s="24" t="str">
        <x:v>Medium reef assoc. fish (30 - 89 cm)</x:v>
      </x:c>
      <x:c r="B11" s="31" t="n">
        <x:v>1153.39051685</x:v>
      </x:c>
      <x:c r="C11" s="32" t="n">
        <x:v>4.019839006201553</x:v>
      </x:c>
      <x:c r="D11" s="32" t="n">
        <x:f>IF(C11="","",(1/'Metadata'!$B$5)^(C11-1))</x:f>
        <x:v>1046.7404474265327</x:v>
      </x:c>
      <x:c r="E11" s="31" t="n">
        <x:f>IF(B11=0,"",B11*D11)</x:f>
        <x:v>1207300.5056650888</x:v>
      </x:c>
    </x:row>
    <x:row r="12" ht="18" customHeight="1">
      <x:c r="A12" s="24" t="str">
        <x:v>Shrimps</x:v>
      </x:c>
      <x:c r="B12" s="31" t="n">
        <x:v>4716.2073557</x:v>
      </x:c>
      <x:c r="C12" s="32" t="n">
        <x:v>2.5739346591002983</x:v>
      </x:c>
      <x:c r="D12" s="32" t="n">
        <x:f>IF(C12="","",(1/'Metadata'!$B$5)^(C12-1))</x:f>
        <x:v>37.49165906830205</x:v>
      </x:c>
      <x:c r="E12" s="31" t="n">
        <x:f>IF(B12=0,"",B12*D12)</x:f>
        <x:v>176818.43827532275</x:v>
      </x:c>
    </x:row>
    <x:row r="13" ht="18" customHeight="1">
      <x:c r="A13" s="24" t="str">
        <x:v>Small bathydemersals (&lt;30 cm)</x:v>
      </x:c>
      <x:c r="B13" s="31" t="n">
        <x:v>8.736778739</x:v>
      </x:c>
      <x:c r="C13" s="32" t="n">
        <x:v>3.5</x:v>
      </x:c>
      <x:c r="D13" s="32" t="n">
        <x:f>IF(C13="","",(1/'Metadata'!$B$5)^(C13-1))</x:f>
        <x:v>316.22776601683796</x:v>
      </x:c>
      <x:c r="E13" s="31" t="n">
        <x:f>IF(B13=0,"",B13*D13)</x:f>
        <x:v>2762.8120228173766</x:v>
      </x:c>
    </x:row>
    <x:row r="14" ht="18" customHeight="1">
      <x:c r="A14" s="24" t="str">
        <x:v>Small demersals (&lt;30 cm)</x:v>
      </x:c>
      <x:c r="B14" s="31" t="n">
        <x:v>709.99744926</x:v>
      </x:c>
      <x:c r="C14" s="32" t="n">
        <x:v>3.743033478002272</x:v>
      </x:c>
      <x:c r="D14" s="32" t="n">
        <x:f>IF(C14="","",(1/'Metadata'!$B$5)^(C14-1))</x:f>
        <x:v>553.3927663781337</x:v>
      </x:c>
      <x:c r="E14" s="31" t="n">
        <x:f>IF(B14=0,"",B14*D14)</x:f>
        <x:v>392907.4525674101</x:v>
      </x:c>
    </x:row>
    <x:row r="15" ht="18" customHeight="1">
      <x:c r="A15" s="24" t="str">
        <x:v>Small pelagics (&lt;30 cm)</x:v>
      </x:c>
      <x:c r="B15" s="31" t="n">
        <x:v>48.705009399999994</x:v>
      </x:c>
      <x:c r="C15" s="32" t="n">
        <x:v>3.1956918618067247</x:v>
      </x:c>
      <x:c r="D15" s="32" t="n">
        <x:f>IF(C15="","",(1/'Metadata'!$B$5)^(C15-1))</x:f>
        <x:v>156.92490044695455</x:v>
      </x:c>
      <x:c r="E15" s="31" t="n">
        <x:f>IF(B15=0,"",B15*D15)</x:f>
        <x:v>7643.028751362985</x:v>
      </x:c>
    </x:row>
    <x:row r="16" ht="18" customHeight="1">
      <x:c r="A16" s="24" t="str">
        <x:v>Small to medium flatfishes (&lt;90 cm)</x:v>
      </x:c>
      <x:c r="B16" s="31" t="n">
        <x:v>847.4675376890001</x:v>
      </x:c>
      <x:c r="C16" s="32" t="n">
        <x:v>3.9602061855684005</x:v>
      </x:c>
      <x:c r="D16" s="32" t="n">
        <x:f>IF(C16="","",(1/'Metadata'!$B$5)^(C16-1))</x:f>
        <x:v>912.4439282528331</x:v>
      </x:c>
      <x:c r="E16" s="31" t="n">
        <x:f>IF(B16=0,"",B16*D16)</x:f>
        <x:v>773266.6091557071</x:v>
      </x:c>
    </x:row>
  </x:sheetData>
  <x:pageMargins left="0.7" right="0.7" top="0.75" bottom="0.75" header="0.3" footer="0.3"/>
  <x:tableParts count="1">
    <x:tablePart xmlns:r="http://schemas.openxmlformats.org/officeDocument/2006/relationships" r:id="R3b62634f9b8e4fe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EEZ_930</x:v>
      </x:c>
      <x:c r="B2" s="24" t="str">
        <x:v>raw_filtered_tonnes</x:v>
      </x:c>
      <x:c r="C2" s="24" t="n">
        <x:v>53716.9931959015</x:v>
      </x:c>
      <x:c r="D2" s="24" t="str">
        <x:v>tonnes</x:v>
      </x:c>
    </x:row>
    <x:row r="3" ht="18" customHeight="1">
      <x:c r="A3" s="24" t="str">
        <x:v>EEZ_930</x:v>
      </x:c>
      <x:c r="B3" s="24" t="str">
        <x:v>species_catch_tonnes</x:v>
      </x:c>
      <x:c r="C3" s="24" t="n">
        <x:v>53716.993195901494</x:v>
      </x:c>
      <x:c r="D3" s="24" t="str">
        <x:v>tonnes</x:v>
      </x:c>
    </x:row>
    <x:row r="4" ht="18" customHeight="1">
      <x:c r="A4" s="24" t="str">
        <x:v>EEZ_930</x:v>
      </x:c>
      <x:c r="B4" s="24" t="str">
        <x:v>catch_difference_tonnes</x:v>
      </x:c>
      <x:c r="C4" s="24" t="n">
        <x:v>-7.275957614183426e-12</x:v>
      </x:c>
      <x:c r="D4" s="24" t="str">
        <x:v>tonnes</x:v>
      </x:c>
    </x:row>
    <x:row r="5" ht="18" customHeight="1">
      <x:c r="A5" s="24" t="str">
        <x:v>EEZ_930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EEZ_930</x:v>
      </x:c>
      <x:c r="B6" s="24" t="str">
        <x:v>matched_catch_tonnes</x:v>
      </x:c>
      <x:c r="C6" s="24" t="n">
        <x:v>53716.993195901494</x:v>
      </x:c>
      <x:c r="D6" s="24" t="str">
        <x:v>tonnes</x:v>
      </x:c>
    </x:row>
    <x:row r="7" ht="18" customHeight="1">
      <x:c r="A7" s="24" t="str">
        <x:v>EEZ_930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EEZ_930</x:v>
      </x:c>
      <x:c r="B8" s="24" t="str">
        <x:v>taxa_count</x:v>
      </x:c>
      <x:c r="C8" s="24" t="n">
        <x:v>63</x:v>
      </x:c>
      <x:c r="D8" s="24" t="str">
        <x:v>count</x:v>
      </x:c>
    </x:row>
    <x:row r="9" ht="18" customHeight="1">
      <x:c r="A9" s="24" t="str">
        <x:v>EEZ_930</x:v>
      </x:c>
      <x:c r="B9" s="24" t="str">
        <x:v>matched_taxa_count</x:v>
      </x:c>
      <x:c r="C9" s="24" t="n">
        <x:v>63</x:v>
      </x:c>
      <x:c r="D9" s="24" t="str">
        <x:v>count</x:v>
      </x:c>
    </x:row>
    <x:row r="10" ht="18" customHeight="1">
      <x:c r="A10" s="24" t="str">
        <x:v>EEZ_930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EEZ_930</x:v>
      </x:c>
      <x:c r="B11" s="24" t="str">
        <x:v>species_ppr</x:v>
      </x:c>
      <x:c r="C11" s="24" t="n">
        <x:v>80279567.24893846</x:v>
      </x:c>
      <x:c r="D11" s="24" t="str">
        <x:v>tonnes_primary_production_equivalent</x:v>
      </x:c>
    </x:row>
    <x:row r="12" ht="18" customHeight="1">
      <x:c r="A12" s="24" t="str">
        <x:v>EEZ_930</x:v>
      </x:c>
      <x:c r="B12" s="24" t="str">
        <x:v>commercial_ppr</x:v>
      </x:c>
      <x:c r="C12" s="24" t="n">
        <x:v>74719678.55634749</x:v>
      </x:c>
      <x:c r="D12" s="24" t="str">
        <x:v>tonnes_primary_production_equivalent</x:v>
      </x:c>
    </x:row>
    <x:row r="13" ht="18" customHeight="1">
      <x:c r="A13" s="24" t="str">
        <x:v>EEZ_930</x:v>
      </x:c>
      <x:c r="B13" s="24" t="str">
        <x:v>functional_ppr</x:v>
      </x:c>
      <x:c r="C13" s="24" t="n">
        <x:v>75119400.23806289</x:v>
      </x:c>
      <x:c r="D13" s="24" t="str">
        <x:v>tonnes_primary_production_equivalent</x:v>
      </x:c>
    </x:row>
    <x:row r="14" ht="18" customHeight="1">
      <x:c r="A14" s="24" t="str">
        <x:v>EEZ_930</x:v>
      </x:c>
      <x:c r="B14" s="24" t="str">
        <x:v>commercial_ppr_difference</x:v>
      </x:c>
      <x:c r="C14" s="24" t="n">
        <x:v>-5559888.692590967</x:v>
      </x:c>
      <x:c r="D14" s="24" t="str">
        <x:v>tonnes_primary_production_equivalent</x:v>
      </x:c>
    </x:row>
    <x:row r="15" ht="18" customHeight="1">
      <x:c r="A15" s="24" t="str">
        <x:v>EEZ_930</x:v>
      </x:c>
      <x:c r="B15" s="24" t="str">
        <x:v>functional_ppr_difference</x:v>
      </x:c>
      <x:c r="C15" s="24" t="n">
        <x:v>-5160167.010875568</x:v>
      </x:c>
      <x:c r="D15" s="24" t="str">
        <x:v>tonnes_primary_production_equivalent</x:v>
      </x:c>
    </x:row>
    <x:row r="16" ht="18" customHeight="1">
      <x:c r="A16" s="24" t="str">
        <x:v>EEZ_930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EEZ_930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8b0bc2da463c4fb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EEZ_930 - Costa Rica (Pacific)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EEZ_930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raw_data/SAU_downloads/EEZ_930-catch.zip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