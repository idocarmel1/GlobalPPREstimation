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a8063f183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eed3c1b4fda4c93"/>
    <x:sheet xmlns:r="http://schemas.openxmlformats.org/officeDocument/2006/relationships" name="Commercial" sheetId="2" r:id="Rf82f27ec2cf646a1"/>
    <x:sheet xmlns:r="http://schemas.openxmlformats.org/officeDocument/2006/relationships" name="Functional" sheetId="3" r:id="R73cd19e89a204782"/>
    <x:sheet xmlns:r="http://schemas.openxmlformats.org/officeDocument/2006/relationships" name="Missing TL" sheetId="4" r:id="Rd307e6f1474243dd"/>
    <x:sheet xmlns:r="http://schemas.openxmlformats.org/officeDocument/2006/relationships" name="Validation" sheetId="5" r:id="R4b0d3e8e2fa74f8c"/>
    <x:sheet xmlns:r="http://schemas.openxmlformats.org/officeDocument/2006/relationships" name="Metadata" sheetId="6" r:id="R5f71cf99e8af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1ed8fae0042c1" /><Relationship Type="http://schemas.openxmlformats.org/officeDocument/2006/relationships/theme" Target="/xl/theme/theme1.xml" Id="Ra446ecf8ce4d493f" /><Relationship Type="http://schemas.microsoft.com/office/2022/11/relationships/FeaturePropertyBag" Target="/xl/featurePropertyBag/featurePropertyBag.xml" Id="R576d62c799504688" /><Relationship Type="http://schemas.openxmlformats.org/officeDocument/2006/relationships/sharedStrings" Target="/xl/sharedStrings.xml" Id="Reecd6287c3af4e10" /><Relationship Type="http://schemas.openxmlformats.org/officeDocument/2006/relationships/worksheet" Target="/xl/worksheets/sheet1.xml" Id="R6eed3c1b4fda4c93" /><Relationship Type="http://schemas.openxmlformats.org/officeDocument/2006/relationships/worksheet" Target="/xl/worksheets/sheet2.xml" Id="Rf82f27ec2cf646a1" /><Relationship Type="http://schemas.openxmlformats.org/officeDocument/2006/relationships/worksheet" Target="/xl/worksheets/sheet3.xml" Id="R73cd19e89a204782" /><Relationship Type="http://schemas.openxmlformats.org/officeDocument/2006/relationships/worksheet" Target="/xl/worksheets/sheet4.xml" Id="Rd307e6f1474243dd" /><Relationship Type="http://schemas.openxmlformats.org/officeDocument/2006/relationships/worksheet" Target="/xl/worksheets/sheet5.xml" Id="R4b0d3e8e2fa74f8c" /><Relationship Type="http://schemas.openxmlformats.org/officeDocument/2006/relationships/worksheet" Target="/xl/worksheets/sheet6.xml" Id="R5f71cf99e8af44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22SpeciesTable" displayName="EEZ222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22CommercialTable" displayName="EEZ222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22FunctionalTable" displayName="EEZ222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22ValidationTable" displayName="EEZ22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d84993c7fb42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d1918bbe214f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7a38fbd07644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9220f23dde44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EEZ_222</x:v>
      </x:c>
      <x:c r="B2" s="24" t="str">
        <x:v>El Salvador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10123.722818653201</x:v>
      </x:c>
      <x:c r="J2" s="31" t="n">
        <x:v>9233.9358016934</x:v>
      </x:c>
      <x:c r="K2" s="31" t="n">
        <x:v>889.7870169598</x:v>
      </x:c>
      <x:c r="L2" s="31" t="n">
        <x:v>7971.2555927562</x:v>
      </x:c>
      <x:c r="M2" s="31" t="n">
        <x:v>2152.467225897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1929035.615049183</x:v>
      </x:c>
    </x:row>
    <x:row r="3" ht="18" customHeight="1">
      <x:c r="A3" s="24" t="str">
        <x:v>EEZ_222</x:v>
      </x:c>
      <x:c r="B3" s="24" t="str">
        <x:v>El Salvador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1637.2987814509002</x:v>
      </x:c>
      <x:c r="J3" s="31" t="n">
        <x:v>1622.7883336653001</x:v>
      </x:c>
      <x:c r="K3" s="31" t="n">
        <x:v>14.5104477856</x:v>
      </x:c>
      <x:c r="L3" s="31" t="n">
        <x:v>1622.7883336653001</x:v>
      </x:c>
      <x:c r="M3" s="31" t="n">
        <x:v>14.5104477856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4208505.882973995</x:v>
      </x:c>
    </x:row>
    <x:row r="4" ht="18" customHeight="1">
      <x:c r="A4" s="24" t="str">
        <x:v>EEZ_222</x:v>
      </x:c>
      <x:c r="B4" s="24" t="str">
        <x:v>El Salvador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1074.7767364175</x:v>
      </x:c>
      <x:c r="J4" s="31" t="n">
        <x:v>1074.7657710605</x:v>
      </x:c>
      <x:c r="K4" s="31" t="n">
        <x:v>0.010965357</x:v>
      </x:c>
      <x:c r="L4" s="31" t="n">
        <x:v>784.9940250942001</x:v>
      </x:c>
      <x:c r="M4" s="31" t="n">
        <x:v>289.7827113233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1205919.3325148716</x:v>
      </x:c>
    </x:row>
    <x:row r="5" ht="18" customHeight="1">
      <x:c r="A5" s="24" t="str">
        <x:v>EEZ_222</x:v>
      </x:c>
      <x:c r="B5" s="24" t="str">
        <x:v>El Salvador</x:v>
      </x:c>
      <x:c r="C5" s="24" t="str">
        <x:v>EEZ</x:v>
      </x:c>
      <x:c r="D5" s="30" t="n">
        <x:v>2019</x:v>
      </x:c>
      <x:c r="E5" s="24" t="str">
        <x:v>Squilla biformis</x:v>
      </x:c>
      <x:c r="F5" s="24" t="str">
        <x:v>Squilla biformis</x:v>
      </x:c>
      <x:c r="G5" s="24" t="str">
        <x:v>Shrimps</x:v>
      </x:c>
      <x:c r="H5" s="24" t="str">
        <x:v>Crustaceans</x:v>
      </x:c>
      <x:c r="I5" s="31" t="n">
        <x:v>809.0491417401</x:v>
      </x:c>
      <x:c r="J5" s="31" t="n">
        <x:v>67.3903213401</x:v>
      </x:c>
      <x:c r="K5" s="31" t="n">
        <x:v>741.6588204</x:v>
      </x:c>
      <x:c r="L5" s="31" t="n">
        <x:v>0</x:v>
      </x:c>
      <x:c r="M5" s="31" t="n">
        <x:v>809.0491417401</x:v>
      </x:c>
      <x:c r="N5" s="24" t="str">
        <x:v>squilla biformis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Squilla biformis</x:v>
      </x:c>
      <x:c r="T5" s="32" t="n">
        <x:f>IF(O5="","",(1/'Metadata'!$B$5)^(O5-1))</x:f>
        <x:v>39.810717055349734</x:v>
      </x:c>
      <x:c r="U5" s="31" t="n">
        <x:f>IF(T5="","",I5*T5)</x:f>
        <x:v>32208.826465688664</x:v>
      </x:c>
    </x:row>
    <x:row r="6" ht="18" customHeight="1">
      <x:c r="A6" s="24" t="str">
        <x:v>EEZ_222</x:v>
      </x:c>
      <x:c r="B6" s="24" t="str">
        <x:v>El Salvador</x:v>
      </x:c>
      <x:c r="C6" s="24" t="str">
        <x:v>EEZ</x:v>
      </x:c>
      <x:c r="D6" s="30" t="n">
        <x:v>2019</x:v>
      </x:c>
      <x:c r="E6" s="24" t="str">
        <x:v>Carcharhinus falciformis</x:v>
      </x:c>
      <x:c r="F6" s="24" t="str">
        <x:v>Silky shark</x:v>
      </x:c>
      <x:c r="G6" s="24" t="str">
        <x:v>Large sharks (&gt;=90 cm)</x:v>
      </x:c>
      <x:c r="H6" s="24" t="str">
        <x:v>Sharks &amp; rays</x:v>
      </x:c>
      <x:c r="I6" s="31" t="n">
        <x:v>739.3208187703</x:v>
      </x:c>
      <x:c r="J6" s="31" t="n">
        <x:v>739.3064082052999</x:v>
      </x:c>
      <x:c r="K6" s="31" t="n">
        <x:v>0.014410565</x:v>
      </x:c>
      <x:c r="L6" s="31" t="n">
        <x:v>158.1092652051</x:v>
      </x:c>
      <x:c r="M6" s="31" t="n">
        <x:v>581.2115535652</x:v>
      </x:c>
      <x:c r="N6" s="24" t="str">
        <x:v>carcharhinus falciformis</x:v>
      </x:c>
      <x:c r="O6" s="32" t="n">
        <x:v>4.51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Carcharhinus falciformis</x:v>
      </x:c>
      <x:c r="T6" s="32" t="n">
        <x:f>IF(O6="","",(1/'Metadata'!$B$5)^(O6-1))</x:f>
        <x:v>3235.936569296281</x:v>
      </x:c>
      <x:c r="U6" s="31" t="n">
        <x:f>IF(T6="","",I6*T6)</x:f>
        <x:v>2392395.273900882</x:v>
      </x:c>
    </x:row>
    <x:row r="7" ht="18" customHeight="1">
      <x:c r="A7" s="24" t="str">
        <x:v>EEZ_222</x:v>
      </x:c>
      <x:c r="B7" s="24" t="str">
        <x:v>El Salvador</x:v>
      </x:c>
      <x:c r="C7" s="24" t="str">
        <x:v>EEZ</x:v>
      </x:c>
      <x:c r="D7" s="30" t="n">
        <x:v>2019</x:v>
      </x:c>
      <x:c r="E7" s="24" t="str">
        <x:v>Plesionika trispinus</x:v>
      </x:c>
      <x:c r="F7" s="24" t="str">
        <x:v>Pacific deepwater shrimp</x:v>
      </x:c>
      <x:c r="G7" s="24" t="str">
        <x:v>Shrimps</x:v>
      </x:c>
      <x:c r="H7" s="24" t="str">
        <x:v>Crustaceans</x:v>
      </x:c>
      <x:c r="I7" s="31" t="n">
        <x:v>593.9545058899</x:v>
      </x:c>
      <x:c r="J7" s="31" t="n">
        <x:v>49.4738612899</x:v>
      </x:c>
      <x:c r="K7" s="31" t="n">
        <x:v>544.4806446</x:v>
      </x:c>
      <x:c r="L7" s="31" t="n">
        <x:v>0</x:v>
      </x:c>
      <x:c r="M7" s="31" t="n">
        <x:v>593.9545058899</x:v>
      </x:c>
      <x:c r="N7" s="24" t="str">
        <x:v>plesionika trispinus</x:v>
      </x:c>
      <x:c r="O7" s="32" t="n">
        <x:v>2.65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Plesionika trispinus</x:v>
      </x:c>
      <x:c r="T7" s="32" t="n">
        <x:f>IF(O7="","",(1/'Metadata'!$B$5)^(O7-1))</x:f>
        <x:v>44.6683592150963</x:v>
      </x:c>
      <x:c r="U7" s="31" t="n">
        <x:f>IF(T7="","",I7*T7)</x:f>
        <x:v>26530.973226515085</x:v>
      </x:c>
    </x:row>
    <x:row r="8" ht="18" customHeight="1">
      <x:c r="A8" s="24" t="str">
        <x:v>EEZ_222</x:v>
      </x:c>
      <x:c r="B8" s="24" t="str">
        <x:v>El Salvador</x:v>
      </x:c>
      <x:c r="C8" s="24" t="str">
        <x:v>EEZ</x:v>
      </x:c>
      <x:c r="D8" s="30" t="n">
        <x:v>2019</x:v>
      </x:c>
      <x:c r="E8" s="24" t="str">
        <x:v>Miscellaneous marine crustaceans</x:v>
      </x:c>
      <x:c r="F8" s="24" t="str">
        <x:v>Marine crabs, shrimps, lobsters nei</x:v>
      </x:c>
      <x:c r="G8" s="24" t="str">
        <x:v>Shrimps</x:v>
      </x:c>
      <x:c r="H8" s="24" t="str">
        <x:v>Crustaceans</x:v>
      </x:c>
      <x:c r="I8" s="31" t="n">
        <x:v>424.8069500341</x:v>
      </x:c>
      <x:c r="J8" s="31" t="n">
        <x:v>328.45852321409996</x:v>
      </x:c>
      <x:c r="K8" s="31" t="n">
        <x:v>96.34842682</x:v>
      </x:c>
      <x:c r="L8" s="31" t="n">
        <x:v>29.9277660399</x:v>
      </x:c>
      <x:c r="M8" s="31" t="n">
        <x:v>394.8791839942</x:v>
      </x:c>
      <x:c r="N8" s="24" t="str">
        <x:v>miscellaneous marine crustaceans</x:v>
      </x:c>
      <x:c r="O8" s="32" t="n">
        <x:v>2.7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Miscellaneous marine crustaceans</x:v>
      </x:c>
      <x:c r="T8" s="32" t="n">
        <x:f>IF(O8="","",(1/'Metadata'!$B$5)^(O8-1))</x:f>
        <x:v>50.11872336272725</x:v>
      </x:c>
      <x:c r="U8" s="31" t="n">
        <x:f>IF(T8="","",I8*T8)</x:f>
        <x:v>21290.782011322957</x:v>
      </x:c>
    </x:row>
    <x:row r="9" ht="18" customHeight="1">
      <x:c r="A9" s="24" t="str">
        <x:v>EEZ_222</x:v>
      </x:c>
      <x:c r="B9" s="24" t="str">
        <x:v>El Salvador</x:v>
      </x:c>
      <x:c r="C9" s="24" t="str">
        <x:v>EEZ</x:v>
      </x:c>
      <x:c r="D9" s="30" t="n">
        <x:v>2019</x:v>
      </x:c>
      <x:c r="E9" s="24" t="str">
        <x:v>Synodus scituliceps</x:v>
      </x:c>
      <x:c r="F9" s="24" t="str">
        <x:v>Shorthead lizardfish</x:v>
      </x:c>
      <x:c r="G9" s="24" t="str">
        <x:v>Medium demersals (30 - 89 cm)</x:v>
      </x:c>
      <x:c r="H9" s="24" t="str">
        <x:v>Other fishes &amp; inverts</x:v>
      </x:c>
      <x:c r="I9" s="31" t="n">
        <x:v>377.21166208999995</x:v>
      </x:c>
      <x:c r="J9" s="31" t="n">
        <x:v>31.42011259</x:v>
      </x:c>
      <x:c r="K9" s="31" t="n">
        <x:v>345.7915495</x:v>
      </x:c>
      <x:c r="L9" s="31" t="n">
        <x:v>0</x:v>
      </x:c>
      <x:c r="M9" s="31" t="n">
        <x:v>377.21166208999995</x:v>
      </x:c>
      <x:c r="N9" s="24" t="str">
        <x:v>synodus scituliceps</x:v>
      </x:c>
      <x:c r="O9" s="32" t="n">
        <x:v>4.2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Synodus scituliceps</x:v>
      </x:c>
      <x:c r="T9" s="32" t="n">
        <x:f>IF(O9="","",(1/'Metadata'!$B$5)^(O9-1))</x:f>
        <x:v>1584.893192461114</x:v>
      </x:c>
      <x:c r="U9" s="31" t="n">
        <x:f>IF(T9="","",I9*T9)</x:f>
        <x:v>597840.195363383</x:v>
      </x:c>
    </x:row>
    <x:row r="10" ht="18" customHeight="1">
      <x:c r="A10" s="24" t="str">
        <x:v>EEZ_222</x:v>
      </x:c>
      <x:c r="B10" s="24" t="str">
        <x:v>El Salvador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289.7717459663</x:v>
      </x:c>
      <x:c r="J10" s="31" t="n">
        <x:v>289.7717459663</x:v>
      </x:c>
      <x:c r="K10" s="31" t="n">
        <x:v>0</x:v>
      </x:c>
      <x:c r="L10" s="31" t="n">
        <x:v>0</x:v>
      </x:c>
      <x:c r="M10" s="31" t="n">
        <x:v>289.7717459663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66382.87195202369</x:v>
      </x:c>
    </x:row>
    <x:row r="11" ht="18" customHeight="1">
      <x:c r="A11" s="24" t="str">
        <x:v>EEZ_222</x:v>
      </x:c>
      <x:c r="B11" s="24" t="str">
        <x:v>El Salvador</x:v>
      </x:c>
      <x:c r="C11" s="24" t="str">
        <x:v>EEZ</x:v>
      </x:c>
      <x:c r="D11" s="30" t="n">
        <x:v>2019</x:v>
      </x:c>
      <x:c r="E11" s="24" t="str">
        <x:v>Gerreidae</x:v>
      </x:c>
      <x:c r="F11" s="24" t="str">
        <x:v>Mojarras, silverbellies</x:v>
      </x:c>
      <x:c r="G11" s="24" t="str">
        <x:v>Small benthopelagics (&lt;30 cm)</x:v>
      </x:c>
      <x:c r="H11" s="24" t="str">
        <x:v>Perch-likes</x:v>
      </x:c>
      <x:c r="I11" s="31" t="n">
        <x:v>289.7717459663</x:v>
      </x:c>
      <x:c r="J11" s="31" t="n">
        <x:v>289.7717459663</x:v>
      </x:c>
      <x:c r="K11" s="31" t="n">
        <x:v>0</x:v>
      </x:c>
      <x:c r="L11" s="31" t="n">
        <x:v>0</x:v>
      </x:c>
      <x:c r="M11" s="31" t="n">
        <x:v>289.7717459663</x:v>
      </x:c>
      <x:c r="N11" s="24" t="str">
        <x:v>gerreidae</x:v>
      </x:c>
      <x:c r="O11" s="32" t="n">
        <x:v>3.03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Gerreidae</x:v>
      </x:c>
      <x:c r="T11" s="32" t="n">
        <x:f>IF(O11="","",(1/'Metadata'!$B$5)^(O11-1))</x:f>
        <x:v>107.1519305237606</x:v>
      </x:c>
      <x:c r="U11" s="31" t="n">
        <x:f>IF(T11="","",I11*T11)</x:f>
        <x:v>31049.60199152978</x:v>
      </x:c>
    </x:row>
    <x:row r="12" ht="18" customHeight="1">
      <x:c r="A12" s="24" t="str">
        <x:v>EEZ_222</x:v>
      </x:c>
      <x:c r="B12" s="24" t="str">
        <x:v>El Salvador</x:v>
      </x:c>
      <x:c r="C12" s="24" t="str">
        <x:v>EEZ</x:v>
      </x:c>
      <x:c r="D12" s="30" t="n">
        <x:v>2019</x:v>
      </x:c>
      <x:c r="E12" s="24" t="str">
        <x:v>Cynoglossidae</x:v>
      </x:c>
      <x:c r="F12" s="24" t="str">
        <x:v>Tonguefishes</x:v>
      </x:c>
      <x:c r="G12" s="24" t="str">
        <x:v>Small to medium flatfishes (&lt;90 cm)</x:v>
      </x:c>
      <x:c r="H12" s="24" t="str">
        <x:v>Flatfishes</x:v>
      </x:c>
      <x:c r="I12" s="31" t="n">
        <x:v>289.7717459663</x:v>
      </x:c>
      <x:c r="J12" s="31" t="n">
        <x:v>289.7717459663</x:v>
      </x:c>
      <x:c r="K12" s="31" t="n">
        <x:v>0</x:v>
      </x:c>
      <x:c r="L12" s="31" t="n">
        <x:v>0</x:v>
      </x:c>
      <x:c r="M12" s="31" t="n">
        <x:v>289.7717459663</x:v>
      </x:c>
      <x:c r="N12" s="24" t="str">
        <x:v>cynoglossidae</x:v>
      </x:c>
      <x:c r="O12" s="32" t="n">
        <x:v>3.29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Cynoglossidae</x:v>
      </x:c>
      <x:c r="T12" s="32" t="n">
        <x:f>IF(O12="","",(1/'Metadata'!$B$5)^(O12-1))</x:f>
        <x:v>194.98445997580455</x:v>
      </x:c>
      <x:c r="U12" s="31" t="n">
        <x:f>IF(T12="","",I12*T12)</x:f>
        <x:v>56500.98740348502</x:v>
      </x:c>
    </x:row>
    <x:row r="13" ht="18" customHeight="1">
      <x:c r="A13" s="24" t="str">
        <x:v>EEZ_222</x:v>
      </x:c>
      <x:c r="B13" s="24" t="str">
        <x:v>El Salvador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289.7717459663</x:v>
      </x:c>
      <x:c r="J13" s="31" t="n">
        <x:v>289.7717459663</x:v>
      </x:c>
      <x:c r="K13" s="31" t="n">
        <x:v>0</x:v>
      </x:c>
      <x:c r="L13" s="31" t="n">
        <x:v>0</x:v>
      </x:c>
      <x:c r="M13" s="31" t="n">
        <x:v>289.7717459663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303428.2676198655</x:v>
      </x:c>
    </x:row>
    <x:row r="14" ht="18" customHeight="1">
      <x:c r="A14" s="24" t="str">
        <x:v>EEZ_222</x:v>
      </x:c>
      <x:c r="B14" s="24" t="str">
        <x:v>El Salvador</x:v>
      </x:c>
      <x:c r="C14" s="24" t="str">
        <x:v>EEZ</x:v>
      </x:c>
      <x:c r="D14" s="30" t="n">
        <x:v>2019</x:v>
      </x:c>
      <x:c r="E14" s="24" t="str">
        <x:v>Polynemidae</x:v>
      </x:c>
      <x:c r="F14" s="24" t="str">
        <x:v>Threadfins</x:v>
      </x:c>
      <x:c r="G14" s="24" t="str">
        <x:v>Small demersals (&lt;30 cm)</x:v>
      </x:c>
      <x:c r="H14" s="24" t="str">
        <x:v>Perch-likes</x:v>
      </x:c>
      <x:c r="I14" s="31" t="n">
        <x:v>289.7717459663</x:v>
      </x:c>
      <x:c r="J14" s="31" t="n">
        <x:v>289.7717459663</x:v>
      </x:c>
      <x:c r="K14" s="31" t="n">
        <x:v>0</x:v>
      </x:c>
      <x:c r="L14" s="31" t="n">
        <x:v>0</x:v>
      </x:c>
      <x:c r="M14" s="31" t="n">
        <x:v>289.7717459663</x:v>
      </x:c>
      <x:c r="N14" s="24" t="str">
        <x:v>polynemidae</x:v>
      </x:c>
      <x:c r="O14" s="32" t="n">
        <x:v>3.62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Polynemidae</x:v>
      </x:c>
      <x:c r="T14" s="32" t="n">
        <x:f>IF(O14="","",(1/'Metadata'!$B$5)^(O14-1))</x:f>
        <x:v>416.8693834703355</x:v>
      </x:c>
      <x:c r="U14" s="31" t="n">
        <x:f>IF(T14="","",I14*T14)</x:f>
        <x:v>120796.96908809415</x:v>
      </x:c>
    </x:row>
    <x:row r="15" ht="18" customHeight="1">
      <x:c r="A15" s="24" t="str">
        <x:v>EEZ_222</x:v>
      </x:c>
      <x:c r="B15" s="24" t="str">
        <x:v>El Salvador</x:v>
      </x:c>
      <x:c r="C15" s="24" t="str">
        <x:v>EEZ</x:v>
      </x:c>
      <x:c r="D15" s="30" t="n">
        <x:v>2019</x:v>
      </x:c>
      <x:c r="E15" s="24" t="str">
        <x:v>Serranidae</x:v>
      </x:c>
      <x:c r="F15" s="24" t="str">
        <x:v>Basses, groupers, hinds</x:v>
      </x:c>
      <x:c r="G15" s="24" t="str">
        <x:v>Medium reef assoc. fish (30 - 89 cm)</x:v>
      </x:c>
      <x:c r="H15" s="24" t="str">
        <x:v>Perch-likes</x:v>
      </x:c>
      <x:c r="I15" s="31" t="n">
        <x:v>289.7717459663</x:v>
      </x:c>
      <x:c r="J15" s="31" t="n">
        <x:v>289.7717459663</x:v>
      </x:c>
      <x:c r="K15" s="31" t="n">
        <x:v>0</x:v>
      </x:c>
      <x:c r="L15" s="31" t="n">
        <x:v>0</x:v>
      </x:c>
      <x:c r="M15" s="31" t="n">
        <x:v>289.7717459663</x:v>
      </x:c>
      <x:c r="N15" s="24" t="str">
        <x:v>serranidae</x:v>
      </x:c>
      <x:c r="O15" s="32" t="n">
        <x:v>3.98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Serranidae</x:v>
      </x:c>
      <x:c r="T15" s="32" t="n">
        <x:f>IF(O15="","",(1/'Metadata'!$B$5)^(O15-1))</x:f>
        <x:v>954.992586021436</x:v>
      </x:c>
      <x:c r="U15" s="31" t="n">
        <x:f>IF(T15="","",I15*T15)</x:f>
        <x:v>276729.8690363034</x:v>
      </x:c>
    </x:row>
    <x:row r="16" ht="18" customHeight="1">
      <x:c r="A16" s="24" t="str">
        <x:v>EEZ_222</x:v>
      </x:c>
      <x:c r="B16" s="24" t="str">
        <x:v>El Salvador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289.7717459663</x:v>
      </x:c>
      <x:c r="J16" s="31" t="n">
        <x:v>289.7717459663</x:v>
      </x:c>
      <x:c r="K16" s="31" t="n">
        <x:v>0</x:v>
      </x:c>
      <x:c r="L16" s="31" t="n">
        <x:v>0</x:v>
      </x:c>
      <x:c r="M16" s="31" t="n">
        <x:v>289.7717459663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166746.23534092613</x:v>
      </x:c>
    </x:row>
    <x:row r="17" ht="18" customHeight="1">
      <x:c r="A17" s="24" t="str">
        <x:v>EEZ_222</x:v>
      </x:c>
      <x:c r="B17" s="24" t="str">
        <x:v>El Salvador</x:v>
      </x:c>
      <x:c r="C17" s="24" t="str">
        <x:v>EEZ</x:v>
      </x:c>
      <x:c r="D17" s="30" t="n">
        <x:v>2019</x:v>
      </x:c>
      <x:c r="E17" s="24" t="str">
        <x:v>Penaeus vannamei</x:v>
      </x:c>
      <x:c r="F17" s="24" t="str">
        <x:v>Whiteleg shrimp</x:v>
      </x:c>
      <x:c r="G17" s="24" t="str">
        <x:v>Shrimps</x:v>
      </x:c>
      <x:c r="H17" s="24" t="str">
        <x:v>Crustaceans</x:v>
      </x:c>
      <x:c r="I17" s="31" t="n">
        <x:v>207.08959000000002</x:v>
      </x:c>
      <x:c r="J17" s="31" t="n">
        <x:v>207.08959000000002</x:v>
      </x:c>
      <x:c r="K17" s="31" t="n">
        <x:v>0</x:v>
      </x:c>
      <x:c r="L17" s="31" t="n">
        <x:v>207.08959000000002</x:v>
      </x:c>
      <x:c r="M17" s="31" t="n">
        <x:v>0</x:v>
      </x:c>
      <x:c r="N17" s="24" t="str">
        <x:v>penaeus vannamei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vannamei</x:v>
      </x:c>
      <x:c r="T17" s="32" t="n">
        <x:f>IF(O17="","",(1/'Metadata'!$B$5)^(O17-1))</x:f>
        <x:v>50.11872336272725</x:v>
      </x:c>
      <x:c r="U17" s="31" t="n">
        <x:f>IF(T17="","",I17*T17)</x:f>
        <x:v>10379.06587251061</x:v>
      </x:c>
    </x:row>
    <x:row r="18" ht="18" customHeight="1">
      <x:c r="A18" s="24" t="str">
        <x:v>EEZ_222</x:v>
      </x:c>
      <x:c r="B18" s="24" t="str">
        <x:v>El Salvador</x:v>
      </x:c>
      <x:c r="C18" s="24" t="str">
        <x:v>EEZ</x:v>
      </x:c>
      <x:c r="D18" s="30" t="n">
        <x:v>2019</x:v>
      </x:c>
      <x:c r="E18" s="24" t="str">
        <x:v>Syacium ovale</x:v>
      </x:c>
      <x:c r="F18" s="24" t="str">
        <x:v>Oval flounder</x:v>
      </x:c>
      <x:c r="G18" s="24" t="str">
        <x:v>Small to medium flatfishes (&lt;90 cm)</x:v>
      </x:c>
      <x:c r="H18" s="24" t="str">
        <x:v>Flatfishes</x:v>
      </x:c>
      <x:c r="I18" s="31" t="n">
        <x:v>182.76170672</x:v>
      </x:c>
      <x:c r="J18" s="31" t="n">
        <x:v>15.22326582</x:v>
      </x:c>
      <x:c r="K18" s="31" t="n">
        <x:v>167.5384409</x:v>
      </x:c>
      <x:c r="L18" s="31" t="n">
        <x:v>0</x:v>
      </x:c>
      <x:c r="M18" s="31" t="n">
        <x:v>182.76170672</x:v>
      </x:c>
      <x:c r="N18" s="24" t="str">
        <x:v>syacium ovale</x:v>
      </x:c>
      <x:c r="O18" s="32" t="n">
        <x:v>4.02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Syacium ovale</x:v>
      </x:c>
      <x:c r="T18" s="32" t="n">
        <x:f>IF(O18="","",(1/'Metadata'!$B$5)^(O18-1))</x:f>
        <x:v>1047.1285480508984</x:v>
      </x:c>
      <x:c r="U18" s="31" t="n">
        <x:f>IF(T18="","",I18*T18)</x:f>
        <x:v>191375.00059701773</x:v>
      </x:c>
    </x:row>
    <x:row r="19" ht="18" customHeight="1">
      <x:c r="A19" s="24" t="str">
        <x:v>EEZ_222</x:v>
      </x:c>
      <x:c r="B19" s="24" t="str">
        <x:v>El Salvador</x:v>
      </x:c>
      <x:c r="C19" s="24" t="str">
        <x:v>EEZ</x:v>
      </x:c>
      <x:c r="D19" s="30" t="n">
        <x:v>2019</x:v>
      </x:c>
      <x:c r="E19" s="24" t="str">
        <x:v>Sphyrna lewini</x:v>
      </x:c>
      <x:c r="F19" s="24" t="str">
        <x:v>Scalloped hammerhead</x:v>
      </x:c>
      <x:c r="G19" s="24" t="str">
        <x:v>Large sharks (&gt;=90 cm)</x:v>
      </x:c>
      <x:c r="H19" s="24" t="str">
        <x:v>Sharks &amp; rays</x:v>
      </x:c>
      <x:c r="I19" s="31" t="n">
        <x:v>116.346038437</x:v>
      </x:c>
      <x:c r="J19" s="31" t="n">
        <x:v>116.346038437</x:v>
      </x:c>
      <x:c r="K19" s="31" t="n">
        <x:v>0</x:v>
      </x:c>
      <x:c r="L19" s="31" t="n">
        <x:v>25.015058817</x:v>
      </x:c>
      <x:c r="M19" s="31" t="n">
        <x:v>91.33097962000001</x:v>
      </x:c>
      <x:c r="N19" s="24" t="str">
        <x:v>sphyrna lewini</x:v>
      </x:c>
      <x:c r="O19" s="32" t="n">
        <x:v>4.08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Sphyrna lewini</x:v>
      </x:c>
      <x:c r="T19" s="32" t="n">
        <x:f>IF(O19="","",(1/'Metadata'!$B$5)^(O19-1))</x:f>
        <x:v>1202.2644346174131</x:v>
      </x:c>
      <x:c r="U19" s="31" t="n">
        <x:f>IF(T19="","",I19*T19)</x:f>
        <x:v>139878.7041214356</x:v>
      </x:c>
    </x:row>
    <x:row r="20" ht="18" customHeight="1">
      <x:c r="A20" s="24" t="str">
        <x:v>EEZ_222</x:v>
      </x:c>
      <x:c r="B20" s="24" t="str">
        <x:v>El Salvador</x:v>
      </x:c>
      <x:c r="C20" s="24" t="str">
        <x:v>EEZ</x:v>
      </x:c>
      <x:c r="D20" s="30" t="n">
        <x:v>2019</x:v>
      </x:c>
      <x:c r="E20" s="24" t="str">
        <x:v>Prionotus stephanophrys</x:v>
      </x:c>
      <x:c r="F20" s="24" t="str">
        <x:v>Lumptail searobin</x:v>
      </x:c>
      <x:c r="G20" s="24" t="str">
        <x:v>Medium demersals (30 - 89 cm)</x:v>
      </x:c>
      <x:c r="H20" s="24" t="str">
        <x:v>Scorpionfishes</x:v>
      </x:c>
      <x:c r="I20" s="31" t="n">
        <x:v>104.131670102</x:v>
      </x:c>
      <x:c r="J20" s="31" t="n">
        <x:v>8.673721222</x:v>
      </x:c>
      <x:c r="K20" s="31" t="n">
        <x:v>95.45794888</x:v>
      </x:c>
      <x:c r="L20" s="31" t="n">
        <x:v>0</x:v>
      </x:c>
      <x:c r="M20" s="31" t="n">
        <x:v>104.131670102</x:v>
      </x:c>
      <x:c r="N20" s="24" t="str">
        <x:v>prionotus stephanophrys</x:v>
      </x:c>
      <x:c r="O20" s="32" t="n">
        <x:v>3.5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Prionotus stephanophrys</x:v>
      </x:c>
      <x:c r="T20" s="32" t="n">
        <x:f>IF(O20="","",(1/'Metadata'!$B$5)^(O20-1))</x:f>
        <x:v>316.22776601683796</x:v>
      </x:c>
      <x:c r="U20" s="31" t="n">
        <x:f>IF(T20="","",I20*T20)</x:f>
        <x:v>32929.32540795782</x:v>
      </x:c>
    </x:row>
    <x:row r="21" ht="18" customHeight="1">
      <x:c r="A21" s="24" t="str">
        <x:v>EEZ_222</x:v>
      </x:c>
      <x:c r="B21" s="24" t="str">
        <x:v>El Salvador</x:v>
      </x:c>
      <x:c r="C21" s="24" t="str">
        <x:v>EEZ</x:v>
      </x:c>
      <x:c r="D21" s="30" t="n">
        <x:v>2019</x:v>
      </x:c>
      <x:c r="E21" s="24" t="str">
        <x:v>Diplectrum pacificum</x:v>
      </x:c>
      <x:c r="F21" s="24" t="str">
        <x:v>Inshore sand perch</x:v>
      </x:c>
      <x:c r="G21" s="24" t="str">
        <x:v>Small demersals (&lt;30 cm)</x:v>
      </x:c>
      <x:c r="H21" s="24" t="str">
        <x:v>Perch-likes</x:v>
      </x:c>
      <x:c r="I21" s="31" t="n">
        <x:v>103.0691020429</x:v>
      </x:c>
      <x:c r="J21" s="31" t="n">
        <x:v>8.5852138629</x:v>
      </x:c>
      <x:c r="K21" s="31" t="n">
        <x:v>94.48388818</x:v>
      </x:c>
      <x:c r="L21" s="31" t="n">
        <x:v>0</x:v>
      </x:c>
      <x:c r="M21" s="31" t="n">
        <x:v>103.0691020429</x:v>
      </x:c>
      <x:c r="N21" s="24" t="str">
        <x:v>diplectrum pacificum</x:v>
      </x:c>
      <x:c r="O21" s="32" t="n">
        <x:v>3.99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Diplectrum pacificum</x:v>
      </x:c>
      <x:c r="T21" s="32" t="n">
        <x:f>IF(O21="","",(1/'Metadata'!$B$5)^(O21-1))</x:f>
        <x:v>977.2372209558112</x:v>
      </x:c>
      <x:c r="U21" s="31" t="n">
        <x:f>IF(T21="","",I21*T21)</x:f>
        <x:v>100722.96284681451</x:v>
      </x:c>
    </x:row>
    <x:row r="22" ht="18" customHeight="1">
      <x:c r="A22" s="24" t="str">
        <x:v>EEZ_222</x:v>
      </x:c>
      <x:c r="B22" s="24" t="str">
        <x:v>El Salvador</x:v>
      </x:c>
      <x:c r="C22" s="24" t="str">
        <x:v>EEZ</x:v>
      </x:c>
      <x:c r="D22" s="30" t="n">
        <x:v>2019</x:v>
      </x:c>
      <x:c r="E22" s="24" t="str">
        <x:v>Cyclopsetta querna</x:v>
      </x:c>
      <x:c r="F22" s="24" t="str">
        <x:v>Toothed flounder</x:v>
      </x:c>
      <x:c r="G22" s="24" t="str">
        <x:v>Small to medium flatfishes (&lt;90 cm)</x:v>
      </x:c>
      <x:c r="H22" s="24" t="str">
        <x:v>Flatfishes</x:v>
      </x:c>
      <x:c r="I22" s="31" t="n">
        <x:v>99.881397854</x:v>
      </x:c>
      <x:c r="J22" s="31" t="n">
        <x:v>8.319691784</x:v>
      </x:c>
      <x:c r="K22" s="31" t="n">
        <x:v>91.56170607</x:v>
      </x:c>
      <x:c r="L22" s="31" t="n">
        <x:v>0</x:v>
      </x:c>
      <x:c r="M22" s="31" t="n">
        <x:v>99.881397854</x:v>
      </x:c>
      <x:c r="N22" s="24" t="str">
        <x:v>cyclopsetta querna</x:v>
      </x:c>
      <x:c r="O22" s="32" t="n">
        <x:v>3.97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Cyclopsetta querna</x:v>
      </x:c>
      <x:c r="T22" s="32" t="n">
        <x:f>IF(O22="","",(1/'Metadata'!$B$5)^(O22-1))</x:f>
        <x:v>933.2543007969915</x:v>
      </x:c>
      <x:c r="U22" s="31" t="n">
        <x:f>IF(T22="","",I22*T22)</x:f>
        <x:v>93214.7441168609</x:v>
      </x:c>
    </x:row>
    <x:row r="23" ht="18" customHeight="1">
      <x:c r="A23" s="24" t="str">
        <x:v>EEZ_222</x:v>
      </x:c>
      <x:c r="B23" s="24" t="str">
        <x:v>El Salvador</x:v>
      </x:c>
      <x:c r="C23" s="24" t="str">
        <x:v>EEZ</x:v>
      </x:c>
      <x:c r="D23" s="30" t="n">
        <x:v>2019</x:v>
      </x:c>
      <x:c r="E23" s="24" t="str">
        <x:v>Symphurus atramentatus</x:v>
      </x:c>
      <x:c r="F23" s="24" t="str">
        <x:v>Inkspot tonguefish</x:v>
      </x:c>
      <x:c r="G23" s="24" t="str">
        <x:v>Small to medium flatfishes (&lt;90 cm)</x:v>
      </x:c>
      <x:c r="H23" s="24" t="str">
        <x:v>Flatfishes</x:v>
      </x:c>
      <x:c r="I23" s="31" t="n">
        <x:v>83.4036004371</x:v>
      </x:c>
      <x:c r="J23" s="31" t="n">
        <x:v>1.9471619071</x:v>
      </x:c>
      <x:c r="K23" s="31" t="n">
        <x:v>81.45643853</x:v>
      </x:c>
      <x:c r="L23" s="31" t="n">
        <x:v>0</x:v>
      </x:c>
      <x:c r="M23" s="31" t="n">
        <x:v>83.4036004371</x:v>
      </x:c>
      <x:c r="N23" s="24" t="str">
        <x:v>symphurus atramentatus</x:v>
      </x:c>
      <x:c r="O23" s="32" t="n">
        <x:v>3.5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Symphurus atramentatus</x:v>
      </x:c>
      <x:c r="T23" s="32" t="n">
        <x:f>IF(O23="","",(1/'Metadata'!$B$5)^(O23-1))</x:f>
        <x:v>316.22776601683796</x:v>
      </x:c>
      <x:c r="U23" s="31" t="n">
        <x:f>IF(T23="","",I23*T23)</x:f>
        <x:v>26374.5342439851</x:v>
      </x:c>
    </x:row>
    <x:row r="24" ht="18" customHeight="1">
      <x:c r="A24" s="24" t="str">
        <x:v>EEZ_222</x:v>
      </x:c>
      <x:c r="B24" s="24" t="str">
        <x:v>El Salvador</x:v>
      </x:c>
      <x:c r="C24" s="24" t="str">
        <x:v>EEZ</x:v>
      </x:c>
      <x:c r="D24" s="30" t="n">
        <x:v>2019</x:v>
      </x:c>
      <x:c r="E24" s="24" t="str">
        <x:v>Porichthys margaritatus</x:v>
      </x:c>
      <x:c r="F24" s="24" t="str">
        <x:v>Daisy midshipman</x:v>
      </x:c>
      <x:c r="G24" s="24" t="str">
        <x:v>Small demersals (&lt;30 cm)</x:v>
      </x:c>
      <x:c r="H24" s="24" t="str">
        <x:v>Other fishes &amp; inverts</x:v>
      </x:c>
      <x:c r="I24" s="31" t="n">
        <x:v>68.004355982</x:v>
      </x:c>
      <x:c r="J24" s="31" t="n">
        <x:v>5.664471002</x:v>
      </x:c>
      <x:c r="K24" s="31" t="n">
        <x:v>62.33988498</x:v>
      </x:c>
      <x:c r="L24" s="31" t="n">
        <x:v>0</x:v>
      </x:c>
      <x:c r="M24" s="31" t="n">
        <x:v>68.004355982</x:v>
      </x:c>
      <x:c r="N24" s="24" t="str">
        <x:v>porichthys margaritatus</x:v>
      </x:c>
      <x:c r="O24" s="32" t="n">
        <x:v>3.9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Porichthys margaritatus</x:v>
      </x:c>
      <x:c r="T24" s="32" t="n">
        <x:f>IF(O24="","",(1/'Metadata'!$B$5)^(O24-1))</x:f>
        <x:v>794.3282347242813</x:v>
      </x:c>
      <x:c r="U24" s="31" t="n">
        <x:f>IF(T24="","",I24*T24)</x:f>
        <x:v>54017.78004074368</x:v>
      </x:c>
    </x:row>
    <x:row r="25" ht="18" customHeight="1">
      <x:c r="A25" s="24" t="str">
        <x:v>EEZ_222</x:v>
      </x:c>
      <x:c r="B25" s="24" t="str">
        <x:v>El Salvador</x:v>
      </x:c>
      <x:c r="C25" s="24" t="str">
        <x:v>EEZ</x:v>
      </x:c>
      <x:c r="D25" s="30" t="n">
        <x:v>2019</x:v>
      </x:c>
      <x:c r="E25" s="24" t="str">
        <x:v>Carcharhinidae</x:v>
      </x:c>
      <x:c r="F25" s="24" t="str">
        <x:v>Requiem sharks</x:v>
      </x:c>
      <x:c r="G25" s="24" t="str">
        <x:v>Large sharks (&gt;=90 cm)</x:v>
      </x:c>
      <x:c r="H25" s="24" t="str">
        <x:v>Sharks &amp; rays</x:v>
      </x:c>
      <x:c r="I25" s="31" t="n">
        <x:v>64.5572104801</x:v>
      </x:c>
      <x:c r="J25" s="31" t="n">
        <x:v>64.5572104801</x:v>
      </x:c>
      <x:c r="K25" s="31" t="n">
        <x:v>0</x:v>
      </x:c>
      <x:c r="L25" s="31" t="n">
        <x:v>14.7403125111</x:v>
      </x:c>
      <x:c r="M25" s="31" t="n">
        <x:v>49.816897968999996</x:v>
      </x:c>
      <x:c r="N25" s="24" t="str">
        <x:v>carcharhinidae</x:v>
      </x:c>
      <x:c r="O25" s="32" t="n">
        <x:v>4.24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Carcharhinidae</x:v>
      </x:c>
      <x:c r="T25" s="32" t="n">
        <x:f>IF(O25="","",(1/'Metadata'!$B$5)^(O25-1))</x:f>
        <x:v>1737.8008287493763</x:v>
      </x:c>
      <x:c r="U25" s="31" t="n">
        <x:f>IF(T25="","",I25*T25)</x:f>
        <x:v>112187.5738740657</x:v>
      </x:c>
    </x:row>
    <x:row r="26" ht="18" customHeight="1">
      <x:c r="A26" s="24" t="str">
        <x:v>EEZ_222</x:v>
      </x:c>
      <x:c r="B26" s="24" t="str">
        <x:v>El Salvador</x:v>
      </x:c>
      <x:c r="C26" s="24" t="str">
        <x:v>EEZ</x:v>
      </x:c>
      <x:c r="D26" s="30" t="n">
        <x:v>2019</x:v>
      </x:c>
      <x:c r="E26" s="24" t="str">
        <x:v>Carcharhinus limbatus</x:v>
      </x:c>
      <x:c r="F26" s="24" t="str">
        <x:v>Blacktip shark</x:v>
      </x:c>
      <x:c r="G26" s="24" t="str">
        <x:v>Large sharks (&gt;=90 cm)</x:v>
      </x:c>
      <x:c r="H26" s="24" t="str">
        <x:v>Sharks &amp; rays</x:v>
      </x:c>
      <x:c r="I26" s="31" t="n">
        <x:v>52.9941364149</x:v>
      </x:c>
      <x:c r="J26" s="31" t="n">
        <x:v>52.9941364149</x:v>
      </x:c>
      <x:c r="K26" s="31" t="n">
        <x:v>0</x:v>
      </x:c>
      <x:c r="L26" s="31" t="n">
        <x:v>11.480054775</x:v>
      </x:c>
      <x:c r="M26" s="31" t="n">
        <x:v>41.5140816399</x:v>
      </x:c>
      <x:c r="N26" s="24" t="str">
        <x:v>carcharhinus limbatus</x:v>
      </x:c>
      <x:c r="O26" s="32" t="n">
        <x:v>4.37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limbatus</x:v>
      </x:c>
      <x:c r="T26" s="32" t="n">
        <x:f>IF(O26="","",(1/'Metadata'!$B$5)^(O26-1))</x:f>
        <x:v>2344.228815319923</x:v>
      </x:c>
      <x:c r="U26" s="31" t="n">
        <x:f>IF(T26="","",I26*T26)</x:f>
        <x:v>124230.38162680341</x:v>
      </x:c>
    </x:row>
    <x:row r="27" ht="18" customHeight="1">
      <x:c r="A27" s="24" t="str">
        <x:v>EEZ_222</x:v>
      </x:c>
      <x:c r="B27" s="24" t="str">
        <x:v>El Salvador</x:v>
      </x:c>
      <x:c r="C27" s="24" t="str">
        <x:v>EEZ</x:v>
      </x:c>
      <x:c r="D27" s="30" t="n">
        <x:v>2019</x:v>
      </x:c>
      <x:c r="E27" s="24" t="str">
        <x:v>Ginglymostoma cirratum</x:v>
      </x:c>
      <x:c r="F27" s="24" t="str">
        <x:v>Nurse shark</x:v>
      </x:c>
      <x:c r="G27" s="24" t="str">
        <x:v>Large sharks (&gt;=90 cm)</x:v>
      </x:c>
      <x:c r="H27" s="24" t="str">
        <x:v>Sharks &amp; rays</x:v>
      </x:c>
      <x:c r="I27" s="31" t="n">
        <x:v>24.6205825461</x:v>
      </x:c>
      <x:c r="J27" s="31" t="n">
        <x:v>24.6205825461</x:v>
      </x:c>
      <x:c r="K27" s="31" t="n">
        <x:v>0</x:v>
      </x:c>
      <x:c r="L27" s="31" t="n">
        <x:v>16.317766217</x:v>
      </x:c>
      <x:c r="M27" s="31" t="n">
        <x:v>8.3028163291</x:v>
      </x:c>
      <x:c r="N27" s="24" t="str">
        <x:v>ginglymostoma cirratum</x:v>
      </x:c>
      <x:c r="O27" s="32" t="n">
        <x:v>4.15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Ginglymostoma cirratum</x:v>
      </x:c>
      <x:c r="T27" s="32" t="n">
        <x:f>IF(O27="","",(1/'Metadata'!$B$5)^(O27-1))</x:f>
        <x:v>1412.5375446227554</x:v>
      </x:c>
      <x:c r="U27" s="31" t="n">
        <x:f>IF(T27="","",I27*T27)</x:f>
        <x:v>34777.49721684996</x:v>
      </x:c>
    </x:row>
    <x:row r="28" ht="18" customHeight="1">
      <x:c r="A28" s="24" t="str">
        <x:v>EEZ_222</x:v>
      </x:c>
      <x:c r="B28" s="24" t="str">
        <x:v>El Salvador</x:v>
      </x:c>
      <x:c r="C28" s="24" t="str">
        <x:v>EEZ</x:v>
      </x:c>
      <x:c r="D28" s="30" t="n">
        <x:v>2019</x:v>
      </x:c>
      <x:c r="E28" s="24" t="str">
        <x:v>Brotula</x:v>
      </x:c>
      <x:c r="F28" s="24" t="str">
        <x:v>Brotulas</x:v>
      </x:c>
      <x:c r="G28" s="24" t="str">
        <x:v>Large benthopelagics (&gt;=90 cm)</x:v>
      </x:c>
      <x:c r="H28" s="24" t="str">
        <x:v>Other fishes &amp; inverts</x:v>
      </x:c>
      <x:c r="I28" s="31" t="n">
        <x:v>19.1262251189</x:v>
      </x:c>
      <x:c r="J28" s="31" t="n">
        <x:v>1.5931324689</x:v>
      </x:c>
      <x:c r="K28" s="31" t="n">
        <x:v>17.53309265</x:v>
      </x:c>
      <x:c r="L28" s="31" t="n">
        <x:v>0</x:v>
      </x:c>
      <x:c r="M28" s="31" t="n">
        <x:v>19.1262251189</x:v>
      </x:c>
      <x:c r="N28" s="24" t="str">
        <x:v>brotula</x:v>
      </x:c>
      <x:c r="O28" s="32" t="n">
        <x:v>3.2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Brotula</x:v>
      </x:c>
      <x:c r="T28" s="32" t="n">
        <x:f>IF(O28="","",(1/'Metadata'!$B$5)^(O28-1))</x:f>
        <x:v>158.48931924611142</x:v>
      </x:c>
      <x:c r="U28" s="31" t="n">
        <x:f>IF(T28="","",I28*T28)</x:f>
        <x:v>3031.3023988423374</x:v>
      </x:c>
    </x:row>
    <x:row r="29" ht="18" customHeight="1">
      <x:c r="A29" s="24" t="str">
        <x:v>EEZ_222</x:v>
      </x:c>
      <x:c r="B29" s="24" t="str">
        <x:v>El Salvador</x:v>
      </x:c>
      <x:c r="C29" s="24" t="str">
        <x:v>EEZ</x:v>
      </x:c>
      <x:c r="D29" s="30" t="n">
        <x:v>2019</x:v>
      </x:c>
      <x:c r="E29" s="24" t="str">
        <x:v>Peprilus snyderi</x:v>
      </x:c>
      <x:c r="F29" s="24" t="str">
        <x:v>Salema butterfish</x:v>
      </x:c>
      <x:c r="G29" s="24" t="str">
        <x:v>Medium benthopelagics (30 - 89 cm)</x:v>
      </x:c>
      <x:c r="H29" s="24" t="str">
        <x:v>Perch-likes</x:v>
      </x:c>
      <x:c r="I29" s="31" t="n">
        <x:v>17.001089001</x:v>
      </x:c>
      <x:c r="J29" s="31" t="n">
        <x:v>1.416117751</x:v>
      </x:c>
      <x:c r="K29" s="31" t="n">
        <x:v>15.58497125</x:v>
      </x:c>
      <x:c r="L29" s="31" t="n">
        <x:v>0</x:v>
      </x:c>
      <x:c r="M29" s="31" t="n">
        <x:v>17.001089001</x:v>
      </x:c>
      <x:c r="N29" s="24" t="str">
        <x:v>peprilus snyderi</x:v>
      </x:c>
      <x:c r="O29" s="32" t="n">
        <x:v>4.1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Peprilus snyderi</x:v>
      </x:c>
      <x:c r="T29" s="32" t="n">
        <x:f>IF(O29="","",(1/'Metadata'!$B$5)^(O29-1))</x:f>
        <x:v>1258.9254117941662</x:v>
      </x:c>
      <x:c r="U29" s="31" t="n">
        <x:f>IF(T29="","",I29*T29)</x:f>
        <x:v>21403.102971533193</x:v>
      </x:c>
    </x:row>
    <x:row r="30" ht="18" customHeight="1">
      <x:c r="A30" s="24" t="str">
        <x:v>EEZ_222</x:v>
      </x:c>
      <x:c r="B30" s="24" t="str">
        <x:v>El Salvador</x:v>
      </x:c>
      <x:c r="C30" s="24" t="str">
        <x:v>EEZ</x:v>
      </x:c>
      <x:c r="D30" s="30" t="n">
        <x:v>2019</x:v>
      </x:c>
      <x:c r="E30" s="24" t="str">
        <x:v>Scorpaena russula</x:v>
      </x:c>
      <x:c r="F30" s="24" t="str">
        <x:v>Reddish scorpionfish</x:v>
      </x:c>
      <x:c r="G30" s="24" t="str">
        <x:v>Small demersals (&lt;30 cm)</x:v>
      </x:c>
      <x:c r="H30" s="24" t="str">
        <x:v>Scorpionfishes</x:v>
      </x:c>
      <x:c r="I30" s="31" t="n">
        <x:v>15.938520931000001</x:v>
      </x:c>
      <x:c r="J30" s="31" t="n">
        <x:v>1.327610391</x:v>
      </x:c>
      <x:c r="K30" s="31" t="n">
        <x:v>14.61091054</x:v>
      </x:c>
      <x:c r="L30" s="31" t="n">
        <x:v>0</x:v>
      </x:c>
      <x:c r="M30" s="31" t="n">
        <x:v>15.938520931000001</x:v>
      </x:c>
      <x:c r="N30" s="24" t="str">
        <x:v>scorpaena russula</x:v>
      </x:c>
      <x:c r="O30" s="32" t="n">
        <x:v>3.5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Scorpaena russula</x:v>
      </x:c>
      <x:c r="T30" s="32" t="n">
        <x:f>IF(O30="","",(1/'Metadata'!$B$5)^(O30-1))</x:f>
        <x:v>316.22776601683796</x:v>
      </x:c>
      <x:c r="U30" s="31" t="n">
        <x:f>IF(T30="","",I30*T30)</x:f>
        <x:v>5040.202867622743</x:v>
      </x:c>
    </x:row>
    <x:row r="31" ht="18" customHeight="1">
      <x:c r="A31" s="24" t="str">
        <x:v>EEZ_222</x:v>
      </x:c>
      <x:c r="B31" s="24" t="str">
        <x:v>El Salvador</x:v>
      </x:c>
      <x:c r="C31" s="24" t="str">
        <x:v>EEZ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15.719016259</x:v>
      </x:c>
      <x:c r="J31" s="31" t="n">
        <x:v>15.7019713858</x:v>
      </x:c>
      <x:c r="K31" s="31" t="n">
        <x:v>0.0170448732</x:v>
      </x:c>
      <x:c r="L31" s="31" t="n">
        <x:v>15.7019713858</x:v>
      </x:c>
      <x:c r="M31" s="31" t="n">
        <x:v>0.0170448732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53262.96799619262</x:v>
      </x:c>
    </x:row>
    <x:row r="32" ht="18" customHeight="1">
      <x:c r="A32" s="24" t="str">
        <x:v>EEZ_222</x:v>
      </x:c>
      <x:c r="B32" s="24" t="str">
        <x:v>El Salvador</x:v>
      </x:c>
      <x:c r="C32" s="24" t="str">
        <x:v>EEZ</x:v>
      </x:c>
      <x:c r="D32" s="30" t="n">
        <x:v>2019</x:v>
      </x:c>
      <x:c r="E32" s="24" t="str">
        <x:v>Eucinostomus gracilis</x:v>
      </x:c>
      <x:c r="F32" s="24" t="str">
        <x:v>Graceful mojarra</x:v>
      </x:c>
      <x:c r="G32" s="24" t="str">
        <x:v>Small demersals (&lt;30 cm)</x:v>
      </x:c>
      <x:c r="H32" s="24" t="str">
        <x:v>Perch-likes</x:v>
      </x:c>
      <x:c r="I32" s="31" t="n">
        <x:v>14.875952872</x:v>
      </x:c>
      <x:c r="J32" s="31" t="n">
        <x:v>1.239103032</x:v>
      </x:c>
      <x:c r="K32" s="31" t="n">
        <x:v>13.63684984</x:v>
      </x:c>
      <x:c r="L32" s="31" t="n">
        <x:v>0</x:v>
      </x:c>
      <x:c r="M32" s="31" t="n">
        <x:v>14.875952872</x:v>
      </x:c>
      <x:c r="N32" s="24" t="str">
        <x:v>eucinostomus gracilis</x:v>
      </x:c>
      <x:c r="O32" s="32" t="n">
        <x:v>3.06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Eucinostomus gracilis</x:v>
      </x:c>
      <x:c r="T32" s="32" t="n">
        <x:f>IF(O32="","",(1/'Metadata'!$B$5)^(O32-1))</x:f>
        <x:v>114.81536214968828</x:v>
      </x:c>
      <x:c r="U32" s="31" t="n">
        <x:f>IF(T32="","",I32*T32)</x:f>
        <x:v>1707.9879163203755</x:v>
      </x:c>
    </x:row>
    <x:row r="33" ht="18" customHeight="1">
      <x:c r="A33" s="24" t="str">
        <x:v>EEZ_222</x:v>
      </x:c>
      <x:c r="B33" s="24" t="str">
        <x:v>El Salvador</x:v>
      </x:c>
      <x:c r="C33" s="24" t="str">
        <x:v>EEZ</x:v>
      </x:c>
      <x:c r="D33" s="30" t="n">
        <x:v>2019</x:v>
      </x:c>
      <x:c r="E33" s="24" t="str">
        <x:v>Alopias vulpinus</x:v>
      </x:c>
      <x:c r="F33" s="24" t="str">
        <x:v>Thresher</x:v>
      </x:c>
      <x:c r="G33" s="24" t="str">
        <x:v>Large sharks (&gt;=90 cm)</x:v>
      </x:c>
      <x:c r="H33" s="24" t="str">
        <x:v>Sharks &amp; rays</x:v>
      </x:c>
      <x:c r="I33" s="31" t="n">
        <x:v>12.7683825401</x:v>
      </x:c>
      <x:c r="J33" s="31" t="n">
        <x:v>12.7683825401</x:v>
      </x:c>
      <x:c r="K33" s="31" t="n">
        <x:v>0</x:v>
      </x:c>
      <x:c r="L33" s="31" t="n">
        <x:v>4.465566211</x:v>
      </x:c>
      <x:c r="M33" s="31" t="n">
        <x:v>8.3028163291</x:v>
      </x:c>
      <x:c r="N33" s="24" t="str">
        <x:v>alopias vulpinus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Alopias vulpinus</x:v>
      </x:c>
      <x:c r="T33" s="32" t="n">
        <x:f>IF(O33="","",(1/'Metadata'!$B$5)^(O33-1))</x:f>
        <x:v>3162.2776601683795</x:v>
      </x:c>
      <x:c r="U33" s="31" t="n">
        <x:f>IF(T33="","",I33*T33)</x:f>
        <x:v>40377.170863042214</x:v>
      </x:c>
    </x:row>
    <x:row r="34" ht="18" customHeight="1">
      <x:c r="A34" s="24" t="str">
        <x:v>EEZ_222</x:v>
      </x:c>
      <x:c r="B34" s="24" t="str">
        <x:v>El Salvador</x:v>
      </x:c>
      <x:c r="C34" s="24" t="str">
        <x:v>EEZ</x:v>
      </x:c>
      <x:c r="D34" s="30" t="n">
        <x:v>2019</x:v>
      </x:c>
      <x:c r="E34" s="24" t="str">
        <x:v>Teuthida</x:v>
      </x:c>
      <x:c r="F34" s="24" t="str">
        <x:v>Squids</x:v>
      </x:c>
      <x:c r="G34" s="24" t="str">
        <x:v>Cephalopods</x:v>
      </x:c>
      <x:c r="H34" s="24" t="str">
        <x:v>Other fishes &amp; inverts</x:v>
      </x:c>
      <x:c r="I34" s="31" t="n">
        <x:v>12.5857998791</x:v>
      </x:c>
      <x:c r="J34" s="31" t="n">
        <x:v>12.5857998791</x:v>
      </x:c>
      <x:c r="K34" s="31" t="n">
        <x:v>0</x:v>
      </x:c>
      <x:c r="L34" s="31" t="n">
        <x:v>11.7492583501</x:v>
      </x:c>
      <x:c r="M34" s="31" t="n">
        <x:v>0.836541529</x:v>
      </x:c>
      <x:c r="N34" s="24" t="str">
        <x:v>teuthida</x:v>
      </x:c>
      <x:c r="O34" s="32" t="n">
        <x:v>4.13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Teuthida</x:v>
      </x:c>
      <x:c r="T34" s="32" t="n">
        <x:f>IF(O34="","",(1/'Metadata'!$B$5)^(O34-1))</x:f>
        <x:v>1348.9628825916532</x:v>
      </x:c>
      <x:c r="U34" s="31" t="n">
        <x:f>IF(T34="","",I34*T34)</x:f>
        <x:v>16977.776884632414</x:v>
      </x:c>
    </x:row>
    <x:row r="35" ht="18" customHeight="1">
      <x:c r="A35" s="24" t="str">
        <x:v>EEZ_222</x:v>
      </x:c>
      <x:c r="B35" s="24" t="str">
        <x:v>El Salvador</x:v>
      </x:c>
      <x:c r="C35" s="24" t="str">
        <x:v>EEZ</x:v>
      </x:c>
      <x:c r="D35" s="30" t="n">
        <x:v>2019</x:v>
      </x:c>
      <x:c r="E35" s="24" t="str">
        <x:v>Prionace glauca</x:v>
      </x:c>
      <x:c r="F35" s="24" t="str">
        <x:v>Blue shark</x:v>
      </x:c>
      <x:c r="G35" s="24" t="str">
        <x:v>Large sharks (&gt;=90 cm)</x:v>
      </x:c>
      <x:c r="H35" s="24" t="str">
        <x:v>Sharks &amp; rays</x:v>
      </x:c>
      <x:c r="I35" s="31" t="n">
        <x:v>11.7217228198</x:v>
      </x:c>
      <x:c r="J35" s="31" t="n">
        <x:v>11.5630740649</x:v>
      </x:c>
      <x:c r="K35" s="31" t="n">
        <x:v>0.1586487549</x:v>
      </x:c>
      <x:c r="L35" s="31" t="n">
        <x:v>3.2602577358000002</x:v>
      </x:c>
      <x:c r="M35" s="31" t="n">
        <x:v>8.461465084</x:v>
      </x:c>
      <x:c r="N35" s="24" t="str">
        <x:v>prionace glauca</x:v>
      </x:c>
      <x:c r="O35" s="32" t="n">
        <x:v>4.35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Prionace glauca</x:v>
      </x:c>
      <x:c r="T35" s="32" t="n">
        <x:f>IF(O35="","",(1/'Metadata'!$B$5)^(O35-1))</x:f>
        <x:v>2238.7211385683377</x:v>
      </x:c>
      <x:c r="U35" s="31" t="n">
        <x:f>IF(T35="","",I35*T35)</x:f>
        <x:v>26241.668657125123</x:v>
      </x:c>
    </x:row>
    <x:row r="36" ht="18" customHeight="1">
      <x:c r="A36" s="24" t="str">
        <x:v>EEZ_222</x:v>
      </x:c>
      <x:c r="B36" s="24" t="str">
        <x:v>El Salvador</x:v>
      </x:c>
      <x:c r="C36" s="24" t="str">
        <x:v>EEZ</x:v>
      </x:c>
      <x:c r="D36" s="30" t="n">
        <x:v>2019</x:v>
      </x:c>
      <x:c r="E36" s="24" t="str">
        <x:v>Carcharhinus longimanus</x:v>
      </x:c>
      <x:c r="F36" s="24" t="str">
        <x:v>Oceanic whitetip shark</x:v>
      </x:c>
      <x:c r="G36" s="24" t="str">
        <x:v>Large sharks (&gt;=90 cm)</x:v>
      </x:c>
      <x:c r="H36" s="24" t="str">
        <x:v>Sharks &amp; rays</x:v>
      </x:c>
      <x:c r="I36" s="31" t="n">
        <x:v>10.7782624064</x:v>
      </x:c>
      <x:c r="J36" s="31" t="n">
        <x:v>10.759535081900001</x:v>
      </x:c>
      <x:c r="K36" s="31" t="n">
        <x:v>0.0187273245</x:v>
      </x:c>
      <x:c r="L36" s="31" t="n">
        <x:v>2.4567187528</x:v>
      </x:c>
      <x:c r="M36" s="31" t="n">
        <x:v>8.3215436536</x:v>
      </x:c>
      <x:c r="N36" s="24" t="str">
        <x:v>carcharhinus longimanus</x:v>
      </x:c>
      <x:c r="O36" s="32" t="n">
        <x:v>4.16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Carcharhinus longimanus</x:v>
      </x:c>
      <x:c r="T36" s="32" t="n">
        <x:f>IF(O36="","",(1/'Metadata'!$B$5)^(O36-1))</x:f>
        <x:v>1445.439770745928</x:v>
      </x:c>
      <x:c r="U36" s="31" t="n">
        <x:f>IF(T36="","",I36*T36)</x:f>
        <x:v>15579.32914174627</x:v>
      </x:c>
    </x:row>
    <x:row r="37" ht="18" customHeight="1">
      <x:c r="A37" s="24" t="str">
        <x:v>EEZ_222</x:v>
      </x:c>
      <x:c r="B37" s="24" t="str">
        <x:v>El Salvador</x:v>
      </x:c>
      <x:c r="C37" s="24" t="str">
        <x:v>EEZ</x:v>
      </x:c>
      <x:c r="D37" s="30" t="n">
        <x:v>2019</x:v>
      </x:c>
      <x:c r="E37" s="24" t="str">
        <x:v>Alopias superciliosus</x:v>
      </x:c>
      <x:c r="F37" s="24" t="str">
        <x:v>Bigeye thresher</x:v>
      </x:c>
      <x:c r="G37" s="24" t="str">
        <x:v>Large sharks (&gt;=90 cm)</x:v>
      </x:c>
      <x:c r="H37" s="24" t="str">
        <x:v>Sharks &amp; rays</x:v>
      </x:c>
      <x:c r="I37" s="31" t="n">
        <x:v>10.759535081900001</x:v>
      </x:c>
      <x:c r="J37" s="31" t="n">
        <x:v>10.759535081900001</x:v>
      </x:c>
      <x:c r="K37" s="31" t="n">
        <x:v>0</x:v>
      </x:c>
      <x:c r="L37" s="31" t="n">
        <x:v>2.4567187528</x:v>
      </x:c>
      <x:c r="M37" s="31" t="n">
        <x:v>8.3028163291</x:v>
      </x:c>
      <x:c r="N37" s="24" t="str">
        <x:v>alopias superciliosus</x:v>
      </x:c>
      <x:c r="O37" s="32" t="n">
        <x:v>4.51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Alopias superciliosus</x:v>
      </x:c>
      <x:c r="T37" s="32" t="n">
        <x:f>IF(O37="","",(1/'Metadata'!$B$5)^(O37-1))</x:f>
        <x:v>3235.936569296281</x:v>
      </x:c>
      <x:c r="U37" s="31" t="n">
        <x:f>IF(T37="","",I37*T37)</x:f>
        <x:v>34817.17304014647</x:v>
      </x:c>
    </x:row>
    <x:row r="38" ht="18" customHeight="1">
      <x:c r="A38" s="24" t="str">
        <x:v>EEZ_222</x:v>
      </x:c>
      <x:c r="B38" s="24" t="str">
        <x:v>El Salvador</x:v>
      </x:c>
      <x:c r="C38" s="24" t="str">
        <x:v>EEZ</x:v>
      </x:c>
      <x:c r="D38" s="30" t="n">
        <x:v>2019</x:v>
      </x:c>
      <x:c r="E38" s="24" t="str">
        <x:v>Sphyrna mokarran</x:v>
      </x:c>
      <x:c r="F38" s="24" t="str">
        <x:v>Great hammerhead</x:v>
      </x:c>
      <x:c r="G38" s="24" t="str">
        <x:v>Large sharks (&gt;=90 cm)</x:v>
      </x:c>
      <x:c r="H38" s="24" t="str">
        <x:v>Sharks &amp; rays</x:v>
      </x:c>
      <x:c r="I38" s="31" t="n">
        <x:v>10.759535081900001</x:v>
      </x:c>
      <x:c r="J38" s="31" t="n">
        <x:v>10.759535081900001</x:v>
      </x:c>
      <x:c r="K38" s="31" t="n">
        <x:v>0</x:v>
      </x:c>
      <x:c r="L38" s="31" t="n">
        <x:v>2.4567187528</x:v>
      </x:c>
      <x:c r="M38" s="31" t="n">
        <x:v>8.3028163291</x:v>
      </x:c>
      <x:c r="N38" s="24" t="str">
        <x:v>sphyrna mokarran</x:v>
      </x:c>
      <x:c r="O38" s="32" t="n">
        <x:v>4.32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Sphyrna mokarran</x:v>
      </x:c>
      <x:c r="T38" s="32" t="n">
        <x:f>IF(O38="","",(1/'Metadata'!$B$5)^(O38-1))</x:f>
        <x:v>2089.2961308540407</x:v>
      </x:c>
      <x:c r="U38" s="31" t="n">
        <x:f>IF(T38="","",I38*T38)</x:f>
        <x:v>22479.855016401987</x:v>
      </x:c>
    </x:row>
    <x:row r="39" ht="18" customHeight="1">
      <x:c r="A39" s="24" t="str">
        <x:v>EEZ_222</x:v>
      </x:c>
      <x:c r="B39" s="24" t="str">
        <x:v>El Salvador</x:v>
      </x:c>
      <x:c r="C39" s="24" t="str">
        <x:v>EEZ</x:v>
      </x:c>
      <x:c r="D39" s="30" t="n">
        <x:v>2019</x:v>
      </x:c>
      <x:c r="E39" s="24" t="str">
        <x:v>Galeocerdo cuvier</x:v>
      </x:c>
      <x:c r="F39" s="24" t="str">
        <x:v>Tiger shark</x:v>
      </x:c>
      <x:c r="G39" s="24" t="str">
        <x:v>Large sharks (&gt;=90 cm)</x:v>
      </x:c>
      <x:c r="H39" s="24" t="str">
        <x:v>Sharks &amp; rays</x:v>
      </x:c>
      <x:c r="I39" s="31" t="n">
        <x:v>10.759535081900001</x:v>
      </x:c>
      <x:c r="J39" s="31" t="n">
        <x:v>10.759535081900001</x:v>
      </x:c>
      <x:c r="K39" s="31" t="n">
        <x:v>0</x:v>
      </x:c>
      <x:c r="L39" s="31" t="n">
        <x:v>2.4567187528</x:v>
      </x:c>
      <x:c r="M39" s="31" t="n">
        <x:v>8.3028163291</x:v>
      </x:c>
      <x:c r="N39" s="24" t="str">
        <x:v>galeocerdo cuvier</x:v>
      </x:c>
      <x:c r="O39" s="32" t="n">
        <x:v>4.54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Galeocerdo cuvier</x:v>
      </x:c>
      <x:c r="T39" s="32" t="n">
        <x:f>IF(O39="","",(1/'Metadata'!$B$5)^(O39-1))</x:f>
        <x:v>3467.368504525317</x:v>
      </x:c>
      <x:c r="U39" s="31" t="n">
        <x:f>IF(T39="","",I39*T39)</x:f>
        <x:v>37307.27306631529</x:v>
      </x:c>
    </x:row>
    <x:row r="40" ht="18" customHeight="1">
      <x:c r="A40" s="24" t="str">
        <x:v>EEZ_222</x:v>
      </x:c>
      <x:c r="B40" s="24" t="str">
        <x:v>El Salvador</x:v>
      </x:c>
      <x:c r="C40" s="24" t="str">
        <x:v>EEZ</x:v>
      </x:c>
      <x:c r="D40" s="30" t="n">
        <x:v>2019</x:v>
      </x:c>
      <x:c r="E40" s="24" t="str">
        <x:v>Carcharhinus galapagensis</x:v>
      </x:c>
      <x:c r="F40" s="24" t="str">
        <x:v>Galapagos shark</x:v>
      </x:c>
      <x:c r="G40" s="24" t="str">
        <x:v>Large sharks (&gt;=90 cm)</x:v>
      </x:c>
      <x:c r="H40" s="24" t="str">
        <x:v>Sharks &amp; rays</x:v>
      </x:c>
      <x:c r="I40" s="31" t="n">
        <x:v>10.759535081900001</x:v>
      </x:c>
      <x:c r="J40" s="31" t="n">
        <x:v>10.759535081900001</x:v>
      </x:c>
      <x:c r="K40" s="31" t="n">
        <x:v>0</x:v>
      </x:c>
      <x:c r="L40" s="31" t="n">
        <x:v>2.4567187528</x:v>
      </x:c>
      <x:c r="M40" s="31" t="n">
        <x:v>8.3028163291</x:v>
      </x:c>
      <x:c r="N40" s="24" t="str">
        <x:v>carcharhinus galapagensis</x:v>
      </x:c>
      <x:c r="O40" s="32" t="n">
        <x:v>4.23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Carcharhinus galapagensis</x:v>
      </x:c>
      <x:c r="T40" s="32" t="n">
        <x:f>IF(O40="","",(1/'Metadata'!$B$5)^(O40-1))</x:f>
        <x:v>1698.243652461746</x:v>
      </x:c>
      <x:c r="U40" s="31" t="n">
        <x:f>IF(T40="","",I40*T40)</x:f>
        <x:v>18272.312156276148</x:v>
      </x:c>
    </x:row>
    <x:row r="41" ht="18" customHeight="1">
      <x:c r="A41" s="24" t="str">
        <x:v>EEZ_222</x:v>
      </x:c>
      <x:c r="B41" s="24" t="str">
        <x:v>El Salvador</x:v>
      </x:c>
      <x:c r="C41" s="24" t="str">
        <x:v>EEZ</x:v>
      </x:c>
      <x:c r="D41" s="30" t="n">
        <x:v>2019</x:v>
      </x:c>
      <x:c r="E41" s="24" t="str">
        <x:v>Coryphaena</x:v>
      </x:c>
      <x:c r="F41" s="24" t="str">
        <x:v>Dolphinfishes</x:v>
      </x:c>
      <x:c r="G41" s="24" t="str">
        <x:v>Large pelagics (&gt;=90 cm)</x:v>
      </x:c>
      <x:c r="H41" s="24" t="str">
        <x:v>Perch-likes</x:v>
      </x:c>
      <x:c r="I41" s="31" t="n">
        <x:v>10.129759529700001</x:v>
      </x:c>
      <x:c r="J41" s="31" t="n">
        <x:v>10.129759529700001</x:v>
      </x:c>
      <x:c r="K41" s="31" t="n">
        <x:v>0</x:v>
      </x:c>
      <x:c r="L41" s="31" t="n">
        <x:v>10.129759529700001</x:v>
      </x:c>
      <x:c r="M41" s="31" t="n">
        <x:v>0</x:v>
      </x:c>
      <x:c r="N41" s="24" t="str">
        <x:v>coryphaena</x:v>
      </x:c>
      <x:c r="O41" s="32" t="n">
        <x:v>4.49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Coryphaena</x:v>
      </x:c>
      <x:c r="T41" s="32" t="n">
        <x:f>IF(O41="","",(1/'Metadata'!$B$5)^(O41-1))</x:f>
        <x:v>3090.295432513592</x:v>
      </x:c>
      <x:c r="U41" s="31" t="n">
        <x:f>IF(T41="","",I41*T41)</x:f>
        <x:v>31303.949607092945</x:v>
      </x:c>
    </x:row>
    <x:row r="42" ht="18" customHeight="1">
      <x:c r="A42" s="24" t="str">
        <x:v>EEZ_222</x:v>
      </x:c>
      <x:c r="B42" s="24" t="str">
        <x:v>El Salvador</x:v>
      </x:c>
      <x:c r="C42" s="24" t="str">
        <x:v>EEZ</x:v>
      </x:c>
      <x:c r="D42" s="30" t="n">
        <x:v>2019</x:v>
      </x:c>
      <x:c r="E42" s="24" t="str">
        <x:v>Mollusca</x:v>
      </x:c>
      <x:c r="F42" s="24" t="str">
        <x:v>Clams, seasnails, squids, octopuses</x:v>
      </x:c>
      <x:c r="G42" s="24" t="str">
        <x:v>Other demersal invertebrates</x:v>
      </x:c>
      <x:c r="H42" s="24" t="str">
        <x:v>Molluscs</x:v>
      </x:c>
      <x:c r="I42" s="31" t="n">
        <x:v>6.9576023071</x:v>
      </x:c>
      <x:c r="J42" s="31" t="n">
        <x:v>6.9576023071</x:v>
      </x:c>
      <x:c r="K42" s="31" t="n">
        <x:v>0</x:v>
      </x:c>
      <x:c r="L42" s="31" t="n">
        <x:v>6.5990845091</x:v>
      </x:c>
      <x:c r="M42" s="31" t="n">
        <x:v>0.358517798</x:v>
      </x:c>
      <x:c r="N42" s="24" t="str">
        <x:v>mollusca</x:v>
      </x:c>
      <x:c r="O42" s="32" t="n">
        <x:v>2.1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Mollusca</x:v>
      </x:c>
      <x:c r="T42" s="32" t="n">
        <x:f>IF(O42="","",(1/'Metadata'!$B$5)^(O42-1))</x:f>
        <x:v>12.589254117941675</x:v>
      </x:c>
      <x:c r="U42" s="31" t="n">
        <x:f>IF(T42="","",I42*T42)</x:f>
        <x:v>87.59102349565917</x:v>
      </x:c>
    </x:row>
    <x:row r="43" ht="18" customHeight="1">
      <x:c r="A43" s="24" t="str">
        <x:v>EEZ_222</x:v>
      </x:c>
      <x:c r="B43" s="24" t="str">
        <x:v>El Salvador</x:v>
      </x:c>
      <x:c r="C43" s="24" t="str">
        <x:v>EEZ</x:v>
      </x:c>
      <x:c r="D43" s="30" t="n">
        <x:v>2019</x:v>
      </x:c>
      <x:c r="E43" s="24" t="str">
        <x:v>Kajikia audax</x:v>
      </x:c>
      <x:c r="F43" s="24" t="str">
        <x:v>Striped marlin</x:v>
      </x:c>
      <x:c r="G43" s="24" t="str">
        <x:v>Large pelagics (&gt;=90 cm)</x:v>
      </x:c>
      <x:c r="H43" s="24" t="str">
        <x:v>Tuna &amp; billfishes</x:v>
      </x:c>
      <x:c r="I43" s="31" t="n">
        <x:v>6.1894049196</x:v>
      </x:c>
      <x:c r="J43" s="31" t="n">
        <x:v>6.1894049196</x:v>
      </x:c>
      <x:c r="K43" s="31" t="n">
        <x:v>0</x:v>
      </x:c>
      <x:c r="L43" s="31" t="n">
        <x:v>6.1894049196</x:v>
      </x:c>
      <x:c r="M43" s="31" t="n">
        <x:v>0</x:v>
      </x:c>
      <x:c r="N43" s="24" t="str">
        <x:v>kajikia audax</x:v>
      </x:c>
      <x:c r="O43" s="32" t="n">
        <x:v>4.58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Kajikia audax</x:v>
      </x:c>
      <x:c r="T43" s="32" t="n">
        <x:f>IF(O43="","",(1/'Metadata'!$B$5)^(O43-1))</x:f>
        <x:v>3801.8939632056126</x:v>
      </x:c>
      <x:c r="U43" s="31" t="n">
        <x:f>IF(T43="","",I43*T43)</x:f>
        <x:v>23531.46119966236</x:v>
      </x:c>
    </x:row>
    <x:row r="44" ht="18" customHeight="1">
      <x:c r="A44" s="24" t="str">
        <x:v>EEZ_222</x:v>
      </x:c>
      <x:c r="B44" s="24" t="str">
        <x:v>El Salvador</x:v>
      </x:c>
      <x:c r="C44" s="24" t="str">
        <x:v>EEZ</x:v>
      </x:c>
      <x:c r="D44" s="30" t="n">
        <x:v>2019</x:v>
      </x:c>
      <x:c r="E44" s="24" t="str">
        <x:v>Tetrapturus angustirostris</x:v>
      </x:c>
      <x:c r="F44" s="24" t="str">
        <x:v>Shortbill spearfish</x:v>
      </x:c>
      <x:c r="G44" s="24" t="str">
        <x:v>Large pelagics (&gt;=90 cm)</x:v>
      </x:c>
      <x:c r="H44" s="24" t="str">
        <x:v>Tuna &amp; billfishes</x:v>
      </x:c>
      <x:c r="I44" s="31" t="n">
        <x:v>5.7569694514</x:v>
      </x:c>
      <x:c r="J44" s="31" t="n">
        <x:v>5.7569694514</x:v>
      </x:c>
      <x:c r="K44" s="31" t="n">
        <x:v>0</x:v>
      </x:c>
      <x:c r="L44" s="31" t="n">
        <x:v>5.7569694514</x:v>
      </x:c>
      <x:c r="M44" s="31" t="n">
        <x:v>0</x:v>
      </x:c>
      <x:c r="N44" s="24" t="str">
        <x:v>tetrapturus angustirostris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Tetrapturus angustirostris</x:v>
      </x:c>
      <x:c r="T44" s="32" t="n">
        <x:f>IF(O44="","",(1/'Metadata'!$B$5)^(O44-1))</x:f>
        <x:v>3162.2776601683795</x:v>
      </x:c>
      <x:c r="U44" s="31" t="n">
        <x:f>IF(T44="","",I44*T44)</x:f>
        <x:v>18205.13588643403</x:v>
      </x:c>
    </x:row>
    <x:row r="45" ht="18" customHeight="1">
      <x:c r="A45" s="24" t="str">
        <x:v>EEZ_222</x:v>
      </x:c>
      <x:c r="B45" s="24" t="str">
        <x:v>El Salvador</x:v>
      </x:c>
      <x:c r="C45" s="24" t="str">
        <x:v>EEZ</x:v>
      </x:c>
      <x:c r="D45" s="30" t="n">
        <x:v>2019</x:v>
      </x:c>
      <x:c r="E45" s="24" t="str">
        <x:v>Istiophorus platypterus</x:v>
      </x:c>
      <x:c r="F45" s="24" t="str">
        <x:v>Indo-Pacific sailfish</x:v>
      </x:c>
      <x:c r="G45" s="24" t="str">
        <x:v>Large pelagics (&gt;=90 cm)</x:v>
      </x:c>
      <x:c r="H45" s="24" t="str">
        <x:v>Tuna &amp; billfishes</x:v>
      </x:c>
      <x:c r="I45" s="31" t="n">
        <x:v>4.5268518744</x:v>
      </x:c>
      <x:c r="J45" s="31" t="n">
        <x:v>4.5268518744</x:v>
      </x:c>
      <x:c r="K45" s="31" t="n">
        <x:v>0</x:v>
      </x:c>
      <x:c r="L45" s="31" t="n">
        <x:v>4.5268518744</x:v>
      </x:c>
      <x:c r="M45" s="31" t="n">
        <x:v>0</x:v>
      </x:c>
      <x:c r="N45" s="24" t="str">
        <x:v>istiophorus platypterus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Istiophorus platypterus</x:v>
      </x:c>
      <x:c r="T45" s="32" t="n">
        <x:f>IF(O45="","",(1/'Metadata'!$B$5)^(O45-1))</x:f>
        <x:v>3162.2776601683795</x:v>
      </x:c>
      <x:c r="U45" s="31" t="n">
        <x:f>IF(T45="","",I45*T45)</x:f>
        <x:v>14315.162553306476</x:v>
      </x:c>
    </x:row>
    <x:row r="46" ht="18" customHeight="1">
      <x:c r="A46" s="24" t="str">
        <x:v>EEZ_222</x:v>
      </x:c>
      <x:c r="B46" s="24" t="str">
        <x:v>El Salvador</x:v>
      </x:c>
      <x:c r="C46" s="24" t="str">
        <x:v>EEZ</x:v>
      </x:c>
      <x:c r="D46" s="30" t="n">
        <x:v>2019</x:v>
      </x:c>
      <x:c r="E46" s="24" t="str">
        <x:v>Pronotogrammus eos</x:v>
      </x:c>
      <x:c r="F46" s="24" t="str">
        <x:v>Bigeye bass</x:v>
      </x:c>
      <x:c r="G46" s="24" t="str">
        <x:v>Small bathydemersals (&lt;30 cm)</x:v>
      </x:c>
      <x:c r="H46" s="24" t="str">
        <x:v>Perch-likes</x:v>
      </x:c>
      <x:c r="I46" s="31" t="n">
        <x:v>3.1877041869</x:v>
      </x:c>
      <x:c r="J46" s="31" t="n">
        <x:v>0.26552207790000004</x:v>
      </x:c>
      <x:c r="K46" s="31" t="n">
        <x:v>2.922182109</x:v>
      </x:c>
      <x:c r="L46" s="31" t="n">
        <x:v>0</x:v>
      </x:c>
      <x:c r="M46" s="31" t="n">
        <x:v>3.1877041869</x:v>
      </x:c>
      <x:c r="N46" s="24" t="str">
        <x:v>pronotogrammus eos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Pronotogrammus eos</x:v>
      </x:c>
      <x:c r="T46" s="32" t="n">
        <x:f>IF(O46="","",(1/'Metadata'!$B$5)^(O46-1))</x:f>
        <x:v>316.22776601683796</x:v>
      </x:c>
      <x:c r="U46" s="31" t="n">
        <x:f>IF(T46="","",I46*T46)</x:f>
        <x:v>1008.0405737459079</x:v>
      </x:c>
    </x:row>
    <x:row r="47" ht="18" customHeight="1">
      <x:c r="A47" s="24" t="str">
        <x:v>EEZ_222</x:v>
      </x:c>
      <x:c r="B47" s="24" t="str">
        <x:v>El Salvador</x:v>
      </x:c>
      <x:c r="C47" s="24" t="str">
        <x:v>EEZ</x:v>
      </x:c>
      <x:c r="D47" s="30" t="n">
        <x:v>2019</x:v>
      </x:c>
      <x:c r="E47" s="24" t="str">
        <x:v>Engyophrys sanctilaurentii</x:v>
      </x:c>
      <x:c r="F47" s="24" t="str">
        <x:v>Speckled-tail flounder</x:v>
      </x:c>
      <x:c r="G47" s="24" t="str">
        <x:v>Small to medium flatfishes (&lt;90 cm)</x:v>
      </x:c>
      <x:c r="H47" s="24" t="str">
        <x:v>Flatfishes</x:v>
      </x:c>
      <x:c r="I47" s="31" t="n">
        <x:v>3.1877041869</x:v>
      </x:c>
      <x:c r="J47" s="31" t="n">
        <x:v>0.26552207790000004</x:v>
      </x:c>
      <x:c r="K47" s="31" t="n">
        <x:v>2.922182109</x:v>
      </x:c>
      <x:c r="L47" s="31" t="n">
        <x:v>0</x:v>
      </x:c>
      <x:c r="M47" s="31" t="n">
        <x:v>3.1877041869</x:v>
      </x:c>
      <x:c r="N47" s="24" t="str">
        <x:v>engyophrys sanctilaurentii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Engyophrys sanctilaurentii</x:v>
      </x:c>
      <x:c r="T47" s="32" t="n">
        <x:f>IF(O47="","",(1/'Metadata'!$B$5)^(O47-1))</x:f>
        <x:v>398.1071705534973</x:v>
      </x:c>
      <x:c r="U47" s="31" t="n">
        <x:f>IF(T47="","",I47*T47)</x:f>
        <x:v>1269.0478944082959</x:v>
      </x:c>
    </x:row>
    <x:row r="48" ht="18" customHeight="1">
      <x:c r="A48" s="24" t="str">
        <x:v>EEZ_222</x:v>
      </x:c>
      <x:c r="B48" s="24" t="str">
        <x:v>El Salvador</x:v>
      </x:c>
      <x:c r="C48" s="24" t="str">
        <x:v>EEZ</x:v>
      </x:c>
      <x:c r="D48" s="30" t="n">
        <x:v>2019</x:v>
      </x:c>
      <x:c r="E48" s="24" t="str">
        <x:v>Elasmobranchii</x:v>
      </x:c>
      <x:c r="F48" s="24" t="str">
        <x:v>Sharks, rays, skates</x:v>
      </x:c>
      <x:c r="G48" s="24" t="str">
        <x:v>Large sharks (&gt;=90 cm)</x:v>
      </x:c>
      <x:c r="H48" s="24" t="str">
        <x:v>Sharks &amp; rays</x:v>
      </x:c>
      <x:c r="I48" s="31" t="n">
        <x:v>3.076547218</x:v>
      </x:c>
      <x:c r="J48" s="31" t="n">
        <x:v>2.0196327818000004</x:v>
      </x:c>
      <x:c r="K48" s="31" t="n">
        <x:v>1.0569144362</x:v>
      </x:c>
      <x:c r="L48" s="31" t="n">
        <x:v>2.0196327818000004</x:v>
      </x:c>
      <x:c r="M48" s="31" t="n">
        <x:v>1.0569144362</x:v>
      </x:c>
      <x:c r="N48" s="24" t="str">
        <x:v>elasmobranchii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Elasmobranchii</x:v>
      </x:c>
      <x:c r="T48" s="32" t="n">
        <x:f>IF(O48="","",(1/'Metadata'!$B$5)^(O48-1))</x:f>
        <x:v>1122.018454301963</x:v>
      </x:c>
      <x:c r="U48" s="31" t="n">
        <x:f>IF(T48="","",I48*T48)</x:f>
        <x:v>3451.9427541273644</x:v>
      </x:c>
    </x:row>
    <x:row r="49" ht="18" customHeight="1">
      <x:c r="A49" s="24" t="str">
        <x:v>EEZ_222</x:v>
      </x:c>
      <x:c r="B49" s="24" t="str">
        <x:v>El Salvador</x:v>
      </x:c>
      <x:c r="C49" s="24" t="str">
        <x:v>EEZ</x:v>
      </x:c>
      <x:c r="D49" s="30" t="n">
        <x:v>2019</x:v>
      </x:c>
      <x:c r="E49" s="24" t="str">
        <x:v>Rhencus macracanthus</x:v>
      </x:c>
      <x:c r="F49" s="24" t="str">
        <x:v>Longspine grunt</x:v>
      </x:c>
      <x:c r="G49" s="24" t="str">
        <x:v>Medium benthopelagics (30 - 89 cm)</x:v>
      </x:c>
      <x:c r="H49" s="24" t="str">
        <x:v>Perch-likes</x:v>
      </x:c>
      <x:c r="I49" s="31" t="n">
        <x:v>2.1251361251</x:v>
      </x:c>
      <x:c r="J49" s="31" t="n">
        <x:v>0.17701471910000002</x:v>
      </x:c>
      <x:c r="K49" s="31" t="n">
        <x:v>1.948121406</x:v>
      </x:c>
      <x:c r="L49" s="31" t="n">
        <x:v>0</x:v>
      </x:c>
      <x:c r="M49" s="31" t="n">
        <x:v>2.1251361251</x:v>
      </x:c>
      <x:c r="N49" s="24" t="str">
        <x:v>rhencus macracanthus</x:v>
      </x:c>
      <x:c r="O49" s="32" t="n">
        <x:v>3.5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Rhencus macracanthus</x:v>
      </x:c>
      <x:c r="T49" s="32" t="n">
        <x:f>IF(O49="","",(1/'Metadata'!$B$5)^(O49-1))</x:f>
        <x:v>316.22776601683796</x:v>
      </x:c>
      <x:c r="U49" s="31" t="n">
        <x:f>IF(T49="","",I49*T49)</x:f>
        <x:v>672.0270493220524</x:v>
      </x:c>
    </x:row>
    <x:row r="50" ht="18" customHeight="1">
      <x:c r="A50" s="24" t="str">
        <x:v>EEZ_222</x:v>
      </x:c>
      <x:c r="B50" s="24" t="str">
        <x:v>El Salvador</x:v>
      </x:c>
      <x:c r="C50" s="24" t="str">
        <x:v>EEZ</x:v>
      </x:c>
      <x:c r="D50" s="30" t="n">
        <x:v>2019</x:v>
      </x:c>
      <x:c r="E50" s="24" t="str">
        <x:v>Penaeus brevirostris</x:v>
      </x:c>
      <x:c r="F50" s="24" t="str">
        <x:v>Crystal shrimp</x:v>
      </x:c>
      <x:c r="G50" s="24" t="str">
        <x:v>Shrimps</x:v>
      </x:c>
      <x:c r="H50" s="24" t="str">
        <x:v>Crustaceans</x:v>
      </x:c>
      <x:c r="I50" s="31" t="n">
        <x:v>2.0278164939</x:v>
      </x:c>
      <x:c r="J50" s="31" t="n">
        <x:v>2.0278164939</x:v>
      </x:c>
      <x:c r="K50" s="31" t="n">
        <x:v>0</x:v>
      </x:c>
      <x:c r="L50" s="31" t="n">
        <x:v>2.0278164939</x:v>
      </x:c>
      <x:c r="M50" s="31" t="n">
        <x:v>0</x:v>
      </x:c>
      <x:c r="N50" s="24" t="str">
        <x:v>penaeus brevirostris</x:v>
      </x:c>
      <x:c r="O50" s="32" t="n">
        <x:v>2.7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Penaeus brevirostris</x:v>
      </x:c>
      <x:c r="T50" s="32" t="n">
        <x:f>IF(O50="","",(1/'Metadata'!$B$5)^(O50-1))</x:f>
        <x:v>50.11872336272725</x:v>
      </x:c>
      <x:c r="U50" s="31" t="n">
        <x:f>IF(T50="","",I50*T50)</x:f>
        <x:v>101.6315738881496</x:v>
      </x:c>
    </x:row>
    <x:row r="51" ht="18" customHeight="1">
      <x:c r="A51" s="24" t="str">
        <x:v>EEZ_222</x:v>
      </x:c>
      <x:c r="B51" s="24" t="str">
        <x:v>El Salvador</x:v>
      </x:c>
      <x:c r="C51" s="24" t="str">
        <x:v>EEZ</x:v>
      </x:c>
      <x:c r="D51" s="30" t="n">
        <x:v>2019</x:v>
      </x:c>
      <x:c r="E51" s="24" t="str">
        <x:v>Istiophoridae</x:v>
      </x:c>
      <x:c r="F51" s="24" t="str">
        <x:v>Billfishes</x:v>
      </x:c>
      <x:c r="G51" s="24" t="str">
        <x:v>Large pelagics (&gt;=90 cm)</x:v>
      </x:c>
      <x:c r="H51" s="24" t="str">
        <x:v>Tuna &amp; billfishes</x:v>
      </x:c>
      <x:c r="I51" s="31" t="n">
        <x:v>1.8967747294000001</x:v>
      </x:c>
      <x:c r="J51" s="31" t="n">
        <x:v>1.8967735144000002</x:v>
      </x:c>
      <x:c r="K51" s="31" t="n">
        <x:v>0.000001215</x:v>
      </x:c>
      <x:c r="L51" s="31" t="n">
        <x:v>1.8967735144000002</x:v>
      </x:c>
      <x:c r="M51" s="31" t="n">
        <x:v>0.000001215</x:v>
      </x:c>
      <x:c r="N51" s="24" t="str">
        <x:v>istiophoridae</x:v>
      </x:c>
      <x:c r="O51" s="32" t="n">
        <x:v>4.48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Istiophoridae</x:v>
      </x:c>
      <x:c r="T51" s="32" t="n">
        <x:f>IF(O51="","",(1/'Metadata'!$B$5)^(O51-1))</x:f>
        <x:v>3019.951720402019</x:v>
      </x:c>
      <x:c r="U51" s="31" t="n">
        <x:f>IF(T51="","",I51*T51)</x:f>
        <x:v>5728.168107266604</x:v>
      </x:c>
    </x:row>
    <x:row r="52" ht="18" customHeight="1">
      <x:c r="A52" s="24" t="str">
        <x:v>EEZ_222</x:v>
      </x:c>
      <x:c r="B52" s="24" t="str">
        <x:v>El Salvador</x:v>
      </x:c>
      <x:c r="C52" s="24" t="str">
        <x:v>EEZ</x:v>
      </x:c>
      <x:c r="D52" s="30" t="n">
        <x:v>2019</x:v>
      </x:c>
      <x:c r="E52" s="24" t="str">
        <x:v>Marine pelagic fishes not identified</x:v>
      </x:c>
      <x:c r="F52" s="24" t="str">
        <x:v>Pelagic fishes</x:v>
      </x:c>
      <x:c r="G52" s="24" t="str">
        <x:v>Medium pelagics (30 - 89 cm)</x:v>
      </x:c>
      <x:c r="H52" s="24" t="str">
        <x:v>Other fishes &amp; inverts</x:v>
      </x:c>
      <x:c r="I52" s="31" t="n">
        <x:v>1.2616871256</x:v>
      </x:c>
      <x:c r="J52" s="31" t="n">
        <x:v>1.2593412803000001</x:v>
      </x:c>
      <x:c r="K52" s="31" t="n">
        <x:v>0.0023458453</x:v>
      </x:c>
      <x:c r="L52" s="31" t="n">
        <x:v>1.2593412803000001</x:v>
      </x:c>
      <x:c r="M52" s="31" t="n">
        <x:v>0.0023458453</x:v>
      </x:c>
      <x:c r="N52" s="24" t="str">
        <x:v>marine pelagic fishes not identified</x:v>
      </x:c>
      <x:c r="O52" s="32" t="n">
        <x:v>3.35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pelagic fishes not identified</x:v>
      </x:c>
      <x:c r="T52" s="32" t="n">
        <x:f>IF(O52="","",(1/'Metadata'!$B$5)^(O52-1))</x:f>
        <x:v>223.872113856834</x:v>
      </x:c>
      <x:c r="U52" s="31" t="n">
        <x:f>IF(T52="","",I52*T52)</x:f>
        <x:v>282.4565638340248</x:v>
      </x:c>
    </x:row>
    <x:row r="53" ht="18" customHeight="1">
      <x:c r="A53" s="24" t="str">
        <x:v>EEZ_222</x:v>
      </x:c>
      <x:c r="B53" s="24" t="str">
        <x:v>El Salvador</x:v>
      </x:c>
      <x:c r="C53" s="24" t="str">
        <x:v>EEZ</x:v>
      </x:c>
      <x:c r="D53" s="30" t="n">
        <x:v>2019</x:v>
      </x:c>
      <x:c r="E53" s="24" t="str">
        <x:v>Larimus pacificus</x:v>
      </x:c>
      <x:c r="F53" s="24" t="str">
        <x:v>Pacific drum</x:v>
      </x:c>
      <x:c r="G53" s="24" t="str">
        <x:v>Small pelagics (&lt;30 cm)</x:v>
      </x:c>
      <x:c r="H53" s="24" t="str">
        <x:v>Perch-likes</x:v>
      </x:c>
      <x:c r="I53" s="31" t="n">
        <x:v>1.062568062</x:v>
      </x:c>
      <x:c r="J53" s="31" t="n">
        <x:v>0.08850735900000001</x:v>
      </x:c>
      <x:c r="K53" s="31" t="n">
        <x:v>0.974060703</x:v>
      </x:c>
      <x:c r="L53" s="31" t="n">
        <x:v>0</x:v>
      </x:c>
      <x:c r="M53" s="31" t="n">
        <x:v>1.062568062</x:v>
      </x:c>
      <x:c r="N53" s="24" t="str">
        <x:v>larimus pacificus</x:v>
      </x:c>
      <x:c r="O53" s="32" t="n">
        <x:v>4.46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Larimus pacificus</x:v>
      </x:c>
      <x:c r="T53" s="32" t="n">
        <x:f>IF(O53="","",(1/'Metadata'!$B$5)^(O53-1))</x:f>
        <x:v>2884.031503126606</x:v>
      </x:c>
      <x:c r="U53" s="31" t="n">
        <x:f>IF(T53="","",I53*T53)</x:f>
        <x:v>3064.4797650241844</x:v>
      </x:c>
    </x:row>
    <x:row r="54" ht="18" customHeight="1">
      <x:c r="A54" s="24" t="str">
        <x:v>EEZ_222</x:v>
      </x:c>
      <x:c r="B54" s="24" t="str">
        <x:v>El Salvador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0.9869524672</x:v>
      </x:c>
      <x:c r="J54" s="31" t="n">
        <x:v>0</x:v>
      </x:c>
      <x:c r="K54" s="31" t="n">
        <x:v>0.9869524672</x:v>
      </x:c>
      <x:c r="L54" s="31" t="n">
        <x:v>0</x:v>
      </x:c>
      <x:c r="M54" s="31" t="n">
        <x:v>0.9869524672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1795.9582519710805</x:v>
      </x:c>
    </x:row>
    <x:row r="55" ht="18" customHeight="1">
      <x:c r="A55" s="24" t="str">
        <x:v>EEZ_222</x:v>
      </x:c>
      <x:c r="B55" s="24" t="str">
        <x:v>El Salvador</x:v>
      </x:c>
      <x:c r="C55" s="24" t="str">
        <x:v>EEZ</x:v>
      </x:c>
      <x:c r="D55" s="30" t="n">
        <x:v>2019</x:v>
      </x:c>
      <x:c r="E55" s="24" t="str">
        <x:v>Coryphaena hippurus</x:v>
      </x:c>
      <x:c r="F55" s="24" t="str">
        <x:v>Common dolphinfish</x:v>
      </x:c>
      <x:c r="G55" s="24" t="str">
        <x:v>Large pelagics (&gt;=90 cm)</x:v>
      </x:c>
      <x:c r="H55" s="24" t="str">
        <x:v>Perch-likes</x:v>
      </x:c>
      <x:c r="I55" s="31" t="n">
        <x:v>0.9841925539</x:v>
      </x:c>
      <x:c r="J55" s="31" t="n">
        <x:v>0</x:v>
      </x:c>
      <x:c r="K55" s="31" t="n">
        <x:v>0.9841925539</x:v>
      </x:c>
      <x:c r="L55" s="31" t="n">
        <x:v>0</x:v>
      </x:c>
      <x:c r="M55" s="31" t="n">
        <x:v>0.9841925539</x:v>
      </x:c>
      <x:c r="N55" s="24" t="str">
        <x:v>coryphaena hippurus</x:v>
      </x:c>
      <x:c r="O55" s="32" t="n">
        <x:v>4.37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Coryphaena hippurus</x:v>
      </x:c>
      <x:c r="T55" s="32" t="n">
        <x:f>IF(O55="","",(1/'Metadata'!$B$5)^(O55-1))</x:f>
        <x:v>2344.228815319923</x:v>
      </x:c>
      <x:c r="U55" s="31" t="n">
        <x:f>IF(T55="","",I55*T55)</x:f>
        <x:v>2307.1725446756864</x:v>
      </x:c>
    </x:row>
    <x:row r="56" ht="18" customHeight="1">
      <x:c r="A56" s="24" t="str">
        <x:v>EEZ_222</x:v>
      </x:c>
      <x:c r="B56" s="24" t="str">
        <x:v>El Salvador</x:v>
      </x:c>
      <x:c r="C56" s="24" t="str">
        <x:v>EEZ</x:v>
      </x:c>
      <x:c r="D56" s="30" t="n">
        <x:v>2019</x:v>
      </x:c>
      <x:c r="E56" s="24" t="str">
        <x:v>Katsuwonus pelamis</x:v>
      </x:c>
      <x:c r="F56" s="24" t="str">
        <x:v>Skipjack tuna</x:v>
      </x:c>
      <x:c r="G56" s="24" t="str">
        <x:v>Large pelagics (&gt;=90 cm)</x:v>
      </x:c>
      <x:c r="H56" s="24" t="str">
        <x:v>Tuna &amp; billfishes</x:v>
      </x:c>
      <x:c r="I56" s="31" t="n">
        <x:v>0.8529946134</x:v>
      </x:c>
      <x:c r="J56" s="31" t="n">
        <x:v>0.8519139287</x:v>
      </x:c>
      <x:c r="K56" s="31" t="n">
        <x:v>0.0010806847</x:v>
      </x:c>
      <x:c r="L56" s="31" t="n">
        <x:v>0.8519139287</x:v>
      </x:c>
      <x:c r="M56" s="31" t="n">
        <x:v>0.0010806847</x:v>
      </x:c>
      <x:c r="N56" s="24" t="str">
        <x:v>katsuwonus pelamis</x:v>
      </x:c>
      <x:c r="O56" s="32" t="n">
        <x:v>4.43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Katsuwonus pelamis</x:v>
      </x:c>
      <x:c r="T56" s="32" t="n">
        <x:f>IF(O56="","",(1/'Metadata'!$B$5)^(O56-1))</x:f>
        <x:v>2691.534803926914</x:v>
      </x:c>
      <x:c r="U56" s="31" t="n">
        <x:f>IF(T56="","",I56*T56)</x:f>
        <x:v>2295.8646895282827</x:v>
      </x:c>
    </x:row>
    <x:row r="57" ht="18" customHeight="1">
      <x:c r="A57" s="24" t="str">
        <x:v>EEZ_222</x:v>
      </x:c>
      <x:c r="B57" s="24" t="str">
        <x:v>El Salvador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0.745139215</x:v>
      </x:c>
      <x:c r="J57" s="31" t="n">
        <x:v>0.745139215</x:v>
      </x:c>
      <x:c r="K57" s="31" t="n">
        <x:v>0</x:v>
      </x:c>
      <x:c r="L57" s="31" t="n">
        <x:v>0.745139215</x:v>
      </x:c>
      <x:c r="M57" s="31" t="n">
        <x:v>0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102.85784473245462</x:v>
      </x:c>
    </x:row>
    <x:row r="58" ht="18" customHeight="1">
      <x:c r="A58" s="24" t="str">
        <x:v>EEZ_222</x:v>
      </x:c>
      <x:c r="B58" s="24" t="str">
        <x:v>El Salvador</x:v>
      </x:c>
      <x:c r="C58" s="24" t="str">
        <x:v>EEZ</x:v>
      </x:c>
      <x:c r="D58" s="30" t="n">
        <x:v>2019</x:v>
      </x:c>
      <x:c r="E58" s="24" t="str">
        <x:v>Thunnus obesus</x:v>
      </x:c>
      <x:c r="F58" s="24" t="str">
        <x:v>Bigeye tuna</x:v>
      </x:c>
      <x:c r="G58" s="24" t="str">
        <x:v>Large pelagics (&gt;=90 cm)</x:v>
      </x:c>
      <x:c r="H58" s="24" t="str">
        <x:v>Tuna &amp; billfishes</x:v>
      </x:c>
      <x:c r="I58" s="31" t="n">
        <x:v>0.5206999883</x:v>
      </x:c>
      <x:c r="J58" s="31" t="n">
        <x:v>0.5205974831</x:v>
      </x:c>
      <x:c r="K58" s="31" t="n">
        <x:v>0.00010250520000000001</x:v>
      </x:c>
      <x:c r="L58" s="31" t="n">
        <x:v>0.5205974831</x:v>
      </x:c>
      <x:c r="M58" s="31" t="n">
        <x:v>0.00010250520000000001</x:v>
      </x:c>
      <x:c r="N58" s="24" t="str">
        <x:v>thunnus obesus</x:v>
      </x:c>
      <x:c r="O58" s="32" t="n">
        <x:v>4.49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obesus</x:v>
      </x:c>
      <x:c r="T58" s="32" t="n">
        <x:f>IF(O58="","",(1/'Metadata'!$B$5)^(O58-1))</x:f>
        <x:v>3090.295432513592</x:v>
      </x:c>
      <x:c r="U58" s="31" t="n">
        <x:f>IF(T58="","",I58*T58)</x:f>
        <x:v>1609.1167955533708</x:v>
      </x:c>
    </x:row>
    <x:row r="59" ht="18" customHeight="1">
      <x:c r="A59" s="24" t="str">
        <x:v>EEZ_222</x:v>
      </x:c>
      <x:c r="B59" s="24" t="str">
        <x:v>El Salvador</x:v>
      </x:c>
      <x:c r="C59" s="24" t="str">
        <x:v>EEZ</x:v>
      </x:c>
      <x:c r="D59" s="30" t="n">
        <x:v>2019</x:v>
      </x:c>
      <x:c r="E59" s="24" t="str">
        <x:v>Isurus</x:v>
      </x:c>
      <x:c r="F59" s="24" t="str">
        <x:v>Mako sharks</x:v>
      </x:c>
      <x:c r="G59" s="24" t="str">
        <x:v>Large sharks (&gt;=90 cm)</x:v>
      </x:c>
      <x:c r="H59" s="24" t="str">
        <x:v>Sharks &amp; rays</x:v>
      </x:c>
      <x:c r="I59" s="31" t="n">
        <x:v>0.0187124581</x:v>
      </x:c>
      <x:c r="J59" s="31" t="n">
        <x:v>0</x:v>
      </x:c>
      <x:c r="K59" s="31" t="n">
        <x:v>0.0187124581</x:v>
      </x:c>
      <x:c r="L59" s="31" t="n">
        <x:v>0</x:v>
      </x:c>
      <x:c r="M59" s="31" t="n">
        <x:v>0.0187124581</x:v>
      </x:c>
      <x:c r="N59" s="24" t="str">
        <x:v>isurus</x:v>
      </x:c>
      <x:c r="O59" s="32" t="n">
        <x:v>4.5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Isurus</x:v>
      </x:c>
      <x:c r="T59" s="32" t="n">
        <x:f>IF(O59="","",(1/'Metadata'!$B$5)^(O59-1))</x:f>
        <x:v>3162.2776601683795</x:v>
      </x:c>
      <x:c r="U59" s="31" t="n">
        <x:f>IF(T59="","",I59*T59)</x:f>
        <x:v>59.17398821646684</x:v>
      </x:c>
    </x:row>
    <x:row r="60" ht="18" customHeight="1">
      <x:c r="A60" s="24" t="str">
        <x:v>EEZ_222</x:v>
      </x:c>
      <x:c r="B60" s="24" t="str">
        <x:v>El Salvador</x:v>
      </x:c>
      <x:c r="C60" s="24" t="str">
        <x:v>EEZ</x:v>
      </x:c>
      <x:c r="D60" s="30" t="n">
        <x:v>2019</x:v>
      </x:c>
      <x:c r="E60" s="24" t="str">
        <x:v>Istiompax indica</x:v>
      </x:c>
      <x:c r="F60" s="24" t="str">
        <x:v>Black marlin</x:v>
      </x:c>
      <x:c r="G60" s="24" t="str">
        <x:v>Large pelagics (&gt;=90 cm)</x:v>
      </x:c>
      <x:c r="H60" s="24" t="str">
        <x:v>Tuna &amp; billfishes</x:v>
      </x:c>
      <x:c r="I60" s="31" t="n">
        <x:v>0.0148861759</x:v>
      </x:c>
      <x:c r="J60" s="31" t="n">
        <x:v>0.0148861759</x:v>
      </x:c>
      <x:c r="K60" s="31" t="n">
        <x:v>0</x:v>
      </x:c>
      <x:c r="L60" s="31" t="n">
        <x:v>0.0148861759</x:v>
      </x:c>
      <x:c r="M60" s="31" t="n">
        <x:v>0</x:v>
      </x:c>
      <x:c r="N60" s="24" t="str">
        <x:v>istiompax indica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Istiompax indica</x:v>
      </x:c>
      <x:c r="T60" s="32" t="n">
        <x:f>IF(O60="","",(1/'Metadata'!$B$5)^(O60-1))</x:f>
        <x:v>3162.2776601683795</x:v>
      </x:c>
      <x:c r="U60" s="31" t="n">
        <x:f>IF(T60="","",I60*T60)</x:f>
        <x:v>47.07422149390692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fd84993c7fb42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2037.6731433730004</x:v>
      </x:c>
      <x:c r="C2" s="32" t="n">
        <x:v>2.645882008322804</x:v>
      </x:c>
      <x:c r="D2" s="32" t="n">
        <x:f>IF(C2="","",(1/'Metadata'!$B$5)^(C2-1))</x:f>
        <x:v>44.24681436854837</x:v>
      </x:c>
      <x:c r="E2" s="31" t="n">
        <x:f>IF(B2=0,"",B2*D2)</x:f>
        <x:v>90160.5453186016</x:v>
      </x:c>
    </x:row>
    <x:row r="3" ht="18" customHeight="1">
      <x:c r="A3" s="24" t="str">
        <x:v>Flatfishes</x:v>
      </x:c>
      <x:c r="B3" s="31" t="n">
        <x:v>659.0061551642999</x:v>
      </x:c>
      <x:c r="C3" s="32" t="n">
        <x:v>3.6235907246287273</x:v>
      </x:c>
      <x:c r="D3" s="32" t="n">
        <x:f>IF(C3="","",(1/'Metadata'!$B$5)^(C3-1))</x:f>
        <x:v>420.3303260065209</x:v>
      </x:c>
      <x:c r="E3" s="31" t="n">
        <x:f>IF(B3=0,"",B3*D3)</x:f>
        <x:v>277000.2720405141</x:v>
      </x:c>
    </x:row>
    <x:row r="4" ht="18" customHeight="1">
      <x:c r="A4" s="24" t="str">
        <x:v>Molluscs</x:v>
      </x:c>
      <x:c r="B4" s="31" t="n">
        <x:v>6.9576023071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87.59102349565917</x:v>
      </x:c>
    </x:row>
    <x:row r="5" ht="18" customHeight="1">
      <x:c r="A5" s="24" t="str">
        <x:v>Other fishes &amp; inverts</x:v>
      </x:c>
      <x:c r="B5" s="31" t="n">
        <x:v>10601.9125488488</x:v>
      </x:c>
      <x:c r="C5" s="32" t="n">
        <x:v>3.3175831792596155</x:v>
      </x:c>
      <x:c r="D5" s="32" t="n">
        <x:f>IF(C5="","",(1/'Metadata'!$B$5)^(C5-1))</x:f>
        <x:v>207.7701624097676</x:v>
      </x:c>
      <x:c r="E5" s="31" t="n">
        <x:f>IF(B5=0,"",B5*D5)</x:f>
        <x:v>2202761.0921284687</x:v>
      </x:c>
    </x:row>
    <x:row r="6" ht="18" customHeight="1">
      <x:c r="A6" s="24" t="str">
        <x:v>Perch-likes</x:v>
      </x:c>
      <x:c r="B6" s="31" t="n">
        <x:v>2966.829669056</x:v>
      </x:c>
      <x:c r="C6" s="32" t="n">
        <x:v>3.7969720208146787</x:v>
      </x:c>
      <x:c r="D6" s="32" t="n">
        <x:f>IF(C6="","",(1/'Metadata'!$B$5)^(C6-1))</x:f>
        <x:v>626.5734967159423</x:v>
      </x:c>
      <x:c r="E6" s="31" t="n">
        <x:f>IF(B6=0,"",B6*D6)</x:f>
        <x:v>1858936.8399010198</x:v>
      </x:c>
    </x:row>
    <x:row r="7" ht="18" customHeight="1">
      <x:c r="A7" s="24" t="str">
        <x:v>Scorpionfishes</x:v>
      </x:c>
      <x:c r="B7" s="31" t="n">
        <x:v>120.070191033</x:v>
      </x:c>
      <x:c r="C7" s="32" t="n">
        <x:v>3.5</x:v>
      </x:c>
      <x:c r="D7" s="32" t="n">
        <x:f>IF(C7="","",(1/'Metadata'!$B$5)^(C7-1))</x:f>
        <x:v>316.22776601683796</x:v>
      </x:c>
      <x:c r="E7" s="31" t="n">
        <x:f>IF(B7=0,"",B7*D7)</x:f>
        <x:v>37969.52827558056</x:v>
      </x:c>
    </x:row>
    <x:row r="8" ht="18" customHeight="1">
      <x:c r="A8" s="24" t="str">
        <x:v>Sharks &amp; rays</x:v>
      </x:c>
      <x:c r="B8" s="31" t="n">
        <x:v>1079.2405544183998</x:v>
      </x:c>
      <x:c r="C8" s="32" t="n">
        <x:v>4.421357132216477</x:v>
      </x:c>
      <x:c r="D8" s="32" t="n">
        <x:f>IF(C8="","",(1/'Metadata'!$B$5)^(C8-1))</x:f>
        <x:v>2638.500204760263</x:v>
      </x:c>
      <x:c r="E8" s="31" t="n">
        <x:f>IF(B8=0,"",B8*D8)</x:f>
        <x:v>2847576.4238185277</x:v>
      </x:c>
    </x:row>
    <x:row r="9" ht="18" customHeight="1">
      <x:c r="A9" s="24" t="str">
        <x:v>Tuna &amp; billfishes</x:v>
      </x:c>
      <x:c r="B9" s="31" t="n">
        <x:v>1672.7763794623004</x:v>
      </x:c>
      <x:c r="C9" s="32" t="n">
        <x:v>4.412425222303927</x:v>
      </x:c>
      <x:c r="D9" s="32" t="n">
        <x:f>IF(C9="","",(1/'Metadata'!$B$5)^(C9-1))</x:f>
        <x:v>2584.789746955245</x:v>
      </x:c>
      <x:c r="E9" s="31" t="n">
        <x:f>IF(B9=0,"",B9*D9)</x:f>
        <x:v>4323775.2345830705</x:v>
      </x:c>
    </x:row>
  </x:sheetData>
  <x:pageMargins left="0.7" right="0.7" top="0.75" bottom="0.75" header="0.3" footer="0.3"/>
  <x:tableParts count="1">
    <x:tablePart xmlns:r="http://schemas.openxmlformats.org/officeDocument/2006/relationships" r:id="Rc4d1918bbe214f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12.5857998791</x:v>
      </x:c>
      <x:c r="C2" s="32" t="n">
        <x:v>4.13</x:v>
      </x:c>
      <x:c r="D2" s="32" t="n">
        <x:f>IF(C2="","",(1/'Metadata'!$B$5)^(C2-1))</x:f>
        <x:v>1348.9628825916532</x:v>
      </x:c>
      <x:c r="E2" s="31" t="n">
        <x:f>IF(B2=0,"",B2*D2)</x:f>
        <x:v>16977.776884632414</x:v>
      </x:c>
    </x:row>
    <x:row r="3" ht="18" customHeight="1">
      <x:c r="A3" s="24" t="str">
        <x:v>Large benthopelagics (&gt;=90 cm)</x:v>
      </x:c>
      <x:c r="B3" s="31" t="n">
        <x:v>19.1262251189</x:v>
      </x:c>
      <x:c r="C3" s="32" t="n">
        <x:v>3.2</x:v>
      </x:c>
      <x:c r="D3" s="32" t="n">
        <x:f>IF(C3="","",(1/'Metadata'!$B$5)^(C3-1))</x:f>
        <x:v>158.48931924611142</x:v>
      </x:c>
      <x:c r="E3" s="31" t="n">
        <x:f>IF(B3=0,"",B3*D3)</x:f>
        <x:v>3031.3023988423374</x:v>
      </x:c>
    </x:row>
    <x:row r="4" ht="18" customHeight="1">
      <x:c r="A4" s="24" t="str">
        <x:v>Large pelagics (&gt;=90 cm)</x:v>
      </x:c>
      <x:c r="B4" s="31" t="n">
        <x:v>1683.8903315459002</x:v>
      </x:c>
      <x:c r="C4" s="32" t="n">
        <x:v>4.41286709149327</x:v>
      </x:c>
      <x:c r="D4" s="32" t="n">
        <x:f>IF(C4="","",(1/'Metadata'!$B$5)^(C4-1))</x:f>
        <x:v>2587.4209574001425</x:v>
      </x:c>
      <x:c r="E4" s="31" t="n">
        <x:f>IF(B4=0,"",B4*D4)</x:f>
        <x:v>4356933.133805336</x:v>
      </x:c>
    </x:row>
    <x:row r="5" ht="18" customHeight="1">
      <x:c r="A5" s="24" t="str">
        <x:v>Large sharks (&gt;=90 cm)</x:v>
      </x:c>
      <x:c r="B5" s="31" t="n">
        <x:v>1079.2405544183998</x:v>
      </x:c>
      <x:c r="C5" s="32" t="n">
        <x:v>4.421357132216477</x:v>
      </x:c>
      <x:c r="D5" s="32" t="n">
        <x:f>IF(C5="","",(1/'Metadata'!$B$5)^(C5-1))</x:f>
        <x:v>2638.500204760263</x:v>
      </x:c>
      <x:c r="E5" s="31" t="n">
        <x:f>IF(B5=0,"",B5*D5)</x:f>
        <x:v>2847576.4238185277</x:v>
      </x:c>
    </x:row>
    <x:row r="6" ht="18" customHeight="1">
      <x:c r="A6" s="24" t="str">
        <x:v>Lobsters, crabs</x:v>
      </x:c>
      <x:c r="B6" s="31" t="n">
        <x:v>0.745139215</x:v>
      </x:c>
      <x:c r="C6" s="32" t="n">
        <x:v>3.14</x:v>
      </x:c>
      <x:c r="D6" s="32" t="n">
        <x:f>IF(C6="","",(1/'Metadata'!$B$5)^(C6-1))</x:f>
        <x:v>138.03842646028852</x:v>
      </x:c>
      <x:c r="E6" s="31" t="n">
        <x:f>IF(B6=0,"",B6*D6)</x:f>
        <x:v>102.85784473245462</x:v>
      </x:c>
    </x:row>
    <x:row r="7" ht="18" customHeight="1">
      <x:c r="A7" s="24" t="str">
        <x:v>Medium benthopelagics (30 - 89 cm)</x:v>
      </x:c>
      <x:c r="B7" s="31" t="n">
        <x:v>19.1262251261</x:v>
      </x:c>
      <x:c r="C7" s="32" t="n">
        <x:v>4.03333333333403</x:v>
      </x:c>
      <x:c r="D7" s="32" t="n">
        <x:f>IF(C7="","",(1/'Metadata'!$B$5)^(C7-1))</x:f>
        <x:v>1079.7751623294428</x:v>
      </x:c>
      <x:c r="E7" s="31" t="n">
        <x:f>IF(B7=0,"",B7*D7)</x:f>
        <x:v>20652.022840284095</x:v>
      </x:c>
    </x:row>
    <x:row r="8" ht="18" customHeight="1">
      <x:c r="A8" s="24" t="str">
        <x:v>Medium demersals (30 - 89 cm)</x:v>
      </x:c>
      <x:c r="B8" s="31" t="n">
        <x:v>11184.609642777801</x:v>
      </x:c>
      <x:c r="C8" s="32" t="n">
        <x:v>3.327584662432098</x:v>
      </x:c>
      <x:c r="D8" s="32" t="n">
        <x:f>IF(C8="","",(1/'Metadata'!$B$5)^(C8-1))</x:f>
        <x:v>212.61047729030918</x:v>
      </x:c>
      <x:c r="E8" s="31" t="n">
        <x:f>IF(B8=0,"",B8*D8)</x:f>
        <x:v>2377965.1944567827</x:v>
      </x:c>
    </x:row>
    <x:row r="9" ht="18" customHeight="1">
      <x:c r="A9" s="24" t="str">
        <x:v>Medium pelagics (30 - 89 cm)</x:v>
      </x:c>
      <x:c r="B9" s="31" t="n">
        <x:v>1077.0253760102999</x:v>
      </x:c>
      <x:c r="C9" s="32" t="n">
        <x:v>4.049372418714672</x:v>
      </x:c>
      <x:c r="D9" s="32" t="n">
        <x:f>IF(C9="","",(1/'Metadata'!$B$5)^(C9-1))</x:f>
        <x:v>1120.3982420194375</x:v>
      </x:c>
      <x:c r="E9" s="31" t="n">
        <x:f>IF(B9=0,"",B9*D9)</x:f>
        <x:v>1206697.3378922637</x:v>
      </x:c>
    </x:row>
    <x:row r="10" ht="18" customHeight="1">
      <x:c r="A10" s="24" t="str">
        <x:v>Medium reef assoc. fish (30 - 89 cm)</x:v>
      </x:c>
      <x:c r="B10" s="31" t="n">
        <x:v>579.5434919326</x:v>
      </x:c>
      <x:c r="C10" s="32" t="n">
        <x:v>3.999999999999999</x:v>
      </x:c>
      <x:c r="D10" s="32" t="n">
        <x:f>IF(C10="","",(1/'Metadata'!$B$5)^(C10-1))</x:f>
        <x:v>999.999999999998</x:v>
      </x:c>
      <x:c r="E10" s="31" t="n">
        <x:f>IF(B10=0,"",B10*D10)</x:f>
        <x:v>579543.4919325988</x:v>
      </x:c>
    </x:row>
    <x:row r="11" ht="18" customHeight="1">
      <x:c r="A11" s="24" t="str">
        <x:v>Other demersal invertebrates</x:v>
      </x:c>
      <x:c r="B11" s="31" t="n">
        <x:v>6.9576023071</x:v>
      </x:c>
      <x:c r="C11" s="32" t="n">
        <x:v>2.1</x:v>
      </x:c>
      <x:c r="D11" s="32" t="n">
        <x:f>IF(C11="","",(1/'Metadata'!$B$5)^(C11-1))</x:f>
        <x:v>12.589254117941675</x:v>
      </x:c>
      <x:c r="E11" s="31" t="n">
        <x:f>IF(B11=0,"",B11*D11)</x:f>
        <x:v>87.59102349565917</x:v>
      </x:c>
    </x:row>
    <x:row r="12" ht="18" customHeight="1">
      <x:c r="A12" s="24" t="str">
        <x:v>Shrimps</x:v>
      </x:c>
      <x:c r="B12" s="31" t="n">
        <x:v>2036.9280041580002</x:v>
      </x:c>
      <x:c r="C12" s="32" t="n">
        <x:v>2.645701252453336</x:v>
      </x:c>
      <x:c r="D12" s="32" t="n">
        <x:f>IF(C12="","",(1/'Metadata'!$B$5)^(C12-1))</x:f>
        <x:v>44.22840242092676</x:v>
      </x:c>
      <x:c r="E12" s="31" t="n">
        <x:f>IF(B12=0,"",B12*D12)</x:f>
        <x:v>90090.07147035522</x:v>
      </x:c>
    </x:row>
    <x:row r="13" ht="18" customHeight="1">
      <x:c r="A13" s="24" t="str">
        <x:v>Small bathydemersals (&lt;30 cm)</x:v>
      </x:c>
      <x:c r="B13" s="31" t="n">
        <x:v>3.1877041869</x:v>
      </x:c>
      <x:c r="C13" s="32" t="n">
        <x:v>3.5</x:v>
      </x:c>
      <x:c r="D13" s="32" t="n">
        <x:f>IF(C13="","",(1/'Metadata'!$B$5)^(C13-1))</x:f>
        <x:v>316.22776601683796</x:v>
      </x:c>
      <x:c r="E13" s="31" t="n">
        <x:f>IF(B13=0,"",B13*D13)</x:f>
        <x:v>1008.0405737459079</x:v>
      </x:c>
    </x:row>
    <x:row r="14" ht="18" customHeight="1">
      <x:c r="A14" s="24" t="str">
        <x:v>Small benthopelagics (&lt;30 cm)</x:v>
      </x:c>
      <x:c r="B14" s="31" t="n">
        <x:v>289.7717459663</x:v>
      </x:c>
      <x:c r="C14" s="32" t="n">
        <x:v>3.03</x:v>
      </x:c>
      <x:c r="D14" s="32" t="n">
        <x:f>IF(C14="","",(1/'Metadata'!$B$5)^(C14-1))</x:f>
        <x:v>107.1519305237606</x:v>
      </x:c>
      <x:c r="E14" s="31" t="n">
        <x:f>IF(B14=0,"",B14*D14)</x:f>
        <x:v>31049.60199152978</x:v>
      </x:c>
    </x:row>
    <x:row r="15" ht="18" customHeight="1">
      <x:c r="A15" s="24" t="str">
        <x:v>Small demersals (&lt;30 cm)</x:v>
      </x:c>
      <x:c r="B15" s="31" t="n">
        <x:v>491.6596777942</x:v>
      </x:c>
      <x:c r="C15" s="32" t="n">
        <x:v>3.7154595900997163</x:v>
      </x:c>
      <x:c r="D15" s="32" t="n">
        <x:f>IF(C15="","",(1/'Metadata'!$B$5)^(C15-1))</x:f>
        <x:v>519.349347238488</x:v>
      </x:c>
      <x:c r="E15" s="31" t="n">
        <x:f>IF(B15=0,"",B15*D15)</x:f>
        <x:v>255343.1327259031</x:v>
      </x:c>
    </x:row>
    <x:row r="16" ht="18" customHeight="1">
      <x:c r="A16" s="24" t="str">
        <x:v>Small pelagics (&lt;30 cm)</x:v>
      </x:c>
      <x:c r="B16" s="31" t="n">
        <x:v>1.062568062</x:v>
      </x:c>
      <x:c r="C16" s="32" t="n">
        <x:v>4.46</x:v>
      </x:c>
      <x:c r="D16" s="32" t="n">
        <x:f>IF(C16="","",(1/'Metadata'!$B$5)^(C16-1))</x:f>
        <x:v>2884.031503126606</x:v>
      </x:c>
      <x:c r="E16" s="31" t="n">
        <x:f>IF(B16=0,"",B16*D16)</x:f>
        <x:v>3064.4797650241844</x:v>
      </x:c>
    </x:row>
    <x:row r="17" ht="18" customHeight="1">
      <x:c r="A17" s="24" t="str">
        <x:v>Small to medium flatfishes (&lt;90 cm)</x:v>
      </x:c>
      <x:c r="B17" s="31" t="n">
        <x:v>659.0061551642999</x:v>
      </x:c>
      <x:c r="C17" s="32" t="n">
        <x:v>3.6235907246287273</x:v>
      </x:c>
      <x:c r="D17" s="32" t="n">
        <x:f>IF(C17="","",(1/'Metadata'!$B$5)^(C17-1))</x:f>
        <x:v>420.3303260065209</x:v>
      </x:c>
      <x:c r="E17" s="31" t="n">
        <x:f>IF(B17=0,"",B17*D17)</x:f>
        <x:v>277000.2720405141</x:v>
      </x:c>
    </x:row>
  </x:sheetData>
  <x:pageMargins left="0.7" right="0.7" top="0.75" bottom="0.75" header="0.3" footer="0.3"/>
  <x:tableParts count="1">
    <x:tablePart xmlns:r="http://schemas.openxmlformats.org/officeDocument/2006/relationships" r:id="Rb67a38fbd076448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EEZ_222</x:v>
      </x:c>
      <x:c r="B2" s="24" t="str">
        <x:v>raw_filtered_tonnes</x:v>
      </x:c>
      <x:c r="C2" s="24" t="n">
        <x:v>19144.4662436629</x:v>
      </x:c>
      <x:c r="D2" s="24" t="str">
        <x:v>tonnes</x:v>
      </x:c>
    </x:row>
    <x:row r="3" ht="18" customHeight="1">
      <x:c r="A3" s="24" t="str">
        <x:v>EEZ_222</x:v>
      </x:c>
      <x:c r="B3" s="24" t="str">
        <x:v>species_catch_tonnes</x:v>
      </x:c>
      <x:c r="C3" s="24" t="n">
        <x:v>19144.466243662904</x:v>
      </x:c>
      <x:c r="D3" s="24" t="str">
        <x:v>tonnes</x:v>
      </x:c>
    </x:row>
    <x:row r="4" ht="18" customHeight="1">
      <x:c r="A4" s="24" t="str">
        <x:v>EEZ_222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EEZ_222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EEZ_222</x:v>
      </x:c>
      <x:c r="B6" s="24" t="str">
        <x:v>matched_catch_tonnes</x:v>
      </x:c>
      <x:c r="C6" s="24" t="n">
        <x:v>19144.466243662904</x:v>
      </x:c>
      <x:c r="D6" s="24" t="str">
        <x:v>tonnes</x:v>
      </x:c>
    </x:row>
    <x:row r="7" ht="18" customHeight="1">
      <x:c r="A7" s="24" t="str">
        <x:v>EEZ_222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EEZ_222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EEZ_222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EEZ_222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EEZ_222</x:v>
      </x:c>
      <x:c r="B11" s="24" t="str">
        <x:v>species_ppr</x:v>
      </x:c>
      <x:c r="C11" s="24" t="n">
        <x:v>12763185.689767089</x:v>
      </x:c>
      <x:c r="D11" s="24" t="str">
        <x:v>tonnes_primary_production_equivalent</x:v>
      </x:c>
    </x:row>
    <x:row r="12" ht="18" customHeight="1">
      <x:c r="A12" s="24" t="str">
        <x:v>EEZ_222</x:v>
      </x:c>
      <x:c r="B12" s="24" t="str">
        <x:v>commercial_ppr</x:v>
      </x:c>
      <x:c r="C12" s="24" t="n">
        <x:v>11638267.52708928</x:v>
      </x:c>
      <x:c r="D12" s="24" t="str">
        <x:v>tonnes_primary_production_equivalent</x:v>
      </x:c>
    </x:row>
    <x:row r="13" ht="18" customHeight="1">
      <x:c r="A13" s="24" t="str">
        <x:v>EEZ_222</x:v>
      </x:c>
      <x:c r="B13" s="24" t="str">
        <x:v>functional_ppr</x:v>
      </x:c>
      <x:c r="C13" s="24" t="n">
        <x:v>12067122.731464569</x:v>
      </x:c>
      <x:c r="D13" s="24" t="str">
        <x:v>tonnes_primary_production_equivalent</x:v>
      </x:c>
    </x:row>
    <x:row r="14" ht="18" customHeight="1">
      <x:c r="A14" s="24" t="str">
        <x:v>EEZ_222</x:v>
      </x:c>
      <x:c r="B14" s="24" t="str">
        <x:v>commercial_ppr_difference</x:v>
      </x:c>
      <x:c r="C14" s="24" t="n">
        <x:v>-1124918.1626778096</x:v>
      </x:c>
      <x:c r="D14" s="24" t="str">
        <x:v>tonnes_primary_production_equivalent</x:v>
      </x:c>
    </x:row>
    <x:row r="15" ht="18" customHeight="1">
      <x:c r="A15" s="24" t="str">
        <x:v>EEZ_222</x:v>
      </x:c>
      <x:c r="B15" s="24" t="str">
        <x:v>functional_ppr_difference</x:v>
      </x:c>
      <x:c r="C15" s="24" t="n">
        <x:v>-696062.9583025202</x:v>
      </x:c>
      <x:c r="D15" s="24" t="str">
        <x:v>tonnes_primary_production_equivalent</x:v>
      </x:c>
    </x:row>
    <x:row r="16" ht="18" customHeight="1">
      <x:c r="A16" s="24" t="str">
        <x:v>EEZ_222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EEZ_222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99220f23dde44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EEZ_222 - El Salvador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EEZ_222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