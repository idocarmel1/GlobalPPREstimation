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b1143164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e131e65a399406e"/>
    <x:sheet xmlns:r="http://schemas.openxmlformats.org/officeDocument/2006/relationships" name="Commercial" sheetId="2" r:id="Re8a13c29a3a54613"/>
    <x:sheet xmlns:r="http://schemas.openxmlformats.org/officeDocument/2006/relationships" name="Functional" sheetId="3" r:id="Rcb9f07575d6a4265"/>
    <x:sheet xmlns:r="http://schemas.openxmlformats.org/officeDocument/2006/relationships" name="Missing TL" sheetId="4" r:id="R54613d04048b4d28"/>
    <x:sheet xmlns:r="http://schemas.openxmlformats.org/officeDocument/2006/relationships" name="Validation" sheetId="5" r:id="R8e182fb585974a0e"/>
    <x:sheet xmlns:r="http://schemas.openxmlformats.org/officeDocument/2006/relationships" name="Metadata" sheetId="6" r:id="R440224c5e455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c238319774794" /><Relationship Type="http://schemas.openxmlformats.org/officeDocument/2006/relationships/theme" Target="/xl/theme/theme1.xml" Id="R351b6c1d78e245e5" /><Relationship Type="http://schemas.microsoft.com/office/2022/11/relationships/FeaturePropertyBag" Target="/xl/featurePropertyBag/featurePropertyBag.xml" Id="Rd2808f64f9514f43" /><Relationship Type="http://schemas.openxmlformats.org/officeDocument/2006/relationships/sharedStrings" Target="/xl/sharedStrings.xml" Id="Rded8ead2c7804cb0" /><Relationship Type="http://schemas.openxmlformats.org/officeDocument/2006/relationships/worksheet" Target="/xl/worksheets/sheet1.xml" Id="Rae131e65a399406e" /><Relationship Type="http://schemas.openxmlformats.org/officeDocument/2006/relationships/worksheet" Target="/xl/worksheets/sheet2.xml" Id="Re8a13c29a3a54613" /><Relationship Type="http://schemas.openxmlformats.org/officeDocument/2006/relationships/worksheet" Target="/xl/worksheets/sheet3.xml" Id="Rcb9f07575d6a4265" /><Relationship Type="http://schemas.openxmlformats.org/officeDocument/2006/relationships/worksheet" Target="/xl/worksheets/sheet4.xml" Id="R54613d04048b4d28" /><Relationship Type="http://schemas.openxmlformats.org/officeDocument/2006/relationships/worksheet" Target="/xl/worksheets/sheet5.xml" Id="R8e182fb585974a0e" /><Relationship Type="http://schemas.openxmlformats.org/officeDocument/2006/relationships/worksheet" Target="/xl/worksheets/sheet6.xml" Id="R440224c5e4554e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2SpeciesTable" displayName="EEZ842SpeciesTable" ref="A1:U141" headerRowCount="1" totalsRowCount="0" totalsRowShown="0">
  <x:autoFilter ref="A1:U1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2CommercialTable" displayName="EEZ842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2FunctionalTable" displayName="EEZ842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2ValidationTable" displayName="EEZ84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0475444fd6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aeb3f3e531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53207aae8d4e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e69039c51143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EEZ_842</x:v>
      </x:c>
      <x:c r="B2" s="24" t="str">
        <x:v>Hawaii Main Islands (USA)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5847.2115481448</x:v>
      </x:c>
      <x:c r="J2" s="31" t="n">
        <x:v>5844.1879015603</x:v>
      </x:c>
      <x:c r="K2" s="31" t="n">
        <x:v>3.0236465845</x:v>
      </x:c>
      <x:c r="L2" s="31" t="n">
        <x:v>589.6659301602</x:v>
      </x:c>
      <x:c r="M2" s="31" t="n">
        <x:v>5257.5456179846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10640175.874633297</x:v>
      </x:c>
    </x:row>
    <x:row r="3" ht="18" customHeight="1">
      <x:c r="A3" s="24" t="str">
        <x:v>EEZ_842</x:v>
      </x:c>
      <x:c r="B3" s="24" t="str">
        <x:v>Hawaii Main Islands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3604.8069490295998</x:v>
      </x:c>
      <x:c r="J3" s="31" t="n">
        <x:v>3604.4129850154</x:v>
      </x:c>
      <x:c r="K3" s="31" t="n">
        <x:v>0.3939640142</x:v>
      </x:c>
      <x:c r="L3" s="31" t="n">
        <x:v>17.9122608991</x:v>
      </x:c>
      <x:c r="M3" s="31" t="n">
        <x:v>3586.8946881304996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9265780.579481581</x:v>
      </x:c>
    </x:row>
    <x:row r="4" ht="18" customHeight="1">
      <x:c r="A4" s="24" t="str">
        <x:v>EEZ_842</x:v>
      </x:c>
      <x:c r="B4" s="24" t="str">
        <x:v>Hawaii Main Islands (USA)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2510.5656827356</x:v>
      </x:c>
      <x:c r="J4" s="31" t="n">
        <x:v>2502.8425416581003</x:v>
      </x:c>
      <x:c r="K4" s="31" t="n">
        <x:v>7.7231410775</x:v>
      </x:c>
      <x:c r="L4" s="31" t="n">
        <x:v>365.76946823400004</x:v>
      </x:c>
      <x:c r="M4" s="31" t="n">
        <x:v>2144.7962145016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5885340.416222129</x:v>
      </x:c>
    </x:row>
    <x:row r="5" ht="18" customHeight="1">
      <x:c r="A5" s="24" t="str">
        <x:v>EEZ_842</x:v>
      </x:c>
      <x:c r="B5" s="24" t="str">
        <x:v>Hawaii Main Islands (USA)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1818.4970430888002</x:v>
      </x:c>
      <x:c r="J5" s="31" t="n">
        <x:v>1815.2355617794</x:v>
      </x:c>
      <x:c r="K5" s="31" t="n">
        <x:v>3.2614813094</x:v>
      </x:c>
      <x:c r="L5" s="31" t="n">
        <x:v>207.372376365</x:v>
      </x:c>
      <x:c r="M5" s="31" t="n">
        <x:v>1611.1246667238001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5619693.106296792</x:v>
      </x:c>
    </x:row>
    <x:row r="6" ht="18" customHeight="1">
      <x:c r="A6" s="24" t="str">
        <x:v>EEZ_842</x:v>
      </x:c>
      <x:c r="B6" s="24" t="str">
        <x:v>Hawaii Main Islands (USA)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1567.2577180729</x:v>
      </x:c>
      <x:c r="J6" s="31" t="n">
        <x:v>1567.2577180729</x:v>
      </x:c>
      <x:c r="K6" s="31" t="n">
        <x:v>0</x:v>
      </x:c>
      <x:c r="L6" s="31" t="n">
        <x:v>10.8428508789</x:v>
      </x:c>
      <x:c r="M6" s="31" t="n">
        <x:v>1556.414867194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4218328.694916285</x:v>
      </x:c>
    </x:row>
    <x:row r="7" ht="18" customHeight="1">
      <x:c r="A7" s="24" t="str">
        <x:v>EEZ_842</x:v>
      </x:c>
      <x:c r="B7" s="24" t="str">
        <x:v>Hawaii Main Islands (USA)</x:v>
      </x:c>
      <x:c r="C7" s="24" t="str">
        <x:v>EEZ</x:v>
      </x:c>
      <x:c r="D7" s="30" t="n">
        <x:v>2019</x:v>
      </x:c>
      <x:c r="E7" s="24" t="str">
        <x:v>Caranx melampygus</x:v>
      </x:c>
      <x:c r="F7" s="24" t="str">
        <x:v>Bluefin trevally</x:v>
      </x:c>
      <x:c r="G7" s="24" t="str">
        <x:v>Large reef assoc. fish (&gt;=90 cm)</x:v>
      </x:c>
      <x:c r="H7" s="24" t="str">
        <x:v>Perch-likes</x:v>
      </x:c>
      <x:c r="I7" s="31" t="n">
        <x:v>1432.2032443676</x:v>
      </x:c>
      <x:c r="J7" s="31" t="n">
        <x:v>1432.2032443676</x:v>
      </x:c>
      <x:c r="K7" s="31" t="n">
        <x:v>0</x:v>
      </x:c>
      <x:c r="L7" s="31" t="n">
        <x:v>1.1675481488</x:v>
      </x:c>
      <x:c r="M7" s="31" t="n">
        <x:v>1431.0356962188</x:v>
      </x:c>
      <x:c r="N7" s="24" t="str">
        <x:v>caranx melampygus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melampygus</x:v>
      </x:c>
      <x:c r="T7" s="32" t="n">
        <x:f>IF(O7="","",(1/'Metadata'!$B$5)^(O7-1))</x:f>
        <x:v>3090.295432513592</x:v>
      </x:c>
      <x:c r="U7" s="31" t="n">
        <x:f>IF(T7="","",I7*T7)</x:f>
        <x:v>4425931.144500342</x:v>
      </x:c>
    </x:row>
    <x:row r="8" ht="18" customHeight="1">
      <x:c r="A8" s="24" t="str">
        <x:v>EEZ_842</x:v>
      </x:c>
      <x:c r="B8" s="24" t="str">
        <x:v>Hawaii Main Islands (USA)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796.8457325874999</x:v>
      </x:c>
      <x:c r="J8" s="31" t="n">
        <x:v>706.16141552</x:v>
      </x:c>
      <x:c r="K8" s="31" t="n">
        <x:v>90.68431706749999</x:v>
      </x:c>
      <x:c r="L8" s="31" t="n">
        <x:v>46.5812702462</x:v>
      </x:c>
      <x:c r="M8" s="31" t="n">
        <x:v>750.2644623412999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151835.82417221265</x:v>
      </x:c>
    </x:row>
    <x:row r="9" ht="18" customHeight="1">
      <x:c r="A9" s="24" t="str">
        <x:v>EEZ_842</x:v>
      </x:c>
      <x:c r="B9" s="24" t="str">
        <x:v>Hawaii Main Islands (USA)</x:v>
      </x:c>
      <x:c r="C9" s="24" t="str">
        <x:v>EEZ</x:v>
      </x:c>
      <x:c r="D9" s="30" t="n">
        <x:v>2019</x:v>
      </x:c>
      <x:c r="E9" s="24" t="str">
        <x:v>Lampris guttatus</x:v>
      </x:c>
      <x:c r="F9" s="24" t="str">
        <x:v>Opah</x:v>
      </x:c>
      <x:c r="G9" s="24" t="str">
        <x:v>Large bathypelagics (&gt;=90 cm)</x:v>
      </x:c>
      <x:c r="H9" s="24" t="str">
        <x:v>Other fishes &amp; inverts</x:v>
      </x:c>
      <x:c r="I9" s="31" t="n">
        <x:v>630.8398632888</x:v>
      </x:c>
      <x:c r="J9" s="31" t="n">
        <x:v>625.4212940579</x:v>
      </x:c>
      <x:c r="K9" s="31" t="n">
        <x:v>5.4185692309</x:v>
      </x:c>
      <x:c r="L9" s="31" t="n">
        <x:v>625.4212940579</x:v>
      </x:c>
      <x:c r="M9" s="31" t="n">
        <x:v>5.4185692309</x:v>
      </x:c>
      <x:c r="N9" s="24" t="str">
        <x:v>lampris guttatus</x:v>
      </x:c>
      <x:c r="O9" s="32" t="n">
        <x:v>4.22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Lampris guttatus</x:v>
      </x:c>
      <x:c r="T9" s="32" t="n">
        <x:f>IF(O9="","",(1/'Metadata'!$B$5)^(O9-1))</x:f>
        <x:v>1659.5869074375596</x:v>
      </x:c>
      <x:c r="U9" s="31" t="n">
        <x:f>IF(T9="","",I9*T9)</x:f>
        <x:v>1046933.5778037924</x:v>
      </x:c>
    </x:row>
    <x:row r="10" ht="18" customHeight="1">
      <x:c r="A10" s="24" t="str">
        <x:v>EEZ_842</x:v>
      </x:c>
      <x:c r="B10" s="24" t="str">
        <x:v>Hawaii Main Islands (USA)</x:v>
      </x:c>
      <x:c r="C10" s="24" t="str">
        <x:v>EEZ</x:v>
      </x:c>
      <x:c r="D10" s="30" t="n">
        <x:v>2019</x:v>
      </x:c>
      <x:c r="E10" s="24" t="str">
        <x:v>Decapterus macarellus</x:v>
      </x:c>
      <x:c r="F10" s="24" t="str">
        <x:v>Mackerel scad</x:v>
      </x:c>
      <x:c r="G10" s="24" t="str">
        <x:v>Medium pelagics (30 - 89 cm)</x:v>
      </x:c>
      <x:c r="H10" s="24" t="str">
        <x:v>Perch-likes</x:v>
      </x:c>
      <x:c r="I10" s="31" t="n">
        <x:v>427.9521453288</x:v>
      </x:c>
      <x:c r="J10" s="31" t="n">
        <x:v>427.9521453288</x:v>
      </x:c>
      <x:c r="K10" s="31" t="n">
        <x:v>0</x:v>
      </x:c>
      <x:c r="L10" s="31" t="n">
        <x:v>38.188440639999996</x:v>
      </x:c>
      <x:c r="M10" s="31" t="n">
        <x:v>389.7637046888</x:v>
      </x:c>
      <x:c r="N10" s="24" t="str">
        <x:v>decapterus macarellus</x:v>
      </x:c>
      <x:c r="O10" s="32" t="n">
        <x:v>3.96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Decapterus macarellus</x:v>
      </x:c>
      <x:c r="T10" s="32" t="n">
        <x:f>IF(O10="","",(1/'Metadata'!$B$5)^(O10-1))</x:f>
        <x:v>912.0108393559096</x:v>
      </x:c>
      <x:c r="U10" s="31" t="n">
        <x:f>IF(T10="","",I10*T10)</x:f>
        <x:v>390296.9952654811</x:v>
      </x:c>
    </x:row>
    <x:row r="11" ht="18" customHeight="1">
      <x:c r="A11" s="24" t="str">
        <x:v>EEZ_842</x:v>
      </x:c>
      <x:c r="B11" s="24" t="str">
        <x:v>Hawaii Main Islands (USA)</x:v>
      </x:c>
      <x:c r="C11" s="24" t="str">
        <x:v>EEZ</x:v>
      </x:c>
      <x:c r="D11" s="30" t="n">
        <x:v>2019</x:v>
      </x:c>
      <x:c r="E11" s="24" t="str">
        <x:v>Taractichthys steindachneri</x:v>
      </x:c>
      <x:c r="F11" s="24" t="str">
        <x:v>Sickle pomfret</x:v>
      </x:c>
      <x:c r="G11" s="24" t="str">
        <x:v>Medium benthopelagics (30 - 89 cm)</x:v>
      </x:c>
      <x:c r="H11" s="24" t="str">
        <x:v>Perch-likes</x:v>
      </x:c>
      <x:c r="I11" s="31" t="n">
        <x:v>303.2083036183</x:v>
      </x:c>
      <x:c r="J11" s="31" t="n">
        <x:v>303.0011361264</x:v>
      </x:c>
      <x:c r="K11" s="31" t="n">
        <x:v>0.2071674919</x:v>
      </x:c>
      <x:c r="L11" s="31" t="n">
        <x:v>303.0011361264</x:v>
      </x:c>
      <x:c r="M11" s="31" t="n">
        <x:v>0.2071674919</x:v>
      </x:c>
      <x:c r="N11" s="24" t="str">
        <x:v>taractichthys steindachneri</x:v>
      </x:c>
      <x:c r="O11" s="32" t="n">
        <x:v>4.09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Taractichthys steindachneri</x:v>
      </x:c>
      <x:c r="T11" s="32" t="n">
        <x:f>IF(O11="","",(1/'Metadata'!$B$5)^(O11-1))</x:f>
        <x:v>1230.268770812381</x:v>
      </x:c>
      <x:c r="U11" s="31" t="n">
        <x:f>IF(T11="","",I11*T11)</x:f>
        <x:v>373027.7069925932</x:v>
      </x:c>
    </x:row>
    <x:row r="12" ht="18" customHeight="1">
      <x:c r="A12" s="24" t="str">
        <x:v>EEZ_842</x:v>
      </x:c>
      <x:c r="B12" s="24" t="str">
        <x:v>Hawaii Main Islands (USA)</x:v>
      </x:c>
      <x:c r="C12" s="24" t="str">
        <x:v>EEZ</x:v>
      </x:c>
      <x:c r="D12" s="30" t="n">
        <x:v>2019</x:v>
      </x:c>
      <x:c r="E12" s="24" t="str">
        <x:v>Selar crumenophthalmus</x:v>
      </x:c>
      <x:c r="F12" s="24" t="str">
        <x:v>Bigeye scad</x:v>
      </x:c>
      <x:c r="G12" s="24" t="str">
        <x:v>Medium pelagics (30 - 89 cm)</x:v>
      </x:c>
      <x:c r="H12" s="24" t="str">
        <x:v>Perch-likes</x:v>
      </x:c>
      <x:c r="I12" s="31" t="n">
        <x:v>289.1645429659</x:v>
      </x:c>
      <x:c r="J12" s="31" t="n">
        <x:v>289.1645429659</x:v>
      </x:c>
      <x:c r="K12" s="31" t="n">
        <x:v>0</x:v>
      </x:c>
      <x:c r="L12" s="31" t="n">
        <x:v>103.12434792009999</x:v>
      </x:c>
      <x:c r="M12" s="31" t="n">
        <x:v>186.0401950458</x:v>
      </x:c>
      <x:c r="N12" s="24" t="str">
        <x:v>selar crumenophthalmus</x:v>
      </x:c>
      <x:c r="O12" s="32" t="n">
        <x:v>3.81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Selar crumenophthalmus</x:v>
      </x:c>
      <x:c r="T12" s="32" t="n">
        <x:f>IF(O12="","",(1/'Metadata'!$B$5)^(O12-1))</x:f>
        <x:v>645.6542290346556</x:v>
      </x:c>
      <x:c r="U12" s="31" t="n">
        <x:f>IF(T12="","",I12*T12)</x:f>
        <x:v>186700.31005280672</x:v>
      </x:c>
    </x:row>
    <x:row r="13" ht="18" customHeight="1">
      <x:c r="A13" s="24" t="str">
        <x:v>EEZ_842</x:v>
      </x:c>
      <x:c r="B13" s="24" t="str">
        <x:v>Hawaii Main Islands (USA)</x:v>
      </x:c>
      <x:c r="C13" s="24" t="str">
        <x:v>EEZ</x:v>
      </x:c>
      <x:c r="D13" s="30" t="n">
        <x:v>2019</x:v>
      </x:c>
      <x:c r="E13" s="24" t="str">
        <x:v>Pristipomoides filamentosus</x:v>
      </x:c>
      <x:c r="F13" s="24" t="str">
        <x:v>Crimson jobfish</x:v>
      </x:c>
      <x:c r="G13" s="24" t="str">
        <x:v>Medium demersals (30 - 89 cm)</x:v>
      </x:c>
      <x:c r="H13" s="24" t="str">
        <x:v>Perch-likes</x:v>
      </x:c>
      <x:c r="I13" s="31" t="n">
        <x:v>266.724669777</x:v>
      </x:c>
      <x:c r="J13" s="31" t="n">
        <x:v>266.724669777</x:v>
      </x:c>
      <x:c r="K13" s="31" t="n">
        <x:v>0</x:v>
      </x:c>
      <x:c r="L13" s="31" t="n">
        <x:v>28.105977449999997</x:v>
      </x:c>
      <x:c r="M13" s="31" t="n">
        <x:v>238.618692327</x:v>
      </x:c>
      <x:c r="N13" s="24" t="str">
        <x:v>pristipomoides filamentosus</x:v>
      </x:c>
      <x:c r="O13" s="32" t="n">
        <x:v>4.19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Pristipomoides filamentosus</x:v>
      </x:c>
      <x:c r="T13" s="32" t="n">
        <x:f>IF(O13="","",(1/'Metadata'!$B$5)^(O13-1))</x:f>
        <x:v>1548.8166189124827</x:v>
      </x:c>
      <x:c r="U13" s="31" t="n">
        <x:f>IF(T13="","",I13*T13)</x:f>
        <x:v>413107.6012245616</x:v>
      </x:c>
    </x:row>
    <x:row r="14" ht="18" customHeight="1">
      <x:c r="A14" s="24" t="str">
        <x:v>EEZ_842</x:v>
      </x:c>
      <x:c r="B14" s="24" t="str">
        <x:v>Hawaii Main Islands (USA)</x:v>
      </x:c>
      <x:c r="C14" s="24" t="str">
        <x:v>EEZ</x:v>
      </x:c>
      <x:c r="D14" s="30" t="n">
        <x:v>2019</x:v>
      </x:c>
      <x:c r="E14" s="24" t="str">
        <x:v>Mulloidichthys vanicolensis</x:v>
      </x:c>
      <x:c r="F14" s="24" t="str">
        <x:v>Yellowfin goatfish</x:v>
      </x:c>
      <x:c r="G14" s="24" t="str">
        <x:v>Medium reef assoc. fish (30 - 89 cm)</x:v>
      </x:c>
      <x:c r="H14" s="24" t="str">
        <x:v>Perch-likes</x:v>
      </x:c>
      <x:c r="I14" s="31" t="n">
        <x:v>207.4320032008</x:v>
      </x:c>
      <x:c r="J14" s="31" t="n">
        <x:v>207.4320032008</x:v>
      </x:c>
      <x:c r="K14" s="31" t="n">
        <x:v>0</x:v>
      </x:c>
      <x:c r="L14" s="31" t="n">
        <x:v>7.6239896218</x:v>
      </x:c>
      <x:c r="M14" s="31" t="n">
        <x:v>199.808013579</x:v>
      </x:c>
      <x:c r="N14" s="24" t="str">
        <x:v>mulloidichthys vanicolensis</x:v>
      </x:c>
      <x:c r="O14" s="32" t="n">
        <x:v>3.6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Mulloidichthys vanicolensis</x:v>
      </x:c>
      <x:c r="T14" s="32" t="n">
        <x:f>IF(O14="","",(1/'Metadata'!$B$5)^(O14-1))</x:f>
        <x:v>398.1071705534973</x:v>
      </x:c>
      <x:c r="U14" s="31" t="n">
        <x:f>IF(T14="","",I14*T14)</x:f>
        <x:v>82580.16787651449</x:v>
      </x:c>
    </x:row>
    <x:row r="15" ht="18" customHeight="1">
      <x:c r="A15" s="24" t="str">
        <x:v>EEZ_842</x:v>
      </x:c>
      <x:c r="B15" s="24" t="str">
        <x:v>Hawaii Main Islands (USA)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205.7046360763</x:v>
      </x:c>
      <x:c r="J15" s="31" t="n">
        <x:v>205.7046360763</x:v>
      </x:c>
      <x:c r="K15" s="31" t="n">
        <x:v>0</x:v>
      </x:c>
      <x:c r="L15" s="31" t="n">
        <x:v>0</x:v>
      </x:c>
      <x:c r="M15" s="31" t="n">
        <x:v>205.7046360763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650495.17525715</x:v>
      </x:c>
    </x:row>
    <x:row r="16" ht="18" customHeight="1">
      <x:c r="A16" s="24" t="str">
        <x:v>EEZ_842</x:v>
      </x:c>
      <x:c r="B16" s="24" t="str">
        <x:v>Hawaii Main Islands (USA)</x:v>
      </x:c>
      <x:c r="C16" s="24" t="str">
        <x:v>EEZ</x:v>
      </x:c>
      <x:c r="D16" s="30" t="n">
        <x:v>2019</x:v>
      </x:c>
      <x:c r="E16" s="24" t="str">
        <x:v>Tetrapturus angustirostris</x:v>
      </x:c>
      <x:c r="F16" s="24" t="str">
        <x:v>Shortbill spearfish</x:v>
      </x:c>
      <x:c r="G16" s="24" t="str">
        <x:v>Large pelagics (&gt;=90 cm)</x:v>
      </x:c>
      <x:c r="H16" s="24" t="str">
        <x:v>Tuna &amp; billfishes</x:v>
      </x:c>
      <x:c r="I16" s="31" t="n">
        <x:v>203.5558507285</x:v>
      </x:c>
      <x:c r="J16" s="31" t="n">
        <x:v>203.5558507285</x:v>
      </x:c>
      <x:c r="K16" s="31" t="n">
        <x:v>0</x:v>
      </x:c>
      <x:c r="L16" s="31" t="n">
        <x:v>0</x:v>
      </x:c>
      <x:c r="M16" s="31" t="n">
        <x:v>203.5558507285</x:v>
      </x:c>
      <x:c r="N16" s="24" t="str">
        <x:v>tetrapturus angustirostris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Tetrapturus angustirostris</x:v>
      </x:c>
      <x:c r="T16" s="32" t="n">
        <x:f>IF(O16="","",(1/'Metadata'!$B$5)^(O16-1))</x:f>
        <x:v>3162.2776601683795</x:v>
      </x:c>
      <x:c r="U16" s="31" t="n">
        <x:f>IF(T16="","",I16*T16)</x:f>
        <x:v>643700.1193553049</x:v>
      </x:c>
    </x:row>
    <x:row r="17" ht="18" customHeight="1">
      <x:c r="A17" s="24" t="str">
        <x:v>EEZ_842</x:v>
      </x:c>
      <x:c r="B17" s="24" t="str">
        <x:v>Hawaii Main Islands (USA)</x:v>
      </x:c>
      <x:c r="C17" s="24" t="str">
        <x:v>EEZ</x:v>
      </x:c>
      <x:c r="D17" s="30" t="n">
        <x:v>2019</x:v>
      </x:c>
      <x:c r="E17" s="24" t="str">
        <x:v>Kajikia audax</x:v>
      </x:c>
      <x:c r="F17" s="24" t="str">
        <x:v>Striped marlin</x:v>
      </x:c>
      <x:c r="G17" s="24" t="str">
        <x:v>Large pelagics (&gt;=90 cm)</x:v>
      </x:c>
      <x:c r="H17" s="24" t="str">
        <x:v>Tuna &amp; billfishes</x:v>
      </x:c>
      <x:c r="I17" s="31" t="n">
        <x:v>180.1316547985</x:v>
      </x:c>
      <x:c r="J17" s="31" t="n">
        <x:v>180.1316547985</x:v>
      </x:c>
      <x:c r="K17" s="31" t="n">
        <x:v>0</x:v>
      </x:c>
      <x:c r="L17" s="31" t="n">
        <x:v>38.6651086296</x:v>
      </x:c>
      <x:c r="M17" s="31" t="n">
        <x:v>141.4665461689</x:v>
      </x:c>
      <x:c r="N17" s="24" t="str">
        <x:v>kajikia audax</x:v>
      </x:c>
      <x:c r="O17" s="32" t="n">
        <x:v>4.58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audax</x:v>
      </x:c>
      <x:c r="T17" s="32" t="n">
        <x:f>IF(O17="","",(1/'Metadata'!$B$5)^(O17-1))</x:f>
        <x:v>3801.8939632056126</x:v>
      </x:c>
      <x:c r="U17" s="31" t="n">
        <x:f>IF(T17="","",I17*T17)</x:f>
        <x:v>684841.4509606544</x:v>
      </x:c>
    </x:row>
    <x:row r="18" ht="18" customHeight="1">
      <x:c r="A18" s="24" t="str">
        <x:v>EEZ_842</x:v>
      </x:c>
      <x:c r="B18" s="24" t="str">
        <x:v>Hawaii Main Islands (USA)</x:v>
      </x:c>
      <x:c r="C18" s="24" t="str">
        <x:v>EEZ</x:v>
      </x:c>
      <x:c r="D18" s="30" t="n">
        <x:v>2019</x:v>
      </x:c>
      <x:c r="E18" s="24" t="str">
        <x:v>Prionace glauca</x:v>
      </x:c>
      <x:c r="F18" s="24" t="str">
        <x:v>Blue shark</x:v>
      </x:c>
      <x:c r="G18" s="24" t="str">
        <x:v>Large sharks (&gt;=90 cm)</x:v>
      </x:c>
      <x:c r="H18" s="24" t="str">
        <x:v>Sharks &amp; rays</x:v>
      </x:c>
      <x:c r="I18" s="31" t="n">
        <x:v>162.2763142271</x:v>
      </x:c>
      <x:c r="J18" s="31" t="n">
        <x:v>0</x:v>
      </x:c>
      <x:c r="K18" s="31" t="n">
        <x:v>162.2763142271</x:v>
      </x:c>
      <x:c r="L18" s="31" t="n">
        <x:v>0</x:v>
      </x:c>
      <x:c r="M18" s="31" t="n">
        <x:v>162.2763142271</x:v>
      </x:c>
      <x:c r="N18" s="24" t="str">
        <x:v>prionace glauca</x:v>
      </x:c>
      <x:c r="O18" s="32" t="n">
        <x:v>4.35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Prionace glauca</x:v>
      </x:c>
      <x:c r="T18" s="32" t="n">
        <x:f>IF(O18="","",(1/'Metadata'!$B$5)^(O18-1))</x:f>
        <x:v>2238.7211385683377</x:v>
      </x:c>
      <x:c r="U18" s="31" t="n">
        <x:f>IF(T18="","",I18*T18)</x:f>
        <x:v>363291.4149491666</x:v>
      </x:c>
    </x:row>
    <x:row r="19" ht="18" customHeight="1">
      <x:c r="A19" s="24" t="str">
        <x:v>EEZ_842</x:v>
      </x:c>
      <x:c r="B19" s="24" t="str">
        <x:v>Hawaii Main Islands (USA)</x:v>
      </x:c>
      <x:c r="C19" s="24" t="str">
        <x:v>EEZ</x:v>
      </x:c>
      <x:c r="D19" s="30" t="n">
        <x:v>2019</x:v>
      </x:c>
      <x:c r="E19" s="24" t="str">
        <x:v>Ferdauia orthogrammus</x:v>
      </x:c>
      <x:c r="F19" s="24" t="str">
        <x:v>Island trevally</x:v>
      </x:c>
      <x:c r="G19" s="24" t="str">
        <x:v>Medium pelagics (30 - 89 cm)</x:v>
      </x:c>
      <x:c r="H19" s="24" t="str">
        <x:v>Perch-likes</x:v>
      </x:c>
      <x:c r="I19" s="31" t="n">
        <x:v>156.7612205693</x:v>
      </x:c>
      <x:c r="J19" s="31" t="n">
        <x:v>156.7612205693</x:v>
      </x:c>
      <x:c r="K19" s="31" t="n">
        <x:v>0</x:v>
      </x:c>
      <x:c r="L19" s="31" t="n">
        <x:v>2.5578104159999997</x:v>
      </x:c>
      <x:c r="M19" s="31" t="n">
        <x:v>154.2034101533</x:v>
      </x:c>
      <x:c r="N19" s="24" t="str">
        <x:v>ferdauia orthogrammus</x:v>
      </x:c>
      <x:c r="O19" s="32" t="n">
        <x:v>4.48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Ferdauia orthogrammus</x:v>
      </x:c>
      <x:c r="T19" s="32" t="n">
        <x:f>IF(O19="","",(1/'Metadata'!$B$5)^(O19-1))</x:f>
        <x:v>3019.951720402019</x:v>
      </x:c>
      <x:c r="U19" s="31" t="n">
        <x:f>IF(T19="","",I19*T19)</x:f>
        <x:v>473411.31775057793</x:v>
      </x:c>
    </x:row>
    <x:row r="20" ht="18" customHeight="1">
      <x:c r="A20" s="24" t="str">
        <x:v>EEZ_842</x:v>
      </x:c>
      <x:c r="B20" s="24" t="str">
        <x:v>Hawaii Main Islands (USA)</x:v>
      </x:c>
      <x:c r="C20" s="24" t="str">
        <x:v>EEZ</x:v>
      </x:c>
      <x:c r="D20" s="30" t="n">
        <x:v>2019</x:v>
      </x:c>
      <x:c r="E20" s="24" t="str">
        <x:v>Caranx ignobilis</x:v>
      </x:c>
      <x:c r="F20" s="24" t="str">
        <x:v>Giant trevally</x:v>
      </x:c>
      <x:c r="G20" s="24" t="str">
        <x:v>Large reef assoc. fish (&gt;=90 cm)</x:v>
      </x:c>
      <x:c r="H20" s="24" t="str">
        <x:v>Perch-likes</x:v>
      </x:c>
      <x:c r="I20" s="31" t="n">
        <x:v>152.8835172004</x:v>
      </x:c>
      <x:c r="J20" s="31" t="n">
        <x:v>152.8835172004</x:v>
      </x:c>
      <x:c r="K20" s="31" t="n">
        <x:v>0</x:v>
      </x:c>
      <x:c r="L20" s="31" t="n">
        <x:v>2.7555769250999997</x:v>
      </x:c>
      <x:c r="M20" s="31" t="n">
        <x:v>150.1279402753</x:v>
      </x:c>
      <x:c r="N20" s="24" t="str">
        <x:v>caranx ignobilis</x:v>
      </x:c>
      <x:c r="O20" s="32" t="n">
        <x:v>4.22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Caranx ignobilis</x:v>
      </x:c>
      <x:c r="T20" s="32" t="n">
        <x:f>IF(O20="","",(1/'Metadata'!$B$5)^(O20-1))</x:f>
        <x:v>1659.5869074375596</x:v>
      </x:c>
      <x:c r="U20" s="31" t="n">
        <x:f>IF(T20="","",I20*T20)</x:f>
        <x:v>253723.4835087888</x:v>
      </x:c>
    </x:row>
    <x:row r="21" ht="18" customHeight="1">
      <x:c r="A21" s="24" t="str">
        <x:v>EEZ_842</x:v>
      </x:c>
      <x:c r="B21" s="24" t="str">
        <x:v>Hawaii Main Islands (USA)</x:v>
      </x:c>
      <x:c r="C21" s="24" t="str">
        <x:v>EEZ</x:v>
      </x:c>
      <x:c r="D21" s="30" t="n">
        <x:v>2019</x:v>
      </x:c>
      <x:c r="E21" s="24" t="str">
        <x:v>Lutjanus kasmira</x:v>
      </x:c>
      <x:c r="F21" s="24" t="str">
        <x:v>Common bluestripe snapper</x:v>
      </x:c>
      <x:c r="G21" s="24" t="str">
        <x:v>Medium reef assoc. fish (30 - 89 cm)</x:v>
      </x:c>
      <x:c r="H21" s="24" t="str">
        <x:v>Perch-likes</x:v>
      </x:c>
      <x:c r="I21" s="31" t="n">
        <x:v>141.8588970148</x:v>
      </x:c>
      <x:c r="J21" s="31" t="n">
        <x:v>141.8588970148</x:v>
      </x:c>
      <x:c r="K21" s="31" t="n">
        <x:v>0</x:v>
      </x:c>
      <x:c r="L21" s="31" t="n">
        <x:v>13.723453469899999</x:v>
      </x:c>
      <x:c r="M21" s="31" t="n">
        <x:v>128.1354435449</x:v>
      </x:c>
      <x:c r="N21" s="24" t="str">
        <x:v>lutjanus kasmira</x:v>
      </x:c>
      <x:c r="O21" s="32" t="n">
        <x:v>3.87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kasmira</x:v>
      </x:c>
      <x:c r="T21" s="32" t="n">
        <x:f>IF(O21="","",(1/'Metadata'!$B$5)^(O21-1))</x:f>
        <x:v>741.3102413009177</x:v>
      </x:c>
      <x:c r="U21" s="31" t="n">
        <x:f>IF(T21="","",I21*T21)</x:f>
        <x:v>105161.45317672341</x:v>
      </x:c>
    </x:row>
    <x:row r="22" ht="18" customHeight="1">
      <x:c r="A22" s="24" t="str">
        <x:v>EEZ_842</x:v>
      </x:c>
      <x:c r="B22" s="24" t="str">
        <x:v>Hawaii Main Islands (USA)</x:v>
      </x:c>
      <x:c r="C22" s="24" t="str">
        <x:v>EEZ</x:v>
      </x:c>
      <x:c r="D22" s="30" t="n">
        <x:v>2019</x:v>
      </x:c>
      <x:c r="E22" s="24" t="str">
        <x:v>Sphyrna lewini</x:v>
      </x:c>
      <x:c r="F22" s="24" t="str">
        <x:v>Scalloped hammerhead</x:v>
      </x:c>
      <x:c r="G22" s="24" t="str">
        <x:v>Large sharks (&gt;=90 cm)</x:v>
      </x:c>
      <x:c r="H22" s="24" t="str">
        <x:v>Sharks &amp; rays</x:v>
      </x:c>
      <x:c r="I22" s="31" t="n">
        <x:v>121.6614588434</x:v>
      </x:c>
      <x:c r="J22" s="31" t="n">
        <x:v>121.6614588434</x:v>
      </x:c>
      <x:c r="K22" s="31" t="n">
        <x:v>0</x:v>
      </x:c>
      <x:c r="L22" s="31" t="n">
        <x:v>0</x:v>
      </x:c>
      <x:c r="M22" s="31" t="n">
        <x:v>121.6614588434</x:v>
      </x:c>
      <x:c r="N22" s="24" t="str">
        <x:v>sphyrna lewini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Sphyrna lewini</x:v>
      </x:c>
      <x:c r="T22" s="32" t="n">
        <x:f>IF(O22="","",(1/'Metadata'!$B$5)^(O22-1))</x:f>
        <x:v>1202.2644346174131</x:v>
      </x:c>
      <x:c r="U22" s="31" t="n">
        <x:f>IF(T22="","",I22*T22)</x:f>
        <x:v>146269.24503109</x:v>
      </x:c>
    </x:row>
    <x:row r="23" ht="18" customHeight="1">
      <x:c r="A23" s="24" t="str">
        <x:v>EEZ_842</x:v>
      </x:c>
      <x:c r="B23" s="24" t="str">
        <x:v>Hawaii Main Islands (USA)</x:v>
      </x:c>
      <x:c r="C23" s="24" t="str">
        <x:v>EEZ</x:v>
      </x:c>
      <x:c r="D23" s="30" t="n">
        <x:v>2019</x:v>
      </x:c>
      <x:c r="E23" s="24" t="str">
        <x:v>Ruvettus pretiosus</x:v>
      </x:c>
      <x:c r="F23" s="24" t="str">
        <x:v>Oilfish</x:v>
      </x:c>
      <x:c r="G23" s="24" t="str">
        <x:v>Large benthopelagics (&gt;=90 cm)</x:v>
      </x:c>
      <x:c r="H23" s="24" t="str">
        <x:v>Perch-likes</x:v>
      </x:c>
      <x:c r="I23" s="31" t="n">
        <x:v>106.83468317340001</x:v>
      </x:c>
      <x:c r="J23" s="31" t="n">
        <x:v>103.55571704670001</x:v>
      </x:c>
      <x:c r="K23" s="31" t="n">
        <x:v>3.2789661267</x:v>
      </x:c>
      <x:c r="L23" s="31" t="n">
        <x:v>103.55571704670001</x:v>
      </x:c>
      <x:c r="M23" s="31" t="n">
        <x:v>3.2789661267</x:v>
      </x:c>
      <x:c r="N23" s="24" t="str">
        <x:v>ruvettus pretiosus</x:v>
      </x:c>
      <x:c r="O23" s="32" t="n">
        <x:v>4.18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Ruvettus pretiosus</x:v>
      </x:c>
      <x:c r="T23" s="32" t="n">
        <x:f>IF(O23="","",(1/'Metadata'!$B$5)^(O23-1))</x:f>
        <x:v>1513.5612484362073</x:v>
      </x:c>
      <x:c r="U23" s="31" t="n">
        <x:f>IF(T23="","",I23*T23)</x:f>
        <x:v>161700.83644021797</x:v>
      </x:c>
    </x:row>
    <x:row r="24" ht="18" customHeight="1">
      <x:c r="A24" s="24" t="str">
        <x:v>EEZ_842</x:v>
      </x:c>
      <x:c r="B24" s="24" t="str">
        <x:v>Hawaii Main Islands (USA)</x:v>
      </x:c>
      <x:c r="C24" s="24" t="str">
        <x:v>EEZ</x:v>
      </x:c>
      <x:c r="D24" s="30" t="n">
        <x:v>2019</x:v>
      </x:c>
      <x:c r="E24" s="24" t="str">
        <x:v>Acanthurus triostegus</x:v>
      </x:c>
      <x:c r="F24" s="24" t="str">
        <x:v>Convict surgeonfish</x:v>
      </x:c>
      <x:c r="G24" s="24" t="str">
        <x:v>Small reef assoc. fish (&lt;30 cm)</x:v>
      </x:c>
      <x:c r="H24" s="24" t="str">
        <x:v>Perch-likes</x:v>
      </x:c>
      <x:c r="I24" s="31" t="n">
        <x:v>93.39310950839999</x:v>
      </x:c>
      <x:c r="J24" s="31" t="n">
        <x:v>93.39310950839999</x:v>
      </x:c>
      <x:c r="K24" s="31" t="n">
        <x:v>0</x:v>
      </x:c>
      <x:c r="L24" s="31" t="n">
        <x:v>4.1816730321</x:v>
      </x:c>
      <x:c r="M24" s="31" t="n">
        <x:v>89.2114364763</x:v>
      </x:c>
      <x:c r="N24" s="24" t="str">
        <x:v>acanthurus triostegus</x:v>
      </x:c>
      <x:c r="O24" s="32" t="n">
        <x:v>2.78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Acanthurus triostegus</x:v>
      </x:c>
      <x:c r="T24" s="32" t="n">
        <x:f>IF(O24="","",(1/'Metadata'!$B$5)^(O24-1))</x:f>
        <x:v>60.255958607435744</x:v>
      </x:c>
      <x:c r="U24" s="31" t="n">
        <x:f>IF(T24="","",I24*T24)</x:f>
        <x:v>5627.491340757863</x:v>
      </x:c>
    </x:row>
    <x:row r="25" ht="18" customHeight="1">
      <x:c r="A25" s="24" t="str">
        <x:v>EEZ_842</x:v>
      </x:c>
      <x:c r="B25" s="24" t="str">
        <x:v>Hawaii Main Islands (USA)</x:v>
      </x:c>
      <x:c r="C25" s="24" t="str">
        <x:v>EEZ</x:v>
      </x:c>
      <x:c r="D25" s="30" t="n">
        <x:v>2019</x:v>
      </x:c>
      <x:c r="E25" s="24" t="str">
        <x:v>Aprion virescens</x:v>
      </x:c>
      <x:c r="F25" s="24" t="str">
        <x:v>Green jobfish</x:v>
      </x:c>
      <x:c r="G25" s="24" t="str">
        <x:v>Large reef assoc. fish (&gt;=90 cm)</x:v>
      </x:c>
      <x:c r="H25" s="24" t="str">
        <x:v>Perch-likes</x:v>
      </x:c>
      <x:c r="I25" s="31" t="n">
        <x:v>87.6918542029</x:v>
      </x:c>
      <x:c r="J25" s="31" t="n">
        <x:v>87.6918542029</x:v>
      </x:c>
      <x:c r="K25" s="31" t="n">
        <x:v>0</x:v>
      </x:c>
      <x:c r="L25" s="31" t="n">
        <x:v>37.5348132601</x:v>
      </x:c>
      <x:c r="M25" s="31" t="n">
        <x:v>50.1570409428</x:v>
      </x:c>
      <x:c r="N25" s="24" t="str">
        <x:v>aprion virescens</x:v>
      </x:c>
      <x:c r="O25" s="32" t="n">
        <x:v>4.28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Aprion virescens</x:v>
      </x:c>
      <x:c r="T25" s="32" t="n">
        <x:f>IF(O25="","",(1/'Metadata'!$B$5)^(O25-1))</x:f>
        <x:v>1905.4607179632483</x:v>
      </x:c>
      <x:c r="U25" s="31" t="n">
        <x:f>IF(T25="","",I25*T25)</x:f>
        <x:v>167093.38346898634</x:v>
      </x:c>
    </x:row>
    <x:row r="26" ht="18" customHeight="1">
      <x:c r="A26" s="24" t="str">
        <x:v>EEZ_842</x:v>
      </x:c>
      <x:c r="B26" s="24" t="str">
        <x:v>Hawaii Main Islands (USA)</x:v>
      </x:c>
      <x:c r="C26" s="24" t="str">
        <x:v>EEZ</x:v>
      </x:c>
      <x:c r="D26" s="30" t="n">
        <x:v>2019</x:v>
      </x:c>
      <x:c r="E26" s="24" t="str">
        <x:v>Parupeneus multifasciatus</x:v>
      </x:c>
      <x:c r="F26" s="24" t="str">
        <x:v>Manybar goatfish</x:v>
      </x:c>
      <x:c r="G26" s="24" t="str">
        <x:v>Medium reef assoc. fish (30 - 89 cm)</x:v>
      </x:c>
      <x:c r="H26" s="24" t="str">
        <x:v>Perch-likes</x:v>
      </x:c>
      <x:c r="I26" s="31" t="n">
        <x:v>77.21270925409999</x:v>
      </x:c>
      <x:c r="J26" s="31" t="n">
        <x:v>77.21270925409999</x:v>
      </x:c>
      <x:c r="K26" s="31" t="n">
        <x:v>0</x:v>
      </x:c>
      <x:c r="L26" s="31" t="n">
        <x:v>0.8754343150999999</x:v>
      </x:c>
      <x:c r="M26" s="31" t="n">
        <x:v>76.337274939</x:v>
      </x:c>
      <x:c r="N26" s="24" t="str">
        <x:v>parupeneus multifasciatus</x:v>
      </x:c>
      <x:c r="O26" s="32" t="n">
        <x:v>3.5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Parupeneus multifasciatus</x:v>
      </x:c>
      <x:c r="T26" s="32" t="n">
        <x:f>IF(O26="","",(1/'Metadata'!$B$5)^(O26-1))</x:f>
        <x:v>316.22776601683796</x:v>
      </x:c>
      <x:c r="U26" s="31" t="n">
        <x:f>IF(T26="","",I26*T26)</x:f>
        <x:v>24416.80255553167</x:v>
      </x:c>
    </x:row>
    <x:row r="27" ht="18" customHeight="1">
      <x:c r="A27" s="24" t="str">
        <x:v>EEZ_842</x:v>
      </x:c>
      <x:c r="B27" s="24" t="str">
        <x:v>Hawaii Main Islands (USA)</x:v>
      </x:c>
      <x:c r="C27" s="24" t="str">
        <x:v>EEZ</x:v>
      </x:c>
      <x:c r="D27" s="30" t="n">
        <x:v>2019</x:v>
      </x:c>
      <x:c r="E27" s="24" t="str">
        <x:v>Etelis coruscans</x:v>
      </x:c>
      <x:c r="F27" s="24" t="str">
        <x:v>Deepwater longtail red snapper</x:v>
      </x:c>
      <x:c r="G27" s="24" t="str">
        <x:v>Large bathydemersals (&gt;=90 cm)</x:v>
      </x:c>
      <x:c r="H27" s="24" t="str">
        <x:v>Perch-likes</x:v>
      </x:c>
      <x:c r="I27" s="31" t="n">
        <x:v>77.0308251526</x:v>
      </x:c>
      <x:c r="J27" s="31" t="n">
        <x:v>77.0308251526</x:v>
      </x:c>
      <x:c r="K27" s="31" t="n">
        <x:v>0</x:v>
      </x:c>
      <x:c r="L27" s="31" t="n">
        <x:v>24.58927162</x:v>
      </x:c>
      <x:c r="M27" s="31" t="n">
        <x:v>52.4415535326</x:v>
      </x:c>
      <x:c r="N27" s="24" t="str">
        <x:v>etelis coruscans</x:v>
      </x:c>
      <x:c r="O27" s="32" t="n">
        <x:v>4.42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Etelis coruscans</x:v>
      </x:c>
      <x:c r="T27" s="32" t="n">
        <x:f>IF(O27="","",(1/'Metadata'!$B$5)^(O27-1))</x:f>
        <x:v>2630.2679918953813</x:v>
      </x:c>
      <x:c r="U27" s="31" t="n">
        <x:f>IF(T27="","",I27*T27)</x:f>
        <x:v>202611.71378817345</x:v>
      </x:c>
    </x:row>
    <x:row r="28" ht="18" customHeight="1">
      <x:c r="A28" s="24" t="str">
        <x:v>EEZ_842</x:v>
      </x:c>
      <x:c r="B28" s="24" t="str">
        <x:v>Hawaii Main Islands (USA)</x:v>
      </x:c>
      <x:c r="C28" s="24" t="str">
        <x:v>EEZ</x:v>
      </x:c>
      <x:c r="D28" s="30" t="n">
        <x:v>2019</x:v>
      </x:c>
      <x:c r="E28" s="24" t="str">
        <x:v>Acanthurus xanthopterus</x:v>
      </x:c>
      <x:c r="F28" s="24" t="str">
        <x:v>Yellowfin surgeonfish</x:v>
      </x:c>
      <x:c r="G28" s="24" t="str">
        <x:v>Medium reef assoc. fish (30 - 89 cm)</x:v>
      </x:c>
      <x:c r="H28" s="24" t="str">
        <x:v>Perch-likes</x:v>
      </x:c>
      <x:c r="I28" s="31" t="n">
        <x:v>72.425643833</x:v>
      </x:c>
      <x:c r="J28" s="31" t="n">
        <x:v>72.425643833</x:v>
      </x:c>
      <x:c r="K28" s="31" t="n">
        <x:v>0</x:v>
      </x:c>
      <x:c r="L28" s="31" t="n">
        <x:v>0</x:v>
      </x:c>
      <x:c r="M28" s="31" t="n">
        <x:v>72.425643833</x:v>
      </x:c>
      <x:c r="N28" s="24" t="str">
        <x:v>acanthurus xanthopterus</x:v>
      </x:c>
      <x:c r="O28" s="32" t="n">
        <x:v>2.87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Acanthurus xanthopterus</x:v>
      </x:c>
      <x:c r="T28" s="32" t="n">
        <x:f>IF(O28="","",(1/'Metadata'!$B$5)^(O28-1))</x:f>
        <x:v>74.13102413009177</x:v>
      </x:c>
      <x:c r="U28" s="31" t="n">
        <x:f>IF(T28="","",I28*T28)</x:f>
        <x:v>5368.987150621555</x:v>
      </x:c>
    </x:row>
    <x:row r="29" ht="18" customHeight="1">
      <x:c r="A29" s="24" t="str">
        <x:v>EEZ_842</x:v>
      </x:c>
      <x:c r="B29" s="24" t="str">
        <x:v>Hawaii Main Islands (USA)</x:v>
      </x:c>
      <x:c r="C29" s="24" t="str">
        <x:v>EEZ</x:v>
      </x:c>
      <x:c r="D29" s="30" t="n">
        <x:v>2019</x:v>
      </x:c>
      <x:c r="E29" s="24" t="str">
        <x:v>Etelis carbunculus</x:v>
      </x:c>
      <x:c r="F29" s="24" t="str">
        <x:v>Deep-water red snapper</x:v>
      </x:c>
      <x:c r="G29" s="24" t="str">
        <x:v>Large demersals (&gt;=90 cm)</x:v>
      </x:c>
      <x:c r="H29" s="24" t="str">
        <x:v>Perch-likes</x:v>
      </x:c>
      <x:c r="I29" s="31" t="n">
        <x:v>72.03158193269999</x:v>
      </x:c>
      <x:c r="J29" s="31" t="n">
        <x:v>72.03158193269999</x:v>
      </x:c>
      <x:c r="K29" s="31" t="n">
        <x:v>0</x:v>
      </x:c>
      <x:c r="L29" s="31" t="n">
        <x:v>11.213723910099999</x:v>
      </x:c>
      <x:c r="M29" s="31" t="n">
        <x:v>60.8178580226</x:v>
      </x:c>
      <x:c r="N29" s="24" t="str">
        <x:v>etelis carbunculus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Etelis carbunculus</x:v>
      </x:c>
      <x:c r="T29" s="32" t="n">
        <x:f>IF(O29="","",(1/'Metadata'!$B$5)^(O29-1))</x:f>
        <x:v>3090.295432513592</x:v>
      </x:c>
      <x:c r="U29" s="31" t="n">
        <x:f>IF(T29="","",I29*T29)</x:f>
        <x:v>222598.86864335136</x:v>
      </x:c>
    </x:row>
    <x:row r="30" ht="18" customHeight="1">
      <x:c r="A30" s="24" t="str">
        <x:v>EEZ_842</x:v>
      </x:c>
      <x:c r="B30" s="24" t="str">
        <x:v>Hawaii Main Islands (USA)</x:v>
      </x:c>
      <x:c r="C30" s="24" t="str">
        <x:v>EEZ</x:v>
      </x:c>
      <x:c r="D30" s="30" t="n">
        <x:v>2019</x:v>
      </x:c>
      <x:c r="E30" s="24" t="str">
        <x:v>Mulloidichthys flavolineatus</x:v>
      </x:c>
      <x:c r="F30" s="24" t="str">
        <x:v>Yellowstripe goatfish</x:v>
      </x:c>
      <x:c r="G30" s="24" t="str">
        <x:v>Medium reef assoc. fish (30 - 89 cm)</x:v>
      </x:c>
      <x:c r="H30" s="24" t="str">
        <x:v>Perch-likes</x:v>
      </x:c>
      <x:c r="I30" s="31" t="n">
        <x:v>69.22022546269999</x:v>
      </x:c>
      <x:c r="J30" s="31" t="n">
        <x:v>69.22022546269999</x:v>
      </x:c>
      <x:c r="K30" s="31" t="n">
        <x:v>0</x:v>
      </x:c>
      <x:c r="L30" s="31" t="n">
        <x:v>1.3335631542</x:v>
      </x:c>
      <x:c r="M30" s="31" t="n">
        <x:v>67.8866623085</x:v>
      </x:c>
      <x:c r="N30" s="24" t="str">
        <x:v>mulloidichthys flavolineatus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Mulloidichthys flavolineatus</x:v>
      </x:c>
      <x:c r="T30" s="32" t="n">
        <x:f>IF(O30="","",(1/'Metadata'!$B$5)^(O30-1))</x:f>
        <x:v>691.8309709189363</x:v>
      </x:c>
      <x:c r="U30" s="31" t="n">
        <x:f>IF(T30="","",I30*T30)</x:f>
        <x:v>47888.695789087404</x:v>
      </x:c>
    </x:row>
    <x:row r="31" ht="18" customHeight="1">
      <x:c r="A31" s="24" t="str">
        <x:v>EEZ_842</x:v>
      </x:c>
      <x:c r="B31" s="24" t="str">
        <x:v>Hawaii Main Islands (USA)</x:v>
      </x:c>
      <x:c r="C31" s="24" t="str">
        <x:v>EEZ</x:v>
      </x:c>
      <x:c r="D31" s="30" t="n">
        <x:v>2019</x:v>
      </x:c>
      <x:c r="E31" s="24" t="str">
        <x:v>Thunnus alalunga</x:v>
      </x:c>
      <x:c r="F31" s="24" t="str">
        <x:v>Albacore</x:v>
      </x:c>
      <x:c r="G31" s="24" t="str">
        <x:v>Large pelagics (&gt;=90 cm)</x:v>
      </x:c>
      <x:c r="H31" s="24" t="str">
        <x:v>Tuna &amp; billfishes</x:v>
      </x:c>
      <x:c r="I31" s="31" t="n">
        <x:v>63.55008717250001</x:v>
      </x:c>
      <x:c r="J31" s="31" t="n">
        <x:v>63.55008717250001</x:v>
      </x:c>
      <x:c r="K31" s="31" t="n">
        <x:v>0</x:v>
      </x:c>
      <x:c r="L31" s="31" t="n">
        <x:v>0.2638545105</x:v>
      </x:c>
      <x:c r="M31" s="31" t="n">
        <x:v>63.286232662</x:v>
      </x:c>
      <x:c r="N31" s="24" t="str">
        <x:v>thunnus alalunga</x:v>
      </x:c>
      <x:c r="O31" s="32" t="n">
        <x:v>4.3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alalunga</x:v>
      </x:c>
      <x:c r="T31" s="32" t="n">
        <x:f>IF(O31="","",(1/'Metadata'!$B$5)^(O31-1))</x:f>
        <x:v>1995.2623149688789</x:v>
      </x:c>
      <x:c r="U31" s="31" t="n">
        <x:f>IF(T31="","",I31*T31)</x:f>
        <x:v>126799.09404827641</x:v>
      </x:c>
    </x:row>
    <x:row r="32" ht="18" customHeight="1">
      <x:c r="A32" s="24" t="str">
        <x:v>EEZ_842</x:v>
      </x:c>
      <x:c r="B32" s="24" t="str">
        <x:v>Hawaii Main Islands (USA)</x:v>
      </x:c>
      <x:c r="C32" s="24" t="str">
        <x:v>EEZ</x:v>
      </x:c>
      <x:c r="D32" s="30" t="n">
        <x:v>2019</x:v>
      </x:c>
      <x:c r="E32" s="24" t="str">
        <x:v>Marine pelagic fishes not identified</x:v>
      </x:c>
      <x:c r="F32" s="24" t="str">
        <x:v>Pelagic fishes</x:v>
      </x:c>
      <x:c r="G32" s="24" t="str">
        <x:v>Medium pelagics (30 - 89 cm)</x:v>
      </x:c>
      <x:c r="H32" s="24" t="str">
        <x:v>Other fishes &amp; inverts</x:v>
      </x:c>
      <x:c r="I32" s="31" t="n">
        <x:v>47.653965637000006</x:v>
      </x:c>
      <x:c r="J32" s="31" t="n">
        <x:v>46.982303620100005</x:v>
      </x:c>
      <x:c r="K32" s="31" t="n">
        <x:v>0.6716620169</x:v>
      </x:c>
      <x:c r="L32" s="31" t="n">
        <x:v>46.982303620100005</x:v>
      </x:c>
      <x:c r="M32" s="31" t="n">
        <x:v>0.6716620169</x:v>
      </x:c>
      <x:c r="N32" s="24" t="str">
        <x:v>marine pelagic fishes not identified</x:v>
      </x:c>
      <x:c r="O32" s="32" t="n">
        <x:v>3.35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Marine pelagic fishes not identified</x:v>
      </x:c>
      <x:c r="T32" s="32" t="n">
        <x:f>IF(O32="","",(1/'Metadata'!$B$5)^(O32-1))</x:f>
        <x:v>223.872113856834</x:v>
      </x:c>
      <x:c r="U32" s="31" t="n">
        <x:f>IF(T32="","",I32*T32)</x:f>
        <x:v>10668.39402081612</x:v>
      </x:c>
    </x:row>
    <x:row r="33" ht="18" customHeight="1">
      <x:c r="A33" s="24" t="str">
        <x:v>EEZ_842</x:v>
      </x:c>
      <x:c r="B33" s="24" t="str">
        <x:v>Hawaii Main Islands (USA)</x:v>
      </x:c>
      <x:c r="C33" s="24" t="str">
        <x:v>EEZ</x:v>
      </x:c>
      <x:c r="D33" s="30" t="n">
        <x:v>2019</x:v>
      </x:c>
      <x:c r="E33" s="24" t="str">
        <x:v>Myripristis</x:v>
      </x:c>
      <x:c r="F33" s="24" t="str">
        <x:v>Soldierfishes</x:v>
      </x:c>
      <x:c r="G33" s="24" t="str">
        <x:v>Small reef assoc. fish (&lt;30 cm)</x:v>
      </x:c>
      <x:c r="H33" s="24" t="str">
        <x:v>Other fishes &amp; inverts</x:v>
      </x:c>
      <x:c r="I33" s="31" t="n">
        <x:v>44.1784549796</x:v>
      </x:c>
      <x:c r="J33" s="31" t="n">
        <x:v>44.1784549796</x:v>
      </x:c>
      <x:c r="K33" s="31" t="n">
        <x:v>0</x:v>
      </x:c>
      <x:c r="L33" s="31" t="n">
        <x:v>20.98547596</x:v>
      </x:c>
      <x:c r="M33" s="31" t="n">
        <x:v>23.1929790196</x:v>
      </x:c>
      <x:c r="N33" s="24" t="str">
        <x:v>myripristis</x:v>
      </x:c>
      <x:c r="O33" s="32" t="n">
        <x:v>3.42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Myripristis</x:v>
      </x:c>
      <x:c r="T33" s="32" t="n">
        <x:f>IF(O33="","",(1/'Metadata'!$B$5)^(O33-1))</x:f>
        <x:v>263.02679918953817</x:v>
      </x:c>
      <x:c r="U33" s="31" t="n">
        <x:f>IF(T33="","",I33*T33)</x:f>
        <x:v>11620.1176064233</x:v>
      </x:c>
    </x:row>
    <x:row r="34" ht="18" customHeight="1">
      <x:c r="A34" s="24" t="str">
        <x:v>EEZ_842</x:v>
      </x:c>
      <x:c r="B34" s="24" t="str">
        <x:v>Hawaii Main Islands (USA)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41.5119964227</x:v>
      </x:c>
      <x:c r="J34" s="31" t="n">
        <x:v>32.8814684191</x:v>
      </x:c>
      <x:c r="K34" s="31" t="n">
        <x:v>8.6305280036</x:v>
      </x:c>
      <x:c r="L34" s="31" t="n">
        <x:v>0</x:v>
      </x:c>
      <x:c r="M34" s="31" t="n">
        <x:v>41.5119964227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75539.41553300172</x:v>
      </x:c>
    </x:row>
    <x:row r="35" ht="18" customHeight="1">
      <x:c r="A35" s="24" t="str">
        <x:v>EEZ_842</x:v>
      </x:c>
      <x:c r="B35" s="24" t="str">
        <x:v>Hawaii Main Islands (USA)</x:v>
      </x:c>
      <x:c r="C35" s="24" t="str">
        <x:v>EEZ</x:v>
      </x:c>
      <x:c r="D35" s="30" t="n">
        <x:v>2019</x:v>
      </x:c>
      <x:c r="E35" s="24" t="str">
        <x:v>Chanos chanos</x:v>
      </x:c>
      <x:c r="F35" s="24" t="str">
        <x:v>Milkfish</x:v>
      </x:c>
      <x:c r="G35" s="24" t="str">
        <x:v>Large benthopelagics (&gt;=90 cm)</x:v>
      </x:c>
      <x:c r="H35" s="24" t="str">
        <x:v>Other fishes &amp; inverts</x:v>
      </x:c>
      <x:c r="I35" s="31" t="n">
        <x:v>41.0432034097</x:v>
      </x:c>
      <x:c r="J35" s="31" t="n">
        <x:v>41.0432034097</x:v>
      </x:c>
      <x:c r="K35" s="31" t="n">
        <x:v>0</x:v>
      </x:c>
      <x:c r="L35" s="31" t="n">
        <x:v>0.6645136119999999</x:v>
      </x:c>
      <x:c r="M35" s="31" t="n">
        <x:v>40.3786897977</x:v>
      </x:c>
      <x:c r="N35" s="24" t="str">
        <x:v>chanos chanos</x:v>
      </x:c>
      <x:c r="O35" s="32" t="n">
        <x:v>2.03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Chanos chanos</x:v>
      </x:c>
      <x:c r="T35" s="32" t="n">
        <x:f>IF(O35="","",(1/'Metadata'!$B$5)^(O35-1))</x:f>
        <x:v>10.71519305237606</x:v>
      </x:c>
      <x:c r="U35" s="31" t="n">
        <x:f>IF(T35="","",I35*T35)</x:f>
        <x:v>439.78584802287486</x:v>
      </x:c>
    </x:row>
    <x:row r="36" ht="18" customHeight="1">
      <x:c r="A36" s="24" t="str">
        <x:v>EEZ_842</x:v>
      </x:c>
      <x:c r="B36" s="24" t="str">
        <x:v>Hawaii Main Islands (USA)</x:v>
      </x:c>
      <x:c r="C36" s="24" t="str">
        <x:v>EEZ</x:v>
      </x:c>
      <x:c r="D36" s="30" t="n">
        <x:v>2019</x:v>
      </x:c>
      <x:c r="E36" s="24" t="str">
        <x:v>Acanthurus dussumieri</x:v>
      </x:c>
      <x:c r="F36" s="24" t="str">
        <x:v>Eyestripe surgeonfish</x:v>
      </x:c>
      <x:c r="G36" s="24" t="str">
        <x:v>Medium reef assoc. fish (30 - 89 cm)</x:v>
      </x:c>
      <x:c r="H36" s="24" t="str">
        <x:v>Perch-likes</x:v>
      </x:c>
      <x:c r="I36" s="31" t="n">
        <x:v>40.703117174</x:v>
      </x:c>
      <x:c r="J36" s="31" t="n">
        <x:v>40.703117174</x:v>
      </x:c>
      <x:c r="K36" s="31" t="n">
        <x:v>0</x:v>
      </x:c>
      <x:c r="L36" s="31" t="n">
        <x:v>12.7237346999</x:v>
      </x:c>
      <x:c r="M36" s="31" t="n">
        <x:v>27.9793824741</x:v>
      </x:c>
      <x:c r="N36" s="24" t="str">
        <x:v>acanthurus dussumieri</x:v>
      </x:c>
      <x:c r="O36" s="32" t="n">
        <x:v>2.02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Acanthurus dussumieri</x:v>
      </x:c>
      <x:c r="T36" s="32" t="n">
        <x:f>IF(O36="","",(1/'Metadata'!$B$5)^(O36-1))</x:f>
        <x:v>10.471285480508996</x:v>
      </x:c>
      <x:c r="U36" s="31" t="n">
        <x:f>IF(T36="","",I36*T36)</x:f>
        <x:v>426.2139598755626</x:v>
      </x:c>
    </x:row>
    <x:row r="37" ht="18" customHeight="1">
      <x:c r="A37" s="24" t="str">
        <x:v>EEZ_842</x:v>
      </x:c>
      <x:c r="B37" s="24" t="str">
        <x:v>Hawaii Main Islands (USA)</x:v>
      </x:c>
      <x:c r="C37" s="24" t="str">
        <x:v>EEZ</x:v>
      </x:c>
      <x:c r="D37" s="30" t="n">
        <x:v>2019</x:v>
      </x:c>
      <x:c r="E37" s="24" t="str">
        <x:v>Herklotsichthys quadrimaculatus</x:v>
      </x:c>
      <x:c r="F37" s="24" t="str">
        <x:v>Bluestripe herring</x:v>
      </x:c>
      <x:c r="G37" s="24" t="str">
        <x:v>Small pelagics (&lt;30 cm)</x:v>
      </x:c>
      <x:c r="H37" s="24" t="str">
        <x:v>Herring-likes</x:v>
      </x:c>
      <x:c r="I37" s="31" t="n">
        <x:v>40.4460048961</x:v>
      </x:c>
      <x:c r="J37" s="31" t="n">
        <x:v>40.4460048961</x:v>
      </x:c>
      <x:c r="K37" s="31" t="n">
        <x:v>0</x:v>
      </x:c>
      <x:c r="L37" s="31" t="n">
        <x:v>0</x:v>
      </x:c>
      <x:c r="M37" s="31" t="n">
        <x:v>40.4460048961</x:v>
      </x:c>
      <x:c r="N37" s="24" t="str">
        <x:v>herklotsichthys quadrimaculatus</x:v>
      </x:c>
      <x:c r="O37" s="32" t="n">
        <x:v>3.57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Herklotsichthys quadrimaculatus</x:v>
      </x:c>
      <x:c r="T37" s="32" t="n">
        <x:f>IF(O37="","",(1/'Metadata'!$B$5)^(O37-1))</x:f>
        <x:v>371.5352290971724</x:v>
      </x:c>
      <x:c r="U37" s="31" t="n">
        <x:f>IF(T37="","",I37*T37)</x:f>
        <x:v>15027.11569513787</x:v>
      </x:c>
    </x:row>
    <x:row r="38" ht="18" customHeight="1">
      <x:c r="A38" s="24" t="str">
        <x:v>EEZ_842</x:v>
      </x:c>
      <x:c r="B38" s="24" t="str">
        <x:v>Hawaii Main Islands (USA)</x:v>
      </x:c>
      <x:c r="C38" s="24" t="str">
        <x:v>EEZ</x:v>
      </x:c>
      <x:c r="D38" s="30" t="n">
        <x:v>2019</x:v>
      </x:c>
      <x:c r="E38" s="24" t="str">
        <x:v>Kyphosus bigibbus</x:v>
      </x:c>
      <x:c r="F38" s="24" t="str">
        <x:v>Brown chub</x:v>
      </x:c>
      <x:c r="G38" s="24" t="str">
        <x:v>Medium reef assoc. fish (30 - 89 cm)</x:v>
      </x:c>
      <x:c r="H38" s="24" t="str">
        <x:v>Perch-likes</x:v>
      </x:c>
      <x:c r="I38" s="31" t="n">
        <x:v>32.6863626515</x:v>
      </x:c>
      <x:c r="J38" s="31" t="n">
        <x:v>32.6863626515</x:v>
      </x:c>
      <x:c r="K38" s="31" t="n">
        <x:v>0</x:v>
      </x:c>
      <x:c r="L38" s="31" t="n">
        <x:v>0</x:v>
      </x:c>
      <x:c r="M38" s="31" t="n">
        <x:v>32.6863626515</x:v>
      </x:c>
      <x:c r="N38" s="24" t="str">
        <x:v>kyphosus bigibbus</x:v>
      </x:c>
      <x:c r="O38" s="32" t="n">
        <x:v>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Kyphosus bigibbus</x:v>
      </x:c>
      <x:c r="T38" s="32" t="n">
        <x:f>IF(O38="","",(1/'Metadata'!$B$5)^(O38-1))</x:f>
        <x:v>10</x:v>
      </x:c>
      <x:c r="U38" s="31" t="n">
        <x:f>IF(T38="","",I38*T38)</x:f>
        <x:v>326.86362651499996</x:v>
      </x:c>
    </x:row>
    <x:row r="39" ht="18" customHeight="1">
      <x:c r="A39" s="24" t="str">
        <x:v>EEZ_842</x:v>
      </x:c>
      <x:c r="B39" s="24" t="str">
        <x:v>Hawaii Main Islands (USA)</x:v>
      </x:c>
      <x:c r="C39" s="24" t="str">
        <x:v>EEZ</x:v>
      </x:c>
      <x:c r="D39" s="30" t="n">
        <x:v>2019</x:v>
      </x:c>
      <x:c r="E39" s="24" t="str">
        <x:v>Iniistius pavo</x:v>
      </x:c>
      <x:c r="F39" s="24" t="str">
        <x:v>Peacock wrasse</x:v>
      </x:c>
      <x:c r="G39" s="24" t="str">
        <x:v>Medium reef assoc. fish (30 - 89 cm)</x:v>
      </x:c>
      <x:c r="H39" s="24" t="str">
        <x:v>Perch-likes</x:v>
      </x:c>
      <x:c r="I39" s="31" t="n">
        <x:v>29.393373700399998</x:v>
      </x:c>
      <x:c r="J39" s="31" t="n">
        <x:v>29.393373700399998</x:v>
      </x:c>
      <x:c r="K39" s="31" t="n">
        <x:v>0</x:v>
      </x:c>
      <x:c r="L39" s="31" t="n">
        <x:v>0.3628743281</x:v>
      </x:c>
      <x:c r="M39" s="31" t="n">
        <x:v>29.0304993723</x:v>
      </x:c>
      <x:c r="N39" s="24" t="str">
        <x:v>iniistius pavo</x:v>
      </x:c>
      <x:c r="O39" s="32" t="n">
        <x:v>3.54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Iniistius pavo</x:v>
      </x:c>
      <x:c r="T39" s="32" t="n">
        <x:f>IF(O39="","",(1/'Metadata'!$B$5)^(O39-1))</x:f>
        <x:v>346.73685045253166</x:v>
      </x:c>
      <x:c r="U39" s="31" t="n">
        <x:f>IF(T39="","",I39*T39)</x:f>
        <x:v>10191.76582105097</x:v>
      </x:c>
    </x:row>
    <x:row r="40" ht="18" customHeight="1">
      <x:c r="A40" s="24" t="str">
        <x:v>EEZ_842</x:v>
      </x:c>
      <x:c r="B40" s="24" t="str">
        <x:v>Hawaii Main Islands (USA)</x:v>
      </x:c>
      <x:c r="C40" s="24" t="str">
        <x:v>EEZ</x:v>
      </x:c>
      <x:c r="D40" s="30" t="n">
        <x:v>2019</x:v>
      </x:c>
      <x:c r="E40" s="24" t="str">
        <x:v>Acanthurus blochii</x:v>
      </x:c>
      <x:c r="F40" s="24" t="str">
        <x:v>Ringtail surgeonfish</x:v>
      </x:c>
      <x:c r="G40" s="24" t="str">
        <x:v>Medium reef assoc. fish (30 - 89 cm)</x:v>
      </x:c>
      <x:c r="H40" s="24" t="str">
        <x:v>Perch-likes</x:v>
      </x:c>
      <x:c r="I40" s="31" t="n">
        <x:v>25.136669216999998</x:v>
      </x:c>
      <x:c r="J40" s="31" t="n">
        <x:v>25.136669216999998</x:v>
      </x:c>
      <x:c r="K40" s="31" t="n">
        <x:v>0</x:v>
      </x:c>
      <x:c r="L40" s="31" t="n">
        <x:v>0.9073106720999999</x:v>
      </x:c>
      <x:c r="M40" s="31" t="n">
        <x:v>24.2293585449</x:v>
      </x:c>
      <x:c r="N40" s="24" t="str">
        <x:v>acanthurus blochii</x:v>
      </x:c>
      <x:c r="O40" s="32" t="n">
        <x:v>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Acanthurus blochii</x:v>
      </x:c>
      <x:c r="T40" s="32" t="n">
        <x:f>IF(O40="","",(1/'Metadata'!$B$5)^(O40-1))</x:f>
        <x:v>10</x:v>
      </x:c>
      <x:c r="U40" s="31" t="n">
        <x:f>IF(T40="","",I40*T40)</x:f>
        <x:v>251.36669216999996</x:v>
      </x:c>
    </x:row>
    <x:row r="41" ht="18" customHeight="1">
      <x:c r="A41" s="24" t="str">
        <x:v>EEZ_842</x:v>
      </x:c>
      <x:c r="B41" s="24" t="str">
        <x:v>Hawaii Main Islands (USA)</x:v>
      </x:c>
      <x:c r="C41" s="24" t="str">
        <x:v>EEZ</x:v>
      </x:c>
      <x:c r="D41" s="30" t="n">
        <x:v>2019</x:v>
      </x:c>
      <x:c r="E41" s="24" t="str">
        <x:v>Scaridae</x:v>
      </x:c>
      <x:c r="F41" s="24" t="str">
        <x:v>Parrotfishes</x:v>
      </x:c>
      <x:c r="G41" s="24" t="str">
        <x:v>Medium reef assoc. fish (30 - 89 cm)</x:v>
      </x:c>
      <x:c r="H41" s="24" t="str">
        <x:v>Perch-likes</x:v>
      </x:c>
      <x:c r="I41" s="31" t="n">
        <x:v>21.9727836629</x:v>
      </x:c>
      <x:c r="J41" s="31" t="n">
        <x:v>21.9727836629</x:v>
      </x:c>
      <x:c r="K41" s="31" t="n">
        <x:v>0</x:v>
      </x:c>
      <x:c r="L41" s="31" t="n">
        <x:v>19.2572869703</x:v>
      </x:c>
      <x:c r="M41" s="31" t="n">
        <x:v>2.7154966926</x:v>
      </x:c>
      <x:c r="N41" s="24" t="str">
        <x:v>scaridae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Scaridae</x:v>
      </x:c>
      <x:c r="T41" s="32" t="n">
        <x:f>IF(O41="","",(1/'Metadata'!$B$5)^(O41-1))</x:f>
        <x:v>10</x:v>
      </x:c>
      <x:c r="U41" s="31" t="n">
        <x:f>IF(T41="","",I41*T41)</x:f>
        <x:v>219.727836629</x:v>
      </x:c>
    </x:row>
    <x:row r="42" ht="18" customHeight="1">
      <x:c r="A42" s="24" t="str">
        <x:v>EEZ_842</x:v>
      </x:c>
      <x:c r="B42" s="24" t="str">
        <x:v>Hawaii Main Islands (USA)</x:v>
      </x:c>
      <x:c r="C42" s="24" t="str">
        <x:v>EEZ</x:v>
      </x:c>
      <x:c r="D42" s="30" t="n">
        <x:v>2019</x:v>
      </x:c>
      <x:c r="E42" s="24" t="str">
        <x:v>Pristipomoides sieboldii</x:v>
      </x:c>
      <x:c r="F42" s="24" t="str">
        <x:v>Lavender jobfish</x:v>
      </x:c>
      <x:c r="G42" s="24" t="str">
        <x:v>Medium bathydemersals (30 - 89 cm)</x:v>
      </x:c>
      <x:c r="H42" s="24" t="str">
        <x:v>Perch-likes</x:v>
      </x:c>
      <x:c r="I42" s="31" t="n">
        <x:v>21.5021196912</x:v>
      </x:c>
      <x:c r="J42" s="31" t="n">
        <x:v>21.5021196912</x:v>
      </x:c>
      <x:c r="K42" s="31" t="n">
        <x:v>0</x:v>
      </x:c>
      <x:c r="L42" s="31" t="n">
        <x:v>4.042873602</x:v>
      </x:c>
      <x:c r="M42" s="31" t="n">
        <x:v>17.4592460892</x:v>
      </x:c>
      <x:c r="N42" s="24" t="str">
        <x:v>pristipomoides sieboldii</x:v>
      </x:c>
      <x:c r="O42" s="32" t="n">
        <x:v>3.67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Pristipomoides sieboldii</x:v>
      </x:c>
      <x:c r="T42" s="32" t="n">
        <x:f>IF(O42="","",(1/'Metadata'!$B$5)^(O42-1))</x:f>
        <x:v>467.73514128719813</x:v>
      </x:c>
      <x:c r="U42" s="31" t="n">
        <x:f>IF(T42="","",I42*T42)</x:f>
        <x:v>10057.296991737678</x:v>
      </x:c>
    </x:row>
    <x:row r="43" ht="18" customHeight="1">
      <x:c r="A43" s="24" t="str">
        <x:v>EEZ_842</x:v>
      </x:c>
      <x:c r="B43" s="24" t="str">
        <x:v>Hawaii Main Islands (USA)</x:v>
      </x:c>
      <x:c r="C43" s="24" t="str">
        <x:v>EEZ</x:v>
      </x:c>
      <x:c r="D43" s="30" t="n">
        <x:v>2019</x:v>
      </x:c>
      <x:c r="E43" s="24" t="str">
        <x:v>Cephalopholis argus</x:v>
      </x:c>
      <x:c r="F43" s="24" t="str">
        <x:v>Peacock hind</x:v>
      </x:c>
      <x:c r="G43" s="24" t="str">
        <x:v>Medium reef assoc. fish (30 - 89 cm)</x:v>
      </x:c>
      <x:c r="H43" s="24" t="str">
        <x:v>Perch-likes</x:v>
      </x:c>
      <x:c r="I43" s="31" t="n">
        <x:v>20.9829392014</x:v>
      </x:c>
      <x:c r="J43" s="31" t="n">
        <x:v>20.9829392014</x:v>
      </x:c>
      <x:c r="K43" s="31" t="n">
        <x:v>0</x:v>
      </x:c>
      <x:c r="L43" s="31" t="n">
        <x:v>2.048425579</x:v>
      </x:c>
      <x:c r="M43" s="31" t="n">
        <x:v>18.9345136224</x:v>
      </x:c>
      <x:c r="N43" s="24" t="str">
        <x:v>cephalopholis argus</x:v>
      </x:c>
      <x:c r="O43" s="32" t="n">
        <x:v>4.48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Cephalopholis argus</x:v>
      </x:c>
      <x:c r="T43" s="32" t="n">
        <x:f>IF(O43="","",(1/'Metadata'!$B$5)^(O43-1))</x:f>
        <x:v>3019.951720402019</x:v>
      </x:c>
      <x:c r="U43" s="31" t="n">
        <x:f>IF(T43="","",I43*T43)</x:f>
        <x:v>63367.463340358896</x:v>
      </x:c>
    </x:row>
    <x:row r="44" ht="18" customHeight="1">
      <x:c r="A44" s="24" t="str">
        <x:v>EEZ_842</x:v>
      </x:c>
      <x:c r="B44" s="24" t="str">
        <x:v>Hawaii Main Islands (USA)</x:v>
      </x:c>
      <x:c r="C44" s="24" t="str">
        <x:v>EEZ</x:v>
      </x:c>
      <x:c r="D44" s="30" t="n">
        <x:v>2019</x:v>
      </x:c>
      <x:c r="E44" s="24" t="str">
        <x:v>Seriola dumerili</x:v>
      </x:c>
      <x:c r="F44" s="24" t="str">
        <x:v>Greater amberjack</x:v>
      </x:c>
      <x:c r="G44" s="24" t="str">
        <x:v>Large reef assoc. fish (&gt;=90 cm)</x:v>
      </x:c>
      <x:c r="H44" s="24" t="str">
        <x:v>Perch-likes</x:v>
      </x:c>
      <x:c r="I44" s="31" t="n">
        <x:v>20.7692202757</x:v>
      </x:c>
      <x:c r="J44" s="31" t="n">
        <x:v>20.7692202757</x:v>
      </x:c>
      <x:c r="K44" s="31" t="n">
        <x:v>0</x:v>
      </x:c>
      <x:c r="L44" s="31" t="n">
        <x:v>0</x:v>
      </x:c>
      <x:c r="M44" s="31" t="n">
        <x:v>20.7692202757</x:v>
      </x:c>
      <x:c r="N44" s="24" t="str">
        <x:v>seriola dumerili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dumerili</x:v>
      </x:c>
      <x:c r="T44" s="32" t="n">
        <x:f>IF(O44="","",(1/'Metadata'!$B$5)^(O44-1))</x:f>
        <x:v>3162.2776601683795</x:v>
      </x:c>
      <x:c r="U44" s="31" t="n">
        <x:f>IF(T44="","",I44*T44)</x:f>
        <x:v>65678.04129696227</x:v>
      </x:c>
    </x:row>
    <x:row r="45" ht="18" customHeight="1">
      <x:c r="A45" s="24" t="str">
        <x:v>EEZ_842</x:v>
      </x:c>
      <x:c r="B45" s="24" t="str">
        <x:v>Hawaii Main Islands (USA)</x:v>
      </x:c>
      <x:c r="C45" s="24" t="str">
        <x:v>EEZ</x:v>
      </x:c>
      <x:c r="D45" s="30" t="n">
        <x:v>2019</x:v>
      </x:c>
      <x:c r="E45" s="24" t="str">
        <x:v>Neomyxus leuciscus</x:v>
      </x:c>
      <x:c r="F45" s="24" t="str">
        <x:v>Acute-jawed mullet</x:v>
      </x:c>
      <x:c r="G45" s="24" t="str">
        <x:v>Medium demersals (30 - 89 cm)</x:v>
      </x:c>
      <x:c r="H45" s="24" t="str">
        <x:v>Perch-likes</x:v>
      </x:c>
      <x:c r="I45" s="31" t="n">
        <x:v>19.0436634472</x:v>
      </x:c>
      <x:c r="J45" s="31" t="n">
        <x:v>19.0436634472</x:v>
      </x:c>
      <x:c r="K45" s="31" t="n">
        <x:v>0</x:v>
      </x:c>
      <x:c r="L45" s="31" t="n">
        <x:v>0.257640773</x:v>
      </x:c>
      <x:c r="M45" s="31" t="n">
        <x:v>18.7860226742</x:v>
      </x:c>
      <x:c r="N45" s="24" t="str">
        <x:v>neomyxus leuciscus</x:v>
      </x:c>
      <x:c r="O45" s="32" t="n">
        <x:v>2.85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Neomyxus leuciscus</x:v>
      </x:c>
      <x:c r="T45" s="32" t="n">
        <x:f>IF(O45="","",(1/'Metadata'!$B$5)^(O45-1))</x:f>
        <x:v>70.79457843841381</x:v>
      </x:c>
      <x:c r="U45" s="31" t="n">
        <x:f>IF(T45="","",I45*T45)</x:f>
        <x:v>1348.1881256675542</x:v>
      </x:c>
    </x:row>
    <x:row r="46" ht="18" customHeight="1">
      <x:c r="A46" s="24" t="str">
        <x:v>EEZ_842</x:v>
      </x:c>
      <x:c r="B46" s="24" t="str">
        <x:v>Hawaii Main Islands (USA)</x:v>
      </x:c>
      <x:c r="C46" s="24" t="str">
        <x:v>EEZ</x:v>
      </x:c>
      <x:c r="D46" s="30" t="n">
        <x:v>2019</x:v>
      </x:c>
      <x:c r="E46" s="24" t="str">
        <x:v>Labridae</x:v>
      </x:c>
      <x:c r="F46" s="24" t="str">
        <x:v>Wrasses, gropers, tuskfishes</x:v>
      </x:c>
      <x:c r="G46" s="24" t="str">
        <x:v>Medium reef assoc. fish (30 - 89 cm)</x:v>
      </x:c>
      <x:c r="H46" s="24" t="str">
        <x:v>Perch-likes</x:v>
      </x:c>
      <x:c r="I46" s="31" t="n">
        <x:v>18.3885162187</x:v>
      </x:c>
      <x:c r="J46" s="31" t="n">
        <x:v>18.3885162187</x:v>
      </x:c>
      <x:c r="K46" s="31" t="n">
        <x:v>0</x:v>
      </x:c>
      <x:c r="L46" s="31" t="n">
        <x:v>0</x:v>
      </x:c>
      <x:c r="M46" s="31" t="n">
        <x:v>18.3885162187</x:v>
      </x:c>
      <x:c r="N46" s="24" t="str">
        <x:v>labridae</x:v>
      </x:c>
      <x:c r="O46" s="32" t="n">
        <x:v>3.46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Labridae</x:v>
      </x:c>
      <x:c r="T46" s="32" t="n">
        <x:f>IF(O46="","",(1/'Metadata'!$B$5)^(O46-1))</x:f>
        <x:v>288.40315031266056</x:v>
      </x:c>
      <x:c r="U46" s="31" t="n">
        <x:f>IF(T46="","",I46*T46)</x:f>
        <x:v>5303.306007048533</x:v>
      </x:c>
    </x:row>
    <x:row r="47" ht="18" customHeight="1">
      <x:c r="A47" s="24" t="str">
        <x:v>EEZ_842</x:v>
      </x:c>
      <x:c r="B47" s="24" t="str">
        <x:v>Hawaii Main Islands (USA)</x:v>
      </x:c>
      <x:c r="C47" s="24" t="str">
        <x:v>EEZ</x:v>
      </x:c>
      <x:c r="D47" s="30" t="n">
        <x:v>2019</x:v>
      </x:c>
      <x:c r="E47" s="24" t="str">
        <x:v>Scarus rubroviolaceus</x:v>
      </x:c>
      <x:c r="F47" s="24" t="str">
        <x:v>Ember parrotfish</x:v>
      </x:c>
      <x:c r="G47" s="24" t="str">
        <x:v>Medium reef assoc. fish (30 - 89 cm)</x:v>
      </x:c>
      <x:c r="H47" s="24" t="str">
        <x:v>Perch-likes</x:v>
      </x:c>
      <x:c r="I47" s="31" t="n">
        <x:v>15.5555406732</x:v>
      </x:c>
      <x:c r="J47" s="31" t="n">
        <x:v>15.5555406732</x:v>
      </x:c>
      <x:c r="K47" s="31" t="n">
        <x:v>0</x:v>
      </x:c>
      <x:c r="L47" s="31" t="n">
        <x:v>0</x:v>
      </x:c>
      <x:c r="M47" s="31" t="n">
        <x:v>15.5555406732</x:v>
      </x:c>
      <x:c r="N47" s="24" t="str">
        <x:v>scarus rubroviolaceus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Scarus rubroviolaceus</x:v>
      </x:c>
      <x:c r="T47" s="32" t="n">
        <x:f>IF(O47="","",(1/'Metadata'!$B$5)^(O47-1))</x:f>
        <x:v>10</x:v>
      </x:c>
      <x:c r="U47" s="31" t="n">
        <x:f>IF(T47="","",I47*T47)</x:f>
        <x:v>155.555406732</x:v>
      </x:c>
    </x:row>
    <x:row r="48" ht="18" customHeight="1">
      <x:c r="A48" s="24" t="str">
        <x:v>EEZ_842</x:v>
      </x:c>
      <x:c r="B48" s="24" t="str">
        <x:v>Hawaii Main Islands (USA)</x:v>
      </x:c>
      <x:c r="C48" s="24" t="str">
        <x:v>EEZ</x:v>
      </x:c>
      <x:c r="D48" s="30" t="n">
        <x:v>2019</x:v>
      </x:c>
      <x:c r="E48" s="24" t="str">
        <x:v>Xiphias gladius</x:v>
      </x:c>
      <x:c r="F48" s="24" t="str">
        <x:v>Swordfish</x:v>
      </x:c>
      <x:c r="G48" s="24" t="str">
        <x:v>Large pelagics (&gt;=90 cm)</x:v>
      </x:c>
      <x:c r="H48" s="24" t="str">
        <x:v>Tuna &amp; billfishes</x:v>
      </x:c>
      <x:c r="I48" s="31" t="n">
        <x:v>15.4687001919</x:v>
      </x:c>
      <x:c r="J48" s="31" t="n">
        <x:v>5.3977815955</x:v>
      </x:c>
      <x:c r="K48" s="31" t="n">
        <x:v>10.0709185964</x:v>
      </x:c>
      <x:c r="L48" s="31" t="n">
        <x:v>5.3977815955</x:v>
      </x:c>
      <x:c r="M48" s="31" t="n">
        <x:v>10.0709185964</x:v>
      </x:c>
      <x:c r="N48" s="24" t="str">
        <x:v>xiphias gladius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Xiphias gladius</x:v>
      </x:c>
      <x:c r="T48" s="32" t="n">
        <x:f>IF(O48="","",(1/'Metadata'!$B$5)^(O48-1))</x:f>
        <x:v>3388.4415613920273</x:v>
      </x:c>
      <x:c r="U48" s="31" t="n">
        <x:f>IF(T48="","",I48*T48)</x:f>
        <x:v>52414.786630946786</x:v>
      </x:c>
    </x:row>
    <x:row r="49" ht="18" customHeight="1">
      <x:c r="A49" s="24" t="str">
        <x:v>EEZ_842</x:v>
      </x:c>
      <x:c r="B49" s="24" t="str">
        <x:v>Hawaii Main Islands (USA)</x:v>
      </x:c>
      <x:c r="C49" s="24" t="str">
        <x:v>EEZ</x:v>
      </x:c>
      <x:c r="D49" s="30" t="n">
        <x:v>2019</x:v>
      </x:c>
      <x:c r="E49" s="24" t="str">
        <x:v>Caranx sexfasciatus</x:v>
      </x:c>
      <x:c r="F49" s="24" t="str">
        <x:v>Bigeye trevally</x:v>
      </x:c>
      <x:c r="G49" s="24" t="str">
        <x:v>Large reef assoc. fish (&gt;=90 cm)</x:v>
      </x:c>
      <x:c r="H49" s="24" t="str">
        <x:v>Perch-likes</x:v>
      </x:c>
      <x:c r="I49" s="31" t="n">
        <x:v>14.080839622700001</x:v>
      </x:c>
      <x:c r="J49" s="31" t="n">
        <x:v>14.080839622700001</x:v>
      </x:c>
      <x:c r="K49" s="31" t="n">
        <x:v>0</x:v>
      </x:c>
      <x:c r="L49" s="31" t="n">
        <x:v>0.166015005</x:v>
      </x:c>
      <x:c r="M49" s="31" t="n">
        <x:v>13.9148246177</x:v>
      </x:c>
      <x:c r="N49" s="24" t="str">
        <x:v>caranx sexfasciatus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sexfasciatus</x:v>
      </x:c>
      <x:c r="T49" s="32" t="n">
        <x:f>IF(O49="","",(1/'Metadata'!$B$5)^(O49-1))</x:f>
        <x:v>3162.2776601683795</x:v>
      </x:c>
      <x:c r="U49" s="31" t="n">
        <x:f>IF(T49="","",I49*T49)</x:f>
        <x:v>44527.52457527797</x:v>
      </x:c>
    </x:row>
    <x:row r="50" ht="18" customHeight="1">
      <x:c r="A50" s="24" t="str">
        <x:v>EEZ_842</x:v>
      </x:c>
      <x:c r="B50" s="24" t="str">
        <x:v>Hawaii Main Islands (USA)</x:v>
      </x:c>
      <x:c r="C50" s="24" t="str">
        <x:v>EEZ</x:v>
      </x:c>
      <x:c r="D50" s="30" t="n">
        <x:v>2019</x:v>
      </x:c>
      <x:c r="E50" s="24" t="str">
        <x:v>Balistidae</x:v>
      </x:c>
      <x:c r="F50" s="24" t="str">
        <x:v>Triggerfishes</x:v>
      </x:c>
      <x:c r="G50" s="24" t="str">
        <x:v>Medium reef assoc. fish (30 - 89 cm)</x:v>
      </x:c>
      <x:c r="H50" s="24" t="str">
        <x:v>Other fishes &amp; inverts</x:v>
      </x:c>
      <x:c r="I50" s="31" t="n">
        <x:v>12.2843295272</x:v>
      </x:c>
      <x:c r="J50" s="31" t="n">
        <x:v>10.3757881276</x:v>
      </x:c>
      <x:c r="K50" s="31" t="n">
        <x:v>1.9085413996</x:v>
      </x:c>
      <x:c r="L50" s="31" t="n">
        <x:v>0</x:v>
      </x:c>
      <x:c r="M50" s="31" t="n">
        <x:v>12.2843295272</x:v>
      </x:c>
      <x:c r="N50" s="24" t="str">
        <x:v>balistidae</x:v>
      </x:c>
      <x:c r="O50" s="32" t="n">
        <x:v>3.25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Balistidae</x:v>
      </x:c>
      <x:c r="T50" s="32" t="n">
        <x:f>IF(O50="","",(1/'Metadata'!$B$5)^(O50-1))</x:f>
        <x:v>177.82794100389228</x:v>
      </x:c>
      <x:c r="U50" s="31" t="n">
        <x:f>IF(T50="","",I50*T50)</x:f>
        <x:v>2184.4970264352937</x:v>
      </x:c>
    </x:row>
    <x:row r="51" ht="18" customHeight="1">
      <x:c r="A51" s="24" t="str">
        <x:v>EEZ_842</x:v>
      </x:c>
      <x:c r="B51" s="24" t="str">
        <x:v>Hawaii Main Islands (USA)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12.2723351368</x:v>
      </x:c>
      <x:c r="J51" s="31" t="n">
        <x:v>12.2723351368</x:v>
      </x:c>
      <x:c r="K51" s="31" t="n">
        <x:v>0</x:v>
      </x:c>
      <x:c r="L51" s="31" t="n">
        <x:v>0.9661528969000001</x:v>
      </x:c>
      <x:c r="M51" s="31" t="n">
        <x:v>11.3061822399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169.40538312771818</x:v>
      </x:c>
    </x:row>
    <x:row r="52" ht="18" customHeight="1">
      <x:c r="A52" s="24" t="str">
        <x:v>EEZ_842</x:v>
      </x:c>
      <x:c r="B52" s="24" t="str">
        <x:v>Hawaii Main Islands (USA)</x:v>
      </x:c>
      <x:c r="C52" s="24" t="str">
        <x:v>EEZ</x:v>
      </x:c>
      <x:c r="D52" s="30" t="n">
        <x:v>2019</x:v>
      </x:c>
      <x:c r="E52" s="24" t="str">
        <x:v>Lutjanus fulvus</x:v>
      </x:c>
      <x:c r="F52" s="24" t="str">
        <x:v>Blacktail snapper</x:v>
      </x:c>
      <x:c r="G52" s="24" t="str">
        <x:v>Medium reef assoc. fish (30 - 89 cm)</x:v>
      </x:c>
      <x:c r="H52" s="24" t="str">
        <x:v>Perch-likes</x:v>
      </x:c>
      <x:c r="I52" s="31" t="n">
        <x:v>10.653667113400001</x:v>
      </x:c>
      <x:c r="J52" s="31" t="n">
        <x:v>10.653667113400001</x:v>
      </x:c>
      <x:c r="K52" s="31" t="n">
        <x:v>0</x:v>
      </x:c>
      <x:c r="L52" s="31" t="n">
        <x:v>2.7056817051</x:v>
      </x:c>
      <x:c r="M52" s="31" t="n">
        <x:v>7.9479854083</x:v>
      </x:c>
      <x:c r="N52" s="24" t="str">
        <x:v>lutjanus fulvus</x:v>
      </x:c>
      <x:c r="O52" s="32" t="n">
        <x:v>3.61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Lutjanus fulvus</x:v>
      </x:c>
      <x:c r="T52" s="32" t="n">
        <x:f>IF(O52="","",(1/'Metadata'!$B$5)^(O52-1))</x:f>
        <x:v>407.3802778041126</x:v>
      </x:c>
      <x:c r="U52" s="31" t="n">
        <x:f>IF(T52="","",I52*T52)</x:f>
        <x:v>4340.093868289431</x:v>
      </x:c>
    </x:row>
    <x:row r="53" ht="18" customHeight="1">
      <x:c r="A53" s="24" t="str">
        <x:v>EEZ_842</x:v>
      </x:c>
      <x:c r="B53" s="24" t="str">
        <x:v>Hawaii Main Islands (USA)</x:v>
      </x:c>
      <x:c r="C53" s="24" t="str">
        <x:v>EEZ</x:v>
      </x:c>
      <x:c r="D53" s="30" t="n">
        <x:v>2019</x:v>
      </x:c>
      <x:c r="E53" s="24" t="str">
        <x:v>Sphyraena barracuda</x:v>
      </x:c>
      <x:c r="F53" s="24" t="str">
        <x:v>Great barracuda</x:v>
      </x:c>
      <x:c r="G53" s="24" t="str">
        <x:v>Large pelagics (&gt;=90 cm)</x:v>
      </x:c>
      <x:c r="H53" s="24" t="str">
        <x:v>Perch-likes</x:v>
      </x:c>
      <x:c r="I53" s="31" t="n">
        <x:v>10.603358288399999</x:v>
      </x:c>
      <x:c r="J53" s="31" t="n">
        <x:v>10.603358288399999</x:v>
      </x:c>
      <x:c r="K53" s="31" t="n">
        <x:v>0</x:v>
      </x:c>
      <x:c r="L53" s="31" t="n">
        <x:v>2.3278388122</x:v>
      </x:c>
      <x:c r="M53" s="31" t="n">
        <x:v>8.2755194762</x:v>
      </x:c>
      <x:c r="N53" s="24" t="str">
        <x:v>sphyraena barracuda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Sphyraena barracuda</x:v>
      </x:c>
      <x:c r="T53" s="32" t="n">
        <x:f>IF(O53="","",(1/'Metadata'!$B$5)^(O53-1))</x:f>
        <x:v>3090.295432513592</x:v>
      </x:c>
      <x:c r="U53" s="31" t="n">
        <x:f>IF(T53="","",I53*T53)</x:f>
        <x:v>32767.509687947655</x:v>
      </x:c>
    </x:row>
    <x:row r="54" ht="18" customHeight="1">
      <x:c r="A54" s="24" t="str">
        <x:v>EEZ_842</x:v>
      </x:c>
      <x:c r="B54" s="24" t="str">
        <x:v>Hawaii Main Islands (USA)</x:v>
      </x:c>
      <x:c r="C54" s="24" t="str">
        <x:v>EEZ</x:v>
      </x:c>
      <x:c r="D54" s="30" t="n">
        <x:v>2019</x:v>
      </x:c>
      <x:c r="E54" s="24" t="str">
        <x:v>Istiophoridae</x:v>
      </x:c>
      <x:c r="F54" s="24" t="str">
        <x:v>Billfishes</x:v>
      </x:c>
      <x:c r="G54" s="24" t="str">
        <x:v>Large pelagics (&gt;=90 cm)</x:v>
      </x:c>
      <x:c r="H54" s="24" t="str">
        <x:v>Tuna &amp; billfishes</x:v>
      </x:c>
      <x:c r="I54" s="31" t="n">
        <x:v>10.4759368931</x:v>
      </x:c>
      <x:c r="J54" s="31" t="n">
        <x:v>10.4759368931</x:v>
      </x:c>
      <x:c r="K54" s="31" t="n">
        <x:v>0</x:v>
      </x:c>
      <x:c r="L54" s="31" t="n">
        <x:v>0</x:v>
      </x:c>
      <x:c r="M54" s="31" t="n">
        <x:v>10.4759368931</x:v>
      </x:c>
      <x:c r="N54" s="24" t="str">
        <x:v>istiophoridae</x:v>
      </x:c>
      <x:c r="O54" s="32" t="n">
        <x:v>4.48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Istiophoridae</x:v>
      </x:c>
      <x:c r="T54" s="32" t="n">
        <x:f>IF(O54="","",(1/'Metadata'!$B$5)^(O54-1))</x:f>
        <x:v>3019.951720402019</x:v>
      </x:c>
      <x:c r="U54" s="31" t="n">
        <x:f>IF(T54="","",I54*T54)</x:f>
        <x:v>31636.823643140327</x:v>
      </x:c>
    </x:row>
    <x:row r="55" ht="18" customHeight="1">
      <x:c r="A55" s="24" t="str">
        <x:v>EEZ_842</x:v>
      </x:c>
      <x:c r="B55" s="24" t="str">
        <x:v>Hawaii Main Islands (USA)</x:v>
      </x:c>
      <x:c r="C55" s="24" t="str">
        <x:v>EEZ</x:v>
      </x:c>
      <x:c r="D55" s="30" t="n">
        <x:v>2019</x:v>
      </x:c>
      <x:c r="E55" s="24" t="str">
        <x:v>Kyphosidae</x:v>
      </x:c>
      <x:c r="F55" s="24" t="str">
        <x:v>Sea chubs, knifefishes, niblers</x:v>
      </x:c>
      <x:c r="G55" s="24" t="str">
        <x:v>Medium reef assoc. fish (30 - 89 cm)</x:v>
      </x:c>
      <x:c r="H55" s="24" t="str">
        <x:v>Perch-likes</x:v>
      </x:c>
      <x:c r="I55" s="31" t="n">
        <x:v>9.875692396</x:v>
      </x:c>
      <x:c r="J55" s="31" t="n">
        <x:v>9.875692396</x:v>
      </x:c>
      <x:c r="K55" s="31" t="n">
        <x:v>0</x:v>
      </x:c>
      <x:c r="L55" s="31" t="n">
        <x:v>0</x:v>
      </x:c>
      <x:c r="M55" s="31" t="n">
        <x:v>9.875692396</x:v>
      </x:c>
      <x:c r="N55" s="24" t="str">
        <x:v>kyphosidae</x:v>
      </x:c>
      <x:c r="O55" s="32" t="n">
        <x:v>2.19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Kyphosidae</x:v>
      </x:c>
      <x:c r="T55" s="32" t="n">
        <x:f>IF(O55="","",(1/'Metadata'!$B$5)^(O55-1))</x:f>
        <x:v>15.488166189124811</x:v>
      </x:c>
      <x:c r="U55" s="31" t="n">
        <x:f>IF(T55="","",I55*T55)</x:f>
        <x:v>152.9563650619242</x:v>
      </x:c>
    </x:row>
    <x:row r="56" ht="18" customHeight="1">
      <x:c r="A56" s="24" t="str">
        <x:v>EEZ_842</x:v>
      </x:c>
      <x:c r="B56" s="24" t="str">
        <x:v>Hawaii Main Islands (USA)</x:v>
      </x:c>
      <x:c r="C56" s="24" t="str">
        <x:v>EEZ</x:v>
      </x:c>
      <x:c r="D56" s="30" t="n">
        <x:v>2019</x:v>
      </x:c>
      <x:c r="E56" s="24" t="str">
        <x:v>Serranidae</x:v>
      </x:c>
      <x:c r="F56" s="24" t="str">
        <x:v>Basses, groupers, hinds</x:v>
      </x:c>
      <x:c r="G56" s="24" t="str">
        <x:v>Medium reef assoc. fish (30 - 89 cm)</x:v>
      </x:c>
      <x:c r="H56" s="24" t="str">
        <x:v>Perch-likes</x:v>
      </x:c>
      <x:c r="I56" s="31" t="n">
        <x:v>9.6857093078</x:v>
      </x:c>
      <x:c r="J56" s="31" t="n">
        <x:v>9.6857093078</x:v>
      </x:c>
      <x:c r="K56" s="31" t="n">
        <x:v>0</x:v>
      </x:c>
      <x:c r="L56" s="31" t="n">
        <x:v>3.054948245</x:v>
      </x:c>
      <x:c r="M56" s="31" t="n">
        <x:v>6.6307610628</x:v>
      </x:c>
      <x:c r="N56" s="24" t="str">
        <x:v>serranidae</x:v>
      </x:c>
      <x:c r="O56" s="32" t="n">
        <x:v>3.98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Serranidae</x:v>
      </x:c>
      <x:c r="T56" s="32" t="n">
        <x:f>IF(O56="","",(1/'Metadata'!$B$5)^(O56-1))</x:f>
        <x:v>954.992586021436</x:v>
      </x:c>
      <x:c r="U56" s="31" t="n">
        <x:f>IF(T56="","",I56*T56)</x:f>
        <x:v>9249.780579307815</x:v>
      </x:c>
    </x:row>
    <x:row r="57" ht="18" customHeight="1">
      <x:c r="A57" s="24" t="str">
        <x:v>EEZ_842</x:v>
      </x:c>
      <x:c r="B57" s="24" t="str">
        <x:v>Hawaii Main Islands (USA)</x:v>
      </x:c>
      <x:c r="C57" s="24" t="str">
        <x:v>EEZ</x:v>
      </x:c>
      <x:c r="D57" s="30" t="n">
        <x:v>2019</x:v>
      </x:c>
      <x:c r="E57" s="24" t="str">
        <x:v>Holocentridae</x:v>
      </x:c>
      <x:c r="F57" s="24" t="str">
        <x:v>Squirrel-, soldierfishes</x:v>
      </x:c>
      <x:c r="G57" s="24" t="str">
        <x:v>Small reef assoc. fish (&lt;30 cm)</x:v>
      </x:c>
      <x:c r="H57" s="24" t="str">
        <x:v>Other fishes &amp; inverts</x:v>
      </x:c>
      <x:c r="I57" s="31" t="n">
        <x:v>9.3872801845</x:v>
      </x:c>
      <x:c r="J57" s="31" t="n">
        <x:v>1.4804658147</x:v>
      </x:c>
      <x:c r="K57" s="31" t="n">
        <x:v>7.9068143698</x:v>
      </x:c>
      <x:c r="L57" s="31" t="n">
        <x:v>0</x:v>
      </x:c>
      <x:c r="M57" s="31" t="n">
        <x:v>9.3872801845</x:v>
      </x:c>
      <x:c r="N57" s="24" t="str">
        <x:v>holocentridae</x:v>
      </x:c>
      <x:c r="O57" s="32" t="n">
        <x:v>3.49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Holocentridae</x:v>
      </x:c>
      <x:c r="T57" s="32" t="n">
        <x:f>IF(O57="","",(1/'Metadata'!$B$5)^(O57-1))</x:f>
        <x:v>309.0295432513592</x:v>
      </x:c>
      <x:c r="U57" s="31" t="n">
        <x:f>IF(T57="","",I57*T57)</x:f>
        <x:v>2900.9469077885697</x:v>
      </x:c>
    </x:row>
    <x:row r="58" ht="18" customHeight="1">
      <x:c r="A58" s="24" t="str">
        <x:v>EEZ_842</x:v>
      </x:c>
      <x:c r="B58" s="24" t="str">
        <x:v>Hawaii Main Islands (USA)</x:v>
      </x:c>
      <x:c r="C58" s="24" t="str">
        <x:v>EEZ</x:v>
      </x:c>
      <x:c r="D58" s="30" t="n">
        <x:v>2019</x:v>
      </x:c>
      <x:c r="E58" s="24" t="str">
        <x:v>Elagatis bipinnulata</x:v>
      </x:c>
      <x:c r="F58" s="24" t="str">
        <x:v>Rainbow runner</x:v>
      </x:c>
      <x:c r="G58" s="24" t="str">
        <x:v>Large pelagics (&gt;=90 cm)</x:v>
      </x:c>
      <x:c r="H58" s="24" t="str">
        <x:v>Perch-likes</x:v>
      </x:c>
      <x:c r="I58" s="31" t="n">
        <x:v>8.2135511581</x:v>
      </x:c>
      <x:c r="J58" s="31" t="n">
        <x:v>8.2135511581</x:v>
      </x:c>
      <x:c r="K58" s="31" t="n">
        <x:v>0</x:v>
      </x:c>
      <x:c r="L58" s="31" t="n">
        <x:v>1.841133619</x:v>
      </x:c>
      <x:c r="M58" s="31" t="n">
        <x:v>6.3724175391</x:v>
      </x:c>
      <x:c r="N58" s="24" t="str">
        <x:v>elagatis bipinnulata</x:v>
      </x:c>
      <x:c r="O58" s="32" t="n">
        <x:v>4.27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Elagatis bipinnulata</x:v>
      </x:c>
      <x:c r="T58" s="32" t="n">
        <x:f>IF(O58="","",(1/'Metadata'!$B$5)^(O58-1))</x:f>
        <x:v>1862.0871366628655</x:v>
      </x:c>
      <x:c r="U58" s="31" t="n">
        <x:f>IF(T58="","",I58*T58)</x:f>
        <x:v>15294.347957820391</x:v>
      </x:c>
    </x:row>
    <x:row r="59" ht="18" customHeight="1">
      <x:c r="A59" s="24" t="str">
        <x:v>EEZ_842</x:v>
      </x:c>
      <x:c r="B59" s="24" t="str">
        <x:v>Hawaii Main Islands (USA)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7.8172683886</x:v>
      </x:c>
      <x:c r="J59" s="31" t="n">
        <x:v>0.6697449469</x:v>
      </x:c>
      <x:c r="K59" s="31" t="n">
        <x:v>7.1475234417</x:v>
      </x:c>
      <x:c r="L59" s="31" t="n">
        <x:v>0.6697449469</x:v>
      </x:c>
      <x:c r="M59" s="31" t="n">
        <x:v>7.1475234417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24720.373188810245</x:v>
      </x:c>
    </x:row>
    <x:row r="60" ht="18" customHeight="1">
      <x:c r="A60" s="24" t="str">
        <x:v>EEZ_842</x:v>
      </x:c>
      <x:c r="B60" s="24" t="str">
        <x:v>Hawaii Main Islands (USA)</x:v>
      </x:c>
      <x:c r="C60" s="24" t="str">
        <x:v>EEZ</x:v>
      </x:c>
      <x:c r="D60" s="30" t="n">
        <x:v>2019</x:v>
      </x:c>
      <x:c r="E60" s="24" t="str">
        <x:v>Upeneus taeniopterus</x:v>
      </x:c>
      <x:c r="F60" s="24" t="str">
        <x:v>Finstripe goatfish</x:v>
      </x:c>
      <x:c r="G60" s="24" t="str">
        <x:v>Small reef assoc. fish (&lt;30 cm)</x:v>
      </x:c>
      <x:c r="H60" s="24" t="str">
        <x:v>Perch-likes</x:v>
      </x:c>
      <x:c r="I60" s="31" t="n">
        <x:v>6.6746294656</x:v>
      </x:c>
      <x:c r="J60" s="31" t="n">
        <x:v>6.6746294656</x:v>
      </x:c>
      <x:c r="K60" s="31" t="n">
        <x:v>0</x:v>
      </x:c>
      <x:c r="L60" s="31" t="n">
        <x:v>0</x:v>
      </x:c>
      <x:c r="M60" s="31" t="n">
        <x:v>6.6746294656</x:v>
      </x:c>
      <x:c r="N60" s="24" t="str">
        <x:v>upeneus taeniopterus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Upeneus taeniopterus</x:v>
      </x:c>
      <x:c r="T60" s="32" t="n">
        <x:f>IF(O60="","",(1/'Metadata'!$B$5)^(O60-1))</x:f>
        <x:v>346.73685045253166</x:v>
      </x:c>
      <x:c r="U60" s="31" t="n">
        <x:f>IF(T60="","",I60*T60)</x:f>
        <x:v>2314.3399988398082</x:v>
      </x:c>
    </x:row>
    <x:row r="61" ht="18" customHeight="1">
      <x:c r="A61" s="24" t="str">
        <x:v>EEZ_842</x:v>
      </x:c>
      <x:c r="B61" s="24" t="str">
        <x:v>Hawaii Main Islands (USA)</x:v>
      </x:c>
      <x:c r="C61" s="24" t="str">
        <x:v>EEZ</x:v>
      </x:c>
      <x:c r="D61" s="30" t="n">
        <x:v>2019</x:v>
      </x:c>
      <x:c r="E61" s="24" t="str">
        <x:v>Muraenidae</x:v>
      </x:c>
      <x:c r="F61" s="24" t="str">
        <x:v>Moray eels</x:v>
      </x:c>
      <x:c r="G61" s="24" t="str">
        <x:v>Large reef assoc. fish (&gt;=90 cm)</x:v>
      </x:c>
      <x:c r="H61" s="24" t="str">
        <x:v>Other fishes &amp; inverts</x:v>
      </x:c>
      <x:c r="I61" s="31" t="n">
        <x:v>6.4237388521000005</x:v>
      </x:c>
      <x:c r="J61" s="31" t="n">
        <x:v>5.605792538</x:v>
      </x:c>
      <x:c r="K61" s="31" t="n">
        <x:v>0.8179463141</x:v>
      </x:c>
      <x:c r="L61" s="31" t="n">
        <x:v>0.265805445</x:v>
      </x:c>
      <x:c r="M61" s="31" t="n">
        <x:v>6.157933407100001</x:v>
      </x:c>
      <x:c r="N61" s="24" t="str">
        <x:v>muraenidae</x:v>
      </x:c>
      <x:c r="O61" s="32" t="n">
        <x:v>4.07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Muraenidae</x:v>
      </x:c>
      <x:c r="T61" s="32" t="n">
        <x:f>IF(O61="","",(1/'Metadata'!$B$5)^(O61-1))</x:f>
        <x:v>1174.8975549395302</x:v>
      </x:c>
      <x:c r="U61" s="31" t="n">
        <x:f>IF(T61="","",I61*T61)</x:f>
        <x:v>7547.235070902355</x:v>
      </x:c>
    </x:row>
    <x:row r="62" ht="18" customHeight="1">
      <x:c r="A62" s="24" t="str">
        <x:v>EEZ_842</x:v>
      </x:c>
      <x:c r="B62" s="24" t="str">
        <x:v>Hawaii Main Islands (USA)</x:v>
      </x:c>
      <x:c r="C62" s="24" t="str">
        <x:v>EEZ</x:v>
      </x:c>
      <x:c r="D62" s="30" t="n">
        <x:v>2019</x:v>
      </x:c>
      <x:c r="E62" s="24" t="str">
        <x:v>Aphareus rutilans</x:v>
      </x:c>
      <x:c r="F62" s="24" t="str">
        <x:v>Rusty jobfish</x:v>
      </x:c>
      <x:c r="G62" s="24" t="str">
        <x:v>Medium reef assoc. fish (30 - 89 cm)</x:v>
      </x:c>
      <x:c r="H62" s="24" t="str">
        <x:v>Perch-likes</x:v>
      </x:c>
      <x:c r="I62" s="31" t="n">
        <x:v>6.2502969177</x:v>
      </x:c>
      <x:c r="J62" s="31" t="n">
        <x:v>6.2502969177</x:v>
      </x:c>
      <x:c r="K62" s="31" t="n">
        <x:v>0</x:v>
      </x:c>
      <x:c r="L62" s="31" t="n">
        <x:v>3.541653437</x:v>
      </x:c>
      <x:c r="M62" s="31" t="n">
        <x:v>2.7086434807</x:v>
      </x:c>
      <x:c r="N62" s="24" t="str">
        <x:v>aphareus rutilans</x:v>
      </x:c>
      <x:c r="O62" s="32" t="n">
        <x:v>4.11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Aphareus rutilans</x:v>
      </x:c>
      <x:c r="T62" s="32" t="n">
        <x:f>IF(O62="","",(1/'Metadata'!$B$5)^(O62-1))</x:f>
        <x:v>1288.249551693135</x:v>
      </x:c>
      <x:c r="U62" s="31" t="n">
        <x:f>IF(T62="","",I62*T62)</x:f>
        <x:v>8051.942202176008</x:v>
      </x:c>
    </x:row>
    <x:row r="63" ht="18" customHeight="1">
      <x:c r="A63" s="24" t="str">
        <x:v>EEZ_842</x:v>
      </x:c>
      <x:c r="B63" s="24" t="str">
        <x:v>Hawaii Main Islands (USA)</x:v>
      </x:c>
      <x:c r="C63" s="24" t="str">
        <x:v>EEZ</x:v>
      </x:c>
      <x:c r="D63" s="30" t="n">
        <x:v>2019</x:v>
      </x:c>
      <x:c r="E63" s="24" t="str">
        <x:v>Naso lituratus</x:v>
      </x:c>
      <x:c r="F63" s="24" t="str">
        <x:v>Orangespine unicornfish</x:v>
      </x:c>
      <x:c r="G63" s="24" t="str">
        <x:v>Medium reef assoc. fish (30 - 89 cm)</x:v>
      </x:c>
      <x:c r="H63" s="24" t="str">
        <x:v>Perch-likes</x:v>
      </x:c>
      <x:c r="I63" s="31" t="n">
        <x:v>5.8829263205</x:v>
      </x:c>
      <x:c r="J63" s="31" t="n">
        <x:v>5.8829263205</x:v>
      </x:c>
      <x:c r="K63" s="31" t="n">
        <x:v>0</x:v>
      </x:c>
      <x:c r="L63" s="31" t="n">
        <x:v>1.2741424829</x:v>
      </x:c>
      <x:c r="M63" s="31" t="n">
        <x:v>4.6087838376</x:v>
      </x:c>
      <x:c r="N63" s="24" t="str">
        <x:v>naso lituratus</x:v>
      </x:c>
      <x:c r="O63" s="32" t="n">
        <x:v>2.32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Naso lituratus</x:v>
      </x:c>
      <x:c r="T63" s="32" t="n">
        <x:f>IF(O63="","",(1/'Metadata'!$B$5)^(O63-1))</x:f>
        <x:v>20.892961308540386</x:v>
      </x:c>
      <x:c r="U63" s="31" t="n">
        <x:f>IF(T63="","",I63*T63)</x:f>
        <x:v>122.91175199520036</x:v>
      </x:c>
    </x:row>
    <x:row r="64" ht="18" customHeight="1">
      <x:c r="A64" s="24" t="str">
        <x:v>EEZ_842</x:v>
      </x:c>
      <x:c r="B64" s="24" t="str">
        <x:v>Hawaii Main Islands (USA)</x:v>
      </x:c>
      <x:c r="C64" s="24" t="str">
        <x:v>EEZ</x:v>
      </x:c>
      <x:c r="D64" s="30" t="n">
        <x:v>2019</x:v>
      </x:c>
      <x:c r="E64" s="24" t="str">
        <x:v>Elasmobranchii</x:v>
      </x:c>
      <x:c r="F64" s="24" t="str">
        <x:v>Sharks, rays, skates</x:v>
      </x:c>
      <x:c r="G64" s="24" t="str">
        <x:v>Large sharks (&gt;=90 cm)</x:v>
      </x:c>
      <x:c r="H64" s="24" t="str">
        <x:v>Sharks &amp; rays</x:v>
      </x:c>
      <x:c r="I64" s="31" t="n">
        <x:v>5.7256241988</x:v>
      </x:c>
      <x:c r="J64" s="31" t="n">
        <x:v>0</x:v>
      </x:c>
      <x:c r="K64" s="31" t="n">
        <x:v>5.7256241988</x:v>
      </x:c>
      <x:c r="L64" s="31" t="n">
        <x:v>0</x:v>
      </x:c>
      <x:c r="M64" s="31" t="n">
        <x:v>5.7256241988</x:v>
      </x:c>
      <x:c r="N64" s="24" t="str">
        <x:v>elasmobranchii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Elasmobranchii</x:v>
      </x:c>
      <x:c r="T64" s="32" t="n">
        <x:f>IF(O64="","",(1/'Metadata'!$B$5)^(O64-1))</x:f>
        <x:v>1122.018454301963</x:v>
      </x:c>
      <x:c r="U64" s="31" t="n">
        <x:f>IF(T64="","",I64*T64)</x:f>
        <x:v>6424.2560134514915</x:v>
      </x:c>
    </x:row>
    <x:row r="65" ht="18" customHeight="1">
      <x:c r="A65" s="24" t="str">
        <x:v>EEZ_842</x:v>
      </x:c>
      <x:c r="B65" s="24" t="str">
        <x:v>Hawaii Main Islands (USA)</x:v>
      </x:c>
      <x:c r="C65" s="24" t="str">
        <x:v>EEZ</x:v>
      </x:c>
      <x:c r="D65" s="30" t="n">
        <x:v>2019</x:v>
      </x:c>
      <x:c r="E65" s="24" t="str">
        <x:v>Monotaxis grandoculis</x:v>
      </x:c>
      <x:c r="F65" s="24" t="str">
        <x:v>Humpnose big-eye bream</x:v>
      </x:c>
      <x:c r="G65" s="24" t="str">
        <x:v>Medium reef assoc. fish (30 - 89 cm)</x:v>
      </x:c>
      <x:c r="H65" s="24" t="str">
        <x:v>Perch-likes</x:v>
      </x:c>
      <x:c r="I65" s="31" t="n">
        <x:v>5.6699067587</x:v>
      </x:c>
      <x:c r="J65" s="31" t="n">
        <x:v>5.6699067587</x:v>
      </x:c>
      <x:c r="K65" s="31" t="n">
        <x:v>0</x:v>
      </x:c>
      <x:c r="L65" s="31" t="n">
        <x:v>3.0177536262</x:v>
      </x:c>
      <x:c r="M65" s="31" t="n">
        <x:v>2.6521531325</x:v>
      </x:c>
      <x:c r="N65" s="24" t="str">
        <x:v>monotaxis grandoculis</x:v>
      </x:c>
      <x:c r="O65" s="32" t="n">
        <x:v>3.37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Monotaxis grandoculis</x:v>
      </x:c>
      <x:c r="T65" s="32" t="n">
        <x:f>IF(O65="","",(1/'Metadata'!$B$5)^(O65-1))</x:f>
        <x:v>234.42288153199226</x:v>
      </x:c>
      <x:c r="U65" s="31" t="n">
        <x:f>IF(T65="","",I65*T65)</x:f>
        <x:v>1329.1558803921723</x:v>
      </x:c>
    </x:row>
    <x:row r="66" ht="18" customHeight="1">
      <x:c r="A66" s="24" t="str">
        <x:v>EEZ_842</x:v>
      </x:c>
      <x:c r="B66" s="24" t="str">
        <x:v>Hawaii Main Islands (USA)</x:v>
      </x:c>
      <x:c r="C66" s="24" t="str">
        <x:v>EEZ</x:v>
      </x:c>
      <x:c r="D66" s="30" t="n">
        <x:v>2019</x:v>
      </x:c>
      <x:c r="E66" s="24" t="str">
        <x:v>Calotomus carolinus</x:v>
      </x:c>
      <x:c r="F66" s="24" t="str">
        <x:v>Carolines parrotfish</x:v>
      </x:c>
      <x:c r="G66" s="24" t="str">
        <x:v>Medium reef assoc. fish (30 - 89 cm)</x:v>
      </x:c>
      <x:c r="H66" s="24" t="str">
        <x:v>Perch-likes</x:v>
      </x:c>
      <x:c r="I66" s="31" t="n">
        <x:v>5.525483083200001</x:v>
      </x:c>
      <x:c r="J66" s="31" t="n">
        <x:v>5.525483083200001</x:v>
      </x:c>
      <x:c r="K66" s="31" t="n">
        <x:v>0</x:v>
      </x:c>
      <x:c r="L66" s="31" t="n">
        <x:v>1.1992996529000002</x:v>
      </x:c>
      <x:c r="M66" s="31" t="n">
        <x:v>4.3261834303</x:v>
      </x:c>
      <x:c r="N66" s="24" t="str">
        <x:v>calotomus carolinus</x:v>
      </x:c>
      <x:c r="O66" s="32" t="n">
        <x:v>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Calotomus carolinus</x:v>
      </x:c>
      <x:c r="T66" s="32" t="n">
        <x:f>IF(O66="","",(1/'Metadata'!$B$5)^(O66-1))</x:f>
        <x:v>10</x:v>
      </x:c>
      <x:c r="U66" s="31" t="n">
        <x:f>IF(T66="","",I66*T66)</x:f>
        <x:v>55.25483083200001</x:v>
      </x:c>
    </x:row>
    <x:row r="67" ht="18" customHeight="1">
      <x:c r="A67" s="24" t="str">
        <x:v>EEZ_842</x:v>
      </x:c>
      <x:c r="B67" s="24" t="str">
        <x:v>Hawaii Main Islands (USA)</x:v>
      </x:c>
      <x:c r="C67" s="24" t="str">
        <x:v>EEZ</x:v>
      </x:c>
      <x:c r="D67" s="30" t="n">
        <x:v>2019</x:v>
      </x:c>
      <x:c r="E67" s="24" t="str">
        <x:v>Gastropoda</x:v>
      </x:c>
      <x:c r="F67" s="24" t="str">
        <x:v>Sea snails</x:v>
      </x:c>
      <x:c r="G67" s="24" t="str">
        <x:v>Other demersal invertebrates</x:v>
      </x:c>
      <x:c r="H67" s="24" t="str">
        <x:v>Molluscs</x:v>
      </x:c>
      <x:c r="I67" s="31" t="n">
        <x:v>5.3260879421</x:v>
      </x:c>
      <x:c r="J67" s="31" t="n">
        <x:v>5.3260879421</x:v>
      </x:c>
      <x:c r="K67" s="31" t="n">
        <x:v>0</x:v>
      </x:c>
      <x:c r="L67" s="31" t="n">
        <x:v>5.3260879421</x:v>
      </x:c>
      <x:c r="M67" s="31" t="n">
        <x:v>0</x:v>
      </x:c>
      <x:c r="N67" s="24" t="str">
        <x:v>gastropoda</x:v>
      </x:c>
      <x:c r="O67" s="32" t="n">
        <x:v>3.06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Gastropoda</x:v>
      </x:c>
      <x:c r="T67" s="32" t="n">
        <x:f>IF(O67="","",(1/'Metadata'!$B$5)^(O67-1))</x:f>
        <x:v>114.81536214968828</x:v>
      </x:c>
      <x:c r="U67" s="31" t="n">
        <x:f>IF(T67="","",I67*T67)</x:f>
        <x:v>611.5167159132995</x:v>
      </x:c>
    </x:row>
    <x:row r="68" ht="18" customHeight="1">
      <x:c r="A68" s="24" t="str">
        <x:v>EEZ_842</x:v>
      </x:c>
      <x:c r="B68" s="24" t="str">
        <x:v>Hawaii Main Islands (USA)</x:v>
      </x:c>
      <x:c r="C68" s="24" t="str">
        <x:v>EEZ</x:v>
      </x:c>
      <x:c r="D68" s="30" t="n">
        <x:v>2019</x:v>
      </x:c>
      <x:c r="E68" s="24" t="str">
        <x:v>Scorpaenidae</x:v>
      </x:c>
      <x:c r="F68" s="24" t="str">
        <x:v>Scorpionfishes, rockfishes</x:v>
      </x:c>
      <x:c r="G68" s="24" t="str">
        <x:v>Large reef assoc. fish (&gt;=90 cm)</x:v>
      </x:c>
      <x:c r="H68" s="24" t="str">
        <x:v>Scorpionfishes</x:v>
      </x:c>
      <x:c r="I68" s="31" t="n">
        <x:v>5.1292480732</x:v>
      </x:c>
      <x:c r="J68" s="31" t="n">
        <x:v>0.49421895979999997</x:v>
      </x:c>
      <x:c r="K68" s="31" t="n">
        <x:v>4.6350291134</x:v>
      </x:c>
      <x:c r="L68" s="31" t="n">
        <x:v>0.46130398899999997</x:v>
      </x:c>
      <x:c r="M68" s="31" t="n">
        <x:v>4.6679440842</x:v>
      </x:c>
      <x:c r="N68" s="24" t="str">
        <x:v>scorpaenidae</x:v>
      </x:c>
      <x:c r="O68" s="32" t="n">
        <x:v>3.92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Scorpaenidae</x:v>
      </x:c>
      <x:c r="T68" s="32" t="n">
        <x:f>IF(O68="","",(1/'Metadata'!$B$5)^(O68-1))</x:f>
        <x:v>831.7637711026708</x:v>
      </x:c>
      <x:c r="U68" s="31" t="n">
        <x:f>IF(T68="","",I68*T68)</x:f>
        <x:v>4266.322720285941</x:v>
      </x:c>
    </x:row>
    <x:row r="69" ht="18" customHeight="1">
      <x:c r="A69" s="24" t="str">
        <x:v>EEZ_842</x:v>
      </x:c>
      <x:c r="B69" s="24" t="str">
        <x:v>Hawaii Main Islands (USA)</x:v>
      </x:c>
      <x:c r="C69" s="24" t="str">
        <x:v>EEZ</x:v>
      </x:c>
      <x:c r="D69" s="30" t="n">
        <x:v>2019</x:v>
      </x:c>
      <x:c r="E69" s="24" t="str">
        <x:v>Kyphosus</x:v>
      </x:c>
      <x:c r="F69" s="24" t="str">
        <x:v>Sea chubs</x:v>
      </x:c>
      <x:c r="G69" s="24" t="str">
        <x:v>Medium reef assoc. fish (30 - 89 cm)</x:v>
      </x:c>
      <x:c r="H69" s="24" t="str">
        <x:v>Perch-likes</x:v>
      </x:c>
      <x:c r="I69" s="31" t="n">
        <x:v>5.0543857902</x:v>
      </x:c>
      <x:c r="J69" s="31" t="n">
        <x:v>5.0543857902</x:v>
      </x:c>
      <x:c r="K69" s="31" t="n">
        <x:v>0</x:v>
      </x:c>
      <x:c r="L69" s="31" t="n">
        <x:v>5.0543857902</x:v>
      </x:c>
      <x:c r="M69" s="31" t="n">
        <x:v>0</x:v>
      </x:c>
      <x:c r="N69" s="24" t="str">
        <x:v>kyphosus</x:v>
      </x:c>
      <x:c r="O69" s="32" t="n">
        <x:v>2.05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Kyphosus</x:v>
      </x:c>
      <x:c r="T69" s="32" t="n">
        <x:f>IF(O69="","",(1/'Metadata'!$B$5)^(O69-1))</x:f>
        <x:v>11.220184543019629</x:v>
      </x:c>
      <x:c r="U69" s="31" t="n">
        <x:f>IF(T69="","",I69*T69)</x:f>
        <x:v>56.711141317660086</x:v>
      </x:c>
    </x:row>
    <x:row r="70" ht="18" customHeight="1">
      <x:c r="A70" s="24" t="str">
        <x:v>EEZ_842</x:v>
      </x:c>
      <x:c r="B70" s="24" t="str">
        <x:v>Hawaii Main Islands (USA)</x:v>
      </x:c>
      <x:c r="C70" s="24" t="str">
        <x:v>EEZ</x:v>
      </x:c>
      <x:c r="D70" s="30" t="n">
        <x:v>2019</x:v>
      </x:c>
      <x:c r="E70" s="24" t="str">
        <x:v>Octopus cyanea</x:v>
      </x:c>
      <x:c r="F70" s="24" t="str">
        <x:v>Big blue octopus</x:v>
      </x:c>
      <x:c r="G70" s="24" t="str">
        <x:v>Cephalopods</x:v>
      </x:c>
      <x:c r="H70" s="24" t="str">
        <x:v>Other fishes &amp; inverts</x:v>
      </x:c>
      <x:c r="I70" s="31" t="n">
        <x:v>4.2392793319</x:v>
      </x:c>
      <x:c r="J70" s="31" t="n">
        <x:v>4.2392793319</x:v>
      </x:c>
      <x:c r="K70" s="31" t="n">
        <x:v>0</x:v>
      </x:c>
      <x:c r="L70" s="31" t="n">
        <x:v>4.2392793319</x:v>
      </x:c>
      <x:c r="M70" s="31" t="n">
        <x:v>0</x:v>
      </x:c>
      <x:c r="N70" s="24" t="str">
        <x:v>octopus cyanea</x:v>
      </x:c>
      <x:c r="O70" s="32" t="n">
        <x:v>3.6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Octopus cyanea</x:v>
      </x:c>
      <x:c r="T70" s="32" t="n">
        <x:f>IF(O70="","",(1/'Metadata'!$B$5)^(O70-1))</x:f>
        <x:v>398.1071705534973</x:v>
      </x:c>
      <x:c r="U70" s="31" t="n">
        <x:f>IF(T70="","",I70*T70)</x:f>
        <x:v>1687.6875000086293</x:v>
      </x:c>
    </x:row>
    <x:row r="71" ht="18" customHeight="1">
      <x:c r="A71" s="24" t="str">
        <x:v>EEZ_842</x:v>
      </x:c>
      <x:c r="B71" s="24" t="str">
        <x:v>Hawaii Main Islands (USA)</x:v>
      </x:c>
      <x:c r="C71" s="24" t="str">
        <x:v>EEZ</x:v>
      </x:c>
      <x:c r="D71" s="30" t="n">
        <x:v>2019</x:v>
      </x:c>
      <x:c r="E71" s="24" t="str">
        <x:v>Naso</x:v>
      </x:c>
      <x:c r="F71" s="24" t="str">
        <x:v>Unicornfishes</x:v>
      </x:c>
      <x:c r="G71" s="24" t="str">
        <x:v>Medium reef assoc. fish (30 - 89 cm)</x:v>
      </x:c>
      <x:c r="H71" s="24" t="str">
        <x:v>Perch-likes</x:v>
      </x:c>
      <x:c r="I71" s="31" t="n">
        <x:v>4.2274859159</x:v>
      </x:c>
      <x:c r="J71" s="31" t="n">
        <x:v>4.2274859159</x:v>
      </x:c>
      <x:c r="K71" s="31" t="n">
        <x:v>0</x:v>
      </x:c>
      <x:c r="L71" s="31" t="n">
        <x:v>4.2274859159</x:v>
      </x:c>
      <x:c r="M71" s="31" t="n">
        <x:v>0</x:v>
      </x:c>
      <x:c r="N71" s="24" t="str">
        <x:v>naso</x:v>
      </x:c>
      <x:c r="O71" s="32" t="n">
        <x:v>3.28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Naso</x:v>
      </x:c>
      <x:c r="T71" s="32" t="n">
        <x:f>IF(O71="","",(1/'Metadata'!$B$5)^(O71-1))</x:f>
        <x:v>190.54607179632464</x:v>
      </x:c>
      <x:c r="U71" s="31" t="n">
        <x:f>IF(T71="","",I71*T71)</x:f>
        <x:v>805.5308348490327</x:v>
      </x:c>
    </x:row>
    <x:row r="72" ht="18" customHeight="1">
      <x:c r="A72" s="24" t="str">
        <x:v>EEZ_842</x:v>
      </x:c>
      <x:c r="B72" s="24" t="str">
        <x:v>Hawaii Main Islands (USA)</x:v>
      </x:c>
      <x:c r="C72" s="24" t="str">
        <x:v>EEZ</x:v>
      </x:c>
      <x:c r="D72" s="30" t="n">
        <x:v>2019</x:v>
      </x:c>
      <x:c r="E72" s="24" t="str">
        <x:v>Mulloidichthys pfluegeri</x:v>
      </x:c>
      <x:c r="F72" s="24" t="str">
        <x:v>Orange goatfish</x:v>
      </x:c>
      <x:c r="G72" s="24" t="str">
        <x:v>Medium demersals (30 - 89 cm)</x:v>
      </x:c>
      <x:c r="H72" s="24" t="str">
        <x:v>Perch-likes</x:v>
      </x:c>
      <x:c r="I72" s="31" t="n">
        <x:v>4.1109133741</x:v>
      </x:c>
      <x:c r="J72" s="31" t="n">
        <x:v>4.1109133741</x:v>
      </x:c>
      <x:c r="K72" s="31" t="n">
        <x:v>0</x:v>
      </x:c>
      <x:c r="L72" s="31" t="n">
        <x:v>0.47082944</x:v>
      </x:c>
      <x:c r="M72" s="31" t="n">
        <x:v>3.6400839341</x:v>
      </x:c>
      <x:c r="N72" s="24" t="str">
        <x:v>mulloidichthys pfluegeri</x:v>
      </x:c>
      <x:c r="O72" s="32" t="n">
        <x:v>3.88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Mulloidichthys pfluegeri</x:v>
      </x:c>
      <x:c r="T72" s="32" t="n">
        <x:f>IF(O72="","",(1/'Metadata'!$B$5)^(O72-1))</x:f>
        <x:v>758.5775750291835</x:v>
      </x:c>
      <x:c r="U72" s="31" t="n">
        <x:f>IF(T72="","",I72*T72)</x:f>
        <x:v>3118.446698479817</x:v>
      </x:c>
    </x:row>
    <x:row r="73" ht="18" customHeight="1">
      <x:c r="A73" s="24" t="str">
        <x:v>EEZ_842</x:v>
      </x:c>
      <x:c r="B73" s="24" t="str">
        <x:v>Hawaii Main Islands (USA)</x:v>
      </x:c>
      <x:c r="C73" s="24" t="str">
        <x:v>EEZ</x:v>
      </x:c>
      <x:c r="D73" s="30" t="n">
        <x:v>2019</x:v>
      </x:c>
      <x:c r="E73" s="24" t="str">
        <x:v>Carangidae</x:v>
      </x:c>
      <x:c r="F73" s="24" t="str">
        <x:v>Jacks, pompanos</x:v>
      </x:c>
      <x:c r="G73" s="24" t="str">
        <x:v>Medium pelagics (30 - 89 cm)</x:v>
      </x:c>
      <x:c r="H73" s="24" t="str">
        <x:v>Perch-likes</x:v>
      </x:c>
      <x:c r="I73" s="31" t="n">
        <x:v>3.7520894613999998</x:v>
      </x:c>
      <x:c r="J73" s="31" t="n">
        <x:v>3.7520894613999998</x:v>
      </x:c>
      <x:c r="K73" s="31" t="n">
        <x:v>0</x:v>
      </x:c>
      <x:c r="L73" s="31" t="n">
        <x:v>0.023586831</x:v>
      </x:c>
      <x:c r="M73" s="31" t="n">
        <x:v>3.7285026304</x:v>
      </x:c>
      <x:c r="N73" s="24" t="str">
        <x:v>carangidae</x:v>
      </x:c>
      <x:c r="O73" s="32" t="n">
        <x:v>4.05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Carangidae</x:v>
      </x:c>
      <x:c r="T73" s="32" t="n">
        <x:f>IF(O73="","",(1/'Metadata'!$B$5)^(O73-1))</x:f>
        <x:v>1122.018454301963</x:v>
      </x:c>
      <x:c r="U73" s="31" t="n">
        <x:f>IF(T73="","",I73*T73)</x:f>
        <x:v>4209.913617882712</x:v>
      </x:c>
    </x:row>
    <x:row r="74" ht="18" customHeight="1">
      <x:c r="A74" s="24" t="str">
        <x:v>EEZ_842</x:v>
      </x:c>
      <x:c r="B74" s="24" t="str">
        <x:v>Hawaii Main Islands (USA)</x:v>
      </x:c>
      <x:c r="C74" s="24" t="str">
        <x:v>EEZ</x:v>
      </x:c>
      <x:c r="D74" s="30" t="n">
        <x:v>2019</x:v>
      </x:c>
      <x:c r="E74" s="24" t="str">
        <x:v>Pomacentridae</x:v>
      </x:c>
      <x:c r="F74" s="24" t="str">
        <x:v>Damselfishes</x:v>
      </x:c>
      <x:c r="G74" s="24" t="str">
        <x:v>Small reef assoc. fish (&lt;30 cm)</x:v>
      </x:c>
      <x:c r="H74" s="24" t="str">
        <x:v>Perch-likes</x:v>
      </x:c>
      <x:c r="I74" s="31" t="n">
        <x:v>3.4568829949</x:v>
      </x:c>
      <x:c r="J74" s="31" t="n">
        <x:v>3.4568829949</x:v>
      </x:c>
      <x:c r="K74" s="31" t="n">
        <x:v>0</x:v>
      </x:c>
      <x:c r="L74" s="31" t="n">
        <x:v>0</x:v>
      </x:c>
      <x:c r="M74" s="31" t="n">
        <x:v>3.4568829949</x:v>
      </x:c>
      <x:c r="N74" s="24" t="str">
        <x:v>pomacentridae</x:v>
      </x:c>
      <x:c r="O74" s="32" t="n">
        <x:v>2.57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Pomacentridae</x:v>
      </x:c>
      <x:c r="T74" s="32" t="n">
        <x:f>IF(O74="","",(1/'Metadata'!$B$5)^(O74-1))</x:f>
        <x:v>37.15352290971724</x:v>
      </x:c>
      <x:c r="U74" s="31" t="n">
        <x:f>IF(T74="","",I74*T74)</x:f>
        <x:v>128.4353815472291</x:v>
      </x:c>
    </x:row>
    <x:row r="75" ht="18" customHeight="1">
      <x:c r="A75" s="24" t="str">
        <x:v>EEZ_842</x:v>
      </x:c>
      <x:c r="B75" s="24" t="str">
        <x:v>Hawaii Main Islands (USA)</x:v>
      </x:c>
      <x:c r="C75" s="24" t="str">
        <x:v>EEZ</x:v>
      </x:c>
      <x:c r="D75" s="30" t="n">
        <x:v>2019</x:v>
      </x:c>
      <x:c r="E75" s="24" t="str">
        <x:v>Acanthuridae</x:v>
      </x:c>
      <x:c r="F75" s="24" t="str">
        <x:v>Surgeons, tangs, unicornfishes</x:v>
      </x:c>
      <x:c r="G75" s="24" t="str">
        <x:v>Small reef assoc. fish (&lt;30 cm)</x:v>
      </x:c>
      <x:c r="H75" s="24" t="str">
        <x:v>Perch-likes</x:v>
      </x:c>
      <x:c r="I75" s="31" t="n">
        <x:v>3.370355416</x:v>
      </x:c>
      <x:c r="J75" s="31" t="n">
        <x:v>3.370355416</x:v>
      </x:c>
      <x:c r="K75" s="31" t="n">
        <x:v>0</x:v>
      </x:c>
      <x:c r="L75" s="31" t="n">
        <x:v>0</x:v>
      </x:c>
      <x:c r="M75" s="31" t="n">
        <x:v>3.370355416</x:v>
      </x:c>
      <x:c r="N75" s="24" t="str">
        <x:v>acanthuridae</x:v>
      </x:c>
      <x:c r="O75" s="32" t="n">
        <x:v>2.28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Acanthuridae</x:v>
      </x:c>
      <x:c r="T75" s="32" t="n">
        <x:f>IF(O75="","",(1/'Metadata'!$B$5)^(O75-1))</x:f>
        <x:v>19.054607179632463</x:v>
      </x:c>
      <x:c r="U75" s="31" t="n">
        <x:f>IF(T75="","",I75*T75)</x:f>
        <x:v>64.22079850762675</x:v>
      </x:c>
    </x:row>
    <x:row r="76" ht="18" customHeight="1">
      <x:c r="A76" s="24" t="str">
        <x:v>EEZ_842</x:v>
      </x:c>
      <x:c r="B76" s="24" t="str">
        <x:v>Hawaii Main Islands (USA)</x:v>
      </x:c>
      <x:c r="C76" s="24" t="str">
        <x:v>EEZ</x:v>
      </x:c>
      <x:c r="D76" s="30" t="n">
        <x:v>2019</x:v>
      </x:c>
      <x:c r="E76" s="24" t="str">
        <x:v>Albulidae</x:v>
      </x:c>
      <x:c r="F76" s="24" t="str">
        <x:v>Bonefishes</x:v>
      </x:c>
      <x:c r="G76" s="24" t="str">
        <x:v>Medium reef assoc. fish (30 - 89 cm)</x:v>
      </x:c>
      <x:c r="H76" s="24" t="str">
        <x:v>Other fishes &amp; inverts</x:v>
      </x:c>
      <x:c r="I76" s="31" t="n">
        <x:v>3.0871533421</x:v>
      </x:c>
      <x:c r="J76" s="31" t="n">
        <x:v>3.0871533421</x:v>
      </x:c>
      <x:c r="K76" s="31" t="n">
        <x:v>0</x:v>
      </x:c>
      <x:c r="L76" s="31" t="n">
        <x:v>3.0871533421</x:v>
      </x:c>
      <x:c r="M76" s="31" t="n">
        <x:v>0</x:v>
      </x:c>
      <x:c r="N76" s="24" t="str">
        <x:v>albulidae</x:v>
      </x:c>
      <x:c r="O76" s="32" t="n">
        <x:v>3.47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Albulidae</x:v>
      </x:c>
      <x:c r="T76" s="32" t="n">
        <x:f>IF(O76="","",(1/'Metadata'!$B$5)^(O76-1))</x:f>
        <x:v>295.1209226666387</x:v>
      </x:c>
      <x:c r="U76" s="31" t="n">
        <x:f>IF(T76="","",I76*T76)</x:f>
        <x:v>911.0835427339493</x:v>
      </x:c>
    </x:row>
    <x:row r="77" ht="18" customHeight="1">
      <x:c r="A77" s="24" t="str">
        <x:v>EEZ_842</x:v>
      </x:c>
      <x:c r="B77" s="24" t="str">
        <x:v>Hawaii Main Islands (USA)</x:v>
      </x:c>
      <x:c r="C77" s="24" t="str">
        <x:v>EEZ</x:v>
      </x:c>
      <x:c r="D77" s="30" t="n">
        <x:v>2019</x:v>
      </x:c>
      <x:c r="E77" s="24" t="str">
        <x:v>Myripristis amaena</x:v>
      </x:c>
      <x:c r="F77" s="24" t="str">
        <x:v>Brick soldierfish</x:v>
      </x:c>
      <x:c r="G77" s="24" t="str">
        <x:v>Small reef assoc. fish (&lt;30 cm)</x:v>
      </x:c>
      <x:c r="H77" s="24" t="str">
        <x:v>Other fishes &amp; inverts</x:v>
      </x:c>
      <x:c r="I77" s="31" t="n">
        <x:v>2.9590296859</x:v>
      </x:c>
      <x:c r="J77" s="31" t="n">
        <x:v>2.9590296859</x:v>
      </x:c>
      <x:c r="K77" s="31" t="n">
        <x:v>0</x:v>
      </x:c>
      <x:c r="L77" s="31" t="n">
        <x:v>0</x:v>
      </x:c>
      <x:c r="M77" s="31" t="n">
        <x:v>2.9590296859</x:v>
      </x:c>
      <x:c r="N77" s="24" t="str">
        <x:v>myripristis amaena</x:v>
      </x:c>
      <x:c r="O77" s="32" t="n">
        <x:v>3.62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Myripristis amaena</x:v>
      </x:c>
      <x:c r="T77" s="32" t="n">
        <x:f>IF(O77="","",(1/'Metadata'!$B$5)^(O77-1))</x:f>
        <x:v>416.8693834703355</x:v>
      </x:c>
      <x:c r="U77" s="31" t="n">
        <x:f>IF(T77="","",I77*T77)</x:f>
        <x:v>1233.5288808315536</x:v>
      </x:c>
    </x:row>
    <x:row r="78" ht="18" customHeight="1">
      <x:c r="A78" s="24" t="str">
        <x:v>EEZ_842</x:v>
      </x:c>
      <x:c r="B78" s="24" t="str">
        <x:v>Hawaii Main Islands (USA)</x:v>
      </x:c>
      <x:c r="C78" s="24" t="str">
        <x:v>EEZ</x:v>
      </x:c>
      <x:c r="D78" s="30" t="n">
        <x:v>2019</x:v>
      </x:c>
      <x:c r="E78" s="24" t="str">
        <x:v>Mullidae</x:v>
      </x:c>
      <x:c r="F78" s="24" t="str">
        <x:v>Goatfishes</x:v>
      </x:c>
      <x:c r="G78" s="24" t="str">
        <x:v>Medium reef assoc. fish (30 - 89 cm)</x:v>
      </x:c>
      <x:c r="H78" s="24" t="str">
        <x:v>Perch-likes</x:v>
      </x:c>
      <x:c r="I78" s="31" t="n">
        <x:v>2.7331863318000003</x:v>
      </x:c>
      <x:c r="J78" s="31" t="n">
        <x:v>0.0066986181</x:v>
      </x:c>
      <x:c r="K78" s="31" t="n">
        <x:v>2.7264877137</x:v>
      </x:c>
      <x:c r="L78" s="31" t="n">
        <x:v>0</x:v>
      </x:c>
      <x:c r="M78" s="31" t="n">
        <x:v>2.7331863318000003</x:v>
      </x:c>
      <x:c r="N78" s="24" t="str">
        <x:v>mullidae</x:v>
      </x:c>
      <x:c r="O78" s="32" t="n">
        <x:v>3.46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Mullidae</x:v>
      </x:c>
      <x:c r="T78" s="32" t="n">
        <x:f>IF(O78="","",(1/'Metadata'!$B$5)^(O78-1))</x:f>
        <x:v>288.40315031266056</x:v>
      </x:c>
      <x:c r="U78" s="31" t="n">
        <x:f>IF(T78="","",I78*T78)</x:f>
        <x:v>788.2595484826248</x:v>
      </x:c>
    </x:row>
    <x:row r="79" ht="18" customHeight="1">
      <x:c r="A79" s="24" t="str">
        <x:v>EEZ_842</x:v>
      </x:c>
      <x:c r="B79" s="24" t="str">
        <x:v>Hawaii Main Islands (USA)</x:v>
      </x:c>
      <x:c r="C79" s="24" t="str">
        <x:v>EEZ</x:v>
      </x:c>
      <x:c r="D79" s="30" t="n">
        <x:v>2019</x:v>
      </x:c>
      <x:c r="E79" s="24" t="str">
        <x:v>Scomberoides lysan</x:v>
      </x:c>
      <x:c r="F79" s="24" t="str">
        <x:v>Doublespotted queenfish</x:v>
      </x:c>
      <x:c r="G79" s="24" t="str">
        <x:v>Medium reef assoc. fish (30 - 89 cm)</x:v>
      </x:c>
      <x:c r="H79" s="24" t="str">
        <x:v>Perch-likes</x:v>
      </x:c>
      <x:c r="I79" s="31" t="n">
        <x:v>2.4589684259</x:v>
      </x:c>
      <x:c r="J79" s="31" t="n">
        <x:v>2.4589684259</x:v>
      </x:c>
      <x:c r="K79" s="31" t="n">
        <x:v>0</x:v>
      </x:c>
      <x:c r="L79" s="31" t="n">
        <x:v>0.1129446342</x:v>
      </x:c>
      <x:c r="M79" s="31" t="n">
        <x:v>2.3460237917</x:v>
      </x:c>
      <x:c r="N79" s="24" t="str">
        <x:v>scomberoides lysan</x:v>
      </x:c>
      <x:c r="O79" s="32" t="n">
        <x:v>4.38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Scomberoides lysan</x:v>
      </x:c>
      <x:c r="T79" s="32" t="n">
        <x:f>IF(O79="","",(1/'Metadata'!$B$5)^(O79-1))</x:f>
        <x:v>2398.83291901949</x:v>
      </x:c>
      <x:c r="U79" s="31" t="n">
        <x:f>IF(T79="","",I79*T79)</x:f>
        <x:v>5898.654406878458</x:v>
      </x:c>
    </x:row>
    <x:row r="80" ht="18" customHeight="1">
      <x:c r="A80" s="24" t="str">
        <x:v>EEZ_842</x:v>
      </x:c>
      <x:c r="B80" s="24" t="str">
        <x:v>Hawaii Main Islands (USA)</x:v>
      </x:c>
      <x:c r="C80" s="24" t="str">
        <x:v>EEZ</x:v>
      </x:c>
      <x:c r="D80" s="30" t="n">
        <x:v>2019</x:v>
      </x:c>
      <x:c r="E80" s="24" t="str">
        <x:v>Naso hexacanthus</x:v>
      </x:c>
      <x:c r="F80" s="24" t="str">
        <x:v>Sleek unicornfish</x:v>
      </x:c>
      <x:c r="G80" s="24" t="str">
        <x:v>Medium reef assoc. fish (30 - 89 cm)</x:v>
      </x:c>
      <x:c r="H80" s="24" t="str">
        <x:v>Perch-likes</x:v>
      </x:c>
      <x:c r="I80" s="31" t="n">
        <x:v>2.4188201406</x:v>
      </x:c>
      <x:c r="J80" s="31" t="n">
        <x:v>2.4188201406</x:v>
      </x:c>
      <x:c r="K80" s="31" t="n">
        <x:v>0</x:v>
      </x:c>
      <x:c r="L80" s="31" t="n">
        <x:v>0.5815061099</x:v>
      </x:c>
      <x:c r="M80" s="31" t="n">
        <x:v>1.8373140307</x:v>
      </x:c>
      <x:c r="N80" s="24" t="str">
        <x:v>naso hexacanthus</x:v>
      </x:c>
      <x:c r="O80" s="32" t="n">
        <x:v>3.28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Naso hexacanthus</x:v>
      </x:c>
      <x:c r="T80" s="32" t="n">
        <x:f>IF(O80="","",(1/'Metadata'!$B$5)^(O80-1))</x:f>
        <x:v>190.54607179632464</x:v>
      </x:c>
      <x:c r="U80" s="31" t="n">
        <x:f>IF(T80="","",I80*T80)</x:f>
        <x:v>460.89667617316366</x:v>
      </x:c>
    </x:row>
    <x:row r="81" ht="18" customHeight="1">
      <x:c r="A81" s="24" t="str">
        <x:v>EEZ_842</x:v>
      </x:c>
      <x:c r="B81" s="24" t="str">
        <x:v>Hawaii Main Islands (USA)</x:v>
      </x:c>
      <x:c r="C81" s="24" t="str">
        <x:v>EEZ</x:v>
      </x:c>
      <x:c r="D81" s="30" t="n">
        <x:v>2019</x:v>
      </x:c>
      <x:c r="E81" s="24" t="str">
        <x:v>Carcharhinus falciformis</x:v>
      </x:c>
      <x:c r="F81" s="24" t="str">
        <x:v>Silky shark</x:v>
      </x:c>
      <x:c r="G81" s="24" t="str">
        <x:v>Large sharks (&gt;=90 cm)</x:v>
      </x:c>
      <x:c r="H81" s="24" t="str">
        <x:v>Sharks &amp; rays</x:v>
      </x:c>
      <x:c r="I81" s="31" t="n">
        <x:v>2.2435168954</x:v>
      </x:c>
      <x:c r="J81" s="31" t="n">
        <x:v>0</x:v>
      </x:c>
      <x:c r="K81" s="31" t="n">
        <x:v>2.2435168954</x:v>
      </x:c>
      <x:c r="L81" s="31" t="n">
        <x:v>0</x:v>
      </x:c>
      <x:c r="M81" s="31" t="n">
        <x:v>2.2435168954</x:v>
      </x:c>
      <x:c r="N81" s="24" t="str">
        <x:v>carcharhinus falciformis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falciformis</x:v>
      </x:c>
      <x:c r="T81" s="32" t="n">
        <x:f>IF(O81="","",(1/'Metadata'!$B$5)^(O81-1))</x:f>
        <x:v>3235.936569296281</x:v>
      </x:c>
      <x:c r="U81" s="31" t="n">
        <x:f>IF(T81="","",I81*T81)</x:f>
        <x:v>7259.878365658919</x:v>
      </x:c>
    </x:row>
    <x:row r="82" ht="18" customHeight="1">
      <x:c r="A82" s="24" t="str">
        <x:v>EEZ_842</x:v>
      </x:c>
      <x:c r="B82" s="24" t="str">
        <x:v>Hawaii Main Islands (USA)</x:v>
      </x:c>
      <x:c r="C82" s="24" t="str">
        <x:v>EEZ</x:v>
      </x:c>
      <x:c r="D82" s="30" t="n">
        <x:v>2019</x:v>
      </x:c>
      <x:c r="E82" s="24" t="str">
        <x:v>Myripristis chryseres</x:v>
      </x:c>
      <x:c r="F82" s="24" t="str">
        <x:v>Yellowfin soldierfish</x:v>
      </x:c>
      <x:c r="G82" s="24" t="str">
        <x:v>Small reef assoc. fish (&lt;30 cm)</x:v>
      </x:c>
      <x:c r="H82" s="24" t="str">
        <x:v>Other fishes &amp; inverts</x:v>
      </x:c>
      <x:c r="I82" s="31" t="n">
        <x:v>2.1547945272</x:v>
      </x:c>
      <x:c r="J82" s="31" t="n">
        <x:v>2.1547945272</x:v>
      </x:c>
      <x:c r="K82" s="31" t="n">
        <x:v>0</x:v>
      </x:c>
      <x:c r="L82" s="31" t="n">
        <x:v>0</x:v>
      </x:c>
      <x:c r="M82" s="31" t="n">
        <x:v>2.1547945272</x:v>
      </x:c>
      <x:c r="N82" s="24" t="str">
        <x:v>myripristis chryseres</x:v>
      </x:c>
      <x:c r="O82" s="32" t="n">
        <x:v>4.04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Myripristis chryseres</x:v>
      </x:c>
      <x:c r="T82" s="32" t="n">
        <x:f>IF(O82="","",(1/'Metadata'!$B$5)^(O82-1))</x:f>
        <x:v>1096.4781961431852</x:v>
      </x:c>
      <x:c r="U82" s="31" t="n">
        <x:f>IF(T82="","",I82*T82)</x:f>
        <x:v>2362.6852162434634</x:v>
      </x:c>
    </x:row>
    <x:row r="83" ht="18" customHeight="1">
      <x:c r="A83" s="24" t="str">
        <x:v>EEZ_842</x:v>
      </x:c>
      <x:c r="B83" s="24" t="str">
        <x:v>Hawaii Main Islands (USA)</x:v>
      </x:c>
      <x:c r="C83" s="24" t="str">
        <x:v>EEZ</x:v>
      </x:c>
      <x:c r="D83" s="30" t="n">
        <x:v>2019</x:v>
      </x:c>
      <x:c r="E83" s="24" t="str">
        <x:v>Acanthurus olivaceus</x:v>
      </x:c>
      <x:c r="F83" s="24" t="str">
        <x:v>Orangespot surgeonfish</x:v>
      </x:c>
      <x:c r="G83" s="24" t="str">
        <x:v>Small reef assoc. fish (&lt;30 cm)</x:v>
      </x:c>
      <x:c r="H83" s="24" t="str">
        <x:v>Perch-likes</x:v>
      </x:c>
      <x:c r="I83" s="31" t="n">
        <x:v>2.1092070290000002</x:v>
      </x:c>
      <x:c r="J83" s="31" t="n">
        <x:v>2.1092070290000002</x:v>
      </x:c>
      <x:c r="K83" s="31" t="n">
        <x:v>0</x:v>
      </x:c>
      <x:c r="L83" s="31" t="n">
        <x:v>2.1092070290000002</x:v>
      </x:c>
      <x:c r="M83" s="31" t="n">
        <x:v>0</x:v>
      </x:c>
      <x:c r="N83" s="24" t="str">
        <x:v>acanthurus olivaceus</x:v>
      </x:c>
      <x:c r="O83" s="32" t="n">
        <x:v>2.2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Acanthurus olivaceus</x:v>
      </x:c>
      <x:c r="T83" s="32" t="n">
        <x:f>IF(O83="","",(1/'Metadata'!$B$5)^(O83-1))</x:f>
        <x:v>15.848931924611142</x:v>
      </x:c>
      <x:c r="U83" s="31" t="n">
        <x:f>IF(T83="","",I83*T83)</x:f>
        <x:v>33.42867861753232</x:v>
      </x:c>
    </x:row>
    <x:row r="84" ht="18" customHeight="1">
      <x:c r="A84" s="24" t="str">
        <x:v>EEZ_842</x:v>
      </x:c>
      <x:c r="B84" s="24" t="str">
        <x:v>Hawaii Main Islands (USA)</x:v>
      </x:c>
      <x:c r="C84" s="24" t="str">
        <x:v>EEZ</x:v>
      </x:c>
      <x:c r="D84" s="30" t="n">
        <x:v>2019</x:v>
      </x:c>
      <x:c r="E84" s="24" t="str">
        <x:v>Pristipomoides zonatus</x:v>
      </x:c>
      <x:c r="F84" s="24" t="str">
        <x:v>Oblique-banded snapper</x:v>
      </x:c>
      <x:c r="G84" s="24" t="str">
        <x:v>Medium demersals (30 - 89 cm)</x:v>
      </x:c>
      <x:c r="H84" s="24" t="str">
        <x:v>Perch-likes</x:v>
      </x:c>
      <x:c r="I84" s="31" t="n">
        <x:v>1.6338416598999999</x:v>
      </x:c>
      <x:c r="J84" s="31" t="n">
        <x:v>1.6338416598999999</x:v>
      </x:c>
      <x:c r="K84" s="31" t="n">
        <x:v>0</x:v>
      </x:c>
      <x:c r="L84" s="31" t="n">
        <x:v>1.6338416598999999</x:v>
      </x:c>
      <x:c r="M84" s="31" t="n">
        <x:v>0</x:v>
      </x:c>
      <x:c r="N84" s="24" t="str">
        <x:v>pristipomoides zonatus</x:v>
      </x:c>
      <x:c r="O84" s="32" t="n">
        <x:v>4.04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Pristipomoides zonatus</x:v>
      </x:c>
      <x:c r="T84" s="32" t="n">
        <x:f>IF(O84="","",(1/'Metadata'!$B$5)^(O84-1))</x:f>
        <x:v>1096.4781961431852</x:v>
      </x:c>
      <x:c r="U84" s="31" t="n">
        <x:f>IF(T84="","",I84*T84)</x:f>
        <x:v>1791.4717560307392</x:v>
      </x:c>
    </x:row>
    <x:row r="85" ht="18" customHeight="1">
      <x:c r="A85" s="24" t="str">
        <x:v>EEZ_842</x:v>
      </x:c>
      <x:c r="B85" s="24" t="str">
        <x:v>Hawaii Main Islands (USA)</x:v>
      </x:c>
      <x:c r="C85" s="24" t="str">
        <x:v>EEZ</x:v>
      </x:c>
      <x:c r="D85" s="30" t="n">
        <x:v>2019</x:v>
      </x:c>
      <x:c r="E85" s="24" t="str">
        <x:v>Panulirus penicillatus</x:v>
      </x:c>
      <x:c r="F85" s="24" t="str">
        <x:v>Pronghorn spiny lobster</x:v>
      </x:c>
      <x:c r="G85" s="24" t="str">
        <x:v>Lobsters, crabs</x:v>
      </x:c>
      <x:c r="H85" s="24" t="str">
        <x:v>Crustaceans</x:v>
      </x:c>
      <x:c r="I85" s="31" t="n">
        <x:v>1.519536247</x:v>
      </x:c>
      <x:c r="J85" s="31" t="n">
        <x:v>1.519536247</x:v>
      </x:c>
      <x:c r="K85" s="31" t="n">
        <x:v>0</x:v>
      </x:c>
      <x:c r="L85" s="31" t="n">
        <x:v>1.519536247</x:v>
      </x:c>
      <x:c r="M85" s="31" t="n">
        <x:v>0</x:v>
      </x:c>
      <x:c r="N85" s="24" t="str">
        <x:v>panulirus penicillatus</x:v>
      </x:c>
      <x:c r="O85" s="32" t="n">
        <x:v>3.57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Panulirus penicillatus</x:v>
      </x:c>
      <x:c r="T85" s="32" t="n">
        <x:f>IF(O85="","",(1/'Metadata'!$B$5)^(O85-1))</x:f>
        <x:v>371.5352290971724</x:v>
      </x:c>
      <x:c r="U85" s="31" t="n">
        <x:f>IF(T85="","",I85*T85)</x:f>
        <x:v>564.5612476506026</x:v>
      </x:c>
    </x:row>
    <x:row r="86" ht="18" customHeight="1">
      <x:c r="A86" s="24" t="str">
        <x:v>EEZ_842</x:v>
      </x:c>
      <x:c r="B86" s="24" t="str">
        <x:v>Hawaii Main Islands (USA)</x:v>
      </x:c>
      <x:c r="C86" s="24" t="str">
        <x:v>EEZ</x:v>
      </x:c>
      <x:c r="D86" s="30" t="n">
        <x:v>2019</x:v>
      </x:c>
      <x:c r="E86" s="24" t="str">
        <x:v>Monacanthidae</x:v>
      </x:c>
      <x:c r="F86" s="24" t="str">
        <x:v>Filefishes</x:v>
      </x:c>
      <x:c r="G86" s="24" t="str">
        <x:v>Medium reef assoc. fish (30 - 89 cm)</x:v>
      </x:c>
      <x:c r="H86" s="24" t="str">
        <x:v>Other fishes &amp; inverts</x:v>
      </x:c>
      <x:c r="I86" s="31" t="n">
        <x:v>1.4654619824</x:v>
      </x:c>
      <x:c r="J86" s="31" t="n">
        <x:v>1.4654619824</x:v>
      </x:c>
      <x:c r="K86" s="31" t="n">
        <x:v>0</x:v>
      </x:c>
      <x:c r="L86" s="31" t="n">
        <x:v>0</x:v>
      </x:c>
      <x:c r="M86" s="31" t="n">
        <x:v>1.4654619824</x:v>
      </x:c>
      <x:c r="N86" s="24" t="str">
        <x:v>monacanthidae</x:v>
      </x:c>
      <x:c r="O86" s="32" t="n">
        <x:v>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Monacanthidae</x:v>
      </x:c>
      <x:c r="T86" s="32" t="n">
        <x:f>IF(O86="","",(1/'Metadata'!$B$5)^(O86-1))</x:f>
        <x:v>100</x:v>
      </x:c>
      <x:c r="U86" s="31" t="n">
        <x:f>IF(T86="","",I86*T86)</x:f>
        <x:v>146.54619824</x:v>
      </x:c>
    </x:row>
    <x:row r="87" ht="18" customHeight="1">
      <x:c r="A87" s="24" t="str">
        <x:v>EEZ_842</x:v>
      </x:c>
      <x:c r="B87" s="24" t="str">
        <x:v>Hawaii Main Islands (USA)</x:v>
      </x:c>
      <x:c r="C87" s="24" t="str">
        <x:v>EEZ</x:v>
      </x:c>
      <x:c r="D87" s="30" t="n">
        <x:v>2019</x:v>
      </x:c>
      <x:c r="E87" s="24" t="str">
        <x:v>Myliobatidae</x:v>
      </x:c>
      <x:c r="F87" s="24" t="str">
        <x:v>Eagle/manta rays</x:v>
      </x:c>
      <x:c r="G87" s="24" t="str">
        <x:v>Large rays (&gt;=90 cm)</x:v>
      </x:c>
      <x:c r="H87" s="24" t="str">
        <x:v>Sharks &amp; rays</x:v>
      </x:c>
      <x:c r="I87" s="31" t="n">
        <x:v>1.4648299929</x:v>
      </x:c>
      <x:c r="J87" s="31" t="n">
        <x:v>1.4648299929</x:v>
      </x:c>
      <x:c r="K87" s="31" t="n">
        <x:v>0</x:v>
      </x:c>
      <x:c r="L87" s="31" t="n">
        <x:v>0</x:v>
      </x:c>
      <x:c r="M87" s="31" t="n">
        <x:v>1.4648299929</x:v>
      </x:c>
      <x:c r="N87" s="24" t="str">
        <x:v>myliobatidae</x:v>
      </x:c>
      <x:c r="O87" s="32" t="n">
        <x:v>3.36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Myliobatidae</x:v>
      </x:c>
      <x:c r="T87" s="32" t="n">
        <x:f>IF(O87="","",(1/'Metadata'!$B$5)^(O87-1))</x:f>
        <x:v>229.08676527677724</x:v>
      </x:c>
      <x:c r="U87" s="31" t="n">
        <x:f>IF(T87="","",I87*T87)</x:f>
        <x:v>335.57316475386557</x:v>
      </x:c>
    </x:row>
    <x:row r="88" ht="18" customHeight="1">
      <x:c r="A88" s="24" t="str">
        <x:v>EEZ_842</x:v>
      </x:c>
      <x:c r="B88" s="24" t="str">
        <x:v>Hawaii Main Islands (USA)</x:v>
      </x:c>
      <x:c r="C88" s="24" t="str">
        <x:v>EEZ</x:v>
      </x:c>
      <x:c r="D88" s="30" t="n">
        <x:v>2019</x:v>
      </x:c>
      <x:c r="E88" s="24" t="str">
        <x:v>Seriola</x:v>
      </x:c>
      <x:c r="F88" s="24" t="str">
        <x:v>Amberjacks</x:v>
      </x:c>
      <x:c r="G88" s="24" t="str">
        <x:v>Large benthopelagics (&gt;=90 cm)</x:v>
      </x:c>
      <x:c r="H88" s="24" t="str">
        <x:v>Perch-likes</x:v>
      </x:c>
      <x:c r="I88" s="31" t="n">
        <x:v>1.4487757529999998</x:v>
      </x:c>
      <x:c r="J88" s="31" t="n">
        <x:v>1.4487757529999998</x:v>
      </x:c>
      <x:c r="K88" s="31" t="n">
        <x:v>0</x:v>
      </x:c>
      <x:c r="L88" s="31" t="n">
        <x:v>1.4487757529999998</x:v>
      </x:c>
      <x:c r="M88" s="31" t="n">
        <x:v>0</x:v>
      </x:c>
      <x:c r="N88" s="24" t="str">
        <x:v>seriola</x:v>
      </x:c>
      <x:c r="O88" s="32" t="n">
        <x:v>4.39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Seriola</x:v>
      </x:c>
      <x:c r="T88" s="32" t="n">
        <x:f>IF(O88="","",(1/'Metadata'!$B$5)^(O88-1))</x:f>
        <x:v>2454.7089156850284</x:v>
      </x:c>
      <x:c r="U88" s="31" t="n">
        <x:f>IF(T88="","",I88*T88)</x:f>
        <x:v>3556.3227577173902</x:v>
      </x:c>
    </x:row>
    <x:row r="89" ht="18" customHeight="1">
      <x:c r="A89" s="24" t="str">
        <x:v>EEZ_842</x:v>
      </x:c>
      <x:c r="B89" s="24" t="str">
        <x:v>Hawaii Main Islands (USA)</x:v>
      </x:c>
      <x:c r="C89" s="24" t="str">
        <x:v>EEZ</x:v>
      </x:c>
      <x:c r="D89" s="30" t="n">
        <x:v>2019</x:v>
      </x:c>
      <x:c r="E89" s="24" t="str">
        <x:v>Kyphosus vaigiensis</x:v>
      </x:c>
      <x:c r="F89" s="24" t="str">
        <x:v>Brassy chub</x:v>
      </x:c>
      <x:c r="G89" s="24" t="str">
        <x:v>Medium reef assoc. fish (30 - 89 cm)</x:v>
      </x:c>
      <x:c r="H89" s="24" t="str">
        <x:v>Perch-likes</x:v>
      </x:c>
      <x:c r="I89" s="31" t="n">
        <x:v>1.4178855111</x:v>
      </x:c>
      <x:c r="J89" s="31" t="n">
        <x:v>1.4178855111</x:v>
      </x:c>
      <x:c r="K89" s="31" t="n">
        <x:v>0</x:v>
      </x:c>
      <x:c r="L89" s="31" t="n">
        <x:v>0</x:v>
      </x:c>
      <x:c r="M89" s="31" t="n">
        <x:v>1.4178855111</x:v>
      </x:c>
      <x:c r="N89" s="24" t="str">
        <x:v>kyphosus vaigiensis</x:v>
      </x:c>
      <x:c r="O89" s="32" t="n">
        <x:v>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Kyphosus vaigiensis</x:v>
      </x:c>
      <x:c r="T89" s="32" t="n">
        <x:f>IF(O89="","",(1/'Metadata'!$B$5)^(O89-1))</x:f>
        <x:v>10</x:v>
      </x:c>
      <x:c r="U89" s="31" t="n">
        <x:f>IF(T89="","",I89*T89)</x:f>
        <x:v>14.178855110999999</x:v>
      </x:c>
    </x:row>
    <x:row r="90" ht="18" customHeight="1">
      <x:c r="A90" s="24" t="str">
        <x:v>EEZ_842</x:v>
      </x:c>
      <x:c r="B90" s="24" t="str">
        <x:v>Hawaii Main Islands (USA)</x:v>
      </x:c>
      <x:c r="C90" s="24" t="str">
        <x:v>EEZ</x:v>
      </x:c>
      <x:c r="D90" s="30" t="n">
        <x:v>2019</x:v>
      </x:c>
      <x:c r="E90" s="24" t="str">
        <x:v>Ranina ranina</x:v>
      </x:c>
      <x:c r="F90" s="24" t="str">
        <x:v>Kona crab </x:v>
      </x:c>
      <x:c r="G90" s="24" t="str">
        <x:v>Lobsters, crabs</x:v>
      </x:c>
      <x:c r="H90" s="24" t="str">
        <x:v>Crustaceans</x:v>
      </x:c>
      <x:c r="I90" s="31" t="n">
        <x:v>1.1194673001</x:v>
      </x:c>
      <x:c r="J90" s="31" t="n">
        <x:v>1.1194673001</x:v>
      </x:c>
      <x:c r="K90" s="31" t="n">
        <x:v>0</x:v>
      </x:c>
      <x:c r="L90" s="31" t="n">
        <x:v>1.1194673001</x:v>
      </x:c>
      <x:c r="M90" s="31" t="n">
        <x:v>0</x:v>
      </x:c>
      <x:c r="N90" s="24" t="str">
        <x:v>ranina ranina</x:v>
      </x:c>
      <x:c r="O90" s="32" t="n">
        <x:v>3.92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Ranina ranina</x:v>
      </x:c>
      <x:c r="T90" s="32" t="n">
        <x:f>IF(O90="","",(1/'Metadata'!$B$5)^(O90-1))</x:f>
        <x:v>831.7637711026708</x:v>
      </x:c>
      <x:c r="U90" s="31" t="n">
        <x:f>IF(T90="","",I90*T90)</x:f>
        <x:v>931.1323431573013</x:v>
      </x:c>
    </x:row>
    <x:row r="91" ht="18" customHeight="1">
      <x:c r="A91" s="24" t="str">
        <x:v>EEZ_842</x:v>
      </x:c>
      <x:c r="B91" s="24" t="str">
        <x:v>Hawaii Main Islands (USA)</x:v>
      </x:c>
      <x:c r="C91" s="24" t="str">
        <x:v>EEZ</x:v>
      </x:c>
      <x:c r="D91" s="30" t="n">
        <x:v>2019</x:v>
      </x:c>
      <x:c r="E91" s="24" t="str">
        <x:v>Heteropriacanthus cruentatus</x:v>
      </x:c>
      <x:c r="F91" s="24" t="str">
        <x:v>Glasseye</x:v>
      </x:c>
      <x:c r="G91" s="24" t="str">
        <x:v>Medium reef assoc. fish (30 - 89 cm)</x:v>
      </x:c>
      <x:c r="H91" s="24" t="str">
        <x:v>Perch-likes</x:v>
      </x:c>
      <x:c r="I91" s="31" t="n">
        <x:v>1.0490777797000002</x:v>
      </x:c>
      <x:c r="J91" s="31" t="n">
        <x:v>1.0490777797000002</x:v>
      </x:c>
      <x:c r="K91" s="31" t="n">
        <x:v>0</x:v>
      </x:c>
      <x:c r="L91" s="31" t="n">
        <x:v>0.7203055401000001</x:v>
      </x:c>
      <x:c r="M91" s="31" t="n">
        <x:v>0.3287722396</x:v>
      </x:c>
      <x:c r="N91" s="24" t="str">
        <x:v>heteropriacanthus cruentatus</x:v>
      </x:c>
      <x:c r="O91" s="32" t="n">
        <x:v>3.61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Heteropriacanthus cruentatus</x:v>
      </x:c>
      <x:c r="T91" s="32" t="n">
        <x:f>IF(O91="","",(1/'Metadata'!$B$5)^(O91-1))</x:f>
        <x:v>407.3802778041126</x:v>
      </x:c>
      <x:c r="U91" s="31" t="n">
        <x:f>IF(T91="","",I91*T91)</x:f>
        <x:v>427.3735973323077</x:v>
      </x:c>
    </x:row>
    <x:row r="92" ht="18" customHeight="1">
      <x:c r="A92" s="24" t="str">
        <x:v>EEZ_842</x:v>
      </x:c>
      <x:c r="B92" s="24" t="str">
        <x:v>Hawaii Main Islands (USA)</x:v>
      </x:c>
      <x:c r="C92" s="24" t="str">
        <x:v>EEZ</x:v>
      </x:c>
      <x:c r="D92" s="30" t="n">
        <x:v>2019</x:v>
      </x:c>
      <x:c r="E92" s="24" t="str">
        <x:v>Heterocarpus laevigatus</x:v>
      </x:c>
      <x:c r="F92" s="24" t="str">
        <x:v>Smooth nylon shrimp</x:v>
      </x:c>
      <x:c r="G92" s="24" t="str">
        <x:v>Shrimps</x:v>
      </x:c>
      <x:c r="H92" s="24" t="str">
        <x:v>Crustaceans</x:v>
      </x:c>
      <x:c r="I92" s="31" t="n">
        <x:v>1.011058595</x:v>
      </x:c>
      <x:c r="J92" s="31" t="n">
        <x:v>1.011058595</x:v>
      </x:c>
      <x:c r="K92" s="31" t="n">
        <x:v>0</x:v>
      </x:c>
      <x:c r="L92" s="31" t="n">
        <x:v>1.011058595</x:v>
      </x:c>
      <x:c r="M92" s="31" t="n">
        <x:v>0</x:v>
      </x:c>
      <x:c r="N92" s="24" t="str">
        <x:v>heterocarpus laevigatus</x:v>
      </x:c>
      <x:c r="O92" s="32" t="n">
        <x:v>2.5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Heterocarpus laevigatus</x:v>
      </x:c>
      <x:c r="T92" s="32" t="n">
        <x:f>IF(O92="","",(1/'Metadata'!$B$5)^(O92-1))</x:f>
        <x:v>31.622776601683793</x:v>
      </x:c>
      <x:c r="U92" s="31" t="n">
        <x:f>IF(T92="","",I92*T92)</x:f>
        <x:v>31.972480080897288</x:v>
      </x:c>
    </x:row>
    <x:row r="93" ht="18" customHeight="1">
      <x:c r="A93" s="24" t="str">
        <x:v>EEZ_842</x:v>
      </x:c>
      <x:c r="B93" s="24" t="str">
        <x:v>Hawaii Main Islands (USA)</x:v>
      </x:c>
      <x:c r="C93" s="24" t="str">
        <x:v>EEZ</x:v>
      </x:c>
      <x:c r="D93" s="30" t="n">
        <x:v>2019</x:v>
      </x:c>
      <x:c r="E93" s="24" t="str">
        <x:v>Melichthys vidua</x:v>
      </x:c>
      <x:c r="F93" s="24" t="str">
        <x:v>Pinktail triggerfish</x:v>
      </x:c>
      <x:c r="G93" s="24" t="str">
        <x:v>Medium reef assoc. fish (30 - 89 cm)</x:v>
      </x:c>
      <x:c r="H93" s="24" t="str">
        <x:v>Other fishes &amp; inverts</x:v>
      </x:c>
      <x:c r="I93" s="31" t="n">
        <x:v>0.9595697499</x:v>
      </x:c>
      <x:c r="J93" s="31" t="n">
        <x:v>0.9595697499</x:v>
      </x:c>
      <x:c r="K93" s="31" t="n">
        <x:v>0</x:v>
      </x:c>
      <x:c r="L93" s="31" t="n">
        <x:v>0</x:v>
      </x:c>
      <x:c r="M93" s="31" t="n">
        <x:v>0.9595697499</x:v>
      </x:c>
      <x:c r="N93" s="24" t="str">
        <x:v>melichthys vidua</x:v>
      </x:c>
      <x:c r="O93" s="32" t="n">
        <x:v>3.38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Melichthys vidua</x:v>
      </x:c>
      <x:c r="T93" s="32" t="n">
        <x:f>IF(O93="","",(1/'Metadata'!$B$5)^(O93-1))</x:f>
        <x:v>239.88329190194898</x:v>
      </x:c>
      <x:c r="U93" s="31" t="n">
        <x:f>IF(T93="","",I93*T93)</x:f>
        <x:v>230.18475041554188</x:v>
      </x:c>
    </x:row>
    <x:row r="94" ht="18" customHeight="1">
      <x:c r="A94" s="24" t="str">
        <x:v>EEZ_842</x:v>
      </x:c>
      <x:c r="B94" s="24" t="str">
        <x:v>Hawaii Main Islands (USA)</x:v>
      </x:c>
      <x:c r="C94" s="24" t="str">
        <x:v>EEZ</x:v>
      </x:c>
      <x:c r="D94" s="30" t="n">
        <x:v>2019</x:v>
      </x:c>
      <x:c r="E94" s="24" t="str">
        <x:v>Aulostomus chinensis</x:v>
      </x:c>
      <x:c r="F94" s="24" t="str">
        <x:v>Chinese trumpetfish</x:v>
      </x:c>
      <x:c r="G94" s="24" t="str">
        <x:v>Medium reef assoc. fish (30 - 89 cm)</x:v>
      </x:c>
      <x:c r="H94" s="24" t="str">
        <x:v>Other fishes &amp; inverts</x:v>
      </x:c>
      <x:c r="I94" s="31" t="n">
        <x:v>0.9202502451</x:v>
      </x:c>
      <x:c r="J94" s="31" t="n">
        <x:v>0.9202502451</x:v>
      </x:c>
      <x:c r="K94" s="31" t="n">
        <x:v>0</x:v>
      </x:c>
      <x:c r="L94" s="31" t="n">
        <x:v>0</x:v>
      </x:c>
      <x:c r="M94" s="31" t="n">
        <x:v>0.9202502451</x:v>
      </x:c>
      <x:c r="N94" s="24" t="str">
        <x:v>aulostomus chinensis</x:v>
      </x:c>
      <x:c r="O94" s="32" t="n">
        <x:v>4.24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Aulostomus chinensis</x:v>
      </x:c>
      <x:c r="T94" s="32" t="n">
        <x:f>IF(O94="","",(1/'Metadata'!$B$5)^(O94-1))</x:f>
        <x:v>1737.8008287493763</x:v>
      </x:c>
      <x:c r="U94" s="31" t="n">
        <x:f>IF(T94="","",I94*T94)</x:f>
        <x:v>1599.2116385915965</x:v>
      </x:c>
    </x:row>
    <x:row r="95" ht="18" customHeight="1">
      <x:c r="A95" s="24" t="str">
        <x:v>EEZ_842</x:v>
      </x:c>
      <x:c r="B95" s="24" t="str">
        <x:v>Hawaii Main Islands (USA)</x:v>
      </x:c>
      <x:c r="C95" s="24" t="str">
        <x:v>EEZ</x:v>
      </x:c>
      <x:c r="D95" s="30" t="n">
        <x:v>2019</x:v>
      </x:c>
      <x:c r="E95" s="24" t="str">
        <x:v>Octopus</x:v>
      </x:c>
      <x:c r="F95" s="24" t="str">
        <x:v>Octopuses, pikas</x:v>
      </x:c>
      <x:c r="G95" s="24" t="str">
        <x:v>Cephalopods</x:v>
      </x:c>
      <x:c r="H95" s="24" t="str">
        <x:v>Other fishes &amp; inverts</x:v>
      </x:c>
      <x:c r="I95" s="31" t="n">
        <x:v>0.8894956948999999</x:v>
      </x:c>
      <x:c r="J95" s="31" t="n">
        <x:v>0.8894956948999999</x:v>
      </x:c>
      <x:c r="K95" s="31" t="n">
        <x:v>0</x:v>
      </x:c>
      <x:c r="L95" s="31" t="n">
        <x:v>0.8894956948999999</x:v>
      </x:c>
      <x:c r="M95" s="31" t="n">
        <x:v>0</x:v>
      </x:c>
      <x:c r="N95" s="24" t="str">
        <x:v>octopus</x:v>
      </x:c>
      <x:c r="O95" s="32" t="n">
        <x:v>3.8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Octopus</x:v>
      </x:c>
      <x:c r="T95" s="32" t="n">
        <x:f>IF(O95="","",(1/'Metadata'!$B$5)^(O95-1))</x:f>
        <x:v>630.957344480193</x:v>
      </x:c>
      <x:c r="U95" s="31" t="n">
        <x:f>IF(T95="","",I95*T95)</x:f>
        <x:v>561.2338415806679</x:v>
      </x:c>
    </x:row>
    <x:row r="96" ht="18" customHeight="1">
      <x:c r="A96" s="24" t="str">
        <x:v>EEZ_842</x:v>
      </x:c>
      <x:c r="B96" s="24" t="str">
        <x:v>Hawaii Main Islands (USA)</x:v>
      </x:c>
      <x:c r="C96" s="24" t="str">
        <x:v>EEZ</x:v>
      </x:c>
      <x:c r="D96" s="30" t="n">
        <x:v>2019</x:v>
      </x:c>
      <x:c r="E96" s="24" t="str">
        <x:v>Uraspis helvola</x:v>
      </x:c>
      <x:c r="F96" s="24" t="str">
        <x:v>Whitetongue jack</x:v>
      </x:c>
      <x:c r="G96" s="24" t="str">
        <x:v>Medium benthopelagics (30 - 89 cm)</x:v>
      </x:c>
      <x:c r="H96" s="24" t="str">
        <x:v>Perch-likes</x:v>
      </x:c>
      <x:c r="I96" s="31" t="n">
        <x:v>0.8604657491</x:v>
      </x:c>
      <x:c r="J96" s="31" t="n">
        <x:v>0.8604657491</x:v>
      </x:c>
      <x:c r="K96" s="31" t="n">
        <x:v>0</x:v>
      </x:c>
      <x:c r="L96" s="31" t="n">
        <x:v>0.8604657491</x:v>
      </x:c>
      <x:c r="M96" s="31" t="n">
        <x:v>0</x:v>
      </x:c>
      <x:c r="N96" s="24" t="str">
        <x:v>uraspis helvola</x:v>
      </x:c>
      <x:c r="O96" s="32" t="n">
        <x:v>3.78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Uraspis helvola</x:v>
      </x:c>
      <x:c r="T96" s="32" t="n">
        <x:f>IF(O96="","",(1/'Metadata'!$B$5)^(O96-1))</x:f>
        <x:v>602.5595860743575</x:v>
      </x:c>
      <x:c r="U96" s="31" t="n">
        <x:f>IF(T96="","",I96*T96)</x:f>
        <x:v>518.481885608858</x:v>
      </x:c>
    </x:row>
    <x:row r="97" ht="18" customHeight="1">
      <x:c r="A97" s="24" t="str">
        <x:v>EEZ_842</x:v>
      </x:c>
      <x:c r="B97" s="24" t="str">
        <x:v>Hawaii Main Islands (USA)</x:v>
      </x:c>
      <x:c r="C97" s="24" t="str">
        <x:v>EEZ</x:v>
      </x:c>
      <x:c r="D97" s="30" t="n">
        <x:v>2019</x:v>
      </x:c>
      <x:c r="E97" s="24" t="str">
        <x:v>Berycidae</x:v>
      </x:c>
      <x:c r="F97" s="24" t="str">
        <x:v>Alfonsinos, redfishes</x:v>
      </x:c>
      <x:c r="G97" s="24" t="str">
        <x:v>Medium benthopelagics (30 - 89 cm)</x:v>
      </x:c>
      <x:c r="H97" s="24" t="str">
        <x:v>Other fishes &amp; inverts</x:v>
      </x:c>
      <x:c r="I97" s="31" t="n">
        <x:v>0.8179463141</x:v>
      </x:c>
      <x:c r="J97" s="31" t="n">
        <x:v>0</x:v>
      </x:c>
      <x:c r="K97" s="31" t="n">
        <x:v>0.8179463141</x:v>
      </x:c>
      <x:c r="L97" s="31" t="n">
        <x:v>0</x:v>
      </x:c>
      <x:c r="M97" s="31" t="n">
        <x:v>0.8179463141</x:v>
      </x:c>
      <x:c r="N97" s="24" t="str">
        <x:v>berycidae</x:v>
      </x:c>
      <x:c r="O97" s="32" t="n">
        <x:v>3.99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Berycidae</x:v>
      </x:c>
      <x:c r="T97" s="32" t="n">
        <x:f>IF(O97="","",(1/'Metadata'!$B$5)^(O97-1))</x:f>
        <x:v>977.2372209558112</x:v>
      </x:c>
      <x:c r="U97" s="31" t="n">
        <x:f>IF(T97="","",I97*T97)</x:f>
        <x:v>799.327582882133</x:v>
      </x:c>
    </x:row>
    <x:row r="98" ht="18" customHeight="1">
      <x:c r="A98" s="24" t="str">
        <x:v>EEZ_842</x:v>
      </x:c>
      <x:c r="B98" s="24" t="str">
        <x:v>Hawaii Main Islands (USA)</x:v>
      </x:c>
      <x:c r="C98" s="24" t="str">
        <x:v>EEZ</x:v>
      </x:c>
      <x:c r="D98" s="30" t="n">
        <x:v>2019</x:v>
      </x:c>
      <x:c r="E98" s="24" t="str">
        <x:v>Cephalopoda</x:v>
      </x:c>
      <x:c r="F98" s="24" t="str">
        <x:v>Squids, cuttlefishes, octopuses</x:v>
      </x:c>
      <x:c r="G98" s="24" t="str">
        <x:v>Cephalopods</x:v>
      </x:c>
      <x:c r="H98" s="24" t="str">
        <x:v>Other fishes &amp; inverts</x:v>
      </x:c>
      <x:c r="I98" s="31" t="n">
        <x:v>0.7212127261000001</x:v>
      </x:c>
      <x:c r="J98" s="31" t="n">
        <x:v>0.7212127261000001</x:v>
      </x:c>
      <x:c r="K98" s="31" t="n">
        <x:v>0</x:v>
      </x:c>
      <x:c r="L98" s="31" t="n">
        <x:v>0.7212127261000001</x:v>
      </x:c>
      <x:c r="M98" s="31" t="n">
        <x:v>0</x:v>
      </x:c>
      <x:c r="N98" s="24" t="str">
        <x:v>cephalopoda</x:v>
      </x:c>
      <x:c r="O98" s="32" t="n">
        <x:v>3.81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Cephalopoda</x:v>
      </x:c>
      <x:c r="T98" s="32" t="n">
        <x:f>IF(O98="","",(1/'Metadata'!$B$5)^(O98-1))</x:f>
        <x:v>645.6542290346556</x:v>
      </x:c>
      <x:c r="U98" s="31" t="n">
        <x:f>IF(T98="","",I98*T98)</x:f>
        <x:v>465.6540466400778</x:v>
      </x:c>
    </x:row>
    <x:row r="99" ht="18" customHeight="1">
      <x:c r="A99" s="24" t="str">
        <x:v>EEZ_842</x:v>
      </x:c>
      <x:c r="B99" s="24" t="str">
        <x:v>Hawaii Main Islands (USA)</x:v>
      </x:c>
      <x:c r="C99" s="24" t="str">
        <x:v>EEZ</x:v>
      </x:c>
      <x:c r="D99" s="30" t="n">
        <x:v>2019</x:v>
      </x:c>
      <x:c r="E99" s="24" t="str">
        <x:v>Gnathanodon speciosus</x:v>
      </x:c>
      <x:c r="F99" s="24" t="str">
        <x:v>Golden trevally</x:v>
      </x:c>
      <x:c r="G99" s="24" t="str">
        <x:v>Large reef assoc. fish (&gt;=90 cm)</x:v>
      </x:c>
      <x:c r="H99" s="24" t="str">
        <x:v>Perch-likes</x:v>
      </x:c>
      <x:c r="I99" s="31" t="n">
        <x:v>0.6927715211</x:v>
      </x:c>
      <x:c r="J99" s="31" t="n">
        <x:v>0.6927715211</x:v>
      </x:c>
      <x:c r="K99" s="31" t="n">
        <x:v>0</x:v>
      </x:c>
      <x:c r="L99" s="31" t="n">
        <x:v>0</x:v>
      </x:c>
      <x:c r="M99" s="31" t="n">
        <x:v>0.6927715211</x:v>
      </x:c>
      <x:c r="N99" s="24" t="str">
        <x:v>gnathanodon speciosus</x:v>
      </x:c>
      <x:c r="O99" s="32" t="n">
        <x:v>3.84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Gnathanodon speciosus</x:v>
      </x:c>
      <x:c r="T99" s="32" t="n">
        <x:f>IF(O99="","",(1/'Metadata'!$B$5)^(O99-1))</x:f>
        <x:v>691.8309709189363</x:v>
      </x:c>
      <x:c r="U99" s="31" t="n">
        <x:f>IF(T99="","",I99*T99)</x:f>
        <x:v>479.2807940676013</x:v>
      </x:c>
    </x:row>
    <x:row r="100" ht="18" customHeight="1">
      <x:c r="A100" s="24" t="str">
        <x:v>EEZ_842</x:v>
      </x:c>
      <x:c r="B100" s="24" t="str">
        <x:v>Hawaii Main Islands (USA)</x:v>
      </x:c>
      <x:c r="C100" s="24" t="str">
        <x:v>EEZ</x:v>
      </x:c>
      <x:c r="D100" s="30" t="n">
        <x:v>2019</x:v>
      </x:c>
      <x:c r="E100" s="24" t="str">
        <x:v>Ctenochaetus strigosus</x:v>
      </x:c>
      <x:c r="F100" s="24" t="str">
        <x:v>Spotted surgeonfish</x:v>
      </x:c>
      <x:c r="G100" s="24" t="str">
        <x:v>Small reef assoc. fish (&lt;30 cm)</x:v>
      </x:c>
      <x:c r="H100" s="24" t="str">
        <x:v>Perch-likes</x:v>
      </x:c>
      <x:c r="I100" s="31" t="n">
        <x:v>0.6722246919</x:v>
      </x:c>
      <x:c r="J100" s="31" t="n">
        <x:v>0.6722246919</x:v>
      </x:c>
      <x:c r="K100" s="31" t="n">
        <x:v>0</x:v>
      </x:c>
      <x:c r="L100" s="31" t="n">
        <x:v>0.6722246919</x:v>
      </x:c>
      <x:c r="M100" s="31" t="n">
        <x:v>0</x:v>
      </x:c>
      <x:c r="N100" s="24" t="str">
        <x:v>ctenochaetus strigosus</x:v>
      </x:c>
      <x:c r="O100" s="32" t="n">
        <x:v>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Ctenochaetus strigosus</x:v>
      </x:c>
      <x:c r="T100" s="32" t="n">
        <x:f>IF(O100="","",(1/'Metadata'!$B$5)^(O100-1))</x:f>
        <x:v>10</x:v>
      </x:c>
      <x:c r="U100" s="31" t="n">
        <x:f>IF(T100="","",I100*T100)</x:f>
        <x:v>6.722246919</x:v>
      </x:c>
    </x:row>
    <x:row r="101" ht="18" customHeight="1">
      <x:c r="A101" s="24" t="str">
        <x:v>EEZ_842</x:v>
      </x:c>
      <x:c r="B101" s="24" t="str">
        <x:v>Hawaii Main Islands (USA)</x:v>
      </x:c>
      <x:c r="C101" s="24" t="str">
        <x:v>EEZ</x:v>
      </x:c>
      <x:c r="D101" s="30" t="n">
        <x:v>2019</x:v>
      </x:c>
      <x:c r="E101" s="24" t="str">
        <x:v>Priacanthidae</x:v>
      </x:c>
      <x:c r="F101" s="24" t="str">
        <x:v>Bigeyes, catalufas</x:v>
      </x:c>
      <x:c r="G101" s="24" t="str">
        <x:v>Medium reef assoc. fish (30 - 89 cm)</x:v>
      </x:c>
      <x:c r="H101" s="24" t="str">
        <x:v>Perch-likes</x:v>
      </x:c>
      <x:c r="I101" s="31" t="n">
        <x:v>0.6571198665</x:v>
      </x:c>
      <x:c r="J101" s="31" t="n">
        <x:v>0.6571198665</x:v>
      </x:c>
      <x:c r="K101" s="31" t="n">
        <x:v>0</x:v>
      </x:c>
      <x:c r="L101" s="31" t="n">
        <x:v>0</x:v>
      </x:c>
      <x:c r="M101" s="31" t="n">
        <x:v>0.6571198665</x:v>
      </x:c>
      <x:c r="N101" s="24" t="str">
        <x:v>priacanthidae</x:v>
      </x:c>
      <x:c r="O101" s="32" t="n">
        <x:v>3.79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Priacanthidae</x:v>
      </x:c>
      <x:c r="T101" s="32" t="n">
        <x:f>IF(O101="","",(1/'Metadata'!$B$5)^(O101-1))</x:f>
        <x:v>616.5950018614822</x:v>
      </x:c>
      <x:c r="U101" s="31" t="n">
        <x:f>IF(T101="","",I101*T101)</x:f>
        <x:v>405.1768253077844</x:v>
      </x:c>
    </x:row>
    <x:row r="102" ht="18" customHeight="1">
      <x:c r="A102" s="24" t="str">
        <x:v>EEZ_842</x:v>
      </x:c>
      <x:c r="B102" s="24" t="str">
        <x:v>Hawaii Main Islands (USA)</x:v>
      </x:c>
      <x:c r="C102" s="24" t="str">
        <x:v>EEZ</x:v>
      </x:c>
      <x:c r="D102" s="30" t="n">
        <x:v>2019</x:v>
      </x:c>
      <x:c r="E102" s="24" t="str">
        <x:v>Parupeneus porphyreus</x:v>
      </x:c>
      <x:c r="F102" s="24" t="str">
        <x:v>Whitesaddle goatfish</x:v>
      </x:c>
      <x:c r="G102" s="24" t="str">
        <x:v>Medium reef assoc. fish (30 - 89 cm)</x:v>
      </x:c>
      <x:c r="H102" s="24" t="str">
        <x:v>Perch-likes</x:v>
      </x:c>
      <x:c r="I102" s="31" t="n">
        <x:v>0.614164799</x:v>
      </x:c>
      <x:c r="J102" s="31" t="n">
        <x:v>0.614164799</x:v>
      </x:c>
      <x:c r="K102" s="31" t="n">
        <x:v>0</x:v>
      </x:c>
      <x:c r="L102" s="31" t="n">
        <x:v>0.614164799</x:v>
      </x:c>
      <x:c r="M102" s="31" t="n">
        <x:v>0</x:v>
      </x:c>
      <x:c r="N102" s="24" t="str">
        <x:v>parupeneus porphyreus</x:v>
      </x:c>
      <x:c r="O102" s="32" t="n">
        <x:v>3.5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Parupeneus porphyreus</x:v>
      </x:c>
      <x:c r="T102" s="32" t="n">
        <x:f>IF(O102="","",(1/'Metadata'!$B$5)^(O102-1))</x:f>
        <x:v>316.22776601683796</x:v>
      </x:c>
      <x:c r="U102" s="31" t="n">
        <x:f>IF(T102="","",I102*T102)</x:f>
        <x:v>194.21596235395032</x:v>
      </x:c>
    </x:row>
    <x:row r="103" ht="18" customHeight="1">
      <x:c r="A103" s="24" t="str">
        <x:v>EEZ_842</x:v>
      </x:c>
      <x:c r="B103" s="24" t="str">
        <x:v>Hawaii Main Islands (USA)</x:v>
      </x:c>
      <x:c r="C103" s="24" t="str">
        <x:v>EEZ</x:v>
      </x:c>
      <x:c r="D103" s="30" t="n">
        <x:v>2019</x:v>
      </x:c>
      <x:c r="E103" s="24" t="str">
        <x:v>Bothus mancus</x:v>
      </x:c>
      <x:c r="F103" s="24" t="str">
        <x:v>Flowery flounder</x:v>
      </x:c>
      <x:c r="G103" s="24" t="str">
        <x:v>Small to medium flatfishes (&lt;90 cm)</x:v>
      </x:c>
      <x:c r="H103" s="24" t="str">
        <x:v>Flatfishes</x:v>
      </x:c>
      <x:c r="I103" s="31" t="n">
        <x:v>0.5603385779</x:v>
      </x:c>
      <x:c r="J103" s="31" t="n">
        <x:v>0.5603385779</x:v>
      </x:c>
      <x:c r="K103" s="31" t="n">
        <x:v>0</x:v>
      </x:c>
      <x:c r="L103" s="31" t="n">
        <x:v>0</x:v>
      </x:c>
      <x:c r="M103" s="31" t="n">
        <x:v>0.5603385779</x:v>
      </x:c>
      <x:c r="N103" s="24" t="str">
        <x:v>bothus mancus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Bothus mancus</x:v>
      </x:c>
      <x:c r="T103" s="32" t="n">
        <x:f>IF(O103="","",(1/'Metadata'!$B$5)^(O103-1))</x:f>
        <x:v>2398.83291901949</x:v>
      </x:c>
      <x:c r="U103" s="31" t="n">
        <x:f>IF(T103="","",I103*T103)</x:f>
        <x:v>1344.1586264630869</x:v>
      </x:c>
    </x:row>
    <x:row r="104" ht="18" customHeight="1">
      <x:c r="A104" s="24" t="str">
        <x:v>EEZ_842</x:v>
      </x:c>
      <x:c r="B104" s="24" t="str">
        <x:v>Hawaii Main Islands (USA)</x:v>
      </x:c>
      <x:c r="C104" s="24" t="str">
        <x:v>EEZ</x:v>
      </x:c>
      <x:c r="D104" s="30" t="n">
        <x:v>2019</x:v>
      </x:c>
      <x:c r="E104" s="24" t="str">
        <x:v>Elops machnata</x:v>
      </x:c>
      <x:c r="F104" s="24" t="str">
        <x:v>Tenpounder</x:v>
      </x:c>
      <x:c r="G104" s="24" t="str">
        <x:v>Large pelagics (&gt;=90 cm)</x:v>
      </x:c>
      <x:c r="H104" s="24" t="str">
        <x:v>Other fishes &amp; inverts</x:v>
      </x:c>
      <x:c r="I104" s="31" t="n">
        <x:v>0.5185613206</x:v>
      </x:c>
      <x:c r="J104" s="31" t="n">
        <x:v>0.5185613206</x:v>
      </x:c>
      <x:c r="K104" s="31" t="n">
        <x:v>0</x:v>
      </x:c>
      <x:c r="L104" s="31" t="n">
        <x:v>0</x:v>
      </x:c>
      <x:c r="M104" s="31" t="n">
        <x:v>0.5185613206</x:v>
      </x:c>
      <x:c r="N104" s="24" t="str">
        <x:v>elops machnata</x:v>
      </x:c>
      <x:c r="O104" s="32" t="n">
        <x:v>3.97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Elops machnata</x:v>
      </x:c>
      <x:c r="T104" s="32" t="n">
        <x:f>IF(O104="","",(1/'Metadata'!$B$5)^(O104-1))</x:f>
        <x:v>933.2543007969915</x:v>
      </x:c>
      <x:c r="U104" s="31" t="n">
        <x:f>IF(T104="","",I104*T104)</x:f>
        <x:v>483.9495826769176</x:v>
      </x:c>
    </x:row>
    <x:row r="105" ht="18" customHeight="1">
      <x:c r="A105" s="24" t="str">
        <x:v>EEZ_842</x:v>
      </x:c>
      <x:c r="B105" s="24" t="str">
        <x:v>Hawaii Main Islands (USA)</x:v>
      </x:c>
      <x:c r="C105" s="24" t="str">
        <x:v>EEZ</x:v>
      </x:c>
      <x:c r="D105" s="30" t="n">
        <x:v>2019</x:v>
      </x:c>
      <x:c r="E105" s="24" t="str">
        <x:v>Istiompax indica</x:v>
      </x:c>
      <x:c r="F105" s="24" t="str">
        <x:v>Black marlin</x:v>
      </x:c>
      <x:c r="G105" s="24" t="str">
        <x:v>Large pelagics (&gt;=90 cm)</x:v>
      </x:c>
      <x:c r="H105" s="24" t="str">
        <x:v>Tuna &amp; billfishes</x:v>
      </x:c>
      <x:c r="I105" s="31" t="n">
        <x:v>0.49877234979999996</x:v>
      </x:c>
      <x:c r="J105" s="31" t="n">
        <x:v>0.49877234979999996</x:v>
      </x:c>
      <x:c r="K105" s="31" t="n">
        <x:v>0</x:v>
      </x:c>
      <x:c r="L105" s="31" t="n">
        <x:v>0.0011464307</x:v>
      </x:c>
      <x:c r="M105" s="31" t="n">
        <x:v>0.4976259191</x:v>
      </x:c>
      <x:c r="N105" s="24" t="str">
        <x:v>istiompax indica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Istiompax indica</x:v>
      </x:c>
      <x:c r="T105" s="32" t="n">
        <x:f>IF(O105="","",(1/'Metadata'!$B$5)^(O105-1))</x:f>
        <x:v>3162.2776601683795</x:v>
      </x:c>
      <x:c r="U105" s="31" t="n">
        <x:f>IF(T105="","",I105*T105)</x:f>
        <x:v>1577.2566592822284</x:v>
      </x:c>
    </x:row>
    <x:row r="106" ht="18" customHeight="1">
      <x:c r="A106" s="24" t="str">
        <x:v>EEZ_842</x:v>
      </x:c>
      <x:c r="B106" s="24" t="str">
        <x:v>Hawaii Main Islands (USA)</x:v>
      </x:c>
      <x:c r="C106" s="24" t="str">
        <x:v>EEZ</x:v>
      </x:c>
      <x:c r="D106" s="30" t="n">
        <x:v>2019</x:v>
      </x:c>
      <x:c r="E106" s="24" t="str">
        <x:v>Scarus psittacus</x:v>
      </x:c>
      <x:c r="F106" s="24" t="str">
        <x:v>Common parrotfish</x:v>
      </x:c>
      <x:c r="G106" s="24" t="str">
        <x:v>Medium reef assoc. fish (30 - 89 cm)</x:v>
      </x:c>
      <x:c r="H106" s="24" t="str">
        <x:v>Perch-likes</x:v>
      </x:c>
      <x:c r="I106" s="31" t="n">
        <x:v>0.4587533463</x:v>
      </x:c>
      <x:c r="J106" s="31" t="n">
        <x:v>0.4587533463</x:v>
      </x:c>
      <x:c r="K106" s="31" t="n">
        <x:v>0</x:v>
      </x:c>
      <x:c r="L106" s="31" t="n">
        <x:v>0.395533017</x:v>
      </x:c>
      <x:c r="M106" s="31" t="n">
        <x:v>0.0632203293</x:v>
      </x:c>
      <x:c r="N106" s="24" t="str">
        <x:v>scarus psittacus</x:v>
      </x:c>
      <x:c r="O106" s="32" t="n">
        <x:v>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Scarus psittacus</x:v>
      </x:c>
      <x:c r="T106" s="32" t="n">
        <x:f>IF(O106="","",(1/'Metadata'!$B$5)^(O106-1))</x:f>
        <x:v>10</x:v>
      </x:c>
      <x:c r="U106" s="31" t="n">
        <x:f>IF(T106="","",I106*T106)</x:f>
        <x:v>4.587533463</x:v>
      </x:c>
    </x:row>
    <x:row r="107" ht="18" customHeight="1">
      <x:c r="A107" s="24" t="str">
        <x:v>EEZ_842</x:v>
      </x:c>
      <x:c r="B107" s="24" t="str">
        <x:v>Hawaii Main Islands (USA)</x:v>
      </x:c>
      <x:c r="C107" s="24" t="str">
        <x:v>EEZ</x:v>
      </x:c>
      <x:c r="D107" s="30" t="n">
        <x:v>2019</x:v>
      </x:c>
      <x:c r="E107" s="24" t="str">
        <x:v>Sarda orientalis</x:v>
      </x:c>
      <x:c r="F107" s="24" t="str">
        <x:v>Striped bonito</x:v>
      </x:c>
      <x:c r="G107" s="24" t="str">
        <x:v>Large pelagics (&gt;=90 cm)</x:v>
      </x:c>
      <x:c r="H107" s="24" t="str">
        <x:v>Tuna &amp; billfishes</x:v>
      </x:c>
      <x:c r="I107" s="31" t="n">
        <x:v>0.3818177159</x:v>
      </x:c>
      <x:c r="J107" s="31" t="n">
        <x:v>0.3818177159</x:v>
      </x:c>
      <x:c r="K107" s="31" t="n">
        <x:v>0</x:v>
      </x:c>
      <x:c r="L107" s="31" t="n">
        <x:v>0</x:v>
      </x:c>
      <x:c r="M107" s="31" t="n">
        <x:v>0.3818177159</x:v>
      </x:c>
      <x:c r="N107" s="24" t="str">
        <x:v>sarda orientalis</x:v>
      </x:c>
      <x:c r="O107" s="32" t="n">
        <x:v>4.21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Sarda orientalis</x:v>
      </x:c>
      <x:c r="T107" s="32" t="n">
        <x:f>IF(O107="","",(1/'Metadata'!$B$5)^(O107-1))</x:f>
        <x:v>1621.8100973589299</x:v>
      </x:c>
      <x:c r="U107" s="31" t="n">
        <x:f>IF(T107="","",I107*T107)</x:f>
        <x:v>619.2358269971432</x:v>
      </x:c>
    </x:row>
    <x:row r="108" ht="18" customHeight="1">
      <x:c r="A108" s="24" t="str">
        <x:v>EEZ_842</x:v>
      </x:c>
      <x:c r="B108" s="24" t="str">
        <x:v>Hawaii Main Islands (USA)</x:v>
      </x:c>
      <x:c r="C108" s="24" t="str">
        <x:v>EEZ</x:v>
      </x:c>
      <x:c r="D108" s="30" t="n">
        <x:v>2019</x:v>
      </x:c>
      <x:c r="E108" s="24" t="str">
        <x:v>Sphyraena helleri</x:v>
      </x:c>
      <x:c r="F108" s="24" t="str">
        <x:v>Heller's barracuda</x:v>
      </x:c>
      <x:c r="G108" s="24" t="str">
        <x:v>Medium reef assoc. fish (30 - 89 cm)</x:v>
      </x:c>
      <x:c r="H108" s="24" t="str">
        <x:v>Perch-likes</x:v>
      </x:c>
      <x:c r="I108" s="31" t="n">
        <x:v>0.34609139</x:v>
      </x:c>
      <x:c r="J108" s="31" t="n">
        <x:v>0.34609139</x:v>
      </x:c>
      <x:c r="K108" s="31" t="n">
        <x:v>0</x:v>
      </x:c>
      <x:c r="L108" s="31" t="n">
        <x:v>0.34609139</x:v>
      </x:c>
      <x:c r="M108" s="31" t="n">
        <x:v>0</x:v>
      </x:c>
      <x:c r="N108" s="24" t="str">
        <x:v>sphyraena helleri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Sphyraena helleri</x:v>
      </x:c>
      <x:c r="T108" s="32" t="n">
        <x:f>IF(O108="","",(1/'Metadata'!$B$5)^(O108-1))</x:f>
        <x:v>3162.2776601683795</x:v>
      </x:c>
      <x:c r="U108" s="31" t="n">
        <x:f>IF(T108="","",I108*T108)</x:f>
        <x:v>1094.437070973622</x:v>
      </x:c>
    </x:row>
    <x:row r="109" ht="18" customHeight="1">
      <x:c r="A109" s="24" t="str">
        <x:v>EEZ_842</x:v>
      </x:c>
      <x:c r="B109" s="24" t="str">
        <x:v>Hawaii Main Islands (USA)</x:v>
      </x:c>
      <x:c r="C109" s="24" t="str">
        <x:v>EEZ</x:v>
      </x:c>
      <x:c r="D109" s="30" t="n">
        <x:v>2019</x:v>
      </x:c>
      <x:c r="E109" s="24" t="str">
        <x:v>Elops hawaiensis</x:v>
      </x:c>
      <x:c r="F109" s="24" t="str">
        <x:v>Hawaiian ladyfish</x:v>
      </x:c>
      <x:c r="G109" s="24" t="str">
        <x:v>Large pelagics (&gt;=90 cm)</x:v>
      </x:c>
      <x:c r="H109" s="24" t="str">
        <x:v>Other fishes &amp; inverts</x:v>
      </x:c>
      <x:c r="I109" s="31" t="n">
        <x:v>0.332937196</x:v>
      </x:c>
      <x:c r="J109" s="31" t="n">
        <x:v>0.332937196</x:v>
      </x:c>
      <x:c r="K109" s="31" t="n">
        <x:v>0</x:v>
      </x:c>
      <x:c r="L109" s="31" t="n">
        <x:v>0.332937196</x:v>
      </x:c>
      <x:c r="M109" s="31" t="n">
        <x:v>0</x:v>
      </x:c>
      <x:c r="N109" s="24" t="str">
        <x:v>elops hawaiensis</x:v>
      </x:c>
      <x:c r="O109" s="32" t="n">
        <x:v>4.03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Elops hawaiensis</x:v>
      </x:c>
      <x:c r="T109" s="32" t="n">
        <x:f>IF(O109="","",(1/'Metadata'!$B$5)^(O109-1))</x:f>
        <x:v>1071.519305237607</x:v>
      </x:c>
      <x:c r="U109" s="31" t="n">
        <x:f>IF(T109="","",I109*T109)</x:f>
        <x:v>356.748632945677</x:v>
      </x:c>
    </x:row>
    <x:row r="110" ht="18" customHeight="1">
      <x:c r="A110" s="24" t="str">
        <x:v>EEZ_842</x:v>
      </x:c>
      <x:c r="B110" s="24" t="str">
        <x:v>Hawaii Main Islands (USA)</x:v>
      </x:c>
      <x:c r="C110" s="24" t="str">
        <x:v>EEZ</x:v>
      </x:c>
      <x:c r="D110" s="30" t="n">
        <x:v>2019</x:v>
      </x:c>
      <x:c r="E110" s="24" t="str">
        <x:v>Clupeidae</x:v>
      </x:c>
      <x:c r="F110" s="24" t="str">
        <x:v>Herrings, sardines, menhadens</x:v>
      </x:c>
      <x:c r="G110" s="24" t="str">
        <x:v>Small pelagics (&lt;30 cm)</x:v>
      </x:c>
      <x:c r="H110" s="24" t="str">
        <x:v>Herring-likes</x:v>
      </x:c>
      <x:c r="I110" s="31" t="n">
        <x:v>0.3037829323</x:v>
      </x:c>
      <x:c r="J110" s="31" t="n">
        <x:v>0.3037829323</x:v>
      </x:c>
      <x:c r="K110" s="31" t="n">
        <x:v>0</x:v>
      </x:c>
      <x:c r="L110" s="31" t="n">
        <x:v>0</x:v>
      </x:c>
      <x:c r="M110" s="31" t="n">
        <x:v>0.3037829323</x:v>
      </x:c>
      <x:c r="N110" s="24" t="str">
        <x:v>clupeidae</x:v>
      </x:c>
      <x:c r="O110" s="32" t="n">
        <x:v>3.16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Clupeidae</x:v>
      </x:c>
      <x:c r="T110" s="32" t="n">
        <x:f>IF(O110="","",(1/'Metadata'!$B$5)^(O110-1))</x:f>
        <x:v>144.5439770745928</x:v>
      </x:c>
      <x:c r="U110" s="31" t="n">
        <x:f>IF(T110="","",I110*T110)</x:f>
        <x:v>43.90999320202377</x:v>
      </x:c>
    </x:row>
    <x:row r="111" ht="18" customHeight="1">
      <x:c r="A111" s="24" t="str">
        <x:v>EEZ_842</x:v>
      </x:c>
      <x:c r="B111" s="24" t="str">
        <x:v>Hawaii Main Islands (USA)</x:v>
      </x:c>
      <x:c r="C111" s="24" t="str">
        <x:v>EEZ</x:v>
      </x:c>
      <x:c r="D111" s="30" t="n">
        <x:v>2019</x:v>
      </x:c>
      <x:c r="E111" s="24" t="str">
        <x:v>Oxycheilinus unifasciatus</x:v>
      </x:c>
      <x:c r="F111" s="24" t="str">
        <x:v>Ringtail maori wrasse</x:v>
      </x:c>
      <x:c r="G111" s="24" t="str">
        <x:v>Medium reef assoc. fish (30 - 89 cm)</x:v>
      </x:c>
      <x:c r="H111" s="24" t="str">
        <x:v>Perch-likes</x:v>
      </x:c>
      <x:c r="I111" s="31" t="n">
        <x:v>0.2780980052</x:v>
      </x:c>
      <x:c r="J111" s="31" t="n">
        <x:v>0.2780980052</x:v>
      </x:c>
      <x:c r="K111" s="31" t="n">
        <x:v>0</x:v>
      </x:c>
      <x:c r="L111" s="31" t="n">
        <x:v>0</x:v>
      </x:c>
      <x:c r="M111" s="31" t="n">
        <x:v>0.2780980052</x:v>
      </x:c>
      <x:c r="N111" s="24" t="str">
        <x:v>oxycheilinus unifasciatus</x:v>
      </x:c>
      <x:c r="O111" s="32" t="n">
        <x:v>4.06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Oxycheilinus unifasciatus</x:v>
      </x:c>
      <x:c r="T111" s="32" t="n">
        <x:f>IF(O111="","",(1/'Metadata'!$B$5)^(O111-1))</x:f>
        <x:v>1148.1536214968817</x:v>
      </x:c>
      <x:c r="U111" s="31" t="n">
        <x:f>IF(T111="","",I111*T111)</x:f>
        <x:v>319.2992318014386</x:v>
      </x:c>
    </x:row>
    <x:row r="112" ht="18" customHeight="1">
      <x:c r="A112" s="24" t="str">
        <x:v>EEZ_842</x:v>
      </x:c>
      <x:c r="B112" s="24" t="str">
        <x:v>Hawaii Main Islands (USA)</x:v>
      </x:c>
      <x:c r="C112" s="24" t="str">
        <x:v>EEZ</x:v>
      </x:c>
      <x:c r="D112" s="30" t="n">
        <x:v>2019</x:v>
      </x:c>
      <x:c r="E112" s="24" t="str">
        <x:v>Hemiramphidae</x:v>
      </x:c>
      <x:c r="F112" s="24" t="str">
        <x:v>Halfbeaks, garfishes</x:v>
      </x:c>
      <x:c r="G112" s="24" t="str">
        <x:v>Medium pelagics (30 - 89 cm)</x:v>
      </x:c>
      <x:c r="H112" s="24" t="str">
        <x:v>Other fishes &amp; inverts</x:v>
      </x:c>
      <x:c r="I112" s="31" t="n">
        <x:v>0.2777789573</x:v>
      </x:c>
      <x:c r="J112" s="31" t="n">
        <x:v>0.2777789573</x:v>
      </x:c>
      <x:c r="K112" s="31" t="n">
        <x:v>0</x:v>
      </x:c>
      <x:c r="L112" s="31" t="n">
        <x:v>0</x:v>
      </x:c>
      <x:c r="M112" s="31" t="n">
        <x:v>0.2777789573</x:v>
      </x:c>
      <x:c r="N112" s="24" t="str">
        <x:v>hemiramphidae</x:v>
      </x:c>
      <x:c r="O112" s="32" t="n">
        <x:v>2.82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Hemiramphidae</x:v>
      </x:c>
      <x:c r="T112" s="32" t="n">
        <x:f>IF(O112="","",(1/'Metadata'!$B$5)^(O112-1))</x:f>
        <x:v>66.06934480075958</x:v>
      </x:c>
      <x:c r="U112" s="31" t="n">
        <x:f>IF(T112="","",I112*T112)</x:f>
        <x:v>18.352673708249174</x:v>
      </x:c>
    </x:row>
    <x:row r="113" ht="18" customHeight="1">
      <x:c r="A113" s="24" t="str">
        <x:v>EEZ_842</x:v>
      </x:c>
      <x:c r="B113" s="24" t="str">
        <x:v>Hawaii Main Islands (USA)</x:v>
      </x:c>
      <x:c r="C113" s="24" t="str">
        <x:v>EEZ</x:v>
      </x:c>
      <x:c r="D113" s="30" t="n">
        <x:v>2019</x:v>
      </x:c>
      <x:c r="E113" s="24" t="str">
        <x:v>Pontinus macrocephalus</x:v>
      </x:c>
      <x:c r="F113" s="24" t="str">
        <x:v>Large-headed scorpionfish</x:v>
      </x:c>
      <x:c r="G113" s="24" t="str">
        <x:v>Medium demersals (30 - 89 cm)</x:v>
      </x:c>
      <x:c r="H113" s="24" t="str">
        <x:v>Scorpionfishes</x:v>
      </x:c>
      <x:c r="I113" s="31" t="n">
        <x:v>0.2742869102</x:v>
      </x:c>
      <x:c r="J113" s="31" t="n">
        <x:v>0.2742869102</x:v>
      </x:c>
      <x:c r="K113" s="31" t="n">
        <x:v>0</x:v>
      </x:c>
      <x:c r="L113" s="31" t="n">
        <x:v>0.255372808</x:v>
      </x:c>
      <x:c r="M113" s="31" t="n">
        <x:v>0.0189141022</x:v>
      </x:c>
      <x:c r="N113" s="24" t="str">
        <x:v>pontinus macrocephalus</x:v>
      </x:c>
      <x:c r="O113" s="32" t="n">
        <x:v>3.75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Pontinus macrocephalus</x:v>
      </x:c>
      <x:c r="T113" s="32" t="n">
        <x:f>IF(O113="","",(1/'Metadata'!$B$5)^(O113-1))</x:f>
        <x:v>562.341325190349</x:v>
      </x:c>
      <x:c r="U113" s="31" t="n">
        <x:f>IF(T113="","",I113*T113)</x:f>
        <x:v>154.24286456423428</x:v>
      </x:c>
    </x:row>
    <x:row r="114" ht="18" customHeight="1">
      <x:c r="A114" s="24" t="str">
        <x:v>EEZ_842</x:v>
      </x:c>
      <x:c r="B114" s="24" t="str">
        <x:v>Hawaii Main Islands (USA)</x:v>
      </x:c>
      <x:c r="C114" s="24" t="str">
        <x:v>EEZ</x:v>
      </x:c>
      <x:c r="D114" s="30" t="n">
        <x:v>2019</x:v>
      </x:c>
      <x:c r="E114" s="24" t="str">
        <x:v>Polydactylus sexfilis</x:v>
      </x:c>
      <x:c r="F114" s="24" t="str">
        <x:v>Sixfinger threadfin</x:v>
      </x:c>
      <x:c r="G114" s="24" t="str">
        <x:v>Medium demersals (30 - 89 cm)</x:v>
      </x:c>
      <x:c r="H114" s="24" t="str">
        <x:v>Perch-likes</x:v>
      </x:c>
      <x:c r="I114" s="31" t="n">
        <x:v>0.1927769871</x:v>
      </x:c>
      <x:c r="J114" s="31" t="n">
        <x:v>0.1927769871</x:v>
      </x:c>
      <x:c r="K114" s="31" t="n">
        <x:v>0</x:v>
      </x:c>
      <x:c r="L114" s="31" t="n">
        <x:v>0.1927769871</x:v>
      </x:c>
      <x:c r="M114" s="31" t="n">
        <x:v>0</x:v>
      </x:c>
      <x:c r="N114" s="24" t="str">
        <x:v>polydactylus sexfilis</x:v>
      </x:c>
      <x:c r="O114" s="32" t="n">
        <x:v>3.43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Polydactylus sexfilis</x:v>
      </x:c>
      <x:c r="T114" s="32" t="n">
        <x:f>IF(O114="","",(1/'Metadata'!$B$5)^(O114-1))</x:f>
        <x:v>269.1534803926917</x:v>
      </x:c>
      <x:c r="U114" s="31" t="n">
        <x:f>IF(T114="","",I114*T114)</x:f>
        <x:v>51.88659701758203</x:v>
      </x:c>
    </x:row>
    <x:row r="115" ht="18" customHeight="1">
      <x:c r="A115" s="24" t="str">
        <x:v>EEZ_842</x:v>
      </x:c>
      <x:c r="B115" s="24" t="str">
        <x:v>Hawaii Main Islands (USA)</x:v>
      </x:c>
      <x:c r="C115" s="24" t="str">
        <x:v>EEZ</x:v>
      </x:c>
      <x:c r="D115" s="30" t="n">
        <x:v>2019</x:v>
      </x:c>
      <x:c r="E115" s="24" t="str">
        <x:v>Parupeneus insularis</x:v>
      </x:c>
      <x:c r="F115" s="24" t="str">
        <x:v>Twosaddle goatfish</x:v>
      </x:c>
      <x:c r="G115" s="24" t="str">
        <x:v>Medium reef assoc. fish (30 - 89 cm)</x:v>
      </x:c>
      <x:c r="H115" s="24" t="str">
        <x:v>Perch-likes</x:v>
      </x:c>
      <x:c r="I115" s="31" t="n">
        <x:v>0.1868802789</x:v>
      </x:c>
      <x:c r="J115" s="31" t="n">
        <x:v>0.1868802789</x:v>
      </x:c>
      <x:c r="K115" s="31" t="n">
        <x:v>0</x:v>
      </x:c>
      <x:c r="L115" s="31" t="n">
        <x:v>0.1868802789</x:v>
      </x:c>
      <x:c r="M115" s="31" t="n">
        <x:v>0</x:v>
      </x:c>
      <x:c r="N115" s="24" t="str">
        <x:v>parupeneus insularis</x:v>
      </x:c>
      <x:c r="O115" s="32" t="n">
        <x:v>3.65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Parupeneus insularis</x:v>
      </x:c>
      <x:c r="T115" s="32" t="n">
        <x:f>IF(O115="","",(1/'Metadata'!$B$5)^(O115-1))</x:f>
        <x:v>446.683592150963</x:v>
      </x:c>
      <x:c r="U115" s="31" t="n">
        <x:f>IF(T115="","",I115*T115)</x:f>
        <x:v>83.47635428122582</x:v>
      </x:c>
    </x:row>
    <x:row r="116" ht="18" customHeight="1">
      <x:c r="A116" s="24" t="str">
        <x:v>EEZ_842</x:v>
      </x:c>
      <x:c r="B116" s="24" t="str">
        <x:v>Hawaii Main Islands (USA)</x:v>
      </x:c>
      <x:c r="C116" s="24" t="str">
        <x:v>EEZ</x:v>
      </x:c>
      <x:c r="D116" s="30" t="n">
        <x:v>2019</x:v>
      </x:c>
      <x:c r="E116" s="24" t="str">
        <x:v>Acanthurus</x:v>
      </x:c>
      <x:c r="F116" s="24" t="str">
        <x:v>Surgeonfishes</x:v>
      </x:c>
      <x:c r="G116" s="24" t="str">
        <x:v>Small reef assoc. fish (&lt;30 cm)</x:v>
      </x:c>
      <x:c r="H116" s="24" t="str">
        <x:v>Perch-likes</x:v>
      </x:c>
      <x:c r="I116" s="31" t="n">
        <x:v>0.1807173588</x:v>
      </x:c>
      <x:c r="J116" s="31" t="n">
        <x:v>0.1807173588</x:v>
      </x:c>
      <x:c r="K116" s="31" t="n">
        <x:v>0</x:v>
      </x:c>
      <x:c r="L116" s="31" t="n">
        <x:v>0</x:v>
      </x:c>
      <x:c r="M116" s="31" t="n">
        <x:v>0.1807173588</x:v>
      </x:c>
      <x:c r="N116" s="24" t="str">
        <x:v>acanthurus</x:v>
      </x:c>
      <x:c r="O116" s="32" t="n">
        <x:v>2.03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Acanthurus</x:v>
      </x:c>
      <x:c r="T116" s="32" t="n">
        <x:f>IF(O116="","",(1/'Metadata'!$B$5)^(O116-1))</x:f>
        <x:v>10.71519305237606</x:v>
      </x:c>
      <x:c r="U116" s="31" t="n">
        <x:f>IF(T116="","",I116*T116)</x:f>
        <x:v>1.9364213874575118</x:v>
      </x:c>
    </x:row>
    <x:row r="117" ht="18" customHeight="1">
      <x:c r="A117" s="24" t="str">
        <x:v>EEZ_842</x:v>
      </x:c>
      <x:c r="B117" s="24" t="str">
        <x:v>Hawaii Main Islands (USA)</x:v>
      </x:c>
      <x:c r="C117" s="24" t="str">
        <x:v>EEZ</x:v>
      </x:c>
      <x:c r="D117" s="30" t="n">
        <x:v>2019</x:v>
      </x:c>
      <x:c r="E117" s="24" t="str">
        <x:v>Myripristis vittata</x:v>
      </x:c>
      <x:c r="F117" s="24" t="str">
        <x:v>Whitetip soldierfish</x:v>
      </x:c>
      <x:c r="G117" s="24" t="str">
        <x:v>Small reef assoc. fish (&lt;30 cm)</x:v>
      </x:c>
      <x:c r="H117" s="24" t="str">
        <x:v>Other fishes &amp; inverts</x:v>
      </x:c>
      <x:c r="I117" s="31" t="n">
        <x:v>0.1783115731</x:v>
      </x:c>
      <x:c r="J117" s="31" t="n">
        <x:v>0.1783115731</x:v>
      </x:c>
      <x:c r="K117" s="31" t="n">
        <x:v>0</x:v>
      </x:c>
      <x:c r="L117" s="31" t="n">
        <x:v>0</x:v>
      </x:c>
      <x:c r="M117" s="31" t="n">
        <x:v>0.1783115731</x:v>
      </x:c>
      <x:c r="N117" s="24" t="str">
        <x:v>myripristis vittata</x:v>
      </x:c>
      <x:c r="O117" s="32" t="n">
        <x:v>3.8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Myripristis vittata</x:v>
      </x:c>
      <x:c r="T117" s="32" t="n">
        <x:f>IF(O117="","",(1/'Metadata'!$B$5)^(O117-1))</x:f>
        <x:v>630.957344480193</x:v>
      </x:c>
      <x:c r="U117" s="31" t="n">
        <x:f>IF(T117="","",I117*T117)</x:f>
        <x:v>112.50699665326182</x:v>
      </x:c>
    </x:row>
    <x:row r="118" ht="18" customHeight="1">
      <x:c r="A118" s="24" t="str">
        <x:v>EEZ_842</x:v>
      </x:c>
      <x:c r="B118" s="24" t="str">
        <x:v>Hawaii Main Islands (USA)</x:v>
      </x:c>
      <x:c r="C118" s="24" t="str">
        <x:v>EEZ</x:v>
      </x:c>
      <x:c r="D118" s="30" t="n">
        <x:v>2019</x:v>
      </x:c>
      <x:c r="E118" s="24" t="str">
        <x:v>Cirrhitidae</x:v>
      </x:c>
      <x:c r="F118" s="24" t="str">
        <x:v>Hawkfishes</x:v>
      </x:c>
      <x:c r="G118" s="24" t="str">
        <x:v>Small reef assoc. fish (&lt;30 cm)</x:v>
      </x:c>
      <x:c r="H118" s="24" t="str">
        <x:v>Perch-likes</x:v>
      </x:c>
      <x:c r="I118" s="31" t="n">
        <x:v>0.1771444151</x:v>
      </x:c>
      <x:c r="J118" s="31" t="n">
        <x:v>0.1771444151</x:v>
      </x:c>
      <x:c r="K118" s="31" t="n">
        <x:v>0</x:v>
      </x:c>
      <x:c r="L118" s="31" t="n">
        <x:v>0</x:v>
      </x:c>
      <x:c r="M118" s="31" t="n">
        <x:v>0.1771444151</x:v>
      </x:c>
      <x:c r="N118" s="24" t="str">
        <x:v>cirrhitidae</x:v>
      </x:c>
      <x:c r="O118" s="32" t="n">
        <x:v>3.83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Cirrhitidae</x:v>
      </x:c>
      <x:c r="T118" s="32" t="n">
        <x:f>IF(O118="","",(1/'Metadata'!$B$5)^(O118-1))</x:f>
        <x:v>676.0829753919819</x:v>
      </x:c>
      <x:c r="U118" s="31" t="n">
        <x:f>IF(T118="","",I118*T118)</x:f>
        <x:v>119.76432323488034</x:v>
      </x:c>
    </x:row>
    <x:row r="119" ht="18" customHeight="1">
      <x:c r="A119" s="24" t="str">
        <x:v>EEZ_842</x:v>
      </x:c>
      <x:c r="B119" s="24" t="str">
        <x:v>Hawaii Main Islands (USA)</x:v>
      </x:c>
      <x:c r="C119" s="24" t="str">
        <x:v>EEZ</x:v>
      </x:c>
      <x:c r="D119" s="30" t="n">
        <x:v>2019</x:v>
      </x:c>
      <x:c r="E119" s="24" t="str">
        <x:v>Abudefduf abdominalis</x:v>
      </x:c>
      <x:c r="F119" s="24" t="str">
        <x:v>Green damselfish</x:v>
      </x:c>
      <x:c r="G119" s="24" t="str">
        <x:v>Small reef assoc. fish (&lt;30 cm)</x:v>
      </x:c>
      <x:c r="H119" s="24" t="str">
        <x:v>Perch-likes</x:v>
      </x:c>
      <x:c r="I119" s="31" t="n">
        <x:v>0.162386262</x:v>
      </x:c>
      <x:c r="J119" s="31" t="n">
        <x:v>0.162386262</x:v>
      </x:c>
      <x:c r="K119" s="31" t="n">
        <x:v>0</x:v>
      </x:c>
      <x:c r="L119" s="31" t="n">
        <x:v>0.162386262</x:v>
      </x:c>
      <x:c r="M119" s="31" t="n">
        <x:v>0</x:v>
      </x:c>
      <x:c r="N119" s="24" t="str">
        <x:v>abudefduf abdominalis</x:v>
      </x:c>
      <x:c r="O119" s="32" t="n">
        <x:v>3.01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Abudefduf abdominalis</x:v>
      </x:c>
      <x:c r="T119" s="32" t="n">
        <x:f>IF(O119="","",(1/'Metadata'!$B$5)^(O119-1))</x:f>
        <x:v>102.32929922807536</x:v>
      </x:c>
      <x:c r="U119" s="31" t="n">
        <x:f>IF(T119="","",I119*T119)</x:f>
        <x:v>16.61687239472664</x:v>
      </x:c>
    </x:row>
    <x:row r="120" ht="18" customHeight="1">
      <x:c r="A120" s="24" t="str">
        <x:v>EEZ_842</x:v>
      </x:c>
      <x:c r="B120" s="24" t="str">
        <x:v>Hawaii Main Islands (USA)</x:v>
      </x:c>
      <x:c r="C120" s="24" t="str">
        <x:v>EEZ</x:v>
      </x:c>
      <x:c r="D120" s="30" t="n">
        <x:v>2019</x:v>
      </x:c>
      <x:c r="E120" s="24" t="str">
        <x:v>Pseudocaranx dentex</x:v>
      </x:c>
      <x:c r="F120" s="24" t="str">
        <x:v>White trevally</x:v>
      </x:c>
      <x:c r="G120" s="24" t="str">
        <x:v>Large reef assoc. fish (&gt;=90 cm)</x:v>
      </x:c>
      <x:c r="H120" s="24" t="str">
        <x:v>Perch-likes</x:v>
      </x:c>
      <x:c r="I120" s="31" t="n">
        <x:v>0.1410289178</x:v>
      </x:c>
      <x:c r="J120" s="31" t="n">
        <x:v>0.1410289178</x:v>
      </x:c>
      <x:c r="K120" s="31" t="n">
        <x:v>0</x:v>
      </x:c>
      <x:c r="L120" s="31" t="n">
        <x:v>0</x:v>
      </x:c>
      <x:c r="M120" s="31" t="n">
        <x:v>0.1410289178</x:v>
      </x:c>
      <x:c r="N120" s="24" t="str">
        <x:v>pseudocaranx dentex</x:v>
      </x:c>
      <x:c r="O120" s="32" t="n">
        <x:v>3.92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Pseudocaranx dentex</x:v>
      </x:c>
      <x:c r="T120" s="32" t="n">
        <x:f>IF(O120="","",(1/'Metadata'!$B$5)^(O120-1))</x:f>
        <x:v>831.7637711026708</x:v>
      </x:c>
      <x:c r="U120" s="31" t="n">
        <x:f>IF(T120="","",I120*T120)</x:f>
        <x:v>117.30274450385657</x:v>
      </x:c>
    </x:row>
    <x:row r="121" ht="18" customHeight="1">
      <x:c r="A121" s="24" t="str">
        <x:v>EEZ_842</x:v>
      </x:c>
      <x:c r="B121" s="24" t="str">
        <x:v>Hawaii Main Islands (USA)</x:v>
      </x:c>
      <x:c r="C121" s="24" t="str">
        <x:v>EEZ</x:v>
      </x:c>
      <x:c r="D121" s="30" t="n">
        <x:v>2019</x:v>
      </x:c>
      <x:c r="E121" s="24" t="str">
        <x:v>Acanthurus nigrofuscus</x:v>
      </x:c>
      <x:c r="F121" s="24" t="str">
        <x:v>Brown surgeonfish</x:v>
      </x:c>
      <x:c r="G121" s="24" t="str">
        <x:v>Small reef assoc. fish (&lt;30 cm)</x:v>
      </x:c>
      <x:c r="H121" s="24" t="str">
        <x:v>Perch-likes</x:v>
      </x:c>
      <x:c r="I121" s="31" t="n">
        <x:v>0.1342056898</x:v>
      </x:c>
      <x:c r="J121" s="31" t="n">
        <x:v>0.1342056898</x:v>
      </x:c>
      <x:c r="K121" s="31" t="n">
        <x:v>0</x:v>
      </x:c>
      <x:c r="L121" s="31" t="n">
        <x:v>0</x:v>
      </x:c>
      <x:c r="M121" s="31" t="n">
        <x:v>0.1342056898</x:v>
      </x:c>
      <x:c r="N121" s="24" t="str">
        <x:v>acanthurus nigrofuscus</x:v>
      </x:c>
      <x:c r="O121" s="32" t="n">
        <x:v>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Acanthurus nigrofuscus</x:v>
      </x:c>
      <x:c r="T121" s="32" t="n">
        <x:f>IF(O121="","",(1/'Metadata'!$B$5)^(O121-1))</x:f>
        <x:v>10</x:v>
      </x:c>
      <x:c r="U121" s="31" t="n">
        <x:f>IF(T121="","",I121*T121)</x:f>
        <x:v>1.342056898</x:v>
      </x:c>
    </x:row>
    <x:row r="122" ht="18" customHeight="1">
      <x:c r="A122" s="24" t="str">
        <x:v>EEZ_842</x:v>
      </x:c>
      <x:c r="B122" s="24" t="str">
        <x:v>Hawaii Main Islands (USA)</x:v>
      </x:c>
      <x:c r="C122" s="24" t="str">
        <x:v>EEZ</x:v>
      </x:c>
      <x:c r="D122" s="30" t="n">
        <x:v>2019</x:v>
      </x:c>
      <x:c r="E122" s="24" t="str">
        <x:v>Synodontidae</x:v>
      </x:c>
      <x:c r="F122" s="24" t="str">
        <x:v>Lizardfishes, sauries</x:v>
      </x:c>
      <x:c r="G122" s="24" t="str">
        <x:v>Medium demersals (30 - 89 cm)</x:v>
      </x:c>
      <x:c r="H122" s="24" t="str">
        <x:v>Other fishes &amp; inverts</x:v>
      </x:c>
      <x:c r="I122" s="31" t="n">
        <x:v>0.1314384515</x:v>
      </x:c>
      <x:c r="J122" s="31" t="n">
        <x:v>0.1314384515</x:v>
      </x:c>
      <x:c r="K122" s="31" t="n">
        <x:v>0</x:v>
      </x:c>
      <x:c r="L122" s="31" t="n">
        <x:v>0</x:v>
      </x:c>
      <x:c r="M122" s="31" t="n">
        <x:v>0.1314384515</x:v>
      </x:c>
      <x:c r="N122" s="24" t="str">
        <x:v>synodontidae</x:v>
      </x:c>
      <x:c r="O122" s="32" t="n">
        <x:v>4.3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Synodontidae</x:v>
      </x:c>
      <x:c r="T122" s="32" t="n">
        <x:f>IF(O122="","",(1/'Metadata'!$B$5)^(O122-1))</x:f>
        <x:v>1995.2623149688789</x:v>
      </x:c>
      <x:c r="U122" s="31" t="n">
        <x:f>IF(T122="","",I122*T122)</x:f>
        <x:v>262.2541890158147</x:v>
      </x:c>
    </x:row>
    <x:row r="123" ht="18" customHeight="1">
      <x:c r="A123" s="24" t="str">
        <x:v>EEZ_842</x:v>
      </x:c>
      <x:c r="B123" s="24" t="str">
        <x:v>Hawaii Main Islands (USA)</x:v>
      </x:c>
      <x:c r="C123" s="24" t="str">
        <x:v>EEZ</x:v>
      </x:c>
      <x:c r="D123" s="30" t="n">
        <x:v>2019</x:v>
      </x:c>
      <x:c r="E123" s="24" t="str">
        <x:v>Cirrhitus pinnulatus</x:v>
      </x:c>
      <x:c r="F123" s="24" t="str">
        <x:v>Stocky hawkfish</x:v>
      </x:c>
      <x:c r="G123" s="24" t="str">
        <x:v>Small reef assoc. fish (&lt;30 cm)</x:v>
      </x:c>
      <x:c r="H123" s="24" t="str">
        <x:v>Perch-likes</x:v>
      </x:c>
      <x:c r="I123" s="31" t="n">
        <x:v>0.1279132</x:v>
      </x:c>
      <x:c r="J123" s="31" t="n">
        <x:v>0.1279132</x:v>
      </x:c>
      <x:c r="K123" s="31" t="n">
        <x:v>0</x:v>
      </x:c>
      <x:c r="L123" s="31" t="n">
        <x:v>0.1279132</x:v>
      </x:c>
      <x:c r="M123" s="31" t="n">
        <x:v>0</x:v>
      </x:c>
      <x:c r="N123" s="24" t="str">
        <x:v>cirrhitus pinnulatus</x:v>
      </x:c>
      <x:c r="O123" s="32" t="n">
        <x:v>3.68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Cirrhitus pinnulatus</x:v>
      </x:c>
      <x:c r="T123" s="32" t="n">
        <x:f>IF(O123="","",(1/'Metadata'!$B$5)^(O123-1))</x:f>
        <x:v>478.6300923226385</x:v>
      </x:c>
      <x:c r="U123" s="31" t="n">
        <x:f>IF(T123="","",I123*T123)</x:f>
        <x:v>61.223106725284126</x:v>
      </x:c>
    </x:row>
    <x:row r="124" ht="18" customHeight="1">
      <x:c r="A124" s="24" t="str">
        <x:v>EEZ_842</x:v>
      </x:c>
      <x:c r="B124" s="24" t="str">
        <x:v>Hawaii Main Islands (USA)</x:v>
      </x:c>
      <x:c r="C124" s="24" t="str">
        <x:v>EEZ</x:v>
      </x:c>
      <x:c r="D124" s="30" t="n">
        <x:v>2019</x:v>
      </x:c>
      <x:c r="E124" s="24" t="str">
        <x:v>Alopias</x:v>
      </x:c>
      <x:c r="F124" s="24" t="str">
        <x:v>Thresher sharks</x:v>
      </x:c>
      <x:c r="G124" s="24" t="str">
        <x:v>Large sharks (&gt;=90 cm)</x:v>
      </x:c>
      <x:c r="H124" s="24" t="str">
        <x:v>Sharks &amp; rays</x:v>
      </x:c>
      <x:c r="I124" s="31" t="n">
        <x:v>0.099220243</x:v>
      </x:c>
      <x:c r="J124" s="31" t="n">
        <x:v>0.099220243</x:v>
      </x:c>
      <x:c r="K124" s="31" t="n">
        <x:v>0</x:v>
      </x:c>
      <x:c r="L124" s="31" t="n">
        <x:v>0.099220243</x:v>
      </x:c>
      <x:c r="M124" s="31" t="n">
        <x:v>0</x:v>
      </x:c>
      <x:c r="N124" s="24" t="str">
        <x:v>alopias</x:v>
      </x:c>
      <x:c r="O124" s="32" t="n">
        <x:v>4.5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Alopias</x:v>
      </x:c>
      <x:c r="T124" s="32" t="n">
        <x:f>IF(O124="","",(1/'Metadata'!$B$5)^(O124-1))</x:f>
        <x:v>3162.2776601683795</x:v>
      </x:c>
      <x:c r="U124" s="31" t="n">
        <x:f>IF(T124="","",I124*T124)</x:f>
        <x:v>313.761957875378</x:v>
      </x:c>
    </x:row>
    <x:row r="125" ht="18" customHeight="1">
      <x:c r="A125" s="24" t="str">
        <x:v>EEZ_842</x:v>
      </x:c>
      <x:c r="B125" s="24" t="str">
        <x:v>Hawaii Main Islands (USA)</x:v>
      </x:c>
      <x:c r="C125" s="24" t="str">
        <x:v>EEZ</x:v>
      </x:c>
      <x:c r="D125" s="30" t="n">
        <x:v>2019</x:v>
      </x:c>
      <x:c r="E125" s="24" t="str">
        <x:v>Abudefduf sordidus</x:v>
      </x:c>
      <x:c r="F125" s="24" t="str">
        <x:v>Blackspot sergeant</x:v>
      </x:c>
      <x:c r="G125" s="24" t="str">
        <x:v>Small reef assoc. fish (&lt;30 cm)</x:v>
      </x:c>
      <x:c r="H125" s="24" t="str">
        <x:v>Perch-likes</x:v>
      </x:c>
      <x:c r="I125" s="31" t="n">
        <x:v>0.0945270516</x:v>
      </x:c>
      <x:c r="J125" s="31" t="n">
        <x:v>0.0945270516</x:v>
      </x:c>
      <x:c r="K125" s="31" t="n">
        <x:v>0</x:v>
      </x:c>
      <x:c r="L125" s="31" t="n">
        <x:v>0</x:v>
      </x:c>
      <x:c r="M125" s="31" t="n">
        <x:v>0.0945270516</x:v>
      </x:c>
      <x:c r="N125" s="24" t="str">
        <x:v>abudefduf sordidus</x:v>
      </x:c>
      <x:c r="O125" s="32" t="n">
        <x:v>2.88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Abudefduf sordidus</x:v>
      </x:c>
      <x:c r="T125" s="32" t="n">
        <x:f>IF(O125="","",(1/'Metadata'!$B$5)^(O125-1))</x:f>
        <x:v>75.85775750291836</x:v>
      </x:c>
      <x:c r="U125" s="31" t="n">
        <x:f>IF(T125="","",I125*T125)</x:f>
        <x:v>7.1706101577386505</x:v>
      </x:c>
    </x:row>
    <x:row r="126" ht="18" customHeight="1">
      <x:c r="A126" s="24" t="str">
        <x:v>EEZ_842</x:v>
      </x:c>
      <x:c r="B126" s="24" t="str">
        <x:v>Hawaii Main Islands (USA)</x:v>
      </x:c>
      <x:c r="C126" s="24" t="str">
        <x:v>EEZ</x:v>
      </x:c>
      <x:c r="D126" s="30" t="n">
        <x:v>2019</x:v>
      </x:c>
      <x:c r="E126" s="24" t="str">
        <x:v>Parupeneus pleurostigma</x:v>
      </x:c>
      <x:c r="F126" s="24" t="str">
        <x:v>Sidespot goatfish</x:v>
      </x:c>
      <x:c r="G126" s="24" t="str">
        <x:v>Medium reef assoc. fish (30 - 89 cm)</x:v>
      </x:c>
      <x:c r="H126" s="24" t="str">
        <x:v>Perch-likes</x:v>
      </x:c>
      <x:c r="I126" s="31" t="n">
        <x:v>0.08356702299999999</x:v>
      </x:c>
      <x:c r="J126" s="31" t="n">
        <x:v>0.08356702299999999</x:v>
      </x:c>
      <x:c r="K126" s="31" t="n">
        <x:v>0</x:v>
      </x:c>
      <x:c r="L126" s="31" t="n">
        <x:v>0.009071857899999999</x:v>
      </x:c>
      <x:c r="M126" s="31" t="n">
        <x:v>0.0744951651</x:v>
      </x:c>
      <x:c r="N126" s="24" t="str">
        <x:v>parupeneus pleurostigma</x:v>
      </x:c>
      <x:c r="O126" s="32" t="n">
        <x:v>3.41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Parupeneus pleurostigma</x:v>
      </x:c>
      <x:c r="T126" s="32" t="n">
        <x:f>IF(O126="","",(1/'Metadata'!$B$5)^(O126-1))</x:f>
        <x:v>257.03957827688646</x:v>
      </x:c>
      <x:c r="U126" s="31" t="n">
        <x:f>IF(T126="","",I126*T126)</x:f>
        <x:v>21.48003234977487</x:v>
      </x:c>
    </x:row>
    <x:row r="127" ht="18" customHeight="1">
      <x:c r="A127" s="24" t="str">
        <x:v>EEZ_842</x:v>
      </x:c>
      <x:c r="B127" s="24" t="str">
        <x:v>Hawaii Main Islands (USA)</x:v>
      </x:c>
      <x:c r="C127" s="24" t="str">
        <x:v>EEZ</x:v>
      </x:c>
      <x:c r="D127" s="30" t="n">
        <x:v>2019</x:v>
      </x:c>
      <x:c r="E127" s="24" t="str">
        <x:v>Sargocentron xantherythrum</x:v>
      </x:c>
      <x:c r="F127" s="24" t="str">
        <x:v>Hawaiian squirrelfish</x:v>
      </x:c>
      <x:c r="G127" s="24" t="str">
        <x:v>Small reef assoc. fish (&lt;30 cm)</x:v>
      </x:c>
      <x:c r="H127" s="24" t="str">
        <x:v>Other fishes &amp; inverts</x:v>
      </x:c>
      <x:c r="I127" s="31" t="n">
        <x:v>0.0712140869</x:v>
      </x:c>
      <x:c r="J127" s="31" t="n">
        <x:v>0.0712140869</x:v>
      </x:c>
      <x:c r="K127" s="31" t="n">
        <x:v>0</x:v>
      </x:c>
      <x:c r="L127" s="31" t="n">
        <x:v>0.0712140869</x:v>
      </x:c>
      <x:c r="M127" s="31" t="n">
        <x:v>0</x:v>
      </x:c>
      <x:c r="N127" s="24" t="str">
        <x:v>sargocentron xantherythrum</x:v>
      </x:c>
      <x:c r="O127" s="32" t="n">
        <x:v>3.48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Sargocentron xantherythrum</x:v>
      </x:c>
      <x:c r="T127" s="32" t="n">
        <x:f>IF(O127="","",(1/'Metadata'!$B$5)^(O127-1))</x:f>
        <x:v>301.9951720402016</x:v>
      </x:c>
      <x:c r="U127" s="31" t="n">
        <x:f>IF(T127="","",I127*T127)</x:f>
        <x:v>21.506310425051367</x:v>
      </x:c>
    </x:row>
    <x:row r="128" ht="18" customHeight="1">
      <x:c r="A128" s="24" t="str">
        <x:v>EEZ_842</x:v>
      </x:c>
      <x:c r="B128" s="24" t="str">
        <x:v>Hawaii Main Islands (USA)</x:v>
      </x:c>
      <x:c r="C128" s="24" t="str">
        <x:v>EEZ</x:v>
      </x:c>
      <x:c r="D128" s="30" t="n">
        <x:v>2019</x:v>
      </x:c>
      <x:c r="E128" s="24" t="str">
        <x:v>Scyllarides haanii</x:v>
      </x:c>
      <x:c r="F128" s="24" t="str">
        <x:v>Aesop slipper lobster</x:v>
      </x:c>
      <x:c r="G128" s="24" t="str">
        <x:v>Lobsters, crabs</x:v>
      </x:c>
      <x:c r="H128" s="24" t="str">
        <x:v>Crustaceans</x:v>
      </x:c>
      <x:c r="I128" s="31" t="n">
        <x:v>0.06078145</x:v>
      </x:c>
      <x:c r="J128" s="31" t="n">
        <x:v>0.06078145</x:v>
      </x:c>
      <x:c r="K128" s="31" t="n">
        <x:v>0</x:v>
      </x:c>
      <x:c r="L128" s="31" t="n">
        <x:v>0.06078145</x:v>
      </x:c>
      <x:c r="M128" s="31" t="n">
        <x:v>0</x:v>
      </x:c>
      <x:c r="N128" s="24" t="str">
        <x:v>scyllarides haanii</x:v>
      </x:c>
      <x:c r="O128" s="32" t="n">
        <x:v>2.8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Scyllarides haanii</x:v>
      </x:c>
      <x:c r="T128" s="32" t="n">
        <x:f>IF(O128="","",(1/'Metadata'!$B$5)^(O128-1))</x:f>
        <x:v>63.0957344480193</x:v>
      </x:c>
      <x:c r="U128" s="31" t="n">
        <x:f>IF(T128="","",I128*T128)</x:f>
        <x:v>3.8350502285655628</x:v>
      </x:c>
    </x:row>
    <x:row r="129" ht="18" customHeight="1">
      <x:c r="A129" s="24" t="str">
        <x:v>EEZ_842</x:v>
      </x:c>
      <x:c r="B129" s="24" t="str">
        <x:v>Hawaii Main Islands (USA)</x:v>
      </x:c>
      <x:c r="C129" s="24" t="str">
        <x:v>EEZ</x:v>
      </x:c>
      <x:c r="D129" s="30" t="n">
        <x:v>2019</x:v>
      </x:c>
      <x:c r="E129" s="24" t="str">
        <x:v>Aluterus monoceros</x:v>
      </x:c>
      <x:c r="F129" s="24" t="str">
        <x:v>Unicorn leatherjacket filefish</x:v>
      </x:c>
      <x:c r="G129" s="24" t="str">
        <x:v>Medium reef assoc. fish (30 - 89 cm)</x:v>
      </x:c>
      <x:c r="H129" s="24" t="str">
        <x:v>Other fishes &amp; inverts</x:v>
      </x:c>
      <x:c r="I129" s="31" t="n">
        <x:v>0.048080848</x:v>
      </x:c>
      <x:c r="J129" s="31" t="n">
        <x:v>0.048080848</x:v>
      </x:c>
      <x:c r="K129" s="31" t="n">
        <x:v>0</x:v>
      </x:c>
      <x:c r="L129" s="31" t="n">
        <x:v>0.048080848</x:v>
      </x:c>
      <x:c r="M129" s="31" t="n">
        <x:v>0</x:v>
      </x:c>
      <x:c r="N129" s="24" t="str">
        <x:v>aluterus monoceros</x:v>
      </x:c>
      <x:c r="O129" s="32" t="n">
        <x:v>3.84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Aluterus monoceros</x:v>
      </x:c>
      <x:c r="T129" s="32" t="n">
        <x:f>IF(O129="","",(1/'Metadata'!$B$5)^(O129-1))</x:f>
        <x:v>691.8309709189363</x:v>
      </x:c>
      <x:c r="U129" s="31" t="n">
        <x:f>IF(T129="","",I129*T129)</x:f>
        <x:v>33.2638197544458</x:v>
      </x:c>
    </x:row>
    <x:row r="130" ht="18" customHeight="1">
      <x:c r="A130" s="24" t="str">
        <x:v>EEZ_842</x:v>
      </x:c>
      <x:c r="B130" s="24" t="str">
        <x:v>Hawaii Main Islands (USA)</x:v>
      </x:c>
      <x:c r="C130" s="24" t="str">
        <x:v>EEZ</x:v>
      </x:c>
      <x:c r="D130" s="30" t="n">
        <x:v>2019</x:v>
      </x:c>
      <x:c r="E130" s="24" t="str">
        <x:v>Aulostomidae</x:v>
      </x:c>
      <x:c r="F130" s="24" t="str">
        <x:v>Trumpetfishes</x:v>
      </x:c>
      <x:c r="G130" s="24" t="str">
        <x:v>Medium demersals (30 - 89 cm)</x:v>
      </x:c>
      <x:c r="H130" s="24" t="str">
        <x:v>Other fishes &amp; inverts</x:v>
      </x:c>
      <x:c r="I130" s="31" t="n">
        <x:v>0.0480808479</x:v>
      </x:c>
      <x:c r="J130" s="31" t="n">
        <x:v>0.0480808479</x:v>
      </x:c>
      <x:c r="K130" s="31" t="n">
        <x:v>0</x:v>
      </x:c>
      <x:c r="L130" s="31" t="n">
        <x:v>0.0480808479</x:v>
      </x:c>
      <x:c r="M130" s="31" t="n">
        <x:v>0</x:v>
      </x:c>
      <x:c r="N130" s="24" t="str">
        <x:v>aulostomidae</x:v>
      </x:c>
      <x:c r="O130" s="32" t="n">
        <x:v>4.34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Aulostomidae</x:v>
      </x:c>
      <x:c r="T130" s="32" t="n">
        <x:f>IF(O130="","",(1/'Metadata'!$B$5)^(O130-1))</x:f>
        <x:v>2187.761623949552</x:v>
      </x:c>
      <x:c r="U130" s="31" t="n">
        <x:f>IF(T130="","",I130*T130)</x:f>
        <x:v>105.1894338825754</x:v>
      </x:c>
    </x:row>
    <x:row r="131" ht="18" customHeight="1">
      <x:c r="A131" s="24" t="str">
        <x:v>EEZ_842</x:v>
      </x:c>
      <x:c r="B131" s="24" t="str">
        <x:v>Hawaii Main Islands (USA)</x:v>
      </x:c>
      <x:c r="C131" s="24" t="str">
        <x:v>EEZ</x:v>
      </x:c>
      <x:c r="D131" s="30" t="n">
        <x:v>2019</x:v>
      </x:c>
      <x:c r="E131" s="24" t="str">
        <x:v>Aphareus furca</x:v>
      </x:c>
      <x:c r="F131" s="24" t="str">
        <x:v>Small toothed jobfish</x:v>
      </x:c>
      <x:c r="G131" s="24" t="str">
        <x:v>Medium reef assoc. fish (30 - 89 cm)</x:v>
      </x:c>
      <x:c r="H131" s="24" t="str">
        <x:v>Perch-likes</x:v>
      </x:c>
      <x:c r="I131" s="31" t="n">
        <x:v>0.0396160506</x:v>
      </x:c>
      <x:c r="J131" s="31" t="n">
        <x:v>0.0396160506</x:v>
      </x:c>
      <x:c r="K131" s="31" t="n">
        <x:v>0</x:v>
      </x:c>
      <x:c r="L131" s="31" t="n">
        <x:v>0</x:v>
      </x:c>
      <x:c r="M131" s="31" t="n">
        <x:v>0.0396160506</x:v>
      </x:c>
      <x:c r="N131" s="24" t="str">
        <x:v>aphareus furca</x:v>
      </x:c>
      <x:c r="O131" s="32" t="n">
        <x:v>4.14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Aphareus furca</x:v>
      </x:c>
      <x:c r="T131" s="32" t="n">
        <x:f>IF(O131="","",(1/'Metadata'!$B$5)^(O131-1))</x:f>
        <x:v>1380.3842646028838</x:v>
      </x:c>
      <x:c r="U131" s="31" t="n">
        <x:f>IF(T131="","",I131*T131)</x:f>
        <x:v>54.685372873951636</x:v>
      </x:c>
    </x:row>
    <x:row r="132" ht="18" customHeight="1">
      <x:c r="A132" s="24" t="str">
        <x:v>EEZ_842</x:v>
      </x:c>
      <x:c r="B132" s="24" t="str">
        <x:v>Hawaii Main Islands (USA)</x:v>
      </x:c>
      <x:c r="C132" s="24" t="str">
        <x:v>EEZ</x:v>
      </x:c>
      <x:c r="D132" s="30" t="n">
        <x:v>2019</x:v>
      </x:c>
      <x:c r="E132" s="24" t="str">
        <x:v>Zebrasoma flavescens</x:v>
      </x:c>
      <x:c r="F132" s="24" t="str">
        <x:v>Yellow tang</x:v>
      </x:c>
      <x:c r="G132" s="24" t="str">
        <x:v>Small reef assoc. fish (&lt;30 cm)</x:v>
      </x:c>
      <x:c r="H132" s="24" t="str">
        <x:v>Perch-likes</x:v>
      </x:c>
      <x:c r="I132" s="31" t="n">
        <x:v>0.0395320717</x:v>
      </x:c>
      <x:c r="J132" s="31" t="n">
        <x:v>0.0395320717</x:v>
      </x:c>
      <x:c r="K132" s="31" t="n">
        <x:v>0</x:v>
      </x:c>
      <x:c r="L132" s="31" t="n">
        <x:v>0</x:v>
      </x:c>
      <x:c r="M132" s="31" t="n">
        <x:v>0.0395320717</x:v>
      </x:c>
      <x:c r="N132" s="24" t="str">
        <x:v>zebrasoma flavescens</x:v>
      </x:c>
      <x:c r="O132" s="32" t="n">
        <x:v>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Zebrasoma flavescens</x:v>
      </x:c>
      <x:c r="T132" s="32" t="n">
        <x:f>IF(O132="","",(1/'Metadata'!$B$5)^(O132-1))</x:f>
        <x:v>10</x:v>
      </x:c>
      <x:c r="U132" s="31" t="n">
        <x:f>IF(T132="","",I132*T132)</x:f>
        <x:v>0.395320717</x:v>
      </x:c>
    </x:row>
    <x:row r="133" ht="18" customHeight="1">
      <x:c r="A133" s="24" t="str">
        <x:v>EEZ_842</x:v>
      </x:c>
      <x:c r="B133" s="24" t="str">
        <x:v>Hawaii Main Islands (USA)</x:v>
      </x:c>
      <x:c r="C133" s="24" t="str">
        <x:v>EEZ</x:v>
      </x:c>
      <x:c r="D133" s="30" t="n">
        <x:v>2019</x:v>
      </x:c>
      <x:c r="E133" s="24" t="str">
        <x:v>Erythrocles scintillans</x:v>
      </x:c>
      <x:c r="F133" s="24" t="str">
        <x:v>Golden kali kali</x:v>
      </x:c>
      <x:c r="G133" s="24" t="str">
        <x:v>Medium bathypelagics (30 - 89 cm)</x:v>
      </x:c>
      <x:c r="H133" s="24" t="str">
        <x:v>Perch-likes</x:v>
      </x:c>
      <x:c r="I133" s="31" t="n">
        <x:v>0.0298348831</x:v>
      </x:c>
      <x:c r="J133" s="31" t="n">
        <x:v>0.0298348831</x:v>
      </x:c>
      <x:c r="K133" s="31" t="n">
        <x:v>0</x:v>
      </x:c>
      <x:c r="L133" s="31" t="n">
        <x:v>0.0298348831</x:v>
      </x:c>
      <x:c r="M133" s="31" t="n">
        <x:v>0</x:v>
      </x:c>
      <x:c r="N133" s="24" t="str">
        <x:v>erythrocles scintillans</x:v>
      </x:c>
      <x:c r="O133" s="32" t="n">
        <x:v>3.4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Erythrocles scintillans</x:v>
      </x:c>
      <x:c r="T133" s="32" t="n">
        <x:f>IF(O133="","",(1/'Metadata'!$B$5)^(O133-1))</x:f>
        <x:v>251.18864315095797</x:v>
      </x:c>
      <x:c r="U133" s="31" t="n">
        <x:f>IF(T133="","",I133*T133)</x:f>
        <x:v>7.494183804456447</x:v>
      </x:c>
    </x:row>
    <x:row r="134" ht="18" customHeight="1">
      <x:c r="A134" s="24" t="str">
        <x:v>EEZ_842</x:v>
      </x:c>
      <x:c r="B134" s="24" t="str">
        <x:v>Hawaii Main Islands (USA)</x:v>
      </x:c>
      <x:c r="C134" s="24" t="str">
        <x:v>EEZ</x:v>
      </x:c>
      <x:c r="D134" s="30" t="n">
        <x:v>2019</x:v>
      </x:c>
      <x:c r="E134" s="24" t="str">
        <x:v>Gymnothorax rueppelliae</x:v>
      </x:c>
      <x:c r="F134" s="24" t="str">
        <x:v>Banded moray</x:v>
      </x:c>
      <x:c r="G134" s="24" t="str">
        <x:v>Medium reef assoc. fish (30 - 89 cm)</x:v>
      </x:c>
      <x:c r="H134" s="24" t="str">
        <x:v>Other fishes &amp; inverts</x:v>
      </x:c>
      <x:c r="I134" s="31" t="n">
        <x:v>0.0274512079</x:v>
      </x:c>
      <x:c r="J134" s="31" t="n">
        <x:v>0.0274512079</x:v>
      </x:c>
      <x:c r="K134" s="31" t="n">
        <x:v>0</x:v>
      </x:c>
      <x:c r="L134" s="31" t="n">
        <x:v>0</x:v>
      </x:c>
      <x:c r="M134" s="31" t="n">
        <x:v>0.0274512079</x:v>
      </x:c>
      <x:c r="N134" s="24" t="str">
        <x:v>gymnothorax rueppelliae</x:v>
      </x:c>
      <x:c r="O134" s="32" t="n">
        <x:v>4.01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Gymnothorax rueppelliae</x:v>
      </x:c>
      <x:c r="T134" s="32" t="n">
        <x:f>IF(O134="","",(1/'Metadata'!$B$5)^(O134-1))</x:f>
        <x:v>1023.2929922807537</x:v>
      </x:c>
      <x:c r="U134" s="31" t="n">
        <x:f>IF(T134="","",I134*T134)</x:f>
        <x:v>28.090628673712065</x:v>
      </x:c>
    </x:row>
    <x:row r="135" ht="18" customHeight="1">
      <x:c r="A135" s="24" t="str">
        <x:v>EEZ_842</x:v>
      </x:c>
      <x:c r="B135" s="24" t="str">
        <x:v>Hawaii Main Islands (USA)</x:v>
      </x:c>
      <x:c r="C135" s="24" t="str">
        <x:v>EEZ</x:v>
      </x:c>
      <x:c r="D135" s="30" t="n">
        <x:v>2019</x:v>
      </x:c>
      <x:c r="E135" s="24" t="str">
        <x:v>Bothidae</x:v>
      </x:c>
      <x:c r="F135" s="24" t="str">
        <x:v>Lefteye flounders</x:v>
      </x:c>
      <x:c r="G135" s="24" t="str">
        <x:v>Small to medium flatfishes (&lt;90 cm)</x:v>
      </x:c>
      <x:c r="H135" s="24" t="str">
        <x:v>Flatfishes</x:v>
      </x:c>
      <x:c r="I135" s="31" t="n">
        <x:v>0.0136562882</x:v>
      </x:c>
      <x:c r="J135" s="31" t="n">
        <x:v>0.0136562882</x:v>
      </x:c>
      <x:c r="K135" s="31" t="n">
        <x:v>0</x:v>
      </x:c>
      <x:c r="L135" s="31" t="n">
        <x:v>0.013154194</x:v>
      </x:c>
      <x:c r="M135" s="31" t="n">
        <x:v>0.0005020942</x:v>
      </x:c>
      <x:c r="N135" s="24" t="str">
        <x:v>bothidae</x:v>
      </x:c>
      <x:c r="O135" s="32" t="n">
        <x:v>3.77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Bothidae</x:v>
      </x:c>
      <x:c r="T135" s="32" t="n">
        <x:f>IF(O135="","",(1/'Metadata'!$B$5)^(O135-1))</x:f>
        <x:v>588.843655355589</x:v>
      </x:c>
      <x:c r="U135" s="31" t="n">
        <x:f>IF(T135="","",I135*T135)</x:f>
        <x:v>8.041418662277398</x:v>
      </x:c>
    </x:row>
    <x:row r="136" ht="18" customHeight="1">
      <x:c r="A136" s="24" t="str">
        <x:v>EEZ_842</x:v>
      </x:c>
      <x:c r="B136" s="24" t="str">
        <x:v>Hawaii Main Islands (USA)</x:v>
      </x:c>
      <x:c r="C136" s="24" t="str">
        <x:v>EEZ</x:v>
      </x:c>
      <x:c r="D136" s="30" t="n">
        <x:v>2019</x:v>
      </x:c>
      <x:c r="E136" s="24" t="str">
        <x:v>Caranx lugubris</x:v>
      </x:c>
      <x:c r="F136" s="24" t="str">
        <x:v>Black jack</x:v>
      </x:c>
      <x:c r="G136" s="24" t="str">
        <x:v>Large benthopelagics (&gt;=90 cm)</x:v>
      </x:c>
      <x:c r="H136" s="24" t="str">
        <x:v>Perch-likes</x:v>
      </x:c>
      <x:c r="I136" s="31" t="n">
        <x:v>0.0127955732</x:v>
      </x:c>
      <x:c r="J136" s="31" t="n">
        <x:v>0.0127955732</x:v>
      </x:c>
      <x:c r="K136" s="31" t="n">
        <x:v>0</x:v>
      </x:c>
      <x:c r="L136" s="31" t="n">
        <x:v>0</x:v>
      </x:c>
      <x:c r="M136" s="31" t="n">
        <x:v>0.0127955732</x:v>
      </x:c>
      <x:c r="N136" s="24" t="str">
        <x:v>caranx lugubris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Caranx lugubris</x:v>
      </x:c>
      <x:c r="T136" s="32" t="n">
        <x:f>IF(O136="","",(1/'Metadata'!$B$5)^(O136-1))</x:f>
        <x:v>3162.2776601683795</x:v>
      </x:c>
      <x:c r="U136" s="31" t="n">
        <x:f>IF(T136="","",I136*T136)</x:f>
        <x:v>40.46315527940922</x:v>
      </x:c>
    </x:row>
    <x:row r="137" ht="18" customHeight="1">
      <x:c r="A137" s="24" t="str">
        <x:v>EEZ_842</x:v>
      </x:c>
      <x:c r="B137" s="24" t="str">
        <x:v>Hawaii Main Islands (USA)</x:v>
      </x:c>
      <x:c r="C137" s="24" t="str">
        <x:v>EEZ</x:v>
      </x:c>
      <x:c r="D137" s="30" t="n">
        <x:v>2019</x:v>
      </x:c>
      <x:c r="E137" s="24" t="str">
        <x:v>Scorpaenopsis diabolus</x:v>
      </x:c>
      <x:c r="F137" s="24" t="str">
        <x:v>False stonefish</x:v>
      </x:c>
      <x:c r="G137" s="24" t="str">
        <x:v>Small reef assoc. fish (&lt;30 cm)</x:v>
      </x:c>
      <x:c r="H137" s="24" t="str">
        <x:v>Scorpionfishes</x:v>
      </x:c>
      <x:c r="I137" s="31" t="n">
        <x:v>0.0088642769</x:v>
      </x:c>
      <x:c r="J137" s="31" t="n">
        <x:v>0.0088642769</x:v>
      </x:c>
      <x:c r="K137" s="31" t="n">
        <x:v>0</x:v>
      </x:c>
      <x:c r="L137" s="31" t="n">
        <x:v>0</x:v>
      </x:c>
      <x:c r="M137" s="31" t="n">
        <x:v>0.0088642769</x:v>
      </x:c>
      <x:c r="N137" s="24" t="str">
        <x:v>scorpaenopsis diabolus</x:v>
      </x:c>
      <x:c r="O137" s="32" t="n">
        <x:v>4.2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Scorpaenopsis diabolus</x:v>
      </x:c>
      <x:c r="T137" s="32" t="n">
        <x:f>IF(O137="","",(1/'Metadata'!$B$5)^(O137-1))</x:f>
        <x:v>1584.893192461114</x:v>
      </x:c>
      <x:c r="U137" s="31" t="n">
        <x:f>IF(T137="","",I137*T137)</x:f>
        <x:v>14.048932114900309</x:v>
      </x:c>
    </x:row>
    <x:row r="138" ht="18" customHeight="1">
      <x:c r="A138" s="24" t="str">
        <x:v>EEZ_842</x:v>
      </x:c>
      <x:c r="B138" s="24" t="str">
        <x:v>Hawaii Main Islands (USA)</x:v>
      </x:c>
      <x:c r="C138" s="24" t="str">
        <x:v>EEZ</x:v>
      </x:c>
      <x:c r="D138" s="30" t="n">
        <x:v>2019</x:v>
      </x:c>
      <x:c r="E138" s="24" t="str">
        <x:v>Chlorurus sordidus</x:v>
      </x:c>
      <x:c r="F138" s="24" t="str">
        <x:v>Daisy parrotfish</x:v>
      </x:c>
      <x:c r="G138" s="24" t="str">
        <x:v>Medium reef assoc. fish (30 - 89 cm)</x:v>
      </x:c>
      <x:c r="H138" s="24" t="str">
        <x:v>Perch-likes</x:v>
      </x:c>
      <x:c r="I138" s="31" t="n">
        <x:v>0.0078592138</x:v>
      </x:c>
      <x:c r="J138" s="31" t="n">
        <x:v>0.0078592138</x:v>
      </x:c>
      <x:c r="K138" s="31" t="n">
        <x:v>0</x:v>
      </x:c>
      <x:c r="L138" s="31" t="n">
        <x:v>0</x:v>
      </x:c>
      <x:c r="M138" s="31" t="n">
        <x:v>0.0078592138</x:v>
      </x:c>
      <x:c r="N138" s="24" t="str">
        <x:v>chlorurus sordidus</x:v>
      </x:c>
      <x:c r="O138" s="32" t="n">
        <x:v>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Chlorurus sordidus</x:v>
      </x:c>
      <x:c r="T138" s="32" t="n">
        <x:f>IF(O138="","",(1/'Metadata'!$B$5)^(O138-1))</x:f>
        <x:v>10</x:v>
      </x:c>
      <x:c r="U138" s="31" t="n">
        <x:f>IF(T138="","",I138*T138)</x:f>
        <x:v>0.078592138</x:v>
      </x:c>
    </x:row>
    <x:row r="139" ht="18" customHeight="1">
      <x:c r="A139" s="24" t="str">
        <x:v>EEZ_842</x:v>
      </x:c>
      <x:c r="B139" s="24" t="str">
        <x:v>Hawaii Main Islands (USA)</x:v>
      </x:c>
      <x:c r="C139" s="24" t="str">
        <x:v>EEZ</x:v>
      </x:c>
      <x:c r="D139" s="30" t="n">
        <x:v>2019</x:v>
      </x:c>
      <x:c r="E139" s="24" t="str">
        <x:v>Pristipomoides auricilla</x:v>
      </x:c>
      <x:c r="F139" s="24" t="str">
        <x:v>Goldflag jobfish</x:v>
      </x:c>
      <x:c r="G139" s="24" t="str">
        <x:v>Medium demersals (30 - 89 cm)</x:v>
      </x:c>
      <x:c r="H139" s="24" t="str">
        <x:v>Perch-likes</x:v>
      </x:c>
      <x:c r="I139" s="31" t="n">
        <x:v>0.0063503011000000005</x:v>
      </x:c>
      <x:c r="J139" s="31" t="n">
        <x:v>0.0063503011000000005</x:v>
      </x:c>
      <x:c r="K139" s="31" t="n">
        <x:v>0</x:v>
      </x:c>
      <x:c r="L139" s="31" t="n">
        <x:v>0.0063503011000000005</x:v>
      </x:c>
      <x:c r="M139" s="31" t="n">
        <x:v>0</x:v>
      </x:c>
      <x:c r="N139" s="24" t="str">
        <x:v>pristipomoides auricilla</x:v>
      </x:c>
      <x:c r="O139" s="32" t="n">
        <x:v>3.86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Pristipomoides auricilla</x:v>
      </x:c>
      <x:c r="T139" s="32" t="n">
        <x:f>IF(O139="","",(1/'Metadata'!$B$5)^(O139-1))</x:f>
        <x:v>724.4359600749899</x:v>
      </x:c>
      <x:c r="U139" s="31" t="n">
        <x:f>IF(T139="","",I139*T139)</x:f>
        <x:v>4.600386474143765</x:v>
      </x:c>
    </x:row>
    <x:row r="140" ht="18" customHeight="1">
      <x:c r="A140" s="24" t="str">
        <x:v>EEZ_842</x:v>
      </x:c>
      <x:c r="B140" s="24" t="str">
        <x:v>Hawaii Main Islands (USA)</x:v>
      </x:c>
      <x:c r="C140" s="24" t="str">
        <x:v>EEZ</x:v>
      </x:c>
      <x:c r="D140" s="30" t="n">
        <x:v>2019</x:v>
      </x:c>
      <x:c r="E140" s="24" t="str">
        <x:v>Cheilio inermis</x:v>
      </x:c>
      <x:c r="F140" s="24" t="str">
        <x:v>Cigar wrasse</x:v>
      </x:c>
      <x:c r="G140" s="24" t="str">
        <x:v>Medium reef assoc. fish (30 - 89 cm)</x:v>
      </x:c>
      <x:c r="H140" s="24" t="str">
        <x:v>Perch-likes</x:v>
      </x:c>
      <x:c r="I140" s="31" t="n">
        <x:v>0.0061975628</x:v>
      </x:c>
      <x:c r="J140" s="31" t="n">
        <x:v>0.0061975628</x:v>
      </x:c>
      <x:c r="K140" s="31" t="n">
        <x:v>0</x:v>
      </x:c>
      <x:c r="L140" s="31" t="n">
        <x:v>0</x:v>
      </x:c>
      <x:c r="M140" s="31" t="n">
        <x:v>0.0061975628</x:v>
      </x:c>
      <x:c r="N140" s="24" t="str">
        <x:v>cheilio inermis</x:v>
      </x:c>
      <x:c r="O140" s="32" t="n">
        <x:v>4.04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Cheilio inermis</x:v>
      </x:c>
      <x:c r="T140" s="32" t="n">
        <x:f>IF(O140="","",(1/'Metadata'!$B$5)^(O140-1))</x:f>
        <x:v>1096.4781961431852</x:v>
      </x:c>
      <x:c r="U140" s="31" t="n">
        <x:f>IF(T140="","",I140*T140)</x:f>
        <x:v>6.795492479428107</x:v>
      </x:c>
    </x:row>
    <x:row r="141" ht="18" customHeight="1">
      <x:c r="A141" s="24" t="str">
        <x:v>EEZ_842</x:v>
      </x:c>
      <x:c r="B141" s="24" t="str">
        <x:v>Hawaii Main Islands (USA)</x:v>
      </x:c>
      <x:c r="C141" s="24" t="str">
        <x:v>EEZ</x:v>
      </x:c>
      <x:c r="D141" s="30" t="n">
        <x:v>2019</x:v>
      </x:c>
      <x:c r="E141" s="24" t="str">
        <x:v>Randallichthys filamentosus</x:v>
      </x:c>
      <x:c r="F141" s="24" t="str">
        <x:v>Randall's snapper</x:v>
      </x:c>
      <x:c r="G141" s="24" t="str">
        <x:v>Medium bathypelagics (30 - 89 cm)</x:v>
      </x:c>
      <x:c r="H141" s="24" t="str">
        <x:v>Perch-likes</x:v>
      </x:c>
      <x:c r="I141" s="31" t="n">
        <x:v>0.0054431151</x:v>
      </x:c>
      <x:c r="J141" s="31" t="n">
        <x:v>0.0054431151</x:v>
      </x:c>
      <x:c r="K141" s="31" t="n">
        <x:v>0</x:v>
      </x:c>
      <x:c r="L141" s="31" t="n">
        <x:v>0.0054431151</x:v>
      </x:c>
      <x:c r="M141" s="31" t="n">
        <x:v>0</x:v>
      </x:c>
      <x:c r="N141" s="24" t="str">
        <x:v>randallichthys filamentosus</x:v>
      </x:c>
      <x:c r="O141" s="32" t="n">
        <x:v>3.99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Randallichthys filamentosus</x:v>
      </x:c>
      <x:c r="T141" s="32" t="n">
        <x:f>IF(O141="","",(1/'Metadata'!$B$5)^(O141-1))</x:f>
        <x:v>977.2372209558112</x:v>
      </x:c>
      <x:c r="U141" s="31" t="n">
        <x:f>IF(T141="","",I141*T141)</x:f>
        <x:v>5.319214673666612</x:v>
      </x:c>
    </x:row>
  </x:sheetData>
  <x:conditionalFormatting sqref="R2:R1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c0475444fd640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3.7108435920999994</x:v>
      </x:c>
      <x:c r="C2" s="32" t="n">
        <x:v>3.371441144088203</x:v>
      </x:c>
      <x:c r="D2" s="32" t="n">
        <x:f>IF(C2="","",(1/'Metadata'!$B$5)^(C2-1))</x:f>
        <x:v>235.20207241883924</x:v>
      </x:c>
      <x:c r="E2" s="31" t="n">
        <x:f>IF(B2=0,"",B2*D2)</x:f>
        <x:v>872.7981032840896</x:v>
      </x:c>
    </x:row>
    <x:row r="3" ht="18" customHeight="1">
      <x:c r="A3" s="24" t="str">
        <x:v>Flatfishes</x:v>
      </x:c>
      <x:c r="B3" s="31" t="n">
        <x:v>0.5739948661</x:v>
      </x:c>
      <x:c r="C3" s="32" t="n">
        <x:v>4.3654870900525635</x:v>
      </x:c>
      <x:c r="D3" s="32" t="n">
        <x:f>IF(C3="","",(1/'Metadata'!$B$5)^(C3-1))</x:f>
        <x:v>2319.9952197808457</x:v>
      </x:c>
      <x:c r="E3" s="31" t="n">
        <x:f>IF(B3=0,"",B3*D3)</x:f>
        <x:v>1331.6653455307464</x:v>
      </x:c>
    </x:row>
    <x:row r="4" ht="18" customHeight="1">
      <x:c r="A4" s="24" t="str">
        <x:v>Herring-likes</x:v>
      </x:c>
      <x:c r="B4" s="31" t="n">
        <x:v>40.7497878284</x:v>
      </x:c>
      <x:c r="C4" s="32" t="n">
        <x:v>3.566943517773209</x:v>
      </x:c>
      <x:c r="D4" s="32" t="n">
        <x:f>IF(C4="","",(1/'Metadata'!$B$5)^(C4-1))</x:f>
        <x:v>368.92961425970685</x:v>
      </x:c>
      <x:c r="E4" s="31" t="n">
        <x:f>IF(B4=0,"",B4*D4)</x:f>
        <x:v>15033.80350469651</x:v>
      </x:c>
    </x:row>
    <x:row r="5" ht="18" customHeight="1">
      <x:c r="A5" s="24" t="str">
        <x:v>Molluscs</x:v>
      </x:c>
      <x:c r="B5" s="31" t="n">
        <x:v>5.3260879421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611.5167159132995</x:v>
      </x:c>
    </x:row>
    <x:row r="6" ht="18" customHeight="1">
      <x:c r="A6" s="24" t="str">
        <x:v>Other fishes &amp; inverts</x:v>
      </x:c>
      <x:c r="B6" s="31" t="n">
        <x:v>1608.5046165551998</x:v>
      </x:c>
      <x:c r="C6" s="32" t="n">
        <x:v>3.6314344331671733</x:v>
      </x:c>
      <x:c r="D6" s="32" t="n">
        <x:f>IF(C6="","",(1/'Metadata'!$B$5)^(C6-1))</x:f>
        <x:v>427.9907995627233</x:v>
      </x:c>
      <x:c r="E6" s="31" t="n">
        <x:f>IF(B6=0,"",B6*D6)</x:f>
        <x:v>688425.1769397917</x:v>
      </x:c>
    </x:row>
    <x:row r="7" ht="18" customHeight="1">
      <x:c r="A7" s="24" t="str">
        <x:v>Perch-likes</x:v>
      </x:c>
      <x:c r="B7" s="31" t="n">
        <x:v>12850.291446256002</x:v>
      </x:c>
      <x:c r="C7" s="32" t="n">
        <x:v>4.205720779439804</x:v>
      </x:c>
      <x:c r="D7" s="32" t="n">
        <x:f>IF(C7="","",(1/'Metadata'!$B$5)^(C7-1))</x:f>
        <x:v>1605.9084357697302</x:v>
      </x:c>
      <x:c r="E7" s="31" t="n">
        <x:f>IF(B7=0,"",B7*D7)</x:f>
        <x:v>20636391.43564212</x:v>
      </x:c>
    </x:row>
    <x:row r="8" ht="18" customHeight="1">
      <x:c r="A8" s="24" t="str">
        <x:v>Scorpionfishes</x:v>
      </x:c>
      <x:c r="B8" s="31" t="n">
        <x:v>5.4123992603</x:v>
      </x:c>
      <x:c r="C8" s="32" t="n">
        <x:v>3.9118433997421773</x:v>
      </x:c>
      <x:c r="D8" s="32" t="n">
        <x:f>IF(C8="","",(1/'Metadata'!$B$5)^(C8-1))</x:f>
        <x:v>816.2879767422801</x:v>
      </x:c>
      <x:c r="E8" s="31" t="n">
        <x:f>IF(B8=0,"",B8*D8)</x:f>
        <x:v>4418.0764415117</x:v>
      </x:c>
    </x:row>
    <x:row r="9" ht="18" customHeight="1">
      <x:c r="A9" s="24" t="str">
        <x:v>Sharks &amp; rays</x:v>
      </x:c>
      <x:c r="B9" s="31" t="n">
        <x:v>301.2882327891999</x:v>
      </x:c>
      <x:c r="C9" s="32" t="n">
        <x:v>4.2355911944412306</x:v>
      </x:c>
      <x:c r="D9" s="32" t="n">
        <x:f>IF(C9="","",(1/'Metadata'!$B$5)^(C9-1))</x:f>
        <x:v>1720.248526194656</x:v>
      </x:c>
      <x:c r="E9" s="31" t="n">
        <x:f>IF(B9=0,"",B9*D9)</x:f>
        <x:v>518290.6384154136</x:v>
      </x:c>
    </x:row>
    <x:row r="10" ht="18" customHeight="1">
      <x:c r="A10" s="24" t="str">
        <x:v>Tuna &amp; billfishes</x:v>
      </x:c>
      <x:c r="B10" s="31" t="n">
        <x:v>7670.3291661178</x:v>
      </x:c>
      <x:c r="C10" s="32" t="n">
        <x:v>4.441269625296016</x:v>
      </x:c>
      <x:c r="D10" s="32" t="n">
        <x:f>IF(C10="","",(1/'Metadata'!$B$5)^(C10-1))</x:f>
        <x:v>2762.292252214383</x:v>
      </x:c>
      <x:c r="E10" s="31" t="n">
        <x:f>IF(B10=0,"",B10*D10)</x:f>
        <x:v>21187690.827501208</x:v>
      </x:c>
    </x:row>
  </x:sheetData>
  <x:pageMargins left="0.7" right="0.7" top="0.75" bottom="0.75" header="0.3" footer="0.3"/>
  <x:tableParts count="1">
    <x:tablePart xmlns:r="http://schemas.openxmlformats.org/officeDocument/2006/relationships" r:id="R11aeb3f3e53145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5.8499877529</x:v>
      </x:c>
      <x:c r="C2" s="32" t="n">
        <x:v>3.6562999146960147</x:v>
      </x:c>
      <x:c r="D2" s="32" t="n">
        <x:f>IF(C2="","",(1/'Metadata'!$B$5)^(C2-1))</x:f>
        <x:v>453.2104495286419</x:v>
      </x:c>
      <x:c r="E2" s="31" t="n">
        <x:f>IF(B2=0,"",B2*D2)</x:f>
        <x:v>2651.2755792288585</x:v>
      </x:c>
    </x:row>
    <x:row r="3" ht="18" customHeight="1">
      <x:c r="A3" s="24" t="str">
        <x:v>Large bathydemersals (&gt;=90 cm)</x:v>
      </x:c>
      <x:c r="B3" s="31" t="n">
        <x:v>77.0308251526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202611.71378817345</x:v>
      </x:c>
    </x:row>
    <x:row r="4" ht="18" customHeight="1">
      <x:c r="A4" s="24" t="str">
        <x:v>Large bathypelagics (&gt;=90 cm)</x:v>
      </x:c>
      <x:c r="B4" s="31" t="n">
        <x:v>630.8398632888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1046933.5778037924</x:v>
      </x:c>
    </x:row>
    <x:row r="5" ht="18" customHeight="1">
      <x:c r="A5" s="24" t="str">
        <x:v>Large benthopelagics (&gt;=90 cm)</x:v>
      </x:c>
      <x:c r="B5" s="31" t="n">
        <x:v>161.61179304610002</x:v>
      </x:c>
      <x:c r="C5" s="32" t="n">
        <x:v>3.480978527686107</x:v>
      </x:c>
      <x:c r="D5" s="32" t="n">
        <x:f>IF(C5="","",(1/'Metadata'!$B$5)^(C5-1))</x:f>
        <x:v>302.67637756621025</x:v>
      </x:c>
      <x:c r="E5" s="31" t="n">
        <x:f>IF(B5=0,"",B5*D5)</x:f>
        <x:v>48916.0720911736</x:v>
      </x:c>
    </x:row>
    <x:row r="6" ht="18" customHeight="1">
      <x:c r="A6" s="24" t="str">
        <x:v>Large demersals (&gt;=90 cm)</x:v>
      </x:c>
      <x:c r="B6" s="31" t="n">
        <x:v>72.03158193269999</x:v>
      </x:c>
      <x:c r="C6" s="32" t="n">
        <x:v>4.49</x:v>
      </x:c>
      <x:c r="D6" s="32" t="n">
        <x:f>IF(C6="","",(1/'Metadata'!$B$5)^(C6-1))</x:f>
        <x:v>3090.295432513592</x:v>
      </x:c>
      <x:c r="E6" s="31" t="n">
        <x:f>IF(B6=0,"",B6*D6)</x:f>
        <x:v>222598.86864335136</x:v>
      </x:c>
    </x:row>
    <x:row r="7" ht="18" customHeight="1">
      <x:c r="A7" s="24" t="str">
        <x:v>Large pelagics (&gt;=90 cm)</x:v>
      </x:c>
      <x:c r="B7" s="31" t="n">
        <x:v>16047.7748049613</x:v>
      </x:c>
      <x:c r="C7" s="32" t="n">
        <x:v>4.363992851893965</x:v>
      </x:c>
      <x:c r="D7" s="32" t="n">
        <x:f>IF(C7="","",(1/'Metadata'!$B$5)^(C7-1))</x:f>
        <x:v>2312.0267359313875</x:v>
      </x:c>
      <x:c r="E7" s="31" t="n">
        <x:f>IF(B7=0,"",B7*D7)</x:f>
        <x:v>37102884.40127663</x:v>
      </x:c>
    </x:row>
    <x:row r="8" ht="18" customHeight="1">
      <x:c r="A8" s="24" t="str">
        <x:v>Large rays (&gt;=90 cm)</x:v>
      </x:c>
      <x:c r="B8" s="31" t="n">
        <x:v>1.4648299929</x:v>
      </x:c>
      <x:c r="C8" s="32" t="n">
        <x:v>3.36</x:v>
      </x:c>
      <x:c r="D8" s="32" t="n">
        <x:f>IF(C8="","",(1/'Metadata'!$B$5)^(C8-1))</x:f>
        <x:v>229.08676527677724</x:v>
      </x:c>
      <x:c r="E8" s="31" t="n">
        <x:f>IF(B8=0,"",B8*D8)</x:f>
        <x:v>335.57316475386557</x:v>
      </x:c>
    </x:row>
    <x:row r="9" ht="18" customHeight="1">
      <x:c r="A9" s="24" t="str">
        <x:v>Large reef assoc. fish (&gt;=90 cm)</x:v>
      </x:c>
      <x:c r="B9" s="31" t="n">
        <x:v>1720.0154630335003</x:v>
      </x:c>
      <x:c r="C9" s="32" t="n">
        <x:v>4.451920302737462</x:v>
      </x:c>
      <x:c r="D9" s="32" t="n">
        <x:f>IF(C9="","",(1/'Metadata'!$B$5)^(C9-1))</x:f>
        <x:v>2830.8724554942733</x:v>
      </x:c>
      <x:c r="E9" s="31" t="n">
        <x:f>IF(B9=0,"",B9*D9)</x:f>
        <x:v>4869144.397325764</x:v>
      </x:c>
    </x:row>
    <x:row r="10" ht="18" customHeight="1">
      <x:c r="A10" s="24" t="str">
        <x:v>Large sharks (&gt;=90 cm)</x:v>
      </x:c>
      <x:c r="B10" s="31" t="n">
        <x:v>299.82340279629994</x:v>
      </x:c>
      <x:c r="C10" s="32" t="n">
        <x:v>4.239869020091846</x:v>
      </x:c>
      <x:c r="D10" s="32" t="n">
        <x:f>IF(C10="","",(1/'Metadata'!$B$5)^(C10-1))</x:f>
        <x:v>1737.2768002799908</x:v>
      </x:c>
      <x:c r="E10" s="31" t="n">
        <x:f>IF(B10=0,"",B10*D10)</x:f>
        <x:v>520876.2418590148</x:v>
      </x:c>
    </x:row>
    <x:row r="11" ht="18" customHeight="1">
      <x:c r="A11" s="24" t="str">
        <x:v>Lobsters, crabs</x:v>
      </x:c>
      <x:c r="B11" s="31" t="n">
        <x:v>2.6997849970999996</x:v>
      </x:c>
      <x:c r="C11" s="32" t="n">
        <x:v>3.697792338614222</x:v>
      </x:c>
      <x:c r="D11" s="32" t="n">
        <x:f>IF(C11="","",(1/'Metadata'!$B$5)^(C11-1))</x:f>
        <x:v>498.645998867788</x:v>
      </x:c>
      <x:c r="E11" s="31" t="n">
        <x:f>IF(B11=0,"",B11*D11)</x:f>
        <x:v>1346.2369866071974</x:v>
      </x:c>
    </x:row>
    <x:row r="12" ht="18" customHeight="1">
      <x:c r="A12" s="24" t="str">
        <x:v>Medium bathydemersals (30 - 89 cm)</x:v>
      </x:c>
      <x:c r="B12" s="31" t="n">
        <x:v>21.5021196912</x:v>
      </x:c>
      <x:c r="C12" s="32" t="n">
        <x:v>3.6700000000000004</x:v>
      </x:c>
      <x:c r="D12" s="32" t="n">
        <x:f>IF(C12="","",(1/'Metadata'!$B$5)^(C12-1))</x:f>
        <x:v>467.7351412871986</x:v>
      </x:c>
      <x:c r="E12" s="31" t="n">
        <x:f>IF(B12=0,"",B12*D12)</x:f>
        <x:v>10057.296991737687</x:v>
      </x:c>
    </x:row>
    <x:row r="13" ht="18" customHeight="1">
      <x:c r="A13" s="24" t="str">
        <x:v>Medium bathypelagics (30 - 89 cm)</x:v>
      </x:c>
      <x:c r="B13" s="31" t="n">
        <x:v>0.0352779982</x:v>
      </x:c>
      <x:c r="C13" s="32" t="n">
        <x:v>3.4910323168223303</x:v>
      </x:c>
      <x:c r="D13" s="32" t="n">
        <x:f>IF(C13="","",(1/'Metadata'!$B$5)^(C13-1))</x:f>
        <x:v>309.7649793679956</x:v>
      </x:c>
      <x:c r="E13" s="31" t="n">
        <x:f>IF(B13=0,"",B13*D13)</x:f>
        <x:v>10.927888384567185</x:v>
      </x:c>
    </x:row>
    <x:row r="14" ht="18" customHeight="1">
      <x:c r="A14" s="24" t="str">
        <x:v>Medium benthopelagics (30 - 89 cm)</x:v>
      </x:c>
      <x:c r="B14" s="31" t="n">
        <x:v>304.88671568150005</x:v>
      </x:c>
      <x:c r="C14" s="32" t="n">
        <x:v>4.0888568245328365</x:v>
      </x:c>
      <x:c r="D14" s="32" t="n">
        <x:f>IF(C14="","",(1/'Metadata'!$B$5)^(C14-1))</x:f>
        <x:v>1227.0346434246292</x:v>
      </x:c>
      <x:c r="E14" s="31" t="n">
        <x:f>IF(B14=0,"",B14*D14)</x:f>
        <x:v>374106.5624611557</x:v>
      </x:c>
    </x:row>
    <x:row r="15" ht="18" customHeight="1">
      <x:c r="A15" s="24" t="str">
        <x:v>Medium demersals (30 - 89 cm)</x:v>
      </x:c>
      <x:c r="B15" s="31" t="n">
        <x:v>1089.0117543435</x:v>
      </x:c>
      <x:c r="C15" s="32" t="n">
        <x:v>3.499084402384975</x:v>
      </x:c>
      <x:c r="D15" s="32" t="n">
        <x:f>IF(C15="","",(1/'Metadata'!$B$5)^(C15-1))</x:f>
        <x:v>315.5617838148181</x:v>
      </x:c>
      <x:c r="E15" s="31" t="n">
        <x:f>IF(B15=0,"",B15*D15)</x:f>
        <x:v>343650.49179593934</x:v>
      </x:c>
    </x:row>
    <x:row r="16" ht="18" customHeight="1">
      <x:c r="A16" s="24" t="str">
        <x:v>Medium pelagics (30 - 89 cm)</x:v>
      </x:c>
      <x:c r="B16" s="31" t="n">
        <x:v>967.0737393424001</x:v>
      </x:c>
      <x:c r="C16" s="32" t="n">
        <x:v>3.982280465597428</x:v>
      </x:c>
      <x:c r="D16" s="32" t="n">
        <x:f>IF(C16="","",(1/'Metadata'!$B$5)^(C16-1))</x:f>
        <x:v>960.0204086170238</x:v>
      </x:c>
      <x:c r="E16" s="31" t="n">
        <x:f>IF(B16=0,"",B16*D16)</x:f>
        <x:v>928410.5264062842</x:v>
      </x:c>
    </x:row>
    <x:row r="17" ht="18" customHeight="1">
      <x:c r="A17" s="24" t="str">
        <x:v>Medium reef assoc. fish (30 - 89 cm)</x:v>
      </x:c>
      <x:c r="B17" s="31" t="n">
        <x:v>867.3429174956999</x:v>
      </x:c>
      <x:c r="C17" s="32" t="n">
        <x:v>3.3127574167274267</x:v>
      </x:c>
      <x:c r="D17" s="32" t="n">
        <x:f>IF(C17="","",(1/'Metadata'!$B$5)^(C17-1))</x:f>
        <x:v>205.47425606543015</x:v>
      </x:c>
      <x:c r="E17" s="31" t="n">
        <x:f>IF(B17=0,"",B17*D17)</x:f>
        <x:v>178216.6407260487</x:v>
      </x:c>
    </x:row>
    <x:row r="18" ht="18" customHeight="1">
      <x:c r="A18" s="24" t="str">
        <x:v>Other demersal invertebrates</x:v>
      </x:c>
      <x:c r="B18" s="31" t="n">
        <x:v>5.3260879421</x:v>
      </x:c>
      <x:c r="C18" s="32" t="n">
        <x:v>3.06</x:v>
      </x:c>
      <x:c r="D18" s="32" t="n">
        <x:f>IF(C18="","",(1/'Metadata'!$B$5)^(C18-1))</x:f>
        <x:v>114.81536214968828</x:v>
      </x:c>
      <x:c r="E18" s="31" t="n">
        <x:f>IF(B18=0,"",B18*D18)</x:f>
        <x:v>611.5167159132995</x:v>
      </x:c>
    </x:row>
    <x:row r="19" ht="18" customHeight="1">
      <x:c r="A19" s="24" t="str">
        <x:v>Shrimps</x:v>
      </x:c>
      <x:c r="B19" s="31" t="n">
        <x:v>1.011058595</x:v>
      </x:c>
      <x:c r="C19" s="32" t="n">
        <x:v>2.5</x:v>
      </x:c>
      <x:c r="D19" s="32" t="n">
        <x:f>IF(C19="","",(1/'Metadata'!$B$5)^(C19-1))</x:f>
        <x:v>31.622776601683793</x:v>
      </x:c>
      <x:c r="E19" s="31" t="n">
        <x:f>IF(B19=0,"",B19*D19)</x:f>
        <x:v>31.972480080897288</x:v>
      </x:c>
    </x:row>
    <x:row r="20" ht="18" customHeight="1">
      <x:c r="A20" s="24" t="str">
        <x:v>Small pelagics (&lt;30 cm)</x:v>
      </x:c>
      <x:c r="B20" s="31" t="n">
        <x:v>40.7497878284</x:v>
      </x:c>
      <x:c r="C20" s="32" t="n">
        <x:v>3.566943517773209</x:v>
      </x:c>
      <x:c r="D20" s="32" t="n">
        <x:f>IF(C20="","",(1/'Metadata'!$B$5)^(C20-1))</x:f>
        <x:v>368.92961425970685</x:v>
      </x:c>
      <x:c r="E20" s="31" t="n">
        <x:f>IF(B20=0,"",B20*D20)</x:f>
        <x:v>15033.80350469651</x:v>
      </x:c>
    </x:row>
    <x:row r="21" ht="18" customHeight="1">
      <x:c r="A21" s="24" t="str">
        <x:v>Small reef assoc. fish (&lt;30 cm)</x:v>
      </x:c>
      <x:c r="B21" s="31" t="n">
        <x:v>169.53078446889998</x:v>
      </x:c>
      <x:c r="C21" s="32" t="n">
        <x:v>3.0240554542067675</x:v>
      </x:c>
      <x:c r="D21" s="32" t="n">
        <x:f>IF(C21="","",(1/'Metadata'!$B$5)^(C21-1))</x:f>
        <x:v>105.69524607749835</x:v>
      </x:c>
      <x:c r="E21" s="31" t="n">
        <x:f>IF(B21=0,"",B21*D21)</x:f>
        <x:v>17918.59798215172</x:v>
      </x:c>
    </x:row>
    <x:row r="22" ht="18" customHeight="1">
      <x:c r="A22" s="24" t="str">
        <x:v>Small to medium flatfishes (&lt;90 cm)</x:v>
      </x:c>
      <x:c r="B22" s="31" t="n">
        <x:v>0.5739948661</x:v>
      </x:c>
      <x:c r="C22" s="32" t="n">
        <x:v>4.3654870900525635</x:v>
      </x:c>
      <x:c r="D22" s="32" t="n">
        <x:f>IF(C22="","",(1/'Metadata'!$B$5)^(C22-1))</x:f>
        <x:v>2319.9952197808457</x:v>
      </x:c>
      <x:c r="E22" s="31" t="n">
        <x:f>IF(B22=0,"",B22*D22)</x:f>
        <x:v>1331.6653455307464</x:v>
      </x:c>
    </x:row>
  </x:sheetData>
  <x:pageMargins left="0.7" right="0.7" top="0.75" bottom="0.75" header="0.3" footer="0.3"/>
  <x:tableParts count="1">
    <x:tablePart xmlns:r="http://schemas.openxmlformats.org/officeDocument/2006/relationships" r:id="R8e53207aae8d4e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EEZ_842</x:v>
      </x:c>
      <x:c r="B2" s="24" t="str">
        <x:v>raw_filtered_tonnes</x:v>
      </x:c>
      <x:c r="C2" s="24" t="n">
        <x:v>22486.186575207197</x:v>
      </x:c>
      <x:c r="D2" s="24" t="str">
        <x:v>tonnes</x:v>
      </x:c>
    </x:row>
    <x:row r="3" ht="18" customHeight="1">
      <x:c r="A3" s="24" t="str">
        <x:v>EEZ_842</x:v>
      </x:c>
      <x:c r="B3" s="24" t="str">
        <x:v>species_catch_tonnes</x:v>
      </x:c>
      <x:c r="C3" s="24" t="n">
        <x:v>22486.1865752072</x:v>
      </x:c>
      <x:c r="D3" s="24" t="str">
        <x:v>tonnes</x:v>
      </x:c>
    </x:row>
    <x:row r="4" ht="18" customHeight="1">
      <x:c r="A4" s="24" t="str">
        <x:v>EEZ_842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EEZ_842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EEZ_842</x:v>
      </x:c>
      <x:c r="B6" s="24" t="str">
        <x:v>matched_catch_tonnes</x:v>
      </x:c>
      <x:c r="C6" s="24" t="n">
        <x:v>22486.1865752072</x:v>
      </x:c>
      <x:c r="D6" s="24" t="str">
        <x:v>tonnes</x:v>
      </x:c>
    </x:row>
    <x:row r="7" ht="18" customHeight="1">
      <x:c r="A7" s="24" t="str">
        <x:v>EEZ_842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EEZ_842</x:v>
      </x:c>
      <x:c r="B8" s="24" t="str">
        <x:v>taxa_count</x:v>
      </x:c>
      <x:c r="C8" s="24" t="n">
        <x:v>140</x:v>
      </x:c>
      <x:c r="D8" s="24" t="str">
        <x:v>count</x:v>
      </x:c>
    </x:row>
    <x:row r="9" ht="18" customHeight="1">
      <x:c r="A9" s="24" t="str">
        <x:v>EEZ_842</x:v>
      </x:c>
      <x:c r="B9" s="24" t="str">
        <x:v>matched_taxa_count</x:v>
      </x:c>
      <x:c r="C9" s="24" t="n">
        <x:v>140</x:v>
      </x:c>
      <x:c r="D9" s="24" t="str">
        <x:v>count</x:v>
      </x:c>
    </x:row>
    <x:row r="10" ht="18" customHeight="1">
      <x:c r="A10" s="24" t="str">
        <x:v>EEZ_842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EEZ_842</x:v>
      </x:c>
      <x:c r="B11" s="24" t="str">
        <x:v>species_ppr</x:v>
      </x:c>
      <x:c r="C11" s="24" t="n">
        <x:v>47556032.822993144</x:v>
      </x:c>
      <x:c r="D11" s="24" t="str">
        <x:v>tonnes_primary_production_equivalent</x:v>
      </x:c>
    </x:row>
    <x:row r="12" ht="18" customHeight="1">
      <x:c r="A12" s="24" t="str">
        <x:v>EEZ_842</x:v>
      </x:c>
      <x:c r="B12" s="24" t="str">
        <x:v>commercial_ppr</x:v>
      </x:c>
      <x:c r="C12" s="24" t="n">
        <x:v>43053065.938609466</x:v>
      </x:c>
      <x:c r="D12" s="24" t="str">
        <x:v>tonnes_primary_production_equivalent</x:v>
      </x:c>
    </x:row>
    <x:row r="13" ht="18" customHeight="1">
      <x:c r="A13" s="24" t="str">
        <x:v>EEZ_842</x:v>
      </x:c>
      <x:c r="B13" s="24" t="str">
        <x:v>functional_ppr</x:v>
      </x:c>
      <x:c r="C13" s="24" t="n">
        <x:v>45887678.36081641</x:v>
      </x:c>
      <x:c r="D13" s="24" t="str">
        <x:v>tonnes_primary_production_equivalent</x:v>
      </x:c>
    </x:row>
    <x:row r="14" ht="18" customHeight="1">
      <x:c r="A14" s="24" t="str">
        <x:v>EEZ_842</x:v>
      </x:c>
      <x:c r="B14" s="24" t="str">
        <x:v>commercial_ppr_difference</x:v>
      </x:c>
      <x:c r="C14" s="24" t="n">
        <x:v>-4502966.884383678</x:v>
      </x:c>
      <x:c r="D14" s="24" t="str">
        <x:v>tonnes_primary_production_equivalent</x:v>
      </x:c>
    </x:row>
    <x:row r="15" ht="18" customHeight="1">
      <x:c r="A15" s="24" t="str">
        <x:v>EEZ_842</x:v>
      </x:c>
      <x:c r="B15" s="24" t="str">
        <x:v>functional_ppr_difference</x:v>
      </x:c>
      <x:c r="C15" s="24" t="n">
        <x:v>-1668354.4621767327</x:v>
      </x:c>
      <x:c r="D15" s="24" t="str">
        <x:v>tonnes_primary_production_equivalent</x:v>
      </x:c>
    </x:row>
    <x:row r="16" ht="18" customHeight="1">
      <x:c r="A16" s="24" t="str">
        <x:v>EEZ_842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EEZ_842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7e69039c51143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EEZ_842 - Hawaii Main Islands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